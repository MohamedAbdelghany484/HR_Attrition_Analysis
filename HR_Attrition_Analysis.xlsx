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176C\EXCELCNV\4fd6482d-81d0-4cca-8e63-59fe828499cb\"/>
    </mc:Choice>
  </mc:AlternateContent>
  <xr:revisionPtr revIDLastSave="0" documentId="8_{68C079E6-4EAA-4DD1-9DA4-1D951CE23EB0}" xr6:coauthVersionLast="47" xr6:coauthVersionMax="47" xr10:uidLastSave="{00000000-0000-0000-0000-000000000000}"/>
  <bookViews>
    <workbookView xWindow="-60" yWindow="-60" windowWidth="15480" windowHeight="11640" firstSheet="5" activeTab="5" xr2:uid="{F7C0086C-4189-4507-883C-D718537465C2}"/>
  </bookViews>
  <sheets>
    <sheet name="RAW_DATA" sheetId="1" r:id="rId1"/>
    <sheet name="Clean_Data" sheetId="3" r:id="rId2"/>
    <sheet name="ASSUMPTIONS" sheetId="2" r:id="rId3"/>
    <sheet name="Lookup_Tables" sheetId="4" r:id="rId4"/>
    <sheet name="PivotTables" sheetId="6" r:id="rId5"/>
    <sheet name="Dashboard" sheetId="7" r:id="rId6"/>
  </sheets>
  <definedNames>
    <definedName name="_xlnm._FilterDatabase" localSheetId="0" hidden="1">RAW_DATA!$A$1:$M$1471</definedName>
  </definedNames>
  <calcPr calcId="191028"/>
  <pivotCaches>
    <pivotCache cacheId="5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7" l="1"/>
  <c r="N5" i="7"/>
  <c r="I5" i="7"/>
  <c r="D5" i="7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2" i="3"/>
  <c r="S2" i="4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2" i="3"/>
  <c r="K24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2" i="3"/>
  <c r="L4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2" i="3"/>
  <c r="A3" i="3"/>
  <c r="B3" i="3"/>
  <c r="C3" i="3"/>
  <c r="D3" i="3"/>
  <c r="E3" i="3"/>
  <c r="F3" i="3"/>
  <c r="G3" i="3"/>
  <c r="H3" i="3"/>
  <c r="I3" i="3"/>
  <c r="J3" i="3"/>
  <c r="K3" i="3"/>
  <c r="L3" i="3"/>
  <c r="M3" i="3"/>
  <c r="A4" i="3"/>
  <c r="B4" i="3"/>
  <c r="C4" i="3"/>
  <c r="D4" i="3"/>
  <c r="E4" i="3"/>
  <c r="F4" i="3"/>
  <c r="G4" i="3"/>
  <c r="H4" i="3"/>
  <c r="I4" i="3"/>
  <c r="J4" i="3"/>
  <c r="K4" i="3"/>
  <c r="M4" i="3"/>
  <c r="A5" i="3"/>
  <c r="B5" i="3"/>
  <c r="C5" i="3"/>
  <c r="D5" i="3"/>
  <c r="E5" i="3"/>
  <c r="F5" i="3"/>
  <c r="G5" i="3"/>
  <c r="H5" i="3"/>
  <c r="I5" i="3"/>
  <c r="J5" i="3"/>
  <c r="K5" i="3"/>
  <c r="M5" i="3"/>
  <c r="A6" i="3"/>
  <c r="B6" i="3"/>
  <c r="C6" i="3"/>
  <c r="D6" i="3"/>
  <c r="E6" i="3"/>
  <c r="F6" i="3"/>
  <c r="G6" i="3"/>
  <c r="H6" i="3"/>
  <c r="I6" i="3"/>
  <c r="J6" i="3"/>
  <c r="K6" i="3"/>
  <c r="L6" i="3"/>
  <c r="M6" i="3"/>
  <c r="A7" i="3"/>
  <c r="B7" i="3"/>
  <c r="C7" i="3"/>
  <c r="D7" i="3"/>
  <c r="E7" i="3"/>
  <c r="F7" i="3"/>
  <c r="G7" i="3"/>
  <c r="H7" i="3"/>
  <c r="I7" i="3"/>
  <c r="J7" i="3"/>
  <c r="K7" i="3"/>
  <c r="L7" i="3"/>
  <c r="M7" i="3"/>
  <c r="A8" i="3"/>
  <c r="B8" i="3"/>
  <c r="C8" i="3"/>
  <c r="D8" i="3"/>
  <c r="E8" i="3"/>
  <c r="F8" i="3"/>
  <c r="G8" i="3"/>
  <c r="H8" i="3"/>
  <c r="I8" i="3"/>
  <c r="J8" i="3"/>
  <c r="K8" i="3"/>
  <c r="L8" i="3"/>
  <c r="M8" i="3"/>
  <c r="A9" i="3"/>
  <c r="B9" i="3"/>
  <c r="C9" i="3"/>
  <c r="D9" i="3"/>
  <c r="E9" i="3"/>
  <c r="F9" i="3"/>
  <c r="G9" i="3"/>
  <c r="H9" i="3"/>
  <c r="I9" i="3"/>
  <c r="J9" i="3"/>
  <c r="K9" i="3"/>
  <c r="L9" i="3"/>
  <c r="M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A24" i="3"/>
  <c r="B24" i="3"/>
  <c r="C24" i="3"/>
  <c r="D24" i="3"/>
  <c r="E24" i="3"/>
  <c r="F24" i="3"/>
  <c r="G24" i="3"/>
  <c r="H24" i="3"/>
  <c r="I24" i="3"/>
  <c r="J24" i="3"/>
  <c r="L24" i="3"/>
  <c r="M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A53" i="3"/>
  <c r="B53" i="3"/>
  <c r="C53" i="3"/>
  <c r="D53" i="3"/>
  <c r="E53" i="3"/>
  <c r="F53" i="3"/>
  <c r="G53" i="3"/>
  <c r="H53" i="3"/>
  <c r="I53" i="3"/>
  <c r="J53" i="3"/>
  <c r="K53" i="3"/>
  <c r="L53" i="3"/>
  <c r="M53" i="3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A61" i="3"/>
  <c r="B61" i="3"/>
  <c r="C61" i="3"/>
  <c r="D61" i="3"/>
  <c r="E61" i="3"/>
  <c r="F61" i="3"/>
  <c r="G61" i="3"/>
  <c r="H61" i="3"/>
  <c r="I61" i="3"/>
  <c r="J61" i="3"/>
  <c r="K61" i="3"/>
  <c r="L61" i="3"/>
  <c r="M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/>
  <c r="A68" i="3"/>
  <c r="B68" i="3"/>
  <c r="C68" i="3"/>
  <c r="D68" i="3"/>
  <c r="E68" i="3"/>
  <c r="F68" i="3"/>
  <c r="G68" i="3"/>
  <c r="H68" i="3"/>
  <c r="I68" i="3"/>
  <c r="J68" i="3"/>
  <c r="K68" i="3"/>
  <c r="L68" i="3"/>
  <c r="M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A70" i="3"/>
  <c r="B70" i="3"/>
  <c r="C70" i="3"/>
  <c r="D70" i="3"/>
  <c r="E70" i="3"/>
  <c r="F70" i="3"/>
  <c r="G70" i="3"/>
  <c r="H70" i="3"/>
  <c r="I70" i="3"/>
  <c r="J70" i="3"/>
  <c r="K70" i="3"/>
  <c r="L70" i="3"/>
  <c r="M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A75" i="3"/>
  <c r="B75" i="3"/>
  <c r="C75" i="3"/>
  <c r="D75" i="3"/>
  <c r="E75" i="3"/>
  <c r="F75" i="3"/>
  <c r="G75" i="3"/>
  <c r="H75" i="3"/>
  <c r="I75" i="3"/>
  <c r="J75" i="3"/>
  <c r="K75" i="3"/>
  <c r="L75" i="3"/>
  <c r="M75" i="3"/>
  <c r="A76" i="3"/>
  <c r="B76" i="3"/>
  <c r="C76" i="3"/>
  <c r="D76" i="3"/>
  <c r="E76" i="3"/>
  <c r="F76" i="3"/>
  <c r="G76" i="3"/>
  <c r="H76" i="3"/>
  <c r="I76" i="3"/>
  <c r="J76" i="3"/>
  <c r="K76" i="3"/>
  <c r="L76" i="3"/>
  <c r="M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/>
  <c r="A78" i="3"/>
  <c r="B78" i="3"/>
  <c r="C78" i="3"/>
  <c r="D78" i="3"/>
  <c r="E78" i="3"/>
  <c r="F78" i="3"/>
  <c r="G78" i="3"/>
  <c r="H78" i="3"/>
  <c r="I78" i="3"/>
  <c r="J78" i="3"/>
  <c r="K78" i="3"/>
  <c r="L78" i="3"/>
  <c r="M78" i="3"/>
  <c r="A79" i="3"/>
  <c r="B79" i="3"/>
  <c r="C79" i="3"/>
  <c r="D79" i="3"/>
  <c r="E79" i="3"/>
  <c r="F79" i="3"/>
  <c r="G79" i="3"/>
  <c r="H79" i="3"/>
  <c r="I79" i="3"/>
  <c r="J79" i="3"/>
  <c r="K79" i="3"/>
  <c r="L79" i="3"/>
  <c r="M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A83" i="3"/>
  <c r="B83" i="3"/>
  <c r="C83" i="3"/>
  <c r="D83" i="3"/>
  <c r="E83" i="3"/>
  <c r="F83" i="3"/>
  <c r="G83" i="3"/>
  <c r="H83" i="3"/>
  <c r="I83" i="3"/>
  <c r="J83" i="3"/>
  <c r="K83" i="3"/>
  <c r="L83" i="3"/>
  <c r="M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A85" i="3"/>
  <c r="B85" i="3"/>
  <c r="C85" i="3"/>
  <c r="D85" i="3"/>
  <c r="E85" i="3"/>
  <c r="F85" i="3"/>
  <c r="G85" i="3"/>
  <c r="H85" i="3"/>
  <c r="I85" i="3"/>
  <c r="J85" i="3"/>
  <c r="K85" i="3"/>
  <c r="L85" i="3"/>
  <c r="M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A87" i="3"/>
  <c r="B87" i="3"/>
  <c r="C87" i="3"/>
  <c r="D87" i="3"/>
  <c r="E87" i="3"/>
  <c r="F87" i="3"/>
  <c r="G87" i="3"/>
  <c r="H87" i="3"/>
  <c r="I87" i="3"/>
  <c r="J87" i="3"/>
  <c r="K87" i="3"/>
  <c r="L87" i="3"/>
  <c r="M87" i="3"/>
  <c r="A88" i="3"/>
  <c r="B88" i="3"/>
  <c r="C88" i="3"/>
  <c r="D88" i="3"/>
  <c r="E88" i="3"/>
  <c r="F88" i="3"/>
  <c r="G88" i="3"/>
  <c r="H88" i="3"/>
  <c r="I88" i="3"/>
  <c r="J88" i="3"/>
  <c r="K88" i="3"/>
  <c r="L88" i="3"/>
  <c r="M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/>
  <c r="A90" i="3"/>
  <c r="B90" i="3"/>
  <c r="C90" i="3"/>
  <c r="D90" i="3"/>
  <c r="E90" i="3"/>
  <c r="F90" i="3"/>
  <c r="G90" i="3"/>
  <c r="H90" i="3"/>
  <c r="I90" i="3"/>
  <c r="J90" i="3"/>
  <c r="K90" i="3"/>
  <c r="L90" i="3"/>
  <c r="M90" i="3"/>
  <c r="A91" i="3"/>
  <c r="B91" i="3"/>
  <c r="C91" i="3"/>
  <c r="D91" i="3"/>
  <c r="E91" i="3"/>
  <c r="F91" i="3"/>
  <c r="G91" i="3"/>
  <c r="H91" i="3"/>
  <c r="I91" i="3"/>
  <c r="J91" i="3"/>
  <c r="K91" i="3"/>
  <c r="L91" i="3"/>
  <c r="M91" i="3"/>
  <c r="A92" i="3"/>
  <c r="B92" i="3"/>
  <c r="C92" i="3"/>
  <c r="D92" i="3"/>
  <c r="E92" i="3"/>
  <c r="F92" i="3"/>
  <c r="G92" i="3"/>
  <c r="H92" i="3"/>
  <c r="I92" i="3"/>
  <c r="J92" i="3"/>
  <c r="K92" i="3"/>
  <c r="L92" i="3"/>
  <c r="M92" i="3"/>
  <c r="A93" i="3"/>
  <c r="B93" i="3"/>
  <c r="C93" i="3"/>
  <c r="D93" i="3"/>
  <c r="E93" i="3"/>
  <c r="F93" i="3"/>
  <c r="G93" i="3"/>
  <c r="H93" i="3"/>
  <c r="I93" i="3"/>
  <c r="J93" i="3"/>
  <c r="K93" i="3"/>
  <c r="L93" i="3"/>
  <c r="M93" i="3"/>
  <c r="A94" i="3"/>
  <c r="B94" i="3"/>
  <c r="C94" i="3"/>
  <c r="D94" i="3"/>
  <c r="E94" i="3"/>
  <c r="F94" i="3"/>
  <c r="G94" i="3"/>
  <c r="H94" i="3"/>
  <c r="I94" i="3"/>
  <c r="J94" i="3"/>
  <c r="K94" i="3"/>
  <c r="L94" i="3"/>
  <c r="M94" i="3"/>
  <c r="A95" i="3"/>
  <c r="B95" i="3"/>
  <c r="C95" i="3"/>
  <c r="D95" i="3"/>
  <c r="E95" i="3"/>
  <c r="F95" i="3"/>
  <c r="G95" i="3"/>
  <c r="H95" i="3"/>
  <c r="I95" i="3"/>
  <c r="J95" i="3"/>
  <c r="K95" i="3"/>
  <c r="L95" i="3"/>
  <c r="M95" i="3"/>
  <c r="A96" i="3"/>
  <c r="B96" i="3"/>
  <c r="C96" i="3"/>
  <c r="D96" i="3"/>
  <c r="E96" i="3"/>
  <c r="F96" i="3"/>
  <c r="G96" i="3"/>
  <c r="H96" i="3"/>
  <c r="I96" i="3"/>
  <c r="J96" i="3"/>
  <c r="K96" i="3"/>
  <c r="L96" i="3"/>
  <c r="M96" i="3"/>
  <c r="A97" i="3"/>
  <c r="B97" i="3"/>
  <c r="C97" i="3"/>
  <c r="D97" i="3"/>
  <c r="E97" i="3"/>
  <c r="F97" i="3"/>
  <c r="G97" i="3"/>
  <c r="H97" i="3"/>
  <c r="I97" i="3"/>
  <c r="J97" i="3"/>
  <c r="K97" i="3"/>
  <c r="L97" i="3"/>
  <c r="M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A99" i="3"/>
  <c r="B99" i="3"/>
  <c r="C99" i="3"/>
  <c r="D99" i="3"/>
  <c r="E99" i="3"/>
  <c r="F99" i="3"/>
  <c r="G99" i="3"/>
  <c r="H99" i="3"/>
  <c r="I99" i="3"/>
  <c r="J99" i="3"/>
  <c r="K99" i="3"/>
  <c r="L99" i="3"/>
  <c r="M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A114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A127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A138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A142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A151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A154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A186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A199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A200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A201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A251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A252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A253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A254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A255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A256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A257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A258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A259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A260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A261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A262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A263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A264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A272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A293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A294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A295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A296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A297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A298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A299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A300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A304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A308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A321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A332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A370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A390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A394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A395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A396" i="3"/>
  <c r="B396" i="3"/>
  <c r="C396" i="3"/>
  <c r="D396" i="3"/>
  <c r="E396" i="3"/>
  <c r="F396" i="3"/>
  <c r="G396" i="3"/>
  <c r="H396" i="3"/>
  <c r="I396" i="3"/>
  <c r="J396" i="3"/>
  <c r="K396" i="3"/>
  <c r="L396" i="3"/>
  <c r="M396" i="3"/>
  <c r="A397" i="3"/>
  <c r="B397" i="3"/>
  <c r="C397" i="3"/>
  <c r="D397" i="3"/>
  <c r="E397" i="3"/>
  <c r="F397" i="3"/>
  <c r="G397" i="3"/>
  <c r="H397" i="3"/>
  <c r="I397" i="3"/>
  <c r="J397" i="3"/>
  <c r="K397" i="3"/>
  <c r="L397" i="3"/>
  <c r="M397" i="3"/>
  <c r="A398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A399" i="3"/>
  <c r="B399" i="3"/>
  <c r="C399" i="3"/>
  <c r="D399" i="3"/>
  <c r="E399" i="3"/>
  <c r="F399" i="3"/>
  <c r="G399" i="3"/>
  <c r="H399" i="3"/>
  <c r="I399" i="3"/>
  <c r="J399" i="3"/>
  <c r="K399" i="3"/>
  <c r="L399" i="3"/>
  <c r="M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A402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A403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A407" i="3"/>
  <c r="B407" i="3"/>
  <c r="C407" i="3"/>
  <c r="D407" i="3"/>
  <c r="E407" i="3"/>
  <c r="F407" i="3"/>
  <c r="G407" i="3"/>
  <c r="H407" i="3"/>
  <c r="I407" i="3"/>
  <c r="J407" i="3"/>
  <c r="K407" i="3"/>
  <c r="L407" i="3"/>
  <c r="M407" i="3"/>
  <c r="A408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A410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A411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A432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A434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A435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A436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A437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A438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A439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A440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A442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A445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A446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A447" i="3"/>
  <c r="B447" i="3"/>
  <c r="C447" i="3"/>
  <c r="D447" i="3"/>
  <c r="E447" i="3"/>
  <c r="F447" i="3"/>
  <c r="G447" i="3"/>
  <c r="H447" i="3"/>
  <c r="I447" i="3"/>
  <c r="J447" i="3"/>
  <c r="K447" i="3"/>
  <c r="L447" i="3"/>
  <c r="M447" i="3"/>
  <c r="A448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A449" i="3"/>
  <c r="B449" i="3"/>
  <c r="C449" i="3"/>
  <c r="D449" i="3"/>
  <c r="E449" i="3"/>
  <c r="F449" i="3"/>
  <c r="G449" i="3"/>
  <c r="H449" i="3"/>
  <c r="I449" i="3"/>
  <c r="J449" i="3"/>
  <c r="K449" i="3"/>
  <c r="L449" i="3"/>
  <c r="M449" i="3"/>
  <c r="A450" i="3"/>
  <c r="B450" i="3"/>
  <c r="C450" i="3"/>
  <c r="D450" i="3"/>
  <c r="E450" i="3"/>
  <c r="F450" i="3"/>
  <c r="G450" i="3"/>
  <c r="H450" i="3"/>
  <c r="I450" i="3"/>
  <c r="J450" i="3"/>
  <c r="K450" i="3"/>
  <c r="L450" i="3"/>
  <c r="M450" i="3"/>
  <c r="A451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A452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A453" i="3"/>
  <c r="B453" i="3"/>
  <c r="C453" i="3"/>
  <c r="D453" i="3"/>
  <c r="E453" i="3"/>
  <c r="F453" i="3"/>
  <c r="G453" i="3"/>
  <c r="H453" i="3"/>
  <c r="I453" i="3"/>
  <c r="J453" i="3"/>
  <c r="K453" i="3"/>
  <c r="L453" i="3"/>
  <c r="M453" i="3"/>
  <c r="A454" i="3"/>
  <c r="B454" i="3"/>
  <c r="C454" i="3"/>
  <c r="D454" i="3"/>
  <c r="E454" i="3"/>
  <c r="F454" i="3"/>
  <c r="G454" i="3"/>
  <c r="H454" i="3"/>
  <c r="I454" i="3"/>
  <c r="J454" i="3"/>
  <c r="K454" i="3"/>
  <c r="L454" i="3"/>
  <c r="M454" i="3"/>
  <c r="A455" i="3"/>
  <c r="B455" i="3"/>
  <c r="C455" i="3"/>
  <c r="D455" i="3"/>
  <c r="E455" i="3"/>
  <c r="F455" i="3"/>
  <c r="G455" i="3"/>
  <c r="H455" i="3"/>
  <c r="I455" i="3"/>
  <c r="J455" i="3"/>
  <c r="K455" i="3"/>
  <c r="L455" i="3"/>
  <c r="M455" i="3"/>
  <c r="A456" i="3"/>
  <c r="B456" i="3"/>
  <c r="C456" i="3"/>
  <c r="D456" i="3"/>
  <c r="E456" i="3"/>
  <c r="F456" i="3"/>
  <c r="G456" i="3"/>
  <c r="H456" i="3"/>
  <c r="I456" i="3"/>
  <c r="J456" i="3"/>
  <c r="K456" i="3"/>
  <c r="L456" i="3"/>
  <c r="M456" i="3"/>
  <c r="A457" i="3"/>
  <c r="B457" i="3"/>
  <c r="C457" i="3"/>
  <c r="D457" i="3"/>
  <c r="E457" i="3"/>
  <c r="F457" i="3"/>
  <c r="G457" i="3"/>
  <c r="H457" i="3"/>
  <c r="I457" i="3"/>
  <c r="J457" i="3"/>
  <c r="K457" i="3"/>
  <c r="L457" i="3"/>
  <c r="M457" i="3"/>
  <c r="A458" i="3"/>
  <c r="B458" i="3"/>
  <c r="C458" i="3"/>
  <c r="D458" i="3"/>
  <c r="E458" i="3"/>
  <c r="F458" i="3"/>
  <c r="G458" i="3"/>
  <c r="H458" i="3"/>
  <c r="I458" i="3"/>
  <c r="J458" i="3"/>
  <c r="K458" i="3"/>
  <c r="L458" i="3"/>
  <c r="M458" i="3"/>
  <c r="A459" i="3"/>
  <c r="B459" i="3"/>
  <c r="C459" i="3"/>
  <c r="D459" i="3"/>
  <c r="E459" i="3"/>
  <c r="F459" i="3"/>
  <c r="G459" i="3"/>
  <c r="H459" i="3"/>
  <c r="I459" i="3"/>
  <c r="J459" i="3"/>
  <c r="K459" i="3"/>
  <c r="L459" i="3"/>
  <c r="M459" i="3"/>
  <c r="A460" i="3"/>
  <c r="B460" i="3"/>
  <c r="C460" i="3"/>
  <c r="D460" i="3"/>
  <c r="E460" i="3"/>
  <c r="F460" i="3"/>
  <c r="G460" i="3"/>
  <c r="H460" i="3"/>
  <c r="I460" i="3"/>
  <c r="J460" i="3"/>
  <c r="K460" i="3"/>
  <c r="L460" i="3"/>
  <c r="M460" i="3"/>
  <c r="A461" i="3"/>
  <c r="B461" i="3"/>
  <c r="C461" i="3"/>
  <c r="D461" i="3"/>
  <c r="E461" i="3"/>
  <c r="F461" i="3"/>
  <c r="G461" i="3"/>
  <c r="H461" i="3"/>
  <c r="I461" i="3"/>
  <c r="J461" i="3"/>
  <c r="K461" i="3"/>
  <c r="L461" i="3"/>
  <c r="M461" i="3"/>
  <c r="A462" i="3"/>
  <c r="B462" i="3"/>
  <c r="C462" i="3"/>
  <c r="D462" i="3"/>
  <c r="E462" i="3"/>
  <c r="F462" i="3"/>
  <c r="G462" i="3"/>
  <c r="H462" i="3"/>
  <c r="I462" i="3"/>
  <c r="J462" i="3"/>
  <c r="K462" i="3"/>
  <c r="L462" i="3"/>
  <c r="M462" i="3"/>
  <c r="A463" i="3"/>
  <c r="B463" i="3"/>
  <c r="C463" i="3"/>
  <c r="D463" i="3"/>
  <c r="E463" i="3"/>
  <c r="F463" i="3"/>
  <c r="G463" i="3"/>
  <c r="H463" i="3"/>
  <c r="I463" i="3"/>
  <c r="J463" i="3"/>
  <c r="K463" i="3"/>
  <c r="L463" i="3"/>
  <c r="M463" i="3"/>
  <c r="A464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A465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A466" i="3"/>
  <c r="B466" i="3"/>
  <c r="C466" i="3"/>
  <c r="D466" i="3"/>
  <c r="E466" i="3"/>
  <c r="F466" i="3"/>
  <c r="G466" i="3"/>
  <c r="H466" i="3"/>
  <c r="I466" i="3"/>
  <c r="J466" i="3"/>
  <c r="K466" i="3"/>
  <c r="L466" i="3"/>
  <c r="M466" i="3"/>
  <c r="A467" i="3"/>
  <c r="B467" i="3"/>
  <c r="C467" i="3"/>
  <c r="D467" i="3"/>
  <c r="E467" i="3"/>
  <c r="F467" i="3"/>
  <c r="G467" i="3"/>
  <c r="H467" i="3"/>
  <c r="I467" i="3"/>
  <c r="J467" i="3"/>
  <c r="K467" i="3"/>
  <c r="L467" i="3"/>
  <c r="M467" i="3"/>
  <c r="A468" i="3"/>
  <c r="B468" i="3"/>
  <c r="C468" i="3"/>
  <c r="D468" i="3"/>
  <c r="E468" i="3"/>
  <c r="F468" i="3"/>
  <c r="G468" i="3"/>
  <c r="H468" i="3"/>
  <c r="I468" i="3"/>
  <c r="J468" i="3"/>
  <c r="K468" i="3"/>
  <c r="L468" i="3"/>
  <c r="M468" i="3"/>
  <c r="A469" i="3"/>
  <c r="B469" i="3"/>
  <c r="C469" i="3"/>
  <c r="D469" i="3"/>
  <c r="E469" i="3"/>
  <c r="F469" i="3"/>
  <c r="G469" i="3"/>
  <c r="H469" i="3"/>
  <c r="I469" i="3"/>
  <c r="J469" i="3"/>
  <c r="K469" i="3"/>
  <c r="L469" i="3"/>
  <c r="M469" i="3"/>
  <c r="A470" i="3"/>
  <c r="B470" i="3"/>
  <c r="C470" i="3"/>
  <c r="D470" i="3"/>
  <c r="E470" i="3"/>
  <c r="F470" i="3"/>
  <c r="G470" i="3"/>
  <c r="H470" i="3"/>
  <c r="I470" i="3"/>
  <c r="J470" i="3"/>
  <c r="K470" i="3"/>
  <c r="L470" i="3"/>
  <c r="M470" i="3"/>
  <c r="A471" i="3"/>
  <c r="B471" i="3"/>
  <c r="C471" i="3"/>
  <c r="D471" i="3"/>
  <c r="E471" i="3"/>
  <c r="F471" i="3"/>
  <c r="G471" i="3"/>
  <c r="H471" i="3"/>
  <c r="I471" i="3"/>
  <c r="J471" i="3"/>
  <c r="K471" i="3"/>
  <c r="L471" i="3"/>
  <c r="M471" i="3"/>
  <c r="A472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A473" i="3"/>
  <c r="B473" i="3"/>
  <c r="C473" i="3"/>
  <c r="D473" i="3"/>
  <c r="E473" i="3"/>
  <c r="F473" i="3"/>
  <c r="G473" i="3"/>
  <c r="H473" i="3"/>
  <c r="I473" i="3"/>
  <c r="J473" i="3"/>
  <c r="K473" i="3"/>
  <c r="L473" i="3"/>
  <c r="M473" i="3"/>
  <c r="A474" i="3"/>
  <c r="B474" i="3"/>
  <c r="C474" i="3"/>
  <c r="D474" i="3"/>
  <c r="E474" i="3"/>
  <c r="F474" i="3"/>
  <c r="G474" i="3"/>
  <c r="H474" i="3"/>
  <c r="I474" i="3"/>
  <c r="J474" i="3"/>
  <c r="K474" i="3"/>
  <c r="L474" i="3"/>
  <c r="M474" i="3"/>
  <c r="A475" i="3"/>
  <c r="B475" i="3"/>
  <c r="C475" i="3"/>
  <c r="D475" i="3"/>
  <c r="E475" i="3"/>
  <c r="F475" i="3"/>
  <c r="G475" i="3"/>
  <c r="H475" i="3"/>
  <c r="I475" i="3"/>
  <c r="J475" i="3"/>
  <c r="K475" i="3"/>
  <c r="L475" i="3"/>
  <c r="M475" i="3"/>
  <c r="A476" i="3"/>
  <c r="B476" i="3"/>
  <c r="C476" i="3"/>
  <c r="D476" i="3"/>
  <c r="E476" i="3"/>
  <c r="F476" i="3"/>
  <c r="G476" i="3"/>
  <c r="H476" i="3"/>
  <c r="I476" i="3"/>
  <c r="J476" i="3"/>
  <c r="K476" i="3"/>
  <c r="L476" i="3"/>
  <c r="M476" i="3"/>
  <c r="A477" i="3"/>
  <c r="B477" i="3"/>
  <c r="C477" i="3"/>
  <c r="D477" i="3"/>
  <c r="E477" i="3"/>
  <c r="F477" i="3"/>
  <c r="G477" i="3"/>
  <c r="H477" i="3"/>
  <c r="I477" i="3"/>
  <c r="J477" i="3"/>
  <c r="K477" i="3"/>
  <c r="L477" i="3"/>
  <c r="M477" i="3"/>
  <c r="A478" i="3"/>
  <c r="B478" i="3"/>
  <c r="C478" i="3"/>
  <c r="D478" i="3"/>
  <c r="E478" i="3"/>
  <c r="F478" i="3"/>
  <c r="G478" i="3"/>
  <c r="H478" i="3"/>
  <c r="I478" i="3"/>
  <c r="J478" i="3"/>
  <c r="K478" i="3"/>
  <c r="L478" i="3"/>
  <c r="M478" i="3"/>
  <c r="A479" i="3"/>
  <c r="B479" i="3"/>
  <c r="C479" i="3"/>
  <c r="D479" i="3"/>
  <c r="E479" i="3"/>
  <c r="F479" i="3"/>
  <c r="G479" i="3"/>
  <c r="H479" i="3"/>
  <c r="I479" i="3"/>
  <c r="J479" i="3"/>
  <c r="K479" i="3"/>
  <c r="L479" i="3"/>
  <c r="M479" i="3"/>
  <c r="A480" i="3"/>
  <c r="B480" i="3"/>
  <c r="C480" i="3"/>
  <c r="D480" i="3"/>
  <c r="E480" i="3"/>
  <c r="F480" i="3"/>
  <c r="G480" i="3"/>
  <c r="H480" i="3"/>
  <c r="I480" i="3"/>
  <c r="J480" i="3"/>
  <c r="K480" i="3"/>
  <c r="L480" i="3"/>
  <c r="M480" i="3"/>
  <c r="A481" i="3"/>
  <c r="B481" i="3"/>
  <c r="C481" i="3"/>
  <c r="D481" i="3"/>
  <c r="E481" i="3"/>
  <c r="F481" i="3"/>
  <c r="G481" i="3"/>
  <c r="H481" i="3"/>
  <c r="I481" i="3"/>
  <c r="J481" i="3"/>
  <c r="K481" i="3"/>
  <c r="L481" i="3"/>
  <c r="M481" i="3"/>
  <c r="A482" i="3"/>
  <c r="B482" i="3"/>
  <c r="C482" i="3"/>
  <c r="D482" i="3"/>
  <c r="E482" i="3"/>
  <c r="F482" i="3"/>
  <c r="G482" i="3"/>
  <c r="H482" i="3"/>
  <c r="I482" i="3"/>
  <c r="J482" i="3"/>
  <c r="K482" i="3"/>
  <c r="L482" i="3"/>
  <c r="M482" i="3"/>
  <c r="A483" i="3"/>
  <c r="B483" i="3"/>
  <c r="C483" i="3"/>
  <c r="D483" i="3"/>
  <c r="E483" i="3"/>
  <c r="F483" i="3"/>
  <c r="G483" i="3"/>
  <c r="H483" i="3"/>
  <c r="I483" i="3"/>
  <c r="J483" i="3"/>
  <c r="K483" i="3"/>
  <c r="L483" i="3"/>
  <c r="M483" i="3"/>
  <c r="A484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A485" i="3"/>
  <c r="B485" i="3"/>
  <c r="C485" i="3"/>
  <c r="D485" i="3"/>
  <c r="E485" i="3"/>
  <c r="F485" i="3"/>
  <c r="G485" i="3"/>
  <c r="H485" i="3"/>
  <c r="I485" i="3"/>
  <c r="J485" i="3"/>
  <c r="K485" i="3"/>
  <c r="L485" i="3"/>
  <c r="M485" i="3"/>
  <c r="A486" i="3"/>
  <c r="B486" i="3"/>
  <c r="C486" i="3"/>
  <c r="D486" i="3"/>
  <c r="E486" i="3"/>
  <c r="F486" i="3"/>
  <c r="G486" i="3"/>
  <c r="H486" i="3"/>
  <c r="I486" i="3"/>
  <c r="J486" i="3"/>
  <c r="K486" i="3"/>
  <c r="L486" i="3"/>
  <c r="M486" i="3"/>
  <c r="A487" i="3"/>
  <c r="B487" i="3"/>
  <c r="C487" i="3"/>
  <c r="D487" i="3"/>
  <c r="E487" i="3"/>
  <c r="F487" i="3"/>
  <c r="G487" i="3"/>
  <c r="H487" i="3"/>
  <c r="I487" i="3"/>
  <c r="J487" i="3"/>
  <c r="K487" i="3"/>
  <c r="L487" i="3"/>
  <c r="M487" i="3"/>
  <c r="A488" i="3"/>
  <c r="B488" i="3"/>
  <c r="C488" i="3"/>
  <c r="D488" i="3"/>
  <c r="E488" i="3"/>
  <c r="F488" i="3"/>
  <c r="G488" i="3"/>
  <c r="H488" i="3"/>
  <c r="I488" i="3"/>
  <c r="J488" i="3"/>
  <c r="K488" i="3"/>
  <c r="L488" i="3"/>
  <c r="M488" i="3"/>
  <c r="A489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A490" i="3"/>
  <c r="B490" i="3"/>
  <c r="C490" i="3"/>
  <c r="D490" i="3"/>
  <c r="E490" i="3"/>
  <c r="F490" i="3"/>
  <c r="G490" i="3"/>
  <c r="H490" i="3"/>
  <c r="I490" i="3"/>
  <c r="J490" i="3"/>
  <c r="K490" i="3"/>
  <c r="L490" i="3"/>
  <c r="M490" i="3"/>
  <c r="A491" i="3"/>
  <c r="B491" i="3"/>
  <c r="C491" i="3"/>
  <c r="D491" i="3"/>
  <c r="E491" i="3"/>
  <c r="F491" i="3"/>
  <c r="G491" i="3"/>
  <c r="H491" i="3"/>
  <c r="I491" i="3"/>
  <c r="J491" i="3"/>
  <c r="K491" i="3"/>
  <c r="L491" i="3"/>
  <c r="M491" i="3"/>
  <c r="A492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A493" i="3"/>
  <c r="B493" i="3"/>
  <c r="C493" i="3"/>
  <c r="D493" i="3"/>
  <c r="E493" i="3"/>
  <c r="F493" i="3"/>
  <c r="G493" i="3"/>
  <c r="H493" i="3"/>
  <c r="I493" i="3"/>
  <c r="J493" i="3"/>
  <c r="K493" i="3"/>
  <c r="L493" i="3"/>
  <c r="M493" i="3"/>
  <c r="A494" i="3"/>
  <c r="B494" i="3"/>
  <c r="C494" i="3"/>
  <c r="D494" i="3"/>
  <c r="E494" i="3"/>
  <c r="F494" i="3"/>
  <c r="G494" i="3"/>
  <c r="H494" i="3"/>
  <c r="I494" i="3"/>
  <c r="J494" i="3"/>
  <c r="K494" i="3"/>
  <c r="L494" i="3"/>
  <c r="M494" i="3"/>
  <c r="A495" i="3"/>
  <c r="B495" i="3"/>
  <c r="C495" i="3"/>
  <c r="D495" i="3"/>
  <c r="E495" i="3"/>
  <c r="F495" i="3"/>
  <c r="G495" i="3"/>
  <c r="H495" i="3"/>
  <c r="I495" i="3"/>
  <c r="J495" i="3"/>
  <c r="K495" i="3"/>
  <c r="L495" i="3"/>
  <c r="M495" i="3"/>
  <c r="A496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A497" i="3"/>
  <c r="B497" i="3"/>
  <c r="C497" i="3"/>
  <c r="D497" i="3"/>
  <c r="E497" i="3"/>
  <c r="F497" i="3"/>
  <c r="G497" i="3"/>
  <c r="H497" i="3"/>
  <c r="I497" i="3"/>
  <c r="J497" i="3"/>
  <c r="K497" i="3"/>
  <c r="L497" i="3"/>
  <c r="M497" i="3"/>
  <c r="A498" i="3"/>
  <c r="B498" i="3"/>
  <c r="C498" i="3"/>
  <c r="D498" i="3"/>
  <c r="E498" i="3"/>
  <c r="F498" i="3"/>
  <c r="G498" i="3"/>
  <c r="H498" i="3"/>
  <c r="I498" i="3"/>
  <c r="J498" i="3"/>
  <c r="K498" i="3"/>
  <c r="L498" i="3"/>
  <c r="M498" i="3"/>
  <c r="A499" i="3"/>
  <c r="B499" i="3"/>
  <c r="C499" i="3"/>
  <c r="D499" i="3"/>
  <c r="E499" i="3"/>
  <c r="F499" i="3"/>
  <c r="G499" i="3"/>
  <c r="H499" i="3"/>
  <c r="I499" i="3"/>
  <c r="J499" i="3"/>
  <c r="K499" i="3"/>
  <c r="L499" i="3"/>
  <c r="M499" i="3"/>
  <c r="A500" i="3"/>
  <c r="B500" i="3"/>
  <c r="C500" i="3"/>
  <c r="D500" i="3"/>
  <c r="E500" i="3"/>
  <c r="F500" i="3"/>
  <c r="G500" i="3"/>
  <c r="H500" i="3"/>
  <c r="I500" i="3"/>
  <c r="J500" i="3"/>
  <c r="K500" i="3"/>
  <c r="L500" i="3"/>
  <c r="M500" i="3"/>
  <c r="A501" i="3"/>
  <c r="B501" i="3"/>
  <c r="C501" i="3"/>
  <c r="D501" i="3"/>
  <c r="E501" i="3"/>
  <c r="F501" i="3"/>
  <c r="G501" i="3"/>
  <c r="H501" i="3"/>
  <c r="I501" i="3"/>
  <c r="J501" i="3"/>
  <c r="K501" i="3"/>
  <c r="L501" i="3"/>
  <c r="M501" i="3"/>
  <c r="A502" i="3"/>
  <c r="B502" i="3"/>
  <c r="C502" i="3"/>
  <c r="D502" i="3"/>
  <c r="E502" i="3"/>
  <c r="F502" i="3"/>
  <c r="G502" i="3"/>
  <c r="H502" i="3"/>
  <c r="I502" i="3"/>
  <c r="J502" i="3"/>
  <c r="K502" i="3"/>
  <c r="L502" i="3"/>
  <c r="M502" i="3"/>
  <c r="A503" i="3"/>
  <c r="B503" i="3"/>
  <c r="C503" i="3"/>
  <c r="D503" i="3"/>
  <c r="E503" i="3"/>
  <c r="F503" i="3"/>
  <c r="G503" i="3"/>
  <c r="H503" i="3"/>
  <c r="I503" i="3"/>
  <c r="J503" i="3"/>
  <c r="K503" i="3"/>
  <c r="L503" i="3"/>
  <c r="M503" i="3"/>
  <c r="A504" i="3"/>
  <c r="B504" i="3"/>
  <c r="C504" i="3"/>
  <c r="D504" i="3"/>
  <c r="E504" i="3"/>
  <c r="F504" i="3"/>
  <c r="G504" i="3"/>
  <c r="H504" i="3"/>
  <c r="I504" i="3"/>
  <c r="J504" i="3"/>
  <c r="K504" i="3"/>
  <c r="L504" i="3"/>
  <c r="M504" i="3"/>
  <c r="A505" i="3"/>
  <c r="B505" i="3"/>
  <c r="C505" i="3"/>
  <c r="D505" i="3"/>
  <c r="E505" i="3"/>
  <c r="F505" i="3"/>
  <c r="G505" i="3"/>
  <c r="H505" i="3"/>
  <c r="I505" i="3"/>
  <c r="J505" i="3"/>
  <c r="K505" i="3"/>
  <c r="L505" i="3"/>
  <c r="M505" i="3"/>
  <c r="A506" i="3"/>
  <c r="B506" i="3"/>
  <c r="C506" i="3"/>
  <c r="D506" i="3"/>
  <c r="E506" i="3"/>
  <c r="F506" i="3"/>
  <c r="G506" i="3"/>
  <c r="H506" i="3"/>
  <c r="I506" i="3"/>
  <c r="J506" i="3"/>
  <c r="K506" i="3"/>
  <c r="L506" i="3"/>
  <c r="M506" i="3"/>
  <c r="A507" i="3"/>
  <c r="B507" i="3"/>
  <c r="C507" i="3"/>
  <c r="D507" i="3"/>
  <c r="E507" i="3"/>
  <c r="F507" i="3"/>
  <c r="G507" i="3"/>
  <c r="H507" i="3"/>
  <c r="I507" i="3"/>
  <c r="J507" i="3"/>
  <c r="K507" i="3"/>
  <c r="L507" i="3"/>
  <c r="M507" i="3"/>
  <c r="A508" i="3"/>
  <c r="B508" i="3"/>
  <c r="C508" i="3"/>
  <c r="D508" i="3"/>
  <c r="E508" i="3"/>
  <c r="F508" i="3"/>
  <c r="G508" i="3"/>
  <c r="H508" i="3"/>
  <c r="I508" i="3"/>
  <c r="J508" i="3"/>
  <c r="K508" i="3"/>
  <c r="L508" i="3"/>
  <c r="M508" i="3"/>
  <c r="A509" i="3"/>
  <c r="B509" i="3"/>
  <c r="C509" i="3"/>
  <c r="D509" i="3"/>
  <c r="E509" i="3"/>
  <c r="F509" i="3"/>
  <c r="G509" i="3"/>
  <c r="H509" i="3"/>
  <c r="I509" i="3"/>
  <c r="J509" i="3"/>
  <c r="K509" i="3"/>
  <c r="L509" i="3"/>
  <c r="M509" i="3"/>
  <c r="A510" i="3"/>
  <c r="B510" i="3"/>
  <c r="C510" i="3"/>
  <c r="D510" i="3"/>
  <c r="E510" i="3"/>
  <c r="F510" i="3"/>
  <c r="G510" i="3"/>
  <c r="H510" i="3"/>
  <c r="I510" i="3"/>
  <c r="J510" i="3"/>
  <c r="K510" i="3"/>
  <c r="L510" i="3"/>
  <c r="M510" i="3"/>
  <c r="A511" i="3"/>
  <c r="B511" i="3"/>
  <c r="C511" i="3"/>
  <c r="D511" i="3"/>
  <c r="E511" i="3"/>
  <c r="F511" i="3"/>
  <c r="G511" i="3"/>
  <c r="H511" i="3"/>
  <c r="I511" i="3"/>
  <c r="J511" i="3"/>
  <c r="K511" i="3"/>
  <c r="L511" i="3"/>
  <c r="M511" i="3"/>
  <c r="A512" i="3"/>
  <c r="B512" i="3"/>
  <c r="C512" i="3"/>
  <c r="D512" i="3"/>
  <c r="E512" i="3"/>
  <c r="F512" i="3"/>
  <c r="G512" i="3"/>
  <c r="H512" i="3"/>
  <c r="I512" i="3"/>
  <c r="J512" i="3"/>
  <c r="K512" i="3"/>
  <c r="L512" i="3"/>
  <c r="M512" i="3"/>
  <c r="A513" i="3"/>
  <c r="B513" i="3"/>
  <c r="C513" i="3"/>
  <c r="D513" i="3"/>
  <c r="E513" i="3"/>
  <c r="F513" i="3"/>
  <c r="G513" i="3"/>
  <c r="H513" i="3"/>
  <c r="I513" i="3"/>
  <c r="J513" i="3"/>
  <c r="K513" i="3"/>
  <c r="L513" i="3"/>
  <c r="M513" i="3"/>
  <c r="A514" i="3"/>
  <c r="B514" i="3"/>
  <c r="C514" i="3"/>
  <c r="D514" i="3"/>
  <c r="E514" i="3"/>
  <c r="F514" i="3"/>
  <c r="G514" i="3"/>
  <c r="H514" i="3"/>
  <c r="I514" i="3"/>
  <c r="J514" i="3"/>
  <c r="K514" i="3"/>
  <c r="L514" i="3"/>
  <c r="M514" i="3"/>
  <c r="A515" i="3"/>
  <c r="B515" i="3"/>
  <c r="C515" i="3"/>
  <c r="D515" i="3"/>
  <c r="E515" i="3"/>
  <c r="F515" i="3"/>
  <c r="G515" i="3"/>
  <c r="H515" i="3"/>
  <c r="I515" i="3"/>
  <c r="J515" i="3"/>
  <c r="K515" i="3"/>
  <c r="L515" i="3"/>
  <c r="M515" i="3"/>
  <c r="A516" i="3"/>
  <c r="B516" i="3"/>
  <c r="C516" i="3"/>
  <c r="D516" i="3"/>
  <c r="E516" i="3"/>
  <c r="F516" i="3"/>
  <c r="G516" i="3"/>
  <c r="H516" i="3"/>
  <c r="I516" i="3"/>
  <c r="J516" i="3"/>
  <c r="K516" i="3"/>
  <c r="L516" i="3"/>
  <c r="M516" i="3"/>
  <c r="A517" i="3"/>
  <c r="B517" i="3"/>
  <c r="C517" i="3"/>
  <c r="D517" i="3"/>
  <c r="E517" i="3"/>
  <c r="F517" i="3"/>
  <c r="G517" i="3"/>
  <c r="H517" i="3"/>
  <c r="I517" i="3"/>
  <c r="J517" i="3"/>
  <c r="K517" i="3"/>
  <c r="L517" i="3"/>
  <c r="M517" i="3"/>
  <c r="A518" i="3"/>
  <c r="B518" i="3"/>
  <c r="C518" i="3"/>
  <c r="D518" i="3"/>
  <c r="E518" i="3"/>
  <c r="F518" i="3"/>
  <c r="G518" i="3"/>
  <c r="H518" i="3"/>
  <c r="I518" i="3"/>
  <c r="J518" i="3"/>
  <c r="K518" i="3"/>
  <c r="L518" i="3"/>
  <c r="M518" i="3"/>
  <c r="A519" i="3"/>
  <c r="B519" i="3"/>
  <c r="C519" i="3"/>
  <c r="D519" i="3"/>
  <c r="E519" i="3"/>
  <c r="F519" i="3"/>
  <c r="G519" i="3"/>
  <c r="H519" i="3"/>
  <c r="I519" i="3"/>
  <c r="J519" i="3"/>
  <c r="K519" i="3"/>
  <c r="L519" i="3"/>
  <c r="M519" i="3"/>
  <c r="A520" i="3"/>
  <c r="B520" i="3"/>
  <c r="C520" i="3"/>
  <c r="D520" i="3"/>
  <c r="E520" i="3"/>
  <c r="F520" i="3"/>
  <c r="G520" i="3"/>
  <c r="H520" i="3"/>
  <c r="I520" i="3"/>
  <c r="J520" i="3"/>
  <c r="K520" i="3"/>
  <c r="L520" i="3"/>
  <c r="M520" i="3"/>
  <c r="A521" i="3"/>
  <c r="B521" i="3"/>
  <c r="C521" i="3"/>
  <c r="D521" i="3"/>
  <c r="E521" i="3"/>
  <c r="F521" i="3"/>
  <c r="G521" i="3"/>
  <c r="H521" i="3"/>
  <c r="I521" i="3"/>
  <c r="J521" i="3"/>
  <c r="K521" i="3"/>
  <c r="L521" i="3"/>
  <c r="M521" i="3"/>
  <c r="A522" i="3"/>
  <c r="B522" i="3"/>
  <c r="C522" i="3"/>
  <c r="D522" i="3"/>
  <c r="E522" i="3"/>
  <c r="F522" i="3"/>
  <c r="G522" i="3"/>
  <c r="H522" i="3"/>
  <c r="I522" i="3"/>
  <c r="J522" i="3"/>
  <c r="K522" i="3"/>
  <c r="L522" i="3"/>
  <c r="M522" i="3"/>
  <c r="A523" i="3"/>
  <c r="B523" i="3"/>
  <c r="C523" i="3"/>
  <c r="D523" i="3"/>
  <c r="E523" i="3"/>
  <c r="F523" i="3"/>
  <c r="G523" i="3"/>
  <c r="H523" i="3"/>
  <c r="I523" i="3"/>
  <c r="J523" i="3"/>
  <c r="K523" i="3"/>
  <c r="L523" i="3"/>
  <c r="M523" i="3"/>
  <c r="A524" i="3"/>
  <c r="B524" i="3"/>
  <c r="C524" i="3"/>
  <c r="D524" i="3"/>
  <c r="E524" i="3"/>
  <c r="F524" i="3"/>
  <c r="G524" i="3"/>
  <c r="H524" i="3"/>
  <c r="I524" i="3"/>
  <c r="J524" i="3"/>
  <c r="K524" i="3"/>
  <c r="L524" i="3"/>
  <c r="M524" i="3"/>
  <c r="A525" i="3"/>
  <c r="B525" i="3"/>
  <c r="C525" i="3"/>
  <c r="D525" i="3"/>
  <c r="E525" i="3"/>
  <c r="F525" i="3"/>
  <c r="G525" i="3"/>
  <c r="H525" i="3"/>
  <c r="I525" i="3"/>
  <c r="J525" i="3"/>
  <c r="K525" i="3"/>
  <c r="L525" i="3"/>
  <c r="M525" i="3"/>
  <c r="A526" i="3"/>
  <c r="B526" i="3"/>
  <c r="C526" i="3"/>
  <c r="D526" i="3"/>
  <c r="E526" i="3"/>
  <c r="F526" i="3"/>
  <c r="G526" i="3"/>
  <c r="H526" i="3"/>
  <c r="I526" i="3"/>
  <c r="J526" i="3"/>
  <c r="K526" i="3"/>
  <c r="L526" i="3"/>
  <c r="M526" i="3"/>
  <c r="A527" i="3"/>
  <c r="B527" i="3"/>
  <c r="C527" i="3"/>
  <c r="D527" i="3"/>
  <c r="E527" i="3"/>
  <c r="F527" i="3"/>
  <c r="G527" i="3"/>
  <c r="H527" i="3"/>
  <c r="I527" i="3"/>
  <c r="J527" i="3"/>
  <c r="K527" i="3"/>
  <c r="L527" i="3"/>
  <c r="M527" i="3"/>
  <c r="A528" i="3"/>
  <c r="B528" i="3"/>
  <c r="C528" i="3"/>
  <c r="D528" i="3"/>
  <c r="E528" i="3"/>
  <c r="F528" i="3"/>
  <c r="G528" i="3"/>
  <c r="H528" i="3"/>
  <c r="I528" i="3"/>
  <c r="J528" i="3"/>
  <c r="K528" i="3"/>
  <c r="L528" i="3"/>
  <c r="M528" i="3"/>
  <c r="A529" i="3"/>
  <c r="B529" i="3"/>
  <c r="C529" i="3"/>
  <c r="D529" i="3"/>
  <c r="E529" i="3"/>
  <c r="F529" i="3"/>
  <c r="G529" i="3"/>
  <c r="H529" i="3"/>
  <c r="I529" i="3"/>
  <c r="J529" i="3"/>
  <c r="K529" i="3"/>
  <c r="L529" i="3"/>
  <c r="M529" i="3"/>
  <c r="A530" i="3"/>
  <c r="B530" i="3"/>
  <c r="C530" i="3"/>
  <c r="D530" i="3"/>
  <c r="E530" i="3"/>
  <c r="F530" i="3"/>
  <c r="G530" i="3"/>
  <c r="H530" i="3"/>
  <c r="I530" i="3"/>
  <c r="J530" i="3"/>
  <c r="K530" i="3"/>
  <c r="L530" i="3"/>
  <c r="M530" i="3"/>
  <c r="A531" i="3"/>
  <c r="B531" i="3"/>
  <c r="C531" i="3"/>
  <c r="D531" i="3"/>
  <c r="E531" i="3"/>
  <c r="F531" i="3"/>
  <c r="G531" i="3"/>
  <c r="H531" i="3"/>
  <c r="I531" i="3"/>
  <c r="J531" i="3"/>
  <c r="K531" i="3"/>
  <c r="L531" i="3"/>
  <c r="M531" i="3"/>
  <c r="A532" i="3"/>
  <c r="B532" i="3"/>
  <c r="C532" i="3"/>
  <c r="D532" i="3"/>
  <c r="E532" i="3"/>
  <c r="F532" i="3"/>
  <c r="G532" i="3"/>
  <c r="H532" i="3"/>
  <c r="I532" i="3"/>
  <c r="J532" i="3"/>
  <c r="K532" i="3"/>
  <c r="L532" i="3"/>
  <c r="M532" i="3"/>
  <c r="A533" i="3"/>
  <c r="B533" i="3"/>
  <c r="C533" i="3"/>
  <c r="D533" i="3"/>
  <c r="E533" i="3"/>
  <c r="F533" i="3"/>
  <c r="G533" i="3"/>
  <c r="H533" i="3"/>
  <c r="I533" i="3"/>
  <c r="J533" i="3"/>
  <c r="K533" i="3"/>
  <c r="L533" i="3"/>
  <c r="M533" i="3"/>
  <c r="A534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A535" i="3"/>
  <c r="B535" i="3"/>
  <c r="C535" i="3"/>
  <c r="D535" i="3"/>
  <c r="E535" i="3"/>
  <c r="F535" i="3"/>
  <c r="G535" i="3"/>
  <c r="H535" i="3"/>
  <c r="I535" i="3"/>
  <c r="J535" i="3"/>
  <c r="K535" i="3"/>
  <c r="L535" i="3"/>
  <c r="M535" i="3"/>
  <c r="A536" i="3"/>
  <c r="B536" i="3"/>
  <c r="C536" i="3"/>
  <c r="D536" i="3"/>
  <c r="E536" i="3"/>
  <c r="F536" i="3"/>
  <c r="G536" i="3"/>
  <c r="H536" i="3"/>
  <c r="I536" i="3"/>
  <c r="J536" i="3"/>
  <c r="K536" i="3"/>
  <c r="L536" i="3"/>
  <c r="M536" i="3"/>
  <c r="A537" i="3"/>
  <c r="B537" i="3"/>
  <c r="C537" i="3"/>
  <c r="D537" i="3"/>
  <c r="E537" i="3"/>
  <c r="F537" i="3"/>
  <c r="G537" i="3"/>
  <c r="H537" i="3"/>
  <c r="I537" i="3"/>
  <c r="J537" i="3"/>
  <c r="K537" i="3"/>
  <c r="L537" i="3"/>
  <c r="M537" i="3"/>
  <c r="A538" i="3"/>
  <c r="B538" i="3"/>
  <c r="C538" i="3"/>
  <c r="D538" i="3"/>
  <c r="E538" i="3"/>
  <c r="F538" i="3"/>
  <c r="G538" i="3"/>
  <c r="H538" i="3"/>
  <c r="I538" i="3"/>
  <c r="J538" i="3"/>
  <c r="K538" i="3"/>
  <c r="L538" i="3"/>
  <c r="M538" i="3"/>
  <c r="A539" i="3"/>
  <c r="B539" i="3"/>
  <c r="C539" i="3"/>
  <c r="D539" i="3"/>
  <c r="E539" i="3"/>
  <c r="F539" i="3"/>
  <c r="G539" i="3"/>
  <c r="H539" i="3"/>
  <c r="I539" i="3"/>
  <c r="J539" i="3"/>
  <c r="K539" i="3"/>
  <c r="L539" i="3"/>
  <c r="M539" i="3"/>
  <c r="A540" i="3"/>
  <c r="B540" i="3"/>
  <c r="C540" i="3"/>
  <c r="D540" i="3"/>
  <c r="E540" i="3"/>
  <c r="F540" i="3"/>
  <c r="G540" i="3"/>
  <c r="H540" i="3"/>
  <c r="I540" i="3"/>
  <c r="J540" i="3"/>
  <c r="K540" i="3"/>
  <c r="L540" i="3"/>
  <c r="M540" i="3"/>
  <c r="A541" i="3"/>
  <c r="B541" i="3"/>
  <c r="C541" i="3"/>
  <c r="D541" i="3"/>
  <c r="E541" i="3"/>
  <c r="F541" i="3"/>
  <c r="G541" i="3"/>
  <c r="H541" i="3"/>
  <c r="I541" i="3"/>
  <c r="J541" i="3"/>
  <c r="K541" i="3"/>
  <c r="L541" i="3"/>
  <c r="M541" i="3"/>
  <c r="A542" i="3"/>
  <c r="B542" i="3"/>
  <c r="C542" i="3"/>
  <c r="D542" i="3"/>
  <c r="E542" i="3"/>
  <c r="F542" i="3"/>
  <c r="G542" i="3"/>
  <c r="H542" i="3"/>
  <c r="I542" i="3"/>
  <c r="J542" i="3"/>
  <c r="K542" i="3"/>
  <c r="L542" i="3"/>
  <c r="M542" i="3"/>
  <c r="A543" i="3"/>
  <c r="B543" i="3"/>
  <c r="C543" i="3"/>
  <c r="D543" i="3"/>
  <c r="E543" i="3"/>
  <c r="F543" i="3"/>
  <c r="G543" i="3"/>
  <c r="H543" i="3"/>
  <c r="I543" i="3"/>
  <c r="J543" i="3"/>
  <c r="K543" i="3"/>
  <c r="L543" i="3"/>
  <c r="M543" i="3"/>
  <c r="A544" i="3"/>
  <c r="B544" i="3"/>
  <c r="C544" i="3"/>
  <c r="D544" i="3"/>
  <c r="E544" i="3"/>
  <c r="F544" i="3"/>
  <c r="G544" i="3"/>
  <c r="H544" i="3"/>
  <c r="I544" i="3"/>
  <c r="J544" i="3"/>
  <c r="K544" i="3"/>
  <c r="L544" i="3"/>
  <c r="M544" i="3"/>
  <c r="A545" i="3"/>
  <c r="B545" i="3"/>
  <c r="C545" i="3"/>
  <c r="D545" i="3"/>
  <c r="E545" i="3"/>
  <c r="F545" i="3"/>
  <c r="G545" i="3"/>
  <c r="H545" i="3"/>
  <c r="I545" i="3"/>
  <c r="J545" i="3"/>
  <c r="K545" i="3"/>
  <c r="L545" i="3"/>
  <c r="M545" i="3"/>
  <c r="A546" i="3"/>
  <c r="B546" i="3"/>
  <c r="C546" i="3"/>
  <c r="D546" i="3"/>
  <c r="E546" i="3"/>
  <c r="F546" i="3"/>
  <c r="G546" i="3"/>
  <c r="H546" i="3"/>
  <c r="I546" i="3"/>
  <c r="J546" i="3"/>
  <c r="K546" i="3"/>
  <c r="L546" i="3"/>
  <c r="M546" i="3"/>
  <c r="A547" i="3"/>
  <c r="B547" i="3"/>
  <c r="C547" i="3"/>
  <c r="D547" i="3"/>
  <c r="E547" i="3"/>
  <c r="F547" i="3"/>
  <c r="G547" i="3"/>
  <c r="H547" i="3"/>
  <c r="I547" i="3"/>
  <c r="J547" i="3"/>
  <c r="K547" i="3"/>
  <c r="L547" i="3"/>
  <c r="M547" i="3"/>
  <c r="A548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A549" i="3"/>
  <c r="B549" i="3"/>
  <c r="C549" i="3"/>
  <c r="D549" i="3"/>
  <c r="E549" i="3"/>
  <c r="F549" i="3"/>
  <c r="G549" i="3"/>
  <c r="H549" i="3"/>
  <c r="I549" i="3"/>
  <c r="J549" i="3"/>
  <c r="K549" i="3"/>
  <c r="L549" i="3"/>
  <c r="M549" i="3"/>
  <c r="A550" i="3"/>
  <c r="B550" i="3"/>
  <c r="C550" i="3"/>
  <c r="D550" i="3"/>
  <c r="E550" i="3"/>
  <c r="F550" i="3"/>
  <c r="G550" i="3"/>
  <c r="H550" i="3"/>
  <c r="I550" i="3"/>
  <c r="J550" i="3"/>
  <c r="K550" i="3"/>
  <c r="L550" i="3"/>
  <c r="M550" i="3"/>
  <c r="A551" i="3"/>
  <c r="B551" i="3"/>
  <c r="C551" i="3"/>
  <c r="D551" i="3"/>
  <c r="E551" i="3"/>
  <c r="F551" i="3"/>
  <c r="G551" i="3"/>
  <c r="H551" i="3"/>
  <c r="I551" i="3"/>
  <c r="J551" i="3"/>
  <c r="K551" i="3"/>
  <c r="L551" i="3"/>
  <c r="M551" i="3"/>
  <c r="A552" i="3"/>
  <c r="B552" i="3"/>
  <c r="C552" i="3"/>
  <c r="D552" i="3"/>
  <c r="E552" i="3"/>
  <c r="F552" i="3"/>
  <c r="G552" i="3"/>
  <c r="H552" i="3"/>
  <c r="I552" i="3"/>
  <c r="J552" i="3"/>
  <c r="K552" i="3"/>
  <c r="L552" i="3"/>
  <c r="M552" i="3"/>
  <c r="A553" i="3"/>
  <c r="B553" i="3"/>
  <c r="C553" i="3"/>
  <c r="D553" i="3"/>
  <c r="E553" i="3"/>
  <c r="F553" i="3"/>
  <c r="G553" i="3"/>
  <c r="H553" i="3"/>
  <c r="I553" i="3"/>
  <c r="J553" i="3"/>
  <c r="K553" i="3"/>
  <c r="L553" i="3"/>
  <c r="M553" i="3"/>
  <c r="A554" i="3"/>
  <c r="B554" i="3"/>
  <c r="C554" i="3"/>
  <c r="D554" i="3"/>
  <c r="E554" i="3"/>
  <c r="F554" i="3"/>
  <c r="G554" i="3"/>
  <c r="H554" i="3"/>
  <c r="I554" i="3"/>
  <c r="J554" i="3"/>
  <c r="K554" i="3"/>
  <c r="L554" i="3"/>
  <c r="M554" i="3"/>
  <c r="A555" i="3"/>
  <c r="B555" i="3"/>
  <c r="C555" i="3"/>
  <c r="D555" i="3"/>
  <c r="E555" i="3"/>
  <c r="F555" i="3"/>
  <c r="G555" i="3"/>
  <c r="H555" i="3"/>
  <c r="I555" i="3"/>
  <c r="J555" i="3"/>
  <c r="K555" i="3"/>
  <c r="L555" i="3"/>
  <c r="M555" i="3"/>
  <c r="A556" i="3"/>
  <c r="B556" i="3"/>
  <c r="C556" i="3"/>
  <c r="D556" i="3"/>
  <c r="E556" i="3"/>
  <c r="F556" i="3"/>
  <c r="G556" i="3"/>
  <c r="H556" i="3"/>
  <c r="I556" i="3"/>
  <c r="J556" i="3"/>
  <c r="K556" i="3"/>
  <c r="L556" i="3"/>
  <c r="M556" i="3"/>
  <c r="A557" i="3"/>
  <c r="B557" i="3"/>
  <c r="C557" i="3"/>
  <c r="D557" i="3"/>
  <c r="E557" i="3"/>
  <c r="F557" i="3"/>
  <c r="G557" i="3"/>
  <c r="H557" i="3"/>
  <c r="I557" i="3"/>
  <c r="J557" i="3"/>
  <c r="K557" i="3"/>
  <c r="L557" i="3"/>
  <c r="M557" i="3"/>
  <c r="A558" i="3"/>
  <c r="B558" i="3"/>
  <c r="C558" i="3"/>
  <c r="D558" i="3"/>
  <c r="E558" i="3"/>
  <c r="F558" i="3"/>
  <c r="G558" i="3"/>
  <c r="H558" i="3"/>
  <c r="I558" i="3"/>
  <c r="J558" i="3"/>
  <c r="K558" i="3"/>
  <c r="L558" i="3"/>
  <c r="M558" i="3"/>
  <c r="A559" i="3"/>
  <c r="B559" i="3"/>
  <c r="C559" i="3"/>
  <c r="D559" i="3"/>
  <c r="E559" i="3"/>
  <c r="F559" i="3"/>
  <c r="G559" i="3"/>
  <c r="H559" i="3"/>
  <c r="I559" i="3"/>
  <c r="J559" i="3"/>
  <c r="K559" i="3"/>
  <c r="L559" i="3"/>
  <c r="M559" i="3"/>
  <c r="A560" i="3"/>
  <c r="B560" i="3"/>
  <c r="C560" i="3"/>
  <c r="D560" i="3"/>
  <c r="E560" i="3"/>
  <c r="F560" i="3"/>
  <c r="G560" i="3"/>
  <c r="H560" i="3"/>
  <c r="I560" i="3"/>
  <c r="J560" i="3"/>
  <c r="K560" i="3"/>
  <c r="L560" i="3"/>
  <c r="M560" i="3"/>
  <c r="A561" i="3"/>
  <c r="B561" i="3"/>
  <c r="C561" i="3"/>
  <c r="D561" i="3"/>
  <c r="E561" i="3"/>
  <c r="F561" i="3"/>
  <c r="G561" i="3"/>
  <c r="H561" i="3"/>
  <c r="I561" i="3"/>
  <c r="J561" i="3"/>
  <c r="K561" i="3"/>
  <c r="L561" i="3"/>
  <c r="M561" i="3"/>
  <c r="A562" i="3"/>
  <c r="B562" i="3"/>
  <c r="C562" i="3"/>
  <c r="D562" i="3"/>
  <c r="E562" i="3"/>
  <c r="F562" i="3"/>
  <c r="G562" i="3"/>
  <c r="H562" i="3"/>
  <c r="I562" i="3"/>
  <c r="J562" i="3"/>
  <c r="K562" i="3"/>
  <c r="L562" i="3"/>
  <c r="M562" i="3"/>
  <c r="A563" i="3"/>
  <c r="B563" i="3"/>
  <c r="C563" i="3"/>
  <c r="D563" i="3"/>
  <c r="E563" i="3"/>
  <c r="F563" i="3"/>
  <c r="G563" i="3"/>
  <c r="H563" i="3"/>
  <c r="I563" i="3"/>
  <c r="J563" i="3"/>
  <c r="K563" i="3"/>
  <c r="L563" i="3"/>
  <c r="M563" i="3"/>
  <c r="A564" i="3"/>
  <c r="B564" i="3"/>
  <c r="C564" i="3"/>
  <c r="D564" i="3"/>
  <c r="E564" i="3"/>
  <c r="F564" i="3"/>
  <c r="G564" i="3"/>
  <c r="H564" i="3"/>
  <c r="I564" i="3"/>
  <c r="J564" i="3"/>
  <c r="K564" i="3"/>
  <c r="L564" i="3"/>
  <c r="M564" i="3"/>
  <c r="A565" i="3"/>
  <c r="B565" i="3"/>
  <c r="C565" i="3"/>
  <c r="D565" i="3"/>
  <c r="E565" i="3"/>
  <c r="F565" i="3"/>
  <c r="G565" i="3"/>
  <c r="H565" i="3"/>
  <c r="I565" i="3"/>
  <c r="J565" i="3"/>
  <c r="K565" i="3"/>
  <c r="L565" i="3"/>
  <c r="M565" i="3"/>
  <c r="A566" i="3"/>
  <c r="B566" i="3"/>
  <c r="C566" i="3"/>
  <c r="D566" i="3"/>
  <c r="E566" i="3"/>
  <c r="F566" i="3"/>
  <c r="G566" i="3"/>
  <c r="H566" i="3"/>
  <c r="I566" i="3"/>
  <c r="J566" i="3"/>
  <c r="K566" i="3"/>
  <c r="L566" i="3"/>
  <c r="M566" i="3"/>
  <c r="A567" i="3"/>
  <c r="B567" i="3"/>
  <c r="C567" i="3"/>
  <c r="D567" i="3"/>
  <c r="E567" i="3"/>
  <c r="F567" i="3"/>
  <c r="G567" i="3"/>
  <c r="H567" i="3"/>
  <c r="I567" i="3"/>
  <c r="J567" i="3"/>
  <c r="K567" i="3"/>
  <c r="L567" i="3"/>
  <c r="M567" i="3"/>
  <c r="A568" i="3"/>
  <c r="B568" i="3"/>
  <c r="C568" i="3"/>
  <c r="D568" i="3"/>
  <c r="E568" i="3"/>
  <c r="F568" i="3"/>
  <c r="G568" i="3"/>
  <c r="H568" i="3"/>
  <c r="I568" i="3"/>
  <c r="J568" i="3"/>
  <c r="K568" i="3"/>
  <c r="L568" i="3"/>
  <c r="M568" i="3"/>
  <c r="A569" i="3"/>
  <c r="B569" i="3"/>
  <c r="C569" i="3"/>
  <c r="D569" i="3"/>
  <c r="E569" i="3"/>
  <c r="F569" i="3"/>
  <c r="G569" i="3"/>
  <c r="H569" i="3"/>
  <c r="I569" i="3"/>
  <c r="J569" i="3"/>
  <c r="K569" i="3"/>
  <c r="L569" i="3"/>
  <c r="M569" i="3"/>
  <c r="A570" i="3"/>
  <c r="B570" i="3"/>
  <c r="C570" i="3"/>
  <c r="D570" i="3"/>
  <c r="E570" i="3"/>
  <c r="F570" i="3"/>
  <c r="G570" i="3"/>
  <c r="H570" i="3"/>
  <c r="I570" i="3"/>
  <c r="J570" i="3"/>
  <c r="K570" i="3"/>
  <c r="L570" i="3"/>
  <c r="M570" i="3"/>
  <c r="A571" i="3"/>
  <c r="B571" i="3"/>
  <c r="C571" i="3"/>
  <c r="D571" i="3"/>
  <c r="E571" i="3"/>
  <c r="F571" i="3"/>
  <c r="G571" i="3"/>
  <c r="H571" i="3"/>
  <c r="I571" i="3"/>
  <c r="J571" i="3"/>
  <c r="K571" i="3"/>
  <c r="L571" i="3"/>
  <c r="M571" i="3"/>
  <c r="A572" i="3"/>
  <c r="B572" i="3"/>
  <c r="C572" i="3"/>
  <c r="D572" i="3"/>
  <c r="E572" i="3"/>
  <c r="F572" i="3"/>
  <c r="G572" i="3"/>
  <c r="H572" i="3"/>
  <c r="I572" i="3"/>
  <c r="J572" i="3"/>
  <c r="K572" i="3"/>
  <c r="L572" i="3"/>
  <c r="M572" i="3"/>
  <c r="A573" i="3"/>
  <c r="B573" i="3"/>
  <c r="C573" i="3"/>
  <c r="D573" i="3"/>
  <c r="E573" i="3"/>
  <c r="F573" i="3"/>
  <c r="G573" i="3"/>
  <c r="H573" i="3"/>
  <c r="I573" i="3"/>
  <c r="J573" i="3"/>
  <c r="K573" i="3"/>
  <c r="L573" i="3"/>
  <c r="M573" i="3"/>
  <c r="A574" i="3"/>
  <c r="B574" i="3"/>
  <c r="C574" i="3"/>
  <c r="D574" i="3"/>
  <c r="E574" i="3"/>
  <c r="F574" i="3"/>
  <c r="G574" i="3"/>
  <c r="H574" i="3"/>
  <c r="I574" i="3"/>
  <c r="J574" i="3"/>
  <c r="K574" i="3"/>
  <c r="L574" i="3"/>
  <c r="M574" i="3"/>
  <c r="A575" i="3"/>
  <c r="B575" i="3"/>
  <c r="C575" i="3"/>
  <c r="D575" i="3"/>
  <c r="E575" i="3"/>
  <c r="F575" i="3"/>
  <c r="G575" i="3"/>
  <c r="H575" i="3"/>
  <c r="I575" i="3"/>
  <c r="J575" i="3"/>
  <c r="K575" i="3"/>
  <c r="L575" i="3"/>
  <c r="M575" i="3"/>
  <c r="A576" i="3"/>
  <c r="B576" i="3"/>
  <c r="C576" i="3"/>
  <c r="D576" i="3"/>
  <c r="E576" i="3"/>
  <c r="F576" i="3"/>
  <c r="G576" i="3"/>
  <c r="H576" i="3"/>
  <c r="I576" i="3"/>
  <c r="J576" i="3"/>
  <c r="K576" i="3"/>
  <c r="L576" i="3"/>
  <c r="M576" i="3"/>
  <c r="A577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A578" i="3"/>
  <c r="B578" i="3"/>
  <c r="C578" i="3"/>
  <c r="D578" i="3"/>
  <c r="E578" i="3"/>
  <c r="F578" i="3"/>
  <c r="G578" i="3"/>
  <c r="H578" i="3"/>
  <c r="I578" i="3"/>
  <c r="J578" i="3"/>
  <c r="K578" i="3"/>
  <c r="L578" i="3"/>
  <c r="M578" i="3"/>
  <c r="A579" i="3"/>
  <c r="B579" i="3"/>
  <c r="C579" i="3"/>
  <c r="D579" i="3"/>
  <c r="E579" i="3"/>
  <c r="F579" i="3"/>
  <c r="G579" i="3"/>
  <c r="H579" i="3"/>
  <c r="I579" i="3"/>
  <c r="J579" i="3"/>
  <c r="K579" i="3"/>
  <c r="L579" i="3"/>
  <c r="M579" i="3"/>
  <c r="A580" i="3"/>
  <c r="B580" i="3"/>
  <c r="C580" i="3"/>
  <c r="D580" i="3"/>
  <c r="E580" i="3"/>
  <c r="F580" i="3"/>
  <c r="G580" i="3"/>
  <c r="H580" i="3"/>
  <c r="I580" i="3"/>
  <c r="J580" i="3"/>
  <c r="K580" i="3"/>
  <c r="L580" i="3"/>
  <c r="M580" i="3"/>
  <c r="A581" i="3"/>
  <c r="B581" i="3"/>
  <c r="C581" i="3"/>
  <c r="D581" i="3"/>
  <c r="E581" i="3"/>
  <c r="F581" i="3"/>
  <c r="G581" i="3"/>
  <c r="H581" i="3"/>
  <c r="I581" i="3"/>
  <c r="J581" i="3"/>
  <c r="K581" i="3"/>
  <c r="L581" i="3"/>
  <c r="M581" i="3"/>
  <c r="A582" i="3"/>
  <c r="B582" i="3"/>
  <c r="C582" i="3"/>
  <c r="D582" i="3"/>
  <c r="E582" i="3"/>
  <c r="F582" i="3"/>
  <c r="G582" i="3"/>
  <c r="H582" i="3"/>
  <c r="I582" i="3"/>
  <c r="J582" i="3"/>
  <c r="K582" i="3"/>
  <c r="L582" i="3"/>
  <c r="M582" i="3"/>
  <c r="A583" i="3"/>
  <c r="B583" i="3"/>
  <c r="C583" i="3"/>
  <c r="D583" i="3"/>
  <c r="E583" i="3"/>
  <c r="F583" i="3"/>
  <c r="G583" i="3"/>
  <c r="H583" i="3"/>
  <c r="I583" i="3"/>
  <c r="J583" i="3"/>
  <c r="K583" i="3"/>
  <c r="L583" i="3"/>
  <c r="M583" i="3"/>
  <c r="A584" i="3"/>
  <c r="B584" i="3"/>
  <c r="C584" i="3"/>
  <c r="D584" i="3"/>
  <c r="E584" i="3"/>
  <c r="F584" i="3"/>
  <c r="G584" i="3"/>
  <c r="H584" i="3"/>
  <c r="I584" i="3"/>
  <c r="J584" i="3"/>
  <c r="K584" i="3"/>
  <c r="L584" i="3"/>
  <c r="M584" i="3"/>
  <c r="A585" i="3"/>
  <c r="B585" i="3"/>
  <c r="C585" i="3"/>
  <c r="D585" i="3"/>
  <c r="E585" i="3"/>
  <c r="F585" i="3"/>
  <c r="G585" i="3"/>
  <c r="H585" i="3"/>
  <c r="I585" i="3"/>
  <c r="J585" i="3"/>
  <c r="K585" i="3"/>
  <c r="L585" i="3"/>
  <c r="M585" i="3"/>
  <c r="A586" i="3"/>
  <c r="B586" i="3"/>
  <c r="C586" i="3"/>
  <c r="D586" i="3"/>
  <c r="E586" i="3"/>
  <c r="F586" i="3"/>
  <c r="G586" i="3"/>
  <c r="H586" i="3"/>
  <c r="I586" i="3"/>
  <c r="J586" i="3"/>
  <c r="K586" i="3"/>
  <c r="L586" i="3"/>
  <c r="M586" i="3"/>
  <c r="A587" i="3"/>
  <c r="B587" i="3"/>
  <c r="C587" i="3"/>
  <c r="D587" i="3"/>
  <c r="E587" i="3"/>
  <c r="F587" i="3"/>
  <c r="G587" i="3"/>
  <c r="H587" i="3"/>
  <c r="I587" i="3"/>
  <c r="J587" i="3"/>
  <c r="K587" i="3"/>
  <c r="L587" i="3"/>
  <c r="M587" i="3"/>
  <c r="A588" i="3"/>
  <c r="B588" i="3"/>
  <c r="C588" i="3"/>
  <c r="D588" i="3"/>
  <c r="E588" i="3"/>
  <c r="F588" i="3"/>
  <c r="G588" i="3"/>
  <c r="H588" i="3"/>
  <c r="I588" i="3"/>
  <c r="J588" i="3"/>
  <c r="K588" i="3"/>
  <c r="L588" i="3"/>
  <c r="M588" i="3"/>
  <c r="A589" i="3"/>
  <c r="B589" i="3"/>
  <c r="C589" i="3"/>
  <c r="D589" i="3"/>
  <c r="E589" i="3"/>
  <c r="F589" i="3"/>
  <c r="G589" i="3"/>
  <c r="H589" i="3"/>
  <c r="I589" i="3"/>
  <c r="J589" i="3"/>
  <c r="K589" i="3"/>
  <c r="L589" i="3"/>
  <c r="M589" i="3"/>
  <c r="A590" i="3"/>
  <c r="B590" i="3"/>
  <c r="C590" i="3"/>
  <c r="D590" i="3"/>
  <c r="E590" i="3"/>
  <c r="F590" i="3"/>
  <c r="G590" i="3"/>
  <c r="H590" i="3"/>
  <c r="I590" i="3"/>
  <c r="J590" i="3"/>
  <c r="K590" i="3"/>
  <c r="L590" i="3"/>
  <c r="M590" i="3"/>
  <c r="A591" i="3"/>
  <c r="B591" i="3"/>
  <c r="C591" i="3"/>
  <c r="D591" i="3"/>
  <c r="E591" i="3"/>
  <c r="F591" i="3"/>
  <c r="G591" i="3"/>
  <c r="H591" i="3"/>
  <c r="I591" i="3"/>
  <c r="J591" i="3"/>
  <c r="K591" i="3"/>
  <c r="L591" i="3"/>
  <c r="M591" i="3"/>
  <c r="A592" i="3"/>
  <c r="B592" i="3"/>
  <c r="C592" i="3"/>
  <c r="D592" i="3"/>
  <c r="E592" i="3"/>
  <c r="F592" i="3"/>
  <c r="G592" i="3"/>
  <c r="H592" i="3"/>
  <c r="I592" i="3"/>
  <c r="J592" i="3"/>
  <c r="K592" i="3"/>
  <c r="L592" i="3"/>
  <c r="M592" i="3"/>
  <c r="A593" i="3"/>
  <c r="B593" i="3"/>
  <c r="C593" i="3"/>
  <c r="D593" i="3"/>
  <c r="E593" i="3"/>
  <c r="F593" i="3"/>
  <c r="G593" i="3"/>
  <c r="H593" i="3"/>
  <c r="I593" i="3"/>
  <c r="J593" i="3"/>
  <c r="K593" i="3"/>
  <c r="L593" i="3"/>
  <c r="M593" i="3"/>
  <c r="A594" i="3"/>
  <c r="B594" i="3"/>
  <c r="C594" i="3"/>
  <c r="D594" i="3"/>
  <c r="E594" i="3"/>
  <c r="F594" i="3"/>
  <c r="G594" i="3"/>
  <c r="H594" i="3"/>
  <c r="I594" i="3"/>
  <c r="J594" i="3"/>
  <c r="K594" i="3"/>
  <c r="L594" i="3"/>
  <c r="M594" i="3"/>
  <c r="A595" i="3"/>
  <c r="B595" i="3"/>
  <c r="C595" i="3"/>
  <c r="D595" i="3"/>
  <c r="E595" i="3"/>
  <c r="F595" i="3"/>
  <c r="G595" i="3"/>
  <c r="H595" i="3"/>
  <c r="I595" i="3"/>
  <c r="J595" i="3"/>
  <c r="K595" i="3"/>
  <c r="L595" i="3"/>
  <c r="M595" i="3"/>
  <c r="A596" i="3"/>
  <c r="B596" i="3"/>
  <c r="C596" i="3"/>
  <c r="D596" i="3"/>
  <c r="E596" i="3"/>
  <c r="F596" i="3"/>
  <c r="G596" i="3"/>
  <c r="H596" i="3"/>
  <c r="I596" i="3"/>
  <c r="J596" i="3"/>
  <c r="K596" i="3"/>
  <c r="L596" i="3"/>
  <c r="M596" i="3"/>
  <c r="A597" i="3"/>
  <c r="B597" i="3"/>
  <c r="C597" i="3"/>
  <c r="D597" i="3"/>
  <c r="E597" i="3"/>
  <c r="F597" i="3"/>
  <c r="G597" i="3"/>
  <c r="H597" i="3"/>
  <c r="I597" i="3"/>
  <c r="J597" i="3"/>
  <c r="K597" i="3"/>
  <c r="L597" i="3"/>
  <c r="M597" i="3"/>
  <c r="A598" i="3"/>
  <c r="B598" i="3"/>
  <c r="C598" i="3"/>
  <c r="D598" i="3"/>
  <c r="E598" i="3"/>
  <c r="F598" i="3"/>
  <c r="G598" i="3"/>
  <c r="H598" i="3"/>
  <c r="I598" i="3"/>
  <c r="J598" i="3"/>
  <c r="K598" i="3"/>
  <c r="L598" i="3"/>
  <c r="M598" i="3"/>
  <c r="A599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A600" i="3"/>
  <c r="B600" i="3"/>
  <c r="C600" i="3"/>
  <c r="D600" i="3"/>
  <c r="E600" i="3"/>
  <c r="F600" i="3"/>
  <c r="G600" i="3"/>
  <c r="H600" i="3"/>
  <c r="I600" i="3"/>
  <c r="J600" i="3"/>
  <c r="K600" i="3"/>
  <c r="L600" i="3"/>
  <c r="M600" i="3"/>
  <c r="A601" i="3"/>
  <c r="B601" i="3"/>
  <c r="C601" i="3"/>
  <c r="D601" i="3"/>
  <c r="E601" i="3"/>
  <c r="F601" i="3"/>
  <c r="G601" i="3"/>
  <c r="H601" i="3"/>
  <c r="I601" i="3"/>
  <c r="J601" i="3"/>
  <c r="K601" i="3"/>
  <c r="L601" i="3"/>
  <c r="M601" i="3"/>
  <c r="A602" i="3"/>
  <c r="B602" i="3"/>
  <c r="C602" i="3"/>
  <c r="D602" i="3"/>
  <c r="E602" i="3"/>
  <c r="F602" i="3"/>
  <c r="G602" i="3"/>
  <c r="H602" i="3"/>
  <c r="I602" i="3"/>
  <c r="J602" i="3"/>
  <c r="K602" i="3"/>
  <c r="L602" i="3"/>
  <c r="M602" i="3"/>
  <c r="A603" i="3"/>
  <c r="B603" i="3"/>
  <c r="C603" i="3"/>
  <c r="D603" i="3"/>
  <c r="E603" i="3"/>
  <c r="F603" i="3"/>
  <c r="G603" i="3"/>
  <c r="H603" i="3"/>
  <c r="I603" i="3"/>
  <c r="J603" i="3"/>
  <c r="K603" i="3"/>
  <c r="L603" i="3"/>
  <c r="M603" i="3"/>
  <c r="A604" i="3"/>
  <c r="B604" i="3"/>
  <c r="C604" i="3"/>
  <c r="D604" i="3"/>
  <c r="E604" i="3"/>
  <c r="F604" i="3"/>
  <c r="G604" i="3"/>
  <c r="H604" i="3"/>
  <c r="I604" i="3"/>
  <c r="J604" i="3"/>
  <c r="K604" i="3"/>
  <c r="L604" i="3"/>
  <c r="M604" i="3"/>
  <c r="A605" i="3"/>
  <c r="B605" i="3"/>
  <c r="C605" i="3"/>
  <c r="D605" i="3"/>
  <c r="E605" i="3"/>
  <c r="F605" i="3"/>
  <c r="G605" i="3"/>
  <c r="H605" i="3"/>
  <c r="I605" i="3"/>
  <c r="J605" i="3"/>
  <c r="K605" i="3"/>
  <c r="L605" i="3"/>
  <c r="M605" i="3"/>
  <c r="A606" i="3"/>
  <c r="B606" i="3"/>
  <c r="C606" i="3"/>
  <c r="D606" i="3"/>
  <c r="E606" i="3"/>
  <c r="F606" i="3"/>
  <c r="G606" i="3"/>
  <c r="H606" i="3"/>
  <c r="I606" i="3"/>
  <c r="J606" i="3"/>
  <c r="K606" i="3"/>
  <c r="L606" i="3"/>
  <c r="M606" i="3"/>
  <c r="A607" i="3"/>
  <c r="B607" i="3"/>
  <c r="C607" i="3"/>
  <c r="D607" i="3"/>
  <c r="E607" i="3"/>
  <c r="F607" i="3"/>
  <c r="G607" i="3"/>
  <c r="H607" i="3"/>
  <c r="I607" i="3"/>
  <c r="J607" i="3"/>
  <c r="K607" i="3"/>
  <c r="L607" i="3"/>
  <c r="M607" i="3"/>
  <c r="A608" i="3"/>
  <c r="B608" i="3"/>
  <c r="C608" i="3"/>
  <c r="D608" i="3"/>
  <c r="E608" i="3"/>
  <c r="F608" i="3"/>
  <c r="G608" i="3"/>
  <c r="H608" i="3"/>
  <c r="I608" i="3"/>
  <c r="J608" i="3"/>
  <c r="K608" i="3"/>
  <c r="L608" i="3"/>
  <c r="M608" i="3"/>
  <c r="A609" i="3"/>
  <c r="B609" i="3"/>
  <c r="C609" i="3"/>
  <c r="D609" i="3"/>
  <c r="E609" i="3"/>
  <c r="F609" i="3"/>
  <c r="G609" i="3"/>
  <c r="H609" i="3"/>
  <c r="I609" i="3"/>
  <c r="J609" i="3"/>
  <c r="K609" i="3"/>
  <c r="L609" i="3"/>
  <c r="M609" i="3"/>
  <c r="A610" i="3"/>
  <c r="B610" i="3"/>
  <c r="C610" i="3"/>
  <c r="D610" i="3"/>
  <c r="E610" i="3"/>
  <c r="F610" i="3"/>
  <c r="G610" i="3"/>
  <c r="H610" i="3"/>
  <c r="I610" i="3"/>
  <c r="J610" i="3"/>
  <c r="K610" i="3"/>
  <c r="L610" i="3"/>
  <c r="M610" i="3"/>
  <c r="A611" i="3"/>
  <c r="B611" i="3"/>
  <c r="C611" i="3"/>
  <c r="D611" i="3"/>
  <c r="E611" i="3"/>
  <c r="F611" i="3"/>
  <c r="G611" i="3"/>
  <c r="H611" i="3"/>
  <c r="I611" i="3"/>
  <c r="J611" i="3"/>
  <c r="K611" i="3"/>
  <c r="L611" i="3"/>
  <c r="M611" i="3"/>
  <c r="A612" i="3"/>
  <c r="B612" i="3"/>
  <c r="C612" i="3"/>
  <c r="D612" i="3"/>
  <c r="E612" i="3"/>
  <c r="F612" i="3"/>
  <c r="G612" i="3"/>
  <c r="H612" i="3"/>
  <c r="I612" i="3"/>
  <c r="J612" i="3"/>
  <c r="K612" i="3"/>
  <c r="L612" i="3"/>
  <c r="M612" i="3"/>
  <c r="A613" i="3"/>
  <c r="B613" i="3"/>
  <c r="C613" i="3"/>
  <c r="D613" i="3"/>
  <c r="E613" i="3"/>
  <c r="F613" i="3"/>
  <c r="G613" i="3"/>
  <c r="H613" i="3"/>
  <c r="I613" i="3"/>
  <c r="J613" i="3"/>
  <c r="K613" i="3"/>
  <c r="L613" i="3"/>
  <c r="M613" i="3"/>
  <c r="A614" i="3"/>
  <c r="B614" i="3"/>
  <c r="C614" i="3"/>
  <c r="D614" i="3"/>
  <c r="E614" i="3"/>
  <c r="F614" i="3"/>
  <c r="G614" i="3"/>
  <c r="H614" i="3"/>
  <c r="I614" i="3"/>
  <c r="J614" i="3"/>
  <c r="K614" i="3"/>
  <c r="L614" i="3"/>
  <c r="M614" i="3"/>
  <c r="A615" i="3"/>
  <c r="B615" i="3"/>
  <c r="C615" i="3"/>
  <c r="D615" i="3"/>
  <c r="E615" i="3"/>
  <c r="F615" i="3"/>
  <c r="G615" i="3"/>
  <c r="H615" i="3"/>
  <c r="I615" i="3"/>
  <c r="J615" i="3"/>
  <c r="K615" i="3"/>
  <c r="L615" i="3"/>
  <c r="M615" i="3"/>
  <c r="A616" i="3"/>
  <c r="B616" i="3"/>
  <c r="C616" i="3"/>
  <c r="D616" i="3"/>
  <c r="E616" i="3"/>
  <c r="F616" i="3"/>
  <c r="G616" i="3"/>
  <c r="H616" i="3"/>
  <c r="I616" i="3"/>
  <c r="J616" i="3"/>
  <c r="K616" i="3"/>
  <c r="L616" i="3"/>
  <c r="M616" i="3"/>
  <c r="A617" i="3"/>
  <c r="B617" i="3"/>
  <c r="C617" i="3"/>
  <c r="D617" i="3"/>
  <c r="E617" i="3"/>
  <c r="F617" i="3"/>
  <c r="G617" i="3"/>
  <c r="H617" i="3"/>
  <c r="I617" i="3"/>
  <c r="J617" i="3"/>
  <c r="K617" i="3"/>
  <c r="L617" i="3"/>
  <c r="M617" i="3"/>
  <c r="A618" i="3"/>
  <c r="B618" i="3"/>
  <c r="C618" i="3"/>
  <c r="D618" i="3"/>
  <c r="E618" i="3"/>
  <c r="F618" i="3"/>
  <c r="G618" i="3"/>
  <c r="H618" i="3"/>
  <c r="I618" i="3"/>
  <c r="J618" i="3"/>
  <c r="K618" i="3"/>
  <c r="L618" i="3"/>
  <c r="M618" i="3"/>
  <c r="A619" i="3"/>
  <c r="B619" i="3"/>
  <c r="C619" i="3"/>
  <c r="D619" i="3"/>
  <c r="E619" i="3"/>
  <c r="F619" i="3"/>
  <c r="G619" i="3"/>
  <c r="H619" i="3"/>
  <c r="I619" i="3"/>
  <c r="J619" i="3"/>
  <c r="K619" i="3"/>
  <c r="L619" i="3"/>
  <c r="M619" i="3"/>
  <c r="A620" i="3"/>
  <c r="B620" i="3"/>
  <c r="C620" i="3"/>
  <c r="D620" i="3"/>
  <c r="E620" i="3"/>
  <c r="F620" i="3"/>
  <c r="G620" i="3"/>
  <c r="H620" i="3"/>
  <c r="I620" i="3"/>
  <c r="J620" i="3"/>
  <c r="K620" i="3"/>
  <c r="L620" i="3"/>
  <c r="M620" i="3"/>
  <c r="A621" i="3"/>
  <c r="B621" i="3"/>
  <c r="C621" i="3"/>
  <c r="D621" i="3"/>
  <c r="E621" i="3"/>
  <c r="F621" i="3"/>
  <c r="G621" i="3"/>
  <c r="H621" i="3"/>
  <c r="I621" i="3"/>
  <c r="J621" i="3"/>
  <c r="K621" i="3"/>
  <c r="L621" i="3"/>
  <c r="M621" i="3"/>
  <c r="A622" i="3"/>
  <c r="B622" i="3"/>
  <c r="C622" i="3"/>
  <c r="D622" i="3"/>
  <c r="E622" i="3"/>
  <c r="F622" i="3"/>
  <c r="G622" i="3"/>
  <c r="H622" i="3"/>
  <c r="I622" i="3"/>
  <c r="J622" i="3"/>
  <c r="K622" i="3"/>
  <c r="L622" i="3"/>
  <c r="M622" i="3"/>
  <c r="A623" i="3"/>
  <c r="B623" i="3"/>
  <c r="C623" i="3"/>
  <c r="D623" i="3"/>
  <c r="E623" i="3"/>
  <c r="F623" i="3"/>
  <c r="G623" i="3"/>
  <c r="H623" i="3"/>
  <c r="I623" i="3"/>
  <c r="J623" i="3"/>
  <c r="K623" i="3"/>
  <c r="L623" i="3"/>
  <c r="M623" i="3"/>
  <c r="A624" i="3"/>
  <c r="B624" i="3"/>
  <c r="C624" i="3"/>
  <c r="D624" i="3"/>
  <c r="E624" i="3"/>
  <c r="F624" i="3"/>
  <c r="G624" i="3"/>
  <c r="H624" i="3"/>
  <c r="I624" i="3"/>
  <c r="J624" i="3"/>
  <c r="K624" i="3"/>
  <c r="L624" i="3"/>
  <c r="M624" i="3"/>
  <c r="A625" i="3"/>
  <c r="B625" i="3"/>
  <c r="C625" i="3"/>
  <c r="D625" i="3"/>
  <c r="E625" i="3"/>
  <c r="F625" i="3"/>
  <c r="G625" i="3"/>
  <c r="H625" i="3"/>
  <c r="I625" i="3"/>
  <c r="J625" i="3"/>
  <c r="K625" i="3"/>
  <c r="L625" i="3"/>
  <c r="M625" i="3"/>
  <c r="A626" i="3"/>
  <c r="B626" i="3"/>
  <c r="C626" i="3"/>
  <c r="D626" i="3"/>
  <c r="E626" i="3"/>
  <c r="F626" i="3"/>
  <c r="G626" i="3"/>
  <c r="H626" i="3"/>
  <c r="I626" i="3"/>
  <c r="J626" i="3"/>
  <c r="K626" i="3"/>
  <c r="L626" i="3"/>
  <c r="M626" i="3"/>
  <c r="A627" i="3"/>
  <c r="B627" i="3"/>
  <c r="C627" i="3"/>
  <c r="D627" i="3"/>
  <c r="E627" i="3"/>
  <c r="F627" i="3"/>
  <c r="G627" i="3"/>
  <c r="H627" i="3"/>
  <c r="I627" i="3"/>
  <c r="J627" i="3"/>
  <c r="K627" i="3"/>
  <c r="L627" i="3"/>
  <c r="M627" i="3"/>
  <c r="A628" i="3"/>
  <c r="B628" i="3"/>
  <c r="C628" i="3"/>
  <c r="D628" i="3"/>
  <c r="E628" i="3"/>
  <c r="F628" i="3"/>
  <c r="G628" i="3"/>
  <c r="H628" i="3"/>
  <c r="I628" i="3"/>
  <c r="J628" i="3"/>
  <c r="K628" i="3"/>
  <c r="L628" i="3"/>
  <c r="M628" i="3"/>
  <c r="A629" i="3"/>
  <c r="B629" i="3"/>
  <c r="C629" i="3"/>
  <c r="D629" i="3"/>
  <c r="E629" i="3"/>
  <c r="F629" i="3"/>
  <c r="G629" i="3"/>
  <c r="H629" i="3"/>
  <c r="I629" i="3"/>
  <c r="J629" i="3"/>
  <c r="K629" i="3"/>
  <c r="L629" i="3"/>
  <c r="M629" i="3"/>
  <c r="A630" i="3"/>
  <c r="B630" i="3"/>
  <c r="C630" i="3"/>
  <c r="D630" i="3"/>
  <c r="E630" i="3"/>
  <c r="F630" i="3"/>
  <c r="G630" i="3"/>
  <c r="H630" i="3"/>
  <c r="I630" i="3"/>
  <c r="J630" i="3"/>
  <c r="K630" i="3"/>
  <c r="L630" i="3"/>
  <c r="M630" i="3"/>
  <c r="A631" i="3"/>
  <c r="B631" i="3"/>
  <c r="C631" i="3"/>
  <c r="D631" i="3"/>
  <c r="E631" i="3"/>
  <c r="F631" i="3"/>
  <c r="G631" i="3"/>
  <c r="H631" i="3"/>
  <c r="I631" i="3"/>
  <c r="J631" i="3"/>
  <c r="K631" i="3"/>
  <c r="L631" i="3"/>
  <c r="M631" i="3"/>
  <c r="A632" i="3"/>
  <c r="B632" i="3"/>
  <c r="C632" i="3"/>
  <c r="D632" i="3"/>
  <c r="E632" i="3"/>
  <c r="F632" i="3"/>
  <c r="G632" i="3"/>
  <c r="H632" i="3"/>
  <c r="I632" i="3"/>
  <c r="J632" i="3"/>
  <c r="K632" i="3"/>
  <c r="L632" i="3"/>
  <c r="M632" i="3"/>
  <c r="A633" i="3"/>
  <c r="B633" i="3"/>
  <c r="C633" i="3"/>
  <c r="D633" i="3"/>
  <c r="E633" i="3"/>
  <c r="F633" i="3"/>
  <c r="G633" i="3"/>
  <c r="H633" i="3"/>
  <c r="I633" i="3"/>
  <c r="J633" i="3"/>
  <c r="K633" i="3"/>
  <c r="L633" i="3"/>
  <c r="M633" i="3"/>
  <c r="A634" i="3"/>
  <c r="B634" i="3"/>
  <c r="C634" i="3"/>
  <c r="D634" i="3"/>
  <c r="E634" i="3"/>
  <c r="F634" i="3"/>
  <c r="G634" i="3"/>
  <c r="H634" i="3"/>
  <c r="I634" i="3"/>
  <c r="J634" i="3"/>
  <c r="K634" i="3"/>
  <c r="L634" i="3"/>
  <c r="M634" i="3"/>
  <c r="A635" i="3"/>
  <c r="B635" i="3"/>
  <c r="C635" i="3"/>
  <c r="D635" i="3"/>
  <c r="E635" i="3"/>
  <c r="F635" i="3"/>
  <c r="G635" i="3"/>
  <c r="H635" i="3"/>
  <c r="I635" i="3"/>
  <c r="J635" i="3"/>
  <c r="K635" i="3"/>
  <c r="L635" i="3"/>
  <c r="M635" i="3"/>
  <c r="A636" i="3"/>
  <c r="B636" i="3"/>
  <c r="C636" i="3"/>
  <c r="D636" i="3"/>
  <c r="E636" i="3"/>
  <c r="F636" i="3"/>
  <c r="G636" i="3"/>
  <c r="H636" i="3"/>
  <c r="I636" i="3"/>
  <c r="J636" i="3"/>
  <c r="K636" i="3"/>
  <c r="L636" i="3"/>
  <c r="M636" i="3"/>
  <c r="A637" i="3"/>
  <c r="B637" i="3"/>
  <c r="C637" i="3"/>
  <c r="D637" i="3"/>
  <c r="E637" i="3"/>
  <c r="F637" i="3"/>
  <c r="G637" i="3"/>
  <c r="H637" i="3"/>
  <c r="I637" i="3"/>
  <c r="J637" i="3"/>
  <c r="K637" i="3"/>
  <c r="L637" i="3"/>
  <c r="M637" i="3"/>
  <c r="A638" i="3"/>
  <c r="B638" i="3"/>
  <c r="C638" i="3"/>
  <c r="D638" i="3"/>
  <c r="E638" i="3"/>
  <c r="F638" i="3"/>
  <c r="G638" i="3"/>
  <c r="H638" i="3"/>
  <c r="I638" i="3"/>
  <c r="J638" i="3"/>
  <c r="K638" i="3"/>
  <c r="L638" i="3"/>
  <c r="M638" i="3"/>
  <c r="A639" i="3"/>
  <c r="B639" i="3"/>
  <c r="C639" i="3"/>
  <c r="D639" i="3"/>
  <c r="E639" i="3"/>
  <c r="F639" i="3"/>
  <c r="G639" i="3"/>
  <c r="H639" i="3"/>
  <c r="I639" i="3"/>
  <c r="J639" i="3"/>
  <c r="K639" i="3"/>
  <c r="L639" i="3"/>
  <c r="M639" i="3"/>
  <c r="A640" i="3"/>
  <c r="B640" i="3"/>
  <c r="C640" i="3"/>
  <c r="D640" i="3"/>
  <c r="E640" i="3"/>
  <c r="F640" i="3"/>
  <c r="G640" i="3"/>
  <c r="H640" i="3"/>
  <c r="I640" i="3"/>
  <c r="J640" i="3"/>
  <c r="K640" i="3"/>
  <c r="L640" i="3"/>
  <c r="M640" i="3"/>
  <c r="A641" i="3"/>
  <c r="B641" i="3"/>
  <c r="C641" i="3"/>
  <c r="D641" i="3"/>
  <c r="E641" i="3"/>
  <c r="F641" i="3"/>
  <c r="G641" i="3"/>
  <c r="H641" i="3"/>
  <c r="I641" i="3"/>
  <c r="J641" i="3"/>
  <c r="K641" i="3"/>
  <c r="L641" i="3"/>
  <c r="M641" i="3"/>
  <c r="A642" i="3"/>
  <c r="B642" i="3"/>
  <c r="C642" i="3"/>
  <c r="D642" i="3"/>
  <c r="E642" i="3"/>
  <c r="F642" i="3"/>
  <c r="G642" i="3"/>
  <c r="H642" i="3"/>
  <c r="I642" i="3"/>
  <c r="J642" i="3"/>
  <c r="K642" i="3"/>
  <c r="L642" i="3"/>
  <c r="M642" i="3"/>
  <c r="A643" i="3"/>
  <c r="B643" i="3"/>
  <c r="C643" i="3"/>
  <c r="D643" i="3"/>
  <c r="E643" i="3"/>
  <c r="F643" i="3"/>
  <c r="G643" i="3"/>
  <c r="H643" i="3"/>
  <c r="I643" i="3"/>
  <c r="J643" i="3"/>
  <c r="K643" i="3"/>
  <c r="L643" i="3"/>
  <c r="M643" i="3"/>
  <c r="A644" i="3"/>
  <c r="B644" i="3"/>
  <c r="C644" i="3"/>
  <c r="D644" i="3"/>
  <c r="E644" i="3"/>
  <c r="F644" i="3"/>
  <c r="G644" i="3"/>
  <c r="H644" i="3"/>
  <c r="I644" i="3"/>
  <c r="J644" i="3"/>
  <c r="K644" i="3"/>
  <c r="L644" i="3"/>
  <c r="M644" i="3"/>
  <c r="A645" i="3"/>
  <c r="B645" i="3"/>
  <c r="C645" i="3"/>
  <c r="D645" i="3"/>
  <c r="E645" i="3"/>
  <c r="F645" i="3"/>
  <c r="G645" i="3"/>
  <c r="H645" i="3"/>
  <c r="I645" i="3"/>
  <c r="J645" i="3"/>
  <c r="K645" i="3"/>
  <c r="L645" i="3"/>
  <c r="M645" i="3"/>
  <c r="A646" i="3"/>
  <c r="B646" i="3"/>
  <c r="C646" i="3"/>
  <c r="D646" i="3"/>
  <c r="E646" i="3"/>
  <c r="F646" i="3"/>
  <c r="G646" i="3"/>
  <c r="H646" i="3"/>
  <c r="I646" i="3"/>
  <c r="J646" i="3"/>
  <c r="K646" i="3"/>
  <c r="L646" i="3"/>
  <c r="M646" i="3"/>
  <c r="A647" i="3"/>
  <c r="B647" i="3"/>
  <c r="C647" i="3"/>
  <c r="D647" i="3"/>
  <c r="E647" i="3"/>
  <c r="F647" i="3"/>
  <c r="G647" i="3"/>
  <c r="H647" i="3"/>
  <c r="I647" i="3"/>
  <c r="J647" i="3"/>
  <c r="K647" i="3"/>
  <c r="L647" i="3"/>
  <c r="M647" i="3"/>
  <c r="A648" i="3"/>
  <c r="B648" i="3"/>
  <c r="C648" i="3"/>
  <c r="D648" i="3"/>
  <c r="E648" i="3"/>
  <c r="F648" i="3"/>
  <c r="G648" i="3"/>
  <c r="H648" i="3"/>
  <c r="I648" i="3"/>
  <c r="J648" i="3"/>
  <c r="K648" i="3"/>
  <c r="L648" i="3"/>
  <c r="M648" i="3"/>
  <c r="A649" i="3"/>
  <c r="B649" i="3"/>
  <c r="C649" i="3"/>
  <c r="D649" i="3"/>
  <c r="E649" i="3"/>
  <c r="F649" i="3"/>
  <c r="G649" i="3"/>
  <c r="H649" i="3"/>
  <c r="I649" i="3"/>
  <c r="J649" i="3"/>
  <c r="K649" i="3"/>
  <c r="L649" i="3"/>
  <c r="M649" i="3"/>
  <c r="A650" i="3"/>
  <c r="B650" i="3"/>
  <c r="C650" i="3"/>
  <c r="D650" i="3"/>
  <c r="E650" i="3"/>
  <c r="F650" i="3"/>
  <c r="G650" i="3"/>
  <c r="H650" i="3"/>
  <c r="I650" i="3"/>
  <c r="J650" i="3"/>
  <c r="K650" i="3"/>
  <c r="L650" i="3"/>
  <c r="M650" i="3"/>
  <c r="A651" i="3"/>
  <c r="B651" i="3"/>
  <c r="C651" i="3"/>
  <c r="D651" i="3"/>
  <c r="E651" i="3"/>
  <c r="F651" i="3"/>
  <c r="G651" i="3"/>
  <c r="H651" i="3"/>
  <c r="I651" i="3"/>
  <c r="J651" i="3"/>
  <c r="K651" i="3"/>
  <c r="L651" i="3"/>
  <c r="M651" i="3"/>
  <c r="A652" i="3"/>
  <c r="B652" i="3"/>
  <c r="C652" i="3"/>
  <c r="D652" i="3"/>
  <c r="E652" i="3"/>
  <c r="F652" i="3"/>
  <c r="G652" i="3"/>
  <c r="H652" i="3"/>
  <c r="I652" i="3"/>
  <c r="J652" i="3"/>
  <c r="K652" i="3"/>
  <c r="L652" i="3"/>
  <c r="M652" i="3"/>
  <c r="A653" i="3"/>
  <c r="B653" i="3"/>
  <c r="C653" i="3"/>
  <c r="D653" i="3"/>
  <c r="E653" i="3"/>
  <c r="F653" i="3"/>
  <c r="G653" i="3"/>
  <c r="H653" i="3"/>
  <c r="I653" i="3"/>
  <c r="J653" i="3"/>
  <c r="K653" i="3"/>
  <c r="L653" i="3"/>
  <c r="M653" i="3"/>
  <c r="A654" i="3"/>
  <c r="B654" i="3"/>
  <c r="C654" i="3"/>
  <c r="D654" i="3"/>
  <c r="E654" i="3"/>
  <c r="F654" i="3"/>
  <c r="G654" i="3"/>
  <c r="H654" i="3"/>
  <c r="I654" i="3"/>
  <c r="J654" i="3"/>
  <c r="K654" i="3"/>
  <c r="L654" i="3"/>
  <c r="M654" i="3"/>
  <c r="A655" i="3"/>
  <c r="B655" i="3"/>
  <c r="C655" i="3"/>
  <c r="D655" i="3"/>
  <c r="E655" i="3"/>
  <c r="F655" i="3"/>
  <c r="G655" i="3"/>
  <c r="H655" i="3"/>
  <c r="I655" i="3"/>
  <c r="J655" i="3"/>
  <c r="K655" i="3"/>
  <c r="L655" i="3"/>
  <c r="M655" i="3"/>
  <c r="A656" i="3"/>
  <c r="B656" i="3"/>
  <c r="C656" i="3"/>
  <c r="D656" i="3"/>
  <c r="E656" i="3"/>
  <c r="F656" i="3"/>
  <c r="G656" i="3"/>
  <c r="H656" i="3"/>
  <c r="I656" i="3"/>
  <c r="J656" i="3"/>
  <c r="K656" i="3"/>
  <c r="L656" i="3"/>
  <c r="M656" i="3"/>
  <c r="A657" i="3"/>
  <c r="B657" i="3"/>
  <c r="C657" i="3"/>
  <c r="D657" i="3"/>
  <c r="E657" i="3"/>
  <c r="F657" i="3"/>
  <c r="G657" i="3"/>
  <c r="H657" i="3"/>
  <c r="I657" i="3"/>
  <c r="J657" i="3"/>
  <c r="K657" i="3"/>
  <c r="L657" i="3"/>
  <c r="M657" i="3"/>
  <c r="A658" i="3"/>
  <c r="B658" i="3"/>
  <c r="C658" i="3"/>
  <c r="D658" i="3"/>
  <c r="E658" i="3"/>
  <c r="F658" i="3"/>
  <c r="G658" i="3"/>
  <c r="H658" i="3"/>
  <c r="I658" i="3"/>
  <c r="J658" i="3"/>
  <c r="K658" i="3"/>
  <c r="L658" i="3"/>
  <c r="M658" i="3"/>
  <c r="A659" i="3"/>
  <c r="B659" i="3"/>
  <c r="C659" i="3"/>
  <c r="D659" i="3"/>
  <c r="E659" i="3"/>
  <c r="F659" i="3"/>
  <c r="G659" i="3"/>
  <c r="H659" i="3"/>
  <c r="I659" i="3"/>
  <c r="J659" i="3"/>
  <c r="K659" i="3"/>
  <c r="L659" i="3"/>
  <c r="M659" i="3"/>
  <c r="A660" i="3"/>
  <c r="B660" i="3"/>
  <c r="C660" i="3"/>
  <c r="D660" i="3"/>
  <c r="E660" i="3"/>
  <c r="F660" i="3"/>
  <c r="G660" i="3"/>
  <c r="H660" i="3"/>
  <c r="I660" i="3"/>
  <c r="J660" i="3"/>
  <c r="K660" i="3"/>
  <c r="L660" i="3"/>
  <c r="M660" i="3"/>
  <c r="A661" i="3"/>
  <c r="B661" i="3"/>
  <c r="C661" i="3"/>
  <c r="D661" i="3"/>
  <c r="E661" i="3"/>
  <c r="F661" i="3"/>
  <c r="G661" i="3"/>
  <c r="H661" i="3"/>
  <c r="I661" i="3"/>
  <c r="J661" i="3"/>
  <c r="K661" i="3"/>
  <c r="L661" i="3"/>
  <c r="M661" i="3"/>
  <c r="A662" i="3"/>
  <c r="B662" i="3"/>
  <c r="C662" i="3"/>
  <c r="D662" i="3"/>
  <c r="E662" i="3"/>
  <c r="F662" i="3"/>
  <c r="G662" i="3"/>
  <c r="H662" i="3"/>
  <c r="I662" i="3"/>
  <c r="J662" i="3"/>
  <c r="K662" i="3"/>
  <c r="L662" i="3"/>
  <c r="M662" i="3"/>
  <c r="A663" i="3"/>
  <c r="B663" i="3"/>
  <c r="C663" i="3"/>
  <c r="D663" i="3"/>
  <c r="E663" i="3"/>
  <c r="F663" i="3"/>
  <c r="G663" i="3"/>
  <c r="H663" i="3"/>
  <c r="I663" i="3"/>
  <c r="J663" i="3"/>
  <c r="K663" i="3"/>
  <c r="L663" i="3"/>
  <c r="M663" i="3"/>
  <c r="A664" i="3"/>
  <c r="B664" i="3"/>
  <c r="C664" i="3"/>
  <c r="D664" i="3"/>
  <c r="E664" i="3"/>
  <c r="F664" i="3"/>
  <c r="G664" i="3"/>
  <c r="H664" i="3"/>
  <c r="I664" i="3"/>
  <c r="J664" i="3"/>
  <c r="K664" i="3"/>
  <c r="L664" i="3"/>
  <c r="M664" i="3"/>
  <c r="A665" i="3"/>
  <c r="B665" i="3"/>
  <c r="C665" i="3"/>
  <c r="D665" i="3"/>
  <c r="E665" i="3"/>
  <c r="F665" i="3"/>
  <c r="G665" i="3"/>
  <c r="H665" i="3"/>
  <c r="I665" i="3"/>
  <c r="J665" i="3"/>
  <c r="K665" i="3"/>
  <c r="L665" i="3"/>
  <c r="M665" i="3"/>
  <c r="A666" i="3"/>
  <c r="B666" i="3"/>
  <c r="C666" i="3"/>
  <c r="D666" i="3"/>
  <c r="E666" i="3"/>
  <c r="F666" i="3"/>
  <c r="G666" i="3"/>
  <c r="H666" i="3"/>
  <c r="I666" i="3"/>
  <c r="J666" i="3"/>
  <c r="K666" i="3"/>
  <c r="L666" i="3"/>
  <c r="M666" i="3"/>
  <c r="A667" i="3"/>
  <c r="B667" i="3"/>
  <c r="C667" i="3"/>
  <c r="D667" i="3"/>
  <c r="E667" i="3"/>
  <c r="F667" i="3"/>
  <c r="G667" i="3"/>
  <c r="H667" i="3"/>
  <c r="I667" i="3"/>
  <c r="J667" i="3"/>
  <c r="K667" i="3"/>
  <c r="L667" i="3"/>
  <c r="M667" i="3"/>
  <c r="A668" i="3"/>
  <c r="B668" i="3"/>
  <c r="C668" i="3"/>
  <c r="D668" i="3"/>
  <c r="E668" i="3"/>
  <c r="F668" i="3"/>
  <c r="G668" i="3"/>
  <c r="H668" i="3"/>
  <c r="I668" i="3"/>
  <c r="J668" i="3"/>
  <c r="K668" i="3"/>
  <c r="L668" i="3"/>
  <c r="M668" i="3"/>
  <c r="A669" i="3"/>
  <c r="B669" i="3"/>
  <c r="C669" i="3"/>
  <c r="D669" i="3"/>
  <c r="E669" i="3"/>
  <c r="F669" i="3"/>
  <c r="G669" i="3"/>
  <c r="H669" i="3"/>
  <c r="I669" i="3"/>
  <c r="J669" i="3"/>
  <c r="K669" i="3"/>
  <c r="L669" i="3"/>
  <c r="M669" i="3"/>
  <c r="A670" i="3"/>
  <c r="B670" i="3"/>
  <c r="C670" i="3"/>
  <c r="D670" i="3"/>
  <c r="E670" i="3"/>
  <c r="F670" i="3"/>
  <c r="G670" i="3"/>
  <c r="H670" i="3"/>
  <c r="I670" i="3"/>
  <c r="J670" i="3"/>
  <c r="K670" i="3"/>
  <c r="L670" i="3"/>
  <c r="M670" i="3"/>
  <c r="A671" i="3"/>
  <c r="B671" i="3"/>
  <c r="C671" i="3"/>
  <c r="D671" i="3"/>
  <c r="E671" i="3"/>
  <c r="F671" i="3"/>
  <c r="G671" i="3"/>
  <c r="H671" i="3"/>
  <c r="I671" i="3"/>
  <c r="J671" i="3"/>
  <c r="K671" i="3"/>
  <c r="L671" i="3"/>
  <c r="M671" i="3"/>
  <c r="A672" i="3"/>
  <c r="B672" i="3"/>
  <c r="C672" i="3"/>
  <c r="D672" i="3"/>
  <c r="E672" i="3"/>
  <c r="F672" i="3"/>
  <c r="G672" i="3"/>
  <c r="H672" i="3"/>
  <c r="I672" i="3"/>
  <c r="J672" i="3"/>
  <c r="K672" i="3"/>
  <c r="L672" i="3"/>
  <c r="M672" i="3"/>
  <c r="A673" i="3"/>
  <c r="B673" i="3"/>
  <c r="C673" i="3"/>
  <c r="D673" i="3"/>
  <c r="E673" i="3"/>
  <c r="F673" i="3"/>
  <c r="G673" i="3"/>
  <c r="H673" i="3"/>
  <c r="I673" i="3"/>
  <c r="J673" i="3"/>
  <c r="K673" i="3"/>
  <c r="L673" i="3"/>
  <c r="M673" i="3"/>
  <c r="A674" i="3"/>
  <c r="B674" i="3"/>
  <c r="C674" i="3"/>
  <c r="D674" i="3"/>
  <c r="E674" i="3"/>
  <c r="F674" i="3"/>
  <c r="G674" i="3"/>
  <c r="H674" i="3"/>
  <c r="I674" i="3"/>
  <c r="J674" i="3"/>
  <c r="K674" i="3"/>
  <c r="L674" i="3"/>
  <c r="M674" i="3"/>
  <c r="A675" i="3"/>
  <c r="B675" i="3"/>
  <c r="C675" i="3"/>
  <c r="D675" i="3"/>
  <c r="E675" i="3"/>
  <c r="F675" i="3"/>
  <c r="G675" i="3"/>
  <c r="H675" i="3"/>
  <c r="I675" i="3"/>
  <c r="J675" i="3"/>
  <c r="K675" i="3"/>
  <c r="L675" i="3"/>
  <c r="M675" i="3"/>
  <c r="A676" i="3"/>
  <c r="B676" i="3"/>
  <c r="C676" i="3"/>
  <c r="D676" i="3"/>
  <c r="E676" i="3"/>
  <c r="F676" i="3"/>
  <c r="G676" i="3"/>
  <c r="H676" i="3"/>
  <c r="I676" i="3"/>
  <c r="J676" i="3"/>
  <c r="K676" i="3"/>
  <c r="L676" i="3"/>
  <c r="M676" i="3"/>
  <c r="A677" i="3"/>
  <c r="B677" i="3"/>
  <c r="C677" i="3"/>
  <c r="D677" i="3"/>
  <c r="E677" i="3"/>
  <c r="F677" i="3"/>
  <c r="G677" i="3"/>
  <c r="H677" i="3"/>
  <c r="I677" i="3"/>
  <c r="J677" i="3"/>
  <c r="K677" i="3"/>
  <c r="L677" i="3"/>
  <c r="M677" i="3"/>
  <c r="A678" i="3"/>
  <c r="B678" i="3"/>
  <c r="C678" i="3"/>
  <c r="D678" i="3"/>
  <c r="E678" i="3"/>
  <c r="F678" i="3"/>
  <c r="G678" i="3"/>
  <c r="H678" i="3"/>
  <c r="I678" i="3"/>
  <c r="J678" i="3"/>
  <c r="K678" i="3"/>
  <c r="L678" i="3"/>
  <c r="M678" i="3"/>
  <c r="A679" i="3"/>
  <c r="B679" i="3"/>
  <c r="C679" i="3"/>
  <c r="D679" i="3"/>
  <c r="E679" i="3"/>
  <c r="F679" i="3"/>
  <c r="G679" i="3"/>
  <c r="H679" i="3"/>
  <c r="I679" i="3"/>
  <c r="J679" i="3"/>
  <c r="K679" i="3"/>
  <c r="L679" i="3"/>
  <c r="M679" i="3"/>
  <c r="A680" i="3"/>
  <c r="B680" i="3"/>
  <c r="C680" i="3"/>
  <c r="D680" i="3"/>
  <c r="E680" i="3"/>
  <c r="F680" i="3"/>
  <c r="G680" i="3"/>
  <c r="H680" i="3"/>
  <c r="I680" i="3"/>
  <c r="J680" i="3"/>
  <c r="K680" i="3"/>
  <c r="L680" i="3"/>
  <c r="M680" i="3"/>
  <c r="A681" i="3"/>
  <c r="B681" i="3"/>
  <c r="C681" i="3"/>
  <c r="D681" i="3"/>
  <c r="E681" i="3"/>
  <c r="F681" i="3"/>
  <c r="G681" i="3"/>
  <c r="H681" i="3"/>
  <c r="I681" i="3"/>
  <c r="J681" i="3"/>
  <c r="K681" i="3"/>
  <c r="L681" i="3"/>
  <c r="M681" i="3"/>
  <c r="A682" i="3"/>
  <c r="B682" i="3"/>
  <c r="C682" i="3"/>
  <c r="D682" i="3"/>
  <c r="E682" i="3"/>
  <c r="F682" i="3"/>
  <c r="G682" i="3"/>
  <c r="H682" i="3"/>
  <c r="I682" i="3"/>
  <c r="J682" i="3"/>
  <c r="K682" i="3"/>
  <c r="L682" i="3"/>
  <c r="M682" i="3"/>
  <c r="A683" i="3"/>
  <c r="B683" i="3"/>
  <c r="C683" i="3"/>
  <c r="D683" i="3"/>
  <c r="E683" i="3"/>
  <c r="F683" i="3"/>
  <c r="G683" i="3"/>
  <c r="H683" i="3"/>
  <c r="I683" i="3"/>
  <c r="J683" i="3"/>
  <c r="K683" i="3"/>
  <c r="L683" i="3"/>
  <c r="M683" i="3"/>
  <c r="A684" i="3"/>
  <c r="B684" i="3"/>
  <c r="C684" i="3"/>
  <c r="D684" i="3"/>
  <c r="E684" i="3"/>
  <c r="F684" i="3"/>
  <c r="G684" i="3"/>
  <c r="H684" i="3"/>
  <c r="I684" i="3"/>
  <c r="J684" i="3"/>
  <c r="K684" i="3"/>
  <c r="L684" i="3"/>
  <c r="M684" i="3"/>
  <c r="A685" i="3"/>
  <c r="B685" i="3"/>
  <c r="C685" i="3"/>
  <c r="D685" i="3"/>
  <c r="E685" i="3"/>
  <c r="F685" i="3"/>
  <c r="G685" i="3"/>
  <c r="H685" i="3"/>
  <c r="I685" i="3"/>
  <c r="J685" i="3"/>
  <c r="K685" i="3"/>
  <c r="L685" i="3"/>
  <c r="M685" i="3"/>
  <c r="A686" i="3"/>
  <c r="B686" i="3"/>
  <c r="C686" i="3"/>
  <c r="D686" i="3"/>
  <c r="E686" i="3"/>
  <c r="F686" i="3"/>
  <c r="G686" i="3"/>
  <c r="H686" i="3"/>
  <c r="I686" i="3"/>
  <c r="J686" i="3"/>
  <c r="K686" i="3"/>
  <c r="L686" i="3"/>
  <c r="M686" i="3"/>
  <c r="A687" i="3"/>
  <c r="B687" i="3"/>
  <c r="C687" i="3"/>
  <c r="D687" i="3"/>
  <c r="E687" i="3"/>
  <c r="F687" i="3"/>
  <c r="G687" i="3"/>
  <c r="H687" i="3"/>
  <c r="I687" i="3"/>
  <c r="J687" i="3"/>
  <c r="K687" i="3"/>
  <c r="L687" i="3"/>
  <c r="M687" i="3"/>
  <c r="A688" i="3"/>
  <c r="B688" i="3"/>
  <c r="C688" i="3"/>
  <c r="D688" i="3"/>
  <c r="E688" i="3"/>
  <c r="F688" i="3"/>
  <c r="G688" i="3"/>
  <c r="H688" i="3"/>
  <c r="I688" i="3"/>
  <c r="J688" i="3"/>
  <c r="K688" i="3"/>
  <c r="L688" i="3"/>
  <c r="M688" i="3"/>
  <c r="A689" i="3"/>
  <c r="B689" i="3"/>
  <c r="C689" i="3"/>
  <c r="D689" i="3"/>
  <c r="E689" i="3"/>
  <c r="F689" i="3"/>
  <c r="G689" i="3"/>
  <c r="H689" i="3"/>
  <c r="I689" i="3"/>
  <c r="J689" i="3"/>
  <c r="K689" i="3"/>
  <c r="L689" i="3"/>
  <c r="M689" i="3"/>
  <c r="A690" i="3"/>
  <c r="B690" i="3"/>
  <c r="C690" i="3"/>
  <c r="D690" i="3"/>
  <c r="E690" i="3"/>
  <c r="F690" i="3"/>
  <c r="G690" i="3"/>
  <c r="H690" i="3"/>
  <c r="I690" i="3"/>
  <c r="J690" i="3"/>
  <c r="K690" i="3"/>
  <c r="L690" i="3"/>
  <c r="M690" i="3"/>
  <c r="A691" i="3"/>
  <c r="B691" i="3"/>
  <c r="C691" i="3"/>
  <c r="D691" i="3"/>
  <c r="E691" i="3"/>
  <c r="F691" i="3"/>
  <c r="G691" i="3"/>
  <c r="H691" i="3"/>
  <c r="I691" i="3"/>
  <c r="J691" i="3"/>
  <c r="K691" i="3"/>
  <c r="L691" i="3"/>
  <c r="M691" i="3"/>
  <c r="A692" i="3"/>
  <c r="B692" i="3"/>
  <c r="C692" i="3"/>
  <c r="D692" i="3"/>
  <c r="E692" i="3"/>
  <c r="F692" i="3"/>
  <c r="G692" i="3"/>
  <c r="H692" i="3"/>
  <c r="I692" i="3"/>
  <c r="J692" i="3"/>
  <c r="K692" i="3"/>
  <c r="L692" i="3"/>
  <c r="M692" i="3"/>
  <c r="A693" i="3"/>
  <c r="B693" i="3"/>
  <c r="C693" i="3"/>
  <c r="D693" i="3"/>
  <c r="E693" i="3"/>
  <c r="F693" i="3"/>
  <c r="G693" i="3"/>
  <c r="H693" i="3"/>
  <c r="I693" i="3"/>
  <c r="J693" i="3"/>
  <c r="K693" i="3"/>
  <c r="L693" i="3"/>
  <c r="M693" i="3"/>
  <c r="A694" i="3"/>
  <c r="B694" i="3"/>
  <c r="C694" i="3"/>
  <c r="D694" i="3"/>
  <c r="E694" i="3"/>
  <c r="F694" i="3"/>
  <c r="G694" i="3"/>
  <c r="H694" i="3"/>
  <c r="I694" i="3"/>
  <c r="J694" i="3"/>
  <c r="K694" i="3"/>
  <c r="L694" i="3"/>
  <c r="M694" i="3"/>
  <c r="A695" i="3"/>
  <c r="B695" i="3"/>
  <c r="C695" i="3"/>
  <c r="D695" i="3"/>
  <c r="E695" i="3"/>
  <c r="F695" i="3"/>
  <c r="G695" i="3"/>
  <c r="H695" i="3"/>
  <c r="I695" i="3"/>
  <c r="J695" i="3"/>
  <c r="K695" i="3"/>
  <c r="L695" i="3"/>
  <c r="M695" i="3"/>
  <c r="A696" i="3"/>
  <c r="B696" i="3"/>
  <c r="C696" i="3"/>
  <c r="D696" i="3"/>
  <c r="E696" i="3"/>
  <c r="F696" i="3"/>
  <c r="G696" i="3"/>
  <c r="H696" i="3"/>
  <c r="I696" i="3"/>
  <c r="J696" i="3"/>
  <c r="K696" i="3"/>
  <c r="L696" i="3"/>
  <c r="M696" i="3"/>
  <c r="A697" i="3"/>
  <c r="B697" i="3"/>
  <c r="C697" i="3"/>
  <c r="D697" i="3"/>
  <c r="E697" i="3"/>
  <c r="F697" i="3"/>
  <c r="G697" i="3"/>
  <c r="H697" i="3"/>
  <c r="I697" i="3"/>
  <c r="J697" i="3"/>
  <c r="K697" i="3"/>
  <c r="L697" i="3"/>
  <c r="M697" i="3"/>
  <c r="A698" i="3"/>
  <c r="B698" i="3"/>
  <c r="C698" i="3"/>
  <c r="D698" i="3"/>
  <c r="E698" i="3"/>
  <c r="F698" i="3"/>
  <c r="G698" i="3"/>
  <c r="H698" i="3"/>
  <c r="I698" i="3"/>
  <c r="J698" i="3"/>
  <c r="K698" i="3"/>
  <c r="L698" i="3"/>
  <c r="M698" i="3"/>
  <c r="A699" i="3"/>
  <c r="B699" i="3"/>
  <c r="C699" i="3"/>
  <c r="D699" i="3"/>
  <c r="E699" i="3"/>
  <c r="F699" i="3"/>
  <c r="G699" i="3"/>
  <c r="H699" i="3"/>
  <c r="I699" i="3"/>
  <c r="J699" i="3"/>
  <c r="K699" i="3"/>
  <c r="L699" i="3"/>
  <c r="M699" i="3"/>
  <c r="A700" i="3"/>
  <c r="B700" i="3"/>
  <c r="C700" i="3"/>
  <c r="D700" i="3"/>
  <c r="E700" i="3"/>
  <c r="F700" i="3"/>
  <c r="G700" i="3"/>
  <c r="H700" i="3"/>
  <c r="I700" i="3"/>
  <c r="J700" i="3"/>
  <c r="K700" i="3"/>
  <c r="L700" i="3"/>
  <c r="M700" i="3"/>
  <c r="A701" i="3"/>
  <c r="B701" i="3"/>
  <c r="C701" i="3"/>
  <c r="D701" i="3"/>
  <c r="E701" i="3"/>
  <c r="F701" i="3"/>
  <c r="G701" i="3"/>
  <c r="H701" i="3"/>
  <c r="I701" i="3"/>
  <c r="J701" i="3"/>
  <c r="K701" i="3"/>
  <c r="L701" i="3"/>
  <c r="M701" i="3"/>
  <c r="A702" i="3"/>
  <c r="B702" i="3"/>
  <c r="C702" i="3"/>
  <c r="D702" i="3"/>
  <c r="E702" i="3"/>
  <c r="F702" i="3"/>
  <c r="G702" i="3"/>
  <c r="H702" i="3"/>
  <c r="I702" i="3"/>
  <c r="J702" i="3"/>
  <c r="K702" i="3"/>
  <c r="L702" i="3"/>
  <c r="M702" i="3"/>
  <c r="A703" i="3"/>
  <c r="B703" i="3"/>
  <c r="C703" i="3"/>
  <c r="D703" i="3"/>
  <c r="E703" i="3"/>
  <c r="F703" i="3"/>
  <c r="G703" i="3"/>
  <c r="H703" i="3"/>
  <c r="I703" i="3"/>
  <c r="J703" i="3"/>
  <c r="K703" i="3"/>
  <c r="L703" i="3"/>
  <c r="M703" i="3"/>
  <c r="A704" i="3"/>
  <c r="B704" i="3"/>
  <c r="C704" i="3"/>
  <c r="D704" i="3"/>
  <c r="E704" i="3"/>
  <c r="F704" i="3"/>
  <c r="G704" i="3"/>
  <c r="H704" i="3"/>
  <c r="I704" i="3"/>
  <c r="J704" i="3"/>
  <c r="K704" i="3"/>
  <c r="L704" i="3"/>
  <c r="M704" i="3"/>
  <c r="A705" i="3"/>
  <c r="B705" i="3"/>
  <c r="C705" i="3"/>
  <c r="D705" i="3"/>
  <c r="E705" i="3"/>
  <c r="F705" i="3"/>
  <c r="G705" i="3"/>
  <c r="H705" i="3"/>
  <c r="I705" i="3"/>
  <c r="J705" i="3"/>
  <c r="K705" i="3"/>
  <c r="L705" i="3"/>
  <c r="M705" i="3"/>
  <c r="A706" i="3"/>
  <c r="B706" i="3"/>
  <c r="C706" i="3"/>
  <c r="D706" i="3"/>
  <c r="E706" i="3"/>
  <c r="F706" i="3"/>
  <c r="G706" i="3"/>
  <c r="H706" i="3"/>
  <c r="I706" i="3"/>
  <c r="J706" i="3"/>
  <c r="K706" i="3"/>
  <c r="L706" i="3"/>
  <c r="M706" i="3"/>
  <c r="A707" i="3"/>
  <c r="B707" i="3"/>
  <c r="C707" i="3"/>
  <c r="D707" i="3"/>
  <c r="E707" i="3"/>
  <c r="F707" i="3"/>
  <c r="G707" i="3"/>
  <c r="H707" i="3"/>
  <c r="I707" i="3"/>
  <c r="J707" i="3"/>
  <c r="K707" i="3"/>
  <c r="L707" i="3"/>
  <c r="M707" i="3"/>
  <c r="A708" i="3"/>
  <c r="B708" i="3"/>
  <c r="C708" i="3"/>
  <c r="D708" i="3"/>
  <c r="E708" i="3"/>
  <c r="F708" i="3"/>
  <c r="G708" i="3"/>
  <c r="H708" i="3"/>
  <c r="I708" i="3"/>
  <c r="J708" i="3"/>
  <c r="K708" i="3"/>
  <c r="L708" i="3"/>
  <c r="M708" i="3"/>
  <c r="A709" i="3"/>
  <c r="B709" i="3"/>
  <c r="C709" i="3"/>
  <c r="D709" i="3"/>
  <c r="E709" i="3"/>
  <c r="F709" i="3"/>
  <c r="G709" i="3"/>
  <c r="H709" i="3"/>
  <c r="I709" i="3"/>
  <c r="J709" i="3"/>
  <c r="K709" i="3"/>
  <c r="L709" i="3"/>
  <c r="M709" i="3"/>
  <c r="A710" i="3"/>
  <c r="B710" i="3"/>
  <c r="C710" i="3"/>
  <c r="D710" i="3"/>
  <c r="E710" i="3"/>
  <c r="F710" i="3"/>
  <c r="G710" i="3"/>
  <c r="H710" i="3"/>
  <c r="I710" i="3"/>
  <c r="J710" i="3"/>
  <c r="K710" i="3"/>
  <c r="L710" i="3"/>
  <c r="M710" i="3"/>
  <c r="A711" i="3"/>
  <c r="B711" i="3"/>
  <c r="C711" i="3"/>
  <c r="D711" i="3"/>
  <c r="E711" i="3"/>
  <c r="F711" i="3"/>
  <c r="G711" i="3"/>
  <c r="H711" i="3"/>
  <c r="I711" i="3"/>
  <c r="J711" i="3"/>
  <c r="K711" i="3"/>
  <c r="L711" i="3"/>
  <c r="M711" i="3"/>
  <c r="A712" i="3"/>
  <c r="B712" i="3"/>
  <c r="C712" i="3"/>
  <c r="D712" i="3"/>
  <c r="E712" i="3"/>
  <c r="F712" i="3"/>
  <c r="G712" i="3"/>
  <c r="H712" i="3"/>
  <c r="I712" i="3"/>
  <c r="J712" i="3"/>
  <c r="K712" i="3"/>
  <c r="L712" i="3"/>
  <c r="M712" i="3"/>
  <c r="A713" i="3"/>
  <c r="B713" i="3"/>
  <c r="C713" i="3"/>
  <c r="D713" i="3"/>
  <c r="E713" i="3"/>
  <c r="F713" i="3"/>
  <c r="G713" i="3"/>
  <c r="H713" i="3"/>
  <c r="I713" i="3"/>
  <c r="J713" i="3"/>
  <c r="K713" i="3"/>
  <c r="L713" i="3"/>
  <c r="M713" i="3"/>
  <c r="A714" i="3"/>
  <c r="B714" i="3"/>
  <c r="C714" i="3"/>
  <c r="D714" i="3"/>
  <c r="E714" i="3"/>
  <c r="F714" i="3"/>
  <c r="G714" i="3"/>
  <c r="H714" i="3"/>
  <c r="I714" i="3"/>
  <c r="J714" i="3"/>
  <c r="K714" i="3"/>
  <c r="L714" i="3"/>
  <c r="M714" i="3"/>
  <c r="A715" i="3"/>
  <c r="B715" i="3"/>
  <c r="C715" i="3"/>
  <c r="D715" i="3"/>
  <c r="E715" i="3"/>
  <c r="F715" i="3"/>
  <c r="G715" i="3"/>
  <c r="H715" i="3"/>
  <c r="I715" i="3"/>
  <c r="J715" i="3"/>
  <c r="K715" i="3"/>
  <c r="L715" i="3"/>
  <c r="M715" i="3"/>
  <c r="A716" i="3"/>
  <c r="B716" i="3"/>
  <c r="C716" i="3"/>
  <c r="D716" i="3"/>
  <c r="E716" i="3"/>
  <c r="F716" i="3"/>
  <c r="G716" i="3"/>
  <c r="H716" i="3"/>
  <c r="I716" i="3"/>
  <c r="J716" i="3"/>
  <c r="K716" i="3"/>
  <c r="L716" i="3"/>
  <c r="M716" i="3"/>
  <c r="A717" i="3"/>
  <c r="B717" i="3"/>
  <c r="C717" i="3"/>
  <c r="D717" i="3"/>
  <c r="E717" i="3"/>
  <c r="F717" i="3"/>
  <c r="G717" i="3"/>
  <c r="H717" i="3"/>
  <c r="I717" i="3"/>
  <c r="J717" i="3"/>
  <c r="K717" i="3"/>
  <c r="L717" i="3"/>
  <c r="M717" i="3"/>
  <c r="A718" i="3"/>
  <c r="B718" i="3"/>
  <c r="C718" i="3"/>
  <c r="D718" i="3"/>
  <c r="E718" i="3"/>
  <c r="F718" i="3"/>
  <c r="G718" i="3"/>
  <c r="H718" i="3"/>
  <c r="I718" i="3"/>
  <c r="J718" i="3"/>
  <c r="K718" i="3"/>
  <c r="L718" i="3"/>
  <c r="M718" i="3"/>
  <c r="A719" i="3"/>
  <c r="B719" i="3"/>
  <c r="C719" i="3"/>
  <c r="D719" i="3"/>
  <c r="E719" i="3"/>
  <c r="F719" i="3"/>
  <c r="G719" i="3"/>
  <c r="H719" i="3"/>
  <c r="I719" i="3"/>
  <c r="J719" i="3"/>
  <c r="K719" i="3"/>
  <c r="L719" i="3"/>
  <c r="M719" i="3"/>
  <c r="A720" i="3"/>
  <c r="B720" i="3"/>
  <c r="C720" i="3"/>
  <c r="D720" i="3"/>
  <c r="E720" i="3"/>
  <c r="F720" i="3"/>
  <c r="G720" i="3"/>
  <c r="H720" i="3"/>
  <c r="I720" i="3"/>
  <c r="J720" i="3"/>
  <c r="K720" i="3"/>
  <c r="L720" i="3"/>
  <c r="M720" i="3"/>
  <c r="A721" i="3"/>
  <c r="B721" i="3"/>
  <c r="C721" i="3"/>
  <c r="D721" i="3"/>
  <c r="E721" i="3"/>
  <c r="F721" i="3"/>
  <c r="G721" i="3"/>
  <c r="H721" i="3"/>
  <c r="I721" i="3"/>
  <c r="J721" i="3"/>
  <c r="K721" i="3"/>
  <c r="L721" i="3"/>
  <c r="M721" i="3"/>
  <c r="A722" i="3"/>
  <c r="B722" i="3"/>
  <c r="C722" i="3"/>
  <c r="D722" i="3"/>
  <c r="E722" i="3"/>
  <c r="F722" i="3"/>
  <c r="G722" i="3"/>
  <c r="H722" i="3"/>
  <c r="I722" i="3"/>
  <c r="J722" i="3"/>
  <c r="K722" i="3"/>
  <c r="L722" i="3"/>
  <c r="M722" i="3"/>
  <c r="A723" i="3"/>
  <c r="B723" i="3"/>
  <c r="C723" i="3"/>
  <c r="D723" i="3"/>
  <c r="E723" i="3"/>
  <c r="F723" i="3"/>
  <c r="G723" i="3"/>
  <c r="H723" i="3"/>
  <c r="I723" i="3"/>
  <c r="J723" i="3"/>
  <c r="K723" i="3"/>
  <c r="L723" i="3"/>
  <c r="M723" i="3"/>
  <c r="A724" i="3"/>
  <c r="B724" i="3"/>
  <c r="C724" i="3"/>
  <c r="D724" i="3"/>
  <c r="E724" i="3"/>
  <c r="F724" i="3"/>
  <c r="G724" i="3"/>
  <c r="H724" i="3"/>
  <c r="I724" i="3"/>
  <c r="J724" i="3"/>
  <c r="K724" i="3"/>
  <c r="L724" i="3"/>
  <c r="M724" i="3"/>
  <c r="A725" i="3"/>
  <c r="B725" i="3"/>
  <c r="C725" i="3"/>
  <c r="D725" i="3"/>
  <c r="E725" i="3"/>
  <c r="F725" i="3"/>
  <c r="G725" i="3"/>
  <c r="H725" i="3"/>
  <c r="I725" i="3"/>
  <c r="J725" i="3"/>
  <c r="K725" i="3"/>
  <c r="L725" i="3"/>
  <c r="M725" i="3"/>
  <c r="A726" i="3"/>
  <c r="B726" i="3"/>
  <c r="C726" i="3"/>
  <c r="D726" i="3"/>
  <c r="E726" i="3"/>
  <c r="F726" i="3"/>
  <c r="G726" i="3"/>
  <c r="H726" i="3"/>
  <c r="I726" i="3"/>
  <c r="J726" i="3"/>
  <c r="K726" i="3"/>
  <c r="L726" i="3"/>
  <c r="M726" i="3"/>
  <c r="A727" i="3"/>
  <c r="B727" i="3"/>
  <c r="C727" i="3"/>
  <c r="D727" i="3"/>
  <c r="E727" i="3"/>
  <c r="F727" i="3"/>
  <c r="G727" i="3"/>
  <c r="H727" i="3"/>
  <c r="I727" i="3"/>
  <c r="J727" i="3"/>
  <c r="K727" i="3"/>
  <c r="L727" i="3"/>
  <c r="M727" i="3"/>
  <c r="A728" i="3"/>
  <c r="B728" i="3"/>
  <c r="C728" i="3"/>
  <c r="D728" i="3"/>
  <c r="E728" i="3"/>
  <c r="F728" i="3"/>
  <c r="G728" i="3"/>
  <c r="H728" i="3"/>
  <c r="I728" i="3"/>
  <c r="J728" i="3"/>
  <c r="K728" i="3"/>
  <c r="L728" i="3"/>
  <c r="M728" i="3"/>
  <c r="A729" i="3"/>
  <c r="B729" i="3"/>
  <c r="C729" i="3"/>
  <c r="D729" i="3"/>
  <c r="E729" i="3"/>
  <c r="F729" i="3"/>
  <c r="G729" i="3"/>
  <c r="H729" i="3"/>
  <c r="I729" i="3"/>
  <c r="J729" i="3"/>
  <c r="K729" i="3"/>
  <c r="L729" i="3"/>
  <c r="M729" i="3"/>
  <c r="A730" i="3"/>
  <c r="B730" i="3"/>
  <c r="C730" i="3"/>
  <c r="D730" i="3"/>
  <c r="E730" i="3"/>
  <c r="F730" i="3"/>
  <c r="G730" i="3"/>
  <c r="H730" i="3"/>
  <c r="I730" i="3"/>
  <c r="J730" i="3"/>
  <c r="K730" i="3"/>
  <c r="L730" i="3"/>
  <c r="M730" i="3"/>
  <c r="A731" i="3"/>
  <c r="B731" i="3"/>
  <c r="C731" i="3"/>
  <c r="D731" i="3"/>
  <c r="E731" i="3"/>
  <c r="F731" i="3"/>
  <c r="G731" i="3"/>
  <c r="H731" i="3"/>
  <c r="I731" i="3"/>
  <c r="J731" i="3"/>
  <c r="K731" i="3"/>
  <c r="L731" i="3"/>
  <c r="M731" i="3"/>
  <c r="A732" i="3"/>
  <c r="B732" i="3"/>
  <c r="C732" i="3"/>
  <c r="D732" i="3"/>
  <c r="E732" i="3"/>
  <c r="F732" i="3"/>
  <c r="G732" i="3"/>
  <c r="H732" i="3"/>
  <c r="I732" i="3"/>
  <c r="J732" i="3"/>
  <c r="K732" i="3"/>
  <c r="L732" i="3"/>
  <c r="M732" i="3"/>
  <c r="A733" i="3"/>
  <c r="B733" i="3"/>
  <c r="C733" i="3"/>
  <c r="D733" i="3"/>
  <c r="E733" i="3"/>
  <c r="F733" i="3"/>
  <c r="G733" i="3"/>
  <c r="H733" i="3"/>
  <c r="I733" i="3"/>
  <c r="J733" i="3"/>
  <c r="K733" i="3"/>
  <c r="L733" i="3"/>
  <c r="M733" i="3"/>
  <c r="A734" i="3"/>
  <c r="B734" i="3"/>
  <c r="C734" i="3"/>
  <c r="D734" i="3"/>
  <c r="E734" i="3"/>
  <c r="F734" i="3"/>
  <c r="G734" i="3"/>
  <c r="H734" i="3"/>
  <c r="I734" i="3"/>
  <c r="J734" i="3"/>
  <c r="K734" i="3"/>
  <c r="L734" i="3"/>
  <c r="M734" i="3"/>
  <c r="A735" i="3"/>
  <c r="B735" i="3"/>
  <c r="C735" i="3"/>
  <c r="D735" i="3"/>
  <c r="E735" i="3"/>
  <c r="F735" i="3"/>
  <c r="G735" i="3"/>
  <c r="H735" i="3"/>
  <c r="I735" i="3"/>
  <c r="J735" i="3"/>
  <c r="K735" i="3"/>
  <c r="L735" i="3"/>
  <c r="M735" i="3"/>
  <c r="A736" i="3"/>
  <c r="B736" i="3"/>
  <c r="C736" i="3"/>
  <c r="D736" i="3"/>
  <c r="E736" i="3"/>
  <c r="F736" i="3"/>
  <c r="G736" i="3"/>
  <c r="H736" i="3"/>
  <c r="I736" i="3"/>
  <c r="J736" i="3"/>
  <c r="K736" i="3"/>
  <c r="L736" i="3"/>
  <c r="M736" i="3"/>
  <c r="A737" i="3"/>
  <c r="B737" i="3"/>
  <c r="C737" i="3"/>
  <c r="D737" i="3"/>
  <c r="E737" i="3"/>
  <c r="F737" i="3"/>
  <c r="G737" i="3"/>
  <c r="H737" i="3"/>
  <c r="I737" i="3"/>
  <c r="J737" i="3"/>
  <c r="K737" i="3"/>
  <c r="L737" i="3"/>
  <c r="M737" i="3"/>
  <c r="A738" i="3"/>
  <c r="B738" i="3"/>
  <c r="C738" i="3"/>
  <c r="D738" i="3"/>
  <c r="E738" i="3"/>
  <c r="F738" i="3"/>
  <c r="G738" i="3"/>
  <c r="H738" i="3"/>
  <c r="I738" i="3"/>
  <c r="J738" i="3"/>
  <c r="K738" i="3"/>
  <c r="L738" i="3"/>
  <c r="M738" i="3"/>
  <c r="A739" i="3"/>
  <c r="B739" i="3"/>
  <c r="C739" i="3"/>
  <c r="D739" i="3"/>
  <c r="E739" i="3"/>
  <c r="F739" i="3"/>
  <c r="G739" i="3"/>
  <c r="H739" i="3"/>
  <c r="I739" i="3"/>
  <c r="J739" i="3"/>
  <c r="K739" i="3"/>
  <c r="L739" i="3"/>
  <c r="M739" i="3"/>
  <c r="A740" i="3"/>
  <c r="B740" i="3"/>
  <c r="C740" i="3"/>
  <c r="D740" i="3"/>
  <c r="E740" i="3"/>
  <c r="F740" i="3"/>
  <c r="G740" i="3"/>
  <c r="H740" i="3"/>
  <c r="I740" i="3"/>
  <c r="J740" i="3"/>
  <c r="K740" i="3"/>
  <c r="L740" i="3"/>
  <c r="M740" i="3"/>
  <c r="A741" i="3"/>
  <c r="B741" i="3"/>
  <c r="C741" i="3"/>
  <c r="D741" i="3"/>
  <c r="E741" i="3"/>
  <c r="F741" i="3"/>
  <c r="G741" i="3"/>
  <c r="H741" i="3"/>
  <c r="I741" i="3"/>
  <c r="J741" i="3"/>
  <c r="K741" i="3"/>
  <c r="L741" i="3"/>
  <c r="M741" i="3"/>
  <c r="A742" i="3"/>
  <c r="B742" i="3"/>
  <c r="C742" i="3"/>
  <c r="D742" i="3"/>
  <c r="E742" i="3"/>
  <c r="F742" i="3"/>
  <c r="G742" i="3"/>
  <c r="H742" i="3"/>
  <c r="I742" i="3"/>
  <c r="J742" i="3"/>
  <c r="K742" i="3"/>
  <c r="L742" i="3"/>
  <c r="M742" i="3"/>
  <c r="A743" i="3"/>
  <c r="B743" i="3"/>
  <c r="C743" i="3"/>
  <c r="D743" i="3"/>
  <c r="E743" i="3"/>
  <c r="F743" i="3"/>
  <c r="G743" i="3"/>
  <c r="H743" i="3"/>
  <c r="I743" i="3"/>
  <c r="J743" i="3"/>
  <c r="K743" i="3"/>
  <c r="L743" i="3"/>
  <c r="M743" i="3"/>
  <c r="A744" i="3"/>
  <c r="B744" i="3"/>
  <c r="C744" i="3"/>
  <c r="D744" i="3"/>
  <c r="E744" i="3"/>
  <c r="F744" i="3"/>
  <c r="G744" i="3"/>
  <c r="H744" i="3"/>
  <c r="I744" i="3"/>
  <c r="J744" i="3"/>
  <c r="K744" i="3"/>
  <c r="L744" i="3"/>
  <c r="M744" i="3"/>
  <c r="A745" i="3"/>
  <c r="B745" i="3"/>
  <c r="C745" i="3"/>
  <c r="D745" i="3"/>
  <c r="E745" i="3"/>
  <c r="F745" i="3"/>
  <c r="G745" i="3"/>
  <c r="H745" i="3"/>
  <c r="I745" i="3"/>
  <c r="J745" i="3"/>
  <c r="K745" i="3"/>
  <c r="L745" i="3"/>
  <c r="M745" i="3"/>
  <c r="A746" i="3"/>
  <c r="B746" i="3"/>
  <c r="C746" i="3"/>
  <c r="D746" i="3"/>
  <c r="E746" i="3"/>
  <c r="F746" i="3"/>
  <c r="G746" i="3"/>
  <c r="H746" i="3"/>
  <c r="I746" i="3"/>
  <c r="J746" i="3"/>
  <c r="K746" i="3"/>
  <c r="L746" i="3"/>
  <c r="M746" i="3"/>
  <c r="A747" i="3"/>
  <c r="B747" i="3"/>
  <c r="C747" i="3"/>
  <c r="D747" i="3"/>
  <c r="E747" i="3"/>
  <c r="F747" i="3"/>
  <c r="G747" i="3"/>
  <c r="H747" i="3"/>
  <c r="I747" i="3"/>
  <c r="J747" i="3"/>
  <c r="K747" i="3"/>
  <c r="L747" i="3"/>
  <c r="M747" i="3"/>
  <c r="A748" i="3"/>
  <c r="B748" i="3"/>
  <c r="C748" i="3"/>
  <c r="D748" i="3"/>
  <c r="E748" i="3"/>
  <c r="F748" i="3"/>
  <c r="G748" i="3"/>
  <c r="H748" i="3"/>
  <c r="I748" i="3"/>
  <c r="J748" i="3"/>
  <c r="K748" i="3"/>
  <c r="L748" i="3"/>
  <c r="M748" i="3"/>
  <c r="A749" i="3"/>
  <c r="B749" i="3"/>
  <c r="C749" i="3"/>
  <c r="D749" i="3"/>
  <c r="E749" i="3"/>
  <c r="F749" i="3"/>
  <c r="G749" i="3"/>
  <c r="H749" i="3"/>
  <c r="I749" i="3"/>
  <c r="J749" i="3"/>
  <c r="K749" i="3"/>
  <c r="L749" i="3"/>
  <c r="M749" i="3"/>
  <c r="A750" i="3"/>
  <c r="B750" i="3"/>
  <c r="C750" i="3"/>
  <c r="D750" i="3"/>
  <c r="E750" i="3"/>
  <c r="F750" i="3"/>
  <c r="G750" i="3"/>
  <c r="H750" i="3"/>
  <c r="I750" i="3"/>
  <c r="J750" i="3"/>
  <c r="K750" i="3"/>
  <c r="L750" i="3"/>
  <c r="M750" i="3"/>
  <c r="A751" i="3"/>
  <c r="B751" i="3"/>
  <c r="C751" i="3"/>
  <c r="D751" i="3"/>
  <c r="E751" i="3"/>
  <c r="F751" i="3"/>
  <c r="G751" i="3"/>
  <c r="H751" i="3"/>
  <c r="I751" i="3"/>
  <c r="J751" i="3"/>
  <c r="K751" i="3"/>
  <c r="L751" i="3"/>
  <c r="M751" i="3"/>
  <c r="A752" i="3"/>
  <c r="B752" i="3"/>
  <c r="C752" i="3"/>
  <c r="D752" i="3"/>
  <c r="E752" i="3"/>
  <c r="F752" i="3"/>
  <c r="G752" i="3"/>
  <c r="H752" i="3"/>
  <c r="I752" i="3"/>
  <c r="J752" i="3"/>
  <c r="K752" i="3"/>
  <c r="L752" i="3"/>
  <c r="M752" i="3"/>
  <c r="A753" i="3"/>
  <c r="B753" i="3"/>
  <c r="C753" i="3"/>
  <c r="D753" i="3"/>
  <c r="E753" i="3"/>
  <c r="F753" i="3"/>
  <c r="G753" i="3"/>
  <c r="H753" i="3"/>
  <c r="I753" i="3"/>
  <c r="J753" i="3"/>
  <c r="K753" i="3"/>
  <c r="L753" i="3"/>
  <c r="M753" i="3"/>
  <c r="A754" i="3"/>
  <c r="B754" i="3"/>
  <c r="C754" i="3"/>
  <c r="D754" i="3"/>
  <c r="E754" i="3"/>
  <c r="F754" i="3"/>
  <c r="G754" i="3"/>
  <c r="H754" i="3"/>
  <c r="I754" i="3"/>
  <c r="J754" i="3"/>
  <c r="K754" i="3"/>
  <c r="L754" i="3"/>
  <c r="M754" i="3"/>
  <c r="A755" i="3"/>
  <c r="B755" i="3"/>
  <c r="C755" i="3"/>
  <c r="D755" i="3"/>
  <c r="E755" i="3"/>
  <c r="F755" i="3"/>
  <c r="G755" i="3"/>
  <c r="H755" i="3"/>
  <c r="I755" i="3"/>
  <c r="J755" i="3"/>
  <c r="K755" i="3"/>
  <c r="L755" i="3"/>
  <c r="M755" i="3"/>
  <c r="A756" i="3"/>
  <c r="B756" i="3"/>
  <c r="C756" i="3"/>
  <c r="D756" i="3"/>
  <c r="E756" i="3"/>
  <c r="F756" i="3"/>
  <c r="G756" i="3"/>
  <c r="H756" i="3"/>
  <c r="I756" i="3"/>
  <c r="J756" i="3"/>
  <c r="K756" i="3"/>
  <c r="L756" i="3"/>
  <c r="M756" i="3"/>
  <c r="A757" i="3"/>
  <c r="B757" i="3"/>
  <c r="C757" i="3"/>
  <c r="D757" i="3"/>
  <c r="E757" i="3"/>
  <c r="F757" i="3"/>
  <c r="G757" i="3"/>
  <c r="H757" i="3"/>
  <c r="I757" i="3"/>
  <c r="J757" i="3"/>
  <c r="K757" i="3"/>
  <c r="L757" i="3"/>
  <c r="M757" i="3"/>
  <c r="A758" i="3"/>
  <c r="B758" i="3"/>
  <c r="C758" i="3"/>
  <c r="D758" i="3"/>
  <c r="E758" i="3"/>
  <c r="F758" i="3"/>
  <c r="G758" i="3"/>
  <c r="H758" i="3"/>
  <c r="I758" i="3"/>
  <c r="J758" i="3"/>
  <c r="K758" i="3"/>
  <c r="L758" i="3"/>
  <c r="M758" i="3"/>
  <c r="A759" i="3"/>
  <c r="B759" i="3"/>
  <c r="C759" i="3"/>
  <c r="D759" i="3"/>
  <c r="E759" i="3"/>
  <c r="F759" i="3"/>
  <c r="G759" i="3"/>
  <c r="H759" i="3"/>
  <c r="I759" i="3"/>
  <c r="J759" i="3"/>
  <c r="K759" i="3"/>
  <c r="L759" i="3"/>
  <c r="M759" i="3"/>
  <c r="A760" i="3"/>
  <c r="B760" i="3"/>
  <c r="C760" i="3"/>
  <c r="D760" i="3"/>
  <c r="E760" i="3"/>
  <c r="F760" i="3"/>
  <c r="G760" i="3"/>
  <c r="H760" i="3"/>
  <c r="I760" i="3"/>
  <c r="J760" i="3"/>
  <c r="K760" i="3"/>
  <c r="L760" i="3"/>
  <c r="M760" i="3"/>
  <c r="A761" i="3"/>
  <c r="B761" i="3"/>
  <c r="C761" i="3"/>
  <c r="D761" i="3"/>
  <c r="E761" i="3"/>
  <c r="F761" i="3"/>
  <c r="G761" i="3"/>
  <c r="H761" i="3"/>
  <c r="I761" i="3"/>
  <c r="J761" i="3"/>
  <c r="K761" i="3"/>
  <c r="L761" i="3"/>
  <c r="M761" i="3"/>
  <c r="A762" i="3"/>
  <c r="B762" i="3"/>
  <c r="C762" i="3"/>
  <c r="D762" i="3"/>
  <c r="E762" i="3"/>
  <c r="F762" i="3"/>
  <c r="G762" i="3"/>
  <c r="H762" i="3"/>
  <c r="I762" i="3"/>
  <c r="J762" i="3"/>
  <c r="K762" i="3"/>
  <c r="L762" i="3"/>
  <c r="M762" i="3"/>
  <c r="A763" i="3"/>
  <c r="B763" i="3"/>
  <c r="C763" i="3"/>
  <c r="D763" i="3"/>
  <c r="E763" i="3"/>
  <c r="F763" i="3"/>
  <c r="G763" i="3"/>
  <c r="H763" i="3"/>
  <c r="I763" i="3"/>
  <c r="J763" i="3"/>
  <c r="K763" i="3"/>
  <c r="L763" i="3"/>
  <c r="M763" i="3"/>
  <c r="A764" i="3"/>
  <c r="B764" i="3"/>
  <c r="C764" i="3"/>
  <c r="D764" i="3"/>
  <c r="E764" i="3"/>
  <c r="F764" i="3"/>
  <c r="G764" i="3"/>
  <c r="H764" i="3"/>
  <c r="I764" i="3"/>
  <c r="J764" i="3"/>
  <c r="K764" i="3"/>
  <c r="L764" i="3"/>
  <c r="M764" i="3"/>
  <c r="A765" i="3"/>
  <c r="B765" i="3"/>
  <c r="C765" i="3"/>
  <c r="D765" i="3"/>
  <c r="E765" i="3"/>
  <c r="F765" i="3"/>
  <c r="G765" i="3"/>
  <c r="H765" i="3"/>
  <c r="I765" i="3"/>
  <c r="J765" i="3"/>
  <c r="K765" i="3"/>
  <c r="L765" i="3"/>
  <c r="M765" i="3"/>
  <c r="A766" i="3"/>
  <c r="B766" i="3"/>
  <c r="C766" i="3"/>
  <c r="D766" i="3"/>
  <c r="E766" i="3"/>
  <c r="F766" i="3"/>
  <c r="G766" i="3"/>
  <c r="H766" i="3"/>
  <c r="I766" i="3"/>
  <c r="J766" i="3"/>
  <c r="K766" i="3"/>
  <c r="L766" i="3"/>
  <c r="M766" i="3"/>
  <c r="A767" i="3"/>
  <c r="B767" i="3"/>
  <c r="C767" i="3"/>
  <c r="D767" i="3"/>
  <c r="E767" i="3"/>
  <c r="F767" i="3"/>
  <c r="G767" i="3"/>
  <c r="H767" i="3"/>
  <c r="I767" i="3"/>
  <c r="J767" i="3"/>
  <c r="K767" i="3"/>
  <c r="L767" i="3"/>
  <c r="M767" i="3"/>
  <c r="A768" i="3"/>
  <c r="B768" i="3"/>
  <c r="C768" i="3"/>
  <c r="D768" i="3"/>
  <c r="E768" i="3"/>
  <c r="F768" i="3"/>
  <c r="G768" i="3"/>
  <c r="H768" i="3"/>
  <c r="I768" i="3"/>
  <c r="J768" i="3"/>
  <c r="K768" i="3"/>
  <c r="L768" i="3"/>
  <c r="M768" i="3"/>
  <c r="A769" i="3"/>
  <c r="B769" i="3"/>
  <c r="C769" i="3"/>
  <c r="D769" i="3"/>
  <c r="E769" i="3"/>
  <c r="F769" i="3"/>
  <c r="G769" i="3"/>
  <c r="H769" i="3"/>
  <c r="I769" i="3"/>
  <c r="J769" i="3"/>
  <c r="K769" i="3"/>
  <c r="L769" i="3"/>
  <c r="M769" i="3"/>
  <c r="A770" i="3"/>
  <c r="B770" i="3"/>
  <c r="C770" i="3"/>
  <c r="D770" i="3"/>
  <c r="E770" i="3"/>
  <c r="F770" i="3"/>
  <c r="G770" i="3"/>
  <c r="H770" i="3"/>
  <c r="I770" i="3"/>
  <c r="J770" i="3"/>
  <c r="K770" i="3"/>
  <c r="L770" i="3"/>
  <c r="M770" i="3"/>
  <c r="A771" i="3"/>
  <c r="B771" i="3"/>
  <c r="C771" i="3"/>
  <c r="D771" i="3"/>
  <c r="E771" i="3"/>
  <c r="F771" i="3"/>
  <c r="G771" i="3"/>
  <c r="H771" i="3"/>
  <c r="I771" i="3"/>
  <c r="J771" i="3"/>
  <c r="K771" i="3"/>
  <c r="L771" i="3"/>
  <c r="M771" i="3"/>
  <c r="A772" i="3"/>
  <c r="B772" i="3"/>
  <c r="C772" i="3"/>
  <c r="D772" i="3"/>
  <c r="E772" i="3"/>
  <c r="F772" i="3"/>
  <c r="G772" i="3"/>
  <c r="H772" i="3"/>
  <c r="I772" i="3"/>
  <c r="J772" i="3"/>
  <c r="K772" i="3"/>
  <c r="L772" i="3"/>
  <c r="M772" i="3"/>
  <c r="A773" i="3"/>
  <c r="B773" i="3"/>
  <c r="C773" i="3"/>
  <c r="D773" i="3"/>
  <c r="E773" i="3"/>
  <c r="F773" i="3"/>
  <c r="G773" i="3"/>
  <c r="H773" i="3"/>
  <c r="I773" i="3"/>
  <c r="J773" i="3"/>
  <c r="K773" i="3"/>
  <c r="L773" i="3"/>
  <c r="M773" i="3"/>
  <c r="A774" i="3"/>
  <c r="B774" i="3"/>
  <c r="C774" i="3"/>
  <c r="D774" i="3"/>
  <c r="E774" i="3"/>
  <c r="F774" i="3"/>
  <c r="G774" i="3"/>
  <c r="H774" i="3"/>
  <c r="I774" i="3"/>
  <c r="J774" i="3"/>
  <c r="K774" i="3"/>
  <c r="L774" i="3"/>
  <c r="M774" i="3"/>
  <c r="A775" i="3"/>
  <c r="B775" i="3"/>
  <c r="C775" i="3"/>
  <c r="D775" i="3"/>
  <c r="E775" i="3"/>
  <c r="F775" i="3"/>
  <c r="G775" i="3"/>
  <c r="H775" i="3"/>
  <c r="I775" i="3"/>
  <c r="J775" i="3"/>
  <c r="K775" i="3"/>
  <c r="L775" i="3"/>
  <c r="M775" i="3"/>
  <c r="A776" i="3"/>
  <c r="B776" i="3"/>
  <c r="C776" i="3"/>
  <c r="D776" i="3"/>
  <c r="E776" i="3"/>
  <c r="F776" i="3"/>
  <c r="G776" i="3"/>
  <c r="H776" i="3"/>
  <c r="I776" i="3"/>
  <c r="J776" i="3"/>
  <c r="K776" i="3"/>
  <c r="L776" i="3"/>
  <c r="M776" i="3"/>
  <c r="A777" i="3"/>
  <c r="B777" i="3"/>
  <c r="C777" i="3"/>
  <c r="D777" i="3"/>
  <c r="E777" i="3"/>
  <c r="F777" i="3"/>
  <c r="G777" i="3"/>
  <c r="H777" i="3"/>
  <c r="I777" i="3"/>
  <c r="J777" i="3"/>
  <c r="K777" i="3"/>
  <c r="L777" i="3"/>
  <c r="M777" i="3"/>
  <c r="A778" i="3"/>
  <c r="B778" i="3"/>
  <c r="C778" i="3"/>
  <c r="D778" i="3"/>
  <c r="E778" i="3"/>
  <c r="F778" i="3"/>
  <c r="G778" i="3"/>
  <c r="H778" i="3"/>
  <c r="I778" i="3"/>
  <c r="J778" i="3"/>
  <c r="K778" i="3"/>
  <c r="L778" i="3"/>
  <c r="M778" i="3"/>
  <c r="A779" i="3"/>
  <c r="B779" i="3"/>
  <c r="C779" i="3"/>
  <c r="D779" i="3"/>
  <c r="E779" i="3"/>
  <c r="F779" i="3"/>
  <c r="G779" i="3"/>
  <c r="H779" i="3"/>
  <c r="I779" i="3"/>
  <c r="J779" i="3"/>
  <c r="K779" i="3"/>
  <c r="L779" i="3"/>
  <c r="M779" i="3"/>
  <c r="A780" i="3"/>
  <c r="B780" i="3"/>
  <c r="C780" i="3"/>
  <c r="D780" i="3"/>
  <c r="E780" i="3"/>
  <c r="F780" i="3"/>
  <c r="G780" i="3"/>
  <c r="H780" i="3"/>
  <c r="I780" i="3"/>
  <c r="J780" i="3"/>
  <c r="K780" i="3"/>
  <c r="L780" i="3"/>
  <c r="M780" i="3"/>
  <c r="A781" i="3"/>
  <c r="B781" i="3"/>
  <c r="C781" i="3"/>
  <c r="D781" i="3"/>
  <c r="E781" i="3"/>
  <c r="F781" i="3"/>
  <c r="G781" i="3"/>
  <c r="H781" i="3"/>
  <c r="I781" i="3"/>
  <c r="J781" i="3"/>
  <c r="K781" i="3"/>
  <c r="L781" i="3"/>
  <c r="M781" i="3"/>
  <c r="A782" i="3"/>
  <c r="B782" i="3"/>
  <c r="C782" i="3"/>
  <c r="D782" i="3"/>
  <c r="E782" i="3"/>
  <c r="F782" i="3"/>
  <c r="G782" i="3"/>
  <c r="H782" i="3"/>
  <c r="I782" i="3"/>
  <c r="J782" i="3"/>
  <c r="K782" i="3"/>
  <c r="L782" i="3"/>
  <c r="M782" i="3"/>
  <c r="A783" i="3"/>
  <c r="B783" i="3"/>
  <c r="C783" i="3"/>
  <c r="D783" i="3"/>
  <c r="E783" i="3"/>
  <c r="F783" i="3"/>
  <c r="G783" i="3"/>
  <c r="H783" i="3"/>
  <c r="I783" i="3"/>
  <c r="J783" i="3"/>
  <c r="K783" i="3"/>
  <c r="L783" i="3"/>
  <c r="M783" i="3"/>
  <c r="A784" i="3"/>
  <c r="B784" i="3"/>
  <c r="C784" i="3"/>
  <c r="D784" i="3"/>
  <c r="E784" i="3"/>
  <c r="F784" i="3"/>
  <c r="G784" i="3"/>
  <c r="H784" i="3"/>
  <c r="I784" i="3"/>
  <c r="J784" i="3"/>
  <c r="K784" i="3"/>
  <c r="L784" i="3"/>
  <c r="M784" i="3"/>
  <c r="A785" i="3"/>
  <c r="B785" i="3"/>
  <c r="C785" i="3"/>
  <c r="D785" i="3"/>
  <c r="E785" i="3"/>
  <c r="F785" i="3"/>
  <c r="G785" i="3"/>
  <c r="H785" i="3"/>
  <c r="I785" i="3"/>
  <c r="J785" i="3"/>
  <c r="K785" i="3"/>
  <c r="L785" i="3"/>
  <c r="M785" i="3"/>
  <c r="A786" i="3"/>
  <c r="B786" i="3"/>
  <c r="C786" i="3"/>
  <c r="D786" i="3"/>
  <c r="E786" i="3"/>
  <c r="F786" i="3"/>
  <c r="G786" i="3"/>
  <c r="H786" i="3"/>
  <c r="I786" i="3"/>
  <c r="J786" i="3"/>
  <c r="K786" i="3"/>
  <c r="L786" i="3"/>
  <c r="M786" i="3"/>
  <c r="A787" i="3"/>
  <c r="B787" i="3"/>
  <c r="C787" i="3"/>
  <c r="D787" i="3"/>
  <c r="E787" i="3"/>
  <c r="F787" i="3"/>
  <c r="G787" i="3"/>
  <c r="H787" i="3"/>
  <c r="I787" i="3"/>
  <c r="J787" i="3"/>
  <c r="K787" i="3"/>
  <c r="L787" i="3"/>
  <c r="M787" i="3"/>
  <c r="A788" i="3"/>
  <c r="B788" i="3"/>
  <c r="C788" i="3"/>
  <c r="D788" i="3"/>
  <c r="E788" i="3"/>
  <c r="F788" i="3"/>
  <c r="G788" i="3"/>
  <c r="H788" i="3"/>
  <c r="I788" i="3"/>
  <c r="J788" i="3"/>
  <c r="K788" i="3"/>
  <c r="L788" i="3"/>
  <c r="M788" i="3"/>
  <c r="A789" i="3"/>
  <c r="B789" i="3"/>
  <c r="C789" i="3"/>
  <c r="D789" i="3"/>
  <c r="E789" i="3"/>
  <c r="F789" i="3"/>
  <c r="G789" i="3"/>
  <c r="H789" i="3"/>
  <c r="I789" i="3"/>
  <c r="J789" i="3"/>
  <c r="K789" i="3"/>
  <c r="L789" i="3"/>
  <c r="M789" i="3"/>
  <c r="A790" i="3"/>
  <c r="B790" i="3"/>
  <c r="C790" i="3"/>
  <c r="D790" i="3"/>
  <c r="E790" i="3"/>
  <c r="F790" i="3"/>
  <c r="G790" i="3"/>
  <c r="H790" i="3"/>
  <c r="I790" i="3"/>
  <c r="J790" i="3"/>
  <c r="K790" i="3"/>
  <c r="L790" i="3"/>
  <c r="M790" i="3"/>
  <c r="A791" i="3"/>
  <c r="B791" i="3"/>
  <c r="C791" i="3"/>
  <c r="D791" i="3"/>
  <c r="E791" i="3"/>
  <c r="F791" i="3"/>
  <c r="G791" i="3"/>
  <c r="H791" i="3"/>
  <c r="I791" i="3"/>
  <c r="J791" i="3"/>
  <c r="K791" i="3"/>
  <c r="L791" i="3"/>
  <c r="M791" i="3"/>
  <c r="A792" i="3"/>
  <c r="B792" i="3"/>
  <c r="C792" i="3"/>
  <c r="D792" i="3"/>
  <c r="E792" i="3"/>
  <c r="F792" i="3"/>
  <c r="G792" i="3"/>
  <c r="H792" i="3"/>
  <c r="I792" i="3"/>
  <c r="J792" i="3"/>
  <c r="K792" i="3"/>
  <c r="L792" i="3"/>
  <c r="M792" i="3"/>
  <c r="A793" i="3"/>
  <c r="B793" i="3"/>
  <c r="C793" i="3"/>
  <c r="D793" i="3"/>
  <c r="E793" i="3"/>
  <c r="F793" i="3"/>
  <c r="G793" i="3"/>
  <c r="H793" i="3"/>
  <c r="I793" i="3"/>
  <c r="J793" i="3"/>
  <c r="K793" i="3"/>
  <c r="L793" i="3"/>
  <c r="M793" i="3"/>
  <c r="A794" i="3"/>
  <c r="B794" i="3"/>
  <c r="C794" i="3"/>
  <c r="D794" i="3"/>
  <c r="E794" i="3"/>
  <c r="F794" i="3"/>
  <c r="G794" i="3"/>
  <c r="H794" i="3"/>
  <c r="I794" i="3"/>
  <c r="J794" i="3"/>
  <c r="K794" i="3"/>
  <c r="L794" i="3"/>
  <c r="M794" i="3"/>
  <c r="A795" i="3"/>
  <c r="B795" i="3"/>
  <c r="C795" i="3"/>
  <c r="D795" i="3"/>
  <c r="E795" i="3"/>
  <c r="F795" i="3"/>
  <c r="G795" i="3"/>
  <c r="H795" i="3"/>
  <c r="I795" i="3"/>
  <c r="J795" i="3"/>
  <c r="K795" i="3"/>
  <c r="L795" i="3"/>
  <c r="M795" i="3"/>
  <c r="A796" i="3"/>
  <c r="B796" i="3"/>
  <c r="C796" i="3"/>
  <c r="D796" i="3"/>
  <c r="E796" i="3"/>
  <c r="F796" i="3"/>
  <c r="G796" i="3"/>
  <c r="H796" i="3"/>
  <c r="I796" i="3"/>
  <c r="J796" i="3"/>
  <c r="K796" i="3"/>
  <c r="L796" i="3"/>
  <c r="M796" i="3"/>
  <c r="A797" i="3"/>
  <c r="B797" i="3"/>
  <c r="C797" i="3"/>
  <c r="D797" i="3"/>
  <c r="E797" i="3"/>
  <c r="F797" i="3"/>
  <c r="G797" i="3"/>
  <c r="H797" i="3"/>
  <c r="I797" i="3"/>
  <c r="J797" i="3"/>
  <c r="K797" i="3"/>
  <c r="L797" i="3"/>
  <c r="M797" i="3"/>
  <c r="A798" i="3"/>
  <c r="B798" i="3"/>
  <c r="C798" i="3"/>
  <c r="D798" i="3"/>
  <c r="E798" i="3"/>
  <c r="F798" i="3"/>
  <c r="G798" i="3"/>
  <c r="H798" i="3"/>
  <c r="I798" i="3"/>
  <c r="J798" i="3"/>
  <c r="K798" i="3"/>
  <c r="L798" i="3"/>
  <c r="M798" i="3"/>
  <c r="A799" i="3"/>
  <c r="B799" i="3"/>
  <c r="C799" i="3"/>
  <c r="D799" i="3"/>
  <c r="E799" i="3"/>
  <c r="F799" i="3"/>
  <c r="G799" i="3"/>
  <c r="H799" i="3"/>
  <c r="I799" i="3"/>
  <c r="J799" i="3"/>
  <c r="K799" i="3"/>
  <c r="L799" i="3"/>
  <c r="M799" i="3"/>
  <c r="A800" i="3"/>
  <c r="B800" i="3"/>
  <c r="C800" i="3"/>
  <c r="D800" i="3"/>
  <c r="E800" i="3"/>
  <c r="F800" i="3"/>
  <c r="G800" i="3"/>
  <c r="H800" i="3"/>
  <c r="I800" i="3"/>
  <c r="J800" i="3"/>
  <c r="K800" i="3"/>
  <c r="L800" i="3"/>
  <c r="M800" i="3"/>
  <c r="A801" i="3"/>
  <c r="B801" i="3"/>
  <c r="C801" i="3"/>
  <c r="D801" i="3"/>
  <c r="E801" i="3"/>
  <c r="F801" i="3"/>
  <c r="G801" i="3"/>
  <c r="H801" i="3"/>
  <c r="I801" i="3"/>
  <c r="J801" i="3"/>
  <c r="K801" i="3"/>
  <c r="L801" i="3"/>
  <c r="M801" i="3"/>
  <c r="A802" i="3"/>
  <c r="B802" i="3"/>
  <c r="C802" i="3"/>
  <c r="D802" i="3"/>
  <c r="E802" i="3"/>
  <c r="F802" i="3"/>
  <c r="G802" i="3"/>
  <c r="H802" i="3"/>
  <c r="I802" i="3"/>
  <c r="J802" i="3"/>
  <c r="K802" i="3"/>
  <c r="L802" i="3"/>
  <c r="M802" i="3"/>
  <c r="A803" i="3"/>
  <c r="B803" i="3"/>
  <c r="C803" i="3"/>
  <c r="D803" i="3"/>
  <c r="E803" i="3"/>
  <c r="F803" i="3"/>
  <c r="G803" i="3"/>
  <c r="H803" i="3"/>
  <c r="I803" i="3"/>
  <c r="J803" i="3"/>
  <c r="K803" i="3"/>
  <c r="L803" i="3"/>
  <c r="M803" i="3"/>
  <c r="A804" i="3"/>
  <c r="B804" i="3"/>
  <c r="C804" i="3"/>
  <c r="D804" i="3"/>
  <c r="E804" i="3"/>
  <c r="F804" i="3"/>
  <c r="G804" i="3"/>
  <c r="H804" i="3"/>
  <c r="I804" i="3"/>
  <c r="J804" i="3"/>
  <c r="K804" i="3"/>
  <c r="L804" i="3"/>
  <c r="M804" i="3"/>
  <c r="A805" i="3"/>
  <c r="B805" i="3"/>
  <c r="C805" i="3"/>
  <c r="D805" i="3"/>
  <c r="E805" i="3"/>
  <c r="F805" i="3"/>
  <c r="G805" i="3"/>
  <c r="H805" i="3"/>
  <c r="I805" i="3"/>
  <c r="J805" i="3"/>
  <c r="K805" i="3"/>
  <c r="L805" i="3"/>
  <c r="M805" i="3"/>
  <c r="A806" i="3"/>
  <c r="B806" i="3"/>
  <c r="C806" i="3"/>
  <c r="D806" i="3"/>
  <c r="E806" i="3"/>
  <c r="F806" i="3"/>
  <c r="G806" i="3"/>
  <c r="H806" i="3"/>
  <c r="I806" i="3"/>
  <c r="J806" i="3"/>
  <c r="K806" i="3"/>
  <c r="L806" i="3"/>
  <c r="M806" i="3"/>
  <c r="A807" i="3"/>
  <c r="B807" i="3"/>
  <c r="C807" i="3"/>
  <c r="D807" i="3"/>
  <c r="E807" i="3"/>
  <c r="F807" i="3"/>
  <c r="G807" i="3"/>
  <c r="H807" i="3"/>
  <c r="I807" i="3"/>
  <c r="J807" i="3"/>
  <c r="K807" i="3"/>
  <c r="L807" i="3"/>
  <c r="M807" i="3"/>
  <c r="A808" i="3"/>
  <c r="B808" i="3"/>
  <c r="C808" i="3"/>
  <c r="D808" i="3"/>
  <c r="E808" i="3"/>
  <c r="F808" i="3"/>
  <c r="G808" i="3"/>
  <c r="H808" i="3"/>
  <c r="I808" i="3"/>
  <c r="J808" i="3"/>
  <c r="K808" i="3"/>
  <c r="L808" i="3"/>
  <c r="M808" i="3"/>
  <c r="A809" i="3"/>
  <c r="B809" i="3"/>
  <c r="C809" i="3"/>
  <c r="D809" i="3"/>
  <c r="E809" i="3"/>
  <c r="F809" i="3"/>
  <c r="G809" i="3"/>
  <c r="H809" i="3"/>
  <c r="I809" i="3"/>
  <c r="J809" i="3"/>
  <c r="K809" i="3"/>
  <c r="L809" i="3"/>
  <c r="M809" i="3"/>
  <c r="A810" i="3"/>
  <c r="B810" i="3"/>
  <c r="C810" i="3"/>
  <c r="D810" i="3"/>
  <c r="E810" i="3"/>
  <c r="F810" i="3"/>
  <c r="G810" i="3"/>
  <c r="H810" i="3"/>
  <c r="I810" i="3"/>
  <c r="J810" i="3"/>
  <c r="K810" i="3"/>
  <c r="L810" i="3"/>
  <c r="M810" i="3"/>
  <c r="A811" i="3"/>
  <c r="B811" i="3"/>
  <c r="C811" i="3"/>
  <c r="D811" i="3"/>
  <c r="E811" i="3"/>
  <c r="F811" i="3"/>
  <c r="G811" i="3"/>
  <c r="H811" i="3"/>
  <c r="I811" i="3"/>
  <c r="J811" i="3"/>
  <c r="K811" i="3"/>
  <c r="L811" i="3"/>
  <c r="M811" i="3"/>
  <c r="A812" i="3"/>
  <c r="B812" i="3"/>
  <c r="C812" i="3"/>
  <c r="D812" i="3"/>
  <c r="E812" i="3"/>
  <c r="F812" i="3"/>
  <c r="G812" i="3"/>
  <c r="H812" i="3"/>
  <c r="I812" i="3"/>
  <c r="J812" i="3"/>
  <c r="K812" i="3"/>
  <c r="L812" i="3"/>
  <c r="M812" i="3"/>
  <c r="A813" i="3"/>
  <c r="B813" i="3"/>
  <c r="C813" i="3"/>
  <c r="D813" i="3"/>
  <c r="E813" i="3"/>
  <c r="F813" i="3"/>
  <c r="G813" i="3"/>
  <c r="H813" i="3"/>
  <c r="I813" i="3"/>
  <c r="J813" i="3"/>
  <c r="K813" i="3"/>
  <c r="L813" i="3"/>
  <c r="M813" i="3"/>
  <c r="A814" i="3"/>
  <c r="B814" i="3"/>
  <c r="C814" i="3"/>
  <c r="D814" i="3"/>
  <c r="E814" i="3"/>
  <c r="F814" i="3"/>
  <c r="G814" i="3"/>
  <c r="H814" i="3"/>
  <c r="I814" i="3"/>
  <c r="J814" i="3"/>
  <c r="K814" i="3"/>
  <c r="L814" i="3"/>
  <c r="M814" i="3"/>
  <c r="A815" i="3"/>
  <c r="B815" i="3"/>
  <c r="C815" i="3"/>
  <c r="D815" i="3"/>
  <c r="E815" i="3"/>
  <c r="F815" i="3"/>
  <c r="G815" i="3"/>
  <c r="H815" i="3"/>
  <c r="I815" i="3"/>
  <c r="J815" i="3"/>
  <c r="K815" i="3"/>
  <c r="L815" i="3"/>
  <c r="M815" i="3"/>
  <c r="A816" i="3"/>
  <c r="B816" i="3"/>
  <c r="C816" i="3"/>
  <c r="D816" i="3"/>
  <c r="E816" i="3"/>
  <c r="F816" i="3"/>
  <c r="G816" i="3"/>
  <c r="H816" i="3"/>
  <c r="I816" i="3"/>
  <c r="J816" i="3"/>
  <c r="K816" i="3"/>
  <c r="L816" i="3"/>
  <c r="M816" i="3"/>
  <c r="A817" i="3"/>
  <c r="B817" i="3"/>
  <c r="C817" i="3"/>
  <c r="D817" i="3"/>
  <c r="E817" i="3"/>
  <c r="F817" i="3"/>
  <c r="G817" i="3"/>
  <c r="H817" i="3"/>
  <c r="I817" i="3"/>
  <c r="J817" i="3"/>
  <c r="K817" i="3"/>
  <c r="L817" i="3"/>
  <c r="M817" i="3"/>
  <c r="A818" i="3"/>
  <c r="B818" i="3"/>
  <c r="C818" i="3"/>
  <c r="D818" i="3"/>
  <c r="E818" i="3"/>
  <c r="F818" i="3"/>
  <c r="G818" i="3"/>
  <c r="H818" i="3"/>
  <c r="I818" i="3"/>
  <c r="J818" i="3"/>
  <c r="K818" i="3"/>
  <c r="L818" i="3"/>
  <c r="M818" i="3"/>
  <c r="A819" i="3"/>
  <c r="B819" i="3"/>
  <c r="C819" i="3"/>
  <c r="D819" i="3"/>
  <c r="E819" i="3"/>
  <c r="F819" i="3"/>
  <c r="G819" i="3"/>
  <c r="H819" i="3"/>
  <c r="I819" i="3"/>
  <c r="J819" i="3"/>
  <c r="K819" i="3"/>
  <c r="L819" i="3"/>
  <c r="M819" i="3"/>
  <c r="A820" i="3"/>
  <c r="B820" i="3"/>
  <c r="C820" i="3"/>
  <c r="D820" i="3"/>
  <c r="E820" i="3"/>
  <c r="F820" i="3"/>
  <c r="G820" i="3"/>
  <c r="H820" i="3"/>
  <c r="I820" i="3"/>
  <c r="J820" i="3"/>
  <c r="K820" i="3"/>
  <c r="L820" i="3"/>
  <c r="M820" i="3"/>
  <c r="A821" i="3"/>
  <c r="B821" i="3"/>
  <c r="C821" i="3"/>
  <c r="D821" i="3"/>
  <c r="E821" i="3"/>
  <c r="F821" i="3"/>
  <c r="G821" i="3"/>
  <c r="H821" i="3"/>
  <c r="I821" i="3"/>
  <c r="J821" i="3"/>
  <c r="K821" i="3"/>
  <c r="L821" i="3"/>
  <c r="M821" i="3"/>
  <c r="A822" i="3"/>
  <c r="B822" i="3"/>
  <c r="C822" i="3"/>
  <c r="D822" i="3"/>
  <c r="E822" i="3"/>
  <c r="F822" i="3"/>
  <c r="G822" i="3"/>
  <c r="H822" i="3"/>
  <c r="I822" i="3"/>
  <c r="J822" i="3"/>
  <c r="K822" i="3"/>
  <c r="L822" i="3"/>
  <c r="M822" i="3"/>
  <c r="A823" i="3"/>
  <c r="B823" i="3"/>
  <c r="C823" i="3"/>
  <c r="D823" i="3"/>
  <c r="E823" i="3"/>
  <c r="F823" i="3"/>
  <c r="G823" i="3"/>
  <c r="H823" i="3"/>
  <c r="I823" i="3"/>
  <c r="J823" i="3"/>
  <c r="K823" i="3"/>
  <c r="L823" i="3"/>
  <c r="M823" i="3"/>
  <c r="A824" i="3"/>
  <c r="B824" i="3"/>
  <c r="C824" i="3"/>
  <c r="D824" i="3"/>
  <c r="E824" i="3"/>
  <c r="F824" i="3"/>
  <c r="G824" i="3"/>
  <c r="H824" i="3"/>
  <c r="I824" i="3"/>
  <c r="J824" i="3"/>
  <c r="K824" i="3"/>
  <c r="L824" i="3"/>
  <c r="M824" i="3"/>
  <c r="A825" i="3"/>
  <c r="B825" i="3"/>
  <c r="C825" i="3"/>
  <c r="D825" i="3"/>
  <c r="E825" i="3"/>
  <c r="F825" i="3"/>
  <c r="G825" i="3"/>
  <c r="H825" i="3"/>
  <c r="I825" i="3"/>
  <c r="J825" i="3"/>
  <c r="K825" i="3"/>
  <c r="L825" i="3"/>
  <c r="M825" i="3"/>
  <c r="A826" i="3"/>
  <c r="B826" i="3"/>
  <c r="C826" i="3"/>
  <c r="D826" i="3"/>
  <c r="E826" i="3"/>
  <c r="F826" i="3"/>
  <c r="G826" i="3"/>
  <c r="H826" i="3"/>
  <c r="I826" i="3"/>
  <c r="J826" i="3"/>
  <c r="K826" i="3"/>
  <c r="L826" i="3"/>
  <c r="M826" i="3"/>
  <c r="A827" i="3"/>
  <c r="B827" i="3"/>
  <c r="C827" i="3"/>
  <c r="D827" i="3"/>
  <c r="E827" i="3"/>
  <c r="F827" i="3"/>
  <c r="G827" i="3"/>
  <c r="H827" i="3"/>
  <c r="I827" i="3"/>
  <c r="J827" i="3"/>
  <c r="K827" i="3"/>
  <c r="L827" i="3"/>
  <c r="M827" i="3"/>
  <c r="A828" i="3"/>
  <c r="B828" i="3"/>
  <c r="C828" i="3"/>
  <c r="D828" i="3"/>
  <c r="E828" i="3"/>
  <c r="F828" i="3"/>
  <c r="G828" i="3"/>
  <c r="H828" i="3"/>
  <c r="I828" i="3"/>
  <c r="J828" i="3"/>
  <c r="K828" i="3"/>
  <c r="L828" i="3"/>
  <c r="M828" i="3"/>
  <c r="A829" i="3"/>
  <c r="B829" i="3"/>
  <c r="C829" i="3"/>
  <c r="D829" i="3"/>
  <c r="E829" i="3"/>
  <c r="F829" i="3"/>
  <c r="G829" i="3"/>
  <c r="H829" i="3"/>
  <c r="I829" i="3"/>
  <c r="J829" i="3"/>
  <c r="K829" i="3"/>
  <c r="L829" i="3"/>
  <c r="M829" i="3"/>
  <c r="A830" i="3"/>
  <c r="B830" i="3"/>
  <c r="C830" i="3"/>
  <c r="D830" i="3"/>
  <c r="E830" i="3"/>
  <c r="F830" i="3"/>
  <c r="G830" i="3"/>
  <c r="H830" i="3"/>
  <c r="I830" i="3"/>
  <c r="J830" i="3"/>
  <c r="K830" i="3"/>
  <c r="L830" i="3"/>
  <c r="M830" i="3"/>
  <c r="A831" i="3"/>
  <c r="B831" i="3"/>
  <c r="C831" i="3"/>
  <c r="D831" i="3"/>
  <c r="E831" i="3"/>
  <c r="F831" i="3"/>
  <c r="G831" i="3"/>
  <c r="H831" i="3"/>
  <c r="I831" i="3"/>
  <c r="J831" i="3"/>
  <c r="K831" i="3"/>
  <c r="L831" i="3"/>
  <c r="M831" i="3"/>
  <c r="A832" i="3"/>
  <c r="B832" i="3"/>
  <c r="C832" i="3"/>
  <c r="D832" i="3"/>
  <c r="E832" i="3"/>
  <c r="F832" i="3"/>
  <c r="G832" i="3"/>
  <c r="H832" i="3"/>
  <c r="I832" i="3"/>
  <c r="J832" i="3"/>
  <c r="K832" i="3"/>
  <c r="L832" i="3"/>
  <c r="M832" i="3"/>
  <c r="A833" i="3"/>
  <c r="B833" i="3"/>
  <c r="C833" i="3"/>
  <c r="D833" i="3"/>
  <c r="E833" i="3"/>
  <c r="F833" i="3"/>
  <c r="G833" i="3"/>
  <c r="H833" i="3"/>
  <c r="I833" i="3"/>
  <c r="J833" i="3"/>
  <c r="K833" i="3"/>
  <c r="L833" i="3"/>
  <c r="M833" i="3"/>
  <c r="A834" i="3"/>
  <c r="B834" i="3"/>
  <c r="C834" i="3"/>
  <c r="D834" i="3"/>
  <c r="E834" i="3"/>
  <c r="F834" i="3"/>
  <c r="G834" i="3"/>
  <c r="H834" i="3"/>
  <c r="I834" i="3"/>
  <c r="J834" i="3"/>
  <c r="K834" i="3"/>
  <c r="L834" i="3"/>
  <c r="M834" i="3"/>
  <c r="A835" i="3"/>
  <c r="B835" i="3"/>
  <c r="C835" i="3"/>
  <c r="D835" i="3"/>
  <c r="E835" i="3"/>
  <c r="F835" i="3"/>
  <c r="G835" i="3"/>
  <c r="H835" i="3"/>
  <c r="I835" i="3"/>
  <c r="J835" i="3"/>
  <c r="K835" i="3"/>
  <c r="L835" i="3"/>
  <c r="M835" i="3"/>
  <c r="A836" i="3"/>
  <c r="B836" i="3"/>
  <c r="C836" i="3"/>
  <c r="D836" i="3"/>
  <c r="E836" i="3"/>
  <c r="F836" i="3"/>
  <c r="G836" i="3"/>
  <c r="H836" i="3"/>
  <c r="I836" i="3"/>
  <c r="J836" i="3"/>
  <c r="K836" i="3"/>
  <c r="L836" i="3"/>
  <c r="M836" i="3"/>
  <c r="A837" i="3"/>
  <c r="B837" i="3"/>
  <c r="C837" i="3"/>
  <c r="D837" i="3"/>
  <c r="E837" i="3"/>
  <c r="F837" i="3"/>
  <c r="G837" i="3"/>
  <c r="H837" i="3"/>
  <c r="I837" i="3"/>
  <c r="J837" i="3"/>
  <c r="K837" i="3"/>
  <c r="L837" i="3"/>
  <c r="M837" i="3"/>
  <c r="A838" i="3"/>
  <c r="B838" i="3"/>
  <c r="C838" i="3"/>
  <c r="D838" i="3"/>
  <c r="E838" i="3"/>
  <c r="F838" i="3"/>
  <c r="G838" i="3"/>
  <c r="H838" i="3"/>
  <c r="I838" i="3"/>
  <c r="J838" i="3"/>
  <c r="K838" i="3"/>
  <c r="L838" i="3"/>
  <c r="M838" i="3"/>
  <c r="A839" i="3"/>
  <c r="B839" i="3"/>
  <c r="C839" i="3"/>
  <c r="D839" i="3"/>
  <c r="E839" i="3"/>
  <c r="F839" i="3"/>
  <c r="G839" i="3"/>
  <c r="H839" i="3"/>
  <c r="I839" i="3"/>
  <c r="J839" i="3"/>
  <c r="K839" i="3"/>
  <c r="L839" i="3"/>
  <c r="M839" i="3"/>
  <c r="A840" i="3"/>
  <c r="B840" i="3"/>
  <c r="C840" i="3"/>
  <c r="D840" i="3"/>
  <c r="E840" i="3"/>
  <c r="F840" i="3"/>
  <c r="G840" i="3"/>
  <c r="H840" i="3"/>
  <c r="I840" i="3"/>
  <c r="J840" i="3"/>
  <c r="K840" i="3"/>
  <c r="L840" i="3"/>
  <c r="M840" i="3"/>
  <c r="A841" i="3"/>
  <c r="B841" i="3"/>
  <c r="C841" i="3"/>
  <c r="D841" i="3"/>
  <c r="E841" i="3"/>
  <c r="F841" i="3"/>
  <c r="G841" i="3"/>
  <c r="H841" i="3"/>
  <c r="I841" i="3"/>
  <c r="J841" i="3"/>
  <c r="K841" i="3"/>
  <c r="L841" i="3"/>
  <c r="M841" i="3"/>
  <c r="A842" i="3"/>
  <c r="B842" i="3"/>
  <c r="C842" i="3"/>
  <c r="D842" i="3"/>
  <c r="E842" i="3"/>
  <c r="F842" i="3"/>
  <c r="G842" i="3"/>
  <c r="H842" i="3"/>
  <c r="I842" i="3"/>
  <c r="J842" i="3"/>
  <c r="K842" i="3"/>
  <c r="L842" i="3"/>
  <c r="M842" i="3"/>
  <c r="A843" i="3"/>
  <c r="B843" i="3"/>
  <c r="C843" i="3"/>
  <c r="D843" i="3"/>
  <c r="E843" i="3"/>
  <c r="F843" i="3"/>
  <c r="G843" i="3"/>
  <c r="H843" i="3"/>
  <c r="I843" i="3"/>
  <c r="J843" i="3"/>
  <c r="K843" i="3"/>
  <c r="L843" i="3"/>
  <c r="M843" i="3"/>
  <c r="A844" i="3"/>
  <c r="B844" i="3"/>
  <c r="C844" i="3"/>
  <c r="D844" i="3"/>
  <c r="E844" i="3"/>
  <c r="F844" i="3"/>
  <c r="G844" i="3"/>
  <c r="H844" i="3"/>
  <c r="I844" i="3"/>
  <c r="J844" i="3"/>
  <c r="K844" i="3"/>
  <c r="L844" i="3"/>
  <c r="M844" i="3"/>
  <c r="A845" i="3"/>
  <c r="B845" i="3"/>
  <c r="C845" i="3"/>
  <c r="D845" i="3"/>
  <c r="E845" i="3"/>
  <c r="F845" i="3"/>
  <c r="G845" i="3"/>
  <c r="H845" i="3"/>
  <c r="I845" i="3"/>
  <c r="J845" i="3"/>
  <c r="K845" i="3"/>
  <c r="L845" i="3"/>
  <c r="M845" i="3"/>
  <c r="A846" i="3"/>
  <c r="B846" i="3"/>
  <c r="C846" i="3"/>
  <c r="D846" i="3"/>
  <c r="E846" i="3"/>
  <c r="F846" i="3"/>
  <c r="G846" i="3"/>
  <c r="H846" i="3"/>
  <c r="I846" i="3"/>
  <c r="J846" i="3"/>
  <c r="K846" i="3"/>
  <c r="L846" i="3"/>
  <c r="M846" i="3"/>
  <c r="A847" i="3"/>
  <c r="B847" i="3"/>
  <c r="C847" i="3"/>
  <c r="D847" i="3"/>
  <c r="E847" i="3"/>
  <c r="F847" i="3"/>
  <c r="G847" i="3"/>
  <c r="H847" i="3"/>
  <c r="I847" i="3"/>
  <c r="J847" i="3"/>
  <c r="K847" i="3"/>
  <c r="L847" i="3"/>
  <c r="M847" i="3"/>
  <c r="A848" i="3"/>
  <c r="B848" i="3"/>
  <c r="C848" i="3"/>
  <c r="D848" i="3"/>
  <c r="E848" i="3"/>
  <c r="F848" i="3"/>
  <c r="G848" i="3"/>
  <c r="H848" i="3"/>
  <c r="I848" i="3"/>
  <c r="J848" i="3"/>
  <c r="K848" i="3"/>
  <c r="L848" i="3"/>
  <c r="M848" i="3"/>
  <c r="A849" i="3"/>
  <c r="B849" i="3"/>
  <c r="C849" i="3"/>
  <c r="D849" i="3"/>
  <c r="E849" i="3"/>
  <c r="F849" i="3"/>
  <c r="G849" i="3"/>
  <c r="H849" i="3"/>
  <c r="I849" i="3"/>
  <c r="J849" i="3"/>
  <c r="K849" i="3"/>
  <c r="L849" i="3"/>
  <c r="M849" i="3"/>
  <c r="A850" i="3"/>
  <c r="B850" i="3"/>
  <c r="C850" i="3"/>
  <c r="D850" i="3"/>
  <c r="E850" i="3"/>
  <c r="F850" i="3"/>
  <c r="G850" i="3"/>
  <c r="H850" i="3"/>
  <c r="I850" i="3"/>
  <c r="J850" i="3"/>
  <c r="K850" i="3"/>
  <c r="L850" i="3"/>
  <c r="M850" i="3"/>
  <c r="A851" i="3"/>
  <c r="B851" i="3"/>
  <c r="C851" i="3"/>
  <c r="D851" i="3"/>
  <c r="E851" i="3"/>
  <c r="F851" i="3"/>
  <c r="G851" i="3"/>
  <c r="H851" i="3"/>
  <c r="I851" i="3"/>
  <c r="J851" i="3"/>
  <c r="K851" i="3"/>
  <c r="L851" i="3"/>
  <c r="M851" i="3"/>
  <c r="A852" i="3"/>
  <c r="B852" i="3"/>
  <c r="C852" i="3"/>
  <c r="D852" i="3"/>
  <c r="E852" i="3"/>
  <c r="F852" i="3"/>
  <c r="G852" i="3"/>
  <c r="H852" i="3"/>
  <c r="I852" i="3"/>
  <c r="J852" i="3"/>
  <c r="K852" i="3"/>
  <c r="L852" i="3"/>
  <c r="M852" i="3"/>
  <c r="A853" i="3"/>
  <c r="B853" i="3"/>
  <c r="C853" i="3"/>
  <c r="D853" i="3"/>
  <c r="E853" i="3"/>
  <c r="F853" i="3"/>
  <c r="G853" i="3"/>
  <c r="H853" i="3"/>
  <c r="I853" i="3"/>
  <c r="J853" i="3"/>
  <c r="K853" i="3"/>
  <c r="L853" i="3"/>
  <c r="M853" i="3"/>
  <c r="A854" i="3"/>
  <c r="B854" i="3"/>
  <c r="C854" i="3"/>
  <c r="D854" i="3"/>
  <c r="E854" i="3"/>
  <c r="F854" i="3"/>
  <c r="G854" i="3"/>
  <c r="H854" i="3"/>
  <c r="I854" i="3"/>
  <c r="J854" i="3"/>
  <c r="K854" i="3"/>
  <c r="L854" i="3"/>
  <c r="M854" i="3"/>
  <c r="A855" i="3"/>
  <c r="B855" i="3"/>
  <c r="C855" i="3"/>
  <c r="D855" i="3"/>
  <c r="E855" i="3"/>
  <c r="F855" i="3"/>
  <c r="G855" i="3"/>
  <c r="H855" i="3"/>
  <c r="I855" i="3"/>
  <c r="J855" i="3"/>
  <c r="K855" i="3"/>
  <c r="L855" i="3"/>
  <c r="M855" i="3"/>
  <c r="A856" i="3"/>
  <c r="B856" i="3"/>
  <c r="C856" i="3"/>
  <c r="D856" i="3"/>
  <c r="E856" i="3"/>
  <c r="F856" i="3"/>
  <c r="G856" i="3"/>
  <c r="H856" i="3"/>
  <c r="I856" i="3"/>
  <c r="J856" i="3"/>
  <c r="K856" i="3"/>
  <c r="L856" i="3"/>
  <c r="M856" i="3"/>
  <c r="A857" i="3"/>
  <c r="B857" i="3"/>
  <c r="C857" i="3"/>
  <c r="D857" i="3"/>
  <c r="E857" i="3"/>
  <c r="F857" i="3"/>
  <c r="G857" i="3"/>
  <c r="H857" i="3"/>
  <c r="I857" i="3"/>
  <c r="J857" i="3"/>
  <c r="K857" i="3"/>
  <c r="L857" i="3"/>
  <c r="M857" i="3"/>
  <c r="A858" i="3"/>
  <c r="B858" i="3"/>
  <c r="C858" i="3"/>
  <c r="D858" i="3"/>
  <c r="E858" i="3"/>
  <c r="F858" i="3"/>
  <c r="G858" i="3"/>
  <c r="H858" i="3"/>
  <c r="I858" i="3"/>
  <c r="J858" i="3"/>
  <c r="K858" i="3"/>
  <c r="L858" i="3"/>
  <c r="M858" i="3"/>
  <c r="A859" i="3"/>
  <c r="B859" i="3"/>
  <c r="C859" i="3"/>
  <c r="D859" i="3"/>
  <c r="E859" i="3"/>
  <c r="F859" i="3"/>
  <c r="G859" i="3"/>
  <c r="H859" i="3"/>
  <c r="I859" i="3"/>
  <c r="J859" i="3"/>
  <c r="K859" i="3"/>
  <c r="L859" i="3"/>
  <c r="M859" i="3"/>
  <c r="A860" i="3"/>
  <c r="B860" i="3"/>
  <c r="C860" i="3"/>
  <c r="D860" i="3"/>
  <c r="E860" i="3"/>
  <c r="F860" i="3"/>
  <c r="G860" i="3"/>
  <c r="H860" i="3"/>
  <c r="I860" i="3"/>
  <c r="J860" i="3"/>
  <c r="K860" i="3"/>
  <c r="L860" i="3"/>
  <c r="M860" i="3"/>
  <c r="A861" i="3"/>
  <c r="B861" i="3"/>
  <c r="C861" i="3"/>
  <c r="D861" i="3"/>
  <c r="E861" i="3"/>
  <c r="F861" i="3"/>
  <c r="G861" i="3"/>
  <c r="H861" i="3"/>
  <c r="I861" i="3"/>
  <c r="J861" i="3"/>
  <c r="K861" i="3"/>
  <c r="L861" i="3"/>
  <c r="M861" i="3"/>
  <c r="A862" i="3"/>
  <c r="B862" i="3"/>
  <c r="C862" i="3"/>
  <c r="D862" i="3"/>
  <c r="E862" i="3"/>
  <c r="F862" i="3"/>
  <c r="G862" i="3"/>
  <c r="H862" i="3"/>
  <c r="I862" i="3"/>
  <c r="J862" i="3"/>
  <c r="K862" i="3"/>
  <c r="L862" i="3"/>
  <c r="M862" i="3"/>
  <c r="A863" i="3"/>
  <c r="B863" i="3"/>
  <c r="C863" i="3"/>
  <c r="D863" i="3"/>
  <c r="E863" i="3"/>
  <c r="F863" i="3"/>
  <c r="G863" i="3"/>
  <c r="H863" i="3"/>
  <c r="I863" i="3"/>
  <c r="J863" i="3"/>
  <c r="K863" i="3"/>
  <c r="L863" i="3"/>
  <c r="M863" i="3"/>
  <c r="A864" i="3"/>
  <c r="B864" i="3"/>
  <c r="C864" i="3"/>
  <c r="D864" i="3"/>
  <c r="E864" i="3"/>
  <c r="F864" i="3"/>
  <c r="G864" i="3"/>
  <c r="H864" i="3"/>
  <c r="I864" i="3"/>
  <c r="J864" i="3"/>
  <c r="K864" i="3"/>
  <c r="L864" i="3"/>
  <c r="M864" i="3"/>
  <c r="A865" i="3"/>
  <c r="B865" i="3"/>
  <c r="C865" i="3"/>
  <c r="D865" i="3"/>
  <c r="E865" i="3"/>
  <c r="F865" i="3"/>
  <c r="G865" i="3"/>
  <c r="H865" i="3"/>
  <c r="I865" i="3"/>
  <c r="J865" i="3"/>
  <c r="K865" i="3"/>
  <c r="L865" i="3"/>
  <c r="M865" i="3"/>
  <c r="A866" i="3"/>
  <c r="B866" i="3"/>
  <c r="C866" i="3"/>
  <c r="D866" i="3"/>
  <c r="E866" i="3"/>
  <c r="F866" i="3"/>
  <c r="G866" i="3"/>
  <c r="H866" i="3"/>
  <c r="I866" i="3"/>
  <c r="J866" i="3"/>
  <c r="K866" i="3"/>
  <c r="L866" i="3"/>
  <c r="M866" i="3"/>
  <c r="A867" i="3"/>
  <c r="B867" i="3"/>
  <c r="C867" i="3"/>
  <c r="D867" i="3"/>
  <c r="E867" i="3"/>
  <c r="F867" i="3"/>
  <c r="G867" i="3"/>
  <c r="H867" i="3"/>
  <c r="I867" i="3"/>
  <c r="J867" i="3"/>
  <c r="K867" i="3"/>
  <c r="L867" i="3"/>
  <c r="M867" i="3"/>
  <c r="A868" i="3"/>
  <c r="B868" i="3"/>
  <c r="C868" i="3"/>
  <c r="D868" i="3"/>
  <c r="E868" i="3"/>
  <c r="F868" i="3"/>
  <c r="G868" i="3"/>
  <c r="H868" i="3"/>
  <c r="I868" i="3"/>
  <c r="J868" i="3"/>
  <c r="K868" i="3"/>
  <c r="L868" i="3"/>
  <c r="M868" i="3"/>
  <c r="A869" i="3"/>
  <c r="B869" i="3"/>
  <c r="C869" i="3"/>
  <c r="D869" i="3"/>
  <c r="E869" i="3"/>
  <c r="F869" i="3"/>
  <c r="G869" i="3"/>
  <c r="H869" i="3"/>
  <c r="I869" i="3"/>
  <c r="J869" i="3"/>
  <c r="K869" i="3"/>
  <c r="L869" i="3"/>
  <c r="M869" i="3"/>
  <c r="A870" i="3"/>
  <c r="B870" i="3"/>
  <c r="C870" i="3"/>
  <c r="D870" i="3"/>
  <c r="E870" i="3"/>
  <c r="F870" i="3"/>
  <c r="G870" i="3"/>
  <c r="H870" i="3"/>
  <c r="I870" i="3"/>
  <c r="J870" i="3"/>
  <c r="K870" i="3"/>
  <c r="L870" i="3"/>
  <c r="M870" i="3"/>
  <c r="A871" i="3"/>
  <c r="B871" i="3"/>
  <c r="C871" i="3"/>
  <c r="D871" i="3"/>
  <c r="E871" i="3"/>
  <c r="F871" i="3"/>
  <c r="G871" i="3"/>
  <c r="H871" i="3"/>
  <c r="I871" i="3"/>
  <c r="J871" i="3"/>
  <c r="K871" i="3"/>
  <c r="L871" i="3"/>
  <c r="M871" i="3"/>
  <c r="A872" i="3"/>
  <c r="B872" i="3"/>
  <c r="C872" i="3"/>
  <c r="D872" i="3"/>
  <c r="E872" i="3"/>
  <c r="F872" i="3"/>
  <c r="G872" i="3"/>
  <c r="H872" i="3"/>
  <c r="I872" i="3"/>
  <c r="J872" i="3"/>
  <c r="K872" i="3"/>
  <c r="L872" i="3"/>
  <c r="M872" i="3"/>
  <c r="A873" i="3"/>
  <c r="B873" i="3"/>
  <c r="C873" i="3"/>
  <c r="D873" i="3"/>
  <c r="E873" i="3"/>
  <c r="F873" i="3"/>
  <c r="G873" i="3"/>
  <c r="H873" i="3"/>
  <c r="I873" i="3"/>
  <c r="J873" i="3"/>
  <c r="K873" i="3"/>
  <c r="L873" i="3"/>
  <c r="M873" i="3"/>
  <c r="A874" i="3"/>
  <c r="B874" i="3"/>
  <c r="C874" i="3"/>
  <c r="D874" i="3"/>
  <c r="E874" i="3"/>
  <c r="F874" i="3"/>
  <c r="G874" i="3"/>
  <c r="H874" i="3"/>
  <c r="I874" i="3"/>
  <c r="J874" i="3"/>
  <c r="K874" i="3"/>
  <c r="L874" i="3"/>
  <c r="M874" i="3"/>
  <c r="A875" i="3"/>
  <c r="B875" i="3"/>
  <c r="C875" i="3"/>
  <c r="D875" i="3"/>
  <c r="E875" i="3"/>
  <c r="F875" i="3"/>
  <c r="G875" i="3"/>
  <c r="H875" i="3"/>
  <c r="I875" i="3"/>
  <c r="J875" i="3"/>
  <c r="K875" i="3"/>
  <c r="L875" i="3"/>
  <c r="M875" i="3"/>
  <c r="A876" i="3"/>
  <c r="B876" i="3"/>
  <c r="C876" i="3"/>
  <c r="D876" i="3"/>
  <c r="E876" i="3"/>
  <c r="F876" i="3"/>
  <c r="G876" i="3"/>
  <c r="H876" i="3"/>
  <c r="I876" i="3"/>
  <c r="J876" i="3"/>
  <c r="K876" i="3"/>
  <c r="L876" i="3"/>
  <c r="M876" i="3"/>
  <c r="A877" i="3"/>
  <c r="B877" i="3"/>
  <c r="C877" i="3"/>
  <c r="D877" i="3"/>
  <c r="E877" i="3"/>
  <c r="F877" i="3"/>
  <c r="G877" i="3"/>
  <c r="H877" i="3"/>
  <c r="I877" i="3"/>
  <c r="J877" i="3"/>
  <c r="K877" i="3"/>
  <c r="L877" i="3"/>
  <c r="M877" i="3"/>
  <c r="A878" i="3"/>
  <c r="B878" i="3"/>
  <c r="C878" i="3"/>
  <c r="D878" i="3"/>
  <c r="E878" i="3"/>
  <c r="F878" i="3"/>
  <c r="G878" i="3"/>
  <c r="H878" i="3"/>
  <c r="I878" i="3"/>
  <c r="J878" i="3"/>
  <c r="K878" i="3"/>
  <c r="L878" i="3"/>
  <c r="M878" i="3"/>
  <c r="A879" i="3"/>
  <c r="B879" i="3"/>
  <c r="C879" i="3"/>
  <c r="D879" i="3"/>
  <c r="E879" i="3"/>
  <c r="F879" i="3"/>
  <c r="G879" i="3"/>
  <c r="H879" i="3"/>
  <c r="I879" i="3"/>
  <c r="J879" i="3"/>
  <c r="K879" i="3"/>
  <c r="L879" i="3"/>
  <c r="M879" i="3"/>
  <c r="A880" i="3"/>
  <c r="B880" i="3"/>
  <c r="C880" i="3"/>
  <c r="D880" i="3"/>
  <c r="E880" i="3"/>
  <c r="F880" i="3"/>
  <c r="G880" i="3"/>
  <c r="H880" i="3"/>
  <c r="I880" i="3"/>
  <c r="J880" i="3"/>
  <c r="K880" i="3"/>
  <c r="L880" i="3"/>
  <c r="M880" i="3"/>
  <c r="A881" i="3"/>
  <c r="B881" i="3"/>
  <c r="C881" i="3"/>
  <c r="D881" i="3"/>
  <c r="E881" i="3"/>
  <c r="F881" i="3"/>
  <c r="G881" i="3"/>
  <c r="H881" i="3"/>
  <c r="I881" i="3"/>
  <c r="J881" i="3"/>
  <c r="K881" i="3"/>
  <c r="L881" i="3"/>
  <c r="M881" i="3"/>
  <c r="A882" i="3"/>
  <c r="B882" i="3"/>
  <c r="C882" i="3"/>
  <c r="D882" i="3"/>
  <c r="E882" i="3"/>
  <c r="F882" i="3"/>
  <c r="G882" i="3"/>
  <c r="H882" i="3"/>
  <c r="I882" i="3"/>
  <c r="J882" i="3"/>
  <c r="K882" i="3"/>
  <c r="L882" i="3"/>
  <c r="M882" i="3"/>
  <c r="A883" i="3"/>
  <c r="B883" i="3"/>
  <c r="C883" i="3"/>
  <c r="D883" i="3"/>
  <c r="E883" i="3"/>
  <c r="F883" i="3"/>
  <c r="G883" i="3"/>
  <c r="H883" i="3"/>
  <c r="I883" i="3"/>
  <c r="J883" i="3"/>
  <c r="K883" i="3"/>
  <c r="L883" i="3"/>
  <c r="M883" i="3"/>
  <c r="A884" i="3"/>
  <c r="B884" i="3"/>
  <c r="C884" i="3"/>
  <c r="D884" i="3"/>
  <c r="E884" i="3"/>
  <c r="F884" i="3"/>
  <c r="G884" i="3"/>
  <c r="H884" i="3"/>
  <c r="I884" i="3"/>
  <c r="J884" i="3"/>
  <c r="K884" i="3"/>
  <c r="L884" i="3"/>
  <c r="M884" i="3"/>
  <c r="A885" i="3"/>
  <c r="B885" i="3"/>
  <c r="C885" i="3"/>
  <c r="D885" i="3"/>
  <c r="E885" i="3"/>
  <c r="F885" i="3"/>
  <c r="G885" i="3"/>
  <c r="H885" i="3"/>
  <c r="I885" i="3"/>
  <c r="J885" i="3"/>
  <c r="K885" i="3"/>
  <c r="L885" i="3"/>
  <c r="M885" i="3"/>
  <c r="A886" i="3"/>
  <c r="B886" i="3"/>
  <c r="C886" i="3"/>
  <c r="D886" i="3"/>
  <c r="E886" i="3"/>
  <c r="F886" i="3"/>
  <c r="G886" i="3"/>
  <c r="H886" i="3"/>
  <c r="I886" i="3"/>
  <c r="J886" i="3"/>
  <c r="K886" i="3"/>
  <c r="L886" i="3"/>
  <c r="M886" i="3"/>
  <c r="A887" i="3"/>
  <c r="B887" i="3"/>
  <c r="C887" i="3"/>
  <c r="D887" i="3"/>
  <c r="E887" i="3"/>
  <c r="F887" i="3"/>
  <c r="G887" i="3"/>
  <c r="H887" i="3"/>
  <c r="I887" i="3"/>
  <c r="J887" i="3"/>
  <c r="K887" i="3"/>
  <c r="L887" i="3"/>
  <c r="M887" i="3"/>
  <c r="A888" i="3"/>
  <c r="B888" i="3"/>
  <c r="C888" i="3"/>
  <c r="D888" i="3"/>
  <c r="E888" i="3"/>
  <c r="F888" i="3"/>
  <c r="G888" i="3"/>
  <c r="H888" i="3"/>
  <c r="I888" i="3"/>
  <c r="J888" i="3"/>
  <c r="K888" i="3"/>
  <c r="L888" i="3"/>
  <c r="M888" i="3"/>
  <c r="A889" i="3"/>
  <c r="B889" i="3"/>
  <c r="C889" i="3"/>
  <c r="D889" i="3"/>
  <c r="E889" i="3"/>
  <c r="F889" i="3"/>
  <c r="G889" i="3"/>
  <c r="H889" i="3"/>
  <c r="I889" i="3"/>
  <c r="J889" i="3"/>
  <c r="K889" i="3"/>
  <c r="L889" i="3"/>
  <c r="M889" i="3"/>
  <c r="A890" i="3"/>
  <c r="B890" i="3"/>
  <c r="C890" i="3"/>
  <c r="D890" i="3"/>
  <c r="E890" i="3"/>
  <c r="F890" i="3"/>
  <c r="G890" i="3"/>
  <c r="H890" i="3"/>
  <c r="I890" i="3"/>
  <c r="J890" i="3"/>
  <c r="K890" i="3"/>
  <c r="L890" i="3"/>
  <c r="M890" i="3"/>
  <c r="A891" i="3"/>
  <c r="B891" i="3"/>
  <c r="C891" i="3"/>
  <c r="D891" i="3"/>
  <c r="E891" i="3"/>
  <c r="F891" i="3"/>
  <c r="G891" i="3"/>
  <c r="H891" i="3"/>
  <c r="I891" i="3"/>
  <c r="J891" i="3"/>
  <c r="K891" i="3"/>
  <c r="L891" i="3"/>
  <c r="M891" i="3"/>
  <c r="A892" i="3"/>
  <c r="B892" i="3"/>
  <c r="C892" i="3"/>
  <c r="D892" i="3"/>
  <c r="E892" i="3"/>
  <c r="F892" i="3"/>
  <c r="G892" i="3"/>
  <c r="H892" i="3"/>
  <c r="I892" i="3"/>
  <c r="J892" i="3"/>
  <c r="K892" i="3"/>
  <c r="L892" i="3"/>
  <c r="M892" i="3"/>
  <c r="A893" i="3"/>
  <c r="B893" i="3"/>
  <c r="C893" i="3"/>
  <c r="D893" i="3"/>
  <c r="E893" i="3"/>
  <c r="F893" i="3"/>
  <c r="G893" i="3"/>
  <c r="H893" i="3"/>
  <c r="I893" i="3"/>
  <c r="J893" i="3"/>
  <c r="K893" i="3"/>
  <c r="L893" i="3"/>
  <c r="M893" i="3"/>
  <c r="A894" i="3"/>
  <c r="B894" i="3"/>
  <c r="C894" i="3"/>
  <c r="D894" i="3"/>
  <c r="E894" i="3"/>
  <c r="F894" i="3"/>
  <c r="G894" i="3"/>
  <c r="H894" i="3"/>
  <c r="I894" i="3"/>
  <c r="J894" i="3"/>
  <c r="K894" i="3"/>
  <c r="L894" i="3"/>
  <c r="M894" i="3"/>
  <c r="A895" i="3"/>
  <c r="B895" i="3"/>
  <c r="C895" i="3"/>
  <c r="D895" i="3"/>
  <c r="E895" i="3"/>
  <c r="F895" i="3"/>
  <c r="G895" i="3"/>
  <c r="H895" i="3"/>
  <c r="I895" i="3"/>
  <c r="J895" i="3"/>
  <c r="K895" i="3"/>
  <c r="L895" i="3"/>
  <c r="M895" i="3"/>
  <c r="A896" i="3"/>
  <c r="B896" i="3"/>
  <c r="C896" i="3"/>
  <c r="D896" i="3"/>
  <c r="E896" i="3"/>
  <c r="F896" i="3"/>
  <c r="G896" i="3"/>
  <c r="H896" i="3"/>
  <c r="I896" i="3"/>
  <c r="J896" i="3"/>
  <c r="K896" i="3"/>
  <c r="L896" i="3"/>
  <c r="M896" i="3"/>
  <c r="A897" i="3"/>
  <c r="B897" i="3"/>
  <c r="C897" i="3"/>
  <c r="D897" i="3"/>
  <c r="E897" i="3"/>
  <c r="F897" i="3"/>
  <c r="G897" i="3"/>
  <c r="H897" i="3"/>
  <c r="I897" i="3"/>
  <c r="J897" i="3"/>
  <c r="K897" i="3"/>
  <c r="L897" i="3"/>
  <c r="M897" i="3"/>
  <c r="A898" i="3"/>
  <c r="B898" i="3"/>
  <c r="C898" i="3"/>
  <c r="D898" i="3"/>
  <c r="E898" i="3"/>
  <c r="F898" i="3"/>
  <c r="G898" i="3"/>
  <c r="H898" i="3"/>
  <c r="I898" i="3"/>
  <c r="J898" i="3"/>
  <c r="K898" i="3"/>
  <c r="L898" i="3"/>
  <c r="M898" i="3"/>
  <c r="A899" i="3"/>
  <c r="B899" i="3"/>
  <c r="C899" i="3"/>
  <c r="D899" i="3"/>
  <c r="E899" i="3"/>
  <c r="F899" i="3"/>
  <c r="G899" i="3"/>
  <c r="H899" i="3"/>
  <c r="I899" i="3"/>
  <c r="J899" i="3"/>
  <c r="K899" i="3"/>
  <c r="L899" i="3"/>
  <c r="M899" i="3"/>
  <c r="A900" i="3"/>
  <c r="B900" i="3"/>
  <c r="C900" i="3"/>
  <c r="D900" i="3"/>
  <c r="E900" i="3"/>
  <c r="F900" i="3"/>
  <c r="G900" i="3"/>
  <c r="H900" i="3"/>
  <c r="I900" i="3"/>
  <c r="J900" i="3"/>
  <c r="K900" i="3"/>
  <c r="L900" i="3"/>
  <c r="M900" i="3"/>
  <c r="A901" i="3"/>
  <c r="B901" i="3"/>
  <c r="C901" i="3"/>
  <c r="D901" i="3"/>
  <c r="E901" i="3"/>
  <c r="F901" i="3"/>
  <c r="G901" i="3"/>
  <c r="H901" i="3"/>
  <c r="I901" i="3"/>
  <c r="J901" i="3"/>
  <c r="K901" i="3"/>
  <c r="L901" i="3"/>
  <c r="M901" i="3"/>
  <c r="A902" i="3"/>
  <c r="B902" i="3"/>
  <c r="C902" i="3"/>
  <c r="D902" i="3"/>
  <c r="E902" i="3"/>
  <c r="F902" i="3"/>
  <c r="G902" i="3"/>
  <c r="H902" i="3"/>
  <c r="I902" i="3"/>
  <c r="J902" i="3"/>
  <c r="K902" i="3"/>
  <c r="L902" i="3"/>
  <c r="M902" i="3"/>
  <c r="A903" i="3"/>
  <c r="B903" i="3"/>
  <c r="C903" i="3"/>
  <c r="D903" i="3"/>
  <c r="E903" i="3"/>
  <c r="F903" i="3"/>
  <c r="G903" i="3"/>
  <c r="H903" i="3"/>
  <c r="I903" i="3"/>
  <c r="J903" i="3"/>
  <c r="K903" i="3"/>
  <c r="L903" i="3"/>
  <c r="M903" i="3"/>
  <c r="A904" i="3"/>
  <c r="B904" i="3"/>
  <c r="C904" i="3"/>
  <c r="D904" i="3"/>
  <c r="E904" i="3"/>
  <c r="F904" i="3"/>
  <c r="G904" i="3"/>
  <c r="H904" i="3"/>
  <c r="I904" i="3"/>
  <c r="J904" i="3"/>
  <c r="K904" i="3"/>
  <c r="L904" i="3"/>
  <c r="M904" i="3"/>
  <c r="A905" i="3"/>
  <c r="B905" i="3"/>
  <c r="C905" i="3"/>
  <c r="D905" i="3"/>
  <c r="E905" i="3"/>
  <c r="F905" i="3"/>
  <c r="G905" i="3"/>
  <c r="H905" i="3"/>
  <c r="I905" i="3"/>
  <c r="J905" i="3"/>
  <c r="K905" i="3"/>
  <c r="L905" i="3"/>
  <c r="M905" i="3"/>
  <c r="A906" i="3"/>
  <c r="B906" i="3"/>
  <c r="C906" i="3"/>
  <c r="D906" i="3"/>
  <c r="E906" i="3"/>
  <c r="F906" i="3"/>
  <c r="G906" i="3"/>
  <c r="H906" i="3"/>
  <c r="I906" i="3"/>
  <c r="J906" i="3"/>
  <c r="K906" i="3"/>
  <c r="L906" i="3"/>
  <c r="M906" i="3"/>
  <c r="A907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A908" i="3"/>
  <c r="B908" i="3"/>
  <c r="C908" i="3"/>
  <c r="D908" i="3"/>
  <c r="E908" i="3"/>
  <c r="F908" i="3"/>
  <c r="G908" i="3"/>
  <c r="H908" i="3"/>
  <c r="I908" i="3"/>
  <c r="J908" i="3"/>
  <c r="K908" i="3"/>
  <c r="L908" i="3"/>
  <c r="M908" i="3"/>
  <c r="A909" i="3"/>
  <c r="B909" i="3"/>
  <c r="C909" i="3"/>
  <c r="D909" i="3"/>
  <c r="E909" i="3"/>
  <c r="F909" i="3"/>
  <c r="G909" i="3"/>
  <c r="H909" i="3"/>
  <c r="I909" i="3"/>
  <c r="J909" i="3"/>
  <c r="K909" i="3"/>
  <c r="L909" i="3"/>
  <c r="M909" i="3"/>
  <c r="A910" i="3"/>
  <c r="B910" i="3"/>
  <c r="C910" i="3"/>
  <c r="D910" i="3"/>
  <c r="E910" i="3"/>
  <c r="F910" i="3"/>
  <c r="G910" i="3"/>
  <c r="H910" i="3"/>
  <c r="I910" i="3"/>
  <c r="J910" i="3"/>
  <c r="K910" i="3"/>
  <c r="L910" i="3"/>
  <c r="M910" i="3"/>
  <c r="A911" i="3"/>
  <c r="B911" i="3"/>
  <c r="C911" i="3"/>
  <c r="D911" i="3"/>
  <c r="E911" i="3"/>
  <c r="F911" i="3"/>
  <c r="G911" i="3"/>
  <c r="H911" i="3"/>
  <c r="I911" i="3"/>
  <c r="J911" i="3"/>
  <c r="K911" i="3"/>
  <c r="L911" i="3"/>
  <c r="M911" i="3"/>
  <c r="A912" i="3"/>
  <c r="B912" i="3"/>
  <c r="C912" i="3"/>
  <c r="D912" i="3"/>
  <c r="E912" i="3"/>
  <c r="F912" i="3"/>
  <c r="G912" i="3"/>
  <c r="H912" i="3"/>
  <c r="I912" i="3"/>
  <c r="J912" i="3"/>
  <c r="K912" i="3"/>
  <c r="L912" i="3"/>
  <c r="M912" i="3"/>
  <c r="A913" i="3"/>
  <c r="B913" i="3"/>
  <c r="C913" i="3"/>
  <c r="D913" i="3"/>
  <c r="E913" i="3"/>
  <c r="F913" i="3"/>
  <c r="G913" i="3"/>
  <c r="H913" i="3"/>
  <c r="I913" i="3"/>
  <c r="J913" i="3"/>
  <c r="K913" i="3"/>
  <c r="L913" i="3"/>
  <c r="M913" i="3"/>
  <c r="A914" i="3"/>
  <c r="B914" i="3"/>
  <c r="C914" i="3"/>
  <c r="D914" i="3"/>
  <c r="E914" i="3"/>
  <c r="F914" i="3"/>
  <c r="G914" i="3"/>
  <c r="H914" i="3"/>
  <c r="I914" i="3"/>
  <c r="J914" i="3"/>
  <c r="K914" i="3"/>
  <c r="L914" i="3"/>
  <c r="M914" i="3"/>
  <c r="A915" i="3"/>
  <c r="B915" i="3"/>
  <c r="C915" i="3"/>
  <c r="D915" i="3"/>
  <c r="E915" i="3"/>
  <c r="F915" i="3"/>
  <c r="G915" i="3"/>
  <c r="H915" i="3"/>
  <c r="I915" i="3"/>
  <c r="J915" i="3"/>
  <c r="K915" i="3"/>
  <c r="L915" i="3"/>
  <c r="M915" i="3"/>
  <c r="A916" i="3"/>
  <c r="B916" i="3"/>
  <c r="C916" i="3"/>
  <c r="D916" i="3"/>
  <c r="E916" i="3"/>
  <c r="F916" i="3"/>
  <c r="G916" i="3"/>
  <c r="H916" i="3"/>
  <c r="I916" i="3"/>
  <c r="J916" i="3"/>
  <c r="K916" i="3"/>
  <c r="L916" i="3"/>
  <c r="M916" i="3"/>
  <c r="A917" i="3"/>
  <c r="B917" i="3"/>
  <c r="C917" i="3"/>
  <c r="D917" i="3"/>
  <c r="E917" i="3"/>
  <c r="F917" i="3"/>
  <c r="G917" i="3"/>
  <c r="H917" i="3"/>
  <c r="I917" i="3"/>
  <c r="J917" i="3"/>
  <c r="K917" i="3"/>
  <c r="L917" i="3"/>
  <c r="M917" i="3"/>
  <c r="A918" i="3"/>
  <c r="B918" i="3"/>
  <c r="C918" i="3"/>
  <c r="D918" i="3"/>
  <c r="E918" i="3"/>
  <c r="F918" i="3"/>
  <c r="G918" i="3"/>
  <c r="H918" i="3"/>
  <c r="I918" i="3"/>
  <c r="J918" i="3"/>
  <c r="K918" i="3"/>
  <c r="L918" i="3"/>
  <c r="M918" i="3"/>
  <c r="A919" i="3"/>
  <c r="B919" i="3"/>
  <c r="C919" i="3"/>
  <c r="D919" i="3"/>
  <c r="E919" i="3"/>
  <c r="F919" i="3"/>
  <c r="G919" i="3"/>
  <c r="H919" i="3"/>
  <c r="I919" i="3"/>
  <c r="J919" i="3"/>
  <c r="K919" i="3"/>
  <c r="L919" i="3"/>
  <c r="M919" i="3"/>
  <c r="A920" i="3"/>
  <c r="B920" i="3"/>
  <c r="C920" i="3"/>
  <c r="D920" i="3"/>
  <c r="E920" i="3"/>
  <c r="F920" i="3"/>
  <c r="G920" i="3"/>
  <c r="H920" i="3"/>
  <c r="I920" i="3"/>
  <c r="J920" i="3"/>
  <c r="K920" i="3"/>
  <c r="L920" i="3"/>
  <c r="M920" i="3"/>
  <c r="A921" i="3"/>
  <c r="B921" i="3"/>
  <c r="C921" i="3"/>
  <c r="D921" i="3"/>
  <c r="E921" i="3"/>
  <c r="F921" i="3"/>
  <c r="G921" i="3"/>
  <c r="H921" i="3"/>
  <c r="I921" i="3"/>
  <c r="J921" i="3"/>
  <c r="K921" i="3"/>
  <c r="L921" i="3"/>
  <c r="M921" i="3"/>
  <c r="A922" i="3"/>
  <c r="B922" i="3"/>
  <c r="C922" i="3"/>
  <c r="D922" i="3"/>
  <c r="E922" i="3"/>
  <c r="F922" i="3"/>
  <c r="G922" i="3"/>
  <c r="H922" i="3"/>
  <c r="I922" i="3"/>
  <c r="J922" i="3"/>
  <c r="K922" i="3"/>
  <c r="L922" i="3"/>
  <c r="M922" i="3"/>
  <c r="A923" i="3"/>
  <c r="B923" i="3"/>
  <c r="C923" i="3"/>
  <c r="D923" i="3"/>
  <c r="E923" i="3"/>
  <c r="F923" i="3"/>
  <c r="G923" i="3"/>
  <c r="H923" i="3"/>
  <c r="I923" i="3"/>
  <c r="J923" i="3"/>
  <c r="K923" i="3"/>
  <c r="L923" i="3"/>
  <c r="M923" i="3"/>
  <c r="A924" i="3"/>
  <c r="B924" i="3"/>
  <c r="C924" i="3"/>
  <c r="D924" i="3"/>
  <c r="E924" i="3"/>
  <c r="F924" i="3"/>
  <c r="G924" i="3"/>
  <c r="H924" i="3"/>
  <c r="I924" i="3"/>
  <c r="J924" i="3"/>
  <c r="K924" i="3"/>
  <c r="L924" i="3"/>
  <c r="M924" i="3"/>
  <c r="A925" i="3"/>
  <c r="B925" i="3"/>
  <c r="C925" i="3"/>
  <c r="D925" i="3"/>
  <c r="E925" i="3"/>
  <c r="F925" i="3"/>
  <c r="G925" i="3"/>
  <c r="H925" i="3"/>
  <c r="I925" i="3"/>
  <c r="J925" i="3"/>
  <c r="K925" i="3"/>
  <c r="L925" i="3"/>
  <c r="M925" i="3"/>
  <c r="A926" i="3"/>
  <c r="B926" i="3"/>
  <c r="C926" i="3"/>
  <c r="D926" i="3"/>
  <c r="E926" i="3"/>
  <c r="F926" i="3"/>
  <c r="G926" i="3"/>
  <c r="H926" i="3"/>
  <c r="I926" i="3"/>
  <c r="J926" i="3"/>
  <c r="K926" i="3"/>
  <c r="L926" i="3"/>
  <c r="M926" i="3"/>
  <c r="A927" i="3"/>
  <c r="B927" i="3"/>
  <c r="C927" i="3"/>
  <c r="D927" i="3"/>
  <c r="E927" i="3"/>
  <c r="F927" i="3"/>
  <c r="G927" i="3"/>
  <c r="H927" i="3"/>
  <c r="I927" i="3"/>
  <c r="J927" i="3"/>
  <c r="K927" i="3"/>
  <c r="L927" i="3"/>
  <c r="M927" i="3"/>
  <c r="A928" i="3"/>
  <c r="B928" i="3"/>
  <c r="C928" i="3"/>
  <c r="D928" i="3"/>
  <c r="E928" i="3"/>
  <c r="F928" i="3"/>
  <c r="G928" i="3"/>
  <c r="H928" i="3"/>
  <c r="I928" i="3"/>
  <c r="J928" i="3"/>
  <c r="K928" i="3"/>
  <c r="L928" i="3"/>
  <c r="M928" i="3"/>
  <c r="A929" i="3"/>
  <c r="B929" i="3"/>
  <c r="C929" i="3"/>
  <c r="D929" i="3"/>
  <c r="E929" i="3"/>
  <c r="F929" i="3"/>
  <c r="G929" i="3"/>
  <c r="H929" i="3"/>
  <c r="I929" i="3"/>
  <c r="J929" i="3"/>
  <c r="K929" i="3"/>
  <c r="L929" i="3"/>
  <c r="M929" i="3"/>
  <c r="A930" i="3"/>
  <c r="B930" i="3"/>
  <c r="C930" i="3"/>
  <c r="D930" i="3"/>
  <c r="E930" i="3"/>
  <c r="F930" i="3"/>
  <c r="G930" i="3"/>
  <c r="H930" i="3"/>
  <c r="I930" i="3"/>
  <c r="J930" i="3"/>
  <c r="K930" i="3"/>
  <c r="L930" i="3"/>
  <c r="M930" i="3"/>
  <c r="A931" i="3"/>
  <c r="B931" i="3"/>
  <c r="C931" i="3"/>
  <c r="D931" i="3"/>
  <c r="E931" i="3"/>
  <c r="F931" i="3"/>
  <c r="G931" i="3"/>
  <c r="H931" i="3"/>
  <c r="I931" i="3"/>
  <c r="J931" i="3"/>
  <c r="K931" i="3"/>
  <c r="L931" i="3"/>
  <c r="M931" i="3"/>
  <c r="A932" i="3"/>
  <c r="B932" i="3"/>
  <c r="C932" i="3"/>
  <c r="D932" i="3"/>
  <c r="E932" i="3"/>
  <c r="F932" i="3"/>
  <c r="G932" i="3"/>
  <c r="H932" i="3"/>
  <c r="I932" i="3"/>
  <c r="J932" i="3"/>
  <c r="K932" i="3"/>
  <c r="L932" i="3"/>
  <c r="M932" i="3"/>
  <c r="A933" i="3"/>
  <c r="B933" i="3"/>
  <c r="C933" i="3"/>
  <c r="D933" i="3"/>
  <c r="E933" i="3"/>
  <c r="F933" i="3"/>
  <c r="G933" i="3"/>
  <c r="H933" i="3"/>
  <c r="I933" i="3"/>
  <c r="J933" i="3"/>
  <c r="K933" i="3"/>
  <c r="L933" i="3"/>
  <c r="M933" i="3"/>
  <c r="A934" i="3"/>
  <c r="B934" i="3"/>
  <c r="C934" i="3"/>
  <c r="D934" i="3"/>
  <c r="E934" i="3"/>
  <c r="F934" i="3"/>
  <c r="G934" i="3"/>
  <c r="H934" i="3"/>
  <c r="I934" i="3"/>
  <c r="J934" i="3"/>
  <c r="K934" i="3"/>
  <c r="L934" i="3"/>
  <c r="M934" i="3"/>
  <c r="A935" i="3"/>
  <c r="B935" i="3"/>
  <c r="C935" i="3"/>
  <c r="D935" i="3"/>
  <c r="E935" i="3"/>
  <c r="F935" i="3"/>
  <c r="G935" i="3"/>
  <c r="H935" i="3"/>
  <c r="I935" i="3"/>
  <c r="J935" i="3"/>
  <c r="K935" i="3"/>
  <c r="L935" i="3"/>
  <c r="M935" i="3"/>
  <c r="A936" i="3"/>
  <c r="B936" i="3"/>
  <c r="C936" i="3"/>
  <c r="D936" i="3"/>
  <c r="E936" i="3"/>
  <c r="F936" i="3"/>
  <c r="G936" i="3"/>
  <c r="H936" i="3"/>
  <c r="I936" i="3"/>
  <c r="J936" i="3"/>
  <c r="K936" i="3"/>
  <c r="L936" i="3"/>
  <c r="M936" i="3"/>
  <c r="A937" i="3"/>
  <c r="B937" i="3"/>
  <c r="C937" i="3"/>
  <c r="D937" i="3"/>
  <c r="E937" i="3"/>
  <c r="F937" i="3"/>
  <c r="G937" i="3"/>
  <c r="H937" i="3"/>
  <c r="I937" i="3"/>
  <c r="J937" i="3"/>
  <c r="K937" i="3"/>
  <c r="L937" i="3"/>
  <c r="M937" i="3"/>
  <c r="A938" i="3"/>
  <c r="B938" i="3"/>
  <c r="C938" i="3"/>
  <c r="D938" i="3"/>
  <c r="E938" i="3"/>
  <c r="F938" i="3"/>
  <c r="G938" i="3"/>
  <c r="H938" i="3"/>
  <c r="I938" i="3"/>
  <c r="J938" i="3"/>
  <c r="K938" i="3"/>
  <c r="L938" i="3"/>
  <c r="M938" i="3"/>
  <c r="A939" i="3"/>
  <c r="B939" i="3"/>
  <c r="C939" i="3"/>
  <c r="D939" i="3"/>
  <c r="E939" i="3"/>
  <c r="F939" i="3"/>
  <c r="G939" i="3"/>
  <c r="H939" i="3"/>
  <c r="I939" i="3"/>
  <c r="J939" i="3"/>
  <c r="K939" i="3"/>
  <c r="L939" i="3"/>
  <c r="M939" i="3"/>
  <c r="A940" i="3"/>
  <c r="B940" i="3"/>
  <c r="C940" i="3"/>
  <c r="D940" i="3"/>
  <c r="E940" i="3"/>
  <c r="F940" i="3"/>
  <c r="G940" i="3"/>
  <c r="H940" i="3"/>
  <c r="I940" i="3"/>
  <c r="J940" i="3"/>
  <c r="K940" i="3"/>
  <c r="L940" i="3"/>
  <c r="M940" i="3"/>
  <c r="A941" i="3"/>
  <c r="B941" i="3"/>
  <c r="C941" i="3"/>
  <c r="D941" i="3"/>
  <c r="E941" i="3"/>
  <c r="F941" i="3"/>
  <c r="G941" i="3"/>
  <c r="H941" i="3"/>
  <c r="I941" i="3"/>
  <c r="J941" i="3"/>
  <c r="K941" i="3"/>
  <c r="L941" i="3"/>
  <c r="M941" i="3"/>
  <c r="A942" i="3"/>
  <c r="B942" i="3"/>
  <c r="C942" i="3"/>
  <c r="D942" i="3"/>
  <c r="E942" i="3"/>
  <c r="F942" i="3"/>
  <c r="G942" i="3"/>
  <c r="H942" i="3"/>
  <c r="I942" i="3"/>
  <c r="J942" i="3"/>
  <c r="K942" i="3"/>
  <c r="L942" i="3"/>
  <c r="M942" i="3"/>
  <c r="A943" i="3"/>
  <c r="B943" i="3"/>
  <c r="C943" i="3"/>
  <c r="D943" i="3"/>
  <c r="E943" i="3"/>
  <c r="F943" i="3"/>
  <c r="G943" i="3"/>
  <c r="H943" i="3"/>
  <c r="I943" i="3"/>
  <c r="J943" i="3"/>
  <c r="K943" i="3"/>
  <c r="L943" i="3"/>
  <c r="M943" i="3"/>
  <c r="A944" i="3"/>
  <c r="B944" i="3"/>
  <c r="C944" i="3"/>
  <c r="D944" i="3"/>
  <c r="E944" i="3"/>
  <c r="F944" i="3"/>
  <c r="G944" i="3"/>
  <c r="H944" i="3"/>
  <c r="I944" i="3"/>
  <c r="J944" i="3"/>
  <c r="K944" i="3"/>
  <c r="L944" i="3"/>
  <c r="M944" i="3"/>
  <c r="A945" i="3"/>
  <c r="B945" i="3"/>
  <c r="C945" i="3"/>
  <c r="D945" i="3"/>
  <c r="E945" i="3"/>
  <c r="F945" i="3"/>
  <c r="G945" i="3"/>
  <c r="H945" i="3"/>
  <c r="I945" i="3"/>
  <c r="J945" i="3"/>
  <c r="K945" i="3"/>
  <c r="L945" i="3"/>
  <c r="M945" i="3"/>
  <c r="A946" i="3"/>
  <c r="B946" i="3"/>
  <c r="C946" i="3"/>
  <c r="D946" i="3"/>
  <c r="E946" i="3"/>
  <c r="F946" i="3"/>
  <c r="G946" i="3"/>
  <c r="H946" i="3"/>
  <c r="I946" i="3"/>
  <c r="J946" i="3"/>
  <c r="K946" i="3"/>
  <c r="L946" i="3"/>
  <c r="M946" i="3"/>
  <c r="A947" i="3"/>
  <c r="B947" i="3"/>
  <c r="C947" i="3"/>
  <c r="D947" i="3"/>
  <c r="E947" i="3"/>
  <c r="F947" i="3"/>
  <c r="G947" i="3"/>
  <c r="H947" i="3"/>
  <c r="I947" i="3"/>
  <c r="J947" i="3"/>
  <c r="K947" i="3"/>
  <c r="L947" i="3"/>
  <c r="M947" i="3"/>
  <c r="A948" i="3"/>
  <c r="B948" i="3"/>
  <c r="C948" i="3"/>
  <c r="D948" i="3"/>
  <c r="E948" i="3"/>
  <c r="F948" i="3"/>
  <c r="G948" i="3"/>
  <c r="H948" i="3"/>
  <c r="I948" i="3"/>
  <c r="J948" i="3"/>
  <c r="K948" i="3"/>
  <c r="L948" i="3"/>
  <c r="M948" i="3"/>
  <c r="A949" i="3"/>
  <c r="B949" i="3"/>
  <c r="C949" i="3"/>
  <c r="D949" i="3"/>
  <c r="E949" i="3"/>
  <c r="F949" i="3"/>
  <c r="G949" i="3"/>
  <c r="H949" i="3"/>
  <c r="I949" i="3"/>
  <c r="J949" i="3"/>
  <c r="K949" i="3"/>
  <c r="L949" i="3"/>
  <c r="M949" i="3"/>
  <c r="A950" i="3"/>
  <c r="B950" i="3"/>
  <c r="C950" i="3"/>
  <c r="D950" i="3"/>
  <c r="E950" i="3"/>
  <c r="F950" i="3"/>
  <c r="G950" i="3"/>
  <c r="H950" i="3"/>
  <c r="I950" i="3"/>
  <c r="J950" i="3"/>
  <c r="K950" i="3"/>
  <c r="L950" i="3"/>
  <c r="M950" i="3"/>
  <c r="A951" i="3"/>
  <c r="B951" i="3"/>
  <c r="C951" i="3"/>
  <c r="D951" i="3"/>
  <c r="E951" i="3"/>
  <c r="F951" i="3"/>
  <c r="G951" i="3"/>
  <c r="H951" i="3"/>
  <c r="I951" i="3"/>
  <c r="J951" i="3"/>
  <c r="K951" i="3"/>
  <c r="L951" i="3"/>
  <c r="M951" i="3"/>
  <c r="A952" i="3"/>
  <c r="B952" i="3"/>
  <c r="C952" i="3"/>
  <c r="D952" i="3"/>
  <c r="E952" i="3"/>
  <c r="F952" i="3"/>
  <c r="G952" i="3"/>
  <c r="H952" i="3"/>
  <c r="I952" i="3"/>
  <c r="J952" i="3"/>
  <c r="K952" i="3"/>
  <c r="L952" i="3"/>
  <c r="M952" i="3"/>
  <c r="A953" i="3"/>
  <c r="B953" i="3"/>
  <c r="C953" i="3"/>
  <c r="D953" i="3"/>
  <c r="E953" i="3"/>
  <c r="F953" i="3"/>
  <c r="G953" i="3"/>
  <c r="H953" i="3"/>
  <c r="I953" i="3"/>
  <c r="J953" i="3"/>
  <c r="K953" i="3"/>
  <c r="L953" i="3"/>
  <c r="M953" i="3"/>
  <c r="A954" i="3"/>
  <c r="B954" i="3"/>
  <c r="C954" i="3"/>
  <c r="D954" i="3"/>
  <c r="E954" i="3"/>
  <c r="F954" i="3"/>
  <c r="G954" i="3"/>
  <c r="H954" i="3"/>
  <c r="I954" i="3"/>
  <c r="J954" i="3"/>
  <c r="K954" i="3"/>
  <c r="L954" i="3"/>
  <c r="M954" i="3"/>
  <c r="A955" i="3"/>
  <c r="B955" i="3"/>
  <c r="C955" i="3"/>
  <c r="D955" i="3"/>
  <c r="E955" i="3"/>
  <c r="F955" i="3"/>
  <c r="G955" i="3"/>
  <c r="H955" i="3"/>
  <c r="I955" i="3"/>
  <c r="J955" i="3"/>
  <c r="K955" i="3"/>
  <c r="L955" i="3"/>
  <c r="M955" i="3"/>
  <c r="A956" i="3"/>
  <c r="B956" i="3"/>
  <c r="C956" i="3"/>
  <c r="D956" i="3"/>
  <c r="E956" i="3"/>
  <c r="F956" i="3"/>
  <c r="G956" i="3"/>
  <c r="H956" i="3"/>
  <c r="I956" i="3"/>
  <c r="J956" i="3"/>
  <c r="K956" i="3"/>
  <c r="L956" i="3"/>
  <c r="M956" i="3"/>
  <c r="A957" i="3"/>
  <c r="B957" i="3"/>
  <c r="C957" i="3"/>
  <c r="D957" i="3"/>
  <c r="E957" i="3"/>
  <c r="F957" i="3"/>
  <c r="G957" i="3"/>
  <c r="H957" i="3"/>
  <c r="I957" i="3"/>
  <c r="J957" i="3"/>
  <c r="K957" i="3"/>
  <c r="L957" i="3"/>
  <c r="M957" i="3"/>
  <c r="A958" i="3"/>
  <c r="B958" i="3"/>
  <c r="C958" i="3"/>
  <c r="D958" i="3"/>
  <c r="E958" i="3"/>
  <c r="F958" i="3"/>
  <c r="G958" i="3"/>
  <c r="H958" i="3"/>
  <c r="I958" i="3"/>
  <c r="J958" i="3"/>
  <c r="K958" i="3"/>
  <c r="L958" i="3"/>
  <c r="M958" i="3"/>
  <c r="A959" i="3"/>
  <c r="B959" i="3"/>
  <c r="C959" i="3"/>
  <c r="D959" i="3"/>
  <c r="E959" i="3"/>
  <c r="F959" i="3"/>
  <c r="G959" i="3"/>
  <c r="H959" i="3"/>
  <c r="I959" i="3"/>
  <c r="J959" i="3"/>
  <c r="K959" i="3"/>
  <c r="L959" i="3"/>
  <c r="M959" i="3"/>
  <c r="A960" i="3"/>
  <c r="B960" i="3"/>
  <c r="C960" i="3"/>
  <c r="D960" i="3"/>
  <c r="E960" i="3"/>
  <c r="F960" i="3"/>
  <c r="G960" i="3"/>
  <c r="H960" i="3"/>
  <c r="I960" i="3"/>
  <c r="J960" i="3"/>
  <c r="K960" i="3"/>
  <c r="L960" i="3"/>
  <c r="M960" i="3"/>
  <c r="A961" i="3"/>
  <c r="B961" i="3"/>
  <c r="C961" i="3"/>
  <c r="D961" i="3"/>
  <c r="E961" i="3"/>
  <c r="F961" i="3"/>
  <c r="G961" i="3"/>
  <c r="H961" i="3"/>
  <c r="I961" i="3"/>
  <c r="J961" i="3"/>
  <c r="K961" i="3"/>
  <c r="L961" i="3"/>
  <c r="M961" i="3"/>
  <c r="A962" i="3"/>
  <c r="B962" i="3"/>
  <c r="C962" i="3"/>
  <c r="D962" i="3"/>
  <c r="E962" i="3"/>
  <c r="F962" i="3"/>
  <c r="G962" i="3"/>
  <c r="H962" i="3"/>
  <c r="I962" i="3"/>
  <c r="J962" i="3"/>
  <c r="K962" i="3"/>
  <c r="L962" i="3"/>
  <c r="M962" i="3"/>
  <c r="A963" i="3"/>
  <c r="B963" i="3"/>
  <c r="C963" i="3"/>
  <c r="D963" i="3"/>
  <c r="E963" i="3"/>
  <c r="F963" i="3"/>
  <c r="G963" i="3"/>
  <c r="H963" i="3"/>
  <c r="I963" i="3"/>
  <c r="J963" i="3"/>
  <c r="K963" i="3"/>
  <c r="L963" i="3"/>
  <c r="M963" i="3"/>
  <c r="A964" i="3"/>
  <c r="B964" i="3"/>
  <c r="C964" i="3"/>
  <c r="D964" i="3"/>
  <c r="E964" i="3"/>
  <c r="F964" i="3"/>
  <c r="G964" i="3"/>
  <c r="H964" i="3"/>
  <c r="I964" i="3"/>
  <c r="J964" i="3"/>
  <c r="K964" i="3"/>
  <c r="L964" i="3"/>
  <c r="M964" i="3"/>
  <c r="A965" i="3"/>
  <c r="B965" i="3"/>
  <c r="C965" i="3"/>
  <c r="D965" i="3"/>
  <c r="E965" i="3"/>
  <c r="F965" i="3"/>
  <c r="G965" i="3"/>
  <c r="H965" i="3"/>
  <c r="I965" i="3"/>
  <c r="J965" i="3"/>
  <c r="K965" i="3"/>
  <c r="L965" i="3"/>
  <c r="M965" i="3"/>
  <c r="A966" i="3"/>
  <c r="B966" i="3"/>
  <c r="C966" i="3"/>
  <c r="D966" i="3"/>
  <c r="E966" i="3"/>
  <c r="F966" i="3"/>
  <c r="G966" i="3"/>
  <c r="H966" i="3"/>
  <c r="I966" i="3"/>
  <c r="J966" i="3"/>
  <c r="K966" i="3"/>
  <c r="L966" i="3"/>
  <c r="M966" i="3"/>
  <c r="A967" i="3"/>
  <c r="B967" i="3"/>
  <c r="C967" i="3"/>
  <c r="D967" i="3"/>
  <c r="E967" i="3"/>
  <c r="F967" i="3"/>
  <c r="G967" i="3"/>
  <c r="H967" i="3"/>
  <c r="I967" i="3"/>
  <c r="J967" i="3"/>
  <c r="K967" i="3"/>
  <c r="L967" i="3"/>
  <c r="M967" i="3"/>
  <c r="A968" i="3"/>
  <c r="B968" i="3"/>
  <c r="C968" i="3"/>
  <c r="D968" i="3"/>
  <c r="E968" i="3"/>
  <c r="F968" i="3"/>
  <c r="G968" i="3"/>
  <c r="H968" i="3"/>
  <c r="I968" i="3"/>
  <c r="J968" i="3"/>
  <c r="K968" i="3"/>
  <c r="L968" i="3"/>
  <c r="M968" i="3"/>
  <c r="A969" i="3"/>
  <c r="B969" i="3"/>
  <c r="C969" i="3"/>
  <c r="D969" i="3"/>
  <c r="E969" i="3"/>
  <c r="F969" i="3"/>
  <c r="G969" i="3"/>
  <c r="H969" i="3"/>
  <c r="I969" i="3"/>
  <c r="J969" i="3"/>
  <c r="K969" i="3"/>
  <c r="L969" i="3"/>
  <c r="M969" i="3"/>
  <c r="A970" i="3"/>
  <c r="B970" i="3"/>
  <c r="C970" i="3"/>
  <c r="D970" i="3"/>
  <c r="E970" i="3"/>
  <c r="F970" i="3"/>
  <c r="G970" i="3"/>
  <c r="H970" i="3"/>
  <c r="I970" i="3"/>
  <c r="J970" i="3"/>
  <c r="K970" i="3"/>
  <c r="L970" i="3"/>
  <c r="M970" i="3"/>
  <c r="A971" i="3"/>
  <c r="B971" i="3"/>
  <c r="C971" i="3"/>
  <c r="D971" i="3"/>
  <c r="E971" i="3"/>
  <c r="F971" i="3"/>
  <c r="G971" i="3"/>
  <c r="H971" i="3"/>
  <c r="I971" i="3"/>
  <c r="J971" i="3"/>
  <c r="K971" i="3"/>
  <c r="L971" i="3"/>
  <c r="M971" i="3"/>
  <c r="A972" i="3"/>
  <c r="B972" i="3"/>
  <c r="C972" i="3"/>
  <c r="D972" i="3"/>
  <c r="E972" i="3"/>
  <c r="F972" i="3"/>
  <c r="G972" i="3"/>
  <c r="H972" i="3"/>
  <c r="I972" i="3"/>
  <c r="J972" i="3"/>
  <c r="K972" i="3"/>
  <c r="L972" i="3"/>
  <c r="M972" i="3"/>
  <c r="A973" i="3"/>
  <c r="B973" i="3"/>
  <c r="C973" i="3"/>
  <c r="D973" i="3"/>
  <c r="E973" i="3"/>
  <c r="F973" i="3"/>
  <c r="G973" i="3"/>
  <c r="H973" i="3"/>
  <c r="I973" i="3"/>
  <c r="J973" i="3"/>
  <c r="K973" i="3"/>
  <c r="L973" i="3"/>
  <c r="M973" i="3"/>
  <c r="A974" i="3"/>
  <c r="B974" i="3"/>
  <c r="C974" i="3"/>
  <c r="D974" i="3"/>
  <c r="E974" i="3"/>
  <c r="F974" i="3"/>
  <c r="G974" i="3"/>
  <c r="H974" i="3"/>
  <c r="I974" i="3"/>
  <c r="J974" i="3"/>
  <c r="K974" i="3"/>
  <c r="L974" i="3"/>
  <c r="M974" i="3"/>
  <c r="A975" i="3"/>
  <c r="B975" i="3"/>
  <c r="C975" i="3"/>
  <c r="D975" i="3"/>
  <c r="E975" i="3"/>
  <c r="F975" i="3"/>
  <c r="G975" i="3"/>
  <c r="H975" i="3"/>
  <c r="I975" i="3"/>
  <c r="J975" i="3"/>
  <c r="K975" i="3"/>
  <c r="L975" i="3"/>
  <c r="M975" i="3"/>
  <c r="A976" i="3"/>
  <c r="B976" i="3"/>
  <c r="C976" i="3"/>
  <c r="D976" i="3"/>
  <c r="E976" i="3"/>
  <c r="F976" i="3"/>
  <c r="G976" i="3"/>
  <c r="H976" i="3"/>
  <c r="I976" i="3"/>
  <c r="J976" i="3"/>
  <c r="K976" i="3"/>
  <c r="L976" i="3"/>
  <c r="M976" i="3"/>
  <c r="A977" i="3"/>
  <c r="B977" i="3"/>
  <c r="C977" i="3"/>
  <c r="D977" i="3"/>
  <c r="E977" i="3"/>
  <c r="F977" i="3"/>
  <c r="G977" i="3"/>
  <c r="H977" i="3"/>
  <c r="I977" i="3"/>
  <c r="J977" i="3"/>
  <c r="K977" i="3"/>
  <c r="L977" i="3"/>
  <c r="M977" i="3"/>
  <c r="A978" i="3"/>
  <c r="B978" i="3"/>
  <c r="C978" i="3"/>
  <c r="D978" i="3"/>
  <c r="E978" i="3"/>
  <c r="F978" i="3"/>
  <c r="G978" i="3"/>
  <c r="H978" i="3"/>
  <c r="I978" i="3"/>
  <c r="J978" i="3"/>
  <c r="K978" i="3"/>
  <c r="L978" i="3"/>
  <c r="M978" i="3"/>
  <c r="A979" i="3"/>
  <c r="B979" i="3"/>
  <c r="C979" i="3"/>
  <c r="D979" i="3"/>
  <c r="E979" i="3"/>
  <c r="F979" i="3"/>
  <c r="G979" i="3"/>
  <c r="H979" i="3"/>
  <c r="I979" i="3"/>
  <c r="J979" i="3"/>
  <c r="K979" i="3"/>
  <c r="L979" i="3"/>
  <c r="M979" i="3"/>
  <c r="A980" i="3"/>
  <c r="B980" i="3"/>
  <c r="C980" i="3"/>
  <c r="D980" i="3"/>
  <c r="E980" i="3"/>
  <c r="F980" i="3"/>
  <c r="G980" i="3"/>
  <c r="H980" i="3"/>
  <c r="I980" i="3"/>
  <c r="J980" i="3"/>
  <c r="K980" i="3"/>
  <c r="L980" i="3"/>
  <c r="M980" i="3"/>
  <c r="A981" i="3"/>
  <c r="B981" i="3"/>
  <c r="C981" i="3"/>
  <c r="D981" i="3"/>
  <c r="E981" i="3"/>
  <c r="F981" i="3"/>
  <c r="G981" i="3"/>
  <c r="H981" i="3"/>
  <c r="I981" i="3"/>
  <c r="J981" i="3"/>
  <c r="K981" i="3"/>
  <c r="L981" i="3"/>
  <c r="M981" i="3"/>
  <c r="A982" i="3"/>
  <c r="B982" i="3"/>
  <c r="C982" i="3"/>
  <c r="D982" i="3"/>
  <c r="E982" i="3"/>
  <c r="F982" i="3"/>
  <c r="G982" i="3"/>
  <c r="H982" i="3"/>
  <c r="I982" i="3"/>
  <c r="J982" i="3"/>
  <c r="K982" i="3"/>
  <c r="L982" i="3"/>
  <c r="M982" i="3"/>
  <c r="A983" i="3"/>
  <c r="B983" i="3"/>
  <c r="C983" i="3"/>
  <c r="D983" i="3"/>
  <c r="E983" i="3"/>
  <c r="F983" i="3"/>
  <c r="G983" i="3"/>
  <c r="H983" i="3"/>
  <c r="I983" i="3"/>
  <c r="J983" i="3"/>
  <c r="K983" i="3"/>
  <c r="L983" i="3"/>
  <c r="M983" i="3"/>
  <c r="A984" i="3"/>
  <c r="B984" i="3"/>
  <c r="C984" i="3"/>
  <c r="D984" i="3"/>
  <c r="E984" i="3"/>
  <c r="F984" i="3"/>
  <c r="G984" i="3"/>
  <c r="H984" i="3"/>
  <c r="I984" i="3"/>
  <c r="J984" i="3"/>
  <c r="K984" i="3"/>
  <c r="L984" i="3"/>
  <c r="M984" i="3"/>
  <c r="A985" i="3"/>
  <c r="B985" i="3"/>
  <c r="C985" i="3"/>
  <c r="D985" i="3"/>
  <c r="E985" i="3"/>
  <c r="F985" i="3"/>
  <c r="G985" i="3"/>
  <c r="H985" i="3"/>
  <c r="I985" i="3"/>
  <c r="J985" i="3"/>
  <c r="K985" i="3"/>
  <c r="L985" i="3"/>
  <c r="M985" i="3"/>
  <c r="A986" i="3"/>
  <c r="B986" i="3"/>
  <c r="C986" i="3"/>
  <c r="D986" i="3"/>
  <c r="E986" i="3"/>
  <c r="F986" i="3"/>
  <c r="G986" i="3"/>
  <c r="H986" i="3"/>
  <c r="I986" i="3"/>
  <c r="J986" i="3"/>
  <c r="K986" i="3"/>
  <c r="L986" i="3"/>
  <c r="M986" i="3"/>
  <c r="A987" i="3"/>
  <c r="B987" i="3"/>
  <c r="C987" i="3"/>
  <c r="D987" i="3"/>
  <c r="E987" i="3"/>
  <c r="F987" i="3"/>
  <c r="G987" i="3"/>
  <c r="H987" i="3"/>
  <c r="I987" i="3"/>
  <c r="J987" i="3"/>
  <c r="K987" i="3"/>
  <c r="L987" i="3"/>
  <c r="M987" i="3"/>
  <c r="A988" i="3"/>
  <c r="B988" i="3"/>
  <c r="C988" i="3"/>
  <c r="D988" i="3"/>
  <c r="E988" i="3"/>
  <c r="F988" i="3"/>
  <c r="G988" i="3"/>
  <c r="H988" i="3"/>
  <c r="I988" i="3"/>
  <c r="J988" i="3"/>
  <c r="K988" i="3"/>
  <c r="L988" i="3"/>
  <c r="M988" i="3"/>
  <c r="A989" i="3"/>
  <c r="B989" i="3"/>
  <c r="C989" i="3"/>
  <c r="D989" i="3"/>
  <c r="E989" i="3"/>
  <c r="F989" i="3"/>
  <c r="G989" i="3"/>
  <c r="H989" i="3"/>
  <c r="I989" i="3"/>
  <c r="J989" i="3"/>
  <c r="K989" i="3"/>
  <c r="L989" i="3"/>
  <c r="M989" i="3"/>
  <c r="A990" i="3"/>
  <c r="B990" i="3"/>
  <c r="C990" i="3"/>
  <c r="D990" i="3"/>
  <c r="E990" i="3"/>
  <c r="F990" i="3"/>
  <c r="G990" i="3"/>
  <c r="H990" i="3"/>
  <c r="I990" i="3"/>
  <c r="J990" i="3"/>
  <c r="K990" i="3"/>
  <c r="L990" i="3"/>
  <c r="M990" i="3"/>
  <c r="A991" i="3"/>
  <c r="B991" i="3"/>
  <c r="C991" i="3"/>
  <c r="D991" i="3"/>
  <c r="E991" i="3"/>
  <c r="F991" i="3"/>
  <c r="G991" i="3"/>
  <c r="H991" i="3"/>
  <c r="I991" i="3"/>
  <c r="J991" i="3"/>
  <c r="K991" i="3"/>
  <c r="L991" i="3"/>
  <c r="M991" i="3"/>
  <c r="A992" i="3"/>
  <c r="B992" i="3"/>
  <c r="C992" i="3"/>
  <c r="D992" i="3"/>
  <c r="E992" i="3"/>
  <c r="F992" i="3"/>
  <c r="G992" i="3"/>
  <c r="H992" i="3"/>
  <c r="I992" i="3"/>
  <c r="J992" i="3"/>
  <c r="K992" i="3"/>
  <c r="L992" i="3"/>
  <c r="M992" i="3"/>
  <c r="A993" i="3"/>
  <c r="B993" i="3"/>
  <c r="C993" i="3"/>
  <c r="D993" i="3"/>
  <c r="E993" i="3"/>
  <c r="F993" i="3"/>
  <c r="G993" i="3"/>
  <c r="H993" i="3"/>
  <c r="I993" i="3"/>
  <c r="J993" i="3"/>
  <c r="K993" i="3"/>
  <c r="L993" i="3"/>
  <c r="M993" i="3"/>
  <c r="A994" i="3"/>
  <c r="B994" i="3"/>
  <c r="C994" i="3"/>
  <c r="D994" i="3"/>
  <c r="E994" i="3"/>
  <c r="F994" i="3"/>
  <c r="G994" i="3"/>
  <c r="H994" i="3"/>
  <c r="I994" i="3"/>
  <c r="J994" i="3"/>
  <c r="K994" i="3"/>
  <c r="L994" i="3"/>
  <c r="M994" i="3"/>
  <c r="A995" i="3"/>
  <c r="B995" i="3"/>
  <c r="C995" i="3"/>
  <c r="D995" i="3"/>
  <c r="E995" i="3"/>
  <c r="F995" i="3"/>
  <c r="G995" i="3"/>
  <c r="H995" i="3"/>
  <c r="I995" i="3"/>
  <c r="J995" i="3"/>
  <c r="K995" i="3"/>
  <c r="L995" i="3"/>
  <c r="M995" i="3"/>
  <c r="A996" i="3"/>
  <c r="B996" i="3"/>
  <c r="C996" i="3"/>
  <c r="D996" i="3"/>
  <c r="E996" i="3"/>
  <c r="F996" i="3"/>
  <c r="G996" i="3"/>
  <c r="H996" i="3"/>
  <c r="I996" i="3"/>
  <c r="J996" i="3"/>
  <c r="K996" i="3"/>
  <c r="L996" i="3"/>
  <c r="M996" i="3"/>
  <c r="A997" i="3"/>
  <c r="B997" i="3"/>
  <c r="C997" i="3"/>
  <c r="D997" i="3"/>
  <c r="E997" i="3"/>
  <c r="F997" i="3"/>
  <c r="G997" i="3"/>
  <c r="H997" i="3"/>
  <c r="I997" i="3"/>
  <c r="J997" i="3"/>
  <c r="K997" i="3"/>
  <c r="L997" i="3"/>
  <c r="M997" i="3"/>
  <c r="A998" i="3"/>
  <c r="B998" i="3"/>
  <c r="C998" i="3"/>
  <c r="D998" i="3"/>
  <c r="E998" i="3"/>
  <c r="F998" i="3"/>
  <c r="G998" i="3"/>
  <c r="H998" i="3"/>
  <c r="I998" i="3"/>
  <c r="J998" i="3"/>
  <c r="K998" i="3"/>
  <c r="L998" i="3"/>
  <c r="M998" i="3"/>
  <c r="A999" i="3"/>
  <c r="B999" i="3"/>
  <c r="C999" i="3"/>
  <c r="D999" i="3"/>
  <c r="E999" i="3"/>
  <c r="F999" i="3"/>
  <c r="G999" i="3"/>
  <c r="H999" i="3"/>
  <c r="I999" i="3"/>
  <c r="J999" i="3"/>
  <c r="K999" i="3"/>
  <c r="L999" i="3"/>
  <c r="M999" i="3"/>
  <c r="A1000" i="3"/>
  <c r="B1000" i="3"/>
  <c r="C1000" i="3"/>
  <c r="D1000" i="3"/>
  <c r="E1000" i="3"/>
  <c r="F1000" i="3"/>
  <c r="G1000" i="3"/>
  <c r="H1000" i="3"/>
  <c r="I1000" i="3"/>
  <c r="J1000" i="3"/>
  <c r="K1000" i="3"/>
  <c r="L1000" i="3"/>
  <c r="M1000" i="3"/>
  <c r="A1001" i="3"/>
  <c r="B1001" i="3"/>
  <c r="C1001" i="3"/>
  <c r="D1001" i="3"/>
  <c r="E1001" i="3"/>
  <c r="F1001" i="3"/>
  <c r="G1001" i="3"/>
  <c r="H1001" i="3"/>
  <c r="I1001" i="3"/>
  <c r="J1001" i="3"/>
  <c r="K1001" i="3"/>
  <c r="L1001" i="3"/>
  <c r="M1001" i="3"/>
  <c r="A1002" i="3"/>
  <c r="B1002" i="3"/>
  <c r="C1002" i="3"/>
  <c r="D1002" i="3"/>
  <c r="E1002" i="3"/>
  <c r="F1002" i="3"/>
  <c r="G1002" i="3"/>
  <c r="H1002" i="3"/>
  <c r="I1002" i="3"/>
  <c r="J1002" i="3"/>
  <c r="K1002" i="3"/>
  <c r="L1002" i="3"/>
  <c r="M1002" i="3"/>
  <c r="A1003" i="3"/>
  <c r="B1003" i="3"/>
  <c r="C1003" i="3"/>
  <c r="D1003" i="3"/>
  <c r="E1003" i="3"/>
  <c r="F1003" i="3"/>
  <c r="G1003" i="3"/>
  <c r="H1003" i="3"/>
  <c r="I1003" i="3"/>
  <c r="J1003" i="3"/>
  <c r="K1003" i="3"/>
  <c r="L1003" i="3"/>
  <c r="M1003" i="3"/>
  <c r="A1004" i="3"/>
  <c r="B1004" i="3"/>
  <c r="C1004" i="3"/>
  <c r="D1004" i="3"/>
  <c r="E1004" i="3"/>
  <c r="F1004" i="3"/>
  <c r="G1004" i="3"/>
  <c r="H1004" i="3"/>
  <c r="I1004" i="3"/>
  <c r="J1004" i="3"/>
  <c r="K1004" i="3"/>
  <c r="L1004" i="3"/>
  <c r="M1004" i="3"/>
  <c r="A1005" i="3"/>
  <c r="B1005" i="3"/>
  <c r="C1005" i="3"/>
  <c r="D1005" i="3"/>
  <c r="E1005" i="3"/>
  <c r="F1005" i="3"/>
  <c r="G1005" i="3"/>
  <c r="H1005" i="3"/>
  <c r="I1005" i="3"/>
  <c r="J1005" i="3"/>
  <c r="K1005" i="3"/>
  <c r="L1005" i="3"/>
  <c r="M1005" i="3"/>
  <c r="A1006" i="3"/>
  <c r="B1006" i="3"/>
  <c r="C1006" i="3"/>
  <c r="D1006" i="3"/>
  <c r="E1006" i="3"/>
  <c r="F1006" i="3"/>
  <c r="G1006" i="3"/>
  <c r="H1006" i="3"/>
  <c r="I1006" i="3"/>
  <c r="J1006" i="3"/>
  <c r="K1006" i="3"/>
  <c r="L1006" i="3"/>
  <c r="M1006" i="3"/>
  <c r="A1007" i="3"/>
  <c r="B1007" i="3"/>
  <c r="C1007" i="3"/>
  <c r="D1007" i="3"/>
  <c r="E1007" i="3"/>
  <c r="F1007" i="3"/>
  <c r="G1007" i="3"/>
  <c r="H1007" i="3"/>
  <c r="I1007" i="3"/>
  <c r="J1007" i="3"/>
  <c r="K1007" i="3"/>
  <c r="L1007" i="3"/>
  <c r="M1007" i="3"/>
  <c r="A1008" i="3"/>
  <c r="B1008" i="3"/>
  <c r="C1008" i="3"/>
  <c r="D1008" i="3"/>
  <c r="E1008" i="3"/>
  <c r="F1008" i="3"/>
  <c r="G1008" i="3"/>
  <c r="H1008" i="3"/>
  <c r="I1008" i="3"/>
  <c r="J1008" i="3"/>
  <c r="K1008" i="3"/>
  <c r="L1008" i="3"/>
  <c r="M1008" i="3"/>
  <c r="A1009" i="3"/>
  <c r="B1009" i="3"/>
  <c r="C1009" i="3"/>
  <c r="D1009" i="3"/>
  <c r="E1009" i="3"/>
  <c r="F1009" i="3"/>
  <c r="G1009" i="3"/>
  <c r="H1009" i="3"/>
  <c r="I1009" i="3"/>
  <c r="J1009" i="3"/>
  <c r="K1009" i="3"/>
  <c r="L1009" i="3"/>
  <c r="M1009" i="3"/>
  <c r="A1010" i="3"/>
  <c r="B1010" i="3"/>
  <c r="C1010" i="3"/>
  <c r="D1010" i="3"/>
  <c r="E1010" i="3"/>
  <c r="F1010" i="3"/>
  <c r="G1010" i="3"/>
  <c r="H1010" i="3"/>
  <c r="I1010" i="3"/>
  <c r="J1010" i="3"/>
  <c r="K1010" i="3"/>
  <c r="L1010" i="3"/>
  <c r="M1010" i="3"/>
  <c r="A1011" i="3"/>
  <c r="B1011" i="3"/>
  <c r="C1011" i="3"/>
  <c r="D1011" i="3"/>
  <c r="E1011" i="3"/>
  <c r="F1011" i="3"/>
  <c r="G1011" i="3"/>
  <c r="H1011" i="3"/>
  <c r="I1011" i="3"/>
  <c r="J1011" i="3"/>
  <c r="K1011" i="3"/>
  <c r="L1011" i="3"/>
  <c r="M1011" i="3"/>
  <c r="A1012" i="3"/>
  <c r="B1012" i="3"/>
  <c r="C1012" i="3"/>
  <c r="D1012" i="3"/>
  <c r="E1012" i="3"/>
  <c r="F1012" i="3"/>
  <c r="G1012" i="3"/>
  <c r="H1012" i="3"/>
  <c r="I1012" i="3"/>
  <c r="J1012" i="3"/>
  <c r="K1012" i="3"/>
  <c r="L1012" i="3"/>
  <c r="M1012" i="3"/>
  <c r="A1013" i="3"/>
  <c r="B1013" i="3"/>
  <c r="C1013" i="3"/>
  <c r="D1013" i="3"/>
  <c r="E1013" i="3"/>
  <c r="F1013" i="3"/>
  <c r="G1013" i="3"/>
  <c r="H1013" i="3"/>
  <c r="I1013" i="3"/>
  <c r="J1013" i="3"/>
  <c r="K1013" i="3"/>
  <c r="L1013" i="3"/>
  <c r="M1013" i="3"/>
  <c r="A1014" i="3"/>
  <c r="B1014" i="3"/>
  <c r="C1014" i="3"/>
  <c r="D1014" i="3"/>
  <c r="E1014" i="3"/>
  <c r="F1014" i="3"/>
  <c r="G1014" i="3"/>
  <c r="H1014" i="3"/>
  <c r="I1014" i="3"/>
  <c r="J1014" i="3"/>
  <c r="K1014" i="3"/>
  <c r="L1014" i="3"/>
  <c r="M1014" i="3"/>
  <c r="A1015" i="3"/>
  <c r="B1015" i="3"/>
  <c r="C1015" i="3"/>
  <c r="D1015" i="3"/>
  <c r="E1015" i="3"/>
  <c r="F1015" i="3"/>
  <c r="G1015" i="3"/>
  <c r="H1015" i="3"/>
  <c r="I1015" i="3"/>
  <c r="J1015" i="3"/>
  <c r="K1015" i="3"/>
  <c r="L1015" i="3"/>
  <c r="M1015" i="3"/>
  <c r="A1016" i="3"/>
  <c r="B1016" i="3"/>
  <c r="C1016" i="3"/>
  <c r="D1016" i="3"/>
  <c r="E1016" i="3"/>
  <c r="F1016" i="3"/>
  <c r="G1016" i="3"/>
  <c r="H1016" i="3"/>
  <c r="I1016" i="3"/>
  <c r="J1016" i="3"/>
  <c r="K1016" i="3"/>
  <c r="L1016" i="3"/>
  <c r="M1016" i="3"/>
  <c r="A1017" i="3"/>
  <c r="B1017" i="3"/>
  <c r="C1017" i="3"/>
  <c r="D1017" i="3"/>
  <c r="E1017" i="3"/>
  <c r="F1017" i="3"/>
  <c r="G1017" i="3"/>
  <c r="H1017" i="3"/>
  <c r="I1017" i="3"/>
  <c r="J1017" i="3"/>
  <c r="K1017" i="3"/>
  <c r="L1017" i="3"/>
  <c r="M1017" i="3"/>
  <c r="A1018" i="3"/>
  <c r="B1018" i="3"/>
  <c r="C1018" i="3"/>
  <c r="D1018" i="3"/>
  <c r="E1018" i="3"/>
  <c r="F1018" i="3"/>
  <c r="G1018" i="3"/>
  <c r="H1018" i="3"/>
  <c r="I1018" i="3"/>
  <c r="J1018" i="3"/>
  <c r="K1018" i="3"/>
  <c r="L1018" i="3"/>
  <c r="M1018" i="3"/>
  <c r="A1019" i="3"/>
  <c r="B1019" i="3"/>
  <c r="C1019" i="3"/>
  <c r="D1019" i="3"/>
  <c r="E1019" i="3"/>
  <c r="F1019" i="3"/>
  <c r="G1019" i="3"/>
  <c r="H1019" i="3"/>
  <c r="I1019" i="3"/>
  <c r="J1019" i="3"/>
  <c r="K1019" i="3"/>
  <c r="L1019" i="3"/>
  <c r="M1019" i="3"/>
  <c r="A1020" i="3"/>
  <c r="B1020" i="3"/>
  <c r="C1020" i="3"/>
  <c r="D1020" i="3"/>
  <c r="E1020" i="3"/>
  <c r="F1020" i="3"/>
  <c r="G1020" i="3"/>
  <c r="H1020" i="3"/>
  <c r="I1020" i="3"/>
  <c r="J1020" i="3"/>
  <c r="K1020" i="3"/>
  <c r="L1020" i="3"/>
  <c r="M1020" i="3"/>
  <c r="A1021" i="3"/>
  <c r="B1021" i="3"/>
  <c r="C1021" i="3"/>
  <c r="D1021" i="3"/>
  <c r="E1021" i="3"/>
  <c r="F1021" i="3"/>
  <c r="G1021" i="3"/>
  <c r="H1021" i="3"/>
  <c r="I1021" i="3"/>
  <c r="J1021" i="3"/>
  <c r="K1021" i="3"/>
  <c r="L1021" i="3"/>
  <c r="M1021" i="3"/>
  <c r="A1022" i="3"/>
  <c r="B1022" i="3"/>
  <c r="C1022" i="3"/>
  <c r="D1022" i="3"/>
  <c r="E1022" i="3"/>
  <c r="F1022" i="3"/>
  <c r="G1022" i="3"/>
  <c r="H1022" i="3"/>
  <c r="I1022" i="3"/>
  <c r="J1022" i="3"/>
  <c r="K1022" i="3"/>
  <c r="L1022" i="3"/>
  <c r="M1022" i="3"/>
  <c r="A1023" i="3"/>
  <c r="B1023" i="3"/>
  <c r="C1023" i="3"/>
  <c r="D1023" i="3"/>
  <c r="E1023" i="3"/>
  <c r="F1023" i="3"/>
  <c r="G1023" i="3"/>
  <c r="H1023" i="3"/>
  <c r="I1023" i="3"/>
  <c r="J1023" i="3"/>
  <c r="K1023" i="3"/>
  <c r="L1023" i="3"/>
  <c r="M1023" i="3"/>
  <c r="A1024" i="3"/>
  <c r="B1024" i="3"/>
  <c r="C1024" i="3"/>
  <c r="D1024" i="3"/>
  <c r="E1024" i="3"/>
  <c r="F1024" i="3"/>
  <c r="G1024" i="3"/>
  <c r="H1024" i="3"/>
  <c r="I1024" i="3"/>
  <c r="J1024" i="3"/>
  <c r="K1024" i="3"/>
  <c r="L1024" i="3"/>
  <c r="M1024" i="3"/>
  <c r="A1025" i="3"/>
  <c r="B1025" i="3"/>
  <c r="C1025" i="3"/>
  <c r="D1025" i="3"/>
  <c r="E1025" i="3"/>
  <c r="F1025" i="3"/>
  <c r="G1025" i="3"/>
  <c r="H1025" i="3"/>
  <c r="I1025" i="3"/>
  <c r="J1025" i="3"/>
  <c r="K1025" i="3"/>
  <c r="L1025" i="3"/>
  <c r="M1025" i="3"/>
  <c r="A1026" i="3"/>
  <c r="B1026" i="3"/>
  <c r="C1026" i="3"/>
  <c r="D1026" i="3"/>
  <c r="E1026" i="3"/>
  <c r="F1026" i="3"/>
  <c r="G1026" i="3"/>
  <c r="H1026" i="3"/>
  <c r="I1026" i="3"/>
  <c r="J1026" i="3"/>
  <c r="K1026" i="3"/>
  <c r="L1026" i="3"/>
  <c r="M1026" i="3"/>
  <c r="A1027" i="3"/>
  <c r="B1027" i="3"/>
  <c r="C1027" i="3"/>
  <c r="D1027" i="3"/>
  <c r="E1027" i="3"/>
  <c r="F1027" i="3"/>
  <c r="G1027" i="3"/>
  <c r="H1027" i="3"/>
  <c r="I1027" i="3"/>
  <c r="J1027" i="3"/>
  <c r="K1027" i="3"/>
  <c r="L1027" i="3"/>
  <c r="M1027" i="3"/>
  <c r="A1028" i="3"/>
  <c r="B1028" i="3"/>
  <c r="C1028" i="3"/>
  <c r="D1028" i="3"/>
  <c r="E1028" i="3"/>
  <c r="F1028" i="3"/>
  <c r="G1028" i="3"/>
  <c r="H1028" i="3"/>
  <c r="I1028" i="3"/>
  <c r="J1028" i="3"/>
  <c r="K1028" i="3"/>
  <c r="L1028" i="3"/>
  <c r="M1028" i="3"/>
  <c r="A1029" i="3"/>
  <c r="B1029" i="3"/>
  <c r="C1029" i="3"/>
  <c r="D1029" i="3"/>
  <c r="E1029" i="3"/>
  <c r="F1029" i="3"/>
  <c r="G1029" i="3"/>
  <c r="H1029" i="3"/>
  <c r="I1029" i="3"/>
  <c r="J1029" i="3"/>
  <c r="K1029" i="3"/>
  <c r="L1029" i="3"/>
  <c r="M1029" i="3"/>
  <c r="A1030" i="3"/>
  <c r="B1030" i="3"/>
  <c r="C1030" i="3"/>
  <c r="D1030" i="3"/>
  <c r="E1030" i="3"/>
  <c r="F1030" i="3"/>
  <c r="G1030" i="3"/>
  <c r="H1030" i="3"/>
  <c r="I1030" i="3"/>
  <c r="J1030" i="3"/>
  <c r="K1030" i="3"/>
  <c r="L1030" i="3"/>
  <c r="M1030" i="3"/>
  <c r="A1031" i="3"/>
  <c r="B1031" i="3"/>
  <c r="C1031" i="3"/>
  <c r="D1031" i="3"/>
  <c r="E1031" i="3"/>
  <c r="F1031" i="3"/>
  <c r="G1031" i="3"/>
  <c r="H1031" i="3"/>
  <c r="I1031" i="3"/>
  <c r="J1031" i="3"/>
  <c r="K1031" i="3"/>
  <c r="L1031" i="3"/>
  <c r="M1031" i="3"/>
  <c r="A1032" i="3"/>
  <c r="B1032" i="3"/>
  <c r="C1032" i="3"/>
  <c r="D1032" i="3"/>
  <c r="E1032" i="3"/>
  <c r="F1032" i="3"/>
  <c r="G1032" i="3"/>
  <c r="H1032" i="3"/>
  <c r="I1032" i="3"/>
  <c r="J1032" i="3"/>
  <c r="K1032" i="3"/>
  <c r="L1032" i="3"/>
  <c r="M1032" i="3"/>
  <c r="A1033" i="3"/>
  <c r="B1033" i="3"/>
  <c r="C1033" i="3"/>
  <c r="D1033" i="3"/>
  <c r="E1033" i="3"/>
  <c r="F1033" i="3"/>
  <c r="G1033" i="3"/>
  <c r="H1033" i="3"/>
  <c r="I1033" i="3"/>
  <c r="J1033" i="3"/>
  <c r="K1033" i="3"/>
  <c r="L1033" i="3"/>
  <c r="M1033" i="3"/>
  <c r="A1034" i="3"/>
  <c r="B1034" i="3"/>
  <c r="C1034" i="3"/>
  <c r="D1034" i="3"/>
  <c r="E1034" i="3"/>
  <c r="F1034" i="3"/>
  <c r="G1034" i="3"/>
  <c r="H1034" i="3"/>
  <c r="I1034" i="3"/>
  <c r="J1034" i="3"/>
  <c r="K1034" i="3"/>
  <c r="L1034" i="3"/>
  <c r="M1034" i="3"/>
  <c r="A1035" i="3"/>
  <c r="B1035" i="3"/>
  <c r="C1035" i="3"/>
  <c r="D1035" i="3"/>
  <c r="E1035" i="3"/>
  <c r="F1035" i="3"/>
  <c r="G1035" i="3"/>
  <c r="H1035" i="3"/>
  <c r="I1035" i="3"/>
  <c r="J1035" i="3"/>
  <c r="K1035" i="3"/>
  <c r="L1035" i="3"/>
  <c r="M1035" i="3"/>
  <c r="A1036" i="3"/>
  <c r="B1036" i="3"/>
  <c r="C1036" i="3"/>
  <c r="D1036" i="3"/>
  <c r="E1036" i="3"/>
  <c r="F1036" i="3"/>
  <c r="G1036" i="3"/>
  <c r="H1036" i="3"/>
  <c r="I1036" i="3"/>
  <c r="J1036" i="3"/>
  <c r="K1036" i="3"/>
  <c r="L1036" i="3"/>
  <c r="M1036" i="3"/>
  <c r="A1037" i="3"/>
  <c r="B1037" i="3"/>
  <c r="C1037" i="3"/>
  <c r="D1037" i="3"/>
  <c r="E1037" i="3"/>
  <c r="F1037" i="3"/>
  <c r="G1037" i="3"/>
  <c r="H1037" i="3"/>
  <c r="I1037" i="3"/>
  <c r="J1037" i="3"/>
  <c r="K1037" i="3"/>
  <c r="L1037" i="3"/>
  <c r="M1037" i="3"/>
  <c r="A1038" i="3"/>
  <c r="B1038" i="3"/>
  <c r="C1038" i="3"/>
  <c r="D1038" i="3"/>
  <c r="E1038" i="3"/>
  <c r="F1038" i="3"/>
  <c r="G1038" i="3"/>
  <c r="H1038" i="3"/>
  <c r="I1038" i="3"/>
  <c r="J1038" i="3"/>
  <c r="K1038" i="3"/>
  <c r="L1038" i="3"/>
  <c r="M1038" i="3"/>
  <c r="A1039" i="3"/>
  <c r="B1039" i="3"/>
  <c r="C1039" i="3"/>
  <c r="D1039" i="3"/>
  <c r="E1039" i="3"/>
  <c r="F1039" i="3"/>
  <c r="G1039" i="3"/>
  <c r="H1039" i="3"/>
  <c r="I1039" i="3"/>
  <c r="J1039" i="3"/>
  <c r="K1039" i="3"/>
  <c r="L1039" i="3"/>
  <c r="M1039" i="3"/>
  <c r="A1040" i="3"/>
  <c r="B1040" i="3"/>
  <c r="C1040" i="3"/>
  <c r="D1040" i="3"/>
  <c r="E1040" i="3"/>
  <c r="F1040" i="3"/>
  <c r="G1040" i="3"/>
  <c r="H1040" i="3"/>
  <c r="I1040" i="3"/>
  <c r="J1040" i="3"/>
  <c r="K1040" i="3"/>
  <c r="L1040" i="3"/>
  <c r="M1040" i="3"/>
  <c r="A1041" i="3"/>
  <c r="B1041" i="3"/>
  <c r="C1041" i="3"/>
  <c r="D1041" i="3"/>
  <c r="E1041" i="3"/>
  <c r="F1041" i="3"/>
  <c r="G1041" i="3"/>
  <c r="H1041" i="3"/>
  <c r="I1041" i="3"/>
  <c r="J1041" i="3"/>
  <c r="K1041" i="3"/>
  <c r="L1041" i="3"/>
  <c r="M1041" i="3"/>
  <c r="A1042" i="3"/>
  <c r="B1042" i="3"/>
  <c r="C1042" i="3"/>
  <c r="D1042" i="3"/>
  <c r="E1042" i="3"/>
  <c r="F1042" i="3"/>
  <c r="G1042" i="3"/>
  <c r="H1042" i="3"/>
  <c r="I1042" i="3"/>
  <c r="J1042" i="3"/>
  <c r="K1042" i="3"/>
  <c r="L1042" i="3"/>
  <c r="M1042" i="3"/>
  <c r="A1043" i="3"/>
  <c r="B1043" i="3"/>
  <c r="C1043" i="3"/>
  <c r="D1043" i="3"/>
  <c r="E1043" i="3"/>
  <c r="F1043" i="3"/>
  <c r="G1043" i="3"/>
  <c r="H1043" i="3"/>
  <c r="I1043" i="3"/>
  <c r="J1043" i="3"/>
  <c r="K1043" i="3"/>
  <c r="L1043" i="3"/>
  <c r="M1043" i="3"/>
  <c r="A1044" i="3"/>
  <c r="B1044" i="3"/>
  <c r="C1044" i="3"/>
  <c r="D1044" i="3"/>
  <c r="E1044" i="3"/>
  <c r="F1044" i="3"/>
  <c r="G1044" i="3"/>
  <c r="H1044" i="3"/>
  <c r="I1044" i="3"/>
  <c r="J1044" i="3"/>
  <c r="K1044" i="3"/>
  <c r="L1044" i="3"/>
  <c r="M1044" i="3"/>
  <c r="A1045" i="3"/>
  <c r="B1045" i="3"/>
  <c r="C1045" i="3"/>
  <c r="D1045" i="3"/>
  <c r="E1045" i="3"/>
  <c r="F1045" i="3"/>
  <c r="G1045" i="3"/>
  <c r="H1045" i="3"/>
  <c r="I1045" i="3"/>
  <c r="J1045" i="3"/>
  <c r="K1045" i="3"/>
  <c r="L1045" i="3"/>
  <c r="M1045" i="3"/>
  <c r="A1046" i="3"/>
  <c r="B1046" i="3"/>
  <c r="C1046" i="3"/>
  <c r="D1046" i="3"/>
  <c r="E1046" i="3"/>
  <c r="F1046" i="3"/>
  <c r="G1046" i="3"/>
  <c r="H1046" i="3"/>
  <c r="I1046" i="3"/>
  <c r="J1046" i="3"/>
  <c r="K1046" i="3"/>
  <c r="L1046" i="3"/>
  <c r="M1046" i="3"/>
  <c r="A1047" i="3"/>
  <c r="B1047" i="3"/>
  <c r="C1047" i="3"/>
  <c r="D1047" i="3"/>
  <c r="E1047" i="3"/>
  <c r="F1047" i="3"/>
  <c r="G1047" i="3"/>
  <c r="H1047" i="3"/>
  <c r="I1047" i="3"/>
  <c r="J1047" i="3"/>
  <c r="K1047" i="3"/>
  <c r="L1047" i="3"/>
  <c r="M1047" i="3"/>
  <c r="A1048" i="3"/>
  <c r="B1048" i="3"/>
  <c r="C1048" i="3"/>
  <c r="D1048" i="3"/>
  <c r="E1048" i="3"/>
  <c r="F1048" i="3"/>
  <c r="G1048" i="3"/>
  <c r="H1048" i="3"/>
  <c r="I1048" i="3"/>
  <c r="J1048" i="3"/>
  <c r="K1048" i="3"/>
  <c r="L1048" i="3"/>
  <c r="M1048" i="3"/>
  <c r="A1049" i="3"/>
  <c r="B1049" i="3"/>
  <c r="C1049" i="3"/>
  <c r="D1049" i="3"/>
  <c r="E1049" i="3"/>
  <c r="F1049" i="3"/>
  <c r="G1049" i="3"/>
  <c r="H1049" i="3"/>
  <c r="I1049" i="3"/>
  <c r="J1049" i="3"/>
  <c r="K1049" i="3"/>
  <c r="L1049" i="3"/>
  <c r="M1049" i="3"/>
  <c r="A1050" i="3"/>
  <c r="B1050" i="3"/>
  <c r="C1050" i="3"/>
  <c r="D1050" i="3"/>
  <c r="E1050" i="3"/>
  <c r="F1050" i="3"/>
  <c r="G1050" i="3"/>
  <c r="H1050" i="3"/>
  <c r="I1050" i="3"/>
  <c r="J1050" i="3"/>
  <c r="K1050" i="3"/>
  <c r="L1050" i="3"/>
  <c r="M1050" i="3"/>
  <c r="A1051" i="3"/>
  <c r="B1051" i="3"/>
  <c r="C1051" i="3"/>
  <c r="D1051" i="3"/>
  <c r="E1051" i="3"/>
  <c r="F1051" i="3"/>
  <c r="G1051" i="3"/>
  <c r="H1051" i="3"/>
  <c r="I1051" i="3"/>
  <c r="J1051" i="3"/>
  <c r="K1051" i="3"/>
  <c r="L1051" i="3"/>
  <c r="M1051" i="3"/>
  <c r="A1052" i="3"/>
  <c r="B1052" i="3"/>
  <c r="C1052" i="3"/>
  <c r="D1052" i="3"/>
  <c r="E1052" i="3"/>
  <c r="F1052" i="3"/>
  <c r="G1052" i="3"/>
  <c r="H1052" i="3"/>
  <c r="I1052" i="3"/>
  <c r="J1052" i="3"/>
  <c r="K1052" i="3"/>
  <c r="L1052" i="3"/>
  <c r="M1052" i="3"/>
  <c r="A1053" i="3"/>
  <c r="B1053" i="3"/>
  <c r="C1053" i="3"/>
  <c r="D1053" i="3"/>
  <c r="E1053" i="3"/>
  <c r="F1053" i="3"/>
  <c r="G1053" i="3"/>
  <c r="H1053" i="3"/>
  <c r="I1053" i="3"/>
  <c r="J1053" i="3"/>
  <c r="K1053" i="3"/>
  <c r="L1053" i="3"/>
  <c r="M1053" i="3"/>
  <c r="A1054" i="3"/>
  <c r="B1054" i="3"/>
  <c r="C1054" i="3"/>
  <c r="D1054" i="3"/>
  <c r="E1054" i="3"/>
  <c r="F1054" i="3"/>
  <c r="G1054" i="3"/>
  <c r="H1054" i="3"/>
  <c r="I1054" i="3"/>
  <c r="J1054" i="3"/>
  <c r="K1054" i="3"/>
  <c r="L1054" i="3"/>
  <c r="M1054" i="3"/>
  <c r="A1055" i="3"/>
  <c r="B1055" i="3"/>
  <c r="C1055" i="3"/>
  <c r="D1055" i="3"/>
  <c r="E1055" i="3"/>
  <c r="F1055" i="3"/>
  <c r="G1055" i="3"/>
  <c r="H1055" i="3"/>
  <c r="I1055" i="3"/>
  <c r="J1055" i="3"/>
  <c r="K1055" i="3"/>
  <c r="L1055" i="3"/>
  <c r="M1055" i="3"/>
  <c r="A1056" i="3"/>
  <c r="B1056" i="3"/>
  <c r="C1056" i="3"/>
  <c r="D1056" i="3"/>
  <c r="E1056" i="3"/>
  <c r="F1056" i="3"/>
  <c r="G1056" i="3"/>
  <c r="H1056" i="3"/>
  <c r="I1056" i="3"/>
  <c r="J1056" i="3"/>
  <c r="K1056" i="3"/>
  <c r="L1056" i="3"/>
  <c r="M1056" i="3"/>
  <c r="A1057" i="3"/>
  <c r="B1057" i="3"/>
  <c r="C1057" i="3"/>
  <c r="D1057" i="3"/>
  <c r="E1057" i="3"/>
  <c r="F1057" i="3"/>
  <c r="G1057" i="3"/>
  <c r="H1057" i="3"/>
  <c r="I1057" i="3"/>
  <c r="J1057" i="3"/>
  <c r="K1057" i="3"/>
  <c r="L1057" i="3"/>
  <c r="M1057" i="3"/>
  <c r="A1058" i="3"/>
  <c r="B1058" i="3"/>
  <c r="C1058" i="3"/>
  <c r="D1058" i="3"/>
  <c r="E1058" i="3"/>
  <c r="F1058" i="3"/>
  <c r="G1058" i="3"/>
  <c r="H1058" i="3"/>
  <c r="I1058" i="3"/>
  <c r="J1058" i="3"/>
  <c r="K1058" i="3"/>
  <c r="L1058" i="3"/>
  <c r="M1058" i="3"/>
  <c r="A1059" i="3"/>
  <c r="B1059" i="3"/>
  <c r="C1059" i="3"/>
  <c r="D1059" i="3"/>
  <c r="E1059" i="3"/>
  <c r="F1059" i="3"/>
  <c r="G1059" i="3"/>
  <c r="H1059" i="3"/>
  <c r="I1059" i="3"/>
  <c r="J1059" i="3"/>
  <c r="K1059" i="3"/>
  <c r="L1059" i="3"/>
  <c r="M1059" i="3"/>
  <c r="A1060" i="3"/>
  <c r="B1060" i="3"/>
  <c r="C1060" i="3"/>
  <c r="D1060" i="3"/>
  <c r="E1060" i="3"/>
  <c r="F1060" i="3"/>
  <c r="G1060" i="3"/>
  <c r="H1060" i="3"/>
  <c r="I1060" i="3"/>
  <c r="J1060" i="3"/>
  <c r="K1060" i="3"/>
  <c r="L1060" i="3"/>
  <c r="M1060" i="3"/>
  <c r="A1061" i="3"/>
  <c r="B1061" i="3"/>
  <c r="C1061" i="3"/>
  <c r="D1061" i="3"/>
  <c r="E1061" i="3"/>
  <c r="F1061" i="3"/>
  <c r="G1061" i="3"/>
  <c r="H1061" i="3"/>
  <c r="I1061" i="3"/>
  <c r="J1061" i="3"/>
  <c r="K1061" i="3"/>
  <c r="L1061" i="3"/>
  <c r="M1061" i="3"/>
  <c r="A1062" i="3"/>
  <c r="B1062" i="3"/>
  <c r="C1062" i="3"/>
  <c r="D1062" i="3"/>
  <c r="E1062" i="3"/>
  <c r="F1062" i="3"/>
  <c r="G1062" i="3"/>
  <c r="H1062" i="3"/>
  <c r="I1062" i="3"/>
  <c r="J1062" i="3"/>
  <c r="K1062" i="3"/>
  <c r="L1062" i="3"/>
  <c r="M1062" i="3"/>
  <c r="A1063" i="3"/>
  <c r="B1063" i="3"/>
  <c r="C1063" i="3"/>
  <c r="D1063" i="3"/>
  <c r="E1063" i="3"/>
  <c r="F1063" i="3"/>
  <c r="G1063" i="3"/>
  <c r="H1063" i="3"/>
  <c r="I1063" i="3"/>
  <c r="J1063" i="3"/>
  <c r="K1063" i="3"/>
  <c r="L1063" i="3"/>
  <c r="M1063" i="3"/>
  <c r="A1064" i="3"/>
  <c r="B1064" i="3"/>
  <c r="C1064" i="3"/>
  <c r="D1064" i="3"/>
  <c r="E1064" i="3"/>
  <c r="F1064" i="3"/>
  <c r="G1064" i="3"/>
  <c r="H1064" i="3"/>
  <c r="I1064" i="3"/>
  <c r="J1064" i="3"/>
  <c r="K1064" i="3"/>
  <c r="L1064" i="3"/>
  <c r="M1064" i="3"/>
  <c r="A1065" i="3"/>
  <c r="B1065" i="3"/>
  <c r="C1065" i="3"/>
  <c r="D1065" i="3"/>
  <c r="E1065" i="3"/>
  <c r="F1065" i="3"/>
  <c r="G1065" i="3"/>
  <c r="H1065" i="3"/>
  <c r="I1065" i="3"/>
  <c r="J1065" i="3"/>
  <c r="K1065" i="3"/>
  <c r="L1065" i="3"/>
  <c r="M1065" i="3"/>
  <c r="A1066" i="3"/>
  <c r="B1066" i="3"/>
  <c r="C1066" i="3"/>
  <c r="D1066" i="3"/>
  <c r="E1066" i="3"/>
  <c r="F1066" i="3"/>
  <c r="G1066" i="3"/>
  <c r="H1066" i="3"/>
  <c r="I1066" i="3"/>
  <c r="J1066" i="3"/>
  <c r="K1066" i="3"/>
  <c r="L1066" i="3"/>
  <c r="M1066" i="3"/>
  <c r="A1067" i="3"/>
  <c r="B1067" i="3"/>
  <c r="C1067" i="3"/>
  <c r="D1067" i="3"/>
  <c r="E1067" i="3"/>
  <c r="F1067" i="3"/>
  <c r="G1067" i="3"/>
  <c r="H1067" i="3"/>
  <c r="I1067" i="3"/>
  <c r="J1067" i="3"/>
  <c r="K1067" i="3"/>
  <c r="L1067" i="3"/>
  <c r="M1067" i="3"/>
  <c r="A1068" i="3"/>
  <c r="B1068" i="3"/>
  <c r="C1068" i="3"/>
  <c r="D1068" i="3"/>
  <c r="E1068" i="3"/>
  <c r="F1068" i="3"/>
  <c r="G1068" i="3"/>
  <c r="H1068" i="3"/>
  <c r="I1068" i="3"/>
  <c r="J1068" i="3"/>
  <c r="K1068" i="3"/>
  <c r="L1068" i="3"/>
  <c r="M1068" i="3"/>
  <c r="A1069" i="3"/>
  <c r="B1069" i="3"/>
  <c r="C1069" i="3"/>
  <c r="D1069" i="3"/>
  <c r="E1069" i="3"/>
  <c r="F1069" i="3"/>
  <c r="G1069" i="3"/>
  <c r="H1069" i="3"/>
  <c r="I1069" i="3"/>
  <c r="J1069" i="3"/>
  <c r="K1069" i="3"/>
  <c r="L1069" i="3"/>
  <c r="M1069" i="3"/>
  <c r="A1070" i="3"/>
  <c r="B1070" i="3"/>
  <c r="C1070" i="3"/>
  <c r="D1070" i="3"/>
  <c r="E1070" i="3"/>
  <c r="F1070" i="3"/>
  <c r="G1070" i="3"/>
  <c r="H1070" i="3"/>
  <c r="I1070" i="3"/>
  <c r="J1070" i="3"/>
  <c r="K1070" i="3"/>
  <c r="L1070" i="3"/>
  <c r="M1070" i="3"/>
  <c r="A1071" i="3"/>
  <c r="B1071" i="3"/>
  <c r="C1071" i="3"/>
  <c r="D1071" i="3"/>
  <c r="E1071" i="3"/>
  <c r="F1071" i="3"/>
  <c r="G1071" i="3"/>
  <c r="H1071" i="3"/>
  <c r="I1071" i="3"/>
  <c r="J1071" i="3"/>
  <c r="K1071" i="3"/>
  <c r="L1071" i="3"/>
  <c r="M1071" i="3"/>
  <c r="A1072" i="3"/>
  <c r="B1072" i="3"/>
  <c r="C1072" i="3"/>
  <c r="D1072" i="3"/>
  <c r="E1072" i="3"/>
  <c r="F1072" i="3"/>
  <c r="G1072" i="3"/>
  <c r="H1072" i="3"/>
  <c r="I1072" i="3"/>
  <c r="J1072" i="3"/>
  <c r="K1072" i="3"/>
  <c r="L1072" i="3"/>
  <c r="M1072" i="3"/>
  <c r="A1073" i="3"/>
  <c r="B1073" i="3"/>
  <c r="C1073" i="3"/>
  <c r="D1073" i="3"/>
  <c r="E1073" i="3"/>
  <c r="F1073" i="3"/>
  <c r="G1073" i="3"/>
  <c r="H1073" i="3"/>
  <c r="I1073" i="3"/>
  <c r="J1073" i="3"/>
  <c r="K1073" i="3"/>
  <c r="L1073" i="3"/>
  <c r="M1073" i="3"/>
  <c r="A1074" i="3"/>
  <c r="B1074" i="3"/>
  <c r="C1074" i="3"/>
  <c r="D1074" i="3"/>
  <c r="E1074" i="3"/>
  <c r="F1074" i="3"/>
  <c r="G1074" i="3"/>
  <c r="H1074" i="3"/>
  <c r="I1074" i="3"/>
  <c r="J1074" i="3"/>
  <c r="K1074" i="3"/>
  <c r="L1074" i="3"/>
  <c r="M1074" i="3"/>
  <c r="A1075" i="3"/>
  <c r="B1075" i="3"/>
  <c r="C1075" i="3"/>
  <c r="D1075" i="3"/>
  <c r="E1075" i="3"/>
  <c r="F1075" i="3"/>
  <c r="G1075" i="3"/>
  <c r="H1075" i="3"/>
  <c r="I1075" i="3"/>
  <c r="J1075" i="3"/>
  <c r="K1075" i="3"/>
  <c r="L1075" i="3"/>
  <c r="M1075" i="3"/>
  <c r="A1076" i="3"/>
  <c r="B1076" i="3"/>
  <c r="C1076" i="3"/>
  <c r="D1076" i="3"/>
  <c r="E1076" i="3"/>
  <c r="F1076" i="3"/>
  <c r="G1076" i="3"/>
  <c r="H1076" i="3"/>
  <c r="I1076" i="3"/>
  <c r="J1076" i="3"/>
  <c r="K1076" i="3"/>
  <c r="L1076" i="3"/>
  <c r="M1076" i="3"/>
  <c r="A1077" i="3"/>
  <c r="B1077" i="3"/>
  <c r="C1077" i="3"/>
  <c r="D1077" i="3"/>
  <c r="E1077" i="3"/>
  <c r="F1077" i="3"/>
  <c r="G1077" i="3"/>
  <c r="H1077" i="3"/>
  <c r="I1077" i="3"/>
  <c r="J1077" i="3"/>
  <c r="K1077" i="3"/>
  <c r="L1077" i="3"/>
  <c r="M1077" i="3"/>
  <c r="A1078" i="3"/>
  <c r="B1078" i="3"/>
  <c r="C1078" i="3"/>
  <c r="D1078" i="3"/>
  <c r="E1078" i="3"/>
  <c r="F1078" i="3"/>
  <c r="G1078" i="3"/>
  <c r="H1078" i="3"/>
  <c r="I1078" i="3"/>
  <c r="J1078" i="3"/>
  <c r="K1078" i="3"/>
  <c r="L1078" i="3"/>
  <c r="M1078" i="3"/>
  <c r="A1079" i="3"/>
  <c r="B1079" i="3"/>
  <c r="C1079" i="3"/>
  <c r="D1079" i="3"/>
  <c r="E1079" i="3"/>
  <c r="F1079" i="3"/>
  <c r="G1079" i="3"/>
  <c r="H1079" i="3"/>
  <c r="I1079" i="3"/>
  <c r="J1079" i="3"/>
  <c r="K1079" i="3"/>
  <c r="L1079" i="3"/>
  <c r="M1079" i="3"/>
  <c r="A1080" i="3"/>
  <c r="B1080" i="3"/>
  <c r="C1080" i="3"/>
  <c r="D1080" i="3"/>
  <c r="E1080" i="3"/>
  <c r="F1080" i="3"/>
  <c r="G1080" i="3"/>
  <c r="H1080" i="3"/>
  <c r="I1080" i="3"/>
  <c r="J1080" i="3"/>
  <c r="K1080" i="3"/>
  <c r="L1080" i="3"/>
  <c r="M1080" i="3"/>
  <c r="A1081" i="3"/>
  <c r="B1081" i="3"/>
  <c r="C1081" i="3"/>
  <c r="D1081" i="3"/>
  <c r="E1081" i="3"/>
  <c r="F1081" i="3"/>
  <c r="G1081" i="3"/>
  <c r="H1081" i="3"/>
  <c r="I1081" i="3"/>
  <c r="J1081" i="3"/>
  <c r="K1081" i="3"/>
  <c r="L1081" i="3"/>
  <c r="M1081" i="3"/>
  <c r="A1082" i="3"/>
  <c r="B1082" i="3"/>
  <c r="C1082" i="3"/>
  <c r="D1082" i="3"/>
  <c r="E1082" i="3"/>
  <c r="F1082" i="3"/>
  <c r="G1082" i="3"/>
  <c r="H1082" i="3"/>
  <c r="I1082" i="3"/>
  <c r="J1082" i="3"/>
  <c r="K1082" i="3"/>
  <c r="L1082" i="3"/>
  <c r="M1082" i="3"/>
  <c r="A1083" i="3"/>
  <c r="B1083" i="3"/>
  <c r="C1083" i="3"/>
  <c r="D1083" i="3"/>
  <c r="E1083" i="3"/>
  <c r="F1083" i="3"/>
  <c r="G1083" i="3"/>
  <c r="H1083" i="3"/>
  <c r="I1083" i="3"/>
  <c r="J1083" i="3"/>
  <c r="K1083" i="3"/>
  <c r="L1083" i="3"/>
  <c r="M1083" i="3"/>
  <c r="A1084" i="3"/>
  <c r="B1084" i="3"/>
  <c r="C1084" i="3"/>
  <c r="D1084" i="3"/>
  <c r="E1084" i="3"/>
  <c r="F1084" i="3"/>
  <c r="G1084" i="3"/>
  <c r="H1084" i="3"/>
  <c r="I1084" i="3"/>
  <c r="J1084" i="3"/>
  <c r="K1084" i="3"/>
  <c r="L1084" i="3"/>
  <c r="M1084" i="3"/>
  <c r="A1085" i="3"/>
  <c r="B1085" i="3"/>
  <c r="C1085" i="3"/>
  <c r="D1085" i="3"/>
  <c r="E1085" i="3"/>
  <c r="F1085" i="3"/>
  <c r="G1085" i="3"/>
  <c r="H1085" i="3"/>
  <c r="I1085" i="3"/>
  <c r="J1085" i="3"/>
  <c r="K1085" i="3"/>
  <c r="L1085" i="3"/>
  <c r="M1085" i="3"/>
  <c r="A1086" i="3"/>
  <c r="B1086" i="3"/>
  <c r="C1086" i="3"/>
  <c r="D1086" i="3"/>
  <c r="E1086" i="3"/>
  <c r="F1086" i="3"/>
  <c r="G1086" i="3"/>
  <c r="H1086" i="3"/>
  <c r="I1086" i="3"/>
  <c r="J1086" i="3"/>
  <c r="K1086" i="3"/>
  <c r="L1086" i="3"/>
  <c r="M1086" i="3"/>
  <c r="A1087" i="3"/>
  <c r="B1087" i="3"/>
  <c r="C1087" i="3"/>
  <c r="D1087" i="3"/>
  <c r="E1087" i="3"/>
  <c r="F1087" i="3"/>
  <c r="G1087" i="3"/>
  <c r="H1087" i="3"/>
  <c r="I1087" i="3"/>
  <c r="J1087" i="3"/>
  <c r="K1087" i="3"/>
  <c r="L1087" i="3"/>
  <c r="M1087" i="3"/>
  <c r="A1088" i="3"/>
  <c r="B1088" i="3"/>
  <c r="C1088" i="3"/>
  <c r="D1088" i="3"/>
  <c r="E1088" i="3"/>
  <c r="F1088" i="3"/>
  <c r="G1088" i="3"/>
  <c r="H1088" i="3"/>
  <c r="I1088" i="3"/>
  <c r="J1088" i="3"/>
  <c r="K1088" i="3"/>
  <c r="L1088" i="3"/>
  <c r="M1088" i="3"/>
  <c r="A1089" i="3"/>
  <c r="B1089" i="3"/>
  <c r="C1089" i="3"/>
  <c r="D1089" i="3"/>
  <c r="E1089" i="3"/>
  <c r="F1089" i="3"/>
  <c r="G1089" i="3"/>
  <c r="H1089" i="3"/>
  <c r="I1089" i="3"/>
  <c r="J1089" i="3"/>
  <c r="K1089" i="3"/>
  <c r="L1089" i="3"/>
  <c r="M1089" i="3"/>
  <c r="A1090" i="3"/>
  <c r="B1090" i="3"/>
  <c r="C1090" i="3"/>
  <c r="D1090" i="3"/>
  <c r="E1090" i="3"/>
  <c r="F1090" i="3"/>
  <c r="G1090" i="3"/>
  <c r="H1090" i="3"/>
  <c r="I1090" i="3"/>
  <c r="J1090" i="3"/>
  <c r="K1090" i="3"/>
  <c r="L1090" i="3"/>
  <c r="M1090" i="3"/>
  <c r="A1091" i="3"/>
  <c r="B1091" i="3"/>
  <c r="C1091" i="3"/>
  <c r="D1091" i="3"/>
  <c r="E1091" i="3"/>
  <c r="F1091" i="3"/>
  <c r="G1091" i="3"/>
  <c r="H1091" i="3"/>
  <c r="I1091" i="3"/>
  <c r="J1091" i="3"/>
  <c r="K1091" i="3"/>
  <c r="L1091" i="3"/>
  <c r="M1091" i="3"/>
  <c r="A1092" i="3"/>
  <c r="B1092" i="3"/>
  <c r="C1092" i="3"/>
  <c r="D1092" i="3"/>
  <c r="E1092" i="3"/>
  <c r="F1092" i="3"/>
  <c r="G1092" i="3"/>
  <c r="H1092" i="3"/>
  <c r="I1092" i="3"/>
  <c r="J1092" i="3"/>
  <c r="K1092" i="3"/>
  <c r="L1092" i="3"/>
  <c r="M1092" i="3"/>
  <c r="A1093" i="3"/>
  <c r="B1093" i="3"/>
  <c r="C1093" i="3"/>
  <c r="D1093" i="3"/>
  <c r="E1093" i="3"/>
  <c r="F1093" i="3"/>
  <c r="G1093" i="3"/>
  <c r="H1093" i="3"/>
  <c r="I1093" i="3"/>
  <c r="J1093" i="3"/>
  <c r="K1093" i="3"/>
  <c r="L1093" i="3"/>
  <c r="M1093" i="3"/>
  <c r="A1094" i="3"/>
  <c r="B1094" i="3"/>
  <c r="C1094" i="3"/>
  <c r="D1094" i="3"/>
  <c r="E1094" i="3"/>
  <c r="F1094" i="3"/>
  <c r="G1094" i="3"/>
  <c r="H1094" i="3"/>
  <c r="I1094" i="3"/>
  <c r="J1094" i="3"/>
  <c r="K1094" i="3"/>
  <c r="L1094" i="3"/>
  <c r="M1094" i="3"/>
  <c r="A1095" i="3"/>
  <c r="B1095" i="3"/>
  <c r="C1095" i="3"/>
  <c r="D1095" i="3"/>
  <c r="E1095" i="3"/>
  <c r="F1095" i="3"/>
  <c r="G1095" i="3"/>
  <c r="H1095" i="3"/>
  <c r="I1095" i="3"/>
  <c r="J1095" i="3"/>
  <c r="K1095" i="3"/>
  <c r="L1095" i="3"/>
  <c r="M1095" i="3"/>
  <c r="A1096" i="3"/>
  <c r="B1096" i="3"/>
  <c r="C1096" i="3"/>
  <c r="D1096" i="3"/>
  <c r="E1096" i="3"/>
  <c r="F1096" i="3"/>
  <c r="G1096" i="3"/>
  <c r="H1096" i="3"/>
  <c r="I1096" i="3"/>
  <c r="J1096" i="3"/>
  <c r="K1096" i="3"/>
  <c r="L1096" i="3"/>
  <c r="M1096" i="3"/>
  <c r="A1097" i="3"/>
  <c r="B1097" i="3"/>
  <c r="C1097" i="3"/>
  <c r="D1097" i="3"/>
  <c r="E1097" i="3"/>
  <c r="F1097" i="3"/>
  <c r="G1097" i="3"/>
  <c r="H1097" i="3"/>
  <c r="I1097" i="3"/>
  <c r="J1097" i="3"/>
  <c r="K1097" i="3"/>
  <c r="L1097" i="3"/>
  <c r="M1097" i="3"/>
  <c r="A1098" i="3"/>
  <c r="B1098" i="3"/>
  <c r="C1098" i="3"/>
  <c r="D1098" i="3"/>
  <c r="E1098" i="3"/>
  <c r="F1098" i="3"/>
  <c r="G1098" i="3"/>
  <c r="H1098" i="3"/>
  <c r="I1098" i="3"/>
  <c r="J1098" i="3"/>
  <c r="K1098" i="3"/>
  <c r="L1098" i="3"/>
  <c r="M1098" i="3"/>
  <c r="A1099" i="3"/>
  <c r="B1099" i="3"/>
  <c r="C1099" i="3"/>
  <c r="D1099" i="3"/>
  <c r="E1099" i="3"/>
  <c r="F1099" i="3"/>
  <c r="G1099" i="3"/>
  <c r="H1099" i="3"/>
  <c r="I1099" i="3"/>
  <c r="J1099" i="3"/>
  <c r="K1099" i="3"/>
  <c r="L1099" i="3"/>
  <c r="M1099" i="3"/>
  <c r="A1100" i="3"/>
  <c r="B1100" i="3"/>
  <c r="C1100" i="3"/>
  <c r="D1100" i="3"/>
  <c r="E1100" i="3"/>
  <c r="F1100" i="3"/>
  <c r="G1100" i="3"/>
  <c r="H1100" i="3"/>
  <c r="I1100" i="3"/>
  <c r="J1100" i="3"/>
  <c r="K1100" i="3"/>
  <c r="L1100" i="3"/>
  <c r="M1100" i="3"/>
  <c r="A1101" i="3"/>
  <c r="B1101" i="3"/>
  <c r="C1101" i="3"/>
  <c r="D1101" i="3"/>
  <c r="E1101" i="3"/>
  <c r="F1101" i="3"/>
  <c r="G1101" i="3"/>
  <c r="H1101" i="3"/>
  <c r="I1101" i="3"/>
  <c r="J1101" i="3"/>
  <c r="K1101" i="3"/>
  <c r="L1101" i="3"/>
  <c r="M1101" i="3"/>
  <c r="A1102" i="3"/>
  <c r="B1102" i="3"/>
  <c r="C1102" i="3"/>
  <c r="D1102" i="3"/>
  <c r="E1102" i="3"/>
  <c r="F1102" i="3"/>
  <c r="G1102" i="3"/>
  <c r="H1102" i="3"/>
  <c r="I1102" i="3"/>
  <c r="J1102" i="3"/>
  <c r="K1102" i="3"/>
  <c r="L1102" i="3"/>
  <c r="M1102" i="3"/>
  <c r="A1103" i="3"/>
  <c r="B1103" i="3"/>
  <c r="C1103" i="3"/>
  <c r="D1103" i="3"/>
  <c r="E1103" i="3"/>
  <c r="F1103" i="3"/>
  <c r="G1103" i="3"/>
  <c r="H1103" i="3"/>
  <c r="I1103" i="3"/>
  <c r="J1103" i="3"/>
  <c r="K1103" i="3"/>
  <c r="L1103" i="3"/>
  <c r="M1103" i="3"/>
  <c r="A1104" i="3"/>
  <c r="B1104" i="3"/>
  <c r="C1104" i="3"/>
  <c r="D1104" i="3"/>
  <c r="E1104" i="3"/>
  <c r="F1104" i="3"/>
  <c r="G1104" i="3"/>
  <c r="H1104" i="3"/>
  <c r="I1104" i="3"/>
  <c r="J1104" i="3"/>
  <c r="K1104" i="3"/>
  <c r="L1104" i="3"/>
  <c r="M1104" i="3"/>
  <c r="A1105" i="3"/>
  <c r="B1105" i="3"/>
  <c r="C1105" i="3"/>
  <c r="D1105" i="3"/>
  <c r="E1105" i="3"/>
  <c r="F1105" i="3"/>
  <c r="G1105" i="3"/>
  <c r="H1105" i="3"/>
  <c r="I1105" i="3"/>
  <c r="J1105" i="3"/>
  <c r="K1105" i="3"/>
  <c r="L1105" i="3"/>
  <c r="M1105" i="3"/>
  <c r="A1106" i="3"/>
  <c r="B1106" i="3"/>
  <c r="C1106" i="3"/>
  <c r="D1106" i="3"/>
  <c r="E1106" i="3"/>
  <c r="F1106" i="3"/>
  <c r="G1106" i="3"/>
  <c r="H1106" i="3"/>
  <c r="I1106" i="3"/>
  <c r="J1106" i="3"/>
  <c r="K1106" i="3"/>
  <c r="L1106" i="3"/>
  <c r="M1106" i="3"/>
  <c r="A1107" i="3"/>
  <c r="B1107" i="3"/>
  <c r="C1107" i="3"/>
  <c r="D1107" i="3"/>
  <c r="E1107" i="3"/>
  <c r="F1107" i="3"/>
  <c r="G1107" i="3"/>
  <c r="H1107" i="3"/>
  <c r="I1107" i="3"/>
  <c r="J1107" i="3"/>
  <c r="K1107" i="3"/>
  <c r="L1107" i="3"/>
  <c r="M1107" i="3"/>
  <c r="A1108" i="3"/>
  <c r="B1108" i="3"/>
  <c r="C1108" i="3"/>
  <c r="D1108" i="3"/>
  <c r="E1108" i="3"/>
  <c r="F1108" i="3"/>
  <c r="G1108" i="3"/>
  <c r="H1108" i="3"/>
  <c r="I1108" i="3"/>
  <c r="J1108" i="3"/>
  <c r="K1108" i="3"/>
  <c r="L1108" i="3"/>
  <c r="M1108" i="3"/>
  <c r="A1109" i="3"/>
  <c r="B1109" i="3"/>
  <c r="C1109" i="3"/>
  <c r="D1109" i="3"/>
  <c r="E1109" i="3"/>
  <c r="F1109" i="3"/>
  <c r="G1109" i="3"/>
  <c r="H1109" i="3"/>
  <c r="I1109" i="3"/>
  <c r="J1109" i="3"/>
  <c r="K1109" i="3"/>
  <c r="L1109" i="3"/>
  <c r="M1109" i="3"/>
  <c r="A1110" i="3"/>
  <c r="B1110" i="3"/>
  <c r="C1110" i="3"/>
  <c r="D1110" i="3"/>
  <c r="E1110" i="3"/>
  <c r="F1110" i="3"/>
  <c r="G1110" i="3"/>
  <c r="H1110" i="3"/>
  <c r="I1110" i="3"/>
  <c r="J1110" i="3"/>
  <c r="K1110" i="3"/>
  <c r="L1110" i="3"/>
  <c r="M1110" i="3"/>
  <c r="A1111" i="3"/>
  <c r="B1111" i="3"/>
  <c r="C1111" i="3"/>
  <c r="D1111" i="3"/>
  <c r="E1111" i="3"/>
  <c r="F1111" i="3"/>
  <c r="G1111" i="3"/>
  <c r="H1111" i="3"/>
  <c r="I1111" i="3"/>
  <c r="J1111" i="3"/>
  <c r="K1111" i="3"/>
  <c r="L1111" i="3"/>
  <c r="M1111" i="3"/>
  <c r="A1112" i="3"/>
  <c r="B1112" i="3"/>
  <c r="C1112" i="3"/>
  <c r="D1112" i="3"/>
  <c r="E1112" i="3"/>
  <c r="F1112" i="3"/>
  <c r="G1112" i="3"/>
  <c r="H1112" i="3"/>
  <c r="I1112" i="3"/>
  <c r="J1112" i="3"/>
  <c r="K1112" i="3"/>
  <c r="L1112" i="3"/>
  <c r="M1112" i="3"/>
  <c r="A1113" i="3"/>
  <c r="B1113" i="3"/>
  <c r="C1113" i="3"/>
  <c r="D1113" i="3"/>
  <c r="E1113" i="3"/>
  <c r="F1113" i="3"/>
  <c r="G1113" i="3"/>
  <c r="H1113" i="3"/>
  <c r="I1113" i="3"/>
  <c r="J1113" i="3"/>
  <c r="K1113" i="3"/>
  <c r="L1113" i="3"/>
  <c r="M1113" i="3"/>
  <c r="A1114" i="3"/>
  <c r="B1114" i="3"/>
  <c r="C1114" i="3"/>
  <c r="D1114" i="3"/>
  <c r="E1114" i="3"/>
  <c r="F1114" i="3"/>
  <c r="G1114" i="3"/>
  <c r="H1114" i="3"/>
  <c r="I1114" i="3"/>
  <c r="J1114" i="3"/>
  <c r="K1114" i="3"/>
  <c r="L1114" i="3"/>
  <c r="M1114" i="3"/>
  <c r="A1115" i="3"/>
  <c r="B1115" i="3"/>
  <c r="C1115" i="3"/>
  <c r="D1115" i="3"/>
  <c r="E1115" i="3"/>
  <c r="F1115" i="3"/>
  <c r="G1115" i="3"/>
  <c r="H1115" i="3"/>
  <c r="I1115" i="3"/>
  <c r="J1115" i="3"/>
  <c r="K1115" i="3"/>
  <c r="L1115" i="3"/>
  <c r="M1115" i="3"/>
  <c r="A1116" i="3"/>
  <c r="B1116" i="3"/>
  <c r="C1116" i="3"/>
  <c r="D1116" i="3"/>
  <c r="E1116" i="3"/>
  <c r="F1116" i="3"/>
  <c r="G1116" i="3"/>
  <c r="H1116" i="3"/>
  <c r="I1116" i="3"/>
  <c r="J1116" i="3"/>
  <c r="K1116" i="3"/>
  <c r="L1116" i="3"/>
  <c r="M1116" i="3"/>
  <c r="A1117" i="3"/>
  <c r="B1117" i="3"/>
  <c r="C1117" i="3"/>
  <c r="D1117" i="3"/>
  <c r="E1117" i="3"/>
  <c r="F1117" i="3"/>
  <c r="G1117" i="3"/>
  <c r="H1117" i="3"/>
  <c r="I1117" i="3"/>
  <c r="J1117" i="3"/>
  <c r="K1117" i="3"/>
  <c r="L1117" i="3"/>
  <c r="M1117" i="3"/>
  <c r="A1118" i="3"/>
  <c r="B1118" i="3"/>
  <c r="C1118" i="3"/>
  <c r="D1118" i="3"/>
  <c r="E1118" i="3"/>
  <c r="F1118" i="3"/>
  <c r="G1118" i="3"/>
  <c r="H1118" i="3"/>
  <c r="I1118" i="3"/>
  <c r="J1118" i="3"/>
  <c r="K1118" i="3"/>
  <c r="L1118" i="3"/>
  <c r="M1118" i="3"/>
  <c r="A1119" i="3"/>
  <c r="B1119" i="3"/>
  <c r="C1119" i="3"/>
  <c r="D1119" i="3"/>
  <c r="E1119" i="3"/>
  <c r="F1119" i="3"/>
  <c r="G1119" i="3"/>
  <c r="H1119" i="3"/>
  <c r="I1119" i="3"/>
  <c r="J1119" i="3"/>
  <c r="K1119" i="3"/>
  <c r="L1119" i="3"/>
  <c r="M1119" i="3"/>
  <c r="A1120" i="3"/>
  <c r="B1120" i="3"/>
  <c r="C1120" i="3"/>
  <c r="D1120" i="3"/>
  <c r="E1120" i="3"/>
  <c r="F1120" i="3"/>
  <c r="G1120" i="3"/>
  <c r="H1120" i="3"/>
  <c r="I1120" i="3"/>
  <c r="J1120" i="3"/>
  <c r="K1120" i="3"/>
  <c r="L1120" i="3"/>
  <c r="M1120" i="3"/>
  <c r="A1121" i="3"/>
  <c r="B1121" i="3"/>
  <c r="C1121" i="3"/>
  <c r="D1121" i="3"/>
  <c r="E1121" i="3"/>
  <c r="F1121" i="3"/>
  <c r="G1121" i="3"/>
  <c r="H1121" i="3"/>
  <c r="I1121" i="3"/>
  <c r="J1121" i="3"/>
  <c r="K1121" i="3"/>
  <c r="L1121" i="3"/>
  <c r="M1121" i="3"/>
  <c r="A1122" i="3"/>
  <c r="B1122" i="3"/>
  <c r="C1122" i="3"/>
  <c r="D1122" i="3"/>
  <c r="E1122" i="3"/>
  <c r="F1122" i="3"/>
  <c r="G1122" i="3"/>
  <c r="H1122" i="3"/>
  <c r="I1122" i="3"/>
  <c r="J1122" i="3"/>
  <c r="K1122" i="3"/>
  <c r="L1122" i="3"/>
  <c r="M1122" i="3"/>
  <c r="A1123" i="3"/>
  <c r="B1123" i="3"/>
  <c r="C1123" i="3"/>
  <c r="D1123" i="3"/>
  <c r="E1123" i="3"/>
  <c r="F1123" i="3"/>
  <c r="G1123" i="3"/>
  <c r="H1123" i="3"/>
  <c r="I1123" i="3"/>
  <c r="J1123" i="3"/>
  <c r="K1123" i="3"/>
  <c r="L1123" i="3"/>
  <c r="M1123" i="3"/>
  <c r="A1124" i="3"/>
  <c r="B1124" i="3"/>
  <c r="C1124" i="3"/>
  <c r="D1124" i="3"/>
  <c r="E1124" i="3"/>
  <c r="F1124" i="3"/>
  <c r="G1124" i="3"/>
  <c r="H1124" i="3"/>
  <c r="I1124" i="3"/>
  <c r="J1124" i="3"/>
  <c r="K1124" i="3"/>
  <c r="L1124" i="3"/>
  <c r="M1124" i="3"/>
  <c r="A1125" i="3"/>
  <c r="B1125" i="3"/>
  <c r="C1125" i="3"/>
  <c r="D1125" i="3"/>
  <c r="E1125" i="3"/>
  <c r="F1125" i="3"/>
  <c r="G1125" i="3"/>
  <c r="H1125" i="3"/>
  <c r="I1125" i="3"/>
  <c r="J1125" i="3"/>
  <c r="K1125" i="3"/>
  <c r="L1125" i="3"/>
  <c r="M1125" i="3"/>
  <c r="A1126" i="3"/>
  <c r="B1126" i="3"/>
  <c r="C1126" i="3"/>
  <c r="D1126" i="3"/>
  <c r="E1126" i="3"/>
  <c r="F1126" i="3"/>
  <c r="G1126" i="3"/>
  <c r="H1126" i="3"/>
  <c r="I1126" i="3"/>
  <c r="J1126" i="3"/>
  <c r="K1126" i="3"/>
  <c r="L1126" i="3"/>
  <c r="M1126" i="3"/>
  <c r="A1127" i="3"/>
  <c r="B1127" i="3"/>
  <c r="C1127" i="3"/>
  <c r="D1127" i="3"/>
  <c r="E1127" i="3"/>
  <c r="F1127" i="3"/>
  <c r="G1127" i="3"/>
  <c r="H1127" i="3"/>
  <c r="I1127" i="3"/>
  <c r="J1127" i="3"/>
  <c r="K1127" i="3"/>
  <c r="L1127" i="3"/>
  <c r="M1127" i="3"/>
  <c r="A1128" i="3"/>
  <c r="B1128" i="3"/>
  <c r="C1128" i="3"/>
  <c r="D1128" i="3"/>
  <c r="E1128" i="3"/>
  <c r="F1128" i="3"/>
  <c r="G1128" i="3"/>
  <c r="H1128" i="3"/>
  <c r="I1128" i="3"/>
  <c r="J1128" i="3"/>
  <c r="K1128" i="3"/>
  <c r="L1128" i="3"/>
  <c r="M1128" i="3"/>
  <c r="A1129" i="3"/>
  <c r="B1129" i="3"/>
  <c r="C1129" i="3"/>
  <c r="D1129" i="3"/>
  <c r="E1129" i="3"/>
  <c r="F1129" i="3"/>
  <c r="G1129" i="3"/>
  <c r="H1129" i="3"/>
  <c r="I1129" i="3"/>
  <c r="J1129" i="3"/>
  <c r="K1129" i="3"/>
  <c r="L1129" i="3"/>
  <c r="M1129" i="3"/>
  <c r="A1130" i="3"/>
  <c r="B1130" i="3"/>
  <c r="C1130" i="3"/>
  <c r="D1130" i="3"/>
  <c r="E1130" i="3"/>
  <c r="F1130" i="3"/>
  <c r="G1130" i="3"/>
  <c r="H1130" i="3"/>
  <c r="I1130" i="3"/>
  <c r="J1130" i="3"/>
  <c r="K1130" i="3"/>
  <c r="L1130" i="3"/>
  <c r="M1130" i="3"/>
  <c r="A1131" i="3"/>
  <c r="B1131" i="3"/>
  <c r="C1131" i="3"/>
  <c r="D1131" i="3"/>
  <c r="E1131" i="3"/>
  <c r="F1131" i="3"/>
  <c r="G1131" i="3"/>
  <c r="H1131" i="3"/>
  <c r="I1131" i="3"/>
  <c r="J1131" i="3"/>
  <c r="K1131" i="3"/>
  <c r="L1131" i="3"/>
  <c r="M1131" i="3"/>
  <c r="A1132" i="3"/>
  <c r="B1132" i="3"/>
  <c r="C1132" i="3"/>
  <c r="D1132" i="3"/>
  <c r="E1132" i="3"/>
  <c r="F1132" i="3"/>
  <c r="G1132" i="3"/>
  <c r="H1132" i="3"/>
  <c r="I1132" i="3"/>
  <c r="J1132" i="3"/>
  <c r="K1132" i="3"/>
  <c r="L1132" i="3"/>
  <c r="M1132" i="3"/>
  <c r="A1133" i="3"/>
  <c r="B1133" i="3"/>
  <c r="C1133" i="3"/>
  <c r="D1133" i="3"/>
  <c r="E1133" i="3"/>
  <c r="F1133" i="3"/>
  <c r="G1133" i="3"/>
  <c r="H1133" i="3"/>
  <c r="I1133" i="3"/>
  <c r="J1133" i="3"/>
  <c r="K1133" i="3"/>
  <c r="L1133" i="3"/>
  <c r="M1133" i="3"/>
  <c r="A1134" i="3"/>
  <c r="B1134" i="3"/>
  <c r="C1134" i="3"/>
  <c r="D1134" i="3"/>
  <c r="E1134" i="3"/>
  <c r="F1134" i="3"/>
  <c r="G1134" i="3"/>
  <c r="H1134" i="3"/>
  <c r="I1134" i="3"/>
  <c r="J1134" i="3"/>
  <c r="K1134" i="3"/>
  <c r="L1134" i="3"/>
  <c r="M1134" i="3"/>
  <c r="A1135" i="3"/>
  <c r="B1135" i="3"/>
  <c r="C1135" i="3"/>
  <c r="D1135" i="3"/>
  <c r="E1135" i="3"/>
  <c r="F1135" i="3"/>
  <c r="G1135" i="3"/>
  <c r="H1135" i="3"/>
  <c r="I1135" i="3"/>
  <c r="J1135" i="3"/>
  <c r="K1135" i="3"/>
  <c r="L1135" i="3"/>
  <c r="M1135" i="3"/>
  <c r="A1136" i="3"/>
  <c r="B1136" i="3"/>
  <c r="C1136" i="3"/>
  <c r="D1136" i="3"/>
  <c r="E1136" i="3"/>
  <c r="F1136" i="3"/>
  <c r="G1136" i="3"/>
  <c r="H1136" i="3"/>
  <c r="I1136" i="3"/>
  <c r="J1136" i="3"/>
  <c r="K1136" i="3"/>
  <c r="L1136" i="3"/>
  <c r="M1136" i="3"/>
  <c r="A1137" i="3"/>
  <c r="B1137" i="3"/>
  <c r="C1137" i="3"/>
  <c r="D1137" i="3"/>
  <c r="E1137" i="3"/>
  <c r="F1137" i="3"/>
  <c r="G1137" i="3"/>
  <c r="H1137" i="3"/>
  <c r="I1137" i="3"/>
  <c r="J1137" i="3"/>
  <c r="K1137" i="3"/>
  <c r="L1137" i="3"/>
  <c r="M1137" i="3"/>
  <c r="A1138" i="3"/>
  <c r="B1138" i="3"/>
  <c r="C1138" i="3"/>
  <c r="D1138" i="3"/>
  <c r="E1138" i="3"/>
  <c r="F1138" i="3"/>
  <c r="G1138" i="3"/>
  <c r="H1138" i="3"/>
  <c r="I1138" i="3"/>
  <c r="J1138" i="3"/>
  <c r="K1138" i="3"/>
  <c r="L1138" i="3"/>
  <c r="M1138" i="3"/>
  <c r="A1139" i="3"/>
  <c r="B1139" i="3"/>
  <c r="C1139" i="3"/>
  <c r="D1139" i="3"/>
  <c r="E1139" i="3"/>
  <c r="F1139" i="3"/>
  <c r="G1139" i="3"/>
  <c r="H1139" i="3"/>
  <c r="I1139" i="3"/>
  <c r="J1139" i="3"/>
  <c r="K1139" i="3"/>
  <c r="L1139" i="3"/>
  <c r="M1139" i="3"/>
  <c r="A1140" i="3"/>
  <c r="B1140" i="3"/>
  <c r="C1140" i="3"/>
  <c r="D1140" i="3"/>
  <c r="E1140" i="3"/>
  <c r="F1140" i="3"/>
  <c r="G1140" i="3"/>
  <c r="H1140" i="3"/>
  <c r="I1140" i="3"/>
  <c r="J1140" i="3"/>
  <c r="K1140" i="3"/>
  <c r="L1140" i="3"/>
  <c r="M1140" i="3"/>
  <c r="A1141" i="3"/>
  <c r="B1141" i="3"/>
  <c r="C1141" i="3"/>
  <c r="D1141" i="3"/>
  <c r="E1141" i="3"/>
  <c r="F1141" i="3"/>
  <c r="G1141" i="3"/>
  <c r="H1141" i="3"/>
  <c r="I1141" i="3"/>
  <c r="J1141" i="3"/>
  <c r="K1141" i="3"/>
  <c r="L1141" i="3"/>
  <c r="M1141" i="3"/>
  <c r="A1142" i="3"/>
  <c r="B1142" i="3"/>
  <c r="C1142" i="3"/>
  <c r="D1142" i="3"/>
  <c r="E1142" i="3"/>
  <c r="F1142" i="3"/>
  <c r="G1142" i="3"/>
  <c r="H1142" i="3"/>
  <c r="I1142" i="3"/>
  <c r="J1142" i="3"/>
  <c r="K1142" i="3"/>
  <c r="L1142" i="3"/>
  <c r="M1142" i="3"/>
  <c r="A1143" i="3"/>
  <c r="B1143" i="3"/>
  <c r="C1143" i="3"/>
  <c r="D1143" i="3"/>
  <c r="E1143" i="3"/>
  <c r="F1143" i="3"/>
  <c r="G1143" i="3"/>
  <c r="H1143" i="3"/>
  <c r="I1143" i="3"/>
  <c r="J1143" i="3"/>
  <c r="K1143" i="3"/>
  <c r="L1143" i="3"/>
  <c r="M1143" i="3"/>
  <c r="A1144" i="3"/>
  <c r="B1144" i="3"/>
  <c r="C1144" i="3"/>
  <c r="D1144" i="3"/>
  <c r="E1144" i="3"/>
  <c r="F1144" i="3"/>
  <c r="G1144" i="3"/>
  <c r="H1144" i="3"/>
  <c r="I1144" i="3"/>
  <c r="J1144" i="3"/>
  <c r="K1144" i="3"/>
  <c r="L1144" i="3"/>
  <c r="M1144" i="3"/>
  <c r="A1145" i="3"/>
  <c r="B1145" i="3"/>
  <c r="C1145" i="3"/>
  <c r="D1145" i="3"/>
  <c r="E1145" i="3"/>
  <c r="F1145" i="3"/>
  <c r="G1145" i="3"/>
  <c r="H1145" i="3"/>
  <c r="I1145" i="3"/>
  <c r="J1145" i="3"/>
  <c r="K1145" i="3"/>
  <c r="L1145" i="3"/>
  <c r="M1145" i="3"/>
  <c r="A1146" i="3"/>
  <c r="B1146" i="3"/>
  <c r="C1146" i="3"/>
  <c r="D1146" i="3"/>
  <c r="E1146" i="3"/>
  <c r="F1146" i="3"/>
  <c r="G1146" i="3"/>
  <c r="H1146" i="3"/>
  <c r="I1146" i="3"/>
  <c r="J1146" i="3"/>
  <c r="K1146" i="3"/>
  <c r="L1146" i="3"/>
  <c r="M1146" i="3"/>
  <c r="A1147" i="3"/>
  <c r="B1147" i="3"/>
  <c r="C1147" i="3"/>
  <c r="D1147" i="3"/>
  <c r="E1147" i="3"/>
  <c r="F1147" i="3"/>
  <c r="G1147" i="3"/>
  <c r="H1147" i="3"/>
  <c r="I1147" i="3"/>
  <c r="J1147" i="3"/>
  <c r="K1147" i="3"/>
  <c r="L1147" i="3"/>
  <c r="M1147" i="3"/>
  <c r="A1148" i="3"/>
  <c r="B1148" i="3"/>
  <c r="C1148" i="3"/>
  <c r="D1148" i="3"/>
  <c r="E1148" i="3"/>
  <c r="F1148" i="3"/>
  <c r="G1148" i="3"/>
  <c r="H1148" i="3"/>
  <c r="I1148" i="3"/>
  <c r="J1148" i="3"/>
  <c r="K1148" i="3"/>
  <c r="L1148" i="3"/>
  <c r="M1148" i="3"/>
  <c r="A1149" i="3"/>
  <c r="B1149" i="3"/>
  <c r="C1149" i="3"/>
  <c r="D1149" i="3"/>
  <c r="E1149" i="3"/>
  <c r="F1149" i="3"/>
  <c r="G1149" i="3"/>
  <c r="H1149" i="3"/>
  <c r="I1149" i="3"/>
  <c r="J1149" i="3"/>
  <c r="K1149" i="3"/>
  <c r="L1149" i="3"/>
  <c r="M1149" i="3"/>
  <c r="A1150" i="3"/>
  <c r="B1150" i="3"/>
  <c r="C1150" i="3"/>
  <c r="D1150" i="3"/>
  <c r="E1150" i="3"/>
  <c r="F1150" i="3"/>
  <c r="G1150" i="3"/>
  <c r="H1150" i="3"/>
  <c r="I1150" i="3"/>
  <c r="J1150" i="3"/>
  <c r="K1150" i="3"/>
  <c r="L1150" i="3"/>
  <c r="M1150" i="3"/>
  <c r="A1151" i="3"/>
  <c r="B1151" i="3"/>
  <c r="C1151" i="3"/>
  <c r="D1151" i="3"/>
  <c r="E1151" i="3"/>
  <c r="F1151" i="3"/>
  <c r="G1151" i="3"/>
  <c r="H1151" i="3"/>
  <c r="I1151" i="3"/>
  <c r="J1151" i="3"/>
  <c r="K1151" i="3"/>
  <c r="L1151" i="3"/>
  <c r="M1151" i="3"/>
  <c r="A1152" i="3"/>
  <c r="B1152" i="3"/>
  <c r="C1152" i="3"/>
  <c r="D1152" i="3"/>
  <c r="E1152" i="3"/>
  <c r="F1152" i="3"/>
  <c r="G1152" i="3"/>
  <c r="H1152" i="3"/>
  <c r="I1152" i="3"/>
  <c r="J1152" i="3"/>
  <c r="K1152" i="3"/>
  <c r="L1152" i="3"/>
  <c r="M1152" i="3"/>
  <c r="A1153" i="3"/>
  <c r="B1153" i="3"/>
  <c r="C1153" i="3"/>
  <c r="D1153" i="3"/>
  <c r="E1153" i="3"/>
  <c r="F1153" i="3"/>
  <c r="G1153" i="3"/>
  <c r="H1153" i="3"/>
  <c r="I1153" i="3"/>
  <c r="J1153" i="3"/>
  <c r="K1153" i="3"/>
  <c r="L1153" i="3"/>
  <c r="M1153" i="3"/>
  <c r="A1154" i="3"/>
  <c r="B1154" i="3"/>
  <c r="C1154" i="3"/>
  <c r="D1154" i="3"/>
  <c r="E1154" i="3"/>
  <c r="F1154" i="3"/>
  <c r="G1154" i="3"/>
  <c r="H1154" i="3"/>
  <c r="I1154" i="3"/>
  <c r="J1154" i="3"/>
  <c r="K1154" i="3"/>
  <c r="L1154" i="3"/>
  <c r="M1154" i="3"/>
  <c r="A1155" i="3"/>
  <c r="B1155" i="3"/>
  <c r="C1155" i="3"/>
  <c r="D1155" i="3"/>
  <c r="E1155" i="3"/>
  <c r="F1155" i="3"/>
  <c r="G1155" i="3"/>
  <c r="H1155" i="3"/>
  <c r="I1155" i="3"/>
  <c r="J1155" i="3"/>
  <c r="K1155" i="3"/>
  <c r="L1155" i="3"/>
  <c r="M1155" i="3"/>
  <c r="A1156" i="3"/>
  <c r="B1156" i="3"/>
  <c r="C1156" i="3"/>
  <c r="D1156" i="3"/>
  <c r="E1156" i="3"/>
  <c r="F1156" i="3"/>
  <c r="G1156" i="3"/>
  <c r="H1156" i="3"/>
  <c r="I1156" i="3"/>
  <c r="J1156" i="3"/>
  <c r="K1156" i="3"/>
  <c r="L1156" i="3"/>
  <c r="M1156" i="3"/>
  <c r="A1157" i="3"/>
  <c r="B1157" i="3"/>
  <c r="C1157" i="3"/>
  <c r="D1157" i="3"/>
  <c r="E1157" i="3"/>
  <c r="F1157" i="3"/>
  <c r="G1157" i="3"/>
  <c r="H1157" i="3"/>
  <c r="I1157" i="3"/>
  <c r="J1157" i="3"/>
  <c r="K1157" i="3"/>
  <c r="L1157" i="3"/>
  <c r="M1157" i="3"/>
  <c r="A1158" i="3"/>
  <c r="B1158" i="3"/>
  <c r="C1158" i="3"/>
  <c r="D1158" i="3"/>
  <c r="E1158" i="3"/>
  <c r="F1158" i="3"/>
  <c r="G1158" i="3"/>
  <c r="H1158" i="3"/>
  <c r="I1158" i="3"/>
  <c r="J1158" i="3"/>
  <c r="K1158" i="3"/>
  <c r="L1158" i="3"/>
  <c r="M1158" i="3"/>
  <c r="A1159" i="3"/>
  <c r="B1159" i="3"/>
  <c r="C1159" i="3"/>
  <c r="D1159" i="3"/>
  <c r="E1159" i="3"/>
  <c r="F1159" i="3"/>
  <c r="G1159" i="3"/>
  <c r="H1159" i="3"/>
  <c r="I1159" i="3"/>
  <c r="J1159" i="3"/>
  <c r="K1159" i="3"/>
  <c r="L1159" i="3"/>
  <c r="M1159" i="3"/>
  <c r="A1160" i="3"/>
  <c r="B1160" i="3"/>
  <c r="C1160" i="3"/>
  <c r="D1160" i="3"/>
  <c r="E1160" i="3"/>
  <c r="F1160" i="3"/>
  <c r="G1160" i="3"/>
  <c r="H1160" i="3"/>
  <c r="I1160" i="3"/>
  <c r="J1160" i="3"/>
  <c r="K1160" i="3"/>
  <c r="L1160" i="3"/>
  <c r="M1160" i="3"/>
  <c r="A1161" i="3"/>
  <c r="B1161" i="3"/>
  <c r="C1161" i="3"/>
  <c r="D1161" i="3"/>
  <c r="E1161" i="3"/>
  <c r="F1161" i="3"/>
  <c r="G1161" i="3"/>
  <c r="H1161" i="3"/>
  <c r="I1161" i="3"/>
  <c r="J1161" i="3"/>
  <c r="K1161" i="3"/>
  <c r="L1161" i="3"/>
  <c r="M1161" i="3"/>
  <c r="A1162" i="3"/>
  <c r="B1162" i="3"/>
  <c r="C1162" i="3"/>
  <c r="D1162" i="3"/>
  <c r="E1162" i="3"/>
  <c r="F1162" i="3"/>
  <c r="G1162" i="3"/>
  <c r="H1162" i="3"/>
  <c r="I1162" i="3"/>
  <c r="J1162" i="3"/>
  <c r="K1162" i="3"/>
  <c r="L1162" i="3"/>
  <c r="M1162" i="3"/>
  <c r="A1163" i="3"/>
  <c r="B1163" i="3"/>
  <c r="C1163" i="3"/>
  <c r="D1163" i="3"/>
  <c r="E1163" i="3"/>
  <c r="F1163" i="3"/>
  <c r="G1163" i="3"/>
  <c r="H1163" i="3"/>
  <c r="I1163" i="3"/>
  <c r="J1163" i="3"/>
  <c r="K1163" i="3"/>
  <c r="L1163" i="3"/>
  <c r="M1163" i="3"/>
  <c r="A1164" i="3"/>
  <c r="B1164" i="3"/>
  <c r="C1164" i="3"/>
  <c r="D1164" i="3"/>
  <c r="E1164" i="3"/>
  <c r="F1164" i="3"/>
  <c r="G1164" i="3"/>
  <c r="H1164" i="3"/>
  <c r="I1164" i="3"/>
  <c r="J1164" i="3"/>
  <c r="K1164" i="3"/>
  <c r="L1164" i="3"/>
  <c r="M1164" i="3"/>
  <c r="A1165" i="3"/>
  <c r="B1165" i="3"/>
  <c r="C1165" i="3"/>
  <c r="D1165" i="3"/>
  <c r="E1165" i="3"/>
  <c r="F1165" i="3"/>
  <c r="G1165" i="3"/>
  <c r="H1165" i="3"/>
  <c r="I1165" i="3"/>
  <c r="J1165" i="3"/>
  <c r="K1165" i="3"/>
  <c r="L1165" i="3"/>
  <c r="M1165" i="3"/>
  <c r="A1166" i="3"/>
  <c r="B1166" i="3"/>
  <c r="C1166" i="3"/>
  <c r="D1166" i="3"/>
  <c r="E1166" i="3"/>
  <c r="F1166" i="3"/>
  <c r="G1166" i="3"/>
  <c r="H1166" i="3"/>
  <c r="I1166" i="3"/>
  <c r="J1166" i="3"/>
  <c r="K1166" i="3"/>
  <c r="L1166" i="3"/>
  <c r="M1166" i="3"/>
  <c r="A1167" i="3"/>
  <c r="B1167" i="3"/>
  <c r="C1167" i="3"/>
  <c r="D1167" i="3"/>
  <c r="E1167" i="3"/>
  <c r="F1167" i="3"/>
  <c r="G1167" i="3"/>
  <c r="H1167" i="3"/>
  <c r="I1167" i="3"/>
  <c r="J1167" i="3"/>
  <c r="K1167" i="3"/>
  <c r="L1167" i="3"/>
  <c r="M1167" i="3"/>
  <c r="A1168" i="3"/>
  <c r="B1168" i="3"/>
  <c r="C1168" i="3"/>
  <c r="D1168" i="3"/>
  <c r="E1168" i="3"/>
  <c r="F1168" i="3"/>
  <c r="G1168" i="3"/>
  <c r="H1168" i="3"/>
  <c r="I1168" i="3"/>
  <c r="J1168" i="3"/>
  <c r="K1168" i="3"/>
  <c r="L1168" i="3"/>
  <c r="M1168" i="3"/>
  <c r="A1169" i="3"/>
  <c r="B1169" i="3"/>
  <c r="C1169" i="3"/>
  <c r="D1169" i="3"/>
  <c r="E1169" i="3"/>
  <c r="F1169" i="3"/>
  <c r="G1169" i="3"/>
  <c r="H1169" i="3"/>
  <c r="I1169" i="3"/>
  <c r="J1169" i="3"/>
  <c r="K1169" i="3"/>
  <c r="L1169" i="3"/>
  <c r="M1169" i="3"/>
  <c r="A1170" i="3"/>
  <c r="B1170" i="3"/>
  <c r="C1170" i="3"/>
  <c r="D1170" i="3"/>
  <c r="E1170" i="3"/>
  <c r="F1170" i="3"/>
  <c r="G1170" i="3"/>
  <c r="H1170" i="3"/>
  <c r="I1170" i="3"/>
  <c r="J1170" i="3"/>
  <c r="K1170" i="3"/>
  <c r="L1170" i="3"/>
  <c r="M1170" i="3"/>
  <c r="A1171" i="3"/>
  <c r="B1171" i="3"/>
  <c r="C1171" i="3"/>
  <c r="D1171" i="3"/>
  <c r="E1171" i="3"/>
  <c r="F1171" i="3"/>
  <c r="G1171" i="3"/>
  <c r="H1171" i="3"/>
  <c r="I1171" i="3"/>
  <c r="J1171" i="3"/>
  <c r="K1171" i="3"/>
  <c r="L1171" i="3"/>
  <c r="M1171" i="3"/>
  <c r="A1172" i="3"/>
  <c r="B1172" i="3"/>
  <c r="C1172" i="3"/>
  <c r="D1172" i="3"/>
  <c r="E1172" i="3"/>
  <c r="F1172" i="3"/>
  <c r="G1172" i="3"/>
  <c r="H1172" i="3"/>
  <c r="I1172" i="3"/>
  <c r="J1172" i="3"/>
  <c r="K1172" i="3"/>
  <c r="L1172" i="3"/>
  <c r="M1172" i="3"/>
  <c r="A1173" i="3"/>
  <c r="B1173" i="3"/>
  <c r="C1173" i="3"/>
  <c r="D1173" i="3"/>
  <c r="E1173" i="3"/>
  <c r="F1173" i="3"/>
  <c r="G1173" i="3"/>
  <c r="H1173" i="3"/>
  <c r="I1173" i="3"/>
  <c r="J1173" i="3"/>
  <c r="K1173" i="3"/>
  <c r="L1173" i="3"/>
  <c r="M1173" i="3"/>
  <c r="A1174" i="3"/>
  <c r="B1174" i="3"/>
  <c r="C1174" i="3"/>
  <c r="D1174" i="3"/>
  <c r="E1174" i="3"/>
  <c r="F1174" i="3"/>
  <c r="G1174" i="3"/>
  <c r="H1174" i="3"/>
  <c r="I1174" i="3"/>
  <c r="J1174" i="3"/>
  <c r="K1174" i="3"/>
  <c r="L1174" i="3"/>
  <c r="M1174" i="3"/>
  <c r="A1175" i="3"/>
  <c r="B1175" i="3"/>
  <c r="C1175" i="3"/>
  <c r="D1175" i="3"/>
  <c r="E1175" i="3"/>
  <c r="F1175" i="3"/>
  <c r="G1175" i="3"/>
  <c r="H1175" i="3"/>
  <c r="I1175" i="3"/>
  <c r="J1175" i="3"/>
  <c r="K1175" i="3"/>
  <c r="L1175" i="3"/>
  <c r="M1175" i="3"/>
  <c r="A1176" i="3"/>
  <c r="B1176" i="3"/>
  <c r="C1176" i="3"/>
  <c r="D1176" i="3"/>
  <c r="E1176" i="3"/>
  <c r="F1176" i="3"/>
  <c r="G1176" i="3"/>
  <c r="H1176" i="3"/>
  <c r="I1176" i="3"/>
  <c r="J1176" i="3"/>
  <c r="K1176" i="3"/>
  <c r="L1176" i="3"/>
  <c r="M1176" i="3"/>
  <c r="A1177" i="3"/>
  <c r="B1177" i="3"/>
  <c r="C1177" i="3"/>
  <c r="D1177" i="3"/>
  <c r="E1177" i="3"/>
  <c r="F1177" i="3"/>
  <c r="G1177" i="3"/>
  <c r="H1177" i="3"/>
  <c r="I1177" i="3"/>
  <c r="J1177" i="3"/>
  <c r="K1177" i="3"/>
  <c r="L1177" i="3"/>
  <c r="M1177" i="3"/>
  <c r="A1178" i="3"/>
  <c r="B1178" i="3"/>
  <c r="C1178" i="3"/>
  <c r="D1178" i="3"/>
  <c r="E1178" i="3"/>
  <c r="F1178" i="3"/>
  <c r="G1178" i="3"/>
  <c r="H1178" i="3"/>
  <c r="I1178" i="3"/>
  <c r="J1178" i="3"/>
  <c r="K1178" i="3"/>
  <c r="L1178" i="3"/>
  <c r="M1178" i="3"/>
  <c r="A1179" i="3"/>
  <c r="B1179" i="3"/>
  <c r="C1179" i="3"/>
  <c r="D1179" i="3"/>
  <c r="E1179" i="3"/>
  <c r="F1179" i="3"/>
  <c r="G1179" i="3"/>
  <c r="H1179" i="3"/>
  <c r="I1179" i="3"/>
  <c r="J1179" i="3"/>
  <c r="K1179" i="3"/>
  <c r="L1179" i="3"/>
  <c r="M1179" i="3"/>
  <c r="A1180" i="3"/>
  <c r="B1180" i="3"/>
  <c r="C1180" i="3"/>
  <c r="D1180" i="3"/>
  <c r="E1180" i="3"/>
  <c r="F1180" i="3"/>
  <c r="G1180" i="3"/>
  <c r="H1180" i="3"/>
  <c r="I1180" i="3"/>
  <c r="J1180" i="3"/>
  <c r="K1180" i="3"/>
  <c r="L1180" i="3"/>
  <c r="M1180" i="3"/>
  <c r="A1181" i="3"/>
  <c r="B1181" i="3"/>
  <c r="C1181" i="3"/>
  <c r="D1181" i="3"/>
  <c r="E1181" i="3"/>
  <c r="F1181" i="3"/>
  <c r="G1181" i="3"/>
  <c r="H1181" i="3"/>
  <c r="I1181" i="3"/>
  <c r="J1181" i="3"/>
  <c r="K1181" i="3"/>
  <c r="L1181" i="3"/>
  <c r="M1181" i="3"/>
  <c r="A1182" i="3"/>
  <c r="B1182" i="3"/>
  <c r="C1182" i="3"/>
  <c r="D1182" i="3"/>
  <c r="E1182" i="3"/>
  <c r="F1182" i="3"/>
  <c r="G1182" i="3"/>
  <c r="H1182" i="3"/>
  <c r="I1182" i="3"/>
  <c r="J1182" i="3"/>
  <c r="K1182" i="3"/>
  <c r="L1182" i="3"/>
  <c r="M1182" i="3"/>
  <c r="A1183" i="3"/>
  <c r="B1183" i="3"/>
  <c r="C1183" i="3"/>
  <c r="D1183" i="3"/>
  <c r="E1183" i="3"/>
  <c r="F1183" i="3"/>
  <c r="G1183" i="3"/>
  <c r="H1183" i="3"/>
  <c r="I1183" i="3"/>
  <c r="J1183" i="3"/>
  <c r="K1183" i="3"/>
  <c r="L1183" i="3"/>
  <c r="M1183" i="3"/>
  <c r="A1184" i="3"/>
  <c r="B1184" i="3"/>
  <c r="C1184" i="3"/>
  <c r="D1184" i="3"/>
  <c r="E1184" i="3"/>
  <c r="F1184" i="3"/>
  <c r="G1184" i="3"/>
  <c r="H1184" i="3"/>
  <c r="I1184" i="3"/>
  <c r="J1184" i="3"/>
  <c r="K1184" i="3"/>
  <c r="L1184" i="3"/>
  <c r="M1184" i="3"/>
  <c r="A1185" i="3"/>
  <c r="B1185" i="3"/>
  <c r="C1185" i="3"/>
  <c r="D1185" i="3"/>
  <c r="E1185" i="3"/>
  <c r="F1185" i="3"/>
  <c r="G1185" i="3"/>
  <c r="H1185" i="3"/>
  <c r="I1185" i="3"/>
  <c r="J1185" i="3"/>
  <c r="K1185" i="3"/>
  <c r="L1185" i="3"/>
  <c r="M1185" i="3"/>
  <c r="A1186" i="3"/>
  <c r="B1186" i="3"/>
  <c r="C1186" i="3"/>
  <c r="D1186" i="3"/>
  <c r="E1186" i="3"/>
  <c r="F1186" i="3"/>
  <c r="G1186" i="3"/>
  <c r="H1186" i="3"/>
  <c r="I1186" i="3"/>
  <c r="J1186" i="3"/>
  <c r="K1186" i="3"/>
  <c r="L1186" i="3"/>
  <c r="M1186" i="3"/>
  <c r="A1187" i="3"/>
  <c r="B1187" i="3"/>
  <c r="C1187" i="3"/>
  <c r="D1187" i="3"/>
  <c r="E1187" i="3"/>
  <c r="F1187" i="3"/>
  <c r="G1187" i="3"/>
  <c r="H1187" i="3"/>
  <c r="I1187" i="3"/>
  <c r="J1187" i="3"/>
  <c r="K1187" i="3"/>
  <c r="L1187" i="3"/>
  <c r="M1187" i="3"/>
  <c r="A1188" i="3"/>
  <c r="B1188" i="3"/>
  <c r="C1188" i="3"/>
  <c r="D1188" i="3"/>
  <c r="E1188" i="3"/>
  <c r="F1188" i="3"/>
  <c r="G1188" i="3"/>
  <c r="H1188" i="3"/>
  <c r="I1188" i="3"/>
  <c r="J1188" i="3"/>
  <c r="K1188" i="3"/>
  <c r="L1188" i="3"/>
  <c r="M1188" i="3"/>
  <c r="A1189" i="3"/>
  <c r="B1189" i="3"/>
  <c r="C1189" i="3"/>
  <c r="D1189" i="3"/>
  <c r="E1189" i="3"/>
  <c r="F1189" i="3"/>
  <c r="G1189" i="3"/>
  <c r="H1189" i="3"/>
  <c r="I1189" i="3"/>
  <c r="J1189" i="3"/>
  <c r="K1189" i="3"/>
  <c r="L1189" i="3"/>
  <c r="M1189" i="3"/>
  <c r="A1190" i="3"/>
  <c r="B1190" i="3"/>
  <c r="C1190" i="3"/>
  <c r="D1190" i="3"/>
  <c r="E1190" i="3"/>
  <c r="F1190" i="3"/>
  <c r="G1190" i="3"/>
  <c r="H1190" i="3"/>
  <c r="I1190" i="3"/>
  <c r="J1190" i="3"/>
  <c r="K1190" i="3"/>
  <c r="L1190" i="3"/>
  <c r="M1190" i="3"/>
  <c r="A1191" i="3"/>
  <c r="B1191" i="3"/>
  <c r="C1191" i="3"/>
  <c r="D1191" i="3"/>
  <c r="E1191" i="3"/>
  <c r="F1191" i="3"/>
  <c r="G1191" i="3"/>
  <c r="H1191" i="3"/>
  <c r="I1191" i="3"/>
  <c r="J1191" i="3"/>
  <c r="K1191" i="3"/>
  <c r="L1191" i="3"/>
  <c r="M1191" i="3"/>
  <c r="A1192" i="3"/>
  <c r="B1192" i="3"/>
  <c r="C1192" i="3"/>
  <c r="D1192" i="3"/>
  <c r="E1192" i="3"/>
  <c r="F1192" i="3"/>
  <c r="G1192" i="3"/>
  <c r="H1192" i="3"/>
  <c r="I1192" i="3"/>
  <c r="J1192" i="3"/>
  <c r="K1192" i="3"/>
  <c r="L1192" i="3"/>
  <c r="M1192" i="3"/>
  <c r="A1193" i="3"/>
  <c r="B1193" i="3"/>
  <c r="C1193" i="3"/>
  <c r="D1193" i="3"/>
  <c r="E1193" i="3"/>
  <c r="F1193" i="3"/>
  <c r="G1193" i="3"/>
  <c r="H1193" i="3"/>
  <c r="I1193" i="3"/>
  <c r="J1193" i="3"/>
  <c r="K1193" i="3"/>
  <c r="L1193" i="3"/>
  <c r="M1193" i="3"/>
  <c r="A1194" i="3"/>
  <c r="B1194" i="3"/>
  <c r="C1194" i="3"/>
  <c r="D1194" i="3"/>
  <c r="E1194" i="3"/>
  <c r="F1194" i="3"/>
  <c r="G1194" i="3"/>
  <c r="H1194" i="3"/>
  <c r="I1194" i="3"/>
  <c r="J1194" i="3"/>
  <c r="K1194" i="3"/>
  <c r="L1194" i="3"/>
  <c r="M1194" i="3"/>
  <c r="A1195" i="3"/>
  <c r="B1195" i="3"/>
  <c r="C1195" i="3"/>
  <c r="D1195" i="3"/>
  <c r="E1195" i="3"/>
  <c r="F1195" i="3"/>
  <c r="G1195" i="3"/>
  <c r="H1195" i="3"/>
  <c r="I1195" i="3"/>
  <c r="J1195" i="3"/>
  <c r="K1195" i="3"/>
  <c r="L1195" i="3"/>
  <c r="M1195" i="3"/>
  <c r="A1196" i="3"/>
  <c r="B1196" i="3"/>
  <c r="C1196" i="3"/>
  <c r="D1196" i="3"/>
  <c r="E1196" i="3"/>
  <c r="F1196" i="3"/>
  <c r="G1196" i="3"/>
  <c r="H1196" i="3"/>
  <c r="I1196" i="3"/>
  <c r="J1196" i="3"/>
  <c r="K1196" i="3"/>
  <c r="L1196" i="3"/>
  <c r="M1196" i="3"/>
  <c r="A1197" i="3"/>
  <c r="B1197" i="3"/>
  <c r="C1197" i="3"/>
  <c r="D1197" i="3"/>
  <c r="E1197" i="3"/>
  <c r="F1197" i="3"/>
  <c r="G1197" i="3"/>
  <c r="H1197" i="3"/>
  <c r="I1197" i="3"/>
  <c r="J1197" i="3"/>
  <c r="K1197" i="3"/>
  <c r="L1197" i="3"/>
  <c r="M1197" i="3"/>
  <c r="A1198" i="3"/>
  <c r="B1198" i="3"/>
  <c r="C1198" i="3"/>
  <c r="D1198" i="3"/>
  <c r="E1198" i="3"/>
  <c r="F1198" i="3"/>
  <c r="G1198" i="3"/>
  <c r="H1198" i="3"/>
  <c r="I1198" i="3"/>
  <c r="J1198" i="3"/>
  <c r="K1198" i="3"/>
  <c r="L1198" i="3"/>
  <c r="M1198" i="3"/>
  <c r="A1199" i="3"/>
  <c r="B1199" i="3"/>
  <c r="C1199" i="3"/>
  <c r="D1199" i="3"/>
  <c r="E1199" i="3"/>
  <c r="F1199" i="3"/>
  <c r="G1199" i="3"/>
  <c r="H1199" i="3"/>
  <c r="I1199" i="3"/>
  <c r="J1199" i="3"/>
  <c r="K1199" i="3"/>
  <c r="L1199" i="3"/>
  <c r="M1199" i="3"/>
  <c r="A1200" i="3"/>
  <c r="B1200" i="3"/>
  <c r="C1200" i="3"/>
  <c r="D1200" i="3"/>
  <c r="E1200" i="3"/>
  <c r="F1200" i="3"/>
  <c r="G1200" i="3"/>
  <c r="H1200" i="3"/>
  <c r="I1200" i="3"/>
  <c r="J1200" i="3"/>
  <c r="K1200" i="3"/>
  <c r="L1200" i="3"/>
  <c r="M1200" i="3"/>
  <c r="A1201" i="3"/>
  <c r="B1201" i="3"/>
  <c r="C1201" i="3"/>
  <c r="D1201" i="3"/>
  <c r="E1201" i="3"/>
  <c r="F1201" i="3"/>
  <c r="G1201" i="3"/>
  <c r="H1201" i="3"/>
  <c r="I1201" i="3"/>
  <c r="J1201" i="3"/>
  <c r="K1201" i="3"/>
  <c r="L1201" i="3"/>
  <c r="M1201" i="3"/>
  <c r="A1202" i="3"/>
  <c r="B1202" i="3"/>
  <c r="C1202" i="3"/>
  <c r="D1202" i="3"/>
  <c r="E1202" i="3"/>
  <c r="F1202" i="3"/>
  <c r="G1202" i="3"/>
  <c r="H1202" i="3"/>
  <c r="I1202" i="3"/>
  <c r="J1202" i="3"/>
  <c r="K1202" i="3"/>
  <c r="L1202" i="3"/>
  <c r="M1202" i="3"/>
  <c r="A1203" i="3"/>
  <c r="B1203" i="3"/>
  <c r="C1203" i="3"/>
  <c r="D1203" i="3"/>
  <c r="E1203" i="3"/>
  <c r="F1203" i="3"/>
  <c r="G1203" i="3"/>
  <c r="H1203" i="3"/>
  <c r="I1203" i="3"/>
  <c r="J1203" i="3"/>
  <c r="K1203" i="3"/>
  <c r="L1203" i="3"/>
  <c r="M1203" i="3"/>
  <c r="A1204" i="3"/>
  <c r="B1204" i="3"/>
  <c r="C1204" i="3"/>
  <c r="D1204" i="3"/>
  <c r="E1204" i="3"/>
  <c r="F1204" i="3"/>
  <c r="G1204" i="3"/>
  <c r="H1204" i="3"/>
  <c r="I1204" i="3"/>
  <c r="J1204" i="3"/>
  <c r="K1204" i="3"/>
  <c r="L1204" i="3"/>
  <c r="M1204" i="3"/>
  <c r="A1205" i="3"/>
  <c r="B1205" i="3"/>
  <c r="C1205" i="3"/>
  <c r="D1205" i="3"/>
  <c r="E1205" i="3"/>
  <c r="F1205" i="3"/>
  <c r="G1205" i="3"/>
  <c r="H1205" i="3"/>
  <c r="I1205" i="3"/>
  <c r="J1205" i="3"/>
  <c r="K1205" i="3"/>
  <c r="L1205" i="3"/>
  <c r="M1205" i="3"/>
  <c r="A1206" i="3"/>
  <c r="B1206" i="3"/>
  <c r="C1206" i="3"/>
  <c r="D1206" i="3"/>
  <c r="E1206" i="3"/>
  <c r="F1206" i="3"/>
  <c r="G1206" i="3"/>
  <c r="H1206" i="3"/>
  <c r="I1206" i="3"/>
  <c r="J1206" i="3"/>
  <c r="K1206" i="3"/>
  <c r="L1206" i="3"/>
  <c r="M1206" i="3"/>
  <c r="A1207" i="3"/>
  <c r="B1207" i="3"/>
  <c r="C1207" i="3"/>
  <c r="D1207" i="3"/>
  <c r="E1207" i="3"/>
  <c r="F1207" i="3"/>
  <c r="G1207" i="3"/>
  <c r="H1207" i="3"/>
  <c r="I1207" i="3"/>
  <c r="J1207" i="3"/>
  <c r="K1207" i="3"/>
  <c r="L1207" i="3"/>
  <c r="M1207" i="3"/>
  <c r="A1208" i="3"/>
  <c r="B1208" i="3"/>
  <c r="C1208" i="3"/>
  <c r="D1208" i="3"/>
  <c r="E1208" i="3"/>
  <c r="F1208" i="3"/>
  <c r="G1208" i="3"/>
  <c r="H1208" i="3"/>
  <c r="I1208" i="3"/>
  <c r="J1208" i="3"/>
  <c r="K1208" i="3"/>
  <c r="L1208" i="3"/>
  <c r="M1208" i="3"/>
  <c r="A1209" i="3"/>
  <c r="B1209" i="3"/>
  <c r="C1209" i="3"/>
  <c r="D1209" i="3"/>
  <c r="E1209" i="3"/>
  <c r="F1209" i="3"/>
  <c r="G1209" i="3"/>
  <c r="H1209" i="3"/>
  <c r="I1209" i="3"/>
  <c r="J1209" i="3"/>
  <c r="K1209" i="3"/>
  <c r="L1209" i="3"/>
  <c r="M1209" i="3"/>
  <c r="A1210" i="3"/>
  <c r="B1210" i="3"/>
  <c r="C1210" i="3"/>
  <c r="D1210" i="3"/>
  <c r="E1210" i="3"/>
  <c r="F1210" i="3"/>
  <c r="G1210" i="3"/>
  <c r="H1210" i="3"/>
  <c r="I1210" i="3"/>
  <c r="J1210" i="3"/>
  <c r="K1210" i="3"/>
  <c r="L1210" i="3"/>
  <c r="M1210" i="3"/>
  <c r="A1211" i="3"/>
  <c r="B1211" i="3"/>
  <c r="C1211" i="3"/>
  <c r="D1211" i="3"/>
  <c r="E1211" i="3"/>
  <c r="F1211" i="3"/>
  <c r="G1211" i="3"/>
  <c r="H1211" i="3"/>
  <c r="I1211" i="3"/>
  <c r="J1211" i="3"/>
  <c r="K1211" i="3"/>
  <c r="L1211" i="3"/>
  <c r="M1211" i="3"/>
  <c r="A1212" i="3"/>
  <c r="B1212" i="3"/>
  <c r="C1212" i="3"/>
  <c r="D1212" i="3"/>
  <c r="E1212" i="3"/>
  <c r="F1212" i="3"/>
  <c r="G1212" i="3"/>
  <c r="H1212" i="3"/>
  <c r="I1212" i="3"/>
  <c r="J1212" i="3"/>
  <c r="K1212" i="3"/>
  <c r="L1212" i="3"/>
  <c r="M1212" i="3"/>
  <c r="A1213" i="3"/>
  <c r="B1213" i="3"/>
  <c r="C1213" i="3"/>
  <c r="D1213" i="3"/>
  <c r="E1213" i="3"/>
  <c r="F1213" i="3"/>
  <c r="G1213" i="3"/>
  <c r="H1213" i="3"/>
  <c r="I1213" i="3"/>
  <c r="J1213" i="3"/>
  <c r="K1213" i="3"/>
  <c r="L1213" i="3"/>
  <c r="M1213" i="3"/>
  <c r="A1214" i="3"/>
  <c r="B1214" i="3"/>
  <c r="C1214" i="3"/>
  <c r="D1214" i="3"/>
  <c r="E1214" i="3"/>
  <c r="F1214" i="3"/>
  <c r="G1214" i="3"/>
  <c r="H1214" i="3"/>
  <c r="I1214" i="3"/>
  <c r="J1214" i="3"/>
  <c r="K1214" i="3"/>
  <c r="L1214" i="3"/>
  <c r="M1214" i="3"/>
  <c r="A1215" i="3"/>
  <c r="B1215" i="3"/>
  <c r="C1215" i="3"/>
  <c r="D1215" i="3"/>
  <c r="E1215" i="3"/>
  <c r="F1215" i="3"/>
  <c r="G1215" i="3"/>
  <c r="H1215" i="3"/>
  <c r="I1215" i="3"/>
  <c r="J1215" i="3"/>
  <c r="K1215" i="3"/>
  <c r="L1215" i="3"/>
  <c r="M1215" i="3"/>
  <c r="A1216" i="3"/>
  <c r="B1216" i="3"/>
  <c r="C1216" i="3"/>
  <c r="D1216" i="3"/>
  <c r="E1216" i="3"/>
  <c r="F1216" i="3"/>
  <c r="G1216" i="3"/>
  <c r="H1216" i="3"/>
  <c r="I1216" i="3"/>
  <c r="J1216" i="3"/>
  <c r="K1216" i="3"/>
  <c r="L1216" i="3"/>
  <c r="M1216" i="3"/>
  <c r="A1217" i="3"/>
  <c r="B1217" i="3"/>
  <c r="C1217" i="3"/>
  <c r="D1217" i="3"/>
  <c r="E1217" i="3"/>
  <c r="F1217" i="3"/>
  <c r="G1217" i="3"/>
  <c r="H1217" i="3"/>
  <c r="I1217" i="3"/>
  <c r="J1217" i="3"/>
  <c r="K1217" i="3"/>
  <c r="L1217" i="3"/>
  <c r="M1217" i="3"/>
  <c r="A1218" i="3"/>
  <c r="B1218" i="3"/>
  <c r="C1218" i="3"/>
  <c r="D1218" i="3"/>
  <c r="E1218" i="3"/>
  <c r="F1218" i="3"/>
  <c r="G1218" i="3"/>
  <c r="H1218" i="3"/>
  <c r="I1218" i="3"/>
  <c r="J1218" i="3"/>
  <c r="K1218" i="3"/>
  <c r="L1218" i="3"/>
  <c r="M1218" i="3"/>
  <c r="A1219" i="3"/>
  <c r="B1219" i="3"/>
  <c r="C1219" i="3"/>
  <c r="D1219" i="3"/>
  <c r="E1219" i="3"/>
  <c r="F1219" i="3"/>
  <c r="G1219" i="3"/>
  <c r="H1219" i="3"/>
  <c r="I1219" i="3"/>
  <c r="J1219" i="3"/>
  <c r="K1219" i="3"/>
  <c r="L1219" i="3"/>
  <c r="M1219" i="3"/>
  <c r="A1220" i="3"/>
  <c r="B1220" i="3"/>
  <c r="C1220" i="3"/>
  <c r="D1220" i="3"/>
  <c r="E1220" i="3"/>
  <c r="F1220" i="3"/>
  <c r="G1220" i="3"/>
  <c r="H1220" i="3"/>
  <c r="I1220" i="3"/>
  <c r="J1220" i="3"/>
  <c r="K1220" i="3"/>
  <c r="L1220" i="3"/>
  <c r="M1220" i="3"/>
  <c r="A1221" i="3"/>
  <c r="B1221" i="3"/>
  <c r="C1221" i="3"/>
  <c r="D1221" i="3"/>
  <c r="E1221" i="3"/>
  <c r="F1221" i="3"/>
  <c r="G1221" i="3"/>
  <c r="H1221" i="3"/>
  <c r="I1221" i="3"/>
  <c r="J1221" i="3"/>
  <c r="K1221" i="3"/>
  <c r="L1221" i="3"/>
  <c r="M1221" i="3"/>
  <c r="A1222" i="3"/>
  <c r="B1222" i="3"/>
  <c r="C1222" i="3"/>
  <c r="D1222" i="3"/>
  <c r="E1222" i="3"/>
  <c r="F1222" i="3"/>
  <c r="G1222" i="3"/>
  <c r="H1222" i="3"/>
  <c r="I1222" i="3"/>
  <c r="J1222" i="3"/>
  <c r="K1222" i="3"/>
  <c r="L1222" i="3"/>
  <c r="M1222" i="3"/>
  <c r="A1223" i="3"/>
  <c r="B1223" i="3"/>
  <c r="C1223" i="3"/>
  <c r="D1223" i="3"/>
  <c r="E1223" i="3"/>
  <c r="F1223" i="3"/>
  <c r="G1223" i="3"/>
  <c r="H1223" i="3"/>
  <c r="I1223" i="3"/>
  <c r="J1223" i="3"/>
  <c r="K1223" i="3"/>
  <c r="L1223" i="3"/>
  <c r="M1223" i="3"/>
  <c r="A1224" i="3"/>
  <c r="B1224" i="3"/>
  <c r="C1224" i="3"/>
  <c r="D1224" i="3"/>
  <c r="E1224" i="3"/>
  <c r="F1224" i="3"/>
  <c r="G1224" i="3"/>
  <c r="H1224" i="3"/>
  <c r="I1224" i="3"/>
  <c r="J1224" i="3"/>
  <c r="K1224" i="3"/>
  <c r="L1224" i="3"/>
  <c r="M1224" i="3"/>
  <c r="A1225" i="3"/>
  <c r="B1225" i="3"/>
  <c r="C1225" i="3"/>
  <c r="D1225" i="3"/>
  <c r="E1225" i="3"/>
  <c r="F1225" i="3"/>
  <c r="G1225" i="3"/>
  <c r="H1225" i="3"/>
  <c r="I1225" i="3"/>
  <c r="J1225" i="3"/>
  <c r="K1225" i="3"/>
  <c r="L1225" i="3"/>
  <c r="M1225" i="3"/>
  <c r="A1226" i="3"/>
  <c r="B1226" i="3"/>
  <c r="C1226" i="3"/>
  <c r="D1226" i="3"/>
  <c r="E1226" i="3"/>
  <c r="F1226" i="3"/>
  <c r="G1226" i="3"/>
  <c r="H1226" i="3"/>
  <c r="I1226" i="3"/>
  <c r="J1226" i="3"/>
  <c r="K1226" i="3"/>
  <c r="L1226" i="3"/>
  <c r="M1226" i="3"/>
  <c r="A1227" i="3"/>
  <c r="B1227" i="3"/>
  <c r="C1227" i="3"/>
  <c r="D1227" i="3"/>
  <c r="E1227" i="3"/>
  <c r="F1227" i="3"/>
  <c r="G1227" i="3"/>
  <c r="H1227" i="3"/>
  <c r="I1227" i="3"/>
  <c r="J1227" i="3"/>
  <c r="K1227" i="3"/>
  <c r="L1227" i="3"/>
  <c r="M1227" i="3"/>
  <c r="A1228" i="3"/>
  <c r="B1228" i="3"/>
  <c r="C1228" i="3"/>
  <c r="D1228" i="3"/>
  <c r="E1228" i="3"/>
  <c r="F1228" i="3"/>
  <c r="G1228" i="3"/>
  <c r="H1228" i="3"/>
  <c r="I1228" i="3"/>
  <c r="J1228" i="3"/>
  <c r="K1228" i="3"/>
  <c r="L1228" i="3"/>
  <c r="M1228" i="3"/>
  <c r="A1229" i="3"/>
  <c r="B1229" i="3"/>
  <c r="C1229" i="3"/>
  <c r="D1229" i="3"/>
  <c r="E1229" i="3"/>
  <c r="F1229" i="3"/>
  <c r="G1229" i="3"/>
  <c r="H1229" i="3"/>
  <c r="I1229" i="3"/>
  <c r="J1229" i="3"/>
  <c r="K1229" i="3"/>
  <c r="L1229" i="3"/>
  <c r="M1229" i="3"/>
  <c r="A1230" i="3"/>
  <c r="B1230" i="3"/>
  <c r="C1230" i="3"/>
  <c r="D1230" i="3"/>
  <c r="E1230" i="3"/>
  <c r="F1230" i="3"/>
  <c r="G1230" i="3"/>
  <c r="H1230" i="3"/>
  <c r="I1230" i="3"/>
  <c r="J1230" i="3"/>
  <c r="K1230" i="3"/>
  <c r="L1230" i="3"/>
  <c r="M1230" i="3"/>
  <c r="A1231" i="3"/>
  <c r="B1231" i="3"/>
  <c r="C1231" i="3"/>
  <c r="D1231" i="3"/>
  <c r="E1231" i="3"/>
  <c r="F1231" i="3"/>
  <c r="G1231" i="3"/>
  <c r="H1231" i="3"/>
  <c r="I1231" i="3"/>
  <c r="J1231" i="3"/>
  <c r="K1231" i="3"/>
  <c r="L1231" i="3"/>
  <c r="M1231" i="3"/>
  <c r="A1232" i="3"/>
  <c r="B1232" i="3"/>
  <c r="C1232" i="3"/>
  <c r="D1232" i="3"/>
  <c r="E1232" i="3"/>
  <c r="F1232" i="3"/>
  <c r="G1232" i="3"/>
  <c r="H1232" i="3"/>
  <c r="I1232" i="3"/>
  <c r="J1232" i="3"/>
  <c r="K1232" i="3"/>
  <c r="L1232" i="3"/>
  <c r="M1232" i="3"/>
  <c r="A1233" i="3"/>
  <c r="B1233" i="3"/>
  <c r="C1233" i="3"/>
  <c r="D1233" i="3"/>
  <c r="E1233" i="3"/>
  <c r="F1233" i="3"/>
  <c r="G1233" i="3"/>
  <c r="H1233" i="3"/>
  <c r="I1233" i="3"/>
  <c r="J1233" i="3"/>
  <c r="K1233" i="3"/>
  <c r="L1233" i="3"/>
  <c r="M1233" i="3"/>
  <c r="A1234" i="3"/>
  <c r="B1234" i="3"/>
  <c r="C1234" i="3"/>
  <c r="D1234" i="3"/>
  <c r="E1234" i="3"/>
  <c r="F1234" i="3"/>
  <c r="G1234" i="3"/>
  <c r="H1234" i="3"/>
  <c r="I1234" i="3"/>
  <c r="J1234" i="3"/>
  <c r="K1234" i="3"/>
  <c r="L1234" i="3"/>
  <c r="M1234" i="3"/>
  <c r="A1235" i="3"/>
  <c r="B1235" i="3"/>
  <c r="C1235" i="3"/>
  <c r="D1235" i="3"/>
  <c r="E1235" i="3"/>
  <c r="F1235" i="3"/>
  <c r="G1235" i="3"/>
  <c r="H1235" i="3"/>
  <c r="I1235" i="3"/>
  <c r="J1235" i="3"/>
  <c r="K1235" i="3"/>
  <c r="L1235" i="3"/>
  <c r="M1235" i="3"/>
  <c r="A1236" i="3"/>
  <c r="B1236" i="3"/>
  <c r="C1236" i="3"/>
  <c r="D1236" i="3"/>
  <c r="E1236" i="3"/>
  <c r="F1236" i="3"/>
  <c r="G1236" i="3"/>
  <c r="H1236" i="3"/>
  <c r="I1236" i="3"/>
  <c r="J1236" i="3"/>
  <c r="K1236" i="3"/>
  <c r="L1236" i="3"/>
  <c r="M1236" i="3"/>
  <c r="A1237" i="3"/>
  <c r="B1237" i="3"/>
  <c r="C1237" i="3"/>
  <c r="D1237" i="3"/>
  <c r="E1237" i="3"/>
  <c r="F1237" i="3"/>
  <c r="G1237" i="3"/>
  <c r="H1237" i="3"/>
  <c r="I1237" i="3"/>
  <c r="J1237" i="3"/>
  <c r="K1237" i="3"/>
  <c r="L1237" i="3"/>
  <c r="M1237" i="3"/>
  <c r="A1238" i="3"/>
  <c r="B1238" i="3"/>
  <c r="C1238" i="3"/>
  <c r="D1238" i="3"/>
  <c r="E1238" i="3"/>
  <c r="F1238" i="3"/>
  <c r="G1238" i="3"/>
  <c r="H1238" i="3"/>
  <c r="I1238" i="3"/>
  <c r="J1238" i="3"/>
  <c r="K1238" i="3"/>
  <c r="L1238" i="3"/>
  <c r="M1238" i="3"/>
  <c r="A1239" i="3"/>
  <c r="B1239" i="3"/>
  <c r="C1239" i="3"/>
  <c r="D1239" i="3"/>
  <c r="E1239" i="3"/>
  <c r="F1239" i="3"/>
  <c r="G1239" i="3"/>
  <c r="H1239" i="3"/>
  <c r="I1239" i="3"/>
  <c r="J1239" i="3"/>
  <c r="K1239" i="3"/>
  <c r="L1239" i="3"/>
  <c r="M1239" i="3"/>
  <c r="A1240" i="3"/>
  <c r="B1240" i="3"/>
  <c r="C1240" i="3"/>
  <c r="D1240" i="3"/>
  <c r="E1240" i="3"/>
  <c r="F1240" i="3"/>
  <c r="G1240" i="3"/>
  <c r="H1240" i="3"/>
  <c r="I1240" i="3"/>
  <c r="J1240" i="3"/>
  <c r="K1240" i="3"/>
  <c r="L1240" i="3"/>
  <c r="M1240" i="3"/>
  <c r="A1241" i="3"/>
  <c r="B1241" i="3"/>
  <c r="C1241" i="3"/>
  <c r="D1241" i="3"/>
  <c r="E1241" i="3"/>
  <c r="F1241" i="3"/>
  <c r="G1241" i="3"/>
  <c r="H1241" i="3"/>
  <c r="I1241" i="3"/>
  <c r="J1241" i="3"/>
  <c r="K1241" i="3"/>
  <c r="L1241" i="3"/>
  <c r="M1241" i="3"/>
  <c r="A1242" i="3"/>
  <c r="B1242" i="3"/>
  <c r="C1242" i="3"/>
  <c r="D1242" i="3"/>
  <c r="E1242" i="3"/>
  <c r="F1242" i="3"/>
  <c r="G1242" i="3"/>
  <c r="H1242" i="3"/>
  <c r="I1242" i="3"/>
  <c r="J1242" i="3"/>
  <c r="K1242" i="3"/>
  <c r="L1242" i="3"/>
  <c r="M1242" i="3"/>
  <c r="A1243" i="3"/>
  <c r="B1243" i="3"/>
  <c r="C1243" i="3"/>
  <c r="D1243" i="3"/>
  <c r="E1243" i="3"/>
  <c r="F1243" i="3"/>
  <c r="G1243" i="3"/>
  <c r="H1243" i="3"/>
  <c r="I1243" i="3"/>
  <c r="J1243" i="3"/>
  <c r="K1243" i="3"/>
  <c r="L1243" i="3"/>
  <c r="M1243" i="3"/>
  <c r="A1244" i="3"/>
  <c r="B1244" i="3"/>
  <c r="C1244" i="3"/>
  <c r="D1244" i="3"/>
  <c r="E1244" i="3"/>
  <c r="F1244" i="3"/>
  <c r="G1244" i="3"/>
  <c r="H1244" i="3"/>
  <c r="I1244" i="3"/>
  <c r="J1244" i="3"/>
  <c r="K1244" i="3"/>
  <c r="L1244" i="3"/>
  <c r="M1244" i="3"/>
  <c r="A1245" i="3"/>
  <c r="B1245" i="3"/>
  <c r="C1245" i="3"/>
  <c r="D1245" i="3"/>
  <c r="E1245" i="3"/>
  <c r="F1245" i="3"/>
  <c r="G1245" i="3"/>
  <c r="H1245" i="3"/>
  <c r="I1245" i="3"/>
  <c r="J1245" i="3"/>
  <c r="K1245" i="3"/>
  <c r="L1245" i="3"/>
  <c r="M1245" i="3"/>
  <c r="A1246" i="3"/>
  <c r="B1246" i="3"/>
  <c r="C1246" i="3"/>
  <c r="D1246" i="3"/>
  <c r="E1246" i="3"/>
  <c r="F1246" i="3"/>
  <c r="G1246" i="3"/>
  <c r="H1246" i="3"/>
  <c r="I1246" i="3"/>
  <c r="J1246" i="3"/>
  <c r="K1246" i="3"/>
  <c r="L1246" i="3"/>
  <c r="M1246" i="3"/>
  <c r="A1247" i="3"/>
  <c r="B1247" i="3"/>
  <c r="C1247" i="3"/>
  <c r="D1247" i="3"/>
  <c r="E1247" i="3"/>
  <c r="F1247" i="3"/>
  <c r="G1247" i="3"/>
  <c r="H1247" i="3"/>
  <c r="I1247" i="3"/>
  <c r="J1247" i="3"/>
  <c r="K1247" i="3"/>
  <c r="L1247" i="3"/>
  <c r="M1247" i="3"/>
  <c r="A1248" i="3"/>
  <c r="B1248" i="3"/>
  <c r="C1248" i="3"/>
  <c r="D1248" i="3"/>
  <c r="E1248" i="3"/>
  <c r="F1248" i="3"/>
  <c r="G1248" i="3"/>
  <c r="H1248" i="3"/>
  <c r="I1248" i="3"/>
  <c r="J1248" i="3"/>
  <c r="K1248" i="3"/>
  <c r="L1248" i="3"/>
  <c r="M1248" i="3"/>
  <c r="A1249" i="3"/>
  <c r="B1249" i="3"/>
  <c r="C1249" i="3"/>
  <c r="D1249" i="3"/>
  <c r="E1249" i="3"/>
  <c r="F1249" i="3"/>
  <c r="G1249" i="3"/>
  <c r="H1249" i="3"/>
  <c r="I1249" i="3"/>
  <c r="J1249" i="3"/>
  <c r="K1249" i="3"/>
  <c r="L1249" i="3"/>
  <c r="M1249" i="3"/>
  <c r="A1250" i="3"/>
  <c r="B1250" i="3"/>
  <c r="C1250" i="3"/>
  <c r="D1250" i="3"/>
  <c r="E1250" i="3"/>
  <c r="F1250" i="3"/>
  <c r="G1250" i="3"/>
  <c r="H1250" i="3"/>
  <c r="I1250" i="3"/>
  <c r="J1250" i="3"/>
  <c r="K1250" i="3"/>
  <c r="L1250" i="3"/>
  <c r="M1250" i="3"/>
  <c r="A1251" i="3"/>
  <c r="B1251" i="3"/>
  <c r="C1251" i="3"/>
  <c r="D1251" i="3"/>
  <c r="E1251" i="3"/>
  <c r="F1251" i="3"/>
  <c r="G1251" i="3"/>
  <c r="H1251" i="3"/>
  <c r="I1251" i="3"/>
  <c r="J1251" i="3"/>
  <c r="K1251" i="3"/>
  <c r="L1251" i="3"/>
  <c r="M1251" i="3"/>
  <c r="A1252" i="3"/>
  <c r="B1252" i="3"/>
  <c r="C1252" i="3"/>
  <c r="D1252" i="3"/>
  <c r="E1252" i="3"/>
  <c r="F1252" i="3"/>
  <c r="G1252" i="3"/>
  <c r="H1252" i="3"/>
  <c r="I1252" i="3"/>
  <c r="J1252" i="3"/>
  <c r="K1252" i="3"/>
  <c r="L1252" i="3"/>
  <c r="M1252" i="3"/>
  <c r="A1253" i="3"/>
  <c r="B1253" i="3"/>
  <c r="C1253" i="3"/>
  <c r="D1253" i="3"/>
  <c r="E1253" i="3"/>
  <c r="F1253" i="3"/>
  <c r="G1253" i="3"/>
  <c r="H1253" i="3"/>
  <c r="I1253" i="3"/>
  <c r="J1253" i="3"/>
  <c r="K1253" i="3"/>
  <c r="L1253" i="3"/>
  <c r="M1253" i="3"/>
  <c r="A1254" i="3"/>
  <c r="B1254" i="3"/>
  <c r="C1254" i="3"/>
  <c r="D1254" i="3"/>
  <c r="E1254" i="3"/>
  <c r="F1254" i="3"/>
  <c r="G1254" i="3"/>
  <c r="H1254" i="3"/>
  <c r="I1254" i="3"/>
  <c r="J1254" i="3"/>
  <c r="K1254" i="3"/>
  <c r="L1254" i="3"/>
  <c r="M1254" i="3"/>
  <c r="A1255" i="3"/>
  <c r="B1255" i="3"/>
  <c r="C1255" i="3"/>
  <c r="D1255" i="3"/>
  <c r="E1255" i="3"/>
  <c r="F1255" i="3"/>
  <c r="G1255" i="3"/>
  <c r="H1255" i="3"/>
  <c r="I1255" i="3"/>
  <c r="J1255" i="3"/>
  <c r="K1255" i="3"/>
  <c r="L1255" i="3"/>
  <c r="M1255" i="3"/>
  <c r="A1256" i="3"/>
  <c r="B1256" i="3"/>
  <c r="C1256" i="3"/>
  <c r="D1256" i="3"/>
  <c r="E1256" i="3"/>
  <c r="F1256" i="3"/>
  <c r="G1256" i="3"/>
  <c r="H1256" i="3"/>
  <c r="I1256" i="3"/>
  <c r="J1256" i="3"/>
  <c r="K1256" i="3"/>
  <c r="L1256" i="3"/>
  <c r="M1256" i="3"/>
  <c r="A1257" i="3"/>
  <c r="B1257" i="3"/>
  <c r="C1257" i="3"/>
  <c r="D1257" i="3"/>
  <c r="E1257" i="3"/>
  <c r="F1257" i="3"/>
  <c r="G1257" i="3"/>
  <c r="H1257" i="3"/>
  <c r="I1257" i="3"/>
  <c r="J1257" i="3"/>
  <c r="K1257" i="3"/>
  <c r="L1257" i="3"/>
  <c r="M1257" i="3"/>
  <c r="A1258" i="3"/>
  <c r="B1258" i="3"/>
  <c r="C1258" i="3"/>
  <c r="D1258" i="3"/>
  <c r="E1258" i="3"/>
  <c r="F1258" i="3"/>
  <c r="G1258" i="3"/>
  <c r="H1258" i="3"/>
  <c r="I1258" i="3"/>
  <c r="J1258" i="3"/>
  <c r="K1258" i="3"/>
  <c r="L1258" i="3"/>
  <c r="M1258" i="3"/>
  <c r="A1259" i="3"/>
  <c r="B1259" i="3"/>
  <c r="C1259" i="3"/>
  <c r="D1259" i="3"/>
  <c r="E1259" i="3"/>
  <c r="F1259" i="3"/>
  <c r="G1259" i="3"/>
  <c r="H1259" i="3"/>
  <c r="I1259" i="3"/>
  <c r="J1259" i="3"/>
  <c r="K1259" i="3"/>
  <c r="L1259" i="3"/>
  <c r="M1259" i="3"/>
  <c r="A1260" i="3"/>
  <c r="B1260" i="3"/>
  <c r="C1260" i="3"/>
  <c r="D1260" i="3"/>
  <c r="E1260" i="3"/>
  <c r="F1260" i="3"/>
  <c r="G1260" i="3"/>
  <c r="H1260" i="3"/>
  <c r="I1260" i="3"/>
  <c r="J1260" i="3"/>
  <c r="K1260" i="3"/>
  <c r="L1260" i="3"/>
  <c r="M1260" i="3"/>
  <c r="A1261" i="3"/>
  <c r="B1261" i="3"/>
  <c r="C1261" i="3"/>
  <c r="D1261" i="3"/>
  <c r="E1261" i="3"/>
  <c r="F1261" i="3"/>
  <c r="G1261" i="3"/>
  <c r="H1261" i="3"/>
  <c r="I1261" i="3"/>
  <c r="J1261" i="3"/>
  <c r="K1261" i="3"/>
  <c r="L1261" i="3"/>
  <c r="M1261" i="3"/>
  <c r="A1262" i="3"/>
  <c r="B1262" i="3"/>
  <c r="C1262" i="3"/>
  <c r="D1262" i="3"/>
  <c r="E1262" i="3"/>
  <c r="F1262" i="3"/>
  <c r="G1262" i="3"/>
  <c r="H1262" i="3"/>
  <c r="I1262" i="3"/>
  <c r="J1262" i="3"/>
  <c r="K1262" i="3"/>
  <c r="L1262" i="3"/>
  <c r="M1262" i="3"/>
  <c r="A1263" i="3"/>
  <c r="B1263" i="3"/>
  <c r="C1263" i="3"/>
  <c r="D1263" i="3"/>
  <c r="E1263" i="3"/>
  <c r="F1263" i="3"/>
  <c r="G1263" i="3"/>
  <c r="H1263" i="3"/>
  <c r="I1263" i="3"/>
  <c r="J1263" i="3"/>
  <c r="K1263" i="3"/>
  <c r="L1263" i="3"/>
  <c r="M1263" i="3"/>
  <c r="A1264" i="3"/>
  <c r="B1264" i="3"/>
  <c r="C1264" i="3"/>
  <c r="D1264" i="3"/>
  <c r="E1264" i="3"/>
  <c r="F1264" i="3"/>
  <c r="G1264" i="3"/>
  <c r="H1264" i="3"/>
  <c r="I1264" i="3"/>
  <c r="J1264" i="3"/>
  <c r="K1264" i="3"/>
  <c r="L1264" i="3"/>
  <c r="M1264" i="3"/>
  <c r="A1265" i="3"/>
  <c r="B1265" i="3"/>
  <c r="C1265" i="3"/>
  <c r="D1265" i="3"/>
  <c r="E1265" i="3"/>
  <c r="F1265" i="3"/>
  <c r="G1265" i="3"/>
  <c r="H1265" i="3"/>
  <c r="I1265" i="3"/>
  <c r="J1265" i="3"/>
  <c r="K1265" i="3"/>
  <c r="L1265" i="3"/>
  <c r="M1265" i="3"/>
  <c r="A1266" i="3"/>
  <c r="B1266" i="3"/>
  <c r="C1266" i="3"/>
  <c r="D1266" i="3"/>
  <c r="E1266" i="3"/>
  <c r="F1266" i="3"/>
  <c r="G1266" i="3"/>
  <c r="H1266" i="3"/>
  <c r="I1266" i="3"/>
  <c r="J1266" i="3"/>
  <c r="K1266" i="3"/>
  <c r="L1266" i="3"/>
  <c r="M1266" i="3"/>
  <c r="A1267" i="3"/>
  <c r="B1267" i="3"/>
  <c r="C1267" i="3"/>
  <c r="D1267" i="3"/>
  <c r="E1267" i="3"/>
  <c r="F1267" i="3"/>
  <c r="G1267" i="3"/>
  <c r="H1267" i="3"/>
  <c r="I1267" i="3"/>
  <c r="J1267" i="3"/>
  <c r="K1267" i="3"/>
  <c r="L1267" i="3"/>
  <c r="M1267" i="3"/>
  <c r="A1268" i="3"/>
  <c r="B1268" i="3"/>
  <c r="C1268" i="3"/>
  <c r="D1268" i="3"/>
  <c r="E1268" i="3"/>
  <c r="F1268" i="3"/>
  <c r="G1268" i="3"/>
  <c r="H1268" i="3"/>
  <c r="I1268" i="3"/>
  <c r="J1268" i="3"/>
  <c r="K1268" i="3"/>
  <c r="L1268" i="3"/>
  <c r="M1268" i="3"/>
  <c r="A1269" i="3"/>
  <c r="B1269" i="3"/>
  <c r="C1269" i="3"/>
  <c r="D1269" i="3"/>
  <c r="E1269" i="3"/>
  <c r="F1269" i="3"/>
  <c r="G1269" i="3"/>
  <c r="H1269" i="3"/>
  <c r="I1269" i="3"/>
  <c r="J1269" i="3"/>
  <c r="K1269" i="3"/>
  <c r="L1269" i="3"/>
  <c r="M1269" i="3"/>
  <c r="A1270" i="3"/>
  <c r="B1270" i="3"/>
  <c r="C1270" i="3"/>
  <c r="D1270" i="3"/>
  <c r="E1270" i="3"/>
  <c r="F1270" i="3"/>
  <c r="G1270" i="3"/>
  <c r="H1270" i="3"/>
  <c r="I1270" i="3"/>
  <c r="J1270" i="3"/>
  <c r="K1270" i="3"/>
  <c r="L1270" i="3"/>
  <c r="M1270" i="3"/>
  <c r="A1271" i="3"/>
  <c r="B1271" i="3"/>
  <c r="C1271" i="3"/>
  <c r="D1271" i="3"/>
  <c r="E1271" i="3"/>
  <c r="F1271" i="3"/>
  <c r="G1271" i="3"/>
  <c r="H1271" i="3"/>
  <c r="I1271" i="3"/>
  <c r="J1271" i="3"/>
  <c r="K1271" i="3"/>
  <c r="L1271" i="3"/>
  <c r="M1271" i="3"/>
  <c r="A1272" i="3"/>
  <c r="B1272" i="3"/>
  <c r="C1272" i="3"/>
  <c r="D1272" i="3"/>
  <c r="E1272" i="3"/>
  <c r="F1272" i="3"/>
  <c r="G1272" i="3"/>
  <c r="H1272" i="3"/>
  <c r="I1272" i="3"/>
  <c r="J1272" i="3"/>
  <c r="K1272" i="3"/>
  <c r="L1272" i="3"/>
  <c r="M1272" i="3"/>
  <c r="A1273" i="3"/>
  <c r="B1273" i="3"/>
  <c r="C1273" i="3"/>
  <c r="D1273" i="3"/>
  <c r="E1273" i="3"/>
  <c r="F1273" i="3"/>
  <c r="G1273" i="3"/>
  <c r="H1273" i="3"/>
  <c r="I1273" i="3"/>
  <c r="J1273" i="3"/>
  <c r="K1273" i="3"/>
  <c r="L1273" i="3"/>
  <c r="M1273" i="3"/>
  <c r="A1274" i="3"/>
  <c r="B1274" i="3"/>
  <c r="C1274" i="3"/>
  <c r="D1274" i="3"/>
  <c r="E1274" i="3"/>
  <c r="F1274" i="3"/>
  <c r="G1274" i="3"/>
  <c r="H1274" i="3"/>
  <c r="I1274" i="3"/>
  <c r="J1274" i="3"/>
  <c r="K1274" i="3"/>
  <c r="L1274" i="3"/>
  <c r="M1274" i="3"/>
  <c r="A1275" i="3"/>
  <c r="B1275" i="3"/>
  <c r="C1275" i="3"/>
  <c r="D1275" i="3"/>
  <c r="E1275" i="3"/>
  <c r="F1275" i="3"/>
  <c r="G1275" i="3"/>
  <c r="H1275" i="3"/>
  <c r="I1275" i="3"/>
  <c r="J1275" i="3"/>
  <c r="K1275" i="3"/>
  <c r="L1275" i="3"/>
  <c r="M1275" i="3"/>
  <c r="A1276" i="3"/>
  <c r="B1276" i="3"/>
  <c r="C1276" i="3"/>
  <c r="D1276" i="3"/>
  <c r="E1276" i="3"/>
  <c r="F1276" i="3"/>
  <c r="G1276" i="3"/>
  <c r="H1276" i="3"/>
  <c r="I1276" i="3"/>
  <c r="J1276" i="3"/>
  <c r="K1276" i="3"/>
  <c r="L1276" i="3"/>
  <c r="M1276" i="3"/>
  <c r="A1277" i="3"/>
  <c r="B1277" i="3"/>
  <c r="C1277" i="3"/>
  <c r="D1277" i="3"/>
  <c r="E1277" i="3"/>
  <c r="F1277" i="3"/>
  <c r="G1277" i="3"/>
  <c r="H1277" i="3"/>
  <c r="I1277" i="3"/>
  <c r="J1277" i="3"/>
  <c r="K1277" i="3"/>
  <c r="L1277" i="3"/>
  <c r="M1277" i="3"/>
  <c r="A1278" i="3"/>
  <c r="B1278" i="3"/>
  <c r="C1278" i="3"/>
  <c r="D1278" i="3"/>
  <c r="E1278" i="3"/>
  <c r="F1278" i="3"/>
  <c r="G1278" i="3"/>
  <c r="H1278" i="3"/>
  <c r="I1278" i="3"/>
  <c r="J1278" i="3"/>
  <c r="K1278" i="3"/>
  <c r="L1278" i="3"/>
  <c r="M1278" i="3"/>
  <c r="A1279" i="3"/>
  <c r="B1279" i="3"/>
  <c r="C1279" i="3"/>
  <c r="D1279" i="3"/>
  <c r="E1279" i="3"/>
  <c r="F1279" i="3"/>
  <c r="G1279" i="3"/>
  <c r="H1279" i="3"/>
  <c r="I1279" i="3"/>
  <c r="J1279" i="3"/>
  <c r="K1279" i="3"/>
  <c r="L1279" i="3"/>
  <c r="M1279" i="3"/>
  <c r="A1280" i="3"/>
  <c r="B1280" i="3"/>
  <c r="C1280" i="3"/>
  <c r="D1280" i="3"/>
  <c r="E1280" i="3"/>
  <c r="F1280" i="3"/>
  <c r="G1280" i="3"/>
  <c r="H1280" i="3"/>
  <c r="I1280" i="3"/>
  <c r="J1280" i="3"/>
  <c r="K1280" i="3"/>
  <c r="L1280" i="3"/>
  <c r="M1280" i="3"/>
  <c r="A1281" i="3"/>
  <c r="B1281" i="3"/>
  <c r="C1281" i="3"/>
  <c r="D1281" i="3"/>
  <c r="E1281" i="3"/>
  <c r="F1281" i="3"/>
  <c r="G1281" i="3"/>
  <c r="H1281" i="3"/>
  <c r="I1281" i="3"/>
  <c r="J1281" i="3"/>
  <c r="K1281" i="3"/>
  <c r="L1281" i="3"/>
  <c r="M1281" i="3"/>
  <c r="A1282" i="3"/>
  <c r="B1282" i="3"/>
  <c r="C1282" i="3"/>
  <c r="D1282" i="3"/>
  <c r="E1282" i="3"/>
  <c r="F1282" i="3"/>
  <c r="G1282" i="3"/>
  <c r="H1282" i="3"/>
  <c r="I1282" i="3"/>
  <c r="J1282" i="3"/>
  <c r="K1282" i="3"/>
  <c r="L1282" i="3"/>
  <c r="M1282" i="3"/>
  <c r="A1283" i="3"/>
  <c r="B1283" i="3"/>
  <c r="C1283" i="3"/>
  <c r="D1283" i="3"/>
  <c r="E1283" i="3"/>
  <c r="F1283" i="3"/>
  <c r="G1283" i="3"/>
  <c r="H1283" i="3"/>
  <c r="I1283" i="3"/>
  <c r="J1283" i="3"/>
  <c r="K1283" i="3"/>
  <c r="L1283" i="3"/>
  <c r="M1283" i="3"/>
  <c r="A1284" i="3"/>
  <c r="B1284" i="3"/>
  <c r="C1284" i="3"/>
  <c r="D1284" i="3"/>
  <c r="E1284" i="3"/>
  <c r="F1284" i="3"/>
  <c r="G1284" i="3"/>
  <c r="H1284" i="3"/>
  <c r="I1284" i="3"/>
  <c r="J1284" i="3"/>
  <c r="K1284" i="3"/>
  <c r="L1284" i="3"/>
  <c r="M1284" i="3"/>
  <c r="A1285" i="3"/>
  <c r="B1285" i="3"/>
  <c r="C1285" i="3"/>
  <c r="D1285" i="3"/>
  <c r="E1285" i="3"/>
  <c r="F1285" i="3"/>
  <c r="G1285" i="3"/>
  <c r="H1285" i="3"/>
  <c r="I1285" i="3"/>
  <c r="J1285" i="3"/>
  <c r="K1285" i="3"/>
  <c r="L1285" i="3"/>
  <c r="M1285" i="3"/>
  <c r="A1286" i="3"/>
  <c r="B1286" i="3"/>
  <c r="C1286" i="3"/>
  <c r="D1286" i="3"/>
  <c r="E1286" i="3"/>
  <c r="F1286" i="3"/>
  <c r="G1286" i="3"/>
  <c r="H1286" i="3"/>
  <c r="I1286" i="3"/>
  <c r="J1286" i="3"/>
  <c r="K1286" i="3"/>
  <c r="L1286" i="3"/>
  <c r="M1286" i="3"/>
  <c r="A1287" i="3"/>
  <c r="B1287" i="3"/>
  <c r="C1287" i="3"/>
  <c r="D1287" i="3"/>
  <c r="E1287" i="3"/>
  <c r="F1287" i="3"/>
  <c r="G1287" i="3"/>
  <c r="H1287" i="3"/>
  <c r="I1287" i="3"/>
  <c r="J1287" i="3"/>
  <c r="K1287" i="3"/>
  <c r="L1287" i="3"/>
  <c r="M1287" i="3"/>
  <c r="A1288" i="3"/>
  <c r="B1288" i="3"/>
  <c r="C1288" i="3"/>
  <c r="D1288" i="3"/>
  <c r="E1288" i="3"/>
  <c r="F1288" i="3"/>
  <c r="G1288" i="3"/>
  <c r="H1288" i="3"/>
  <c r="I1288" i="3"/>
  <c r="J1288" i="3"/>
  <c r="K1288" i="3"/>
  <c r="L1288" i="3"/>
  <c r="M1288" i="3"/>
  <c r="A1289" i="3"/>
  <c r="B1289" i="3"/>
  <c r="C1289" i="3"/>
  <c r="D1289" i="3"/>
  <c r="E1289" i="3"/>
  <c r="F1289" i="3"/>
  <c r="G1289" i="3"/>
  <c r="H1289" i="3"/>
  <c r="I1289" i="3"/>
  <c r="J1289" i="3"/>
  <c r="K1289" i="3"/>
  <c r="L1289" i="3"/>
  <c r="M1289" i="3"/>
  <c r="A1290" i="3"/>
  <c r="B1290" i="3"/>
  <c r="C1290" i="3"/>
  <c r="D1290" i="3"/>
  <c r="E1290" i="3"/>
  <c r="F1290" i="3"/>
  <c r="G1290" i="3"/>
  <c r="H1290" i="3"/>
  <c r="I1290" i="3"/>
  <c r="J1290" i="3"/>
  <c r="K1290" i="3"/>
  <c r="L1290" i="3"/>
  <c r="M1290" i="3"/>
  <c r="A1291" i="3"/>
  <c r="B1291" i="3"/>
  <c r="C1291" i="3"/>
  <c r="D1291" i="3"/>
  <c r="E1291" i="3"/>
  <c r="F1291" i="3"/>
  <c r="G1291" i="3"/>
  <c r="H1291" i="3"/>
  <c r="I1291" i="3"/>
  <c r="J1291" i="3"/>
  <c r="K1291" i="3"/>
  <c r="L1291" i="3"/>
  <c r="M1291" i="3"/>
  <c r="A1292" i="3"/>
  <c r="B1292" i="3"/>
  <c r="C1292" i="3"/>
  <c r="D1292" i="3"/>
  <c r="E1292" i="3"/>
  <c r="F1292" i="3"/>
  <c r="G1292" i="3"/>
  <c r="H1292" i="3"/>
  <c r="I1292" i="3"/>
  <c r="J1292" i="3"/>
  <c r="K1292" i="3"/>
  <c r="L1292" i="3"/>
  <c r="M1292" i="3"/>
  <c r="A1293" i="3"/>
  <c r="B1293" i="3"/>
  <c r="C1293" i="3"/>
  <c r="D1293" i="3"/>
  <c r="E1293" i="3"/>
  <c r="F1293" i="3"/>
  <c r="G1293" i="3"/>
  <c r="H1293" i="3"/>
  <c r="I1293" i="3"/>
  <c r="J1293" i="3"/>
  <c r="K1293" i="3"/>
  <c r="L1293" i="3"/>
  <c r="M1293" i="3"/>
  <c r="A1294" i="3"/>
  <c r="B1294" i="3"/>
  <c r="C1294" i="3"/>
  <c r="D1294" i="3"/>
  <c r="E1294" i="3"/>
  <c r="F1294" i="3"/>
  <c r="G1294" i="3"/>
  <c r="H1294" i="3"/>
  <c r="I1294" i="3"/>
  <c r="J1294" i="3"/>
  <c r="K1294" i="3"/>
  <c r="L1294" i="3"/>
  <c r="M1294" i="3"/>
  <c r="A1295" i="3"/>
  <c r="B1295" i="3"/>
  <c r="C1295" i="3"/>
  <c r="D1295" i="3"/>
  <c r="E1295" i="3"/>
  <c r="F1295" i="3"/>
  <c r="G1295" i="3"/>
  <c r="H1295" i="3"/>
  <c r="I1295" i="3"/>
  <c r="J1295" i="3"/>
  <c r="K1295" i="3"/>
  <c r="L1295" i="3"/>
  <c r="M1295" i="3"/>
  <c r="A1296" i="3"/>
  <c r="B1296" i="3"/>
  <c r="C1296" i="3"/>
  <c r="D1296" i="3"/>
  <c r="E1296" i="3"/>
  <c r="F1296" i="3"/>
  <c r="G1296" i="3"/>
  <c r="H1296" i="3"/>
  <c r="I1296" i="3"/>
  <c r="J1296" i="3"/>
  <c r="K1296" i="3"/>
  <c r="L1296" i="3"/>
  <c r="M1296" i="3"/>
  <c r="A1297" i="3"/>
  <c r="B1297" i="3"/>
  <c r="C1297" i="3"/>
  <c r="D1297" i="3"/>
  <c r="E1297" i="3"/>
  <c r="F1297" i="3"/>
  <c r="G1297" i="3"/>
  <c r="H1297" i="3"/>
  <c r="I1297" i="3"/>
  <c r="J1297" i="3"/>
  <c r="K1297" i="3"/>
  <c r="L1297" i="3"/>
  <c r="M1297" i="3"/>
  <c r="A1298" i="3"/>
  <c r="B1298" i="3"/>
  <c r="C1298" i="3"/>
  <c r="D1298" i="3"/>
  <c r="E1298" i="3"/>
  <c r="F1298" i="3"/>
  <c r="G1298" i="3"/>
  <c r="H1298" i="3"/>
  <c r="I1298" i="3"/>
  <c r="J1298" i="3"/>
  <c r="K1298" i="3"/>
  <c r="L1298" i="3"/>
  <c r="M1298" i="3"/>
  <c r="A1299" i="3"/>
  <c r="B1299" i="3"/>
  <c r="C1299" i="3"/>
  <c r="D1299" i="3"/>
  <c r="E1299" i="3"/>
  <c r="F1299" i="3"/>
  <c r="G1299" i="3"/>
  <c r="H1299" i="3"/>
  <c r="I1299" i="3"/>
  <c r="J1299" i="3"/>
  <c r="K1299" i="3"/>
  <c r="L1299" i="3"/>
  <c r="M1299" i="3"/>
  <c r="A1300" i="3"/>
  <c r="B1300" i="3"/>
  <c r="C1300" i="3"/>
  <c r="D1300" i="3"/>
  <c r="E1300" i="3"/>
  <c r="F1300" i="3"/>
  <c r="G1300" i="3"/>
  <c r="H1300" i="3"/>
  <c r="I1300" i="3"/>
  <c r="J1300" i="3"/>
  <c r="K1300" i="3"/>
  <c r="L1300" i="3"/>
  <c r="M1300" i="3"/>
  <c r="A1301" i="3"/>
  <c r="B1301" i="3"/>
  <c r="C1301" i="3"/>
  <c r="D1301" i="3"/>
  <c r="E1301" i="3"/>
  <c r="F1301" i="3"/>
  <c r="G1301" i="3"/>
  <c r="H1301" i="3"/>
  <c r="I1301" i="3"/>
  <c r="J1301" i="3"/>
  <c r="K1301" i="3"/>
  <c r="L1301" i="3"/>
  <c r="M1301" i="3"/>
  <c r="A1302" i="3"/>
  <c r="B1302" i="3"/>
  <c r="C1302" i="3"/>
  <c r="D1302" i="3"/>
  <c r="E1302" i="3"/>
  <c r="F1302" i="3"/>
  <c r="G1302" i="3"/>
  <c r="H1302" i="3"/>
  <c r="I1302" i="3"/>
  <c r="J1302" i="3"/>
  <c r="K1302" i="3"/>
  <c r="L1302" i="3"/>
  <c r="M1302" i="3"/>
  <c r="A1303" i="3"/>
  <c r="B1303" i="3"/>
  <c r="C1303" i="3"/>
  <c r="D1303" i="3"/>
  <c r="E1303" i="3"/>
  <c r="F1303" i="3"/>
  <c r="G1303" i="3"/>
  <c r="H1303" i="3"/>
  <c r="I1303" i="3"/>
  <c r="J1303" i="3"/>
  <c r="K1303" i="3"/>
  <c r="L1303" i="3"/>
  <c r="M1303" i="3"/>
  <c r="A1304" i="3"/>
  <c r="B1304" i="3"/>
  <c r="C1304" i="3"/>
  <c r="D1304" i="3"/>
  <c r="E1304" i="3"/>
  <c r="F1304" i="3"/>
  <c r="G1304" i="3"/>
  <c r="H1304" i="3"/>
  <c r="I1304" i="3"/>
  <c r="J1304" i="3"/>
  <c r="K1304" i="3"/>
  <c r="L1304" i="3"/>
  <c r="M1304" i="3"/>
  <c r="A1305" i="3"/>
  <c r="B1305" i="3"/>
  <c r="C1305" i="3"/>
  <c r="D1305" i="3"/>
  <c r="E1305" i="3"/>
  <c r="F1305" i="3"/>
  <c r="G1305" i="3"/>
  <c r="H1305" i="3"/>
  <c r="I1305" i="3"/>
  <c r="J1305" i="3"/>
  <c r="K1305" i="3"/>
  <c r="L1305" i="3"/>
  <c r="M1305" i="3"/>
  <c r="A1306" i="3"/>
  <c r="B1306" i="3"/>
  <c r="C1306" i="3"/>
  <c r="D1306" i="3"/>
  <c r="E1306" i="3"/>
  <c r="F1306" i="3"/>
  <c r="G1306" i="3"/>
  <c r="H1306" i="3"/>
  <c r="I1306" i="3"/>
  <c r="J1306" i="3"/>
  <c r="K1306" i="3"/>
  <c r="L1306" i="3"/>
  <c r="M1306" i="3"/>
  <c r="A1307" i="3"/>
  <c r="B1307" i="3"/>
  <c r="C1307" i="3"/>
  <c r="D1307" i="3"/>
  <c r="E1307" i="3"/>
  <c r="F1307" i="3"/>
  <c r="G1307" i="3"/>
  <c r="H1307" i="3"/>
  <c r="I1307" i="3"/>
  <c r="J1307" i="3"/>
  <c r="K1307" i="3"/>
  <c r="L1307" i="3"/>
  <c r="M1307" i="3"/>
  <c r="A1308" i="3"/>
  <c r="B1308" i="3"/>
  <c r="C1308" i="3"/>
  <c r="D1308" i="3"/>
  <c r="E1308" i="3"/>
  <c r="F1308" i="3"/>
  <c r="G1308" i="3"/>
  <c r="H1308" i="3"/>
  <c r="I1308" i="3"/>
  <c r="J1308" i="3"/>
  <c r="K1308" i="3"/>
  <c r="L1308" i="3"/>
  <c r="M1308" i="3"/>
  <c r="A1309" i="3"/>
  <c r="B1309" i="3"/>
  <c r="C1309" i="3"/>
  <c r="D1309" i="3"/>
  <c r="E1309" i="3"/>
  <c r="F1309" i="3"/>
  <c r="G1309" i="3"/>
  <c r="H1309" i="3"/>
  <c r="I1309" i="3"/>
  <c r="J1309" i="3"/>
  <c r="K1309" i="3"/>
  <c r="L1309" i="3"/>
  <c r="M1309" i="3"/>
  <c r="A1310" i="3"/>
  <c r="B1310" i="3"/>
  <c r="C1310" i="3"/>
  <c r="D1310" i="3"/>
  <c r="E1310" i="3"/>
  <c r="F1310" i="3"/>
  <c r="G1310" i="3"/>
  <c r="H1310" i="3"/>
  <c r="I1310" i="3"/>
  <c r="J1310" i="3"/>
  <c r="K1310" i="3"/>
  <c r="L1310" i="3"/>
  <c r="M1310" i="3"/>
  <c r="A1311" i="3"/>
  <c r="B1311" i="3"/>
  <c r="C1311" i="3"/>
  <c r="D1311" i="3"/>
  <c r="E1311" i="3"/>
  <c r="F1311" i="3"/>
  <c r="G1311" i="3"/>
  <c r="H1311" i="3"/>
  <c r="I1311" i="3"/>
  <c r="J1311" i="3"/>
  <c r="K1311" i="3"/>
  <c r="L1311" i="3"/>
  <c r="M1311" i="3"/>
  <c r="A1312" i="3"/>
  <c r="B1312" i="3"/>
  <c r="C1312" i="3"/>
  <c r="D1312" i="3"/>
  <c r="E1312" i="3"/>
  <c r="F1312" i="3"/>
  <c r="G1312" i="3"/>
  <c r="H1312" i="3"/>
  <c r="I1312" i="3"/>
  <c r="J1312" i="3"/>
  <c r="K1312" i="3"/>
  <c r="L1312" i="3"/>
  <c r="M1312" i="3"/>
  <c r="A1313" i="3"/>
  <c r="B1313" i="3"/>
  <c r="C1313" i="3"/>
  <c r="D1313" i="3"/>
  <c r="E1313" i="3"/>
  <c r="F1313" i="3"/>
  <c r="G1313" i="3"/>
  <c r="H1313" i="3"/>
  <c r="I1313" i="3"/>
  <c r="J1313" i="3"/>
  <c r="K1313" i="3"/>
  <c r="L1313" i="3"/>
  <c r="M1313" i="3"/>
  <c r="A1314" i="3"/>
  <c r="B1314" i="3"/>
  <c r="C1314" i="3"/>
  <c r="D1314" i="3"/>
  <c r="E1314" i="3"/>
  <c r="F1314" i="3"/>
  <c r="G1314" i="3"/>
  <c r="H1314" i="3"/>
  <c r="I1314" i="3"/>
  <c r="J1314" i="3"/>
  <c r="K1314" i="3"/>
  <c r="L1314" i="3"/>
  <c r="M1314" i="3"/>
  <c r="A1315" i="3"/>
  <c r="B1315" i="3"/>
  <c r="C1315" i="3"/>
  <c r="D1315" i="3"/>
  <c r="E1315" i="3"/>
  <c r="F1315" i="3"/>
  <c r="G1315" i="3"/>
  <c r="H1315" i="3"/>
  <c r="I1315" i="3"/>
  <c r="J1315" i="3"/>
  <c r="K1315" i="3"/>
  <c r="L1315" i="3"/>
  <c r="M1315" i="3"/>
  <c r="A1316" i="3"/>
  <c r="B1316" i="3"/>
  <c r="C1316" i="3"/>
  <c r="D1316" i="3"/>
  <c r="E1316" i="3"/>
  <c r="F1316" i="3"/>
  <c r="G1316" i="3"/>
  <c r="H1316" i="3"/>
  <c r="I1316" i="3"/>
  <c r="J1316" i="3"/>
  <c r="K1316" i="3"/>
  <c r="L1316" i="3"/>
  <c r="M1316" i="3"/>
  <c r="A1317" i="3"/>
  <c r="B1317" i="3"/>
  <c r="C1317" i="3"/>
  <c r="D1317" i="3"/>
  <c r="E1317" i="3"/>
  <c r="F1317" i="3"/>
  <c r="G1317" i="3"/>
  <c r="H1317" i="3"/>
  <c r="I1317" i="3"/>
  <c r="J1317" i="3"/>
  <c r="K1317" i="3"/>
  <c r="L1317" i="3"/>
  <c r="M1317" i="3"/>
  <c r="A1318" i="3"/>
  <c r="B1318" i="3"/>
  <c r="C1318" i="3"/>
  <c r="D1318" i="3"/>
  <c r="E1318" i="3"/>
  <c r="F1318" i="3"/>
  <c r="G1318" i="3"/>
  <c r="H1318" i="3"/>
  <c r="I1318" i="3"/>
  <c r="J1318" i="3"/>
  <c r="K1318" i="3"/>
  <c r="L1318" i="3"/>
  <c r="M1318" i="3"/>
  <c r="A1319" i="3"/>
  <c r="B1319" i="3"/>
  <c r="C1319" i="3"/>
  <c r="D1319" i="3"/>
  <c r="E1319" i="3"/>
  <c r="F1319" i="3"/>
  <c r="G1319" i="3"/>
  <c r="H1319" i="3"/>
  <c r="I1319" i="3"/>
  <c r="J1319" i="3"/>
  <c r="K1319" i="3"/>
  <c r="L1319" i="3"/>
  <c r="M1319" i="3"/>
  <c r="A1320" i="3"/>
  <c r="B1320" i="3"/>
  <c r="C1320" i="3"/>
  <c r="D1320" i="3"/>
  <c r="E1320" i="3"/>
  <c r="F1320" i="3"/>
  <c r="G1320" i="3"/>
  <c r="H1320" i="3"/>
  <c r="I1320" i="3"/>
  <c r="J1320" i="3"/>
  <c r="K1320" i="3"/>
  <c r="L1320" i="3"/>
  <c r="M1320" i="3"/>
  <c r="A1321" i="3"/>
  <c r="B1321" i="3"/>
  <c r="C1321" i="3"/>
  <c r="D1321" i="3"/>
  <c r="E1321" i="3"/>
  <c r="F1321" i="3"/>
  <c r="G1321" i="3"/>
  <c r="H1321" i="3"/>
  <c r="I1321" i="3"/>
  <c r="J1321" i="3"/>
  <c r="K1321" i="3"/>
  <c r="L1321" i="3"/>
  <c r="M1321" i="3"/>
  <c r="A1322" i="3"/>
  <c r="B1322" i="3"/>
  <c r="C1322" i="3"/>
  <c r="D1322" i="3"/>
  <c r="E1322" i="3"/>
  <c r="F1322" i="3"/>
  <c r="G1322" i="3"/>
  <c r="H1322" i="3"/>
  <c r="I1322" i="3"/>
  <c r="J1322" i="3"/>
  <c r="K1322" i="3"/>
  <c r="L1322" i="3"/>
  <c r="M1322" i="3"/>
  <c r="A1323" i="3"/>
  <c r="B1323" i="3"/>
  <c r="C1323" i="3"/>
  <c r="D1323" i="3"/>
  <c r="E1323" i="3"/>
  <c r="F1323" i="3"/>
  <c r="G1323" i="3"/>
  <c r="H1323" i="3"/>
  <c r="I1323" i="3"/>
  <c r="J1323" i="3"/>
  <c r="K1323" i="3"/>
  <c r="L1323" i="3"/>
  <c r="M1323" i="3"/>
  <c r="A1324" i="3"/>
  <c r="B1324" i="3"/>
  <c r="C1324" i="3"/>
  <c r="D1324" i="3"/>
  <c r="E1324" i="3"/>
  <c r="F1324" i="3"/>
  <c r="G1324" i="3"/>
  <c r="H1324" i="3"/>
  <c r="I1324" i="3"/>
  <c r="J1324" i="3"/>
  <c r="K1324" i="3"/>
  <c r="L1324" i="3"/>
  <c r="M1324" i="3"/>
  <c r="A1325" i="3"/>
  <c r="B1325" i="3"/>
  <c r="C1325" i="3"/>
  <c r="D1325" i="3"/>
  <c r="E1325" i="3"/>
  <c r="F1325" i="3"/>
  <c r="G1325" i="3"/>
  <c r="H1325" i="3"/>
  <c r="I1325" i="3"/>
  <c r="J1325" i="3"/>
  <c r="K1325" i="3"/>
  <c r="L1325" i="3"/>
  <c r="M1325" i="3"/>
  <c r="A1326" i="3"/>
  <c r="B1326" i="3"/>
  <c r="C1326" i="3"/>
  <c r="D1326" i="3"/>
  <c r="E1326" i="3"/>
  <c r="F1326" i="3"/>
  <c r="G1326" i="3"/>
  <c r="H1326" i="3"/>
  <c r="I1326" i="3"/>
  <c r="J1326" i="3"/>
  <c r="K1326" i="3"/>
  <c r="L1326" i="3"/>
  <c r="M1326" i="3"/>
  <c r="A1327" i="3"/>
  <c r="B1327" i="3"/>
  <c r="C1327" i="3"/>
  <c r="D1327" i="3"/>
  <c r="E1327" i="3"/>
  <c r="F1327" i="3"/>
  <c r="G1327" i="3"/>
  <c r="H1327" i="3"/>
  <c r="I1327" i="3"/>
  <c r="J1327" i="3"/>
  <c r="K1327" i="3"/>
  <c r="L1327" i="3"/>
  <c r="M1327" i="3"/>
  <c r="A1328" i="3"/>
  <c r="B1328" i="3"/>
  <c r="C1328" i="3"/>
  <c r="D1328" i="3"/>
  <c r="E1328" i="3"/>
  <c r="F1328" i="3"/>
  <c r="G1328" i="3"/>
  <c r="H1328" i="3"/>
  <c r="I1328" i="3"/>
  <c r="J1328" i="3"/>
  <c r="K1328" i="3"/>
  <c r="L1328" i="3"/>
  <c r="M1328" i="3"/>
  <c r="A1329" i="3"/>
  <c r="B1329" i="3"/>
  <c r="C1329" i="3"/>
  <c r="D1329" i="3"/>
  <c r="E1329" i="3"/>
  <c r="F1329" i="3"/>
  <c r="G1329" i="3"/>
  <c r="H1329" i="3"/>
  <c r="I1329" i="3"/>
  <c r="J1329" i="3"/>
  <c r="K1329" i="3"/>
  <c r="L1329" i="3"/>
  <c r="M1329" i="3"/>
  <c r="A1330" i="3"/>
  <c r="B1330" i="3"/>
  <c r="C1330" i="3"/>
  <c r="D1330" i="3"/>
  <c r="E1330" i="3"/>
  <c r="F1330" i="3"/>
  <c r="G1330" i="3"/>
  <c r="H1330" i="3"/>
  <c r="I1330" i="3"/>
  <c r="J1330" i="3"/>
  <c r="K1330" i="3"/>
  <c r="L1330" i="3"/>
  <c r="M1330" i="3"/>
  <c r="A1331" i="3"/>
  <c r="B1331" i="3"/>
  <c r="C1331" i="3"/>
  <c r="D1331" i="3"/>
  <c r="E1331" i="3"/>
  <c r="F1331" i="3"/>
  <c r="G1331" i="3"/>
  <c r="H1331" i="3"/>
  <c r="I1331" i="3"/>
  <c r="J1331" i="3"/>
  <c r="K1331" i="3"/>
  <c r="L1331" i="3"/>
  <c r="M1331" i="3"/>
  <c r="A1332" i="3"/>
  <c r="B1332" i="3"/>
  <c r="C1332" i="3"/>
  <c r="D1332" i="3"/>
  <c r="E1332" i="3"/>
  <c r="F1332" i="3"/>
  <c r="G1332" i="3"/>
  <c r="H1332" i="3"/>
  <c r="I1332" i="3"/>
  <c r="J1332" i="3"/>
  <c r="K1332" i="3"/>
  <c r="L1332" i="3"/>
  <c r="M1332" i="3"/>
  <c r="A1333" i="3"/>
  <c r="B1333" i="3"/>
  <c r="C1333" i="3"/>
  <c r="D1333" i="3"/>
  <c r="E1333" i="3"/>
  <c r="F1333" i="3"/>
  <c r="G1333" i="3"/>
  <c r="H1333" i="3"/>
  <c r="I1333" i="3"/>
  <c r="J1333" i="3"/>
  <c r="K1333" i="3"/>
  <c r="L1333" i="3"/>
  <c r="M1333" i="3"/>
  <c r="A1334" i="3"/>
  <c r="B1334" i="3"/>
  <c r="C1334" i="3"/>
  <c r="D1334" i="3"/>
  <c r="E1334" i="3"/>
  <c r="F1334" i="3"/>
  <c r="G1334" i="3"/>
  <c r="H1334" i="3"/>
  <c r="I1334" i="3"/>
  <c r="J1334" i="3"/>
  <c r="K1334" i="3"/>
  <c r="L1334" i="3"/>
  <c r="M1334" i="3"/>
  <c r="A1335" i="3"/>
  <c r="B1335" i="3"/>
  <c r="C1335" i="3"/>
  <c r="D1335" i="3"/>
  <c r="E1335" i="3"/>
  <c r="F1335" i="3"/>
  <c r="G1335" i="3"/>
  <c r="H1335" i="3"/>
  <c r="I1335" i="3"/>
  <c r="J1335" i="3"/>
  <c r="K1335" i="3"/>
  <c r="L1335" i="3"/>
  <c r="M1335" i="3"/>
  <c r="A1336" i="3"/>
  <c r="B1336" i="3"/>
  <c r="C1336" i="3"/>
  <c r="D1336" i="3"/>
  <c r="E1336" i="3"/>
  <c r="F1336" i="3"/>
  <c r="G1336" i="3"/>
  <c r="H1336" i="3"/>
  <c r="I1336" i="3"/>
  <c r="J1336" i="3"/>
  <c r="K1336" i="3"/>
  <c r="L1336" i="3"/>
  <c r="M1336" i="3"/>
  <c r="A1337" i="3"/>
  <c r="B1337" i="3"/>
  <c r="C1337" i="3"/>
  <c r="D1337" i="3"/>
  <c r="E1337" i="3"/>
  <c r="F1337" i="3"/>
  <c r="G1337" i="3"/>
  <c r="H1337" i="3"/>
  <c r="I1337" i="3"/>
  <c r="J1337" i="3"/>
  <c r="K1337" i="3"/>
  <c r="L1337" i="3"/>
  <c r="M1337" i="3"/>
  <c r="A1338" i="3"/>
  <c r="B1338" i="3"/>
  <c r="C1338" i="3"/>
  <c r="D1338" i="3"/>
  <c r="E1338" i="3"/>
  <c r="F1338" i="3"/>
  <c r="G1338" i="3"/>
  <c r="H1338" i="3"/>
  <c r="I1338" i="3"/>
  <c r="J1338" i="3"/>
  <c r="K1338" i="3"/>
  <c r="L1338" i="3"/>
  <c r="M1338" i="3"/>
  <c r="A1339" i="3"/>
  <c r="B1339" i="3"/>
  <c r="C1339" i="3"/>
  <c r="D1339" i="3"/>
  <c r="E1339" i="3"/>
  <c r="F1339" i="3"/>
  <c r="G1339" i="3"/>
  <c r="H1339" i="3"/>
  <c r="I1339" i="3"/>
  <c r="J1339" i="3"/>
  <c r="K1339" i="3"/>
  <c r="L1339" i="3"/>
  <c r="M1339" i="3"/>
  <c r="A1340" i="3"/>
  <c r="B1340" i="3"/>
  <c r="C1340" i="3"/>
  <c r="D1340" i="3"/>
  <c r="E1340" i="3"/>
  <c r="F1340" i="3"/>
  <c r="G1340" i="3"/>
  <c r="H1340" i="3"/>
  <c r="I1340" i="3"/>
  <c r="J1340" i="3"/>
  <c r="K1340" i="3"/>
  <c r="L1340" i="3"/>
  <c r="M1340" i="3"/>
  <c r="A1341" i="3"/>
  <c r="B1341" i="3"/>
  <c r="C1341" i="3"/>
  <c r="D1341" i="3"/>
  <c r="E1341" i="3"/>
  <c r="F1341" i="3"/>
  <c r="G1341" i="3"/>
  <c r="H1341" i="3"/>
  <c r="I1341" i="3"/>
  <c r="J1341" i="3"/>
  <c r="K1341" i="3"/>
  <c r="L1341" i="3"/>
  <c r="M1341" i="3"/>
  <c r="A1342" i="3"/>
  <c r="B1342" i="3"/>
  <c r="C1342" i="3"/>
  <c r="D1342" i="3"/>
  <c r="E1342" i="3"/>
  <c r="F1342" i="3"/>
  <c r="G1342" i="3"/>
  <c r="H1342" i="3"/>
  <c r="I1342" i="3"/>
  <c r="J1342" i="3"/>
  <c r="K1342" i="3"/>
  <c r="L1342" i="3"/>
  <c r="M1342" i="3"/>
  <c r="A1343" i="3"/>
  <c r="B1343" i="3"/>
  <c r="C1343" i="3"/>
  <c r="D1343" i="3"/>
  <c r="E1343" i="3"/>
  <c r="F1343" i="3"/>
  <c r="G1343" i="3"/>
  <c r="H1343" i="3"/>
  <c r="I1343" i="3"/>
  <c r="J1343" i="3"/>
  <c r="K1343" i="3"/>
  <c r="L1343" i="3"/>
  <c r="M1343" i="3"/>
  <c r="A1344" i="3"/>
  <c r="B1344" i="3"/>
  <c r="C1344" i="3"/>
  <c r="D1344" i="3"/>
  <c r="E1344" i="3"/>
  <c r="F1344" i="3"/>
  <c r="G1344" i="3"/>
  <c r="H1344" i="3"/>
  <c r="I1344" i="3"/>
  <c r="J1344" i="3"/>
  <c r="K1344" i="3"/>
  <c r="L1344" i="3"/>
  <c r="M1344" i="3"/>
  <c r="A1345" i="3"/>
  <c r="B1345" i="3"/>
  <c r="C1345" i="3"/>
  <c r="D1345" i="3"/>
  <c r="E1345" i="3"/>
  <c r="F1345" i="3"/>
  <c r="G1345" i="3"/>
  <c r="H1345" i="3"/>
  <c r="I1345" i="3"/>
  <c r="J1345" i="3"/>
  <c r="K1345" i="3"/>
  <c r="L1345" i="3"/>
  <c r="M1345" i="3"/>
  <c r="A1346" i="3"/>
  <c r="B1346" i="3"/>
  <c r="C1346" i="3"/>
  <c r="D1346" i="3"/>
  <c r="E1346" i="3"/>
  <c r="F1346" i="3"/>
  <c r="G1346" i="3"/>
  <c r="H1346" i="3"/>
  <c r="I1346" i="3"/>
  <c r="J1346" i="3"/>
  <c r="K1346" i="3"/>
  <c r="L1346" i="3"/>
  <c r="M1346" i="3"/>
  <c r="A1347" i="3"/>
  <c r="B1347" i="3"/>
  <c r="C1347" i="3"/>
  <c r="D1347" i="3"/>
  <c r="E1347" i="3"/>
  <c r="F1347" i="3"/>
  <c r="G1347" i="3"/>
  <c r="H1347" i="3"/>
  <c r="I1347" i="3"/>
  <c r="J1347" i="3"/>
  <c r="K1347" i="3"/>
  <c r="L1347" i="3"/>
  <c r="M1347" i="3"/>
  <c r="A1348" i="3"/>
  <c r="B1348" i="3"/>
  <c r="C1348" i="3"/>
  <c r="D1348" i="3"/>
  <c r="E1348" i="3"/>
  <c r="F1348" i="3"/>
  <c r="G1348" i="3"/>
  <c r="H1348" i="3"/>
  <c r="I1348" i="3"/>
  <c r="J1348" i="3"/>
  <c r="K1348" i="3"/>
  <c r="L1348" i="3"/>
  <c r="M1348" i="3"/>
  <c r="A1349" i="3"/>
  <c r="B1349" i="3"/>
  <c r="C1349" i="3"/>
  <c r="D1349" i="3"/>
  <c r="E1349" i="3"/>
  <c r="F1349" i="3"/>
  <c r="G1349" i="3"/>
  <c r="H1349" i="3"/>
  <c r="I1349" i="3"/>
  <c r="J1349" i="3"/>
  <c r="K1349" i="3"/>
  <c r="L1349" i="3"/>
  <c r="M1349" i="3"/>
  <c r="A1350" i="3"/>
  <c r="B1350" i="3"/>
  <c r="C1350" i="3"/>
  <c r="D1350" i="3"/>
  <c r="E1350" i="3"/>
  <c r="F1350" i="3"/>
  <c r="G1350" i="3"/>
  <c r="H1350" i="3"/>
  <c r="I1350" i="3"/>
  <c r="J1350" i="3"/>
  <c r="K1350" i="3"/>
  <c r="L1350" i="3"/>
  <c r="M1350" i="3"/>
  <c r="A1351" i="3"/>
  <c r="B1351" i="3"/>
  <c r="C1351" i="3"/>
  <c r="D1351" i="3"/>
  <c r="E1351" i="3"/>
  <c r="F1351" i="3"/>
  <c r="G1351" i="3"/>
  <c r="H1351" i="3"/>
  <c r="I1351" i="3"/>
  <c r="J1351" i="3"/>
  <c r="K1351" i="3"/>
  <c r="L1351" i="3"/>
  <c r="M1351" i="3"/>
  <c r="A1352" i="3"/>
  <c r="B1352" i="3"/>
  <c r="C1352" i="3"/>
  <c r="D1352" i="3"/>
  <c r="E1352" i="3"/>
  <c r="F1352" i="3"/>
  <c r="G1352" i="3"/>
  <c r="H1352" i="3"/>
  <c r="I1352" i="3"/>
  <c r="J1352" i="3"/>
  <c r="K1352" i="3"/>
  <c r="L1352" i="3"/>
  <c r="M1352" i="3"/>
  <c r="A1353" i="3"/>
  <c r="B1353" i="3"/>
  <c r="C1353" i="3"/>
  <c r="D1353" i="3"/>
  <c r="E1353" i="3"/>
  <c r="F1353" i="3"/>
  <c r="G1353" i="3"/>
  <c r="H1353" i="3"/>
  <c r="I1353" i="3"/>
  <c r="J1353" i="3"/>
  <c r="K1353" i="3"/>
  <c r="L1353" i="3"/>
  <c r="M1353" i="3"/>
  <c r="A1354" i="3"/>
  <c r="B1354" i="3"/>
  <c r="C1354" i="3"/>
  <c r="D1354" i="3"/>
  <c r="E1354" i="3"/>
  <c r="F1354" i="3"/>
  <c r="G1354" i="3"/>
  <c r="H1354" i="3"/>
  <c r="I1354" i="3"/>
  <c r="J1354" i="3"/>
  <c r="K1354" i="3"/>
  <c r="L1354" i="3"/>
  <c r="M1354" i="3"/>
  <c r="A1355" i="3"/>
  <c r="B1355" i="3"/>
  <c r="C1355" i="3"/>
  <c r="D1355" i="3"/>
  <c r="E1355" i="3"/>
  <c r="F1355" i="3"/>
  <c r="G1355" i="3"/>
  <c r="H1355" i="3"/>
  <c r="I1355" i="3"/>
  <c r="J1355" i="3"/>
  <c r="K1355" i="3"/>
  <c r="L1355" i="3"/>
  <c r="M1355" i="3"/>
  <c r="A1356" i="3"/>
  <c r="B1356" i="3"/>
  <c r="C1356" i="3"/>
  <c r="D1356" i="3"/>
  <c r="E1356" i="3"/>
  <c r="F1356" i="3"/>
  <c r="G1356" i="3"/>
  <c r="H1356" i="3"/>
  <c r="I1356" i="3"/>
  <c r="J1356" i="3"/>
  <c r="K1356" i="3"/>
  <c r="L1356" i="3"/>
  <c r="M1356" i="3"/>
  <c r="A1357" i="3"/>
  <c r="B1357" i="3"/>
  <c r="C1357" i="3"/>
  <c r="D1357" i="3"/>
  <c r="E1357" i="3"/>
  <c r="F1357" i="3"/>
  <c r="G1357" i="3"/>
  <c r="H1357" i="3"/>
  <c r="I1357" i="3"/>
  <c r="J1357" i="3"/>
  <c r="K1357" i="3"/>
  <c r="L1357" i="3"/>
  <c r="M1357" i="3"/>
  <c r="A1358" i="3"/>
  <c r="B1358" i="3"/>
  <c r="C1358" i="3"/>
  <c r="D1358" i="3"/>
  <c r="E1358" i="3"/>
  <c r="F1358" i="3"/>
  <c r="G1358" i="3"/>
  <c r="H1358" i="3"/>
  <c r="I1358" i="3"/>
  <c r="J1358" i="3"/>
  <c r="K1358" i="3"/>
  <c r="L1358" i="3"/>
  <c r="M1358" i="3"/>
  <c r="A1359" i="3"/>
  <c r="B1359" i="3"/>
  <c r="C1359" i="3"/>
  <c r="D1359" i="3"/>
  <c r="E1359" i="3"/>
  <c r="F1359" i="3"/>
  <c r="G1359" i="3"/>
  <c r="H1359" i="3"/>
  <c r="I1359" i="3"/>
  <c r="J1359" i="3"/>
  <c r="K1359" i="3"/>
  <c r="L1359" i="3"/>
  <c r="M1359" i="3"/>
  <c r="A1360" i="3"/>
  <c r="B1360" i="3"/>
  <c r="C1360" i="3"/>
  <c r="D1360" i="3"/>
  <c r="E1360" i="3"/>
  <c r="F1360" i="3"/>
  <c r="G1360" i="3"/>
  <c r="H1360" i="3"/>
  <c r="I1360" i="3"/>
  <c r="J1360" i="3"/>
  <c r="K1360" i="3"/>
  <c r="L1360" i="3"/>
  <c r="M1360" i="3"/>
  <c r="A1361" i="3"/>
  <c r="B1361" i="3"/>
  <c r="C1361" i="3"/>
  <c r="D1361" i="3"/>
  <c r="E1361" i="3"/>
  <c r="F1361" i="3"/>
  <c r="G1361" i="3"/>
  <c r="H1361" i="3"/>
  <c r="I1361" i="3"/>
  <c r="J1361" i="3"/>
  <c r="K1361" i="3"/>
  <c r="L1361" i="3"/>
  <c r="M1361" i="3"/>
  <c r="A1362" i="3"/>
  <c r="B1362" i="3"/>
  <c r="C1362" i="3"/>
  <c r="D1362" i="3"/>
  <c r="E1362" i="3"/>
  <c r="F1362" i="3"/>
  <c r="G1362" i="3"/>
  <c r="H1362" i="3"/>
  <c r="I1362" i="3"/>
  <c r="J1362" i="3"/>
  <c r="K1362" i="3"/>
  <c r="L1362" i="3"/>
  <c r="M1362" i="3"/>
  <c r="A1363" i="3"/>
  <c r="B1363" i="3"/>
  <c r="C1363" i="3"/>
  <c r="D1363" i="3"/>
  <c r="E1363" i="3"/>
  <c r="F1363" i="3"/>
  <c r="G1363" i="3"/>
  <c r="H1363" i="3"/>
  <c r="I1363" i="3"/>
  <c r="J1363" i="3"/>
  <c r="K1363" i="3"/>
  <c r="L1363" i="3"/>
  <c r="M1363" i="3"/>
  <c r="A1364" i="3"/>
  <c r="B1364" i="3"/>
  <c r="C1364" i="3"/>
  <c r="D1364" i="3"/>
  <c r="E1364" i="3"/>
  <c r="F1364" i="3"/>
  <c r="G1364" i="3"/>
  <c r="H1364" i="3"/>
  <c r="I1364" i="3"/>
  <c r="J1364" i="3"/>
  <c r="K1364" i="3"/>
  <c r="L1364" i="3"/>
  <c r="M1364" i="3"/>
  <c r="A1365" i="3"/>
  <c r="B1365" i="3"/>
  <c r="C1365" i="3"/>
  <c r="D1365" i="3"/>
  <c r="E1365" i="3"/>
  <c r="F1365" i="3"/>
  <c r="G1365" i="3"/>
  <c r="H1365" i="3"/>
  <c r="I1365" i="3"/>
  <c r="J1365" i="3"/>
  <c r="K1365" i="3"/>
  <c r="L1365" i="3"/>
  <c r="M1365" i="3"/>
  <c r="A1366" i="3"/>
  <c r="B1366" i="3"/>
  <c r="C1366" i="3"/>
  <c r="D1366" i="3"/>
  <c r="E1366" i="3"/>
  <c r="F1366" i="3"/>
  <c r="G1366" i="3"/>
  <c r="H1366" i="3"/>
  <c r="I1366" i="3"/>
  <c r="J1366" i="3"/>
  <c r="K1366" i="3"/>
  <c r="L1366" i="3"/>
  <c r="M1366" i="3"/>
  <c r="A1367" i="3"/>
  <c r="B1367" i="3"/>
  <c r="C1367" i="3"/>
  <c r="D1367" i="3"/>
  <c r="E1367" i="3"/>
  <c r="F1367" i="3"/>
  <c r="G1367" i="3"/>
  <c r="H1367" i="3"/>
  <c r="I1367" i="3"/>
  <c r="J1367" i="3"/>
  <c r="K1367" i="3"/>
  <c r="L1367" i="3"/>
  <c r="M1367" i="3"/>
  <c r="A1368" i="3"/>
  <c r="B1368" i="3"/>
  <c r="C1368" i="3"/>
  <c r="D1368" i="3"/>
  <c r="E1368" i="3"/>
  <c r="F1368" i="3"/>
  <c r="G1368" i="3"/>
  <c r="H1368" i="3"/>
  <c r="I1368" i="3"/>
  <c r="J1368" i="3"/>
  <c r="K1368" i="3"/>
  <c r="L1368" i="3"/>
  <c r="M1368" i="3"/>
  <c r="A1369" i="3"/>
  <c r="B1369" i="3"/>
  <c r="C1369" i="3"/>
  <c r="D1369" i="3"/>
  <c r="E1369" i="3"/>
  <c r="F1369" i="3"/>
  <c r="G1369" i="3"/>
  <c r="H1369" i="3"/>
  <c r="I1369" i="3"/>
  <c r="J1369" i="3"/>
  <c r="K1369" i="3"/>
  <c r="L1369" i="3"/>
  <c r="M1369" i="3"/>
  <c r="A1370" i="3"/>
  <c r="B1370" i="3"/>
  <c r="C1370" i="3"/>
  <c r="D1370" i="3"/>
  <c r="E1370" i="3"/>
  <c r="F1370" i="3"/>
  <c r="G1370" i="3"/>
  <c r="H1370" i="3"/>
  <c r="I1370" i="3"/>
  <c r="J1370" i="3"/>
  <c r="K1370" i="3"/>
  <c r="L1370" i="3"/>
  <c r="M1370" i="3"/>
  <c r="A1371" i="3"/>
  <c r="B1371" i="3"/>
  <c r="C1371" i="3"/>
  <c r="D1371" i="3"/>
  <c r="E1371" i="3"/>
  <c r="F1371" i="3"/>
  <c r="G1371" i="3"/>
  <c r="H1371" i="3"/>
  <c r="I1371" i="3"/>
  <c r="J1371" i="3"/>
  <c r="K1371" i="3"/>
  <c r="L1371" i="3"/>
  <c r="M1371" i="3"/>
  <c r="A1372" i="3"/>
  <c r="B1372" i="3"/>
  <c r="C1372" i="3"/>
  <c r="D1372" i="3"/>
  <c r="E1372" i="3"/>
  <c r="F1372" i="3"/>
  <c r="G1372" i="3"/>
  <c r="H1372" i="3"/>
  <c r="I1372" i="3"/>
  <c r="J1372" i="3"/>
  <c r="K1372" i="3"/>
  <c r="L1372" i="3"/>
  <c r="M1372" i="3"/>
  <c r="A1373" i="3"/>
  <c r="B1373" i="3"/>
  <c r="C1373" i="3"/>
  <c r="D1373" i="3"/>
  <c r="E1373" i="3"/>
  <c r="F1373" i="3"/>
  <c r="G1373" i="3"/>
  <c r="H1373" i="3"/>
  <c r="I1373" i="3"/>
  <c r="J1373" i="3"/>
  <c r="K1373" i="3"/>
  <c r="L1373" i="3"/>
  <c r="M1373" i="3"/>
  <c r="A1374" i="3"/>
  <c r="B1374" i="3"/>
  <c r="C1374" i="3"/>
  <c r="D1374" i="3"/>
  <c r="E1374" i="3"/>
  <c r="F1374" i="3"/>
  <c r="G1374" i="3"/>
  <c r="H1374" i="3"/>
  <c r="I1374" i="3"/>
  <c r="J1374" i="3"/>
  <c r="K1374" i="3"/>
  <c r="L1374" i="3"/>
  <c r="M1374" i="3"/>
  <c r="A1375" i="3"/>
  <c r="B1375" i="3"/>
  <c r="C1375" i="3"/>
  <c r="D1375" i="3"/>
  <c r="E1375" i="3"/>
  <c r="F1375" i="3"/>
  <c r="G1375" i="3"/>
  <c r="H1375" i="3"/>
  <c r="I1375" i="3"/>
  <c r="J1375" i="3"/>
  <c r="K1375" i="3"/>
  <c r="L1375" i="3"/>
  <c r="M1375" i="3"/>
  <c r="A1376" i="3"/>
  <c r="B1376" i="3"/>
  <c r="C1376" i="3"/>
  <c r="D1376" i="3"/>
  <c r="E1376" i="3"/>
  <c r="F1376" i="3"/>
  <c r="G1376" i="3"/>
  <c r="H1376" i="3"/>
  <c r="I1376" i="3"/>
  <c r="J1376" i="3"/>
  <c r="K1376" i="3"/>
  <c r="L1376" i="3"/>
  <c r="M1376" i="3"/>
  <c r="A1377" i="3"/>
  <c r="B1377" i="3"/>
  <c r="C1377" i="3"/>
  <c r="D1377" i="3"/>
  <c r="E1377" i="3"/>
  <c r="F1377" i="3"/>
  <c r="G1377" i="3"/>
  <c r="H1377" i="3"/>
  <c r="I1377" i="3"/>
  <c r="J1377" i="3"/>
  <c r="K1377" i="3"/>
  <c r="L1377" i="3"/>
  <c r="M1377" i="3"/>
  <c r="A1378" i="3"/>
  <c r="B1378" i="3"/>
  <c r="C1378" i="3"/>
  <c r="D1378" i="3"/>
  <c r="E1378" i="3"/>
  <c r="F1378" i="3"/>
  <c r="G1378" i="3"/>
  <c r="H1378" i="3"/>
  <c r="I1378" i="3"/>
  <c r="J1378" i="3"/>
  <c r="K1378" i="3"/>
  <c r="L1378" i="3"/>
  <c r="M1378" i="3"/>
  <c r="A1379" i="3"/>
  <c r="B1379" i="3"/>
  <c r="C1379" i="3"/>
  <c r="D1379" i="3"/>
  <c r="E1379" i="3"/>
  <c r="F1379" i="3"/>
  <c r="G1379" i="3"/>
  <c r="H1379" i="3"/>
  <c r="I1379" i="3"/>
  <c r="J1379" i="3"/>
  <c r="K1379" i="3"/>
  <c r="L1379" i="3"/>
  <c r="M1379" i="3"/>
  <c r="A1380" i="3"/>
  <c r="B1380" i="3"/>
  <c r="C1380" i="3"/>
  <c r="D1380" i="3"/>
  <c r="E1380" i="3"/>
  <c r="F1380" i="3"/>
  <c r="G1380" i="3"/>
  <c r="H1380" i="3"/>
  <c r="I1380" i="3"/>
  <c r="J1380" i="3"/>
  <c r="K1380" i="3"/>
  <c r="L1380" i="3"/>
  <c r="M1380" i="3"/>
  <c r="A1381" i="3"/>
  <c r="B1381" i="3"/>
  <c r="C1381" i="3"/>
  <c r="D1381" i="3"/>
  <c r="E1381" i="3"/>
  <c r="F1381" i="3"/>
  <c r="G1381" i="3"/>
  <c r="H1381" i="3"/>
  <c r="I1381" i="3"/>
  <c r="J1381" i="3"/>
  <c r="K1381" i="3"/>
  <c r="L1381" i="3"/>
  <c r="M1381" i="3"/>
  <c r="A1382" i="3"/>
  <c r="B1382" i="3"/>
  <c r="C1382" i="3"/>
  <c r="D1382" i="3"/>
  <c r="E1382" i="3"/>
  <c r="F1382" i="3"/>
  <c r="G1382" i="3"/>
  <c r="H1382" i="3"/>
  <c r="I1382" i="3"/>
  <c r="J1382" i="3"/>
  <c r="K1382" i="3"/>
  <c r="L1382" i="3"/>
  <c r="M1382" i="3"/>
  <c r="A1383" i="3"/>
  <c r="B1383" i="3"/>
  <c r="C1383" i="3"/>
  <c r="D1383" i="3"/>
  <c r="E1383" i="3"/>
  <c r="F1383" i="3"/>
  <c r="G1383" i="3"/>
  <c r="H1383" i="3"/>
  <c r="I1383" i="3"/>
  <c r="J1383" i="3"/>
  <c r="K1383" i="3"/>
  <c r="L1383" i="3"/>
  <c r="M1383" i="3"/>
  <c r="A1384" i="3"/>
  <c r="B1384" i="3"/>
  <c r="C1384" i="3"/>
  <c r="D1384" i="3"/>
  <c r="E1384" i="3"/>
  <c r="F1384" i="3"/>
  <c r="G1384" i="3"/>
  <c r="H1384" i="3"/>
  <c r="I1384" i="3"/>
  <c r="J1384" i="3"/>
  <c r="K1384" i="3"/>
  <c r="L1384" i="3"/>
  <c r="M1384" i="3"/>
  <c r="A1385" i="3"/>
  <c r="B1385" i="3"/>
  <c r="C1385" i="3"/>
  <c r="D1385" i="3"/>
  <c r="E1385" i="3"/>
  <c r="F1385" i="3"/>
  <c r="G1385" i="3"/>
  <c r="H1385" i="3"/>
  <c r="I1385" i="3"/>
  <c r="J1385" i="3"/>
  <c r="K1385" i="3"/>
  <c r="L1385" i="3"/>
  <c r="M1385" i="3"/>
  <c r="A1386" i="3"/>
  <c r="B1386" i="3"/>
  <c r="C1386" i="3"/>
  <c r="D1386" i="3"/>
  <c r="E1386" i="3"/>
  <c r="F1386" i="3"/>
  <c r="G1386" i="3"/>
  <c r="H1386" i="3"/>
  <c r="I1386" i="3"/>
  <c r="J1386" i="3"/>
  <c r="K1386" i="3"/>
  <c r="L1386" i="3"/>
  <c r="M1386" i="3"/>
  <c r="A1387" i="3"/>
  <c r="B1387" i="3"/>
  <c r="C1387" i="3"/>
  <c r="D1387" i="3"/>
  <c r="E1387" i="3"/>
  <c r="F1387" i="3"/>
  <c r="G1387" i="3"/>
  <c r="H1387" i="3"/>
  <c r="I1387" i="3"/>
  <c r="J1387" i="3"/>
  <c r="K1387" i="3"/>
  <c r="L1387" i="3"/>
  <c r="M1387" i="3"/>
  <c r="A1388" i="3"/>
  <c r="B1388" i="3"/>
  <c r="C1388" i="3"/>
  <c r="D1388" i="3"/>
  <c r="E1388" i="3"/>
  <c r="F1388" i="3"/>
  <c r="G1388" i="3"/>
  <c r="H1388" i="3"/>
  <c r="I1388" i="3"/>
  <c r="J1388" i="3"/>
  <c r="K1388" i="3"/>
  <c r="L1388" i="3"/>
  <c r="M1388" i="3"/>
  <c r="A1389" i="3"/>
  <c r="B1389" i="3"/>
  <c r="C1389" i="3"/>
  <c r="D1389" i="3"/>
  <c r="E1389" i="3"/>
  <c r="F1389" i="3"/>
  <c r="G1389" i="3"/>
  <c r="H1389" i="3"/>
  <c r="I1389" i="3"/>
  <c r="J1389" i="3"/>
  <c r="K1389" i="3"/>
  <c r="L1389" i="3"/>
  <c r="M1389" i="3"/>
  <c r="A1390" i="3"/>
  <c r="B1390" i="3"/>
  <c r="C1390" i="3"/>
  <c r="D1390" i="3"/>
  <c r="E1390" i="3"/>
  <c r="F1390" i="3"/>
  <c r="G1390" i="3"/>
  <c r="H1390" i="3"/>
  <c r="I1390" i="3"/>
  <c r="J1390" i="3"/>
  <c r="K1390" i="3"/>
  <c r="L1390" i="3"/>
  <c r="M1390" i="3"/>
  <c r="A1391" i="3"/>
  <c r="B1391" i="3"/>
  <c r="C1391" i="3"/>
  <c r="D1391" i="3"/>
  <c r="E1391" i="3"/>
  <c r="F1391" i="3"/>
  <c r="G1391" i="3"/>
  <c r="H1391" i="3"/>
  <c r="I1391" i="3"/>
  <c r="J1391" i="3"/>
  <c r="K1391" i="3"/>
  <c r="L1391" i="3"/>
  <c r="M1391" i="3"/>
  <c r="A1392" i="3"/>
  <c r="B1392" i="3"/>
  <c r="C1392" i="3"/>
  <c r="D1392" i="3"/>
  <c r="E1392" i="3"/>
  <c r="F1392" i="3"/>
  <c r="G1392" i="3"/>
  <c r="H1392" i="3"/>
  <c r="I1392" i="3"/>
  <c r="J1392" i="3"/>
  <c r="K1392" i="3"/>
  <c r="L1392" i="3"/>
  <c r="M1392" i="3"/>
  <c r="A1393" i="3"/>
  <c r="B1393" i="3"/>
  <c r="C1393" i="3"/>
  <c r="D1393" i="3"/>
  <c r="E1393" i="3"/>
  <c r="F1393" i="3"/>
  <c r="G1393" i="3"/>
  <c r="H1393" i="3"/>
  <c r="I1393" i="3"/>
  <c r="J1393" i="3"/>
  <c r="K1393" i="3"/>
  <c r="L1393" i="3"/>
  <c r="M1393" i="3"/>
  <c r="A1394" i="3"/>
  <c r="B1394" i="3"/>
  <c r="C1394" i="3"/>
  <c r="D1394" i="3"/>
  <c r="E1394" i="3"/>
  <c r="F1394" i="3"/>
  <c r="G1394" i="3"/>
  <c r="H1394" i="3"/>
  <c r="I1394" i="3"/>
  <c r="J1394" i="3"/>
  <c r="K1394" i="3"/>
  <c r="L1394" i="3"/>
  <c r="M1394" i="3"/>
  <c r="A1395" i="3"/>
  <c r="B1395" i="3"/>
  <c r="C1395" i="3"/>
  <c r="D1395" i="3"/>
  <c r="E1395" i="3"/>
  <c r="F1395" i="3"/>
  <c r="G1395" i="3"/>
  <c r="H1395" i="3"/>
  <c r="I1395" i="3"/>
  <c r="J1395" i="3"/>
  <c r="K1395" i="3"/>
  <c r="L1395" i="3"/>
  <c r="M1395" i="3"/>
  <c r="A1396" i="3"/>
  <c r="B1396" i="3"/>
  <c r="C1396" i="3"/>
  <c r="D1396" i="3"/>
  <c r="E1396" i="3"/>
  <c r="F1396" i="3"/>
  <c r="G1396" i="3"/>
  <c r="H1396" i="3"/>
  <c r="I1396" i="3"/>
  <c r="J1396" i="3"/>
  <c r="K1396" i="3"/>
  <c r="L1396" i="3"/>
  <c r="M1396" i="3"/>
  <c r="A1397" i="3"/>
  <c r="B1397" i="3"/>
  <c r="C1397" i="3"/>
  <c r="D1397" i="3"/>
  <c r="E1397" i="3"/>
  <c r="F1397" i="3"/>
  <c r="G1397" i="3"/>
  <c r="H1397" i="3"/>
  <c r="I1397" i="3"/>
  <c r="J1397" i="3"/>
  <c r="K1397" i="3"/>
  <c r="L1397" i="3"/>
  <c r="M1397" i="3"/>
  <c r="A1398" i="3"/>
  <c r="B1398" i="3"/>
  <c r="C1398" i="3"/>
  <c r="D1398" i="3"/>
  <c r="E1398" i="3"/>
  <c r="F1398" i="3"/>
  <c r="G1398" i="3"/>
  <c r="H1398" i="3"/>
  <c r="I1398" i="3"/>
  <c r="J1398" i="3"/>
  <c r="K1398" i="3"/>
  <c r="L1398" i="3"/>
  <c r="M1398" i="3"/>
  <c r="A1399" i="3"/>
  <c r="B1399" i="3"/>
  <c r="C1399" i="3"/>
  <c r="D1399" i="3"/>
  <c r="E1399" i="3"/>
  <c r="F1399" i="3"/>
  <c r="G1399" i="3"/>
  <c r="H1399" i="3"/>
  <c r="I1399" i="3"/>
  <c r="J1399" i="3"/>
  <c r="K1399" i="3"/>
  <c r="L1399" i="3"/>
  <c r="M1399" i="3"/>
  <c r="A1400" i="3"/>
  <c r="B1400" i="3"/>
  <c r="C1400" i="3"/>
  <c r="D1400" i="3"/>
  <c r="E1400" i="3"/>
  <c r="F1400" i="3"/>
  <c r="G1400" i="3"/>
  <c r="H1400" i="3"/>
  <c r="I1400" i="3"/>
  <c r="J1400" i="3"/>
  <c r="K1400" i="3"/>
  <c r="L1400" i="3"/>
  <c r="M1400" i="3"/>
  <c r="A1401" i="3"/>
  <c r="B1401" i="3"/>
  <c r="C1401" i="3"/>
  <c r="D1401" i="3"/>
  <c r="E1401" i="3"/>
  <c r="F1401" i="3"/>
  <c r="G1401" i="3"/>
  <c r="H1401" i="3"/>
  <c r="I1401" i="3"/>
  <c r="J1401" i="3"/>
  <c r="K1401" i="3"/>
  <c r="L1401" i="3"/>
  <c r="M1401" i="3"/>
  <c r="A1402" i="3"/>
  <c r="B1402" i="3"/>
  <c r="C1402" i="3"/>
  <c r="D1402" i="3"/>
  <c r="E1402" i="3"/>
  <c r="F1402" i="3"/>
  <c r="G1402" i="3"/>
  <c r="H1402" i="3"/>
  <c r="I1402" i="3"/>
  <c r="J1402" i="3"/>
  <c r="K1402" i="3"/>
  <c r="L1402" i="3"/>
  <c r="M1402" i="3"/>
  <c r="A1403" i="3"/>
  <c r="B1403" i="3"/>
  <c r="C1403" i="3"/>
  <c r="D1403" i="3"/>
  <c r="E1403" i="3"/>
  <c r="F1403" i="3"/>
  <c r="G1403" i="3"/>
  <c r="H1403" i="3"/>
  <c r="I1403" i="3"/>
  <c r="J1403" i="3"/>
  <c r="K1403" i="3"/>
  <c r="L1403" i="3"/>
  <c r="M1403" i="3"/>
  <c r="A1404" i="3"/>
  <c r="B1404" i="3"/>
  <c r="C1404" i="3"/>
  <c r="D1404" i="3"/>
  <c r="E1404" i="3"/>
  <c r="F1404" i="3"/>
  <c r="G1404" i="3"/>
  <c r="H1404" i="3"/>
  <c r="I1404" i="3"/>
  <c r="J1404" i="3"/>
  <c r="K1404" i="3"/>
  <c r="L1404" i="3"/>
  <c r="M1404" i="3"/>
  <c r="A1405" i="3"/>
  <c r="B1405" i="3"/>
  <c r="C1405" i="3"/>
  <c r="D1405" i="3"/>
  <c r="E1405" i="3"/>
  <c r="F1405" i="3"/>
  <c r="G1405" i="3"/>
  <c r="H1405" i="3"/>
  <c r="I1405" i="3"/>
  <c r="J1405" i="3"/>
  <c r="K1405" i="3"/>
  <c r="L1405" i="3"/>
  <c r="M1405" i="3"/>
  <c r="A1406" i="3"/>
  <c r="B1406" i="3"/>
  <c r="C1406" i="3"/>
  <c r="D1406" i="3"/>
  <c r="E1406" i="3"/>
  <c r="F1406" i="3"/>
  <c r="G1406" i="3"/>
  <c r="H1406" i="3"/>
  <c r="I1406" i="3"/>
  <c r="J1406" i="3"/>
  <c r="K1406" i="3"/>
  <c r="L1406" i="3"/>
  <c r="M1406" i="3"/>
  <c r="A1407" i="3"/>
  <c r="B1407" i="3"/>
  <c r="C1407" i="3"/>
  <c r="D1407" i="3"/>
  <c r="E1407" i="3"/>
  <c r="F1407" i="3"/>
  <c r="G1407" i="3"/>
  <c r="H1407" i="3"/>
  <c r="I1407" i="3"/>
  <c r="J1407" i="3"/>
  <c r="K1407" i="3"/>
  <c r="L1407" i="3"/>
  <c r="M1407" i="3"/>
  <c r="A1408" i="3"/>
  <c r="B1408" i="3"/>
  <c r="C1408" i="3"/>
  <c r="D1408" i="3"/>
  <c r="E1408" i="3"/>
  <c r="F1408" i="3"/>
  <c r="G1408" i="3"/>
  <c r="H1408" i="3"/>
  <c r="I1408" i="3"/>
  <c r="J1408" i="3"/>
  <c r="K1408" i="3"/>
  <c r="L1408" i="3"/>
  <c r="M1408" i="3"/>
  <c r="A1409" i="3"/>
  <c r="B1409" i="3"/>
  <c r="C1409" i="3"/>
  <c r="D1409" i="3"/>
  <c r="E1409" i="3"/>
  <c r="F1409" i="3"/>
  <c r="G1409" i="3"/>
  <c r="H1409" i="3"/>
  <c r="I1409" i="3"/>
  <c r="J1409" i="3"/>
  <c r="K1409" i="3"/>
  <c r="L1409" i="3"/>
  <c r="M1409" i="3"/>
  <c r="A1410" i="3"/>
  <c r="B1410" i="3"/>
  <c r="C1410" i="3"/>
  <c r="D1410" i="3"/>
  <c r="E1410" i="3"/>
  <c r="F1410" i="3"/>
  <c r="G1410" i="3"/>
  <c r="H1410" i="3"/>
  <c r="I1410" i="3"/>
  <c r="J1410" i="3"/>
  <c r="K1410" i="3"/>
  <c r="L1410" i="3"/>
  <c r="M1410" i="3"/>
  <c r="A1411" i="3"/>
  <c r="B1411" i="3"/>
  <c r="C1411" i="3"/>
  <c r="D1411" i="3"/>
  <c r="E1411" i="3"/>
  <c r="F1411" i="3"/>
  <c r="G1411" i="3"/>
  <c r="H1411" i="3"/>
  <c r="I1411" i="3"/>
  <c r="J1411" i="3"/>
  <c r="K1411" i="3"/>
  <c r="L1411" i="3"/>
  <c r="M1411" i="3"/>
  <c r="A1412" i="3"/>
  <c r="B1412" i="3"/>
  <c r="C1412" i="3"/>
  <c r="D1412" i="3"/>
  <c r="E1412" i="3"/>
  <c r="F1412" i="3"/>
  <c r="G1412" i="3"/>
  <c r="H1412" i="3"/>
  <c r="I1412" i="3"/>
  <c r="J1412" i="3"/>
  <c r="K1412" i="3"/>
  <c r="L1412" i="3"/>
  <c r="M1412" i="3"/>
  <c r="A1413" i="3"/>
  <c r="B1413" i="3"/>
  <c r="C1413" i="3"/>
  <c r="D1413" i="3"/>
  <c r="E1413" i="3"/>
  <c r="F1413" i="3"/>
  <c r="G1413" i="3"/>
  <c r="H1413" i="3"/>
  <c r="I1413" i="3"/>
  <c r="J1413" i="3"/>
  <c r="K1413" i="3"/>
  <c r="L1413" i="3"/>
  <c r="M1413" i="3"/>
  <c r="A1414" i="3"/>
  <c r="B1414" i="3"/>
  <c r="C1414" i="3"/>
  <c r="D1414" i="3"/>
  <c r="E1414" i="3"/>
  <c r="F1414" i="3"/>
  <c r="G1414" i="3"/>
  <c r="H1414" i="3"/>
  <c r="I1414" i="3"/>
  <c r="J1414" i="3"/>
  <c r="K1414" i="3"/>
  <c r="L1414" i="3"/>
  <c r="M1414" i="3"/>
  <c r="A1415" i="3"/>
  <c r="B1415" i="3"/>
  <c r="C1415" i="3"/>
  <c r="D1415" i="3"/>
  <c r="E1415" i="3"/>
  <c r="F1415" i="3"/>
  <c r="G1415" i="3"/>
  <c r="H1415" i="3"/>
  <c r="I1415" i="3"/>
  <c r="J1415" i="3"/>
  <c r="K1415" i="3"/>
  <c r="L1415" i="3"/>
  <c r="M1415" i="3"/>
  <c r="A1416" i="3"/>
  <c r="B1416" i="3"/>
  <c r="C1416" i="3"/>
  <c r="D1416" i="3"/>
  <c r="E1416" i="3"/>
  <c r="F1416" i="3"/>
  <c r="G1416" i="3"/>
  <c r="H1416" i="3"/>
  <c r="I1416" i="3"/>
  <c r="J1416" i="3"/>
  <c r="K1416" i="3"/>
  <c r="L1416" i="3"/>
  <c r="M1416" i="3"/>
  <c r="A1417" i="3"/>
  <c r="B1417" i="3"/>
  <c r="C1417" i="3"/>
  <c r="D1417" i="3"/>
  <c r="E1417" i="3"/>
  <c r="F1417" i="3"/>
  <c r="G1417" i="3"/>
  <c r="H1417" i="3"/>
  <c r="I1417" i="3"/>
  <c r="J1417" i="3"/>
  <c r="K1417" i="3"/>
  <c r="L1417" i="3"/>
  <c r="M1417" i="3"/>
  <c r="A1418" i="3"/>
  <c r="B1418" i="3"/>
  <c r="C1418" i="3"/>
  <c r="D1418" i="3"/>
  <c r="E1418" i="3"/>
  <c r="F1418" i="3"/>
  <c r="G1418" i="3"/>
  <c r="H1418" i="3"/>
  <c r="I1418" i="3"/>
  <c r="J1418" i="3"/>
  <c r="K1418" i="3"/>
  <c r="L1418" i="3"/>
  <c r="M1418" i="3"/>
  <c r="A1419" i="3"/>
  <c r="B1419" i="3"/>
  <c r="C1419" i="3"/>
  <c r="D1419" i="3"/>
  <c r="E1419" i="3"/>
  <c r="F1419" i="3"/>
  <c r="G1419" i="3"/>
  <c r="H1419" i="3"/>
  <c r="I1419" i="3"/>
  <c r="J1419" i="3"/>
  <c r="K1419" i="3"/>
  <c r="L1419" i="3"/>
  <c r="M1419" i="3"/>
  <c r="A1420" i="3"/>
  <c r="B1420" i="3"/>
  <c r="C1420" i="3"/>
  <c r="D1420" i="3"/>
  <c r="E1420" i="3"/>
  <c r="F1420" i="3"/>
  <c r="G1420" i="3"/>
  <c r="H1420" i="3"/>
  <c r="I1420" i="3"/>
  <c r="J1420" i="3"/>
  <c r="K1420" i="3"/>
  <c r="L1420" i="3"/>
  <c r="M1420" i="3"/>
  <c r="A1421" i="3"/>
  <c r="B1421" i="3"/>
  <c r="C1421" i="3"/>
  <c r="D1421" i="3"/>
  <c r="E1421" i="3"/>
  <c r="F1421" i="3"/>
  <c r="G1421" i="3"/>
  <c r="H1421" i="3"/>
  <c r="I1421" i="3"/>
  <c r="J1421" i="3"/>
  <c r="K1421" i="3"/>
  <c r="L1421" i="3"/>
  <c r="M1421" i="3"/>
  <c r="A1422" i="3"/>
  <c r="B1422" i="3"/>
  <c r="C1422" i="3"/>
  <c r="D1422" i="3"/>
  <c r="E1422" i="3"/>
  <c r="F1422" i="3"/>
  <c r="G1422" i="3"/>
  <c r="H1422" i="3"/>
  <c r="I1422" i="3"/>
  <c r="J1422" i="3"/>
  <c r="K1422" i="3"/>
  <c r="L1422" i="3"/>
  <c r="M1422" i="3"/>
  <c r="A1423" i="3"/>
  <c r="B1423" i="3"/>
  <c r="C1423" i="3"/>
  <c r="D1423" i="3"/>
  <c r="E1423" i="3"/>
  <c r="F1423" i="3"/>
  <c r="G1423" i="3"/>
  <c r="H1423" i="3"/>
  <c r="I1423" i="3"/>
  <c r="J1423" i="3"/>
  <c r="K1423" i="3"/>
  <c r="L1423" i="3"/>
  <c r="M1423" i="3"/>
  <c r="A1424" i="3"/>
  <c r="B1424" i="3"/>
  <c r="C1424" i="3"/>
  <c r="D1424" i="3"/>
  <c r="E1424" i="3"/>
  <c r="F1424" i="3"/>
  <c r="G1424" i="3"/>
  <c r="H1424" i="3"/>
  <c r="I1424" i="3"/>
  <c r="J1424" i="3"/>
  <c r="K1424" i="3"/>
  <c r="L1424" i="3"/>
  <c r="M1424" i="3"/>
  <c r="A1425" i="3"/>
  <c r="B1425" i="3"/>
  <c r="C1425" i="3"/>
  <c r="D1425" i="3"/>
  <c r="E1425" i="3"/>
  <c r="F1425" i="3"/>
  <c r="G1425" i="3"/>
  <c r="H1425" i="3"/>
  <c r="I1425" i="3"/>
  <c r="J1425" i="3"/>
  <c r="K1425" i="3"/>
  <c r="L1425" i="3"/>
  <c r="M1425" i="3"/>
  <c r="A1426" i="3"/>
  <c r="B1426" i="3"/>
  <c r="C1426" i="3"/>
  <c r="D1426" i="3"/>
  <c r="E1426" i="3"/>
  <c r="F1426" i="3"/>
  <c r="G1426" i="3"/>
  <c r="H1426" i="3"/>
  <c r="I1426" i="3"/>
  <c r="J1426" i="3"/>
  <c r="K1426" i="3"/>
  <c r="L1426" i="3"/>
  <c r="M1426" i="3"/>
  <c r="A1427" i="3"/>
  <c r="B1427" i="3"/>
  <c r="C1427" i="3"/>
  <c r="D1427" i="3"/>
  <c r="E1427" i="3"/>
  <c r="F1427" i="3"/>
  <c r="G1427" i="3"/>
  <c r="H1427" i="3"/>
  <c r="I1427" i="3"/>
  <c r="J1427" i="3"/>
  <c r="K1427" i="3"/>
  <c r="L1427" i="3"/>
  <c r="M1427" i="3"/>
  <c r="A1428" i="3"/>
  <c r="B1428" i="3"/>
  <c r="C1428" i="3"/>
  <c r="D1428" i="3"/>
  <c r="E1428" i="3"/>
  <c r="F1428" i="3"/>
  <c r="G1428" i="3"/>
  <c r="H1428" i="3"/>
  <c r="I1428" i="3"/>
  <c r="J1428" i="3"/>
  <c r="K1428" i="3"/>
  <c r="L1428" i="3"/>
  <c r="M1428" i="3"/>
  <c r="A1429" i="3"/>
  <c r="B1429" i="3"/>
  <c r="C1429" i="3"/>
  <c r="D1429" i="3"/>
  <c r="E1429" i="3"/>
  <c r="F1429" i="3"/>
  <c r="G1429" i="3"/>
  <c r="H1429" i="3"/>
  <c r="I1429" i="3"/>
  <c r="J1429" i="3"/>
  <c r="K1429" i="3"/>
  <c r="L1429" i="3"/>
  <c r="M1429" i="3"/>
  <c r="A1430" i="3"/>
  <c r="B1430" i="3"/>
  <c r="C1430" i="3"/>
  <c r="D1430" i="3"/>
  <c r="E1430" i="3"/>
  <c r="F1430" i="3"/>
  <c r="G1430" i="3"/>
  <c r="H1430" i="3"/>
  <c r="I1430" i="3"/>
  <c r="J1430" i="3"/>
  <c r="K1430" i="3"/>
  <c r="L1430" i="3"/>
  <c r="M1430" i="3"/>
  <c r="A1431" i="3"/>
  <c r="B1431" i="3"/>
  <c r="C1431" i="3"/>
  <c r="D1431" i="3"/>
  <c r="E1431" i="3"/>
  <c r="F1431" i="3"/>
  <c r="G1431" i="3"/>
  <c r="H1431" i="3"/>
  <c r="I1431" i="3"/>
  <c r="J1431" i="3"/>
  <c r="K1431" i="3"/>
  <c r="L1431" i="3"/>
  <c r="M1431" i="3"/>
  <c r="A1432" i="3"/>
  <c r="B1432" i="3"/>
  <c r="C1432" i="3"/>
  <c r="D1432" i="3"/>
  <c r="E1432" i="3"/>
  <c r="F1432" i="3"/>
  <c r="G1432" i="3"/>
  <c r="H1432" i="3"/>
  <c r="I1432" i="3"/>
  <c r="J1432" i="3"/>
  <c r="K1432" i="3"/>
  <c r="L1432" i="3"/>
  <c r="M1432" i="3"/>
  <c r="A1433" i="3"/>
  <c r="B1433" i="3"/>
  <c r="C1433" i="3"/>
  <c r="D1433" i="3"/>
  <c r="E1433" i="3"/>
  <c r="F1433" i="3"/>
  <c r="G1433" i="3"/>
  <c r="H1433" i="3"/>
  <c r="I1433" i="3"/>
  <c r="J1433" i="3"/>
  <c r="K1433" i="3"/>
  <c r="L1433" i="3"/>
  <c r="M1433" i="3"/>
  <c r="A1434" i="3"/>
  <c r="B1434" i="3"/>
  <c r="C1434" i="3"/>
  <c r="D1434" i="3"/>
  <c r="E1434" i="3"/>
  <c r="F1434" i="3"/>
  <c r="G1434" i="3"/>
  <c r="H1434" i="3"/>
  <c r="I1434" i="3"/>
  <c r="J1434" i="3"/>
  <c r="K1434" i="3"/>
  <c r="L1434" i="3"/>
  <c r="M1434" i="3"/>
  <c r="A1435" i="3"/>
  <c r="B1435" i="3"/>
  <c r="C1435" i="3"/>
  <c r="D1435" i="3"/>
  <c r="E1435" i="3"/>
  <c r="F1435" i="3"/>
  <c r="G1435" i="3"/>
  <c r="H1435" i="3"/>
  <c r="I1435" i="3"/>
  <c r="J1435" i="3"/>
  <c r="K1435" i="3"/>
  <c r="L1435" i="3"/>
  <c r="M1435" i="3"/>
  <c r="A1436" i="3"/>
  <c r="B1436" i="3"/>
  <c r="C1436" i="3"/>
  <c r="D1436" i="3"/>
  <c r="E1436" i="3"/>
  <c r="F1436" i="3"/>
  <c r="G1436" i="3"/>
  <c r="H1436" i="3"/>
  <c r="I1436" i="3"/>
  <c r="J1436" i="3"/>
  <c r="K1436" i="3"/>
  <c r="L1436" i="3"/>
  <c r="M1436" i="3"/>
  <c r="A1437" i="3"/>
  <c r="B1437" i="3"/>
  <c r="C1437" i="3"/>
  <c r="D1437" i="3"/>
  <c r="E1437" i="3"/>
  <c r="F1437" i="3"/>
  <c r="G1437" i="3"/>
  <c r="H1437" i="3"/>
  <c r="I1437" i="3"/>
  <c r="J1437" i="3"/>
  <c r="K1437" i="3"/>
  <c r="L1437" i="3"/>
  <c r="M1437" i="3"/>
  <c r="A1438" i="3"/>
  <c r="B1438" i="3"/>
  <c r="C1438" i="3"/>
  <c r="D1438" i="3"/>
  <c r="E1438" i="3"/>
  <c r="F1438" i="3"/>
  <c r="G1438" i="3"/>
  <c r="H1438" i="3"/>
  <c r="I1438" i="3"/>
  <c r="J1438" i="3"/>
  <c r="K1438" i="3"/>
  <c r="L1438" i="3"/>
  <c r="M1438" i="3"/>
  <c r="A1439" i="3"/>
  <c r="B1439" i="3"/>
  <c r="C1439" i="3"/>
  <c r="D1439" i="3"/>
  <c r="E1439" i="3"/>
  <c r="F1439" i="3"/>
  <c r="G1439" i="3"/>
  <c r="H1439" i="3"/>
  <c r="I1439" i="3"/>
  <c r="J1439" i="3"/>
  <c r="K1439" i="3"/>
  <c r="L1439" i="3"/>
  <c r="M1439" i="3"/>
  <c r="A1440" i="3"/>
  <c r="B1440" i="3"/>
  <c r="C1440" i="3"/>
  <c r="D1440" i="3"/>
  <c r="E1440" i="3"/>
  <c r="F1440" i="3"/>
  <c r="G1440" i="3"/>
  <c r="H1440" i="3"/>
  <c r="I1440" i="3"/>
  <c r="J1440" i="3"/>
  <c r="K1440" i="3"/>
  <c r="L1440" i="3"/>
  <c r="M1440" i="3"/>
  <c r="A1441" i="3"/>
  <c r="B1441" i="3"/>
  <c r="C1441" i="3"/>
  <c r="D1441" i="3"/>
  <c r="E1441" i="3"/>
  <c r="F1441" i="3"/>
  <c r="G1441" i="3"/>
  <c r="H1441" i="3"/>
  <c r="I1441" i="3"/>
  <c r="J1441" i="3"/>
  <c r="K1441" i="3"/>
  <c r="L1441" i="3"/>
  <c r="M1441" i="3"/>
  <c r="A1442" i="3"/>
  <c r="B1442" i="3"/>
  <c r="C1442" i="3"/>
  <c r="D1442" i="3"/>
  <c r="E1442" i="3"/>
  <c r="F1442" i="3"/>
  <c r="G1442" i="3"/>
  <c r="H1442" i="3"/>
  <c r="I1442" i="3"/>
  <c r="J1442" i="3"/>
  <c r="K1442" i="3"/>
  <c r="L1442" i="3"/>
  <c r="M1442" i="3"/>
  <c r="A1443" i="3"/>
  <c r="B1443" i="3"/>
  <c r="C1443" i="3"/>
  <c r="D1443" i="3"/>
  <c r="E1443" i="3"/>
  <c r="F1443" i="3"/>
  <c r="G1443" i="3"/>
  <c r="H1443" i="3"/>
  <c r="I1443" i="3"/>
  <c r="J1443" i="3"/>
  <c r="K1443" i="3"/>
  <c r="L1443" i="3"/>
  <c r="M1443" i="3"/>
  <c r="A1444" i="3"/>
  <c r="B1444" i="3"/>
  <c r="C1444" i="3"/>
  <c r="D1444" i="3"/>
  <c r="E1444" i="3"/>
  <c r="F1444" i="3"/>
  <c r="G1444" i="3"/>
  <c r="H1444" i="3"/>
  <c r="I1444" i="3"/>
  <c r="J1444" i="3"/>
  <c r="K1444" i="3"/>
  <c r="L1444" i="3"/>
  <c r="M1444" i="3"/>
  <c r="A1445" i="3"/>
  <c r="B1445" i="3"/>
  <c r="C1445" i="3"/>
  <c r="D1445" i="3"/>
  <c r="E1445" i="3"/>
  <c r="F1445" i="3"/>
  <c r="G1445" i="3"/>
  <c r="H1445" i="3"/>
  <c r="I1445" i="3"/>
  <c r="J1445" i="3"/>
  <c r="K1445" i="3"/>
  <c r="L1445" i="3"/>
  <c r="M1445" i="3"/>
  <c r="A1446" i="3"/>
  <c r="B1446" i="3"/>
  <c r="C1446" i="3"/>
  <c r="D1446" i="3"/>
  <c r="E1446" i="3"/>
  <c r="F1446" i="3"/>
  <c r="G1446" i="3"/>
  <c r="H1446" i="3"/>
  <c r="I1446" i="3"/>
  <c r="J1446" i="3"/>
  <c r="K1446" i="3"/>
  <c r="L1446" i="3"/>
  <c r="M1446" i="3"/>
  <c r="A1447" i="3"/>
  <c r="B1447" i="3"/>
  <c r="C1447" i="3"/>
  <c r="D1447" i="3"/>
  <c r="E1447" i="3"/>
  <c r="F1447" i="3"/>
  <c r="G1447" i="3"/>
  <c r="H1447" i="3"/>
  <c r="I1447" i="3"/>
  <c r="J1447" i="3"/>
  <c r="K1447" i="3"/>
  <c r="L1447" i="3"/>
  <c r="M1447" i="3"/>
  <c r="A1448" i="3"/>
  <c r="B1448" i="3"/>
  <c r="C1448" i="3"/>
  <c r="D1448" i="3"/>
  <c r="E1448" i="3"/>
  <c r="F1448" i="3"/>
  <c r="G1448" i="3"/>
  <c r="H1448" i="3"/>
  <c r="I1448" i="3"/>
  <c r="J1448" i="3"/>
  <c r="K1448" i="3"/>
  <c r="L1448" i="3"/>
  <c r="M1448" i="3"/>
  <c r="A1449" i="3"/>
  <c r="B1449" i="3"/>
  <c r="C1449" i="3"/>
  <c r="D1449" i="3"/>
  <c r="E1449" i="3"/>
  <c r="F1449" i="3"/>
  <c r="G1449" i="3"/>
  <c r="H1449" i="3"/>
  <c r="I1449" i="3"/>
  <c r="J1449" i="3"/>
  <c r="K1449" i="3"/>
  <c r="L1449" i="3"/>
  <c r="M1449" i="3"/>
  <c r="A1450" i="3"/>
  <c r="B1450" i="3"/>
  <c r="C1450" i="3"/>
  <c r="D1450" i="3"/>
  <c r="E1450" i="3"/>
  <c r="F1450" i="3"/>
  <c r="G1450" i="3"/>
  <c r="H1450" i="3"/>
  <c r="I1450" i="3"/>
  <c r="J1450" i="3"/>
  <c r="K1450" i="3"/>
  <c r="L1450" i="3"/>
  <c r="M1450" i="3"/>
  <c r="A1451" i="3"/>
  <c r="B1451" i="3"/>
  <c r="C1451" i="3"/>
  <c r="D1451" i="3"/>
  <c r="E1451" i="3"/>
  <c r="F1451" i="3"/>
  <c r="G1451" i="3"/>
  <c r="H1451" i="3"/>
  <c r="I1451" i="3"/>
  <c r="J1451" i="3"/>
  <c r="K1451" i="3"/>
  <c r="L1451" i="3"/>
  <c r="M1451" i="3"/>
  <c r="A1452" i="3"/>
  <c r="B1452" i="3"/>
  <c r="C1452" i="3"/>
  <c r="D1452" i="3"/>
  <c r="E1452" i="3"/>
  <c r="F1452" i="3"/>
  <c r="G1452" i="3"/>
  <c r="H1452" i="3"/>
  <c r="I1452" i="3"/>
  <c r="J1452" i="3"/>
  <c r="K1452" i="3"/>
  <c r="L1452" i="3"/>
  <c r="M1452" i="3"/>
  <c r="A1453" i="3"/>
  <c r="B1453" i="3"/>
  <c r="C1453" i="3"/>
  <c r="D1453" i="3"/>
  <c r="E1453" i="3"/>
  <c r="F1453" i="3"/>
  <c r="G1453" i="3"/>
  <c r="H1453" i="3"/>
  <c r="I1453" i="3"/>
  <c r="J1453" i="3"/>
  <c r="K1453" i="3"/>
  <c r="L1453" i="3"/>
  <c r="M1453" i="3"/>
  <c r="A1454" i="3"/>
  <c r="B1454" i="3"/>
  <c r="C1454" i="3"/>
  <c r="D1454" i="3"/>
  <c r="E1454" i="3"/>
  <c r="F1454" i="3"/>
  <c r="G1454" i="3"/>
  <c r="H1454" i="3"/>
  <c r="I1454" i="3"/>
  <c r="J1454" i="3"/>
  <c r="K1454" i="3"/>
  <c r="L1454" i="3"/>
  <c r="M1454" i="3"/>
  <c r="A1455" i="3"/>
  <c r="B1455" i="3"/>
  <c r="C1455" i="3"/>
  <c r="D1455" i="3"/>
  <c r="E1455" i="3"/>
  <c r="F1455" i="3"/>
  <c r="G1455" i="3"/>
  <c r="H1455" i="3"/>
  <c r="I1455" i="3"/>
  <c r="J1455" i="3"/>
  <c r="K1455" i="3"/>
  <c r="L1455" i="3"/>
  <c r="M1455" i="3"/>
  <c r="A1456" i="3"/>
  <c r="B1456" i="3"/>
  <c r="C1456" i="3"/>
  <c r="D1456" i="3"/>
  <c r="E1456" i="3"/>
  <c r="F1456" i="3"/>
  <c r="G1456" i="3"/>
  <c r="H1456" i="3"/>
  <c r="I1456" i="3"/>
  <c r="J1456" i="3"/>
  <c r="K1456" i="3"/>
  <c r="L1456" i="3"/>
  <c r="M1456" i="3"/>
  <c r="A1457" i="3"/>
  <c r="B1457" i="3"/>
  <c r="C1457" i="3"/>
  <c r="D1457" i="3"/>
  <c r="E1457" i="3"/>
  <c r="F1457" i="3"/>
  <c r="G1457" i="3"/>
  <c r="H1457" i="3"/>
  <c r="I1457" i="3"/>
  <c r="J1457" i="3"/>
  <c r="K1457" i="3"/>
  <c r="L1457" i="3"/>
  <c r="M1457" i="3"/>
  <c r="A1458" i="3"/>
  <c r="B1458" i="3"/>
  <c r="C1458" i="3"/>
  <c r="D1458" i="3"/>
  <c r="E1458" i="3"/>
  <c r="F1458" i="3"/>
  <c r="G1458" i="3"/>
  <c r="H1458" i="3"/>
  <c r="I1458" i="3"/>
  <c r="J1458" i="3"/>
  <c r="K1458" i="3"/>
  <c r="L1458" i="3"/>
  <c r="M1458" i="3"/>
  <c r="A1459" i="3"/>
  <c r="B1459" i="3"/>
  <c r="C1459" i="3"/>
  <c r="D1459" i="3"/>
  <c r="E1459" i="3"/>
  <c r="F1459" i="3"/>
  <c r="G1459" i="3"/>
  <c r="H1459" i="3"/>
  <c r="I1459" i="3"/>
  <c r="J1459" i="3"/>
  <c r="K1459" i="3"/>
  <c r="L1459" i="3"/>
  <c r="M1459" i="3"/>
  <c r="A1460" i="3"/>
  <c r="B1460" i="3"/>
  <c r="C1460" i="3"/>
  <c r="D1460" i="3"/>
  <c r="E1460" i="3"/>
  <c r="F1460" i="3"/>
  <c r="G1460" i="3"/>
  <c r="H1460" i="3"/>
  <c r="I1460" i="3"/>
  <c r="J1460" i="3"/>
  <c r="K1460" i="3"/>
  <c r="L1460" i="3"/>
  <c r="M1460" i="3"/>
  <c r="A1461" i="3"/>
  <c r="B1461" i="3"/>
  <c r="C1461" i="3"/>
  <c r="D1461" i="3"/>
  <c r="E1461" i="3"/>
  <c r="F1461" i="3"/>
  <c r="G1461" i="3"/>
  <c r="H1461" i="3"/>
  <c r="I1461" i="3"/>
  <c r="J1461" i="3"/>
  <c r="K1461" i="3"/>
  <c r="L1461" i="3"/>
  <c r="M1461" i="3"/>
  <c r="A1462" i="3"/>
  <c r="B1462" i="3"/>
  <c r="C1462" i="3"/>
  <c r="D1462" i="3"/>
  <c r="E1462" i="3"/>
  <c r="F1462" i="3"/>
  <c r="G1462" i="3"/>
  <c r="H1462" i="3"/>
  <c r="I1462" i="3"/>
  <c r="J1462" i="3"/>
  <c r="K1462" i="3"/>
  <c r="L1462" i="3"/>
  <c r="M1462" i="3"/>
  <c r="A1463" i="3"/>
  <c r="B1463" i="3"/>
  <c r="C1463" i="3"/>
  <c r="D1463" i="3"/>
  <c r="E1463" i="3"/>
  <c r="F1463" i="3"/>
  <c r="G1463" i="3"/>
  <c r="H1463" i="3"/>
  <c r="I1463" i="3"/>
  <c r="J1463" i="3"/>
  <c r="K1463" i="3"/>
  <c r="L1463" i="3"/>
  <c r="M1463" i="3"/>
  <c r="A1464" i="3"/>
  <c r="B1464" i="3"/>
  <c r="C1464" i="3"/>
  <c r="D1464" i="3"/>
  <c r="E1464" i="3"/>
  <c r="F1464" i="3"/>
  <c r="G1464" i="3"/>
  <c r="H1464" i="3"/>
  <c r="I1464" i="3"/>
  <c r="J1464" i="3"/>
  <c r="K1464" i="3"/>
  <c r="L1464" i="3"/>
  <c r="M1464" i="3"/>
  <c r="A1465" i="3"/>
  <c r="B1465" i="3"/>
  <c r="C1465" i="3"/>
  <c r="D1465" i="3"/>
  <c r="E1465" i="3"/>
  <c r="F1465" i="3"/>
  <c r="G1465" i="3"/>
  <c r="H1465" i="3"/>
  <c r="I1465" i="3"/>
  <c r="J1465" i="3"/>
  <c r="K1465" i="3"/>
  <c r="L1465" i="3"/>
  <c r="M1465" i="3"/>
  <c r="A1466" i="3"/>
  <c r="B1466" i="3"/>
  <c r="C1466" i="3"/>
  <c r="D1466" i="3"/>
  <c r="E1466" i="3"/>
  <c r="F1466" i="3"/>
  <c r="G1466" i="3"/>
  <c r="H1466" i="3"/>
  <c r="I1466" i="3"/>
  <c r="J1466" i="3"/>
  <c r="K1466" i="3"/>
  <c r="L1466" i="3"/>
  <c r="M1466" i="3"/>
  <c r="A1467" i="3"/>
  <c r="B1467" i="3"/>
  <c r="C1467" i="3"/>
  <c r="D1467" i="3"/>
  <c r="E1467" i="3"/>
  <c r="F1467" i="3"/>
  <c r="G1467" i="3"/>
  <c r="H1467" i="3"/>
  <c r="I1467" i="3"/>
  <c r="J1467" i="3"/>
  <c r="K1467" i="3"/>
  <c r="L1467" i="3"/>
  <c r="M1467" i="3"/>
  <c r="A1468" i="3"/>
  <c r="B1468" i="3"/>
  <c r="C1468" i="3"/>
  <c r="D1468" i="3"/>
  <c r="E1468" i="3"/>
  <c r="F1468" i="3"/>
  <c r="G1468" i="3"/>
  <c r="H1468" i="3"/>
  <c r="I1468" i="3"/>
  <c r="J1468" i="3"/>
  <c r="K1468" i="3"/>
  <c r="L1468" i="3"/>
  <c r="M1468" i="3"/>
  <c r="A1469" i="3"/>
  <c r="B1469" i="3"/>
  <c r="C1469" i="3"/>
  <c r="D1469" i="3"/>
  <c r="E1469" i="3"/>
  <c r="F1469" i="3"/>
  <c r="G1469" i="3"/>
  <c r="H1469" i="3"/>
  <c r="I1469" i="3"/>
  <c r="J1469" i="3"/>
  <c r="K1469" i="3"/>
  <c r="L1469" i="3"/>
  <c r="M1469" i="3"/>
  <c r="A1470" i="3"/>
  <c r="B1470" i="3"/>
  <c r="C1470" i="3"/>
  <c r="D1470" i="3"/>
  <c r="E1470" i="3"/>
  <c r="F1470" i="3"/>
  <c r="G1470" i="3"/>
  <c r="H1470" i="3"/>
  <c r="I1470" i="3"/>
  <c r="J1470" i="3"/>
  <c r="K1470" i="3"/>
  <c r="L1470" i="3"/>
  <c r="M1470" i="3"/>
  <c r="A1471" i="3"/>
  <c r="B1471" i="3"/>
  <c r="C1471" i="3"/>
  <c r="D1471" i="3"/>
  <c r="E1471" i="3"/>
  <c r="F1471" i="3"/>
  <c r="G1471" i="3"/>
  <c r="H1471" i="3"/>
  <c r="I1471" i="3"/>
  <c r="J1471" i="3"/>
  <c r="K1471" i="3"/>
  <c r="L1471" i="3"/>
  <c r="M1471" i="3"/>
  <c r="B2" i="3"/>
  <c r="C2" i="3"/>
  <c r="D2" i="3"/>
  <c r="E2" i="3"/>
  <c r="F2" i="3"/>
  <c r="G2" i="3"/>
  <c r="H2" i="3"/>
  <c r="I2" i="3"/>
  <c r="J2" i="3"/>
  <c r="K2" i="3"/>
  <c r="L2" i="3"/>
  <c r="M2" i="3"/>
  <c r="A2" i="3"/>
</calcChain>
</file>

<file path=xl/sharedStrings.xml><?xml version="1.0" encoding="utf-8"?>
<sst xmlns="http://schemas.openxmlformats.org/spreadsheetml/2006/main" count="6012" uniqueCount="93">
  <si>
    <t>Age</t>
  </si>
  <si>
    <t>Attrition</t>
  </si>
  <si>
    <t>Department</t>
  </si>
  <si>
    <t>DistanceFromHome</t>
  </si>
  <si>
    <t>Education</t>
  </si>
  <si>
    <t>EducationField</t>
  </si>
  <si>
    <t>EnvironmentSatisfaction</t>
  </si>
  <si>
    <t>JobSatisfaction</t>
  </si>
  <si>
    <t>MaritalStatus</t>
  </si>
  <si>
    <t>MonthlyIncome</t>
  </si>
  <si>
    <t>NumCompaniesWorked</t>
  </si>
  <si>
    <t>WorkLifeBalance</t>
  </si>
  <si>
    <t>YearsAtCompany</t>
  </si>
  <si>
    <t>Yes</t>
  </si>
  <si>
    <t>Sales</t>
  </si>
  <si>
    <t>Life Sciences</t>
  </si>
  <si>
    <t>Single</t>
  </si>
  <si>
    <t>No</t>
  </si>
  <si>
    <t>Research &amp; Development</t>
  </si>
  <si>
    <t>Married</t>
  </si>
  <si>
    <t>Other</t>
  </si>
  <si>
    <t>Medical</t>
  </si>
  <si>
    <t>Divorced</t>
  </si>
  <si>
    <t>Marketing</t>
  </si>
  <si>
    <t>Technical Degree</t>
  </si>
  <si>
    <t>Human Resources</t>
  </si>
  <si>
    <t>AttritionFlag</t>
  </si>
  <si>
    <t>AgeGroup</t>
  </si>
  <si>
    <t>IncomeBand</t>
  </si>
  <si>
    <t>TenureGroup</t>
  </si>
  <si>
    <t>SatisfactionAvg</t>
  </si>
  <si>
    <t>EducationLabel</t>
  </si>
  <si>
    <t>EnvSatisfactionLabel</t>
  </si>
  <si>
    <t>JobSatisfactionLabel</t>
  </si>
  <si>
    <t>WLBLabel</t>
  </si>
  <si>
    <t>Assumption</t>
  </si>
  <si>
    <t>Value</t>
  </si>
  <si>
    <t>Note</t>
  </si>
  <si>
    <t>Age band 1 max (Exclusive)</t>
  </si>
  <si>
    <t>Age &lt; this = "&lt;25"</t>
  </si>
  <si>
    <t>Age band 2 max (Inclusive)</t>
  </si>
  <si>
    <t>Age &lt;= this = "25-34"</t>
  </si>
  <si>
    <t>Age band 3 max (Inclusive)</t>
  </si>
  <si>
    <t>Age &lt;= this = "35-44"</t>
  </si>
  <si>
    <t>Age band 4 max (Inclusive)</t>
  </si>
  <si>
    <t>Age &lt;= this = "45-54"; above = "55+"</t>
  </si>
  <si>
    <t>Income low max (Exclusive)</t>
  </si>
  <si>
    <t>MonthlyIncome &lt; this = "Low"</t>
  </si>
  <si>
    <t>Income medium max (Inclusive)</t>
  </si>
  <si>
    <t>MonthlyIncome &lt;= this = "Medium"; above = "High"</t>
  </si>
  <si>
    <t>Tenure new max (Exclusive)</t>
  </si>
  <si>
    <t>YearsAtCompany &lt; this = "New (0-2)"</t>
  </si>
  <si>
    <t>Tenure early max (Inxclusive)</t>
  </si>
  <si>
    <t>YearsAtCompany &lt;= this = "Early (2-5)"</t>
  </si>
  <si>
    <t>Tenure established  max (Inxclusive)</t>
  </si>
  <si>
    <t>YearsAtCompany &lt;= this = "Established (5-10)"; above = "Veteran (10+)"</t>
  </si>
  <si>
    <t>EducationCode</t>
  </si>
  <si>
    <t>SatisfactionCode</t>
  </si>
  <si>
    <t>SatisfactionLabel</t>
  </si>
  <si>
    <t>AgeLowerBound</t>
  </si>
  <si>
    <t>AgeGroupLabel</t>
  </si>
  <si>
    <t>IncomeLowerBound</t>
  </si>
  <si>
    <t>IncomeBandLabel</t>
  </si>
  <si>
    <t>TenureLowerBound</t>
  </si>
  <si>
    <t>TenureGroupLabel</t>
  </si>
  <si>
    <t>Below College</t>
  </si>
  <si>
    <t>Low</t>
  </si>
  <si>
    <t>&lt;25</t>
  </si>
  <si>
    <t>New (0-2)</t>
  </si>
  <si>
    <t>College</t>
  </si>
  <si>
    <t>Medium</t>
  </si>
  <si>
    <t>25-34</t>
  </si>
  <si>
    <t>Early (2-5)</t>
  </si>
  <si>
    <t>Bachelor</t>
  </si>
  <si>
    <t>High</t>
  </si>
  <si>
    <t>35-44</t>
  </si>
  <si>
    <t>Established (5-10)</t>
  </si>
  <si>
    <t>Master</t>
  </si>
  <si>
    <t>Very High</t>
  </si>
  <si>
    <t>45-54</t>
  </si>
  <si>
    <t>Veteran (10+)</t>
  </si>
  <si>
    <t>Doctor</t>
  </si>
  <si>
    <t>55+</t>
  </si>
  <si>
    <t>Average of AttritionFlag</t>
  </si>
  <si>
    <t>Grand Total</t>
  </si>
  <si>
    <t>Average of SatisfactionAvg</t>
  </si>
  <si>
    <t>Average of DistanceFromHome</t>
  </si>
  <si>
    <t>Average of NumCompaniesWorked</t>
  </si>
  <si>
    <t>HR Attrition Analysis Dashboard</t>
  </si>
  <si>
    <t>Total Employees</t>
  </si>
  <si>
    <t>Employees Who Left</t>
  </si>
  <si>
    <t>Overall Attrition Rate</t>
  </si>
  <si>
    <t>Avg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</si>
</sst>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FF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1"/>
      <color rgb="FFFFFFFF"/>
      <name val="Arial"/>
      <charset val="1"/>
    </font>
    <font>
      <sz val="48"/>
      <color theme="1"/>
      <name val="Calibri"/>
      <family val="2"/>
      <scheme val="minor"/>
    </font>
    <font>
      <sz val="48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33" borderId="0" xfId="0" applyFont="1" applyFill="1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164" fontId="0" fillId="0" borderId="0" xfId="0" applyNumberFormat="1"/>
    <xf numFmtId="0" fontId="19" fillId="0" borderId="0" xfId="0" applyFont="1"/>
    <xf numFmtId="0" fontId="20" fillId="0" borderId="0" xfId="0" applyFont="1"/>
    <xf numFmtId="0" fontId="21" fillId="34" borderId="0" xfId="0" applyFont="1" applyFill="1" applyAlignment="1">
      <alignment horizontal="center"/>
    </xf>
    <xf numFmtId="0" fontId="22" fillId="35" borderId="0" xfId="0" applyFont="1" applyFill="1" applyAlignment="1">
      <alignment horizontal="center"/>
    </xf>
    <xf numFmtId="0" fontId="0" fillId="0" borderId="0" xfId="0" pivotButton="1"/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0" fontId="23" fillId="0" borderId="0" xfId="0" applyFont="1" applyAlignment="1">
      <alignment vertical="center"/>
    </xf>
    <xf numFmtId="0" fontId="24" fillId="0" borderId="0" xfId="0" applyFont="1"/>
    <xf numFmtId="0" fontId="24" fillId="36" borderId="0" xfId="0" applyFont="1" applyFill="1" applyAlignment="1">
      <alignment horizontal="center"/>
    </xf>
    <xf numFmtId="0" fontId="26" fillId="37" borderId="0" xfId="0" applyFont="1" applyFill="1" applyAlignment="1">
      <alignment horizontal="center" vertical="center"/>
    </xf>
    <xf numFmtId="0" fontId="25" fillId="37" borderId="0" xfId="0" applyFont="1" applyFill="1" applyAlignment="1">
      <alignment horizontal="center" vertical="center"/>
    </xf>
    <xf numFmtId="10" fontId="26" fillId="37" borderId="0" xfId="0" applyNumberFormat="1" applyFont="1" applyFill="1" applyAlignment="1">
      <alignment horizontal="center" vertical="center"/>
    </xf>
    <xf numFmtId="2" fontId="26" fillId="37" borderId="0" xfId="0" applyNumberFormat="1" applyFont="1" applyFill="1" applyAlignment="1">
      <alignment horizontal="center" vertical="center"/>
    </xf>
    <xf numFmtId="0" fontId="16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[HR_Attrition_Analysis.xlsx..xlsx]PivotTables!PivotTable1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Attrition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PivotTables!$A$4:$A$7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PivotTables!$B$4:$B$7</c:f>
              <c:numCache>
                <c:formatCode>0.00%</c:formatCode>
                <c:ptCount val="3"/>
                <c:pt idx="0">
                  <c:v>0.20627802690582961</c:v>
                </c:pt>
                <c:pt idx="1">
                  <c:v>0.19047619047619047</c:v>
                </c:pt>
                <c:pt idx="2">
                  <c:v>0.13839750260145681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1-4A06-8061-ED33DA505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007816"/>
        <c:axId val="1878009864"/>
      </c:barChart>
      <c:catAx>
        <c:axId val="1878007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009864"/>
        <c:crosses val="autoZero"/>
        <c:auto val="1"/>
        <c:lblAlgn val="ctr"/>
        <c:lblOffset val="100"/>
        <c:noMultiLvlLbl val="0"/>
      </c:catAx>
      <c:valAx>
        <c:axId val="187800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007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[HR_Attrition_Analysis.xlsx..xlsx]PivotTables!PivotTable2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Attrition Per AgeGroup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PivotTables!$D$4:$D$9</c:f>
              <c:strCache>
                <c:ptCount val="5"/>
                <c:pt idx="0">
                  <c:v>&lt;25</c:v>
                </c:pt>
                <c:pt idx="1">
                  <c:v>25-34</c:v>
                </c:pt>
                <c:pt idx="2">
                  <c:v>55+</c:v>
                </c:pt>
                <c:pt idx="3">
                  <c:v>45-54</c:v>
                </c:pt>
                <c:pt idx="4">
                  <c:v>35-44</c:v>
                </c:pt>
              </c:strCache>
            </c:strRef>
          </c:cat>
          <c:val>
            <c:numRef>
              <c:f>PivotTables!$E$4:$E$9</c:f>
              <c:numCache>
                <c:formatCode>0.00%</c:formatCode>
                <c:ptCount val="5"/>
                <c:pt idx="0">
                  <c:v>0.39175257731958762</c:v>
                </c:pt>
                <c:pt idx="1">
                  <c:v>0.20216606498194944</c:v>
                </c:pt>
                <c:pt idx="2">
                  <c:v>0.15942028985507245</c:v>
                </c:pt>
                <c:pt idx="3">
                  <c:v>0.10204081632653061</c:v>
                </c:pt>
                <c:pt idx="4">
                  <c:v>0.100990099009901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9-453D-9836-9616CB7A4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39752"/>
        <c:axId val="60641800"/>
      </c:barChart>
      <c:catAx>
        <c:axId val="6063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41800"/>
        <c:crosses val="autoZero"/>
        <c:auto val="1"/>
        <c:lblAlgn val="ctr"/>
        <c:lblOffset val="100"/>
        <c:noMultiLvlLbl val="0"/>
      </c:catAx>
      <c:valAx>
        <c:axId val="6064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[HR_Attrition_Analysis.xlsx..xlsx]PivotTables!PivotTable3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Per Income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B8-4217-A031-42D8363C6A7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B8-4217-A031-42D8363C6A7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B8-4217-A031-42D8363C6A7C}"/>
              </c:ext>
            </c:extLst>
          </c:dPt>
          <c:cat>
            <c:strRef>
              <c:f>PivotTables!$G$4:$G$7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PivotTables!$H$4:$H$7</c:f>
              <c:numCache>
                <c:formatCode>0.00%</c:formatCode>
                <c:ptCount val="3"/>
                <c:pt idx="0">
                  <c:v>0.28607594936708863</c:v>
                </c:pt>
                <c:pt idx="1">
                  <c:v>0.1203125</c:v>
                </c:pt>
                <c:pt idx="2">
                  <c:v>0.10804597701149425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B8-4217-A031-42D8363C6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63444744"/>
        <c:axId val="963446792"/>
      </c:barChart>
      <c:catAx>
        <c:axId val="963444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446792"/>
        <c:crosses val="autoZero"/>
        <c:auto val="1"/>
        <c:lblAlgn val="ctr"/>
        <c:lblOffset val="100"/>
        <c:noMultiLvlLbl val="0"/>
      </c:catAx>
      <c:valAx>
        <c:axId val="96344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44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[HR_Attrition_Analysis.xlsx..xlsx]PivotTables!PivotTable4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Attrition Per Tenure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PivotTables!$A$13:$A$17</c:f>
              <c:strCache>
                <c:ptCount val="4"/>
                <c:pt idx="0">
                  <c:v>New (0-2)</c:v>
                </c:pt>
                <c:pt idx="1">
                  <c:v>Early (2-5)</c:v>
                </c:pt>
                <c:pt idx="2">
                  <c:v>Established (5-10)</c:v>
                </c:pt>
                <c:pt idx="3">
                  <c:v>Veteran (10+)</c:v>
                </c:pt>
              </c:strCache>
            </c:strRef>
          </c:cat>
          <c:val>
            <c:numRef>
              <c:f>PivotTables!$B$13:$B$17</c:f>
              <c:numCache>
                <c:formatCode>0.00%</c:formatCode>
                <c:ptCount val="4"/>
                <c:pt idx="0">
                  <c:v>0.34883720930232559</c:v>
                </c:pt>
                <c:pt idx="1">
                  <c:v>0.18082191780821918</c:v>
                </c:pt>
                <c:pt idx="2">
                  <c:v>0.11068702290076336</c:v>
                </c:pt>
                <c:pt idx="3">
                  <c:v>0.10382513661202186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9-4FE5-B6E4-30BF3A65C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632584"/>
        <c:axId val="60642824"/>
      </c:barChart>
      <c:catAx>
        <c:axId val="60632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42824"/>
        <c:crosses val="autoZero"/>
        <c:auto val="1"/>
        <c:lblAlgn val="ctr"/>
        <c:lblOffset val="100"/>
        <c:noMultiLvlLbl val="0"/>
      </c:catAx>
      <c:valAx>
        <c:axId val="60642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[HR_Attrition_Analysis.xlsx..xlsx]PivotTables!PivotTable5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Attrition Per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PivotTables!$D$13:$D$16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PivotTables!$E$13:$E$16</c:f>
              <c:numCache>
                <c:formatCode>0.00%</c:formatCode>
                <c:ptCount val="3"/>
                <c:pt idx="0" formatCode="0%">
                  <c:v>0.10091743119266056</c:v>
                </c:pt>
                <c:pt idx="1">
                  <c:v>0.12481426448736999</c:v>
                </c:pt>
                <c:pt idx="2">
                  <c:v>0.25531914893617019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D-406F-B30D-66FD56F87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4976008"/>
        <c:axId val="414978056"/>
      </c:barChart>
      <c:catAx>
        <c:axId val="414976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78056"/>
        <c:crosses val="autoZero"/>
        <c:auto val="1"/>
        <c:lblAlgn val="ctr"/>
        <c:lblOffset val="100"/>
        <c:noMultiLvlLbl val="0"/>
      </c:catAx>
      <c:valAx>
        <c:axId val="414978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7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[HR_Attrition_Analysis.xlsx..xlsx]PivotTables!PivotTable6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Drivers Analysis: Satisfaction vs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PivotTables!$H$12</c:f>
              <c:strCache>
                <c:ptCount val="1"/>
                <c:pt idx="0">
                  <c:v>Average of SatisfactionAvg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PivotTables!$G$13:$G$15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PivotTables!$H$13:$H$15</c:f>
              <c:numCache>
                <c:formatCode>0.0</c:formatCode>
                <c:ptCount val="2"/>
                <c:pt idx="0">
                  <c:v>2.7769667477696687</c:v>
                </c:pt>
                <c:pt idx="1">
                  <c:v>2.5302390998593545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3-499C-96F2-37190F5E5C01}"/>
            </c:ext>
          </c:extLst>
        </c:ser>
        <c:ser>
          <c:idx val="1"/>
          <c:order val="1"/>
          <c:tx>
            <c:strRef>
              <c:f>PivotTables!$I$12</c:f>
              <c:strCache>
                <c:ptCount val="1"/>
                <c:pt idx="0">
                  <c:v>Average of DistanceFromHome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PivotTables!$G$13:$G$15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PivotTables!$I$13:$I$15</c:f>
              <c:numCache>
                <c:formatCode>General</c:formatCode>
                <c:ptCount val="2"/>
                <c:pt idx="0">
                  <c:v>8.9156528791565286</c:v>
                </c:pt>
                <c:pt idx="1">
                  <c:v>10.632911392405063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33-499C-96F2-37190F5E5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417800"/>
        <c:axId val="128419848"/>
      </c:barChart>
      <c:lineChart>
        <c:grouping val="standard"/>
        <c:varyColors val="0"/>
        <c:ser>
          <c:idx val="2"/>
          <c:order val="2"/>
          <c:tx>
            <c:strRef>
              <c:f>PivotTables!$J$12</c:f>
              <c:strCache>
                <c:ptCount val="1"/>
                <c:pt idx="0">
                  <c:v>Average of NumCompaniesWorked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PivotTables!$G$13:$G$15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PivotTables!$J$13:$J$15</c:f>
              <c:numCache>
                <c:formatCode>General</c:formatCode>
                <c:ptCount val="2"/>
                <c:pt idx="0">
                  <c:v>2.6455798864557987</c:v>
                </c:pt>
                <c:pt idx="1">
                  <c:v>2.9409282700421939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33-499C-96F2-37190F5E5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9400"/>
        <c:axId val="6456328"/>
      </c:lineChart>
      <c:catAx>
        <c:axId val="128417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19848"/>
        <c:crosses val="autoZero"/>
        <c:auto val="1"/>
        <c:lblAlgn val="ctr"/>
        <c:lblOffset val="100"/>
        <c:noMultiLvlLbl val="0"/>
      </c:catAx>
      <c:valAx>
        <c:axId val="12841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17800"/>
        <c:crosses val="autoZero"/>
        <c:crossBetween val="between"/>
      </c:valAx>
      <c:valAx>
        <c:axId val="64563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400"/>
        <c:crosses val="max"/>
        <c:crossBetween val="between"/>
      </c:valAx>
      <c:catAx>
        <c:axId val="6459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56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9</xdr:col>
      <xdr:colOff>219075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84626-695A-4ECD-A095-6F7556E59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8</xdr:row>
      <xdr:rowOff>0</xdr:rowOff>
    </xdr:from>
    <xdr:to>
      <xdr:col>17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50CA9C-9C21-438C-BC78-B5070DBE7D53}"/>
            </a:ext>
            <a:ext uri="{147F2762-F138-4A5C-976F-8EAC2B608ADB}">
              <a16:predDERef xmlns:a16="http://schemas.microsoft.com/office/drawing/2014/main" pred="{07D84626-695A-4ECD-A095-6F7556E59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19050</xdr:colOff>
      <xdr:row>8</xdr:row>
      <xdr:rowOff>0</xdr:rowOff>
    </xdr:from>
    <xdr:to>
      <xdr:col>21</xdr:col>
      <xdr:colOff>600075</xdr:colOff>
      <xdr:row>19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48DA7E-4B45-4880-B290-0AB6B19D695C}"/>
            </a:ext>
            <a:ext uri="{147F2762-F138-4A5C-976F-8EAC2B608ADB}">
              <a16:predDERef xmlns:a16="http://schemas.microsoft.com/office/drawing/2014/main" pred="{0350CA9C-9C21-438C-BC78-B5070DBE7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8</xdr:col>
      <xdr:colOff>342900</xdr:colOff>
      <xdr:row>33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86A0E3-88E0-4A9D-A62A-C98D37D31C38}"/>
            </a:ext>
            <a:ext uri="{147F2762-F138-4A5C-976F-8EAC2B608ADB}">
              <a16:predDERef xmlns:a16="http://schemas.microsoft.com/office/drawing/2014/main" pred="{5648DA7E-4B45-4880-B290-0AB6B19D6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342900</xdr:colOff>
      <xdr:row>18</xdr:row>
      <xdr:rowOff>180975</xdr:rowOff>
    </xdr:from>
    <xdr:to>
      <xdr:col>15</xdr:col>
      <xdr:colOff>428625</xdr:colOff>
      <xdr:row>33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1EE297-8474-40FC-B069-31E490AD4DBD}"/>
            </a:ext>
            <a:ext uri="{147F2762-F138-4A5C-976F-8EAC2B608ADB}">
              <a16:predDERef xmlns:a16="http://schemas.microsoft.com/office/drawing/2014/main" pred="{8786A0E3-88E0-4A9D-A62A-C98D37D31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428625</xdr:colOff>
      <xdr:row>18</xdr:row>
      <xdr:rowOff>180975</xdr:rowOff>
    </xdr:from>
    <xdr:to>
      <xdr:col>22</xdr:col>
      <xdr:colOff>0</xdr:colOff>
      <xdr:row>33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89E607-D3DC-4CD3-A28E-05C70F77B332}"/>
            </a:ext>
            <a:ext uri="{147F2762-F138-4A5C-976F-8EAC2B608ADB}">
              <a16:predDERef xmlns:a16="http://schemas.microsoft.com/office/drawing/2014/main" pred="{DF1EE297-8474-40FC-B069-31E490AD4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19050</xdr:colOff>
      <xdr:row>33</xdr:row>
      <xdr:rowOff>123825</xdr:rowOff>
    </xdr:from>
    <xdr:to>
      <xdr:col>21</xdr:col>
      <xdr:colOff>600075</xdr:colOff>
      <xdr:row>46</xdr:row>
      <xdr:rowOff>9525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D0D5BC2-33DA-25CE-883F-ED1FEE717CCF}"/>
            </a:ext>
            <a:ext uri="{147F2762-F138-4A5C-976F-8EAC2B608ADB}">
              <a16:predDERef xmlns:a16="http://schemas.microsoft.com/office/drawing/2014/main" pred="{C889E607-D3DC-4CD3-A28E-05C70F77B332}"/>
            </a:ext>
          </a:extLst>
        </xdr:cNvPr>
        <xdr:cNvSpPr txBox="1"/>
      </xdr:nvSpPr>
      <xdr:spPr>
        <a:xfrm>
          <a:off x="1847850" y="6419850"/>
          <a:ext cx="9925050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Key Insights</a:t>
          </a:r>
        </a:p>
        <a:p>
          <a:pPr marL="0" indent="0" algn="ctr"/>
          <a:endParaRPr lang="en-US" sz="1400" b="1"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Employees under 25 leave at 39% — nearly 4x the rate of employees aged 35-54 (~10%)</a:t>
          </a:r>
        </a:p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Single employees leave at 25.5%, roughly double the rate of married employees (12.5%)</a:t>
          </a:r>
        </a:p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Low-income employees leave at 28.6% vs 10.8% for high-income — income is a major driver</a:t>
          </a:r>
        </a:p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Leavers report lower satisfaction (2.5 vs 2.8) and commute ~1.7 km farther on average</a:t>
          </a:r>
        </a:p>
        <a:p>
          <a:pPr marL="0" indent="0" algn="ctr"/>
          <a:endParaRPr lang="en-US" sz="1400" b="1"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Recommendation: Prioritize retention efforts on young, single, lower-income employees — this segment shows compounding risk factors. Consider reviewing entry-level compensation and offering commute flexibility (remote/hybrid days) for employees with long commutes.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5.637673379628" createdVersion="8" refreshedVersion="8" minRefreshableVersion="3" recordCount="1470" xr:uid="{56CA8062-50FA-4213-A87E-26B2E9E6B5D6}">
  <cacheSource type="worksheet">
    <worksheetSource ref="A1:V1471" sheet="Clean_Data"/>
  </cacheSource>
  <cacheFields count="22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nvironmentSatisfaction" numFmtId="0">
      <sharedItems containsSemiMixedTypes="0" containsString="0" containsNumber="1" containsInteger="1" minValue="1" maxValue="4"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NumCompaniesWorked" numFmtId="0">
      <sharedItems containsSemiMixedTypes="0" containsString="0" containsNumber="1" containsInteger="1" minValue="0" maxValue="9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AttritionFlag" numFmtId="0">
      <sharedItems containsSemiMixedTypes="0" containsString="0" containsNumber="1" containsInteger="1" minValue="0" maxValue="1"/>
    </cacheField>
    <cacheField name="AgeGroup" numFmtId="0">
      <sharedItems count="5">
        <s v="35-44"/>
        <s v="45-54"/>
        <s v="25-34"/>
        <s v="55+"/>
        <s v="&lt;25"/>
      </sharedItems>
    </cacheField>
    <cacheField name="IncomeBand" numFmtId="0">
      <sharedItems count="3">
        <s v="Medium"/>
        <s v="Low"/>
        <s v="High"/>
      </sharedItems>
    </cacheField>
    <cacheField name="TenureGroup" numFmtId="0">
      <sharedItems count="4">
        <s v="Established (5-10)"/>
        <s v="Veteran (10+)"/>
        <s v="New (0-2)"/>
        <s v="Early (2-5)"/>
      </sharedItems>
    </cacheField>
    <cacheField name="SatisfactionAvg" numFmtId="164">
      <sharedItems containsSemiMixedTypes="0" containsString="0" containsNumber="1" minValue="1" maxValue="4"/>
    </cacheField>
    <cacheField name="EducationLabel" numFmtId="0">
      <sharedItems/>
    </cacheField>
    <cacheField name="EnvSatisfactionLabel" numFmtId="0">
      <sharedItems/>
    </cacheField>
    <cacheField name="JobSatisfactionLabel" numFmtId="0">
      <sharedItems count="4">
        <s v="Very High"/>
        <s v="Medium"/>
        <s v="High"/>
        <s v="Low"/>
      </sharedItems>
    </cacheField>
    <cacheField name="WLB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"/>
    <n v="2"/>
    <s v="Life Sciences"/>
    <n v="2"/>
    <n v="4"/>
    <x v="0"/>
    <n v="5993"/>
    <n v="8"/>
    <n v="1"/>
    <n v="6"/>
    <n v="1"/>
    <x v="0"/>
    <x v="0"/>
    <x v="0"/>
    <n v="2.3333333333333335"/>
    <s v="College"/>
    <s v="Medium"/>
    <x v="0"/>
    <s v="Low"/>
  </r>
  <r>
    <n v="49"/>
    <x v="1"/>
    <x v="1"/>
    <n v="8"/>
    <n v="1"/>
    <s v="Life Sciences"/>
    <n v="3"/>
    <n v="2"/>
    <x v="1"/>
    <n v="5130"/>
    <n v="1"/>
    <n v="3"/>
    <n v="10"/>
    <n v="0"/>
    <x v="1"/>
    <x v="0"/>
    <x v="1"/>
    <n v="2.6666666666666665"/>
    <s v="Below College"/>
    <s v="High"/>
    <x v="1"/>
    <s v="High"/>
  </r>
  <r>
    <n v="37"/>
    <x v="0"/>
    <x v="1"/>
    <n v="2"/>
    <n v="2"/>
    <s v="Other"/>
    <n v="4"/>
    <n v="3"/>
    <x v="0"/>
    <n v="2090"/>
    <n v="6"/>
    <n v="3"/>
    <n v="0"/>
    <n v="1"/>
    <x v="0"/>
    <x v="1"/>
    <x v="2"/>
    <n v="3.3333333333333335"/>
    <s v="College"/>
    <s v="Very High"/>
    <x v="2"/>
    <s v="High"/>
  </r>
  <r>
    <n v="33"/>
    <x v="1"/>
    <x v="1"/>
    <n v="3"/>
    <n v="4"/>
    <s v="Life Sciences"/>
    <n v="4"/>
    <n v="3"/>
    <x v="1"/>
    <n v="2909"/>
    <n v="1"/>
    <n v="3"/>
    <n v="8"/>
    <n v="0"/>
    <x v="2"/>
    <x v="1"/>
    <x v="0"/>
    <n v="3.3333333333333335"/>
    <s v="Master"/>
    <s v="Very High"/>
    <x v="2"/>
    <s v="High"/>
  </r>
  <r>
    <n v="27"/>
    <x v="1"/>
    <x v="1"/>
    <n v="2"/>
    <n v="1"/>
    <s v="Medical"/>
    <n v="1"/>
    <n v="2"/>
    <x v="1"/>
    <n v="3468"/>
    <n v="9"/>
    <n v="3"/>
    <n v="2"/>
    <n v="0"/>
    <x v="2"/>
    <x v="0"/>
    <x v="3"/>
    <n v="2"/>
    <s v="Below College"/>
    <s v="Low"/>
    <x v="1"/>
    <s v="High"/>
  </r>
  <r>
    <n v="32"/>
    <x v="1"/>
    <x v="1"/>
    <n v="2"/>
    <n v="2"/>
    <s v="Life Sciences"/>
    <n v="4"/>
    <n v="4"/>
    <x v="0"/>
    <n v="3068"/>
    <n v="0"/>
    <n v="2"/>
    <n v="7"/>
    <n v="0"/>
    <x v="2"/>
    <x v="0"/>
    <x v="0"/>
    <n v="3.3333333333333335"/>
    <s v="College"/>
    <s v="Very High"/>
    <x v="0"/>
    <s v="Medium"/>
  </r>
  <r>
    <n v="59"/>
    <x v="1"/>
    <x v="1"/>
    <n v="3"/>
    <n v="3"/>
    <s v="Medical"/>
    <n v="3"/>
    <n v="1"/>
    <x v="1"/>
    <n v="2670"/>
    <n v="4"/>
    <n v="2"/>
    <n v="1"/>
    <n v="0"/>
    <x v="3"/>
    <x v="1"/>
    <x v="2"/>
    <n v="2"/>
    <s v="Bachelor"/>
    <s v="High"/>
    <x v="3"/>
    <s v="Medium"/>
  </r>
  <r>
    <n v="30"/>
    <x v="1"/>
    <x v="1"/>
    <n v="24"/>
    <n v="1"/>
    <s v="Life Sciences"/>
    <n v="4"/>
    <n v="3"/>
    <x v="2"/>
    <n v="2693"/>
    <n v="1"/>
    <n v="3"/>
    <n v="1"/>
    <n v="0"/>
    <x v="2"/>
    <x v="1"/>
    <x v="2"/>
    <n v="3.3333333333333335"/>
    <s v="Below College"/>
    <s v="Very High"/>
    <x v="2"/>
    <s v="High"/>
  </r>
  <r>
    <n v="38"/>
    <x v="1"/>
    <x v="1"/>
    <n v="23"/>
    <n v="3"/>
    <s v="Life Sciences"/>
    <n v="4"/>
    <n v="3"/>
    <x v="0"/>
    <n v="9526"/>
    <n v="0"/>
    <n v="3"/>
    <n v="9"/>
    <n v="0"/>
    <x v="0"/>
    <x v="2"/>
    <x v="0"/>
    <n v="3.3333333333333335"/>
    <s v="Bachelor"/>
    <s v="Very High"/>
    <x v="2"/>
    <s v="High"/>
  </r>
  <r>
    <n v="36"/>
    <x v="1"/>
    <x v="1"/>
    <n v="27"/>
    <n v="3"/>
    <s v="Medical"/>
    <n v="3"/>
    <n v="3"/>
    <x v="1"/>
    <n v="5237"/>
    <n v="6"/>
    <n v="2"/>
    <n v="7"/>
    <n v="0"/>
    <x v="0"/>
    <x v="0"/>
    <x v="0"/>
    <n v="2.6666666666666665"/>
    <s v="Bachelor"/>
    <s v="High"/>
    <x v="2"/>
    <s v="Medium"/>
  </r>
  <r>
    <n v="35"/>
    <x v="1"/>
    <x v="1"/>
    <n v="16"/>
    <n v="3"/>
    <s v="Medical"/>
    <n v="1"/>
    <n v="2"/>
    <x v="1"/>
    <n v="2426"/>
    <n v="0"/>
    <n v="3"/>
    <n v="5"/>
    <n v="0"/>
    <x v="0"/>
    <x v="1"/>
    <x v="0"/>
    <n v="2"/>
    <s v="Bachelor"/>
    <s v="Low"/>
    <x v="1"/>
    <s v="High"/>
  </r>
  <r>
    <n v="29"/>
    <x v="1"/>
    <x v="1"/>
    <n v="15"/>
    <n v="2"/>
    <s v="Life Sciences"/>
    <n v="4"/>
    <n v="3"/>
    <x v="0"/>
    <n v="4193"/>
    <n v="0"/>
    <n v="3"/>
    <n v="9"/>
    <n v="0"/>
    <x v="2"/>
    <x v="0"/>
    <x v="0"/>
    <n v="3.3333333333333335"/>
    <s v="College"/>
    <s v="Very High"/>
    <x v="2"/>
    <s v="High"/>
  </r>
  <r>
    <n v="31"/>
    <x v="1"/>
    <x v="1"/>
    <n v="26"/>
    <n v="1"/>
    <s v="Life Sciences"/>
    <n v="1"/>
    <n v="3"/>
    <x v="2"/>
    <n v="2911"/>
    <n v="1"/>
    <n v="2"/>
    <n v="5"/>
    <n v="0"/>
    <x v="2"/>
    <x v="1"/>
    <x v="0"/>
    <n v="2"/>
    <s v="Below College"/>
    <s v="Low"/>
    <x v="2"/>
    <s v="Medium"/>
  </r>
  <r>
    <n v="34"/>
    <x v="1"/>
    <x v="1"/>
    <n v="19"/>
    <n v="2"/>
    <s v="Medical"/>
    <n v="2"/>
    <n v="4"/>
    <x v="2"/>
    <n v="2661"/>
    <n v="0"/>
    <n v="3"/>
    <n v="2"/>
    <n v="0"/>
    <x v="2"/>
    <x v="1"/>
    <x v="3"/>
    <n v="3"/>
    <s v="College"/>
    <s v="Medium"/>
    <x v="0"/>
    <s v="High"/>
  </r>
  <r>
    <n v="28"/>
    <x v="0"/>
    <x v="1"/>
    <n v="24"/>
    <n v="3"/>
    <s v="Life Sciences"/>
    <n v="3"/>
    <n v="3"/>
    <x v="0"/>
    <n v="2028"/>
    <n v="5"/>
    <n v="3"/>
    <n v="4"/>
    <n v="1"/>
    <x v="2"/>
    <x v="1"/>
    <x v="3"/>
    <n v="3"/>
    <s v="Bachelor"/>
    <s v="High"/>
    <x v="2"/>
    <s v="High"/>
  </r>
  <r>
    <n v="29"/>
    <x v="1"/>
    <x v="1"/>
    <n v="21"/>
    <n v="4"/>
    <s v="Life Sciences"/>
    <n v="2"/>
    <n v="1"/>
    <x v="2"/>
    <n v="9980"/>
    <n v="1"/>
    <n v="3"/>
    <n v="10"/>
    <n v="0"/>
    <x v="2"/>
    <x v="2"/>
    <x v="1"/>
    <n v="2"/>
    <s v="Master"/>
    <s v="Medium"/>
    <x v="3"/>
    <s v="High"/>
  </r>
  <r>
    <n v="32"/>
    <x v="1"/>
    <x v="1"/>
    <n v="5"/>
    <n v="2"/>
    <s v="Life Sciences"/>
    <n v="1"/>
    <n v="2"/>
    <x v="2"/>
    <n v="3298"/>
    <n v="0"/>
    <n v="2"/>
    <n v="6"/>
    <n v="0"/>
    <x v="2"/>
    <x v="0"/>
    <x v="0"/>
    <n v="1.6666666666666667"/>
    <s v="College"/>
    <s v="Low"/>
    <x v="1"/>
    <s v="Medium"/>
  </r>
  <r>
    <n v="22"/>
    <x v="1"/>
    <x v="1"/>
    <n v="16"/>
    <n v="2"/>
    <s v="Medical"/>
    <n v="4"/>
    <n v="4"/>
    <x v="2"/>
    <n v="2935"/>
    <n v="1"/>
    <n v="2"/>
    <n v="1"/>
    <n v="0"/>
    <x v="4"/>
    <x v="1"/>
    <x v="2"/>
    <n v="3.3333333333333335"/>
    <s v="College"/>
    <s v="Very High"/>
    <x v="0"/>
    <s v="Medium"/>
  </r>
  <r>
    <n v="53"/>
    <x v="1"/>
    <x v="0"/>
    <n v="2"/>
    <n v="4"/>
    <s v="Life Sciences"/>
    <n v="1"/>
    <n v="4"/>
    <x v="1"/>
    <n v="15427"/>
    <n v="2"/>
    <n v="3"/>
    <n v="25"/>
    <n v="0"/>
    <x v="1"/>
    <x v="2"/>
    <x v="1"/>
    <n v="2.6666666666666665"/>
    <s v="Master"/>
    <s v="Low"/>
    <x v="0"/>
    <s v="High"/>
  </r>
  <r>
    <n v="38"/>
    <x v="1"/>
    <x v="1"/>
    <n v="2"/>
    <n v="3"/>
    <s v="Life Sciences"/>
    <n v="4"/>
    <n v="4"/>
    <x v="0"/>
    <n v="3944"/>
    <n v="5"/>
    <n v="3"/>
    <n v="3"/>
    <n v="0"/>
    <x v="0"/>
    <x v="0"/>
    <x v="3"/>
    <n v="3.6666666666666665"/>
    <s v="Bachelor"/>
    <s v="Very High"/>
    <x v="0"/>
    <s v="High"/>
  </r>
  <r>
    <n v="24"/>
    <x v="1"/>
    <x v="1"/>
    <n v="11"/>
    <n v="2"/>
    <s v="Other"/>
    <n v="1"/>
    <n v="3"/>
    <x v="2"/>
    <n v="4011"/>
    <n v="0"/>
    <n v="2"/>
    <n v="4"/>
    <n v="0"/>
    <x v="4"/>
    <x v="0"/>
    <x v="3"/>
    <n v="2"/>
    <s v="College"/>
    <s v="Low"/>
    <x v="2"/>
    <s v="Medium"/>
  </r>
  <r>
    <n v="36"/>
    <x v="0"/>
    <x v="0"/>
    <n v="9"/>
    <n v="4"/>
    <s v="Life Sciences"/>
    <n v="3"/>
    <n v="1"/>
    <x v="0"/>
    <n v="3407"/>
    <n v="7"/>
    <n v="3"/>
    <n v="5"/>
    <n v="1"/>
    <x v="0"/>
    <x v="0"/>
    <x v="0"/>
    <n v="2.3333333333333335"/>
    <s v="Master"/>
    <s v="High"/>
    <x v="3"/>
    <s v="High"/>
  </r>
  <r>
    <n v="34"/>
    <x v="1"/>
    <x v="1"/>
    <n v="7"/>
    <n v="4"/>
    <s v="Life Sciences"/>
    <n v="1"/>
    <n v="2"/>
    <x v="0"/>
    <n v="11994"/>
    <n v="0"/>
    <n v="3"/>
    <n v="12"/>
    <n v="0"/>
    <x v="2"/>
    <x v="2"/>
    <x v="1"/>
    <n v="2"/>
    <s v="Master"/>
    <s v="Low"/>
    <x v="1"/>
    <s v="High"/>
  </r>
  <r>
    <n v="21"/>
    <x v="1"/>
    <x v="1"/>
    <n v="15"/>
    <n v="2"/>
    <s v="Life Sciences"/>
    <n v="3"/>
    <n v="4"/>
    <x v="0"/>
    <n v="1232"/>
    <n v="1"/>
    <n v="3"/>
    <n v="0"/>
    <n v="0"/>
    <x v="4"/>
    <x v="1"/>
    <x v="2"/>
    <n v="3.3333333333333335"/>
    <s v="College"/>
    <s v="High"/>
    <x v="0"/>
    <s v="High"/>
  </r>
  <r>
    <n v="34"/>
    <x v="0"/>
    <x v="1"/>
    <n v="6"/>
    <n v="1"/>
    <s v="Medical"/>
    <n v="2"/>
    <n v="1"/>
    <x v="0"/>
    <n v="2960"/>
    <n v="2"/>
    <n v="3"/>
    <n v="4"/>
    <n v="1"/>
    <x v="2"/>
    <x v="1"/>
    <x v="3"/>
    <n v="2"/>
    <s v="Below College"/>
    <s v="Medium"/>
    <x v="3"/>
    <s v="High"/>
  </r>
  <r>
    <n v="53"/>
    <x v="1"/>
    <x v="1"/>
    <n v="5"/>
    <n v="3"/>
    <s v="Other"/>
    <n v="3"/>
    <n v="3"/>
    <x v="2"/>
    <n v="19094"/>
    <n v="4"/>
    <n v="2"/>
    <n v="14"/>
    <n v="0"/>
    <x v="1"/>
    <x v="2"/>
    <x v="1"/>
    <n v="2.6666666666666665"/>
    <s v="Bachelor"/>
    <s v="High"/>
    <x v="2"/>
    <s v="Medium"/>
  </r>
  <r>
    <n v="32"/>
    <x v="0"/>
    <x v="1"/>
    <n v="16"/>
    <n v="1"/>
    <s v="Life Sciences"/>
    <n v="2"/>
    <n v="1"/>
    <x v="0"/>
    <n v="3919"/>
    <n v="1"/>
    <n v="3"/>
    <n v="10"/>
    <n v="1"/>
    <x v="2"/>
    <x v="0"/>
    <x v="1"/>
    <n v="2"/>
    <s v="Below College"/>
    <s v="Medium"/>
    <x v="3"/>
    <s v="High"/>
  </r>
  <r>
    <n v="42"/>
    <x v="1"/>
    <x v="0"/>
    <n v="8"/>
    <n v="4"/>
    <s v="Marketing"/>
    <n v="3"/>
    <n v="2"/>
    <x v="1"/>
    <n v="6825"/>
    <n v="0"/>
    <n v="3"/>
    <n v="9"/>
    <n v="0"/>
    <x v="0"/>
    <x v="0"/>
    <x v="0"/>
    <n v="2.6666666666666665"/>
    <s v="Master"/>
    <s v="High"/>
    <x v="1"/>
    <s v="High"/>
  </r>
  <r>
    <n v="44"/>
    <x v="1"/>
    <x v="1"/>
    <n v="7"/>
    <n v="4"/>
    <s v="Medical"/>
    <n v="1"/>
    <n v="4"/>
    <x v="1"/>
    <n v="10248"/>
    <n v="3"/>
    <n v="3"/>
    <n v="22"/>
    <n v="0"/>
    <x v="0"/>
    <x v="2"/>
    <x v="1"/>
    <n v="2.6666666666666665"/>
    <s v="Master"/>
    <s v="Low"/>
    <x v="0"/>
    <s v="High"/>
  </r>
  <r>
    <n v="46"/>
    <x v="1"/>
    <x v="0"/>
    <n v="2"/>
    <n v="4"/>
    <s v="Marketing"/>
    <n v="2"/>
    <n v="1"/>
    <x v="0"/>
    <n v="18947"/>
    <n v="3"/>
    <n v="2"/>
    <n v="2"/>
    <n v="0"/>
    <x v="1"/>
    <x v="2"/>
    <x v="3"/>
    <n v="1.6666666666666667"/>
    <s v="Master"/>
    <s v="Medium"/>
    <x v="3"/>
    <s v="Medium"/>
  </r>
  <r>
    <n v="33"/>
    <x v="1"/>
    <x v="1"/>
    <n v="2"/>
    <n v="3"/>
    <s v="Medical"/>
    <n v="3"/>
    <n v="4"/>
    <x v="0"/>
    <n v="2496"/>
    <n v="4"/>
    <n v="3"/>
    <n v="1"/>
    <n v="0"/>
    <x v="2"/>
    <x v="1"/>
    <x v="2"/>
    <n v="3.3333333333333335"/>
    <s v="Bachelor"/>
    <s v="High"/>
    <x v="0"/>
    <s v="High"/>
  </r>
  <r>
    <n v="44"/>
    <x v="1"/>
    <x v="1"/>
    <n v="10"/>
    <n v="4"/>
    <s v="Other"/>
    <n v="4"/>
    <n v="4"/>
    <x v="1"/>
    <n v="6465"/>
    <n v="2"/>
    <n v="4"/>
    <n v="4"/>
    <n v="0"/>
    <x v="0"/>
    <x v="0"/>
    <x v="3"/>
    <n v="4"/>
    <s v="Master"/>
    <s v="Very High"/>
    <x v="0"/>
    <s v="Very High"/>
  </r>
  <r>
    <n v="30"/>
    <x v="1"/>
    <x v="1"/>
    <n v="9"/>
    <n v="2"/>
    <s v="Medical"/>
    <n v="4"/>
    <n v="3"/>
    <x v="0"/>
    <n v="2206"/>
    <n v="1"/>
    <n v="3"/>
    <n v="10"/>
    <n v="0"/>
    <x v="2"/>
    <x v="1"/>
    <x v="1"/>
    <n v="3.3333333333333335"/>
    <s v="College"/>
    <s v="Very High"/>
    <x v="2"/>
    <s v="High"/>
  </r>
  <r>
    <n v="39"/>
    <x v="0"/>
    <x v="0"/>
    <n v="5"/>
    <n v="3"/>
    <s v="Technical Degree"/>
    <n v="4"/>
    <n v="4"/>
    <x v="1"/>
    <n v="2086"/>
    <n v="3"/>
    <n v="4"/>
    <n v="1"/>
    <n v="1"/>
    <x v="0"/>
    <x v="1"/>
    <x v="2"/>
    <n v="4"/>
    <s v="Bachelor"/>
    <s v="Very High"/>
    <x v="0"/>
    <s v="Very High"/>
  </r>
  <r>
    <n v="24"/>
    <x v="0"/>
    <x v="1"/>
    <n v="1"/>
    <n v="3"/>
    <s v="Medical"/>
    <n v="2"/>
    <n v="4"/>
    <x v="1"/>
    <n v="2293"/>
    <n v="2"/>
    <n v="2"/>
    <n v="2"/>
    <n v="1"/>
    <x v="4"/>
    <x v="1"/>
    <x v="3"/>
    <n v="2.6666666666666665"/>
    <s v="Bachelor"/>
    <s v="Medium"/>
    <x v="0"/>
    <s v="Medium"/>
  </r>
  <r>
    <n v="43"/>
    <x v="1"/>
    <x v="1"/>
    <n v="2"/>
    <n v="2"/>
    <s v="Medical"/>
    <n v="4"/>
    <n v="3"/>
    <x v="2"/>
    <n v="2645"/>
    <n v="1"/>
    <n v="2"/>
    <n v="5"/>
    <n v="0"/>
    <x v="0"/>
    <x v="1"/>
    <x v="0"/>
    <n v="3"/>
    <s v="College"/>
    <s v="Very High"/>
    <x v="2"/>
    <s v="Medium"/>
  </r>
  <r>
    <n v="50"/>
    <x v="0"/>
    <x v="0"/>
    <n v="3"/>
    <n v="2"/>
    <s v="Marketing"/>
    <n v="1"/>
    <n v="3"/>
    <x v="1"/>
    <n v="2683"/>
    <n v="1"/>
    <n v="3"/>
    <n v="3"/>
    <n v="1"/>
    <x v="1"/>
    <x v="1"/>
    <x v="3"/>
    <n v="2.3333333333333335"/>
    <s v="College"/>
    <s v="Low"/>
    <x v="2"/>
    <s v="High"/>
  </r>
  <r>
    <n v="35"/>
    <x v="1"/>
    <x v="0"/>
    <n v="2"/>
    <n v="3"/>
    <s v="Marketing"/>
    <n v="4"/>
    <n v="4"/>
    <x v="1"/>
    <n v="2014"/>
    <n v="1"/>
    <n v="3"/>
    <n v="2"/>
    <n v="0"/>
    <x v="0"/>
    <x v="1"/>
    <x v="3"/>
    <n v="3.6666666666666665"/>
    <s v="Bachelor"/>
    <s v="Very High"/>
    <x v="0"/>
    <s v="High"/>
  </r>
  <r>
    <n v="36"/>
    <x v="1"/>
    <x v="1"/>
    <n v="5"/>
    <n v="4"/>
    <s v="Life Sciences"/>
    <n v="2"/>
    <n v="1"/>
    <x v="1"/>
    <n v="3419"/>
    <n v="9"/>
    <n v="4"/>
    <n v="1"/>
    <n v="0"/>
    <x v="0"/>
    <x v="0"/>
    <x v="2"/>
    <n v="2.3333333333333335"/>
    <s v="Master"/>
    <s v="Medium"/>
    <x v="3"/>
    <s v="Very High"/>
  </r>
  <r>
    <n v="33"/>
    <x v="1"/>
    <x v="0"/>
    <n v="1"/>
    <n v="3"/>
    <s v="Life Sciences"/>
    <n v="3"/>
    <n v="1"/>
    <x v="1"/>
    <n v="5376"/>
    <n v="2"/>
    <n v="3"/>
    <n v="5"/>
    <n v="0"/>
    <x v="2"/>
    <x v="0"/>
    <x v="0"/>
    <n v="2.3333333333333335"/>
    <s v="Bachelor"/>
    <s v="High"/>
    <x v="3"/>
    <s v="High"/>
  </r>
  <r>
    <n v="35"/>
    <x v="1"/>
    <x v="1"/>
    <n v="4"/>
    <n v="2"/>
    <s v="Other"/>
    <n v="3"/>
    <n v="4"/>
    <x v="2"/>
    <n v="1951"/>
    <n v="1"/>
    <n v="3"/>
    <n v="1"/>
    <n v="0"/>
    <x v="0"/>
    <x v="1"/>
    <x v="2"/>
    <n v="3.3333333333333335"/>
    <s v="College"/>
    <s v="High"/>
    <x v="0"/>
    <s v="High"/>
  </r>
  <r>
    <n v="27"/>
    <x v="1"/>
    <x v="1"/>
    <n v="2"/>
    <n v="4"/>
    <s v="Life Sciences"/>
    <n v="4"/>
    <n v="1"/>
    <x v="2"/>
    <n v="2341"/>
    <n v="1"/>
    <n v="3"/>
    <n v="1"/>
    <n v="0"/>
    <x v="2"/>
    <x v="1"/>
    <x v="2"/>
    <n v="2.6666666666666665"/>
    <s v="Master"/>
    <s v="Very High"/>
    <x v="3"/>
    <s v="High"/>
  </r>
  <r>
    <n v="26"/>
    <x v="0"/>
    <x v="1"/>
    <n v="25"/>
    <n v="3"/>
    <s v="Life Sciences"/>
    <n v="1"/>
    <n v="3"/>
    <x v="0"/>
    <n v="2293"/>
    <n v="1"/>
    <n v="2"/>
    <n v="1"/>
    <n v="1"/>
    <x v="2"/>
    <x v="1"/>
    <x v="2"/>
    <n v="2"/>
    <s v="Bachelor"/>
    <s v="Low"/>
    <x v="2"/>
    <s v="Medium"/>
  </r>
  <r>
    <n v="27"/>
    <x v="1"/>
    <x v="0"/>
    <n v="8"/>
    <n v="3"/>
    <s v="Life Sciences"/>
    <n v="4"/>
    <n v="3"/>
    <x v="0"/>
    <n v="8726"/>
    <n v="1"/>
    <n v="3"/>
    <n v="9"/>
    <n v="0"/>
    <x v="2"/>
    <x v="2"/>
    <x v="0"/>
    <n v="3.3333333333333335"/>
    <s v="Bachelor"/>
    <s v="Very High"/>
    <x v="2"/>
    <s v="High"/>
  </r>
  <r>
    <n v="30"/>
    <x v="1"/>
    <x v="1"/>
    <n v="1"/>
    <n v="2"/>
    <s v="Medical"/>
    <n v="3"/>
    <n v="4"/>
    <x v="0"/>
    <n v="4011"/>
    <n v="1"/>
    <n v="3"/>
    <n v="12"/>
    <n v="0"/>
    <x v="2"/>
    <x v="0"/>
    <x v="1"/>
    <n v="3.3333333333333335"/>
    <s v="College"/>
    <s v="High"/>
    <x v="0"/>
    <s v="High"/>
  </r>
  <r>
    <n v="41"/>
    <x v="0"/>
    <x v="1"/>
    <n v="12"/>
    <n v="3"/>
    <s v="Technical Degree"/>
    <n v="2"/>
    <n v="3"/>
    <x v="1"/>
    <n v="19545"/>
    <n v="1"/>
    <n v="3"/>
    <n v="22"/>
    <n v="1"/>
    <x v="0"/>
    <x v="2"/>
    <x v="1"/>
    <n v="2.6666666666666665"/>
    <s v="Bachelor"/>
    <s v="Medium"/>
    <x v="2"/>
    <s v="High"/>
  </r>
  <r>
    <n v="34"/>
    <x v="1"/>
    <x v="0"/>
    <n v="23"/>
    <n v="4"/>
    <s v="Marketing"/>
    <n v="2"/>
    <n v="3"/>
    <x v="0"/>
    <n v="4568"/>
    <n v="0"/>
    <n v="3"/>
    <n v="9"/>
    <n v="0"/>
    <x v="2"/>
    <x v="0"/>
    <x v="0"/>
    <n v="2.6666666666666665"/>
    <s v="Master"/>
    <s v="Medium"/>
    <x v="2"/>
    <s v="High"/>
  </r>
  <r>
    <n v="37"/>
    <x v="1"/>
    <x v="1"/>
    <n v="19"/>
    <n v="2"/>
    <s v="Life Sciences"/>
    <n v="2"/>
    <n v="2"/>
    <x v="1"/>
    <n v="3022"/>
    <n v="4"/>
    <n v="3"/>
    <n v="1"/>
    <n v="0"/>
    <x v="0"/>
    <x v="0"/>
    <x v="2"/>
    <n v="2.3333333333333335"/>
    <s v="College"/>
    <s v="Medium"/>
    <x v="1"/>
    <s v="High"/>
  </r>
  <r>
    <n v="46"/>
    <x v="1"/>
    <x v="0"/>
    <n v="5"/>
    <n v="4"/>
    <s v="Marketing"/>
    <n v="1"/>
    <n v="4"/>
    <x v="0"/>
    <n v="5772"/>
    <n v="4"/>
    <n v="3"/>
    <n v="9"/>
    <n v="0"/>
    <x v="1"/>
    <x v="0"/>
    <x v="0"/>
    <n v="2.6666666666666665"/>
    <s v="Master"/>
    <s v="Low"/>
    <x v="0"/>
    <s v="High"/>
  </r>
  <r>
    <n v="35"/>
    <x v="1"/>
    <x v="1"/>
    <n v="8"/>
    <n v="1"/>
    <s v="Life Sciences"/>
    <n v="4"/>
    <n v="4"/>
    <x v="1"/>
    <n v="2269"/>
    <n v="1"/>
    <n v="3"/>
    <n v="1"/>
    <n v="0"/>
    <x v="0"/>
    <x v="1"/>
    <x v="2"/>
    <n v="3.6666666666666665"/>
    <s v="Below College"/>
    <s v="Very High"/>
    <x v="0"/>
    <s v="High"/>
  </r>
  <r>
    <n v="48"/>
    <x v="0"/>
    <x v="1"/>
    <n v="1"/>
    <n v="2"/>
    <s v="Life Sciences"/>
    <n v="1"/>
    <n v="3"/>
    <x v="0"/>
    <n v="5381"/>
    <n v="9"/>
    <n v="3"/>
    <n v="1"/>
    <n v="1"/>
    <x v="1"/>
    <x v="0"/>
    <x v="2"/>
    <n v="2.3333333333333335"/>
    <s v="College"/>
    <s v="Low"/>
    <x v="2"/>
    <s v="High"/>
  </r>
  <r>
    <n v="28"/>
    <x v="0"/>
    <x v="1"/>
    <n v="5"/>
    <n v="4"/>
    <s v="Technical Degree"/>
    <n v="3"/>
    <n v="3"/>
    <x v="0"/>
    <n v="3441"/>
    <n v="1"/>
    <n v="2"/>
    <n v="2"/>
    <n v="1"/>
    <x v="2"/>
    <x v="0"/>
    <x v="3"/>
    <n v="2.6666666666666665"/>
    <s v="Master"/>
    <s v="High"/>
    <x v="2"/>
    <s v="Medium"/>
  </r>
  <r>
    <n v="44"/>
    <x v="1"/>
    <x v="0"/>
    <n v="1"/>
    <n v="5"/>
    <s v="Marketing"/>
    <n v="2"/>
    <n v="1"/>
    <x v="2"/>
    <n v="5454"/>
    <n v="5"/>
    <n v="2"/>
    <n v="4"/>
    <n v="0"/>
    <x v="0"/>
    <x v="0"/>
    <x v="3"/>
    <n v="1.6666666666666667"/>
    <s v="Doctor"/>
    <s v="Medium"/>
    <x v="3"/>
    <s v="Medium"/>
  </r>
  <r>
    <n v="35"/>
    <x v="1"/>
    <x v="1"/>
    <n v="11"/>
    <n v="2"/>
    <s v="Medical"/>
    <n v="3"/>
    <n v="1"/>
    <x v="1"/>
    <n v="9884"/>
    <n v="2"/>
    <n v="3"/>
    <n v="4"/>
    <n v="0"/>
    <x v="0"/>
    <x v="2"/>
    <x v="3"/>
    <n v="2.3333333333333335"/>
    <s v="College"/>
    <s v="High"/>
    <x v="3"/>
    <s v="High"/>
  </r>
  <r>
    <n v="26"/>
    <x v="1"/>
    <x v="0"/>
    <n v="23"/>
    <n v="3"/>
    <s v="Marketing"/>
    <n v="3"/>
    <n v="4"/>
    <x v="1"/>
    <n v="4157"/>
    <n v="7"/>
    <n v="2"/>
    <n v="2"/>
    <n v="0"/>
    <x v="2"/>
    <x v="0"/>
    <x v="3"/>
    <n v="3"/>
    <s v="Bachelor"/>
    <s v="High"/>
    <x v="0"/>
    <s v="Medium"/>
  </r>
  <r>
    <n v="33"/>
    <x v="1"/>
    <x v="1"/>
    <n v="1"/>
    <n v="2"/>
    <s v="Life Sciences"/>
    <n v="1"/>
    <n v="4"/>
    <x v="0"/>
    <n v="13458"/>
    <n v="1"/>
    <n v="3"/>
    <n v="15"/>
    <n v="0"/>
    <x v="2"/>
    <x v="2"/>
    <x v="1"/>
    <n v="2.6666666666666665"/>
    <s v="College"/>
    <s v="Low"/>
    <x v="0"/>
    <s v="High"/>
  </r>
  <r>
    <n v="35"/>
    <x v="1"/>
    <x v="0"/>
    <n v="18"/>
    <n v="5"/>
    <s v="Life Sciences"/>
    <n v="2"/>
    <n v="1"/>
    <x v="1"/>
    <n v="9069"/>
    <n v="1"/>
    <n v="2"/>
    <n v="9"/>
    <n v="0"/>
    <x v="0"/>
    <x v="2"/>
    <x v="0"/>
    <n v="1.6666666666666667"/>
    <s v="Doctor"/>
    <s v="Medium"/>
    <x v="3"/>
    <s v="Medium"/>
  </r>
  <r>
    <n v="35"/>
    <x v="1"/>
    <x v="1"/>
    <n v="23"/>
    <n v="4"/>
    <s v="Medical"/>
    <n v="3"/>
    <n v="1"/>
    <x v="1"/>
    <n v="4014"/>
    <n v="3"/>
    <n v="3"/>
    <n v="2"/>
    <n v="0"/>
    <x v="0"/>
    <x v="0"/>
    <x v="3"/>
    <n v="2.3333333333333335"/>
    <s v="Master"/>
    <s v="High"/>
    <x v="3"/>
    <s v="High"/>
  </r>
  <r>
    <n v="31"/>
    <x v="1"/>
    <x v="1"/>
    <n v="7"/>
    <n v="4"/>
    <s v="Life Sciences"/>
    <n v="4"/>
    <n v="4"/>
    <x v="2"/>
    <n v="5915"/>
    <n v="3"/>
    <n v="2"/>
    <n v="7"/>
    <n v="0"/>
    <x v="2"/>
    <x v="0"/>
    <x v="0"/>
    <n v="3.3333333333333335"/>
    <s v="Master"/>
    <s v="Very High"/>
    <x v="0"/>
    <s v="Medium"/>
  </r>
  <r>
    <n v="37"/>
    <x v="1"/>
    <x v="1"/>
    <n v="1"/>
    <n v="4"/>
    <s v="Life Sciences"/>
    <n v="1"/>
    <n v="3"/>
    <x v="2"/>
    <n v="5993"/>
    <n v="1"/>
    <n v="4"/>
    <n v="7"/>
    <n v="0"/>
    <x v="0"/>
    <x v="0"/>
    <x v="0"/>
    <n v="2.6666666666666665"/>
    <s v="Master"/>
    <s v="Low"/>
    <x v="2"/>
    <s v="Very High"/>
  </r>
  <r>
    <n v="32"/>
    <x v="1"/>
    <x v="1"/>
    <n v="1"/>
    <n v="3"/>
    <s v="Medical"/>
    <n v="1"/>
    <n v="4"/>
    <x v="1"/>
    <n v="6162"/>
    <n v="1"/>
    <n v="3"/>
    <n v="9"/>
    <n v="0"/>
    <x v="2"/>
    <x v="0"/>
    <x v="0"/>
    <n v="2.6666666666666665"/>
    <s v="Bachelor"/>
    <s v="Low"/>
    <x v="0"/>
    <s v="High"/>
  </r>
  <r>
    <n v="38"/>
    <x v="1"/>
    <x v="1"/>
    <n v="29"/>
    <n v="5"/>
    <s v="Life Sciences"/>
    <n v="4"/>
    <n v="4"/>
    <x v="0"/>
    <n v="2406"/>
    <n v="1"/>
    <n v="3"/>
    <n v="10"/>
    <n v="0"/>
    <x v="0"/>
    <x v="1"/>
    <x v="1"/>
    <n v="3.6666666666666665"/>
    <s v="Doctor"/>
    <s v="Very High"/>
    <x v="0"/>
    <s v="High"/>
  </r>
  <r>
    <n v="50"/>
    <x v="1"/>
    <x v="1"/>
    <n v="7"/>
    <n v="2"/>
    <s v="Medical"/>
    <n v="2"/>
    <n v="3"/>
    <x v="2"/>
    <n v="18740"/>
    <n v="5"/>
    <n v="2"/>
    <n v="27"/>
    <n v="0"/>
    <x v="1"/>
    <x v="2"/>
    <x v="1"/>
    <n v="2.3333333333333335"/>
    <s v="College"/>
    <s v="Medium"/>
    <x v="2"/>
    <s v="Medium"/>
  </r>
  <r>
    <n v="59"/>
    <x v="1"/>
    <x v="0"/>
    <n v="25"/>
    <n v="3"/>
    <s v="Life Sciences"/>
    <n v="1"/>
    <n v="1"/>
    <x v="0"/>
    <n v="7637"/>
    <n v="7"/>
    <n v="2"/>
    <n v="21"/>
    <n v="0"/>
    <x v="3"/>
    <x v="2"/>
    <x v="1"/>
    <n v="1.3333333333333333"/>
    <s v="Bachelor"/>
    <s v="Low"/>
    <x v="3"/>
    <s v="Medium"/>
  </r>
  <r>
    <n v="36"/>
    <x v="1"/>
    <x v="1"/>
    <n v="8"/>
    <n v="3"/>
    <s v="Technical Degree"/>
    <n v="3"/>
    <n v="3"/>
    <x v="2"/>
    <n v="10096"/>
    <n v="1"/>
    <n v="3"/>
    <n v="17"/>
    <n v="0"/>
    <x v="0"/>
    <x v="2"/>
    <x v="1"/>
    <n v="3"/>
    <s v="Bachelor"/>
    <s v="High"/>
    <x v="2"/>
    <s v="High"/>
  </r>
  <r>
    <n v="55"/>
    <x v="1"/>
    <x v="1"/>
    <n v="8"/>
    <n v="3"/>
    <s v="Medical"/>
    <n v="4"/>
    <n v="3"/>
    <x v="2"/>
    <n v="14756"/>
    <n v="2"/>
    <n v="3"/>
    <n v="5"/>
    <n v="0"/>
    <x v="3"/>
    <x v="2"/>
    <x v="0"/>
    <n v="3.3333333333333335"/>
    <s v="Bachelor"/>
    <s v="Very High"/>
    <x v="2"/>
    <s v="High"/>
  </r>
  <r>
    <n v="36"/>
    <x v="1"/>
    <x v="1"/>
    <n v="11"/>
    <n v="3"/>
    <s v="Life Sciences"/>
    <n v="2"/>
    <n v="2"/>
    <x v="0"/>
    <n v="6499"/>
    <n v="1"/>
    <n v="3"/>
    <n v="6"/>
    <n v="0"/>
    <x v="0"/>
    <x v="0"/>
    <x v="0"/>
    <n v="2.3333333333333335"/>
    <s v="Bachelor"/>
    <s v="Medium"/>
    <x v="1"/>
    <s v="High"/>
  </r>
  <r>
    <n v="45"/>
    <x v="1"/>
    <x v="1"/>
    <n v="7"/>
    <n v="3"/>
    <s v="Life Sciences"/>
    <n v="2"/>
    <n v="1"/>
    <x v="2"/>
    <n v="9724"/>
    <n v="2"/>
    <n v="3"/>
    <n v="1"/>
    <n v="0"/>
    <x v="1"/>
    <x v="2"/>
    <x v="2"/>
    <n v="2"/>
    <s v="Bachelor"/>
    <s v="Medium"/>
    <x v="3"/>
    <s v="High"/>
  </r>
  <r>
    <n v="35"/>
    <x v="1"/>
    <x v="1"/>
    <n v="1"/>
    <n v="3"/>
    <s v="Medical"/>
    <n v="2"/>
    <n v="1"/>
    <x v="1"/>
    <n v="2194"/>
    <n v="4"/>
    <n v="2"/>
    <n v="3"/>
    <n v="0"/>
    <x v="0"/>
    <x v="1"/>
    <x v="3"/>
    <n v="1.6666666666666667"/>
    <s v="Bachelor"/>
    <s v="Medium"/>
    <x v="3"/>
    <s v="Medium"/>
  </r>
  <r>
    <n v="36"/>
    <x v="0"/>
    <x v="1"/>
    <n v="9"/>
    <n v="3"/>
    <s v="Medical"/>
    <n v="4"/>
    <n v="3"/>
    <x v="1"/>
    <n v="3388"/>
    <n v="0"/>
    <n v="2"/>
    <n v="1"/>
    <n v="1"/>
    <x v="0"/>
    <x v="0"/>
    <x v="2"/>
    <n v="3"/>
    <s v="Bachelor"/>
    <s v="Very High"/>
    <x v="2"/>
    <s v="Medium"/>
  </r>
  <r>
    <n v="59"/>
    <x v="1"/>
    <x v="0"/>
    <n v="1"/>
    <n v="1"/>
    <s v="Life Sciences"/>
    <n v="1"/>
    <n v="3"/>
    <x v="0"/>
    <n v="5473"/>
    <n v="7"/>
    <n v="2"/>
    <n v="4"/>
    <n v="0"/>
    <x v="3"/>
    <x v="0"/>
    <x v="3"/>
    <n v="2"/>
    <s v="Below College"/>
    <s v="Low"/>
    <x v="2"/>
    <s v="Medium"/>
  </r>
  <r>
    <n v="29"/>
    <x v="1"/>
    <x v="1"/>
    <n v="2"/>
    <n v="3"/>
    <s v="Life Sciences"/>
    <n v="3"/>
    <n v="2"/>
    <x v="1"/>
    <n v="2703"/>
    <n v="0"/>
    <n v="3"/>
    <n v="5"/>
    <n v="0"/>
    <x v="2"/>
    <x v="1"/>
    <x v="0"/>
    <n v="2.6666666666666665"/>
    <s v="Bachelor"/>
    <s v="High"/>
    <x v="1"/>
    <s v="High"/>
  </r>
  <r>
    <n v="31"/>
    <x v="1"/>
    <x v="1"/>
    <n v="1"/>
    <n v="4"/>
    <s v="Medical"/>
    <n v="3"/>
    <n v="2"/>
    <x v="0"/>
    <n v="2501"/>
    <n v="1"/>
    <n v="3"/>
    <n v="1"/>
    <n v="0"/>
    <x v="2"/>
    <x v="1"/>
    <x v="2"/>
    <n v="2.6666666666666665"/>
    <s v="Master"/>
    <s v="High"/>
    <x v="1"/>
    <s v="High"/>
  </r>
  <r>
    <n v="32"/>
    <x v="1"/>
    <x v="1"/>
    <n v="1"/>
    <n v="3"/>
    <s v="Life Sciences"/>
    <n v="2"/>
    <n v="2"/>
    <x v="1"/>
    <n v="6220"/>
    <n v="1"/>
    <n v="3"/>
    <n v="10"/>
    <n v="0"/>
    <x v="2"/>
    <x v="0"/>
    <x v="1"/>
    <n v="2.3333333333333335"/>
    <s v="Bachelor"/>
    <s v="Medium"/>
    <x v="1"/>
    <s v="High"/>
  </r>
  <r>
    <n v="36"/>
    <x v="1"/>
    <x v="1"/>
    <n v="6"/>
    <n v="3"/>
    <s v="Life Sciences"/>
    <n v="2"/>
    <n v="4"/>
    <x v="1"/>
    <n v="3038"/>
    <n v="3"/>
    <n v="3"/>
    <n v="1"/>
    <n v="0"/>
    <x v="0"/>
    <x v="0"/>
    <x v="2"/>
    <n v="3"/>
    <s v="Bachelor"/>
    <s v="Medium"/>
    <x v="0"/>
    <s v="High"/>
  </r>
  <r>
    <n v="31"/>
    <x v="1"/>
    <x v="1"/>
    <n v="8"/>
    <n v="4"/>
    <s v="Life Sciences"/>
    <n v="3"/>
    <n v="4"/>
    <x v="0"/>
    <n v="4424"/>
    <n v="1"/>
    <n v="3"/>
    <n v="11"/>
    <n v="0"/>
    <x v="2"/>
    <x v="0"/>
    <x v="1"/>
    <n v="3.3333333333333335"/>
    <s v="Master"/>
    <s v="High"/>
    <x v="0"/>
    <s v="High"/>
  </r>
  <r>
    <n v="35"/>
    <x v="1"/>
    <x v="0"/>
    <n v="1"/>
    <n v="4"/>
    <s v="Marketing"/>
    <n v="3"/>
    <n v="1"/>
    <x v="0"/>
    <n v="4312"/>
    <n v="0"/>
    <n v="3"/>
    <n v="15"/>
    <n v="0"/>
    <x v="0"/>
    <x v="0"/>
    <x v="1"/>
    <n v="2.3333333333333335"/>
    <s v="Master"/>
    <s v="High"/>
    <x v="3"/>
    <s v="High"/>
  </r>
  <r>
    <n v="45"/>
    <x v="1"/>
    <x v="1"/>
    <n v="6"/>
    <n v="4"/>
    <s v="Other"/>
    <n v="4"/>
    <n v="1"/>
    <x v="1"/>
    <n v="13245"/>
    <n v="4"/>
    <n v="4"/>
    <n v="0"/>
    <n v="0"/>
    <x v="1"/>
    <x v="2"/>
    <x v="2"/>
    <n v="3"/>
    <s v="Master"/>
    <s v="Very High"/>
    <x v="3"/>
    <s v="Very High"/>
  </r>
  <r>
    <n v="37"/>
    <x v="1"/>
    <x v="1"/>
    <n v="7"/>
    <n v="4"/>
    <s v="Medical"/>
    <n v="1"/>
    <n v="3"/>
    <x v="0"/>
    <n v="13664"/>
    <n v="4"/>
    <n v="4"/>
    <n v="5"/>
    <n v="0"/>
    <x v="0"/>
    <x v="2"/>
    <x v="0"/>
    <n v="2.6666666666666665"/>
    <s v="Master"/>
    <s v="Low"/>
    <x v="2"/>
    <s v="Very High"/>
  </r>
  <r>
    <n v="46"/>
    <x v="1"/>
    <x v="2"/>
    <n v="5"/>
    <n v="2"/>
    <s v="Medical"/>
    <n v="2"/>
    <n v="2"/>
    <x v="2"/>
    <n v="5021"/>
    <n v="8"/>
    <n v="3"/>
    <n v="4"/>
    <n v="0"/>
    <x v="1"/>
    <x v="0"/>
    <x v="3"/>
    <n v="2.3333333333333335"/>
    <s v="College"/>
    <s v="Medium"/>
    <x v="1"/>
    <s v="High"/>
  </r>
  <r>
    <n v="30"/>
    <x v="1"/>
    <x v="1"/>
    <n v="1"/>
    <n v="1"/>
    <s v="Life Sciences"/>
    <n v="4"/>
    <n v="4"/>
    <x v="1"/>
    <n v="5126"/>
    <n v="1"/>
    <n v="2"/>
    <n v="10"/>
    <n v="0"/>
    <x v="2"/>
    <x v="0"/>
    <x v="1"/>
    <n v="3.3333333333333335"/>
    <s v="Below College"/>
    <s v="Very High"/>
    <x v="0"/>
    <s v="Medium"/>
  </r>
  <r>
    <n v="35"/>
    <x v="1"/>
    <x v="1"/>
    <n v="1"/>
    <n v="3"/>
    <s v="Medical"/>
    <n v="2"/>
    <n v="3"/>
    <x v="0"/>
    <n v="2859"/>
    <n v="1"/>
    <n v="3"/>
    <n v="6"/>
    <n v="0"/>
    <x v="0"/>
    <x v="1"/>
    <x v="0"/>
    <n v="2.6666666666666665"/>
    <s v="Bachelor"/>
    <s v="Medium"/>
    <x v="2"/>
    <s v="High"/>
  </r>
  <r>
    <n v="55"/>
    <x v="1"/>
    <x v="0"/>
    <n v="1"/>
    <n v="2"/>
    <s v="Life Sciences"/>
    <n v="1"/>
    <n v="4"/>
    <x v="1"/>
    <n v="10239"/>
    <n v="3"/>
    <n v="3"/>
    <n v="1"/>
    <n v="0"/>
    <x v="3"/>
    <x v="2"/>
    <x v="2"/>
    <n v="2.6666666666666665"/>
    <s v="College"/>
    <s v="Low"/>
    <x v="0"/>
    <s v="High"/>
  </r>
  <r>
    <n v="38"/>
    <x v="1"/>
    <x v="1"/>
    <n v="6"/>
    <n v="3"/>
    <s v="Medical"/>
    <n v="2"/>
    <n v="4"/>
    <x v="2"/>
    <n v="5329"/>
    <n v="7"/>
    <n v="3"/>
    <n v="13"/>
    <n v="0"/>
    <x v="0"/>
    <x v="0"/>
    <x v="1"/>
    <n v="3"/>
    <s v="Bachelor"/>
    <s v="Medium"/>
    <x v="0"/>
    <s v="High"/>
  </r>
  <r>
    <n v="34"/>
    <x v="1"/>
    <x v="1"/>
    <n v="1"/>
    <n v="2"/>
    <s v="Medical"/>
    <n v="1"/>
    <n v="2"/>
    <x v="1"/>
    <n v="4325"/>
    <n v="1"/>
    <n v="3"/>
    <n v="5"/>
    <n v="0"/>
    <x v="2"/>
    <x v="0"/>
    <x v="0"/>
    <n v="2"/>
    <s v="College"/>
    <s v="Low"/>
    <x v="1"/>
    <s v="High"/>
  </r>
  <r>
    <n v="56"/>
    <x v="1"/>
    <x v="1"/>
    <n v="7"/>
    <n v="3"/>
    <s v="Life Sciences"/>
    <n v="4"/>
    <n v="4"/>
    <x v="0"/>
    <n v="7260"/>
    <n v="4"/>
    <n v="2"/>
    <n v="6"/>
    <n v="0"/>
    <x v="3"/>
    <x v="2"/>
    <x v="0"/>
    <n v="3.3333333333333335"/>
    <s v="Bachelor"/>
    <s v="Very High"/>
    <x v="0"/>
    <s v="Medium"/>
  </r>
  <r>
    <n v="23"/>
    <x v="1"/>
    <x v="0"/>
    <n v="2"/>
    <n v="1"/>
    <s v="Technical Degree"/>
    <n v="3"/>
    <n v="1"/>
    <x v="2"/>
    <n v="2322"/>
    <n v="3"/>
    <n v="3"/>
    <n v="0"/>
    <n v="0"/>
    <x v="4"/>
    <x v="1"/>
    <x v="2"/>
    <n v="2.3333333333333335"/>
    <s v="Below College"/>
    <s v="High"/>
    <x v="3"/>
    <s v="High"/>
  </r>
  <r>
    <n v="51"/>
    <x v="1"/>
    <x v="1"/>
    <n v="9"/>
    <n v="4"/>
    <s v="Life Sciences"/>
    <n v="4"/>
    <n v="4"/>
    <x v="1"/>
    <n v="2075"/>
    <n v="3"/>
    <n v="3"/>
    <n v="4"/>
    <n v="0"/>
    <x v="1"/>
    <x v="1"/>
    <x v="3"/>
    <n v="3.6666666666666665"/>
    <s v="Master"/>
    <s v="Very High"/>
    <x v="0"/>
    <s v="High"/>
  </r>
  <r>
    <n v="30"/>
    <x v="1"/>
    <x v="1"/>
    <n v="2"/>
    <n v="3"/>
    <s v="Life Sciences"/>
    <n v="3"/>
    <n v="4"/>
    <x v="1"/>
    <n v="4152"/>
    <n v="1"/>
    <n v="3"/>
    <n v="11"/>
    <n v="0"/>
    <x v="2"/>
    <x v="0"/>
    <x v="1"/>
    <n v="3.3333333333333335"/>
    <s v="Bachelor"/>
    <s v="High"/>
    <x v="0"/>
    <s v="High"/>
  </r>
  <r>
    <n v="46"/>
    <x v="0"/>
    <x v="0"/>
    <n v="9"/>
    <n v="2"/>
    <s v="Medical"/>
    <n v="3"/>
    <n v="4"/>
    <x v="0"/>
    <n v="9619"/>
    <n v="1"/>
    <n v="3"/>
    <n v="9"/>
    <n v="1"/>
    <x v="1"/>
    <x v="2"/>
    <x v="0"/>
    <n v="3.3333333333333335"/>
    <s v="College"/>
    <s v="High"/>
    <x v="0"/>
    <s v="High"/>
  </r>
  <r>
    <n v="40"/>
    <x v="1"/>
    <x v="1"/>
    <n v="1"/>
    <n v="4"/>
    <s v="Life Sciences"/>
    <n v="3"/>
    <n v="2"/>
    <x v="1"/>
    <n v="13503"/>
    <n v="1"/>
    <n v="2"/>
    <n v="22"/>
    <n v="0"/>
    <x v="0"/>
    <x v="2"/>
    <x v="1"/>
    <n v="2.3333333333333335"/>
    <s v="Master"/>
    <s v="High"/>
    <x v="1"/>
    <s v="Medium"/>
  </r>
  <r>
    <n v="51"/>
    <x v="1"/>
    <x v="0"/>
    <n v="21"/>
    <n v="4"/>
    <s v="Marketing"/>
    <n v="3"/>
    <n v="4"/>
    <x v="0"/>
    <n v="5441"/>
    <n v="0"/>
    <n v="1"/>
    <n v="10"/>
    <n v="0"/>
    <x v="1"/>
    <x v="0"/>
    <x v="1"/>
    <n v="2.6666666666666665"/>
    <s v="Master"/>
    <s v="High"/>
    <x v="0"/>
    <s v="Low"/>
  </r>
  <r>
    <n v="30"/>
    <x v="1"/>
    <x v="0"/>
    <n v="4"/>
    <n v="2"/>
    <s v="Medical"/>
    <n v="3"/>
    <n v="2"/>
    <x v="2"/>
    <n v="5209"/>
    <n v="1"/>
    <n v="2"/>
    <n v="11"/>
    <n v="0"/>
    <x v="2"/>
    <x v="0"/>
    <x v="1"/>
    <n v="2.3333333333333335"/>
    <s v="College"/>
    <s v="High"/>
    <x v="1"/>
    <s v="Medium"/>
  </r>
  <r>
    <n v="46"/>
    <x v="1"/>
    <x v="1"/>
    <n v="1"/>
    <n v="3"/>
    <s v="Medical"/>
    <n v="3"/>
    <n v="1"/>
    <x v="1"/>
    <n v="10673"/>
    <n v="2"/>
    <n v="2"/>
    <n v="10"/>
    <n v="0"/>
    <x v="1"/>
    <x v="2"/>
    <x v="1"/>
    <n v="2"/>
    <s v="Bachelor"/>
    <s v="High"/>
    <x v="3"/>
    <s v="Medium"/>
  </r>
  <r>
    <n v="32"/>
    <x v="1"/>
    <x v="0"/>
    <n v="6"/>
    <n v="4"/>
    <s v="Medical"/>
    <n v="2"/>
    <n v="3"/>
    <x v="0"/>
    <n v="5010"/>
    <n v="1"/>
    <n v="3"/>
    <n v="11"/>
    <n v="0"/>
    <x v="2"/>
    <x v="0"/>
    <x v="1"/>
    <n v="2.6666666666666665"/>
    <s v="Master"/>
    <s v="Medium"/>
    <x v="2"/>
    <s v="High"/>
  </r>
  <r>
    <n v="54"/>
    <x v="1"/>
    <x v="1"/>
    <n v="2"/>
    <n v="4"/>
    <s v="Technical Degree"/>
    <n v="1"/>
    <n v="3"/>
    <x v="1"/>
    <n v="13549"/>
    <n v="9"/>
    <n v="1"/>
    <n v="4"/>
    <n v="0"/>
    <x v="1"/>
    <x v="2"/>
    <x v="3"/>
    <n v="1.6666666666666667"/>
    <s v="Master"/>
    <s v="Low"/>
    <x v="2"/>
    <s v="Low"/>
  </r>
  <r>
    <n v="24"/>
    <x v="1"/>
    <x v="0"/>
    <n v="3"/>
    <n v="2"/>
    <s v="Other"/>
    <n v="1"/>
    <n v="3"/>
    <x v="1"/>
    <n v="4999"/>
    <n v="0"/>
    <n v="2"/>
    <n v="3"/>
    <n v="0"/>
    <x v="4"/>
    <x v="0"/>
    <x v="3"/>
    <n v="2"/>
    <s v="College"/>
    <s v="Low"/>
    <x v="2"/>
    <s v="Medium"/>
  </r>
  <r>
    <n v="28"/>
    <x v="1"/>
    <x v="0"/>
    <n v="4"/>
    <n v="3"/>
    <s v="Medical"/>
    <n v="2"/>
    <n v="3"/>
    <x v="1"/>
    <n v="4221"/>
    <n v="1"/>
    <n v="4"/>
    <n v="5"/>
    <n v="0"/>
    <x v="2"/>
    <x v="0"/>
    <x v="0"/>
    <n v="3"/>
    <s v="Bachelor"/>
    <s v="Medium"/>
    <x v="2"/>
    <s v="Very High"/>
  </r>
  <r>
    <n v="58"/>
    <x v="1"/>
    <x v="0"/>
    <n v="10"/>
    <n v="4"/>
    <s v="Medical"/>
    <n v="4"/>
    <n v="3"/>
    <x v="0"/>
    <n v="13872"/>
    <n v="0"/>
    <n v="2"/>
    <n v="37"/>
    <n v="0"/>
    <x v="3"/>
    <x v="2"/>
    <x v="1"/>
    <n v="3"/>
    <s v="Master"/>
    <s v="Very High"/>
    <x v="2"/>
    <s v="Medium"/>
  </r>
  <r>
    <n v="44"/>
    <x v="1"/>
    <x v="1"/>
    <n v="23"/>
    <n v="3"/>
    <s v="Medical"/>
    <n v="2"/>
    <n v="2"/>
    <x v="1"/>
    <n v="2042"/>
    <n v="4"/>
    <n v="4"/>
    <n v="3"/>
    <n v="0"/>
    <x v="0"/>
    <x v="1"/>
    <x v="3"/>
    <n v="2.6666666666666665"/>
    <s v="Bachelor"/>
    <s v="Medium"/>
    <x v="1"/>
    <s v="Very High"/>
  </r>
  <r>
    <n v="37"/>
    <x v="0"/>
    <x v="2"/>
    <n v="6"/>
    <n v="4"/>
    <s v="Human Resources"/>
    <n v="3"/>
    <n v="1"/>
    <x v="2"/>
    <n v="2073"/>
    <n v="4"/>
    <n v="3"/>
    <n v="3"/>
    <n v="1"/>
    <x v="0"/>
    <x v="1"/>
    <x v="3"/>
    <n v="2.3333333333333335"/>
    <s v="Master"/>
    <s v="High"/>
    <x v="3"/>
    <s v="High"/>
  </r>
  <r>
    <n v="32"/>
    <x v="1"/>
    <x v="1"/>
    <n v="1"/>
    <n v="1"/>
    <s v="Life Sciences"/>
    <n v="4"/>
    <n v="1"/>
    <x v="0"/>
    <n v="2956"/>
    <n v="1"/>
    <n v="3"/>
    <n v="1"/>
    <n v="0"/>
    <x v="2"/>
    <x v="1"/>
    <x v="2"/>
    <n v="2.6666666666666665"/>
    <s v="Below College"/>
    <s v="Very High"/>
    <x v="3"/>
    <s v="High"/>
  </r>
  <r>
    <n v="20"/>
    <x v="0"/>
    <x v="1"/>
    <n v="6"/>
    <n v="3"/>
    <s v="Life Sciences"/>
    <n v="4"/>
    <n v="4"/>
    <x v="0"/>
    <n v="2926"/>
    <n v="1"/>
    <n v="3"/>
    <n v="1"/>
    <n v="1"/>
    <x v="4"/>
    <x v="1"/>
    <x v="2"/>
    <n v="3.6666666666666665"/>
    <s v="Bachelor"/>
    <s v="Very High"/>
    <x v="0"/>
    <s v="High"/>
  </r>
  <r>
    <n v="34"/>
    <x v="1"/>
    <x v="1"/>
    <n v="6"/>
    <n v="4"/>
    <s v="Other"/>
    <n v="1"/>
    <n v="3"/>
    <x v="0"/>
    <n v="4809"/>
    <n v="1"/>
    <n v="3"/>
    <n v="16"/>
    <n v="0"/>
    <x v="2"/>
    <x v="0"/>
    <x v="1"/>
    <n v="2.3333333333333335"/>
    <s v="Master"/>
    <s v="Low"/>
    <x v="2"/>
    <s v="High"/>
  </r>
  <r>
    <n v="37"/>
    <x v="1"/>
    <x v="1"/>
    <n v="2"/>
    <n v="2"/>
    <s v="Life Sciences"/>
    <n v="3"/>
    <n v="4"/>
    <x v="2"/>
    <n v="5163"/>
    <n v="5"/>
    <n v="4"/>
    <n v="1"/>
    <n v="0"/>
    <x v="0"/>
    <x v="0"/>
    <x v="2"/>
    <n v="3.6666666666666665"/>
    <s v="College"/>
    <s v="High"/>
    <x v="0"/>
    <s v="Very High"/>
  </r>
  <r>
    <n v="59"/>
    <x v="1"/>
    <x v="2"/>
    <n v="2"/>
    <n v="4"/>
    <s v="Human Resources"/>
    <n v="3"/>
    <n v="4"/>
    <x v="1"/>
    <n v="18844"/>
    <n v="9"/>
    <n v="3"/>
    <n v="3"/>
    <n v="0"/>
    <x v="3"/>
    <x v="2"/>
    <x v="3"/>
    <n v="3.3333333333333335"/>
    <s v="Master"/>
    <s v="High"/>
    <x v="0"/>
    <s v="High"/>
  </r>
  <r>
    <n v="50"/>
    <x v="1"/>
    <x v="1"/>
    <n v="1"/>
    <n v="3"/>
    <s v="Life Sciences"/>
    <n v="1"/>
    <n v="2"/>
    <x v="1"/>
    <n v="18172"/>
    <n v="3"/>
    <n v="2"/>
    <n v="8"/>
    <n v="0"/>
    <x v="1"/>
    <x v="2"/>
    <x v="0"/>
    <n v="1.6666666666666667"/>
    <s v="Bachelor"/>
    <s v="Low"/>
    <x v="1"/>
    <s v="Medium"/>
  </r>
  <r>
    <n v="25"/>
    <x v="0"/>
    <x v="0"/>
    <n v="5"/>
    <n v="3"/>
    <s v="Marketing"/>
    <n v="3"/>
    <n v="3"/>
    <x v="0"/>
    <n v="5744"/>
    <n v="1"/>
    <n v="3"/>
    <n v="6"/>
    <n v="1"/>
    <x v="2"/>
    <x v="0"/>
    <x v="0"/>
    <n v="3"/>
    <s v="Bachelor"/>
    <s v="High"/>
    <x v="2"/>
    <s v="High"/>
  </r>
  <r>
    <n v="25"/>
    <x v="1"/>
    <x v="1"/>
    <n v="7"/>
    <n v="1"/>
    <s v="Medical"/>
    <n v="4"/>
    <n v="4"/>
    <x v="1"/>
    <n v="2889"/>
    <n v="1"/>
    <n v="3"/>
    <n v="2"/>
    <n v="0"/>
    <x v="2"/>
    <x v="1"/>
    <x v="3"/>
    <n v="3.6666666666666665"/>
    <s v="Below College"/>
    <s v="Very High"/>
    <x v="0"/>
    <s v="High"/>
  </r>
  <r>
    <n v="22"/>
    <x v="1"/>
    <x v="1"/>
    <n v="15"/>
    <n v="3"/>
    <s v="Medical"/>
    <n v="2"/>
    <n v="4"/>
    <x v="0"/>
    <n v="2871"/>
    <n v="1"/>
    <n v="3"/>
    <n v="0"/>
    <n v="0"/>
    <x v="4"/>
    <x v="1"/>
    <x v="2"/>
    <n v="3"/>
    <s v="Bachelor"/>
    <s v="Medium"/>
    <x v="0"/>
    <s v="High"/>
  </r>
  <r>
    <n v="51"/>
    <x v="1"/>
    <x v="1"/>
    <n v="1"/>
    <n v="4"/>
    <s v="Medical"/>
    <n v="1"/>
    <n v="1"/>
    <x v="0"/>
    <n v="7484"/>
    <n v="3"/>
    <n v="2"/>
    <n v="13"/>
    <n v="0"/>
    <x v="1"/>
    <x v="2"/>
    <x v="1"/>
    <n v="1.3333333333333333"/>
    <s v="Master"/>
    <s v="Low"/>
    <x v="3"/>
    <s v="Medium"/>
  </r>
  <r>
    <n v="34"/>
    <x v="0"/>
    <x v="1"/>
    <n v="7"/>
    <n v="3"/>
    <s v="Life Sciences"/>
    <n v="1"/>
    <n v="3"/>
    <x v="0"/>
    <n v="6074"/>
    <n v="1"/>
    <n v="3"/>
    <n v="9"/>
    <n v="1"/>
    <x v="2"/>
    <x v="0"/>
    <x v="0"/>
    <n v="2.3333333333333335"/>
    <s v="Bachelor"/>
    <s v="Low"/>
    <x v="2"/>
    <s v="High"/>
  </r>
  <r>
    <n v="54"/>
    <x v="1"/>
    <x v="2"/>
    <n v="26"/>
    <n v="3"/>
    <s v="Human Resources"/>
    <n v="4"/>
    <n v="4"/>
    <x v="0"/>
    <n v="17328"/>
    <n v="2"/>
    <n v="3"/>
    <n v="5"/>
    <n v="0"/>
    <x v="1"/>
    <x v="2"/>
    <x v="0"/>
    <n v="3.6666666666666665"/>
    <s v="Bachelor"/>
    <s v="Very High"/>
    <x v="0"/>
    <s v="High"/>
  </r>
  <r>
    <n v="24"/>
    <x v="1"/>
    <x v="1"/>
    <n v="18"/>
    <n v="1"/>
    <s v="Life Sciences"/>
    <n v="2"/>
    <n v="3"/>
    <x v="1"/>
    <n v="2774"/>
    <n v="0"/>
    <n v="3"/>
    <n v="5"/>
    <n v="0"/>
    <x v="4"/>
    <x v="1"/>
    <x v="0"/>
    <n v="2.6666666666666665"/>
    <s v="Below College"/>
    <s v="Medium"/>
    <x v="2"/>
    <s v="High"/>
  </r>
  <r>
    <n v="34"/>
    <x v="1"/>
    <x v="1"/>
    <n v="6"/>
    <n v="4"/>
    <s v="Life Sciences"/>
    <n v="3"/>
    <n v="2"/>
    <x v="2"/>
    <n v="4505"/>
    <n v="6"/>
    <n v="3"/>
    <n v="1"/>
    <n v="0"/>
    <x v="2"/>
    <x v="0"/>
    <x v="2"/>
    <n v="2.6666666666666665"/>
    <s v="Master"/>
    <s v="High"/>
    <x v="1"/>
    <s v="High"/>
  </r>
  <r>
    <n v="37"/>
    <x v="1"/>
    <x v="0"/>
    <n v="3"/>
    <n v="3"/>
    <s v="Life Sciences"/>
    <n v="3"/>
    <n v="4"/>
    <x v="0"/>
    <n v="7428"/>
    <n v="2"/>
    <n v="3"/>
    <n v="5"/>
    <n v="0"/>
    <x v="0"/>
    <x v="2"/>
    <x v="0"/>
    <n v="3.3333333333333335"/>
    <s v="Bachelor"/>
    <s v="High"/>
    <x v="0"/>
    <s v="High"/>
  </r>
  <r>
    <n v="34"/>
    <x v="1"/>
    <x v="1"/>
    <n v="5"/>
    <n v="3"/>
    <s v="Medical"/>
    <n v="3"/>
    <n v="1"/>
    <x v="0"/>
    <n v="11631"/>
    <n v="2"/>
    <n v="3"/>
    <n v="11"/>
    <n v="0"/>
    <x v="2"/>
    <x v="2"/>
    <x v="1"/>
    <n v="2.3333333333333335"/>
    <s v="Bachelor"/>
    <s v="High"/>
    <x v="3"/>
    <s v="High"/>
  </r>
  <r>
    <n v="36"/>
    <x v="1"/>
    <x v="0"/>
    <n v="11"/>
    <n v="2"/>
    <s v="Technical Degree"/>
    <n v="2"/>
    <n v="4"/>
    <x v="1"/>
    <n v="9738"/>
    <n v="0"/>
    <n v="3"/>
    <n v="9"/>
    <n v="0"/>
    <x v="0"/>
    <x v="2"/>
    <x v="0"/>
    <n v="3"/>
    <s v="College"/>
    <s v="Medium"/>
    <x v="0"/>
    <s v="High"/>
  </r>
  <r>
    <n v="36"/>
    <x v="1"/>
    <x v="1"/>
    <n v="3"/>
    <n v="2"/>
    <s v="Life Sciences"/>
    <n v="1"/>
    <n v="4"/>
    <x v="2"/>
    <n v="2835"/>
    <n v="5"/>
    <n v="3"/>
    <n v="1"/>
    <n v="0"/>
    <x v="0"/>
    <x v="1"/>
    <x v="2"/>
    <n v="2.6666666666666665"/>
    <s v="College"/>
    <s v="Low"/>
    <x v="0"/>
    <s v="High"/>
  </r>
  <r>
    <n v="43"/>
    <x v="1"/>
    <x v="0"/>
    <n v="26"/>
    <n v="2"/>
    <s v="Life Sciences"/>
    <n v="3"/>
    <n v="4"/>
    <x v="1"/>
    <n v="16959"/>
    <n v="1"/>
    <n v="4"/>
    <n v="25"/>
    <n v="0"/>
    <x v="0"/>
    <x v="2"/>
    <x v="1"/>
    <n v="3.6666666666666665"/>
    <s v="College"/>
    <s v="High"/>
    <x v="0"/>
    <s v="Very High"/>
  </r>
  <r>
    <n v="30"/>
    <x v="1"/>
    <x v="1"/>
    <n v="23"/>
    <n v="3"/>
    <s v="Life Sciences"/>
    <n v="1"/>
    <n v="3"/>
    <x v="2"/>
    <n v="2613"/>
    <n v="1"/>
    <n v="2"/>
    <n v="10"/>
    <n v="0"/>
    <x v="2"/>
    <x v="1"/>
    <x v="1"/>
    <n v="2"/>
    <s v="Bachelor"/>
    <s v="Low"/>
    <x v="2"/>
    <s v="Medium"/>
  </r>
  <r>
    <n v="33"/>
    <x v="1"/>
    <x v="0"/>
    <n v="22"/>
    <n v="2"/>
    <s v="Marketing"/>
    <n v="3"/>
    <n v="2"/>
    <x v="1"/>
    <n v="6146"/>
    <n v="0"/>
    <n v="4"/>
    <n v="7"/>
    <n v="0"/>
    <x v="2"/>
    <x v="0"/>
    <x v="0"/>
    <n v="3"/>
    <s v="College"/>
    <s v="High"/>
    <x v="1"/>
    <s v="Very High"/>
  </r>
  <r>
    <n v="56"/>
    <x v="0"/>
    <x v="1"/>
    <n v="14"/>
    <n v="4"/>
    <s v="Life Sciences"/>
    <n v="2"/>
    <n v="2"/>
    <x v="1"/>
    <n v="4963"/>
    <n v="9"/>
    <n v="3"/>
    <n v="5"/>
    <n v="1"/>
    <x v="3"/>
    <x v="0"/>
    <x v="0"/>
    <n v="2.3333333333333335"/>
    <s v="Master"/>
    <s v="Medium"/>
    <x v="1"/>
    <s v="High"/>
  </r>
  <r>
    <n v="51"/>
    <x v="1"/>
    <x v="1"/>
    <n v="6"/>
    <n v="3"/>
    <s v="Life Sciences"/>
    <n v="1"/>
    <n v="3"/>
    <x v="0"/>
    <n v="19537"/>
    <n v="7"/>
    <n v="3"/>
    <n v="20"/>
    <n v="0"/>
    <x v="1"/>
    <x v="2"/>
    <x v="1"/>
    <n v="2.3333333333333335"/>
    <s v="Bachelor"/>
    <s v="Low"/>
    <x v="2"/>
    <s v="High"/>
  </r>
  <r>
    <n v="31"/>
    <x v="0"/>
    <x v="0"/>
    <n v="6"/>
    <n v="4"/>
    <s v="Life Sciences"/>
    <n v="2"/>
    <n v="3"/>
    <x v="1"/>
    <n v="6172"/>
    <n v="4"/>
    <n v="2"/>
    <n v="7"/>
    <n v="1"/>
    <x v="2"/>
    <x v="0"/>
    <x v="0"/>
    <n v="2.3333333333333335"/>
    <s v="Master"/>
    <s v="Medium"/>
    <x v="2"/>
    <s v="Medium"/>
  </r>
  <r>
    <n v="26"/>
    <x v="1"/>
    <x v="1"/>
    <n v="6"/>
    <n v="3"/>
    <s v="Other"/>
    <n v="3"/>
    <n v="2"/>
    <x v="1"/>
    <n v="2368"/>
    <n v="1"/>
    <n v="2"/>
    <n v="5"/>
    <n v="0"/>
    <x v="2"/>
    <x v="1"/>
    <x v="0"/>
    <n v="2.3333333333333335"/>
    <s v="Bachelor"/>
    <s v="High"/>
    <x v="1"/>
    <s v="Medium"/>
  </r>
  <r>
    <n v="58"/>
    <x v="0"/>
    <x v="1"/>
    <n v="23"/>
    <n v="4"/>
    <s v="Medical"/>
    <n v="4"/>
    <n v="4"/>
    <x v="1"/>
    <n v="10312"/>
    <n v="1"/>
    <n v="2"/>
    <n v="40"/>
    <n v="1"/>
    <x v="3"/>
    <x v="2"/>
    <x v="1"/>
    <n v="3.3333333333333335"/>
    <s v="Master"/>
    <s v="Very High"/>
    <x v="0"/>
    <s v="Medium"/>
  </r>
  <r>
    <n v="19"/>
    <x v="0"/>
    <x v="0"/>
    <n v="22"/>
    <n v="1"/>
    <s v="Marketing"/>
    <n v="4"/>
    <n v="3"/>
    <x v="0"/>
    <n v="1675"/>
    <n v="1"/>
    <n v="2"/>
    <n v="0"/>
    <n v="1"/>
    <x v="4"/>
    <x v="1"/>
    <x v="2"/>
    <n v="3"/>
    <s v="Below College"/>
    <s v="Very High"/>
    <x v="2"/>
    <s v="Medium"/>
  </r>
  <r>
    <n v="22"/>
    <x v="1"/>
    <x v="1"/>
    <n v="2"/>
    <n v="1"/>
    <s v="Technical Degree"/>
    <n v="3"/>
    <n v="4"/>
    <x v="1"/>
    <n v="2523"/>
    <n v="0"/>
    <n v="3"/>
    <n v="2"/>
    <n v="0"/>
    <x v="4"/>
    <x v="1"/>
    <x v="3"/>
    <n v="3.3333333333333335"/>
    <s v="Below College"/>
    <s v="High"/>
    <x v="0"/>
    <s v="High"/>
  </r>
  <r>
    <n v="49"/>
    <x v="1"/>
    <x v="1"/>
    <n v="20"/>
    <n v="4"/>
    <s v="Medical"/>
    <n v="3"/>
    <n v="1"/>
    <x v="1"/>
    <n v="6567"/>
    <n v="1"/>
    <n v="2"/>
    <n v="15"/>
    <n v="0"/>
    <x v="1"/>
    <x v="0"/>
    <x v="1"/>
    <n v="2"/>
    <s v="Master"/>
    <s v="High"/>
    <x v="3"/>
    <s v="Medium"/>
  </r>
  <r>
    <n v="43"/>
    <x v="1"/>
    <x v="1"/>
    <n v="28"/>
    <n v="3"/>
    <s v="Medical"/>
    <n v="2"/>
    <n v="3"/>
    <x v="0"/>
    <n v="4739"/>
    <n v="4"/>
    <n v="3"/>
    <n v="3"/>
    <n v="0"/>
    <x v="0"/>
    <x v="0"/>
    <x v="3"/>
    <n v="2.6666666666666665"/>
    <s v="Bachelor"/>
    <s v="Medium"/>
    <x v="2"/>
    <s v="High"/>
  </r>
  <r>
    <n v="50"/>
    <x v="1"/>
    <x v="0"/>
    <n v="12"/>
    <n v="3"/>
    <s v="Marketing"/>
    <n v="3"/>
    <n v="4"/>
    <x v="0"/>
    <n v="9208"/>
    <n v="4"/>
    <n v="3"/>
    <n v="2"/>
    <n v="0"/>
    <x v="1"/>
    <x v="2"/>
    <x v="3"/>
    <n v="3.3333333333333335"/>
    <s v="Bachelor"/>
    <s v="High"/>
    <x v="0"/>
    <s v="High"/>
  </r>
  <r>
    <n v="31"/>
    <x v="0"/>
    <x v="0"/>
    <n v="20"/>
    <n v="3"/>
    <s v="Life Sciences"/>
    <n v="2"/>
    <n v="3"/>
    <x v="1"/>
    <n v="4559"/>
    <n v="3"/>
    <n v="3"/>
    <n v="2"/>
    <n v="1"/>
    <x v="2"/>
    <x v="0"/>
    <x v="3"/>
    <n v="2.6666666666666665"/>
    <s v="Bachelor"/>
    <s v="Medium"/>
    <x v="2"/>
    <s v="High"/>
  </r>
  <r>
    <n v="41"/>
    <x v="1"/>
    <x v="0"/>
    <n v="9"/>
    <n v="1"/>
    <s v="Life Sciences"/>
    <n v="3"/>
    <n v="3"/>
    <x v="2"/>
    <n v="8189"/>
    <n v="3"/>
    <n v="3"/>
    <n v="9"/>
    <n v="0"/>
    <x v="0"/>
    <x v="2"/>
    <x v="0"/>
    <n v="3"/>
    <s v="Below College"/>
    <s v="High"/>
    <x v="2"/>
    <s v="High"/>
  </r>
  <r>
    <n v="26"/>
    <x v="1"/>
    <x v="2"/>
    <n v="25"/>
    <n v="1"/>
    <s v="Life Sciences"/>
    <n v="3"/>
    <n v="3"/>
    <x v="1"/>
    <n v="2942"/>
    <n v="1"/>
    <n v="3"/>
    <n v="8"/>
    <n v="0"/>
    <x v="2"/>
    <x v="1"/>
    <x v="0"/>
    <n v="3"/>
    <s v="Below College"/>
    <s v="High"/>
    <x v="2"/>
    <s v="High"/>
  </r>
  <r>
    <n v="36"/>
    <x v="1"/>
    <x v="1"/>
    <n v="6"/>
    <n v="2"/>
    <s v="Medical"/>
    <n v="2"/>
    <n v="2"/>
    <x v="2"/>
    <n v="4941"/>
    <n v="6"/>
    <n v="3"/>
    <n v="3"/>
    <n v="0"/>
    <x v="0"/>
    <x v="0"/>
    <x v="3"/>
    <n v="2.3333333333333335"/>
    <s v="College"/>
    <s v="Medium"/>
    <x v="1"/>
    <s v="High"/>
  </r>
  <r>
    <n v="51"/>
    <x v="0"/>
    <x v="1"/>
    <n v="8"/>
    <n v="4"/>
    <s v="Life Sciences"/>
    <n v="1"/>
    <n v="4"/>
    <x v="0"/>
    <n v="10650"/>
    <n v="2"/>
    <n v="3"/>
    <n v="4"/>
    <n v="1"/>
    <x v="1"/>
    <x v="2"/>
    <x v="3"/>
    <n v="2.6666666666666665"/>
    <s v="Master"/>
    <s v="Low"/>
    <x v="0"/>
    <s v="High"/>
  </r>
  <r>
    <n v="39"/>
    <x v="1"/>
    <x v="0"/>
    <n v="4"/>
    <n v="4"/>
    <s v="Life Sciences"/>
    <n v="4"/>
    <n v="3"/>
    <x v="1"/>
    <n v="5902"/>
    <n v="4"/>
    <n v="4"/>
    <n v="15"/>
    <n v="0"/>
    <x v="0"/>
    <x v="0"/>
    <x v="1"/>
    <n v="3.6666666666666665"/>
    <s v="Master"/>
    <s v="Very High"/>
    <x v="2"/>
    <s v="Very High"/>
  </r>
  <r>
    <n v="25"/>
    <x v="1"/>
    <x v="0"/>
    <n v="28"/>
    <n v="3"/>
    <s v="Life Sciences"/>
    <n v="1"/>
    <n v="3"/>
    <x v="1"/>
    <n v="8639"/>
    <n v="2"/>
    <n v="3"/>
    <n v="2"/>
    <n v="0"/>
    <x v="2"/>
    <x v="2"/>
    <x v="3"/>
    <n v="2.3333333333333335"/>
    <s v="Bachelor"/>
    <s v="Low"/>
    <x v="2"/>
    <s v="High"/>
  </r>
  <r>
    <n v="30"/>
    <x v="1"/>
    <x v="2"/>
    <n v="9"/>
    <n v="3"/>
    <s v="Human Resources"/>
    <n v="3"/>
    <n v="4"/>
    <x v="1"/>
    <n v="6347"/>
    <n v="0"/>
    <n v="1"/>
    <n v="11"/>
    <n v="0"/>
    <x v="2"/>
    <x v="0"/>
    <x v="1"/>
    <n v="2.6666666666666665"/>
    <s v="Bachelor"/>
    <s v="High"/>
    <x v="0"/>
    <s v="Low"/>
  </r>
  <r>
    <n v="32"/>
    <x v="0"/>
    <x v="1"/>
    <n v="9"/>
    <n v="3"/>
    <s v="Medical"/>
    <n v="1"/>
    <n v="1"/>
    <x v="0"/>
    <n v="4200"/>
    <n v="7"/>
    <n v="4"/>
    <n v="5"/>
    <n v="1"/>
    <x v="2"/>
    <x v="0"/>
    <x v="0"/>
    <n v="2"/>
    <s v="Bachelor"/>
    <s v="Low"/>
    <x v="3"/>
    <s v="Very High"/>
  </r>
  <r>
    <n v="45"/>
    <x v="1"/>
    <x v="1"/>
    <n v="29"/>
    <n v="3"/>
    <s v="Medical"/>
    <n v="3"/>
    <n v="4"/>
    <x v="0"/>
    <n v="3452"/>
    <n v="5"/>
    <n v="2"/>
    <n v="6"/>
    <n v="0"/>
    <x v="1"/>
    <x v="0"/>
    <x v="0"/>
    <n v="3"/>
    <s v="Bachelor"/>
    <s v="High"/>
    <x v="0"/>
    <s v="Medium"/>
  </r>
  <r>
    <n v="38"/>
    <x v="1"/>
    <x v="1"/>
    <n v="3"/>
    <n v="5"/>
    <s v="Technical Degree"/>
    <n v="4"/>
    <n v="3"/>
    <x v="0"/>
    <n v="4317"/>
    <n v="3"/>
    <n v="3"/>
    <n v="3"/>
    <n v="0"/>
    <x v="0"/>
    <x v="0"/>
    <x v="3"/>
    <n v="3.3333333333333335"/>
    <s v="Doctor"/>
    <s v="Very High"/>
    <x v="2"/>
    <s v="High"/>
  </r>
  <r>
    <n v="30"/>
    <x v="1"/>
    <x v="1"/>
    <n v="18"/>
    <n v="3"/>
    <s v="Life Sciences"/>
    <n v="1"/>
    <n v="3"/>
    <x v="0"/>
    <n v="2632"/>
    <n v="1"/>
    <n v="2"/>
    <n v="5"/>
    <n v="0"/>
    <x v="2"/>
    <x v="1"/>
    <x v="0"/>
    <n v="2"/>
    <s v="Bachelor"/>
    <s v="Low"/>
    <x v="2"/>
    <s v="Medium"/>
  </r>
  <r>
    <n v="32"/>
    <x v="1"/>
    <x v="0"/>
    <n v="9"/>
    <n v="2"/>
    <s v="Medical"/>
    <n v="4"/>
    <n v="4"/>
    <x v="2"/>
    <n v="4668"/>
    <n v="0"/>
    <n v="4"/>
    <n v="8"/>
    <n v="0"/>
    <x v="2"/>
    <x v="0"/>
    <x v="0"/>
    <n v="4"/>
    <s v="College"/>
    <s v="Very High"/>
    <x v="0"/>
    <s v="Very High"/>
  </r>
  <r>
    <n v="30"/>
    <x v="1"/>
    <x v="1"/>
    <n v="5"/>
    <n v="3"/>
    <s v="Technical Degree"/>
    <n v="4"/>
    <n v="1"/>
    <x v="2"/>
    <n v="3204"/>
    <n v="5"/>
    <n v="3"/>
    <n v="3"/>
    <n v="0"/>
    <x v="2"/>
    <x v="0"/>
    <x v="3"/>
    <n v="2.6666666666666665"/>
    <s v="Bachelor"/>
    <s v="Very High"/>
    <x v="3"/>
    <s v="High"/>
  </r>
  <r>
    <n v="30"/>
    <x v="1"/>
    <x v="1"/>
    <n v="2"/>
    <n v="1"/>
    <s v="Medical"/>
    <n v="2"/>
    <n v="4"/>
    <x v="0"/>
    <n v="2720"/>
    <n v="0"/>
    <n v="3"/>
    <n v="5"/>
    <n v="0"/>
    <x v="2"/>
    <x v="1"/>
    <x v="0"/>
    <n v="3"/>
    <s v="Below College"/>
    <s v="Medium"/>
    <x v="0"/>
    <s v="High"/>
  </r>
  <r>
    <n v="41"/>
    <x v="1"/>
    <x v="1"/>
    <n v="10"/>
    <n v="3"/>
    <s v="Life Sciences"/>
    <n v="4"/>
    <n v="1"/>
    <x v="2"/>
    <n v="17181"/>
    <n v="4"/>
    <n v="2"/>
    <n v="7"/>
    <n v="0"/>
    <x v="0"/>
    <x v="2"/>
    <x v="0"/>
    <n v="2.3333333333333335"/>
    <s v="Bachelor"/>
    <s v="Very High"/>
    <x v="3"/>
    <s v="Medium"/>
  </r>
  <r>
    <n v="41"/>
    <x v="1"/>
    <x v="1"/>
    <n v="9"/>
    <n v="4"/>
    <s v="Life Sciences"/>
    <n v="3"/>
    <n v="1"/>
    <x v="1"/>
    <n v="2238"/>
    <n v="2"/>
    <n v="3"/>
    <n v="5"/>
    <n v="0"/>
    <x v="0"/>
    <x v="1"/>
    <x v="0"/>
    <n v="2.3333333333333335"/>
    <s v="Master"/>
    <s v="High"/>
    <x v="3"/>
    <s v="High"/>
  </r>
  <r>
    <n v="19"/>
    <x v="1"/>
    <x v="1"/>
    <n v="3"/>
    <n v="1"/>
    <s v="Medical"/>
    <n v="2"/>
    <n v="2"/>
    <x v="0"/>
    <n v="1483"/>
    <n v="1"/>
    <n v="3"/>
    <n v="1"/>
    <n v="0"/>
    <x v="4"/>
    <x v="1"/>
    <x v="2"/>
    <n v="2.3333333333333335"/>
    <s v="Below College"/>
    <s v="Medium"/>
    <x v="1"/>
    <s v="High"/>
  </r>
  <r>
    <n v="40"/>
    <x v="1"/>
    <x v="1"/>
    <n v="26"/>
    <n v="3"/>
    <s v="Medical"/>
    <n v="2"/>
    <n v="2"/>
    <x v="2"/>
    <n v="5605"/>
    <n v="1"/>
    <n v="3"/>
    <n v="20"/>
    <n v="0"/>
    <x v="0"/>
    <x v="0"/>
    <x v="1"/>
    <n v="2.3333333333333335"/>
    <s v="Bachelor"/>
    <s v="Medium"/>
    <x v="1"/>
    <s v="High"/>
  </r>
  <r>
    <n v="35"/>
    <x v="1"/>
    <x v="0"/>
    <n v="1"/>
    <n v="5"/>
    <s v="Marketing"/>
    <n v="3"/>
    <n v="2"/>
    <x v="1"/>
    <n v="7295"/>
    <n v="1"/>
    <n v="3"/>
    <n v="10"/>
    <n v="0"/>
    <x v="0"/>
    <x v="2"/>
    <x v="1"/>
    <n v="2.6666666666666665"/>
    <s v="Doctor"/>
    <s v="High"/>
    <x v="1"/>
    <s v="High"/>
  </r>
  <r>
    <n v="53"/>
    <x v="1"/>
    <x v="0"/>
    <n v="6"/>
    <n v="2"/>
    <s v="Marketing"/>
    <n v="2"/>
    <n v="3"/>
    <x v="1"/>
    <n v="2306"/>
    <n v="2"/>
    <n v="1"/>
    <n v="7"/>
    <n v="0"/>
    <x v="1"/>
    <x v="1"/>
    <x v="0"/>
    <n v="2"/>
    <s v="College"/>
    <s v="Medium"/>
    <x v="2"/>
    <s v="Low"/>
  </r>
  <r>
    <n v="45"/>
    <x v="1"/>
    <x v="1"/>
    <n v="9"/>
    <n v="3"/>
    <s v="Life Sciences"/>
    <n v="2"/>
    <n v="2"/>
    <x v="2"/>
    <n v="2348"/>
    <n v="8"/>
    <n v="1"/>
    <n v="17"/>
    <n v="0"/>
    <x v="1"/>
    <x v="1"/>
    <x v="1"/>
    <n v="1.6666666666666667"/>
    <s v="Bachelor"/>
    <s v="Medium"/>
    <x v="1"/>
    <s v="Low"/>
  </r>
  <r>
    <n v="32"/>
    <x v="1"/>
    <x v="0"/>
    <n v="8"/>
    <n v="3"/>
    <s v="Marketing"/>
    <n v="2"/>
    <n v="4"/>
    <x v="0"/>
    <n v="8998"/>
    <n v="1"/>
    <n v="3"/>
    <n v="9"/>
    <n v="0"/>
    <x v="2"/>
    <x v="2"/>
    <x v="0"/>
    <n v="3"/>
    <s v="Bachelor"/>
    <s v="Medium"/>
    <x v="0"/>
    <s v="High"/>
  </r>
  <r>
    <n v="29"/>
    <x v="1"/>
    <x v="1"/>
    <n v="1"/>
    <n v="1"/>
    <s v="Technical Degree"/>
    <n v="4"/>
    <n v="3"/>
    <x v="1"/>
    <n v="4319"/>
    <n v="1"/>
    <n v="3"/>
    <n v="10"/>
    <n v="0"/>
    <x v="2"/>
    <x v="0"/>
    <x v="1"/>
    <n v="3.3333333333333335"/>
    <s v="Below College"/>
    <s v="Very High"/>
    <x v="2"/>
    <s v="High"/>
  </r>
  <r>
    <n v="51"/>
    <x v="1"/>
    <x v="1"/>
    <n v="7"/>
    <n v="4"/>
    <s v="Medical"/>
    <n v="2"/>
    <n v="3"/>
    <x v="1"/>
    <n v="6132"/>
    <n v="2"/>
    <n v="3"/>
    <n v="1"/>
    <n v="0"/>
    <x v="1"/>
    <x v="0"/>
    <x v="2"/>
    <n v="2.6666666666666665"/>
    <s v="Master"/>
    <s v="Medium"/>
    <x v="2"/>
    <s v="High"/>
  </r>
  <r>
    <n v="58"/>
    <x v="1"/>
    <x v="1"/>
    <n v="9"/>
    <n v="3"/>
    <s v="Medical"/>
    <n v="2"/>
    <n v="2"/>
    <x v="1"/>
    <n v="3346"/>
    <n v="4"/>
    <n v="2"/>
    <n v="1"/>
    <n v="0"/>
    <x v="3"/>
    <x v="0"/>
    <x v="2"/>
    <n v="2"/>
    <s v="Bachelor"/>
    <s v="Medium"/>
    <x v="1"/>
    <s v="Medium"/>
  </r>
  <r>
    <n v="40"/>
    <x v="1"/>
    <x v="0"/>
    <n v="4"/>
    <n v="4"/>
    <s v="Marketing"/>
    <n v="3"/>
    <n v="4"/>
    <x v="1"/>
    <n v="10855"/>
    <n v="7"/>
    <n v="2"/>
    <n v="12"/>
    <n v="0"/>
    <x v="0"/>
    <x v="2"/>
    <x v="1"/>
    <n v="3"/>
    <s v="Master"/>
    <s v="High"/>
    <x v="0"/>
    <s v="Medium"/>
  </r>
  <r>
    <n v="34"/>
    <x v="1"/>
    <x v="0"/>
    <n v="2"/>
    <n v="4"/>
    <s v="Marketing"/>
    <n v="3"/>
    <n v="3"/>
    <x v="1"/>
    <n v="2231"/>
    <n v="6"/>
    <n v="3"/>
    <n v="4"/>
    <n v="0"/>
    <x v="2"/>
    <x v="1"/>
    <x v="3"/>
    <n v="3"/>
    <s v="Master"/>
    <s v="High"/>
    <x v="2"/>
    <s v="High"/>
  </r>
  <r>
    <n v="22"/>
    <x v="1"/>
    <x v="1"/>
    <n v="19"/>
    <n v="1"/>
    <s v="Medical"/>
    <n v="3"/>
    <n v="4"/>
    <x v="1"/>
    <n v="2323"/>
    <n v="1"/>
    <n v="3"/>
    <n v="2"/>
    <n v="0"/>
    <x v="4"/>
    <x v="1"/>
    <x v="3"/>
    <n v="3.3333333333333335"/>
    <s v="Below College"/>
    <s v="High"/>
    <x v="0"/>
    <s v="High"/>
  </r>
  <r>
    <n v="27"/>
    <x v="1"/>
    <x v="1"/>
    <n v="9"/>
    <n v="3"/>
    <s v="Medical"/>
    <n v="4"/>
    <n v="2"/>
    <x v="2"/>
    <n v="2024"/>
    <n v="6"/>
    <n v="1"/>
    <n v="2"/>
    <n v="0"/>
    <x v="2"/>
    <x v="1"/>
    <x v="3"/>
    <n v="2.3333333333333335"/>
    <s v="Bachelor"/>
    <s v="Very High"/>
    <x v="1"/>
    <s v="Low"/>
  </r>
  <r>
    <n v="28"/>
    <x v="1"/>
    <x v="1"/>
    <n v="21"/>
    <n v="3"/>
    <s v="Medical"/>
    <n v="3"/>
    <n v="4"/>
    <x v="1"/>
    <n v="2713"/>
    <n v="1"/>
    <n v="1"/>
    <n v="5"/>
    <n v="0"/>
    <x v="2"/>
    <x v="1"/>
    <x v="0"/>
    <n v="2.6666666666666665"/>
    <s v="Bachelor"/>
    <s v="High"/>
    <x v="0"/>
    <s v="Low"/>
  </r>
  <r>
    <n v="57"/>
    <x v="1"/>
    <x v="1"/>
    <n v="24"/>
    <n v="2"/>
    <s v="Life Sciences"/>
    <n v="3"/>
    <n v="4"/>
    <x v="2"/>
    <n v="9439"/>
    <n v="3"/>
    <n v="1"/>
    <n v="5"/>
    <n v="0"/>
    <x v="3"/>
    <x v="2"/>
    <x v="0"/>
    <n v="2.6666666666666665"/>
    <s v="College"/>
    <s v="High"/>
    <x v="0"/>
    <s v="Low"/>
  </r>
  <r>
    <n v="27"/>
    <x v="1"/>
    <x v="1"/>
    <n v="3"/>
    <n v="3"/>
    <s v="Medical"/>
    <n v="3"/>
    <n v="3"/>
    <x v="2"/>
    <n v="2566"/>
    <n v="1"/>
    <n v="2"/>
    <n v="1"/>
    <n v="0"/>
    <x v="2"/>
    <x v="1"/>
    <x v="2"/>
    <n v="2.6666666666666665"/>
    <s v="Bachelor"/>
    <s v="High"/>
    <x v="2"/>
    <s v="Medium"/>
  </r>
  <r>
    <n v="50"/>
    <x v="1"/>
    <x v="1"/>
    <n v="11"/>
    <n v="3"/>
    <s v="Life Sciences"/>
    <n v="3"/>
    <n v="2"/>
    <x v="0"/>
    <n v="19926"/>
    <n v="3"/>
    <n v="3"/>
    <n v="5"/>
    <n v="0"/>
    <x v="1"/>
    <x v="2"/>
    <x v="0"/>
    <n v="2.6666666666666665"/>
    <s v="Bachelor"/>
    <s v="High"/>
    <x v="1"/>
    <s v="High"/>
  </r>
  <r>
    <n v="41"/>
    <x v="1"/>
    <x v="1"/>
    <n v="14"/>
    <n v="3"/>
    <s v="Life Sciences"/>
    <n v="1"/>
    <n v="3"/>
    <x v="2"/>
    <n v="2451"/>
    <n v="4"/>
    <n v="3"/>
    <n v="9"/>
    <n v="0"/>
    <x v="0"/>
    <x v="1"/>
    <x v="0"/>
    <n v="2.3333333333333335"/>
    <s v="Bachelor"/>
    <s v="Low"/>
    <x v="2"/>
    <s v="High"/>
  </r>
  <r>
    <n v="30"/>
    <x v="1"/>
    <x v="0"/>
    <n v="5"/>
    <n v="3"/>
    <s v="Life Sciences"/>
    <n v="2"/>
    <n v="4"/>
    <x v="1"/>
    <n v="9419"/>
    <n v="2"/>
    <n v="3"/>
    <n v="10"/>
    <n v="0"/>
    <x v="2"/>
    <x v="2"/>
    <x v="1"/>
    <n v="3"/>
    <s v="Bachelor"/>
    <s v="Medium"/>
    <x v="0"/>
    <s v="High"/>
  </r>
  <r>
    <n v="38"/>
    <x v="1"/>
    <x v="0"/>
    <n v="1"/>
    <n v="4"/>
    <s v="Life Sciences"/>
    <n v="1"/>
    <n v="4"/>
    <x v="0"/>
    <n v="8686"/>
    <n v="4"/>
    <n v="4"/>
    <n v="8"/>
    <n v="0"/>
    <x v="0"/>
    <x v="2"/>
    <x v="0"/>
    <n v="3"/>
    <s v="Master"/>
    <s v="Low"/>
    <x v="0"/>
    <s v="Very High"/>
  </r>
  <r>
    <n v="32"/>
    <x v="1"/>
    <x v="1"/>
    <n v="6"/>
    <n v="5"/>
    <s v="Life Sciences"/>
    <n v="3"/>
    <n v="3"/>
    <x v="0"/>
    <n v="3038"/>
    <n v="3"/>
    <n v="3"/>
    <n v="5"/>
    <n v="0"/>
    <x v="2"/>
    <x v="0"/>
    <x v="0"/>
    <n v="3"/>
    <s v="Doctor"/>
    <s v="High"/>
    <x v="2"/>
    <s v="High"/>
  </r>
  <r>
    <n v="27"/>
    <x v="1"/>
    <x v="1"/>
    <n v="17"/>
    <n v="3"/>
    <s v="Technical Degree"/>
    <n v="3"/>
    <n v="2"/>
    <x v="1"/>
    <n v="3058"/>
    <n v="0"/>
    <n v="2"/>
    <n v="5"/>
    <n v="0"/>
    <x v="2"/>
    <x v="0"/>
    <x v="0"/>
    <n v="2.3333333333333335"/>
    <s v="Bachelor"/>
    <s v="High"/>
    <x v="1"/>
    <s v="Medium"/>
  </r>
  <r>
    <n v="19"/>
    <x v="0"/>
    <x v="0"/>
    <n v="1"/>
    <n v="1"/>
    <s v="Technical Degree"/>
    <n v="3"/>
    <n v="1"/>
    <x v="0"/>
    <n v="2325"/>
    <n v="0"/>
    <n v="4"/>
    <n v="0"/>
    <n v="1"/>
    <x v="4"/>
    <x v="1"/>
    <x v="2"/>
    <n v="2.6666666666666665"/>
    <s v="Below College"/>
    <s v="High"/>
    <x v="3"/>
    <s v="Very High"/>
  </r>
  <r>
    <n v="36"/>
    <x v="1"/>
    <x v="1"/>
    <n v="3"/>
    <n v="2"/>
    <s v="Medical"/>
    <n v="4"/>
    <n v="2"/>
    <x v="0"/>
    <n v="2088"/>
    <n v="4"/>
    <n v="2"/>
    <n v="8"/>
    <n v="0"/>
    <x v="0"/>
    <x v="1"/>
    <x v="0"/>
    <n v="2.6666666666666665"/>
    <s v="College"/>
    <s v="Very High"/>
    <x v="1"/>
    <s v="Medium"/>
  </r>
  <r>
    <n v="30"/>
    <x v="1"/>
    <x v="1"/>
    <n v="9"/>
    <n v="3"/>
    <s v="Medical"/>
    <n v="3"/>
    <n v="1"/>
    <x v="2"/>
    <n v="3072"/>
    <n v="1"/>
    <n v="3"/>
    <n v="12"/>
    <n v="0"/>
    <x v="2"/>
    <x v="0"/>
    <x v="1"/>
    <n v="2.3333333333333335"/>
    <s v="Bachelor"/>
    <s v="High"/>
    <x v="3"/>
    <s v="High"/>
  </r>
  <r>
    <n v="45"/>
    <x v="1"/>
    <x v="0"/>
    <n v="4"/>
    <n v="2"/>
    <s v="Life Sciences"/>
    <n v="3"/>
    <n v="1"/>
    <x v="2"/>
    <n v="5006"/>
    <n v="4"/>
    <n v="4"/>
    <n v="5"/>
    <n v="0"/>
    <x v="1"/>
    <x v="0"/>
    <x v="0"/>
    <n v="2.6666666666666665"/>
    <s v="College"/>
    <s v="High"/>
    <x v="3"/>
    <s v="Very High"/>
  </r>
  <r>
    <n v="56"/>
    <x v="1"/>
    <x v="1"/>
    <n v="8"/>
    <n v="3"/>
    <s v="Life Sciences"/>
    <n v="3"/>
    <n v="1"/>
    <x v="2"/>
    <n v="4257"/>
    <n v="4"/>
    <n v="3"/>
    <n v="2"/>
    <n v="0"/>
    <x v="3"/>
    <x v="0"/>
    <x v="3"/>
    <n v="2.3333333333333335"/>
    <s v="Bachelor"/>
    <s v="High"/>
    <x v="3"/>
    <s v="High"/>
  </r>
  <r>
    <n v="33"/>
    <x v="1"/>
    <x v="1"/>
    <n v="2"/>
    <n v="3"/>
    <s v="Life Sciences"/>
    <n v="3"/>
    <n v="4"/>
    <x v="0"/>
    <n v="2500"/>
    <n v="0"/>
    <n v="4"/>
    <n v="3"/>
    <n v="0"/>
    <x v="2"/>
    <x v="1"/>
    <x v="3"/>
    <n v="3.6666666666666665"/>
    <s v="Bachelor"/>
    <s v="High"/>
    <x v="0"/>
    <s v="Very High"/>
  </r>
  <r>
    <n v="19"/>
    <x v="0"/>
    <x v="1"/>
    <n v="2"/>
    <n v="3"/>
    <s v="Life Sciences"/>
    <n v="2"/>
    <n v="4"/>
    <x v="0"/>
    <n v="1102"/>
    <n v="1"/>
    <n v="2"/>
    <n v="1"/>
    <n v="1"/>
    <x v="4"/>
    <x v="1"/>
    <x v="2"/>
    <n v="2.6666666666666665"/>
    <s v="Bachelor"/>
    <s v="Medium"/>
    <x v="0"/>
    <s v="Medium"/>
  </r>
  <r>
    <n v="46"/>
    <x v="1"/>
    <x v="0"/>
    <n v="1"/>
    <n v="2"/>
    <s v="Marketing"/>
    <n v="2"/>
    <n v="1"/>
    <x v="2"/>
    <n v="10453"/>
    <n v="1"/>
    <n v="3"/>
    <n v="24"/>
    <n v="0"/>
    <x v="1"/>
    <x v="2"/>
    <x v="1"/>
    <n v="2"/>
    <s v="College"/>
    <s v="Medium"/>
    <x v="3"/>
    <s v="High"/>
  </r>
  <r>
    <n v="38"/>
    <x v="1"/>
    <x v="1"/>
    <n v="9"/>
    <n v="2"/>
    <s v="Life Sciences"/>
    <n v="3"/>
    <n v="4"/>
    <x v="0"/>
    <n v="2288"/>
    <n v="1"/>
    <n v="3"/>
    <n v="2"/>
    <n v="0"/>
    <x v="0"/>
    <x v="1"/>
    <x v="3"/>
    <n v="3.3333333333333335"/>
    <s v="College"/>
    <s v="High"/>
    <x v="0"/>
    <s v="High"/>
  </r>
  <r>
    <n v="31"/>
    <x v="1"/>
    <x v="1"/>
    <n v="12"/>
    <n v="1"/>
    <s v="Medical"/>
    <n v="3"/>
    <n v="4"/>
    <x v="1"/>
    <n v="3929"/>
    <n v="8"/>
    <n v="3"/>
    <n v="4"/>
    <n v="0"/>
    <x v="2"/>
    <x v="0"/>
    <x v="3"/>
    <n v="3.3333333333333335"/>
    <s v="Below College"/>
    <s v="High"/>
    <x v="0"/>
    <s v="High"/>
  </r>
  <r>
    <n v="34"/>
    <x v="1"/>
    <x v="1"/>
    <n v="27"/>
    <n v="2"/>
    <s v="Medical"/>
    <n v="4"/>
    <n v="2"/>
    <x v="0"/>
    <n v="2311"/>
    <n v="2"/>
    <n v="3"/>
    <n v="3"/>
    <n v="0"/>
    <x v="2"/>
    <x v="1"/>
    <x v="3"/>
    <n v="3"/>
    <s v="College"/>
    <s v="Very High"/>
    <x v="1"/>
    <s v="High"/>
  </r>
  <r>
    <n v="41"/>
    <x v="0"/>
    <x v="0"/>
    <n v="20"/>
    <n v="2"/>
    <s v="Marketing"/>
    <n v="2"/>
    <n v="2"/>
    <x v="0"/>
    <n v="3140"/>
    <n v="1"/>
    <n v="2"/>
    <n v="4"/>
    <n v="1"/>
    <x v="0"/>
    <x v="0"/>
    <x v="3"/>
    <n v="2"/>
    <s v="College"/>
    <s v="Medium"/>
    <x v="1"/>
    <s v="Medium"/>
  </r>
  <r>
    <n v="50"/>
    <x v="1"/>
    <x v="1"/>
    <n v="1"/>
    <n v="3"/>
    <s v="Medical"/>
    <n v="3"/>
    <n v="3"/>
    <x v="1"/>
    <n v="3690"/>
    <n v="2"/>
    <n v="2"/>
    <n v="3"/>
    <n v="0"/>
    <x v="1"/>
    <x v="0"/>
    <x v="3"/>
    <n v="2.6666666666666665"/>
    <s v="Bachelor"/>
    <s v="High"/>
    <x v="2"/>
    <s v="Medium"/>
  </r>
  <r>
    <n v="53"/>
    <x v="1"/>
    <x v="1"/>
    <n v="13"/>
    <n v="2"/>
    <s v="Medical"/>
    <n v="4"/>
    <n v="1"/>
    <x v="2"/>
    <n v="4450"/>
    <n v="1"/>
    <n v="3"/>
    <n v="4"/>
    <n v="0"/>
    <x v="1"/>
    <x v="0"/>
    <x v="3"/>
    <n v="2.6666666666666665"/>
    <s v="College"/>
    <s v="Very High"/>
    <x v="3"/>
    <s v="High"/>
  </r>
  <r>
    <n v="33"/>
    <x v="1"/>
    <x v="1"/>
    <n v="14"/>
    <n v="3"/>
    <s v="Medical"/>
    <n v="4"/>
    <n v="2"/>
    <x v="1"/>
    <n v="2756"/>
    <n v="1"/>
    <n v="3"/>
    <n v="8"/>
    <n v="0"/>
    <x v="2"/>
    <x v="1"/>
    <x v="0"/>
    <n v="3"/>
    <s v="Bachelor"/>
    <s v="Very High"/>
    <x v="1"/>
    <s v="High"/>
  </r>
  <r>
    <n v="40"/>
    <x v="1"/>
    <x v="1"/>
    <n v="4"/>
    <n v="1"/>
    <s v="Medical"/>
    <n v="4"/>
    <n v="3"/>
    <x v="1"/>
    <n v="19033"/>
    <n v="1"/>
    <n v="3"/>
    <n v="20"/>
    <n v="0"/>
    <x v="0"/>
    <x v="2"/>
    <x v="1"/>
    <n v="3.3333333333333335"/>
    <s v="Below College"/>
    <s v="Very High"/>
    <x v="2"/>
    <s v="High"/>
  </r>
  <r>
    <n v="55"/>
    <x v="1"/>
    <x v="1"/>
    <n v="14"/>
    <n v="4"/>
    <s v="Medical"/>
    <n v="3"/>
    <n v="2"/>
    <x v="0"/>
    <n v="18722"/>
    <n v="8"/>
    <n v="3"/>
    <n v="24"/>
    <n v="0"/>
    <x v="3"/>
    <x v="2"/>
    <x v="1"/>
    <n v="2.6666666666666665"/>
    <s v="Master"/>
    <s v="High"/>
    <x v="1"/>
    <s v="High"/>
  </r>
  <r>
    <n v="34"/>
    <x v="1"/>
    <x v="1"/>
    <n v="2"/>
    <n v="1"/>
    <s v="Life Sciences"/>
    <n v="4"/>
    <n v="3"/>
    <x v="1"/>
    <n v="9547"/>
    <n v="1"/>
    <n v="2"/>
    <n v="10"/>
    <n v="0"/>
    <x v="2"/>
    <x v="2"/>
    <x v="1"/>
    <n v="3"/>
    <s v="Below College"/>
    <s v="Very High"/>
    <x v="2"/>
    <s v="Medium"/>
  </r>
  <r>
    <n v="51"/>
    <x v="1"/>
    <x v="1"/>
    <n v="3"/>
    <n v="3"/>
    <s v="Medical"/>
    <n v="4"/>
    <n v="2"/>
    <x v="0"/>
    <n v="13734"/>
    <n v="3"/>
    <n v="3"/>
    <n v="7"/>
    <n v="0"/>
    <x v="1"/>
    <x v="2"/>
    <x v="0"/>
    <n v="3"/>
    <s v="Bachelor"/>
    <s v="Very High"/>
    <x v="1"/>
    <s v="High"/>
  </r>
  <r>
    <n v="52"/>
    <x v="1"/>
    <x v="1"/>
    <n v="1"/>
    <n v="4"/>
    <s v="Life Sciences"/>
    <n v="3"/>
    <n v="3"/>
    <x v="1"/>
    <n v="19999"/>
    <n v="0"/>
    <n v="3"/>
    <n v="33"/>
    <n v="0"/>
    <x v="1"/>
    <x v="2"/>
    <x v="1"/>
    <n v="3"/>
    <s v="Master"/>
    <s v="High"/>
    <x v="2"/>
    <s v="High"/>
  </r>
  <r>
    <n v="27"/>
    <x v="1"/>
    <x v="1"/>
    <n v="9"/>
    <n v="3"/>
    <s v="Medical"/>
    <n v="4"/>
    <n v="2"/>
    <x v="0"/>
    <n v="2279"/>
    <n v="1"/>
    <n v="2"/>
    <n v="7"/>
    <n v="0"/>
    <x v="2"/>
    <x v="1"/>
    <x v="0"/>
    <n v="2.6666666666666665"/>
    <s v="Bachelor"/>
    <s v="Very High"/>
    <x v="1"/>
    <s v="Medium"/>
  </r>
  <r>
    <n v="35"/>
    <x v="0"/>
    <x v="1"/>
    <n v="23"/>
    <n v="2"/>
    <s v="Life Sciences"/>
    <n v="2"/>
    <n v="3"/>
    <x v="1"/>
    <n v="5916"/>
    <n v="3"/>
    <n v="3"/>
    <n v="1"/>
    <n v="1"/>
    <x v="0"/>
    <x v="0"/>
    <x v="2"/>
    <n v="2.6666666666666665"/>
    <s v="College"/>
    <s v="Medium"/>
    <x v="2"/>
    <s v="High"/>
  </r>
  <r>
    <n v="43"/>
    <x v="1"/>
    <x v="1"/>
    <n v="7"/>
    <n v="3"/>
    <s v="Medical"/>
    <n v="4"/>
    <n v="4"/>
    <x v="2"/>
    <n v="2089"/>
    <n v="4"/>
    <n v="4"/>
    <n v="5"/>
    <n v="0"/>
    <x v="0"/>
    <x v="1"/>
    <x v="0"/>
    <n v="4"/>
    <s v="Bachelor"/>
    <s v="Very High"/>
    <x v="0"/>
    <s v="Very High"/>
  </r>
  <r>
    <n v="45"/>
    <x v="1"/>
    <x v="1"/>
    <n v="2"/>
    <n v="2"/>
    <s v="Medical"/>
    <n v="1"/>
    <n v="4"/>
    <x v="1"/>
    <n v="16792"/>
    <n v="9"/>
    <n v="3"/>
    <n v="20"/>
    <n v="0"/>
    <x v="1"/>
    <x v="2"/>
    <x v="1"/>
    <n v="2.6666666666666665"/>
    <s v="College"/>
    <s v="Low"/>
    <x v="0"/>
    <s v="High"/>
  </r>
  <r>
    <n v="37"/>
    <x v="1"/>
    <x v="1"/>
    <n v="21"/>
    <n v="3"/>
    <s v="Life Sciences"/>
    <n v="2"/>
    <n v="1"/>
    <x v="1"/>
    <n v="3564"/>
    <n v="1"/>
    <n v="2"/>
    <n v="8"/>
    <n v="0"/>
    <x v="0"/>
    <x v="0"/>
    <x v="0"/>
    <n v="1.6666666666666667"/>
    <s v="Bachelor"/>
    <s v="Medium"/>
    <x v="3"/>
    <s v="Medium"/>
  </r>
  <r>
    <n v="35"/>
    <x v="1"/>
    <x v="1"/>
    <n v="2"/>
    <n v="3"/>
    <s v="Medical"/>
    <n v="2"/>
    <n v="2"/>
    <x v="0"/>
    <n v="4425"/>
    <n v="5"/>
    <n v="3"/>
    <n v="6"/>
    <n v="0"/>
    <x v="0"/>
    <x v="0"/>
    <x v="0"/>
    <n v="2.3333333333333335"/>
    <s v="Bachelor"/>
    <s v="Medium"/>
    <x v="1"/>
    <s v="High"/>
  </r>
  <r>
    <n v="42"/>
    <x v="1"/>
    <x v="1"/>
    <n v="21"/>
    <n v="2"/>
    <s v="Medical"/>
    <n v="3"/>
    <n v="3"/>
    <x v="2"/>
    <n v="5265"/>
    <n v="2"/>
    <n v="3"/>
    <n v="5"/>
    <n v="0"/>
    <x v="0"/>
    <x v="0"/>
    <x v="0"/>
    <n v="3"/>
    <s v="College"/>
    <s v="High"/>
    <x v="2"/>
    <s v="High"/>
  </r>
  <r>
    <n v="38"/>
    <x v="1"/>
    <x v="1"/>
    <n v="2"/>
    <n v="4"/>
    <s v="Life Sciences"/>
    <n v="4"/>
    <n v="3"/>
    <x v="1"/>
    <n v="6553"/>
    <n v="9"/>
    <n v="3"/>
    <n v="1"/>
    <n v="0"/>
    <x v="0"/>
    <x v="0"/>
    <x v="2"/>
    <n v="3.3333333333333335"/>
    <s v="Master"/>
    <s v="Very High"/>
    <x v="2"/>
    <s v="High"/>
  </r>
  <r>
    <n v="38"/>
    <x v="1"/>
    <x v="1"/>
    <n v="29"/>
    <n v="3"/>
    <s v="Technical Degree"/>
    <n v="4"/>
    <n v="4"/>
    <x v="1"/>
    <n v="6261"/>
    <n v="3"/>
    <n v="1"/>
    <n v="7"/>
    <n v="0"/>
    <x v="0"/>
    <x v="0"/>
    <x v="0"/>
    <n v="3"/>
    <s v="Bachelor"/>
    <s v="Very High"/>
    <x v="0"/>
    <s v="Low"/>
  </r>
  <r>
    <n v="27"/>
    <x v="1"/>
    <x v="1"/>
    <n v="1"/>
    <n v="1"/>
    <s v="Technical Degree"/>
    <n v="3"/>
    <n v="1"/>
    <x v="1"/>
    <n v="4298"/>
    <n v="5"/>
    <n v="3"/>
    <n v="2"/>
    <n v="0"/>
    <x v="2"/>
    <x v="0"/>
    <x v="3"/>
    <n v="2.3333333333333335"/>
    <s v="Below College"/>
    <s v="High"/>
    <x v="3"/>
    <s v="High"/>
  </r>
  <r>
    <n v="49"/>
    <x v="1"/>
    <x v="1"/>
    <n v="18"/>
    <n v="4"/>
    <s v="Life Sciences"/>
    <n v="4"/>
    <n v="4"/>
    <x v="2"/>
    <n v="6804"/>
    <n v="1"/>
    <n v="3"/>
    <n v="7"/>
    <n v="0"/>
    <x v="1"/>
    <x v="0"/>
    <x v="0"/>
    <n v="3.6666666666666665"/>
    <s v="Master"/>
    <s v="Very High"/>
    <x v="0"/>
    <s v="High"/>
  </r>
  <r>
    <n v="34"/>
    <x v="1"/>
    <x v="1"/>
    <n v="10"/>
    <n v="4"/>
    <s v="Medical"/>
    <n v="4"/>
    <n v="3"/>
    <x v="2"/>
    <n v="3815"/>
    <n v="1"/>
    <n v="4"/>
    <n v="5"/>
    <n v="0"/>
    <x v="2"/>
    <x v="0"/>
    <x v="0"/>
    <n v="3.6666666666666665"/>
    <s v="Master"/>
    <s v="Very High"/>
    <x v="2"/>
    <s v="Very High"/>
  </r>
  <r>
    <n v="40"/>
    <x v="1"/>
    <x v="1"/>
    <n v="19"/>
    <n v="2"/>
    <s v="Medical"/>
    <n v="3"/>
    <n v="4"/>
    <x v="1"/>
    <n v="2741"/>
    <n v="8"/>
    <n v="4"/>
    <n v="7"/>
    <n v="0"/>
    <x v="0"/>
    <x v="1"/>
    <x v="0"/>
    <n v="3.6666666666666665"/>
    <s v="College"/>
    <s v="High"/>
    <x v="0"/>
    <s v="Very High"/>
  </r>
  <r>
    <n v="38"/>
    <x v="0"/>
    <x v="1"/>
    <n v="29"/>
    <n v="1"/>
    <s v="Medical"/>
    <n v="2"/>
    <n v="1"/>
    <x v="1"/>
    <n v="6673"/>
    <n v="7"/>
    <n v="3"/>
    <n v="1"/>
    <n v="1"/>
    <x v="0"/>
    <x v="0"/>
    <x v="2"/>
    <n v="2"/>
    <s v="Below College"/>
    <s v="Medium"/>
    <x v="3"/>
    <s v="High"/>
  </r>
  <r>
    <n v="29"/>
    <x v="0"/>
    <x v="0"/>
    <n v="27"/>
    <n v="3"/>
    <s v="Marketing"/>
    <n v="2"/>
    <n v="4"/>
    <x v="1"/>
    <n v="7639"/>
    <n v="1"/>
    <n v="2"/>
    <n v="10"/>
    <n v="1"/>
    <x v="2"/>
    <x v="2"/>
    <x v="1"/>
    <n v="2.6666666666666665"/>
    <s v="Bachelor"/>
    <s v="Medium"/>
    <x v="0"/>
    <s v="Medium"/>
  </r>
  <r>
    <n v="22"/>
    <x v="1"/>
    <x v="1"/>
    <n v="5"/>
    <n v="3"/>
    <s v="Life Sciences"/>
    <n v="4"/>
    <n v="2"/>
    <x v="2"/>
    <n v="2328"/>
    <n v="1"/>
    <n v="2"/>
    <n v="4"/>
    <n v="0"/>
    <x v="4"/>
    <x v="1"/>
    <x v="3"/>
    <n v="2.6666666666666665"/>
    <s v="Bachelor"/>
    <s v="Very High"/>
    <x v="1"/>
    <s v="Medium"/>
  </r>
  <r>
    <n v="36"/>
    <x v="1"/>
    <x v="1"/>
    <n v="18"/>
    <n v="1"/>
    <s v="Medical"/>
    <n v="2"/>
    <n v="4"/>
    <x v="0"/>
    <n v="2153"/>
    <n v="1"/>
    <n v="3"/>
    <n v="8"/>
    <n v="0"/>
    <x v="0"/>
    <x v="1"/>
    <x v="0"/>
    <n v="3"/>
    <s v="Below College"/>
    <s v="Medium"/>
    <x v="0"/>
    <s v="High"/>
  </r>
  <r>
    <n v="40"/>
    <x v="1"/>
    <x v="1"/>
    <n v="9"/>
    <n v="5"/>
    <s v="Life Sciences"/>
    <n v="4"/>
    <n v="4"/>
    <x v="1"/>
    <n v="4876"/>
    <n v="9"/>
    <n v="1"/>
    <n v="3"/>
    <n v="0"/>
    <x v="0"/>
    <x v="0"/>
    <x v="3"/>
    <n v="3"/>
    <s v="Doctor"/>
    <s v="Very High"/>
    <x v="0"/>
    <s v="Low"/>
  </r>
  <r>
    <n v="46"/>
    <x v="1"/>
    <x v="1"/>
    <n v="1"/>
    <n v="4"/>
    <s v="Medical"/>
    <n v="4"/>
    <n v="1"/>
    <x v="2"/>
    <n v="9396"/>
    <n v="7"/>
    <n v="3"/>
    <n v="4"/>
    <n v="0"/>
    <x v="1"/>
    <x v="2"/>
    <x v="3"/>
    <n v="2.6666666666666665"/>
    <s v="Master"/>
    <s v="Very High"/>
    <x v="3"/>
    <s v="High"/>
  </r>
  <r>
    <n v="32"/>
    <x v="0"/>
    <x v="0"/>
    <n v="4"/>
    <n v="4"/>
    <s v="Medical"/>
    <n v="4"/>
    <n v="4"/>
    <x v="1"/>
    <n v="10400"/>
    <n v="1"/>
    <n v="2"/>
    <n v="14"/>
    <n v="1"/>
    <x v="2"/>
    <x v="2"/>
    <x v="1"/>
    <n v="3.3333333333333335"/>
    <s v="Master"/>
    <s v="Very High"/>
    <x v="0"/>
    <s v="Medium"/>
  </r>
  <r>
    <n v="30"/>
    <x v="1"/>
    <x v="1"/>
    <n v="1"/>
    <n v="1"/>
    <s v="Life Sciences"/>
    <n v="3"/>
    <n v="3"/>
    <x v="0"/>
    <n v="8474"/>
    <n v="1"/>
    <n v="3"/>
    <n v="11"/>
    <n v="0"/>
    <x v="2"/>
    <x v="2"/>
    <x v="1"/>
    <n v="3"/>
    <s v="Below College"/>
    <s v="High"/>
    <x v="2"/>
    <s v="High"/>
  </r>
  <r>
    <n v="27"/>
    <x v="1"/>
    <x v="0"/>
    <n v="20"/>
    <n v="3"/>
    <s v="Life Sciences"/>
    <n v="4"/>
    <n v="3"/>
    <x v="0"/>
    <n v="9981"/>
    <n v="1"/>
    <n v="3"/>
    <n v="7"/>
    <n v="0"/>
    <x v="2"/>
    <x v="2"/>
    <x v="0"/>
    <n v="3.3333333333333335"/>
    <s v="Bachelor"/>
    <s v="Very High"/>
    <x v="2"/>
    <s v="High"/>
  </r>
  <r>
    <n v="51"/>
    <x v="1"/>
    <x v="1"/>
    <n v="8"/>
    <n v="4"/>
    <s v="Life Sciences"/>
    <n v="2"/>
    <n v="2"/>
    <x v="1"/>
    <n v="12490"/>
    <n v="5"/>
    <n v="1"/>
    <n v="10"/>
    <n v="0"/>
    <x v="1"/>
    <x v="2"/>
    <x v="1"/>
    <n v="1.6666666666666667"/>
    <s v="Master"/>
    <s v="Medium"/>
    <x v="1"/>
    <s v="Low"/>
  </r>
  <r>
    <n v="30"/>
    <x v="0"/>
    <x v="1"/>
    <n v="3"/>
    <n v="3"/>
    <s v="Technical Degree"/>
    <n v="4"/>
    <n v="1"/>
    <x v="0"/>
    <n v="2657"/>
    <n v="5"/>
    <n v="3"/>
    <n v="5"/>
    <n v="1"/>
    <x v="2"/>
    <x v="1"/>
    <x v="0"/>
    <n v="2.6666666666666665"/>
    <s v="Bachelor"/>
    <s v="Very High"/>
    <x v="3"/>
    <s v="High"/>
  </r>
  <r>
    <n v="41"/>
    <x v="1"/>
    <x v="0"/>
    <n v="6"/>
    <n v="3"/>
    <s v="Life Sciences"/>
    <n v="4"/>
    <n v="4"/>
    <x v="0"/>
    <n v="13591"/>
    <n v="3"/>
    <n v="3"/>
    <n v="1"/>
    <n v="0"/>
    <x v="0"/>
    <x v="2"/>
    <x v="2"/>
    <n v="3.6666666666666665"/>
    <s v="Bachelor"/>
    <s v="Very High"/>
    <x v="0"/>
    <s v="High"/>
  </r>
  <r>
    <n v="30"/>
    <x v="0"/>
    <x v="0"/>
    <n v="26"/>
    <n v="4"/>
    <s v="Marketing"/>
    <n v="3"/>
    <n v="1"/>
    <x v="0"/>
    <n v="6696"/>
    <n v="5"/>
    <n v="2"/>
    <n v="6"/>
    <n v="1"/>
    <x v="2"/>
    <x v="0"/>
    <x v="0"/>
    <n v="2"/>
    <s v="Master"/>
    <s v="High"/>
    <x v="3"/>
    <s v="Medium"/>
  </r>
  <r>
    <n v="29"/>
    <x v="0"/>
    <x v="1"/>
    <n v="1"/>
    <n v="3"/>
    <s v="Technical Degree"/>
    <n v="3"/>
    <n v="3"/>
    <x v="0"/>
    <n v="2058"/>
    <n v="0"/>
    <n v="2"/>
    <n v="6"/>
    <n v="1"/>
    <x v="2"/>
    <x v="1"/>
    <x v="0"/>
    <n v="2.6666666666666665"/>
    <s v="Bachelor"/>
    <s v="High"/>
    <x v="2"/>
    <s v="Medium"/>
  </r>
  <r>
    <n v="45"/>
    <x v="1"/>
    <x v="0"/>
    <n v="6"/>
    <n v="3"/>
    <s v="Medical"/>
    <n v="4"/>
    <n v="4"/>
    <x v="0"/>
    <n v="8865"/>
    <n v="6"/>
    <n v="3"/>
    <n v="19"/>
    <n v="0"/>
    <x v="1"/>
    <x v="2"/>
    <x v="1"/>
    <n v="3.6666666666666665"/>
    <s v="Bachelor"/>
    <s v="Very High"/>
    <x v="0"/>
    <s v="High"/>
  </r>
  <r>
    <n v="54"/>
    <x v="1"/>
    <x v="0"/>
    <n v="3"/>
    <n v="3"/>
    <s v="Marketing"/>
    <n v="4"/>
    <n v="1"/>
    <x v="1"/>
    <n v="5940"/>
    <n v="2"/>
    <n v="3"/>
    <n v="6"/>
    <n v="0"/>
    <x v="1"/>
    <x v="0"/>
    <x v="0"/>
    <n v="2.6666666666666665"/>
    <s v="Bachelor"/>
    <s v="Very High"/>
    <x v="3"/>
    <s v="High"/>
  </r>
  <r>
    <n v="36"/>
    <x v="1"/>
    <x v="1"/>
    <n v="5"/>
    <n v="2"/>
    <s v="Life Sciences"/>
    <n v="4"/>
    <n v="2"/>
    <x v="0"/>
    <n v="5914"/>
    <n v="8"/>
    <n v="4"/>
    <n v="13"/>
    <n v="0"/>
    <x v="0"/>
    <x v="0"/>
    <x v="1"/>
    <n v="3.3333333333333335"/>
    <s v="College"/>
    <s v="Very High"/>
    <x v="1"/>
    <s v="Very High"/>
  </r>
  <r>
    <n v="33"/>
    <x v="1"/>
    <x v="1"/>
    <n v="4"/>
    <n v="4"/>
    <s v="Medical"/>
    <n v="3"/>
    <n v="2"/>
    <x v="1"/>
    <n v="2622"/>
    <n v="6"/>
    <n v="3"/>
    <n v="3"/>
    <n v="0"/>
    <x v="2"/>
    <x v="1"/>
    <x v="3"/>
    <n v="2.6666666666666665"/>
    <s v="Master"/>
    <s v="High"/>
    <x v="1"/>
    <s v="High"/>
  </r>
  <r>
    <n v="37"/>
    <x v="1"/>
    <x v="1"/>
    <n v="11"/>
    <n v="3"/>
    <s v="Other"/>
    <n v="2"/>
    <n v="4"/>
    <x v="2"/>
    <n v="12185"/>
    <n v="1"/>
    <n v="3"/>
    <n v="10"/>
    <n v="0"/>
    <x v="0"/>
    <x v="2"/>
    <x v="1"/>
    <n v="3"/>
    <s v="Bachelor"/>
    <s v="Medium"/>
    <x v="0"/>
    <s v="High"/>
  </r>
  <r>
    <n v="38"/>
    <x v="1"/>
    <x v="0"/>
    <n v="3"/>
    <n v="3"/>
    <s v="Life Sciences"/>
    <n v="1"/>
    <n v="3"/>
    <x v="2"/>
    <n v="10609"/>
    <n v="0"/>
    <n v="2"/>
    <n v="16"/>
    <n v="0"/>
    <x v="0"/>
    <x v="2"/>
    <x v="1"/>
    <n v="2"/>
    <s v="Bachelor"/>
    <s v="Low"/>
    <x v="2"/>
    <s v="Medium"/>
  </r>
  <r>
    <n v="31"/>
    <x v="1"/>
    <x v="1"/>
    <n v="1"/>
    <n v="4"/>
    <s v="Medical"/>
    <n v="3"/>
    <n v="3"/>
    <x v="1"/>
    <n v="4345"/>
    <n v="0"/>
    <n v="3"/>
    <n v="5"/>
    <n v="0"/>
    <x v="2"/>
    <x v="0"/>
    <x v="0"/>
    <n v="3"/>
    <s v="Master"/>
    <s v="High"/>
    <x v="2"/>
    <s v="High"/>
  </r>
  <r>
    <n v="59"/>
    <x v="1"/>
    <x v="1"/>
    <n v="3"/>
    <n v="3"/>
    <s v="Life Sciences"/>
    <n v="3"/>
    <n v="4"/>
    <x v="1"/>
    <n v="2177"/>
    <n v="3"/>
    <n v="3"/>
    <n v="1"/>
    <n v="0"/>
    <x v="3"/>
    <x v="1"/>
    <x v="2"/>
    <n v="3.3333333333333335"/>
    <s v="Bachelor"/>
    <s v="High"/>
    <x v="0"/>
    <s v="High"/>
  </r>
  <r>
    <n v="37"/>
    <x v="1"/>
    <x v="0"/>
    <n v="4"/>
    <n v="4"/>
    <s v="Marketing"/>
    <n v="1"/>
    <n v="4"/>
    <x v="2"/>
    <n v="2793"/>
    <n v="4"/>
    <n v="3"/>
    <n v="9"/>
    <n v="0"/>
    <x v="0"/>
    <x v="1"/>
    <x v="0"/>
    <n v="2.6666666666666665"/>
    <s v="Master"/>
    <s v="Low"/>
    <x v="0"/>
    <s v="High"/>
  </r>
  <r>
    <n v="29"/>
    <x v="1"/>
    <x v="0"/>
    <n v="1"/>
    <n v="1"/>
    <s v="Medical"/>
    <n v="2"/>
    <n v="4"/>
    <x v="1"/>
    <n v="7918"/>
    <n v="1"/>
    <n v="3"/>
    <n v="11"/>
    <n v="0"/>
    <x v="2"/>
    <x v="2"/>
    <x v="1"/>
    <n v="3"/>
    <s v="Below College"/>
    <s v="Medium"/>
    <x v="0"/>
    <s v="High"/>
  </r>
  <r>
    <n v="35"/>
    <x v="1"/>
    <x v="0"/>
    <n v="1"/>
    <n v="3"/>
    <s v="Marketing"/>
    <n v="3"/>
    <n v="3"/>
    <x v="0"/>
    <n v="8789"/>
    <n v="1"/>
    <n v="4"/>
    <n v="10"/>
    <n v="0"/>
    <x v="0"/>
    <x v="2"/>
    <x v="1"/>
    <n v="3.3333333333333335"/>
    <s v="Bachelor"/>
    <s v="High"/>
    <x v="2"/>
    <s v="Very High"/>
  </r>
  <r>
    <n v="29"/>
    <x v="0"/>
    <x v="1"/>
    <n v="18"/>
    <n v="1"/>
    <s v="Medical"/>
    <n v="3"/>
    <n v="4"/>
    <x v="0"/>
    <n v="2389"/>
    <n v="1"/>
    <n v="2"/>
    <n v="4"/>
    <n v="1"/>
    <x v="2"/>
    <x v="1"/>
    <x v="3"/>
    <n v="3"/>
    <s v="Below College"/>
    <s v="High"/>
    <x v="0"/>
    <s v="Medium"/>
  </r>
  <r>
    <n v="52"/>
    <x v="1"/>
    <x v="1"/>
    <n v="2"/>
    <n v="3"/>
    <s v="Life Sciences"/>
    <n v="3"/>
    <n v="4"/>
    <x v="0"/>
    <n v="3212"/>
    <n v="7"/>
    <n v="2"/>
    <n v="2"/>
    <n v="0"/>
    <x v="1"/>
    <x v="0"/>
    <x v="3"/>
    <n v="3"/>
    <s v="Bachelor"/>
    <s v="High"/>
    <x v="0"/>
    <s v="Medium"/>
  </r>
  <r>
    <n v="42"/>
    <x v="1"/>
    <x v="1"/>
    <n v="4"/>
    <n v="2"/>
    <s v="Technical Degree"/>
    <n v="3"/>
    <n v="4"/>
    <x v="1"/>
    <n v="19232"/>
    <n v="1"/>
    <n v="3"/>
    <n v="22"/>
    <n v="0"/>
    <x v="0"/>
    <x v="2"/>
    <x v="1"/>
    <n v="3.3333333333333335"/>
    <s v="College"/>
    <s v="High"/>
    <x v="0"/>
    <s v="High"/>
  </r>
  <r>
    <n v="59"/>
    <x v="1"/>
    <x v="2"/>
    <n v="6"/>
    <n v="2"/>
    <s v="Medical"/>
    <n v="2"/>
    <n v="3"/>
    <x v="1"/>
    <n v="2267"/>
    <n v="8"/>
    <n v="2"/>
    <n v="2"/>
    <n v="0"/>
    <x v="3"/>
    <x v="1"/>
    <x v="3"/>
    <n v="2.3333333333333335"/>
    <s v="College"/>
    <s v="Medium"/>
    <x v="2"/>
    <s v="Medium"/>
  </r>
  <r>
    <n v="50"/>
    <x v="1"/>
    <x v="0"/>
    <n v="1"/>
    <n v="4"/>
    <s v="Medical"/>
    <n v="4"/>
    <n v="4"/>
    <x v="2"/>
    <n v="19517"/>
    <n v="3"/>
    <n v="2"/>
    <n v="7"/>
    <n v="0"/>
    <x v="1"/>
    <x v="2"/>
    <x v="0"/>
    <n v="3.3333333333333335"/>
    <s v="Master"/>
    <s v="Very High"/>
    <x v="0"/>
    <s v="Medium"/>
  </r>
  <r>
    <n v="33"/>
    <x v="0"/>
    <x v="1"/>
    <n v="14"/>
    <n v="3"/>
    <s v="Medical"/>
    <n v="3"/>
    <n v="4"/>
    <x v="1"/>
    <n v="2436"/>
    <n v="5"/>
    <n v="1"/>
    <n v="5"/>
    <n v="1"/>
    <x v="2"/>
    <x v="1"/>
    <x v="0"/>
    <n v="2.6666666666666665"/>
    <s v="Bachelor"/>
    <s v="High"/>
    <x v="0"/>
    <s v="Low"/>
  </r>
  <r>
    <n v="43"/>
    <x v="1"/>
    <x v="0"/>
    <n v="16"/>
    <n v="3"/>
    <s v="Marketing"/>
    <n v="4"/>
    <n v="4"/>
    <x v="1"/>
    <n v="16064"/>
    <n v="5"/>
    <n v="3"/>
    <n v="17"/>
    <n v="0"/>
    <x v="0"/>
    <x v="2"/>
    <x v="1"/>
    <n v="3.6666666666666665"/>
    <s v="Bachelor"/>
    <s v="Very High"/>
    <x v="0"/>
    <s v="High"/>
  </r>
  <r>
    <n v="33"/>
    <x v="0"/>
    <x v="1"/>
    <n v="2"/>
    <n v="2"/>
    <s v="Life Sciences"/>
    <n v="1"/>
    <n v="1"/>
    <x v="1"/>
    <n v="2707"/>
    <n v="7"/>
    <n v="4"/>
    <n v="9"/>
    <n v="1"/>
    <x v="2"/>
    <x v="1"/>
    <x v="0"/>
    <n v="2"/>
    <s v="College"/>
    <s v="Low"/>
    <x v="3"/>
    <s v="Very High"/>
  </r>
  <r>
    <n v="52"/>
    <x v="1"/>
    <x v="0"/>
    <n v="2"/>
    <n v="4"/>
    <s v="Life Sciences"/>
    <n v="1"/>
    <n v="3"/>
    <x v="0"/>
    <n v="19068"/>
    <n v="1"/>
    <n v="4"/>
    <n v="33"/>
    <n v="0"/>
    <x v="1"/>
    <x v="2"/>
    <x v="1"/>
    <n v="2.6666666666666665"/>
    <s v="Master"/>
    <s v="Low"/>
    <x v="2"/>
    <s v="Very High"/>
  </r>
  <r>
    <n v="32"/>
    <x v="1"/>
    <x v="0"/>
    <n v="4"/>
    <n v="2"/>
    <s v="Life Sciences"/>
    <n v="3"/>
    <n v="2"/>
    <x v="1"/>
    <n v="3931"/>
    <n v="2"/>
    <n v="3"/>
    <n v="4"/>
    <n v="0"/>
    <x v="2"/>
    <x v="0"/>
    <x v="3"/>
    <n v="2.6666666666666665"/>
    <s v="College"/>
    <s v="High"/>
    <x v="1"/>
    <s v="High"/>
  </r>
  <r>
    <n v="32"/>
    <x v="0"/>
    <x v="1"/>
    <n v="1"/>
    <n v="3"/>
    <s v="Life Sciences"/>
    <n v="4"/>
    <n v="3"/>
    <x v="0"/>
    <n v="3730"/>
    <n v="0"/>
    <n v="1"/>
    <n v="3"/>
    <n v="1"/>
    <x v="2"/>
    <x v="0"/>
    <x v="3"/>
    <n v="2.6666666666666665"/>
    <s v="Bachelor"/>
    <s v="Very High"/>
    <x v="2"/>
    <s v="Low"/>
  </r>
  <r>
    <n v="39"/>
    <x v="1"/>
    <x v="1"/>
    <n v="1"/>
    <n v="4"/>
    <s v="Medical"/>
    <n v="3"/>
    <n v="3"/>
    <x v="2"/>
    <n v="2232"/>
    <n v="7"/>
    <n v="3"/>
    <n v="3"/>
    <n v="0"/>
    <x v="0"/>
    <x v="1"/>
    <x v="3"/>
    <n v="3"/>
    <s v="Master"/>
    <s v="High"/>
    <x v="2"/>
    <s v="High"/>
  </r>
  <r>
    <n v="32"/>
    <x v="1"/>
    <x v="0"/>
    <n v="26"/>
    <n v="4"/>
    <s v="Marketing"/>
    <n v="3"/>
    <n v="4"/>
    <x v="1"/>
    <n v="4465"/>
    <n v="0"/>
    <n v="3"/>
    <n v="3"/>
    <n v="0"/>
    <x v="2"/>
    <x v="0"/>
    <x v="3"/>
    <n v="3.3333333333333335"/>
    <s v="Master"/>
    <s v="High"/>
    <x v="0"/>
    <s v="High"/>
  </r>
  <r>
    <n v="41"/>
    <x v="1"/>
    <x v="1"/>
    <n v="19"/>
    <n v="2"/>
    <s v="Life Sciences"/>
    <n v="3"/>
    <n v="1"/>
    <x v="2"/>
    <n v="3072"/>
    <n v="2"/>
    <n v="2"/>
    <n v="1"/>
    <n v="0"/>
    <x v="0"/>
    <x v="0"/>
    <x v="2"/>
    <n v="2"/>
    <s v="College"/>
    <s v="High"/>
    <x v="3"/>
    <s v="Medium"/>
  </r>
  <r>
    <n v="40"/>
    <x v="1"/>
    <x v="1"/>
    <n v="24"/>
    <n v="2"/>
    <s v="Technical Degree"/>
    <n v="1"/>
    <n v="4"/>
    <x v="2"/>
    <n v="3319"/>
    <n v="1"/>
    <n v="3"/>
    <n v="9"/>
    <n v="0"/>
    <x v="0"/>
    <x v="0"/>
    <x v="0"/>
    <n v="2.6666666666666665"/>
    <s v="College"/>
    <s v="Low"/>
    <x v="0"/>
    <s v="High"/>
  </r>
  <r>
    <n v="45"/>
    <x v="1"/>
    <x v="1"/>
    <n v="1"/>
    <n v="3"/>
    <s v="Other"/>
    <n v="3"/>
    <n v="4"/>
    <x v="1"/>
    <n v="19202"/>
    <n v="0"/>
    <n v="3"/>
    <n v="24"/>
    <n v="0"/>
    <x v="1"/>
    <x v="2"/>
    <x v="1"/>
    <n v="3.3333333333333335"/>
    <s v="Bachelor"/>
    <s v="High"/>
    <x v="0"/>
    <s v="High"/>
  </r>
  <r>
    <n v="31"/>
    <x v="1"/>
    <x v="1"/>
    <n v="3"/>
    <n v="4"/>
    <s v="Medical"/>
    <n v="2"/>
    <n v="3"/>
    <x v="2"/>
    <n v="13675"/>
    <n v="9"/>
    <n v="3"/>
    <n v="2"/>
    <n v="0"/>
    <x v="2"/>
    <x v="2"/>
    <x v="3"/>
    <n v="2.6666666666666665"/>
    <s v="Master"/>
    <s v="Medium"/>
    <x v="2"/>
    <s v="High"/>
  </r>
  <r>
    <n v="33"/>
    <x v="1"/>
    <x v="1"/>
    <n v="5"/>
    <n v="4"/>
    <s v="Life Sciences"/>
    <n v="3"/>
    <n v="4"/>
    <x v="1"/>
    <n v="2911"/>
    <n v="1"/>
    <n v="2"/>
    <n v="2"/>
    <n v="0"/>
    <x v="2"/>
    <x v="1"/>
    <x v="3"/>
    <n v="3"/>
    <s v="Master"/>
    <s v="High"/>
    <x v="0"/>
    <s v="Medium"/>
  </r>
  <r>
    <n v="34"/>
    <x v="1"/>
    <x v="1"/>
    <n v="2"/>
    <n v="4"/>
    <s v="Life Sciences"/>
    <n v="4"/>
    <n v="1"/>
    <x v="1"/>
    <n v="5957"/>
    <n v="6"/>
    <n v="3"/>
    <n v="11"/>
    <n v="0"/>
    <x v="2"/>
    <x v="0"/>
    <x v="1"/>
    <n v="2.6666666666666665"/>
    <s v="Master"/>
    <s v="Very High"/>
    <x v="3"/>
    <s v="High"/>
  </r>
  <r>
    <n v="37"/>
    <x v="1"/>
    <x v="1"/>
    <n v="1"/>
    <n v="2"/>
    <s v="Medical"/>
    <n v="3"/>
    <n v="1"/>
    <x v="1"/>
    <n v="3920"/>
    <n v="2"/>
    <n v="2"/>
    <n v="3"/>
    <n v="0"/>
    <x v="0"/>
    <x v="0"/>
    <x v="3"/>
    <n v="2"/>
    <s v="College"/>
    <s v="High"/>
    <x v="3"/>
    <s v="Medium"/>
  </r>
  <r>
    <n v="45"/>
    <x v="1"/>
    <x v="1"/>
    <n v="7"/>
    <n v="4"/>
    <s v="Life Sciences"/>
    <n v="1"/>
    <n v="3"/>
    <x v="1"/>
    <n v="6434"/>
    <n v="4"/>
    <n v="3"/>
    <n v="3"/>
    <n v="0"/>
    <x v="1"/>
    <x v="0"/>
    <x v="3"/>
    <n v="2.3333333333333335"/>
    <s v="Master"/>
    <s v="Low"/>
    <x v="2"/>
    <s v="High"/>
  </r>
  <r>
    <n v="37"/>
    <x v="0"/>
    <x v="1"/>
    <n v="10"/>
    <n v="3"/>
    <s v="Medical"/>
    <n v="1"/>
    <n v="3"/>
    <x v="2"/>
    <n v="10048"/>
    <n v="6"/>
    <n v="3"/>
    <n v="1"/>
    <n v="1"/>
    <x v="0"/>
    <x v="2"/>
    <x v="2"/>
    <n v="2.3333333333333335"/>
    <s v="Bachelor"/>
    <s v="Low"/>
    <x v="2"/>
    <s v="High"/>
  </r>
  <r>
    <n v="39"/>
    <x v="1"/>
    <x v="1"/>
    <n v="2"/>
    <n v="4"/>
    <s v="Technical Degree"/>
    <n v="3"/>
    <n v="3"/>
    <x v="0"/>
    <n v="10938"/>
    <n v="0"/>
    <n v="3"/>
    <n v="19"/>
    <n v="0"/>
    <x v="0"/>
    <x v="2"/>
    <x v="1"/>
    <n v="3"/>
    <s v="Master"/>
    <s v="High"/>
    <x v="2"/>
    <s v="High"/>
  </r>
  <r>
    <n v="29"/>
    <x v="1"/>
    <x v="1"/>
    <n v="15"/>
    <n v="3"/>
    <s v="Life Sciences"/>
    <n v="3"/>
    <n v="4"/>
    <x v="0"/>
    <n v="2340"/>
    <n v="1"/>
    <n v="3"/>
    <n v="6"/>
    <n v="0"/>
    <x v="2"/>
    <x v="1"/>
    <x v="0"/>
    <n v="3.3333333333333335"/>
    <s v="Bachelor"/>
    <s v="High"/>
    <x v="0"/>
    <s v="High"/>
  </r>
  <r>
    <n v="42"/>
    <x v="1"/>
    <x v="1"/>
    <n v="17"/>
    <n v="2"/>
    <s v="Life Sciences"/>
    <n v="4"/>
    <n v="1"/>
    <x v="0"/>
    <n v="6545"/>
    <n v="3"/>
    <n v="3"/>
    <n v="3"/>
    <n v="0"/>
    <x v="0"/>
    <x v="0"/>
    <x v="3"/>
    <n v="2.6666666666666665"/>
    <s v="College"/>
    <s v="Very High"/>
    <x v="3"/>
    <s v="High"/>
  </r>
  <r>
    <n v="29"/>
    <x v="1"/>
    <x v="0"/>
    <n v="20"/>
    <n v="2"/>
    <s v="Marketing"/>
    <n v="4"/>
    <n v="4"/>
    <x v="2"/>
    <n v="6931"/>
    <n v="2"/>
    <n v="3"/>
    <n v="3"/>
    <n v="0"/>
    <x v="2"/>
    <x v="0"/>
    <x v="3"/>
    <n v="3.6666666666666665"/>
    <s v="College"/>
    <s v="Very High"/>
    <x v="0"/>
    <s v="High"/>
  </r>
  <r>
    <n v="25"/>
    <x v="1"/>
    <x v="1"/>
    <n v="1"/>
    <n v="3"/>
    <s v="Life Sciences"/>
    <n v="1"/>
    <n v="3"/>
    <x v="1"/>
    <n v="4898"/>
    <n v="0"/>
    <n v="3"/>
    <n v="4"/>
    <n v="0"/>
    <x v="2"/>
    <x v="0"/>
    <x v="3"/>
    <n v="2.3333333333333335"/>
    <s v="Bachelor"/>
    <s v="Low"/>
    <x v="2"/>
    <s v="High"/>
  </r>
  <r>
    <n v="42"/>
    <x v="1"/>
    <x v="1"/>
    <n v="2"/>
    <n v="3"/>
    <s v="Medical"/>
    <n v="4"/>
    <n v="1"/>
    <x v="2"/>
    <n v="2593"/>
    <n v="0"/>
    <n v="3"/>
    <n v="9"/>
    <n v="0"/>
    <x v="0"/>
    <x v="1"/>
    <x v="0"/>
    <n v="2.6666666666666665"/>
    <s v="Bachelor"/>
    <s v="Very High"/>
    <x v="3"/>
    <s v="High"/>
  </r>
  <r>
    <n v="40"/>
    <x v="1"/>
    <x v="1"/>
    <n v="2"/>
    <n v="2"/>
    <s v="Medical"/>
    <n v="1"/>
    <n v="3"/>
    <x v="2"/>
    <n v="19436"/>
    <n v="0"/>
    <n v="3"/>
    <n v="21"/>
    <n v="0"/>
    <x v="0"/>
    <x v="2"/>
    <x v="1"/>
    <n v="2.3333333333333335"/>
    <s v="College"/>
    <s v="Low"/>
    <x v="2"/>
    <s v="High"/>
  </r>
  <r>
    <n v="51"/>
    <x v="1"/>
    <x v="1"/>
    <n v="1"/>
    <n v="3"/>
    <s v="Life Sciences"/>
    <n v="3"/>
    <n v="4"/>
    <x v="1"/>
    <n v="2723"/>
    <n v="1"/>
    <n v="2"/>
    <n v="1"/>
    <n v="0"/>
    <x v="1"/>
    <x v="1"/>
    <x v="2"/>
    <n v="3"/>
    <s v="Bachelor"/>
    <s v="High"/>
    <x v="0"/>
    <s v="Medium"/>
  </r>
  <r>
    <n v="31"/>
    <x v="0"/>
    <x v="1"/>
    <n v="29"/>
    <n v="2"/>
    <s v="Medical"/>
    <n v="3"/>
    <n v="2"/>
    <x v="0"/>
    <n v="3479"/>
    <n v="0"/>
    <n v="4"/>
    <n v="5"/>
    <n v="1"/>
    <x v="2"/>
    <x v="0"/>
    <x v="0"/>
    <n v="3"/>
    <s v="College"/>
    <s v="High"/>
    <x v="1"/>
    <s v="Very High"/>
  </r>
  <r>
    <n v="32"/>
    <x v="1"/>
    <x v="1"/>
    <n v="7"/>
    <n v="3"/>
    <s v="Life Sciences"/>
    <n v="2"/>
    <n v="2"/>
    <x v="1"/>
    <n v="2794"/>
    <n v="1"/>
    <n v="1"/>
    <n v="5"/>
    <n v="0"/>
    <x v="2"/>
    <x v="1"/>
    <x v="0"/>
    <n v="1.6666666666666667"/>
    <s v="Bachelor"/>
    <s v="Medium"/>
    <x v="1"/>
    <s v="Low"/>
  </r>
  <r>
    <n v="38"/>
    <x v="1"/>
    <x v="0"/>
    <n v="2"/>
    <n v="2"/>
    <s v="Life Sciences"/>
    <n v="4"/>
    <n v="4"/>
    <x v="1"/>
    <n v="5249"/>
    <n v="3"/>
    <n v="3"/>
    <n v="8"/>
    <n v="0"/>
    <x v="0"/>
    <x v="0"/>
    <x v="0"/>
    <n v="3.6666666666666665"/>
    <s v="College"/>
    <s v="Very High"/>
    <x v="0"/>
    <s v="High"/>
  </r>
  <r>
    <n v="32"/>
    <x v="1"/>
    <x v="1"/>
    <n v="2"/>
    <n v="1"/>
    <s v="Technical Degree"/>
    <n v="4"/>
    <n v="1"/>
    <x v="0"/>
    <n v="2176"/>
    <n v="4"/>
    <n v="3"/>
    <n v="6"/>
    <n v="0"/>
    <x v="2"/>
    <x v="1"/>
    <x v="0"/>
    <n v="2.6666666666666665"/>
    <s v="Below College"/>
    <s v="Very High"/>
    <x v="3"/>
    <s v="High"/>
  </r>
  <r>
    <n v="46"/>
    <x v="1"/>
    <x v="0"/>
    <n v="2"/>
    <n v="3"/>
    <s v="Technical Degree"/>
    <n v="3"/>
    <n v="2"/>
    <x v="1"/>
    <n v="16872"/>
    <n v="3"/>
    <n v="2"/>
    <n v="7"/>
    <n v="0"/>
    <x v="1"/>
    <x v="2"/>
    <x v="0"/>
    <n v="2.3333333333333335"/>
    <s v="Bachelor"/>
    <s v="High"/>
    <x v="1"/>
    <s v="Medium"/>
  </r>
  <r>
    <n v="28"/>
    <x v="0"/>
    <x v="1"/>
    <n v="2"/>
    <n v="4"/>
    <s v="Life Sciences"/>
    <n v="1"/>
    <n v="3"/>
    <x v="0"/>
    <n v="3485"/>
    <n v="2"/>
    <n v="1"/>
    <n v="0"/>
    <n v="1"/>
    <x v="2"/>
    <x v="0"/>
    <x v="2"/>
    <n v="1.6666666666666667"/>
    <s v="Master"/>
    <s v="Low"/>
    <x v="2"/>
    <s v="Low"/>
  </r>
  <r>
    <n v="29"/>
    <x v="1"/>
    <x v="0"/>
    <n v="2"/>
    <n v="3"/>
    <s v="Medical"/>
    <n v="1"/>
    <n v="2"/>
    <x v="1"/>
    <n v="6644"/>
    <n v="2"/>
    <n v="3"/>
    <n v="0"/>
    <n v="0"/>
    <x v="2"/>
    <x v="0"/>
    <x v="2"/>
    <n v="2"/>
    <s v="Bachelor"/>
    <s v="Low"/>
    <x v="1"/>
    <s v="High"/>
  </r>
  <r>
    <n v="31"/>
    <x v="1"/>
    <x v="1"/>
    <n v="23"/>
    <n v="3"/>
    <s v="Medical"/>
    <n v="2"/>
    <n v="4"/>
    <x v="1"/>
    <n v="5582"/>
    <n v="0"/>
    <n v="3"/>
    <n v="9"/>
    <n v="0"/>
    <x v="2"/>
    <x v="0"/>
    <x v="0"/>
    <n v="3"/>
    <s v="Bachelor"/>
    <s v="Medium"/>
    <x v="0"/>
    <s v="High"/>
  </r>
  <r>
    <n v="25"/>
    <x v="1"/>
    <x v="1"/>
    <n v="5"/>
    <n v="2"/>
    <s v="Life Sciences"/>
    <n v="2"/>
    <n v="1"/>
    <x v="2"/>
    <n v="4000"/>
    <n v="1"/>
    <n v="3"/>
    <n v="6"/>
    <n v="0"/>
    <x v="2"/>
    <x v="0"/>
    <x v="0"/>
    <n v="2"/>
    <s v="College"/>
    <s v="Medium"/>
    <x v="3"/>
    <s v="High"/>
  </r>
  <r>
    <n v="45"/>
    <x v="1"/>
    <x v="1"/>
    <n v="20"/>
    <n v="2"/>
    <s v="Medical"/>
    <n v="3"/>
    <n v="4"/>
    <x v="1"/>
    <n v="13496"/>
    <n v="0"/>
    <n v="3"/>
    <n v="20"/>
    <n v="0"/>
    <x v="1"/>
    <x v="2"/>
    <x v="1"/>
    <n v="3.3333333333333335"/>
    <s v="College"/>
    <s v="High"/>
    <x v="0"/>
    <s v="High"/>
  </r>
  <r>
    <n v="36"/>
    <x v="1"/>
    <x v="1"/>
    <n v="6"/>
    <n v="3"/>
    <s v="Life Sciences"/>
    <n v="4"/>
    <n v="4"/>
    <x v="1"/>
    <n v="3210"/>
    <n v="0"/>
    <n v="3"/>
    <n v="15"/>
    <n v="0"/>
    <x v="0"/>
    <x v="0"/>
    <x v="1"/>
    <n v="3.6666666666666665"/>
    <s v="Bachelor"/>
    <s v="Very High"/>
    <x v="0"/>
    <s v="High"/>
  </r>
  <r>
    <n v="55"/>
    <x v="1"/>
    <x v="1"/>
    <n v="1"/>
    <n v="3"/>
    <s v="Medical"/>
    <n v="4"/>
    <n v="1"/>
    <x v="0"/>
    <n v="19045"/>
    <n v="0"/>
    <n v="3"/>
    <n v="36"/>
    <n v="0"/>
    <x v="3"/>
    <x v="2"/>
    <x v="1"/>
    <n v="2.6666666666666665"/>
    <s v="Bachelor"/>
    <s v="Very High"/>
    <x v="3"/>
    <s v="High"/>
  </r>
  <r>
    <n v="47"/>
    <x v="0"/>
    <x v="1"/>
    <n v="29"/>
    <n v="4"/>
    <s v="Life Sciences"/>
    <n v="1"/>
    <n v="2"/>
    <x v="1"/>
    <n v="11849"/>
    <n v="1"/>
    <n v="2"/>
    <n v="10"/>
    <n v="1"/>
    <x v="1"/>
    <x v="2"/>
    <x v="1"/>
    <n v="1.6666666666666667"/>
    <s v="Master"/>
    <s v="Low"/>
    <x v="1"/>
    <s v="Medium"/>
  </r>
  <r>
    <n v="28"/>
    <x v="1"/>
    <x v="1"/>
    <n v="9"/>
    <n v="3"/>
    <s v="Medical"/>
    <n v="4"/>
    <n v="4"/>
    <x v="1"/>
    <n v="2070"/>
    <n v="1"/>
    <n v="2"/>
    <n v="5"/>
    <n v="0"/>
    <x v="2"/>
    <x v="1"/>
    <x v="0"/>
    <n v="3.3333333333333335"/>
    <s v="Bachelor"/>
    <s v="Very High"/>
    <x v="0"/>
    <s v="Medium"/>
  </r>
  <r>
    <n v="37"/>
    <x v="1"/>
    <x v="0"/>
    <n v="6"/>
    <n v="4"/>
    <s v="Medical"/>
    <n v="3"/>
    <n v="4"/>
    <x v="1"/>
    <n v="6502"/>
    <n v="4"/>
    <n v="4"/>
    <n v="5"/>
    <n v="0"/>
    <x v="0"/>
    <x v="0"/>
    <x v="0"/>
    <n v="3.6666666666666665"/>
    <s v="Master"/>
    <s v="High"/>
    <x v="0"/>
    <s v="Very High"/>
  </r>
  <r>
    <n v="21"/>
    <x v="1"/>
    <x v="1"/>
    <n v="3"/>
    <n v="2"/>
    <s v="Medical"/>
    <n v="4"/>
    <n v="3"/>
    <x v="0"/>
    <n v="3230"/>
    <n v="1"/>
    <n v="4"/>
    <n v="3"/>
    <n v="0"/>
    <x v="4"/>
    <x v="0"/>
    <x v="3"/>
    <n v="3.6666666666666665"/>
    <s v="College"/>
    <s v="Very High"/>
    <x v="2"/>
    <s v="Very High"/>
  </r>
  <r>
    <n v="37"/>
    <x v="1"/>
    <x v="1"/>
    <n v="1"/>
    <n v="4"/>
    <s v="Medical"/>
    <n v="1"/>
    <n v="4"/>
    <x v="2"/>
    <n v="13603"/>
    <n v="2"/>
    <n v="3"/>
    <n v="5"/>
    <n v="0"/>
    <x v="0"/>
    <x v="2"/>
    <x v="0"/>
    <n v="2.6666666666666665"/>
    <s v="Master"/>
    <s v="Low"/>
    <x v="0"/>
    <s v="High"/>
  </r>
  <r>
    <n v="35"/>
    <x v="1"/>
    <x v="1"/>
    <n v="22"/>
    <n v="3"/>
    <s v="Life Sciences"/>
    <n v="2"/>
    <n v="2"/>
    <x v="2"/>
    <n v="11996"/>
    <n v="7"/>
    <n v="2"/>
    <n v="7"/>
    <n v="0"/>
    <x v="0"/>
    <x v="2"/>
    <x v="0"/>
    <n v="2"/>
    <s v="Bachelor"/>
    <s v="Medium"/>
    <x v="1"/>
    <s v="Medium"/>
  </r>
  <r>
    <n v="38"/>
    <x v="1"/>
    <x v="0"/>
    <n v="7"/>
    <n v="2"/>
    <s v="Medical"/>
    <n v="1"/>
    <n v="1"/>
    <x v="2"/>
    <n v="5605"/>
    <n v="1"/>
    <n v="3"/>
    <n v="8"/>
    <n v="0"/>
    <x v="0"/>
    <x v="0"/>
    <x v="0"/>
    <n v="1.6666666666666667"/>
    <s v="College"/>
    <s v="Low"/>
    <x v="3"/>
    <s v="High"/>
  </r>
  <r>
    <n v="26"/>
    <x v="1"/>
    <x v="1"/>
    <n v="1"/>
    <n v="3"/>
    <s v="Life Sciences"/>
    <n v="3"/>
    <n v="2"/>
    <x v="2"/>
    <n v="6397"/>
    <n v="1"/>
    <n v="1"/>
    <n v="6"/>
    <n v="0"/>
    <x v="2"/>
    <x v="0"/>
    <x v="0"/>
    <n v="2"/>
    <s v="Bachelor"/>
    <s v="High"/>
    <x v="1"/>
    <s v="Low"/>
  </r>
  <r>
    <n v="50"/>
    <x v="1"/>
    <x v="1"/>
    <n v="4"/>
    <n v="1"/>
    <s v="Life Sciences"/>
    <n v="1"/>
    <n v="2"/>
    <x v="2"/>
    <n v="19144"/>
    <n v="3"/>
    <n v="2"/>
    <n v="10"/>
    <n v="0"/>
    <x v="1"/>
    <x v="2"/>
    <x v="1"/>
    <n v="1.6666666666666667"/>
    <s v="Below College"/>
    <s v="Low"/>
    <x v="1"/>
    <s v="Medium"/>
  </r>
  <r>
    <n v="53"/>
    <x v="1"/>
    <x v="1"/>
    <n v="3"/>
    <n v="4"/>
    <s v="Medical"/>
    <n v="3"/>
    <n v="3"/>
    <x v="1"/>
    <n v="17584"/>
    <n v="3"/>
    <n v="2"/>
    <n v="5"/>
    <n v="0"/>
    <x v="1"/>
    <x v="2"/>
    <x v="0"/>
    <n v="2.6666666666666665"/>
    <s v="Master"/>
    <s v="High"/>
    <x v="2"/>
    <s v="Medium"/>
  </r>
  <r>
    <n v="42"/>
    <x v="1"/>
    <x v="0"/>
    <n v="1"/>
    <n v="1"/>
    <s v="Life Sciences"/>
    <n v="2"/>
    <n v="3"/>
    <x v="1"/>
    <n v="4907"/>
    <n v="1"/>
    <n v="3"/>
    <n v="20"/>
    <n v="0"/>
    <x v="0"/>
    <x v="0"/>
    <x v="1"/>
    <n v="2.6666666666666665"/>
    <s v="Below College"/>
    <s v="Medium"/>
    <x v="2"/>
    <s v="High"/>
  </r>
  <r>
    <n v="29"/>
    <x v="1"/>
    <x v="0"/>
    <n v="2"/>
    <n v="2"/>
    <s v="Life Sciences"/>
    <n v="2"/>
    <n v="4"/>
    <x v="0"/>
    <n v="4554"/>
    <n v="1"/>
    <n v="2"/>
    <n v="10"/>
    <n v="0"/>
    <x v="2"/>
    <x v="0"/>
    <x v="1"/>
    <n v="2.6666666666666665"/>
    <s v="College"/>
    <s v="Medium"/>
    <x v="0"/>
    <s v="Medium"/>
  </r>
  <r>
    <n v="55"/>
    <x v="1"/>
    <x v="1"/>
    <n v="20"/>
    <n v="2"/>
    <s v="Technical Degree"/>
    <n v="2"/>
    <n v="4"/>
    <x v="1"/>
    <n v="5415"/>
    <n v="3"/>
    <n v="3"/>
    <n v="10"/>
    <n v="0"/>
    <x v="3"/>
    <x v="0"/>
    <x v="1"/>
    <n v="3"/>
    <s v="College"/>
    <s v="Medium"/>
    <x v="0"/>
    <s v="High"/>
  </r>
  <r>
    <n v="26"/>
    <x v="1"/>
    <x v="1"/>
    <n v="11"/>
    <n v="2"/>
    <s v="Medical"/>
    <n v="1"/>
    <n v="1"/>
    <x v="1"/>
    <n v="4741"/>
    <n v="1"/>
    <n v="3"/>
    <n v="5"/>
    <n v="0"/>
    <x v="2"/>
    <x v="0"/>
    <x v="0"/>
    <n v="1.6666666666666667"/>
    <s v="College"/>
    <s v="Low"/>
    <x v="3"/>
    <s v="High"/>
  </r>
  <r>
    <n v="37"/>
    <x v="1"/>
    <x v="1"/>
    <n v="1"/>
    <n v="3"/>
    <s v="Life Sciences"/>
    <n v="4"/>
    <n v="4"/>
    <x v="0"/>
    <n v="2115"/>
    <n v="1"/>
    <n v="3"/>
    <n v="17"/>
    <n v="0"/>
    <x v="0"/>
    <x v="1"/>
    <x v="1"/>
    <n v="3.6666666666666665"/>
    <s v="Bachelor"/>
    <s v="Very High"/>
    <x v="0"/>
    <s v="High"/>
  </r>
  <r>
    <n v="44"/>
    <x v="0"/>
    <x v="1"/>
    <n v="24"/>
    <n v="3"/>
    <s v="Life Sciences"/>
    <n v="4"/>
    <n v="3"/>
    <x v="2"/>
    <n v="3161"/>
    <n v="3"/>
    <n v="1"/>
    <n v="1"/>
    <n v="1"/>
    <x v="0"/>
    <x v="0"/>
    <x v="2"/>
    <n v="2.6666666666666665"/>
    <s v="Bachelor"/>
    <s v="Very High"/>
    <x v="2"/>
    <s v="Low"/>
  </r>
  <r>
    <n v="38"/>
    <x v="1"/>
    <x v="1"/>
    <n v="23"/>
    <n v="4"/>
    <s v="Life Sciences"/>
    <n v="4"/>
    <n v="4"/>
    <x v="2"/>
    <n v="5745"/>
    <n v="9"/>
    <n v="3"/>
    <n v="2"/>
    <n v="0"/>
    <x v="0"/>
    <x v="0"/>
    <x v="3"/>
    <n v="3.6666666666666665"/>
    <s v="Master"/>
    <s v="Very High"/>
    <x v="0"/>
    <s v="High"/>
  </r>
  <r>
    <n v="26"/>
    <x v="0"/>
    <x v="1"/>
    <n v="16"/>
    <n v="4"/>
    <s v="Medical"/>
    <n v="1"/>
    <n v="2"/>
    <x v="2"/>
    <n v="2373"/>
    <n v="2"/>
    <n v="3"/>
    <n v="3"/>
    <n v="1"/>
    <x v="2"/>
    <x v="1"/>
    <x v="3"/>
    <n v="2"/>
    <s v="Master"/>
    <s v="Low"/>
    <x v="1"/>
    <s v="High"/>
  </r>
  <r>
    <n v="28"/>
    <x v="1"/>
    <x v="1"/>
    <n v="8"/>
    <n v="2"/>
    <s v="Life Sciences"/>
    <n v="4"/>
    <n v="4"/>
    <x v="0"/>
    <n v="3310"/>
    <n v="1"/>
    <n v="3"/>
    <n v="5"/>
    <n v="0"/>
    <x v="2"/>
    <x v="0"/>
    <x v="0"/>
    <n v="3.6666666666666665"/>
    <s v="College"/>
    <s v="Very High"/>
    <x v="0"/>
    <s v="High"/>
  </r>
  <r>
    <n v="49"/>
    <x v="1"/>
    <x v="1"/>
    <n v="10"/>
    <n v="4"/>
    <s v="Life Sciences"/>
    <n v="3"/>
    <n v="1"/>
    <x v="0"/>
    <n v="18665"/>
    <n v="9"/>
    <n v="3"/>
    <n v="3"/>
    <n v="0"/>
    <x v="1"/>
    <x v="2"/>
    <x v="3"/>
    <n v="2.3333333333333335"/>
    <s v="Master"/>
    <s v="High"/>
    <x v="3"/>
    <s v="High"/>
  </r>
  <r>
    <n v="36"/>
    <x v="1"/>
    <x v="1"/>
    <n v="3"/>
    <n v="3"/>
    <s v="Technical Degree"/>
    <n v="3"/>
    <n v="2"/>
    <x v="0"/>
    <n v="4485"/>
    <n v="4"/>
    <n v="3"/>
    <n v="8"/>
    <n v="0"/>
    <x v="0"/>
    <x v="0"/>
    <x v="0"/>
    <n v="2.6666666666666665"/>
    <s v="Bachelor"/>
    <s v="High"/>
    <x v="1"/>
    <s v="High"/>
  </r>
  <r>
    <n v="31"/>
    <x v="1"/>
    <x v="0"/>
    <n v="5"/>
    <n v="3"/>
    <s v="Marketing"/>
    <n v="4"/>
    <n v="2"/>
    <x v="2"/>
    <n v="2789"/>
    <n v="1"/>
    <n v="2"/>
    <n v="2"/>
    <n v="0"/>
    <x v="2"/>
    <x v="1"/>
    <x v="3"/>
    <n v="2.6666666666666665"/>
    <s v="Bachelor"/>
    <s v="Very High"/>
    <x v="1"/>
    <s v="Medium"/>
  </r>
  <r>
    <n v="26"/>
    <x v="0"/>
    <x v="0"/>
    <n v="4"/>
    <n v="4"/>
    <s v="Marketing"/>
    <n v="4"/>
    <n v="4"/>
    <x v="0"/>
    <n v="5828"/>
    <n v="1"/>
    <n v="3"/>
    <n v="8"/>
    <n v="1"/>
    <x v="2"/>
    <x v="0"/>
    <x v="0"/>
    <n v="3.6666666666666665"/>
    <s v="Master"/>
    <s v="Very High"/>
    <x v="0"/>
    <s v="High"/>
  </r>
  <r>
    <n v="37"/>
    <x v="1"/>
    <x v="1"/>
    <n v="9"/>
    <n v="3"/>
    <s v="Medical"/>
    <n v="2"/>
    <n v="4"/>
    <x v="1"/>
    <n v="2326"/>
    <n v="1"/>
    <n v="2"/>
    <n v="4"/>
    <n v="0"/>
    <x v="0"/>
    <x v="1"/>
    <x v="3"/>
    <n v="2.6666666666666665"/>
    <s v="Bachelor"/>
    <s v="Medium"/>
    <x v="0"/>
    <s v="Medium"/>
  </r>
  <r>
    <n v="42"/>
    <x v="1"/>
    <x v="0"/>
    <n v="26"/>
    <n v="3"/>
    <s v="Marketing"/>
    <n v="3"/>
    <n v="2"/>
    <x v="1"/>
    <n v="13525"/>
    <n v="5"/>
    <n v="4"/>
    <n v="20"/>
    <n v="0"/>
    <x v="0"/>
    <x v="2"/>
    <x v="1"/>
    <n v="3"/>
    <s v="Bachelor"/>
    <s v="High"/>
    <x v="1"/>
    <s v="Very High"/>
  </r>
  <r>
    <n v="18"/>
    <x v="0"/>
    <x v="1"/>
    <n v="3"/>
    <n v="3"/>
    <s v="Life Sciences"/>
    <n v="3"/>
    <n v="3"/>
    <x v="0"/>
    <n v="1420"/>
    <n v="1"/>
    <n v="3"/>
    <n v="0"/>
    <n v="1"/>
    <x v="4"/>
    <x v="1"/>
    <x v="2"/>
    <n v="3"/>
    <s v="Bachelor"/>
    <s v="High"/>
    <x v="2"/>
    <s v="High"/>
  </r>
  <r>
    <n v="35"/>
    <x v="1"/>
    <x v="0"/>
    <n v="16"/>
    <n v="3"/>
    <s v="Marketing"/>
    <n v="3"/>
    <n v="2"/>
    <x v="1"/>
    <n v="8020"/>
    <n v="0"/>
    <n v="2"/>
    <n v="11"/>
    <n v="0"/>
    <x v="0"/>
    <x v="2"/>
    <x v="1"/>
    <n v="2.3333333333333335"/>
    <s v="Bachelor"/>
    <s v="High"/>
    <x v="1"/>
    <s v="Medium"/>
  </r>
  <r>
    <n v="36"/>
    <x v="1"/>
    <x v="1"/>
    <n v="18"/>
    <n v="4"/>
    <s v="Life Sciences"/>
    <n v="3"/>
    <n v="4"/>
    <x v="1"/>
    <n v="3688"/>
    <n v="4"/>
    <n v="3"/>
    <n v="1"/>
    <n v="0"/>
    <x v="0"/>
    <x v="0"/>
    <x v="2"/>
    <n v="3.3333333333333335"/>
    <s v="Master"/>
    <s v="High"/>
    <x v="0"/>
    <s v="High"/>
  </r>
  <r>
    <n v="51"/>
    <x v="1"/>
    <x v="1"/>
    <n v="2"/>
    <n v="3"/>
    <s v="Medical"/>
    <n v="4"/>
    <n v="2"/>
    <x v="2"/>
    <n v="5482"/>
    <n v="5"/>
    <n v="3"/>
    <n v="4"/>
    <n v="0"/>
    <x v="1"/>
    <x v="0"/>
    <x v="3"/>
    <n v="3"/>
    <s v="Bachelor"/>
    <s v="Very High"/>
    <x v="1"/>
    <s v="High"/>
  </r>
  <r>
    <n v="41"/>
    <x v="1"/>
    <x v="0"/>
    <n v="2"/>
    <n v="4"/>
    <s v="Life Sciences"/>
    <n v="4"/>
    <n v="2"/>
    <x v="0"/>
    <n v="16015"/>
    <n v="1"/>
    <n v="3"/>
    <n v="22"/>
    <n v="0"/>
    <x v="0"/>
    <x v="2"/>
    <x v="1"/>
    <n v="3"/>
    <s v="Master"/>
    <s v="Very High"/>
    <x v="1"/>
    <s v="High"/>
  </r>
  <r>
    <n v="18"/>
    <x v="1"/>
    <x v="0"/>
    <n v="10"/>
    <n v="3"/>
    <s v="Medical"/>
    <n v="4"/>
    <n v="3"/>
    <x v="0"/>
    <n v="1200"/>
    <n v="1"/>
    <n v="3"/>
    <n v="0"/>
    <n v="0"/>
    <x v="4"/>
    <x v="1"/>
    <x v="2"/>
    <n v="3.3333333333333335"/>
    <s v="Bachelor"/>
    <s v="Very High"/>
    <x v="2"/>
    <s v="High"/>
  </r>
  <r>
    <n v="28"/>
    <x v="1"/>
    <x v="1"/>
    <n v="16"/>
    <n v="2"/>
    <s v="Medical"/>
    <n v="2"/>
    <n v="1"/>
    <x v="0"/>
    <n v="5661"/>
    <n v="0"/>
    <n v="3"/>
    <n v="8"/>
    <n v="0"/>
    <x v="2"/>
    <x v="0"/>
    <x v="0"/>
    <n v="2"/>
    <s v="College"/>
    <s v="Medium"/>
    <x v="3"/>
    <s v="High"/>
  </r>
  <r>
    <n v="31"/>
    <x v="1"/>
    <x v="0"/>
    <n v="7"/>
    <n v="3"/>
    <s v="Technical Degree"/>
    <n v="2"/>
    <n v="4"/>
    <x v="1"/>
    <n v="6929"/>
    <n v="4"/>
    <n v="2"/>
    <n v="8"/>
    <n v="0"/>
    <x v="2"/>
    <x v="0"/>
    <x v="0"/>
    <n v="2.6666666666666665"/>
    <s v="Bachelor"/>
    <s v="Medium"/>
    <x v="0"/>
    <s v="Medium"/>
  </r>
  <r>
    <n v="39"/>
    <x v="1"/>
    <x v="1"/>
    <n v="1"/>
    <n v="3"/>
    <s v="Medical"/>
    <n v="3"/>
    <n v="4"/>
    <x v="2"/>
    <n v="9613"/>
    <n v="0"/>
    <n v="2"/>
    <n v="18"/>
    <n v="0"/>
    <x v="0"/>
    <x v="2"/>
    <x v="1"/>
    <n v="3"/>
    <s v="Bachelor"/>
    <s v="High"/>
    <x v="0"/>
    <s v="Medium"/>
  </r>
  <r>
    <n v="36"/>
    <x v="1"/>
    <x v="1"/>
    <n v="24"/>
    <n v="4"/>
    <s v="Life Sciences"/>
    <n v="2"/>
    <n v="2"/>
    <x v="1"/>
    <n v="5674"/>
    <n v="7"/>
    <n v="3"/>
    <n v="9"/>
    <n v="0"/>
    <x v="0"/>
    <x v="0"/>
    <x v="0"/>
    <n v="2.3333333333333335"/>
    <s v="Master"/>
    <s v="Medium"/>
    <x v="1"/>
    <s v="High"/>
  </r>
  <r>
    <n v="32"/>
    <x v="1"/>
    <x v="0"/>
    <n v="7"/>
    <n v="3"/>
    <s v="Life Sciences"/>
    <n v="4"/>
    <n v="3"/>
    <x v="1"/>
    <n v="5484"/>
    <n v="1"/>
    <n v="2"/>
    <n v="13"/>
    <n v="0"/>
    <x v="2"/>
    <x v="0"/>
    <x v="1"/>
    <n v="3"/>
    <s v="Bachelor"/>
    <s v="Very High"/>
    <x v="2"/>
    <s v="Medium"/>
  </r>
  <r>
    <n v="38"/>
    <x v="1"/>
    <x v="1"/>
    <n v="25"/>
    <n v="2"/>
    <s v="Life Sciences"/>
    <n v="1"/>
    <n v="2"/>
    <x v="1"/>
    <n v="12061"/>
    <n v="3"/>
    <n v="3"/>
    <n v="10"/>
    <n v="0"/>
    <x v="0"/>
    <x v="2"/>
    <x v="1"/>
    <n v="2"/>
    <s v="College"/>
    <s v="Low"/>
    <x v="1"/>
    <s v="High"/>
  </r>
  <r>
    <n v="58"/>
    <x v="1"/>
    <x v="1"/>
    <n v="1"/>
    <n v="4"/>
    <s v="Life Sciences"/>
    <n v="4"/>
    <n v="3"/>
    <x v="2"/>
    <n v="5660"/>
    <n v="2"/>
    <n v="3"/>
    <n v="5"/>
    <n v="0"/>
    <x v="3"/>
    <x v="0"/>
    <x v="0"/>
    <n v="3.3333333333333335"/>
    <s v="Master"/>
    <s v="Very High"/>
    <x v="2"/>
    <s v="High"/>
  </r>
  <r>
    <n v="31"/>
    <x v="1"/>
    <x v="1"/>
    <n v="5"/>
    <n v="4"/>
    <s v="Technical Degree"/>
    <n v="3"/>
    <n v="4"/>
    <x v="1"/>
    <n v="4821"/>
    <n v="0"/>
    <n v="3"/>
    <n v="5"/>
    <n v="0"/>
    <x v="2"/>
    <x v="0"/>
    <x v="0"/>
    <n v="3.3333333333333335"/>
    <s v="Master"/>
    <s v="High"/>
    <x v="0"/>
    <s v="High"/>
  </r>
  <r>
    <n v="31"/>
    <x v="1"/>
    <x v="2"/>
    <n v="2"/>
    <n v="3"/>
    <s v="Human Resources"/>
    <n v="1"/>
    <n v="1"/>
    <x v="1"/>
    <n v="6410"/>
    <n v="3"/>
    <n v="3"/>
    <n v="2"/>
    <n v="0"/>
    <x v="2"/>
    <x v="0"/>
    <x v="3"/>
    <n v="1.6666666666666667"/>
    <s v="Bachelor"/>
    <s v="Low"/>
    <x v="3"/>
    <s v="High"/>
  </r>
  <r>
    <n v="45"/>
    <x v="1"/>
    <x v="1"/>
    <n v="7"/>
    <n v="3"/>
    <s v="Life Sciences"/>
    <n v="1"/>
    <n v="1"/>
    <x v="2"/>
    <n v="5210"/>
    <n v="1"/>
    <n v="3"/>
    <n v="24"/>
    <n v="0"/>
    <x v="1"/>
    <x v="0"/>
    <x v="1"/>
    <n v="1.6666666666666667"/>
    <s v="Bachelor"/>
    <s v="Low"/>
    <x v="3"/>
    <s v="High"/>
  </r>
  <r>
    <n v="31"/>
    <x v="1"/>
    <x v="1"/>
    <n v="2"/>
    <n v="4"/>
    <s v="Life Sciences"/>
    <n v="3"/>
    <n v="4"/>
    <x v="2"/>
    <n v="2695"/>
    <n v="0"/>
    <n v="1"/>
    <n v="2"/>
    <n v="0"/>
    <x v="2"/>
    <x v="1"/>
    <x v="3"/>
    <n v="2.6666666666666665"/>
    <s v="Master"/>
    <s v="High"/>
    <x v="0"/>
    <s v="Low"/>
  </r>
  <r>
    <n v="33"/>
    <x v="1"/>
    <x v="1"/>
    <n v="5"/>
    <n v="4"/>
    <s v="Life Sciences"/>
    <n v="4"/>
    <n v="2"/>
    <x v="1"/>
    <n v="11878"/>
    <n v="6"/>
    <n v="3"/>
    <n v="10"/>
    <n v="0"/>
    <x v="2"/>
    <x v="2"/>
    <x v="1"/>
    <n v="3"/>
    <s v="Master"/>
    <s v="Very High"/>
    <x v="1"/>
    <s v="High"/>
  </r>
  <r>
    <n v="39"/>
    <x v="1"/>
    <x v="1"/>
    <n v="10"/>
    <n v="1"/>
    <s v="Medical"/>
    <n v="3"/>
    <n v="1"/>
    <x v="1"/>
    <n v="17068"/>
    <n v="1"/>
    <n v="3"/>
    <n v="21"/>
    <n v="0"/>
    <x v="0"/>
    <x v="2"/>
    <x v="1"/>
    <n v="2.3333333333333335"/>
    <s v="Below College"/>
    <s v="High"/>
    <x v="3"/>
    <s v="High"/>
  </r>
  <r>
    <n v="43"/>
    <x v="1"/>
    <x v="1"/>
    <n v="10"/>
    <n v="4"/>
    <s v="Life Sciences"/>
    <n v="3"/>
    <n v="4"/>
    <x v="0"/>
    <n v="2455"/>
    <n v="0"/>
    <n v="3"/>
    <n v="8"/>
    <n v="0"/>
    <x v="0"/>
    <x v="1"/>
    <x v="0"/>
    <n v="3.3333333333333335"/>
    <s v="Master"/>
    <s v="High"/>
    <x v="0"/>
    <s v="High"/>
  </r>
  <r>
    <n v="49"/>
    <x v="1"/>
    <x v="1"/>
    <n v="1"/>
    <n v="2"/>
    <s v="Technical Degree"/>
    <n v="3"/>
    <n v="3"/>
    <x v="0"/>
    <n v="13964"/>
    <n v="7"/>
    <n v="3"/>
    <n v="7"/>
    <n v="0"/>
    <x v="1"/>
    <x v="2"/>
    <x v="0"/>
    <n v="3"/>
    <s v="College"/>
    <s v="High"/>
    <x v="2"/>
    <s v="High"/>
  </r>
  <r>
    <n v="52"/>
    <x v="0"/>
    <x v="1"/>
    <n v="8"/>
    <n v="4"/>
    <s v="Medical"/>
    <n v="3"/>
    <n v="2"/>
    <x v="1"/>
    <n v="4941"/>
    <n v="2"/>
    <n v="2"/>
    <n v="8"/>
    <n v="1"/>
    <x v="1"/>
    <x v="0"/>
    <x v="0"/>
    <n v="2.3333333333333335"/>
    <s v="Master"/>
    <s v="High"/>
    <x v="1"/>
    <s v="Medium"/>
  </r>
  <r>
    <n v="27"/>
    <x v="1"/>
    <x v="1"/>
    <n v="5"/>
    <n v="3"/>
    <s v="Life Sciences"/>
    <n v="3"/>
    <n v="2"/>
    <x v="0"/>
    <n v="2478"/>
    <n v="1"/>
    <n v="2"/>
    <n v="4"/>
    <n v="0"/>
    <x v="2"/>
    <x v="1"/>
    <x v="3"/>
    <n v="2.3333333333333335"/>
    <s v="Bachelor"/>
    <s v="High"/>
    <x v="1"/>
    <s v="Medium"/>
  </r>
  <r>
    <n v="32"/>
    <x v="1"/>
    <x v="0"/>
    <n v="8"/>
    <n v="2"/>
    <s v="Technical Degree"/>
    <n v="3"/>
    <n v="2"/>
    <x v="1"/>
    <n v="5228"/>
    <n v="1"/>
    <n v="3"/>
    <n v="13"/>
    <n v="0"/>
    <x v="2"/>
    <x v="0"/>
    <x v="1"/>
    <n v="2.6666666666666665"/>
    <s v="College"/>
    <s v="High"/>
    <x v="1"/>
    <s v="High"/>
  </r>
  <r>
    <n v="27"/>
    <x v="1"/>
    <x v="0"/>
    <n v="2"/>
    <n v="3"/>
    <s v="Life Sciences"/>
    <n v="4"/>
    <n v="3"/>
    <x v="0"/>
    <n v="4478"/>
    <n v="1"/>
    <n v="3"/>
    <n v="5"/>
    <n v="0"/>
    <x v="2"/>
    <x v="0"/>
    <x v="0"/>
    <n v="3.3333333333333335"/>
    <s v="Bachelor"/>
    <s v="Very High"/>
    <x v="2"/>
    <s v="High"/>
  </r>
  <r>
    <n v="31"/>
    <x v="1"/>
    <x v="0"/>
    <n v="7"/>
    <n v="3"/>
    <s v="Marketing"/>
    <n v="4"/>
    <n v="4"/>
    <x v="2"/>
    <n v="7547"/>
    <n v="4"/>
    <n v="3"/>
    <n v="7"/>
    <n v="0"/>
    <x v="2"/>
    <x v="2"/>
    <x v="0"/>
    <n v="3.6666666666666665"/>
    <s v="Bachelor"/>
    <s v="Very High"/>
    <x v="0"/>
    <s v="High"/>
  </r>
  <r>
    <n v="32"/>
    <x v="1"/>
    <x v="1"/>
    <n v="2"/>
    <n v="4"/>
    <s v="Medical"/>
    <n v="1"/>
    <n v="4"/>
    <x v="0"/>
    <n v="5055"/>
    <n v="7"/>
    <n v="2"/>
    <n v="7"/>
    <n v="0"/>
    <x v="2"/>
    <x v="0"/>
    <x v="0"/>
    <n v="2.3333333333333335"/>
    <s v="Master"/>
    <s v="Low"/>
    <x v="0"/>
    <s v="Medium"/>
  </r>
  <r>
    <n v="28"/>
    <x v="0"/>
    <x v="1"/>
    <n v="2"/>
    <n v="4"/>
    <s v="Medical"/>
    <n v="1"/>
    <n v="4"/>
    <x v="1"/>
    <n v="3464"/>
    <n v="5"/>
    <n v="2"/>
    <n v="3"/>
    <n v="1"/>
    <x v="2"/>
    <x v="0"/>
    <x v="3"/>
    <n v="2.3333333333333335"/>
    <s v="Master"/>
    <s v="Low"/>
    <x v="0"/>
    <s v="Medium"/>
  </r>
  <r>
    <n v="30"/>
    <x v="1"/>
    <x v="1"/>
    <n v="28"/>
    <n v="2"/>
    <s v="Medical"/>
    <n v="4"/>
    <n v="4"/>
    <x v="1"/>
    <n v="5775"/>
    <n v="1"/>
    <n v="3"/>
    <n v="10"/>
    <n v="0"/>
    <x v="2"/>
    <x v="0"/>
    <x v="1"/>
    <n v="3.6666666666666665"/>
    <s v="College"/>
    <s v="Very High"/>
    <x v="0"/>
    <s v="High"/>
  </r>
  <r>
    <n v="31"/>
    <x v="1"/>
    <x v="1"/>
    <n v="7"/>
    <n v="2"/>
    <s v="Life Sciences"/>
    <n v="3"/>
    <n v="3"/>
    <x v="1"/>
    <n v="8943"/>
    <n v="1"/>
    <n v="3"/>
    <n v="10"/>
    <n v="0"/>
    <x v="2"/>
    <x v="2"/>
    <x v="1"/>
    <n v="3"/>
    <s v="College"/>
    <s v="High"/>
    <x v="2"/>
    <s v="High"/>
  </r>
  <r>
    <n v="39"/>
    <x v="1"/>
    <x v="1"/>
    <n v="7"/>
    <n v="2"/>
    <s v="Medical"/>
    <n v="3"/>
    <n v="4"/>
    <x v="1"/>
    <n v="19272"/>
    <n v="1"/>
    <n v="3"/>
    <n v="21"/>
    <n v="0"/>
    <x v="0"/>
    <x v="2"/>
    <x v="1"/>
    <n v="3.3333333333333335"/>
    <s v="College"/>
    <s v="High"/>
    <x v="0"/>
    <s v="High"/>
  </r>
  <r>
    <n v="39"/>
    <x v="0"/>
    <x v="0"/>
    <n v="3"/>
    <n v="2"/>
    <s v="Medical"/>
    <n v="4"/>
    <n v="3"/>
    <x v="1"/>
    <n v="5238"/>
    <n v="4"/>
    <n v="2"/>
    <n v="1"/>
    <n v="1"/>
    <x v="0"/>
    <x v="0"/>
    <x v="2"/>
    <n v="3"/>
    <s v="College"/>
    <s v="Very High"/>
    <x v="2"/>
    <s v="Medium"/>
  </r>
  <r>
    <n v="33"/>
    <x v="1"/>
    <x v="0"/>
    <n v="10"/>
    <n v="3"/>
    <s v="Marketing"/>
    <n v="2"/>
    <n v="4"/>
    <x v="0"/>
    <n v="4682"/>
    <n v="3"/>
    <n v="2"/>
    <n v="7"/>
    <n v="0"/>
    <x v="2"/>
    <x v="0"/>
    <x v="0"/>
    <n v="2.6666666666666665"/>
    <s v="Bachelor"/>
    <s v="Medium"/>
    <x v="0"/>
    <s v="Medium"/>
  </r>
  <r>
    <n v="47"/>
    <x v="1"/>
    <x v="1"/>
    <n v="5"/>
    <n v="5"/>
    <s v="Life Sciences"/>
    <n v="4"/>
    <n v="3"/>
    <x v="1"/>
    <n v="18300"/>
    <n v="4"/>
    <n v="3"/>
    <n v="3"/>
    <n v="0"/>
    <x v="1"/>
    <x v="2"/>
    <x v="3"/>
    <n v="3.3333333333333335"/>
    <s v="Doctor"/>
    <s v="Very High"/>
    <x v="2"/>
    <s v="High"/>
  </r>
  <r>
    <n v="43"/>
    <x v="1"/>
    <x v="1"/>
    <n v="10"/>
    <n v="4"/>
    <s v="Life Sciences"/>
    <n v="3"/>
    <n v="3"/>
    <x v="2"/>
    <n v="5257"/>
    <n v="1"/>
    <n v="4"/>
    <n v="9"/>
    <n v="0"/>
    <x v="0"/>
    <x v="0"/>
    <x v="0"/>
    <n v="3.3333333333333335"/>
    <s v="Master"/>
    <s v="High"/>
    <x v="2"/>
    <s v="Very High"/>
  </r>
  <r>
    <n v="27"/>
    <x v="1"/>
    <x v="0"/>
    <n v="1"/>
    <n v="1"/>
    <s v="Marketing"/>
    <n v="3"/>
    <n v="2"/>
    <x v="1"/>
    <n v="6349"/>
    <n v="0"/>
    <n v="3"/>
    <n v="5"/>
    <n v="0"/>
    <x v="2"/>
    <x v="0"/>
    <x v="0"/>
    <n v="2.6666666666666665"/>
    <s v="Below College"/>
    <s v="High"/>
    <x v="1"/>
    <s v="High"/>
  </r>
  <r>
    <n v="54"/>
    <x v="1"/>
    <x v="1"/>
    <n v="20"/>
    <n v="4"/>
    <s v="Life Sciences"/>
    <n v="4"/>
    <n v="3"/>
    <x v="0"/>
    <n v="4869"/>
    <n v="3"/>
    <n v="2"/>
    <n v="4"/>
    <n v="0"/>
    <x v="1"/>
    <x v="0"/>
    <x v="3"/>
    <n v="3"/>
    <s v="Master"/>
    <s v="Very High"/>
    <x v="2"/>
    <s v="Medium"/>
  </r>
  <r>
    <n v="43"/>
    <x v="1"/>
    <x v="1"/>
    <n v="7"/>
    <n v="3"/>
    <s v="Life Sciences"/>
    <n v="3"/>
    <n v="1"/>
    <x v="1"/>
    <n v="9985"/>
    <n v="8"/>
    <n v="2"/>
    <n v="1"/>
    <n v="0"/>
    <x v="0"/>
    <x v="2"/>
    <x v="2"/>
    <n v="2"/>
    <s v="Bachelor"/>
    <s v="High"/>
    <x v="3"/>
    <s v="Medium"/>
  </r>
  <r>
    <n v="45"/>
    <x v="1"/>
    <x v="1"/>
    <n v="8"/>
    <n v="4"/>
    <s v="Other"/>
    <n v="4"/>
    <n v="4"/>
    <x v="1"/>
    <n v="3697"/>
    <n v="9"/>
    <n v="3"/>
    <n v="10"/>
    <n v="0"/>
    <x v="1"/>
    <x v="0"/>
    <x v="1"/>
    <n v="3.6666666666666665"/>
    <s v="Master"/>
    <s v="Very High"/>
    <x v="0"/>
    <s v="High"/>
  </r>
  <r>
    <n v="40"/>
    <x v="1"/>
    <x v="0"/>
    <n v="1"/>
    <n v="2"/>
    <s v="Medical"/>
    <n v="2"/>
    <n v="4"/>
    <x v="1"/>
    <n v="7457"/>
    <n v="2"/>
    <n v="2"/>
    <n v="4"/>
    <n v="0"/>
    <x v="0"/>
    <x v="2"/>
    <x v="3"/>
    <n v="2.6666666666666665"/>
    <s v="College"/>
    <s v="Medium"/>
    <x v="0"/>
    <s v="Medium"/>
  </r>
  <r>
    <n v="29"/>
    <x v="0"/>
    <x v="1"/>
    <n v="8"/>
    <n v="4"/>
    <s v="Other"/>
    <n v="2"/>
    <n v="1"/>
    <x v="1"/>
    <n v="2119"/>
    <n v="1"/>
    <n v="2"/>
    <n v="7"/>
    <n v="1"/>
    <x v="2"/>
    <x v="1"/>
    <x v="0"/>
    <n v="1.6666666666666667"/>
    <s v="Master"/>
    <s v="Medium"/>
    <x v="3"/>
    <s v="Medium"/>
  </r>
  <r>
    <n v="29"/>
    <x v="1"/>
    <x v="1"/>
    <n v="9"/>
    <n v="5"/>
    <s v="Other"/>
    <n v="2"/>
    <n v="4"/>
    <x v="0"/>
    <n v="3983"/>
    <n v="0"/>
    <n v="3"/>
    <n v="3"/>
    <n v="0"/>
    <x v="2"/>
    <x v="0"/>
    <x v="3"/>
    <n v="3"/>
    <s v="Doctor"/>
    <s v="Medium"/>
    <x v="0"/>
    <s v="High"/>
  </r>
  <r>
    <n v="30"/>
    <x v="1"/>
    <x v="0"/>
    <n v="5"/>
    <n v="3"/>
    <s v="Marketing"/>
    <n v="4"/>
    <n v="3"/>
    <x v="2"/>
    <n v="6118"/>
    <n v="1"/>
    <n v="3"/>
    <n v="10"/>
    <n v="0"/>
    <x v="2"/>
    <x v="0"/>
    <x v="1"/>
    <n v="3.3333333333333335"/>
    <s v="Bachelor"/>
    <s v="Very High"/>
    <x v="2"/>
    <s v="High"/>
  </r>
  <r>
    <n v="27"/>
    <x v="1"/>
    <x v="0"/>
    <n v="8"/>
    <n v="4"/>
    <s v="Marketing"/>
    <n v="2"/>
    <n v="2"/>
    <x v="1"/>
    <n v="6214"/>
    <n v="1"/>
    <n v="3"/>
    <n v="8"/>
    <n v="0"/>
    <x v="2"/>
    <x v="0"/>
    <x v="0"/>
    <n v="2.3333333333333335"/>
    <s v="Master"/>
    <s v="Medium"/>
    <x v="1"/>
    <s v="High"/>
  </r>
  <r>
    <n v="37"/>
    <x v="1"/>
    <x v="1"/>
    <n v="5"/>
    <n v="2"/>
    <s v="Medical"/>
    <n v="4"/>
    <n v="4"/>
    <x v="2"/>
    <n v="6347"/>
    <n v="7"/>
    <n v="2"/>
    <n v="6"/>
    <n v="0"/>
    <x v="0"/>
    <x v="0"/>
    <x v="0"/>
    <n v="3.3333333333333335"/>
    <s v="College"/>
    <s v="Very High"/>
    <x v="0"/>
    <s v="Medium"/>
  </r>
  <r>
    <n v="38"/>
    <x v="1"/>
    <x v="1"/>
    <n v="15"/>
    <n v="2"/>
    <s v="Life Sciences"/>
    <n v="3"/>
    <n v="4"/>
    <x v="2"/>
    <n v="11510"/>
    <n v="0"/>
    <n v="3"/>
    <n v="11"/>
    <n v="0"/>
    <x v="0"/>
    <x v="2"/>
    <x v="1"/>
    <n v="3.3333333333333335"/>
    <s v="College"/>
    <s v="High"/>
    <x v="0"/>
    <s v="High"/>
  </r>
  <r>
    <n v="31"/>
    <x v="1"/>
    <x v="1"/>
    <n v="7"/>
    <n v="4"/>
    <s v="Medical"/>
    <n v="3"/>
    <n v="4"/>
    <x v="0"/>
    <n v="7143"/>
    <n v="1"/>
    <n v="2"/>
    <n v="11"/>
    <n v="0"/>
    <x v="2"/>
    <x v="2"/>
    <x v="1"/>
    <n v="3"/>
    <s v="Master"/>
    <s v="High"/>
    <x v="0"/>
    <s v="Medium"/>
  </r>
  <r>
    <n v="29"/>
    <x v="1"/>
    <x v="0"/>
    <n v="10"/>
    <n v="1"/>
    <s v="Marketing"/>
    <n v="4"/>
    <n v="2"/>
    <x v="2"/>
    <n v="8268"/>
    <n v="1"/>
    <n v="3"/>
    <n v="7"/>
    <n v="0"/>
    <x v="2"/>
    <x v="2"/>
    <x v="0"/>
    <n v="3"/>
    <s v="Below College"/>
    <s v="Very High"/>
    <x v="1"/>
    <s v="High"/>
  </r>
  <r>
    <n v="35"/>
    <x v="1"/>
    <x v="1"/>
    <n v="5"/>
    <n v="4"/>
    <s v="Technical Degree"/>
    <n v="3"/>
    <n v="2"/>
    <x v="0"/>
    <n v="8095"/>
    <n v="0"/>
    <n v="3"/>
    <n v="16"/>
    <n v="0"/>
    <x v="0"/>
    <x v="2"/>
    <x v="1"/>
    <n v="2.6666666666666665"/>
    <s v="Master"/>
    <s v="High"/>
    <x v="1"/>
    <s v="High"/>
  </r>
  <r>
    <n v="23"/>
    <x v="1"/>
    <x v="1"/>
    <n v="26"/>
    <n v="1"/>
    <s v="Life Sciences"/>
    <n v="3"/>
    <n v="4"/>
    <x v="2"/>
    <n v="2904"/>
    <n v="1"/>
    <n v="2"/>
    <n v="4"/>
    <n v="0"/>
    <x v="4"/>
    <x v="1"/>
    <x v="3"/>
    <n v="3"/>
    <s v="Below College"/>
    <s v="High"/>
    <x v="0"/>
    <s v="Medium"/>
  </r>
  <r>
    <n v="41"/>
    <x v="1"/>
    <x v="1"/>
    <n v="6"/>
    <n v="3"/>
    <s v="Medical"/>
    <n v="4"/>
    <n v="2"/>
    <x v="0"/>
    <n v="6032"/>
    <n v="6"/>
    <n v="3"/>
    <n v="5"/>
    <n v="0"/>
    <x v="0"/>
    <x v="0"/>
    <x v="0"/>
    <n v="3"/>
    <s v="Bachelor"/>
    <s v="Very High"/>
    <x v="1"/>
    <s v="High"/>
  </r>
  <r>
    <n v="47"/>
    <x v="1"/>
    <x v="0"/>
    <n v="4"/>
    <n v="1"/>
    <s v="Medical"/>
    <n v="2"/>
    <n v="3"/>
    <x v="0"/>
    <n v="2976"/>
    <n v="3"/>
    <n v="3"/>
    <n v="0"/>
    <n v="0"/>
    <x v="1"/>
    <x v="1"/>
    <x v="2"/>
    <n v="2.6666666666666665"/>
    <s v="Below College"/>
    <s v="Medium"/>
    <x v="2"/>
    <s v="High"/>
  </r>
  <r>
    <n v="42"/>
    <x v="1"/>
    <x v="1"/>
    <n v="23"/>
    <n v="5"/>
    <s v="Life Sciences"/>
    <n v="1"/>
    <n v="4"/>
    <x v="0"/>
    <n v="15992"/>
    <n v="2"/>
    <n v="3"/>
    <n v="1"/>
    <n v="0"/>
    <x v="0"/>
    <x v="2"/>
    <x v="2"/>
    <n v="2.6666666666666665"/>
    <s v="Doctor"/>
    <s v="Low"/>
    <x v="0"/>
    <s v="High"/>
  </r>
  <r>
    <n v="29"/>
    <x v="1"/>
    <x v="0"/>
    <n v="2"/>
    <n v="3"/>
    <s v="Life Sciences"/>
    <n v="4"/>
    <n v="3"/>
    <x v="1"/>
    <n v="4649"/>
    <n v="1"/>
    <n v="2"/>
    <n v="4"/>
    <n v="0"/>
    <x v="2"/>
    <x v="0"/>
    <x v="3"/>
    <n v="3"/>
    <s v="Bachelor"/>
    <s v="Very High"/>
    <x v="2"/>
    <s v="Medium"/>
  </r>
  <r>
    <n v="42"/>
    <x v="1"/>
    <x v="2"/>
    <n v="2"/>
    <n v="1"/>
    <s v="Technical Degree"/>
    <n v="3"/>
    <n v="3"/>
    <x v="2"/>
    <n v="2696"/>
    <n v="0"/>
    <n v="3"/>
    <n v="3"/>
    <n v="0"/>
    <x v="0"/>
    <x v="1"/>
    <x v="3"/>
    <n v="3"/>
    <s v="Below College"/>
    <s v="High"/>
    <x v="2"/>
    <s v="High"/>
  </r>
  <r>
    <n v="32"/>
    <x v="1"/>
    <x v="1"/>
    <n v="2"/>
    <n v="3"/>
    <s v="Medical"/>
    <n v="3"/>
    <n v="2"/>
    <x v="1"/>
    <n v="2370"/>
    <n v="1"/>
    <n v="3"/>
    <n v="8"/>
    <n v="0"/>
    <x v="2"/>
    <x v="1"/>
    <x v="0"/>
    <n v="2.6666666666666665"/>
    <s v="Bachelor"/>
    <s v="High"/>
    <x v="1"/>
    <s v="High"/>
  </r>
  <r>
    <n v="48"/>
    <x v="1"/>
    <x v="0"/>
    <n v="29"/>
    <n v="1"/>
    <s v="Medical"/>
    <n v="1"/>
    <n v="3"/>
    <x v="1"/>
    <n v="12504"/>
    <n v="3"/>
    <n v="1"/>
    <n v="0"/>
    <n v="0"/>
    <x v="1"/>
    <x v="2"/>
    <x v="2"/>
    <n v="1.6666666666666667"/>
    <s v="Below College"/>
    <s v="Low"/>
    <x v="2"/>
    <s v="Low"/>
  </r>
  <r>
    <n v="37"/>
    <x v="1"/>
    <x v="1"/>
    <n v="6"/>
    <n v="3"/>
    <s v="Medical"/>
    <n v="3"/>
    <n v="1"/>
    <x v="2"/>
    <n v="5974"/>
    <n v="4"/>
    <n v="3"/>
    <n v="7"/>
    <n v="0"/>
    <x v="0"/>
    <x v="0"/>
    <x v="0"/>
    <n v="2.3333333333333335"/>
    <s v="Bachelor"/>
    <s v="High"/>
    <x v="3"/>
    <s v="High"/>
  </r>
  <r>
    <n v="30"/>
    <x v="1"/>
    <x v="0"/>
    <n v="25"/>
    <n v="2"/>
    <s v="Technical Degree"/>
    <n v="4"/>
    <n v="3"/>
    <x v="1"/>
    <n v="4736"/>
    <n v="7"/>
    <n v="4"/>
    <n v="2"/>
    <n v="0"/>
    <x v="2"/>
    <x v="0"/>
    <x v="3"/>
    <n v="3.6666666666666665"/>
    <s v="College"/>
    <s v="Very High"/>
    <x v="2"/>
    <s v="Very High"/>
  </r>
  <r>
    <n v="26"/>
    <x v="1"/>
    <x v="0"/>
    <n v="1"/>
    <n v="3"/>
    <s v="Life Sciences"/>
    <n v="3"/>
    <n v="3"/>
    <x v="1"/>
    <n v="5296"/>
    <n v="1"/>
    <n v="3"/>
    <n v="8"/>
    <n v="0"/>
    <x v="2"/>
    <x v="0"/>
    <x v="0"/>
    <n v="3"/>
    <s v="Bachelor"/>
    <s v="High"/>
    <x v="2"/>
    <s v="High"/>
  </r>
  <r>
    <n v="42"/>
    <x v="1"/>
    <x v="1"/>
    <n v="2"/>
    <n v="4"/>
    <s v="Other"/>
    <n v="1"/>
    <n v="4"/>
    <x v="0"/>
    <n v="6781"/>
    <n v="3"/>
    <n v="3"/>
    <n v="1"/>
    <n v="0"/>
    <x v="0"/>
    <x v="0"/>
    <x v="2"/>
    <n v="2.6666666666666665"/>
    <s v="Master"/>
    <s v="Low"/>
    <x v="0"/>
    <s v="High"/>
  </r>
  <r>
    <n v="21"/>
    <x v="0"/>
    <x v="0"/>
    <n v="1"/>
    <n v="1"/>
    <s v="Technical Degree"/>
    <n v="1"/>
    <n v="2"/>
    <x v="0"/>
    <n v="2174"/>
    <n v="1"/>
    <n v="3"/>
    <n v="3"/>
    <n v="1"/>
    <x v="4"/>
    <x v="1"/>
    <x v="3"/>
    <n v="2"/>
    <s v="Below College"/>
    <s v="Low"/>
    <x v="1"/>
    <s v="High"/>
  </r>
  <r>
    <n v="36"/>
    <x v="1"/>
    <x v="0"/>
    <n v="1"/>
    <n v="5"/>
    <s v="Medical"/>
    <n v="4"/>
    <n v="4"/>
    <x v="0"/>
    <n v="6653"/>
    <n v="4"/>
    <n v="3"/>
    <n v="1"/>
    <n v="0"/>
    <x v="0"/>
    <x v="0"/>
    <x v="2"/>
    <n v="3.6666666666666665"/>
    <s v="Doctor"/>
    <s v="Very High"/>
    <x v="0"/>
    <s v="High"/>
  </r>
  <r>
    <n v="36"/>
    <x v="1"/>
    <x v="0"/>
    <n v="3"/>
    <n v="4"/>
    <s v="Medical"/>
    <n v="1"/>
    <n v="4"/>
    <x v="1"/>
    <n v="9699"/>
    <n v="4"/>
    <n v="3"/>
    <n v="13"/>
    <n v="0"/>
    <x v="0"/>
    <x v="2"/>
    <x v="1"/>
    <n v="2.6666666666666665"/>
    <s v="Master"/>
    <s v="Low"/>
    <x v="0"/>
    <s v="High"/>
  </r>
  <r>
    <n v="57"/>
    <x v="1"/>
    <x v="1"/>
    <n v="1"/>
    <n v="4"/>
    <s v="Medical"/>
    <n v="4"/>
    <n v="3"/>
    <x v="1"/>
    <n v="6755"/>
    <n v="2"/>
    <n v="3"/>
    <n v="3"/>
    <n v="0"/>
    <x v="3"/>
    <x v="0"/>
    <x v="3"/>
    <n v="3.3333333333333335"/>
    <s v="Master"/>
    <s v="Very High"/>
    <x v="2"/>
    <s v="High"/>
  </r>
  <r>
    <n v="40"/>
    <x v="1"/>
    <x v="1"/>
    <n v="10"/>
    <n v="4"/>
    <s v="Life Sciences"/>
    <n v="4"/>
    <n v="3"/>
    <x v="1"/>
    <n v="2213"/>
    <n v="3"/>
    <n v="3"/>
    <n v="7"/>
    <n v="0"/>
    <x v="0"/>
    <x v="1"/>
    <x v="0"/>
    <n v="3.3333333333333335"/>
    <s v="Master"/>
    <s v="Very High"/>
    <x v="2"/>
    <s v="High"/>
  </r>
  <r>
    <n v="21"/>
    <x v="1"/>
    <x v="0"/>
    <n v="9"/>
    <n v="2"/>
    <s v="Medical"/>
    <n v="1"/>
    <n v="4"/>
    <x v="0"/>
    <n v="2610"/>
    <n v="1"/>
    <n v="2"/>
    <n v="3"/>
    <n v="0"/>
    <x v="4"/>
    <x v="1"/>
    <x v="3"/>
    <n v="2.3333333333333335"/>
    <s v="College"/>
    <s v="Low"/>
    <x v="0"/>
    <s v="Medium"/>
  </r>
  <r>
    <n v="33"/>
    <x v="0"/>
    <x v="0"/>
    <n v="5"/>
    <n v="3"/>
    <s v="Marketing"/>
    <n v="4"/>
    <n v="3"/>
    <x v="0"/>
    <n v="2851"/>
    <n v="1"/>
    <n v="3"/>
    <n v="1"/>
    <n v="1"/>
    <x v="2"/>
    <x v="1"/>
    <x v="2"/>
    <n v="3.3333333333333335"/>
    <s v="Bachelor"/>
    <s v="Very High"/>
    <x v="2"/>
    <s v="High"/>
  </r>
  <r>
    <n v="37"/>
    <x v="1"/>
    <x v="1"/>
    <n v="10"/>
    <n v="3"/>
    <s v="Medical"/>
    <n v="3"/>
    <n v="1"/>
    <x v="1"/>
    <n v="3452"/>
    <n v="6"/>
    <n v="3"/>
    <n v="5"/>
    <n v="0"/>
    <x v="0"/>
    <x v="0"/>
    <x v="0"/>
    <n v="2.3333333333333335"/>
    <s v="Bachelor"/>
    <s v="High"/>
    <x v="3"/>
    <s v="High"/>
  </r>
  <r>
    <n v="46"/>
    <x v="1"/>
    <x v="1"/>
    <n v="7"/>
    <n v="4"/>
    <s v="Medical"/>
    <n v="3"/>
    <n v="3"/>
    <x v="1"/>
    <n v="5258"/>
    <n v="2"/>
    <n v="4"/>
    <n v="1"/>
    <n v="0"/>
    <x v="1"/>
    <x v="0"/>
    <x v="2"/>
    <n v="3.3333333333333335"/>
    <s v="Master"/>
    <s v="High"/>
    <x v="2"/>
    <s v="Very High"/>
  </r>
  <r>
    <n v="41"/>
    <x v="0"/>
    <x v="0"/>
    <n v="4"/>
    <n v="3"/>
    <s v="Marketing"/>
    <n v="1"/>
    <n v="2"/>
    <x v="0"/>
    <n v="9355"/>
    <n v="1"/>
    <n v="3"/>
    <n v="8"/>
    <n v="1"/>
    <x v="0"/>
    <x v="2"/>
    <x v="0"/>
    <n v="2"/>
    <s v="Bachelor"/>
    <s v="Low"/>
    <x v="1"/>
    <s v="High"/>
  </r>
  <r>
    <n v="50"/>
    <x v="1"/>
    <x v="1"/>
    <n v="10"/>
    <n v="3"/>
    <s v="Technical Degree"/>
    <n v="4"/>
    <n v="4"/>
    <x v="0"/>
    <n v="10496"/>
    <n v="6"/>
    <n v="3"/>
    <n v="4"/>
    <n v="0"/>
    <x v="1"/>
    <x v="2"/>
    <x v="3"/>
    <n v="3.6666666666666665"/>
    <s v="Bachelor"/>
    <s v="Very High"/>
    <x v="0"/>
    <s v="High"/>
  </r>
  <r>
    <n v="40"/>
    <x v="0"/>
    <x v="0"/>
    <n v="22"/>
    <n v="2"/>
    <s v="Marketing"/>
    <n v="3"/>
    <n v="3"/>
    <x v="1"/>
    <n v="6380"/>
    <n v="2"/>
    <n v="3"/>
    <n v="6"/>
    <n v="1"/>
    <x v="0"/>
    <x v="0"/>
    <x v="0"/>
    <n v="3"/>
    <s v="College"/>
    <s v="High"/>
    <x v="2"/>
    <s v="High"/>
  </r>
  <r>
    <n v="31"/>
    <x v="1"/>
    <x v="1"/>
    <n v="9"/>
    <n v="4"/>
    <s v="Life Sciences"/>
    <n v="3"/>
    <n v="2"/>
    <x v="0"/>
    <n v="2657"/>
    <n v="0"/>
    <n v="3"/>
    <n v="2"/>
    <n v="0"/>
    <x v="2"/>
    <x v="1"/>
    <x v="3"/>
    <n v="2.6666666666666665"/>
    <s v="Master"/>
    <s v="High"/>
    <x v="1"/>
    <s v="High"/>
  </r>
  <r>
    <n v="21"/>
    <x v="0"/>
    <x v="0"/>
    <n v="12"/>
    <n v="3"/>
    <s v="Life Sciences"/>
    <n v="3"/>
    <n v="2"/>
    <x v="0"/>
    <n v="2716"/>
    <n v="1"/>
    <n v="3"/>
    <n v="1"/>
    <n v="1"/>
    <x v="4"/>
    <x v="1"/>
    <x v="2"/>
    <n v="2.6666666666666665"/>
    <s v="Bachelor"/>
    <s v="High"/>
    <x v="1"/>
    <s v="High"/>
  </r>
  <r>
    <n v="29"/>
    <x v="1"/>
    <x v="1"/>
    <n v="23"/>
    <n v="3"/>
    <s v="Life Sciences"/>
    <n v="4"/>
    <n v="4"/>
    <x v="0"/>
    <n v="2201"/>
    <n v="9"/>
    <n v="3"/>
    <n v="3"/>
    <n v="0"/>
    <x v="2"/>
    <x v="1"/>
    <x v="3"/>
    <n v="3.6666666666666665"/>
    <s v="Bachelor"/>
    <s v="Very High"/>
    <x v="0"/>
    <s v="High"/>
  </r>
  <r>
    <n v="35"/>
    <x v="1"/>
    <x v="1"/>
    <n v="9"/>
    <n v="4"/>
    <s v="Life Sciences"/>
    <n v="3"/>
    <n v="2"/>
    <x v="0"/>
    <n v="6540"/>
    <n v="9"/>
    <n v="3"/>
    <n v="1"/>
    <n v="0"/>
    <x v="0"/>
    <x v="0"/>
    <x v="2"/>
    <n v="2.6666666666666665"/>
    <s v="Master"/>
    <s v="High"/>
    <x v="1"/>
    <s v="High"/>
  </r>
  <r>
    <n v="27"/>
    <x v="1"/>
    <x v="1"/>
    <n v="1"/>
    <n v="2"/>
    <s v="Medical"/>
    <n v="4"/>
    <n v="2"/>
    <x v="2"/>
    <n v="3816"/>
    <n v="1"/>
    <n v="3"/>
    <n v="5"/>
    <n v="0"/>
    <x v="2"/>
    <x v="0"/>
    <x v="0"/>
    <n v="3"/>
    <s v="College"/>
    <s v="Very High"/>
    <x v="1"/>
    <s v="High"/>
  </r>
  <r>
    <n v="28"/>
    <x v="1"/>
    <x v="0"/>
    <n v="9"/>
    <n v="4"/>
    <s v="Life Sciences"/>
    <n v="2"/>
    <n v="4"/>
    <x v="0"/>
    <n v="5253"/>
    <n v="1"/>
    <n v="3"/>
    <n v="7"/>
    <n v="0"/>
    <x v="2"/>
    <x v="0"/>
    <x v="0"/>
    <n v="3"/>
    <s v="Master"/>
    <s v="Medium"/>
    <x v="0"/>
    <s v="High"/>
  </r>
  <r>
    <n v="49"/>
    <x v="1"/>
    <x v="1"/>
    <n v="7"/>
    <n v="3"/>
    <s v="Other"/>
    <n v="2"/>
    <n v="3"/>
    <x v="0"/>
    <n v="10965"/>
    <n v="8"/>
    <n v="3"/>
    <n v="5"/>
    <n v="0"/>
    <x v="1"/>
    <x v="2"/>
    <x v="0"/>
    <n v="2.6666666666666665"/>
    <s v="Bachelor"/>
    <s v="Medium"/>
    <x v="2"/>
    <s v="High"/>
  </r>
  <r>
    <n v="51"/>
    <x v="1"/>
    <x v="0"/>
    <n v="14"/>
    <n v="2"/>
    <s v="Life Sciences"/>
    <n v="3"/>
    <n v="4"/>
    <x v="1"/>
    <n v="4936"/>
    <n v="4"/>
    <n v="2"/>
    <n v="7"/>
    <n v="0"/>
    <x v="1"/>
    <x v="0"/>
    <x v="0"/>
    <n v="3"/>
    <s v="College"/>
    <s v="High"/>
    <x v="0"/>
    <s v="Medium"/>
  </r>
  <r>
    <n v="36"/>
    <x v="1"/>
    <x v="1"/>
    <n v="2"/>
    <n v="3"/>
    <s v="Life Sciences"/>
    <n v="4"/>
    <n v="3"/>
    <x v="1"/>
    <n v="2543"/>
    <n v="4"/>
    <n v="3"/>
    <n v="2"/>
    <n v="0"/>
    <x v="0"/>
    <x v="1"/>
    <x v="3"/>
    <n v="3.3333333333333335"/>
    <s v="Bachelor"/>
    <s v="Very High"/>
    <x v="2"/>
    <s v="High"/>
  </r>
  <r>
    <n v="34"/>
    <x v="0"/>
    <x v="0"/>
    <n v="19"/>
    <n v="3"/>
    <s v="Marketing"/>
    <n v="1"/>
    <n v="4"/>
    <x v="0"/>
    <n v="5304"/>
    <n v="8"/>
    <n v="2"/>
    <n v="5"/>
    <n v="1"/>
    <x v="2"/>
    <x v="0"/>
    <x v="0"/>
    <n v="2.3333333333333335"/>
    <s v="Bachelor"/>
    <s v="Low"/>
    <x v="0"/>
    <s v="Medium"/>
  </r>
  <r>
    <n v="55"/>
    <x v="1"/>
    <x v="1"/>
    <n v="2"/>
    <n v="3"/>
    <s v="Life Sciences"/>
    <n v="3"/>
    <n v="4"/>
    <x v="0"/>
    <n v="16659"/>
    <n v="2"/>
    <n v="3"/>
    <n v="5"/>
    <n v="0"/>
    <x v="3"/>
    <x v="2"/>
    <x v="0"/>
    <n v="3.3333333333333335"/>
    <s v="Bachelor"/>
    <s v="High"/>
    <x v="0"/>
    <s v="High"/>
  </r>
  <r>
    <n v="24"/>
    <x v="1"/>
    <x v="0"/>
    <n v="10"/>
    <n v="4"/>
    <s v="Marketing"/>
    <n v="4"/>
    <n v="3"/>
    <x v="2"/>
    <n v="4260"/>
    <n v="1"/>
    <n v="4"/>
    <n v="5"/>
    <n v="0"/>
    <x v="4"/>
    <x v="0"/>
    <x v="0"/>
    <n v="3.6666666666666665"/>
    <s v="Master"/>
    <s v="Very High"/>
    <x v="2"/>
    <s v="Very High"/>
  </r>
  <r>
    <n v="30"/>
    <x v="1"/>
    <x v="0"/>
    <n v="2"/>
    <n v="1"/>
    <s v="Technical Degree"/>
    <n v="3"/>
    <n v="2"/>
    <x v="1"/>
    <n v="2476"/>
    <n v="1"/>
    <n v="3"/>
    <n v="1"/>
    <n v="0"/>
    <x v="2"/>
    <x v="1"/>
    <x v="2"/>
    <n v="2.6666666666666665"/>
    <s v="Below College"/>
    <s v="High"/>
    <x v="1"/>
    <s v="High"/>
  </r>
  <r>
    <n v="26"/>
    <x v="0"/>
    <x v="1"/>
    <n v="3"/>
    <n v="1"/>
    <s v="Technical Degree"/>
    <n v="3"/>
    <n v="1"/>
    <x v="0"/>
    <n v="3102"/>
    <n v="0"/>
    <n v="3"/>
    <n v="6"/>
    <n v="1"/>
    <x v="2"/>
    <x v="0"/>
    <x v="0"/>
    <n v="2.3333333333333335"/>
    <s v="Below College"/>
    <s v="High"/>
    <x v="3"/>
    <s v="High"/>
  </r>
  <r>
    <n v="22"/>
    <x v="1"/>
    <x v="1"/>
    <n v="11"/>
    <n v="3"/>
    <s v="Medical"/>
    <n v="1"/>
    <n v="2"/>
    <x v="1"/>
    <n v="2244"/>
    <n v="1"/>
    <n v="3"/>
    <n v="2"/>
    <n v="0"/>
    <x v="4"/>
    <x v="1"/>
    <x v="3"/>
    <n v="2"/>
    <s v="Bachelor"/>
    <s v="Low"/>
    <x v="1"/>
    <s v="High"/>
  </r>
  <r>
    <n v="36"/>
    <x v="1"/>
    <x v="0"/>
    <n v="2"/>
    <n v="2"/>
    <s v="Medical"/>
    <n v="2"/>
    <n v="3"/>
    <x v="1"/>
    <n v="7596"/>
    <n v="1"/>
    <n v="3"/>
    <n v="10"/>
    <n v="0"/>
    <x v="0"/>
    <x v="2"/>
    <x v="1"/>
    <n v="2.6666666666666665"/>
    <s v="College"/>
    <s v="Medium"/>
    <x v="2"/>
    <s v="High"/>
  </r>
  <r>
    <n v="30"/>
    <x v="0"/>
    <x v="1"/>
    <n v="4"/>
    <n v="3"/>
    <s v="Technical Degree"/>
    <n v="3"/>
    <n v="4"/>
    <x v="0"/>
    <n v="2285"/>
    <n v="9"/>
    <n v="3"/>
    <n v="1"/>
    <n v="1"/>
    <x v="2"/>
    <x v="1"/>
    <x v="2"/>
    <n v="3.3333333333333335"/>
    <s v="Bachelor"/>
    <s v="High"/>
    <x v="0"/>
    <s v="High"/>
  </r>
  <r>
    <n v="37"/>
    <x v="1"/>
    <x v="1"/>
    <n v="14"/>
    <n v="3"/>
    <s v="Life Sciences"/>
    <n v="4"/>
    <n v="1"/>
    <x v="2"/>
    <n v="3034"/>
    <n v="1"/>
    <n v="2"/>
    <n v="18"/>
    <n v="0"/>
    <x v="0"/>
    <x v="0"/>
    <x v="1"/>
    <n v="2.3333333333333335"/>
    <s v="Bachelor"/>
    <s v="Very High"/>
    <x v="3"/>
    <s v="Medium"/>
  </r>
  <r>
    <n v="40"/>
    <x v="1"/>
    <x v="0"/>
    <n v="2"/>
    <n v="2"/>
    <s v="Marketing"/>
    <n v="4"/>
    <n v="2"/>
    <x v="2"/>
    <n v="5715"/>
    <n v="7"/>
    <n v="3"/>
    <n v="5"/>
    <n v="0"/>
    <x v="0"/>
    <x v="0"/>
    <x v="0"/>
    <n v="3"/>
    <s v="College"/>
    <s v="Very High"/>
    <x v="1"/>
    <s v="High"/>
  </r>
  <r>
    <n v="42"/>
    <x v="1"/>
    <x v="1"/>
    <n v="1"/>
    <n v="4"/>
    <s v="Life Sciences"/>
    <n v="2"/>
    <n v="1"/>
    <x v="2"/>
    <n v="2576"/>
    <n v="3"/>
    <n v="3"/>
    <n v="5"/>
    <n v="0"/>
    <x v="0"/>
    <x v="1"/>
    <x v="0"/>
    <n v="2"/>
    <s v="Master"/>
    <s v="Medium"/>
    <x v="3"/>
    <s v="High"/>
  </r>
  <r>
    <n v="37"/>
    <x v="1"/>
    <x v="1"/>
    <n v="10"/>
    <n v="4"/>
    <s v="Life Sciences"/>
    <n v="3"/>
    <n v="2"/>
    <x v="0"/>
    <n v="4197"/>
    <n v="2"/>
    <n v="2"/>
    <n v="1"/>
    <n v="0"/>
    <x v="0"/>
    <x v="0"/>
    <x v="2"/>
    <n v="2.3333333333333335"/>
    <s v="Master"/>
    <s v="High"/>
    <x v="1"/>
    <s v="Medium"/>
  </r>
  <r>
    <n v="43"/>
    <x v="1"/>
    <x v="1"/>
    <n v="12"/>
    <n v="3"/>
    <s v="Life Sciences"/>
    <n v="1"/>
    <n v="2"/>
    <x v="2"/>
    <n v="14336"/>
    <n v="1"/>
    <n v="3"/>
    <n v="25"/>
    <n v="0"/>
    <x v="0"/>
    <x v="2"/>
    <x v="1"/>
    <n v="2"/>
    <s v="Bachelor"/>
    <s v="Low"/>
    <x v="1"/>
    <s v="High"/>
  </r>
  <r>
    <n v="40"/>
    <x v="1"/>
    <x v="1"/>
    <n v="2"/>
    <n v="3"/>
    <s v="Medical"/>
    <n v="2"/>
    <n v="3"/>
    <x v="1"/>
    <n v="3448"/>
    <n v="6"/>
    <n v="3"/>
    <n v="1"/>
    <n v="0"/>
    <x v="0"/>
    <x v="0"/>
    <x v="2"/>
    <n v="2.6666666666666665"/>
    <s v="Bachelor"/>
    <s v="Medium"/>
    <x v="2"/>
    <s v="High"/>
  </r>
  <r>
    <n v="54"/>
    <x v="1"/>
    <x v="1"/>
    <n v="5"/>
    <n v="2"/>
    <s v="Medical"/>
    <n v="1"/>
    <n v="1"/>
    <x v="1"/>
    <n v="19406"/>
    <n v="4"/>
    <n v="2"/>
    <n v="4"/>
    <n v="0"/>
    <x v="1"/>
    <x v="2"/>
    <x v="3"/>
    <n v="1.3333333333333333"/>
    <s v="College"/>
    <s v="Low"/>
    <x v="3"/>
    <s v="Medium"/>
  </r>
  <r>
    <n v="34"/>
    <x v="1"/>
    <x v="0"/>
    <n v="4"/>
    <n v="4"/>
    <s v="Marketing"/>
    <n v="3"/>
    <n v="3"/>
    <x v="1"/>
    <n v="6538"/>
    <n v="9"/>
    <n v="3"/>
    <n v="3"/>
    <n v="0"/>
    <x v="2"/>
    <x v="0"/>
    <x v="3"/>
    <n v="3"/>
    <s v="Master"/>
    <s v="High"/>
    <x v="2"/>
    <s v="High"/>
  </r>
  <r>
    <n v="31"/>
    <x v="1"/>
    <x v="1"/>
    <n v="7"/>
    <n v="2"/>
    <s v="Medical"/>
    <n v="2"/>
    <n v="1"/>
    <x v="1"/>
    <n v="4306"/>
    <n v="1"/>
    <n v="1"/>
    <n v="13"/>
    <n v="0"/>
    <x v="2"/>
    <x v="0"/>
    <x v="1"/>
    <n v="1.3333333333333333"/>
    <s v="College"/>
    <s v="Medium"/>
    <x v="3"/>
    <s v="Low"/>
  </r>
  <r>
    <n v="43"/>
    <x v="1"/>
    <x v="1"/>
    <n v="21"/>
    <n v="3"/>
    <s v="Medical"/>
    <n v="4"/>
    <n v="4"/>
    <x v="1"/>
    <n v="2258"/>
    <n v="7"/>
    <n v="3"/>
    <n v="3"/>
    <n v="0"/>
    <x v="0"/>
    <x v="1"/>
    <x v="3"/>
    <n v="3.6666666666666665"/>
    <s v="Bachelor"/>
    <s v="Very High"/>
    <x v="0"/>
    <s v="High"/>
  </r>
  <r>
    <n v="43"/>
    <x v="1"/>
    <x v="1"/>
    <n v="8"/>
    <n v="4"/>
    <s v="Other"/>
    <n v="3"/>
    <n v="3"/>
    <x v="2"/>
    <n v="4522"/>
    <n v="4"/>
    <n v="3"/>
    <n v="5"/>
    <n v="0"/>
    <x v="0"/>
    <x v="0"/>
    <x v="0"/>
    <n v="3"/>
    <s v="Master"/>
    <s v="High"/>
    <x v="2"/>
    <s v="High"/>
  </r>
  <r>
    <n v="25"/>
    <x v="1"/>
    <x v="0"/>
    <n v="4"/>
    <n v="2"/>
    <s v="Life Sciences"/>
    <n v="2"/>
    <n v="4"/>
    <x v="0"/>
    <n v="4487"/>
    <n v="1"/>
    <n v="3"/>
    <n v="5"/>
    <n v="0"/>
    <x v="2"/>
    <x v="0"/>
    <x v="0"/>
    <n v="3"/>
    <s v="College"/>
    <s v="Medium"/>
    <x v="0"/>
    <s v="High"/>
  </r>
  <r>
    <n v="37"/>
    <x v="1"/>
    <x v="1"/>
    <n v="25"/>
    <n v="5"/>
    <s v="Medical"/>
    <n v="2"/>
    <n v="3"/>
    <x v="1"/>
    <n v="4449"/>
    <n v="3"/>
    <n v="3"/>
    <n v="13"/>
    <n v="0"/>
    <x v="0"/>
    <x v="0"/>
    <x v="1"/>
    <n v="2.6666666666666665"/>
    <s v="Doctor"/>
    <s v="Medium"/>
    <x v="2"/>
    <s v="High"/>
  </r>
  <r>
    <n v="31"/>
    <x v="1"/>
    <x v="1"/>
    <n v="1"/>
    <n v="2"/>
    <s v="Life Sciences"/>
    <n v="4"/>
    <n v="1"/>
    <x v="1"/>
    <n v="2218"/>
    <n v="1"/>
    <n v="3"/>
    <n v="4"/>
    <n v="0"/>
    <x v="2"/>
    <x v="1"/>
    <x v="3"/>
    <n v="2.6666666666666665"/>
    <s v="College"/>
    <s v="Very High"/>
    <x v="3"/>
    <s v="High"/>
  </r>
  <r>
    <n v="39"/>
    <x v="1"/>
    <x v="1"/>
    <n v="1"/>
    <n v="1"/>
    <s v="Life Sciences"/>
    <n v="2"/>
    <n v="3"/>
    <x v="2"/>
    <n v="19197"/>
    <n v="1"/>
    <n v="3"/>
    <n v="21"/>
    <n v="0"/>
    <x v="0"/>
    <x v="2"/>
    <x v="1"/>
    <n v="2.6666666666666665"/>
    <s v="Below College"/>
    <s v="Medium"/>
    <x v="2"/>
    <s v="High"/>
  </r>
  <r>
    <n v="56"/>
    <x v="1"/>
    <x v="0"/>
    <n v="6"/>
    <n v="3"/>
    <s v="Life Sciences"/>
    <n v="3"/>
    <n v="1"/>
    <x v="1"/>
    <n v="13212"/>
    <n v="9"/>
    <n v="2"/>
    <n v="7"/>
    <n v="0"/>
    <x v="3"/>
    <x v="2"/>
    <x v="0"/>
    <n v="2"/>
    <s v="Bachelor"/>
    <s v="High"/>
    <x v="3"/>
    <s v="Medium"/>
  </r>
  <r>
    <n v="30"/>
    <x v="1"/>
    <x v="0"/>
    <n v="12"/>
    <n v="3"/>
    <s v="Technical Degree"/>
    <n v="2"/>
    <n v="3"/>
    <x v="0"/>
    <n v="6577"/>
    <n v="0"/>
    <n v="3"/>
    <n v="5"/>
    <n v="0"/>
    <x v="2"/>
    <x v="0"/>
    <x v="0"/>
    <n v="2.6666666666666665"/>
    <s v="Bachelor"/>
    <s v="Medium"/>
    <x v="2"/>
    <s v="High"/>
  </r>
  <r>
    <n v="41"/>
    <x v="1"/>
    <x v="0"/>
    <n v="1"/>
    <n v="3"/>
    <s v="Marketing"/>
    <n v="2"/>
    <n v="1"/>
    <x v="1"/>
    <n v="8392"/>
    <n v="1"/>
    <n v="3"/>
    <n v="10"/>
    <n v="0"/>
    <x v="0"/>
    <x v="2"/>
    <x v="1"/>
    <n v="2"/>
    <s v="Bachelor"/>
    <s v="Medium"/>
    <x v="3"/>
    <s v="High"/>
  </r>
  <r>
    <n v="28"/>
    <x v="1"/>
    <x v="1"/>
    <n v="17"/>
    <n v="2"/>
    <s v="Medical"/>
    <n v="3"/>
    <n v="1"/>
    <x v="2"/>
    <n v="4558"/>
    <n v="1"/>
    <n v="3"/>
    <n v="10"/>
    <n v="0"/>
    <x v="2"/>
    <x v="0"/>
    <x v="1"/>
    <n v="2.3333333333333335"/>
    <s v="College"/>
    <s v="High"/>
    <x v="3"/>
    <s v="High"/>
  </r>
  <r>
    <n v="25"/>
    <x v="0"/>
    <x v="1"/>
    <n v="3"/>
    <n v="3"/>
    <s v="Medical"/>
    <n v="1"/>
    <n v="1"/>
    <x v="1"/>
    <n v="4031"/>
    <n v="5"/>
    <n v="3"/>
    <n v="2"/>
    <n v="1"/>
    <x v="2"/>
    <x v="0"/>
    <x v="3"/>
    <n v="1.6666666666666667"/>
    <s v="Bachelor"/>
    <s v="Low"/>
    <x v="3"/>
    <s v="High"/>
  </r>
  <r>
    <n v="52"/>
    <x v="1"/>
    <x v="1"/>
    <n v="3"/>
    <n v="3"/>
    <s v="Medical"/>
    <n v="4"/>
    <n v="3"/>
    <x v="1"/>
    <n v="7969"/>
    <n v="2"/>
    <n v="3"/>
    <n v="5"/>
    <n v="0"/>
    <x v="1"/>
    <x v="2"/>
    <x v="0"/>
    <n v="3.3333333333333335"/>
    <s v="Bachelor"/>
    <s v="Very High"/>
    <x v="2"/>
    <s v="High"/>
  </r>
  <r>
    <n v="45"/>
    <x v="1"/>
    <x v="1"/>
    <n v="10"/>
    <n v="2"/>
    <s v="Life Sciences"/>
    <n v="1"/>
    <n v="4"/>
    <x v="1"/>
    <n v="2654"/>
    <n v="3"/>
    <n v="2"/>
    <n v="2"/>
    <n v="0"/>
    <x v="1"/>
    <x v="1"/>
    <x v="3"/>
    <n v="2.3333333333333335"/>
    <s v="College"/>
    <s v="Low"/>
    <x v="0"/>
    <s v="Medium"/>
  </r>
  <r>
    <n v="52"/>
    <x v="1"/>
    <x v="1"/>
    <n v="4"/>
    <n v="2"/>
    <s v="Life Sciences"/>
    <n v="4"/>
    <n v="4"/>
    <x v="1"/>
    <n v="16555"/>
    <n v="2"/>
    <n v="1"/>
    <n v="5"/>
    <n v="0"/>
    <x v="1"/>
    <x v="2"/>
    <x v="0"/>
    <n v="3"/>
    <s v="College"/>
    <s v="Very High"/>
    <x v="0"/>
    <s v="Low"/>
  </r>
  <r>
    <n v="42"/>
    <x v="1"/>
    <x v="1"/>
    <n v="29"/>
    <n v="2"/>
    <s v="Life Sciences"/>
    <n v="1"/>
    <n v="3"/>
    <x v="2"/>
    <n v="4556"/>
    <n v="2"/>
    <n v="3"/>
    <n v="5"/>
    <n v="0"/>
    <x v="0"/>
    <x v="0"/>
    <x v="0"/>
    <n v="2.3333333333333335"/>
    <s v="College"/>
    <s v="Low"/>
    <x v="2"/>
    <s v="High"/>
  </r>
  <r>
    <n v="30"/>
    <x v="1"/>
    <x v="1"/>
    <n v="2"/>
    <n v="3"/>
    <s v="Life Sciences"/>
    <n v="3"/>
    <n v="4"/>
    <x v="0"/>
    <n v="6091"/>
    <n v="2"/>
    <n v="3"/>
    <n v="5"/>
    <n v="0"/>
    <x v="2"/>
    <x v="0"/>
    <x v="0"/>
    <n v="3.3333333333333335"/>
    <s v="Bachelor"/>
    <s v="High"/>
    <x v="0"/>
    <s v="High"/>
  </r>
  <r>
    <n v="60"/>
    <x v="1"/>
    <x v="1"/>
    <n v="7"/>
    <n v="3"/>
    <s v="Life Sciences"/>
    <n v="1"/>
    <n v="1"/>
    <x v="1"/>
    <n v="19566"/>
    <n v="5"/>
    <n v="1"/>
    <n v="29"/>
    <n v="0"/>
    <x v="3"/>
    <x v="2"/>
    <x v="1"/>
    <n v="1"/>
    <s v="Bachelor"/>
    <s v="Low"/>
    <x v="3"/>
    <s v="Low"/>
  </r>
  <r>
    <n v="46"/>
    <x v="1"/>
    <x v="1"/>
    <n v="18"/>
    <n v="3"/>
    <s v="Medical"/>
    <n v="3"/>
    <n v="3"/>
    <x v="2"/>
    <n v="4810"/>
    <n v="2"/>
    <n v="2"/>
    <n v="10"/>
    <n v="0"/>
    <x v="1"/>
    <x v="0"/>
    <x v="1"/>
    <n v="2.6666666666666665"/>
    <s v="Bachelor"/>
    <s v="High"/>
    <x v="2"/>
    <s v="Medium"/>
  </r>
  <r>
    <n v="42"/>
    <x v="1"/>
    <x v="1"/>
    <n v="28"/>
    <n v="4"/>
    <s v="Technical Degree"/>
    <n v="4"/>
    <n v="4"/>
    <x v="1"/>
    <n v="4523"/>
    <n v="0"/>
    <n v="4"/>
    <n v="6"/>
    <n v="0"/>
    <x v="0"/>
    <x v="0"/>
    <x v="0"/>
    <n v="4"/>
    <s v="Master"/>
    <s v="Very High"/>
    <x v="0"/>
    <s v="Very High"/>
  </r>
  <r>
    <n v="24"/>
    <x v="0"/>
    <x v="0"/>
    <n v="1"/>
    <n v="1"/>
    <s v="Technical Degree"/>
    <n v="1"/>
    <n v="2"/>
    <x v="0"/>
    <n v="3202"/>
    <n v="1"/>
    <n v="3"/>
    <n v="5"/>
    <n v="1"/>
    <x v="4"/>
    <x v="0"/>
    <x v="0"/>
    <n v="2"/>
    <s v="Below College"/>
    <s v="Low"/>
    <x v="1"/>
    <s v="High"/>
  </r>
  <r>
    <n v="34"/>
    <x v="0"/>
    <x v="0"/>
    <n v="6"/>
    <n v="2"/>
    <s v="Marketing"/>
    <n v="4"/>
    <n v="3"/>
    <x v="2"/>
    <n v="2351"/>
    <n v="0"/>
    <n v="2"/>
    <n v="2"/>
    <n v="1"/>
    <x v="2"/>
    <x v="1"/>
    <x v="3"/>
    <n v="3"/>
    <s v="College"/>
    <s v="Very High"/>
    <x v="2"/>
    <s v="Medium"/>
  </r>
  <r>
    <n v="38"/>
    <x v="1"/>
    <x v="1"/>
    <n v="2"/>
    <n v="2"/>
    <s v="Life Sciences"/>
    <n v="4"/>
    <n v="4"/>
    <x v="1"/>
    <n v="1702"/>
    <n v="1"/>
    <n v="3"/>
    <n v="1"/>
    <n v="0"/>
    <x v="0"/>
    <x v="1"/>
    <x v="2"/>
    <n v="3.6666666666666665"/>
    <s v="College"/>
    <s v="Very High"/>
    <x v="0"/>
    <s v="High"/>
  </r>
  <r>
    <n v="40"/>
    <x v="1"/>
    <x v="0"/>
    <n v="2"/>
    <n v="4"/>
    <s v="Life Sciences"/>
    <n v="3"/>
    <n v="3"/>
    <x v="1"/>
    <n v="18041"/>
    <n v="0"/>
    <n v="3"/>
    <n v="20"/>
    <n v="0"/>
    <x v="0"/>
    <x v="2"/>
    <x v="1"/>
    <n v="3"/>
    <s v="Master"/>
    <s v="High"/>
    <x v="2"/>
    <s v="High"/>
  </r>
  <r>
    <n v="26"/>
    <x v="1"/>
    <x v="1"/>
    <n v="23"/>
    <n v="3"/>
    <s v="Life Sciences"/>
    <n v="1"/>
    <n v="4"/>
    <x v="2"/>
    <n v="2886"/>
    <n v="1"/>
    <n v="1"/>
    <n v="3"/>
    <n v="0"/>
    <x v="2"/>
    <x v="1"/>
    <x v="3"/>
    <n v="2"/>
    <s v="Bachelor"/>
    <s v="Low"/>
    <x v="0"/>
    <s v="Low"/>
  </r>
  <r>
    <n v="30"/>
    <x v="1"/>
    <x v="1"/>
    <n v="3"/>
    <n v="3"/>
    <s v="Life Sciences"/>
    <n v="3"/>
    <n v="4"/>
    <x v="1"/>
    <n v="2097"/>
    <n v="4"/>
    <n v="1"/>
    <n v="5"/>
    <n v="0"/>
    <x v="2"/>
    <x v="1"/>
    <x v="0"/>
    <n v="2.6666666666666665"/>
    <s v="Bachelor"/>
    <s v="High"/>
    <x v="0"/>
    <s v="Low"/>
  </r>
  <r>
    <n v="29"/>
    <x v="1"/>
    <x v="1"/>
    <n v="3"/>
    <n v="4"/>
    <s v="Medical"/>
    <n v="2"/>
    <n v="3"/>
    <x v="1"/>
    <n v="11935"/>
    <n v="1"/>
    <n v="3"/>
    <n v="10"/>
    <n v="0"/>
    <x v="2"/>
    <x v="2"/>
    <x v="1"/>
    <n v="2.6666666666666665"/>
    <s v="Master"/>
    <s v="Medium"/>
    <x v="2"/>
    <s v="High"/>
  </r>
  <r>
    <n v="29"/>
    <x v="0"/>
    <x v="1"/>
    <n v="25"/>
    <n v="5"/>
    <s v="Technical Degree"/>
    <n v="3"/>
    <n v="2"/>
    <x v="1"/>
    <n v="2546"/>
    <n v="5"/>
    <n v="4"/>
    <n v="2"/>
    <n v="1"/>
    <x v="2"/>
    <x v="1"/>
    <x v="3"/>
    <n v="3"/>
    <s v="Doctor"/>
    <s v="High"/>
    <x v="1"/>
    <s v="Very High"/>
  </r>
  <r>
    <n v="19"/>
    <x v="0"/>
    <x v="2"/>
    <n v="2"/>
    <n v="2"/>
    <s v="Technical Degree"/>
    <n v="1"/>
    <n v="4"/>
    <x v="0"/>
    <n v="2564"/>
    <n v="1"/>
    <n v="4"/>
    <n v="1"/>
    <n v="1"/>
    <x v="4"/>
    <x v="1"/>
    <x v="2"/>
    <n v="3"/>
    <s v="College"/>
    <s v="Low"/>
    <x v="0"/>
    <s v="Very High"/>
  </r>
  <r>
    <n v="30"/>
    <x v="1"/>
    <x v="0"/>
    <n v="22"/>
    <n v="4"/>
    <s v="Other"/>
    <n v="3"/>
    <n v="1"/>
    <x v="1"/>
    <n v="8412"/>
    <n v="0"/>
    <n v="3"/>
    <n v="9"/>
    <n v="0"/>
    <x v="2"/>
    <x v="2"/>
    <x v="0"/>
    <n v="2.3333333333333335"/>
    <s v="Master"/>
    <s v="High"/>
    <x v="3"/>
    <s v="High"/>
  </r>
  <r>
    <n v="57"/>
    <x v="1"/>
    <x v="0"/>
    <n v="29"/>
    <n v="3"/>
    <s v="Marketing"/>
    <n v="1"/>
    <n v="4"/>
    <x v="2"/>
    <n v="14118"/>
    <n v="3"/>
    <n v="2"/>
    <n v="1"/>
    <n v="0"/>
    <x v="3"/>
    <x v="2"/>
    <x v="2"/>
    <n v="2.3333333333333335"/>
    <s v="Bachelor"/>
    <s v="Low"/>
    <x v="0"/>
    <s v="Medium"/>
  </r>
  <r>
    <n v="50"/>
    <x v="1"/>
    <x v="1"/>
    <n v="29"/>
    <n v="4"/>
    <s v="Life Sciences"/>
    <n v="2"/>
    <n v="3"/>
    <x v="1"/>
    <n v="17046"/>
    <n v="0"/>
    <n v="3"/>
    <n v="27"/>
    <n v="0"/>
    <x v="1"/>
    <x v="2"/>
    <x v="1"/>
    <n v="2.6666666666666665"/>
    <s v="Master"/>
    <s v="Medium"/>
    <x v="2"/>
    <s v="High"/>
  </r>
  <r>
    <n v="30"/>
    <x v="1"/>
    <x v="1"/>
    <n v="2"/>
    <n v="3"/>
    <s v="Medical"/>
    <n v="3"/>
    <n v="4"/>
    <x v="0"/>
    <n v="2564"/>
    <n v="0"/>
    <n v="2"/>
    <n v="11"/>
    <n v="0"/>
    <x v="2"/>
    <x v="1"/>
    <x v="1"/>
    <n v="3"/>
    <s v="Bachelor"/>
    <s v="High"/>
    <x v="0"/>
    <s v="Medium"/>
  </r>
  <r>
    <n v="60"/>
    <x v="1"/>
    <x v="0"/>
    <n v="28"/>
    <n v="3"/>
    <s v="Marketing"/>
    <n v="3"/>
    <n v="1"/>
    <x v="1"/>
    <n v="10266"/>
    <n v="4"/>
    <n v="4"/>
    <n v="18"/>
    <n v="0"/>
    <x v="3"/>
    <x v="2"/>
    <x v="1"/>
    <n v="2.6666666666666665"/>
    <s v="Bachelor"/>
    <s v="High"/>
    <x v="3"/>
    <s v="Very High"/>
  </r>
  <r>
    <n v="47"/>
    <x v="1"/>
    <x v="1"/>
    <n v="2"/>
    <n v="2"/>
    <s v="Medical"/>
    <n v="1"/>
    <n v="4"/>
    <x v="2"/>
    <n v="5070"/>
    <n v="5"/>
    <n v="3"/>
    <n v="5"/>
    <n v="0"/>
    <x v="1"/>
    <x v="0"/>
    <x v="0"/>
    <n v="2.6666666666666665"/>
    <s v="College"/>
    <s v="Low"/>
    <x v="0"/>
    <s v="High"/>
  </r>
  <r>
    <n v="46"/>
    <x v="1"/>
    <x v="1"/>
    <n v="2"/>
    <n v="3"/>
    <s v="Life Sciences"/>
    <n v="1"/>
    <n v="3"/>
    <x v="1"/>
    <n v="17861"/>
    <n v="6"/>
    <n v="1"/>
    <n v="3"/>
    <n v="0"/>
    <x v="1"/>
    <x v="2"/>
    <x v="3"/>
    <n v="1.6666666666666667"/>
    <s v="Bachelor"/>
    <s v="Low"/>
    <x v="2"/>
    <s v="Low"/>
  </r>
  <r>
    <n v="35"/>
    <x v="1"/>
    <x v="1"/>
    <n v="22"/>
    <n v="3"/>
    <s v="Life Sciences"/>
    <n v="4"/>
    <n v="3"/>
    <x v="0"/>
    <n v="4230"/>
    <n v="0"/>
    <n v="3"/>
    <n v="5"/>
    <n v="0"/>
    <x v="0"/>
    <x v="0"/>
    <x v="0"/>
    <n v="3.3333333333333335"/>
    <s v="Bachelor"/>
    <s v="Very High"/>
    <x v="2"/>
    <s v="High"/>
  </r>
  <r>
    <n v="54"/>
    <x v="1"/>
    <x v="1"/>
    <n v="8"/>
    <n v="4"/>
    <s v="Life Sciences"/>
    <n v="3"/>
    <n v="3"/>
    <x v="0"/>
    <n v="3780"/>
    <n v="7"/>
    <n v="3"/>
    <n v="1"/>
    <n v="0"/>
    <x v="1"/>
    <x v="0"/>
    <x v="2"/>
    <n v="3"/>
    <s v="Master"/>
    <s v="High"/>
    <x v="2"/>
    <s v="High"/>
  </r>
  <r>
    <n v="34"/>
    <x v="1"/>
    <x v="1"/>
    <n v="2"/>
    <n v="4"/>
    <s v="Life Sciences"/>
    <n v="4"/>
    <n v="3"/>
    <x v="2"/>
    <n v="2768"/>
    <n v="3"/>
    <n v="3"/>
    <n v="7"/>
    <n v="0"/>
    <x v="2"/>
    <x v="1"/>
    <x v="0"/>
    <n v="3.3333333333333335"/>
    <s v="Master"/>
    <s v="Very High"/>
    <x v="2"/>
    <s v="High"/>
  </r>
  <r>
    <n v="46"/>
    <x v="1"/>
    <x v="0"/>
    <n v="10"/>
    <n v="3"/>
    <s v="Marketing"/>
    <n v="3"/>
    <n v="4"/>
    <x v="1"/>
    <n v="9071"/>
    <n v="2"/>
    <n v="3"/>
    <n v="3"/>
    <n v="0"/>
    <x v="1"/>
    <x v="2"/>
    <x v="3"/>
    <n v="3.3333333333333335"/>
    <s v="Bachelor"/>
    <s v="High"/>
    <x v="0"/>
    <s v="High"/>
  </r>
  <r>
    <n v="31"/>
    <x v="1"/>
    <x v="1"/>
    <n v="9"/>
    <n v="1"/>
    <s v="Life Sciences"/>
    <n v="3"/>
    <n v="2"/>
    <x v="2"/>
    <n v="10648"/>
    <n v="1"/>
    <n v="4"/>
    <n v="13"/>
    <n v="0"/>
    <x v="2"/>
    <x v="2"/>
    <x v="1"/>
    <n v="3"/>
    <s v="Below College"/>
    <s v="High"/>
    <x v="1"/>
    <s v="Very High"/>
  </r>
  <r>
    <n v="33"/>
    <x v="0"/>
    <x v="1"/>
    <n v="15"/>
    <n v="1"/>
    <s v="Medical"/>
    <n v="2"/>
    <n v="3"/>
    <x v="1"/>
    <n v="13610"/>
    <n v="7"/>
    <n v="4"/>
    <n v="7"/>
    <n v="1"/>
    <x v="2"/>
    <x v="2"/>
    <x v="0"/>
    <n v="3"/>
    <s v="Below College"/>
    <s v="Medium"/>
    <x v="2"/>
    <s v="Very High"/>
  </r>
  <r>
    <n v="33"/>
    <x v="0"/>
    <x v="1"/>
    <n v="10"/>
    <n v="1"/>
    <s v="Medical"/>
    <n v="1"/>
    <n v="4"/>
    <x v="2"/>
    <n v="3408"/>
    <n v="7"/>
    <n v="3"/>
    <n v="4"/>
    <n v="1"/>
    <x v="2"/>
    <x v="0"/>
    <x v="3"/>
    <n v="2.6666666666666665"/>
    <s v="Below College"/>
    <s v="Low"/>
    <x v="0"/>
    <s v="High"/>
  </r>
  <r>
    <n v="30"/>
    <x v="1"/>
    <x v="0"/>
    <n v="7"/>
    <n v="1"/>
    <s v="Marketing"/>
    <n v="4"/>
    <n v="2"/>
    <x v="0"/>
    <n v="2983"/>
    <n v="0"/>
    <n v="3"/>
    <n v="3"/>
    <n v="0"/>
    <x v="2"/>
    <x v="1"/>
    <x v="3"/>
    <n v="3"/>
    <s v="Below College"/>
    <s v="Very High"/>
    <x v="1"/>
    <s v="High"/>
  </r>
  <r>
    <n v="35"/>
    <x v="1"/>
    <x v="1"/>
    <n v="16"/>
    <n v="3"/>
    <s v="Life Sciences"/>
    <n v="4"/>
    <n v="3"/>
    <x v="1"/>
    <n v="7632"/>
    <n v="4"/>
    <n v="3"/>
    <n v="8"/>
    <n v="0"/>
    <x v="0"/>
    <x v="2"/>
    <x v="0"/>
    <n v="3.3333333333333335"/>
    <s v="Bachelor"/>
    <s v="Very High"/>
    <x v="2"/>
    <s v="High"/>
  </r>
  <r>
    <n v="31"/>
    <x v="0"/>
    <x v="1"/>
    <n v="20"/>
    <n v="3"/>
    <s v="Life Sciences"/>
    <n v="1"/>
    <n v="3"/>
    <x v="1"/>
    <n v="9824"/>
    <n v="3"/>
    <n v="3"/>
    <n v="1"/>
    <n v="1"/>
    <x v="2"/>
    <x v="2"/>
    <x v="2"/>
    <n v="2.3333333333333335"/>
    <s v="Bachelor"/>
    <s v="Low"/>
    <x v="2"/>
    <s v="High"/>
  </r>
  <r>
    <n v="34"/>
    <x v="0"/>
    <x v="2"/>
    <n v="23"/>
    <n v="3"/>
    <s v="Human Resources"/>
    <n v="2"/>
    <n v="1"/>
    <x v="2"/>
    <n v="9950"/>
    <n v="9"/>
    <n v="3"/>
    <n v="3"/>
    <n v="1"/>
    <x v="2"/>
    <x v="2"/>
    <x v="3"/>
    <n v="2"/>
    <s v="Bachelor"/>
    <s v="Medium"/>
    <x v="3"/>
    <s v="High"/>
  </r>
  <r>
    <n v="42"/>
    <x v="1"/>
    <x v="1"/>
    <n v="5"/>
    <n v="2"/>
    <s v="Other"/>
    <n v="2"/>
    <n v="3"/>
    <x v="1"/>
    <n v="2093"/>
    <n v="4"/>
    <n v="3"/>
    <n v="2"/>
    <n v="0"/>
    <x v="0"/>
    <x v="1"/>
    <x v="3"/>
    <n v="2.6666666666666665"/>
    <s v="College"/>
    <s v="Medium"/>
    <x v="2"/>
    <s v="High"/>
  </r>
  <r>
    <n v="36"/>
    <x v="1"/>
    <x v="0"/>
    <n v="10"/>
    <n v="4"/>
    <s v="Medical"/>
    <n v="2"/>
    <n v="4"/>
    <x v="0"/>
    <n v="9980"/>
    <n v="1"/>
    <n v="2"/>
    <n v="10"/>
    <n v="0"/>
    <x v="0"/>
    <x v="2"/>
    <x v="1"/>
    <n v="2.6666666666666665"/>
    <s v="Master"/>
    <s v="Medium"/>
    <x v="0"/>
    <s v="Medium"/>
  </r>
  <r>
    <n v="22"/>
    <x v="0"/>
    <x v="1"/>
    <n v="4"/>
    <n v="1"/>
    <s v="Technical Degree"/>
    <n v="3"/>
    <n v="3"/>
    <x v="0"/>
    <n v="3894"/>
    <n v="5"/>
    <n v="3"/>
    <n v="2"/>
    <n v="1"/>
    <x v="4"/>
    <x v="0"/>
    <x v="3"/>
    <n v="3"/>
    <s v="Below College"/>
    <s v="High"/>
    <x v="2"/>
    <s v="High"/>
  </r>
  <r>
    <n v="48"/>
    <x v="1"/>
    <x v="0"/>
    <n v="2"/>
    <n v="5"/>
    <s v="Marketing"/>
    <n v="2"/>
    <n v="4"/>
    <x v="1"/>
    <n v="4051"/>
    <n v="2"/>
    <n v="3"/>
    <n v="9"/>
    <n v="0"/>
    <x v="1"/>
    <x v="0"/>
    <x v="0"/>
    <n v="3"/>
    <s v="Doctor"/>
    <s v="Medium"/>
    <x v="0"/>
    <s v="High"/>
  </r>
  <r>
    <n v="55"/>
    <x v="1"/>
    <x v="0"/>
    <n v="18"/>
    <n v="5"/>
    <s v="Life Sciences"/>
    <n v="1"/>
    <n v="2"/>
    <x v="0"/>
    <n v="16835"/>
    <n v="3"/>
    <n v="3"/>
    <n v="10"/>
    <n v="0"/>
    <x v="3"/>
    <x v="2"/>
    <x v="1"/>
    <n v="2"/>
    <s v="Doctor"/>
    <s v="Low"/>
    <x v="1"/>
    <s v="High"/>
  </r>
  <r>
    <n v="41"/>
    <x v="1"/>
    <x v="0"/>
    <n v="10"/>
    <n v="2"/>
    <s v="Life Sciences"/>
    <n v="4"/>
    <n v="4"/>
    <x v="0"/>
    <n v="6230"/>
    <n v="7"/>
    <n v="3"/>
    <n v="14"/>
    <n v="0"/>
    <x v="0"/>
    <x v="0"/>
    <x v="1"/>
    <n v="3.6666666666666665"/>
    <s v="College"/>
    <s v="Very High"/>
    <x v="0"/>
    <s v="High"/>
  </r>
  <r>
    <n v="35"/>
    <x v="1"/>
    <x v="0"/>
    <n v="1"/>
    <n v="3"/>
    <s v="Marketing"/>
    <n v="2"/>
    <n v="3"/>
    <x v="1"/>
    <n v="4717"/>
    <n v="9"/>
    <n v="3"/>
    <n v="11"/>
    <n v="0"/>
    <x v="0"/>
    <x v="0"/>
    <x v="1"/>
    <n v="2.6666666666666665"/>
    <s v="Bachelor"/>
    <s v="Medium"/>
    <x v="2"/>
    <s v="High"/>
  </r>
  <r>
    <n v="40"/>
    <x v="1"/>
    <x v="1"/>
    <n v="6"/>
    <n v="3"/>
    <s v="Life Sciences"/>
    <n v="2"/>
    <n v="3"/>
    <x v="0"/>
    <n v="13237"/>
    <n v="7"/>
    <n v="3"/>
    <n v="20"/>
    <n v="0"/>
    <x v="0"/>
    <x v="2"/>
    <x v="1"/>
    <n v="2.6666666666666665"/>
    <s v="Bachelor"/>
    <s v="Medium"/>
    <x v="2"/>
    <s v="High"/>
  </r>
  <r>
    <n v="39"/>
    <x v="1"/>
    <x v="1"/>
    <n v="8"/>
    <n v="1"/>
    <s v="Life Sciences"/>
    <n v="3"/>
    <n v="3"/>
    <x v="1"/>
    <n v="3755"/>
    <n v="1"/>
    <n v="3"/>
    <n v="8"/>
    <n v="0"/>
    <x v="0"/>
    <x v="0"/>
    <x v="0"/>
    <n v="3"/>
    <s v="Below College"/>
    <s v="High"/>
    <x v="2"/>
    <s v="High"/>
  </r>
  <r>
    <n v="31"/>
    <x v="1"/>
    <x v="0"/>
    <n v="2"/>
    <n v="1"/>
    <s v="Life Sciences"/>
    <n v="2"/>
    <n v="4"/>
    <x v="0"/>
    <n v="6582"/>
    <n v="4"/>
    <n v="4"/>
    <n v="6"/>
    <n v="0"/>
    <x v="2"/>
    <x v="0"/>
    <x v="0"/>
    <n v="3.3333333333333335"/>
    <s v="Below College"/>
    <s v="Medium"/>
    <x v="0"/>
    <s v="Very High"/>
  </r>
  <r>
    <n v="42"/>
    <x v="1"/>
    <x v="1"/>
    <n v="24"/>
    <n v="3"/>
    <s v="Medical"/>
    <n v="4"/>
    <n v="1"/>
    <x v="1"/>
    <n v="7406"/>
    <n v="1"/>
    <n v="2"/>
    <n v="10"/>
    <n v="0"/>
    <x v="0"/>
    <x v="2"/>
    <x v="1"/>
    <n v="2.3333333333333335"/>
    <s v="Bachelor"/>
    <s v="Very High"/>
    <x v="3"/>
    <s v="Medium"/>
  </r>
  <r>
    <n v="45"/>
    <x v="1"/>
    <x v="0"/>
    <n v="2"/>
    <n v="3"/>
    <s v="Other"/>
    <n v="4"/>
    <n v="2"/>
    <x v="1"/>
    <n v="4805"/>
    <n v="0"/>
    <n v="4"/>
    <n v="8"/>
    <n v="0"/>
    <x v="1"/>
    <x v="0"/>
    <x v="0"/>
    <n v="3.3333333333333335"/>
    <s v="Bachelor"/>
    <s v="Very High"/>
    <x v="1"/>
    <s v="Very High"/>
  </r>
  <r>
    <n v="26"/>
    <x v="0"/>
    <x v="2"/>
    <n v="17"/>
    <n v="4"/>
    <s v="Life Sciences"/>
    <n v="2"/>
    <n v="3"/>
    <x v="2"/>
    <n v="2741"/>
    <n v="0"/>
    <n v="2"/>
    <n v="7"/>
    <n v="1"/>
    <x v="2"/>
    <x v="1"/>
    <x v="0"/>
    <n v="2.3333333333333335"/>
    <s v="Master"/>
    <s v="Medium"/>
    <x v="2"/>
    <s v="Medium"/>
  </r>
  <r>
    <n v="29"/>
    <x v="1"/>
    <x v="1"/>
    <n v="19"/>
    <n v="3"/>
    <s v="Technical Degree"/>
    <n v="4"/>
    <n v="4"/>
    <x v="2"/>
    <n v="4262"/>
    <n v="4"/>
    <n v="4"/>
    <n v="3"/>
    <n v="0"/>
    <x v="2"/>
    <x v="0"/>
    <x v="3"/>
    <n v="4"/>
    <s v="Bachelor"/>
    <s v="Very High"/>
    <x v="0"/>
    <s v="Very High"/>
  </r>
  <r>
    <n v="33"/>
    <x v="1"/>
    <x v="1"/>
    <n v="1"/>
    <n v="5"/>
    <s v="Medical"/>
    <n v="1"/>
    <n v="3"/>
    <x v="2"/>
    <n v="16184"/>
    <n v="4"/>
    <n v="3"/>
    <n v="6"/>
    <n v="0"/>
    <x v="2"/>
    <x v="2"/>
    <x v="0"/>
    <n v="2.3333333333333335"/>
    <s v="Doctor"/>
    <s v="Low"/>
    <x v="2"/>
    <s v="High"/>
  </r>
  <r>
    <n v="31"/>
    <x v="1"/>
    <x v="0"/>
    <n v="7"/>
    <n v="3"/>
    <s v="Life Sciences"/>
    <n v="3"/>
    <n v="4"/>
    <x v="2"/>
    <n v="11557"/>
    <n v="9"/>
    <n v="2"/>
    <n v="5"/>
    <n v="0"/>
    <x v="2"/>
    <x v="2"/>
    <x v="0"/>
    <n v="3"/>
    <s v="Bachelor"/>
    <s v="High"/>
    <x v="0"/>
    <s v="Medium"/>
  </r>
  <r>
    <n v="18"/>
    <x v="0"/>
    <x v="0"/>
    <n v="5"/>
    <n v="3"/>
    <s v="Marketing"/>
    <n v="2"/>
    <n v="2"/>
    <x v="0"/>
    <n v="1878"/>
    <n v="1"/>
    <n v="3"/>
    <n v="0"/>
    <n v="1"/>
    <x v="4"/>
    <x v="1"/>
    <x v="2"/>
    <n v="2.3333333333333335"/>
    <s v="Bachelor"/>
    <s v="Medium"/>
    <x v="1"/>
    <s v="High"/>
  </r>
  <r>
    <n v="40"/>
    <x v="1"/>
    <x v="0"/>
    <n v="28"/>
    <n v="3"/>
    <s v="Other"/>
    <n v="3"/>
    <n v="1"/>
    <x v="2"/>
    <n v="10932"/>
    <n v="3"/>
    <n v="3"/>
    <n v="1"/>
    <n v="0"/>
    <x v="0"/>
    <x v="2"/>
    <x v="2"/>
    <n v="2.3333333333333335"/>
    <s v="Bachelor"/>
    <s v="High"/>
    <x v="3"/>
    <s v="High"/>
  </r>
  <r>
    <n v="41"/>
    <x v="1"/>
    <x v="1"/>
    <n v="2"/>
    <n v="4"/>
    <s v="Other"/>
    <n v="1"/>
    <n v="3"/>
    <x v="0"/>
    <n v="6811"/>
    <n v="2"/>
    <n v="3"/>
    <n v="8"/>
    <n v="0"/>
    <x v="0"/>
    <x v="0"/>
    <x v="0"/>
    <n v="2.3333333333333335"/>
    <s v="Master"/>
    <s v="Low"/>
    <x v="2"/>
    <s v="High"/>
  </r>
  <r>
    <n v="26"/>
    <x v="1"/>
    <x v="0"/>
    <n v="29"/>
    <n v="2"/>
    <s v="Medical"/>
    <n v="1"/>
    <n v="3"/>
    <x v="2"/>
    <n v="4306"/>
    <n v="5"/>
    <n v="3"/>
    <n v="0"/>
    <n v="0"/>
    <x v="2"/>
    <x v="0"/>
    <x v="2"/>
    <n v="2.3333333333333335"/>
    <s v="College"/>
    <s v="Low"/>
    <x v="2"/>
    <s v="High"/>
  </r>
  <r>
    <n v="35"/>
    <x v="1"/>
    <x v="0"/>
    <n v="1"/>
    <n v="3"/>
    <s v="Medical"/>
    <n v="1"/>
    <n v="3"/>
    <x v="0"/>
    <n v="4859"/>
    <n v="1"/>
    <n v="3"/>
    <n v="5"/>
    <n v="0"/>
    <x v="0"/>
    <x v="0"/>
    <x v="0"/>
    <n v="2.3333333333333335"/>
    <s v="Bachelor"/>
    <s v="Low"/>
    <x v="2"/>
    <s v="High"/>
  </r>
  <r>
    <n v="34"/>
    <x v="1"/>
    <x v="0"/>
    <n v="21"/>
    <n v="4"/>
    <s v="Life Sciences"/>
    <n v="4"/>
    <n v="4"/>
    <x v="0"/>
    <n v="5337"/>
    <n v="1"/>
    <n v="3"/>
    <n v="10"/>
    <n v="0"/>
    <x v="2"/>
    <x v="0"/>
    <x v="1"/>
    <n v="3.6666666666666665"/>
    <s v="Master"/>
    <s v="Very High"/>
    <x v="0"/>
    <s v="High"/>
  </r>
  <r>
    <n v="26"/>
    <x v="0"/>
    <x v="1"/>
    <n v="24"/>
    <n v="3"/>
    <s v="Technical Degree"/>
    <n v="3"/>
    <n v="4"/>
    <x v="0"/>
    <n v="2340"/>
    <n v="1"/>
    <n v="1"/>
    <n v="1"/>
    <n v="1"/>
    <x v="2"/>
    <x v="1"/>
    <x v="2"/>
    <n v="2.6666666666666665"/>
    <s v="Bachelor"/>
    <s v="High"/>
    <x v="0"/>
    <s v="Low"/>
  </r>
  <r>
    <n v="37"/>
    <x v="1"/>
    <x v="1"/>
    <n v="1"/>
    <n v="3"/>
    <s v="Technical Degree"/>
    <n v="2"/>
    <n v="4"/>
    <x v="0"/>
    <n v="7491"/>
    <n v="4"/>
    <n v="4"/>
    <n v="6"/>
    <n v="0"/>
    <x v="0"/>
    <x v="2"/>
    <x v="0"/>
    <n v="3.3333333333333335"/>
    <s v="Bachelor"/>
    <s v="Medium"/>
    <x v="0"/>
    <s v="Very High"/>
  </r>
  <r>
    <n v="46"/>
    <x v="1"/>
    <x v="1"/>
    <n v="18"/>
    <n v="1"/>
    <s v="Medical"/>
    <n v="1"/>
    <n v="3"/>
    <x v="1"/>
    <n v="10527"/>
    <n v="5"/>
    <n v="2"/>
    <n v="2"/>
    <n v="0"/>
    <x v="1"/>
    <x v="2"/>
    <x v="3"/>
    <n v="2"/>
    <s v="Below College"/>
    <s v="Low"/>
    <x v="2"/>
    <s v="Medium"/>
  </r>
  <r>
    <n v="41"/>
    <x v="1"/>
    <x v="0"/>
    <n v="2"/>
    <n v="5"/>
    <s v="Life Sciences"/>
    <n v="2"/>
    <n v="1"/>
    <x v="1"/>
    <n v="16595"/>
    <n v="7"/>
    <n v="3"/>
    <n v="18"/>
    <n v="0"/>
    <x v="0"/>
    <x v="2"/>
    <x v="1"/>
    <n v="2"/>
    <s v="Doctor"/>
    <s v="Medium"/>
    <x v="3"/>
    <s v="High"/>
  </r>
  <r>
    <n v="37"/>
    <x v="1"/>
    <x v="0"/>
    <n v="9"/>
    <n v="4"/>
    <s v="Medical"/>
    <n v="1"/>
    <n v="2"/>
    <x v="2"/>
    <n v="8834"/>
    <n v="1"/>
    <n v="3"/>
    <n v="9"/>
    <n v="0"/>
    <x v="0"/>
    <x v="2"/>
    <x v="0"/>
    <n v="2"/>
    <s v="Master"/>
    <s v="Low"/>
    <x v="1"/>
    <s v="High"/>
  </r>
  <r>
    <n v="52"/>
    <x v="1"/>
    <x v="1"/>
    <n v="6"/>
    <n v="2"/>
    <s v="Technical Degree"/>
    <n v="4"/>
    <n v="1"/>
    <x v="2"/>
    <n v="5577"/>
    <n v="3"/>
    <n v="3"/>
    <n v="10"/>
    <n v="0"/>
    <x v="1"/>
    <x v="0"/>
    <x v="1"/>
    <n v="2.6666666666666665"/>
    <s v="College"/>
    <s v="Very High"/>
    <x v="3"/>
    <s v="High"/>
  </r>
  <r>
    <n v="32"/>
    <x v="0"/>
    <x v="0"/>
    <n v="11"/>
    <n v="4"/>
    <s v="Other"/>
    <n v="4"/>
    <n v="3"/>
    <x v="1"/>
    <n v="4707"/>
    <n v="8"/>
    <n v="3"/>
    <n v="4"/>
    <n v="1"/>
    <x v="2"/>
    <x v="0"/>
    <x v="3"/>
    <n v="3.3333333333333335"/>
    <s v="Master"/>
    <s v="Very High"/>
    <x v="2"/>
    <s v="High"/>
  </r>
  <r>
    <n v="24"/>
    <x v="1"/>
    <x v="0"/>
    <n v="24"/>
    <n v="3"/>
    <s v="Medical"/>
    <n v="4"/>
    <n v="4"/>
    <x v="1"/>
    <n v="2400"/>
    <n v="0"/>
    <n v="3"/>
    <n v="2"/>
    <n v="0"/>
    <x v="4"/>
    <x v="1"/>
    <x v="3"/>
    <n v="3.6666666666666665"/>
    <s v="Bachelor"/>
    <s v="Very High"/>
    <x v="0"/>
    <s v="High"/>
  </r>
  <r>
    <n v="38"/>
    <x v="1"/>
    <x v="1"/>
    <n v="10"/>
    <n v="3"/>
    <s v="Medical"/>
    <n v="3"/>
    <n v="3"/>
    <x v="1"/>
    <n v="9824"/>
    <n v="3"/>
    <n v="3"/>
    <n v="1"/>
    <n v="0"/>
    <x v="0"/>
    <x v="2"/>
    <x v="2"/>
    <n v="3"/>
    <s v="Bachelor"/>
    <s v="High"/>
    <x v="2"/>
    <s v="High"/>
  </r>
  <r>
    <n v="37"/>
    <x v="1"/>
    <x v="1"/>
    <n v="1"/>
    <n v="4"/>
    <s v="Life Sciences"/>
    <n v="2"/>
    <n v="2"/>
    <x v="1"/>
    <n v="6447"/>
    <n v="6"/>
    <n v="2"/>
    <n v="6"/>
    <n v="0"/>
    <x v="0"/>
    <x v="0"/>
    <x v="0"/>
    <n v="2"/>
    <s v="Master"/>
    <s v="Medium"/>
    <x v="1"/>
    <s v="Medium"/>
  </r>
  <r>
    <n v="49"/>
    <x v="1"/>
    <x v="1"/>
    <n v="18"/>
    <n v="4"/>
    <s v="Life Sciences"/>
    <n v="4"/>
    <n v="3"/>
    <x v="2"/>
    <n v="19502"/>
    <n v="1"/>
    <n v="3"/>
    <n v="31"/>
    <n v="0"/>
    <x v="1"/>
    <x v="2"/>
    <x v="1"/>
    <n v="3.3333333333333335"/>
    <s v="Master"/>
    <s v="Very High"/>
    <x v="2"/>
    <s v="High"/>
  </r>
  <r>
    <n v="24"/>
    <x v="1"/>
    <x v="1"/>
    <n v="23"/>
    <n v="3"/>
    <s v="Medical"/>
    <n v="2"/>
    <n v="4"/>
    <x v="1"/>
    <n v="2725"/>
    <n v="1"/>
    <n v="3"/>
    <n v="6"/>
    <n v="0"/>
    <x v="4"/>
    <x v="1"/>
    <x v="0"/>
    <n v="3"/>
    <s v="Bachelor"/>
    <s v="Medium"/>
    <x v="0"/>
    <s v="High"/>
  </r>
  <r>
    <n v="26"/>
    <x v="1"/>
    <x v="0"/>
    <n v="28"/>
    <n v="2"/>
    <s v="Marketing"/>
    <n v="1"/>
    <n v="2"/>
    <x v="1"/>
    <n v="6272"/>
    <n v="1"/>
    <n v="4"/>
    <n v="5"/>
    <n v="0"/>
    <x v="2"/>
    <x v="0"/>
    <x v="0"/>
    <n v="2.3333333333333335"/>
    <s v="College"/>
    <s v="Low"/>
    <x v="1"/>
    <s v="Very High"/>
  </r>
  <r>
    <n v="24"/>
    <x v="1"/>
    <x v="1"/>
    <n v="17"/>
    <n v="2"/>
    <s v="Other"/>
    <n v="4"/>
    <n v="2"/>
    <x v="1"/>
    <n v="2127"/>
    <n v="1"/>
    <n v="3"/>
    <n v="1"/>
    <n v="0"/>
    <x v="4"/>
    <x v="1"/>
    <x v="2"/>
    <n v="3"/>
    <s v="College"/>
    <s v="Very High"/>
    <x v="1"/>
    <s v="High"/>
  </r>
  <r>
    <n v="50"/>
    <x v="1"/>
    <x v="2"/>
    <n v="3"/>
    <n v="3"/>
    <s v="Medical"/>
    <n v="1"/>
    <n v="2"/>
    <x v="1"/>
    <n v="18200"/>
    <n v="1"/>
    <n v="3"/>
    <n v="32"/>
    <n v="0"/>
    <x v="1"/>
    <x v="2"/>
    <x v="1"/>
    <n v="2"/>
    <s v="Bachelor"/>
    <s v="Low"/>
    <x v="1"/>
    <s v="High"/>
  </r>
  <r>
    <n v="25"/>
    <x v="1"/>
    <x v="0"/>
    <n v="13"/>
    <n v="1"/>
    <s v="Medical"/>
    <n v="2"/>
    <n v="3"/>
    <x v="1"/>
    <n v="2096"/>
    <n v="1"/>
    <n v="3"/>
    <n v="7"/>
    <n v="0"/>
    <x v="2"/>
    <x v="1"/>
    <x v="0"/>
    <n v="2.6666666666666665"/>
    <s v="Below College"/>
    <s v="Medium"/>
    <x v="2"/>
    <s v="High"/>
  </r>
  <r>
    <n v="24"/>
    <x v="0"/>
    <x v="1"/>
    <n v="7"/>
    <n v="3"/>
    <s v="Life Sciences"/>
    <n v="1"/>
    <n v="3"/>
    <x v="1"/>
    <n v="2886"/>
    <n v="1"/>
    <n v="3"/>
    <n v="6"/>
    <n v="1"/>
    <x v="4"/>
    <x v="1"/>
    <x v="0"/>
    <n v="2.3333333333333335"/>
    <s v="Bachelor"/>
    <s v="Low"/>
    <x v="2"/>
    <s v="High"/>
  </r>
  <r>
    <n v="30"/>
    <x v="0"/>
    <x v="0"/>
    <n v="12"/>
    <n v="4"/>
    <s v="Life Sciences"/>
    <n v="2"/>
    <n v="1"/>
    <x v="1"/>
    <n v="2033"/>
    <n v="1"/>
    <n v="4"/>
    <n v="1"/>
    <n v="1"/>
    <x v="2"/>
    <x v="1"/>
    <x v="2"/>
    <n v="2.3333333333333335"/>
    <s v="Master"/>
    <s v="Medium"/>
    <x v="3"/>
    <s v="Very High"/>
  </r>
  <r>
    <n v="34"/>
    <x v="1"/>
    <x v="1"/>
    <n v="1"/>
    <n v="2"/>
    <s v="Life Sciences"/>
    <n v="2"/>
    <n v="4"/>
    <x v="1"/>
    <n v="3622"/>
    <n v="1"/>
    <n v="3"/>
    <n v="6"/>
    <n v="0"/>
    <x v="2"/>
    <x v="0"/>
    <x v="0"/>
    <n v="3"/>
    <s v="College"/>
    <s v="Medium"/>
    <x v="0"/>
    <s v="High"/>
  </r>
  <r>
    <n v="31"/>
    <x v="0"/>
    <x v="0"/>
    <n v="13"/>
    <n v="4"/>
    <s v="Medical"/>
    <n v="2"/>
    <n v="1"/>
    <x v="2"/>
    <n v="4233"/>
    <n v="2"/>
    <n v="1"/>
    <n v="3"/>
    <n v="1"/>
    <x v="2"/>
    <x v="0"/>
    <x v="3"/>
    <n v="1.3333333333333333"/>
    <s v="Master"/>
    <s v="Medium"/>
    <x v="3"/>
    <s v="Low"/>
  </r>
  <r>
    <n v="35"/>
    <x v="1"/>
    <x v="1"/>
    <n v="25"/>
    <n v="2"/>
    <s v="Other"/>
    <n v="1"/>
    <n v="4"/>
    <x v="0"/>
    <n v="3681"/>
    <n v="4"/>
    <n v="3"/>
    <n v="3"/>
    <n v="0"/>
    <x v="0"/>
    <x v="0"/>
    <x v="3"/>
    <n v="2.6666666666666665"/>
    <s v="College"/>
    <s v="Low"/>
    <x v="0"/>
    <s v="High"/>
  </r>
  <r>
    <n v="31"/>
    <x v="1"/>
    <x v="0"/>
    <n v="6"/>
    <n v="4"/>
    <s v="Medical"/>
    <n v="1"/>
    <n v="4"/>
    <x v="2"/>
    <n v="5460"/>
    <n v="4"/>
    <n v="4"/>
    <n v="7"/>
    <n v="0"/>
    <x v="2"/>
    <x v="0"/>
    <x v="0"/>
    <n v="3"/>
    <s v="Master"/>
    <s v="Low"/>
    <x v="0"/>
    <s v="Very High"/>
  </r>
  <r>
    <n v="27"/>
    <x v="1"/>
    <x v="1"/>
    <n v="6"/>
    <n v="4"/>
    <s v="Medical"/>
    <n v="1"/>
    <n v="3"/>
    <x v="2"/>
    <n v="2187"/>
    <n v="0"/>
    <n v="2"/>
    <n v="5"/>
    <n v="0"/>
    <x v="2"/>
    <x v="1"/>
    <x v="0"/>
    <n v="2"/>
    <s v="Master"/>
    <s v="Low"/>
    <x v="2"/>
    <s v="Medium"/>
  </r>
  <r>
    <n v="37"/>
    <x v="1"/>
    <x v="0"/>
    <n v="2"/>
    <n v="3"/>
    <s v="Marketing"/>
    <n v="4"/>
    <n v="3"/>
    <x v="1"/>
    <n v="9602"/>
    <n v="4"/>
    <n v="2"/>
    <n v="3"/>
    <n v="0"/>
    <x v="0"/>
    <x v="2"/>
    <x v="3"/>
    <n v="3"/>
    <s v="Bachelor"/>
    <s v="Very High"/>
    <x v="2"/>
    <s v="Medium"/>
  </r>
  <r>
    <n v="20"/>
    <x v="1"/>
    <x v="1"/>
    <n v="1"/>
    <n v="3"/>
    <s v="Life Sciences"/>
    <n v="4"/>
    <n v="2"/>
    <x v="0"/>
    <n v="2836"/>
    <n v="1"/>
    <n v="4"/>
    <n v="1"/>
    <n v="0"/>
    <x v="4"/>
    <x v="1"/>
    <x v="2"/>
    <n v="3.3333333333333335"/>
    <s v="Bachelor"/>
    <s v="Very High"/>
    <x v="1"/>
    <s v="Very High"/>
  </r>
  <r>
    <n v="42"/>
    <x v="1"/>
    <x v="1"/>
    <n v="2"/>
    <n v="4"/>
    <s v="Life Sciences"/>
    <n v="3"/>
    <n v="4"/>
    <x v="1"/>
    <n v="4089"/>
    <n v="1"/>
    <n v="3"/>
    <n v="10"/>
    <n v="0"/>
    <x v="0"/>
    <x v="0"/>
    <x v="1"/>
    <n v="3.3333333333333335"/>
    <s v="Master"/>
    <s v="High"/>
    <x v="0"/>
    <s v="High"/>
  </r>
  <r>
    <n v="43"/>
    <x v="1"/>
    <x v="1"/>
    <n v="6"/>
    <n v="4"/>
    <s v="Other"/>
    <n v="2"/>
    <n v="4"/>
    <x v="2"/>
    <n v="16627"/>
    <n v="4"/>
    <n v="2"/>
    <n v="1"/>
    <n v="0"/>
    <x v="0"/>
    <x v="2"/>
    <x v="2"/>
    <n v="2.6666666666666665"/>
    <s v="Master"/>
    <s v="Medium"/>
    <x v="0"/>
    <s v="Medium"/>
  </r>
  <r>
    <n v="38"/>
    <x v="1"/>
    <x v="1"/>
    <n v="1"/>
    <n v="1"/>
    <s v="Life Sciences"/>
    <n v="3"/>
    <n v="1"/>
    <x v="0"/>
    <n v="2619"/>
    <n v="3"/>
    <n v="2"/>
    <n v="0"/>
    <n v="0"/>
    <x v="0"/>
    <x v="1"/>
    <x v="2"/>
    <n v="2"/>
    <s v="Below College"/>
    <s v="High"/>
    <x v="3"/>
    <s v="Medium"/>
  </r>
  <r>
    <n v="43"/>
    <x v="1"/>
    <x v="1"/>
    <n v="9"/>
    <n v="5"/>
    <s v="Medical"/>
    <n v="4"/>
    <n v="3"/>
    <x v="2"/>
    <n v="5679"/>
    <n v="3"/>
    <n v="3"/>
    <n v="8"/>
    <n v="0"/>
    <x v="0"/>
    <x v="0"/>
    <x v="0"/>
    <n v="3.3333333333333335"/>
    <s v="Doctor"/>
    <s v="Very High"/>
    <x v="2"/>
    <s v="High"/>
  </r>
  <r>
    <n v="48"/>
    <x v="1"/>
    <x v="1"/>
    <n v="1"/>
    <n v="4"/>
    <s v="Life Sciences"/>
    <n v="4"/>
    <n v="1"/>
    <x v="1"/>
    <n v="15402"/>
    <n v="7"/>
    <n v="1"/>
    <n v="3"/>
    <n v="0"/>
    <x v="1"/>
    <x v="2"/>
    <x v="3"/>
    <n v="2"/>
    <s v="Master"/>
    <s v="Very High"/>
    <x v="3"/>
    <s v="Low"/>
  </r>
  <r>
    <n v="44"/>
    <x v="1"/>
    <x v="2"/>
    <n v="1"/>
    <n v="4"/>
    <s v="Life Sciences"/>
    <n v="1"/>
    <n v="3"/>
    <x v="0"/>
    <n v="5985"/>
    <n v="4"/>
    <n v="4"/>
    <n v="2"/>
    <n v="0"/>
    <x v="0"/>
    <x v="0"/>
    <x v="3"/>
    <n v="2.6666666666666665"/>
    <s v="Master"/>
    <s v="Low"/>
    <x v="2"/>
    <s v="Very High"/>
  </r>
  <r>
    <n v="34"/>
    <x v="1"/>
    <x v="0"/>
    <n v="14"/>
    <n v="3"/>
    <s v="Technical Degree"/>
    <n v="3"/>
    <n v="3"/>
    <x v="2"/>
    <n v="2579"/>
    <n v="1"/>
    <n v="3"/>
    <n v="8"/>
    <n v="0"/>
    <x v="2"/>
    <x v="1"/>
    <x v="0"/>
    <n v="3"/>
    <s v="Bachelor"/>
    <s v="High"/>
    <x v="2"/>
    <s v="High"/>
  </r>
  <r>
    <n v="27"/>
    <x v="0"/>
    <x v="0"/>
    <n v="2"/>
    <n v="1"/>
    <s v="Marketing"/>
    <n v="3"/>
    <n v="1"/>
    <x v="2"/>
    <n v="3041"/>
    <n v="0"/>
    <n v="3"/>
    <n v="4"/>
    <n v="1"/>
    <x v="2"/>
    <x v="0"/>
    <x v="3"/>
    <n v="2.3333333333333335"/>
    <s v="Below College"/>
    <s v="High"/>
    <x v="3"/>
    <s v="High"/>
  </r>
  <r>
    <n v="21"/>
    <x v="1"/>
    <x v="0"/>
    <n v="22"/>
    <n v="1"/>
    <s v="Technical Degree"/>
    <n v="3"/>
    <n v="3"/>
    <x v="0"/>
    <n v="3447"/>
    <n v="1"/>
    <n v="3"/>
    <n v="3"/>
    <n v="0"/>
    <x v="4"/>
    <x v="0"/>
    <x v="3"/>
    <n v="3"/>
    <s v="Below College"/>
    <s v="High"/>
    <x v="2"/>
    <s v="High"/>
  </r>
  <r>
    <n v="44"/>
    <x v="1"/>
    <x v="1"/>
    <n v="3"/>
    <n v="4"/>
    <s v="Other"/>
    <n v="4"/>
    <n v="4"/>
    <x v="1"/>
    <n v="19513"/>
    <n v="4"/>
    <n v="4"/>
    <n v="2"/>
    <n v="0"/>
    <x v="0"/>
    <x v="2"/>
    <x v="3"/>
    <n v="4"/>
    <s v="Master"/>
    <s v="Very High"/>
    <x v="0"/>
    <s v="Very High"/>
  </r>
  <r>
    <n v="22"/>
    <x v="1"/>
    <x v="1"/>
    <n v="6"/>
    <n v="1"/>
    <s v="Medical"/>
    <n v="1"/>
    <n v="3"/>
    <x v="1"/>
    <n v="2773"/>
    <n v="0"/>
    <n v="3"/>
    <n v="2"/>
    <n v="0"/>
    <x v="4"/>
    <x v="1"/>
    <x v="3"/>
    <n v="2.3333333333333335"/>
    <s v="Below College"/>
    <s v="Low"/>
    <x v="2"/>
    <s v="High"/>
  </r>
  <r>
    <n v="33"/>
    <x v="1"/>
    <x v="0"/>
    <n v="8"/>
    <n v="4"/>
    <s v="Marketing"/>
    <n v="3"/>
    <n v="3"/>
    <x v="2"/>
    <n v="7104"/>
    <n v="0"/>
    <n v="3"/>
    <n v="5"/>
    <n v="0"/>
    <x v="2"/>
    <x v="2"/>
    <x v="0"/>
    <n v="3"/>
    <s v="Master"/>
    <s v="High"/>
    <x v="2"/>
    <s v="High"/>
  </r>
  <r>
    <n v="32"/>
    <x v="1"/>
    <x v="1"/>
    <n v="9"/>
    <n v="4"/>
    <s v="Life Sciences"/>
    <n v="1"/>
    <n v="4"/>
    <x v="1"/>
    <n v="6322"/>
    <n v="1"/>
    <n v="2"/>
    <n v="6"/>
    <n v="0"/>
    <x v="2"/>
    <x v="0"/>
    <x v="0"/>
    <n v="2.3333333333333335"/>
    <s v="Master"/>
    <s v="Low"/>
    <x v="0"/>
    <s v="Medium"/>
  </r>
  <r>
    <n v="30"/>
    <x v="1"/>
    <x v="1"/>
    <n v="3"/>
    <n v="3"/>
    <s v="Medical"/>
    <n v="3"/>
    <n v="3"/>
    <x v="2"/>
    <n v="2083"/>
    <n v="1"/>
    <n v="3"/>
    <n v="1"/>
    <n v="0"/>
    <x v="2"/>
    <x v="1"/>
    <x v="2"/>
    <n v="3"/>
    <s v="Bachelor"/>
    <s v="High"/>
    <x v="2"/>
    <s v="High"/>
  </r>
  <r>
    <n v="53"/>
    <x v="1"/>
    <x v="0"/>
    <n v="1"/>
    <n v="1"/>
    <s v="Medical"/>
    <n v="4"/>
    <n v="1"/>
    <x v="0"/>
    <n v="8381"/>
    <n v="7"/>
    <n v="4"/>
    <n v="14"/>
    <n v="0"/>
    <x v="1"/>
    <x v="2"/>
    <x v="1"/>
    <n v="3"/>
    <s v="Below College"/>
    <s v="Very High"/>
    <x v="3"/>
    <s v="Very High"/>
  </r>
  <r>
    <n v="34"/>
    <x v="1"/>
    <x v="1"/>
    <n v="1"/>
    <n v="5"/>
    <s v="Life Sciences"/>
    <n v="2"/>
    <n v="4"/>
    <x v="1"/>
    <n v="2691"/>
    <n v="1"/>
    <n v="2"/>
    <n v="10"/>
    <n v="0"/>
    <x v="2"/>
    <x v="1"/>
    <x v="1"/>
    <n v="2.6666666666666665"/>
    <s v="Doctor"/>
    <s v="Medium"/>
    <x v="0"/>
    <s v="Medium"/>
  </r>
  <r>
    <n v="45"/>
    <x v="0"/>
    <x v="0"/>
    <n v="26"/>
    <n v="4"/>
    <s v="Life Sciences"/>
    <n v="1"/>
    <n v="1"/>
    <x v="1"/>
    <n v="4286"/>
    <n v="2"/>
    <n v="3"/>
    <n v="1"/>
    <n v="1"/>
    <x v="1"/>
    <x v="0"/>
    <x v="2"/>
    <n v="1.6666666666666667"/>
    <s v="Master"/>
    <s v="Low"/>
    <x v="3"/>
    <s v="High"/>
  </r>
  <r>
    <n v="26"/>
    <x v="1"/>
    <x v="1"/>
    <n v="6"/>
    <n v="3"/>
    <s v="Life Sciences"/>
    <n v="3"/>
    <n v="4"/>
    <x v="1"/>
    <n v="2659"/>
    <n v="1"/>
    <n v="3"/>
    <n v="3"/>
    <n v="0"/>
    <x v="2"/>
    <x v="1"/>
    <x v="3"/>
    <n v="3.3333333333333335"/>
    <s v="Bachelor"/>
    <s v="High"/>
    <x v="0"/>
    <s v="High"/>
  </r>
  <r>
    <n v="37"/>
    <x v="1"/>
    <x v="1"/>
    <n v="3"/>
    <n v="3"/>
    <s v="Other"/>
    <n v="3"/>
    <n v="3"/>
    <x v="1"/>
    <n v="9434"/>
    <n v="1"/>
    <n v="3"/>
    <n v="10"/>
    <n v="0"/>
    <x v="0"/>
    <x v="2"/>
    <x v="1"/>
    <n v="3"/>
    <s v="Bachelor"/>
    <s v="High"/>
    <x v="2"/>
    <s v="High"/>
  </r>
  <r>
    <n v="29"/>
    <x v="1"/>
    <x v="0"/>
    <n v="3"/>
    <n v="2"/>
    <s v="Medical"/>
    <n v="2"/>
    <n v="3"/>
    <x v="1"/>
    <n v="5561"/>
    <n v="1"/>
    <n v="2"/>
    <n v="6"/>
    <n v="0"/>
    <x v="2"/>
    <x v="0"/>
    <x v="0"/>
    <n v="2.3333333333333335"/>
    <s v="College"/>
    <s v="Medium"/>
    <x v="2"/>
    <s v="Medium"/>
  </r>
  <r>
    <n v="35"/>
    <x v="1"/>
    <x v="1"/>
    <n v="6"/>
    <n v="4"/>
    <s v="Life Sciences"/>
    <n v="2"/>
    <n v="4"/>
    <x v="0"/>
    <n v="6646"/>
    <n v="1"/>
    <n v="3"/>
    <n v="17"/>
    <n v="0"/>
    <x v="0"/>
    <x v="0"/>
    <x v="1"/>
    <n v="3"/>
    <s v="Master"/>
    <s v="Medium"/>
    <x v="0"/>
    <s v="High"/>
  </r>
  <r>
    <n v="33"/>
    <x v="1"/>
    <x v="1"/>
    <n v="6"/>
    <n v="3"/>
    <s v="Life Sciences"/>
    <n v="3"/>
    <n v="4"/>
    <x v="2"/>
    <n v="7725"/>
    <n v="3"/>
    <n v="1"/>
    <n v="13"/>
    <n v="0"/>
    <x v="2"/>
    <x v="2"/>
    <x v="1"/>
    <n v="2.6666666666666665"/>
    <s v="Bachelor"/>
    <s v="High"/>
    <x v="0"/>
    <s v="Low"/>
  </r>
  <r>
    <n v="54"/>
    <x v="1"/>
    <x v="2"/>
    <n v="19"/>
    <n v="4"/>
    <s v="Medical"/>
    <n v="3"/>
    <n v="2"/>
    <x v="1"/>
    <n v="10725"/>
    <n v="2"/>
    <n v="4"/>
    <n v="9"/>
    <n v="0"/>
    <x v="1"/>
    <x v="2"/>
    <x v="0"/>
    <n v="3"/>
    <s v="Master"/>
    <s v="High"/>
    <x v="1"/>
    <s v="Very High"/>
  </r>
  <r>
    <n v="36"/>
    <x v="1"/>
    <x v="1"/>
    <n v="9"/>
    <n v="2"/>
    <s v="Medical"/>
    <n v="2"/>
    <n v="2"/>
    <x v="2"/>
    <n v="8847"/>
    <n v="2"/>
    <n v="3"/>
    <n v="3"/>
    <n v="0"/>
    <x v="0"/>
    <x v="2"/>
    <x v="3"/>
    <n v="2.3333333333333335"/>
    <s v="College"/>
    <s v="Medium"/>
    <x v="1"/>
    <s v="High"/>
  </r>
  <r>
    <n v="27"/>
    <x v="1"/>
    <x v="1"/>
    <n v="3"/>
    <n v="4"/>
    <s v="Medical"/>
    <n v="1"/>
    <n v="4"/>
    <x v="0"/>
    <n v="2045"/>
    <n v="0"/>
    <n v="3"/>
    <n v="4"/>
    <n v="0"/>
    <x v="2"/>
    <x v="1"/>
    <x v="3"/>
    <n v="2.6666666666666665"/>
    <s v="Master"/>
    <s v="Low"/>
    <x v="0"/>
    <s v="High"/>
  </r>
  <r>
    <n v="20"/>
    <x v="0"/>
    <x v="1"/>
    <n v="10"/>
    <n v="1"/>
    <s v="Medical"/>
    <n v="4"/>
    <n v="3"/>
    <x v="0"/>
    <n v="1009"/>
    <n v="1"/>
    <n v="3"/>
    <n v="1"/>
    <n v="1"/>
    <x v="4"/>
    <x v="1"/>
    <x v="2"/>
    <n v="3.3333333333333335"/>
    <s v="Below College"/>
    <s v="Very High"/>
    <x v="2"/>
    <s v="High"/>
  </r>
  <r>
    <n v="33"/>
    <x v="0"/>
    <x v="1"/>
    <n v="3"/>
    <n v="3"/>
    <s v="Life Sciences"/>
    <n v="1"/>
    <n v="1"/>
    <x v="0"/>
    <n v="3348"/>
    <n v="1"/>
    <n v="3"/>
    <n v="10"/>
    <n v="1"/>
    <x v="2"/>
    <x v="0"/>
    <x v="1"/>
    <n v="1.6666666666666667"/>
    <s v="Bachelor"/>
    <s v="Low"/>
    <x v="3"/>
    <s v="High"/>
  </r>
  <r>
    <n v="35"/>
    <x v="1"/>
    <x v="1"/>
    <n v="3"/>
    <n v="3"/>
    <s v="Life Sciences"/>
    <n v="3"/>
    <n v="3"/>
    <x v="1"/>
    <n v="1281"/>
    <n v="1"/>
    <n v="3"/>
    <n v="1"/>
    <n v="0"/>
    <x v="0"/>
    <x v="1"/>
    <x v="2"/>
    <n v="3"/>
    <s v="Bachelor"/>
    <s v="High"/>
    <x v="2"/>
    <s v="High"/>
  </r>
  <r>
    <n v="23"/>
    <x v="1"/>
    <x v="1"/>
    <n v="4"/>
    <n v="3"/>
    <s v="Medical"/>
    <n v="1"/>
    <n v="1"/>
    <x v="1"/>
    <n v="2819"/>
    <n v="2"/>
    <n v="4"/>
    <n v="3"/>
    <n v="0"/>
    <x v="4"/>
    <x v="1"/>
    <x v="3"/>
    <n v="2"/>
    <s v="Bachelor"/>
    <s v="Low"/>
    <x v="3"/>
    <s v="Very High"/>
  </r>
  <r>
    <n v="25"/>
    <x v="1"/>
    <x v="0"/>
    <n v="8"/>
    <n v="3"/>
    <s v="Life Sciences"/>
    <n v="4"/>
    <n v="2"/>
    <x v="1"/>
    <n v="4851"/>
    <n v="0"/>
    <n v="3"/>
    <n v="3"/>
    <n v="0"/>
    <x v="2"/>
    <x v="0"/>
    <x v="3"/>
    <n v="3"/>
    <s v="Bachelor"/>
    <s v="Very High"/>
    <x v="1"/>
    <s v="High"/>
  </r>
  <r>
    <n v="38"/>
    <x v="1"/>
    <x v="0"/>
    <n v="7"/>
    <n v="4"/>
    <s v="Marketing"/>
    <n v="4"/>
    <n v="4"/>
    <x v="0"/>
    <n v="4028"/>
    <n v="0"/>
    <n v="3"/>
    <n v="7"/>
    <n v="0"/>
    <x v="0"/>
    <x v="0"/>
    <x v="0"/>
    <n v="3.6666666666666665"/>
    <s v="Master"/>
    <s v="Very High"/>
    <x v="0"/>
    <s v="High"/>
  </r>
  <r>
    <n v="29"/>
    <x v="1"/>
    <x v="1"/>
    <n v="1"/>
    <n v="4"/>
    <s v="Life Sciences"/>
    <n v="2"/>
    <n v="4"/>
    <x v="2"/>
    <n v="2720"/>
    <n v="1"/>
    <n v="3"/>
    <n v="10"/>
    <n v="0"/>
    <x v="2"/>
    <x v="1"/>
    <x v="1"/>
    <n v="3"/>
    <s v="Master"/>
    <s v="Medium"/>
    <x v="0"/>
    <s v="High"/>
  </r>
  <r>
    <n v="48"/>
    <x v="1"/>
    <x v="0"/>
    <n v="2"/>
    <n v="1"/>
    <s v="Marketing"/>
    <n v="2"/>
    <n v="2"/>
    <x v="1"/>
    <n v="8120"/>
    <n v="3"/>
    <n v="3"/>
    <n v="2"/>
    <n v="0"/>
    <x v="1"/>
    <x v="2"/>
    <x v="3"/>
    <n v="2.3333333333333335"/>
    <s v="Below College"/>
    <s v="Medium"/>
    <x v="1"/>
    <s v="High"/>
  </r>
  <r>
    <n v="27"/>
    <x v="1"/>
    <x v="0"/>
    <n v="3"/>
    <n v="1"/>
    <s v="Medical"/>
    <n v="4"/>
    <n v="4"/>
    <x v="2"/>
    <n v="4647"/>
    <n v="1"/>
    <n v="3"/>
    <n v="6"/>
    <n v="0"/>
    <x v="2"/>
    <x v="0"/>
    <x v="0"/>
    <n v="3.6666666666666665"/>
    <s v="Below College"/>
    <s v="Very High"/>
    <x v="0"/>
    <s v="High"/>
  </r>
  <r>
    <n v="37"/>
    <x v="1"/>
    <x v="1"/>
    <n v="10"/>
    <n v="2"/>
    <s v="Life Sciences"/>
    <n v="4"/>
    <n v="4"/>
    <x v="0"/>
    <n v="4680"/>
    <n v="3"/>
    <n v="3"/>
    <n v="1"/>
    <n v="0"/>
    <x v="0"/>
    <x v="0"/>
    <x v="2"/>
    <n v="3.6666666666666665"/>
    <s v="College"/>
    <s v="Very High"/>
    <x v="0"/>
    <s v="High"/>
  </r>
  <r>
    <n v="50"/>
    <x v="1"/>
    <x v="1"/>
    <n v="28"/>
    <n v="1"/>
    <s v="Medical"/>
    <n v="4"/>
    <n v="3"/>
    <x v="1"/>
    <n v="3221"/>
    <n v="1"/>
    <n v="3"/>
    <n v="20"/>
    <n v="0"/>
    <x v="1"/>
    <x v="0"/>
    <x v="1"/>
    <n v="3.3333333333333335"/>
    <s v="Below College"/>
    <s v="Very High"/>
    <x v="2"/>
    <s v="High"/>
  </r>
  <r>
    <n v="34"/>
    <x v="1"/>
    <x v="1"/>
    <n v="9"/>
    <n v="3"/>
    <s v="Medical"/>
    <n v="4"/>
    <n v="2"/>
    <x v="0"/>
    <n v="8621"/>
    <n v="1"/>
    <n v="4"/>
    <n v="8"/>
    <n v="0"/>
    <x v="2"/>
    <x v="2"/>
    <x v="0"/>
    <n v="3.3333333333333335"/>
    <s v="Bachelor"/>
    <s v="Very High"/>
    <x v="1"/>
    <s v="Very High"/>
  </r>
  <r>
    <n v="24"/>
    <x v="0"/>
    <x v="0"/>
    <n v="3"/>
    <n v="2"/>
    <s v="Life Sciences"/>
    <n v="1"/>
    <n v="3"/>
    <x v="0"/>
    <n v="4577"/>
    <n v="9"/>
    <n v="3"/>
    <n v="2"/>
    <n v="1"/>
    <x v="4"/>
    <x v="0"/>
    <x v="3"/>
    <n v="2.3333333333333335"/>
    <s v="College"/>
    <s v="Low"/>
    <x v="2"/>
    <s v="High"/>
  </r>
  <r>
    <n v="39"/>
    <x v="1"/>
    <x v="1"/>
    <n v="2"/>
    <n v="4"/>
    <s v="Technical Degree"/>
    <n v="4"/>
    <n v="3"/>
    <x v="0"/>
    <n v="4553"/>
    <n v="1"/>
    <n v="3"/>
    <n v="20"/>
    <n v="0"/>
    <x v="0"/>
    <x v="0"/>
    <x v="1"/>
    <n v="3.3333333333333335"/>
    <s v="Master"/>
    <s v="Very High"/>
    <x v="2"/>
    <s v="High"/>
  </r>
  <r>
    <n v="32"/>
    <x v="1"/>
    <x v="0"/>
    <n v="10"/>
    <n v="3"/>
    <s v="Marketing"/>
    <n v="4"/>
    <n v="4"/>
    <x v="0"/>
    <n v="5396"/>
    <n v="1"/>
    <n v="2"/>
    <n v="10"/>
    <n v="0"/>
    <x v="2"/>
    <x v="0"/>
    <x v="1"/>
    <n v="3.3333333333333335"/>
    <s v="Bachelor"/>
    <s v="Very High"/>
    <x v="0"/>
    <s v="Medium"/>
  </r>
  <r>
    <n v="50"/>
    <x v="0"/>
    <x v="0"/>
    <n v="8"/>
    <n v="2"/>
    <s v="Technical Degree"/>
    <n v="2"/>
    <n v="3"/>
    <x v="1"/>
    <n v="6796"/>
    <n v="3"/>
    <n v="3"/>
    <n v="4"/>
    <n v="1"/>
    <x v="1"/>
    <x v="0"/>
    <x v="3"/>
    <n v="2.6666666666666665"/>
    <s v="College"/>
    <s v="Medium"/>
    <x v="2"/>
    <s v="High"/>
  </r>
  <r>
    <n v="38"/>
    <x v="1"/>
    <x v="1"/>
    <n v="1"/>
    <n v="4"/>
    <s v="Life Sciences"/>
    <n v="2"/>
    <n v="4"/>
    <x v="0"/>
    <n v="7625"/>
    <n v="0"/>
    <n v="2"/>
    <n v="9"/>
    <n v="0"/>
    <x v="0"/>
    <x v="2"/>
    <x v="0"/>
    <n v="2.6666666666666665"/>
    <s v="Master"/>
    <s v="Medium"/>
    <x v="0"/>
    <s v="Medium"/>
  </r>
  <r>
    <n v="27"/>
    <x v="1"/>
    <x v="1"/>
    <n v="1"/>
    <n v="2"/>
    <s v="Life Sciences"/>
    <n v="3"/>
    <n v="1"/>
    <x v="1"/>
    <n v="7412"/>
    <n v="1"/>
    <n v="3"/>
    <n v="9"/>
    <n v="0"/>
    <x v="2"/>
    <x v="2"/>
    <x v="0"/>
    <n v="2.3333333333333335"/>
    <s v="College"/>
    <s v="High"/>
    <x v="3"/>
    <s v="High"/>
  </r>
  <r>
    <n v="32"/>
    <x v="1"/>
    <x v="1"/>
    <n v="3"/>
    <n v="2"/>
    <s v="Life Sciences"/>
    <n v="3"/>
    <n v="4"/>
    <x v="0"/>
    <n v="11159"/>
    <n v="3"/>
    <n v="3"/>
    <n v="7"/>
    <n v="0"/>
    <x v="2"/>
    <x v="2"/>
    <x v="0"/>
    <n v="3.3333333333333335"/>
    <s v="College"/>
    <s v="High"/>
    <x v="0"/>
    <s v="High"/>
  </r>
  <r>
    <n v="47"/>
    <x v="1"/>
    <x v="0"/>
    <n v="14"/>
    <n v="4"/>
    <s v="Marketing"/>
    <n v="4"/>
    <n v="1"/>
    <x v="0"/>
    <n v="4960"/>
    <n v="2"/>
    <n v="3"/>
    <n v="7"/>
    <n v="0"/>
    <x v="1"/>
    <x v="0"/>
    <x v="0"/>
    <n v="2.6666666666666665"/>
    <s v="Master"/>
    <s v="Very High"/>
    <x v="3"/>
    <s v="High"/>
  </r>
  <r>
    <n v="40"/>
    <x v="1"/>
    <x v="0"/>
    <n v="5"/>
    <n v="4"/>
    <s v="Life Sciences"/>
    <n v="4"/>
    <n v="1"/>
    <x v="1"/>
    <n v="10475"/>
    <n v="5"/>
    <n v="3"/>
    <n v="18"/>
    <n v="0"/>
    <x v="0"/>
    <x v="2"/>
    <x v="1"/>
    <n v="2.6666666666666665"/>
    <s v="Master"/>
    <s v="Very High"/>
    <x v="3"/>
    <s v="High"/>
  </r>
  <r>
    <n v="53"/>
    <x v="1"/>
    <x v="1"/>
    <n v="7"/>
    <n v="3"/>
    <s v="Life Sciences"/>
    <n v="3"/>
    <n v="3"/>
    <x v="1"/>
    <n v="14814"/>
    <n v="3"/>
    <n v="3"/>
    <n v="5"/>
    <n v="0"/>
    <x v="1"/>
    <x v="2"/>
    <x v="0"/>
    <n v="3"/>
    <s v="Bachelor"/>
    <s v="High"/>
    <x v="2"/>
    <s v="High"/>
  </r>
  <r>
    <n v="41"/>
    <x v="1"/>
    <x v="2"/>
    <n v="10"/>
    <n v="4"/>
    <s v="Human Resources"/>
    <n v="2"/>
    <n v="4"/>
    <x v="2"/>
    <n v="19141"/>
    <n v="3"/>
    <n v="2"/>
    <n v="21"/>
    <n v="0"/>
    <x v="0"/>
    <x v="2"/>
    <x v="1"/>
    <n v="2.6666666666666665"/>
    <s v="Master"/>
    <s v="Medium"/>
    <x v="0"/>
    <s v="Medium"/>
  </r>
  <r>
    <n v="60"/>
    <x v="1"/>
    <x v="0"/>
    <n v="16"/>
    <n v="4"/>
    <s v="Marketing"/>
    <n v="1"/>
    <n v="1"/>
    <x v="0"/>
    <n v="5405"/>
    <n v="8"/>
    <n v="3"/>
    <n v="2"/>
    <n v="0"/>
    <x v="3"/>
    <x v="0"/>
    <x v="3"/>
    <n v="1.6666666666666667"/>
    <s v="Master"/>
    <s v="Low"/>
    <x v="3"/>
    <s v="High"/>
  </r>
  <r>
    <n v="27"/>
    <x v="1"/>
    <x v="1"/>
    <n v="10"/>
    <n v="2"/>
    <s v="Life Sciences"/>
    <n v="4"/>
    <n v="1"/>
    <x v="2"/>
    <n v="8793"/>
    <n v="1"/>
    <n v="2"/>
    <n v="9"/>
    <n v="0"/>
    <x v="2"/>
    <x v="2"/>
    <x v="0"/>
    <n v="2.3333333333333335"/>
    <s v="College"/>
    <s v="Very High"/>
    <x v="3"/>
    <s v="Medium"/>
  </r>
  <r>
    <n v="41"/>
    <x v="1"/>
    <x v="2"/>
    <n v="1"/>
    <n v="3"/>
    <s v="Human Resources"/>
    <n v="4"/>
    <n v="3"/>
    <x v="1"/>
    <n v="19189"/>
    <n v="1"/>
    <n v="3"/>
    <n v="22"/>
    <n v="0"/>
    <x v="0"/>
    <x v="2"/>
    <x v="1"/>
    <n v="3.3333333333333335"/>
    <s v="Bachelor"/>
    <s v="Very High"/>
    <x v="2"/>
    <s v="High"/>
  </r>
  <r>
    <n v="50"/>
    <x v="1"/>
    <x v="0"/>
    <n v="8"/>
    <n v="4"/>
    <s v="Marketing"/>
    <n v="4"/>
    <n v="2"/>
    <x v="1"/>
    <n v="3875"/>
    <n v="7"/>
    <n v="3"/>
    <n v="2"/>
    <n v="0"/>
    <x v="1"/>
    <x v="0"/>
    <x v="3"/>
    <n v="3"/>
    <s v="Master"/>
    <s v="Very High"/>
    <x v="1"/>
    <s v="High"/>
  </r>
  <r>
    <n v="28"/>
    <x v="0"/>
    <x v="1"/>
    <n v="1"/>
    <n v="2"/>
    <s v="Life Sciences"/>
    <n v="1"/>
    <n v="2"/>
    <x v="0"/>
    <n v="2216"/>
    <n v="7"/>
    <n v="3"/>
    <n v="7"/>
    <n v="1"/>
    <x v="2"/>
    <x v="1"/>
    <x v="0"/>
    <n v="2"/>
    <s v="College"/>
    <s v="Low"/>
    <x v="1"/>
    <s v="High"/>
  </r>
  <r>
    <n v="36"/>
    <x v="1"/>
    <x v="1"/>
    <n v="8"/>
    <n v="3"/>
    <s v="Life Sciences"/>
    <n v="1"/>
    <n v="1"/>
    <x v="1"/>
    <n v="11713"/>
    <n v="9"/>
    <n v="3"/>
    <n v="8"/>
    <n v="0"/>
    <x v="0"/>
    <x v="2"/>
    <x v="0"/>
    <n v="1.6666666666666667"/>
    <s v="Bachelor"/>
    <s v="Low"/>
    <x v="3"/>
    <s v="High"/>
  </r>
  <r>
    <n v="38"/>
    <x v="1"/>
    <x v="1"/>
    <n v="1"/>
    <n v="3"/>
    <s v="Life Sciences"/>
    <n v="3"/>
    <n v="3"/>
    <x v="0"/>
    <n v="7861"/>
    <n v="4"/>
    <n v="4"/>
    <n v="1"/>
    <n v="0"/>
    <x v="0"/>
    <x v="2"/>
    <x v="2"/>
    <n v="3.3333333333333335"/>
    <s v="Bachelor"/>
    <s v="High"/>
    <x v="2"/>
    <s v="Very High"/>
  </r>
  <r>
    <n v="44"/>
    <x v="1"/>
    <x v="1"/>
    <n v="24"/>
    <n v="3"/>
    <s v="Medical"/>
    <n v="1"/>
    <n v="3"/>
    <x v="0"/>
    <n v="3708"/>
    <n v="2"/>
    <n v="3"/>
    <n v="5"/>
    <n v="0"/>
    <x v="0"/>
    <x v="0"/>
    <x v="0"/>
    <n v="2.3333333333333335"/>
    <s v="Bachelor"/>
    <s v="Low"/>
    <x v="2"/>
    <s v="High"/>
  </r>
  <r>
    <n v="47"/>
    <x v="1"/>
    <x v="0"/>
    <n v="3"/>
    <n v="3"/>
    <s v="Medical"/>
    <n v="4"/>
    <n v="3"/>
    <x v="2"/>
    <n v="13770"/>
    <n v="9"/>
    <n v="2"/>
    <n v="22"/>
    <n v="0"/>
    <x v="1"/>
    <x v="2"/>
    <x v="1"/>
    <n v="3"/>
    <s v="Bachelor"/>
    <s v="Very High"/>
    <x v="2"/>
    <s v="Medium"/>
  </r>
  <r>
    <n v="30"/>
    <x v="1"/>
    <x v="0"/>
    <n v="27"/>
    <n v="5"/>
    <s v="Marketing"/>
    <n v="3"/>
    <n v="4"/>
    <x v="2"/>
    <n v="5304"/>
    <n v="7"/>
    <n v="2"/>
    <n v="8"/>
    <n v="0"/>
    <x v="2"/>
    <x v="0"/>
    <x v="0"/>
    <n v="3"/>
    <s v="Doctor"/>
    <s v="High"/>
    <x v="0"/>
    <s v="Medium"/>
  </r>
  <r>
    <n v="29"/>
    <x v="1"/>
    <x v="0"/>
    <n v="10"/>
    <n v="3"/>
    <s v="Life Sciences"/>
    <n v="3"/>
    <n v="3"/>
    <x v="0"/>
    <n v="2642"/>
    <n v="1"/>
    <n v="3"/>
    <n v="1"/>
    <n v="0"/>
    <x v="2"/>
    <x v="1"/>
    <x v="2"/>
    <n v="3"/>
    <s v="Bachelor"/>
    <s v="High"/>
    <x v="2"/>
    <s v="High"/>
  </r>
  <r>
    <n v="42"/>
    <x v="0"/>
    <x v="1"/>
    <n v="19"/>
    <n v="3"/>
    <s v="Medical"/>
    <n v="3"/>
    <n v="3"/>
    <x v="2"/>
    <n v="2759"/>
    <n v="6"/>
    <n v="3"/>
    <n v="2"/>
    <n v="1"/>
    <x v="0"/>
    <x v="1"/>
    <x v="3"/>
    <n v="3"/>
    <s v="Bachelor"/>
    <s v="High"/>
    <x v="2"/>
    <s v="High"/>
  </r>
  <r>
    <n v="43"/>
    <x v="1"/>
    <x v="0"/>
    <n v="15"/>
    <n v="3"/>
    <s v="Life Sciences"/>
    <n v="4"/>
    <n v="4"/>
    <x v="1"/>
    <n v="6804"/>
    <n v="3"/>
    <n v="3"/>
    <n v="2"/>
    <n v="0"/>
    <x v="0"/>
    <x v="0"/>
    <x v="3"/>
    <n v="3.6666666666666665"/>
    <s v="Bachelor"/>
    <s v="Very High"/>
    <x v="0"/>
    <s v="High"/>
  </r>
  <r>
    <n v="34"/>
    <x v="1"/>
    <x v="1"/>
    <n v="8"/>
    <n v="2"/>
    <s v="Medical"/>
    <n v="2"/>
    <n v="3"/>
    <x v="0"/>
    <n v="6142"/>
    <n v="3"/>
    <n v="3"/>
    <n v="5"/>
    <n v="0"/>
    <x v="2"/>
    <x v="0"/>
    <x v="0"/>
    <n v="2.6666666666666665"/>
    <s v="College"/>
    <s v="Medium"/>
    <x v="2"/>
    <s v="High"/>
  </r>
  <r>
    <n v="23"/>
    <x v="1"/>
    <x v="1"/>
    <n v="9"/>
    <n v="1"/>
    <s v="Medical"/>
    <n v="2"/>
    <n v="1"/>
    <x v="1"/>
    <n v="2500"/>
    <n v="1"/>
    <n v="4"/>
    <n v="4"/>
    <n v="0"/>
    <x v="4"/>
    <x v="1"/>
    <x v="3"/>
    <n v="2.3333333333333335"/>
    <s v="Below College"/>
    <s v="Medium"/>
    <x v="3"/>
    <s v="Very High"/>
  </r>
  <r>
    <n v="39"/>
    <x v="1"/>
    <x v="2"/>
    <n v="3"/>
    <n v="3"/>
    <s v="Human Resources"/>
    <n v="3"/>
    <n v="2"/>
    <x v="1"/>
    <n v="6389"/>
    <n v="9"/>
    <n v="1"/>
    <n v="8"/>
    <n v="0"/>
    <x v="0"/>
    <x v="0"/>
    <x v="0"/>
    <n v="2"/>
    <s v="Bachelor"/>
    <s v="High"/>
    <x v="1"/>
    <s v="Low"/>
  </r>
  <r>
    <n v="56"/>
    <x v="1"/>
    <x v="1"/>
    <n v="9"/>
    <n v="3"/>
    <s v="Medical"/>
    <n v="3"/>
    <n v="4"/>
    <x v="1"/>
    <n v="11103"/>
    <n v="7"/>
    <n v="2"/>
    <n v="10"/>
    <n v="0"/>
    <x v="3"/>
    <x v="2"/>
    <x v="1"/>
    <n v="3"/>
    <s v="Bachelor"/>
    <s v="High"/>
    <x v="0"/>
    <s v="Medium"/>
  </r>
  <r>
    <n v="40"/>
    <x v="1"/>
    <x v="1"/>
    <n v="2"/>
    <n v="1"/>
    <s v="Medical"/>
    <n v="4"/>
    <n v="4"/>
    <x v="0"/>
    <n v="2342"/>
    <n v="0"/>
    <n v="2"/>
    <n v="4"/>
    <n v="0"/>
    <x v="0"/>
    <x v="1"/>
    <x v="3"/>
    <n v="3.3333333333333335"/>
    <s v="Below College"/>
    <s v="Very High"/>
    <x v="0"/>
    <s v="Medium"/>
  </r>
  <r>
    <n v="27"/>
    <x v="1"/>
    <x v="1"/>
    <n v="7"/>
    <n v="3"/>
    <s v="Medical"/>
    <n v="4"/>
    <n v="1"/>
    <x v="0"/>
    <n v="6811"/>
    <n v="8"/>
    <n v="1"/>
    <n v="7"/>
    <n v="0"/>
    <x v="2"/>
    <x v="0"/>
    <x v="0"/>
    <n v="2"/>
    <s v="Bachelor"/>
    <s v="Very High"/>
    <x v="3"/>
    <s v="Low"/>
  </r>
  <r>
    <n v="29"/>
    <x v="1"/>
    <x v="0"/>
    <n v="10"/>
    <n v="3"/>
    <s v="Marketing"/>
    <n v="4"/>
    <n v="2"/>
    <x v="2"/>
    <n v="2297"/>
    <n v="1"/>
    <n v="3"/>
    <n v="2"/>
    <n v="0"/>
    <x v="2"/>
    <x v="1"/>
    <x v="3"/>
    <n v="3"/>
    <s v="Bachelor"/>
    <s v="Very High"/>
    <x v="1"/>
    <s v="High"/>
  </r>
  <r>
    <n v="53"/>
    <x v="1"/>
    <x v="1"/>
    <n v="6"/>
    <n v="3"/>
    <s v="Life Sciences"/>
    <n v="4"/>
    <n v="4"/>
    <x v="0"/>
    <n v="2450"/>
    <n v="2"/>
    <n v="3"/>
    <n v="2"/>
    <n v="0"/>
    <x v="1"/>
    <x v="1"/>
    <x v="3"/>
    <n v="3.6666666666666665"/>
    <s v="Bachelor"/>
    <s v="Very High"/>
    <x v="0"/>
    <s v="High"/>
  </r>
  <r>
    <n v="35"/>
    <x v="1"/>
    <x v="1"/>
    <n v="2"/>
    <n v="4"/>
    <s v="Life Sciences"/>
    <n v="4"/>
    <n v="1"/>
    <x v="2"/>
    <n v="5093"/>
    <n v="2"/>
    <n v="4"/>
    <n v="1"/>
    <n v="0"/>
    <x v="0"/>
    <x v="0"/>
    <x v="2"/>
    <n v="3"/>
    <s v="Master"/>
    <s v="Very High"/>
    <x v="3"/>
    <s v="Very High"/>
  </r>
  <r>
    <n v="32"/>
    <x v="1"/>
    <x v="1"/>
    <n v="24"/>
    <n v="4"/>
    <s v="Life Sciences"/>
    <n v="1"/>
    <n v="4"/>
    <x v="1"/>
    <n v="5309"/>
    <n v="1"/>
    <n v="3"/>
    <n v="10"/>
    <n v="0"/>
    <x v="2"/>
    <x v="0"/>
    <x v="1"/>
    <n v="2.6666666666666665"/>
    <s v="Master"/>
    <s v="Low"/>
    <x v="0"/>
    <s v="High"/>
  </r>
  <r>
    <n v="38"/>
    <x v="1"/>
    <x v="1"/>
    <n v="2"/>
    <n v="5"/>
    <s v="Medical"/>
    <n v="4"/>
    <n v="3"/>
    <x v="1"/>
    <n v="3057"/>
    <n v="6"/>
    <n v="1"/>
    <n v="1"/>
    <n v="0"/>
    <x v="0"/>
    <x v="0"/>
    <x v="2"/>
    <n v="2.6666666666666665"/>
    <s v="Doctor"/>
    <s v="Very High"/>
    <x v="2"/>
    <s v="Low"/>
  </r>
  <r>
    <n v="34"/>
    <x v="1"/>
    <x v="1"/>
    <n v="8"/>
    <n v="5"/>
    <s v="Life Sciences"/>
    <n v="2"/>
    <n v="1"/>
    <x v="2"/>
    <n v="5121"/>
    <n v="3"/>
    <n v="3"/>
    <n v="0"/>
    <n v="0"/>
    <x v="2"/>
    <x v="0"/>
    <x v="2"/>
    <n v="2"/>
    <s v="Doctor"/>
    <s v="Medium"/>
    <x v="3"/>
    <s v="High"/>
  </r>
  <r>
    <n v="52"/>
    <x v="1"/>
    <x v="0"/>
    <n v="3"/>
    <n v="4"/>
    <s v="Marketing"/>
    <n v="3"/>
    <n v="1"/>
    <x v="1"/>
    <n v="16856"/>
    <n v="1"/>
    <n v="4"/>
    <n v="34"/>
    <n v="0"/>
    <x v="1"/>
    <x v="2"/>
    <x v="1"/>
    <n v="2.6666666666666665"/>
    <s v="Master"/>
    <s v="High"/>
    <x v="3"/>
    <s v="Very High"/>
  </r>
  <r>
    <n v="33"/>
    <x v="0"/>
    <x v="1"/>
    <n v="1"/>
    <n v="4"/>
    <s v="Other"/>
    <n v="4"/>
    <n v="4"/>
    <x v="0"/>
    <n v="2686"/>
    <n v="1"/>
    <n v="2"/>
    <n v="10"/>
    <n v="1"/>
    <x v="2"/>
    <x v="1"/>
    <x v="1"/>
    <n v="3.3333333333333335"/>
    <s v="Master"/>
    <s v="Very High"/>
    <x v="0"/>
    <s v="Medium"/>
  </r>
  <r>
    <n v="25"/>
    <x v="1"/>
    <x v="0"/>
    <n v="26"/>
    <n v="1"/>
    <s v="Medical"/>
    <n v="3"/>
    <n v="4"/>
    <x v="0"/>
    <n v="6180"/>
    <n v="1"/>
    <n v="2"/>
    <n v="6"/>
    <n v="0"/>
    <x v="2"/>
    <x v="0"/>
    <x v="0"/>
    <n v="3"/>
    <s v="Below College"/>
    <s v="High"/>
    <x v="0"/>
    <s v="Medium"/>
  </r>
  <r>
    <n v="45"/>
    <x v="1"/>
    <x v="0"/>
    <n v="2"/>
    <n v="2"/>
    <s v="Technical Degree"/>
    <n v="2"/>
    <n v="3"/>
    <x v="0"/>
    <n v="6632"/>
    <n v="0"/>
    <n v="3"/>
    <n v="8"/>
    <n v="0"/>
    <x v="1"/>
    <x v="0"/>
    <x v="0"/>
    <n v="2.6666666666666665"/>
    <s v="College"/>
    <s v="Medium"/>
    <x v="2"/>
    <s v="High"/>
  </r>
  <r>
    <n v="23"/>
    <x v="1"/>
    <x v="1"/>
    <n v="10"/>
    <n v="1"/>
    <s v="Medical"/>
    <n v="1"/>
    <n v="3"/>
    <x v="0"/>
    <n v="3505"/>
    <n v="1"/>
    <n v="3"/>
    <n v="2"/>
    <n v="0"/>
    <x v="4"/>
    <x v="0"/>
    <x v="3"/>
    <n v="2.3333333333333335"/>
    <s v="Below College"/>
    <s v="Low"/>
    <x v="2"/>
    <s v="High"/>
  </r>
  <r>
    <n v="47"/>
    <x v="0"/>
    <x v="0"/>
    <n v="27"/>
    <n v="2"/>
    <s v="Life Sciences"/>
    <n v="2"/>
    <n v="3"/>
    <x v="0"/>
    <n v="6397"/>
    <n v="4"/>
    <n v="3"/>
    <n v="5"/>
    <n v="1"/>
    <x v="1"/>
    <x v="0"/>
    <x v="0"/>
    <n v="2.6666666666666665"/>
    <s v="College"/>
    <s v="Medium"/>
    <x v="2"/>
    <s v="High"/>
  </r>
  <r>
    <n v="34"/>
    <x v="1"/>
    <x v="0"/>
    <n v="2"/>
    <n v="3"/>
    <s v="Other"/>
    <n v="4"/>
    <n v="4"/>
    <x v="0"/>
    <n v="6274"/>
    <n v="1"/>
    <n v="3"/>
    <n v="6"/>
    <n v="0"/>
    <x v="2"/>
    <x v="0"/>
    <x v="0"/>
    <n v="3.6666666666666665"/>
    <s v="Bachelor"/>
    <s v="Very High"/>
    <x v="0"/>
    <s v="High"/>
  </r>
  <r>
    <n v="55"/>
    <x v="0"/>
    <x v="1"/>
    <n v="2"/>
    <n v="3"/>
    <s v="Medical"/>
    <n v="4"/>
    <n v="1"/>
    <x v="1"/>
    <n v="19859"/>
    <n v="5"/>
    <n v="3"/>
    <n v="5"/>
    <n v="1"/>
    <x v="3"/>
    <x v="2"/>
    <x v="0"/>
    <n v="2.6666666666666665"/>
    <s v="Bachelor"/>
    <s v="Very High"/>
    <x v="3"/>
    <s v="High"/>
  </r>
  <r>
    <n v="36"/>
    <x v="1"/>
    <x v="0"/>
    <n v="8"/>
    <n v="4"/>
    <s v="Life Sciences"/>
    <n v="1"/>
    <n v="1"/>
    <x v="0"/>
    <n v="7587"/>
    <n v="1"/>
    <n v="3"/>
    <n v="10"/>
    <n v="0"/>
    <x v="0"/>
    <x v="2"/>
    <x v="1"/>
    <n v="1.6666666666666667"/>
    <s v="Master"/>
    <s v="Low"/>
    <x v="3"/>
    <s v="High"/>
  </r>
  <r>
    <n v="52"/>
    <x v="1"/>
    <x v="1"/>
    <n v="19"/>
    <n v="4"/>
    <s v="Medical"/>
    <n v="4"/>
    <n v="4"/>
    <x v="1"/>
    <n v="4258"/>
    <n v="0"/>
    <n v="3"/>
    <n v="4"/>
    <n v="0"/>
    <x v="1"/>
    <x v="0"/>
    <x v="3"/>
    <n v="3.6666666666666665"/>
    <s v="Master"/>
    <s v="Very High"/>
    <x v="0"/>
    <s v="High"/>
  </r>
  <r>
    <n v="26"/>
    <x v="1"/>
    <x v="1"/>
    <n v="1"/>
    <n v="2"/>
    <s v="Life Sciences"/>
    <n v="1"/>
    <n v="4"/>
    <x v="2"/>
    <n v="4364"/>
    <n v="3"/>
    <n v="3"/>
    <n v="2"/>
    <n v="0"/>
    <x v="2"/>
    <x v="0"/>
    <x v="3"/>
    <n v="2.6666666666666665"/>
    <s v="College"/>
    <s v="Low"/>
    <x v="0"/>
    <s v="High"/>
  </r>
  <r>
    <n v="29"/>
    <x v="1"/>
    <x v="1"/>
    <n v="27"/>
    <n v="3"/>
    <s v="Medical"/>
    <n v="2"/>
    <n v="3"/>
    <x v="1"/>
    <n v="4335"/>
    <n v="4"/>
    <n v="2"/>
    <n v="8"/>
    <n v="0"/>
    <x v="2"/>
    <x v="0"/>
    <x v="0"/>
    <n v="2.3333333333333335"/>
    <s v="Bachelor"/>
    <s v="Medium"/>
    <x v="2"/>
    <s v="Medium"/>
  </r>
  <r>
    <n v="26"/>
    <x v="0"/>
    <x v="0"/>
    <n v="8"/>
    <n v="3"/>
    <s v="Technical Degree"/>
    <n v="4"/>
    <n v="1"/>
    <x v="0"/>
    <n v="5326"/>
    <n v="6"/>
    <n v="2"/>
    <n v="4"/>
    <n v="1"/>
    <x v="2"/>
    <x v="0"/>
    <x v="3"/>
    <n v="2.3333333333333335"/>
    <s v="Bachelor"/>
    <s v="Very High"/>
    <x v="3"/>
    <s v="Medium"/>
  </r>
  <r>
    <n v="34"/>
    <x v="1"/>
    <x v="1"/>
    <n v="1"/>
    <n v="4"/>
    <s v="Life Sciences"/>
    <n v="2"/>
    <n v="4"/>
    <x v="0"/>
    <n v="3280"/>
    <n v="2"/>
    <n v="3"/>
    <n v="4"/>
    <n v="0"/>
    <x v="2"/>
    <x v="0"/>
    <x v="3"/>
    <n v="3"/>
    <s v="Master"/>
    <s v="Medium"/>
    <x v="0"/>
    <s v="High"/>
  </r>
  <r>
    <n v="54"/>
    <x v="1"/>
    <x v="1"/>
    <n v="19"/>
    <n v="4"/>
    <s v="Medical"/>
    <n v="4"/>
    <n v="1"/>
    <x v="2"/>
    <n v="5485"/>
    <n v="9"/>
    <n v="3"/>
    <n v="5"/>
    <n v="0"/>
    <x v="1"/>
    <x v="0"/>
    <x v="0"/>
    <n v="2.6666666666666665"/>
    <s v="Master"/>
    <s v="Very High"/>
    <x v="3"/>
    <s v="High"/>
  </r>
  <r>
    <n v="27"/>
    <x v="1"/>
    <x v="0"/>
    <n v="8"/>
    <n v="1"/>
    <s v="Marketing"/>
    <n v="3"/>
    <n v="4"/>
    <x v="1"/>
    <n v="4342"/>
    <n v="0"/>
    <n v="3"/>
    <n v="4"/>
    <n v="0"/>
    <x v="2"/>
    <x v="0"/>
    <x v="3"/>
    <n v="3.3333333333333335"/>
    <s v="Below College"/>
    <s v="High"/>
    <x v="0"/>
    <s v="High"/>
  </r>
  <r>
    <n v="37"/>
    <x v="1"/>
    <x v="1"/>
    <n v="10"/>
    <n v="1"/>
    <s v="Life Sciences"/>
    <n v="4"/>
    <n v="1"/>
    <x v="2"/>
    <n v="2782"/>
    <n v="0"/>
    <n v="2"/>
    <n v="5"/>
    <n v="0"/>
    <x v="0"/>
    <x v="1"/>
    <x v="0"/>
    <n v="2.3333333333333335"/>
    <s v="Below College"/>
    <s v="Very High"/>
    <x v="3"/>
    <s v="Medium"/>
  </r>
  <r>
    <n v="38"/>
    <x v="1"/>
    <x v="1"/>
    <n v="2"/>
    <n v="4"/>
    <s v="Life Sciences"/>
    <n v="1"/>
    <n v="1"/>
    <x v="0"/>
    <n v="5980"/>
    <n v="6"/>
    <n v="3"/>
    <n v="15"/>
    <n v="0"/>
    <x v="0"/>
    <x v="0"/>
    <x v="1"/>
    <n v="1.6666666666666667"/>
    <s v="Master"/>
    <s v="Low"/>
    <x v="3"/>
    <s v="High"/>
  </r>
  <r>
    <n v="34"/>
    <x v="1"/>
    <x v="1"/>
    <n v="2"/>
    <n v="4"/>
    <s v="Medical"/>
    <n v="3"/>
    <n v="1"/>
    <x v="0"/>
    <n v="4381"/>
    <n v="1"/>
    <n v="3"/>
    <n v="6"/>
    <n v="0"/>
    <x v="2"/>
    <x v="0"/>
    <x v="0"/>
    <n v="2.3333333333333335"/>
    <s v="Master"/>
    <s v="High"/>
    <x v="3"/>
    <s v="High"/>
  </r>
  <r>
    <n v="35"/>
    <x v="1"/>
    <x v="0"/>
    <n v="8"/>
    <n v="4"/>
    <s v="Life Sciences"/>
    <n v="1"/>
    <n v="4"/>
    <x v="1"/>
    <n v="2572"/>
    <n v="1"/>
    <n v="2"/>
    <n v="3"/>
    <n v="0"/>
    <x v="0"/>
    <x v="1"/>
    <x v="3"/>
    <n v="2.3333333333333335"/>
    <s v="Master"/>
    <s v="Low"/>
    <x v="0"/>
    <s v="Medium"/>
  </r>
  <r>
    <n v="30"/>
    <x v="1"/>
    <x v="1"/>
    <n v="1"/>
    <n v="3"/>
    <s v="Life Sciences"/>
    <n v="4"/>
    <n v="3"/>
    <x v="1"/>
    <n v="3833"/>
    <n v="3"/>
    <n v="3"/>
    <n v="2"/>
    <n v="0"/>
    <x v="2"/>
    <x v="0"/>
    <x v="3"/>
    <n v="3.3333333333333335"/>
    <s v="Bachelor"/>
    <s v="Very High"/>
    <x v="2"/>
    <s v="High"/>
  </r>
  <r>
    <n v="40"/>
    <x v="1"/>
    <x v="1"/>
    <n v="2"/>
    <n v="2"/>
    <s v="Medical"/>
    <n v="3"/>
    <n v="2"/>
    <x v="1"/>
    <n v="4244"/>
    <n v="1"/>
    <n v="3"/>
    <n v="8"/>
    <n v="0"/>
    <x v="0"/>
    <x v="0"/>
    <x v="0"/>
    <n v="2.6666666666666665"/>
    <s v="College"/>
    <s v="High"/>
    <x v="1"/>
    <s v="High"/>
  </r>
  <r>
    <n v="34"/>
    <x v="1"/>
    <x v="0"/>
    <n v="8"/>
    <n v="2"/>
    <s v="Life Sciences"/>
    <n v="3"/>
    <n v="1"/>
    <x v="1"/>
    <n v="6500"/>
    <n v="5"/>
    <n v="3"/>
    <n v="3"/>
    <n v="0"/>
    <x v="2"/>
    <x v="0"/>
    <x v="3"/>
    <n v="2.3333333333333335"/>
    <s v="College"/>
    <s v="High"/>
    <x v="3"/>
    <s v="High"/>
  </r>
  <r>
    <n v="42"/>
    <x v="1"/>
    <x v="1"/>
    <n v="8"/>
    <n v="3"/>
    <s v="Life Sciences"/>
    <n v="2"/>
    <n v="4"/>
    <x v="2"/>
    <n v="18430"/>
    <n v="1"/>
    <n v="2"/>
    <n v="24"/>
    <n v="0"/>
    <x v="0"/>
    <x v="2"/>
    <x v="1"/>
    <n v="2.6666666666666665"/>
    <s v="Bachelor"/>
    <s v="Medium"/>
    <x v="0"/>
    <s v="Medium"/>
  </r>
  <r>
    <n v="23"/>
    <x v="0"/>
    <x v="1"/>
    <n v="6"/>
    <n v="3"/>
    <s v="Life Sciences"/>
    <n v="3"/>
    <n v="1"/>
    <x v="1"/>
    <n v="1601"/>
    <n v="1"/>
    <n v="3"/>
    <n v="0"/>
    <n v="1"/>
    <x v="4"/>
    <x v="1"/>
    <x v="2"/>
    <n v="2.3333333333333335"/>
    <s v="Bachelor"/>
    <s v="High"/>
    <x v="3"/>
    <s v="High"/>
  </r>
  <r>
    <n v="24"/>
    <x v="1"/>
    <x v="1"/>
    <n v="9"/>
    <n v="3"/>
    <s v="Life Sciences"/>
    <n v="3"/>
    <n v="2"/>
    <x v="2"/>
    <n v="2694"/>
    <n v="1"/>
    <n v="3"/>
    <n v="1"/>
    <n v="0"/>
    <x v="4"/>
    <x v="1"/>
    <x v="2"/>
    <n v="2.6666666666666665"/>
    <s v="Bachelor"/>
    <s v="High"/>
    <x v="1"/>
    <s v="High"/>
  </r>
  <r>
    <n v="52"/>
    <x v="1"/>
    <x v="1"/>
    <n v="11"/>
    <n v="4"/>
    <s v="Life Sciences"/>
    <n v="4"/>
    <n v="3"/>
    <x v="1"/>
    <n v="3149"/>
    <n v="8"/>
    <n v="3"/>
    <n v="5"/>
    <n v="0"/>
    <x v="1"/>
    <x v="0"/>
    <x v="0"/>
    <n v="3.3333333333333335"/>
    <s v="Master"/>
    <s v="Very High"/>
    <x v="2"/>
    <s v="High"/>
  </r>
  <r>
    <n v="50"/>
    <x v="1"/>
    <x v="1"/>
    <n v="2"/>
    <n v="3"/>
    <s v="Medical"/>
    <n v="3"/>
    <n v="3"/>
    <x v="1"/>
    <n v="17639"/>
    <n v="5"/>
    <n v="3"/>
    <n v="4"/>
    <n v="0"/>
    <x v="1"/>
    <x v="2"/>
    <x v="3"/>
    <n v="3"/>
    <s v="Bachelor"/>
    <s v="High"/>
    <x v="2"/>
    <s v="High"/>
  </r>
  <r>
    <n v="29"/>
    <x v="0"/>
    <x v="1"/>
    <n v="1"/>
    <n v="2"/>
    <s v="Life Sciences"/>
    <n v="2"/>
    <n v="1"/>
    <x v="1"/>
    <n v="2319"/>
    <n v="1"/>
    <n v="3"/>
    <n v="1"/>
    <n v="1"/>
    <x v="2"/>
    <x v="1"/>
    <x v="2"/>
    <n v="2"/>
    <s v="College"/>
    <s v="Medium"/>
    <x v="3"/>
    <s v="High"/>
  </r>
  <r>
    <n v="33"/>
    <x v="1"/>
    <x v="1"/>
    <n v="7"/>
    <n v="3"/>
    <s v="Medical"/>
    <n v="3"/>
    <n v="3"/>
    <x v="1"/>
    <n v="11691"/>
    <n v="0"/>
    <n v="4"/>
    <n v="13"/>
    <n v="0"/>
    <x v="2"/>
    <x v="2"/>
    <x v="1"/>
    <n v="3.3333333333333335"/>
    <s v="Bachelor"/>
    <s v="High"/>
    <x v="2"/>
    <s v="Very High"/>
  </r>
  <r>
    <n v="33"/>
    <x v="0"/>
    <x v="0"/>
    <n v="16"/>
    <n v="3"/>
    <s v="Marketing"/>
    <n v="1"/>
    <n v="1"/>
    <x v="0"/>
    <n v="5324"/>
    <n v="5"/>
    <n v="3"/>
    <n v="3"/>
    <n v="1"/>
    <x v="2"/>
    <x v="0"/>
    <x v="3"/>
    <n v="1.6666666666666667"/>
    <s v="Bachelor"/>
    <s v="Low"/>
    <x v="3"/>
    <s v="High"/>
  </r>
  <r>
    <n v="47"/>
    <x v="1"/>
    <x v="1"/>
    <n v="2"/>
    <n v="2"/>
    <s v="Other"/>
    <n v="3"/>
    <n v="4"/>
    <x v="1"/>
    <n v="16752"/>
    <n v="1"/>
    <n v="2"/>
    <n v="26"/>
    <n v="0"/>
    <x v="1"/>
    <x v="2"/>
    <x v="1"/>
    <n v="3"/>
    <s v="College"/>
    <s v="High"/>
    <x v="0"/>
    <s v="Medium"/>
  </r>
  <r>
    <n v="36"/>
    <x v="1"/>
    <x v="1"/>
    <n v="1"/>
    <n v="3"/>
    <s v="Other"/>
    <n v="3"/>
    <n v="2"/>
    <x v="1"/>
    <n v="5228"/>
    <n v="0"/>
    <n v="3"/>
    <n v="9"/>
    <n v="0"/>
    <x v="0"/>
    <x v="0"/>
    <x v="0"/>
    <n v="2.6666666666666665"/>
    <s v="Bachelor"/>
    <s v="High"/>
    <x v="1"/>
    <s v="High"/>
  </r>
  <r>
    <n v="29"/>
    <x v="1"/>
    <x v="1"/>
    <n v="23"/>
    <n v="2"/>
    <s v="Life Sciences"/>
    <n v="3"/>
    <n v="3"/>
    <x v="1"/>
    <n v="2700"/>
    <n v="1"/>
    <n v="3"/>
    <n v="10"/>
    <n v="0"/>
    <x v="2"/>
    <x v="1"/>
    <x v="1"/>
    <n v="3"/>
    <s v="College"/>
    <s v="High"/>
    <x v="2"/>
    <s v="High"/>
  </r>
  <r>
    <n v="58"/>
    <x v="0"/>
    <x v="1"/>
    <n v="2"/>
    <n v="4"/>
    <s v="Life Sciences"/>
    <n v="4"/>
    <n v="2"/>
    <x v="0"/>
    <n v="19246"/>
    <n v="7"/>
    <n v="3"/>
    <n v="31"/>
    <n v="1"/>
    <x v="3"/>
    <x v="2"/>
    <x v="1"/>
    <n v="3"/>
    <s v="Master"/>
    <s v="Very High"/>
    <x v="1"/>
    <s v="High"/>
  </r>
  <r>
    <n v="35"/>
    <x v="1"/>
    <x v="1"/>
    <n v="1"/>
    <n v="4"/>
    <s v="Life Sciences"/>
    <n v="4"/>
    <n v="3"/>
    <x v="0"/>
    <n v="2506"/>
    <n v="3"/>
    <n v="3"/>
    <n v="2"/>
    <n v="0"/>
    <x v="0"/>
    <x v="1"/>
    <x v="3"/>
    <n v="3.3333333333333335"/>
    <s v="Master"/>
    <s v="Very High"/>
    <x v="2"/>
    <s v="High"/>
  </r>
  <r>
    <n v="42"/>
    <x v="1"/>
    <x v="1"/>
    <n v="1"/>
    <n v="2"/>
    <s v="Life Sciences"/>
    <n v="4"/>
    <n v="4"/>
    <x v="1"/>
    <n v="6062"/>
    <n v="9"/>
    <n v="3"/>
    <n v="4"/>
    <n v="0"/>
    <x v="0"/>
    <x v="0"/>
    <x v="3"/>
    <n v="3.6666666666666665"/>
    <s v="College"/>
    <s v="Very High"/>
    <x v="0"/>
    <s v="High"/>
  </r>
  <r>
    <n v="28"/>
    <x v="0"/>
    <x v="1"/>
    <n v="2"/>
    <n v="4"/>
    <s v="Medical"/>
    <n v="3"/>
    <n v="3"/>
    <x v="0"/>
    <n v="4382"/>
    <n v="6"/>
    <n v="2"/>
    <n v="2"/>
    <n v="1"/>
    <x v="2"/>
    <x v="0"/>
    <x v="3"/>
    <n v="2.6666666666666665"/>
    <s v="Master"/>
    <s v="High"/>
    <x v="2"/>
    <s v="Medium"/>
  </r>
  <r>
    <n v="36"/>
    <x v="1"/>
    <x v="2"/>
    <n v="13"/>
    <n v="3"/>
    <s v="Human Resources"/>
    <n v="3"/>
    <n v="2"/>
    <x v="1"/>
    <n v="2143"/>
    <n v="4"/>
    <n v="3"/>
    <n v="5"/>
    <n v="0"/>
    <x v="0"/>
    <x v="1"/>
    <x v="0"/>
    <n v="2.6666666666666665"/>
    <s v="Bachelor"/>
    <s v="High"/>
    <x v="1"/>
    <s v="High"/>
  </r>
  <r>
    <n v="32"/>
    <x v="1"/>
    <x v="1"/>
    <n v="4"/>
    <n v="3"/>
    <s v="Life Sciences"/>
    <n v="3"/>
    <n v="3"/>
    <x v="1"/>
    <n v="6162"/>
    <n v="1"/>
    <n v="3"/>
    <n v="14"/>
    <n v="0"/>
    <x v="2"/>
    <x v="0"/>
    <x v="1"/>
    <n v="3"/>
    <s v="Bachelor"/>
    <s v="High"/>
    <x v="2"/>
    <s v="High"/>
  </r>
  <r>
    <n v="40"/>
    <x v="1"/>
    <x v="1"/>
    <n v="16"/>
    <n v="4"/>
    <s v="Medical"/>
    <n v="1"/>
    <n v="3"/>
    <x v="0"/>
    <n v="5094"/>
    <n v="6"/>
    <n v="3"/>
    <n v="1"/>
    <n v="0"/>
    <x v="0"/>
    <x v="0"/>
    <x v="2"/>
    <n v="2.3333333333333335"/>
    <s v="Master"/>
    <s v="Low"/>
    <x v="2"/>
    <s v="High"/>
  </r>
  <r>
    <n v="30"/>
    <x v="1"/>
    <x v="1"/>
    <n v="2"/>
    <n v="3"/>
    <s v="Medical"/>
    <n v="3"/>
    <n v="4"/>
    <x v="0"/>
    <n v="6877"/>
    <n v="5"/>
    <n v="2"/>
    <n v="0"/>
    <n v="0"/>
    <x v="2"/>
    <x v="0"/>
    <x v="2"/>
    <n v="3"/>
    <s v="Bachelor"/>
    <s v="High"/>
    <x v="0"/>
    <s v="Medium"/>
  </r>
  <r>
    <n v="45"/>
    <x v="1"/>
    <x v="1"/>
    <n v="2"/>
    <n v="3"/>
    <s v="Life Sciences"/>
    <n v="2"/>
    <n v="3"/>
    <x v="0"/>
    <n v="2274"/>
    <n v="1"/>
    <n v="3"/>
    <n v="1"/>
    <n v="0"/>
    <x v="1"/>
    <x v="1"/>
    <x v="2"/>
    <n v="2.6666666666666665"/>
    <s v="Bachelor"/>
    <s v="Medium"/>
    <x v="2"/>
    <s v="High"/>
  </r>
  <r>
    <n v="42"/>
    <x v="1"/>
    <x v="1"/>
    <n v="29"/>
    <n v="3"/>
    <s v="Life Sciences"/>
    <n v="2"/>
    <n v="2"/>
    <x v="1"/>
    <n v="4434"/>
    <n v="1"/>
    <n v="2"/>
    <n v="9"/>
    <n v="0"/>
    <x v="0"/>
    <x v="0"/>
    <x v="0"/>
    <n v="2"/>
    <s v="Bachelor"/>
    <s v="Medium"/>
    <x v="1"/>
    <s v="Medium"/>
  </r>
  <r>
    <n v="38"/>
    <x v="1"/>
    <x v="1"/>
    <n v="12"/>
    <n v="3"/>
    <s v="Life Sciences"/>
    <n v="1"/>
    <n v="1"/>
    <x v="2"/>
    <n v="6288"/>
    <n v="2"/>
    <n v="2"/>
    <n v="4"/>
    <n v="0"/>
    <x v="0"/>
    <x v="0"/>
    <x v="3"/>
    <n v="1.3333333333333333"/>
    <s v="Bachelor"/>
    <s v="Low"/>
    <x v="3"/>
    <s v="Medium"/>
  </r>
  <r>
    <n v="34"/>
    <x v="1"/>
    <x v="1"/>
    <n v="16"/>
    <n v="4"/>
    <s v="Life Sciences"/>
    <n v="3"/>
    <n v="4"/>
    <x v="0"/>
    <n v="2553"/>
    <n v="1"/>
    <n v="3"/>
    <n v="5"/>
    <n v="0"/>
    <x v="2"/>
    <x v="1"/>
    <x v="0"/>
    <n v="3.3333333333333335"/>
    <s v="Master"/>
    <s v="High"/>
    <x v="0"/>
    <s v="High"/>
  </r>
  <r>
    <n v="49"/>
    <x v="0"/>
    <x v="0"/>
    <n v="11"/>
    <n v="3"/>
    <s v="Marketing"/>
    <n v="3"/>
    <n v="4"/>
    <x v="1"/>
    <n v="7654"/>
    <n v="1"/>
    <n v="4"/>
    <n v="9"/>
    <n v="1"/>
    <x v="1"/>
    <x v="2"/>
    <x v="0"/>
    <n v="3.6666666666666665"/>
    <s v="Bachelor"/>
    <s v="High"/>
    <x v="0"/>
    <s v="Very High"/>
  </r>
  <r>
    <n v="55"/>
    <x v="0"/>
    <x v="0"/>
    <n v="2"/>
    <n v="1"/>
    <s v="Medical"/>
    <n v="3"/>
    <n v="4"/>
    <x v="0"/>
    <n v="5160"/>
    <n v="4"/>
    <n v="2"/>
    <n v="9"/>
    <n v="1"/>
    <x v="3"/>
    <x v="0"/>
    <x v="0"/>
    <n v="3"/>
    <s v="Below College"/>
    <s v="High"/>
    <x v="0"/>
    <s v="Medium"/>
  </r>
  <r>
    <n v="43"/>
    <x v="1"/>
    <x v="1"/>
    <n v="14"/>
    <n v="2"/>
    <s v="Life Sciences"/>
    <n v="2"/>
    <n v="1"/>
    <x v="1"/>
    <n v="17159"/>
    <n v="6"/>
    <n v="3"/>
    <n v="4"/>
    <n v="0"/>
    <x v="0"/>
    <x v="2"/>
    <x v="3"/>
    <n v="2"/>
    <s v="College"/>
    <s v="Medium"/>
    <x v="3"/>
    <s v="High"/>
  </r>
  <r>
    <n v="27"/>
    <x v="1"/>
    <x v="1"/>
    <n v="5"/>
    <n v="1"/>
    <s v="Technical Degree"/>
    <n v="3"/>
    <n v="4"/>
    <x v="2"/>
    <n v="12808"/>
    <n v="1"/>
    <n v="3"/>
    <n v="9"/>
    <n v="0"/>
    <x v="2"/>
    <x v="2"/>
    <x v="0"/>
    <n v="3.3333333333333335"/>
    <s v="Below College"/>
    <s v="High"/>
    <x v="0"/>
    <s v="High"/>
  </r>
  <r>
    <n v="35"/>
    <x v="1"/>
    <x v="1"/>
    <n v="7"/>
    <n v="3"/>
    <s v="Other"/>
    <n v="3"/>
    <n v="3"/>
    <x v="0"/>
    <n v="10221"/>
    <n v="3"/>
    <n v="4"/>
    <n v="8"/>
    <n v="0"/>
    <x v="0"/>
    <x v="2"/>
    <x v="0"/>
    <n v="3.3333333333333335"/>
    <s v="Bachelor"/>
    <s v="High"/>
    <x v="2"/>
    <s v="Very High"/>
  </r>
  <r>
    <n v="28"/>
    <x v="1"/>
    <x v="0"/>
    <n v="2"/>
    <n v="4"/>
    <s v="Marketing"/>
    <n v="2"/>
    <n v="2"/>
    <x v="1"/>
    <n v="4779"/>
    <n v="1"/>
    <n v="3"/>
    <n v="8"/>
    <n v="0"/>
    <x v="2"/>
    <x v="0"/>
    <x v="0"/>
    <n v="2.3333333333333335"/>
    <s v="Master"/>
    <s v="Medium"/>
    <x v="1"/>
    <s v="High"/>
  </r>
  <r>
    <n v="34"/>
    <x v="1"/>
    <x v="2"/>
    <n v="3"/>
    <n v="2"/>
    <s v="Human Resources"/>
    <n v="3"/>
    <n v="4"/>
    <x v="1"/>
    <n v="3737"/>
    <n v="0"/>
    <n v="1"/>
    <n v="3"/>
    <n v="0"/>
    <x v="2"/>
    <x v="0"/>
    <x v="3"/>
    <n v="2.6666666666666665"/>
    <s v="College"/>
    <s v="High"/>
    <x v="0"/>
    <s v="Low"/>
  </r>
  <r>
    <n v="26"/>
    <x v="0"/>
    <x v="1"/>
    <n v="5"/>
    <n v="2"/>
    <s v="Medical"/>
    <n v="3"/>
    <n v="3"/>
    <x v="1"/>
    <n v="2366"/>
    <n v="1"/>
    <n v="3"/>
    <n v="8"/>
    <n v="1"/>
    <x v="2"/>
    <x v="1"/>
    <x v="0"/>
    <n v="3"/>
    <s v="College"/>
    <s v="High"/>
    <x v="2"/>
    <s v="High"/>
  </r>
  <r>
    <n v="27"/>
    <x v="1"/>
    <x v="1"/>
    <n v="3"/>
    <n v="3"/>
    <s v="Medical"/>
    <n v="4"/>
    <n v="4"/>
    <x v="1"/>
    <n v="1706"/>
    <n v="1"/>
    <n v="2"/>
    <n v="0"/>
    <n v="0"/>
    <x v="2"/>
    <x v="1"/>
    <x v="2"/>
    <n v="3.3333333333333335"/>
    <s v="Bachelor"/>
    <s v="Very High"/>
    <x v="0"/>
    <s v="Medium"/>
  </r>
  <r>
    <n v="51"/>
    <x v="1"/>
    <x v="0"/>
    <n v="26"/>
    <n v="4"/>
    <s v="Marketing"/>
    <n v="1"/>
    <n v="3"/>
    <x v="1"/>
    <n v="16307"/>
    <n v="2"/>
    <n v="2"/>
    <n v="20"/>
    <n v="0"/>
    <x v="1"/>
    <x v="2"/>
    <x v="1"/>
    <n v="2"/>
    <s v="Master"/>
    <s v="Low"/>
    <x v="2"/>
    <s v="Medium"/>
  </r>
  <r>
    <n v="44"/>
    <x v="1"/>
    <x v="1"/>
    <n v="4"/>
    <n v="3"/>
    <s v="Medical"/>
    <n v="4"/>
    <n v="2"/>
    <x v="0"/>
    <n v="5933"/>
    <n v="9"/>
    <n v="2"/>
    <n v="5"/>
    <n v="0"/>
    <x v="0"/>
    <x v="0"/>
    <x v="0"/>
    <n v="2.6666666666666665"/>
    <s v="Bachelor"/>
    <s v="Very High"/>
    <x v="1"/>
    <s v="Medium"/>
  </r>
  <r>
    <n v="25"/>
    <x v="1"/>
    <x v="1"/>
    <n v="2"/>
    <n v="1"/>
    <s v="Medical"/>
    <n v="1"/>
    <n v="1"/>
    <x v="0"/>
    <n v="3424"/>
    <n v="7"/>
    <n v="2"/>
    <n v="4"/>
    <n v="0"/>
    <x v="2"/>
    <x v="0"/>
    <x v="3"/>
    <n v="1.3333333333333333"/>
    <s v="Below College"/>
    <s v="Low"/>
    <x v="3"/>
    <s v="Medium"/>
  </r>
  <r>
    <n v="33"/>
    <x v="1"/>
    <x v="0"/>
    <n v="1"/>
    <n v="3"/>
    <s v="Medical"/>
    <n v="1"/>
    <n v="1"/>
    <x v="2"/>
    <n v="4037"/>
    <n v="1"/>
    <n v="3"/>
    <n v="9"/>
    <n v="0"/>
    <x v="2"/>
    <x v="0"/>
    <x v="0"/>
    <n v="1.6666666666666667"/>
    <s v="Bachelor"/>
    <s v="Low"/>
    <x v="3"/>
    <s v="High"/>
  </r>
  <r>
    <n v="35"/>
    <x v="1"/>
    <x v="1"/>
    <n v="27"/>
    <n v="1"/>
    <s v="Medical"/>
    <n v="3"/>
    <n v="1"/>
    <x v="0"/>
    <n v="2559"/>
    <n v="1"/>
    <n v="2"/>
    <n v="6"/>
    <n v="0"/>
    <x v="0"/>
    <x v="1"/>
    <x v="0"/>
    <n v="2"/>
    <s v="Below College"/>
    <s v="High"/>
    <x v="3"/>
    <s v="Medium"/>
  </r>
  <r>
    <n v="36"/>
    <x v="1"/>
    <x v="0"/>
    <n v="1"/>
    <n v="2"/>
    <s v="Life Sciences"/>
    <n v="2"/>
    <n v="4"/>
    <x v="1"/>
    <n v="6201"/>
    <n v="1"/>
    <n v="2"/>
    <n v="18"/>
    <n v="0"/>
    <x v="0"/>
    <x v="0"/>
    <x v="1"/>
    <n v="2.6666666666666665"/>
    <s v="College"/>
    <s v="Medium"/>
    <x v="0"/>
    <s v="Medium"/>
  </r>
  <r>
    <n v="32"/>
    <x v="1"/>
    <x v="0"/>
    <n v="13"/>
    <n v="4"/>
    <s v="Life Sciences"/>
    <n v="2"/>
    <n v="4"/>
    <x v="2"/>
    <n v="4403"/>
    <n v="2"/>
    <n v="2"/>
    <n v="5"/>
    <n v="0"/>
    <x v="2"/>
    <x v="0"/>
    <x v="0"/>
    <n v="2.6666666666666665"/>
    <s v="Master"/>
    <s v="Medium"/>
    <x v="0"/>
    <s v="Medium"/>
  </r>
  <r>
    <n v="30"/>
    <x v="1"/>
    <x v="1"/>
    <n v="5"/>
    <n v="4"/>
    <s v="Life Sciences"/>
    <n v="2"/>
    <n v="4"/>
    <x v="2"/>
    <n v="3761"/>
    <n v="9"/>
    <n v="2"/>
    <n v="5"/>
    <n v="0"/>
    <x v="2"/>
    <x v="0"/>
    <x v="0"/>
    <n v="2.6666666666666665"/>
    <s v="Master"/>
    <s v="Medium"/>
    <x v="0"/>
    <s v="Medium"/>
  </r>
  <r>
    <n v="53"/>
    <x v="1"/>
    <x v="0"/>
    <n v="7"/>
    <n v="2"/>
    <s v="Marketing"/>
    <n v="1"/>
    <n v="4"/>
    <x v="1"/>
    <n v="10934"/>
    <n v="7"/>
    <n v="3"/>
    <n v="5"/>
    <n v="0"/>
    <x v="1"/>
    <x v="2"/>
    <x v="0"/>
    <n v="2.6666666666666665"/>
    <s v="College"/>
    <s v="Low"/>
    <x v="0"/>
    <s v="High"/>
  </r>
  <r>
    <n v="45"/>
    <x v="1"/>
    <x v="0"/>
    <n v="9"/>
    <n v="3"/>
    <s v="Marketing"/>
    <n v="4"/>
    <n v="1"/>
    <x v="2"/>
    <n v="10761"/>
    <n v="4"/>
    <n v="3"/>
    <n v="5"/>
    <n v="0"/>
    <x v="1"/>
    <x v="2"/>
    <x v="0"/>
    <n v="2.6666666666666665"/>
    <s v="Bachelor"/>
    <s v="Very High"/>
    <x v="3"/>
    <s v="High"/>
  </r>
  <r>
    <n v="32"/>
    <x v="1"/>
    <x v="1"/>
    <n v="8"/>
    <n v="2"/>
    <s v="Medical"/>
    <n v="3"/>
    <n v="3"/>
    <x v="1"/>
    <n v="5175"/>
    <n v="5"/>
    <n v="2"/>
    <n v="5"/>
    <n v="0"/>
    <x v="2"/>
    <x v="0"/>
    <x v="0"/>
    <n v="2.6666666666666665"/>
    <s v="College"/>
    <s v="High"/>
    <x v="2"/>
    <s v="Medium"/>
  </r>
  <r>
    <n v="52"/>
    <x v="1"/>
    <x v="1"/>
    <n v="25"/>
    <n v="4"/>
    <s v="Medical"/>
    <n v="3"/>
    <n v="4"/>
    <x v="1"/>
    <n v="13826"/>
    <n v="3"/>
    <n v="3"/>
    <n v="9"/>
    <n v="0"/>
    <x v="1"/>
    <x v="2"/>
    <x v="0"/>
    <n v="3.3333333333333335"/>
    <s v="Master"/>
    <s v="High"/>
    <x v="0"/>
    <s v="High"/>
  </r>
  <r>
    <n v="37"/>
    <x v="1"/>
    <x v="0"/>
    <n v="16"/>
    <n v="4"/>
    <s v="Marketing"/>
    <n v="4"/>
    <n v="3"/>
    <x v="2"/>
    <n v="6334"/>
    <n v="4"/>
    <n v="3"/>
    <n v="1"/>
    <n v="0"/>
    <x v="0"/>
    <x v="0"/>
    <x v="2"/>
    <n v="3.3333333333333335"/>
    <s v="Master"/>
    <s v="Very High"/>
    <x v="2"/>
    <s v="High"/>
  </r>
  <r>
    <n v="28"/>
    <x v="1"/>
    <x v="2"/>
    <n v="8"/>
    <n v="2"/>
    <s v="Medical"/>
    <n v="2"/>
    <n v="4"/>
    <x v="2"/>
    <n v="4936"/>
    <n v="1"/>
    <n v="3"/>
    <n v="5"/>
    <n v="0"/>
    <x v="2"/>
    <x v="0"/>
    <x v="0"/>
    <n v="3"/>
    <s v="College"/>
    <s v="Medium"/>
    <x v="0"/>
    <s v="High"/>
  </r>
  <r>
    <n v="22"/>
    <x v="1"/>
    <x v="1"/>
    <n v="1"/>
    <n v="2"/>
    <s v="Life Sciences"/>
    <n v="4"/>
    <n v="4"/>
    <x v="1"/>
    <n v="4775"/>
    <n v="6"/>
    <n v="1"/>
    <n v="2"/>
    <n v="0"/>
    <x v="4"/>
    <x v="0"/>
    <x v="3"/>
    <n v="3"/>
    <s v="College"/>
    <s v="Very High"/>
    <x v="0"/>
    <s v="Low"/>
  </r>
  <r>
    <n v="44"/>
    <x v="1"/>
    <x v="1"/>
    <n v="8"/>
    <n v="4"/>
    <s v="Life Sciences"/>
    <n v="1"/>
    <n v="4"/>
    <x v="1"/>
    <n v="2818"/>
    <n v="2"/>
    <n v="2"/>
    <n v="3"/>
    <n v="0"/>
    <x v="0"/>
    <x v="1"/>
    <x v="3"/>
    <n v="2.3333333333333335"/>
    <s v="Master"/>
    <s v="Low"/>
    <x v="0"/>
    <s v="Medium"/>
  </r>
  <r>
    <n v="42"/>
    <x v="1"/>
    <x v="1"/>
    <n v="2"/>
    <n v="1"/>
    <s v="Medical"/>
    <n v="2"/>
    <n v="4"/>
    <x v="0"/>
    <n v="2515"/>
    <n v="5"/>
    <n v="3"/>
    <n v="2"/>
    <n v="0"/>
    <x v="0"/>
    <x v="1"/>
    <x v="3"/>
    <n v="3"/>
    <s v="Below College"/>
    <s v="Medium"/>
    <x v="0"/>
    <s v="High"/>
  </r>
  <r>
    <n v="36"/>
    <x v="1"/>
    <x v="2"/>
    <n v="8"/>
    <n v="3"/>
    <s v="Life Sciences"/>
    <n v="1"/>
    <n v="1"/>
    <x v="1"/>
    <n v="2342"/>
    <n v="0"/>
    <n v="3"/>
    <n v="5"/>
    <n v="0"/>
    <x v="0"/>
    <x v="1"/>
    <x v="0"/>
    <n v="1.6666666666666667"/>
    <s v="Bachelor"/>
    <s v="Low"/>
    <x v="3"/>
    <s v="High"/>
  </r>
  <r>
    <n v="25"/>
    <x v="1"/>
    <x v="0"/>
    <n v="3"/>
    <n v="1"/>
    <s v="Other"/>
    <n v="3"/>
    <n v="1"/>
    <x v="1"/>
    <n v="4194"/>
    <n v="1"/>
    <n v="3"/>
    <n v="5"/>
    <n v="0"/>
    <x v="2"/>
    <x v="0"/>
    <x v="0"/>
    <n v="2.3333333333333335"/>
    <s v="Below College"/>
    <s v="High"/>
    <x v="3"/>
    <s v="High"/>
  </r>
  <r>
    <n v="35"/>
    <x v="1"/>
    <x v="1"/>
    <n v="9"/>
    <n v="3"/>
    <s v="Life Sciences"/>
    <n v="4"/>
    <n v="3"/>
    <x v="1"/>
    <n v="10685"/>
    <n v="1"/>
    <n v="3"/>
    <n v="17"/>
    <n v="0"/>
    <x v="0"/>
    <x v="2"/>
    <x v="1"/>
    <n v="3.3333333333333335"/>
    <s v="Bachelor"/>
    <s v="Very High"/>
    <x v="2"/>
    <s v="High"/>
  </r>
  <r>
    <n v="35"/>
    <x v="0"/>
    <x v="1"/>
    <n v="25"/>
    <n v="4"/>
    <s v="Life Sciences"/>
    <n v="4"/>
    <n v="2"/>
    <x v="2"/>
    <n v="2022"/>
    <n v="1"/>
    <n v="2"/>
    <n v="10"/>
    <n v="1"/>
    <x v="0"/>
    <x v="1"/>
    <x v="1"/>
    <n v="2.6666666666666665"/>
    <s v="Master"/>
    <s v="Very High"/>
    <x v="1"/>
    <s v="Medium"/>
  </r>
  <r>
    <n v="32"/>
    <x v="1"/>
    <x v="1"/>
    <n v="1"/>
    <n v="3"/>
    <s v="Life Sciences"/>
    <n v="4"/>
    <n v="4"/>
    <x v="2"/>
    <n v="2314"/>
    <n v="0"/>
    <n v="3"/>
    <n v="3"/>
    <n v="0"/>
    <x v="2"/>
    <x v="1"/>
    <x v="3"/>
    <n v="3.6666666666666665"/>
    <s v="Bachelor"/>
    <s v="Very High"/>
    <x v="0"/>
    <s v="High"/>
  </r>
  <r>
    <n v="25"/>
    <x v="1"/>
    <x v="0"/>
    <n v="4"/>
    <n v="1"/>
    <s v="Marketing"/>
    <n v="3"/>
    <n v="1"/>
    <x v="1"/>
    <n v="4256"/>
    <n v="1"/>
    <n v="4"/>
    <n v="5"/>
    <n v="0"/>
    <x v="2"/>
    <x v="0"/>
    <x v="0"/>
    <n v="2.6666666666666665"/>
    <s v="Below College"/>
    <s v="High"/>
    <x v="3"/>
    <s v="Very High"/>
  </r>
  <r>
    <n v="49"/>
    <x v="1"/>
    <x v="1"/>
    <n v="1"/>
    <n v="3"/>
    <s v="Technical Degree"/>
    <n v="3"/>
    <n v="1"/>
    <x v="1"/>
    <n v="3580"/>
    <n v="2"/>
    <n v="3"/>
    <n v="4"/>
    <n v="0"/>
    <x v="1"/>
    <x v="0"/>
    <x v="3"/>
    <n v="2.3333333333333335"/>
    <s v="Bachelor"/>
    <s v="High"/>
    <x v="3"/>
    <s v="High"/>
  </r>
  <r>
    <n v="24"/>
    <x v="1"/>
    <x v="1"/>
    <n v="4"/>
    <n v="1"/>
    <s v="Life Sciences"/>
    <n v="1"/>
    <n v="4"/>
    <x v="1"/>
    <n v="3162"/>
    <n v="0"/>
    <n v="2"/>
    <n v="5"/>
    <n v="0"/>
    <x v="4"/>
    <x v="0"/>
    <x v="0"/>
    <n v="2.3333333333333335"/>
    <s v="Below College"/>
    <s v="Low"/>
    <x v="0"/>
    <s v="Medium"/>
  </r>
  <r>
    <n v="32"/>
    <x v="1"/>
    <x v="0"/>
    <n v="5"/>
    <n v="2"/>
    <s v="Life Sciences"/>
    <n v="2"/>
    <n v="2"/>
    <x v="1"/>
    <n v="6524"/>
    <n v="1"/>
    <n v="3"/>
    <n v="10"/>
    <n v="0"/>
    <x v="2"/>
    <x v="0"/>
    <x v="1"/>
    <n v="2.3333333333333335"/>
    <s v="College"/>
    <s v="Medium"/>
    <x v="1"/>
    <s v="High"/>
  </r>
  <r>
    <n v="38"/>
    <x v="1"/>
    <x v="0"/>
    <n v="9"/>
    <n v="3"/>
    <s v="Marketing"/>
    <n v="2"/>
    <n v="2"/>
    <x v="1"/>
    <n v="2899"/>
    <n v="0"/>
    <n v="3"/>
    <n v="2"/>
    <n v="0"/>
    <x v="0"/>
    <x v="1"/>
    <x v="3"/>
    <n v="2.3333333333333335"/>
    <s v="Bachelor"/>
    <s v="Medium"/>
    <x v="1"/>
    <s v="High"/>
  </r>
  <r>
    <n v="42"/>
    <x v="1"/>
    <x v="1"/>
    <n v="3"/>
    <n v="3"/>
    <s v="Life Sciences"/>
    <n v="3"/>
    <n v="4"/>
    <x v="1"/>
    <n v="5231"/>
    <n v="2"/>
    <n v="2"/>
    <n v="5"/>
    <n v="0"/>
    <x v="0"/>
    <x v="0"/>
    <x v="0"/>
    <n v="3"/>
    <s v="Bachelor"/>
    <s v="High"/>
    <x v="0"/>
    <s v="Medium"/>
  </r>
  <r>
    <n v="31"/>
    <x v="1"/>
    <x v="1"/>
    <n v="11"/>
    <n v="4"/>
    <s v="Life Sciences"/>
    <n v="4"/>
    <n v="4"/>
    <x v="1"/>
    <n v="2356"/>
    <n v="3"/>
    <n v="3"/>
    <n v="6"/>
    <n v="0"/>
    <x v="2"/>
    <x v="1"/>
    <x v="0"/>
    <n v="3.6666666666666665"/>
    <s v="Master"/>
    <s v="Very High"/>
    <x v="0"/>
    <s v="High"/>
  </r>
  <r>
    <n v="29"/>
    <x v="0"/>
    <x v="0"/>
    <n v="1"/>
    <n v="3"/>
    <s v="Medical"/>
    <n v="2"/>
    <n v="3"/>
    <x v="2"/>
    <n v="2800"/>
    <n v="6"/>
    <n v="3"/>
    <n v="3"/>
    <n v="1"/>
    <x v="2"/>
    <x v="1"/>
    <x v="3"/>
    <n v="2.6666666666666665"/>
    <s v="Bachelor"/>
    <s v="Medium"/>
    <x v="2"/>
    <s v="High"/>
  </r>
  <r>
    <n v="53"/>
    <x v="1"/>
    <x v="0"/>
    <n v="8"/>
    <n v="3"/>
    <s v="Marketing"/>
    <n v="1"/>
    <n v="4"/>
    <x v="1"/>
    <n v="11836"/>
    <n v="5"/>
    <n v="3"/>
    <n v="2"/>
    <n v="0"/>
    <x v="1"/>
    <x v="2"/>
    <x v="3"/>
    <n v="2.6666666666666665"/>
    <s v="Bachelor"/>
    <s v="Low"/>
    <x v="0"/>
    <s v="High"/>
  </r>
  <r>
    <n v="35"/>
    <x v="1"/>
    <x v="1"/>
    <n v="25"/>
    <n v="3"/>
    <s v="Technical Degree"/>
    <n v="4"/>
    <n v="2"/>
    <x v="1"/>
    <n v="10903"/>
    <n v="3"/>
    <n v="3"/>
    <n v="13"/>
    <n v="0"/>
    <x v="0"/>
    <x v="2"/>
    <x v="1"/>
    <n v="3"/>
    <s v="Bachelor"/>
    <s v="Very High"/>
    <x v="1"/>
    <s v="High"/>
  </r>
  <r>
    <n v="37"/>
    <x v="1"/>
    <x v="0"/>
    <n v="21"/>
    <n v="2"/>
    <s v="Medical"/>
    <n v="3"/>
    <n v="4"/>
    <x v="1"/>
    <n v="2973"/>
    <n v="5"/>
    <n v="3"/>
    <n v="5"/>
    <n v="0"/>
    <x v="0"/>
    <x v="1"/>
    <x v="0"/>
    <n v="3.3333333333333335"/>
    <s v="College"/>
    <s v="High"/>
    <x v="0"/>
    <s v="High"/>
  </r>
  <r>
    <n v="53"/>
    <x v="1"/>
    <x v="1"/>
    <n v="23"/>
    <n v="4"/>
    <s v="Life Sciences"/>
    <n v="4"/>
    <n v="4"/>
    <x v="0"/>
    <n v="14275"/>
    <n v="6"/>
    <n v="3"/>
    <n v="12"/>
    <n v="0"/>
    <x v="1"/>
    <x v="2"/>
    <x v="1"/>
    <n v="3.6666666666666665"/>
    <s v="Master"/>
    <s v="Very High"/>
    <x v="0"/>
    <s v="High"/>
  </r>
  <r>
    <n v="43"/>
    <x v="1"/>
    <x v="1"/>
    <n v="1"/>
    <n v="3"/>
    <s v="Life Sciences"/>
    <n v="4"/>
    <n v="4"/>
    <x v="1"/>
    <n v="5562"/>
    <n v="4"/>
    <n v="2"/>
    <n v="5"/>
    <n v="0"/>
    <x v="0"/>
    <x v="0"/>
    <x v="0"/>
    <n v="3.3333333333333335"/>
    <s v="Bachelor"/>
    <s v="Very High"/>
    <x v="0"/>
    <s v="Medium"/>
  </r>
  <r>
    <n v="47"/>
    <x v="1"/>
    <x v="0"/>
    <n v="2"/>
    <n v="2"/>
    <s v="Marketing"/>
    <n v="3"/>
    <n v="4"/>
    <x v="1"/>
    <n v="4537"/>
    <n v="0"/>
    <n v="3"/>
    <n v="7"/>
    <n v="0"/>
    <x v="1"/>
    <x v="0"/>
    <x v="0"/>
    <n v="3.3333333333333335"/>
    <s v="College"/>
    <s v="High"/>
    <x v="0"/>
    <s v="High"/>
  </r>
  <r>
    <n v="37"/>
    <x v="1"/>
    <x v="0"/>
    <n v="19"/>
    <n v="2"/>
    <s v="Medical"/>
    <n v="1"/>
    <n v="2"/>
    <x v="0"/>
    <n v="7642"/>
    <n v="1"/>
    <n v="3"/>
    <n v="10"/>
    <n v="0"/>
    <x v="0"/>
    <x v="2"/>
    <x v="1"/>
    <n v="2"/>
    <s v="College"/>
    <s v="Low"/>
    <x v="1"/>
    <s v="High"/>
  </r>
  <r>
    <n v="50"/>
    <x v="1"/>
    <x v="1"/>
    <n v="2"/>
    <n v="4"/>
    <s v="Life Sciences"/>
    <n v="1"/>
    <n v="1"/>
    <x v="2"/>
    <n v="17924"/>
    <n v="1"/>
    <n v="3"/>
    <n v="31"/>
    <n v="0"/>
    <x v="1"/>
    <x v="2"/>
    <x v="1"/>
    <n v="1.6666666666666667"/>
    <s v="Master"/>
    <s v="Low"/>
    <x v="3"/>
    <s v="High"/>
  </r>
  <r>
    <n v="39"/>
    <x v="1"/>
    <x v="2"/>
    <n v="2"/>
    <n v="3"/>
    <s v="Life Sciences"/>
    <n v="4"/>
    <n v="4"/>
    <x v="1"/>
    <n v="5204"/>
    <n v="8"/>
    <n v="3"/>
    <n v="5"/>
    <n v="0"/>
    <x v="0"/>
    <x v="0"/>
    <x v="0"/>
    <n v="3.6666666666666665"/>
    <s v="Bachelor"/>
    <s v="Very High"/>
    <x v="0"/>
    <s v="High"/>
  </r>
  <r>
    <n v="33"/>
    <x v="1"/>
    <x v="2"/>
    <n v="3"/>
    <n v="2"/>
    <s v="Human Resources"/>
    <n v="4"/>
    <n v="2"/>
    <x v="2"/>
    <n v="2277"/>
    <n v="3"/>
    <n v="4"/>
    <n v="4"/>
    <n v="0"/>
    <x v="2"/>
    <x v="1"/>
    <x v="3"/>
    <n v="3.3333333333333335"/>
    <s v="College"/>
    <s v="Very High"/>
    <x v="1"/>
    <s v="Very High"/>
  </r>
  <r>
    <n v="32"/>
    <x v="0"/>
    <x v="1"/>
    <n v="25"/>
    <n v="4"/>
    <s v="Life Sciences"/>
    <n v="1"/>
    <n v="4"/>
    <x v="0"/>
    <n v="2795"/>
    <n v="1"/>
    <n v="1"/>
    <n v="1"/>
    <n v="1"/>
    <x v="2"/>
    <x v="1"/>
    <x v="2"/>
    <n v="2"/>
    <s v="Master"/>
    <s v="Low"/>
    <x v="0"/>
    <s v="Low"/>
  </r>
  <r>
    <n v="29"/>
    <x v="1"/>
    <x v="1"/>
    <n v="7"/>
    <n v="1"/>
    <s v="Medical"/>
    <n v="1"/>
    <n v="4"/>
    <x v="2"/>
    <n v="2532"/>
    <n v="6"/>
    <n v="3"/>
    <n v="4"/>
    <n v="0"/>
    <x v="2"/>
    <x v="1"/>
    <x v="3"/>
    <n v="2.6666666666666665"/>
    <s v="Below College"/>
    <s v="Low"/>
    <x v="0"/>
    <s v="High"/>
  </r>
  <r>
    <n v="44"/>
    <x v="1"/>
    <x v="1"/>
    <n v="9"/>
    <n v="2"/>
    <s v="Life Sciences"/>
    <n v="2"/>
    <n v="1"/>
    <x v="1"/>
    <n v="2559"/>
    <n v="1"/>
    <n v="3"/>
    <n v="8"/>
    <n v="0"/>
    <x v="0"/>
    <x v="1"/>
    <x v="0"/>
    <n v="2"/>
    <s v="College"/>
    <s v="Medium"/>
    <x v="3"/>
    <s v="High"/>
  </r>
  <r>
    <n v="28"/>
    <x v="1"/>
    <x v="0"/>
    <n v="5"/>
    <n v="4"/>
    <s v="Medical"/>
    <n v="1"/>
    <n v="4"/>
    <x v="0"/>
    <n v="4908"/>
    <n v="1"/>
    <n v="3"/>
    <n v="4"/>
    <n v="0"/>
    <x v="2"/>
    <x v="0"/>
    <x v="3"/>
    <n v="2.6666666666666665"/>
    <s v="Master"/>
    <s v="Low"/>
    <x v="0"/>
    <s v="High"/>
  </r>
  <r>
    <n v="58"/>
    <x v="0"/>
    <x v="1"/>
    <n v="2"/>
    <n v="1"/>
    <s v="Life Sciences"/>
    <n v="4"/>
    <n v="4"/>
    <x v="2"/>
    <n v="2380"/>
    <n v="9"/>
    <n v="2"/>
    <n v="1"/>
    <n v="1"/>
    <x v="3"/>
    <x v="1"/>
    <x v="2"/>
    <n v="3.3333333333333335"/>
    <s v="Below College"/>
    <s v="Very High"/>
    <x v="0"/>
    <s v="Medium"/>
  </r>
  <r>
    <n v="43"/>
    <x v="1"/>
    <x v="1"/>
    <n v="8"/>
    <n v="3"/>
    <s v="Life Sciences"/>
    <n v="1"/>
    <n v="2"/>
    <x v="2"/>
    <n v="4765"/>
    <n v="4"/>
    <n v="4"/>
    <n v="1"/>
    <n v="0"/>
    <x v="0"/>
    <x v="0"/>
    <x v="2"/>
    <n v="2.3333333333333335"/>
    <s v="Bachelor"/>
    <s v="Low"/>
    <x v="1"/>
    <s v="Very High"/>
  </r>
  <r>
    <n v="20"/>
    <x v="0"/>
    <x v="0"/>
    <n v="2"/>
    <n v="3"/>
    <s v="Medical"/>
    <n v="3"/>
    <n v="3"/>
    <x v="0"/>
    <n v="2044"/>
    <n v="1"/>
    <n v="2"/>
    <n v="2"/>
    <n v="1"/>
    <x v="4"/>
    <x v="1"/>
    <x v="3"/>
    <n v="2.6666666666666665"/>
    <s v="Bachelor"/>
    <s v="High"/>
    <x v="2"/>
    <s v="Medium"/>
  </r>
  <r>
    <n v="21"/>
    <x v="0"/>
    <x v="1"/>
    <n v="18"/>
    <n v="1"/>
    <s v="Other"/>
    <n v="4"/>
    <n v="4"/>
    <x v="0"/>
    <n v="2693"/>
    <n v="1"/>
    <n v="2"/>
    <n v="1"/>
    <n v="1"/>
    <x v="4"/>
    <x v="1"/>
    <x v="2"/>
    <n v="3.3333333333333335"/>
    <s v="Below College"/>
    <s v="Very High"/>
    <x v="0"/>
    <s v="Medium"/>
  </r>
  <r>
    <n v="36"/>
    <x v="1"/>
    <x v="1"/>
    <n v="14"/>
    <n v="1"/>
    <s v="Life Sciences"/>
    <n v="3"/>
    <n v="4"/>
    <x v="1"/>
    <n v="6586"/>
    <n v="0"/>
    <n v="2"/>
    <n v="16"/>
    <n v="0"/>
    <x v="0"/>
    <x v="0"/>
    <x v="1"/>
    <n v="3"/>
    <s v="Below College"/>
    <s v="High"/>
    <x v="0"/>
    <s v="Medium"/>
  </r>
  <r>
    <n v="47"/>
    <x v="1"/>
    <x v="0"/>
    <n v="2"/>
    <n v="4"/>
    <s v="Life Sciences"/>
    <n v="4"/>
    <n v="4"/>
    <x v="0"/>
    <n v="3294"/>
    <n v="1"/>
    <n v="2"/>
    <n v="3"/>
    <n v="0"/>
    <x v="1"/>
    <x v="0"/>
    <x v="3"/>
    <n v="3.3333333333333335"/>
    <s v="Master"/>
    <s v="Very High"/>
    <x v="0"/>
    <s v="Medium"/>
  </r>
  <r>
    <n v="22"/>
    <x v="0"/>
    <x v="1"/>
    <n v="3"/>
    <n v="1"/>
    <s v="Life Sciences"/>
    <n v="2"/>
    <n v="3"/>
    <x v="1"/>
    <n v="4171"/>
    <n v="0"/>
    <n v="4"/>
    <n v="3"/>
    <n v="1"/>
    <x v="4"/>
    <x v="0"/>
    <x v="3"/>
    <n v="3"/>
    <s v="Below College"/>
    <s v="Medium"/>
    <x v="2"/>
    <s v="Very High"/>
  </r>
  <r>
    <n v="41"/>
    <x v="0"/>
    <x v="1"/>
    <n v="2"/>
    <n v="4"/>
    <s v="Life Sciences"/>
    <n v="2"/>
    <n v="4"/>
    <x v="2"/>
    <n v="2778"/>
    <n v="4"/>
    <n v="2"/>
    <n v="7"/>
    <n v="1"/>
    <x v="0"/>
    <x v="1"/>
    <x v="0"/>
    <n v="2.6666666666666665"/>
    <s v="Master"/>
    <s v="Medium"/>
    <x v="0"/>
    <s v="Medium"/>
  </r>
  <r>
    <n v="28"/>
    <x v="1"/>
    <x v="1"/>
    <n v="9"/>
    <n v="3"/>
    <s v="Medical"/>
    <n v="3"/>
    <n v="3"/>
    <x v="2"/>
    <n v="2377"/>
    <n v="5"/>
    <n v="3"/>
    <n v="2"/>
    <n v="0"/>
    <x v="2"/>
    <x v="1"/>
    <x v="3"/>
    <n v="3"/>
    <s v="Bachelor"/>
    <s v="High"/>
    <x v="2"/>
    <s v="High"/>
  </r>
  <r>
    <n v="39"/>
    <x v="0"/>
    <x v="1"/>
    <n v="6"/>
    <n v="3"/>
    <s v="Medical"/>
    <n v="4"/>
    <n v="1"/>
    <x v="1"/>
    <n v="2404"/>
    <n v="7"/>
    <n v="1"/>
    <n v="2"/>
    <n v="1"/>
    <x v="0"/>
    <x v="1"/>
    <x v="3"/>
    <n v="2"/>
    <s v="Bachelor"/>
    <s v="Very High"/>
    <x v="3"/>
    <s v="Low"/>
  </r>
  <r>
    <n v="27"/>
    <x v="1"/>
    <x v="1"/>
    <n v="4"/>
    <n v="3"/>
    <s v="Life Sciences"/>
    <n v="2"/>
    <n v="3"/>
    <x v="0"/>
    <n v="2318"/>
    <n v="1"/>
    <n v="3"/>
    <n v="1"/>
    <n v="0"/>
    <x v="2"/>
    <x v="1"/>
    <x v="2"/>
    <n v="2.6666666666666665"/>
    <s v="Bachelor"/>
    <s v="Medium"/>
    <x v="2"/>
    <s v="High"/>
  </r>
  <r>
    <n v="34"/>
    <x v="1"/>
    <x v="1"/>
    <n v="10"/>
    <n v="3"/>
    <s v="Life Sciences"/>
    <n v="2"/>
    <n v="2"/>
    <x v="2"/>
    <n v="2008"/>
    <n v="1"/>
    <n v="3"/>
    <n v="1"/>
    <n v="0"/>
    <x v="2"/>
    <x v="1"/>
    <x v="2"/>
    <n v="2.3333333333333335"/>
    <s v="Bachelor"/>
    <s v="Medium"/>
    <x v="1"/>
    <s v="High"/>
  </r>
  <r>
    <n v="42"/>
    <x v="1"/>
    <x v="0"/>
    <n v="14"/>
    <n v="2"/>
    <s v="Medical"/>
    <n v="3"/>
    <n v="3"/>
    <x v="0"/>
    <n v="6244"/>
    <n v="7"/>
    <n v="3"/>
    <n v="5"/>
    <n v="0"/>
    <x v="0"/>
    <x v="0"/>
    <x v="0"/>
    <n v="3"/>
    <s v="College"/>
    <s v="High"/>
    <x v="2"/>
    <s v="High"/>
  </r>
  <r>
    <n v="33"/>
    <x v="1"/>
    <x v="1"/>
    <n v="1"/>
    <n v="4"/>
    <s v="Other"/>
    <n v="3"/>
    <n v="1"/>
    <x v="0"/>
    <n v="2799"/>
    <n v="3"/>
    <n v="3"/>
    <n v="3"/>
    <n v="0"/>
    <x v="2"/>
    <x v="1"/>
    <x v="3"/>
    <n v="2.3333333333333335"/>
    <s v="Master"/>
    <s v="High"/>
    <x v="3"/>
    <s v="High"/>
  </r>
  <r>
    <n v="58"/>
    <x v="1"/>
    <x v="1"/>
    <n v="5"/>
    <n v="3"/>
    <s v="Technical Degree"/>
    <n v="3"/>
    <n v="2"/>
    <x v="2"/>
    <n v="10552"/>
    <n v="2"/>
    <n v="3"/>
    <n v="6"/>
    <n v="0"/>
    <x v="3"/>
    <x v="2"/>
    <x v="0"/>
    <n v="2.6666666666666665"/>
    <s v="Bachelor"/>
    <s v="High"/>
    <x v="1"/>
    <s v="High"/>
  </r>
  <r>
    <n v="31"/>
    <x v="1"/>
    <x v="0"/>
    <n v="7"/>
    <n v="4"/>
    <s v="Life Sciences"/>
    <n v="2"/>
    <n v="3"/>
    <x v="1"/>
    <n v="2329"/>
    <n v="3"/>
    <n v="4"/>
    <n v="7"/>
    <n v="0"/>
    <x v="2"/>
    <x v="1"/>
    <x v="0"/>
    <n v="3"/>
    <s v="Master"/>
    <s v="Medium"/>
    <x v="2"/>
    <s v="Very High"/>
  </r>
  <r>
    <n v="35"/>
    <x v="1"/>
    <x v="1"/>
    <n v="21"/>
    <n v="1"/>
    <s v="Life Sciences"/>
    <n v="4"/>
    <n v="4"/>
    <x v="1"/>
    <n v="4014"/>
    <n v="1"/>
    <n v="1"/>
    <n v="10"/>
    <n v="0"/>
    <x v="0"/>
    <x v="0"/>
    <x v="1"/>
    <n v="3"/>
    <s v="Below College"/>
    <s v="Very High"/>
    <x v="0"/>
    <s v="Low"/>
  </r>
  <r>
    <n v="49"/>
    <x v="1"/>
    <x v="1"/>
    <n v="8"/>
    <n v="2"/>
    <s v="Other"/>
    <n v="1"/>
    <n v="2"/>
    <x v="1"/>
    <n v="7403"/>
    <n v="4"/>
    <n v="2"/>
    <n v="26"/>
    <n v="0"/>
    <x v="1"/>
    <x v="2"/>
    <x v="1"/>
    <n v="1.6666666666666667"/>
    <s v="College"/>
    <s v="Low"/>
    <x v="1"/>
    <s v="Medium"/>
  </r>
  <r>
    <n v="48"/>
    <x v="1"/>
    <x v="1"/>
    <n v="20"/>
    <n v="4"/>
    <s v="Medical"/>
    <n v="4"/>
    <n v="3"/>
    <x v="1"/>
    <n v="2259"/>
    <n v="4"/>
    <n v="2"/>
    <n v="0"/>
    <n v="0"/>
    <x v="1"/>
    <x v="1"/>
    <x v="2"/>
    <n v="3"/>
    <s v="Master"/>
    <s v="Very High"/>
    <x v="2"/>
    <s v="Medium"/>
  </r>
  <r>
    <n v="31"/>
    <x v="1"/>
    <x v="0"/>
    <n v="20"/>
    <n v="2"/>
    <s v="Marketing"/>
    <n v="4"/>
    <n v="3"/>
    <x v="1"/>
    <n v="6932"/>
    <n v="1"/>
    <n v="2"/>
    <n v="9"/>
    <n v="0"/>
    <x v="2"/>
    <x v="0"/>
    <x v="0"/>
    <n v="3"/>
    <s v="College"/>
    <s v="Very High"/>
    <x v="2"/>
    <s v="Medium"/>
  </r>
  <r>
    <n v="36"/>
    <x v="1"/>
    <x v="1"/>
    <n v="7"/>
    <n v="4"/>
    <s v="Other"/>
    <n v="2"/>
    <n v="4"/>
    <x v="0"/>
    <n v="4678"/>
    <n v="2"/>
    <n v="3"/>
    <n v="6"/>
    <n v="0"/>
    <x v="0"/>
    <x v="0"/>
    <x v="0"/>
    <n v="3"/>
    <s v="Master"/>
    <s v="Medium"/>
    <x v="0"/>
    <s v="High"/>
  </r>
  <r>
    <n v="38"/>
    <x v="1"/>
    <x v="1"/>
    <n v="1"/>
    <n v="3"/>
    <s v="Technical Degree"/>
    <n v="4"/>
    <n v="1"/>
    <x v="1"/>
    <n v="13582"/>
    <n v="1"/>
    <n v="3"/>
    <n v="15"/>
    <n v="0"/>
    <x v="0"/>
    <x v="2"/>
    <x v="1"/>
    <n v="2.6666666666666665"/>
    <s v="Bachelor"/>
    <s v="Very High"/>
    <x v="3"/>
    <s v="High"/>
  </r>
  <r>
    <n v="32"/>
    <x v="1"/>
    <x v="1"/>
    <n v="1"/>
    <n v="3"/>
    <s v="Life Sciences"/>
    <n v="3"/>
    <n v="2"/>
    <x v="1"/>
    <n v="2332"/>
    <n v="6"/>
    <n v="3"/>
    <n v="3"/>
    <n v="0"/>
    <x v="2"/>
    <x v="1"/>
    <x v="3"/>
    <n v="2.6666666666666665"/>
    <s v="Bachelor"/>
    <s v="High"/>
    <x v="1"/>
    <s v="High"/>
  </r>
  <r>
    <n v="25"/>
    <x v="0"/>
    <x v="0"/>
    <n v="19"/>
    <n v="2"/>
    <s v="Marketing"/>
    <n v="3"/>
    <n v="2"/>
    <x v="1"/>
    <n v="2413"/>
    <n v="1"/>
    <n v="3"/>
    <n v="1"/>
    <n v="1"/>
    <x v="2"/>
    <x v="1"/>
    <x v="2"/>
    <n v="2.6666666666666665"/>
    <s v="College"/>
    <s v="High"/>
    <x v="1"/>
    <s v="High"/>
  </r>
  <r>
    <n v="40"/>
    <x v="1"/>
    <x v="0"/>
    <n v="10"/>
    <n v="4"/>
    <s v="Marketing"/>
    <n v="1"/>
    <n v="2"/>
    <x v="2"/>
    <n v="9705"/>
    <n v="2"/>
    <n v="2"/>
    <n v="1"/>
    <n v="0"/>
    <x v="0"/>
    <x v="2"/>
    <x v="2"/>
    <n v="1.6666666666666667"/>
    <s v="Master"/>
    <s v="Low"/>
    <x v="1"/>
    <s v="Medium"/>
  </r>
  <r>
    <n v="26"/>
    <x v="1"/>
    <x v="0"/>
    <n v="1"/>
    <n v="3"/>
    <s v="Medical"/>
    <n v="3"/>
    <n v="1"/>
    <x v="0"/>
    <n v="4294"/>
    <n v="1"/>
    <n v="3"/>
    <n v="7"/>
    <n v="0"/>
    <x v="2"/>
    <x v="0"/>
    <x v="0"/>
    <n v="2.3333333333333335"/>
    <s v="Bachelor"/>
    <s v="High"/>
    <x v="3"/>
    <s v="High"/>
  </r>
  <r>
    <n v="41"/>
    <x v="1"/>
    <x v="1"/>
    <n v="6"/>
    <n v="3"/>
    <s v="Medical"/>
    <n v="4"/>
    <n v="1"/>
    <x v="0"/>
    <n v="4721"/>
    <n v="2"/>
    <n v="3"/>
    <n v="18"/>
    <n v="0"/>
    <x v="0"/>
    <x v="0"/>
    <x v="1"/>
    <n v="2.6666666666666665"/>
    <s v="Bachelor"/>
    <s v="Very High"/>
    <x v="3"/>
    <s v="High"/>
  </r>
  <r>
    <n v="36"/>
    <x v="1"/>
    <x v="1"/>
    <n v="2"/>
    <n v="4"/>
    <s v="Medical"/>
    <n v="3"/>
    <n v="3"/>
    <x v="0"/>
    <n v="2519"/>
    <n v="4"/>
    <n v="3"/>
    <n v="11"/>
    <n v="0"/>
    <x v="0"/>
    <x v="1"/>
    <x v="1"/>
    <n v="3"/>
    <s v="Master"/>
    <s v="High"/>
    <x v="2"/>
    <s v="High"/>
  </r>
  <r>
    <n v="19"/>
    <x v="0"/>
    <x v="0"/>
    <n v="21"/>
    <n v="3"/>
    <s v="Other"/>
    <n v="4"/>
    <n v="2"/>
    <x v="0"/>
    <n v="2121"/>
    <n v="1"/>
    <n v="4"/>
    <n v="1"/>
    <n v="1"/>
    <x v="4"/>
    <x v="1"/>
    <x v="2"/>
    <n v="3.3333333333333335"/>
    <s v="Bachelor"/>
    <s v="Very High"/>
    <x v="1"/>
    <s v="Very High"/>
  </r>
  <r>
    <n v="20"/>
    <x v="0"/>
    <x v="1"/>
    <n v="4"/>
    <n v="3"/>
    <s v="Technical Degree"/>
    <n v="1"/>
    <n v="1"/>
    <x v="0"/>
    <n v="2973"/>
    <n v="1"/>
    <n v="3"/>
    <n v="1"/>
    <n v="1"/>
    <x v="4"/>
    <x v="1"/>
    <x v="2"/>
    <n v="1.6666666666666667"/>
    <s v="Bachelor"/>
    <s v="Low"/>
    <x v="3"/>
    <s v="High"/>
  </r>
  <r>
    <n v="31"/>
    <x v="1"/>
    <x v="1"/>
    <n v="12"/>
    <n v="3"/>
    <s v="Medical"/>
    <n v="4"/>
    <n v="4"/>
    <x v="1"/>
    <n v="5855"/>
    <n v="0"/>
    <n v="1"/>
    <n v="9"/>
    <n v="0"/>
    <x v="2"/>
    <x v="0"/>
    <x v="0"/>
    <n v="3"/>
    <s v="Bachelor"/>
    <s v="Very High"/>
    <x v="0"/>
    <s v="Low"/>
  </r>
  <r>
    <n v="40"/>
    <x v="1"/>
    <x v="1"/>
    <n v="9"/>
    <n v="4"/>
    <s v="Medical"/>
    <n v="4"/>
    <n v="2"/>
    <x v="2"/>
    <n v="3617"/>
    <n v="8"/>
    <n v="3"/>
    <n v="1"/>
    <n v="0"/>
    <x v="0"/>
    <x v="0"/>
    <x v="2"/>
    <n v="3"/>
    <s v="Master"/>
    <s v="Very High"/>
    <x v="1"/>
    <s v="High"/>
  </r>
  <r>
    <n v="32"/>
    <x v="1"/>
    <x v="1"/>
    <n v="3"/>
    <n v="4"/>
    <s v="Medical"/>
    <n v="3"/>
    <n v="1"/>
    <x v="1"/>
    <n v="6725"/>
    <n v="1"/>
    <n v="4"/>
    <n v="8"/>
    <n v="0"/>
    <x v="2"/>
    <x v="0"/>
    <x v="0"/>
    <n v="2.6666666666666665"/>
    <s v="Master"/>
    <s v="High"/>
    <x v="3"/>
    <s v="Very High"/>
  </r>
  <r>
    <n v="36"/>
    <x v="0"/>
    <x v="0"/>
    <n v="3"/>
    <n v="1"/>
    <s v="Life Sciences"/>
    <n v="3"/>
    <n v="4"/>
    <x v="1"/>
    <n v="10325"/>
    <n v="1"/>
    <n v="3"/>
    <n v="16"/>
    <n v="1"/>
    <x v="0"/>
    <x v="2"/>
    <x v="1"/>
    <n v="3.3333333333333335"/>
    <s v="Below College"/>
    <s v="High"/>
    <x v="0"/>
    <s v="High"/>
  </r>
  <r>
    <n v="33"/>
    <x v="1"/>
    <x v="1"/>
    <n v="1"/>
    <n v="3"/>
    <s v="Life Sciences"/>
    <n v="2"/>
    <n v="4"/>
    <x v="0"/>
    <n v="6949"/>
    <n v="0"/>
    <n v="3"/>
    <n v="5"/>
    <n v="0"/>
    <x v="2"/>
    <x v="0"/>
    <x v="0"/>
    <n v="3"/>
    <s v="Bachelor"/>
    <s v="Medium"/>
    <x v="0"/>
    <s v="High"/>
  </r>
  <r>
    <n v="37"/>
    <x v="0"/>
    <x v="0"/>
    <n v="1"/>
    <n v="4"/>
    <s v="Life Sciences"/>
    <n v="1"/>
    <n v="3"/>
    <x v="1"/>
    <n v="10609"/>
    <n v="5"/>
    <n v="1"/>
    <n v="14"/>
    <n v="1"/>
    <x v="0"/>
    <x v="2"/>
    <x v="1"/>
    <n v="1.6666666666666667"/>
    <s v="Master"/>
    <s v="Low"/>
    <x v="2"/>
    <s v="Low"/>
  </r>
  <r>
    <n v="45"/>
    <x v="1"/>
    <x v="1"/>
    <n v="4"/>
    <n v="2"/>
    <s v="Life Sciences"/>
    <n v="3"/>
    <n v="2"/>
    <x v="1"/>
    <n v="4447"/>
    <n v="1"/>
    <n v="2"/>
    <n v="9"/>
    <n v="0"/>
    <x v="1"/>
    <x v="0"/>
    <x v="0"/>
    <n v="2.3333333333333335"/>
    <s v="College"/>
    <s v="High"/>
    <x v="1"/>
    <s v="Medium"/>
  </r>
  <r>
    <n v="29"/>
    <x v="1"/>
    <x v="0"/>
    <n v="20"/>
    <n v="3"/>
    <s v="Technical Degree"/>
    <n v="3"/>
    <n v="4"/>
    <x v="1"/>
    <n v="2157"/>
    <n v="1"/>
    <n v="3"/>
    <n v="3"/>
    <n v="0"/>
    <x v="2"/>
    <x v="1"/>
    <x v="3"/>
    <n v="3.3333333333333335"/>
    <s v="Bachelor"/>
    <s v="High"/>
    <x v="0"/>
    <s v="High"/>
  </r>
  <r>
    <n v="35"/>
    <x v="1"/>
    <x v="0"/>
    <n v="18"/>
    <n v="3"/>
    <s v="Medical"/>
    <n v="3"/>
    <n v="3"/>
    <x v="1"/>
    <n v="4601"/>
    <n v="1"/>
    <n v="3"/>
    <n v="5"/>
    <n v="0"/>
    <x v="0"/>
    <x v="0"/>
    <x v="0"/>
    <n v="3"/>
    <s v="Bachelor"/>
    <s v="High"/>
    <x v="2"/>
    <s v="High"/>
  </r>
  <r>
    <n v="52"/>
    <x v="1"/>
    <x v="1"/>
    <n v="1"/>
    <n v="2"/>
    <s v="Life Sciences"/>
    <n v="4"/>
    <n v="4"/>
    <x v="1"/>
    <n v="17099"/>
    <n v="2"/>
    <n v="2"/>
    <n v="9"/>
    <n v="0"/>
    <x v="1"/>
    <x v="2"/>
    <x v="0"/>
    <n v="3.3333333333333335"/>
    <s v="College"/>
    <s v="Very High"/>
    <x v="0"/>
    <s v="Medium"/>
  </r>
  <r>
    <n v="58"/>
    <x v="0"/>
    <x v="1"/>
    <n v="2"/>
    <n v="3"/>
    <s v="Technical Degree"/>
    <n v="4"/>
    <n v="3"/>
    <x v="0"/>
    <n v="2479"/>
    <n v="4"/>
    <n v="3"/>
    <n v="1"/>
    <n v="1"/>
    <x v="3"/>
    <x v="1"/>
    <x v="2"/>
    <n v="3.3333333333333335"/>
    <s v="Bachelor"/>
    <s v="Very High"/>
    <x v="2"/>
    <s v="High"/>
  </r>
  <r>
    <n v="53"/>
    <x v="1"/>
    <x v="0"/>
    <n v="2"/>
    <n v="2"/>
    <s v="Medical"/>
    <n v="3"/>
    <n v="3"/>
    <x v="2"/>
    <n v="14852"/>
    <n v="6"/>
    <n v="4"/>
    <n v="17"/>
    <n v="0"/>
    <x v="1"/>
    <x v="2"/>
    <x v="1"/>
    <n v="3.3333333333333335"/>
    <s v="College"/>
    <s v="High"/>
    <x v="2"/>
    <s v="Very High"/>
  </r>
  <r>
    <n v="30"/>
    <x v="1"/>
    <x v="0"/>
    <n v="8"/>
    <n v="2"/>
    <s v="Other"/>
    <n v="3"/>
    <n v="3"/>
    <x v="2"/>
    <n v="7264"/>
    <n v="5"/>
    <n v="4"/>
    <n v="8"/>
    <n v="0"/>
    <x v="2"/>
    <x v="2"/>
    <x v="0"/>
    <n v="3.3333333333333335"/>
    <s v="College"/>
    <s v="High"/>
    <x v="2"/>
    <s v="Very High"/>
  </r>
  <r>
    <n v="38"/>
    <x v="1"/>
    <x v="0"/>
    <n v="10"/>
    <n v="3"/>
    <s v="Technical Degree"/>
    <n v="3"/>
    <n v="4"/>
    <x v="0"/>
    <n v="5666"/>
    <n v="1"/>
    <n v="3"/>
    <n v="5"/>
    <n v="0"/>
    <x v="0"/>
    <x v="0"/>
    <x v="0"/>
    <n v="3.3333333333333335"/>
    <s v="Bachelor"/>
    <s v="High"/>
    <x v="0"/>
    <s v="High"/>
  </r>
  <r>
    <n v="35"/>
    <x v="1"/>
    <x v="0"/>
    <n v="3"/>
    <n v="4"/>
    <s v="Life Sciences"/>
    <n v="4"/>
    <n v="4"/>
    <x v="2"/>
    <n v="7823"/>
    <n v="6"/>
    <n v="3"/>
    <n v="10"/>
    <n v="0"/>
    <x v="0"/>
    <x v="2"/>
    <x v="1"/>
    <n v="3.6666666666666665"/>
    <s v="Master"/>
    <s v="Very High"/>
    <x v="0"/>
    <s v="High"/>
  </r>
  <r>
    <n v="39"/>
    <x v="1"/>
    <x v="0"/>
    <n v="2"/>
    <n v="5"/>
    <s v="Life Sciences"/>
    <n v="1"/>
    <n v="3"/>
    <x v="0"/>
    <n v="7880"/>
    <n v="0"/>
    <n v="3"/>
    <n v="8"/>
    <n v="0"/>
    <x v="0"/>
    <x v="2"/>
    <x v="0"/>
    <n v="2.3333333333333335"/>
    <s v="Doctor"/>
    <s v="Low"/>
    <x v="2"/>
    <s v="High"/>
  </r>
  <r>
    <n v="40"/>
    <x v="0"/>
    <x v="0"/>
    <n v="24"/>
    <n v="3"/>
    <s v="Life Sciences"/>
    <n v="2"/>
    <n v="2"/>
    <x v="0"/>
    <n v="13194"/>
    <n v="4"/>
    <n v="2"/>
    <n v="1"/>
    <n v="1"/>
    <x v="0"/>
    <x v="2"/>
    <x v="2"/>
    <n v="2"/>
    <s v="Bachelor"/>
    <s v="Medium"/>
    <x v="1"/>
    <s v="Medium"/>
  </r>
  <r>
    <n v="47"/>
    <x v="1"/>
    <x v="1"/>
    <n v="16"/>
    <n v="4"/>
    <s v="Medical"/>
    <n v="3"/>
    <n v="3"/>
    <x v="2"/>
    <n v="5067"/>
    <n v="1"/>
    <n v="4"/>
    <n v="19"/>
    <n v="0"/>
    <x v="1"/>
    <x v="0"/>
    <x v="1"/>
    <n v="3.3333333333333335"/>
    <s v="Master"/>
    <s v="High"/>
    <x v="2"/>
    <s v="Very High"/>
  </r>
  <r>
    <n v="36"/>
    <x v="1"/>
    <x v="0"/>
    <n v="8"/>
    <n v="4"/>
    <s v="Technical Degree"/>
    <n v="1"/>
    <n v="4"/>
    <x v="2"/>
    <n v="5079"/>
    <n v="4"/>
    <n v="3"/>
    <n v="7"/>
    <n v="0"/>
    <x v="0"/>
    <x v="0"/>
    <x v="0"/>
    <n v="2.6666666666666665"/>
    <s v="Master"/>
    <s v="Low"/>
    <x v="0"/>
    <s v="High"/>
  </r>
  <r>
    <n v="31"/>
    <x v="0"/>
    <x v="1"/>
    <n v="9"/>
    <n v="2"/>
    <s v="Medical"/>
    <n v="3"/>
    <n v="1"/>
    <x v="0"/>
    <n v="2321"/>
    <n v="0"/>
    <n v="3"/>
    <n v="3"/>
    <n v="1"/>
    <x v="2"/>
    <x v="1"/>
    <x v="3"/>
    <n v="2.3333333333333335"/>
    <s v="College"/>
    <s v="High"/>
    <x v="3"/>
    <s v="High"/>
  </r>
  <r>
    <n v="33"/>
    <x v="1"/>
    <x v="0"/>
    <n v="17"/>
    <n v="3"/>
    <s v="Life Sciences"/>
    <n v="4"/>
    <n v="3"/>
    <x v="0"/>
    <n v="17444"/>
    <n v="1"/>
    <n v="3"/>
    <n v="10"/>
    <n v="0"/>
    <x v="2"/>
    <x v="2"/>
    <x v="1"/>
    <n v="3.3333333333333335"/>
    <s v="Bachelor"/>
    <s v="Very High"/>
    <x v="2"/>
    <s v="High"/>
  </r>
  <r>
    <n v="29"/>
    <x v="0"/>
    <x v="1"/>
    <n v="10"/>
    <n v="3"/>
    <s v="Life Sciences"/>
    <n v="4"/>
    <n v="1"/>
    <x v="0"/>
    <n v="2404"/>
    <n v="6"/>
    <n v="3"/>
    <n v="0"/>
    <n v="1"/>
    <x v="2"/>
    <x v="1"/>
    <x v="2"/>
    <n v="2.6666666666666665"/>
    <s v="Bachelor"/>
    <s v="Very High"/>
    <x v="3"/>
    <s v="High"/>
  </r>
  <r>
    <n v="33"/>
    <x v="1"/>
    <x v="1"/>
    <n v="13"/>
    <n v="1"/>
    <s v="Life Sciences"/>
    <n v="2"/>
    <n v="4"/>
    <x v="0"/>
    <n v="3452"/>
    <n v="3"/>
    <n v="3"/>
    <n v="3"/>
    <n v="0"/>
    <x v="2"/>
    <x v="0"/>
    <x v="3"/>
    <n v="3"/>
    <s v="Below College"/>
    <s v="Medium"/>
    <x v="0"/>
    <s v="High"/>
  </r>
  <r>
    <n v="45"/>
    <x v="1"/>
    <x v="1"/>
    <n v="1"/>
    <n v="4"/>
    <s v="Medical"/>
    <n v="4"/>
    <n v="4"/>
    <x v="2"/>
    <n v="2270"/>
    <n v="3"/>
    <n v="3"/>
    <n v="5"/>
    <n v="0"/>
    <x v="1"/>
    <x v="1"/>
    <x v="0"/>
    <n v="3.6666666666666665"/>
    <s v="Master"/>
    <s v="Very High"/>
    <x v="0"/>
    <s v="High"/>
  </r>
  <r>
    <n v="50"/>
    <x v="1"/>
    <x v="1"/>
    <n v="1"/>
    <n v="2"/>
    <s v="Medical"/>
    <n v="4"/>
    <n v="4"/>
    <x v="2"/>
    <n v="17399"/>
    <n v="9"/>
    <n v="2"/>
    <n v="5"/>
    <n v="0"/>
    <x v="1"/>
    <x v="2"/>
    <x v="0"/>
    <n v="3.3333333333333335"/>
    <s v="College"/>
    <s v="Very High"/>
    <x v="0"/>
    <s v="Medium"/>
  </r>
  <r>
    <n v="33"/>
    <x v="1"/>
    <x v="1"/>
    <n v="1"/>
    <n v="4"/>
    <s v="Other"/>
    <n v="3"/>
    <n v="2"/>
    <x v="1"/>
    <n v="5488"/>
    <n v="1"/>
    <n v="3"/>
    <n v="6"/>
    <n v="0"/>
    <x v="2"/>
    <x v="0"/>
    <x v="0"/>
    <n v="2.6666666666666665"/>
    <s v="Master"/>
    <s v="High"/>
    <x v="1"/>
    <s v="High"/>
  </r>
  <r>
    <n v="41"/>
    <x v="1"/>
    <x v="1"/>
    <n v="9"/>
    <n v="3"/>
    <s v="Medical"/>
    <n v="1"/>
    <n v="3"/>
    <x v="2"/>
    <n v="19419"/>
    <n v="2"/>
    <n v="4"/>
    <n v="18"/>
    <n v="0"/>
    <x v="0"/>
    <x v="2"/>
    <x v="1"/>
    <n v="2.6666666666666665"/>
    <s v="Bachelor"/>
    <s v="Low"/>
    <x v="2"/>
    <s v="Very High"/>
  </r>
  <r>
    <n v="27"/>
    <x v="1"/>
    <x v="1"/>
    <n v="16"/>
    <n v="4"/>
    <s v="Technical Degree"/>
    <n v="3"/>
    <n v="2"/>
    <x v="1"/>
    <n v="2811"/>
    <n v="9"/>
    <n v="3"/>
    <n v="2"/>
    <n v="0"/>
    <x v="2"/>
    <x v="1"/>
    <x v="3"/>
    <n v="2.6666666666666665"/>
    <s v="Master"/>
    <s v="High"/>
    <x v="1"/>
    <s v="High"/>
  </r>
  <r>
    <n v="45"/>
    <x v="1"/>
    <x v="1"/>
    <n v="23"/>
    <n v="2"/>
    <s v="Life Sciences"/>
    <n v="4"/>
    <n v="1"/>
    <x v="1"/>
    <n v="3633"/>
    <n v="1"/>
    <n v="3"/>
    <n v="9"/>
    <n v="0"/>
    <x v="1"/>
    <x v="0"/>
    <x v="0"/>
    <n v="2.6666666666666665"/>
    <s v="College"/>
    <s v="Very High"/>
    <x v="3"/>
    <s v="High"/>
  </r>
  <r>
    <n v="47"/>
    <x v="1"/>
    <x v="0"/>
    <n v="4"/>
    <n v="2"/>
    <s v="Life Sciences"/>
    <n v="4"/>
    <n v="4"/>
    <x v="0"/>
    <n v="4163"/>
    <n v="1"/>
    <n v="3"/>
    <n v="9"/>
    <n v="0"/>
    <x v="1"/>
    <x v="0"/>
    <x v="0"/>
    <n v="3.6666666666666665"/>
    <s v="College"/>
    <s v="Very High"/>
    <x v="0"/>
    <s v="High"/>
  </r>
  <r>
    <n v="30"/>
    <x v="0"/>
    <x v="1"/>
    <n v="22"/>
    <n v="3"/>
    <s v="Life Sciences"/>
    <n v="1"/>
    <n v="3"/>
    <x v="1"/>
    <n v="2132"/>
    <n v="4"/>
    <n v="3"/>
    <n v="5"/>
    <n v="1"/>
    <x v="2"/>
    <x v="1"/>
    <x v="0"/>
    <n v="2.3333333333333335"/>
    <s v="Bachelor"/>
    <s v="Low"/>
    <x v="2"/>
    <s v="High"/>
  </r>
  <r>
    <n v="50"/>
    <x v="1"/>
    <x v="1"/>
    <n v="24"/>
    <n v="3"/>
    <s v="Life Sciences"/>
    <n v="4"/>
    <n v="3"/>
    <x v="1"/>
    <n v="13973"/>
    <n v="3"/>
    <n v="3"/>
    <n v="12"/>
    <n v="0"/>
    <x v="1"/>
    <x v="2"/>
    <x v="1"/>
    <n v="3.3333333333333335"/>
    <s v="Bachelor"/>
    <s v="Very High"/>
    <x v="2"/>
    <s v="High"/>
  </r>
  <r>
    <n v="38"/>
    <x v="1"/>
    <x v="1"/>
    <n v="10"/>
    <n v="1"/>
    <s v="Medical"/>
    <n v="3"/>
    <n v="3"/>
    <x v="1"/>
    <n v="2684"/>
    <n v="0"/>
    <n v="2"/>
    <n v="2"/>
    <n v="0"/>
    <x v="0"/>
    <x v="1"/>
    <x v="3"/>
    <n v="2.6666666666666665"/>
    <s v="Below College"/>
    <s v="High"/>
    <x v="2"/>
    <s v="Medium"/>
  </r>
  <r>
    <n v="46"/>
    <x v="1"/>
    <x v="1"/>
    <n v="7"/>
    <n v="2"/>
    <s v="Medical"/>
    <n v="4"/>
    <n v="3"/>
    <x v="2"/>
    <n v="10845"/>
    <n v="6"/>
    <n v="3"/>
    <n v="8"/>
    <n v="0"/>
    <x v="1"/>
    <x v="2"/>
    <x v="0"/>
    <n v="3.3333333333333335"/>
    <s v="College"/>
    <s v="Very High"/>
    <x v="2"/>
    <s v="High"/>
  </r>
  <r>
    <n v="24"/>
    <x v="1"/>
    <x v="1"/>
    <n v="17"/>
    <n v="1"/>
    <s v="Medical"/>
    <n v="4"/>
    <n v="3"/>
    <x v="2"/>
    <n v="4377"/>
    <n v="1"/>
    <n v="3"/>
    <n v="4"/>
    <n v="0"/>
    <x v="4"/>
    <x v="0"/>
    <x v="3"/>
    <n v="3.3333333333333335"/>
    <s v="Below College"/>
    <s v="Very High"/>
    <x v="2"/>
    <s v="High"/>
  </r>
  <r>
    <n v="35"/>
    <x v="0"/>
    <x v="1"/>
    <n v="14"/>
    <n v="4"/>
    <s v="Other"/>
    <n v="3"/>
    <n v="2"/>
    <x v="2"/>
    <n v="3743"/>
    <n v="1"/>
    <n v="1"/>
    <n v="4"/>
    <n v="1"/>
    <x v="0"/>
    <x v="0"/>
    <x v="3"/>
    <n v="2"/>
    <s v="Master"/>
    <s v="High"/>
    <x v="1"/>
    <s v="Low"/>
  </r>
  <r>
    <n v="31"/>
    <x v="1"/>
    <x v="1"/>
    <n v="1"/>
    <n v="1"/>
    <s v="Life Sciences"/>
    <n v="3"/>
    <n v="1"/>
    <x v="1"/>
    <n v="4148"/>
    <n v="1"/>
    <n v="3"/>
    <n v="4"/>
    <n v="0"/>
    <x v="2"/>
    <x v="0"/>
    <x v="3"/>
    <n v="2.3333333333333335"/>
    <s v="Below College"/>
    <s v="High"/>
    <x v="3"/>
    <s v="High"/>
  </r>
  <r>
    <n v="18"/>
    <x v="1"/>
    <x v="1"/>
    <n v="5"/>
    <n v="2"/>
    <s v="Life Sciences"/>
    <n v="2"/>
    <n v="4"/>
    <x v="0"/>
    <n v="1051"/>
    <n v="1"/>
    <n v="3"/>
    <n v="0"/>
    <n v="0"/>
    <x v="4"/>
    <x v="1"/>
    <x v="2"/>
    <n v="3"/>
    <s v="College"/>
    <s v="Medium"/>
    <x v="0"/>
    <s v="High"/>
  </r>
  <r>
    <n v="54"/>
    <x v="1"/>
    <x v="1"/>
    <n v="17"/>
    <n v="3"/>
    <s v="Technical Degree"/>
    <n v="3"/>
    <n v="3"/>
    <x v="1"/>
    <n v="10739"/>
    <n v="8"/>
    <n v="3"/>
    <n v="10"/>
    <n v="0"/>
    <x v="1"/>
    <x v="2"/>
    <x v="1"/>
    <n v="3"/>
    <s v="Bachelor"/>
    <s v="High"/>
    <x v="2"/>
    <s v="High"/>
  </r>
  <r>
    <n v="35"/>
    <x v="1"/>
    <x v="1"/>
    <n v="25"/>
    <n v="4"/>
    <s v="Medical"/>
    <n v="3"/>
    <n v="3"/>
    <x v="2"/>
    <n v="10388"/>
    <n v="1"/>
    <n v="2"/>
    <n v="16"/>
    <n v="0"/>
    <x v="0"/>
    <x v="2"/>
    <x v="1"/>
    <n v="2.6666666666666665"/>
    <s v="Master"/>
    <s v="High"/>
    <x v="2"/>
    <s v="Medium"/>
  </r>
  <r>
    <n v="30"/>
    <x v="1"/>
    <x v="1"/>
    <n v="8"/>
    <n v="2"/>
    <s v="Life Sciences"/>
    <n v="2"/>
    <n v="1"/>
    <x v="1"/>
    <n v="11416"/>
    <n v="0"/>
    <n v="2"/>
    <n v="8"/>
    <n v="0"/>
    <x v="2"/>
    <x v="2"/>
    <x v="0"/>
    <n v="1.6666666666666667"/>
    <s v="College"/>
    <s v="Medium"/>
    <x v="3"/>
    <s v="Medium"/>
  </r>
  <r>
    <n v="20"/>
    <x v="0"/>
    <x v="1"/>
    <n v="11"/>
    <n v="3"/>
    <s v="Medical"/>
    <n v="4"/>
    <n v="1"/>
    <x v="0"/>
    <n v="2600"/>
    <n v="1"/>
    <n v="3"/>
    <n v="1"/>
    <n v="1"/>
    <x v="4"/>
    <x v="1"/>
    <x v="2"/>
    <n v="2.6666666666666665"/>
    <s v="Bachelor"/>
    <s v="Very High"/>
    <x v="3"/>
    <s v="High"/>
  </r>
  <r>
    <n v="30"/>
    <x v="0"/>
    <x v="1"/>
    <n v="5"/>
    <n v="3"/>
    <s v="Medical"/>
    <n v="2"/>
    <n v="2"/>
    <x v="0"/>
    <n v="2422"/>
    <n v="0"/>
    <n v="3"/>
    <n v="3"/>
    <n v="1"/>
    <x v="2"/>
    <x v="1"/>
    <x v="3"/>
    <n v="2.3333333333333335"/>
    <s v="Bachelor"/>
    <s v="Medium"/>
    <x v="1"/>
    <s v="High"/>
  </r>
  <r>
    <n v="26"/>
    <x v="1"/>
    <x v="1"/>
    <n v="2"/>
    <n v="2"/>
    <s v="Medical"/>
    <n v="4"/>
    <n v="4"/>
    <x v="1"/>
    <n v="5472"/>
    <n v="1"/>
    <n v="3"/>
    <n v="8"/>
    <n v="0"/>
    <x v="2"/>
    <x v="0"/>
    <x v="0"/>
    <n v="3.6666666666666665"/>
    <s v="College"/>
    <s v="Very High"/>
    <x v="0"/>
    <s v="High"/>
  </r>
  <r>
    <n v="22"/>
    <x v="1"/>
    <x v="1"/>
    <n v="8"/>
    <n v="1"/>
    <s v="Life Sciences"/>
    <n v="2"/>
    <n v="1"/>
    <x v="1"/>
    <n v="2451"/>
    <n v="1"/>
    <n v="2"/>
    <n v="4"/>
    <n v="0"/>
    <x v="4"/>
    <x v="1"/>
    <x v="3"/>
    <n v="1.6666666666666667"/>
    <s v="Below College"/>
    <s v="Medium"/>
    <x v="3"/>
    <s v="Medium"/>
  </r>
  <r>
    <n v="48"/>
    <x v="1"/>
    <x v="1"/>
    <n v="6"/>
    <n v="3"/>
    <s v="Life Sciences"/>
    <n v="1"/>
    <n v="3"/>
    <x v="0"/>
    <n v="4240"/>
    <n v="2"/>
    <n v="3"/>
    <n v="2"/>
    <n v="0"/>
    <x v="1"/>
    <x v="0"/>
    <x v="3"/>
    <n v="2.3333333333333335"/>
    <s v="Bachelor"/>
    <s v="Low"/>
    <x v="2"/>
    <s v="High"/>
  </r>
  <r>
    <n v="48"/>
    <x v="1"/>
    <x v="1"/>
    <n v="4"/>
    <n v="4"/>
    <s v="Life Sciences"/>
    <n v="3"/>
    <n v="3"/>
    <x v="0"/>
    <n v="10999"/>
    <n v="7"/>
    <n v="3"/>
    <n v="15"/>
    <n v="0"/>
    <x v="1"/>
    <x v="2"/>
    <x v="1"/>
    <n v="3"/>
    <s v="Master"/>
    <s v="High"/>
    <x v="2"/>
    <s v="High"/>
  </r>
  <r>
    <n v="41"/>
    <x v="1"/>
    <x v="1"/>
    <n v="7"/>
    <n v="2"/>
    <s v="Medical"/>
    <n v="4"/>
    <n v="3"/>
    <x v="0"/>
    <n v="5003"/>
    <n v="6"/>
    <n v="3"/>
    <n v="2"/>
    <n v="0"/>
    <x v="0"/>
    <x v="0"/>
    <x v="3"/>
    <n v="3.3333333333333335"/>
    <s v="College"/>
    <s v="Very High"/>
    <x v="2"/>
    <s v="High"/>
  </r>
  <r>
    <n v="39"/>
    <x v="1"/>
    <x v="1"/>
    <n v="1"/>
    <n v="1"/>
    <s v="Life Sciences"/>
    <n v="4"/>
    <n v="4"/>
    <x v="1"/>
    <n v="12742"/>
    <n v="1"/>
    <n v="3"/>
    <n v="21"/>
    <n v="0"/>
    <x v="0"/>
    <x v="2"/>
    <x v="1"/>
    <n v="3.6666666666666665"/>
    <s v="Below College"/>
    <s v="Very High"/>
    <x v="0"/>
    <s v="High"/>
  </r>
  <r>
    <n v="27"/>
    <x v="1"/>
    <x v="1"/>
    <n v="2"/>
    <n v="4"/>
    <s v="Life Sciences"/>
    <n v="1"/>
    <n v="4"/>
    <x v="1"/>
    <n v="4227"/>
    <n v="0"/>
    <n v="3"/>
    <n v="3"/>
    <n v="0"/>
    <x v="2"/>
    <x v="0"/>
    <x v="3"/>
    <n v="2.6666666666666665"/>
    <s v="Master"/>
    <s v="Low"/>
    <x v="0"/>
    <s v="High"/>
  </r>
  <r>
    <n v="35"/>
    <x v="1"/>
    <x v="1"/>
    <n v="10"/>
    <n v="3"/>
    <s v="Other"/>
    <n v="2"/>
    <n v="4"/>
    <x v="2"/>
    <n v="3917"/>
    <n v="1"/>
    <n v="2"/>
    <n v="3"/>
    <n v="0"/>
    <x v="0"/>
    <x v="0"/>
    <x v="3"/>
    <n v="2.6666666666666665"/>
    <s v="Bachelor"/>
    <s v="Medium"/>
    <x v="0"/>
    <s v="Medium"/>
  </r>
  <r>
    <n v="42"/>
    <x v="1"/>
    <x v="0"/>
    <n v="5"/>
    <n v="2"/>
    <s v="Marketing"/>
    <n v="4"/>
    <n v="3"/>
    <x v="1"/>
    <n v="18303"/>
    <n v="6"/>
    <n v="4"/>
    <n v="1"/>
    <n v="0"/>
    <x v="0"/>
    <x v="2"/>
    <x v="2"/>
    <n v="3.6666666666666665"/>
    <s v="College"/>
    <s v="Very High"/>
    <x v="2"/>
    <s v="Very High"/>
  </r>
  <r>
    <n v="50"/>
    <x v="1"/>
    <x v="1"/>
    <n v="9"/>
    <n v="3"/>
    <s v="Life Sciences"/>
    <n v="1"/>
    <n v="4"/>
    <x v="1"/>
    <n v="2380"/>
    <n v="4"/>
    <n v="3"/>
    <n v="1"/>
    <n v="0"/>
    <x v="1"/>
    <x v="1"/>
    <x v="2"/>
    <n v="2.6666666666666665"/>
    <s v="Bachelor"/>
    <s v="Low"/>
    <x v="0"/>
    <s v="High"/>
  </r>
  <r>
    <n v="59"/>
    <x v="1"/>
    <x v="1"/>
    <n v="2"/>
    <n v="3"/>
    <s v="Life Sciences"/>
    <n v="3"/>
    <n v="4"/>
    <x v="0"/>
    <n v="13726"/>
    <n v="3"/>
    <n v="3"/>
    <n v="5"/>
    <n v="0"/>
    <x v="3"/>
    <x v="2"/>
    <x v="0"/>
    <n v="3.3333333333333335"/>
    <s v="Bachelor"/>
    <s v="High"/>
    <x v="0"/>
    <s v="High"/>
  </r>
  <r>
    <n v="37"/>
    <x v="0"/>
    <x v="1"/>
    <n v="11"/>
    <n v="2"/>
    <s v="Medical"/>
    <n v="1"/>
    <n v="2"/>
    <x v="1"/>
    <n v="4777"/>
    <n v="5"/>
    <n v="1"/>
    <n v="1"/>
    <n v="1"/>
    <x v="0"/>
    <x v="0"/>
    <x v="2"/>
    <n v="1.3333333333333333"/>
    <s v="College"/>
    <s v="Low"/>
    <x v="1"/>
    <s v="Low"/>
  </r>
  <r>
    <n v="55"/>
    <x v="1"/>
    <x v="1"/>
    <n v="18"/>
    <n v="4"/>
    <s v="Medical"/>
    <n v="3"/>
    <n v="2"/>
    <x v="1"/>
    <n v="6385"/>
    <n v="3"/>
    <n v="3"/>
    <n v="8"/>
    <n v="0"/>
    <x v="3"/>
    <x v="0"/>
    <x v="0"/>
    <n v="2.6666666666666665"/>
    <s v="Master"/>
    <s v="High"/>
    <x v="1"/>
    <s v="High"/>
  </r>
  <r>
    <n v="41"/>
    <x v="1"/>
    <x v="1"/>
    <n v="7"/>
    <n v="1"/>
    <s v="Life Sciences"/>
    <n v="2"/>
    <n v="3"/>
    <x v="2"/>
    <n v="19973"/>
    <n v="1"/>
    <n v="3"/>
    <n v="21"/>
    <n v="0"/>
    <x v="0"/>
    <x v="2"/>
    <x v="1"/>
    <n v="2.6666666666666665"/>
    <s v="Below College"/>
    <s v="Medium"/>
    <x v="2"/>
    <s v="High"/>
  </r>
  <r>
    <n v="38"/>
    <x v="1"/>
    <x v="0"/>
    <n v="3"/>
    <n v="4"/>
    <s v="Life Sciences"/>
    <n v="2"/>
    <n v="4"/>
    <x v="0"/>
    <n v="6861"/>
    <n v="8"/>
    <n v="3"/>
    <n v="1"/>
    <n v="0"/>
    <x v="0"/>
    <x v="0"/>
    <x v="2"/>
    <n v="3"/>
    <s v="Master"/>
    <s v="Medium"/>
    <x v="0"/>
    <s v="High"/>
  </r>
  <r>
    <n v="26"/>
    <x v="0"/>
    <x v="0"/>
    <n v="29"/>
    <n v="2"/>
    <s v="Medical"/>
    <n v="2"/>
    <n v="1"/>
    <x v="0"/>
    <n v="4969"/>
    <n v="8"/>
    <n v="3"/>
    <n v="2"/>
    <n v="1"/>
    <x v="2"/>
    <x v="0"/>
    <x v="3"/>
    <n v="2"/>
    <s v="College"/>
    <s v="Medium"/>
    <x v="3"/>
    <s v="High"/>
  </r>
  <r>
    <n v="52"/>
    <x v="0"/>
    <x v="0"/>
    <n v="2"/>
    <n v="1"/>
    <s v="Marketing"/>
    <n v="1"/>
    <n v="4"/>
    <x v="1"/>
    <n v="19845"/>
    <n v="1"/>
    <n v="3"/>
    <n v="32"/>
    <n v="1"/>
    <x v="1"/>
    <x v="2"/>
    <x v="1"/>
    <n v="2.6666666666666665"/>
    <s v="Below College"/>
    <s v="Low"/>
    <x v="0"/>
    <s v="High"/>
  </r>
  <r>
    <n v="44"/>
    <x v="1"/>
    <x v="0"/>
    <n v="28"/>
    <n v="3"/>
    <s v="Medical"/>
    <n v="4"/>
    <n v="4"/>
    <x v="1"/>
    <n v="13320"/>
    <n v="3"/>
    <n v="3"/>
    <n v="12"/>
    <n v="0"/>
    <x v="0"/>
    <x v="2"/>
    <x v="1"/>
    <n v="3.6666666666666665"/>
    <s v="Bachelor"/>
    <s v="Very High"/>
    <x v="0"/>
    <s v="High"/>
  </r>
  <r>
    <n v="50"/>
    <x v="1"/>
    <x v="0"/>
    <n v="1"/>
    <n v="3"/>
    <s v="Life Sciences"/>
    <n v="4"/>
    <n v="3"/>
    <x v="1"/>
    <n v="6347"/>
    <n v="0"/>
    <n v="3"/>
    <n v="18"/>
    <n v="0"/>
    <x v="1"/>
    <x v="0"/>
    <x v="1"/>
    <n v="3.3333333333333335"/>
    <s v="Bachelor"/>
    <s v="Very High"/>
    <x v="2"/>
    <s v="High"/>
  </r>
  <r>
    <n v="36"/>
    <x v="0"/>
    <x v="1"/>
    <n v="16"/>
    <n v="4"/>
    <s v="Life Sciences"/>
    <n v="3"/>
    <n v="1"/>
    <x v="0"/>
    <n v="2743"/>
    <n v="1"/>
    <n v="3"/>
    <n v="17"/>
    <n v="1"/>
    <x v="0"/>
    <x v="1"/>
    <x v="1"/>
    <n v="2.3333333333333335"/>
    <s v="Master"/>
    <s v="High"/>
    <x v="3"/>
    <s v="High"/>
  </r>
  <r>
    <n v="39"/>
    <x v="1"/>
    <x v="1"/>
    <n v="22"/>
    <n v="3"/>
    <s v="Medical"/>
    <n v="4"/>
    <n v="1"/>
    <x v="0"/>
    <n v="10880"/>
    <n v="1"/>
    <n v="3"/>
    <n v="21"/>
    <n v="0"/>
    <x v="0"/>
    <x v="2"/>
    <x v="1"/>
    <n v="2.6666666666666665"/>
    <s v="Bachelor"/>
    <s v="Very High"/>
    <x v="3"/>
    <s v="High"/>
  </r>
  <r>
    <n v="33"/>
    <x v="1"/>
    <x v="0"/>
    <n v="8"/>
    <n v="1"/>
    <s v="Life Sciences"/>
    <n v="2"/>
    <n v="4"/>
    <x v="0"/>
    <n v="2342"/>
    <n v="0"/>
    <n v="2"/>
    <n v="2"/>
    <n v="0"/>
    <x v="2"/>
    <x v="1"/>
    <x v="3"/>
    <n v="2.6666666666666665"/>
    <s v="Below College"/>
    <s v="Medium"/>
    <x v="0"/>
    <s v="Medium"/>
  </r>
  <r>
    <n v="45"/>
    <x v="1"/>
    <x v="0"/>
    <n v="11"/>
    <n v="2"/>
    <s v="Life Sciences"/>
    <n v="4"/>
    <n v="4"/>
    <x v="1"/>
    <n v="17650"/>
    <n v="3"/>
    <n v="4"/>
    <n v="9"/>
    <n v="0"/>
    <x v="1"/>
    <x v="2"/>
    <x v="0"/>
    <n v="4"/>
    <s v="College"/>
    <s v="Very High"/>
    <x v="0"/>
    <s v="Very High"/>
  </r>
  <r>
    <n v="32"/>
    <x v="1"/>
    <x v="1"/>
    <n v="29"/>
    <n v="4"/>
    <s v="Medical"/>
    <n v="4"/>
    <n v="3"/>
    <x v="0"/>
    <n v="4025"/>
    <n v="9"/>
    <n v="3"/>
    <n v="8"/>
    <n v="0"/>
    <x v="2"/>
    <x v="0"/>
    <x v="0"/>
    <n v="3.3333333333333335"/>
    <s v="Master"/>
    <s v="Very High"/>
    <x v="2"/>
    <s v="High"/>
  </r>
  <r>
    <n v="34"/>
    <x v="1"/>
    <x v="0"/>
    <n v="1"/>
    <n v="4"/>
    <s v="Marketing"/>
    <n v="2"/>
    <n v="4"/>
    <x v="2"/>
    <n v="9725"/>
    <n v="0"/>
    <n v="2"/>
    <n v="15"/>
    <n v="0"/>
    <x v="2"/>
    <x v="2"/>
    <x v="1"/>
    <n v="2.6666666666666665"/>
    <s v="Master"/>
    <s v="Medium"/>
    <x v="0"/>
    <s v="Medium"/>
  </r>
  <r>
    <n v="59"/>
    <x v="1"/>
    <x v="0"/>
    <n v="1"/>
    <n v="2"/>
    <s v="Technical Degree"/>
    <n v="2"/>
    <n v="4"/>
    <x v="1"/>
    <n v="11904"/>
    <n v="3"/>
    <n v="1"/>
    <n v="6"/>
    <n v="0"/>
    <x v="3"/>
    <x v="2"/>
    <x v="0"/>
    <n v="2.3333333333333335"/>
    <s v="College"/>
    <s v="Medium"/>
    <x v="0"/>
    <s v="Low"/>
  </r>
  <r>
    <n v="45"/>
    <x v="1"/>
    <x v="2"/>
    <n v="24"/>
    <n v="4"/>
    <s v="Medical"/>
    <n v="2"/>
    <n v="2"/>
    <x v="0"/>
    <n v="2177"/>
    <n v="1"/>
    <n v="3"/>
    <n v="6"/>
    <n v="0"/>
    <x v="1"/>
    <x v="1"/>
    <x v="0"/>
    <n v="2.3333333333333335"/>
    <s v="Master"/>
    <s v="Medium"/>
    <x v="1"/>
    <s v="High"/>
  </r>
  <r>
    <n v="53"/>
    <x v="1"/>
    <x v="0"/>
    <n v="2"/>
    <n v="3"/>
    <s v="Marketing"/>
    <n v="3"/>
    <n v="2"/>
    <x v="1"/>
    <n v="7525"/>
    <n v="2"/>
    <n v="3"/>
    <n v="15"/>
    <n v="0"/>
    <x v="1"/>
    <x v="2"/>
    <x v="1"/>
    <n v="2.6666666666666665"/>
    <s v="Bachelor"/>
    <s v="High"/>
    <x v="1"/>
    <s v="High"/>
  </r>
  <r>
    <n v="36"/>
    <x v="0"/>
    <x v="1"/>
    <n v="15"/>
    <n v="3"/>
    <s v="Other"/>
    <n v="1"/>
    <n v="3"/>
    <x v="2"/>
    <n v="4834"/>
    <n v="7"/>
    <n v="2"/>
    <n v="1"/>
    <n v="1"/>
    <x v="0"/>
    <x v="0"/>
    <x v="2"/>
    <n v="2"/>
    <s v="Bachelor"/>
    <s v="Low"/>
    <x v="2"/>
    <s v="Medium"/>
  </r>
  <r>
    <n v="26"/>
    <x v="0"/>
    <x v="1"/>
    <n v="2"/>
    <n v="3"/>
    <s v="Life Sciences"/>
    <n v="1"/>
    <n v="1"/>
    <x v="1"/>
    <n v="2042"/>
    <n v="6"/>
    <n v="3"/>
    <n v="3"/>
    <n v="1"/>
    <x v="2"/>
    <x v="1"/>
    <x v="3"/>
    <n v="1.6666666666666667"/>
    <s v="Bachelor"/>
    <s v="Low"/>
    <x v="3"/>
    <s v="High"/>
  </r>
  <r>
    <n v="34"/>
    <x v="1"/>
    <x v="0"/>
    <n v="10"/>
    <n v="4"/>
    <s v="Life Sciences"/>
    <n v="3"/>
    <n v="3"/>
    <x v="1"/>
    <n v="2220"/>
    <n v="1"/>
    <n v="3"/>
    <n v="1"/>
    <n v="0"/>
    <x v="2"/>
    <x v="1"/>
    <x v="2"/>
    <n v="3"/>
    <s v="Master"/>
    <s v="High"/>
    <x v="2"/>
    <s v="High"/>
  </r>
  <r>
    <n v="28"/>
    <x v="1"/>
    <x v="0"/>
    <n v="10"/>
    <n v="1"/>
    <s v="Medical"/>
    <n v="4"/>
    <n v="2"/>
    <x v="1"/>
    <n v="1052"/>
    <n v="1"/>
    <n v="3"/>
    <n v="1"/>
    <n v="0"/>
    <x v="2"/>
    <x v="1"/>
    <x v="2"/>
    <n v="3"/>
    <s v="Below College"/>
    <s v="Very High"/>
    <x v="1"/>
    <s v="High"/>
  </r>
  <r>
    <n v="38"/>
    <x v="1"/>
    <x v="1"/>
    <n v="3"/>
    <n v="4"/>
    <s v="Other"/>
    <n v="3"/>
    <n v="3"/>
    <x v="1"/>
    <n v="2821"/>
    <n v="3"/>
    <n v="3"/>
    <n v="2"/>
    <n v="0"/>
    <x v="0"/>
    <x v="1"/>
    <x v="3"/>
    <n v="3"/>
    <s v="Master"/>
    <s v="High"/>
    <x v="2"/>
    <s v="High"/>
  </r>
  <r>
    <n v="50"/>
    <x v="1"/>
    <x v="1"/>
    <n v="2"/>
    <n v="4"/>
    <s v="Medical"/>
    <n v="2"/>
    <n v="3"/>
    <x v="1"/>
    <n v="19237"/>
    <n v="2"/>
    <n v="2"/>
    <n v="8"/>
    <n v="0"/>
    <x v="1"/>
    <x v="2"/>
    <x v="0"/>
    <n v="2.3333333333333335"/>
    <s v="Master"/>
    <s v="Medium"/>
    <x v="2"/>
    <s v="Medium"/>
  </r>
  <r>
    <n v="37"/>
    <x v="1"/>
    <x v="1"/>
    <n v="3"/>
    <n v="3"/>
    <s v="Other"/>
    <n v="4"/>
    <n v="2"/>
    <x v="0"/>
    <n v="4107"/>
    <n v="3"/>
    <n v="2"/>
    <n v="4"/>
    <n v="0"/>
    <x v="0"/>
    <x v="0"/>
    <x v="3"/>
    <n v="2.6666666666666665"/>
    <s v="Bachelor"/>
    <s v="Very High"/>
    <x v="1"/>
    <s v="Medium"/>
  </r>
  <r>
    <n v="40"/>
    <x v="1"/>
    <x v="0"/>
    <n v="26"/>
    <n v="3"/>
    <s v="Marketing"/>
    <n v="3"/>
    <n v="1"/>
    <x v="1"/>
    <n v="8396"/>
    <n v="1"/>
    <n v="2"/>
    <n v="7"/>
    <n v="0"/>
    <x v="0"/>
    <x v="2"/>
    <x v="0"/>
    <n v="2"/>
    <s v="Bachelor"/>
    <s v="High"/>
    <x v="3"/>
    <s v="Medium"/>
  </r>
  <r>
    <n v="26"/>
    <x v="1"/>
    <x v="1"/>
    <n v="1"/>
    <n v="1"/>
    <s v="Medical"/>
    <n v="1"/>
    <n v="3"/>
    <x v="2"/>
    <n v="2007"/>
    <n v="1"/>
    <n v="3"/>
    <n v="5"/>
    <n v="0"/>
    <x v="2"/>
    <x v="1"/>
    <x v="0"/>
    <n v="2.3333333333333335"/>
    <s v="Below College"/>
    <s v="Low"/>
    <x v="2"/>
    <s v="High"/>
  </r>
  <r>
    <n v="46"/>
    <x v="1"/>
    <x v="1"/>
    <n v="1"/>
    <n v="4"/>
    <s v="Medical"/>
    <n v="4"/>
    <n v="4"/>
    <x v="2"/>
    <n v="19627"/>
    <n v="9"/>
    <n v="3"/>
    <n v="2"/>
    <n v="0"/>
    <x v="1"/>
    <x v="2"/>
    <x v="3"/>
    <n v="3.6666666666666665"/>
    <s v="Master"/>
    <s v="Very High"/>
    <x v="0"/>
    <s v="High"/>
  </r>
  <r>
    <n v="54"/>
    <x v="1"/>
    <x v="0"/>
    <n v="2"/>
    <n v="4"/>
    <s v="Life Sciences"/>
    <n v="3"/>
    <n v="3"/>
    <x v="1"/>
    <n v="10686"/>
    <n v="6"/>
    <n v="3"/>
    <n v="9"/>
    <n v="0"/>
    <x v="1"/>
    <x v="2"/>
    <x v="0"/>
    <n v="3"/>
    <s v="Master"/>
    <s v="High"/>
    <x v="2"/>
    <s v="High"/>
  </r>
  <r>
    <n v="56"/>
    <x v="1"/>
    <x v="1"/>
    <n v="9"/>
    <n v="3"/>
    <s v="Medical"/>
    <n v="1"/>
    <n v="3"/>
    <x v="1"/>
    <n v="2942"/>
    <n v="2"/>
    <n v="3"/>
    <n v="5"/>
    <n v="0"/>
    <x v="3"/>
    <x v="1"/>
    <x v="0"/>
    <n v="2.3333333333333335"/>
    <s v="Bachelor"/>
    <s v="Low"/>
    <x v="2"/>
    <s v="High"/>
  </r>
  <r>
    <n v="36"/>
    <x v="1"/>
    <x v="1"/>
    <n v="12"/>
    <n v="5"/>
    <s v="Medical"/>
    <n v="4"/>
    <n v="4"/>
    <x v="0"/>
    <n v="8858"/>
    <n v="0"/>
    <n v="2"/>
    <n v="14"/>
    <n v="0"/>
    <x v="0"/>
    <x v="2"/>
    <x v="1"/>
    <n v="3.3333333333333335"/>
    <s v="Doctor"/>
    <s v="Very High"/>
    <x v="0"/>
    <s v="Medium"/>
  </r>
  <r>
    <n v="55"/>
    <x v="1"/>
    <x v="1"/>
    <n v="2"/>
    <n v="1"/>
    <s v="Medical"/>
    <n v="3"/>
    <n v="1"/>
    <x v="0"/>
    <n v="16756"/>
    <n v="7"/>
    <n v="4"/>
    <n v="9"/>
    <n v="0"/>
    <x v="3"/>
    <x v="2"/>
    <x v="0"/>
    <n v="2.6666666666666665"/>
    <s v="Below College"/>
    <s v="High"/>
    <x v="3"/>
    <s v="Very High"/>
  </r>
  <r>
    <n v="43"/>
    <x v="1"/>
    <x v="0"/>
    <n v="25"/>
    <n v="3"/>
    <s v="Medical"/>
    <n v="3"/>
    <n v="4"/>
    <x v="2"/>
    <n v="10798"/>
    <n v="5"/>
    <n v="3"/>
    <n v="1"/>
    <n v="0"/>
    <x v="0"/>
    <x v="2"/>
    <x v="2"/>
    <n v="3.3333333333333335"/>
    <s v="Bachelor"/>
    <s v="High"/>
    <x v="0"/>
    <s v="High"/>
  </r>
  <r>
    <n v="20"/>
    <x v="0"/>
    <x v="0"/>
    <n v="9"/>
    <n v="3"/>
    <s v="Marketing"/>
    <n v="4"/>
    <n v="4"/>
    <x v="0"/>
    <n v="2323"/>
    <n v="1"/>
    <n v="3"/>
    <n v="2"/>
    <n v="1"/>
    <x v="4"/>
    <x v="1"/>
    <x v="3"/>
    <n v="3.6666666666666665"/>
    <s v="Bachelor"/>
    <s v="Very High"/>
    <x v="0"/>
    <s v="High"/>
  </r>
  <r>
    <n v="21"/>
    <x v="0"/>
    <x v="1"/>
    <n v="10"/>
    <n v="3"/>
    <s v="Life Sciences"/>
    <n v="3"/>
    <n v="1"/>
    <x v="0"/>
    <n v="1416"/>
    <n v="1"/>
    <n v="2"/>
    <n v="1"/>
    <n v="1"/>
    <x v="4"/>
    <x v="1"/>
    <x v="2"/>
    <n v="2"/>
    <s v="Bachelor"/>
    <s v="High"/>
    <x v="3"/>
    <s v="Medium"/>
  </r>
  <r>
    <n v="46"/>
    <x v="1"/>
    <x v="1"/>
    <n v="8"/>
    <n v="4"/>
    <s v="Life Sciences"/>
    <n v="4"/>
    <n v="1"/>
    <x v="2"/>
    <n v="4615"/>
    <n v="8"/>
    <n v="3"/>
    <n v="16"/>
    <n v="0"/>
    <x v="1"/>
    <x v="0"/>
    <x v="1"/>
    <n v="2.6666666666666665"/>
    <s v="Master"/>
    <s v="Very High"/>
    <x v="3"/>
    <s v="High"/>
  </r>
  <r>
    <n v="51"/>
    <x v="0"/>
    <x v="1"/>
    <n v="4"/>
    <n v="4"/>
    <s v="Life Sciences"/>
    <n v="1"/>
    <n v="3"/>
    <x v="1"/>
    <n v="2461"/>
    <n v="9"/>
    <n v="4"/>
    <n v="10"/>
    <n v="1"/>
    <x v="1"/>
    <x v="1"/>
    <x v="1"/>
    <n v="2.6666666666666665"/>
    <s v="Master"/>
    <s v="Low"/>
    <x v="2"/>
    <s v="Very High"/>
  </r>
  <r>
    <n v="28"/>
    <x v="0"/>
    <x v="1"/>
    <n v="24"/>
    <n v="2"/>
    <s v="Technical Degree"/>
    <n v="2"/>
    <n v="1"/>
    <x v="0"/>
    <n v="8722"/>
    <n v="1"/>
    <n v="2"/>
    <n v="10"/>
    <n v="1"/>
    <x v="2"/>
    <x v="2"/>
    <x v="1"/>
    <n v="1.6666666666666667"/>
    <s v="College"/>
    <s v="Medium"/>
    <x v="3"/>
    <s v="Medium"/>
  </r>
  <r>
    <n v="26"/>
    <x v="1"/>
    <x v="1"/>
    <n v="1"/>
    <n v="2"/>
    <s v="Medical"/>
    <n v="1"/>
    <n v="1"/>
    <x v="1"/>
    <n v="3955"/>
    <n v="1"/>
    <n v="3"/>
    <n v="5"/>
    <n v="0"/>
    <x v="2"/>
    <x v="0"/>
    <x v="0"/>
    <n v="1.6666666666666667"/>
    <s v="College"/>
    <s v="Low"/>
    <x v="3"/>
    <s v="High"/>
  </r>
  <r>
    <n v="30"/>
    <x v="1"/>
    <x v="1"/>
    <n v="20"/>
    <n v="3"/>
    <s v="Other"/>
    <n v="3"/>
    <n v="1"/>
    <x v="1"/>
    <n v="9957"/>
    <n v="0"/>
    <n v="2"/>
    <n v="6"/>
    <n v="0"/>
    <x v="2"/>
    <x v="2"/>
    <x v="0"/>
    <n v="2"/>
    <s v="Bachelor"/>
    <s v="High"/>
    <x v="3"/>
    <s v="Medium"/>
  </r>
  <r>
    <n v="41"/>
    <x v="1"/>
    <x v="1"/>
    <n v="7"/>
    <n v="2"/>
    <s v="Technical Degree"/>
    <n v="2"/>
    <n v="3"/>
    <x v="1"/>
    <n v="3376"/>
    <n v="1"/>
    <n v="3"/>
    <n v="10"/>
    <n v="0"/>
    <x v="0"/>
    <x v="0"/>
    <x v="1"/>
    <n v="2.6666666666666665"/>
    <s v="College"/>
    <s v="Medium"/>
    <x v="2"/>
    <s v="High"/>
  </r>
  <r>
    <n v="38"/>
    <x v="1"/>
    <x v="1"/>
    <n v="17"/>
    <n v="1"/>
    <s v="Life Sciences"/>
    <n v="3"/>
    <n v="3"/>
    <x v="1"/>
    <n v="8823"/>
    <n v="0"/>
    <n v="2"/>
    <n v="19"/>
    <n v="0"/>
    <x v="0"/>
    <x v="2"/>
    <x v="1"/>
    <n v="2.6666666666666665"/>
    <s v="Below College"/>
    <s v="High"/>
    <x v="2"/>
    <s v="Medium"/>
  </r>
  <r>
    <n v="40"/>
    <x v="1"/>
    <x v="1"/>
    <n v="20"/>
    <n v="4"/>
    <s v="Technical Degree"/>
    <n v="1"/>
    <n v="4"/>
    <x v="1"/>
    <n v="10322"/>
    <n v="4"/>
    <n v="3"/>
    <n v="11"/>
    <n v="0"/>
    <x v="0"/>
    <x v="2"/>
    <x v="1"/>
    <n v="2.6666666666666665"/>
    <s v="Master"/>
    <s v="Low"/>
    <x v="0"/>
    <s v="High"/>
  </r>
  <r>
    <n v="27"/>
    <x v="1"/>
    <x v="1"/>
    <n v="8"/>
    <n v="5"/>
    <s v="Life Sciences"/>
    <n v="1"/>
    <n v="3"/>
    <x v="1"/>
    <n v="4621"/>
    <n v="1"/>
    <n v="3"/>
    <n v="3"/>
    <n v="0"/>
    <x v="2"/>
    <x v="0"/>
    <x v="3"/>
    <n v="2.3333333333333335"/>
    <s v="Doctor"/>
    <s v="Low"/>
    <x v="2"/>
    <s v="High"/>
  </r>
  <r>
    <n v="55"/>
    <x v="1"/>
    <x v="1"/>
    <n v="2"/>
    <n v="1"/>
    <s v="Life Sciences"/>
    <n v="4"/>
    <n v="2"/>
    <x v="1"/>
    <n v="10976"/>
    <n v="3"/>
    <n v="3"/>
    <n v="3"/>
    <n v="0"/>
    <x v="3"/>
    <x v="2"/>
    <x v="3"/>
    <n v="3"/>
    <s v="Below College"/>
    <s v="Very High"/>
    <x v="1"/>
    <s v="High"/>
  </r>
  <r>
    <n v="28"/>
    <x v="1"/>
    <x v="1"/>
    <n v="10"/>
    <n v="3"/>
    <s v="Other"/>
    <n v="3"/>
    <n v="3"/>
    <x v="0"/>
    <n v="3660"/>
    <n v="3"/>
    <n v="4"/>
    <n v="8"/>
    <n v="0"/>
    <x v="2"/>
    <x v="0"/>
    <x v="0"/>
    <n v="3.3333333333333335"/>
    <s v="Bachelor"/>
    <s v="High"/>
    <x v="2"/>
    <s v="Very High"/>
  </r>
  <r>
    <n v="44"/>
    <x v="0"/>
    <x v="2"/>
    <n v="1"/>
    <n v="2"/>
    <s v="Medical"/>
    <n v="2"/>
    <n v="1"/>
    <x v="1"/>
    <n v="10482"/>
    <n v="9"/>
    <n v="3"/>
    <n v="20"/>
    <n v="1"/>
    <x v="0"/>
    <x v="2"/>
    <x v="1"/>
    <n v="2"/>
    <s v="College"/>
    <s v="Medium"/>
    <x v="3"/>
    <s v="High"/>
  </r>
  <r>
    <n v="33"/>
    <x v="1"/>
    <x v="1"/>
    <n v="5"/>
    <n v="3"/>
    <s v="Life Sciences"/>
    <n v="4"/>
    <n v="4"/>
    <x v="2"/>
    <n v="7119"/>
    <n v="4"/>
    <n v="3"/>
    <n v="3"/>
    <n v="0"/>
    <x v="2"/>
    <x v="2"/>
    <x v="3"/>
    <n v="3.6666666666666665"/>
    <s v="Bachelor"/>
    <s v="Very High"/>
    <x v="0"/>
    <s v="High"/>
  </r>
  <r>
    <n v="35"/>
    <x v="0"/>
    <x v="0"/>
    <n v="4"/>
    <n v="3"/>
    <s v="Technical Degree"/>
    <n v="4"/>
    <n v="1"/>
    <x v="0"/>
    <n v="9582"/>
    <n v="0"/>
    <n v="3"/>
    <n v="8"/>
    <n v="1"/>
    <x v="0"/>
    <x v="2"/>
    <x v="0"/>
    <n v="2.6666666666666665"/>
    <s v="Bachelor"/>
    <s v="Very High"/>
    <x v="3"/>
    <s v="High"/>
  </r>
  <r>
    <n v="33"/>
    <x v="0"/>
    <x v="1"/>
    <n v="29"/>
    <n v="4"/>
    <s v="Medical"/>
    <n v="1"/>
    <n v="3"/>
    <x v="0"/>
    <n v="4508"/>
    <n v="1"/>
    <n v="3"/>
    <n v="13"/>
    <n v="1"/>
    <x v="2"/>
    <x v="0"/>
    <x v="1"/>
    <n v="2.3333333333333335"/>
    <s v="Master"/>
    <s v="Low"/>
    <x v="2"/>
    <s v="High"/>
  </r>
  <r>
    <n v="28"/>
    <x v="1"/>
    <x v="1"/>
    <n v="15"/>
    <n v="2"/>
    <s v="Life Sciences"/>
    <n v="1"/>
    <n v="3"/>
    <x v="2"/>
    <n v="2207"/>
    <n v="1"/>
    <n v="2"/>
    <n v="4"/>
    <n v="0"/>
    <x v="2"/>
    <x v="1"/>
    <x v="3"/>
    <n v="2"/>
    <s v="College"/>
    <s v="Low"/>
    <x v="2"/>
    <s v="Medium"/>
  </r>
  <r>
    <n v="34"/>
    <x v="1"/>
    <x v="1"/>
    <n v="3"/>
    <n v="1"/>
    <s v="Life Sciences"/>
    <n v="1"/>
    <n v="4"/>
    <x v="0"/>
    <n v="7756"/>
    <n v="0"/>
    <n v="2"/>
    <n v="6"/>
    <n v="0"/>
    <x v="2"/>
    <x v="2"/>
    <x v="0"/>
    <n v="2.3333333333333335"/>
    <s v="Below College"/>
    <s v="Low"/>
    <x v="0"/>
    <s v="Medium"/>
  </r>
  <r>
    <n v="37"/>
    <x v="1"/>
    <x v="0"/>
    <n v="10"/>
    <n v="4"/>
    <s v="Life Sciences"/>
    <n v="4"/>
    <n v="4"/>
    <x v="2"/>
    <n v="6694"/>
    <n v="2"/>
    <n v="3"/>
    <n v="1"/>
    <n v="0"/>
    <x v="0"/>
    <x v="0"/>
    <x v="2"/>
    <n v="3.6666666666666665"/>
    <s v="Master"/>
    <s v="Very High"/>
    <x v="0"/>
    <s v="High"/>
  </r>
  <r>
    <n v="25"/>
    <x v="0"/>
    <x v="1"/>
    <n v="4"/>
    <n v="1"/>
    <s v="Technical Degree"/>
    <n v="4"/>
    <n v="4"/>
    <x v="1"/>
    <n v="3691"/>
    <n v="1"/>
    <n v="4"/>
    <n v="7"/>
    <n v="1"/>
    <x v="2"/>
    <x v="0"/>
    <x v="0"/>
    <n v="4"/>
    <s v="Below College"/>
    <s v="Very High"/>
    <x v="0"/>
    <s v="Very High"/>
  </r>
  <r>
    <n v="26"/>
    <x v="0"/>
    <x v="1"/>
    <n v="21"/>
    <n v="3"/>
    <s v="Medical"/>
    <n v="1"/>
    <n v="3"/>
    <x v="2"/>
    <n v="2377"/>
    <n v="1"/>
    <n v="2"/>
    <n v="1"/>
    <n v="1"/>
    <x v="2"/>
    <x v="1"/>
    <x v="2"/>
    <n v="2"/>
    <s v="Bachelor"/>
    <s v="Low"/>
    <x v="2"/>
    <s v="Medium"/>
  </r>
  <r>
    <n v="33"/>
    <x v="0"/>
    <x v="1"/>
    <n v="25"/>
    <n v="3"/>
    <s v="Medical"/>
    <n v="1"/>
    <n v="2"/>
    <x v="0"/>
    <n v="2313"/>
    <n v="4"/>
    <n v="3"/>
    <n v="2"/>
    <n v="1"/>
    <x v="2"/>
    <x v="1"/>
    <x v="3"/>
    <n v="2"/>
    <s v="Bachelor"/>
    <s v="Low"/>
    <x v="1"/>
    <s v="High"/>
  </r>
  <r>
    <n v="42"/>
    <x v="1"/>
    <x v="1"/>
    <n v="2"/>
    <n v="2"/>
    <s v="Medical"/>
    <n v="4"/>
    <n v="1"/>
    <x v="1"/>
    <n v="17665"/>
    <n v="0"/>
    <n v="3"/>
    <n v="22"/>
    <n v="0"/>
    <x v="0"/>
    <x v="2"/>
    <x v="1"/>
    <n v="2.6666666666666665"/>
    <s v="College"/>
    <s v="Very High"/>
    <x v="3"/>
    <s v="High"/>
  </r>
  <r>
    <n v="28"/>
    <x v="0"/>
    <x v="1"/>
    <n v="1"/>
    <n v="3"/>
    <s v="Medical"/>
    <n v="1"/>
    <n v="2"/>
    <x v="2"/>
    <n v="2596"/>
    <n v="1"/>
    <n v="3"/>
    <n v="1"/>
    <n v="1"/>
    <x v="2"/>
    <x v="1"/>
    <x v="2"/>
    <n v="2"/>
    <s v="Bachelor"/>
    <s v="Low"/>
    <x v="1"/>
    <s v="High"/>
  </r>
  <r>
    <n v="50"/>
    <x v="0"/>
    <x v="0"/>
    <n v="1"/>
    <n v="4"/>
    <s v="Other"/>
    <n v="4"/>
    <n v="3"/>
    <x v="0"/>
    <n v="4728"/>
    <n v="3"/>
    <n v="3"/>
    <n v="0"/>
    <n v="1"/>
    <x v="1"/>
    <x v="0"/>
    <x v="2"/>
    <n v="3.3333333333333335"/>
    <s v="Master"/>
    <s v="Very High"/>
    <x v="2"/>
    <s v="High"/>
  </r>
  <r>
    <n v="33"/>
    <x v="1"/>
    <x v="0"/>
    <n v="7"/>
    <n v="3"/>
    <s v="Life Sciences"/>
    <n v="4"/>
    <n v="2"/>
    <x v="1"/>
    <n v="4302"/>
    <n v="0"/>
    <n v="3"/>
    <n v="3"/>
    <n v="0"/>
    <x v="2"/>
    <x v="0"/>
    <x v="3"/>
    <n v="3"/>
    <s v="Bachelor"/>
    <s v="Very High"/>
    <x v="1"/>
    <s v="High"/>
  </r>
  <r>
    <n v="34"/>
    <x v="1"/>
    <x v="1"/>
    <n v="3"/>
    <n v="4"/>
    <s v="Life Sciences"/>
    <n v="3"/>
    <n v="4"/>
    <x v="1"/>
    <n v="2979"/>
    <n v="3"/>
    <n v="3"/>
    <n v="0"/>
    <n v="0"/>
    <x v="2"/>
    <x v="1"/>
    <x v="2"/>
    <n v="3.3333333333333335"/>
    <s v="Master"/>
    <s v="High"/>
    <x v="0"/>
    <s v="High"/>
  </r>
  <r>
    <n v="48"/>
    <x v="1"/>
    <x v="1"/>
    <n v="1"/>
    <n v="4"/>
    <s v="Medical"/>
    <n v="1"/>
    <n v="4"/>
    <x v="0"/>
    <n v="16885"/>
    <n v="2"/>
    <n v="2"/>
    <n v="5"/>
    <n v="0"/>
    <x v="1"/>
    <x v="2"/>
    <x v="0"/>
    <n v="2.3333333333333335"/>
    <s v="Master"/>
    <s v="Low"/>
    <x v="0"/>
    <s v="Medium"/>
  </r>
  <r>
    <n v="45"/>
    <x v="1"/>
    <x v="0"/>
    <n v="9"/>
    <n v="4"/>
    <s v="Life Sciences"/>
    <n v="2"/>
    <n v="3"/>
    <x v="1"/>
    <n v="5593"/>
    <n v="1"/>
    <n v="3"/>
    <n v="15"/>
    <n v="0"/>
    <x v="1"/>
    <x v="0"/>
    <x v="1"/>
    <n v="2.6666666666666665"/>
    <s v="Master"/>
    <s v="Medium"/>
    <x v="2"/>
    <s v="High"/>
  </r>
  <r>
    <n v="52"/>
    <x v="1"/>
    <x v="1"/>
    <n v="7"/>
    <n v="4"/>
    <s v="Life Sciences"/>
    <n v="2"/>
    <n v="2"/>
    <x v="0"/>
    <n v="10445"/>
    <n v="7"/>
    <n v="3"/>
    <n v="8"/>
    <n v="0"/>
    <x v="1"/>
    <x v="2"/>
    <x v="0"/>
    <n v="2.3333333333333335"/>
    <s v="Master"/>
    <s v="Medium"/>
    <x v="1"/>
    <s v="High"/>
  </r>
  <r>
    <n v="38"/>
    <x v="1"/>
    <x v="0"/>
    <n v="10"/>
    <n v="4"/>
    <s v="Marketing"/>
    <n v="3"/>
    <n v="3"/>
    <x v="2"/>
    <n v="8740"/>
    <n v="0"/>
    <n v="3"/>
    <n v="8"/>
    <n v="0"/>
    <x v="0"/>
    <x v="2"/>
    <x v="0"/>
    <n v="3"/>
    <s v="Master"/>
    <s v="High"/>
    <x v="2"/>
    <s v="High"/>
  </r>
  <r>
    <n v="29"/>
    <x v="1"/>
    <x v="1"/>
    <n v="28"/>
    <n v="4"/>
    <s v="Life Sciences"/>
    <n v="3"/>
    <n v="4"/>
    <x v="2"/>
    <n v="2514"/>
    <n v="4"/>
    <n v="3"/>
    <n v="7"/>
    <n v="0"/>
    <x v="2"/>
    <x v="1"/>
    <x v="0"/>
    <n v="3.3333333333333335"/>
    <s v="Master"/>
    <s v="High"/>
    <x v="0"/>
    <s v="High"/>
  </r>
  <r>
    <n v="28"/>
    <x v="1"/>
    <x v="1"/>
    <n v="3"/>
    <n v="3"/>
    <s v="Medical"/>
    <n v="4"/>
    <n v="2"/>
    <x v="2"/>
    <n v="7655"/>
    <n v="0"/>
    <n v="2"/>
    <n v="9"/>
    <n v="0"/>
    <x v="2"/>
    <x v="2"/>
    <x v="0"/>
    <n v="2.6666666666666665"/>
    <s v="Bachelor"/>
    <s v="Very High"/>
    <x v="1"/>
    <s v="Medium"/>
  </r>
  <r>
    <n v="46"/>
    <x v="1"/>
    <x v="0"/>
    <n v="3"/>
    <n v="1"/>
    <s v="Marketing"/>
    <n v="1"/>
    <n v="3"/>
    <x v="1"/>
    <n v="17465"/>
    <n v="3"/>
    <n v="3"/>
    <n v="12"/>
    <n v="0"/>
    <x v="1"/>
    <x v="2"/>
    <x v="1"/>
    <n v="2.3333333333333335"/>
    <s v="Below College"/>
    <s v="Low"/>
    <x v="2"/>
    <s v="High"/>
  </r>
  <r>
    <n v="38"/>
    <x v="1"/>
    <x v="0"/>
    <n v="2"/>
    <n v="2"/>
    <s v="Marketing"/>
    <n v="4"/>
    <n v="2"/>
    <x v="0"/>
    <n v="7351"/>
    <n v="7"/>
    <n v="3"/>
    <n v="1"/>
    <n v="0"/>
    <x v="0"/>
    <x v="2"/>
    <x v="2"/>
    <n v="3"/>
    <s v="College"/>
    <s v="Very High"/>
    <x v="1"/>
    <s v="High"/>
  </r>
  <r>
    <n v="43"/>
    <x v="1"/>
    <x v="1"/>
    <n v="27"/>
    <n v="3"/>
    <s v="Life Sciences"/>
    <n v="3"/>
    <n v="1"/>
    <x v="1"/>
    <n v="10820"/>
    <n v="8"/>
    <n v="3"/>
    <n v="8"/>
    <n v="0"/>
    <x v="0"/>
    <x v="2"/>
    <x v="0"/>
    <n v="2.3333333333333335"/>
    <s v="Bachelor"/>
    <s v="High"/>
    <x v="3"/>
    <s v="High"/>
  </r>
  <r>
    <n v="39"/>
    <x v="0"/>
    <x v="1"/>
    <n v="2"/>
    <n v="3"/>
    <s v="Life Sciences"/>
    <n v="1"/>
    <n v="4"/>
    <x v="2"/>
    <n v="12169"/>
    <n v="7"/>
    <n v="3"/>
    <n v="18"/>
    <n v="1"/>
    <x v="0"/>
    <x v="2"/>
    <x v="1"/>
    <n v="2.6666666666666665"/>
    <s v="Bachelor"/>
    <s v="Low"/>
    <x v="0"/>
    <s v="High"/>
  </r>
  <r>
    <n v="40"/>
    <x v="1"/>
    <x v="1"/>
    <n v="14"/>
    <n v="3"/>
    <s v="Medical"/>
    <n v="3"/>
    <n v="3"/>
    <x v="0"/>
    <n v="19626"/>
    <n v="1"/>
    <n v="4"/>
    <n v="20"/>
    <n v="0"/>
    <x v="0"/>
    <x v="2"/>
    <x v="1"/>
    <n v="3.3333333333333335"/>
    <s v="Bachelor"/>
    <s v="High"/>
    <x v="2"/>
    <s v="Very High"/>
  </r>
  <r>
    <n v="21"/>
    <x v="1"/>
    <x v="1"/>
    <n v="1"/>
    <n v="1"/>
    <s v="Technical Degree"/>
    <n v="4"/>
    <n v="2"/>
    <x v="0"/>
    <n v="2070"/>
    <n v="1"/>
    <n v="4"/>
    <n v="2"/>
    <n v="0"/>
    <x v="4"/>
    <x v="1"/>
    <x v="3"/>
    <n v="3.3333333333333335"/>
    <s v="Below College"/>
    <s v="Very High"/>
    <x v="1"/>
    <s v="Very High"/>
  </r>
  <r>
    <n v="39"/>
    <x v="1"/>
    <x v="1"/>
    <n v="9"/>
    <n v="3"/>
    <s v="Life Sciences"/>
    <n v="3"/>
    <n v="2"/>
    <x v="0"/>
    <n v="6782"/>
    <n v="9"/>
    <n v="2"/>
    <n v="5"/>
    <n v="0"/>
    <x v="0"/>
    <x v="0"/>
    <x v="0"/>
    <n v="2.3333333333333335"/>
    <s v="Bachelor"/>
    <s v="High"/>
    <x v="1"/>
    <s v="Medium"/>
  </r>
  <r>
    <n v="36"/>
    <x v="1"/>
    <x v="1"/>
    <n v="18"/>
    <n v="4"/>
    <s v="Life Sciences"/>
    <n v="1"/>
    <n v="4"/>
    <x v="0"/>
    <n v="7779"/>
    <n v="2"/>
    <n v="3"/>
    <n v="11"/>
    <n v="0"/>
    <x v="0"/>
    <x v="2"/>
    <x v="1"/>
    <n v="2.6666666666666665"/>
    <s v="Master"/>
    <s v="Low"/>
    <x v="0"/>
    <s v="High"/>
  </r>
  <r>
    <n v="31"/>
    <x v="1"/>
    <x v="0"/>
    <n v="20"/>
    <n v="3"/>
    <s v="Life Sciences"/>
    <n v="3"/>
    <n v="4"/>
    <x v="1"/>
    <n v="2791"/>
    <n v="0"/>
    <n v="3"/>
    <n v="2"/>
    <n v="0"/>
    <x v="2"/>
    <x v="1"/>
    <x v="3"/>
    <n v="3.3333333333333335"/>
    <s v="Bachelor"/>
    <s v="High"/>
    <x v="0"/>
    <s v="High"/>
  </r>
  <r>
    <n v="28"/>
    <x v="1"/>
    <x v="1"/>
    <n v="2"/>
    <n v="1"/>
    <s v="Life Sciences"/>
    <n v="1"/>
    <n v="2"/>
    <x v="1"/>
    <n v="3201"/>
    <n v="0"/>
    <n v="1"/>
    <n v="5"/>
    <n v="0"/>
    <x v="2"/>
    <x v="0"/>
    <x v="0"/>
    <n v="1.3333333333333333"/>
    <s v="Below College"/>
    <s v="Low"/>
    <x v="1"/>
    <s v="Low"/>
  </r>
  <r>
    <n v="35"/>
    <x v="1"/>
    <x v="0"/>
    <n v="11"/>
    <n v="2"/>
    <s v="Marketing"/>
    <n v="4"/>
    <n v="4"/>
    <x v="2"/>
    <n v="4968"/>
    <n v="1"/>
    <n v="3"/>
    <n v="5"/>
    <n v="0"/>
    <x v="0"/>
    <x v="0"/>
    <x v="0"/>
    <n v="3.6666666666666665"/>
    <s v="College"/>
    <s v="Very High"/>
    <x v="0"/>
    <s v="High"/>
  </r>
  <r>
    <n v="49"/>
    <x v="1"/>
    <x v="0"/>
    <n v="8"/>
    <n v="4"/>
    <s v="Technical Degree"/>
    <n v="4"/>
    <n v="2"/>
    <x v="1"/>
    <n v="13120"/>
    <n v="6"/>
    <n v="3"/>
    <n v="9"/>
    <n v="0"/>
    <x v="1"/>
    <x v="2"/>
    <x v="0"/>
    <n v="3"/>
    <s v="Master"/>
    <s v="Very High"/>
    <x v="1"/>
    <s v="High"/>
  </r>
  <r>
    <n v="34"/>
    <x v="1"/>
    <x v="1"/>
    <n v="2"/>
    <n v="2"/>
    <s v="Life Sciences"/>
    <n v="4"/>
    <n v="3"/>
    <x v="0"/>
    <n v="4033"/>
    <n v="2"/>
    <n v="2"/>
    <n v="3"/>
    <n v="0"/>
    <x v="2"/>
    <x v="0"/>
    <x v="3"/>
    <n v="3"/>
    <s v="College"/>
    <s v="Very High"/>
    <x v="2"/>
    <s v="Medium"/>
  </r>
  <r>
    <n v="29"/>
    <x v="1"/>
    <x v="1"/>
    <n v="10"/>
    <n v="3"/>
    <s v="Life Sciences"/>
    <n v="4"/>
    <n v="2"/>
    <x v="2"/>
    <n v="3291"/>
    <n v="0"/>
    <n v="2"/>
    <n v="7"/>
    <n v="0"/>
    <x v="2"/>
    <x v="0"/>
    <x v="0"/>
    <n v="2.6666666666666665"/>
    <s v="Bachelor"/>
    <s v="Very High"/>
    <x v="1"/>
    <s v="Medium"/>
  </r>
  <r>
    <n v="42"/>
    <x v="1"/>
    <x v="1"/>
    <n v="29"/>
    <n v="3"/>
    <s v="Medical"/>
    <n v="2"/>
    <n v="4"/>
    <x v="0"/>
    <n v="4272"/>
    <n v="4"/>
    <n v="3"/>
    <n v="1"/>
    <n v="0"/>
    <x v="0"/>
    <x v="0"/>
    <x v="2"/>
    <n v="3"/>
    <s v="Bachelor"/>
    <s v="Medium"/>
    <x v="0"/>
    <s v="High"/>
  </r>
  <r>
    <n v="29"/>
    <x v="1"/>
    <x v="1"/>
    <n v="8"/>
    <n v="1"/>
    <s v="Medical"/>
    <n v="2"/>
    <n v="4"/>
    <x v="1"/>
    <n v="5056"/>
    <n v="1"/>
    <n v="2"/>
    <n v="10"/>
    <n v="0"/>
    <x v="2"/>
    <x v="0"/>
    <x v="1"/>
    <n v="2.6666666666666665"/>
    <s v="Below College"/>
    <s v="Medium"/>
    <x v="0"/>
    <s v="Medium"/>
  </r>
  <r>
    <n v="38"/>
    <x v="1"/>
    <x v="2"/>
    <n v="1"/>
    <n v="3"/>
    <s v="Human Resources"/>
    <n v="3"/>
    <n v="3"/>
    <x v="1"/>
    <n v="2844"/>
    <n v="1"/>
    <n v="4"/>
    <n v="7"/>
    <n v="0"/>
    <x v="0"/>
    <x v="1"/>
    <x v="0"/>
    <n v="3.3333333333333335"/>
    <s v="Bachelor"/>
    <s v="High"/>
    <x v="2"/>
    <s v="Very High"/>
  </r>
  <r>
    <n v="28"/>
    <x v="1"/>
    <x v="1"/>
    <n v="6"/>
    <n v="3"/>
    <s v="Life Sciences"/>
    <n v="3"/>
    <n v="3"/>
    <x v="2"/>
    <n v="2703"/>
    <n v="1"/>
    <n v="3"/>
    <n v="3"/>
    <n v="0"/>
    <x v="2"/>
    <x v="1"/>
    <x v="3"/>
    <n v="3"/>
    <s v="Bachelor"/>
    <s v="High"/>
    <x v="2"/>
    <s v="High"/>
  </r>
  <r>
    <n v="18"/>
    <x v="0"/>
    <x v="1"/>
    <n v="8"/>
    <n v="1"/>
    <s v="Medical"/>
    <n v="3"/>
    <n v="3"/>
    <x v="0"/>
    <n v="1904"/>
    <n v="1"/>
    <n v="3"/>
    <n v="0"/>
    <n v="1"/>
    <x v="4"/>
    <x v="1"/>
    <x v="2"/>
    <n v="3"/>
    <s v="Below College"/>
    <s v="High"/>
    <x v="2"/>
    <s v="High"/>
  </r>
  <r>
    <n v="33"/>
    <x v="0"/>
    <x v="0"/>
    <n v="9"/>
    <n v="4"/>
    <s v="Marketing"/>
    <n v="1"/>
    <n v="1"/>
    <x v="0"/>
    <n v="8224"/>
    <n v="0"/>
    <n v="3"/>
    <n v="5"/>
    <n v="1"/>
    <x v="2"/>
    <x v="2"/>
    <x v="0"/>
    <n v="1.6666666666666667"/>
    <s v="Master"/>
    <s v="Low"/>
    <x v="3"/>
    <s v="High"/>
  </r>
  <r>
    <n v="41"/>
    <x v="1"/>
    <x v="1"/>
    <n v="12"/>
    <n v="4"/>
    <s v="Life Sciences"/>
    <n v="2"/>
    <n v="4"/>
    <x v="1"/>
    <n v="4766"/>
    <n v="3"/>
    <n v="3"/>
    <n v="1"/>
    <n v="0"/>
    <x v="0"/>
    <x v="0"/>
    <x v="2"/>
    <n v="3"/>
    <s v="Master"/>
    <s v="Medium"/>
    <x v="0"/>
    <s v="High"/>
  </r>
  <r>
    <n v="31"/>
    <x v="0"/>
    <x v="1"/>
    <n v="15"/>
    <n v="3"/>
    <s v="Medical"/>
    <n v="3"/>
    <n v="3"/>
    <x v="1"/>
    <n v="2610"/>
    <n v="1"/>
    <n v="2"/>
    <n v="2"/>
    <n v="1"/>
    <x v="2"/>
    <x v="1"/>
    <x v="3"/>
    <n v="2.6666666666666665"/>
    <s v="Bachelor"/>
    <s v="High"/>
    <x v="2"/>
    <s v="Medium"/>
  </r>
  <r>
    <n v="37"/>
    <x v="1"/>
    <x v="1"/>
    <n v="25"/>
    <n v="2"/>
    <s v="Medical"/>
    <n v="3"/>
    <n v="4"/>
    <x v="2"/>
    <n v="5731"/>
    <n v="7"/>
    <n v="3"/>
    <n v="6"/>
    <n v="0"/>
    <x v="0"/>
    <x v="0"/>
    <x v="0"/>
    <n v="3.3333333333333335"/>
    <s v="College"/>
    <s v="High"/>
    <x v="0"/>
    <s v="High"/>
  </r>
  <r>
    <n v="27"/>
    <x v="1"/>
    <x v="1"/>
    <n v="6"/>
    <n v="3"/>
    <s v="Life Sciences"/>
    <n v="4"/>
    <n v="3"/>
    <x v="1"/>
    <n v="2539"/>
    <n v="1"/>
    <n v="3"/>
    <n v="4"/>
    <n v="0"/>
    <x v="2"/>
    <x v="1"/>
    <x v="3"/>
    <n v="3.3333333333333335"/>
    <s v="Bachelor"/>
    <s v="Very High"/>
    <x v="2"/>
    <s v="High"/>
  </r>
  <r>
    <n v="34"/>
    <x v="1"/>
    <x v="0"/>
    <n v="9"/>
    <n v="1"/>
    <s v="Life Sciences"/>
    <n v="2"/>
    <n v="3"/>
    <x v="1"/>
    <n v="5714"/>
    <n v="1"/>
    <n v="2"/>
    <n v="6"/>
    <n v="0"/>
    <x v="2"/>
    <x v="0"/>
    <x v="0"/>
    <n v="2.3333333333333335"/>
    <s v="Below College"/>
    <s v="Medium"/>
    <x v="2"/>
    <s v="Medium"/>
  </r>
  <r>
    <n v="35"/>
    <x v="1"/>
    <x v="2"/>
    <n v="8"/>
    <n v="4"/>
    <s v="Technical Degree"/>
    <n v="3"/>
    <n v="3"/>
    <x v="0"/>
    <n v="4323"/>
    <n v="1"/>
    <n v="1"/>
    <n v="5"/>
    <n v="0"/>
    <x v="0"/>
    <x v="0"/>
    <x v="0"/>
    <n v="2.3333333333333335"/>
    <s v="Master"/>
    <s v="High"/>
    <x v="2"/>
    <s v="Low"/>
  </r>
  <r>
    <n v="29"/>
    <x v="0"/>
    <x v="0"/>
    <n v="23"/>
    <n v="1"/>
    <s v="Life Sciences"/>
    <n v="4"/>
    <n v="1"/>
    <x v="1"/>
    <n v="7336"/>
    <n v="1"/>
    <n v="1"/>
    <n v="11"/>
    <n v="1"/>
    <x v="2"/>
    <x v="2"/>
    <x v="1"/>
    <n v="2"/>
    <s v="Below College"/>
    <s v="Very High"/>
    <x v="3"/>
    <s v="Low"/>
  </r>
  <r>
    <n v="40"/>
    <x v="1"/>
    <x v="1"/>
    <n v="9"/>
    <n v="4"/>
    <s v="Medical"/>
    <n v="2"/>
    <n v="3"/>
    <x v="0"/>
    <n v="13499"/>
    <n v="9"/>
    <n v="2"/>
    <n v="18"/>
    <n v="0"/>
    <x v="0"/>
    <x v="2"/>
    <x v="1"/>
    <n v="2.3333333333333335"/>
    <s v="Master"/>
    <s v="Medium"/>
    <x v="2"/>
    <s v="Medium"/>
  </r>
  <r>
    <n v="42"/>
    <x v="0"/>
    <x v="0"/>
    <n v="12"/>
    <n v="3"/>
    <s v="Life Sciences"/>
    <n v="3"/>
    <n v="1"/>
    <x v="0"/>
    <n v="13758"/>
    <n v="0"/>
    <n v="2"/>
    <n v="21"/>
    <n v="1"/>
    <x v="0"/>
    <x v="2"/>
    <x v="1"/>
    <n v="2"/>
    <s v="Bachelor"/>
    <s v="High"/>
    <x v="3"/>
    <s v="Medium"/>
  </r>
  <r>
    <n v="42"/>
    <x v="1"/>
    <x v="0"/>
    <n v="4"/>
    <n v="4"/>
    <s v="Marketing"/>
    <n v="2"/>
    <n v="1"/>
    <x v="0"/>
    <n v="5155"/>
    <n v="7"/>
    <n v="4"/>
    <n v="6"/>
    <n v="0"/>
    <x v="0"/>
    <x v="0"/>
    <x v="0"/>
    <n v="2.3333333333333335"/>
    <s v="Master"/>
    <s v="Medium"/>
    <x v="3"/>
    <s v="Very High"/>
  </r>
  <r>
    <n v="35"/>
    <x v="1"/>
    <x v="1"/>
    <n v="1"/>
    <n v="4"/>
    <s v="Medical"/>
    <n v="4"/>
    <n v="3"/>
    <x v="1"/>
    <n v="2258"/>
    <n v="6"/>
    <n v="3"/>
    <n v="8"/>
    <n v="0"/>
    <x v="0"/>
    <x v="1"/>
    <x v="0"/>
    <n v="3.3333333333333335"/>
    <s v="Master"/>
    <s v="Very High"/>
    <x v="2"/>
    <s v="High"/>
  </r>
  <r>
    <n v="24"/>
    <x v="1"/>
    <x v="1"/>
    <n v="24"/>
    <n v="3"/>
    <s v="Medical"/>
    <n v="4"/>
    <n v="2"/>
    <x v="0"/>
    <n v="3597"/>
    <n v="8"/>
    <n v="3"/>
    <n v="4"/>
    <n v="0"/>
    <x v="4"/>
    <x v="0"/>
    <x v="3"/>
    <n v="3"/>
    <s v="Bachelor"/>
    <s v="Very High"/>
    <x v="1"/>
    <s v="High"/>
  </r>
  <r>
    <n v="28"/>
    <x v="0"/>
    <x v="1"/>
    <n v="12"/>
    <n v="1"/>
    <s v="Life Sciences"/>
    <n v="3"/>
    <n v="4"/>
    <x v="1"/>
    <n v="2515"/>
    <n v="1"/>
    <n v="2"/>
    <n v="1"/>
    <n v="1"/>
    <x v="2"/>
    <x v="1"/>
    <x v="2"/>
    <n v="3"/>
    <s v="Below College"/>
    <s v="High"/>
    <x v="0"/>
    <s v="Medium"/>
  </r>
  <r>
    <n v="26"/>
    <x v="1"/>
    <x v="1"/>
    <n v="3"/>
    <n v="4"/>
    <s v="Medical"/>
    <n v="1"/>
    <n v="4"/>
    <x v="1"/>
    <n v="4420"/>
    <n v="1"/>
    <n v="3"/>
    <n v="8"/>
    <n v="0"/>
    <x v="2"/>
    <x v="0"/>
    <x v="0"/>
    <n v="2.6666666666666665"/>
    <s v="Master"/>
    <s v="Low"/>
    <x v="0"/>
    <s v="High"/>
  </r>
  <r>
    <n v="30"/>
    <x v="1"/>
    <x v="0"/>
    <n v="10"/>
    <n v="3"/>
    <s v="Marketing"/>
    <n v="3"/>
    <n v="3"/>
    <x v="1"/>
    <n v="6578"/>
    <n v="1"/>
    <n v="3"/>
    <n v="10"/>
    <n v="0"/>
    <x v="2"/>
    <x v="0"/>
    <x v="1"/>
    <n v="3"/>
    <s v="Bachelor"/>
    <s v="High"/>
    <x v="2"/>
    <s v="High"/>
  </r>
  <r>
    <n v="40"/>
    <x v="1"/>
    <x v="1"/>
    <n v="26"/>
    <n v="2"/>
    <s v="Medical"/>
    <n v="3"/>
    <n v="4"/>
    <x v="1"/>
    <n v="4422"/>
    <n v="3"/>
    <n v="1"/>
    <n v="1"/>
    <n v="0"/>
    <x v="0"/>
    <x v="0"/>
    <x v="2"/>
    <n v="2.6666666666666665"/>
    <s v="College"/>
    <s v="High"/>
    <x v="0"/>
    <s v="Low"/>
  </r>
  <r>
    <n v="35"/>
    <x v="1"/>
    <x v="1"/>
    <n v="2"/>
    <n v="3"/>
    <s v="Life Sciences"/>
    <n v="3"/>
    <n v="2"/>
    <x v="2"/>
    <n v="10274"/>
    <n v="2"/>
    <n v="4"/>
    <n v="7"/>
    <n v="0"/>
    <x v="0"/>
    <x v="2"/>
    <x v="0"/>
    <n v="3"/>
    <s v="Bachelor"/>
    <s v="High"/>
    <x v="1"/>
    <s v="Very High"/>
  </r>
  <r>
    <n v="34"/>
    <x v="1"/>
    <x v="1"/>
    <n v="1"/>
    <n v="3"/>
    <s v="Medical"/>
    <n v="4"/>
    <n v="1"/>
    <x v="0"/>
    <n v="5343"/>
    <n v="0"/>
    <n v="3"/>
    <n v="13"/>
    <n v="0"/>
    <x v="2"/>
    <x v="0"/>
    <x v="1"/>
    <n v="2.6666666666666665"/>
    <s v="Bachelor"/>
    <s v="Very High"/>
    <x v="3"/>
    <s v="High"/>
  </r>
  <r>
    <n v="35"/>
    <x v="1"/>
    <x v="1"/>
    <n v="4"/>
    <n v="4"/>
    <s v="Other"/>
    <n v="4"/>
    <n v="4"/>
    <x v="1"/>
    <n v="2376"/>
    <n v="1"/>
    <n v="4"/>
    <n v="2"/>
    <n v="0"/>
    <x v="0"/>
    <x v="1"/>
    <x v="3"/>
    <n v="4"/>
    <s v="Master"/>
    <s v="Very High"/>
    <x v="0"/>
    <s v="Very High"/>
  </r>
  <r>
    <n v="43"/>
    <x v="0"/>
    <x v="0"/>
    <n v="9"/>
    <n v="3"/>
    <s v="Marketing"/>
    <n v="1"/>
    <n v="3"/>
    <x v="0"/>
    <n v="5346"/>
    <n v="8"/>
    <n v="2"/>
    <n v="4"/>
    <n v="1"/>
    <x v="0"/>
    <x v="0"/>
    <x v="3"/>
    <n v="2"/>
    <s v="Bachelor"/>
    <s v="Low"/>
    <x v="2"/>
    <s v="Medium"/>
  </r>
  <r>
    <n v="32"/>
    <x v="1"/>
    <x v="0"/>
    <n v="2"/>
    <n v="1"/>
    <s v="Life Sciences"/>
    <n v="3"/>
    <n v="1"/>
    <x v="2"/>
    <n v="2827"/>
    <n v="1"/>
    <n v="3"/>
    <n v="1"/>
    <n v="0"/>
    <x v="2"/>
    <x v="1"/>
    <x v="2"/>
    <n v="2.3333333333333335"/>
    <s v="Below College"/>
    <s v="High"/>
    <x v="3"/>
    <s v="High"/>
  </r>
  <r>
    <n v="56"/>
    <x v="1"/>
    <x v="1"/>
    <n v="4"/>
    <n v="4"/>
    <s v="Technical Degree"/>
    <n v="4"/>
    <n v="1"/>
    <x v="2"/>
    <n v="19943"/>
    <n v="4"/>
    <n v="3"/>
    <n v="5"/>
    <n v="0"/>
    <x v="3"/>
    <x v="2"/>
    <x v="0"/>
    <n v="2.6666666666666665"/>
    <s v="Master"/>
    <s v="Very High"/>
    <x v="3"/>
    <s v="High"/>
  </r>
  <r>
    <n v="29"/>
    <x v="1"/>
    <x v="1"/>
    <n v="6"/>
    <n v="1"/>
    <s v="Medical"/>
    <n v="2"/>
    <n v="4"/>
    <x v="1"/>
    <n v="3131"/>
    <n v="1"/>
    <n v="3"/>
    <n v="10"/>
    <n v="0"/>
    <x v="2"/>
    <x v="0"/>
    <x v="1"/>
    <n v="3"/>
    <s v="Below College"/>
    <s v="Medium"/>
    <x v="0"/>
    <s v="High"/>
  </r>
  <r>
    <n v="19"/>
    <x v="1"/>
    <x v="1"/>
    <n v="9"/>
    <n v="2"/>
    <s v="Life Sciences"/>
    <n v="3"/>
    <n v="1"/>
    <x v="0"/>
    <n v="2552"/>
    <n v="1"/>
    <n v="3"/>
    <n v="1"/>
    <n v="0"/>
    <x v="4"/>
    <x v="1"/>
    <x v="2"/>
    <n v="2.3333333333333335"/>
    <s v="College"/>
    <s v="High"/>
    <x v="3"/>
    <s v="High"/>
  </r>
  <r>
    <n v="45"/>
    <x v="1"/>
    <x v="1"/>
    <n v="7"/>
    <n v="3"/>
    <s v="Medical"/>
    <n v="1"/>
    <n v="3"/>
    <x v="1"/>
    <n v="4477"/>
    <n v="4"/>
    <n v="2"/>
    <n v="3"/>
    <n v="0"/>
    <x v="1"/>
    <x v="0"/>
    <x v="3"/>
    <n v="2"/>
    <s v="Bachelor"/>
    <s v="Low"/>
    <x v="2"/>
    <s v="Medium"/>
  </r>
  <r>
    <n v="37"/>
    <x v="1"/>
    <x v="1"/>
    <n v="1"/>
    <n v="3"/>
    <s v="Life Sciences"/>
    <n v="4"/>
    <n v="4"/>
    <x v="1"/>
    <n v="6474"/>
    <n v="1"/>
    <n v="2"/>
    <n v="14"/>
    <n v="0"/>
    <x v="0"/>
    <x v="0"/>
    <x v="1"/>
    <n v="3.3333333333333335"/>
    <s v="Bachelor"/>
    <s v="Very High"/>
    <x v="0"/>
    <s v="Medium"/>
  </r>
  <r>
    <n v="20"/>
    <x v="1"/>
    <x v="1"/>
    <n v="3"/>
    <n v="3"/>
    <s v="Life Sciences"/>
    <n v="1"/>
    <n v="3"/>
    <x v="0"/>
    <n v="3033"/>
    <n v="1"/>
    <n v="2"/>
    <n v="2"/>
    <n v="0"/>
    <x v="4"/>
    <x v="0"/>
    <x v="3"/>
    <n v="2"/>
    <s v="Bachelor"/>
    <s v="Low"/>
    <x v="2"/>
    <s v="Medium"/>
  </r>
  <r>
    <n v="44"/>
    <x v="0"/>
    <x v="1"/>
    <n v="10"/>
    <n v="4"/>
    <s v="Life Sciences"/>
    <n v="3"/>
    <n v="3"/>
    <x v="0"/>
    <n v="2936"/>
    <n v="1"/>
    <n v="3"/>
    <n v="6"/>
    <n v="1"/>
    <x v="0"/>
    <x v="1"/>
    <x v="0"/>
    <n v="3"/>
    <s v="Master"/>
    <s v="High"/>
    <x v="2"/>
    <s v="High"/>
  </r>
  <r>
    <n v="53"/>
    <x v="1"/>
    <x v="1"/>
    <n v="7"/>
    <n v="2"/>
    <s v="Medical"/>
    <n v="4"/>
    <n v="3"/>
    <x v="2"/>
    <n v="18606"/>
    <n v="3"/>
    <n v="3"/>
    <n v="7"/>
    <n v="0"/>
    <x v="1"/>
    <x v="2"/>
    <x v="0"/>
    <n v="3.3333333333333335"/>
    <s v="College"/>
    <s v="Very High"/>
    <x v="2"/>
    <s v="High"/>
  </r>
  <r>
    <n v="29"/>
    <x v="1"/>
    <x v="1"/>
    <n v="15"/>
    <n v="1"/>
    <s v="Life Sciences"/>
    <n v="2"/>
    <n v="4"/>
    <x v="1"/>
    <n v="2168"/>
    <n v="0"/>
    <n v="2"/>
    <n v="5"/>
    <n v="0"/>
    <x v="2"/>
    <x v="1"/>
    <x v="0"/>
    <n v="2.6666666666666665"/>
    <s v="Below College"/>
    <s v="Medium"/>
    <x v="0"/>
    <s v="Medium"/>
  </r>
  <r>
    <n v="22"/>
    <x v="0"/>
    <x v="1"/>
    <n v="3"/>
    <n v="4"/>
    <s v="Life Sciences"/>
    <n v="3"/>
    <n v="4"/>
    <x v="1"/>
    <n v="2853"/>
    <n v="0"/>
    <n v="3"/>
    <n v="0"/>
    <n v="1"/>
    <x v="4"/>
    <x v="1"/>
    <x v="2"/>
    <n v="3.3333333333333335"/>
    <s v="Master"/>
    <s v="High"/>
    <x v="0"/>
    <s v="High"/>
  </r>
  <r>
    <n v="46"/>
    <x v="1"/>
    <x v="0"/>
    <n v="2"/>
    <n v="3"/>
    <s v="Marketing"/>
    <n v="3"/>
    <n v="1"/>
    <x v="1"/>
    <n v="17048"/>
    <n v="8"/>
    <n v="3"/>
    <n v="26"/>
    <n v="0"/>
    <x v="1"/>
    <x v="2"/>
    <x v="1"/>
    <n v="2.3333333333333335"/>
    <s v="Bachelor"/>
    <s v="High"/>
    <x v="3"/>
    <s v="High"/>
  </r>
  <r>
    <n v="44"/>
    <x v="1"/>
    <x v="1"/>
    <n v="17"/>
    <n v="3"/>
    <s v="Life Sciences"/>
    <n v="4"/>
    <n v="3"/>
    <x v="0"/>
    <n v="2290"/>
    <n v="2"/>
    <n v="3"/>
    <n v="0"/>
    <n v="0"/>
    <x v="0"/>
    <x v="1"/>
    <x v="2"/>
    <n v="3.3333333333333335"/>
    <s v="Bachelor"/>
    <s v="Very High"/>
    <x v="2"/>
    <s v="High"/>
  </r>
  <r>
    <n v="33"/>
    <x v="1"/>
    <x v="2"/>
    <n v="2"/>
    <n v="3"/>
    <s v="Human Resources"/>
    <n v="2"/>
    <n v="3"/>
    <x v="1"/>
    <n v="3600"/>
    <n v="1"/>
    <n v="3"/>
    <n v="5"/>
    <n v="0"/>
    <x v="2"/>
    <x v="0"/>
    <x v="0"/>
    <n v="2.6666666666666665"/>
    <s v="Bachelor"/>
    <s v="Medium"/>
    <x v="2"/>
    <s v="High"/>
  </r>
  <r>
    <n v="41"/>
    <x v="0"/>
    <x v="1"/>
    <n v="5"/>
    <n v="2"/>
    <s v="Life Sciences"/>
    <n v="1"/>
    <n v="1"/>
    <x v="2"/>
    <n v="2107"/>
    <n v="6"/>
    <n v="1"/>
    <n v="1"/>
    <n v="1"/>
    <x v="0"/>
    <x v="1"/>
    <x v="2"/>
    <n v="1"/>
    <s v="College"/>
    <s v="Low"/>
    <x v="3"/>
    <s v="Low"/>
  </r>
  <r>
    <n v="30"/>
    <x v="1"/>
    <x v="0"/>
    <n v="29"/>
    <n v="4"/>
    <s v="Life Sciences"/>
    <n v="3"/>
    <n v="1"/>
    <x v="2"/>
    <n v="4115"/>
    <n v="8"/>
    <n v="3"/>
    <n v="4"/>
    <n v="0"/>
    <x v="2"/>
    <x v="0"/>
    <x v="3"/>
    <n v="2.3333333333333335"/>
    <s v="Master"/>
    <s v="High"/>
    <x v="3"/>
    <s v="High"/>
  </r>
  <r>
    <n v="40"/>
    <x v="1"/>
    <x v="0"/>
    <n v="2"/>
    <n v="4"/>
    <s v="Medical"/>
    <n v="2"/>
    <n v="2"/>
    <x v="1"/>
    <n v="4327"/>
    <n v="5"/>
    <n v="3"/>
    <n v="0"/>
    <n v="0"/>
    <x v="0"/>
    <x v="0"/>
    <x v="2"/>
    <n v="2.3333333333333335"/>
    <s v="Master"/>
    <s v="Medium"/>
    <x v="1"/>
    <s v="High"/>
  </r>
  <r>
    <n v="50"/>
    <x v="1"/>
    <x v="1"/>
    <n v="2"/>
    <n v="3"/>
    <s v="Medical"/>
    <n v="4"/>
    <n v="1"/>
    <x v="1"/>
    <n v="17856"/>
    <n v="2"/>
    <n v="3"/>
    <n v="2"/>
    <n v="0"/>
    <x v="1"/>
    <x v="2"/>
    <x v="3"/>
    <n v="2.6666666666666665"/>
    <s v="Bachelor"/>
    <s v="Very High"/>
    <x v="3"/>
    <s v="High"/>
  </r>
  <r>
    <n v="28"/>
    <x v="1"/>
    <x v="1"/>
    <n v="19"/>
    <n v="4"/>
    <s v="Medical"/>
    <n v="4"/>
    <n v="1"/>
    <x v="1"/>
    <n v="3196"/>
    <n v="1"/>
    <n v="3"/>
    <n v="6"/>
    <n v="0"/>
    <x v="2"/>
    <x v="0"/>
    <x v="0"/>
    <n v="2.6666666666666665"/>
    <s v="Master"/>
    <s v="Very High"/>
    <x v="3"/>
    <s v="High"/>
  </r>
  <r>
    <n v="46"/>
    <x v="1"/>
    <x v="1"/>
    <n v="15"/>
    <n v="2"/>
    <s v="Life Sciences"/>
    <n v="4"/>
    <n v="2"/>
    <x v="1"/>
    <n v="19081"/>
    <n v="5"/>
    <n v="3"/>
    <n v="4"/>
    <n v="0"/>
    <x v="1"/>
    <x v="2"/>
    <x v="3"/>
    <n v="3"/>
    <s v="College"/>
    <s v="Very High"/>
    <x v="1"/>
    <s v="High"/>
  </r>
  <r>
    <n v="35"/>
    <x v="1"/>
    <x v="0"/>
    <n v="17"/>
    <n v="4"/>
    <s v="Life Sciences"/>
    <n v="3"/>
    <n v="1"/>
    <x v="1"/>
    <n v="8966"/>
    <n v="3"/>
    <n v="3"/>
    <n v="7"/>
    <n v="0"/>
    <x v="0"/>
    <x v="2"/>
    <x v="0"/>
    <n v="2.3333333333333335"/>
    <s v="Master"/>
    <s v="High"/>
    <x v="3"/>
    <s v="High"/>
  </r>
  <r>
    <n v="24"/>
    <x v="0"/>
    <x v="1"/>
    <n v="17"/>
    <n v="2"/>
    <s v="Life Sciences"/>
    <n v="4"/>
    <n v="2"/>
    <x v="1"/>
    <n v="2210"/>
    <n v="1"/>
    <n v="1"/>
    <n v="1"/>
    <n v="1"/>
    <x v="4"/>
    <x v="1"/>
    <x v="2"/>
    <n v="2.3333333333333335"/>
    <s v="College"/>
    <s v="Very High"/>
    <x v="1"/>
    <s v="Low"/>
  </r>
  <r>
    <n v="33"/>
    <x v="1"/>
    <x v="0"/>
    <n v="25"/>
    <n v="3"/>
    <s v="Medical"/>
    <n v="2"/>
    <n v="3"/>
    <x v="1"/>
    <n v="4539"/>
    <n v="1"/>
    <n v="2"/>
    <n v="10"/>
    <n v="0"/>
    <x v="2"/>
    <x v="0"/>
    <x v="1"/>
    <n v="2.3333333333333335"/>
    <s v="Bachelor"/>
    <s v="Medium"/>
    <x v="2"/>
    <s v="Medium"/>
  </r>
  <r>
    <n v="36"/>
    <x v="1"/>
    <x v="1"/>
    <n v="6"/>
    <n v="4"/>
    <s v="Life Sciences"/>
    <n v="3"/>
    <n v="3"/>
    <x v="2"/>
    <n v="2741"/>
    <n v="1"/>
    <n v="3"/>
    <n v="7"/>
    <n v="0"/>
    <x v="0"/>
    <x v="1"/>
    <x v="0"/>
    <n v="3"/>
    <s v="Master"/>
    <s v="High"/>
    <x v="2"/>
    <s v="High"/>
  </r>
  <r>
    <n v="30"/>
    <x v="1"/>
    <x v="1"/>
    <n v="7"/>
    <n v="4"/>
    <s v="Life Sciences"/>
    <n v="3"/>
    <n v="3"/>
    <x v="2"/>
    <n v="3491"/>
    <n v="1"/>
    <n v="2"/>
    <n v="10"/>
    <n v="0"/>
    <x v="2"/>
    <x v="0"/>
    <x v="1"/>
    <n v="2.6666666666666665"/>
    <s v="Master"/>
    <s v="High"/>
    <x v="2"/>
    <s v="Medium"/>
  </r>
  <r>
    <n v="44"/>
    <x v="1"/>
    <x v="1"/>
    <n v="29"/>
    <n v="4"/>
    <s v="Other"/>
    <n v="4"/>
    <n v="4"/>
    <x v="0"/>
    <n v="4541"/>
    <n v="1"/>
    <n v="3"/>
    <n v="20"/>
    <n v="0"/>
    <x v="0"/>
    <x v="0"/>
    <x v="1"/>
    <n v="3.6666666666666665"/>
    <s v="Master"/>
    <s v="Very High"/>
    <x v="0"/>
    <s v="High"/>
  </r>
  <r>
    <n v="20"/>
    <x v="1"/>
    <x v="0"/>
    <n v="21"/>
    <n v="3"/>
    <s v="Marketing"/>
    <n v="3"/>
    <n v="4"/>
    <x v="0"/>
    <n v="2678"/>
    <n v="1"/>
    <n v="3"/>
    <n v="2"/>
    <n v="0"/>
    <x v="4"/>
    <x v="1"/>
    <x v="3"/>
    <n v="3.3333333333333335"/>
    <s v="Bachelor"/>
    <s v="High"/>
    <x v="0"/>
    <s v="High"/>
  </r>
  <r>
    <n v="46"/>
    <x v="1"/>
    <x v="1"/>
    <n v="2"/>
    <n v="4"/>
    <s v="Technical Degree"/>
    <n v="4"/>
    <n v="4"/>
    <x v="2"/>
    <n v="7379"/>
    <n v="2"/>
    <n v="2"/>
    <n v="6"/>
    <n v="0"/>
    <x v="1"/>
    <x v="2"/>
    <x v="0"/>
    <n v="3.3333333333333335"/>
    <s v="Master"/>
    <s v="Very High"/>
    <x v="0"/>
    <s v="Medium"/>
  </r>
  <r>
    <n v="42"/>
    <x v="1"/>
    <x v="2"/>
    <n v="2"/>
    <n v="5"/>
    <s v="Medical"/>
    <n v="4"/>
    <n v="1"/>
    <x v="1"/>
    <n v="6272"/>
    <n v="7"/>
    <n v="4"/>
    <n v="4"/>
    <n v="0"/>
    <x v="0"/>
    <x v="0"/>
    <x v="3"/>
    <n v="3"/>
    <s v="Doctor"/>
    <s v="Very High"/>
    <x v="3"/>
    <s v="Very High"/>
  </r>
  <r>
    <n v="60"/>
    <x v="1"/>
    <x v="0"/>
    <n v="7"/>
    <n v="4"/>
    <s v="Marketing"/>
    <n v="2"/>
    <n v="4"/>
    <x v="2"/>
    <n v="5220"/>
    <n v="0"/>
    <n v="3"/>
    <n v="11"/>
    <n v="0"/>
    <x v="3"/>
    <x v="0"/>
    <x v="1"/>
    <n v="3"/>
    <s v="Master"/>
    <s v="Medium"/>
    <x v="0"/>
    <s v="High"/>
  </r>
  <r>
    <n v="32"/>
    <x v="1"/>
    <x v="1"/>
    <n v="13"/>
    <n v="3"/>
    <s v="Other"/>
    <n v="3"/>
    <n v="2"/>
    <x v="1"/>
    <n v="2743"/>
    <n v="1"/>
    <n v="3"/>
    <n v="2"/>
    <n v="0"/>
    <x v="2"/>
    <x v="1"/>
    <x v="3"/>
    <n v="2.6666666666666665"/>
    <s v="Bachelor"/>
    <s v="High"/>
    <x v="1"/>
    <s v="High"/>
  </r>
  <r>
    <n v="32"/>
    <x v="1"/>
    <x v="1"/>
    <n v="2"/>
    <n v="2"/>
    <s v="Life Sciences"/>
    <n v="4"/>
    <n v="3"/>
    <x v="0"/>
    <n v="4998"/>
    <n v="4"/>
    <n v="3"/>
    <n v="8"/>
    <n v="0"/>
    <x v="2"/>
    <x v="0"/>
    <x v="0"/>
    <n v="3.3333333333333335"/>
    <s v="College"/>
    <s v="Very High"/>
    <x v="2"/>
    <s v="High"/>
  </r>
  <r>
    <n v="36"/>
    <x v="1"/>
    <x v="1"/>
    <n v="1"/>
    <n v="3"/>
    <s v="Technical Degree"/>
    <n v="3"/>
    <n v="1"/>
    <x v="2"/>
    <n v="10252"/>
    <n v="2"/>
    <n v="3"/>
    <n v="7"/>
    <n v="0"/>
    <x v="0"/>
    <x v="2"/>
    <x v="0"/>
    <n v="2.3333333333333335"/>
    <s v="Bachelor"/>
    <s v="High"/>
    <x v="3"/>
    <s v="High"/>
  </r>
  <r>
    <n v="33"/>
    <x v="1"/>
    <x v="1"/>
    <n v="9"/>
    <n v="3"/>
    <s v="Medical"/>
    <n v="1"/>
    <n v="4"/>
    <x v="1"/>
    <n v="2781"/>
    <n v="0"/>
    <n v="3"/>
    <n v="14"/>
    <n v="0"/>
    <x v="2"/>
    <x v="1"/>
    <x v="1"/>
    <n v="2.6666666666666665"/>
    <s v="Bachelor"/>
    <s v="Low"/>
    <x v="0"/>
    <s v="High"/>
  </r>
  <r>
    <n v="40"/>
    <x v="1"/>
    <x v="0"/>
    <n v="10"/>
    <n v="3"/>
    <s v="Technical Degree"/>
    <n v="2"/>
    <n v="2"/>
    <x v="2"/>
    <n v="6852"/>
    <n v="7"/>
    <n v="4"/>
    <n v="5"/>
    <n v="0"/>
    <x v="0"/>
    <x v="0"/>
    <x v="0"/>
    <n v="2.6666666666666665"/>
    <s v="Bachelor"/>
    <s v="Medium"/>
    <x v="1"/>
    <s v="Very High"/>
  </r>
  <r>
    <n v="25"/>
    <x v="1"/>
    <x v="0"/>
    <n v="10"/>
    <n v="4"/>
    <s v="Life Sciences"/>
    <n v="3"/>
    <n v="4"/>
    <x v="0"/>
    <n v="4950"/>
    <n v="0"/>
    <n v="3"/>
    <n v="4"/>
    <n v="0"/>
    <x v="2"/>
    <x v="0"/>
    <x v="3"/>
    <n v="3.3333333333333335"/>
    <s v="Master"/>
    <s v="High"/>
    <x v="0"/>
    <s v="High"/>
  </r>
  <r>
    <n v="30"/>
    <x v="1"/>
    <x v="1"/>
    <n v="1"/>
    <n v="3"/>
    <s v="Medical"/>
    <n v="4"/>
    <n v="2"/>
    <x v="1"/>
    <n v="3579"/>
    <n v="0"/>
    <n v="3"/>
    <n v="11"/>
    <n v="0"/>
    <x v="2"/>
    <x v="0"/>
    <x v="1"/>
    <n v="3"/>
    <s v="Bachelor"/>
    <s v="Very High"/>
    <x v="1"/>
    <s v="High"/>
  </r>
  <r>
    <n v="42"/>
    <x v="1"/>
    <x v="1"/>
    <n v="26"/>
    <n v="5"/>
    <s v="Medical"/>
    <n v="1"/>
    <n v="1"/>
    <x v="1"/>
    <n v="13191"/>
    <n v="3"/>
    <n v="3"/>
    <n v="1"/>
    <n v="0"/>
    <x v="0"/>
    <x v="2"/>
    <x v="2"/>
    <n v="1.6666666666666667"/>
    <s v="Doctor"/>
    <s v="Low"/>
    <x v="3"/>
    <s v="High"/>
  </r>
  <r>
    <n v="35"/>
    <x v="1"/>
    <x v="0"/>
    <n v="8"/>
    <n v="2"/>
    <s v="Marketing"/>
    <n v="3"/>
    <n v="4"/>
    <x v="1"/>
    <n v="10377"/>
    <n v="4"/>
    <n v="2"/>
    <n v="13"/>
    <n v="0"/>
    <x v="0"/>
    <x v="2"/>
    <x v="1"/>
    <n v="3"/>
    <s v="College"/>
    <s v="High"/>
    <x v="0"/>
    <s v="Medium"/>
  </r>
  <r>
    <n v="27"/>
    <x v="1"/>
    <x v="1"/>
    <n v="14"/>
    <n v="3"/>
    <s v="Life Sciences"/>
    <n v="1"/>
    <n v="1"/>
    <x v="1"/>
    <n v="2235"/>
    <n v="1"/>
    <n v="2"/>
    <n v="9"/>
    <n v="0"/>
    <x v="2"/>
    <x v="1"/>
    <x v="0"/>
    <n v="1.3333333333333333"/>
    <s v="Bachelor"/>
    <s v="Low"/>
    <x v="3"/>
    <s v="Medium"/>
  </r>
  <r>
    <n v="54"/>
    <x v="1"/>
    <x v="1"/>
    <n v="1"/>
    <n v="4"/>
    <s v="Life Sciences"/>
    <n v="4"/>
    <n v="3"/>
    <x v="2"/>
    <n v="10502"/>
    <n v="7"/>
    <n v="1"/>
    <n v="5"/>
    <n v="0"/>
    <x v="1"/>
    <x v="2"/>
    <x v="0"/>
    <n v="2.6666666666666665"/>
    <s v="Master"/>
    <s v="Very High"/>
    <x v="2"/>
    <s v="Low"/>
  </r>
  <r>
    <n v="44"/>
    <x v="1"/>
    <x v="1"/>
    <n v="2"/>
    <n v="1"/>
    <s v="Life Sciences"/>
    <n v="1"/>
    <n v="4"/>
    <x v="1"/>
    <n v="2011"/>
    <n v="1"/>
    <n v="3"/>
    <n v="10"/>
    <n v="0"/>
    <x v="0"/>
    <x v="1"/>
    <x v="1"/>
    <n v="2.6666666666666665"/>
    <s v="Below College"/>
    <s v="Low"/>
    <x v="0"/>
    <s v="High"/>
  </r>
  <r>
    <n v="19"/>
    <x v="0"/>
    <x v="1"/>
    <n v="10"/>
    <n v="3"/>
    <s v="Medical"/>
    <n v="1"/>
    <n v="2"/>
    <x v="0"/>
    <n v="1859"/>
    <n v="1"/>
    <n v="4"/>
    <n v="1"/>
    <n v="1"/>
    <x v="4"/>
    <x v="1"/>
    <x v="2"/>
    <n v="2.3333333333333335"/>
    <s v="Bachelor"/>
    <s v="Low"/>
    <x v="1"/>
    <s v="Very High"/>
  </r>
  <r>
    <n v="29"/>
    <x v="1"/>
    <x v="1"/>
    <n v="1"/>
    <n v="3"/>
    <s v="Life Sciences"/>
    <n v="1"/>
    <n v="4"/>
    <x v="2"/>
    <n v="3760"/>
    <n v="1"/>
    <n v="3"/>
    <n v="3"/>
    <n v="0"/>
    <x v="2"/>
    <x v="0"/>
    <x v="3"/>
    <n v="2.6666666666666665"/>
    <s v="Bachelor"/>
    <s v="Low"/>
    <x v="0"/>
    <s v="High"/>
  </r>
  <r>
    <n v="54"/>
    <x v="1"/>
    <x v="1"/>
    <n v="3"/>
    <n v="3"/>
    <s v="Life Sciences"/>
    <n v="4"/>
    <n v="4"/>
    <x v="1"/>
    <n v="17779"/>
    <n v="3"/>
    <n v="3"/>
    <n v="10"/>
    <n v="0"/>
    <x v="1"/>
    <x v="2"/>
    <x v="1"/>
    <n v="3.6666666666666665"/>
    <s v="Bachelor"/>
    <s v="Very High"/>
    <x v="0"/>
    <s v="High"/>
  </r>
  <r>
    <n v="31"/>
    <x v="1"/>
    <x v="1"/>
    <n v="11"/>
    <n v="2"/>
    <s v="Medical"/>
    <n v="3"/>
    <n v="1"/>
    <x v="1"/>
    <n v="6833"/>
    <n v="1"/>
    <n v="2"/>
    <n v="6"/>
    <n v="0"/>
    <x v="2"/>
    <x v="0"/>
    <x v="0"/>
    <n v="2"/>
    <s v="College"/>
    <s v="High"/>
    <x v="3"/>
    <s v="Medium"/>
  </r>
  <r>
    <n v="31"/>
    <x v="1"/>
    <x v="1"/>
    <n v="24"/>
    <n v="3"/>
    <s v="Medical"/>
    <n v="3"/>
    <n v="1"/>
    <x v="0"/>
    <n v="6812"/>
    <n v="1"/>
    <n v="3"/>
    <n v="10"/>
    <n v="0"/>
    <x v="2"/>
    <x v="0"/>
    <x v="1"/>
    <n v="2.3333333333333335"/>
    <s v="Bachelor"/>
    <s v="High"/>
    <x v="3"/>
    <s v="High"/>
  </r>
  <r>
    <n v="59"/>
    <x v="1"/>
    <x v="0"/>
    <n v="3"/>
    <n v="3"/>
    <s v="Life Sciences"/>
    <n v="3"/>
    <n v="4"/>
    <x v="0"/>
    <n v="5171"/>
    <n v="5"/>
    <n v="3"/>
    <n v="6"/>
    <n v="0"/>
    <x v="3"/>
    <x v="0"/>
    <x v="0"/>
    <n v="3.3333333333333335"/>
    <s v="Bachelor"/>
    <s v="High"/>
    <x v="0"/>
    <s v="High"/>
  </r>
  <r>
    <n v="43"/>
    <x v="1"/>
    <x v="1"/>
    <n v="3"/>
    <n v="3"/>
    <s v="Life Sciences"/>
    <n v="3"/>
    <n v="4"/>
    <x v="1"/>
    <n v="19740"/>
    <n v="3"/>
    <n v="3"/>
    <n v="8"/>
    <n v="0"/>
    <x v="0"/>
    <x v="2"/>
    <x v="0"/>
    <n v="3.3333333333333335"/>
    <s v="Bachelor"/>
    <s v="High"/>
    <x v="0"/>
    <s v="High"/>
  </r>
  <r>
    <n v="49"/>
    <x v="1"/>
    <x v="1"/>
    <n v="4"/>
    <n v="2"/>
    <s v="Medical"/>
    <n v="1"/>
    <n v="3"/>
    <x v="1"/>
    <n v="18711"/>
    <n v="2"/>
    <n v="4"/>
    <n v="1"/>
    <n v="0"/>
    <x v="1"/>
    <x v="2"/>
    <x v="2"/>
    <n v="2.6666666666666665"/>
    <s v="College"/>
    <s v="Low"/>
    <x v="2"/>
    <s v="Very High"/>
  </r>
  <r>
    <n v="36"/>
    <x v="1"/>
    <x v="1"/>
    <n v="3"/>
    <n v="3"/>
    <s v="Technical Degree"/>
    <n v="3"/>
    <n v="2"/>
    <x v="1"/>
    <n v="3692"/>
    <n v="1"/>
    <n v="2"/>
    <n v="11"/>
    <n v="0"/>
    <x v="0"/>
    <x v="0"/>
    <x v="1"/>
    <n v="2.3333333333333335"/>
    <s v="Bachelor"/>
    <s v="High"/>
    <x v="1"/>
    <s v="Medium"/>
  </r>
  <r>
    <n v="48"/>
    <x v="1"/>
    <x v="1"/>
    <n v="2"/>
    <n v="2"/>
    <s v="Technical Degree"/>
    <n v="4"/>
    <n v="2"/>
    <x v="0"/>
    <n v="2559"/>
    <n v="5"/>
    <n v="2"/>
    <n v="1"/>
    <n v="0"/>
    <x v="1"/>
    <x v="1"/>
    <x v="2"/>
    <n v="2.6666666666666665"/>
    <s v="College"/>
    <s v="Very High"/>
    <x v="1"/>
    <s v="Medium"/>
  </r>
  <r>
    <n v="27"/>
    <x v="1"/>
    <x v="1"/>
    <n v="4"/>
    <n v="2"/>
    <s v="Life Sciences"/>
    <n v="1"/>
    <n v="3"/>
    <x v="2"/>
    <n v="2517"/>
    <n v="1"/>
    <n v="3"/>
    <n v="5"/>
    <n v="0"/>
    <x v="2"/>
    <x v="1"/>
    <x v="0"/>
    <n v="2.3333333333333335"/>
    <s v="College"/>
    <s v="Low"/>
    <x v="2"/>
    <s v="High"/>
  </r>
  <r>
    <n v="29"/>
    <x v="1"/>
    <x v="1"/>
    <n v="7"/>
    <n v="3"/>
    <s v="Life Sciences"/>
    <n v="3"/>
    <n v="4"/>
    <x v="2"/>
    <n v="6623"/>
    <n v="1"/>
    <n v="3"/>
    <n v="6"/>
    <n v="0"/>
    <x v="2"/>
    <x v="0"/>
    <x v="0"/>
    <n v="3.3333333333333335"/>
    <s v="Bachelor"/>
    <s v="High"/>
    <x v="0"/>
    <s v="High"/>
  </r>
  <r>
    <n v="48"/>
    <x v="1"/>
    <x v="1"/>
    <n v="1"/>
    <n v="3"/>
    <s v="Life Sciences"/>
    <n v="4"/>
    <n v="4"/>
    <x v="0"/>
    <n v="18265"/>
    <n v="6"/>
    <n v="4"/>
    <n v="1"/>
    <n v="0"/>
    <x v="1"/>
    <x v="2"/>
    <x v="2"/>
    <n v="4"/>
    <s v="Bachelor"/>
    <s v="Very High"/>
    <x v="0"/>
    <s v="Very High"/>
  </r>
  <r>
    <n v="29"/>
    <x v="1"/>
    <x v="1"/>
    <n v="1"/>
    <n v="3"/>
    <s v="Life Sciences"/>
    <n v="4"/>
    <n v="4"/>
    <x v="2"/>
    <n v="16124"/>
    <n v="3"/>
    <n v="2"/>
    <n v="7"/>
    <n v="0"/>
    <x v="2"/>
    <x v="2"/>
    <x v="0"/>
    <n v="3.3333333333333335"/>
    <s v="Bachelor"/>
    <s v="Very High"/>
    <x v="0"/>
    <s v="Medium"/>
  </r>
  <r>
    <n v="34"/>
    <x v="1"/>
    <x v="1"/>
    <n v="20"/>
    <n v="3"/>
    <s v="Technical Degree"/>
    <n v="3"/>
    <n v="3"/>
    <x v="1"/>
    <n v="2585"/>
    <n v="0"/>
    <n v="2"/>
    <n v="1"/>
    <n v="0"/>
    <x v="2"/>
    <x v="1"/>
    <x v="2"/>
    <n v="2.6666666666666665"/>
    <s v="Bachelor"/>
    <s v="High"/>
    <x v="2"/>
    <s v="Medium"/>
  </r>
  <r>
    <n v="44"/>
    <x v="1"/>
    <x v="0"/>
    <n v="5"/>
    <n v="3"/>
    <s v="Marketing"/>
    <n v="2"/>
    <n v="2"/>
    <x v="1"/>
    <n v="18213"/>
    <n v="7"/>
    <n v="3"/>
    <n v="22"/>
    <n v="0"/>
    <x v="0"/>
    <x v="2"/>
    <x v="1"/>
    <n v="2.3333333333333335"/>
    <s v="Bachelor"/>
    <s v="Medium"/>
    <x v="1"/>
    <s v="High"/>
  </r>
  <r>
    <n v="33"/>
    <x v="1"/>
    <x v="0"/>
    <n v="10"/>
    <n v="5"/>
    <s v="Marketing"/>
    <n v="4"/>
    <n v="3"/>
    <x v="2"/>
    <n v="8380"/>
    <n v="0"/>
    <n v="3"/>
    <n v="9"/>
    <n v="0"/>
    <x v="2"/>
    <x v="2"/>
    <x v="0"/>
    <n v="3.3333333333333335"/>
    <s v="Doctor"/>
    <s v="Very High"/>
    <x v="2"/>
    <s v="High"/>
  </r>
  <r>
    <n v="19"/>
    <x v="1"/>
    <x v="1"/>
    <n v="25"/>
    <n v="3"/>
    <s v="Life Sciences"/>
    <n v="2"/>
    <n v="4"/>
    <x v="0"/>
    <n v="2994"/>
    <n v="1"/>
    <n v="3"/>
    <n v="1"/>
    <n v="0"/>
    <x v="4"/>
    <x v="1"/>
    <x v="2"/>
    <n v="3"/>
    <s v="Bachelor"/>
    <s v="Medium"/>
    <x v="0"/>
    <s v="High"/>
  </r>
  <r>
    <n v="23"/>
    <x v="1"/>
    <x v="1"/>
    <n v="1"/>
    <n v="2"/>
    <s v="Life Sciences"/>
    <n v="4"/>
    <n v="3"/>
    <x v="1"/>
    <n v="1223"/>
    <n v="1"/>
    <n v="3"/>
    <n v="1"/>
    <n v="0"/>
    <x v="4"/>
    <x v="1"/>
    <x v="2"/>
    <n v="3.3333333333333335"/>
    <s v="College"/>
    <s v="Very High"/>
    <x v="2"/>
    <s v="High"/>
  </r>
  <r>
    <n v="25"/>
    <x v="0"/>
    <x v="0"/>
    <n v="24"/>
    <n v="1"/>
    <s v="Life Sciences"/>
    <n v="3"/>
    <n v="4"/>
    <x v="0"/>
    <n v="1118"/>
    <n v="1"/>
    <n v="3"/>
    <n v="1"/>
    <n v="1"/>
    <x v="2"/>
    <x v="1"/>
    <x v="2"/>
    <n v="3.3333333333333335"/>
    <s v="Below College"/>
    <s v="High"/>
    <x v="0"/>
    <s v="High"/>
  </r>
  <r>
    <n v="26"/>
    <x v="1"/>
    <x v="1"/>
    <n v="4"/>
    <n v="2"/>
    <s v="Life Sciences"/>
    <n v="3"/>
    <n v="4"/>
    <x v="0"/>
    <n v="2875"/>
    <n v="1"/>
    <n v="2"/>
    <n v="8"/>
    <n v="0"/>
    <x v="2"/>
    <x v="1"/>
    <x v="0"/>
    <n v="3"/>
    <s v="College"/>
    <s v="High"/>
    <x v="0"/>
    <s v="Medium"/>
  </r>
  <r>
    <n v="45"/>
    <x v="0"/>
    <x v="0"/>
    <n v="2"/>
    <n v="3"/>
    <s v="Marketing"/>
    <n v="1"/>
    <n v="2"/>
    <x v="0"/>
    <n v="18824"/>
    <n v="2"/>
    <n v="3"/>
    <n v="24"/>
    <n v="1"/>
    <x v="1"/>
    <x v="2"/>
    <x v="1"/>
    <n v="2"/>
    <s v="Bachelor"/>
    <s v="Low"/>
    <x v="1"/>
    <s v="High"/>
  </r>
  <r>
    <n v="55"/>
    <x v="1"/>
    <x v="1"/>
    <n v="8"/>
    <n v="1"/>
    <s v="Medical"/>
    <n v="4"/>
    <n v="2"/>
    <x v="2"/>
    <n v="13577"/>
    <n v="1"/>
    <n v="3"/>
    <n v="33"/>
    <n v="0"/>
    <x v="3"/>
    <x v="2"/>
    <x v="1"/>
    <n v="3"/>
    <s v="Below College"/>
    <s v="Very High"/>
    <x v="1"/>
    <s v="High"/>
  </r>
  <r>
    <n v="21"/>
    <x v="0"/>
    <x v="1"/>
    <n v="10"/>
    <n v="2"/>
    <s v="Life Sciences"/>
    <n v="1"/>
    <n v="3"/>
    <x v="0"/>
    <n v="2625"/>
    <n v="1"/>
    <n v="1"/>
    <n v="2"/>
    <n v="1"/>
    <x v="4"/>
    <x v="1"/>
    <x v="3"/>
    <n v="1.6666666666666667"/>
    <s v="College"/>
    <s v="Low"/>
    <x v="2"/>
    <s v="Low"/>
  </r>
  <r>
    <n v="46"/>
    <x v="1"/>
    <x v="0"/>
    <n v="4"/>
    <n v="2"/>
    <s v="Marketing"/>
    <n v="4"/>
    <n v="2"/>
    <x v="1"/>
    <n v="18789"/>
    <n v="2"/>
    <n v="3"/>
    <n v="11"/>
    <n v="0"/>
    <x v="1"/>
    <x v="2"/>
    <x v="1"/>
    <n v="3"/>
    <s v="College"/>
    <s v="Very High"/>
    <x v="1"/>
    <s v="High"/>
  </r>
  <r>
    <n v="34"/>
    <x v="1"/>
    <x v="0"/>
    <n v="2"/>
    <n v="3"/>
    <s v="Marketing"/>
    <n v="3"/>
    <n v="1"/>
    <x v="0"/>
    <n v="4538"/>
    <n v="0"/>
    <n v="3"/>
    <n v="3"/>
    <n v="0"/>
    <x v="2"/>
    <x v="0"/>
    <x v="3"/>
    <n v="2.3333333333333335"/>
    <s v="Bachelor"/>
    <s v="High"/>
    <x v="3"/>
    <s v="High"/>
  </r>
  <r>
    <n v="51"/>
    <x v="1"/>
    <x v="0"/>
    <n v="9"/>
    <n v="3"/>
    <s v="Life Sciences"/>
    <n v="4"/>
    <n v="2"/>
    <x v="2"/>
    <n v="19847"/>
    <n v="4"/>
    <n v="2"/>
    <n v="29"/>
    <n v="0"/>
    <x v="1"/>
    <x v="2"/>
    <x v="1"/>
    <n v="2.6666666666666665"/>
    <s v="Bachelor"/>
    <s v="Very High"/>
    <x v="1"/>
    <s v="Medium"/>
  </r>
  <r>
    <n v="59"/>
    <x v="1"/>
    <x v="1"/>
    <n v="18"/>
    <n v="4"/>
    <s v="Medical"/>
    <n v="4"/>
    <n v="4"/>
    <x v="0"/>
    <n v="10512"/>
    <n v="6"/>
    <n v="2"/>
    <n v="9"/>
    <n v="0"/>
    <x v="3"/>
    <x v="2"/>
    <x v="0"/>
    <n v="3.3333333333333335"/>
    <s v="Master"/>
    <s v="Very High"/>
    <x v="0"/>
    <s v="Medium"/>
  </r>
  <r>
    <n v="34"/>
    <x v="1"/>
    <x v="1"/>
    <n v="19"/>
    <n v="3"/>
    <s v="Medical"/>
    <n v="3"/>
    <n v="2"/>
    <x v="2"/>
    <n v="4444"/>
    <n v="4"/>
    <n v="4"/>
    <n v="11"/>
    <n v="0"/>
    <x v="2"/>
    <x v="0"/>
    <x v="1"/>
    <n v="3"/>
    <s v="Bachelor"/>
    <s v="High"/>
    <x v="1"/>
    <s v="Very High"/>
  </r>
  <r>
    <n v="28"/>
    <x v="1"/>
    <x v="1"/>
    <n v="1"/>
    <n v="4"/>
    <s v="Medical"/>
    <n v="4"/>
    <n v="3"/>
    <x v="0"/>
    <n v="2154"/>
    <n v="0"/>
    <n v="2"/>
    <n v="4"/>
    <n v="0"/>
    <x v="2"/>
    <x v="1"/>
    <x v="3"/>
    <n v="3"/>
    <s v="Master"/>
    <s v="Very High"/>
    <x v="2"/>
    <s v="Medium"/>
  </r>
  <r>
    <n v="44"/>
    <x v="1"/>
    <x v="1"/>
    <n v="4"/>
    <n v="2"/>
    <s v="Life Sciences"/>
    <n v="3"/>
    <n v="1"/>
    <x v="2"/>
    <n v="19190"/>
    <n v="1"/>
    <n v="2"/>
    <n v="25"/>
    <n v="0"/>
    <x v="0"/>
    <x v="2"/>
    <x v="1"/>
    <n v="2"/>
    <s v="College"/>
    <s v="High"/>
    <x v="3"/>
    <s v="Medium"/>
  </r>
  <r>
    <n v="34"/>
    <x v="1"/>
    <x v="2"/>
    <n v="11"/>
    <n v="3"/>
    <s v="Life Sciences"/>
    <n v="3"/>
    <n v="2"/>
    <x v="1"/>
    <n v="4490"/>
    <n v="4"/>
    <n v="4"/>
    <n v="10"/>
    <n v="0"/>
    <x v="2"/>
    <x v="0"/>
    <x v="1"/>
    <n v="3"/>
    <s v="Bachelor"/>
    <s v="High"/>
    <x v="1"/>
    <s v="Very High"/>
  </r>
  <r>
    <n v="35"/>
    <x v="1"/>
    <x v="1"/>
    <n v="6"/>
    <n v="1"/>
    <s v="Life Sciences"/>
    <n v="3"/>
    <n v="3"/>
    <x v="1"/>
    <n v="3506"/>
    <n v="0"/>
    <n v="3"/>
    <n v="3"/>
    <n v="0"/>
    <x v="0"/>
    <x v="0"/>
    <x v="3"/>
    <n v="3"/>
    <s v="Below College"/>
    <s v="High"/>
    <x v="2"/>
    <s v="High"/>
  </r>
  <r>
    <n v="42"/>
    <x v="1"/>
    <x v="1"/>
    <n v="7"/>
    <n v="4"/>
    <s v="Medical"/>
    <n v="2"/>
    <n v="2"/>
    <x v="1"/>
    <n v="2372"/>
    <n v="6"/>
    <n v="3"/>
    <n v="1"/>
    <n v="0"/>
    <x v="0"/>
    <x v="1"/>
    <x v="2"/>
    <n v="2.3333333333333335"/>
    <s v="Master"/>
    <s v="Medium"/>
    <x v="1"/>
    <s v="High"/>
  </r>
  <r>
    <n v="43"/>
    <x v="1"/>
    <x v="0"/>
    <n v="4"/>
    <n v="4"/>
    <s v="Marketing"/>
    <n v="4"/>
    <n v="4"/>
    <x v="0"/>
    <n v="10231"/>
    <n v="3"/>
    <n v="4"/>
    <n v="21"/>
    <n v="0"/>
    <x v="0"/>
    <x v="2"/>
    <x v="1"/>
    <n v="4"/>
    <s v="Master"/>
    <s v="Very High"/>
    <x v="0"/>
    <s v="Very High"/>
  </r>
  <r>
    <n v="36"/>
    <x v="1"/>
    <x v="1"/>
    <n v="2"/>
    <n v="4"/>
    <s v="Life Sciences"/>
    <n v="3"/>
    <n v="2"/>
    <x v="0"/>
    <n v="5410"/>
    <n v="9"/>
    <n v="3"/>
    <n v="16"/>
    <n v="0"/>
    <x v="0"/>
    <x v="0"/>
    <x v="1"/>
    <n v="2.6666666666666665"/>
    <s v="Master"/>
    <s v="High"/>
    <x v="1"/>
    <s v="High"/>
  </r>
  <r>
    <n v="44"/>
    <x v="0"/>
    <x v="1"/>
    <n v="15"/>
    <n v="3"/>
    <s v="Medical"/>
    <n v="1"/>
    <n v="4"/>
    <x v="1"/>
    <n v="7978"/>
    <n v="1"/>
    <n v="3"/>
    <n v="10"/>
    <n v="1"/>
    <x v="0"/>
    <x v="2"/>
    <x v="1"/>
    <n v="2.6666666666666665"/>
    <s v="Bachelor"/>
    <s v="Low"/>
    <x v="0"/>
    <s v="High"/>
  </r>
  <r>
    <n v="28"/>
    <x v="1"/>
    <x v="1"/>
    <n v="2"/>
    <n v="3"/>
    <s v="Life Sciences"/>
    <n v="4"/>
    <n v="4"/>
    <x v="1"/>
    <n v="3867"/>
    <n v="1"/>
    <n v="3"/>
    <n v="2"/>
    <n v="0"/>
    <x v="2"/>
    <x v="0"/>
    <x v="3"/>
    <n v="3.6666666666666665"/>
    <s v="Bachelor"/>
    <s v="Very High"/>
    <x v="0"/>
    <s v="High"/>
  </r>
  <r>
    <n v="51"/>
    <x v="1"/>
    <x v="1"/>
    <n v="6"/>
    <n v="2"/>
    <s v="Medical"/>
    <n v="2"/>
    <n v="3"/>
    <x v="0"/>
    <n v="2838"/>
    <n v="0"/>
    <n v="2"/>
    <n v="7"/>
    <n v="0"/>
    <x v="1"/>
    <x v="1"/>
    <x v="0"/>
    <n v="2.3333333333333335"/>
    <s v="College"/>
    <s v="Medium"/>
    <x v="2"/>
    <s v="Medium"/>
  </r>
  <r>
    <n v="30"/>
    <x v="1"/>
    <x v="1"/>
    <n v="9"/>
    <n v="2"/>
    <s v="Medical"/>
    <n v="3"/>
    <n v="3"/>
    <x v="0"/>
    <n v="4695"/>
    <n v="7"/>
    <n v="3"/>
    <n v="8"/>
    <n v="0"/>
    <x v="2"/>
    <x v="0"/>
    <x v="0"/>
    <n v="3"/>
    <s v="College"/>
    <s v="High"/>
    <x v="2"/>
    <s v="High"/>
  </r>
  <r>
    <n v="29"/>
    <x v="0"/>
    <x v="1"/>
    <n v="7"/>
    <n v="3"/>
    <s v="Technical Degree"/>
    <n v="2"/>
    <n v="3"/>
    <x v="2"/>
    <n v="3339"/>
    <n v="3"/>
    <n v="3"/>
    <n v="7"/>
    <n v="1"/>
    <x v="2"/>
    <x v="0"/>
    <x v="0"/>
    <n v="2.6666666666666665"/>
    <s v="Bachelor"/>
    <s v="Medium"/>
    <x v="2"/>
    <s v="High"/>
  </r>
  <r>
    <n v="28"/>
    <x v="1"/>
    <x v="1"/>
    <n v="1"/>
    <n v="3"/>
    <s v="Technical Degree"/>
    <n v="4"/>
    <n v="1"/>
    <x v="0"/>
    <n v="2080"/>
    <n v="2"/>
    <n v="2"/>
    <n v="3"/>
    <n v="0"/>
    <x v="2"/>
    <x v="1"/>
    <x v="3"/>
    <n v="2.3333333333333335"/>
    <s v="Bachelor"/>
    <s v="Very High"/>
    <x v="3"/>
    <s v="Medium"/>
  </r>
  <r>
    <n v="25"/>
    <x v="1"/>
    <x v="1"/>
    <n v="1"/>
    <n v="3"/>
    <s v="Medical"/>
    <n v="4"/>
    <n v="2"/>
    <x v="0"/>
    <n v="2096"/>
    <n v="1"/>
    <n v="2"/>
    <n v="2"/>
    <n v="0"/>
    <x v="2"/>
    <x v="1"/>
    <x v="3"/>
    <n v="2.6666666666666665"/>
    <s v="Bachelor"/>
    <s v="Very High"/>
    <x v="1"/>
    <s v="Medium"/>
  </r>
  <r>
    <n v="32"/>
    <x v="1"/>
    <x v="0"/>
    <n v="8"/>
    <n v="3"/>
    <s v="Medical"/>
    <n v="3"/>
    <n v="4"/>
    <x v="1"/>
    <n v="6209"/>
    <n v="1"/>
    <n v="4"/>
    <n v="10"/>
    <n v="0"/>
    <x v="2"/>
    <x v="0"/>
    <x v="1"/>
    <n v="3.6666666666666665"/>
    <s v="Bachelor"/>
    <s v="High"/>
    <x v="0"/>
    <s v="Very High"/>
  </r>
  <r>
    <n v="45"/>
    <x v="1"/>
    <x v="1"/>
    <n v="25"/>
    <n v="3"/>
    <s v="Medical"/>
    <n v="2"/>
    <n v="2"/>
    <x v="0"/>
    <n v="18061"/>
    <n v="3"/>
    <n v="3"/>
    <n v="0"/>
    <n v="0"/>
    <x v="1"/>
    <x v="2"/>
    <x v="2"/>
    <n v="2.3333333333333335"/>
    <s v="Bachelor"/>
    <s v="Medium"/>
    <x v="1"/>
    <s v="High"/>
  </r>
  <r>
    <n v="39"/>
    <x v="1"/>
    <x v="1"/>
    <n v="13"/>
    <n v="4"/>
    <s v="Medical"/>
    <n v="3"/>
    <n v="2"/>
    <x v="2"/>
    <n v="17123"/>
    <n v="6"/>
    <n v="3"/>
    <n v="19"/>
    <n v="0"/>
    <x v="0"/>
    <x v="2"/>
    <x v="1"/>
    <n v="2.6666666666666665"/>
    <s v="Master"/>
    <s v="High"/>
    <x v="1"/>
    <s v="High"/>
  </r>
  <r>
    <n v="58"/>
    <x v="1"/>
    <x v="1"/>
    <n v="23"/>
    <n v="4"/>
    <s v="Life Sciences"/>
    <n v="1"/>
    <n v="3"/>
    <x v="2"/>
    <n v="2372"/>
    <n v="1"/>
    <n v="3"/>
    <n v="2"/>
    <n v="0"/>
    <x v="3"/>
    <x v="1"/>
    <x v="3"/>
    <n v="2.3333333333333335"/>
    <s v="Master"/>
    <s v="Low"/>
    <x v="2"/>
    <s v="High"/>
  </r>
  <r>
    <n v="32"/>
    <x v="0"/>
    <x v="1"/>
    <n v="7"/>
    <n v="2"/>
    <s v="Life Sciences"/>
    <n v="4"/>
    <n v="3"/>
    <x v="1"/>
    <n v="4883"/>
    <n v="1"/>
    <n v="3"/>
    <n v="10"/>
    <n v="1"/>
    <x v="2"/>
    <x v="0"/>
    <x v="1"/>
    <n v="3.3333333333333335"/>
    <s v="College"/>
    <s v="Very High"/>
    <x v="2"/>
    <s v="High"/>
  </r>
  <r>
    <n v="39"/>
    <x v="0"/>
    <x v="1"/>
    <n v="23"/>
    <n v="3"/>
    <s v="Medical"/>
    <n v="3"/>
    <n v="1"/>
    <x v="0"/>
    <n v="3904"/>
    <n v="0"/>
    <n v="3"/>
    <n v="5"/>
    <n v="1"/>
    <x v="0"/>
    <x v="0"/>
    <x v="0"/>
    <n v="2.3333333333333335"/>
    <s v="Bachelor"/>
    <s v="High"/>
    <x v="3"/>
    <s v="High"/>
  </r>
  <r>
    <n v="30"/>
    <x v="1"/>
    <x v="1"/>
    <n v="6"/>
    <n v="3"/>
    <s v="Technical Degree"/>
    <n v="1"/>
    <n v="4"/>
    <x v="1"/>
    <n v="4627"/>
    <n v="0"/>
    <n v="3"/>
    <n v="9"/>
    <n v="0"/>
    <x v="2"/>
    <x v="0"/>
    <x v="0"/>
    <n v="2.6666666666666665"/>
    <s v="Bachelor"/>
    <s v="Low"/>
    <x v="0"/>
    <s v="High"/>
  </r>
  <r>
    <n v="36"/>
    <x v="1"/>
    <x v="1"/>
    <n v="10"/>
    <n v="4"/>
    <s v="Technical Degree"/>
    <n v="4"/>
    <n v="3"/>
    <x v="1"/>
    <n v="7094"/>
    <n v="3"/>
    <n v="3"/>
    <n v="7"/>
    <n v="0"/>
    <x v="0"/>
    <x v="2"/>
    <x v="0"/>
    <n v="3.3333333333333335"/>
    <s v="Master"/>
    <s v="Very High"/>
    <x v="2"/>
    <s v="High"/>
  </r>
  <r>
    <n v="46"/>
    <x v="1"/>
    <x v="2"/>
    <n v="1"/>
    <n v="2"/>
    <s v="Life Sciences"/>
    <n v="4"/>
    <n v="1"/>
    <x v="0"/>
    <n v="3423"/>
    <n v="6"/>
    <n v="4"/>
    <n v="7"/>
    <n v="0"/>
    <x v="1"/>
    <x v="0"/>
    <x v="0"/>
    <n v="3"/>
    <s v="College"/>
    <s v="Very High"/>
    <x v="3"/>
    <s v="Very High"/>
  </r>
  <r>
    <n v="28"/>
    <x v="1"/>
    <x v="1"/>
    <n v="1"/>
    <n v="3"/>
    <s v="Life Sciences"/>
    <n v="3"/>
    <n v="4"/>
    <x v="1"/>
    <n v="6674"/>
    <n v="0"/>
    <n v="3"/>
    <n v="9"/>
    <n v="0"/>
    <x v="2"/>
    <x v="0"/>
    <x v="0"/>
    <n v="3.3333333333333335"/>
    <s v="Bachelor"/>
    <s v="High"/>
    <x v="0"/>
    <s v="High"/>
  </r>
  <r>
    <n v="50"/>
    <x v="1"/>
    <x v="1"/>
    <n v="28"/>
    <n v="3"/>
    <s v="Life Sciences"/>
    <n v="4"/>
    <n v="1"/>
    <x v="1"/>
    <n v="16880"/>
    <n v="4"/>
    <n v="3"/>
    <n v="3"/>
    <n v="0"/>
    <x v="1"/>
    <x v="2"/>
    <x v="3"/>
    <n v="2.6666666666666665"/>
    <s v="Bachelor"/>
    <s v="Very High"/>
    <x v="3"/>
    <s v="High"/>
  </r>
  <r>
    <n v="40"/>
    <x v="0"/>
    <x v="0"/>
    <n v="25"/>
    <n v="4"/>
    <s v="Marketing"/>
    <n v="4"/>
    <n v="2"/>
    <x v="0"/>
    <n v="9094"/>
    <n v="2"/>
    <n v="3"/>
    <n v="5"/>
    <n v="1"/>
    <x v="0"/>
    <x v="2"/>
    <x v="0"/>
    <n v="3"/>
    <s v="Master"/>
    <s v="Very High"/>
    <x v="1"/>
    <s v="High"/>
  </r>
  <r>
    <n v="52"/>
    <x v="0"/>
    <x v="0"/>
    <n v="5"/>
    <n v="3"/>
    <s v="Life Sciences"/>
    <n v="2"/>
    <n v="2"/>
    <x v="0"/>
    <n v="8446"/>
    <n v="9"/>
    <n v="2"/>
    <n v="8"/>
    <n v="1"/>
    <x v="1"/>
    <x v="2"/>
    <x v="0"/>
    <n v="2"/>
    <s v="Bachelor"/>
    <s v="Medium"/>
    <x v="1"/>
    <s v="Medium"/>
  </r>
  <r>
    <n v="30"/>
    <x v="1"/>
    <x v="1"/>
    <n v="17"/>
    <n v="4"/>
    <s v="Medical"/>
    <n v="2"/>
    <n v="1"/>
    <x v="1"/>
    <n v="11916"/>
    <n v="1"/>
    <n v="3"/>
    <n v="9"/>
    <n v="0"/>
    <x v="2"/>
    <x v="2"/>
    <x v="0"/>
    <n v="2"/>
    <s v="Master"/>
    <s v="Medium"/>
    <x v="3"/>
    <s v="High"/>
  </r>
  <r>
    <n v="39"/>
    <x v="1"/>
    <x v="1"/>
    <n v="18"/>
    <n v="2"/>
    <s v="Life Sciences"/>
    <n v="1"/>
    <n v="3"/>
    <x v="0"/>
    <n v="4534"/>
    <n v="0"/>
    <n v="3"/>
    <n v="8"/>
    <n v="0"/>
    <x v="0"/>
    <x v="0"/>
    <x v="0"/>
    <n v="2.3333333333333335"/>
    <s v="College"/>
    <s v="Low"/>
    <x v="2"/>
    <s v="High"/>
  </r>
  <r>
    <n v="31"/>
    <x v="1"/>
    <x v="0"/>
    <n v="2"/>
    <n v="4"/>
    <s v="Life Sciences"/>
    <n v="4"/>
    <n v="3"/>
    <x v="2"/>
    <n v="9852"/>
    <n v="1"/>
    <n v="2"/>
    <n v="10"/>
    <n v="0"/>
    <x v="2"/>
    <x v="2"/>
    <x v="1"/>
    <n v="3"/>
    <s v="Master"/>
    <s v="Very High"/>
    <x v="2"/>
    <s v="Medium"/>
  </r>
  <r>
    <n v="41"/>
    <x v="1"/>
    <x v="0"/>
    <n v="10"/>
    <n v="2"/>
    <s v="Medical"/>
    <n v="3"/>
    <n v="2"/>
    <x v="0"/>
    <n v="6151"/>
    <n v="1"/>
    <n v="3"/>
    <n v="19"/>
    <n v="0"/>
    <x v="0"/>
    <x v="0"/>
    <x v="1"/>
    <n v="2.6666666666666665"/>
    <s v="College"/>
    <s v="High"/>
    <x v="1"/>
    <s v="High"/>
  </r>
  <r>
    <n v="31"/>
    <x v="0"/>
    <x v="0"/>
    <n v="1"/>
    <n v="3"/>
    <s v="Life Sciences"/>
    <n v="4"/>
    <n v="2"/>
    <x v="0"/>
    <n v="2302"/>
    <n v="1"/>
    <n v="4"/>
    <n v="3"/>
    <n v="1"/>
    <x v="2"/>
    <x v="1"/>
    <x v="3"/>
    <n v="3.3333333333333335"/>
    <s v="Bachelor"/>
    <s v="Very High"/>
    <x v="1"/>
    <s v="Very High"/>
  </r>
  <r>
    <n v="44"/>
    <x v="0"/>
    <x v="1"/>
    <n v="3"/>
    <n v="3"/>
    <s v="Life Sciences"/>
    <n v="1"/>
    <n v="1"/>
    <x v="1"/>
    <n v="2362"/>
    <n v="4"/>
    <n v="4"/>
    <n v="3"/>
    <n v="1"/>
    <x v="0"/>
    <x v="1"/>
    <x v="3"/>
    <n v="2"/>
    <s v="Bachelor"/>
    <s v="Low"/>
    <x v="3"/>
    <s v="Very High"/>
  </r>
  <r>
    <n v="42"/>
    <x v="1"/>
    <x v="1"/>
    <n v="2"/>
    <n v="1"/>
    <s v="Life Sciences"/>
    <n v="3"/>
    <n v="3"/>
    <x v="1"/>
    <n v="17861"/>
    <n v="0"/>
    <n v="2"/>
    <n v="20"/>
    <n v="0"/>
    <x v="0"/>
    <x v="2"/>
    <x v="1"/>
    <n v="2.6666666666666665"/>
    <s v="Below College"/>
    <s v="High"/>
    <x v="2"/>
    <s v="Medium"/>
  </r>
  <r>
    <n v="55"/>
    <x v="1"/>
    <x v="1"/>
    <n v="2"/>
    <n v="2"/>
    <s v="Medical"/>
    <n v="4"/>
    <n v="3"/>
    <x v="1"/>
    <n v="19187"/>
    <n v="4"/>
    <n v="3"/>
    <n v="19"/>
    <n v="0"/>
    <x v="3"/>
    <x v="2"/>
    <x v="1"/>
    <n v="3.3333333333333335"/>
    <s v="College"/>
    <s v="Very High"/>
    <x v="2"/>
    <s v="High"/>
  </r>
  <r>
    <n v="56"/>
    <x v="1"/>
    <x v="2"/>
    <n v="8"/>
    <n v="4"/>
    <s v="Life Sciences"/>
    <n v="4"/>
    <n v="2"/>
    <x v="0"/>
    <n v="19717"/>
    <n v="6"/>
    <n v="3"/>
    <n v="7"/>
    <n v="0"/>
    <x v="3"/>
    <x v="2"/>
    <x v="0"/>
    <n v="3"/>
    <s v="Master"/>
    <s v="Very High"/>
    <x v="1"/>
    <s v="High"/>
  </r>
  <r>
    <n v="40"/>
    <x v="1"/>
    <x v="1"/>
    <n v="16"/>
    <n v="2"/>
    <s v="Life Sciences"/>
    <n v="3"/>
    <n v="3"/>
    <x v="2"/>
    <n v="3544"/>
    <n v="9"/>
    <n v="3"/>
    <n v="4"/>
    <n v="0"/>
    <x v="0"/>
    <x v="0"/>
    <x v="3"/>
    <n v="3"/>
    <s v="College"/>
    <s v="High"/>
    <x v="2"/>
    <s v="High"/>
  </r>
  <r>
    <n v="34"/>
    <x v="1"/>
    <x v="1"/>
    <n v="9"/>
    <n v="3"/>
    <s v="Life Sciences"/>
    <n v="4"/>
    <n v="4"/>
    <x v="2"/>
    <n v="8500"/>
    <n v="0"/>
    <n v="2"/>
    <n v="9"/>
    <n v="0"/>
    <x v="2"/>
    <x v="2"/>
    <x v="0"/>
    <n v="3.3333333333333335"/>
    <s v="Bachelor"/>
    <s v="Very High"/>
    <x v="0"/>
    <s v="Medium"/>
  </r>
  <r>
    <n v="40"/>
    <x v="1"/>
    <x v="1"/>
    <n v="2"/>
    <n v="3"/>
    <s v="Life Sciences"/>
    <n v="3"/>
    <n v="4"/>
    <x v="0"/>
    <n v="4661"/>
    <n v="1"/>
    <n v="3"/>
    <n v="9"/>
    <n v="0"/>
    <x v="0"/>
    <x v="0"/>
    <x v="0"/>
    <n v="3.3333333333333335"/>
    <s v="Bachelor"/>
    <s v="High"/>
    <x v="0"/>
    <s v="High"/>
  </r>
  <r>
    <n v="41"/>
    <x v="1"/>
    <x v="0"/>
    <n v="1"/>
    <n v="3"/>
    <s v="Marketing"/>
    <n v="3"/>
    <n v="1"/>
    <x v="2"/>
    <n v="4103"/>
    <n v="0"/>
    <n v="3"/>
    <n v="9"/>
    <n v="0"/>
    <x v="0"/>
    <x v="0"/>
    <x v="0"/>
    <n v="2.3333333333333335"/>
    <s v="Bachelor"/>
    <s v="High"/>
    <x v="3"/>
    <s v="High"/>
  </r>
  <r>
    <n v="35"/>
    <x v="1"/>
    <x v="1"/>
    <n v="4"/>
    <n v="4"/>
    <s v="Life Sciences"/>
    <n v="3"/>
    <n v="3"/>
    <x v="0"/>
    <n v="4249"/>
    <n v="1"/>
    <n v="3"/>
    <n v="9"/>
    <n v="0"/>
    <x v="0"/>
    <x v="0"/>
    <x v="0"/>
    <n v="3"/>
    <s v="Master"/>
    <s v="High"/>
    <x v="2"/>
    <s v="High"/>
  </r>
  <r>
    <n v="51"/>
    <x v="1"/>
    <x v="2"/>
    <n v="5"/>
    <n v="3"/>
    <s v="Life Sciences"/>
    <n v="3"/>
    <n v="2"/>
    <x v="2"/>
    <n v="14026"/>
    <n v="1"/>
    <n v="3"/>
    <n v="33"/>
    <n v="0"/>
    <x v="1"/>
    <x v="2"/>
    <x v="1"/>
    <n v="2.6666666666666665"/>
    <s v="Bachelor"/>
    <s v="High"/>
    <x v="1"/>
    <s v="High"/>
  </r>
  <r>
    <n v="38"/>
    <x v="1"/>
    <x v="0"/>
    <n v="2"/>
    <n v="2"/>
    <s v="Life Sciences"/>
    <n v="2"/>
    <n v="1"/>
    <x v="2"/>
    <n v="6893"/>
    <n v="3"/>
    <n v="3"/>
    <n v="7"/>
    <n v="0"/>
    <x v="0"/>
    <x v="0"/>
    <x v="0"/>
    <n v="2"/>
    <s v="College"/>
    <s v="Medium"/>
    <x v="3"/>
    <s v="High"/>
  </r>
  <r>
    <n v="34"/>
    <x v="1"/>
    <x v="0"/>
    <n v="15"/>
    <n v="2"/>
    <s v="Medical"/>
    <n v="3"/>
    <n v="1"/>
    <x v="0"/>
    <n v="6125"/>
    <n v="1"/>
    <n v="4"/>
    <n v="10"/>
    <n v="0"/>
    <x v="2"/>
    <x v="0"/>
    <x v="1"/>
    <n v="2.6666666666666665"/>
    <s v="College"/>
    <s v="High"/>
    <x v="3"/>
    <s v="Very High"/>
  </r>
  <r>
    <n v="25"/>
    <x v="1"/>
    <x v="1"/>
    <n v="19"/>
    <n v="1"/>
    <s v="Medical"/>
    <n v="4"/>
    <n v="4"/>
    <x v="1"/>
    <n v="3669"/>
    <n v="3"/>
    <n v="2"/>
    <n v="3"/>
    <n v="0"/>
    <x v="2"/>
    <x v="0"/>
    <x v="3"/>
    <n v="3.3333333333333335"/>
    <s v="Below College"/>
    <s v="Very High"/>
    <x v="0"/>
    <s v="Medium"/>
  </r>
  <r>
    <n v="58"/>
    <x v="0"/>
    <x v="1"/>
    <n v="7"/>
    <n v="4"/>
    <s v="Medical"/>
    <n v="3"/>
    <n v="1"/>
    <x v="1"/>
    <n v="10008"/>
    <n v="7"/>
    <n v="2"/>
    <n v="10"/>
    <n v="1"/>
    <x v="3"/>
    <x v="2"/>
    <x v="1"/>
    <n v="2"/>
    <s v="Master"/>
    <s v="High"/>
    <x v="3"/>
    <s v="Medium"/>
  </r>
  <r>
    <n v="40"/>
    <x v="1"/>
    <x v="1"/>
    <n v="1"/>
    <n v="4"/>
    <s v="Life Sciences"/>
    <n v="2"/>
    <n v="2"/>
    <x v="1"/>
    <n v="2387"/>
    <n v="3"/>
    <n v="3"/>
    <n v="4"/>
    <n v="0"/>
    <x v="0"/>
    <x v="1"/>
    <x v="3"/>
    <n v="2.3333333333333335"/>
    <s v="Master"/>
    <s v="Medium"/>
    <x v="1"/>
    <s v="High"/>
  </r>
  <r>
    <n v="36"/>
    <x v="1"/>
    <x v="0"/>
    <n v="7"/>
    <n v="3"/>
    <s v="Marketing"/>
    <n v="1"/>
    <n v="1"/>
    <x v="1"/>
    <n v="4639"/>
    <n v="2"/>
    <n v="2"/>
    <n v="15"/>
    <n v="0"/>
    <x v="0"/>
    <x v="0"/>
    <x v="1"/>
    <n v="1.3333333333333333"/>
    <s v="Bachelor"/>
    <s v="Low"/>
    <x v="3"/>
    <s v="Medium"/>
  </r>
  <r>
    <n v="48"/>
    <x v="1"/>
    <x v="1"/>
    <n v="4"/>
    <n v="3"/>
    <s v="Life Sciences"/>
    <n v="4"/>
    <n v="4"/>
    <x v="0"/>
    <n v="7898"/>
    <n v="1"/>
    <n v="3"/>
    <n v="10"/>
    <n v="0"/>
    <x v="1"/>
    <x v="2"/>
    <x v="1"/>
    <n v="3.6666666666666665"/>
    <s v="Bachelor"/>
    <s v="Very High"/>
    <x v="0"/>
    <s v="High"/>
  </r>
  <r>
    <n v="27"/>
    <x v="1"/>
    <x v="0"/>
    <n v="11"/>
    <n v="3"/>
    <s v="Medical"/>
    <n v="3"/>
    <n v="4"/>
    <x v="1"/>
    <n v="2534"/>
    <n v="8"/>
    <n v="3"/>
    <n v="1"/>
    <n v="0"/>
    <x v="2"/>
    <x v="1"/>
    <x v="2"/>
    <n v="3.3333333333333335"/>
    <s v="Bachelor"/>
    <s v="High"/>
    <x v="0"/>
    <s v="High"/>
  </r>
  <r>
    <n v="51"/>
    <x v="1"/>
    <x v="1"/>
    <n v="11"/>
    <n v="2"/>
    <s v="Technical Degree"/>
    <n v="4"/>
    <n v="2"/>
    <x v="0"/>
    <n v="13142"/>
    <n v="3"/>
    <n v="2"/>
    <n v="5"/>
    <n v="0"/>
    <x v="1"/>
    <x v="2"/>
    <x v="0"/>
    <n v="2.6666666666666665"/>
    <s v="College"/>
    <s v="Very High"/>
    <x v="1"/>
    <s v="Medium"/>
  </r>
  <r>
    <n v="18"/>
    <x v="1"/>
    <x v="1"/>
    <n v="1"/>
    <n v="3"/>
    <s v="Life Sciences"/>
    <n v="4"/>
    <n v="4"/>
    <x v="0"/>
    <n v="1611"/>
    <n v="1"/>
    <n v="4"/>
    <n v="0"/>
    <n v="0"/>
    <x v="4"/>
    <x v="1"/>
    <x v="2"/>
    <n v="4"/>
    <s v="Bachelor"/>
    <s v="Very High"/>
    <x v="0"/>
    <s v="Very High"/>
  </r>
  <r>
    <n v="35"/>
    <x v="1"/>
    <x v="1"/>
    <n v="1"/>
    <n v="3"/>
    <s v="Medical"/>
    <n v="4"/>
    <n v="4"/>
    <x v="1"/>
    <n v="5363"/>
    <n v="0"/>
    <n v="3"/>
    <n v="9"/>
    <n v="0"/>
    <x v="0"/>
    <x v="0"/>
    <x v="0"/>
    <n v="3.6666666666666665"/>
    <s v="Bachelor"/>
    <s v="Very High"/>
    <x v="0"/>
    <s v="High"/>
  </r>
  <r>
    <n v="27"/>
    <x v="1"/>
    <x v="0"/>
    <n v="2"/>
    <n v="1"/>
    <s v="Life Sciences"/>
    <n v="4"/>
    <n v="4"/>
    <x v="0"/>
    <n v="5071"/>
    <n v="3"/>
    <n v="3"/>
    <n v="6"/>
    <n v="0"/>
    <x v="2"/>
    <x v="0"/>
    <x v="0"/>
    <n v="3.6666666666666665"/>
    <s v="Below College"/>
    <s v="Very High"/>
    <x v="0"/>
    <s v="High"/>
  </r>
  <r>
    <n v="55"/>
    <x v="0"/>
    <x v="0"/>
    <n v="13"/>
    <n v="4"/>
    <s v="Marketing"/>
    <n v="1"/>
    <n v="3"/>
    <x v="0"/>
    <n v="13695"/>
    <n v="6"/>
    <n v="2"/>
    <n v="19"/>
    <n v="1"/>
    <x v="3"/>
    <x v="2"/>
    <x v="1"/>
    <n v="2"/>
    <s v="Master"/>
    <s v="Low"/>
    <x v="2"/>
    <s v="Medium"/>
  </r>
  <r>
    <n v="56"/>
    <x v="1"/>
    <x v="1"/>
    <n v="23"/>
    <n v="3"/>
    <s v="Life Sciences"/>
    <n v="4"/>
    <n v="2"/>
    <x v="1"/>
    <n v="13402"/>
    <n v="4"/>
    <n v="3"/>
    <n v="19"/>
    <n v="0"/>
    <x v="3"/>
    <x v="2"/>
    <x v="1"/>
    <n v="3"/>
    <s v="Bachelor"/>
    <s v="Very High"/>
    <x v="1"/>
    <s v="High"/>
  </r>
  <r>
    <n v="34"/>
    <x v="1"/>
    <x v="1"/>
    <n v="26"/>
    <n v="1"/>
    <s v="Technical Degree"/>
    <n v="1"/>
    <n v="3"/>
    <x v="2"/>
    <n v="2029"/>
    <n v="1"/>
    <n v="3"/>
    <n v="5"/>
    <n v="0"/>
    <x v="2"/>
    <x v="1"/>
    <x v="0"/>
    <n v="2.3333333333333335"/>
    <s v="Below College"/>
    <s v="Low"/>
    <x v="2"/>
    <s v="High"/>
  </r>
  <r>
    <n v="40"/>
    <x v="1"/>
    <x v="1"/>
    <n v="2"/>
    <n v="1"/>
    <s v="Medical"/>
    <n v="2"/>
    <n v="3"/>
    <x v="2"/>
    <n v="6377"/>
    <n v="5"/>
    <n v="3"/>
    <n v="12"/>
    <n v="0"/>
    <x v="0"/>
    <x v="0"/>
    <x v="1"/>
    <n v="2.6666666666666665"/>
    <s v="Below College"/>
    <s v="Medium"/>
    <x v="2"/>
    <s v="High"/>
  </r>
  <r>
    <n v="34"/>
    <x v="1"/>
    <x v="1"/>
    <n v="29"/>
    <n v="3"/>
    <s v="Medical"/>
    <n v="2"/>
    <n v="3"/>
    <x v="1"/>
    <n v="5429"/>
    <n v="4"/>
    <n v="3"/>
    <n v="8"/>
    <n v="0"/>
    <x v="2"/>
    <x v="0"/>
    <x v="0"/>
    <n v="2.6666666666666665"/>
    <s v="Bachelor"/>
    <s v="Medium"/>
    <x v="2"/>
    <s v="High"/>
  </r>
  <r>
    <n v="31"/>
    <x v="0"/>
    <x v="0"/>
    <n v="2"/>
    <n v="3"/>
    <s v="Life Sciences"/>
    <n v="3"/>
    <n v="4"/>
    <x v="0"/>
    <n v="2785"/>
    <n v="7"/>
    <n v="4"/>
    <n v="1"/>
    <n v="1"/>
    <x v="2"/>
    <x v="1"/>
    <x v="2"/>
    <n v="3.6666666666666665"/>
    <s v="Bachelor"/>
    <s v="High"/>
    <x v="0"/>
    <s v="Very High"/>
  </r>
  <r>
    <n v="35"/>
    <x v="0"/>
    <x v="0"/>
    <n v="18"/>
    <n v="4"/>
    <s v="Marketing"/>
    <n v="4"/>
    <n v="3"/>
    <x v="1"/>
    <n v="4614"/>
    <n v="0"/>
    <n v="2"/>
    <n v="4"/>
    <n v="1"/>
    <x v="0"/>
    <x v="0"/>
    <x v="3"/>
    <n v="3"/>
    <s v="Master"/>
    <s v="Very High"/>
    <x v="2"/>
    <s v="Medium"/>
  </r>
  <r>
    <n v="38"/>
    <x v="1"/>
    <x v="1"/>
    <n v="7"/>
    <n v="3"/>
    <s v="Life Sciences"/>
    <n v="4"/>
    <n v="3"/>
    <x v="2"/>
    <n v="2610"/>
    <n v="1"/>
    <n v="3"/>
    <n v="4"/>
    <n v="0"/>
    <x v="0"/>
    <x v="1"/>
    <x v="3"/>
    <n v="3.3333333333333335"/>
    <s v="Bachelor"/>
    <s v="Very High"/>
    <x v="2"/>
    <s v="High"/>
  </r>
  <r>
    <n v="34"/>
    <x v="1"/>
    <x v="1"/>
    <n v="2"/>
    <n v="4"/>
    <s v="Technical Degree"/>
    <n v="3"/>
    <n v="4"/>
    <x v="0"/>
    <n v="6687"/>
    <n v="1"/>
    <n v="4"/>
    <n v="14"/>
    <n v="0"/>
    <x v="2"/>
    <x v="0"/>
    <x v="1"/>
    <n v="3.6666666666666665"/>
    <s v="Master"/>
    <s v="High"/>
    <x v="0"/>
    <s v="Very High"/>
  </r>
  <r>
    <n v="28"/>
    <x v="1"/>
    <x v="0"/>
    <n v="26"/>
    <n v="3"/>
    <s v="Life Sciences"/>
    <n v="3"/>
    <n v="1"/>
    <x v="1"/>
    <n v="4724"/>
    <n v="1"/>
    <n v="3"/>
    <n v="5"/>
    <n v="0"/>
    <x v="2"/>
    <x v="0"/>
    <x v="0"/>
    <n v="2.3333333333333335"/>
    <s v="Bachelor"/>
    <s v="High"/>
    <x v="3"/>
    <s v="High"/>
  </r>
  <r>
    <n v="31"/>
    <x v="0"/>
    <x v="1"/>
    <n v="22"/>
    <n v="4"/>
    <s v="Medical"/>
    <n v="4"/>
    <n v="3"/>
    <x v="1"/>
    <n v="6179"/>
    <n v="1"/>
    <n v="2"/>
    <n v="10"/>
    <n v="1"/>
    <x v="2"/>
    <x v="0"/>
    <x v="1"/>
    <n v="3"/>
    <s v="Master"/>
    <s v="Very High"/>
    <x v="2"/>
    <s v="Medium"/>
  </r>
  <r>
    <n v="39"/>
    <x v="1"/>
    <x v="0"/>
    <n v="21"/>
    <n v="4"/>
    <s v="Life Sciences"/>
    <n v="1"/>
    <n v="4"/>
    <x v="1"/>
    <n v="6120"/>
    <n v="3"/>
    <n v="4"/>
    <n v="5"/>
    <n v="0"/>
    <x v="0"/>
    <x v="0"/>
    <x v="0"/>
    <n v="3"/>
    <s v="Master"/>
    <s v="Low"/>
    <x v="0"/>
    <s v="Very High"/>
  </r>
  <r>
    <n v="51"/>
    <x v="1"/>
    <x v="0"/>
    <n v="2"/>
    <n v="3"/>
    <s v="Marketing"/>
    <n v="2"/>
    <n v="2"/>
    <x v="1"/>
    <n v="10596"/>
    <n v="2"/>
    <n v="3"/>
    <n v="4"/>
    <n v="0"/>
    <x v="1"/>
    <x v="2"/>
    <x v="3"/>
    <n v="2.3333333333333335"/>
    <s v="Bachelor"/>
    <s v="Medium"/>
    <x v="1"/>
    <s v="High"/>
  </r>
  <r>
    <n v="41"/>
    <x v="1"/>
    <x v="1"/>
    <n v="22"/>
    <n v="3"/>
    <s v="Life Sciences"/>
    <n v="4"/>
    <n v="4"/>
    <x v="2"/>
    <n v="5467"/>
    <n v="3"/>
    <n v="2"/>
    <n v="6"/>
    <n v="0"/>
    <x v="0"/>
    <x v="0"/>
    <x v="0"/>
    <n v="3.3333333333333335"/>
    <s v="Bachelor"/>
    <s v="Very High"/>
    <x v="0"/>
    <s v="Medium"/>
  </r>
  <r>
    <n v="37"/>
    <x v="1"/>
    <x v="1"/>
    <n v="4"/>
    <n v="1"/>
    <s v="Life Sciences"/>
    <n v="3"/>
    <n v="3"/>
    <x v="1"/>
    <n v="2996"/>
    <n v="7"/>
    <n v="3"/>
    <n v="6"/>
    <n v="0"/>
    <x v="0"/>
    <x v="1"/>
    <x v="0"/>
    <n v="3"/>
    <s v="Below College"/>
    <s v="High"/>
    <x v="2"/>
    <s v="High"/>
  </r>
  <r>
    <n v="33"/>
    <x v="1"/>
    <x v="0"/>
    <n v="5"/>
    <n v="1"/>
    <s v="Life Sciences"/>
    <n v="2"/>
    <n v="4"/>
    <x v="1"/>
    <n v="9998"/>
    <n v="6"/>
    <n v="4"/>
    <n v="5"/>
    <n v="0"/>
    <x v="2"/>
    <x v="2"/>
    <x v="0"/>
    <n v="3.3333333333333335"/>
    <s v="Below College"/>
    <s v="Medium"/>
    <x v="0"/>
    <s v="Very High"/>
  </r>
  <r>
    <n v="32"/>
    <x v="1"/>
    <x v="0"/>
    <n v="2"/>
    <n v="1"/>
    <s v="Marketing"/>
    <n v="3"/>
    <n v="2"/>
    <x v="1"/>
    <n v="4078"/>
    <n v="0"/>
    <n v="2"/>
    <n v="3"/>
    <n v="0"/>
    <x v="2"/>
    <x v="0"/>
    <x v="3"/>
    <n v="2.3333333333333335"/>
    <s v="Below College"/>
    <s v="High"/>
    <x v="1"/>
    <s v="Medium"/>
  </r>
  <r>
    <n v="39"/>
    <x v="1"/>
    <x v="1"/>
    <n v="25"/>
    <n v="2"/>
    <s v="Life Sciences"/>
    <n v="3"/>
    <n v="3"/>
    <x v="1"/>
    <n v="10920"/>
    <n v="3"/>
    <n v="3"/>
    <n v="6"/>
    <n v="0"/>
    <x v="0"/>
    <x v="2"/>
    <x v="0"/>
    <n v="3"/>
    <s v="College"/>
    <s v="High"/>
    <x v="2"/>
    <s v="High"/>
  </r>
  <r>
    <n v="25"/>
    <x v="1"/>
    <x v="0"/>
    <n v="18"/>
    <n v="1"/>
    <s v="Life Sciences"/>
    <n v="1"/>
    <n v="3"/>
    <x v="1"/>
    <n v="6232"/>
    <n v="2"/>
    <n v="2"/>
    <n v="3"/>
    <n v="0"/>
    <x v="2"/>
    <x v="0"/>
    <x v="3"/>
    <n v="2"/>
    <s v="Below College"/>
    <s v="Low"/>
    <x v="2"/>
    <s v="Medium"/>
  </r>
  <r>
    <n v="52"/>
    <x v="1"/>
    <x v="1"/>
    <n v="28"/>
    <n v="2"/>
    <s v="Medical"/>
    <n v="4"/>
    <n v="3"/>
    <x v="1"/>
    <n v="13247"/>
    <n v="2"/>
    <n v="2"/>
    <n v="5"/>
    <n v="0"/>
    <x v="1"/>
    <x v="2"/>
    <x v="0"/>
    <n v="3"/>
    <s v="College"/>
    <s v="Very High"/>
    <x v="2"/>
    <s v="Medium"/>
  </r>
  <r>
    <n v="43"/>
    <x v="1"/>
    <x v="1"/>
    <n v="6"/>
    <n v="3"/>
    <s v="Medical"/>
    <n v="1"/>
    <n v="3"/>
    <x v="0"/>
    <n v="4081"/>
    <n v="1"/>
    <n v="1"/>
    <n v="20"/>
    <n v="0"/>
    <x v="0"/>
    <x v="0"/>
    <x v="1"/>
    <n v="1.6666666666666667"/>
    <s v="Bachelor"/>
    <s v="Low"/>
    <x v="2"/>
    <s v="Low"/>
  </r>
  <r>
    <n v="27"/>
    <x v="1"/>
    <x v="0"/>
    <n v="10"/>
    <n v="3"/>
    <s v="Marketing"/>
    <n v="4"/>
    <n v="4"/>
    <x v="1"/>
    <n v="5769"/>
    <n v="1"/>
    <n v="3"/>
    <n v="6"/>
    <n v="0"/>
    <x v="2"/>
    <x v="0"/>
    <x v="0"/>
    <n v="3.6666666666666665"/>
    <s v="Bachelor"/>
    <s v="Very High"/>
    <x v="0"/>
    <s v="High"/>
  </r>
  <r>
    <n v="27"/>
    <x v="0"/>
    <x v="1"/>
    <n v="17"/>
    <n v="4"/>
    <s v="Life Sciences"/>
    <n v="4"/>
    <n v="3"/>
    <x v="0"/>
    <n v="2394"/>
    <n v="1"/>
    <n v="3"/>
    <n v="8"/>
    <n v="1"/>
    <x v="2"/>
    <x v="1"/>
    <x v="0"/>
    <n v="3.3333333333333335"/>
    <s v="Master"/>
    <s v="Very High"/>
    <x v="2"/>
    <s v="High"/>
  </r>
  <r>
    <n v="26"/>
    <x v="1"/>
    <x v="1"/>
    <n v="2"/>
    <n v="1"/>
    <s v="Medical"/>
    <n v="1"/>
    <n v="4"/>
    <x v="0"/>
    <n v="3904"/>
    <n v="0"/>
    <n v="3"/>
    <n v="4"/>
    <n v="0"/>
    <x v="2"/>
    <x v="0"/>
    <x v="3"/>
    <n v="2.6666666666666665"/>
    <s v="Below College"/>
    <s v="Low"/>
    <x v="0"/>
    <s v="High"/>
  </r>
  <r>
    <n v="42"/>
    <x v="1"/>
    <x v="2"/>
    <n v="10"/>
    <n v="3"/>
    <s v="Human Resources"/>
    <n v="3"/>
    <n v="1"/>
    <x v="1"/>
    <n v="16799"/>
    <n v="0"/>
    <n v="3"/>
    <n v="20"/>
    <n v="0"/>
    <x v="0"/>
    <x v="2"/>
    <x v="1"/>
    <n v="2.3333333333333335"/>
    <s v="Bachelor"/>
    <s v="High"/>
    <x v="3"/>
    <s v="High"/>
  </r>
  <r>
    <n v="52"/>
    <x v="1"/>
    <x v="1"/>
    <n v="8"/>
    <n v="4"/>
    <s v="Other"/>
    <n v="3"/>
    <n v="1"/>
    <x v="1"/>
    <n v="2950"/>
    <n v="9"/>
    <n v="1"/>
    <n v="5"/>
    <n v="0"/>
    <x v="1"/>
    <x v="1"/>
    <x v="0"/>
    <n v="1.6666666666666667"/>
    <s v="Master"/>
    <s v="High"/>
    <x v="3"/>
    <s v="Low"/>
  </r>
  <r>
    <n v="37"/>
    <x v="1"/>
    <x v="1"/>
    <n v="11"/>
    <n v="3"/>
    <s v="Medical"/>
    <n v="1"/>
    <n v="3"/>
    <x v="0"/>
    <n v="3629"/>
    <n v="4"/>
    <n v="3"/>
    <n v="3"/>
    <n v="0"/>
    <x v="0"/>
    <x v="0"/>
    <x v="3"/>
    <n v="2.3333333333333335"/>
    <s v="Bachelor"/>
    <s v="Low"/>
    <x v="2"/>
    <s v="High"/>
  </r>
  <r>
    <n v="35"/>
    <x v="1"/>
    <x v="1"/>
    <n v="18"/>
    <n v="2"/>
    <s v="Life Sciences"/>
    <n v="3"/>
    <n v="4"/>
    <x v="0"/>
    <n v="9362"/>
    <n v="2"/>
    <n v="3"/>
    <n v="2"/>
    <n v="0"/>
    <x v="0"/>
    <x v="2"/>
    <x v="3"/>
    <n v="3.3333333333333335"/>
    <s v="College"/>
    <s v="High"/>
    <x v="0"/>
    <s v="High"/>
  </r>
  <r>
    <n v="25"/>
    <x v="1"/>
    <x v="1"/>
    <n v="1"/>
    <n v="3"/>
    <s v="Technical Degree"/>
    <n v="1"/>
    <n v="4"/>
    <x v="1"/>
    <n v="3229"/>
    <n v="4"/>
    <n v="2"/>
    <n v="3"/>
    <n v="0"/>
    <x v="2"/>
    <x v="0"/>
    <x v="3"/>
    <n v="2.3333333333333335"/>
    <s v="Bachelor"/>
    <s v="Low"/>
    <x v="0"/>
    <s v="Medium"/>
  </r>
  <r>
    <n v="26"/>
    <x v="1"/>
    <x v="1"/>
    <n v="7"/>
    <n v="3"/>
    <s v="Other"/>
    <n v="3"/>
    <n v="1"/>
    <x v="0"/>
    <n v="3578"/>
    <n v="0"/>
    <n v="3"/>
    <n v="7"/>
    <n v="0"/>
    <x v="2"/>
    <x v="0"/>
    <x v="0"/>
    <n v="2.3333333333333335"/>
    <s v="Bachelor"/>
    <s v="High"/>
    <x v="3"/>
    <s v="High"/>
  </r>
  <r>
    <n v="29"/>
    <x v="1"/>
    <x v="2"/>
    <n v="17"/>
    <n v="3"/>
    <s v="Other"/>
    <n v="2"/>
    <n v="1"/>
    <x v="0"/>
    <n v="7988"/>
    <n v="1"/>
    <n v="2"/>
    <n v="10"/>
    <n v="0"/>
    <x v="2"/>
    <x v="2"/>
    <x v="1"/>
    <n v="1.6666666666666667"/>
    <s v="Bachelor"/>
    <s v="Medium"/>
    <x v="3"/>
    <s v="Medium"/>
  </r>
  <r>
    <n v="49"/>
    <x v="0"/>
    <x v="1"/>
    <n v="28"/>
    <n v="2"/>
    <s v="Life Sciences"/>
    <n v="1"/>
    <n v="1"/>
    <x v="0"/>
    <n v="4284"/>
    <n v="3"/>
    <n v="3"/>
    <n v="4"/>
    <n v="1"/>
    <x v="1"/>
    <x v="0"/>
    <x v="3"/>
    <n v="1.6666666666666667"/>
    <s v="College"/>
    <s v="Low"/>
    <x v="3"/>
    <s v="High"/>
  </r>
  <r>
    <n v="29"/>
    <x v="0"/>
    <x v="1"/>
    <n v="14"/>
    <n v="1"/>
    <s v="Other"/>
    <n v="3"/>
    <n v="4"/>
    <x v="0"/>
    <n v="7553"/>
    <n v="0"/>
    <n v="3"/>
    <n v="8"/>
    <n v="1"/>
    <x v="2"/>
    <x v="2"/>
    <x v="0"/>
    <n v="3.3333333333333335"/>
    <s v="Below College"/>
    <s v="High"/>
    <x v="0"/>
    <s v="High"/>
  </r>
  <r>
    <n v="54"/>
    <x v="1"/>
    <x v="1"/>
    <n v="1"/>
    <n v="3"/>
    <s v="Medical"/>
    <n v="4"/>
    <n v="4"/>
    <x v="0"/>
    <n v="17328"/>
    <n v="6"/>
    <n v="2"/>
    <n v="20"/>
    <n v="0"/>
    <x v="1"/>
    <x v="2"/>
    <x v="1"/>
    <n v="3.3333333333333335"/>
    <s v="Bachelor"/>
    <s v="Very High"/>
    <x v="0"/>
    <s v="Medium"/>
  </r>
  <r>
    <n v="58"/>
    <x v="1"/>
    <x v="1"/>
    <n v="1"/>
    <n v="3"/>
    <s v="Medical"/>
    <n v="4"/>
    <n v="1"/>
    <x v="1"/>
    <n v="19701"/>
    <n v="3"/>
    <n v="3"/>
    <n v="9"/>
    <n v="0"/>
    <x v="3"/>
    <x v="2"/>
    <x v="0"/>
    <n v="2.6666666666666665"/>
    <s v="Bachelor"/>
    <s v="Very High"/>
    <x v="3"/>
    <s v="High"/>
  </r>
  <r>
    <n v="55"/>
    <x v="1"/>
    <x v="1"/>
    <n v="1"/>
    <n v="4"/>
    <s v="Medical"/>
    <n v="2"/>
    <n v="4"/>
    <x v="2"/>
    <n v="14732"/>
    <n v="2"/>
    <n v="4"/>
    <n v="7"/>
    <n v="0"/>
    <x v="3"/>
    <x v="2"/>
    <x v="0"/>
    <n v="3.3333333333333335"/>
    <s v="Master"/>
    <s v="Medium"/>
    <x v="0"/>
    <s v="Very High"/>
  </r>
  <r>
    <n v="36"/>
    <x v="1"/>
    <x v="0"/>
    <n v="3"/>
    <n v="4"/>
    <s v="Marketing"/>
    <n v="1"/>
    <n v="2"/>
    <x v="0"/>
    <n v="9278"/>
    <n v="3"/>
    <n v="3"/>
    <n v="5"/>
    <n v="0"/>
    <x v="0"/>
    <x v="2"/>
    <x v="0"/>
    <n v="2"/>
    <s v="Master"/>
    <s v="Low"/>
    <x v="1"/>
    <s v="High"/>
  </r>
  <r>
    <n v="31"/>
    <x v="0"/>
    <x v="0"/>
    <n v="1"/>
    <n v="4"/>
    <s v="Life Sciences"/>
    <n v="2"/>
    <n v="3"/>
    <x v="0"/>
    <n v="1359"/>
    <n v="1"/>
    <n v="3"/>
    <n v="1"/>
    <n v="1"/>
    <x v="2"/>
    <x v="1"/>
    <x v="2"/>
    <n v="2.6666666666666665"/>
    <s v="Master"/>
    <s v="Medium"/>
    <x v="2"/>
    <s v="High"/>
  </r>
  <r>
    <n v="30"/>
    <x v="1"/>
    <x v="0"/>
    <n v="7"/>
    <n v="4"/>
    <s v="Marketing"/>
    <n v="4"/>
    <n v="1"/>
    <x v="2"/>
    <n v="4779"/>
    <n v="7"/>
    <n v="3"/>
    <n v="3"/>
    <n v="0"/>
    <x v="2"/>
    <x v="0"/>
    <x v="3"/>
    <n v="2.6666666666666665"/>
    <s v="Master"/>
    <s v="Very High"/>
    <x v="3"/>
    <s v="High"/>
  </r>
  <r>
    <n v="31"/>
    <x v="1"/>
    <x v="1"/>
    <n v="8"/>
    <n v="5"/>
    <s v="Life Sciences"/>
    <n v="1"/>
    <n v="2"/>
    <x v="0"/>
    <n v="16422"/>
    <n v="3"/>
    <n v="4"/>
    <n v="3"/>
    <n v="0"/>
    <x v="2"/>
    <x v="2"/>
    <x v="3"/>
    <n v="2.3333333333333335"/>
    <s v="Doctor"/>
    <s v="Low"/>
    <x v="1"/>
    <s v="Very High"/>
  </r>
  <r>
    <n v="34"/>
    <x v="1"/>
    <x v="1"/>
    <n v="1"/>
    <n v="4"/>
    <s v="Other"/>
    <n v="4"/>
    <n v="1"/>
    <x v="2"/>
    <n v="2996"/>
    <n v="5"/>
    <n v="3"/>
    <n v="4"/>
    <n v="0"/>
    <x v="2"/>
    <x v="1"/>
    <x v="3"/>
    <n v="2.6666666666666665"/>
    <s v="Master"/>
    <s v="Very High"/>
    <x v="3"/>
    <s v="High"/>
  </r>
  <r>
    <n v="31"/>
    <x v="0"/>
    <x v="1"/>
    <n v="8"/>
    <n v="3"/>
    <s v="Life Sciences"/>
    <n v="1"/>
    <n v="2"/>
    <x v="0"/>
    <n v="1261"/>
    <n v="1"/>
    <n v="4"/>
    <n v="1"/>
    <n v="1"/>
    <x v="2"/>
    <x v="1"/>
    <x v="2"/>
    <n v="2.3333333333333335"/>
    <s v="Bachelor"/>
    <s v="Low"/>
    <x v="1"/>
    <s v="Very High"/>
  </r>
  <r>
    <n v="27"/>
    <x v="1"/>
    <x v="1"/>
    <n v="11"/>
    <n v="1"/>
    <s v="Life Sciences"/>
    <n v="2"/>
    <n v="1"/>
    <x v="1"/>
    <n v="2099"/>
    <n v="0"/>
    <n v="4"/>
    <n v="5"/>
    <n v="0"/>
    <x v="2"/>
    <x v="1"/>
    <x v="0"/>
    <n v="2.3333333333333335"/>
    <s v="Below College"/>
    <s v="Medium"/>
    <x v="3"/>
    <s v="Very High"/>
  </r>
  <r>
    <n v="36"/>
    <x v="1"/>
    <x v="1"/>
    <n v="4"/>
    <n v="4"/>
    <s v="Life Sciences"/>
    <n v="1"/>
    <n v="4"/>
    <x v="0"/>
    <n v="5810"/>
    <n v="1"/>
    <n v="2"/>
    <n v="10"/>
    <n v="0"/>
    <x v="0"/>
    <x v="0"/>
    <x v="1"/>
    <n v="2.3333333333333335"/>
    <s v="Master"/>
    <s v="Low"/>
    <x v="0"/>
    <s v="Medium"/>
  </r>
  <r>
    <n v="36"/>
    <x v="1"/>
    <x v="0"/>
    <n v="16"/>
    <n v="4"/>
    <s v="Marketing"/>
    <n v="3"/>
    <n v="1"/>
    <x v="1"/>
    <n v="5647"/>
    <n v="4"/>
    <n v="2"/>
    <n v="3"/>
    <n v="0"/>
    <x v="0"/>
    <x v="0"/>
    <x v="3"/>
    <n v="2"/>
    <s v="Master"/>
    <s v="High"/>
    <x v="3"/>
    <s v="Medium"/>
  </r>
  <r>
    <n v="47"/>
    <x v="1"/>
    <x v="1"/>
    <n v="1"/>
    <n v="3"/>
    <s v="Technical Degree"/>
    <n v="1"/>
    <n v="4"/>
    <x v="1"/>
    <n v="3420"/>
    <n v="7"/>
    <n v="2"/>
    <n v="6"/>
    <n v="0"/>
    <x v="1"/>
    <x v="0"/>
    <x v="0"/>
    <n v="2.3333333333333335"/>
    <s v="Bachelor"/>
    <s v="Low"/>
    <x v="0"/>
    <s v="Medium"/>
  </r>
  <r>
    <n v="25"/>
    <x v="0"/>
    <x v="0"/>
    <n v="9"/>
    <n v="2"/>
    <s v="Life Sciences"/>
    <n v="1"/>
    <n v="1"/>
    <x v="1"/>
    <n v="4400"/>
    <n v="3"/>
    <n v="3"/>
    <n v="3"/>
    <n v="1"/>
    <x v="2"/>
    <x v="0"/>
    <x v="3"/>
    <n v="1.6666666666666667"/>
    <s v="College"/>
    <s v="Low"/>
    <x v="3"/>
    <s v="High"/>
  </r>
  <r>
    <n v="37"/>
    <x v="1"/>
    <x v="1"/>
    <n v="5"/>
    <n v="2"/>
    <s v="Technical Degree"/>
    <n v="3"/>
    <n v="3"/>
    <x v="0"/>
    <n v="3500"/>
    <n v="0"/>
    <n v="1"/>
    <n v="6"/>
    <n v="0"/>
    <x v="0"/>
    <x v="0"/>
    <x v="0"/>
    <n v="2.3333333333333335"/>
    <s v="College"/>
    <s v="High"/>
    <x v="2"/>
    <s v="Low"/>
  </r>
  <r>
    <n v="56"/>
    <x v="1"/>
    <x v="1"/>
    <n v="1"/>
    <n v="2"/>
    <s v="Life Sciences"/>
    <n v="1"/>
    <n v="1"/>
    <x v="1"/>
    <n v="2066"/>
    <n v="2"/>
    <n v="4"/>
    <n v="3"/>
    <n v="0"/>
    <x v="3"/>
    <x v="1"/>
    <x v="3"/>
    <n v="2"/>
    <s v="College"/>
    <s v="Low"/>
    <x v="3"/>
    <s v="Very High"/>
  </r>
  <r>
    <n v="47"/>
    <x v="1"/>
    <x v="1"/>
    <n v="2"/>
    <n v="4"/>
    <s v="Medical"/>
    <n v="1"/>
    <n v="3"/>
    <x v="1"/>
    <n v="17169"/>
    <n v="3"/>
    <n v="4"/>
    <n v="20"/>
    <n v="0"/>
    <x v="1"/>
    <x v="2"/>
    <x v="1"/>
    <n v="2.6666666666666665"/>
    <s v="Master"/>
    <s v="Low"/>
    <x v="2"/>
    <s v="Very High"/>
  </r>
  <r>
    <n v="24"/>
    <x v="1"/>
    <x v="0"/>
    <n v="4"/>
    <n v="1"/>
    <s v="Medical"/>
    <n v="4"/>
    <n v="3"/>
    <x v="1"/>
    <n v="4162"/>
    <n v="1"/>
    <n v="3"/>
    <n v="5"/>
    <n v="0"/>
    <x v="4"/>
    <x v="0"/>
    <x v="0"/>
    <n v="3.3333333333333335"/>
    <s v="Below College"/>
    <s v="Very High"/>
    <x v="2"/>
    <s v="High"/>
  </r>
  <r>
    <n v="32"/>
    <x v="1"/>
    <x v="0"/>
    <n v="7"/>
    <n v="5"/>
    <s v="Marketing"/>
    <n v="4"/>
    <n v="4"/>
    <x v="1"/>
    <n v="9204"/>
    <n v="4"/>
    <n v="2"/>
    <n v="4"/>
    <n v="0"/>
    <x v="2"/>
    <x v="2"/>
    <x v="3"/>
    <n v="3.3333333333333335"/>
    <s v="Doctor"/>
    <s v="Very High"/>
    <x v="0"/>
    <s v="Medium"/>
  </r>
  <r>
    <n v="34"/>
    <x v="1"/>
    <x v="1"/>
    <n v="1"/>
    <n v="3"/>
    <s v="Life Sciences"/>
    <n v="4"/>
    <n v="2"/>
    <x v="1"/>
    <n v="3294"/>
    <n v="5"/>
    <n v="2"/>
    <n v="5"/>
    <n v="0"/>
    <x v="2"/>
    <x v="0"/>
    <x v="0"/>
    <n v="2.6666666666666665"/>
    <s v="Bachelor"/>
    <s v="Very High"/>
    <x v="1"/>
    <s v="Medium"/>
  </r>
  <r>
    <n v="41"/>
    <x v="1"/>
    <x v="1"/>
    <n v="5"/>
    <n v="5"/>
    <s v="Medical"/>
    <n v="2"/>
    <n v="3"/>
    <x v="1"/>
    <n v="2127"/>
    <n v="2"/>
    <n v="2"/>
    <n v="4"/>
    <n v="0"/>
    <x v="0"/>
    <x v="1"/>
    <x v="3"/>
    <n v="2.3333333333333335"/>
    <s v="Doctor"/>
    <s v="Medium"/>
    <x v="2"/>
    <s v="Medium"/>
  </r>
  <r>
    <n v="40"/>
    <x v="1"/>
    <x v="1"/>
    <n v="9"/>
    <n v="4"/>
    <s v="Other"/>
    <n v="3"/>
    <n v="3"/>
    <x v="2"/>
    <n v="3975"/>
    <n v="3"/>
    <n v="4"/>
    <n v="8"/>
    <n v="0"/>
    <x v="0"/>
    <x v="0"/>
    <x v="0"/>
    <n v="3.3333333333333335"/>
    <s v="Master"/>
    <s v="High"/>
    <x v="2"/>
    <s v="Very High"/>
  </r>
  <r>
    <n v="31"/>
    <x v="1"/>
    <x v="0"/>
    <n v="8"/>
    <n v="2"/>
    <s v="Life Sciences"/>
    <n v="1"/>
    <n v="4"/>
    <x v="2"/>
    <n v="10793"/>
    <n v="1"/>
    <n v="3"/>
    <n v="13"/>
    <n v="0"/>
    <x v="2"/>
    <x v="2"/>
    <x v="1"/>
    <n v="2.6666666666666665"/>
    <s v="College"/>
    <s v="Low"/>
    <x v="0"/>
    <s v="High"/>
  </r>
  <r>
    <n v="46"/>
    <x v="0"/>
    <x v="0"/>
    <n v="9"/>
    <n v="3"/>
    <s v="Marketing"/>
    <n v="1"/>
    <n v="4"/>
    <x v="2"/>
    <n v="10096"/>
    <n v="4"/>
    <n v="4"/>
    <n v="7"/>
    <n v="1"/>
    <x v="1"/>
    <x v="2"/>
    <x v="0"/>
    <n v="3"/>
    <s v="Bachelor"/>
    <s v="Low"/>
    <x v="0"/>
    <s v="Very High"/>
  </r>
  <r>
    <n v="39"/>
    <x v="0"/>
    <x v="1"/>
    <n v="2"/>
    <n v="3"/>
    <s v="Life Sciences"/>
    <n v="1"/>
    <n v="1"/>
    <x v="0"/>
    <n v="3646"/>
    <n v="2"/>
    <n v="4"/>
    <n v="1"/>
    <n v="1"/>
    <x v="0"/>
    <x v="0"/>
    <x v="2"/>
    <n v="2"/>
    <s v="Bachelor"/>
    <s v="Low"/>
    <x v="3"/>
    <s v="Very High"/>
  </r>
  <r>
    <n v="31"/>
    <x v="0"/>
    <x v="1"/>
    <n v="1"/>
    <n v="5"/>
    <s v="Life Sciences"/>
    <n v="3"/>
    <n v="2"/>
    <x v="0"/>
    <n v="7446"/>
    <n v="1"/>
    <n v="3"/>
    <n v="10"/>
    <n v="1"/>
    <x v="2"/>
    <x v="2"/>
    <x v="1"/>
    <n v="2.6666666666666665"/>
    <s v="Doctor"/>
    <s v="High"/>
    <x v="1"/>
    <s v="High"/>
  </r>
  <r>
    <n v="45"/>
    <x v="1"/>
    <x v="1"/>
    <n v="20"/>
    <n v="3"/>
    <s v="Medical"/>
    <n v="2"/>
    <n v="1"/>
    <x v="2"/>
    <n v="10851"/>
    <n v="2"/>
    <n v="3"/>
    <n v="7"/>
    <n v="0"/>
    <x v="1"/>
    <x v="2"/>
    <x v="0"/>
    <n v="2"/>
    <s v="Bachelor"/>
    <s v="Medium"/>
    <x v="3"/>
    <s v="High"/>
  </r>
  <r>
    <n v="31"/>
    <x v="1"/>
    <x v="2"/>
    <n v="8"/>
    <n v="2"/>
    <s v="Medical"/>
    <n v="4"/>
    <n v="2"/>
    <x v="0"/>
    <n v="2109"/>
    <n v="9"/>
    <n v="3"/>
    <n v="3"/>
    <n v="0"/>
    <x v="2"/>
    <x v="1"/>
    <x v="3"/>
    <n v="3"/>
    <s v="College"/>
    <s v="Very High"/>
    <x v="1"/>
    <s v="High"/>
  </r>
  <r>
    <n v="31"/>
    <x v="0"/>
    <x v="1"/>
    <n v="2"/>
    <n v="3"/>
    <s v="Life Sciences"/>
    <n v="2"/>
    <n v="4"/>
    <x v="1"/>
    <n v="3722"/>
    <n v="6"/>
    <n v="1"/>
    <n v="2"/>
    <n v="1"/>
    <x v="2"/>
    <x v="0"/>
    <x v="3"/>
    <n v="2.3333333333333335"/>
    <s v="Bachelor"/>
    <s v="Medium"/>
    <x v="0"/>
    <s v="Low"/>
  </r>
  <r>
    <n v="45"/>
    <x v="1"/>
    <x v="1"/>
    <n v="29"/>
    <n v="3"/>
    <s v="Technical Degree"/>
    <n v="2"/>
    <n v="4"/>
    <x v="1"/>
    <n v="9380"/>
    <n v="4"/>
    <n v="4"/>
    <n v="3"/>
    <n v="0"/>
    <x v="1"/>
    <x v="2"/>
    <x v="3"/>
    <n v="3.3333333333333335"/>
    <s v="Bachelor"/>
    <s v="Medium"/>
    <x v="0"/>
    <s v="Very High"/>
  </r>
  <r>
    <n v="48"/>
    <x v="1"/>
    <x v="0"/>
    <n v="7"/>
    <n v="3"/>
    <s v="Marketing"/>
    <n v="3"/>
    <n v="1"/>
    <x v="2"/>
    <n v="5486"/>
    <n v="4"/>
    <n v="3"/>
    <n v="2"/>
    <n v="0"/>
    <x v="1"/>
    <x v="0"/>
    <x v="3"/>
    <n v="2.3333333333333335"/>
    <s v="Bachelor"/>
    <s v="High"/>
    <x v="3"/>
    <s v="High"/>
  </r>
  <r>
    <n v="34"/>
    <x v="0"/>
    <x v="2"/>
    <n v="9"/>
    <n v="4"/>
    <s v="Technical Degree"/>
    <n v="1"/>
    <n v="3"/>
    <x v="1"/>
    <n v="2742"/>
    <n v="1"/>
    <n v="3"/>
    <n v="2"/>
    <n v="1"/>
    <x v="2"/>
    <x v="1"/>
    <x v="3"/>
    <n v="2.3333333333333335"/>
    <s v="Master"/>
    <s v="Low"/>
    <x v="2"/>
    <s v="High"/>
  </r>
  <r>
    <n v="40"/>
    <x v="1"/>
    <x v="1"/>
    <n v="8"/>
    <n v="1"/>
    <s v="Medical"/>
    <n v="4"/>
    <n v="2"/>
    <x v="2"/>
    <n v="13757"/>
    <n v="2"/>
    <n v="3"/>
    <n v="9"/>
    <n v="0"/>
    <x v="0"/>
    <x v="2"/>
    <x v="0"/>
    <n v="3"/>
    <s v="Below College"/>
    <s v="Very High"/>
    <x v="1"/>
    <s v="High"/>
  </r>
  <r>
    <n v="28"/>
    <x v="1"/>
    <x v="0"/>
    <n v="5"/>
    <n v="3"/>
    <s v="Medical"/>
    <n v="4"/>
    <n v="1"/>
    <x v="0"/>
    <n v="8463"/>
    <n v="0"/>
    <n v="3"/>
    <n v="5"/>
    <n v="0"/>
    <x v="2"/>
    <x v="2"/>
    <x v="0"/>
    <n v="2.6666666666666665"/>
    <s v="Bachelor"/>
    <s v="Very High"/>
    <x v="3"/>
    <s v="High"/>
  </r>
  <r>
    <n v="44"/>
    <x v="1"/>
    <x v="1"/>
    <n v="5"/>
    <n v="3"/>
    <s v="Life Sciences"/>
    <n v="3"/>
    <n v="3"/>
    <x v="0"/>
    <n v="3162"/>
    <n v="3"/>
    <n v="3"/>
    <n v="5"/>
    <n v="0"/>
    <x v="0"/>
    <x v="0"/>
    <x v="0"/>
    <n v="3"/>
    <s v="Bachelor"/>
    <s v="High"/>
    <x v="2"/>
    <s v="High"/>
  </r>
  <r>
    <n v="53"/>
    <x v="1"/>
    <x v="1"/>
    <n v="2"/>
    <n v="3"/>
    <s v="Medical"/>
    <n v="4"/>
    <n v="2"/>
    <x v="0"/>
    <n v="16598"/>
    <n v="4"/>
    <n v="2"/>
    <n v="9"/>
    <n v="0"/>
    <x v="1"/>
    <x v="2"/>
    <x v="0"/>
    <n v="2.6666666666666665"/>
    <s v="Bachelor"/>
    <s v="Very High"/>
    <x v="1"/>
    <s v="Medium"/>
  </r>
  <r>
    <n v="49"/>
    <x v="1"/>
    <x v="1"/>
    <n v="5"/>
    <n v="4"/>
    <s v="Technical Degree"/>
    <n v="1"/>
    <n v="3"/>
    <x v="1"/>
    <n v="6651"/>
    <n v="2"/>
    <n v="2"/>
    <n v="3"/>
    <n v="0"/>
    <x v="1"/>
    <x v="0"/>
    <x v="3"/>
    <n v="2"/>
    <s v="Master"/>
    <s v="Low"/>
    <x v="2"/>
    <s v="Medium"/>
  </r>
  <r>
    <n v="40"/>
    <x v="1"/>
    <x v="1"/>
    <n v="2"/>
    <n v="3"/>
    <s v="Medical"/>
    <n v="3"/>
    <n v="3"/>
    <x v="2"/>
    <n v="2345"/>
    <n v="2"/>
    <n v="4"/>
    <n v="3"/>
    <n v="0"/>
    <x v="0"/>
    <x v="1"/>
    <x v="3"/>
    <n v="3.3333333333333335"/>
    <s v="Bachelor"/>
    <s v="High"/>
    <x v="2"/>
    <s v="Very High"/>
  </r>
  <r>
    <n v="44"/>
    <x v="1"/>
    <x v="1"/>
    <n v="20"/>
    <n v="3"/>
    <s v="Life Sciences"/>
    <n v="4"/>
    <n v="2"/>
    <x v="0"/>
    <n v="3420"/>
    <n v="1"/>
    <n v="2"/>
    <n v="5"/>
    <n v="0"/>
    <x v="0"/>
    <x v="0"/>
    <x v="0"/>
    <n v="2.6666666666666665"/>
    <s v="Bachelor"/>
    <s v="Very High"/>
    <x v="1"/>
    <s v="Medium"/>
  </r>
  <r>
    <n v="33"/>
    <x v="1"/>
    <x v="0"/>
    <n v="7"/>
    <n v="3"/>
    <s v="Medical"/>
    <n v="4"/>
    <n v="1"/>
    <x v="1"/>
    <n v="4373"/>
    <n v="0"/>
    <n v="3"/>
    <n v="4"/>
    <n v="0"/>
    <x v="2"/>
    <x v="0"/>
    <x v="3"/>
    <n v="2.6666666666666665"/>
    <s v="Bachelor"/>
    <s v="Very High"/>
    <x v="3"/>
    <s v="High"/>
  </r>
  <r>
    <n v="34"/>
    <x v="1"/>
    <x v="0"/>
    <n v="3"/>
    <n v="3"/>
    <s v="Other"/>
    <n v="4"/>
    <n v="1"/>
    <x v="0"/>
    <n v="4759"/>
    <n v="3"/>
    <n v="3"/>
    <n v="13"/>
    <n v="0"/>
    <x v="2"/>
    <x v="0"/>
    <x v="1"/>
    <n v="2.6666666666666665"/>
    <s v="Bachelor"/>
    <s v="Very High"/>
    <x v="3"/>
    <s v="High"/>
  </r>
  <r>
    <n v="30"/>
    <x v="1"/>
    <x v="0"/>
    <n v="16"/>
    <n v="1"/>
    <s v="Life Sciences"/>
    <n v="4"/>
    <n v="3"/>
    <x v="1"/>
    <n v="5301"/>
    <n v="8"/>
    <n v="2"/>
    <n v="2"/>
    <n v="0"/>
    <x v="2"/>
    <x v="0"/>
    <x v="3"/>
    <n v="3"/>
    <s v="Below College"/>
    <s v="Very High"/>
    <x v="2"/>
    <s v="Medium"/>
  </r>
  <r>
    <n v="42"/>
    <x v="1"/>
    <x v="1"/>
    <n v="9"/>
    <n v="2"/>
    <s v="Medical"/>
    <n v="1"/>
    <n v="4"/>
    <x v="0"/>
    <n v="3673"/>
    <n v="1"/>
    <n v="3"/>
    <n v="12"/>
    <n v="0"/>
    <x v="0"/>
    <x v="0"/>
    <x v="1"/>
    <n v="2.6666666666666665"/>
    <s v="College"/>
    <s v="Low"/>
    <x v="0"/>
    <s v="High"/>
  </r>
  <r>
    <n v="44"/>
    <x v="1"/>
    <x v="0"/>
    <n v="1"/>
    <n v="5"/>
    <s v="Marketing"/>
    <n v="1"/>
    <n v="3"/>
    <x v="1"/>
    <n v="4768"/>
    <n v="7"/>
    <n v="2"/>
    <n v="1"/>
    <n v="0"/>
    <x v="0"/>
    <x v="0"/>
    <x v="2"/>
    <n v="2"/>
    <s v="Doctor"/>
    <s v="Low"/>
    <x v="2"/>
    <s v="Medium"/>
  </r>
  <r>
    <n v="30"/>
    <x v="1"/>
    <x v="1"/>
    <n v="7"/>
    <n v="3"/>
    <s v="Technical Degree"/>
    <n v="3"/>
    <n v="3"/>
    <x v="2"/>
    <n v="1274"/>
    <n v="1"/>
    <n v="2"/>
    <n v="1"/>
    <n v="0"/>
    <x v="2"/>
    <x v="1"/>
    <x v="2"/>
    <n v="2.6666666666666665"/>
    <s v="Bachelor"/>
    <s v="High"/>
    <x v="2"/>
    <s v="Medium"/>
  </r>
  <r>
    <n v="57"/>
    <x v="1"/>
    <x v="1"/>
    <n v="1"/>
    <n v="2"/>
    <s v="Life Sciences"/>
    <n v="2"/>
    <n v="3"/>
    <x v="1"/>
    <n v="4900"/>
    <n v="0"/>
    <n v="2"/>
    <n v="12"/>
    <n v="0"/>
    <x v="3"/>
    <x v="0"/>
    <x v="1"/>
    <n v="2.3333333333333335"/>
    <s v="College"/>
    <s v="Medium"/>
    <x v="2"/>
    <s v="Medium"/>
  </r>
  <r>
    <n v="49"/>
    <x v="1"/>
    <x v="1"/>
    <n v="7"/>
    <n v="4"/>
    <s v="Life Sciences"/>
    <n v="3"/>
    <n v="2"/>
    <x v="2"/>
    <n v="10466"/>
    <n v="3"/>
    <n v="3"/>
    <n v="8"/>
    <n v="0"/>
    <x v="1"/>
    <x v="2"/>
    <x v="0"/>
    <n v="2.6666666666666665"/>
    <s v="Master"/>
    <s v="High"/>
    <x v="1"/>
    <s v="High"/>
  </r>
  <r>
    <n v="34"/>
    <x v="1"/>
    <x v="1"/>
    <n v="15"/>
    <n v="3"/>
    <s v="Medical"/>
    <n v="2"/>
    <n v="1"/>
    <x v="2"/>
    <n v="17007"/>
    <n v="7"/>
    <n v="2"/>
    <n v="14"/>
    <n v="0"/>
    <x v="2"/>
    <x v="2"/>
    <x v="1"/>
    <n v="1.6666666666666667"/>
    <s v="Bachelor"/>
    <s v="Medium"/>
    <x v="3"/>
    <s v="Medium"/>
  </r>
  <r>
    <n v="28"/>
    <x v="0"/>
    <x v="0"/>
    <n v="1"/>
    <n v="3"/>
    <s v="Technical Degree"/>
    <n v="1"/>
    <n v="3"/>
    <x v="1"/>
    <n v="2909"/>
    <n v="3"/>
    <n v="4"/>
    <n v="3"/>
    <n v="1"/>
    <x v="2"/>
    <x v="1"/>
    <x v="3"/>
    <n v="2.6666666666666665"/>
    <s v="Bachelor"/>
    <s v="Low"/>
    <x v="2"/>
    <s v="Very High"/>
  </r>
  <r>
    <n v="29"/>
    <x v="0"/>
    <x v="0"/>
    <n v="13"/>
    <n v="3"/>
    <s v="Technical Degree"/>
    <n v="1"/>
    <n v="2"/>
    <x v="0"/>
    <n v="5765"/>
    <n v="5"/>
    <n v="1"/>
    <n v="5"/>
    <n v="1"/>
    <x v="2"/>
    <x v="0"/>
    <x v="0"/>
    <n v="1.3333333333333333"/>
    <s v="Bachelor"/>
    <s v="Low"/>
    <x v="1"/>
    <s v="Low"/>
  </r>
  <r>
    <n v="34"/>
    <x v="0"/>
    <x v="0"/>
    <n v="24"/>
    <n v="4"/>
    <s v="Medical"/>
    <n v="1"/>
    <n v="2"/>
    <x v="0"/>
    <n v="4599"/>
    <n v="0"/>
    <n v="4"/>
    <n v="15"/>
    <n v="1"/>
    <x v="2"/>
    <x v="0"/>
    <x v="1"/>
    <n v="2.3333333333333335"/>
    <s v="Master"/>
    <s v="Low"/>
    <x v="1"/>
    <s v="Very High"/>
  </r>
  <r>
    <n v="35"/>
    <x v="1"/>
    <x v="0"/>
    <n v="7"/>
    <n v="1"/>
    <s v="Life Sciences"/>
    <n v="4"/>
    <n v="3"/>
    <x v="1"/>
    <n v="2404"/>
    <n v="1"/>
    <n v="3"/>
    <n v="1"/>
    <n v="0"/>
    <x v="0"/>
    <x v="1"/>
    <x v="2"/>
    <n v="3.3333333333333335"/>
    <s v="Below College"/>
    <s v="Very High"/>
    <x v="2"/>
    <s v="High"/>
  </r>
  <r>
    <n v="24"/>
    <x v="0"/>
    <x v="1"/>
    <n v="9"/>
    <n v="3"/>
    <s v="Medical"/>
    <n v="2"/>
    <n v="1"/>
    <x v="0"/>
    <n v="3172"/>
    <n v="2"/>
    <n v="2"/>
    <n v="0"/>
    <n v="1"/>
    <x v="4"/>
    <x v="0"/>
    <x v="2"/>
    <n v="1.6666666666666667"/>
    <s v="Bachelor"/>
    <s v="Medium"/>
    <x v="3"/>
    <s v="Medium"/>
  </r>
  <r>
    <n v="24"/>
    <x v="1"/>
    <x v="0"/>
    <n v="13"/>
    <n v="2"/>
    <s v="Life Sciences"/>
    <n v="4"/>
    <n v="2"/>
    <x v="1"/>
    <n v="2033"/>
    <n v="1"/>
    <n v="3"/>
    <n v="1"/>
    <n v="0"/>
    <x v="4"/>
    <x v="1"/>
    <x v="2"/>
    <n v="3"/>
    <s v="College"/>
    <s v="Very High"/>
    <x v="1"/>
    <s v="High"/>
  </r>
  <r>
    <n v="44"/>
    <x v="1"/>
    <x v="1"/>
    <n v="2"/>
    <n v="1"/>
    <s v="Medical"/>
    <n v="2"/>
    <n v="3"/>
    <x v="0"/>
    <n v="10209"/>
    <n v="5"/>
    <n v="2"/>
    <n v="2"/>
    <n v="0"/>
    <x v="0"/>
    <x v="2"/>
    <x v="3"/>
    <n v="2.3333333333333335"/>
    <s v="Below College"/>
    <s v="Medium"/>
    <x v="2"/>
    <s v="Medium"/>
  </r>
  <r>
    <n v="29"/>
    <x v="1"/>
    <x v="0"/>
    <n v="19"/>
    <n v="3"/>
    <s v="Life Sciences"/>
    <n v="3"/>
    <n v="3"/>
    <x v="2"/>
    <n v="8620"/>
    <n v="1"/>
    <n v="3"/>
    <n v="10"/>
    <n v="0"/>
    <x v="2"/>
    <x v="2"/>
    <x v="1"/>
    <n v="3"/>
    <s v="Bachelor"/>
    <s v="High"/>
    <x v="2"/>
    <s v="High"/>
  </r>
  <r>
    <n v="30"/>
    <x v="1"/>
    <x v="2"/>
    <n v="1"/>
    <n v="3"/>
    <s v="Life Sciences"/>
    <n v="3"/>
    <n v="3"/>
    <x v="2"/>
    <n v="2064"/>
    <n v="0"/>
    <n v="4"/>
    <n v="5"/>
    <n v="0"/>
    <x v="2"/>
    <x v="1"/>
    <x v="0"/>
    <n v="3.3333333333333335"/>
    <s v="Bachelor"/>
    <s v="High"/>
    <x v="2"/>
    <s v="Very High"/>
  </r>
  <r>
    <n v="55"/>
    <x v="1"/>
    <x v="1"/>
    <n v="4"/>
    <n v="4"/>
    <s v="Life Sciences"/>
    <n v="4"/>
    <n v="3"/>
    <x v="1"/>
    <n v="4035"/>
    <n v="0"/>
    <n v="3"/>
    <n v="3"/>
    <n v="0"/>
    <x v="3"/>
    <x v="0"/>
    <x v="3"/>
    <n v="3.3333333333333335"/>
    <s v="Master"/>
    <s v="Very High"/>
    <x v="2"/>
    <s v="High"/>
  </r>
  <r>
    <n v="33"/>
    <x v="1"/>
    <x v="1"/>
    <n v="4"/>
    <n v="4"/>
    <s v="Medical"/>
    <n v="1"/>
    <n v="2"/>
    <x v="1"/>
    <n v="3838"/>
    <n v="8"/>
    <n v="3"/>
    <n v="5"/>
    <n v="0"/>
    <x v="2"/>
    <x v="0"/>
    <x v="0"/>
    <n v="2"/>
    <s v="Master"/>
    <s v="Low"/>
    <x v="1"/>
    <s v="High"/>
  </r>
  <r>
    <n v="47"/>
    <x v="1"/>
    <x v="0"/>
    <n v="14"/>
    <n v="3"/>
    <s v="Medical"/>
    <n v="3"/>
    <n v="3"/>
    <x v="1"/>
    <n v="4591"/>
    <n v="3"/>
    <n v="2"/>
    <n v="5"/>
    <n v="0"/>
    <x v="1"/>
    <x v="0"/>
    <x v="0"/>
    <n v="2.6666666666666665"/>
    <s v="Bachelor"/>
    <s v="High"/>
    <x v="2"/>
    <s v="Medium"/>
  </r>
  <r>
    <n v="28"/>
    <x v="0"/>
    <x v="1"/>
    <n v="2"/>
    <n v="2"/>
    <s v="Medical"/>
    <n v="3"/>
    <n v="1"/>
    <x v="0"/>
    <n v="2561"/>
    <n v="7"/>
    <n v="2"/>
    <n v="0"/>
    <n v="1"/>
    <x v="2"/>
    <x v="1"/>
    <x v="2"/>
    <n v="2"/>
    <s v="College"/>
    <s v="High"/>
    <x v="3"/>
    <s v="Medium"/>
  </r>
  <r>
    <n v="28"/>
    <x v="1"/>
    <x v="1"/>
    <n v="1"/>
    <n v="3"/>
    <s v="Life Sciences"/>
    <n v="1"/>
    <n v="3"/>
    <x v="2"/>
    <n v="1563"/>
    <n v="1"/>
    <n v="1"/>
    <n v="1"/>
    <n v="0"/>
    <x v="2"/>
    <x v="1"/>
    <x v="2"/>
    <n v="1.6666666666666667"/>
    <s v="Bachelor"/>
    <s v="Low"/>
    <x v="2"/>
    <s v="Low"/>
  </r>
  <r>
    <n v="28"/>
    <x v="1"/>
    <x v="0"/>
    <n v="7"/>
    <n v="3"/>
    <s v="Life Sciences"/>
    <n v="3"/>
    <n v="1"/>
    <x v="0"/>
    <n v="4898"/>
    <n v="0"/>
    <n v="3"/>
    <n v="4"/>
    <n v="0"/>
    <x v="2"/>
    <x v="0"/>
    <x v="3"/>
    <n v="2.3333333333333335"/>
    <s v="Bachelor"/>
    <s v="High"/>
    <x v="3"/>
    <s v="High"/>
  </r>
  <r>
    <n v="49"/>
    <x v="1"/>
    <x v="1"/>
    <n v="3"/>
    <n v="2"/>
    <s v="Medical"/>
    <n v="3"/>
    <n v="1"/>
    <x v="1"/>
    <n v="4789"/>
    <n v="4"/>
    <n v="3"/>
    <n v="3"/>
    <n v="0"/>
    <x v="1"/>
    <x v="0"/>
    <x v="3"/>
    <n v="2.3333333333333335"/>
    <s v="College"/>
    <s v="High"/>
    <x v="3"/>
    <s v="High"/>
  </r>
  <r>
    <n v="29"/>
    <x v="1"/>
    <x v="1"/>
    <n v="2"/>
    <n v="1"/>
    <s v="Life Sciences"/>
    <n v="4"/>
    <n v="2"/>
    <x v="1"/>
    <n v="3180"/>
    <n v="0"/>
    <n v="3"/>
    <n v="3"/>
    <n v="0"/>
    <x v="2"/>
    <x v="0"/>
    <x v="3"/>
    <n v="3"/>
    <s v="Below College"/>
    <s v="Very High"/>
    <x v="1"/>
    <s v="High"/>
  </r>
  <r>
    <n v="28"/>
    <x v="1"/>
    <x v="1"/>
    <n v="29"/>
    <n v="1"/>
    <s v="Life Sciences"/>
    <n v="3"/>
    <n v="2"/>
    <x v="1"/>
    <n v="6549"/>
    <n v="1"/>
    <n v="2"/>
    <n v="8"/>
    <n v="0"/>
    <x v="2"/>
    <x v="0"/>
    <x v="0"/>
    <n v="2.3333333333333335"/>
    <s v="Below College"/>
    <s v="High"/>
    <x v="1"/>
    <s v="Medium"/>
  </r>
  <r>
    <n v="33"/>
    <x v="1"/>
    <x v="1"/>
    <n v="8"/>
    <n v="5"/>
    <s v="Life Sciences"/>
    <n v="4"/>
    <n v="3"/>
    <x v="0"/>
    <n v="6388"/>
    <n v="2"/>
    <n v="3"/>
    <n v="0"/>
    <n v="0"/>
    <x v="2"/>
    <x v="0"/>
    <x v="2"/>
    <n v="3.3333333333333335"/>
    <s v="Doctor"/>
    <s v="Very High"/>
    <x v="2"/>
    <s v="High"/>
  </r>
  <r>
    <n v="32"/>
    <x v="1"/>
    <x v="1"/>
    <n v="10"/>
    <n v="3"/>
    <s v="Medical"/>
    <n v="3"/>
    <n v="4"/>
    <x v="0"/>
    <n v="11244"/>
    <n v="2"/>
    <n v="4"/>
    <n v="5"/>
    <n v="0"/>
    <x v="2"/>
    <x v="2"/>
    <x v="0"/>
    <n v="3.6666666666666665"/>
    <s v="Bachelor"/>
    <s v="High"/>
    <x v="0"/>
    <s v="Very High"/>
  </r>
  <r>
    <n v="54"/>
    <x v="1"/>
    <x v="1"/>
    <n v="11"/>
    <n v="4"/>
    <s v="Medical"/>
    <n v="2"/>
    <n v="4"/>
    <x v="2"/>
    <n v="16032"/>
    <n v="3"/>
    <n v="3"/>
    <n v="14"/>
    <n v="0"/>
    <x v="1"/>
    <x v="2"/>
    <x v="1"/>
    <n v="3"/>
    <s v="Master"/>
    <s v="Medium"/>
    <x v="0"/>
    <s v="High"/>
  </r>
  <r>
    <n v="29"/>
    <x v="0"/>
    <x v="1"/>
    <n v="1"/>
    <n v="4"/>
    <s v="Technical Degree"/>
    <n v="1"/>
    <n v="1"/>
    <x v="0"/>
    <n v="2362"/>
    <n v="6"/>
    <n v="1"/>
    <n v="9"/>
    <n v="1"/>
    <x v="2"/>
    <x v="1"/>
    <x v="0"/>
    <n v="1"/>
    <s v="Master"/>
    <s v="Low"/>
    <x v="3"/>
    <s v="Low"/>
  </r>
  <r>
    <n v="44"/>
    <x v="1"/>
    <x v="1"/>
    <n v="28"/>
    <n v="3"/>
    <s v="Life Sciences"/>
    <n v="4"/>
    <n v="1"/>
    <x v="1"/>
    <n v="16328"/>
    <n v="3"/>
    <n v="4"/>
    <n v="20"/>
    <n v="0"/>
    <x v="0"/>
    <x v="2"/>
    <x v="1"/>
    <n v="3"/>
    <s v="Bachelor"/>
    <s v="Very High"/>
    <x v="3"/>
    <s v="Very High"/>
  </r>
  <r>
    <n v="39"/>
    <x v="1"/>
    <x v="1"/>
    <n v="6"/>
    <n v="3"/>
    <s v="Life Sciences"/>
    <n v="2"/>
    <n v="2"/>
    <x v="0"/>
    <n v="8376"/>
    <n v="4"/>
    <n v="3"/>
    <n v="2"/>
    <n v="0"/>
    <x v="0"/>
    <x v="2"/>
    <x v="3"/>
    <n v="2.3333333333333335"/>
    <s v="Bachelor"/>
    <s v="Medium"/>
    <x v="1"/>
    <s v="High"/>
  </r>
  <r>
    <n v="46"/>
    <x v="1"/>
    <x v="0"/>
    <n v="3"/>
    <n v="3"/>
    <s v="Life Sciences"/>
    <n v="3"/>
    <n v="2"/>
    <x v="1"/>
    <n v="16606"/>
    <n v="8"/>
    <n v="4"/>
    <n v="13"/>
    <n v="0"/>
    <x v="1"/>
    <x v="2"/>
    <x v="1"/>
    <n v="3"/>
    <s v="Bachelor"/>
    <s v="High"/>
    <x v="1"/>
    <s v="Very High"/>
  </r>
  <r>
    <n v="35"/>
    <x v="1"/>
    <x v="1"/>
    <n v="16"/>
    <n v="3"/>
    <s v="Life Sciences"/>
    <n v="4"/>
    <n v="2"/>
    <x v="0"/>
    <n v="8606"/>
    <n v="1"/>
    <n v="1"/>
    <n v="11"/>
    <n v="0"/>
    <x v="0"/>
    <x v="2"/>
    <x v="1"/>
    <n v="2.3333333333333335"/>
    <s v="Bachelor"/>
    <s v="Very High"/>
    <x v="1"/>
    <s v="Low"/>
  </r>
  <r>
    <n v="23"/>
    <x v="1"/>
    <x v="1"/>
    <n v="20"/>
    <n v="1"/>
    <s v="Life Sciences"/>
    <n v="1"/>
    <n v="3"/>
    <x v="0"/>
    <n v="2272"/>
    <n v="0"/>
    <n v="3"/>
    <n v="4"/>
    <n v="0"/>
    <x v="4"/>
    <x v="1"/>
    <x v="3"/>
    <n v="2.3333333333333335"/>
    <s v="Below College"/>
    <s v="Low"/>
    <x v="2"/>
    <s v="High"/>
  </r>
  <r>
    <n v="40"/>
    <x v="0"/>
    <x v="1"/>
    <n v="9"/>
    <n v="4"/>
    <s v="Life Sciences"/>
    <n v="4"/>
    <n v="1"/>
    <x v="0"/>
    <n v="2018"/>
    <n v="3"/>
    <n v="1"/>
    <n v="5"/>
    <n v="1"/>
    <x v="0"/>
    <x v="1"/>
    <x v="0"/>
    <n v="2"/>
    <s v="Master"/>
    <s v="Very High"/>
    <x v="3"/>
    <s v="Low"/>
  </r>
  <r>
    <n v="34"/>
    <x v="1"/>
    <x v="0"/>
    <n v="1"/>
    <n v="3"/>
    <s v="Technical Degree"/>
    <n v="4"/>
    <n v="3"/>
    <x v="1"/>
    <n v="7083"/>
    <n v="1"/>
    <n v="3"/>
    <n v="10"/>
    <n v="0"/>
    <x v="2"/>
    <x v="2"/>
    <x v="1"/>
    <n v="3.3333333333333335"/>
    <s v="Bachelor"/>
    <s v="Very High"/>
    <x v="2"/>
    <s v="High"/>
  </r>
  <r>
    <n v="31"/>
    <x v="0"/>
    <x v="1"/>
    <n v="3"/>
    <n v="3"/>
    <s v="Life Sciences"/>
    <n v="4"/>
    <n v="3"/>
    <x v="0"/>
    <n v="4084"/>
    <n v="1"/>
    <n v="1"/>
    <n v="7"/>
    <n v="1"/>
    <x v="2"/>
    <x v="0"/>
    <x v="0"/>
    <n v="2.6666666666666665"/>
    <s v="Bachelor"/>
    <s v="Very High"/>
    <x v="2"/>
    <s v="Low"/>
  </r>
  <r>
    <n v="50"/>
    <x v="1"/>
    <x v="1"/>
    <n v="22"/>
    <n v="5"/>
    <s v="Medical"/>
    <n v="3"/>
    <n v="4"/>
    <x v="0"/>
    <n v="14411"/>
    <n v="1"/>
    <n v="3"/>
    <n v="32"/>
    <n v="0"/>
    <x v="1"/>
    <x v="2"/>
    <x v="1"/>
    <n v="3.3333333333333335"/>
    <s v="Doctor"/>
    <s v="High"/>
    <x v="0"/>
    <s v="High"/>
  </r>
  <r>
    <n v="34"/>
    <x v="1"/>
    <x v="0"/>
    <n v="7"/>
    <n v="2"/>
    <s v="Technical Degree"/>
    <n v="2"/>
    <n v="3"/>
    <x v="1"/>
    <n v="2308"/>
    <n v="0"/>
    <n v="3"/>
    <n v="11"/>
    <n v="0"/>
    <x v="2"/>
    <x v="1"/>
    <x v="1"/>
    <n v="2.6666666666666665"/>
    <s v="College"/>
    <s v="Medium"/>
    <x v="2"/>
    <s v="High"/>
  </r>
  <r>
    <n v="42"/>
    <x v="1"/>
    <x v="1"/>
    <n v="2"/>
    <n v="3"/>
    <s v="Medical"/>
    <n v="3"/>
    <n v="2"/>
    <x v="1"/>
    <n v="4841"/>
    <n v="4"/>
    <n v="3"/>
    <n v="1"/>
    <n v="0"/>
    <x v="0"/>
    <x v="0"/>
    <x v="2"/>
    <n v="2.6666666666666665"/>
    <s v="Bachelor"/>
    <s v="High"/>
    <x v="1"/>
    <s v="High"/>
  </r>
  <r>
    <n v="37"/>
    <x v="1"/>
    <x v="1"/>
    <n v="13"/>
    <n v="3"/>
    <s v="Medical"/>
    <n v="1"/>
    <n v="4"/>
    <x v="1"/>
    <n v="4285"/>
    <n v="1"/>
    <n v="3"/>
    <n v="10"/>
    <n v="0"/>
    <x v="0"/>
    <x v="0"/>
    <x v="1"/>
    <n v="2.6666666666666665"/>
    <s v="Bachelor"/>
    <s v="Low"/>
    <x v="0"/>
    <s v="High"/>
  </r>
  <r>
    <n v="29"/>
    <x v="1"/>
    <x v="1"/>
    <n v="8"/>
    <n v="1"/>
    <s v="Other"/>
    <n v="3"/>
    <n v="1"/>
    <x v="1"/>
    <n v="9715"/>
    <n v="3"/>
    <n v="3"/>
    <n v="7"/>
    <n v="0"/>
    <x v="2"/>
    <x v="2"/>
    <x v="0"/>
    <n v="2.3333333333333335"/>
    <s v="Below College"/>
    <s v="High"/>
    <x v="3"/>
    <s v="High"/>
  </r>
  <r>
    <n v="33"/>
    <x v="1"/>
    <x v="1"/>
    <n v="25"/>
    <n v="3"/>
    <s v="Life Sciences"/>
    <n v="4"/>
    <n v="2"/>
    <x v="0"/>
    <n v="4320"/>
    <n v="1"/>
    <n v="3"/>
    <n v="5"/>
    <n v="0"/>
    <x v="2"/>
    <x v="0"/>
    <x v="0"/>
    <n v="3"/>
    <s v="Bachelor"/>
    <s v="Very High"/>
    <x v="1"/>
    <s v="High"/>
  </r>
  <r>
    <n v="45"/>
    <x v="1"/>
    <x v="1"/>
    <n v="28"/>
    <n v="3"/>
    <s v="Technical Degree"/>
    <n v="4"/>
    <n v="4"/>
    <x v="1"/>
    <n v="2132"/>
    <n v="4"/>
    <n v="3"/>
    <n v="5"/>
    <n v="0"/>
    <x v="1"/>
    <x v="1"/>
    <x v="0"/>
    <n v="3.6666666666666665"/>
    <s v="Bachelor"/>
    <s v="Very High"/>
    <x v="0"/>
    <s v="High"/>
  </r>
  <r>
    <n v="42"/>
    <x v="1"/>
    <x v="1"/>
    <n v="2"/>
    <n v="3"/>
    <s v="Life Sciences"/>
    <n v="4"/>
    <n v="4"/>
    <x v="1"/>
    <n v="10124"/>
    <n v="2"/>
    <n v="1"/>
    <n v="20"/>
    <n v="0"/>
    <x v="0"/>
    <x v="2"/>
    <x v="1"/>
    <n v="3"/>
    <s v="Bachelor"/>
    <s v="Very High"/>
    <x v="0"/>
    <s v="Low"/>
  </r>
  <r>
    <n v="40"/>
    <x v="1"/>
    <x v="0"/>
    <n v="9"/>
    <n v="2"/>
    <s v="Medical"/>
    <n v="1"/>
    <n v="1"/>
    <x v="1"/>
    <n v="5473"/>
    <n v="0"/>
    <n v="4"/>
    <n v="8"/>
    <n v="0"/>
    <x v="0"/>
    <x v="0"/>
    <x v="0"/>
    <n v="2"/>
    <s v="College"/>
    <s v="Low"/>
    <x v="3"/>
    <s v="Very High"/>
  </r>
  <r>
    <n v="33"/>
    <x v="1"/>
    <x v="1"/>
    <n v="28"/>
    <n v="4"/>
    <s v="Life Sciences"/>
    <n v="2"/>
    <n v="3"/>
    <x v="1"/>
    <n v="5207"/>
    <n v="1"/>
    <n v="3"/>
    <n v="15"/>
    <n v="0"/>
    <x v="2"/>
    <x v="0"/>
    <x v="1"/>
    <n v="2.6666666666666665"/>
    <s v="Master"/>
    <s v="Medium"/>
    <x v="2"/>
    <s v="High"/>
  </r>
  <r>
    <n v="40"/>
    <x v="1"/>
    <x v="2"/>
    <n v="6"/>
    <n v="2"/>
    <s v="Medical"/>
    <n v="3"/>
    <n v="4"/>
    <x v="0"/>
    <n v="16437"/>
    <n v="1"/>
    <n v="3"/>
    <n v="21"/>
    <n v="0"/>
    <x v="0"/>
    <x v="2"/>
    <x v="1"/>
    <n v="3.3333333333333335"/>
    <s v="College"/>
    <s v="High"/>
    <x v="0"/>
    <s v="High"/>
  </r>
  <r>
    <n v="24"/>
    <x v="1"/>
    <x v="1"/>
    <n v="21"/>
    <n v="2"/>
    <s v="Technical Degree"/>
    <n v="3"/>
    <n v="1"/>
    <x v="2"/>
    <n v="2296"/>
    <n v="0"/>
    <n v="3"/>
    <n v="1"/>
    <n v="0"/>
    <x v="4"/>
    <x v="1"/>
    <x v="2"/>
    <n v="2.3333333333333335"/>
    <s v="College"/>
    <s v="High"/>
    <x v="3"/>
    <s v="High"/>
  </r>
  <r>
    <n v="40"/>
    <x v="1"/>
    <x v="1"/>
    <n v="8"/>
    <n v="2"/>
    <s v="Life Sciences"/>
    <n v="4"/>
    <n v="4"/>
    <x v="2"/>
    <n v="4069"/>
    <n v="3"/>
    <n v="3"/>
    <n v="2"/>
    <n v="0"/>
    <x v="0"/>
    <x v="0"/>
    <x v="3"/>
    <n v="3.6666666666666665"/>
    <s v="College"/>
    <s v="Very High"/>
    <x v="0"/>
    <s v="High"/>
  </r>
  <r>
    <n v="45"/>
    <x v="1"/>
    <x v="1"/>
    <n v="1"/>
    <n v="4"/>
    <s v="Technical Degree"/>
    <n v="1"/>
    <n v="2"/>
    <x v="2"/>
    <n v="7441"/>
    <n v="1"/>
    <n v="3"/>
    <n v="10"/>
    <n v="0"/>
    <x v="1"/>
    <x v="2"/>
    <x v="1"/>
    <n v="2"/>
    <s v="Master"/>
    <s v="Low"/>
    <x v="1"/>
    <s v="High"/>
  </r>
  <r>
    <n v="35"/>
    <x v="1"/>
    <x v="0"/>
    <n v="28"/>
    <n v="4"/>
    <s v="Life Sciences"/>
    <n v="2"/>
    <n v="3"/>
    <x v="1"/>
    <n v="2430"/>
    <n v="0"/>
    <n v="3"/>
    <n v="5"/>
    <n v="0"/>
    <x v="0"/>
    <x v="1"/>
    <x v="0"/>
    <n v="2.6666666666666665"/>
    <s v="Master"/>
    <s v="Medium"/>
    <x v="2"/>
    <s v="High"/>
  </r>
  <r>
    <n v="32"/>
    <x v="1"/>
    <x v="1"/>
    <n v="5"/>
    <n v="2"/>
    <s v="Life Sciences"/>
    <n v="4"/>
    <n v="2"/>
    <x v="1"/>
    <n v="5878"/>
    <n v="3"/>
    <n v="3"/>
    <n v="7"/>
    <n v="0"/>
    <x v="2"/>
    <x v="0"/>
    <x v="0"/>
    <n v="3"/>
    <s v="College"/>
    <s v="Very High"/>
    <x v="1"/>
    <s v="High"/>
  </r>
  <r>
    <n v="36"/>
    <x v="1"/>
    <x v="0"/>
    <n v="2"/>
    <n v="4"/>
    <s v="Life Sciences"/>
    <n v="3"/>
    <n v="4"/>
    <x v="0"/>
    <n v="2644"/>
    <n v="3"/>
    <n v="2"/>
    <n v="3"/>
    <n v="0"/>
    <x v="0"/>
    <x v="1"/>
    <x v="3"/>
    <n v="3"/>
    <s v="Master"/>
    <s v="High"/>
    <x v="0"/>
    <s v="Medium"/>
  </r>
  <r>
    <n v="48"/>
    <x v="1"/>
    <x v="0"/>
    <n v="16"/>
    <n v="4"/>
    <s v="Life Sciences"/>
    <n v="3"/>
    <n v="3"/>
    <x v="2"/>
    <n v="6439"/>
    <n v="8"/>
    <n v="3"/>
    <n v="8"/>
    <n v="0"/>
    <x v="1"/>
    <x v="0"/>
    <x v="0"/>
    <n v="3"/>
    <s v="Master"/>
    <s v="High"/>
    <x v="2"/>
    <s v="High"/>
  </r>
  <r>
    <n v="29"/>
    <x v="1"/>
    <x v="1"/>
    <n v="9"/>
    <n v="3"/>
    <s v="Life Sciences"/>
    <n v="3"/>
    <n v="3"/>
    <x v="1"/>
    <n v="2451"/>
    <n v="6"/>
    <n v="2"/>
    <n v="1"/>
    <n v="0"/>
    <x v="2"/>
    <x v="1"/>
    <x v="2"/>
    <n v="2.6666666666666665"/>
    <s v="Bachelor"/>
    <s v="High"/>
    <x v="2"/>
    <s v="Medium"/>
  </r>
  <r>
    <n v="33"/>
    <x v="1"/>
    <x v="0"/>
    <n v="8"/>
    <n v="4"/>
    <s v="Life Sciences"/>
    <n v="1"/>
    <n v="1"/>
    <x v="1"/>
    <n v="6392"/>
    <n v="2"/>
    <n v="1"/>
    <n v="2"/>
    <n v="0"/>
    <x v="2"/>
    <x v="0"/>
    <x v="3"/>
    <n v="1"/>
    <s v="Master"/>
    <s v="Low"/>
    <x v="3"/>
    <s v="Low"/>
  </r>
  <r>
    <n v="30"/>
    <x v="0"/>
    <x v="0"/>
    <n v="1"/>
    <n v="3"/>
    <s v="Life Sciences"/>
    <n v="2"/>
    <n v="1"/>
    <x v="1"/>
    <n v="9714"/>
    <n v="1"/>
    <n v="3"/>
    <n v="10"/>
    <n v="1"/>
    <x v="2"/>
    <x v="2"/>
    <x v="1"/>
    <n v="2"/>
    <s v="Bachelor"/>
    <s v="Medium"/>
    <x v="3"/>
    <s v="High"/>
  </r>
  <r>
    <n v="38"/>
    <x v="1"/>
    <x v="2"/>
    <n v="10"/>
    <n v="4"/>
    <s v="Human Resources"/>
    <n v="3"/>
    <n v="3"/>
    <x v="1"/>
    <n v="6077"/>
    <n v="3"/>
    <n v="3"/>
    <n v="6"/>
    <n v="0"/>
    <x v="0"/>
    <x v="0"/>
    <x v="0"/>
    <n v="3"/>
    <s v="Master"/>
    <s v="High"/>
    <x v="2"/>
    <s v="High"/>
  </r>
  <r>
    <n v="35"/>
    <x v="1"/>
    <x v="1"/>
    <n v="1"/>
    <n v="3"/>
    <s v="Medical"/>
    <n v="4"/>
    <n v="1"/>
    <x v="0"/>
    <n v="2450"/>
    <n v="1"/>
    <n v="3"/>
    <n v="3"/>
    <n v="0"/>
    <x v="0"/>
    <x v="1"/>
    <x v="3"/>
    <n v="2.6666666666666665"/>
    <s v="Bachelor"/>
    <s v="Very High"/>
    <x v="3"/>
    <s v="High"/>
  </r>
  <r>
    <n v="30"/>
    <x v="1"/>
    <x v="0"/>
    <n v="29"/>
    <n v="4"/>
    <s v="Technical Degree"/>
    <n v="3"/>
    <n v="2"/>
    <x v="1"/>
    <n v="9250"/>
    <n v="3"/>
    <n v="3"/>
    <n v="4"/>
    <n v="0"/>
    <x v="2"/>
    <x v="2"/>
    <x v="3"/>
    <n v="2.6666666666666665"/>
    <s v="Master"/>
    <s v="High"/>
    <x v="1"/>
    <s v="High"/>
  </r>
  <r>
    <n v="35"/>
    <x v="0"/>
    <x v="1"/>
    <n v="2"/>
    <n v="3"/>
    <s v="Life Sciences"/>
    <n v="1"/>
    <n v="1"/>
    <x v="2"/>
    <n v="2074"/>
    <n v="1"/>
    <n v="3"/>
    <n v="1"/>
    <n v="1"/>
    <x v="0"/>
    <x v="1"/>
    <x v="2"/>
    <n v="1.6666666666666667"/>
    <s v="Bachelor"/>
    <s v="Low"/>
    <x v="3"/>
    <s v="High"/>
  </r>
  <r>
    <n v="53"/>
    <x v="0"/>
    <x v="1"/>
    <n v="2"/>
    <n v="5"/>
    <s v="Technical Degree"/>
    <n v="3"/>
    <n v="4"/>
    <x v="1"/>
    <n v="10169"/>
    <n v="0"/>
    <n v="3"/>
    <n v="33"/>
    <n v="1"/>
    <x v="1"/>
    <x v="2"/>
    <x v="1"/>
    <n v="3.3333333333333335"/>
    <s v="Doctor"/>
    <s v="High"/>
    <x v="0"/>
    <s v="High"/>
  </r>
  <r>
    <n v="38"/>
    <x v="0"/>
    <x v="1"/>
    <n v="2"/>
    <n v="3"/>
    <s v="Medical"/>
    <n v="3"/>
    <n v="2"/>
    <x v="1"/>
    <n v="4855"/>
    <n v="4"/>
    <n v="3"/>
    <n v="5"/>
    <n v="1"/>
    <x v="0"/>
    <x v="0"/>
    <x v="0"/>
    <n v="2.6666666666666665"/>
    <s v="Bachelor"/>
    <s v="High"/>
    <x v="1"/>
    <s v="High"/>
  </r>
  <r>
    <n v="32"/>
    <x v="1"/>
    <x v="1"/>
    <n v="1"/>
    <n v="4"/>
    <s v="Technical Degree"/>
    <n v="4"/>
    <n v="1"/>
    <x v="1"/>
    <n v="4087"/>
    <n v="4"/>
    <n v="2"/>
    <n v="6"/>
    <n v="0"/>
    <x v="2"/>
    <x v="0"/>
    <x v="0"/>
    <n v="2.3333333333333335"/>
    <s v="Master"/>
    <s v="Very High"/>
    <x v="3"/>
    <s v="Medium"/>
  </r>
  <r>
    <n v="48"/>
    <x v="1"/>
    <x v="1"/>
    <n v="15"/>
    <n v="4"/>
    <s v="Other"/>
    <n v="3"/>
    <n v="1"/>
    <x v="1"/>
    <n v="2367"/>
    <n v="8"/>
    <n v="2"/>
    <n v="8"/>
    <n v="0"/>
    <x v="1"/>
    <x v="1"/>
    <x v="0"/>
    <n v="2"/>
    <s v="Master"/>
    <s v="High"/>
    <x v="3"/>
    <s v="Medium"/>
  </r>
  <r>
    <n v="34"/>
    <x v="1"/>
    <x v="1"/>
    <n v="7"/>
    <n v="4"/>
    <s v="Medical"/>
    <n v="1"/>
    <n v="4"/>
    <x v="0"/>
    <n v="2972"/>
    <n v="1"/>
    <n v="1"/>
    <n v="1"/>
    <n v="0"/>
    <x v="2"/>
    <x v="1"/>
    <x v="2"/>
    <n v="2"/>
    <s v="Master"/>
    <s v="Low"/>
    <x v="0"/>
    <s v="Low"/>
  </r>
  <r>
    <n v="55"/>
    <x v="1"/>
    <x v="0"/>
    <n v="26"/>
    <n v="5"/>
    <s v="Marketing"/>
    <n v="3"/>
    <n v="4"/>
    <x v="1"/>
    <n v="19586"/>
    <n v="1"/>
    <n v="3"/>
    <n v="36"/>
    <n v="0"/>
    <x v="3"/>
    <x v="2"/>
    <x v="1"/>
    <n v="3.3333333333333335"/>
    <s v="Doctor"/>
    <s v="High"/>
    <x v="0"/>
    <s v="High"/>
  </r>
  <r>
    <n v="34"/>
    <x v="1"/>
    <x v="1"/>
    <n v="1"/>
    <n v="4"/>
    <s v="Life Sciences"/>
    <n v="2"/>
    <n v="4"/>
    <x v="1"/>
    <n v="5484"/>
    <n v="9"/>
    <n v="2"/>
    <n v="2"/>
    <n v="0"/>
    <x v="2"/>
    <x v="0"/>
    <x v="3"/>
    <n v="2.6666666666666665"/>
    <s v="Master"/>
    <s v="Medium"/>
    <x v="0"/>
    <s v="Medium"/>
  </r>
  <r>
    <n v="26"/>
    <x v="1"/>
    <x v="1"/>
    <n v="3"/>
    <n v="3"/>
    <s v="Life Sciences"/>
    <n v="1"/>
    <n v="4"/>
    <x v="1"/>
    <n v="2061"/>
    <n v="1"/>
    <n v="3"/>
    <n v="1"/>
    <n v="0"/>
    <x v="2"/>
    <x v="1"/>
    <x v="2"/>
    <n v="2.6666666666666665"/>
    <s v="Bachelor"/>
    <s v="Low"/>
    <x v="0"/>
    <s v="High"/>
  </r>
  <r>
    <n v="38"/>
    <x v="1"/>
    <x v="0"/>
    <n v="14"/>
    <n v="3"/>
    <s v="Life Sciences"/>
    <n v="3"/>
    <n v="2"/>
    <x v="1"/>
    <n v="9924"/>
    <n v="0"/>
    <n v="3"/>
    <n v="9"/>
    <n v="0"/>
    <x v="0"/>
    <x v="2"/>
    <x v="0"/>
    <n v="2.6666666666666665"/>
    <s v="Bachelor"/>
    <s v="High"/>
    <x v="1"/>
    <s v="High"/>
  </r>
  <r>
    <n v="38"/>
    <x v="1"/>
    <x v="0"/>
    <n v="16"/>
    <n v="3"/>
    <s v="Life Sciences"/>
    <n v="2"/>
    <n v="2"/>
    <x v="0"/>
    <n v="4198"/>
    <n v="2"/>
    <n v="4"/>
    <n v="3"/>
    <n v="0"/>
    <x v="0"/>
    <x v="0"/>
    <x v="3"/>
    <n v="2.6666666666666665"/>
    <s v="Bachelor"/>
    <s v="Medium"/>
    <x v="1"/>
    <s v="Very High"/>
  </r>
  <r>
    <n v="36"/>
    <x v="1"/>
    <x v="0"/>
    <n v="1"/>
    <n v="4"/>
    <s v="Life Sciences"/>
    <n v="2"/>
    <n v="3"/>
    <x v="0"/>
    <n v="6815"/>
    <n v="6"/>
    <n v="3"/>
    <n v="1"/>
    <n v="0"/>
    <x v="0"/>
    <x v="0"/>
    <x v="2"/>
    <n v="2.6666666666666665"/>
    <s v="Master"/>
    <s v="Medium"/>
    <x v="2"/>
    <s v="High"/>
  </r>
  <r>
    <n v="29"/>
    <x v="1"/>
    <x v="1"/>
    <n v="3"/>
    <n v="1"/>
    <s v="Medical"/>
    <n v="2"/>
    <n v="1"/>
    <x v="0"/>
    <n v="4723"/>
    <n v="1"/>
    <n v="3"/>
    <n v="10"/>
    <n v="0"/>
    <x v="2"/>
    <x v="0"/>
    <x v="1"/>
    <n v="2"/>
    <s v="Below College"/>
    <s v="Medium"/>
    <x v="3"/>
    <s v="High"/>
  </r>
  <r>
    <n v="35"/>
    <x v="1"/>
    <x v="1"/>
    <n v="10"/>
    <n v="4"/>
    <s v="Medical"/>
    <n v="1"/>
    <n v="3"/>
    <x v="0"/>
    <n v="6142"/>
    <n v="3"/>
    <n v="3"/>
    <n v="5"/>
    <n v="0"/>
    <x v="0"/>
    <x v="0"/>
    <x v="0"/>
    <n v="2.3333333333333335"/>
    <s v="Master"/>
    <s v="Low"/>
    <x v="2"/>
    <s v="High"/>
  </r>
  <r>
    <n v="39"/>
    <x v="1"/>
    <x v="0"/>
    <n v="6"/>
    <n v="3"/>
    <s v="Medical"/>
    <n v="4"/>
    <n v="3"/>
    <x v="1"/>
    <n v="8237"/>
    <n v="2"/>
    <n v="3"/>
    <n v="7"/>
    <n v="0"/>
    <x v="0"/>
    <x v="2"/>
    <x v="0"/>
    <n v="3.3333333333333335"/>
    <s v="Bachelor"/>
    <s v="Very High"/>
    <x v="2"/>
    <s v="High"/>
  </r>
  <r>
    <n v="29"/>
    <x v="1"/>
    <x v="1"/>
    <n v="2"/>
    <n v="1"/>
    <s v="Life Sciences"/>
    <n v="1"/>
    <n v="4"/>
    <x v="2"/>
    <n v="8853"/>
    <n v="1"/>
    <n v="4"/>
    <n v="6"/>
    <n v="0"/>
    <x v="2"/>
    <x v="2"/>
    <x v="0"/>
    <n v="3"/>
    <s v="Below College"/>
    <s v="Low"/>
    <x v="0"/>
    <s v="Very High"/>
  </r>
  <r>
    <n v="50"/>
    <x v="1"/>
    <x v="0"/>
    <n v="9"/>
    <n v="3"/>
    <s v="Marketing"/>
    <n v="3"/>
    <n v="3"/>
    <x v="1"/>
    <n v="19331"/>
    <n v="4"/>
    <n v="3"/>
    <n v="1"/>
    <n v="0"/>
    <x v="1"/>
    <x v="2"/>
    <x v="2"/>
    <n v="3"/>
    <s v="Bachelor"/>
    <s v="High"/>
    <x v="2"/>
    <s v="High"/>
  </r>
  <r>
    <n v="23"/>
    <x v="1"/>
    <x v="1"/>
    <n v="10"/>
    <n v="3"/>
    <s v="Technical Degree"/>
    <n v="4"/>
    <n v="3"/>
    <x v="1"/>
    <n v="2073"/>
    <n v="2"/>
    <n v="3"/>
    <n v="2"/>
    <n v="0"/>
    <x v="4"/>
    <x v="1"/>
    <x v="3"/>
    <n v="3.3333333333333335"/>
    <s v="Bachelor"/>
    <s v="Very High"/>
    <x v="2"/>
    <s v="High"/>
  </r>
  <r>
    <n v="36"/>
    <x v="1"/>
    <x v="1"/>
    <n v="6"/>
    <n v="4"/>
    <s v="Life Sciences"/>
    <n v="1"/>
    <n v="1"/>
    <x v="1"/>
    <n v="5562"/>
    <n v="3"/>
    <n v="3"/>
    <n v="3"/>
    <n v="0"/>
    <x v="0"/>
    <x v="0"/>
    <x v="3"/>
    <n v="1.6666666666666667"/>
    <s v="Master"/>
    <s v="Low"/>
    <x v="3"/>
    <s v="High"/>
  </r>
  <r>
    <n v="42"/>
    <x v="1"/>
    <x v="1"/>
    <n v="9"/>
    <n v="2"/>
    <s v="Other"/>
    <n v="4"/>
    <n v="4"/>
    <x v="0"/>
    <n v="19613"/>
    <n v="8"/>
    <n v="3"/>
    <n v="1"/>
    <n v="0"/>
    <x v="0"/>
    <x v="2"/>
    <x v="2"/>
    <n v="3.6666666666666665"/>
    <s v="College"/>
    <s v="Very High"/>
    <x v="0"/>
    <s v="High"/>
  </r>
  <r>
    <n v="35"/>
    <x v="1"/>
    <x v="1"/>
    <n v="28"/>
    <n v="3"/>
    <s v="Life Sciences"/>
    <n v="2"/>
    <n v="3"/>
    <x v="1"/>
    <n v="3407"/>
    <n v="1"/>
    <n v="2"/>
    <n v="10"/>
    <n v="0"/>
    <x v="0"/>
    <x v="0"/>
    <x v="1"/>
    <n v="2.3333333333333335"/>
    <s v="Bachelor"/>
    <s v="Medium"/>
    <x v="2"/>
    <s v="Medium"/>
  </r>
  <r>
    <n v="34"/>
    <x v="1"/>
    <x v="1"/>
    <n v="10"/>
    <n v="4"/>
    <s v="Technical Degree"/>
    <n v="4"/>
    <n v="3"/>
    <x v="1"/>
    <n v="5063"/>
    <n v="1"/>
    <n v="2"/>
    <n v="8"/>
    <n v="0"/>
    <x v="2"/>
    <x v="0"/>
    <x v="0"/>
    <n v="3"/>
    <s v="Master"/>
    <s v="Very High"/>
    <x v="2"/>
    <s v="Medium"/>
  </r>
  <r>
    <n v="40"/>
    <x v="1"/>
    <x v="0"/>
    <n v="14"/>
    <n v="2"/>
    <s v="Life Sciences"/>
    <n v="4"/>
    <n v="1"/>
    <x v="1"/>
    <n v="4639"/>
    <n v="1"/>
    <n v="3"/>
    <n v="5"/>
    <n v="0"/>
    <x v="0"/>
    <x v="0"/>
    <x v="0"/>
    <n v="2.6666666666666665"/>
    <s v="College"/>
    <s v="Very High"/>
    <x v="3"/>
    <s v="High"/>
  </r>
  <r>
    <n v="43"/>
    <x v="1"/>
    <x v="1"/>
    <n v="27"/>
    <n v="3"/>
    <s v="Technical Degree"/>
    <n v="4"/>
    <n v="2"/>
    <x v="2"/>
    <n v="4876"/>
    <n v="5"/>
    <n v="3"/>
    <n v="6"/>
    <n v="0"/>
    <x v="0"/>
    <x v="0"/>
    <x v="0"/>
    <n v="3"/>
    <s v="Bachelor"/>
    <s v="Very High"/>
    <x v="1"/>
    <s v="High"/>
  </r>
  <r>
    <n v="35"/>
    <x v="1"/>
    <x v="1"/>
    <n v="7"/>
    <n v="2"/>
    <s v="Life Sciences"/>
    <n v="3"/>
    <n v="4"/>
    <x v="1"/>
    <n v="2690"/>
    <n v="1"/>
    <n v="2"/>
    <n v="1"/>
    <n v="0"/>
    <x v="0"/>
    <x v="1"/>
    <x v="2"/>
    <n v="3"/>
    <s v="College"/>
    <s v="High"/>
    <x v="0"/>
    <s v="Medium"/>
  </r>
  <r>
    <n v="46"/>
    <x v="1"/>
    <x v="0"/>
    <n v="1"/>
    <n v="4"/>
    <s v="Life Sciences"/>
    <n v="4"/>
    <n v="1"/>
    <x v="0"/>
    <n v="17567"/>
    <n v="1"/>
    <n v="1"/>
    <n v="26"/>
    <n v="0"/>
    <x v="1"/>
    <x v="2"/>
    <x v="1"/>
    <n v="2"/>
    <s v="Master"/>
    <s v="Very High"/>
    <x v="3"/>
    <s v="Low"/>
  </r>
  <r>
    <n v="28"/>
    <x v="0"/>
    <x v="1"/>
    <n v="24"/>
    <n v="3"/>
    <s v="Medical"/>
    <n v="3"/>
    <n v="2"/>
    <x v="1"/>
    <n v="2408"/>
    <n v="1"/>
    <n v="3"/>
    <n v="1"/>
    <n v="1"/>
    <x v="2"/>
    <x v="1"/>
    <x v="2"/>
    <n v="2.6666666666666665"/>
    <s v="Bachelor"/>
    <s v="High"/>
    <x v="1"/>
    <s v="High"/>
  </r>
  <r>
    <n v="22"/>
    <x v="1"/>
    <x v="1"/>
    <n v="26"/>
    <n v="2"/>
    <s v="Other"/>
    <n v="2"/>
    <n v="3"/>
    <x v="1"/>
    <n v="2814"/>
    <n v="1"/>
    <n v="2"/>
    <n v="4"/>
    <n v="0"/>
    <x v="4"/>
    <x v="1"/>
    <x v="3"/>
    <n v="2.3333333333333335"/>
    <s v="College"/>
    <s v="Medium"/>
    <x v="2"/>
    <s v="Medium"/>
  </r>
  <r>
    <n v="50"/>
    <x v="1"/>
    <x v="1"/>
    <n v="20"/>
    <n v="5"/>
    <s v="Medical"/>
    <n v="2"/>
    <n v="3"/>
    <x v="1"/>
    <n v="11245"/>
    <n v="2"/>
    <n v="3"/>
    <n v="30"/>
    <n v="0"/>
    <x v="1"/>
    <x v="2"/>
    <x v="1"/>
    <n v="2.6666666666666665"/>
    <s v="Doctor"/>
    <s v="Medium"/>
    <x v="2"/>
    <s v="High"/>
  </r>
  <r>
    <n v="32"/>
    <x v="1"/>
    <x v="1"/>
    <n v="5"/>
    <n v="4"/>
    <s v="Other"/>
    <n v="2"/>
    <n v="4"/>
    <x v="1"/>
    <n v="3312"/>
    <n v="3"/>
    <n v="3"/>
    <n v="3"/>
    <n v="0"/>
    <x v="2"/>
    <x v="0"/>
    <x v="3"/>
    <n v="3"/>
    <s v="Master"/>
    <s v="Medium"/>
    <x v="0"/>
    <s v="High"/>
  </r>
  <r>
    <n v="44"/>
    <x v="1"/>
    <x v="1"/>
    <n v="7"/>
    <n v="3"/>
    <s v="Medical"/>
    <n v="2"/>
    <n v="4"/>
    <x v="2"/>
    <n v="19049"/>
    <n v="0"/>
    <n v="2"/>
    <n v="22"/>
    <n v="0"/>
    <x v="0"/>
    <x v="2"/>
    <x v="1"/>
    <n v="2.6666666666666665"/>
    <s v="Bachelor"/>
    <s v="Medium"/>
    <x v="0"/>
    <s v="Medium"/>
  </r>
  <r>
    <n v="30"/>
    <x v="1"/>
    <x v="1"/>
    <n v="7"/>
    <n v="3"/>
    <s v="Medical"/>
    <n v="2"/>
    <n v="2"/>
    <x v="1"/>
    <n v="2141"/>
    <n v="1"/>
    <n v="2"/>
    <n v="6"/>
    <n v="0"/>
    <x v="2"/>
    <x v="1"/>
    <x v="0"/>
    <n v="2"/>
    <s v="Bachelor"/>
    <s v="Medium"/>
    <x v="1"/>
    <s v="Medium"/>
  </r>
  <r>
    <n v="45"/>
    <x v="1"/>
    <x v="1"/>
    <n v="5"/>
    <n v="5"/>
    <s v="Medical"/>
    <n v="3"/>
    <n v="1"/>
    <x v="0"/>
    <n v="5769"/>
    <n v="1"/>
    <n v="3"/>
    <n v="10"/>
    <n v="0"/>
    <x v="1"/>
    <x v="0"/>
    <x v="1"/>
    <n v="2.3333333333333335"/>
    <s v="Doctor"/>
    <s v="High"/>
    <x v="3"/>
    <s v="High"/>
  </r>
  <r>
    <n v="45"/>
    <x v="1"/>
    <x v="0"/>
    <n v="26"/>
    <n v="3"/>
    <s v="Marketing"/>
    <n v="1"/>
    <n v="1"/>
    <x v="1"/>
    <n v="4385"/>
    <n v="1"/>
    <n v="3"/>
    <n v="10"/>
    <n v="0"/>
    <x v="1"/>
    <x v="0"/>
    <x v="1"/>
    <n v="1.6666666666666667"/>
    <s v="Bachelor"/>
    <s v="Low"/>
    <x v="3"/>
    <s v="High"/>
  </r>
  <r>
    <n v="31"/>
    <x v="1"/>
    <x v="0"/>
    <n v="2"/>
    <n v="4"/>
    <s v="Other"/>
    <n v="4"/>
    <n v="1"/>
    <x v="0"/>
    <n v="5332"/>
    <n v="7"/>
    <n v="3"/>
    <n v="5"/>
    <n v="0"/>
    <x v="2"/>
    <x v="0"/>
    <x v="0"/>
    <n v="2.6666666666666665"/>
    <s v="Master"/>
    <s v="Very High"/>
    <x v="3"/>
    <s v="High"/>
  </r>
  <r>
    <n v="36"/>
    <x v="1"/>
    <x v="1"/>
    <n v="12"/>
    <n v="4"/>
    <s v="Life Sciences"/>
    <n v="3"/>
    <n v="3"/>
    <x v="1"/>
    <n v="4663"/>
    <n v="9"/>
    <n v="3"/>
    <n v="3"/>
    <n v="0"/>
    <x v="0"/>
    <x v="0"/>
    <x v="3"/>
    <n v="3"/>
    <s v="Master"/>
    <s v="High"/>
    <x v="2"/>
    <s v="High"/>
  </r>
  <r>
    <n v="34"/>
    <x v="1"/>
    <x v="1"/>
    <n v="10"/>
    <n v="4"/>
    <s v="Life Sciences"/>
    <n v="3"/>
    <n v="4"/>
    <x v="2"/>
    <n v="4724"/>
    <n v="1"/>
    <n v="3"/>
    <n v="9"/>
    <n v="0"/>
    <x v="2"/>
    <x v="0"/>
    <x v="0"/>
    <n v="3.3333333333333335"/>
    <s v="Master"/>
    <s v="High"/>
    <x v="0"/>
    <s v="High"/>
  </r>
  <r>
    <n v="49"/>
    <x v="1"/>
    <x v="1"/>
    <n v="25"/>
    <n v="4"/>
    <s v="Life Sciences"/>
    <n v="3"/>
    <n v="1"/>
    <x v="1"/>
    <n v="3211"/>
    <n v="1"/>
    <n v="2"/>
    <n v="9"/>
    <n v="0"/>
    <x v="1"/>
    <x v="0"/>
    <x v="0"/>
    <n v="2"/>
    <s v="Master"/>
    <s v="High"/>
    <x v="3"/>
    <s v="Medium"/>
  </r>
  <r>
    <n v="39"/>
    <x v="1"/>
    <x v="1"/>
    <n v="10"/>
    <n v="5"/>
    <s v="Medical"/>
    <n v="2"/>
    <n v="1"/>
    <x v="1"/>
    <n v="5377"/>
    <n v="2"/>
    <n v="3"/>
    <n v="7"/>
    <n v="0"/>
    <x v="0"/>
    <x v="0"/>
    <x v="0"/>
    <n v="2"/>
    <s v="Doctor"/>
    <s v="Medium"/>
    <x v="3"/>
    <s v="High"/>
  </r>
  <r>
    <n v="27"/>
    <x v="1"/>
    <x v="1"/>
    <n v="19"/>
    <n v="3"/>
    <s v="Other"/>
    <n v="4"/>
    <n v="1"/>
    <x v="2"/>
    <n v="4066"/>
    <n v="1"/>
    <n v="3"/>
    <n v="7"/>
    <n v="0"/>
    <x v="2"/>
    <x v="0"/>
    <x v="0"/>
    <n v="2.6666666666666665"/>
    <s v="Bachelor"/>
    <s v="Very High"/>
    <x v="3"/>
    <s v="High"/>
  </r>
  <r>
    <n v="35"/>
    <x v="1"/>
    <x v="1"/>
    <n v="18"/>
    <n v="5"/>
    <s v="Life Sciences"/>
    <n v="2"/>
    <n v="1"/>
    <x v="1"/>
    <n v="5208"/>
    <n v="1"/>
    <n v="3"/>
    <n v="16"/>
    <n v="0"/>
    <x v="0"/>
    <x v="0"/>
    <x v="1"/>
    <n v="2"/>
    <s v="Doctor"/>
    <s v="Medium"/>
    <x v="3"/>
    <s v="High"/>
  </r>
  <r>
    <n v="28"/>
    <x v="1"/>
    <x v="1"/>
    <n v="27"/>
    <n v="3"/>
    <s v="Medical"/>
    <n v="2"/>
    <n v="1"/>
    <x v="2"/>
    <n v="4877"/>
    <n v="0"/>
    <n v="2"/>
    <n v="5"/>
    <n v="0"/>
    <x v="2"/>
    <x v="0"/>
    <x v="0"/>
    <n v="1.6666666666666667"/>
    <s v="Bachelor"/>
    <s v="Medium"/>
    <x v="3"/>
    <s v="Medium"/>
  </r>
  <r>
    <n v="21"/>
    <x v="1"/>
    <x v="1"/>
    <n v="5"/>
    <n v="1"/>
    <s v="Medical"/>
    <n v="3"/>
    <n v="4"/>
    <x v="0"/>
    <n v="3117"/>
    <n v="1"/>
    <n v="3"/>
    <n v="2"/>
    <n v="0"/>
    <x v="4"/>
    <x v="0"/>
    <x v="3"/>
    <n v="3.3333333333333335"/>
    <s v="Below College"/>
    <s v="High"/>
    <x v="0"/>
    <s v="High"/>
  </r>
  <r>
    <n v="18"/>
    <x v="0"/>
    <x v="0"/>
    <n v="3"/>
    <n v="2"/>
    <s v="Medical"/>
    <n v="2"/>
    <n v="4"/>
    <x v="0"/>
    <n v="1569"/>
    <n v="1"/>
    <n v="4"/>
    <n v="0"/>
    <n v="1"/>
    <x v="4"/>
    <x v="1"/>
    <x v="2"/>
    <n v="3.3333333333333335"/>
    <s v="College"/>
    <s v="Medium"/>
    <x v="0"/>
    <s v="Very High"/>
  </r>
  <r>
    <n v="47"/>
    <x v="1"/>
    <x v="2"/>
    <n v="26"/>
    <n v="4"/>
    <s v="Life Sciences"/>
    <n v="4"/>
    <n v="3"/>
    <x v="1"/>
    <n v="19658"/>
    <n v="3"/>
    <n v="3"/>
    <n v="5"/>
    <n v="0"/>
    <x v="1"/>
    <x v="2"/>
    <x v="0"/>
    <n v="3.3333333333333335"/>
    <s v="Master"/>
    <s v="Very High"/>
    <x v="2"/>
    <s v="High"/>
  </r>
  <r>
    <n v="39"/>
    <x v="1"/>
    <x v="1"/>
    <n v="3"/>
    <n v="2"/>
    <s v="Medical"/>
    <n v="3"/>
    <n v="3"/>
    <x v="2"/>
    <n v="3069"/>
    <n v="0"/>
    <n v="3"/>
    <n v="10"/>
    <n v="0"/>
    <x v="0"/>
    <x v="0"/>
    <x v="1"/>
    <n v="3"/>
    <s v="College"/>
    <s v="High"/>
    <x v="2"/>
    <s v="High"/>
  </r>
  <r>
    <n v="40"/>
    <x v="1"/>
    <x v="1"/>
    <n v="15"/>
    <n v="3"/>
    <s v="Life Sciences"/>
    <n v="1"/>
    <n v="3"/>
    <x v="1"/>
    <n v="10435"/>
    <n v="1"/>
    <n v="3"/>
    <n v="18"/>
    <n v="0"/>
    <x v="0"/>
    <x v="2"/>
    <x v="1"/>
    <n v="2.3333333333333335"/>
    <s v="Bachelor"/>
    <s v="Low"/>
    <x v="2"/>
    <s v="High"/>
  </r>
  <r>
    <n v="35"/>
    <x v="1"/>
    <x v="1"/>
    <n v="8"/>
    <n v="4"/>
    <s v="Life Sciences"/>
    <n v="3"/>
    <n v="3"/>
    <x v="1"/>
    <n v="4148"/>
    <n v="1"/>
    <n v="3"/>
    <n v="14"/>
    <n v="0"/>
    <x v="0"/>
    <x v="0"/>
    <x v="1"/>
    <n v="3"/>
    <s v="Master"/>
    <s v="High"/>
    <x v="2"/>
    <s v="High"/>
  </r>
  <r>
    <n v="37"/>
    <x v="1"/>
    <x v="1"/>
    <n v="19"/>
    <n v="3"/>
    <s v="Life Sciences"/>
    <n v="3"/>
    <n v="3"/>
    <x v="1"/>
    <n v="5768"/>
    <n v="3"/>
    <n v="2"/>
    <n v="4"/>
    <n v="0"/>
    <x v="0"/>
    <x v="0"/>
    <x v="3"/>
    <n v="2.6666666666666665"/>
    <s v="Bachelor"/>
    <s v="High"/>
    <x v="2"/>
    <s v="Medium"/>
  </r>
  <r>
    <n v="39"/>
    <x v="1"/>
    <x v="1"/>
    <n v="4"/>
    <n v="3"/>
    <s v="Medical"/>
    <n v="1"/>
    <n v="3"/>
    <x v="0"/>
    <n v="5042"/>
    <n v="0"/>
    <n v="1"/>
    <n v="9"/>
    <n v="0"/>
    <x v="0"/>
    <x v="0"/>
    <x v="0"/>
    <n v="1.6666666666666667"/>
    <s v="Bachelor"/>
    <s v="Low"/>
    <x v="2"/>
    <s v="Low"/>
  </r>
  <r>
    <n v="45"/>
    <x v="1"/>
    <x v="1"/>
    <n v="2"/>
    <n v="2"/>
    <s v="Other"/>
    <n v="4"/>
    <n v="4"/>
    <x v="2"/>
    <n v="5770"/>
    <n v="1"/>
    <n v="3"/>
    <n v="10"/>
    <n v="0"/>
    <x v="1"/>
    <x v="0"/>
    <x v="1"/>
    <n v="3.6666666666666665"/>
    <s v="College"/>
    <s v="Very High"/>
    <x v="0"/>
    <s v="High"/>
  </r>
  <r>
    <n v="38"/>
    <x v="1"/>
    <x v="1"/>
    <n v="2"/>
    <n v="2"/>
    <s v="Medical"/>
    <n v="4"/>
    <n v="3"/>
    <x v="1"/>
    <n v="7756"/>
    <n v="3"/>
    <n v="4"/>
    <n v="5"/>
    <n v="0"/>
    <x v="0"/>
    <x v="2"/>
    <x v="0"/>
    <n v="3.6666666666666665"/>
    <s v="College"/>
    <s v="Very High"/>
    <x v="2"/>
    <s v="Very High"/>
  </r>
  <r>
    <n v="35"/>
    <x v="0"/>
    <x v="0"/>
    <n v="10"/>
    <n v="3"/>
    <s v="Medical"/>
    <n v="4"/>
    <n v="1"/>
    <x v="1"/>
    <n v="10306"/>
    <n v="9"/>
    <n v="3"/>
    <n v="13"/>
    <n v="1"/>
    <x v="0"/>
    <x v="2"/>
    <x v="1"/>
    <n v="2.6666666666666665"/>
    <s v="Bachelor"/>
    <s v="Very High"/>
    <x v="3"/>
    <s v="High"/>
  </r>
  <r>
    <n v="37"/>
    <x v="1"/>
    <x v="1"/>
    <n v="10"/>
    <n v="3"/>
    <s v="Medical"/>
    <n v="2"/>
    <n v="2"/>
    <x v="1"/>
    <n v="3936"/>
    <n v="1"/>
    <n v="1"/>
    <n v="8"/>
    <n v="0"/>
    <x v="0"/>
    <x v="0"/>
    <x v="0"/>
    <n v="1.6666666666666667"/>
    <s v="Bachelor"/>
    <s v="Medium"/>
    <x v="1"/>
    <s v="Low"/>
  </r>
  <r>
    <n v="40"/>
    <x v="1"/>
    <x v="1"/>
    <n v="16"/>
    <n v="3"/>
    <s v="Life Sciences"/>
    <n v="3"/>
    <n v="4"/>
    <x v="0"/>
    <n v="7945"/>
    <n v="6"/>
    <n v="2"/>
    <n v="4"/>
    <n v="0"/>
    <x v="0"/>
    <x v="2"/>
    <x v="3"/>
    <n v="3"/>
    <s v="Bachelor"/>
    <s v="High"/>
    <x v="0"/>
    <s v="Medium"/>
  </r>
  <r>
    <n v="44"/>
    <x v="1"/>
    <x v="2"/>
    <n v="1"/>
    <n v="5"/>
    <s v="Human Resources"/>
    <n v="1"/>
    <n v="4"/>
    <x v="1"/>
    <n v="5743"/>
    <n v="4"/>
    <n v="3"/>
    <n v="10"/>
    <n v="0"/>
    <x v="0"/>
    <x v="0"/>
    <x v="1"/>
    <n v="2.6666666666666665"/>
    <s v="Doctor"/>
    <s v="Low"/>
    <x v="0"/>
    <s v="High"/>
  </r>
  <r>
    <n v="48"/>
    <x v="1"/>
    <x v="1"/>
    <n v="4"/>
    <n v="5"/>
    <s v="Medical"/>
    <n v="3"/>
    <n v="4"/>
    <x v="1"/>
    <n v="15202"/>
    <n v="2"/>
    <n v="3"/>
    <n v="2"/>
    <n v="0"/>
    <x v="1"/>
    <x v="2"/>
    <x v="3"/>
    <n v="3.3333333333333335"/>
    <s v="Doctor"/>
    <s v="High"/>
    <x v="0"/>
    <s v="High"/>
  </r>
  <r>
    <n v="35"/>
    <x v="0"/>
    <x v="0"/>
    <n v="15"/>
    <n v="2"/>
    <s v="Medical"/>
    <n v="1"/>
    <n v="4"/>
    <x v="2"/>
    <n v="5440"/>
    <n v="6"/>
    <n v="2"/>
    <n v="2"/>
    <n v="1"/>
    <x v="0"/>
    <x v="0"/>
    <x v="3"/>
    <n v="2.3333333333333335"/>
    <s v="College"/>
    <s v="Low"/>
    <x v="0"/>
    <s v="Medium"/>
  </r>
  <r>
    <n v="24"/>
    <x v="1"/>
    <x v="1"/>
    <n v="2"/>
    <n v="1"/>
    <s v="Technical Degree"/>
    <n v="1"/>
    <n v="4"/>
    <x v="0"/>
    <n v="3760"/>
    <n v="1"/>
    <n v="3"/>
    <n v="6"/>
    <n v="0"/>
    <x v="4"/>
    <x v="0"/>
    <x v="0"/>
    <n v="2.6666666666666665"/>
    <s v="Below College"/>
    <s v="Low"/>
    <x v="0"/>
    <s v="High"/>
  </r>
  <r>
    <n v="27"/>
    <x v="1"/>
    <x v="1"/>
    <n v="8"/>
    <n v="3"/>
    <s v="Medical"/>
    <n v="2"/>
    <n v="3"/>
    <x v="1"/>
    <n v="3517"/>
    <n v="7"/>
    <n v="3"/>
    <n v="3"/>
    <n v="0"/>
    <x v="2"/>
    <x v="0"/>
    <x v="3"/>
    <n v="2.6666666666666665"/>
    <s v="Bachelor"/>
    <s v="Medium"/>
    <x v="2"/>
    <s v="High"/>
  </r>
  <r>
    <n v="27"/>
    <x v="1"/>
    <x v="1"/>
    <n v="2"/>
    <n v="3"/>
    <s v="Medical"/>
    <n v="4"/>
    <n v="4"/>
    <x v="0"/>
    <n v="2580"/>
    <n v="2"/>
    <n v="2"/>
    <n v="4"/>
    <n v="0"/>
    <x v="2"/>
    <x v="1"/>
    <x v="3"/>
    <n v="3.3333333333333335"/>
    <s v="Bachelor"/>
    <s v="Very High"/>
    <x v="0"/>
    <s v="Medium"/>
  </r>
  <r>
    <n v="40"/>
    <x v="0"/>
    <x v="1"/>
    <n v="7"/>
    <n v="3"/>
    <s v="Life Sciences"/>
    <n v="1"/>
    <n v="1"/>
    <x v="0"/>
    <n v="2166"/>
    <n v="3"/>
    <n v="1"/>
    <n v="4"/>
    <n v="1"/>
    <x v="0"/>
    <x v="1"/>
    <x v="3"/>
    <n v="1"/>
    <s v="Bachelor"/>
    <s v="Low"/>
    <x v="3"/>
    <s v="Low"/>
  </r>
  <r>
    <n v="29"/>
    <x v="1"/>
    <x v="0"/>
    <n v="10"/>
    <n v="3"/>
    <s v="Medical"/>
    <n v="3"/>
    <n v="3"/>
    <x v="0"/>
    <n v="5869"/>
    <n v="9"/>
    <n v="3"/>
    <n v="5"/>
    <n v="0"/>
    <x v="2"/>
    <x v="0"/>
    <x v="0"/>
    <n v="3"/>
    <s v="Bachelor"/>
    <s v="High"/>
    <x v="2"/>
    <s v="High"/>
  </r>
  <r>
    <n v="36"/>
    <x v="1"/>
    <x v="1"/>
    <n v="5"/>
    <n v="4"/>
    <s v="Life Sciences"/>
    <n v="2"/>
    <n v="1"/>
    <x v="1"/>
    <n v="8008"/>
    <n v="4"/>
    <n v="3"/>
    <n v="3"/>
    <n v="0"/>
    <x v="0"/>
    <x v="2"/>
    <x v="3"/>
    <n v="2"/>
    <s v="Master"/>
    <s v="Medium"/>
    <x v="3"/>
    <s v="High"/>
  </r>
  <r>
    <n v="25"/>
    <x v="1"/>
    <x v="1"/>
    <n v="2"/>
    <n v="1"/>
    <s v="Life Sciences"/>
    <n v="4"/>
    <n v="3"/>
    <x v="2"/>
    <n v="5206"/>
    <n v="1"/>
    <n v="3"/>
    <n v="7"/>
    <n v="0"/>
    <x v="2"/>
    <x v="0"/>
    <x v="0"/>
    <n v="3.3333333333333335"/>
    <s v="Below College"/>
    <s v="Very High"/>
    <x v="2"/>
    <s v="High"/>
  </r>
  <r>
    <n v="39"/>
    <x v="1"/>
    <x v="1"/>
    <n v="12"/>
    <n v="3"/>
    <s v="Medical"/>
    <n v="4"/>
    <n v="2"/>
    <x v="1"/>
    <n v="5295"/>
    <n v="4"/>
    <n v="3"/>
    <n v="5"/>
    <n v="0"/>
    <x v="0"/>
    <x v="0"/>
    <x v="0"/>
    <n v="3"/>
    <s v="Bachelor"/>
    <s v="Very High"/>
    <x v="1"/>
    <s v="High"/>
  </r>
  <r>
    <n v="49"/>
    <x v="1"/>
    <x v="1"/>
    <n v="22"/>
    <n v="4"/>
    <s v="Other"/>
    <n v="1"/>
    <n v="2"/>
    <x v="1"/>
    <n v="16413"/>
    <n v="3"/>
    <n v="3"/>
    <n v="4"/>
    <n v="0"/>
    <x v="1"/>
    <x v="2"/>
    <x v="3"/>
    <n v="2"/>
    <s v="Master"/>
    <s v="Low"/>
    <x v="1"/>
    <s v="High"/>
  </r>
  <r>
    <n v="50"/>
    <x v="1"/>
    <x v="1"/>
    <n v="17"/>
    <n v="5"/>
    <s v="Life Sciences"/>
    <n v="4"/>
    <n v="1"/>
    <x v="2"/>
    <n v="13269"/>
    <n v="5"/>
    <n v="3"/>
    <n v="14"/>
    <n v="0"/>
    <x v="1"/>
    <x v="2"/>
    <x v="1"/>
    <n v="2.6666666666666665"/>
    <s v="Doctor"/>
    <s v="Very High"/>
    <x v="3"/>
    <s v="High"/>
  </r>
  <r>
    <n v="20"/>
    <x v="1"/>
    <x v="0"/>
    <n v="2"/>
    <n v="3"/>
    <s v="Medical"/>
    <n v="3"/>
    <n v="3"/>
    <x v="0"/>
    <n v="2783"/>
    <n v="1"/>
    <n v="3"/>
    <n v="2"/>
    <n v="0"/>
    <x v="4"/>
    <x v="1"/>
    <x v="3"/>
    <n v="3"/>
    <s v="Bachelor"/>
    <s v="High"/>
    <x v="2"/>
    <s v="High"/>
  </r>
  <r>
    <n v="34"/>
    <x v="1"/>
    <x v="1"/>
    <n v="3"/>
    <n v="3"/>
    <s v="Life Sciences"/>
    <n v="4"/>
    <n v="2"/>
    <x v="2"/>
    <n v="5433"/>
    <n v="1"/>
    <n v="3"/>
    <n v="11"/>
    <n v="0"/>
    <x v="2"/>
    <x v="0"/>
    <x v="1"/>
    <n v="3"/>
    <s v="Bachelor"/>
    <s v="Very High"/>
    <x v="1"/>
    <s v="High"/>
  </r>
  <r>
    <n v="36"/>
    <x v="1"/>
    <x v="1"/>
    <n v="7"/>
    <n v="3"/>
    <s v="Life Sciences"/>
    <n v="1"/>
    <n v="2"/>
    <x v="0"/>
    <n v="2013"/>
    <n v="2"/>
    <n v="3"/>
    <n v="4"/>
    <n v="0"/>
    <x v="0"/>
    <x v="1"/>
    <x v="3"/>
    <n v="2"/>
    <s v="Bachelor"/>
    <s v="Low"/>
    <x v="1"/>
    <s v="High"/>
  </r>
  <r>
    <n v="49"/>
    <x v="1"/>
    <x v="1"/>
    <n v="6"/>
    <n v="1"/>
    <s v="Life Sciences"/>
    <n v="3"/>
    <n v="3"/>
    <x v="1"/>
    <n v="13966"/>
    <n v="2"/>
    <n v="3"/>
    <n v="15"/>
    <n v="0"/>
    <x v="1"/>
    <x v="2"/>
    <x v="1"/>
    <n v="3"/>
    <s v="Below College"/>
    <s v="High"/>
    <x v="2"/>
    <s v="High"/>
  </r>
  <r>
    <n v="36"/>
    <x v="1"/>
    <x v="1"/>
    <n v="1"/>
    <n v="4"/>
    <s v="Medical"/>
    <n v="4"/>
    <n v="3"/>
    <x v="1"/>
    <n v="4374"/>
    <n v="0"/>
    <n v="3"/>
    <n v="3"/>
    <n v="0"/>
    <x v="0"/>
    <x v="0"/>
    <x v="3"/>
    <n v="3.3333333333333335"/>
    <s v="Master"/>
    <s v="Very High"/>
    <x v="2"/>
    <s v="High"/>
  </r>
  <r>
    <n v="36"/>
    <x v="1"/>
    <x v="1"/>
    <n v="3"/>
    <n v="2"/>
    <s v="Life Sciences"/>
    <n v="4"/>
    <n v="1"/>
    <x v="2"/>
    <n v="6842"/>
    <n v="6"/>
    <n v="3"/>
    <n v="5"/>
    <n v="0"/>
    <x v="0"/>
    <x v="0"/>
    <x v="0"/>
    <n v="2.6666666666666665"/>
    <s v="College"/>
    <s v="Very High"/>
    <x v="3"/>
    <s v="High"/>
  </r>
  <r>
    <n v="54"/>
    <x v="1"/>
    <x v="1"/>
    <n v="22"/>
    <n v="5"/>
    <s v="Medical"/>
    <n v="2"/>
    <n v="3"/>
    <x v="1"/>
    <n v="17426"/>
    <n v="3"/>
    <n v="3"/>
    <n v="10"/>
    <n v="0"/>
    <x v="1"/>
    <x v="2"/>
    <x v="1"/>
    <n v="2.6666666666666665"/>
    <s v="Doctor"/>
    <s v="Medium"/>
    <x v="2"/>
    <s v="High"/>
  </r>
  <r>
    <n v="43"/>
    <x v="1"/>
    <x v="1"/>
    <n v="15"/>
    <n v="2"/>
    <s v="Life Sciences"/>
    <n v="3"/>
    <n v="3"/>
    <x v="1"/>
    <n v="17603"/>
    <n v="1"/>
    <n v="3"/>
    <n v="14"/>
    <n v="0"/>
    <x v="0"/>
    <x v="2"/>
    <x v="1"/>
    <n v="3"/>
    <s v="College"/>
    <s v="High"/>
    <x v="2"/>
    <s v="High"/>
  </r>
  <r>
    <n v="35"/>
    <x v="0"/>
    <x v="0"/>
    <n v="12"/>
    <n v="4"/>
    <s v="Other"/>
    <n v="4"/>
    <n v="4"/>
    <x v="0"/>
    <n v="4581"/>
    <n v="3"/>
    <n v="4"/>
    <n v="11"/>
    <n v="1"/>
    <x v="0"/>
    <x v="0"/>
    <x v="1"/>
    <n v="4"/>
    <s v="Master"/>
    <s v="Very High"/>
    <x v="0"/>
    <s v="Very High"/>
  </r>
  <r>
    <n v="38"/>
    <x v="1"/>
    <x v="1"/>
    <n v="1"/>
    <n v="3"/>
    <s v="Life Sciences"/>
    <n v="4"/>
    <n v="4"/>
    <x v="1"/>
    <n v="4735"/>
    <n v="7"/>
    <n v="4"/>
    <n v="13"/>
    <n v="0"/>
    <x v="0"/>
    <x v="0"/>
    <x v="1"/>
    <n v="4"/>
    <s v="Bachelor"/>
    <s v="Very High"/>
    <x v="0"/>
    <s v="Very High"/>
  </r>
  <r>
    <n v="29"/>
    <x v="1"/>
    <x v="0"/>
    <n v="5"/>
    <n v="3"/>
    <s v="Medical"/>
    <n v="1"/>
    <n v="2"/>
    <x v="2"/>
    <n v="4187"/>
    <n v="1"/>
    <n v="2"/>
    <n v="10"/>
    <n v="0"/>
    <x v="2"/>
    <x v="0"/>
    <x v="1"/>
    <n v="1.6666666666666667"/>
    <s v="Bachelor"/>
    <s v="Low"/>
    <x v="1"/>
    <s v="Medium"/>
  </r>
  <r>
    <n v="33"/>
    <x v="1"/>
    <x v="0"/>
    <n v="2"/>
    <n v="4"/>
    <s v="Medical"/>
    <n v="4"/>
    <n v="4"/>
    <x v="2"/>
    <n v="5505"/>
    <n v="1"/>
    <n v="3"/>
    <n v="6"/>
    <n v="0"/>
    <x v="2"/>
    <x v="0"/>
    <x v="0"/>
    <n v="3.6666666666666665"/>
    <s v="Master"/>
    <s v="Very High"/>
    <x v="0"/>
    <s v="High"/>
  </r>
  <r>
    <n v="32"/>
    <x v="1"/>
    <x v="1"/>
    <n v="2"/>
    <n v="3"/>
    <s v="Medical"/>
    <n v="4"/>
    <n v="2"/>
    <x v="2"/>
    <n v="5470"/>
    <n v="0"/>
    <n v="2"/>
    <n v="9"/>
    <n v="0"/>
    <x v="2"/>
    <x v="0"/>
    <x v="0"/>
    <n v="2.6666666666666665"/>
    <s v="Bachelor"/>
    <s v="Very High"/>
    <x v="1"/>
    <s v="Medium"/>
  </r>
  <r>
    <n v="31"/>
    <x v="1"/>
    <x v="0"/>
    <n v="5"/>
    <n v="4"/>
    <s v="Life Sciences"/>
    <n v="1"/>
    <n v="4"/>
    <x v="1"/>
    <n v="5476"/>
    <n v="1"/>
    <n v="3"/>
    <n v="10"/>
    <n v="0"/>
    <x v="2"/>
    <x v="0"/>
    <x v="1"/>
    <n v="2.6666666666666665"/>
    <s v="Master"/>
    <s v="Low"/>
    <x v="0"/>
    <s v="High"/>
  </r>
  <r>
    <n v="49"/>
    <x v="1"/>
    <x v="1"/>
    <n v="16"/>
    <n v="3"/>
    <s v="Medical"/>
    <n v="4"/>
    <n v="1"/>
    <x v="2"/>
    <n v="2587"/>
    <n v="4"/>
    <n v="2"/>
    <n v="2"/>
    <n v="0"/>
    <x v="1"/>
    <x v="1"/>
    <x v="3"/>
    <n v="2.3333333333333335"/>
    <s v="Bachelor"/>
    <s v="Very High"/>
    <x v="3"/>
    <s v="Medium"/>
  </r>
  <r>
    <n v="38"/>
    <x v="1"/>
    <x v="1"/>
    <n v="2"/>
    <n v="3"/>
    <s v="Medical"/>
    <n v="4"/>
    <n v="2"/>
    <x v="0"/>
    <n v="2440"/>
    <n v="1"/>
    <n v="3"/>
    <n v="4"/>
    <n v="0"/>
    <x v="0"/>
    <x v="1"/>
    <x v="3"/>
    <n v="3"/>
    <s v="Bachelor"/>
    <s v="Very High"/>
    <x v="1"/>
    <s v="High"/>
  </r>
  <r>
    <n v="47"/>
    <x v="1"/>
    <x v="0"/>
    <n v="2"/>
    <n v="4"/>
    <s v="Life Sciences"/>
    <n v="2"/>
    <n v="2"/>
    <x v="2"/>
    <n v="15972"/>
    <n v="6"/>
    <n v="3"/>
    <n v="3"/>
    <n v="0"/>
    <x v="1"/>
    <x v="2"/>
    <x v="3"/>
    <n v="2.3333333333333335"/>
    <s v="Master"/>
    <s v="Medium"/>
    <x v="1"/>
    <s v="High"/>
  </r>
  <r>
    <n v="49"/>
    <x v="1"/>
    <x v="1"/>
    <n v="1"/>
    <n v="3"/>
    <s v="Life Sciences"/>
    <n v="3"/>
    <n v="3"/>
    <x v="0"/>
    <n v="15379"/>
    <n v="4"/>
    <n v="3"/>
    <n v="8"/>
    <n v="0"/>
    <x v="1"/>
    <x v="2"/>
    <x v="0"/>
    <n v="3"/>
    <s v="Bachelor"/>
    <s v="High"/>
    <x v="2"/>
    <s v="High"/>
  </r>
  <r>
    <n v="41"/>
    <x v="1"/>
    <x v="0"/>
    <n v="23"/>
    <n v="2"/>
    <s v="Life Sciences"/>
    <n v="4"/>
    <n v="3"/>
    <x v="0"/>
    <n v="7082"/>
    <n v="3"/>
    <n v="3"/>
    <n v="2"/>
    <n v="0"/>
    <x v="0"/>
    <x v="2"/>
    <x v="3"/>
    <n v="3.3333333333333335"/>
    <s v="College"/>
    <s v="Very High"/>
    <x v="2"/>
    <s v="High"/>
  </r>
  <r>
    <n v="20"/>
    <x v="1"/>
    <x v="0"/>
    <n v="9"/>
    <n v="1"/>
    <s v="Life Sciences"/>
    <n v="4"/>
    <n v="1"/>
    <x v="0"/>
    <n v="2728"/>
    <n v="1"/>
    <n v="3"/>
    <n v="2"/>
    <n v="0"/>
    <x v="4"/>
    <x v="1"/>
    <x v="3"/>
    <n v="2.6666666666666665"/>
    <s v="Below College"/>
    <s v="Very High"/>
    <x v="3"/>
    <s v="High"/>
  </r>
  <r>
    <n v="33"/>
    <x v="1"/>
    <x v="0"/>
    <n v="16"/>
    <n v="3"/>
    <s v="Life Sciences"/>
    <n v="3"/>
    <n v="4"/>
    <x v="2"/>
    <n v="5368"/>
    <n v="1"/>
    <n v="3"/>
    <n v="6"/>
    <n v="0"/>
    <x v="2"/>
    <x v="0"/>
    <x v="0"/>
    <n v="3.3333333333333335"/>
    <s v="Bachelor"/>
    <s v="High"/>
    <x v="0"/>
    <s v="High"/>
  </r>
  <r>
    <n v="36"/>
    <x v="1"/>
    <x v="1"/>
    <n v="26"/>
    <n v="4"/>
    <s v="Life Sciences"/>
    <n v="1"/>
    <n v="3"/>
    <x v="1"/>
    <n v="5347"/>
    <n v="6"/>
    <n v="2"/>
    <n v="3"/>
    <n v="0"/>
    <x v="0"/>
    <x v="0"/>
    <x v="3"/>
    <n v="2"/>
    <s v="Master"/>
    <s v="Low"/>
    <x v="2"/>
    <s v="Medium"/>
  </r>
  <r>
    <n v="44"/>
    <x v="1"/>
    <x v="2"/>
    <n v="1"/>
    <n v="3"/>
    <s v="Life Sciences"/>
    <n v="3"/>
    <n v="4"/>
    <x v="2"/>
    <n v="3195"/>
    <n v="4"/>
    <n v="3"/>
    <n v="2"/>
    <n v="0"/>
    <x v="0"/>
    <x v="0"/>
    <x v="3"/>
    <n v="3.3333333333333335"/>
    <s v="Bachelor"/>
    <s v="High"/>
    <x v="0"/>
    <s v="High"/>
  </r>
  <r>
    <n v="23"/>
    <x v="0"/>
    <x v="1"/>
    <n v="8"/>
    <n v="1"/>
    <s v="Medical"/>
    <n v="4"/>
    <n v="3"/>
    <x v="0"/>
    <n v="3989"/>
    <n v="1"/>
    <n v="3"/>
    <n v="5"/>
    <n v="1"/>
    <x v="4"/>
    <x v="0"/>
    <x v="0"/>
    <n v="3.3333333333333335"/>
    <s v="Below College"/>
    <s v="Very High"/>
    <x v="2"/>
    <s v="High"/>
  </r>
  <r>
    <n v="38"/>
    <x v="1"/>
    <x v="1"/>
    <n v="4"/>
    <n v="2"/>
    <s v="Medical"/>
    <n v="4"/>
    <n v="3"/>
    <x v="1"/>
    <n v="3306"/>
    <n v="7"/>
    <n v="2"/>
    <n v="0"/>
    <n v="0"/>
    <x v="0"/>
    <x v="0"/>
    <x v="2"/>
    <n v="3"/>
    <s v="College"/>
    <s v="Very High"/>
    <x v="2"/>
    <s v="Medium"/>
  </r>
  <r>
    <n v="53"/>
    <x v="1"/>
    <x v="1"/>
    <n v="24"/>
    <n v="4"/>
    <s v="Medical"/>
    <n v="2"/>
    <n v="4"/>
    <x v="1"/>
    <n v="7005"/>
    <n v="3"/>
    <n v="3"/>
    <n v="4"/>
    <n v="0"/>
    <x v="1"/>
    <x v="2"/>
    <x v="3"/>
    <n v="3"/>
    <s v="Master"/>
    <s v="Medium"/>
    <x v="0"/>
    <s v="High"/>
  </r>
  <r>
    <n v="48"/>
    <x v="0"/>
    <x v="0"/>
    <n v="7"/>
    <n v="2"/>
    <s v="Medical"/>
    <n v="4"/>
    <n v="3"/>
    <x v="1"/>
    <n v="2655"/>
    <n v="2"/>
    <n v="3"/>
    <n v="9"/>
    <n v="1"/>
    <x v="1"/>
    <x v="1"/>
    <x v="0"/>
    <n v="3.3333333333333335"/>
    <s v="College"/>
    <s v="Very High"/>
    <x v="2"/>
    <s v="High"/>
  </r>
  <r>
    <n v="32"/>
    <x v="0"/>
    <x v="1"/>
    <n v="2"/>
    <n v="4"/>
    <s v="Life Sciences"/>
    <n v="4"/>
    <n v="2"/>
    <x v="0"/>
    <n v="1393"/>
    <n v="1"/>
    <n v="3"/>
    <n v="1"/>
    <n v="1"/>
    <x v="2"/>
    <x v="1"/>
    <x v="2"/>
    <n v="3"/>
    <s v="Master"/>
    <s v="Very High"/>
    <x v="1"/>
    <s v="High"/>
  </r>
  <r>
    <n v="26"/>
    <x v="1"/>
    <x v="1"/>
    <n v="7"/>
    <n v="3"/>
    <s v="Medical"/>
    <n v="4"/>
    <n v="4"/>
    <x v="0"/>
    <n v="2570"/>
    <n v="1"/>
    <n v="3"/>
    <n v="7"/>
    <n v="0"/>
    <x v="2"/>
    <x v="1"/>
    <x v="0"/>
    <n v="3.6666666666666665"/>
    <s v="Bachelor"/>
    <s v="Very High"/>
    <x v="0"/>
    <s v="High"/>
  </r>
  <r>
    <n v="55"/>
    <x v="1"/>
    <x v="1"/>
    <n v="22"/>
    <n v="3"/>
    <s v="Technical Degree"/>
    <n v="1"/>
    <n v="2"/>
    <x v="2"/>
    <n v="3537"/>
    <n v="5"/>
    <n v="3"/>
    <n v="4"/>
    <n v="0"/>
    <x v="3"/>
    <x v="0"/>
    <x v="3"/>
    <n v="2"/>
    <s v="Bachelor"/>
    <s v="Low"/>
    <x v="1"/>
    <s v="High"/>
  </r>
  <r>
    <n v="34"/>
    <x v="1"/>
    <x v="1"/>
    <n v="5"/>
    <n v="2"/>
    <s v="Medical"/>
    <n v="2"/>
    <n v="4"/>
    <x v="1"/>
    <n v="3986"/>
    <n v="1"/>
    <n v="4"/>
    <n v="15"/>
    <n v="0"/>
    <x v="2"/>
    <x v="0"/>
    <x v="1"/>
    <n v="3.3333333333333335"/>
    <s v="College"/>
    <s v="Medium"/>
    <x v="0"/>
    <s v="Very High"/>
  </r>
  <r>
    <n v="60"/>
    <x v="1"/>
    <x v="1"/>
    <n v="1"/>
    <n v="4"/>
    <s v="Medical"/>
    <n v="3"/>
    <n v="4"/>
    <x v="2"/>
    <n v="10883"/>
    <n v="3"/>
    <n v="4"/>
    <n v="1"/>
    <n v="0"/>
    <x v="3"/>
    <x v="2"/>
    <x v="2"/>
    <n v="3.6666666666666665"/>
    <s v="Master"/>
    <s v="High"/>
    <x v="0"/>
    <s v="Very High"/>
  </r>
  <r>
    <n v="33"/>
    <x v="1"/>
    <x v="1"/>
    <n v="21"/>
    <n v="3"/>
    <s v="Medical"/>
    <n v="2"/>
    <n v="2"/>
    <x v="1"/>
    <n v="2028"/>
    <n v="1"/>
    <n v="3"/>
    <n v="14"/>
    <n v="0"/>
    <x v="2"/>
    <x v="1"/>
    <x v="1"/>
    <n v="2.3333333333333335"/>
    <s v="Bachelor"/>
    <s v="Medium"/>
    <x v="1"/>
    <s v="High"/>
  </r>
  <r>
    <n v="37"/>
    <x v="1"/>
    <x v="0"/>
    <n v="1"/>
    <n v="4"/>
    <s v="Medical"/>
    <n v="3"/>
    <n v="4"/>
    <x v="2"/>
    <n v="9525"/>
    <n v="1"/>
    <n v="2"/>
    <n v="6"/>
    <n v="0"/>
    <x v="0"/>
    <x v="2"/>
    <x v="0"/>
    <n v="3"/>
    <s v="Master"/>
    <s v="High"/>
    <x v="0"/>
    <s v="Medium"/>
  </r>
  <r>
    <n v="34"/>
    <x v="1"/>
    <x v="1"/>
    <n v="19"/>
    <n v="3"/>
    <s v="Life Sciences"/>
    <n v="2"/>
    <n v="4"/>
    <x v="1"/>
    <n v="2929"/>
    <n v="1"/>
    <n v="3"/>
    <n v="10"/>
    <n v="0"/>
    <x v="2"/>
    <x v="1"/>
    <x v="1"/>
    <n v="3"/>
    <s v="Bachelor"/>
    <s v="Medium"/>
    <x v="0"/>
    <s v="High"/>
  </r>
  <r>
    <n v="23"/>
    <x v="0"/>
    <x v="0"/>
    <n v="7"/>
    <n v="3"/>
    <s v="Life Sciences"/>
    <n v="3"/>
    <n v="4"/>
    <x v="2"/>
    <n v="2275"/>
    <n v="1"/>
    <n v="3"/>
    <n v="3"/>
    <n v="1"/>
    <x v="4"/>
    <x v="1"/>
    <x v="3"/>
    <n v="3.3333333333333335"/>
    <s v="Bachelor"/>
    <s v="High"/>
    <x v="0"/>
    <s v="High"/>
  </r>
  <r>
    <n v="44"/>
    <x v="1"/>
    <x v="1"/>
    <n v="2"/>
    <n v="3"/>
    <s v="Life Sciences"/>
    <n v="3"/>
    <n v="4"/>
    <x v="1"/>
    <n v="7879"/>
    <n v="1"/>
    <n v="3"/>
    <n v="8"/>
    <n v="0"/>
    <x v="0"/>
    <x v="2"/>
    <x v="0"/>
    <n v="3.3333333333333335"/>
    <s v="Bachelor"/>
    <s v="High"/>
    <x v="0"/>
    <s v="High"/>
  </r>
  <r>
    <n v="35"/>
    <x v="1"/>
    <x v="1"/>
    <n v="2"/>
    <n v="4"/>
    <s v="Medical"/>
    <n v="1"/>
    <n v="4"/>
    <x v="0"/>
    <n v="4930"/>
    <n v="0"/>
    <n v="4"/>
    <n v="5"/>
    <n v="0"/>
    <x v="0"/>
    <x v="0"/>
    <x v="0"/>
    <n v="3"/>
    <s v="Master"/>
    <s v="Low"/>
    <x v="0"/>
    <s v="Very High"/>
  </r>
  <r>
    <n v="43"/>
    <x v="1"/>
    <x v="0"/>
    <n v="2"/>
    <n v="3"/>
    <s v="Medical"/>
    <n v="4"/>
    <n v="4"/>
    <x v="1"/>
    <n v="7847"/>
    <n v="1"/>
    <n v="3"/>
    <n v="10"/>
    <n v="0"/>
    <x v="0"/>
    <x v="2"/>
    <x v="1"/>
    <n v="3.6666666666666665"/>
    <s v="Bachelor"/>
    <s v="Very High"/>
    <x v="0"/>
    <s v="High"/>
  </r>
  <r>
    <n v="24"/>
    <x v="1"/>
    <x v="1"/>
    <n v="9"/>
    <n v="3"/>
    <s v="Medical"/>
    <n v="3"/>
    <n v="3"/>
    <x v="1"/>
    <n v="4401"/>
    <n v="1"/>
    <n v="3"/>
    <n v="5"/>
    <n v="0"/>
    <x v="4"/>
    <x v="0"/>
    <x v="0"/>
    <n v="3"/>
    <s v="Bachelor"/>
    <s v="High"/>
    <x v="2"/>
    <s v="High"/>
  </r>
  <r>
    <n v="41"/>
    <x v="1"/>
    <x v="0"/>
    <n v="6"/>
    <n v="3"/>
    <s v="Marketing"/>
    <n v="4"/>
    <n v="3"/>
    <x v="0"/>
    <n v="9241"/>
    <n v="1"/>
    <n v="3"/>
    <n v="10"/>
    <n v="0"/>
    <x v="0"/>
    <x v="2"/>
    <x v="1"/>
    <n v="3.3333333333333335"/>
    <s v="Bachelor"/>
    <s v="Very High"/>
    <x v="2"/>
    <s v="High"/>
  </r>
  <r>
    <n v="29"/>
    <x v="1"/>
    <x v="1"/>
    <n v="9"/>
    <n v="4"/>
    <s v="Medical"/>
    <n v="4"/>
    <n v="3"/>
    <x v="1"/>
    <n v="2974"/>
    <n v="9"/>
    <n v="3"/>
    <n v="5"/>
    <n v="0"/>
    <x v="2"/>
    <x v="1"/>
    <x v="0"/>
    <n v="3.3333333333333335"/>
    <s v="Master"/>
    <s v="Very High"/>
    <x v="2"/>
    <s v="High"/>
  </r>
  <r>
    <n v="36"/>
    <x v="1"/>
    <x v="0"/>
    <n v="2"/>
    <n v="4"/>
    <s v="Life Sciences"/>
    <n v="3"/>
    <n v="4"/>
    <x v="0"/>
    <n v="4502"/>
    <n v="3"/>
    <n v="2"/>
    <n v="13"/>
    <n v="0"/>
    <x v="0"/>
    <x v="0"/>
    <x v="1"/>
    <n v="3"/>
    <s v="Master"/>
    <s v="High"/>
    <x v="0"/>
    <s v="Medium"/>
  </r>
  <r>
    <n v="45"/>
    <x v="1"/>
    <x v="1"/>
    <n v="1"/>
    <n v="1"/>
    <s v="Life Sciences"/>
    <n v="3"/>
    <n v="3"/>
    <x v="1"/>
    <n v="10748"/>
    <n v="3"/>
    <n v="2"/>
    <n v="23"/>
    <n v="0"/>
    <x v="1"/>
    <x v="2"/>
    <x v="1"/>
    <n v="2.6666666666666665"/>
    <s v="Below College"/>
    <s v="High"/>
    <x v="2"/>
    <s v="Medium"/>
  </r>
  <r>
    <n v="24"/>
    <x v="0"/>
    <x v="2"/>
    <n v="22"/>
    <n v="1"/>
    <s v="Human Resources"/>
    <n v="4"/>
    <n v="3"/>
    <x v="1"/>
    <n v="1555"/>
    <n v="1"/>
    <n v="3"/>
    <n v="1"/>
    <n v="1"/>
    <x v="4"/>
    <x v="1"/>
    <x v="2"/>
    <n v="3.3333333333333335"/>
    <s v="Below College"/>
    <s v="Very High"/>
    <x v="2"/>
    <s v="High"/>
  </r>
  <r>
    <n v="47"/>
    <x v="0"/>
    <x v="0"/>
    <n v="9"/>
    <n v="3"/>
    <s v="Life Sciences"/>
    <n v="3"/>
    <n v="3"/>
    <x v="1"/>
    <n v="12936"/>
    <n v="7"/>
    <n v="1"/>
    <n v="23"/>
    <n v="1"/>
    <x v="1"/>
    <x v="2"/>
    <x v="1"/>
    <n v="2.3333333333333335"/>
    <s v="Bachelor"/>
    <s v="High"/>
    <x v="2"/>
    <s v="Low"/>
  </r>
  <r>
    <n v="26"/>
    <x v="1"/>
    <x v="1"/>
    <n v="17"/>
    <n v="4"/>
    <s v="Medical"/>
    <n v="4"/>
    <n v="3"/>
    <x v="1"/>
    <n v="2305"/>
    <n v="1"/>
    <n v="4"/>
    <n v="3"/>
    <n v="0"/>
    <x v="2"/>
    <x v="1"/>
    <x v="3"/>
    <n v="3.6666666666666665"/>
    <s v="Master"/>
    <s v="Very High"/>
    <x v="2"/>
    <s v="Very High"/>
  </r>
  <r>
    <n v="45"/>
    <x v="1"/>
    <x v="1"/>
    <n v="28"/>
    <n v="2"/>
    <s v="Technical Degree"/>
    <n v="4"/>
    <n v="2"/>
    <x v="0"/>
    <n v="16704"/>
    <n v="1"/>
    <n v="3"/>
    <n v="21"/>
    <n v="0"/>
    <x v="1"/>
    <x v="2"/>
    <x v="1"/>
    <n v="3"/>
    <s v="College"/>
    <s v="Very High"/>
    <x v="1"/>
    <s v="High"/>
  </r>
  <r>
    <n v="32"/>
    <x v="1"/>
    <x v="1"/>
    <n v="10"/>
    <n v="3"/>
    <s v="Life Sciences"/>
    <n v="1"/>
    <n v="3"/>
    <x v="1"/>
    <n v="3433"/>
    <n v="6"/>
    <n v="2"/>
    <n v="5"/>
    <n v="0"/>
    <x v="2"/>
    <x v="0"/>
    <x v="0"/>
    <n v="2"/>
    <s v="Bachelor"/>
    <s v="Low"/>
    <x v="2"/>
    <s v="Medium"/>
  </r>
  <r>
    <n v="31"/>
    <x v="1"/>
    <x v="1"/>
    <n v="2"/>
    <n v="4"/>
    <s v="Life Sciences"/>
    <n v="2"/>
    <n v="3"/>
    <x v="1"/>
    <n v="3477"/>
    <n v="1"/>
    <n v="4"/>
    <n v="5"/>
    <n v="0"/>
    <x v="2"/>
    <x v="0"/>
    <x v="0"/>
    <n v="3"/>
    <s v="Master"/>
    <s v="Medium"/>
    <x v="2"/>
    <s v="Very High"/>
  </r>
  <r>
    <n v="41"/>
    <x v="1"/>
    <x v="2"/>
    <n v="4"/>
    <n v="3"/>
    <s v="Human Resources"/>
    <n v="3"/>
    <n v="2"/>
    <x v="1"/>
    <n v="6430"/>
    <n v="6"/>
    <n v="3"/>
    <n v="3"/>
    <n v="0"/>
    <x v="0"/>
    <x v="0"/>
    <x v="3"/>
    <n v="2.6666666666666665"/>
    <s v="Bachelor"/>
    <s v="High"/>
    <x v="1"/>
    <s v="High"/>
  </r>
  <r>
    <n v="40"/>
    <x v="1"/>
    <x v="1"/>
    <n v="8"/>
    <n v="2"/>
    <s v="Life Sciences"/>
    <n v="2"/>
    <n v="1"/>
    <x v="1"/>
    <n v="6516"/>
    <n v="2"/>
    <n v="3"/>
    <n v="1"/>
    <n v="0"/>
    <x v="0"/>
    <x v="0"/>
    <x v="2"/>
    <n v="2"/>
    <s v="College"/>
    <s v="Medium"/>
    <x v="3"/>
    <s v="High"/>
  </r>
  <r>
    <n v="24"/>
    <x v="1"/>
    <x v="1"/>
    <n v="29"/>
    <n v="1"/>
    <s v="Medical"/>
    <n v="2"/>
    <n v="1"/>
    <x v="2"/>
    <n v="3907"/>
    <n v="1"/>
    <n v="4"/>
    <n v="6"/>
    <n v="0"/>
    <x v="4"/>
    <x v="0"/>
    <x v="0"/>
    <n v="2.3333333333333335"/>
    <s v="Below College"/>
    <s v="Medium"/>
    <x v="3"/>
    <s v="Very High"/>
  </r>
  <r>
    <n v="46"/>
    <x v="1"/>
    <x v="1"/>
    <n v="13"/>
    <n v="4"/>
    <s v="Life Sciences"/>
    <n v="3"/>
    <n v="2"/>
    <x v="0"/>
    <n v="5562"/>
    <n v="6"/>
    <n v="3"/>
    <n v="10"/>
    <n v="0"/>
    <x v="1"/>
    <x v="0"/>
    <x v="1"/>
    <n v="2.6666666666666665"/>
    <s v="Master"/>
    <s v="High"/>
    <x v="1"/>
    <s v="High"/>
  </r>
  <r>
    <n v="35"/>
    <x v="1"/>
    <x v="1"/>
    <n v="27"/>
    <n v="4"/>
    <s v="Life Sciences"/>
    <n v="4"/>
    <n v="3"/>
    <x v="1"/>
    <n v="6883"/>
    <n v="2"/>
    <n v="3"/>
    <n v="7"/>
    <n v="0"/>
    <x v="0"/>
    <x v="0"/>
    <x v="0"/>
    <n v="3.3333333333333335"/>
    <s v="Master"/>
    <s v="Very High"/>
    <x v="2"/>
    <s v="High"/>
  </r>
  <r>
    <n v="30"/>
    <x v="1"/>
    <x v="1"/>
    <n v="16"/>
    <n v="1"/>
    <s v="Life Sciences"/>
    <n v="2"/>
    <n v="4"/>
    <x v="1"/>
    <n v="2862"/>
    <n v="1"/>
    <n v="2"/>
    <n v="10"/>
    <n v="0"/>
    <x v="2"/>
    <x v="1"/>
    <x v="1"/>
    <n v="2.6666666666666665"/>
    <s v="Below College"/>
    <s v="Medium"/>
    <x v="0"/>
    <s v="Medium"/>
  </r>
  <r>
    <n v="47"/>
    <x v="1"/>
    <x v="0"/>
    <n v="2"/>
    <n v="4"/>
    <s v="Marketing"/>
    <n v="3"/>
    <n v="2"/>
    <x v="1"/>
    <n v="4978"/>
    <n v="7"/>
    <n v="1"/>
    <n v="1"/>
    <n v="0"/>
    <x v="1"/>
    <x v="0"/>
    <x v="2"/>
    <n v="2"/>
    <s v="Master"/>
    <s v="High"/>
    <x v="1"/>
    <s v="Low"/>
  </r>
  <r>
    <n v="46"/>
    <x v="1"/>
    <x v="0"/>
    <n v="2"/>
    <n v="3"/>
    <s v="Life Sciences"/>
    <n v="3"/>
    <n v="4"/>
    <x v="2"/>
    <n v="10368"/>
    <n v="4"/>
    <n v="2"/>
    <n v="10"/>
    <n v="0"/>
    <x v="1"/>
    <x v="2"/>
    <x v="1"/>
    <n v="3"/>
    <s v="Bachelor"/>
    <s v="High"/>
    <x v="0"/>
    <s v="Medium"/>
  </r>
  <r>
    <n v="36"/>
    <x v="0"/>
    <x v="0"/>
    <n v="13"/>
    <n v="5"/>
    <s v="Marketing"/>
    <n v="2"/>
    <n v="1"/>
    <x v="2"/>
    <n v="6134"/>
    <n v="5"/>
    <n v="3"/>
    <n v="2"/>
    <n v="1"/>
    <x v="0"/>
    <x v="0"/>
    <x v="3"/>
    <n v="2"/>
    <s v="Doctor"/>
    <s v="Medium"/>
    <x v="3"/>
    <s v="High"/>
  </r>
  <r>
    <n v="32"/>
    <x v="0"/>
    <x v="0"/>
    <n v="1"/>
    <n v="2"/>
    <s v="Life Sciences"/>
    <n v="1"/>
    <n v="2"/>
    <x v="0"/>
    <n v="6735"/>
    <n v="6"/>
    <n v="3"/>
    <n v="0"/>
    <n v="1"/>
    <x v="2"/>
    <x v="0"/>
    <x v="2"/>
    <n v="2"/>
    <s v="College"/>
    <s v="Low"/>
    <x v="1"/>
    <s v="High"/>
  </r>
  <r>
    <n v="23"/>
    <x v="1"/>
    <x v="1"/>
    <n v="4"/>
    <n v="1"/>
    <s v="Medical"/>
    <n v="3"/>
    <n v="2"/>
    <x v="0"/>
    <n v="3295"/>
    <n v="1"/>
    <n v="1"/>
    <n v="3"/>
    <n v="0"/>
    <x v="4"/>
    <x v="0"/>
    <x v="3"/>
    <n v="2"/>
    <s v="Below College"/>
    <s v="High"/>
    <x v="1"/>
    <s v="Low"/>
  </r>
  <r>
    <n v="31"/>
    <x v="1"/>
    <x v="1"/>
    <n v="24"/>
    <n v="1"/>
    <s v="Technical Degree"/>
    <n v="4"/>
    <n v="4"/>
    <x v="0"/>
    <n v="5238"/>
    <n v="2"/>
    <n v="2"/>
    <n v="5"/>
    <n v="0"/>
    <x v="2"/>
    <x v="0"/>
    <x v="0"/>
    <n v="3.3333333333333335"/>
    <s v="Below College"/>
    <s v="Very High"/>
    <x v="0"/>
    <s v="Medium"/>
  </r>
  <r>
    <n v="39"/>
    <x v="1"/>
    <x v="1"/>
    <n v="1"/>
    <n v="3"/>
    <s v="Life Sciences"/>
    <n v="4"/>
    <n v="4"/>
    <x v="1"/>
    <n v="6472"/>
    <n v="1"/>
    <n v="3"/>
    <n v="9"/>
    <n v="0"/>
    <x v="0"/>
    <x v="0"/>
    <x v="0"/>
    <n v="3.6666666666666665"/>
    <s v="Bachelor"/>
    <s v="Very High"/>
    <x v="0"/>
    <s v="High"/>
  </r>
  <r>
    <n v="32"/>
    <x v="1"/>
    <x v="0"/>
    <n v="19"/>
    <n v="3"/>
    <s v="Life Sciences"/>
    <n v="4"/>
    <n v="3"/>
    <x v="1"/>
    <n v="9610"/>
    <n v="3"/>
    <n v="1"/>
    <n v="4"/>
    <n v="0"/>
    <x v="2"/>
    <x v="2"/>
    <x v="3"/>
    <n v="2.6666666666666665"/>
    <s v="Bachelor"/>
    <s v="Very High"/>
    <x v="2"/>
    <s v="Low"/>
  </r>
  <r>
    <n v="40"/>
    <x v="1"/>
    <x v="0"/>
    <n v="7"/>
    <n v="4"/>
    <s v="Medical"/>
    <n v="2"/>
    <n v="2"/>
    <x v="0"/>
    <n v="19833"/>
    <n v="1"/>
    <n v="2"/>
    <n v="21"/>
    <n v="0"/>
    <x v="0"/>
    <x v="2"/>
    <x v="1"/>
    <n v="2"/>
    <s v="Master"/>
    <s v="Medium"/>
    <x v="1"/>
    <s v="Medium"/>
  </r>
  <r>
    <n v="45"/>
    <x v="1"/>
    <x v="2"/>
    <n v="4"/>
    <n v="3"/>
    <s v="Life Sciences"/>
    <n v="3"/>
    <n v="3"/>
    <x v="1"/>
    <n v="9756"/>
    <n v="4"/>
    <n v="4"/>
    <n v="5"/>
    <n v="0"/>
    <x v="1"/>
    <x v="2"/>
    <x v="0"/>
    <n v="3.3333333333333335"/>
    <s v="Bachelor"/>
    <s v="High"/>
    <x v="2"/>
    <s v="Very High"/>
  </r>
  <r>
    <n v="30"/>
    <x v="1"/>
    <x v="1"/>
    <n v="2"/>
    <n v="4"/>
    <s v="Technical Degree"/>
    <n v="4"/>
    <n v="1"/>
    <x v="0"/>
    <n v="4968"/>
    <n v="0"/>
    <n v="3"/>
    <n v="9"/>
    <n v="0"/>
    <x v="2"/>
    <x v="0"/>
    <x v="0"/>
    <n v="2.6666666666666665"/>
    <s v="Master"/>
    <s v="Very High"/>
    <x v="3"/>
    <s v="High"/>
  </r>
  <r>
    <n v="24"/>
    <x v="1"/>
    <x v="2"/>
    <n v="10"/>
    <n v="3"/>
    <s v="Medical"/>
    <n v="1"/>
    <n v="4"/>
    <x v="1"/>
    <n v="2145"/>
    <n v="0"/>
    <n v="3"/>
    <n v="2"/>
    <n v="0"/>
    <x v="4"/>
    <x v="1"/>
    <x v="3"/>
    <n v="2.6666666666666665"/>
    <s v="Bachelor"/>
    <s v="Low"/>
    <x v="0"/>
    <s v="High"/>
  </r>
  <r>
    <n v="30"/>
    <x v="0"/>
    <x v="2"/>
    <n v="8"/>
    <n v="3"/>
    <s v="Human Resources"/>
    <n v="3"/>
    <n v="4"/>
    <x v="2"/>
    <n v="2180"/>
    <n v="6"/>
    <n v="2"/>
    <n v="4"/>
    <n v="1"/>
    <x v="2"/>
    <x v="1"/>
    <x v="3"/>
    <n v="3"/>
    <s v="Bachelor"/>
    <s v="High"/>
    <x v="0"/>
    <s v="Medium"/>
  </r>
  <r>
    <n v="31"/>
    <x v="1"/>
    <x v="0"/>
    <n v="5"/>
    <n v="3"/>
    <s v="Technical Degree"/>
    <n v="1"/>
    <n v="3"/>
    <x v="1"/>
    <n v="8346"/>
    <n v="1"/>
    <n v="3"/>
    <n v="5"/>
    <n v="0"/>
    <x v="2"/>
    <x v="2"/>
    <x v="0"/>
    <n v="2.3333333333333335"/>
    <s v="Bachelor"/>
    <s v="Low"/>
    <x v="2"/>
    <s v="High"/>
  </r>
  <r>
    <n v="27"/>
    <x v="1"/>
    <x v="1"/>
    <n v="8"/>
    <n v="3"/>
    <s v="Medical"/>
    <n v="3"/>
    <n v="4"/>
    <x v="0"/>
    <n v="3445"/>
    <n v="1"/>
    <n v="2"/>
    <n v="6"/>
    <n v="0"/>
    <x v="2"/>
    <x v="0"/>
    <x v="0"/>
    <n v="3"/>
    <s v="Bachelor"/>
    <s v="High"/>
    <x v="0"/>
    <s v="Medium"/>
  </r>
  <r>
    <n v="29"/>
    <x v="0"/>
    <x v="0"/>
    <n v="9"/>
    <n v="3"/>
    <s v="Marketing"/>
    <n v="2"/>
    <n v="2"/>
    <x v="0"/>
    <n v="2760"/>
    <n v="1"/>
    <n v="3"/>
    <n v="2"/>
    <n v="1"/>
    <x v="2"/>
    <x v="1"/>
    <x v="3"/>
    <n v="2.3333333333333335"/>
    <s v="Bachelor"/>
    <s v="Medium"/>
    <x v="1"/>
    <s v="High"/>
  </r>
  <r>
    <n v="29"/>
    <x v="1"/>
    <x v="1"/>
    <n v="1"/>
    <n v="3"/>
    <s v="Life Sciences"/>
    <n v="4"/>
    <n v="3"/>
    <x v="0"/>
    <n v="6294"/>
    <n v="8"/>
    <n v="4"/>
    <n v="3"/>
    <n v="0"/>
    <x v="2"/>
    <x v="0"/>
    <x v="3"/>
    <n v="3.6666666666666665"/>
    <s v="Bachelor"/>
    <s v="Very High"/>
    <x v="2"/>
    <s v="Very High"/>
  </r>
  <r>
    <n v="30"/>
    <x v="1"/>
    <x v="0"/>
    <n v="15"/>
    <n v="2"/>
    <s v="Marketing"/>
    <n v="3"/>
    <n v="1"/>
    <x v="2"/>
    <n v="7140"/>
    <n v="2"/>
    <n v="3"/>
    <n v="7"/>
    <n v="0"/>
    <x v="2"/>
    <x v="2"/>
    <x v="0"/>
    <n v="2.3333333333333335"/>
    <s v="College"/>
    <s v="High"/>
    <x v="3"/>
    <s v="High"/>
  </r>
  <r>
    <n v="34"/>
    <x v="1"/>
    <x v="1"/>
    <n v="2"/>
    <n v="4"/>
    <s v="Medical"/>
    <n v="4"/>
    <n v="4"/>
    <x v="1"/>
    <n v="2932"/>
    <n v="0"/>
    <n v="3"/>
    <n v="5"/>
    <n v="0"/>
    <x v="2"/>
    <x v="1"/>
    <x v="0"/>
    <n v="3.6666666666666665"/>
    <s v="Master"/>
    <s v="Very High"/>
    <x v="0"/>
    <s v="High"/>
  </r>
  <r>
    <n v="33"/>
    <x v="1"/>
    <x v="0"/>
    <n v="2"/>
    <n v="3"/>
    <s v="Marketing"/>
    <n v="4"/>
    <n v="2"/>
    <x v="0"/>
    <n v="5147"/>
    <n v="8"/>
    <n v="2"/>
    <n v="11"/>
    <n v="0"/>
    <x v="2"/>
    <x v="0"/>
    <x v="1"/>
    <n v="2.6666666666666665"/>
    <s v="Bachelor"/>
    <s v="Very High"/>
    <x v="1"/>
    <s v="Medium"/>
  </r>
  <r>
    <n v="49"/>
    <x v="1"/>
    <x v="0"/>
    <n v="11"/>
    <n v="4"/>
    <s v="Marketing"/>
    <n v="4"/>
    <n v="4"/>
    <x v="0"/>
    <n v="4507"/>
    <n v="3"/>
    <n v="4"/>
    <n v="5"/>
    <n v="0"/>
    <x v="1"/>
    <x v="0"/>
    <x v="0"/>
    <n v="4"/>
    <s v="Master"/>
    <s v="Very High"/>
    <x v="0"/>
    <s v="Very High"/>
  </r>
  <r>
    <n v="33"/>
    <x v="0"/>
    <x v="0"/>
    <n v="16"/>
    <n v="3"/>
    <s v="Life Sciences"/>
    <n v="1"/>
    <n v="1"/>
    <x v="0"/>
    <n v="8564"/>
    <n v="2"/>
    <n v="2"/>
    <n v="0"/>
    <n v="1"/>
    <x v="2"/>
    <x v="2"/>
    <x v="2"/>
    <n v="1.3333333333333333"/>
    <s v="Bachelor"/>
    <s v="Low"/>
    <x v="3"/>
    <s v="Medium"/>
  </r>
  <r>
    <n v="38"/>
    <x v="1"/>
    <x v="1"/>
    <n v="2"/>
    <n v="2"/>
    <s v="Medical"/>
    <n v="3"/>
    <n v="2"/>
    <x v="1"/>
    <n v="2468"/>
    <n v="4"/>
    <n v="2"/>
    <n v="6"/>
    <n v="0"/>
    <x v="0"/>
    <x v="1"/>
    <x v="0"/>
    <n v="2.3333333333333335"/>
    <s v="College"/>
    <s v="High"/>
    <x v="1"/>
    <s v="Medium"/>
  </r>
  <r>
    <n v="31"/>
    <x v="0"/>
    <x v="0"/>
    <n v="16"/>
    <n v="4"/>
    <s v="Marketing"/>
    <n v="1"/>
    <n v="3"/>
    <x v="1"/>
    <n v="8161"/>
    <n v="2"/>
    <n v="3"/>
    <n v="1"/>
    <n v="1"/>
    <x v="2"/>
    <x v="2"/>
    <x v="2"/>
    <n v="2.3333333333333335"/>
    <s v="Master"/>
    <s v="Low"/>
    <x v="2"/>
    <s v="High"/>
  </r>
  <r>
    <n v="29"/>
    <x v="1"/>
    <x v="1"/>
    <n v="4"/>
    <n v="3"/>
    <s v="Technical Degree"/>
    <n v="4"/>
    <n v="1"/>
    <x v="2"/>
    <n v="2109"/>
    <n v="1"/>
    <n v="3"/>
    <n v="1"/>
    <n v="0"/>
    <x v="2"/>
    <x v="1"/>
    <x v="2"/>
    <n v="2.6666666666666665"/>
    <s v="Bachelor"/>
    <s v="Very High"/>
    <x v="3"/>
    <s v="High"/>
  </r>
  <r>
    <n v="30"/>
    <x v="1"/>
    <x v="1"/>
    <n v="16"/>
    <n v="3"/>
    <s v="Life Sciences"/>
    <n v="3"/>
    <n v="3"/>
    <x v="1"/>
    <n v="5294"/>
    <n v="3"/>
    <n v="3"/>
    <n v="7"/>
    <n v="0"/>
    <x v="2"/>
    <x v="0"/>
    <x v="0"/>
    <n v="3"/>
    <s v="Bachelor"/>
    <s v="High"/>
    <x v="2"/>
    <s v="High"/>
  </r>
  <r>
    <n v="32"/>
    <x v="1"/>
    <x v="1"/>
    <n v="5"/>
    <n v="4"/>
    <s v="Technical Degree"/>
    <n v="2"/>
    <n v="2"/>
    <x v="0"/>
    <n v="2718"/>
    <n v="2"/>
    <n v="3"/>
    <n v="7"/>
    <n v="0"/>
    <x v="2"/>
    <x v="1"/>
    <x v="0"/>
    <n v="2.3333333333333335"/>
    <s v="Master"/>
    <s v="Medium"/>
    <x v="1"/>
    <s v="High"/>
  </r>
  <r>
    <n v="38"/>
    <x v="1"/>
    <x v="1"/>
    <n v="18"/>
    <n v="3"/>
    <s v="Medical"/>
    <n v="2"/>
    <n v="4"/>
    <x v="1"/>
    <n v="5811"/>
    <n v="3"/>
    <n v="3"/>
    <n v="1"/>
    <n v="0"/>
    <x v="0"/>
    <x v="0"/>
    <x v="2"/>
    <n v="3"/>
    <s v="Bachelor"/>
    <s v="Medium"/>
    <x v="0"/>
    <s v="High"/>
  </r>
  <r>
    <n v="43"/>
    <x v="0"/>
    <x v="1"/>
    <n v="17"/>
    <n v="3"/>
    <s v="Technical Degree"/>
    <n v="3"/>
    <n v="3"/>
    <x v="1"/>
    <n v="2437"/>
    <n v="9"/>
    <n v="3"/>
    <n v="1"/>
    <n v="1"/>
    <x v="0"/>
    <x v="1"/>
    <x v="2"/>
    <n v="3"/>
    <s v="Bachelor"/>
    <s v="High"/>
    <x v="2"/>
    <s v="High"/>
  </r>
  <r>
    <n v="42"/>
    <x v="1"/>
    <x v="1"/>
    <n v="12"/>
    <n v="3"/>
    <s v="Medical"/>
    <n v="2"/>
    <n v="2"/>
    <x v="2"/>
    <n v="2766"/>
    <n v="8"/>
    <n v="2"/>
    <n v="5"/>
    <n v="0"/>
    <x v="0"/>
    <x v="1"/>
    <x v="0"/>
    <n v="2"/>
    <s v="Bachelor"/>
    <s v="Medium"/>
    <x v="1"/>
    <s v="Medium"/>
  </r>
  <r>
    <n v="55"/>
    <x v="1"/>
    <x v="1"/>
    <n v="2"/>
    <n v="3"/>
    <s v="Medical"/>
    <n v="3"/>
    <n v="1"/>
    <x v="1"/>
    <n v="19038"/>
    <n v="8"/>
    <n v="3"/>
    <n v="1"/>
    <n v="0"/>
    <x v="3"/>
    <x v="2"/>
    <x v="2"/>
    <n v="2.3333333333333335"/>
    <s v="Bachelor"/>
    <s v="High"/>
    <x v="3"/>
    <s v="High"/>
  </r>
  <r>
    <n v="33"/>
    <x v="1"/>
    <x v="1"/>
    <n v="4"/>
    <n v="3"/>
    <s v="Technical Degree"/>
    <n v="4"/>
    <n v="2"/>
    <x v="2"/>
    <n v="3055"/>
    <n v="5"/>
    <n v="2"/>
    <n v="9"/>
    <n v="0"/>
    <x v="2"/>
    <x v="0"/>
    <x v="0"/>
    <n v="2.6666666666666665"/>
    <s v="Bachelor"/>
    <s v="Very High"/>
    <x v="1"/>
    <s v="Medium"/>
  </r>
  <r>
    <n v="41"/>
    <x v="1"/>
    <x v="1"/>
    <n v="9"/>
    <n v="4"/>
    <s v="Life Sciences"/>
    <n v="3"/>
    <n v="1"/>
    <x v="2"/>
    <n v="2289"/>
    <n v="1"/>
    <n v="3"/>
    <n v="5"/>
    <n v="0"/>
    <x v="0"/>
    <x v="1"/>
    <x v="0"/>
    <n v="2.3333333333333335"/>
    <s v="Master"/>
    <s v="High"/>
    <x v="3"/>
    <s v="High"/>
  </r>
  <r>
    <n v="34"/>
    <x v="1"/>
    <x v="0"/>
    <n v="10"/>
    <n v="3"/>
    <s v="Life Sciences"/>
    <n v="4"/>
    <n v="3"/>
    <x v="2"/>
    <n v="4001"/>
    <n v="1"/>
    <n v="3"/>
    <n v="15"/>
    <n v="0"/>
    <x v="2"/>
    <x v="0"/>
    <x v="1"/>
    <n v="3.3333333333333335"/>
    <s v="Bachelor"/>
    <s v="Very High"/>
    <x v="2"/>
    <s v="High"/>
  </r>
  <r>
    <n v="53"/>
    <x v="1"/>
    <x v="1"/>
    <n v="1"/>
    <n v="4"/>
    <s v="Medical"/>
    <n v="1"/>
    <n v="3"/>
    <x v="1"/>
    <n v="12965"/>
    <n v="4"/>
    <n v="2"/>
    <n v="3"/>
    <n v="0"/>
    <x v="1"/>
    <x v="2"/>
    <x v="3"/>
    <n v="2"/>
    <s v="Master"/>
    <s v="Low"/>
    <x v="2"/>
    <s v="Medium"/>
  </r>
  <r>
    <n v="43"/>
    <x v="1"/>
    <x v="2"/>
    <n v="2"/>
    <n v="3"/>
    <s v="Life Sciences"/>
    <n v="2"/>
    <n v="4"/>
    <x v="0"/>
    <n v="3539"/>
    <n v="0"/>
    <n v="3"/>
    <n v="9"/>
    <n v="0"/>
    <x v="0"/>
    <x v="0"/>
    <x v="0"/>
    <n v="3"/>
    <s v="Bachelor"/>
    <s v="Medium"/>
    <x v="0"/>
    <s v="High"/>
  </r>
  <r>
    <n v="34"/>
    <x v="1"/>
    <x v="0"/>
    <n v="3"/>
    <n v="2"/>
    <s v="Life Sciences"/>
    <n v="4"/>
    <n v="4"/>
    <x v="0"/>
    <n v="6029"/>
    <n v="5"/>
    <n v="3"/>
    <n v="2"/>
    <n v="0"/>
    <x v="2"/>
    <x v="0"/>
    <x v="3"/>
    <n v="3.6666666666666665"/>
    <s v="College"/>
    <s v="Very High"/>
    <x v="0"/>
    <s v="High"/>
  </r>
  <r>
    <n v="21"/>
    <x v="0"/>
    <x v="0"/>
    <n v="7"/>
    <n v="1"/>
    <s v="Marketing"/>
    <n v="2"/>
    <n v="2"/>
    <x v="0"/>
    <n v="2679"/>
    <n v="1"/>
    <n v="3"/>
    <n v="1"/>
    <n v="1"/>
    <x v="4"/>
    <x v="1"/>
    <x v="2"/>
    <n v="2.3333333333333335"/>
    <s v="Below College"/>
    <s v="Medium"/>
    <x v="1"/>
    <s v="High"/>
  </r>
  <r>
    <n v="38"/>
    <x v="1"/>
    <x v="1"/>
    <n v="6"/>
    <n v="2"/>
    <s v="Other"/>
    <n v="4"/>
    <n v="3"/>
    <x v="1"/>
    <n v="3702"/>
    <n v="1"/>
    <n v="3"/>
    <n v="5"/>
    <n v="0"/>
    <x v="0"/>
    <x v="0"/>
    <x v="0"/>
    <n v="3.3333333333333335"/>
    <s v="College"/>
    <s v="Very High"/>
    <x v="2"/>
    <s v="High"/>
  </r>
  <r>
    <n v="22"/>
    <x v="0"/>
    <x v="1"/>
    <n v="8"/>
    <n v="1"/>
    <s v="Medical"/>
    <n v="3"/>
    <n v="1"/>
    <x v="1"/>
    <n v="2398"/>
    <n v="1"/>
    <n v="3"/>
    <n v="1"/>
    <n v="1"/>
    <x v="4"/>
    <x v="1"/>
    <x v="2"/>
    <n v="2.3333333333333335"/>
    <s v="Below College"/>
    <s v="High"/>
    <x v="3"/>
    <s v="High"/>
  </r>
  <r>
    <n v="31"/>
    <x v="1"/>
    <x v="0"/>
    <n v="29"/>
    <n v="4"/>
    <s v="Marketing"/>
    <n v="1"/>
    <n v="4"/>
    <x v="1"/>
    <n v="5468"/>
    <n v="1"/>
    <n v="3"/>
    <n v="12"/>
    <n v="0"/>
    <x v="2"/>
    <x v="0"/>
    <x v="1"/>
    <n v="2.6666666666666665"/>
    <s v="Master"/>
    <s v="Low"/>
    <x v="0"/>
    <s v="High"/>
  </r>
  <r>
    <n v="51"/>
    <x v="1"/>
    <x v="1"/>
    <n v="3"/>
    <n v="3"/>
    <s v="Technical Degree"/>
    <n v="1"/>
    <n v="3"/>
    <x v="1"/>
    <n v="13116"/>
    <n v="2"/>
    <n v="3"/>
    <n v="2"/>
    <n v="0"/>
    <x v="1"/>
    <x v="2"/>
    <x v="3"/>
    <n v="2.3333333333333335"/>
    <s v="Bachelor"/>
    <s v="Low"/>
    <x v="2"/>
    <s v="High"/>
  </r>
  <r>
    <n v="37"/>
    <x v="1"/>
    <x v="0"/>
    <n v="9"/>
    <n v="2"/>
    <s v="Marketing"/>
    <n v="2"/>
    <n v="2"/>
    <x v="1"/>
    <n v="4189"/>
    <n v="1"/>
    <n v="3"/>
    <n v="5"/>
    <n v="0"/>
    <x v="0"/>
    <x v="0"/>
    <x v="0"/>
    <n v="2.3333333333333335"/>
    <s v="College"/>
    <s v="Medium"/>
    <x v="1"/>
    <s v="High"/>
  </r>
  <r>
    <n v="46"/>
    <x v="1"/>
    <x v="1"/>
    <n v="2"/>
    <n v="4"/>
    <s v="Medical"/>
    <n v="3"/>
    <n v="4"/>
    <x v="2"/>
    <n v="19328"/>
    <n v="7"/>
    <n v="3"/>
    <n v="2"/>
    <n v="0"/>
    <x v="1"/>
    <x v="2"/>
    <x v="3"/>
    <n v="3.3333333333333335"/>
    <s v="Master"/>
    <s v="High"/>
    <x v="0"/>
    <s v="High"/>
  </r>
  <r>
    <n v="36"/>
    <x v="1"/>
    <x v="1"/>
    <n v="10"/>
    <n v="3"/>
    <s v="Life Sciences"/>
    <n v="4"/>
    <n v="1"/>
    <x v="1"/>
    <n v="8321"/>
    <n v="7"/>
    <n v="3"/>
    <n v="12"/>
    <n v="0"/>
    <x v="0"/>
    <x v="2"/>
    <x v="1"/>
    <n v="2.6666666666666665"/>
    <s v="Bachelor"/>
    <s v="Very High"/>
    <x v="3"/>
    <s v="High"/>
  </r>
  <r>
    <n v="44"/>
    <x v="0"/>
    <x v="1"/>
    <n v="1"/>
    <n v="2"/>
    <s v="Medical"/>
    <n v="3"/>
    <n v="2"/>
    <x v="2"/>
    <n v="2342"/>
    <n v="1"/>
    <n v="2"/>
    <n v="5"/>
    <n v="1"/>
    <x v="0"/>
    <x v="1"/>
    <x v="0"/>
    <n v="2.3333333333333335"/>
    <s v="College"/>
    <s v="High"/>
    <x v="1"/>
    <s v="Medium"/>
  </r>
  <r>
    <n v="37"/>
    <x v="1"/>
    <x v="2"/>
    <n v="8"/>
    <n v="2"/>
    <s v="Other"/>
    <n v="3"/>
    <n v="2"/>
    <x v="2"/>
    <n v="4071"/>
    <n v="2"/>
    <n v="2"/>
    <n v="10"/>
    <n v="0"/>
    <x v="0"/>
    <x v="0"/>
    <x v="1"/>
    <n v="2.3333333333333335"/>
    <s v="College"/>
    <s v="High"/>
    <x v="1"/>
    <s v="Medium"/>
  </r>
  <r>
    <n v="35"/>
    <x v="0"/>
    <x v="0"/>
    <n v="27"/>
    <n v="3"/>
    <s v="Life Sciences"/>
    <n v="3"/>
    <n v="4"/>
    <x v="0"/>
    <n v="5813"/>
    <n v="1"/>
    <n v="3"/>
    <n v="10"/>
    <n v="1"/>
    <x v="0"/>
    <x v="0"/>
    <x v="1"/>
    <n v="3.3333333333333335"/>
    <s v="Bachelor"/>
    <s v="High"/>
    <x v="0"/>
    <s v="High"/>
  </r>
  <r>
    <n v="33"/>
    <x v="1"/>
    <x v="1"/>
    <n v="8"/>
    <n v="4"/>
    <s v="Life Sciences"/>
    <n v="4"/>
    <n v="1"/>
    <x v="1"/>
    <n v="3143"/>
    <n v="6"/>
    <n v="3"/>
    <n v="10"/>
    <n v="0"/>
    <x v="2"/>
    <x v="0"/>
    <x v="1"/>
    <n v="2.6666666666666665"/>
    <s v="Master"/>
    <s v="Very High"/>
    <x v="3"/>
    <s v="High"/>
  </r>
  <r>
    <n v="28"/>
    <x v="1"/>
    <x v="1"/>
    <n v="1"/>
    <n v="3"/>
    <s v="Life Sciences"/>
    <n v="3"/>
    <n v="4"/>
    <x v="1"/>
    <n v="2044"/>
    <n v="1"/>
    <n v="4"/>
    <n v="5"/>
    <n v="0"/>
    <x v="2"/>
    <x v="1"/>
    <x v="0"/>
    <n v="3.6666666666666665"/>
    <s v="Bachelor"/>
    <s v="High"/>
    <x v="0"/>
    <s v="Very High"/>
  </r>
  <r>
    <n v="39"/>
    <x v="1"/>
    <x v="1"/>
    <n v="10"/>
    <n v="1"/>
    <s v="Medical"/>
    <n v="3"/>
    <n v="3"/>
    <x v="0"/>
    <n v="13464"/>
    <n v="7"/>
    <n v="3"/>
    <n v="4"/>
    <n v="0"/>
    <x v="0"/>
    <x v="2"/>
    <x v="3"/>
    <n v="3"/>
    <s v="Below College"/>
    <s v="High"/>
    <x v="2"/>
    <s v="High"/>
  </r>
  <r>
    <n v="46"/>
    <x v="1"/>
    <x v="0"/>
    <n v="26"/>
    <n v="2"/>
    <s v="Life Sciences"/>
    <n v="2"/>
    <n v="2"/>
    <x v="0"/>
    <n v="7991"/>
    <n v="8"/>
    <n v="3"/>
    <n v="2"/>
    <n v="0"/>
    <x v="1"/>
    <x v="2"/>
    <x v="3"/>
    <n v="2.3333333333333335"/>
    <s v="College"/>
    <s v="Medium"/>
    <x v="1"/>
    <s v="High"/>
  </r>
  <r>
    <n v="40"/>
    <x v="1"/>
    <x v="1"/>
    <n v="2"/>
    <n v="2"/>
    <s v="Life Sciences"/>
    <n v="3"/>
    <n v="1"/>
    <x v="1"/>
    <n v="3377"/>
    <n v="4"/>
    <n v="2"/>
    <n v="4"/>
    <n v="0"/>
    <x v="0"/>
    <x v="0"/>
    <x v="3"/>
    <n v="2"/>
    <s v="College"/>
    <s v="High"/>
    <x v="3"/>
    <s v="Medium"/>
  </r>
  <r>
    <n v="42"/>
    <x v="1"/>
    <x v="1"/>
    <n v="13"/>
    <n v="3"/>
    <s v="Medical"/>
    <n v="2"/>
    <n v="1"/>
    <x v="1"/>
    <n v="5538"/>
    <n v="5"/>
    <n v="2"/>
    <n v="0"/>
    <n v="0"/>
    <x v="0"/>
    <x v="0"/>
    <x v="2"/>
    <n v="1.6666666666666667"/>
    <s v="Bachelor"/>
    <s v="Medium"/>
    <x v="3"/>
    <s v="Medium"/>
  </r>
  <r>
    <n v="35"/>
    <x v="1"/>
    <x v="1"/>
    <n v="2"/>
    <n v="2"/>
    <s v="Medical"/>
    <n v="2"/>
    <n v="4"/>
    <x v="2"/>
    <n v="5762"/>
    <n v="2"/>
    <n v="3"/>
    <n v="7"/>
    <n v="0"/>
    <x v="0"/>
    <x v="0"/>
    <x v="0"/>
    <n v="3"/>
    <s v="College"/>
    <s v="Medium"/>
    <x v="0"/>
    <s v="High"/>
  </r>
  <r>
    <n v="38"/>
    <x v="1"/>
    <x v="2"/>
    <n v="2"/>
    <n v="3"/>
    <s v="Human Resources"/>
    <n v="1"/>
    <n v="2"/>
    <x v="2"/>
    <n v="2592"/>
    <n v="5"/>
    <n v="3"/>
    <n v="11"/>
    <n v="0"/>
    <x v="0"/>
    <x v="1"/>
    <x v="1"/>
    <n v="2"/>
    <s v="Bachelor"/>
    <s v="Low"/>
    <x v="1"/>
    <s v="High"/>
  </r>
  <r>
    <n v="34"/>
    <x v="0"/>
    <x v="1"/>
    <n v="9"/>
    <n v="4"/>
    <s v="Life Sciences"/>
    <n v="4"/>
    <n v="1"/>
    <x v="1"/>
    <n v="5346"/>
    <n v="4"/>
    <n v="2"/>
    <n v="7"/>
    <n v="1"/>
    <x v="2"/>
    <x v="0"/>
    <x v="0"/>
    <n v="2.3333333333333335"/>
    <s v="Master"/>
    <s v="Very High"/>
    <x v="3"/>
    <s v="Medium"/>
  </r>
  <r>
    <n v="37"/>
    <x v="0"/>
    <x v="1"/>
    <n v="10"/>
    <n v="4"/>
    <s v="Medical"/>
    <n v="4"/>
    <n v="1"/>
    <x v="0"/>
    <n v="4213"/>
    <n v="1"/>
    <n v="1"/>
    <n v="10"/>
    <n v="1"/>
    <x v="0"/>
    <x v="0"/>
    <x v="1"/>
    <n v="2"/>
    <s v="Master"/>
    <s v="Very High"/>
    <x v="3"/>
    <s v="Low"/>
  </r>
  <r>
    <n v="39"/>
    <x v="1"/>
    <x v="0"/>
    <n v="20"/>
    <n v="3"/>
    <s v="Life Sciences"/>
    <n v="3"/>
    <n v="4"/>
    <x v="2"/>
    <n v="4127"/>
    <n v="2"/>
    <n v="3"/>
    <n v="2"/>
    <n v="0"/>
    <x v="0"/>
    <x v="0"/>
    <x v="3"/>
    <n v="3.3333333333333335"/>
    <s v="Bachelor"/>
    <s v="High"/>
    <x v="0"/>
    <s v="High"/>
  </r>
  <r>
    <n v="43"/>
    <x v="1"/>
    <x v="1"/>
    <n v="9"/>
    <n v="3"/>
    <s v="Life Sciences"/>
    <n v="1"/>
    <n v="3"/>
    <x v="0"/>
    <n v="2438"/>
    <n v="4"/>
    <n v="2"/>
    <n v="3"/>
    <n v="0"/>
    <x v="0"/>
    <x v="1"/>
    <x v="3"/>
    <n v="2"/>
    <s v="Bachelor"/>
    <s v="Low"/>
    <x v="2"/>
    <s v="Medium"/>
  </r>
  <r>
    <n v="41"/>
    <x v="1"/>
    <x v="1"/>
    <n v="5"/>
    <n v="3"/>
    <s v="Life Sciences"/>
    <n v="2"/>
    <n v="2"/>
    <x v="0"/>
    <n v="6870"/>
    <n v="3"/>
    <n v="1"/>
    <n v="3"/>
    <n v="0"/>
    <x v="0"/>
    <x v="0"/>
    <x v="3"/>
    <n v="1.6666666666666667"/>
    <s v="Bachelor"/>
    <s v="Medium"/>
    <x v="1"/>
    <s v="Low"/>
  </r>
  <r>
    <n v="41"/>
    <x v="1"/>
    <x v="0"/>
    <n v="4"/>
    <n v="1"/>
    <s v="Marketing"/>
    <n v="3"/>
    <n v="3"/>
    <x v="2"/>
    <n v="10447"/>
    <n v="0"/>
    <n v="4"/>
    <n v="22"/>
    <n v="0"/>
    <x v="0"/>
    <x v="2"/>
    <x v="1"/>
    <n v="3.3333333333333335"/>
    <s v="Below College"/>
    <s v="High"/>
    <x v="2"/>
    <s v="Very High"/>
  </r>
  <r>
    <n v="30"/>
    <x v="1"/>
    <x v="1"/>
    <n v="10"/>
    <n v="3"/>
    <s v="Medical"/>
    <n v="1"/>
    <n v="3"/>
    <x v="0"/>
    <n v="9667"/>
    <n v="9"/>
    <n v="3"/>
    <n v="7"/>
    <n v="0"/>
    <x v="2"/>
    <x v="2"/>
    <x v="0"/>
    <n v="2.3333333333333335"/>
    <s v="Bachelor"/>
    <s v="Low"/>
    <x v="2"/>
    <s v="High"/>
  </r>
  <r>
    <n v="26"/>
    <x v="0"/>
    <x v="2"/>
    <n v="20"/>
    <n v="2"/>
    <s v="Medical"/>
    <n v="4"/>
    <n v="2"/>
    <x v="1"/>
    <n v="2148"/>
    <n v="0"/>
    <n v="3"/>
    <n v="5"/>
    <n v="1"/>
    <x v="2"/>
    <x v="1"/>
    <x v="0"/>
    <n v="3"/>
    <s v="College"/>
    <s v="Very High"/>
    <x v="1"/>
    <s v="High"/>
  </r>
  <r>
    <n v="46"/>
    <x v="0"/>
    <x v="1"/>
    <n v="21"/>
    <n v="2"/>
    <s v="Medical"/>
    <n v="4"/>
    <n v="2"/>
    <x v="1"/>
    <n v="8926"/>
    <n v="4"/>
    <n v="4"/>
    <n v="9"/>
    <n v="1"/>
    <x v="1"/>
    <x v="2"/>
    <x v="0"/>
    <n v="3.3333333333333335"/>
    <s v="College"/>
    <s v="Very High"/>
    <x v="1"/>
    <s v="Very High"/>
  </r>
  <r>
    <n v="40"/>
    <x v="1"/>
    <x v="1"/>
    <n v="1"/>
    <n v="3"/>
    <s v="Life Sciences"/>
    <n v="3"/>
    <n v="4"/>
    <x v="2"/>
    <n v="6513"/>
    <n v="4"/>
    <n v="3"/>
    <n v="5"/>
    <n v="0"/>
    <x v="0"/>
    <x v="0"/>
    <x v="0"/>
    <n v="3.3333333333333335"/>
    <s v="Bachelor"/>
    <s v="High"/>
    <x v="0"/>
    <s v="High"/>
  </r>
  <r>
    <n v="34"/>
    <x v="1"/>
    <x v="0"/>
    <n v="8"/>
    <n v="2"/>
    <s v="Technical Degree"/>
    <n v="2"/>
    <n v="3"/>
    <x v="1"/>
    <n v="6799"/>
    <n v="1"/>
    <n v="3"/>
    <n v="10"/>
    <n v="0"/>
    <x v="2"/>
    <x v="0"/>
    <x v="1"/>
    <n v="2.6666666666666665"/>
    <s v="College"/>
    <s v="Medium"/>
    <x v="2"/>
    <s v="High"/>
  </r>
  <r>
    <n v="58"/>
    <x v="1"/>
    <x v="0"/>
    <n v="2"/>
    <n v="3"/>
    <s v="Medical"/>
    <n v="2"/>
    <n v="2"/>
    <x v="2"/>
    <n v="16291"/>
    <n v="4"/>
    <n v="2"/>
    <n v="16"/>
    <n v="0"/>
    <x v="3"/>
    <x v="2"/>
    <x v="1"/>
    <n v="2"/>
    <s v="Bachelor"/>
    <s v="Medium"/>
    <x v="1"/>
    <s v="Medium"/>
  </r>
  <r>
    <n v="35"/>
    <x v="1"/>
    <x v="1"/>
    <n v="23"/>
    <n v="4"/>
    <s v="Medical"/>
    <n v="2"/>
    <n v="3"/>
    <x v="1"/>
    <n v="2705"/>
    <n v="0"/>
    <n v="4"/>
    <n v="5"/>
    <n v="0"/>
    <x v="0"/>
    <x v="1"/>
    <x v="0"/>
    <n v="3"/>
    <s v="Master"/>
    <s v="Medium"/>
    <x v="2"/>
    <s v="Very High"/>
  </r>
  <r>
    <n v="47"/>
    <x v="1"/>
    <x v="1"/>
    <n v="4"/>
    <n v="3"/>
    <s v="Life Sciences"/>
    <n v="3"/>
    <n v="2"/>
    <x v="2"/>
    <n v="10333"/>
    <n v="8"/>
    <n v="3"/>
    <n v="22"/>
    <n v="0"/>
    <x v="1"/>
    <x v="2"/>
    <x v="1"/>
    <n v="2.6666666666666665"/>
    <s v="Bachelor"/>
    <s v="High"/>
    <x v="1"/>
    <s v="High"/>
  </r>
  <r>
    <n v="40"/>
    <x v="1"/>
    <x v="1"/>
    <n v="12"/>
    <n v="3"/>
    <s v="Life Sciences"/>
    <n v="2"/>
    <n v="1"/>
    <x v="2"/>
    <n v="4448"/>
    <n v="2"/>
    <n v="3"/>
    <n v="7"/>
    <n v="0"/>
    <x v="0"/>
    <x v="0"/>
    <x v="0"/>
    <n v="2"/>
    <s v="Bachelor"/>
    <s v="Medium"/>
    <x v="3"/>
    <s v="High"/>
  </r>
  <r>
    <n v="54"/>
    <x v="1"/>
    <x v="1"/>
    <n v="7"/>
    <n v="4"/>
    <s v="Medical"/>
    <n v="4"/>
    <n v="4"/>
    <x v="1"/>
    <n v="6854"/>
    <n v="4"/>
    <n v="2"/>
    <n v="7"/>
    <n v="0"/>
    <x v="1"/>
    <x v="0"/>
    <x v="0"/>
    <n v="3.3333333333333335"/>
    <s v="Master"/>
    <s v="Very High"/>
    <x v="0"/>
    <s v="Medium"/>
  </r>
  <r>
    <n v="31"/>
    <x v="1"/>
    <x v="0"/>
    <n v="7"/>
    <n v="4"/>
    <s v="Marketing"/>
    <n v="1"/>
    <n v="1"/>
    <x v="1"/>
    <n v="9637"/>
    <n v="2"/>
    <n v="3"/>
    <n v="3"/>
    <n v="0"/>
    <x v="2"/>
    <x v="2"/>
    <x v="3"/>
    <n v="1.6666666666666667"/>
    <s v="Master"/>
    <s v="Low"/>
    <x v="3"/>
    <s v="High"/>
  </r>
  <r>
    <n v="28"/>
    <x v="1"/>
    <x v="1"/>
    <n v="1"/>
    <n v="3"/>
    <s v="Medical"/>
    <n v="3"/>
    <n v="1"/>
    <x v="1"/>
    <n v="3591"/>
    <n v="1"/>
    <n v="3"/>
    <n v="3"/>
    <n v="0"/>
    <x v="2"/>
    <x v="0"/>
    <x v="3"/>
    <n v="2.3333333333333335"/>
    <s v="Bachelor"/>
    <s v="High"/>
    <x v="3"/>
    <s v="High"/>
  </r>
  <r>
    <n v="38"/>
    <x v="1"/>
    <x v="0"/>
    <n v="2"/>
    <n v="4"/>
    <s v="Marketing"/>
    <n v="2"/>
    <n v="4"/>
    <x v="1"/>
    <n v="5405"/>
    <n v="2"/>
    <n v="2"/>
    <n v="4"/>
    <n v="0"/>
    <x v="0"/>
    <x v="0"/>
    <x v="3"/>
    <n v="2.6666666666666665"/>
    <s v="Master"/>
    <s v="Medium"/>
    <x v="0"/>
    <s v="Medium"/>
  </r>
  <r>
    <n v="26"/>
    <x v="1"/>
    <x v="0"/>
    <n v="10"/>
    <n v="3"/>
    <s v="Medical"/>
    <n v="3"/>
    <n v="4"/>
    <x v="0"/>
    <n v="4684"/>
    <n v="1"/>
    <n v="3"/>
    <n v="5"/>
    <n v="0"/>
    <x v="2"/>
    <x v="0"/>
    <x v="0"/>
    <n v="3.3333333333333335"/>
    <s v="Bachelor"/>
    <s v="High"/>
    <x v="0"/>
    <s v="High"/>
  </r>
  <r>
    <n v="58"/>
    <x v="1"/>
    <x v="1"/>
    <n v="15"/>
    <n v="4"/>
    <s v="Life Sciences"/>
    <n v="1"/>
    <n v="3"/>
    <x v="1"/>
    <n v="15787"/>
    <n v="2"/>
    <n v="3"/>
    <n v="2"/>
    <n v="0"/>
    <x v="3"/>
    <x v="2"/>
    <x v="3"/>
    <n v="2.3333333333333335"/>
    <s v="Master"/>
    <s v="Low"/>
    <x v="2"/>
    <s v="High"/>
  </r>
  <r>
    <n v="18"/>
    <x v="1"/>
    <x v="1"/>
    <n v="14"/>
    <n v="3"/>
    <s v="Medical"/>
    <n v="2"/>
    <n v="3"/>
    <x v="0"/>
    <n v="1514"/>
    <n v="1"/>
    <n v="1"/>
    <n v="0"/>
    <n v="0"/>
    <x v="4"/>
    <x v="1"/>
    <x v="2"/>
    <n v="2"/>
    <s v="Bachelor"/>
    <s v="Medium"/>
    <x v="2"/>
    <s v="Low"/>
  </r>
  <r>
    <n v="31"/>
    <x v="0"/>
    <x v="2"/>
    <n v="18"/>
    <n v="5"/>
    <s v="Human Resources"/>
    <n v="4"/>
    <n v="1"/>
    <x v="1"/>
    <n v="2956"/>
    <n v="0"/>
    <n v="3"/>
    <n v="1"/>
    <n v="1"/>
    <x v="2"/>
    <x v="1"/>
    <x v="2"/>
    <n v="2.6666666666666665"/>
    <s v="Doctor"/>
    <s v="Very High"/>
    <x v="3"/>
    <s v="High"/>
  </r>
  <r>
    <n v="29"/>
    <x v="0"/>
    <x v="2"/>
    <n v="13"/>
    <n v="3"/>
    <s v="Human Resources"/>
    <n v="1"/>
    <n v="1"/>
    <x v="2"/>
    <n v="2335"/>
    <n v="4"/>
    <n v="3"/>
    <n v="2"/>
    <n v="1"/>
    <x v="2"/>
    <x v="1"/>
    <x v="3"/>
    <n v="1.6666666666666667"/>
    <s v="Bachelor"/>
    <s v="Low"/>
    <x v="3"/>
    <s v="High"/>
  </r>
  <r>
    <n v="45"/>
    <x v="1"/>
    <x v="0"/>
    <n v="2"/>
    <n v="4"/>
    <s v="Life Sciences"/>
    <n v="3"/>
    <n v="3"/>
    <x v="1"/>
    <n v="5154"/>
    <n v="4"/>
    <n v="4"/>
    <n v="8"/>
    <n v="0"/>
    <x v="1"/>
    <x v="0"/>
    <x v="0"/>
    <n v="3.3333333333333335"/>
    <s v="Master"/>
    <s v="High"/>
    <x v="2"/>
    <s v="Very High"/>
  </r>
  <r>
    <n v="36"/>
    <x v="1"/>
    <x v="1"/>
    <n v="2"/>
    <n v="4"/>
    <s v="Other"/>
    <n v="4"/>
    <n v="2"/>
    <x v="1"/>
    <n v="6962"/>
    <n v="4"/>
    <n v="3"/>
    <n v="1"/>
    <n v="0"/>
    <x v="0"/>
    <x v="0"/>
    <x v="2"/>
    <n v="3"/>
    <s v="Master"/>
    <s v="Very High"/>
    <x v="1"/>
    <s v="High"/>
  </r>
  <r>
    <n v="43"/>
    <x v="1"/>
    <x v="0"/>
    <n v="2"/>
    <n v="4"/>
    <s v="Life Sciences"/>
    <n v="1"/>
    <n v="4"/>
    <x v="1"/>
    <n v="5675"/>
    <n v="1"/>
    <n v="3"/>
    <n v="7"/>
    <n v="0"/>
    <x v="0"/>
    <x v="0"/>
    <x v="0"/>
    <n v="2.6666666666666665"/>
    <s v="Master"/>
    <s v="Low"/>
    <x v="0"/>
    <s v="High"/>
  </r>
  <r>
    <n v="27"/>
    <x v="1"/>
    <x v="1"/>
    <n v="5"/>
    <n v="2"/>
    <s v="Life Sciences"/>
    <n v="4"/>
    <n v="4"/>
    <x v="0"/>
    <n v="2379"/>
    <n v="0"/>
    <n v="2"/>
    <n v="5"/>
    <n v="0"/>
    <x v="2"/>
    <x v="1"/>
    <x v="0"/>
    <n v="3.3333333333333335"/>
    <s v="College"/>
    <s v="Very High"/>
    <x v="0"/>
    <s v="Medium"/>
  </r>
  <r>
    <n v="29"/>
    <x v="1"/>
    <x v="1"/>
    <n v="20"/>
    <n v="1"/>
    <s v="Medical"/>
    <n v="4"/>
    <n v="4"/>
    <x v="1"/>
    <n v="3812"/>
    <n v="1"/>
    <n v="4"/>
    <n v="11"/>
    <n v="0"/>
    <x v="2"/>
    <x v="0"/>
    <x v="1"/>
    <n v="4"/>
    <s v="Below College"/>
    <s v="Very High"/>
    <x v="0"/>
    <s v="Very High"/>
  </r>
  <r>
    <n v="32"/>
    <x v="1"/>
    <x v="0"/>
    <n v="10"/>
    <n v="4"/>
    <s v="Marketing"/>
    <n v="4"/>
    <n v="4"/>
    <x v="0"/>
    <n v="4648"/>
    <n v="8"/>
    <n v="4"/>
    <n v="0"/>
    <n v="0"/>
    <x v="2"/>
    <x v="0"/>
    <x v="2"/>
    <n v="4"/>
    <s v="Master"/>
    <s v="Very High"/>
    <x v="0"/>
    <s v="Very High"/>
  </r>
  <r>
    <n v="42"/>
    <x v="1"/>
    <x v="1"/>
    <n v="10"/>
    <n v="4"/>
    <s v="Technical Degree"/>
    <n v="3"/>
    <n v="3"/>
    <x v="1"/>
    <n v="2936"/>
    <n v="3"/>
    <n v="2"/>
    <n v="6"/>
    <n v="0"/>
    <x v="0"/>
    <x v="1"/>
    <x v="0"/>
    <n v="2.6666666666666665"/>
    <s v="Master"/>
    <s v="High"/>
    <x v="2"/>
    <s v="Medium"/>
  </r>
  <r>
    <n v="47"/>
    <x v="1"/>
    <x v="1"/>
    <n v="9"/>
    <n v="4"/>
    <s v="Life Sciences"/>
    <n v="2"/>
    <n v="3"/>
    <x v="0"/>
    <n v="2105"/>
    <n v="4"/>
    <n v="3"/>
    <n v="2"/>
    <n v="0"/>
    <x v="1"/>
    <x v="1"/>
    <x v="3"/>
    <n v="2.6666666666666665"/>
    <s v="Master"/>
    <s v="Medium"/>
    <x v="2"/>
    <s v="High"/>
  </r>
  <r>
    <n v="46"/>
    <x v="1"/>
    <x v="1"/>
    <n v="2"/>
    <n v="2"/>
    <s v="Life Sciences"/>
    <n v="4"/>
    <n v="4"/>
    <x v="2"/>
    <n v="8578"/>
    <n v="3"/>
    <n v="2"/>
    <n v="9"/>
    <n v="0"/>
    <x v="1"/>
    <x v="2"/>
    <x v="0"/>
    <n v="3.3333333333333335"/>
    <s v="College"/>
    <s v="Very High"/>
    <x v="0"/>
    <s v="Medium"/>
  </r>
  <r>
    <n v="28"/>
    <x v="1"/>
    <x v="2"/>
    <n v="1"/>
    <n v="2"/>
    <s v="Life Sciences"/>
    <n v="3"/>
    <n v="4"/>
    <x v="2"/>
    <n v="2706"/>
    <n v="1"/>
    <n v="3"/>
    <n v="3"/>
    <n v="0"/>
    <x v="2"/>
    <x v="1"/>
    <x v="3"/>
    <n v="3.3333333333333335"/>
    <s v="College"/>
    <s v="High"/>
    <x v="0"/>
    <s v="High"/>
  </r>
  <r>
    <n v="29"/>
    <x v="1"/>
    <x v="1"/>
    <n v="29"/>
    <n v="1"/>
    <s v="Life Sciences"/>
    <n v="4"/>
    <n v="3"/>
    <x v="2"/>
    <n v="6384"/>
    <n v="8"/>
    <n v="3"/>
    <n v="7"/>
    <n v="0"/>
    <x v="2"/>
    <x v="0"/>
    <x v="0"/>
    <n v="3.3333333333333335"/>
    <s v="Below College"/>
    <s v="Very High"/>
    <x v="2"/>
    <s v="High"/>
  </r>
  <r>
    <n v="42"/>
    <x v="1"/>
    <x v="1"/>
    <n v="8"/>
    <n v="3"/>
    <s v="Life Sciences"/>
    <n v="4"/>
    <n v="3"/>
    <x v="0"/>
    <n v="3968"/>
    <n v="4"/>
    <n v="3"/>
    <n v="0"/>
    <n v="0"/>
    <x v="0"/>
    <x v="0"/>
    <x v="2"/>
    <n v="3.3333333333333335"/>
    <s v="Bachelor"/>
    <s v="Very High"/>
    <x v="2"/>
    <s v="High"/>
  </r>
  <r>
    <n v="32"/>
    <x v="0"/>
    <x v="0"/>
    <n v="2"/>
    <n v="4"/>
    <s v="Marketing"/>
    <n v="3"/>
    <n v="2"/>
    <x v="0"/>
    <n v="9907"/>
    <n v="7"/>
    <n v="2"/>
    <n v="2"/>
    <n v="1"/>
    <x v="2"/>
    <x v="2"/>
    <x v="3"/>
    <n v="2.3333333333333335"/>
    <s v="Master"/>
    <s v="High"/>
    <x v="1"/>
    <s v="Medium"/>
  </r>
  <r>
    <n v="46"/>
    <x v="1"/>
    <x v="0"/>
    <n v="3"/>
    <n v="3"/>
    <s v="Technical Degree"/>
    <n v="1"/>
    <n v="1"/>
    <x v="2"/>
    <n v="13225"/>
    <n v="2"/>
    <n v="3"/>
    <n v="19"/>
    <n v="0"/>
    <x v="1"/>
    <x v="2"/>
    <x v="1"/>
    <n v="1.6666666666666667"/>
    <s v="Bachelor"/>
    <s v="Low"/>
    <x v="3"/>
    <s v="High"/>
  </r>
  <r>
    <n v="27"/>
    <x v="1"/>
    <x v="0"/>
    <n v="23"/>
    <n v="1"/>
    <s v="Medical"/>
    <n v="2"/>
    <n v="3"/>
    <x v="1"/>
    <n v="3540"/>
    <n v="1"/>
    <n v="3"/>
    <n v="9"/>
    <n v="0"/>
    <x v="2"/>
    <x v="0"/>
    <x v="0"/>
    <n v="2.6666666666666665"/>
    <s v="Below College"/>
    <s v="Medium"/>
    <x v="2"/>
    <s v="High"/>
  </r>
  <r>
    <n v="29"/>
    <x v="1"/>
    <x v="2"/>
    <n v="6"/>
    <n v="1"/>
    <s v="Medical"/>
    <n v="4"/>
    <n v="2"/>
    <x v="1"/>
    <n v="2804"/>
    <n v="1"/>
    <n v="3"/>
    <n v="1"/>
    <n v="0"/>
    <x v="2"/>
    <x v="1"/>
    <x v="2"/>
    <n v="3"/>
    <s v="Below College"/>
    <s v="Very High"/>
    <x v="1"/>
    <s v="High"/>
  </r>
  <r>
    <n v="43"/>
    <x v="1"/>
    <x v="1"/>
    <n v="6"/>
    <n v="3"/>
    <s v="Medical"/>
    <n v="1"/>
    <n v="3"/>
    <x v="1"/>
    <n v="19392"/>
    <n v="7"/>
    <n v="3"/>
    <n v="16"/>
    <n v="0"/>
    <x v="0"/>
    <x v="2"/>
    <x v="1"/>
    <n v="2.3333333333333335"/>
    <s v="Bachelor"/>
    <s v="Low"/>
    <x v="2"/>
    <s v="High"/>
  </r>
  <r>
    <n v="48"/>
    <x v="1"/>
    <x v="1"/>
    <n v="10"/>
    <n v="3"/>
    <s v="Life Sciences"/>
    <n v="4"/>
    <n v="2"/>
    <x v="1"/>
    <n v="19665"/>
    <n v="4"/>
    <n v="3"/>
    <n v="22"/>
    <n v="0"/>
    <x v="1"/>
    <x v="2"/>
    <x v="1"/>
    <n v="3"/>
    <s v="Bachelor"/>
    <s v="Very High"/>
    <x v="1"/>
    <s v="High"/>
  </r>
  <r>
    <n v="29"/>
    <x v="0"/>
    <x v="1"/>
    <n v="24"/>
    <n v="2"/>
    <s v="Life Sciences"/>
    <n v="4"/>
    <n v="4"/>
    <x v="0"/>
    <n v="2439"/>
    <n v="1"/>
    <n v="2"/>
    <n v="1"/>
    <n v="1"/>
    <x v="2"/>
    <x v="1"/>
    <x v="2"/>
    <n v="3.3333333333333335"/>
    <s v="College"/>
    <s v="Very High"/>
    <x v="0"/>
    <s v="Medium"/>
  </r>
  <r>
    <n v="46"/>
    <x v="0"/>
    <x v="0"/>
    <n v="10"/>
    <n v="3"/>
    <s v="Life Sciences"/>
    <n v="3"/>
    <n v="2"/>
    <x v="1"/>
    <n v="7314"/>
    <n v="5"/>
    <n v="3"/>
    <n v="8"/>
    <n v="1"/>
    <x v="1"/>
    <x v="2"/>
    <x v="0"/>
    <n v="2.6666666666666665"/>
    <s v="Bachelor"/>
    <s v="High"/>
    <x v="1"/>
    <s v="High"/>
  </r>
  <r>
    <n v="27"/>
    <x v="1"/>
    <x v="1"/>
    <n v="15"/>
    <n v="3"/>
    <s v="Life Sciences"/>
    <n v="4"/>
    <n v="1"/>
    <x v="1"/>
    <n v="4774"/>
    <n v="0"/>
    <n v="2"/>
    <n v="7"/>
    <n v="0"/>
    <x v="2"/>
    <x v="0"/>
    <x v="0"/>
    <n v="2.3333333333333335"/>
    <s v="Bachelor"/>
    <s v="Very High"/>
    <x v="3"/>
    <s v="Medium"/>
  </r>
  <r>
    <n v="39"/>
    <x v="1"/>
    <x v="1"/>
    <n v="19"/>
    <n v="4"/>
    <s v="Other"/>
    <n v="4"/>
    <n v="4"/>
    <x v="2"/>
    <n v="3902"/>
    <n v="8"/>
    <n v="3"/>
    <n v="2"/>
    <n v="0"/>
    <x v="0"/>
    <x v="0"/>
    <x v="3"/>
    <n v="3.6666666666666665"/>
    <s v="Master"/>
    <s v="Very High"/>
    <x v="0"/>
    <s v="High"/>
  </r>
  <r>
    <n v="55"/>
    <x v="1"/>
    <x v="1"/>
    <n v="2"/>
    <n v="4"/>
    <s v="Technical Degree"/>
    <n v="2"/>
    <n v="4"/>
    <x v="1"/>
    <n v="2662"/>
    <n v="8"/>
    <n v="4"/>
    <n v="5"/>
    <n v="0"/>
    <x v="3"/>
    <x v="1"/>
    <x v="0"/>
    <n v="3.3333333333333335"/>
    <s v="Master"/>
    <s v="Medium"/>
    <x v="0"/>
    <s v="Very High"/>
  </r>
  <r>
    <n v="28"/>
    <x v="1"/>
    <x v="0"/>
    <n v="3"/>
    <n v="3"/>
    <s v="Medical"/>
    <n v="2"/>
    <n v="2"/>
    <x v="1"/>
    <n v="2856"/>
    <n v="1"/>
    <n v="3"/>
    <n v="1"/>
    <n v="0"/>
    <x v="2"/>
    <x v="1"/>
    <x v="2"/>
    <n v="2.3333333333333335"/>
    <s v="Bachelor"/>
    <s v="Medium"/>
    <x v="1"/>
    <s v="High"/>
  </r>
  <r>
    <n v="30"/>
    <x v="0"/>
    <x v="0"/>
    <n v="9"/>
    <n v="3"/>
    <s v="Medical"/>
    <n v="2"/>
    <n v="4"/>
    <x v="0"/>
    <n v="1081"/>
    <n v="1"/>
    <n v="2"/>
    <n v="1"/>
    <n v="1"/>
    <x v="2"/>
    <x v="1"/>
    <x v="2"/>
    <n v="2.6666666666666665"/>
    <s v="Bachelor"/>
    <s v="Medium"/>
    <x v="0"/>
    <s v="Medium"/>
  </r>
  <r>
    <n v="22"/>
    <x v="0"/>
    <x v="1"/>
    <n v="7"/>
    <n v="1"/>
    <s v="Life Sciences"/>
    <n v="4"/>
    <n v="2"/>
    <x v="0"/>
    <n v="2472"/>
    <n v="1"/>
    <n v="3"/>
    <n v="1"/>
    <n v="1"/>
    <x v="4"/>
    <x v="1"/>
    <x v="2"/>
    <n v="3"/>
    <s v="Below College"/>
    <s v="Very High"/>
    <x v="1"/>
    <s v="High"/>
  </r>
  <r>
    <n v="36"/>
    <x v="1"/>
    <x v="0"/>
    <n v="10"/>
    <n v="4"/>
    <s v="Technical Degree"/>
    <n v="2"/>
    <n v="3"/>
    <x v="1"/>
    <n v="5673"/>
    <n v="1"/>
    <n v="3"/>
    <n v="10"/>
    <n v="0"/>
    <x v="0"/>
    <x v="0"/>
    <x v="1"/>
    <n v="2.6666666666666665"/>
    <s v="Master"/>
    <s v="Medium"/>
    <x v="2"/>
    <s v="High"/>
  </r>
  <r>
    <n v="31"/>
    <x v="1"/>
    <x v="1"/>
    <n v="20"/>
    <n v="3"/>
    <s v="Life Sciences"/>
    <n v="2"/>
    <n v="3"/>
    <x v="2"/>
    <n v="4197"/>
    <n v="1"/>
    <n v="3"/>
    <n v="10"/>
    <n v="0"/>
    <x v="2"/>
    <x v="0"/>
    <x v="1"/>
    <n v="2.6666666666666665"/>
    <s v="Bachelor"/>
    <s v="Medium"/>
    <x v="2"/>
    <s v="High"/>
  </r>
  <r>
    <n v="34"/>
    <x v="1"/>
    <x v="0"/>
    <n v="4"/>
    <n v="3"/>
    <s v="Life Sciences"/>
    <n v="3"/>
    <n v="4"/>
    <x v="1"/>
    <n v="9713"/>
    <n v="2"/>
    <n v="3"/>
    <n v="5"/>
    <n v="0"/>
    <x v="2"/>
    <x v="2"/>
    <x v="0"/>
    <n v="3.3333333333333335"/>
    <s v="Bachelor"/>
    <s v="High"/>
    <x v="0"/>
    <s v="High"/>
  </r>
  <r>
    <n v="29"/>
    <x v="1"/>
    <x v="1"/>
    <n v="7"/>
    <n v="3"/>
    <s v="Life Sciences"/>
    <n v="4"/>
    <n v="1"/>
    <x v="0"/>
    <n v="2062"/>
    <n v="3"/>
    <n v="3"/>
    <n v="3"/>
    <n v="0"/>
    <x v="2"/>
    <x v="1"/>
    <x v="3"/>
    <n v="2.6666666666666665"/>
    <s v="Bachelor"/>
    <s v="Very High"/>
    <x v="3"/>
    <s v="High"/>
  </r>
  <r>
    <n v="37"/>
    <x v="1"/>
    <x v="1"/>
    <n v="7"/>
    <n v="4"/>
    <s v="Medical"/>
    <n v="4"/>
    <n v="1"/>
    <x v="1"/>
    <n v="4284"/>
    <n v="5"/>
    <n v="3"/>
    <n v="5"/>
    <n v="0"/>
    <x v="0"/>
    <x v="0"/>
    <x v="0"/>
    <n v="2.6666666666666665"/>
    <s v="Master"/>
    <s v="Very High"/>
    <x v="3"/>
    <s v="High"/>
  </r>
  <r>
    <n v="35"/>
    <x v="1"/>
    <x v="1"/>
    <n v="16"/>
    <n v="2"/>
    <s v="Other"/>
    <n v="4"/>
    <n v="2"/>
    <x v="1"/>
    <n v="4788"/>
    <n v="0"/>
    <n v="3"/>
    <n v="3"/>
    <n v="0"/>
    <x v="0"/>
    <x v="0"/>
    <x v="3"/>
    <n v="3"/>
    <s v="College"/>
    <s v="Very High"/>
    <x v="1"/>
    <s v="High"/>
  </r>
  <r>
    <n v="45"/>
    <x v="1"/>
    <x v="1"/>
    <n v="25"/>
    <n v="2"/>
    <s v="Life Sciences"/>
    <n v="2"/>
    <n v="4"/>
    <x v="1"/>
    <n v="5906"/>
    <n v="0"/>
    <n v="2"/>
    <n v="9"/>
    <n v="0"/>
    <x v="1"/>
    <x v="0"/>
    <x v="0"/>
    <n v="2.6666666666666665"/>
    <s v="College"/>
    <s v="Medium"/>
    <x v="0"/>
    <s v="Medium"/>
  </r>
  <r>
    <n v="36"/>
    <x v="1"/>
    <x v="2"/>
    <n v="2"/>
    <n v="1"/>
    <s v="Human Resources"/>
    <n v="2"/>
    <n v="4"/>
    <x v="0"/>
    <n v="3886"/>
    <n v="1"/>
    <n v="2"/>
    <n v="10"/>
    <n v="0"/>
    <x v="0"/>
    <x v="0"/>
    <x v="1"/>
    <n v="2.6666666666666665"/>
    <s v="Below College"/>
    <s v="Medium"/>
    <x v="0"/>
    <s v="Medium"/>
  </r>
  <r>
    <n v="40"/>
    <x v="1"/>
    <x v="1"/>
    <n v="1"/>
    <n v="4"/>
    <s v="Life Sciences"/>
    <n v="1"/>
    <n v="1"/>
    <x v="2"/>
    <n v="16823"/>
    <n v="2"/>
    <n v="3"/>
    <n v="19"/>
    <n v="0"/>
    <x v="0"/>
    <x v="2"/>
    <x v="1"/>
    <n v="1.6666666666666667"/>
    <s v="Master"/>
    <s v="Low"/>
    <x v="3"/>
    <s v="High"/>
  </r>
  <r>
    <n v="26"/>
    <x v="1"/>
    <x v="1"/>
    <n v="1"/>
    <n v="2"/>
    <s v="Life Sciences"/>
    <n v="2"/>
    <n v="3"/>
    <x v="1"/>
    <n v="2933"/>
    <n v="1"/>
    <n v="2"/>
    <n v="1"/>
    <n v="0"/>
    <x v="2"/>
    <x v="1"/>
    <x v="2"/>
    <n v="2.3333333333333335"/>
    <s v="College"/>
    <s v="Medium"/>
    <x v="2"/>
    <s v="Medium"/>
  </r>
  <r>
    <n v="27"/>
    <x v="1"/>
    <x v="0"/>
    <n v="2"/>
    <n v="2"/>
    <s v="Medical"/>
    <n v="1"/>
    <n v="3"/>
    <x v="0"/>
    <n v="6500"/>
    <n v="0"/>
    <n v="2"/>
    <n v="8"/>
    <n v="0"/>
    <x v="2"/>
    <x v="0"/>
    <x v="0"/>
    <n v="2"/>
    <s v="College"/>
    <s v="Low"/>
    <x v="2"/>
    <s v="Medium"/>
  </r>
  <r>
    <n v="48"/>
    <x v="1"/>
    <x v="1"/>
    <n v="22"/>
    <n v="3"/>
    <s v="Medical"/>
    <n v="4"/>
    <n v="4"/>
    <x v="2"/>
    <n v="17174"/>
    <n v="3"/>
    <n v="3"/>
    <n v="22"/>
    <n v="0"/>
    <x v="1"/>
    <x v="2"/>
    <x v="1"/>
    <n v="3.6666666666666665"/>
    <s v="Bachelor"/>
    <s v="Very High"/>
    <x v="0"/>
    <s v="High"/>
  </r>
  <r>
    <n v="44"/>
    <x v="1"/>
    <x v="1"/>
    <n v="1"/>
    <n v="4"/>
    <s v="Life Sciences"/>
    <n v="2"/>
    <n v="1"/>
    <x v="1"/>
    <n v="5033"/>
    <n v="2"/>
    <n v="3"/>
    <n v="2"/>
    <n v="0"/>
    <x v="0"/>
    <x v="0"/>
    <x v="3"/>
    <n v="2"/>
    <s v="Master"/>
    <s v="Medium"/>
    <x v="3"/>
    <s v="High"/>
  </r>
  <r>
    <n v="34"/>
    <x v="0"/>
    <x v="1"/>
    <n v="16"/>
    <n v="4"/>
    <s v="Technical Degree"/>
    <n v="4"/>
    <n v="1"/>
    <x v="1"/>
    <n v="2307"/>
    <n v="1"/>
    <n v="3"/>
    <n v="5"/>
    <n v="1"/>
    <x v="2"/>
    <x v="1"/>
    <x v="0"/>
    <n v="2.6666666666666665"/>
    <s v="Master"/>
    <s v="Very High"/>
    <x v="3"/>
    <s v="High"/>
  </r>
  <r>
    <n v="56"/>
    <x v="0"/>
    <x v="1"/>
    <n v="24"/>
    <n v="2"/>
    <s v="Life Sciences"/>
    <n v="1"/>
    <n v="4"/>
    <x v="0"/>
    <n v="2587"/>
    <n v="1"/>
    <n v="3"/>
    <n v="4"/>
    <n v="1"/>
    <x v="3"/>
    <x v="1"/>
    <x v="3"/>
    <n v="2.6666666666666665"/>
    <s v="College"/>
    <s v="Low"/>
    <x v="0"/>
    <s v="High"/>
  </r>
  <r>
    <n v="36"/>
    <x v="1"/>
    <x v="0"/>
    <n v="17"/>
    <n v="2"/>
    <s v="Marketing"/>
    <n v="3"/>
    <n v="2"/>
    <x v="1"/>
    <n v="5507"/>
    <n v="2"/>
    <n v="1"/>
    <n v="4"/>
    <n v="0"/>
    <x v="0"/>
    <x v="0"/>
    <x v="3"/>
    <n v="2"/>
    <s v="College"/>
    <s v="High"/>
    <x v="1"/>
    <s v="Low"/>
  </r>
  <r>
    <n v="41"/>
    <x v="1"/>
    <x v="0"/>
    <n v="8"/>
    <n v="3"/>
    <s v="Marketing"/>
    <n v="3"/>
    <n v="2"/>
    <x v="1"/>
    <n v="4393"/>
    <n v="5"/>
    <n v="3"/>
    <n v="5"/>
    <n v="0"/>
    <x v="0"/>
    <x v="0"/>
    <x v="0"/>
    <n v="2.6666666666666665"/>
    <s v="Bachelor"/>
    <s v="High"/>
    <x v="1"/>
    <s v="High"/>
  </r>
  <r>
    <n v="42"/>
    <x v="1"/>
    <x v="1"/>
    <n v="6"/>
    <n v="3"/>
    <s v="Medical"/>
    <n v="3"/>
    <n v="1"/>
    <x v="1"/>
    <n v="13348"/>
    <n v="9"/>
    <n v="4"/>
    <n v="13"/>
    <n v="0"/>
    <x v="0"/>
    <x v="2"/>
    <x v="1"/>
    <n v="2.6666666666666665"/>
    <s v="Bachelor"/>
    <s v="High"/>
    <x v="3"/>
    <s v="Very High"/>
  </r>
  <r>
    <n v="31"/>
    <x v="1"/>
    <x v="0"/>
    <n v="10"/>
    <n v="2"/>
    <s v="Medical"/>
    <n v="3"/>
    <n v="4"/>
    <x v="2"/>
    <n v="6583"/>
    <n v="2"/>
    <n v="3"/>
    <n v="5"/>
    <n v="0"/>
    <x v="2"/>
    <x v="0"/>
    <x v="0"/>
    <n v="3.3333333333333335"/>
    <s v="College"/>
    <s v="High"/>
    <x v="0"/>
    <s v="High"/>
  </r>
  <r>
    <n v="34"/>
    <x v="1"/>
    <x v="0"/>
    <n v="3"/>
    <n v="1"/>
    <s v="Medical"/>
    <n v="4"/>
    <n v="4"/>
    <x v="1"/>
    <n v="8103"/>
    <n v="3"/>
    <n v="2"/>
    <n v="4"/>
    <n v="0"/>
    <x v="2"/>
    <x v="2"/>
    <x v="3"/>
    <n v="3.3333333333333335"/>
    <s v="Below College"/>
    <s v="Very High"/>
    <x v="0"/>
    <s v="Medium"/>
  </r>
  <r>
    <n v="31"/>
    <x v="1"/>
    <x v="1"/>
    <n v="4"/>
    <n v="3"/>
    <s v="Medical"/>
    <n v="1"/>
    <n v="3"/>
    <x v="2"/>
    <n v="3978"/>
    <n v="8"/>
    <n v="2"/>
    <n v="2"/>
    <n v="0"/>
    <x v="2"/>
    <x v="0"/>
    <x v="3"/>
    <n v="2"/>
    <s v="Bachelor"/>
    <s v="Low"/>
    <x v="2"/>
    <s v="Medium"/>
  </r>
  <r>
    <n v="26"/>
    <x v="1"/>
    <x v="1"/>
    <n v="6"/>
    <n v="3"/>
    <s v="Other"/>
    <n v="3"/>
    <n v="4"/>
    <x v="1"/>
    <n v="2544"/>
    <n v="0"/>
    <n v="3"/>
    <n v="7"/>
    <n v="0"/>
    <x v="2"/>
    <x v="1"/>
    <x v="0"/>
    <n v="3.3333333333333335"/>
    <s v="Bachelor"/>
    <s v="High"/>
    <x v="0"/>
    <s v="High"/>
  </r>
  <r>
    <n v="45"/>
    <x v="1"/>
    <x v="1"/>
    <n v="1"/>
    <n v="4"/>
    <s v="Medical"/>
    <n v="2"/>
    <n v="3"/>
    <x v="0"/>
    <n v="5399"/>
    <n v="4"/>
    <n v="3"/>
    <n v="4"/>
    <n v="0"/>
    <x v="1"/>
    <x v="0"/>
    <x v="3"/>
    <n v="2.6666666666666665"/>
    <s v="Master"/>
    <s v="Medium"/>
    <x v="2"/>
    <s v="High"/>
  </r>
  <r>
    <n v="33"/>
    <x v="1"/>
    <x v="0"/>
    <n v="10"/>
    <n v="4"/>
    <s v="Marketing"/>
    <n v="2"/>
    <n v="3"/>
    <x v="0"/>
    <n v="5487"/>
    <n v="1"/>
    <n v="2"/>
    <n v="10"/>
    <n v="0"/>
    <x v="2"/>
    <x v="0"/>
    <x v="1"/>
    <n v="2.3333333333333335"/>
    <s v="Master"/>
    <s v="Medium"/>
    <x v="2"/>
    <s v="Medium"/>
  </r>
  <r>
    <n v="28"/>
    <x v="1"/>
    <x v="0"/>
    <n v="1"/>
    <n v="2"/>
    <s v="Life Sciences"/>
    <n v="3"/>
    <n v="4"/>
    <x v="1"/>
    <n v="6834"/>
    <n v="1"/>
    <n v="3"/>
    <n v="7"/>
    <n v="0"/>
    <x v="2"/>
    <x v="0"/>
    <x v="0"/>
    <n v="3.3333333333333335"/>
    <s v="College"/>
    <s v="High"/>
    <x v="0"/>
    <s v="High"/>
  </r>
  <r>
    <n v="29"/>
    <x v="0"/>
    <x v="0"/>
    <n v="24"/>
    <n v="3"/>
    <s v="Technical Degree"/>
    <n v="3"/>
    <n v="1"/>
    <x v="0"/>
    <n v="1091"/>
    <n v="1"/>
    <n v="3"/>
    <n v="1"/>
    <n v="1"/>
    <x v="2"/>
    <x v="1"/>
    <x v="2"/>
    <n v="2.3333333333333335"/>
    <s v="Bachelor"/>
    <s v="High"/>
    <x v="3"/>
    <s v="High"/>
  </r>
  <r>
    <n v="39"/>
    <x v="1"/>
    <x v="0"/>
    <n v="21"/>
    <n v="4"/>
    <s v="Life Sciences"/>
    <n v="1"/>
    <n v="3"/>
    <x v="1"/>
    <n v="5736"/>
    <n v="6"/>
    <n v="3"/>
    <n v="3"/>
    <n v="0"/>
    <x v="0"/>
    <x v="0"/>
    <x v="3"/>
    <n v="2.3333333333333335"/>
    <s v="Master"/>
    <s v="Low"/>
    <x v="2"/>
    <s v="High"/>
  </r>
  <r>
    <n v="27"/>
    <x v="1"/>
    <x v="1"/>
    <n v="2"/>
    <n v="4"/>
    <s v="Technical Degree"/>
    <n v="2"/>
    <n v="2"/>
    <x v="1"/>
    <n v="2226"/>
    <n v="1"/>
    <n v="2"/>
    <n v="5"/>
    <n v="0"/>
    <x v="2"/>
    <x v="1"/>
    <x v="0"/>
    <n v="2"/>
    <s v="Master"/>
    <s v="Medium"/>
    <x v="1"/>
    <s v="Medium"/>
  </r>
  <r>
    <n v="34"/>
    <x v="1"/>
    <x v="1"/>
    <n v="22"/>
    <n v="4"/>
    <s v="Other"/>
    <n v="3"/>
    <n v="4"/>
    <x v="1"/>
    <n v="5747"/>
    <n v="1"/>
    <n v="3"/>
    <n v="15"/>
    <n v="0"/>
    <x v="2"/>
    <x v="0"/>
    <x v="1"/>
    <n v="3.3333333333333335"/>
    <s v="Master"/>
    <s v="High"/>
    <x v="0"/>
    <s v="High"/>
  </r>
  <r>
    <n v="28"/>
    <x v="0"/>
    <x v="0"/>
    <n v="13"/>
    <n v="2"/>
    <s v="Marketing"/>
    <n v="4"/>
    <n v="3"/>
    <x v="0"/>
    <n v="9854"/>
    <n v="3"/>
    <n v="3"/>
    <n v="2"/>
    <n v="1"/>
    <x v="2"/>
    <x v="2"/>
    <x v="3"/>
    <n v="3.3333333333333335"/>
    <s v="College"/>
    <s v="Very High"/>
    <x v="2"/>
    <s v="High"/>
  </r>
  <r>
    <n v="47"/>
    <x v="1"/>
    <x v="1"/>
    <n v="14"/>
    <n v="4"/>
    <s v="Technical Degree"/>
    <n v="3"/>
    <n v="2"/>
    <x v="1"/>
    <n v="5467"/>
    <n v="8"/>
    <n v="4"/>
    <n v="8"/>
    <n v="0"/>
    <x v="1"/>
    <x v="0"/>
    <x v="0"/>
    <n v="3"/>
    <s v="Master"/>
    <s v="High"/>
    <x v="1"/>
    <s v="Very High"/>
  </r>
  <r>
    <n v="56"/>
    <x v="1"/>
    <x v="0"/>
    <n v="11"/>
    <n v="5"/>
    <s v="Marketing"/>
    <n v="4"/>
    <n v="1"/>
    <x v="1"/>
    <n v="5380"/>
    <n v="4"/>
    <n v="3"/>
    <n v="0"/>
    <n v="0"/>
    <x v="3"/>
    <x v="0"/>
    <x v="2"/>
    <n v="2.6666666666666665"/>
    <s v="Doctor"/>
    <s v="Very High"/>
    <x v="3"/>
    <s v="High"/>
  </r>
  <r>
    <n v="39"/>
    <x v="1"/>
    <x v="1"/>
    <n v="9"/>
    <n v="2"/>
    <s v="Medical"/>
    <n v="1"/>
    <n v="1"/>
    <x v="1"/>
    <n v="5151"/>
    <n v="1"/>
    <n v="3"/>
    <n v="10"/>
    <n v="0"/>
    <x v="0"/>
    <x v="0"/>
    <x v="1"/>
    <n v="1.6666666666666667"/>
    <s v="College"/>
    <s v="Low"/>
    <x v="3"/>
    <s v="High"/>
  </r>
  <r>
    <n v="38"/>
    <x v="1"/>
    <x v="1"/>
    <n v="8"/>
    <n v="3"/>
    <s v="Medical"/>
    <n v="4"/>
    <n v="2"/>
    <x v="2"/>
    <n v="2133"/>
    <n v="1"/>
    <n v="3"/>
    <n v="20"/>
    <n v="0"/>
    <x v="0"/>
    <x v="1"/>
    <x v="1"/>
    <n v="3"/>
    <s v="Bachelor"/>
    <s v="Very High"/>
    <x v="1"/>
    <s v="High"/>
  </r>
  <r>
    <n v="58"/>
    <x v="1"/>
    <x v="0"/>
    <n v="21"/>
    <n v="3"/>
    <s v="Life Sciences"/>
    <n v="4"/>
    <n v="4"/>
    <x v="1"/>
    <n v="17875"/>
    <n v="4"/>
    <n v="2"/>
    <n v="1"/>
    <n v="0"/>
    <x v="3"/>
    <x v="2"/>
    <x v="2"/>
    <n v="3.3333333333333335"/>
    <s v="Bachelor"/>
    <s v="Very High"/>
    <x v="0"/>
    <s v="Medium"/>
  </r>
  <r>
    <n v="32"/>
    <x v="0"/>
    <x v="1"/>
    <n v="5"/>
    <n v="2"/>
    <s v="Life Sciences"/>
    <n v="1"/>
    <n v="3"/>
    <x v="0"/>
    <n v="2432"/>
    <n v="3"/>
    <n v="3"/>
    <n v="4"/>
    <n v="1"/>
    <x v="2"/>
    <x v="1"/>
    <x v="3"/>
    <n v="2.3333333333333335"/>
    <s v="College"/>
    <s v="Low"/>
    <x v="2"/>
    <s v="High"/>
  </r>
  <r>
    <n v="38"/>
    <x v="1"/>
    <x v="1"/>
    <n v="9"/>
    <n v="2"/>
    <s v="Life Sciences"/>
    <n v="2"/>
    <n v="4"/>
    <x v="2"/>
    <n v="4771"/>
    <n v="2"/>
    <n v="4"/>
    <n v="5"/>
    <n v="0"/>
    <x v="0"/>
    <x v="0"/>
    <x v="0"/>
    <n v="3.3333333333333335"/>
    <s v="College"/>
    <s v="Medium"/>
    <x v="0"/>
    <s v="Very High"/>
  </r>
  <r>
    <n v="49"/>
    <x v="1"/>
    <x v="1"/>
    <n v="2"/>
    <n v="1"/>
    <s v="Life Sciences"/>
    <n v="2"/>
    <n v="4"/>
    <x v="1"/>
    <n v="19161"/>
    <n v="3"/>
    <n v="3"/>
    <n v="5"/>
    <n v="0"/>
    <x v="1"/>
    <x v="2"/>
    <x v="0"/>
    <n v="3"/>
    <s v="Below College"/>
    <s v="Medium"/>
    <x v="0"/>
    <s v="High"/>
  </r>
  <r>
    <n v="42"/>
    <x v="1"/>
    <x v="0"/>
    <n v="12"/>
    <n v="4"/>
    <s v="Marketing"/>
    <n v="2"/>
    <n v="4"/>
    <x v="2"/>
    <n v="5087"/>
    <n v="3"/>
    <n v="3"/>
    <n v="0"/>
    <n v="0"/>
    <x v="0"/>
    <x v="0"/>
    <x v="2"/>
    <n v="3"/>
    <s v="Master"/>
    <s v="Medium"/>
    <x v="0"/>
    <s v="High"/>
  </r>
  <r>
    <n v="27"/>
    <x v="0"/>
    <x v="2"/>
    <n v="22"/>
    <n v="3"/>
    <s v="Human Resources"/>
    <n v="1"/>
    <n v="2"/>
    <x v="1"/>
    <n v="2863"/>
    <n v="1"/>
    <n v="3"/>
    <n v="1"/>
    <n v="1"/>
    <x v="2"/>
    <x v="1"/>
    <x v="2"/>
    <n v="2"/>
    <s v="Bachelor"/>
    <s v="Low"/>
    <x v="1"/>
    <s v="High"/>
  </r>
  <r>
    <n v="35"/>
    <x v="1"/>
    <x v="0"/>
    <n v="18"/>
    <n v="4"/>
    <s v="Medical"/>
    <n v="2"/>
    <n v="1"/>
    <x v="1"/>
    <n v="5561"/>
    <n v="0"/>
    <n v="1"/>
    <n v="5"/>
    <n v="0"/>
    <x v="0"/>
    <x v="0"/>
    <x v="0"/>
    <n v="1.3333333333333333"/>
    <s v="Master"/>
    <s v="Medium"/>
    <x v="3"/>
    <s v="Low"/>
  </r>
  <r>
    <n v="28"/>
    <x v="1"/>
    <x v="1"/>
    <n v="16"/>
    <n v="3"/>
    <s v="Medical"/>
    <n v="3"/>
    <n v="3"/>
    <x v="0"/>
    <n v="2144"/>
    <n v="1"/>
    <n v="2"/>
    <n v="5"/>
    <n v="0"/>
    <x v="2"/>
    <x v="1"/>
    <x v="0"/>
    <n v="2.6666666666666665"/>
    <s v="Bachelor"/>
    <s v="High"/>
    <x v="2"/>
    <s v="Medium"/>
  </r>
  <r>
    <n v="31"/>
    <x v="1"/>
    <x v="1"/>
    <n v="3"/>
    <n v="2"/>
    <s v="Medical"/>
    <n v="3"/>
    <n v="1"/>
    <x v="2"/>
    <n v="3065"/>
    <n v="1"/>
    <n v="4"/>
    <n v="4"/>
    <n v="0"/>
    <x v="2"/>
    <x v="0"/>
    <x v="3"/>
    <n v="2.6666666666666665"/>
    <s v="College"/>
    <s v="High"/>
    <x v="3"/>
    <s v="Very High"/>
  </r>
  <r>
    <n v="36"/>
    <x v="1"/>
    <x v="1"/>
    <n v="9"/>
    <n v="4"/>
    <s v="Life Sciences"/>
    <n v="1"/>
    <n v="2"/>
    <x v="1"/>
    <n v="2810"/>
    <n v="1"/>
    <n v="3"/>
    <n v="5"/>
    <n v="0"/>
    <x v="0"/>
    <x v="1"/>
    <x v="0"/>
    <n v="2"/>
    <s v="Master"/>
    <s v="Low"/>
    <x v="1"/>
    <s v="High"/>
  </r>
  <r>
    <n v="34"/>
    <x v="1"/>
    <x v="0"/>
    <n v="1"/>
    <n v="3"/>
    <s v="Marketing"/>
    <n v="1"/>
    <n v="4"/>
    <x v="0"/>
    <n v="9888"/>
    <n v="1"/>
    <n v="2"/>
    <n v="14"/>
    <n v="0"/>
    <x v="2"/>
    <x v="2"/>
    <x v="1"/>
    <n v="2.3333333333333335"/>
    <s v="Bachelor"/>
    <s v="Low"/>
    <x v="0"/>
    <s v="Medium"/>
  </r>
  <r>
    <n v="34"/>
    <x v="1"/>
    <x v="0"/>
    <n v="13"/>
    <n v="4"/>
    <s v="Medical"/>
    <n v="4"/>
    <n v="3"/>
    <x v="2"/>
    <n v="8628"/>
    <n v="1"/>
    <n v="2"/>
    <n v="8"/>
    <n v="0"/>
    <x v="2"/>
    <x v="2"/>
    <x v="0"/>
    <n v="3"/>
    <s v="Master"/>
    <s v="Very High"/>
    <x v="2"/>
    <s v="Medium"/>
  </r>
  <r>
    <n v="26"/>
    <x v="1"/>
    <x v="1"/>
    <n v="1"/>
    <n v="3"/>
    <s v="Medical"/>
    <n v="3"/>
    <n v="1"/>
    <x v="0"/>
    <n v="2867"/>
    <n v="0"/>
    <n v="2"/>
    <n v="7"/>
    <n v="0"/>
    <x v="2"/>
    <x v="1"/>
    <x v="0"/>
    <n v="2"/>
    <s v="Bachelor"/>
    <s v="High"/>
    <x v="3"/>
    <s v="Medium"/>
  </r>
  <r>
    <n v="29"/>
    <x v="1"/>
    <x v="1"/>
    <n v="1"/>
    <n v="3"/>
    <s v="Life Sciences"/>
    <n v="1"/>
    <n v="1"/>
    <x v="1"/>
    <n v="5373"/>
    <n v="0"/>
    <n v="2"/>
    <n v="5"/>
    <n v="0"/>
    <x v="2"/>
    <x v="0"/>
    <x v="0"/>
    <n v="1.3333333333333333"/>
    <s v="Bachelor"/>
    <s v="Low"/>
    <x v="3"/>
    <s v="Medium"/>
  </r>
  <r>
    <n v="32"/>
    <x v="1"/>
    <x v="1"/>
    <n v="15"/>
    <n v="4"/>
    <s v="Medical"/>
    <n v="3"/>
    <n v="4"/>
    <x v="2"/>
    <n v="6667"/>
    <n v="5"/>
    <n v="3"/>
    <n v="5"/>
    <n v="0"/>
    <x v="2"/>
    <x v="0"/>
    <x v="0"/>
    <n v="3.3333333333333335"/>
    <s v="Master"/>
    <s v="High"/>
    <x v="0"/>
    <s v="High"/>
  </r>
  <r>
    <n v="31"/>
    <x v="1"/>
    <x v="1"/>
    <n v="1"/>
    <n v="3"/>
    <s v="Life Sciences"/>
    <n v="4"/>
    <n v="1"/>
    <x v="1"/>
    <n v="5003"/>
    <n v="1"/>
    <n v="3"/>
    <n v="10"/>
    <n v="0"/>
    <x v="2"/>
    <x v="0"/>
    <x v="1"/>
    <n v="2.6666666666666665"/>
    <s v="Bachelor"/>
    <s v="Very High"/>
    <x v="3"/>
    <s v="High"/>
  </r>
  <r>
    <n v="28"/>
    <x v="0"/>
    <x v="1"/>
    <n v="17"/>
    <n v="3"/>
    <s v="Technical Degree"/>
    <n v="3"/>
    <n v="4"/>
    <x v="2"/>
    <n v="2367"/>
    <n v="5"/>
    <n v="2"/>
    <n v="4"/>
    <n v="1"/>
    <x v="2"/>
    <x v="1"/>
    <x v="3"/>
    <n v="3"/>
    <s v="Bachelor"/>
    <s v="High"/>
    <x v="0"/>
    <s v="Medium"/>
  </r>
  <r>
    <n v="38"/>
    <x v="1"/>
    <x v="0"/>
    <n v="1"/>
    <n v="3"/>
    <s v="Life Sciences"/>
    <n v="1"/>
    <n v="1"/>
    <x v="0"/>
    <n v="2858"/>
    <n v="4"/>
    <n v="2"/>
    <n v="1"/>
    <n v="0"/>
    <x v="0"/>
    <x v="1"/>
    <x v="2"/>
    <n v="1.3333333333333333"/>
    <s v="Bachelor"/>
    <s v="Low"/>
    <x v="3"/>
    <s v="Medium"/>
  </r>
  <r>
    <n v="35"/>
    <x v="1"/>
    <x v="0"/>
    <n v="7"/>
    <n v="4"/>
    <s v="Life Sciences"/>
    <n v="3"/>
    <n v="4"/>
    <x v="1"/>
    <n v="5204"/>
    <n v="1"/>
    <n v="3"/>
    <n v="10"/>
    <n v="0"/>
    <x v="0"/>
    <x v="0"/>
    <x v="1"/>
    <n v="3.3333333333333335"/>
    <s v="Master"/>
    <s v="High"/>
    <x v="0"/>
    <s v="High"/>
  </r>
  <r>
    <n v="27"/>
    <x v="1"/>
    <x v="0"/>
    <n v="9"/>
    <n v="3"/>
    <s v="Marketing"/>
    <n v="4"/>
    <n v="4"/>
    <x v="0"/>
    <n v="4105"/>
    <n v="1"/>
    <n v="3"/>
    <n v="7"/>
    <n v="0"/>
    <x v="2"/>
    <x v="0"/>
    <x v="0"/>
    <n v="3.6666666666666665"/>
    <s v="Bachelor"/>
    <s v="Very High"/>
    <x v="0"/>
    <s v="High"/>
  </r>
  <r>
    <n v="32"/>
    <x v="1"/>
    <x v="1"/>
    <n v="5"/>
    <n v="4"/>
    <s v="Life Sciences"/>
    <n v="4"/>
    <n v="4"/>
    <x v="0"/>
    <n v="9679"/>
    <n v="8"/>
    <n v="3"/>
    <n v="1"/>
    <n v="0"/>
    <x v="2"/>
    <x v="2"/>
    <x v="2"/>
    <n v="3.6666666666666665"/>
    <s v="Master"/>
    <s v="Very High"/>
    <x v="0"/>
    <s v="High"/>
  </r>
  <r>
    <n v="31"/>
    <x v="0"/>
    <x v="0"/>
    <n v="26"/>
    <n v="4"/>
    <s v="Marketing"/>
    <n v="1"/>
    <n v="4"/>
    <x v="1"/>
    <n v="5617"/>
    <n v="1"/>
    <n v="3"/>
    <n v="10"/>
    <n v="1"/>
    <x v="2"/>
    <x v="0"/>
    <x v="1"/>
    <n v="2.6666666666666665"/>
    <s v="Master"/>
    <s v="Low"/>
    <x v="0"/>
    <s v="High"/>
  </r>
  <r>
    <n v="53"/>
    <x v="0"/>
    <x v="0"/>
    <n v="24"/>
    <n v="4"/>
    <s v="Life Sciences"/>
    <n v="1"/>
    <n v="1"/>
    <x v="0"/>
    <n v="10448"/>
    <n v="6"/>
    <n v="2"/>
    <n v="2"/>
    <n v="1"/>
    <x v="1"/>
    <x v="2"/>
    <x v="3"/>
    <n v="1.3333333333333333"/>
    <s v="Master"/>
    <s v="Low"/>
    <x v="3"/>
    <s v="Medium"/>
  </r>
  <r>
    <n v="54"/>
    <x v="1"/>
    <x v="1"/>
    <n v="9"/>
    <n v="2"/>
    <s v="Life Sciences"/>
    <n v="1"/>
    <n v="3"/>
    <x v="1"/>
    <n v="2897"/>
    <n v="3"/>
    <n v="2"/>
    <n v="4"/>
    <n v="0"/>
    <x v="1"/>
    <x v="1"/>
    <x v="3"/>
    <n v="2"/>
    <s v="College"/>
    <s v="Low"/>
    <x v="2"/>
    <s v="Medium"/>
  </r>
  <r>
    <n v="33"/>
    <x v="1"/>
    <x v="1"/>
    <n v="7"/>
    <n v="2"/>
    <s v="Life Sciences"/>
    <n v="4"/>
    <n v="3"/>
    <x v="2"/>
    <n v="5968"/>
    <n v="1"/>
    <n v="3"/>
    <n v="9"/>
    <n v="0"/>
    <x v="2"/>
    <x v="0"/>
    <x v="0"/>
    <n v="3.3333333333333335"/>
    <s v="College"/>
    <s v="Very High"/>
    <x v="2"/>
    <s v="High"/>
  </r>
  <r>
    <n v="43"/>
    <x v="1"/>
    <x v="1"/>
    <n v="11"/>
    <n v="3"/>
    <s v="Life Sciences"/>
    <n v="1"/>
    <n v="3"/>
    <x v="1"/>
    <n v="7510"/>
    <n v="1"/>
    <n v="3"/>
    <n v="10"/>
    <n v="0"/>
    <x v="0"/>
    <x v="2"/>
    <x v="1"/>
    <n v="2.3333333333333335"/>
    <s v="Bachelor"/>
    <s v="Low"/>
    <x v="2"/>
    <s v="High"/>
  </r>
  <r>
    <n v="38"/>
    <x v="1"/>
    <x v="2"/>
    <n v="1"/>
    <n v="4"/>
    <s v="Other"/>
    <n v="4"/>
    <n v="2"/>
    <x v="1"/>
    <n v="2991"/>
    <n v="0"/>
    <n v="3"/>
    <n v="6"/>
    <n v="0"/>
    <x v="0"/>
    <x v="1"/>
    <x v="0"/>
    <n v="3"/>
    <s v="Master"/>
    <s v="Very High"/>
    <x v="1"/>
    <s v="High"/>
  </r>
  <r>
    <n v="55"/>
    <x v="1"/>
    <x v="2"/>
    <n v="26"/>
    <n v="4"/>
    <s v="Human Resources"/>
    <n v="3"/>
    <n v="2"/>
    <x v="1"/>
    <n v="19636"/>
    <n v="4"/>
    <n v="3"/>
    <n v="10"/>
    <n v="0"/>
    <x v="3"/>
    <x v="2"/>
    <x v="1"/>
    <n v="2.6666666666666665"/>
    <s v="Master"/>
    <s v="High"/>
    <x v="1"/>
    <s v="High"/>
  </r>
  <r>
    <n v="31"/>
    <x v="1"/>
    <x v="1"/>
    <n v="2"/>
    <n v="1"/>
    <s v="Medical"/>
    <n v="4"/>
    <n v="4"/>
    <x v="2"/>
    <n v="1129"/>
    <n v="1"/>
    <n v="3"/>
    <n v="1"/>
    <n v="0"/>
    <x v="2"/>
    <x v="1"/>
    <x v="2"/>
    <n v="3.6666666666666665"/>
    <s v="Below College"/>
    <s v="Very High"/>
    <x v="0"/>
    <s v="High"/>
  </r>
  <r>
    <n v="39"/>
    <x v="1"/>
    <x v="0"/>
    <n v="15"/>
    <n v="4"/>
    <s v="Marketing"/>
    <n v="2"/>
    <n v="1"/>
    <x v="0"/>
    <n v="13341"/>
    <n v="0"/>
    <n v="3"/>
    <n v="20"/>
    <n v="0"/>
    <x v="0"/>
    <x v="2"/>
    <x v="1"/>
    <n v="2"/>
    <s v="Master"/>
    <s v="Medium"/>
    <x v="3"/>
    <s v="High"/>
  </r>
  <r>
    <n v="42"/>
    <x v="1"/>
    <x v="1"/>
    <n v="23"/>
    <n v="2"/>
    <s v="Life Sciences"/>
    <n v="4"/>
    <n v="3"/>
    <x v="0"/>
    <n v="4332"/>
    <n v="1"/>
    <n v="3"/>
    <n v="20"/>
    <n v="0"/>
    <x v="0"/>
    <x v="0"/>
    <x v="1"/>
    <n v="3.3333333333333335"/>
    <s v="College"/>
    <s v="Very High"/>
    <x v="2"/>
    <s v="High"/>
  </r>
  <r>
    <n v="31"/>
    <x v="1"/>
    <x v="1"/>
    <n v="10"/>
    <n v="3"/>
    <s v="Medical"/>
    <n v="3"/>
    <n v="3"/>
    <x v="1"/>
    <n v="11031"/>
    <n v="4"/>
    <n v="4"/>
    <n v="11"/>
    <n v="0"/>
    <x v="2"/>
    <x v="2"/>
    <x v="1"/>
    <n v="3.3333333333333335"/>
    <s v="Bachelor"/>
    <s v="High"/>
    <x v="2"/>
    <s v="Very High"/>
  </r>
  <r>
    <n v="54"/>
    <x v="1"/>
    <x v="1"/>
    <n v="10"/>
    <n v="3"/>
    <s v="Medical"/>
    <n v="3"/>
    <n v="1"/>
    <x v="0"/>
    <n v="4440"/>
    <n v="6"/>
    <n v="3"/>
    <n v="5"/>
    <n v="0"/>
    <x v="1"/>
    <x v="0"/>
    <x v="0"/>
    <n v="2.3333333333333335"/>
    <s v="Bachelor"/>
    <s v="High"/>
    <x v="3"/>
    <s v="High"/>
  </r>
  <r>
    <n v="24"/>
    <x v="1"/>
    <x v="1"/>
    <n v="1"/>
    <n v="2"/>
    <s v="Life Sciences"/>
    <n v="2"/>
    <n v="3"/>
    <x v="0"/>
    <n v="4617"/>
    <n v="1"/>
    <n v="2"/>
    <n v="4"/>
    <n v="0"/>
    <x v="4"/>
    <x v="0"/>
    <x v="3"/>
    <n v="2.3333333333333335"/>
    <s v="College"/>
    <s v="Medium"/>
    <x v="2"/>
    <s v="Medium"/>
  </r>
  <r>
    <n v="23"/>
    <x v="1"/>
    <x v="1"/>
    <n v="12"/>
    <n v="2"/>
    <s v="Other"/>
    <n v="4"/>
    <n v="4"/>
    <x v="0"/>
    <n v="2647"/>
    <n v="1"/>
    <n v="4"/>
    <n v="5"/>
    <n v="0"/>
    <x v="4"/>
    <x v="1"/>
    <x v="0"/>
    <n v="4"/>
    <s v="College"/>
    <s v="Very High"/>
    <x v="0"/>
    <s v="Very High"/>
  </r>
  <r>
    <n v="40"/>
    <x v="1"/>
    <x v="1"/>
    <n v="11"/>
    <n v="3"/>
    <s v="Technical Degree"/>
    <n v="4"/>
    <n v="3"/>
    <x v="1"/>
    <n v="6323"/>
    <n v="1"/>
    <n v="4"/>
    <n v="10"/>
    <n v="0"/>
    <x v="0"/>
    <x v="0"/>
    <x v="1"/>
    <n v="3.6666666666666665"/>
    <s v="Bachelor"/>
    <s v="Very High"/>
    <x v="2"/>
    <s v="Very High"/>
  </r>
  <r>
    <n v="40"/>
    <x v="1"/>
    <x v="0"/>
    <n v="2"/>
    <n v="2"/>
    <s v="Marketing"/>
    <n v="2"/>
    <n v="2"/>
    <x v="1"/>
    <n v="5677"/>
    <n v="3"/>
    <n v="3"/>
    <n v="11"/>
    <n v="0"/>
    <x v="0"/>
    <x v="0"/>
    <x v="1"/>
    <n v="2.3333333333333335"/>
    <s v="College"/>
    <s v="Medium"/>
    <x v="1"/>
    <s v="High"/>
  </r>
  <r>
    <n v="25"/>
    <x v="1"/>
    <x v="2"/>
    <n v="2"/>
    <n v="3"/>
    <s v="Human Resources"/>
    <n v="3"/>
    <n v="2"/>
    <x v="1"/>
    <n v="2187"/>
    <n v="4"/>
    <n v="3"/>
    <n v="2"/>
    <n v="0"/>
    <x v="2"/>
    <x v="1"/>
    <x v="3"/>
    <n v="2.6666666666666665"/>
    <s v="Bachelor"/>
    <s v="High"/>
    <x v="1"/>
    <s v="High"/>
  </r>
  <r>
    <n v="30"/>
    <x v="1"/>
    <x v="1"/>
    <n v="1"/>
    <n v="2"/>
    <s v="Medical"/>
    <n v="4"/>
    <n v="2"/>
    <x v="1"/>
    <n v="3748"/>
    <n v="1"/>
    <n v="2"/>
    <n v="12"/>
    <n v="0"/>
    <x v="2"/>
    <x v="0"/>
    <x v="1"/>
    <n v="2.6666666666666665"/>
    <s v="College"/>
    <s v="Very High"/>
    <x v="1"/>
    <s v="Medium"/>
  </r>
  <r>
    <n v="25"/>
    <x v="1"/>
    <x v="1"/>
    <n v="2"/>
    <n v="1"/>
    <s v="Other"/>
    <n v="4"/>
    <n v="3"/>
    <x v="2"/>
    <n v="3977"/>
    <n v="6"/>
    <n v="2"/>
    <n v="2"/>
    <n v="0"/>
    <x v="2"/>
    <x v="0"/>
    <x v="3"/>
    <n v="3"/>
    <s v="Below College"/>
    <s v="Very High"/>
    <x v="2"/>
    <s v="Medium"/>
  </r>
  <r>
    <n v="47"/>
    <x v="1"/>
    <x v="1"/>
    <n v="25"/>
    <n v="3"/>
    <s v="Medical"/>
    <n v="1"/>
    <n v="3"/>
    <x v="0"/>
    <n v="8633"/>
    <n v="2"/>
    <n v="3"/>
    <n v="17"/>
    <n v="0"/>
    <x v="1"/>
    <x v="2"/>
    <x v="1"/>
    <n v="2.3333333333333335"/>
    <s v="Bachelor"/>
    <s v="Low"/>
    <x v="2"/>
    <s v="High"/>
  </r>
  <r>
    <n v="33"/>
    <x v="1"/>
    <x v="1"/>
    <n v="1"/>
    <n v="2"/>
    <s v="Medical"/>
    <n v="2"/>
    <n v="3"/>
    <x v="2"/>
    <n v="2008"/>
    <n v="1"/>
    <n v="2"/>
    <n v="1"/>
    <n v="0"/>
    <x v="2"/>
    <x v="1"/>
    <x v="2"/>
    <n v="2.3333333333333335"/>
    <s v="College"/>
    <s v="Medium"/>
    <x v="2"/>
    <s v="Medium"/>
  </r>
  <r>
    <n v="38"/>
    <x v="1"/>
    <x v="0"/>
    <n v="1"/>
    <n v="4"/>
    <s v="Life Sciences"/>
    <n v="4"/>
    <n v="2"/>
    <x v="1"/>
    <n v="4440"/>
    <n v="0"/>
    <n v="3"/>
    <n v="15"/>
    <n v="0"/>
    <x v="0"/>
    <x v="0"/>
    <x v="1"/>
    <n v="3"/>
    <s v="Master"/>
    <s v="Very High"/>
    <x v="1"/>
    <s v="High"/>
  </r>
  <r>
    <n v="31"/>
    <x v="1"/>
    <x v="0"/>
    <n v="2"/>
    <n v="2"/>
    <s v="Life Sciences"/>
    <n v="1"/>
    <n v="3"/>
    <x v="1"/>
    <n v="3067"/>
    <n v="0"/>
    <n v="3"/>
    <n v="2"/>
    <n v="0"/>
    <x v="2"/>
    <x v="0"/>
    <x v="3"/>
    <n v="2.3333333333333335"/>
    <s v="College"/>
    <s v="Low"/>
    <x v="2"/>
    <s v="High"/>
  </r>
  <r>
    <n v="38"/>
    <x v="1"/>
    <x v="1"/>
    <n v="6"/>
    <n v="4"/>
    <s v="Life Sciences"/>
    <n v="1"/>
    <n v="3"/>
    <x v="1"/>
    <n v="5321"/>
    <n v="2"/>
    <n v="3"/>
    <n v="8"/>
    <n v="0"/>
    <x v="0"/>
    <x v="0"/>
    <x v="0"/>
    <n v="2.3333333333333335"/>
    <s v="Master"/>
    <s v="Low"/>
    <x v="2"/>
    <s v="High"/>
  </r>
  <r>
    <n v="42"/>
    <x v="1"/>
    <x v="1"/>
    <n v="18"/>
    <n v="4"/>
    <s v="Life Sciences"/>
    <n v="4"/>
    <n v="1"/>
    <x v="2"/>
    <n v="5410"/>
    <n v="6"/>
    <n v="2"/>
    <n v="4"/>
    <n v="0"/>
    <x v="0"/>
    <x v="0"/>
    <x v="3"/>
    <n v="2.3333333333333335"/>
    <s v="Master"/>
    <s v="Very High"/>
    <x v="3"/>
    <s v="Medium"/>
  </r>
  <r>
    <n v="41"/>
    <x v="1"/>
    <x v="1"/>
    <n v="1"/>
    <n v="3"/>
    <s v="Life Sciences"/>
    <n v="4"/>
    <n v="4"/>
    <x v="1"/>
    <n v="2782"/>
    <n v="3"/>
    <n v="3"/>
    <n v="5"/>
    <n v="0"/>
    <x v="0"/>
    <x v="1"/>
    <x v="0"/>
    <n v="3.6666666666666665"/>
    <s v="Bachelor"/>
    <s v="Very High"/>
    <x v="0"/>
    <s v="High"/>
  </r>
  <r>
    <n v="47"/>
    <x v="1"/>
    <x v="1"/>
    <n v="1"/>
    <n v="1"/>
    <s v="Medical"/>
    <n v="3"/>
    <n v="2"/>
    <x v="1"/>
    <n v="11957"/>
    <n v="0"/>
    <n v="1"/>
    <n v="13"/>
    <n v="0"/>
    <x v="1"/>
    <x v="2"/>
    <x v="1"/>
    <n v="2"/>
    <s v="Below College"/>
    <s v="High"/>
    <x v="1"/>
    <s v="Low"/>
  </r>
  <r>
    <n v="35"/>
    <x v="1"/>
    <x v="1"/>
    <n v="11"/>
    <n v="4"/>
    <s v="Medical"/>
    <n v="4"/>
    <n v="3"/>
    <x v="1"/>
    <n v="2660"/>
    <n v="7"/>
    <n v="3"/>
    <n v="2"/>
    <n v="0"/>
    <x v="0"/>
    <x v="1"/>
    <x v="3"/>
    <n v="3.3333333333333335"/>
    <s v="Master"/>
    <s v="Very High"/>
    <x v="2"/>
    <s v="High"/>
  </r>
  <r>
    <n v="22"/>
    <x v="1"/>
    <x v="1"/>
    <n v="1"/>
    <n v="2"/>
    <s v="Life Sciences"/>
    <n v="4"/>
    <n v="3"/>
    <x v="0"/>
    <n v="3375"/>
    <n v="0"/>
    <n v="4"/>
    <n v="3"/>
    <n v="0"/>
    <x v="4"/>
    <x v="0"/>
    <x v="3"/>
    <n v="3.6666666666666665"/>
    <s v="College"/>
    <s v="Very High"/>
    <x v="2"/>
    <s v="Very High"/>
  </r>
  <r>
    <n v="35"/>
    <x v="1"/>
    <x v="1"/>
    <n v="9"/>
    <n v="4"/>
    <s v="Medical"/>
    <n v="2"/>
    <n v="3"/>
    <x v="0"/>
    <n v="5098"/>
    <n v="1"/>
    <n v="3"/>
    <n v="10"/>
    <n v="0"/>
    <x v="0"/>
    <x v="0"/>
    <x v="1"/>
    <n v="2.6666666666666665"/>
    <s v="Master"/>
    <s v="Medium"/>
    <x v="2"/>
    <s v="High"/>
  </r>
  <r>
    <n v="33"/>
    <x v="1"/>
    <x v="1"/>
    <n v="15"/>
    <n v="2"/>
    <s v="Medical"/>
    <n v="2"/>
    <n v="4"/>
    <x v="1"/>
    <n v="4878"/>
    <n v="0"/>
    <n v="3"/>
    <n v="9"/>
    <n v="0"/>
    <x v="2"/>
    <x v="0"/>
    <x v="0"/>
    <n v="3"/>
    <s v="College"/>
    <s v="Medium"/>
    <x v="0"/>
    <s v="High"/>
  </r>
  <r>
    <n v="32"/>
    <x v="1"/>
    <x v="1"/>
    <n v="29"/>
    <n v="4"/>
    <s v="Life Sciences"/>
    <n v="3"/>
    <n v="2"/>
    <x v="0"/>
    <n v="2837"/>
    <n v="1"/>
    <n v="3"/>
    <n v="6"/>
    <n v="0"/>
    <x v="2"/>
    <x v="1"/>
    <x v="0"/>
    <n v="2.6666666666666665"/>
    <s v="Master"/>
    <s v="High"/>
    <x v="1"/>
    <s v="High"/>
  </r>
  <r>
    <n v="40"/>
    <x v="1"/>
    <x v="1"/>
    <n v="1"/>
    <n v="4"/>
    <s v="Life Sciences"/>
    <n v="1"/>
    <n v="4"/>
    <x v="1"/>
    <n v="2406"/>
    <n v="8"/>
    <n v="2"/>
    <n v="1"/>
    <n v="0"/>
    <x v="0"/>
    <x v="1"/>
    <x v="2"/>
    <n v="2.3333333333333335"/>
    <s v="Master"/>
    <s v="Low"/>
    <x v="0"/>
    <s v="Medium"/>
  </r>
  <r>
    <n v="32"/>
    <x v="1"/>
    <x v="0"/>
    <n v="1"/>
    <n v="4"/>
    <s v="Medical"/>
    <n v="2"/>
    <n v="2"/>
    <x v="1"/>
    <n v="2269"/>
    <n v="0"/>
    <n v="3"/>
    <n v="2"/>
    <n v="0"/>
    <x v="2"/>
    <x v="1"/>
    <x v="3"/>
    <n v="2.3333333333333335"/>
    <s v="Master"/>
    <s v="Medium"/>
    <x v="1"/>
    <s v="High"/>
  </r>
  <r>
    <n v="39"/>
    <x v="1"/>
    <x v="1"/>
    <n v="24"/>
    <n v="1"/>
    <s v="Life Sciences"/>
    <n v="1"/>
    <n v="4"/>
    <x v="0"/>
    <n v="4108"/>
    <n v="7"/>
    <n v="3"/>
    <n v="7"/>
    <n v="0"/>
    <x v="0"/>
    <x v="0"/>
    <x v="0"/>
    <n v="2.6666666666666665"/>
    <s v="Below College"/>
    <s v="Low"/>
    <x v="0"/>
    <s v="High"/>
  </r>
  <r>
    <n v="38"/>
    <x v="1"/>
    <x v="1"/>
    <n v="10"/>
    <n v="3"/>
    <s v="Medical"/>
    <n v="2"/>
    <n v="3"/>
    <x v="1"/>
    <n v="13206"/>
    <n v="3"/>
    <n v="3"/>
    <n v="18"/>
    <n v="0"/>
    <x v="0"/>
    <x v="2"/>
    <x v="1"/>
    <n v="2.6666666666666665"/>
    <s v="Bachelor"/>
    <s v="Medium"/>
    <x v="2"/>
    <s v="High"/>
  </r>
  <r>
    <n v="32"/>
    <x v="1"/>
    <x v="0"/>
    <n v="1"/>
    <n v="4"/>
    <s v="Marketing"/>
    <n v="3"/>
    <n v="4"/>
    <x v="1"/>
    <n v="10422"/>
    <n v="1"/>
    <n v="3"/>
    <n v="14"/>
    <n v="0"/>
    <x v="2"/>
    <x v="2"/>
    <x v="1"/>
    <n v="3.3333333333333335"/>
    <s v="Master"/>
    <s v="High"/>
    <x v="0"/>
    <s v="High"/>
  </r>
  <r>
    <n v="37"/>
    <x v="1"/>
    <x v="1"/>
    <n v="10"/>
    <n v="3"/>
    <s v="Life Sciences"/>
    <n v="3"/>
    <n v="4"/>
    <x v="1"/>
    <n v="13744"/>
    <n v="1"/>
    <n v="3"/>
    <n v="16"/>
    <n v="0"/>
    <x v="0"/>
    <x v="2"/>
    <x v="1"/>
    <n v="3.3333333333333335"/>
    <s v="Bachelor"/>
    <s v="High"/>
    <x v="0"/>
    <s v="High"/>
  </r>
  <r>
    <n v="25"/>
    <x v="1"/>
    <x v="0"/>
    <n v="8"/>
    <n v="2"/>
    <s v="Other"/>
    <n v="1"/>
    <n v="3"/>
    <x v="2"/>
    <n v="4907"/>
    <n v="0"/>
    <n v="2"/>
    <n v="5"/>
    <n v="0"/>
    <x v="2"/>
    <x v="0"/>
    <x v="0"/>
    <n v="2"/>
    <s v="College"/>
    <s v="Low"/>
    <x v="2"/>
    <s v="Medium"/>
  </r>
  <r>
    <n v="52"/>
    <x v="1"/>
    <x v="0"/>
    <n v="29"/>
    <n v="4"/>
    <s v="Life Sciences"/>
    <n v="1"/>
    <n v="4"/>
    <x v="2"/>
    <n v="3482"/>
    <n v="2"/>
    <n v="2"/>
    <n v="9"/>
    <n v="0"/>
    <x v="1"/>
    <x v="0"/>
    <x v="0"/>
    <n v="2.3333333333333335"/>
    <s v="Master"/>
    <s v="Low"/>
    <x v="0"/>
    <s v="Medium"/>
  </r>
  <r>
    <n v="44"/>
    <x v="1"/>
    <x v="1"/>
    <n v="1"/>
    <n v="3"/>
    <s v="Medical"/>
    <n v="2"/>
    <n v="4"/>
    <x v="0"/>
    <n v="2436"/>
    <n v="6"/>
    <n v="3"/>
    <n v="4"/>
    <n v="0"/>
    <x v="0"/>
    <x v="1"/>
    <x v="3"/>
    <n v="3"/>
    <s v="Bachelor"/>
    <s v="Medium"/>
    <x v="0"/>
    <s v="High"/>
  </r>
  <r>
    <n v="21"/>
    <x v="1"/>
    <x v="0"/>
    <n v="5"/>
    <n v="1"/>
    <s v="Medical"/>
    <n v="3"/>
    <n v="1"/>
    <x v="0"/>
    <n v="2380"/>
    <n v="1"/>
    <n v="3"/>
    <n v="2"/>
    <n v="0"/>
    <x v="4"/>
    <x v="1"/>
    <x v="3"/>
    <n v="2.3333333333333335"/>
    <s v="Below College"/>
    <s v="High"/>
    <x v="3"/>
    <s v="High"/>
  </r>
  <r>
    <n v="39"/>
    <x v="1"/>
    <x v="1"/>
    <n v="9"/>
    <n v="3"/>
    <s v="Life Sciences"/>
    <n v="4"/>
    <n v="4"/>
    <x v="0"/>
    <n v="19431"/>
    <n v="2"/>
    <n v="2"/>
    <n v="6"/>
    <n v="0"/>
    <x v="0"/>
    <x v="2"/>
    <x v="0"/>
    <n v="3.3333333333333335"/>
    <s v="Bachelor"/>
    <s v="Very High"/>
    <x v="0"/>
    <s v="Medium"/>
  </r>
  <r>
    <n v="23"/>
    <x v="0"/>
    <x v="0"/>
    <n v="9"/>
    <n v="3"/>
    <s v="Marketing"/>
    <n v="4"/>
    <n v="1"/>
    <x v="1"/>
    <n v="1790"/>
    <n v="1"/>
    <n v="2"/>
    <n v="1"/>
    <n v="1"/>
    <x v="4"/>
    <x v="1"/>
    <x v="2"/>
    <n v="2.3333333333333335"/>
    <s v="Bachelor"/>
    <s v="Very High"/>
    <x v="3"/>
    <s v="Medium"/>
  </r>
  <r>
    <n v="36"/>
    <x v="1"/>
    <x v="0"/>
    <n v="3"/>
    <n v="3"/>
    <s v="Medical"/>
    <n v="1"/>
    <n v="4"/>
    <x v="1"/>
    <n v="7644"/>
    <n v="0"/>
    <n v="3"/>
    <n v="9"/>
    <n v="0"/>
    <x v="0"/>
    <x v="2"/>
    <x v="0"/>
    <n v="2.6666666666666665"/>
    <s v="Bachelor"/>
    <s v="Low"/>
    <x v="0"/>
    <s v="High"/>
  </r>
  <r>
    <n v="36"/>
    <x v="1"/>
    <x v="1"/>
    <n v="4"/>
    <n v="2"/>
    <s v="Life Sciences"/>
    <n v="4"/>
    <n v="2"/>
    <x v="2"/>
    <n v="5131"/>
    <n v="7"/>
    <n v="3"/>
    <n v="4"/>
    <n v="0"/>
    <x v="0"/>
    <x v="0"/>
    <x v="3"/>
    <n v="3"/>
    <s v="College"/>
    <s v="Very High"/>
    <x v="1"/>
    <s v="High"/>
  </r>
  <r>
    <n v="56"/>
    <x v="1"/>
    <x v="1"/>
    <n v="1"/>
    <n v="4"/>
    <s v="Life Sciences"/>
    <n v="3"/>
    <n v="3"/>
    <x v="2"/>
    <n v="6306"/>
    <n v="1"/>
    <n v="2"/>
    <n v="13"/>
    <n v="0"/>
    <x v="3"/>
    <x v="0"/>
    <x v="1"/>
    <n v="2.6666666666666665"/>
    <s v="Master"/>
    <s v="High"/>
    <x v="2"/>
    <s v="Medium"/>
  </r>
  <r>
    <n v="29"/>
    <x v="0"/>
    <x v="1"/>
    <n v="1"/>
    <n v="4"/>
    <s v="Medical"/>
    <n v="1"/>
    <n v="4"/>
    <x v="1"/>
    <n v="4787"/>
    <n v="9"/>
    <n v="4"/>
    <n v="2"/>
    <n v="1"/>
    <x v="2"/>
    <x v="0"/>
    <x v="3"/>
    <n v="3"/>
    <s v="Master"/>
    <s v="Low"/>
    <x v="0"/>
    <s v="Very High"/>
  </r>
  <r>
    <n v="42"/>
    <x v="1"/>
    <x v="1"/>
    <n v="2"/>
    <n v="3"/>
    <s v="Life Sciences"/>
    <n v="1"/>
    <n v="3"/>
    <x v="1"/>
    <n v="18880"/>
    <n v="5"/>
    <n v="2"/>
    <n v="22"/>
    <n v="0"/>
    <x v="0"/>
    <x v="2"/>
    <x v="1"/>
    <n v="2"/>
    <s v="Bachelor"/>
    <s v="Low"/>
    <x v="2"/>
    <s v="Medium"/>
  </r>
  <r>
    <n v="56"/>
    <x v="0"/>
    <x v="1"/>
    <n v="7"/>
    <n v="2"/>
    <s v="Technical Degree"/>
    <n v="4"/>
    <n v="3"/>
    <x v="1"/>
    <n v="2339"/>
    <n v="8"/>
    <n v="1"/>
    <n v="10"/>
    <n v="1"/>
    <x v="3"/>
    <x v="1"/>
    <x v="1"/>
    <n v="2.6666666666666665"/>
    <s v="College"/>
    <s v="Very High"/>
    <x v="2"/>
    <s v="Low"/>
  </r>
  <r>
    <n v="41"/>
    <x v="1"/>
    <x v="1"/>
    <n v="28"/>
    <n v="4"/>
    <s v="Life Sciences"/>
    <n v="1"/>
    <n v="2"/>
    <x v="1"/>
    <n v="13570"/>
    <n v="0"/>
    <n v="3"/>
    <n v="20"/>
    <n v="0"/>
    <x v="0"/>
    <x v="2"/>
    <x v="1"/>
    <n v="2"/>
    <s v="Master"/>
    <s v="Low"/>
    <x v="1"/>
    <s v="High"/>
  </r>
  <r>
    <n v="34"/>
    <x v="1"/>
    <x v="0"/>
    <n v="28"/>
    <n v="3"/>
    <s v="Marketing"/>
    <n v="4"/>
    <n v="3"/>
    <x v="1"/>
    <n v="6712"/>
    <n v="1"/>
    <n v="3"/>
    <n v="8"/>
    <n v="0"/>
    <x v="2"/>
    <x v="0"/>
    <x v="0"/>
    <n v="3.3333333333333335"/>
    <s v="Bachelor"/>
    <s v="Very High"/>
    <x v="2"/>
    <s v="High"/>
  </r>
  <r>
    <n v="36"/>
    <x v="1"/>
    <x v="0"/>
    <n v="15"/>
    <n v="4"/>
    <s v="Marketing"/>
    <n v="4"/>
    <n v="4"/>
    <x v="2"/>
    <n v="5406"/>
    <n v="1"/>
    <n v="2"/>
    <n v="15"/>
    <n v="0"/>
    <x v="0"/>
    <x v="0"/>
    <x v="1"/>
    <n v="3.3333333333333335"/>
    <s v="Master"/>
    <s v="Very High"/>
    <x v="0"/>
    <s v="Medium"/>
  </r>
  <r>
    <n v="41"/>
    <x v="1"/>
    <x v="0"/>
    <n v="3"/>
    <n v="3"/>
    <s v="Life Sciences"/>
    <n v="3"/>
    <n v="2"/>
    <x v="2"/>
    <n v="8938"/>
    <n v="2"/>
    <n v="3"/>
    <n v="5"/>
    <n v="0"/>
    <x v="0"/>
    <x v="2"/>
    <x v="0"/>
    <n v="2.6666666666666665"/>
    <s v="Bachelor"/>
    <s v="High"/>
    <x v="1"/>
    <s v="High"/>
  </r>
  <r>
    <n v="32"/>
    <x v="1"/>
    <x v="1"/>
    <n v="2"/>
    <n v="3"/>
    <s v="Technical Degree"/>
    <n v="4"/>
    <n v="1"/>
    <x v="0"/>
    <n v="2439"/>
    <n v="1"/>
    <n v="3"/>
    <n v="4"/>
    <n v="0"/>
    <x v="2"/>
    <x v="1"/>
    <x v="3"/>
    <n v="2.6666666666666665"/>
    <s v="Bachelor"/>
    <s v="Very High"/>
    <x v="3"/>
    <s v="High"/>
  </r>
  <r>
    <n v="35"/>
    <x v="1"/>
    <x v="2"/>
    <n v="26"/>
    <n v="4"/>
    <s v="Life Sciences"/>
    <n v="3"/>
    <n v="4"/>
    <x v="0"/>
    <n v="8837"/>
    <n v="1"/>
    <n v="3"/>
    <n v="9"/>
    <n v="0"/>
    <x v="0"/>
    <x v="2"/>
    <x v="0"/>
    <n v="3.3333333333333335"/>
    <s v="Master"/>
    <s v="High"/>
    <x v="0"/>
    <s v="High"/>
  </r>
  <r>
    <n v="38"/>
    <x v="1"/>
    <x v="0"/>
    <n v="10"/>
    <n v="2"/>
    <s v="Life Sciences"/>
    <n v="1"/>
    <n v="4"/>
    <x v="1"/>
    <n v="5343"/>
    <n v="1"/>
    <n v="3"/>
    <n v="10"/>
    <n v="0"/>
    <x v="0"/>
    <x v="0"/>
    <x v="1"/>
    <n v="2.6666666666666665"/>
    <s v="College"/>
    <s v="Low"/>
    <x v="0"/>
    <s v="High"/>
  </r>
  <r>
    <n v="50"/>
    <x v="0"/>
    <x v="0"/>
    <n v="1"/>
    <n v="4"/>
    <s v="Life Sciences"/>
    <n v="2"/>
    <n v="3"/>
    <x v="2"/>
    <n v="6728"/>
    <n v="7"/>
    <n v="3"/>
    <n v="6"/>
    <n v="1"/>
    <x v="1"/>
    <x v="0"/>
    <x v="0"/>
    <n v="2.6666666666666665"/>
    <s v="Master"/>
    <s v="Medium"/>
    <x v="2"/>
    <s v="High"/>
  </r>
  <r>
    <n v="36"/>
    <x v="1"/>
    <x v="0"/>
    <n v="11"/>
    <n v="4"/>
    <s v="Marketing"/>
    <n v="2"/>
    <n v="4"/>
    <x v="1"/>
    <n v="6652"/>
    <n v="4"/>
    <n v="2"/>
    <n v="6"/>
    <n v="0"/>
    <x v="0"/>
    <x v="0"/>
    <x v="0"/>
    <n v="2.6666666666666665"/>
    <s v="Master"/>
    <s v="Medium"/>
    <x v="0"/>
    <s v="Medium"/>
  </r>
  <r>
    <n v="45"/>
    <x v="1"/>
    <x v="0"/>
    <n v="20"/>
    <n v="3"/>
    <s v="Life Sciences"/>
    <n v="4"/>
    <n v="3"/>
    <x v="0"/>
    <n v="4850"/>
    <n v="8"/>
    <n v="3"/>
    <n v="5"/>
    <n v="0"/>
    <x v="1"/>
    <x v="0"/>
    <x v="0"/>
    <n v="3.3333333333333335"/>
    <s v="Bachelor"/>
    <s v="Very High"/>
    <x v="2"/>
    <s v="High"/>
  </r>
  <r>
    <n v="40"/>
    <x v="1"/>
    <x v="1"/>
    <n v="2"/>
    <n v="4"/>
    <s v="Life Sciences"/>
    <n v="3"/>
    <n v="3"/>
    <x v="0"/>
    <n v="2809"/>
    <n v="2"/>
    <n v="3"/>
    <n v="2"/>
    <n v="0"/>
    <x v="0"/>
    <x v="1"/>
    <x v="3"/>
    <n v="3"/>
    <s v="Master"/>
    <s v="High"/>
    <x v="2"/>
    <s v="High"/>
  </r>
  <r>
    <n v="35"/>
    <x v="1"/>
    <x v="1"/>
    <n v="18"/>
    <n v="4"/>
    <s v="Life Sciences"/>
    <n v="3"/>
    <n v="3"/>
    <x v="1"/>
    <n v="5689"/>
    <n v="1"/>
    <n v="4"/>
    <n v="10"/>
    <n v="0"/>
    <x v="0"/>
    <x v="0"/>
    <x v="1"/>
    <n v="3.3333333333333335"/>
    <s v="Master"/>
    <s v="High"/>
    <x v="2"/>
    <s v="Very High"/>
  </r>
  <r>
    <n v="40"/>
    <x v="1"/>
    <x v="1"/>
    <n v="2"/>
    <n v="4"/>
    <s v="Medical"/>
    <n v="3"/>
    <n v="3"/>
    <x v="1"/>
    <n v="2001"/>
    <n v="2"/>
    <n v="3"/>
    <n v="5"/>
    <n v="0"/>
    <x v="0"/>
    <x v="1"/>
    <x v="0"/>
    <n v="3"/>
    <s v="Master"/>
    <s v="High"/>
    <x v="2"/>
    <s v="High"/>
  </r>
  <r>
    <n v="35"/>
    <x v="1"/>
    <x v="1"/>
    <n v="1"/>
    <n v="4"/>
    <s v="Life Sciences"/>
    <n v="3"/>
    <n v="4"/>
    <x v="1"/>
    <n v="2977"/>
    <n v="1"/>
    <n v="3"/>
    <n v="4"/>
    <n v="0"/>
    <x v="0"/>
    <x v="1"/>
    <x v="3"/>
    <n v="3.3333333333333335"/>
    <s v="Master"/>
    <s v="High"/>
    <x v="0"/>
    <s v="High"/>
  </r>
  <r>
    <n v="29"/>
    <x v="1"/>
    <x v="1"/>
    <n v="13"/>
    <n v="2"/>
    <s v="Other"/>
    <n v="4"/>
    <n v="2"/>
    <x v="1"/>
    <n v="4025"/>
    <n v="4"/>
    <n v="3"/>
    <n v="4"/>
    <n v="0"/>
    <x v="2"/>
    <x v="0"/>
    <x v="3"/>
    <n v="3"/>
    <s v="College"/>
    <s v="Very High"/>
    <x v="1"/>
    <s v="High"/>
  </r>
  <r>
    <n v="29"/>
    <x v="1"/>
    <x v="1"/>
    <n v="28"/>
    <n v="4"/>
    <s v="Medical"/>
    <n v="4"/>
    <n v="1"/>
    <x v="0"/>
    <n v="3785"/>
    <n v="1"/>
    <n v="1"/>
    <n v="5"/>
    <n v="0"/>
    <x v="2"/>
    <x v="0"/>
    <x v="0"/>
    <n v="2"/>
    <s v="Master"/>
    <s v="Very High"/>
    <x v="3"/>
    <s v="Low"/>
  </r>
  <r>
    <n v="50"/>
    <x v="0"/>
    <x v="0"/>
    <n v="28"/>
    <n v="3"/>
    <s v="Marketing"/>
    <n v="4"/>
    <n v="1"/>
    <x v="2"/>
    <n v="10854"/>
    <n v="4"/>
    <n v="3"/>
    <n v="3"/>
    <n v="1"/>
    <x v="1"/>
    <x v="2"/>
    <x v="3"/>
    <n v="2.6666666666666665"/>
    <s v="Bachelor"/>
    <s v="Very High"/>
    <x v="3"/>
    <s v="High"/>
  </r>
  <r>
    <n v="39"/>
    <x v="1"/>
    <x v="0"/>
    <n v="24"/>
    <n v="1"/>
    <s v="Marketing"/>
    <n v="2"/>
    <n v="4"/>
    <x v="1"/>
    <n v="12031"/>
    <n v="0"/>
    <n v="2"/>
    <n v="20"/>
    <n v="0"/>
    <x v="0"/>
    <x v="2"/>
    <x v="1"/>
    <n v="2.6666666666666665"/>
    <s v="Below College"/>
    <s v="Medium"/>
    <x v="0"/>
    <s v="Medium"/>
  </r>
  <r>
    <n v="31"/>
    <x v="1"/>
    <x v="1"/>
    <n v="5"/>
    <n v="3"/>
    <s v="Medical"/>
    <n v="2"/>
    <n v="1"/>
    <x v="0"/>
    <n v="9936"/>
    <n v="0"/>
    <n v="3"/>
    <n v="9"/>
    <n v="0"/>
    <x v="2"/>
    <x v="2"/>
    <x v="0"/>
    <n v="2"/>
    <s v="Bachelor"/>
    <s v="Medium"/>
    <x v="3"/>
    <s v="High"/>
  </r>
  <r>
    <n v="26"/>
    <x v="1"/>
    <x v="0"/>
    <n v="5"/>
    <n v="3"/>
    <s v="Other"/>
    <n v="4"/>
    <n v="3"/>
    <x v="0"/>
    <n v="2966"/>
    <n v="0"/>
    <n v="3"/>
    <n v="4"/>
    <n v="0"/>
    <x v="2"/>
    <x v="1"/>
    <x v="3"/>
    <n v="3.3333333333333335"/>
    <s v="Bachelor"/>
    <s v="Very High"/>
    <x v="2"/>
    <s v="High"/>
  </r>
  <r>
    <n v="36"/>
    <x v="1"/>
    <x v="1"/>
    <n v="23"/>
    <n v="2"/>
    <s v="Medical"/>
    <n v="3"/>
    <n v="4"/>
    <x v="1"/>
    <n v="2571"/>
    <n v="4"/>
    <n v="3"/>
    <n v="5"/>
    <n v="0"/>
    <x v="0"/>
    <x v="1"/>
    <x v="0"/>
    <n v="3.3333333333333335"/>
    <s v="College"/>
    <s v="High"/>
    <x v="0"/>
    <s v="High"/>
  </r>
  <r>
    <n v="39"/>
    <x v="1"/>
    <x v="1"/>
    <n v="6"/>
    <n v="1"/>
    <s v="Medical"/>
    <n v="4"/>
    <n v="1"/>
    <x v="1"/>
    <n v="9991"/>
    <n v="4"/>
    <n v="3"/>
    <n v="7"/>
    <n v="0"/>
    <x v="0"/>
    <x v="2"/>
    <x v="0"/>
    <n v="2.6666666666666665"/>
    <s v="Below College"/>
    <s v="Very High"/>
    <x v="3"/>
    <s v="High"/>
  </r>
  <r>
    <n v="27"/>
    <x v="1"/>
    <x v="1"/>
    <n v="4"/>
    <n v="3"/>
    <s v="Life Sciences"/>
    <n v="2"/>
    <n v="2"/>
    <x v="1"/>
    <n v="6142"/>
    <n v="1"/>
    <n v="3"/>
    <n v="6"/>
    <n v="0"/>
    <x v="2"/>
    <x v="0"/>
    <x v="0"/>
    <n v="2.3333333333333335"/>
    <s v="Bachelor"/>
    <s v="Medium"/>
    <x v="1"/>
    <s v="High"/>
  </r>
  <r>
    <n v="49"/>
    <x v="1"/>
    <x v="0"/>
    <n v="2"/>
    <n v="3"/>
    <s v="Medical"/>
    <n v="4"/>
    <n v="2"/>
    <x v="1"/>
    <n v="5390"/>
    <n v="2"/>
    <n v="2"/>
    <n v="9"/>
    <n v="0"/>
    <x v="1"/>
    <x v="0"/>
    <x v="0"/>
    <n v="2.6666666666666665"/>
    <s v="Bachelor"/>
    <s v="Very High"/>
    <x v="1"/>
    <s v="Medium"/>
  </r>
  <r>
    <n v="34"/>
    <x v="1"/>
    <x v="1"/>
    <n v="8"/>
    <n v="3"/>
    <s v="Medical"/>
    <n v="2"/>
    <n v="3"/>
    <x v="1"/>
    <n v="4404"/>
    <n v="2"/>
    <n v="4"/>
    <n v="4"/>
    <n v="0"/>
    <x v="2"/>
    <x v="0"/>
    <x v="3"/>
    <n v="3"/>
    <s v="Bachelor"/>
    <s v="Medium"/>
    <x v="2"/>
    <s v="Very 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E186E-9072-4165-ADBF-D34262E23079}" name="PivotTable6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12:J15" firstHeaderRow="0" firstDataRow="1" firstDataCol="1"/>
  <pivotFields count="22"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4"/>
        <item x="2"/>
        <item x="0"/>
        <item x="1"/>
        <item x="3"/>
        <item t="default"/>
      </items>
    </pivotField>
    <pivotField compact="0" outline="0" showAll="0"/>
    <pivotField compact="0" outline="0" showAll="0">
      <items count="5">
        <item x="3"/>
        <item x="0"/>
        <item x="2"/>
        <item x="1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>
      <items count="5">
        <item x="2"/>
        <item x="3"/>
        <item x="1"/>
        <item x="0"/>
        <item t="default"/>
      </items>
    </pivotField>
    <pivotField compact="0" outline="0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tisfactionAvg" fld="17" subtotal="average" baseField="0" baseItem="0" numFmtId="164"/>
    <dataField name="Average of DistanceFromHome" fld="3" subtotal="average" baseField="0" baseItem="0"/>
    <dataField name="Average of NumCompaniesWorked" fld="10" subtotal="average" baseField="0" baseItem="0"/>
  </dataFields>
  <formats count="1">
    <format dxfId="16">
      <pivotArea grandRow="1" outline="0" collapsedLevelsAreSubtotals="1" fieldPosition="0"/>
    </format>
  </formats>
  <chartFormats count="1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3E850-E47F-4C1D-96FB-E504340B19B7}" name="PivotTable5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12:E16" firstHeaderRow="1" firstDataRow="1" firstDataCol="1"/>
  <pivotFields count="22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6">
        <item x="4"/>
        <item x="2"/>
        <item x="0"/>
        <item x="1"/>
        <item x="3"/>
        <item t="default"/>
      </items>
    </pivotField>
    <pivotField compact="0" outline="0" showAll="0"/>
    <pivotField compact="0" outline="0" showAll="0">
      <items count="5">
        <item x="3"/>
        <item x="0"/>
        <item x="2"/>
        <item x="1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Flag" fld="13" subtotal="average" baseField="0" baseItem="0"/>
  </dataFields>
  <formats count="3">
    <format dxfId="13">
      <pivotArea outline="0" fieldPosition="0">
        <references count="1">
          <reference field="8" count="0" selected="0"/>
        </references>
      </pivotArea>
    </format>
    <format dxfId="14">
      <pivotArea outline="0" fieldPosition="0">
        <references count="1">
          <reference field="8" count="1" selected="0">
            <x v="0"/>
          </reference>
        </references>
      </pivotArea>
    </format>
    <format dxfId="15">
      <pivotArea grandRow="1"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953CE-F539-4121-99CF-36E81D07B63D}" name="PivotTable4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2:B17" firstHeaderRow="1" firstDataRow="1" firstDataCol="1"/>
  <pivotFields count="22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6">
        <item x="4"/>
        <item x="2"/>
        <item x="0"/>
        <item x="1"/>
        <item x="3"/>
        <item t="default"/>
      </items>
    </pivotField>
    <pivotField compact="0" outline="0" showAll="0"/>
    <pivotField axis="axisRow" compact="0" outline="0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Average of AttritionFlag" fld="13" subtotal="average" baseField="0" baseItem="0"/>
  </dataFields>
  <formats count="2">
    <format dxfId="11">
      <pivotArea outline="0" fieldPosition="0">
        <references count="1">
          <reference field="16" count="0" selected="0"/>
        </references>
      </pivotArea>
    </format>
    <format dxfId="12">
      <pivotArea grandRow="1"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70448-1063-4429-A3D9-5B8B6E21C147}" name="PivotTable3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H7" firstHeaderRow="1" firstDataRow="1" firstDataCol="1"/>
  <pivotFields count="22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6">
        <item x="4"/>
        <item x="2"/>
        <item x="0"/>
        <item x="1"/>
        <item x="3"/>
        <item t="default"/>
      </items>
    </pivotField>
    <pivotField axis="axisRow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Average of AttritionFlag" fld="13" subtotal="average" baseField="0" baseItem="0"/>
  </dataFields>
  <formats count="2">
    <format dxfId="9">
      <pivotArea outline="0" fieldPosition="0">
        <references count="1">
          <reference field="15" count="0" selected="0"/>
        </references>
      </pivotArea>
    </format>
    <format dxfId="10">
      <pivotArea grandRow="1" outline="0" collapsedLevelsAreSubtotals="1" fieldPosition="0"/>
    </format>
  </format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17D4C-FC0D-48A1-BBD5-3D461A253EBE}" name="PivotTable2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9" firstHeaderRow="1" firstDataRow="1" firstDataCol="1"/>
  <pivotFields count="22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descending">
      <items count="6">
        <item x="3"/>
        <item x="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6">
    <i>
      <x v="4"/>
    </i>
    <i>
      <x v="3"/>
    </i>
    <i>
      <x/>
    </i>
    <i>
      <x v="1"/>
    </i>
    <i>
      <x v="2"/>
    </i>
    <i t="grand">
      <x/>
    </i>
  </rowItems>
  <colItems count="1">
    <i/>
  </colItems>
  <dataFields count="1">
    <dataField name="Average of AttritionFlag" fld="13" subtotal="average" baseField="0" baseItem="0"/>
  </dataFields>
  <formats count="6">
    <format dxfId="3">
      <pivotArea outline="0" fieldPosition="0">
        <references count="1">
          <reference field="14" count="1" selected="0">
            <x v="4"/>
          </reference>
        </references>
      </pivotArea>
    </format>
    <format dxfId="4">
      <pivotArea outline="0" fieldPosition="0">
        <references count="1">
          <reference field="14" count="1" selected="0">
            <x v="3"/>
          </reference>
        </references>
      </pivotArea>
    </format>
    <format dxfId="5">
      <pivotArea outline="0" fieldPosition="0">
        <references count="1">
          <reference field="14" count="1" selected="0">
            <x v="2"/>
          </reference>
        </references>
      </pivotArea>
    </format>
    <format dxfId="6">
      <pivotArea outline="0" fieldPosition="0">
        <references count="1">
          <reference field="14" count="1" selected="0">
            <x v="1"/>
          </reference>
        </references>
      </pivotArea>
    </format>
    <format dxfId="7">
      <pivotArea outline="0" fieldPosition="0">
        <references count="1">
          <reference field="14" count="1" selected="0">
            <x v="0"/>
          </reference>
        </references>
      </pivotArea>
    </format>
    <format dxfId="8">
      <pivotArea grandRow="1"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3957A-6EBE-49CB-A1A1-779B7C42CA76}" name="PivotTable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2"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Average of AttritionFlag" fld="13" subtotal="average" baseField="0" baseItem="0"/>
  </dataFields>
  <formats count="3">
    <format dxfId="0">
      <pivotArea outline="0" fieldPosition="0">
        <references count="1">
          <reference field="2" count="1" selected="0">
            <x v="2"/>
          </reference>
        </references>
      </pivotArea>
    </format>
    <format dxfId="1">
      <pivotArea grandRow="1" outline="0" collapsedLevelsAreSubtotals="1" fieldPosition="0"/>
    </format>
    <format dxfId="2">
      <pivotArea outline="0" fieldPosition="0">
        <references count="1">
          <reference field="2" count="2" selected="0">
            <x v="0"/>
            <x v="1"/>
          </reference>
        </references>
      </pivotArea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A86A-95E6-4818-A2A5-17162309ABE7}">
  <dimension ref="A1:M1471"/>
  <sheetViews>
    <sheetView topLeftCell="C1" workbookViewId="0">
      <selection activeCell="L5" sqref="L5"/>
    </sheetView>
  </sheetViews>
  <sheetFormatPr defaultRowHeight="15"/>
  <cols>
    <col min="1" max="1" width="6.85546875" bestFit="1" customWidth="1"/>
    <col min="2" max="2" width="11.140625" bestFit="1" customWidth="1"/>
    <col min="3" max="3" width="23.7109375" bestFit="1" customWidth="1"/>
    <col min="4" max="4" width="21.28515625" bestFit="1" customWidth="1"/>
    <col min="5" max="5" width="12.28515625" bestFit="1" customWidth="1"/>
    <col min="6" max="6" width="17" bestFit="1" customWidth="1"/>
    <col min="7" max="7" width="25.7109375" bestFit="1" customWidth="1"/>
    <col min="8" max="8" width="17" bestFit="1" customWidth="1"/>
    <col min="9" max="9" width="15.7109375" bestFit="1" customWidth="1"/>
    <col min="10" max="10" width="17.7109375" bestFit="1" customWidth="1"/>
    <col min="11" max="11" width="25.140625" bestFit="1" customWidth="1"/>
    <col min="12" max="12" width="18.5703125" bestFit="1" customWidth="1"/>
    <col min="13" max="13" width="16.140625" bestFit="1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41</v>
      </c>
      <c r="B2" t="s">
        <v>13</v>
      </c>
      <c r="C2" t="s">
        <v>14</v>
      </c>
      <c r="D2">
        <v>1</v>
      </c>
      <c r="E2">
        <v>2</v>
      </c>
      <c r="F2" t="s">
        <v>15</v>
      </c>
      <c r="G2">
        <v>2</v>
      </c>
      <c r="H2">
        <v>4</v>
      </c>
      <c r="I2" t="s">
        <v>16</v>
      </c>
      <c r="J2">
        <v>5993</v>
      </c>
      <c r="K2">
        <v>8</v>
      </c>
      <c r="L2">
        <v>1</v>
      </c>
      <c r="M2">
        <v>6</v>
      </c>
    </row>
    <row r="3" spans="1:13">
      <c r="A3">
        <v>49</v>
      </c>
      <c r="B3" t="s">
        <v>17</v>
      </c>
      <c r="C3" t="s">
        <v>18</v>
      </c>
      <c r="D3">
        <v>8</v>
      </c>
      <c r="E3">
        <v>1</v>
      </c>
      <c r="F3" t="s">
        <v>15</v>
      </c>
      <c r="G3">
        <v>3</v>
      </c>
      <c r="H3">
        <v>2</v>
      </c>
      <c r="I3" t="s">
        <v>19</v>
      </c>
      <c r="J3">
        <v>5130</v>
      </c>
      <c r="K3">
        <v>1</v>
      </c>
      <c r="L3">
        <v>3</v>
      </c>
      <c r="M3">
        <v>10</v>
      </c>
    </row>
    <row r="4" spans="1:13">
      <c r="A4">
        <v>37</v>
      </c>
      <c r="B4" t="s">
        <v>13</v>
      </c>
      <c r="C4" t="s">
        <v>18</v>
      </c>
      <c r="D4">
        <v>2</v>
      </c>
      <c r="E4">
        <v>2</v>
      </c>
      <c r="F4" t="s">
        <v>20</v>
      </c>
      <c r="G4">
        <v>4</v>
      </c>
      <c r="H4">
        <v>3</v>
      </c>
      <c r="I4" t="s">
        <v>16</v>
      </c>
      <c r="J4">
        <v>2090</v>
      </c>
      <c r="K4">
        <v>6</v>
      </c>
      <c r="L4">
        <v>3</v>
      </c>
      <c r="M4">
        <v>0</v>
      </c>
    </row>
    <row r="5" spans="1:13">
      <c r="A5">
        <v>33</v>
      </c>
      <c r="B5" t="s">
        <v>17</v>
      </c>
      <c r="C5" t="s">
        <v>18</v>
      </c>
      <c r="D5">
        <v>3</v>
      </c>
      <c r="E5">
        <v>4</v>
      </c>
      <c r="F5" t="s">
        <v>15</v>
      </c>
      <c r="G5">
        <v>4</v>
      </c>
      <c r="H5">
        <v>3</v>
      </c>
      <c r="I5" t="s">
        <v>19</v>
      </c>
      <c r="J5">
        <v>2909</v>
      </c>
      <c r="K5">
        <v>1</v>
      </c>
      <c r="L5">
        <v>3</v>
      </c>
      <c r="M5">
        <v>8</v>
      </c>
    </row>
    <row r="6" spans="1:13">
      <c r="A6">
        <v>27</v>
      </c>
      <c r="B6" t="s">
        <v>17</v>
      </c>
      <c r="C6" t="s">
        <v>18</v>
      </c>
      <c r="D6">
        <v>2</v>
      </c>
      <c r="E6">
        <v>1</v>
      </c>
      <c r="F6" t="s">
        <v>21</v>
      </c>
      <c r="G6">
        <v>1</v>
      </c>
      <c r="H6">
        <v>2</v>
      </c>
      <c r="I6" t="s">
        <v>19</v>
      </c>
      <c r="J6">
        <v>3468</v>
      </c>
      <c r="K6">
        <v>9</v>
      </c>
      <c r="L6">
        <v>3</v>
      </c>
      <c r="M6">
        <v>2</v>
      </c>
    </row>
    <row r="7" spans="1:13">
      <c r="A7">
        <v>32</v>
      </c>
      <c r="B7" t="s">
        <v>17</v>
      </c>
      <c r="C7" t="s">
        <v>18</v>
      </c>
      <c r="D7">
        <v>2</v>
      </c>
      <c r="E7">
        <v>2</v>
      </c>
      <c r="F7" t="s">
        <v>15</v>
      </c>
      <c r="G7">
        <v>4</v>
      </c>
      <c r="H7">
        <v>4</v>
      </c>
      <c r="I7" t="s">
        <v>16</v>
      </c>
      <c r="J7">
        <v>3068</v>
      </c>
      <c r="K7">
        <v>0</v>
      </c>
      <c r="L7">
        <v>2</v>
      </c>
      <c r="M7">
        <v>7</v>
      </c>
    </row>
    <row r="8" spans="1:13">
      <c r="A8">
        <v>59</v>
      </c>
      <c r="B8" t="s">
        <v>17</v>
      </c>
      <c r="C8" t="s">
        <v>18</v>
      </c>
      <c r="D8">
        <v>3</v>
      </c>
      <c r="E8">
        <v>3</v>
      </c>
      <c r="F8" t="s">
        <v>21</v>
      </c>
      <c r="G8">
        <v>3</v>
      </c>
      <c r="H8">
        <v>1</v>
      </c>
      <c r="I8" t="s">
        <v>19</v>
      </c>
      <c r="J8">
        <v>2670</v>
      </c>
      <c r="K8">
        <v>4</v>
      </c>
      <c r="L8">
        <v>2</v>
      </c>
      <c r="M8">
        <v>1</v>
      </c>
    </row>
    <row r="9" spans="1:13">
      <c r="A9">
        <v>30</v>
      </c>
      <c r="B9" t="s">
        <v>17</v>
      </c>
      <c r="C9" t="s">
        <v>18</v>
      </c>
      <c r="D9">
        <v>24</v>
      </c>
      <c r="E9">
        <v>1</v>
      </c>
      <c r="F9" t="s">
        <v>15</v>
      </c>
      <c r="G9">
        <v>4</v>
      </c>
      <c r="H9">
        <v>3</v>
      </c>
      <c r="I9" t="s">
        <v>22</v>
      </c>
      <c r="J9">
        <v>2693</v>
      </c>
      <c r="K9">
        <v>1</v>
      </c>
      <c r="L9">
        <v>3</v>
      </c>
      <c r="M9">
        <v>1</v>
      </c>
    </row>
    <row r="10" spans="1:13">
      <c r="A10">
        <v>38</v>
      </c>
      <c r="B10" t="s">
        <v>17</v>
      </c>
      <c r="C10" t="s">
        <v>18</v>
      </c>
      <c r="D10">
        <v>23</v>
      </c>
      <c r="E10">
        <v>3</v>
      </c>
      <c r="F10" t="s">
        <v>15</v>
      </c>
      <c r="G10">
        <v>4</v>
      </c>
      <c r="H10">
        <v>3</v>
      </c>
      <c r="I10" t="s">
        <v>16</v>
      </c>
      <c r="J10">
        <v>9526</v>
      </c>
      <c r="K10">
        <v>0</v>
      </c>
      <c r="L10">
        <v>3</v>
      </c>
      <c r="M10">
        <v>9</v>
      </c>
    </row>
    <row r="11" spans="1:13">
      <c r="A11">
        <v>36</v>
      </c>
      <c r="B11" t="s">
        <v>17</v>
      </c>
      <c r="C11" t="s">
        <v>18</v>
      </c>
      <c r="D11">
        <v>27</v>
      </c>
      <c r="E11">
        <v>3</v>
      </c>
      <c r="F11" t="s">
        <v>21</v>
      </c>
      <c r="G11">
        <v>3</v>
      </c>
      <c r="H11">
        <v>3</v>
      </c>
      <c r="I11" t="s">
        <v>19</v>
      </c>
      <c r="J11">
        <v>5237</v>
      </c>
      <c r="K11">
        <v>6</v>
      </c>
      <c r="L11">
        <v>2</v>
      </c>
      <c r="M11">
        <v>7</v>
      </c>
    </row>
    <row r="12" spans="1:13">
      <c r="A12">
        <v>35</v>
      </c>
      <c r="B12" t="s">
        <v>17</v>
      </c>
      <c r="C12" t="s">
        <v>18</v>
      </c>
      <c r="D12">
        <v>16</v>
      </c>
      <c r="E12">
        <v>3</v>
      </c>
      <c r="F12" t="s">
        <v>21</v>
      </c>
      <c r="G12">
        <v>1</v>
      </c>
      <c r="H12">
        <v>2</v>
      </c>
      <c r="I12" t="s">
        <v>19</v>
      </c>
      <c r="J12">
        <v>2426</v>
      </c>
      <c r="K12">
        <v>0</v>
      </c>
      <c r="L12">
        <v>3</v>
      </c>
      <c r="M12">
        <v>5</v>
      </c>
    </row>
    <row r="13" spans="1:13">
      <c r="A13">
        <v>29</v>
      </c>
      <c r="B13" t="s">
        <v>17</v>
      </c>
      <c r="C13" t="s">
        <v>18</v>
      </c>
      <c r="D13">
        <v>15</v>
      </c>
      <c r="E13">
        <v>2</v>
      </c>
      <c r="F13" t="s">
        <v>15</v>
      </c>
      <c r="G13">
        <v>4</v>
      </c>
      <c r="H13">
        <v>3</v>
      </c>
      <c r="I13" t="s">
        <v>16</v>
      </c>
      <c r="J13">
        <v>4193</v>
      </c>
      <c r="K13">
        <v>0</v>
      </c>
      <c r="L13">
        <v>3</v>
      </c>
      <c r="M13">
        <v>9</v>
      </c>
    </row>
    <row r="14" spans="1:13">
      <c r="A14">
        <v>31</v>
      </c>
      <c r="B14" t="s">
        <v>17</v>
      </c>
      <c r="C14" t="s">
        <v>18</v>
      </c>
      <c r="D14">
        <v>26</v>
      </c>
      <c r="E14">
        <v>1</v>
      </c>
      <c r="F14" t="s">
        <v>15</v>
      </c>
      <c r="G14">
        <v>1</v>
      </c>
      <c r="H14">
        <v>3</v>
      </c>
      <c r="I14" t="s">
        <v>22</v>
      </c>
      <c r="J14">
        <v>2911</v>
      </c>
      <c r="K14">
        <v>1</v>
      </c>
      <c r="L14">
        <v>2</v>
      </c>
      <c r="M14">
        <v>5</v>
      </c>
    </row>
    <row r="15" spans="1:13">
      <c r="A15">
        <v>34</v>
      </c>
      <c r="B15" t="s">
        <v>17</v>
      </c>
      <c r="C15" t="s">
        <v>18</v>
      </c>
      <c r="D15">
        <v>19</v>
      </c>
      <c r="E15">
        <v>2</v>
      </c>
      <c r="F15" t="s">
        <v>21</v>
      </c>
      <c r="G15">
        <v>2</v>
      </c>
      <c r="H15">
        <v>4</v>
      </c>
      <c r="I15" t="s">
        <v>22</v>
      </c>
      <c r="J15">
        <v>2661</v>
      </c>
      <c r="K15">
        <v>0</v>
      </c>
      <c r="L15">
        <v>3</v>
      </c>
      <c r="M15">
        <v>2</v>
      </c>
    </row>
    <row r="16" spans="1:13">
      <c r="A16">
        <v>28</v>
      </c>
      <c r="B16" t="s">
        <v>13</v>
      </c>
      <c r="C16" t="s">
        <v>18</v>
      </c>
      <c r="D16">
        <v>24</v>
      </c>
      <c r="E16">
        <v>3</v>
      </c>
      <c r="F16" t="s">
        <v>15</v>
      </c>
      <c r="G16">
        <v>3</v>
      </c>
      <c r="H16">
        <v>3</v>
      </c>
      <c r="I16" t="s">
        <v>16</v>
      </c>
      <c r="J16">
        <v>2028</v>
      </c>
      <c r="K16">
        <v>5</v>
      </c>
      <c r="L16">
        <v>3</v>
      </c>
      <c r="M16">
        <v>4</v>
      </c>
    </row>
    <row r="17" spans="1:13">
      <c r="A17">
        <v>29</v>
      </c>
      <c r="B17" t="s">
        <v>17</v>
      </c>
      <c r="C17" t="s">
        <v>18</v>
      </c>
      <c r="D17">
        <v>21</v>
      </c>
      <c r="E17">
        <v>4</v>
      </c>
      <c r="F17" t="s">
        <v>15</v>
      </c>
      <c r="G17">
        <v>2</v>
      </c>
      <c r="H17">
        <v>1</v>
      </c>
      <c r="I17" t="s">
        <v>22</v>
      </c>
      <c r="J17">
        <v>9980</v>
      </c>
      <c r="K17">
        <v>1</v>
      </c>
      <c r="L17">
        <v>3</v>
      </c>
      <c r="M17">
        <v>10</v>
      </c>
    </row>
    <row r="18" spans="1:13">
      <c r="A18">
        <v>32</v>
      </c>
      <c r="B18" t="s">
        <v>17</v>
      </c>
      <c r="C18" t="s">
        <v>18</v>
      </c>
      <c r="D18">
        <v>5</v>
      </c>
      <c r="E18">
        <v>2</v>
      </c>
      <c r="F18" t="s">
        <v>15</v>
      </c>
      <c r="G18">
        <v>1</v>
      </c>
      <c r="H18">
        <v>2</v>
      </c>
      <c r="I18" t="s">
        <v>22</v>
      </c>
      <c r="J18">
        <v>3298</v>
      </c>
      <c r="K18">
        <v>0</v>
      </c>
      <c r="L18">
        <v>2</v>
      </c>
      <c r="M18">
        <v>6</v>
      </c>
    </row>
    <row r="19" spans="1:13">
      <c r="A19">
        <v>22</v>
      </c>
      <c r="B19" t="s">
        <v>17</v>
      </c>
      <c r="C19" t="s">
        <v>18</v>
      </c>
      <c r="D19">
        <v>16</v>
      </c>
      <c r="E19">
        <v>2</v>
      </c>
      <c r="F19" t="s">
        <v>21</v>
      </c>
      <c r="G19">
        <v>4</v>
      </c>
      <c r="H19">
        <v>4</v>
      </c>
      <c r="I19" t="s">
        <v>22</v>
      </c>
      <c r="J19">
        <v>2935</v>
      </c>
      <c r="K19">
        <v>1</v>
      </c>
      <c r="L19">
        <v>2</v>
      </c>
      <c r="M19">
        <v>1</v>
      </c>
    </row>
    <row r="20" spans="1:13">
      <c r="A20">
        <v>53</v>
      </c>
      <c r="B20" t="s">
        <v>17</v>
      </c>
      <c r="C20" t="s">
        <v>14</v>
      </c>
      <c r="D20">
        <v>2</v>
      </c>
      <c r="E20">
        <v>4</v>
      </c>
      <c r="F20" t="s">
        <v>15</v>
      </c>
      <c r="G20">
        <v>1</v>
      </c>
      <c r="H20">
        <v>4</v>
      </c>
      <c r="I20" t="s">
        <v>19</v>
      </c>
      <c r="J20">
        <v>15427</v>
      </c>
      <c r="K20">
        <v>2</v>
      </c>
      <c r="L20">
        <v>3</v>
      </c>
      <c r="M20">
        <v>25</v>
      </c>
    </row>
    <row r="21" spans="1:13">
      <c r="A21">
        <v>38</v>
      </c>
      <c r="B21" t="s">
        <v>17</v>
      </c>
      <c r="C21" t="s">
        <v>18</v>
      </c>
      <c r="D21">
        <v>2</v>
      </c>
      <c r="E21">
        <v>3</v>
      </c>
      <c r="F21" t="s">
        <v>15</v>
      </c>
      <c r="G21">
        <v>4</v>
      </c>
      <c r="H21">
        <v>4</v>
      </c>
      <c r="I21" t="s">
        <v>16</v>
      </c>
      <c r="J21">
        <v>3944</v>
      </c>
      <c r="K21">
        <v>5</v>
      </c>
      <c r="L21">
        <v>3</v>
      </c>
      <c r="M21">
        <v>3</v>
      </c>
    </row>
    <row r="22" spans="1:13">
      <c r="A22">
        <v>24</v>
      </c>
      <c r="B22" t="s">
        <v>17</v>
      </c>
      <c r="C22" t="s">
        <v>18</v>
      </c>
      <c r="D22">
        <v>11</v>
      </c>
      <c r="E22">
        <v>2</v>
      </c>
      <c r="F22" t="s">
        <v>20</v>
      </c>
      <c r="G22">
        <v>1</v>
      </c>
      <c r="H22">
        <v>3</v>
      </c>
      <c r="I22" t="s">
        <v>22</v>
      </c>
      <c r="J22">
        <v>4011</v>
      </c>
      <c r="K22">
        <v>0</v>
      </c>
      <c r="L22">
        <v>2</v>
      </c>
      <c r="M22">
        <v>4</v>
      </c>
    </row>
    <row r="23" spans="1:13">
      <c r="A23">
        <v>36</v>
      </c>
      <c r="B23" t="s">
        <v>13</v>
      </c>
      <c r="C23" t="s">
        <v>14</v>
      </c>
      <c r="D23">
        <v>9</v>
      </c>
      <c r="E23">
        <v>4</v>
      </c>
      <c r="F23" t="s">
        <v>15</v>
      </c>
      <c r="G23">
        <v>3</v>
      </c>
      <c r="H23">
        <v>1</v>
      </c>
      <c r="I23" t="s">
        <v>16</v>
      </c>
      <c r="J23">
        <v>3407</v>
      </c>
      <c r="K23">
        <v>7</v>
      </c>
      <c r="L23">
        <v>3</v>
      </c>
      <c r="M23">
        <v>5</v>
      </c>
    </row>
    <row r="24" spans="1:13">
      <c r="A24">
        <v>34</v>
      </c>
      <c r="B24" t="s">
        <v>17</v>
      </c>
      <c r="C24" t="s">
        <v>18</v>
      </c>
      <c r="D24">
        <v>7</v>
      </c>
      <c r="E24">
        <v>4</v>
      </c>
      <c r="F24" t="s">
        <v>15</v>
      </c>
      <c r="G24">
        <v>1</v>
      </c>
      <c r="H24">
        <v>2</v>
      </c>
      <c r="I24" t="s">
        <v>16</v>
      </c>
      <c r="J24">
        <v>11994</v>
      </c>
      <c r="K24">
        <v>0</v>
      </c>
      <c r="L24">
        <v>3</v>
      </c>
      <c r="M24">
        <v>12</v>
      </c>
    </row>
    <row r="25" spans="1:13">
      <c r="A25">
        <v>21</v>
      </c>
      <c r="B25" t="s">
        <v>17</v>
      </c>
      <c r="C25" t="s">
        <v>18</v>
      </c>
      <c r="D25">
        <v>15</v>
      </c>
      <c r="E25">
        <v>2</v>
      </c>
      <c r="F25" t="s">
        <v>15</v>
      </c>
      <c r="G25">
        <v>3</v>
      </c>
      <c r="H25">
        <v>4</v>
      </c>
      <c r="I25" t="s">
        <v>16</v>
      </c>
      <c r="J25">
        <v>1232</v>
      </c>
      <c r="K25">
        <v>1</v>
      </c>
      <c r="L25">
        <v>3</v>
      </c>
      <c r="M25">
        <v>0</v>
      </c>
    </row>
    <row r="26" spans="1:13">
      <c r="A26">
        <v>34</v>
      </c>
      <c r="B26" t="s">
        <v>13</v>
      </c>
      <c r="C26" t="s">
        <v>18</v>
      </c>
      <c r="D26">
        <v>6</v>
      </c>
      <c r="E26">
        <v>1</v>
      </c>
      <c r="F26" t="s">
        <v>21</v>
      </c>
      <c r="G26">
        <v>2</v>
      </c>
      <c r="H26">
        <v>1</v>
      </c>
      <c r="I26" t="s">
        <v>16</v>
      </c>
      <c r="J26">
        <v>2960</v>
      </c>
      <c r="K26">
        <v>2</v>
      </c>
      <c r="L26">
        <v>3</v>
      </c>
      <c r="M26">
        <v>4</v>
      </c>
    </row>
    <row r="27" spans="1:13">
      <c r="A27">
        <v>53</v>
      </c>
      <c r="B27" t="s">
        <v>17</v>
      </c>
      <c r="C27" t="s">
        <v>18</v>
      </c>
      <c r="D27">
        <v>5</v>
      </c>
      <c r="E27">
        <v>3</v>
      </c>
      <c r="F27" t="s">
        <v>20</v>
      </c>
      <c r="G27">
        <v>3</v>
      </c>
      <c r="H27">
        <v>3</v>
      </c>
      <c r="I27" t="s">
        <v>22</v>
      </c>
      <c r="J27">
        <v>19094</v>
      </c>
      <c r="K27">
        <v>4</v>
      </c>
      <c r="L27">
        <v>2</v>
      </c>
      <c r="M27">
        <v>14</v>
      </c>
    </row>
    <row r="28" spans="1:13">
      <c r="A28">
        <v>32</v>
      </c>
      <c r="B28" t="s">
        <v>13</v>
      </c>
      <c r="C28" t="s">
        <v>18</v>
      </c>
      <c r="D28">
        <v>16</v>
      </c>
      <c r="E28">
        <v>1</v>
      </c>
      <c r="F28" t="s">
        <v>15</v>
      </c>
      <c r="G28">
        <v>2</v>
      </c>
      <c r="H28">
        <v>1</v>
      </c>
      <c r="I28" t="s">
        <v>16</v>
      </c>
      <c r="J28">
        <v>3919</v>
      </c>
      <c r="K28">
        <v>1</v>
      </c>
      <c r="L28">
        <v>3</v>
      </c>
      <c r="M28">
        <v>10</v>
      </c>
    </row>
    <row r="29" spans="1:13">
      <c r="A29">
        <v>42</v>
      </c>
      <c r="B29" t="s">
        <v>17</v>
      </c>
      <c r="C29" t="s">
        <v>14</v>
      </c>
      <c r="D29">
        <v>8</v>
      </c>
      <c r="E29">
        <v>4</v>
      </c>
      <c r="F29" t="s">
        <v>23</v>
      </c>
      <c r="G29">
        <v>3</v>
      </c>
      <c r="H29">
        <v>2</v>
      </c>
      <c r="I29" t="s">
        <v>19</v>
      </c>
      <c r="J29">
        <v>6825</v>
      </c>
      <c r="K29">
        <v>0</v>
      </c>
      <c r="L29">
        <v>3</v>
      </c>
      <c r="M29">
        <v>9</v>
      </c>
    </row>
    <row r="30" spans="1:13">
      <c r="A30">
        <v>44</v>
      </c>
      <c r="B30" t="s">
        <v>17</v>
      </c>
      <c r="C30" t="s">
        <v>18</v>
      </c>
      <c r="D30">
        <v>7</v>
      </c>
      <c r="E30">
        <v>4</v>
      </c>
      <c r="F30" t="s">
        <v>21</v>
      </c>
      <c r="G30">
        <v>1</v>
      </c>
      <c r="H30">
        <v>4</v>
      </c>
      <c r="I30" t="s">
        <v>19</v>
      </c>
      <c r="J30">
        <v>10248</v>
      </c>
      <c r="K30">
        <v>3</v>
      </c>
      <c r="L30">
        <v>3</v>
      </c>
      <c r="M30">
        <v>22</v>
      </c>
    </row>
    <row r="31" spans="1:13">
      <c r="A31">
        <v>46</v>
      </c>
      <c r="B31" t="s">
        <v>17</v>
      </c>
      <c r="C31" t="s">
        <v>14</v>
      </c>
      <c r="D31">
        <v>2</v>
      </c>
      <c r="E31">
        <v>4</v>
      </c>
      <c r="F31" t="s">
        <v>23</v>
      </c>
      <c r="G31">
        <v>2</v>
      </c>
      <c r="H31">
        <v>1</v>
      </c>
      <c r="I31" t="s">
        <v>16</v>
      </c>
      <c r="J31">
        <v>18947</v>
      </c>
      <c r="K31">
        <v>3</v>
      </c>
      <c r="L31">
        <v>2</v>
      </c>
      <c r="M31">
        <v>2</v>
      </c>
    </row>
    <row r="32" spans="1:13">
      <c r="A32">
        <v>33</v>
      </c>
      <c r="B32" t="s">
        <v>17</v>
      </c>
      <c r="C32" t="s">
        <v>18</v>
      </c>
      <c r="D32">
        <v>2</v>
      </c>
      <c r="E32">
        <v>3</v>
      </c>
      <c r="F32" t="s">
        <v>21</v>
      </c>
      <c r="G32">
        <v>3</v>
      </c>
      <c r="H32">
        <v>4</v>
      </c>
      <c r="I32" t="s">
        <v>16</v>
      </c>
      <c r="J32">
        <v>2496</v>
      </c>
      <c r="K32">
        <v>4</v>
      </c>
      <c r="L32">
        <v>3</v>
      </c>
      <c r="M32">
        <v>1</v>
      </c>
    </row>
    <row r="33" spans="1:13">
      <c r="A33">
        <v>44</v>
      </c>
      <c r="B33" t="s">
        <v>17</v>
      </c>
      <c r="C33" t="s">
        <v>18</v>
      </c>
      <c r="D33">
        <v>10</v>
      </c>
      <c r="E33">
        <v>4</v>
      </c>
      <c r="F33" t="s">
        <v>20</v>
      </c>
      <c r="G33">
        <v>4</v>
      </c>
      <c r="H33">
        <v>4</v>
      </c>
      <c r="I33" t="s">
        <v>19</v>
      </c>
      <c r="J33">
        <v>6465</v>
      </c>
      <c r="K33">
        <v>2</v>
      </c>
      <c r="L33">
        <v>4</v>
      </c>
      <c r="M33">
        <v>4</v>
      </c>
    </row>
    <row r="34" spans="1:13">
      <c r="A34">
        <v>30</v>
      </c>
      <c r="B34" t="s">
        <v>17</v>
      </c>
      <c r="C34" t="s">
        <v>18</v>
      </c>
      <c r="D34">
        <v>9</v>
      </c>
      <c r="E34">
        <v>2</v>
      </c>
      <c r="F34" t="s">
        <v>21</v>
      </c>
      <c r="G34">
        <v>4</v>
      </c>
      <c r="H34">
        <v>3</v>
      </c>
      <c r="I34" t="s">
        <v>16</v>
      </c>
      <c r="J34">
        <v>2206</v>
      </c>
      <c r="K34">
        <v>1</v>
      </c>
      <c r="L34">
        <v>3</v>
      </c>
      <c r="M34">
        <v>10</v>
      </c>
    </row>
    <row r="35" spans="1:13">
      <c r="A35">
        <v>39</v>
      </c>
      <c r="B35" t="s">
        <v>13</v>
      </c>
      <c r="C35" t="s">
        <v>14</v>
      </c>
      <c r="D35">
        <v>5</v>
      </c>
      <c r="E35">
        <v>3</v>
      </c>
      <c r="F35" t="s">
        <v>24</v>
      </c>
      <c r="G35">
        <v>4</v>
      </c>
      <c r="H35">
        <v>4</v>
      </c>
      <c r="I35" t="s">
        <v>19</v>
      </c>
      <c r="J35">
        <v>2086</v>
      </c>
      <c r="K35">
        <v>3</v>
      </c>
      <c r="L35">
        <v>4</v>
      </c>
      <c r="M35">
        <v>1</v>
      </c>
    </row>
    <row r="36" spans="1:13">
      <c r="A36">
        <v>24</v>
      </c>
      <c r="B36" t="s">
        <v>13</v>
      </c>
      <c r="C36" t="s">
        <v>18</v>
      </c>
      <c r="D36">
        <v>1</v>
      </c>
      <c r="E36">
        <v>3</v>
      </c>
      <c r="F36" t="s">
        <v>21</v>
      </c>
      <c r="G36">
        <v>2</v>
      </c>
      <c r="H36">
        <v>4</v>
      </c>
      <c r="I36" t="s">
        <v>19</v>
      </c>
      <c r="J36">
        <v>2293</v>
      </c>
      <c r="K36">
        <v>2</v>
      </c>
      <c r="L36">
        <v>2</v>
      </c>
      <c r="M36">
        <v>2</v>
      </c>
    </row>
    <row r="37" spans="1:13">
      <c r="A37">
        <v>43</v>
      </c>
      <c r="B37" t="s">
        <v>17</v>
      </c>
      <c r="C37" t="s">
        <v>18</v>
      </c>
      <c r="D37">
        <v>2</v>
      </c>
      <c r="E37">
        <v>2</v>
      </c>
      <c r="F37" t="s">
        <v>21</v>
      </c>
      <c r="G37">
        <v>4</v>
      </c>
      <c r="H37">
        <v>3</v>
      </c>
      <c r="I37" t="s">
        <v>22</v>
      </c>
      <c r="J37">
        <v>2645</v>
      </c>
      <c r="K37">
        <v>1</v>
      </c>
      <c r="L37">
        <v>2</v>
      </c>
      <c r="M37">
        <v>5</v>
      </c>
    </row>
    <row r="38" spans="1:13">
      <c r="A38">
        <v>50</v>
      </c>
      <c r="B38" t="s">
        <v>13</v>
      </c>
      <c r="C38" t="s">
        <v>14</v>
      </c>
      <c r="D38">
        <v>3</v>
      </c>
      <c r="E38">
        <v>2</v>
      </c>
      <c r="F38" t="s">
        <v>23</v>
      </c>
      <c r="G38">
        <v>1</v>
      </c>
      <c r="H38">
        <v>3</v>
      </c>
      <c r="I38" t="s">
        <v>19</v>
      </c>
      <c r="J38">
        <v>2683</v>
      </c>
      <c r="K38">
        <v>1</v>
      </c>
      <c r="L38">
        <v>3</v>
      </c>
      <c r="M38">
        <v>3</v>
      </c>
    </row>
    <row r="39" spans="1:13">
      <c r="A39">
        <v>35</v>
      </c>
      <c r="B39" t="s">
        <v>17</v>
      </c>
      <c r="C39" t="s">
        <v>14</v>
      </c>
      <c r="D39">
        <v>2</v>
      </c>
      <c r="E39">
        <v>3</v>
      </c>
      <c r="F39" t="s">
        <v>23</v>
      </c>
      <c r="G39">
        <v>4</v>
      </c>
      <c r="H39">
        <v>4</v>
      </c>
      <c r="I39" t="s">
        <v>19</v>
      </c>
      <c r="J39">
        <v>2014</v>
      </c>
      <c r="K39">
        <v>1</v>
      </c>
      <c r="L39">
        <v>3</v>
      </c>
      <c r="M39">
        <v>2</v>
      </c>
    </row>
    <row r="40" spans="1:13">
      <c r="A40">
        <v>36</v>
      </c>
      <c r="B40" t="s">
        <v>17</v>
      </c>
      <c r="C40" t="s">
        <v>18</v>
      </c>
      <c r="D40">
        <v>5</v>
      </c>
      <c r="E40">
        <v>4</v>
      </c>
      <c r="F40" t="s">
        <v>15</v>
      </c>
      <c r="G40">
        <v>2</v>
      </c>
      <c r="H40">
        <v>1</v>
      </c>
      <c r="I40" t="s">
        <v>19</v>
      </c>
      <c r="J40">
        <v>3419</v>
      </c>
      <c r="K40">
        <v>9</v>
      </c>
      <c r="L40">
        <v>4</v>
      </c>
      <c r="M40">
        <v>1</v>
      </c>
    </row>
    <row r="41" spans="1:13">
      <c r="A41">
        <v>33</v>
      </c>
      <c r="B41" t="s">
        <v>17</v>
      </c>
      <c r="C41" t="s">
        <v>14</v>
      </c>
      <c r="D41">
        <v>1</v>
      </c>
      <c r="E41">
        <v>3</v>
      </c>
      <c r="F41" t="s">
        <v>15</v>
      </c>
      <c r="G41">
        <v>3</v>
      </c>
      <c r="H41">
        <v>1</v>
      </c>
      <c r="I41" t="s">
        <v>19</v>
      </c>
      <c r="J41">
        <v>5376</v>
      </c>
      <c r="K41">
        <v>2</v>
      </c>
      <c r="L41">
        <v>3</v>
      </c>
      <c r="M41">
        <v>5</v>
      </c>
    </row>
    <row r="42" spans="1:13">
      <c r="A42">
        <v>35</v>
      </c>
      <c r="B42" t="s">
        <v>17</v>
      </c>
      <c r="C42" t="s">
        <v>18</v>
      </c>
      <c r="D42">
        <v>4</v>
      </c>
      <c r="E42">
        <v>2</v>
      </c>
      <c r="F42" t="s">
        <v>20</v>
      </c>
      <c r="G42">
        <v>3</v>
      </c>
      <c r="H42">
        <v>4</v>
      </c>
      <c r="I42" t="s">
        <v>22</v>
      </c>
      <c r="J42">
        <v>1951</v>
      </c>
      <c r="K42">
        <v>1</v>
      </c>
      <c r="L42">
        <v>3</v>
      </c>
      <c r="M42">
        <v>1</v>
      </c>
    </row>
    <row r="43" spans="1:13">
      <c r="A43">
        <v>27</v>
      </c>
      <c r="B43" t="s">
        <v>17</v>
      </c>
      <c r="C43" t="s">
        <v>18</v>
      </c>
      <c r="D43">
        <v>2</v>
      </c>
      <c r="E43">
        <v>4</v>
      </c>
      <c r="F43" t="s">
        <v>15</v>
      </c>
      <c r="G43">
        <v>4</v>
      </c>
      <c r="H43">
        <v>1</v>
      </c>
      <c r="I43" t="s">
        <v>22</v>
      </c>
      <c r="J43">
        <v>2341</v>
      </c>
      <c r="K43">
        <v>1</v>
      </c>
      <c r="L43">
        <v>3</v>
      </c>
      <c r="M43">
        <v>1</v>
      </c>
    </row>
    <row r="44" spans="1:13">
      <c r="A44">
        <v>26</v>
      </c>
      <c r="B44" t="s">
        <v>13</v>
      </c>
      <c r="C44" t="s">
        <v>18</v>
      </c>
      <c r="D44">
        <v>25</v>
      </c>
      <c r="E44">
        <v>3</v>
      </c>
      <c r="F44" t="s">
        <v>15</v>
      </c>
      <c r="G44">
        <v>1</v>
      </c>
      <c r="H44">
        <v>3</v>
      </c>
      <c r="I44" t="s">
        <v>16</v>
      </c>
      <c r="J44">
        <v>2293</v>
      </c>
      <c r="K44">
        <v>1</v>
      </c>
      <c r="L44">
        <v>2</v>
      </c>
      <c r="M44">
        <v>1</v>
      </c>
    </row>
    <row r="45" spans="1:13">
      <c r="A45">
        <v>27</v>
      </c>
      <c r="B45" t="s">
        <v>17</v>
      </c>
      <c r="C45" t="s">
        <v>14</v>
      </c>
      <c r="D45">
        <v>8</v>
      </c>
      <c r="E45">
        <v>3</v>
      </c>
      <c r="F45" t="s">
        <v>15</v>
      </c>
      <c r="G45">
        <v>4</v>
      </c>
      <c r="H45">
        <v>3</v>
      </c>
      <c r="I45" t="s">
        <v>16</v>
      </c>
      <c r="J45">
        <v>8726</v>
      </c>
      <c r="K45">
        <v>1</v>
      </c>
      <c r="L45">
        <v>3</v>
      </c>
      <c r="M45">
        <v>9</v>
      </c>
    </row>
    <row r="46" spans="1:13">
      <c r="A46">
        <v>30</v>
      </c>
      <c r="B46" t="s">
        <v>17</v>
      </c>
      <c r="C46" t="s">
        <v>18</v>
      </c>
      <c r="D46">
        <v>1</v>
      </c>
      <c r="E46">
        <v>2</v>
      </c>
      <c r="F46" t="s">
        <v>21</v>
      </c>
      <c r="G46">
        <v>3</v>
      </c>
      <c r="H46">
        <v>4</v>
      </c>
      <c r="I46" t="s">
        <v>16</v>
      </c>
      <c r="J46">
        <v>4011</v>
      </c>
      <c r="K46">
        <v>1</v>
      </c>
      <c r="L46">
        <v>3</v>
      </c>
      <c r="M46">
        <v>12</v>
      </c>
    </row>
    <row r="47" spans="1:13">
      <c r="A47">
        <v>41</v>
      </c>
      <c r="B47" t="s">
        <v>13</v>
      </c>
      <c r="C47" t="s">
        <v>18</v>
      </c>
      <c r="D47">
        <v>12</v>
      </c>
      <c r="E47">
        <v>3</v>
      </c>
      <c r="F47" t="s">
        <v>24</v>
      </c>
      <c r="G47">
        <v>2</v>
      </c>
      <c r="H47">
        <v>3</v>
      </c>
      <c r="I47" t="s">
        <v>19</v>
      </c>
      <c r="J47">
        <v>19545</v>
      </c>
      <c r="K47">
        <v>1</v>
      </c>
      <c r="L47">
        <v>3</v>
      </c>
      <c r="M47">
        <v>22</v>
      </c>
    </row>
    <row r="48" spans="1:13">
      <c r="A48">
        <v>34</v>
      </c>
      <c r="B48" t="s">
        <v>17</v>
      </c>
      <c r="C48" t="s">
        <v>14</v>
      </c>
      <c r="D48">
        <v>23</v>
      </c>
      <c r="E48">
        <v>4</v>
      </c>
      <c r="F48" t="s">
        <v>23</v>
      </c>
      <c r="G48">
        <v>2</v>
      </c>
      <c r="H48">
        <v>3</v>
      </c>
      <c r="I48" t="s">
        <v>16</v>
      </c>
      <c r="J48">
        <v>4568</v>
      </c>
      <c r="K48">
        <v>0</v>
      </c>
      <c r="L48">
        <v>3</v>
      </c>
      <c r="M48">
        <v>9</v>
      </c>
    </row>
    <row r="49" spans="1:13">
      <c r="A49">
        <v>37</v>
      </c>
      <c r="B49" t="s">
        <v>17</v>
      </c>
      <c r="C49" t="s">
        <v>18</v>
      </c>
      <c r="D49">
        <v>19</v>
      </c>
      <c r="E49">
        <v>2</v>
      </c>
      <c r="F49" t="s">
        <v>15</v>
      </c>
      <c r="G49">
        <v>2</v>
      </c>
      <c r="H49">
        <v>2</v>
      </c>
      <c r="I49" t="s">
        <v>19</v>
      </c>
      <c r="J49">
        <v>3022</v>
      </c>
      <c r="K49">
        <v>4</v>
      </c>
      <c r="L49">
        <v>3</v>
      </c>
      <c r="M49">
        <v>1</v>
      </c>
    </row>
    <row r="50" spans="1:13">
      <c r="A50">
        <v>46</v>
      </c>
      <c r="B50" t="s">
        <v>17</v>
      </c>
      <c r="C50" t="s">
        <v>14</v>
      </c>
      <c r="D50">
        <v>5</v>
      </c>
      <c r="E50">
        <v>4</v>
      </c>
      <c r="F50" t="s">
        <v>23</v>
      </c>
      <c r="G50">
        <v>1</v>
      </c>
      <c r="H50">
        <v>4</v>
      </c>
      <c r="I50" t="s">
        <v>16</v>
      </c>
      <c r="J50">
        <v>5772</v>
      </c>
      <c r="K50">
        <v>4</v>
      </c>
      <c r="L50">
        <v>3</v>
      </c>
      <c r="M50">
        <v>9</v>
      </c>
    </row>
    <row r="51" spans="1:13">
      <c r="A51">
        <v>35</v>
      </c>
      <c r="B51" t="s">
        <v>17</v>
      </c>
      <c r="C51" t="s">
        <v>18</v>
      </c>
      <c r="D51">
        <v>8</v>
      </c>
      <c r="E51">
        <v>1</v>
      </c>
      <c r="F51" t="s">
        <v>15</v>
      </c>
      <c r="G51">
        <v>4</v>
      </c>
      <c r="H51">
        <v>4</v>
      </c>
      <c r="I51" t="s">
        <v>19</v>
      </c>
      <c r="J51">
        <v>2269</v>
      </c>
      <c r="K51">
        <v>1</v>
      </c>
      <c r="L51">
        <v>3</v>
      </c>
      <c r="M51">
        <v>1</v>
      </c>
    </row>
    <row r="52" spans="1:13">
      <c r="A52">
        <v>48</v>
      </c>
      <c r="B52" t="s">
        <v>13</v>
      </c>
      <c r="C52" t="s">
        <v>18</v>
      </c>
      <c r="D52">
        <v>1</v>
      </c>
      <c r="E52">
        <v>2</v>
      </c>
      <c r="F52" t="s">
        <v>15</v>
      </c>
      <c r="G52">
        <v>1</v>
      </c>
      <c r="H52">
        <v>3</v>
      </c>
      <c r="I52" t="s">
        <v>16</v>
      </c>
      <c r="J52">
        <v>5381</v>
      </c>
      <c r="K52">
        <v>9</v>
      </c>
      <c r="L52">
        <v>3</v>
      </c>
      <c r="M52">
        <v>1</v>
      </c>
    </row>
    <row r="53" spans="1:13">
      <c r="A53">
        <v>28</v>
      </c>
      <c r="B53" t="s">
        <v>13</v>
      </c>
      <c r="C53" t="s">
        <v>18</v>
      </c>
      <c r="D53">
        <v>5</v>
      </c>
      <c r="E53">
        <v>4</v>
      </c>
      <c r="F53" t="s">
        <v>24</v>
      </c>
      <c r="G53">
        <v>3</v>
      </c>
      <c r="H53">
        <v>3</v>
      </c>
      <c r="I53" t="s">
        <v>16</v>
      </c>
      <c r="J53">
        <v>3441</v>
      </c>
      <c r="K53">
        <v>1</v>
      </c>
      <c r="L53">
        <v>2</v>
      </c>
      <c r="M53">
        <v>2</v>
      </c>
    </row>
    <row r="54" spans="1:13">
      <c r="A54">
        <v>44</v>
      </c>
      <c r="B54" t="s">
        <v>17</v>
      </c>
      <c r="C54" t="s">
        <v>14</v>
      </c>
      <c r="D54">
        <v>1</v>
      </c>
      <c r="E54">
        <v>5</v>
      </c>
      <c r="F54" t="s">
        <v>23</v>
      </c>
      <c r="G54">
        <v>2</v>
      </c>
      <c r="H54">
        <v>1</v>
      </c>
      <c r="I54" t="s">
        <v>22</v>
      </c>
      <c r="J54">
        <v>5454</v>
      </c>
      <c r="K54">
        <v>5</v>
      </c>
      <c r="L54">
        <v>2</v>
      </c>
      <c r="M54">
        <v>4</v>
      </c>
    </row>
    <row r="55" spans="1:13">
      <c r="A55">
        <v>35</v>
      </c>
      <c r="B55" t="s">
        <v>17</v>
      </c>
      <c r="C55" t="s">
        <v>18</v>
      </c>
      <c r="D55">
        <v>11</v>
      </c>
      <c r="E55">
        <v>2</v>
      </c>
      <c r="F55" t="s">
        <v>21</v>
      </c>
      <c r="G55">
        <v>3</v>
      </c>
      <c r="H55">
        <v>1</v>
      </c>
      <c r="I55" t="s">
        <v>19</v>
      </c>
      <c r="J55">
        <v>9884</v>
      </c>
      <c r="K55">
        <v>2</v>
      </c>
      <c r="L55">
        <v>3</v>
      </c>
      <c r="M55">
        <v>4</v>
      </c>
    </row>
    <row r="56" spans="1:13">
      <c r="A56">
        <v>26</v>
      </c>
      <c r="B56" t="s">
        <v>17</v>
      </c>
      <c r="C56" t="s">
        <v>14</v>
      </c>
      <c r="D56">
        <v>23</v>
      </c>
      <c r="E56">
        <v>3</v>
      </c>
      <c r="F56" t="s">
        <v>23</v>
      </c>
      <c r="G56">
        <v>3</v>
      </c>
      <c r="H56">
        <v>4</v>
      </c>
      <c r="I56" t="s">
        <v>19</v>
      </c>
      <c r="J56">
        <v>4157</v>
      </c>
      <c r="K56">
        <v>7</v>
      </c>
      <c r="L56">
        <v>2</v>
      </c>
      <c r="M56">
        <v>2</v>
      </c>
    </row>
    <row r="57" spans="1:13">
      <c r="A57">
        <v>33</v>
      </c>
      <c r="B57" t="s">
        <v>17</v>
      </c>
      <c r="C57" t="s">
        <v>18</v>
      </c>
      <c r="D57">
        <v>1</v>
      </c>
      <c r="E57">
        <v>2</v>
      </c>
      <c r="F57" t="s">
        <v>15</v>
      </c>
      <c r="G57">
        <v>1</v>
      </c>
      <c r="H57">
        <v>4</v>
      </c>
      <c r="I57" t="s">
        <v>16</v>
      </c>
      <c r="J57">
        <v>13458</v>
      </c>
      <c r="K57">
        <v>1</v>
      </c>
      <c r="L57">
        <v>3</v>
      </c>
      <c r="M57">
        <v>15</v>
      </c>
    </row>
    <row r="58" spans="1:13">
      <c r="A58">
        <v>35</v>
      </c>
      <c r="B58" t="s">
        <v>17</v>
      </c>
      <c r="C58" t="s">
        <v>14</v>
      </c>
      <c r="D58">
        <v>18</v>
      </c>
      <c r="E58">
        <v>5</v>
      </c>
      <c r="F58" t="s">
        <v>15</v>
      </c>
      <c r="G58">
        <v>2</v>
      </c>
      <c r="H58">
        <v>1</v>
      </c>
      <c r="I58" t="s">
        <v>19</v>
      </c>
      <c r="J58">
        <v>9069</v>
      </c>
      <c r="K58">
        <v>1</v>
      </c>
      <c r="L58">
        <v>2</v>
      </c>
      <c r="M58">
        <v>9</v>
      </c>
    </row>
    <row r="59" spans="1:13">
      <c r="A59">
        <v>35</v>
      </c>
      <c r="B59" t="s">
        <v>17</v>
      </c>
      <c r="C59" t="s">
        <v>18</v>
      </c>
      <c r="D59">
        <v>23</v>
      </c>
      <c r="E59">
        <v>4</v>
      </c>
      <c r="F59" t="s">
        <v>21</v>
      </c>
      <c r="G59">
        <v>3</v>
      </c>
      <c r="H59">
        <v>1</v>
      </c>
      <c r="I59" t="s">
        <v>19</v>
      </c>
      <c r="J59">
        <v>4014</v>
      </c>
      <c r="K59">
        <v>3</v>
      </c>
      <c r="L59">
        <v>3</v>
      </c>
      <c r="M59">
        <v>2</v>
      </c>
    </row>
    <row r="60" spans="1:13">
      <c r="A60">
        <v>31</v>
      </c>
      <c r="B60" t="s">
        <v>17</v>
      </c>
      <c r="C60" t="s">
        <v>18</v>
      </c>
      <c r="D60">
        <v>7</v>
      </c>
      <c r="E60">
        <v>4</v>
      </c>
      <c r="F60" t="s">
        <v>15</v>
      </c>
      <c r="G60">
        <v>4</v>
      </c>
      <c r="H60">
        <v>4</v>
      </c>
      <c r="I60" t="s">
        <v>22</v>
      </c>
      <c r="J60">
        <v>5915</v>
      </c>
      <c r="K60">
        <v>3</v>
      </c>
      <c r="L60">
        <v>2</v>
      </c>
      <c r="M60">
        <v>7</v>
      </c>
    </row>
    <row r="61" spans="1:13">
      <c r="A61">
        <v>37</v>
      </c>
      <c r="B61" t="s">
        <v>17</v>
      </c>
      <c r="C61" t="s">
        <v>18</v>
      </c>
      <c r="D61">
        <v>1</v>
      </c>
      <c r="E61">
        <v>4</v>
      </c>
      <c r="F61" t="s">
        <v>15</v>
      </c>
      <c r="G61">
        <v>1</v>
      </c>
      <c r="H61">
        <v>3</v>
      </c>
      <c r="I61" t="s">
        <v>22</v>
      </c>
      <c r="J61">
        <v>5993</v>
      </c>
      <c r="K61">
        <v>1</v>
      </c>
      <c r="L61">
        <v>4</v>
      </c>
      <c r="M61">
        <v>7</v>
      </c>
    </row>
    <row r="62" spans="1:13">
      <c r="A62">
        <v>32</v>
      </c>
      <c r="B62" t="s">
        <v>17</v>
      </c>
      <c r="C62" t="s">
        <v>18</v>
      </c>
      <c r="D62">
        <v>1</v>
      </c>
      <c r="E62">
        <v>3</v>
      </c>
      <c r="F62" t="s">
        <v>21</v>
      </c>
      <c r="G62">
        <v>1</v>
      </c>
      <c r="H62">
        <v>4</v>
      </c>
      <c r="I62" t="s">
        <v>19</v>
      </c>
      <c r="J62">
        <v>6162</v>
      </c>
      <c r="K62">
        <v>1</v>
      </c>
      <c r="L62">
        <v>3</v>
      </c>
      <c r="M62">
        <v>9</v>
      </c>
    </row>
    <row r="63" spans="1:13">
      <c r="A63">
        <v>38</v>
      </c>
      <c r="B63" t="s">
        <v>17</v>
      </c>
      <c r="C63" t="s">
        <v>18</v>
      </c>
      <c r="D63">
        <v>29</v>
      </c>
      <c r="E63">
        <v>5</v>
      </c>
      <c r="F63" t="s">
        <v>15</v>
      </c>
      <c r="G63">
        <v>4</v>
      </c>
      <c r="H63">
        <v>4</v>
      </c>
      <c r="I63" t="s">
        <v>16</v>
      </c>
      <c r="J63">
        <v>2406</v>
      </c>
      <c r="K63">
        <v>1</v>
      </c>
      <c r="L63">
        <v>3</v>
      </c>
      <c r="M63">
        <v>10</v>
      </c>
    </row>
    <row r="64" spans="1:13">
      <c r="A64">
        <v>50</v>
      </c>
      <c r="B64" t="s">
        <v>17</v>
      </c>
      <c r="C64" t="s">
        <v>18</v>
      </c>
      <c r="D64">
        <v>7</v>
      </c>
      <c r="E64">
        <v>2</v>
      </c>
      <c r="F64" t="s">
        <v>21</v>
      </c>
      <c r="G64">
        <v>2</v>
      </c>
      <c r="H64">
        <v>3</v>
      </c>
      <c r="I64" t="s">
        <v>22</v>
      </c>
      <c r="J64">
        <v>18740</v>
      </c>
      <c r="K64">
        <v>5</v>
      </c>
      <c r="L64">
        <v>2</v>
      </c>
      <c r="M64">
        <v>27</v>
      </c>
    </row>
    <row r="65" spans="1:13">
      <c r="A65">
        <v>59</v>
      </c>
      <c r="B65" t="s">
        <v>17</v>
      </c>
      <c r="C65" t="s">
        <v>14</v>
      </c>
      <c r="D65">
        <v>25</v>
      </c>
      <c r="E65">
        <v>3</v>
      </c>
      <c r="F65" t="s">
        <v>15</v>
      </c>
      <c r="G65">
        <v>1</v>
      </c>
      <c r="H65">
        <v>1</v>
      </c>
      <c r="I65" t="s">
        <v>16</v>
      </c>
      <c r="J65">
        <v>7637</v>
      </c>
      <c r="K65">
        <v>7</v>
      </c>
      <c r="L65">
        <v>2</v>
      </c>
      <c r="M65">
        <v>21</v>
      </c>
    </row>
    <row r="66" spans="1:13">
      <c r="A66">
        <v>36</v>
      </c>
      <c r="B66" t="s">
        <v>17</v>
      </c>
      <c r="C66" t="s">
        <v>18</v>
      </c>
      <c r="D66">
        <v>8</v>
      </c>
      <c r="E66">
        <v>3</v>
      </c>
      <c r="F66" t="s">
        <v>24</v>
      </c>
      <c r="G66">
        <v>3</v>
      </c>
      <c r="H66">
        <v>3</v>
      </c>
      <c r="I66" t="s">
        <v>22</v>
      </c>
      <c r="J66">
        <v>10096</v>
      </c>
      <c r="K66">
        <v>1</v>
      </c>
      <c r="L66">
        <v>3</v>
      </c>
      <c r="M66">
        <v>17</v>
      </c>
    </row>
    <row r="67" spans="1:13">
      <c r="A67">
        <v>55</v>
      </c>
      <c r="B67" t="s">
        <v>17</v>
      </c>
      <c r="C67" t="s">
        <v>18</v>
      </c>
      <c r="D67">
        <v>8</v>
      </c>
      <c r="E67">
        <v>3</v>
      </c>
      <c r="F67" t="s">
        <v>21</v>
      </c>
      <c r="G67">
        <v>4</v>
      </c>
      <c r="H67">
        <v>3</v>
      </c>
      <c r="I67" t="s">
        <v>22</v>
      </c>
      <c r="J67">
        <v>14756</v>
      </c>
      <c r="K67">
        <v>2</v>
      </c>
      <c r="L67">
        <v>3</v>
      </c>
      <c r="M67">
        <v>5</v>
      </c>
    </row>
    <row r="68" spans="1:13">
      <c r="A68">
        <v>36</v>
      </c>
      <c r="B68" t="s">
        <v>17</v>
      </c>
      <c r="C68" t="s">
        <v>18</v>
      </c>
      <c r="D68">
        <v>11</v>
      </c>
      <c r="E68">
        <v>3</v>
      </c>
      <c r="F68" t="s">
        <v>15</v>
      </c>
      <c r="G68">
        <v>2</v>
      </c>
      <c r="H68">
        <v>2</v>
      </c>
      <c r="I68" t="s">
        <v>16</v>
      </c>
      <c r="J68">
        <v>6499</v>
      </c>
      <c r="K68">
        <v>1</v>
      </c>
      <c r="L68">
        <v>3</v>
      </c>
      <c r="M68">
        <v>6</v>
      </c>
    </row>
    <row r="69" spans="1:13">
      <c r="A69">
        <v>45</v>
      </c>
      <c r="B69" t="s">
        <v>17</v>
      </c>
      <c r="C69" t="s">
        <v>18</v>
      </c>
      <c r="D69">
        <v>7</v>
      </c>
      <c r="E69">
        <v>3</v>
      </c>
      <c r="F69" t="s">
        <v>15</v>
      </c>
      <c r="G69">
        <v>2</v>
      </c>
      <c r="H69">
        <v>1</v>
      </c>
      <c r="I69" t="s">
        <v>22</v>
      </c>
      <c r="J69">
        <v>9724</v>
      </c>
      <c r="K69">
        <v>2</v>
      </c>
      <c r="L69">
        <v>3</v>
      </c>
      <c r="M69">
        <v>1</v>
      </c>
    </row>
    <row r="70" spans="1:13">
      <c r="A70">
        <v>35</v>
      </c>
      <c r="B70" t="s">
        <v>17</v>
      </c>
      <c r="C70" t="s">
        <v>18</v>
      </c>
      <c r="D70">
        <v>1</v>
      </c>
      <c r="E70">
        <v>3</v>
      </c>
      <c r="F70" t="s">
        <v>21</v>
      </c>
      <c r="G70">
        <v>2</v>
      </c>
      <c r="H70">
        <v>1</v>
      </c>
      <c r="I70" t="s">
        <v>19</v>
      </c>
      <c r="J70">
        <v>2194</v>
      </c>
      <c r="K70">
        <v>4</v>
      </c>
      <c r="L70">
        <v>2</v>
      </c>
      <c r="M70">
        <v>3</v>
      </c>
    </row>
    <row r="71" spans="1:13">
      <c r="A71">
        <v>36</v>
      </c>
      <c r="B71" t="s">
        <v>13</v>
      </c>
      <c r="C71" t="s">
        <v>18</v>
      </c>
      <c r="D71">
        <v>9</v>
      </c>
      <c r="E71">
        <v>3</v>
      </c>
      <c r="F71" t="s">
        <v>21</v>
      </c>
      <c r="G71">
        <v>4</v>
      </c>
      <c r="H71">
        <v>3</v>
      </c>
      <c r="I71" t="s">
        <v>19</v>
      </c>
      <c r="J71">
        <v>3388</v>
      </c>
      <c r="K71">
        <v>0</v>
      </c>
      <c r="L71">
        <v>2</v>
      </c>
      <c r="M71">
        <v>1</v>
      </c>
    </row>
    <row r="72" spans="1:13">
      <c r="A72">
        <v>59</v>
      </c>
      <c r="B72" t="s">
        <v>17</v>
      </c>
      <c r="C72" t="s">
        <v>14</v>
      </c>
      <c r="D72">
        <v>1</v>
      </c>
      <c r="E72">
        <v>1</v>
      </c>
      <c r="F72" t="s">
        <v>15</v>
      </c>
      <c r="G72">
        <v>1</v>
      </c>
      <c r="H72">
        <v>3</v>
      </c>
      <c r="I72" t="s">
        <v>16</v>
      </c>
      <c r="J72">
        <v>5473</v>
      </c>
      <c r="K72">
        <v>7</v>
      </c>
      <c r="L72">
        <v>2</v>
      </c>
      <c r="M72">
        <v>4</v>
      </c>
    </row>
    <row r="73" spans="1:13">
      <c r="A73">
        <v>29</v>
      </c>
      <c r="B73" t="s">
        <v>17</v>
      </c>
      <c r="C73" t="s">
        <v>18</v>
      </c>
      <c r="D73">
        <v>2</v>
      </c>
      <c r="E73">
        <v>3</v>
      </c>
      <c r="F73" t="s">
        <v>15</v>
      </c>
      <c r="G73">
        <v>3</v>
      </c>
      <c r="H73">
        <v>2</v>
      </c>
      <c r="I73" t="s">
        <v>19</v>
      </c>
      <c r="J73">
        <v>2703</v>
      </c>
      <c r="K73">
        <v>0</v>
      </c>
      <c r="L73">
        <v>3</v>
      </c>
      <c r="M73">
        <v>5</v>
      </c>
    </row>
    <row r="74" spans="1:13">
      <c r="A74">
        <v>31</v>
      </c>
      <c r="B74" t="s">
        <v>17</v>
      </c>
      <c r="C74" t="s">
        <v>18</v>
      </c>
      <c r="D74">
        <v>1</v>
      </c>
      <c r="E74">
        <v>4</v>
      </c>
      <c r="F74" t="s">
        <v>21</v>
      </c>
      <c r="G74">
        <v>3</v>
      </c>
      <c r="H74">
        <v>2</v>
      </c>
      <c r="I74" t="s">
        <v>16</v>
      </c>
      <c r="J74">
        <v>2501</v>
      </c>
      <c r="K74">
        <v>1</v>
      </c>
      <c r="L74">
        <v>3</v>
      </c>
      <c r="M74">
        <v>1</v>
      </c>
    </row>
    <row r="75" spans="1:13">
      <c r="A75">
        <v>32</v>
      </c>
      <c r="B75" t="s">
        <v>17</v>
      </c>
      <c r="C75" t="s">
        <v>18</v>
      </c>
      <c r="D75">
        <v>1</v>
      </c>
      <c r="E75">
        <v>3</v>
      </c>
      <c r="F75" t="s">
        <v>15</v>
      </c>
      <c r="G75">
        <v>2</v>
      </c>
      <c r="H75">
        <v>2</v>
      </c>
      <c r="I75" t="s">
        <v>19</v>
      </c>
      <c r="J75">
        <v>6220</v>
      </c>
      <c r="K75">
        <v>1</v>
      </c>
      <c r="L75">
        <v>3</v>
      </c>
      <c r="M75">
        <v>10</v>
      </c>
    </row>
    <row r="76" spans="1:13">
      <c r="A76">
        <v>36</v>
      </c>
      <c r="B76" t="s">
        <v>17</v>
      </c>
      <c r="C76" t="s">
        <v>18</v>
      </c>
      <c r="D76">
        <v>6</v>
      </c>
      <c r="E76">
        <v>3</v>
      </c>
      <c r="F76" t="s">
        <v>15</v>
      </c>
      <c r="G76">
        <v>2</v>
      </c>
      <c r="H76">
        <v>4</v>
      </c>
      <c r="I76" t="s">
        <v>19</v>
      </c>
      <c r="J76">
        <v>3038</v>
      </c>
      <c r="K76">
        <v>3</v>
      </c>
      <c r="L76">
        <v>3</v>
      </c>
      <c r="M76">
        <v>1</v>
      </c>
    </row>
    <row r="77" spans="1:13">
      <c r="A77">
        <v>31</v>
      </c>
      <c r="B77" t="s">
        <v>17</v>
      </c>
      <c r="C77" t="s">
        <v>18</v>
      </c>
      <c r="D77">
        <v>8</v>
      </c>
      <c r="E77">
        <v>4</v>
      </c>
      <c r="F77" t="s">
        <v>15</v>
      </c>
      <c r="G77">
        <v>3</v>
      </c>
      <c r="H77">
        <v>4</v>
      </c>
      <c r="I77" t="s">
        <v>16</v>
      </c>
      <c r="J77">
        <v>4424</v>
      </c>
      <c r="K77">
        <v>1</v>
      </c>
      <c r="L77">
        <v>3</v>
      </c>
      <c r="M77">
        <v>11</v>
      </c>
    </row>
    <row r="78" spans="1:13">
      <c r="A78">
        <v>35</v>
      </c>
      <c r="B78" t="s">
        <v>17</v>
      </c>
      <c r="C78" t="s">
        <v>14</v>
      </c>
      <c r="D78">
        <v>1</v>
      </c>
      <c r="E78">
        <v>4</v>
      </c>
      <c r="F78" t="s">
        <v>23</v>
      </c>
      <c r="G78">
        <v>3</v>
      </c>
      <c r="H78">
        <v>1</v>
      </c>
      <c r="I78" t="s">
        <v>16</v>
      </c>
      <c r="J78">
        <v>4312</v>
      </c>
      <c r="K78">
        <v>0</v>
      </c>
      <c r="L78">
        <v>3</v>
      </c>
      <c r="M78">
        <v>15</v>
      </c>
    </row>
    <row r="79" spans="1:13">
      <c r="A79">
        <v>45</v>
      </c>
      <c r="B79" t="s">
        <v>17</v>
      </c>
      <c r="C79" t="s">
        <v>18</v>
      </c>
      <c r="D79">
        <v>6</v>
      </c>
      <c r="E79">
        <v>4</v>
      </c>
      <c r="F79" t="s">
        <v>20</v>
      </c>
      <c r="G79">
        <v>4</v>
      </c>
      <c r="H79">
        <v>1</v>
      </c>
      <c r="I79" t="s">
        <v>19</v>
      </c>
      <c r="J79">
        <v>13245</v>
      </c>
      <c r="K79">
        <v>4</v>
      </c>
      <c r="L79">
        <v>4</v>
      </c>
      <c r="M79">
        <v>0</v>
      </c>
    </row>
    <row r="80" spans="1:13">
      <c r="A80">
        <v>37</v>
      </c>
      <c r="B80" t="s">
        <v>17</v>
      </c>
      <c r="C80" t="s">
        <v>18</v>
      </c>
      <c r="D80">
        <v>7</v>
      </c>
      <c r="E80">
        <v>4</v>
      </c>
      <c r="F80" t="s">
        <v>21</v>
      </c>
      <c r="G80">
        <v>1</v>
      </c>
      <c r="H80">
        <v>3</v>
      </c>
      <c r="I80" t="s">
        <v>16</v>
      </c>
      <c r="J80">
        <v>13664</v>
      </c>
      <c r="K80">
        <v>4</v>
      </c>
      <c r="L80">
        <v>4</v>
      </c>
      <c r="M80">
        <v>5</v>
      </c>
    </row>
    <row r="81" spans="1:13">
      <c r="A81">
        <v>46</v>
      </c>
      <c r="B81" t="s">
        <v>17</v>
      </c>
      <c r="C81" t="s">
        <v>25</v>
      </c>
      <c r="D81">
        <v>5</v>
      </c>
      <c r="E81">
        <v>2</v>
      </c>
      <c r="F81" t="s">
        <v>21</v>
      </c>
      <c r="G81">
        <v>2</v>
      </c>
      <c r="H81">
        <v>2</v>
      </c>
      <c r="I81" t="s">
        <v>22</v>
      </c>
      <c r="J81">
        <v>5021</v>
      </c>
      <c r="K81">
        <v>8</v>
      </c>
      <c r="L81">
        <v>3</v>
      </c>
      <c r="M81">
        <v>4</v>
      </c>
    </row>
    <row r="82" spans="1:13">
      <c r="A82">
        <v>30</v>
      </c>
      <c r="B82" t="s">
        <v>17</v>
      </c>
      <c r="C82" t="s">
        <v>18</v>
      </c>
      <c r="D82">
        <v>1</v>
      </c>
      <c r="E82">
        <v>1</v>
      </c>
      <c r="F82" t="s">
        <v>15</v>
      </c>
      <c r="G82">
        <v>4</v>
      </c>
      <c r="H82">
        <v>4</v>
      </c>
      <c r="I82" t="s">
        <v>19</v>
      </c>
      <c r="J82">
        <v>5126</v>
      </c>
      <c r="K82">
        <v>1</v>
      </c>
      <c r="L82">
        <v>2</v>
      </c>
      <c r="M82">
        <v>10</v>
      </c>
    </row>
    <row r="83" spans="1:13">
      <c r="A83">
        <v>35</v>
      </c>
      <c r="B83" t="s">
        <v>17</v>
      </c>
      <c r="C83" t="s">
        <v>18</v>
      </c>
      <c r="D83">
        <v>1</v>
      </c>
      <c r="E83">
        <v>3</v>
      </c>
      <c r="F83" t="s">
        <v>21</v>
      </c>
      <c r="G83">
        <v>2</v>
      </c>
      <c r="H83">
        <v>3</v>
      </c>
      <c r="I83" t="s">
        <v>16</v>
      </c>
      <c r="J83">
        <v>2859</v>
      </c>
      <c r="K83">
        <v>1</v>
      </c>
      <c r="L83">
        <v>3</v>
      </c>
      <c r="M83">
        <v>6</v>
      </c>
    </row>
    <row r="84" spans="1:13">
      <c r="A84">
        <v>55</v>
      </c>
      <c r="B84" t="s">
        <v>17</v>
      </c>
      <c r="C84" t="s">
        <v>14</v>
      </c>
      <c r="D84">
        <v>1</v>
      </c>
      <c r="E84">
        <v>2</v>
      </c>
      <c r="F84" t="s">
        <v>15</v>
      </c>
      <c r="G84">
        <v>1</v>
      </c>
      <c r="H84">
        <v>4</v>
      </c>
      <c r="I84" t="s">
        <v>19</v>
      </c>
      <c r="J84">
        <v>10239</v>
      </c>
      <c r="K84">
        <v>3</v>
      </c>
      <c r="L84">
        <v>3</v>
      </c>
      <c r="M84">
        <v>1</v>
      </c>
    </row>
    <row r="85" spans="1:13">
      <c r="A85">
        <v>38</v>
      </c>
      <c r="B85" t="s">
        <v>17</v>
      </c>
      <c r="C85" t="s">
        <v>18</v>
      </c>
      <c r="D85">
        <v>6</v>
      </c>
      <c r="E85">
        <v>3</v>
      </c>
      <c r="F85" t="s">
        <v>21</v>
      </c>
      <c r="G85">
        <v>2</v>
      </c>
      <c r="H85">
        <v>4</v>
      </c>
      <c r="I85" t="s">
        <v>22</v>
      </c>
      <c r="J85">
        <v>5329</v>
      </c>
      <c r="K85">
        <v>7</v>
      </c>
      <c r="L85">
        <v>3</v>
      </c>
      <c r="M85">
        <v>13</v>
      </c>
    </row>
    <row r="86" spans="1:13">
      <c r="A86">
        <v>34</v>
      </c>
      <c r="B86" t="s">
        <v>17</v>
      </c>
      <c r="C86" t="s">
        <v>18</v>
      </c>
      <c r="D86">
        <v>1</v>
      </c>
      <c r="E86">
        <v>2</v>
      </c>
      <c r="F86" t="s">
        <v>21</v>
      </c>
      <c r="G86">
        <v>1</v>
      </c>
      <c r="H86">
        <v>2</v>
      </c>
      <c r="I86" t="s">
        <v>19</v>
      </c>
      <c r="J86">
        <v>4325</v>
      </c>
      <c r="K86">
        <v>1</v>
      </c>
      <c r="L86">
        <v>3</v>
      </c>
      <c r="M86">
        <v>5</v>
      </c>
    </row>
    <row r="87" spans="1:13">
      <c r="A87">
        <v>56</v>
      </c>
      <c r="B87" t="s">
        <v>17</v>
      </c>
      <c r="C87" t="s">
        <v>18</v>
      </c>
      <c r="D87">
        <v>7</v>
      </c>
      <c r="E87">
        <v>3</v>
      </c>
      <c r="F87" t="s">
        <v>15</v>
      </c>
      <c r="G87">
        <v>4</v>
      </c>
      <c r="H87">
        <v>4</v>
      </c>
      <c r="I87" t="s">
        <v>16</v>
      </c>
      <c r="J87">
        <v>7260</v>
      </c>
      <c r="K87">
        <v>4</v>
      </c>
      <c r="L87">
        <v>2</v>
      </c>
      <c r="M87">
        <v>6</v>
      </c>
    </row>
    <row r="88" spans="1:13">
      <c r="A88">
        <v>23</v>
      </c>
      <c r="B88" t="s">
        <v>17</v>
      </c>
      <c r="C88" t="s">
        <v>14</v>
      </c>
      <c r="D88">
        <v>2</v>
      </c>
      <c r="E88">
        <v>1</v>
      </c>
      <c r="F88" t="s">
        <v>24</v>
      </c>
      <c r="G88">
        <v>3</v>
      </c>
      <c r="H88">
        <v>1</v>
      </c>
      <c r="I88" t="s">
        <v>22</v>
      </c>
      <c r="J88">
        <v>2322</v>
      </c>
      <c r="K88">
        <v>3</v>
      </c>
      <c r="L88">
        <v>3</v>
      </c>
      <c r="M88">
        <v>0</v>
      </c>
    </row>
    <row r="89" spans="1:13">
      <c r="A89">
        <v>51</v>
      </c>
      <c r="B89" t="s">
        <v>17</v>
      </c>
      <c r="C89" t="s">
        <v>18</v>
      </c>
      <c r="D89">
        <v>9</v>
      </c>
      <c r="E89">
        <v>4</v>
      </c>
      <c r="F89" t="s">
        <v>15</v>
      </c>
      <c r="G89">
        <v>4</v>
      </c>
      <c r="H89">
        <v>4</v>
      </c>
      <c r="I89" t="s">
        <v>19</v>
      </c>
      <c r="J89">
        <v>2075</v>
      </c>
      <c r="K89">
        <v>3</v>
      </c>
      <c r="L89">
        <v>3</v>
      </c>
      <c r="M89">
        <v>4</v>
      </c>
    </row>
    <row r="90" spans="1:13">
      <c r="A90">
        <v>30</v>
      </c>
      <c r="B90" t="s">
        <v>17</v>
      </c>
      <c r="C90" t="s">
        <v>18</v>
      </c>
      <c r="D90">
        <v>2</v>
      </c>
      <c r="E90">
        <v>3</v>
      </c>
      <c r="F90" t="s">
        <v>15</v>
      </c>
      <c r="G90">
        <v>3</v>
      </c>
      <c r="H90">
        <v>4</v>
      </c>
      <c r="I90" t="s">
        <v>19</v>
      </c>
      <c r="J90">
        <v>4152</v>
      </c>
      <c r="K90">
        <v>1</v>
      </c>
      <c r="L90">
        <v>3</v>
      </c>
      <c r="M90">
        <v>11</v>
      </c>
    </row>
    <row r="91" spans="1:13">
      <c r="A91">
        <v>46</v>
      </c>
      <c r="B91" t="s">
        <v>13</v>
      </c>
      <c r="C91" t="s">
        <v>14</v>
      </c>
      <c r="D91">
        <v>9</v>
      </c>
      <c r="E91">
        <v>2</v>
      </c>
      <c r="F91" t="s">
        <v>21</v>
      </c>
      <c r="G91">
        <v>3</v>
      </c>
      <c r="H91">
        <v>4</v>
      </c>
      <c r="I91" t="s">
        <v>16</v>
      </c>
      <c r="J91">
        <v>9619</v>
      </c>
      <c r="K91">
        <v>1</v>
      </c>
      <c r="L91">
        <v>3</v>
      </c>
      <c r="M91">
        <v>9</v>
      </c>
    </row>
    <row r="92" spans="1:13">
      <c r="A92">
        <v>40</v>
      </c>
      <c r="B92" t="s">
        <v>17</v>
      </c>
      <c r="C92" t="s">
        <v>18</v>
      </c>
      <c r="D92">
        <v>1</v>
      </c>
      <c r="E92">
        <v>4</v>
      </c>
      <c r="F92" t="s">
        <v>15</v>
      </c>
      <c r="G92">
        <v>3</v>
      </c>
      <c r="H92">
        <v>2</v>
      </c>
      <c r="I92" t="s">
        <v>19</v>
      </c>
      <c r="J92">
        <v>13503</v>
      </c>
      <c r="K92">
        <v>1</v>
      </c>
      <c r="L92">
        <v>2</v>
      </c>
      <c r="M92">
        <v>22</v>
      </c>
    </row>
    <row r="93" spans="1:13">
      <c r="A93">
        <v>51</v>
      </c>
      <c r="B93" t="s">
        <v>17</v>
      </c>
      <c r="C93" t="s">
        <v>14</v>
      </c>
      <c r="D93">
        <v>21</v>
      </c>
      <c r="E93">
        <v>4</v>
      </c>
      <c r="F93" t="s">
        <v>23</v>
      </c>
      <c r="G93">
        <v>3</v>
      </c>
      <c r="H93">
        <v>4</v>
      </c>
      <c r="I93" t="s">
        <v>16</v>
      </c>
      <c r="J93">
        <v>5441</v>
      </c>
      <c r="K93">
        <v>0</v>
      </c>
      <c r="L93">
        <v>1</v>
      </c>
      <c r="M93">
        <v>10</v>
      </c>
    </row>
    <row r="94" spans="1:13">
      <c r="A94">
        <v>30</v>
      </c>
      <c r="B94" t="s">
        <v>17</v>
      </c>
      <c r="C94" t="s">
        <v>14</v>
      </c>
      <c r="D94">
        <v>4</v>
      </c>
      <c r="E94">
        <v>2</v>
      </c>
      <c r="F94" t="s">
        <v>21</v>
      </c>
      <c r="G94">
        <v>3</v>
      </c>
      <c r="H94">
        <v>2</v>
      </c>
      <c r="I94" t="s">
        <v>22</v>
      </c>
      <c r="J94">
        <v>5209</v>
      </c>
      <c r="K94">
        <v>1</v>
      </c>
      <c r="L94">
        <v>2</v>
      </c>
      <c r="M94">
        <v>11</v>
      </c>
    </row>
    <row r="95" spans="1:13">
      <c r="A95">
        <v>46</v>
      </c>
      <c r="B95" t="s">
        <v>17</v>
      </c>
      <c r="C95" t="s">
        <v>18</v>
      </c>
      <c r="D95">
        <v>1</v>
      </c>
      <c r="E95">
        <v>3</v>
      </c>
      <c r="F95" t="s">
        <v>21</v>
      </c>
      <c r="G95">
        <v>3</v>
      </c>
      <c r="H95">
        <v>1</v>
      </c>
      <c r="I95" t="s">
        <v>19</v>
      </c>
      <c r="J95">
        <v>10673</v>
      </c>
      <c r="K95">
        <v>2</v>
      </c>
      <c r="L95">
        <v>2</v>
      </c>
      <c r="M95">
        <v>10</v>
      </c>
    </row>
    <row r="96" spans="1:13">
      <c r="A96">
        <v>32</v>
      </c>
      <c r="B96" t="s">
        <v>17</v>
      </c>
      <c r="C96" t="s">
        <v>14</v>
      </c>
      <c r="D96">
        <v>6</v>
      </c>
      <c r="E96">
        <v>4</v>
      </c>
      <c r="F96" t="s">
        <v>21</v>
      </c>
      <c r="G96">
        <v>2</v>
      </c>
      <c r="H96">
        <v>3</v>
      </c>
      <c r="I96" t="s">
        <v>16</v>
      </c>
      <c r="J96">
        <v>5010</v>
      </c>
      <c r="K96">
        <v>1</v>
      </c>
      <c r="L96">
        <v>3</v>
      </c>
      <c r="M96">
        <v>11</v>
      </c>
    </row>
    <row r="97" spans="1:13">
      <c r="A97">
        <v>54</v>
      </c>
      <c r="B97" t="s">
        <v>17</v>
      </c>
      <c r="C97" t="s">
        <v>18</v>
      </c>
      <c r="D97">
        <v>2</v>
      </c>
      <c r="E97">
        <v>4</v>
      </c>
      <c r="F97" t="s">
        <v>24</v>
      </c>
      <c r="G97">
        <v>1</v>
      </c>
      <c r="H97">
        <v>3</v>
      </c>
      <c r="I97" t="s">
        <v>19</v>
      </c>
      <c r="J97">
        <v>13549</v>
      </c>
      <c r="K97">
        <v>9</v>
      </c>
      <c r="L97">
        <v>1</v>
      </c>
      <c r="M97">
        <v>4</v>
      </c>
    </row>
    <row r="98" spans="1:13">
      <c r="A98">
        <v>24</v>
      </c>
      <c r="B98" t="s">
        <v>17</v>
      </c>
      <c r="C98" t="s">
        <v>14</v>
      </c>
      <c r="D98">
        <v>3</v>
      </c>
      <c r="E98">
        <v>2</v>
      </c>
      <c r="F98" t="s">
        <v>20</v>
      </c>
      <c r="G98">
        <v>1</v>
      </c>
      <c r="H98">
        <v>3</v>
      </c>
      <c r="I98" t="s">
        <v>19</v>
      </c>
      <c r="J98">
        <v>4999</v>
      </c>
      <c r="K98">
        <v>0</v>
      </c>
      <c r="L98">
        <v>2</v>
      </c>
      <c r="M98">
        <v>3</v>
      </c>
    </row>
    <row r="99" spans="1:13">
      <c r="A99">
        <v>28</v>
      </c>
      <c r="B99" t="s">
        <v>17</v>
      </c>
      <c r="C99" t="s">
        <v>14</v>
      </c>
      <c r="D99">
        <v>4</v>
      </c>
      <c r="E99">
        <v>3</v>
      </c>
      <c r="F99" t="s">
        <v>21</v>
      </c>
      <c r="G99">
        <v>2</v>
      </c>
      <c r="H99">
        <v>3</v>
      </c>
      <c r="I99" t="s">
        <v>19</v>
      </c>
      <c r="J99">
        <v>4221</v>
      </c>
      <c r="K99">
        <v>1</v>
      </c>
      <c r="L99">
        <v>4</v>
      </c>
      <c r="M99">
        <v>5</v>
      </c>
    </row>
    <row r="100" spans="1:13">
      <c r="A100">
        <v>58</v>
      </c>
      <c r="B100" t="s">
        <v>17</v>
      </c>
      <c r="C100" t="s">
        <v>14</v>
      </c>
      <c r="D100">
        <v>10</v>
      </c>
      <c r="E100">
        <v>4</v>
      </c>
      <c r="F100" t="s">
        <v>21</v>
      </c>
      <c r="G100">
        <v>4</v>
      </c>
      <c r="H100">
        <v>3</v>
      </c>
      <c r="I100" t="s">
        <v>16</v>
      </c>
      <c r="J100">
        <v>13872</v>
      </c>
      <c r="K100">
        <v>0</v>
      </c>
      <c r="L100">
        <v>2</v>
      </c>
      <c r="M100">
        <v>37</v>
      </c>
    </row>
    <row r="101" spans="1:13">
      <c r="A101">
        <v>44</v>
      </c>
      <c r="B101" t="s">
        <v>17</v>
      </c>
      <c r="C101" t="s">
        <v>18</v>
      </c>
      <c r="D101">
        <v>23</v>
      </c>
      <c r="E101">
        <v>3</v>
      </c>
      <c r="F101" t="s">
        <v>21</v>
      </c>
      <c r="G101">
        <v>2</v>
      </c>
      <c r="H101">
        <v>2</v>
      </c>
      <c r="I101" t="s">
        <v>19</v>
      </c>
      <c r="J101">
        <v>2042</v>
      </c>
      <c r="K101">
        <v>4</v>
      </c>
      <c r="L101">
        <v>4</v>
      </c>
      <c r="M101">
        <v>3</v>
      </c>
    </row>
    <row r="102" spans="1:13">
      <c r="A102">
        <v>37</v>
      </c>
      <c r="B102" t="s">
        <v>13</v>
      </c>
      <c r="C102" t="s">
        <v>25</v>
      </c>
      <c r="D102">
        <v>6</v>
      </c>
      <c r="E102">
        <v>4</v>
      </c>
      <c r="F102" t="s">
        <v>25</v>
      </c>
      <c r="G102">
        <v>3</v>
      </c>
      <c r="H102">
        <v>1</v>
      </c>
      <c r="I102" t="s">
        <v>22</v>
      </c>
      <c r="J102">
        <v>2073</v>
      </c>
      <c r="K102">
        <v>4</v>
      </c>
      <c r="L102">
        <v>3</v>
      </c>
      <c r="M102">
        <v>3</v>
      </c>
    </row>
    <row r="103" spans="1:13">
      <c r="A103">
        <v>32</v>
      </c>
      <c r="B103" t="s">
        <v>17</v>
      </c>
      <c r="C103" t="s">
        <v>18</v>
      </c>
      <c r="D103">
        <v>1</v>
      </c>
      <c r="E103">
        <v>1</v>
      </c>
      <c r="F103" t="s">
        <v>15</v>
      </c>
      <c r="G103">
        <v>4</v>
      </c>
      <c r="H103">
        <v>1</v>
      </c>
      <c r="I103" t="s">
        <v>16</v>
      </c>
      <c r="J103">
        <v>2956</v>
      </c>
      <c r="K103">
        <v>1</v>
      </c>
      <c r="L103">
        <v>3</v>
      </c>
      <c r="M103">
        <v>1</v>
      </c>
    </row>
    <row r="104" spans="1:13">
      <c r="A104">
        <v>20</v>
      </c>
      <c r="B104" t="s">
        <v>13</v>
      </c>
      <c r="C104" t="s">
        <v>18</v>
      </c>
      <c r="D104">
        <v>6</v>
      </c>
      <c r="E104">
        <v>3</v>
      </c>
      <c r="F104" t="s">
        <v>15</v>
      </c>
      <c r="G104">
        <v>4</v>
      </c>
      <c r="H104">
        <v>4</v>
      </c>
      <c r="I104" t="s">
        <v>16</v>
      </c>
      <c r="J104">
        <v>2926</v>
      </c>
      <c r="K104">
        <v>1</v>
      </c>
      <c r="L104">
        <v>3</v>
      </c>
      <c r="M104">
        <v>1</v>
      </c>
    </row>
    <row r="105" spans="1:13">
      <c r="A105">
        <v>34</v>
      </c>
      <c r="B105" t="s">
        <v>17</v>
      </c>
      <c r="C105" t="s">
        <v>18</v>
      </c>
      <c r="D105">
        <v>6</v>
      </c>
      <c r="E105">
        <v>4</v>
      </c>
      <c r="F105" t="s">
        <v>20</v>
      </c>
      <c r="G105">
        <v>1</v>
      </c>
      <c r="H105">
        <v>3</v>
      </c>
      <c r="I105" t="s">
        <v>16</v>
      </c>
      <c r="J105">
        <v>4809</v>
      </c>
      <c r="K105">
        <v>1</v>
      </c>
      <c r="L105">
        <v>3</v>
      </c>
      <c r="M105">
        <v>16</v>
      </c>
    </row>
    <row r="106" spans="1:13">
      <c r="A106">
        <v>37</v>
      </c>
      <c r="B106" t="s">
        <v>17</v>
      </c>
      <c r="C106" t="s">
        <v>18</v>
      </c>
      <c r="D106">
        <v>2</v>
      </c>
      <c r="E106">
        <v>2</v>
      </c>
      <c r="F106" t="s">
        <v>15</v>
      </c>
      <c r="G106">
        <v>3</v>
      </c>
      <c r="H106">
        <v>4</v>
      </c>
      <c r="I106" t="s">
        <v>22</v>
      </c>
      <c r="J106">
        <v>5163</v>
      </c>
      <c r="K106">
        <v>5</v>
      </c>
      <c r="L106">
        <v>4</v>
      </c>
      <c r="M106">
        <v>1</v>
      </c>
    </row>
    <row r="107" spans="1:13">
      <c r="A107">
        <v>59</v>
      </c>
      <c r="B107" t="s">
        <v>17</v>
      </c>
      <c r="C107" t="s">
        <v>25</v>
      </c>
      <c r="D107">
        <v>2</v>
      </c>
      <c r="E107">
        <v>4</v>
      </c>
      <c r="F107" t="s">
        <v>25</v>
      </c>
      <c r="G107">
        <v>3</v>
      </c>
      <c r="H107">
        <v>4</v>
      </c>
      <c r="I107" t="s">
        <v>19</v>
      </c>
      <c r="J107">
        <v>18844</v>
      </c>
      <c r="K107">
        <v>9</v>
      </c>
      <c r="L107">
        <v>3</v>
      </c>
      <c r="M107">
        <v>3</v>
      </c>
    </row>
    <row r="108" spans="1:13">
      <c r="A108">
        <v>50</v>
      </c>
      <c r="B108" t="s">
        <v>17</v>
      </c>
      <c r="C108" t="s">
        <v>18</v>
      </c>
      <c r="D108">
        <v>1</v>
      </c>
      <c r="E108">
        <v>3</v>
      </c>
      <c r="F108" t="s">
        <v>15</v>
      </c>
      <c r="G108">
        <v>1</v>
      </c>
      <c r="H108">
        <v>2</v>
      </c>
      <c r="I108" t="s">
        <v>19</v>
      </c>
      <c r="J108">
        <v>18172</v>
      </c>
      <c r="K108">
        <v>3</v>
      </c>
      <c r="L108">
        <v>2</v>
      </c>
      <c r="M108">
        <v>8</v>
      </c>
    </row>
    <row r="109" spans="1:13">
      <c r="A109">
        <v>25</v>
      </c>
      <c r="B109" t="s">
        <v>13</v>
      </c>
      <c r="C109" t="s">
        <v>14</v>
      </c>
      <c r="D109">
        <v>5</v>
      </c>
      <c r="E109">
        <v>3</v>
      </c>
      <c r="F109" t="s">
        <v>23</v>
      </c>
      <c r="G109">
        <v>3</v>
      </c>
      <c r="H109">
        <v>3</v>
      </c>
      <c r="I109" t="s">
        <v>16</v>
      </c>
      <c r="J109">
        <v>5744</v>
      </c>
      <c r="K109">
        <v>1</v>
      </c>
      <c r="L109">
        <v>3</v>
      </c>
      <c r="M109">
        <v>6</v>
      </c>
    </row>
    <row r="110" spans="1:13">
      <c r="A110">
        <v>25</v>
      </c>
      <c r="B110" t="s">
        <v>17</v>
      </c>
      <c r="C110" t="s">
        <v>18</v>
      </c>
      <c r="D110">
        <v>7</v>
      </c>
      <c r="E110">
        <v>1</v>
      </c>
      <c r="F110" t="s">
        <v>21</v>
      </c>
      <c r="G110">
        <v>4</v>
      </c>
      <c r="H110">
        <v>4</v>
      </c>
      <c r="I110" t="s">
        <v>19</v>
      </c>
      <c r="J110">
        <v>2889</v>
      </c>
      <c r="K110">
        <v>1</v>
      </c>
      <c r="L110">
        <v>3</v>
      </c>
      <c r="M110">
        <v>2</v>
      </c>
    </row>
    <row r="111" spans="1:13">
      <c r="A111">
        <v>22</v>
      </c>
      <c r="B111" t="s">
        <v>17</v>
      </c>
      <c r="C111" t="s">
        <v>18</v>
      </c>
      <c r="D111">
        <v>15</v>
      </c>
      <c r="E111">
        <v>3</v>
      </c>
      <c r="F111" t="s">
        <v>21</v>
      </c>
      <c r="G111">
        <v>2</v>
      </c>
      <c r="H111">
        <v>4</v>
      </c>
      <c r="I111" t="s">
        <v>16</v>
      </c>
      <c r="J111">
        <v>2871</v>
      </c>
      <c r="K111">
        <v>1</v>
      </c>
      <c r="L111">
        <v>3</v>
      </c>
      <c r="M111">
        <v>0</v>
      </c>
    </row>
    <row r="112" spans="1:13">
      <c r="A112">
        <v>51</v>
      </c>
      <c r="B112" t="s">
        <v>17</v>
      </c>
      <c r="C112" t="s">
        <v>18</v>
      </c>
      <c r="D112">
        <v>1</v>
      </c>
      <c r="E112">
        <v>4</v>
      </c>
      <c r="F112" t="s">
        <v>21</v>
      </c>
      <c r="G112">
        <v>1</v>
      </c>
      <c r="H112">
        <v>1</v>
      </c>
      <c r="I112" t="s">
        <v>16</v>
      </c>
      <c r="J112">
        <v>7484</v>
      </c>
      <c r="K112">
        <v>3</v>
      </c>
      <c r="L112">
        <v>2</v>
      </c>
      <c r="M112">
        <v>13</v>
      </c>
    </row>
    <row r="113" spans="1:13">
      <c r="A113">
        <v>34</v>
      </c>
      <c r="B113" t="s">
        <v>13</v>
      </c>
      <c r="C113" t="s">
        <v>18</v>
      </c>
      <c r="D113">
        <v>7</v>
      </c>
      <c r="E113">
        <v>3</v>
      </c>
      <c r="F113" t="s">
        <v>15</v>
      </c>
      <c r="G113">
        <v>1</v>
      </c>
      <c r="H113">
        <v>3</v>
      </c>
      <c r="I113" t="s">
        <v>16</v>
      </c>
      <c r="J113">
        <v>6074</v>
      </c>
      <c r="K113">
        <v>1</v>
      </c>
      <c r="L113">
        <v>3</v>
      </c>
      <c r="M113">
        <v>9</v>
      </c>
    </row>
    <row r="114" spans="1:13">
      <c r="A114">
        <v>54</v>
      </c>
      <c r="B114" t="s">
        <v>17</v>
      </c>
      <c r="C114" t="s">
        <v>25</v>
      </c>
      <c r="D114">
        <v>26</v>
      </c>
      <c r="E114">
        <v>3</v>
      </c>
      <c r="F114" t="s">
        <v>25</v>
      </c>
      <c r="G114">
        <v>4</v>
      </c>
      <c r="H114">
        <v>4</v>
      </c>
      <c r="I114" t="s">
        <v>16</v>
      </c>
      <c r="J114">
        <v>17328</v>
      </c>
      <c r="K114">
        <v>2</v>
      </c>
      <c r="L114">
        <v>3</v>
      </c>
      <c r="M114">
        <v>5</v>
      </c>
    </row>
    <row r="115" spans="1:13">
      <c r="A115">
        <v>24</v>
      </c>
      <c r="B115" t="s">
        <v>17</v>
      </c>
      <c r="C115" t="s">
        <v>18</v>
      </c>
      <c r="D115">
        <v>18</v>
      </c>
      <c r="E115">
        <v>1</v>
      </c>
      <c r="F115" t="s">
        <v>15</v>
      </c>
      <c r="G115">
        <v>2</v>
      </c>
      <c r="H115">
        <v>3</v>
      </c>
      <c r="I115" t="s">
        <v>19</v>
      </c>
      <c r="J115">
        <v>2774</v>
      </c>
      <c r="K115">
        <v>0</v>
      </c>
      <c r="L115">
        <v>3</v>
      </c>
      <c r="M115">
        <v>5</v>
      </c>
    </row>
    <row r="116" spans="1:13">
      <c r="A116">
        <v>34</v>
      </c>
      <c r="B116" t="s">
        <v>17</v>
      </c>
      <c r="C116" t="s">
        <v>18</v>
      </c>
      <c r="D116">
        <v>6</v>
      </c>
      <c r="E116">
        <v>4</v>
      </c>
      <c r="F116" t="s">
        <v>15</v>
      </c>
      <c r="G116">
        <v>3</v>
      </c>
      <c r="H116">
        <v>2</v>
      </c>
      <c r="I116" t="s">
        <v>22</v>
      </c>
      <c r="J116">
        <v>4505</v>
      </c>
      <c r="K116">
        <v>6</v>
      </c>
      <c r="L116">
        <v>3</v>
      </c>
      <c r="M116">
        <v>1</v>
      </c>
    </row>
    <row r="117" spans="1:13">
      <c r="A117">
        <v>37</v>
      </c>
      <c r="B117" t="s">
        <v>17</v>
      </c>
      <c r="C117" t="s">
        <v>14</v>
      </c>
      <c r="D117">
        <v>3</v>
      </c>
      <c r="E117">
        <v>3</v>
      </c>
      <c r="F117" t="s">
        <v>15</v>
      </c>
      <c r="G117">
        <v>3</v>
      </c>
      <c r="H117">
        <v>4</v>
      </c>
      <c r="I117" t="s">
        <v>16</v>
      </c>
      <c r="J117">
        <v>7428</v>
      </c>
      <c r="K117">
        <v>2</v>
      </c>
      <c r="L117">
        <v>3</v>
      </c>
      <c r="M117">
        <v>5</v>
      </c>
    </row>
    <row r="118" spans="1:13">
      <c r="A118">
        <v>34</v>
      </c>
      <c r="B118" t="s">
        <v>17</v>
      </c>
      <c r="C118" t="s">
        <v>18</v>
      </c>
      <c r="D118">
        <v>5</v>
      </c>
      <c r="E118">
        <v>3</v>
      </c>
      <c r="F118" t="s">
        <v>21</v>
      </c>
      <c r="G118">
        <v>3</v>
      </c>
      <c r="H118">
        <v>1</v>
      </c>
      <c r="I118" t="s">
        <v>16</v>
      </c>
      <c r="J118">
        <v>11631</v>
      </c>
      <c r="K118">
        <v>2</v>
      </c>
      <c r="L118">
        <v>3</v>
      </c>
      <c r="M118">
        <v>11</v>
      </c>
    </row>
    <row r="119" spans="1:13">
      <c r="A119">
        <v>36</v>
      </c>
      <c r="B119" t="s">
        <v>17</v>
      </c>
      <c r="C119" t="s">
        <v>14</v>
      </c>
      <c r="D119">
        <v>11</v>
      </c>
      <c r="E119">
        <v>2</v>
      </c>
      <c r="F119" t="s">
        <v>24</v>
      </c>
      <c r="G119">
        <v>2</v>
      </c>
      <c r="H119">
        <v>4</v>
      </c>
      <c r="I119" t="s">
        <v>19</v>
      </c>
      <c r="J119">
        <v>9738</v>
      </c>
      <c r="K119">
        <v>0</v>
      </c>
      <c r="L119">
        <v>3</v>
      </c>
      <c r="M119">
        <v>9</v>
      </c>
    </row>
    <row r="120" spans="1:13">
      <c r="A120">
        <v>36</v>
      </c>
      <c r="B120" t="s">
        <v>17</v>
      </c>
      <c r="C120" t="s">
        <v>18</v>
      </c>
      <c r="D120">
        <v>3</v>
      </c>
      <c r="E120">
        <v>2</v>
      </c>
      <c r="F120" t="s">
        <v>15</v>
      </c>
      <c r="G120">
        <v>1</v>
      </c>
      <c r="H120">
        <v>4</v>
      </c>
      <c r="I120" t="s">
        <v>22</v>
      </c>
      <c r="J120">
        <v>2835</v>
      </c>
      <c r="K120">
        <v>5</v>
      </c>
      <c r="L120">
        <v>3</v>
      </c>
      <c r="M120">
        <v>1</v>
      </c>
    </row>
    <row r="121" spans="1:13">
      <c r="A121">
        <v>43</v>
      </c>
      <c r="B121" t="s">
        <v>17</v>
      </c>
      <c r="C121" t="s">
        <v>14</v>
      </c>
      <c r="D121">
        <v>26</v>
      </c>
      <c r="E121">
        <v>2</v>
      </c>
      <c r="F121" t="s">
        <v>15</v>
      </c>
      <c r="G121">
        <v>3</v>
      </c>
      <c r="H121">
        <v>4</v>
      </c>
      <c r="I121" t="s">
        <v>19</v>
      </c>
      <c r="J121">
        <v>16959</v>
      </c>
      <c r="K121">
        <v>1</v>
      </c>
      <c r="L121">
        <v>4</v>
      </c>
      <c r="M121">
        <v>25</v>
      </c>
    </row>
    <row r="122" spans="1:13">
      <c r="A122">
        <v>30</v>
      </c>
      <c r="B122" t="s">
        <v>17</v>
      </c>
      <c r="C122" t="s">
        <v>18</v>
      </c>
      <c r="D122">
        <v>23</v>
      </c>
      <c r="E122">
        <v>3</v>
      </c>
      <c r="F122" t="s">
        <v>15</v>
      </c>
      <c r="G122">
        <v>1</v>
      </c>
      <c r="H122">
        <v>3</v>
      </c>
      <c r="I122" t="s">
        <v>22</v>
      </c>
      <c r="J122">
        <v>2613</v>
      </c>
      <c r="K122">
        <v>1</v>
      </c>
      <c r="L122">
        <v>2</v>
      </c>
      <c r="M122">
        <v>10</v>
      </c>
    </row>
    <row r="123" spans="1:13">
      <c r="A123">
        <v>33</v>
      </c>
      <c r="B123" t="s">
        <v>17</v>
      </c>
      <c r="C123" t="s">
        <v>14</v>
      </c>
      <c r="D123">
        <v>22</v>
      </c>
      <c r="E123">
        <v>2</v>
      </c>
      <c r="F123" t="s">
        <v>23</v>
      </c>
      <c r="G123">
        <v>3</v>
      </c>
      <c r="H123">
        <v>2</v>
      </c>
      <c r="I123" t="s">
        <v>19</v>
      </c>
      <c r="J123">
        <v>6146</v>
      </c>
      <c r="K123">
        <v>0</v>
      </c>
      <c r="L123">
        <v>4</v>
      </c>
      <c r="M123">
        <v>7</v>
      </c>
    </row>
    <row r="124" spans="1:13">
      <c r="A124">
        <v>56</v>
      </c>
      <c r="B124" t="s">
        <v>13</v>
      </c>
      <c r="C124" t="s">
        <v>18</v>
      </c>
      <c r="D124">
        <v>14</v>
      </c>
      <c r="E124">
        <v>4</v>
      </c>
      <c r="F124" t="s">
        <v>15</v>
      </c>
      <c r="G124">
        <v>2</v>
      </c>
      <c r="H124">
        <v>2</v>
      </c>
      <c r="I124" t="s">
        <v>19</v>
      </c>
      <c r="J124">
        <v>4963</v>
      </c>
      <c r="K124">
        <v>9</v>
      </c>
      <c r="L124">
        <v>3</v>
      </c>
      <c r="M124">
        <v>5</v>
      </c>
    </row>
    <row r="125" spans="1:13">
      <c r="A125">
        <v>51</v>
      </c>
      <c r="B125" t="s">
        <v>17</v>
      </c>
      <c r="C125" t="s">
        <v>18</v>
      </c>
      <c r="D125">
        <v>6</v>
      </c>
      <c r="E125">
        <v>3</v>
      </c>
      <c r="F125" t="s">
        <v>15</v>
      </c>
      <c r="G125">
        <v>1</v>
      </c>
      <c r="H125">
        <v>3</v>
      </c>
      <c r="I125" t="s">
        <v>16</v>
      </c>
      <c r="J125">
        <v>19537</v>
      </c>
      <c r="K125">
        <v>7</v>
      </c>
      <c r="L125">
        <v>3</v>
      </c>
      <c r="M125">
        <v>20</v>
      </c>
    </row>
    <row r="126" spans="1:13">
      <c r="A126">
        <v>31</v>
      </c>
      <c r="B126" t="s">
        <v>13</v>
      </c>
      <c r="C126" t="s">
        <v>14</v>
      </c>
      <c r="D126">
        <v>6</v>
      </c>
      <c r="E126">
        <v>4</v>
      </c>
      <c r="F126" t="s">
        <v>15</v>
      </c>
      <c r="G126">
        <v>2</v>
      </c>
      <c r="H126">
        <v>3</v>
      </c>
      <c r="I126" t="s">
        <v>19</v>
      </c>
      <c r="J126">
        <v>6172</v>
      </c>
      <c r="K126">
        <v>4</v>
      </c>
      <c r="L126">
        <v>2</v>
      </c>
      <c r="M126">
        <v>7</v>
      </c>
    </row>
    <row r="127" spans="1:13">
      <c r="A127">
        <v>26</v>
      </c>
      <c r="B127" t="s">
        <v>17</v>
      </c>
      <c r="C127" t="s">
        <v>18</v>
      </c>
      <c r="D127">
        <v>6</v>
      </c>
      <c r="E127">
        <v>3</v>
      </c>
      <c r="F127" t="s">
        <v>20</v>
      </c>
      <c r="G127">
        <v>3</v>
      </c>
      <c r="H127">
        <v>2</v>
      </c>
      <c r="I127" t="s">
        <v>19</v>
      </c>
      <c r="J127">
        <v>2368</v>
      </c>
      <c r="K127">
        <v>1</v>
      </c>
      <c r="L127">
        <v>2</v>
      </c>
      <c r="M127">
        <v>5</v>
      </c>
    </row>
    <row r="128" spans="1:13">
      <c r="A128">
        <v>58</v>
      </c>
      <c r="B128" t="s">
        <v>13</v>
      </c>
      <c r="C128" t="s">
        <v>18</v>
      </c>
      <c r="D128">
        <v>23</v>
      </c>
      <c r="E128">
        <v>4</v>
      </c>
      <c r="F128" t="s">
        <v>21</v>
      </c>
      <c r="G128">
        <v>4</v>
      </c>
      <c r="H128">
        <v>4</v>
      </c>
      <c r="I128" t="s">
        <v>19</v>
      </c>
      <c r="J128">
        <v>10312</v>
      </c>
      <c r="K128">
        <v>1</v>
      </c>
      <c r="L128">
        <v>2</v>
      </c>
      <c r="M128">
        <v>40</v>
      </c>
    </row>
    <row r="129" spans="1:13">
      <c r="A129">
        <v>19</v>
      </c>
      <c r="B129" t="s">
        <v>13</v>
      </c>
      <c r="C129" t="s">
        <v>14</v>
      </c>
      <c r="D129">
        <v>22</v>
      </c>
      <c r="E129">
        <v>1</v>
      </c>
      <c r="F129" t="s">
        <v>23</v>
      </c>
      <c r="G129">
        <v>4</v>
      </c>
      <c r="H129">
        <v>3</v>
      </c>
      <c r="I129" t="s">
        <v>16</v>
      </c>
      <c r="J129">
        <v>1675</v>
      </c>
      <c r="K129">
        <v>1</v>
      </c>
      <c r="L129">
        <v>2</v>
      </c>
      <c r="M129">
        <v>0</v>
      </c>
    </row>
    <row r="130" spans="1:13">
      <c r="A130">
        <v>22</v>
      </c>
      <c r="B130" t="s">
        <v>17</v>
      </c>
      <c r="C130" t="s">
        <v>18</v>
      </c>
      <c r="D130">
        <v>2</v>
      </c>
      <c r="E130">
        <v>1</v>
      </c>
      <c r="F130" t="s">
        <v>24</v>
      </c>
      <c r="G130">
        <v>3</v>
      </c>
      <c r="H130">
        <v>4</v>
      </c>
      <c r="I130" t="s">
        <v>19</v>
      </c>
      <c r="J130">
        <v>2523</v>
      </c>
      <c r="K130">
        <v>0</v>
      </c>
      <c r="L130">
        <v>3</v>
      </c>
      <c r="M130">
        <v>2</v>
      </c>
    </row>
    <row r="131" spans="1:13">
      <c r="A131">
        <v>49</v>
      </c>
      <c r="B131" t="s">
        <v>17</v>
      </c>
      <c r="C131" t="s">
        <v>18</v>
      </c>
      <c r="D131">
        <v>20</v>
      </c>
      <c r="E131">
        <v>4</v>
      </c>
      <c r="F131" t="s">
        <v>21</v>
      </c>
      <c r="G131">
        <v>3</v>
      </c>
      <c r="H131">
        <v>1</v>
      </c>
      <c r="I131" t="s">
        <v>19</v>
      </c>
      <c r="J131">
        <v>6567</v>
      </c>
      <c r="K131">
        <v>1</v>
      </c>
      <c r="L131">
        <v>2</v>
      </c>
      <c r="M131">
        <v>15</v>
      </c>
    </row>
    <row r="132" spans="1:13">
      <c r="A132">
        <v>43</v>
      </c>
      <c r="B132" t="s">
        <v>17</v>
      </c>
      <c r="C132" t="s">
        <v>18</v>
      </c>
      <c r="D132">
        <v>28</v>
      </c>
      <c r="E132">
        <v>3</v>
      </c>
      <c r="F132" t="s">
        <v>21</v>
      </c>
      <c r="G132">
        <v>2</v>
      </c>
      <c r="H132">
        <v>3</v>
      </c>
      <c r="I132" t="s">
        <v>16</v>
      </c>
      <c r="J132">
        <v>4739</v>
      </c>
      <c r="K132">
        <v>4</v>
      </c>
      <c r="L132">
        <v>3</v>
      </c>
      <c r="M132">
        <v>3</v>
      </c>
    </row>
    <row r="133" spans="1:13">
      <c r="A133">
        <v>50</v>
      </c>
      <c r="B133" t="s">
        <v>17</v>
      </c>
      <c r="C133" t="s">
        <v>14</v>
      </c>
      <c r="D133">
        <v>12</v>
      </c>
      <c r="E133">
        <v>3</v>
      </c>
      <c r="F133" t="s">
        <v>23</v>
      </c>
      <c r="G133">
        <v>3</v>
      </c>
      <c r="H133">
        <v>4</v>
      </c>
      <c r="I133" t="s">
        <v>16</v>
      </c>
      <c r="J133">
        <v>9208</v>
      </c>
      <c r="K133">
        <v>4</v>
      </c>
      <c r="L133">
        <v>3</v>
      </c>
      <c r="M133">
        <v>2</v>
      </c>
    </row>
    <row r="134" spans="1:13">
      <c r="A134">
        <v>31</v>
      </c>
      <c r="B134" t="s">
        <v>13</v>
      </c>
      <c r="C134" t="s">
        <v>14</v>
      </c>
      <c r="D134">
        <v>20</v>
      </c>
      <c r="E134">
        <v>3</v>
      </c>
      <c r="F134" t="s">
        <v>15</v>
      </c>
      <c r="G134">
        <v>2</v>
      </c>
      <c r="H134">
        <v>3</v>
      </c>
      <c r="I134" t="s">
        <v>19</v>
      </c>
      <c r="J134">
        <v>4559</v>
      </c>
      <c r="K134">
        <v>3</v>
      </c>
      <c r="L134">
        <v>3</v>
      </c>
      <c r="M134">
        <v>2</v>
      </c>
    </row>
    <row r="135" spans="1:13">
      <c r="A135">
        <v>41</v>
      </c>
      <c r="B135" t="s">
        <v>17</v>
      </c>
      <c r="C135" t="s">
        <v>14</v>
      </c>
      <c r="D135">
        <v>9</v>
      </c>
      <c r="E135">
        <v>1</v>
      </c>
      <c r="F135" t="s">
        <v>15</v>
      </c>
      <c r="G135">
        <v>3</v>
      </c>
      <c r="H135">
        <v>3</v>
      </c>
      <c r="I135" t="s">
        <v>22</v>
      </c>
      <c r="J135">
        <v>8189</v>
      </c>
      <c r="K135">
        <v>3</v>
      </c>
      <c r="L135">
        <v>3</v>
      </c>
      <c r="M135">
        <v>9</v>
      </c>
    </row>
    <row r="136" spans="1:13">
      <c r="A136">
        <v>26</v>
      </c>
      <c r="B136" t="s">
        <v>17</v>
      </c>
      <c r="C136" t="s">
        <v>25</v>
      </c>
      <c r="D136">
        <v>25</v>
      </c>
      <c r="E136">
        <v>1</v>
      </c>
      <c r="F136" t="s">
        <v>15</v>
      </c>
      <c r="G136">
        <v>3</v>
      </c>
      <c r="H136">
        <v>3</v>
      </c>
      <c r="I136" t="s">
        <v>19</v>
      </c>
      <c r="J136">
        <v>2942</v>
      </c>
      <c r="K136">
        <v>1</v>
      </c>
      <c r="L136">
        <v>3</v>
      </c>
      <c r="M136">
        <v>8</v>
      </c>
    </row>
    <row r="137" spans="1:13">
      <c r="A137">
        <v>36</v>
      </c>
      <c r="B137" t="s">
        <v>17</v>
      </c>
      <c r="C137" t="s">
        <v>18</v>
      </c>
      <c r="D137">
        <v>6</v>
      </c>
      <c r="E137">
        <v>2</v>
      </c>
      <c r="F137" t="s">
        <v>21</v>
      </c>
      <c r="G137">
        <v>2</v>
      </c>
      <c r="H137">
        <v>2</v>
      </c>
      <c r="I137" t="s">
        <v>22</v>
      </c>
      <c r="J137">
        <v>4941</v>
      </c>
      <c r="K137">
        <v>6</v>
      </c>
      <c r="L137">
        <v>3</v>
      </c>
      <c r="M137">
        <v>3</v>
      </c>
    </row>
    <row r="138" spans="1:13">
      <c r="A138">
        <v>51</v>
      </c>
      <c r="B138" t="s">
        <v>13</v>
      </c>
      <c r="C138" t="s">
        <v>18</v>
      </c>
      <c r="D138">
        <v>8</v>
      </c>
      <c r="E138">
        <v>4</v>
      </c>
      <c r="F138" t="s">
        <v>15</v>
      </c>
      <c r="G138">
        <v>1</v>
      </c>
      <c r="H138">
        <v>4</v>
      </c>
      <c r="I138" t="s">
        <v>16</v>
      </c>
      <c r="J138">
        <v>10650</v>
      </c>
      <c r="K138">
        <v>2</v>
      </c>
      <c r="L138">
        <v>3</v>
      </c>
      <c r="M138">
        <v>4</v>
      </c>
    </row>
    <row r="139" spans="1:13">
      <c r="A139">
        <v>39</v>
      </c>
      <c r="B139" t="s">
        <v>17</v>
      </c>
      <c r="C139" t="s">
        <v>14</v>
      </c>
      <c r="D139">
        <v>4</v>
      </c>
      <c r="E139">
        <v>4</v>
      </c>
      <c r="F139" t="s">
        <v>15</v>
      </c>
      <c r="G139">
        <v>4</v>
      </c>
      <c r="H139">
        <v>3</v>
      </c>
      <c r="I139" t="s">
        <v>19</v>
      </c>
      <c r="J139">
        <v>5902</v>
      </c>
      <c r="K139">
        <v>4</v>
      </c>
      <c r="L139">
        <v>4</v>
      </c>
      <c r="M139">
        <v>15</v>
      </c>
    </row>
    <row r="140" spans="1:13">
      <c r="A140">
        <v>25</v>
      </c>
      <c r="B140" t="s">
        <v>17</v>
      </c>
      <c r="C140" t="s">
        <v>14</v>
      </c>
      <c r="D140">
        <v>28</v>
      </c>
      <c r="E140">
        <v>3</v>
      </c>
      <c r="F140" t="s">
        <v>15</v>
      </c>
      <c r="G140">
        <v>1</v>
      </c>
      <c r="H140">
        <v>3</v>
      </c>
      <c r="I140" t="s">
        <v>19</v>
      </c>
      <c r="J140">
        <v>8639</v>
      </c>
      <c r="K140">
        <v>2</v>
      </c>
      <c r="L140">
        <v>3</v>
      </c>
      <c r="M140">
        <v>2</v>
      </c>
    </row>
    <row r="141" spans="1:13">
      <c r="A141">
        <v>30</v>
      </c>
      <c r="B141" t="s">
        <v>17</v>
      </c>
      <c r="C141" t="s">
        <v>25</v>
      </c>
      <c r="D141">
        <v>9</v>
      </c>
      <c r="E141">
        <v>3</v>
      </c>
      <c r="F141" t="s">
        <v>25</v>
      </c>
      <c r="G141">
        <v>3</v>
      </c>
      <c r="H141">
        <v>4</v>
      </c>
      <c r="I141" t="s">
        <v>19</v>
      </c>
      <c r="J141">
        <v>6347</v>
      </c>
      <c r="K141">
        <v>0</v>
      </c>
      <c r="L141">
        <v>1</v>
      </c>
      <c r="M141">
        <v>11</v>
      </c>
    </row>
    <row r="142" spans="1:13">
      <c r="A142">
        <v>32</v>
      </c>
      <c r="B142" t="s">
        <v>13</v>
      </c>
      <c r="C142" t="s">
        <v>18</v>
      </c>
      <c r="D142">
        <v>9</v>
      </c>
      <c r="E142">
        <v>3</v>
      </c>
      <c r="F142" t="s">
        <v>21</v>
      </c>
      <c r="G142">
        <v>1</v>
      </c>
      <c r="H142">
        <v>1</v>
      </c>
      <c r="I142" t="s">
        <v>16</v>
      </c>
      <c r="J142">
        <v>4200</v>
      </c>
      <c r="K142">
        <v>7</v>
      </c>
      <c r="L142">
        <v>4</v>
      </c>
      <c r="M142">
        <v>5</v>
      </c>
    </row>
    <row r="143" spans="1:13">
      <c r="A143">
        <v>45</v>
      </c>
      <c r="B143" t="s">
        <v>17</v>
      </c>
      <c r="C143" t="s">
        <v>18</v>
      </c>
      <c r="D143">
        <v>29</v>
      </c>
      <c r="E143">
        <v>3</v>
      </c>
      <c r="F143" t="s">
        <v>21</v>
      </c>
      <c r="G143">
        <v>3</v>
      </c>
      <c r="H143">
        <v>4</v>
      </c>
      <c r="I143" t="s">
        <v>16</v>
      </c>
      <c r="J143">
        <v>3452</v>
      </c>
      <c r="K143">
        <v>5</v>
      </c>
      <c r="L143">
        <v>2</v>
      </c>
      <c r="M143">
        <v>6</v>
      </c>
    </row>
    <row r="144" spans="1:13">
      <c r="A144">
        <v>38</v>
      </c>
      <c r="B144" t="s">
        <v>17</v>
      </c>
      <c r="C144" t="s">
        <v>18</v>
      </c>
      <c r="D144">
        <v>3</v>
      </c>
      <c r="E144">
        <v>5</v>
      </c>
      <c r="F144" t="s">
        <v>24</v>
      </c>
      <c r="G144">
        <v>4</v>
      </c>
      <c r="H144">
        <v>3</v>
      </c>
      <c r="I144" t="s">
        <v>16</v>
      </c>
      <c r="J144">
        <v>4317</v>
      </c>
      <c r="K144">
        <v>3</v>
      </c>
      <c r="L144">
        <v>3</v>
      </c>
      <c r="M144">
        <v>3</v>
      </c>
    </row>
    <row r="145" spans="1:13">
      <c r="A145">
        <v>30</v>
      </c>
      <c r="B145" t="s">
        <v>17</v>
      </c>
      <c r="C145" t="s">
        <v>18</v>
      </c>
      <c r="D145">
        <v>18</v>
      </c>
      <c r="E145">
        <v>3</v>
      </c>
      <c r="F145" t="s">
        <v>15</v>
      </c>
      <c r="G145">
        <v>1</v>
      </c>
      <c r="H145">
        <v>3</v>
      </c>
      <c r="I145" t="s">
        <v>16</v>
      </c>
      <c r="J145">
        <v>2632</v>
      </c>
      <c r="K145">
        <v>1</v>
      </c>
      <c r="L145">
        <v>2</v>
      </c>
      <c r="M145">
        <v>5</v>
      </c>
    </row>
    <row r="146" spans="1:13">
      <c r="A146">
        <v>32</v>
      </c>
      <c r="B146" t="s">
        <v>17</v>
      </c>
      <c r="C146" t="s">
        <v>14</v>
      </c>
      <c r="D146">
        <v>9</v>
      </c>
      <c r="E146">
        <v>2</v>
      </c>
      <c r="F146" t="s">
        <v>21</v>
      </c>
      <c r="G146">
        <v>4</v>
      </c>
      <c r="H146">
        <v>4</v>
      </c>
      <c r="I146" t="s">
        <v>22</v>
      </c>
      <c r="J146">
        <v>4668</v>
      </c>
      <c r="K146">
        <v>0</v>
      </c>
      <c r="L146">
        <v>4</v>
      </c>
      <c r="M146">
        <v>8</v>
      </c>
    </row>
    <row r="147" spans="1:13">
      <c r="A147">
        <v>30</v>
      </c>
      <c r="B147" t="s">
        <v>17</v>
      </c>
      <c r="C147" t="s">
        <v>18</v>
      </c>
      <c r="D147">
        <v>5</v>
      </c>
      <c r="E147">
        <v>3</v>
      </c>
      <c r="F147" t="s">
        <v>24</v>
      </c>
      <c r="G147">
        <v>4</v>
      </c>
      <c r="H147">
        <v>1</v>
      </c>
      <c r="I147" t="s">
        <v>22</v>
      </c>
      <c r="J147">
        <v>3204</v>
      </c>
      <c r="K147">
        <v>5</v>
      </c>
      <c r="L147">
        <v>3</v>
      </c>
      <c r="M147">
        <v>3</v>
      </c>
    </row>
    <row r="148" spans="1:13">
      <c r="A148">
        <v>30</v>
      </c>
      <c r="B148" t="s">
        <v>17</v>
      </c>
      <c r="C148" t="s">
        <v>18</v>
      </c>
      <c r="D148">
        <v>2</v>
      </c>
      <c r="E148">
        <v>1</v>
      </c>
      <c r="F148" t="s">
        <v>21</v>
      </c>
      <c r="G148">
        <v>2</v>
      </c>
      <c r="H148">
        <v>4</v>
      </c>
      <c r="I148" t="s">
        <v>16</v>
      </c>
      <c r="J148">
        <v>2720</v>
      </c>
      <c r="K148">
        <v>0</v>
      </c>
      <c r="L148">
        <v>3</v>
      </c>
      <c r="M148">
        <v>5</v>
      </c>
    </row>
    <row r="149" spans="1:13">
      <c r="A149">
        <v>41</v>
      </c>
      <c r="B149" t="s">
        <v>17</v>
      </c>
      <c r="C149" t="s">
        <v>18</v>
      </c>
      <c r="D149">
        <v>10</v>
      </c>
      <c r="E149">
        <v>3</v>
      </c>
      <c r="F149" t="s">
        <v>15</v>
      </c>
      <c r="G149">
        <v>4</v>
      </c>
      <c r="H149">
        <v>1</v>
      </c>
      <c r="I149" t="s">
        <v>22</v>
      </c>
      <c r="J149">
        <v>17181</v>
      </c>
      <c r="K149">
        <v>4</v>
      </c>
      <c r="L149">
        <v>2</v>
      </c>
      <c r="M149">
        <v>7</v>
      </c>
    </row>
    <row r="150" spans="1:13">
      <c r="A150">
        <v>41</v>
      </c>
      <c r="B150" t="s">
        <v>17</v>
      </c>
      <c r="C150" t="s">
        <v>18</v>
      </c>
      <c r="D150">
        <v>9</v>
      </c>
      <c r="E150">
        <v>4</v>
      </c>
      <c r="F150" t="s">
        <v>15</v>
      </c>
      <c r="G150">
        <v>3</v>
      </c>
      <c r="H150">
        <v>1</v>
      </c>
      <c r="I150" t="s">
        <v>19</v>
      </c>
      <c r="J150">
        <v>2238</v>
      </c>
      <c r="K150">
        <v>2</v>
      </c>
      <c r="L150">
        <v>3</v>
      </c>
      <c r="M150">
        <v>5</v>
      </c>
    </row>
    <row r="151" spans="1:13">
      <c r="A151">
        <v>19</v>
      </c>
      <c r="B151" t="s">
        <v>17</v>
      </c>
      <c r="C151" t="s">
        <v>18</v>
      </c>
      <c r="D151">
        <v>3</v>
      </c>
      <c r="E151">
        <v>1</v>
      </c>
      <c r="F151" t="s">
        <v>21</v>
      </c>
      <c r="G151">
        <v>2</v>
      </c>
      <c r="H151">
        <v>2</v>
      </c>
      <c r="I151" t="s">
        <v>16</v>
      </c>
      <c r="J151">
        <v>1483</v>
      </c>
      <c r="K151">
        <v>1</v>
      </c>
      <c r="L151">
        <v>3</v>
      </c>
      <c r="M151">
        <v>1</v>
      </c>
    </row>
    <row r="152" spans="1:13">
      <c r="A152">
        <v>40</v>
      </c>
      <c r="B152" t="s">
        <v>17</v>
      </c>
      <c r="C152" t="s">
        <v>18</v>
      </c>
      <c r="D152">
        <v>26</v>
      </c>
      <c r="E152">
        <v>3</v>
      </c>
      <c r="F152" t="s">
        <v>21</v>
      </c>
      <c r="G152">
        <v>2</v>
      </c>
      <c r="H152">
        <v>2</v>
      </c>
      <c r="I152" t="s">
        <v>22</v>
      </c>
      <c r="J152">
        <v>5605</v>
      </c>
      <c r="K152">
        <v>1</v>
      </c>
      <c r="L152">
        <v>3</v>
      </c>
      <c r="M152">
        <v>20</v>
      </c>
    </row>
    <row r="153" spans="1:13">
      <c r="A153">
        <v>35</v>
      </c>
      <c r="B153" t="s">
        <v>17</v>
      </c>
      <c r="C153" t="s">
        <v>14</v>
      </c>
      <c r="D153">
        <v>1</v>
      </c>
      <c r="E153">
        <v>5</v>
      </c>
      <c r="F153" t="s">
        <v>23</v>
      </c>
      <c r="G153">
        <v>3</v>
      </c>
      <c r="H153">
        <v>2</v>
      </c>
      <c r="I153" t="s">
        <v>19</v>
      </c>
      <c r="J153">
        <v>7295</v>
      </c>
      <c r="K153">
        <v>1</v>
      </c>
      <c r="L153">
        <v>3</v>
      </c>
      <c r="M153">
        <v>10</v>
      </c>
    </row>
    <row r="154" spans="1:13">
      <c r="A154">
        <v>53</v>
      </c>
      <c r="B154" t="s">
        <v>17</v>
      </c>
      <c r="C154" t="s">
        <v>14</v>
      </c>
      <c r="D154">
        <v>6</v>
      </c>
      <c r="E154">
        <v>2</v>
      </c>
      <c r="F154" t="s">
        <v>23</v>
      </c>
      <c r="G154">
        <v>2</v>
      </c>
      <c r="H154">
        <v>3</v>
      </c>
      <c r="I154" t="s">
        <v>19</v>
      </c>
      <c r="J154">
        <v>2306</v>
      </c>
      <c r="K154">
        <v>2</v>
      </c>
      <c r="L154">
        <v>1</v>
      </c>
      <c r="M154">
        <v>7</v>
      </c>
    </row>
    <row r="155" spans="1:13">
      <c r="A155">
        <v>45</v>
      </c>
      <c r="B155" t="s">
        <v>17</v>
      </c>
      <c r="C155" t="s">
        <v>18</v>
      </c>
      <c r="D155">
        <v>9</v>
      </c>
      <c r="E155">
        <v>3</v>
      </c>
      <c r="F155" t="s">
        <v>15</v>
      </c>
      <c r="G155">
        <v>2</v>
      </c>
      <c r="H155">
        <v>2</v>
      </c>
      <c r="I155" t="s">
        <v>22</v>
      </c>
      <c r="J155">
        <v>2348</v>
      </c>
      <c r="K155">
        <v>8</v>
      </c>
      <c r="L155">
        <v>1</v>
      </c>
      <c r="M155">
        <v>17</v>
      </c>
    </row>
    <row r="156" spans="1:13">
      <c r="A156">
        <v>32</v>
      </c>
      <c r="B156" t="s">
        <v>17</v>
      </c>
      <c r="C156" t="s">
        <v>14</v>
      </c>
      <c r="D156">
        <v>8</v>
      </c>
      <c r="E156">
        <v>3</v>
      </c>
      <c r="F156" t="s">
        <v>23</v>
      </c>
      <c r="G156">
        <v>2</v>
      </c>
      <c r="H156">
        <v>4</v>
      </c>
      <c r="I156" t="s">
        <v>16</v>
      </c>
      <c r="J156">
        <v>8998</v>
      </c>
      <c r="K156">
        <v>1</v>
      </c>
      <c r="L156">
        <v>3</v>
      </c>
      <c r="M156">
        <v>9</v>
      </c>
    </row>
    <row r="157" spans="1:13">
      <c r="A157">
        <v>29</v>
      </c>
      <c r="B157" t="s">
        <v>17</v>
      </c>
      <c r="C157" t="s">
        <v>18</v>
      </c>
      <c r="D157">
        <v>1</v>
      </c>
      <c r="E157">
        <v>1</v>
      </c>
      <c r="F157" t="s">
        <v>24</v>
      </c>
      <c r="G157">
        <v>4</v>
      </c>
      <c r="H157">
        <v>3</v>
      </c>
      <c r="I157" t="s">
        <v>19</v>
      </c>
      <c r="J157">
        <v>4319</v>
      </c>
      <c r="K157">
        <v>1</v>
      </c>
      <c r="L157">
        <v>3</v>
      </c>
      <c r="M157">
        <v>10</v>
      </c>
    </row>
    <row r="158" spans="1:13">
      <c r="A158">
        <v>51</v>
      </c>
      <c r="B158" t="s">
        <v>17</v>
      </c>
      <c r="C158" t="s">
        <v>18</v>
      </c>
      <c r="D158">
        <v>7</v>
      </c>
      <c r="E158">
        <v>4</v>
      </c>
      <c r="F158" t="s">
        <v>21</v>
      </c>
      <c r="G158">
        <v>2</v>
      </c>
      <c r="H158">
        <v>3</v>
      </c>
      <c r="I158" t="s">
        <v>19</v>
      </c>
      <c r="J158">
        <v>6132</v>
      </c>
      <c r="K158">
        <v>2</v>
      </c>
      <c r="L158">
        <v>3</v>
      </c>
      <c r="M158">
        <v>1</v>
      </c>
    </row>
    <row r="159" spans="1:13">
      <c r="A159">
        <v>58</v>
      </c>
      <c r="B159" t="s">
        <v>17</v>
      </c>
      <c r="C159" t="s">
        <v>18</v>
      </c>
      <c r="D159">
        <v>9</v>
      </c>
      <c r="E159">
        <v>3</v>
      </c>
      <c r="F159" t="s">
        <v>21</v>
      </c>
      <c r="G159">
        <v>2</v>
      </c>
      <c r="H159">
        <v>2</v>
      </c>
      <c r="I159" t="s">
        <v>19</v>
      </c>
      <c r="J159">
        <v>3346</v>
      </c>
      <c r="K159">
        <v>4</v>
      </c>
      <c r="L159">
        <v>2</v>
      </c>
      <c r="M159">
        <v>1</v>
      </c>
    </row>
    <row r="160" spans="1:13">
      <c r="A160">
        <v>40</v>
      </c>
      <c r="B160" t="s">
        <v>17</v>
      </c>
      <c r="C160" t="s">
        <v>14</v>
      </c>
      <c r="D160">
        <v>4</v>
      </c>
      <c r="E160">
        <v>4</v>
      </c>
      <c r="F160" t="s">
        <v>23</v>
      </c>
      <c r="G160">
        <v>3</v>
      </c>
      <c r="H160">
        <v>4</v>
      </c>
      <c r="I160" t="s">
        <v>19</v>
      </c>
      <c r="J160">
        <v>10855</v>
      </c>
      <c r="K160">
        <v>7</v>
      </c>
      <c r="L160">
        <v>2</v>
      </c>
      <c r="M160">
        <v>12</v>
      </c>
    </row>
    <row r="161" spans="1:13">
      <c r="A161">
        <v>34</v>
      </c>
      <c r="B161" t="s">
        <v>17</v>
      </c>
      <c r="C161" t="s">
        <v>14</v>
      </c>
      <c r="D161">
        <v>2</v>
      </c>
      <c r="E161">
        <v>4</v>
      </c>
      <c r="F161" t="s">
        <v>23</v>
      </c>
      <c r="G161">
        <v>3</v>
      </c>
      <c r="H161">
        <v>3</v>
      </c>
      <c r="I161" t="s">
        <v>19</v>
      </c>
      <c r="J161">
        <v>2231</v>
      </c>
      <c r="K161">
        <v>6</v>
      </c>
      <c r="L161">
        <v>3</v>
      </c>
      <c r="M161">
        <v>4</v>
      </c>
    </row>
    <row r="162" spans="1:13">
      <c r="A162">
        <v>22</v>
      </c>
      <c r="B162" t="s">
        <v>17</v>
      </c>
      <c r="C162" t="s">
        <v>18</v>
      </c>
      <c r="D162">
        <v>19</v>
      </c>
      <c r="E162">
        <v>1</v>
      </c>
      <c r="F162" t="s">
        <v>21</v>
      </c>
      <c r="G162">
        <v>3</v>
      </c>
      <c r="H162">
        <v>4</v>
      </c>
      <c r="I162" t="s">
        <v>19</v>
      </c>
      <c r="J162">
        <v>2323</v>
      </c>
      <c r="K162">
        <v>1</v>
      </c>
      <c r="L162">
        <v>3</v>
      </c>
      <c r="M162">
        <v>2</v>
      </c>
    </row>
    <row r="163" spans="1:13">
      <c r="A163">
        <v>27</v>
      </c>
      <c r="B163" t="s">
        <v>17</v>
      </c>
      <c r="C163" t="s">
        <v>18</v>
      </c>
      <c r="D163">
        <v>9</v>
      </c>
      <c r="E163">
        <v>3</v>
      </c>
      <c r="F163" t="s">
        <v>21</v>
      </c>
      <c r="G163">
        <v>4</v>
      </c>
      <c r="H163">
        <v>2</v>
      </c>
      <c r="I163" t="s">
        <v>22</v>
      </c>
      <c r="J163">
        <v>2024</v>
      </c>
      <c r="K163">
        <v>6</v>
      </c>
      <c r="L163">
        <v>1</v>
      </c>
      <c r="M163">
        <v>2</v>
      </c>
    </row>
    <row r="164" spans="1:13">
      <c r="A164">
        <v>28</v>
      </c>
      <c r="B164" t="s">
        <v>17</v>
      </c>
      <c r="C164" t="s">
        <v>18</v>
      </c>
      <c r="D164">
        <v>21</v>
      </c>
      <c r="E164">
        <v>3</v>
      </c>
      <c r="F164" t="s">
        <v>21</v>
      </c>
      <c r="G164">
        <v>3</v>
      </c>
      <c r="H164">
        <v>4</v>
      </c>
      <c r="I164" t="s">
        <v>19</v>
      </c>
      <c r="J164">
        <v>2713</v>
      </c>
      <c r="K164">
        <v>1</v>
      </c>
      <c r="L164">
        <v>1</v>
      </c>
      <c r="M164">
        <v>5</v>
      </c>
    </row>
    <row r="165" spans="1:13">
      <c r="A165">
        <v>57</v>
      </c>
      <c r="B165" t="s">
        <v>17</v>
      </c>
      <c r="C165" t="s">
        <v>18</v>
      </c>
      <c r="D165">
        <v>24</v>
      </c>
      <c r="E165">
        <v>2</v>
      </c>
      <c r="F165" t="s">
        <v>15</v>
      </c>
      <c r="G165">
        <v>3</v>
      </c>
      <c r="H165">
        <v>4</v>
      </c>
      <c r="I165" t="s">
        <v>22</v>
      </c>
      <c r="J165">
        <v>9439</v>
      </c>
      <c r="K165">
        <v>3</v>
      </c>
      <c r="L165">
        <v>1</v>
      </c>
      <c r="M165">
        <v>5</v>
      </c>
    </row>
    <row r="166" spans="1:13">
      <c r="A166">
        <v>27</v>
      </c>
      <c r="B166" t="s">
        <v>17</v>
      </c>
      <c r="C166" t="s">
        <v>18</v>
      </c>
      <c r="D166">
        <v>3</v>
      </c>
      <c r="E166">
        <v>3</v>
      </c>
      <c r="F166" t="s">
        <v>21</v>
      </c>
      <c r="G166">
        <v>3</v>
      </c>
      <c r="H166">
        <v>3</v>
      </c>
      <c r="I166" t="s">
        <v>22</v>
      </c>
      <c r="J166">
        <v>2566</v>
      </c>
      <c r="K166">
        <v>1</v>
      </c>
      <c r="L166">
        <v>2</v>
      </c>
      <c r="M166">
        <v>1</v>
      </c>
    </row>
    <row r="167" spans="1:13">
      <c r="A167">
        <v>50</v>
      </c>
      <c r="B167" t="s">
        <v>17</v>
      </c>
      <c r="C167" t="s">
        <v>18</v>
      </c>
      <c r="D167">
        <v>11</v>
      </c>
      <c r="E167">
        <v>3</v>
      </c>
      <c r="F167" t="s">
        <v>15</v>
      </c>
      <c r="G167">
        <v>3</v>
      </c>
      <c r="H167">
        <v>2</v>
      </c>
      <c r="I167" t="s">
        <v>16</v>
      </c>
      <c r="J167">
        <v>19926</v>
      </c>
      <c r="K167">
        <v>3</v>
      </c>
      <c r="L167">
        <v>3</v>
      </c>
      <c r="M167">
        <v>5</v>
      </c>
    </row>
    <row r="168" spans="1:13">
      <c r="A168">
        <v>41</v>
      </c>
      <c r="B168" t="s">
        <v>17</v>
      </c>
      <c r="C168" t="s">
        <v>18</v>
      </c>
      <c r="D168">
        <v>14</v>
      </c>
      <c r="E168">
        <v>3</v>
      </c>
      <c r="F168" t="s">
        <v>15</v>
      </c>
      <c r="G168">
        <v>1</v>
      </c>
      <c r="H168">
        <v>3</v>
      </c>
      <c r="I168" t="s">
        <v>22</v>
      </c>
      <c r="J168">
        <v>2451</v>
      </c>
      <c r="K168">
        <v>4</v>
      </c>
      <c r="L168">
        <v>3</v>
      </c>
      <c r="M168">
        <v>9</v>
      </c>
    </row>
    <row r="169" spans="1:13">
      <c r="A169">
        <v>30</v>
      </c>
      <c r="B169" t="s">
        <v>17</v>
      </c>
      <c r="C169" t="s">
        <v>14</v>
      </c>
      <c r="D169">
        <v>5</v>
      </c>
      <c r="E169">
        <v>3</v>
      </c>
      <c r="F169" t="s">
        <v>15</v>
      </c>
      <c r="G169">
        <v>2</v>
      </c>
      <c r="H169">
        <v>4</v>
      </c>
      <c r="I169" t="s">
        <v>19</v>
      </c>
      <c r="J169">
        <v>9419</v>
      </c>
      <c r="K169">
        <v>2</v>
      </c>
      <c r="L169">
        <v>3</v>
      </c>
      <c r="M169">
        <v>10</v>
      </c>
    </row>
    <row r="170" spans="1:13">
      <c r="A170">
        <v>38</v>
      </c>
      <c r="B170" t="s">
        <v>17</v>
      </c>
      <c r="C170" t="s">
        <v>14</v>
      </c>
      <c r="D170">
        <v>1</v>
      </c>
      <c r="E170">
        <v>4</v>
      </c>
      <c r="F170" t="s">
        <v>15</v>
      </c>
      <c r="G170">
        <v>1</v>
      </c>
      <c r="H170">
        <v>4</v>
      </c>
      <c r="I170" t="s">
        <v>16</v>
      </c>
      <c r="J170">
        <v>8686</v>
      </c>
      <c r="K170">
        <v>4</v>
      </c>
      <c r="L170">
        <v>4</v>
      </c>
      <c r="M170">
        <v>8</v>
      </c>
    </row>
    <row r="171" spans="1:13">
      <c r="A171">
        <v>32</v>
      </c>
      <c r="B171" t="s">
        <v>17</v>
      </c>
      <c r="C171" t="s">
        <v>18</v>
      </c>
      <c r="D171">
        <v>6</v>
      </c>
      <c r="E171">
        <v>5</v>
      </c>
      <c r="F171" t="s">
        <v>15</v>
      </c>
      <c r="G171">
        <v>3</v>
      </c>
      <c r="H171">
        <v>3</v>
      </c>
      <c r="I171" t="s">
        <v>16</v>
      </c>
      <c r="J171">
        <v>3038</v>
      </c>
      <c r="K171">
        <v>3</v>
      </c>
      <c r="L171">
        <v>3</v>
      </c>
      <c r="M171">
        <v>5</v>
      </c>
    </row>
    <row r="172" spans="1:13">
      <c r="A172">
        <v>27</v>
      </c>
      <c r="B172" t="s">
        <v>17</v>
      </c>
      <c r="C172" t="s">
        <v>18</v>
      </c>
      <c r="D172">
        <v>17</v>
      </c>
      <c r="E172">
        <v>3</v>
      </c>
      <c r="F172" t="s">
        <v>24</v>
      </c>
      <c r="G172">
        <v>3</v>
      </c>
      <c r="H172">
        <v>2</v>
      </c>
      <c r="I172" t="s">
        <v>19</v>
      </c>
      <c r="J172">
        <v>3058</v>
      </c>
      <c r="K172">
        <v>0</v>
      </c>
      <c r="L172">
        <v>2</v>
      </c>
      <c r="M172">
        <v>5</v>
      </c>
    </row>
    <row r="173" spans="1:13">
      <c r="A173">
        <v>19</v>
      </c>
      <c r="B173" t="s">
        <v>13</v>
      </c>
      <c r="C173" t="s">
        <v>14</v>
      </c>
      <c r="D173">
        <v>1</v>
      </c>
      <c r="E173">
        <v>1</v>
      </c>
      <c r="F173" t="s">
        <v>24</v>
      </c>
      <c r="G173">
        <v>3</v>
      </c>
      <c r="H173">
        <v>1</v>
      </c>
      <c r="I173" t="s">
        <v>16</v>
      </c>
      <c r="J173">
        <v>2325</v>
      </c>
      <c r="K173">
        <v>0</v>
      </c>
      <c r="L173">
        <v>4</v>
      </c>
      <c r="M173">
        <v>0</v>
      </c>
    </row>
    <row r="174" spans="1:13">
      <c r="A174">
        <v>36</v>
      </c>
      <c r="B174" t="s">
        <v>17</v>
      </c>
      <c r="C174" t="s">
        <v>18</v>
      </c>
      <c r="D174">
        <v>3</v>
      </c>
      <c r="E174">
        <v>2</v>
      </c>
      <c r="F174" t="s">
        <v>21</v>
      </c>
      <c r="G174">
        <v>4</v>
      </c>
      <c r="H174">
        <v>2</v>
      </c>
      <c r="I174" t="s">
        <v>16</v>
      </c>
      <c r="J174">
        <v>2088</v>
      </c>
      <c r="K174">
        <v>4</v>
      </c>
      <c r="L174">
        <v>2</v>
      </c>
      <c r="M174">
        <v>8</v>
      </c>
    </row>
    <row r="175" spans="1:13">
      <c r="A175">
        <v>30</v>
      </c>
      <c r="B175" t="s">
        <v>17</v>
      </c>
      <c r="C175" t="s">
        <v>18</v>
      </c>
      <c r="D175">
        <v>9</v>
      </c>
      <c r="E175">
        <v>3</v>
      </c>
      <c r="F175" t="s">
        <v>21</v>
      </c>
      <c r="G175">
        <v>3</v>
      </c>
      <c r="H175">
        <v>1</v>
      </c>
      <c r="I175" t="s">
        <v>22</v>
      </c>
      <c r="J175">
        <v>3072</v>
      </c>
      <c r="K175">
        <v>1</v>
      </c>
      <c r="L175">
        <v>3</v>
      </c>
      <c r="M175">
        <v>12</v>
      </c>
    </row>
    <row r="176" spans="1:13">
      <c r="A176">
        <v>45</v>
      </c>
      <c r="B176" t="s">
        <v>17</v>
      </c>
      <c r="C176" t="s">
        <v>14</v>
      </c>
      <c r="D176">
        <v>4</v>
      </c>
      <c r="E176">
        <v>2</v>
      </c>
      <c r="F176" t="s">
        <v>15</v>
      </c>
      <c r="G176">
        <v>3</v>
      </c>
      <c r="H176">
        <v>1</v>
      </c>
      <c r="I176" t="s">
        <v>22</v>
      </c>
      <c r="J176">
        <v>5006</v>
      </c>
      <c r="K176">
        <v>4</v>
      </c>
      <c r="L176">
        <v>4</v>
      </c>
      <c r="M176">
        <v>5</v>
      </c>
    </row>
    <row r="177" spans="1:13">
      <c r="A177">
        <v>56</v>
      </c>
      <c r="B177" t="s">
        <v>17</v>
      </c>
      <c r="C177" t="s">
        <v>18</v>
      </c>
      <c r="D177">
        <v>8</v>
      </c>
      <c r="E177">
        <v>3</v>
      </c>
      <c r="F177" t="s">
        <v>15</v>
      </c>
      <c r="G177">
        <v>3</v>
      </c>
      <c r="H177">
        <v>1</v>
      </c>
      <c r="I177" t="s">
        <v>22</v>
      </c>
      <c r="J177">
        <v>4257</v>
      </c>
      <c r="K177">
        <v>4</v>
      </c>
      <c r="L177">
        <v>3</v>
      </c>
      <c r="M177">
        <v>2</v>
      </c>
    </row>
    <row r="178" spans="1:13">
      <c r="A178">
        <v>33</v>
      </c>
      <c r="B178" t="s">
        <v>17</v>
      </c>
      <c r="C178" t="s">
        <v>18</v>
      </c>
      <c r="D178">
        <v>2</v>
      </c>
      <c r="E178">
        <v>3</v>
      </c>
      <c r="F178" t="s">
        <v>15</v>
      </c>
      <c r="G178">
        <v>3</v>
      </c>
      <c r="H178">
        <v>4</v>
      </c>
      <c r="I178" t="s">
        <v>16</v>
      </c>
      <c r="J178">
        <v>2500</v>
      </c>
      <c r="K178">
        <v>0</v>
      </c>
      <c r="L178">
        <v>4</v>
      </c>
      <c r="M178">
        <v>3</v>
      </c>
    </row>
    <row r="179" spans="1:13">
      <c r="A179">
        <v>19</v>
      </c>
      <c r="B179" t="s">
        <v>13</v>
      </c>
      <c r="C179" t="s">
        <v>18</v>
      </c>
      <c r="D179">
        <v>2</v>
      </c>
      <c r="E179">
        <v>3</v>
      </c>
      <c r="F179" t="s">
        <v>15</v>
      </c>
      <c r="G179">
        <v>2</v>
      </c>
      <c r="H179">
        <v>4</v>
      </c>
      <c r="I179" t="s">
        <v>16</v>
      </c>
      <c r="J179">
        <v>1102</v>
      </c>
      <c r="K179">
        <v>1</v>
      </c>
      <c r="L179">
        <v>2</v>
      </c>
      <c r="M179">
        <v>1</v>
      </c>
    </row>
    <row r="180" spans="1:13">
      <c r="A180">
        <v>46</v>
      </c>
      <c r="B180" t="s">
        <v>17</v>
      </c>
      <c r="C180" t="s">
        <v>14</v>
      </c>
      <c r="D180">
        <v>1</v>
      </c>
      <c r="E180">
        <v>2</v>
      </c>
      <c r="F180" t="s">
        <v>23</v>
      </c>
      <c r="G180">
        <v>2</v>
      </c>
      <c r="H180">
        <v>1</v>
      </c>
      <c r="I180" t="s">
        <v>22</v>
      </c>
      <c r="J180">
        <v>10453</v>
      </c>
      <c r="K180">
        <v>1</v>
      </c>
      <c r="L180">
        <v>3</v>
      </c>
      <c r="M180">
        <v>24</v>
      </c>
    </row>
    <row r="181" spans="1:13">
      <c r="A181">
        <v>38</v>
      </c>
      <c r="B181" t="s">
        <v>17</v>
      </c>
      <c r="C181" t="s">
        <v>18</v>
      </c>
      <c r="D181">
        <v>9</v>
      </c>
      <c r="E181">
        <v>2</v>
      </c>
      <c r="F181" t="s">
        <v>15</v>
      </c>
      <c r="G181">
        <v>3</v>
      </c>
      <c r="H181">
        <v>4</v>
      </c>
      <c r="I181" t="s">
        <v>16</v>
      </c>
      <c r="J181">
        <v>2288</v>
      </c>
      <c r="K181">
        <v>1</v>
      </c>
      <c r="L181">
        <v>3</v>
      </c>
      <c r="M181">
        <v>2</v>
      </c>
    </row>
    <row r="182" spans="1:13">
      <c r="A182">
        <v>31</v>
      </c>
      <c r="B182" t="s">
        <v>17</v>
      </c>
      <c r="C182" t="s">
        <v>18</v>
      </c>
      <c r="D182">
        <v>12</v>
      </c>
      <c r="E182">
        <v>1</v>
      </c>
      <c r="F182" t="s">
        <v>21</v>
      </c>
      <c r="G182">
        <v>3</v>
      </c>
      <c r="H182">
        <v>4</v>
      </c>
      <c r="I182" t="s">
        <v>19</v>
      </c>
      <c r="J182">
        <v>3929</v>
      </c>
      <c r="K182">
        <v>8</v>
      </c>
      <c r="L182">
        <v>3</v>
      </c>
      <c r="M182">
        <v>4</v>
      </c>
    </row>
    <row r="183" spans="1:13">
      <c r="A183">
        <v>34</v>
      </c>
      <c r="B183" t="s">
        <v>17</v>
      </c>
      <c r="C183" t="s">
        <v>18</v>
      </c>
      <c r="D183">
        <v>27</v>
      </c>
      <c r="E183">
        <v>2</v>
      </c>
      <c r="F183" t="s">
        <v>21</v>
      </c>
      <c r="G183">
        <v>4</v>
      </c>
      <c r="H183">
        <v>2</v>
      </c>
      <c r="I183" t="s">
        <v>16</v>
      </c>
      <c r="J183">
        <v>2311</v>
      </c>
      <c r="K183">
        <v>2</v>
      </c>
      <c r="L183">
        <v>3</v>
      </c>
      <c r="M183">
        <v>3</v>
      </c>
    </row>
    <row r="184" spans="1:13">
      <c r="A184">
        <v>41</v>
      </c>
      <c r="B184" t="s">
        <v>13</v>
      </c>
      <c r="C184" t="s">
        <v>14</v>
      </c>
      <c r="D184">
        <v>20</v>
      </c>
      <c r="E184">
        <v>2</v>
      </c>
      <c r="F184" t="s">
        <v>23</v>
      </c>
      <c r="G184">
        <v>2</v>
      </c>
      <c r="H184">
        <v>2</v>
      </c>
      <c r="I184" t="s">
        <v>16</v>
      </c>
      <c r="J184">
        <v>3140</v>
      </c>
      <c r="K184">
        <v>1</v>
      </c>
      <c r="L184">
        <v>2</v>
      </c>
      <c r="M184">
        <v>4</v>
      </c>
    </row>
    <row r="185" spans="1:13">
      <c r="A185">
        <v>50</v>
      </c>
      <c r="B185" t="s">
        <v>17</v>
      </c>
      <c r="C185" t="s">
        <v>18</v>
      </c>
      <c r="D185">
        <v>1</v>
      </c>
      <c r="E185">
        <v>3</v>
      </c>
      <c r="F185" t="s">
        <v>21</v>
      </c>
      <c r="G185">
        <v>3</v>
      </c>
      <c r="H185">
        <v>3</v>
      </c>
      <c r="I185" t="s">
        <v>19</v>
      </c>
      <c r="J185">
        <v>3690</v>
      </c>
      <c r="K185">
        <v>2</v>
      </c>
      <c r="L185">
        <v>2</v>
      </c>
      <c r="M185">
        <v>3</v>
      </c>
    </row>
    <row r="186" spans="1:13">
      <c r="A186">
        <v>53</v>
      </c>
      <c r="B186" t="s">
        <v>17</v>
      </c>
      <c r="C186" t="s">
        <v>18</v>
      </c>
      <c r="D186">
        <v>13</v>
      </c>
      <c r="E186">
        <v>2</v>
      </c>
      <c r="F186" t="s">
        <v>21</v>
      </c>
      <c r="G186">
        <v>4</v>
      </c>
      <c r="H186">
        <v>1</v>
      </c>
      <c r="I186" t="s">
        <v>22</v>
      </c>
      <c r="J186">
        <v>4450</v>
      </c>
      <c r="K186">
        <v>1</v>
      </c>
      <c r="L186">
        <v>3</v>
      </c>
      <c r="M186">
        <v>4</v>
      </c>
    </row>
    <row r="187" spans="1:13">
      <c r="A187">
        <v>33</v>
      </c>
      <c r="B187" t="s">
        <v>17</v>
      </c>
      <c r="C187" t="s">
        <v>18</v>
      </c>
      <c r="D187">
        <v>14</v>
      </c>
      <c r="E187">
        <v>3</v>
      </c>
      <c r="F187" t="s">
        <v>21</v>
      </c>
      <c r="G187">
        <v>4</v>
      </c>
      <c r="H187">
        <v>2</v>
      </c>
      <c r="I187" t="s">
        <v>19</v>
      </c>
      <c r="J187">
        <v>2756</v>
      </c>
      <c r="K187">
        <v>1</v>
      </c>
      <c r="L187">
        <v>3</v>
      </c>
      <c r="M187">
        <v>8</v>
      </c>
    </row>
    <row r="188" spans="1:13">
      <c r="A188">
        <v>40</v>
      </c>
      <c r="B188" t="s">
        <v>17</v>
      </c>
      <c r="C188" t="s">
        <v>18</v>
      </c>
      <c r="D188">
        <v>4</v>
      </c>
      <c r="E188">
        <v>1</v>
      </c>
      <c r="F188" t="s">
        <v>21</v>
      </c>
      <c r="G188">
        <v>4</v>
      </c>
      <c r="H188">
        <v>3</v>
      </c>
      <c r="I188" t="s">
        <v>19</v>
      </c>
      <c r="J188">
        <v>19033</v>
      </c>
      <c r="K188">
        <v>1</v>
      </c>
      <c r="L188">
        <v>3</v>
      </c>
      <c r="M188">
        <v>20</v>
      </c>
    </row>
    <row r="189" spans="1:13">
      <c r="A189">
        <v>55</v>
      </c>
      <c r="B189" t="s">
        <v>17</v>
      </c>
      <c r="C189" t="s">
        <v>18</v>
      </c>
      <c r="D189">
        <v>14</v>
      </c>
      <c r="E189">
        <v>4</v>
      </c>
      <c r="F189" t="s">
        <v>21</v>
      </c>
      <c r="G189">
        <v>3</v>
      </c>
      <c r="H189">
        <v>2</v>
      </c>
      <c r="I189" t="s">
        <v>16</v>
      </c>
      <c r="J189">
        <v>18722</v>
      </c>
      <c r="K189">
        <v>8</v>
      </c>
      <c r="L189">
        <v>3</v>
      </c>
      <c r="M189">
        <v>24</v>
      </c>
    </row>
    <row r="190" spans="1:13">
      <c r="A190">
        <v>34</v>
      </c>
      <c r="B190" t="s">
        <v>17</v>
      </c>
      <c r="C190" t="s">
        <v>18</v>
      </c>
      <c r="D190">
        <v>2</v>
      </c>
      <c r="E190">
        <v>1</v>
      </c>
      <c r="F190" t="s">
        <v>15</v>
      </c>
      <c r="G190">
        <v>4</v>
      </c>
      <c r="H190">
        <v>3</v>
      </c>
      <c r="I190" t="s">
        <v>19</v>
      </c>
      <c r="J190">
        <v>9547</v>
      </c>
      <c r="K190">
        <v>1</v>
      </c>
      <c r="L190">
        <v>2</v>
      </c>
      <c r="M190">
        <v>10</v>
      </c>
    </row>
    <row r="191" spans="1:13">
      <c r="A191">
        <v>51</v>
      </c>
      <c r="B191" t="s">
        <v>17</v>
      </c>
      <c r="C191" t="s">
        <v>18</v>
      </c>
      <c r="D191">
        <v>3</v>
      </c>
      <c r="E191">
        <v>3</v>
      </c>
      <c r="F191" t="s">
        <v>21</v>
      </c>
      <c r="G191">
        <v>4</v>
      </c>
      <c r="H191">
        <v>2</v>
      </c>
      <c r="I191" t="s">
        <v>16</v>
      </c>
      <c r="J191">
        <v>13734</v>
      </c>
      <c r="K191">
        <v>3</v>
      </c>
      <c r="L191">
        <v>3</v>
      </c>
      <c r="M191">
        <v>7</v>
      </c>
    </row>
    <row r="192" spans="1:13">
      <c r="A192">
        <v>52</v>
      </c>
      <c r="B192" t="s">
        <v>17</v>
      </c>
      <c r="C192" t="s">
        <v>18</v>
      </c>
      <c r="D192">
        <v>1</v>
      </c>
      <c r="E192">
        <v>4</v>
      </c>
      <c r="F192" t="s">
        <v>15</v>
      </c>
      <c r="G192">
        <v>3</v>
      </c>
      <c r="H192">
        <v>3</v>
      </c>
      <c r="I192" t="s">
        <v>19</v>
      </c>
      <c r="J192">
        <v>19999</v>
      </c>
      <c r="K192">
        <v>0</v>
      </c>
      <c r="L192">
        <v>3</v>
      </c>
      <c r="M192">
        <v>33</v>
      </c>
    </row>
    <row r="193" spans="1:13">
      <c r="A193">
        <v>27</v>
      </c>
      <c r="B193" t="s">
        <v>17</v>
      </c>
      <c r="C193" t="s">
        <v>18</v>
      </c>
      <c r="D193">
        <v>9</v>
      </c>
      <c r="E193">
        <v>3</v>
      </c>
      <c r="F193" t="s">
        <v>21</v>
      </c>
      <c r="G193">
        <v>4</v>
      </c>
      <c r="H193">
        <v>2</v>
      </c>
      <c r="I193" t="s">
        <v>16</v>
      </c>
      <c r="J193">
        <v>2279</v>
      </c>
      <c r="K193">
        <v>1</v>
      </c>
      <c r="L193">
        <v>2</v>
      </c>
      <c r="M193">
        <v>7</v>
      </c>
    </row>
    <row r="194" spans="1:13">
      <c r="A194">
        <v>35</v>
      </c>
      <c r="B194" t="s">
        <v>13</v>
      </c>
      <c r="C194" t="s">
        <v>18</v>
      </c>
      <c r="D194">
        <v>23</v>
      </c>
      <c r="E194">
        <v>2</v>
      </c>
      <c r="F194" t="s">
        <v>15</v>
      </c>
      <c r="G194">
        <v>2</v>
      </c>
      <c r="H194">
        <v>3</v>
      </c>
      <c r="I194" t="s">
        <v>19</v>
      </c>
      <c r="J194">
        <v>5916</v>
      </c>
      <c r="K194">
        <v>3</v>
      </c>
      <c r="L194">
        <v>3</v>
      </c>
      <c r="M194">
        <v>1</v>
      </c>
    </row>
    <row r="195" spans="1:13">
      <c r="A195">
        <v>43</v>
      </c>
      <c r="B195" t="s">
        <v>17</v>
      </c>
      <c r="C195" t="s">
        <v>18</v>
      </c>
      <c r="D195">
        <v>7</v>
      </c>
      <c r="E195">
        <v>3</v>
      </c>
      <c r="F195" t="s">
        <v>21</v>
      </c>
      <c r="G195">
        <v>4</v>
      </c>
      <c r="H195">
        <v>4</v>
      </c>
      <c r="I195" t="s">
        <v>22</v>
      </c>
      <c r="J195">
        <v>2089</v>
      </c>
      <c r="K195">
        <v>4</v>
      </c>
      <c r="L195">
        <v>4</v>
      </c>
      <c r="M195">
        <v>5</v>
      </c>
    </row>
    <row r="196" spans="1:13">
      <c r="A196">
        <v>45</v>
      </c>
      <c r="B196" t="s">
        <v>17</v>
      </c>
      <c r="C196" t="s">
        <v>18</v>
      </c>
      <c r="D196">
        <v>2</v>
      </c>
      <c r="E196">
        <v>2</v>
      </c>
      <c r="F196" t="s">
        <v>21</v>
      </c>
      <c r="G196">
        <v>1</v>
      </c>
      <c r="H196">
        <v>4</v>
      </c>
      <c r="I196" t="s">
        <v>19</v>
      </c>
      <c r="J196">
        <v>16792</v>
      </c>
      <c r="K196">
        <v>9</v>
      </c>
      <c r="L196">
        <v>3</v>
      </c>
      <c r="M196">
        <v>20</v>
      </c>
    </row>
    <row r="197" spans="1:13">
      <c r="A197">
        <v>37</v>
      </c>
      <c r="B197" t="s">
        <v>17</v>
      </c>
      <c r="C197" t="s">
        <v>18</v>
      </c>
      <c r="D197">
        <v>21</v>
      </c>
      <c r="E197">
        <v>3</v>
      </c>
      <c r="F197" t="s">
        <v>15</v>
      </c>
      <c r="G197">
        <v>2</v>
      </c>
      <c r="H197">
        <v>1</v>
      </c>
      <c r="I197" t="s">
        <v>19</v>
      </c>
      <c r="J197">
        <v>3564</v>
      </c>
      <c r="K197">
        <v>1</v>
      </c>
      <c r="L197">
        <v>2</v>
      </c>
      <c r="M197">
        <v>8</v>
      </c>
    </row>
    <row r="198" spans="1:13">
      <c r="A198">
        <v>35</v>
      </c>
      <c r="B198" t="s">
        <v>17</v>
      </c>
      <c r="C198" t="s">
        <v>18</v>
      </c>
      <c r="D198">
        <v>2</v>
      </c>
      <c r="E198">
        <v>3</v>
      </c>
      <c r="F198" t="s">
        <v>21</v>
      </c>
      <c r="G198">
        <v>2</v>
      </c>
      <c r="H198">
        <v>2</v>
      </c>
      <c r="I198" t="s">
        <v>16</v>
      </c>
      <c r="J198">
        <v>4425</v>
      </c>
      <c r="K198">
        <v>5</v>
      </c>
      <c r="L198">
        <v>3</v>
      </c>
      <c r="M198">
        <v>6</v>
      </c>
    </row>
    <row r="199" spans="1:13">
      <c r="A199">
        <v>42</v>
      </c>
      <c r="B199" t="s">
        <v>17</v>
      </c>
      <c r="C199" t="s">
        <v>18</v>
      </c>
      <c r="D199">
        <v>21</v>
      </c>
      <c r="E199">
        <v>2</v>
      </c>
      <c r="F199" t="s">
        <v>21</v>
      </c>
      <c r="G199">
        <v>3</v>
      </c>
      <c r="H199">
        <v>3</v>
      </c>
      <c r="I199" t="s">
        <v>22</v>
      </c>
      <c r="J199">
        <v>5265</v>
      </c>
      <c r="K199">
        <v>2</v>
      </c>
      <c r="L199">
        <v>3</v>
      </c>
      <c r="M199">
        <v>5</v>
      </c>
    </row>
    <row r="200" spans="1:13">
      <c r="A200">
        <v>38</v>
      </c>
      <c r="B200" t="s">
        <v>17</v>
      </c>
      <c r="C200" t="s">
        <v>18</v>
      </c>
      <c r="D200">
        <v>2</v>
      </c>
      <c r="E200">
        <v>4</v>
      </c>
      <c r="F200" t="s">
        <v>15</v>
      </c>
      <c r="G200">
        <v>4</v>
      </c>
      <c r="H200">
        <v>3</v>
      </c>
      <c r="I200" t="s">
        <v>19</v>
      </c>
      <c r="J200">
        <v>6553</v>
      </c>
      <c r="K200">
        <v>9</v>
      </c>
      <c r="L200">
        <v>3</v>
      </c>
      <c r="M200">
        <v>1</v>
      </c>
    </row>
    <row r="201" spans="1:13">
      <c r="A201">
        <v>38</v>
      </c>
      <c r="B201" t="s">
        <v>17</v>
      </c>
      <c r="C201" t="s">
        <v>18</v>
      </c>
      <c r="D201">
        <v>29</v>
      </c>
      <c r="E201">
        <v>3</v>
      </c>
      <c r="F201" t="s">
        <v>24</v>
      </c>
      <c r="G201">
        <v>4</v>
      </c>
      <c r="H201">
        <v>4</v>
      </c>
      <c r="I201" t="s">
        <v>19</v>
      </c>
      <c r="J201">
        <v>6261</v>
      </c>
      <c r="K201">
        <v>3</v>
      </c>
      <c r="L201">
        <v>1</v>
      </c>
      <c r="M201">
        <v>7</v>
      </c>
    </row>
    <row r="202" spans="1:13">
      <c r="A202">
        <v>27</v>
      </c>
      <c r="B202" t="s">
        <v>17</v>
      </c>
      <c r="C202" t="s">
        <v>18</v>
      </c>
      <c r="D202">
        <v>1</v>
      </c>
      <c r="E202">
        <v>1</v>
      </c>
      <c r="F202" t="s">
        <v>24</v>
      </c>
      <c r="G202">
        <v>3</v>
      </c>
      <c r="H202">
        <v>1</v>
      </c>
      <c r="I202" t="s">
        <v>19</v>
      </c>
      <c r="J202">
        <v>4298</v>
      </c>
      <c r="K202">
        <v>5</v>
      </c>
      <c r="L202">
        <v>3</v>
      </c>
      <c r="M202">
        <v>2</v>
      </c>
    </row>
    <row r="203" spans="1:13">
      <c r="A203">
        <v>49</v>
      </c>
      <c r="B203" t="s">
        <v>17</v>
      </c>
      <c r="C203" t="s">
        <v>18</v>
      </c>
      <c r="D203">
        <v>18</v>
      </c>
      <c r="E203">
        <v>4</v>
      </c>
      <c r="F203" t="s">
        <v>15</v>
      </c>
      <c r="G203">
        <v>4</v>
      </c>
      <c r="H203">
        <v>4</v>
      </c>
      <c r="I203" t="s">
        <v>22</v>
      </c>
      <c r="J203">
        <v>6804</v>
      </c>
      <c r="K203">
        <v>1</v>
      </c>
      <c r="L203">
        <v>3</v>
      </c>
      <c r="M203">
        <v>7</v>
      </c>
    </row>
    <row r="204" spans="1:13">
      <c r="A204">
        <v>34</v>
      </c>
      <c r="B204" t="s">
        <v>17</v>
      </c>
      <c r="C204" t="s">
        <v>18</v>
      </c>
      <c r="D204">
        <v>10</v>
      </c>
      <c r="E204">
        <v>4</v>
      </c>
      <c r="F204" t="s">
        <v>21</v>
      </c>
      <c r="G204">
        <v>4</v>
      </c>
      <c r="H204">
        <v>3</v>
      </c>
      <c r="I204" t="s">
        <v>22</v>
      </c>
      <c r="J204">
        <v>3815</v>
      </c>
      <c r="K204">
        <v>1</v>
      </c>
      <c r="L204">
        <v>4</v>
      </c>
      <c r="M204">
        <v>5</v>
      </c>
    </row>
    <row r="205" spans="1:13">
      <c r="A205">
        <v>40</v>
      </c>
      <c r="B205" t="s">
        <v>17</v>
      </c>
      <c r="C205" t="s">
        <v>18</v>
      </c>
      <c r="D205">
        <v>19</v>
      </c>
      <c r="E205">
        <v>2</v>
      </c>
      <c r="F205" t="s">
        <v>21</v>
      </c>
      <c r="G205">
        <v>3</v>
      </c>
      <c r="H205">
        <v>4</v>
      </c>
      <c r="I205" t="s">
        <v>19</v>
      </c>
      <c r="J205">
        <v>2741</v>
      </c>
      <c r="K205">
        <v>8</v>
      </c>
      <c r="L205">
        <v>4</v>
      </c>
      <c r="M205">
        <v>7</v>
      </c>
    </row>
    <row r="206" spans="1:13">
      <c r="A206">
        <v>38</v>
      </c>
      <c r="B206" t="s">
        <v>13</v>
      </c>
      <c r="C206" t="s">
        <v>18</v>
      </c>
      <c r="D206">
        <v>29</v>
      </c>
      <c r="E206">
        <v>1</v>
      </c>
      <c r="F206" t="s">
        <v>21</v>
      </c>
      <c r="G206">
        <v>2</v>
      </c>
      <c r="H206">
        <v>1</v>
      </c>
      <c r="I206" t="s">
        <v>19</v>
      </c>
      <c r="J206">
        <v>6673</v>
      </c>
      <c r="K206">
        <v>7</v>
      </c>
      <c r="L206">
        <v>3</v>
      </c>
      <c r="M206">
        <v>1</v>
      </c>
    </row>
    <row r="207" spans="1:13">
      <c r="A207">
        <v>29</v>
      </c>
      <c r="B207" t="s">
        <v>13</v>
      </c>
      <c r="C207" t="s">
        <v>14</v>
      </c>
      <c r="D207">
        <v>27</v>
      </c>
      <c r="E207">
        <v>3</v>
      </c>
      <c r="F207" t="s">
        <v>23</v>
      </c>
      <c r="G207">
        <v>2</v>
      </c>
      <c r="H207">
        <v>4</v>
      </c>
      <c r="I207" t="s">
        <v>19</v>
      </c>
      <c r="J207">
        <v>7639</v>
      </c>
      <c r="K207">
        <v>1</v>
      </c>
      <c r="L207">
        <v>2</v>
      </c>
      <c r="M207">
        <v>10</v>
      </c>
    </row>
    <row r="208" spans="1:13">
      <c r="A208">
        <v>22</v>
      </c>
      <c r="B208" t="s">
        <v>17</v>
      </c>
      <c r="C208" t="s">
        <v>18</v>
      </c>
      <c r="D208">
        <v>5</v>
      </c>
      <c r="E208">
        <v>3</v>
      </c>
      <c r="F208" t="s">
        <v>15</v>
      </c>
      <c r="G208">
        <v>4</v>
      </c>
      <c r="H208">
        <v>2</v>
      </c>
      <c r="I208" t="s">
        <v>22</v>
      </c>
      <c r="J208">
        <v>2328</v>
      </c>
      <c r="K208">
        <v>1</v>
      </c>
      <c r="L208">
        <v>2</v>
      </c>
      <c r="M208">
        <v>4</v>
      </c>
    </row>
    <row r="209" spans="1:13">
      <c r="A209">
        <v>36</v>
      </c>
      <c r="B209" t="s">
        <v>17</v>
      </c>
      <c r="C209" t="s">
        <v>18</v>
      </c>
      <c r="D209">
        <v>18</v>
      </c>
      <c r="E209">
        <v>1</v>
      </c>
      <c r="F209" t="s">
        <v>21</v>
      </c>
      <c r="G209">
        <v>2</v>
      </c>
      <c r="H209">
        <v>4</v>
      </c>
      <c r="I209" t="s">
        <v>16</v>
      </c>
      <c r="J209">
        <v>2153</v>
      </c>
      <c r="K209">
        <v>1</v>
      </c>
      <c r="L209">
        <v>3</v>
      </c>
      <c r="M209">
        <v>8</v>
      </c>
    </row>
    <row r="210" spans="1:13">
      <c r="A210">
        <v>40</v>
      </c>
      <c r="B210" t="s">
        <v>17</v>
      </c>
      <c r="C210" t="s">
        <v>18</v>
      </c>
      <c r="D210">
        <v>9</v>
      </c>
      <c r="E210">
        <v>5</v>
      </c>
      <c r="F210" t="s">
        <v>15</v>
      </c>
      <c r="G210">
        <v>4</v>
      </c>
      <c r="H210">
        <v>4</v>
      </c>
      <c r="I210" t="s">
        <v>19</v>
      </c>
      <c r="J210">
        <v>4876</v>
      </c>
      <c r="K210">
        <v>9</v>
      </c>
      <c r="L210">
        <v>1</v>
      </c>
      <c r="M210">
        <v>3</v>
      </c>
    </row>
    <row r="211" spans="1:13">
      <c r="A211">
        <v>46</v>
      </c>
      <c r="B211" t="s">
        <v>17</v>
      </c>
      <c r="C211" t="s">
        <v>18</v>
      </c>
      <c r="D211">
        <v>1</v>
      </c>
      <c r="E211">
        <v>4</v>
      </c>
      <c r="F211" t="s">
        <v>21</v>
      </c>
      <c r="G211">
        <v>4</v>
      </c>
      <c r="H211">
        <v>1</v>
      </c>
      <c r="I211" t="s">
        <v>22</v>
      </c>
      <c r="J211">
        <v>9396</v>
      </c>
      <c r="K211">
        <v>7</v>
      </c>
      <c r="L211">
        <v>3</v>
      </c>
      <c r="M211">
        <v>4</v>
      </c>
    </row>
    <row r="212" spans="1:13">
      <c r="A212">
        <v>32</v>
      </c>
      <c r="B212" t="s">
        <v>13</v>
      </c>
      <c r="C212" t="s">
        <v>14</v>
      </c>
      <c r="D212">
        <v>4</v>
      </c>
      <c r="E212">
        <v>4</v>
      </c>
      <c r="F212" t="s">
        <v>21</v>
      </c>
      <c r="G212">
        <v>4</v>
      </c>
      <c r="H212">
        <v>4</v>
      </c>
      <c r="I212" t="s">
        <v>19</v>
      </c>
      <c r="J212">
        <v>10400</v>
      </c>
      <c r="K212">
        <v>1</v>
      </c>
      <c r="L212">
        <v>2</v>
      </c>
      <c r="M212">
        <v>14</v>
      </c>
    </row>
    <row r="213" spans="1:13">
      <c r="A213">
        <v>30</v>
      </c>
      <c r="B213" t="s">
        <v>17</v>
      </c>
      <c r="C213" t="s">
        <v>18</v>
      </c>
      <c r="D213">
        <v>1</v>
      </c>
      <c r="E213">
        <v>1</v>
      </c>
      <c r="F213" t="s">
        <v>15</v>
      </c>
      <c r="G213">
        <v>3</v>
      </c>
      <c r="H213">
        <v>3</v>
      </c>
      <c r="I213" t="s">
        <v>16</v>
      </c>
      <c r="J213">
        <v>8474</v>
      </c>
      <c r="K213">
        <v>1</v>
      </c>
      <c r="L213">
        <v>3</v>
      </c>
      <c r="M213">
        <v>11</v>
      </c>
    </row>
    <row r="214" spans="1:13">
      <c r="A214">
        <v>27</v>
      </c>
      <c r="B214" t="s">
        <v>17</v>
      </c>
      <c r="C214" t="s">
        <v>14</v>
      </c>
      <c r="D214">
        <v>20</v>
      </c>
      <c r="E214">
        <v>3</v>
      </c>
      <c r="F214" t="s">
        <v>15</v>
      </c>
      <c r="G214">
        <v>4</v>
      </c>
      <c r="H214">
        <v>3</v>
      </c>
      <c r="I214" t="s">
        <v>16</v>
      </c>
      <c r="J214">
        <v>9981</v>
      </c>
      <c r="K214">
        <v>1</v>
      </c>
      <c r="L214">
        <v>3</v>
      </c>
      <c r="M214">
        <v>7</v>
      </c>
    </row>
    <row r="215" spans="1:13">
      <c r="A215">
        <v>51</v>
      </c>
      <c r="B215" t="s">
        <v>17</v>
      </c>
      <c r="C215" t="s">
        <v>18</v>
      </c>
      <c r="D215">
        <v>8</v>
      </c>
      <c r="E215">
        <v>4</v>
      </c>
      <c r="F215" t="s">
        <v>15</v>
      </c>
      <c r="G215">
        <v>2</v>
      </c>
      <c r="H215">
        <v>2</v>
      </c>
      <c r="I215" t="s">
        <v>19</v>
      </c>
      <c r="J215">
        <v>12490</v>
      </c>
      <c r="K215">
        <v>5</v>
      </c>
      <c r="L215">
        <v>1</v>
      </c>
      <c r="M215">
        <v>10</v>
      </c>
    </row>
    <row r="216" spans="1:13">
      <c r="A216">
        <v>30</v>
      </c>
      <c r="B216" t="s">
        <v>13</v>
      </c>
      <c r="C216" t="s">
        <v>18</v>
      </c>
      <c r="D216">
        <v>3</v>
      </c>
      <c r="E216">
        <v>3</v>
      </c>
      <c r="F216" t="s">
        <v>24</v>
      </c>
      <c r="G216">
        <v>4</v>
      </c>
      <c r="H216">
        <v>1</v>
      </c>
      <c r="I216" t="s">
        <v>16</v>
      </c>
      <c r="J216">
        <v>2657</v>
      </c>
      <c r="K216">
        <v>5</v>
      </c>
      <c r="L216">
        <v>3</v>
      </c>
      <c r="M216">
        <v>5</v>
      </c>
    </row>
    <row r="217" spans="1:13">
      <c r="A217">
        <v>41</v>
      </c>
      <c r="B217" t="s">
        <v>17</v>
      </c>
      <c r="C217" t="s">
        <v>14</v>
      </c>
      <c r="D217">
        <v>6</v>
      </c>
      <c r="E217">
        <v>3</v>
      </c>
      <c r="F217" t="s">
        <v>15</v>
      </c>
      <c r="G217">
        <v>4</v>
      </c>
      <c r="H217">
        <v>4</v>
      </c>
      <c r="I217" t="s">
        <v>16</v>
      </c>
      <c r="J217">
        <v>13591</v>
      </c>
      <c r="K217">
        <v>3</v>
      </c>
      <c r="L217">
        <v>3</v>
      </c>
      <c r="M217">
        <v>1</v>
      </c>
    </row>
    <row r="218" spans="1:13">
      <c r="A218">
        <v>30</v>
      </c>
      <c r="B218" t="s">
        <v>13</v>
      </c>
      <c r="C218" t="s">
        <v>14</v>
      </c>
      <c r="D218">
        <v>26</v>
      </c>
      <c r="E218">
        <v>4</v>
      </c>
      <c r="F218" t="s">
        <v>23</v>
      </c>
      <c r="G218">
        <v>3</v>
      </c>
      <c r="H218">
        <v>1</v>
      </c>
      <c r="I218" t="s">
        <v>16</v>
      </c>
      <c r="J218">
        <v>6696</v>
      </c>
      <c r="K218">
        <v>5</v>
      </c>
      <c r="L218">
        <v>2</v>
      </c>
      <c r="M218">
        <v>6</v>
      </c>
    </row>
    <row r="219" spans="1:13">
      <c r="A219">
        <v>29</v>
      </c>
      <c r="B219" t="s">
        <v>13</v>
      </c>
      <c r="C219" t="s">
        <v>18</v>
      </c>
      <c r="D219">
        <v>1</v>
      </c>
      <c r="E219">
        <v>3</v>
      </c>
      <c r="F219" t="s">
        <v>24</v>
      </c>
      <c r="G219">
        <v>3</v>
      </c>
      <c r="H219">
        <v>3</v>
      </c>
      <c r="I219" t="s">
        <v>16</v>
      </c>
      <c r="J219">
        <v>2058</v>
      </c>
      <c r="K219">
        <v>0</v>
      </c>
      <c r="L219">
        <v>2</v>
      </c>
      <c r="M219">
        <v>6</v>
      </c>
    </row>
    <row r="220" spans="1:13">
      <c r="A220">
        <v>45</v>
      </c>
      <c r="B220" t="s">
        <v>17</v>
      </c>
      <c r="C220" t="s">
        <v>14</v>
      </c>
      <c r="D220">
        <v>6</v>
      </c>
      <c r="E220">
        <v>3</v>
      </c>
      <c r="F220" t="s">
        <v>21</v>
      </c>
      <c r="G220">
        <v>4</v>
      </c>
      <c r="H220">
        <v>4</v>
      </c>
      <c r="I220" t="s">
        <v>16</v>
      </c>
      <c r="J220">
        <v>8865</v>
      </c>
      <c r="K220">
        <v>6</v>
      </c>
      <c r="L220">
        <v>3</v>
      </c>
      <c r="M220">
        <v>19</v>
      </c>
    </row>
    <row r="221" spans="1:13">
      <c r="A221">
        <v>54</v>
      </c>
      <c r="B221" t="s">
        <v>17</v>
      </c>
      <c r="C221" t="s">
        <v>14</v>
      </c>
      <c r="D221">
        <v>3</v>
      </c>
      <c r="E221">
        <v>3</v>
      </c>
      <c r="F221" t="s">
        <v>23</v>
      </c>
      <c r="G221">
        <v>4</v>
      </c>
      <c r="H221">
        <v>1</v>
      </c>
      <c r="I221" t="s">
        <v>19</v>
      </c>
      <c r="J221">
        <v>5940</v>
      </c>
      <c r="K221">
        <v>2</v>
      </c>
      <c r="L221">
        <v>3</v>
      </c>
      <c r="M221">
        <v>6</v>
      </c>
    </row>
    <row r="222" spans="1:13">
      <c r="A222">
        <v>36</v>
      </c>
      <c r="B222" t="s">
        <v>17</v>
      </c>
      <c r="C222" t="s">
        <v>18</v>
      </c>
      <c r="D222">
        <v>5</v>
      </c>
      <c r="E222">
        <v>2</v>
      </c>
      <c r="F222" t="s">
        <v>15</v>
      </c>
      <c r="G222">
        <v>4</v>
      </c>
      <c r="H222">
        <v>2</v>
      </c>
      <c r="I222" t="s">
        <v>16</v>
      </c>
      <c r="J222">
        <v>5914</v>
      </c>
      <c r="K222">
        <v>8</v>
      </c>
      <c r="L222">
        <v>4</v>
      </c>
      <c r="M222">
        <v>13</v>
      </c>
    </row>
    <row r="223" spans="1:13">
      <c r="A223">
        <v>33</v>
      </c>
      <c r="B223" t="s">
        <v>17</v>
      </c>
      <c r="C223" t="s">
        <v>18</v>
      </c>
      <c r="D223">
        <v>4</v>
      </c>
      <c r="E223">
        <v>4</v>
      </c>
      <c r="F223" t="s">
        <v>21</v>
      </c>
      <c r="G223">
        <v>3</v>
      </c>
      <c r="H223">
        <v>2</v>
      </c>
      <c r="I223" t="s">
        <v>19</v>
      </c>
      <c r="J223">
        <v>2622</v>
      </c>
      <c r="K223">
        <v>6</v>
      </c>
      <c r="L223">
        <v>3</v>
      </c>
      <c r="M223">
        <v>3</v>
      </c>
    </row>
    <row r="224" spans="1:13">
      <c r="A224">
        <v>37</v>
      </c>
      <c r="B224" t="s">
        <v>17</v>
      </c>
      <c r="C224" t="s">
        <v>18</v>
      </c>
      <c r="D224">
        <v>11</v>
      </c>
      <c r="E224">
        <v>3</v>
      </c>
      <c r="F224" t="s">
        <v>20</v>
      </c>
      <c r="G224">
        <v>2</v>
      </c>
      <c r="H224">
        <v>4</v>
      </c>
      <c r="I224" t="s">
        <v>22</v>
      </c>
      <c r="J224">
        <v>12185</v>
      </c>
      <c r="K224">
        <v>1</v>
      </c>
      <c r="L224">
        <v>3</v>
      </c>
      <c r="M224">
        <v>10</v>
      </c>
    </row>
    <row r="225" spans="1:13">
      <c r="A225">
        <v>38</v>
      </c>
      <c r="B225" t="s">
        <v>17</v>
      </c>
      <c r="C225" t="s">
        <v>14</v>
      </c>
      <c r="D225">
        <v>3</v>
      </c>
      <c r="E225">
        <v>3</v>
      </c>
      <c r="F225" t="s">
        <v>15</v>
      </c>
      <c r="G225">
        <v>1</v>
      </c>
      <c r="H225">
        <v>3</v>
      </c>
      <c r="I225" t="s">
        <v>22</v>
      </c>
      <c r="J225">
        <v>10609</v>
      </c>
      <c r="K225">
        <v>0</v>
      </c>
      <c r="L225">
        <v>2</v>
      </c>
      <c r="M225">
        <v>16</v>
      </c>
    </row>
    <row r="226" spans="1:13">
      <c r="A226">
        <v>31</v>
      </c>
      <c r="B226" t="s">
        <v>17</v>
      </c>
      <c r="C226" t="s">
        <v>18</v>
      </c>
      <c r="D226">
        <v>1</v>
      </c>
      <c r="E226">
        <v>4</v>
      </c>
      <c r="F226" t="s">
        <v>21</v>
      </c>
      <c r="G226">
        <v>3</v>
      </c>
      <c r="H226">
        <v>3</v>
      </c>
      <c r="I226" t="s">
        <v>19</v>
      </c>
      <c r="J226">
        <v>4345</v>
      </c>
      <c r="K226">
        <v>0</v>
      </c>
      <c r="L226">
        <v>3</v>
      </c>
      <c r="M226">
        <v>5</v>
      </c>
    </row>
    <row r="227" spans="1:13">
      <c r="A227">
        <v>59</v>
      </c>
      <c r="B227" t="s">
        <v>17</v>
      </c>
      <c r="C227" t="s">
        <v>18</v>
      </c>
      <c r="D227">
        <v>3</v>
      </c>
      <c r="E227">
        <v>3</v>
      </c>
      <c r="F227" t="s">
        <v>15</v>
      </c>
      <c r="G227">
        <v>3</v>
      </c>
      <c r="H227">
        <v>4</v>
      </c>
      <c r="I227" t="s">
        <v>19</v>
      </c>
      <c r="J227">
        <v>2177</v>
      </c>
      <c r="K227">
        <v>3</v>
      </c>
      <c r="L227">
        <v>3</v>
      </c>
      <c r="M227">
        <v>1</v>
      </c>
    </row>
    <row r="228" spans="1:13">
      <c r="A228">
        <v>37</v>
      </c>
      <c r="B228" t="s">
        <v>17</v>
      </c>
      <c r="C228" t="s">
        <v>14</v>
      </c>
      <c r="D228">
        <v>4</v>
      </c>
      <c r="E228">
        <v>4</v>
      </c>
      <c r="F228" t="s">
        <v>23</v>
      </c>
      <c r="G228">
        <v>1</v>
      </c>
      <c r="H228">
        <v>4</v>
      </c>
      <c r="I228" t="s">
        <v>22</v>
      </c>
      <c r="J228">
        <v>2793</v>
      </c>
      <c r="K228">
        <v>4</v>
      </c>
      <c r="L228">
        <v>3</v>
      </c>
      <c r="M228">
        <v>9</v>
      </c>
    </row>
    <row r="229" spans="1:13">
      <c r="A229">
        <v>29</v>
      </c>
      <c r="B229" t="s">
        <v>17</v>
      </c>
      <c r="C229" t="s">
        <v>14</v>
      </c>
      <c r="D229">
        <v>1</v>
      </c>
      <c r="E229">
        <v>1</v>
      </c>
      <c r="F229" t="s">
        <v>21</v>
      </c>
      <c r="G229">
        <v>2</v>
      </c>
      <c r="H229">
        <v>4</v>
      </c>
      <c r="I229" t="s">
        <v>19</v>
      </c>
      <c r="J229">
        <v>7918</v>
      </c>
      <c r="K229">
        <v>1</v>
      </c>
      <c r="L229">
        <v>3</v>
      </c>
      <c r="M229">
        <v>11</v>
      </c>
    </row>
    <row r="230" spans="1:13">
      <c r="A230">
        <v>35</v>
      </c>
      <c r="B230" t="s">
        <v>17</v>
      </c>
      <c r="C230" t="s">
        <v>14</v>
      </c>
      <c r="D230">
        <v>1</v>
      </c>
      <c r="E230">
        <v>3</v>
      </c>
      <c r="F230" t="s">
        <v>23</v>
      </c>
      <c r="G230">
        <v>3</v>
      </c>
      <c r="H230">
        <v>3</v>
      </c>
      <c r="I230" t="s">
        <v>16</v>
      </c>
      <c r="J230">
        <v>8789</v>
      </c>
      <c r="K230">
        <v>1</v>
      </c>
      <c r="L230">
        <v>4</v>
      </c>
      <c r="M230">
        <v>10</v>
      </c>
    </row>
    <row r="231" spans="1:13">
      <c r="A231">
        <v>29</v>
      </c>
      <c r="B231" t="s">
        <v>13</v>
      </c>
      <c r="C231" t="s">
        <v>18</v>
      </c>
      <c r="D231">
        <v>18</v>
      </c>
      <c r="E231">
        <v>1</v>
      </c>
      <c r="F231" t="s">
        <v>21</v>
      </c>
      <c r="G231">
        <v>3</v>
      </c>
      <c r="H231">
        <v>4</v>
      </c>
      <c r="I231" t="s">
        <v>16</v>
      </c>
      <c r="J231">
        <v>2389</v>
      </c>
      <c r="K231">
        <v>1</v>
      </c>
      <c r="L231">
        <v>2</v>
      </c>
      <c r="M231">
        <v>4</v>
      </c>
    </row>
    <row r="232" spans="1:13">
      <c r="A232">
        <v>52</v>
      </c>
      <c r="B232" t="s">
        <v>17</v>
      </c>
      <c r="C232" t="s">
        <v>18</v>
      </c>
      <c r="D232">
        <v>2</v>
      </c>
      <c r="E232">
        <v>3</v>
      </c>
      <c r="F232" t="s">
        <v>15</v>
      </c>
      <c r="G232">
        <v>3</v>
      </c>
      <c r="H232">
        <v>4</v>
      </c>
      <c r="I232" t="s">
        <v>16</v>
      </c>
      <c r="J232">
        <v>3212</v>
      </c>
      <c r="K232">
        <v>7</v>
      </c>
      <c r="L232">
        <v>2</v>
      </c>
      <c r="M232">
        <v>2</v>
      </c>
    </row>
    <row r="233" spans="1:13">
      <c r="A233">
        <v>42</v>
      </c>
      <c r="B233" t="s">
        <v>17</v>
      </c>
      <c r="C233" t="s">
        <v>18</v>
      </c>
      <c r="D233">
        <v>4</v>
      </c>
      <c r="E233">
        <v>2</v>
      </c>
      <c r="F233" t="s">
        <v>24</v>
      </c>
      <c r="G233">
        <v>3</v>
      </c>
      <c r="H233">
        <v>4</v>
      </c>
      <c r="I233" t="s">
        <v>19</v>
      </c>
      <c r="J233">
        <v>19232</v>
      </c>
      <c r="K233">
        <v>1</v>
      </c>
      <c r="L233">
        <v>3</v>
      </c>
      <c r="M233">
        <v>22</v>
      </c>
    </row>
    <row r="234" spans="1:13">
      <c r="A234">
        <v>59</v>
      </c>
      <c r="B234" t="s">
        <v>17</v>
      </c>
      <c r="C234" t="s">
        <v>25</v>
      </c>
      <c r="D234">
        <v>6</v>
      </c>
      <c r="E234">
        <v>2</v>
      </c>
      <c r="F234" t="s">
        <v>21</v>
      </c>
      <c r="G234">
        <v>2</v>
      </c>
      <c r="H234">
        <v>3</v>
      </c>
      <c r="I234" t="s">
        <v>19</v>
      </c>
      <c r="J234">
        <v>2267</v>
      </c>
      <c r="K234">
        <v>8</v>
      </c>
      <c r="L234">
        <v>2</v>
      </c>
      <c r="M234">
        <v>2</v>
      </c>
    </row>
    <row r="235" spans="1:13">
      <c r="A235">
        <v>50</v>
      </c>
      <c r="B235" t="s">
        <v>17</v>
      </c>
      <c r="C235" t="s">
        <v>14</v>
      </c>
      <c r="D235">
        <v>1</v>
      </c>
      <c r="E235">
        <v>4</v>
      </c>
      <c r="F235" t="s">
        <v>21</v>
      </c>
      <c r="G235">
        <v>4</v>
      </c>
      <c r="H235">
        <v>4</v>
      </c>
      <c r="I235" t="s">
        <v>22</v>
      </c>
      <c r="J235">
        <v>19517</v>
      </c>
      <c r="K235">
        <v>3</v>
      </c>
      <c r="L235">
        <v>2</v>
      </c>
      <c r="M235">
        <v>7</v>
      </c>
    </row>
    <row r="236" spans="1:13">
      <c r="A236">
        <v>33</v>
      </c>
      <c r="B236" t="s">
        <v>13</v>
      </c>
      <c r="C236" t="s">
        <v>18</v>
      </c>
      <c r="D236">
        <v>14</v>
      </c>
      <c r="E236">
        <v>3</v>
      </c>
      <c r="F236" t="s">
        <v>21</v>
      </c>
      <c r="G236">
        <v>3</v>
      </c>
      <c r="H236">
        <v>4</v>
      </c>
      <c r="I236" t="s">
        <v>19</v>
      </c>
      <c r="J236">
        <v>2436</v>
      </c>
      <c r="K236">
        <v>5</v>
      </c>
      <c r="L236">
        <v>1</v>
      </c>
      <c r="M236">
        <v>5</v>
      </c>
    </row>
    <row r="237" spans="1:13">
      <c r="A237">
        <v>43</v>
      </c>
      <c r="B237" t="s">
        <v>17</v>
      </c>
      <c r="C237" t="s">
        <v>14</v>
      </c>
      <c r="D237">
        <v>16</v>
      </c>
      <c r="E237">
        <v>3</v>
      </c>
      <c r="F237" t="s">
        <v>23</v>
      </c>
      <c r="G237">
        <v>4</v>
      </c>
      <c r="H237">
        <v>4</v>
      </c>
      <c r="I237" t="s">
        <v>19</v>
      </c>
      <c r="J237">
        <v>16064</v>
      </c>
      <c r="K237">
        <v>5</v>
      </c>
      <c r="L237">
        <v>3</v>
      </c>
      <c r="M237">
        <v>17</v>
      </c>
    </row>
    <row r="238" spans="1:13">
      <c r="A238">
        <v>33</v>
      </c>
      <c r="B238" t="s">
        <v>13</v>
      </c>
      <c r="C238" t="s">
        <v>18</v>
      </c>
      <c r="D238">
        <v>2</v>
      </c>
      <c r="E238">
        <v>2</v>
      </c>
      <c r="F238" t="s">
        <v>15</v>
      </c>
      <c r="G238">
        <v>1</v>
      </c>
      <c r="H238">
        <v>1</v>
      </c>
      <c r="I238" t="s">
        <v>19</v>
      </c>
      <c r="J238">
        <v>2707</v>
      </c>
      <c r="K238">
        <v>7</v>
      </c>
      <c r="L238">
        <v>4</v>
      </c>
      <c r="M238">
        <v>9</v>
      </c>
    </row>
    <row r="239" spans="1:13">
      <c r="A239">
        <v>52</v>
      </c>
      <c r="B239" t="s">
        <v>17</v>
      </c>
      <c r="C239" t="s">
        <v>14</v>
      </c>
      <c r="D239">
        <v>2</v>
      </c>
      <c r="E239">
        <v>4</v>
      </c>
      <c r="F239" t="s">
        <v>15</v>
      </c>
      <c r="G239">
        <v>1</v>
      </c>
      <c r="H239">
        <v>3</v>
      </c>
      <c r="I239" t="s">
        <v>16</v>
      </c>
      <c r="J239">
        <v>19068</v>
      </c>
      <c r="K239">
        <v>1</v>
      </c>
      <c r="L239">
        <v>4</v>
      </c>
      <c r="M239">
        <v>33</v>
      </c>
    </row>
    <row r="240" spans="1:13">
      <c r="A240">
        <v>32</v>
      </c>
      <c r="B240" t="s">
        <v>17</v>
      </c>
      <c r="C240" t="s">
        <v>14</v>
      </c>
      <c r="D240">
        <v>4</v>
      </c>
      <c r="E240">
        <v>2</v>
      </c>
      <c r="F240" t="s">
        <v>15</v>
      </c>
      <c r="G240">
        <v>3</v>
      </c>
      <c r="H240">
        <v>2</v>
      </c>
      <c r="I240" t="s">
        <v>19</v>
      </c>
      <c r="J240">
        <v>3931</v>
      </c>
      <c r="K240">
        <v>2</v>
      </c>
      <c r="L240">
        <v>3</v>
      </c>
      <c r="M240">
        <v>4</v>
      </c>
    </row>
    <row r="241" spans="1:13">
      <c r="A241">
        <v>32</v>
      </c>
      <c r="B241" t="s">
        <v>13</v>
      </c>
      <c r="C241" t="s">
        <v>18</v>
      </c>
      <c r="D241">
        <v>1</v>
      </c>
      <c r="E241">
        <v>3</v>
      </c>
      <c r="F241" t="s">
        <v>15</v>
      </c>
      <c r="G241">
        <v>4</v>
      </c>
      <c r="H241">
        <v>3</v>
      </c>
      <c r="I241" t="s">
        <v>16</v>
      </c>
      <c r="J241">
        <v>3730</v>
      </c>
      <c r="K241">
        <v>0</v>
      </c>
      <c r="L241">
        <v>1</v>
      </c>
      <c r="M241">
        <v>3</v>
      </c>
    </row>
    <row r="242" spans="1:13">
      <c r="A242">
        <v>39</v>
      </c>
      <c r="B242" t="s">
        <v>17</v>
      </c>
      <c r="C242" t="s">
        <v>18</v>
      </c>
      <c r="D242">
        <v>1</v>
      </c>
      <c r="E242">
        <v>4</v>
      </c>
      <c r="F242" t="s">
        <v>21</v>
      </c>
      <c r="G242">
        <v>3</v>
      </c>
      <c r="H242">
        <v>3</v>
      </c>
      <c r="I242" t="s">
        <v>22</v>
      </c>
      <c r="J242">
        <v>2232</v>
      </c>
      <c r="K242">
        <v>7</v>
      </c>
      <c r="L242">
        <v>3</v>
      </c>
      <c r="M242">
        <v>3</v>
      </c>
    </row>
    <row r="243" spans="1:13">
      <c r="A243">
        <v>32</v>
      </c>
      <c r="B243" t="s">
        <v>17</v>
      </c>
      <c r="C243" t="s">
        <v>14</v>
      </c>
      <c r="D243">
        <v>26</v>
      </c>
      <c r="E243">
        <v>4</v>
      </c>
      <c r="F243" t="s">
        <v>23</v>
      </c>
      <c r="G243">
        <v>3</v>
      </c>
      <c r="H243">
        <v>4</v>
      </c>
      <c r="I243" t="s">
        <v>19</v>
      </c>
      <c r="J243">
        <v>4465</v>
      </c>
      <c r="K243">
        <v>0</v>
      </c>
      <c r="L243">
        <v>3</v>
      </c>
      <c r="M243">
        <v>3</v>
      </c>
    </row>
    <row r="244" spans="1:13">
      <c r="A244">
        <v>41</v>
      </c>
      <c r="B244" t="s">
        <v>17</v>
      </c>
      <c r="C244" t="s">
        <v>18</v>
      </c>
      <c r="D244">
        <v>19</v>
      </c>
      <c r="E244">
        <v>2</v>
      </c>
      <c r="F244" t="s">
        <v>15</v>
      </c>
      <c r="G244">
        <v>3</v>
      </c>
      <c r="H244">
        <v>1</v>
      </c>
      <c r="I244" t="s">
        <v>22</v>
      </c>
      <c r="J244">
        <v>3072</v>
      </c>
      <c r="K244">
        <v>2</v>
      </c>
      <c r="L244">
        <v>2</v>
      </c>
      <c r="M244">
        <v>1</v>
      </c>
    </row>
    <row r="245" spans="1:13">
      <c r="A245">
        <v>40</v>
      </c>
      <c r="B245" t="s">
        <v>17</v>
      </c>
      <c r="C245" t="s">
        <v>18</v>
      </c>
      <c r="D245">
        <v>24</v>
      </c>
      <c r="E245">
        <v>2</v>
      </c>
      <c r="F245" t="s">
        <v>24</v>
      </c>
      <c r="G245">
        <v>1</v>
      </c>
      <c r="H245">
        <v>4</v>
      </c>
      <c r="I245" t="s">
        <v>22</v>
      </c>
      <c r="J245">
        <v>3319</v>
      </c>
      <c r="K245">
        <v>1</v>
      </c>
      <c r="L245">
        <v>3</v>
      </c>
      <c r="M245">
        <v>9</v>
      </c>
    </row>
    <row r="246" spans="1:13">
      <c r="A246">
        <v>45</v>
      </c>
      <c r="B246" t="s">
        <v>17</v>
      </c>
      <c r="C246" t="s">
        <v>18</v>
      </c>
      <c r="D246">
        <v>1</v>
      </c>
      <c r="E246">
        <v>3</v>
      </c>
      <c r="F246" t="s">
        <v>20</v>
      </c>
      <c r="G246">
        <v>3</v>
      </c>
      <c r="H246">
        <v>4</v>
      </c>
      <c r="I246" t="s">
        <v>19</v>
      </c>
      <c r="J246">
        <v>19202</v>
      </c>
      <c r="K246">
        <v>0</v>
      </c>
      <c r="L246">
        <v>3</v>
      </c>
      <c r="M246">
        <v>24</v>
      </c>
    </row>
    <row r="247" spans="1:13">
      <c r="A247">
        <v>31</v>
      </c>
      <c r="B247" t="s">
        <v>17</v>
      </c>
      <c r="C247" t="s">
        <v>18</v>
      </c>
      <c r="D247">
        <v>3</v>
      </c>
      <c r="E247">
        <v>4</v>
      </c>
      <c r="F247" t="s">
        <v>21</v>
      </c>
      <c r="G247">
        <v>2</v>
      </c>
      <c r="H247">
        <v>3</v>
      </c>
      <c r="I247" t="s">
        <v>22</v>
      </c>
      <c r="J247">
        <v>13675</v>
      </c>
      <c r="K247">
        <v>9</v>
      </c>
      <c r="L247">
        <v>3</v>
      </c>
      <c r="M247">
        <v>2</v>
      </c>
    </row>
    <row r="248" spans="1:13">
      <c r="A248">
        <v>33</v>
      </c>
      <c r="B248" t="s">
        <v>17</v>
      </c>
      <c r="C248" t="s">
        <v>18</v>
      </c>
      <c r="D248">
        <v>5</v>
      </c>
      <c r="E248">
        <v>4</v>
      </c>
      <c r="F248" t="s">
        <v>15</v>
      </c>
      <c r="G248">
        <v>3</v>
      </c>
      <c r="H248">
        <v>4</v>
      </c>
      <c r="I248" t="s">
        <v>19</v>
      </c>
      <c r="J248">
        <v>2911</v>
      </c>
      <c r="K248">
        <v>1</v>
      </c>
      <c r="L248">
        <v>2</v>
      </c>
      <c r="M248">
        <v>2</v>
      </c>
    </row>
    <row r="249" spans="1:13">
      <c r="A249">
        <v>34</v>
      </c>
      <c r="B249" t="s">
        <v>17</v>
      </c>
      <c r="C249" t="s">
        <v>18</v>
      </c>
      <c r="D249">
        <v>2</v>
      </c>
      <c r="E249">
        <v>4</v>
      </c>
      <c r="F249" t="s">
        <v>15</v>
      </c>
      <c r="G249">
        <v>4</v>
      </c>
      <c r="H249">
        <v>1</v>
      </c>
      <c r="I249" t="s">
        <v>19</v>
      </c>
      <c r="J249">
        <v>5957</v>
      </c>
      <c r="K249">
        <v>6</v>
      </c>
      <c r="L249">
        <v>3</v>
      </c>
      <c r="M249">
        <v>11</v>
      </c>
    </row>
    <row r="250" spans="1:13">
      <c r="A250">
        <v>37</v>
      </c>
      <c r="B250" t="s">
        <v>17</v>
      </c>
      <c r="C250" t="s">
        <v>18</v>
      </c>
      <c r="D250">
        <v>1</v>
      </c>
      <c r="E250">
        <v>2</v>
      </c>
      <c r="F250" t="s">
        <v>21</v>
      </c>
      <c r="G250">
        <v>3</v>
      </c>
      <c r="H250">
        <v>1</v>
      </c>
      <c r="I250" t="s">
        <v>19</v>
      </c>
      <c r="J250">
        <v>3920</v>
      </c>
      <c r="K250">
        <v>2</v>
      </c>
      <c r="L250">
        <v>2</v>
      </c>
      <c r="M250">
        <v>3</v>
      </c>
    </row>
    <row r="251" spans="1:13">
      <c r="A251">
        <v>45</v>
      </c>
      <c r="B251" t="s">
        <v>17</v>
      </c>
      <c r="C251" t="s">
        <v>18</v>
      </c>
      <c r="D251">
        <v>7</v>
      </c>
      <c r="E251">
        <v>4</v>
      </c>
      <c r="F251" t="s">
        <v>15</v>
      </c>
      <c r="G251">
        <v>1</v>
      </c>
      <c r="H251">
        <v>3</v>
      </c>
      <c r="I251" t="s">
        <v>19</v>
      </c>
      <c r="J251">
        <v>6434</v>
      </c>
      <c r="K251">
        <v>4</v>
      </c>
      <c r="L251">
        <v>3</v>
      </c>
      <c r="M251">
        <v>3</v>
      </c>
    </row>
    <row r="252" spans="1:13">
      <c r="A252">
        <v>37</v>
      </c>
      <c r="B252" t="s">
        <v>13</v>
      </c>
      <c r="C252" t="s">
        <v>18</v>
      </c>
      <c r="D252">
        <v>10</v>
      </c>
      <c r="E252">
        <v>3</v>
      </c>
      <c r="F252" t="s">
        <v>21</v>
      </c>
      <c r="G252">
        <v>1</v>
      </c>
      <c r="H252">
        <v>3</v>
      </c>
      <c r="I252" t="s">
        <v>22</v>
      </c>
      <c r="J252">
        <v>10048</v>
      </c>
      <c r="K252">
        <v>6</v>
      </c>
      <c r="L252">
        <v>3</v>
      </c>
      <c r="M252">
        <v>1</v>
      </c>
    </row>
    <row r="253" spans="1:13">
      <c r="A253">
        <v>39</v>
      </c>
      <c r="B253" t="s">
        <v>17</v>
      </c>
      <c r="C253" t="s">
        <v>18</v>
      </c>
      <c r="D253">
        <v>2</v>
      </c>
      <c r="E253">
        <v>4</v>
      </c>
      <c r="F253" t="s">
        <v>24</v>
      </c>
      <c r="G253">
        <v>3</v>
      </c>
      <c r="H253">
        <v>3</v>
      </c>
      <c r="I253" t="s">
        <v>16</v>
      </c>
      <c r="J253">
        <v>10938</v>
      </c>
      <c r="K253">
        <v>0</v>
      </c>
      <c r="L253">
        <v>3</v>
      </c>
      <c r="M253">
        <v>19</v>
      </c>
    </row>
    <row r="254" spans="1:13">
      <c r="A254">
        <v>29</v>
      </c>
      <c r="B254" t="s">
        <v>17</v>
      </c>
      <c r="C254" t="s">
        <v>18</v>
      </c>
      <c r="D254">
        <v>15</v>
      </c>
      <c r="E254">
        <v>3</v>
      </c>
      <c r="F254" t="s">
        <v>15</v>
      </c>
      <c r="G254">
        <v>3</v>
      </c>
      <c r="H254">
        <v>4</v>
      </c>
      <c r="I254" t="s">
        <v>16</v>
      </c>
      <c r="J254">
        <v>2340</v>
      </c>
      <c r="K254">
        <v>1</v>
      </c>
      <c r="L254">
        <v>3</v>
      </c>
      <c r="M254">
        <v>6</v>
      </c>
    </row>
    <row r="255" spans="1:13">
      <c r="A255">
        <v>42</v>
      </c>
      <c r="B255" t="s">
        <v>17</v>
      </c>
      <c r="C255" t="s">
        <v>18</v>
      </c>
      <c r="D255">
        <v>17</v>
      </c>
      <c r="E255">
        <v>2</v>
      </c>
      <c r="F255" t="s">
        <v>15</v>
      </c>
      <c r="G255">
        <v>4</v>
      </c>
      <c r="H255">
        <v>1</v>
      </c>
      <c r="I255" t="s">
        <v>16</v>
      </c>
      <c r="J255">
        <v>6545</v>
      </c>
      <c r="K255">
        <v>3</v>
      </c>
      <c r="L255">
        <v>3</v>
      </c>
      <c r="M255">
        <v>3</v>
      </c>
    </row>
    <row r="256" spans="1:13">
      <c r="A256">
        <v>29</v>
      </c>
      <c r="B256" t="s">
        <v>17</v>
      </c>
      <c r="C256" t="s">
        <v>14</v>
      </c>
      <c r="D256">
        <v>20</v>
      </c>
      <c r="E256">
        <v>2</v>
      </c>
      <c r="F256" t="s">
        <v>23</v>
      </c>
      <c r="G256">
        <v>4</v>
      </c>
      <c r="H256">
        <v>4</v>
      </c>
      <c r="I256" t="s">
        <v>22</v>
      </c>
      <c r="J256">
        <v>6931</v>
      </c>
      <c r="K256">
        <v>2</v>
      </c>
      <c r="L256">
        <v>3</v>
      </c>
      <c r="M256">
        <v>3</v>
      </c>
    </row>
    <row r="257" spans="1:13">
      <c r="A257">
        <v>25</v>
      </c>
      <c r="B257" t="s">
        <v>17</v>
      </c>
      <c r="C257" t="s">
        <v>18</v>
      </c>
      <c r="D257">
        <v>1</v>
      </c>
      <c r="E257">
        <v>3</v>
      </c>
      <c r="F257" t="s">
        <v>15</v>
      </c>
      <c r="G257">
        <v>1</v>
      </c>
      <c r="H257">
        <v>3</v>
      </c>
      <c r="I257" t="s">
        <v>19</v>
      </c>
      <c r="J257">
        <v>4898</v>
      </c>
      <c r="K257">
        <v>0</v>
      </c>
      <c r="L257">
        <v>3</v>
      </c>
      <c r="M257">
        <v>4</v>
      </c>
    </row>
    <row r="258" spans="1:13">
      <c r="A258">
        <v>42</v>
      </c>
      <c r="B258" t="s">
        <v>17</v>
      </c>
      <c r="C258" t="s">
        <v>18</v>
      </c>
      <c r="D258">
        <v>2</v>
      </c>
      <c r="E258">
        <v>3</v>
      </c>
      <c r="F258" t="s">
        <v>21</v>
      </c>
      <c r="G258">
        <v>4</v>
      </c>
      <c r="H258">
        <v>1</v>
      </c>
      <c r="I258" t="s">
        <v>22</v>
      </c>
      <c r="J258">
        <v>2593</v>
      </c>
      <c r="K258">
        <v>0</v>
      </c>
      <c r="L258">
        <v>3</v>
      </c>
      <c r="M258">
        <v>9</v>
      </c>
    </row>
    <row r="259" spans="1:13">
      <c r="A259">
        <v>40</v>
      </c>
      <c r="B259" t="s">
        <v>17</v>
      </c>
      <c r="C259" t="s">
        <v>18</v>
      </c>
      <c r="D259">
        <v>2</v>
      </c>
      <c r="E259">
        <v>2</v>
      </c>
      <c r="F259" t="s">
        <v>21</v>
      </c>
      <c r="G259">
        <v>1</v>
      </c>
      <c r="H259">
        <v>3</v>
      </c>
      <c r="I259" t="s">
        <v>22</v>
      </c>
      <c r="J259">
        <v>19436</v>
      </c>
      <c r="K259">
        <v>0</v>
      </c>
      <c r="L259">
        <v>3</v>
      </c>
      <c r="M259">
        <v>21</v>
      </c>
    </row>
    <row r="260" spans="1:13">
      <c r="A260">
        <v>51</v>
      </c>
      <c r="B260" t="s">
        <v>17</v>
      </c>
      <c r="C260" t="s">
        <v>18</v>
      </c>
      <c r="D260">
        <v>1</v>
      </c>
      <c r="E260">
        <v>3</v>
      </c>
      <c r="F260" t="s">
        <v>15</v>
      </c>
      <c r="G260">
        <v>3</v>
      </c>
      <c r="H260">
        <v>4</v>
      </c>
      <c r="I260" t="s">
        <v>19</v>
      </c>
      <c r="J260">
        <v>2723</v>
      </c>
      <c r="K260">
        <v>1</v>
      </c>
      <c r="L260">
        <v>2</v>
      </c>
      <c r="M260">
        <v>1</v>
      </c>
    </row>
    <row r="261" spans="1:13">
      <c r="A261">
        <v>31</v>
      </c>
      <c r="B261" t="s">
        <v>13</v>
      </c>
      <c r="C261" t="s">
        <v>18</v>
      </c>
      <c r="D261">
        <v>29</v>
      </c>
      <c r="E261">
        <v>2</v>
      </c>
      <c r="F261" t="s">
        <v>21</v>
      </c>
      <c r="G261">
        <v>3</v>
      </c>
      <c r="H261">
        <v>2</v>
      </c>
      <c r="I261" t="s">
        <v>16</v>
      </c>
      <c r="J261">
        <v>3479</v>
      </c>
      <c r="K261">
        <v>0</v>
      </c>
      <c r="L261">
        <v>4</v>
      </c>
      <c r="M261">
        <v>5</v>
      </c>
    </row>
    <row r="262" spans="1:13">
      <c r="A262">
        <v>32</v>
      </c>
      <c r="B262" t="s">
        <v>17</v>
      </c>
      <c r="C262" t="s">
        <v>18</v>
      </c>
      <c r="D262">
        <v>7</v>
      </c>
      <c r="E262">
        <v>3</v>
      </c>
      <c r="F262" t="s">
        <v>15</v>
      </c>
      <c r="G262">
        <v>2</v>
      </c>
      <c r="H262">
        <v>2</v>
      </c>
      <c r="I262" t="s">
        <v>19</v>
      </c>
      <c r="J262">
        <v>2794</v>
      </c>
      <c r="K262">
        <v>1</v>
      </c>
      <c r="L262">
        <v>1</v>
      </c>
      <c r="M262">
        <v>5</v>
      </c>
    </row>
    <row r="263" spans="1:13">
      <c r="A263">
        <v>38</v>
      </c>
      <c r="B263" t="s">
        <v>17</v>
      </c>
      <c r="C263" t="s">
        <v>14</v>
      </c>
      <c r="D263">
        <v>2</v>
      </c>
      <c r="E263">
        <v>2</v>
      </c>
      <c r="F263" t="s">
        <v>15</v>
      </c>
      <c r="G263">
        <v>4</v>
      </c>
      <c r="H263">
        <v>4</v>
      </c>
      <c r="I263" t="s">
        <v>19</v>
      </c>
      <c r="J263">
        <v>5249</v>
      </c>
      <c r="K263">
        <v>3</v>
      </c>
      <c r="L263">
        <v>3</v>
      </c>
      <c r="M263">
        <v>8</v>
      </c>
    </row>
    <row r="264" spans="1:13">
      <c r="A264">
        <v>32</v>
      </c>
      <c r="B264" t="s">
        <v>17</v>
      </c>
      <c r="C264" t="s">
        <v>18</v>
      </c>
      <c r="D264">
        <v>2</v>
      </c>
      <c r="E264">
        <v>1</v>
      </c>
      <c r="F264" t="s">
        <v>24</v>
      </c>
      <c r="G264">
        <v>4</v>
      </c>
      <c r="H264">
        <v>1</v>
      </c>
      <c r="I264" t="s">
        <v>16</v>
      </c>
      <c r="J264">
        <v>2176</v>
      </c>
      <c r="K264">
        <v>4</v>
      </c>
      <c r="L264">
        <v>3</v>
      </c>
      <c r="M264">
        <v>6</v>
      </c>
    </row>
    <row r="265" spans="1:13">
      <c r="A265">
        <v>46</v>
      </c>
      <c r="B265" t="s">
        <v>17</v>
      </c>
      <c r="C265" t="s">
        <v>14</v>
      </c>
      <c r="D265">
        <v>2</v>
      </c>
      <c r="E265">
        <v>3</v>
      </c>
      <c r="F265" t="s">
        <v>24</v>
      </c>
      <c r="G265">
        <v>3</v>
      </c>
      <c r="H265">
        <v>2</v>
      </c>
      <c r="I265" t="s">
        <v>19</v>
      </c>
      <c r="J265">
        <v>16872</v>
      </c>
      <c r="K265">
        <v>3</v>
      </c>
      <c r="L265">
        <v>2</v>
      </c>
      <c r="M265">
        <v>7</v>
      </c>
    </row>
    <row r="266" spans="1:13">
      <c r="A266">
        <v>28</v>
      </c>
      <c r="B266" t="s">
        <v>13</v>
      </c>
      <c r="C266" t="s">
        <v>18</v>
      </c>
      <c r="D266">
        <v>2</v>
      </c>
      <c r="E266">
        <v>4</v>
      </c>
      <c r="F266" t="s">
        <v>15</v>
      </c>
      <c r="G266">
        <v>1</v>
      </c>
      <c r="H266">
        <v>3</v>
      </c>
      <c r="I266" t="s">
        <v>16</v>
      </c>
      <c r="J266">
        <v>3485</v>
      </c>
      <c r="K266">
        <v>2</v>
      </c>
      <c r="L266">
        <v>1</v>
      </c>
      <c r="M266">
        <v>0</v>
      </c>
    </row>
    <row r="267" spans="1:13">
      <c r="A267">
        <v>29</v>
      </c>
      <c r="B267" t="s">
        <v>17</v>
      </c>
      <c r="C267" t="s">
        <v>14</v>
      </c>
      <c r="D267">
        <v>2</v>
      </c>
      <c r="E267">
        <v>3</v>
      </c>
      <c r="F267" t="s">
        <v>21</v>
      </c>
      <c r="G267">
        <v>1</v>
      </c>
      <c r="H267">
        <v>2</v>
      </c>
      <c r="I267" t="s">
        <v>19</v>
      </c>
      <c r="J267">
        <v>6644</v>
      </c>
      <c r="K267">
        <v>2</v>
      </c>
      <c r="L267">
        <v>3</v>
      </c>
      <c r="M267">
        <v>0</v>
      </c>
    </row>
    <row r="268" spans="1:13">
      <c r="A268">
        <v>31</v>
      </c>
      <c r="B268" t="s">
        <v>17</v>
      </c>
      <c r="C268" t="s">
        <v>18</v>
      </c>
      <c r="D268">
        <v>23</v>
      </c>
      <c r="E268">
        <v>3</v>
      </c>
      <c r="F268" t="s">
        <v>21</v>
      </c>
      <c r="G268">
        <v>2</v>
      </c>
      <c r="H268">
        <v>4</v>
      </c>
      <c r="I268" t="s">
        <v>19</v>
      </c>
      <c r="J268">
        <v>5582</v>
      </c>
      <c r="K268">
        <v>0</v>
      </c>
      <c r="L268">
        <v>3</v>
      </c>
      <c r="M268">
        <v>9</v>
      </c>
    </row>
    <row r="269" spans="1:13">
      <c r="A269">
        <v>25</v>
      </c>
      <c r="B269" t="s">
        <v>17</v>
      </c>
      <c r="C269" t="s">
        <v>18</v>
      </c>
      <c r="D269">
        <v>5</v>
      </c>
      <c r="E269">
        <v>2</v>
      </c>
      <c r="F269" t="s">
        <v>15</v>
      </c>
      <c r="G269">
        <v>2</v>
      </c>
      <c r="H269">
        <v>1</v>
      </c>
      <c r="I269" t="s">
        <v>22</v>
      </c>
      <c r="J269">
        <v>4000</v>
      </c>
      <c r="K269">
        <v>1</v>
      </c>
      <c r="L269">
        <v>3</v>
      </c>
      <c r="M269">
        <v>6</v>
      </c>
    </row>
    <row r="270" spans="1:13">
      <c r="A270">
        <v>45</v>
      </c>
      <c r="B270" t="s">
        <v>17</v>
      </c>
      <c r="C270" t="s">
        <v>18</v>
      </c>
      <c r="D270">
        <v>20</v>
      </c>
      <c r="E270">
        <v>2</v>
      </c>
      <c r="F270" t="s">
        <v>21</v>
      </c>
      <c r="G270">
        <v>3</v>
      </c>
      <c r="H270">
        <v>4</v>
      </c>
      <c r="I270" t="s">
        <v>19</v>
      </c>
      <c r="J270">
        <v>13496</v>
      </c>
      <c r="K270">
        <v>0</v>
      </c>
      <c r="L270">
        <v>3</v>
      </c>
      <c r="M270">
        <v>20</v>
      </c>
    </row>
    <row r="271" spans="1:13">
      <c r="A271">
        <v>36</v>
      </c>
      <c r="B271" t="s">
        <v>17</v>
      </c>
      <c r="C271" t="s">
        <v>18</v>
      </c>
      <c r="D271">
        <v>6</v>
      </c>
      <c r="E271">
        <v>3</v>
      </c>
      <c r="F271" t="s">
        <v>15</v>
      </c>
      <c r="G271">
        <v>4</v>
      </c>
      <c r="H271">
        <v>4</v>
      </c>
      <c r="I271" t="s">
        <v>19</v>
      </c>
      <c r="J271">
        <v>3210</v>
      </c>
      <c r="K271">
        <v>0</v>
      </c>
      <c r="L271">
        <v>3</v>
      </c>
      <c r="M271">
        <v>15</v>
      </c>
    </row>
    <row r="272" spans="1:13">
      <c r="A272">
        <v>55</v>
      </c>
      <c r="B272" t="s">
        <v>17</v>
      </c>
      <c r="C272" t="s">
        <v>18</v>
      </c>
      <c r="D272">
        <v>1</v>
      </c>
      <c r="E272">
        <v>3</v>
      </c>
      <c r="F272" t="s">
        <v>21</v>
      </c>
      <c r="G272">
        <v>4</v>
      </c>
      <c r="H272">
        <v>1</v>
      </c>
      <c r="I272" t="s">
        <v>16</v>
      </c>
      <c r="J272">
        <v>19045</v>
      </c>
      <c r="K272">
        <v>0</v>
      </c>
      <c r="L272">
        <v>3</v>
      </c>
      <c r="M272">
        <v>36</v>
      </c>
    </row>
    <row r="273" spans="1:13">
      <c r="A273">
        <v>47</v>
      </c>
      <c r="B273" t="s">
        <v>13</v>
      </c>
      <c r="C273" t="s">
        <v>18</v>
      </c>
      <c r="D273">
        <v>29</v>
      </c>
      <c r="E273">
        <v>4</v>
      </c>
      <c r="F273" t="s">
        <v>15</v>
      </c>
      <c r="G273">
        <v>1</v>
      </c>
      <c r="H273">
        <v>2</v>
      </c>
      <c r="I273" t="s">
        <v>19</v>
      </c>
      <c r="J273">
        <v>11849</v>
      </c>
      <c r="K273">
        <v>1</v>
      </c>
      <c r="L273">
        <v>2</v>
      </c>
      <c r="M273">
        <v>10</v>
      </c>
    </row>
    <row r="274" spans="1:13">
      <c r="A274">
        <v>28</v>
      </c>
      <c r="B274" t="s">
        <v>17</v>
      </c>
      <c r="C274" t="s">
        <v>18</v>
      </c>
      <c r="D274">
        <v>9</v>
      </c>
      <c r="E274">
        <v>3</v>
      </c>
      <c r="F274" t="s">
        <v>21</v>
      </c>
      <c r="G274">
        <v>4</v>
      </c>
      <c r="H274">
        <v>4</v>
      </c>
      <c r="I274" t="s">
        <v>19</v>
      </c>
      <c r="J274">
        <v>2070</v>
      </c>
      <c r="K274">
        <v>1</v>
      </c>
      <c r="L274">
        <v>2</v>
      </c>
      <c r="M274">
        <v>5</v>
      </c>
    </row>
    <row r="275" spans="1:13">
      <c r="A275">
        <v>37</v>
      </c>
      <c r="B275" t="s">
        <v>17</v>
      </c>
      <c r="C275" t="s">
        <v>14</v>
      </c>
      <c r="D275">
        <v>6</v>
      </c>
      <c r="E275">
        <v>4</v>
      </c>
      <c r="F275" t="s">
        <v>21</v>
      </c>
      <c r="G275">
        <v>3</v>
      </c>
      <c r="H275">
        <v>4</v>
      </c>
      <c r="I275" t="s">
        <v>19</v>
      </c>
      <c r="J275">
        <v>6502</v>
      </c>
      <c r="K275">
        <v>4</v>
      </c>
      <c r="L275">
        <v>4</v>
      </c>
      <c r="M275">
        <v>5</v>
      </c>
    </row>
    <row r="276" spans="1:13">
      <c r="A276">
        <v>21</v>
      </c>
      <c r="B276" t="s">
        <v>17</v>
      </c>
      <c r="C276" t="s">
        <v>18</v>
      </c>
      <c r="D276">
        <v>3</v>
      </c>
      <c r="E276">
        <v>2</v>
      </c>
      <c r="F276" t="s">
        <v>21</v>
      </c>
      <c r="G276">
        <v>4</v>
      </c>
      <c r="H276">
        <v>3</v>
      </c>
      <c r="I276" t="s">
        <v>16</v>
      </c>
      <c r="J276">
        <v>3230</v>
      </c>
      <c r="K276">
        <v>1</v>
      </c>
      <c r="L276">
        <v>4</v>
      </c>
      <c r="M276">
        <v>3</v>
      </c>
    </row>
    <row r="277" spans="1:13">
      <c r="A277">
        <v>37</v>
      </c>
      <c r="B277" t="s">
        <v>17</v>
      </c>
      <c r="C277" t="s">
        <v>18</v>
      </c>
      <c r="D277">
        <v>1</v>
      </c>
      <c r="E277">
        <v>4</v>
      </c>
      <c r="F277" t="s">
        <v>21</v>
      </c>
      <c r="G277">
        <v>1</v>
      </c>
      <c r="H277">
        <v>4</v>
      </c>
      <c r="I277" t="s">
        <v>22</v>
      </c>
      <c r="J277">
        <v>13603</v>
      </c>
      <c r="K277">
        <v>2</v>
      </c>
      <c r="L277">
        <v>3</v>
      </c>
      <c r="M277">
        <v>5</v>
      </c>
    </row>
    <row r="278" spans="1:13">
      <c r="A278">
        <v>35</v>
      </c>
      <c r="B278" t="s">
        <v>17</v>
      </c>
      <c r="C278" t="s">
        <v>18</v>
      </c>
      <c r="D278">
        <v>22</v>
      </c>
      <c r="E278">
        <v>3</v>
      </c>
      <c r="F278" t="s">
        <v>15</v>
      </c>
      <c r="G278">
        <v>2</v>
      </c>
      <c r="H278">
        <v>2</v>
      </c>
      <c r="I278" t="s">
        <v>22</v>
      </c>
      <c r="J278">
        <v>11996</v>
      </c>
      <c r="K278">
        <v>7</v>
      </c>
      <c r="L278">
        <v>2</v>
      </c>
      <c r="M278">
        <v>7</v>
      </c>
    </row>
    <row r="279" spans="1:13">
      <c r="A279">
        <v>38</v>
      </c>
      <c r="B279" t="s">
        <v>17</v>
      </c>
      <c r="C279" t="s">
        <v>14</v>
      </c>
      <c r="D279">
        <v>7</v>
      </c>
      <c r="E279">
        <v>2</v>
      </c>
      <c r="F279" t="s">
        <v>21</v>
      </c>
      <c r="G279">
        <v>1</v>
      </c>
      <c r="H279">
        <v>1</v>
      </c>
      <c r="I279" t="s">
        <v>22</v>
      </c>
      <c r="J279">
        <v>5605</v>
      </c>
      <c r="K279">
        <v>1</v>
      </c>
      <c r="L279">
        <v>3</v>
      </c>
      <c r="M279">
        <v>8</v>
      </c>
    </row>
    <row r="280" spans="1:13">
      <c r="A280">
        <v>26</v>
      </c>
      <c r="B280" t="s">
        <v>17</v>
      </c>
      <c r="C280" t="s">
        <v>18</v>
      </c>
      <c r="D280">
        <v>1</v>
      </c>
      <c r="E280">
        <v>3</v>
      </c>
      <c r="F280" t="s">
        <v>15</v>
      </c>
      <c r="G280">
        <v>3</v>
      </c>
      <c r="H280">
        <v>2</v>
      </c>
      <c r="I280" t="s">
        <v>22</v>
      </c>
      <c r="J280">
        <v>6397</v>
      </c>
      <c r="K280">
        <v>1</v>
      </c>
      <c r="L280">
        <v>1</v>
      </c>
      <c r="M280">
        <v>6</v>
      </c>
    </row>
    <row r="281" spans="1:13">
      <c r="A281">
        <v>50</v>
      </c>
      <c r="B281" t="s">
        <v>17</v>
      </c>
      <c r="C281" t="s">
        <v>18</v>
      </c>
      <c r="D281">
        <v>4</v>
      </c>
      <c r="E281">
        <v>1</v>
      </c>
      <c r="F281" t="s">
        <v>15</v>
      </c>
      <c r="G281">
        <v>1</v>
      </c>
      <c r="H281">
        <v>2</v>
      </c>
      <c r="I281" t="s">
        <v>22</v>
      </c>
      <c r="J281">
        <v>19144</v>
      </c>
      <c r="K281">
        <v>3</v>
      </c>
      <c r="L281">
        <v>2</v>
      </c>
      <c r="M281">
        <v>10</v>
      </c>
    </row>
    <row r="282" spans="1:13">
      <c r="A282">
        <v>53</v>
      </c>
      <c r="B282" t="s">
        <v>17</v>
      </c>
      <c r="C282" t="s">
        <v>18</v>
      </c>
      <c r="D282">
        <v>3</v>
      </c>
      <c r="E282">
        <v>4</v>
      </c>
      <c r="F282" t="s">
        <v>21</v>
      </c>
      <c r="G282">
        <v>3</v>
      </c>
      <c r="H282">
        <v>3</v>
      </c>
      <c r="I282" t="s">
        <v>19</v>
      </c>
      <c r="J282">
        <v>17584</v>
      </c>
      <c r="K282">
        <v>3</v>
      </c>
      <c r="L282">
        <v>2</v>
      </c>
      <c r="M282">
        <v>5</v>
      </c>
    </row>
    <row r="283" spans="1:13">
      <c r="A283">
        <v>42</v>
      </c>
      <c r="B283" t="s">
        <v>17</v>
      </c>
      <c r="C283" t="s">
        <v>14</v>
      </c>
      <c r="D283">
        <v>1</v>
      </c>
      <c r="E283">
        <v>1</v>
      </c>
      <c r="F283" t="s">
        <v>15</v>
      </c>
      <c r="G283">
        <v>2</v>
      </c>
      <c r="H283">
        <v>3</v>
      </c>
      <c r="I283" t="s">
        <v>19</v>
      </c>
      <c r="J283">
        <v>4907</v>
      </c>
      <c r="K283">
        <v>1</v>
      </c>
      <c r="L283">
        <v>3</v>
      </c>
      <c r="M283">
        <v>20</v>
      </c>
    </row>
    <row r="284" spans="1:13">
      <c r="A284">
        <v>29</v>
      </c>
      <c r="B284" t="s">
        <v>17</v>
      </c>
      <c r="C284" t="s">
        <v>14</v>
      </c>
      <c r="D284">
        <v>2</v>
      </c>
      <c r="E284">
        <v>2</v>
      </c>
      <c r="F284" t="s">
        <v>15</v>
      </c>
      <c r="G284">
        <v>2</v>
      </c>
      <c r="H284">
        <v>4</v>
      </c>
      <c r="I284" t="s">
        <v>16</v>
      </c>
      <c r="J284">
        <v>4554</v>
      </c>
      <c r="K284">
        <v>1</v>
      </c>
      <c r="L284">
        <v>2</v>
      </c>
      <c r="M284">
        <v>10</v>
      </c>
    </row>
    <row r="285" spans="1:13">
      <c r="A285">
        <v>55</v>
      </c>
      <c r="B285" t="s">
        <v>17</v>
      </c>
      <c r="C285" t="s">
        <v>18</v>
      </c>
      <c r="D285">
        <v>20</v>
      </c>
      <c r="E285">
        <v>2</v>
      </c>
      <c r="F285" t="s">
        <v>24</v>
      </c>
      <c r="G285">
        <v>2</v>
      </c>
      <c r="H285">
        <v>4</v>
      </c>
      <c r="I285" t="s">
        <v>19</v>
      </c>
      <c r="J285">
        <v>5415</v>
      </c>
      <c r="K285">
        <v>3</v>
      </c>
      <c r="L285">
        <v>3</v>
      </c>
      <c r="M285">
        <v>10</v>
      </c>
    </row>
    <row r="286" spans="1:13">
      <c r="A286">
        <v>26</v>
      </c>
      <c r="B286" t="s">
        <v>17</v>
      </c>
      <c r="C286" t="s">
        <v>18</v>
      </c>
      <c r="D286">
        <v>11</v>
      </c>
      <c r="E286">
        <v>2</v>
      </c>
      <c r="F286" t="s">
        <v>21</v>
      </c>
      <c r="G286">
        <v>1</v>
      </c>
      <c r="H286">
        <v>1</v>
      </c>
      <c r="I286" t="s">
        <v>19</v>
      </c>
      <c r="J286">
        <v>4741</v>
      </c>
      <c r="K286">
        <v>1</v>
      </c>
      <c r="L286">
        <v>3</v>
      </c>
      <c r="M286">
        <v>5</v>
      </c>
    </row>
    <row r="287" spans="1:13">
      <c r="A287">
        <v>37</v>
      </c>
      <c r="B287" t="s">
        <v>17</v>
      </c>
      <c r="C287" t="s">
        <v>18</v>
      </c>
      <c r="D287">
        <v>1</v>
      </c>
      <c r="E287">
        <v>3</v>
      </c>
      <c r="F287" t="s">
        <v>15</v>
      </c>
      <c r="G287">
        <v>4</v>
      </c>
      <c r="H287">
        <v>4</v>
      </c>
      <c r="I287" t="s">
        <v>16</v>
      </c>
      <c r="J287">
        <v>2115</v>
      </c>
      <c r="K287">
        <v>1</v>
      </c>
      <c r="L287">
        <v>3</v>
      </c>
      <c r="M287">
        <v>17</v>
      </c>
    </row>
    <row r="288" spans="1:13">
      <c r="A288">
        <v>44</v>
      </c>
      <c r="B288" t="s">
        <v>13</v>
      </c>
      <c r="C288" t="s">
        <v>18</v>
      </c>
      <c r="D288">
        <v>24</v>
      </c>
      <c r="E288">
        <v>3</v>
      </c>
      <c r="F288" t="s">
        <v>15</v>
      </c>
      <c r="G288">
        <v>4</v>
      </c>
      <c r="H288">
        <v>3</v>
      </c>
      <c r="I288" t="s">
        <v>22</v>
      </c>
      <c r="J288">
        <v>3161</v>
      </c>
      <c r="K288">
        <v>3</v>
      </c>
      <c r="L288">
        <v>1</v>
      </c>
      <c r="M288">
        <v>1</v>
      </c>
    </row>
    <row r="289" spans="1:13">
      <c r="A289">
        <v>38</v>
      </c>
      <c r="B289" t="s">
        <v>17</v>
      </c>
      <c r="C289" t="s">
        <v>18</v>
      </c>
      <c r="D289">
        <v>23</v>
      </c>
      <c r="E289">
        <v>4</v>
      </c>
      <c r="F289" t="s">
        <v>15</v>
      </c>
      <c r="G289">
        <v>4</v>
      </c>
      <c r="H289">
        <v>4</v>
      </c>
      <c r="I289" t="s">
        <v>22</v>
      </c>
      <c r="J289">
        <v>5745</v>
      </c>
      <c r="K289">
        <v>9</v>
      </c>
      <c r="L289">
        <v>3</v>
      </c>
      <c r="M289">
        <v>2</v>
      </c>
    </row>
    <row r="290" spans="1:13">
      <c r="A290">
        <v>26</v>
      </c>
      <c r="B290" t="s">
        <v>13</v>
      </c>
      <c r="C290" t="s">
        <v>18</v>
      </c>
      <c r="D290">
        <v>16</v>
      </c>
      <c r="E290">
        <v>4</v>
      </c>
      <c r="F290" t="s">
        <v>21</v>
      </c>
      <c r="G290">
        <v>1</v>
      </c>
      <c r="H290">
        <v>2</v>
      </c>
      <c r="I290" t="s">
        <v>22</v>
      </c>
      <c r="J290">
        <v>2373</v>
      </c>
      <c r="K290">
        <v>2</v>
      </c>
      <c r="L290">
        <v>3</v>
      </c>
      <c r="M290">
        <v>3</v>
      </c>
    </row>
    <row r="291" spans="1:13">
      <c r="A291">
        <v>28</v>
      </c>
      <c r="B291" t="s">
        <v>17</v>
      </c>
      <c r="C291" t="s">
        <v>18</v>
      </c>
      <c r="D291">
        <v>8</v>
      </c>
      <c r="E291">
        <v>2</v>
      </c>
      <c r="F291" t="s">
        <v>15</v>
      </c>
      <c r="G291">
        <v>4</v>
      </c>
      <c r="H291">
        <v>4</v>
      </c>
      <c r="I291" t="s">
        <v>16</v>
      </c>
      <c r="J291">
        <v>3310</v>
      </c>
      <c r="K291">
        <v>1</v>
      </c>
      <c r="L291">
        <v>3</v>
      </c>
      <c r="M291">
        <v>5</v>
      </c>
    </row>
    <row r="292" spans="1:13">
      <c r="A292">
        <v>49</v>
      </c>
      <c r="B292" t="s">
        <v>17</v>
      </c>
      <c r="C292" t="s">
        <v>18</v>
      </c>
      <c r="D292">
        <v>10</v>
      </c>
      <c r="E292">
        <v>4</v>
      </c>
      <c r="F292" t="s">
        <v>15</v>
      </c>
      <c r="G292">
        <v>3</v>
      </c>
      <c r="H292">
        <v>1</v>
      </c>
      <c r="I292" t="s">
        <v>16</v>
      </c>
      <c r="J292">
        <v>18665</v>
      </c>
      <c r="K292">
        <v>9</v>
      </c>
      <c r="L292">
        <v>3</v>
      </c>
      <c r="M292">
        <v>3</v>
      </c>
    </row>
    <row r="293" spans="1:13">
      <c r="A293">
        <v>36</v>
      </c>
      <c r="B293" t="s">
        <v>17</v>
      </c>
      <c r="C293" t="s">
        <v>18</v>
      </c>
      <c r="D293">
        <v>3</v>
      </c>
      <c r="E293">
        <v>3</v>
      </c>
      <c r="F293" t="s">
        <v>24</v>
      </c>
      <c r="G293">
        <v>3</v>
      </c>
      <c r="H293">
        <v>2</v>
      </c>
      <c r="I293" t="s">
        <v>16</v>
      </c>
      <c r="J293">
        <v>4485</v>
      </c>
      <c r="K293">
        <v>4</v>
      </c>
      <c r="L293">
        <v>3</v>
      </c>
      <c r="M293">
        <v>8</v>
      </c>
    </row>
    <row r="294" spans="1:13">
      <c r="A294">
        <v>31</v>
      </c>
      <c r="B294" t="s">
        <v>17</v>
      </c>
      <c r="C294" t="s">
        <v>14</v>
      </c>
      <c r="D294">
        <v>5</v>
      </c>
      <c r="E294">
        <v>3</v>
      </c>
      <c r="F294" t="s">
        <v>23</v>
      </c>
      <c r="G294">
        <v>4</v>
      </c>
      <c r="H294">
        <v>2</v>
      </c>
      <c r="I294" t="s">
        <v>22</v>
      </c>
      <c r="J294">
        <v>2789</v>
      </c>
      <c r="K294">
        <v>1</v>
      </c>
      <c r="L294">
        <v>2</v>
      </c>
      <c r="M294">
        <v>2</v>
      </c>
    </row>
    <row r="295" spans="1:13">
      <c r="A295">
        <v>26</v>
      </c>
      <c r="B295" t="s">
        <v>13</v>
      </c>
      <c r="C295" t="s">
        <v>14</v>
      </c>
      <c r="D295">
        <v>4</v>
      </c>
      <c r="E295">
        <v>4</v>
      </c>
      <c r="F295" t="s">
        <v>23</v>
      </c>
      <c r="G295">
        <v>4</v>
      </c>
      <c r="H295">
        <v>4</v>
      </c>
      <c r="I295" t="s">
        <v>16</v>
      </c>
      <c r="J295">
        <v>5828</v>
      </c>
      <c r="K295">
        <v>1</v>
      </c>
      <c r="L295">
        <v>3</v>
      </c>
      <c r="M295">
        <v>8</v>
      </c>
    </row>
    <row r="296" spans="1:13">
      <c r="A296">
        <v>37</v>
      </c>
      <c r="B296" t="s">
        <v>17</v>
      </c>
      <c r="C296" t="s">
        <v>18</v>
      </c>
      <c r="D296">
        <v>9</v>
      </c>
      <c r="E296">
        <v>3</v>
      </c>
      <c r="F296" t="s">
        <v>21</v>
      </c>
      <c r="G296">
        <v>2</v>
      </c>
      <c r="H296">
        <v>4</v>
      </c>
      <c r="I296" t="s">
        <v>19</v>
      </c>
      <c r="J296">
        <v>2326</v>
      </c>
      <c r="K296">
        <v>1</v>
      </c>
      <c r="L296">
        <v>2</v>
      </c>
      <c r="M296">
        <v>4</v>
      </c>
    </row>
    <row r="297" spans="1:13">
      <c r="A297">
        <v>42</v>
      </c>
      <c r="B297" t="s">
        <v>17</v>
      </c>
      <c r="C297" t="s">
        <v>14</v>
      </c>
      <c r="D297">
        <v>26</v>
      </c>
      <c r="E297">
        <v>3</v>
      </c>
      <c r="F297" t="s">
        <v>23</v>
      </c>
      <c r="G297">
        <v>3</v>
      </c>
      <c r="H297">
        <v>2</v>
      </c>
      <c r="I297" t="s">
        <v>19</v>
      </c>
      <c r="J297">
        <v>13525</v>
      </c>
      <c r="K297">
        <v>5</v>
      </c>
      <c r="L297">
        <v>4</v>
      </c>
      <c r="M297">
        <v>20</v>
      </c>
    </row>
    <row r="298" spans="1:13">
      <c r="A298">
        <v>18</v>
      </c>
      <c r="B298" t="s">
        <v>13</v>
      </c>
      <c r="C298" t="s">
        <v>18</v>
      </c>
      <c r="D298">
        <v>3</v>
      </c>
      <c r="E298">
        <v>3</v>
      </c>
      <c r="F298" t="s">
        <v>15</v>
      </c>
      <c r="G298">
        <v>3</v>
      </c>
      <c r="H298">
        <v>3</v>
      </c>
      <c r="I298" t="s">
        <v>16</v>
      </c>
      <c r="J298">
        <v>1420</v>
      </c>
      <c r="K298">
        <v>1</v>
      </c>
      <c r="L298">
        <v>3</v>
      </c>
      <c r="M298">
        <v>0</v>
      </c>
    </row>
    <row r="299" spans="1:13">
      <c r="A299">
        <v>35</v>
      </c>
      <c r="B299" t="s">
        <v>17</v>
      </c>
      <c r="C299" t="s">
        <v>14</v>
      </c>
      <c r="D299">
        <v>16</v>
      </c>
      <c r="E299">
        <v>3</v>
      </c>
      <c r="F299" t="s">
        <v>23</v>
      </c>
      <c r="G299">
        <v>3</v>
      </c>
      <c r="H299">
        <v>2</v>
      </c>
      <c r="I299" t="s">
        <v>19</v>
      </c>
      <c r="J299">
        <v>8020</v>
      </c>
      <c r="K299">
        <v>0</v>
      </c>
      <c r="L299">
        <v>2</v>
      </c>
      <c r="M299">
        <v>11</v>
      </c>
    </row>
    <row r="300" spans="1:13">
      <c r="A300">
        <v>36</v>
      </c>
      <c r="B300" t="s">
        <v>17</v>
      </c>
      <c r="C300" t="s">
        <v>18</v>
      </c>
      <c r="D300">
        <v>18</v>
      </c>
      <c r="E300">
        <v>4</v>
      </c>
      <c r="F300" t="s">
        <v>15</v>
      </c>
      <c r="G300">
        <v>3</v>
      </c>
      <c r="H300">
        <v>4</v>
      </c>
      <c r="I300" t="s">
        <v>19</v>
      </c>
      <c r="J300">
        <v>3688</v>
      </c>
      <c r="K300">
        <v>4</v>
      </c>
      <c r="L300">
        <v>3</v>
      </c>
      <c r="M300">
        <v>1</v>
      </c>
    </row>
    <row r="301" spans="1:13">
      <c r="A301">
        <v>51</v>
      </c>
      <c r="B301" t="s">
        <v>17</v>
      </c>
      <c r="C301" t="s">
        <v>18</v>
      </c>
      <c r="D301">
        <v>2</v>
      </c>
      <c r="E301">
        <v>3</v>
      </c>
      <c r="F301" t="s">
        <v>21</v>
      </c>
      <c r="G301">
        <v>4</v>
      </c>
      <c r="H301">
        <v>2</v>
      </c>
      <c r="I301" t="s">
        <v>22</v>
      </c>
      <c r="J301">
        <v>5482</v>
      </c>
      <c r="K301">
        <v>5</v>
      </c>
      <c r="L301">
        <v>3</v>
      </c>
      <c r="M301">
        <v>4</v>
      </c>
    </row>
    <row r="302" spans="1:13">
      <c r="A302">
        <v>41</v>
      </c>
      <c r="B302" t="s">
        <v>17</v>
      </c>
      <c r="C302" t="s">
        <v>14</v>
      </c>
      <c r="D302">
        <v>2</v>
      </c>
      <c r="E302">
        <v>4</v>
      </c>
      <c r="F302" t="s">
        <v>15</v>
      </c>
      <c r="G302">
        <v>4</v>
      </c>
      <c r="H302">
        <v>2</v>
      </c>
      <c r="I302" t="s">
        <v>16</v>
      </c>
      <c r="J302">
        <v>16015</v>
      </c>
      <c r="K302">
        <v>1</v>
      </c>
      <c r="L302">
        <v>3</v>
      </c>
      <c r="M302">
        <v>22</v>
      </c>
    </row>
    <row r="303" spans="1:13">
      <c r="A303">
        <v>18</v>
      </c>
      <c r="B303" t="s">
        <v>17</v>
      </c>
      <c r="C303" t="s">
        <v>14</v>
      </c>
      <c r="D303">
        <v>10</v>
      </c>
      <c r="E303">
        <v>3</v>
      </c>
      <c r="F303" t="s">
        <v>21</v>
      </c>
      <c r="G303">
        <v>4</v>
      </c>
      <c r="H303">
        <v>3</v>
      </c>
      <c r="I303" t="s">
        <v>16</v>
      </c>
      <c r="J303">
        <v>1200</v>
      </c>
      <c r="K303">
        <v>1</v>
      </c>
      <c r="L303">
        <v>3</v>
      </c>
      <c r="M303">
        <v>0</v>
      </c>
    </row>
    <row r="304" spans="1:13">
      <c r="A304">
        <v>28</v>
      </c>
      <c r="B304" t="s">
        <v>17</v>
      </c>
      <c r="C304" t="s">
        <v>18</v>
      </c>
      <c r="D304">
        <v>16</v>
      </c>
      <c r="E304">
        <v>2</v>
      </c>
      <c r="F304" t="s">
        <v>21</v>
      </c>
      <c r="G304">
        <v>2</v>
      </c>
      <c r="H304">
        <v>1</v>
      </c>
      <c r="I304" t="s">
        <v>16</v>
      </c>
      <c r="J304">
        <v>5661</v>
      </c>
      <c r="K304">
        <v>0</v>
      </c>
      <c r="L304">
        <v>3</v>
      </c>
      <c r="M304">
        <v>8</v>
      </c>
    </row>
    <row r="305" spans="1:13">
      <c r="A305">
        <v>31</v>
      </c>
      <c r="B305" t="s">
        <v>17</v>
      </c>
      <c r="C305" t="s">
        <v>14</v>
      </c>
      <c r="D305">
        <v>7</v>
      </c>
      <c r="E305">
        <v>3</v>
      </c>
      <c r="F305" t="s">
        <v>24</v>
      </c>
      <c r="G305">
        <v>2</v>
      </c>
      <c r="H305">
        <v>4</v>
      </c>
      <c r="I305" t="s">
        <v>19</v>
      </c>
      <c r="J305">
        <v>6929</v>
      </c>
      <c r="K305">
        <v>4</v>
      </c>
      <c r="L305">
        <v>2</v>
      </c>
      <c r="M305">
        <v>8</v>
      </c>
    </row>
    <row r="306" spans="1:13">
      <c r="A306">
        <v>39</v>
      </c>
      <c r="B306" t="s">
        <v>17</v>
      </c>
      <c r="C306" t="s">
        <v>18</v>
      </c>
      <c r="D306">
        <v>1</v>
      </c>
      <c r="E306">
        <v>3</v>
      </c>
      <c r="F306" t="s">
        <v>21</v>
      </c>
      <c r="G306">
        <v>3</v>
      </c>
      <c r="H306">
        <v>4</v>
      </c>
      <c r="I306" t="s">
        <v>22</v>
      </c>
      <c r="J306">
        <v>9613</v>
      </c>
      <c r="K306">
        <v>0</v>
      </c>
      <c r="L306">
        <v>2</v>
      </c>
      <c r="M306">
        <v>18</v>
      </c>
    </row>
    <row r="307" spans="1:13">
      <c r="A307">
        <v>36</v>
      </c>
      <c r="B307" t="s">
        <v>17</v>
      </c>
      <c r="C307" t="s">
        <v>18</v>
      </c>
      <c r="D307">
        <v>24</v>
      </c>
      <c r="E307">
        <v>4</v>
      </c>
      <c r="F307" t="s">
        <v>15</v>
      </c>
      <c r="G307">
        <v>2</v>
      </c>
      <c r="H307">
        <v>2</v>
      </c>
      <c r="I307" t="s">
        <v>19</v>
      </c>
      <c r="J307">
        <v>5674</v>
      </c>
      <c r="K307">
        <v>7</v>
      </c>
      <c r="L307">
        <v>3</v>
      </c>
      <c r="M307">
        <v>9</v>
      </c>
    </row>
    <row r="308" spans="1:13">
      <c r="A308">
        <v>32</v>
      </c>
      <c r="B308" t="s">
        <v>17</v>
      </c>
      <c r="C308" t="s">
        <v>14</v>
      </c>
      <c r="D308">
        <v>7</v>
      </c>
      <c r="E308">
        <v>3</v>
      </c>
      <c r="F308" t="s">
        <v>15</v>
      </c>
      <c r="G308">
        <v>4</v>
      </c>
      <c r="H308">
        <v>3</v>
      </c>
      <c r="I308" t="s">
        <v>19</v>
      </c>
      <c r="J308">
        <v>5484</v>
      </c>
      <c r="K308">
        <v>1</v>
      </c>
      <c r="L308">
        <v>2</v>
      </c>
      <c r="M308">
        <v>13</v>
      </c>
    </row>
    <row r="309" spans="1:13">
      <c r="A309">
        <v>38</v>
      </c>
      <c r="B309" t="s">
        <v>17</v>
      </c>
      <c r="C309" t="s">
        <v>18</v>
      </c>
      <c r="D309">
        <v>25</v>
      </c>
      <c r="E309">
        <v>2</v>
      </c>
      <c r="F309" t="s">
        <v>15</v>
      </c>
      <c r="G309">
        <v>1</v>
      </c>
      <c r="H309">
        <v>2</v>
      </c>
      <c r="I309" t="s">
        <v>19</v>
      </c>
      <c r="J309">
        <v>12061</v>
      </c>
      <c r="K309">
        <v>3</v>
      </c>
      <c r="L309">
        <v>3</v>
      </c>
      <c r="M309">
        <v>10</v>
      </c>
    </row>
    <row r="310" spans="1:13">
      <c r="A310">
        <v>58</v>
      </c>
      <c r="B310" t="s">
        <v>17</v>
      </c>
      <c r="C310" t="s">
        <v>18</v>
      </c>
      <c r="D310">
        <v>1</v>
      </c>
      <c r="E310">
        <v>4</v>
      </c>
      <c r="F310" t="s">
        <v>15</v>
      </c>
      <c r="G310">
        <v>4</v>
      </c>
      <c r="H310">
        <v>3</v>
      </c>
      <c r="I310" t="s">
        <v>22</v>
      </c>
      <c r="J310">
        <v>5660</v>
      </c>
      <c r="K310">
        <v>2</v>
      </c>
      <c r="L310">
        <v>3</v>
      </c>
      <c r="M310">
        <v>5</v>
      </c>
    </row>
    <row r="311" spans="1:13">
      <c r="A311">
        <v>31</v>
      </c>
      <c r="B311" t="s">
        <v>17</v>
      </c>
      <c r="C311" t="s">
        <v>18</v>
      </c>
      <c r="D311">
        <v>5</v>
      </c>
      <c r="E311">
        <v>4</v>
      </c>
      <c r="F311" t="s">
        <v>24</v>
      </c>
      <c r="G311">
        <v>3</v>
      </c>
      <c r="H311">
        <v>4</v>
      </c>
      <c r="I311" t="s">
        <v>19</v>
      </c>
      <c r="J311">
        <v>4821</v>
      </c>
      <c r="K311">
        <v>0</v>
      </c>
      <c r="L311">
        <v>3</v>
      </c>
      <c r="M311">
        <v>5</v>
      </c>
    </row>
    <row r="312" spans="1:13">
      <c r="A312">
        <v>31</v>
      </c>
      <c r="B312" t="s">
        <v>17</v>
      </c>
      <c r="C312" t="s">
        <v>25</v>
      </c>
      <c r="D312">
        <v>2</v>
      </c>
      <c r="E312">
        <v>3</v>
      </c>
      <c r="F312" t="s">
        <v>25</v>
      </c>
      <c r="G312">
        <v>1</v>
      </c>
      <c r="H312">
        <v>1</v>
      </c>
      <c r="I312" t="s">
        <v>19</v>
      </c>
      <c r="J312">
        <v>6410</v>
      </c>
      <c r="K312">
        <v>3</v>
      </c>
      <c r="L312">
        <v>3</v>
      </c>
      <c r="M312">
        <v>2</v>
      </c>
    </row>
    <row r="313" spans="1:13">
      <c r="A313">
        <v>45</v>
      </c>
      <c r="B313" t="s">
        <v>17</v>
      </c>
      <c r="C313" t="s">
        <v>18</v>
      </c>
      <c r="D313">
        <v>7</v>
      </c>
      <c r="E313">
        <v>3</v>
      </c>
      <c r="F313" t="s">
        <v>15</v>
      </c>
      <c r="G313">
        <v>1</v>
      </c>
      <c r="H313">
        <v>1</v>
      </c>
      <c r="I313" t="s">
        <v>22</v>
      </c>
      <c r="J313">
        <v>5210</v>
      </c>
      <c r="K313">
        <v>1</v>
      </c>
      <c r="L313">
        <v>3</v>
      </c>
      <c r="M313">
        <v>24</v>
      </c>
    </row>
    <row r="314" spans="1:13">
      <c r="A314">
        <v>31</v>
      </c>
      <c r="B314" t="s">
        <v>17</v>
      </c>
      <c r="C314" t="s">
        <v>18</v>
      </c>
      <c r="D314">
        <v>2</v>
      </c>
      <c r="E314">
        <v>4</v>
      </c>
      <c r="F314" t="s">
        <v>15</v>
      </c>
      <c r="G314">
        <v>3</v>
      </c>
      <c r="H314">
        <v>4</v>
      </c>
      <c r="I314" t="s">
        <v>22</v>
      </c>
      <c r="J314">
        <v>2695</v>
      </c>
      <c r="K314">
        <v>0</v>
      </c>
      <c r="L314">
        <v>1</v>
      </c>
      <c r="M314">
        <v>2</v>
      </c>
    </row>
    <row r="315" spans="1:13">
      <c r="A315">
        <v>33</v>
      </c>
      <c r="B315" t="s">
        <v>17</v>
      </c>
      <c r="C315" t="s">
        <v>18</v>
      </c>
      <c r="D315">
        <v>5</v>
      </c>
      <c r="E315">
        <v>4</v>
      </c>
      <c r="F315" t="s">
        <v>15</v>
      </c>
      <c r="G315">
        <v>4</v>
      </c>
      <c r="H315">
        <v>2</v>
      </c>
      <c r="I315" t="s">
        <v>19</v>
      </c>
      <c r="J315">
        <v>11878</v>
      </c>
      <c r="K315">
        <v>6</v>
      </c>
      <c r="L315">
        <v>3</v>
      </c>
      <c r="M315">
        <v>10</v>
      </c>
    </row>
    <row r="316" spans="1:13">
      <c r="A316">
        <v>39</v>
      </c>
      <c r="B316" t="s">
        <v>17</v>
      </c>
      <c r="C316" t="s">
        <v>18</v>
      </c>
      <c r="D316">
        <v>10</v>
      </c>
      <c r="E316">
        <v>1</v>
      </c>
      <c r="F316" t="s">
        <v>21</v>
      </c>
      <c r="G316">
        <v>3</v>
      </c>
      <c r="H316">
        <v>1</v>
      </c>
      <c r="I316" t="s">
        <v>19</v>
      </c>
      <c r="J316">
        <v>17068</v>
      </c>
      <c r="K316">
        <v>1</v>
      </c>
      <c r="L316">
        <v>3</v>
      </c>
      <c r="M316">
        <v>21</v>
      </c>
    </row>
    <row r="317" spans="1:13">
      <c r="A317">
        <v>43</v>
      </c>
      <c r="B317" t="s">
        <v>17</v>
      </c>
      <c r="C317" t="s">
        <v>18</v>
      </c>
      <c r="D317">
        <v>10</v>
      </c>
      <c r="E317">
        <v>4</v>
      </c>
      <c r="F317" t="s">
        <v>15</v>
      </c>
      <c r="G317">
        <v>3</v>
      </c>
      <c r="H317">
        <v>4</v>
      </c>
      <c r="I317" t="s">
        <v>16</v>
      </c>
      <c r="J317">
        <v>2455</v>
      </c>
      <c r="K317">
        <v>0</v>
      </c>
      <c r="L317">
        <v>3</v>
      </c>
      <c r="M317">
        <v>8</v>
      </c>
    </row>
    <row r="318" spans="1:13">
      <c r="A318">
        <v>49</v>
      </c>
      <c r="B318" t="s">
        <v>17</v>
      </c>
      <c r="C318" t="s">
        <v>18</v>
      </c>
      <c r="D318">
        <v>1</v>
      </c>
      <c r="E318">
        <v>2</v>
      </c>
      <c r="F318" t="s">
        <v>24</v>
      </c>
      <c r="G318">
        <v>3</v>
      </c>
      <c r="H318">
        <v>3</v>
      </c>
      <c r="I318" t="s">
        <v>16</v>
      </c>
      <c r="J318">
        <v>13964</v>
      </c>
      <c r="K318">
        <v>7</v>
      </c>
      <c r="L318">
        <v>3</v>
      </c>
      <c r="M318">
        <v>7</v>
      </c>
    </row>
    <row r="319" spans="1:13">
      <c r="A319">
        <v>52</v>
      </c>
      <c r="B319" t="s">
        <v>13</v>
      </c>
      <c r="C319" t="s">
        <v>18</v>
      </c>
      <c r="D319">
        <v>8</v>
      </c>
      <c r="E319">
        <v>4</v>
      </c>
      <c r="F319" t="s">
        <v>21</v>
      </c>
      <c r="G319">
        <v>3</v>
      </c>
      <c r="H319">
        <v>2</v>
      </c>
      <c r="I319" t="s">
        <v>19</v>
      </c>
      <c r="J319">
        <v>4941</v>
      </c>
      <c r="K319">
        <v>2</v>
      </c>
      <c r="L319">
        <v>2</v>
      </c>
      <c r="M319">
        <v>8</v>
      </c>
    </row>
    <row r="320" spans="1:13">
      <c r="A320">
        <v>27</v>
      </c>
      <c r="B320" t="s">
        <v>17</v>
      </c>
      <c r="C320" t="s">
        <v>18</v>
      </c>
      <c r="D320">
        <v>5</v>
      </c>
      <c r="E320">
        <v>3</v>
      </c>
      <c r="F320" t="s">
        <v>15</v>
      </c>
      <c r="G320">
        <v>3</v>
      </c>
      <c r="H320">
        <v>2</v>
      </c>
      <c r="I320" t="s">
        <v>16</v>
      </c>
      <c r="J320">
        <v>2478</v>
      </c>
      <c r="K320">
        <v>1</v>
      </c>
      <c r="L320">
        <v>2</v>
      </c>
      <c r="M320">
        <v>4</v>
      </c>
    </row>
    <row r="321" spans="1:13">
      <c r="A321">
        <v>32</v>
      </c>
      <c r="B321" t="s">
        <v>17</v>
      </c>
      <c r="C321" t="s">
        <v>14</v>
      </c>
      <c r="D321">
        <v>8</v>
      </c>
      <c r="E321">
        <v>2</v>
      </c>
      <c r="F321" t="s">
        <v>24</v>
      </c>
      <c r="G321">
        <v>3</v>
      </c>
      <c r="H321">
        <v>2</v>
      </c>
      <c r="I321" t="s">
        <v>19</v>
      </c>
      <c r="J321">
        <v>5228</v>
      </c>
      <c r="K321">
        <v>1</v>
      </c>
      <c r="L321">
        <v>3</v>
      </c>
      <c r="M321">
        <v>13</v>
      </c>
    </row>
    <row r="322" spans="1:13">
      <c r="A322">
        <v>27</v>
      </c>
      <c r="B322" t="s">
        <v>17</v>
      </c>
      <c r="C322" t="s">
        <v>14</v>
      </c>
      <c r="D322">
        <v>2</v>
      </c>
      <c r="E322">
        <v>3</v>
      </c>
      <c r="F322" t="s">
        <v>15</v>
      </c>
      <c r="G322">
        <v>4</v>
      </c>
      <c r="H322">
        <v>3</v>
      </c>
      <c r="I322" t="s">
        <v>16</v>
      </c>
      <c r="J322">
        <v>4478</v>
      </c>
      <c r="K322">
        <v>1</v>
      </c>
      <c r="L322">
        <v>3</v>
      </c>
      <c r="M322">
        <v>5</v>
      </c>
    </row>
    <row r="323" spans="1:13">
      <c r="A323">
        <v>31</v>
      </c>
      <c r="B323" t="s">
        <v>17</v>
      </c>
      <c r="C323" t="s">
        <v>14</v>
      </c>
      <c r="D323">
        <v>7</v>
      </c>
      <c r="E323">
        <v>3</v>
      </c>
      <c r="F323" t="s">
        <v>23</v>
      </c>
      <c r="G323">
        <v>4</v>
      </c>
      <c r="H323">
        <v>4</v>
      </c>
      <c r="I323" t="s">
        <v>22</v>
      </c>
      <c r="J323">
        <v>7547</v>
      </c>
      <c r="K323">
        <v>4</v>
      </c>
      <c r="L323">
        <v>3</v>
      </c>
      <c r="M323">
        <v>7</v>
      </c>
    </row>
    <row r="324" spans="1:13">
      <c r="A324">
        <v>32</v>
      </c>
      <c r="B324" t="s">
        <v>17</v>
      </c>
      <c r="C324" t="s">
        <v>18</v>
      </c>
      <c r="D324">
        <v>2</v>
      </c>
      <c r="E324">
        <v>4</v>
      </c>
      <c r="F324" t="s">
        <v>21</v>
      </c>
      <c r="G324">
        <v>1</v>
      </c>
      <c r="H324">
        <v>4</v>
      </c>
      <c r="I324" t="s">
        <v>16</v>
      </c>
      <c r="J324">
        <v>5055</v>
      </c>
      <c r="K324">
        <v>7</v>
      </c>
      <c r="L324">
        <v>2</v>
      </c>
      <c r="M324">
        <v>7</v>
      </c>
    </row>
    <row r="325" spans="1:13">
      <c r="A325">
        <v>28</v>
      </c>
      <c r="B325" t="s">
        <v>13</v>
      </c>
      <c r="C325" t="s">
        <v>18</v>
      </c>
      <c r="D325">
        <v>2</v>
      </c>
      <c r="E325">
        <v>4</v>
      </c>
      <c r="F325" t="s">
        <v>21</v>
      </c>
      <c r="G325">
        <v>1</v>
      </c>
      <c r="H325">
        <v>4</v>
      </c>
      <c r="I325" t="s">
        <v>19</v>
      </c>
      <c r="J325">
        <v>3464</v>
      </c>
      <c r="K325">
        <v>5</v>
      </c>
      <c r="L325">
        <v>2</v>
      </c>
      <c r="M325">
        <v>3</v>
      </c>
    </row>
    <row r="326" spans="1:13">
      <c r="A326">
        <v>30</v>
      </c>
      <c r="B326" t="s">
        <v>17</v>
      </c>
      <c r="C326" t="s">
        <v>18</v>
      </c>
      <c r="D326">
        <v>28</v>
      </c>
      <c r="E326">
        <v>2</v>
      </c>
      <c r="F326" t="s">
        <v>21</v>
      </c>
      <c r="G326">
        <v>4</v>
      </c>
      <c r="H326">
        <v>4</v>
      </c>
      <c r="I326" t="s">
        <v>19</v>
      </c>
      <c r="J326">
        <v>5775</v>
      </c>
      <c r="K326">
        <v>1</v>
      </c>
      <c r="L326">
        <v>3</v>
      </c>
      <c r="M326">
        <v>10</v>
      </c>
    </row>
    <row r="327" spans="1:13">
      <c r="A327">
        <v>31</v>
      </c>
      <c r="B327" t="s">
        <v>17</v>
      </c>
      <c r="C327" t="s">
        <v>18</v>
      </c>
      <c r="D327">
        <v>7</v>
      </c>
      <c r="E327">
        <v>2</v>
      </c>
      <c r="F327" t="s">
        <v>15</v>
      </c>
      <c r="G327">
        <v>3</v>
      </c>
      <c r="H327">
        <v>3</v>
      </c>
      <c r="I327" t="s">
        <v>19</v>
      </c>
      <c r="J327">
        <v>8943</v>
      </c>
      <c r="K327">
        <v>1</v>
      </c>
      <c r="L327">
        <v>3</v>
      </c>
      <c r="M327">
        <v>10</v>
      </c>
    </row>
    <row r="328" spans="1:13">
      <c r="A328">
        <v>39</v>
      </c>
      <c r="B328" t="s">
        <v>17</v>
      </c>
      <c r="C328" t="s">
        <v>18</v>
      </c>
      <c r="D328">
        <v>7</v>
      </c>
      <c r="E328">
        <v>2</v>
      </c>
      <c r="F328" t="s">
        <v>21</v>
      </c>
      <c r="G328">
        <v>3</v>
      </c>
      <c r="H328">
        <v>4</v>
      </c>
      <c r="I328" t="s">
        <v>19</v>
      </c>
      <c r="J328">
        <v>19272</v>
      </c>
      <c r="K328">
        <v>1</v>
      </c>
      <c r="L328">
        <v>3</v>
      </c>
      <c r="M328">
        <v>21</v>
      </c>
    </row>
    <row r="329" spans="1:13">
      <c r="A329">
        <v>39</v>
      </c>
      <c r="B329" t="s">
        <v>13</v>
      </c>
      <c r="C329" t="s">
        <v>14</v>
      </c>
      <c r="D329">
        <v>3</v>
      </c>
      <c r="E329">
        <v>2</v>
      </c>
      <c r="F329" t="s">
        <v>21</v>
      </c>
      <c r="G329">
        <v>4</v>
      </c>
      <c r="H329">
        <v>3</v>
      </c>
      <c r="I329" t="s">
        <v>19</v>
      </c>
      <c r="J329">
        <v>5238</v>
      </c>
      <c r="K329">
        <v>4</v>
      </c>
      <c r="L329">
        <v>2</v>
      </c>
      <c r="M329">
        <v>1</v>
      </c>
    </row>
    <row r="330" spans="1:13">
      <c r="A330">
        <v>33</v>
      </c>
      <c r="B330" t="s">
        <v>17</v>
      </c>
      <c r="C330" t="s">
        <v>14</v>
      </c>
      <c r="D330">
        <v>10</v>
      </c>
      <c r="E330">
        <v>3</v>
      </c>
      <c r="F330" t="s">
        <v>23</v>
      </c>
      <c r="G330">
        <v>2</v>
      </c>
      <c r="H330">
        <v>4</v>
      </c>
      <c r="I330" t="s">
        <v>16</v>
      </c>
      <c r="J330">
        <v>4682</v>
      </c>
      <c r="K330">
        <v>3</v>
      </c>
      <c r="L330">
        <v>2</v>
      </c>
      <c r="M330">
        <v>7</v>
      </c>
    </row>
    <row r="331" spans="1:13">
      <c r="A331">
        <v>47</v>
      </c>
      <c r="B331" t="s">
        <v>17</v>
      </c>
      <c r="C331" t="s">
        <v>18</v>
      </c>
      <c r="D331">
        <v>5</v>
      </c>
      <c r="E331">
        <v>5</v>
      </c>
      <c r="F331" t="s">
        <v>15</v>
      </c>
      <c r="G331">
        <v>4</v>
      </c>
      <c r="H331">
        <v>3</v>
      </c>
      <c r="I331" t="s">
        <v>19</v>
      </c>
      <c r="J331">
        <v>18300</v>
      </c>
      <c r="K331">
        <v>4</v>
      </c>
      <c r="L331">
        <v>3</v>
      </c>
      <c r="M331">
        <v>3</v>
      </c>
    </row>
    <row r="332" spans="1:13">
      <c r="A332">
        <v>43</v>
      </c>
      <c r="B332" t="s">
        <v>17</v>
      </c>
      <c r="C332" t="s">
        <v>18</v>
      </c>
      <c r="D332">
        <v>10</v>
      </c>
      <c r="E332">
        <v>4</v>
      </c>
      <c r="F332" t="s">
        <v>15</v>
      </c>
      <c r="G332">
        <v>3</v>
      </c>
      <c r="H332">
        <v>3</v>
      </c>
      <c r="I332" t="s">
        <v>22</v>
      </c>
      <c r="J332">
        <v>5257</v>
      </c>
      <c r="K332">
        <v>1</v>
      </c>
      <c r="L332">
        <v>4</v>
      </c>
      <c r="M332">
        <v>9</v>
      </c>
    </row>
    <row r="333" spans="1:13">
      <c r="A333">
        <v>27</v>
      </c>
      <c r="B333" t="s">
        <v>17</v>
      </c>
      <c r="C333" t="s">
        <v>14</v>
      </c>
      <c r="D333">
        <v>1</v>
      </c>
      <c r="E333">
        <v>1</v>
      </c>
      <c r="F333" t="s">
        <v>23</v>
      </c>
      <c r="G333">
        <v>3</v>
      </c>
      <c r="H333">
        <v>2</v>
      </c>
      <c r="I333" t="s">
        <v>19</v>
      </c>
      <c r="J333">
        <v>6349</v>
      </c>
      <c r="K333">
        <v>0</v>
      </c>
      <c r="L333">
        <v>3</v>
      </c>
      <c r="M333">
        <v>5</v>
      </c>
    </row>
    <row r="334" spans="1:13">
      <c r="A334">
        <v>54</v>
      </c>
      <c r="B334" t="s">
        <v>17</v>
      </c>
      <c r="C334" t="s">
        <v>18</v>
      </c>
      <c r="D334">
        <v>20</v>
      </c>
      <c r="E334">
        <v>4</v>
      </c>
      <c r="F334" t="s">
        <v>15</v>
      </c>
      <c r="G334">
        <v>4</v>
      </c>
      <c r="H334">
        <v>3</v>
      </c>
      <c r="I334" t="s">
        <v>16</v>
      </c>
      <c r="J334">
        <v>4869</v>
      </c>
      <c r="K334">
        <v>3</v>
      </c>
      <c r="L334">
        <v>2</v>
      </c>
      <c r="M334">
        <v>4</v>
      </c>
    </row>
    <row r="335" spans="1:13">
      <c r="A335">
        <v>43</v>
      </c>
      <c r="B335" t="s">
        <v>17</v>
      </c>
      <c r="C335" t="s">
        <v>18</v>
      </c>
      <c r="D335">
        <v>7</v>
      </c>
      <c r="E335">
        <v>3</v>
      </c>
      <c r="F335" t="s">
        <v>15</v>
      </c>
      <c r="G335">
        <v>3</v>
      </c>
      <c r="H335">
        <v>1</v>
      </c>
      <c r="I335" t="s">
        <v>19</v>
      </c>
      <c r="J335">
        <v>9985</v>
      </c>
      <c r="K335">
        <v>8</v>
      </c>
      <c r="L335">
        <v>2</v>
      </c>
      <c r="M335">
        <v>1</v>
      </c>
    </row>
    <row r="336" spans="1:13">
      <c r="A336">
        <v>45</v>
      </c>
      <c r="B336" t="s">
        <v>17</v>
      </c>
      <c r="C336" t="s">
        <v>18</v>
      </c>
      <c r="D336">
        <v>8</v>
      </c>
      <c r="E336">
        <v>4</v>
      </c>
      <c r="F336" t="s">
        <v>20</v>
      </c>
      <c r="G336">
        <v>4</v>
      </c>
      <c r="H336">
        <v>4</v>
      </c>
      <c r="I336" t="s">
        <v>19</v>
      </c>
      <c r="J336">
        <v>3697</v>
      </c>
      <c r="K336">
        <v>9</v>
      </c>
      <c r="L336">
        <v>3</v>
      </c>
      <c r="M336">
        <v>10</v>
      </c>
    </row>
    <row r="337" spans="1:13">
      <c r="A337">
        <v>40</v>
      </c>
      <c r="B337" t="s">
        <v>17</v>
      </c>
      <c r="C337" t="s">
        <v>14</v>
      </c>
      <c r="D337">
        <v>1</v>
      </c>
      <c r="E337">
        <v>2</v>
      </c>
      <c r="F337" t="s">
        <v>21</v>
      </c>
      <c r="G337">
        <v>2</v>
      </c>
      <c r="H337">
        <v>4</v>
      </c>
      <c r="I337" t="s">
        <v>19</v>
      </c>
      <c r="J337">
        <v>7457</v>
      </c>
      <c r="K337">
        <v>2</v>
      </c>
      <c r="L337">
        <v>2</v>
      </c>
      <c r="M337">
        <v>4</v>
      </c>
    </row>
    <row r="338" spans="1:13">
      <c r="A338">
        <v>29</v>
      </c>
      <c r="B338" t="s">
        <v>13</v>
      </c>
      <c r="C338" t="s">
        <v>18</v>
      </c>
      <c r="D338">
        <v>8</v>
      </c>
      <c r="E338">
        <v>4</v>
      </c>
      <c r="F338" t="s">
        <v>20</v>
      </c>
      <c r="G338">
        <v>2</v>
      </c>
      <c r="H338">
        <v>1</v>
      </c>
      <c r="I338" t="s">
        <v>19</v>
      </c>
      <c r="J338">
        <v>2119</v>
      </c>
      <c r="K338">
        <v>1</v>
      </c>
      <c r="L338">
        <v>2</v>
      </c>
      <c r="M338">
        <v>7</v>
      </c>
    </row>
    <row r="339" spans="1:13">
      <c r="A339">
        <v>29</v>
      </c>
      <c r="B339" t="s">
        <v>17</v>
      </c>
      <c r="C339" t="s">
        <v>18</v>
      </c>
      <c r="D339">
        <v>9</v>
      </c>
      <c r="E339">
        <v>5</v>
      </c>
      <c r="F339" t="s">
        <v>20</v>
      </c>
      <c r="G339">
        <v>2</v>
      </c>
      <c r="H339">
        <v>4</v>
      </c>
      <c r="I339" t="s">
        <v>16</v>
      </c>
      <c r="J339">
        <v>3983</v>
      </c>
      <c r="K339">
        <v>0</v>
      </c>
      <c r="L339">
        <v>3</v>
      </c>
      <c r="M339">
        <v>3</v>
      </c>
    </row>
    <row r="340" spans="1:13">
      <c r="A340">
        <v>30</v>
      </c>
      <c r="B340" t="s">
        <v>17</v>
      </c>
      <c r="C340" t="s">
        <v>14</v>
      </c>
      <c r="D340">
        <v>5</v>
      </c>
      <c r="E340">
        <v>3</v>
      </c>
      <c r="F340" t="s">
        <v>23</v>
      </c>
      <c r="G340">
        <v>4</v>
      </c>
      <c r="H340">
        <v>3</v>
      </c>
      <c r="I340" t="s">
        <v>22</v>
      </c>
      <c r="J340">
        <v>6118</v>
      </c>
      <c r="K340">
        <v>1</v>
      </c>
      <c r="L340">
        <v>3</v>
      </c>
      <c r="M340">
        <v>10</v>
      </c>
    </row>
    <row r="341" spans="1:13">
      <c r="A341">
        <v>27</v>
      </c>
      <c r="B341" t="s">
        <v>17</v>
      </c>
      <c r="C341" t="s">
        <v>14</v>
      </c>
      <c r="D341">
        <v>8</v>
      </c>
      <c r="E341">
        <v>4</v>
      </c>
      <c r="F341" t="s">
        <v>23</v>
      </c>
      <c r="G341">
        <v>2</v>
      </c>
      <c r="H341">
        <v>2</v>
      </c>
      <c r="I341" t="s">
        <v>19</v>
      </c>
      <c r="J341">
        <v>6214</v>
      </c>
      <c r="K341">
        <v>1</v>
      </c>
      <c r="L341">
        <v>3</v>
      </c>
      <c r="M341">
        <v>8</v>
      </c>
    </row>
    <row r="342" spans="1:13">
      <c r="A342">
        <v>37</v>
      </c>
      <c r="B342" t="s">
        <v>17</v>
      </c>
      <c r="C342" t="s">
        <v>18</v>
      </c>
      <c r="D342">
        <v>5</v>
      </c>
      <c r="E342">
        <v>2</v>
      </c>
      <c r="F342" t="s">
        <v>21</v>
      </c>
      <c r="G342">
        <v>4</v>
      </c>
      <c r="H342">
        <v>4</v>
      </c>
      <c r="I342" t="s">
        <v>22</v>
      </c>
      <c r="J342">
        <v>6347</v>
      </c>
      <c r="K342">
        <v>7</v>
      </c>
      <c r="L342">
        <v>2</v>
      </c>
      <c r="M342">
        <v>6</v>
      </c>
    </row>
    <row r="343" spans="1:13">
      <c r="A343">
        <v>38</v>
      </c>
      <c r="B343" t="s">
        <v>17</v>
      </c>
      <c r="C343" t="s">
        <v>18</v>
      </c>
      <c r="D343">
        <v>15</v>
      </c>
      <c r="E343">
        <v>2</v>
      </c>
      <c r="F343" t="s">
        <v>15</v>
      </c>
      <c r="G343">
        <v>3</v>
      </c>
      <c r="H343">
        <v>4</v>
      </c>
      <c r="I343" t="s">
        <v>22</v>
      </c>
      <c r="J343">
        <v>11510</v>
      </c>
      <c r="K343">
        <v>0</v>
      </c>
      <c r="L343">
        <v>3</v>
      </c>
      <c r="M343">
        <v>11</v>
      </c>
    </row>
    <row r="344" spans="1:13">
      <c r="A344">
        <v>31</v>
      </c>
      <c r="B344" t="s">
        <v>17</v>
      </c>
      <c r="C344" t="s">
        <v>18</v>
      </c>
      <c r="D344">
        <v>7</v>
      </c>
      <c r="E344">
        <v>4</v>
      </c>
      <c r="F344" t="s">
        <v>21</v>
      </c>
      <c r="G344">
        <v>3</v>
      </c>
      <c r="H344">
        <v>4</v>
      </c>
      <c r="I344" t="s">
        <v>16</v>
      </c>
      <c r="J344">
        <v>7143</v>
      </c>
      <c r="K344">
        <v>1</v>
      </c>
      <c r="L344">
        <v>2</v>
      </c>
      <c r="M344">
        <v>11</v>
      </c>
    </row>
    <row r="345" spans="1:13">
      <c r="A345">
        <v>29</v>
      </c>
      <c r="B345" t="s">
        <v>17</v>
      </c>
      <c r="C345" t="s">
        <v>14</v>
      </c>
      <c r="D345">
        <v>10</v>
      </c>
      <c r="E345">
        <v>1</v>
      </c>
      <c r="F345" t="s">
        <v>23</v>
      </c>
      <c r="G345">
        <v>4</v>
      </c>
      <c r="H345">
        <v>2</v>
      </c>
      <c r="I345" t="s">
        <v>22</v>
      </c>
      <c r="J345">
        <v>8268</v>
      </c>
      <c r="K345">
        <v>1</v>
      </c>
      <c r="L345">
        <v>3</v>
      </c>
      <c r="M345">
        <v>7</v>
      </c>
    </row>
    <row r="346" spans="1:13">
      <c r="A346">
        <v>35</v>
      </c>
      <c r="B346" t="s">
        <v>17</v>
      </c>
      <c r="C346" t="s">
        <v>18</v>
      </c>
      <c r="D346">
        <v>5</v>
      </c>
      <c r="E346">
        <v>4</v>
      </c>
      <c r="F346" t="s">
        <v>24</v>
      </c>
      <c r="G346">
        <v>3</v>
      </c>
      <c r="H346">
        <v>2</v>
      </c>
      <c r="I346" t="s">
        <v>16</v>
      </c>
      <c r="J346">
        <v>8095</v>
      </c>
      <c r="K346">
        <v>0</v>
      </c>
      <c r="L346">
        <v>3</v>
      </c>
      <c r="M346">
        <v>16</v>
      </c>
    </row>
    <row r="347" spans="1:13">
      <c r="A347">
        <v>23</v>
      </c>
      <c r="B347" t="s">
        <v>17</v>
      </c>
      <c r="C347" t="s">
        <v>18</v>
      </c>
      <c r="D347">
        <v>26</v>
      </c>
      <c r="E347">
        <v>1</v>
      </c>
      <c r="F347" t="s">
        <v>15</v>
      </c>
      <c r="G347">
        <v>3</v>
      </c>
      <c r="H347">
        <v>4</v>
      </c>
      <c r="I347" t="s">
        <v>22</v>
      </c>
      <c r="J347">
        <v>2904</v>
      </c>
      <c r="K347">
        <v>1</v>
      </c>
      <c r="L347">
        <v>2</v>
      </c>
      <c r="M347">
        <v>4</v>
      </c>
    </row>
    <row r="348" spans="1:13">
      <c r="A348">
        <v>41</v>
      </c>
      <c r="B348" t="s">
        <v>17</v>
      </c>
      <c r="C348" t="s">
        <v>18</v>
      </c>
      <c r="D348">
        <v>6</v>
      </c>
      <c r="E348">
        <v>3</v>
      </c>
      <c r="F348" t="s">
        <v>21</v>
      </c>
      <c r="G348">
        <v>4</v>
      </c>
      <c r="H348">
        <v>2</v>
      </c>
      <c r="I348" t="s">
        <v>16</v>
      </c>
      <c r="J348">
        <v>6032</v>
      </c>
      <c r="K348">
        <v>6</v>
      </c>
      <c r="L348">
        <v>3</v>
      </c>
      <c r="M348">
        <v>5</v>
      </c>
    </row>
    <row r="349" spans="1:13">
      <c r="A349">
        <v>47</v>
      </c>
      <c r="B349" t="s">
        <v>17</v>
      </c>
      <c r="C349" t="s">
        <v>14</v>
      </c>
      <c r="D349">
        <v>4</v>
      </c>
      <c r="E349">
        <v>1</v>
      </c>
      <c r="F349" t="s">
        <v>21</v>
      </c>
      <c r="G349">
        <v>2</v>
      </c>
      <c r="H349">
        <v>3</v>
      </c>
      <c r="I349" t="s">
        <v>16</v>
      </c>
      <c r="J349">
        <v>2976</v>
      </c>
      <c r="K349">
        <v>3</v>
      </c>
      <c r="L349">
        <v>3</v>
      </c>
      <c r="M349">
        <v>0</v>
      </c>
    </row>
    <row r="350" spans="1:13">
      <c r="A350">
        <v>42</v>
      </c>
      <c r="B350" t="s">
        <v>17</v>
      </c>
      <c r="C350" t="s">
        <v>18</v>
      </c>
      <c r="D350">
        <v>23</v>
      </c>
      <c r="E350">
        <v>5</v>
      </c>
      <c r="F350" t="s">
        <v>15</v>
      </c>
      <c r="G350">
        <v>1</v>
      </c>
      <c r="H350">
        <v>4</v>
      </c>
      <c r="I350" t="s">
        <v>16</v>
      </c>
      <c r="J350">
        <v>15992</v>
      </c>
      <c r="K350">
        <v>2</v>
      </c>
      <c r="L350">
        <v>3</v>
      </c>
      <c r="M350">
        <v>1</v>
      </c>
    </row>
    <row r="351" spans="1:13">
      <c r="A351">
        <v>29</v>
      </c>
      <c r="B351" t="s">
        <v>17</v>
      </c>
      <c r="C351" t="s">
        <v>14</v>
      </c>
      <c r="D351">
        <v>2</v>
      </c>
      <c r="E351">
        <v>3</v>
      </c>
      <c r="F351" t="s">
        <v>15</v>
      </c>
      <c r="G351">
        <v>4</v>
      </c>
      <c r="H351">
        <v>3</v>
      </c>
      <c r="I351" t="s">
        <v>19</v>
      </c>
      <c r="J351">
        <v>4649</v>
      </c>
      <c r="K351">
        <v>1</v>
      </c>
      <c r="L351">
        <v>2</v>
      </c>
      <c r="M351">
        <v>4</v>
      </c>
    </row>
    <row r="352" spans="1:13">
      <c r="A352">
        <v>42</v>
      </c>
      <c r="B352" t="s">
        <v>17</v>
      </c>
      <c r="C352" t="s">
        <v>25</v>
      </c>
      <c r="D352">
        <v>2</v>
      </c>
      <c r="E352">
        <v>1</v>
      </c>
      <c r="F352" t="s">
        <v>24</v>
      </c>
      <c r="G352">
        <v>3</v>
      </c>
      <c r="H352">
        <v>3</v>
      </c>
      <c r="I352" t="s">
        <v>22</v>
      </c>
      <c r="J352">
        <v>2696</v>
      </c>
      <c r="K352">
        <v>0</v>
      </c>
      <c r="L352">
        <v>3</v>
      </c>
      <c r="M352">
        <v>3</v>
      </c>
    </row>
    <row r="353" spans="1:13">
      <c r="A353">
        <v>32</v>
      </c>
      <c r="B353" t="s">
        <v>17</v>
      </c>
      <c r="C353" t="s">
        <v>18</v>
      </c>
      <c r="D353">
        <v>2</v>
      </c>
      <c r="E353">
        <v>3</v>
      </c>
      <c r="F353" t="s">
        <v>21</v>
      </c>
      <c r="G353">
        <v>3</v>
      </c>
      <c r="H353">
        <v>2</v>
      </c>
      <c r="I353" t="s">
        <v>19</v>
      </c>
      <c r="J353">
        <v>2370</v>
      </c>
      <c r="K353">
        <v>1</v>
      </c>
      <c r="L353">
        <v>3</v>
      </c>
      <c r="M353">
        <v>8</v>
      </c>
    </row>
    <row r="354" spans="1:13">
      <c r="A354">
        <v>48</v>
      </c>
      <c r="B354" t="s">
        <v>17</v>
      </c>
      <c r="C354" t="s">
        <v>14</v>
      </c>
      <c r="D354">
        <v>29</v>
      </c>
      <c r="E354">
        <v>1</v>
      </c>
      <c r="F354" t="s">
        <v>21</v>
      </c>
      <c r="G354">
        <v>1</v>
      </c>
      <c r="H354">
        <v>3</v>
      </c>
      <c r="I354" t="s">
        <v>19</v>
      </c>
      <c r="J354">
        <v>12504</v>
      </c>
      <c r="K354">
        <v>3</v>
      </c>
      <c r="L354">
        <v>1</v>
      </c>
      <c r="M354">
        <v>0</v>
      </c>
    </row>
    <row r="355" spans="1:13">
      <c r="A355">
        <v>37</v>
      </c>
      <c r="B355" t="s">
        <v>17</v>
      </c>
      <c r="C355" t="s">
        <v>18</v>
      </c>
      <c r="D355">
        <v>6</v>
      </c>
      <c r="E355">
        <v>3</v>
      </c>
      <c r="F355" t="s">
        <v>21</v>
      </c>
      <c r="G355">
        <v>3</v>
      </c>
      <c r="H355">
        <v>1</v>
      </c>
      <c r="I355" t="s">
        <v>22</v>
      </c>
      <c r="J355">
        <v>5974</v>
      </c>
      <c r="K355">
        <v>4</v>
      </c>
      <c r="L355">
        <v>3</v>
      </c>
      <c r="M355">
        <v>7</v>
      </c>
    </row>
    <row r="356" spans="1:13">
      <c r="A356">
        <v>30</v>
      </c>
      <c r="B356" t="s">
        <v>17</v>
      </c>
      <c r="C356" t="s">
        <v>14</v>
      </c>
      <c r="D356">
        <v>25</v>
      </c>
      <c r="E356">
        <v>2</v>
      </c>
      <c r="F356" t="s">
        <v>24</v>
      </c>
      <c r="G356">
        <v>4</v>
      </c>
      <c r="H356">
        <v>3</v>
      </c>
      <c r="I356" t="s">
        <v>19</v>
      </c>
      <c r="J356">
        <v>4736</v>
      </c>
      <c r="K356">
        <v>7</v>
      </c>
      <c r="L356">
        <v>4</v>
      </c>
      <c r="M356">
        <v>2</v>
      </c>
    </row>
    <row r="357" spans="1:13">
      <c r="A357">
        <v>26</v>
      </c>
      <c r="B357" t="s">
        <v>17</v>
      </c>
      <c r="C357" t="s">
        <v>14</v>
      </c>
      <c r="D357">
        <v>1</v>
      </c>
      <c r="E357">
        <v>3</v>
      </c>
      <c r="F357" t="s">
        <v>15</v>
      </c>
      <c r="G357">
        <v>3</v>
      </c>
      <c r="H357">
        <v>3</v>
      </c>
      <c r="I357" t="s">
        <v>19</v>
      </c>
      <c r="J357">
        <v>5296</v>
      </c>
      <c r="K357">
        <v>1</v>
      </c>
      <c r="L357">
        <v>3</v>
      </c>
      <c r="M357">
        <v>8</v>
      </c>
    </row>
    <row r="358" spans="1:13">
      <c r="A358">
        <v>42</v>
      </c>
      <c r="B358" t="s">
        <v>17</v>
      </c>
      <c r="C358" t="s">
        <v>18</v>
      </c>
      <c r="D358">
        <v>2</v>
      </c>
      <c r="E358">
        <v>4</v>
      </c>
      <c r="F358" t="s">
        <v>20</v>
      </c>
      <c r="G358">
        <v>1</v>
      </c>
      <c r="H358">
        <v>4</v>
      </c>
      <c r="I358" t="s">
        <v>16</v>
      </c>
      <c r="J358">
        <v>6781</v>
      </c>
      <c r="K358">
        <v>3</v>
      </c>
      <c r="L358">
        <v>3</v>
      </c>
      <c r="M358">
        <v>1</v>
      </c>
    </row>
    <row r="359" spans="1:13">
      <c r="A359">
        <v>21</v>
      </c>
      <c r="B359" t="s">
        <v>13</v>
      </c>
      <c r="C359" t="s">
        <v>14</v>
      </c>
      <c r="D359">
        <v>1</v>
      </c>
      <c r="E359">
        <v>1</v>
      </c>
      <c r="F359" t="s">
        <v>24</v>
      </c>
      <c r="G359">
        <v>1</v>
      </c>
      <c r="H359">
        <v>2</v>
      </c>
      <c r="I359" t="s">
        <v>16</v>
      </c>
      <c r="J359">
        <v>2174</v>
      </c>
      <c r="K359">
        <v>1</v>
      </c>
      <c r="L359">
        <v>3</v>
      </c>
      <c r="M359">
        <v>3</v>
      </c>
    </row>
    <row r="360" spans="1:13">
      <c r="A360">
        <v>36</v>
      </c>
      <c r="B360" t="s">
        <v>17</v>
      </c>
      <c r="C360" t="s">
        <v>14</v>
      </c>
      <c r="D360">
        <v>1</v>
      </c>
      <c r="E360">
        <v>5</v>
      </c>
      <c r="F360" t="s">
        <v>21</v>
      </c>
      <c r="G360">
        <v>4</v>
      </c>
      <c r="H360">
        <v>4</v>
      </c>
      <c r="I360" t="s">
        <v>16</v>
      </c>
      <c r="J360">
        <v>6653</v>
      </c>
      <c r="K360">
        <v>4</v>
      </c>
      <c r="L360">
        <v>3</v>
      </c>
      <c r="M360">
        <v>1</v>
      </c>
    </row>
    <row r="361" spans="1:13">
      <c r="A361">
        <v>36</v>
      </c>
      <c r="B361" t="s">
        <v>17</v>
      </c>
      <c r="C361" t="s">
        <v>14</v>
      </c>
      <c r="D361">
        <v>3</v>
      </c>
      <c r="E361">
        <v>4</v>
      </c>
      <c r="F361" t="s">
        <v>21</v>
      </c>
      <c r="G361">
        <v>1</v>
      </c>
      <c r="H361">
        <v>4</v>
      </c>
      <c r="I361" t="s">
        <v>19</v>
      </c>
      <c r="J361">
        <v>9699</v>
      </c>
      <c r="K361">
        <v>4</v>
      </c>
      <c r="L361">
        <v>3</v>
      </c>
      <c r="M361">
        <v>13</v>
      </c>
    </row>
    <row r="362" spans="1:13">
      <c r="A362">
        <v>57</v>
      </c>
      <c r="B362" t="s">
        <v>17</v>
      </c>
      <c r="C362" t="s">
        <v>18</v>
      </c>
      <c r="D362">
        <v>1</v>
      </c>
      <c r="E362">
        <v>4</v>
      </c>
      <c r="F362" t="s">
        <v>21</v>
      </c>
      <c r="G362">
        <v>4</v>
      </c>
      <c r="H362">
        <v>3</v>
      </c>
      <c r="I362" t="s">
        <v>19</v>
      </c>
      <c r="J362">
        <v>6755</v>
      </c>
      <c r="K362">
        <v>2</v>
      </c>
      <c r="L362">
        <v>3</v>
      </c>
      <c r="M362">
        <v>3</v>
      </c>
    </row>
    <row r="363" spans="1:13">
      <c r="A363">
        <v>40</v>
      </c>
      <c r="B363" t="s">
        <v>17</v>
      </c>
      <c r="C363" t="s">
        <v>18</v>
      </c>
      <c r="D363">
        <v>10</v>
      </c>
      <c r="E363">
        <v>4</v>
      </c>
      <c r="F363" t="s">
        <v>15</v>
      </c>
      <c r="G363">
        <v>4</v>
      </c>
      <c r="H363">
        <v>3</v>
      </c>
      <c r="I363" t="s">
        <v>19</v>
      </c>
      <c r="J363">
        <v>2213</v>
      </c>
      <c r="K363">
        <v>3</v>
      </c>
      <c r="L363">
        <v>3</v>
      </c>
      <c r="M363">
        <v>7</v>
      </c>
    </row>
    <row r="364" spans="1:13">
      <c r="A364">
        <v>21</v>
      </c>
      <c r="B364" t="s">
        <v>17</v>
      </c>
      <c r="C364" t="s">
        <v>14</v>
      </c>
      <c r="D364">
        <v>9</v>
      </c>
      <c r="E364">
        <v>2</v>
      </c>
      <c r="F364" t="s">
        <v>21</v>
      </c>
      <c r="G364">
        <v>1</v>
      </c>
      <c r="H364">
        <v>4</v>
      </c>
      <c r="I364" t="s">
        <v>16</v>
      </c>
      <c r="J364">
        <v>2610</v>
      </c>
      <c r="K364">
        <v>1</v>
      </c>
      <c r="L364">
        <v>2</v>
      </c>
      <c r="M364">
        <v>3</v>
      </c>
    </row>
    <row r="365" spans="1:13">
      <c r="A365">
        <v>33</v>
      </c>
      <c r="B365" t="s">
        <v>13</v>
      </c>
      <c r="C365" t="s">
        <v>14</v>
      </c>
      <c r="D365">
        <v>5</v>
      </c>
      <c r="E365">
        <v>3</v>
      </c>
      <c r="F365" t="s">
        <v>23</v>
      </c>
      <c r="G365">
        <v>4</v>
      </c>
      <c r="H365">
        <v>3</v>
      </c>
      <c r="I365" t="s">
        <v>16</v>
      </c>
      <c r="J365">
        <v>2851</v>
      </c>
      <c r="K365">
        <v>1</v>
      </c>
      <c r="L365">
        <v>3</v>
      </c>
      <c r="M365">
        <v>1</v>
      </c>
    </row>
    <row r="366" spans="1:13">
      <c r="A366">
        <v>37</v>
      </c>
      <c r="B366" t="s">
        <v>17</v>
      </c>
      <c r="C366" t="s">
        <v>18</v>
      </c>
      <c r="D366">
        <v>10</v>
      </c>
      <c r="E366">
        <v>3</v>
      </c>
      <c r="F366" t="s">
        <v>21</v>
      </c>
      <c r="G366">
        <v>3</v>
      </c>
      <c r="H366">
        <v>1</v>
      </c>
      <c r="I366" t="s">
        <v>19</v>
      </c>
      <c r="J366">
        <v>3452</v>
      </c>
      <c r="K366">
        <v>6</v>
      </c>
      <c r="L366">
        <v>3</v>
      </c>
      <c r="M366">
        <v>5</v>
      </c>
    </row>
    <row r="367" spans="1:13">
      <c r="A367">
        <v>46</v>
      </c>
      <c r="B367" t="s">
        <v>17</v>
      </c>
      <c r="C367" t="s">
        <v>18</v>
      </c>
      <c r="D367">
        <v>7</v>
      </c>
      <c r="E367">
        <v>4</v>
      </c>
      <c r="F367" t="s">
        <v>21</v>
      </c>
      <c r="G367">
        <v>3</v>
      </c>
      <c r="H367">
        <v>3</v>
      </c>
      <c r="I367" t="s">
        <v>19</v>
      </c>
      <c r="J367">
        <v>5258</v>
      </c>
      <c r="K367">
        <v>2</v>
      </c>
      <c r="L367">
        <v>4</v>
      </c>
      <c r="M367">
        <v>1</v>
      </c>
    </row>
    <row r="368" spans="1:13">
      <c r="A368">
        <v>41</v>
      </c>
      <c r="B368" t="s">
        <v>13</v>
      </c>
      <c r="C368" t="s">
        <v>14</v>
      </c>
      <c r="D368">
        <v>4</v>
      </c>
      <c r="E368">
        <v>3</v>
      </c>
      <c r="F368" t="s">
        <v>23</v>
      </c>
      <c r="G368">
        <v>1</v>
      </c>
      <c r="H368">
        <v>2</v>
      </c>
      <c r="I368" t="s">
        <v>16</v>
      </c>
      <c r="J368">
        <v>9355</v>
      </c>
      <c r="K368">
        <v>1</v>
      </c>
      <c r="L368">
        <v>3</v>
      </c>
      <c r="M368">
        <v>8</v>
      </c>
    </row>
    <row r="369" spans="1:13">
      <c r="A369">
        <v>50</v>
      </c>
      <c r="B369" t="s">
        <v>17</v>
      </c>
      <c r="C369" t="s">
        <v>18</v>
      </c>
      <c r="D369">
        <v>10</v>
      </c>
      <c r="E369">
        <v>3</v>
      </c>
      <c r="F369" t="s">
        <v>24</v>
      </c>
      <c r="G369">
        <v>4</v>
      </c>
      <c r="H369">
        <v>4</v>
      </c>
      <c r="I369" t="s">
        <v>16</v>
      </c>
      <c r="J369">
        <v>10496</v>
      </c>
      <c r="K369">
        <v>6</v>
      </c>
      <c r="L369">
        <v>3</v>
      </c>
      <c r="M369">
        <v>4</v>
      </c>
    </row>
    <row r="370" spans="1:13">
      <c r="A370">
        <v>40</v>
      </c>
      <c r="B370" t="s">
        <v>13</v>
      </c>
      <c r="C370" t="s">
        <v>14</v>
      </c>
      <c r="D370">
        <v>22</v>
      </c>
      <c r="E370">
        <v>2</v>
      </c>
      <c r="F370" t="s">
        <v>23</v>
      </c>
      <c r="G370">
        <v>3</v>
      </c>
      <c r="H370">
        <v>3</v>
      </c>
      <c r="I370" t="s">
        <v>19</v>
      </c>
      <c r="J370">
        <v>6380</v>
      </c>
      <c r="K370">
        <v>2</v>
      </c>
      <c r="L370">
        <v>3</v>
      </c>
      <c r="M370">
        <v>6</v>
      </c>
    </row>
    <row r="371" spans="1:13">
      <c r="A371">
        <v>31</v>
      </c>
      <c r="B371" t="s">
        <v>17</v>
      </c>
      <c r="C371" t="s">
        <v>18</v>
      </c>
      <c r="D371">
        <v>9</v>
      </c>
      <c r="E371">
        <v>4</v>
      </c>
      <c r="F371" t="s">
        <v>15</v>
      </c>
      <c r="G371">
        <v>3</v>
      </c>
      <c r="H371">
        <v>2</v>
      </c>
      <c r="I371" t="s">
        <v>16</v>
      </c>
      <c r="J371">
        <v>2657</v>
      </c>
      <c r="K371">
        <v>0</v>
      </c>
      <c r="L371">
        <v>3</v>
      </c>
      <c r="M371">
        <v>2</v>
      </c>
    </row>
    <row r="372" spans="1:13">
      <c r="A372">
        <v>21</v>
      </c>
      <c r="B372" t="s">
        <v>13</v>
      </c>
      <c r="C372" t="s">
        <v>14</v>
      </c>
      <c r="D372">
        <v>12</v>
      </c>
      <c r="E372">
        <v>3</v>
      </c>
      <c r="F372" t="s">
        <v>15</v>
      </c>
      <c r="G372">
        <v>3</v>
      </c>
      <c r="H372">
        <v>2</v>
      </c>
      <c r="I372" t="s">
        <v>16</v>
      </c>
      <c r="J372">
        <v>2716</v>
      </c>
      <c r="K372">
        <v>1</v>
      </c>
      <c r="L372">
        <v>3</v>
      </c>
      <c r="M372">
        <v>1</v>
      </c>
    </row>
    <row r="373" spans="1:13">
      <c r="A373">
        <v>29</v>
      </c>
      <c r="B373" t="s">
        <v>17</v>
      </c>
      <c r="C373" t="s">
        <v>18</v>
      </c>
      <c r="D373">
        <v>23</v>
      </c>
      <c r="E373">
        <v>3</v>
      </c>
      <c r="F373" t="s">
        <v>15</v>
      </c>
      <c r="G373">
        <v>4</v>
      </c>
      <c r="H373">
        <v>4</v>
      </c>
      <c r="I373" t="s">
        <v>16</v>
      </c>
      <c r="J373">
        <v>2201</v>
      </c>
      <c r="K373">
        <v>9</v>
      </c>
      <c r="L373">
        <v>3</v>
      </c>
      <c r="M373">
        <v>3</v>
      </c>
    </row>
    <row r="374" spans="1:13">
      <c r="A374">
        <v>35</v>
      </c>
      <c r="B374" t="s">
        <v>17</v>
      </c>
      <c r="C374" t="s">
        <v>18</v>
      </c>
      <c r="D374">
        <v>9</v>
      </c>
      <c r="E374">
        <v>4</v>
      </c>
      <c r="F374" t="s">
        <v>15</v>
      </c>
      <c r="G374">
        <v>3</v>
      </c>
      <c r="H374">
        <v>2</v>
      </c>
      <c r="I374" t="s">
        <v>16</v>
      </c>
      <c r="J374">
        <v>6540</v>
      </c>
      <c r="K374">
        <v>9</v>
      </c>
      <c r="L374">
        <v>3</v>
      </c>
      <c r="M374">
        <v>1</v>
      </c>
    </row>
    <row r="375" spans="1:13">
      <c r="A375">
        <v>27</v>
      </c>
      <c r="B375" t="s">
        <v>17</v>
      </c>
      <c r="C375" t="s">
        <v>18</v>
      </c>
      <c r="D375">
        <v>1</v>
      </c>
      <c r="E375">
        <v>2</v>
      </c>
      <c r="F375" t="s">
        <v>21</v>
      </c>
      <c r="G375">
        <v>4</v>
      </c>
      <c r="H375">
        <v>2</v>
      </c>
      <c r="I375" t="s">
        <v>22</v>
      </c>
      <c r="J375">
        <v>3816</v>
      </c>
      <c r="K375">
        <v>1</v>
      </c>
      <c r="L375">
        <v>3</v>
      </c>
      <c r="M375">
        <v>5</v>
      </c>
    </row>
    <row r="376" spans="1:13">
      <c r="A376">
        <v>28</v>
      </c>
      <c r="B376" t="s">
        <v>17</v>
      </c>
      <c r="C376" t="s">
        <v>14</v>
      </c>
      <c r="D376">
        <v>9</v>
      </c>
      <c r="E376">
        <v>4</v>
      </c>
      <c r="F376" t="s">
        <v>15</v>
      </c>
      <c r="G376">
        <v>2</v>
      </c>
      <c r="H376">
        <v>4</v>
      </c>
      <c r="I376" t="s">
        <v>16</v>
      </c>
      <c r="J376">
        <v>5253</v>
      </c>
      <c r="K376">
        <v>1</v>
      </c>
      <c r="L376">
        <v>3</v>
      </c>
      <c r="M376">
        <v>7</v>
      </c>
    </row>
    <row r="377" spans="1:13">
      <c r="A377">
        <v>49</v>
      </c>
      <c r="B377" t="s">
        <v>17</v>
      </c>
      <c r="C377" t="s">
        <v>18</v>
      </c>
      <c r="D377">
        <v>7</v>
      </c>
      <c r="E377">
        <v>3</v>
      </c>
      <c r="F377" t="s">
        <v>20</v>
      </c>
      <c r="G377">
        <v>2</v>
      </c>
      <c r="H377">
        <v>3</v>
      </c>
      <c r="I377" t="s">
        <v>16</v>
      </c>
      <c r="J377">
        <v>10965</v>
      </c>
      <c r="K377">
        <v>8</v>
      </c>
      <c r="L377">
        <v>3</v>
      </c>
      <c r="M377">
        <v>5</v>
      </c>
    </row>
    <row r="378" spans="1:13">
      <c r="A378">
        <v>51</v>
      </c>
      <c r="B378" t="s">
        <v>17</v>
      </c>
      <c r="C378" t="s">
        <v>14</v>
      </c>
      <c r="D378">
        <v>14</v>
      </c>
      <c r="E378">
        <v>2</v>
      </c>
      <c r="F378" t="s">
        <v>15</v>
      </c>
      <c r="G378">
        <v>3</v>
      </c>
      <c r="H378">
        <v>4</v>
      </c>
      <c r="I378" t="s">
        <v>19</v>
      </c>
      <c r="J378">
        <v>4936</v>
      </c>
      <c r="K378">
        <v>4</v>
      </c>
      <c r="L378">
        <v>2</v>
      </c>
      <c r="M378">
        <v>7</v>
      </c>
    </row>
    <row r="379" spans="1:13">
      <c r="A379">
        <v>36</v>
      </c>
      <c r="B379" t="s">
        <v>17</v>
      </c>
      <c r="C379" t="s">
        <v>18</v>
      </c>
      <c r="D379">
        <v>2</v>
      </c>
      <c r="E379">
        <v>3</v>
      </c>
      <c r="F379" t="s">
        <v>15</v>
      </c>
      <c r="G379">
        <v>4</v>
      </c>
      <c r="H379">
        <v>3</v>
      </c>
      <c r="I379" t="s">
        <v>19</v>
      </c>
      <c r="J379">
        <v>2543</v>
      </c>
      <c r="K379">
        <v>4</v>
      </c>
      <c r="L379">
        <v>3</v>
      </c>
      <c r="M379">
        <v>2</v>
      </c>
    </row>
    <row r="380" spans="1:13">
      <c r="A380">
        <v>34</v>
      </c>
      <c r="B380" t="s">
        <v>13</v>
      </c>
      <c r="C380" t="s">
        <v>14</v>
      </c>
      <c r="D380">
        <v>19</v>
      </c>
      <c r="E380">
        <v>3</v>
      </c>
      <c r="F380" t="s">
        <v>23</v>
      </c>
      <c r="G380">
        <v>1</v>
      </c>
      <c r="H380">
        <v>4</v>
      </c>
      <c r="I380" t="s">
        <v>16</v>
      </c>
      <c r="J380">
        <v>5304</v>
      </c>
      <c r="K380">
        <v>8</v>
      </c>
      <c r="L380">
        <v>2</v>
      </c>
      <c r="M380">
        <v>5</v>
      </c>
    </row>
    <row r="381" spans="1:13">
      <c r="A381">
        <v>55</v>
      </c>
      <c r="B381" t="s">
        <v>17</v>
      </c>
      <c r="C381" t="s">
        <v>18</v>
      </c>
      <c r="D381">
        <v>2</v>
      </c>
      <c r="E381">
        <v>3</v>
      </c>
      <c r="F381" t="s">
        <v>15</v>
      </c>
      <c r="G381">
        <v>3</v>
      </c>
      <c r="H381">
        <v>4</v>
      </c>
      <c r="I381" t="s">
        <v>16</v>
      </c>
      <c r="J381">
        <v>16659</v>
      </c>
      <c r="K381">
        <v>2</v>
      </c>
      <c r="L381">
        <v>3</v>
      </c>
      <c r="M381">
        <v>5</v>
      </c>
    </row>
    <row r="382" spans="1:13">
      <c r="A382">
        <v>24</v>
      </c>
      <c r="B382" t="s">
        <v>17</v>
      </c>
      <c r="C382" t="s">
        <v>14</v>
      </c>
      <c r="D382">
        <v>10</v>
      </c>
      <c r="E382">
        <v>4</v>
      </c>
      <c r="F382" t="s">
        <v>23</v>
      </c>
      <c r="G382">
        <v>4</v>
      </c>
      <c r="H382">
        <v>3</v>
      </c>
      <c r="I382" t="s">
        <v>22</v>
      </c>
      <c r="J382">
        <v>4260</v>
      </c>
      <c r="K382">
        <v>1</v>
      </c>
      <c r="L382">
        <v>4</v>
      </c>
      <c r="M382">
        <v>5</v>
      </c>
    </row>
    <row r="383" spans="1:13">
      <c r="A383">
        <v>30</v>
      </c>
      <c r="B383" t="s">
        <v>17</v>
      </c>
      <c r="C383" t="s">
        <v>14</v>
      </c>
      <c r="D383">
        <v>2</v>
      </c>
      <c r="E383">
        <v>1</v>
      </c>
      <c r="F383" t="s">
        <v>24</v>
      </c>
      <c r="G383">
        <v>3</v>
      </c>
      <c r="H383">
        <v>2</v>
      </c>
      <c r="I383" t="s">
        <v>19</v>
      </c>
      <c r="J383">
        <v>2476</v>
      </c>
      <c r="K383">
        <v>1</v>
      </c>
      <c r="L383">
        <v>3</v>
      </c>
      <c r="M383">
        <v>1</v>
      </c>
    </row>
    <row r="384" spans="1:13">
      <c r="A384">
        <v>26</v>
      </c>
      <c r="B384" t="s">
        <v>13</v>
      </c>
      <c r="C384" t="s">
        <v>18</v>
      </c>
      <c r="D384">
        <v>3</v>
      </c>
      <c r="E384">
        <v>1</v>
      </c>
      <c r="F384" t="s">
        <v>24</v>
      </c>
      <c r="G384">
        <v>3</v>
      </c>
      <c r="H384">
        <v>1</v>
      </c>
      <c r="I384" t="s">
        <v>16</v>
      </c>
      <c r="J384">
        <v>3102</v>
      </c>
      <c r="K384">
        <v>0</v>
      </c>
      <c r="L384">
        <v>3</v>
      </c>
      <c r="M384">
        <v>6</v>
      </c>
    </row>
    <row r="385" spans="1:13">
      <c r="A385">
        <v>22</v>
      </c>
      <c r="B385" t="s">
        <v>17</v>
      </c>
      <c r="C385" t="s">
        <v>18</v>
      </c>
      <c r="D385">
        <v>11</v>
      </c>
      <c r="E385">
        <v>3</v>
      </c>
      <c r="F385" t="s">
        <v>21</v>
      </c>
      <c r="G385">
        <v>1</v>
      </c>
      <c r="H385">
        <v>2</v>
      </c>
      <c r="I385" t="s">
        <v>19</v>
      </c>
      <c r="J385">
        <v>2244</v>
      </c>
      <c r="K385">
        <v>1</v>
      </c>
      <c r="L385">
        <v>3</v>
      </c>
      <c r="M385">
        <v>2</v>
      </c>
    </row>
    <row r="386" spans="1:13">
      <c r="A386">
        <v>36</v>
      </c>
      <c r="B386" t="s">
        <v>17</v>
      </c>
      <c r="C386" t="s">
        <v>14</v>
      </c>
      <c r="D386">
        <v>2</v>
      </c>
      <c r="E386">
        <v>2</v>
      </c>
      <c r="F386" t="s">
        <v>21</v>
      </c>
      <c r="G386">
        <v>2</v>
      </c>
      <c r="H386">
        <v>3</v>
      </c>
      <c r="I386" t="s">
        <v>19</v>
      </c>
      <c r="J386">
        <v>7596</v>
      </c>
      <c r="K386">
        <v>1</v>
      </c>
      <c r="L386">
        <v>3</v>
      </c>
      <c r="M386">
        <v>10</v>
      </c>
    </row>
    <row r="387" spans="1:13">
      <c r="A387">
        <v>30</v>
      </c>
      <c r="B387" t="s">
        <v>13</v>
      </c>
      <c r="C387" t="s">
        <v>18</v>
      </c>
      <c r="D387">
        <v>4</v>
      </c>
      <c r="E387">
        <v>3</v>
      </c>
      <c r="F387" t="s">
        <v>24</v>
      </c>
      <c r="G387">
        <v>3</v>
      </c>
      <c r="H387">
        <v>4</v>
      </c>
      <c r="I387" t="s">
        <v>16</v>
      </c>
      <c r="J387">
        <v>2285</v>
      </c>
      <c r="K387">
        <v>9</v>
      </c>
      <c r="L387">
        <v>3</v>
      </c>
      <c r="M387">
        <v>1</v>
      </c>
    </row>
    <row r="388" spans="1:13">
      <c r="A388">
        <v>37</v>
      </c>
      <c r="B388" t="s">
        <v>17</v>
      </c>
      <c r="C388" t="s">
        <v>18</v>
      </c>
      <c r="D388">
        <v>14</v>
      </c>
      <c r="E388">
        <v>3</v>
      </c>
      <c r="F388" t="s">
        <v>15</v>
      </c>
      <c r="G388">
        <v>4</v>
      </c>
      <c r="H388">
        <v>1</v>
      </c>
      <c r="I388" t="s">
        <v>22</v>
      </c>
      <c r="J388">
        <v>3034</v>
      </c>
      <c r="K388">
        <v>1</v>
      </c>
      <c r="L388">
        <v>2</v>
      </c>
      <c r="M388">
        <v>18</v>
      </c>
    </row>
    <row r="389" spans="1:13">
      <c r="A389">
        <v>40</v>
      </c>
      <c r="B389" t="s">
        <v>17</v>
      </c>
      <c r="C389" t="s">
        <v>14</v>
      </c>
      <c r="D389">
        <v>2</v>
      </c>
      <c r="E389">
        <v>2</v>
      </c>
      <c r="F389" t="s">
        <v>23</v>
      </c>
      <c r="G389">
        <v>4</v>
      </c>
      <c r="H389">
        <v>2</v>
      </c>
      <c r="I389" t="s">
        <v>22</v>
      </c>
      <c r="J389">
        <v>5715</v>
      </c>
      <c r="K389">
        <v>7</v>
      </c>
      <c r="L389">
        <v>3</v>
      </c>
      <c r="M389">
        <v>5</v>
      </c>
    </row>
    <row r="390" spans="1:13">
      <c r="A390">
        <v>42</v>
      </c>
      <c r="B390" t="s">
        <v>17</v>
      </c>
      <c r="C390" t="s">
        <v>18</v>
      </c>
      <c r="D390">
        <v>1</v>
      </c>
      <c r="E390">
        <v>4</v>
      </c>
      <c r="F390" t="s">
        <v>15</v>
      </c>
      <c r="G390">
        <v>2</v>
      </c>
      <c r="H390">
        <v>1</v>
      </c>
      <c r="I390" t="s">
        <v>22</v>
      </c>
      <c r="J390">
        <v>2576</v>
      </c>
      <c r="K390">
        <v>3</v>
      </c>
      <c r="L390">
        <v>3</v>
      </c>
      <c r="M390">
        <v>5</v>
      </c>
    </row>
    <row r="391" spans="1:13">
      <c r="A391">
        <v>37</v>
      </c>
      <c r="B391" t="s">
        <v>17</v>
      </c>
      <c r="C391" t="s">
        <v>18</v>
      </c>
      <c r="D391">
        <v>10</v>
      </c>
      <c r="E391">
        <v>4</v>
      </c>
      <c r="F391" t="s">
        <v>15</v>
      </c>
      <c r="G391">
        <v>3</v>
      </c>
      <c r="H391">
        <v>2</v>
      </c>
      <c r="I391" t="s">
        <v>16</v>
      </c>
      <c r="J391">
        <v>4197</v>
      </c>
      <c r="K391">
        <v>2</v>
      </c>
      <c r="L391">
        <v>2</v>
      </c>
      <c r="M391">
        <v>1</v>
      </c>
    </row>
    <row r="392" spans="1:13">
      <c r="A392">
        <v>43</v>
      </c>
      <c r="B392" t="s">
        <v>17</v>
      </c>
      <c r="C392" t="s">
        <v>18</v>
      </c>
      <c r="D392">
        <v>12</v>
      </c>
      <c r="E392">
        <v>3</v>
      </c>
      <c r="F392" t="s">
        <v>15</v>
      </c>
      <c r="G392">
        <v>1</v>
      </c>
      <c r="H392">
        <v>2</v>
      </c>
      <c r="I392" t="s">
        <v>22</v>
      </c>
      <c r="J392">
        <v>14336</v>
      </c>
      <c r="K392">
        <v>1</v>
      </c>
      <c r="L392">
        <v>3</v>
      </c>
      <c r="M392">
        <v>25</v>
      </c>
    </row>
    <row r="393" spans="1:13">
      <c r="A393">
        <v>40</v>
      </c>
      <c r="B393" t="s">
        <v>17</v>
      </c>
      <c r="C393" t="s">
        <v>18</v>
      </c>
      <c r="D393">
        <v>2</v>
      </c>
      <c r="E393">
        <v>3</v>
      </c>
      <c r="F393" t="s">
        <v>21</v>
      </c>
      <c r="G393">
        <v>2</v>
      </c>
      <c r="H393">
        <v>3</v>
      </c>
      <c r="I393" t="s">
        <v>19</v>
      </c>
      <c r="J393">
        <v>3448</v>
      </c>
      <c r="K393">
        <v>6</v>
      </c>
      <c r="L393">
        <v>3</v>
      </c>
      <c r="M393">
        <v>1</v>
      </c>
    </row>
    <row r="394" spans="1:13">
      <c r="A394">
        <v>54</v>
      </c>
      <c r="B394" t="s">
        <v>17</v>
      </c>
      <c r="C394" t="s">
        <v>18</v>
      </c>
      <c r="D394">
        <v>5</v>
      </c>
      <c r="E394">
        <v>2</v>
      </c>
      <c r="F394" t="s">
        <v>21</v>
      </c>
      <c r="G394">
        <v>1</v>
      </c>
      <c r="H394">
        <v>1</v>
      </c>
      <c r="I394" t="s">
        <v>19</v>
      </c>
      <c r="J394">
        <v>19406</v>
      </c>
      <c r="K394">
        <v>4</v>
      </c>
      <c r="L394">
        <v>2</v>
      </c>
      <c r="M394">
        <v>4</v>
      </c>
    </row>
    <row r="395" spans="1:13">
      <c r="A395">
        <v>34</v>
      </c>
      <c r="B395" t="s">
        <v>17</v>
      </c>
      <c r="C395" t="s">
        <v>14</v>
      </c>
      <c r="D395">
        <v>4</v>
      </c>
      <c r="E395">
        <v>4</v>
      </c>
      <c r="F395" t="s">
        <v>23</v>
      </c>
      <c r="G395">
        <v>3</v>
      </c>
      <c r="H395">
        <v>3</v>
      </c>
      <c r="I395" t="s">
        <v>19</v>
      </c>
      <c r="J395">
        <v>6538</v>
      </c>
      <c r="K395">
        <v>9</v>
      </c>
      <c r="L395">
        <v>3</v>
      </c>
      <c r="M395">
        <v>3</v>
      </c>
    </row>
    <row r="396" spans="1:13">
      <c r="A396">
        <v>31</v>
      </c>
      <c r="B396" t="s">
        <v>17</v>
      </c>
      <c r="C396" t="s">
        <v>18</v>
      </c>
      <c r="D396">
        <v>7</v>
      </c>
      <c r="E396">
        <v>2</v>
      </c>
      <c r="F396" t="s">
        <v>21</v>
      </c>
      <c r="G396">
        <v>2</v>
      </c>
      <c r="H396">
        <v>1</v>
      </c>
      <c r="I396" t="s">
        <v>19</v>
      </c>
      <c r="J396">
        <v>4306</v>
      </c>
      <c r="K396">
        <v>1</v>
      </c>
      <c r="L396">
        <v>1</v>
      </c>
      <c r="M396">
        <v>13</v>
      </c>
    </row>
    <row r="397" spans="1:13">
      <c r="A397">
        <v>43</v>
      </c>
      <c r="B397" t="s">
        <v>17</v>
      </c>
      <c r="C397" t="s">
        <v>18</v>
      </c>
      <c r="D397">
        <v>21</v>
      </c>
      <c r="E397">
        <v>3</v>
      </c>
      <c r="F397" t="s">
        <v>21</v>
      </c>
      <c r="G397">
        <v>4</v>
      </c>
      <c r="H397">
        <v>4</v>
      </c>
      <c r="I397" t="s">
        <v>19</v>
      </c>
      <c r="J397">
        <v>2258</v>
      </c>
      <c r="K397">
        <v>7</v>
      </c>
      <c r="L397">
        <v>3</v>
      </c>
      <c r="M397">
        <v>3</v>
      </c>
    </row>
    <row r="398" spans="1:13">
      <c r="A398">
        <v>43</v>
      </c>
      <c r="B398" t="s">
        <v>17</v>
      </c>
      <c r="C398" t="s">
        <v>18</v>
      </c>
      <c r="D398">
        <v>8</v>
      </c>
      <c r="E398">
        <v>4</v>
      </c>
      <c r="F398" t="s">
        <v>20</v>
      </c>
      <c r="G398">
        <v>3</v>
      </c>
      <c r="H398">
        <v>3</v>
      </c>
      <c r="I398" t="s">
        <v>22</v>
      </c>
      <c r="J398">
        <v>4522</v>
      </c>
      <c r="K398">
        <v>4</v>
      </c>
      <c r="L398">
        <v>3</v>
      </c>
      <c r="M398">
        <v>5</v>
      </c>
    </row>
    <row r="399" spans="1:13">
      <c r="A399">
        <v>25</v>
      </c>
      <c r="B399" t="s">
        <v>17</v>
      </c>
      <c r="C399" t="s">
        <v>14</v>
      </c>
      <c r="D399">
        <v>4</v>
      </c>
      <c r="E399">
        <v>2</v>
      </c>
      <c r="F399" t="s">
        <v>15</v>
      </c>
      <c r="G399">
        <v>2</v>
      </c>
      <c r="H399">
        <v>4</v>
      </c>
      <c r="I399" t="s">
        <v>16</v>
      </c>
      <c r="J399">
        <v>4487</v>
      </c>
      <c r="K399">
        <v>1</v>
      </c>
      <c r="L399">
        <v>3</v>
      </c>
      <c r="M399">
        <v>5</v>
      </c>
    </row>
    <row r="400" spans="1:13">
      <c r="A400">
        <v>37</v>
      </c>
      <c r="B400" t="s">
        <v>17</v>
      </c>
      <c r="C400" t="s">
        <v>18</v>
      </c>
      <c r="D400">
        <v>25</v>
      </c>
      <c r="E400">
        <v>5</v>
      </c>
      <c r="F400" t="s">
        <v>21</v>
      </c>
      <c r="G400">
        <v>2</v>
      </c>
      <c r="H400">
        <v>3</v>
      </c>
      <c r="I400" t="s">
        <v>19</v>
      </c>
      <c r="J400">
        <v>4449</v>
      </c>
      <c r="K400">
        <v>3</v>
      </c>
      <c r="L400">
        <v>3</v>
      </c>
      <c r="M400">
        <v>13</v>
      </c>
    </row>
    <row r="401" spans="1:13">
      <c r="A401">
        <v>31</v>
      </c>
      <c r="B401" t="s">
        <v>17</v>
      </c>
      <c r="C401" t="s">
        <v>18</v>
      </c>
      <c r="D401">
        <v>1</v>
      </c>
      <c r="E401">
        <v>2</v>
      </c>
      <c r="F401" t="s">
        <v>15</v>
      </c>
      <c r="G401">
        <v>4</v>
      </c>
      <c r="H401">
        <v>1</v>
      </c>
      <c r="I401" t="s">
        <v>19</v>
      </c>
      <c r="J401">
        <v>2218</v>
      </c>
      <c r="K401">
        <v>1</v>
      </c>
      <c r="L401">
        <v>3</v>
      </c>
      <c r="M401">
        <v>4</v>
      </c>
    </row>
    <row r="402" spans="1:13">
      <c r="A402">
        <v>39</v>
      </c>
      <c r="B402" t="s">
        <v>17</v>
      </c>
      <c r="C402" t="s">
        <v>18</v>
      </c>
      <c r="D402">
        <v>1</v>
      </c>
      <c r="E402">
        <v>1</v>
      </c>
      <c r="F402" t="s">
        <v>15</v>
      </c>
      <c r="G402">
        <v>2</v>
      </c>
      <c r="H402">
        <v>3</v>
      </c>
      <c r="I402" t="s">
        <v>22</v>
      </c>
      <c r="J402">
        <v>19197</v>
      </c>
      <c r="K402">
        <v>1</v>
      </c>
      <c r="L402">
        <v>3</v>
      </c>
      <c r="M402">
        <v>21</v>
      </c>
    </row>
    <row r="403" spans="1:13">
      <c r="A403">
        <v>56</v>
      </c>
      <c r="B403" t="s">
        <v>17</v>
      </c>
      <c r="C403" t="s">
        <v>14</v>
      </c>
      <c r="D403">
        <v>6</v>
      </c>
      <c r="E403">
        <v>3</v>
      </c>
      <c r="F403" t="s">
        <v>15</v>
      </c>
      <c r="G403">
        <v>3</v>
      </c>
      <c r="H403">
        <v>1</v>
      </c>
      <c r="I403" t="s">
        <v>19</v>
      </c>
      <c r="J403">
        <v>13212</v>
      </c>
      <c r="K403">
        <v>9</v>
      </c>
      <c r="L403">
        <v>2</v>
      </c>
      <c r="M403">
        <v>7</v>
      </c>
    </row>
    <row r="404" spans="1:13">
      <c r="A404">
        <v>30</v>
      </c>
      <c r="B404" t="s">
        <v>17</v>
      </c>
      <c r="C404" t="s">
        <v>14</v>
      </c>
      <c r="D404">
        <v>12</v>
      </c>
      <c r="E404">
        <v>3</v>
      </c>
      <c r="F404" t="s">
        <v>24</v>
      </c>
      <c r="G404">
        <v>2</v>
      </c>
      <c r="H404">
        <v>3</v>
      </c>
      <c r="I404" t="s">
        <v>16</v>
      </c>
      <c r="J404">
        <v>6577</v>
      </c>
      <c r="K404">
        <v>0</v>
      </c>
      <c r="L404">
        <v>3</v>
      </c>
      <c r="M404">
        <v>5</v>
      </c>
    </row>
    <row r="405" spans="1:13">
      <c r="A405">
        <v>41</v>
      </c>
      <c r="B405" t="s">
        <v>17</v>
      </c>
      <c r="C405" t="s">
        <v>14</v>
      </c>
      <c r="D405">
        <v>1</v>
      </c>
      <c r="E405">
        <v>3</v>
      </c>
      <c r="F405" t="s">
        <v>23</v>
      </c>
      <c r="G405">
        <v>2</v>
      </c>
      <c r="H405">
        <v>1</v>
      </c>
      <c r="I405" t="s">
        <v>19</v>
      </c>
      <c r="J405">
        <v>8392</v>
      </c>
      <c r="K405">
        <v>1</v>
      </c>
      <c r="L405">
        <v>3</v>
      </c>
      <c r="M405">
        <v>10</v>
      </c>
    </row>
    <row r="406" spans="1:13">
      <c r="A406">
        <v>28</v>
      </c>
      <c r="B406" t="s">
        <v>17</v>
      </c>
      <c r="C406" t="s">
        <v>18</v>
      </c>
      <c r="D406">
        <v>17</v>
      </c>
      <c r="E406">
        <v>2</v>
      </c>
      <c r="F406" t="s">
        <v>21</v>
      </c>
      <c r="G406">
        <v>3</v>
      </c>
      <c r="H406">
        <v>1</v>
      </c>
      <c r="I406" t="s">
        <v>22</v>
      </c>
      <c r="J406">
        <v>4558</v>
      </c>
      <c r="K406">
        <v>1</v>
      </c>
      <c r="L406">
        <v>3</v>
      </c>
      <c r="M406">
        <v>10</v>
      </c>
    </row>
    <row r="407" spans="1:13">
      <c r="A407">
        <v>25</v>
      </c>
      <c r="B407" t="s">
        <v>13</v>
      </c>
      <c r="C407" t="s">
        <v>18</v>
      </c>
      <c r="D407">
        <v>3</v>
      </c>
      <c r="E407">
        <v>3</v>
      </c>
      <c r="F407" t="s">
        <v>21</v>
      </c>
      <c r="G407">
        <v>1</v>
      </c>
      <c r="H407">
        <v>1</v>
      </c>
      <c r="I407" t="s">
        <v>19</v>
      </c>
      <c r="J407">
        <v>4031</v>
      </c>
      <c r="K407">
        <v>5</v>
      </c>
      <c r="L407">
        <v>3</v>
      </c>
      <c r="M407">
        <v>2</v>
      </c>
    </row>
    <row r="408" spans="1:13">
      <c r="A408">
        <v>52</v>
      </c>
      <c r="B408" t="s">
        <v>17</v>
      </c>
      <c r="C408" t="s">
        <v>18</v>
      </c>
      <c r="D408">
        <v>3</v>
      </c>
      <c r="E408">
        <v>3</v>
      </c>
      <c r="F408" t="s">
        <v>21</v>
      </c>
      <c r="G408">
        <v>4</v>
      </c>
      <c r="H408">
        <v>3</v>
      </c>
      <c r="I408" t="s">
        <v>19</v>
      </c>
      <c r="J408">
        <v>7969</v>
      </c>
      <c r="K408">
        <v>2</v>
      </c>
      <c r="L408">
        <v>3</v>
      </c>
      <c r="M408">
        <v>5</v>
      </c>
    </row>
    <row r="409" spans="1:13">
      <c r="A409">
        <v>45</v>
      </c>
      <c r="B409" t="s">
        <v>17</v>
      </c>
      <c r="C409" t="s">
        <v>18</v>
      </c>
      <c r="D409">
        <v>10</v>
      </c>
      <c r="E409">
        <v>2</v>
      </c>
      <c r="F409" t="s">
        <v>15</v>
      </c>
      <c r="G409">
        <v>1</v>
      </c>
      <c r="H409">
        <v>4</v>
      </c>
      <c r="I409" t="s">
        <v>19</v>
      </c>
      <c r="J409">
        <v>2654</v>
      </c>
      <c r="K409">
        <v>3</v>
      </c>
      <c r="L409">
        <v>2</v>
      </c>
      <c r="M409">
        <v>2</v>
      </c>
    </row>
    <row r="410" spans="1:13">
      <c r="A410">
        <v>52</v>
      </c>
      <c r="B410" t="s">
        <v>17</v>
      </c>
      <c r="C410" t="s">
        <v>18</v>
      </c>
      <c r="D410">
        <v>4</v>
      </c>
      <c r="E410">
        <v>2</v>
      </c>
      <c r="F410" t="s">
        <v>15</v>
      </c>
      <c r="G410">
        <v>4</v>
      </c>
      <c r="H410">
        <v>4</v>
      </c>
      <c r="I410" t="s">
        <v>19</v>
      </c>
      <c r="J410">
        <v>16555</v>
      </c>
      <c r="K410">
        <v>2</v>
      </c>
      <c r="L410">
        <v>1</v>
      </c>
      <c r="M410">
        <v>5</v>
      </c>
    </row>
    <row r="411" spans="1:13">
      <c r="A411">
        <v>42</v>
      </c>
      <c r="B411" t="s">
        <v>17</v>
      </c>
      <c r="C411" t="s">
        <v>18</v>
      </c>
      <c r="D411">
        <v>29</v>
      </c>
      <c r="E411">
        <v>2</v>
      </c>
      <c r="F411" t="s">
        <v>15</v>
      </c>
      <c r="G411">
        <v>1</v>
      </c>
      <c r="H411">
        <v>3</v>
      </c>
      <c r="I411" t="s">
        <v>22</v>
      </c>
      <c r="J411">
        <v>4556</v>
      </c>
      <c r="K411">
        <v>2</v>
      </c>
      <c r="L411">
        <v>3</v>
      </c>
      <c r="M411">
        <v>5</v>
      </c>
    </row>
    <row r="412" spans="1:13">
      <c r="A412">
        <v>30</v>
      </c>
      <c r="B412" t="s">
        <v>17</v>
      </c>
      <c r="C412" t="s">
        <v>18</v>
      </c>
      <c r="D412">
        <v>2</v>
      </c>
      <c r="E412">
        <v>3</v>
      </c>
      <c r="F412" t="s">
        <v>15</v>
      </c>
      <c r="G412">
        <v>3</v>
      </c>
      <c r="H412">
        <v>4</v>
      </c>
      <c r="I412" t="s">
        <v>16</v>
      </c>
      <c r="J412">
        <v>6091</v>
      </c>
      <c r="K412">
        <v>2</v>
      </c>
      <c r="L412">
        <v>3</v>
      </c>
      <c r="M412">
        <v>5</v>
      </c>
    </row>
    <row r="413" spans="1:13">
      <c r="A413">
        <v>60</v>
      </c>
      <c r="B413" t="s">
        <v>17</v>
      </c>
      <c r="C413" t="s">
        <v>18</v>
      </c>
      <c r="D413">
        <v>7</v>
      </c>
      <c r="E413">
        <v>3</v>
      </c>
      <c r="F413" t="s">
        <v>15</v>
      </c>
      <c r="G413">
        <v>1</v>
      </c>
      <c r="H413">
        <v>1</v>
      </c>
      <c r="I413" t="s">
        <v>19</v>
      </c>
      <c r="J413">
        <v>19566</v>
      </c>
      <c r="K413">
        <v>5</v>
      </c>
      <c r="L413">
        <v>1</v>
      </c>
      <c r="M413">
        <v>29</v>
      </c>
    </row>
    <row r="414" spans="1:13">
      <c r="A414">
        <v>46</v>
      </c>
      <c r="B414" t="s">
        <v>17</v>
      </c>
      <c r="C414" t="s">
        <v>18</v>
      </c>
      <c r="D414">
        <v>18</v>
      </c>
      <c r="E414">
        <v>3</v>
      </c>
      <c r="F414" t="s">
        <v>21</v>
      </c>
      <c r="G414">
        <v>3</v>
      </c>
      <c r="H414">
        <v>3</v>
      </c>
      <c r="I414" t="s">
        <v>22</v>
      </c>
      <c r="J414">
        <v>4810</v>
      </c>
      <c r="K414">
        <v>2</v>
      </c>
      <c r="L414">
        <v>2</v>
      </c>
      <c r="M414">
        <v>10</v>
      </c>
    </row>
    <row r="415" spans="1:13">
      <c r="A415">
        <v>42</v>
      </c>
      <c r="B415" t="s">
        <v>17</v>
      </c>
      <c r="C415" t="s">
        <v>18</v>
      </c>
      <c r="D415">
        <v>28</v>
      </c>
      <c r="E415">
        <v>4</v>
      </c>
      <c r="F415" t="s">
        <v>24</v>
      </c>
      <c r="G415">
        <v>4</v>
      </c>
      <c r="H415">
        <v>4</v>
      </c>
      <c r="I415" t="s">
        <v>19</v>
      </c>
      <c r="J415">
        <v>4523</v>
      </c>
      <c r="K415">
        <v>0</v>
      </c>
      <c r="L415">
        <v>4</v>
      </c>
      <c r="M415">
        <v>6</v>
      </c>
    </row>
    <row r="416" spans="1:13">
      <c r="A416">
        <v>24</v>
      </c>
      <c r="B416" t="s">
        <v>13</v>
      </c>
      <c r="C416" t="s">
        <v>14</v>
      </c>
      <c r="D416">
        <v>1</v>
      </c>
      <c r="E416">
        <v>1</v>
      </c>
      <c r="F416" t="s">
        <v>24</v>
      </c>
      <c r="G416">
        <v>1</v>
      </c>
      <c r="H416">
        <v>2</v>
      </c>
      <c r="I416" t="s">
        <v>16</v>
      </c>
      <c r="J416">
        <v>3202</v>
      </c>
      <c r="K416">
        <v>1</v>
      </c>
      <c r="L416">
        <v>3</v>
      </c>
      <c r="M416">
        <v>5</v>
      </c>
    </row>
    <row r="417" spans="1:13">
      <c r="A417">
        <v>34</v>
      </c>
      <c r="B417" t="s">
        <v>13</v>
      </c>
      <c r="C417" t="s">
        <v>14</v>
      </c>
      <c r="D417">
        <v>6</v>
      </c>
      <c r="E417">
        <v>2</v>
      </c>
      <c r="F417" t="s">
        <v>23</v>
      </c>
      <c r="G417">
        <v>4</v>
      </c>
      <c r="H417">
        <v>3</v>
      </c>
      <c r="I417" t="s">
        <v>22</v>
      </c>
      <c r="J417">
        <v>2351</v>
      </c>
      <c r="K417">
        <v>0</v>
      </c>
      <c r="L417">
        <v>2</v>
      </c>
      <c r="M417">
        <v>2</v>
      </c>
    </row>
    <row r="418" spans="1:13">
      <c r="A418">
        <v>38</v>
      </c>
      <c r="B418" t="s">
        <v>17</v>
      </c>
      <c r="C418" t="s">
        <v>18</v>
      </c>
      <c r="D418">
        <v>2</v>
      </c>
      <c r="E418">
        <v>2</v>
      </c>
      <c r="F418" t="s">
        <v>15</v>
      </c>
      <c r="G418">
        <v>4</v>
      </c>
      <c r="H418">
        <v>4</v>
      </c>
      <c r="I418" t="s">
        <v>19</v>
      </c>
      <c r="J418">
        <v>1702</v>
      </c>
      <c r="K418">
        <v>1</v>
      </c>
      <c r="L418">
        <v>3</v>
      </c>
      <c r="M418">
        <v>1</v>
      </c>
    </row>
    <row r="419" spans="1:13">
      <c r="A419">
        <v>40</v>
      </c>
      <c r="B419" t="s">
        <v>17</v>
      </c>
      <c r="C419" t="s">
        <v>14</v>
      </c>
      <c r="D419">
        <v>2</v>
      </c>
      <c r="E419">
        <v>4</v>
      </c>
      <c r="F419" t="s">
        <v>15</v>
      </c>
      <c r="G419">
        <v>3</v>
      </c>
      <c r="H419">
        <v>3</v>
      </c>
      <c r="I419" t="s">
        <v>19</v>
      </c>
      <c r="J419">
        <v>18041</v>
      </c>
      <c r="K419">
        <v>0</v>
      </c>
      <c r="L419">
        <v>3</v>
      </c>
      <c r="M419">
        <v>20</v>
      </c>
    </row>
    <row r="420" spans="1:13">
      <c r="A420">
        <v>26</v>
      </c>
      <c r="B420" t="s">
        <v>17</v>
      </c>
      <c r="C420" t="s">
        <v>18</v>
      </c>
      <c r="D420">
        <v>23</v>
      </c>
      <c r="E420">
        <v>3</v>
      </c>
      <c r="F420" t="s">
        <v>15</v>
      </c>
      <c r="G420">
        <v>1</v>
      </c>
      <c r="H420">
        <v>4</v>
      </c>
      <c r="I420" t="s">
        <v>22</v>
      </c>
      <c r="J420">
        <v>2886</v>
      </c>
      <c r="K420">
        <v>1</v>
      </c>
      <c r="L420">
        <v>1</v>
      </c>
      <c r="M420">
        <v>3</v>
      </c>
    </row>
    <row r="421" spans="1:13">
      <c r="A421">
        <v>30</v>
      </c>
      <c r="B421" t="s">
        <v>17</v>
      </c>
      <c r="C421" t="s">
        <v>18</v>
      </c>
      <c r="D421">
        <v>3</v>
      </c>
      <c r="E421">
        <v>3</v>
      </c>
      <c r="F421" t="s">
        <v>15</v>
      </c>
      <c r="G421">
        <v>3</v>
      </c>
      <c r="H421">
        <v>4</v>
      </c>
      <c r="I421" t="s">
        <v>19</v>
      </c>
      <c r="J421">
        <v>2097</v>
      </c>
      <c r="K421">
        <v>4</v>
      </c>
      <c r="L421">
        <v>1</v>
      </c>
      <c r="M421">
        <v>5</v>
      </c>
    </row>
    <row r="422" spans="1:13">
      <c r="A422">
        <v>29</v>
      </c>
      <c r="B422" t="s">
        <v>17</v>
      </c>
      <c r="C422" t="s">
        <v>18</v>
      </c>
      <c r="D422">
        <v>3</v>
      </c>
      <c r="E422">
        <v>4</v>
      </c>
      <c r="F422" t="s">
        <v>21</v>
      </c>
      <c r="G422">
        <v>2</v>
      </c>
      <c r="H422">
        <v>3</v>
      </c>
      <c r="I422" t="s">
        <v>19</v>
      </c>
      <c r="J422">
        <v>11935</v>
      </c>
      <c r="K422">
        <v>1</v>
      </c>
      <c r="L422">
        <v>3</v>
      </c>
      <c r="M422">
        <v>10</v>
      </c>
    </row>
    <row r="423" spans="1:13">
      <c r="A423">
        <v>29</v>
      </c>
      <c r="B423" t="s">
        <v>13</v>
      </c>
      <c r="C423" t="s">
        <v>18</v>
      </c>
      <c r="D423">
        <v>25</v>
      </c>
      <c r="E423">
        <v>5</v>
      </c>
      <c r="F423" t="s">
        <v>24</v>
      </c>
      <c r="G423">
        <v>3</v>
      </c>
      <c r="H423">
        <v>2</v>
      </c>
      <c r="I423" t="s">
        <v>19</v>
      </c>
      <c r="J423">
        <v>2546</v>
      </c>
      <c r="K423">
        <v>5</v>
      </c>
      <c r="L423">
        <v>4</v>
      </c>
      <c r="M423">
        <v>2</v>
      </c>
    </row>
    <row r="424" spans="1:13">
      <c r="A424">
        <v>19</v>
      </c>
      <c r="B424" t="s">
        <v>13</v>
      </c>
      <c r="C424" t="s">
        <v>25</v>
      </c>
      <c r="D424">
        <v>2</v>
      </c>
      <c r="E424">
        <v>2</v>
      </c>
      <c r="F424" t="s">
        <v>24</v>
      </c>
      <c r="G424">
        <v>1</v>
      </c>
      <c r="H424">
        <v>4</v>
      </c>
      <c r="I424" t="s">
        <v>16</v>
      </c>
      <c r="J424">
        <v>2564</v>
      </c>
      <c r="K424">
        <v>1</v>
      </c>
      <c r="L424">
        <v>4</v>
      </c>
      <c r="M424">
        <v>1</v>
      </c>
    </row>
    <row r="425" spans="1:13">
      <c r="A425">
        <v>30</v>
      </c>
      <c r="B425" t="s">
        <v>17</v>
      </c>
      <c r="C425" t="s">
        <v>14</v>
      </c>
      <c r="D425">
        <v>22</v>
      </c>
      <c r="E425">
        <v>4</v>
      </c>
      <c r="F425" t="s">
        <v>20</v>
      </c>
      <c r="G425">
        <v>3</v>
      </c>
      <c r="H425">
        <v>1</v>
      </c>
      <c r="I425" t="s">
        <v>19</v>
      </c>
      <c r="J425">
        <v>8412</v>
      </c>
      <c r="K425">
        <v>0</v>
      </c>
      <c r="L425">
        <v>3</v>
      </c>
      <c r="M425">
        <v>9</v>
      </c>
    </row>
    <row r="426" spans="1:13">
      <c r="A426">
        <v>57</v>
      </c>
      <c r="B426" t="s">
        <v>17</v>
      </c>
      <c r="C426" t="s">
        <v>14</v>
      </c>
      <c r="D426">
        <v>29</v>
      </c>
      <c r="E426">
        <v>3</v>
      </c>
      <c r="F426" t="s">
        <v>23</v>
      </c>
      <c r="G426">
        <v>1</v>
      </c>
      <c r="H426">
        <v>4</v>
      </c>
      <c r="I426" t="s">
        <v>22</v>
      </c>
      <c r="J426">
        <v>14118</v>
      </c>
      <c r="K426">
        <v>3</v>
      </c>
      <c r="L426">
        <v>2</v>
      </c>
      <c r="M426">
        <v>1</v>
      </c>
    </row>
    <row r="427" spans="1:13">
      <c r="A427">
        <v>50</v>
      </c>
      <c r="B427" t="s">
        <v>17</v>
      </c>
      <c r="C427" t="s">
        <v>18</v>
      </c>
      <c r="D427">
        <v>29</v>
      </c>
      <c r="E427">
        <v>4</v>
      </c>
      <c r="F427" t="s">
        <v>15</v>
      </c>
      <c r="G427">
        <v>2</v>
      </c>
      <c r="H427">
        <v>3</v>
      </c>
      <c r="I427" t="s">
        <v>19</v>
      </c>
      <c r="J427">
        <v>17046</v>
      </c>
      <c r="K427">
        <v>0</v>
      </c>
      <c r="L427">
        <v>3</v>
      </c>
      <c r="M427">
        <v>27</v>
      </c>
    </row>
    <row r="428" spans="1:13">
      <c r="A428">
        <v>30</v>
      </c>
      <c r="B428" t="s">
        <v>17</v>
      </c>
      <c r="C428" t="s">
        <v>18</v>
      </c>
      <c r="D428">
        <v>2</v>
      </c>
      <c r="E428">
        <v>3</v>
      </c>
      <c r="F428" t="s">
        <v>21</v>
      </c>
      <c r="G428">
        <v>3</v>
      </c>
      <c r="H428">
        <v>4</v>
      </c>
      <c r="I428" t="s">
        <v>16</v>
      </c>
      <c r="J428">
        <v>2564</v>
      </c>
      <c r="K428">
        <v>0</v>
      </c>
      <c r="L428">
        <v>2</v>
      </c>
      <c r="M428">
        <v>11</v>
      </c>
    </row>
    <row r="429" spans="1:13">
      <c r="A429">
        <v>60</v>
      </c>
      <c r="B429" t="s">
        <v>17</v>
      </c>
      <c r="C429" t="s">
        <v>14</v>
      </c>
      <c r="D429">
        <v>28</v>
      </c>
      <c r="E429">
        <v>3</v>
      </c>
      <c r="F429" t="s">
        <v>23</v>
      </c>
      <c r="G429">
        <v>3</v>
      </c>
      <c r="H429">
        <v>1</v>
      </c>
      <c r="I429" t="s">
        <v>19</v>
      </c>
      <c r="J429">
        <v>10266</v>
      </c>
      <c r="K429">
        <v>4</v>
      </c>
      <c r="L429">
        <v>4</v>
      </c>
      <c r="M429">
        <v>18</v>
      </c>
    </row>
    <row r="430" spans="1:13">
      <c r="A430">
        <v>47</v>
      </c>
      <c r="B430" t="s">
        <v>17</v>
      </c>
      <c r="C430" t="s">
        <v>18</v>
      </c>
      <c r="D430">
        <v>2</v>
      </c>
      <c r="E430">
        <v>2</v>
      </c>
      <c r="F430" t="s">
        <v>21</v>
      </c>
      <c r="G430">
        <v>1</v>
      </c>
      <c r="H430">
        <v>4</v>
      </c>
      <c r="I430" t="s">
        <v>22</v>
      </c>
      <c r="J430">
        <v>5070</v>
      </c>
      <c r="K430">
        <v>5</v>
      </c>
      <c r="L430">
        <v>3</v>
      </c>
      <c r="M430">
        <v>5</v>
      </c>
    </row>
    <row r="431" spans="1:13">
      <c r="A431">
        <v>46</v>
      </c>
      <c r="B431" t="s">
        <v>17</v>
      </c>
      <c r="C431" t="s">
        <v>18</v>
      </c>
      <c r="D431">
        <v>2</v>
      </c>
      <c r="E431">
        <v>3</v>
      </c>
      <c r="F431" t="s">
        <v>15</v>
      </c>
      <c r="G431">
        <v>1</v>
      </c>
      <c r="H431">
        <v>3</v>
      </c>
      <c r="I431" t="s">
        <v>19</v>
      </c>
      <c r="J431">
        <v>17861</v>
      </c>
      <c r="K431">
        <v>6</v>
      </c>
      <c r="L431">
        <v>1</v>
      </c>
      <c r="M431">
        <v>3</v>
      </c>
    </row>
    <row r="432" spans="1:13">
      <c r="A432">
        <v>35</v>
      </c>
      <c r="B432" t="s">
        <v>17</v>
      </c>
      <c r="C432" t="s">
        <v>18</v>
      </c>
      <c r="D432">
        <v>22</v>
      </c>
      <c r="E432">
        <v>3</v>
      </c>
      <c r="F432" t="s">
        <v>15</v>
      </c>
      <c r="G432">
        <v>4</v>
      </c>
      <c r="H432">
        <v>3</v>
      </c>
      <c r="I432" t="s">
        <v>16</v>
      </c>
      <c r="J432">
        <v>4230</v>
      </c>
      <c r="K432">
        <v>0</v>
      </c>
      <c r="L432">
        <v>3</v>
      </c>
      <c r="M432">
        <v>5</v>
      </c>
    </row>
    <row r="433" spans="1:13">
      <c r="A433">
        <v>54</v>
      </c>
      <c r="B433" t="s">
        <v>17</v>
      </c>
      <c r="C433" t="s">
        <v>18</v>
      </c>
      <c r="D433">
        <v>8</v>
      </c>
      <c r="E433">
        <v>4</v>
      </c>
      <c r="F433" t="s">
        <v>15</v>
      </c>
      <c r="G433">
        <v>3</v>
      </c>
      <c r="H433">
        <v>3</v>
      </c>
      <c r="I433" t="s">
        <v>16</v>
      </c>
      <c r="J433">
        <v>3780</v>
      </c>
      <c r="K433">
        <v>7</v>
      </c>
      <c r="L433">
        <v>3</v>
      </c>
      <c r="M433">
        <v>1</v>
      </c>
    </row>
    <row r="434" spans="1:13">
      <c r="A434">
        <v>34</v>
      </c>
      <c r="B434" t="s">
        <v>17</v>
      </c>
      <c r="C434" t="s">
        <v>18</v>
      </c>
      <c r="D434">
        <v>2</v>
      </c>
      <c r="E434">
        <v>4</v>
      </c>
      <c r="F434" t="s">
        <v>15</v>
      </c>
      <c r="G434">
        <v>4</v>
      </c>
      <c r="H434">
        <v>3</v>
      </c>
      <c r="I434" t="s">
        <v>22</v>
      </c>
      <c r="J434">
        <v>2768</v>
      </c>
      <c r="K434">
        <v>3</v>
      </c>
      <c r="L434">
        <v>3</v>
      </c>
      <c r="M434">
        <v>7</v>
      </c>
    </row>
    <row r="435" spans="1:13">
      <c r="A435">
        <v>46</v>
      </c>
      <c r="B435" t="s">
        <v>17</v>
      </c>
      <c r="C435" t="s">
        <v>14</v>
      </c>
      <c r="D435">
        <v>10</v>
      </c>
      <c r="E435">
        <v>3</v>
      </c>
      <c r="F435" t="s">
        <v>23</v>
      </c>
      <c r="G435">
        <v>3</v>
      </c>
      <c r="H435">
        <v>4</v>
      </c>
      <c r="I435" t="s">
        <v>19</v>
      </c>
      <c r="J435">
        <v>9071</v>
      </c>
      <c r="K435">
        <v>2</v>
      </c>
      <c r="L435">
        <v>3</v>
      </c>
      <c r="M435">
        <v>3</v>
      </c>
    </row>
    <row r="436" spans="1:13">
      <c r="A436">
        <v>31</v>
      </c>
      <c r="B436" t="s">
        <v>17</v>
      </c>
      <c r="C436" t="s">
        <v>18</v>
      </c>
      <c r="D436">
        <v>9</v>
      </c>
      <c r="E436">
        <v>1</v>
      </c>
      <c r="F436" t="s">
        <v>15</v>
      </c>
      <c r="G436">
        <v>3</v>
      </c>
      <c r="H436">
        <v>2</v>
      </c>
      <c r="I436" t="s">
        <v>22</v>
      </c>
      <c r="J436">
        <v>10648</v>
      </c>
      <c r="K436">
        <v>1</v>
      </c>
      <c r="L436">
        <v>4</v>
      </c>
      <c r="M436">
        <v>13</v>
      </c>
    </row>
    <row r="437" spans="1:13">
      <c r="A437">
        <v>33</v>
      </c>
      <c r="B437" t="s">
        <v>13</v>
      </c>
      <c r="C437" t="s">
        <v>18</v>
      </c>
      <c r="D437">
        <v>15</v>
      </c>
      <c r="E437">
        <v>1</v>
      </c>
      <c r="F437" t="s">
        <v>21</v>
      </c>
      <c r="G437">
        <v>2</v>
      </c>
      <c r="H437">
        <v>3</v>
      </c>
      <c r="I437" t="s">
        <v>19</v>
      </c>
      <c r="J437">
        <v>13610</v>
      </c>
      <c r="K437">
        <v>7</v>
      </c>
      <c r="L437">
        <v>4</v>
      </c>
      <c r="M437">
        <v>7</v>
      </c>
    </row>
    <row r="438" spans="1:13">
      <c r="A438">
        <v>33</v>
      </c>
      <c r="B438" t="s">
        <v>13</v>
      </c>
      <c r="C438" t="s">
        <v>18</v>
      </c>
      <c r="D438">
        <v>10</v>
      </c>
      <c r="E438">
        <v>1</v>
      </c>
      <c r="F438" t="s">
        <v>21</v>
      </c>
      <c r="G438">
        <v>1</v>
      </c>
      <c r="H438">
        <v>4</v>
      </c>
      <c r="I438" t="s">
        <v>22</v>
      </c>
      <c r="J438">
        <v>3408</v>
      </c>
      <c r="K438">
        <v>7</v>
      </c>
      <c r="L438">
        <v>3</v>
      </c>
      <c r="M438">
        <v>4</v>
      </c>
    </row>
    <row r="439" spans="1:13">
      <c r="A439">
        <v>30</v>
      </c>
      <c r="B439" t="s">
        <v>17</v>
      </c>
      <c r="C439" t="s">
        <v>14</v>
      </c>
      <c r="D439">
        <v>7</v>
      </c>
      <c r="E439">
        <v>1</v>
      </c>
      <c r="F439" t="s">
        <v>23</v>
      </c>
      <c r="G439">
        <v>4</v>
      </c>
      <c r="H439">
        <v>2</v>
      </c>
      <c r="I439" t="s">
        <v>16</v>
      </c>
      <c r="J439">
        <v>2983</v>
      </c>
      <c r="K439">
        <v>0</v>
      </c>
      <c r="L439">
        <v>3</v>
      </c>
      <c r="M439">
        <v>3</v>
      </c>
    </row>
    <row r="440" spans="1:13">
      <c r="A440">
        <v>35</v>
      </c>
      <c r="B440" t="s">
        <v>17</v>
      </c>
      <c r="C440" t="s">
        <v>18</v>
      </c>
      <c r="D440">
        <v>16</v>
      </c>
      <c r="E440">
        <v>3</v>
      </c>
      <c r="F440" t="s">
        <v>15</v>
      </c>
      <c r="G440">
        <v>4</v>
      </c>
      <c r="H440">
        <v>3</v>
      </c>
      <c r="I440" t="s">
        <v>19</v>
      </c>
      <c r="J440">
        <v>7632</v>
      </c>
      <c r="K440">
        <v>4</v>
      </c>
      <c r="L440">
        <v>3</v>
      </c>
      <c r="M440">
        <v>8</v>
      </c>
    </row>
    <row r="441" spans="1:13">
      <c r="A441">
        <v>31</v>
      </c>
      <c r="B441" t="s">
        <v>13</v>
      </c>
      <c r="C441" t="s">
        <v>18</v>
      </c>
      <c r="D441">
        <v>20</v>
      </c>
      <c r="E441">
        <v>3</v>
      </c>
      <c r="F441" t="s">
        <v>15</v>
      </c>
      <c r="G441">
        <v>1</v>
      </c>
      <c r="H441">
        <v>3</v>
      </c>
      <c r="I441" t="s">
        <v>19</v>
      </c>
      <c r="J441">
        <v>9824</v>
      </c>
      <c r="K441">
        <v>3</v>
      </c>
      <c r="L441">
        <v>3</v>
      </c>
      <c r="M441">
        <v>1</v>
      </c>
    </row>
    <row r="442" spans="1:13">
      <c r="A442">
        <v>34</v>
      </c>
      <c r="B442" t="s">
        <v>13</v>
      </c>
      <c r="C442" t="s">
        <v>25</v>
      </c>
      <c r="D442">
        <v>23</v>
      </c>
      <c r="E442">
        <v>3</v>
      </c>
      <c r="F442" t="s">
        <v>25</v>
      </c>
      <c r="G442">
        <v>2</v>
      </c>
      <c r="H442">
        <v>1</v>
      </c>
      <c r="I442" t="s">
        <v>22</v>
      </c>
      <c r="J442">
        <v>9950</v>
      </c>
      <c r="K442">
        <v>9</v>
      </c>
      <c r="L442">
        <v>3</v>
      </c>
      <c r="M442">
        <v>3</v>
      </c>
    </row>
    <row r="443" spans="1:13">
      <c r="A443">
        <v>42</v>
      </c>
      <c r="B443" t="s">
        <v>17</v>
      </c>
      <c r="C443" t="s">
        <v>18</v>
      </c>
      <c r="D443">
        <v>5</v>
      </c>
      <c r="E443">
        <v>2</v>
      </c>
      <c r="F443" t="s">
        <v>20</v>
      </c>
      <c r="G443">
        <v>2</v>
      </c>
      <c r="H443">
        <v>3</v>
      </c>
      <c r="I443" t="s">
        <v>19</v>
      </c>
      <c r="J443">
        <v>2093</v>
      </c>
      <c r="K443">
        <v>4</v>
      </c>
      <c r="L443">
        <v>3</v>
      </c>
      <c r="M443">
        <v>2</v>
      </c>
    </row>
    <row r="444" spans="1:13">
      <c r="A444">
        <v>36</v>
      </c>
      <c r="B444" t="s">
        <v>17</v>
      </c>
      <c r="C444" t="s">
        <v>14</v>
      </c>
      <c r="D444">
        <v>10</v>
      </c>
      <c r="E444">
        <v>4</v>
      </c>
      <c r="F444" t="s">
        <v>21</v>
      </c>
      <c r="G444">
        <v>2</v>
      </c>
      <c r="H444">
        <v>4</v>
      </c>
      <c r="I444" t="s">
        <v>16</v>
      </c>
      <c r="J444">
        <v>9980</v>
      </c>
      <c r="K444">
        <v>1</v>
      </c>
      <c r="L444">
        <v>2</v>
      </c>
      <c r="M444">
        <v>10</v>
      </c>
    </row>
    <row r="445" spans="1:13">
      <c r="A445">
        <v>22</v>
      </c>
      <c r="B445" t="s">
        <v>13</v>
      </c>
      <c r="C445" t="s">
        <v>18</v>
      </c>
      <c r="D445">
        <v>4</v>
      </c>
      <c r="E445">
        <v>1</v>
      </c>
      <c r="F445" t="s">
        <v>24</v>
      </c>
      <c r="G445">
        <v>3</v>
      </c>
      <c r="H445">
        <v>3</v>
      </c>
      <c r="I445" t="s">
        <v>16</v>
      </c>
      <c r="J445">
        <v>3894</v>
      </c>
      <c r="K445">
        <v>5</v>
      </c>
      <c r="L445">
        <v>3</v>
      </c>
      <c r="M445">
        <v>2</v>
      </c>
    </row>
    <row r="446" spans="1:13">
      <c r="A446">
        <v>48</v>
      </c>
      <c r="B446" t="s">
        <v>17</v>
      </c>
      <c r="C446" t="s">
        <v>14</v>
      </c>
      <c r="D446">
        <v>2</v>
      </c>
      <c r="E446">
        <v>5</v>
      </c>
      <c r="F446" t="s">
        <v>23</v>
      </c>
      <c r="G446">
        <v>2</v>
      </c>
      <c r="H446">
        <v>4</v>
      </c>
      <c r="I446" t="s">
        <v>19</v>
      </c>
      <c r="J446">
        <v>4051</v>
      </c>
      <c r="K446">
        <v>2</v>
      </c>
      <c r="L446">
        <v>3</v>
      </c>
      <c r="M446">
        <v>9</v>
      </c>
    </row>
    <row r="447" spans="1:13">
      <c r="A447">
        <v>55</v>
      </c>
      <c r="B447" t="s">
        <v>17</v>
      </c>
      <c r="C447" t="s">
        <v>14</v>
      </c>
      <c r="D447">
        <v>18</v>
      </c>
      <c r="E447">
        <v>5</v>
      </c>
      <c r="F447" t="s">
        <v>15</v>
      </c>
      <c r="G447">
        <v>1</v>
      </c>
      <c r="H447">
        <v>2</v>
      </c>
      <c r="I447" t="s">
        <v>16</v>
      </c>
      <c r="J447">
        <v>16835</v>
      </c>
      <c r="K447">
        <v>3</v>
      </c>
      <c r="L447">
        <v>3</v>
      </c>
      <c r="M447">
        <v>10</v>
      </c>
    </row>
    <row r="448" spans="1:13">
      <c r="A448">
        <v>41</v>
      </c>
      <c r="B448" t="s">
        <v>17</v>
      </c>
      <c r="C448" t="s">
        <v>14</v>
      </c>
      <c r="D448">
        <v>10</v>
      </c>
      <c r="E448">
        <v>2</v>
      </c>
      <c r="F448" t="s">
        <v>15</v>
      </c>
      <c r="G448">
        <v>4</v>
      </c>
      <c r="H448">
        <v>4</v>
      </c>
      <c r="I448" t="s">
        <v>16</v>
      </c>
      <c r="J448">
        <v>6230</v>
      </c>
      <c r="K448">
        <v>7</v>
      </c>
      <c r="L448">
        <v>3</v>
      </c>
      <c r="M448">
        <v>14</v>
      </c>
    </row>
    <row r="449" spans="1:13">
      <c r="A449">
        <v>35</v>
      </c>
      <c r="B449" t="s">
        <v>17</v>
      </c>
      <c r="C449" t="s">
        <v>14</v>
      </c>
      <c r="D449">
        <v>1</v>
      </c>
      <c r="E449">
        <v>3</v>
      </c>
      <c r="F449" t="s">
        <v>23</v>
      </c>
      <c r="G449">
        <v>2</v>
      </c>
      <c r="H449">
        <v>3</v>
      </c>
      <c r="I449" t="s">
        <v>19</v>
      </c>
      <c r="J449">
        <v>4717</v>
      </c>
      <c r="K449">
        <v>9</v>
      </c>
      <c r="L449">
        <v>3</v>
      </c>
      <c r="M449">
        <v>11</v>
      </c>
    </row>
    <row r="450" spans="1:13">
      <c r="A450">
        <v>40</v>
      </c>
      <c r="B450" t="s">
        <v>17</v>
      </c>
      <c r="C450" t="s">
        <v>18</v>
      </c>
      <c r="D450">
        <v>6</v>
      </c>
      <c r="E450">
        <v>3</v>
      </c>
      <c r="F450" t="s">
        <v>15</v>
      </c>
      <c r="G450">
        <v>2</v>
      </c>
      <c r="H450">
        <v>3</v>
      </c>
      <c r="I450" t="s">
        <v>16</v>
      </c>
      <c r="J450">
        <v>13237</v>
      </c>
      <c r="K450">
        <v>7</v>
      </c>
      <c r="L450">
        <v>3</v>
      </c>
      <c r="M450">
        <v>20</v>
      </c>
    </row>
    <row r="451" spans="1:13">
      <c r="A451">
        <v>39</v>
      </c>
      <c r="B451" t="s">
        <v>17</v>
      </c>
      <c r="C451" t="s">
        <v>18</v>
      </c>
      <c r="D451">
        <v>8</v>
      </c>
      <c r="E451">
        <v>1</v>
      </c>
      <c r="F451" t="s">
        <v>15</v>
      </c>
      <c r="G451">
        <v>3</v>
      </c>
      <c r="H451">
        <v>3</v>
      </c>
      <c r="I451" t="s">
        <v>19</v>
      </c>
      <c r="J451">
        <v>3755</v>
      </c>
      <c r="K451">
        <v>1</v>
      </c>
      <c r="L451">
        <v>3</v>
      </c>
      <c r="M451">
        <v>8</v>
      </c>
    </row>
    <row r="452" spans="1:13">
      <c r="A452">
        <v>31</v>
      </c>
      <c r="B452" t="s">
        <v>17</v>
      </c>
      <c r="C452" t="s">
        <v>14</v>
      </c>
      <c r="D452">
        <v>2</v>
      </c>
      <c r="E452">
        <v>1</v>
      </c>
      <c r="F452" t="s">
        <v>15</v>
      </c>
      <c r="G452">
        <v>2</v>
      </c>
      <c r="H452">
        <v>4</v>
      </c>
      <c r="I452" t="s">
        <v>16</v>
      </c>
      <c r="J452">
        <v>6582</v>
      </c>
      <c r="K452">
        <v>4</v>
      </c>
      <c r="L452">
        <v>4</v>
      </c>
      <c r="M452">
        <v>6</v>
      </c>
    </row>
    <row r="453" spans="1:13">
      <c r="A453">
        <v>42</v>
      </c>
      <c r="B453" t="s">
        <v>17</v>
      </c>
      <c r="C453" t="s">
        <v>18</v>
      </c>
      <c r="D453">
        <v>24</v>
      </c>
      <c r="E453">
        <v>3</v>
      </c>
      <c r="F453" t="s">
        <v>21</v>
      </c>
      <c r="G453">
        <v>4</v>
      </c>
      <c r="H453">
        <v>1</v>
      </c>
      <c r="I453" t="s">
        <v>19</v>
      </c>
      <c r="J453">
        <v>7406</v>
      </c>
      <c r="K453">
        <v>1</v>
      </c>
      <c r="L453">
        <v>2</v>
      </c>
      <c r="M453">
        <v>10</v>
      </c>
    </row>
    <row r="454" spans="1:13">
      <c r="A454">
        <v>45</v>
      </c>
      <c r="B454" t="s">
        <v>17</v>
      </c>
      <c r="C454" t="s">
        <v>14</v>
      </c>
      <c r="D454">
        <v>2</v>
      </c>
      <c r="E454">
        <v>3</v>
      </c>
      <c r="F454" t="s">
        <v>20</v>
      </c>
      <c r="G454">
        <v>4</v>
      </c>
      <c r="H454">
        <v>2</v>
      </c>
      <c r="I454" t="s">
        <v>19</v>
      </c>
      <c r="J454">
        <v>4805</v>
      </c>
      <c r="K454">
        <v>0</v>
      </c>
      <c r="L454">
        <v>4</v>
      </c>
      <c r="M454">
        <v>8</v>
      </c>
    </row>
    <row r="455" spans="1:13">
      <c r="A455">
        <v>26</v>
      </c>
      <c r="B455" t="s">
        <v>13</v>
      </c>
      <c r="C455" t="s">
        <v>25</v>
      </c>
      <c r="D455">
        <v>17</v>
      </c>
      <c r="E455">
        <v>4</v>
      </c>
      <c r="F455" t="s">
        <v>15</v>
      </c>
      <c r="G455">
        <v>2</v>
      </c>
      <c r="H455">
        <v>3</v>
      </c>
      <c r="I455" t="s">
        <v>22</v>
      </c>
      <c r="J455">
        <v>2741</v>
      </c>
      <c r="K455">
        <v>0</v>
      </c>
      <c r="L455">
        <v>2</v>
      </c>
      <c r="M455">
        <v>7</v>
      </c>
    </row>
    <row r="456" spans="1:13">
      <c r="A456">
        <v>29</v>
      </c>
      <c r="B456" t="s">
        <v>17</v>
      </c>
      <c r="C456" t="s">
        <v>18</v>
      </c>
      <c r="D456">
        <v>19</v>
      </c>
      <c r="E456">
        <v>3</v>
      </c>
      <c r="F456" t="s">
        <v>24</v>
      </c>
      <c r="G456">
        <v>4</v>
      </c>
      <c r="H456">
        <v>4</v>
      </c>
      <c r="I456" t="s">
        <v>22</v>
      </c>
      <c r="J456">
        <v>4262</v>
      </c>
      <c r="K456">
        <v>4</v>
      </c>
      <c r="L456">
        <v>4</v>
      </c>
      <c r="M456">
        <v>3</v>
      </c>
    </row>
    <row r="457" spans="1:13">
      <c r="A457">
        <v>33</v>
      </c>
      <c r="B457" t="s">
        <v>17</v>
      </c>
      <c r="C457" t="s">
        <v>18</v>
      </c>
      <c r="D457">
        <v>1</v>
      </c>
      <c r="E457">
        <v>5</v>
      </c>
      <c r="F457" t="s">
        <v>21</v>
      </c>
      <c r="G457">
        <v>1</v>
      </c>
      <c r="H457">
        <v>3</v>
      </c>
      <c r="I457" t="s">
        <v>22</v>
      </c>
      <c r="J457">
        <v>16184</v>
      </c>
      <c r="K457">
        <v>4</v>
      </c>
      <c r="L457">
        <v>3</v>
      </c>
      <c r="M457">
        <v>6</v>
      </c>
    </row>
    <row r="458" spans="1:13">
      <c r="A458">
        <v>31</v>
      </c>
      <c r="B458" t="s">
        <v>17</v>
      </c>
      <c r="C458" t="s">
        <v>14</v>
      </c>
      <c r="D458">
        <v>7</v>
      </c>
      <c r="E458">
        <v>3</v>
      </c>
      <c r="F458" t="s">
        <v>15</v>
      </c>
      <c r="G458">
        <v>3</v>
      </c>
      <c r="H458">
        <v>4</v>
      </c>
      <c r="I458" t="s">
        <v>22</v>
      </c>
      <c r="J458">
        <v>11557</v>
      </c>
      <c r="K458">
        <v>9</v>
      </c>
      <c r="L458">
        <v>2</v>
      </c>
      <c r="M458">
        <v>5</v>
      </c>
    </row>
    <row r="459" spans="1:13">
      <c r="A459">
        <v>18</v>
      </c>
      <c r="B459" t="s">
        <v>13</v>
      </c>
      <c r="C459" t="s">
        <v>14</v>
      </c>
      <c r="D459">
        <v>5</v>
      </c>
      <c r="E459">
        <v>3</v>
      </c>
      <c r="F459" t="s">
        <v>23</v>
      </c>
      <c r="G459">
        <v>2</v>
      </c>
      <c r="H459">
        <v>2</v>
      </c>
      <c r="I459" t="s">
        <v>16</v>
      </c>
      <c r="J459">
        <v>1878</v>
      </c>
      <c r="K459">
        <v>1</v>
      </c>
      <c r="L459">
        <v>3</v>
      </c>
      <c r="M459">
        <v>0</v>
      </c>
    </row>
    <row r="460" spans="1:13">
      <c r="A460">
        <v>40</v>
      </c>
      <c r="B460" t="s">
        <v>17</v>
      </c>
      <c r="C460" t="s">
        <v>14</v>
      </c>
      <c r="D460">
        <v>28</v>
      </c>
      <c r="E460">
        <v>3</v>
      </c>
      <c r="F460" t="s">
        <v>20</v>
      </c>
      <c r="G460">
        <v>3</v>
      </c>
      <c r="H460">
        <v>1</v>
      </c>
      <c r="I460" t="s">
        <v>22</v>
      </c>
      <c r="J460">
        <v>10932</v>
      </c>
      <c r="K460">
        <v>3</v>
      </c>
      <c r="L460">
        <v>3</v>
      </c>
      <c r="M460">
        <v>1</v>
      </c>
    </row>
    <row r="461" spans="1:13">
      <c r="A461">
        <v>41</v>
      </c>
      <c r="B461" t="s">
        <v>17</v>
      </c>
      <c r="C461" t="s">
        <v>18</v>
      </c>
      <c r="D461">
        <v>2</v>
      </c>
      <c r="E461">
        <v>4</v>
      </c>
      <c r="F461" t="s">
        <v>20</v>
      </c>
      <c r="G461">
        <v>1</v>
      </c>
      <c r="H461">
        <v>3</v>
      </c>
      <c r="I461" t="s">
        <v>16</v>
      </c>
      <c r="J461">
        <v>6811</v>
      </c>
      <c r="K461">
        <v>2</v>
      </c>
      <c r="L461">
        <v>3</v>
      </c>
      <c r="M461">
        <v>8</v>
      </c>
    </row>
    <row r="462" spans="1:13">
      <c r="A462">
        <v>26</v>
      </c>
      <c r="B462" t="s">
        <v>17</v>
      </c>
      <c r="C462" t="s">
        <v>14</v>
      </c>
      <c r="D462">
        <v>29</v>
      </c>
      <c r="E462">
        <v>2</v>
      </c>
      <c r="F462" t="s">
        <v>21</v>
      </c>
      <c r="G462">
        <v>1</v>
      </c>
      <c r="H462">
        <v>3</v>
      </c>
      <c r="I462" t="s">
        <v>22</v>
      </c>
      <c r="J462">
        <v>4306</v>
      </c>
      <c r="K462">
        <v>5</v>
      </c>
      <c r="L462">
        <v>3</v>
      </c>
      <c r="M462">
        <v>0</v>
      </c>
    </row>
    <row r="463" spans="1:13">
      <c r="A463">
        <v>35</v>
      </c>
      <c r="B463" t="s">
        <v>17</v>
      </c>
      <c r="C463" t="s">
        <v>14</v>
      </c>
      <c r="D463">
        <v>1</v>
      </c>
      <c r="E463">
        <v>3</v>
      </c>
      <c r="F463" t="s">
        <v>21</v>
      </c>
      <c r="G463">
        <v>1</v>
      </c>
      <c r="H463">
        <v>3</v>
      </c>
      <c r="I463" t="s">
        <v>16</v>
      </c>
      <c r="J463">
        <v>4859</v>
      </c>
      <c r="K463">
        <v>1</v>
      </c>
      <c r="L463">
        <v>3</v>
      </c>
      <c r="M463">
        <v>5</v>
      </c>
    </row>
    <row r="464" spans="1:13">
      <c r="A464">
        <v>34</v>
      </c>
      <c r="B464" t="s">
        <v>17</v>
      </c>
      <c r="C464" t="s">
        <v>14</v>
      </c>
      <c r="D464">
        <v>21</v>
      </c>
      <c r="E464">
        <v>4</v>
      </c>
      <c r="F464" t="s">
        <v>15</v>
      </c>
      <c r="G464">
        <v>4</v>
      </c>
      <c r="H464">
        <v>4</v>
      </c>
      <c r="I464" t="s">
        <v>16</v>
      </c>
      <c r="J464">
        <v>5337</v>
      </c>
      <c r="K464">
        <v>1</v>
      </c>
      <c r="L464">
        <v>3</v>
      </c>
      <c r="M464">
        <v>10</v>
      </c>
    </row>
    <row r="465" spans="1:13">
      <c r="A465">
        <v>26</v>
      </c>
      <c r="B465" t="s">
        <v>13</v>
      </c>
      <c r="C465" t="s">
        <v>18</v>
      </c>
      <c r="D465">
        <v>24</v>
      </c>
      <c r="E465">
        <v>3</v>
      </c>
      <c r="F465" t="s">
        <v>24</v>
      </c>
      <c r="G465">
        <v>3</v>
      </c>
      <c r="H465">
        <v>4</v>
      </c>
      <c r="I465" t="s">
        <v>16</v>
      </c>
      <c r="J465">
        <v>2340</v>
      </c>
      <c r="K465">
        <v>1</v>
      </c>
      <c r="L465">
        <v>1</v>
      </c>
      <c r="M465">
        <v>1</v>
      </c>
    </row>
    <row r="466" spans="1:13">
      <c r="A466">
        <v>37</v>
      </c>
      <c r="B466" t="s">
        <v>17</v>
      </c>
      <c r="C466" t="s">
        <v>18</v>
      </c>
      <c r="D466">
        <v>1</v>
      </c>
      <c r="E466">
        <v>3</v>
      </c>
      <c r="F466" t="s">
        <v>24</v>
      </c>
      <c r="G466">
        <v>2</v>
      </c>
      <c r="H466">
        <v>4</v>
      </c>
      <c r="I466" t="s">
        <v>16</v>
      </c>
      <c r="J466">
        <v>7491</v>
      </c>
      <c r="K466">
        <v>4</v>
      </c>
      <c r="L466">
        <v>4</v>
      </c>
      <c r="M466">
        <v>6</v>
      </c>
    </row>
    <row r="467" spans="1:13">
      <c r="A467">
        <v>46</v>
      </c>
      <c r="B467" t="s">
        <v>17</v>
      </c>
      <c r="C467" t="s">
        <v>18</v>
      </c>
      <c r="D467">
        <v>18</v>
      </c>
      <c r="E467">
        <v>1</v>
      </c>
      <c r="F467" t="s">
        <v>21</v>
      </c>
      <c r="G467">
        <v>1</v>
      </c>
      <c r="H467">
        <v>3</v>
      </c>
      <c r="I467" t="s">
        <v>19</v>
      </c>
      <c r="J467">
        <v>10527</v>
      </c>
      <c r="K467">
        <v>5</v>
      </c>
      <c r="L467">
        <v>2</v>
      </c>
      <c r="M467">
        <v>2</v>
      </c>
    </row>
    <row r="468" spans="1:13">
      <c r="A468">
        <v>41</v>
      </c>
      <c r="B468" t="s">
        <v>17</v>
      </c>
      <c r="C468" t="s">
        <v>14</v>
      </c>
      <c r="D468">
        <v>2</v>
      </c>
      <c r="E468">
        <v>5</v>
      </c>
      <c r="F468" t="s">
        <v>15</v>
      </c>
      <c r="G468">
        <v>2</v>
      </c>
      <c r="H468">
        <v>1</v>
      </c>
      <c r="I468" t="s">
        <v>19</v>
      </c>
      <c r="J468">
        <v>16595</v>
      </c>
      <c r="K468">
        <v>7</v>
      </c>
      <c r="L468">
        <v>3</v>
      </c>
      <c r="M468">
        <v>18</v>
      </c>
    </row>
    <row r="469" spans="1:13">
      <c r="A469">
        <v>37</v>
      </c>
      <c r="B469" t="s">
        <v>17</v>
      </c>
      <c r="C469" t="s">
        <v>14</v>
      </c>
      <c r="D469">
        <v>9</v>
      </c>
      <c r="E469">
        <v>4</v>
      </c>
      <c r="F469" t="s">
        <v>21</v>
      </c>
      <c r="G469">
        <v>1</v>
      </c>
      <c r="H469">
        <v>2</v>
      </c>
      <c r="I469" t="s">
        <v>22</v>
      </c>
      <c r="J469">
        <v>8834</v>
      </c>
      <c r="K469">
        <v>1</v>
      </c>
      <c r="L469">
        <v>3</v>
      </c>
      <c r="M469">
        <v>9</v>
      </c>
    </row>
    <row r="470" spans="1:13">
      <c r="A470">
        <v>52</v>
      </c>
      <c r="B470" t="s">
        <v>17</v>
      </c>
      <c r="C470" t="s">
        <v>18</v>
      </c>
      <c r="D470">
        <v>6</v>
      </c>
      <c r="E470">
        <v>2</v>
      </c>
      <c r="F470" t="s">
        <v>24</v>
      </c>
      <c r="G470">
        <v>4</v>
      </c>
      <c r="H470">
        <v>1</v>
      </c>
      <c r="I470" t="s">
        <v>22</v>
      </c>
      <c r="J470">
        <v>5577</v>
      </c>
      <c r="K470">
        <v>3</v>
      </c>
      <c r="L470">
        <v>3</v>
      </c>
      <c r="M470">
        <v>10</v>
      </c>
    </row>
    <row r="471" spans="1:13">
      <c r="A471">
        <v>32</v>
      </c>
      <c r="B471" t="s">
        <v>13</v>
      </c>
      <c r="C471" t="s">
        <v>14</v>
      </c>
      <c r="D471">
        <v>11</v>
      </c>
      <c r="E471">
        <v>4</v>
      </c>
      <c r="F471" t="s">
        <v>20</v>
      </c>
      <c r="G471">
        <v>4</v>
      </c>
      <c r="H471">
        <v>3</v>
      </c>
      <c r="I471" t="s">
        <v>19</v>
      </c>
      <c r="J471">
        <v>4707</v>
      </c>
      <c r="K471">
        <v>8</v>
      </c>
      <c r="L471">
        <v>3</v>
      </c>
      <c r="M471">
        <v>4</v>
      </c>
    </row>
    <row r="472" spans="1:13">
      <c r="A472">
        <v>24</v>
      </c>
      <c r="B472" t="s">
        <v>17</v>
      </c>
      <c r="C472" t="s">
        <v>14</v>
      </c>
      <c r="D472">
        <v>24</v>
      </c>
      <c r="E472">
        <v>3</v>
      </c>
      <c r="F472" t="s">
        <v>21</v>
      </c>
      <c r="G472">
        <v>4</v>
      </c>
      <c r="H472">
        <v>4</v>
      </c>
      <c r="I472" t="s">
        <v>19</v>
      </c>
      <c r="J472">
        <v>2400</v>
      </c>
      <c r="K472">
        <v>0</v>
      </c>
      <c r="L472">
        <v>3</v>
      </c>
      <c r="M472">
        <v>2</v>
      </c>
    </row>
    <row r="473" spans="1:13">
      <c r="A473">
        <v>38</v>
      </c>
      <c r="B473" t="s">
        <v>17</v>
      </c>
      <c r="C473" t="s">
        <v>18</v>
      </c>
      <c r="D473">
        <v>10</v>
      </c>
      <c r="E473">
        <v>3</v>
      </c>
      <c r="F473" t="s">
        <v>21</v>
      </c>
      <c r="G473">
        <v>3</v>
      </c>
      <c r="H473">
        <v>3</v>
      </c>
      <c r="I473" t="s">
        <v>19</v>
      </c>
      <c r="J473">
        <v>9824</v>
      </c>
      <c r="K473">
        <v>3</v>
      </c>
      <c r="L473">
        <v>3</v>
      </c>
      <c r="M473">
        <v>1</v>
      </c>
    </row>
    <row r="474" spans="1:13">
      <c r="A474">
        <v>37</v>
      </c>
      <c r="B474" t="s">
        <v>17</v>
      </c>
      <c r="C474" t="s">
        <v>18</v>
      </c>
      <c r="D474">
        <v>1</v>
      </c>
      <c r="E474">
        <v>4</v>
      </c>
      <c r="F474" t="s">
        <v>15</v>
      </c>
      <c r="G474">
        <v>2</v>
      </c>
      <c r="H474">
        <v>2</v>
      </c>
      <c r="I474" t="s">
        <v>19</v>
      </c>
      <c r="J474">
        <v>6447</v>
      </c>
      <c r="K474">
        <v>6</v>
      </c>
      <c r="L474">
        <v>2</v>
      </c>
      <c r="M474">
        <v>6</v>
      </c>
    </row>
    <row r="475" spans="1:13">
      <c r="A475">
        <v>49</v>
      </c>
      <c r="B475" t="s">
        <v>17</v>
      </c>
      <c r="C475" t="s">
        <v>18</v>
      </c>
      <c r="D475">
        <v>18</v>
      </c>
      <c r="E475">
        <v>4</v>
      </c>
      <c r="F475" t="s">
        <v>15</v>
      </c>
      <c r="G475">
        <v>4</v>
      </c>
      <c r="H475">
        <v>3</v>
      </c>
      <c r="I475" t="s">
        <v>22</v>
      </c>
      <c r="J475">
        <v>19502</v>
      </c>
      <c r="K475">
        <v>1</v>
      </c>
      <c r="L475">
        <v>3</v>
      </c>
      <c r="M475">
        <v>31</v>
      </c>
    </row>
    <row r="476" spans="1:13">
      <c r="A476">
        <v>24</v>
      </c>
      <c r="B476" t="s">
        <v>17</v>
      </c>
      <c r="C476" t="s">
        <v>18</v>
      </c>
      <c r="D476">
        <v>23</v>
      </c>
      <c r="E476">
        <v>3</v>
      </c>
      <c r="F476" t="s">
        <v>21</v>
      </c>
      <c r="G476">
        <v>2</v>
      </c>
      <c r="H476">
        <v>4</v>
      </c>
      <c r="I476" t="s">
        <v>19</v>
      </c>
      <c r="J476">
        <v>2725</v>
      </c>
      <c r="K476">
        <v>1</v>
      </c>
      <c r="L476">
        <v>3</v>
      </c>
      <c r="M476">
        <v>6</v>
      </c>
    </row>
    <row r="477" spans="1:13">
      <c r="A477">
        <v>26</v>
      </c>
      <c r="B477" t="s">
        <v>17</v>
      </c>
      <c r="C477" t="s">
        <v>14</v>
      </c>
      <c r="D477">
        <v>28</v>
      </c>
      <c r="E477">
        <v>2</v>
      </c>
      <c r="F477" t="s">
        <v>23</v>
      </c>
      <c r="G477">
        <v>1</v>
      </c>
      <c r="H477">
        <v>2</v>
      </c>
      <c r="I477" t="s">
        <v>19</v>
      </c>
      <c r="J477">
        <v>6272</v>
      </c>
      <c r="K477">
        <v>1</v>
      </c>
      <c r="L477">
        <v>4</v>
      </c>
      <c r="M477">
        <v>5</v>
      </c>
    </row>
    <row r="478" spans="1:13">
      <c r="A478">
        <v>24</v>
      </c>
      <c r="B478" t="s">
        <v>17</v>
      </c>
      <c r="C478" t="s">
        <v>18</v>
      </c>
      <c r="D478">
        <v>17</v>
      </c>
      <c r="E478">
        <v>2</v>
      </c>
      <c r="F478" t="s">
        <v>20</v>
      </c>
      <c r="G478">
        <v>4</v>
      </c>
      <c r="H478">
        <v>2</v>
      </c>
      <c r="I478" t="s">
        <v>19</v>
      </c>
      <c r="J478">
        <v>2127</v>
      </c>
      <c r="K478">
        <v>1</v>
      </c>
      <c r="L478">
        <v>3</v>
      </c>
      <c r="M478">
        <v>1</v>
      </c>
    </row>
    <row r="479" spans="1:13">
      <c r="A479">
        <v>50</v>
      </c>
      <c r="B479" t="s">
        <v>17</v>
      </c>
      <c r="C479" t="s">
        <v>25</v>
      </c>
      <c r="D479">
        <v>3</v>
      </c>
      <c r="E479">
        <v>3</v>
      </c>
      <c r="F479" t="s">
        <v>21</v>
      </c>
      <c r="G479">
        <v>1</v>
      </c>
      <c r="H479">
        <v>2</v>
      </c>
      <c r="I479" t="s">
        <v>19</v>
      </c>
      <c r="J479">
        <v>18200</v>
      </c>
      <c r="K479">
        <v>1</v>
      </c>
      <c r="L479">
        <v>3</v>
      </c>
      <c r="M479">
        <v>32</v>
      </c>
    </row>
    <row r="480" spans="1:13">
      <c r="A480">
        <v>25</v>
      </c>
      <c r="B480" t="s">
        <v>17</v>
      </c>
      <c r="C480" t="s">
        <v>14</v>
      </c>
      <c r="D480">
        <v>13</v>
      </c>
      <c r="E480">
        <v>1</v>
      </c>
      <c r="F480" t="s">
        <v>21</v>
      </c>
      <c r="G480">
        <v>2</v>
      </c>
      <c r="H480">
        <v>3</v>
      </c>
      <c r="I480" t="s">
        <v>19</v>
      </c>
      <c r="J480">
        <v>2096</v>
      </c>
      <c r="K480">
        <v>1</v>
      </c>
      <c r="L480">
        <v>3</v>
      </c>
      <c r="M480">
        <v>7</v>
      </c>
    </row>
    <row r="481" spans="1:13">
      <c r="A481">
        <v>24</v>
      </c>
      <c r="B481" t="s">
        <v>13</v>
      </c>
      <c r="C481" t="s">
        <v>18</v>
      </c>
      <c r="D481">
        <v>7</v>
      </c>
      <c r="E481">
        <v>3</v>
      </c>
      <c r="F481" t="s">
        <v>15</v>
      </c>
      <c r="G481">
        <v>1</v>
      </c>
      <c r="H481">
        <v>3</v>
      </c>
      <c r="I481" t="s">
        <v>19</v>
      </c>
      <c r="J481">
        <v>2886</v>
      </c>
      <c r="K481">
        <v>1</v>
      </c>
      <c r="L481">
        <v>3</v>
      </c>
      <c r="M481">
        <v>6</v>
      </c>
    </row>
    <row r="482" spans="1:13">
      <c r="A482">
        <v>30</v>
      </c>
      <c r="B482" t="s">
        <v>13</v>
      </c>
      <c r="C482" t="s">
        <v>14</v>
      </c>
      <c r="D482">
        <v>12</v>
      </c>
      <c r="E482">
        <v>4</v>
      </c>
      <c r="F482" t="s">
        <v>15</v>
      </c>
      <c r="G482">
        <v>2</v>
      </c>
      <c r="H482">
        <v>1</v>
      </c>
      <c r="I482" t="s">
        <v>19</v>
      </c>
      <c r="J482">
        <v>2033</v>
      </c>
      <c r="K482">
        <v>1</v>
      </c>
      <c r="L482">
        <v>4</v>
      </c>
      <c r="M482">
        <v>1</v>
      </c>
    </row>
    <row r="483" spans="1:13">
      <c r="A483">
        <v>34</v>
      </c>
      <c r="B483" t="s">
        <v>17</v>
      </c>
      <c r="C483" t="s">
        <v>18</v>
      </c>
      <c r="D483">
        <v>1</v>
      </c>
      <c r="E483">
        <v>2</v>
      </c>
      <c r="F483" t="s">
        <v>15</v>
      </c>
      <c r="G483">
        <v>2</v>
      </c>
      <c r="H483">
        <v>4</v>
      </c>
      <c r="I483" t="s">
        <v>19</v>
      </c>
      <c r="J483">
        <v>3622</v>
      </c>
      <c r="K483">
        <v>1</v>
      </c>
      <c r="L483">
        <v>3</v>
      </c>
      <c r="M483">
        <v>6</v>
      </c>
    </row>
    <row r="484" spans="1:13">
      <c r="A484">
        <v>31</v>
      </c>
      <c r="B484" t="s">
        <v>13</v>
      </c>
      <c r="C484" t="s">
        <v>14</v>
      </c>
      <c r="D484">
        <v>13</v>
      </c>
      <c r="E484">
        <v>4</v>
      </c>
      <c r="F484" t="s">
        <v>21</v>
      </c>
      <c r="G484">
        <v>2</v>
      </c>
      <c r="H484">
        <v>1</v>
      </c>
      <c r="I484" t="s">
        <v>22</v>
      </c>
      <c r="J484">
        <v>4233</v>
      </c>
      <c r="K484">
        <v>2</v>
      </c>
      <c r="L484">
        <v>1</v>
      </c>
      <c r="M484">
        <v>3</v>
      </c>
    </row>
    <row r="485" spans="1:13">
      <c r="A485">
        <v>35</v>
      </c>
      <c r="B485" t="s">
        <v>17</v>
      </c>
      <c r="C485" t="s">
        <v>18</v>
      </c>
      <c r="D485">
        <v>25</v>
      </c>
      <c r="E485">
        <v>2</v>
      </c>
      <c r="F485" t="s">
        <v>20</v>
      </c>
      <c r="G485">
        <v>1</v>
      </c>
      <c r="H485">
        <v>4</v>
      </c>
      <c r="I485" t="s">
        <v>16</v>
      </c>
      <c r="J485">
        <v>3681</v>
      </c>
      <c r="K485">
        <v>4</v>
      </c>
      <c r="L485">
        <v>3</v>
      </c>
      <c r="M485">
        <v>3</v>
      </c>
    </row>
    <row r="486" spans="1:13">
      <c r="A486">
        <v>31</v>
      </c>
      <c r="B486" t="s">
        <v>17</v>
      </c>
      <c r="C486" t="s">
        <v>14</v>
      </c>
      <c r="D486">
        <v>6</v>
      </c>
      <c r="E486">
        <v>4</v>
      </c>
      <c r="F486" t="s">
        <v>21</v>
      </c>
      <c r="G486">
        <v>1</v>
      </c>
      <c r="H486">
        <v>4</v>
      </c>
      <c r="I486" t="s">
        <v>22</v>
      </c>
      <c r="J486">
        <v>5460</v>
      </c>
      <c r="K486">
        <v>4</v>
      </c>
      <c r="L486">
        <v>4</v>
      </c>
      <c r="M486">
        <v>7</v>
      </c>
    </row>
    <row r="487" spans="1:13">
      <c r="A487">
        <v>27</v>
      </c>
      <c r="B487" t="s">
        <v>17</v>
      </c>
      <c r="C487" t="s">
        <v>18</v>
      </c>
      <c r="D487">
        <v>6</v>
      </c>
      <c r="E487">
        <v>4</v>
      </c>
      <c r="F487" t="s">
        <v>21</v>
      </c>
      <c r="G487">
        <v>1</v>
      </c>
      <c r="H487">
        <v>3</v>
      </c>
      <c r="I487" t="s">
        <v>22</v>
      </c>
      <c r="J487">
        <v>2187</v>
      </c>
      <c r="K487">
        <v>0</v>
      </c>
      <c r="L487">
        <v>2</v>
      </c>
      <c r="M487">
        <v>5</v>
      </c>
    </row>
    <row r="488" spans="1:13">
      <c r="A488">
        <v>37</v>
      </c>
      <c r="B488" t="s">
        <v>17</v>
      </c>
      <c r="C488" t="s">
        <v>14</v>
      </c>
      <c r="D488">
        <v>2</v>
      </c>
      <c r="E488">
        <v>3</v>
      </c>
      <c r="F488" t="s">
        <v>23</v>
      </c>
      <c r="G488">
        <v>4</v>
      </c>
      <c r="H488">
        <v>3</v>
      </c>
      <c r="I488" t="s">
        <v>19</v>
      </c>
      <c r="J488">
        <v>9602</v>
      </c>
      <c r="K488">
        <v>4</v>
      </c>
      <c r="L488">
        <v>2</v>
      </c>
      <c r="M488">
        <v>3</v>
      </c>
    </row>
    <row r="489" spans="1:13">
      <c r="A489">
        <v>20</v>
      </c>
      <c r="B489" t="s">
        <v>17</v>
      </c>
      <c r="C489" t="s">
        <v>18</v>
      </c>
      <c r="D489">
        <v>1</v>
      </c>
      <c r="E489">
        <v>3</v>
      </c>
      <c r="F489" t="s">
        <v>15</v>
      </c>
      <c r="G489">
        <v>4</v>
      </c>
      <c r="H489">
        <v>2</v>
      </c>
      <c r="I489" t="s">
        <v>16</v>
      </c>
      <c r="J489">
        <v>2836</v>
      </c>
      <c r="K489">
        <v>1</v>
      </c>
      <c r="L489">
        <v>4</v>
      </c>
      <c r="M489">
        <v>1</v>
      </c>
    </row>
    <row r="490" spans="1:13">
      <c r="A490">
        <v>42</v>
      </c>
      <c r="B490" t="s">
        <v>17</v>
      </c>
      <c r="C490" t="s">
        <v>18</v>
      </c>
      <c r="D490">
        <v>2</v>
      </c>
      <c r="E490">
        <v>4</v>
      </c>
      <c r="F490" t="s">
        <v>15</v>
      </c>
      <c r="G490">
        <v>3</v>
      </c>
      <c r="H490">
        <v>4</v>
      </c>
      <c r="I490" t="s">
        <v>19</v>
      </c>
      <c r="J490">
        <v>4089</v>
      </c>
      <c r="K490">
        <v>1</v>
      </c>
      <c r="L490">
        <v>3</v>
      </c>
      <c r="M490">
        <v>10</v>
      </c>
    </row>
    <row r="491" spans="1:13">
      <c r="A491">
        <v>43</v>
      </c>
      <c r="B491" t="s">
        <v>17</v>
      </c>
      <c r="C491" t="s">
        <v>18</v>
      </c>
      <c r="D491">
        <v>6</v>
      </c>
      <c r="E491">
        <v>4</v>
      </c>
      <c r="F491" t="s">
        <v>20</v>
      </c>
      <c r="G491">
        <v>2</v>
      </c>
      <c r="H491">
        <v>4</v>
      </c>
      <c r="I491" t="s">
        <v>22</v>
      </c>
      <c r="J491">
        <v>16627</v>
      </c>
      <c r="K491">
        <v>4</v>
      </c>
      <c r="L491">
        <v>2</v>
      </c>
      <c r="M491">
        <v>1</v>
      </c>
    </row>
    <row r="492" spans="1:13">
      <c r="A492">
        <v>38</v>
      </c>
      <c r="B492" t="s">
        <v>17</v>
      </c>
      <c r="C492" t="s">
        <v>18</v>
      </c>
      <c r="D492">
        <v>1</v>
      </c>
      <c r="E492">
        <v>1</v>
      </c>
      <c r="F492" t="s">
        <v>15</v>
      </c>
      <c r="G492">
        <v>3</v>
      </c>
      <c r="H492">
        <v>1</v>
      </c>
      <c r="I492" t="s">
        <v>16</v>
      </c>
      <c r="J492">
        <v>2619</v>
      </c>
      <c r="K492">
        <v>3</v>
      </c>
      <c r="L492">
        <v>2</v>
      </c>
      <c r="M492">
        <v>0</v>
      </c>
    </row>
    <row r="493" spans="1:13">
      <c r="A493">
        <v>43</v>
      </c>
      <c r="B493" t="s">
        <v>17</v>
      </c>
      <c r="C493" t="s">
        <v>18</v>
      </c>
      <c r="D493">
        <v>9</v>
      </c>
      <c r="E493">
        <v>5</v>
      </c>
      <c r="F493" t="s">
        <v>21</v>
      </c>
      <c r="G493">
        <v>4</v>
      </c>
      <c r="H493">
        <v>3</v>
      </c>
      <c r="I493" t="s">
        <v>22</v>
      </c>
      <c r="J493">
        <v>5679</v>
      </c>
      <c r="K493">
        <v>3</v>
      </c>
      <c r="L493">
        <v>3</v>
      </c>
      <c r="M493">
        <v>8</v>
      </c>
    </row>
    <row r="494" spans="1:13">
      <c r="A494">
        <v>48</v>
      </c>
      <c r="B494" t="s">
        <v>17</v>
      </c>
      <c r="C494" t="s">
        <v>18</v>
      </c>
      <c r="D494">
        <v>1</v>
      </c>
      <c r="E494">
        <v>4</v>
      </c>
      <c r="F494" t="s">
        <v>15</v>
      </c>
      <c r="G494">
        <v>4</v>
      </c>
      <c r="H494">
        <v>1</v>
      </c>
      <c r="I494" t="s">
        <v>19</v>
      </c>
      <c r="J494">
        <v>15402</v>
      </c>
      <c r="K494">
        <v>7</v>
      </c>
      <c r="L494">
        <v>1</v>
      </c>
      <c r="M494">
        <v>3</v>
      </c>
    </row>
    <row r="495" spans="1:13">
      <c r="A495">
        <v>44</v>
      </c>
      <c r="B495" t="s">
        <v>17</v>
      </c>
      <c r="C495" t="s">
        <v>25</v>
      </c>
      <c r="D495">
        <v>1</v>
      </c>
      <c r="E495">
        <v>4</v>
      </c>
      <c r="F495" t="s">
        <v>15</v>
      </c>
      <c r="G495">
        <v>1</v>
      </c>
      <c r="H495">
        <v>3</v>
      </c>
      <c r="I495" t="s">
        <v>16</v>
      </c>
      <c r="J495">
        <v>5985</v>
      </c>
      <c r="K495">
        <v>4</v>
      </c>
      <c r="L495">
        <v>4</v>
      </c>
      <c r="M495">
        <v>2</v>
      </c>
    </row>
    <row r="496" spans="1:13">
      <c r="A496">
        <v>34</v>
      </c>
      <c r="B496" t="s">
        <v>17</v>
      </c>
      <c r="C496" t="s">
        <v>14</v>
      </c>
      <c r="D496">
        <v>14</v>
      </c>
      <c r="E496">
        <v>3</v>
      </c>
      <c r="F496" t="s">
        <v>24</v>
      </c>
      <c r="G496">
        <v>3</v>
      </c>
      <c r="H496">
        <v>3</v>
      </c>
      <c r="I496" t="s">
        <v>22</v>
      </c>
      <c r="J496">
        <v>2579</v>
      </c>
      <c r="K496">
        <v>1</v>
      </c>
      <c r="L496">
        <v>3</v>
      </c>
      <c r="M496">
        <v>8</v>
      </c>
    </row>
    <row r="497" spans="1:13">
      <c r="A497">
        <v>27</v>
      </c>
      <c r="B497" t="s">
        <v>13</v>
      </c>
      <c r="C497" t="s">
        <v>14</v>
      </c>
      <c r="D497">
        <v>2</v>
      </c>
      <c r="E497">
        <v>1</v>
      </c>
      <c r="F497" t="s">
        <v>23</v>
      </c>
      <c r="G497">
        <v>3</v>
      </c>
      <c r="H497">
        <v>1</v>
      </c>
      <c r="I497" t="s">
        <v>22</v>
      </c>
      <c r="J497">
        <v>3041</v>
      </c>
      <c r="K497">
        <v>0</v>
      </c>
      <c r="L497">
        <v>3</v>
      </c>
      <c r="M497">
        <v>4</v>
      </c>
    </row>
    <row r="498" spans="1:13">
      <c r="A498">
        <v>21</v>
      </c>
      <c r="B498" t="s">
        <v>17</v>
      </c>
      <c r="C498" t="s">
        <v>14</v>
      </c>
      <c r="D498">
        <v>22</v>
      </c>
      <c r="E498">
        <v>1</v>
      </c>
      <c r="F498" t="s">
        <v>24</v>
      </c>
      <c r="G498">
        <v>3</v>
      </c>
      <c r="H498">
        <v>3</v>
      </c>
      <c r="I498" t="s">
        <v>16</v>
      </c>
      <c r="J498">
        <v>3447</v>
      </c>
      <c r="K498">
        <v>1</v>
      </c>
      <c r="L498">
        <v>3</v>
      </c>
      <c r="M498">
        <v>3</v>
      </c>
    </row>
    <row r="499" spans="1:13">
      <c r="A499">
        <v>44</v>
      </c>
      <c r="B499" t="s">
        <v>17</v>
      </c>
      <c r="C499" t="s">
        <v>18</v>
      </c>
      <c r="D499">
        <v>3</v>
      </c>
      <c r="E499">
        <v>4</v>
      </c>
      <c r="F499" t="s">
        <v>20</v>
      </c>
      <c r="G499">
        <v>4</v>
      </c>
      <c r="H499">
        <v>4</v>
      </c>
      <c r="I499" t="s">
        <v>19</v>
      </c>
      <c r="J499">
        <v>19513</v>
      </c>
      <c r="K499">
        <v>4</v>
      </c>
      <c r="L499">
        <v>4</v>
      </c>
      <c r="M499">
        <v>2</v>
      </c>
    </row>
    <row r="500" spans="1:13">
      <c r="A500">
        <v>22</v>
      </c>
      <c r="B500" t="s">
        <v>17</v>
      </c>
      <c r="C500" t="s">
        <v>18</v>
      </c>
      <c r="D500">
        <v>6</v>
      </c>
      <c r="E500">
        <v>1</v>
      </c>
      <c r="F500" t="s">
        <v>21</v>
      </c>
      <c r="G500">
        <v>1</v>
      </c>
      <c r="H500">
        <v>3</v>
      </c>
      <c r="I500" t="s">
        <v>19</v>
      </c>
      <c r="J500">
        <v>2773</v>
      </c>
      <c r="K500">
        <v>0</v>
      </c>
      <c r="L500">
        <v>3</v>
      </c>
      <c r="M500">
        <v>2</v>
      </c>
    </row>
    <row r="501" spans="1:13">
      <c r="A501">
        <v>33</v>
      </c>
      <c r="B501" t="s">
        <v>17</v>
      </c>
      <c r="C501" t="s">
        <v>14</v>
      </c>
      <c r="D501">
        <v>8</v>
      </c>
      <c r="E501">
        <v>4</v>
      </c>
      <c r="F501" t="s">
        <v>23</v>
      </c>
      <c r="G501">
        <v>3</v>
      </c>
      <c r="H501">
        <v>3</v>
      </c>
      <c r="I501" t="s">
        <v>22</v>
      </c>
      <c r="J501">
        <v>7104</v>
      </c>
      <c r="K501">
        <v>0</v>
      </c>
      <c r="L501">
        <v>3</v>
      </c>
      <c r="M501">
        <v>5</v>
      </c>
    </row>
    <row r="502" spans="1:13">
      <c r="A502">
        <v>32</v>
      </c>
      <c r="B502" t="s">
        <v>17</v>
      </c>
      <c r="C502" t="s">
        <v>18</v>
      </c>
      <c r="D502">
        <v>9</v>
      </c>
      <c r="E502">
        <v>4</v>
      </c>
      <c r="F502" t="s">
        <v>15</v>
      </c>
      <c r="G502">
        <v>1</v>
      </c>
      <c r="H502">
        <v>4</v>
      </c>
      <c r="I502" t="s">
        <v>19</v>
      </c>
      <c r="J502">
        <v>6322</v>
      </c>
      <c r="K502">
        <v>1</v>
      </c>
      <c r="L502">
        <v>2</v>
      </c>
      <c r="M502">
        <v>6</v>
      </c>
    </row>
    <row r="503" spans="1:13">
      <c r="A503">
        <v>30</v>
      </c>
      <c r="B503" t="s">
        <v>17</v>
      </c>
      <c r="C503" t="s">
        <v>18</v>
      </c>
      <c r="D503">
        <v>3</v>
      </c>
      <c r="E503">
        <v>3</v>
      </c>
      <c r="F503" t="s">
        <v>21</v>
      </c>
      <c r="G503">
        <v>3</v>
      </c>
      <c r="H503">
        <v>3</v>
      </c>
      <c r="I503" t="s">
        <v>22</v>
      </c>
      <c r="J503">
        <v>2083</v>
      </c>
      <c r="K503">
        <v>1</v>
      </c>
      <c r="L503">
        <v>3</v>
      </c>
      <c r="M503">
        <v>1</v>
      </c>
    </row>
    <row r="504" spans="1:13">
      <c r="A504">
        <v>53</v>
      </c>
      <c r="B504" t="s">
        <v>17</v>
      </c>
      <c r="C504" t="s">
        <v>14</v>
      </c>
      <c r="D504">
        <v>1</v>
      </c>
      <c r="E504">
        <v>1</v>
      </c>
      <c r="F504" t="s">
        <v>21</v>
      </c>
      <c r="G504">
        <v>4</v>
      </c>
      <c r="H504">
        <v>1</v>
      </c>
      <c r="I504" t="s">
        <v>16</v>
      </c>
      <c r="J504">
        <v>8381</v>
      </c>
      <c r="K504">
        <v>7</v>
      </c>
      <c r="L504">
        <v>4</v>
      </c>
      <c r="M504">
        <v>14</v>
      </c>
    </row>
    <row r="505" spans="1:13">
      <c r="A505">
        <v>34</v>
      </c>
      <c r="B505" t="s">
        <v>17</v>
      </c>
      <c r="C505" t="s">
        <v>18</v>
      </c>
      <c r="D505">
        <v>1</v>
      </c>
      <c r="E505">
        <v>5</v>
      </c>
      <c r="F505" t="s">
        <v>15</v>
      </c>
      <c r="G505">
        <v>2</v>
      </c>
      <c r="H505">
        <v>4</v>
      </c>
      <c r="I505" t="s">
        <v>19</v>
      </c>
      <c r="J505">
        <v>2691</v>
      </c>
      <c r="K505">
        <v>1</v>
      </c>
      <c r="L505">
        <v>2</v>
      </c>
      <c r="M505">
        <v>10</v>
      </c>
    </row>
    <row r="506" spans="1:13">
      <c r="A506">
        <v>45</v>
      </c>
      <c r="B506" t="s">
        <v>13</v>
      </c>
      <c r="C506" t="s">
        <v>14</v>
      </c>
      <c r="D506">
        <v>26</v>
      </c>
      <c r="E506">
        <v>4</v>
      </c>
      <c r="F506" t="s">
        <v>15</v>
      </c>
      <c r="G506">
        <v>1</v>
      </c>
      <c r="H506">
        <v>1</v>
      </c>
      <c r="I506" t="s">
        <v>19</v>
      </c>
      <c r="J506">
        <v>4286</v>
      </c>
      <c r="K506">
        <v>2</v>
      </c>
      <c r="L506">
        <v>3</v>
      </c>
      <c r="M506">
        <v>1</v>
      </c>
    </row>
    <row r="507" spans="1:13">
      <c r="A507">
        <v>26</v>
      </c>
      <c r="B507" t="s">
        <v>17</v>
      </c>
      <c r="C507" t="s">
        <v>18</v>
      </c>
      <c r="D507">
        <v>6</v>
      </c>
      <c r="E507">
        <v>3</v>
      </c>
      <c r="F507" t="s">
        <v>15</v>
      </c>
      <c r="G507">
        <v>3</v>
      </c>
      <c r="H507">
        <v>4</v>
      </c>
      <c r="I507" t="s">
        <v>19</v>
      </c>
      <c r="J507">
        <v>2659</v>
      </c>
      <c r="K507">
        <v>1</v>
      </c>
      <c r="L507">
        <v>3</v>
      </c>
      <c r="M507">
        <v>3</v>
      </c>
    </row>
    <row r="508" spans="1:13">
      <c r="A508">
        <v>37</v>
      </c>
      <c r="B508" t="s">
        <v>17</v>
      </c>
      <c r="C508" t="s">
        <v>18</v>
      </c>
      <c r="D508">
        <v>3</v>
      </c>
      <c r="E508">
        <v>3</v>
      </c>
      <c r="F508" t="s">
        <v>20</v>
      </c>
      <c r="G508">
        <v>3</v>
      </c>
      <c r="H508">
        <v>3</v>
      </c>
      <c r="I508" t="s">
        <v>19</v>
      </c>
      <c r="J508">
        <v>9434</v>
      </c>
      <c r="K508">
        <v>1</v>
      </c>
      <c r="L508">
        <v>3</v>
      </c>
      <c r="M508">
        <v>10</v>
      </c>
    </row>
    <row r="509" spans="1:13">
      <c r="A509">
        <v>29</v>
      </c>
      <c r="B509" t="s">
        <v>17</v>
      </c>
      <c r="C509" t="s">
        <v>14</v>
      </c>
      <c r="D509">
        <v>3</v>
      </c>
      <c r="E509">
        <v>2</v>
      </c>
      <c r="F509" t="s">
        <v>21</v>
      </c>
      <c r="G509">
        <v>2</v>
      </c>
      <c r="H509">
        <v>3</v>
      </c>
      <c r="I509" t="s">
        <v>19</v>
      </c>
      <c r="J509">
        <v>5561</v>
      </c>
      <c r="K509">
        <v>1</v>
      </c>
      <c r="L509">
        <v>2</v>
      </c>
      <c r="M509">
        <v>6</v>
      </c>
    </row>
    <row r="510" spans="1:13">
      <c r="A510">
        <v>35</v>
      </c>
      <c r="B510" t="s">
        <v>17</v>
      </c>
      <c r="C510" t="s">
        <v>18</v>
      </c>
      <c r="D510">
        <v>6</v>
      </c>
      <c r="E510">
        <v>4</v>
      </c>
      <c r="F510" t="s">
        <v>15</v>
      </c>
      <c r="G510">
        <v>2</v>
      </c>
      <c r="H510">
        <v>4</v>
      </c>
      <c r="I510" t="s">
        <v>16</v>
      </c>
      <c r="J510">
        <v>6646</v>
      </c>
      <c r="K510">
        <v>1</v>
      </c>
      <c r="L510">
        <v>3</v>
      </c>
      <c r="M510">
        <v>17</v>
      </c>
    </row>
    <row r="511" spans="1:13">
      <c r="A511">
        <v>33</v>
      </c>
      <c r="B511" t="s">
        <v>17</v>
      </c>
      <c r="C511" t="s">
        <v>18</v>
      </c>
      <c r="D511">
        <v>6</v>
      </c>
      <c r="E511">
        <v>3</v>
      </c>
      <c r="F511" t="s">
        <v>15</v>
      </c>
      <c r="G511">
        <v>3</v>
      </c>
      <c r="H511">
        <v>4</v>
      </c>
      <c r="I511" t="s">
        <v>22</v>
      </c>
      <c r="J511">
        <v>7725</v>
      </c>
      <c r="K511">
        <v>3</v>
      </c>
      <c r="L511">
        <v>1</v>
      </c>
      <c r="M511">
        <v>13</v>
      </c>
    </row>
    <row r="512" spans="1:13">
      <c r="A512">
        <v>54</v>
      </c>
      <c r="B512" t="s">
        <v>17</v>
      </c>
      <c r="C512" t="s">
        <v>25</v>
      </c>
      <c r="D512">
        <v>19</v>
      </c>
      <c r="E512">
        <v>4</v>
      </c>
      <c r="F512" t="s">
        <v>21</v>
      </c>
      <c r="G512">
        <v>3</v>
      </c>
      <c r="H512">
        <v>2</v>
      </c>
      <c r="I512" t="s">
        <v>19</v>
      </c>
      <c r="J512">
        <v>10725</v>
      </c>
      <c r="K512">
        <v>2</v>
      </c>
      <c r="L512">
        <v>4</v>
      </c>
      <c r="M512">
        <v>9</v>
      </c>
    </row>
    <row r="513" spans="1:13">
      <c r="A513">
        <v>36</v>
      </c>
      <c r="B513" t="s">
        <v>17</v>
      </c>
      <c r="C513" t="s">
        <v>18</v>
      </c>
      <c r="D513">
        <v>9</v>
      </c>
      <c r="E513">
        <v>2</v>
      </c>
      <c r="F513" t="s">
        <v>21</v>
      </c>
      <c r="G513">
        <v>2</v>
      </c>
      <c r="H513">
        <v>2</v>
      </c>
      <c r="I513" t="s">
        <v>22</v>
      </c>
      <c r="J513">
        <v>8847</v>
      </c>
      <c r="K513">
        <v>2</v>
      </c>
      <c r="L513">
        <v>3</v>
      </c>
      <c r="M513">
        <v>3</v>
      </c>
    </row>
    <row r="514" spans="1:13">
      <c r="A514">
        <v>27</v>
      </c>
      <c r="B514" t="s">
        <v>17</v>
      </c>
      <c r="C514" t="s">
        <v>18</v>
      </c>
      <c r="D514">
        <v>3</v>
      </c>
      <c r="E514">
        <v>4</v>
      </c>
      <c r="F514" t="s">
        <v>21</v>
      </c>
      <c r="G514">
        <v>1</v>
      </c>
      <c r="H514">
        <v>4</v>
      </c>
      <c r="I514" t="s">
        <v>16</v>
      </c>
      <c r="J514">
        <v>2045</v>
      </c>
      <c r="K514">
        <v>0</v>
      </c>
      <c r="L514">
        <v>3</v>
      </c>
      <c r="M514">
        <v>4</v>
      </c>
    </row>
    <row r="515" spans="1:13">
      <c r="A515">
        <v>20</v>
      </c>
      <c r="B515" t="s">
        <v>13</v>
      </c>
      <c r="C515" t="s">
        <v>18</v>
      </c>
      <c r="D515">
        <v>10</v>
      </c>
      <c r="E515">
        <v>1</v>
      </c>
      <c r="F515" t="s">
        <v>21</v>
      </c>
      <c r="G515">
        <v>4</v>
      </c>
      <c r="H515">
        <v>3</v>
      </c>
      <c r="I515" t="s">
        <v>16</v>
      </c>
      <c r="J515">
        <v>1009</v>
      </c>
      <c r="K515">
        <v>1</v>
      </c>
      <c r="L515">
        <v>3</v>
      </c>
      <c r="M515">
        <v>1</v>
      </c>
    </row>
    <row r="516" spans="1:13">
      <c r="A516">
        <v>33</v>
      </c>
      <c r="B516" t="s">
        <v>13</v>
      </c>
      <c r="C516" t="s">
        <v>18</v>
      </c>
      <c r="D516">
        <v>3</v>
      </c>
      <c r="E516">
        <v>3</v>
      </c>
      <c r="F516" t="s">
        <v>15</v>
      </c>
      <c r="G516">
        <v>1</v>
      </c>
      <c r="H516">
        <v>1</v>
      </c>
      <c r="I516" t="s">
        <v>16</v>
      </c>
      <c r="J516">
        <v>3348</v>
      </c>
      <c r="K516">
        <v>1</v>
      </c>
      <c r="L516">
        <v>3</v>
      </c>
      <c r="M516">
        <v>10</v>
      </c>
    </row>
    <row r="517" spans="1:13">
      <c r="A517">
        <v>35</v>
      </c>
      <c r="B517" t="s">
        <v>17</v>
      </c>
      <c r="C517" t="s">
        <v>18</v>
      </c>
      <c r="D517">
        <v>3</v>
      </c>
      <c r="E517">
        <v>3</v>
      </c>
      <c r="F517" t="s">
        <v>15</v>
      </c>
      <c r="G517">
        <v>3</v>
      </c>
      <c r="H517">
        <v>3</v>
      </c>
      <c r="I517" t="s">
        <v>19</v>
      </c>
      <c r="J517">
        <v>1281</v>
      </c>
      <c r="K517">
        <v>1</v>
      </c>
      <c r="L517">
        <v>3</v>
      </c>
      <c r="M517">
        <v>1</v>
      </c>
    </row>
    <row r="518" spans="1:13">
      <c r="A518">
        <v>23</v>
      </c>
      <c r="B518" t="s">
        <v>17</v>
      </c>
      <c r="C518" t="s">
        <v>18</v>
      </c>
      <c r="D518">
        <v>4</v>
      </c>
      <c r="E518">
        <v>3</v>
      </c>
      <c r="F518" t="s">
        <v>21</v>
      </c>
      <c r="G518">
        <v>1</v>
      </c>
      <c r="H518">
        <v>1</v>
      </c>
      <c r="I518" t="s">
        <v>19</v>
      </c>
      <c r="J518">
        <v>2819</v>
      </c>
      <c r="K518">
        <v>2</v>
      </c>
      <c r="L518">
        <v>4</v>
      </c>
      <c r="M518">
        <v>3</v>
      </c>
    </row>
    <row r="519" spans="1:13">
      <c r="A519">
        <v>25</v>
      </c>
      <c r="B519" t="s">
        <v>17</v>
      </c>
      <c r="C519" t="s">
        <v>14</v>
      </c>
      <c r="D519">
        <v>8</v>
      </c>
      <c r="E519">
        <v>3</v>
      </c>
      <c r="F519" t="s">
        <v>15</v>
      </c>
      <c r="G519">
        <v>4</v>
      </c>
      <c r="H519">
        <v>2</v>
      </c>
      <c r="I519" t="s">
        <v>19</v>
      </c>
      <c r="J519">
        <v>4851</v>
      </c>
      <c r="K519">
        <v>0</v>
      </c>
      <c r="L519">
        <v>3</v>
      </c>
      <c r="M519">
        <v>3</v>
      </c>
    </row>
    <row r="520" spans="1:13">
      <c r="A520">
        <v>38</v>
      </c>
      <c r="B520" t="s">
        <v>17</v>
      </c>
      <c r="C520" t="s">
        <v>14</v>
      </c>
      <c r="D520">
        <v>7</v>
      </c>
      <c r="E520">
        <v>4</v>
      </c>
      <c r="F520" t="s">
        <v>23</v>
      </c>
      <c r="G520">
        <v>4</v>
      </c>
      <c r="H520">
        <v>4</v>
      </c>
      <c r="I520" t="s">
        <v>16</v>
      </c>
      <c r="J520">
        <v>4028</v>
      </c>
      <c r="K520">
        <v>0</v>
      </c>
      <c r="L520">
        <v>3</v>
      </c>
      <c r="M520">
        <v>7</v>
      </c>
    </row>
    <row r="521" spans="1:13">
      <c r="A521">
        <v>29</v>
      </c>
      <c r="B521" t="s">
        <v>17</v>
      </c>
      <c r="C521" t="s">
        <v>18</v>
      </c>
      <c r="D521">
        <v>1</v>
      </c>
      <c r="E521">
        <v>4</v>
      </c>
      <c r="F521" t="s">
        <v>15</v>
      </c>
      <c r="G521">
        <v>2</v>
      </c>
      <c r="H521">
        <v>4</v>
      </c>
      <c r="I521" t="s">
        <v>22</v>
      </c>
      <c r="J521">
        <v>2720</v>
      </c>
      <c r="K521">
        <v>1</v>
      </c>
      <c r="L521">
        <v>3</v>
      </c>
      <c r="M521">
        <v>10</v>
      </c>
    </row>
    <row r="522" spans="1:13">
      <c r="A522">
        <v>48</v>
      </c>
      <c r="B522" t="s">
        <v>17</v>
      </c>
      <c r="C522" t="s">
        <v>14</v>
      </c>
      <c r="D522">
        <v>2</v>
      </c>
      <c r="E522">
        <v>1</v>
      </c>
      <c r="F522" t="s">
        <v>23</v>
      </c>
      <c r="G522">
        <v>2</v>
      </c>
      <c r="H522">
        <v>2</v>
      </c>
      <c r="I522" t="s">
        <v>19</v>
      </c>
      <c r="J522">
        <v>8120</v>
      </c>
      <c r="K522">
        <v>3</v>
      </c>
      <c r="L522">
        <v>3</v>
      </c>
      <c r="M522">
        <v>2</v>
      </c>
    </row>
    <row r="523" spans="1:13">
      <c r="A523">
        <v>27</v>
      </c>
      <c r="B523" t="s">
        <v>17</v>
      </c>
      <c r="C523" t="s">
        <v>14</v>
      </c>
      <c r="D523">
        <v>3</v>
      </c>
      <c r="E523">
        <v>1</v>
      </c>
      <c r="F523" t="s">
        <v>21</v>
      </c>
      <c r="G523">
        <v>4</v>
      </c>
      <c r="H523">
        <v>4</v>
      </c>
      <c r="I523" t="s">
        <v>22</v>
      </c>
      <c r="J523">
        <v>4647</v>
      </c>
      <c r="K523">
        <v>1</v>
      </c>
      <c r="L523">
        <v>3</v>
      </c>
      <c r="M523">
        <v>6</v>
      </c>
    </row>
    <row r="524" spans="1:13">
      <c r="A524">
        <v>37</v>
      </c>
      <c r="B524" t="s">
        <v>17</v>
      </c>
      <c r="C524" t="s">
        <v>18</v>
      </c>
      <c r="D524">
        <v>10</v>
      </c>
      <c r="E524">
        <v>2</v>
      </c>
      <c r="F524" t="s">
        <v>15</v>
      </c>
      <c r="G524">
        <v>4</v>
      </c>
      <c r="H524">
        <v>4</v>
      </c>
      <c r="I524" t="s">
        <v>16</v>
      </c>
      <c r="J524">
        <v>4680</v>
      </c>
      <c r="K524">
        <v>3</v>
      </c>
      <c r="L524">
        <v>3</v>
      </c>
      <c r="M524">
        <v>1</v>
      </c>
    </row>
    <row r="525" spans="1:13">
      <c r="A525">
        <v>50</v>
      </c>
      <c r="B525" t="s">
        <v>17</v>
      </c>
      <c r="C525" t="s">
        <v>18</v>
      </c>
      <c r="D525">
        <v>28</v>
      </c>
      <c r="E525">
        <v>1</v>
      </c>
      <c r="F525" t="s">
        <v>21</v>
      </c>
      <c r="G525">
        <v>4</v>
      </c>
      <c r="H525">
        <v>3</v>
      </c>
      <c r="I525" t="s">
        <v>19</v>
      </c>
      <c r="J525">
        <v>3221</v>
      </c>
      <c r="K525">
        <v>1</v>
      </c>
      <c r="L525">
        <v>3</v>
      </c>
      <c r="M525">
        <v>20</v>
      </c>
    </row>
    <row r="526" spans="1:13">
      <c r="A526">
        <v>34</v>
      </c>
      <c r="B526" t="s">
        <v>17</v>
      </c>
      <c r="C526" t="s">
        <v>18</v>
      </c>
      <c r="D526">
        <v>9</v>
      </c>
      <c r="E526">
        <v>3</v>
      </c>
      <c r="F526" t="s">
        <v>21</v>
      </c>
      <c r="G526">
        <v>4</v>
      </c>
      <c r="H526">
        <v>2</v>
      </c>
      <c r="I526" t="s">
        <v>16</v>
      </c>
      <c r="J526">
        <v>8621</v>
      </c>
      <c r="K526">
        <v>1</v>
      </c>
      <c r="L526">
        <v>4</v>
      </c>
      <c r="M526">
        <v>8</v>
      </c>
    </row>
    <row r="527" spans="1:13">
      <c r="A527">
        <v>24</v>
      </c>
      <c r="B527" t="s">
        <v>13</v>
      </c>
      <c r="C527" t="s">
        <v>14</v>
      </c>
      <c r="D527">
        <v>3</v>
      </c>
      <c r="E527">
        <v>2</v>
      </c>
      <c r="F527" t="s">
        <v>15</v>
      </c>
      <c r="G527">
        <v>1</v>
      </c>
      <c r="H527">
        <v>3</v>
      </c>
      <c r="I527" t="s">
        <v>16</v>
      </c>
      <c r="J527">
        <v>4577</v>
      </c>
      <c r="K527">
        <v>9</v>
      </c>
      <c r="L527">
        <v>3</v>
      </c>
      <c r="M527">
        <v>2</v>
      </c>
    </row>
    <row r="528" spans="1:13">
      <c r="A528">
        <v>39</v>
      </c>
      <c r="B528" t="s">
        <v>17</v>
      </c>
      <c r="C528" t="s">
        <v>18</v>
      </c>
      <c r="D528">
        <v>2</v>
      </c>
      <c r="E528">
        <v>4</v>
      </c>
      <c r="F528" t="s">
        <v>24</v>
      </c>
      <c r="G528">
        <v>4</v>
      </c>
      <c r="H528">
        <v>3</v>
      </c>
      <c r="I528" t="s">
        <v>16</v>
      </c>
      <c r="J528">
        <v>4553</v>
      </c>
      <c r="K528">
        <v>1</v>
      </c>
      <c r="L528">
        <v>3</v>
      </c>
      <c r="M528">
        <v>20</v>
      </c>
    </row>
    <row r="529" spans="1:13">
      <c r="A529">
        <v>32</v>
      </c>
      <c r="B529" t="s">
        <v>17</v>
      </c>
      <c r="C529" t="s">
        <v>14</v>
      </c>
      <c r="D529">
        <v>10</v>
      </c>
      <c r="E529">
        <v>3</v>
      </c>
      <c r="F529" t="s">
        <v>23</v>
      </c>
      <c r="G529">
        <v>4</v>
      </c>
      <c r="H529">
        <v>4</v>
      </c>
      <c r="I529" t="s">
        <v>16</v>
      </c>
      <c r="J529">
        <v>5396</v>
      </c>
      <c r="K529">
        <v>1</v>
      </c>
      <c r="L529">
        <v>2</v>
      </c>
      <c r="M529">
        <v>10</v>
      </c>
    </row>
    <row r="530" spans="1:13">
      <c r="A530">
        <v>50</v>
      </c>
      <c r="B530" t="s">
        <v>13</v>
      </c>
      <c r="C530" t="s">
        <v>14</v>
      </c>
      <c r="D530">
        <v>8</v>
      </c>
      <c r="E530">
        <v>2</v>
      </c>
      <c r="F530" t="s">
        <v>24</v>
      </c>
      <c r="G530">
        <v>2</v>
      </c>
      <c r="H530">
        <v>3</v>
      </c>
      <c r="I530" t="s">
        <v>19</v>
      </c>
      <c r="J530">
        <v>6796</v>
      </c>
      <c r="K530">
        <v>3</v>
      </c>
      <c r="L530">
        <v>3</v>
      </c>
      <c r="M530">
        <v>4</v>
      </c>
    </row>
    <row r="531" spans="1:13">
      <c r="A531">
        <v>38</v>
      </c>
      <c r="B531" t="s">
        <v>17</v>
      </c>
      <c r="C531" t="s">
        <v>18</v>
      </c>
      <c r="D531">
        <v>1</v>
      </c>
      <c r="E531">
        <v>4</v>
      </c>
      <c r="F531" t="s">
        <v>15</v>
      </c>
      <c r="G531">
        <v>2</v>
      </c>
      <c r="H531">
        <v>4</v>
      </c>
      <c r="I531" t="s">
        <v>16</v>
      </c>
      <c r="J531">
        <v>7625</v>
      </c>
      <c r="K531">
        <v>0</v>
      </c>
      <c r="L531">
        <v>2</v>
      </c>
      <c r="M531">
        <v>9</v>
      </c>
    </row>
    <row r="532" spans="1:13">
      <c r="A532">
        <v>27</v>
      </c>
      <c r="B532" t="s">
        <v>17</v>
      </c>
      <c r="C532" t="s">
        <v>18</v>
      </c>
      <c r="D532">
        <v>1</v>
      </c>
      <c r="E532">
        <v>2</v>
      </c>
      <c r="F532" t="s">
        <v>15</v>
      </c>
      <c r="G532">
        <v>3</v>
      </c>
      <c r="H532">
        <v>1</v>
      </c>
      <c r="I532" t="s">
        <v>19</v>
      </c>
      <c r="J532">
        <v>7412</v>
      </c>
      <c r="K532">
        <v>1</v>
      </c>
      <c r="L532">
        <v>3</v>
      </c>
      <c r="M532">
        <v>9</v>
      </c>
    </row>
    <row r="533" spans="1:13">
      <c r="A533">
        <v>32</v>
      </c>
      <c r="B533" t="s">
        <v>17</v>
      </c>
      <c r="C533" t="s">
        <v>18</v>
      </c>
      <c r="D533">
        <v>3</v>
      </c>
      <c r="E533">
        <v>2</v>
      </c>
      <c r="F533" t="s">
        <v>15</v>
      </c>
      <c r="G533">
        <v>3</v>
      </c>
      <c r="H533">
        <v>4</v>
      </c>
      <c r="I533" t="s">
        <v>16</v>
      </c>
      <c r="J533">
        <v>11159</v>
      </c>
      <c r="K533">
        <v>3</v>
      </c>
      <c r="L533">
        <v>3</v>
      </c>
      <c r="M533">
        <v>7</v>
      </c>
    </row>
    <row r="534" spans="1:13">
      <c r="A534">
        <v>47</v>
      </c>
      <c r="B534" t="s">
        <v>17</v>
      </c>
      <c r="C534" t="s">
        <v>14</v>
      </c>
      <c r="D534">
        <v>14</v>
      </c>
      <c r="E534">
        <v>4</v>
      </c>
      <c r="F534" t="s">
        <v>23</v>
      </c>
      <c r="G534">
        <v>4</v>
      </c>
      <c r="H534">
        <v>1</v>
      </c>
      <c r="I534" t="s">
        <v>16</v>
      </c>
      <c r="J534">
        <v>4960</v>
      </c>
      <c r="K534">
        <v>2</v>
      </c>
      <c r="L534">
        <v>3</v>
      </c>
      <c r="M534">
        <v>7</v>
      </c>
    </row>
    <row r="535" spans="1:13">
      <c r="A535">
        <v>40</v>
      </c>
      <c r="B535" t="s">
        <v>17</v>
      </c>
      <c r="C535" t="s">
        <v>14</v>
      </c>
      <c r="D535">
        <v>5</v>
      </c>
      <c r="E535">
        <v>4</v>
      </c>
      <c r="F535" t="s">
        <v>15</v>
      </c>
      <c r="G535">
        <v>4</v>
      </c>
      <c r="H535">
        <v>1</v>
      </c>
      <c r="I535" t="s">
        <v>19</v>
      </c>
      <c r="J535">
        <v>10475</v>
      </c>
      <c r="K535">
        <v>5</v>
      </c>
      <c r="L535">
        <v>3</v>
      </c>
      <c r="M535">
        <v>18</v>
      </c>
    </row>
    <row r="536" spans="1:13">
      <c r="A536">
        <v>53</v>
      </c>
      <c r="B536" t="s">
        <v>17</v>
      </c>
      <c r="C536" t="s">
        <v>18</v>
      </c>
      <c r="D536">
        <v>7</v>
      </c>
      <c r="E536">
        <v>3</v>
      </c>
      <c r="F536" t="s">
        <v>15</v>
      </c>
      <c r="G536">
        <v>3</v>
      </c>
      <c r="H536">
        <v>3</v>
      </c>
      <c r="I536" t="s">
        <v>19</v>
      </c>
      <c r="J536">
        <v>14814</v>
      </c>
      <c r="K536">
        <v>3</v>
      </c>
      <c r="L536">
        <v>3</v>
      </c>
      <c r="M536">
        <v>5</v>
      </c>
    </row>
    <row r="537" spans="1:13">
      <c r="A537">
        <v>41</v>
      </c>
      <c r="B537" t="s">
        <v>17</v>
      </c>
      <c r="C537" t="s">
        <v>25</v>
      </c>
      <c r="D537">
        <v>10</v>
      </c>
      <c r="E537">
        <v>4</v>
      </c>
      <c r="F537" t="s">
        <v>25</v>
      </c>
      <c r="G537">
        <v>2</v>
      </c>
      <c r="H537">
        <v>4</v>
      </c>
      <c r="I537" t="s">
        <v>22</v>
      </c>
      <c r="J537">
        <v>19141</v>
      </c>
      <c r="K537">
        <v>3</v>
      </c>
      <c r="L537">
        <v>2</v>
      </c>
      <c r="M537">
        <v>21</v>
      </c>
    </row>
    <row r="538" spans="1:13">
      <c r="A538">
        <v>60</v>
      </c>
      <c r="B538" t="s">
        <v>17</v>
      </c>
      <c r="C538" t="s">
        <v>14</v>
      </c>
      <c r="D538">
        <v>16</v>
      </c>
      <c r="E538">
        <v>4</v>
      </c>
      <c r="F538" t="s">
        <v>23</v>
      </c>
      <c r="G538">
        <v>1</v>
      </c>
      <c r="H538">
        <v>1</v>
      </c>
      <c r="I538" t="s">
        <v>16</v>
      </c>
      <c r="J538">
        <v>5405</v>
      </c>
      <c r="K538">
        <v>8</v>
      </c>
      <c r="L538">
        <v>3</v>
      </c>
      <c r="M538">
        <v>2</v>
      </c>
    </row>
    <row r="539" spans="1:13">
      <c r="A539">
        <v>27</v>
      </c>
      <c r="B539" t="s">
        <v>17</v>
      </c>
      <c r="C539" t="s">
        <v>18</v>
      </c>
      <c r="D539">
        <v>10</v>
      </c>
      <c r="E539">
        <v>2</v>
      </c>
      <c r="F539" t="s">
        <v>15</v>
      </c>
      <c r="G539">
        <v>4</v>
      </c>
      <c r="H539">
        <v>1</v>
      </c>
      <c r="I539" t="s">
        <v>22</v>
      </c>
      <c r="J539">
        <v>8793</v>
      </c>
      <c r="K539">
        <v>1</v>
      </c>
      <c r="L539">
        <v>2</v>
      </c>
      <c r="M539">
        <v>9</v>
      </c>
    </row>
    <row r="540" spans="1:13">
      <c r="A540">
        <v>41</v>
      </c>
      <c r="B540" t="s">
        <v>17</v>
      </c>
      <c r="C540" t="s">
        <v>25</v>
      </c>
      <c r="D540">
        <v>1</v>
      </c>
      <c r="E540">
        <v>3</v>
      </c>
      <c r="F540" t="s">
        <v>25</v>
      </c>
      <c r="G540">
        <v>4</v>
      </c>
      <c r="H540">
        <v>3</v>
      </c>
      <c r="I540" t="s">
        <v>19</v>
      </c>
      <c r="J540">
        <v>19189</v>
      </c>
      <c r="K540">
        <v>1</v>
      </c>
      <c r="L540">
        <v>3</v>
      </c>
      <c r="M540">
        <v>22</v>
      </c>
    </row>
    <row r="541" spans="1:13">
      <c r="A541">
        <v>50</v>
      </c>
      <c r="B541" t="s">
        <v>17</v>
      </c>
      <c r="C541" t="s">
        <v>14</v>
      </c>
      <c r="D541">
        <v>8</v>
      </c>
      <c r="E541">
        <v>4</v>
      </c>
      <c r="F541" t="s">
        <v>23</v>
      </c>
      <c r="G541">
        <v>4</v>
      </c>
      <c r="H541">
        <v>2</v>
      </c>
      <c r="I541" t="s">
        <v>19</v>
      </c>
      <c r="J541">
        <v>3875</v>
      </c>
      <c r="K541">
        <v>7</v>
      </c>
      <c r="L541">
        <v>3</v>
      </c>
      <c r="M541">
        <v>2</v>
      </c>
    </row>
    <row r="542" spans="1:13">
      <c r="A542">
        <v>28</v>
      </c>
      <c r="B542" t="s">
        <v>13</v>
      </c>
      <c r="C542" t="s">
        <v>18</v>
      </c>
      <c r="D542">
        <v>1</v>
      </c>
      <c r="E542">
        <v>2</v>
      </c>
      <c r="F542" t="s">
        <v>15</v>
      </c>
      <c r="G542">
        <v>1</v>
      </c>
      <c r="H542">
        <v>2</v>
      </c>
      <c r="I542" t="s">
        <v>16</v>
      </c>
      <c r="J542">
        <v>2216</v>
      </c>
      <c r="K542">
        <v>7</v>
      </c>
      <c r="L542">
        <v>3</v>
      </c>
      <c r="M542">
        <v>7</v>
      </c>
    </row>
    <row r="543" spans="1:13">
      <c r="A543">
        <v>36</v>
      </c>
      <c r="B543" t="s">
        <v>17</v>
      </c>
      <c r="C543" t="s">
        <v>18</v>
      </c>
      <c r="D543">
        <v>8</v>
      </c>
      <c r="E543">
        <v>3</v>
      </c>
      <c r="F543" t="s">
        <v>15</v>
      </c>
      <c r="G543">
        <v>1</v>
      </c>
      <c r="H543">
        <v>1</v>
      </c>
      <c r="I543" t="s">
        <v>19</v>
      </c>
      <c r="J543">
        <v>11713</v>
      </c>
      <c r="K543">
        <v>9</v>
      </c>
      <c r="L543">
        <v>3</v>
      </c>
      <c r="M543">
        <v>8</v>
      </c>
    </row>
    <row r="544" spans="1:13">
      <c r="A544">
        <v>38</v>
      </c>
      <c r="B544" t="s">
        <v>17</v>
      </c>
      <c r="C544" t="s">
        <v>18</v>
      </c>
      <c r="D544">
        <v>1</v>
      </c>
      <c r="E544">
        <v>3</v>
      </c>
      <c r="F544" t="s">
        <v>15</v>
      </c>
      <c r="G544">
        <v>3</v>
      </c>
      <c r="H544">
        <v>3</v>
      </c>
      <c r="I544" t="s">
        <v>16</v>
      </c>
      <c r="J544">
        <v>7861</v>
      </c>
      <c r="K544">
        <v>4</v>
      </c>
      <c r="L544">
        <v>4</v>
      </c>
      <c r="M544">
        <v>1</v>
      </c>
    </row>
    <row r="545" spans="1:13">
      <c r="A545">
        <v>44</v>
      </c>
      <c r="B545" t="s">
        <v>17</v>
      </c>
      <c r="C545" t="s">
        <v>18</v>
      </c>
      <c r="D545">
        <v>24</v>
      </c>
      <c r="E545">
        <v>3</v>
      </c>
      <c r="F545" t="s">
        <v>21</v>
      </c>
      <c r="G545">
        <v>1</v>
      </c>
      <c r="H545">
        <v>3</v>
      </c>
      <c r="I545" t="s">
        <v>16</v>
      </c>
      <c r="J545">
        <v>3708</v>
      </c>
      <c r="K545">
        <v>2</v>
      </c>
      <c r="L545">
        <v>3</v>
      </c>
      <c r="M545">
        <v>5</v>
      </c>
    </row>
    <row r="546" spans="1:13">
      <c r="A546">
        <v>47</v>
      </c>
      <c r="B546" t="s">
        <v>17</v>
      </c>
      <c r="C546" t="s">
        <v>14</v>
      </c>
      <c r="D546">
        <v>3</v>
      </c>
      <c r="E546">
        <v>3</v>
      </c>
      <c r="F546" t="s">
        <v>21</v>
      </c>
      <c r="G546">
        <v>4</v>
      </c>
      <c r="H546">
        <v>3</v>
      </c>
      <c r="I546" t="s">
        <v>22</v>
      </c>
      <c r="J546">
        <v>13770</v>
      </c>
      <c r="K546">
        <v>9</v>
      </c>
      <c r="L546">
        <v>2</v>
      </c>
      <c r="M546">
        <v>22</v>
      </c>
    </row>
    <row r="547" spans="1:13">
      <c r="A547">
        <v>30</v>
      </c>
      <c r="B547" t="s">
        <v>17</v>
      </c>
      <c r="C547" t="s">
        <v>14</v>
      </c>
      <c r="D547">
        <v>27</v>
      </c>
      <c r="E547">
        <v>5</v>
      </c>
      <c r="F547" t="s">
        <v>23</v>
      </c>
      <c r="G547">
        <v>3</v>
      </c>
      <c r="H547">
        <v>4</v>
      </c>
      <c r="I547" t="s">
        <v>22</v>
      </c>
      <c r="J547">
        <v>5304</v>
      </c>
      <c r="K547">
        <v>7</v>
      </c>
      <c r="L547">
        <v>2</v>
      </c>
      <c r="M547">
        <v>8</v>
      </c>
    </row>
    <row r="548" spans="1:13">
      <c r="A548">
        <v>29</v>
      </c>
      <c r="B548" t="s">
        <v>17</v>
      </c>
      <c r="C548" t="s">
        <v>14</v>
      </c>
      <c r="D548">
        <v>10</v>
      </c>
      <c r="E548">
        <v>3</v>
      </c>
      <c r="F548" t="s">
        <v>15</v>
      </c>
      <c r="G548">
        <v>3</v>
      </c>
      <c r="H548">
        <v>3</v>
      </c>
      <c r="I548" t="s">
        <v>16</v>
      </c>
      <c r="J548">
        <v>2642</v>
      </c>
      <c r="K548">
        <v>1</v>
      </c>
      <c r="L548">
        <v>3</v>
      </c>
      <c r="M548">
        <v>1</v>
      </c>
    </row>
    <row r="549" spans="1:13">
      <c r="A549">
        <v>42</v>
      </c>
      <c r="B549" t="s">
        <v>13</v>
      </c>
      <c r="C549" t="s">
        <v>18</v>
      </c>
      <c r="D549">
        <v>19</v>
      </c>
      <c r="E549">
        <v>3</v>
      </c>
      <c r="F549" t="s">
        <v>21</v>
      </c>
      <c r="G549">
        <v>3</v>
      </c>
      <c r="H549">
        <v>3</v>
      </c>
      <c r="I549" t="s">
        <v>22</v>
      </c>
      <c r="J549">
        <v>2759</v>
      </c>
      <c r="K549">
        <v>6</v>
      </c>
      <c r="L549">
        <v>3</v>
      </c>
      <c r="M549">
        <v>2</v>
      </c>
    </row>
    <row r="550" spans="1:13">
      <c r="A550">
        <v>43</v>
      </c>
      <c r="B550" t="s">
        <v>17</v>
      </c>
      <c r="C550" t="s">
        <v>14</v>
      </c>
      <c r="D550">
        <v>15</v>
      </c>
      <c r="E550">
        <v>3</v>
      </c>
      <c r="F550" t="s">
        <v>15</v>
      </c>
      <c r="G550">
        <v>4</v>
      </c>
      <c r="H550">
        <v>4</v>
      </c>
      <c r="I550" t="s">
        <v>19</v>
      </c>
      <c r="J550">
        <v>6804</v>
      </c>
      <c r="K550">
        <v>3</v>
      </c>
      <c r="L550">
        <v>3</v>
      </c>
      <c r="M550">
        <v>2</v>
      </c>
    </row>
    <row r="551" spans="1:13">
      <c r="A551">
        <v>34</v>
      </c>
      <c r="B551" t="s">
        <v>17</v>
      </c>
      <c r="C551" t="s">
        <v>18</v>
      </c>
      <c r="D551">
        <v>8</v>
      </c>
      <c r="E551">
        <v>2</v>
      </c>
      <c r="F551" t="s">
        <v>21</v>
      </c>
      <c r="G551">
        <v>2</v>
      </c>
      <c r="H551">
        <v>3</v>
      </c>
      <c r="I551" t="s">
        <v>16</v>
      </c>
      <c r="J551">
        <v>6142</v>
      </c>
      <c r="K551">
        <v>3</v>
      </c>
      <c r="L551">
        <v>3</v>
      </c>
      <c r="M551">
        <v>5</v>
      </c>
    </row>
    <row r="552" spans="1:13">
      <c r="A552">
        <v>23</v>
      </c>
      <c r="B552" t="s">
        <v>17</v>
      </c>
      <c r="C552" t="s">
        <v>18</v>
      </c>
      <c r="D552">
        <v>9</v>
      </c>
      <c r="E552">
        <v>1</v>
      </c>
      <c r="F552" t="s">
        <v>21</v>
      </c>
      <c r="G552">
        <v>2</v>
      </c>
      <c r="H552">
        <v>1</v>
      </c>
      <c r="I552" t="s">
        <v>19</v>
      </c>
      <c r="J552">
        <v>2500</v>
      </c>
      <c r="K552">
        <v>1</v>
      </c>
      <c r="L552">
        <v>4</v>
      </c>
      <c r="M552">
        <v>4</v>
      </c>
    </row>
    <row r="553" spans="1:13">
      <c r="A553">
        <v>39</v>
      </c>
      <c r="B553" t="s">
        <v>17</v>
      </c>
      <c r="C553" t="s">
        <v>25</v>
      </c>
      <c r="D553">
        <v>3</v>
      </c>
      <c r="E553">
        <v>3</v>
      </c>
      <c r="F553" t="s">
        <v>25</v>
      </c>
      <c r="G553">
        <v>3</v>
      </c>
      <c r="H553">
        <v>2</v>
      </c>
      <c r="I553" t="s">
        <v>19</v>
      </c>
      <c r="J553">
        <v>6389</v>
      </c>
      <c r="K553">
        <v>9</v>
      </c>
      <c r="L553">
        <v>1</v>
      </c>
      <c r="M553">
        <v>8</v>
      </c>
    </row>
    <row r="554" spans="1:13">
      <c r="A554">
        <v>56</v>
      </c>
      <c r="B554" t="s">
        <v>17</v>
      </c>
      <c r="C554" t="s">
        <v>18</v>
      </c>
      <c r="D554">
        <v>9</v>
      </c>
      <c r="E554">
        <v>3</v>
      </c>
      <c r="F554" t="s">
        <v>21</v>
      </c>
      <c r="G554">
        <v>3</v>
      </c>
      <c r="H554">
        <v>4</v>
      </c>
      <c r="I554" t="s">
        <v>19</v>
      </c>
      <c r="J554">
        <v>11103</v>
      </c>
      <c r="K554">
        <v>7</v>
      </c>
      <c r="L554">
        <v>2</v>
      </c>
      <c r="M554">
        <v>10</v>
      </c>
    </row>
    <row r="555" spans="1:13">
      <c r="A555">
        <v>40</v>
      </c>
      <c r="B555" t="s">
        <v>17</v>
      </c>
      <c r="C555" t="s">
        <v>18</v>
      </c>
      <c r="D555">
        <v>2</v>
      </c>
      <c r="E555">
        <v>1</v>
      </c>
      <c r="F555" t="s">
        <v>21</v>
      </c>
      <c r="G555">
        <v>4</v>
      </c>
      <c r="H555">
        <v>4</v>
      </c>
      <c r="I555" t="s">
        <v>16</v>
      </c>
      <c r="J555">
        <v>2342</v>
      </c>
      <c r="K555">
        <v>0</v>
      </c>
      <c r="L555">
        <v>2</v>
      </c>
      <c r="M555">
        <v>4</v>
      </c>
    </row>
    <row r="556" spans="1:13">
      <c r="A556">
        <v>27</v>
      </c>
      <c r="B556" t="s">
        <v>17</v>
      </c>
      <c r="C556" t="s">
        <v>18</v>
      </c>
      <c r="D556">
        <v>7</v>
      </c>
      <c r="E556">
        <v>3</v>
      </c>
      <c r="F556" t="s">
        <v>21</v>
      </c>
      <c r="G556">
        <v>4</v>
      </c>
      <c r="H556">
        <v>1</v>
      </c>
      <c r="I556" t="s">
        <v>16</v>
      </c>
      <c r="J556">
        <v>6811</v>
      </c>
      <c r="K556">
        <v>8</v>
      </c>
      <c r="L556">
        <v>1</v>
      </c>
      <c r="M556">
        <v>7</v>
      </c>
    </row>
    <row r="557" spans="1:13">
      <c r="A557">
        <v>29</v>
      </c>
      <c r="B557" t="s">
        <v>17</v>
      </c>
      <c r="C557" t="s">
        <v>14</v>
      </c>
      <c r="D557">
        <v>10</v>
      </c>
      <c r="E557">
        <v>3</v>
      </c>
      <c r="F557" t="s">
        <v>23</v>
      </c>
      <c r="G557">
        <v>4</v>
      </c>
      <c r="H557">
        <v>2</v>
      </c>
      <c r="I557" t="s">
        <v>22</v>
      </c>
      <c r="J557">
        <v>2297</v>
      </c>
      <c r="K557">
        <v>1</v>
      </c>
      <c r="L557">
        <v>3</v>
      </c>
      <c r="M557">
        <v>2</v>
      </c>
    </row>
    <row r="558" spans="1:13">
      <c r="A558">
        <v>53</v>
      </c>
      <c r="B558" t="s">
        <v>17</v>
      </c>
      <c r="C558" t="s">
        <v>18</v>
      </c>
      <c r="D558">
        <v>6</v>
      </c>
      <c r="E558">
        <v>3</v>
      </c>
      <c r="F558" t="s">
        <v>15</v>
      </c>
      <c r="G558">
        <v>4</v>
      </c>
      <c r="H558">
        <v>4</v>
      </c>
      <c r="I558" t="s">
        <v>16</v>
      </c>
      <c r="J558">
        <v>2450</v>
      </c>
      <c r="K558">
        <v>2</v>
      </c>
      <c r="L558">
        <v>3</v>
      </c>
      <c r="M558">
        <v>2</v>
      </c>
    </row>
    <row r="559" spans="1:13">
      <c r="A559">
        <v>35</v>
      </c>
      <c r="B559" t="s">
        <v>17</v>
      </c>
      <c r="C559" t="s">
        <v>18</v>
      </c>
      <c r="D559">
        <v>2</v>
      </c>
      <c r="E559">
        <v>4</v>
      </c>
      <c r="F559" t="s">
        <v>15</v>
      </c>
      <c r="G559">
        <v>4</v>
      </c>
      <c r="H559">
        <v>1</v>
      </c>
      <c r="I559" t="s">
        <v>22</v>
      </c>
      <c r="J559">
        <v>5093</v>
      </c>
      <c r="K559">
        <v>2</v>
      </c>
      <c r="L559">
        <v>4</v>
      </c>
      <c r="M559">
        <v>1</v>
      </c>
    </row>
    <row r="560" spans="1:13">
      <c r="A560">
        <v>32</v>
      </c>
      <c r="B560" t="s">
        <v>17</v>
      </c>
      <c r="C560" t="s">
        <v>18</v>
      </c>
      <c r="D560">
        <v>24</v>
      </c>
      <c r="E560">
        <v>4</v>
      </c>
      <c r="F560" t="s">
        <v>15</v>
      </c>
      <c r="G560">
        <v>1</v>
      </c>
      <c r="H560">
        <v>4</v>
      </c>
      <c r="I560" t="s">
        <v>19</v>
      </c>
      <c r="J560">
        <v>5309</v>
      </c>
      <c r="K560">
        <v>1</v>
      </c>
      <c r="L560">
        <v>3</v>
      </c>
      <c r="M560">
        <v>10</v>
      </c>
    </row>
    <row r="561" spans="1:13">
      <c r="A561">
        <v>38</v>
      </c>
      <c r="B561" t="s">
        <v>17</v>
      </c>
      <c r="C561" t="s">
        <v>18</v>
      </c>
      <c r="D561">
        <v>2</v>
      </c>
      <c r="E561">
        <v>5</v>
      </c>
      <c r="F561" t="s">
        <v>21</v>
      </c>
      <c r="G561">
        <v>4</v>
      </c>
      <c r="H561">
        <v>3</v>
      </c>
      <c r="I561" t="s">
        <v>19</v>
      </c>
      <c r="J561">
        <v>3057</v>
      </c>
      <c r="K561">
        <v>6</v>
      </c>
      <c r="L561">
        <v>1</v>
      </c>
      <c r="M561">
        <v>1</v>
      </c>
    </row>
    <row r="562" spans="1:13">
      <c r="A562">
        <v>34</v>
      </c>
      <c r="B562" t="s">
        <v>17</v>
      </c>
      <c r="C562" t="s">
        <v>18</v>
      </c>
      <c r="D562">
        <v>8</v>
      </c>
      <c r="E562">
        <v>5</v>
      </c>
      <c r="F562" t="s">
        <v>15</v>
      </c>
      <c r="G562">
        <v>2</v>
      </c>
      <c r="H562">
        <v>1</v>
      </c>
      <c r="I562" t="s">
        <v>22</v>
      </c>
      <c r="J562">
        <v>5121</v>
      </c>
      <c r="K562">
        <v>3</v>
      </c>
      <c r="L562">
        <v>3</v>
      </c>
      <c r="M562">
        <v>0</v>
      </c>
    </row>
    <row r="563" spans="1:13">
      <c r="A563">
        <v>52</v>
      </c>
      <c r="B563" t="s">
        <v>17</v>
      </c>
      <c r="C563" t="s">
        <v>14</v>
      </c>
      <c r="D563">
        <v>3</v>
      </c>
      <c r="E563">
        <v>4</v>
      </c>
      <c r="F563" t="s">
        <v>23</v>
      </c>
      <c r="G563">
        <v>3</v>
      </c>
      <c r="H563">
        <v>1</v>
      </c>
      <c r="I563" t="s">
        <v>19</v>
      </c>
      <c r="J563">
        <v>16856</v>
      </c>
      <c r="K563">
        <v>1</v>
      </c>
      <c r="L563">
        <v>4</v>
      </c>
      <c r="M563">
        <v>34</v>
      </c>
    </row>
    <row r="564" spans="1:13">
      <c r="A564">
        <v>33</v>
      </c>
      <c r="B564" t="s">
        <v>13</v>
      </c>
      <c r="C564" t="s">
        <v>18</v>
      </c>
      <c r="D564">
        <v>1</v>
      </c>
      <c r="E564">
        <v>4</v>
      </c>
      <c r="F564" t="s">
        <v>20</v>
      </c>
      <c r="G564">
        <v>4</v>
      </c>
      <c r="H564">
        <v>4</v>
      </c>
      <c r="I564" t="s">
        <v>16</v>
      </c>
      <c r="J564">
        <v>2686</v>
      </c>
      <c r="K564">
        <v>1</v>
      </c>
      <c r="L564">
        <v>2</v>
      </c>
      <c r="M564">
        <v>10</v>
      </c>
    </row>
    <row r="565" spans="1:13">
      <c r="A565">
        <v>25</v>
      </c>
      <c r="B565" t="s">
        <v>17</v>
      </c>
      <c r="C565" t="s">
        <v>14</v>
      </c>
      <c r="D565">
        <v>26</v>
      </c>
      <c r="E565">
        <v>1</v>
      </c>
      <c r="F565" t="s">
        <v>21</v>
      </c>
      <c r="G565">
        <v>3</v>
      </c>
      <c r="H565">
        <v>4</v>
      </c>
      <c r="I565" t="s">
        <v>16</v>
      </c>
      <c r="J565">
        <v>6180</v>
      </c>
      <c r="K565">
        <v>1</v>
      </c>
      <c r="L565">
        <v>2</v>
      </c>
      <c r="M565">
        <v>6</v>
      </c>
    </row>
    <row r="566" spans="1:13">
      <c r="A566">
        <v>45</v>
      </c>
      <c r="B566" t="s">
        <v>17</v>
      </c>
      <c r="C566" t="s">
        <v>14</v>
      </c>
      <c r="D566">
        <v>2</v>
      </c>
      <c r="E566">
        <v>2</v>
      </c>
      <c r="F566" t="s">
        <v>24</v>
      </c>
      <c r="G566">
        <v>2</v>
      </c>
      <c r="H566">
        <v>3</v>
      </c>
      <c r="I566" t="s">
        <v>16</v>
      </c>
      <c r="J566">
        <v>6632</v>
      </c>
      <c r="K566">
        <v>0</v>
      </c>
      <c r="L566">
        <v>3</v>
      </c>
      <c r="M566">
        <v>8</v>
      </c>
    </row>
    <row r="567" spans="1:13">
      <c r="A567">
        <v>23</v>
      </c>
      <c r="B567" t="s">
        <v>17</v>
      </c>
      <c r="C567" t="s">
        <v>18</v>
      </c>
      <c r="D567">
        <v>10</v>
      </c>
      <c r="E567">
        <v>1</v>
      </c>
      <c r="F567" t="s">
        <v>21</v>
      </c>
      <c r="G567">
        <v>1</v>
      </c>
      <c r="H567">
        <v>3</v>
      </c>
      <c r="I567" t="s">
        <v>16</v>
      </c>
      <c r="J567">
        <v>3505</v>
      </c>
      <c r="K567">
        <v>1</v>
      </c>
      <c r="L567">
        <v>3</v>
      </c>
      <c r="M567">
        <v>2</v>
      </c>
    </row>
    <row r="568" spans="1:13">
      <c r="A568">
        <v>47</v>
      </c>
      <c r="B568" t="s">
        <v>13</v>
      </c>
      <c r="C568" t="s">
        <v>14</v>
      </c>
      <c r="D568">
        <v>27</v>
      </c>
      <c r="E568">
        <v>2</v>
      </c>
      <c r="F568" t="s">
        <v>15</v>
      </c>
      <c r="G568">
        <v>2</v>
      </c>
      <c r="H568">
        <v>3</v>
      </c>
      <c r="I568" t="s">
        <v>16</v>
      </c>
      <c r="J568">
        <v>6397</v>
      </c>
      <c r="K568">
        <v>4</v>
      </c>
      <c r="L568">
        <v>3</v>
      </c>
      <c r="M568">
        <v>5</v>
      </c>
    </row>
    <row r="569" spans="1:13">
      <c r="A569">
        <v>34</v>
      </c>
      <c r="B569" t="s">
        <v>17</v>
      </c>
      <c r="C569" t="s">
        <v>14</v>
      </c>
      <c r="D569">
        <v>2</v>
      </c>
      <c r="E569">
        <v>3</v>
      </c>
      <c r="F569" t="s">
        <v>20</v>
      </c>
      <c r="G569">
        <v>4</v>
      </c>
      <c r="H569">
        <v>4</v>
      </c>
      <c r="I569" t="s">
        <v>16</v>
      </c>
      <c r="J569">
        <v>6274</v>
      </c>
      <c r="K569">
        <v>1</v>
      </c>
      <c r="L569">
        <v>3</v>
      </c>
      <c r="M569">
        <v>6</v>
      </c>
    </row>
    <row r="570" spans="1:13">
      <c r="A570">
        <v>55</v>
      </c>
      <c r="B570" t="s">
        <v>13</v>
      </c>
      <c r="C570" t="s">
        <v>18</v>
      </c>
      <c r="D570">
        <v>2</v>
      </c>
      <c r="E570">
        <v>3</v>
      </c>
      <c r="F570" t="s">
        <v>21</v>
      </c>
      <c r="G570">
        <v>4</v>
      </c>
      <c r="H570">
        <v>1</v>
      </c>
      <c r="I570" t="s">
        <v>19</v>
      </c>
      <c r="J570">
        <v>19859</v>
      </c>
      <c r="K570">
        <v>5</v>
      </c>
      <c r="L570">
        <v>3</v>
      </c>
      <c r="M570">
        <v>5</v>
      </c>
    </row>
    <row r="571" spans="1:13">
      <c r="A571">
        <v>36</v>
      </c>
      <c r="B571" t="s">
        <v>17</v>
      </c>
      <c r="C571" t="s">
        <v>14</v>
      </c>
      <c r="D571">
        <v>8</v>
      </c>
      <c r="E571">
        <v>4</v>
      </c>
      <c r="F571" t="s">
        <v>15</v>
      </c>
      <c r="G571">
        <v>1</v>
      </c>
      <c r="H571">
        <v>1</v>
      </c>
      <c r="I571" t="s">
        <v>16</v>
      </c>
      <c r="J571">
        <v>7587</v>
      </c>
      <c r="K571">
        <v>1</v>
      </c>
      <c r="L571">
        <v>3</v>
      </c>
      <c r="M571">
        <v>10</v>
      </c>
    </row>
    <row r="572" spans="1:13">
      <c r="A572">
        <v>52</v>
      </c>
      <c r="B572" t="s">
        <v>17</v>
      </c>
      <c r="C572" t="s">
        <v>18</v>
      </c>
      <c r="D572">
        <v>19</v>
      </c>
      <c r="E572">
        <v>4</v>
      </c>
      <c r="F572" t="s">
        <v>21</v>
      </c>
      <c r="G572">
        <v>4</v>
      </c>
      <c r="H572">
        <v>4</v>
      </c>
      <c r="I572" t="s">
        <v>19</v>
      </c>
      <c r="J572">
        <v>4258</v>
      </c>
      <c r="K572">
        <v>0</v>
      </c>
      <c r="L572">
        <v>3</v>
      </c>
      <c r="M572">
        <v>4</v>
      </c>
    </row>
    <row r="573" spans="1:13">
      <c r="A573">
        <v>26</v>
      </c>
      <c r="B573" t="s">
        <v>17</v>
      </c>
      <c r="C573" t="s">
        <v>18</v>
      </c>
      <c r="D573">
        <v>1</v>
      </c>
      <c r="E573">
        <v>2</v>
      </c>
      <c r="F573" t="s">
        <v>15</v>
      </c>
      <c r="G573">
        <v>1</v>
      </c>
      <c r="H573">
        <v>4</v>
      </c>
      <c r="I573" t="s">
        <v>22</v>
      </c>
      <c r="J573">
        <v>4364</v>
      </c>
      <c r="K573">
        <v>3</v>
      </c>
      <c r="L573">
        <v>3</v>
      </c>
      <c r="M573">
        <v>2</v>
      </c>
    </row>
    <row r="574" spans="1:13">
      <c r="A574">
        <v>29</v>
      </c>
      <c r="B574" t="s">
        <v>17</v>
      </c>
      <c r="C574" t="s">
        <v>18</v>
      </c>
      <c r="D574">
        <v>27</v>
      </c>
      <c r="E574">
        <v>3</v>
      </c>
      <c r="F574" t="s">
        <v>21</v>
      </c>
      <c r="G574">
        <v>2</v>
      </c>
      <c r="H574">
        <v>3</v>
      </c>
      <c r="I574" t="s">
        <v>19</v>
      </c>
      <c r="J574">
        <v>4335</v>
      </c>
      <c r="K574">
        <v>4</v>
      </c>
      <c r="L574">
        <v>2</v>
      </c>
      <c r="M574">
        <v>8</v>
      </c>
    </row>
    <row r="575" spans="1:13">
      <c r="A575">
        <v>26</v>
      </c>
      <c r="B575" t="s">
        <v>13</v>
      </c>
      <c r="C575" t="s">
        <v>14</v>
      </c>
      <c r="D575">
        <v>8</v>
      </c>
      <c r="E575">
        <v>3</v>
      </c>
      <c r="F575" t="s">
        <v>24</v>
      </c>
      <c r="G575">
        <v>4</v>
      </c>
      <c r="H575">
        <v>1</v>
      </c>
      <c r="I575" t="s">
        <v>16</v>
      </c>
      <c r="J575">
        <v>5326</v>
      </c>
      <c r="K575">
        <v>6</v>
      </c>
      <c r="L575">
        <v>2</v>
      </c>
      <c r="M575">
        <v>4</v>
      </c>
    </row>
    <row r="576" spans="1:13">
      <c r="A576">
        <v>34</v>
      </c>
      <c r="B576" t="s">
        <v>17</v>
      </c>
      <c r="C576" t="s">
        <v>18</v>
      </c>
      <c r="D576">
        <v>1</v>
      </c>
      <c r="E576">
        <v>4</v>
      </c>
      <c r="F576" t="s">
        <v>15</v>
      </c>
      <c r="G576">
        <v>2</v>
      </c>
      <c r="H576">
        <v>4</v>
      </c>
      <c r="I576" t="s">
        <v>16</v>
      </c>
      <c r="J576">
        <v>3280</v>
      </c>
      <c r="K576">
        <v>2</v>
      </c>
      <c r="L576">
        <v>3</v>
      </c>
      <c r="M576">
        <v>4</v>
      </c>
    </row>
    <row r="577" spans="1:13">
      <c r="A577">
        <v>54</v>
      </c>
      <c r="B577" t="s">
        <v>17</v>
      </c>
      <c r="C577" t="s">
        <v>18</v>
      </c>
      <c r="D577">
        <v>19</v>
      </c>
      <c r="E577">
        <v>4</v>
      </c>
      <c r="F577" t="s">
        <v>21</v>
      </c>
      <c r="G577">
        <v>4</v>
      </c>
      <c r="H577">
        <v>1</v>
      </c>
      <c r="I577" t="s">
        <v>22</v>
      </c>
      <c r="J577">
        <v>5485</v>
      </c>
      <c r="K577">
        <v>9</v>
      </c>
      <c r="L577">
        <v>3</v>
      </c>
      <c r="M577">
        <v>5</v>
      </c>
    </row>
    <row r="578" spans="1:13">
      <c r="A578">
        <v>27</v>
      </c>
      <c r="B578" t="s">
        <v>17</v>
      </c>
      <c r="C578" t="s">
        <v>14</v>
      </c>
      <c r="D578">
        <v>8</v>
      </c>
      <c r="E578">
        <v>1</v>
      </c>
      <c r="F578" t="s">
        <v>23</v>
      </c>
      <c r="G578">
        <v>3</v>
      </c>
      <c r="H578">
        <v>4</v>
      </c>
      <c r="I578" t="s">
        <v>19</v>
      </c>
      <c r="J578">
        <v>4342</v>
      </c>
      <c r="K578">
        <v>0</v>
      </c>
      <c r="L578">
        <v>3</v>
      </c>
      <c r="M578">
        <v>4</v>
      </c>
    </row>
    <row r="579" spans="1:13">
      <c r="A579">
        <v>37</v>
      </c>
      <c r="B579" t="s">
        <v>17</v>
      </c>
      <c r="C579" t="s">
        <v>18</v>
      </c>
      <c r="D579">
        <v>10</v>
      </c>
      <c r="E579">
        <v>1</v>
      </c>
      <c r="F579" t="s">
        <v>15</v>
      </c>
      <c r="G579">
        <v>4</v>
      </c>
      <c r="H579">
        <v>1</v>
      </c>
      <c r="I579" t="s">
        <v>22</v>
      </c>
      <c r="J579">
        <v>2782</v>
      </c>
      <c r="K579">
        <v>0</v>
      </c>
      <c r="L579">
        <v>2</v>
      </c>
      <c r="M579">
        <v>5</v>
      </c>
    </row>
    <row r="580" spans="1:13">
      <c r="A580">
        <v>38</v>
      </c>
      <c r="B580" t="s">
        <v>17</v>
      </c>
      <c r="C580" t="s">
        <v>18</v>
      </c>
      <c r="D580">
        <v>2</v>
      </c>
      <c r="E580">
        <v>4</v>
      </c>
      <c r="F580" t="s">
        <v>15</v>
      </c>
      <c r="G580">
        <v>1</v>
      </c>
      <c r="H580">
        <v>1</v>
      </c>
      <c r="I580" t="s">
        <v>16</v>
      </c>
      <c r="J580">
        <v>5980</v>
      </c>
      <c r="K580">
        <v>6</v>
      </c>
      <c r="L580">
        <v>3</v>
      </c>
      <c r="M580">
        <v>15</v>
      </c>
    </row>
    <row r="581" spans="1:13">
      <c r="A581">
        <v>34</v>
      </c>
      <c r="B581" t="s">
        <v>17</v>
      </c>
      <c r="C581" t="s">
        <v>18</v>
      </c>
      <c r="D581">
        <v>2</v>
      </c>
      <c r="E581">
        <v>4</v>
      </c>
      <c r="F581" t="s">
        <v>21</v>
      </c>
      <c r="G581">
        <v>3</v>
      </c>
      <c r="H581">
        <v>1</v>
      </c>
      <c r="I581" t="s">
        <v>16</v>
      </c>
      <c r="J581">
        <v>4381</v>
      </c>
      <c r="K581">
        <v>1</v>
      </c>
      <c r="L581">
        <v>3</v>
      </c>
      <c r="M581">
        <v>6</v>
      </c>
    </row>
    <row r="582" spans="1:13">
      <c r="A582">
        <v>35</v>
      </c>
      <c r="B582" t="s">
        <v>17</v>
      </c>
      <c r="C582" t="s">
        <v>14</v>
      </c>
      <c r="D582">
        <v>8</v>
      </c>
      <c r="E582">
        <v>4</v>
      </c>
      <c r="F582" t="s">
        <v>15</v>
      </c>
      <c r="G582">
        <v>1</v>
      </c>
      <c r="H582">
        <v>4</v>
      </c>
      <c r="I582" t="s">
        <v>19</v>
      </c>
      <c r="J582">
        <v>2572</v>
      </c>
      <c r="K582">
        <v>1</v>
      </c>
      <c r="L582">
        <v>2</v>
      </c>
      <c r="M582">
        <v>3</v>
      </c>
    </row>
    <row r="583" spans="1:13">
      <c r="A583">
        <v>30</v>
      </c>
      <c r="B583" t="s">
        <v>17</v>
      </c>
      <c r="C583" t="s">
        <v>18</v>
      </c>
      <c r="D583">
        <v>1</v>
      </c>
      <c r="E583">
        <v>3</v>
      </c>
      <c r="F583" t="s">
        <v>15</v>
      </c>
      <c r="G583">
        <v>4</v>
      </c>
      <c r="H583">
        <v>3</v>
      </c>
      <c r="I583" t="s">
        <v>19</v>
      </c>
      <c r="J583">
        <v>3833</v>
      </c>
      <c r="K583">
        <v>3</v>
      </c>
      <c r="L583">
        <v>3</v>
      </c>
      <c r="M583">
        <v>2</v>
      </c>
    </row>
    <row r="584" spans="1:13">
      <c r="A584">
        <v>40</v>
      </c>
      <c r="B584" t="s">
        <v>17</v>
      </c>
      <c r="C584" t="s">
        <v>18</v>
      </c>
      <c r="D584">
        <v>2</v>
      </c>
      <c r="E584">
        <v>2</v>
      </c>
      <c r="F584" t="s">
        <v>21</v>
      </c>
      <c r="G584">
        <v>3</v>
      </c>
      <c r="H584">
        <v>2</v>
      </c>
      <c r="I584" t="s">
        <v>19</v>
      </c>
      <c r="J584">
        <v>4244</v>
      </c>
      <c r="K584">
        <v>1</v>
      </c>
      <c r="L584">
        <v>3</v>
      </c>
      <c r="M584">
        <v>8</v>
      </c>
    </row>
    <row r="585" spans="1:13">
      <c r="A585">
        <v>34</v>
      </c>
      <c r="B585" t="s">
        <v>17</v>
      </c>
      <c r="C585" t="s">
        <v>14</v>
      </c>
      <c r="D585">
        <v>8</v>
      </c>
      <c r="E585">
        <v>2</v>
      </c>
      <c r="F585" t="s">
        <v>15</v>
      </c>
      <c r="G585">
        <v>3</v>
      </c>
      <c r="H585">
        <v>1</v>
      </c>
      <c r="I585" t="s">
        <v>19</v>
      </c>
      <c r="J585">
        <v>6500</v>
      </c>
      <c r="K585">
        <v>5</v>
      </c>
      <c r="L585">
        <v>3</v>
      </c>
      <c r="M585">
        <v>3</v>
      </c>
    </row>
    <row r="586" spans="1:13">
      <c r="A586">
        <v>42</v>
      </c>
      <c r="B586" t="s">
        <v>17</v>
      </c>
      <c r="C586" t="s">
        <v>18</v>
      </c>
      <c r="D586">
        <v>8</v>
      </c>
      <c r="E586">
        <v>3</v>
      </c>
      <c r="F586" t="s">
        <v>15</v>
      </c>
      <c r="G586">
        <v>2</v>
      </c>
      <c r="H586">
        <v>4</v>
      </c>
      <c r="I586" t="s">
        <v>22</v>
      </c>
      <c r="J586">
        <v>18430</v>
      </c>
      <c r="K586">
        <v>1</v>
      </c>
      <c r="L586">
        <v>2</v>
      </c>
      <c r="M586">
        <v>24</v>
      </c>
    </row>
    <row r="587" spans="1:13">
      <c r="A587">
        <v>23</v>
      </c>
      <c r="B587" t="s">
        <v>13</v>
      </c>
      <c r="C587" t="s">
        <v>18</v>
      </c>
      <c r="D587">
        <v>6</v>
      </c>
      <c r="E587">
        <v>3</v>
      </c>
      <c r="F587" t="s">
        <v>15</v>
      </c>
      <c r="G587">
        <v>3</v>
      </c>
      <c r="H587">
        <v>1</v>
      </c>
      <c r="I587" t="s">
        <v>19</v>
      </c>
      <c r="J587">
        <v>1601</v>
      </c>
      <c r="K587">
        <v>1</v>
      </c>
      <c r="L587">
        <v>3</v>
      </c>
      <c r="M587">
        <v>0</v>
      </c>
    </row>
    <row r="588" spans="1:13">
      <c r="A588">
        <v>24</v>
      </c>
      <c r="B588" t="s">
        <v>17</v>
      </c>
      <c r="C588" t="s">
        <v>18</v>
      </c>
      <c r="D588">
        <v>9</v>
      </c>
      <c r="E588">
        <v>3</v>
      </c>
      <c r="F588" t="s">
        <v>15</v>
      </c>
      <c r="G588">
        <v>3</v>
      </c>
      <c r="H588">
        <v>2</v>
      </c>
      <c r="I588" t="s">
        <v>22</v>
      </c>
      <c r="J588">
        <v>2694</v>
      </c>
      <c r="K588">
        <v>1</v>
      </c>
      <c r="L588">
        <v>3</v>
      </c>
      <c r="M588">
        <v>1</v>
      </c>
    </row>
    <row r="589" spans="1:13">
      <c r="A589">
        <v>52</v>
      </c>
      <c r="B589" t="s">
        <v>17</v>
      </c>
      <c r="C589" t="s">
        <v>18</v>
      </c>
      <c r="D589">
        <v>11</v>
      </c>
      <c r="E589">
        <v>4</v>
      </c>
      <c r="F589" t="s">
        <v>15</v>
      </c>
      <c r="G589">
        <v>4</v>
      </c>
      <c r="H589">
        <v>3</v>
      </c>
      <c r="I589" t="s">
        <v>19</v>
      </c>
      <c r="J589">
        <v>3149</v>
      </c>
      <c r="K589">
        <v>8</v>
      </c>
      <c r="L589">
        <v>3</v>
      </c>
      <c r="M589">
        <v>5</v>
      </c>
    </row>
    <row r="590" spans="1:13">
      <c r="A590">
        <v>50</v>
      </c>
      <c r="B590" t="s">
        <v>17</v>
      </c>
      <c r="C590" t="s">
        <v>18</v>
      </c>
      <c r="D590">
        <v>2</v>
      </c>
      <c r="E590">
        <v>3</v>
      </c>
      <c r="F590" t="s">
        <v>21</v>
      </c>
      <c r="G590">
        <v>3</v>
      </c>
      <c r="H590">
        <v>3</v>
      </c>
      <c r="I590" t="s">
        <v>19</v>
      </c>
      <c r="J590">
        <v>17639</v>
      </c>
      <c r="K590">
        <v>5</v>
      </c>
      <c r="L590">
        <v>3</v>
      </c>
      <c r="M590">
        <v>4</v>
      </c>
    </row>
    <row r="591" spans="1:13">
      <c r="A591">
        <v>29</v>
      </c>
      <c r="B591" t="s">
        <v>13</v>
      </c>
      <c r="C591" t="s">
        <v>18</v>
      </c>
      <c r="D591">
        <v>1</v>
      </c>
      <c r="E591">
        <v>2</v>
      </c>
      <c r="F591" t="s">
        <v>15</v>
      </c>
      <c r="G591">
        <v>2</v>
      </c>
      <c r="H591">
        <v>1</v>
      </c>
      <c r="I591" t="s">
        <v>19</v>
      </c>
      <c r="J591">
        <v>2319</v>
      </c>
      <c r="K591">
        <v>1</v>
      </c>
      <c r="L591">
        <v>3</v>
      </c>
      <c r="M591">
        <v>1</v>
      </c>
    </row>
    <row r="592" spans="1:13">
      <c r="A592">
        <v>33</v>
      </c>
      <c r="B592" t="s">
        <v>17</v>
      </c>
      <c r="C592" t="s">
        <v>18</v>
      </c>
      <c r="D592">
        <v>7</v>
      </c>
      <c r="E592">
        <v>3</v>
      </c>
      <c r="F592" t="s">
        <v>21</v>
      </c>
      <c r="G592">
        <v>3</v>
      </c>
      <c r="H592">
        <v>3</v>
      </c>
      <c r="I592" t="s">
        <v>19</v>
      </c>
      <c r="J592">
        <v>11691</v>
      </c>
      <c r="K592">
        <v>0</v>
      </c>
      <c r="L592">
        <v>4</v>
      </c>
      <c r="M592">
        <v>13</v>
      </c>
    </row>
    <row r="593" spans="1:13">
      <c r="A593">
        <v>33</v>
      </c>
      <c r="B593" t="s">
        <v>13</v>
      </c>
      <c r="C593" t="s">
        <v>14</v>
      </c>
      <c r="D593">
        <v>16</v>
      </c>
      <c r="E593">
        <v>3</v>
      </c>
      <c r="F593" t="s">
        <v>23</v>
      </c>
      <c r="G593">
        <v>1</v>
      </c>
      <c r="H593">
        <v>1</v>
      </c>
      <c r="I593" t="s">
        <v>16</v>
      </c>
      <c r="J593">
        <v>5324</v>
      </c>
      <c r="K593">
        <v>5</v>
      </c>
      <c r="L593">
        <v>3</v>
      </c>
      <c r="M593">
        <v>3</v>
      </c>
    </row>
    <row r="594" spans="1:13">
      <c r="A594">
        <v>47</v>
      </c>
      <c r="B594" t="s">
        <v>17</v>
      </c>
      <c r="C594" t="s">
        <v>18</v>
      </c>
      <c r="D594">
        <v>2</v>
      </c>
      <c r="E594">
        <v>2</v>
      </c>
      <c r="F594" t="s">
        <v>20</v>
      </c>
      <c r="G594">
        <v>3</v>
      </c>
      <c r="H594">
        <v>4</v>
      </c>
      <c r="I594" t="s">
        <v>19</v>
      </c>
      <c r="J594">
        <v>16752</v>
      </c>
      <c r="K594">
        <v>1</v>
      </c>
      <c r="L594">
        <v>2</v>
      </c>
      <c r="M594">
        <v>26</v>
      </c>
    </row>
    <row r="595" spans="1:13">
      <c r="A595">
        <v>36</v>
      </c>
      <c r="B595" t="s">
        <v>17</v>
      </c>
      <c r="C595" t="s">
        <v>18</v>
      </c>
      <c r="D595">
        <v>1</v>
      </c>
      <c r="E595">
        <v>3</v>
      </c>
      <c r="F595" t="s">
        <v>20</v>
      </c>
      <c r="G595">
        <v>3</v>
      </c>
      <c r="H595">
        <v>2</v>
      </c>
      <c r="I595" t="s">
        <v>19</v>
      </c>
      <c r="J595">
        <v>5228</v>
      </c>
      <c r="K595">
        <v>0</v>
      </c>
      <c r="L595">
        <v>3</v>
      </c>
      <c r="M595">
        <v>9</v>
      </c>
    </row>
    <row r="596" spans="1:13">
      <c r="A596">
        <v>29</v>
      </c>
      <c r="B596" t="s">
        <v>17</v>
      </c>
      <c r="C596" t="s">
        <v>18</v>
      </c>
      <c r="D596">
        <v>23</v>
      </c>
      <c r="E596">
        <v>2</v>
      </c>
      <c r="F596" t="s">
        <v>15</v>
      </c>
      <c r="G596">
        <v>3</v>
      </c>
      <c r="H596">
        <v>3</v>
      </c>
      <c r="I596" t="s">
        <v>19</v>
      </c>
      <c r="J596">
        <v>2700</v>
      </c>
      <c r="K596">
        <v>1</v>
      </c>
      <c r="L596">
        <v>3</v>
      </c>
      <c r="M596">
        <v>10</v>
      </c>
    </row>
    <row r="597" spans="1:13">
      <c r="A597">
        <v>58</v>
      </c>
      <c r="B597" t="s">
        <v>13</v>
      </c>
      <c r="C597" t="s">
        <v>18</v>
      </c>
      <c r="D597">
        <v>2</v>
      </c>
      <c r="E597">
        <v>4</v>
      </c>
      <c r="F597" t="s">
        <v>15</v>
      </c>
      <c r="G597">
        <v>4</v>
      </c>
      <c r="H597">
        <v>2</v>
      </c>
      <c r="I597" t="s">
        <v>16</v>
      </c>
      <c r="J597">
        <v>19246</v>
      </c>
      <c r="K597">
        <v>7</v>
      </c>
      <c r="L597">
        <v>3</v>
      </c>
      <c r="M597">
        <v>31</v>
      </c>
    </row>
    <row r="598" spans="1:13">
      <c r="A598">
        <v>35</v>
      </c>
      <c r="B598" t="s">
        <v>17</v>
      </c>
      <c r="C598" t="s">
        <v>18</v>
      </c>
      <c r="D598">
        <v>1</v>
      </c>
      <c r="E598">
        <v>4</v>
      </c>
      <c r="F598" t="s">
        <v>15</v>
      </c>
      <c r="G598">
        <v>4</v>
      </c>
      <c r="H598">
        <v>3</v>
      </c>
      <c r="I598" t="s">
        <v>16</v>
      </c>
      <c r="J598">
        <v>2506</v>
      </c>
      <c r="K598">
        <v>3</v>
      </c>
      <c r="L598">
        <v>3</v>
      </c>
      <c r="M598">
        <v>2</v>
      </c>
    </row>
    <row r="599" spans="1:13">
      <c r="A599">
        <v>42</v>
      </c>
      <c r="B599" t="s">
        <v>17</v>
      </c>
      <c r="C599" t="s">
        <v>18</v>
      </c>
      <c r="D599">
        <v>1</v>
      </c>
      <c r="E599">
        <v>2</v>
      </c>
      <c r="F599" t="s">
        <v>15</v>
      </c>
      <c r="G599">
        <v>4</v>
      </c>
      <c r="H599">
        <v>4</v>
      </c>
      <c r="I599" t="s">
        <v>19</v>
      </c>
      <c r="J599">
        <v>6062</v>
      </c>
      <c r="K599">
        <v>9</v>
      </c>
      <c r="L599">
        <v>3</v>
      </c>
      <c r="M599">
        <v>4</v>
      </c>
    </row>
    <row r="600" spans="1:13">
      <c r="A600">
        <v>28</v>
      </c>
      <c r="B600" t="s">
        <v>13</v>
      </c>
      <c r="C600" t="s">
        <v>18</v>
      </c>
      <c r="D600">
        <v>2</v>
      </c>
      <c r="E600">
        <v>4</v>
      </c>
      <c r="F600" t="s">
        <v>21</v>
      </c>
      <c r="G600">
        <v>3</v>
      </c>
      <c r="H600">
        <v>3</v>
      </c>
      <c r="I600" t="s">
        <v>16</v>
      </c>
      <c r="J600">
        <v>4382</v>
      </c>
      <c r="K600">
        <v>6</v>
      </c>
      <c r="L600">
        <v>2</v>
      </c>
      <c r="M600">
        <v>2</v>
      </c>
    </row>
    <row r="601" spans="1:13">
      <c r="A601">
        <v>36</v>
      </c>
      <c r="B601" t="s">
        <v>17</v>
      </c>
      <c r="C601" t="s">
        <v>25</v>
      </c>
      <c r="D601">
        <v>13</v>
      </c>
      <c r="E601">
        <v>3</v>
      </c>
      <c r="F601" t="s">
        <v>25</v>
      </c>
      <c r="G601">
        <v>3</v>
      </c>
      <c r="H601">
        <v>2</v>
      </c>
      <c r="I601" t="s">
        <v>19</v>
      </c>
      <c r="J601">
        <v>2143</v>
      </c>
      <c r="K601">
        <v>4</v>
      </c>
      <c r="L601">
        <v>3</v>
      </c>
      <c r="M601">
        <v>5</v>
      </c>
    </row>
    <row r="602" spans="1:13">
      <c r="A602">
        <v>32</v>
      </c>
      <c r="B602" t="s">
        <v>17</v>
      </c>
      <c r="C602" t="s">
        <v>18</v>
      </c>
      <c r="D602">
        <v>4</v>
      </c>
      <c r="E602">
        <v>3</v>
      </c>
      <c r="F602" t="s">
        <v>15</v>
      </c>
      <c r="G602">
        <v>3</v>
      </c>
      <c r="H602">
        <v>3</v>
      </c>
      <c r="I602" t="s">
        <v>19</v>
      </c>
      <c r="J602">
        <v>6162</v>
      </c>
      <c r="K602">
        <v>1</v>
      </c>
      <c r="L602">
        <v>3</v>
      </c>
      <c r="M602">
        <v>14</v>
      </c>
    </row>
    <row r="603" spans="1:13">
      <c r="A603">
        <v>40</v>
      </c>
      <c r="B603" t="s">
        <v>17</v>
      </c>
      <c r="C603" t="s">
        <v>18</v>
      </c>
      <c r="D603">
        <v>16</v>
      </c>
      <c r="E603">
        <v>4</v>
      </c>
      <c r="F603" t="s">
        <v>21</v>
      </c>
      <c r="G603">
        <v>1</v>
      </c>
      <c r="H603">
        <v>3</v>
      </c>
      <c r="I603" t="s">
        <v>16</v>
      </c>
      <c r="J603">
        <v>5094</v>
      </c>
      <c r="K603">
        <v>6</v>
      </c>
      <c r="L603">
        <v>3</v>
      </c>
      <c r="M603">
        <v>1</v>
      </c>
    </row>
    <row r="604" spans="1:13">
      <c r="A604">
        <v>30</v>
      </c>
      <c r="B604" t="s">
        <v>17</v>
      </c>
      <c r="C604" t="s">
        <v>18</v>
      </c>
      <c r="D604">
        <v>2</v>
      </c>
      <c r="E604">
        <v>3</v>
      </c>
      <c r="F604" t="s">
        <v>21</v>
      </c>
      <c r="G604">
        <v>3</v>
      </c>
      <c r="H604">
        <v>4</v>
      </c>
      <c r="I604" t="s">
        <v>16</v>
      </c>
      <c r="J604">
        <v>6877</v>
      </c>
      <c r="K604">
        <v>5</v>
      </c>
      <c r="L604">
        <v>2</v>
      </c>
      <c r="M604">
        <v>0</v>
      </c>
    </row>
    <row r="605" spans="1:13">
      <c r="A605">
        <v>45</v>
      </c>
      <c r="B605" t="s">
        <v>17</v>
      </c>
      <c r="C605" t="s">
        <v>18</v>
      </c>
      <c r="D605">
        <v>2</v>
      </c>
      <c r="E605">
        <v>3</v>
      </c>
      <c r="F605" t="s">
        <v>15</v>
      </c>
      <c r="G605">
        <v>2</v>
      </c>
      <c r="H605">
        <v>3</v>
      </c>
      <c r="I605" t="s">
        <v>16</v>
      </c>
      <c r="J605">
        <v>2274</v>
      </c>
      <c r="K605">
        <v>1</v>
      </c>
      <c r="L605">
        <v>3</v>
      </c>
      <c r="M605">
        <v>1</v>
      </c>
    </row>
    <row r="606" spans="1:13">
      <c r="A606">
        <v>42</v>
      </c>
      <c r="B606" t="s">
        <v>17</v>
      </c>
      <c r="C606" t="s">
        <v>18</v>
      </c>
      <c r="D606">
        <v>29</v>
      </c>
      <c r="E606">
        <v>3</v>
      </c>
      <c r="F606" t="s">
        <v>15</v>
      </c>
      <c r="G606">
        <v>2</v>
      </c>
      <c r="H606">
        <v>2</v>
      </c>
      <c r="I606" t="s">
        <v>19</v>
      </c>
      <c r="J606">
        <v>4434</v>
      </c>
      <c r="K606">
        <v>1</v>
      </c>
      <c r="L606">
        <v>2</v>
      </c>
      <c r="M606">
        <v>9</v>
      </c>
    </row>
    <row r="607" spans="1:13">
      <c r="A607">
        <v>38</v>
      </c>
      <c r="B607" t="s">
        <v>17</v>
      </c>
      <c r="C607" t="s">
        <v>18</v>
      </c>
      <c r="D607">
        <v>12</v>
      </c>
      <c r="E607">
        <v>3</v>
      </c>
      <c r="F607" t="s">
        <v>15</v>
      </c>
      <c r="G607">
        <v>1</v>
      </c>
      <c r="H607">
        <v>1</v>
      </c>
      <c r="I607" t="s">
        <v>22</v>
      </c>
      <c r="J607">
        <v>6288</v>
      </c>
      <c r="K607">
        <v>2</v>
      </c>
      <c r="L607">
        <v>2</v>
      </c>
      <c r="M607">
        <v>4</v>
      </c>
    </row>
    <row r="608" spans="1:13">
      <c r="A608">
        <v>34</v>
      </c>
      <c r="B608" t="s">
        <v>17</v>
      </c>
      <c r="C608" t="s">
        <v>18</v>
      </c>
      <c r="D608">
        <v>16</v>
      </c>
      <c r="E608">
        <v>4</v>
      </c>
      <c r="F608" t="s">
        <v>15</v>
      </c>
      <c r="G608">
        <v>3</v>
      </c>
      <c r="H608">
        <v>4</v>
      </c>
      <c r="I608" t="s">
        <v>16</v>
      </c>
      <c r="J608">
        <v>2553</v>
      </c>
      <c r="K608">
        <v>1</v>
      </c>
      <c r="L608">
        <v>3</v>
      </c>
      <c r="M608">
        <v>5</v>
      </c>
    </row>
    <row r="609" spans="1:13">
      <c r="A609">
        <v>49</v>
      </c>
      <c r="B609" t="s">
        <v>13</v>
      </c>
      <c r="C609" t="s">
        <v>14</v>
      </c>
      <c r="D609">
        <v>11</v>
      </c>
      <c r="E609">
        <v>3</v>
      </c>
      <c r="F609" t="s">
        <v>23</v>
      </c>
      <c r="G609">
        <v>3</v>
      </c>
      <c r="H609">
        <v>4</v>
      </c>
      <c r="I609" t="s">
        <v>19</v>
      </c>
      <c r="J609">
        <v>7654</v>
      </c>
      <c r="K609">
        <v>1</v>
      </c>
      <c r="L609">
        <v>4</v>
      </c>
      <c r="M609">
        <v>9</v>
      </c>
    </row>
    <row r="610" spans="1:13">
      <c r="A610">
        <v>55</v>
      </c>
      <c r="B610" t="s">
        <v>13</v>
      </c>
      <c r="C610" t="s">
        <v>14</v>
      </c>
      <c r="D610">
        <v>2</v>
      </c>
      <c r="E610">
        <v>1</v>
      </c>
      <c r="F610" t="s">
        <v>21</v>
      </c>
      <c r="G610">
        <v>3</v>
      </c>
      <c r="H610">
        <v>4</v>
      </c>
      <c r="I610" t="s">
        <v>16</v>
      </c>
      <c r="J610">
        <v>5160</v>
      </c>
      <c r="K610">
        <v>4</v>
      </c>
      <c r="L610">
        <v>2</v>
      </c>
      <c r="M610">
        <v>9</v>
      </c>
    </row>
    <row r="611" spans="1:13">
      <c r="A611">
        <v>43</v>
      </c>
      <c r="B611" t="s">
        <v>17</v>
      </c>
      <c r="C611" t="s">
        <v>18</v>
      </c>
      <c r="D611">
        <v>14</v>
      </c>
      <c r="E611">
        <v>2</v>
      </c>
      <c r="F611" t="s">
        <v>15</v>
      </c>
      <c r="G611">
        <v>2</v>
      </c>
      <c r="H611">
        <v>1</v>
      </c>
      <c r="I611" t="s">
        <v>19</v>
      </c>
      <c r="J611">
        <v>17159</v>
      </c>
      <c r="K611">
        <v>6</v>
      </c>
      <c r="L611">
        <v>3</v>
      </c>
      <c r="M611">
        <v>4</v>
      </c>
    </row>
    <row r="612" spans="1:13">
      <c r="A612">
        <v>27</v>
      </c>
      <c r="B612" t="s">
        <v>17</v>
      </c>
      <c r="C612" t="s">
        <v>18</v>
      </c>
      <c r="D612">
        <v>5</v>
      </c>
      <c r="E612">
        <v>1</v>
      </c>
      <c r="F612" t="s">
        <v>24</v>
      </c>
      <c r="G612">
        <v>3</v>
      </c>
      <c r="H612">
        <v>4</v>
      </c>
      <c r="I612" t="s">
        <v>22</v>
      </c>
      <c r="J612">
        <v>12808</v>
      </c>
      <c r="K612">
        <v>1</v>
      </c>
      <c r="L612">
        <v>3</v>
      </c>
      <c r="M612">
        <v>9</v>
      </c>
    </row>
    <row r="613" spans="1:13">
      <c r="A613">
        <v>35</v>
      </c>
      <c r="B613" t="s">
        <v>17</v>
      </c>
      <c r="C613" t="s">
        <v>18</v>
      </c>
      <c r="D613">
        <v>7</v>
      </c>
      <c r="E613">
        <v>3</v>
      </c>
      <c r="F613" t="s">
        <v>20</v>
      </c>
      <c r="G613">
        <v>3</v>
      </c>
      <c r="H613">
        <v>3</v>
      </c>
      <c r="I613" t="s">
        <v>16</v>
      </c>
      <c r="J613">
        <v>10221</v>
      </c>
      <c r="K613">
        <v>3</v>
      </c>
      <c r="L613">
        <v>4</v>
      </c>
      <c r="M613">
        <v>8</v>
      </c>
    </row>
    <row r="614" spans="1:13">
      <c r="A614">
        <v>28</v>
      </c>
      <c r="B614" t="s">
        <v>17</v>
      </c>
      <c r="C614" t="s">
        <v>14</v>
      </c>
      <c r="D614">
        <v>2</v>
      </c>
      <c r="E614">
        <v>4</v>
      </c>
      <c r="F614" t="s">
        <v>23</v>
      </c>
      <c r="G614">
        <v>2</v>
      </c>
      <c r="H614">
        <v>2</v>
      </c>
      <c r="I614" t="s">
        <v>19</v>
      </c>
      <c r="J614">
        <v>4779</v>
      </c>
      <c r="K614">
        <v>1</v>
      </c>
      <c r="L614">
        <v>3</v>
      </c>
      <c r="M614">
        <v>8</v>
      </c>
    </row>
    <row r="615" spans="1:13">
      <c r="A615">
        <v>34</v>
      </c>
      <c r="B615" t="s">
        <v>17</v>
      </c>
      <c r="C615" t="s">
        <v>25</v>
      </c>
      <c r="D615">
        <v>3</v>
      </c>
      <c r="E615">
        <v>2</v>
      </c>
      <c r="F615" t="s">
        <v>25</v>
      </c>
      <c r="G615">
        <v>3</v>
      </c>
      <c r="H615">
        <v>4</v>
      </c>
      <c r="I615" t="s">
        <v>19</v>
      </c>
      <c r="J615">
        <v>3737</v>
      </c>
      <c r="K615">
        <v>0</v>
      </c>
      <c r="L615">
        <v>1</v>
      </c>
      <c r="M615">
        <v>3</v>
      </c>
    </row>
    <row r="616" spans="1:13">
      <c r="A616">
        <v>26</v>
      </c>
      <c r="B616" t="s">
        <v>13</v>
      </c>
      <c r="C616" t="s">
        <v>18</v>
      </c>
      <c r="D616">
        <v>5</v>
      </c>
      <c r="E616">
        <v>2</v>
      </c>
      <c r="F616" t="s">
        <v>21</v>
      </c>
      <c r="G616">
        <v>3</v>
      </c>
      <c r="H616">
        <v>3</v>
      </c>
      <c r="I616" t="s">
        <v>19</v>
      </c>
      <c r="J616">
        <v>2366</v>
      </c>
      <c r="K616">
        <v>1</v>
      </c>
      <c r="L616">
        <v>3</v>
      </c>
      <c r="M616">
        <v>8</v>
      </c>
    </row>
    <row r="617" spans="1:13">
      <c r="A617">
        <v>27</v>
      </c>
      <c r="B617" t="s">
        <v>17</v>
      </c>
      <c r="C617" t="s">
        <v>18</v>
      </c>
      <c r="D617">
        <v>3</v>
      </c>
      <c r="E617">
        <v>3</v>
      </c>
      <c r="F617" t="s">
        <v>21</v>
      </c>
      <c r="G617">
        <v>4</v>
      </c>
      <c r="H617">
        <v>4</v>
      </c>
      <c r="I617" t="s">
        <v>19</v>
      </c>
      <c r="J617">
        <v>1706</v>
      </c>
      <c r="K617">
        <v>1</v>
      </c>
      <c r="L617">
        <v>2</v>
      </c>
      <c r="M617">
        <v>0</v>
      </c>
    </row>
    <row r="618" spans="1:13">
      <c r="A618">
        <v>51</v>
      </c>
      <c r="B618" t="s">
        <v>17</v>
      </c>
      <c r="C618" t="s">
        <v>14</v>
      </c>
      <c r="D618">
        <v>26</v>
      </c>
      <c r="E618">
        <v>4</v>
      </c>
      <c r="F618" t="s">
        <v>23</v>
      </c>
      <c r="G618">
        <v>1</v>
      </c>
      <c r="H618">
        <v>3</v>
      </c>
      <c r="I618" t="s">
        <v>19</v>
      </c>
      <c r="J618">
        <v>16307</v>
      </c>
      <c r="K618">
        <v>2</v>
      </c>
      <c r="L618">
        <v>2</v>
      </c>
      <c r="M618">
        <v>20</v>
      </c>
    </row>
    <row r="619" spans="1:13">
      <c r="A619">
        <v>44</v>
      </c>
      <c r="B619" t="s">
        <v>17</v>
      </c>
      <c r="C619" t="s">
        <v>18</v>
      </c>
      <c r="D619">
        <v>4</v>
      </c>
      <c r="E619">
        <v>3</v>
      </c>
      <c r="F619" t="s">
        <v>21</v>
      </c>
      <c r="G619">
        <v>4</v>
      </c>
      <c r="H619">
        <v>2</v>
      </c>
      <c r="I619" t="s">
        <v>16</v>
      </c>
      <c r="J619">
        <v>5933</v>
      </c>
      <c r="K619">
        <v>9</v>
      </c>
      <c r="L619">
        <v>2</v>
      </c>
      <c r="M619">
        <v>5</v>
      </c>
    </row>
    <row r="620" spans="1:13">
      <c r="A620">
        <v>25</v>
      </c>
      <c r="B620" t="s">
        <v>17</v>
      </c>
      <c r="C620" t="s">
        <v>18</v>
      </c>
      <c r="D620">
        <v>2</v>
      </c>
      <c r="E620">
        <v>1</v>
      </c>
      <c r="F620" t="s">
        <v>21</v>
      </c>
      <c r="G620">
        <v>1</v>
      </c>
      <c r="H620">
        <v>1</v>
      </c>
      <c r="I620" t="s">
        <v>16</v>
      </c>
      <c r="J620">
        <v>3424</v>
      </c>
      <c r="K620">
        <v>7</v>
      </c>
      <c r="L620">
        <v>2</v>
      </c>
      <c r="M620">
        <v>4</v>
      </c>
    </row>
    <row r="621" spans="1:13">
      <c r="A621">
        <v>33</v>
      </c>
      <c r="B621" t="s">
        <v>17</v>
      </c>
      <c r="C621" t="s">
        <v>14</v>
      </c>
      <c r="D621">
        <v>1</v>
      </c>
      <c r="E621">
        <v>3</v>
      </c>
      <c r="F621" t="s">
        <v>21</v>
      </c>
      <c r="G621">
        <v>1</v>
      </c>
      <c r="H621">
        <v>1</v>
      </c>
      <c r="I621" t="s">
        <v>22</v>
      </c>
      <c r="J621">
        <v>4037</v>
      </c>
      <c r="K621">
        <v>1</v>
      </c>
      <c r="L621">
        <v>3</v>
      </c>
      <c r="M621">
        <v>9</v>
      </c>
    </row>
    <row r="622" spans="1:13">
      <c r="A622">
        <v>35</v>
      </c>
      <c r="B622" t="s">
        <v>17</v>
      </c>
      <c r="C622" t="s">
        <v>18</v>
      </c>
      <c r="D622">
        <v>27</v>
      </c>
      <c r="E622">
        <v>1</v>
      </c>
      <c r="F622" t="s">
        <v>21</v>
      </c>
      <c r="G622">
        <v>3</v>
      </c>
      <c r="H622">
        <v>1</v>
      </c>
      <c r="I622" t="s">
        <v>16</v>
      </c>
      <c r="J622">
        <v>2559</v>
      </c>
      <c r="K622">
        <v>1</v>
      </c>
      <c r="L622">
        <v>2</v>
      </c>
      <c r="M622">
        <v>6</v>
      </c>
    </row>
    <row r="623" spans="1:13">
      <c r="A623">
        <v>36</v>
      </c>
      <c r="B623" t="s">
        <v>17</v>
      </c>
      <c r="C623" t="s">
        <v>14</v>
      </c>
      <c r="D623">
        <v>1</v>
      </c>
      <c r="E623">
        <v>2</v>
      </c>
      <c r="F623" t="s">
        <v>15</v>
      </c>
      <c r="G623">
        <v>2</v>
      </c>
      <c r="H623">
        <v>4</v>
      </c>
      <c r="I623" t="s">
        <v>19</v>
      </c>
      <c r="J623">
        <v>6201</v>
      </c>
      <c r="K623">
        <v>1</v>
      </c>
      <c r="L623">
        <v>2</v>
      </c>
      <c r="M623">
        <v>18</v>
      </c>
    </row>
    <row r="624" spans="1:13">
      <c r="A624">
        <v>32</v>
      </c>
      <c r="B624" t="s">
        <v>17</v>
      </c>
      <c r="C624" t="s">
        <v>14</v>
      </c>
      <c r="D624">
        <v>13</v>
      </c>
      <c r="E624">
        <v>4</v>
      </c>
      <c r="F624" t="s">
        <v>15</v>
      </c>
      <c r="G624">
        <v>2</v>
      </c>
      <c r="H624">
        <v>4</v>
      </c>
      <c r="I624" t="s">
        <v>22</v>
      </c>
      <c r="J624">
        <v>4403</v>
      </c>
      <c r="K624">
        <v>2</v>
      </c>
      <c r="L624">
        <v>2</v>
      </c>
      <c r="M624">
        <v>5</v>
      </c>
    </row>
    <row r="625" spans="1:13">
      <c r="A625">
        <v>30</v>
      </c>
      <c r="B625" t="s">
        <v>17</v>
      </c>
      <c r="C625" t="s">
        <v>18</v>
      </c>
      <c r="D625">
        <v>5</v>
      </c>
      <c r="E625">
        <v>4</v>
      </c>
      <c r="F625" t="s">
        <v>15</v>
      </c>
      <c r="G625">
        <v>2</v>
      </c>
      <c r="H625">
        <v>4</v>
      </c>
      <c r="I625" t="s">
        <v>22</v>
      </c>
      <c r="J625">
        <v>3761</v>
      </c>
      <c r="K625">
        <v>9</v>
      </c>
      <c r="L625">
        <v>2</v>
      </c>
      <c r="M625">
        <v>5</v>
      </c>
    </row>
    <row r="626" spans="1:13">
      <c r="A626">
        <v>53</v>
      </c>
      <c r="B626" t="s">
        <v>17</v>
      </c>
      <c r="C626" t="s">
        <v>14</v>
      </c>
      <c r="D626">
        <v>7</v>
      </c>
      <c r="E626">
        <v>2</v>
      </c>
      <c r="F626" t="s">
        <v>23</v>
      </c>
      <c r="G626">
        <v>1</v>
      </c>
      <c r="H626">
        <v>4</v>
      </c>
      <c r="I626" t="s">
        <v>19</v>
      </c>
      <c r="J626">
        <v>10934</v>
      </c>
      <c r="K626">
        <v>7</v>
      </c>
      <c r="L626">
        <v>3</v>
      </c>
      <c r="M626">
        <v>5</v>
      </c>
    </row>
    <row r="627" spans="1:13">
      <c r="A627">
        <v>45</v>
      </c>
      <c r="B627" t="s">
        <v>17</v>
      </c>
      <c r="C627" t="s">
        <v>14</v>
      </c>
      <c r="D627">
        <v>9</v>
      </c>
      <c r="E627">
        <v>3</v>
      </c>
      <c r="F627" t="s">
        <v>23</v>
      </c>
      <c r="G627">
        <v>4</v>
      </c>
      <c r="H627">
        <v>1</v>
      </c>
      <c r="I627" t="s">
        <v>22</v>
      </c>
      <c r="J627">
        <v>10761</v>
      </c>
      <c r="K627">
        <v>4</v>
      </c>
      <c r="L627">
        <v>3</v>
      </c>
      <c r="M627">
        <v>5</v>
      </c>
    </row>
    <row r="628" spans="1:13">
      <c r="A628">
        <v>32</v>
      </c>
      <c r="B628" t="s">
        <v>17</v>
      </c>
      <c r="C628" t="s">
        <v>18</v>
      </c>
      <c r="D628">
        <v>8</v>
      </c>
      <c r="E628">
        <v>2</v>
      </c>
      <c r="F628" t="s">
        <v>21</v>
      </c>
      <c r="G628">
        <v>3</v>
      </c>
      <c r="H628">
        <v>3</v>
      </c>
      <c r="I628" t="s">
        <v>19</v>
      </c>
      <c r="J628">
        <v>5175</v>
      </c>
      <c r="K628">
        <v>5</v>
      </c>
      <c r="L628">
        <v>2</v>
      </c>
      <c r="M628">
        <v>5</v>
      </c>
    </row>
    <row r="629" spans="1:13">
      <c r="A629">
        <v>52</v>
      </c>
      <c r="B629" t="s">
        <v>17</v>
      </c>
      <c r="C629" t="s">
        <v>18</v>
      </c>
      <c r="D629">
        <v>25</v>
      </c>
      <c r="E629">
        <v>4</v>
      </c>
      <c r="F629" t="s">
        <v>21</v>
      </c>
      <c r="G629">
        <v>3</v>
      </c>
      <c r="H629">
        <v>4</v>
      </c>
      <c r="I629" t="s">
        <v>19</v>
      </c>
      <c r="J629">
        <v>13826</v>
      </c>
      <c r="K629">
        <v>3</v>
      </c>
      <c r="L629">
        <v>3</v>
      </c>
      <c r="M629">
        <v>9</v>
      </c>
    </row>
    <row r="630" spans="1:13">
      <c r="A630">
        <v>37</v>
      </c>
      <c r="B630" t="s">
        <v>17</v>
      </c>
      <c r="C630" t="s">
        <v>14</v>
      </c>
      <c r="D630">
        <v>16</v>
      </c>
      <c r="E630">
        <v>4</v>
      </c>
      <c r="F630" t="s">
        <v>23</v>
      </c>
      <c r="G630">
        <v>4</v>
      </c>
      <c r="H630">
        <v>3</v>
      </c>
      <c r="I630" t="s">
        <v>22</v>
      </c>
      <c r="J630">
        <v>6334</v>
      </c>
      <c r="K630">
        <v>4</v>
      </c>
      <c r="L630">
        <v>3</v>
      </c>
      <c r="M630">
        <v>1</v>
      </c>
    </row>
    <row r="631" spans="1:13">
      <c r="A631">
        <v>28</v>
      </c>
      <c r="B631" t="s">
        <v>17</v>
      </c>
      <c r="C631" t="s">
        <v>25</v>
      </c>
      <c r="D631">
        <v>8</v>
      </c>
      <c r="E631">
        <v>2</v>
      </c>
      <c r="F631" t="s">
        <v>21</v>
      </c>
      <c r="G631">
        <v>2</v>
      </c>
      <c r="H631">
        <v>4</v>
      </c>
      <c r="I631" t="s">
        <v>22</v>
      </c>
      <c r="J631">
        <v>4936</v>
      </c>
      <c r="K631">
        <v>1</v>
      </c>
      <c r="L631">
        <v>3</v>
      </c>
      <c r="M631">
        <v>5</v>
      </c>
    </row>
    <row r="632" spans="1:13">
      <c r="A632">
        <v>22</v>
      </c>
      <c r="B632" t="s">
        <v>17</v>
      </c>
      <c r="C632" t="s">
        <v>18</v>
      </c>
      <c r="D632">
        <v>1</v>
      </c>
      <c r="E632">
        <v>2</v>
      </c>
      <c r="F632" t="s">
        <v>15</v>
      </c>
      <c r="G632">
        <v>4</v>
      </c>
      <c r="H632">
        <v>4</v>
      </c>
      <c r="I632" t="s">
        <v>19</v>
      </c>
      <c r="J632">
        <v>4775</v>
      </c>
      <c r="K632">
        <v>6</v>
      </c>
      <c r="L632">
        <v>1</v>
      </c>
      <c r="M632">
        <v>2</v>
      </c>
    </row>
    <row r="633" spans="1:13">
      <c r="A633">
        <v>44</v>
      </c>
      <c r="B633" t="s">
        <v>17</v>
      </c>
      <c r="C633" t="s">
        <v>18</v>
      </c>
      <c r="D633">
        <v>8</v>
      </c>
      <c r="E633">
        <v>4</v>
      </c>
      <c r="F633" t="s">
        <v>15</v>
      </c>
      <c r="G633">
        <v>1</v>
      </c>
      <c r="H633">
        <v>4</v>
      </c>
      <c r="I633" t="s">
        <v>19</v>
      </c>
      <c r="J633">
        <v>2818</v>
      </c>
      <c r="K633">
        <v>2</v>
      </c>
      <c r="L633">
        <v>2</v>
      </c>
      <c r="M633">
        <v>3</v>
      </c>
    </row>
    <row r="634" spans="1:13">
      <c r="A634">
        <v>42</v>
      </c>
      <c r="B634" t="s">
        <v>17</v>
      </c>
      <c r="C634" t="s">
        <v>18</v>
      </c>
      <c r="D634">
        <v>2</v>
      </c>
      <c r="E634">
        <v>1</v>
      </c>
      <c r="F634" t="s">
        <v>21</v>
      </c>
      <c r="G634">
        <v>2</v>
      </c>
      <c r="H634">
        <v>4</v>
      </c>
      <c r="I634" t="s">
        <v>16</v>
      </c>
      <c r="J634">
        <v>2515</v>
      </c>
      <c r="K634">
        <v>5</v>
      </c>
      <c r="L634">
        <v>3</v>
      </c>
      <c r="M634">
        <v>2</v>
      </c>
    </row>
    <row r="635" spans="1:13">
      <c r="A635">
        <v>36</v>
      </c>
      <c r="B635" t="s">
        <v>17</v>
      </c>
      <c r="C635" t="s">
        <v>25</v>
      </c>
      <c r="D635">
        <v>8</v>
      </c>
      <c r="E635">
        <v>3</v>
      </c>
      <c r="F635" t="s">
        <v>15</v>
      </c>
      <c r="G635">
        <v>1</v>
      </c>
      <c r="H635">
        <v>1</v>
      </c>
      <c r="I635" t="s">
        <v>19</v>
      </c>
      <c r="J635">
        <v>2342</v>
      </c>
      <c r="K635">
        <v>0</v>
      </c>
      <c r="L635">
        <v>3</v>
      </c>
      <c r="M635">
        <v>5</v>
      </c>
    </row>
    <row r="636" spans="1:13">
      <c r="A636">
        <v>25</v>
      </c>
      <c r="B636" t="s">
        <v>17</v>
      </c>
      <c r="C636" t="s">
        <v>14</v>
      </c>
      <c r="D636">
        <v>3</v>
      </c>
      <c r="E636">
        <v>1</v>
      </c>
      <c r="F636" t="s">
        <v>20</v>
      </c>
      <c r="G636">
        <v>3</v>
      </c>
      <c r="H636">
        <v>1</v>
      </c>
      <c r="I636" t="s">
        <v>19</v>
      </c>
      <c r="J636">
        <v>4194</v>
      </c>
      <c r="K636">
        <v>1</v>
      </c>
      <c r="L636">
        <v>3</v>
      </c>
      <c r="M636">
        <v>5</v>
      </c>
    </row>
    <row r="637" spans="1:13">
      <c r="A637">
        <v>35</v>
      </c>
      <c r="B637" t="s">
        <v>17</v>
      </c>
      <c r="C637" t="s">
        <v>18</v>
      </c>
      <c r="D637">
        <v>9</v>
      </c>
      <c r="E637">
        <v>3</v>
      </c>
      <c r="F637" t="s">
        <v>15</v>
      </c>
      <c r="G637">
        <v>4</v>
      </c>
      <c r="H637">
        <v>3</v>
      </c>
      <c r="I637" t="s">
        <v>19</v>
      </c>
      <c r="J637">
        <v>10685</v>
      </c>
      <c r="K637">
        <v>1</v>
      </c>
      <c r="L637">
        <v>3</v>
      </c>
      <c r="M637">
        <v>17</v>
      </c>
    </row>
    <row r="638" spans="1:13">
      <c r="A638">
        <v>35</v>
      </c>
      <c r="B638" t="s">
        <v>13</v>
      </c>
      <c r="C638" t="s">
        <v>18</v>
      </c>
      <c r="D638">
        <v>25</v>
      </c>
      <c r="E638">
        <v>4</v>
      </c>
      <c r="F638" t="s">
        <v>15</v>
      </c>
      <c r="G638">
        <v>4</v>
      </c>
      <c r="H638">
        <v>2</v>
      </c>
      <c r="I638" t="s">
        <v>22</v>
      </c>
      <c r="J638">
        <v>2022</v>
      </c>
      <c r="K638">
        <v>1</v>
      </c>
      <c r="L638">
        <v>2</v>
      </c>
      <c r="M638">
        <v>10</v>
      </c>
    </row>
    <row r="639" spans="1:13">
      <c r="A639">
        <v>32</v>
      </c>
      <c r="B639" t="s">
        <v>17</v>
      </c>
      <c r="C639" t="s">
        <v>18</v>
      </c>
      <c r="D639">
        <v>1</v>
      </c>
      <c r="E639">
        <v>3</v>
      </c>
      <c r="F639" t="s">
        <v>15</v>
      </c>
      <c r="G639">
        <v>4</v>
      </c>
      <c r="H639">
        <v>4</v>
      </c>
      <c r="I639" t="s">
        <v>22</v>
      </c>
      <c r="J639">
        <v>2314</v>
      </c>
      <c r="K639">
        <v>0</v>
      </c>
      <c r="L639">
        <v>3</v>
      </c>
      <c r="M639">
        <v>3</v>
      </c>
    </row>
    <row r="640" spans="1:13">
      <c r="A640">
        <v>25</v>
      </c>
      <c r="B640" t="s">
        <v>17</v>
      </c>
      <c r="C640" t="s">
        <v>14</v>
      </c>
      <c r="D640">
        <v>4</v>
      </c>
      <c r="E640">
        <v>1</v>
      </c>
      <c r="F640" t="s">
        <v>23</v>
      </c>
      <c r="G640">
        <v>3</v>
      </c>
      <c r="H640">
        <v>1</v>
      </c>
      <c r="I640" t="s">
        <v>19</v>
      </c>
      <c r="J640">
        <v>4256</v>
      </c>
      <c r="K640">
        <v>1</v>
      </c>
      <c r="L640">
        <v>4</v>
      </c>
      <c r="M640">
        <v>5</v>
      </c>
    </row>
    <row r="641" spans="1:13">
      <c r="A641">
        <v>49</v>
      </c>
      <c r="B641" t="s">
        <v>17</v>
      </c>
      <c r="C641" t="s">
        <v>18</v>
      </c>
      <c r="D641">
        <v>1</v>
      </c>
      <c r="E641">
        <v>3</v>
      </c>
      <c r="F641" t="s">
        <v>24</v>
      </c>
      <c r="G641">
        <v>3</v>
      </c>
      <c r="H641">
        <v>1</v>
      </c>
      <c r="I641" t="s">
        <v>19</v>
      </c>
      <c r="J641">
        <v>3580</v>
      </c>
      <c r="K641">
        <v>2</v>
      </c>
      <c r="L641">
        <v>3</v>
      </c>
      <c r="M641">
        <v>4</v>
      </c>
    </row>
    <row r="642" spans="1:13">
      <c r="A642">
        <v>24</v>
      </c>
      <c r="B642" t="s">
        <v>17</v>
      </c>
      <c r="C642" t="s">
        <v>18</v>
      </c>
      <c r="D642">
        <v>4</v>
      </c>
      <c r="E642">
        <v>1</v>
      </c>
      <c r="F642" t="s">
        <v>15</v>
      </c>
      <c r="G642">
        <v>1</v>
      </c>
      <c r="H642">
        <v>4</v>
      </c>
      <c r="I642" t="s">
        <v>19</v>
      </c>
      <c r="J642">
        <v>3162</v>
      </c>
      <c r="K642">
        <v>0</v>
      </c>
      <c r="L642">
        <v>2</v>
      </c>
      <c r="M642">
        <v>5</v>
      </c>
    </row>
    <row r="643" spans="1:13">
      <c r="A643">
        <v>32</v>
      </c>
      <c r="B643" t="s">
        <v>17</v>
      </c>
      <c r="C643" t="s">
        <v>14</v>
      </c>
      <c r="D643">
        <v>5</v>
      </c>
      <c r="E643">
        <v>2</v>
      </c>
      <c r="F643" t="s">
        <v>15</v>
      </c>
      <c r="G643">
        <v>2</v>
      </c>
      <c r="H643">
        <v>2</v>
      </c>
      <c r="I643" t="s">
        <v>19</v>
      </c>
      <c r="J643">
        <v>6524</v>
      </c>
      <c r="K643">
        <v>1</v>
      </c>
      <c r="L643">
        <v>3</v>
      </c>
      <c r="M643">
        <v>10</v>
      </c>
    </row>
    <row r="644" spans="1:13">
      <c r="A644">
        <v>38</v>
      </c>
      <c r="B644" t="s">
        <v>17</v>
      </c>
      <c r="C644" t="s">
        <v>14</v>
      </c>
      <c r="D644">
        <v>9</v>
      </c>
      <c r="E644">
        <v>3</v>
      </c>
      <c r="F644" t="s">
        <v>23</v>
      </c>
      <c r="G644">
        <v>2</v>
      </c>
      <c r="H644">
        <v>2</v>
      </c>
      <c r="I644" t="s">
        <v>19</v>
      </c>
      <c r="J644">
        <v>2899</v>
      </c>
      <c r="K644">
        <v>0</v>
      </c>
      <c r="L644">
        <v>3</v>
      </c>
      <c r="M644">
        <v>2</v>
      </c>
    </row>
    <row r="645" spans="1:13">
      <c r="A645">
        <v>42</v>
      </c>
      <c r="B645" t="s">
        <v>17</v>
      </c>
      <c r="C645" t="s">
        <v>18</v>
      </c>
      <c r="D645">
        <v>3</v>
      </c>
      <c r="E645">
        <v>3</v>
      </c>
      <c r="F645" t="s">
        <v>15</v>
      </c>
      <c r="G645">
        <v>3</v>
      </c>
      <c r="H645">
        <v>4</v>
      </c>
      <c r="I645" t="s">
        <v>19</v>
      </c>
      <c r="J645">
        <v>5231</v>
      </c>
      <c r="K645">
        <v>2</v>
      </c>
      <c r="L645">
        <v>2</v>
      </c>
      <c r="M645">
        <v>5</v>
      </c>
    </row>
    <row r="646" spans="1:13">
      <c r="A646">
        <v>31</v>
      </c>
      <c r="B646" t="s">
        <v>17</v>
      </c>
      <c r="C646" t="s">
        <v>18</v>
      </c>
      <c r="D646">
        <v>11</v>
      </c>
      <c r="E646">
        <v>4</v>
      </c>
      <c r="F646" t="s">
        <v>15</v>
      </c>
      <c r="G646">
        <v>4</v>
      </c>
      <c r="H646">
        <v>4</v>
      </c>
      <c r="I646" t="s">
        <v>19</v>
      </c>
      <c r="J646">
        <v>2356</v>
      </c>
      <c r="K646">
        <v>3</v>
      </c>
      <c r="L646">
        <v>3</v>
      </c>
      <c r="M646">
        <v>6</v>
      </c>
    </row>
    <row r="647" spans="1:13">
      <c r="A647">
        <v>29</v>
      </c>
      <c r="B647" t="s">
        <v>13</v>
      </c>
      <c r="C647" t="s">
        <v>14</v>
      </c>
      <c r="D647">
        <v>1</v>
      </c>
      <c r="E647">
        <v>3</v>
      </c>
      <c r="F647" t="s">
        <v>21</v>
      </c>
      <c r="G647">
        <v>2</v>
      </c>
      <c r="H647">
        <v>3</v>
      </c>
      <c r="I647" t="s">
        <v>22</v>
      </c>
      <c r="J647">
        <v>2800</v>
      </c>
      <c r="K647">
        <v>6</v>
      </c>
      <c r="L647">
        <v>3</v>
      </c>
      <c r="M647">
        <v>3</v>
      </c>
    </row>
    <row r="648" spans="1:13">
      <c r="A648">
        <v>53</v>
      </c>
      <c r="B648" t="s">
        <v>17</v>
      </c>
      <c r="C648" t="s">
        <v>14</v>
      </c>
      <c r="D648">
        <v>8</v>
      </c>
      <c r="E648">
        <v>3</v>
      </c>
      <c r="F648" t="s">
        <v>23</v>
      </c>
      <c r="G648">
        <v>1</v>
      </c>
      <c r="H648">
        <v>4</v>
      </c>
      <c r="I648" t="s">
        <v>19</v>
      </c>
      <c r="J648">
        <v>11836</v>
      </c>
      <c r="K648">
        <v>5</v>
      </c>
      <c r="L648">
        <v>3</v>
      </c>
      <c r="M648">
        <v>2</v>
      </c>
    </row>
    <row r="649" spans="1:13">
      <c r="A649">
        <v>35</v>
      </c>
      <c r="B649" t="s">
        <v>17</v>
      </c>
      <c r="C649" t="s">
        <v>18</v>
      </c>
      <c r="D649">
        <v>25</v>
      </c>
      <c r="E649">
        <v>3</v>
      </c>
      <c r="F649" t="s">
        <v>24</v>
      </c>
      <c r="G649">
        <v>4</v>
      </c>
      <c r="H649">
        <v>2</v>
      </c>
      <c r="I649" t="s">
        <v>19</v>
      </c>
      <c r="J649">
        <v>10903</v>
      </c>
      <c r="K649">
        <v>3</v>
      </c>
      <c r="L649">
        <v>3</v>
      </c>
      <c r="M649">
        <v>13</v>
      </c>
    </row>
    <row r="650" spans="1:13">
      <c r="A650">
        <v>37</v>
      </c>
      <c r="B650" t="s">
        <v>17</v>
      </c>
      <c r="C650" t="s">
        <v>14</v>
      </c>
      <c r="D650">
        <v>21</v>
      </c>
      <c r="E650">
        <v>2</v>
      </c>
      <c r="F650" t="s">
        <v>21</v>
      </c>
      <c r="G650">
        <v>3</v>
      </c>
      <c r="H650">
        <v>4</v>
      </c>
      <c r="I650" t="s">
        <v>19</v>
      </c>
      <c r="J650">
        <v>2973</v>
      </c>
      <c r="K650">
        <v>5</v>
      </c>
      <c r="L650">
        <v>3</v>
      </c>
      <c r="M650">
        <v>5</v>
      </c>
    </row>
    <row r="651" spans="1:13">
      <c r="A651">
        <v>53</v>
      </c>
      <c r="B651" t="s">
        <v>17</v>
      </c>
      <c r="C651" t="s">
        <v>18</v>
      </c>
      <c r="D651">
        <v>23</v>
      </c>
      <c r="E651">
        <v>4</v>
      </c>
      <c r="F651" t="s">
        <v>15</v>
      </c>
      <c r="G651">
        <v>4</v>
      </c>
      <c r="H651">
        <v>4</v>
      </c>
      <c r="I651" t="s">
        <v>16</v>
      </c>
      <c r="J651">
        <v>14275</v>
      </c>
      <c r="K651">
        <v>6</v>
      </c>
      <c r="L651">
        <v>3</v>
      </c>
      <c r="M651">
        <v>12</v>
      </c>
    </row>
    <row r="652" spans="1:13">
      <c r="A652">
        <v>43</v>
      </c>
      <c r="B652" t="s">
        <v>17</v>
      </c>
      <c r="C652" t="s">
        <v>18</v>
      </c>
      <c r="D652">
        <v>1</v>
      </c>
      <c r="E652">
        <v>3</v>
      </c>
      <c r="F652" t="s">
        <v>15</v>
      </c>
      <c r="G652">
        <v>4</v>
      </c>
      <c r="H652">
        <v>4</v>
      </c>
      <c r="I652" t="s">
        <v>19</v>
      </c>
      <c r="J652">
        <v>5562</v>
      </c>
      <c r="K652">
        <v>4</v>
      </c>
      <c r="L652">
        <v>2</v>
      </c>
      <c r="M652">
        <v>5</v>
      </c>
    </row>
    <row r="653" spans="1:13">
      <c r="A653">
        <v>47</v>
      </c>
      <c r="B653" t="s">
        <v>17</v>
      </c>
      <c r="C653" t="s">
        <v>14</v>
      </c>
      <c r="D653">
        <v>2</v>
      </c>
      <c r="E653">
        <v>2</v>
      </c>
      <c r="F653" t="s">
        <v>23</v>
      </c>
      <c r="G653">
        <v>3</v>
      </c>
      <c r="H653">
        <v>4</v>
      </c>
      <c r="I653" t="s">
        <v>19</v>
      </c>
      <c r="J653">
        <v>4537</v>
      </c>
      <c r="K653">
        <v>0</v>
      </c>
      <c r="L653">
        <v>3</v>
      </c>
      <c r="M653">
        <v>7</v>
      </c>
    </row>
    <row r="654" spans="1:13">
      <c r="A654">
        <v>37</v>
      </c>
      <c r="B654" t="s">
        <v>17</v>
      </c>
      <c r="C654" t="s">
        <v>14</v>
      </c>
      <c r="D654">
        <v>19</v>
      </c>
      <c r="E654">
        <v>2</v>
      </c>
      <c r="F654" t="s">
        <v>21</v>
      </c>
      <c r="G654">
        <v>1</v>
      </c>
      <c r="H654">
        <v>2</v>
      </c>
      <c r="I654" t="s">
        <v>16</v>
      </c>
      <c r="J654">
        <v>7642</v>
      </c>
      <c r="K654">
        <v>1</v>
      </c>
      <c r="L654">
        <v>3</v>
      </c>
      <c r="M654">
        <v>10</v>
      </c>
    </row>
    <row r="655" spans="1:13">
      <c r="A655">
        <v>50</v>
      </c>
      <c r="B655" t="s">
        <v>17</v>
      </c>
      <c r="C655" t="s">
        <v>18</v>
      </c>
      <c r="D655">
        <v>2</v>
      </c>
      <c r="E655">
        <v>4</v>
      </c>
      <c r="F655" t="s">
        <v>15</v>
      </c>
      <c r="G655">
        <v>1</v>
      </c>
      <c r="H655">
        <v>1</v>
      </c>
      <c r="I655" t="s">
        <v>22</v>
      </c>
      <c r="J655">
        <v>17924</v>
      </c>
      <c r="K655">
        <v>1</v>
      </c>
      <c r="L655">
        <v>3</v>
      </c>
      <c r="M655">
        <v>31</v>
      </c>
    </row>
    <row r="656" spans="1:13">
      <c r="A656">
        <v>39</v>
      </c>
      <c r="B656" t="s">
        <v>17</v>
      </c>
      <c r="C656" t="s">
        <v>25</v>
      </c>
      <c r="D656">
        <v>2</v>
      </c>
      <c r="E656">
        <v>3</v>
      </c>
      <c r="F656" t="s">
        <v>15</v>
      </c>
      <c r="G656">
        <v>4</v>
      </c>
      <c r="H656">
        <v>4</v>
      </c>
      <c r="I656" t="s">
        <v>19</v>
      </c>
      <c r="J656">
        <v>5204</v>
      </c>
      <c r="K656">
        <v>8</v>
      </c>
      <c r="L656">
        <v>3</v>
      </c>
      <c r="M656">
        <v>5</v>
      </c>
    </row>
    <row r="657" spans="1:13">
      <c r="A657">
        <v>33</v>
      </c>
      <c r="B657" t="s">
        <v>17</v>
      </c>
      <c r="C657" t="s">
        <v>25</v>
      </c>
      <c r="D657">
        <v>3</v>
      </c>
      <c r="E657">
        <v>2</v>
      </c>
      <c r="F657" t="s">
        <v>25</v>
      </c>
      <c r="G657">
        <v>4</v>
      </c>
      <c r="H657">
        <v>2</v>
      </c>
      <c r="I657" t="s">
        <v>22</v>
      </c>
      <c r="J657">
        <v>2277</v>
      </c>
      <c r="K657">
        <v>3</v>
      </c>
      <c r="L657">
        <v>4</v>
      </c>
      <c r="M657">
        <v>4</v>
      </c>
    </row>
    <row r="658" spans="1:13">
      <c r="A658">
        <v>32</v>
      </c>
      <c r="B658" t="s">
        <v>13</v>
      </c>
      <c r="C658" t="s">
        <v>18</v>
      </c>
      <c r="D658">
        <v>25</v>
      </c>
      <c r="E658">
        <v>4</v>
      </c>
      <c r="F658" t="s">
        <v>15</v>
      </c>
      <c r="G658">
        <v>1</v>
      </c>
      <c r="H658">
        <v>4</v>
      </c>
      <c r="I658" t="s">
        <v>16</v>
      </c>
      <c r="J658">
        <v>2795</v>
      </c>
      <c r="K658">
        <v>1</v>
      </c>
      <c r="L658">
        <v>1</v>
      </c>
      <c r="M658">
        <v>1</v>
      </c>
    </row>
    <row r="659" spans="1:13">
      <c r="A659">
        <v>29</v>
      </c>
      <c r="B659" t="s">
        <v>17</v>
      </c>
      <c r="C659" t="s">
        <v>18</v>
      </c>
      <c r="D659">
        <v>7</v>
      </c>
      <c r="E659">
        <v>1</v>
      </c>
      <c r="F659" t="s">
        <v>21</v>
      </c>
      <c r="G659">
        <v>1</v>
      </c>
      <c r="H659">
        <v>4</v>
      </c>
      <c r="I659" t="s">
        <v>22</v>
      </c>
      <c r="J659">
        <v>2532</v>
      </c>
      <c r="K659">
        <v>6</v>
      </c>
      <c r="L659">
        <v>3</v>
      </c>
      <c r="M659">
        <v>4</v>
      </c>
    </row>
    <row r="660" spans="1:13">
      <c r="A660">
        <v>44</v>
      </c>
      <c r="B660" t="s">
        <v>17</v>
      </c>
      <c r="C660" t="s">
        <v>18</v>
      </c>
      <c r="D660">
        <v>9</v>
      </c>
      <c r="E660">
        <v>2</v>
      </c>
      <c r="F660" t="s">
        <v>15</v>
      </c>
      <c r="G660">
        <v>2</v>
      </c>
      <c r="H660">
        <v>1</v>
      </c>
      <c r="I660" t="s">
        <v>19</v>
      </c>
      <c r="J660">
        <v>2559</v>
      </c>
      <c r="K660">
        <v>1</v>
      </c>
      <c r="L660">
        <v>3</v>
      </c>
      <c r="M660">
        <v>8</v>
      </c>
    </row>
    <row r="661" spans="1:13">
      <c r="A661">
        <v>28</v>
      </c>
      <c r="B661" t="s">
        <v>17</v>
      </c>
      <c r="C661" t="s">
        <v>14</v>
      </c>
      <c r="D661">
        <v>5</v>
      </c>
      <c r="E661">
        <v>4</v>
      </c>
      <c r="F661" t="s">
        <v>21</v>
      </c>
      <c r="G661">
        <v>1</v>
      </c>
      <c r="H661">
        <v>4</v>
      </c>
      <c r="I661" t="s">
        <v>16</v>
      </c>
      <c r="J661">
        <v>4908</v>
      </c>
      <c r="K661">
        <v>1</v>
      </c>
      <c r="L661">
        <v>3</v>
      </c>
      <c r="M661">
        <v>4</v>
      </c>
    </row>
    <row r="662" spans="1:13">
      <c r="A662">
        <v>58</v>
      </c>
      <c r="B662" t="s">
        <v>13</v>
      </c>
      <c r="C662" t="s">
        <v>18</v>
      </c>
      <c r="D662">
        <v>2</v>
      </c>
      <c r="E662">
        <v>1</v>
      </c>
      <c r="F662" t="s">
        <v>15</v>
      </c>
      <c r="G662">
        <v>4</v>
      </c>
      <c r="H662">
        <v>4</v>
      </c>
      <c r="I662" t="s">
        <v>22</v>
      </c>
      <c r="J662">
        <v>2380</v>
      </c>
      <c r="K662">
        <v>9</v>
      </c>
      <c r="L662">
        <v>2</v>
      </c>
      <c r="M662">
        <v>1</v>
      </c>
    </row>
    <row r="663" spans="1:13">
      <c r="A663">
        <v>43</v>
      </c>
      <c r="B663" t="s">
        <v>17</v>
      </c>
      <c r="C663" t="s">
        <v>18</v>
      </c>
      <c r="D663">
        <v>8</v>
      </c>
      <c r="E663">
        <v>3</v>
      </c>
      <c r="F663" t="s">
        <v>15</v>
      </c>
      <c r="G663">
        <v>1</v>
      </c>
      <c r="H663">
        <v>2</v>
      </c>
      <c r="I663" t="s">
        <v>22</v>
      </c>
      <c r="J663">
        <v>4765</v>
      </c>
      <c r="K663">
        <v>4</v>
      </c>
      <c r="L663">
        <v>4</v>
      </c>
      <c r="M663">
        <v>1</v>
      </c>
    </row>
    <row r="664" spans="1:13">
      <c r="A664">
        <v>20</v>
      </c>
      <c r="B664" t="s">
        <v>13</v>
      </c>
      <c r="C664" t="s">
        <v>14</v>
      </c>
      <c r="D664">
        <v>2</v>
      </c>
      <c r="E664">
        <v>3</v>
      </c>
      <c r="F664" t="s">
        <v>21</v>
      </c>
      <c r="G664">
        <v>3</v>
      </c>
      <c r="H664">
        <v>3</v>
      </c>
      <c r="I664" t="s">
        <v>16</v>
      </c>
      <c r="J664">
        <v>2044</v>
      </c>
      <c r="K664">
        <v>1</v>
      </c>
      <c r="L664">
        <v>2</v>
      </c>
      <c r="M664">
        <v>2</v>
      </c>
    </row>
    <row r="665" spans="1:13">
      <c r="A665">
        <v>21</v>
      </c>
      <c r="B665" t="s">
        <v>13</v>
      </c>
      <c r="C665" t="s">
        <v>18</v>
      </c>
      <c r="D665">
        <v>18</v>
      </c>
      <c r="E665">
        <v>1</v>
      </c>
      <c r="F665" t="s">
        <v>20</v>
      </c>
      <c r="G665">
        <v>4</v>
      </c>
      <c r="H665">
        <v>4</v>
      </c>
      <c r="I665" t="s">
        <v>16</v>
      </c>
      <c r="J665">
        <v>2693</v>
      </c>
      <c r="K665">
        <v>1</v>
      </c>
      <c r="L665">
        <v>2</v>
      </c>
      <c r="M665">
        <v>1</v>
      </c>
    </row>
    <row r="666" spans="1:13">
      <c r="A666">
        <v>36</v>
      </c>
      <c r="B666" t="s">
        <v>17</v>
      </c>
      <c r="C666" t="s">
        <v>18</v>
      </c>
      <c r="D666">
        <v>14</v>
      </c>
      <c r="E666">
        <v>1</v>
      </c>
      <c r="F666" t="s">
        <v>15</v>
      </c>
      <c r="G666">
        <v>3</v>
      </c>
      <c r="H666">
        <v>4</v>
      </c>
      <c r="I666" t="s">
        <v>19</v>
      </c>
      <c r="J666">
        <v>6586</v>
      </c>
      <c r="K666">
        <v>0</v>
      </c>
      <c r="L666">
        <v>2</v>
      </c>
      <c r="M666">
        <v>16</v>
      </c>
    </row>
    <row r="667" spans="1:13">
      <c r="A667">
        <v>47</v>
      </c>
      <c r="B667" t="s">
        <v>17</v>
      </c>
      <c r="C667" t="s">
        <v>14</v>
      </c>
      <c r="D667">
        <v>2</v>
      </c>
      <c r="E667">
        <v>4</v>
      </c>
      <c r="F667" t="s">
        <v>15</v>
      </c>
      <c r="G667">
        <v>4</v>
      </c>
      <c r="H667">
        <v>4</v>
      </c>
      <c r="I667" t="s">
        <v>16</v>
      </c>
      <c r="J667">
        <v>3294</v>
      </c>
      <c r="K667">
        <v>1</v>
      </c>
      <c r="L667">
        <v>2</v>
      </c>
      <c r="M667">
        <v>3</v>
      </c>
    </row>
    <row r="668" spans="1:13">
      <c r="A668">
        <v>22</v>
      </c>
      <c r="B668" t="s">
        <v>13</v>
      </c>
      <c r="C668" t="s">
        <v>18</v>
      </c>
      <c r="D668">
        <v>3</v>
      </c>
      <c r="E668">
        <v>1</v>
      </c>
      <c r="F668" t="s">
        <v>15</v>
      </c>
      <c r="G668">
        <v>2</v>
      </c>
      <c r="H668">
        <v>3</v>
      </c>
      <c r="I668" t="s">
        <v>19</v>
      </c>
      <c r="J668">
        <v>4171</v>
      </c>
      <c r="K668">
        <v>0</v>
      </c>
      <c r="L668">
        <v>4</v>
      </c>
      <c r="M668">
        <v>3</v>
      </c>
    </row>
    <row r="669" spans="1:13">
      <c r="A669">
        <v>41</v>
      </c>
      <c r="B669" t="s">
        <v>13</v>
      </c>
      <c r="C669" t="s">
        <v>18</v>
      </c>
      <c r="D669">
        <v>2</v>
      </c>
      <c r="E669">
        <v>4</v>
      </c>
      <c r="F669" t="s">
        <v>15</v>
      </c>
      <c r="G669">
        <v>2</v>
      </c>
      <c r="H669">
        <v>4</v>
      </c>
      <c r="I669" t="s">
        <v>22</v>
      </c>
      <c r="J669">
        <v>2778</v>
      </c>
      <c r="K669">
        <v>4</v>
      </c>
      <c r="L669">
        <v>2</v>
      </c>
      <c r="M669">
        <v>7</v>
      </c>
    </row>
    <row r="670" spans="1:13">
      <c r="A670">
        <v>28</v>
      </c>
      <c r="B670" t="s">
        <v>17</v>
      </c>
      <c r="C670" t="s">
        <v>18</v>
      </c>
      <c r="D670">
        <v>9</v>
      </c>
      <c r="E670">
        <v>3</v>
      </c>
      <c r="F670" t="s">
        <v>21</v>
      </c>
      <c r="G670">
        <v>3</v>
      </c>
      <c r="H670">
        <v>3</v>
      </c>
      <c r="I670" t="s">
        <v>22</v>
      </c>
      <c r="J670">
        <v>2377</v>
      </c>
      <c r="K670">
        <v>5</v>
      </c>
      <c r="L670">
        <v>3</v>
      </c>
      <c r="M670">
        <v>2</v>
      </c>
    </row>
    <row r="671" spans="1:13">
      <c r="A671">
        <v>39</v>
      </c>
      <c r="B671" t="s">
        <v>13</v>
      </c>
      <c r="C671" t="s">
        <v>18</v>
      </c>
      <c r="D671">
        <v>6</v>
      </c>
      <c r="E671">
        <v>3</v>
      </c>
      <c r="F671" t="s">
        <v>21</v>
      </c>
      <c r="G671">
        <v>4</v>
      </c>
      <c r="H671">
        <v>1</v>
      </c>
      <c r="I671" t="s">
        <v>19</v>
      </c>
      <c r="J671">
        <v>2404</v>
      </c>
      <c r="K671">
        <v>7</v>
      </c>
      <c r="L671">
        <v>1</v>
      </c>
      <c r="M671">
        <v>2</v>
      </c>
    </row>
    <row r="672" spans="1:13">
      <c r="A672">
        <v>27</v>
      </c>
      <c r="B672" t="s">
        <v>17</v>
      </c>
      <c r="C672" t="s">
        <v>18</v>
      </c>
      <c r="D672">
        <v>4</v>
      </c>
      <c r="E672">
        <v>3</v>
      </c>
      <c r="F672" t="s">
        <v>15</v>
      </c>
      <c r="G672">
        <v>2</v>
      </c>
      <c r="H672">
        <v>3</v>
      </c>
      <c r="I672" t="s">
        <v>16</v>
      </c>
      <c r="J672">
        <v>2318</v>
      </c>
      <c r="K672">
        <v>1</v>
      </c>
      <c r="L672">
        <v>3</v>
      </c>
      <c r="M672">
        <v>1</v>
      </c>
    </row>
    <row r="673" spans="1:13">
      <c r="A673">
        <v>34</v>
      </c>
      <c r="B673" t="s">
        <v>17</v>
      </c>
      <c r="C673" t="s">
        <v>18</v>
      </c>
      <c r="D673">
        <v>10</v>
      </c>
      <c r="E673">
        <v>3</v>
      </c>
      <c r="F673" t="s">
        <v>15</v>
      </c>
      <c r="G673">
        <v>2</v>
      </c>
      <c r="H673">
        <v>2</v>
      </c>
      <c r="I673" t="s">
        <v>22</v>
      </c>
      <c r="J673">
        <v>2008</v>
      </c>
      <c r="K673">
        <v>1</v>
      </c>
      <c r="L673">
        <v>3</v>
      </c>
      <c r="M673">
        <v>1</v>
      </c>
    </row>
    <row r="674" spans="1:13">
      <c r="A674">
        <v>42</v>
      </c>
      <c r="B674" t="s">
        <v>17</v>
      </c>
      <c r="C674" t="s">
        <v>14</v>
      </c>
      <c r="D674">
        <v>14</v>
      </c>
      <c r="E674">
        <v>2</v>
      </c>
      <c r="F674" t="s">
        <v>21</v>
      </c>
      <c r="G674">
        <v>3</v>
      </c>
      <c r="H674">
        <v>3</v>
      </c>
      <c r="I674" t="s">
        <v>16</v>
      </c>
      <c r="J674">
        <v>6244</v>
      </c>
      <c r="K674">
        <v>7</v>
      </c>
      <c r="L674">
        <v>3</v>
      </c>
      <c r="M674">
        <v>5</v>
      </c>
    </row>
    <row r="675" spans="1:13">
      <c r="A675">
        <v>33</v>
      </c>
      <c r="B675" t="s">
        <v>17</v>
      </c>
      <c r="C675" t="s">
        <v>18</v>
      </c>
      <c r="D675">
        <v>1</v>
      </c>
      <c r="E675">
        <v>4</v>
      </c>
      <c r="F675" t="s">
        <v>20</v>
      </c>
      <c r="G675">
        <v>3</v>
      </c>
      <c r="H675">
        <v>1</v>
      </c>
      <c r="I675" t="s">
        <v>16</v>
      </c>
      <c r="J675">
        <v>2799</v>
      </c>
      <c r="K675">
        <v>3</v>
      </c>
      <c r="L675">
        <v>3</v>
      </c>
      <c r="M675">
        <v>3</v>
      </c>
    </row>
    <row r="676" spans="1:13">
      <c r="A676">
        <v>58</v>
      </c>
      <c r="B676" t="s">
        <v>17</v>
      </c>
      <c r="C676" t="s">
        <v>18</v>
      </c>
      <c r="D676">
        <v>5</v>
      </c>
      <c r="E676">
        <v>3</v>
      </c>
      <c r="F676" t="s">
        <v>24</v>
      </c>
      <c r="G676">
        <v>3</v>
      </c>
      <c r="H676">
        <v>2</v>
      </c>
      <c r="I676" t="s">
        <v>22</v>
      </c>
      <c r="J676">
        <v>10552</v>
      </c>
      <c r="K676">
        <v>2</v>
      </c>
      <c r="L676">
        <v>3</v>
      </c>
      <c r="M676">
        <v>6</v>
      </c>
    </row>
    <row r="677" spans="1:13">
      <c r="A677">
        <v>31</v>
      </c>
      <c r="B677" t="s">
        <v>17</v>
      </c>
      <c r="C677" t="s">
        <v>14</v>
      </c>
      <c r="D677">
        <v>7</v>
      </c>
      <c r="E677">
        <v>4</v>
      </c>
      <c r="F677" t="s">
        <v>15</v>
      </c>
      <c r="G677">
        <v>2</v>
      </c>
      <c r="H677">
        <v>3</v>
      </c>
      <c r="I677" t="s">
        <v>19</v>
      </c>
      <c r="J677">
        <v>2329</v>
      </c>
      <c r="K677">
        <v>3</v>
      </c>
      <c r="L677">
        <v>4</v>
      </c>
      <c r="M677">
        <v>7</v>
      </c>
    </row>
    <row r="678" spans="1:13">
      <c r="A678">
        <v>35</v>
      </c>
      <c r="B678" t="s">
        <v>17</v>
      </c>
      <c r="C678" t="s">
        <v>18</v>
      </c>
      <c r="D678">
        <v>21</v>
      </c>
      <c r="E678">
        <v>1</v>
      </c>
      <c r="F678" t="s">
        <v>15</v>
      </c>
      <c r="G678">
        <v>4</v>
      </c>
      <c r="H678">
        <v>4</v>
      </c>
      <c r="I678" t="s">
        <v>19</v>
      </c>
      <c r="J678">
        <v>4014</v>
      </c>
      <c r="K678">
        <v>1</v>
      </c>
      <c r="L678">
        <v>1</v>
      </c>
      <c r="M678">
        <v>10</v>
      </c>
    </row>
    <row r="679" spans="1:13">
      <c r="A679">
        <v>49</v>
      </c>
      <c r="B679" t="s">
        <v>17</v>
      </c>
      <c r="C679" t="s">
        <v>18</v>
      </c>
      <c r="D679">
        <v>8</v>
      </c>
      <c r="E679">
        <v>2</v>
      </c>
      <c r="F679" t="s">
        <v>20</v>
      </c>
      <c r="G679">
        <v>1</v>
      </c>
      <c r="H679">
        <v>2</v>
      </c>
      <c r="I679" t="s">
        <v>19</v>
      </c>
      <c r="J679">
        <v>7403</v>
      </c>
      <c r="K679">
        <v>4</v>
      </c>
      <c r="L679">
        <v>2</v>
      </c>
      <c r="M679">
        <v>26</v>
      </c>
    </row>
    <row r="680" spans="1:13">
      <c r="A680">
        <v>48</v>
      </c>
      <c r="B680" t="s">
        <v>17</v>
      </c>
      <c r="C680" t="s">
        <v>18</v>
      </c>
      <c r="D680">
        <v>20</v>
      </c>
      <c r="E680">
        <v>4</v>
      </c>
      <c r="F680" t="s">
        <v>21</v>
      </c>
      <c r="G680">
        <v>4</v>
      </c>
      <c r="H680">
        <v>3</v>
      </c>
      <c r="I680" t="s">
        <v>19</v>
      </c>
      <c r="J680">
        <v>2259</v>
      </c>
      <c r="K680">
        <v>4</v>
      </c>
      <c r="L680">
        <v>2</v>
      </c>
      <c r="M680">
        <v>0</v>
      </c>
    </row>
    <row r="681" spans="1:13">
      <c r="A681">
        <v>31</v>
      </c>
      <c r="B681" t="s">
        <v>17</v>
      </c>
      <c r="C681" t="s">
        <v>14</v>
      </c>
      <c r="D681">
        <v>20</v>
      </c>
      <c r="E681">
        <v>2</v>
      </c>
      <c r="F681" t="s">
        <v>23</v>
      </c>
      <c r="G681">
        <v>4</v>
      </c>
      <c r="H681">
        <v>3</v>
      </c>
      <c r="I681" t="s">
        <v>19</v>
      </c>
      <c r="J681">
        <v>6932</v>
      </c>
      <c r="K681">
        <v>1</v>
      </c>
      <c r="L681">
        <v>2</v>
      </c>
      <c r="M681">
        <v>9</v>
      </c>
    </row>
    <row r="682" spans="1:13">
      <c r="A682">
        <v>36</v>
      </c>
      <c r="B682" t="s">
        <v>17</v>
      </c>
      <c r="C682" t="s">
        <v>18</v>
      </c>
      <c r="D682">
        <v>7</v>
      </c>
      <c r="E682">
        <v>4</v>
      </c>
      <c r="F682" t="s">
        <v>20</v>
      </c>
      <c r="G682">
        <v>2</v>
      </c>
      <c r="H682">
        <v>4</v>
      </c>
      <c r="I682" t="s">
        <v>16</v>
      </c>
      <c r="J682">
        <v>4678</v>
      </c>
      <c r="K682">
        <v>2</v>
      </c>
      <c r="L682">
        <v>3</v>
      </c>
      <c r="M682">
        <v>6</v>
      </c>
    </row>
    <row r="683" spans="1:13">
      <c r="A683">
        <v>38</v>
      </c>
      <c r="B683" t="s">
        <v>17</v>
      </c>
      <c r="C683" t="s">
        <v>18</v>
      </c>
      <c r="D683">
        <v>1</v>
      </c>
      <c r="E683">
        <v>3</v>
      </c>
      <c r="F683" t="s">
        <v>24</v>
      </c>
      <c r="G683">
        <v>4</v>
      </c>
      <c r="H683">
        <v>1</v>
      </c>
      <c r="I683" t="s">
        <v>19</v>
      </c>
      <c r="J683">
        <v>13582</v>
      </c>
      <c r="K683">
        <v>1</v>
      </c>
      <c r="L683">
        <v>3</v>
      </c>
      <c r="M683">
        <v>15</v>
      </c>
    </row>
    <row r="684" spans="1:13">
      <c r="A684">
        <v>32</v>
      </c>
      <c r="B684" t="s">
        <v>17</v>
      </c>
      <c r="C684" t="s">
        <v>18</v>
      </c>
      <c r="D684">
        <v>1</v>
      </c>
      <c r="E684">
        <v>3</v>
      </c>
      <c r="F684" t="s">
        <v>15</v>
      </c>
      <c r="G684">
        <v>3</v>
      </c>
      <c r="H684">
        <v>2</v>
      </c>
      <c r="I684" t="s">
        <v>19</v>
      </c>
      <c r="J684">
        <v>2332</v>
      </c>
      <c r="K684">
        <v>6</v>
      </c>
      <c r="L684">
        <v>3</v>
      </c>
      <c r="M684">
        <v>3</v>
      </c>
    </row>
    <row r="685" spans="1:13">
      <c r="A685">
        <v>25</v>
      </c>
      <c r="B685" t="s">
        <v>13</v>
      </c>
      <c r="C685" t="s">
        <v>14</v>
      </c>
      <c r="D685">
        <v>19</v>
      </c>
      <c r="E685">
        <v>2</v>
      </c>
      <c r="F685" t="s">
        <v>23</v>
      </c>
      <c r="G685">
        <v>3</v>
      </c>
      <c r="H685">
        <v>2</v>
      </c>
      <c r="I685" t="s">
        <v>19</v>
      </c>
      <c r="J685">
        <v>2413</v>
      </c>
      <c r="K685">
        <v>1</v>
      </c>
      <c r="L685">
        <v>3</v>
      </c>
      <c r="M685">
        <v>1</v>
      </c>
    </row>
    <row r="686" spans="1:13">
      <c r="A686">
        <v>40</v>
      </c>
      <c r="B686" t="s">
        <v>17</v>
      </c>
      <c r="C686" t="s">
        <v>14</v>
      </c>
      <c r="D686">
        <v>10</v>
      </c>
      <c r="E686">
        <v>4</v>
      </c>
      <c r="F686" t="s">
        <v>23</v>
      </c>
      <c r="G686">
        <v>1</v>
      </c>
      <c r="H686">
        <v>2</v>
      </c>
      <c r="I686" t="s">
        <v>22</v>
      </c>
      <c r="J686">
        <v>9705</v>
      </c>
      <c r="K686">
        <v>2</v>
      </c>
      <c r="L686">
        <v>2</v>
      </c>
      <c r="M686">
        <v>1</v>
      </c>
    </row>
    <row r="687" spans="1:13">
      <c r="A687">
        <v>26</v>
      </c>
      <c r="B687" t="s">
        <v>17</v>
      </c>
      <c r="C687" t="s">
        <v>14</v>
      </c>
      <c r="D687">
        <v>1</v>
      </c>
      <c r="E687">
        <v>3</v>
      </c>
      <c r="F687" t="s">
        <v>21</v>
      </c>
      <c r="G687">
        <v>3</v>
      </c>
      <c r="H687">
        <v>1</v>
      </c>
      <c r="I687" t="s">
        <v>16</v>
      </c>
      <c r="J687">
        <v>4294</v>
      </c>
      <c r="K687">
        <v>1</v>
      </c>
      <c r="L687">
        <v>3</v>
      </c>
      <c r="M687">
        <v>7</v>
      </c>
    </row>
    <row r="688" spans="1:13">
      <c r="A688">
        <v>41</v>
      </c>
      <c r="B688" t="s">
        <v>17</v>
      </c>
      <c r="C688" t="s">
        <v>18</v>
      </c>
      <c r="D688">
        <v>6</v>
      </c>
      <c r="E688">
        <v>3</v>
      </c>
      <c r="F688" t="s">
        <v>21</v>
      </c>
      <c r="G688">
        <v>4</v>
      </c>
      <c r="H688">
        <v>1</v>
      </c>
      <c r="I688" t="s">
        <v>16</v>
      </c>
      <c r="J688">
        <v>4721</v>
      </c>
      <c r="K688">
        <v>2</v>
      </c>
      <c r="L688">
        <v>3</v>
      </c>
      <c r="M688">
        <v>18</v>
      </c>
    </row>
    <row r="689" spans="1:13">
      <c r="A689">
        <v>36</v>
      </c>
      <c r="B689" t="s">
        <v>17</v>
      </c>
      <c r="C689" t="s">
        <v>18</v>
      </c>
      <c r="D689">
        <v>2</v>
      </c>
      <c r="E689">
        <v>4</v>
      </c>
      <c r="F689" t="s">
        <v>21</v>
      </c>
      <c r="G689">
        <v>3</v>
      </c>
      <c r="H689">
        <v>3</v>
      </c>
      <c r="I689" t="s">
        <v>16</v>
      </c>
      <c r="J689">
        <v>2519</v>
      </c>
      <c r="K689">
        <v>4</v>
      </c>
      <c r="L689">
        <v>3</v>
      </c>
      <c r="M689">
        <v>11</v>
      </c>
    </row>
    <row r="690" spans="1:13">
      <c r="A690">
        <v>19</v>
      </c>
      <c r="B690" t="s">
        <v>13</v>
      </c>
      <c r="C690" t="s">
        <v>14</v>
      </c>
      <c r="D690">
        <v>21</v>
      </c>
      <c r="E690">
        <v>3</v>
      </c>
      <c r="F690" t="s">
        <v>20</v>
      </c>
      <c r="G690">
        <v>4</v>
      </c>
      <c r="H690">
        <v>2</v>
      </c>
      <c r="I690" t="s">
        <v>16</v>
      </c>
      <c r="J690">
        <v>2121</v>
      </c>
      <c r="K690">
        <v>1</v>
      </c>
      <c r="L690">
        <v>4</v>
      </c>
      <c r="M690">
        <v>1</v>
      </c>
    </row>
    <row r="691" spans="1:13">
      <c r="A691">
        <v>20</v>
      </c>
      <c r="B691" t="s">
        <v>13</v>
      </c>
      <c r="C691" t="s">
        <v>18</v>
      </c>
      <c r="D691">
        <v>4</v>
      </c>
      <c r="E691">
        <v>3</v>
      </c>
      <c r="F691" t="s">
        <v>24</v>
      </c>
      <c r="G691">
        <v>1</v>
      </c>
      <c r="H691">
        <v>1</v>
      </c>
      <c r="I691" t="s">
        <v>16</v>
      </c>
      <c r="J691">
        <v>2973</v>
      </c>
      <c r="K691">
        <v>1</v>
      </c>
      <c r="L691">
        <v>3</v>
      </c>
      <c r="M691">
        <v>1</v>
      </c>
    </row>
    <row r="692" spans="1:13">
      <c r="A692">
        <v>31</v>
      </c>
      <c r="B692" t="s">
        <v>17</v>
      </c>
      <c r="C692" t="s">
        <v>18</v>
      </c>
      <c r="D692">
        <v>12</v>
      </c>
      <c r="E692">
        <v>3</v>
      </c>
      <c r="F692" t="s">
        <v>21</v>
      </c>
      <c r="G692">
        <v>4</v>
      </c>
      <c r="H692">
        <v>4</v>
      </c>
      <c r="I692" t="s">
        <v>19</v>
      </c>
      <c r="J692">
        <v>5855</v>
      </c>
      <c r="K692">
        <v>0</v>
      </c>
      <c r="L692">
        <v>1</v>
      </c>
      <c r="M692">
        <v>9</v>
      </c>
    </row>
    <row r="693" spans="1:13">
      <c r="A693">
        <v>40</v>
      </c>
      <c r="B693" t="s">
        <v>17</v>
      </c>
      <c r="C693" t="s">
        <v>18</v>
      </c>
      <c r="D693">
        <v>9</v>
      </c>
      <c r="E693">
        <v>4</v>
      </c>
      <c r="F693" t="s">
        <v>21</v>
      </c>
      <c r="G693">
        <v>4</v>
      </c>
      <c r="H693">
        <v>2</v>
      </c>
      <c r="I693" t="s">
        <v>22</v>
      </c>
      <c r="J693">
        <v>3617</v>
      </c>
      <c r="K693">
        <v>8</v>
      </c>
      <c r="L693">
        <v>3</v>
      </c>
      <c r="M693">
        <v>1</v>
      </c>
    </row>
    <row r="694" spans="1:13">
      <c r="A694">
        <v>32</v>
      </c>
      <c r="B694" t="s">
        <v>17</v>
      </c>
      <c r="C694" t="s">
        <v>18</v>
      </c>
      <c r="D694">
        <v>3</v>
      </c>
      <c r="E694">
        <v>4</v>
      </c>
      <c r="F694" t="s">
        <v>21</v>
      </c>
      <c r="G694">
        <v>3</v>
      </c>
      <c r="H694">
        <v>1</v>
      </c>
      <c r="I694" t="s">
        <v>19</v>
      </c>
      <c r="J694">
        <v>6725</v>
      </c>
      <c r="K694">
        <v>1</v>
      </c>
      <c r="L694">
        <v>4</v>
      </c>
      <c r="M694">
        <v>8</v>
      </c>
    </row>
    <row r="695" spans="1:13">
      <c r="A695">
        <v>36</v>
      </c>
      <c r="B695" t="s">
        <v>13</v>
      </c>
      <c r="C695" t="s">
        <v>14</v>
      </c>
      <c r="D695">
        <v>3</v>
      </c>
      <c r="E695">
        <v>1</v>
      </c>
      <c r="F695" t="s">
        <v>15</v>
      </c>
      <c r="G695">
        <v>3</v>
      </c>
      <c r="H695">
        <v>4</v>
      </c>
      <c r="I695" t="s">
        <v>19</v>
      </c>
      <c r="J695">
        <v>10325</v>
      </c>
      <c r="K695">
        <v>1</v>
      </c>
      <c r="L695">
        <v>3</v>
      </c>
      <c r="M695">
        <v>16</v>
      </c>
    </row>
    <row r="696" spans="1:13">
      <c r="A696">
        <v>33</v>
      </c>
      <c r="B696" t="s">
        <v>17</v>
      </c>
      <c r="C696" t="s">
        <v>18</v>
      </c>
      <c r="D696">
        <v>1</v>
      </c>
      <c r="E696">
        <v>3</v>
      </c>
      <c r="F696" t="s">
        <v>15</v>
      </c>
      <c r="G696">
        <v>2</v>
      </c>
      <c r="H696">
        <v>4</v>
      </c>
      <c r="I696" t="s">
        <v>16</v>
      </c>
      <c r="J696">
        <v>6949</v>
      </c>
      <c r="K696">
        <v>0</v>
      </c>
      <c r="L696">
        <v>3</v>
      </c>
      <c r="M696">
        <v>5</v>
      </c>
    </row>
    <row r="697" spans="1:13">
      <c r="A697">
        <v>37</v>
      </c>
      <c r="B697" t="s">
        <v>13</v>
      </c>
      <c r="C697" t="s">
        <v>14</v>
      </c>
      <c r="D697">
        <v>1</v>
      </c>
      <c r="E697">
        <v>4</v>
      </c>
      <c r="F697" t="s">
        <v>15</v>
      </c>
      <c r="G697">
        <v>1</v>
      </c>
      <c r="H697">
        <v>3</v>
      </c>
      <c r="I697" t="s">
        <v>19</v>
      </c>
      <c r="J697">
        <v>10609</v>
      </c>
      <c r="K697">
        <v>5</v>
      </c>
      <c r="L697">
        <v>1</v>
      </c>
      <c r="M697">
        <v>14</v>
      </c>
    </row>
    <row r="698" spans="1:13">
      <c r="A698">
        <v>45</v>
      </c>
      <c r="B698" t="s">
        <v>17</v>
      </c>
      <c r="C698" t="s">
        <v>18</v>
      </c>
      <c r="D698">
        <v>4</v>
      </c>
      <c r="E698">
        <v>2</v>
      </c>
      <c r="F698" t="s">
        <v>15</v>
      </c>
      <c r="G698">
        <v>3</v>
      </c>
      <c r="H698">
        <v>2</v>
      </c>
      <c r="I698" t="s">
        <v>19</v>
      </c>
      <c r="J698">
        <v>4447</v>
      </c>
      <c r="K698">
        <v>1</v>
      </c>
      <c r="L698">
        <v>2</v>
      </c>
      <c r="M698">
        <v>9</v>
      </c>
    </row>
    <row r="699" spans="1:13">
      <c r="A699">
        <v>29</v>
      </c>
      <c r="B699" t="s">
        <v>17</v>
      </c>
      <c r="C699" t="s">
        <v>14</v>
      </c>
      <c r="D699">
        <v>20</v>
      </c>
      <c r="E699">
        <v>3</v>
      </c>
      <c r="F699" t="s">
        <v>24</v>
      </c>
      <c r="G699">
        <v>3</v>
      </c>
      <c r="H699">
        <v>4</v>
      </c>
      <c r="I699" t="s">
        <v>19</v>
      </c>
      <c r="J699">
        <v>2157</v>
      </c>
      <c r="K699">
        <v>1</v>
      </c>
      <c r="L699">
        <v>3</v>
      </c>
      <c r="M699">
        <v>3</v>
      </c>
    </row>
    <row r="700" spans="1:13">
      <c r="A700">
        <v>35</v>
      </c>
      <c r="B700" t="s">
        <v>17</v>
      </c>
      <c r="C700" t="s">
        <v>14</v>
      </c>
      <c r="D700">
        <v>18</v>
      </c>
      <c r="E700">
        <v>3</v>
      </c>
      <c r="F700" t="s">
        <v>21</v>
      </c>
      <c r="G700">
        <v>3</v>
      </c>
      <c r="H700">
        <v>3</v>
      </c>
      <c r="I700" t="s">
        <v>19</v>
      </c>
      <c r="J700">
        <v>4601</v>
      </c>
      <c r="K700">
        <v>1</v>
      </c>
      <c r="L700">
        <v>3</v>
      </c>
      <c r="M700">
        <v>5</v>
      </c>
    </row>
    <row r="701" spans="1:13">
      <c r="A701">
        <v>52</v>
      </c>
      <c r="B701" t="s">
        <v>17</v>
      </c>
      <c r="C701" t="s">
        <v>18</v>
      </c>
      <c r="D701">
        <v>1</v>
      </c>
      <c r="E701">
        <v>2</v>
      </c>
      <c r="F701" t="s">
        <v>15</v>
      </c>
      <c r="G701">
        <v>4</v>
      </c>
      <c r="H701">
        <v>4</v>
      </c>
      <c r="I701" t="s">
        <v>19</v>
      </c>
      <c r="J701">
        <v>17099</v>
      </c>
      <c r="K701">
        <v>2</v>
      </c>
      <c r="L701">
        <v>2</v>
      </c>
      <c r="M701">
        <v>9</v>
      </c>
    </row>
    <row r="702" spans="1:13">
      <c r="A702">
        <v>58</v>
      </c>
      <c r="B702" t="s">
        <v>13</v>
      </c>
      <c r="C702" t="s">
        <v>18</v>
      </c>
      <c r="D702">
        <v>2</v>
      </c>
      <c r="E702">
        <v>3</v>
      </c>
      <c r="F702" t="s">
        <v>24</v>
      </c>
      <c r="G702">
        <v>4</v>
      </c>
      <c r="H702">
        <v>3</v>
      </c>
      <c r="I702" t="s">
        <v>16</v>
      </c>
      <c r="J702">
        <v>2479</v>
      </c>
      <c r="K702">
        <v>4</v>
      </c>
      <c r="L702">
        <v>3</v>
      </c>
      <c r="M702">
        <v>1</v>
      </c>
    </row>
    <row r="703" spans="1:13">
      <c r="A703">
        <v>53</v>
      </c>
      <c r="B703" t="s">
        <v>17</v>
      </c>
      <c r="C703" t="s">
        <v>14</v>
      </c>
      <c r="D703">
        <v>2</v>
      </c>
      <c r="E703">
        <v>2</v>
      </c>
      <c r="F703" t="s">
        <v>21</v>
      </c>
      <c r="G703">
        <v>3</v>
      </c>
      <c r="H703">
        <v>3</v>
      </c>
      <c r="I703" t="s">
        <v>22</v>
      </c>
      <c r="J703">
        <v>14852</v>
      </c>
      <c r="K703">
        <v>6</v>
      </c>
      <c r="L703">
        <v>4</v>
      </c>
      <c r="M703">
        <v>17</v>
      </c>
    </row>
    <row r="704" spans="1:13">
      <c r="A704">
        <v>30</v>
      </c>
      <c r="B704" t="s">
        <v>17</v>
      </c>
      <c r="C704" t="s">
        <v>14</v>
      </c>
      <c r="D704">
        <v>8</v>
      </c>
      <c r="E704">
        <v>2</v>
      </c>
      <c r="F704" t="s">
        <v>20</v>
      </c>
      <c r="G704">
        <v>3</v>
      </c>
      <c r="H704">
        <v>3</v>
      </c>
      <c r="I704" t="s">
        <v>22</v>
      </c>
      <c r="J704">
        <v>7264</v>
      </c>
      <c r="K704">
        <v>5</v>
      </c>
      <c r="L704">
        <v>4</v>
      </c>
      <c r="M704">
        <v>8</v>
      </c>
    </row>
    <row r="705" spans="1:13">
      <c r="A705">
        <v>38</v>
      </c>
      <c r="B705" t="s">
        <v>17</v>
      </c>
      <c r="C705" t="s">
        <v>14</v>
      </c>
      <c r="D705">
        <v>10</v>
      </c>
      <c r="E705">
        <v>3</v>
      </c>
      <c r="F705" t="s">
        <v>24</v>
      </c>
      <c r="G705">
        <v>3</v>
      </c>
      <c r="H705">
        <v>4</v>
      </c>
      <c r="I705" t="s">
        <v>16</v>
      </c>
      <c r="J705">
        <v>5666</v>
      </c>
      <c r="K705">
        <v>1</v>
      </c>
      <c r="L705">
        <v>3</v>
      </c>
      <c r="M705">
        <v>5</v>
      </c>
    </row>
    <row r="706" spans="1:13">
      <c r="A706">
        <v>35</v>
      </c>
      <c r="B706" t="s">
        <v>17</v>
      </c>
      <c r="C706" t="s">
        <v>14</v>
      </c>
      <c r="D706">
        <v>3</v>
      </c>
      <c r="E706">
        <v>4</v>
      </c>
      <c r="F706" t="s">
        <v>15</v>
      </c>
      <c r="G706">
        <v>4</v>
      </c>
      <c r="H706">
        <v>4</v>
      </c>
      <c r="I706" t="s">
        <v>22</v>
      </c>
      <c r="J706">
        <v>7823</v>
      </c>
      <c r="K706">
        <v>6</v>
      </c>
      <c r="L706">
        <v>3</v>
      </c>
      <c r="M706">
        <v>10</v>
      </c>
    </row>
    <row r="707" spans="1:13">
      <c r="A707">
        <v>39</v>
      </c>
      <c r="B707" t="s">
        <v>17</v>
      </c>
      <c r="C707" t="s">
        <v>14</v>
      </c>
      <c r="D707">
        <v>2</v>
      </c>
      <c r="E707">
        <v>5</v>
      </c>
      <c r="F707" t="s">
        <v>15</v>
      </c>
      <c r="G707">
        <v>1</v>
      </c>
      <c r="H707">
        <v>3</v>
      </c>
      <c r="I707" t="s">
        <v>16</v>
      </c>
      <c r="J707">
        <v>7880</v>
      </c>
      <c r="K707">
        <v>0</v>
      </c>
      <c r="L707">
        <v>3</v>
      </c>
      <c r="M707">
        <v>8</v>
      </c>
    </row>
    <row r="708" spans="1:13">
      <c r="A708">
        <v>40</v>
      </c>
      <c r="B708" t="s">
        <v>13</v>
      </c>
      <c r="C708" t="s">
        <v>14</v>
      </c>
      <c r="D708">
        <v>24</v>
      </c>
      <c r="E708">
        <v>3</v>
      </c>
      <c r="F708" t="s">
        <v>15</v>
      </c>
      <c r="G708">
        <v>2</v>
      </c>
      <c r="H708">
        <v>2</v>
      </c>
      <c r="I708" t="s">
        <v>16</v>
      </c>
      <c r="J708">
        <v>13194</v>
      </c>
      <c r="K708">
        <v>4</v>
      </c>
      <c r="L708">
        <v>2</v>
      </c>
      <c r="M708">
        <v>1</v>
      </c>
    </row>
    <row r="709" spans="1:13">
      <c r="A709">
        <v>47</v>
      </c>
      <c r="B709" t="s">
        <v>17</v>
      </c>
      <c r="C709" t="s">
        <v>18</v>
      </c>
      <c r="D709">
        <v>16</v>
      </c>
      <c r="E709">
        <v>4</v>
      </c>
      <c r="F709" t="s">
        <v>21</v>
      </c>
      <c r="G709">
        <v>3</v>
      </c>
      <c r="H709">
        <v>3</v>
      </c>
      <c r="I709" t="s">
        <v>22</v>
      </c>
      <c r="J709">
        <v>5067</v>
      </c>
      <c r="K709">
        <v>1</v>
      </c>
      <c r="L709">
        <v>4</v>
      </c>
      <c r="M709">
        <v>19</v>
      </c>
    </row>
    <row r="710" spans="1:13">
      <c r="A710">
        <v>36</v>
      </c>
      <c r="B710" t="s">
        <v>17</v>
      </c>
      <c r="C710" t="s">
        <v>14</v>
      </c>
      <c r="D710">
        <v>8</v>
      </c>
      <c r="E710">
        <v>4</v>
      </c>
      <c r="F710" t="s">
        <v>24</v>
      </c>
      <c r="G710">
        <v>1</v>
      </c>
      <c r="H710">
        <v>4</v>
      </c>
      <c r="I710" t="s">
        <v>22</v>
      </c>
      <c r="J710">
        <v>5079</v>
      </c>
      <c r="K710">
        <v>4</v>
      </c>
      <c r="L710">
        <v>3</v>
      </c>
      <c r="M710">
        <v>7</v>
      </c>
    </row>
    <row r="711" spans="1:13">
      <c r="A711">
        <v>31</v>
      </c>
      <c r="B711" t="s">
        <v>13</v>
      </c>
      <c r="C711" t="s">
        <v>18</v>
      </c>
      <c r="D711">
        <v>9</v>
      </c>
      <c r="E711">
        <v>2</v>
      </c>
      <c r="F711" t="s">
        <v>21</v>
      </c>
      <c r="G711">
        <v>3</v>
      </c>
      <c r="H711">
        <v>1</v>
      </c>
      <c r="I711" t="s">
        <v>16</v>
      </c>
      <c r="J711">
        <v>2321</v>
      </c>
      <c r="K711">
        <v>0</v>
      </c>
      <c r="L711">
        <v>3</v>
      </c>
      <c r="M711">
        <v>3</v>
      </c>
    </row>
    <row r="712" spans="1:13">
      <c r="A712">
        <v>33</v>
      </c>
      <c r="B712" t="s">
        <v>17</v>
      </c>
      <c r="C712" t="s">
        <v>14</v>
      </c>
      <c r="D712">
        <v>17</v>
      </c>
      <c r="E712">
        <v>3</v>
      </c>
      <c r="F712" t="s">
        <v>15</v>
      </c>
      <c r="G712">
        <v>4</v>
      </c>
      <c r="H712">
        <v>3</v>
      </c>
      <c r="I712" t="s">
        <v>16</v>
      </c>
      <c r="J712">
        <v>17444</v>
      </c>
      <c r="K712">
        <v>1</v>
      </c>
      <c r="L712">
        <v>3</v>
      </c>
      <c r="M712">
        <v>10</v>
      </c>
    </row>
    <row r="713" spans="1:13">
      <c r="A713">
        <v>29</v>
      </c>
      <c r="B713" t="s">
        <v>13</v>
      </c>
      <c r="C713" t="s">
        <v>18</v>
      </c>
      <c r="D713">
        <v>10</v>
      </c>
      <c r="E713">
        <v>3</v>
      </c>
      <c r="F713" t="s">
        <v>15</v>
      </c>
      <c r="G713">
        <v>4</v>
      </c>
      <c r="H713">
        <v>1</v>
      </c>
      <c r="I713" t="s">
        <v>16</v>
      </c>
      <c r="J713">
        <v>2404</v>
      </c>
      <c r="K713">
        <v>6</v>
      </c>
      <c r="L713">
        <v>3</v>
      </c>
      <c r="M713">
        <v>0</v>
      </c>
    </row>
    <row r="714" spans="1:13">
      <c r="A714">
        <v>33</v>
      </c>
      <c r="B714" t="s">
        <v>17</v>
      </c>
      <c r="C714" t="s">
        <v>18</v>
      </c>
      <c r="D714">
        <v>13</v>
      </c>
      <c r="E714">
        <v>1</v>
      </c>
      <c r="F714" t="s">
        <v>15</v>
      </c>
      <c r="G714">
        <v>2</v>
      </c>
      <c r="H714">
        <v>4</v>
      </c>
      <c r="I714" t="s">
        <v>16</v>
      </c>
      <c r="J714">
        <v>3452</v>
      </c>
      <c r="K714">
        <v>3</v>
      </c>
      <c r="L714">
        <v>3</v>
      </c>
      <c r="M714">
        <v>3</v>
      </c>
    </row>
    <row r="715" spans="1:13">
      <c r="A715">
        <v>45</v>
      </c>
      <c r="B715" t="s">
        <v>17</v>
      </c>
      <c r="C715" t="s">
        <v>18</v>
      </c>
      <c r="D715">
        <v>1</v>
      </c>
      <c r="E715">
        <v>4</v>
      </c>
      <c r="F715" t="s">
        <v>21</v>
      </c>
      <c r="G715">
        <v>4</v>
      </c>
      <c r="H715">
        <v>4</v>
      </c>
      <c r="I715" t="s">
        <v>22</v>
      </c>
      <c r="J715">
        <v>2270</v>
      </c>
      <c r="K715">
        <v>3</v>
      </c>
      <c r="L715">
        <v>3</v>
      </c>
      <c r="M715">
        <v>5</v>
      </c>
    </row>
    <row r="716" spans="1:13">
      <c r="A716">
        <v>50</v>
      </c>
      <c r="B716" t="s">
        <v>17</v>
      </c>
      <c r="C716" t="s">
        <v>18</v>
      </c>
      <c r="D716">
        <v>1</v>
      </c>
      <c r="E716">
        <v>2</v>
      </c>
      <c r="F716" t="s">
        <v>21</v>
      </c>
      <c r="G716">
        <v>4</v>
      </c>
      <c r="H716">
        <v>4</v>
      </c>
      <c r="I716" t="s">
        <v>22</v>
      </c>
      <c r="J716">
        <v>17399</v>
      </c>
      <c r="K716">
        <v>9</v>
      </c>
      <c r="L716">
        <v>2</v>
      </c>
      <c r="M716">
        <v>5</v>
      </c>
    </row>
    <row r="717" spans="1:13">
      <c r="A717">
        <v>33</v>
      </c>
      <c r="B717" t="s">
        <v>17</v>
      </c>
      <c r="C717" t="s">
        <v>18</v>
      </c>
      <c r="D717">
        <v>1</v>
      </c>
      <c r="E717">
        <v>4</v>
      </c>
      <c r="F717" t="s">
        <v>20</v>
      </c>
      <c r="G717">
        <v>3</v>
      </c>
      <c r="H717">
        <v>2</v>
      </c>
      <c r="I717" t="s">
        <v>19</v>
      </c>
      <c r="J717">
        <v>5488</v>
      </c>
      <c r="K717">
        <v>1</v>
      </c>
      <c r="L717">
        <v>3</v>
      </c>
      <c r="M717">
        <v>6</v>
      </c>
    </row>
    <row r="718" spans="1:13">
      <c r="A718">
        <v>41</v>
      </c>
      <c r="B718" t="s">
        <v>17</v>
      </c>
      <c r="C718" t="s">
        <v>18</v>
      </c>
      <c r="D718">
        <v>9</v>
      </c>
      <c r="E718">
        <v>3</v>
      </c>
      <c r="F718" t="s">
        <v>21</v>
      </c>
      <c r="G718">
        <v>1</v>
      </c>
      <c r="H718">
        <v>3</v>
      </c>
      <c r="I718" t="s">
        <v>22</v>
      </c>
      <c r="J718">
        <v>19419</v>
      </c>
      <c r="K718">
        <v>2</v>
      </c>
      <c r="L718">
        <v>4</v>
      </c>
      <c r="M718">
        <v>18</v>
      </c>
    </row>
    <row r="719" spans="1:13">
      <c r="A719">
        <v>27</v>
      </c>
      <c r="B719" t="s">
        <v>17</v>
      </c>
      <c r="C719" t="s">
        <v>18</v>
      </c>
      <c r="D719">
        <v>16</v>
      </c>
      <c r="E719">
        <v>4</v>
      </c>
      <c r="F719" t="s">
        <v>24</v>
      </c>
      <c r="G719">
        <v>3</v>
      </c>
      <c r="H719">
        <v>2</v>
      </c>
      <c r="I719" t="s">
        <v>19</v>
      </c>
      <c r="J719">
        <v>2811</v>
      </c>
      <c r="K719">
        <v>9</v>
      </c>
      <c r="L719">
        <v>3</v>
      </c>
      <c r="M719">
        <v>2</v>
      </c>
    </row>
    <row r="720" spans="1:13">
      <c r="A720">
        <v>45</v>
      </c>
      <c r="B720" t="s">
        <v>17</v>
      </c>
      <c r="C720" t="s">
        <v>18</v>
      </c>
      <c r="D720">
        <v>23</v>
      </c>
      <c r="E720">
        <v>2</v>
      </c>
      <c r="F720" t="s">
        <v>15</v>
      </c>
      <c r="G720">
        <v>4</v>
      </c>
      <c r="H720">
        <v>1</v>
      </c>
      <c r="I720" t="s">
        <v>19</v>
      </c>
      <c r="J720">
        <v>3633</v>
      </c>
      <c r="K720">
        <v>1</v>
      </c>
      <c r="L720">
        <v>3</v>
      </c>
      <c r="M720">
        <v>9</v>
      </c>
    </row>
    <row r="721" spans="1:13">
      <c r="A721">
        <v>47</v>
      </c>
      <c r="B721" t="s">
        <v>17</v>
      </c>
      <c r="C721" t="s">
        <v>14</v>
      </c>
      <c r="D721">
        <v>4</v>
      </c>
      <c r="E721">
        <v>2</v>
      </c>
      <c r="F721" t="s">
        <v>15</v>
      </c>
      <c r="G721">
        <v>4</v>
      </c>
      <c r="H721">
        <v>4</v>
      </c>
      <c r="I721" t="s">
        <v>16</v>
      </c>
      <c r="J721">
        <v>4163</v>
      </c>
      <c r="K721">
        <v>1</v>
      </c>
      <c r="L721">
        <v>3</v>
      </c>
      <c r="M721">
        <v>9</v>
      </c>
    </row>
    <row r="722" spans="1:13">
      <c r="A722">
        <v>30</v>
      </c>
      <c r="B722" t="s">
        <v>13</v>
      </c>
      <c r="C722" t="s">
        <v>18</v>
      </c>
      <c r="D722">
        <v>22</v>
      </c>
      <c r="E722">
        <v>3</v>
      </c>
      <c r="F722" t="s">
        <v>15</v>
      </c>
      <c r="G722">
        <v>1</v>
      </c>
      <c r="H722">
        <v>3</v>
      </c>
      <c r="I722" t="s">
        <v>19</v>
      </c>
      <c r="J722">
        <v>2132</v>
      </c>
      <c r="K722">
        <v>4</v>
      </c>
      <c r="L722">
        <v>3</v>
      </c>
      <c r="M722">
        <v>5</v>
      </c>
    </row>
    <row r="723" spans="1:13">
      <c r="A723">
        <v>50</v>
      </c>
      <c r="B723" t="s">
        <v>17</v>
      </c>
      <c r="C723" t="s">
        <v>18</v>
      </c>
      <c r="D723">
        <v>24</v>
      </c>
      <c r="E723">
        <v>3</v>
      </c>
      <c r="F723" t="s">
        <v>15</v>
      </c>
      <c r="G723">
        <v>4</v>
      </c>
      <c r="H723">
        <v>3</v>
      </c>
      <c r="I723" t="s">
        <v>19</v>
      </c>
      <c r="J723">
        <v>13973</v>
      </c>
      <c r="K723">
        <v>3</v>
      </c>
      <c r="L723">
        <v>3</v>
      </c>
      <c r="M723">
        <v>12</v>
      </c>
    </row>
    <row r="724" spans="1:13">
      <c r="A724">
        <v>38</v>
      </c>
      <c r="B724" t="s">
        <v>17</v>
      </c>
      <c r="C724" t="s">
        <v>18</v>
      </c>
      <c r="D724">
        <v>10</v>
      </c>
      <c r="E724">
        <v>1</v>
      </c>
      <c r="F724" t="s">
        <v>21</v>
      </c>
      <c r="G724">
        <v>3</v>
      </c>
      <c r="H724">
        <v>3</v>
      </c>
      <c r="I724" t="s">
        <v>19</v>
      </c>
      <c r="J724">
        <v>2684</v>
      </c>
      <c r="K724">
        <v>0</v>
      </c>
      <c r="L724">
        <v>2</v>
      </c>
      <c r="M724">
        <v>2</v>
      </c>
    </row>
    <row r="725" spans="1:13">
      <c r="A725">
        <v>46</v>
      </c>
      <c r="B725" t="s">
        <v>17</v>
      </c>
      <c r="C725" t="s">
        <v>18</v>
      </c>
      <c r="D725">
        <v>7</v>
      </c>
      <c r="E725">
        <v>2</v>
      </c>
      <c r="F725" t="s">
        <v>21</v>
      </c>
      <c r="G725">
        <v>4</v>
      </c>
      <c r="H725">
        <v>3</v>
      </c>
      <c r="I725" t="s">
        <v>22</v>
      </c>
      <c r="J725">
        <v>10845</v>
      </c>
      <c r="K725">
        <v>6</v>
      </c>
      <c r="L725">
        <v>3</v>
      </c>
      <c r="M725">
        <v>8</v>
      </c>
    </row>
    <row r="726" spans="1:13">
      <c r="A726">
        <v>24</v>
      </c>
      <c r="B726" t="s">
        <v>17</v>
      </c>
      <c r="C726" t="s">
        <v>18</v>
      </c>
      <c r="D726">
        <v>17</v>
      </c>
      <c r="E726">
        <v>1</v>
      </c>
      <c r="F726" t="s">
        <v>21</v>
      </c>
      <c r="G726">
        <v>4</v>
      </c>
      <c r="H726">
        <v>3</v>
      </c>
      <c r="I726" t="s">
        <v>22</v>
      </c>
      <c r="J726">
        <v>4377</v>
      </c>
      <c r="K726">
        <v>1</v>
      </c>
      <c r="L726">
        <v>3</v>
      </c>
      <c r="M726">
        <v>4</v>
      </c>
    </row>
    <row r="727" spans="1:13">
      <c r="A727">
        <v>35</v>
      </c>
      <c r="B727" t="s">
        <v>13</v>
      </c>
      <c r="C727" t="s">
        <v>18</v>
      </c>
      <c r="D727">
        <v>14</v>
      </c>
      <c r="E727">
        <v>4</v>
      </c>
      <c r="F727" t="s">
        <v>20</v>
      </c>
      <c r="G727">
        <v>3</v>
      </c>
      <c r="H727">
        <v>2</v>
      </c>
      <c r="I727" t="s">
        <v>22</v>
      </c>
      <c r="J727">
        <v>3743</v>
      </c>
      <c r="K727">
        <v>1</v>
      </c>
      <c r="L727">
        <v>1</v>
      </c>
      <c r="M727">
        <v>4</v>
      </c>
    </row>
    <row r="728" spans="1:13">
      <c r="A728">
        <v>31</v>
      </c>
      <c r="B728" t="s">
        <v>17</v>
      </c>
      <c r="C728" t="s">
        <v>18</v>
      </c>
      <c r="D728">
        <v>1</v>
      </c>
      <c r="E728">
        <v>1</v>
      </c>
      <c r="F728" t="s">
        <v>15</v>
      </c>
      <c r="G728">
        <v>3</v>
      </c>
      <c r="H728">
        <v>1</v>
      </c>
      <c r="I728" t="s">
        <v>19</v>
      </c>
      <c r="J728">
        <v>4148</v>
      </c>
      <c r="K728">
        <v>1</v>
      </c>
      <c r="L728">
        <v>3</v>
      </c>
      <c r="M728">
        <v>4</v>
      </c>
    </row>
    <row r="729" spans="1:13">
      <c r="A729">
        <v>18</v>
      </c>
      <c r="B729" t="s">
        <v>17</v>
      </c>
      <c r="C729" t="s">
        <v>18</v>
      </c>
      <c r="D729">
        <v>5</v>
      </c>
      <c r="E729">
        <v>2</v>
      </c>
      <c r="F729" t="s">
        <v>15</v>
      </c>
      <c r="G729">
        <v>2</v>
      </c>
      <c r="H729">
        <v>4</v>
      </c>
      <c r="I729" t="s">
        <v>16</v>
      </c>
      <c r="J729">
        <v>1051</v>
      </c>
      <c r="K729">
        <v>1</v>
      </c>
      <c r="L729">
        <v>3</v>
      </c>
      <c r="M729">
        <v>0</v>
      </c>
    </row>
    <row r="730" spans="1:13">
      <c r="A730">
        <v>54</v>
      </c>
      <c r="B730" t="s">
        <v>17</v>
      </c>
      <c r="C730" t="s">
        <v>18</v>
      </c>
      <c r="D730">
        <v>17</v>
      </c>
      <c r="E730">
        <v>3</v>
      </c>
      <c r="F730" t="s">
        <v>24</v>
      </c>
      <c r="G730">
        <v>3</v>
      </c>
      <c r="H730">
        <v>3</v>
      </c>
      <c r="I730" t="s">
        <v>19</v>
      </c>
      <c r="J730">
        <v>10739</v>
      </c>
      <c r="K730">
        <v>8</v>
      </c>
      <c r="L730">
        <v>3</v>
      </c>
      <c r="M730">
        <v>10</v>
      </c>
    </row>
    <row r="731" spans="1:13">
      <c r="A731">
        <v>35</v>
      </c>
      <c r="B731" t="s">
        <v>17</v>
      </c>
      <c r="C731" t="s">
        <v>18</v>
      </c>
      <c r="D731">
        <v>25</v>
      </c>
      <c r="E731">
        <v>4</v>
      </c>
      <c r="F731" t="s">
        <v>21</v>
      </c>
      <c r="G731">
        <v>3</v>
      </c>
      <c r="H731">
        <v>3</v>
      </c>
      <c r="I731" t="s">
        <v>22</v>
      </c>
      <c r="J731">
        <v>10388</v>
      </c>
      <c r="K731">
        <v>1</v>
      </c>
      <c r="L731">
        <v>2</v>
      </c>
      <c r="M731">
        <v>16</v>
      </c>
    </row>
    <row r="732" spans="1:13">
      <c r="A732">
        <v>30</v>
      </c>
      <c r="B732" t="s">
        <v>17</v>
      </c>
      <c r="C732" t="s">
        <v>18</v>
      </c>
      <c r="D732">
        <v>8</v>
      </c>
      <c r="E732">
        <v>2</v>
      </c>
      <c r="F732" t="s">
        <v>15</v>
      </c>
      <c r="G732">
        <v>2</v>
      </c>
      <c r="H732">
        <v>1</v>
      </c>
      <c r="I732" t="s">
        <v>19</v>
      </c>
      <c r="J732">
        <v>11416</v>
      </c>
      <c r="K732">
        <v>0</v>
      </c>
      <c r="L732">
        <v>2</v>
      </c>
      <c r="M732">
        <v>8</v>
      </c>
    </row>
    <row r="733" spans="1:13">
      <c r="A733">
        <v>20</v>
      </c>
      <c r="B733" t="s">
        <v>13</v>
      </c>
      <c r="C733" t="s">
        <v>18</v>
      </c>
      <c r="D733">
        <v>11</v>
      </c>
      <c r="E733">
        <v>3</v>
      </c>
      <c r="F733" t="s">
        <v>21</v>
      </c>
      <c r="G733">
        <v>4</v>
      </c>
      <c r="H733">
        <v>1</v>
      </c>
      <c r="I733" t="s">
        <v>16</v>
      </c>
      <c r="J733">
        <v>2600</v>
      </c>
      <c r="K733">
        <v>1</v>
      </c>
      <c r="L733">
        <v>3</v>
      </c>
      <c r="M733">
        <v>1</v>
      </c>
    </row>
    <row r="734" spans="1:13">
      <c r="A734">
        <v>30</v>
      </c>
      <c r="B734" t="s">
        <v>13</v>
      </c>
      <c r="C734" t="s">
        <v>18</v>
      </c>
      <c r="D734">
        <v>5</v>
      </c>
      <c r="E734">
        <v>3</v>
      </c>
      <c r="F734" t="s">
        <v>21</v>
      </c>
      <c r="G734">
        <v>2</v>
      </c>
      <c r="H734">
        <v>2</v>
      </c>
      <c r="I734" t="s">
        <v>16</v>
      </c>
      <c r="J734">
        <v>2422</v>
      </c>
      <c r="K734">
        <v>0</v>
      </c>
      <c r="L734">
        <v>3</v>
      </c>
      <c r="M734">
        <v>3</v>
      </c>
    </row>
    <row r="735" spans="1:13">
      <c r="A735">
        <v>26</v>
      </c>
      <c r="B735" t="s">
        <v>17</v>
      </c>
      <c r="C735" t="s">
        <v>18</v>
      </c>
      <c r="D735">
        <v>2</v>
      </c>
      <c r="E735">
        <v>2</v>
      </c>
      <c r="F735" t="s">
        <v>21</v>
      </c>
      <c r="G735">
        <v>4</v>
      </c>
      <c r="H735">
        <v>4</v>
      </c>
      <c r="I735" t="s">
        <v>19</v>
      </c>
      <c r="J735">
        <v>5472</v>
      </c>
      <c r="K735">
        <v>1</v>
      </c>
      <c r="L735">
        <v>3</v>
      </c>
      <c r="M735">
        <v>8</v>
      </c>
    </row>
    <row r="736" spans="1:13">
      <c r="A736">
        <v>22</v>
      </c>
      <c r="B736" t="s">
        <v>17</v>
      </c>
      <c r="C736" t="s">
        <v>18</v>
      </c>
      <c r="D736">
        <v>8</v>
      </c>
      <c r="E736">
        <v>1</v>
      </c>
      <c r="F736" t="s">
        <v>15</v>
      </c>
      <c r="G736">
        <v>2</v>
      </c>
      <c r="H736">
        <v>1</v>
      </c>
      <c r="I736" t="s">
        <v>19</v>
      </c>
      <c r="J736">
        <v>2451</v>
      </c>
      <c r="K736">
        <v>1</v>
      </c>
      <c r="L736">
        <v>2</v>
      </c>
      <c r="M736">
        <v>4</v>
      </c>
    </row>
    <row r="737" spans="1:13">
      <c r="A737">
        <v>48</v>
      </c>
      <c r="B737" t="s">
        <v>17</v>
      </c>
      <c r="C737" t="s">
        <v>18</v>
      </c>
      <c r="D737">
        <v>6</v>
      </c>
      <c r="E737">
        <v>3</v>
      </c>
      <c r="F737" t="s">
        <v>15</v>
      </c>
      <c r="G737">
        <v>1</v>
      </c>
      <c r="H737">
        <v>3</v>
      </c>
      <c r="I737" t="s">
        <v>16</v>
      </c>
      <c r="J737">
        <v>4240</v>
      </c>
      <c r="K737">
        <v>2</v>
      </c>
      <c r="L737">
        <v>3</v>
      </c>
      <c r="M737">
        <v>2</v>
      </c>
    </row>
    <row r="738" spans="1:13">
      <c r="A738">
        <v>48</v>
      </c>
      <c r="B738" t="s">
        <v>17</v>
      </c>
      <c r="C738" t="s">
        <v>18</v>
      </c>
      <c r="D738">
        <v>4</v>
      </c>
      <c r="E738">
        <v>4</v>
      </c>
      <c r="F738" t="s">
        <v>15</v>
      </c>
      <c r="G738">
        <v>3</v>
      </c>
      <c r="H738">
        <v>3</v>
      </c>
      <c r="I738" t="s">
        <v>16</v>
      </c>
      <c r="J738">
        <v>10999</v>
      </c>
      <c r="K738">
        <v>7</v>
      </c>
      <c r="L738">
        <v>3</v>
      </c>
      <c r="M738">
        <v>15</v>
      </c>
    </row>
    <row r="739" spans="1:13">
      <c r="A739">
        <v>41</v>
      </c>
      <c r="B739" t="s">
        <v>17</v>
      </c>
      <c r="C739" t="s">
        <v>18</v>
      </c>
      <c r="D739">
        <v>7</v>
      </c>
      <c r="E739">
        <v>2</v>
      </c>
      <c r="F739" t="s">
        <v>21</v>
      </c>
      <c r="G739">
        <v>4</v>
      </c>
      <c r="H739">
        <v>3</v>
      </c>
      <c r="I739" t="s">
        <v>16</v>
      </c>
      <c r="J739">
        <v>5003</v>
      </c>
      <c r="K739">
        <v>6</v>
      </c>
      <c r="L739">
        <v>3</v>
      </c>
      <c r="M739">
        <v>2</v>
      </c>
    </row>
    <row r="740" spans="1:13">
      <c r="A740">
        <v>39</v>
      </c>
      <c r="B740" t="s">
        <v>17</v>
      </c>
      <c r="C740" t="s">
        <v>18</v>
      </c>
      <c r="D740">
        <v>1</v>
      </c>
      <c r="E740">
        <v>1</v>
      </c>
      <c r="F740" t="s">
        <v>15</v>
      </c>
      <c r="G740">
        <v>4</v>
      </c>
      <c r="H740">
        <v>4</v>
      </c>
      <c r="I740" t="s">
        <v>19</v>
      </c>
      <c r="J740">
        <v>12742</v>
      </c>
      <c r="K740">
        <v>1</v>
      </c>
      <c r="L740">
        <v>3</v>
      </c>
      <c r="M740">
        <v>21</v>
      </c>
    </row>
    <row r="741" spans="1:13">
      <c r="A741">
        <v>27</v>
      </c>
      <c r="B741" t="s">
        <v>17</v>
      </c>
      <c r="C741" t="s">
        <v>18</v>
      </c>
      <c r="D741">
        <v>2</v>
      </c>
      <c r="E741">
        <v>4</v>
      </c>
      <c r="F741" t="s">
        <v>15</v>
      </c>
      <c r="G741">
        <v>1</v>
      </c>
      <c r="H741">
        <v>4</v>
      </c>
      <c r="I741" t="s">
        <v>19</v>
      </c>
      <c r="J741">
        <v>4227</v>
      </c>
      <c r="K741">
        <v>0</v>
      </c>
      <c r="L741">
        <v>3</v>
      </c>
      <c r="M741">
        <v>3</v>
      </c>
    </row>
    <row r="742" spans="1:13">
      <c r="A742">
        <v>35</v>
      </c>
      <c r="B742" t="s">
        <v>17</v>
      </c>
      <c r="C742" t="s">
        <v>18</v>
      </c>
      <c r="D742">
        <v>10</v>
      </c>
      <c r="E742">
        <v>3</v>
      </c>
      <c r="F742" t="s">
        <v>20</v>
      </c>
      <c r="G742">
        <v>2</v>
      </c>
      <c r="H742">
        <v>4</v>
      </c>
      <c r="I742" t="s">
        <v>22</v>
      </c>
      <c r="J742">
        <v>3917</v>
      </c>
      <c r="K742">
        <v>1</v>
      </c>
      <c r="L742">
        <v>2</v>
      </c>
      <c r="M742">
        <v>3</v>
      </c>
    </row>
    <row r="743" spans="1:13">
      <c r="A743">
        <v>42</v>
      </c>
      <c r="B743" t="s">
        <v>17</v>
      </c>
      <c r="C743" t="s">
        <v>14</v>
      </c>
      <c r="D743">
        <v>5</v>
      </c>
      <c r="E743">
        <v>2</v>
      </c>
      <c r="F743" t="s">
        <v>23</v>
      </c>
      <c r="G743">
        <v>4</v>
      </c>
      <c r="H743">
        <v>3</v>
      </c>
      <c r="I743" t="s">
        <v>19</v>
      </c>
      <c r="J743">
        <v>18303</v>
      </c>
      <c r="K743">
        <v>6</v>
      </c>
      <c r="L743">
        <v>4</v>
      </c>
      <c r="M743">
        <v>1</v>
      </c>
    </row>
    <row r="744" spans="1:13">
      <c r="A744">
        <v>50</v>
      </c>
      <c r="B744" t="s">
        <v>17</v>
      </c>
      <c r="C744" t="s">
        <v>18</v>
      </c>
      <c r="D744">
        <v>9</v>
      </c>
      <c r="E744">
        <v>3</v>
      </c>
      <c r="F744" t="s">
        <v>15</v>
      </c>
      <c r="G744">
        <v>1</v>
      </c>
      <c r="H744">
        <v>4</v>
      </c>
      <c r="I744" t="s">
        <v>19</v>
      </c>
      <c r="J744">
        <v>2380</v>
      </c>
      <c r="K744">
        <v>4</v>
      </c>
      <c r="L744">
        <v>3</v>
      </c>
      <c r="M744">
        <v>1</v>
      </c>
    </row>
    <row r="745" spans="1:13">
      <c r="A745">
        <v>59</v>
      </c>
      <c r="B745" t="s">
        <v>17</v>
      </c>
      <c r="C745" t="s">
        <v>18</v>
      </c>
      <c r="D745">
        <v>2</v>
      </c>
      <c r="E745">
        <v>3</v>
      </c>
      <c r="F745" t="s">
        <v>15</v>
      </c>
      <c r="G745">
        <v>3</v>
      </c>
      <c r="H745">
        <v>4</v>
      </c>
      <c r="I745" t="s">
        <v>16</v>
      </c>
      <c r="J745">
        <v>13726</v>
      </c>
      <c r="K745">
        <v>3</v>
      </c>
      <c r="L745">
        <v>3</v>
      </c>
      <c r="M745">
        <v>5</v>
      </c>
    </row>
    <row r="746" spans="1:13">
      <c r="A746">
        <v>37</v>
      </c>
      <c r="B746" t="s">
        <v>13</v>
      </c>
      <c r="C746" t="s">
        <v>18</v>
      </c>
      <c r="D746">
        <v>11</v>
      </c>
      <c r="E746">
        <v>2</v>
      </c>
      <c r="F746" t="s">
        <v>21</v>
      </c>
      <c r="G746">
        <v>1</v>
      </c>
      <c r="H746">
        <v>2</v>
      </c>
      <c r="I746" t="s">
        <v>19</v>
      </c>
      <c r="J746">
        <v>4777</v>
      </c>
      <c r="K746">
        <v>5</v>
      </c>
      <c r="L746">
        <v>1</v>
      </c>
      <c r="M746">
        <v>1</v>
      </c>
    </row>
    <row r="747" spans="1:13">
      <c r="A747">
        <v>55</v>
      </c>
      <c r="B747" t="s">
        <v>17</v>
      </c>
      <c r="C747" t="s">
        <v>18</v>
      </c>
      <c r="D747">
        <v>18</v>
      </c>
      <c r="E747">
        <v>4</v>
      </c>
      <c r="F747" t="s">
        <v>21</v>
      </c>
      <c r="G747">
        <v>3</v>
      </c>
      <c r="H747">
        <v>2</v>
      </c>
      <c r="I747" t="s">
        <v>19</v>
      </c>
      <c r="J747">
        <v>6385</v>
      </c>
      <c r="K747">
        <v>3</v>
      </c>
      <c r="L747">
        <v>3</v>
      </c>
      <c r="M747">
        <v>8</v>
      </c>
    </row>
    <row r="748" spans="1:13">
      <c r="A748">
        <v>41</v>
      </c>
      <c r="B748" t="s">
        <v>17</v>
      </c>
      <c r="C748" t="s">
        <v>18</v>
      </c>
      <c r="D748">
        <v>7</v>
      </c>
      <c r="E748">
        <v>1</v>
      </c>
      <c r="F748" t="s">
        <v>15</v>
      </c>
      <c r="G748">
        <v>2</v>
      </c>
      <c r="H748">
        <v>3</v>
      </c>
      <c r="I748" t="s">
        <v>22</v>
      </c>
      <c r="J748">
        <v>19973</v>
      </c>
      <c r="K748">
        <v>1</v>
      </c>
      <c r="L748">
        <v>3</v>
      </c>
      <c r="M748">
        <v>21</v>
      </c>
    </row>
    <row r="749" spans="1:13">
      <c r="A749">
        <v>38</v>
      </c>
      <c r="B749" t="s">
        <v>17</v>
      </c>
      <c r="C749" t="s">
        <v>14</v>
      </c>
      <c r="D749">
        <v>3</v>
      </c>
      <c r="E749">
        <v>4</v>
      </c>
      <c r="F749" t="s">
        <v>15</v>
      </c>
      <c r="G749">
        <v>2</v>
      </c>
      <c r="H749">
        <v>4</v>
      </c>
      <c r="I749" t="s">
        <v>16</v>
      </c>
      <c r="J749">
        <v>6861</v>
      </c>
      <c r="K749">
        <v>8</v>
      </c>
      <c r="L749">
        <v>3</v>
      </c>
      <c r="M749">
        <v>1</v>
      </c>
    </row>
    <row r="750" spans="1:13">
      <c r="A750">
        <v>26</v>
      </c>
      <c r="B750" t="s">
        <v>13</v>
      </c>
      <c r="C750" t="s">
        <v>14</v>
      </c>
      <c r="D750">
        <v>29</v>
      </c>
      <c r="E750">
        <v>2</v>
      </c>
      <c r="F750" t="s">
        <v>21</v>
      </c>
      <c r="G750">
        <v>2</v>
      </c>
      <c r="H750">
        <v>1</v>
      </c>
      <c r="I750" t="s">
        <v>16</v>
      </c>
      <c r="J750">
        <v>4969</v>
      </c>
      <c r="K750">
        <v>8</v>
      </c>
      <c r="L750">
        <v>3</v>
      </c>
      <c r="M750">
        <v>2</v>
      </c>
    </row>
    <row r="751" spans="1:13">
      <c r="A751">
        <v>52</v>
      </c>
      <c r="B751" t="s">
        <v>13</v>
      </c>
      <c r="C751" t="s">
        <v>14</v>
      </c>
      <c r="D751">
        <v>2</v>
      </c>
      <c r="E751">
        <v>1</v>
      </c>
      <c r="F751" t="s">
        <v>23</v>
      </c>
      <c r="G751">
        <v>1</v>
      </c>
      <c r="H751">
        <v>4</v>
      </c>
      <c r="I751" t="s">
        <v>19</v>
      </c>
      <c r="J751">
        <v>19845</v>
      </c>
      <c r="K751">
        <v>1</v>
      </c>
      <c r="L751">
        <v>3</v>
      </c>
      <c r="M751">
        <v>32</v>
      </c>
    </row>
    <row r="752" spans="1:13">
      <c r="A752">
        <v>44</v>
      </c>
      <c r="B752" t="s">
        <v>17</v>
      </c>
      <c r="C752" t="s">
        <v>14</v>
      </c>
      <c r="D752">
        <v>28</v>
      </c>
      <c r="E752">
        <v>3</v>
      </c>
      <c r="F752" t="s">
        <v>21</v>
      </c>
      <c r="G752">
        <v>4</v>
      </c>
      <c r="H752">
        <v>4</v>
      </c>
      <c r="I752" t="s">
        <v>19</v>
      </c>
      <c r="J752">
        <v>13320</v>
      </c>
      <c r="K752">
        <v>3</v>
      </c>
      <c r="L752">
        <v>3</v>
      </c>
      <c r="M752">
        <v>12</v>
      </c>
    </row>
    <row r="753" spans="1:13">
      <c r="A753">
        <v>50</v>
      </c>
      <c r="B753" t="s">
        <v>17</v>
      </c>
      <c r="C753" t="s">
        <v>14</v>
      </c>
      <c r="D753">
        <v>1</v>
      </c>
      <c r="E753">
        <v>3</v>
      </c>
      <c r="F753" t="s">
        <v>15</v>
      </c>
      <c r="G753">
        <v>4</v>
      </c>
      <c r="H753">
        <v>3</v>
      </c>
      <c r="I753" t="s">
        <v>19</v>
      </c>
      <c r="J753">
        <v>6347</v>
      </c>
      <c r="K753">
        <v>0</v>
      </c>
      <c r="L753">
        <v>3</v>
      </c>
      <c r="M753">
        <v>18</v>
      </c>
    </row>
    <row r="754" spans="1:13">
      <c r="A754">
        <v>36</v>
      </c>
      <c r="B754" t="s">
        <v>13</v>
      </c>
      <c r="C754" t="s">
        <v>18</v>
      </c>
      <c r="D754">
        <v>16</v>
      </c>
      <c r="E754">
        <v>4</v>
      </c>
      <c r="F754" t="s">
        <v>15</v>
      </c>
      <c r="G754">
        <v>3</v>
      </c>
      <c r="H754">
        <v>1</v>
      </c>
      <c r="I754" t="s">
        <v>16</v>
      </c>
      <c r="J754">
        <v>2743</v>
      </c>
      <c r="K754">
        <v>1</v>
      </c>
      <c r="L754">
        <v>3</v>
      </c>
      <c r="M754">
        <v>17</v>
      </c>
    </row>
    <row r="755" spans="1:13">
      <c r="A755">
        <v>39</v>
      </c>
      <c r="B755" t="s">
        <v>17</v>
      </c>
      <c r="C755" t="s">
        <v>18</v>
      </c>
      <c r="D755">
        <v>22</v>
      </c>
      <c r="E755">
        <v>3</v>
      </c>
      <c r="F755" t="s">
        <v>21</v>
      </c>
      <c r="G755">
        <v>4</v>
      </c>
      <c r="H755">
        <v>1</v>
      </c>
      <c r="I755" t="s">
        <v>16</v>
      </c>
      <c r="J755">
        <v>10880</v>
      </c>
      <c r="K755">
        <v>1</v>
      </c>
      <c r="L755">
        <v>3</v>
      </c>
      <c r="M755">
        <v>21</v>
      </c>
    </row>
    <row r="756" spans="1:13">
      <c r="A756">
        <v>33</v>
      </c>
      <c r="B756" t="s">
        <v>17</v>
      </c>
      <c r="C756" t="s">
        <v>14</v>
      </c>
      <c r="D756">
        <v>8</v>
      </c>
      <c r="E756">
        <v>1</v>
      </c>
      <c r="F756" t="s">
        <v>15</v>
      </c>
      <c r="G756">
        <v>2</v>
      </c>
      <c r="H756">
        <v>4</v>
      </c>
      <c r="I756" t="s">
        <v>16</v>
      </c>
      <c r="J756">
        <v>2342</v>
      </c>
      <c r="K756">
        <v>0</v>
      </c>
      <c r="L756">
        <v>2</v>
      </c>
      <c r="M756">
        <v>2</v>
      </c>
    </row>
    <row r="757" spans="1:13">
      <c r="A757">
        <v>45</v>
      </c>
      <c r="B757" t="s">
        <v>17</v>
      </c>
      <c r="C757" t="s">
        <v>14</v>
      </c>
      <c r="D757">
        <v>11</v>
      </c>
      <c r="E757">
        <v>2</v>
      </c>
      <c r="F757" t="s">
        <v>15</v>
      </c>
      <c r="G757">
        <v>4</v>
      </c>
      <c r="H757">
        <v>4</v>
      </c>
      <c r="I757" t="s">
        <v>19</v>
      </c>
      <c r="J757">
        <v>17650</v>
      </c>
      <c r="K757">
        <v>3</v>
      </c>
      <c r="L757">
        <v>4</v>
      </c>
      <c r="M757">
        <v>9</v>
      </c>
    </row>
    <row r="758" spans="1:13">
      <c r="A758">
        <v>32</v>
      </c>
      <c r="B758" t="s">
        <v>17</v>
      </c>
      <c r="C758" t="s">
        <v>18</v>
      </c>
      <c r="D758">
        <v>29</v>
      </c>
      <c r="E758">
        <v>4</v>
      </c>
      <c r="F758" t="s">
        <v>21</v>
      </c>
      <c r="G758">
        <v>4</v>
      </c>
      <c r="H758">
        <v>3</v>
      </c>
      <c r="I758" t="s">
        <v>16</v>
      </c>
      <c r="J758">
        <v>4025</v>
      </c>
      <c r="K758">
        <v>9</v>
      </c>
      <c r="L758">
        <v>3</v>
      </c>
      <c r="M758">
        <v>8</v>
      </c>
    </row>
    <row r="759" spans="1:13">
      <c r="A759">
        <v>34</v>
      </c>
      <c r="B759" t="s">
        <v>17</v>
      </c>
      <c r="C759" t="s">
        <v>14</v>
      </c>
      <c r="D759">
        <v>1</v>
      </c>
      <c r="E759">
        <v>4</v>
      </c>
      <c r="F759" t="s">
        <v>23</v>
      </c>
      <c r="G759">
        <v>2</v>
      </c>
      <c r="H759">
        <v>4</v>
      </c>
      <c r="I759" t="s">
        <v>22</v>
      </c>
      <c r="J759">
        <v>9725</v>
      </c>
      <c r="K759">
        <v>0</v>
      </c>
      <c r="L759">
        <v>2</v>
      </c>
      <c r="M759">
        <v>15</v>
      </c>
    </row>
    <row r="760" spans="1:13">
      <c r="A760">
        <v>59</v>
      </c>
      <c r="B760" t="s">
        <v>17</v>
      </c>
      <c r="C760" t="s">
        <v>14</v>
      </c>
      <c r="D760">
        <v>1</v>
      </c>
      <c r="E760">
        <v>2</v>
      </c>
      <c r="F760" t="s">
        <v>24</v>
      </c>
      <c r="G760">
        <v>2</v>
      </c>
      <c r="H760">
        <v>4</v>
      </c>
      <c r="I760" t="s">
        <v>19</v>
      </c>
      <c r="J760">
        <v>11904</v>
      </c>
      <c r="K760">
        <v>3</v>
      </c>
      <c r="L760">
        <v>1</v>
      </c>
      <c r="M760">
        <v>6</v>
      </c>
    </row>
    <row r="761" spans="1:13">
      <c r="A761">
        <v>45</v>
      </c>
      <c r="B761" t="s">
        <v>17</v>
      </c>
      <c r="C761" t="s">
        <v>25</v>
      </c>
      <c r="D761">
        <v>24</v>
      </c>
      <c r="E761">
        <v>4</v>
      </c>
      <c r="F761" t="s">
        <v>21</v>
      </c>
      <c r="G761">
        <v>2</v>
      </c>
      <c r="H761">
        <v>2</v>
      </c>
      <c r="I761" t="s">
        <v>16</v>
      </c>
      <c r="J761">
        <v>2177</v>
      </c>
      <c r="K761">
        <v>1</v>
      </c>
      <c r="L761">
        <v>3</v>
      </c>
      <c r="M761">
        <v>6</v>
      </c>
    </row>
    <row r="762" spans="1:13">
      <c r="A762">
        <v>53</v>
      </c>
      <c r="B762" t="s">
        <v>17</v>
      </c>
      <c r="C762" t="s">
        <v>14</v>
      </c>
      <c r="D762">
        <v>2</v>
      </c>
      <c r="E762">
        <v>3</v>
      </c>
      <c r="F762" t="s">
        <v>23</v>
      </c>
      <c r="G762">
        <v>3</v>
      </c>
      <c r="H762">
        <v>2</v>
      </c>
      <c r="I762" t="s">
        <v>19</v>
      </c>
      <c r="J762">
        <v>7525</v>
      </c>
      <c r="K762">
        <v>2</v>
      </c>
      <c r="L762">
        <v>3</v>
      </c>
      <c r="M762">
        <v>15</v>
      </c>
    </row>
    <row r="763" spans="1:13">
      <c r="A763">
        <v>36</v>
      </c>
      <c r="B763" t="s">
        <v>13</v>
      </c>
      <c r="C763" t="s">
        <v>18</v>
      </c>
      <c r="D763">
        <v>15</v>
      </c>
      <c r="E763">
        <v>3</v>
      </c>
      <c r="F763" t="s">
        <v>20</v>
      </c>
      <c r="G763">
        <v>1</v>
      </c>
      <c r="H763">
        <v>3</v>
      </c>
      <c r="I763" t="s">
        <v>22</v>
      </c>
      <c r="J763">
        <v>4834</v>
      </c>
      <c r="K763">
        <v>7</v>
      </c>
      <c r="L763">
        <v>2</v>
      </c>
      <c r="M763">
        <v>1</v>
      </c>
    </row>
    <row r="764" spans="1:13">
      <c r="A764">
        <v>26</v>
      </c>
      <c r="B764" t="s">
        <v>13</v>
      </c>
      <c r="C764" t="s">
        <v>18</v>
      </c>
      <c r="D764">
        <v>2</v>
      </c>
      <c r="E764">
        <v>3</v>
      </c>
      <c r="F764" t="s">
        <v>15</v>
      </c>
      <c r="G764">
        <v>1</v>
      </c>
      <c r="H764">
        <v>1</v>
      </c>
      <c r="I764" t="s">
        <v>19</v>
      </c>
      <c r="J764">
        <v>2042</v>
      </c>
      <c r="K764">
        <v>6</v>
      </c>
      <c r="L764">
        <v>3</v>
      </c>
      <c r="M764">
        <v>3</v>
      </c>
    </row>
    <row r="765" spans="1:13">
      <c r="A765">
        <v>34</v>
      </c>
      <c r="B765" t="s">
        <v>17</v>
      </c>
      <c r="C765" t="s">
        <v>14</v>
      </c>
      <c r="D765">
        <v>10</v>
      </c>
      <c r="E765">
        <v>4</v>
      </c>
      <c r="F765" t="s">
        <v>15</v>
      </c>
      <c r="G765">
        <v>3</v>
      </c>
      <c r="H765">
        <v>3</v>
      </c>
      <c r="I765" t="s">
        <v>19</v>
      </c>
      <c r="J765">
        <v>2220</v>
      </c>
      <c r="K765">
        <v>1</v>
      </c>
      <c r="L765">
        <v>3</v>
      </c>
      <c r="M765">
        <v>1</v>
      </c>
    </row>
    <row r="766" spans="1:13">
      <c r="A766">
        <v>28</v>
      </c>
      <c r="B766" t="s">
        <v>17</v>
      </c>
      <c r="C766" t="s">
        <v>14</v>
      </c>
      <c r="D766">
        <v>10</v>
      </c>
      <c r="E766">
        <v>1</v>
      </c>
      <c r="F766" t="s">
        <v>21</v>
      </c>
      <c r="G766">
        <v>4</v>
      </c>
      <c r="H766">
        <v>2</v>
      </c>
      <c r="I766" t="s">
        <v>19</v>
      </c>
      <c r="J766">
        <v>1052</v>
      </c>
      <c r="K766">
        <v>1</v>
      </c>
      <c r="L766">
        <v>3</v>
      </c>
      <c r="M766">
        <v>1</v>
      </c>
    </row>
    <row r="767" spans="1:13">
      <c r="A767">
        <v>38</v>
      </c>
      <c r="B767" t="s">
        <v>17</v>
      </c>
      <c r="C767" t="s">
        <v>18</v>
      </c>
      <c r="D767">
        <v>3</v>
      </c>
      <c r="E767">
        <v>4</v>
      </c>
      <c r="F767" t="s">
        <v>20</v>
      </c>
      <c r="G767">
        <v>3</v>
      </c>
      <c r="H767">
        <v>3</v>
      </c>
      <c r="I767" t="s">
        <v>19</v>
      </c>
      <c r="J767">
        <v>2821</v>
      </c>
      <c r="K767">
        <v>3</v>
      </c>
      <c r="L767">
        <v>3</v>
      </c>
      <c r="M767">
        <v>2</v>
      </c>
    </row>
    <row r="768" spans="1:13">
      <c r="A768">
        <v>50</v>
      </c>
      <c r="B768" t="s">
        <v>17</v>
      </c>
      <c r="C768" t="s">
        <v>18</v>
      </c>
      <c r="D768">
        <v>2</v>
      </c>
      <c r="E768">
        <v>4</v>
      </c>
      <c r="F768" t="s">
        <v>21</v>
      </c>
      <c r="G768">
        <v>2</v>
      </c>
      <c r="H768">
        <v>3</v>
      </c>
      <c r="I768" t="s">
        <v>19</v>
      </c>
      <c r="J768">
        <v>19237</v>
      </c>
      <c r="K768">
        <v>2</v>
      </c>
      <c r="L768">
        <v>2</v>
      </c>
      <c r="M768">
        <v>8</v>
      </c>
    </row>
    <row r="769" spans="1:13">
      <c r="A769">
        <v>37</v>
      </c>
      <c r="B769" t="s">
        <v>17</v>
      </c>
      <c r="C769" t="s">
        <v>18</v>
      </c>
      <c r="D769">
        <v>3</v>
      </c>
      <c r="E769">
        <v>3</v>
      </c>
      <c r="F769" t="s">
        <v>20</v>
      </c>
      <c r="G769">
        <v>4</v>
      </c>
      <c r="H769">
        <v>2</v>
      </c>
      <c r="I769" t="s">
        <v>16</v>
      </c>
      <c r="J769">
        <v>4107</v>
      </c>
      <c r="K769">
        <v>3</v>
      </c>
      <c r="L769">
        <v>2</v>
      </c>
      <c r="M769">
        <v>4</v>
      </c>
    </row>
    <row r="770" spans="1:13">
      <c r="A770">
        <v>40</v>
      </c>
      <c r="B770" t="s">
        <v>17</v>
      </c>
      <c r="C770" t="s">
        <v>14</v>
      </c>
      <c r="D770">
        <v>26</v>
      </c>
      <c r="E770">
        <v>3</v>
      </c>
      <c r="F770" t="s">
        <v>23</v>
      </c>
      <c r="G770">
        <v>3</v>
      </c>
      <c r="H770">
        <v>1</v>
      </c>
      <c r="I770" t="s">
        <v>19</v>
      </c>
      <c r="J770">
        <v>8396</v>
      </c>
      <c r="K770">
        <v>1</v>
      </c>
      <c r="L770">
        <v>2</v>
      </c>
      <c r="M770">
        <v>7</v>
      </c>
    </row>
    <row r="771" spans="1:13">
      <c r="A771">
        <v>26</v>
      </c>
      <c r="B771" t="s">
        <v>17</v>
      </c>
      <c r="C771" t="s">
        <v>18</v>
      </c>
      <c r="D771">
        <v>1</v>
      </c>
      <c r="E771">
        <v>1</v>
      </c>
      <c r="F771" t="s">
        <v>21</v>
      </c>
      <c r="G771">
        <v>1</v>
      </c>
      <c r="H771">
        <v>3</v>
      </c>
      <c r="I771" t="s">
        <v>22</v>
      </c>
      <c r="J771">
        <v>2007</v>
      </c>
      <c r="K771">
        <v>1</v>
      </c>
      <c r="L771">
        <v>3</v>
      </c>
      <c r="M771">
        <v>5</v>
      </c>
    </row>
    <row r="772" spans="1:13">
      <c r="A772">
        <v>46</v>
      </c>
      <c r="B772" t="s">
        <v>17</v>
      </c>
      <c r="C772" t="s">
        <v>18</v>
      </c>
      <c r="D772">
        <v>1</v>
      </c>
      <c r="E772">
        <v>4</v>
      </c>
      <c r="F772" t="s">
        <v>21</v>
      </c>
      <c r="G772">
        <v>4</v>
      </c>
      <c r="H772">
        <v>4</v>
      </c>
      <c r="I772" t="s">
        <v>22</v>
      </c>
      <c r="J772">
        <v>19627</v>
      </c>
      <c r="K772">
        <v>9</v>
      </c>
      <c r="L772">
        <v>3</v>
      </c>
      <c r="M772">
        <v>2</v>
      </c>
    </row>
    <row r="773" spans="1:13">
      <c r="A773">
        <v>54</v>
      </c>
      <c r="B773" t="s">
        <v>17</v>
      </c>
      <c r="C773" t="s">
        <v>14</v>
      </c>
      <c r="D773">
        <v>2</v>
      </c>
      <c r="E773">
        <v>4</v>
      </c>
      <c r="F773" t="s">
        <v>15</v>
      </c>
      <c r="G773">
        <v>3</v>
      </c>
      <c r="H773">
        <v>3</v>
      </c>
      <c r="I773" t="s">
        <v>19</v>
      </c>
      <c r="J773">
        <v>10686</v>
      </c>
      <c r="K773">
        <v>6</v>
      </c>
      <c r="L773">
        <v>3</v>
      </c>
      <c r="M773">
        <v>9</v>
      </c>
    </row>
    <row r="774" spans="1:13">
      <c r="A774">
        <v>56</v>
      </c>
      <c r="B774" t="s">
        <v>17</v>
      </c>
      <c r="C774" t="s">
        <v>18</v>
      </c>
      <c r="D774">
        <v>9</v>
      </c>
      <c r="E774">
        <v>3</v>
      </c>
      <c r="F774" t="s">
        <v>21</v>
      </c>
      <c r="G774">
        <v>1</v>
      </c>
      <c r="H774">
        <v>3</v>
      </c>
      <c r="I774" t="s">
        <v>19</v>
      </c>
      <c r="J774">
        <v>2942</v>
      </c>
      <c r="K774">
        <v>2</v>
      </c>
      <c r="L774">
        <v>3</v>
      </c>
      <c r="M774">
        <v>5</v>
      </c>
    </row>
    <row r="775" spans="1:13">
      <c r="A775">
        <v>36</v>
      </c>
      <c r="B775" t="s">
        <v>17</v>
      </c>
      <c r="C775" t="s">
        <v>18</v>
      </c>
      <c r="D775">
        <v>12</v>
      </c>
      <c r="E775">
        <v>5</v>
      </c>
      <c r="F775" t="s">
        <v>21</v>
      </c>
      <c r="G775">
        <v>4</v>
      </c>
      <c r="H775">
        <v>4</v>
      </c>
      <c r="I775" t="s">
        <v>16</v>
      </c>
      <c r="J775">
        <v>8858</v>
      </c>
      <c r="K775">
        <v>0</v>
      </c>
      <c r="L775">
        <v>2</v>
      </c>
      <c r="M775">
        <v>14</v>
      </c>
    </row>
    <row r="776" spans="1:13">
      <c r="A776">
        <v>55</v>
      </c>
      <c r="B776" t="s">
        <v>17</v>
      </c>
      <c r="C776" t="s">
        <v>18</v>
      </c>
      <c r="D776">
        <v>2</v>
      </c>
      <c r="E776">
        <v>1</v>
      </c>
      <c r="F776" t="s">
        <v>21</v>
      </c>
      <c r="G776">
        <v>3</v>
      </c>
      <c r="H776">
        <v>1</v>
      </c>
      <c r="I776" t="s">
        <v>16</v>
      </c>
      <c r="J776">
        <v>16756</v>
      </c>
      <c r="K776">
        <v>7</v>
      </c>
      <c r="L776">
        <v>4</v>
      </c>
      <c r="M776">
        <v>9</v>
      </c>
    </row>
    <row r="777" spans="1:13">
      <c r="A777">
        <v>43</v>
      </c>
      <c r="B777" t="s">
        <v>17</v>
      </c>
      <c r="C777" t="s">
        <v>14</v>
      </c>
      <c r="D777">
        <v>25</v>
      </c>
      <c r="E777">
        <v>3</v>
      </c>
      <c r="F777" t="s">
        <v>21</v>
      </c>
      <c r="G777">
        <v>3</v>
      </c>
      <c r="H777">
        <v>4</v>
      </c>
      <c r="I777" t="s">
        <v>22</v>
      </c>
      <c r="J777">
        <v>10798</v>
      </c>
      <c r="K777">
        <v>5</v>
      </c>
      <c r="L777">
        <v>3</v>
      </c>
      <c r="M777">
        <v>1</v>
      </c>
    </row>
    <row r="778" spans="1:13">
      <c r="A778">
        <v>20</v>
      </c>
      <c r="B778" t="s">
        <v>13</v>
      </c>
      <c r="C778" t="s">
        <v>14</v>
      </c>
      <c r="D778">
        <v>9</v>
      </c>
      <c r="E778">
        <v>3</v>
      </c>
      <c r="F778" t="s">
        <v>23</v>
      </c>
      <c r="G778">
        <v>4</v>
      </c>
      <c r="H778">
        <v>4</v>
      </c>
      <c r="I778" t="s">
        <v>16</v>
      </c>
      <c r="J778">
        <v>2323</v>
      </c>
      <c r="K778">
        <v>1</v>
      </c>
      <c r="L778">
        <v>3</v>
      </c>
      <c r="M778">
        <v>2</v>
      </c>
    </row>
    <row r="779" spans="1:13">
      <c r="A779">
        <v>21</v>
      </c>
      <c r="B779" t="s">
        <v>13</v>
      </c>
      <c r="C779" t="s">
        <v>18</v>
      </c>
      <c r="D779">
        <v>10</v>
      </c>
      <c r="E779">
        <v>3</v>
      </c>
      <c r="F779" t="s">
        <v>15</v>
      </c>
      <c r="G779">
        <v>3</v>
      </c>
      <c r="H779">
        <v>1</v>
      </c>
      <c r="I779" t="s">
        <v>16</v>
      </c>
      <c r="J779">
        <v>1416</v>
      </c>
      <c r="K779">
        <v>1</v>
      </c>
      <c r="L779">
        <v>2</v>
      </c>
      <c r="M779">
        <v>1</v>
      </c>
    </row>
    <row r="780" spans="1:13">
      <c r="A780">
        <v>46</v>
      </c>
      <c r="B780" t="s">
        <v>17</v>
      </c>
      <c r="C780" t="s">
        <v>18</v>
      </c>
      <c r="D780">
        <v>8</v>
      </c>
      <c r="E780">
        <v>4</v>
      </c>
      <c r="F780" t="s">
        <v>15</v>
      </c>
      <c r="G780">
        <v>4</v>
      </c>
      <c r="H780">
        <v>1</v>
      </c>
      <c r="I780" t="s">
        <v>22</v>
      </c>
      <c r="J780">
        <v>4615</v>
      </c>
      <c r="K780">
        <v>8</v>
      </c>
      <c r="L780">
        <v>3</v>
      </c>
      <c r="M780">
        <v>16</v>
      </c>
    </row>
    <row r="781" spans="1:13">
      <c r="A781">
        <v>51</v>
      </c>
      <c r="B781" t="s">
        <v>13</v>
      </c>
      <c r="C781" t="s">
        <v>18</v>
      </c>
      <c r="D781">
        <v>4</v>
      </c>
      <c r="E781">
        <v>4</v>
      </c>
      <c r="F781" t="s">
        <v>15</v>
      </c>
      <c r="G781">
        <v>1</v>
      </c>
      <c r="H781">
        <v>3</v>
      </c>
      <c r="I781" t="s">
        <v>19</v>
      </c>
      <c r="J781">
        <v>2461</v>
      </c>
      <c r="K781">
        <v>9</v>
      </c>
      <c r="L781">
        <v>4</v>
      </c>
      <c r="M781">
        <v>10</v>
      </c>
    </row>
    <row r="782" spans="1:13">
      <c r="A782">
        <v>28</v>
      </c>
      <c r="B782" t="s">
        <v>13</v>
      </c>
      <c r="C782" t="s">
        <v>18</v>
      </c>
      <c r="D782">
        <v>24</v>
      </c>
      <c r="E782">
        <v>2</v>
      </c>
      <c r="F782" t="s">
        <v>24</v>
      </c>
      <c r="G782">
        <v>2</v>
      </c>
      <c r="H782">
        <v>1</v>
      </c>
      <c r="I782" t="s">
        <v>16</v>
      </c>
      <c r="J782">
        <v>8722</v>
      </c>
      <c r="K782">
        <v>1</v>
      </c>
      <c r="L782">
        <v>2</v>
      </c>
      <c r="M782">
        <v>10</v>
      </c>
    </row>
    <row r="783" spans="1:13">
      <c r="A783">
        <v>26</v>
      </c>
      <c r="B783" t="s">
        <v>17</v>
      </c>
      <c r="C783" t="s">
        <v>18</v>
      </c>
      <c r="D783">
        <v>1</v>
      </c>
      <c r="E783">
        <v>2</v>
      </c>
      <c r="F783" t="s">
        <v>21</v>
      </c>
      <c r="G783">
        <v>1</v>
      </c>
      <c r="H783">
        <v>1</v>
      </c>
      <c r="I783" t="s">
        <v>19</v>
      </c>
      <c r="J783">
        <v>3955</v>
      </c>
      <c r="K783">
        <v>1</v>
      </c>
      <c r="L783">
        <v>3</v>
      </c>
      <c r="M783">
        <v>5</v>
      </c>
    </row>
    <row r="784" spans="1:13">
      <c r="A784">
        <v>30</v>
      </c>
      <c r="B784" t="s">
        <v>17</v>
      </c>
      <c r="C784" t="s">
        <v>18</v>
      </c>
      <c r="D784">
        <v>20</v>
      </c>
      <c r="E784">
        <v>3</v>
      </c>
      <c r="F784" t="s">
        <v>20</v>
      </c>
      <c r="G784">
        <v>3</v>
      </c>
      <c r="H784">
        <v>1</v>
      </c>
      <c r="I784" t="s">
        <v>19</v>
      </c>
      <c r="J784">
        <v>9957</v>
      </c>
      <c r="K784">
        <v>0</v>
      </c>
      <c r="L784">
        <v>2</v>
      </c>
      <c r="M784">
        <v>6</v>
      </c>
    </row>
    <row r="785" spans="1:13">
      <c r="A785">
        <v>41</v>
      </c>
      <c r="B785" t="s">
        <v>17</v>
      </c>
      <c r="C785" t="s">
        <v>18</v>
      </c>
      <c r="D785">
        <v>7</v>
      </c>
      <c r="E785">
        <v>2</v>
      </c>
      <c r="F785" t="s">
        <v>24</v>
      </c>
      <c r="G785">
        <v>2</v>
      </c>
      <c r="H785">
        <v>3</v>
      </c>
      <c r="I785" t="s">
        <v>19</v>
      </c>
      <c r="J785">
        <v>3376</v>
      </c>
      <c r="K785">
        <v>1</v>
      </c>
      <c r="L785">
        <v>3</v>
      </c>
      <c r="M785">
        <v>10</v>
      </c>
    </row>
    <row r="786" spans="1:13">
      <c r="A786">
        <v>38</v>
      </c>
      <c r="B786" t="s">
        <v>17</v>
      </c>
      <c r="C786" t="s">
        <v>18</v>
      </c>
      <c r="D786">
        <v>17</v>
      </c>
      <c r="E786">
        <v>1</v>
      </c>
      <c r="F786" t="s">
        <v>15</v>
      </c>
      <c r="G786">
        <v>3</v>
      </c>
      <c r="H786">
        <v>3</v>
      </c>
      <c r="I786" t="s">
        <v>19</v>
      </c>
      <c r="J786">
        <v>8823</v>
      </c>
      <c r="K786">
        <v>0</v>
      </c>
      <c r="L786">
        <v>2</v>
      </c>
      <c r="M786">
        <v>19</v>
      </c>
    </row>
    <row r="787" spans="1:13">
      <c r="A787">
        <v>40</v>
      </c>
      <c r="B787" t="s">
        <v>17</v>
      </c>
      <c r="C787" t="s">
        <v>18</v>
      </c>
      <c r="D787">
        <v>20</v>
      </c>
      <c r="E787">
        <v>4</v>
      </c>
      <c r="F787" t="s">
        <v>24</v>
      </c>
      <c r="G787">
        <v>1</v>
      </c>
      <c r="H787">
        <v>4</v>
      </c>
      <c r="I787" t="s">
        <v>19</v>
      </c>
      <c r="J787">
        <v>10322</v>
      </c>
      <c r="K787">
        <v>4</v>
      </c>
      <c r="L787">
        <v>3</v>
      </c>
      <c r="M787">
        <v>11</v>
      </c>
    </row>
    <row r="788" spans="1:13">
      <c r="A788">
        <v>27</v>
      </c>
      <c r="B788" t="s">
        <v>17</v>
      </c>
      <c r="C788" t="s">
        <v>18</v>
      </c>
      <c r="D788">
        <v>8</v>
      </c>
      <c r="E788">
        <v>5</v>
      </c>
      <c r="F788" t="s">
        <v>15</v>
      </c>
      <c r="G788">
        <v>1</v>
      </c>
      <c r="H788">
        <v>3</v>
      </c>
      <c r="I788" t="s">
        <v>19</v>
      </c>
      <c r="J788">
        <v>4621</v>
      </c>
      <c r="K788">
        <v>1</v>
      </c>
      <c r="L788">
        <v>3</v>
      </c>
      <c r="M788">
        <v>3</v>
      </c>
    </row>
    <row r="789" spans="1:13">
      <c r="A789">
        <v>55</v>
      </c>
      <c r="B789" t="s">
        <v>17</v>
      </c>
      <c r="C789" t="s">
        <v>18</v>
      </c>
      <c r="D789">
        <v>2</v>
      </c>
      <c r="E789">
        <v>1</v>
      </c>
      <c r="F789" t="s">
        <v>15</v>
      </c>
      <c r="G789">
        <v>4</v>
      </c>
      <c r="H789">
        <v>2</v>
      </c>
      <c r="I789" t="s">
        <v>19</v>
      </c>
      <c r="J789">
        <v>10976</v>
      </c>
      <c r="K789">
        <v>3</v>
      </c>
      <c r="L789">
        <v>3</v>
      </c>
      <c r="M789">
        <v>3</v>
      </c>
    </row>
    <row r="790" spans="1:13">
      <c r="A790">
        <v>28</v>
      </c>
      <c r="B790" t="s">
        <v>17</v>
      </c>
      <c r="C790" t="s">
        <v>18</v>
      </c>
      <c r="D790">
        <v>10</v>
      </c>
      <c r="E790">
        <v>3</v>
      </c>
      <c r="F790" t="s">
        <v>20</v>
      </c>
      <c r="G790">
        <v>3</v>
      </c>
      <c r="H790">
        <v>3</v>
      </c>
      <c r="I790" t="s">
        <v>16</v>
      </c>
      <c r="J790">
        <v>3660</v>
      </c>
      <c r="K790">
        <v>3</v>
      </c>
      <c r="L790">
        <v>4</v>
      </c>
      <c r="M790">
        <v>8</v>
      </c>
    </row>
    <row r="791" spans="1:13">
      <c r="A791">
        <v>44</v>
      </c>
      <c r="B791" t="s">
        <v>13</v>
      </c>
      <c r="C791" t="s">
        <v>25</v>
      </c>
      <c r="D791">
        <v>1</v>
      </c>
      <c r="E791">
        <v>2</v>
      </c>
      <c r="F791" t="s">
        <v>21</v>
      </c>
      <c r="G791">
        <v>2</v>
      </c>
      <c r="H791">
        <v>1</v>
      </c>
      <c r="I791" t="s">
        <v>19</v>
      </c>
      <c r="J791">
        <v>10482</v>
      </c>
      <c r="K791">
        <v>9</v>
      </c>
      <c r="L791">
        <v>3</v>
      </c>
      <c r="M791">
        <v>20</v>
      </c>
    </row>
    <row r="792" spans="1:13">
      <c r="A792">
        <v>33</v>
      </c>
      <c r="B792" t="s">
        <v>17</v>
      </c>
      <c r="C792" t="s">
        <v>18</v>
      </c>
      <c r="D792">
        <v>5</v>
      </c>
      <c r="E792">
        <v>3</v>
      </c>
      <c r="F792" t="s">
        <v>15</v>
      </c>
      <c r="G792">
        <v>4</v>
      </c>
      <c r="H792">
        <v>4</v>
      </c>
      <c r="I792" t="s">
        <v>22</v>
      </c>
      <c r="J792">
        <v>7119</v>
      </c>
      <c r="K792">
        <v>4</v>
      </c>
      <c r="L792">
        <v>3</v>
      </c>
      <c r="M792">
        <v>3</v>
      </c>
    </row>
    <row r="793" spans="1:13">
      <c r="A793">
        <v>35</v>
      </c>
      <c r="B793" t="s">
        <v>13</v>
      </c>
      <c r="C793" t="s">
        <v>14</v>
      </c>
      <c r="D793">
        <v>4</v>
      </c>
      <c r="E793">
        <v>3</v>
      </c>
      <c r="F793" t="s">
        <v>24</v>
      </c>
      <c r="G793">
        <v>4</v>
      </c>
      <c r="H793">
        <v>1</v>
      </c>
      <c r="I793" t="s">
        <v>16</v>
      </c>
      <c r="J793">
        <v>9582</v>
      </c>
      <c r="K793">
        <v>0</v>
      </c>
      <c r="L793">
        <v>3</v>
      </c>
      <c r="M793">
        <v>8</v>
      </c>
    </row>
    <row r="794" spans="1:13">
      <c r="A794">
        <v>33</v>
      </c>
      <c r="B794" t="s">
        <v>13</v>
      </c>
      <c r="C794" t="s">
        <v>18</v>
      </c>
      <c r="D794">
        <v>29</v>
      </c>
      <c r="E794">
        <v>4</v>
      </c>
      <c r="F794" t="s">
        <v>21</v>
      </c>
      <c r="G794">
        <v>1</v>
      </c>
      <c r="H794">
        <v>3</v>
      </c>
      <c r="I794" t="s">
        <v>16</v>
      </c>
      <c r="J794">
        <v>4508</v>
      </c>
      <c r="K794">
        <v>1</v>
      </c>
      <c r="L794">
        <v>3</v>
      </c>
      <c r="M794">
        <v>13</v>
      </c>
    </row>
    <row r="795" spans="1:13">
      <c r="A795">
        <v>28</v>
      </c>
      <c r="B795" t="s">
        <v>17</v>
      </c>
      <c r="C795" t="s">
        <v>18</v>
      </c>
      <c r="D795">
        <v>15</v>
      </c>
      <c r="E795">
        <v>2</v>
      </c>
      <c r="F795" t="s">
        <v>15</v>
      </c>
      <c r="G795">
        <v>1</v>
      </c>
      <c r="H795">
        <v>3</v>
      </c>
      <c r="I795" t="s">
        <v>22</v>
      </c>
      <c r="J795">
        <v>2207</v>
      </c>
      <c r="K795">
        <v>1</v>
      </c>
      <c r="L795">
        <v>2</v>
      </c>
      <c r="M795">
        <v>4</v>
      </c>
    </row>
    <row r="796" spans="1:13">
      <c r="A796">
        <v>34</v>
      </c>
      <c r="B796" t="s">
        <v>17</v>
      </c>
      <c r="C796" t="s">
        <v>18</v>
      </c>
      <c r="D796">
        <v>3</v>
      </c>
      <c r="E796">
        <v>1</v>
      </c>
      <c r="F796" t="s">
        <v>15</v>
      </c>
      <c r="G796">
        <v>1</v>
      </c>
      <c r="H796">
        <v>4</v>
      </c>
      <c r="I796" t="s">
        <v>16</v>
      </c>
      <c r="J796">
        <v>7756</v>
      </c>
      <c r="K796">
        <v>0</v>
      </c>
      <c r="L796">
        <v>2</v>
      </c>
      <c r="M796">
        <v>6</v>
      </c>
    </row>
    <row r="797" spans="1:13">
      <c r="A797">
        <v>37</v>
      </c>
      <c r="B797" t="s">
        <v>17</v>
      </c>
      <c r="C797" t="s">
        <v>14</v>
      </c>
      <c r="D797">
        <v>10</v>
      </c>
      <c r="E797">
        <v>4</v>
      </c>
      <c r="F797" t="s">
        <v>15</v>
      </c>
      <c r="G797">
        <v>4</v>
      </c>
      <c r="H797">
        <v>4</v>
      </c>
      <c r="I797" t="s">
        <v>22</v>
      </c>
      <c r="J797">
        <v>6694</v>
      </c>
      <c r="K797">
        <v>2</v>
      </c>
      <c r="L797">
        <v>3</v>
      </c>
      <c r="M797">
        <v>1</v>
      </c>
    </row>
    <row r="798" spans="1:13">
      <c r="A798">
        <v>25</v>
      </c>
      <c r="B798" t="s">
        <v>13</v>
      </c>
      <c r="C798" t="s">
        <v>18</v>
      </c>
      <c r="D798">
        <v>4</v>
      </c>
      <c r="E798">
        <v>1</v>
      </c>
      <c r="F798" t="s">
        <v>24</v>
      </c>
      <c r="G798">
        <v>4</v>
      </c>
      <c r="H798">
        <v>4</v>
      </c>
      <c r="I798" t="s">
        <v>19</v>
      </c>
      <c r="J798">
        <v>3691</v>
      </c>
      <c r="K798">
        <v>1</v>
      </c>
      <c r="L798">
        <v>4</v>
      </c>
      <c r="M798">
        <v>7</v>
      </c>
    </row>
    <row r="799" spans="1:13">
      <c r="A799">
        <v>26</v>
      </c>
      <c r="B799" t="s">
        <v>13</v>
      </c>
      <c r="C799" t="s">
        <v>18</v>
      </c>
      <c r="D799">
        <v>21</v>
      </c>
      <c r="E799">
        <v>3</v>
      </c>
      <c r="F799" t="s">
        <v>21</v>
      </c>
      <c r="G799">
        <v>1</v>
      </c>
      <c r="H799">
        <v>3</v>
      </c>
      <c r="I799" t="s">
        <v>22</v>
      </c>
      <c r="J799">
        <v>2377</v>
      </c>
      <c r="K799">
        <v>1</v>
      </c>
      <c r="L799">
        <v>2</v>
      </c>
      <c r="M799">
        <v>1</v>
      </c>
    </row>
    <row r="800" spans="1:13">
      <c r="A800">
        <v>33</v>
      </c>
      <c r="B800" t="s">
        <v>13</v>
      </c>
      <c r="C800" t="s">
        <v>18</v>
      </c>
      <c r="D800">
        <v>25</v>
      </c>
      <c r="E800">
        <v>3</v>
      </c>
      <c r="F800" t="s">
        <v>21</v>
      </c>
      <c r="G800">
        <v>1</v>
      </c>
      <c r="H800">
        <v>2</v>
      </c>
      <c r="I800" t="s">
        <v>16</v>
      </c>
      <c r="J800">
        <v>2313</v>
      </c>
      <c r="K800">
        <v>4</v>
      </c>
      <c r="L800">
        <v>3</v>
      </c>
      <c r="M800">
        <v>2</v>
      </c>
    </row>
    <row r="801" spans="1:13">
      <c r="A801">
        <v>42</v>
      </c>
      <c r="B801" t="s">
        <v>17</v>
      </c>
      <c r="C801" t="s">
        <v>18</v>
      </c>
      <c r="D801">
        <v>2</v>
      </c>
      <c r="E801">
        <v>2</v>
      </c>
      <c r="F801" t="s">
        <v>21</v>
      </c>
      <c r="G801">
        <v>4</v>
      </c>
      <c r="H801">
        <v>1</v>
      </c>
      <c r="I801" t="s">
        <v>19</v>
      </c>
      <c r="J801">
        <v>17665</v>
      </c>
      <c r="K801">
        <v>0</v>
      </c>
      <c r="L801">
        <v>3</v>
      </c>
      <c r="M801">
        <v>22</v>
      </c>
    </row>
    <row r="802" spans="1:13">
      <c r="A802">
        <v>28</v>
      </c>
      <c r="B802" t="s">
        <v>13</v>
      </c>
      <c r="C802" t="s">
        <v>18</v>
      </c>
      <c r="D802">
        <v>1</v>
      </c>
      <c r="E802">
        <v>3</v>
      </c>
      <c r="F802" t="s">
        <v>21</v>
      </c>
      <c r="G802">
        <v>1</v>
      </c>
      <c r="H802">
        <v>2</v>
      </c>
      <c r="I802" t="s">
        <v>22</v>
      </c>
      <c r="J802">
        <v>2596</v>
      </c>
      <c r="K802">
        <v>1</v>
      </c>
      <c r="L802">
        <v>3</v>
      </c>
      <c r="M802">
        <v>1</v>
      </c>
    </row>
    <row r="803" spans="1:13">
      <c r="A803">
        <v>50</v>
      </c>
      <c r="B803" t="s">
        <v>13</v>
      </c>
      <c r="C803" t="s">
        <v>14</v>
      </c>
      <c r="D803">
        <v>1</v>
      </c>
      <c r="E803">
        <v>4</v>
      </c>
      <c r="F803" t="s">
        <v>20</v>
      </c>
      <c r="G803">
        <v>4</v>
      </c>
      <c r="H803">
        <v>3</v>
      </c>
      <c r="I803" t="s">
        <v>16</v>
      </c>
      <c r="J803">
        <v>4728</v>
      </c>
      <c r="K803">
        <v>3</v>
      </c>
      <c r="L803">
        <v>3</v>
      </c>
      <c r="M803">
        <v>0</v>
      </c>
    </row>
    <row r="804" spans="1:13">
      <c r="A804">
        <v>33</v>
      </c>
      <c r="B804" t="s">
        <v>17</v>
      </c>
      <c r="C804" t="s">
        <v>14</v>
      </c>
      <c r="D804">
        <v>7</v>
      </c>
      <c r="E804">
        <v>3</v>
      </c>
      <c r="F804" t="s">
        <v>15</v>
      </c>
      <c r="G804">
        <v>4</v>
      </c>
      <c r="H804">
        <v>2</v>
      </c>
      <c r="I804" t="s">
        <v>19</v>
      </c>
      <c r="J804">
        <v>4302</v>
      </c>
      <c r="K804">
        <v>0</v>
      </c>
      <c r="L804">
        <v>3</v>
      </c>
      <c r="M804">
        <v>3</v>
      </c>
    </row>
    <row r="805" spans="1:13">
      <c r="A805">
        <v>34</v>
      </c>
      <c r="B805" t="s">
        <v>17</v>
      </c>
      <c r="C805" t="s">
        <v>18</v>
      </c>
      <c r="D805">
        <v>3</v>
      </c>
      <c r="E805">
        <v>4</v>
      </c>
      <c r="F805" t="s">
        <v>15</v>
      </c>
      <c r="G805">
        <v>3</v>
      </c>
      <c r="H805">
        <v>4</v>
      </c>
      <c r="I805" t="s">
        <v>19</v>
      </c>
      <c r="J805">
        <v>2979</v>
      </c>
      <c r="K805">
        <v>3</v>
      </c>
      <c r="L805">
        <v>3</v>
      </c>
      <c r="M805">
        <v>0</v>
      </c>
    </row>
    <row r="806" spans="1:13">
      <c r="A806">
        <v>48</v>
      </c>
      <c r="B806" t="s">
        <v>17</v>
      </c>
      <c r="C806" t="s">
        <v>18</v>
      </c>
      <c r="D806">
        <v>1</v>
      </c>
      <c r="E806">
        <v>4</v>
      </c>
      <c r="F806" t="s">
        <v>21</v>
      </c>
      <c r="G806">
        <v>1</v>
      </c>
      <c r="H806">
        <v>4</v>
      </c>
      <c r="I806" t="s">
        <v>16</v>
      </c>
      <c r="J806">
        <v>16885</v>
      </c>
      <c r="K806">
        <v>2</v>
      </c>
      <c r="L806">
        <v>2</v>
      </c>
      <c r="M806">
        <v>5</v>
      </c>
    </row>
    <row r="807" spans="1:13">
      <c r="A807">
        <v>45</v>
      </c>
      <c r="B807" t="s">
        <v>17</v>
      </c>
      <c r="C807" t="s">
        <v>14</v>
      </c>
      <c r="D807">
        <v>9</v>
      </c>
      <c r="E807">
        <v>4</v>
      </c>
      <c r="F807" t="s">
        <v>15</v>
      </c>
      <c r="G807">
        <v>2</v>
      </c>
      <c r="H807">
        <v>3</v>
      </c>
      <c r="I807" t="s">
        <v>19</v>
      </c>
      <c r="J807">
        <v>5593</v>
      </c>
      <c r="K807">
        <v>1</v>
      </c>
      <c r="L807">
        <v>3</v>
      </c>
      <c r="M807">
        <v>15</v>
      </c>
    </row>
    <row r="808" spans="1:13">
      <c r="A808">
        <v>52</v>
      </c>
      <c r="B808" t="s">
        <v>17</v>
      </c>
      <c r="C808" t="s">
        <v>18</v>
      </c>
      <c r="D808">
        <v>7</v>
      </c>
      <c r="E808">
        <v>4</v>
      </c>
      <c r="F808" t="s">
        <v>15</v>
      </c>
      <c r="G808">
        <v>2</v>
      </c>
      <c r="H808">
        <v>2</v>
      </c>
      <c r="I808" t="s">
        <v>16</v>
      </c>
      <c r="J808">
        <v>10445</v>
      </c>
      <c r="K808">
        <v>7</v>
      </c>
      <c r="L808">
        <v>3</v>
      </c>
      <c r="M808">
        <v>8</v>
      </c>
    </row>
    <row r="809" spans="1:13">
      <c r="A809">
        <v>38</v>
      </c>
      <c r="B809" t="s">
        <v>17</v>
      </c>
      <c r="C809" t="s">
        <v>14</v>
      </c>
      <c r="D809">
        <v>10</v>
      </c>
      <c r="E809">
        <v>4</v>
      </c>
      <c r="F809" t="s">
        <v>23</v>
      </c>
      <c r="G809">
        <v>3</v>
      </c>
      <c r="H809">
        <v>3</v>
      </c>
      <c r="I809" t="s">
        <v>22</v>
      </c>
      <c r="J809">
        <v>8740</v>
      </c>
      <c r="K809">
        <v>0</v>
      </c>
      <c r="L809">
        <v>3</v>
      </c>
      <c r="M809">
        <v>8</v>
      </c>
    </row>
    <row r="810" spans="1:13">
      <c r="A810">
        <v>29</v>
      </c>
      <c r="B810" t="s">
        <v>17</v>
      </c>
      <c r="C810" t="s">
        <v>18</v>
      </c>
      <c r="D810">
        <v>28</v>
      </c>
      <c r="E810">
        <v>4</v>
      </c>
      <c r="F810" t="s">
        <v>15</v>
      </c>
      <c r="G810">
        <v>3</v>
      </c>
      <c r="H810">
        <v>4</v>
      </c>
      <c r="I810" t="s">
        <v>22</v>
      </c>
      <c r="J810">
        <v>2514</v>
      </c>
      <c r="K810">
        <v>4</v>
      </c>
      <c r="L810">
        <v>3</v>
      </c>
      <c r="M810">
        <v>7</v>
      </c>
    </row>
    <row r="811" spans="1:13">
      <c r="A811">
        <v>28</v>
      </c>
      <c r="B811" t="s">
        <v>17</v>
      </c>
      <c r="C811" t="s">
        <v>18</v>
      </c>
      <c r="D811">
        <v>3</v>
      </c>
      <c r="E811">
        <v>3</v>
      </c>
      <c r="F811" t="s">
        <v>21</v>
      </c>
      <c r="G811">
        <v>4</v>
      </c>
      <c r="H811">
        <v>2</v>
      </c>
      <c r="I811" t="s">
        <v>22</v>
      </c>
      <c r="J811">
        <v>7655</v>
      </c>
      <c r="K811">
        <v>0</v>
      </c>
      <c r="L811">
        <v>2</v>
      </c>
      <c r="M811">
        <v>9</v>
      </c>
    </row>
    <row r="812" spans="1:13">
      <c r="A812">
        <v>46</v>
      </c>
      <c r="B812" t="s">
        <v>17</v>
      </c>
      <c r="C812" t="s">
        <v>14</v>
      </c>
      <c r="D812">
        <v>3</v>
      </c>
      <c r="E812">
        <v>1</v>
      </c>
      <c r="F812" t="s">
        <v>23</v>
      </c>
      <c r="G812">
        <v>1</v>
      </c>
      <c r="H812">
        <v>3</v>
      </c>
      <c r="I812" t="s">
        <v>19</v>
      </c>
      <c r="J812">
        <v>17465</v>
      </c>
      <c r="K812">
        <v>3</v>
      </c>
      <c r="L812">
        <v>3</v>
      </c>
      <c r="M812">
        <v>12</v>
      </c>
    </row>
    <row r="813" spans="1:13">
      <c r="A813">
        <v>38</v>
      </c>
      <c r="B813" t="s">
        <v>17</v>
      </c>
      <c r="C813" t="s">
        <v>14</v>
      </c>
      <c r="D813">
        <v>2</v>
      </c>
      <c r="E813">
        <v>2</v>
      </c>
      <c r="F813" t="s">
        <v>23</v>
      </c>
      <c r="G813">
        <v>4</v>
      </c>
      <c r="H813">
        <v>2</v>
      </c>
      <c r="I813" t="s">
        <v>16</v>
      </c>
      <c r="J813">
        <v>7351</v>
      </c>
      <c r="K813">
        <v>7</v>
      </c>
      <c r="L813">
        <v>3</v>
      </c>
      <c r="M813">
        <v>1</v>
      </c>
    </row>
    <row r="814" spans="1:13">
      <c r="A814">
        <v>43</v>
      </c>
      <c r="B814" t="s">
        <v>17</v>
      </c>
      <c r="C814" t="s">
        <v>18</v>
      </c>
      <c r="D814">
        <v>27</v>
      </c>
      <c r="E814">
        <v>3</v>
      </c>
      <c r="F814" t="s">
        <v>15</v>
      </c>
      <c r="G814">
        <v>3</v>
      </c>
      <c r="H814">
        <v>1</v>
      </c>
      <c r="I814" t="s">
        <v>19</v>
      </c>
      <c r="J814">
        <v>10820</v>
      </c>
      <c r="K814">
        <v>8</v>
      </c>
      <c r="L814">
        <v>3</v>
      </c>
      <c r="M814">
        <v>8</v>
      </c>
    </row>
    <row r="815" spans="1:13">
      <c r="A815">
        <v>39</v>
      </c>
      <c r="B815" t="s">
        <v>13</v>
      </c>
      <c r="C815" t="s">
        <v>18</v>
      </c>
      <c r="D815">
        <v>2</v>
      </c>
      <c r="E815">
        <v>3</v>
      </c>
      <c r="F815" t="s">
        <v>15</v>
      </c>
      <c r="G815">
        <v>1</v>
      </c>
      <c r="H815">
        <v>4</v>
      </c>
      <c r="I815" t="s">
        <v>22</v>
      </c>
      <c r="J815">
        <v>12169</v>
      </c>
      <c r="K815">
        <v>7</v>
      </c>
      <c r="L815">
        <v>3</v>
      </c>
      <c r="M815">
        <v>18</v>
      </c>
    </row>
    <row r="816" spans="1:13">
      <c r="A816">
        <v>40</v>
      </c>
      <c r="B816" t="s">
        <v>17</v>
      </c>
      <c r="C816" t="s">
        <v>18</v>
      </c>
      <c r="D816">
        <v>14</v>
      </c>
      <c r="E816">
        <v>3</v>
      </c>
      <c r="F816" t="s">
        <v>21</v>
      </c>
      <c r="G816">
        <v>3</v>
      </c>
      <c r="H816">
        <v>3</v>
      </c>
      <c r="I816" t="s">
        <v>16</v>
      </c>
      <c r="J816">
        <v>19626</v>
      </c>
      <c r="K816">
        <v>1</v>
      </c>
      <c r="L816">
        <v>4</v>
      </c>
      <c r="M816">
        <v>20</v>
      </c>
    </row>
    <row r="817" spans="1:13">
      <c r="A817">
        <v>21</v>
      </c>
      <c r="B817" t="s">
        <v>17</v>
      </c>
      <c r="C817" t="s">
        <v>18</v>
      </c>
      <c r="D817">
        <v>1</v>
      </c>
      <c r="E817">
        <v>1</v>
      </c>
      <c r="F817" t="s">
        <v>24</v>
      </c>
      <c r="G817">
        <v>4</v>
      </c>
      <c r="H817">
        <v>2</v>
      </c>
      <c r="I817" t="s">
        <v>16</v>
      </c>
      <c r="J817">
        <v>2070</v>
      </c>
      <c r="K817">
        <v>1</v>
      </c>
      <c r="L817">
        <v>4</v>
      </c>
      <c r="M817">
        <v>2</v>
      </c>
    </row>
    <row r="818" spans="1:13">
      <c r="A818">
        <v>39</v>
      </c>
      <c r="B818" t="s">
        <v>17</v>
      </c>
      <c r="C818" t="s">
        <v>18</v>
      </c>
      <c r="D818">
        <v>9</v>
      </c>
      <c r="E818">
        <v>3</v>
      </c>
      <c r="F818" t="s">
        <v>15</v>
      </c>
      <c r="G818">
        <v>3</v>
      </c>
      <c r="H818">
        <v>2</v>
      </c>
      <c r="I818" t="s">
        <v>16</v>
      </c>
      <c r="J818">
        <v>6782</v>
      </c>
      <c r="K818">
        <v>9</v>
      </c>
      <c r="L818">
        <v>2</v>
      </c>
      <c r="M818">
        <v>5</v>
      </c>
    </row>
    <row r="819" spans="1:13">
      <c r="A819">
        <v>36</v>
      </c>
      <c r="B819" t="s">
        <v>17</v>
      </c>
      <c r="C819" t="s">
        <v>18</v>
      </c>
      <c r="D819">
        <v>18</v>
      </c>
      <c r="E819">
        <v>4</v>
      </c>
      <c r="F819" t="s">
        <v>15</v>
      </c>
      <c r="G819">
        <v>1</v>
      </c>
      <c r="H819">
        <v>4</v>
      </c>
      <c r="I819" t="s">
        <v>16</v>
      </c>
      <c r="J819">
        <v>7779</v>
      </c>
      <c r="K819">
        <v>2</v>
      </c>
      <c r="L819">
        <v>3</v>
      </c>
      <c r="M819">
        <v>11</v>
      </c>
    </row>
    <row r="820" spans="1:13">
      <c r="A820">
        <v>31</v>
      </c>
      <c r="B820" t="s">
        <v>17</v>
      </c>
      <c r="C820" t="s">
        <v>14</v>
      </c>
      <c r="D820">
        <v>20</v>
      </c>
      <c r="E820">
        <v>3</v>
      </c>
      <c r="F820" t="s">
        <v>15</v>
      </c>
      <c r="G820">
        <v>3</v>
      </c>
      <c r="H820">
        <v>4</v>
      </c>
      <c r="I820" t="s">
        <v>19</v>
      </c>
      <c r="J820">
        <v>2791</v>
      </c>
      <c r="K820">
        <v>0</v>
      </c>
      <c r="L820">
        <v>3</v>
      </c>
      <c r="M820">
        <v>2</v>
      </c>
    </row>
    <row r="821" spans="1:13">
      <c r="A821">
        <v>28</v>
      </c>
      <c r="B821" t="s">
        <v>17</v>
      </c>
      <c r="C821" t="s">
        <v>18</v>
      </c>
      <c r="D821">
        <v>2</v>
      </c>
      <c r="E821">
        <v>1</v>
      </c>
      <c r="F821" t="s">
        <v>15</v>
      </c>
      <c r="G821">
        <v>1</v>
      </c>
      <c r="H821">
        <v>2</v>
      </c>
      <c r="I821" t="s">
        <v>19</v>
      </c>
      <c r="J821">
        <v>3201</v>
      </c>
      <c r="K821">
        <v>0</v>
      </c>
      <c r="L821">
        <v>1</v>
      </c>
      <c r="M821">
        <v>5</v>
      </c>
    </row>
    <row r="822" spans="1:13">
      <c r="A822">
        <v>35</v>
      </c>
      <c r="B822" t="s">
        <v>17</v>
      </c>
      <c r="C822" t="s">
        <v>14</v>
      </c>
      <c r="D822">
        <v>11</v>
      </c>
      <c r="E822">
        <v>2</v>
      </c>
      <c r="F822" t="s">
        <v>23</v>
      </c>
      <c r="G822">
        <v>4</v>
      </c>
      <c r="H822">
        <v>4</v>
      </c>
      <c r="I822" t="s">
        <v>22</v>
      </c>
      <c r="J822">
        <v>4968</v>
      </c>
      <c r="K822">
        <v>1</v>
      </c>
      <c r="L822">
        <v>3</v>
      </c>
      <c r="M822">
        <v>5</v>
      </c>
    </row>
    <row r="823" spans="1:13">
      <c r="A823">
        <v>49</v>
      </c>
      <c r="B823" t="s">
        <v>17</v>
      </c>
      <c r="C823" t="s">
        <v>14</v>
      </c>
      <c r="D823">
        <v>8</v>
      </c>
      <c r="E823">
        <v>4</v>
      </c>
      <c r="F823" t="s">
        <v>24</v>
      </c>
      <c r="G823">
        <v>4</v>
      </c>
      <c r="H823">
        <v>2</v>
      </c>
      <c r="I823" t="s">
        <v>19</v>
      </c>
      <c r="J823">
        <v>13120</v>
      </c>
      <c r="K823">
        <v>6</v>
      </c>
      <c r="L823">
        <v>3</v>
      </c>
      <c r="M823">
        <v>9</v>
      </c>
    </row>
    <row r="824" spans="1:13">
      <c r="A824">
        <v>34</v>
      </c>
      <c r="B824" t="s">
        <v>17</v>
      </c>
      <c r="C824" t="s">
        <v>18</v>
      </c>
      <c r="D824">
        <v>2</v>
      </c>
      <c r="E824">
        <v>2</v>
      </c>
      <c r="F824" t="s">
        <v>15</v>
      </c>
      <c r="G824">
        <v>4</v>
      </c>
      <c r="H824">
        <v>3</v>
      </c>
      <c r="I824" t="s">
        <v>16</v>
      </c>
      <c r="J824">
        <v>4033</v>
      </c>
      <c r="K824">
        <v>2</v>
      </c>
      <c r="L824">
        <v>2</v>
      </c>
      <c r="M824">
        <v>3</v>
      </c>
    </row>
    <row r="825" spans="1:13">
      <c r="A825">
        <v>29</v>
      </c>
      <c r="B825" t="s">
        <v>17</v>
      </c>
      <c r="C825" t="s">
        <v>18</v>
      </c>
      <c r="D825">
        <v>10</v>
      </c>
      <c r="E825">
        <v>3</v>
      </c>
      <c r="F825" t="s">
        <v>15</v>
      </c>
      <c r="G825">
        <v>4</v>
      </c>
      <c r="H825">
        <v>2</v>
      </c>
      <c r="I825" t="s">
        <v>22</v>
      </c>
      <c r="J825">
        <v>3291</v>
      </c>
      <c r="K825">
        <v>0</v>
      </c>
      <c r="L825">
        <v>2</v>
      </c>
      <c r="M825">
        <v>7</v>
      </c>
    </row>
    <row r="826" spans="1:13">
      <c r="A826">
        <v>42</v>
      </c>
      <c r="B826" t="s">
        <v>17</v>
      </c>
      <c r="C826" t="s">
        <v>18</v>
      </c>
      <c r="D826">
        <v>29</v>
      </c>
      <c r="E826">
        <v>3</v>
      </c>
      <c r="F826" t="s">
        <v>21</v>
      </c>
      <c r="G826">
        <v>2</v>
      </c>
      <c r="H826">
        <v>4</v>
      </c>
      <c r="I826" t="s">
        <v>16</v>
      </c>
      <c r="J826">
        <v>4272</v>
      </c>
      <c r="K826">
        <v>4</v>
      </c>
      <c r="L826">
        <v>3</v>
      </c>
      <c r="M826">
        <v>1</v>
      </c>
    </row>
    <row r="827" spans="1:13">
      <c r="A827">
        <v>29</v>
      </c>
      <c r="B827" t="s">
        <v>17</v>
      </c>
      <c r="C827" t="s">
        <v>18</v>
      </c>
      <c r="D827">
        <v>8</v>
      </c>
      <c r="E827">
        <v>1</v>
      </c>
      <c r="F827" t="s">
        <v>21</v>
      </c>
      <c r="G827">
        <v>2</v>
      </c>
      <c r="H827">
        <v>4</v>
      </c>
      <c r="I827" t="s">
        <v>19</v>
      </c>
      <c r="J827">
        <v>5056</v>
      </c>
      <c r="K827">
        <v>1</v>
      </c>
      <c r="L827">
        <v>2</v>
      </c>
      <c r="M827">
        <v>10</v>
      </c>
    </row>
    <row r="828" spans="1:13">
      <c r="A828">
        <v>38</v>
      </c>
      <c r="B828" t="s">
        <v>17</v>
      </c>
      <c r="C828" t="s">
        <v>25</v>
      </c>
      <c r="D828">
        <v>1</v>
      </c>
      <c r="E828">
        <v>3</v>
      </c>
      <c r="F828" t="s">
        <v>25</v>
      </c>
      <c r="G828">
        <v>3</v>
      </c>
      <c r="H828">
        <v>3</v>
      </c>
      <c r="I828" t="s">
        <v>19</v>
      </c>
      <c r="J828">
        <v>2844</v>
      </c>
      <c r="K828">
        <v>1</v>
      </c>
      <c r="L828">
        <v>4</v>
      </c>
      <c r="M828">
        <v>7</v>
      </c>
    </row>
    <row r="829" spans="1:13">
      <c r="A829">
        <v>28</v>
      </c>
      <c r="B829" t="s">
        <v>17</v>
      </c>
      <c r="C829" t="s">
        <v>18</v>
      </c>
      <c r="D829">
        <v>6</v>
      </c>
      <c r="E829">
        <v>3</v>
      </c>
      <c r="F829" t="s">
        <v>15</v>
      </c>
      <c r="G829">
        <v>3</v>
      </c>
      <c r="H829">
        <v>3</v>
      </c>
      <c r="I829" t="s">
        <v>22</v>
      </c>
      <c r="J829">
        <v>2703</v>
      </c>
      <c r="K829">
        <v>1</v>
      </c>
      <c r="L829">
        <v>3</v>
      </c>
      <c r="M829">
        <v>3</v>
      </c>
    </row>
    <row r="830" spans="1:13">
      <c r="A830">
        <v>18</v>
      </c>
      <c r="B830" t="s">
        <v>13</v>
      </c>
      <c r="C830" t="s">
        <v>18</v>
      </c>
      <c r="D830">
        <v>8</v>
      </c>
      <c r="E830">
        <v>1</v>
      </c>
      <c r="F830" t="s">
        <v>21</v>
      </c>
      <c r="G830">
        <v>3</v>
      </c>
      <c r="H830">
        <v>3</v>
      </c>
      <c r="I830" t="s">
        <v>16</v>
      </c>
      <c r="J830">
        <v>1904</v>
      </c>
      <c r="K830">
        <v>1</v>
      </c>
      <c r="L830">
        <v>3</v>
      </c>
      <c r="M830">
        <v>0</v>
      </c>
    </row>
    <row r="831" spans="1:13">
      <c r="A831">
        <v>33</v>
      </c>
      <c r="B831" t="s">
        <v>13</v>
      </c>
      <c r="C831" t="s">
        <v>14</v>
      </c>
      <c r="D831">
        <v>9</v>
      </c>
      <c r="E831">
        <v>4</v>
      </c>
      <c r="F831" t="s">
        <v>23</v>
      </c>
      <c r="G831">
        <v>1</v>
      </c>
      <c r="H831">
        <v>1</v>
      </c>
      <c r="I831" t="s">
        <v>16</v>
      </c>
      <c r="J831">
        <v>8224</v>
      </c>
      <c r="K831">
        <v>0</v>
      </c>
      <c r="L831">
        <v>3</v>
      </c>
      <c r="M831">
        <v>5</v>
      </c>
    </row>
    <row r="832" spans="1:13">
      <c r="A832">
        <v>41</v>
      </c>
      <c r="B832" t="s">
        <v>17</v>
      </c>
      <c r="C832" t="s">
        <v>18</v>
      </c>
      <c r="D832">
        <v>12</v>
      </c>
      <c r="E832">
        <v>4</v>
      </c>
      <c r="F832" t="s">
        <v>15</v>
      </c>
      <c r="G832">
        <v>2</v>
      </c>
      <c r="H832">
        <v>4</v>
      </c>
      <c r="I832" t="s">
        <v>19</v>
      </c>
      <c r="J832">
        <v>4766</v>
      </c>
      <c r="K832">
        <v>3</v>
      </c>
      <c r="L832">
        <v>3</v>
      </c>
      <c r="M832">
        <v>1</v>
      </c>
    </row>
    <row r="833" spans="1:13">
      <c r="A833">
        <v>31</v>
      </c>
      <c r="B833" t="s">
        <v>13</v>
      </c>
      <c r="C833" t="s">
        <v>18</v>
      </c>
      <c r="D833">
        <v>15</v>
      </c>
      <c r="E833">
        <v>3</v>
      </c>
      <c r="F833" t="s">
        <v>21</v>
      </c>
      <c r="G833">
        <v>3</v>
      </c>
      <c r="H833">
        <v>3</v>
      </c>
      <c r="I833" t="s">
        <v>19</v>
      </c>
      <c r="J833">
        <v>2610</v>
      </c>
      <c r="K833">
        <v>1</v>
      </c>
      <c r="L833">
        <v>2</v>
      </c>
      <c r="M833">
        <v>2</v>
      </c>
    </row>
    <row r="834" spans="1:13">
      <c r="A834">
        <v>37</v>
      </c>
      <c r="B834" t="s">
        <v>17</v>
      </c>
      <c r="C834" t="s">
        <v>18</v>
      </c>
      <c r="D834">
        <v>25</v>
      </c>
      <c r="E834">
        <v>2</v>
      </c>
      <c r="F834" t="s">
        <v>21</v>
      </c>
      <c r="G834">
        <v>3</v>
      </c>
      <c r="H834">
        <v>4</v>
      </c>
      <c r="I834" t="s">
        <v>22</v>
      </c>
      <c r="J834">
        <v>5731</v>
      </c>
      <c r="K834">
        <v>7</v>
      </c>
      <c r="L834">
        <v>3</v>
      </c>
      <c r="M834">
        <v>6</v>
      </c>
    </row>
    <row r="835" spans="1:13">
      <c r="A835">
        <v>27</v>
      </c>
      <c r="B835" t="s">
        <v>17</v>
      </c>
      <c r="C835" t="s">
        <v>18</v>
      </c>
      <c r="D835">
        <v>6</v>
      </c>
      <c r="E835">
        <v>3</v>
      </c>
      <c r="F835" t="s">
        <v>15</v>
      </c>
      <c r="G835">
        <v>4</v>
      </c>
      <c r="H835">
        <v>3</v>
      </c>
      <c r="I835" t="s">
        <v>19</v>
      </c>
      <c r="J835">
        <v>2539</v>
      </c>
      <c r="K835">
        <v>1</v>
      </c>
      <c r="L835">
        <v>3</v>
      </c>
      <c r="M835">
        <v>4</v>
      </c>
    </row>
    <row r="836" spans="1:13">
      <c r="A836">
        <v>34</v>
      </c>
      <c r="B836" t="s">
        <v>17</v>
      </c>
      <c r="C836" t="s">
        <v>14</v>
      </c>
      <c r="D836">
        <v>9</v>
      </c>
      <c r="E836">
        <v>1</v>
      </c>
      <c r="F836" t="s">
        <v>15</v>
      </c>
      <c r="G836">
        <v>2</v>
      </c>
      <c r="H836">
        <v>3</v>
      </c>
      <c r="I836" t="s">
        <v>19</v>
      </c>
      <c r="J836">
        <v>5714</v>
      </c>
      <c r="K836">
        <v>1</v>
      </c>
      <c r="L836">
        <v>2</v>
      </c>
      <c r="M836">
        <v>6</v>
      </c>
    </row>
    <row r="837" spans="1:13">
      <c r="A837">
        <v>35</v>
      </c>
      <c r="B837" t="s">
        <v>17</v>
      </c>
      <c r="C837" t="s">
        <v>25</v>
      </c>
      <c r="D837">
        <v>8</v>
      </c>
      <c r="E837">
        <v>4</v>
      </c>
      <c r="F837" t="s">
        <v>24</v>
      </c>
      <c r="G837">
        <v>3</v>
      </c>
      <c r="H837">
        <v>3</v>
      </c>
      <c r="I837" t="s">
        <v>16</v>
      </c>
      <c r="J837">
        <v>4323</v>
      </c>
      <c r="K837">
        <v>1</v>
      </c>
      <c r="L837">
        <v>1</v>
      </c>
      <c r="M837">
        <v>5</v>
      </c>
    </row>
    <row r="838" spans="1:13">
      <c r="A838">
        <v>29</v>
      </c>
      <c r="B838" t="s">
        <v>13</v>
      </c>
      <c r="C838" t="s">
        <v>14</v>
      </c>
      <c r="D838">
        <v>23</v>
      </c>
      <c r="E838">
        <v>1</v>
      </c>
      <c r="F838" t="s">
        <v>15</v>
      </c>
      <c r="G838">
        <v>4</v>
      </c>
      <c r="H838">
        <v>1</v>
      </c>
      <c r="I838" t="s">
        <v>19</v>
      </c>
      <c r="J838">
        <v>7336</v>
      </c>
      <c r="K838">
        <v>1</v>
      </c>
      <c r="L838">
        <v>1</v>
      </c>
      <c r="M838">
        <v>11</v>
      </c>
    </row>
    <row r="839" spans="1:13">
      <c r="A839">
        <v>40</v>
      </c>
      <c r="B839" t="s">
        <v>17</v>
      </c>
      <c r="C839" t="s">
        <v>18</v>
      </c>
      <c r="D839">
        <v>9</v>
      </c>
      <c r="E839">
        <v>4</v>
      </c>
      <c r="F839" t="s">
        <v>21</v>
      </c>
      <c r="G839">
        <v>2</v>
      </c>
      <c r="H839">
        <v>3</v>
      </c>
      <c r="I839" t="s">
        <v>16</v>
      </c>
      <c r="J839">
        <v>13499</v>
      </c>
      <c r="K839">
        <v>9</v>
      </c>
      <c r="L839">
        <v>2</v>
      </c>
      <c r="M839">
        <v>18</v>
      </c>
    </row>
    <row r="840" spans="1:13">
      <c r="A840">
        <v>42</v>
      </c>
      <c r="B840" t="s">
        <v>13</v>
      </c>
      <c r="C840" t="s">
        <v>14</v>
      </c>
      <c r="D840">
        <v>12</v>
      </c>
      <c r="E840">
        <v>3</v>
      </c>
      <c r="F840" t="s">
        <v>15</v>
      </c>
      <c r="G840">
        <v>3</v>
      </c>
      <c r="H840">
        <v>1</v>
      </c>
      <c r="I840" t="s">
        <v>16</v>
      </c>
      <c r="J840">
        <v>13758</v>
      </c>
      <c r="K840">
        <v>0</v>
      </c>
      <c r="L840">
        <v>2</v>
      </c>
      <c r="M840">
        <v>21</v>
      </c>
    </row>
    <row r="841" spans="1:13">
      <c r="A841">
        <v>42</v>
      </c>
      <c r="B841" t="s">
        <v>17</v>
      </c>
      <c r="C841" t="s">
        <v>14</v>
      </c>
      <c r="D841">
        <v>4</v>
      </c>
      <c r="E841">
        <v>4</v>
      </c>
      <c r="F841" t="s">
        <v>23</v>
      </c>
      <c r="G841">
        <v>2</v>
      </c>
      <c r="H841">
        <v>1</v>
      </c>
      <c r="I841" t="s">
        <v>16</v>
      </c>
      <c r="J841">
        <v>5155</v>
      </c>
      <c r="K841">
        <v>7</v>
      </c>
      <c r="L841">
        <v>4</v>
      </c>
      <c r="M841">
        <v>6</v>
      </c>
    </row>
    <row r="842" spans="1:13">
      <c r="A842">
        <v>35</v>
      </c>
      <c r="B842" t="s">
        <v>17</v>
      </c>
      <c r="C842" t="s">
        <v>18</v>
      </c>
      <c r="D842">
        <v>1</v>
      </c>
      <c r="E842">
        <v>4</v>
      </c>
      <c r="F842" t="s">
        <v>21</v>
      </c>
      <c r="G842">
        <v>4</v>
      </c>
      <c r="H842">
        <v>3</v>
      </c>
      <c r="I842" t="s">
        <v>19</v>
      </c>
      <c r="J842">
        <v>2258</v>
      </c>
      <c r="K842">
        <v>6</v>
      </c>
      <c r="L842">
        <v>3</v>
      </c>
      <c r="M842">
        <v>8</v>
      </c>
    </row>
    <row r="843" spans="1:13">
      <c r="A843">
        <v>24</v>
      </c>
      <c r="B843" t="s">
        <v>17</v>
      </c>
      <c r="C843" t="s">
        <v>18</v>
      </c>
      <c r="D843">
        <v>24</v>
      </c>
      <c r="E843">
        <v>3</v>
      </c>
      <c r="F843" t="s">
        <v>21</v>
      </c>
      <c r="G843">
        <v>4</v>
      </c>
      <c r="H843">
        <v>2</v>
      </c>
      <c r="I843" t="s">
        <v>16</v>
      </c>
      <c r="J843">
        <v>3597</v>
      </c>
      <c r="K843">
        <v>8</v>
      </c>
      <c r="L843">
        <v>3</v>
      </c>
      <c r="M843">
        <v>4</v>
      </c>
    </row>
    <row r="844" spans="1:13">
      <c r="A844">
        <v>28</v>
      </c>
      <c r="B844" t="s">
        <v>13</v>
      </c>
      <c r="C844" t="s">
        <v>18</v>
      </c>
      <c r="D844">
        <v>12</v>
      </c>
      <c r="E844">
        <v>1</v>
      </c>
      <c r="F844" t="s">
        <v>15</v>
      </c>
      <c r="G844">
        <v>3</v>
      </c>
      <c r="H844">
        <v>4</v>
      </c>
      <c r="I844" t="s">
        <v>19</v>
      </c>
      <c r="J844">
        <v>2515</v>
      </c>
      <c r="K844">
        <v>1</v>
      </c>
      <c r="L844">
        <v>2</v>
      </c>
      <c r="M844">
        <v>1</v>
      </c>
    </row>
    <row r="845" spans="1:13">
      <c r="A845">
        <v>26</v>
      </c>
      <c r="B845" t="s">
        <v>17</v>
      </c>
      <c r="C845" t="s">
        <v>18</v>
      </c>
      <c r="D845">
        <v>3</v>
      </c>
      <c r="E845">
        <v>4</v>
      </c>
      <c r="F845" t="s">
        <v>21</v>
      </c>
      <c r="G845">
        <v>1</v>
      </c>
      <c r="H845">
        <v>4</v>
      </c>
      <c r="I845" t="s">
        <v>19</v>
      </c>
      <c r="J845">
        <v>4420</v>
      </c>
      <c r="K845">
        <v>1</v>
      </c>
      <c r="L845">
        <v>3</v>
      </c>
      <c r="M845">
        <v>8</v>
      </c>
    </row>
    <row r="846" spans="1:13">
      <c r="A846">
        <v>30</v>
      </c>
      <c r="B846" t="s">
        <v>17</v>
      </c>
      <c r="C846" t="s">
        <v>14</v>
      </c>
      <c r="D846">
        <v>10</v>
      </c>
      <c r="E846">
        <v>3</v>
      </c>
      <c r="F846" t="s">
        <v>23</v>
      </c>
      <c r="G846">
        <v>3</v>
      </c>
      <c r="H846">
        <v>3</v>
      </c>
      <c r="I846" t="s">
        <v>19</v>
      </c>
      <c r="J846">
        <v>6578</v>
      </c>
      <c r="K846">
        <v>1</v>
      </c>
      <c r="L846">
        <v>3</v>
      </c>
      <c r="M846">
        <v>10</v>
      </c>
    </row>
    <row r="847" spans="1:13">
      <c r="A847">
        <v>40</v>
      </c>
      <c r="B847" t="s">
        <v>17</v>
      </c>
      <c r="C847" t="s">
        <v>18</v>
      </c>
      <c r="D847">
        <v>26</v>
      </c>
      <c r="E847">
        <v>2</v>
      </c>
      <c r="F847" t="s">
        <v>21</v>
      </c>
      <c r="G847">
        <v>3</v>
      </c>
      <c r="H847">
        <v>4</v>
      </c>
      <c r="I847" t="s">
        <v>19</v>
      </c>
      <c r="J847">
        <v>4422</v>
      </c>
      <c r="K847">
        <v>3</v>
      </c>
      <c r="L847">
        <v>1</v>
      </c>
      <c r="M847">
        <v>1</v>
      </c>
    </row>
    <row r="848" spans="1:13">
      <c r="A848">
        <v>35</v>
      </c>
      <c r="B848" t="s">
        <v>17</v>
      </c>
      <c r="C848" t="s">
        <v>18</v>
      </c>
      <c r="D848">
        <v>2</v>
      </c>
      <c r="E848">
        <v>3</v>
      </c>
      <c r="F848" t="s">
        <v>15</v>
      </c>
      <c r="G848">
        <v>3</v>
      </c>
      <c r="H848">
        <v>2</v>
      </c>
      <c r="I848" t="s">
        <v>22</v>
      </c>
      <c r="J848">
        <v>10274</v>
      </c>
      <c r="K848">
        <v>2</v>
      </c>
      <c r="L848">
        <v>4</v>
      </c>
      <c r="M848">
        <v>7</v>
      </c>
    </row>
    <row r="849" spans="1:13">
      <c r="A849">
        <v>34</v>
      </c>
      <c r="B849" t="s">
        <v>17</v>
      </c>
      <c r="C849" t="s">
        <v>18</v>
      </c>
      <c r="D849">
        <v>1</v>
      </c>
      <c r="E849">
        <v>3</v>
      </c>
      <c r="F849" t="s">
        <v>21</v>
      </c>
      <c r="G849">
        <v>4</v>
      </c>
      <c r="H849">
        <v>1</v>
      </c>
      <c r="I849" t="s">
        <v>16</v>
      </c>
      <c r="J849">
        <v>5343</v>
      </c>
      <c r="K849">
        <v>0</v>
      </c>
      <c r="L849">
        <v>3</v>
      </c>
      <c r="M849">
        <v>13</v>
      </c>
    </row>
    <row r="850" spans="1:13">
      <c r="A850">
        <v>35</v>
      </c>
      <c r="B850" t="s">
        <v>17</v>
      </c>
      <c r="C850" t="s">
        <v>18</v>
      </c>
      <c r="D850">
        <v>4</v>
      </c>
      <c r="E850">
        <v>4</v>
      </c>
      <c r="F850" t="s">
        <v>20</v>
      </c>
      <c r="G850">
        <v>4</v>
      </c>
      <c r="H850">
        <v>4</v>
      </c>
      <c r="I850" t="s">
        <v>19</v>
      </c>
      <c r="J850">
        <v>2376</v>
      </c>
      <c r="K850">
        <v>1</v>
      </c>
      <c r="L850">
        <v>4</v>
      </c>
      <c r="M850">
        <v>2</v>
      </c>
    </row>
    <row r="851" spans="1:13">
      <c r="A851">
        <v>43</v>
      </c>
      <c r="B851" t="s">
        <v>13</v>
      </c>
      <c r="C851" t="s">
        <v>14</v>
      </c>
      <c r="D851">
        <v>9</v>
      </c>
      <c r="E851">
        <v>3</v>
      </c>
      <c r="F851" t="s">
        <v>23</v>
      </c>
      <c r="G851">
        <v>1</v>
      </c>
      <c r="H851">
        <v>3</v>
      </c>
      <c r="I851" t="s">
        <v>16</v>
      </c>
      <c r="J851">
        <v>5346</v>
      </c>
      <c r="K851">
        <v>8</v>
      </c>
      <c r="L851">
        <v>2</v>
      </c>
      <c r="M851">
        <v>4</v>
      </c>
    </row>
    <row r="852" spans="1:13">
      <c r="A852">
        <v>32</v>
      </c>
      <c r="B852" t="s">
        <v>17</v>
      </c>
      <c r="C852" t="s">
        <v>14</v>
      </c>
      <c r="D852">
        <v>2</v>
      </c>
      <c r="E852">
        <v>1</v>
      </c>
      <c r="F852" t="s">
        <v>15</v>
      </c>
      <c r="G852">
        <v>3</v>
      </c>
      <c r="H852">
        <v>1</v>
      </c>
      <c r="I852" t="s">
        <v>22</v>
      </c>
      <c r="J852">
        <v>2827</v>
      </c>
      <c r="K852">
        <v>1</v>
      </c>
      <c r="L852">
        <v>3</v>
      </c>
      <c r="M852">
        <v>1</v>
      </c>
    </row>
    <row r="853" spans="1:13">
      <c r="A853">
        <v>56</v>
      </c>
      <c r="B853" t="s">
        <v>17</v>
      </c>
      <c r="C853" t="s">
        <v>18</v>
      </c>
      <c r="D853">
        <v>4</v>
      </c>
      <c r="E853">
        <v>4</v>
      </c>
      <c r="F853" t="s">
        <v>24</v>
      </c>
      <c r="G853">
        <v>4</v>
      </c>
      <c r="H853">
        <v>1</v>
      </c>
      <c r="I853" t="s">
        <v>22</v>
      </c>
      <c r="J853">
        <v>19943</v>
      </c>
      <c r="K853">
        <v>4</v>
      </c>
      <c r="L853">
        <v>3</v>
      </c>
      <c r="M853">
        <v>5</v>
      </c>
    </row>
    <row r="854" spans="1:13">
      <c r="A854">
        <v>29</v>
      </c>
      <c r="B854" t="s">
        <v>17</v>
      </c>
      <c r="C854" t="s">
        <v>18</v>
      </c>
      <c r="D854">
        <v>6</v>
      </c>
      <c r="E854">
        <v>1</v>
      </c>
      <c r="F854" t="s">
        <v>21</v>
      </c>
      <c r="G854">
        <v>2</v>
      </c>
      <c r="H854">
        <v>4</v>
      </c>
      <c r="I854" t="s">
        <v>19</v>
      </c>
      <c r="J854">
        <v>3131</v>
      </c>
      <c r="K854">
        <v>1</v>
      </c>
      <c r="L854">
        <v>3</v>
      </c>
      <c r="M854">
        <v>10</v>
      </c>
    </row>
    <row r="855" spans="1:13">
      <c r="A855">
        <v>19</v>
      </c>
      <c r="B855" t="s">
        <v>17</v>
      </c>
      <c r="C855" t="s">
        <v>18</v>
      </c>
      <c r="D855">
        <v>9</v>
      </c>
      <c r="E855">
        <v>2</v>
      </c>
      <c r="F855" t="s">
        <v>15</v>
      </c>
      <c r="G855">
        <v>3</v>
      </c>
      <c r="H855">
        <v>1</v>
      </c>
      <c r="I855" t="s">
        <v>16</v>
      </c>
      <c r="J855">
        <v>2552</v>
      </c>
      <c r="K855">
        <v>1</v>
      </c>
      <c r="L855">
        <v>3</v>
      </c>
      <c r="M855">
        <v>1</v>
      </c>
    </row>
    <row r="856" spans="1:13">
      <c r="A856">
        <v>45</v>
      </c>
      <c r="B856" t="s">
        <v>17</v>
      </c>
      <c r="C856" t="s">
        <v>18</v>
      </c>
      <c r="D856">
        <v>7</v>
      </c>
      <c r="E856">
        <v>3</v>
      </c>
      <c r="F856" t="s">
        <v>21</v>
      </c>
      <c r="G856">
        <v>1</v>
      </c>
      <c r="H856">
        <v>3</v>
      </c>
      <c r="I856" t="s">
        <v>19</v>
      </c>
      <c r="J856">
        <v>4477</v>
      </c>
      <c r="K856">
        <v>4</v>
      </c>
      <c r="L856">
        <v>2</v>
      </c>
      <c r="M856">
        <v>3</v>
      </c>
    </row>
    <row r="857" spans="1:13">
      <c r="A857">
        <v>37</v>
      </c>
      <c r="B857" t="s">
        <v>17</v>
      </c>
      <c r="C857" t="s">
        <v>18</v>
      </c>
      <c r="D857">
        <v>1</v>
      </c>
      <c r="E857">
        <v>3</v>
      </c>
      <c r="F857" t="s">
        <v>15</v>
      </c>
      <c r="G857">
        <v>4</v>
      </c>
      <c r="H857">
        <v>4</v>
      </c>
      <c r="I857" t="s">
        <v>19</v>
      </c>
      <c r="J857">
        <v>6474</v>
      </c>
      <c r="K857">
        <v>1</v>
      </c>
      <c r="L857">
        <v>2</v>
      </c>
      <c r="M857">
        <v>14</v>
      </c>
    </row>
    <row r="858" spans="1:13">
      <c r="A858">
        <v>20</v>
      </c>
      <c r="B858" t="s">
        <v>17</v>
      </c>
      <c r="C858" t="s">
        <v>18</v>
      </c>
      <c r="D858">
        <v>3</v>
      </c>
      <c r="E858">
        <v>3</v>
      </c>
      <c r="F858" t="s">
        <v>15</v>
      </c>
      <c r="G858">
        <v>1</v>
      </c>
      <c r="H858">
        <v>3</v>
      </c>
      <c r="I858" t="s">
        <v>16</v>
      </c>
      <c r="J858">
        <v>3033</v>
      </c>
      <c r="K858">
        <v>1</v>
      </c>
      <c r="L858">
        <v>2</v>
      </c>
      <c r="M858">
        <v>2</v>
      </c>
    </row>
    <row r="859" spans="1:13">
      <c r="A859">
        <v>44</v>
      </c>
      <c r="B859" t="s">
        <v>13</v>
      </c>
      <c r="C859" t="s">
        <v>18</v>
      </c>
      <c r="D859">
        <v>10</v>
      </c>
      <c r="E859">
        <v>4</v>
      </c>
      <c r="F859" t="s">
        <v>15</v>
      </c>
      <c r="G859">
        <v>3</v>
      </c>
      <c r="H859">
        <v>3</v>
      </c>
      <c r="I859" t="s">
        <v>16</v>
      </c>
      <c r="J859">
        <v>2936</v>
      </c>
      <c r="K859">
        <v>1</v>
      </c>
      <c r="L859">
        <v>3</v>
      </c>
      <c r="M859">
        <v>6</v>
      </c>
    </row>
    <row r="860" spans="1:13">
      <c r="A860">
        <v>53</v>
      </c>
      <c r="B860" t="s">
        <v>17</v>
      </c>
      <c r="C860" t="s">
        <v>18</v>
      </c>
      <c r="D860">
        <v>7</v>
      </c>
      <c r="E860">
        <v>2</v>
      </c>
      <c r="F860" t="s">
        <v>21</v>
      </c>
      <c r="G860">
        <v>4</v>
      </c>
      <c r="H860">
        <v>3</v>
      </c>
      <c r="I860" t="s">
        <v>22</v>
      </c>
      <c r="J860">
        <v>18606</v>
      </c>
      <c r="K860">
        <v>3</v>
      </c>
      <c r="L860">
        <v>3</v>
      </c>
      <c r="M860">
        <v>7</v>
      </c>
    </row>
    <row r="861" spans="1:13">
      <c r="A861">
        <v>29</v>
      </c>
      <c r="B861" t="s">
        <v>17</v>
      </c>
      <c r="C861" t="s">
        <v>18</v>
      </c>
      <c r="D861">
        <v>15</v>
      </c>
      <c r="E861">
        <v>1</v>
      </c>
      <c r="F861" t="s">
        <v>15</v>
      </c>
      <c r="G861">
        <v>2</v>
      </c>
      <c r="H861">
        <v>4</v>
      </c>
      <c r="I861" t="s">
        <v>19</v>
      </c>
      <c r="J861">
        <v>2168</v>
      </c>
      <c r="K861">
        <v>0</v>
      </c>
      <c r="L861">
        <v>2</v>
      </c>
      <c r="M861">
        <v>5</v>
      </c>
    </row>
    <row r="862" spans="1:13">
      <c r="A862">
        <v>22</v>
      </c>
      <c r="B862" t="s">
        <v>13</v>
      </c>
      <c r="C862" t="s">
        <v>18</v>
      </c>
      <c r="D862">
        <v>3</v>
      </c>
      <c r="E862">
        <v>4</v>
      </c>
      <c r="F862" t="s">
        <v>15</v>
      </c>
      <c r="G862">
        <v>3</v>
      </c>
      <c r="H862">
        <v>4</v>
      </c>
      <c r="I862" t="s">
        <v>19</v>
      </c>
      <c r="J862">
        <v>2853</v>
      </c>
      <c r="K862">
        <v>0</v>
      </c>
      <c r="L862">
        <v>3</v>
      </c>
      <c r="M862">
        <v>0</v>
      </c>
    </row>
    <row r="863" spans="1:13">
      <c r="A863">
        <v>46</v>
      </c>
      <c r="B863" t="s">
        <v>17</v>
      </c>
      <c r="C863" t="s">
        <v>14</v>
      </c>
      <c r="D863">
        <v>2</v>
      </c>
      <c r="E863">
        <v>3</v>
      </c>
      <c r="F863" t="s">
        <v>23</v>
      </c>
      <c r="G863">
        <v>3</v>
      </c>
      <c r="H863">
        <v>1</v>
      </c>
      <c r="I863" t="s">
        <v>19</v>
      </c>
      <c r="J863">
        <v>17048</v>
      </c>
      <c r="K863">
        <v>8</v>
      </c>
      <c r="L863">
        <v>3</v>
      </c>
      <c r="M863">
        <v>26</v>
      </c>
    </row>
    <row r="864" spans="1:13">
      <c r="A864">
        <v>44</v>
      </c>
      <c r="B864" t="s">
        <v>17</v>
      </c>
      <c r="C864" t="s">
        <v>18</v>
      </c>
      <c r="D864">
        <v>17</v>
      </c>
      <c r="E864">
        <v>3</v>
      </c>
      <c r="F864" t="s">
        <v>15</v>
      </c>
      <c r="G864">
        <v>4</v>
      </c>
      <c r="H864">
        <v>3</v>
      </c>
      <c r="I864" t="s">
        <v>16</v>
      </c>
      <c r="J864">
        <v>2290</v>
      </c>
      <c r="K864">
        <v>2</v>
      </c>
      <c r="L864">
        <v>3</v>
      </c>
      <c r="M864">
        <v>0</v>
      </c>
    </row>
    <row r="865" spans="1:13">
      <c r="A865">
        <v>33</v>
      </c>
      <c r="B865" t="s">
        <v>17</v>
      </c>
      <c r="C865" t="s">
        <v>25</v>
      </c>
      <c r="D865">
        <v>2</v>
      </c>
      <c r="E865">
        <v>3</v>
      </c>
      <c r="F865" t="s">
        <v>25</v>
      </c>
      <c r="G865">
        <v>2</v>
      </c>
      <c r="H865">
        <v>3</v>
      </c>
      <c r="I865" t="s">
        <v>19</v>
      </c>
      <c r="J865">
        <v>3600</v>
      </c>
      <c r="K865">
        <v>1</v>
      </c>
      <c r="L865">
        <v>3</v>
      </c>
      <c r="M865">
        <v>5</v>
      </c>
    </row>
    <row r="866" spans="1:13">
      <c r="A866">
        <v>41</v>
      </c>
      <c r="B866" t="s">
        <v>13</v>
      </c>
      <c r="C866" t="s">
        <v>18</v>
      </c>
      <c r="D866">
        <v>5</v>
      </c>
      <c r="E866">
        <v>2</v>
      </c>
      <c r="F866" t="s">
        <v>15</v>
      </c>
      <c r="G866">
        <v>1</v>
      </c>
      <c r="H866">
        <v>1</v>
      </c>
      <c r="I866" t="s">
        <v>22</v>
      </c>
      <c r="J866">
        <v>2107</v>
      </c>
      <c r="K866">
        <v>6</v>
      </c>
      <c r="L866">
        <v>1</v>
      </c>
      <c r="M866">
        <v>1</v>
      </c>
    </row>
    <row r="867" spans="1:13">
      <c r="A867">
        <v>30</v>
      </c>
      <c r="B867" t="s">
        <v>17</v>
      </c>
      <c r="C867" t="s">
        <v>14</v>
      </c>
      <c r="D867">
        <v>29</v>
      </c>
      <c r="E867">
        <v>4</v>
      </c>
      <c r="F867" t="s">
        <v>15</v>
      </c>
      <c r="G867">
        <v>3</v>
      </c>
      <c r="H867">
        <v>1</v>
      </c>
      <c r="I867" t="s">
        <v>22</v>
      </c>
      <c r="J867">
        <v>4115</v>
      </c>
      <c r="K867">
        <v>8</v>
      </c>
      <c r="L867">
        <v>3</v>
      </c>
      <c r="M867">
        <v>4</v>
      </c>
    </row>
    <row r="868" spans="1:13">
      <c r="A868">
        <v>40</v>
      </c>
      <c r="B868" t="s">
        <v>17</v>
      </c>
      <c r="C868" t="s">
        <v>14</v>
      </c>
      <c r="D868">
        <v>2</v>
      </c>
      <c r="E868">
        <v>4</v>
      </c>
      <c r="F868" t="s">
        <v>21</v>
      </c>
      <c r="G868">
        <v>2</v>
      </c>
      <c r="H868">
        <v>2</v>
      </c>
      <c r="I868" t="s">
        <v>19</v>
      </c>
      <c r="J868">
        <v>4327</v>
      </c>
      <c r="K868">
        <v>5</v>
      </c>
      <c r="L868">
        <v>3</v>
      </c>
      <c r="M868">
        <v>0</v>
      </c>
    </row>
    <row r="869" spans="1:13">
      <c r="A869">
        <v>50</v>
      </c>
      <c r="B869" t="s">
        <v>17</v>
      </c>
      <c r="C869" t="s">
        <v>18</v>
      </c>
      <c r="D869">
        <v>2</v>
      </c>
      <c r="E869">
        <v>3</v>
      </c>
      <c r="F869" t="s">
        <v>21</v>
      </c>
      <c r="G869">
        <v>4</v>
      </c>
      <c r="H869">
        <v>1</v>
      </c>
      <c r="I869" t="s">
        <v>19</v>
      </c>
      <c r="J869">
        <v>17856</v>
      </c>
      <c r="K869">
        <v>2</v>
      </c>
      <c r="L869">
        <v>3</v>
      </c>
      <c r="M869">
        <v>2</v>
      </c>
    </row>
    <row r="870" spans="1:13">
      <c r="A870">
        <v>28</v>
      </c>
      <c r="B870" t="s">
        <v>17</v>
      </c>
      <c r="C870" t="s">
        <v>18</v>
      </c>
      <c r="D870">
        <v>19</v>
      </c>
      <c r="E870">
        <v>4</v>
      </c>
      <c r="F870" t="s">
        <v>21</v>
      </c>
      <c r="G870">
        <v>4</v>
      </c>
      <c r="H870">
        <v>1</v>
      </c>
      <c r="I870" t="s">
        <v>19</v>
      </c>
      <c r="J870">
        <v>3196</v>
      </c>
      <c r="K870">
        <v>1</v>
      </c>
      <c r="L870">
        <v>3</v>
      </c>
      <c r="M870">
        <v>6</v>
      </c>
    </row>
    <row r="871" spans="1:13">
      <c r="A871">
        <v>46</v>
      </c>
      <c r="B871" t="s">
        <v>17</v>
      </c>
      <c r="C871" t="s">
        <v>18</v>
      </c>
      <c r="D871">
        <v>15</v>
      </c>
      <c r="E871">
        <v>2</v>
      </c>
      <c r="F871" t="s">
        <v>15</v>
      </c>
      <c r="G871">
        <v>4</v>
      </c>
      <c r="H871">
        <v>2</v>
      </c>
      <c r="I871" t="s">
        <v>19</v>
      </c>
      <c r="J871">
        <v>19081</v>
      </c>
      <c r="K871">
        <v>5</v>
      </c>
      <c r="L871">
        <v>3</v>
      </c>
      <c r="M871">
        <v>4</v>
      </c>
    </row>
    <row r="872" spans="1:13">
      <c r="A872">
        <v>35</v>
      </c>
      <c r="B872" t="s">
        <v>17</v>
      </c>
      <c r="C872" t="s">
        <v>14</v>
      </c>
      <c r="D872">
        <v>17</v>
      </c>
      <c r="E872">
        <v>4</v>
      </c>
      <c r="F872" t="s">
        <v>15</v>
      </c>
      <c r="G872">
        <v>3</v>
      </c>
      <c r="H872">
        <v>1</v>
      </c>
      <c r="I872" t="s">
        <v>19</v>
      </c>
      <c r="J872">
        <v>8966</v>
      </c>
      <c r="K872">
        <v>3</v>
      </c>
      <c r="L872">
        <v>3</v>
      </c>
      <c r="M872">
        <v>7</v>
      </c>
    </row>
    <row r="873" spans="1:13">
      <c r="A873">
        <v>24</v>
      </c>
      <c r="B873" t="s">
        <v>13</v>
      </c>
      <c r="C873" t="s">
        <v>18</v>
      </c>
      <c r="D873">
        <v>17</v>
      </c>
      <c r="E873">
        <v>2</v>
      </c>
      <c r="F873" t="s">
        <v>15</v>
      </c>
      <c r="G873">
        <v>4</v>
      </c>
      <c r="H873">
        <v>2</v>
      </c>
      <c r="I873" t="s">
        <v>19</v>
      </c>
      <c r="J873">
        <v>2210</v>
      </c>
      <c r="K873">
        <v>1</v>
      </c>
      <c r="L873">
        <v>1</v>
      </c>
      <c r="M873">
        <v>1</v>
      </c>
    </row>
    <row r="874" spans="1:13">
      <c r="A874">
        <v>33</v>
      </c>
      <c r="B874" t="s">
        <v>17</v>
      </c>
      <c r="C874" t="s">
        <v>14</v>
      </c>
      <c r="D874">
        <v>25</v>
      </c>
      <c r="E874">
        <v>3</v>
      </c>
      <c r="F874" t="s">
        <v>21</v>
      </c>
      <c r="G874">
        <v>2</v>
      </c>
      <c r="H874">
        <v>3</v>
      </c>
      <c r="I874" t="s">
        <v>19</v>
      </c>
      <c r="J874">
        <v>4539</v>
      </c>
      <c r="K874">
        <v>1</v>
      </c>
      <c r="L874">
        <v>2</v>
      </c>
      <c r="M874">
        <v>10</v>
      </c>
    </row>
    <row r="875" spans="1:13">
      <c r="A875">
        <v>36</v>
      </c>
      <c r="B875" t="s">
        <v>17</v>
      </c>
      <c r="C875" t="s">
        <v>18</v>
      </c>
      <c r="D875">
        <v>6</v>
      </c>
      <c r="E875">
        <v>4</v>
      </c>
      <c r="F875" t="s">
        <v>15</v>
      </c>
      <c r="G875">
        <v>3</v>
      </c>
      <c r="H875">
        <v>3</v>
      </c>
      <c r="I875" t="s">
        <v>22</v>
      </c>
      <c r="J875">
        <v>2741</v>
      </c>
      <c r="K875">
        <v>1</v>
      </c>
      <c r="L875">
        <v>3</v>
      </c>
      <c r="M875">
        <v>7</v>
      </c>
    </row>
    <row r="876" spans="1:13">
      <c r="A876">
        <v>30</v>
      </c>
      <c r="B876" t="s">
        <v>17</v>
      </c>
      <c r="C876" t="s">
        <v>18</v>
      </c>
      <c r="D876">
        <v>7</v>
      </c>
      <c r="E876">
        <v>4</v>
      </c>
      <c r="F876" t="s">
        <v>15</v>
      </c>
      <c r="G876">
        <v>3</v>
      </c>
      <c r="H876">
        <v>3</v>
      </c>
      <c r="I876" t="s">
        <v>22</v>
      </c>
      <c r="J876">
        <v>3491</v>
      </c>
      <c r="K876">
        <v>1</v>
      </c>
      <c r="L876">
        <v>2</v>
      </c>
      <c r="M876">
        <v>10</v>
      </c>
    </row>
    <row r="877" spans="1:13">
      <c r="A877">
        <v>44</v>
      </c>
      <c r="B877" t="s">
        <v>17</v>
      </c>
      <c r="C877" t="s">
        <v>18</v>
      </c>
      <c r="D877">
        <v>29</v>
      </c>
      <c r="E877">
        <v>4</v>
      </c>
      <c r="F877" t="s">
        <v>20</v>
      </c>
      <c r="G877">
        <v>4</v>
      </c>
      <c r="H877">
        <v>4</v>
      </c>
      <c r="I877" t="s">
        <v>16</v>
      </c>
      <c r="J877">
        <v>4541</v>
      </c>
      <c r="K877">
        <v>1</v>
      </c>
      <c r="L877">
        <v>3</v>
      </c>
      <c r="M877">
        <v>20</v>
      </c>
    </row>
    <row r="878" spans="1:13">
      <c r="A878">
        <v>20</v>
      </c>
      <c r="B878" t="s">
        <v>17</v>
      </c>
      <c r="C878" t="s">
        <v>14</v>
      </c>
      <c r="D878">
        <v>21</v>
      </c>
      <c r="E878">
        <v>3</v>
      </c>
      <c r="F878" t="s">
        <v>23</v>
      </c>
      <c r="G878">
        <v>3</v>
      </c>
      <c r="H878">
        <v>4</v>
      </c>
      <c r="I878" t="s">
        <v>16</v>
      </c>
      <c r="J878">
        <v>2678</v>
      </c>
      <c r="K878">
        <v>1</v>
      </c>
      <c r="L878">
        <v>3</v>
      </c>
      <c r="M878">
        <v>2</v>
      </c>
    </row>
    <row r="879" spans="1:13">
      <c r="A879">
        <v>46</v>
      </c>
      <c r="B879" t="s">
        <v>17</v>
      </c>
      <c r="C879" t="s">
        <v>18</v>
      </c>
      <c r="D879">
        <v>2</v>
      </c>
      <c r="E879">
        <v>4</v>
      </c>
      <c r="F879" t="s">
        <v>24</v>
      </c>
      <c r="G879">
        <v>4</v>
      </c>
      <c r="H879">
        <v>4</v>
      </c>
      <c r="I879" t="s">
        <v>22</v>
      </c>
      <c r="J879">
        <v>7379</v>
      </c>
      <c r="K879">
        <v>2</v>
      </c>
      <c r="L879">
        <v>2</v>
      </c>
      <c r="M879">
        <v>6</v>
      </c>
    </row>
    <row r="880" spans="1:13">
      <c r="A880">
        <v>42</v>
      </c>
      <c r="B880" t="s">
        <v>17</v>
      </c>
      <c r="C880" t="s">
        <v>25</v>
      </c>
      <c r="D880">
        <v>2</v>
      </c>
      <c r="E880">
        <v>5</v>
      </c>
      <c r="F880" t="s">
        <v>21</v>
      </c>
      <c r="G880">
        <v>4</v>
      </c>
      <c r="H880">
        <v>1</v>
      </c>
      <c r="I880" t="s">
        <v>19</v>
      </c>
      <c r="J880">
        <v>6272</v>
      </c>
      <c r="K880">
        <v>7</v>
      </c>
      <c r="L880">
        <v>4</v>
      </c>
      <c r="M880">
        <v>4</v>
      </c>
    </row>
    <row r="881" spans="1:13">
      <c r="A881">
        <v>60</v>
      </c>
      <c r="B881" t="s">
        <v>17</v>
      </c>
      <c r="C881" t="s">
        <v>14</v>
      </c>
      <c r="D881">
        <v>7</v>
      </c>
      <c r="E881">
        <v>4</v>
      </c>
      <c r="F881" t="s">
        <v>23</v>
      </c>
      <c r="G881">
        <v>2</v>
      </c>
      <c r="H881">
        <v>4</v>
      </c>
      <c r="I881" t="s">
        <v>22</v>
      </c>
      <c r="J881">
        <v>5220</v>
      </c>
      <c r="K881">
        <v>0</v>
      </c>
      <c r="L881">
        <v>3</v>
      </c>
      <c r="M881">
        <v>11</v>
      </c>
    </row>
    <row r="882" spans="1:13">
      <c r="A882">
        <v>32</v>
      </c>
      <c r="B882" t="s">
        <v>17</v>
      </c>
      <c r="C882" t="s">
        <v>18</v>
      </c>
      <c r="D882">
        <v>13</v>
      </c>
      <c r="E882">
        <v>3</v>
      </c>
      <c r="F882" t="s">
        <v>20</v>
      </c>
      <c r="G882">
        <v>3</v>
      </c>
      <c r="H882">
        <v>2</v>
      </c>
      <c r="I882" t="s">
        <v>19</v>
      </c>
      <c r="J882">
        <v>2743</v>
      </c>
      <c r="K882">
        <v>1</v>
      </c>
      <c r="L882">
        <v>3</v>
      </c>
      <c r="M882">
        <v>2</v>
      </c>
    </row>
    <row r="883" spans="1:13">
      <c r="A883">
        <v>32</v>
      </c>
      <c r="B883" t="s">
        <v>17</v>
      </c>
      <c r="C883" t="s">
        <v>18</v>
      </c>
      <c r="D883">
        <v>2</v>
      </c>
      <c r="E883">
        <v>2</v>
      </c>
      <c r="F883" t="s">
        <v>15</v>
      </c>
      <c r="G883">
        <v>4</v>
      </c>
      <c r="H883">
        <v>3</v>
      </c>
      <c r="I883" t="s">
        <v>16</v>
      </c>
      <c r="J883">
        <v>4998</v>
      </c>
      <c r="K883">
        <v>4</v>
      </c>
      <c r="L883">
        <v>3</v>
      </c>
      <c r="M883">
        <v>8</v>
      </c>
    </row>
    <row r="884" spans="1:13">
      <c r="A884">
        <v>36</v>
      </c>
      <c r="B884" t="s">
        <v>17</v>
      </c>
      <c r="C884" t="s">
        <v>18</v>
      </c>
      <c r="D884">
        <v>1</v>
      </c>
      <c r="E884">
        <v>3</v>
      </c>
      <c r="F884" t="s">
        <v>24</v>
      </c>
      <c r="G884">
        <v>3</v>
      </c>
      <c r="H884">
        <v>1</v>
      </c>
      <c r="I884" t="s">
        <v>22</v>
      </c>
      <c r="J884">
        <v>10252</v>
      </c>
      <c r="K884">
        <v>2</v>
      </c>
      <c r="L884">
        <v>3</v>
      </c>
      <c r="M884">
        <v>7</v>
      </c>
    </row>
    <row r="885" spans="1:13">
      <c r="A885">
        <v>33</v>
      </c>
      <c r="B885" t="s">
        <v>17</v>
      </c>
      <c r="C885" t="s">
        <v>18</v>
      </c>
      <c r="D885">
        <v>9</v>
      </c>
      <c r="E885">
        <v>3</v>
      </c>
      <c r="F885" t="s">
        <v>21</v>
      </c>
      <c r="G885">
        <v>1</v>
      </c>
      <c r="H885">
        <v>4</v>
      </c>
      <c r="I885" t="s">
        <v>19</v>
      </c>
      <c r="J885">
        <v>2781</v>
      </c>
      <c r="K885">
        <v>0</v>
      </c>
      <c r="L885">
        <v>3</v>
      </c>
      <c r="M885">
        <v>14</v>
      </c>
    </row>
    <row r="886" spans="1:13">
      <c r="A886">
        <v>40</v>
      </c>
      <c r="B886" t="s">
        <v>17</v>
      </c>
      <c r="C886" t="s">
        <v>14</v>
      </c>
      <c r="D886">
        <v>10</v>
      </c>
      <c r="E886">
        <v>3</v>
      </c>
      <c r="F886" t="s">
        <v>24</v>
      </c>
      <c r="G886">
        <v>2</v>
      </c>
      <c r="H886">
        <v>2</v>
      </c>
      <c r="I886" t="s">
        <v>22</v>
      </c>
      <c r="J886">
        <v>6852</v>
      </c>
      <c r="K886">
        <v>7</v>
      </c>
      <c r="L886">
        <v>4</v>
      </c>
      <c r="M886">
        <v>5</v>
      </c>
    </row>
    <row r="887" spans="1:13">
      <c r="A887">
        <v>25</v>
      </c>
      <c r="B887" t="s">
        <v>17</v>
      </c>
      <c r="C887" t="s">
        <v>14</v>
      </c>
      <c r="D887">
        <v>10</v>
      </c>
      <c r="E887">
        <v>4</v>
      </c>
      <c r="F887" t="s">
        <v>15</v>
      </c>
      <c r="G887">
        <v>3</v>
      </c>
      <c r="H887">
        <v>4</v>
      </c>
      <c r="I887" t="s">
        <v>16</v>
      </c>
      <c r="J887">
        <v>4950</v>
      </c>
      <c r="K887">
        <v>0</v>
      </c>
      <c r="L887">
        <v>3</v>
      </c>
      <c r="M887">
        <v>4</v>
      </c>
    </row>
    <row r="888" spans="1:13">
      <c r="A888">
        <v>30</v>
      </c>
      <c r="B888" t="s">
        <v>17</v>
      </c>
      <c r="C888" t="s">
        <v>18</v>
      </c>
      <c r="D888">
        <v>1</v>
      </c>
      <c r="E888">
        <v>3</v>
      </c>
      <c r="F888" t="s">
        <v>21</v>
      </c>
      <c r="G888">
        <v>4</v>
      </c>
      <c r="H888">
        <v>2</v>
      </c>
      <c r="I888" t="s">
        <v>19</v>
      </c>
      <c r="J888">
        <v>3579</v>
      </c>
      <c r="K888">
        <v>0</v>
      </c>
      <c r="L888">
        <v>3</v>
      </c>
      <c r="M888">
        <v>11</v>
      </c>
    </row>
    <row r="889" spans="1:13">
      <c r="A889">
        <v>42</v>
      </c>
      <c r="B889" t="s">
        <v>17</v>
      </c>
      <c r="C889" t="s">
        <v>18</v>
      </c>
      <c r="D889">
        <v>26</v>
      </c>
      <c r="E889">
        <v>5</v>
      </c>
      <c r="F889" t="s">
        <v>21</v>
      </c>
      <c r="G889">
        <v>1</v>
      </c>
      <c r="H889">
        <v>1</v>
      </c>
      <c r="I889" t="s">
        <v>19</v>
      </c>
      <c r="J889">
        <v>13191</v>
      </c>
      <c r="K889">
        <v>3</v>
      </c>
      <c r="L889">
        <v>3</v>
      </c>
      <c r="M889">
        <v>1</v>
      </c>
    </row>
    <row r="890" spans="1:13">
      <c r="A890">
        <v>35</v>
      </c>
      <c r="B890" t="s">
        <v>17</v>
      </c>
      <c r="C890" t="s">
        <v>14</v>
      </c>
      <c r="D890">
        <v>8</v>
      </c>
      <c r="E890">
        <v>2</v>
      </c>
      <c r="F890" t="s">
        <v>23</v>
      </c>
      <c r="G890">
        <v>3</v>
      </c>
      <c r="H890">
        <v>4</v>
      </c>
      <c r="I890" t="s">
        <v>19</v>
      </c>
      <c r="J890">
        <v>10377</v>
      </c>
      <c r="K890">
        <v>4</v>
      </c>
      <c r="L890">
        <v>2</v>
      </c>
      <c r="M890">
        <v>13</v>
      </c>
    </row>
    <row r="891" spans="1:13">
      <c r="A891">
        <v>27</v>
      </c>
      <c r="B891" t="s">
        <v>17</v>
      </c>
      <c r="C891" t="s">
        <v>18</v>
      </c>
      <c r="D891">
        <v>14</v>
      </c>
      <c r="E891">
        <v>3</v>
      </c>
      <c r="F891" t="s">
        <v>15</v>
      </c>
      <c r="G891">
        <v>1</v>
      </c>
      <c r="H891">
        <v>1</v>
      </c>
      <c r="I891" t="s">
        <v>19</v>
      </c>
      <c r="J891">
        <v>2235</v>
      </c>
      <c r="K891">
        <v>1</v>
      </c>
      <c r="L891">
        <v>2</v>
      </c>
      <c r="M891">
        <v>9</v>
      </c>
    </row>
    <row r="892" spans="1:13">
      <c r="A892">
        <v>54</v>
      </c>
      <c r="B892" t="s">
        <v>17</v>
      </c>
      <c r="C892" t="s">
        <v>18</v>
      </c>
      <c r="D892">
        <v>1</v>
      </c>
      <c r="E892">
        <v>4</v>
      </c>
      <c r="F892" t="s">
        <v>15</v>
      </c>
      <c r="G892">
        <v>4</v>
      </c>
      <c r="H892">
        <v>3</v>
      </c>
      <c r="I892" t="s">
        <v>22</v>
      </c>
      <c r="J892">
        <v>10502</v>
      </c>
      <c r="K892">
        <v>7</v>
      </c>
      <c r="L892">
        <v>1</v>
      </c>
      <c r="M892">
        <v>5</v>
      </c>
    </row>
    <row r="893" spans="1:13">
      <c r="A893">
        <v>44</v>
      </c>
      <c r="B893" t="s">
        <v>17</v>
      </c>
      <c r="C893" t="s">
        <v>18</v>
      </c>
      <c r="D893">
        <v>2</v>
      </c>
      <c r="E893">
        <v>1</v>
      </c>
      <c r="F893" t="s">
        <v>15</v>
      </c>
      <c r="G893">
        <v>1</v>
      </c>
      <c r="H893">
        <v>4</v>
      </c>
      <c r="I893" t="s">
        <v>19</v>
      </c>
      <c r="J893">
        <v>2011</v>
      </c>
      <c r="K893">
        <v>1</v>
      </c>
      <c r="L893">
        <v>3</v>
      </c>
      <c r="M893">
        <v>10</v>
      </c>
    </row>
    <row r="894" spans="1:13">
      <c r="A894">
        <v>19</v>
      </c>
      <c r="B894" t="s">
        <v>13</v>
      </c>
      <c r="C894" t="s">
        <v>18</v>
      </c>
      <c r="D894">
        <v>10</v>
      </c>
      <c r="E894">
        <v>3</v>
      </c>
      <c r="F894" t="s">
        <v>21</v>
      </c>
      <c r="G894">
        <v>1</v>
      </c>
      <c r="H894">
        <v>2</v>
      </c>
      <c r="I894" t="s">
        <v>16</v>
      </c>
      <c r="J894">
        <v>1859</v>
      </c>
      <c r="K894">
        <v>1</v>
      </c>
      <c r="L894">
        <v>4</v>
      </c>
      <c r="M894">
        <v>1</v>
      </c>
    </row>
    <row r="895" spans="1:13">
      <c r="A895">
        <v>29</v>
      </c>
      <c r="B895" t="s">
        <v>17</v>
      </c>
      <c r="C895" t="s">
        <v>18</v>
      </c>
      <c r="D895">
        <v>1</v>
      </c>
      <c r="E895">
        <v>3</v>
      </c>
      <c r="F895" t="s">
        <v>15</v>
      </c>
      <c r="G895">
        <v>1</v>
      </c>
      <c r="H895">
        <v>4</v>
      </c>
      <c r="I895" t="s">
        <v>22</v>
      </c>
      <c r="J895">
        <v>3760</v>
      </c>
      <c r="K895">
        <v>1</v>
      </c>
      <c r="L895">
        <v>3</v>
      </c>
      <c r="M895">
        <v>3</v>
      </c>
    </row>
    <row r="896" spans="1:13">
      <c r="A896">
        <v>54</v>
      </c>
      <c r="B896" t="s">
        <v>17</v>
      </c>
      <c r="C896" t="s">
        <v>18</v>
      </c>
      <c r="D896">
        <v>3</v>
      </c>
      <c r="E896">
        <v>3</v>
      </c>
      <c r="F896" t="s">
        <v>15</v>
      </c>
      <c r="G896">
        <v>4</v>
      </c>
      <c r="H896">
        <v>4</v>
      </c>
      <c r="I896" t="s">
        <v>19</v>
      </c>
      <c r="J896">
        <v>17779</v>
      </c>
      <c r="K896">
        <v>3</v>
      </c>
      <c r="L896">
        <v>3</v>
      </c>
      <c r="M896">
        <v>10</v>
      </c>
    </row>
    <row r="897" spans="1:13">
      <c r="A897">
        <v>31</v>
      </c>
      <c r="B897" t="s">
        <v>17</v>
      </c>
      <c r="C897" t="s">
        <v>18</v>
      </c>
      <c r="D897">
        <v>11</v>
      </c>
      <c r="E897">
        <v>2</v>
      </c>
      <c r="F897" t="s">
        <v>21</v>
      </c>
      <c r="G897">
        <v>3</v>
      </c>
      <c r="H897">
        <v>1</v>
      </c>
      <c r="I897" t="s">
        <v>19</v>
      </c>
      <c r="J897">
        <v>6833</v>
      </c>
      <c r="K897">
        <v>1</v>
      </c>
      <c r="L897">
        <v>2</v>
      </c>
      <c r="M897">
        <v>6</v>
      </c>
    </row>
    <row r="898" spans="1:13">
      <c r="A898">
        <v>31</v>
      </c>
      <c r="B898" t="s">
        <v>17</v>
      </c>
      <c r="C898" t="s">
        <v>18</v>
      </c>
      <c r="D898">
        <v>24</v>
      </c>
      <c r="E898">
        <v>3</v>
      </c>
      <c r="F898" t="s">
        <v>21</v>
      </c>
      <c r="G898">
        <v>3</v>
      </c>
      <c r="H898">
        <v>1</v>
      </c>
      <c r="I898" t="s">
        <v>16</v>
      </c>
      <c r="J898">
        <v>6812</v>
      </c>
      <c r="K898">
        <v>1</v>
      </c>
      <c r="L898">
        <v>3</v>
      </c>
      <c r="M898">
        <v>10</v>
      </c>
    </row>
    <row r="899" spans="1:13">
      <c r="A899">
        <v>59</v>
      </c>
      <c r="B899" t="s">
        <v>17</v>
      </c>
      <c r="C899" t="s">
        <v>14</v>
      </c>
      <c r="D899">
        <v>3</v>
      </c>
      <c r="E899">
        <v>3</v>
      </c>
      <c r="F899" t="s">
        <v>15</v>
      </c>
      <c r="G899">
        <v>3</v>
      </c>
      <c r="H899">
        <v>4</v>
      </c>
      <c r="I899" t="s">
        <v>16</v>
      </c>
      <c r="J899">
        <v>5171</v>
      </c>
      <c r="K899">
        <v>5</v>
      </c>
      <c r="L899">
        <v>3</v>
      </c>
      <c r="M899">
        <v>6</v>
      </c>
    </row>
    <row r="900" spans="1:13">
      <c r="A900">
        <v>43</v>
      </c>
      <c r="B900" t="s">
        <v>17</v>
      </c>
      <c r="C900" t="s">
        <v>18</v>
      </c>
      <c r="D900">
        <v>3</v>
      </c>
      <c r="E900">
        <v>3</v>
      </c>
      <c r="F900" t="s">
        <v>15</v>
      </c>
      <c r="G900">
        <v>3</v>
      </c>
      <c r="H900">
        <v>4</v>
      </c>
      <c r="I900" t="s">
        <v>19</v>
      </c>
      <c r="J900">
        <v>19740</v>
      </c>
      <c r="K900">
        <v>3</v>
      </c>
      <c r="L900">
        <v>3</v>
      </c>
      <c r="M900">
        <v>8</v>
      </c>
    </row>
    <row r="901" spans="1:13">
      <c r="A901">
        <v>49</v>
      </c>
      <c r="B901" t="s">
        <v>17</v>
      </c>
      <c r="C901" t="s">
        <v>18</v>
      </c>
      <c r="D901">
        <v>4</v>
      </c>
      <c r="E901">
        <v>2</v>
      </c>
      <c r="F901" t="s">
        <v>21</v>
      </c>
      <c r="G901">
        <v>1</v>
      </c>
      <c r="H901">
        <v>3</v>
      </c>
      <c r="I901" t="s">
        <v>19</v>
      </c>
      <c r="J901">
        <v>18711</v>
      </c>
      <c r="K901">
        <v>2</v>
      </c>
      <c r="L901">
        <v>4</v>
      </c>
      <c r="M901">
        <v>1</v>
      </c>
    </row>
    <row r="902" spans="1:13">
      <c r="A902">
        <v>36</v>
      </c>
      <c r="B902" t="s">
        <v>17</v>
      </c>
      <c r="C902" t="s">
        <v>18</v>
      </c>
      <c r="D902">
        <v>3</v>
      </c>
      <c r="E902">
        <v>3</v>
      </c>
      <c r="F902" t="s">
        <v>24</v>
      </c>
      <c r="G902">
        <v>3</v>
      </c>
      <c r="H902">
        <v>2</v>
      </c>
      <c r="I902" t="s">
        <v>19</v>
      </c>
      <c r="J902">
        <v>3692</v>
      </c>
      <c r="K902">
        <v>1</v>
      </c>
      <c r="L902">
        <v>2</v>
      </c>
      <c r="M902">
        <v>11</v>
      </c>
    </row>
    <row r="903" spans="1:13">
      <c r="A903">
        <v>48</v>
      </c>
      <c r="B903" t="s">
        <v>17</v>
      </c>
      <c r="C903" t="s">
        <v>18</v>
      </c>
      <c r="D903">
        <v>2</v>
      </c>
      <c r="E903">
        <v>2</v>
      </c>
      <c r="F903" t="s">
        <v>24</v>
      </c>
      <c r="G903">
        <v>4</v>
      </c>
      <c r="H903">
        <v>2</v>
      </c>
      <c r="I903" t="s">
        <v>16</v>
      </c>
      <c r="J903">
        <v>2559</v>
      </c>
      <c r="K903">
        <v>5</v>
      </c>
      <c r="L903">
        <v>2</v>
      </c>
      <c r="M903">
        <v>1</v>
      </c>
    </row>
    <row r="904" spans="1:13">
      <c r="A904">
        <v>27</v>
      </c>
      <c r="B904" t="s">
        <v>17</v>
      </c>
      <c r="C904" t="s">
        <v>18</v>
      </c>
      <c r="D904">
        <v>4</v>
      </c>
      <c r="E904">
        <v>2</v>
      </c>
      <c r="F904" t="s">
        <v>15</v>
      </c>
      <c r="G904">
        <v>1</v>
      </c>
      <c r="H904">
        <v>3</v>
      </c>
      <c r="I904" t="s">
        <v>22</v>
      </c>
      <c r="J904">
        <v>2517</v>
      </c>
      <c r="K904">
        <v>1</v>
      </c>
      <c r="L904">
        <v>3</v>
      </c>
      <c r="M904">
        <v>5</v>
      </c>
    </row>
    <row r="905" spans="1:13">
      <c r="A905">
        <v>29</v>
      </c>
      <c r="B905" t="s">
        <v>17</v>
      </c>
      <c r="C905" t="s">
        <v>18</v>
      </c>
      <c r="D905">
        <v>7</v>
      </c>
      <c r="E905">
        <v>3</v>
      </c>
      <c r="F905" t="s">
        <v>15</v>
      </c>
      <c r="G905">
        <v>3</v>
      </c>
      <c r="H905">
        <v>4</v>
      </c>
      <c r="I905" t="s">
        <v>22</v>
      </c>
      <c r="J905">
        <v>6623</v>
      </c>
      <c r="K905">
        <v>1</v>
      </c>
      <c r="L905">
        <v>3</v>
      </c>
      <c r="M905">
        <v>6</v>
      </c>
    </row>
    <row r="906" spans="1:13">
      <c r="A906">
        <v>48</v>
      </c>
      <c r="B906" t="s">
        <v>17</v>
      </c>
      <c r="C906" t="s">
        <v>18</v>
      </c>
      <c r="D906">
        <v>1</v>
      </c>
      <c r="E906">
        <v>3</v>
      </c>
      <c r="F906" t="s">
        <v>15</v>
      </c>
      <c r="G906">
        <v>4</v>
      </c>
      <c r="H906">
        <v>4</v>
      </c>
      <c r="I906" t="s">
        <v>16</v>
      </c>
      <c r="J906">
        <v>18265</v>
      </c>
      <c r="K906">
        <v>6</v>
      </c>
      <c r="L906">
        <v>4</v>
      </c>
      <c r="M906">
        <v>1</v>
      </c>
    </row>
    <row r="907" spans="1:13">
      <c r="A907">
        <v>29</v>
      </c>
      <c r="B907" t="s">
        <v>17</v>
      </c>
      <c r="C907" t="s">
        <v>18</v>
      </c>
      <c r="D907">
        <v>1</v>
      </c>
      <c r="E907">
        <v>3</v>
      </c>
      <c r="F907" t="s">
        <v>15</v>
      </c>
      <c r="G907">
        <v>4</v>
      </c>
      <c r="H907">
        <v>4</v>
      </c>
      <c r="I907" t="s">
        <v>22</v>
      </c>
      <c r="J907">
        <v>16124</v>
      </c>
      <c r="K907">
        <v>3</v>
      </c>
      <c r="L907">
        <v>2</v>
      </c>
      <c r="M907">
        <v>7</v>
      </c>
    </row>
    <row r="908" spans="1:13">
      <c r="A908">
        <v>34</v>
      </c>
      <c r="B908" t="s">
        <v>17</v>
      </c>
      <c r="C908" t="s">
        <v>18</v>
      </c>
      <c r="D908">
        <v>20</v>
      </c>
      <c r="E908">
        <v>3</v>
      </c>
      <c r="F908" t="s">
        <v>24</v>
      </c>
      <c r="G908">
        <v>3</v>
      </c>
      <c r="H908">
        <v>3</v>
      </c>
      <c r="I908" t="s">
        <v>19</v>
      </c>
      <c r="J908">
        <v>2585</v>
      </c>
      <c r="K908">
        <v>0</v>
      </c>
      <c r="L908">
        <v>2</v>
      </c>
      <c r="M908">
        <v>1</v>
      </c>
    </row>
    <row r="909" spans="1:13">
      <c r="A909">
        <v>44</v>
      </c>
      <c r="B909" t="s">
        <v>17</v>
      </c>
      <c r="C909" t="s">
        <v>14</v>
      </c>
      <c r="D909">
        <v>5</v>
      </c>
      <c r="E909">
        <v>3</v>
      </c>
      <c r="F909" t="s">
        <v>23</v>
      </c>
      <c r="G909">
        <v>2</v>
      </c>
      <c r="H909">
        <v>2</v>
      </c>
      <c r="I909" t="s">
        <v>19</v>
      </c>
      <c r="J909">
        <v>18213</v>
      </c>
      <c r="K909">
        <v>7</v>
      </c>
      <c r="L909">
        <v>3</v>
      </c>
      <c r="M909">
        <v>22</v>
      </c>
    </row>
    <row r="910" spans="1:13">
      <c r="A910">
        <v>33</v>
      </c>
      <c r="B910" t="s">
        <v>17</v>
      </c>
      <c r="C910" t="s">
        <v>14</v>
      </c>
      <c r="D910">
        <v>10</v>
      </c>
      <c r="E910">
        <v>5</v>
      </c>
      <c r="F910" t="s">
        <v>23</v>
      </c>
      <c r="G910">
        <v>4</v>
      </c>
      <c r="H910">
        <v>3</v>
      </c>
      <c r="I910" t="s">
        <v>22</v>
      </c>
      <c r="J910">
        <v>8380</v>
      </c>
      <c r="K910">
        <v>0</v>
      </c>
      <c r="L910">
        <v>3</v>
      </c>
      <c r="M910">
        <v>9</v>
      </c>
    </row>
    <row r="911" spans="1:13">
      <c r="A911">
        <v>19</v>
      </c>
      <c r="B911" t="s">
        <v>17</v>
      </c>
      <c r="C911" t="s">
        <v>18</v>
      </c>
      <c r="D911">
        <v>25</v>
      </c>
      <c r="E911">
        <v>3</v>
      </c>
      <c r="F911" t="s">
        <v>15</v>
      </c>
      <c r="G911">
        <v>2</v>
      </c>
      <c r="H911">
        <v>4</v>
      </c>
      <c r="I911" t="s">
        <v>16</v>
      </c>
      <c r="J911">
        <v>2994</v>
      </c>
      <c r="K911">
        <v>1</v>
      </c>
      <c r="L911">
        <v>3</v>
      </c>
      <c r="M911">
        <v>1</v>
      </c>
    </row>
    <row r="912" spans="1:13">
      <c r="A912">
        <v>23</v>
      </c>
      <c r="B912" t="s">
        <v>17</v>
      </c>
      <c r="C912" t="s">
        <v>18</v>
      </c>
      <c r="D912">
        <v>1</v>
      </c>
      <c r="E912">
        <v>2</v>
      </c>
      <c r="F912" t="s">
        <v>15</v>
      </c>
      <c r="G912">
        <v>4</v>
      </c>
      <c r="H912">
        <v>3</v>
      </c>
      <c r="I912" t="s">
        <v>19</v>
      </c>
      <c r="J912">
        <v>1223</v>
      </c>
      <c r="K912">
        <v>1</v>
      </c>
      <c r="L912">
        <v>3</v>
      </c>
      <c r="M912">
        <v>1</v>
      </c>
    </row>
    <row r="913" spans="1:13">
      <c r="A913">
        <v>25</v>
      </c>
      <c r="B913" t="s">
        <v>13</v>
      </c>
      <c r="C913" t="s">
        <v>14</v>
      </c>
      <c r="D913">
        <v>24</v>
      </c>
      <c r="E913">
        <v>1</v>
      </c>
      <c r="F913" t="s">
        <v>15</v>
      </c>
      <c r="G913">
        <v>3</v>
      </c>
      <c r="H913">
        <v>4</v>
      </c>
      <c r="I913" t="s">
        <v>16</v>
      </c>
      <c r="J913">
        <v>1118</v>
      </c>
      <c r="K913">
        <v>1</v>
      </c>
      <c r="L913">
        <v>3</v>
      </c>
      <c r="M913">
        <v>1</v>
      </c>
    </row>
    <row r="914" spans="1:13">
      <c r="A914">
        <v>26</v>
      </c>
      <c r="B914" t="s">
        <v>17</v>
      </c>
      <c r="C914" t="s">
        <v>18</v>
      </c>
      <c r="D914">
        <v>4</v>
      </c>
      <c r="E914">
        <v>2</v>
      </c>
      <c r="F914" t="s">
        <v>15</v>
      </c>
      <c r="G914">
        <v>3</v>
      </c>
      <c r="H914">
        <v>4</v>
      </c>
      <c r="I914" t="s">
        <v>16</v>
      </c>
      <c r="J914">
        <v>2875</v>
      </c>
      <c r="K914">
        <v>1</v>
      </c>
      <c r="L914">
        <v>2</v>
      </c>
      <c r="M914">
        <v>8</v>
      </c>
    </row>
    <row r="915" spans="1:13">
      <c r="A915">
        <v>45</v>
      </c>
      <c r="B915" t="s">
        <v>13</v>
      </c>
      <c r="C915" t="s">
        <v>14</v>
      </c>
      <c r="D915">
        <v>2</v>
      </c>
      <c r="E915">
        <v>3</v>
      </c>
      <c r="F915" t="s">
        <v>23</v>
      </c>
      <c r="G915">
        <v>1</v>
      </c>
      <c r="H915">
        <v>2</v>
      </c>
      <c r="I915" t="s">
        <v>16</v>
      </c>
      <c r="J915">
        <v>18824</v>
      </c>
      <c r="K915">
        <v>2</v>
      </c>
      <c r="L915">
        <v>3</v>
      </c>
      <c r="M915">
        <v>24</v>
      </c>
    </row>
    <row r="916" spans="1:13">
      <c r="A916">
        <v>55</v>
      </c>
      <c r="B916" t="s">
        <v>17</v>
      </c>
      <c r="C916" t="s">
        <v>18</v>
      </c>
      <c r="D916">
        <v>8</v>
      </c>
      <c r="E916">
        <v>1</v>
      </c>
      <c r="F916" t="s">
        <v>21</v>
      </c>
      <c r="G916">
        <v>4</v>
      </c>
      <c r="H916">
        <v>2</v>
      </c>
      <c r="I916" t="s">
        <v>22</v>
      </c>
      <c r="J916">
        <v>13577</v>
      </c>
      <c r="K916">
        <v>1</v>
      </c>
      <c r="L916">
        <v>3</v>
      </c>
      <c r="M916">
        <v>33</v>
      </c>
    </row>
    <row r="917" spans="1:13">
      <c r="A917">
        <v>21</v>
      </c>
      <c r="B917" t="s">
        <v>13</v>
      </c>
      <c r="C917" t="s">
        <v>18</v>
      </c>
      <c r="D917">
        <v>10</v>
      </c>
      <c r="E917">
        <v>2</v>
      </c>
      <c r="F917" t="s">
        <v>15</v>
      </c>
      <c r="G917">
        <v>1</v>
      </c>
      <c r="H917">
        <v>3</v>
      </c>
      <c r="I917" t="s">
        <v>16</v>
      </c>
      <c r="J917">
        <v>2625</v>
      </c>
      <c r="K917">
        <v>1</v>
      </c>
      <c r="L917">
        <v>1</v>
      </c>
      <c r="M917">
        <v>2</v>
      </c>
    </row>
    <row r="918" spans="1:13">
      <c r="A918">
        <v>46</v>
      </c>
      <c r="B918" t="s">
        <v>17</v>
      </c>
      <c r="C918" t="s">
        <v>14</v>
      </c>
      <c r="D918">
        <v>4</v>
      </c>
      <c r="E918">
        <v>2</v>
      </c>
      <c r="F918" t="s">
        <v>23</v>
      </c>
      <c r="G918">
        <v>4</v>
      </c>
      <c r="H918">
        <v>2</v>
      </c>
      <c r="I918" t="s">
        <v>19</v>
      </c>
      <c r="J918">
        <v>18789</v>
      </c>
      <c r="K918">
        <v>2</v>
      </c>
      <c r="L918">
        <v>3</v>
      </c>
      <c r="M918">
        <v>11</v>
      </c>
    </row>
    <row r="919" spans="1:13">
      <c r="A919">
        <v>34</v>
      </c>
      <c r="B919" t="s">
        <v>17</v>
      </c>
      <c r="C919" t="s">
        <v>14</v>
      </c>
      <c r="D919">
        <v>2</v>
      </c>
      <c r="E919">
        <v>3</v>
      </c>
      <c r="F919" t="s">
        <v>23</v>
      </c>
      <c r="G919">
        <v>3</v>
      </c>
      <c r="H919">
        <v>1</v>
      </c>
      <c r="I919" t="s">
        <v>16</v>
      </c>
      <c r="J919">
        <v>4538</v>
      </c>
      <c r="K919">
        <v>0</v>
      </c>
      <c r="L919">
        <v>3</v>
      </c>
      <c r="M919">
        <v>3</v>
      </c>
    </row>
    <row r="920" spans="1:13">
      <c r="A920">
        <v>51</v>
      </c>
      <c r="B920" t="s">
        <v>17</v>
      </c>
      <c r="C920" t="s">
        <v>14</v>
      </c>
      <c r="D920">
        <v>9</v>
      </c>
      <c r="E920">
        <v>3</v>
      </c>
      <c r="F920" t="s">
        <v>15</v>
      </c>
      <c r="G920">
        <v>4</v>
      </c>
      <c r="H920">
        <v>2</v>
      </c>
      <c r="I920" t="s">
        <v>22</v>
      </c>
      <c r="J920">
        <v>19847</v>
      </c>
      <c r="K920">
        <v>4</v>
      </c>
      <c r="L920">
        <v>2</v>
      </c>
      <c r="M920">
        <v>29</v>
      </c>
    </row>
    <row r="921" spans="1:13">
      <c r="A921">
        <v>59</v>
      </c>
      <c r="B921" t="s">
        <v>17</v>
      </c>
      <c r="C921" t="s">
        <v>18</v>
      </c>
      <c r="D921">
        <v>18</v>
      </c>
      <c r="E921">
        <v>4</v>
      </c>
      <c r="F921" t="s">
        <v>21</v>
      </c>
      <c r="G921">
        <v>4</v>
      </c>
      <c r="H921">
        <v>4</v>
      </c>
      <c r="I921" t="s">
        <v>16</v>
      </c>
      <c r="J921">
        <v>10512</v>
      </c>
      <c r="K921">
        <v>6</v>
      </c>
      <c r="L921">
        <v>2</v>
      </c>
      <c r="M921">
        <v>9</v>
      </c>
    </row>
    <row r="922" spans="1:13">
      <c r="A922">
        <v>34</v>
      </c>
      <c r="B922" t="s">
        <v>17</v>
      </c>
      <c r="C922" t="s">
        <v>18</v>
      </c>
      <c r="D922">
        <v>19</v>
      </c>
      <c r="E922">
        <v>3</v>
      </c>
      <c r="F922" t="s">
        <v>21</v>
      </c>
      <c r="G922">
        <v>3</v>
      </c>
      <c r="H922">
        <v>2</v>
      </c>
      <c r="I922" t="s">
        <v>22</v>
      </c>
      <c r="J922">
        <v>4444</v>
      </c>
      <c r="K922">
        <v>4</v>
      </c>
      <c r="L922">
        <v>4</v>
      </c>
      <c r="M922">
        <v>11</v>
      </c>
    </row>
    <row r="923" spans="1:13">
      <c r="A923">
        <v>28</v>
      </c>
      <c r="B923" t="s">
        <v>17</v>
      </c>
      <c r="C923" t="s">
        <v>18</v>
      </c>
      <c r="D923">
        <v>1</v>
      </c>
      <c r="E923">
        <v>4</v>
      </c>
      <c r="F923" t="s">
        <v>21</v>
      </c>
      <c r="G923">
        <v>4</v>
      </c>
      <c r="H923">
        <v>3</v>
      </c>
      <c r="I923" t="s">
        <v>16</v>
      </c>
      <c r="J923">
        <v>2154</v>
      </c>
      <c r="K923">
        <v>0</v>
      </c>
      <c r="L923">
        <v>2</v>
      </c>
      <c r="M923">
        <v>4</v>
      </c>
    </row>
    <row r="924" spans="1:13">
      <c r="A924">
        <v>44</v>
      </c>
      <c r="B924" t="s">
        <v>17</v>
      </c>
      <c r="C924" t="s">
        <v>18</v>
      </c>
      <c r="D924">
        <v>4</v>
      </c>
      <c r="E924">
        <v>2</v>
      </c>
      <c r="F924" t="s">
        <v>15</v>
      </c>
      <c r="G924">
        <v>3</v>
      </c>
      <c r="H924">
        <v>1</v>
      </c>
      <c r="I924" t="s">
        <v>22</v>
      </c>
      <c r="J924">
        <v>19190</v>
      </c>
      <c r="K924">
        <v>1</v>
      </c>
      <c r="L924">
        <v>2</v>
      </c>
      <c r="M924">
        <v>25</v>
      </c>
    </row>
    <row r="925" spans="1:13">
      <c r="A925">
        <v>34</v>
      </c>
      <c r="B925" t="s">
        <v>17</v>
      </c>
      <c r="C925" t="s">
        <v>25</v>
      </c>
      <c r="D925">
        <v>11</v>
      </c>
      <c r="E925">
        <v>3</v>
      </c>
      <c r="F925" t="s">
        <v>15</v>
      </c>
      <c r="G925">
        <v>3</v>
      </c>
      <c r="H925">
        <v>2</v>
      </c>
      <c r="I925" t="s">
        <v>19</v>
      </c>
      <c r="J925">
        <v>4490</v>
      </c>
      <c r="K925">
        <v>4</v>
      </c>
      <c r="L925">
        <v>4</v>
      </c>
      <c r="M925">
        <v>10</v>
      </c>
    </row>
    <row r="926" spans="1:13">
      <c r="A926">
        <v>35</v>
      </c>
      <c r="B926" t="s">
        <v>17</v>
      </c>
      <c r="C926" t="s">
        <v>18</v>
      </c>
      <c r="D926">
        <v>6</v>
      </c>
      <c r="E926">
        <v>1</v>
      </c>
      <c r="F926" t="s">
        <v>15</v>
      </c>
      <c r="G926">
        <v>3</v>
      </c>
      <c r="H926">
        <v>3</v>
      </c>
      <c r="I926" t="s">
        <v>19</v>
      </c>
      <c r="J926">
        <v>3506</v>
      </c>
      <c r="K926">
        <v>0</v>
      </c>
      <c r="L926">
        <v>3</v>
      </c>
      <c r="M926">
        <v>3</v>
      </c>
    </row>
    <row r="927" spans="1:13">
      <c r="A927">
        <v>42</v>
      </c>
      <c r="B927" t="s">
        <v>17</v>
      </c>
      <c r="C927" t="s">
        <v>18</v>
      </c>
      <c r="D927">
        <v>7</v>
      </c>
      <c r="E927">
        <v>4</v>
      </c>
      <c r="F927" t="s">
        <v>21</v>
      </c>
      <c r="G927">
        <v>2</v>
      </c>
      <c r="H927">
        <v>2</v>
      </c>
      <c r="I927" t="s">
        <v>19</v>
      </c>
      <c r="J927">
        <v>2372</v>
      </c>
      <c r="K927">
        <v>6</v>
      </c>
      <c r="L927">
        <v>3</v>
      </c>
      <c r="M927">
        <v>1</v>
      </c>
    </row>
    <row r="928" spans="1:13">
      <c r="A928">
        <v>43</v>
      </c>
      <c r="B928" t="s">
        <v>17</v>
      </c>
      <c r="C928" t="s">
        <v>14</v>
      </c>
      <c r="D928">
        <v>4</v>
      </c>
      <c r="E928">
        <v>4</v>
      </c>
      <c r="F928" t="s">
        <v>23</v>
      </c>
      <c r="G928">
        <v>4</v>
      </c>
      <c r="H928">
        <v>4</v>
      </c>
      <c r="I928" t="s">
        <v>16</v>
      </c>
      <c r="J928">
        <v>10231</v>
      </c>
      <c r="K928">
        <v>3</v>
      </c>
      <c r="L928">
        <v>4</v>
      </c>
      <c r="M928">
        <v>21</v>
      </c>
    </row>
    <row r="929" spans="1:13">
      <c r="A929">
        <v>36</v>
      </c>
      <c r="B929" t="s">
        <v>17</v>
      </c>
      <c r="C929" t="s">
        <v>18</v>
      </c>
      <c r="D929">
        <v>2</v>
      </c>
      <c r="E929">
        <v>4</v>
      </c>
      <c r="F929" t="s">
        <v>15</v>
      </c>
      <c r="G929">
        <v>3</v>
      </c>
      <c r="H929">
        <v>2</v>
      </c>
      <c r="I929" t="s">
        <v>16</v>
      </c>
      <c r="J929">
        <v>5410</v>
      </c>
      <c r="K929">
        <v>9</v>
      </c>
      <c r="L929">
        <v>3</v>
      </c>
      <c r="M929">
        <v>16</v>
      </c>
    </row>
    <row r="930" spans="1:13">
      <c r="A930">
        <v>44</v>
      </c>
      <c r="B930" t="s">
        <v>13</v>
      </c>
      <c r="C930" t="s">
        <v>18</v>
      </c>
      <c r="D930">
        <v>15</v>
      </c>
      <c r="E930">
        <v>3</v>
      </c>
      <c r="F930" t="s">
        <v>21</v>
      </c>
      <c r="G930">
        <v>1</v>
      </c>
      <c r="H930">
        <v>4</v>
      </c>
      <c r="I930" t="s">
        <v>19</v>
      </c>
      <c r="J930">
        <v>7978</v>
      </c>
      <c r="K930">
        <v>1</v>
      </c>
      <c r="L930">
        <v>3</v>
      </c>
      <c r="M930">
        <v>10</v>
      </c>
    </row>
    <row r="931" spans="1:13">
      <c r="A931">
        <v>28</v>
      </c>
      <c r="B931" t="s">
        <v>17</v>
      </c>
      <c r="C931" t="s">
        <v>18</v>
      </c>
      <c r="D931">
        <v>2</v>
      </c>
      <c r="E931">
        <v>3</v>
      </c>
      <c r="F931" t="s">
        <v>15</v>
      </c>
      <c r="G931">
        <v>4</v>
      </c>
      <c r="H931">
        <v>4</v>
      </c>
      <c r="I931" t="s">
        <v>19</v>
      </c>
      <c r="J931">
        <v>3867</v>
      </c>
      <c r="K931">
        <v>1</v>
      </c>
      <c r="L931">
        <v>3</v>
      </c>
      <c r="M931">
        <v>2</v>
      </c>
    </row>
    <row r="932" spans="1:13">
      <c r="A932">
        <v>51</v>
      </c>
      <c r="B932" t="s">
        <v>17</v>
      </c>
      <c r="C932" t="s">
        <v>18</v>
      </c>
      <c r="D932">
        <v>6</v>
      </c>
      <c r="E932">
        <v>2</v>
      </c>
      <c r="F932" t="s">
        <v>21</v>
      </c>
      <c r="G932">
        <v>2</v>
      </c>
      <c r="H932">
        <v>3</v>
      </c>
      <c r="I932" t="s">
        <v>16</v>
      </c>
      <c r="J932">
        <v>2838</v>
      </c>
      <c r="K932">
        <v>0</v>
      </c>
      <c r="L932">
        <v>2</v>
      </c>
      <c r="M932">
        <v>7</v>
      </c>
    </row>
    <row r="933" spans="1:13">
      <c r="A933">
        <v>30</v>
      </c>
      <c r="B933" t="s">
        <v>17</v>
      </c>
      <c r="C933" t="s">
        <v>18</v>
      </c>
      <c r="D933">
        <v>9</v>
      </c>
      <c r="E933">
        <v>2</v>
      </c>
      <c r="F933" t="s">
        <v>21</v>
      </c>
      <c r="G933">
        <v>3</v>
      </c>
      <c r="H933">
        <v>3</v>
      </c>
      <c r="I933" t="s">
        <v>16</v>
      </c>
      <c r="J933">
        <v>4695</v>
      </c>
      <c r="K933">
        <v>7</v>
      </c>
      <c r="L933">
        <v>3</v>
      </c>
      <c r="M933">
        <v>8</v>
      </c>
    </row>
    <row r="934" spans="1:13">
      <c r="A934">
        <v>29</v>
      </c>
      <c r="B934" t="s">
        <v>13</v>
      </c>
      <c r="C934" t="s">
        <v>18</v>
      </c>
      <c r="D934">
        <v>7</v>
      </c>
      <c r="E934">
        <v>3</v>
      </c>
      <c r="F934" t="s">
        <v>24</v>
      </c>
      <c r="G934">
        <v>2</v>
      </c>
      <c r="H934">
        <v>3</v>
      </c>
      <c r="I934" t="s">
        <v>22</v>
      </c>
      <c r="J934">
        <v>3339</v>
      </c>
      <c r="K934">
        <v>3</v>
      </c>
      <c r="L934">
        <v>3</v>
      </c>
      <c r="M934">
        <v>7</v>
      </c>
    </row>
    <row r="935" spans="1:13">
      <c r="A935">
        <v>28</v>
      </c>
      <c r="B935" t="s">
        <v>17</v>
      </c>
      <c r="C935" t="s">
        <v>18</v>
      </c>
      <c r="D935">
        <v>1</v>
      </c>
      <c r="E935">
        <v>3</v>
      </c>
      <c r="F935" t="s">
        <v>24</v>
      </c>
      <c r="G935">
        <v>4</v>
      </c>
      <c r="H935">
        <v>1</v>
      </c>
      <c r="I935" t="s">
        <v>16</v>
      </c>
      <c r="J935">
        <v>2080</v>
      </c>
      <c r="K935">
        <v>2</v>
      </c>
      <c r="L935">
        <v>2</v>
      </c>
      <c r="M935">
        <v>3</v>
      </c>
    </row>
    <row r="936" spans="1:13">
      <c r="A936">
        <v>25</v>
      </c>
      <c r="B936" t="s">
        <v>17</v>
      </c>
      <c r="C936" t="s">
        <v>18</v>
      </c>
      <c r="D936">
        <v>1</v>
      </c>
      <c r="E936">
        <v>3</v>
      </c>
      <c r="F936" t="s">
        <v>21</v>
      </c>
      <c r="G936">
        <v>4</v>
      </c>
      <c r="H936">
        <v>2</v>
      </c>
      <c r="I936" t="s">
        <v>16</v>
      </c>
      <c r="J936">
        <v>2096</v>
      </c>
      <c r="K936">
        <v>1</v>
      </c>
      <c r="L936">
        <v>2</v>
      </c>
      <c r="M936">
        <v>2</v>
      </c>
    </row>
    <row r="937" spans="1:13">
      <c r="A937">
        <v>32</v>
      </c>
      <c r="B937" t="s">
        <v>17</v>
      </c>
      <c r="C937" t="s">
        <v>14</v>
      </c>
      <c r="D937">
        <v>8</v>
      </c>
      <c r="E937">
        <v>3</v>
      </c>
      <c r="F937" t="s">
        <v>21</v>
      </c>
      <c r="G937">
        <v>3</v>
      </c>
      <c r="H937">
        <v>4</v>
      </c>
      <c r="I937" t="s">
        <v>19</v>
      </c>
      <c r="J937">
        <v>6209</v>
      </c>
      <c r="K937">
        <v>1</v>
      </c>
      <c r="L937">
        <v>4</v>
      </c>
      <c r="M937">
        <v>10</v>
      </c>
    </row>
    <row r="938" spans="1:13">
      <c r="A938">
        <v>45</v>
      </c>
      <c r="B938" t="s">
        <v>17</v>
      </c>
      <c r="C938" t="s">
        <v>18</v>
      </c>
      <c r="D938">
        <v>25</v>
      </c>
      <c r="E938">
        <v>3</v>
      </c>
      <c r="F938" t="s">
        <v>21</v>
      </c>
      <c r="G938">
        <v>2</v>
      </c>
      <c r="H938">
        <v>2</v>
      </c>
      <c r="I938" t="s">
        <v>16</v>
      </c>
      <c r="J938">
        <v>18061</v>
      </c>
      <c r="K938">
        <v>3</v>
      </c>
      <c r="L938">
        <v>3</v>
      </c>
      <c r="M938">
        <v>0</v>
      </c>
    </row>
    <row r="939" spans="1:13">
      <c r="A939">
        <v>39</v>
      </c>
      <c r="B939" t="s">
        <v>17</v>
      </c>
      <c r="C939" t="s">
        <v>18</v>
      </c>
      <c r="D939">
        <v>13</v>
      </c>
      <c r="E939">
        <v>4</v>
      </c>
      <c r="F939" t="s">
        <v>21</v>
      </c>
      <c r="G939">
        <v>3</v>
      </c>
      <c r="H939">
        <v>2</v>
      </c>
      <c r="I939" t="s">
        <v>22</v>
      </c>
      <c r="J939">
        <v>17123</v>
      </c>
      <c r="K939">
        <v>6</v>
      </c>
      <c r="L939">
        <v>3</v>
      </c>
      <c r="M939">
        <v>19</v>
      </c>
    </row>
    <row r="940" spans="1:13">
      <c r="A940">
        <v>58</v>
      </c>
      <c r="B940" t="s">
        <v>17</v>
      </c>
      <c r="C940" t="s">
        <v>18</v>
      </c>
      <c r="D940">
        <v>23</v>
      </c>
      <c r="E940">
        <v>4</v>
      </c>
      <c r="F940" t="s">
        <v>15</v>
      </c>
      <c r="G940">
        <v>1</v>
      </c>
      <c r="H940">
        <v>3</v>
      </c>
      <c r="I940" t="s">
        <v>22</v>
      </c>
      <c r="J940">
        <v>2372</v>
      </c>
      <c r="K940">
        <v>1</v>
      </c>
      <c r="L940">
        <v>3</v>
      </c>
      <c r="M940">
        <v>2</v>
      </c>
    </row>
    <row r="941" spans="1:13">
      <c r="A941">
        <v>32</v>
      </c>
      <c r="B941" t="s">
        <v>13</v>
      </c>
      <c r="C941" t="s">
        <v>18</v>
      </c>
      <c r="D941">
        <v>7</v>
      </c>
      <c r="E941">
        <v>2</v>
      </c>
      <c r="F941" t="s">
        <v>15</v>
      </c>
      <c r="G941">
        <v>4</v>
      </c>
      <c r="H941">
        <v>3</v>
      </c>
      <c r="I941" t="s">
        <v>19</v>
      </c>
      <c r="J941">
        <v>4883</v>
      </c>
      <c r="K941">
        <v>1</v>
      </c>
      <c r="L941">
        <v>3</v>
      </c>
      <c r="M941">
        <v>10</v>
      </c>
    </row>
    <row r="942" spans="1:13">
      <c r="A942">
        <v>39</v>
      </c>
      <c r="B942" t="s">
        <v>13</v>
      </c>
      <c r="C942" t="s">
        <v>18</v>
      </c>
      <c r="D942">
        <v>23</v>
      </c>
      <c r="E942">
        <v>3</v>
      </c>
      <c r="F942" t="s">
        <v>21</v>
      </c>
      <c r="G942">
        <v>3</v>
      </c>
      <c r="H942">
        <v>1</v>
      </c>
      <c r="I942" t="s">
        <v>16</v>
      </c>
      <c r="J942">
        <v>3904</v>
      </c>
      <c r="K942">
        <v>0</v>
      </c>
      <c r="L942">
        <v>3</v>
      </c>
      <c r="M942">
        <v>5</v>
      </c>
    </row>
    <row r="943" spans="1:13">
      <c r="A943">
        <v>30</v>
      </c>
      <c r="B943" t="s">
        <v>17</v>
      </c>
      <c r="C943" t="s">
        <v>18</v>
      </c>
      <c r="D943">
        <v>6</v>
      </c>
      <c r="E943">
        <v>3</v>
      </c>
      <c r="F943" t="s">
        <v>24</v>
      </c>
      <c r="G943">
        <v>1</v>
      </c>
      <c r="H943">
        <v>4</v>
      </c>
      <c r="I943" t="s">
        <v>19</v>
      </c>
      <c r="J943">
        <v>4627</v>
      </c>
      <c r="K943">
        <v>0</v>
      </c>
      <c r="L943">
        <v>3</v>
      </c>
      <c r="M943">
        <v>9</v>
      </c>
    </row>
    <row r="944" spans="1:13">
      <c r="A944">
        <v>36</v>
      </c>
      <c r="B944" t="s">
        <v>17</v>
      </c>
      <c r="C944" t="s">
        <v>18</v>
      </c>
      <c r="D944">
        <v>10</v>
      </c>
      <c r="E944">
        <v>4</v>
      </c>
      <c r="F944" t="s">
        <v>24</v>
      </c>
      <c r="G944">
        <v>4</v>
      </c>
      <c r="H944">
        <v>3</v>
      </c>
      <c r="I944" t="s">
        <v>19</v>
      </c>
      <c r="J944">
        <v>7094</v>
      </c>
      <c r="K944">
        <v>3</v>
      </c>
      <c r="L944">
        <v>3</v>
      </c>
      <c r="M944">
        <v>7</v>
      </c>
    </row>
    <row r="945" spans="1:13">
      <c r="A945">
        <v>46</v>
      </c>
      <c r="B945" t="s">
        <v>17</v>
      </c>
      <c r="C945" t="s">
        <v>25</v>
      </c>
      <c r="D945">
        <v>1</v>
      </c>
      <c r="E945">
        <v>2</v>
      </c>
      <c r="F945" t="s">
        <v>15</v>
      </c>
      <c r="G945">
        <v>4</v>
      </c>
      <c r="H945">
        <v>1</v>
      </c>
      <c r="I945" t="s">
        <v>16</v>
      </c>
      <c r="J945">
        <v>3423</v>
      </c>
      <c r="K945">
        <v>6</v>
      </c>
      <c r="L945">
        <v>4</v>
      </c>
      <c r="M945">
        <v>7</v>
      </c>
    </row>
    <row r="946" spans="1:13">
      <c r="A946">
        <v>28</v>
      </c>
      <c r="B946" t="s">
        <v>17</v>
      </c>
      <c r="C946" t="s">
        <v>18</v>
      </c>
      <c r="D946">
        <v>1</v>
      </c>
      <c r="E946">
        <v>3</v>
      </c>
      <c r="F946" t="s">
        <v>15</v>
      </c>
      <c r="G946">
        <v>3</v>
      </c>
      <c r="H946">
        <v>4</v>
      </c>
      <c r="I946" t="s">
        <v>19</v>
      </c>
      <c r="J946">
        <v>6674</v>
      </c>
      <c r="K946">
        <v>0</v>
      </c>
      <c r="L946">
        <v>3</v>
      </c>
      <c r="M946">
        <v>9</v>
      </c>
    </row>
    <row r="947" spans="1:13">
      <c r="A947">
        <v>50</v>
      </c>
      <c r="B947" t="s">
        <v>17</v>
      </c>
      <c r="C947" t="s">
        <v>18</v>
      </c>
      <c r="D947">
        <v>28</v>
      </c>
      <c r="E947">
        <v>3</v>
      </c>
      <c r="F947" t="s">
        <v>15</v>
      </c>
      <c r="G947">
        <v>4</v>
      </c>
      <c r="H947">
        <v>1</v>
      </c>
      <c r="I947" t="s">
        <v>19</v>
      </c>
      <c r="J947">
        <v>16880</v>
      </c>
      <c r="K947">
        <v>4</v>
      </c>
      <c r="L947">
        <v>3</v>
      </c>
      <c r="M947">
        <v>3</v>
      </c>
    </row>
    <row r="948" spans="1:13">
      <c r="A948">
        <v>40</v>
      </c>
      <c r="B948" t="s">
        <v>13</v>
      </c>
      <c r="C948" t="s">
        <v>14</v>
      </c>
      <c r="D948">
        <v>25</v>
      </c>
      <c r="E948">
        <v>4</v>
      </c>
      <c r="F948" t="s">
        <v>23</v>
      </c>
      <c r="G948">
        <v>4</v>
      </c>
      <c r="H948">
        <v>2</v>
      </c>
      <c r="I948" t="s">
        <v>16</v>
      </c>
      <c r="J948">
        <v>9094</v>
      </c>
      <c r="K948">
        <v>2</v>
      </c>
      <c r="L948">
        <v>3</v>
      </c>
      <c r="M948">
        <v>5</v>
      </c>
    </row>
    <row r="949" spans="1:13">
      <c r="A949">
        <v>52</v>
      </c>
      <c r="B949" t="s">
        <v>13</v>
      </c>
      <c r="C949" t="s">
        <v>14</v>
      </c>
      <c r="D949">
        <v>5</v>
      </c>
      <c r="E949">
        <v>3</v>
      </c>
      <c r="F949" t="s">
        <v>15</v>
      </c>
      <c r="G949">
        <v>2</v>
      </c>
      <c r="H949">
        <v>2</v>
      </c>
      <c r="I949" t="s">
        <v>16</v>
      </c>
      <c r="J949">
        <v>8446</v>
      </c>
      <c r="K949">
        <v>9</v>
      </c>
      <c r="L949">
        <v>2</v>
      </c>
      <c r="M949">
        <v>8</v>
      </c>
    </row>
    <row r="950" spans="1:13">
      <c r="A950">
        <v>30</v>
      </c>
      <c r="B950" t="s">
        <v>17</v>
      </c>
      <c r="C950" t="s">
        <v>18</v>
      </c>
      <c r="D950">
        <v>17</v>
      </c>
      <c r="E950">
        <v>4</v>
      </c>
      <c r="F950" t="s">
        <v>21</v>
      </c>
      <c r="G950">
        <v>2</v>
      </c>
      <c r="H950">
        <v>1</v>
      </c>
      <c r="I950" t="s">
        <v>19</v>
      </c>
      <c r="J950">
        <v>11916</v>
      </c>
      <c r="K950">
        <v>1</v>
      </c>
      <c r="L950">
        <v>3</v>
      </c>
      <c r="M950">
        <v>9</v>
      </c>
    </row>
    <row r="951" spans="1:13">
      <c r="A951">
        <v>39</v>
      </c>
      <c r="B951" t="s">
        <v>17</v>
      </c>
      <c r="C951" t="s">
        <v>18</v>
      </c>
      <c r="D951">
        <v>18</v>
      </c>
      <c r="E951">
        <v>2</v>
      </c>
      <c r="F951" t="s">
        <v>15</v>
      </c>
      <c r="G951">
        <v>1</v>
      </c>
      <c r="H951">
        <v>3</v>
      </c>
      <c r="I951" t="s">
        <v>16</v>
      </c>
      <c r="J951">
        <v>4534</v>
      </c>
      <c r="K951">
        <v>0</v>
      </c>
      <c r="L951">
        <v>3</v>
      </c>
      <c r="M951">
        <v>8</v>
      </c>
    </row>
    <row r="952" spans="1:13">
      <c r="A952">
        <v>31</v>
      </c>
      <c r="B952" t="s">
        <v>17</v>
      </c>
      <c r="C952" t="s">
        <v>14</v>
      </c>
      <c r="D952">
        <v>2</v>
      </c>
      <c r="E952">
        <v>4</v>
      </c>
      <c r="F952" t="s">
        <v>15</v>
      </c>
      <c r="G952">
        <v>4</v>
      </c>
      <c r="H952">
        <v>3</v>
      </c>
      <c r="I952" t="s">
        <v>22</v>
      </c>
      <c r="J952">
        <v>9852</v>
      </c>
      <c r="K952">
        <v>1</v>
      </c>
      <c r="L952">
        <v>2</v>
      </c>
      <c r="M952">
        <v>10</v>
      </c>
    </row>
    <row r="953" spans="1:13">
      <c r="A953">
        <v>41</v>
      </c>
      <c r="B953" t="s">
        <v>17</v>
      </c>
      <c r="C953" t="s">
        <v>14</v>
      </c>
      <c r="D953">
        <v>10</v>
      </c>
      <c r="E953">
        <v>2</v>
      </c>
      <c r="F953" t="s">
        <v>21</v>
      </c>
      <c r="G953">
        <v>3</v>
      </c>
      <c r="H953">
        <v>2</v>
      </c>
      <c r="I953" t="s">
        <v>16</v>
      </c>
      <c r="J953">
        <v>6151</v>
      </c>
      <c r="K953">
        <v>1</v>
      </c>
      <c r="L953">
        <v>3</v>
      </c>
      <c r="M953">
        <v>19</v>
      </c>
    </row>
    <row r="954" spans="1:13">
      <c r="A954">
        <v>31</v>
      </c>
      <c r="B954" t="s">
        <v>13</v>
      </c>
      <c r="C954" t="s">
        <v>14</v>
      </c>
      <c r="D954">
        <v>1</v>
      </c>
      <c r="E954">
        <v>3</v>
      </c>
      <c r="F954" t="s">
        <v>15</v>
      </c>
      <c r="G954">
        <v>4</v>
      </c>
      <c r="H954">
        <v>2</v>
      </c>
      <c r="I954" t="s">
        <v>16</v>
      </c>
      <c r="J954">
        <v>2302</v>
      </c>
      <c r="K954">
        <v>1</v>
      </c>
      <c r="L954">
        <v>4</v>
      </c>
      <c r="M954">
        <v>3</v>
      </c>
    </row>
    <row r="955" spans="1:13">
      <c r="A955">
        <v>44</v>
      </c>
      <c r="B955" t="s">
        <v>13</v>
      </c>
      <c r="C955" t="s">
        <v>18</v>
      </c>
      <c r="D955">
        <v>3</v>
      </c>
      <c r="E955">
        <v>3</v>
      </c>
      <c r="F955" t="s">
        <v>15</v>
      </c>
      <c r="G955">
        <v>1</v>
      </c>
      <c r="H955">
        <v>1</v>
      </c>
      <c r="I955" t="s">
        <v>19</v>
      </c>
      <c r="J955">
        <v>2362</v>
      </c>
      <c r="K955">
        <v>4</v>
      </c>
      <c r="L955">
        <v>4</v>
      </c>
      <c r="M955">
        <v>3</v>
      </c>
    </row>
    <row r="956" spans="1:13">
      <c r="A956">
        <v>42</v>
      </c>
      <c r="B956" t="s">
        <v>17</v>
      </c>
      <c r="C956" t="s">
        <v>18</v>
      </c>
      <c r="D956">
        <v>2</v>
      </c>
      <c r="E956">
        <v>1</v>
      </c>
      <c r="F956" t="s">
        <v>15</v>
      </c>
      <c r="G956">
        <v>3</v>
      </c>
      <c r="H956">
        <v>3</v>
      </c>
      <c r="I956" t="s">
        <v>19</v>
      </c>
      <c r="J956">
        <v>17861</v>
      </c>
      <c r="K956">
        <v>0</v>
      </c>
      <c r="L956">
        <v>2</v>
      </c>
      <c r="M956">
        <v>20</v>
      </c>
    </row>
    <row r="957" spans="1:13">
      <c r="A957">
        <v>55</v>
      </c>
      <c r="B957" t="s">
        <v>17</v>
      </c>
      <c r="C957" t="s">
        <v>18</v>
      </c>
      <c r="D957">
        <v>2</v>
      </c>
      <c r="E957">
        <v>2</v>
      </c>
      <c r="F957" t="s">
        <v>21</v>
      </c>
      <c r="G957">
        <v>4</v>
      </c>
      <c r="H957">
        <v>3</v>
      </c>
      <c r="I957" t="s">
        <v>19</v>
      </c>
      <c r="J957">
        <v>19187</v>
      </c>
      <c r="K957">
        <v>4</v>
      </c>
      <c r="L957">
        <v>3</v>
      </c>
      <c r="M957">
        <v>19</v>
      </c>
    </row>
    <row r="958" spans="1:13">
      <c r="A958">
        <v>56</v>
      </c>
      <c r="B958" t="s">
        <v>17</v>
      </c>
      <c r="C958" t="s">
        <v>25</v>
      </c>
      <c r="D958">
        <v>8</v>
      </c>
      <c r="E958">
        <v>4</v>
      </c>
      <c r="F958" t="s">
        <v>15</v>
      </c>
      <c r="G958">
        <v>4</v>
      </c>
      <c r="H958">
        <v>2</v>
      </c>
      <c r="I958" t="s">
        <v>16</v>
      </c>
      <c r="J958">
        <v>19717</v>
      </c>
      <c r="K958">
        <v>6</v>
      </c>
      <c r="L958">
        <v>3</v>
      </c>
      <c r="M958">
        <v>7</v>
      </c>
    </row>
    <row r="959" spans="1:13">
      <c r="A959">
        <v>40</v>
      </c>
      <c r="B959" t="s">
        <v>17</v>
      </c>
      <c r="C959" t="s">
        <v>18</v>
      </c>
      <c r="D959">
        <v>16</v>
      </c>
      <c r="E959">
        <v>2</v>
      </c>
      <c r="F959" t="s">
        <v>15</v>
      </c>
      <c r="G959">
        <v>3</v>
      </c>
      <c r="H959">
        <v>3</v>
      </c>
      <c r="I959" t="s">
        <v>22</v>
      </c>
      <c r="J959">
        <v>3544</v>
      </c>
      <c r="K959">
        <v>9</v>
      </c>
      <c r="L959">
        <v>3</v>
      </c>
      <c r="M959">
        <v>4</v>
      </c>
    </row>
    <row r="960" spans="1:13">
      <c r="A960">
        <v>34</v>
      </c>
      <c r="B960" t="s">
        <v>17</v>
      </c>
      <c r="C960" t="s">
        <v>18</v>
      </c>
      <c r="D960">
        <v>9</v>
      </c>
      <c r="E960">
        <v>3</v>
      </c>
      <c r="F960" t="s">
        <v>15</v>
      </c>
      <c r="G960">
        <v>4</v>
      </c>
      <c r="H960">
        <v>4</v>
      </c>
      <c r="I960" t="s">
        <v>22</v>
      </c>
      <c r="J960">
        <v>8500</v>
      </c>
      <c r="K960">
        <v>0</v>
      </c>
      <c r="L960">
        <v>2</v>
      </c>
      <c r="M960">
        <v>9</v>
      </c>
    </row>
    <row r="961" spans="1:13">
      <c r="A961">
        <v>40</v>
      </c>
      <c r="B961" t="s">
        <v>17</v>
      </c>
      <c r="C961" t="s">
        <v>18</v>
      </c>
      <c r="D961">
        <v>2</v>
      </c>
      <c r="E961">
        <v>3</v>
      </c>
      <c r="F961" t="s">
        <v>15</v>
      </c>
      <c r="G961">
        <v>3</v>
      </c>
      <c r="H961">
        <v>4</v>
      </c>
      <c r="I961" t="s">
        <v>16</v>
      </c>
      <c r="J961">
        <v>4661</v>
      </c>
      <c r="K961">
        <v>1</v>
      </c>
      <c r="L961">
        <v>3</v>
      </c>
      <c r="M961">
        <v>9</v>
      </c>
    </row>
    <row r="962" spans="1:13">
      <c r="A962">
        <v>41</v>
      </c>
      <c r="B962" t="s">
        <v>17</v>
      </c>
      <c r="C962" t="s">
        <v>14</v>
      </c>
      <c r="D962">
        <v>1</v>
      </c>
      <c r="E962">
        <v>3</v>
      </c>
      <c r="F962" t="s">
        <v>23</v>
      </c>
      <c r="G962">
        <v>3</v>
      </c>
      <c r="H962">
        <v>1</v>
      </c>
      <c r="I962" t="s">
        <v>22</v>
      </c>
      <c r="J962">
        <v>4103</v>
      </c>
      <c r="K962">
        <v>0</v>
      </c>
      <c r="L962">
        <v>3</v>
      </c>
      <c r="M962">
        <v>9</v>
      </c>
    </row>
    <row r="963" spans="1:13">
      <c r="A963">
        <v>35</v>
      </c>
      <c r="B963" t="s">
        <v>17</v>
      </c>
      <c r="C963" t="s">
        <v>18</v>
      </c>
      <c r="D963">
        <v>4</v>
      </c>
      <c r="E963">
        <v>4</v>
      </c>
      <c r="F963" t="s">
        <v>15</v>
      </c>
      <c r="G963">
        <v>3</v>
      </c>
      <c r="H963">
        <v>3</v>
      </c>
      <c r="I963" t="s">
        <v>16</v>
      </c>
      <c r="J963">
        <v>4249</v>
      </c>
      <c r="K963">
        <v>1</v>
      </c>
      <c r="L963">
        <v>3</v>
      </c>
      <c r="M963">
        <v>9</v>
      </c>
    </row>
    <row r="964" spans="1:13">
      <c r="A964">
        <v>51</v>
      </c>
      <c r="B964" t="s">
        <v>17</v>
      </c>
      <c r="C964" t="s">
        <v>25</v>
      </c>
      <c r="D964">
        <v>5</v>
      </c>
      <c r="E964">
        <v>3</v>
      </c>
      <c r="F964" t="s">
        <v>15</v>
      </c>
      <c r="G964">
        <v>3</v>
      </c>
      <c r="H964">
        <v>2</v>
      </c>
      <c r="I964" t="s">
        <v>22</v>
      </c>
      <c r="J964">
        <v>14026</v>
      </c>
      <c r="K964">
        <v>1</v>
      </c>
      <c r="L964">
        <v>3</v>
      </c>
      <c r="M964">
        <v>33</v>
      </c>
    </row>
    <row r="965" spans="1:13">
      <c r="A965">
        <v>38</v>
      </c>
      <c r="B965" t="s">
        <v>17</v>
      </c>
      <c r="C965" t="s">
        <v>14</v>
      </c>
      <c r="D965">
        <v>2</v>
      </c>
      <c r="E965">
        <v>2</v>
      </c>
      <c r="F965" t="s">
        <v>15</v>
      </c>
      <c r="G965">
        <v>2</v>
      </c>
      <c r="H965">
        <v>1</v>
      </c>
      <c r="I965" t="s">
        <v>22</v>
      </c>
      <c r="J965">
        <v>6893</v>
      </c>
      <c r="K965">
        <v>3</v>
      </c>
      <c r="L965">
        <v>3</v>
      </c>
      <c r="M965">
        <v>7</v>
      </c>
    </row>
    <row r="966" spans="1:13">
      <c r="A966">
        <v>34</v>
      </c>
      <c r="B966" t="s">
        <v>17</v>
      </c>
      <c r="C966" t="s">
        <v>14</v>
      </c>
      <c r="D966">
        <v>15</v>
      </c>
      <c r="E966">
        <v>2</v>
      </c>
      <c r="F966" t="s">
        <v>21</v>
      </c>
      <c r="G966">
        <v>3</v>
      </c>
      <c r="H966">
        <v>1</v>
      </c>
      <c r="I966" t="s">
        <v>16</v>
      </c>
      <c r="J966">
        <v>6125</v>
      </c>
      <c r="K966">
        <v>1</v>
      </c>
      <c r="L966">
        <v>4</v>
      </c>
      <c r="M966">
        <v>10</v>
      </c>
    </row>
    <row r="967" spans="1:13">
      <c r="A967">
        <v>25</v>
      </c>
      <c r="B967" t="s">
        <v>17</v>
      </c>
      <c r="C967" t="s">
        <v>18</v>
      </c>
      <c r="D967">
        <v>19</v>
      </c>
      <c r="E967">
        <v>1</v>
      </c>
      <c r="F967" t="s">
        <v>21</v>
      </c>
      <c r="G967">
        <v>4</v>
      </c>
      <c r="H967">
        <v>4</v>
      </c>
      <c r="I967" t="s">
        <v>19</v>
      </c>
      <c r="J967">
        <v>3669</v>
      </c>
      <c r="K967">
        <v>3</v>
      </c>
      <c r="L967">
        <v>2</v>
      </c>
      <c r="M967">
        <v>3</v>
      </c>
    </row>
    <row r="968" spans="1:13">
      <c r="A968">
        <v>58</v>
      </c>
      <c r="B968" t="s">
        <v>13</v>
      </c>
      <c r="C968" t="s">
        <v>18</v>
      </c>
      <c r="D968">
        <v>7</v>
      </c>
      <c r="E968">
        <v>4</v>
      </c>
      <c r="F968" t="s">
        <v>21</v>
      </c>
      <c r="G968">
        <v>3</v>
      </c>
      <c r="H968">
        <v>1</v>
      </c>
      <c r="I968" t="s">
        <v>19</v>
      </c>
      <c r="J968">
        <v>10008</v>
      </c>
      <c r="K968">
        <v>7</v>
      </c>
      <c r="L968">
        <v>2</v>
      </c>
      <c r="M968">
        <v>10</v>
      </c>
    </row>
    <row r="969" spans="1:13">
      <c r="A969">
        <v>40</v>
      </c>
      <c r="B969" t="s">
        <v>17</v>
      </c>
      <c r="C969" t="s">
        <v>18</v>
      </c>
      <c r="D969">
        <v>1</v>
      </c>
      <c r="E969">
        <v>4</v>
      </c>
      <c r="F969" t="s">
        <v>15</v>
      </c>
      <c r="G969">
        <v>2</v>
      </c>
      <c r="H969">
        <v>2</v>
      </c>
      <c r="I969" t="s">
        <v>19</v>
      </c>
      <c r="J969">
        <v>2387</v>
      </c>
      <c r="K969">
        <v>3</v>
      </c>
      <c r="L969">
        <v>3</v>
      </c>
      <c r="M969">
        <v>4</v>
      </c>
    </row>
    <row r="970" spans="1:13">
      <c r="A970">
        <v>36</v>
      </c>
      <c r="B970" t="s">
        <v>17</v>
      </c>
      <c r="C970" t="s">
        <v>14</v>
      </c>
      <c r="D970">
        <v>7</v>
      </c>
      <c r="E970">
        <v>3</v>
      </c>
      <c r="F970" t="s">
        <v>23</v>
      </c>
      <c r="G970">
        <v>1</v>
      </c>
      <c r="H970">
        <v>1</v>
      </c>
      <c r="I970" t="s">
        <v>19</v>
      </c>
      <c r="J970">
        <v>4639</v>
      </c>
      <c r="K970">
        <v>2</v>
      </c>
      <c r="L970">
        <v>2</v>
      </c>
      <c r="M970">
        <v>15</v>
      </c>
    </row>
    <row r="971" spans="1:13">
      <c r="A971">
        <v>48</v>
      </c>
      <c r="B971" t="s">
        <v>17</v>
      </c>
      <c r="C971" t="s">
        <v>18</v>
      </c>
      <c r="D971">
        <v>4</v>
      </c>
      <c r="E971">
        <v>3</v>
      </c>
      <c r="F971" t="s">
        <v>15</v>
      </c>
      <c r="G971">
        <v>4</v>
      </c>
      <c r="H971">
        <v>4</v>
      </c>
      <c r="I971" t="s">
        <v>16</v>
      </c>
      <c r="J971">
        <v>7898</v>
      </c>
      <c r="K971">
        <v>1</v>
      </c>
      <c r="L971">
        <v>3</v>
      </c>
      <c r="M971">
        <v>10</v>
      </c>
    </row>
    <row r="972" spans="1:13">
      <c r="A972">
        <v>27</v>
      </c>
      <c r="B972" t="s">
        <v>17</v>
      </c>
      <c r="C972" t="s">
        <v>14</v>
      </c>
      <c r="D972">
        <v>11</v>
      </c>
      <c r="E972">
        <v>3</v>
      </c>
      <c r="F972" t="s">
        <v>21</v>
      </c>
      <c r="G972">
        <v>3</v>
      </c>
      <c r="H972">
        <v>4</v>
      </c>
      <c r="I972" t="s">
        <v>19</v>
      </c>
      <c r="J972">
        <v>2534</v>
      </c>
      <c r="K972">
        <v>8</v>
      </c>
      <c r="L972">
        <v>3</v>
      </c>
      <c r="M972">
        <v>1</v>
      </c>
    </row>
    <row r="973" spans="1:13">
      <c r="A973">
        <v>51</v>
      </c>
      <c r="B973" t="s">
        <v>17</v>
      </c>
      <c r="C973" t="s">
        <v>18</v>
      </c>
      <c r="D973">
        <v>11</v>
      </c>
      <c r="E973">
        <v>2</v>
      </c>
      <c r="F973" t="s">
        <v>24</v>
      </c>
      <c r="G973">
        <v>4</v>
      </c>
      <c r="H973">
        <v>2</v>
      </c>
      <c r="I973" t="s">
        <v>16</v>
      </c>
      <c r="J973">
        <v>13142</v>
      </c>
      <c r="K973">
        <v>3</v>
      </c>
      <c r="L973">
        <v>2</v>
      </c>
      <c r="M973">
        <v>5</v>
      </c>
    </row>
    <row r="974" spans="1:13">
      <c r="A974">
        <v>18</v>
      </c>
      <c r="B974" t="s">
        <v>17</v>
      </c>
      <c r="C974" t="s">
        <v>18</v>
      </c>
      <c r="D974">
        <v>1</v>
      </c>
      <c r="E974">
        <v>3</v>
      </c>
      <c r="F974" t="s">
        <v>15</v>
      </c>
      <c r="G974">
        <v>4</v>
      </c>
      <c r="H974">
        <v>4</v>
      </c>
      <c r="I974" t="s">
        <v>16</v>
      </c>
      <c r="J974">
        <v>1611</v>
      </c>
      <c r="K974">
        <v>1</v>
      </c>
      <c r="L974">
        <v>4</v>
      </c>
      <c r="M974">
        <v>0</v>
      </c>
    </row>
    <row r="975" spans="1:13">
      <c r="A975">
        <v>35</v>
      </c>
      <c r="B975" t="s">
        <v>17</v>
      </c>
      <c r="C975" t="s">
        <v>18</v>
      </c>
      <c r="D975">
        <v>1</v>
      </c>
      <c r="E975">
        <v>3</v>
      </c>
      <c r="F975" t="s">
        <v>21</v>
      </c>
      <c r="G975">
        <v>4</v>
      </c>
      <c r="H975">
        <v>4</v>
      </c>
      <c r="I975" t="s">
        <v>19</v>
      </c>
      <c r="J975">
        <v>5363</v>
      </c>
      <c r="K975">
        <v>0</v>
      </c>
      <c r="L975">
        <v>3</v>
      </c>
      <c r="M975">
        <v>9</v>
      </c>
    </row>
    <row r="976" spans="1:13">
      <c r="A976">
        <v>27</v>
      </c>
      <c r="B976" t="s">
        <v>17</v>
      </c>
      <c r="C976" t="s">
        <v>14</v>
      </c>
      <c r="D976">
        <v>2</v>
      </c>
      <c r="E976">
        <v>1</v>
      </c>
      <c r="F976" t="s">
        <v>15</v>
      </c>
      <c r="G976">
        <v>4</v>
      </c>
      <c r="H976">
        <v>4</v>
      </c>
      <c r="I976" t="s">
        <v>16</v>
      </c>
      <c r="J976">
        <v>5071</v>
      </c>
      <c r="K976">
        <v>3</v>
      </c>
      <c r="L976">
        <v>3</v>
      </c>
      <c r="M976">
        <v>6</v>
      </c>
    </row>
    <row r="977" spans="1:13">
      <c r="A977">
        <v>55</v>
      </c>
      <c r="B977" t="s">
        <v>13</v>
      </c>
      <c r="C977" t="s">
        <v>14</v>
      </c>
      <c r="D977">
        <v>13</v>
      </c>
      <c r="E977">
        <v>4</v>
      </c>
      <c r="F977" t="s">
        <v>23</v>
      </c>
      <c r="G977">
        <v>1</v>
      </c>
      <c r="H977">
        <v>3</v>
      </c>
      <c r="I977" t="s">
        <v>16</v>
      </c>
      <c r="J977">
        <v>13695</v>
      </c>
      <c r="K977">
        <v>6</v>
      </c>
      <c r="L977">
        <v>2</v>
      </c>
      <c r="M977">
        <v>19</v>
      </c>
    </row>
    <row r="978" spans="1:13">
      <c r="A978">
        <v>56</v>
      </c>
      <c r="B978" t="s">
        <v>17</v>
      </c>
      <c r="C978" t="s">
        <v>18</v>
      </c>
      <c r="D978">
        <v>23</v>
      </c>
      <c r="E978">
        <v>3</v>
      </c>
      <c r="F978" t="s">
        <v>15</v>
      </c>
      <c r="G978">
        <v>4</v>
      </c>
      <c r="H978">
        <v>2</v>
      </c>
      <c r="I978" t="s">
        <v>19</v>
      </c>
      <c r="J978">
        <v>13402</v>
      </c>
      <c r="K978">
        <v>4</v>
      </c>
      <c r="L978">
        <v>3</v>
      </c>
      <c r="M978">
        <v>19</v>
      </c>
    </row>
    <row r="979" spans="1:13">
      <c r="A979">
        <v>34</v>
      </c>
      <c r="B979" t="s">
        <v>17</v>
      </c>
      <c r="C979" t="s">
        <v>18</v>
      </c>
      <c r="D979">
        <v>26</v>
      </c>
      <c r="E979">
        <v>1</v>
      </c>
      <c r="F979" t="s">
        <v>24</v>
      </c>
      <c r="G979">
        <v>1</v>
      </c>
      <c r="H979">
        <v>3</v>
      </c>
      <c r="I979" t="s">
        <v>22</v>
      </c>
      <c r="J979">
        <v>2029</v>
      </c>
      <c r="K979">
        <v>1</v>
      </c>
      <c r="L979">
        <v>3</v>
      </c>
      <c r="M979">
        <v>5</v>
      </c>
    </row>
    <row r="980" spans="1:13">
      <c r="A980">
        <v>40</v>
      </c>
      <c r="B980" t="s">
        <v>17</v>
      </c>
      <c r="C980" t="s">
        <v>18</v>
      </c>
      <c r="D980">
        <v>2</v>
      </c>
      <c r="E980">
        <v>1</v>
      </c>
      <c r="F980" t="s">
        <v>21</v>
      </c>
      <c r="G980">
        <v>2</v>
      </c>
      <c r="H980">
        <v>3</v>
      </c>
      <c r="I980" t="s">
        <v>22</v>
      </c>
      <c r="J980">
        <v>6377</v>
      </c>
      <c r="K980">
        <v>5</v>
      </c>
      <c r="L980">
        <v>3</v>
      </c>
      <c r="M980">
        <v>12</v>
      </c>
    </row>
    <row r="981" spans="1:13">
      <c r="A981">
        <v>34</v>
      </c>
      <c r="B981" t="s">
        <v>17</v>
      </c>
      <c r="C981" t="s">
        <v>18</v>
      </c>
      <c r="D981">
        <v>29</v>
      </c>
      <c r="E981">
        <v>3</v>
      </c>
      <c r="F981" t="s">
        <v>21</v>
      </c>
      <c r="G981">
        <v>2</v>
      </c>
      <c r="H981">
        <v>3</v>
      </c>
      <c r="I981" t="s">
        <v>19</v>
      </c>
      <c r="J981">
        <v>5429</v>
      </c>
      <c r="K981">
        <v>4</v>
      </c>
      <c r="L981">
        <v>3</v>
      </c>
      <c r="M981">
        <v>8</v>
      </c>
    </row>
    <row r="982" spans="1:13">
      <c r="A982">
        <v>31</v>
      </c>
      <c r="B982" t="s">
        <v>13</v>
      </c>
      <c r="C982" t="s">
        <v>14</v>
      </c>
      <c r="D982">
        <v>2</v>
      </c>
      <c r="E982">
        <v>3</v>
      </c>
      <c r="F982" t="s">
        <v>15</v>
      </c>
      <c r="G982">
        <v>3</v>
      </c>
      <c r="H982">
        <v>4</v>
      </c>
      <c r="I982" t="s">
        <v>16</v>
      </c>
      <c r="J982">
        <v>2785</v>
      </c>
      <c r="K982">
        <v>7</v>
      </c>
      <c r="L982">
        <v>4</v>
      </c>
      <c r="M982">
        <v>1</v>
      </c>
    </row>
    <row r="983" spans="1:13">
      <c r="A983">
        <v>35</v>
      </c>
      <c r="B983" t="s">
        <v>13</v>
      </c>
      <c r="C983" t="s">
        <v>14</v>
      </c>
      <c r="D983">
        <v>18</v>
      </c>
      <c r="E983">
        <v>4</v>
      </c>
      <c r="F983" t="s">
        <v>23</v>
      </c>
      <c r="G983">
        <v>4</v>
      </c>
      <c r="H983">
        <v>3</v>
      </c>
      <c r="I983" t="s">
        <v>19</v>
      </c>
      <c r="J983">
        <v>4614</v>
      </c>
      <c r="K983">
        <v>0</v>
      </c>
      <c r="L983">
        <v>2</v>
      </c>
      <c r="M983">
        <v>4</v>
      </c>
    </row>
    <row r="984" spans="1:13">
      <c r="A984">
        <v>38</v>
      </c>
      <c r="B984" t="s">
        <v>17</v>
      </c>
      <c r="C984" t="s">
        <v>18</v>
      </c>
      <c r="D984">
        <v>7</v>
      </c>
      <c r="E984">
        <v>3</v>
      </c>
      <c r="F984" t="s">
        <v>15</v>
      </c>
      <c r="G984">
        <v>4</v>
      </c>
      <c r="H984">
        <v>3</v>
      </c>
      <c r="I984" t="s">
        <v>22</v>
      </c>
      <c r="J984">
        <v>2610</v>
      </c>
      <c r="K984">
        <v>1</v>
      </c>
      <c r="L984">
        <v>3</v>
      </c>
      <c r="M984">
        <v>4</v>
      </c>
    </row>
    <row r="985" spans="1:13">
      <c r="A985">
        <v>34</v>
      </c>
      <c r="B985" t="s">
        <v>17</v>
      </c>
      <c r="C985" t="s">
        <v>18</v>
      </c>
      <c r="D985">
        <v>2</v>
      </c>
      <c r="E985">
        <v>4</v>
      </c>
      <c r="F985" t="s">
        <v>24</v>
      </c>
      <c r="G985">
        <v>3</v>
      </c>
      <c r="H985">
        <v>4</v>
      </c>
      <c r="I985" t="s">
        <v>16</v>
      </c>
      <c r="J985">
        <v>6687</v>
      </c>
      <c r="K985">
        <v>1</v>
      </c>
      <c r="L985">
        <v>4</v>
      </c>
      <c r="M985">
        <v>14</v>
      </c>
    </row>
    <row r="986" spans="1:13">
      <c r="A986">
        <v>28</v>
      </c>
      <c r="B986" t="s">
        <v>17</v>
      </c>
      <c r="C986" t="s">
        <v>14</v>
      </c>
      <c r="D986">
        <v>26</v>
      </c>
      <c r="E986">
        <v>3</v>
      </c>
      <c r="F986" t="s">
        <v>15</v>
      </c>
      <c r="G986">
        <v>3</v>
      </c>
      <c r="H986">
        <v>1</v>
      </c>
      <c r="I986" t="s">
        <v>19</v>
      </c>
      <c r="J986">
        <v>4724</v>
      </c>
      <c r="K986">
        <v>1</v>
      </c>
      <c r="L986">
        <v>3</v>
      </c>
      <c r="M986">
        <v>5</v>
      </c>
    </row>
    <row r="987" spans="1:13">
      <c r="A987">
        <v>31</v>
      </c>
      <c r="B987" t="s">
        <v>13</v>
      </c>
      <c r="C987" t="s">
        <v>18</v>
      </c>
      <c r="D987">
        <v>22</v>
      </c>
      <c r="E987">
        <v>4</v>
      </c>
      <c r="F987" t="s">
        <v>21</v>
      </c>
      <c r="G987">
        <v>4</v>
      </c>
      <c r="H987">
        <v>3</v>
      </c>
      <c r="I987" t="s">
        <v>19</v>
      </c>
      <c r="J987">
        <v>6179</v>
      </c>
      <c r="K987">
        <v>1</v>
      </c>
      <c r="L987">
        <v>2</v>
      </c>
      <c r="M987">
        <v>10</v>
      </c>
    </row>
    <row r="988" spans="1:13">
      <c r="A988">
        <v>39</v>
      </c>
      <c r="B988" t="s">
        <v>17</v>
      </c>
      <c r="C988" t="s">
        <v>14</v>
      </c>
      <c r="D988">
        <v>21</v>
      </c>
      <c r="E988">
        <v>4</v>
      </c>
      <c r="F988" t="s">
        <v>15</v>
      </c>
      <c r="G988">
        <v>1</v>
      </c>
      <c r="H988">
        <v>4</v>
      </c>
      <c r="I988" t="s">
        <v>19</v>
      </c>
      <c r="J988">
        <v>6120</v>
      </c>
      <c r="K988">
        <v>3</v>
      </c>
      <c r="L988">
        <v>4</v>
      </c>
      <c r="M988">
        <v>5</v>
      </c>
    </row>
    <row r="989" spans="1:13">
      <c r="A989">
        <v>51</v>
      </c>
      <c r="B989" t="s">
        <v>17</v>
      </c>
      <c r="C989" t="s">
        <v>14</v>
      </c>
      <c r="D989">
        <v>2</v>
      </c>
      <c r="E989">
        <v>3</v>
      </c>
      <c r="F989" t="s">
        <v>23</v>
      </c>
      <c r="G989">
        <v>2</v>
      </c>
      <c r="H989">
        <v>2</v>
      </c>
      <c r="I989" t="s">
        <v>19</v>
      </c>
      <c r="J989">
        <v>10596</v>
      </c>
      <c r="K989">
        <v>2</v>
      </c>
      <c r="L989">
        <v>3</v>
      </c>
      <c r="M989">
        <v>4</v>
      </c>
    </row>
    <row r="990" spans="1:13">
      <c r="A990">
        <v>41</v>
      </c>
      <c r="B990" t="s">
        <v>17</v>
      </c>
      <c r="C990" t="s">
        <v>18</v>
      </c>
      <c r="D990">
        <v>22</v>
      </c>
      <c r="E990">
        <v>3</v>
      </c>
      <c r="F990" t="s">
        <v>15</v>
      </c>
      <c r="G990">
        <v>4</v>
      </c>
      <c r="H990">
        <v>4</v>
      </c>
      <c r="I990" t="s">
        <v>22</v>
      </c>
      <c r="J990">
        <v>5467</v>
      </c>
      <c r="K990">
        <v>3</v>
      </c>
      <c r="L990">
        <v>2</v>
      </c>
      <c r="M990">
        <v>6</v>
      </c>
    </row>
    <row r="991" spans="1:13">
      <c r="A991">
        <v>37</v>
      </c>
      <c r="B991" t="s">
        <v>17</v>
      </c>
      <c r="C991" t="s">
        <v>18</v>
      </c>
      <c r="D991">
        <v>4</v>
      </c>
      <c r="E991">
        <v>1</v>
      </c>
      <c r="F991" t="s">
        <v>15</v>
      </c>
      <c r="G991">
        <v>3</v>
      </c>
      <c r="H991">
        <v>3</v>
      </c>
      <c r="I991" t="s">
        <v>19</v>
      </c>
      <c r="J991">
        <v>2996</v>
      </c>
      <c r="K991">
        <v>7</v>
      </c>
      <c r="L991">
        <v>3</v>
      </c>
      <c r="M991">
        <v>6</v>
      </c>
    </row>
    <row r="992" spans="1:13">
      <c r="A992">
        <v>33</v>
      </c>
      <c r="B992" t="s">
        <v>17</v>
      </c>
      <c r="C992" t="s">
        <v>14</v>
      </c>
      <c r="D992">
        <v>5</v>
      </c>
      <c r="E992">
        <v>1</v>
      </c>
      <c r="F992" t="s">
        <v>15</v>
      </c>
      <c r="G992">
        <v>2</v>
      </c>
      <c r="H992">
        <v>4</v>
      </c>
      <c r="I992" t="s">
        <v>19</v>
      </c>
      <c r="J992">
        <v>9998</v>
      </c>
      <c r="K992">
        <v>6</v>
      </c>
      <c r="L992">
        <v>4</v>
      </c>
      <c r="M992">
        <v>5</v>
      </c>
    </row>
    <row r="993" spans="1:13">
      <c r="A993">
        <v>32</v>
      </c>
      <c r="B993" t="s">
        <v>17</v>
      </c>
      <c r="C993" t="s">
        <v>14</v>
      </c>
      <c r="D993">
        <v>2</v>
      </c>
      <c r="E993">
        <v>1</v>
      </c>
      <c r="F993" t="s">
        <v>23</v>
      </c>
      <c r="G993">
        <v>3</v>
      </c>
      <c r="H993">
        <v>2</v>
      </c>
      <c r="I993" t="s">
        <v>19</v>
      </c>
      <c r="J993">
        <v>4078</v>
      </c>
      <c r="K993">
        <v>0</v>
      </c>
      <c r="L993">
        <v>2</v>
      </c>
      <c r="M993">
        <v>3</v>
      </c>
    </row>
    <row r="994" spans="1:13">
      <c r="A994">
        <v>39</v>
      </c>
      <c r="B994" t="s">
        <v>17</v>
      </c>
      <c r="C994" t="s">
        <v>18</v>
      </c>
      <c r="D994">
        <v>25</v>
      </c>
      <c r="E994">
        <v>2</v>
      </c>
      <c r="F994" t="s">
        <v>15</v>
      </c>
      <c r="G994">
        <v>3</v>
      </c>
      <c r="H994">
        <v>3</v>
      </c>
      <c r="I994" t="s">
        <v>19</v>
      </c>
      <c r="J994">
        <v>10920</v>
      </c>
      <c r="K994">
        <v>3</v>
      </c>
      <c r="L994">
        <v>3</v>
      </c>
      <c r="M994">
        <v>6</v>
      </c>
    </row>
    <row r="995" spans="1:13">
      <c r="A995">
        <v>25</v>
      </c>
      <c r="B995" t="s">
        <v>17</v>
      </c>
      <c r="C995" t="s">
        <v>14</v>
      </c>
      <c r="D995">
        <v>18</v>
      </c>
      <c r="E995">
        <v>1</v>
      </c>
      <c r="F995" t="s">
        <v>15</v>
      </c>
      <c r="G995">
        <v>1</v>
      </c>
      <c r="H995">
        <v>3</v>
      </c>
      <c r="I995" t="s">
        <v>19</v>
      </c>
      <c r="J995">
        <v>6232</v>
      </c>
      <c r="K995">
        <v>2</v>
      </c>
      <c r="L995">
        <v>2</v>
      </c>
      <c r="M995">
        <v>3</v>
      </c>
    </row>
    <row r="996" spans="1:13">
      <c r="A996">
        <v>52</v>
      </c>
      <c r="B996" t="s">
        <v>17</v>
      </c>
      <c r="C996" t="s">
        <v>18</v>
      </c>
      <c r="D996">
        <v>28</v>
      </c>
      <c r="E996">
        <v>2</v>
      </c>
      <c r="F996" t="s">
        <v>21</v>
      </c>
      <c r="G996">
        <v>4</v>
      </c>
      <c r="H996">
        <v>3</v>
      </c>
      <c r="I996" t="s">
        <v>19</v>
      </c>
      <c r="J996">
        <v>13247</v>
      </c>
      <c r="K996">
        <v>2</v>
      </c>
      <c r="L996">
        <v>2</v>
      </c>
      <c r="M996">
        <v>5</v>
      </c>
    </row>
    <row r="997" spans="1:13">
      <c r="A997">
        <v>43</v>
      </c>
      <c r="B997" t="s">
        <v>17</v>
      </c>
      <c r="C997" t="s">
        <v>18</v>
      </c>
      <c r="D997">
        <v>6</v>
      </c>
      <c r="E997">
        <v>3</v>
      </c>
      <c r="F997" t="s">
        <v>21</v>
      </c>
      <c r="G997">
        <v>1</v>
      </c>
      <c r="H997">
        <v>3</v>
      </c>
      <c r="I997" t="s">
        <v>16</v>
      </c>
      <c r="J997">
        <v>4081</v>
      </c>
      <c r="K997">
        <v>1</v>
      </c>
      <c r="L997">
        <v>1</v>
      </c>
      <c r="M997">
        <v>20</v>
      </c>
    </row>
    <row r="998" spans="1:13">
      <c r="A998">
        <v>27</v>
      </c>
      <c r="B998" t="s">
        <v>17</v>
      </c>
      <c r="C998" t="s">
        <v>14</v>
      </c>
      <c r="D998">
        <v>10</v>
      </c>
      <c r="E998">
        <v>3</v>
      </c>
      <c r="F998" t="s">
        <v>23</v>
      </c>
      <c r="G998">
        <v>4</v>
      </c>
      <c r="H998">
        <v>4</v>
      </c>
      <c r="I998" t="s">
        <v>19</v>
      </c>
      <c r="J998">
        <v>5769</v>
      </c>
      <c r="K998">
        <v>1</v>
      </c>
      <c r="L998">
        <v>3</v>
      </c>
      <c r="M998">
        <v>6</v>
      </c>
    </row>
    <row r="999" spans="1:13">
      <c r="A999">
        <v>27</v>
      </c>
      <c r="B999" t="s">
        <v>13</v>
      </c>
      <c r="C999" t="s">
        <v>18</v>
      </c>
      <c r="D999">
        <v>17</v>
      </c>
      <c r="E999">
        <v>4</v>
      </c>
      <c r="F999" t="s">
        <v>15</v>
      </c>
      <c r="G999">
        <v>4</v>
      </c>
      <c r="H999">
        <v>3</v>
      </c>
      <c r="I999" t="s">
        <v>16</v>
      </c>
      <c r="J999">
        <v>2394</v>
      </c>
      <c r="K999">
        <v>1</v>
      </c>
      <c r="L999">
        <v>3</v>
      </c>
      <c r="M999">
        <v>8</v>
      </c>
    </row>
    <row r="1000" spans="1:13">
      <c r="A1000">
        <v>26</v>
      </c>
      <c r="B1000" t="s">
        <v>17</v>
      </c>
      <c r="C1000" t="s">
        <v>18</v>
      </c>
      <c r="D1000">
        <v>2</v>
      </c>
      <c r="E1000">
        <v>1</v>
      </c>
      <c r="F1000" t="s">
        <v>21</v>
      </c>
      <c r="G1000">
        <v>1</v>
      </c>
      <c r="H1000">
        <v>4</v>
      </c>
      <c r="I1000" t="s">
        <v>16</v>
      </c>
      <c r="J1000">
        <v>3904</v>
      </c>
      <c r="K1000">
        <v>0</v>
      </c>
      <c r="L1000">
        <v>3</v>
      </c>
      <c r="M1000">
        <v>4</v>
      </c>
    </row>
    <row r="1001" spans="1:13">
      <c r="A1001">
        <v>42</v>
      </c>
      <c r="B1001" t="s">
        <v>17</v>
      </c>
      <c r="C1001" t="s">
        <v>25</v>
      </c>
      <c r="D1001">
        <v>10</v>
      </c>
      <c r="E1001">
        <v>3</v>
      </c>
      <c r="F1001" t="s">
        <v>25</v>
      </c>
      <c r="G1001">
        <v>3</v>
      </c>
      <c r="H1001">
        <v>1</v>
      </c>
      <c r="I1001" t="s">
        <v>19</v>
      </c>
      <c r="J1001">
        <v>16799</v>
      </c>
      <c r="K1001">
        <v>0</v>
      </c>
      <c r="L1001">
        <v>3</v>
      </c>
      <c r="M1001">
        <v>20</v>
      </c>
    </row>
    <row r="1002" spans="1:13">
      <c r="A1002">
        <v>52</v>
      </c>
      <c r="B1002" t="s">
        <v>17</v>
      </c>
      <c r="C1002" t="s">
        <v>18</v>
      </c>
      <c r="D1002">
        <v>8</v>
      </c>
      <c r="E1002">
        <v>4</v>
      </c>
      <c r="F1002" t="s">
        <v>20</v>
      </c>
      <c r="G1002">
        <v>3</v>
      </c>
      <c r="H1002">
        <v>1</v>
      </c>
      <c r="I1002" t="s">
        <v>19</v>
      </c>
      <c r="J1002">
        <v>2950</v>
      </c>
      <c r="K1002">
        <v>9</v>
      </c>
      <c r="L1002">
        <v>1</v>
      </c>
      <c r="M1002">
        <v>5</v>
      </c>
    </row>
    <row r="1003" spans="1:13">
      <c r="A1003">
        <v>37</v>
      </c>
      <c r="B1003" t="s">
        <v>17</v>
      </c>
      <c r="C1003" t="s">
        <v>18</v>
      </c>
      <c r="D1003">
        <v>11</v>
      </c>
      <c r="E1003">
        <v>3</v>
      </c>
      <c r="F1003" t="s">
        <v>21</v>
      </c>
      <c r="G1003">
        <v>1</v>
      </c>
      <c r="H1003">
        <v>3</v>
      </c>
      <c r="I1003" t="s">
        <v>16</v>
      </c>
      <c r="J1003">
        <v>3629</v>
      </c>
      <c r="K1003">
        <v>4</v>
      </c>
      <c r="L1003">
        <v>3</v>
      </c>
      <c r="M1003">
        <v>3</v>
      </c>
    </row>
    <row r="1004" spans="1:13">
      <c r="A1004">
        <v>35</v>
      </c>
      <c r="B1004" t="s">
        <v>17</v>
      </c>
      <c r="C1004" t="s">
        <v>18</v>
      </c>
      <c r="D1004">
        <v>18</v>
      </c>
      <c r="E1004">
        <v>2</v>
      </c>
      <c r="F1004" t="s">
        <v>15</v>
      </c>
      <c r="G1004">
        <v>3</v>
      </c>
      <c r="H1004">
        <v>4</v>
      </c>
      <c r="I1004" t="s">
        <v>16</v>
      </c>
      <c r="J1004">
        <v>9362</v>
      </c>
      <c r="K1004">
        <v>2</v>
      </c>
      <c r="L1004">
        <v>3</v>
      </c>
      <c r="M1004">
        <v>2</v>
      </c>
    </row>
    <row r="1005" spans="1:13">
      <c r="A1005">
        <v>25</v>
      </c>
      <c r="B1005" t="s">
        <v>17</v>
      </c>
      <c r="C1005" t="s">
        <v>18</v>
      </c>
      <c r="D1005">
        <v>1</v>
      </c>
      <c r="E1005">
        <v>3</v>
      </c>
      <c r="F1005" t="s">
        <v>24</v>
      </c>
      <c r="G1005">
        <v>1</v>
      </c>
      <c r="H1005">
        <v>4</v>
      </c>
      <c r="I1005" t="s">
        <v>19</v>
      </c>
      <c r="J1005">
        <v>3229</v>
      </c>
      <c r="K1005">
        <v>4</v>
      </c>
      <c r="L1005">
        <v>2</v>
      </c>
      <c r="M1005">
        <v>3</v>
      </c>
    </row>
    <row r="1006" spans="1:13">
      <c r="A1006">
        <v>26</v>
      </c>
      <c r="B1006" t="s">
        <v>17</v>
      </c>
      <c r="C1006" t="s">
        <v>18</v>
      </c>
      <c r="D1006">
        <v>7</v>
      </c>
      <c r="E1006">
        <v>3</v>
      </c>
      <c r="F1006" t="s">
        <v>20</v>
      </c>
      <c r="G1006">
        <v>3</v>
      </c>
      <c r="H1006">
        <v>1</v>
      </c>
      <c r="I1006" t="s">
        <v>16</v>
      </c>
      <c r="J1006">
        <v>3578</v>
      </c>
      <c r="K1006">
        <v>0</v>
      </c>
      <c r="L1006">
        <v>3</v>
      </c>
      <c r="M1006">
        <v>7</v>
      </c>
    </row>
    <row r="1007" spans="1:13">
      <c r="A1007">
        <v>29</v>
      </c>
      <c r="B1007" t="s">
        <v>17</v>
      </c>
      <c r="C1007" t="s">
        <v>25</v>
      </c>
      <c r="D1007">
        <v>17</v>
      </c>
      <c r="E1007">
        <v>3</v>
      </c>
      <c r="F1007" t="s">
        <v>20</v>
      </c>
      <c r="G1007">
        <v>2</v>
      </c>
      <c r="H1007">
        <v>1</v>
      </c>
      <c r="I1007" t="s">
        <v>16</v>
      </c>
      <c r="J1007">
        <v>7988</v>
      </c>
      <c r="K1007">
        <v>1</v>
      </c>
      <c r="L1007">
        <v>2</v>
      </c>
      <c r="M1007">
        <v>10</v>
      </c>
    </row>
    <row r="1008" spans="1:13">
      <c r="A1008">
        <v>49</v>
      </c>
      <c r="B1008" t="s">
        <v>13</v>
      </c>
      <c r="C1008" t="s">
        <v>18</v>
      </c>
      <c r="D1008">
        <v>28</v>
      </c>
      <c r="E1008">
        <v>2</v>
      </c>
      <c r="F1008" t="s">
        <v>15</v>
      </c>
      <c r="G1008">
        <v>1</v>
      </c>
      <c r="H1008">
        <v>1</v>
      </c>
      <c r="I1008" t="s">
        <v>16</v>
      </c>
      <c r="J1008">
        <v>4284</v>
      </c>
      <c r="K1008">
        <v>3</v>
      </c>
      <c r="L1008">
        <v>3</v>
      </c>
      <c r="M1008">
        <v>4</v>
      </c>
    </row>
    <row r="1009" spans="1:13">
      <c r="A1009">
        <v>29</v>
      </c>
      <c r="B1009" t="s">
        <v>13</v>
      </c>
      <c r="C1009" t="s">
        <v>18</v>
      </c>
      <c r="D1009">
        <v>14</v>
      </c>
      <c r="E1009">
        <v>1</v>
      </c>
      <c r="F1009" t="s">
        <v>20</v>
      </c>
      <c r="G1009">
        <v>3</v>
      </c>
      <c r="H1009">
        <v>4</v>
      </c>
      <c r="I1009" t="s">
        <v>16</v>
      </c>
      <c r="J1009">
        <v>7553</v>
      </c>
      <c r="K1009">
        <v>0</v>
      </c>
      <c r="L1009">
        <v>3</v>
      </c>
      <c r="M1009">
        <v>8</v>
      </c>
    </row>
    <row r="1010" spans="1:13">
      <c r="A1010">
        <v>54</v>
      </c>
      <c r="B1010" t="s">
        <v>17</v>
      </c>
      <c r="C1010" t="s">
        <v>18</v>
      </c>
      <c r="D1010">
        <v>1</v>
      </c>
      <c r="E1010">
        <v>3</v>
      </c>
      <c r="F1010" t="s">
        <v>21</v>
      </c>
      <c r="G1010">
        <v>4</v>
      </c>
      <c r="H1010">
        <v>4</v>
      </c>
      <c r="I1010" t="s">
        <v>16</v>
      </c>
      <c r="J1010">
        <v>17328</v>
      </c>
      <c r="K1010">
        <v>6</v>
      </c>
      <c r="L1010">
        <v>2</v>
      </c>
      <c r="M1010">
        <v>20</v>
      </c>
    </row>
    <row r="1011" spans="1:13">
      <c r="A1011">
        <v>58</v>
      </c>
      <c r="B1011" t="s">
        <v>17</v>
      </c>
      <c r="C1011" t="s">
        <v>18</v>
      </c>
      <c r="D1011">
        <v>1</v>
      </c>
      <c r="E1011">
        <v>3</v>
      </c>
      <c r="F1011" t="s">
        <v>21</v>
      </c>
      <c r="G1011">
        <v>4</v>
      </c>
      <c r="H1011">
        <v>1</v>
      </c>
      <c r="I1011" t="s">
        <v>19</v>
      </c>
      <c r="J1011">
        <v>19701</v>
      </c>
      <c r="K1011">
        <v>3</v>
      </c>
      <c r="L1011">
        <v>3</v>
      </c>
      <c r="M1011">
        <v>9</v>
      </c>
    </row>
    <row r="1012" spans="1:13">
      <c r="A1012">
        <v>55</v>
      </c>
      <c r="B1012" t="s">
        <v>17</v>
      </c>
      <c r="C1012" t="s">
        <v>18</v>
      </c>
      <c r="D1012">
        <v>1</v>
      </c>
      <c r="E1012">
        <v>4</v>
      </c>
      <c r="F1012" t="s">
        <v>21</v>
      </c>
      <c r="G1012">
        <v>2</v>
      </c>
      <c r="H1012">
        <v>4</v>
      </c>
      <c r="I1012" t="s">
        <v>22</v>
      </c>
      <c r="J1012">
        <v>14732</v>
      </c>
      <c r="K1012">
        <v>2</v>
      </c>
      <c r="L1012">
        <v>4</v>
      </c>
      <c r="M1012">
        <v>7</v>
      </c>
    </row>
    <row r="1013" spans="1:13">
      <c r="A1013">
        <v>36</v>
      </c>
      <c r="B1013" t="s">
        <v>17</v>
      </c>
      <c r="C1013" t="s">
        <v>14</v>
      </c>
      <c r="D1013">
        <v>3</v>
      </c>
      <c r="E1013">
        <v>4</v>
      </c>
      <c r="F1013" t="s">
        <v>23</v>
      </c>
      <c r="G1013">
        <v>1</v>
      </c>
      <c r="H1013">
        <v>2</v>
      </c>
      <c r="I1013" t="s">
        <v>16</v>
      </c>
      <c r="J1013">
        <v>9278</v>
      </c>
      <c r="K1013">
        <v>3</v>
      </c>
      <c r="L1013">
        <v>3</v>
      </c>
      <c r="M1013">
        <v>5</v>
      </c>
    </row>
    <row r="1014" spans="1:13">
      <c r="A1014">
        <v>31</v>
      </c>
      <c r="B1014" t="s">
        <v>13</v>
      </c>
      <c r="C1014" t="s">
        <v>14</v>
      </c>
      <c r="D1014">
        <v>1</v>
      </c>
      <c r="E1014">
        <v>4</v>
      </c>
      <c r="F1014" t="s">
        <v>15</v>
      </c>
      <c r="G1014">
        <v>2</v>
      </c>
      <c r="H1014">
        <v>3</v>
      </c>
      <c r="I1014" t="s">
        <v>16</v>
      </c>
      <c r="J1014">
        <v>1359</v>
      </c>
      <c r="K1014">
        <v>1</v>
      </c>
      <c r="L1014">
        <v>3</v>
      </c>
      <c r="M1014">
        <v>1</v>
      </c>
    </row>
    <row r="1015" spans="1:13">
      <c r="A1015">
        <v>30</v>
      </c>
      <c r="B1015" t="s">
        <v>17</v>
      </c>
      <c r="C1015" t="s">
        <v>14</v>
      </c>
      <c r="D1015">
        <v>7</v>
      </c>
      <c r="E1015">
        <v>4</v>
      </c>
      <c r="F1015" t="s">
        <v>23</v>
      </c>
      <c r="G1015">
        <v>4</v>
      </c>
      <c r="H1015">
        <v>1</v>
      </c>
      <c r="I1015" t="s">
        <v>22</v>
      </c>
      <c r="J1015">
        <v>4779</v>
      </c>
      <c r="K1015">
        <v>7</v>
      </c>
      <c r="L1015">
        <v>3</v>
      </c>
      <c r="M1015">
        <v>3</v>
      </c>
    </row>
    <row r="1016" spans="1:13">
      <c r="A1016">
        <v>31</v>
      </c>
      <c r="B1016" t="s">
        <v>17</v>
      </c>
      <c r="C1016" t="s">
        <v>18</v>
      </c>
      <c r="D1016">
        <v>8</v>
      </c>
      <c r="E1016">
        <v>5</v>
      </c>
      <c r="F1016" t="s">
        <v>15</v>
      </c>
      <c r="G1016">
        <v>1</v>
      </c>
      <c r="H1016">
        <v>2</v>
      </c>
      <c r="I1016" t="s">
        <v>16</v>
      </c>
      <c r="J1016">
        <v>16422</v>
      </c>
      <c r="K1016">
        <v>3</v>
      </c>
      <c r="L1016">
        <v>4</v>
      </c>
      <c r="M1016">
        <v>3</v>
      </c>
    </row>
    <row r="1017" spans="1:13">
      <c r="A1017">
        <v>34</v>
      </c>
      <c r="B1017" t="s">
        <v>17</v>
      </c>
      <c r="C1017" t="s">
        <v>18</v>
      </c>
      <c r="D1017">
        <v>1</v>
      </c>
      <c r="E1017">
        <v>4</v>
      </c>
      <c r="F1017" t="s">
        <v>20</v>
      </c>
      <c r="G1017">
        <v>4</v>
      </c>
      <c r="H1017">
        <v>1</v>
      </c>
      <c r="I1017" t="s">
        <v>22</v>
      </c>
      <c r="J1017">
        <v>2996</v>
      </c>
      <c r="K1017">
        <v>5</v>
      </c>
      <c r="L1017">
        <v>3</v>
      </c>
      <c r="M1017">
        <v>4</v>
      </c>
    </row>
    <row r="1018" spans="1:13">
      <c r="A1018">
        <v>31</v>
      </c>
      <c r="B1018" t="s">
        <v>13</v>
      </c>
      <c r="C1018" t="s">
        <v>18</v>
      </c>
      <c r="D1018">
        <v>8</v>
      </c>
      <c r="E1018">
        <v>3</v>
      </c>
      <c r="F1018" t="s">
        <v>15</v>
      </c>
      <c r="G1018">
        <v>1</v>
      </c>
      <c r="H1018">
        <v>2</v>
      </c>
      <c r="I1018" t="s">
        <v>16</v>
      </c>
      <c r="J1018">
        <v>1261</v>
      </c>
      <c r="K1018">
        <v>1</v>
      </c>
      <c r="L1018">
        <v>4</v>
      </c>
      <c r="M1018">
        <v>1</v>
      </c>
    </row>
    <row r="1019" spans="1:13">
      <c r="A1019">
        <v>27</v>
      </c>
      <c r="B1019" t="s">
        <v>17</v>
      </c>
      <c r="C1019" t="s">
        <v>18</v>
      </c>
      <c r="D1019">
        <v>11</v>
      </c>
      <c r="E1019">
        <v>1</v>
      </c>
      <c r="F1019" t="s">
        <v>15</v>
      </c>
      <c r="G1019">
        <v>2</v>
      </c>
      <c r="H1019">
        <v>1</v>
      </c>
      <c r="I1019" t="s">
        <v>19</v>
      </c>
      <c r="J1019">
        <v>2099</v>
      </c>
      <c r="K1019">
        <v>0</v>
      </c>
      <c r="L1019">
        <v>4</v>
      </c>
      <c r="M1019">
        <v>5</v>
      </c>
    </row>
    <row r="1020" spans="1:13">
      <c r="A1020">
        <v>36</v>
      </c>
      <c r="B1020" t="s">
        <v>17</v>
      </c>
      <c r="C1020" t="s">
        <v>18</v>
      </c>
      <c r="D1020">
        <v>4</v>
      </c>
      <c r="E1020">
        <v>4</v>
      </c>
      <c r="F1020" t="s">
        <v>15</v>
      </c>
      <c r="G1020">
        <v>1</v>
      </c>
      <c r="H1020">
        <v>4</v>
      </c>
      <c r="I1020" t="s">
        <v>16</v>
      </c>
      <c r="J1020">
        <v>5810</v>
      </c>
      <c r="K1020">
        <v>1</v>
      </c>
      <c r="L1020">
        <v>2</v>
      </c>
      <c r="M1020">
        <v>10</v>
      </c>
    </row>
    <row r="1021" spans="1:13">
      <c r="A1021">
        <v>36</v>
      </c>
      <c r="B1021" t="s">
        <v>17</v>
      </c>
      <c r="C1021" t="s">
        <v>14</v>
      </c>
      <c r="D1021">
        <v>16</v>
      </c>
      <c r="E1021">
        <v>4</v>
      </c>
      <c r="F1021" t="s">
        <v>23</v>
      </c>
      <c r="G1021">
        <v>3</v>
      </c>
      <c r="H1021">
        <v>1</v>
      </c>
      <c r="I1021" t="s">
        <v>19</v>
      </c>
      <c r="J1021">
        <v>5647</v>
      </c>
      <c r="K1021">
        <v>4</v>
      </c>
      <c r="L1021">
        <v>2</v>
      </c>
      <c r="M1021">
        <v>3</v>
      </c>
    </row>
    <row r="1022" spans="1:13">
      <c r="A1022">
        <v>47</v>
      </c>
      <c r="B1022" t="s">
        <v>17</v>
      </c>
      <c r="C1022" t="s">
        <v>18</v>
      </c>
      <c r="D1022">
        <v>1</v>
      </c>
      <c r="E1022">
        <v>3</v>
      </c>
      <c r="F1022" t="s">
        <v>24</v>
      </c>
      <c r="G1022">
        <v>1</v>
      </c>
      <c r="H1022">
        <v>4</v>
      </c>
      <c r="I1022" t="s">
        <v>19</v>
      </c>
      <c r="J1022">
        <v>3420</v>
      </c>
      <c r="K1022">
        <v>7</v>
      </c>
      <c r="L1022">
        <v>2</v>
      </c>
      <c r="M1022">
        <v>6</v>
      </c>
    </row>
    <row r="1023" spans="1:13">
      <c r="A1023">
        <v>25</v>
      </c>
      <c r="B1023" t="s">
        <v>13</v>
      </c>
      <c r="C1023" t="s">
        <v>14</v>
      </c>
      <c r="D1023">
        <v>9</v>
      </c>
      <c r="E1023">
        <v>2</v>
      </c>
      <c r="F1023" t="s">
        <v>15</v>
      </c>
      <c r="G1023">
        <v>1</v>
      </c>
      <c r="H1023">
        <v>1</v>
      </c>
      <c r="I1023" t="s">
        <v>19</v>
      </c>
      <c r="J1023">
        <v>4400</v>
      </c>
      <c r="K1023">
        <v>3</v>
      </c>
      <c r="L1023">
        <v>3</v>
      </c>
      <c r="M1023">
        <v>3</v>
      </c>
    </row>
    <row r="1024" spans="1:13">
      <c r="A1024">
        <v>37</v>
      </c>
      <c r="B1024" t="s">
        <v>17</v>
      </c>
      <c r="C1024" t="s">
        <v>18</v>
      </c>
      <c r="D1024">
        <v>5</v>
      </c>
      <c r="E1024">
        <v>2</v>
      </c>
      <c r="F1024" t="s">
        <v>24</v>
      </c>
      <c r="G1024">
        <v>3</v>
      </c>
      <c r="H1024">
        <v>3</v>
      </c>
      <c r="I1024" t="s">
        <v>16</v>
      </c>
      <c r="J1024">
        <v>3500</v>
      </c>
      <c r="K1024">
        <v>0</v>
      </c>
      <c r="L1024">
        <v>1</v>
      </c>
      <c r="M1024">
        <v>6</v>
      </c>
    </row>
    <row r="1025" spans="1:13">
      <c r="A1025">
        <v>56</v>
      </c>
      <c r="B1025" t="s">
        <v>17</v>
      </c>
      <c r="C1025" t="s">
        <v>18</v>
      </c>
      <c r="D1025">
        <v>1</v>
      </c>
      <c r="E1025">
        <v>2</v>
      </c>
      <c r="F1025" t="s">
        <v>15</v>
      </c>
      <c r="G1025">
        <v>1</v>
      </c>
      <c r="H1025">
        <v>1</v>
      </c>
      <c r="I1025" t="s">
        <v>19</v>
      </c>
      <c r="J1025">
        <v>2066</v>
      </c>
      <c r="K1025">
        <v>2</v>
      </c>
      <c r="L1025">
        <v>4</v>
      </c>
      <c r="M1025">
        <v>3</v>
      </c>
    </row>
    <row r="1026" spans="1:13">
      <c r="A1026">
        <v>47</v>
      </c>
      <c r="B1026" t="s">
        <v>17</v>
      </c>
      <c r="C1026" t="s">
        <v>18</v>
      </c>
      <c r="D1026">
        <v>2</v>
      </c>
      <c r="E1026">
        <v>4</v>
      </c>
      <c r="F1026" t="s">
        <v>21</v>
      </c>
      <c r="G1026">
        <v>1</v>
      </c>
      <c r="H1026">
        <v>3</v>
      </c>
      <c r="I1026" t="s">
        <v>19</v>
      </c>
      <c r="J1026">
        <v>17169</v>
      </c>
      <c r="K1026">
        <v>3</v>
      </c>
      <c r="L1026">
        <v>4</v>
      </c>
      <c r="M1026">
        <v>20</v>
      </c>
    </row>
    <row r="1027" spans="1:13">
      <c r="A1027">
        <v>24</v>
      </c>
      <c r="B1027" t="s">
        <v>17</v>
      </c>
      <c r="C1027" t="s">
        <v>14</v>
      </c>
      <c r="D1027">
        <v>4</v>
      </c>
      <c r="E1027">
        <v>1</v>
      </c>
      <c r="F1027" t="s">
        <v>21</v>
      </c>
      <c r="G1027">
        <v>4</v>
      </c>
      <c r="H1027">
        <v>3</v>
      </c>
      <c r="I1027" t="s">
        <v>19</v>
      </c>
      <c r="J1027">
        <v>4162</v>
      </c>
      <c r="K1027">
        <v>1</v>
      </c>
      <c r="L1027">
        <v>3</v>
      </c>
      <c r="M1027">
        <v>5</v>
      </c>
    </row>
    <row r="1028" spans="1:13">
      <c r="A1028">
        <v>32</v>
      </c>
      <c r="B1028" t="s">
        <v>17</v>
      </c>
      <c r="C1028" t="s">
        <v>14</v>
      </c>
      <c r="D1028">
        <v>7</v>
      </c>
      <c r="E1028">
        <v>5</v>
      </c>
      <c r="F1028" t="s">
        <v>23</v>
      </c>
      <c r="G1028">
        <v>4</v>
      </c>
      <c r="H1028">
        <v>4</v>
      </c>
      <c r="I1028" t="s">
        <v>19</v>
      </c>
      <c r="J1028">
        <v>9204</v>
      </c>
      <c r="K1028">
        <v>4</v>
      </c>
      <c r="L1028">
        <v>2</v>
      </c>
      <c r="M1028">
        <v>4</v>
      </c>
    </row>
    <row r="1029" spans="1:13">
      <c r="A1029">
        <v>34</v>
      </c>
      <c r="B1029" t="s">
        <v>17</v>
      </c>
      <c r="C1029" t="s">
        <v>18</v>
      </c>
      <c r="D1029">
        <v>1</v>
      </c>
      <c r="E1029">
        <v>3</v>
      </c>
      <c r="F1029" t="s">
        <v>15</v>
      </c>
      <c r="G1029">
        <v>4</v>
      </c>
      <c r="H1029">
        <v>2</v>
      </c>
      <c r="I1029" t="s">
        <v>19</v>
      </c>
      <c r="J1029">
        <v>3294</v>
      </c>
      <c r="K1029">
        <v>5</v>
      </c>
      <c r="L1029">
        <v>2</v>
      </c>
      <c r="M1029">
        <v>5</v>
      </c>
    </row>
    <row r="1030" spans="1:13">
      <c r="A1030">
        <v>41</v>
      </c>
      <c r="B1030" t="s">
        <v>17</v>
      </c>
      <c r="C1030" t="s">
        <v>18</v>
      </c>
      <c r="D1030">
        <v>5</v>
      </c>
      <c r="E1030">
        <v>5</v>
      </c>
      <c r="F1030" t="s">
        <v>21</v>
      </c>
      <c r="G1030">
        <v>2</v>
      </c>
      <c r="H1030">
        <v>3</v>
      </c>
      <c r="I1030" t="s">
        <v>19</v>
      </c>
      <c r="J1030">
        <v>2127</v>
      </c>
      <c r="K1030">
        <v>2</v>
      </c>
      <c r="L1030">
        <v>2</v>
      </c>
      <c r="M1030">
        <v>4</v>
      </c>
    </row>
    <row r="1031" spans="1:13">
      <c r="A1031">
        <v>40</v>
      </c>
      <c r="B1031" t="s">
        <v>17</v>
      </c>
      <c r="C1031" t="s">
        <v>18</v>
      </c>
      <c r="D1031">
        <v>9</v>
      </c>
      <c r="E1031">
        <v>4</v>
      </c>
      <c r="F1031" t="s">
        <v>20</v>
      </c>
      <c r="G1031">
        <v>3</v>
      </c>
      <c r="H1031">
        <v>3</v>
      </c>
      <c r="I1031" t="s">
        <v>22</v>
      </c>
      <c r="J1031">
        <v>3975</v>
      </c>
      <c r="K1031">
        <v>3</v>
      </c>
      <c r="L1031">
        <v>4</v>
      </c>
      <c r="M1031">
        <v>8</v>
      </c>
    </row>
    <row r="1032" spans="1:13">
      <c r="A1032">
        <v>31</v>
      </c>
      <c r="B1032" t="s">
        <v>17</v>
      </c>
      <c r="C1032" t="s">
        <v>14</v>
      </c>
      <c r="D1032">
        <v>8</v>
      </c>
      <c r="E1032">
        <v>2</v>
      </c>
      <c r="F1032" t="s">
        <v>15</v>
      </c>
      <c r="G1032">
        <v>1</v>
      </c>
      <c r="H1032">
        <v>4</v>
      </c>
      <c r="I1032" t="s">
        <v>22</v>
      </c>
      <c r="J1032">
        <v>10793</v>
      </c>
      <c r="K1032">
        <v>1</v>
      </c>
      <c r="L1032">
        <v>3</v>
      </c>
      <c r="M1032">
        <v>13</v>
      </c>
    </row>
    <row r="1033" spans="1:13">
      <c r="A1033">
        <v>46</v>
      </c>
      <c r="B1033" t="s">
        <v>13</v>
      </c>
      <c r="C1033" t="s">
        <v>14</v>
      </c>
      <c r="D1033">
        <v>9</v>
      </c>
      <c r="E1033">
        <v>3</v>
      </c>
      <c r="F1033" t="s">
        <v>23</v>
      </c>
      <c r="G1033">
        <v>1</v>
      </c>
      <c r="H1033">
        <v>4</v>
      </c>
      <c r="I1033" t="s">
        <v>22</v>
      </c>
      <c r="J1033">
        <v>10096</v>
      </c>
      <c r="K1033">
        <v>4</v>
      </c>
      <c r="L1033">
        <v>4</v>
      </c>
      <c r="M1033">
        <v>7</v>
      </c>
    </row>
    <row r="1034" spans="1:13">
      <c r="A1034">
        <v>39</v>
      </c>
      <c r="B1034" t="s">
        <v>13</v>
      </c>
      <c r="C1034" t="s">
        <v>18</v>
      </c>
      <c r="D1034">
        <v>2</v>
      </c>
      <c r="E1034">
        <v>3</v>
      </c>
      <c r="F1034" t="s">
        <v>15</v>
      </c>
      <c r="G1034">
        <v>1</v>
      </c>
      <c r="H1034">
        <v>1</v>
      </c>
      <c r="I1034" t="s">
        <v>16</v>
      </c>
      <c r="J1034">
        <v>3646</v>
      </c>
      <c r="K1034">
        <v>2</v>
      </c>
      <c r="L1034">
        <v>4</v>
      </c>
      <c r="M1034">
        <v>1</v>
      </c>
    </row>
    <row r="1035" spans="1:13">
      <c r="A1035">
        <v>31</v>
      </c>
      <c r="B1035" t="s">
        <v>13</v>
      </c>
      <c r="C1035" t="s">
        <v>18</v>
      </c>
      <c r="D1035">
        <v>1</v>
      </c>
      <c r="E1035">
        <v>5</v>
      </c>
      <c r="F1035" t="s">
        <v>15</v>
      </c>
      <c r="G1035">
        <v>3</v>
      </c>
      <c r="H1035">
        <v>2</v>
      </c>
      <c r="I1035" t="s">
        <v>16</v>
      </c>
      <c r="J1035">
        <v>7446</v>
      </c>
      <c r="K1035">
        <v>1</v>
      </c>
      <c r="L1035">
        <v>3</v>
      </c>
      <c r="M1035">
        <v>10</v>
      </c>
    </row>
    <row r="1036" spans="1:13">
      <c r="A1036">
        <v>45</v>
      </c>
      <c r="B1036" t="s">
        <v>17</v>
      </c>
      <c r="C1036" t="s">
        <v>18</v>
      </c>
      <c r="D1036">
        <v>20</v>
      </c>
      <c r="E1036">
        <v>3</v>
      </c>
      <c r="F1036" t="s">
        <v>21</v>
      </c>
      <c r="G1036">
        <v>2</v>
      </c>
      <c r="H1036">
        <v>1</v>
      </c>
      <c r="I1036" t="s">
        <v>22</v>
      </c>
      <c r="J1036">
        <v>10851</v>
      </c>
      <c r="K1036">
        <v>2</v>
      </c>
      <c r="L1036">
        <v>3</v>
      </c>
      <c r="M1036">
        <v>7</v>
      </c>
    </row>
    <row r="1037" spans="1:13">
      <c r="A1037">
        <v>31</v>
      </c>
      <c r="B1037" t="s">
        <v>17</v>
      </c>
      <c r="C1037" t="s">
        <v>25</v>
      </c>
      <c r="D1037">
        <v>8</v>
      </c>
      <c r="E1037">
        <v>2</v>
      </c>
      <c r="F1037" t="s">
        <v>21</v>
      </c>
      <c r="G1037">
        <v>4</v>
      </c>
      <c r="H1037">
        <v>2</v>
      </c>
      <c r="I1037" t="s">
        <v>16</v>
      </c>
      <c r="J1037">
        <v>2109</v>
      </c>
      <c r="K1037">
        <v>9</v>
      </c>
      <c r="L1037">
        <v>3</v>
      </c>
      <c r="M1037">
        <v>3</v>
      </c>
    </row>
    <row r="1038" spans="1:13">
      <c r="A1038">
        <v>31</v>
      </c>
      <c r="B1038" t="s">
        <v>13</v>
      </c>
      <c r="C1038" t="s">
        <v>18</v>
      </c>
      <c r="D1038">
        <v>2</v>
      </c>
      <c r="E1038">
        <v>3</v>
      </c>
      <c r="F1038" t="s">
        <v>15</v>
      </c>
      <c r="G1038">
        <v>2</v>
      </c>
      <c r="H1038">
        <v>4</v>
      </c>
      <c r="I1038" t="s">
        <v>19</v>
      </c>
      <c r="J1038">
        <v>3722</v>
      </c>
      <c r="K1038">
        <v>6</v>
      </c>
      <c r="L1038">
        <v>1</v>
      </c>
      <c r="M1038">
        <v>2</v>
      </c>
    </row>
    <row r="1039" spans="1:13">
      <c r="A1039">
        <v>45</v>
      </c>
      <c r="B1039" t="s">
        <v>17</v>
      </c>
      <c r="C1039" t="s">
        <v>18</v>
      </c>
      <c r="D1039">
        <v>29</v>
      </c>
      <c r="E1039">
        <v>3</v>
      </c>
      <c r="F1039" t="s">
        <v>24</v>
      </c>
      <c r="G1039">
        <v>2</v>
      </c>
      <c r="H1039">
        <v>4</v>
      </c>
      <c r="I1039" t="s">
        <v>19</v>
      </c>
      <c r="J1039">
        <v>9380</v>
      </c>
      <c r="K1039">
        <v>4</v>
      </c>
      <c r="L1039">
        <v>4</v>
      </c>
      <c r="M1039">
        <v>3</v>
      </c>
    </row>
    <row r="1040" spans="1:13">
      <c r="A1040">
        <v>48</v>
      </c>
      <c r="B1040" t="s">
        <v>17</v>
      </c>
      <c r="C1040" t="s">
        <v>14</v>
      </c>
      <c r="D1040">
        <v>7</v>
      </c>
      <c r="E1040">
        <v>3</v>
      </c>
      <c r="F1040" t="s">
        <v>23</v>
      </c>
      <c r="G1040">
        <v>3</v>
      </c>
      <c r="H1040">
        <v>1</v>
      </c>
      <c r="I1040" t="s">
        <v>22</v>
      </c>
      <c r="J1040">
        <v>5486</v>
      </c>
      <c r="K1040">
        <v>4</v>
      </c>
      <c r="L1040">
        <v>3</v>
      </c>
      <c r="M1040">
        <v>2</v>
      </c>
    </row>
    <row r="1041" spans="1:13">
      <c r="A1041">
        <v>34</v>
      </c>
      <c r="B1041" t="s">
        <v>13</v>
      </c>
      <c r="C1041" t="s">
        <v>25</v>
      </c>
      <c r="D1041">
        <v>9</v>
      </c>
      <c r="E1041">
        <v>4</v>
      </c>
      <c r="F1041" t="s">
        <v>24</v>
      </c>
      <c r="G1041">
        <v>1</v>
      </c>
      <c r="H1041">
        <v>3</v>
      </c>
      <c r="I1041" t="s">
        <v>19</v>
      </c>
      <c r="J1041">
        <v>2742</v>
      </c>
      <c r="K1041">
        <v>1</v>
      </c>
      <c r="L1041">
        <v>3</v>
      </c>
      <c r="M1041">
        <v>2</v>
      </c>
    </row>
    <row r="1042" spans="1:13">
      <c r="A1042">
        <v>40</v>
      </c>
      <c r="B1042" t="s">
        <v>17</v>
      </c>
      <c r="C1042" t="s">
        <v>18</v>
      </c>
      <c r="D1042">
        <v>8</v>
      </c>
      <c r="E1042">
        <v>1</v>
      </c>
      <c r="F1042" t="s">
        <v>21</v>
      </c>
      <c r="G1042">
        <v>4</v>
      </c>
      <c r="H1042">
        <v>2</v>
      </c>
      <c r="I1042" t="s">
        <v>22</v>
      </c>
      <c r="J1042">
        <v>13757</v>
      </c>
      <c r="K1042">
        <v>2</v>
      </c>
      <c r="L1042">
        <v>3</v>
      </c>
      <c r="M1042">
        <v>9</v>
      </c>
    </row>
    <row r="1043" spans="1:13">
      <c r="A1043">
        <v>28</v>
      </c>
      <c r="B1043" t="s">
        <v>17</v>
      </c>
      <c r="C1043" t="s">
        <v>14</v>
      </c>
      <c r="D1043">
        <v>5</v>
      </c>
      <c r="E1043">
        <v>3</v>
      </c>
      <c r="F1043" t="s">
        <v>21</v>
      </c>
      <c r="G1043">
        <v>4</v>
      </c>
      <c r="H1043">
        <v>1</v>
      </c>
      <c r="I1043" t="s">
        <v>16</v>
      </c>
      <c r="J1043">
        <v>8463</v>
      </c>
      <c r="K1043">
        <v>0</v>
      </c>
      <c r="L1043">
        <v>3</v>
      </c>
      <c r="M1043">
        <v>5</v>
      </c>
    </row>
    <row r="1044" spans="1:13">
      <c r="A1044">
        <v>44</v>
      </c>
      <c r="B1044" t="s">
        <v>17</v>
      </c>
      <c r="C1044" t="s">
        <v>18</v>
      </c>
      <c r="D1044">
        <v>5</v>
      </c>
      <c r="E1044">
        <v>3</v>
      </c>
      <c r="F1044" t="s">
        <v>15</v>
      </c>
      <c r="G1044">
        <v>3</v>
      </c>
      <c r="H1044">
        <v>3</v>
      </c>
      <c r="I1044" t="s">
        <v>16</v>
      </c>
      <c r="J1044">
        <v>3162</v>
      </c>
      <c r="K1044">
        <v>3</v>
      </c>
      <c r="L1044">
        <v>3</v>
      </c>
      <c r="M1044">
        <v>5</v>
      </c>
    </row>
    <row r="1045" spans="1:13">
      <c r="A1045">
        <v>53</v>
      </c>
      <c r="B1045" t="s">
        <v>17</v>
      </c>
      <c r="C1045" t="s">
        <v>18</v>
      </c>
      <c r="D1045">
        <v>2</v>
      </c>
      <c r="E1045">
        <v>3</v>
      </c>
      <c r="F1045" t="s">
        <v>21</v>
      </c>
      <c r="G1045">
        <v>4</v>
      </c>
      <c r="H1045">
        <v>2</v>
      </c>
      <c r="I1045" t="s">
        <v>16</v>
      </c>
      <c r="J1045">
        <v>16598</v>
      </c>
      <c r="K1045">
        <v>4</v>
      </c>
      <c r="L1045">
        <v>2</v>
      </c>
      <c r="M1045">
        <v>9</v>
      </c>
    </row>
    <row r="1046" spans="1:13">
      <c r="A1046">
        <v>49</v>
      </c>
      <c r="B1046" t="s">
        <v>17</v>
      </c>
      <c r="C1046" t="s">
        <v>18</v>
      </c>
      <c r="D1046">
        <v>5</v>
      </c>
      <c r="E1046">
        <v>4</v>
      </c>
      <c r="F1046" t="s">
        <v>24</v>
      </c>
      <c r="G1046">
        <v>1</v>
      </c>
      <c r="H1046">
        <v>3</v>
      </c>
      <c r="I1046" t="s">
        <v>19</v>
      </c>
      <c r="J1046">
        <v>6651</v>
      </c>
      <c r="K1046">
        <v>2</v>
      </c>
      <c r="L1046">
        <v>2</v>
      </c>
      <c r="M1046">
        <v>3</v>
      </c>
    </row>
    <row r="1047" spans="1:13">
      <c r="A1047">
        <v>40</v>
      </c>
      <c r="B1047" t="s">
        <v>17</v>
      </c>
      <c r="C1047" t="s">
        <v>18</v>
      </c>
      <c r="D1047">
        <v>2</v>
      </c>
      <c r="E1047">
        <v>3</v>
      </c>
      <c r="F1047" t="s">
        <v>21</v>
      </c>
      <c r="G1047">
        <v>3</v>
      </c>
      <c r="H1047">
        <v>3</v>
      </c>
      <c r="I1047" t="s">
        <v>22</v>
      </c>
      <c r="J1047">
        <v>2345</v>
      </c>
      <c r="K1047">
        <v>2</v>
      </c>
      <c r="L1047">
        <v>4</v>
      </c>
      <c r="M1047">
        <v>3</v>
      </c>
    </row>
    <row r="1048" spans="1:13">
      <c r="A1048">
        <v>44</v>
      </c>
      <c r="B1048" t="s">
        <v>17</v>
      </c>
      <c r="C1048" t="s">
        <v>18</v>
      </c>
      <c r="D1048">
        <v>20</v>
      </c>
      <c r="E1048">
        <v>3</v>
      </c>
      <c r="F1048" t="s">
        <v>15</v>
      </c>
      <c r="G1048">
        <v>4</v>
      </c>
      <c r="H1048">
        <v>2</v>
      </c>
      <c r="I1048" t="s">
        <v>16</v>
      </c>
      <c r="J1048">
        <v>3420</v>
      </c>
      <c r="K1048">
        <v>1</v>
      </c>
      <c r="L1048">
        <v>2</v>
      </c>
      <c r="M1048">
        <v>5</v>
      </c>
    </row>
    <row r="1049" spans="1:13">
      <c r="A1049">
        <v>33</v>
      </c>
      <c r="B1049" t="s">
        <v>17</v>
      </c>
      <c r="C1049" t="s">
        <v>14</v>
      </c>
      <c r="D1049">
        <v>7</v>
      </c>
      <c r="E1049">
        <v>3</v>
      </c>
      <c r="F1049" t="s">
        <v>21</v>
      </c>
      <c r="G1049">
        <v>4</v>
      </c>
      <c r="H1049">
        <v>1</v>
      </c>
      <c r="I1049" t="s">
        <v>19</v>
      </c>
      <c r="J1049">
        <v>4373</v>
      </c>
      <c r="K1049">
        <v>0</v>
      </c>
      <c r="L1049">
        <v>3</v>
      </c>
      <c r="M1049">
        <v>4</v>
      </c>
    </row>
    <row r="1050" spans="1:13">
      <c r="A1050">
        <v>34</v>
      </c>
      <c r="B1050" t="s">
        <v>17</v>
      </c>
      <c r="C1050" t="s">
        <v>14</v>
      </c>
      <c r="D1050">
        <v>3</v>
      </c>
      <c r="E1050">
        <v>3</v>
      </c>
      <c r="F1050" t="s">
        <v>20</v>
      </c>
      <c r="G1050">
        <v>4</v>
      </c>
      <c r="H1050">
        <v>1</v>
      </c>
      <c r="I1050" t="s">
        <v>16</v>
      </c>
      <c r="J1050">
        <v>4759</v>
      </c>
      <c r="K1050">
        <v>3</v>
      </c>
      <c r="L1050">
        <v>3</v>
      </c>
      <c r="M1050">
        <v>13</v>
      </c>
    </row>
    <row r="1051" spans="1:13">
      <c r="A1051">
        <v>30</v>
      </c>
      <c r="B1051" t="s">
        <v>17</v>
      </c>
      <c r="C1051" t="s">
        <v>14</v>
      </c>
      <c r="D1051">
        <v>16</v>
      </c>
      <c r="E1051">
        <v>1</v>
      </c>
      <c r="F1051" t="s">
        <v>15</v>
      </c>
      <c r="G1051">
        <v>4</v>
      </c>
      <c r="H1051">
        <v>3</v>
      </c>
      <c r="I1051" t="s">
        <v>19</v>
      </c>
      <c r="J1051">
        <v>5301</v>
      </c>
      <c r="K1051">
        <v>8</v>
      </c>
      <c r="L1051">
        <v>2</v>
      </c>
      <c r="M1051">
        <v>2</v>
      </c>
    </row>
    <row r="1052" spans="1:13">
      <c r="A1052">
        <v>42</v>
      </c>
      <c r="B1052" t="s">
        <v>17</v>
      </c>
      <c r="C1052" t="s">
        <v>18</v>
      </c>
      <c r="D1052">
        <v>9</v>
      </c>
      <c r="E1052">
        <v>2</v>
      </c>
      <c r="F1052" t="s">
        <v>21</v>
      </c>
      <c r="G1052">
        <v>1</v>
      </c>
      <c r="H1052">
        <v>4</v>
      </c>
      <c r="I1052" t="s">
        <v>16</v>
      </c>
      <c r="J1052">
        <v>3673</v>
      </c>
      <c r="K1052">
        <v>1</v>
      </c>
      <c r="L1052">
        <v>3</v>
      </c>
      <c r="M1052">
        <v>12</v>
      </c>
    </row>
    <row r="1053" spans="1:13">
      <c r="A1053">
        <v>44</v>
      </c>
      <c r="B1053" t="s">
        <v>17</v>
      </c>
      <c r="C1053" t="s">
        <v>14</v>
      </c>
      <c r="D1053">
        <v>1</v>
      </c>
      <c r="E1053">
        <v>5</v>
      </c>
      <c r="F1053" t="s">
        <v>23</v>
      </c>
      <c r="G1053">
        <v>1</v>
      </c>
      <c r="H1053">
        <v>3</v>
      </c>
      <c r="I1053" t="s">
        <v>19</v>
      </c>
      <c r="J1053">
        <v>4768</v>
      </c>
      <c r="K1053">
        <v>7</v>
      </c>
      <c r="L1053">
        <v>2</v>
      </c>
      <c r="M1053">
        <v>1</v>
      </c>
    </row>
    <row r="1054" spans="1:13">
      <c r="A1054">
        <v>30</v>
      </c>
      <c r="B1054" t="s">
        <v>17</v>
      </c>
      <c r="C1054" t="s">
        <v>18</v>
      </c>
      <c r="D1054">
        <v>7</v>
      </c>
      <c r="E1054">
        <v>3</v>
      </c>
      <c r="F1054" t="s">
        <v>24</v>
      </c>
      <c r="G1054">
        <v>3</v>
      </c>
      <c r="H1054">
        <v>3</v>
      </c>
      <c r="I1054" t="s">
        <v>22</v>
      </c>
      <c r="J1054">
        <v>1274</v>
      </c>
      <c r="K1054">
        <v>1</v>
      </c>
      <c r="L1054">
        <v>2</v>
      </c>
      <c r="M1054">
        <v>1</v>
      </c>
    </row>
    <row r="1055" spans="1:13">
      <c r="A1055">
        <v>57</v>
      </c>
      <c r="B1055" t="s">
        <v>17</v>
      </c>
      <c r="C1055" t="s">
        <v>18</v>
      </c>
      <c r="D1055">
        <v>1</v>
      </c>
      <c r="E1055">
        <v>2</v>
      </c>
      <c r="F1055" t="s">
        <v>15</v>
      </c>
      <c r="G1055">
        <v>2</v>
      </c>
      <c r="H1055">
        <v>3</v>
      </c>
      <c r="I1055" t="s">
        <v>19</v>
      </c>
      <c r="J1055">
        <v>4900</v>
      </c>
      <c r="K1055">
        <v>0</v>
      </c>
      <c r="L1055">
        <v>2</v>
      </c>
      <c r="M1055">
        <v>12</v>
      </c>
    </row>
    <row r="1056" spans="1:13">
      <c r="A1056">
        <v>49</v>
      </c>
      <c r="B1056" t="s">
        <v>17</v>
      </c>
      <c r="C1056" t="s">
        <v>18</v>
      </c>
      <c r="D1056">
        <v>7</v>
      </c>
      <c r="E1056">
        <v>4</v>
      </c>
      <c r="F1056" t="s">
        <v>15</v>
      </c>
      <c r="G1056">
        <v>3</v>
      </c>
      <c r="H1056">
        <v>2</v>
      </c>
      <c r="I1056" t="s">
        <v>22</v>
      </c>
      <c r="J1056">
        <v>10466</v>
      </c>
      <c r="K1056">
        <v>3</v>
      </c>
      <c r="L1056">
        <v>3</v>
      </c>
      <c r="M1056">
        <v>8</v>
      </c>
    </row>
    <row r="1057" spans="1:13">
      <c r="A1057">
        <v>34</v>
      </c>
      <c r="B1057" t="s">
        <v>17</v>
      </c>
      <c r="C1057" t="s">
        <v>18</v>
      </c>
      <c r="D1057">
        <v>15</v>
      </c>
      <c r="E1057">
        <v>3</v>
      </c>
      <c r="F1057" t="s">
        <v>21</v>
      </c>
      <c r="G1057">
        <v>2</v>
      </c>
      <c r="H1057">
        <v>1</v>
      </c>
      <c r="I1057" t="s">
        <v>22</v>
      </c>
      <c r="J1057">
        <v>17007</v>
      </c>
      <c r="K1057">
        <v>7</v>
      </c>
      <c r="L1057">
        <v>2</v>
      </c>
      <c r="M1057">
        <v>14</v>
      </c>
    </row>
    <row r="1058" spans="1:13">
      <c r="A1058">
        <v>28</v>
      </c>
      <c r="B1058" t="s">
        <v>13</v>
      </c>
      <c r="C1058" t="s">
        <v>14</v>
      </c>
      <c r="D1058">
        <v>1</v>
      </c>
      <c r="E1058">
        <v>3</v>
      </c>
      <c r="F1058" t="s">
        <v>24</v>
      </c>
      <c r="G1058">
        <v>1</v>
      </c>
      <c r="H1058">
        <v>3</v>
      </c>
      <c r="I1058" t="s">
        <v>19</v>
      </c>
      <c r="J1058">
        <v>2909</v>
      </c>
      <c r="K1058">
        <v>3</v>
      </c>
      <c r="L1058">
        <v>4</v>
      </c>
      <c r="M1058">
        <v>3</v>
      </c>
    </row>
    <row r="1059" spans="1:13">
      <c r="A1059">
        <v>29</v>
      </c>
      <c r="B1059" t="s">
        <v>13</v>
      </c>
      <c r="C1059" t="s">
        <v>14</v>
      </c>
      <c r="D1059">
        <v>13</v>
      </c>
      <c r="E1059">
        <v>3</v>
      </c>
      <c r="F1059" t="s">
        <v>24</v>
      </c>
      <c r="G1059">
        <v>1</v>
      </c>
      <c r="H1059">
        <v>2</v>
      </c>
      <c r="I1059" t="s">
        <v>16</v>
      </c>
      <c r="J1059">
        <v>5765</v>
      </c>
      <c r="K1059">
        <v>5</v>
      </c>
      <c r="L1059">
        <v>1</v>
      </c>
      <c r="M1059">
        <v>5</v>
      </c>
    </row>
    <row r="1060" spans="1:13">
      <c r="A1060">
        <v>34</v>
      </c>
      <c r="B1060" t="s">
        <v>13</v>
      </c>
      <c r="C1060" t="s">
        <v>14</v>
      </c>
      <c r="D1060">
        <v>24</v>
      </c>
      <c r="E1060">
        <v>4</v>
      </c>
      <c r="F1060" t="s">
        <v>21</v>
      </c>
      <c r="G1060">
        <v>1</v>
      </c>
      <c r="H1060">
        <v>2</v>
      </c>
      <c r="I1060" t="s">
        <v>16</v>
      </c>
      <c r="J1060">
        <v>4599</v>
      </c>
      <c r="K1060">
        <v>0</v>
      </c>
      <c r="L1060">
        <v>4</v>
      </c>
      <c r="M1060">
        <v>15</v>
      </c>
    </row>
    <row r="1061" spans="1:13">
      <c r="A1061">
        <v>35</v>
      </c>
      <c r="B1061" t="s">
        <v>17</v>
      </c>
      <c r="C1061" t="s">
        <v>14</v>
      </c>
      <c r="D1061">
        <v>7</v>
      </c>
      <c r="E1061">
        <v>1</v>
      </c>
      <c r="F1061" t="s">
        <v>15</v>
      </c>
      <c r="G1061">
        <v>4</v>
      </c>
      <c r="H1061">
        <v>3</v>
      </c>
      <c r="I1061" t="s">
        <v>19</v>
      </c>
      <c r="J1061">
        <v>2404</v>
      </c>
      <c r="K1061">
        <v>1</v>
      </c>
      <c r="L1061">
        <v>3</v>
      </c>
      <c r="M1061">
        <v>1</v>
      </c>
    </row>
    <row r="1062" spans="1:13">
      <c r="A1062">
        <v>24</v>
      </c>
      <c r="B1062" t="s">
        <v>13</v>
      </c>
      <c r="C1062" t="s">
        <v>18</v>
      </c>
      <c r="D1062">
        <v>9</v>
      </c>
      <c r="E1062">
        <v>3</v>
      </c>
      <c r="F1062" t="s">
        <v>21</v>
      </c>
      <c r="G1062">
        <v>2</v>
      </c>
      <c r="H1062">
        <v>1</v>
      </c>
      <c r="I1062" t="s">
        <v>16</v>
      </c>
      <c r="J1062">
        <v>3172</v>
      </c>
      <c r="K1062">
        <v>2</v>
      </c>
      <c r="L1062">
        <v>2</v>
      </c>
      <c r="M1062">
        <v>0</v>
      </c>
    </row>
    <row r="1063" spans="1:13">
      <c r="A1063">
        <v>24</v>
      </c>
      <c r="B1063" t="s">
        <v>17</v>
      </c>
      <c r="C1063" t="s">
        <v>14</v>
      </c>
      <c r="D1063">
        <v>13</v>
      </c>
      <c r="E1063">
        <v>2</v>
      </c>
      <c r="F1063" t="s">
        <v>15</v>
      </c>
      <c r="G1063">
        <v>4</v>
      </c>
      <c r="H1063">
        <v>2</v>
      </c>
      <c r="I1063" t="s">
        <v>19</v>
      </c>
      <c r="J1063">
        <v>2033</v>
      </c>
      <c r="K1063">
        <v>1</v>
      </c>
      <c r="L1063">
        <v>3</v>
      </c>
      <c r="M1063">
        <v>1</v>
      </c>
    </row>
    <row r="1064" spans="1:13">
      <c r="A1064">
        <v>44</v>
      </c>
      <c r="B1064" t="s">
        <v>17</v>
      </c>
      <c r="C1064" t="s">
        <v>18</v>
      </c>
      <c r="D1064">
        <v>2</v>
      </c>
      <c r="E1064">
        <v>1</v>
      </c>
      <c r="F1064" t="s">
        <v>21</v>
      </c>
      <c r="G1064">
        <v>2</v>
      </c>
      <c r="H1064">
        <v>3</v>
      </c>
      <c r="I1064" t="s">
        <v>16</v>
      </c>
      <c r="J1064">
        <v>10209</v>
      </c>
      <c r="K1064">
        <v>5</v>
      </c>
      <c r="L1064">
        <v>2</v>
      </c>
      <c r="M1064">
        <v>2</v>
      </c>
    </row>
    <row r="1065" spans="1:13">
      <c r="A1065">
        <v>29</v>
      </c>
      <c r="B1065" t="s">
        <v>17</v>
      </c>
      <c r="C1065" t="s">
        <v>14</v>
      </c>
      <c r="D1065">
        <v>19</v>
      </c>
      <c r="E1065">
        <v>3</v>
      </c>
      <c r="F1065" t="s">
        <v>15</v>
      </c>
      <c r="G1065">
        <v>3</v>
      </c>
      <c r="H1065">
        <v>3</v>
      </c>
      <c r="I1065" t="s">
        <v>22</v>
      </c>
      <c r="J1065">
        <v>8620</v>
      </c>
      <c r="K1065">
        <v>1</v>
      </c>
      <c r="L1065">
        <v>3</v>
      </c>
      <c r="M1065">
        <v>10</v>
      </c>
    </row>
    <row r="1066" spans="1:13">
      <c r="A1066">
        <v>30</v>
      </c>
      <c r="B1066" t="s">
        <v>17</v>
      </c>
      <c r="C1066" t="s">
        <v>25</v>
      </c>
      <c r="D1066">
        <v>1</v>
      </c>
      <c r="E1066">
        <v>3</v>
      </c>
      <c r="F1066" t="s">
        <v>15</v>
      </c>
      <c r="G1066">
        <v>3</v>
      </c>
      <c r="H1066">
        <v>3</v>
      </c>
      <c r="I1066" t="s">
        <v>22</v>
      </c>
      <c r="J1066">
        <v>2064</v>
      </c>
      <c r="K1066">
        <v>0</v>
      </c>
      <c r="L1066">
        <v>4</v>
      </c>
      <c r="M1066">
        <v>5</v>
      </c>
    </row>
    <row r="1067" spans="1:13">
      <c r="A1067">
        <v>55</v>
      </c>
      <c r="B1067" t="s">
        <v>17</v>
      </c>
      <c r="C1067" t="s">
        <v>18</v>
      </c>
      <c r="D1067">
        <v>4</v>
      </c>
      <c r="E1067">
        <v>4</v>
      </c>
      <c r="F1067" t="s">
        <v>15</v>
      </c>
      <c r="G1067">
        <v>4</v>
      </c>
      <c r="H1067">
        <v>3</v>
      </c>
      <c r="I1067" t="s">
        <v>19</v>
      </c>
      <c r="J1067">
        <v>4035</v>
      </c>
      <c r="K1067">
        <v>0</v>
      </c>
      <c r="L1067">
        <v>3</v>
      </c>
      <c r="M1067">
        <v>3</v>
      </c>
    </row>
    <row r="1068" spans="1:13">
      <c r="A1068">
        <v>33</v>
      </c>
      <c r="B1068" t="s">
        <v>17</v>
      </c>
      <c r="C1068" t="s">
        <v>18</v>
      </c>
      <c r="D1068">
        <v>4</v>
      </c>
      <c r="E1068">
        <v>4</v>
      </c>
      <c r="F1068" t="s">
        <v>21</v>
      </c>
      <c r="G1068">
        <v>1</v>
      </c>
      <c r="H1068">
        <v>2</v>
      </c>
      <c r="I1068" t="s">
        <v>19</v>
      </c>
      <c r="J1068">
        <v>3838</v>
      </c>
      <c r="K1068">
        <v>8</v>
      </c>
      <c r="L1068">
        <v>3</v>
      </c>
      <c r="M1068">
        <v>5</v>
      </c>
    </row>
    <row r="1069" spans="1:13">
      <c r="A1069">
        <v>47</v>
      </c>
      <c r="B1069" t="s">
        <v>17</v>
      </c>
      <c r="C1069" t="s">
        <v>14</v>
      </c>
      <c r="D1069">
        <v>14</v>
      </c>
      <c r="E1069">
        <v>3</v>
      </c>
      <c r="F1069" t="s">
        <v>21</v>
      </c>
      <c r="G1069">
        <v>3</v>
      </c>
      <c r="H1069">
        <v>3</v>
      </c>
      <c r="I1069" t="s">
        <v>19</v>
      </c>
      <c r="J1069">
        <v>4591</v>
      </c>
      <c r="K1069">
        <v>3</v>
      </c>
      <c r="L1069">
        <v>2</v>
      </c>
      <c r="M1069">
        <v>5</v>
      </c>
    </row>
    <row r="1070" spans="1:13">
      <c r="A1070">
        <v>28</v>
      </c>
      <c r="B1070" t="s">
        <v>13</v>
      </c>
      <c r="C1070" t="s">
        <v>18</v>
      </c>
      <c r="D1070">
        <v>2</v>
      </c>
      <c r="E1070">
        <v>2</v>
      </c>
      <c r="F1070" t="s">
        <v>21</v>
      </c>
      <c r="G1070">
        <v>3</v>
      </c>
      <c r="H1070">
        <v>1</v>
      </c>
      <c r="I1070" t="s">
        <v>16</v>
      </c>
      <c r="J1070">
        <v>2561</v>
      </c>
      <c r="K1070">
        <v>7</v>
      </c>
      <c r="L1070">
        <v>2</v>
      </c>
      <c r="M1070">
        <v>0</v>
      </c>
    </row>
    <row r="1071" spans="1:13">
      <c r="A1071">
        <v>28</v>
      </c>
      <c r="B1071" t="s">
        <v>17</v>
      </c>
      <c r="C1071" t="s">
        <v>18</v>
      </c>
      <c r="D1071">
        <v>1</v>
      </c>
      <c r="E1071">
        <v>3</v>
      </c>
      <c r="F1071" t="s">
        <v>15</v>
      </c>
      <c r="G1071">
        <v>1</v>
      </c>
      <c r="H1071">
        <v>3</v>
      </c>
      <c r="I1071" t="s">
        <v>22</v>
      </c>
      <c r="J1071">
        <v>1563</v>
      </c>
      <c r="K1071">
        <v>1</v>
      </c>
      <c r="L1071">
        <v>1</v>
      </c>
      <c r="M1071">
        <v>1</v>
      </c>
    </row>
    <row r="1072" spans="1:13">
      <c r="A1072">
        <v>28</v>
      </c>
      <c r="B1072" t="s">
        <v>17</v>
      </c>
      <c r="C1072" t="s">
        <v>14</v>
      </c>
      <c r="D1072">
        <v>7</v>
      </c>
      <c r="E1072">
        <v>3</v>
      </c>
      <c r="F1072" t="s">
        <v>15</v>
      </c>
      <c r="G1072">
        <v>3</v>
      </c>
      <c r="H1072">
        <v>1</v>
      </c>
      <c r="I1072" t="s">
        <v>16</v>
      </c>
      <c r="J1072">
        <v>4898</v>
      </c>
      <c r="K1072">
        <v>0</v>
      </c>
      <c r="L1072">
        <v>3</v>
      </c>
      <c r="M1072">
        <v>4</v>
      </c>
    </row>
    <row r="1073" spans="1:13">
      <c r="A1073">
        <v>49</v>
      </c>
      <c r="B1073" t="s">
        <v>17</v>
      </c>
      <c r="C1073" t="s">
        <v>18</v>
      </c>
      <c r="D1073">
        <v>3</v>
      </c>
      <c r="E1073">
        <v>2</v>
      </c>
      <c r="F1073" t="s">
        <v>21</v>
      </c>
      <c r="G1073">
        <v>3</v>
      </c>
      <c r="H1073">
        <v>1</v>
      </c>
      <c r="I1073" t="s">
        <v>19</v>
      </c>
      <c r="J1073">
        <v>4789</v>
      </c>
      <c r="K1073">
        <v>4</v>
      </c>
      <c r="L1073">
        <v>3</v>
      </c>
      <c r="M1073">
        <v>3</v>
      </c>
    </row>
    <row r="1074" spans="1:13">
      <c r="A1074">
        <v>29</v>
      </c>
      <c r="B1074" t="s">
        <v>17</v>
      </c>
      <c r="C1074" t="s">
        <v>18</v>
      </c>
      <c r="D1074">
        <v>2</v>
      </c>
      <c r="E1074">
        <v>1</v>
      </c>
      <c r="F1074" t="s">
        <v>15</v>
      </c>
      <c r="G1074">
        <v>4</v>
      </c>
      <c r="H1074">
        <v>2</v>
      </c>
      <c r="I1074" t="s">
        <v>19</v>
      </c>
      <c r="J1074">
        <v>3180</v>
      </c>
      <c r="K1074">
        <v>0</v>
      </c>
      <c r="L1074">
        <v>3</v>
      </c>
      <c r="M1074">
        <v>3</v>
      </c>
    </row>
    <row r="1075" spans="1:13">
      <c r="A1075">
        <v>28</v>
      </c>
      <c r="B1075" t="s">
        <v>17</v>
      </c>
      <c r="C1075" t="s">
        <v>18</v>
      </c>
      <c r="D1075">
        <v>29</v>
      </c>
      <c r="E1075">
        <v>1</v>
      </c>
      <c r="F1075" t="s">
        <v>15</v>
      </c>
      <c r="G1075">
        <v>3</v>
      </c>
      <c r="H1075">
        <v>2</v>
      </c>
      <c r="I1075" t="s">
        <v>19</v>
      </c>
      <c r="J1075">
        <v>6549</v>
      </c>
      <c r="K1075">
        <v>1</v>
      </c>
      <c r="L1075">
        <v>2</v>
      </c>
      <c r="M1075">
        <v>8</v>
      </c>
    </row>
    <row r="1076" spans="1:13">
      <c r="A1076">
        <v>33</v>
      </c>
      <c r="B1076" t="s">
        <v>17</v>
      </c>
      <c r="C1076" t="s">
        <v>18</v>
      </c>
      <c r="D1076">
        <v>8</v>
      </c>
      <c r="E1076">
        <v>5</v>
      </c>
      <c r="F1076" t="s">
        <v>15</v>
      </c>
      <c r="G1076">
        <v>4</v>
      </c>
      <c r="H1076">
        <v>3</v>
      </c>
      <c r="I1076" t="s">
        <v>16</v>
      </c>
      <c r="J1076">
        <v>6388</v>
      </c>
      <c r="K1076">
        <v>2</v>
      </c>
      <c r="L1076">
        <v>3</v>
      </c>
      <c r="M1076">
        <v>0</v>
      </c>
    </row>
    <row r="1077" spans="1:13">
      <c r="A1077">
        <v>32</v>
      </c>
      <c r="B1077" t="s">
        <v>17</v>
      </c>
      <c r="C1077" t="s">
        <v>18</v>
      </c>
      <c r="D1077">
        <v>10</v>
      </c>
      <c r="E1077">
        <v>3</v>
      </c>
      <c r="F1077" t="s">
        <v>21</v>
      </c>
      <c r="G1077">
        <v>3</v>
      </c>
      <c r="H1077">
        <v>4</v>
      </c>
      <c r="I1077" t="s">
        <v>16</v>
      </c>
      <c r="J1077">
        <v>11244</v>
      </c>
      <c r="K1077">
        <v>2</v>
      </c>
      <c r="L1077">
        <v>4</v>
      </c>
      <c r="M1077">
        <v>5</v>
      </c>
    </row>
    <row r="1078" spans="1:13">
      <c r="A1078">
        <v>54</v>
      </c>
      <c r="B1078" t="s">
        <v>17</v>
      </c>
      <c r="C1078" t="s">
        <v>18</v>
      </c>
      <c r="D1078">
        <v>11</v>
      </c>
      <c r="E1078">
        <v>4</v>
      </c>
      <c r="F1078" t="s">
        <v>21</v>
      </c>
      <c r="G1078">
        <v>2</v>
      </c>
      <c r="H1078">
        <v>4</v>
      </c>
      <c r="I1078" t="s">
        <v>22</v>
      </c>
      <c r="J1078">
        <v>16032</v>
      </c>
      <c r="K1078">
        <v>3</v>
      </c>
      <c r="L1078">
        <v>3</v>
      </c>
      <c r="M1078">
        <v>14</v>
      </c>
    </row>
    <row r="1079" spans="1:13">
      <c r="A1079">
        <v>29</v>
      </c>
      <c r="B1079" t="s">
        <v>13</v>
      </c>
      <c r="C1079" t="s">
        <v>18</v>
      </c>
      <c r="D1079">
        <v>1</v>
      </c>
      <c r="E1079">
        <v>4</v>
      </c>
      <c r="F1079" t="s">
        <v>24</v>
      </c>
      <c r="G1079">
        <v>1</v>
      </c>
      <c r="H1079">
        <v>1</v>
      </c>
      <c r="I1079" t="s">
        <v>16</v>
      </c>
      <c r="J1079">
        <v>2362</v>
      </c>
      <c r="K1079">
        <v>6</v>
      </c>
      <c r="L1079">
        <v>1</v>
      </c>
      <c r="M1079">
        <v>9</v>
      </c>
    </row>
    <row r="1080" spans="1:13">
      <c r="A1080">
        <v>44</v>
      </c>
      <c r="B1080" t="s">
        <v>17</v>
      </c>
      <c r="C1080" t="s">
        <v>18</v>
      </c>
      <c r="D1080">
        <v>28</v>
      </c>
      <c r="E1080">
        <v>3</v>
      </c>
      <c r="F1080" t="s">
        <v>15</v>
      </c>
      <c r="G1080">
        <v>4</v>
      </c>
      <c r="H1080">
        <v>1</v>
      </c>
      <c r="I1080" t="s">
        <v>19</v>
      </c>
      <c r="J1080">
        <v>16328</v>
      </c>
      <c r="K1080">
        <v>3</v>
      </c>
      <c r="L1080">
        <v>4</v>
      </c>
      <c r="M1080">
        <v>20</v>
      </c>
    </row>
    <row r="1081" spans="1:13">
      <c r="A1081">
        <v>39</v>
      </c>
      <c r="B1081" t="s">
        <v>17</v>
      </c>
      <c r="C1081" t="s">
        <v>18</v>
      </c>
      <c r="D1081">
        <v>6</v>
      </c>
      <c r="E1081">
        <v>3</v>
      </c>
      <c r="F1081" t="s">
        <v>15</v>
      </c>
      <c r="G1081">
        <v>2</v>
      </c>
      <c r="H1081">
        <v>2</v>
      </c>
      <c r="I1081" t="s">
        <v>16</v>
      </c>
      <c r="J1081">
        <v>8376</v>
      </c>
      <c r="K1081">
        <v>4</v>
      </c>
      <c r="L1081">
        <v>3</v>
      </c>
      <c r="M1081">
        <v>2</v>
      </c>
    </row>
    <row r="1082" spans="1:13">
      <c r="A1082">
        <v>46</v>
      </c>
      <c r="B1082" t="s">
        <v>17</v>
      </c>
      <c r="C1082" t="s">
        <v>14</v>
      </c>
      <c r="D1082">
        <v>3</v>
      </c>
      <c r="E1082">
        <v>3</v>
      </c>
      <c r="F1082" t="s">
        <v>15</v>
      </c>
      <c r="G1082">
        <v>3</v>
      </c>
      <c r="H1082">
        <v>2</v>
      </c>
      <c r="I1082" t="s">
        <v>19</v>
      </c>
      <c r="J1082">
        <v>16606</v>
      </c>
      <c r="K1082">
        <v>8</v>
      </c>
      <c r="L1082">
        <v>4</v>
      </c>
      <c r="M1082">
        <v>13</v>
      </c>
    </row>
    <row r="1083" spans="1:13">
      <c r="A1083">
        <v>35</v>
      </c>
      <c r="B1083" t="s">
        <v>17</v>
      </c>
      <c r="C1083" t="s">
        <v>18</v>
      </c>
      <c r="D1083">
        <v>16</v>
      </c>
      <c r="E1083">
        <v>3</v>
      </c>
      <c r="F1083" t="s">
        <v>15</v>
      </c>
      <c r="G1083">
        <v>4</v>
      </c>
      <c r="H1083">
        <v>2</v>
      </c>
      <c r="I1083" t="s">
        <v>16</v>
      </c>
      <c r="J1083">
        <v>8606</v>
      </c>
      <c r="K1083">
        <v>1</v>
      </c>
      <c r="L1083">
        <v>1</v>
      </c>
      <c r="M1083">
        <v>11</v>
      </c>
    </row>
    <row r="1084" spans="1:13">
      <c r="A1084">
        <v>23</v>
      </c>
      <c r="B1084" t="s">
        <v>17</v>
      </c>
      <c r="C1084" t="s">
        <v>18</v>
      </c>
      <c r="D1084">
        <v>20</v>
      </c>
      <c r="E1084">
        <v>1</v>
      </c>
      <c r="F1084" t="s">
        <v>15</v>
      </c>
      <c r="G1084">
        <v>1</v>
      </c>
      <c r="H1084">
        <v>3</v>
      </c>
      <c r="I1084" t="s">
        <v>16</v>
      </c>
      <c r="J1084">
        <v>2272</v>
      </c>
      <c r="K1084">
        <v>0</v>
      </c>
      <c r="L1084">
        <v>3</v>
      </c>
      <c r="M1084">
        <v>4</v>
      </c>
    </row>
    <row r="1085" spans="1:13">
      <c r="A1085">
        <v>40</v>
      </c>
      <c r="B1085" t="s">
        <v>13</v>
      </c>
      <c r="C1085" t="s">
        <v>18</v>
      </c>
      <c r="D1085">
        <v>9</v>
      </c>
      <c r="E1085">
        <v>4</v>
      </c>
      <c r="F1085" t="s">
        <v>15</v>
      </c>
      <c r="G1085">
        <v>4</v>
      </c>
      <c r="H1085">
        <v>1</v>
      </c>
      <c r="I1085" t="s">
        <v>16</v>
      </c>
      <c r="J1085">
        <v>2018</v>
      </c>
      <c r="K1085">
        <v>3</v>
      </c>
      <c r="L1085">
        <v>1</v>
      </c>
      <c r="M1085">
        <v>5</v>
      </c>
    </row>
    <row r="1086" spans="1:13">
      <c r="A1086">
        <v>34</v>
      </c>
      <c r="B1086" t="s">
        <v>17</v>
      </c>
      <c r="C1086" t="s">
        <v>14</v>
      </c>
      <c r="D1086">
        <v>1</v>
      </c>
      <c r="E1086">
        <v>3</v>
      </c>
      <c r="F1086" t="s">
        <v>24</v>
      </c>
      <c r="G1086">
        <v>4</v>
      </c>
      <c r="H1086">
        <v>3</v>
      </c>
      <c r="I1086" t="s">
        <v>19</v>
      </c>
      <c r="J1086">
        <v>7083</v>
      </c>
      <c r="K1086">
        <v>1</v>
      </c>
      <c r="L1086">
        <v>3</v>
      </c>
      <c r="M1086">
        <v>10</v>
      </c>
    </row>
    <row r="1087" spans="1:13">
      <c r="A1087">
        <v>31</v>
      </c>
      <c r="B1087" t="s">
        <v>13</v>
      </c>
      <c r="C1087" t="s">
        <v>18</v>
      </c>
      <c r="D1087">
        <v>3</v>
      </c>
      <c r="E1087">
        <v>3</v>
      </c>
      <c r="F1087" t="s">
        <v>15</v>
      </c>
      <c r="G1087">
        <v>4</v>
      </c>
      <c r="H1087">
        <v>3</v>
      </c>
      <c r="I1087" t="s">
        <v>16</v>
      </c>
      <c r="J1087">
        <v>4084</v>
      </c>
      <c r="K1087">
        <v>1</v>
      </c>
      <c r="L1087">
        <v>1</v>
      </c>
      <c r="M1087">
        <v>7</v>
      </c>
    </row>
    <row r="1088" spans="1:13">
      <c r="A1088">
        <v>50</v>
      </c>
      <c r="B1088" t="s">
        <v>17</v>
      </c>
      <c r="C1088" t="s">
        <v>18</v>
      </c>
      <c r="D1088">
        <v>22</v>
      </c>
      <c r="E1088">
        <v>5</v>
      </c>
      <c r="F1088" t="s">
        <v>21</v>
      </c>
      <c r="G1088">
        <v>3</v>
      </c>
      <c r="H1088">
        <v>4</v>
      </c>
      <c r="I1088" t="s">
        <v>16</v>
      </c>
      <c r="J1088">
        <v>14411</v>
      </c>
      <c r="K1088">
        <v>1</v>
      </c>
      <c r="L1088">
        <v>3</v>
      </c>
      <c r="M1088">
        <v>32</v>
      </c>
    </row>
    <row r="1089" spans="1:13">
      <c r="A1089">
        <v>34</v>
      </c>
      <c r="B1089" t="s">
        <v>17</v>
      </c>
      <c r="C1089" t="s">
        <v>14</v>
      </c>
      <c r="D1089">
        <v>7</v>
      </c>
      <c r="E1089">
        <v>2</v>
      </c>
      <c r="F1089" t="s">
        <v>24</v>
      </c>
      <c r="G1089">
        <v>2</v>
      </c>
      <c r="H1089">
        <v>3</v>
      </c>
      <c r="I1089" t="s">
        <v>19</v>
      </c>
      <c r="J1089">
        <v>2308</v>
      </c>
      <c r="K1089">
        <v>0</v>
      </c>
      <c r="L1089">
        <v>3</v>
      </c>
      <c r="M1089">
        <v>11</v>
      </c>
    </row>
    <row r="1090" spans="1:13">
      <c r="A1090">
        <v>42</v>
      </c>
      <c r="B1090" t="s">
        <v>17</v>
      </c>
      <c r="C1090" t="s">
        <v>18</v>
      </c>
      <c r="D1090">
        <v>2</v>
      </c>
      <c r="E1090">
        <v>3</v>
      </c>
      <c r="F1090" t="s">
        <v>21</v>
      </c>
      <c r="G1090">
        <v>3</v>
      </c>
      <c r="H1090">
        <v>2</v>
      </c>
      <c r="I1090" t="s">
        <v>19</v>
      </c>
      <c r="J1090">
        <v>4841</v>
      </c>
      <c r="K1090">
        <v>4</v>
      </c>
      <c r="L1090">
        <v>3</v>
      </c>
      <c r="M1090">
        <v>1</v>
      </c>
    </row>
    <row r="1091" spans="1:13">
      <c r="A1091">
        <v>37</v>
      </c>
      <c r="B1091" t="s">
        <v>17</v>
      </c>
      <c r="C1091" t="s">
        <v>18</v>
      </c>
      <c r="D1091">
        <v>13</v>
      </c>
      <c r="E1091">
        <v>3</v>
      </c>
      <c r="F1091" t="s">
        <v>21</v>
      </c>
      <c r="G1091">
        <v>1</v>
      </c>
      <c r="H1091">
        <v>4</v>
      </c>
      <c r="I1091" t="s">
        <v>19</v>
      </c>
      <c r="J1091">
        <v>4285</v>
      </c>
      <c r="K1091">
        <v>1</v>
      </c>
      <c r="L1091">
        <v>3</v>
      </c>
      <c r="M1091">
        <v>10</v>
      </c>
    </row>
    <row r="1092" spans="1:13">
      <c r="A1092">
        <v>29</v>
      </c>
      <c r="B1092" t="s">
        <v>17</v>
      </c>
      <c r="C1092" t="s">
        <v>18</v>
      </c>
      <c r="D1092">
        <v>8</v>
      </c>
      <c r="E1092">
        <v>1</v>
      </c>
      <c r="F1092" t="s">
        <v>20</v>
      </c>
      <c r="G1092">
        <v>3</v>
      </c>
      <c r="H1092">
        <v>1</v>
      </c>
      <c r="I1092" t="s">
        <v>19</v>
      </c>
      <c r="J1092">
        <v>9715</v>
      </c>
      <c r="K1092">
        <v>3</v>
      </c>
      <c r="L1092">
        <v>3</v>
      </c>
      <c r="M1092">
        <v>7</v>
      </c>
    </row>
    <row r="1093" spans="1:13">
      <c r="A1093">
        <v>33</v>
      </c>
      <c r="B1093" t="s">
        <v>17</v>
      </c>
      <c r="C1093" t="s">
        <v>18</v>
      </c>
      <c r="D1093">
        <v>25</v>
      </c>
      <c r="E1093">
        <v>3</v>
      </c>
      <c r="F1093" t="s">
        <v>15</v>
      </c>
      <c r="G1093">
        <v>4</v>
      </c>
      <c r="H1093">
        <v>2</v>
      </c>
      <c r="I1093" t="s">
        <v>16</v>
      </c>
      <c r="J1093">
        <v>4320</v>
      </c>
      <c r="K1093">
        <v>1</v>
      </c>
      <c r="L1093">
        <v>3</v>
      </c>
      <c r="M1093">
        <v>5</v>
      </c>
    </row>
    <row r="1094" spans="1:13">
      <c r="A1094">
        <v>45</v>
      </c>
      <c r="B1094" t="s">
        <v>17</v>
      </c>
      <c r="C1094" t="s">
        <v>18</v>
      </c>
      <c r="D1094">
        <v>28</v>
      </c>
      <c r="E1094">
        <v>3</v>
      </c>
      <c r="F1094" t="s">
        <v>24</v>
      </c>
      <c r="G1094">
        <v>4</v>
      </c>
      <c r="H1094">
        <v>4</v>
      </c>
      <c r="I1094" t="s">
        <v>19</v>
      </c>
      <c r="J1094">
        <v>2132</v>
      </c>
      <c r="K1094">
        <v>4</v>
      </c>
      <c r="L1094">
        <v>3</v>
      </c>
      <c r="M1094">
        <v>5</v>
      </c>
    </row>
    <row r="1095" spans="1:13">
      <c r="A1095">
        <v>42</v>
      </c>
      <c r="B1095" t="s">
        <v>17</v>
      </c>
      <c r="C1095" t="s">
        <v>18</v>
      </c>
      <c r="D1095">
        <v>2</v>
      </c>
      <c r="E1095">
        <v>3</v>
      </c>
      <c r="F1095" t="s">
        <v>15</v>
      </c>
      <c r="G1095">
        <v>4</v>
      </c>
      <c r="H1095">
        <v>4</v>
      </c>
      <c r="I1095" t="s">
        <v>19</v>
      </c>
      <c r="J1095">
        <v>10124</v>
      </c>
      <c r="K1095">
        <v>2</v>
      </c>
      <c r="L1095">
        <v>1</v>
      </c>
      <c r="M1095">
        <v>20</v>
      </c>
    </row>
    <row r="1096" spans="1:13">
      <c r="A1096">
        <v>40</v>
      </c>
      <c r="B1096" t="s">
        <v>17</v>
      </c>
      <c r="C1096" t="s">
        <v>14</v>
      </c>
      <c r="D1096">
        <v>9</v>
      </c>
      <c r="E1096">
        <v>2</v>
      </c>
      <c r="F1096" t="s">
        <v>21</v>
      </c>
      <c r="G1096">
        <v>1</v>
      </c>
      <c r="H1096">
        <v>1</v>
      </c>
      <c r="I1096" t="s">
        <v>19</v>
      </c>
      <c r="J1096">
        <v>5473</v>
      </c>
      <c r="K1096">
        <v>0</v>
      </c>
      <c r="L1096">
        <v>4</v>
      </c>
      <c r="M1096">
        <v>8</v>
      </c>
    </row>
    <row r="1097" spans="1:13">
      <c r="A1097">
        <v>33</v>
      </c>
      <c r="B1097" t="s">
        <v>17</v>
      </c>
      <c r="C1097" t="s">
        <v>18</v>
      </c>
      <c r="D1097">
        <v>28</v>
      </c>
      <c r="E1097">
        <v>4</v>
      </c>
      <c r="F1097" t="s">
        <v>15</v>
      </c>
      <c r="G1097">
        <v>2</v>
      </c>
      <c r="H1097">
        <v>3</v>
      </c>
      <c r="I1097" t="s">
        <v>19</v>
      </c>
      <c r="J1097">
        <v>5207</v>
      </c>
      <c r="K1097">
        <v>1</v>
      </c>
      <c r="L1097">
        <v>3</v>
      </c>
      <c r="M1097">
        <v>15</v>
      </c>
    </row>
    <row r="1098" spans="1:13">
      <c r="A1098">
        <v>40</v>
      </c>
      <c r="B1098" t="s">
        <v>17</v>
      </c>
      <c r="C1098" t="s">
        <v>25</v>
      </c>
      <c r="D1098">
        <v>6</v>
      </c>
      <c r="E1098">
        <v>2</v>
      </c>
      <c r="F1098" t="s">
        <v>21</v>
      </c>
      <c r="G1098">
        <v>3</v>
      </c>
      <c r="H1098">
        <v>4</v>
      </c>
      <c r="I1098" t="s">
        <v>16</v>
      </c>
      <c r="J1098">
        <v>16437</v>
      </c>
      <c r="K1098">
        <v>1</v>
      </c>
      <c r="L1098">
        <v>3</v>
      </c>
      <c r="M1098">
        <v>21</v>
      </c>
    </row>
    <row r="1099" spans="1:13">
      <c r="A1099">
        <v>24</v>
      </c>
      <c r="B1099" t="s">
        <v>17</v>
      </c>
      <c r="C1099" t="s">
        <v>18</v>
      </c>
      <c r="D1099">
        <v>21</v>
      </c>
      <c r="E1099">
        <v>2</v>
      </c>
      <c r="F1099" t="s">
        <v>24</v>
      </c>
      <c r="G1099">
        <v>3</v>
      </c>
      <c r="H1099">
        <v>1</v>
      </c>
      <c r="I1099" t="s">
        <v>22</v>
      </c>
      <c r="J1099">
        <v>2296</v>
      </c>
      <c r="K1099">
        <v>0</v>
      </c>
      <c r="L1099">
        <v>3</v>
      </c>
      <c r="M1099">
        <v>1</v>
      </c>
    </row>
    <row r="1100" spans="1:13">
      <c r="A1100">
        <v>40</v>
      </c>
      <c r="B1100" t="s">
        <v>17</v>
      </c>
      <c r="C1100" t="s">
        <v>18</v>
      </c>
      <c r="D1100">
        <v>8</v>
      </c>
      <c r="E1100">
        <v>2</v>
      </c>
      <c r="F1100" t="s">
        <v>15</v>
      </c>
      <c r="G1100">
        <v>4</v>
      </c>
      <c r="H1100">
        <v>4</v>
      </c>
      <c r="I1100" t="s">
        <v>22</v>
      </c>
      <c r="J1100">
        <v>4069</v>
      </c>
      <c r="K1100">
        <v>3</v>
      </c>
      <c r="L1100">
        <v>3</v>
      </c>
      <c r="M1100">
        <v>2</v>
      </c>
    </row>
    <row r="1101" spans="1:13">
      <c r="A1101">
        <v>45</v>
      </c>
      <c r="B1101" t="s">
        <v>17</v>
      </c>
      <c r="C1101" t="s">
        <v>18</v>
      </c>
      <c r="D1101">
        <v>1</v>
      </c>
      <c r="E1101">
        <v>4</v>
      </c>
      <c r="F1101" t="s">
        <v>24</v>
      </c>
      <c r="G1101">
        <v>1</v>
      </c>
      <c r="H1101">
        <v>2</v>
      </c>
      <c r="I1101" t="s">
        <v>22</v>
      </c>
      <c r="J1101">
        <v>7441</v>
      </c>
      <c r="K1101">
        <v>1</v>
      </c>
      <c r="L1101">
        <v>3</v>
      </c>
      <c r="M1101">
        <v>10</v>
      </c>
    </row>
    <row r="1102" spans="1:13">
      <c r="A1102">
        <v>35</v>
      </c>
      <c r="B1102" t="s">
        <v>17</v>
      </c>
      <c r="C1102" t="s">
        <v>14</v>
      </c>
      <c r="D1102">
        <v>28</v>
      </c>
      <c r="E1102">
        <v>4</v>
      </c>
      <c r="F1102" t="s">
        <v>15</v>
      </c>
      <c r="G1102">
        <v>2</v>
      </c>
      <c r="H1102">
        <v>3</v>
      </c>
      <c r="I1102" t="s">
        <v>19</v>
      </c>
      <c r="J1102">
        <v>2430</v>
      </c>
      <c r="K1102">
        <v>0</v>
      </c>
      <c r="L1102">
        <v>3</v>
      </c>
      <c r="M1102">
        <v>5</v>
      </c>
    </row>
    <row r="1103" spans="1:13">
      <c r="A1103">
        <v>32</v>
      </c>
      <c r="B1103" t="s">
        <v>17</v>
      </c>
      <c r="C1103" t="s">
        <v>18</v>
      </c>
      <c r="D1103">
        <v>5</v>
      </c>
      <c r="E1103">
        <v>2</v>
      </c>
      <c r="F1103" t="s">
        <v>15</v>
      </c>
      <c r="G1103">
        <v>4</v>
      </c>
      <c r="H1103">
        <v>2</v>
      </c>
      <c r="I1103" t="s">
        <v>19</v>
      </c>
      <c r="J1103">
        <v>5878</v>
      </c>
      <c r="K1103">
        <v>3</v>
      </c>
      <c r="L1103">
        <v>3</v>
      </c>
      <c r="M1103">
        <v>7</v>
      </c>
    </row>
    <row r="1104" spans="1:13">
      <c r="A1104">
        <v>36</v>
      </c>
      <c r="B1104" t="s">
        <v>17</v>
      </c>
      <c r="C1104" t="s">
        <v>14</v>
      </c>
      <c r="D1104">
        <v>2</v>
      </c>
      <c r="E1104">
        <v>4</v>
      </c>
      <c r="F1104" t="s">
        <v>15</v>
      </c>
      <c r="G1104">
        <v>3</v>
      </c>
      <c r="H1104">
        <v>4</v>
      </c>
      <c r="I1104" t="s">
        <v>16</v>
      </c>
      <c r="J1104">
        <v>2644</v>
      </c>
      <c r="K1104">
        <v>3</v>
      </c>
      <c r="L1104">
        <v>2</v>
      </c>
      <c r="M1104">
        <v>3</v>
      </c>
    </row>
    <row r="1105" spans="1:13">
      <c r="A1105">
        <v>48</v>
      </c>
      <c r="B1105" t="s">
        <v>17</v>
      </c>
      <c r="C1105" t="s">
        <v>14</v>
      </c>
      <c r="D1105">
        <v>16</v>
      </c>
      <c r="E1105">
        <v>4</v>
      </c>
      <c r="F1105" t="s">
        <v>15</v>
      </c>
      <c r="G1105">
        <v>3</v>
      </c>
      <c r="H1105">
        <v>3</v>
      </c>
      <c r="I1105" t="s">
        <v>22</v>
      </c>
      <c r="J1105">
        <v>6439</v>
      </c>
      <c r="K1105">
        <v>8</v>
      </c>
      <c r="L1105">
        <v>3</v>
      </c>
      <c r="M1105">
        <v>8</v>
      </c>
    </row>
    <row r="1106" spans="1:13">
      <c r="A1106">
        <v>29</v>
      </c>
      <c r="B1106" t="s">
        <v>17</v>
      </c>
      <c r="C1106" t="s">
        <v>18</v>
      </c>
      <c r="D1106">
        <v>9</v>
      </c>
      <c r="E1106">
        <v>3</v>
      </c>
      <c r="F1106" t="s">
        <v>15</v>
      </c>
      <c r="G1106">
        <v>3</v>
      </c>
      <c r="H1106">
        <v>3</v>
      </c>
      <c r="I1106" t="s">
        <v>19</v>
      </c>
      <c r="J1106">
        <v>2451</v>
      </c>
      <c r="K1106">
        <v>6</v>
      </c>
      <c r="L1106">
        <v>2</v>
      </c>
      <c r="M1106">
        <v>1</v>
      </c>
    </row>
    <row r="1107" spans="1:13">
      <c r="A1107">
        <v>33</v>
      </c>
      <c r="B1107" t="s">
        <v>17</v>
      </c>
      <c r="C1107" t="s">
        <v>14</v>
      </c>
      <c r="D1107">
        <v>8</v>
      </c>
      <c r="E1107">
        <v>4</v>
      </c>
      <c r="F1107" t="s">
        <v>15</v>
      </c>
      <c r="G1107">
        <v>1</v>
      </c>
      <c r="H1107">
        <v>1</v>
      </c>
      <c r="I1107" t="s">
        <v>19</v>
      </c>
      <c r="J1107">
        <v>6392</v>
      </c>
      <c r="K1107">
        <v>2</v>
      </c>
      <c r="L1107">
        <v>1</v>
      </c>
      <c r="M1107">
        <v>2</v>
      </c>
    </row>
    <row r="1108" spans="1:13">
      <c r="A1108">
        <v>30</v>
      </c>
      <c r="B1108" t="s">
        <v>13</v>
      </c>
      <c r="C1108" t="s">
        <v>14</v>
      </c>
      <c r="D1108">
        <v>1</v>
      </c>
      <c r="E1108">
        <v>3</v>
      </c>
      <c r="F1108" t="s">
        <v>15</v>
      </c>
      <c r="G1108">
        <v>2</v>
      </c>
      <c r="H1108">
        <v>1</v>
      </c>
      <c r="I1108" t="s">
        <v>19</v>
      </c>
      <c r="J1108">
        <v>9714</v>
      </c>
      <c r="K1108">
        <v>1</v>
      </c>
      <c r="L1108">
        <v>3</v>
      </c>
      <c r="M1108">
        <v>10</v>
      </c>
    </row>
    <row r="1109" spans="1:13">
      <c r="A1109">
        <v>38</v>
      </c>
      <c r="B1109" t="s">
        <v>17</v>
      </c>
      <c r="C1109" t="s">
        <v>25</v>
      </c>
      <c r="D1109">
        <v>10</v>
      </c>
      <c r="E1109">
        <v>4</v>
      </c>
      <c r="F1109" t="s">
        <v>25</v>
      </c>
      <c r="G1109">
        <v>3</v>
      </c>
      <c r="H1109">
        <v>3</v>
      </c>
      <c r="I1109" t="s">
        <v>19</v>
      </c>
      <c r="J1109">
        <v>6077</v>
      </c>
      <c r="K1109">
        <v>3</v>
      </c>
      <c r="L1109">
        <v>3</v>
      </c>
      <c r="M1109">
        <v>6</v>
      </c>
    </row>
    <row r="1110" spans="1:13">
      <c r="A1110">
        <v>35</v>
      </c>
      <c r="B1110" t="s">
        <v>17</v>
      </c>
      <c r="C1110" t="s">
        <v>18</v>
      </c>
      <c r="D1110">
        <v>1</v>
      </c>
      <c r="E1110">
        <v>3</v>
      </c>
      <c r="F1110" t="s">
        <v>21</v>
      </c>
      <c r="G1110">
        <v>4</v>
      </c>
      <c r="H1110">
        <v>1</v>
      </c>
      <c r="I1110" t="s">
        <v>16</v>
      </c>
      <c r="J1110">
        <v>2450</v>
      </c>
      <c r="K1110">
        <v>1</v>
      </c>
      <c r="L1110">
        <v>3</v>
      </c>
      <c r="M1110">
        <v>3</v>
      </c>
    </row>
    <row r="1111" spans="1:13">
      <c r="A1111">
        <v>30</v>
      </c>
      <c r="B1111" t="s">
        <v>17</v>
      </c>
      <c r="C1111" t="s">
        <v>14</v>
      </c>
      <c r="D1111">
        <v>29</v>
      </c>
      <c r="E1111">
        <v>4</v>
      </c>
      <c r="F1111" t="s">
        <v>24</v>
      </c>
      <c r="G1111">
        <v>3</v>
      </c>
      <c r="H1111">
        <v>2</v>
      </c>
      <c r="I1111" t="s">
        <v>19</v>
      </c>
      <c r="J1111">
        <v>9250</v>
      </c>
      <c r="K1111">
        <v>3</v>
      </c>
      <c r="L1111">
        <v>3</v>
      </c>
      <c r="M1111">
        <v>4</v>
      </c>
    </row>
    <row r="1112" spans="1:13">
      <c r="A1112">
        <v>35</v>
      </c>
      <c r="B1112" t="s">
        <v>13</v>
      </c>
      <c r="C1112" t="s">
        <v>18</v>
      </c>
      <c r="D1112">
        <v>2</v>
      </c>
      <c r="E1112">
        <v>3</v>
      </c>
      <c r="F1112" t="s">
        <v>15</v>
      </c>
      <c r="G1112">
        <v>1</v>
      </c>
      <c r="H1112">
        <v>1</v>
      </c>
      <c r="I1112" t="s">
        <v>22</v>
      </c>
      <c r="J1112">
        <v>2074</v>
      </c>
      <c r="K1112">
        <v>1</v>
      </c>
      <c r="L1112">
        <v>3</v>
      </c>
      <c r="M1112">
        <v>1</v>
      </c>
    </row>
    <row r="1113" spans="1:13">
      <c r="A1113">
        <v>53</v>
      </c>
      <c r="B1113" t="s">
        <v>13</v>
      </c>
      <c r="C1113" t="s">
        <v>18</v>
      </c>
      <c r="D1113">
        <v>2</v>
      </c>
      <c r="E1113">
        <v>5</v>
      </c>
      <c r="F1113" t="s">
        <v>24</v>
      </c>
      <c r="G1113">
        <v>3</v>
      </c>
      <c r="H1113">
        <v>4</v>
      </c>
      <c r="I1113" t="s">
        <v>19</v>
      </c>
      <c r="J1113">
        <v>10169</v>
      </c>
      <c r="K1113">
        <v>0</v>
      </c>
      <c r="L1113">
        <v>3</v>
      </c>
      <c r="M1113">
        <v>33</v>
      </c>
    </row>
    <row r="1114" spans="1:13">
      <c r="A1114">
        <v>38</v>
      </c>
      <c r="B1114" t="s">
        <v>13</v>
      </c>
      <c r="C1114" t="s">
        <v>18</v>
      </c>
      <c r="D1114">
        <v>2</v>
      </c>
      <c r="E1114">
        <v>3</v>
      </c>
      <c r="F1114" t="s">
        <v>21</v>
      </c>
      <c r="G1114">
        <v>3</v>
      </c>
      <c r="H1114">
        <v>2</v>
      </c>
      <c r="I1114" t="s">
        <v>19</v>
      </c>
      <c r="J1114">
        <v>4855</v>
      </c>
      <c r="K1114">
        <v>4</v>
      </c>
      <c r="L1114">
        <v>3</v>
      </c>
      <c r="M1114">
        <v>5</v>
      </c>
    </row>
    <row r="1115" spans="1:13">
      <c r="A1115">
        <v>32</v>
      </c>
      <c r="B1115" t="s">
        <v>17</v>
      </c>
      <c r="C1115" t="s">
        <v>18</v>
      </c>
      <c r="D1115">
        <v>1</v>
      </c>
      <c r="E1115">
        <v>4</v>
      </c>
      <c r="F1115" t="s">
        <v>24</v>
      </c>
      <c r="G1115">
        <v>4</v>
      </c>
      <c r="H1115">
        <v>1</v>
      </c>
      <c r="I1115" t="s">
        <v>19</v>
      </c>
      <c r="J1115">
        <v>4087</v>
      </c>
      <c r="K1115">
        <v>4</v>
      </c>
      <c r="L1115">
        <v>2</v>
      </c>
      <c r="M1115">
        <v>6</v>
      </c>
    </row>
    <row r="1116" spans="1:13">
      <c r="A1116">
        <v>48</v>
      </c>
      <c r="B1116" t="s">
        <v>17</v>
      </c>
      <c r="C1116" t="s">
        <v>18</v>
      </c>
      <c r="D1116">
        <v>15</v>
      </c>
      <c r="E1116">
        <v>4</v>
      </c>
      <c r="F1116" t="s">
        <v>20</v>
      </c>
      <c r="G1116">
        <v>3</v>
      </c>
      <c r="H1116">
        <v>1</v>
      </c>
      <c r="I1116" t="s">
        <v>19</v>
      </c>
      <c r="J1116">
        <v>2367</v>
      </c>
      <c r="K1116">
        <v>8</v>
      </c>
      <c r="L1116">
        <v>2</v>
      </c>
      <c r="M1116">
        <v>8</v>
      </c>
    </row>
    <row r="1117" spans="1:13">
      <c r="A1117">
        <v>34</v>
      </c>
      <c r="B1117" t="s">
        <v>17</v>
      </c>
      <c r="C1117" t="s">
        <v>18</v>
      </c>
      <c r="D1117">
        <v>7</v>
      </c>
      <c r="E1117">
        <v>4</v>
      </c>
      <c r="F1117" t="s">
        <v>21</v>
      </c>
      <c r="G1117">
        <v>1</v>
      </c>
      <c r="H1117">
        <v>4</v>
      </c>
      <c r="I1117" t="s">
        <v>16</v>
      </c>
      <c r="J1117">
        <v>2972</v>
      </c>
      <c r="K1117">
        <v>1</v>
      </c>
      <c r="L1117">
        <v>1</v>
      </c>
      <c r="M1117">
        <v>1</v>
      </c>
    </row>
    <row r="1118" spans="1:13">
      <c r="A1118">
        <v>55</v>
      </c>
      <c r="B1118" t="s">
        <v>17</v>
      </c>
      <c r="C1118" t="s">
        <v>14</v>
      </c>
      <c r="D1118">
        <v>26</v>
      </c>
      <c r="E1118">
        <v>5</v>
      </c>
      <c r="F1118" t="s">
        <v>23</v>
      </c>
      <c r="G1118">
        <v>3</v>
      </c>
      <c r="H1118">
        <v>4</v>
      </c>
      <c r="I1118" t="s">
        <v>19</v>
      </c>
      <c r="J1118">
        <v>19586</v>
      </c>
      <c r="K1118">
        <v>1</v>
      </c>
      <c r="L1118">
        <v>3</v>
      </c>
      <c r="M1118">
        <v>36</v>
      </c>
    </row>
    <row r="1119" spans="1:13">
      <c r="A1119">
        <v>34</v>
      </c>
      <c r="B1119" t="s">
        <v>17</v>
      </c>
      <c r="C1119" t="s">
        <v>18</v>
      </c>
      <c r="D1119">
        <v>1</v>
      </c>
      <c r="E1119">
        <v>4</v>
      </c>
      <c r="F1119" t="s">
        <v>15</v>
      </c>
      <c r="G1119">
        <v>2</v>
      </c>
      <c r="H1119">
        <v>4</v>
      </c>
      <c r="I1119" t="s">
        <v>19</v>
      </c>
      <c r="J1119">
        <v>5484</v>
      </c>
      <c r="K1119">
        <v>9</v>
      </c>
      <c r="L1119">
        <v>2</v>
      </c>
      <c r="M1119">
        <v>2</v>
      </c>
    </row>
    <row r="1120" spans="1:13">
      <c r="A1120">
        <v>26</v>
      </c>
      <c r="B1120" t="s">
        <v>17</v>
      </c>
      <c r="C1120" t="s">
        <v>18</v>
      </c>
      <c r="D1120">
        <v>3</v>
      </c>
      <c r="E1120">
        <v>3</v>
      </c>
      <c r="F1120" t="s">
        <v>15</v>
      </c>
      <c r="G1120">
        <v>1</v>
      </c>
      <c r="H1120">
        <v>4</v>
      </c>
      <c r="I1120" t="s">
        <v>19</v>
      </c>
      <c r="J1120">
        <v>2061</v>
      </c>
      <c r="K1120">
        <v>1</v>
      </c>
      <c r="L1120">
        <v>3</v>
      </c>
      <c r="M1120">
        <v>1</v>
      </c>
    </row>
    <row r="1121" spans="1:13">
      <c r="A1121">
        <v>38</v>
      </c>
      <c r="B1121" t="s">
        <v>17</v>
      </c>
      <c r="C1121" t="s">
        <v>14</v>
      </c>
      <c r="D1121">
        <v>14</v>
      </c>
      <c r="E1121">
        <v>3</v>
      </c>
      <c r="F1121" t="s">
        <v>15</v>
      </c>
      <c r="G1121">
        <v>3</v>
      </c>
      <c r="H1121">
        <v>2</v>
      </c>
      <c r="I1121" t="s">
        <v>19</v>
      </c>
      <c r="J1121">
        <v>9924</v>
      </c>
      <c r="K1121">
        <v>0</v>
      </c>
      <c r="L1121">
        <v>3</v>
      </c>
      <c r="M1121">
        <v>9</v>
      </c>
    </row>
    <row r="1122" spans="1:13">
      <c r="A1122">
        <v>38</v>
      </c>
      <c r="B1122" t="s">
        <v>17</v>
      </c>
      <c r="C1122" t="s">
        <v>14</v>
      </c>
      <c r="D1122">
        <v>16</v>
      </c>
      <c r="E1122">
        <v>3</v>
      </c>
      <c r="F1122" t="s">
        <v>15</v>
      </c>
      <c r="G1122">
        <v>2</v>
      </c>
      <c r="H1122">
        <v>2</v>
      </c>
      <c r="I1122" t="s">
        <v>16</v>
      </c>
      <c r="J1122">
        <v>4198</v>
      </c>
      <c r="K1122">
        <v>2</v>
      </c>
      <c r="L1122">
        <v>4</v>
      </c>
      <c r="M1122">
        <v>3</v>
      </c>
    </row>
    <row r="1123" spans="1:13">
      <c r="A1123">
        <v>36</v>
      </c>
      <c r="B1123" t="s">
        <v>17</v>
      </c>
      <c r="C1123" t="s">
        <v>14</v>
      </c>
      <c r="D1123">
        <v>1</v>
      </c>
      <c r="E1123">
        <v>4</v>
      </c>
      <c r="F1123" t="s">
        <v>15</v>
      </c>
      <c r="G1123">
        <v>2</v>
      </c>
      <c r="H1123">
        <v>3</v>
      </c>
      <c r="I1123" t="s">
        <v>16</v>
      </c>
      <c r="J1123">
        <v>6815</v>
      </c>
      <c r="K1123">
        <v>6</v>
      </c>
      <c r="L1123">
        <v>3</v>
      </c>
      <c r="M1123">
        <v>1</v>
      </c>
    </row>
    <row r="1124" spans="1:13">
      <c r="A1124">
        <v>29</v>
      </c>
      <c r="B1124" t="s">
        <v>17</v>
      </c>
      <c r="C1124" t="s">
        <v>18</v>
      </c>
      <c r="D1124">
        <v>3</v>
      </c>
      <c r="E1124">
        <v>1</v>
      </c>
      <c r="F1124" t="s">
        <v>21</v>
      </c>
      <c r="G1124">
        <v>2</v>
      </c>
      <c r="H1124">
        <v>1</v>
      </c>
      <c r="I1124" t="s">
        <v>16</v>
      </c>
      <c r="J1124">
        <v>4723</v>
      </c>
      <c r="K1124">
        <v>1</v>
      </c>
      <c r="L1124">
        <v>3</v>
      </c>
      <c r="M1124">
        <v>10</v>
      </c>
    </row>
    <row r="1125" spans="1:13">
      <c r="A1125">
        <v>35</v>
      </c>
      <c r="B1125" t="s">
        <v>17</v>
      </c>
      <c r="C1125" t="s">
        <v>18</v>
      </c>
      <c r="D1125">
        <v>10</v>
      </c>
      <c r="E1125">
        <v>4</v>
      </c>
      <c r="F1125" t="s">
        <v>21</v>
      </c>
      <c r="G1125">
        <v>1</v>
      </c>
      <c r="H1125">
        <v>3</v>
      </c>
      <c r="I1125" t="s">
        <v>16</v>
      </c>
      <c r="J1125">
        <v>6142</v>
      </c>
      <c r="K1125">
        <v>3</v>
      </c>
      <c r="L1125">
        <v>3</v>
      </c>
      <c r="M1125">
        <v>5</v>
      </c>
    </row>
    <row r="1126" spans="1:13">
      <c r="A1126">
        <v>39</v>
      </c>
      <c r="B1126" t="s">
        <v>17</v>
      </c>
      <c r="C1126" t="s">
        <v>14</v>
      </c>
      <c r="D1126">
        <v>6</v>
      </c>
      <c r="E1126">
        <v>3</v>
      </c>
      <c r="F1126" t="s">
        <v>21</v>
      </c>
      <c r="G1126">
        <v>4</v>
      </c>
      <c r="H1126">
        <v>3</v>
      </c>
      <c r="I1126" t="s">
        <v>19</v>
      </c>
      <c r="J1126">
        <v>8237</v>
      </c>
      <c r="K1126">
        <v>2</v>
      </c>
      <c r="L1126">
        <v>3</v>
      </c>
      <c r="M1126">
        <v>7</v>
      </c>
    </row>
    <row r="1127" spans="1:13">
      <c r="A1127">
        <v>29</v>
      </c>
      <c r="B1127" t="s">
        <v>17</v>
      </c>
      <c r="C1127" t="s">
        <v>18</v>
      </c>
      <c r="D1127">
        <v>2</v>
      </c>
      <c r="E1127">
        <v>1</v>
      </c>
      <c r="F1127" t="s">
        <v>15</v>
      </c>
      <c r="G1127">
        <v>1</v>
      </c>
      <c r="H1127">
        <v>4</v>
      </c>
      <c r="I1127" t="s">
        <v>22</v>
      </c>
      <c r="J1127">
        <v>8853</v>
      </c>
      <c r="K1127">
        <v>1</v>
      </c>
      <c r="L1127">
        <v>4</v>
      </c>
      <c r="M1127">
        <v>6</v>
      </c>
    </row>
    <row r="1128" spans="1:13">
      <c r="A1128">
        <v>50</v>
      </c>
      <c r="B1128" t="s">
        <v>17</v>
      </c>
      <c r="C1128" t="s">
        <v>14</v>
      </c>
      <c r="D1128">
        <v>9</v>
      </c>
      <c r="E1128">
        <v>3</v>
      </c>
      <c r="F1128" t="s">
        <v>23</v>
      </c>
      <c r="G1128">
        <v>3</v>
      </c>
      <c r="H1128">
        <v>3</v>
      </c>
      <c r="I1128" t="s">
        <v>19</v>
      </c>
      <c r="J1128">
        <v>19331</v>
      </c>
      <c r="K1128">
        <v>4</v>
      </c>
      <c r="L1128">
        <v>3</v>
      </c>
      <c r="M1128">
        <v>1</v>
      </c>
    </row>
    <row r="1129" spans="1:13">
      <c r="A1129">
        <v>23</v>
      </c>
      <c r="B1129" t="s">
        <v>17</v>
      </c>
      <c r="C1129" t="s">
        <v>18</v>
      </c>
      <c r="D1129">
        <v>10</v>
      </c>
      <c r="E1129">
        <v>3</v>
      </c>
      <c r="F1129" t="s">
        <v>24</v>
      </c>
      <c r="G1129">
        <v>4</v>
      </c>
      <c r="H1129">
        <v>3</v>
      </c>
      <c r="I1129" t="s">
        <v>19</v>
      </c>
      <c r="J1129">
        <v>2073</v>
      </c>
      <c r="K1129">
        <v>2</v>
      </c>
      <c r="L1129">
        <v>3</v>
      </c>
      <c r="M1129">
        <v>2</v>
      </c>
    </row>
    <row r="1130" spans="1:13">
      <c r="A1130">
        <v>36</v>
      </c>
      <c r="B1130" t="s">
        <v>17</v>
      </c>
      <c r="C1130" t="s">
        <v>18</v>
      </c>
      <c r="D1130">
        <v>6</v>
      </c>
      <c r="E1130">
        <v>4</v>
      </c>
      <c r="F1130" t="s">
        <v>15</v>
      </c>
      <c r="G1130">
        <v>1</v>
      </c>
      <c r="H1130">
        <v>1</v>
      </c>
      <c r="I1130" t="s">
        <v>19</v>
      </c>
      <c r="J1130">
        <v>5562</v>
      </c>
      <c r="K1130">
        <v>3</v>
      </c>
      <c r="L1130">
        <v>3</v>
      </c>
      <c r="M1130">
        <v>3</v>
      </c>
    </row>
    <row r="1131" spans="1:13">
      <c r="A1131">
        <v>42</v>
      </c>
      <c r="B1131" t="s">
        <v>17</v>
      </c>
      <c r="C1131" t="s">
        <v>18</v>
      </c>
      <c r="D1131">
        <v>9</v>
      </c>
      <c r="E1131">
        <v>2</v>
      </c>
      <c r="F1131" t="s">
        <v>20</v>
      </c>
      <c r="G1131">
        <v>4</v>
      </c>
      <c r="H1131">
        <v>4</v>
      </c>
      <c r="I1131" t="s">
        <v>16</v>
      </c>
      <c r="J1131">
        <v>19613</v>
      </c>
      <c r="K1131">
        <v>8</v>
      </c>
      <c r="L1131">
        <v>3</v>
      </c>
      <c r="M1131">
        <v>1</v>
      </c>
    </row>
    <row r="1132" spans="1:13">
      <c r="A1132">
        <v>35</v>
      </c>
      <c r="B1132" t="s">
        <v>17</v>
      </c>
      <c r="C1132" t="s">
        <v>18</v>
      </c>
      <c r="D1132">
        <v>28</v>
      </c>
      <c r="E1132">
        <v>3</v>
      </c>
      <c r="F1132" t="s">
        <v>15</v>
      </c>
      <c r="G1132">
        <v>2</v>
      </c>
      <c r="H1132">
        <v>3</v>
      </c>
      <c r="I1132" t="s">
        <v>19</v>
      </c>
      <c r="J1132">
        <v>3407</v>
      </c>
      <c r="K1132">
        <v>1</v>
      </c>
      <c r="L1132">
        <v>2</v>
      </c>
      <c r="M1132">
        <v>10</v>
      </c>
    </row>
    <row r="1133" spans="1:13">
      <c r="A1133">
        <v>34</v>
      </c>
      <c r="B1133" t="s">
        <v>17</v>
      </c>
      <c r="C1133" t="s">
        <v>18</v>
      </c>
      <c r="D1133">
        <v>10</v>
      </c>
      <c r="E1133">
        <v>4</v>
      </c>
      <c r="F1133" t="s">
        <v>24</v>
      </c>
      <c r="G1133">
        <v>4</v>
      </c>
      <c r="H1133">
        <v>3</v>
      </c>
      <c r="I1133" t="s">
        <v>19</v>
      </c>
      <c r="J1133">
        <v>5063</v>
      </c>
      <c r="K1133">
        <v>1</v>
      </c>
      <c r="L1133">
        <v>2</v>
      </c>
      <c r="M1133">
        <v>8</v>
      </c>
    </row>
    <row r="1134" spans="1:13">
      <c r="A1134">
        <v>40</v>
      </c>
      <c r="B1134" t="s">
        <v>17</v>
      </c>
      <c r="C1134" t="s">
        <v>14</v>
      </c>
      <c r="D1134">
        <v>14</v>
      </c>
      <c r="E1134">
        <v>2</v>
      </c>
      <c r="F1134" t="s">
        <v>15</v>
      </c>
      <c r="G1134">
        <v>4</v>
      </c>
      <c r="H1134">
        <v>1</v>
      </c>
      <c r="I1134" t="s">
        <v>19</v>
      </c>
      <c r="J1134">
        <v>4639</v>
      </c>
      <c r="K1134">
        <v>1</v>
      </c>
      <c r="L1134">
        <v>3</v>
      </c>
      <c r="M1134">
        <v>5</v>
      </c>
    </row>
    <row r="1135" spans="1:13">
      <c r="A1135">
        <v>43</v>
      </c>
      <c r="B1135" t="s">
        <v>17</v>
      </c>
      <c r="C1135" t="s">
        <v>18</v>
      </c>
      <c r="D1135">
        <v>27</v>
      </c>
      <c r="E1135">
        <v>3</v>
      </c>
      <c r="F1135" t="s">
        <v>24</v>
      </c>
      <c r="G1135">
        <v>4</v>
      </c>
      <c r="H1135">
        <v>2</v>
      </c>
      <c r="I1135" t="s">
        <v>22</v>
      </c>
      <c r="J1135">
        <v>4876</v>
      </c>
      <c r="K1135">
        <v>5</v>
      </c>
      <c r="L1135">
        <v>3</v>
      </c>
      <c r="M1135">
        <v>6</v>
      </c>
    </row>
    <row r="1136" spans="1:13">
      <c r="A1136">
        <v>35</v>
      </c>
      <c r="B1136" t="s">
        <v>17</v>
      </c>
      <c r="C1136" t="s">
        <v>18</v>
      </c>
      <c r="D1136">
        <v>7</v>
      </c>
      <c r="E1136">
        <v>2</v>
      </c>
      <c r="F1136" t="s">
        <v>15</v>
      </c>
      <c r="G1136">
        <v>3</v>
      </c>
      <c r="H1136">
        <v>4</v>
      </c>
      <c r="I1136" t="s">
        <v>19</v>
      </c>
      <c r="J1136">
        <v>2690</v>
      </c>
      <c r="K1136">
        <v>1</v>
      </c>
      <c r="L1136">
        <v>2</v>
      </c>
      <c r="M1136">
        <v>1</v>
      </c>
    </row>
    <row r="1137" spans="1:13">
      <c r="A1137">
        <v>46</v>
      </c>
      <c r="B1137" t="s">
        <v>17</v>
      </c>
      <c r="C1137" t="s">
        <v>14</v>
      </c>
      <c r="D1137">
        <v>1</v>
      </c>
      <c r="E1137">
        <v>4</v>
      </c>
      <c r="F1137" t="s">
        <v>15</v>
      </c>
      <c r="G1137">
        <v>4</v>
      </c>
      <c r="H1137">
        <v>1</v>
      </c>
      <c r="I1137" t="s">
        <v>16</v>
      </c>
      <c r="J1137">
        <v>17567</v>
      </c>
      <c r="K1137">
        <v>1</v>
      </c>
      <c r="L1137">
        <v>1</v>
      </c>
      <c r="M1137">
        <v>26</v>
      </c>
    </row>
    <row r="1138" spans="1:13">
      <c r="A1138">
        <v>28</v>
      </c>
      <c r="B1138" t="s">
        <v>13</v>
      </c>
      <c r="C1138" t="s">
        <v>18</v>
      </c>
      <c r="D1138">
        <v>24</v>
      </c>
      <c r="E1138">
        <v>3</v>
      </c>
      <c r="F1138" t="s">
        <v>21</v>
      </c>
      <c r="G1138">
        <v>3</v>
      </c>
      <c r="H1138">
        <v>2</v>
      </c>
      <c r="I1138" t="s">
        <v>19</v>
      </c>
      <c r="J1138">
        <v>2408</v>
      </c>
      <c r="K1138">
        <v>1</v>
      </c>
      <c r="L1138">
        <v>3</v>
      </c>
      <c r="M1138">
        <v>1</v>
      </c>
    </row>
    <row r="1139" spans="1:13">
      <c r="A1139">
        <v>22</v>
      </c>
      <c r="B1139" t="s">
        <v>17</v>
      </c>
      <c r="C1139" t="s">
        <v>18</v>
      </c>
      <c r="D1139">
        <v>26</v>
      </c>
      <c r="E1139">
        <v>2</v>
      </c>
      <c r="F1139" t="s">
        <v>20</v>
      </c>
      <c r="G1139">
        <v>2</v>
      </c>
      <c r="H1139">
        <v>3</v>
      </c>
      <c r="I1139" t="s">
        <v>19</v>
      </c>
      <c r="J1139">
        <v>2814</v>
      </c>
      <c r="K1139">
        <v>1</v>
      </c>
      <c r="L1139">
        <v>2</v>
      </c>
      <c r="M1139">
        <v>4</v>
      </c>
    </row>
    <row r="1140" spans="1:13">
      <c r="A1140">
        <v>50</v>
      </c>
      <c r="B1140" t="s">
        <v>17</v>
      </c>
      <c r="C1140" t="s">
        <v>18</v>
      </c>
      <c r="D1140">
        <v>20</v>
      </c>
      <c r="E1140">
        <v>5</v>
      </c>
      <c r="F1140" t="s">
        <v>21</v>
      </c>
      <c r="G1140">
        <v>2</v>
      </c>
      <c r="H1140">
        <v>3</v>
      </c>
      <c r="I1140" t="s">
        <v>19</v>
      </c>
      <c r="J1140">
        <v>11245</v>
      </c>
      <c r="K1140">
        <v>2</v>
      </c>
      <c r="L1140">
        <v>3</v>
      </c>
      <c r="M1140">
        <v>30</v>
      </c>
    </row>
    <row r="1141" spans="1:13">
      <c r="A1141">
        <v>32</v>
      </c>
      <c r="B1141" t="s">
        <v>17</v>
      </c>
      <c r="C1141" t="s">
        <v>18</v>
      </c>
      <c r="D1141">
        <v>5</v>
      </c>
      <c r="E1141">
        <v>4</v>
      </c>
      <c r="F1141" t="s">
        <v>20</v>
      </c>
      <c r="G1141">
        <v>2</v>
      </c>
      <c r="H1141">
        <v>4</v>
      </c>
      <c r="I1141" t="s">
        <v>19</v>
      </c>
      <c r="J1141">
        <v>3312</v>
      </c>
      <c r="K1141">
        <v>3</v>
      </c>
      <c r="L1141">
        <v>3</v>
      </c>
      <c r="M1141">
        <v>3</v>
      </c>
    </row>
    <row r="1142" spans="1:13">
      <c r="A1142">
        <v>44</v>
      </c>
      <c r="B1142" t="s">
        <v>17</v>
      </c>
      <c r="C1142" t="s">
        <v>18</v>
      </c>
      <c r="D1142">
        <v>7</v>
      </c>
      <c r="E1142">
        <v>3</v>
      </c>
      <c r="F1142" t="s">
        <v>21</v>
      </c>
      <c r="G1142">
        <v>2</v>
      </c>
      <c r="H1142">
        <v>4</v>
      </c>
      <c r="I1142" t="s">
        <v>22</v>
      </c>
      <c r="J1142">
        <v>19049</v>
      </c>
      <c r="K1142">
        <v>0</v>
      </c>
      <c r="L1142">
        <v>2</v>
      </c>
      <c r="M1142">
        <v>22</v>
      </c>
    </row>
    <row r="1143" spans="1:13">
      <c r="A1143">
        <v>30</v>
      </c>
      <c r="B1143" t="s">
        <v>17</v>
      </c>
      <c r="C1143" t="s">
        <v>18</v>
      </c>
      <c r="D1143">
        <v>7</v>
      </c>
      <c r="E1143">
        <v>3</v>
      </c>
      <c r="F1143" t="s">
        <v>21</v>
      </c>
      <c r="G1143">
        <v>2</v>
      </c>
      <c r="H1143">
        <v>2</v>
      </c>
      <c r="I1143" t="s">
        <v>19</v>
      </c>
      <c r="J1143">
        <v>2141</v>
      </c>
      <c r="K1143">
        <v>1</v>
      </c>
      <c r="L1143">
        <v>2</v>
      </c>
      <c r="M1143">
        <v>6</v>
      </c>
    </row>
    <row r="1144" spans="1:13">
      <c r="A1144">
        <v>45</v>
      </c>
      <c r="B1144" t="s">
        <v>17</v>
      </c>
      <c r="C1144" t="s">
        <v>18</v>
      </c>
      <c r="D1144">
        <v>5</v>
      </c>
      <c r="E1144">
        <v>5</v>
      </c>
      <c r="F1144" t="s">
        <v>21</v>
      </c>
      <c r="G1144">
        <v>3</v>
      </c>
      <c r="H1144">
        <v>1</v>
      </c>
      <c r="I1144" t="s">
        <v>16</v>
      </c>
      <c r="J1144">
        <v>5769</v>
      </c>
      <c r="K1144">
        <v>1</v>
      </c>
      <c r="L1144">
        <v>3</v>
      </c>
      <c r="M1144">
        <v>10</v>
      </c>
    </row>
    <row r="1145" spans="1:13">
      <c r="A1145">
        <v>45</v>
      </c>
      <c r="B1145" t="s">
        <v>17</v>
      </c>
      <c r="C1145" t="s">
        <v>14</v>
      </c>
      <c r="D1145">
        <v>26</v>
      </c>
      <c r="E1145">
        <v>3</v>
      </c>
      <c r="F1145" t="s">
        <v>23</v>
      </c>
      <c r="G1145">
        <v>1</v>
      </c>
      <c r="H1145">
        <v>1</v>
      </c>
      <c r="I1145" t="s">
        <v>19</v>
      </c>
      <c r="J1145">
        <v>4385</v>
      </c>
      <c r="K1145">
        <v>1</v>
      </c>
      <c r="L1145">
        <v>3</v>
      </c>
      <c r="M1145">
        <v>10</v>
      </c>
    </row>
    <row r="1146" spans="1:13">
      <c r="A1146">
        <v>31</v>
      </c>
      <c r="B1146" t="s">
        <v>17</v>
      </c>
      <c r="C1146" t="s">
        <v>14</v>
      </c>
      <c r="D1146">
        <v>2</v>
      </c>
      <c r="E1146">
        <v>4</v>
      </c>
      <c r="F1146" t="s">
        <v>20</v>
      </c>
      <c r="G1146">
        <v>4</v>
      </c>
      <c r="H1146">
        <v>1</v>
      </c>
      <c r="I1146" t="s">
        <v>16</v>
      </c>
      <c r="J1146">
        <v>5332</v>
      </c>
      <c r="K1146">
        <v>7</v>
      </c>
      <c r="L1146">
        <v>3</v>
      </c>
      <c r="M1146">
        <v>5</v>
      </c>
    </row>
    <row r="1147" spans="1:13">
      <c r="A1147">
        <v>36</v>
      </c>
      <c r="B1147" t="s">
        <v>17</v>
      </c>
      <c r="C1147" t="s">
        <v>18</v>
      </c>
      <c r="D1147">
        <v>12</v>
      </c>
      <c r="E1147">
        <v>4</v>
      </c>
      <c r="F1147" t="s">
        <v>15</v>
      </c>
      <c r="G1147">
        <v>3</v>
      </c>
      <c r="H1147">
        <v>3</v>
      </c>
      <c r="I1147" t="s">
        <v>19</v>
      </c>
      <c r="J1147">
        <v>4663</v>
      </c>
      <c r="K1147">
        <v>9</v>
      </c>
      <c r="L1147">
        <v>3</v>
      </c>
      <c r="M1147">
        <v>3</v>
      </c>
    </row>
    <row r="1148" spans="1:13">
      <c r="A1148">
        <v>34</v>
      </c>
      <c r="B1148" t="s">
        <v>17</v>
      </c>
      <c r="C1148" t="s">
        <v>18</v>
      </c>
      <c r="D1148">
        <v>10</v>
      </c>
      <c r="E1148">
        <v>4</v>
      </c>
      <c r="F1148" t="s">
        <v>15</v>
      </c>
      <c r="G1148">
        <v>3</v>
      </c>
      <c r="H1148">
        <v>4</v>
      </c>
      <c r="I1148" t="s">
        <v>22</v>
      </c>
      <c r="J1148">
        <v>4724</v>
      </c>
      <c r="K1148">
        <v>1</v>
      </c>
      <c r="L1148">
        <v>3</v>
      </c>
      <c r="M1148">
        <v>9</v>
      </c>
    </row>
    <row r="1149" spans="1:13">
      <c r="A1149">
        <v>49</v>
      </c>
      <c r="B1149" t="s">
        <v>17</v>
      </c>
      <c r="C1149" t="s">
        <v>18</v>
      </c>
      <c r="D1149">
        <v>25</v>
      </c>
      <c r="E1149">
        <v>4</v>
      </c>
      <c r="F1149" t="s">
        <v>15</v>
      </c>
      <c r="G1149">
        <v>3</v>
      </c>
      <c r="H1149">
        <v>1</v>
      </c>
      <c r="I1149" t="s">
        <v>19</v>
      </c>
      <c r="J1149">
        <v>3211</v>
      </c>
      <c r="K1149">
        <v>1</v>
      </c>
      <c r="L1149">
        <v>2</v>
      </c>
      <c r="M1149">
        <v>9</v>
      </c>
    </row>
    <row r="1150" spans="1:13">
      <c r="A1150">
        <v>39</v>
      </c>
      <c r="B1150" t="s">
        <v>17</v>
      </c>
      <c r="C1150" t="s">
        <v>18</v>
      </c>
      <c r="D1150">
        <v>10</v>
      </c>
      <c r="E1150">
        <v>5</v>
      </c>
      <c r="F1150" t="s">
        <v>21</v>
      </c>
      <c r="G1150">
        <v>2</v>
      </c>
      <c r="H1150">
        <v>1</v>
      </c>
      <c r="I1150" t="s">
        <v>19</v>
      </c>
      <c r="J1150">
        <v>5377</v>
      </c>
      <c r="K1150">
        <v>2</v>
      </c>
      <c r="L1150">
        <v>3</v>
      </c>
      <c r="M1150">
        <v>7</v>
      </c>
    </row>
    <row r="1151" spans="1:13">
      <c r="A1151">
        <v>27</v>
      </c>
      <c r="B1151" t="s">
        <v>17</v>
      </c>
      <c r="C1151" t="s">
        <v>18</v>
      </c>
      <c r="D1151">
        <v>19</v>
      </c>
      <c r="E1151">
        <v>3</v>
      </c>
      <c r="F1151" t="s">
        <v>20</v>
      </c>
      <c r="G1151">
        <v>4</v>
      </c>
      <c r="H1151">
        <v>1</v>
      </c>
      <c r="I1151" t="s">
        <v>22</v>
      </c>
      <c r="J1151">
        <v>4066</v>
      </c>
      <c r="K1151">
        <v>1</v>
      </c>
      <c r="L1151">
        <v>3</v>
      </c>
      <c r="M1151">
        <v>7</v>
      </c>
    </row>
    <row r="1152" spans="1:13">
      <c r="A1152">
        <v>35</v>
      </c>
      <c r="B1152" t="s">
        <v>17</v>
      </c>
      <c r="C1152" t="s">
        <v>18</v>
      </c>
      <c r="D1152">
        <v>18</v>
      </c>
      <c r="E1152">
        <v>5</v>
      </c>
      <c r="F1152" t="s">
        <v>15</v>
      </c>
      <c r="G1152">
        <v>2</v>
      </c>
      <c r="H1152">
        <v>1</v>
      </c>
      <c r="I1152" t="s">
        <v>19</v>
      </c>
      <c r="J1152">
        <v>5208</v>
      </c>
      <c r="K1152">
        <v>1</v>
      </c>
      <c r="L1152">
        <v>3</v>
      </c>
      <c r="M1152">
        <v>16</v>
      </c>
    </row>
    <row r="1153" spans="1:13">
      <c r="A1153">
        <v>28</v>
      </c>
      <c r="B1153" t="s">
        <v>17</v>
      </c>
      <c r="C1153" t="s">
        <v>18</v>
      </c>
      <c r="D1153">
        <v>27</v>
      </c>
      <c r="E1153">
        <v>3</v>
      </c>
      <c r="F1153" t="s">
        <v>21</v>
      </c>
      <c r="G1153">
        <v>2</v>
      </c>
      <c r="H1153">
        <v>1</v>
      </c>
      <c r="I1153" t="s">
        <v>22</v>
      </c>
      <c r="J1153">
        <v>4877</v>
      </c>
      <c r="K1153">
        <v>0</v>
      </c>
      <c r="L1153">
        <v>2</v>
      </c>
      <c r="M1153">
        <v>5</v>
      </c>
    </row>
    <row r="1154" spans="1:13">
      <c r="A1154">
        <v>21</v>
      </c>
      <c r="B1154" t="s">
        <v>17</v>
      </c>
      <c r="C1154" t="s">
        <v>18</v>
      </c>
      <c r="D1154">
        <v>5</v>
      </c>
      <c r="E1154">
        <v>1</v>
      </c>
      <c r="F1154" t="s">
        <v>21</v>
      </c>
      <c r="G1154">
        <v>3</v>
      </c>
      <c r="H1154">
        <v>4</v>
      </c>
      <c r="I1154" t="s">
        <v>16</v>
      </c>
      <c r="J1154">
        <v>3117</v>
      </c>
      <c r="K1154">
        <v>1</v>
      </c>
      <c r="L1154">
        <v>3</v>
      </c>
      <c r="M1154">
        <v>2</v>
      </c>
    </row>
    <row r="1155" spans="1:13">
      <c r="A1155">
        <v>18</v>
      </c>
      <c r="B1155" t="s">
        <v>13</v>
      </c>
      <c r="C1155" t="s">
        <v>14</v>
      </c>
      <c r="D1155">
        <v>3</v>
      </c>
      <c r="E1155">
        <v>2</v>
      </c>
      <c r="F1155" t="s">
        <v>21</v>
      </c>
      <c r="G1155">
        <v>2</v>
      </c>
      <c r="H1155">
        <v>4</v>
      </c>
      <c r="I1155" t="s">
        <v>16</v>
      </c>
      <c r="J1155">
        <v>1569</v>
      </c>
      <c r="K1155">
        <v>1</v>
      </c>
      <c r="L1155">
        <v>4</v>
      </c>
      <c r="M1155">
        <v>0</v>
      </c>
    </row>
    <row r="1156" spans="1:13">
      <c r="A1156">
        <v>47</v>
      </c>
      <c r="B1156" t="s">
        <v>17</v>
      </c>
      <c r="C1156" t="s">
        <v>25</v>
      </c>
      <c r="D1156">
        <v>26</v>
      </c>
      <c r="E1156">
        <v>4</v>
      </c>
      <c r="F1156" t="s">
        <v>15</v>
      </c>
      <c r="G1156">
        <v>4</v>
      </c>
      <c r="H1156">
        <v>3</v>
      </c>
      <c r="I1156" t="s">
        <v>19</v>
      </c>
      <c r="J1156">
        <v>19658</v>
      </c>
      <c r="K1156">
        <v>3</v>
      </c>
      <c r="L1156">
        <v>3</v>
      </c>
      <c r="M1156">
        <v>5</v>
      </c>
    </row>
    <row r="1157" spans="1:13">
      <c r="A1157">
        <v>39</v>
      </c>
      <c r="B1157" t="s">
        <v>17</v>
      </c>
      <c r="C1157" t="s">
        <v>18</v>
      </c>
      <c r="D1157">
        <v>3</v>
      </c>
      <c r="E1157">
        <v>2</v>
      </c>
      <c r="F1157" t="s">
        <v>21</v>
      </c>
      <c r="G1157">
        <v>3</v>
      </c>
      <c r="H1157">
        <v>3</v>
      </c>
      <c r="I1157" t="s">
        <v>22</v>
      </c>
      <c r="J1157">
        <v>3069</v>
      </c>
      <c r="K1157">
        <v>0</v>
      </c>
      <c r="L1157">
        <v>3</v>
      </c>
      <c r="M1157">
        <v>10</v>
      </c>
    </row>
    <row r="1158" spans="1:13">
      <c r="A1158">
        <v>40</v>
      </c>
      <c r="B1158" t="s">
        <v>17</v>
      </c>
      <c r="C1158" t="s">
        <v>18</v>
      </c>
      <c r="D1158">
        <v>15</v>
      </c>
      <c r="E1158">
        <v>3</v>
      </c>
      <c r="F1158" t="s">
        <v>15</v>
      </c>
      <c r="G1158">
        <v>1</v>
      </c>
      <c r="H1158">
        <v>3</v>
      </c>
      <c r="I1158" t="s">
        <v>19</v>
      </c>
      <c r="J1158">
        <v>10435</v>
      </c>
      <c r="K1158">
        <v>1</v>
      </c>
      <c r="L1158">
        <v>3</v>
      </c>
      <c r="M1158">
        <v>18</v>
      </c>
    </row>
    <row r="1159" spans="1:13">
      <c r="A1159">
        <v>35</v>
      </c>
      <c r="B1159" t="s">
        <v>17</v>
      </c>
      <c r="C1159" t="s">
        <v>18</v>
      </c>
      <c r="D1159">
        <v>8</v>
      </c>
      <c r="E1159">
        <v>4</v>
      </c>
      <c r="F1159" t="s">
        <v>15</v>
      </c>
      <c r="G1159">
        <v>3</v>
      </c>
      <c r="H1159">
        <v>3</v>
      </c>
      <c r="I1159" t="s">
        <v>19</v>
      </c>
      <c r="J1159">
        <v>4148</v>
      </c>
      <c r="K1159">
        <v>1</v>
      </c>
      <c r="L1159">
        <v>3</v>
      </c>
      <c r="M1159">
        <v>14</v>
      </c>
    </row>
    <row r="1160" spans="1:13">
      <c r="A1160">
        <v>37</v>
      </c>
      <c r="B1160" t="s">
        <v>17</v>
      </c>
      <c r="C1160" t="s">
        <v>18</v>
      </c>
      <c r="D1160">
        <v>19</v>
      </c>
      <c r="E1160">
        <v>3</v>
      </c>
      <c r="F1160" t="s">
        <v>15</v>
      </c>
      <c r="G1160">
        <v>3</v>
      </c>
      <c r="H1160">
        <v>3</v>
      </c>
      <c r="I1160" t="s">
        <v>19</v>
      </c>
      <c r="J1160">
        <v>5768</v>
      </c>
      <c r="K1160">
        <v>3</v>
      </c>
      <c r="L1160">
        <v>2</v>
      </c>
      <c r="M1160">
        <v>4</v>
      </c>
    </row>
    <row r="1161" spans="1:13">
      <c r="A1161">
        <v>39</v>
      </c>
      <c r="B1161" t="s">
        <v>17</v>
      </c>
      <c r="C1161" t="s">
        <v>18</v>
      </c>
      <c r="D1161">
        <v>4</v>
      </c>
      <c r="E1161">
        <v>3</v>
      </c>
      <c r="F1161" t="s">
        <v>21</v>
      </c>
      <c r="G1161">
        <v>1</v>
      </c>
      <c r="H1161">
        <v>3</v>
      </c>
      <c r="I1161" t="s">
        <v>16</v>
      </c>
      <c r="J1161">
        <v>5042</v>
      </c>
      <c r="K1161">
        <v>0</v>
      </c>
      <c r="L1161">
        <v>1</v>
      </c>
      <c r="M1161">
        <v>9</v>
      </c>
    </row>
    <row r="1162" spans="1:13">
      <c r="A1162">
        <v>45</v>
      </c>
      <c r="B1162" t="s">
        <v>17</v>
      </c>
      <c r="C1162" t="s">
        <v>18</v>
      </c>
      <c r="D1162">
        <v>2</v>
      </c>
      <c r="E1162">
        <v>2</v>
      </c>
      <c r="F1162" t="s">
        <v>20</v>
      </c>
      <c r="G1162">
        <v>4</v>
      </c>
      <c r="H1162">
        <v>4</v>
      </c>
      <c r="I1162" t="s">
        <v>22</v>
      </c>
      <c r="J1162">
        <v>5770</v>
      </c>
      <c r="K1162">
        <v>1</v>
      </c>
      <c r="L1162">
        <v>3</v>
      </c>
      <c r="M1162">
        <v>10</v>
      </c>
    </row>
    <row r="1163" spans="1:13">
      <c r="A1163">
        <v>38</v>
      </c>
      <c r="B1163" t="s">
        <v>17</v>
      </c>
      <c r="C1163" t="s">
        <v>18</v>
      </c>
      <c r="D1163">
        <v>2</v>
      </c>
      <c r="E1163">
        <v>2</v>
      </c>
      <c r="F1163" t="s">
        <v>21</v>
      </c>
      <c r="G1163">
        <v>4</v>
      </c>
      <c r="H1163">
        <v>3</v>
      </c>
      <c r="I1163" t="s">
        <v>19</v>
      </c>
      <c r="J1163">
        <v>7756</v>
      </c>
      <c r="K1163">
        <v>3</v>
      </c>
      <c r="L1163">
        <v>4</v>
      </c>
      <c r="M1163">
        <v>5</v>
      </c>
    </row>
    <row r="1164" spans="1:13">
      <c r="A1164">
        <v>35</v>
      </c>
      <c r="B1164" t="s">
        <v>13</v>
      </c>
      <c r="C1164" t="s">
        <v>14</v>
      </c>
      <c r="D1164">
        <v>10</v>
      </c>
      <c r="E1164">
        <v>3</v>
      </c>
      <c r="F1164" t="s">
        <v>21</v>
      </c>
      <c r="G1164">
        <v>4</v>
      </c>
      <c r="H1164">
        <v>1</v>
      </c>
      <c r="I1164" t="s">
        <v>19</v>
      </c>
      <c r="J1164">
        <v>10306</v>
      </c>
      <c r="K1164">
        <v>9</v>
      </c>
      <c r="L1164">
        <v>3</v>
      </c>
      <c r="M1164">
        <v>13</v>
      </c>
    </row>
    <row r="1165" spans="1:13">
      <c r="A1165">
        <v>37</v>
      </c>
      <c r="B1165" t="s">
        <v>17</v>
      </c>
      <c r="C1165" t="s">
        <v>18</v>
      </c>
      <c r="D1165">
        <v>10</v>
      </c>
      <c r="E1165">
        <v>3</v>
      </c>
      <c r="F1165" t="s">
        <v>21</v>
      </c>
      <c r="G1165">
        <v>2</v>
      </c>
      <c r="H1165">
        <v>2</v>
      </c>
      <c r="I1165" t="s">
        <v>19</v>
      </c>
      <c r="J1165">
        <v>3936</v>
      </c>
      <c r="K1165">
        <v>1</v>
      </c>
      <c r="L1165">
        <v>1</v>
      </c>
      <c r="M1165">
        <v>8</v>
      </c>
    </row>
    <row r="1166" spans="1:13">
      <c r="A1166">
        <v>40</v>
      </c>
      <c r="B1166" t="s">
        <v>17</v>
      </c>
      <c r="C1166" t="s">
        <v>18</v>
      </c>
      <c r="D1166">
        <v>16</v>
      </c>
      <c r="E1166">
        <v>3</v>
      </c>
      <c r="F1166" t="s">
        <v>15</v>
      </c>
      <c r="G1166">
        <v>3</v>
      </c>
      <c r="H1166">
        <v>4</v>
      </c>
      <c r="I1166" t="s">
        <v>16</v>
      </c>
      <c r="J1166">
        <v>7945</v>
      </c>
      <c r="K1166">
        <v>6</v>
      </c>
      <c r="L1166">
        <v>2</v>
      </c>
      <c r="M1166">
        <v>4</v>
      </c>
    </row>
    <row r="1167" spans="1:13">
      <c r="A1167">
        <v>44</v>
      </c>
      <c r="B1167" t="s">
        <v>17</v>
      </c>
      <c r="C1167" t="s">
        <v>25</v>
      </c>
      <c r="D1167">
        <v>1</v>
      </c>
      <c r="E1167">
        <v>5</v>
      </c>
      <c r="F1167" t="s">
        <v>25</v>
      </c>
      <c r="G1167">
        <v>1</v>
      </c>
      <c r="H1167">
        <v>4</v>
      </c>
      <c r="I1167" t="s">
        <v>19</v>
      </c>
      <c r="J1167">
        <v>5743</v>
      </c>
      <c r="K1167">
        <v>4</v>
      </c>
      <c r="L1167">
        <v>3</v>
      </c>
      <c r="M1167">
        <v>10</v>
      </c>
    </row>
    <row r="1168" spans="1:13">
      <c r="A1168">
        <v>48</v>
      </c>
      <c r="B1168" t="s">
        <v>17</v>
      </c>
      <c r="C1168" t="s">
        <v>18</v>
      </c>
      <c r="D1168">
        <v>4</v>
      </c>
      <c r="E1168">
        <v>5</v>
      </c>
      <c r="F1168" t="s">
        <v>21</v>
      </c>
      <c r="G1168">
        <v>3</v>
      </c>
      <c r="H1168">
        <v>4</v>
      </c>
      <c r="I1168" t="s">
        <v>19</v>
      </c>
      <c r="J1168">
        <v>15202</v>
      </c>
      <c r="K1168">
        <v>2</v>
      </c>
      <c r="L1168">
        <v>3</v>
      </c>
      <c r="M1168">
        <v>2</v>
      </c>
    </row>
    <row r="1169" spans="1:13">
      <c r="A1169">
        <v>35</v>
      </c>
      <c r="B1169" t="s">
        <v>13</v>
      </c>
      <c r="C1169" t="s">
        <v>14</v>
      </c>
      <c r="D1169">
        <v>15</v>
      </c>
      <c r="E1169">
        <v>2</v>
      </c>
      <c r="F1169" t="s">
        <v>21</v>
      </c>
      <c r="G1169">
        <v>1</v>
      </c>
      <c r="H1169">
        <v>4</v>
      </c>
      <c r="I1169" t="s">
        <v>22</v>
      </c>
      <c r="J1169">
        <v>5440</v>
      </c>
      <c r="K1169">
        <v>6</v>
      </c>
      <c r="L1169">
        <v>2</v>
      </c>
      <c r="M1169">
        <v>2</v>
      </c>
    </row>
    <row r="1170" spans="1:13">
      <c r="A1170">
        <v>24</v>
      </c>
      <c r="B1170" t="s">
        <v>17</v>
      </c>
      <c r="C1170" t="s">
        <v>18</v>
      </c>
      <c r="D1170">
        <v>2</v>
      </c>
      <c r="E1170">
        <v>1</v>
      </c>
      <c r="F1170" t="s">
        <v>24</v>
      </c>
      <c r="G1170">
        <v>1</v>
      </c>
      <c r="H1170">
        <v>4</v>
      </c>
      <c r="I1170" t="s">
        <v>16</v>
      </c>
      <c r="J1170">
        <v>3760</v>
      </c>
      <c r="K1170">
        <v>1</v>
      </c>
      <c r="L1170">
        <v>3</v>
      </c>
      <c r="M1170">
        <v>6</v>
      </c>
    </row>
    <row r="1171" spans="1:13">
      <c r="A1171">
        <v>27</v>
      </c>
      <c r="B1171" t="s">
        <v>17</v>
      </c>
      <c r="C1171" t="s">
        <v>18</v>
      </c>
      <c r="D1171">
        <v>8</v>
      </c>
      <c r="E1171">
        <v>3</v>
      </c>
      <c r="F1171" t="s">
        <v>21</v>
      </c>
      <c r="G1171">
        <v>2</v>
      </c>
      <c r="H1171">
        <v>3</v>
      </c>
      <c r="I1171" t="s">
        <v>19</v>
      </c>
      <c r="J1171">
        <v>3517</v>
      </c>
      <c r="K1171">
        <v>7</v>
      </c>
      <c r="L1171">
        <v>3</v>
      </c>
      <c r="M1171">
        <v>3</v>
      </c>
    </row>
    <row r="1172" spans="1:13">
      <c r="A1172">
        <v>27</v>
      </c>
      <c r="B1172" t="s">
        <v>17</v>
      </c>
      <c r="C1172" t="s">
        <v>18</v>
      </c>
      <c r="D1172">
        <v>2</v>
      </c>
      <c r="E1172">
        <v>3</v>
      </c>
      <c r="F1172" t="s">
        <v>21</v>
      </c>
      <c r="G1172">
        <v>4</v>
      </c>
      <c r="H1172">
        <v>4</v>
      </c>
      <c r="I1172" t="s">
        <v>16</v>
      </c>
      <c r="J1172">
        <v>2580</v>
      </c>
      <c r="K1172">
        <v>2</v>
      </c>
      <c r="L1172">
        <v>2</v>
      </c>
      <c r="M1172">
        <v>4</v>
      </c>
    </row>
    <row r="1173" spans="1:13">
      <c r="A1173">
        <v>40</v>
      </c>
      <c r="B1173" t="s">
        <v>13</v>
      </c>
      <c r="C1173" t="s">
        <v>18</v>
      </c>
      <c r="D1173">
        <v>7</v>
      </c>
      <c r="E1173">
        <v>3</v>
      </c>
      <c r="F1173" t="s">
        <v>15</v>
      </c>
      <c r="G1173">
        <v>1</v>
      </c>
      <c r="H1173">
        <v>1</v>
      </c>
      <c r="I1173" t="s">
        <v>16</v>
      </c>
      <c r="J1173">
        <v>2166</v>
      </c>
      <c r="K1173">
        <v>3</v>
      </c>
      <c r="L1173">
        <v>1</v>
      </c>
      <c r="M1173">
        <v>4</v>
      </c>
    </row>
    <row r="1174" spans="1:13">
      <c r="A1174">
        <v>29</v>
      </c>
      <c r="B1174" t="s">
        <v>17</v>
      </c>
      <c r="C1174" t="s">
        <v>14</v>
      </c>
      <c r="D1174">
        <v>10</v>
      </c>
      <c r="E1174">
        <v>3</v>
      </c>
      <c r="F1174" t="s">
        <v>21</v>
      </c>
      <c r="G1174">
        <v>3</v>
      </c>
      <c r="H1174">
        <v>3</v>
      </c>
      <c r="I1174" t="s">
        <v>16</v>
      </c>
      <c r="J1174">
        <v>5869</v>
      </c>
      <c r="K1174">
        <v>9</v>
      </c>
      <c r="L1174">
        <v>3</v>
      </c>
      <c r="M1174">
        <v>5</v>
      </c>
    </row>
    <row r="1175" spans="1:13">
      <c r="A1175">
        <v>36</v>
      </c>
      <c r="B1175" t="s">
        <v>17</v>
      </c>
      <c r="C1175" t="s">
        <v>18</v>
      </c>
      <c r="D1175">
        <v>5</v>
      </c>
      <c r="E1175">
        <v>4</v>
      </c>
      <c r="F1175" t="s">
        <v>15</v>
      </c>
      <c r="G1175">
        <v>2</v>
      </c>
      <c r="H1175">
        <v>1</v>
      </c>
      <c r="I1175" t="s">
        <v>19</v>
      </c>
      <c r="J1175">
        <v>8008</v>
      </c>
      <c r="K1175">
        <v>4</v>
      </c>
      <c r="L1175">
        <v>3</v>
      </c>
      <c r="M1175">
        <v>3</v>
      </c>
    </row>
    <row r="1176" spans="1:13">
      <c r="A1176">
        <v>25</v>
      </c>
      <c r="B1176" t="s">
        <v>17</v>
      </c>
      <c r="C1176" t="s">
        <v>18</v>
      </c>
      <c r="D1176">
        <v>2</v>
      </c>
      <c r="E1176">
        <v>1</v>
      </c>
      <c r="F1176" t="s">
        <v>15</v>
      </c>
      <c r="G1176">
        <v>4</v>
      </c>
      <c r="H1176">
        <v>3</v>
      </c>
      <c r="I1176" t="s">
        <v>22</v>
      </c>
      <c r="J1176">
        <v>5206</v>
      </c>
      <c r="K1176">
        <v>1</v>
      </c>
      <c r="L1176">
        <v>3</v>
      </c>
      <c r="M1176">
        <v>7</v>
      </c>
    </row>
    <row r="1177" spans="1:13">
      <c r="A1177">
        <v>39</v>
      </c>
      <c r="B1177" t="s">
        <v>17</v>
      </c>
      <c r="C1177" t="s">
        <v>18</v>
      </c>
      <c r="D1177">
        <v>12</v>
      </c>
      <c r="E1177">
        <v>3</v>
      </c>
      <c r="F1177" t="s">
        <v>21</v>
      </c>
      <c r="G1177">
        <v>4</v>
      </c>
      <c r="H1177">
        <v>2</v>
      </c>
      <c r="I1177" t="s">
        <v>19</v>
      </c>
      <c r="J1177">
        <v>5295</v>
      </c>
      <c r="K1177">
        <v>4</v>
      </c>
      <c r="L1177">
        <v>3</v>
      </c>
      <c r="M1177">
        <v>5</v>
      </c>
    </row>
    <row r="1178" spans="1:13">
      <c r="A1178">
        <v>49</v>
      </c>
      <c r="B1178" t="s">
        <v>17</v>
      </c>
      <c r="C1178" t="s">
        <v>18</v>
      </c>
      <c r="D1178">
        <v>22</v>
      </c>
      <c r="E1178">
        <v>4</v>
      </c>
      <c r="F1178" t="s">
        <v>20</v>
      </c>
      <c r="G1178">
        <v>1</v>
      </c>
      <c r="H1178">
        <v>2</v>
      </c>
      <c r="I1178" t="s">
        <v>19</v>
      </c>
      <c r="J1178">
        <v>16413</v>
      </c>
      <c r="K1178">
        <v>3</v>
      </c>
      <c r="L1178">
        <v>3</v>
      </c>
      <c r="M1178">
        <v>4</v>
      </c>
    </row>
    <row r="1179" spans="1:13">
      <c r="A1179">
        <v>50</v>
      </c>
      <c r="B1179" t="s">
        <v>17</v>
      </c>
      <c r="C1179" t="s">
        <v>18</v>
      </c>
      <c r="D1179">
        <v>17</v>
      </c>
      <c r="E1179">
        <v>5</v>
      </c>
      <c r="F1179" t="s">
        <v>15</v>
      </c>
      <c r="G1179">
        <v>4</v>
      </c>
      <c r="H1179">
        <v>1</v>
      </c>
      <c r="I1179" t="s">
        <v>22</v>
      </c>
      <c r="J1179">
        <v>13269</v>
      </c>
      <c r="K1179">
        <v>5</v>
      </c>
      <c r="L1179">
        <v>3</v>
      </c>
      <c r="M1179">
        <v>14</v>
      </c>
    </row>
    <row r="1180" spans="1:13">
      <c r="A1180">
        <v>20</v>
      </c>
      <c r="B1180" t="s">
        <v>17</v>
      </c>
      <c r="C1180" t="s">
        <v>14</v>
      </c>
      <c r="D1180">
        <v>2</v>
      </c>
      <c r="E1180">
        <v>3</v>
      </c>
      <c r="F1180" t="s">
        <v>21</v>
      </c>
      <c r="G1180">
        <v>3</v>
      </c>
      <c r="H1180">
        <v>3</v>
      </c>
      <c r="I1180" t="s">
        <v>16</v>
      </c>
      <c r="J1180">
        <v>2783</v>
      </c>
      <c r="K1180">
        <v>1</v>
      </c>
      <c r="L1180">
        <v>3</v>
      </c>
      <c r="M1180">
        <v>2</v>
      </c>
    </row>
    <row r="1181" spans="1:13">
      <c r="A1181">
        <v>34</v>
      </c>
      <c r="B1181" t="s">
        <v>17</v>
      </c>
      <c r="C1181" t="s">
        <v>18</v>
      </c>
      <c r="D1181">
        <v>3</v>
      </c>
      <c r="E1181">
        <v>3</v>
      </c>
      <c r="F1181" t="s">
        <v>15</v>
      </c>
      <c r="G1181">
        <v>4</v>
      </c>
      <c r="H1181">
        <v>2</v>
      </c>
      <c r="I1181" t="s">
        <v>22</v>
      </c>
      <c r="J1181">
        <v>5433</v>
      </c>
      <c r="K1181">
        <v>1</v>
      </c>
      <c r="L1181">
        <v>3</v>
      </c>
      <c r="M1181">
        <v>11</v>
      </c>
    </row>
    <row r="1182" spans="1:13">
      <c r="A1182">
        <v>36</v>
      </c>
      <c r="B1182" t="s">
        <v>17</v>
      </c>
      <c r="C1182" t="s">
        <v>18</v>
      </c>
      <c r="D1182">
        <v>7</v>
      </c>
      <c r="E1182">
        <v>3</v>
      </c>
      <c r="F1182" t="s">
        <v>15</v>
      </c>
      <c r="G1182">
        <v>1</v>
      </c>
      <c r="H1182">
        <v>2</v>
      </c>
      <c r="I1182" t="s">
        <v>16</v>
      </c>
      <c r="J1182">
        <v>2013</v>
      </c>
      <c r="K1182">
        <v>2</v>
      </c>
      <c r="L1182">
        <v>3</v>
      </c>
      <c r="M1182">
        <v>4</v>
      </c>
    </row>
    <row r="1183" spans="1:13">
      <c r="A1183">
        <v>49</v>
      </c>
      <c r="B1183" t="s">
        <v>17</v>
      </c>
      <c r="C1183" t="s">
        <v>18</v>
      </c>
      <c r="D1183">
        <v>6</v>
      </c>
      <c r="E1183">
        <v>1</v>
      </c>
      <c r="F1183" t="s">
        <v>15</v>
      </c>
      <c r="G1183">
        <v>3</v>
      </c>
      <c r="H1183">
        <v>3</v>
      </c>
      <c r="I1183" t="s">
        <v>19</v>
      </c>
      <c r="J1183">
        <v>13966</v>
      </c>
      <c r="K1183">
        <v>2</v>
      </c>
      <c r="L1183">
        <v>3</v>
      </c>
      <c r="M1183">
        <v>15</v>
      </c>
    </row>
    <row r="1184" spans="1:13">
      <c r="A1184">
        <v>36</v>
      </c>
      <c r="B1184" t="s">
        <v>17</v>
      </c>
      <c r="C1184" t="s">
        <v>18</v>
      </c>
      <c r="D1184">
        <v>1</v>
      </c>
      <c r="E1184">
        <v>4</v>
      </c>
      <c r="F1184" t="s">
        <v>21</v>
      </c>
      <c r="G1184">
        <v>4</v>
      </c>
      <c r="H1184">
        <v>3</v>
      </c>
      <c r="I1184" t="s">
        <v>19</v>
      </c>
      <c r="J1184">
        <v>4374</v>
      </c>
      <c r="K1184">
        <v>0</v>
      </c>
      <c r="L1184">
        <v>3</v>
      </c>
      <c r="M1184">
        <v>3</v>
      </c>
    </row>
    <row r="1185" spans="1:13">
      <c r="A1185">
        <v>36</v>
      </c>
      <c r="B1185" t="s">
        <v>17</v>
      </c>
      <c r="C1185" t="s">
        <v>18</v>
      </c>
      <c r="D1185">
        <v>3</v>
      </c>
      <c r="E1185">
        <v>2</v>
      </c>
      <c r="F1185" t="s">
        <v>15</v>
      </c>
      <c r="G1185">
        <v>4</v>
      </c>
      <c r="H1185">
        <v>1</v>
      </c>
      <c r="I1185" t="s">
        <v>22</v>
      </c>
      <c r="J1185">
        <v>6842</v>
      </c>
      <c r="K1185">
        <v>6</v>
      </c>
      <c r="L1185">
        <v>3</v>
      </c>
      <c r="M1185">
        <v>5</v>
      </c>
    </row>
    <row r="1186" spans="1:13">
      <c r="A1186">
        <v>54</v>
      </c>
      <c r="B1186" t="s">
        <v>17</v>
      </c>
      <c r="C1186" t="s">
        <v>18</v>
      </c>
      <c r="D1186">
        <v>22</v>
      </c>
      <c r="E1186">
        <v>5</v>
      </c>
      <c r="F1186" t="s">
        <v>21</v>
      </c>
      <c r="G1186">
        <v>2</v>
      </c>
      <c r="H1186">
        <v>3</v>
      </c>
      <c r="I1186" t="s">
        <v>19</v>
      </c>
      <c r="J1186">
        <v>17426</v>
      </c>
      <c r="K1186">
        <v>3</v>
      </c>
      <c r="L1186">
        <v>3</v>
      </c>
      <c r="M1186">
        <v>10</v>
      </c>
    </row>
    <row r="1187" spans="1:13">
      <c r="A1187">
        <v>43</v>
      </c>
      <c r="B1187" t="s">
        <v>17</v>
      </c>
      <c r="C1187" t="s">
        <v>18</v>
      </c>
      <c r="D1187">
        <v>15</v>
      </c>
      <c r="E1187">
        <v>2</v>
      </c>
      <c r="F1187" t="s">
        <v>15</v>
      </c>
      <c r="G1187">
        <v>3</v>
      </c>
      <c r="H1187">
        <v>3</v>
      </c>
      <c r="I1187" t="s">
        <v>19</v>
      </c>
      <c r="J1187">
        <v>17603</v>
      </c>
      <c r="K1187">
        <v>1</v>
      </c>
      <c r="L1187">
        <v>3</v>
      </c>
      <c r="M1187">
        <v>14</v>
      </c>
    </row>
    <row r="1188" spans="1:13">
      <c r="A1188">
        <v>35</v>
      </c>
      <c r="B1188" t="s">
        <v>13</v>
      </c>
      <c r="C1188" t="s">
        <v>14</v>
      </c>
      <c r="D1188">
        <v>12</v>
      </c>
      <c r="E1188">
        <v>4</v>
      </c>
      <c r="F1188" t="s">
        <v>20</v>
      </c>
      <c r="G1188">
        <v>4</v>
      </c>
      <c r="H1188">
        <v>4</v>
      </c>
      <c r="I1188" t="s">
        <v>16</v>
      </c>
      <c r="J1188">
        <v>4581</v>
      </c>
      <c r="K1188">
        <v>3</v>
      </c>
      <c r="L1188">
        <v>4</v>
      </c>
      <c r="M1188">
        <v>11</v>
      </c>
    </row>
    <row r="1189" spans="1:13">
      <c r="A1189">
        <v>38</v>
      </c>
      <c r="B1189" t="s">
        <v>17</v>
      </c>
      <c r="C1189" t="s">
        <v>18</v>
      </c>
      <c r="D1189">
        <v>1</v>
      </c>
      <c r="E1189">
        <v>3</v>
      </c>
      <c r="F1189" t="s">
        <v>15</v>
      </c>
      <c r="G1189">
        <v>4</v>
      </c>
      <c r="H1189">
        <v>4</v>
      </c>
      <c r="I1189" t="s">
        <v>19</v>
      </c>
      <c r="J1189">
        <v>4735</v>
      </c>
      <c r="K1189">
        <v>7</v>
      </c>
      <c r="L1189">
        <v>4</v>
      </c>
      <c r="M1189">
        <v>13</v>
      </c>
    </row>
    <row r="1190" spans="1:13">
      <c r="A1190">
        <v>29</v>
      </c>
      <c r="B1190" t="s">
        <v>17</v>
      </c>
      <c r="C1190" t="s">
        <v>14</v>
      </c>
      <c r="D1190">
        <v>5</v>
      </c>
      <c r="E1190">
        <v>3</v>
      </c>
      <c r="F1190" t="s">
        <v>21</v>
      </c>
      <c r="G1190">
        <v>1</v>
      </c>
      <c r="H1190">
        <v>2</v>
      </c>
      <c r="I1190" t="s">
        <v>22</v>
      </c>
      <c r="J1190">
        <v>4187</v>
      </c>
      <c r="K1190">
        <v>1</v>
      </c>
      <c r="L1190">
        <v>2</v>
      </c>
      <c r="M1190">
        <v>10</v>
      </c>
    </row>
    <row r="1191" spans="1:13">
      <c r="A1191">
        <v>33</v>
      </c>
      <c r="B1191" t="s">
        <v>17</v>
      </c>
      <c r="C1191" t="s">
        <v>14</v>
      </c>
      <c r="D1191">
        <v>2</v>
      </c>
      <c r="E1191">
        <v>4</v>
      </c>
      <c r="F1191" t="s">
        <v>21</v>
      </c>
      <c r="G1191">
        <v>4</v>
      </c>
      <c r="H1191">
        <v>4</v>
      </c>
      <c r="I1191" t="s">
        <v>22</v>
      </c>
      <c r="J1191">
        <v>5505</v>
      </c>
      <c r="K1191">
        <v>1</v>
      </c>
      <c r="L1191">
        <v>3</v>
      </c>
      <c r="M1191">
        <v>6</v>
      </c>
    </row>
    <row r="1192" spans="1:13">
      <c r="A1192">
        <v>32</v>
      </c>
      <c r="B1192" t="s">
        <v>17</v>
      </c>
      <c r="C1192" t="s">
        <v>18</v>
      </c>
      <c r="D1192">
        <v>2</v>
      </c>
      <c r="E1192">
        <v>3</v>
      </c>
      <c r="F1192" t="s">
        <v>21</v>
      </c>
      <c r="G1192">
        <v>4</v>
      </c>
      <c r="H1192">
        <v>2</v>
      </c>
      <c r="I1192" t="s">
        <v>22</v>
      </c>
      <c r="J1192">
        <v>5470</v>
      </c>
      <c r="K1192">
        <v>0</v>
      </c>
      <c r="L1192">
        <v>2</v>
      </c>
      <c r="M1192">
        <v>9</v>
      </c>
    </row>
    <row r="1193" spans="1:13">
      <c r="A1193">
        <v>31</v>
      </c>
      <c r="B1193" t="s">
        <v>17</v>
      </c>
      <c r="C1193" t="s">
        <v>14</v>
      </c>
      <c r="D1193">
        <v>5</v>
      </c>
      <c r="E1193">
        <v>4</v>
      </c>
      <c r="F1193" t="s">
        <v>15</v>
      </c>
      <c r="G1193">
        <v>1</v>
      </c>
      <c r="H1193">
        <v>4</v>
      </c>
      <c r="I1193" t="s">
        <v>19</v>
      </c>
      <c r="J1193">
        <v>5476</v>
      </c>
      <c r="K1193">
        <v>1</v>
      </c>
      <c r="L1193">
        <v>3</v>
      </c>
      <c r="M1193">
        <v>10</v>
      </c>
    </row>
    <row r="1194" spans="1:13">
      <c r="A1194">
        <v>49</v>
      </c>
      <c r="B1194" t="s">
        <v>17</v>
      </c>
      <c r="C1194" t="s">
        <v>18</v>
      </c>
      <c r="D1194">
        <v>16</v>
      </c>
      <c r="E1194">
        <v>3</v>
      </c>
      <c r="F1194" t="s">
        <v>21</v>
      </c>
      <c r="G1194">
        <v>4</v>
      </c>
      <c r="H1194">
        <v>1</v>
      </c>
      <c r="I1194" t="s">
        <v>22</v>
      </c>
      <c r="J1194">
        <v>2587</v>
      </c>
      <c r="K1194">
        <v>4</v>
      </c>
      <c r="L1194">
        <v>2</v>
      </c>
      <c r="M1194">
        <v>2</v>
      </c>
    </row>
    <row r="1195" spans="1:13">
      <c r="A1195">
        <v>38</v>
      </c>
      <c r="B1195" t="s">
        <v>17</v>
      </c>
      <c r="C1195" t="s">
        <v>18</v>
      </c>
      <c r="D1195">
        <v>2</v>
      </c>
      <c r="E1195">
        <v>3</v>
      </c>
      <c r="F1195" t="s">
        <v>21</v>
      </c>
      <c r="G1195">
        <v>4</v>
      </c>
      <c r="H1195">
        <v>2</v>
      </c>
      <c r="I1195" t="s">
        <v>16</v>
      </c>
      <c r="J1195">
        <v>2440</v>
      </c>
      <c r="K1195">
        <v>1</v>
      </c>
      <c r="L1195">
        <v>3</v>
      </c>
      <c r="M1195">
        <v>4</v>
      </c>
    </row>
    <row r="1196" spans="1:13">
      <c r="A1196">
        <v>47</v>
      </c>
      <c r="B1196" t="s">
        <v>17</v>
      </c>
      <c r="C1196" t="s">
        <v>14</v>
      </c>
      <c r="D1196">
        <v>2</v>
      </c>
      <c r="E1196">
        <v>4</v>
      </c>
      <c r="F1196" t="s">
        <v>15</v>
      </c>
      <c r="G1196">
        <v>2</v>
      </c>
      <c r="H1196">
        <v>2</v>
      </c>
      <c r="I1196" t="s">
        <v>22</v>
      </c>
      <c r="J1196">
        <v>15972</v>
      </c>
      <c r="K1196">
        <v>6</v>
      </c>
      <c r="L1196">
        <v>3</v>
      </c>
      <c r="M1196">
        <v>3</v>
      </c>
    </row>
    <row r="1197" spans="1:13">
      <c r="A1197">
        <v>49</v>
      </c>
      <c r="B1197" t="s">
        <v>17</v>
      </c>
      <c r="C1197" t="s">
        <v>18</v>
      </c>
      <c r="D1197">
        <v>1</v>
      </c>
      <c r="E1197">
        <v>3</v>
      </c>
      <c r="F1197" t="s">
        <v>15</v>
      </c>
      <c r="G1197">
        <v>3</v>
      </c>
      <c r="H1197">
        <v>3</v>
      </c>
      <c r="I1197" t="s">
        <v>16</v>
      </c>
      <c r="J1197">
        <v>15379</v>
      </c>
      <c r="K1197">
        <v>4</v>
      </c>
      <c r="L1197">
        <v>3</v>
      </c>
      <c r="M1197">
        <v>8</v>
      </c>
    </row>
    <row r="1198" spans="1:13">
      <c r="A1198">
        <v>41</v>
      </c>
      <c r="B1198" t="s">
        <v>17</v>
      </c>
      <c r="C1198" t="s">
        <v>14</v>
      </c>
      <c r="D1198">
        <v>23</v>
      </c>
      <c r="E1198">
        <v>2</v>
      </c>
      <c r="F1198" t="s">
        <v>15</v>
      </c>
      <c r="G1198">
        <v>4</v>
      </c>
      <c r="H1198">
        <v>3</v>
      </c>
      <c r="I1198" t="s">
        <v>16</v>
      </c>
      <c r="J1198">
        <v>7082</v>
      </c>
      <c r="K1198">
        <v>3</v>
      </c>
      <c r="L1198">
        <v>3</v>
      </c>
      <c r="M1198">
        <v>2</v>
      </c>
    </row>
    <row r="1199" spans="1:13">
      <c r="A1199">
        <v>20</v>
      </c>
      <c r="B1199" t="s">
        <v>17</v>
      </c>
      <c r="C1199" t="s">
        <v>14</v>
      </c>
      <c r="D1199">
        <v>9</v>
      </c>
      <c r="E1199">
        <v>1</v>
      </c>
      <c r="F1199" t="s">
        <v>15</v>
      </c>
      <c r="G1199">
        <v>4</v>
      </c>
      <c r="H1199">
        <v>1</v>
      </c>
      <c r="I1199" t="s">
        <v>16</v>
      </c>
      <c r="J1199">
        <v>2728</v>
      </c>
      <c r="K1199">
        <v>1</v>
      </c>
      <c r="L1199">
        <v>3</v>
      </c>
      <c r="M1199">
        <v>2</v>
      </c>
    </row>
    <row r="1200" spans="1:13">
      <c r="A1200">
        <v>33</v>
      </c>
      <c r="B1200" t="s">
        <v>17</v>
      </c>
      <c r="C1200" t="s">
        <v>14</v>
      </c>
      <c r="D1200">
        <v>16</v>
      </c>
      <c r="E1200">
        <v>3</v>
      </c>
      <c r="F1200" t="s">
        <v>15</v>
      </c>
      <c r="G1200">
        <v>3</v>
      </c>
      <c r="H1200">
        <v>4</v>
      </c>
      <c r="I1200" t="s">
        <v>22</v>
      </c>
      <c r="J1200">
        <v>5368</v>
      </c>
      <c r="K1200">
        <v>1</v>
      </c>
      <c r="L1200">
        <v>3</v>
      </c>
      <c r="M1200">
        <v>6</v>
      </c>
    </row>
    <row r="1201" spans="1:13">
      <c r="A1201">
        <v>36</v>
      </c>
      <c r="B1201" t="s">
        <v>17</v>
      </c>
      <c r="C1201" t="s">
        <v>18</v>
      </c>
      <c r="D1201">
        <v>26</v>
      </c>
      <c r="E1201">
        <v>4</v>
      </c>
      <c r="F1201" t="s">
        <v>15</v>
      </c>
      <c r="G1201">
        <v>1</v>
      </c>
      <c r="H1201">
        <v>3</v>
      </c>
      <c r="I1201" t="s">
        <v>19</v>
      </c>
      <c r="J1201">
        <v>5347</v>
      </c>
      <c r="K1201">
        <v>6</v>
      </c>
      <c r="L1201">
        <v>2</v>
      </c>
      <c r="M1201">
        <v>3</v>
      </c>
    </row>
    <row r="1202" spans="1:13">
      <c r="A1202">
        <v>44</v>
      </c>
      <c r="B1202" t="s">
        <v>17</v>
      </c>
      <c r="C1202" t="s">
        <v>25</v>
      </c>
      <c r="D1202">
        <v>1</v>
      </c>
      <c r="E1202">
        <v>3</v>
      </c>
      <c r="F1202" t="s">
        <v>15</v>
      </c>
      <c r="G1202">
        <v>3</v>
      </c>
      <c r="H1202">
        <v>4</v>
      </c>
      <c r="I1202" t="s">
        <v>22</v>
      </c>
      <c r="J1202">
        <v>3195</v>
      </c>
      <c r="K1202">
        <v>4</v>
      </c>
      <c r="L1202">
        <v>3</v>
      </c>
      <c r="M1202">
        <v>2</v>
      </c>
    </row>
    <row r="1203" spans="1:13">
      <c r="A1203">
        <v>23</v>
      </c>
      <c r="B1203" t="s">
        <v>13</v>
      </c>
      <c r="C1203" t="s">
        <v>18</v>
      </c>
      <c r="D1203">
        <v>8</v>
      </c>
      <c r="E1203">
        <v>1</v>
      </c>
      <c r="F1203" t="s">
        <v>21</v>
      </c>
      <c r="G1203">
        <v>4</v>
      </c>
      <c r="H1203">
        <v>3</v>
      </c>
      <c r="I1203" t="s">
        <v>16</v>
      </c>
      <c r="J1203">
        <v>3989</v>
      </c>
      <c r="K1203">
        <v>1</v>
      </c>
      <c r="L1203">
        <v>3</v>
      </c>
      <c r="M1203">
        <v>5</v>
      </c>
    </row>
    <row r="1204" spans="1:13">
      <c r="A1204">
        <v>38</v>
      </c>
      <c r="B1204" t="s">
        <v>17</v>
      </c>
      <c r="C1204" t="s">
        <v>18</v>
      </c>
      <c r="D1204">
        <v>4</v>
      </c>
      <c r="E1204">
        <v>2</v>
      </c>
      <c r="F1204" t="s">
        <v>21</v>
      </c>
      <c r="G1204">
        <v>4</v>
      </c>
      <c r="H1204">
        <v>3</v>
      </c>
      <c r="I1204" t="s">
        <v>19</v>
      </c>
      <c r="J1204">
        <v>3306</v>
      </c>
      <c r="K1204">
        <v>7</v>
      </c>
      <c r="L1204">
        <v>2</v>
      </c>
      <c r="M1204">
        <v>0</v>
      </c>
    </row>
    <row r="1205" spans="1:13">
      <c r="A1205">
        <v>53</v>
      </c>
      <c r="B1205" t="s">
        <v>17</v>
      </c>
      <c r="C1205" t="s">
        <v>18</v>
      </c>
      <c r="D1205">
        <v>24</v>
      </c>
      <c r="E1205">
        <v>4</v>
      </c>
      <c r="F1205" t="s">
        <v>21</v>
      </c>
      <c r="G1205">
        <v>2</v>
      </c>
      <c r="H1205">
        <v>4</v>
      </c>
      <c r="I1205" t="s">
        <v>19</v>
      </c>
      <c r="J1205">
        <v>7005</v>
      </c>
      <c r="K1205">
        <v>3</v>
      </c>
      <c r="L1205">
        <v>3</v>
      </c>
      <c r="M1205">
        <v>4</v>
      </c>
    </row>
    <row r="1206" spans="1:13">
      <c r="A1206">
        <v>48</v>
      </c>
      <c r="B1206" t="s">
        <v>13</v>
      </c>
      <c r="C1206" t="s">
        <v>14</v>
      </c>
      <c r="D1206">
        <v>7</v>
      </c>
      <c r="E1206">
        <v>2</v>
      </c>
      <c r="F1206" t="s">
        <v>21</v>
      </c>
      <c r="G1206">
        <v>4</v>
      </c>
      <c r="H1206">
        <v>3</v>
      </c>
      <c r="I1206" t="s">
        <v>19</v>
      </c>
      <c r="J1206">
        <v>2655</v>
      </c>
      <c r="K1206">
        <v>2</v>
      </c>
      <c r="L1206">
        <v>3</v>
      </c>
      <c r="M1206">
        <v>9</v>
      </c>
    </row>
    <row r="1207" spans="1:13">
      <c r="A1207">
        <v>32</v>
      </c>
      <c r="B1207" t="s">
        <v>13</v>
      </c>
      <c r="C1207" t="s">
        <v>18</v>
      </c>
      <c r="D1207">
        <v>2</v>
      </c>
      <c r="E1207">
        <v>4</v>
      </c>
      <c r="F1207" t="s">
        <v>15</v>
      </c>
      <c r="G1207">
        <v>4</v>
      </c>
      <c r="H1207">
        <v>2</v>
      </c>
      <c r="I1207" t="s">
        <v>16</v>
      </c>
      <c r="J1207">
        <v>1393</v>
      </c>
      <c r="K1207">
        <v>1</v>
      </c>
      <c r="L1207">
        <v>3</v>
      </c>
      <c r="M1207">
        <v>1</v>
      </c>
    </row>
    <row r="1208" spans="1:13">
      <c r="A1208">
        <v>26</v>
      </c>
      <c r="B1208" t="s">
        <v>17</v>
      </c>
      <c r="C1208" t="s">
        <v>18</v>
      </c>
      <c r="D1208">
        <v>7</v>
      </c>
      <c r="E1208">
        <v>3</v>
      </c>
      <c r="F1208" t="s">
        <v>21</v>
      </c>
      <c r="G1208">
        <v>4</v>
      </c>
      <c r="H1208">
        <v>4</v>
      </c>
      <c r="I1208" t="s">
        <v>16</v>
      </c>
      <c r="J1208">
        <v>2570</v>
      </c>
      <c r="K1208">
        <v>1</v>
      </c>
      <c r="L1208">
        <v>3</v>
      </c>
      <c r="M1208">
        <v>7</v>
      </c>
    </row>
    <row r="1209" spans="1:13">
      <c r="A1209">
        <v>55</v>
      </c>
      <c r="B1209" t="s">
        <v>17</v>
      </c>
      <c r="C1209" t="s">
        <v>18</v>
      </c>
      <c r="D1209">
        <v>22</v>
      </c>
      <c r="E1209">
        <v>3</v>
      </c>
      <c r="F1209" t="s">
        <v>24</v>
      </c>
      <c r="G1209">
        <v>1</v>
      </c>
      <c r="H1209">
        <v>2</v>
      </c>
      <c r="I1209" t="s">
        <v>22</v>
      </c>
      <c r="J1209">
        <v>3537</v>
      </c>
      <c r="K1209">
        <v>5</v>
      </c>
      <c r="L1209">
        <v>3</v>
      </c>
      <c r="M1209">
        <v>4</v>
      </c>
    </row>
    <row r="1210" spans="1:13">
      <c r="A1210">
        <v>34</v>
      </c>
      <c r="B1210" t="s">
        <v>17</v>
      </c>
      <c r="C1210" t="s">
        <v>18</v>
      </c>
      <c r="D1210">
        <v>5</v>
      </c>
      <c r="E1210">
        <v>2</v>
      </c>
      <c r="F1210" t="s">
        <v>21</v>
      </c>
      <c r="G1210">
        <v>2</v>
      </c>
      <c r="H1210">
        <v>4</v>
      </c>
      <c r="I1210" t="s">
        <v>19</v>
      </c>
      <c r="J1210">
        <v>3986</v>
      </c>
      <c r="K1210">
        <v>1</v>
      </c>
      <c r="L1210">
        <v>4</v>
      </c>
      <c r="M1210">
        <v>15</v>
      </c>
    </row>
    <row r="1211" spans="1:13">
      <c r="A1211">
        <v>60</v>
      </c>
      <c r="B1211" t="s">
        <v>17</v>
      </c>
      <c r="C1211" t="s">
        <v>18</v>
      </c>
      <c r="D1211">
        <v>1</v>
      </c>
      <c r="E1211">
        <v>4</v>
      </c>
      <c r="F1211" t="s">
        <v>21</v>
      </c>
      <c r="G1211">
        <v>3</v>
      </c>
      <c r="H1211">
        <v>4</v>
      </c>
      <c r="I1211" t="s">
        <v>22</v>
      </c>
      <c r="J1211">
        <v>10883</v>
      </c>
      <c r="K1211">
        <v>3</v>
      </c>
      <c r="L1211">
        <v>4</v>
      </c>
      <c r="M1211">
        <v>1</v>
      </c>
    </row>
    <row r="1212" spans="1:13">
      <c r="A1212">
        <v>33</v>
      </c>
      <c r="B1212" t="s">
        <v>17</v>
      </c>
      <c r="C1212" t="s">
        <v>18</v>
      </c>
      <c r="D1212">
        <v>21</v>
      </c>
      <c r="E1212">
        <v>3</v>
      </c>
      <c r="F1212" t="s">
        <v>21</v>
      </c>
      <c r="G1212">
        <v>2</v>
      </c>
      <c r="H1212">
        <v>2</v>
      </c>
      <c r="I1212" t="s">
        <v>19</v>
      </c>
      <c r="J1212">
        <v>2028</v>
      </c>
      <c r="K1212">
        <v>1</v>
      </c>
      <c r="L1212">
        <v>3</v>
      </c>
      <c r="M1212">
        <v>14</v>
      </c>
    </row>
    <row r="1213" spans="1:13">
      <c r="A1213">
        <v>37</v>
      </c>
      <c r="B1213" t="s">
        <v>17</v>
      </c>
      <c r="C1213" t="s">
        <v>14</v>
      </c>
      <c r="D1213">
        <v>1</v>
      </c>
      <c r="E1213">
        <v>4</v>
      </c>
      <c r="F1213" t="s">
        <v>21</v>
      </c>
      <c r="G1213">
        <v>3</v>
      </c>
      <c r="H1213">
        <v>4</v>
      </c>
      <c r="I1213" t="s">
        <v>22</v>
      </c>
      <c r="J1213">
        <v>9525</v>
      </c>
      <c r="K1213">
        <v>1</v>
      </c>
      <c r="L1213">
        <v>2</v>
      </c>
      <c r="M1213">
        <v>6</v>
      </c>
    </row>
    <row r="1214" spans="1:13">
      <c r="A1214">
        <v>34</v>
      </c>
      <c r="B1214" t="s">
        <v>17</v>
      </c>
      <c r="C1214" t="s">
        <v>18</v>
      </c>
      <c r="D1214">
        <v>19</v>
      </c>
      <c r="E1214">
        <v>3</v>
      </c>
      <c r="F1214" t="s">
        <v>15</v>
      </c>
      <c r="G1214">
        <v>2</v>
      </c>
      <c r="H1214">
        <v>4</v>
      </c>
      <c r="I1214" t="s">
        <v>19</v>
      </c>
      <c r="J1214">
        <v>2929</v>
      </c>
      <c r="K1214">
        <v>1</v>
      </c>
      <c r="L1214">
        <v>3</v>
      </c>
      <c r="M1214">
        <v>10</v>
      </c>
    </row>
    <row r="1215" spans="1:13">
      <c r="A1215">
        <v>23</v>
      </c>
      <c r="B1215" t="s">
        <v>13</v>
      </c>
      <c r="C1215" t="s">
        <v>14</v>
      </c>
      <c r="D1215">
        <v>7</v>
      </c>
      <c r="E1215">
        <v>3</v>
      </c>
      <c r="F1215" t="s">
        <v>15</v>
      </c>
      <c r="G1215">
        <v>3</v>
      </c>
      <c r="H1215">
        <v>4</v>
      </c>
      <c r="I1215" t="s">
        <v>22</v>
      </c>
      <c r="J1215">
        <v>2275</v>
      </c>
      <c r="K1215">
        <v>1</v>
      </c>
      <c r="L1215">
        <v>3</v>
      </c>
      <c r="M1215">
        <v>3</v>
      </c>
    </row>
    <row r="1216" spans="1:13">
      <c r="A1216">
        <v>44</v>
      </c>
      <c r="B1216" t="s">
        <v>17</v>
      </c>
      <c r="C1216" t="s">
        <v>18</v>
      </c>
      <c r="D1216">
        <v>2</v>
      </c>
      <c r="E1216">
        <v>3</v>
      </c>
      <c r="F1216" t="s">
        <v>15</v>
      </c>
      <c r="G1216">
        <v>3</v>
      </c>
      <c r="H1216">
        <v>4</v>
      </c>
      <c r="I1216" t="s">
        <v>19</v>
      </c>
      <c r="J1216">
        <v>7879</v>
      </c>
      <c r="K1216">
        <v>1</v>
      </c>
      <c r="L1216">
        <v>3</v>
      </c>
      <c r="M1216">
        <v>8</v>
      </c>
    </row>
    <row r="1217" spans="1:13">
      <c r="A1217">
        <v>35</v>
      </c>
      <c r="B1217" t="s">
        <v>17</v>
      </c>
      <c r="C1217" t="s">
        <v>18</v>
      </c>
      <c r="D1217">
        <v>2</v>
      </c>
      <c r="E1217">
        <v>4</v>
      </c>
      <c r="F1217" t="s">
        <v>21</v>
      </c>
      <c r="G1217">
        <v>1</v>
      </c>
      <c r="H1217">
        <v>4</v>
      </c>
      <c r="I1217" t="s">
        <v>16</v>
      </c>
      <c r="J1217">
        <v>4930</v>
      </c>
      <c r="K1217">
        <v>0</v>
      </c>
      <c r="L1217">
        <v>4</v>
      </c>
      <c r="M1217">
        <v>5</v>
      </c>
    </row>
    <row r="1218" spans="1:13">
      <c r="A1218">
        <v>43</v>
      </c>
      <c r="B1218" t="s">
        <v>17</v>
      </c>
      <c r="C1218" t="s">
        <v>14</v>
      </c>
      <c r="D1218">
        <v>2</v>
      </c>
      <c r="E1218">
        <v>3</v>
      </c>
      <c r="F1218" t="s">
        <v>21</v>
      </c>
      <c r="G1218">
        <v>4</v>
      </c>
      <c r="H1218">
        <v>4</v>
      </c>
      <c r="I1218" t="s">
        <v>19</v>
      </c>
      <c r="J1218">
        <v>7847</v>
      </c>
      <c r="K1218">
        <v>1</v>
      </c>
      <c r="L1218">
        <v>3</v>
      </c>
      <c r="M1218">
        <v>10</v>
      </c>
    </row>
    <row r="1219" spans="1:13">
      <c r="A1219">
        <v>24</v>
      </c>
      <c r="B1219" t="s">
        <v>17</v>
      </c>
      <c r="C1219" t="s">
        <v>18</v>
      </c>
      <c r="D1219">
        <v>9</v>
      </c>
      <c r="E1219">
        <v>3</v>
      </c>
      <c r="F1219" t="s">
        <v>21</v>
      </c>
      <c r="G1219">
        <v>3</v>
      </c>
      <c r="H1219">
        <v>3</v>
      </c>
      <c r="I1219" t="s">
        <v>19</v>
      </c>
      <c r="J1219">
        <v>4401</v>
      </c>
      <c r="K1219">
        <v>1</v>
      </c>
      <c r="L1219">
        <v>3</v>
      </c>
      <c r="M1219">
        <v>5</v>
      </c>
    </row>
    <row r="1220" spans="1:13">
      <c r="A1220">
        <v>41</v>
      </c>
      <c r="B1220" t="s">
        <v>17</v>
      </c>
      <c r="C1220" t="s">
        <v>14</v>
      </c>
      <c r="D1220">
        <v>6</v>
      </c>
      <c r="E1220">
        <v>3</v>
      </c>
      <c r="F1220" t="s">
        <v>23</v>
      </c>
      <c r="G1220">
        <v>4</v>
      </c>
      <c r="H1220">
        <v>3</v>
      </c>
      <c r="I1220" t="s">
        <v>16</v>
      </c>
      <c r="J1220">
        <v>9241</v>
      </c>
      <c r="K1220">
        <v>1</v>
      </c>
      <c r="L1220">
        <v>3</v>
      </c>
      <c r="M1220">
        <v>10</v>
      </c>
    </row>
    <row r="1221" spans="1:13">
      <c r="A1221">
        <v>29</v>
      </c>
      <c r="B1221" t="s">
        <v>17</v>
      </c>
      <c r="C1221" t="s">
        <v>18</v>
      </c>
      <c r="D1221">
        <v>9</v>
      </c>
      <c r="E1221">
        <v>4</v>
      </c>
      <c r="F1221" t="s">
        <v>21</v>
      </c>
      <c r="G1221">
        <v>4</v>
      </c>
      <c r="H1221">
        <v>3</v>
      </c>
      <c r="I1221" t="s">
        <v>19</v>
      </c>
      <c r="J1221">
        <v>2974</v>
      </c>
      <c r="K1221">
        <v>9</v>
      </c>
      <c r="L1221">
        <v>3</v>
      </c>
      <c r="M1221">
        <v>5</v>
      </c>
    </row>
    <row r="1222" spans="1:13">
      <c r="A1222">
        <v>36</v>
      </c>
      <c r="B1222" t="s">
        <v>17</v>
      </c>
      <c r="C1222" t="s">
        <v>14</v>
      </c>
      <c r="D1222">
        <v>2</v>
      </c>
      <c r="E1222">
        <v>4</v>
      </c>
      <c r="F1222" t="s">
        <v>15</v>
      </c>
      <c r="G1222">
        <v>3</v>
      </c>
      <c r="H1222">
        <v>4</v>
      </c>
      <c r="I1222" t="s">
        <v>16</v>
      </c>
      <c r="J1222">
        <v>4502</v>
      </c>
      <c r="K1222">
        <v>3</v>
      </c>
      <c r="L1222">
        <v>2</v>
      </c>
      <c r="M1222">
        <v>13</v>
      </c>
    </row>
    <row r="1223" spans="1:13">
      <c r="A1223">
        <v>45</v>
      </c>
      <c r="B1223" t="s">
        <v>17</v>
      </c>
      <c r="C1223" t="s">
        <v>18</v>
      </c>
      <c r="D1223">
        <v>1</v>
      </c>
      <c r="E1223">
        <v>1</v>
      </c>
      <c r="F1223" t="s">
        <v>15</v>
      </c>
      <c r="G1223">
        <v>3</v>
      </c>
      <c r="H1223">
        <v>3</v>
      </c>
      <c r="I1223" t="s">
        <v>19</v>
      </c>
      <c r="J1223">
        <v>10748</v>
      </c>
      <c r="K1223">
        <v>3</v>
      </c>
      <c r="L1223">
        <v>2</v>
      </c>
      <c r="M1223">
        <v>23</v>
      </c>
    </row>
    <row r="1224" spans="1:13">
      <c r="A1224">
        <v>24</v>
      </c>
      <c r="B1224" t="s">
        <v>13</v>
      </c>
      <c r="C1224" t="s">
        <v>25</v>
      </c>
      <c r="D1224">
        <v>22</v>
      </c>
      <c r="E1224">
        <v>1</v>
      </c>
      <c r="F1224" t="s">
        <v>25</v>
      </c>
      <c r="G1224">
        <v>4</v>
      </c>
      <c r="H1224">
        <v>3</v>
      </c>
      <c r="I1224" t="s">
        <v>19</v>
      </c>
      <c r="J1224">
        <v>1555</v>
      </c>
      <c r="K1224">
        <v>1</v>
      </c>
      <c r="L1224">
        <v>3</v>
      </c>
      <c r="M1224">
        <v>1</v>
      </c>
    </row>
    <row r="1225" spans="1:13">
      <c r="A1225">
        <v>47</v>
      </c>
      <c r="B1225" t="s">
        <v>13</v>
      </c>
      <c r="C1225" t="s">
        <v>14</v>
      </c>
      <c r="D1225">
        <v>9</v>
      </c>
      <c r="E1225">
        <v>3</v>
      </c>
      <c r="F1225" t="s">
        <v>15</v>
      </c>
      <c r="G1225">
        <v>3</v>
      </c>
      <c r="H1225">
        <v>3</v>
      </c>
      <c r="I1225" t="s">
        <v>19</v>
      </c>
      <c r="J1225">
        <v>12936</v>
      </c>
      <c r="K1225">
        <v>7</v>
      </c>
      <c r="L1225">
        <v>1</v>
      </c>
      <c r="M1225">
        <v>23</v>
      </c>
    </row>
    <row r="1226" spans="1:13">
      <c r="A1226">
        <v>26</v>
      </c>
      <c r="B1226" t="s">
        <v>17</v>
      </c>
      <c r="C1226" t="s">
        <v>18</v>
      </c>
      <c r="D1226">
        <v>17</v>
      </c>
      <c r="E1226">
        <v>4</v>
      </c>
      <c r="F1226" t="s">
        <v>21</v>
      </c>
      <c r="G1226">
        <v>4</v>
      </c>
      <c r="H1226">
        <v>3</v>
      </c>
      <c r="I1226" t="s">
        <v>19</v>
      </c>
      <c r="J1226">
        <v>2305</v>
      </c>
      <c r="K1226">
        <v>1</v>
      </c>
      <c r="L1226">
        <v>4</v>
      </c>
      <c r="M1226">
        <v>3</v>
      </c>
    </row>
    <row r="1227" spans="1:13">
      <c r="A1227">
        <v>45</v>
      </c>
      <c r="B1227" t="s">
        <v>17</v>
      </c>
      <c r="C1227" t="s">
        <v>18</v>
      </c>
      <c r="D1227">
        <v>28</v>
      </c>
      <c r="E1227">
        <v>2</v>
      </c>
      <c r="F1227" t="s">
        <v>24</v>
      </c>
      <c r="G1227">
        <v>4</v>
      </c>
      <c r="H1227">
        <v>2</v>
      </c>
      <c r="I1227" t="s">
        <v>16</v>
      </c>
      <c r="J1227">
        <v>16704</v>
      </c>
      <c r="K1227">
        <v>1</v>
      </c>
      <c r="L1227">
        <v>3</v>
      </c>
      <c r="M1227">
        <v>21</v>
      </c>
    </row>
    <row r="1228" spans="1:13">
      <c r="A1228">
        <v>32</v>
      </c>
      <c r="B1228" t="s">
        <v>17</v>
      </c>
      <c r="C1228" t="s">
        <v>18</v>
      </c>
      <c r="D1228">
        <v>10</v>
      </c>
      <c r="E1228">
        <v>3</v>
      </c>
      <c r="F1228" t="s">
        <v>15</v>
      </c>
      <c r="G1228">
        <v>1</v>
      </c>
      <c r="H1228">
        <v>3</v>
      </c>
      <c r="I1228" t="s">
        <v>19</v>
      </c>
      <c r="J1228">
        <v>3433</v>
      </c>
      <c r="K1228">
        <v>6</v>
      </c>
      <c r="L1228">
        <v>2</v>
      </c>
      <c r="M1228">
        <v>5</v>
      </c>
    </row>
    <row r="1229" spans="1:13">
      <c r="A1229">
        <v>31</v>
      </c>
      <c r="B1229" t="s">
        <v>17</v>
      </c>
      <c r="C1229" t="s">
        <v>18</v>
      </c>
      <c r="D1229">
        <v>2</v>
      </c>
      <c r="E1229">
        <v>4</v>
      </c>
      <c r="F1229" t="s">
        <v>15</v>
      </c>
      <c r="G1229">
        <v>2</v>
      </c>
      <c r="H1229">
        <v>3</v>
      </c>
      <c r="I1229" t="s">
        <v>19</v>
      </c>
      <c r="J1229">
        <v>3477</v>
      </c>
      <c r="K1229">
        <v>1</v>
      </c>
      <c r="L1229">
        <v>4</v>
      </c>
      <c r="M1229">
        <v>5</v>
      </c>
    </row>
    <row r="1230" spans="1:13">
      <c r="A1230">
        <v>41</v>
      </c>
      <c r="B1230" t="s">
        <v>17</v>
      </c>
      <c r="C1230" t="s">
        <v>25</v>
      </c>
      <c r="D1230">
        <v>4</v>
      </c>
      <c r="E1230">
        <v>3</v>
      </c>
      <c r="F1230" t="s">
        <v>25</v>
      </c>
      <c r="G1230">
        <v>3</v>
      </c>
      <c r="H1230">
        <v>2</v>
      </c>
      <c r="I1230" t="s">
        <v>19</v>
      </c>
      <c r="J1230">
        <v>6430</v>
      </c>
      <c r="K1230">
        <v>6</v>
      </c>
      <c r="L1230">
        <v>3</v>
      </c>
      <c r="M1230">
        <v>3</v>
      </c>
    </row>
    <row r="1231" spans="1:13">
      <c r="A1231">
        <v>40</v>
      </c>
      <c r="B1231" t="s">
        <v>17</v>
      </c>
      <c r="C1231" t="s">
        <v>18</v>
      </c>
      <c r="D1231">
        <v>8</v>
      </c>
      <c r="E1231">
        <v>2</v>
      </c>
      <c r="F1231" t="s">
        <v>15</v>
      </c>
      <c r="G1231">
        <v>2</v>
      </c>
      <c r="H1231">
        <v>1</v>
      </c>
      <c r="I1231" t="s">
        <v>19</v>
      </c>
      <c r="J1231">
        <v>6516</v>
      </c>
      <c r="K1231">
        <v>2</v>
      </c>
      <c r="L1231">
        <v>3</v>
      </c>
      <c r="M1231">
        <v>1</v>
      </c>
    </row>
    <row r="1232" spans="1:13">
      <c r="A1232">
        <v>24</v>
      </c>
      <c r="B1232" t="s">
        <v>17</v>
      </c>
      <c r="C1232" t="s">
        <v>18</v>
      </c>
      <c r="D1232">
        <v>29</v>
      </c>
      <c r="E1232">
        <v>1</v>
      </c>
      <c r="F1232" t="s">
        <v>21</v>
      </c>
      <c r="G1232">
        <v>2</v>
      </c>
      <c r="H1232">
        <v>1</v>
      </c>
      <c r="I1232" t="s">
        <v>22</v>
      </c>
      <c r="J1232">
        <v>3907</v>
      </c>
      <c r="K1232">
        <v>1</v>
      </c>
      <c r="L1232">
        <v>4</v>
      </c>
      <c r="M1232">
        <v>6</v>
      </c>
    </row>
    <row r="1233" spans="1:13">
      <c r="A1233">
        <v>46</v>
      </c>
      <c r="B1233" t="s">
        <v>17</v>
      </c>
      <c r="C1233" t="s">
        <v>18</v>
      </c>
      <c r="D1233">
        <v>13</v>
      </c>
      <c r="E1233">
        <v>4</v>
      </c>
      <c r="F1233" t="s">
        <v>15</v>
      </c>
      <c r="G1233">
        <v>3</v>
      </c>
      <c r="H1233">
        <v>2</v>
      </c>
      <c r="I1233" t="s">
        <v>16</v>
      </c>
      <c r="J1233">
        <v>5562</v>
      </c>
      <c r="K1233">
        <v>6</v>
      </c>
      <c r="L1233">
        <v>3</v>
      </c>
      <c r="M1233">
        <v>10</v>
      </c>
    </row>
    <row r="1234" spans="1:13">
      <c r="A1234">
        <v>35</v>
      </c>
      <c r="B1234" t="s">
        <v>17</v>
      </c>
      <c r="C1234" t="s">
        <v>18</v>
      </c>
      <c r="D1234">
        <v>27</v>
      </c>
      <c r="E1234">
        <v>4</v>
      </c>
      <c r="F1234" t="s">
        <v>15</v>
      </c>
      <c r="G1234">
        <v>4</v>
      </c>
      <c r="H1234">
        <v>3</v>
      </c>
      <c r="I1234" t="s">
        <v>19</v>
      </c>
      <c r="J1234">
        <v>6883</v>
      </c>
      <c r="K1234">
        <v>2</v>
      </c>
      <c r="L1234">
        <v>3</v>
      </c>
      <c r="M1234">
        <v>7</v>
      </c>
    </row>
    <row r="1235" spans="1:13">
      <c r="A1235">
        <v>30</v>
      </c>
      <c r="B1235" t="s">
        <v>17</v>
      </c>
      <c r="C1235" t="s">
        <v>18</v>
      </c>
      <c r="D1235">
        <v>16</v>
      </c>
      <c r="E1235">
        <v>1</v>
      </c>
      <c r="F1235" t="s">
        <v>15</v>
      </c>
      <c r="G1235">
        <v>2</v>
      </c>
      <c r="H1235">
        <v>4</v>
      </c>
      <c r="I1235" t="s">
        <v>19</v>
      </c>
      <c r="J1235">
        <v>2862</v>
      </c>
      <c r="K1235">
        <v>1</v>
      </c>
      <c r="L1235">
        <v>2</v>
      </c>
      <c r="M1235">
        <v>10</v>
      </c>
    </row>
    <row r="1236" spans="1:13">
      <c r="A1236">
        <v>47</v>
      </c>
      <c r="B1236" t="s">
        <v>17</v>
      </c>
      <c r="C1236" t="s">
        <v>14</v>
      </c>
      <c r="D1236">
        <v>2</v>
      </c>
      <c r="E1236">
        <v>4</v>
      </c>
      <c r="F1236" t="s">
        <v>23</v>
      </c>
      <c r="G1236">
        <v>3</v>
      </c>
      <c r="H1236">
        <v>2</v>
      </c>
      <c r="I1236" t="s">
        <v>19</v>
      </c>
      <c r="J1236">
        <v>4978</v>
      </c>
      <c r="K1236">
        <v>7</v>
      </c>
      <c r="L1236">
        <v>1</v>
      </c>
      <c r="M1236">
        <v>1</v>
      </c>
    </row>
    <row r="1237" spans="1:13">
      <c r="A1237">
        <v>46</v>
      </c>
      <c r="B1237" t="s">
        <v>17</v>
      </c>
      <c r="C1237" t="s">
        <v>14</v>
      </c>
      <c r="D1237">
        <v>2</v>
      </c>
      <c r="E1237">
        <v>3</v>
      </c>
      <c r="F1237" t="s">
        <v>15</v>
      </c>
      <c r="G1237">
        <v>3</v>
      </c>
      <c r="H1237">
        <v>4</v>
      </c>
      <c r="I1237" t="s">
        <v>22</v>
      </c>
      <c r="J1237">
        <v>10368</v>
      </c>
      <c r="K1237">
        <v>4</v>
      </c>
      <c r="L1237">
        <v>2</v>
      </c>
      <c r="M1237">
        <v>10</v>
      </c>
    </row>
    <row r="1238" spans="1:13">
      <c r="A1238">
        <v>36</v>
      </c>
      <c r="B1238" t="s">
        <v>13</v>
      </c>
      <c r="C1238" t="s">
        <v>14</v>
      </c>
      <c r="D1238">
        <v>13</v>
      </c>
      <c r="E1238">
        <v>5</v>
      </c>
      <c r="F1238" t="s">
        <v>23</v>
      </c>
      <c r="G1238">
        <v>2</v>
      </c>
      <c r="H1238">
        <v>1</v>
      </c>
      <c r="I1238" t="s">
        <v>22</v>
      </c>
      <c r="J1238">
        <v>6134</v>
      </c>
      <c r="K1238">
        <v>5</v>
      </c>
      <c r="L1238">
        <v>3</v>
      </c>
      <c r="M1238">
        <v>2</v>
      </c>
    </row>
    <row r="1239" spans="1:13">
      <c r="A1239">
        <v>32</v>
      </c>
      <c r="B1239" t="s">
        <v>13</v>
      </c>
      <c r="C1239" t="s">
        <v>14</v>
      </c>
      <c r="D1239">
        <v>1</v>
      </c>
      <c r="E1239">
        <v>2</v>
      </c>
      <c r="F1239" t="s">
        <v>15</v>
      </c>
      <c r="G1239">
        <v>1</v>
      </c>
      <c r="H1239">
        <v>2</v>
      </c>
      <c r="I1239" t="s">
        <v>16</v>
      </c>
      <c r="J1239">
        <v>6735</v>
      </c>
      <c r="K1239">
        <v>6</v>
      </c>
      <c r="L1239">
        <v>3</v>
      </c>
      <c r="M1239">
        <v>0</v>
      </c>
    </row>
    <row r="1240" spans="1:13">
      <c r="A1240">
        <v>23</v>
      </c>
      <c r="B1240" t="s">
        <v>17</v>
      </c>
      <c r="C1240" t="s">
        <v>18</v>
      </c>
      <c r="D1240">
        <v>4</v>
      </c>
      <c r="E1240">
        <v>1</v>
      </c>
      <c r="F1240" t="s">
        <v>21</v>
      </c>
      <c r="G1240">
        <v>3</v>
      </c>
      <c r="H1240">
        <v>2</v>
      </c>
      <c r="I1240" t="s">
        <v>16</v>
      </c>
      <c r="J1240">
        <v>3295</v>
      </c>
      <c r="K1240">
        <v>1</v>
      </c>
      <c r="L1240">
        <v>1</v>
      </c>
      <c r="M1240">
        <v>3</v>
      </c>
    </row>
    <row r="1241" spans="1:13">
      <c r="A1241">
        <v>31</v>
      </c>
      <c r="B1241" t="s">
        <v>17</v>
      </c>
      <c r="C1241" t="s">
        <v>18</v>
      </c>
      <c r="D1241">
        <v>24</v>
      </c>
      <c r="E1241">
        <v>1</v>
      </c>
      <c r="F1241" t="s">
        <v>24</v>
      </c>
      <c r="G1241">
        <v>4</v>
      </c>
      <c r="H1241">
        <v>4</v>
      </c>
      <c r="I1241" t="s">
        <v>16</v>
      </c>
      <c r="J1241">
        <v>5238</v>
      </c>
      <c r="K1241">
        <v>2</v>
      </c>
      <c r="L1241">
        <v>2</v>
      </c>
      <c r="M1241">
        <v>5</v>
      </c>
    </row>
    <row r="1242" spans="1:13">
      <c r="A1242">
        <v>39</v>
      </c>
      <c r="B1242" t="s">
        <v>17</v>
      </c>
      <c r="C1242" t="s">
        <v>18</v>
      </c>
      <c r="D1242">
        <v>1</v>
      </c>
      <c r="E1242">
        <v>3</v>
      </c>
      <c r="F1242" t="s">
        <v>15</v>
      </c>
      <c r="G1242">
        <v>4</v>
      </c>
      <c r="H1242">
        <v>4</v>
      </c>
      <c r="I1242" t="s">
        <v>19</v>
      </c>
      <c r="J1242">
        <v>6472</v>
      </c>
      <c r="K1242">
        <v>1</v>
      </c>
      <c r="L1242">
        <v>3</v>
      </c>
      <c r="M1242">
        <v>9</v>
      </c>
    </row>
    <row r="1243" spans="1:13">
      <c r="A1243">
        <v>32</v>
      </c>
      <c r="B1243" t="s">
        <v>17</v>
      </c>
      <c r="C1243" t="s">
        <v>14</v>
      </c>
      <c r="D1243">
        <v>19</v>
      </c>
      <c r="E1243">
        <v>3</v>
      </c>
      <c r="F1243" t="s">
        <v>15</v>
      </c>
      <c r="G1243">
        <v>4</v>
      </c>
      <c r="H1243">
        <v>3</v>
      </c>
      <c r="I1243" t="s">
        <v>19</v>
      </c>
      <c r="J1243">
        <v>9610</v>
      </c>
      <c r="K1243">
        <v>3</v>
      </c>
      <c r="L1243">
        <v>1</v>
      </c>
      <c r="M1243">
        <v>4</v>
      </c>
    </row>
    <row r="1244" spans="1:13">
      <c r="A1244">
        <v>40</v>
      </c>
      <c r="B1244" t="s">
        <v>17</v>
      </c>
      <c r="C1244" t="s">
        <v>14</v>
      </c>
      <c r="D1244">
        <v>7</v>
      </c>
      <c r="E1244">
        <v>4</v>
      </c>
      <c r="F1244" t="s">
        <v>21</v>
      </c>
      <c r="G1244">
        <v>2</v>
      </c>
      <c r="H1244">
        <v>2</v>
      </c>
      <c r="I1244" t="s">
        <v>16</v>
      </c>
      <c r="J1244">
        <v>19833</v>
      </c>
      <c r="K1244">
        <v>1</v>
      </c>
      <c r="L1244">
        <v>2</v>
      </c>
      <c r="M1244">
        <v>21</v>
      </c>
    </row>
    <row r="1245" spans="1:13">
      <c r="A1245">
        <v>45</v>
      </c>
      <c r="B1245" t="s">
        <v>17</v>
      </c>
      <c r="C1245" t="s">
        <v>25</v>
      </c>
      <c r="D1245">
        <v>4</v>
      </c>
      <c r="E1245">
        <v>3</v>
      </c>
      <c r="F1245" t="s">
        <v>15</v>
      </c>
      <c r="G1245">
        <v>3</v>
      </c>
      <c r="H1245">
        <v>3</v>
      </c>
      <c r="I1245" t="s">
        <v>19</v>
      </c>
      <c r="J1245">
        <v>9756</v>
      </c>
      <c r="K1245">
        <v>4</v>
      </c>
      <c r="L1245">
        <v>4</v>
      </c>
      <c r="M1245">
        <v>5</v>
      </c>
    </row>
    <row r="1246" spans="1:13">
      <c r="A1246">
        <v>30</v>
      </c>
      <c r="B1246" t="s">
        <v>17</v>
      </c>
      <c r="C1246" t="s">
        <v>18</v>
      </c>
      <c r="D1246">
        <v>2</v>
      </c>
      <c r="E1246">
        <v>4</v>
      </c>
      <c r="F1246" t="s">
        <v>24</v>
      </c>
      <c r="G1246">
        <v>4</v>
      </c>
      <c r="H1246">
        <v>1</v>
      </c>
      <c r="I1246" t="s">
        <v>16</v>
      </c>
      <c r="J1246">
        <v>4968</v>
      </c>
      <c r="K1246">
        <v>0</v>
      </c>
      <c r="L1246">
        <v>3</v>
      </c>
      <c r="M1246">
        <v>9</v>
      </c>
    </row>
    <row r="1247" spans="1:13">
      <c r="A1247">
        <v>24</v>
      </c>
      <c r="B1247" t="s">
        <v>17</v>
      </c>
      <c r="C1247" t="s">
        <v>25</v>
      </c>
      <c r="D1247">
        <v>10</v>
      </c>
      <c r="E1247">
        <v>3</v>
      </c>
      <c r="F1247" t="s">
        <v>21</v>
      </c>
      <c r="G1247">
        <v>1</v>
      </c>
      <c r="H1247">
        <v>4</v>
      </c>
      <c r="I1247" t="s">
        <v>19</v>
      </c>
      <c r="J1247">
        <v>2145</v>
      </c>
      <c r="K1247">
        <v>0</v>
      </c>
      <c r="L1247">
        <v>3</v>
      </c>
      <c r="M1247">
        <v>2</v>
      </c>
    </row>
    <row r="1248" spans="1:13">
      <c r="A1248">
        <v>30</v>
      </c>
      <c r="B1248" t="s">
        <v>13</v>
      </c>
      <c r="C1248" t="s">
        <v>25</v>
      </c>
      <c r="D1248">
        <v>8</v>
      </c>
      <c r="E1248">
        <v>3</v>
      </c>
      <c r="F1248" t="s">
        <v>25</v>
      </c>
      <c r="G1248">
        <v>3</v>
      </c>
      <c r="H1248">
        <v>4</v>
      </c>
      <c r="I1248" t="s">
        <v>22</v>
      </c>
      <c r="J1248">
        <v>2180</v>
      </c>
      <c r="K1248">
        <v>6</v>
      </c>
      <c r="L1248">
        <v>2</v>
      </c>
      <c r="M1248">
        <v>4</v>
      </c>
    </row>
    <row r="1249" spans="1:13">
      <c r="A1249">
        <v>31</v>
      </c>
      <c r="B1249" t="s">
        <v>17</v>
      </c>
      <c r="C1249" t="s">
        <v>14</v>
      </c>
      <c r="D1249">
        <v>5</v>
      </c>
      <c r="E1249">
        <v>3</v>
      </c>
      <c r="F1249" t="s">
        <v>24</v>
      </c>
      <c r="G1249">
        <v>1</v>
      </c>
      <c r="H1249">
        <v>3</v>
      </c>
      <c r="I1249" t="s">
        <v>19</v>
      </c>
      <c r="J1249">
        <v>8346</v>
      </c>
      <c r="K1249">
        <v>1</v>
      </c>
      <c r="L1249">
        <v>3</v>
      </c>
      <c r="M1249">
        <v>5</v>
      </c>
    </row>
    <row r="1250" spans="1:13">
      <c r="A1250">
        <v>27</v>
      </c>
      <c r="B1250" t="s">
        <v>17</v>
      </c>
      <c r="C1250" t="s">
        <v>18</v>
      </c>
      <c r="D1250">
        <v>8</v>
      </c>
      <c r="E1250">
        <v>3</v>
      </c>
      <c r="F1250" t="s">
        <v>21</v>
      </c>
      <c r="G1250">
        <v>3</v>
      </c>
      <c r="H1250">
        <v>4</v>
      </c>
      <c r="I1250" t="s">
        <v>16</v>
      </c>
      <c r="J1250">
        <v>3445</v>
      </c>
      <c r="K1250">
        <v>1</v>
      </c>
      <c r="L1250">
        <v>2</v>
      </c>
      <c r="M1250">
        <v>6</v>
      </c>
    </row>
    <row r="1251" spans="1:13">
      <c r="A1251">
        <v>29</v>
      </c>
      <c r="B1251" t="s">
        <v>13</v>
      </c>
      <c r="C1251" t="s">
        <v>14</v>
      </c>
      <c r="D1251">
        <v>9</v>
      </c>
      <c r="E1251">
        <v>3</v>
      </c>
      <c r="F1251" t="s">
        <v>23</v>
      </c>
      <c r="G1251">
        <v>2</v>
      </c>
      <c r="H1251">
        <v>2</v>
      </c>
      <c r="I1251" t="s">
        <v>16</v>
      </c>
      <c r="J1251">
        <v>2760</v>
      </c>
      <c r="K1251">
        <v>1</v>
      </c>
      <c r="L1251">
        <v>3</v>
      </c>
      <c r="M1251">
        <v>2</v>
      </c>
    </row>
    <row r="1252" spans="1:13">
      <c r="A1252">
        <v>29</v>
      </c>
      <c r="B1252" t="s">
        <v>17</v>
      </c>
      <c r="C1252" t="s">
        <v>18</v>
      </c>
      <c r="D1252">
        <v>1</v>
      </c>
      <c r="E1252">
        <v>3</v>
      </c>
      <c r="F1252" t="s">
        <v>15</v>
      </c>
      <c r="G1252">
        <v>4</v>
      </c>
      <c r="H1252">
        <v>3</v>
      </c>
      <c r="I1252" t="s">
        <v>16</v>
      </c>
      <c r="J1252">
        <v>6294</v>
      </c>
      <c r="K1252">
        <v>8</v>
      </c>
      <c r="L1252">
        <v>4</v>
      </c>
      <c r="M1252">
        <v>3</v>
      </c>
    </row>
    <row r="1253" spans="1:13">
      <c r="A1253">
        <v>30</v>
      </c>
      <c r="B1253" t="s">
        <v>17</v>
      </c>
      <c r="C1253" t="s">
        <v>14</v>
      </c>
      <c r="D1253">
        <v>15</v>
      </c>
      <c r="E1253">
        <v>2</v>
      </c>
      <c r="F1253" t="s">
        <v>23</v>
      </c>
      <c r="G1253">
        <v>3</v>
      </c>
      <c r="H1253">
        <v>1</v>
      </c>
      <c r="I1253" t="s">
        <v>22</v>
      </c>
      <c r="J1253">
        <v>7140</v>
      </c>
      <c r="K1253">
        <v>2</v>
      </c>
      <c r="L1253">
        <v>3</v>
      </c>
      <c r="M1253">
        <v>7</v>
      </c>
    </row>
    <row r="1254" spans="1:13">
      <c r="A1254">
        <v>34</v>
      </c>
      <c r="B1254" t="s">
        <v>17</v>
      </c>
      <c r="C1254" t="s">
        <v>18</v>
      </c>
      <c r="D1254">
        <v>2</v>
      </c>
      <c r="E1254">
        <v>4</v>
      </c>
      <c r="F1254" t="s">
        <v>21</v>
      </c>
      <c r="G1254">
        <v>4</v>
      </c>
      <c r="H1254">
        <v>4</v>
      </c>
      <c r="I1254" t="s">
        <v>19</v>
      </c>
      <c r="J1254">
        <v>2932</v>
      </c>
      <c r="K1254">
        <v>0</v>
      </c>
      <c r="L1254">
        <v>3</v>
      </c>
      <c r="M1254">
        <v>5</v>
      </c>
    </row>
    <row r="1255" spans="1:13">
      <c r="A1255">
        <v>33</v>
      </c>
      <c r="B1255" t="s">
        <v>17</v>
      </c>
      <c r="C1255" t="s">
        <v>14</v>
      </c>
      <c r="D1255">
        <v>2</v>
      </c>
      <c r="E1255">
        <v>3</v>
      </c>
      <c r="F1255" t="s">
        <v>23</v>
      </c>
      <c r="G1255">
        <v>4</v>
      </c>
      <c r="H1255">
        <v>2</v>
      </c>
      <c r="I1255" t="s">
        <v>16</v>
      </c>
      <c r="J1255">
        <v>5147</v>
      </c>
      <c r="K1255">
        <v>8</v>
      </c>
      <c r="L1255">
        <v>2</v>
      </c>
      <c r="M1255">
        <v>11</v>
      </c>
    </row>
    <row r="1256" spans="1:13">
      <c r="A1256">
        <v>49</v>
      </c>
      <c r="B1256" t="s">
        <v>17</v>
      </c>
      <c r="C1256" t="s">
        <v>14</v>
      </c>
      <c r="D1256">
        <v>11</v>
      </c>
      <c r="E1256">
        <v>4</v>
      </c>
      <c r="F1256" t="s">
        <v>23</v>
      </c>
      <c r="G1256">
        <v>4</v>
      </c>
      <c r="H1256">
        <v>4</v>
      </c>
      <c r="I1256" t="s">
        <v>16</v>
      </c>
      <c r="J1256">
        <v>4507</v>
      </c>
      <c r="K1256">
        <v>3</v>
      </c>
      <c r="L1256">
        <v>4</v>
      </c>
      <c r="M1256">
        <v>5</v>
      </c>
    </row>
    <row r="1257" spans="1:13">
      <c r="A1257">
        <v>33</v>
      </c>
      <c r="B1257" t="s">
        <v>13</v>
      </c>
      <c r="C1257" t="s">
        <v>14</v>
      </c>
      <c r="D1257">
        <v>16</v>
      </c>
      <c r="E1257">
        <v>3</v>
      </c>
      <c r="F1257" t="s">
        <v>15</v>
      </c>
      <c r="G1257">
        <v>1</v>
      </c>
      <c r="H1257">
        <v>1</v>
      </c>
      <c r="I1257" t="s">
        <v>16</v>
      </c>
      <c r="J1257">
        <v>8564</v>
      </c>
      <c r="K1257">
        <v>2</v>
      </c>
      <c r="L1257">
        <v>2</v>
      </c>
      <c r="M1257">
        <v>0</v>
      </c>
    </row>
    <row r="1258" spans="1:13">
      <c r="A1258">
        <v>38</v>
      </c>
      <c r="B1258" t="s">
        <v>17</v>
      </c>
      <c r="C1258" t="s">
        <v>18</v>
      </c>
      <c r="D1258">
        <v>2</v>
      </c>
      <c r="E1258">
        <v>2</v>
      </c>
      <c r="F1258" t="s">
        <v>21</v>
      </c>
      <c r="G1258">
        <v>3</v>
      </c>
      <c r="H1258">
        <v>2</v>
      </c>
      <c r="I1258" t="s">
        <v>19</v>
      </c>
      <c r="J1258">
        <v>2468</v>
      </c>
      <c r="K1258">
        <v>4</v>
      </c>
      <c r="L1258">
        <v>2</v>
      </c>
      <c r="M1258">
        <v>6</v>
      </c>
    </row>
    <row r="1259" spans="1:13">
      <c r="A1259">
        <v>31</v>
      </c>
      <c r="B1259" t="s">
        <v>13</v>
      </c>
      <c r="C1259" t="s">
        <v>14</v>
      </c>
      <c r="D1259">
        <v>16</v>
      </c>
      <c r="E1259">
        <v>4</v>
      </c>
      <c r="F1259" t="s">
        <v>23</v>
      </c>
      <c r="G1259">
        <v>1</v>
      </c>
      <c r="H1259">
        <v>3</v>
      </c>
      <c r="I1259" t="s">
        <v>19</v>
      </c>
      <c r="J1259">
        <v>8161</v>
      </c>
      <c r="K1259">
        <v>2</v>
      </c>
      <c r="L1259">
        <v>3</v>
      </c>
      <c r="M1259">
        <v>1</v>
      </c>
    </row>
    <row r="1260" spans="1:13">
      <c r="A1260">
        <v>29</v>
      </c>
      <c r="B1260" t="s">
        <v>17</v>
      </c>
      <c r="C1260" t="s">
        <v>18</v>
      </c>
      <c r="D1260">
        <v>4</v>
      </c>
      <c r="E1260">
        <v>3</v>
      </c>
      <c r="F1260" t="s">
        <v>24</v>
      </c>
      <c r="G1260">
        <v>4</v>
      </c>
      <c r="H1260">
        <v>1</v>
      </c>
      <c r="I1260" t="s">
        <v>22</v>
      </c>
      <c r="J1260">
        <v>2109</v>
      </c>
      <c r="K1260">
        <v>1</v>
      </c>
      <c r="L1260">
        <v>3</v>
      </c>
      <c r="M1260">
        <v>1</v>
      </c>
    </row>
    <row r="1261" spans="1:13">
      <c r="A1261">
        <v>30</v>
      </c>
      <c r="B1261" t="s">
        <v>17</v>
      </c>
      <c r="C1261" t="s">
        <v>18</v>
      </c>
      <c r="D1261">
        <v>16</v>
      </c>
      <c r="E1261">
        <v>3</v>
      </c>
      <c r="F1261" t="s">
        <v>15</v>
      </c>
      <c r="G1261">
        <v>3</v>
      </c>
      <c r="H1261">
        <v>3</v>
      </c>
      <c r="I1261" t="s">
        <v>19</v>
      </c>
      <c r="J1261">
        <v>5294</v>
      </c>
      <c r="K1261">
        <v>3</v>
      </c>
      <c r="L1261">
        <v>3</v>
      </c>
      <c r="M1261">
        <v>7</v>
      </c>
    </row>
    <row r="1262" spans="1:13">
      <c r="A1262">
        <v>32</v>
      </c>
      <c r="B1262" t="s">
        <v>17</v>
      </c>
      <c r="C1262" t="s">
        <v>18</v>
      </c>
      <c r="D1262">
        <v>5</v>
      </c>
      <c r="E1262">
        <v>4</v>
      </c>
      <c r="F1262" t="s">
        <v>24</v>
      </c>
      <c r="G1262">
        <v>2</v>
      </c>
      <c r="H1262">
        <v>2</v>
      </c>
      <c r="I1262" t="s">
        <v>16</v>
      </c>
      <c r="J1262">
        <v>2718</v>
      </c>
      <c r="K1262">
        <v>2</v>
      </c>
      <c r="L1262">
        <v>3</v>
      </c>
      <c r="M1262">
        <v>7</v>
      </c>
    </row>
    <row r="1263" spans="1:13">
      <c r="A1263">
        <v>38</v>
      </c>
      <c r="B1263" t="s">
        <v>17</v>
      </c>
      <c r="C1263" t="s">
        <v>18</v>
      </c>
      <c r="D1263">
        <v>18</v>
      </c>
      <c r="E1263">
        <v>3</v>
      </c>
      <c r="F1263" t="s">
        <v>21</v>
      </c>
      <c r="G1263">
        <v>2</v>
      </c>
      <c r="H1263">
        <v>4</v>
      </c>
      <c r="I1263" t="s">
        <v>19</v>
      </c>
      <c r="J1263">
        <v>5811</v>
      </c>
      <c r="K1263">
        <v>3</v>
      </c>
      <c r="L1263">
        <v>3</v>
      </c>
      <c r="M1263">
        <v>1</v>
      </c>
    </row>
    <row r="1264" spans="1:13">
      <c r="A1264">
        <v>43</v>
      </c>
      <c r="B1264" t="s">
        <v>13</v>
      </c>
      <c r="C1264" t="s">
        <v>18</v>
      </c>
      <c r="D1264">
        <v>17</v>
      </c>
      <c r="E1264">
        <v>3</v>
      </c>
      <c r="F1264" t="s">
        <v>24</v>
      </c>
      <c r="G1264">
        <v>3</v>
      </c>
      <c r="H1264">
        <v>3</v>
      </c>
      <c r="I1264" t="s">
        <v>19</v>
      </c>
      <c r="J1264">
        <v>2437</v>
      </c>
      <c r="K1264">
        <v>9</v>
      </c>
      <c r="L1264">
        <v>3</v>
      </c>
      <c r="M1264">
        <v>1</v>
      </c>
    </row>
    <row r="1265" spans="1:13">
      <c r="A1265">
        <v>42</v>
      </c>
      <c r="B1265" t="s">
        <v>17</v>
      </c>
      <c r="C1265" t="s">
        <v>18</v>
      </c>
      <c r="D1265">
        <v>12</v>
      </c>
      <c r="E1265">
        <v>3</v>
      </c>
      <c r="F1265" t="s">
        <v>21</v>
      </c>
      <c r="G1265">
        <v>2</v>
      </c>
      <c r="H1265">
        <v>2</v>
      </c>
      <c r="I1265" t="s">
        <v>22</v>
      </c>
      <c r="J1265">
        <v>2766</v>
      </c>
      <c r="K1265">
        <v>8</v>
      </c>
      <c r="L1265">
        <v>2</v>
      </c>
      <c r="M1265">
        <v>5</v>
      </c>
    </row>
    <row r="1266" spans="1:13">
      <c r="A1266">
        <v>55</v>
      </c>
      <c r="B1266" t="s">
        <v>17</v>
      </c>
      <c r="C1266" t="s">
        <v>18</v>
      </c>
      <c r="D1266">
        <v>2</v>
      </c>
      <c r="E1266">
        <v>3</v>
      </c>
      <c r="F1266" t="s">
        <v>21</v>
      </c>
      <c r="G1266">
        <v>3</v>
      </c>
      <c r="H1266">
        <v>1</v>
      </c>
      <c r="I1266" t="s">
        <v>19</v>
      </c>
      <c r="J1266">
        <v>19038</v>
      </c>
      <c r="K1266">
        <v>8</v>
      </c>
      <c r="L1266">
        <v>3</v>
      </c>
      <c r="M1266">
        <v>1</v>
      </c>
    </row>
    <row r="1267" spans="1:13">
      <c r="A1267">
        <v>33</v>
      </c>
      <c r="B1267" t="s">
        <v>17</v>
      </c>
      <c r="C1267" t="s">
        <v>18</v>
      </c>
      <c r="D1267">
        <v>4</v>
      </c>
      <c r="E1267">
        <v>3</v>
      </c>
      <c r="F1267" t="s">
        <v>24</v>
      </c>
      <c r="G1267">
        <v>4</v>
      </c>
      <c r="H1267">
        <v>2</v>
      </c>
      <c r="I1267" t="s">
        <v>22</v>
      </c>
      <c r="J1267">
        <v>3055</v>
      </c>
      <c r="K1267">
        <v>5</v>
      </c>
      <c r="L1267">
        <v>2</v>
      </c>
      <c r="M1267">
        <v>9</v>
      </c>
    </row>
    <row r="1268" spans="1:13">
      <c r="A1268">
        <v>41</v>
      </c>
      <c r="B1268" t="s">
        <v>17</v>
      </c>
      <c r="C1268" t="s">
        <v>18</v>
      </c>
      <c r="D1268">
        <v>9</v>
      </c>
      <c r="E1268">
        <v>4</v>
      </c>
      <c r="F1268" t="s">
        <v>15</v>
      </c>
      <c r="G1268">
        <v>3</v>
      </c>
      <c r="H1268">
        <v>1</v>
      </c>
      <c r="I1268" t="s">
        <v>22</v>
      </c>
      <c r="J1268">
        <v>2289</v>
      </c>
      <c r="K1268">
        <v>1</v>
      </c>
      <c r="L1268">
        <v>3</v>
      </c>
      <c r="M1268">
        <v>5</v>
      </c>
    </row>
    <row r="1269" spans="1:13">
      <c r="A1269">
        <v>34</v>
      </c>
      <c r="B1269" t="s">
        <v>17</v>
      </c>
      <c r="C1269" t="s">
        <v>14</v>
      </c>
      <c r="D1269">
        <v>10</v>
      </c>
      <c r="E1269">
        <v>3</v>
      </c>
      <c r="F1269" t="s">
        <v>15</v>
      </c>
      <c r="G1269">
        <v>4</v>
      </c>
      <c r="H1269">
        <v>3</v>
      </c>
      <c r="I1269" t="s">
        <v>22</v>
      </c>
      <c r="J1269">
        <v>4001</v>
      </c>
      <c r="K1269">
        <v>1</v>
      </c>
      <c r="L1269">
        <v>3</v>
      </c>
      <c r="M1269">
        <v>15</v>
      </c>
    </row>
    <row r="1270" spans="1:13">
      <c r="A1270">
        <v>53</v>
      </c>
      <c r="B1270" t="s">
        <v>17</v>
      </c>
      <c r="C1270" t="s">
        <v>18</v>
      </c>
      <c r="D1270">
        <v>1</v>
      </c>
      <c r="E1270">
        <v>4</v>
      </c>
      <c r="F1270" t="s">
        <v>21</v>
      </c>
      <c r="G1270">
        <v>1</v>
      </c>
      <c r="H1270">
        <v>3</v>
      </c>
      <c r="I1270" t="s">
        <v>19</v>
      </c>
      <c r="J1270">
        <v>12965</v>
      </c>
      <c r="K1270">
        <v>4</v>
      </c>
      <c r="L1270">
        <v>2</v>
      </c>
      <c r="M1270">
        <v>3</v>
      </c>
    </row>
    <row r="1271" spans="1:13">
      <c r="A1271">
        <v>43</v>
      </c>
      <c r="B1271" t="s">
        <v>17</v>
      </c>
      <c r="C1271" t="s">
        <v>25</v>
      </c>
      <c r="D1271">
        <v>2</v>
      </c>
      <c r="E1271">
        <v>3</v>
      </c>
      <c r="F1271" t="s">
        <v>15</v>
      </c>
      <c r="G1271">
        <v>2</v>
      </c>
      <c r="H1271">
        <v>4</v>
      </c>
      <c r="I1271" t="s">
        <v>16</v>
      </c>
      <c r="J1271">
        <v>3539</v>
      </c>
      <c r="K1271">
        <v>0</v>
      </c>
      <c r="L1271">
        <v>3</v>
      </c>
      <c r="M1271">
        <v>9</v>
      </c>
    </row>
    <row r="1272" spans="1:13">
      <c r="A1272">
        <v>34</v>
      </c>
      <c r="B1272" t="s">
        <v>17</v>
      </c>
      <c r="C1272" t="s">
        <v>14</v>
      </c>
      <c r="D1272">
        <v>3</v>
      </c>
      <c r="E1272">
        <v>2</v>
      </c>
      <c r="F1272" t="s">
        <v>15</v>
      </c>
      <c r="G1272">
        <v>4</v>
      </c>
      <c r="H1272">
        <v>4</v>
      </c>
      <c r="I1272" t="s">
        <v>16</v>
      </c>
      <c r="J1272">
        <v>6029</v>
      </c>
      <c r="K1272">
        <v>5</v>
      </c>
      <c r="L1272">
        <v>3</v>
      </c>
      <c r="M1272">
        <v>2</v>
      </c>
    </row>
    <row r="1273" spans="1:13">
      <c r="A1273">
        <v>21</v>
      </c>
      <c r="B1273" t="s">
        <v>13</v>
      </c>
      <c r="C1273" t="s">
        <v>14</v>
      </c>
      <c r="D1273">
        <v>7</v>
      </c>
      <c r="E1273">
        <v>1</v>
      </c>
      <c r="F1273" t="s">
        <v>23</v>
      </c>
      <c r="G1273">
        <v>2</v>
      </c>
      <c r="H1273">
        <v>2</v>
      </c>
      <c r="I1273" t="s">
        <v>16</v>
      </c>
      <c r="J1273">
        <v>2679</v>
      </c>
      <c r="K1273">
        <v>1</v>
      </c>
      <c r="L1273">
        <v>3</v>
      </c>
      <c r="M1273">
        <v>1</v>
      </c>
    </row>
    <row r="1274" spans="1:13">
      <c r="A1274">
        <v>38</v>
      </c>
      <c r="B1274" t="s">
        <v>17</v>
      </c>
      <c r="C1274" t="s">
        <v>18</v>
      </c>
      <c r="D1274">
        <v>6</v>
      </c>
      <c r="E1274">
        <v>2</v>
      </c>
      <c r="F1274" t="s">
        <v>20</v>
      </c>
      <c r="G1274">
        <v>4</v>
      </c>
      <c r="H1274">
        <v>3</v>
      </c>
      <c r="I1274" t="s">
        <v>19</v>
      </c>
      <c r="J1274">
        <v>3702</v>
      </c>
      <c r="K1274">
        <v>1</v>
      </c>
      <c r="L1274">
        <v>3</v>
      </c>
      <c r="M1274">
        <v>5</v>
      </c>
    </row>
    <row r="1275" spans="1:13">
      <c r="A1275">
        <v>22</v>
      </c>
      <c r="B1275" t="s">
        <v>13</v>
      </c>
      <c r="C1275" t="s">
        <v>18</v>
      </c>
      <c r="D1275">
        <v>8</v>
      </c>
      <c r="E1275">
        <v>1</v>
      </c>
      <c r="F1275" t="s">
        <v>21</v>
      </c>
      <c r="G1275">
        <v>3</v>
      </c>
      <c r="H1275">
        <v>1</v>
      </c>
      <c r="I1275" t="s">
        <v>19</v>
      </c>
      <c r="J1275">
        <v>2398</v>
      </c>
      <c r="K1275">
        <v>1</v>
      </c>
      <c r="L1275">
        <v>3</v>
      </c>
      <c r="M1275">
        <v>1</v>
      </c>
    </row>
    <row r="1276" spans="1:13">
      <c r="A1276">
        <v>31</v>
      </c>
      <c r="B1276" t="s">
        <v>17</v>
      </c>
      <c r="C1276" t="s">
        <v>14</v>
      </c>
      <c r="D1276">
        <v>29</v>
      </c>
      <c r="E1276">
        <v>4</v>
      </c>
      <c r="F1276" t="s">
        <v>23</v>
      </c>
      <c r="G1276">
        <v>1</v>
      </c>
      <c r="H1276">
        <v>4</v>
      </c>
      <c r="I1276" t="s">
        <v>19</v>
      </c>
      <c r="J1276">
        <v>5468</v>
      </c>
      <c r="K1276">
        <v>1</v>
      </c>
      <c r="L1276">
        <v>3</v>
      </c>
      <c r="M1276">
        <v>12</v>
      </c>
    </row>
    <row r="1277" spans="1:13">
      <c r="A1277">
        <v>51</v>
      </c>
      <c r="B1277" t="s">
        <v>17</v>
      </c>
      <c r="C1277" t="s">
        <v>18</v>
      </c>
      <c r="D1277">
        <v>3</v>
      </c>
      <c r="E1277">
        <v>3</v>
      </c>
      <c r="F1277" t="s">
        <v>24</v>
      </c>
      <c r="G1277">
        <v>1</v>
      </c>
      <c r="H1277">
        <v>3</v>
      </c>
      <c r="I1277" t="s">
        <v>19</v>
      </c>
      <c r="J1277">
        <v>13116</v>
      </c>
      <c r="K1277">
        <v>2</v>
      </c>
      <c r="L1277">
        <v>3</v>
      </c>
      <c r="M1277">
        <v>2</v>
      </c>
    </row>
    <row r="1278" spans="1:13">
      <c r="A1278">
        <v>37</v>
      </c>
      <c r="B1278" t="s">
        <v>17</v>
      </c>
      <c r="C1278" t="s">
        <v>14</v>
      </c>
      <c r="D1278">
        <v>9</v>
      </c>
      <c r="E1278">
        <v>2</v>
      </c>
      <c r="F1278" t="s">
        <v>23</v>
      </c>
      <c r="G1278">
        <v>2</v>
      </c>
      <c r="H1278">
        <v>2</v>
      </c>
      <c r="I1278" t="s">
        <v>19</v>
      </c>
      <c r="J1278">
        <v>4189</v>
      </c>
      <c r="K1278">
        <v>1</v>
      </c>
      <c r="L1278">
        <v>3</v>
      </c>
      <c r="M1278">
        <v>5</v>
      </c>
    </row>
    <row r="1279" spans="1:13">
      <c r="A1279">
        <v>46</v>
      </c>
      <c r="B1279" t="s">
        <v>17</v>
      </c>
      <c r="C1279" t="s">
        <v>18</v>
      </c>
      <c r="D1279">
        <v>2</v>
      </c>
      <c r="E1279">
        <v>4</v>
      </c>
      <c r="F1279" t="s">
        <v>21</v>
      </c>
      <c r="G1279">
        <v>3</v>
      </c>
      <c r="H1279">
        <v>4</v>
      </c>
      <c r="I1279" t="s">
        <v>22</v>
      </c>
      <c r="J1279">
        <v>19328</v>
      </c>
      <c r="K1279">
        <v>7</v>
      </c>
      <c r="L1279">
        <v>3</v>
      </c>
      <c r="M1279">
        <v>2</v>
      </c>
    </row>
    <row r="1280" spans="1:13">
      <c r="A1280">
        <v>36</v>
      </c>
      <c r="B1280" t="s">
        <v>17</v>
      </c>
      <c r="C1280" t="s">
        <v>18</v>
      </c>
      <c r="D1280">
        <v>10</v>
      </c>
      <c r="E1280">
        <v>3</v>
      </c>
      <c r="F1280" t="s">
        <v>15</v>
      </c>
      <c r="G1280">
        <v>4</v>
      </c>
      <c r="H1280">
        <v>1</v>
      </c>
      <c r="I1280" t="s">
        <v>19</v>
      </c>
      <c r="J1280">
        <v>8321</v>
      </c>
      <c r="K1280">
        <v>7</v>
      </c>
      <c r="L1280">
        <v>3</v>
      </c>
      <c r="M1280">
        <v>12</v>
      </c>
    </row>
    <row r="1281" spans="1:13">
      <c r="A1281">
        <v>44</v>
      </c>
      <c r="B1281" t="s">
        <v>13</v>
      </c>
      <c r="C1281" t="s">
        <v>18</v>
      </c>
      <c r="D1281">
        <v>1</v>
      </c>
      <c r="E1281">
        <v>2</v>
      </c>
      <c r="F1281" t="s">
        <v>21</v>
      </c>
      <c r="G1281">
        <v>3</v>
      </c>
      <c r="H1281">
        <v>2</v>
      </c>
      <c r="I1281" t="s">
        <v>22</v>
      </c>
      <c r="J1281">
        <v>2342</v>
      </c>
      <c r="K1281">
        <v>1</v>
      </c>
      <c r="L1281">
        <v>2</v>
      </c>
      <c r="M1281">
        <v>5</v>
      </c>
    </row>
    <row r="1282" spans="1:13">
      <c r="A1282">
        <v>37</v>
      </c>
      <c r="B1282" t="s">
        <v>17</v>
      </c>
      <c r="C1282" t="s">
        <v>25</v>
      </c>
      <c r="D1282">
        <v>8</v>
      </c>
      <c r="E1282">
        <v>2</v>
      </c>
      <c r="F1282" t="s">
        <v>20</v>
      </c>
      <c r="G1282">
        <v>3</v>
      </c>
      <c r="H1282">
        <v>2</v>
      </c>
      <c r="I1282" t="s">
        <v>22</v>
      </c>
      <c r="J1282">
        <v>4071</v>
      </c>
      <c r="K1282">
        <v>2</v>
      </c>
      <c r="L1282">
        <v>2</v>
      </c>
      <c r="M1282">
        <v>10</v>
      </c>
    </row>
    <row r="1283" spans="1:13">
      <c r="A1283">
        <v>35</v>
      </c>
      <c r="B1283" t="s">
        <v>13</v>
      </c>
      <c r="C1283" t="s">
        <v>14</v>
      </c>
      <c r="D1283">
        <v>27</v>
      </c>
      <c r="E1283">
        <v>3</v>
      </c>
      <c r="F1283" t="s">
        <v>15</v>
      </c>
      <c r="G1283">
        <v>3</v>
      </c>
      <c r="H1283">
        <v>4</v>
      </c>
      <c r="I1283" t="s">
        <v>16</v>
      </c>
      <c r="J1283">
        <v>5813</v>
      </c>
      <c r="K1283">
        <v>1</v>
      </c>
      <c r="L1283">
        <v>3</v>
      </c>
      <c r="M1283">
        <v>10</v>
      </c>
    </row>
    <row r="1284" spans="1:13">
      <c r="A1284">
        <v>33</v>
      </c>
      <c r="B1284" t="s">
        <v>17</v>
      </c>
      <c r="C1284" t="s">
        <v>18</v>
      </c>
      <c r="D1284">
        <v>8</v>
      </c>
      <c r="E1284">
        <v>4</v>
      </c>
      <c r="F1284" t="s">
        <v>15</v>
      </c>
      <c r="G1284">
        <v>4</v>
      </c>
      <c r="H1284">
        <v>1</v>
      </c>
      <c r="I1284" t="s">
        <v>19</v>
      </c>
      <c r="J1284">
        <v>3143</v>
      </c>
      <c r="K1284">
        <v>6</v>
      </c>
      <c r="L1284">
        <v>3</v>
      </c>
      <c r="M1284">
        <v>10</v>
      </c>
    </row>
    <row r="1285" spans="1:13">
      <c r="A1285">
        <v>28</v>
      </c>
      <c r="B1285" t="s">
        <v>17</v>
      </c>
      <c r="C1285" t="s">
        <v>18</v>
      </c>
      <c r="D1285">
        <v>1</v>
      </c>
      <c r="E1285">
        <v>3</v>
      </c>
      <c r="F1285" t="s">
        <v>15</v>
      </c>
      <c r="G1285">
        <v>3</v>
      </c>
      <c r="H1285">
        <v>4</v>
      </c>
      <c r="I1285" t="s">
        <v>19</v>
      </c>
      <c r="J1285">
        <v>2044</v>
      </c>
      <c r="K1285">
        <v>1</v>
      </c>
      <c r="L1285">
        <v>4</v>
      </c>
      <c r="M1285">
        <v>5</v>
      </c>
    </row>
    <row r="1286" spans="1:13">
      <c r="A1286">
        <v>39</v>
      </c>
      <c r="B1286" t="s">
        <v>17</v>
      </c>
      <c r="C1286" t="s">
        <v>18</v>
      </c>
      <c r="D1286">
        <v>10</v>
      </c>
      <c r="E1286">
        <v>1</v>
      </c>
      <c r="F1286" t="s">
        <v>21</v>
      </c>
      <c r="G1286">
        <v>3</v>
      </c>
      <c r="H1286">
        <v>3</v>
      </c>
      <c r="I1286" t="s">
        <v>16</v>
      </c>
      <c r="J1286">
        <v>13464</v>
      </c>
      <c r="K1286">
        <v>7</v>
      </c>
      <c r="L1286">
        <v>3</v>
      </c>
      <c r="M1286">
        <v>4</v>
      </c>
    </row>
    <row r="1287" spans="1:13">
      <c r="A1287">
        <v>46</v>
      </c>
      <c r="B1287" t="s">
        <v>17</v>
      </c>
      <c r="C1287" t="s">
        <v>14</v>
      </c>
      <c r="D1287">
        <v>26</v>
      </c>
      <c r="E1287">
        <v>2</v>
      </c>
      <c r="F1287" t="s">
        <v>15</v>
      </c>
      <c r="G1287">
        <v>2</v>
      </c>
      <c r="H1287">
        <v>2</v>
      </c>
      <c r="I1287" t="s">
        <v>16</v>
      </c>
      <c r="J1287">
        <v>7991</v>
      </c>
      <c r="K1287">
        <v>8</v>
      </c>
      <c r="L1287">
        <v>3</v>
      </c>
      <c r="M1287">
        <v>2</v>
      </c>
    </row>
    <row r="1288" spans="1:13">
      <c r="A1288">
        <v>40</v>
      </c>
      <c r="B1288" t="s">
        <v>17</v>
      </c>
      <c r="C1288" t="s">
        <v>18</v>
      </c>
      <c r="D1288">
        <v>2</v>
      </c>
      <c r="E1288">
        <v>2</v>
      </c>
      <c r="F1288" t="s">
        <v>15</v>
      </c>
      <c r="G1288">
        <v>3</v>
      </c>
      <c r="H1288">
        <v>1</v>
      </c>
      <c r="I1288" t="s">
        <v>19</v>
      </c>
      <c r="J1288">
        <v>3377</v>
      </c>
      <c r="K1288">
        <v>4</v>
      </c>
      <c r="L1288">
        <v>2</v>
      </c>
      <c r="M1288">
        <v>4</v>
      </c>
    </row>
    <row r="1289" spans="1:13">
      <c r="A1289">
        <v>42</v>
      </c>
      <c r="B1289" t="s">
        <v>17</v>
      </c>
      <c r="C1289" t="s">
        <v>18</v>
      </c>
      <c r="D1289">
        <v>13</v>
      </c>
      <c r="E1289">
        <v>3</v>
      </c>
      <c r="F1289" t="s">
        <v>21</v>
      </c>
      <c r="G1289">
        <v>2</v>
      </c>
      <c r="H1289">
        <v>1</v>
      </c>
      <c r="I1289" t="s">
        <v>19</v>
      </c>
      <c r="J1289">
        <v>5538</v>
      </c>
      <c r="K1289">
        <v>5</v>
      </c>
      <c r="L1289">
        <v>2</v>
      </c>
      <c r="M1289">
        <v>0</v>
      </c>
    </row>
    <row r="1290" spans="1:13">
      <c r="A1290">
        <v>35</v>
      </c>
      <c r="B1290" t="s">
        <v>17</v>
      </c>
      <c r="C1290" t="s">
        <v>18</v>
      </c>
      <c r="D1290">
        <v>2</v>
      </c>
      <c r="E1290">
        <v>2</v>
      </c>
      <c r="F1290" t="s">
        <v>21</v>
      </c>
      <c r="G1290">
        <v>2</v>
      </c>
      <c r="H1290">
        <v>4</v>
      </c>
      <c r="I1290" t="s">
        <v>22</v>
      </c>
      <c r="J1290">
        <v>5762</v>
      </c>
      <c r="K1290">
        <v>2</v>
      </c>
      <c r="L1290">
        <v>3</v>
      </c>
      <c r="M1290">
        <v>7</v>
      </c>
    </row>
    <row r="1291" spans="1:13">
      <c r="A1291">
        <v>38</v>
      </c>
      <c r="B1291" t="s">
        <v>17</v>
      </c>
      <c r="C1291" t="s">
        <v>25</v>
      </c>
      <c r="D1291">
        <v>2</v>
      </c>
      <c r="E1291">
        <v>3</v>
      </c>
      <c r="F1291" t="s">
        <v>25</v>
      </c>
      <c r="G1291">
        <v>1</v>
      </c>
      <c r="H1291">
        <v>2</v>
      </c>
      <c r="I1291" t="s">
        <v>22</v>
      </c>
      <c r="J1291">
        <v>2592</v>
      </c>
      <c r="K1291">
        <v>5</v>
      </c>
      <c r="L1291">
        <v>3</v>
      </c>
      <c r="M1291">
        <v>11</v>
      </c>
    </row>
    <row r="1292" spans="1:13">
      <c r="A1292">
        <v>34</v>
      </c>
      <c r="B1292" t="s">
        <v>13</v>
      </c>
      <c r="C1292" t="s">
        <v>18</v>
      </c>
      <c r="D1292">
        <v>9</v>
      </c>
      <c r="E1292">
        <v>4</v>
      </c>
      <c r="F1292" t="s">
        <v>15</v>
      </c>
      <c r="G1292">
        <v>4</v>
      </c>
      <c r="H1292">
        <v>1</v>
      </c>
      <c r="I1292" t="s">
        <v>19</v>
      </c>
      <c r="J1292">
        <v>5346</v>
      </c>
      <c r="K1292">
        <v>4</v>
      </c>
      <c r="L1292">
        <v>2</v>
      </c>
      <c r="M1292">
        <v>7</v>
      </c>
    </row>
    <row r="1293" spans="1:13">
      <c r="A1293">
        <v>37</v>
      </c>
      <c r="B1293" t="s">
        <v>13</v>
      </c>
      <c r="C1293" t="s">
        <v>18</v>
      </c>
      <c r="D1293">
        <v>10</v>
      </c>
      <c r="E1293">
        <v>4</v>
      </c>
      <c r="F1293" t="s">
        <v>21</v>
      </c>
      <c r="G1293">
        <v>4</v>
      </c>
      <c r="H1293">
        <v>1</v>
      </c>
      <c r="I1293" t="s">
        <v>16</v>
      </c>
      <c r="J1293">
        <v>4213</v>
      </c>
      <c r="K1293">
        <v>1</v>
      </c>
      <c r="L1293">
        <v>1</v>
      </c>
      <c r="M1293">
        <v>10</v>
      </c>
    </row>
    <row r="1294" spans="1:13">
      <c r="A1294">
        <v>39</v>
      </c>
      <c r="B1294" t="s">
        <v>17</v>
      </c>
      <c r="C1294" t="s">
        <v>14</v>
      </c>
      <c r="D1294">
        <v>20</v>
      </c>
      <c r="E1294">
        <v>3</v>
      </c>
      <c r="F1294" t="s">
        <v>15</v>
      </c>
      <c r="G1294">
        <v>3</v>
      </c>
      <c r="H1294">
        <v>4</v>
      </c>
      <c r="I1294" t="s">
        <v>22</v>
      </c>
      <c r="J1294">
        <v>4127</v>
      </c>
      <c r="K1294">
        <v>2</v>
      </c>
      <c r="L1294">
        <v>3</v>
      </c>
      <c r="M1294">
        <v>2</v>
      </c>
    </row>
    <row r="1295" spans="1:13">
      <c r="A1295">
        <v>43</v>
      </c>
      <c r="B1295" t="s">
        <v>17</v>
      </c>
      <c r="C1295" t="s">
        <v>18</v>
      </c>
      <c r="D1295">
        <v>9</v>
      </c>
      <c r="E1295">
        <v>3</v>
      </c>
      <c r="F1295" t="s">
        <v>15</v>
      </c>
      <c r="G1295">
        <v>1</v>
      </c>
      <c r="H1295">
        <v>3</v>
      </c>
      <c r="I1295" t="s">
        <v>16</v>
      </c>
      <c r="J1295">
        <v>2438</v>
      </c>
      <c r="K1295">
        <v>4</v>
      </c>
      <c r="L1295">
        <v>2</v>
      </c>
      <c r="M1295">
        <v>3</v>
      </c>
    </row>
    <row r="1296" spans="1:13">
      <c r="A1296">
        <v>41</v>
      </c>
      <c r="B1296" t="s">
        <v>17</v>
      </c>
      <c r="C1296" t="s">
        <v>18</v>
      </c>
      <c r="D1296">
        <v>5</v>
      </c>
      <c r="E1296">
        <v>3</v>
      </c>
      <c r="F1296" t="s">
        <v>15</v>
      </c>
      <c r="G1296">
        <v>2</v>
      </c>
      <c r="H1296">
        <v>2</v>
      </c>
      <c r="I1296" t="s">
        <v>16</v>
      </c>
      <c r="J1296">
        <v>6870</v>
      </c>
      <c r="K1296">
        <v>3</v>
      </c>
      <c r="L1296">
        <v>1</v>
      </c>
      <c r="M1296">
        <v>3</v>
      </c>
    </row>
    <row r="1297" spans="1:13">
      <c r="A1297">
        <v>41</v>
      </c>
      <c r="B1297" t="s">
        <v>17</v>
      </c>
      <c r="C1297" t="s">
        <v>14</v>
      </c>
      <c r="D1297">
        <v>4</v>
      </c>
      <c r="E1297">
        <v>1</v>
      </c>
      <c r="F1297" t="s">
        <v>23</v>
      </c>
      <c r="G1297">
        <v>3</v>
      </c>
      <c r="H1297">
        <v>3</v>
      </c>
      <c r="I1297" t="s">
        <v>22</v>
      </c>
      <c r="J1297">
        <v>10447</v>
      </c>
      <c r="K1297">
        <v>0</v>
      </c>
      <c r="L1297">
        <v>4</v>
      </c>
      <c r="M1297">
        <v>22</v>
      </c>
    </row>
    <row r="1298" spans="1:13">
      <c r="A1298">
        <v>30</v>
      </c>
      <c r="B1298" t="s">
        <v>17</v>
      </c>
      <c r="C1298" t="s">
        <v>18</v>
      </c>
      <c r="D1298">
        <v>10</v>
      </c>
      <c r="E1298">
        <v>3</v>
      </c>
      <c r="F1298" t="s">
        <v>21</v>
      </c>
      <c r="G1298">
        <v>1</v>
      </c>
      <c r="H1298">
        <v>3</v>
      </c>
      <c r="I1298" t="s">
        <v>16</v>
      </c>
      <c r="J1298">
        <v>9667</v>
      </c>
      <c r="K1298">
        <v>9</v>
      </c>
      <c r="L1298">
        <v>3</v>
      </c>
      <c r="M1298">
        <v>7</v>
      </c>
    </row>
    <row r="1299" spans="1:13">
      <c r="A1299">
        <v>26</v>
      </c>
      <c r="B1299" t="s">
        <v>13</v>
      </c>
      <c r="C1299" t="s">
        <v>25</v>
      </c>
      <c r="D1299">
        <v>20</v>
      </c>
      <c r="E1299">
        <v>2</v>
      </c>
      <c r="F1299" t="s">
        <v>21</v>
      </c>
      <c r="G1299">
        <v>4</v>
      </c>
      <c r="H1299">
        <v>2</v>
      </c>
      <c r="I1299" t="s">
        <v>19</v>
      </c>
      <c r="J1299">
        <v>2148</v>
      </c>
      <c r="K1299">
        <v>0</v>
      </c>
      <c r="L1299">
        <v>3</v>
      </c>
      <c r="M1299">
        <v>5</v>
      </c>
    </row>
    <row r="1300" spans="1:13">
      <c r="A1300">
        <v>46</v>
      </c>
      <c r="B1300" t="s">
        <v>13</v>
      </c>
      <c r="C1300" t="s">
        <v>18</v>
      </c>
      <c r="D1300">
        <v>21</v>
      </c>
      <c r="E1300">
        <v>2</v>
      </c>
      <c r="F1300" t="s">
        <v>21</v>
      </c>
      <c r="G1300">
        <v>4</v>
      </c>
      <c r="H1300">
        <v>2</v>
      </c>
      <c r="I1300" t="s">
        <v>19</v>
      </c>
      <c r="J1300">
        <v>8926</v>
      </c>
      <c r="K1300">
        <v>4</v>
      </c>
      <c r="L1300">
        <v>4</v>
      </c>
      <c r="M1300">
        <v>9</v>
      </c>
    </row>
    <row r="1301" spans="1:13">
      <c r="A1301">
        <v>40</v>
      </c>
      <c r="B1301" t="s">
        <v>17</v>
      </c>
      <c r="C1301" t="s">
        <v>18</v>
      </c>
      <c r="D1301">
        <v>1</v>
      </c>
      <c r="E1301">
        <v>3</v>
      </c>
      <c r="F1301" t="s">
        <v>15</v>
      </c>
      <c r="G1301">
        <v>3</v>
      </c>
      <c r="H1301">
        <v>4</v>
      </c>
      <c r="I1301" t="s">
        <v>22</v>
      </c>
      <c r="J1301">
        <v>6513</v>
      </c>
      <c r="K1301">
        <v>4</v>
      </c>
      <c r="L1301">
        <v>3</v>
      </c>
      <c r="M1301">
        <v>5</v>
      </c>
    </row>
    <row r="1302" spans="1:13">
      <c r="A1302">
        <v>34</v>
      </c>
      <c r="B1302" t="s">
        <v>17</v>
      </c>
      <c r="C1302" t="s">
        <v>14</v>
      </c>
      <c r="D1302">
        <v>8</v>
      </c>
      <c r="E1302">
        <v>2</v>
      </c>
      <c r="F1302" t="s">
        <v>24</v>
      </c>
      <c r="G1302">
        <v>2</v>
      </c>
      <c r="H1302">
        <v>3</v>
      </c>
      <c r="I1302" t="s">
        <v>19</v>
      </c>
      <c r="J1302">
        <v>6799</v>
      </c>
      <c r="K1302">
        <v>1</v>
      </c>
      <c r="L1302">
        <v>3</v>
      </c>
      <c r="M1302">
        <v>10</v>
      </c>
    </row>
    <row r="1303" spans="1:13">
      <c r="A1303">
        <v>58</v>
      </c>
      <c r="B1303" t="s">
        <v>17</v>
      </c>
      <c r="C1303" t="s">
        <v>14</v>
      </c>
      <c r="D1303">
        <v>2</v>
      </c>
      <c r="E1303">
        <v>3</v>
      </c>
      <c r="F1303" t="s">
        <v>21</v>
      </c>
      <c r="G1303">
        <v>2</v>
      </c>
      <c r="H1303">
        <v>2</v>
      </c>
      <c r="I1303" t="s">
        <v>22</v>
      </c>
      <c r="J1303">
        <v>16291</v>
      </c>
      <c r="K1303">
        <v>4</v>
      </c>
      <c r="L1303">
        <v>2</v>
      </c>
      <c r="M1303">
        <v>16</v>
      </c>
    </row>
    <row r="1304" spans="1:13">
      <c r="A1304">
        <v>35</v>
      </c>
      <c r="B1304" t="s">
        <v>17</v>
      </c>
      <c r="C1304" t="s">
        <v>18</v>
      </c>
      <c r="D1304">
        <v>23</v>
      </c>
      <c r="E1304">
        <v>4</v>
      </c>
      <c r="F1304" t="s">
        <v>21</v>
      </c>
      <c r="G1304">
        <v>2</v>
      </c>
      <c r="H1304">
        <v>3</v>
      </c>
      <c r="I1304" t="s">
        <v>19</v>
      </c>
      <c r="J1304">
        <v>2705</v>
      </c>
      <c r="K1304">
        <v>0</v>
      </c>
      <c r="L1304">
        <v>4</v>
      </c>
      <c r="M1304">
        <v>5</v>
      </c>
    </row>
    <row r="1305" spans="1:13">
      <c r="A1305">
        <v>47</v>
      </c>
      <c r="B1305" t="s">
        <v>17</v>
      </c>
      <c r="C1305" t="s">
        <v>18</v>
      </c>
      <c r="D1305">
        <v>4</v>
      </c>
      <c r="E1305">
        <v>3</v>
      </c>
      <c r="F1305" t="s">
        <v>15</v>
      </c>
      <c r="G1305">
        <v>3</v>
      </c>
      <c r="H1305">
        <v>2</v>
      </c>
      <c r="I1305" t="s">
        <v>22</v>
      </c>
      <c r="J1305">
        <v>10333</v>
      </c>
      <c r="K1305">
        <v>8</v>
      </c>
      <c r="L1305">
        <v>3</v>
      </c>
      <c r="M1305">
        <v>22</v>
      </c>
    </row>
    <row r="1306" spans="1:13">
      <c r="A1306">
        <v>40</v>
      </c>
      <c r="B1306" t="s">
        <v>17</v>
      </c>
      <c r="C1306" t="s">
        <v>18</v>
      </c>
      <c r="D1306">
        <v>12</v>
      </c>
      <c r="E1306">
        <v>3</v>
      </c>
      <c r="F1306" t="s">
        <v>15</v>
      </c>
      <c r="G1306">
        <v>2</v>
      </c>
      <c r="H1306">
        <v>1</v>
      </c>
      <c r="I1306" t="s">
        <v>22</v>
      </c>
      <c r="J1306">
        <v>4448</v>
      </c>
      <c r="K1306">
        <v>2</v>
      </c>
      <c r="L1306">
        <v>3</v>
      </c>
      <c r="M1306">
        <v>7</v>
      </c>
    </row>
    <row r="1307" spans="1:13">
      <c r="A1307">
        <v>54</v>
      </c>
      <c r="B1307" t="s">
        <v>17</v>
      </c>
      <c r="C1307" t="s">
        <v>18</v>
      </c>
      <c r="D1307">
        <v>7</v>
      </c>
      <c r="E1307">
        <v>4</v>
      </c>
      <c r="F1307" t="s">
        <v>21</v>
      </c>
      <c r="G1307">
        <v>4</v>
      </c>
      <c r="H1307">
        <v>4</v>
      </c>
      <c r="I1307" t="s">
        <v>19</v>
      </c>
      <c r="J1307">
        <v>6854</v>
      </c>
      <c r="K1307">
        <v>4</v>
      </c>
      <c r="L1307">
        <v>2</v>
      </c>
      <c r="M1307">
        <v>7</v>
      </c>
    </row>
    <row r="1308" spans="1:13">
      <c r="A1308">
        <v>31</v>
      </c>
      <c r="B1308" t="s">
        <v>17</v>
      </c>
      <c r="C1308" t="s">
        <v>14</v>
      </c>
      <c r="D1308">
        <v>7</v>
      </c>
      <c r="E1308">
        <v>4</v>
      </c>
      <c r="F1308" t="s">
        <v>23</v>
      </c>
      <c r="G1308">
        <v>1</v>
      </c>
      <c r="H1308">
        <v>1</v>
      </c>
      <c r="I1308" t="s">
        <v>19</v>
      </c>
      <c r="J1308">
        <v>9637</v>
      </c>
      <c r="K1308">
        <v>2</v>
      </c>
      <c r="L1308">
        <v>3</v>
      </c>
      <c r="M1308">
        <v>3</v>
      </c>
    </row>
    <row r="1309" spans="1:13">
      <c r="A1309">
        <v>28</v>
      </c>
      <c r="B1309" t="s">
        <v>17</v>
      </c>
      <c r="C1309" t="s">
        <v>18</v>
      </c>
      <c r="D1309">
        <v>1</v>
      </c>
      <c r="E1309">
        <v>3</v>
      </c>
      <c r="F1309" t="s">
        <v>21</v>
      </c>
      <c r="G1309">
        <v>3</v>
      </c>
      <c r="H1309">
        <v>1</v>
      </c>
      <c r="I1309" t="s">
        <v>19</v>
      </c>
      <c r="J1309">
        <v>3591</v>
      </c>
      <c r="K1309">
        <v>1</v>
      </c>
      <c r="L1309">
        <v>3</v>
      </c>
      <c r="M1309">
        <v>3</v>
      </c>
    </row>
    <row r="1310" spans="1:13">
      <c r="A1310">
        <v>38</v>
      </c>
      <c r="B1310" t="s">
        <v>17</v>
      </c>
      <c r="C1310" t="s">
        <v>14</v>
      </c>
      <c r="D1310">
        <v>2</v>
      </c>
      <c r="E1310">
        <v>4</v>
      </c>
      <c r="F1310" t="s">
        <v>23</v>
      </c>
      <c r="G1310">
        <v>2</v>
      </c>
      <c r="H1310">
        <v>4</v>
      </c>
      <c r="I1310" t="s">
        <v>19</v>
      </c>
      <c r="J1310">
        <v>5405</v>
      </c>
      <c r="K1310">
        <v>2</v>
      </c>
      <c r="L1310">
        <v>2</v>
      </c>
      <c r="M1310">
        <v>4</v>
      </c>
    </row>
    <row r="1311" spans="1:13">
      <c r="A1311">
        <v>26</v>
      </c>
      <c r="B1311" t="s">
        <v>17</v>
      </c>
      <c r="C1311" t="s">
        <v>14</v>
      </c>
      <c r="D1311">
        <v>10</v>
      </c>
      <c r="E1311">
        <v>3</v>
      </c>
      <c r="F1311" t="s">
        <v>21</v>
      </c>
      <c r="G1311">
        <v>3</v>
      </c>
      <c r="H1311">
        <v>4</v>
      </c>
      <c r="I1311" t="s">
        <v>16</v>
      </c>
      <c r="J1311">
        <v>4684</v>
      </c>
      <c r="K1311">
        <v>1</v>
      </c>
      <c r="L1311">
        <v>3</v>
      </c>
      <c r="M1311">
        <v>5</v>
      </c>
    </row>
    <row r="1312" spans="1:13">
      <c r="A1312">
        <v>58</v>
      </c>
      <c r="B1312" t="s">
        <v>17</v>
      </c>
      <c r="C1312" t="s">
        <v>18</v>
      </c>
      <c r="D1312">
        <v>15</v>
      </c>
      <c r="E1312">
        <v>4</v>
      </c>
      <c r="F1312" t="s">
        <v>15</v>
      </c>
      <c r="G1312">
        <v>1</v>
      </c>
      <c r="H1312">
        <v>3</v>
      </c>
      <c r="I1312" t="s">
        <v>19</v>
      </c>
      <c r="J1312">
        <v>15787</v>
      </c>
      <c r="K1312">
        <v>2</v>
      </c>
      <c r="L1312">
        <v>3</v>
      </c>
      <c r="M1312">
        <v>2</v>
      </c>
    </row>
    <row r="1313" spans="1:13">
      <c r="A1313">
        <v>18</v>
      </c>
      <c r="B1313" t="s">
        <v>17</v>
      </c>
      <c r="C1313" t="s">
        <v>18</v>
      </c>
      <c r="D1313">
        <v>14</v>
      </c>
      <c r="E1313">
        <v>3</v>
      </c>
      <c r="F1313" t="s">
        <v>21</v>
      </c>
      <c r="G1313">
        <v>2</v>
      </c>
      <c r="H1313">
        <v>3</v>
      </c>
      <c r="I1313" t="s">
        <v>16</v>
      </c>
      <c r="J1313">
        <v>1514</v>
      </c>
      <c r="K1313">
        <v>1</v>
      </c>
      <c r="L1313">
        <v>1</v>
      </c>
      <c r="M1313">
        <v>0</v>
      </c>
    </row>
    <row r="1314" spans="1:13">
      <c r="A1314">
        <v>31</v>
      </c>
      <c r="B1314" t="s">
        <v>13</v>
      </c>
      <c r="C1314" t="s">
        <v>25</v>
      </c>
      <c r="D1314">
        <v>18</v>
      </c>
      <c r="E1314">
        <v>5</v>
      </c>
      <c r="F1314" t="s">
        <v>25</v>
      </c>
      <c r="G1314">
        <v>4</v>
      </c>
      <c r="H1314">
        <v>1</v>
      </c>
      <c r="I1314" t="s">
        <v>19</v>
      </c>
      <c r="J1314">
        <v>2956</v>
      </c>
      <c r="K1314">
        <v>0</v>
      </c>
      <c r="L1314">
        <v>3</v>
      </c>
      <c r="M1314">
        <v>1</v>
      </c>
    </row>
    <row r="1315" spans="1:13">
      <c r="A1315">
        <v>29</v>
      </c>
      <c r="B1315" t="s">
        <v>13</v>
      </c>
      <c r="C1315" t="s">
        <v>25</v>
      </c>
      <c r="D1315">
        <v>13</v>
      </c>
      <c r="E1315">
        <v>3</v>
      </c>
      <c r="F1315" t="s">
        <v>25</v>
      </c>
      <c r="G1315">
        <v>1</v>
      </c>
      <c r="H1315">
        <v>1</v>
      </c>
      <c r="I1315" t="s">
        <v>22</v>
      </c>
      <c r="J1315">
        <v>2335</v>
      </c>
      <c r="K1315">
        <v>4</v>
      </c>
      <c r="L1315">
        <v>3</v>
      </c>
      <c r="M1315">
        <v>2</v>
      </c>
    </row>
    <row r="1316" spans="1:13">
      <c r="A1316">
        <v>45</v>
      </c>
      <c r="B1316" t="s">
        <v>17</v>
      </c>
      <c r="C1316" t="s">
        <v>14</v>
      </c>
      <c r="D1316">
        <v>2</v>
      </c>
      <c r="E1316">
        <v>4</v>
      </c>
      <c r="F1316" t="s">
        <v>15</v>
      </c>
      <c r="G1316">
        <v>3</v>
      </c>
      <c r="H1316">
        <v>3</v>
      </c>
      <c r="I1316" t="s">
        <v>19</v>
      </c>
      <c r="J1316">
        <v>5154</v>
      </c>
      <c r="K1316">
        <v>4</v>
      </c>
      <c r="L1316">
        <v>4</v>
      </c>
      <c r="M1316">
        <v>8</v>
      </c>
    </row>
    <row r="1317" spans="1:13">
      <c r="A1317">
        <v>36</v>
      </c>
      <c r="B1317" t="s">
        <v>17</v>
      </c>
      <c r="C1317" t="s">
        <v>18</v>
      </c>
      <c r="D1317">
        <v>2</v>
      </c>
      <c r="E1317">
        <v>4</v>
      </c>
      <c r="F1317" t="s">
        <v>20</v>
      </c>
      <c r="G1317">
        <v>4</v>
      </c>
      <c r="H1317">
        <v>2</v>
      </c>
      <c r="I1317" t="s">
        <v>19</v>
      </c>
      <c r="J1317">
        <v>6962</v>
      </c>
      <c r="K1317">
        <v>4</v>
      </c>
      <c r="L1317">
        <v>3</v>
      </c>
      <c r="M1317">
        <v>1</v>
      </c>
    </row>
    <row r="1318" spans="1:13">
      <c r="A1318">
        <v>43</v>
      </c>
      <c r="B1318" t="s">
        <v>17</v>
      </c>
      <c r="C1318" t="s">
        <v>14</v>
      </c>
      <c r="D1318">
        <v>2</v>
      </c>
      <c r="E1318">
        <v>4</v>
      </c>
      <c r="F1318" t="s">
        <v>15</v>
      </c>
      <c r="G1318">
        <v>1</v>
      </c>
      <c r="H1318">
        <v>4</v>
      </c>
      <c r="I1318" t="s">
        <v>19</v>
      </c>
      <c r="J1318">
        <v>5675</v>
      </c>
      <c r="K1318">
        <v>1</v>
      </c>
      <c r="L1318">
        <v>3</v>
      </c>
      <c r="M1318">
        <v>7</v>
      </c>
    </row>
    <row r="1319" spans="1:13">
      <c r="A1319">
        <v>27</v>
      </c>
      <c r="B1319" t="s">
        <v>17</v>
      </c>
      <c r="C1319" t="s">
        <v>18</v>
      </c>
      <c r="D1319">
        <v>5</v>
      </c>
      <c r="E1319">
        <v>2</v>
      </c>
      <c r="F1319" t="s">
        <v>15</v>
      </c>
      <c r="G1319">
        <v>4</v>
      </c>
      <c r="H1319">
        <v>4</v>
      </c>
      <c r="I1319" t="s">
        <v>16</v>
      </c>
      <c r="J1319">
        <v>2379</v>
      </c>
      <c r="K1319">
        <v>0</v>
      </c>
      <c r="L1319">
        <v>2</v>
      </c>
      <c r="M1319">
        <v>5</v>
      </c>
    </row>
    <row r="1320" spans="1:13">
      <c r="A1320">
        <v>29</v>
      </c>
      <c r="B1320" t="s">
        <v>17</v>
      </c>
      <c r="C1320" t="s">
        <v>18</v>
      </c>
      <c r="D1320">
        <v>20</v>
      </c>
      <c r="E1320">
        <v>1</v>
      </c>
      <c r="F1320" t="s">
        <v>21</v>
      </c>
      <c r="G1320">
        <v>4</v>
      </c>
      <c r="H1320">
        <v>4</v>
      </c>
      <c r="I1320" t="s">
        <v>19</v>
      </c>
      <c r="J1320">
        <v>3812</v>
      </c>
      <c r="K1320">
        <v>1</v>
      </c>
      <c r="L1320">
        <v>4</v>
      </c>
      <c r="M1320">
        <v>11</v>
      </c>
    </row>
    <row r="1321" spans="1:13">
      <c r="A1321">
        <v>32</v>
      </c>
      <c r="B1321" t="s">
        <v>17</v>
      </c>
      <c r="C1321" t="s">
        <v>14</v>
      </c>
      <c r="D1321">
        <v>10</v>
      </c>
      <c r="E1321">
        <v>4</v>
      </c>
      <c r="F1321" t="s">
        <v>23</v>
      </c>
      <c r="G1321">
        <v>4</v>
      </c>
      <c r="H1321">
        <v>4</v>
      </c>
      <c r="I1321" t="s">
        <v>16</v>
      </c>
      <c r="J1321">
        <v>4648</v>
      </c>
      <c r="K1321">
        <v>8</v>
      </c>
      <c r="L1321">
        <v>4</v>
      </c>
      <c r="M1321">
        <v>0</v>
      </c>
    </row>
    <row r="1322" spans="1:13">
      <c r="A1322">
        <v>42</v>
      </c>
      <c r="B1322" t="s">
        <v>17</v>
      </c>
      <c r="C1322" t="s">
        <v>18</v>
      </c>
      <c r="D1322">
        <v>10</v>
      </c>
      <c r="E1322">
        <v>4</v>
      </c>
      <c r="F1322" t="s">
        <v>24</v>
      </c>
      <c r="G1322">
        <v>3</v>
      </c>
      <c r="H1322">
        <v>3</v>
      </c>
      <c r="I1322" t="s">
        <v>19</v>
      </c>
      <c r="J1322">
        <v>2936</v>
      </c>
      <c r="K1322">
        <v>3</v>
      </c>
      <c r="L1322">
        <v>2</v>
      </c>
      <c r="M1322">
        <v>6</v>
      </c>
    </row>
    <row r="1323" spans="1:13">
      <c r="A1323">
        <v>47</v>
      </c>
      <c r="B1323" t="s">
        <v>17</v>
      </c>
      <c r="C1323" t="s">
        <v>18</v>
      </c>
      <c r="D1323">
        <v>9</v>
      </c>
      <c r="E1323">
        <v>4</v>
      </c>
      <c r="F1323" t="s">
        <v>15</v>
      </c>
      <c r="G1323">
        <v>2</v>
      </c>
      <c r="H1323">
        <v>3</v>
      </c>
      <c r="I1323" t="s">
        <v>16</v>
      </c>
      <c r="J1323">
        <v>2105</v>
      </c>
      <c r="K1323">
        <v>4</v>
      </c>
      <c r="L1323">
        <v>3</v>
      </c>
      <c r="M1323">
        <v>2</v>
      </c>
    </row>
    <row r="1324" spans="1:13">
      <c r="A1324">
        <v>46</v>
      </c>
      <c r="B1324" t="s">
        <v>17</v>
      </c>
      <c r="C1324" t="s">
        <v>18</v>
      </c>
      <c r="D1324">
        <v>2</v>
      </c>
      <c r="E1324">
        <v>2</v>
      </c>
      <c r="F1324" t="s">
        <v>15</v>
      </c>
      <c r="G1324">
        <v>4</v>
      </c>
      <c r="H1324">
        <v>4</v>
      </c>
      <c r="I1324" t="s">
        <v>22</v>
      </c>
      <c r="J1324">
        <v>8578</v>
      </c>
      <c r="K1324">
        <v>3</v>
      </c>
      <c r="L1324">
        <v>2</v>
      </c>
      <c r="M1324">
        <v>9</v>
      </c>
    </row>
    <row r="1325" spans="1:13">
      <c r="A1325">
        <v>28</v>
      </c>
      <c r="B1325" t="s">
        <v>17</v>
      </c>
      <c r="C1325" t="s">
        <v>25</v>
      </c>
      <c r="D1325">
        <v>1</v>
      </c>
      <c r="E1325">
        <v>2</v>
      </c>
      <c r="F1325" t="s">
        <v>15</v>
      </c>
      <c r="G1325">
        <v>3</v>
      </c>
      <c r="H1325">
        <v>4</v>
      </c>
      <c r="I1325" t="s">
        <v>22</v>
      </c>
      <c r="J1325">
        <v>2706</v>
      </c>
      <c r="K1325">
        <v>1</v>
      </c>
      <c r="L1325">
        <v>3</v>
      </c>
      <c r="M1325">
        <v>3</v>
      </c>
    </row>
    <row r="1326" spans="1:13">
      <c r="A1326">
        <v>29</v>
      </c>
      <c r="B1326" t="s">
        <v>17</v>
      </c>
      <c r="C1326" t="s">
        <v>18</v>
      </c>
      <c r="D1326">
        <v>29</v>
      </c>
      <c r="E1326">
        <v>1</v>
      </c>
      <c r="F1326" t="s">
        <v>15</v>
      </c>
      <c r="G1326">
        <v>4</v>
      </c>
      <c r="H1326">
        <v>3</v>
      </c>
      <c r="I1326" t="s">
        <v>22</v>
      </c>
      <c r="J1326">
        <v>6384</v>
      </c>
      <c r="K1326">
        <v>8</v>
      </c>
      <c r="L1326">
        <v>3</v>
      </c>
      <c r="M1326">
        <v>7</v>
      </c>
    </row>
    <row r="1327" spans="1:13">
      <c r="A1327">
        <v>42</v>
      </c>
      <c r="B1327" t="s">
        <v>17</v>
      </c>
      <c r="C1327" t="s">
        <v>18</v>
      </c>
      <c r="D1327">
        <v>8</v>
      </c>
      <c r="E1327">
        <v>3</v>
      </c>
      <c r="F1327" t="s">
        <v>15</v>
      </c>
      <c r="G1327">
        <v>4</v>
      </c>
      <c r="H1327">
        <v>3</v>
      </c>
      <c r="I1327" t="s">
        <v>16</v>
      </c>
      <c r="J1327">
        <v>3968</v>
      </c>
      <c r="K1327">
        <v>4</v>
      </c>
      <c r="L1327">
        <v>3</v>
      </c>
      <c r="M1327">
        <v>0</v>
      </c>
    </row>
    <row r="1328" spans="1:13">
      <c r="A1328">
        <v>32</v>
      </c>
      <c r="B1328" t="s">
        <v>13</v>
      </c>
      <c r="C1328" t="s">
        <v>14</v>
      </c>
      <c r="D1328">
        <v>2</v>
      </c>
      <c r="E1328">
        <v>4</v>
      </c>
      <c r="F1328" t="s">
        <v>23</v>
      </c>
      <c r="G1328">
        <v>3</v>
      </c>
      <c r="H1328">
        <v>2</v>
      </c>
      <c r="I1328" t="s">
        <v>16</v>
      </c>
      <c r="J1328">
        <v>9907</v>
      </c>
      <c r="K1328">
        <v>7</v>
      </c>
      <c r="L1328">
        <v>2</v>
      </c>
      <c r="M1328">
        <v>2</v>
      </c>
    </row>
    <row r="1329" spans="1:13">
      <c r="A1329">
        <v>46</v>
      </c>
      <c r="B1329" t="s">
        <v>17</v>
      </c>
      <c r="C1329" t="s">
        <v>14</v>
      </c>
      <c r="D1329">
        <v>3</v>
      </c>
      <c r="E1329">
        <v>3</v>
      </c>
      <c r="F1329" t="s">
        <v>24</v>
      </c>
      <c r="G1329">
        <v>1</v>
      </c>
      <c r="H1329">
        <v>1</v>
      </c>
      <c r="I1329" t="s">
        <v>22</v>
      </c>
      <c r="J1329">
        <v>13225</v>
      </c>
      <c r="K1329">
        <v>2</v>
      </c>
      <c r="L1329">
        <v>3</v>
      </c>
      <c r="M1329">
        <v>19</v>
      </c>
    </row>
    <row r="1330" spans="1:13">
      <c r="A1330">
        <v>27</v>
      </c>
      <c r="B1330" t="s">
        <v>17</v>
      </c>
      <c r="C1330" t="s">
        <v>14</v>
      </c>
      <c r="D1330">
        <v>23</v>
      </c>
      <c r="E1330">
        <v>1</v>
      </c>
      <c r="F1330" t="s">
        <v>21</v>
      </c>
      <c r="G1330">
        <v>2</v>
      </c>
      <c r="H1330">
        <v>3</v>
      </c>
      <c r="I1330" t="s">
        <v>19</v>
      </c>
      <c r="J1330">
        <v>3540</v>
      </c>
      <c r="K1330">
        <v>1</v>
      </c>
      <c r="L1330">
        <v>3</v>
      </c>
      <c r="M1330">
        <v>9</v>
      </c>
    </row>
    <row r="1331" spans="1:13">
      <c r="A1331">
        <v>29</v>
      </c>
      <c r="B1331" t="s">
        <v>17</v>
      </c>
      <c r="C1331" t="s">
        <v>25</v>
      </c>
      <c r="D1331">
        <v>6</v>
      </c>
      <c r="E1331">
        <v>1</v>
      </c>
      <c r="F1331" t="s">
        <v>21</v>
      </c>
      <c r="G1331">
        <v>4</v>
      </c>
      <c r="H1331">
        <v>2</v>
      </c>
      <c r="I1331" t="s">
        <v>19</v>
      </c>
      <c r="J1331">
        <v>2804</v>
      </c>
      <c r="K1331">
        <v>1</v>
      </c>
      <c r="L1331">
        <v>3</v>
      </c>
      <c r="M1331">
        <v>1</v>
      </c>
    </row>
    <row r="1332" spans="1:13">
      <c r="A1332">
        <v>43</v>
      </c>
      <c r="B1332" t="s">
        <v>17</v>
      </c>
      <c r="C1332" t="s">
        <v>18</v>
      </c>
      <c r="D1332">
        <v>6</v>
      </c>
      <c r="E1332">
        <v>3</v>
      </c>
      <c r="F1332" t="s">
        <v>21</v>
      </c>
      <c r="G1332">
        <v>1</v>
      </c>
      <c r="H1332">
        <v>3</v>
      </c>
      <c r="I1332" t="s">
        <v>19</v>
      </c>
      <c r="J1332">
        <v>19392</v>
      </c>
      <c r="K1332">
        <v>7</v>
      </c>
      <c r="L1332">
        <v>3</v>
      </c>
      <c r="M1332">
        <v>16</v>
      </c>
    </row>
    <row r="1333" spans="1:13">
      <c r="A1333">
        <v>48</v>
      </c>
      <c r="B1333" t="s">
        <v>17</v>
      </c>
      <c r="C1333" t="s">
        <v>18</v>
      </c>
      <c r="D1333">
        <v>10</v>
      </c>
      <c r="E1333">
        <v>3</v>
      </c>
      <c r="F1333" t="s">
        <v>15</v>
      </c>
      <c r="G1333">
        <v>4</v>
      </c>
      <c r="H1333">
        <v>2</v>
      </c>
      <c r="I1333" t="s">
        <v>19</v>
      </c>
      <c r="J1333">
        <v>19665</v>
      </c>
      <c r="K1333">
        <v>4</v>
      </c>
      <c r="L1333">
        <v>3</v>
      </c>
      <c r="M1333">
        <v>22</v>
      </c>
    </row>
    <row r="1334" spans="1:13">
      <c r="A1334">
        <v>29</v>
      </c>
      <c r="B1334" t="s">
        <v>13</v>
      </c>
      <c r="C1334" t="s">
        <v>18</v>
      </c>
      <c r="D1334">
        <v>24</v>
      </c>
      <c r="E1334">
        <v>2</v>
      </c>
      <c r="F1334" t="s">
        <v>15</v>
      </c>
      <c r="G1334">
        <v>4</v>
      </c>
      <c r="H1334">
        <v>4</v>
      </c>
      <c r="I1334" t="s">
        <v>16</v>
      </c>
      <c r="J1334">
        <v>2439</v>
      </c>
      <c r="K1334">
        <v>1</v>
      </c>
      <c r="L1334">
        <v>2</v>
      </c>
      <c r="M1334">
        <v>1</v>
      </c>
    </row>
    <row r="1335" spans="1:13">
      <c r="A1335">
        <v>46</v>
      </c>
      <c r="B1335" t="s">
        <v>13</v>
      </c>
      <c r="C1335" t="s">
        <v>14</v>
      </c>
      <c r="D1335">
        <v>10</v>
      </c>
      <c r="E1335">
        <v>3</v>
      </c>
      <c r="F1335" t="s">
        <v>15</v>
      </c>
      <c r="G1335">
        <v>3</v>
      </c>
      <c r="H1335">
        <v>2</v>
      </c>
      <c r="I1335" t="s">
        <v>19</v>
      </c>
      <c r="J1335">
        <v>7314</v>
      </c>
      <c r="K1335">
        <v>5</v>
      </c>
      <c r="L1335">
        <v>3</v>
      </c>
      <c r="M1335">
        <v>8</v>
      </c>
    </row>
    <row r="1336" spans="1:13">
      <c r="A1336">
        <v>27</v>
      </c>
      <c r="B1336" t="s">
        <v>17</v>
      </c>
      <c r="C1336" t="s">
        <v>18</v>
      </c>
      <c r="D1336">
        <v>15</v>
      </c>
      <c r="E1336">
        <v>3</v>
      </c>
      <c r="F1336" t="s">
        <v>15</v>
      </c>
      <c r="G1336">
        <v>4</v>
      </c>
      <c r="H1336">
        <v>1</v>
      </c>
      <c r="I1336" t="s">
        <v>19</v>
      </c>
      <c r="J1336">
        <v>4774</v>
      </c>
      <c r="K1336">
        <v>0</v>
      </c>
      <c r="L1336">
        <v>2</v>
      </c>
      <c r="M1336">
        <v>7</v>
      </c>
    </row>
    <row r="1337" spans="1:13">
      <c r="A1337">
        <v>39</v>
      </c>
      <c r="B1337" t="s">
        <v>17</v>
      </c>
      <c r="C1337" t="s">
        <v>18</v>
      </c>
      <c r="D1337">
        <v>19</v>
      </c>
      <c r="E1337">
        <v>4</v>
      </c>
      <c r="F1337" t="s">
        <v>20</v>
      </c>
      <c r="G1337">
        <v>4</v>
      </c>
      <c r="H1337">
        <v>4</v>
      </c>
      <c r="I1337" t="s">
        <v>22</v>
      </c>
      <c r="J1337">
        <v>3902</v>
      </c>
      <c r="K1337">
        <v>8</v>
      </c>
      <c r="L1337">
        <v>3</v>
      </c>
      <c r="M1337">
        <v>2</v>
      </c>
    </row>
    <row r="1338" spans="1:13">
      <c r="A1338">
        <v>55</v>
      </c>
      <c r="B1338" t="s">
        <v>17</v>
      </c>
      <c r="C1338" t="s">
        <v>18</v>
      </c>
      <c r="D1338">
        <v>2</v>
      </c>
      <c r="E1338">
        <v>4</v>
      </c>
      <c r="F1338" t="s">
        <v>24</v>
      </c>
      <c r="G1338">
        <v>2</v>
      </c>
      <c r="H1338">
        <v>4</v>
      </c>
      <c r="I1338" t="s">
        <v>19</v>
      </c>
      <c r="J1338">
        <v>2662</v>
      </c>
      <c r="K1338">
        <v>8</v>
      </c>
      <c r="L1338">
        <v>4</v>
      </c>
      <c r="M1338">
        <v>5</v>
      </c>
    </row>
    <row r="1339" spans="1:13">
      <c r="A1339">
        <v>28</v>
      </c>
      <c r="B1339" t="s">
        <v>17</v>
      </c>
      <c r="C1339" t="s">
        <v>14</v>
      </c>
      <c r="D1339">
        <v>3</v>
      </c>
      <c r="E1339">
        <v>3</v>
      </c>
      <c r="F1339" t="s">
        <v>21</v>
      </c>
      <c r="G1339">
        <v>2</v>
      </c>
      <c r="H1339">
        <v>2</v>
      </c>
      <c r="I1339" t="s">
        <v>19</v>
      </c>
      <c r="J1339">
        <v>2856</v>
      </c>
      <c r="K1339">
        <v>1</v>
      </c>
      <c r="L1339">
        <v>3</v>
      </c>
      <c r="M1339">
        <v>1</v>
      </c>
    </row>
    <row r="1340" spans="1:13">
      <c r="A1340">
        <v>30</v>
      </c>
      <c r="B1340" t="s">
        <v>13</v>
      </c>
      <c r="C1340" t="s">
        <v>14</v>
      </c>
      <c r="D1340">
        <v>9</v>
      </c>
      <c r="E1340">
        <v>3</v>
      </c>
      <c r="F1340" t="s">
        <v>21</v>
      </c>
      <c r="G1340">
        <v>2</v>
      </c>
      <c r="H1340">
        <v>4</v>
      </c>
      <c r="I1340" t="s">
        <v>16</v>
      </c>
      <c r="J1340">
        <v>1081</v>
      </c>
      <c r="K1340">
        <v>1</v>
      </c>
      <c r="L1340">
        <v>2</v>
      </c>
      <c r="M1340">
        <v>1</v>
      </c>
    </row>
    <row r="1341" spans="1:13">
      <c r="A1341">
        <v>22</v>
      </c>
      <c r="B1341" t="s">
        <v>13</v>
      </c>
      <c r="C1341" t="s">
        <v>18</v>
      </c>
      <c r="D1341">
        <v>7</v>
      </c>
      <c r="E1341">
        <v>1</v>
      </c>
      <c r="F1341" t="s">
        <v>15</v>
      </c>
      <c r="G1341">
        <v>4</v>
      </c>
      <c r="H1341">
        <v>2</v>
      </c>
      <c r="I1341" t="s">
        <v>16</v>
      </c>
      <c r="J1341">
        <v>2472</v>
      </c>
      <c r="K1341">
        <v>1</v>
      </c>
      <c r="L1341">
        <v>3</v>
      </c>
      <c r="M1341">
        <v>1</v>
      </c>
    </row>
    <row r="1342" spans="1:13">
      <c r="A1342">
        <v>36</v>
      </c>
      <c r="B1342" t="s">
        <v>17</v>
      </c>
      <c r="C1342" t="s">
        <v>14</v>
      </c>
      <c r="D1342">
        <v>10</v>
      </c>
      <c r="E1342">
        <v>4</v>
      </c>
      <c r="F1342" t="s">
        <v>24</v>
      </c>
      <c r="G1342">
        <v>2</v>
      </c>
      <c r="H1342">
        <v>3</v>
      </c>
      <c r="I1342" t="s">
        <v>19</v>
      </c>
      <c r="J1342">
        <v>5673</v>
      </c>
      <c r="K1342">
        <v>1</v>
      </c>
      <c r="L1342">
        <v>3</v>
      </c>
      <c r="M1342">
        <v>10</v>
      </c>
    </row>
    <row r="1343" spans="1:13">
      <c r="A1343">
        <v>31</v>
      </c>
      <c r="B1343" t="s">
        <v>17</v>
      </c>
      <c r="C1343" t="s">
        <v>18</v>
      </c>
      <c r="D1343">
        <v>20</v>
      </c>
      <c r="E1343">
        <v>3</v>
      </c>
      <c r="F1343" t="s">
        <v>15</v>
      </c>
      <c r="G1343">
        <v>2</v>
      </c>
      <c r="H1343">
        <v>3</v>
      </c>
      <c r="I1343" t="s">
        <v>22</v>
      </c>
      <c r="J1343">
        <v>4197</v>
      </c>
      <c r="K1343">
        <v>1</v>
      </c>
      <c r="L1343">
        <v>3</v>
      </c>
      <c r="M1343">
        <v>10</v>
      </c>
    </row>
    <row r="1344" spans="1:13">
      <c r="A1344">
        <v>34</v>
      </c>
      <c r="B1344" t="s">
        <v>17</v>
      </c>
      <c r="C1344" t="s">
        <v>14</v>
      </c>
      <c r="D1344">
        <v>4</v>
      </c>
      <c r="E1344">
        <v>3</v>
      </c>
      <c r="F1344" t="s">
        <v>15</v>
      </c>
      <c r="G1344">
        <v>3</v>
      </c>
      <c r="H1344">
        <v>4</v>
      </c>
      <c r="I1344" t="s">
        <v>19</v>
      </c>
      <c r="J1344">
        <v>9713</v>
      </c>
      <c r="K1344">
        <v>2</v>
      </c>
      <c r="L1344">
        <v>3</v>
      </c>
      <c r="M1344">
        <v>5</v>
      </c>
    </row>
    <row r="1345" spans="1:13">
      <c r="A1345">
        <v>29</v>
      </c>
      <c r="B1345" t="s">
        <v>17</v>
      </c>
      <c r="C1345" t="s">
        <v>18</v>
      </c>
      <c r="D1345">
        <v>7</v>
      </c>
      <c r="E1345">
        <v>3</v>
      </c>
      <c r="F1345" t="s">
        <v>15</v>
      </c>
      <c r="G1345">
        <v>4</v>
      </c>
      <c r="H1345">
        <v>1</v>
      </c>
      <c r="I1345" t="s">
        <v>16</v>
      </c>
      <c r="J1345">
        <v>2062</v>
      </c>
      <c r="K1345">
        <v>3</v>
      </c>
      <c r="L1345">
        <v>3</v>
      </c>
      <c r="M1345">
        <v>3</v>
      </c>
    </row>
    <row r="1346" spans="1:13">
      <c r="A1346">
        <v>37</v>
      </c>
      <c r="B1346" t="s">
        <v>17</v>
      </c>
      <c r="C1346" t="s">
        <v>18</v>
      </c>
      <c r="D1346">
        <v>7</v>
      </c>
      <c r="E1346">
        <v>4</v>
      </c>
      <c r="F1346" t="s">
        <v>21</v>
      </c>
      <c r="G1346">
        <v>4</v>
      </c>
      <c r="H1346">
        <v>1</v>
      </c>
      <c r="I1346" t="s">
        <v>19</v>
      </c>
      <c r="J1346">
        <v>4284</v>
      </c>
      <c r="K1346">
        <v>5</v>
      </c>
      <c r="L1346">
        <v>3</v>
      </c>
      <c r="M1346">
        <v>5</v>
      </c>
    </row>
    <row r="1347" spans="1:13">
      <c r="A1347">
        <v>35</v>
      </c>
      <c r="B1347" t="s">
        <v>17</v>
      </c>
      <c r="C1347" t="s">
        <v>18</v>
      </c>
      <c r="D1347">
        <v>16</v>
      </c>
      <c r="E1347">
        <v>2</v>
      </c>
      <c r="F1347" t="s">
        <v>20</v>
      </c>
      <c r="G1347">
        <v>4</v>
      </c>
      <c r="H1347">
        <v>2</v>
      </c>
      <c r="I1347" t="s">
        <v>19</v>
      </c>
      <c r="J1347">
        <v>4788</v>
      </c>
      <c r="K1347">
        <v>0</v>
      </c>
      <c r="L1347">
        <v>3</v>
      </c>
      <c r="M1347">
        <v>3</v>
      </c>
    </row>
    <row r="1348" spans="1:13">
      <c r="A1348">
        <v>45</v>
      </c>
      <c r="B1348" t="s">
        <v>17</v>
      </c>
      <c r="C1348" t="s">
        <v>18</v>
      </c>
      <c r="D1348">
        <v>25</v>
      </c>
      <c r="E1348">
        <v>2</v>
      </c>
      <c r="F1348" t="s">
        <v>15</v>
      </c>
      <c r="G1348">
        <v>2</v>
      </c>
      <c r="H1348">
        <v>4</v>
      </c>
      <c r="I1348" t="s">
        <v>19</v>
      </c>
      <c r="J1348">
        <v>5906</v>
      </c>
      <c r="K1348">
        <v>0</v>
      </c>
      <c r="L1348">
        <v>2</v>
      </c>
      <c r="M1348">
        <v>9</v>
      </c>
    </row>
    <row r="1349" spans="1:13">
      <c r="A1349">
        <v>36</v>
      </c>
      <c r="B1349" t="s">
        <v>17</v>
      </c>
      <c r="C1349" t="s">
        <v>25</v>
      </c>
      <c r="D1349">
        <v>2</v>
      </c>
      <c r="E1349">
        <v>1</v>
      </c>
      <c r="F1349" t="s">
        <v>25</v>
      </c>
      <c r="G1349">
        <v>2</v>
      </c>
      <c r="H1349">
        <v>4</v>
      </c>
      <c r="I1349" t="s">
        <v>16</v>
      </c>
      <c r="J1349">
        <v>3886</v>
      </c>
      <c r="K1349">
        <v>1</v>
      </c>
      <c r="L1349">
        <v>2</v>
      </c>
      <c r="M1349">
        <v>10</v>
      </c>
    </row>
    <row r="1350" spans="1:13">
      <c r="A1350">
        <v>40</v>
      </c>
      <c r="B1350" t="s">
        <v>17</v>
      </c>
      <c r="C1350" t="s">
        <v>18</v>
      </c>
      <c r="D1350">
        <v>1</v>
      </c>
      <c r="E1350">
        <v>4</v>
      </c>
      <c r="F1350" t="s">
        <v>15</v>
      </c>
      <c r="G1350">
        <v>1</v>
      </c>
      <c r="H1350">
        <v>1</v>
      </c>
      <c r="I1350" t="s">
        <v>22</v>
      </c>
      <c r="J1350">
        <v>16823</v>
      </c>
      <c r="K1350">
        <v>2</v>
      </c>
      <c r="L1350">
        <v>3</v>
      </c>
      <c r="M1350">
        <v>19</v>
      </c>
    </row>
    <row r="1351" spans="1:13">
      <c r="A1351">
        <v>26</v>
      </c>
      <c r="B1351" t="s">
        <v>17</v>
      </c>
      <c r="C1351" t="s">
        <v>18</v>
      </c>
      <c r="D1351">
        <v>1</v>
      </c>
      <c r="E1351">
        <v>2</v>
      </c>
      <c r="F1351" t="s">
        <v>15</v>
      </c>
      <c r="G1351">
        <v>2</v>
      </c>
      <c r="H1351">
        <v>3</v>
      </c>
      <c r="I1351" t="s">
        <v>19</v>
      </c>
      <c r="J1351">
        <v>2933</v>
      </c>
      <c r="K1351">
        <v>1</v>
      </c>
      <c r="L1351">
        <v>2</v>
      </c>
      <c r="M1351">
        <v>1</v>
      </c>
    </row>
    <row r="1352" spans="1:13">
      <c r="A1352">
        <v>27</v>
      </c>
      <c r="B1352" t="s">
        <v>17</v>
      </c>
      <c r="C1352" t="s">
        <v>14</v>
      </c>
      <c r="D1352">
        <v>2</v>
      </c>
      <c r="E1352">
        <v>2</v>
      </c>
      <c r="F1352" t="s">
        <v>21</v>
      </c>
      <c r="G1352">
        <v>1</v>
      </c>
      <c r="H1352">
        <v>3</v>
      </c>
      <c r="I1352" t="s">
        <v>16</v>
      </c>
      <c r="J1352">
        <v>6500</v>
      </c>
      <c r="K1352">
        <v>0</v>
      </c>
      <c r="L1352">
        <v>2</v>
      </c>
      <c r="M1352">
        <v>8</v>
      </c>
    </row>
    <row r="1353" spans="1:13">
      <c r="A1353">
        <v>48</v>
      </c>
      <c r="B1353" t="s">
        <v>17</v>
      </c>
      <c r="C1353" t="s">
        <v>18</v>
      </c>
      <c r="D1353">
        <v>22</v>
      </c>
      <c r="E1353">
        <v>3</v>
      </c>
      <c r="F1353" t="s">
        <v>21</v>
      </c>
      <c r="G1353">
        <v>4</v>
      </c>
      <c r="H1353">
        <v>4</v>
      </c>
      <c r="I1353" t="s">
        <v>22</v>
      </c>
      <c r="J1353">
        <v>17174</v>
      </c>
      <c r="K1353">
        <v>3</v>
      </c>
      <c r="L1353">
        <v>3</v>
      </c>
      <c r="M1353">
        <v>22</v>
      </c>
    </row>
    <row r="1354" spans="1:13">
      <c r="A1354">
        <v>44</v>
      </c>
      <c r="B1354" t="s">
        <v>17</v>
      </c>
      <c r="C1354" t="s">
        <v>18</v>
      </c>
      <c r="D1354">
        <v>1</v>
      </c>
      <c r="E1354">
        <v>4</v>
      </c>
      <c r="F1354" t="s">
        <v>15</v>
      </c>
      <c r="G1354">
        <v>2</v>
      </c>
      <c r="H1354">
        <v>1</v>
      </c>
      <c r="I1354" t="s">
        <v>19</v>
      </c>
      <c r="J1354">
        <v>5033</v>
      </c>
      <c r="K1354">
        <v>2</v>
      </c>
      <c r="L1354">
        <v>3</v>
      </c>
      <c r="M1354">
        <v>2</v>
      </c>
    </row>
    <row r="1355" spans="1:13">
      <c r="A1355">
        <v>34</v>
      </c>
      <c r="B1355" t="s">
        <v>13</v>
      </c>
      <c r="C1355" t="s">
        <v>18</v>
      </c>
      <c r="D1355">
        <v>16</v>
      </c>
      <c r="E1355">
        <v>4</v>
      </c>
      <c r="F1355" t="s">
        <v>24</v>
      </c>
      <c r="G1355">
        <v>4</v>
      </c>
      <c r="H1355">
        <v>1</v>
      </c>
      <c r="I1355" t="s">
        <v>19</v>
      </c>
      <c r="J1355">
        <v>2307</v>
      </c>
      <c r="K1355">
        <v>1</v>
      </c>
      <c r="L1355">
        <v>3</v>
      </c>
      <c r="M1355">
        <v>5</v>
      </c>
    </row>
    <row r="1356" spans="1:13">
      <c r="A1356">
        <v>56</v>
      </c>
      <c r="B1356" t="s">
        <v>13</v>
      </c>
      <c r="C1356" t="s">
        <v>18</v>
      </c>
      <c r="D1356">
        <v>24</v>
      </c>
      <c r="E1356">
        <v>2</v>
      </c>
      <c r="F1356" t="s">
        <v>15</v>
      </c>
      <c r="G1356">
        <v>1</v>
      </c>
      <c r="H1356">
        <v>4</v>
      </c>
      <c r="I1356" t="s">
        <v>16</v>
      </c>
      <c r="J1356">
        <v>2587</v>
      </c>
      <c r="K1356">
        <v>1</v>
      </c>
      <c r="L1356">
        <v>3</v>
      </c>
      <c r="M1356">
        <v>4</v>
      </c>
    </row>
    <row r="1357" spans="1:13">
      <c r="A1357">
        <v>36</v>
      </c>
      <c r="B1357" t="s">
        <v>17</v>
      </c>
      <c r="C1357" t="s">
        <v>14</v>
      </c>
      <c r="D1357">
        <v>17</v>
      </c>
      <c r="E1357">
        <v>2</v>
      </c>
      <c r="F1357" t="s">
        <v>23</v>
      </c>
      <c r="G1357">
        <v>3</v>
      </c>
      <c r="H1357">
        <v>2</v>
      </c>
      <c r="I1357" t="s">
        <v>19</v>
      </c>
      <c r="J1357">
        <v>5507</v>
      </c>
      <c r="K1357">
        <v>2</v>
      </c>
      <c r="L1357">
        <v>1</v>
      </c>
      <c r="M1357">
        <v>4</v>
      </c>
    </row>
    <row r="1358" spans="1:13">
      <c r="A1358">
        <v>41</v>
      </c>
      <c r="B1358" t="s">
        <v>17</v>
      </c>
      <c r="C1358" t="s">
        <v>14</v>
      </c>
      <c r="D1358">
        <v>8</v>
      </c>
      <c r="E1358">
        <v>3</v>
      </c>
      <c r="F1358" t="s">
        <v>23</v>
      </c>
      <c r="G1358">
        <v>3</v>
      </c>
      <c r="H1358">
        <v>2</v>
      </c>
      <c r="I1358" t="s">
        <v>19</v>
      </c>
      <c r="J1358">
        <v>4393</v>
      </c>
      <c r="K1358">
        <v>5</v>
      </c>
      <c r="L1358">
        <v>3</v>
      </c>
      <c r="M1358">
        <v>5</v>
      </c>
    </row>
    <row r="1359" spans="1:13">
      <c r="A1359">
        <v>42</v>
      </c>
      <c r="B1359" t="s">
        <v>17</v>
      </c>
      <c r="C1359" t="s">
        <v>18</v>
      </c>
      <c r="D1359">
        <v>6</v>
      </c>
      <c r="E1359">
        <v>3</v>
      </c>
      <c r="F1359" t="s">
        <v>21</v>
      </c>
      <c r="G1359">
        <v>3</v>
      </c>
      <c r="H1359">
        <v>1</v>
      </c>
      <c r="I1359" t="s">
        <v>19</v>
      </c>
      <c r="J1359">
        <v>13348</v>
      </c>
      <c r="K1359">
        <v>9</v>
      </c>
      <c r="L1359">
        <v>4</v>
      </c>
      <c r="M1359">
        <v>13</v>
      </c>
    </row>
    <row r="1360" spans="1:13">
      <c r="A1360">
        <v>31</v>
      </c>
      <c r="B1360" t="s">
        <v>17</v>
      </c>
      <c r="C1360" t="s">
        <v>14</v>
      </c>
      <c r="D1360">
        <v>10</v>
      </c>
      <c r="E1360">
        <v>2</v>
      </c>
      <c r="F1360" t="s">
        <v>21</v>
      </c>
      <c r="G1360">
        <v>3</v>
      </c>
      <c r="H1360">
        <v>4</v>
      </c>
      <c r="I1360" t="s">
        <v>22</v>
      </c>
      <c r="J1360">
        <v>6583</v>
      </c>
      <c r="K1360">
        <v>2</v>
      </c>
      <c r="L1360">
        <v>3</v>
      </c>
      <c r="M1360">
        <v>5</v>
      </c>
    </row>
    <row r="1361" spans="1:13">
      <c r="A1361">
        <v>34</v>
      </c>
      <c r="B1361" t="s">
        <v>17</v>
      </c>
      <c r="C1361" t="s">
        <v>14</v>
      </c>
      <c r="D1361">
        <v>3</v>
      </c>
      <c r="E1361">
        <v>1</v>
      </c>
      <c r="F1361" t="s">
        <v>21</v>
      </c>
      <c r="G1361">
        <v>4</v>
      </c>
      <c r="H1361">
        <v>4</v>
      </c>
      <c r="I1361" t="s">
        <v>19</v>
      </c>
      <c r="J1361">
        <v>8103</v>
      </c>
      <c r="K1361">
        <v>3</v>
      </c>
      <c r="L1361">
        <v>2</v>
      </c>
      <c r="M1361">
        <v>4</v>
      </c>
    </row>
    <row r="1362" spans="1:13">
      <c r="A1362">
        <v>31</v>
      </c>
      <c r="B1362" t="s">
        <v>17</v>
      </c>
      <c r="C1362" t="s">
        <v>18</v>
      </c>
      <c r="D1362">
        <v>4</v>
      </c>
      <c r="E1362">
        <v>3</v>
      </c>
      <c r="F1362" t="s">
        <v>21</v>
      </c>
      <c r="G1362">
        <v>1</v>
      </c>
      <c r="H1362">
        <v>3</v>
      </c>
      <c r="I1362" t="s">
        <v>22</v>
      </c>
      <c r="J1362">
        <v>3978</v>
      </c>
      <c r="K1362">
        <v>8</v>
      </c>
      <c r="L1362">
        <v>2</v>
      </c>
      <c r="M1362">
        <v>2</v>
      </c>
    </row>
    <row r="1363" spans="1:13">
      <c r="A1363">
        <v>26</v>
      </c>
      <c r="B1363" t="s">
        <v>17</v>
      </c>
      <c r="C1363" t="s">
        <v>18</v>
      </c>
      <c r="D1363">
        <v>6</v>
      </c>
      <c r="E1363">
        <v>3</v>
      </c>
      <c r="F1363" t="s">
        <v>20</v>
      </c>
      <c r="G1363">
        <v>3</v>
      </c>
      <c r="H1363">
        <v>4</v>
      </c>
      <c r="I1363" t="s">
        <v>19</v>
      </c>
      <c r="J1363">
        <v>2544</v>
      </c>
      <c r="K1363">
        <v>0</v>
      </c>
      <c r="L1363">
        <v>3</v>
      </c>
      <c r="M1363">
        <v>7</v>
      </c>
    </row>
    <row r="1364" spans="1:13">
      <c r="A1364">
        <v>45</v>
      </c>
      <c r="B1364" t="s">
        <v>17</v>
      </c>
      <c r="C1364" t="s">
        <v>18</v>
      </c>
      <c r="D1364">
        <v>1</v>
      </c>
      <c r="E1364">
        <v>4</v>
      </c>
      <c r="F1364" t="s">
        <v>21</v>
      </c>
      <c r="G1364">
        <v>2</v>
      </c>
      <c r="H1364">
        <v>3</v>
      </c>
      <c r="I1364" t="s">
        <v>16</v>
      </c>
      <c r="J1364">
        <v>5399</v>
      </c>
      <c r="K1364">
        <v>4</v>
      </c>
      <c r="L1364">
        <v>3</v>
      </c>
      <c r="M1364">
        <v>4</v>
      </c>
    </row>
    <row r="1365" spans="1:13">
      <c r="A1365">
        <v>33</v>
      </c>
      <c r="B1365" t="s">
        <v>17</v>
      </c>
      <c r="C1365" t="s">
        <v>14</v>
      </c>
      <c r="D1365">
        <v>10</v>
      </c>
      <c r="E1365">
        <v>4</v>
      </c>
      <c r="F1365" t="s">
        <v>23</v>
      </c>
      <c r="G1365">
        <v>2</v>
      </c>
      <c r="H1365">
        <v>3</v>
      </c>
      <c r="I1365" t="s">
        <v>16</v>
      </c>
      <c r="J1365">
        <v>5487</v>
      </c>
      <c r="K1365">
        <v>1</v>
      </c>
      <c r="L1365">
        <v>2</v>
      </c>
      <c r="M1365">
        <v>10</v>
      </c>
    </row>
    <row r="1366" spans="1:13">
      <c r="A1366">
        <v>28</v>
      </c>
      <c r="B1366" t="s">
        <v>17</v>
      </c>
      <c r="C1366" t="s">
        <v>14</v>
      </c>
      <c r="D1366">
        <v>1</v>
      </c>
      <c r="E1366">
        <v>2</v>
      </c>
      <c r="F1366" t="s">
        <v>15</v>
      </c>
      <c r="G1366">
        <v>3</v>
      </c>
      <c r="H1366">
        <v>4</v>
      </c>
      <c r="I1366" t="s">
        <v>19</v>
      </c>
      <c r="J1366">
        <v>6834</v>
      </c>
      <c r="K1366">
        <v>1</v>
      </c>
      <c r="L1366">
        <v>3</v>
      </c>
      <c r="M1366">
        <v>7</v>
      </c>
    </row>
    <row r="1367" spans="1:13">
      <c r="A1367">
        <v>29</v>
      </c>
      <c r="B1367" t="s">
        <v>13</v>
      </c>
      <c r="C1367" t="s">
        <v>14</v>
      </c>
      <c r="D1367">
        <v>24</v>
      </c>
      <c r="E1367">
        <v>3</v>
      </c>
      <c r="F1367" t="s">
        <v>24</v>
      </c>
      <c r="G1367">
        <v>3</v>
      </c>
      <c r="H1367">
        <v>1</v>
      </c>
      <c r="I1367" t="s">
        <v>16</v>
      </c>
      <c r="J1367">
        <v>1091</v>
      </c>
      <c r="K1367">
        <v>1</v>
      </c>
      <c r="L1367">
        <v>3</v>
      </c>
      <c r="M1367">
        <v>1</v>
      </c>
    </row>
    <row r="1368" spans="1:13">
      <c r="A1368">
        <v>39</v>
      </c>
      <c r="B1368" t="s">
        <v>17</v>
      </c>
      <c r="C1368" t="s">
        <v>14</v>
      </c>
      <c r="D1368">
        <v>21</v>
      </c>
      <c r="E1368">
        <v>4</v>
      </c>
      <c r="F1368" t="s">
        <v>15</v>
      </c>
      <c r="G1368">
        <v>1</v>
      </c>
      <c r="H1368">
        <v>3</v>
      </c>
      <c r="I1368" t="s">
        <v>19</v>
      </c>
      <c r="J1368">
        <v>5736</v>
      </c>
      <c r="K1368">
        <v>6</v>
      </c>
      <c r="L1368">
        <v>3</v>
      </c>
      <c r="M1368">
        <v>3</v>
      </c>
    </row>
    <row r="1369" spans="1:13">
      <c r="A1369">
        <v>27</v>
      </c>
      <c r="B1369" t="s">
        <v>17</v>
      </c>
      <c r="C1369" t="s">
        <v>18</v>
      </c>
      <c r="D1369">
        <v>2</v>
      </c>
      <c r="E1369">
        <v>4</v>
      </c>
      <c r="F1369" t="s">
        <v>24</v>
      </c>
      <c r="G1369">
        <v>2</v>
      </c>
      <c r="H1369">
        <v>2</v>
      </c>
      <c r="I1369" t="s">
        <v>19</v>
      </c>
      <c r="J1369">
        <v>2226</v>
      </c>
      <c r="K1369">
        <v>1</v>
      </c>
      <c r="L1369">
        <v>2</v>
      </c>
      <c r="M1369">
        <v>5</v>
      </c>
    </row>
    <row r="1370" spans="1:13">
      <c r="A1370">
        <v>34</v>
      </c>
      <c r="B1370" t="s">
        <v>17</v>
      </c>
      <c r="C1370" t="s">
        <v>18</v>
      </c>
      <c r="D1370">
        <v>22</v>
      </c>
      <c r="E1370">
        <v>4</v>
      </c>
      <c r="F1370" t="s">
        <v>20</v>
      </c>
      <c r="G1370">
        <v>3</v>
      </c>
      <c r="H1370">
        <v>4</v>
      </c>
      <c r="I1370" t="s">
        <v>19</v>
      </c>
      <c r="J1370">
        <v>5747</v>
      </c>
      <c r="K1370">
        <v>1</v>
      </c>
      <c r="L1370">
        <v>3</v>
      </c>
      <c r="M1370">
        <v>15</v>
      </c>
    </row>
    <row r="1371" spans="1:13">
      <c r="A1371">
        <v>28</v>
      </c>
      <c r="B1371" t="s">
        <v>13</v>
      </c>
      <c r="C1371" t="s">
        <v>14</v>
      </c>
      <c r="D1371">
        <v>13</v>
      </c>
      <c r="E1371">
        <v>2</v>
      </c>
      <c r="F1371" t="s">
        <v>23</v>
      </c>
      <c r="G1371">
        <v>4</v>
      </c>
      <c r="H1371">
        <v>3</v>
      </c>
      <c r="I1371" t="s">
        <v>16</v>
      </c>
      <c r="J1371">
        <v>9854</v>
      </c>
      <c r="K1371">
        <v>3</v>
      </c>
      <c r="L1371">
        <v>3</v>
      </c>
      <c r="M1371">
        <v>2</v>
      </c>
    </row>
    <row r="1372" spans="1:13">
      <c r="A1372">
        <v>47</v>
      </c>
      <c r="B1372" t="s">
        <v>17</v>
      </c>
      <c r="C1372" t="s">
        <v>18</v>
      </c>
      <c r="D1372">
        <v>14</v>
      </c>
      <c r="E1372">
        <v>4</v>
      </c>
      <c r="F1372" t="s">
        <v>24</v>
      </c>
      <c r="G1372">
        <v>3</v>
      </c>
      <c r="H1372">
        <v>2</v>
      </c>
      <c r="I1372" t="s">
        <v>19</v>
      </c>
      <c r="J1372">
        <v>5467</v>
      </c>
      <c r="K1372">
        <v>8</v>
      </c>
      <c r="L1372">
        <v>4</v>
      </c>
      <c r="M1372">
        <v>8</v>
      </c>
    </row>
    <row r="1373" spans="1:13">
      <c r="A1373">
        <v>56</v>
      </c>
      <c r="B1373" t="s">
        <v>17</v>
      </c>
      <c r="C1373" t="s">
        <v>14</v>
      </c>
      <c r="D1373">
        <v>11</v>
      </c>
      <c r="E1373">
        <v>5</v>
      </c>
      <c r="F1373" t="s">
        <v>23</v>
      </c>
      <c r="G1373">
        <v>4</v>
      </c>
      <c r="H1373">
        <v>1</v>
      </c>
      <c r="I1373" t="s">
        <v>19</v>
      </c>
      <c r="J1373">
        <v>5380</v>
      </c>
      <c r="K1373">
        <v>4</v>
      </c>
      <c r="L1373">
        <v>3</v>
      </c>
      <c r="M1373">
        <v>0</v>
      </c>
    </row>
    <row r="1374" spans="1:13">
      <c r="A1374">
        <v>39</v>
      </c>
      <c r="B1374" t="s">
        <v>17</v>
      </c>
      <c r="C1374" t="s">
        <v>18</v>
      </c>
      <c r="D1374">
        <v>9</v>
      </c>
      <c r="E1374">
        <v>2</v>
      </c>
      <c r="F1374" t="s">
        <v>21</v>
      </c>
      <c r="G1374">
        <v>1</v>
      </c>
      <c r="H1374">
        <v>1</v>
      </c>
      <c r="I1374" t="s">
        <v>19</v>
      </c>
      <c r="J1374">
        <v>5151</v>
      </c>
      <c r="K1374">
        <v>1</v>
      </c>
      <c r="L1374">
        <v>3</v>
      </c>
      <c r="M1374">
        <v>10</v>
      </c>
    </row>
    <row r="1375" spans="1:13">
      <c r="A1375">
        <v>38</v>
      </c>
      <c r="B1375" t="s">
        <v>17</v>
      </c>
      <c r="C1375" t="s">
        <v>18</v>
      </c>
      <c r="D1375">
        <v>8</v>
      </c>
      <c r="E1375">
        <v>3</v>
      </c>
      <c r="F1375" t="s">
        <v>21</v>
      </c>
      <c r="G1375">
        <v>4</v>
      </c>
      <c r="H1375">
        <v>2</v>
      </c>
      <c r="I1375" t="s">
        <v>22</v>
      </c>
      <c r="J1375">
        <v>2133</v>
      </c>
      <c r="K1375">
        <v>1</v>
      </c>
      <c r="L1375">
        <v>3</v>
      </c>
      <c r="M1375">
        <v>20</v>
      </c>
    </row>
    <row r="1376" spans="1:13">
      <c r="A1376">
        <v>58</v>
      </c>
      <c r="B1376" t="s">
        <v>17</v>
      </c>
      <c r="C1376" t="s">
        <v>14</v>
      </c>
      <c r="D1376">
        <v>21</v>
      </c>
      <c r="E1376">
        <v>3</v>
      </c>
      <c r="F1376" t="s">
        <v>15</v>
      </c>
      <c r="G1376">
        <v>4</v>
      </c>
      <c r="H1376">
        <v>4</v>
      </c>
      <c r="I1376" t="s">
        <v>19</v>
      </c>
      <c r="J1376">
        <v>17875</v>
      </c>
      <c r="K1376">
        <v>4</v>
      </c>
      <c r="L1376">
        <v>2</v>
      </c>
      <c r="M1376">
        <v>1</v>
      </c>
    </row>
    <row r="1377" spans="1:13">
      <c r="A1377">
        <v>32</v>
      </c>
      <c r="B1377" t="s">
        <v>13</v>
      </c>
      <c r="C1377" t="s">
        <v>18</v>
      </c>
      <c r="D1377">
        <v>5</v>
      </c>
      <c r="E1377">
        <v>2</v>
      </c>
      <c r="F1377" t="s">
        <v>15</v>
      </c>
      <c r="G1377">
        <v>1</v>
      </c>
      <c r="H1377">
        <v>3</v>
      </c>
      <c r="I1377" t="s">
        <v>16</v>
      </c>
      <c r="J1377">
        <v>2432</v>
      </c>
      <c r="K1377">
        <v>3</v>
      </c>
      <c r="L1377">
        <v>3</v>
      </c>
      <c r="M1377">
        <v>4</v>
      </c>
    </row>
    <row r="1378" spans="1:13">
      <c r="A1378">
        <v>38</v>
      </c>
      <c r="B1378" t="s">
        <v>17</v>
      </c>
      <c r="C1378" t="s">
        <v>18</v>
      </c>
      <c r="D1378">
        <v>9</v>
      </c>
      <c r="E1378">
        <v>2</v>
      </c>
      <c r="F1378" t="s">
        <v>15</v>
      </c>
      <c r="G1378">
        <v>2</v>
      </c>
      <c r="H1378">
        <v>4</v>
      </c>
      <c r="I1378" t="s">
        <v>22</v>
      </c>
      <c r="J1378">
        <v>4771</v>
      </c>
      <c r="K1378">
        <v>2</v>
      </c>
      <c r="L1378">
        <v>4</v>
      </c>
      <c r="M1378">
        <v>5</v>
      </c>
    </row>
    <row r="1379" spans="1:13">
      <c r="A1379">
        <v>49</v>
      </c>
      <c r="B1379" t="s">
        <v>17</v>
      </c>
      <c r="C1379" t="s">
        <v>18</v>
      </c>
      <c r="D1379">
        <v>2</v>
      </c>
      <c r="E1379">
        <v>1</v>
      </c>
      <c r="F1379" t="s">
        <v>15</v>
      </c>
      <c r="G1379">
        <v>2</v>
      </c>
      <c r="H1379">
        <v>4</v>
      </c>
      <c r="I1379" t="s">
        <v>19</v>
      </c>
      <c r="J1379">
        <v>19161</v>
      </c>
      <c r="K1379">
        <v>3</v>
      </c>
      <c r="L1379">
        <v>3</v>
      </c>
      <c r="M1379">
        <v>5</v>
      </c>
    </row>
    <row r="1380" spans="1:13">
      <c r="A1380">
        <v>42</v>
      </c>
      <c r="B1380" t="s">
        <v>17</v>
      </c>
      <c r="C1380" t="s">
        <v>14</v>
      </c>
      <c r="D1380">
        <v>12</v>
      </c>
      <c r="E1380">
        <v>4</v>
      </c>
      <c r="F1380" t="s">
        <v>23</v>
      </c>
      <c r="G1380">
        <v>2</v>
      </c>
      <c r="H1380">
        <v>4</v>
      </c>
      <c r="I1380" t="s">
        <v>22</v>
      </c>
      <c r="J1380">
        <v>5087</v>
      </c>
      <c r="K1380">
        <v>3</v>
      </c>
      <c r="L1380">
        <v>3</v>
      </c>
      <c r="M1380">
        <v>0</v>
      </c>
    </row>
    <row r="1381" spans="1:13">
      <c r="A1381">
        <v>27</v>
      </c>
      <c r="B1381" t="s">
        <v>13</v>
      </c>
      <c r="C1381" t="s">
        <v>25</v>
      </c>
      <c r="D1381">
        <v>22</v>
      </c>
      <c r="E1381">
        <v>3</v>
      </c>
      <c r="F1381" t="s">
        <v>25</v>
      </c>
      <c r="G1381">
        <v>1</v>
      </c>
      <c r="H1381">
        <v>2</v>
      </c>
      <c r="I1381" t="s">
        <v>19</v>
      </c>
      <c r="J1381">
        <v>2863</v>
      </c>
      <c r="K1381">
        <v>1</v>
      </c>
      <c r="L1381">
        <v>3</v>
      </c>
      <c r="M1381">
        <v>1</v>
      </c>
    </row>
    <row r="1382" spans="1:13">
      <c r="A1382">
        <v>35</v>
      </c>
      <c r="B1382" t="s">
        <v>17</v>
      </c>
      <c r="C1382" t="s">
        <v>14</v>
      </c>
      <c r="D1382">
        <v>18</v>
      </c>
      <c r="E1382">
        <v>4</v>
      </c>
      <c r="F1382" t="s">
        <v>21</v>
      </c>
      <c r="G1382">
        <v>2</v>
      </c>
      <c r="H1382">
        <v>1</v>
      </c>
      <c r="I1382" t="s">
        <v>19</v>
      </c>
      <c r="J1382">
        <v>5561</v>
      </c>
      <c r="K1382">
        <v>0</v>
      </c>
      <c r="L1382">
        <v>1</v>
      </c>
      <c r="M1382">
        <v>5</v>
      </c>
    </row>
    <row r="1383" spans="1:13">
      <c r="A1383">
        <v>28</v>
      </c>
      <c r="B1383" t="s">
        <v>17</v>
      </c>
      <c r="C1383" t="s">
        <v>18</v>
      </c>
      <c r="D1383">
        <v>16</v>
      </c>
      <c r="E1383">
        <v>3</v>
      </c>
      <c r="F1383" t="s">
        <v>21</v>
      </c>
      <c r="G1383">
        <v>3</v>
      </c>
      <c r="H1383">
        <v>3</v>
      </c>
      <c r="I1383" t="s">
        <v>16</v>
      </c>
      <c r="J1383">
        <v>2144</v>
      </c>
      <c r="K1383">
        <v>1</v>
      </c>
      <c r="L1383">
        <v>2</v>
      </c>
      <c r="M1383">
        <v>5</v>
      </c>
    </row>
    <row r="1384" spans="1:13">
      <c r="A1384">
        <v>31</v>
      </c>
      <c r="B1384" t="s">
        <v>17</v>
      </c>
      <c r="C1384" t="s">
        <v>18</v>
      </c>
      <c r="D1384">
        <v>3</v>
      </c>
      <c r="E1384">
        <v>2</v>
      </c>
      <c r="F1384" t="s">
        <v>21</v>
      </c>
      <c r="G1384">
        <v>3</v>
      </c>
      <c r="H1384">
        <v>1</v>
      </c>
      <c r="I1384" t="s">
        <v>22</v>
      </c>
      <c r="J1384">
        <v>3065</v>
      </c>
      <c r="K1384">
        <v>1</v>
      </c>
      <c r="L1384">
        <v>4</v>
      </c>
      <c r="M1384">
        <v>4</v>
      </c>
    </row>
    <row r="1385" spans="1:13">
      <c r="A1385">
        <v>36</v>
      </c>
      <c r="B1385" t="s">
        <v>17</v>
      </c>
      <c r="C1385" t="s">
        <v>18</v>
      </c>
      <c r="D1385">
        <v>9</v>
      </c>
      <c r="E1385">
        <v>4</v>
      </c>
      <c r="F1385" t="s">
        <v>15</v>
      </c>
      <c r="G1385">
        <v>1</v>
      </c>
      <c r="H1385">
        <v>2</v>
      </c>
      <c r="I1385" t="s">
        <v>19</v>
      </c>
      <c r="J1385">
        <v>2810</v>
      </c>
      <c r="K1385">
        <v>1</v>
      </c>
      <c r="L1385">
        <v>3</v>
      </c>
      <c r="M1385">
        <v>5</v>
      </c>
    </row>
    <row r="1386" spans="1:13">
      <c r="A1386">
        <v>34</v>
      </c>
      <c r="B1386" t="s">
        <v>17</v>
      </c>
      <c r="C1386" t="s">
        <v>14</v>
      </c>
      <c r="D1386">
        <v>1</v>
      </c>
      <c r="E1386">
        <v>3</v>
      </c>
      <c r="F1386" t="s">
        <v>23</v>
      </c>
      <c r="G1386">
        <v>1</v>
      </c>
      <c r="H1386">
        <v>4</v>
      </c>
      <c r="I1386" t="s">
        <v>16</v>
      </c>
      <c r="J1386">
        <v>9888</v>
      </c>
      <c r="K1386">
        <v>1</v>
      </c>
      <c r="L1386">
        <v>2</v>
      </c>
      <c r="M1386">
        <v>14</v>
      </c>
    </row>
    <row r="1387" spans="1:13">
      <c r="A1387">
        <v>34</v>
      </c>
      <c r="B1387" t="s">
        <v>17</v>
      </c>
      <c r="C1387" t="s">
        <v>14</v>
      </c>
      <c r="D1387">
        <v>13</v>
      </c>
      <c r="E1387">
        <v>4</v>
      </c>
      <c r="F1387" t="s">
        <v>21</v>
      </c>
      <c r="G1387">
        <v>4</v>
      </c>
      <c r="H1387">
        <v>3</v>
      </c>
      <c r="I1387" t="s">
        <v>22</v>
      </c>
      <c r="J1387">
        <v>8628</v>
      </c>
      <c r="K1387">
        <v>1</v>
      </c>
      <c r="L1387">
        <v>2</v>
      </c>
      <c r="M1387">
        <v>8</v>
      </c>
    </row>
    <row r="1388" spans="1:13">
      <c r="A1388">
        <v>26</v>
      </c>
      <c r="B1388" t="s">
        <v>17</v>
      </c>
      <c r="C1388" t="s">
        <v>18</v>
      </c>
      <c r="D1388">
        <v>1</v>
      </c>
      <c r="E1388">
        <v>3</v>
      </c>
      <c r="F1388" t="s">
        <v>21</v>
      </c>
      <c r="G1388">
        <v>3</v>
      </c>
      <c r="H1388">
        <v>1</v>
      </c>
      <c r="I1388" t="s">
        <v>16</v>
      </c>
      <c r="J1388">
        <v>2867</v>
      </c>
      <c r="K1388">
        <v>0</v>
      </c>
      <c r="L1388">
        <v>2</v>
      </c>
      <c r="M1388">
        <v>7</v>
      </c>
    </row>
    <row r="1389" spans="1:13">
      <c r="A1389">
        <v>29</v>
      </c>
      <c r="B1389" t="s">
        <v>17</v>
      </c>
      <c r="C1389" t="s">
        <v>18</v>
      </c>
      <c r="D1389">
        <v>1</v>
      </c>
      <c r="E1389">
        <v>3</v>
      </c>
      <c r="F1389" t="s">
        <v>15</v>
      </c>
      <c r="G1389">
        <v>1</v>
      </c>
      <c r="H1389">
        <v>1</v>
      </c>
      <c r="I1389" t="s">
        <v>19</v>
      </c>
      <c r="J1389">
        <v>5373</v>
      </c>
      <c r="K1389">
        <v>0</v>
      </c>
      <c r="L1389">
        <v>2</v>
      </c>
      <c r="M1389">
        <v>5</v>
      </c>
    </row>
    <row r="1390" spans="1:13">
      <c r="A1390">
        <v>32</v>
      </c>
      <c r="B1390" t="s">
        <v>17</v>
      </c>
      <c r="C1390" t="s">
        <v>18</v>
      </c>
      <c r="D1390">
        <v>15</v>
      </c>
      <c r="E1390">
        <v>4</v>
      </c>
      <c r="F1390" t="s">
        <v>21</v>
      </c>
      <c r="G1390">
        <v>3</v>
      </c>
      <c r="H1390">
        <v>4</v>
      </c>
      <c r="I1390" t="s">
        <v>22</v>
      </c>
      <c r="J1390">
        <v>6667</v>
      </c>
      <c r="K1390">
        <v>5</v>
      </c>
      <c r="L1390">
        <v>3</v>
      </c>
      <c r="M1390">
        <v>5</v>
      </c>
    </row>
    <row r="1391" spans="1:13">
      <c r="A1391">
        <v>31</v>
      </c>
      <c r="B1391" t="s">
        <v>17</v>
      </c>
      <c r="C1391" t="s">
        <v>18</v>
      </c>
      <c r="D1391">
        <v>1</v>
      </c>
      <c r="E1391">
        <v>3</v>
      </c>
      <c r="F1391" t="s">
        <v>15</v>
      </c>
      <c r="G1391">
        <v>4</v>
      </c>
      <c r="H1391">
        <v>1</v>
      </c>
      <c r="I1391" t="s">
        <v>19</v>
      </c>
      <c r="J1391">
        <v>5003</v>
      </c>
      <c r="K1391">
        <v>1</v>
      </c>
      <c r="L1391">
        <v>3</v>
      </c>
      <c r="M1391">
        <v>10</v>
      </c>
    </row>
    <row r="1392" spans="1:13">
      <c r="A1392">
        <v>28</v>
      </c>
      <c r="B1392" t="s">
        <v>13</v>
      </c>
      <c r="C1392" t="s">
        <v>18</v>
      </c>
      <c r="D1392">
        <v>17</v>
      </c>
      <c r="E1392">
        <v>3</v>
      </c>
      <c r="F1392" t="s">
        <v>24</v>
      </c>
      <c r="G1392">
        <v>3</v>
      </c>
      <c r="H1392">
        <v>4</v>
      </c>
      <c r="I1392" t="s">
        <v>22</v>
      </c>
      <c r="J1392">
        <v>2367</v>
      </c>
      <c r="K1392">
        <v>5</v>
      </c>
      <c r="L1392">
        <v>2</v>
      </c>
      <c r="M1392">
        <v>4</v>
      </c>
    </row>
    <row r="1393" spans="1:13">
      <c r="A1393">
        <v>38</v>
      </c>
      <c r="B1393" t="s">
        <v>17</v>
      </c>
      <c r="C1393" t="s">
        <v>14</v>
      </c>
      <c r="D1393">
        <v>1</v>
      </c>
      <c r="E1393">
        <v>3</v>
      </c>
      <c r="F1393" t="s">
        <v>15</v>
      </c>
      <c r="G1393">
        <v>1</v>
      </c>
      <c r="H1393">
        <v>1</v>
      </c>
      <c r="I1393" t="s">
        <v>16</v>
      </c>
      <c r="J1393">
        <v>2858</v>
      </c>
      <c r="K1393">
        <v>4</v>
      </c>
      <c r="L1393">
        <v>2</v>
      </c>
      <c r="M1393">
        <v>1</v>
      </c>
    </row>
    <row r="1394" spans="1:13">
      <c r="A1394">
        <v>35</v>
      </c>
      <c r="B1394" t="s">
        <v>17</v>
      </c>
      <c r="C1394" t="s">
        <v>14</v>
      </c>
      <c r="D1394">
        <v>7</v>
      </c>
      <c r="E1394">
        <v>4</v>
      </c>
      <c r="F1394" t="s">
        <v>15</v>
      </c>
      <c r="G1394">
        <v>3</v>
      </c>
      <c r="H1394">
        <v>4</v>
      </c>
      <c r="I1394" t="s">
        <v>19</v>
      </c>
      <c r="J1394">
        <v>5204</v>
      </c>
      <c r="K1394">
        <v>1</v>
      </c>
      <c r="L1394">
        <v>3</v>
      </c>
      <c r="M1394">
        <v>10</v>
      </c>
    </row>
    <row r="1395" spans="1:13">
      <c r="A1395">
        <v>27</v>
      </c>
      <c r="B1395" t="s">
        <v>17</v>
      </c>
      <c r="C1395" t="s">
        <v>14</v>
      </c>
      <c r="D1395">
        <v>9</v>
      </c>
      <c r="E1395">
        <v>3</v>
      </c>
      <c r="F1395" t="s">
        <v>23</v>
      </c>
      <c r="G1395">
        <v>4</v>
      </c>
      <c r="H1395">
        <v>4</v>
      </c>
      <c r="I1395" t="s">
        <v>16</v>
      </c>
      <c r="J1395">
        <v>4105</v>
      </c>
      <c r="K1395">
        <v>1</v>
      </c>
      <c r="L1395">
        <v>3</v>
      </c>
      <c r="M1395">
        <v>7</v>
      </c>
    </row>
    <row r="1396" spans="1:13">
      <c r="A1396">
        <v>32</v>
      </c>
      <c r="B1396" t="s">
        <v>17</v>
      </c>
      <c r="C1396" t="s">
        <v>18</v>
      </c>
      <c r="D1396">
        <v>5</v>
      </c>
      <c r="E1396">
        <v>4</v>
      </c>
      <c r="F1396" t="s">
        <v>15</v>
      </c>
      <c r="G1396">
        <v>4</v>
      </c>
      <c r="H1396">
        <v>4</v>
      </c>
      <c r="I1396" t="s">
        <v>16</v>
      </c>
      <c r="J1396">
        <v>9679</v>
      </c>
      <c r="K1396">
        <v>8</v>
      </c>
      <c r="L1396">
        <v>3</v>
      </c>
      <c r="M1396">
        <v>1</v>
      </c>
    </row>
    <row r="1397" spans="1:13">
      <c r="A1397">
        <v>31</v>
      </c>
      <c r="B1397" t="s">
        <v>13</v>
      </c>
      <c r="C1397" t="s">
        <v>14</v>
      </c>
      <c r="D1397">
        <v>26</v>
      </c>
      <c r="E1397">
        <v>4</v>
      </c>
      <c r="F1397" t="s">
        <v>23</v>
      </c>
      <c r="G1397">
        <v>1</v>
      </c>
      <c r="H1397">
        <v>4</v>
      </c>
      <c r="I1397" t="s">
        <v>19</v>
      </c>
      <c r="J1397">
        <v>5617</v>
      </c>
      <c r="K1397">
        <v>1</v>
      </c>
      <c r="L1397">
        <v>3</v>
      </c>
      <c r="M1397">
        <v>10</v>
      </c>
    </row>
    <row r="1398" spans="1:13">
      <c r="A1398">
        <v>53</v>
      </c>
      <c r="B1398" t="s">
        <v>13</v>
      </c>
      <c r="C1398" t="s">
        <v>14</v>
      </c>
      <c r="D1398">
        <v>24</v>
      </c>
      <c r="E1398">
        <v>4</v>
      </c>
      <c r="F1398" t="s">
        <v>15</v>
      </c>
      <c r="G1398">
        <v>1</v>
      </c>
      <c r="H1398">
        <v>1</v>
      </c>
      <c r="I1398" t="s">
        <v>16</v>
      </c>
      <c r="J1398">
        <v>10448</v>
      </c>
      <c r="K1398">
        <v>6</v>
      </c>
      <c r="L1398">
        <v>2</v>
      </c>
      <c r="M1398">
        <v>2</v>
      </c>
    </row>
    <row r="1399" spans="1:13">
      <c r="A1399">
        <v>54</v>
      </c>
      <c r="B1399" t="s">
        <v>17</v>
      </c>
      <c r="C1399" t="s">
        <v>18</v>
      </c>
      <c r="D1399">
        <v>9</v>
      </c>
      <c r="E1399">
        <v>2</v>
      </c>
      <c r="F1399" t="s">
        <v>15</v>
      </c>
      <c r="G1399">
        <v>1</v>
      </c>
      <c r="H1399">
        <v>3</v>
      </c>
      <c r="I1399" t="s">
        <v>19</v>
      </c>
      <c r="J1399">
        <v>2897</v>
      </c>
      <c r="K1399">
        <v>3</v>
      </c>
      <c r="L1399">
        <v>2</v>
      </c>
      <c r="M1399">
        <v>4</v>
      </c>
    </row>
    <row r="1400" spans="1:13">
      <c r="A1400">
        <v>33</v>
      </c>
      <c r="B1400" t="s">
        <v>17</v>
      </c>
      <c r="C1400" t="s">
        <v>18</v>
      </c>
      <c r="D1400">
        <v>7</v>
      </c>
      <c r="E1400">
        <v>2</v>
      </c>
      <c r="F1400" t="s">
        <v>15</v>
      </c>
      <c r="G1400">
        <v>4</v>
      </c>
      <c r="H1400">
        <v>3</v>
      </c>
      <c r="I1400" t="s">
        <v>22</v>
      </c>
      <c r="J1400">
        <v>5968</v>
      </c>
      <c r="K1400">
        <v>1</v>
      </c>
      <c r="L1400">
        <v>3</v>
      </c>
      <c r="M1400">
        <v>9</v>
      </c>
    </row>
    <row r="1401" spans="1:13">
      <c r="A1401">
        <v>43</v>
      </c>
      <c r="B1401" t="s">
        <v>17</v>
      </c>
      <c r="C1401" t="s">
        <v>18</v>
      </c>
      <c r="D1401">
        <v>11</v>
      </c>
      <c r="E1401">
        <v>3</v>
      </c>
      <c r="F1401" t="s">
        <v>15</v>
      </c>
      <c r="G1401">
        <v>1</v>
      </c>
      <c r="H1401">
        <v>3</v>
      </c>
      <c r="I1401" t="s">
        <v>19</v>
      </c>
      <c r="J1401">
        <v>7510</v>
      </c>
      <c r="K1401">
        <v>1</v>
      </c>
      <c r="L1401">
        <v>3</v>
      </c>
      <c r="M1401">
        <v>10</v>
      </c>
    </row>
    <row r="1402" spans="1:13">
      <c r="A1402">
        <v>38</v>
      </c>
      <c r="B1402" t="s">
        <v>17</v>
      </c>
      <c r="C1402" t="s">
        <v>25</v>
      </c>
      <c r="D1402">
        <v>1</v>
      </c>
      <c r="E1402">
        <v>4</v>
      </c>
      <c r="F1402" t="s">
        <v>20</v>
      </c>
      <c r="G1402">
        <v>4</v>
      </c>
      <c r="H1402">
        <v>2</v>
      </c>
      <c r="I1402" t="s">
        <v>19</v>
      </c>
      <c r="J1402">
        <v>2991</v>
      </c>
      <c r="K1402">
        <v>0</v>
      </c>
      <c r="L1402">
        <v>3</v>
      </c>
      <c r="M1402">
        <v>6</v>
      </c>
    </row>
    <row r="1403" spans="1:13">
      <c r="A1403">
        <v>55</v>
      </c>
      <c r="B1403" t="s">
        <v>17</v>
      </c>
      <c r="C1403" t="s">
        <v>25</v>
      </c>
      <c r="D1403">
        <v>26</v>
      </c>
      <c r="E1403">
        <v>4</v>
      </c>
      <c r="F1403" t="s">
        <v>25</v>
      </c>
      <c r="G1403">
        <v>3</v>
      </c>
      <c r="H1403">
        <v>2</v>
      </c>
      <c r="I1403" t="s">
        <v>19</v>
      </c>
      <c r="J1403">
        <v>19636</v>
      </c>
      <c r="K1403">
        <v>4</v>
      </c>
      <c r="L1403">
        <v>3</v>
      </c>
      <c r="M1403">
        <v>10</v>
      </c>
    </row>
    <row r="1404" spans="1:13">
      <c r="A1404">
        <v>31</v>
      </c>
      <c r="B1404" t="s">
        <v>17</v>
      </c>
      <c r="C1404" t="s">
        <v>18</v>
      </c>
      <c r="D1404">
        <v>2</v>
      </c>
      <c r="E1404">
        <v>1</v>
      </c>
      <c r="F1404" t="s">
        <v>21</v>
      </c>
      <c r="G1404">
        <v>4</v>
      </c>
      <c r="H1404">
        <v>4</v>
      </c>
      <c r="I1404" t="s">
        <v>22</v>
      </c>
      <c r="J1404">
        <v>1129</v>
      </c>
      <c r="K1404">
        <v>1</v>
      </c>
      <c r="L1404">
        <v>3</v>
      </c>
      <c r="M1404">
        <v>1</v>
      </c>
    </row>
    <row r="1405" spans="1:13">
      <c r="A1405">
        <v>39</v>
      </c>
      <c r="B1405" t="s">
        <v>17</v>
      </c>
      <c r="C1405" t="s">
        <v>14</v>
      </c>
      <c r="D1405">
        <v>15</v>
      </c>
      <c r="E1405">
        <v>4</v>
      </c>
      <c r="F1405" t="s">
        <v>23</v>
      </c>
      <c r="G1405">
        <v>2</v>
      </c>
      <c r="H1405">
        <v>1</v>
      </c>
      <c r="I1405" t="s">
        <v>16</v>
      </c>
      <c r="J1405">
        <v>13341</v>
      </c>
      <c r="K1405">
        <v>0</v>
      </c>
      <c r="L1405">
        <v>3</v>
      </c>
      <c r="M1405">
        <v>20</v>
      </c>
    </row>
    <row r="1406" spans="1:13">
      <c r="A1406">
        <v>42</v>
      </c>
      <c r="B1406" t="s">
        <v>17</v>
      </c>
      <c r="C1406" t="s">
        <v>18</v>
      </c>
      <c r="D1406">
        <v>23</v>
      </c>
      <c r="E1406">
        <v>2</v>
      </c>
      <c r="F1406" t="s">
        <v>15</v>
      </c>
      <c r="G1406">
        <v>4</v>
      </c>
      <c r="H1406">
        <v>3</v>
      </c>
      <c r="I1406" t="s">
        <v>16</v>
      </c>
      <c r="J1406">
        <v>4332</v>
      </c>
      <c r="K1406">
        <v>1</v>
      </c>
      <c r="L1406">
        <v>3</v>
      </c>
      <c r="M1406">
        <v>20</v>
      </c>
    </row>
    <row r="1407" spans="1:13">
      <c r="A1407">
        <v>31</v>
      </c>
      <c r="B1407" t="s">
        <v>17</v>
      </c>
      <c r="C1407" t="s">
        <v>18</v>
      </c>
      <c r="D1407">
        <v>10</v>
      </c>
      <c r="E1407">
        <v>3</v>
      </c>
      <c r="F1407" t="s">
        <v>21</v>
      </c>
      <c r="G1407">
        <v>3</v>
      </c>
      <c r="H1407">
        <v>3</v>
      </c>
      <c r="I1407" t="s">
        <v>19</v>
      </c>
      <c r="J1407">
        <v>11031</v>
      </c>
      <c r="K1407">
        <v>4</v>
      </c>
      <c r="L1407">
        <v>4</v>
      </c>
      <c r="M1407">
        <v>11</v>
      </c>
    </row>
    <row r="1408" spans="1:13">
      <c r="A1408">
        <v>54</v>
      </c>
      <c r="B1408" t="s">
        <v>17</v>
      </c>
      <c r="C1408" t="s">
        <v>18</v>
      </c>
      <c r="D1408">
        <v>10</v>
      </c>
      <c r="E1408">
        <v>3</v>
      </c>
      <c r="F1408" t="s">
        <v>21</v>
      </c>
      <c r="G1408">
        <v>3</v>
      </c>
      <c r="H1408">
        <v>1</v>
      </c>
      <c r="I1408" t="s">
        <v>16</v>
      </c>
      <c r="J1408">
        <v>4440</v>
      </c>
      <c r="K1408">
        <v>6</v>
      </c>
      <c r="L1408">
        <v>3</v>
      </c>
      <c r="M1408">
        <v>5</v>
      </c>
    </row>
    <row r="1409" spans="1:13">
      <c r="A1409">
        <v>24</v>
      </c>
      <c r="B1409" t="s">
        <v>17</v>
      </c>
      <c r="C1409" t="s">
        <v>18</v>
      </c>
      <c r="D1409">
        <v>1</v>
      </c>
      <c r="E1409">
        <v>2</v>
      </c>
      <c r="F1409" t="s">
        <v>15</v>
      </c>
      <c r="G1409">
        <v>2</v>
      </c>
      <c r="H1409">
        <v>3</v>
      </c>
      <c r="I1409" t="s">
        <v>16</v>
      </c>
      <c r="J1409">
        <v>4617</v>
      </c>
      <c r="K1409">
        <v>1</v>
      </c>
      <c r="L1409">
        <v>2</v>
      </c>
      <c r="M1409">
        <v>4</v>
      </c>
    </row>
    <row r="1410" spans="1:13">
      <c r="A1410">
        <v>23</v>
      </c>
      <c r="B1410" t="s">
        <v>17</v>
      </c>
      <c r="C1410" t="s">
        <v>18</v>
      </c>
      <c r="D1410">
        <v>12</v>
      </c>
      <c r="E1410">
        <v>2</v>
      </c>
      <c r="F1410" t="s">
        <v>20</v>
      </c>
      <c r="G1410">
        <v>4</v>
      </c>
      <c r="H1410">
        <v>4</v>
      </c>
      <c r="I1410" t="s">
        <v>16</v>
      </c>
      <c r="J1410">
        <v>2647</v>
      </c>
      <c r="K1410">
        <v>1</v>
      </c>
      <c r="L1410">
        <v>4</v>
      </c>
      <c r="M1410">
        <v>5</v>
      </c>
    </row>
    <row r="1411" spans="1:13">
      <c r="A1411">
        <v>40</v>
      </c>
      <c r="B1411" t="s">
        <v>17</v>
      </c>
      <c r="C1411" t="s">
        <v>18</v>
      </c>
      <c r="D1411">
        <v>11</v>
      </c>
      <c r="E1411">
        <v>3</v>
      </c>
      <c r="F1411" t="s">
        <v>24</v>
      </c>
      <c r="G1411">
        <v>4</v>
      </c>
      <c r="H1411">
        <v>3</v>
      </c>
      <c r="I1411" t="s">
        <v>19</v>
      </c>
      <c r="J1411">
        <v>6323</v>
      </c>
      <c r="K1411">
        <v>1</v>
      </c>
      <c r="L1411">
        <v>4</v>
      </c>
      <c r="M1411">
        <v>10</v>
      </c>
    </row>
    <row r="1412" spans="1:13">
      <c r="A1412">
        <v>40</v>
      </c>
      <c r="B1412" t="s">
        <v>17</v>
      </c>
      <c r="C1412" t="s">
        <v>14</v>
      </c>
      <c r="D1412">
        <v>2</v>
      </c>
      <c r="E1412">
        <v>2</v>
      </c>
      <c r="F1412" t="s">
        <v>23</v>
      </c>
      <c r="G1412">
        <v>2</v>
      </c>
      <c r="H1412">
        <v>2</v>
      </c>
      <c r="I1412" t="s">
        <v>19</v>
      </c>
      <c r="J1412">
        <v>5677</v>
      </c>
      <c r="K1412">
        <v>3</v>
      </c>
      <c r="L1412">
        <v>3</v>
      </c>
      <c r="M1412">
        <v>11</v>
      </c>
    </row>
    <row r="1413" spans="1:13">
      <c r="A1413">
        <v>25</v>
      </c>
      <c r="B1413" t="s">
        <v>17</v>
      </c>
      <c r="C1413" t="s">
        <v>25</v>
      </c>
      <c r="D1413">
        <v>2</v>
      </c>
      <c r="E1413">
        <v>3</v>
      </c>
      <c r="F1413" t="s">
        <v>25</v>
      </c>
      <c r="G1413">
        <v>3</v>
      </c>
      <c r="H1413">
        <v>2</v>
      </c>
      <c r="I1413" t="s">
        <v>19</v>
      </c>
      <c r="J1413">
        <v>2187</v>
      </c>
      <c r="K1413">
        <v>4</v>
      </c>
      <c r="L1413">
        <v>3</v>
      </c>
      <c r="M1413">
        <v>2</v>
      </c>
    </row>
    <row r="1414" spans="1:13">
      <c r="A1414">
        <v>30</v>
      </c>
      <c r="B1414" t="s">
        <v>17</v>
      </c>
      <c r="C1414" t="s">
        <v>18</v>
      </c>
      <c r="D1414">
        <v>1</v>
      </c>
      <c r="E1414">
        <v>2</v>
      </c>
      <c r="F1414" t="s">
        <v>21</v>
      </c>
      <c r="G1414">
        <v>4</v>
      </c>
      <c r="H1414">
        <v>2</v>
      </c>
      <c r="I1414" t="s">
        <v>19</v>
      </c>
      <c r="J1414">
        <v>3748</v>
      </c>
      <c r="K1414">
        <v>1</v>
      </c>
      <c r="L1414">
        <v>2</v>
      </c>
      <c r="M1414">
        <v>12</v>
      </c>
    </row>
    <row r="1415" spans="1:13">
      <c r="A1415">
        <v>25</v>
      </c>
      <c r="B1415" t="s">
        <v>17</v>
      </c>
      <c r="C1415" t="s">
        <v>18</v>
      </c>
      <c r="D1415">
        <v>2</v>
      </c>
      <c r="E1415">
        <v>1</v>
      </c>
      <c r="F1415" t="s">
        <v>20</v>
      </c>
      <c r="G1415">
        <v>4</v>
      </c>
      <c r="H1415">
        <v>3</v>
      </c>
      <c r="I1415" t="s">
        <v>22</v>
      </c>
      <c r="J1415">
        <v>3977</v>
      </c>
      <c r="K1415">
        <v>6</v>
      </c>
      <c r="L1415">
        <v>2</v>
      </c>
      <c r="M1415">
        <v>2</v>
      </c>
    </row>
    <row r="1416" spans="1:13">
      <c r="A1416">
        <v>47</v>
      </c>
      <c r="B1416" t="s">
        <v>17</v>
      </c>
      <c r="C1416" t="s">
        <v>18</v>
      </c>
      <c r="D1416">
        <v>25</v>
      </c>
      <c r="E1416">
        <v>3</v>
      </c>
      <c r="F1416" t="s">
        <v>21</v>
      </c>
      <c r="G1416">
        <v>1</v>
      </c>
      <c r="H1416">
        <v>3</v>
      </c>
      <c r="I1416" t="s">
        <v>16</v>
      </c>
      <c r="J1416">
        <v>8633</v>
      </c>
      <c r="K1416">
        <v>2</v>
      </c>
      <c r="L1416">
        <v>3</v>
      </c>
      <c r="M1416">
        <v>17</v>
      </c>
    </row>
    <row r="1417" spans="1:13">
      <c r="A1417">
        <v>33</v>
      </c>
      <c r="B1417" t="s">
        <v>17</v>
      </c>
      <c r="C1417" t="s">
        <v>18</v>
      </c>
      <c r="D1417">
        <v>1</v>
      </c>
      <c r="E1417">
        <v>2</v>
      </c>
      <c r="F1417" t="s">
        <v>21</v>
      </c>
      <c r="G1417">
        <v>2</v>
      </c>
      <c r="H1417">
        <v>3</v>
      </c>
      <c r="I1417" t="s">
        <v>22</v>
      </c>
      <c r="J1417">
        <v>2008</v>
      </c>
      <c r="K1417">
        <v>1</v>
      </c>
      <c r="L1417">
        <v>2</v>
      </c>
      <c r="M1417">
        <v>1</v>
      </c>
    </row>
    <row r="1418" spans="1:13">
      <c r="A1418">
        <v>38</v>
      </c>
      <c r="B1418" t="s">
        <v>17</v>
      </c>
      <c r="C1418" t="s">
        <v>14</v>
      </c>
      <c r="D1418">
        <v>1</v>
      </c>
      <c r="E1418">
        <v>4</v>
      </c>
      <c r="F1418" t="s">
        <v>15</v>
      </c>
      <c r="G1418">
        <v>4</v>
      </c>
      <c r="H1418">
        <v>2</v>
      </c>
      <c r="I1418" t="s">
        <v>19</v>
      </c>
      <c r="J1418">
        <v>4440</v>
      </c>
      <c r="K1418">
        <v>0</v>
      </c>
      <c r="L1418">
        <v>3</v>
      </c>
      <c r="M1418">
        <v>15</v>
      </c>
    </row>
    <row r="1419" spans="1:13">
      <c r="A1419">
        <v>31</v>
      </c>
      <c r="B1419" t="s">
        <v>17</v>
      </c>
      <c r="C1419" t="s">
        <v>14</v>
      </c>
      <c r="D1419">
        <v>2</v>
      </c>
      <c r="E1419">
        <v>2</v>
      </c>
      <c r="F1419" t="s">
        <v>15</v>
      </c>
      <c r="G1419">
        <v>1</v>
      </c>
      <c r="H1419">
        <v>3</v>
      </c>
      <c r="I1419" t="s">
        <v>19</v>
      </c>
      <c r="J1419">
        <v>3067</v>
      </c>
      <c r="K1419">
        <v>0</v>
      </c>
      <c r="L1419">
        <v>3</v>
      </c>
      <c r="M1419">
        <v>2</v>
      </c>
    </row>
    <row r="1420" spans="1:13">
      <c r="A1420">
        <v>38</v>
      </c>
      <c r="B1420" t="s">
        <v>17</v>
      </c>
      <c r="C1420" t="s">
        <v>18</v>
      </c>
      <c r="D1420">
        <v>6</v>
      </c>
      <c r="E1420">
        <v>4</v>
      </c>
      <c r="F1420" t="s">
        <v>15</v>
      </c>
      <c r="G1420">
        <v>1</v>
      </c>
      <c r="H1420">
        <v>3</v>
      </c>
      <c r="I1420" t="s">
        <v>19</v>
      </c>
      <c r="J1420">
        <v>5321</v>
      </c>
      <c r="K1420">
        <v>2</v>
      </c>
      <c r="L1420">
        <v>3</v>
      </c>
      <c r="M1420">
        <v>8</v>
      </c>
    </row>
    <row r="1421" spans="1:13">
      <c r="A1421">
        <v>42</v>
      </c>
      <c r="B1421" t="s">
        <v>17</v>
      </c>
      <c r="C1421" t="s">
        <v>18</v>
      </c>
      <c r="D1421">
        <v>18</v>
      </c>
      <c r="E1421">
        <v>4</v>
      </c>
      <c r="F1421" t="s">
        <v>15</v>
      </c>
      <c r="G1421">
        <v>4</v>
      </c>
      <c r="H1421">
        <v>1</v>
      </c>
      <c r="I1421" t="s">
        <v>22</v>
      </c>
      <c r="J1421">
        <v>5410</v>
      </c>
      <c r="K1421">
        <v>6</v>
      </c>
      <c r="L1421">
        <v>2</v>
      </c>
      <c r="M1421">
        <v>4</v>
      </c>
    </row>
    <row r="1422" spans="1:13">
      <c r="A1422">
        <v>41</v>
      </c>
      <c r="B1422" t="s">
        <v>17</v>
      </c>
      <c r="C1422" t="s">
        <v>18</v>
      </c>
      <c r="D1422">
        <v>1</v>
      </c>
      <c r="E1422">
        <v>3</v>
      </c>
      <c r="F1422" t="s">
        <v>15</v>
      </c>
      <c r="G1422">
        <v>4</v>
      </c>
      <c r="H1422">
        <v>4</v>
      </c>
      <c r="I1422" t="s">
        <v>19</v>
      </c>
      <c r="J1422">
        <v>2782</v>
      </c>
      <c r="K1422">
        <v>3</v>
      </c>
      <c r="L1422">
        <v>3</v>
      </c>
      <c r="M1422">
        <v>5</v>
      </c>
    </row>
    <row r="1423" spans="1:13">
      <c r="A1423">
        <v>47</v>
      </c>
      <c r="B1423" t="s">
        <v>17</v>
      </c>
      <c r="C1423" t="s">
        <v>18</v>
      </c>
      <c r="D1423">
        <v>1</v>
      </c>
      <c r="E1423">
        <v>1</v>
      </c>
      <c r="F1423" t="s">
        <v>21</v>
      </c>
      <c r="G1423">
        <v>3</v>
      </c>
      <c r="H1423">
        <v>2</v>
      </c>
      <c r="I1423" t="s">
        <v>19</v>
      </c>
      <c r="J1423">
        <v>11957</v>
      </c>
      <c r="K1423">
        <v>0</v>
      </c>
      <c r="L1423">
        <v>1</v>
      </c>
      <c r="M1423">
        <v>13</v>
      </c>
    </row>
    <row r="1424" spans="1:13">
      <c r="A1424">
        <v>35</v>
      </c>
      <c r="B1424" t="s">
        <v>17</v>
      </c>
      <c r="C1424" t="s">
        <v>18</v>
      </c>
      <c r="D1424">
        <v>11</v>
      </c>
      <c r="E1424">
        <v>4</v>
      </c>
      <c r="F1424" t="s">
        <v>21</v>
      </c>
      <c r="G1424">
        <v>4</v>
      </c>
      <c r="H1424">
        <v>3</v>
      </c>
      <c r="I1424" t="s">
        <v>19</v>
      </c>
      <c r="J1424">
        <v>2660</v>
      </c>
      <c r="K1424">
        <v>7</v>
      </c>
      <c r="L1424">
        <v>3</v>
      </c>
      <c r="M1424">
        <v>2</v>
      </c>
    </row>
    <row r="1425" spans="1:13">
      <c r="A1425">
        <v>22</v>
      </c>
      <c r="B1425" t="s">
        <v>17</v>
      </c>
      <c r="C1425" t="s">
        <v>18</v>
      </c>
      <c r="D1425">
        <v>1</v>
      </c>
      <c r="E1425">
        <v>2</v>
      </c>
      <c r="F1425" t="s">
        <v>15</v>
      </c>
      <c r="G1425">
        <v>4</v>
      </c>
      <c r="H1425">
        <v>3</v>
      </c>
      <c r="I1425" t="s">
        <v>16</v>
      </c>
      <c r="J1425">
        <v>3375</v>
      </c>
      <c r="K1425">
        <v>0</v>
      </c>
      <c r="L1425">
        <v>4</v>
      </c>
      <c r="M1425">
        <v>3</v>
      </c>
    </row>
    <row r="1426" spans="1:13">
      <c r="A1426">
        <v>35</v>
      </c>
      <c r="B1426" t="s">
        <v>17</v>
      </c>
      <c r="C1426" t="s">
        <v>18</v>
      </c>
      <c r="D1426">
        <v>9</v>
      </c>
      <c r="E1426">
        <v>4</v>
      </c>
      <c r="F1426" t="s">
        <v>21</v>
      </c>
      <c r="G1426">
        <v>2</v>
      </c>
      <c r="H1426">
        <v>3</v>
      </c>
      <c r="I1426" t="s">
        <v>16</v>
      </c>
      <c r="J1426">
        <v>5098</v>
      </c>
      <c r="K1426">
        <v>1</v>
      </c>
      <c r="L1426">
        <v>3</v>
      </c>
      <c r="M1426">
        <v>10</v>
      </c>
    </row>
    <row r="1427" spans="1:13">
      <c r="A1427">
        <v>33</v>
      </c>
      <c r="B1427" t="s">
        <v>17</v>
      </c>
      <c r="C1427" t="s">
        <v>18</v>
      </c>
      <c r="D1427">
        <v>15</v>
      </c>
      <c r="E1427">
        <v>2</v>
      </c>
      <c r="F1427" t="s">
        <v>21</v>
      </c>
      <c r="G1427">
        <v>2</v>
      </c>
      <c r="H1427">
        <v>4</v>
      </c>
      <c r="I1427" t="s">
        <v>19</v>
      </c>
      <c r="J1427">
        <v>4878</v>
      </c>
      <c r="K1427">
        <v>0</v>
      </c>
      <c r="L1427">
        <v>3</v>
      </c>
      <c r="M1427">
        <v>9</v>
      </c>
    </row>
    <row r="1428" spans="1:13">
      <c r="A1428">
        <v>32</v>
      </c>
      <c r="B1428" t="s">
        <v>17</v>
      </c>
      <c r="C1428" t="s">
        <v>18</v>
      </c>
      <c r="D1428">
        <v>29</v>
      </c>
      <c r="E1428">
        <v>4</v>
      </c>
      <c r="F1428" t="s">
        <v>15</v>
      </c>
      <c r="G1428">
        <v>3</v>
      </c>
      <c r="H1428">
        <v>2</v>
      </c>
      <c r="I1428" t="s">
        <v>16</v>
      </c>
      <c r="J1428">
        <v>2837</v>
      </c>
      <c r="K1428">
        <v>1</v>
      </c>
      <c r="L1428">
        <v>3</v>
      </c>
      <c r="M1428">
        <v>6</v>
      </c>
    </row>
    <row r="1429" spans="1:13">
      <c r="A1429">
        <v>40</v>
      </c>
      <c r="B1429" t="s">
        <v>17</v>
      </c>
      <c r="C1429" t="s">
        <v>18</v>
      </c>
      <c r="D1429">
        <v>1</v>
      </c>
      <c r="E1429">
        <v>4</v>
      </c>
      <c r="F1429" t="s">
        <v>15</v>
      </c>
      <c r="G1429">
        <v>1</v>
      </c>
      <c r="H1429">
        <v>4</v>
      </c>
      <c r="I1429" t="s">
        <v>19</v>
      </c>
      <c r="J1429">
        <v>2406</v>
      </c>
      <c r="K1429">
        <v>8</v>
      </c>
      <c r="L1429">
        <v>2</v>
      </c>
      <c r="M1429">
        <v>1</v>
      </c>
    </row>
    <row r="1430" spans="1:13">
      <c r="A1430">
        <v>32</v>
      </c>
      <c r="B1430" t="s">
        <v>17</v>
      </c>
      <c r="C1430" t="s">
        <v>14</v>
      </c>
      <c r="D1430">
        <v>1</v>
      </c>
      <c r="E1430">
        <v>4</v>
      </c>
      <c r="F1430" t="s">
        <v>21</v>
      </c>
      <c r="G1430">
        <v>2</v>
      </c>
      <c r="H1430">
        <v>2</v>
      </c>
      <c r="I1430" t="s">
        <v>19</v>
      </c>
      <c r="J1430">
        <v>2269</v>
      </c>
      <c r="K1430">
        <v>0</v>
      </c>
      <c r="L1430">
        <v>3</v>
      </c>
      <c r="M1430">
        <v>2</v>
      </c>
    </row>
    <row r="1431" spans="1:13">
      <c r="A1431">
        <v>39</v>
      </c>
      <c r="B1431" t="s">
        <v>17</v>
      </c>
      <c r="C1431" t="s">
        <v>18</v>
      </c>
      <c r="D1431">
        <v>24</v>
      </c>
      <c r="E1431">
        <v>1</v>
      </c>
      <c r="F1431" t="s">
        <v>15</v>
      </c>
      <c r="G1431">
        <v>1</v>
      </c>
      <c r="H1431">
        <v>4</v>
      </c>
      <c r="I1431" t="s">
        <v>16</v>
      </c>
      <c r="J1431">
        <v>4108</v>
      </c>
      <c r="K1431">
        <v>7</v>
      </c>
      <c r="L1431">
        <v>3</v>
      </c>
      <c r="M1431">
        <v>7</v>
      </c>
    </row>
    <row r="1432" spans="1:13">
      <c r="A1432">
        <v>38</v>
      </c>
      <c r="B1432" t="s">
        <v>17</v>
      </c>
      <c r="C1432" t="s">
        <v>18</v>
      </c>
      <c r="D1432">
        <v>10</v>
      </c>
      <c r="E1432">
        <v>3</v>
      </c>
      <c r="F1432" t="s">
        <v>21</v>
      </c>
      <c r="G1432">
        <v>2</v>
      </c>
      <c r="H1432">
        <v>3</v>
      </c>
      <c r="I1432" t="s">
        <v>19</v>
      </c>
      <c r="J1432">
        <v>13206</v>
      </c>
      <c r="K1432">
        <v>3</v>
      </c>
      <c r="L1432">
        <v>3</v>
      </c>
      <c r="M1432">
        <v>18</v>
      </c>
    </row>
    <row r="1433" spans="1:13">
      <c r="A1433">
        <v>32</v>
      </c>
      <c r="B1433" t="s">
        <v>17</v>
      </c>
      <c r="C1433" t="s">
        <v>14</v>
      </c>
      <c r="D1433">
        <v>1</v>
      </c>
      <c r="E1433">
        <v>4</v>
      </c>
      <c r="F1433" t="s">
        <v>23</v>
      </c>
      <c r="G1433">
        <v>3</v>
      </c>
      <c r="H1433">
        <v>4</v>
      </c>
      <c r="I1433" t="s">
        <v>19</v>
      </c>
      <c r="J1433">
        <v>10422</v>
      </c>
      <c r="K1433">
        <v>1</v>
      </c>
      <c r="L1433">
        <v>3</v>
      </c>
      <c r="M1433">
        <v>14</v>
      </c>
    </row>
    <row r="1434" spans="1:13">
      <c r="A1434">
        <v>37</v>
      </c>
      <c r="B1434" t="s">
        <v>17</v>
      </c>
      <c r="C1434" t="s">
        <v>18</v>
      </c>
      <c r="D1434">
        <v>10</v>
      </c>
      <c r="E1434">
        <v>3</v>
      </c>
      <c r="F1434" t="s">
        <v>15</v>
      </c>
      <c r="G1434">
        <v>3</v>
      </c>
      <c r="H1434">
        <v>4</v>
      </c>
      <c r="I1434" t="s">
        <v>19</v>
      </c>
      <c r="J1434">
        <v>13744</v>
      </c>
      <c r="K1434">
        <v>1</v>
      </c>
      <c r="L1434">
        <v>3</v>
      </c>
      <c r="M1434">
        <v>16</v>
      </c>
    </row>
    <row r="1435" spans="1:13">
      <c r="A1435">
        <v>25</v>
      </c>
      <c r="B1435" t="s">
        <v>17</v>
      </c>
      <c r="C1435" t="s">
        <v>14</v>
      </c>
      <c r="D1435">
        <v>8</v>
      </c>
      <c r="E1435">
        <v>2</v>
      </c>
      <c r="F1435" t="s">
        <v>20</v>
      </c>
      <c r="G1435">
        <v>1</v>
      </c>
      <c r="H1435">
        <v>3</v>
      </c>
      <c r="I1435" t="s">
        <v>22</v>
      </c>
      <c r="J1435">
        <v>4907</v>
      </c>
      <c r="K1435">
        <v>0</v>
      </c>
      <c r="L1435">
        <v>2</v>
      </c>
      <c r="M1435">
        <v>5</v>
      </c>
    </row>
    <row r="1436" spans="1:13">
      <c r="A1436">
        <v>52</v>
      </c>
      <c r="B1436" t="s">
        <v>17</v>
      </c>
      <c r="C1436" t="s">
        <v>14</v>
      </c>
      <c r="D1436">
        <v>29</v>
      </c>
      <c r="E1436">
        <v>4</v>
      </c>
      <c r="F1436" t="s">
        <v>15</v>
      </c>
      <c r="G1436">
        <v>1</v>
      </c>
      <c r="H1436">
        <v>4</v>
      </c>
      <c r="I1436" t="s">
        <v>22</v>
      </c>
      <c r="J1436">
        <v>3482</v>
      </c>
      <c r="K1436">
        <v>2</v>
      </c>
      <c r="L1436">
        <v>2</v>
      </c>
      <c r="M1436">
        <v>9</v>
      </c>
    </row>
    <row r="1437" spans="1:13">
      <c r="A1437">
        <v>44</v>
      </c>
      <c r="B1437" t="s">
        <v>17</v>
      </c>
      <c r="C1437" t="s">
        <v>18</v>
      </c>
      <c r="D1437">
        <v>1</v>
      </c>
      <c r="E1437">
        <v>3</v>
      </c>
      <c r="F1437" t="s">
        <v>21</v>
      </c>
      <c r="G1437">
        <v>2</v>
      </c>
      <c r="H1437">
        <v>4</v>
      </c>
      <c r="I1437" t="s">
        <v>16</v>
      </c>
      <c r="J1437">
        <v>2436</v>
      </c>
      <c r="K1437">
        <v>6</v>
      </c>
      <c r="L1437">
        <v>3</v>
      </c>
      <c r="M1437">
        <v>4</v>
      </c>
    </row>
    <row r="1438" spans="1:13">
      <c r="A1438">
        <v>21</v>
      </c>
      <c r="B1438" t="s">
        <v>17</v>
      </c>
      <c r="C1438" t="s">
        <v>14</v>
      </c>
      <c r="D1438">
        <v>5</v>
      </c>
      <c r="E1438">
        <v>1</v>
      </c>
      <c r="F1438" t="s">
        <v>21</v>
      </c>
      <c r="G1438">
        <v>3</v>
      </c>
      <c r="H1438">
        <v>1</v>
      </c>
      <c r="I1438" t="s">
        <v>16</v>
      </c>
      <c r="J1438">
        <v>2380</v>
      </c>
      <c r="K1438">
        <v>1</v>
      </c>
      <c r="L1438">
        <v>3</v>
      </c>
      <c r="M1438">
        <v>2</v>
      </c>
    </row>
    <row r="1439" spans="1:13">
      <c r="A1439">
        <v>39</v>
      </c>
      <c r="B1439" t="s">
        <v>17</v>
      </c>
      <c r="C1439" t="s">
        <v>18</v>
      </c>
      <c r="D1439">
        <v>9</v>
      </c>
      <c r="E1439">
        <v>3</v>
      </c>
      <c r="F1439" t="s">
        <v>15</v>
      </c>
      <c r="G1439">
        <v>4</v>
      </c>
      <c r="H1439">
        <v>4</v>
      </c>
      <c r="I1439" t="s">
        <v>16</v>
      </c>
      <c r="J1439">
        <v>19431</v>
      </c>
      <c r="K1439">
        <v>2</v>
      </c>
      <c r="L1439">
        <v>2</v>
      </c>
      <c r="M1439">
        <v>6</v>
      </c>
    </row>
    <row r="1440" spans="1:13">
      <c r="A1440">
        <v>23</v>
      </c>
      <c r="B1440" t="s">
        <v>13</v>
      </c>
      <c r="C1440" t="s">
        <v>14</v>
      </c>
      <c r="D1440">
        <v>9</v>
      </c>
      <c r="E1440">
        <v>3</v>
      </c>
      <c r="F1440" t="s">
        <v>23</v>
      </c>
      <c r="G1440">
        <v>4</v>
      </c>
      <c r="H1440">
        <v>1</v>
      </c>
      <c r="I1440" t="s">
        <v>19</v>
      </c>
      <c r="J1440">
        <v>1790</v>
      </c>
      <c r="K1440">
        <v>1</v>
      </c>
      <c r="L1440">
        <v>2</v>
      </c>
      <c r="M1440">
        <v>1</v>
      </c>
    </row>
    <row r="1441" spans="1:13">
      <c r="A1441">
        <v>36</v>
      </c>
      <c r="B1441" t="s">
        <v>17</v>
      </c>
      <c r="C1441" t="s">
        <v>14</v>
      </c>
      <c r="D1441">
        <v>3</v>
      </c>
      <c r="E1441">
        <v>3</v>
      </c>
      <c r="F1441" t="s">
        <v>21</v>
      </c>
      <c r="G1441">
        <v>1</v>
      </c>
      <c r="H1441">
        <v>4</v>
      </c>
      <c r="I1441" t="s">
        <v>19</v>
      </c>
      <c r="J1441">
        <v>7644</v>
      </c>
      <c r="K1441">
        <v>0</v>
      </c>
      <c r="L1441">
        <v>3</v>
      </c>
      <c r="M1441">
        <v>9</v>
      </c>
    </row>
    <row r="1442" spans="1:13">
      <c r="A1442">
        <v>36</v>
      </c>
      <c r="B1442" t="s">
        <v>17</v>
      </c>
      <c r="C1442" t="s">
        <v>18</v>
      </c>
      <c r="D1442">
        <v>4</v>
      </c>
      <c r="E1442">
        <v>2</v>
      </c>
      <c r="F1442" t="s">
        <v>15</v>
      </c>
      <c r="G1442">
        <v>4</v>
      </c>
      <c r="H1442">
        <v>2</v>
      </c>
      <c r="I1442" t="s">
        <v>22</v>
      </c>
      <c r="J1442">
        <v>5131</v>
      </c>
      <c r="K1442">
        <v>7</v>
      </c>
      <c r="L1442">
        <v>3</v>
      </c>
      <c r="M1442">
        <v>4</v>
      </c>
    </row>
    <row r="1443" spans="1:13">
      <c r="A1443">
        <v>56</v>
      </c>
      <c r="B1443" t="s">
        <v>17</v>
      </c>
      <c r="C1443" t="s">
        <v>18</v>
      </c>
      <c r="D1443">
        <v>1</v>
      </c>
      <c r="E1443">
        <v>4</v>
      </c>
      <c r="F1443" t="s">
        <v>15</v>
      </c>
      <c r="G1443">
        <v>3</v>
      </c>
      <c r="H1443">
        <v>3</v>
      </c>
      <c r="I1443" t="s">
        <v>22</v>
      </c>
      <c r="J1443">
        <v>6306</v>
      </c>
      <c r="K1443">
        <v>1</v>
      </c>
      <c r="L1443">
        <v>2</v>
      </c>
      <c r="M1443">
        <v>13</v>
      </c>
    </row>
    <row r="1444" spans="1:13">
      <c r="A1444">
        <v>29</v>
      </c>
      <c r="B1444" t="s">
        <v>13</v>
      </c>
      <c r="C1444" t="s">
        <v>18</v>
      </c>
      <c r="D1444">
        <v>1</v>
      </c>
      <c r="E1444">
        <v>4</v>
      </c>
      <c r="F1444" t="s">
        <v>21</v>
      </c>
      <c r="G1444">
        <v>1</v>
      </c>
      <c r="H1444">
        <v>4</v>
      </c>
      <c r="I1444" t="s">
        <v>19</v>
      </c>
      <c r="J1444">
        <v>4787</v>
      </c>
      <c r="K1444">
        <v>9</v>
      </c>
      <c r="L1444">
        <v>4</v>
      </c>
      <c r="M1444">
        <v>2</v>
      </c>
    </row>
    <row r="1445" spans="1:13">
      <c r="A1445">
        <v>42</v>
      </c>
      <c r="B1445" t="s">
        <v>17</v>
      </c>
      <c r="C1445" t="s">
        <v>18</v>
      </c>
      <c r="D1445">
        <v>2</v>
      </c>
      <c r="E1445">
        <v>3</v>
      </c>
      <c r="F1445" t="s">
        <v>15</v>
      </c>
      <c r="G1445">
        <v>1</v>
      </c>
      <c r="H1445">
        <v>3</v>
      </c>
      <c r="I1445" t="s">
        <v>19</v>
      </c>
      <c r="J1445">
        <v>18880</v>
      </c>
      <c r="K1445">
        <v>5</v>
      </c>
      <c r="L1445">
        <v>2</v>
      </c>
      <c r="M1445">
        <v>22</v>
      </c>
    </row>
    <row r="1446" spans="1:13">
      <c r="A1446">
        <v>56</v>
      </c>
      <c r="B1446" t="s">
        <v>13</v>
      </c>
      <c r="C1446" t="s">
        <v>18</v>
      </c>
      <c r="D1446">
        <v>7</v>
      </c>
      <c r="E1446">
        <v>2</v>
      </c>
      <c r="F1446" t="s">
        <v>24</v>
      </c>
      <c r="G1446">
        <v>4</v>
      </c>
      <c r="H1446">
        <v>3</v>
      </c>
      <c r="I1446" t="s">
        <v>19</v>
      </c>
      <c r="J1446">
        <v>2339</v>
      </c>
      <c r="K1446">
        <v>8</v>
      </c>
      <c r="L1446">
        <v>1</v>
      </c>
      <c r="M1446">
        <v>10</v>
      </c>
    </row>
    <row r="1447" spans="1:13">
      <c r="A1447">
        <v>41</v>
      </c>
      <c r="B1447" t="s">
        <v>17</v>
      </c>
      <c r="C1447" t="s">
        <v>18</v>
      </c>
      <c r="D1447">
        <v>28</v>
      </c>
      <c r="E1447">
        <v>4</v>
      </c>
      <c r="F1447" t="s">
        <v>15</v>
      </c>
      <c r="G1447">
        <v>1</v>
      </c>
      <c r="H1447">
        <v>2</v>
      </c>
      <c r="I1447" t="s">
        <v>19</v>
      </c>
      <c r="J1447">
        <v>13570</v>
      </c>
      <c r="K1447">
        <v>0</v>
      </c>
      <c r="L1447">
        <v>3</v>
      </c>
      <c r="M1447">
        <v>20</v>
      </c>
    </row>
    <row r="1448" spans="1:13">
      <c r="A1448">
        <v>34</v>
      </c>
      <c r="B1448" t="s">
        <v>17</v>
      </c>
      <c r="C1448" t="s">
        <v>14</v>
      </c>
      <c r="D1448">
        <v>28</v>
      </c>
      <c r="E1448">
        <v>3</v>
      </c>
      <c r="F1448" t="s">
        <v>23</v>
      </c>
      <c r="G1448">
        <v>4</v>
      </c>
      <c r="H1448">
        <v>3</v>
      </c>
      <c r="I1448" t="s">
        <v>19</v>
      </c>
      <c r="J1448">
        <v>6712</v>
      </c>
      <c r="K1448">
        <v>1</v>
      </c>
      <c r="L1448">
        <v>3</v>
      </c>
      <c r="M1448">
        <v>8</v>
      </c>
    </row>
    <row r="1449" spans="1:13">
      <c r="A1449">
        <v>36</v>
      </c>
      <c r="B1449" t="s">
        <v>17</v>
      </c>
      <c r="C1449" t="s">
        <v>14</v>
      </c>
      <c r="D1449">
        <v>15</v>
      </c>
      <c r="E1449">
        <v>4</v>
      </c>
      <c r="F1449" t="s">
        <v>23</v>
      </c>
      <c r="G1449">
        <v>4</v>
      </c>
      <c r="H1449">
        <v>4</v>
      </c>
      <c r="I1449" t="s">
        <v>22</v>
      </c>
      <c r="J1449">
        <v>5406</v>
      </c>
      <c r="K1449">
        <v>1</v>
      </c>
      <c r="L1449">
        <v>2</v>
      </c>
      <c r="M1449">
        <v>15</v>
      </c>
    </row>
    <row r="1450" spans="1:13">
      <c r="A1450">
        <v>41</v>
      </c>
      <c r="B1450" t="s">
        <v>17</v>
      </c>
      <c r="C1450" t="s">
        <v>14</v>
      </c>
      <c r="D1450">
        <v>3</v>
      </c>
      <c r="E1450">
        <v>3</v>
      </c>
      <c r="F1450" t="s">
        <v>15</v>
      </c>
      <c r="G1450">
        <v>3</v>
      </c>
      <c r="H1450">
        <v>2</v>
      </c>
      <c r="I1450" t="s">
        <v>22</v>
      </c>
      <c r="J1450">
        <v>8938</v>
      </c>
      <c r="K1450">
        <v>2</v>
      </c>
      <c r="L1450">
        <v>3</v>
      </c>
      <c r="M1450">
        <v>5</v>
      </c>
    </row>
    <row r="1451" spans="1:13">
      <c r="A1451">
        <v>32</v>
      </c>
      <c r="B1451" t="s">
        <v>17</v>
      </c>
      <c r="C1451" t="s">
        <v>18</v>
      </c>
      <c r="D1451">
        <v>2</v>
      </c>
      <c r="E1451">
        <v>3</v>
      </c>
      <c r="F1451" t="s">
        <v>24</v>
      </c>
      <c r="G1451">
        <v>4</v>
      </c>
      <c r="H1451">
        <v>1</v>
      </c>
      <c r="I1451" t="s">
        <v>16</v>
      </c>
      <c r="J1451">
        <v>2439</v>
      </c>
      <c r="K1451">
        <v>1</v>
      </c>
      <c r="L1451">
        <v>3</v>
      </c>
      <c r="M1451">
        <v>4</v>
      </c>
    </row>
    <row r="1452" spans="1:13">
      <c r="A1452">
        <v>35</v>
      </c>
      <c r="B1452" t="s">
        <v>17</v>
      </c>
      <c r="C1452" t="s">
        <v>25</v>
      </c>
      <c r="D1452">
        <v>26</v>
      </c>
      <c r="E1452">
        <v>4</v>
      </c>
      <c r="F1452" t="s">
        <v>15</v>
      </c>
      <c r="G1452">
        <v>3</v>
      </c>
      <c r="H1452">
        <v>4</v>
      </c>
      <c r="I1452" t="s">
        <v>16</v>
      </c>
      <c r="J1452">
        <v>8837</v>
      </c>
      <c r="K1452">
        <v>1</v>
      </c>
      <c r="L1452">
        <v>3</v>
      </c>
      <c r="M1452">
        <v>9</v>
      </c>
    </row>
    <row r="1453" spans="1:13">
      <c r="A1453">
        <v>38</v>
      </c>
      <c r="B1453" t="s">
        <v>17</v>
      </c>
      <c r="C1453" t="s">
        <v>14</v>
      </c>
      <c r="D1453">
        <v>10</v>
      </c>
      <c r="E1453">
        <v>2</v>
      </c>
      <c r="F1453" t="s">
        <v>15</v>
      </c>
      <c r="G1453">
        <v>1</v>
      </c>
      <c r="H1453">
        <v>4</v>
      </c>
      <c r="I1453" t="s">
        <v>19</v>
      </c>
      <c r="J1453">
        <v>5343</v>
      </c>
      <c r="K1453">
        <v>1</v>
      </c>
      <c r="L1453">
        <v>3</v>
      </c>
      <c r="M1453">
        <v>10</v>
      </c>
    </row>
    <row r="1454" spans="1:13">
      <c r="A1454">
        <v>50</v>
      </c>
      <c r="B1454" t="s">
        <v>13</v>
      </c>
      <c r="C1454" t="s">
        <v>14</v>
      </c>
      <c r="D1454">
        <v>1</v>
      </c>
      <c r="E1454">
        <v>4</v>
      </c>
      <c r="F1454" t="s">
        <v>15</v>
      </c>
      <c r="G1454">
        <v>2</v>
      </c>
      <c r="H1454">
        <v>3</v>
      </c>
      <c r="I1454" t="s">
        <v>22</v>
      </c>
      <c r="J1454">
        <v>6728</v>
      </c>
      <c r="K1454">
        <v>7</v>
      </c>
      <c r="L1454">
        <v>3</v>
      </c>
      <c r="M1454">
        <v>6</v>
      </c>
    </row>
    <row r="1455" spans="1:13">
      <c r="A1455">
        <v>36</v>
      </c>
      <c r="B1455" t="s">
        <v>17</v>
      </c>
      <c r="C1455" t="s">
        <v>14</v>
      </c>
      <c r="D1455">
        <v>11</v>
      </c>
      <c r="E1455">
        <v>4</v>
      </c>
      <c r="F1455" t="s">
        <v>23</v>
      </c>
      <c r="G1455">
        <v>2</v>
      </c>
      <c r="H1455">
        <v>4</v>
      </c>
      <c r="I1455" t="s">
        <v>19</v>
      </c>
      <c r="J1455">
        <v>6652</v>
      </c>
      <c r="K1455">
        <v>4</v>
      </c>
      <c r="L1455">
        <v>2</v>
      </c>
      <c r="M1455">
        <v>6</v>
      </c>
    </row>
    <row r="1456" spans="1:13">
      <c r="A1456">
        <v>45</v>
      </c>
      <c r="B1456" t="s">
        <v>17</v>
      </c>
      <c r="C1456" t="s">
        <v>14</v>
      </c>
      <c r="D1456">
        <v>20</v>
      </c>
      <c r="E1456">
        <v>3</v>
      </c>
      <c r="F1456" t="s">
        <v>15</v>
      </c>
      <c r="G1456">
        <v>4</v>
      </c>
      <c r="H1456">
        <v>3</v>
      </c>
      <c r="I1456" t="s">
        <v>16</v>
      </c>
      <c r="J1456">
        <v>4850</v>
      </c>
      <c r="K1456">
        <v>8</v>
      </c>
      <c r="L1456">
        <v>3</v>
      </c>
      <c r="M1456">
        <v>5</v>
      </c>
    </row>
    <row r="1457" spans="1:13">
      <c r="A1457">
        <v>40</v>
      </c>
      <c r="B1457" t="s">
        <v>17</v>
      </c>
      <c r="C1457" t="s">
        <v>18</v>
      </c>
      <c r="D1457">
        <v>2</v>
      </c>
      <c r="E1457">
        <v>4</v>
      </c>
      <c r="F1457" t="s">
        <v>15</v>
      </c>
      <c r="G1457">
        <v>3</v>
      </c>
      <c r="H1457">
        <v>3</v>
      </c>
      <c r="I1457" t="s">
        <v>16</v>
      </c>
      <c r="J1457">
        <v>2809</v>
      </c>
      <c r="K1457">
        <v>2</v>
      </c>
      <c r="L1457">
        <v>3</v>
      </c>
      <c r="M1457">
        <v>2</v>
      </c>
    </row>
    <row r="1458" spans="1:13">
      <c r="A1458">
        <v>35</v>
      </c>
      <c r="B1458" t="s">
        <v>17</v>
      </c>
      <c r="C1458" t="s">
        <v>18</v>
      </c>
      <c r="D1458">
        <v>18</v>
      </c>
      <c r="E1458">
        <v>4</v>
      </c>
      <c r="F1458" t="s">
        <v>15</v>
      </c>
      <c r="G1458">
        <v>3</v>
      </c>
      <c r="H1458">
        <v>3</v>
      </c>
      <c r="I1458" t="s">
        <v>19</v>
      </c>
      <c r="J1458">
        <v>5689</v>
      </c>
      <c r="K1458">
        <v>1</v>
      </c>
      <c r="L1458">
        <v>4</v>
      </c>
      <c r="M1458">
        <v>10</v>
      </c>
    </row>
    <row r="1459" spans="1:13">
      <c r="A1459">
        <v>40</v>
      </c>
      <c r="B1459" t="s">
        <v>17</v>
      </c>
      <c r="C1459" t="s">
        <v>18</v>
      </c>
      <c r="D1459">
        <v>2</v>
      </c>
      <c r="E1459">
        <v>4</v>
      </c>
      <c r="F1459" t="s">
        <v>21</v>
      </c>
      <c r="G1459">
        <v>3</v>
      </c>
      <c r="H1459">
        <v>3</v>
      </c>
      <c r="I1459" t="s">
        <v>19</v>
      </c>
      <c r="J1459">
        <v>2001</v>
      </c>
      <c r="K1459">
        <v>2</v>
      </c>
      <c r="L1459">
        <v>3</v>
      </c>
      <c r="M1459">
        <v>5</v>
      </c>
    </row>
    <row r="1460" spans="1:13">
      <c r="A1460">
        <v>35</v>
      </c>
      <c r="B1460" t="s">
        <v>17</v>
      </c>
      <c r="C1460" t="s">
        <v>18</v>
      </c>
      <c r="D1460">
        <v>1</v>
      </c>
      <c r="E1460">
        <v>4</v>
      </c>
      <c r="F1460" t="s">
        <v>15</v>
      </c>
      <c r="G1460">
        <v>3</v>
      </c>
      <c r="H1460">
        <v>4</v>
      </c>
      <c r="I1460" t="s">
        <v>19</v>
      </c>
      <c r="J1460">
        <v>2977</v>
      </c>
      <c r="K1460">
        <v>1</v>
      </c>
      <c r="L1460">
        <v>3</v>
      </c>
      <c r="M1460">
        <v>4</v>
      </c>
    </row>
    <row r="1461" spans="1:13">
      <c r="A1461">
        <v>29</v>
      </c>
      <c r="B1461" t="s">
        <v>17</v>
      </c>
      <c r="C1461" t="s">
        <v>18</v>
      </c>
      <c r="D1461">
        <v>13</v>
      </c>
      <c r="E1461">
        <v>2</v>
      </c>
      <c r="F1461" t="s">
        <v>20</v>
      </c>
      <c r="G1461">
        <v>4</v>
      </c>
      <c r="H1461">
        <v>2</v>
      </c>
      <c r="I1461" t="s">
        <v>19</v>
      </c>
      <c r="J1461">
        <v>4025</v>
      </c>
      <c r="K1461">
        <v>4</v>
      </c>
      <c r="L1461">
        <v>3</v>
      </c>
      <c r="M1461">
        <v>4</v>
      </c>
    </row>
    <row r="1462" spans="1:13">
      <c r="A1462">
        <v>29</v>
      </c>
      <c r="B1462" t="s">
        <v>17</v>
      </c>
      <c r="C1462" t="s">
        <v>18</v>
      </c>
      <c r="D1462">
        <v>28</v>
      </c>
      <c r="E1462">
        <v>4</v>
      </c>
      <c r="F1462" t="s">
        <v>21</v>
      </c>
      <c r="G1462">
        <v>4</v>
      </c>
      <c r="H1462">
        <v>1</v>
      </c>
      <c r="I1462" t="s">
        <v>16</v>
      </c>
      <c r="J1462">
        <v>3785</v>
      </c>
      <c r="K1462">
        <v>1</v>
      </c>
      <c r="L1462">
        <v>1</v>
      </c>
      <c r="M1462">
        <v>5</v>
      </c>
    </row>
    <row r="1463" spans="1:13">
      <c r="A1463">
        <v>50</v>
      </c>
      <c r="B1463" t="s">
        <v>13</v>
      </c>
      <c r="C1463" t="s">
        <v>14</v>
      </c>
      <c r="D1463">
        <v>28</v>
      </c>
      <c r="E1463">
        <v>3</v>
      </c>
      <c r="F1463" t="s">
        <v>23</v>
      </c>
      <c r="G1463">
        <v>4</v>
      </c>
      <c r="H1463">
        <v>1</v>
      </c>
      <c r="I1463" t="s">
        <v>22</v>
      </c>
      <c r="J1463">
        <v>10854</v>
      </c>
      <c r="K1463">
        <v>4</v>
      </c>
      <c r="L1463">
        <v>3</v>
      </c>
      <c r="M1463">
        <v>3</v>
      </c>
    </row>
    <row r="1464" spans="1:13">
      <c r="A1464">
        <v>39</v>
      </c>
      <c r="B1464" t="s">
        <v>17</v>
      </c>
      <c r="C1464" t="s">
        <v>14</v>
      </c>
      <c r="D1464">
        <v>24</v>
      </c>
      <c r="E1464">
        <v>1</v>
      </c>
      <c r="F1464" t="s">
        <v>23</v>
      </c>
      <c r="G1464">
        <v>2</v>
      </c>
      <c r="H1464">
        <v>4</v>
      </c>
      <c r="I1464" t="s">
        <v>19</v>
      </c>
      <c r="J1464">
        <v>12031</v>
      </c>
      <c r="K1464">
        <v>0</v>
      </c>
      <c r="L1464">
        <v>2</v>
      </c>
      <c r="M1464">
        <v>20</v>
      </c>
    </row>
    <row r="1465" spans="1:13">
      <c r="A1465">
        <v>31</v>
      </c>
      <c r="B1465" t="s">
        <v>17</v>
      </c>
      <c r="C1465" t="s">
        <v>18</v>
      </c>
      <c r="D1465">
        <v>5</v>
      </c>
      <c r="E1465">
        <v>3</v>
      </c>
      <c r="F1465" t="s">
        <v>21</v>
      </c>
      <c r="G1465">
        <v>2</v>
      </c>
      <c r="H1465">
        <v>1</v>
      </c>
      <c r="I1465" t="s">
        <v>16</v>
      </c>
      <c r="J1465">
        <v>9936</v>
      </c>
      <c r="K1465">
        <v>0</v>
      </c>
      <c r="L1465">
        <v>3</v>
      </c>
      <c r="M1465">
        <v>9</v>
      </c>
    </row>
    <row r="1466" spans="1:13">
      <c r="A1466">
        <v>26</v>
      </c>
      <c r="B1466" t="s">
        <v>17</v>
      </c>
      <c r="C1466" t="s">
        <v>14</v>
      </c>
      <c r="D1466">
        <v>5</v>
      </c>
      <c r="E1466">
        <v>3</v>
      </c>
      <c r="F1466" t="s">
        <v>20</v>
      </c>
      <c r="G1466">
        <v>4</v>
      </c>
      <c r="H1466">
        <v>3</v>
      </c>
      <c r="I1466" t="s">
        <v>16</v>
      </c>
      <c r="J1466">
        <v>2966</v>
      </c>
      <c r="K1466">
        <v>0</v>
      </c>
      <c r="L1466">
        <v>3</v>
      </c>
      <c r="M1466">
        <v>4</v>
      </c>
    </row>
    <row r="1467" spans="1:13">
      <c r="A1467">
        <v>36</v>
      </c>
      <c r="B1467" t="s">
        <v>17</v>
      </c>
      <c r="C1467" t="s">
        <v>18</v>
      </c>
      <c r="D1467">
        <v>23</v>
      </c>
      <c r="E1467">
        <v>2</v>
      </c>
      <c r="F1467" t="s">
        <v>21</v>
      </c>
      <c r="G1467">
        <v>3</v>
      </c>
      <c r="H1467">
        <v>4</v>
      </c>
      <c r="I1467" t="s">
        <v>19</v>
      </c>
      <c r="J1467">
        <v>2571</v>
      </c>
      <c r="K1467">
        <v>4</v>
      </c>
      <c r="L1467">
        <v>3</v>
      </c>
      <c r="M1467">
        <v>5</v>
      </c>
    </row>
    <row r="1468" spans="1:13">
      <c r="A1468">
        <v>39</v>
      </c>
      <c r="B1468" t="s">
        <v>17</v>
      </c>
      <c r="C1468" t="s">
        <v>18</v>
      </c>
      <c r="D1468">
        <v>6</v>
      </c>
      <c r="E1468">
        <v>1</v>
      </c>
      <c r="F1468" t="s">
        <v>21</v>
      </c>
      <c r="G1468">
        <v>4</v>
      </c>
      <c r="H1468">
        <v>1</v>
      </c>
      <c r="I1468" t="s">
        <v>19</v>
      </c>
      <c r="J1468">
        <v>9991</v>
      </c>
      <c r="K1468">
        <v>4</v>
      </c>
      <c r="L1468">
        <v>3</v>
      </c>
      <c r="M1468">
        <v>7</v>
      </c>
    </row>
    <row r="1469" spans="1:13">
      <c r="A1469">
        <v>27</v>
      </c>
      <c r="B1469" t="s">
        <v>17</v>
      </c>
      <c r="C1469" t="s">
        <v>18</v>
      </c>
      <c r="D1469">
        <v>4</v>
      </c>
      <c r="E1469">
        <v>3</v>
      </c>
      <c r="F1469" t="s">
        <v>15</v>
      </c>
      <c r="G1469">
        <v>2</v>
      </c>
      <c r="H1469">
        <v>2</v>
      </c>
      <c r="I1469" t="s">
        <v>19</v>
      </c>
      <c r="J1469">
        <v>6142</v>
      </c>
      <c r="K1469">
        <v>1</v>
      </c>
      <c r="L1469">
        <v>3</v>
      </c>
      <c r="M1469">
        <v>6</v>
      </c>
    </row>
    <row r="1470" spans="1:13">
      <c r="A1470">
        <v>49</v>
      </c>
      <c r="B1470" t="s">
        <v>17</v>
      </c>
      <c r="C1470" t="s">
        <v>14</v>
      </c>
      <c r="D1470">
        <v>2</v>
      </c>
      <c r="E1470">
        <v>3</v>
      </c>
      <c r="F1470" t="s">
        <v>21</v>
      </c>
      <c r="G1470">
        <v>4</v>
      </c>
      <c r="H1470">
        <v>2</v>
      </c>
      <c r="I1470" t="s">
        <v>19</v>
      </c>
      <c r="J1470">
        <v>5390</v>
      </c>
      <c r="K1470">
        <v>2</v>
      </c>
      <c r="L1470">
        <v>2</v>
      </c>
      <c r="M1470">
        <v>9</v>
      </c>
    </row>
    <row r="1471" spans="1:13">
      <c r="A1471">
        <v>34</v>
      </c>
      <c r="B1471" t="s">
        <v>17</v>
      </c>
      <c r="C1471" t="s">
        <v>18</v>
      </c>
      <c r="D1471">
        <v>8</v>
      </c>
      <c r="E1471">
        <v>3</v>
      </c>
      <c r="F1471" t="s">
        <v>21</v>
      </c>
      <c r="G1471">
        <v>2</v>
      </c>
      <c r="H1471">
        <v>3</v>
      </c>
      <c r="I1471" t="s">
        <v>19</v>
      </c>
      <c r="J1471">
        <v>4404</v>
      </c>
      <c r="K1471">
        <v>2</v>
      </c>
      <c r="L1471">
        <v>4</v>
      </c>
      <c r="M1471">
        <v>4</v>
      </c>
    </row>
  </sheetData>
  <autoFilter ref="A1:M1471" xr:uid="{7784A86A-95E6-4818-A2A5-17162309ABE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86BF-B24C-42D4-AB36-29804830206F}">
  <dimension ref="A1:V147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.5703125" bestFit="1" customWidth="1"/>
    <col min="2" max="2" width="8.85546875" bestFit="1" customWidth="1"/>
    <col min="3" max="3" width="23.7109375" bestFit="1" customWidth="1"/>
    <col min="4" max="4" width="19" bestFit="1" customWidth="1"/>
    <col min="5" max="5" width="10" bestFit="1" customWidth="1"/>
    <col min="6" max="6" width="17" bestFit="1" customWidth="1"/>
    <col min="7" max="7" width="23.42578125" bestFit="1" customWidth="1"/>
    <col min="8" max="8" width="14.7109375" bestFit="1" customWidth="1"/>
    <col min="9" max="9" width="13.42578125" bestFit="1" customWidth="1"/>
    <col min="10" max="10" width="15.42578125" bestFit="1" customWidth="1"/>
    <col min="11" max="11" width="22.85546875" bestFit="1" customWidth="1"/>
    <col min="12" max="12" width="16.28515625" bestFit="1" customWidth="1"/>
    <col min="13" max="13" width="16.5703125" bestFit="1" customWidth="1"/>
    <col min="14" max="14" width="12.42578125" bestFit="1" customWidth="1"/>
    <col min="15" max="15" width="10.140625" bestFit="1" customWidth="1"/>
    <col min="16" max="16" width="12.28515625" bestFit="1" customWidth="1"/>
    <col min="17" max="17" width="16.85546875" bestFit="1" customWidth="1"/>
    <col min="18" max="18" width="15" bestFit="1" customWidth="1"/>
    <col min="19" max="19" width="14.85546875" bestFit="1" customWidth="1"/>
    <col min="20" max="20" width="19.7109375" bestFit="1" customWidth="1"/>
    <col min="21" max="21" width="19.570312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</row>
    <row r="2" spans="1:22">
      <c r="A2">
        <f>RAW_DATA!A2</f>
        <v>41</v>
      </c>
      <c r="B2" t="str">
        <f>RAW_DATA!B2</f>
        <v>Yes</v>
      </c>
      <c r="C2" t="str">
        <f>RAW_DATA!C2</f>
        <v>Sales</v>
      </c>
      <c r="D2">
        <f>RAW_DATA!D2</f>
        <v>1</v>
      </c>
      <c r="E2">
        <f>RAW_DATA!E2</f>
        <v>2</v>
      </c>
      <c r="F2" t="str">
        <f>RAW_DATA!F2</f>
        <v>Life Sciences</v>
      </c>
      <c r="G2">
        <f>RAW_DATA!G2</f>
        <v>2</v>
      </c>
      <c r="H2">
        <f>RAW_DATA!H2</f>
        <v>4</v>
      </c>
      <c r="I2" t="str">
        <f>RAW_DATA!I2</f>
        <v>Single</v>
      </c>
      <c r="J2">
        <f>RAW_DATA!J2</f>
        <v>5993</v>
      </c>
      <c r="K2">
        <f>RAW_DATA!K2</f>
        <v>8</v>
      </c>
      <c r="L2">
        <f>RAW_DATA!L2</f>
        <v>1</v>
      </c>
      <c r="M2">
        <f>RAW_DATA!M2</f>
        <v>6</v>
      </c>
      <c r="N2">
        <f xml:space="preserve"> IF(B2 ="Yes",1,0)</f>
        <v>1</v>
      </c>
      <c r="O2" t="str">
        <f xml:space="preserve"> VLOOKUP(A2, Lookup_Tables!$G$2:$H$6,2,TRUE)</f>
        <v>35-44</v>
      </c>
      <c r="P2" t="str">
        <f>_xlfn.XLOOKUP(J2,Lookup_Tables!$J$2:$J$4,Lookup_Tables!$K$2:$K$4, " ",-1)</f>
        <v>Medium</v>
      </c>
      <c r="Q2" t="str">
        <f xml:space="preserve"> _xlfn.XLOOKUP(M2, Lookup_Tables!$M$2:$M$5,Lookup_Tables!$N$2:$N$5," ", -1)</f>
        <v>Established (5-10)</v>
      </c>
      <c r="R2" s="4">
        <f>AVERAGE(G2,H2,L2)</f>
        <v>2.3333333333333335</v>
      </c>
      <c r="S2" t="str">
        <f xml:space="preserve"> _xlfn.XLOOKUP( E2, Lookup_Tables!$A$2:$A$6,Lookup_Tables!$B$2:$B$6," ", -1)</f>
        <v>College</v>
      </c>
      <c r="T2" t="str">
        <f>_xlfn.XLOOKUP(G2,Lookup_Tables!$D$2:$D$5,Lookup_Tables!$E$2:$E$5)</f>
        <v>Medium</v>
      </c>
      <c r="U2" t="str">
        <f>_xlfn.XLOOKUP(H2,Lookup_Tables!$D$2:$D$5,Lookup_Tables!$E$2:$E$5)</f>
        <v>Very High</v>
      </c>
      <c r="V2" t="str">
        <f>_xlfn.XLOOKUP(L2,Lookup_Tables!$D$2:$D$5,Lookup_Tables!$E$2:$E$5)</f>
        <v>Low</v>
      </c>
    </row>
    <row r="3" spans="1:22">
      <c r="A3">
        <f>RAW_DATA!A3</f>
        <v>49</v>
      </c>
      <c r="B3" t="str">
        <f>RAW_DATA!B3</f>
        <v>No</v>
      </c>
      <c r="C3" t="str">
        <f>RAW_DATA!C3</f>
        <v>Research &amp; Development</v>
      </c>
      <c r="D3">
        <f>RAW_DATA!D3</f>
        <v>8</v>
      </c>
      <c r="E3">
        <f>RAW_DATA!E3</f>
        <v>1</v>
      </c>
      <c r="F3" t="str">
        <f>RAW_DATA!F3</f>
        <v>Life Sciences</v>
      </c>
      <c r="G3">
        <f>RAW_DATA!G3</f>
        <v>3</v>
      </c>
      <c r="H3">
        <f>RAW_DATA!H3</f>
        <v>2</v>
      </c>
      <c r="I3" t="str">
        <f>RAW_DATA!I3</f>
        <v>Married</v>
      </c>
      <c r="J3">
        <f>RAW_DATA!J3</f>
        <v>5130</v>
      </c>
      <c r="K3">
        <f>RAW_DATA!K3</f>
        <v>1</v>
      </c>
      <c r="L3">
        <f>RAW_DATA!L3</f>
        <v>3</v>
      </c>
      <c r="M3">
        <f>RAW_DATA!M3</f>
        <v>10</v>
      </c>
      <c r="N3">
        <f t="shared" ref="N3:N66" si="0" xml:space="preserve"> IF(B3 ="Yes",1,0)</f>
        <v>0</v>
      </c>
      <c r="O3" t="str">
        <f xml:space="preserve"> VLOOKUP(A3, Lookup_Tables!$G$2:$H$6,2,TRUE)</f>
        <v>45-54</v>
      </c>
      <c r="P3" t="str">
        <f>_xlfn.XLOOKUP(J3,Lookup_Tables!$J$2:$J$4,Lookup_Tables!$K$2:$K$4, " ",-1)</f>
        <v>Medium</v>
      </c>
      <c r="Q3" t="str">
        <f xml:space="preserve"> _xlfn.XLOOKUP(M3, Lookup_Tables!$M$2:$M$5,Lookup_Tables!$N$2:$N$5," ", -1)</f>
        <v>Veteran (10+)</v>
      </c>
      <c r="R3" s="4">
        <f t="shared" ref="R3:R66" si="1">AVERAGE(G3,H3,L3)</f>
        <v>2.6666666666666665</v>
      </c>
      <c r="S3" t="str">
        <f xml:space="preserve"> _xlfn.XLOOKUP( E3, Lookup_Tables!$A$2:$A$6,Lookup_Tables!$B$2:$B$6," ", -1)</f>
        <v>Below College</v>
      </c>
      <c r="T3" t="str">
        <f>_xlfn.XLOOKUP(G3,Lookup_Tables!$D$2:$D$5,Lookup_Tables!$E$2:$E$5)</f>
        <v>High</v>
      </c>
      <c r="U3" t="str">
        <f>_xlfn.XLOOKUP(H3,Lookup_Tables!$D$2:$D$5,Lookup_Tables!$E$2:$E$5)</f>
        <v>Medium</v>
      </c>
      <c r="V3" t="str">
        <f>_xlfn.XLOOKUP(L3,Lookup_Tables!$D$2:$D$5,Lookup_Tables!$E$2:$E$5)</f>
        <v>High</v>
      </c>
    </row>
    <row r="4" spans="1:22">
      <c r="A4">
        <f>RAW_DATA!A4</f>
        <v>37</v>
      </c>
      <c r="B4" t="str">
        <f>RAW_DATA!B4</f>
        <v>Yes</v>
      </c>
      <c r="C4" t="str">
        <f>RAW_DATA!C4</f>
        <v>Research &amp; Development</v>
      </c>
      <c r="D4">
        <f>RAW_DATA!D4</f>
        <v>2</v>
      </c>
      <c r="E4">
        <f>RAW_DATA!E4</f>
        <v>2</v>
      </c>
      <c r="F4" t="str">
        <f>RAW_DATA!F4</f>
        <v>Other</v>
      </c>
      <c r="G4">
        <f>RAW_DATA!G4</f>
        <v>4</v>
      </c>
      <c r="H4">
        <f>RAW_DATA!H4</f>
        <v>3</v>
      </c>
      <c r="I4" t="str">
        <f>RAW_DATA!I4</f>
        <v>Single</v>
      </c>
      <c r="J4">
        <f>RAW_DATA!J4</f>
        <v>2090</v>
      </c>
      <c r="K4">
        <f>RAW_DATA!K4</f>
        <v>6</v>
      </c>
      <c r="L4">
        <f>RAW_DATA!L4</f>
        <v>3</v>
      </c>
      <c r="M4">
        <f>RAW_DATA!M4</f>
        <v>0</v>
      </c>
      <c r="N4">
        <f t="shared" si="0"/>
        <v>1</v>
      </c>
      <c r="O4" t="str">
        <f xml:space="preserve"> VLOOKUP(A4, Lookup_Tables!$G$2:$H$6,2,TRUE)</f>
        <v>35-44</v>
      </c>
      <c r="P4" t="str">
        <f>_xlfn.XLOOKUP(J4,Lookup_Tables!$J$2:$J$4,Lookup_Tables!$K$2:$K$4, " ",-1)</f>
        <v>Low</v>
      </c>
      <c r="Q4" t="str">
        <f xml:space="preserve"> _xlfn.XLOOKUP(M4, Lookup_Tables!$M$2:$M$5,Lookup_Tables!$N$2:$N$5," ", -1)</f>
        <v>New (0-2)</v>
      </c>
      <c r="R4" s="4">
        <f t="shared" si="1"/>
        <v>3.3333333333333335</v>
      </c>
      <c r="S4" t="str">
        <f xml:space="preserve"> _xlfn.XLOOKUP( E4, Lookup_Tables!$A$2:$A$6,Lookup_Tables!$B$2:$B$6," ", -1)</f>
        <v>College</v>
      </c>
      <c r="T4" t="str">
        <f>_xlfn.XLOOKUP(G4,Lookup_Tables!$D$2:$D$5,Lookup_Tables!$E$2:$E$5)</f>
        <v>Very High</v>
      </c>
      <c r="U4" t="str">
        <f>_xlfn.XLOOKUP(H4,Lookup_Tables!$D$2:$D$5,Lookup_Tables!$E$2:$E$5)</f>
        <v>High</v>
      </c>
      <c r="V4" t="str">
        <f>_xlfn.XLOOKUP(L4,Lookup_Tables!$D$2:$D$5,Lookup_Tables!$E$2:$E$5)</f>
        <v>High</v>
      </c>
    </row>
    <row r="5" spans="1:22">
      <c r="A5">
        <f>RAW_DATA!A5</f>
        <v>33</v>
      </c>
      <c r="B5" t="str">
        <f>RAW_DATA!B5</f>
        <v>No</v>
      </c>
      <c r="C5" t="str">
        <f>RAW_DATA!C5</f>
        <v>Research &amp; Development</v>
      </c>
      <c r="D5">
        <f>RAW_DATA!D5</f>
        <v>3</v>
      </c>
      <c r="E5">
        <f>RAW_DATA!E5</f>
        <v>4</v>
      </c>
      <c r="F5" t="str">
        <f>RAW_DATA!F5</f>
        <v>Life Sciences</v>
      </c>
      <c r="G5">
        <f>RAW_DATA!G5</f>
        <v>4</v>
      </c>
      <c r="H5">
        <f>RAW_DATA!H5</f>
        <v>3</v>
      </c>
      <c r="I5" t="str">
        <f>RAW_DATA!I5</f>
        <v>Married</v>
      </c>
      <c r="J5">
        <f>RAW_DATA!J5</f>
        <v>2909</v>
      </c>
      <c r="K5">
        <f>RAW_DATA!K5</f>
        <v>1</v>
      </c>
      <c r="L5">
        <v>3</v>
      </c>
      <c r="M5">
        <f>RAW_DATA!M5</f>
        <v>8</v>
      </c>
      <c r="N5">
        <f t="shared" si="0"/>
        <v>0</v>
      </c>
      <c r="O5" t="str">
        <f xml:space="preserve"> VLOOKUP(A5, Lookup_Tables!$G$2:$H$6,2,TRUE)</f>
        <v>25-34</v>
      </c>
      <c r="P5" t="str">
        <f>_xlfn.XLOOKUP(J5,Lookup_Tables!$J$2:$J$4,Lookup_Tables!$K$2:$K$4, " ",-1)</f>
        <v>Low</v>
      </c>
      <c r="Q5" t="str">
        <f xml:space="preserve"> _xlfn.XLOOKUP(M5, Lookup_Tables!$M$2:$M$5,Lookup_Tables!$N$2:$N$5," ", -1)</f>
        <v>Established (5-10)</v>
      </c>
      <c r="R5" s="4">
        <f t="shared" si="1"/>
        <v>3.3333333333333335</v>
      </c>
      <c r="S5" t="str">
        <f xml:space="preserve"> _xlfn.XLOOKUP( E5, Lookup_Tables!$A$2:$A$6,Lookup_Tables!$B$2:$B$6," ", -1)</f>
        <v>Master</v>
      </c>
      <c r="T5" t="str">
        <f>_xlfn.XLOOKUP(G5,Lookup_Tables!$D$2:$D$5,Lookup_Tables!$E$2:$E$5)</f>
        <v>Very High</v>
      </c>
      <c r="U5" t="str">
        <f>_xlfn.XLOOKUP(H5,Lookup_Tables!$D$2:$D$5,Lookup_Tables!$E$2:$E$5)</f>
        <v>High</v>
      </c>
      <c r="V5" t="str">
        <f>_xlfn.XLOOKUP(L5,Lookup_Tables!$D$2:$D$5,Lookup_Tables!$E$2:$E$5)</f>
        <v>High</v>
      </c>
    </row>
    <row r="6" spans="1:22">
      <c r="A6">
        <f>RAW_DATA!A6</f>
        <v>27</v>
      </c>
      <c r="B6" t="str">
        <f>RAW_DATA!B6</f>
        <v>No</v>
      </c>
      <c r="C6" t="str">
        <f>RAW_DATA!C6</f>
        <v>Research &amp; Development</v>
      </c>
      <c r="D6">
        <f>RAW_DATA!D6</f>
        <v>2</v>
      </c>
      <c r="E6">
        <f>RAW_DATA!E6</f>
        <v>1</v>
      </c>
      <c r="F6" t="str">
        <f>RAW_DATA!F6</f>
        <v>Medical</v>
      </c>
      <c r="G6">
        <f>RAW_DATA!G6</f>
        <v>1</v>
      </c>
      <c r="H6">
        <f>RAW_DATA!H6</f>
        <v>2</v>
      </c>
      <c r="I6" t="str">
        <f>RAW_DATA!I6</f>
        <v>Married</v>
      </c>
      <c r="J6">
        <f>RAW_DATA!J6</f>
        <v>3468</v>
      </c>
      <c r="K6">
        <f>RAW_DATA!K6</f>
        <v>9</v>
      </c>
      <c r="L6">
        <f>RAW_DATA!L6</f>
        <v>3</v>
      </c>
      <c r="M6">
        <f>RAW_DATA!M6</f>
        <v>2</v>
      </c>
      <c r="N6">
        <f t="shared" si="0"/>
        <v>0</v>
      </c>
      <c r="O6" t="str">
        <f xml:space="preserve"> VLOOKUP(A6, Lookup_Tables!$G$2:$H$6,2,TRUE)</f>
        <v>25-34</v>
      </c>
      <c r="P6" t="str">
        <f>_xlfn.XLOOKUP(J6,Lookup_Tables!$J$2:$J$4,Lookup_Tables!$K$2:$K$4, " ",-1)</f>
        <v>Medium</v>
      </c>
      <c r="Q6" t="str">
        <f xml:space="preserve"> _xlfn.XLOOKUP(M6, Lookup_Tables!$M$2:$M$5,Lookup_Tables!$N$2:$N$5," ", -1)</f>
        <v>Early (2-5)</v>
      </c>
      <c r="R6" s="4">
        <f t="shared" si="1"/>
        <v>2</v>
      </c>
      <c r="S6" t="str">
        <f xml:space="preserve"> _xlfn.XLOOKUP( E6, Lookup_Tables!$A$2:$A$6,Lookup_Tables!$B$2:$B$6," ", -1)</f>
        <v>Below College</v>
      </c>
      <c r="T6" t="str">
        <f>_xlfn.XLOOKUP(G6,Lookup_Tables!$D$2:$D$5,Lookup_Tables!$E$2:$E$5)</f>
        <v>Low</v>
      </c>
      <c r="U6" t="str">
        <f>_xlfn.XLOOKUP(H6,Lookup_Tables!$D$2:$D$5,Lookup_Tables!$E$2:$E$5)</f>
        <v>Medium</v>
      </c>
      <c r="V6" t="str">
        <f>_xlfn.XLOOKUP(L6,Lookup_Tables!$D$2:$D$5,Lookup_Tables!$E$2:$E$5)</f>
        <v>High</v>
      </c>
    </row>
    <row r="7" spans="1:22">
      <c r="A7">
        <f>RAW_DATA!A7</f>
        <v>32</v>
      </c>
      <c r="B7" t="str">
        <f>RAW_DATA!B7</f>
        <v>No</v>
      </c>
      <c r="C7" t="str">
        <f>RAW_DATA!C7</f>
        <v>Research &amp; Development</v>
      </c>
      <c r="D7">
        <f>RAW_DATA!D7</f>
        <v>2</v>
      </c>
      <c r="E7">
        <f>RAW_DATA!E7</f>
        <v>2</v>
      </c>
      <c r="F7" t="str">
        <f>RAW_DATA!F7</f>
        <v>Life Sciences</v>
      </c>
      <c r="G7">
        <f>RAW_DATA!G7</f>
        <v>4</v>
      </c>
      <c r="H7">
        <f>RAW_DATA!H7</f>
        <v>4</v>
      </c>
      <c r="I7" t="str">
        <f>RAW_DATA!I7</f>
        <v>Single</v>
      </c>
      <c r="J7">
        <f>RAW_DATA!J7</f>
        <v>3068</v>
      </c>
      <c r="K7">
        <f>RAW_DATA!K7</f>
        <v>0</v>
      </c>
      <c r="L7">
        <f>RAW_DATA!L7</f>
        <v>2</v>
      </c>
      <c r="M7">
        <f>RAW_DATA!M7</f>
        <v>7</v>
      </c>
      <c r="N7">
        <f t="shared" si="0"/>
        <v>0</v>
      </c>
      <c r="O7" t="str">
        <f xml:space="preserve"> VLOOKUP(A7, Lookup_Tables!$G$2:$H$6,2,TRUE)</f>
        <v>25-34</v>
      </c>
      <c r="P7" t="str">
        <f>_xlfn.XLOOKUP(J7,Lookup_Tables!$J$2:$J$4,Lookup_Tables!$K$2:$K$4, " ",-1)</f>
        <v>Medium</v>
      </c>
      <c r="Q7" t="str">
        <f xml:space="preserve"> _xlfn.XLOOKUP(M7, Lookup_Tables!$M$2:$M$5,Lookup_Tables!$N$2:$N$5," ", -1)</f>
        <v>Established (5-10)</v>
      </c>
      <c r="R7" s="4">
        <f t="shared" si="1"/>
        <v>3.3333333333333335</v>
      </c>
      <c r="S7" t="str">
        <f xml:space="preserve"> _xlfn.XLOOKUP( E7, Lookup_Tables!$A$2:$A$6,Lookup_Tables!$B$2:$B$6," ", -1)</f>
        <v>College</v>
      </c>
      <c r="T7" t="str">
        <f>_xlfn.XLOOKUP(G7,Lookup_Tables!$D$2:$D$5,Lookup_Tables!$E$2:$E$5)</f>
        <v>Very High</v>
      </c>
      <c r="U7" t="str">
        <f>_xlfn.XLOOKUP(H7,Lookup_Tables!$D$2:$D$5,Lookup_Tables!$E$2:$E$5)</f>
        <v>Very High</v>
      </c>
      <c r="V7" t="str">
        <f>_xlfn.XLOOKUP(L7,Lookup_Tables!$D$2:$D$5,Lookup_Tables!$E$2:$E$5)</f>
        <v>Medium</v>
      </c>
    </row>
    <row r="8" spans="1:22">
      <c r="A8">
        <f>RAW_DATA!A8</f>
        <v>59</v>
      </c>
      <c r="B8" t="str">
        <f>RAW_DATA!B8</f>
        <v>No</v>
      </c>
      <c r="C8" t="str">
        <f>RAW_DATA!C8</f>
        <v>Research &amp; Development</v>
      </c>
      <c r="D8">
        <f>RAW_DATA!D8</f>
        <v>3</v>
      </c>
      <c r="E8">
        <f>RAW_DATA!E8</f>
        <v>3</v>
      </c>
      <c r="F8" t="str">
        <f>RAW_DATA!F8</f>
        <v>Medical</v>
      </c>
      <c r="G8">
        <f>RAW_DATA!G8</f>
        <v>3</v>
      </c>
      <c r="H8">
        <f>RAW_DATA!H8</f>
        <v>1</v>
      </c>
      <c r="I8" t="str">
        <f>RAW_DATA!I8</f>
        <v>Married</v>
      </c>
      <c r="J8">
        <f>RAW_DATA!J8</f>
        <v>2670</v>
      </c>
      <c r="K8">
        <f>RAW_DATA!K8</f>
        <v>4</v>
      </c>
      <c r="L8">
        <f>RAW_DATA!L8</f>
        <v>2</v>
      </c>
      <c r="M8">
        <f>RAW_DATA!M8</f>
        <v>1</v>
      </c>
      <c r="N8">
        <f t="shared" si="0"/>
        <v>0</v>
      </c>
      <c r="O8" t="str">
        <f xml:space="preserve"> VLOOKUP(A8, Lookup_Tables!$G$2:$H$6,2,TRUE)</f>
        <v>55+</v>
      </c>
      <c r="P8" t="str">
        <f>_xlfn.XLOOKUP(J8,Lookup_Tables!$J$2:$J$4,Lookup_Tables!$K$2:$K$4, " ",-1)</f>
        <v>Low</v>
      </c>
      <c r="Q8" t="str">
        <f xml:space="preserve"> _xlfn.XLOOKUP(M8, Lookup_Tables!$M$2:$M$5,Lookup_Tables!$N$2:$N$5," ", -1)</f>
        <v>New (0-2)</v>
      </c>
      <c r="R8" s="4">
        <f t="shared" si="1"/>
        <v>2</v>
      </c>
      <c r="S8" t="str">
        <f xml:space="preserve"> _xlfn.XLOOKUP( E8, Lookup_Tables!$A$2:$A$6,Lookup_Tables!$B$2:$B$6," ", -1)</f>
        <v>Bachelor</v>
      </c>
      <c r="T8" t="str">
        <f>_xlfn.XLOOKUP(G8,Lookup_Tables!$D$2:$D$5,Lookup_Tables!$E$2:$E$5)</f>
        <v>High</v>
      </c>
      <c r="U8" t="str">
        <f>_xlfn.XLOOKUP(H8,Lookup_Tables!$D$2:$D$5,Lookup_Tables!$E$2:$E$5)</f>
        <v>Low</v>
      </c>
      <c r="V8" t="str">
        <f>_xlfn.XLOOKUP(L8,Lookup_Tables!$D$2:$D$5,Lookup_Tables!$E$2:$E$5)</f>
        <v>Medium</v>
      </c>
    </row>
    <row r="9" spans="1:22">
      <c r="A9">
        <f>RAW_DATA!A9</f>
        <v>30</v>
      </c>
      <c r="B9" t="str">
        <f>RAW_DATA!B9</f>
        <v>No</v>
      </c>
      <c r="C9" t="str">
        <f>RAW_DATA!C9</f>
        <v>Research &amp; Development</v>
      </c>
      <c r="D9">
        <f>RAW_DATA!D9</f>
        <v>24</v>
      </c>
      <c r="E9">
        <f>RAW_DATA!E9</f>
        <v>1</v>
      </c>
      <c r="F9" t="str">
        <f>RAW_DATA!F9</f>
        <v>Life Sciences</v>
      </c>
      <c r="G9">
        <f>RAW_DATA!G9</f>
        <v>4</v>
      </c>
      <c r="H9">
        <f>RAW_DATA!H9</f>
        <v>3</v>
      </c>
      <c r="I9" t="str">
        <f>RAW_DATA!I9</f>
        <v>Divorced</v>
      </c>
      <c r="J9">
        <f>RAW_DATA!J9</f>
        <v>2693</v>
      </c>
      <c r="K9">
        <f>RAW_DATA!K9</f>
        <v>1</v>
      </c>
      <c r="L9">
        <f>RAW_DATA!L9</f>
        <v>3</v>
      </c>
      <c r="M9">
        <f>RAW_DATA!M9</f>
        <v>1</v>
      </c>
      <c r="N9">
        <f t="shared" si="0"/>
        <v>0</v>
      </c>
      <c r="O9" t="str">
        <f xml:space="preserve"> VLOOKUP(A9, Lookup_Tables!$G$2:$H$6,2,TRUE)</f>
        <v>25-34</v>
      </c>
      <c r="P9" t="str">
        <f>_xlfn.XLOOKUP(J9,Lookup_Tables!$J$2:$J$4,Lookup_Tables!$K$2:$K$4, " ",-1)</f>
        <v>Low</v>
      </c>
      <c r="Q9" t="str">
        <f xml:space="preserve"> _xlfn.XLOOKUP(M9, Lookup_Tables!$M$2:$M$5,Lookup_Tables!$N$2:$N$5," ", -1)</f>
        <v>New (0-2)</v>
      </c>
      <c r="R9" s="4">
        <f t="shared" si="1"/>
        <v>3.3333333333333335</v>
      </c>
      <c r="S9" t="str">
        <f xml:space="preserve"> _xlfn.XLOOKUP( E9, Lookup_Tables!$A$2:$A$6,Lookup_Tables!$B$2:$B$6," ", -1)</f>
        <v>Below College</v>
      </c>
      <c r="T9" t="str">
        <f>_xlfn.XLOOKUP(G9,Lookup_Tables!$D$2:$D$5,Lookup_Tables!$E$2:$E$5)</f>
        <v>Very High</v>
      </c>
      <c r="U9" t="str">
        <f>_xlfn.XLOOKUP(H9,Lookup_Tables!$D$2:$D$5,Lookup_Tables!$E$2:$E$5)</f>
        <v>High</v>
      </c>
      <c r="V9" t="str">
        <f>_xlfn.XLOOKUP(L9,Lookup_Tables!$D$2:$D$5,Lookup_Tables!$E$2:$E$5)</f>
        <v>High</v>
      </c>
    </row>
    <row r="10" spans="1:22">
      <c r="A10">
        <f>RAW_DATA!A10</f>
        <v>38</v>
      </c>
      <c r="B10" t="str">
        <f>RAW_DATA!B10</f>
        <v>No</v>
      </c>
      <c r="C10" t="str">
        <f>RAW_DATA!C10</f>
        <v>Research &amp; Development</v>
      </c>
      <c r="D10">
        <f>RAW_DATA!D10</f>
        <v>23</v>
      </c>
      <c r="E10">
        <f>RAW_DATA!E10</f>
        <v>3</v>
      </c>
      <c r="F10" t="str">
        <f>RAW_DATA!F10</f>
        <v>Life Sciences</v>
      </c>
      <c r="G10">
        <f>RAW_DATA!G10</f>
        <v>4</v>
      </c>
      <c r="H10">
        <f>RAW_DATA!H10</f>
        <v>3</v>
      </c>
      <c r="I10" t="str">
        <f>RAW_DATA!I10</f>
        <v>Single</v>
      </c>
      <c r="J10">
        <f>RAW_DATA!J10</f>
        <v>9526</v>
      </c>
      <c r="K10">
        <f>RAW_DATA!K10</f>
        <v>0</v>
      </c>
      <c r="L10">
        <f>RAW_DATA!L10</f>
        <v>3</v>
      </c>
      <c r="M10">
        <f>RAW_DATA!M10</f>
        <v>9</v>
      </c>
      <c r="N10">
        <f t="shared" si="0"/>
        <v>0</v>
      </c>
      <c r="O10" t="str">
        <f xml:space="preserve"> VLOOKUP(A10, Lookup_Tables!$G$2:$H$6,2,TRUE)</f>
        <v>35-44</v>
      </c>
      <c r="P10" t="str">
        <f>_xlfn.XLOOKUP(J10,Lookup_Tables!$J$2:$J$4,Lookup_Tables!$K$2:$K$4, " ",-1)</f>
        <v>High</v>
      </c>
      <c r="Q10" t="str">
        <f xml:space="preserve"> _xlfn.XLOOKUP(M10, Lookup_Tables!$M$2:$M$5,Lookup_Tables!$N$2:$N$5," ", -1)</f>
        <v>Established (5-10)</v>
      </c>
      <c r="R10" s="4">
        <f t="shared" si="1"/>
        <v>3.3333333333333335</v>
      </c>
      <c r="S10" t="str">
        <f xml:space="preserve"> _xlfn.XLOOKUP( E10, Lookup_Tables!$A$2:$A$6,Lookup_Tables!$B$2:$B$6," ", -1)</f>
        <v>Bachelor</v>
      </c>
      <c r="T10" t="str">
        <f>_xlfn.XLOOKUP(G10,Lookup_Tables!$D$2:$D$5,Lookup_Tables!$E$2:$E$5)</f>
        <v>Very High</v>
      </c>
      <c r="U10" t="str">
        <f>_xlfn.XLOOKUP(H10,Lookup_Tables!$D$2:$D$5,Lookup_Tables!$E$2:$E$5)</f>
        <v>High</v>
      </c>
      <c r="V10" t="str">
        <f>_xlfn.XLOOKUP(L10,Lookup_Tables!$D$2:$D$5,Lookup_Tables!$E$2:$E$5)</f>
        <v>High</v>
      </c>
    </row>
    <row r="11" spans="1:22">
      <c r="A11">
        <f>RAW_DATA!A11</f>
        <v>36</v>
      </c>
      <c r="B11" t="str">
        <f>RAW_DATA!B11</f>
        <v>No</v>
      </c>
      <c r="C11" t="str">
        <f>RAW_DATA!C11</f>
        <v>Research &amp; Development</v>
      </c>
      <c r="D11">
        <f>RAW_DATA!D11</f>
        <v>27</v>
      </c>
      <c r="E11">
        <f>RAW_DATA!E11</f>
        <v>3</v>
      </c>
      <c r="F11" t="str">
        <f>RAW_DATA!F11</f>
        <v>Medical</v>
      </c>
      <c r="G11">
        <f>RAW_DATA!G11</f>
        <v>3</v>
      </c>
      <c r="H11">
        <f>RAW_DATA!H11</f>
        <v>3</v>
      </c>
      <c r="I11" t="str">
        <f>RAW_DATA!I11</f>
        <v>Married</v>
      </c>
      <c r="J11">
        <f>RAW_DATA!J11</f>
        <v>5237</v>
      </c>
      <c r="K11">
        <f>RAW_DATA!K11</f>
        <v>6</v>
      </c>
      <c r="L11">
        <f>RAW_DATA!L11</f>
        <v>2</v>
      </c>
      <c r="M11">
        <f>RAW_DATA!M11</f>
        <v>7</v>
      </c>
      <c r="N11">
        <f t="shared" si="0"/>
        <v>0</v>
      </c>
      <c r="O11" t="str">
        <f xml:space="preserve"> VLOOKUP(A11, Lookup_Tables!$G$2:$H$6,2,TRUE)</f>
        <v>35-44</v>
      </c>
      <c r="P11" t="str">
        <f>_xlfn.XLOOKUP(J11,Lookup_Tables!$J$2:$J$4,Lookup_Tables!$K$2:$K$4, " ",-1)</f>
        <v>Medium</v>
      </c>
      <c r="Q11" t="str">
        <f xml:space="preserve"> _xlfn.XLOOKUP(M11, Lookup_Tables!$M$2:$M$5,Lookup_Tables!$N$2:$N$5," ", -1)</f>
        <v>Established (5-10)</v>
      </c>
      <c r="R11" s="4">
        <f t="shared" si="1"/>
        <v>2.6666666666666665</v>
      </c>
      <c r="S11" t="str">
        <f xml:space="preserve"> _xlfn.XLOOKUP( E11, Lookup_Tables!$A$2:$A$6,Lookup_Tables!$B$2:$B$6," ", -1)</f>
        <v>Bachelor</v>
      </c>
      <c r="T11" t="str">
        <f>_xlfn.XLOOKUP(G11,Lookup_Tables!$D$2:$D$5,Lookup_Tables!$E$2:$E$5)</f>
        <v>High</v>
      </c>
      <c r="U11" t="str">
        <f>_xlfn.XLOOKUP(H11,Lookup_Tables!$D$2:$D$5,Lookup_Tables!$E$2:$E$5)</f>
        <v>High</v>
      </c>
      <c r="V11" t="str">
        <f>_xlfn.XLOOKUP(L11,Lookup_Tables!$D$2:$D$5,Lookup_Tables!$E$2:$E$5)</f>
        <v>Medium</v>
      </c>
    </row>
    <row r="12" spans="1:22">
      <c r="A12">
        <f>RAW_DATA!A12</f>
        <v>35</v>
      </c>
      <c r="B12" t="str">
        <f>RAW_DATA!B12</f>
        <v>No</v>
      </c>
      <c r="C12" t="str">
        <f>RAW_DATA!C12</f>
        <v>Research &amp; Development</v>
      </c>
      <c r="D12">
        <f>RAW_DATA!D12</f>
        <v>16</v>
      </c>
      <c r="E12">
        <f>RAW_DATA!E12</f>
        <v>3</v>
      </c>
      <c r="F12" t="str">
        <f>RAW_DATA!F12</f>
        <v>Medical</v>
      </c>
      <c r="G12">
        <f>RAW_DATA!G12</f>
        <v>1</v>
      </c>
      <c r="H12">
        <f>RAW_DATA!H12</f>
        <v>2</v>
      </c>
      <c r="I12" t="str">
        <f>RAW_DATA!I12</f>
        <v>Married</v>
      </c>
      <c r="J12">
        <f>RAW_DATA!J12</f>
        <v>2426</v>
      </c>
      <c r="K12">
        <f>RAW_DATA!K12</f>
        <v>0</v>
      </c>
      <c r="L12">
        <f>RAW_DATA!L12</f>
        <v>3</v>
      </c>
      <c r="M12">
        <f>RAW_DATA!M12</f>
        <v>5</v>
      </c>
      <c r="N12">
        <f t="shared" si="0"/>
        <v>0</v>
      </c>
      <c r="O12" t="str">
        <f xml:space="preserve"> VLOOKUP(A12, Lookup_Tables!$G$2:$H$6,2,TRUE)</f>
        <v>35-44</v>
      </c>
      <c r="P12" t="str">
        <f>_xlfn.XLOOKUP(J12,Lookup_Tables!$J$2:$J$4,Lookup_Tables!$K$2:$K$4, " ",-1)</f>
        <v>Low</v>
      </c>
      <c r="Q12" t="str">
        <f xml:space="preserve"> _xlfn.XLOOKUP(M12, Lookup_Tables!$M$2:$M$5,Lookup_Tables!$N$2:$N$5," ", -1)</f>
        <v>Established (5-10)</v>
      </c>
      <c r="R12" s="4">
        <f t="shared" si="1"/>
        <v>2</v>
      </c>
      <c r="S12" t="str">
        <f xml:space="preserve"> _xlfn.XLOOKUP( E12, Lookup_Tables!$A$2:$A$6,Lookup_Tables!$B$2:$B$6," ", -1)</f>
        <v>Bachelor</v>
      </c>
      <c r="T12" t="str">
        <f>_xlfn.XLOOKUP(G12,Lookup_Tables!$D$2:$D$5,Lookup_Tables!$E$2:$E$5)</f>
        <v>Low</v>
      </c>
      <c r="U12" t="str">
        <f>_xlfn.XLOOKUP(H12,Lookup_Tables!$D$2:$D$5,Lookup_Tables!$E$2:$E$5)</f>
        <v>Medium</v>
      </c>
      <c r="V12" t="str">
        <f>_xlfn.XLOOKUP(L12,Lookup_Tables!$D$2:$D$5,Lookup_Tables!$E$2:$E$5)</f>
        <v>High</v>
      </c>
    </row>
    <row r="13" spans="1:22">
      <c r="A13">
        <f>RAW_DATA!A13</f>
        <v>29</v>
      </c>
      <c r="B13" t="str">
        <f>RAW_DATA!B13</f>
        <v>No</v>
      </c>
      <c r="C13" t="str">
        <f>RAW_DATA!C13</f>
        <v>Research &amp; Development</v>
      </c>
      <c r="D13">
        <f>RAW_DATA!D13</f>
        <v>15</v>
      </c>
      <c r="E13">
        <f>RAW_DATA!E13</f>
        <v>2</v>
      </c>
      <c r="F13" t="str">
        <f>RAW_DATA!F13</f>
        <v>Life Sciences</v>
      </c>
      <c r="G13">
        <f>RAW_DATA!G13</f>
        <v>4</v>
      </c>
      <c r="H13">
        <f>RAW_DATA!H13</f>
        <v>3</v>
      </c>
      <c r="I13" t="str">
        <f>RAW_DATA!I13</f>
        <v>Single</v>
      </c>
      <c r="J13">
        <f>RAW_DATA!J13</f>
        <v>4193</v>
      </c>
      <c r="K13">
        <f>RAW_DATA!K13</f>
        <v>0</v>
      </c>
      <c r="L13">
        <f>RAW_DATA!L13</f>
        <v>3</v>
      </c>
      <c r="M13">
        <f>RAW_DATA!M13</f>
        <v>9</v>
      </c>
      <c r="N13">
        <f t="shared" si="0"/>
        <v>0</v>
      </c>
      <c r="O13" t="str">
        <f xml:space="preserve"> VLOOKUP(A13, Lookup_Tables!$G$2:$H$6,2,TRUE)</f>
        <v>25-34</v>
      </c>
      <c r="P13" t="str">
        <f>_xlfn.XLOOKUP(J13,Lookup_Tables!$J$2:$J$4,Lookup_Tables!$K$2:$K$4, " ",-1)</f>
        <v>Medium</v>
      </c>
      <c r="Q13" t="str">
        <f xml:space="preserve"> _xlfn.XLOOKUP(M13, Lookup_Tables!$M$2:$M$5,Lookup_Tables!$N$2:$N$5," ", -1)</f>
        <v>Established (5-10)</v>
      </c>
      <c r="R13" s="4">
        <f t="shared" si="1"/>
        <v>3.3333333333333335</v>
      </c>
      <c r="S13" t="str">
        <f xml:space="preserve"> _xlfn.XLOOKUP( E13, Lookup_Tables!$A$2:$A$6,Lookup_Tables!$B$2:$B$6," ", -1)</f>
        <v>College</v>
      </c>
      <c r="T13" t="str">
        <f>_xlfn.XLOOKUP(G13,Lookup_Tables!$D$2:$D$5,Lookup_Tables!$E$2:$E$5)</f>
        <v>Very High</v>
      </c>
      <c r="U13" t="str">
        <f>_xlfn.XLOOKUP(H13,Lookup_Tables!$D$2:$D$5,Lookup_Tables!$E$2:$E$5)</f>
        <v>High</v>
      </c>
      <c r="V13" t="str">
        <f>_xlfn.XLOOKUP(L13,Lookup_Tables!$D$2:$D$5,Lookup_Tables!$E$2:$E$5)</f>
        <v>High</v>
      </c>
    </row>
    <row r="14" spans="1:22">
      <c r="A14">
        <f>RAW_DATA!A14</f>
        <v>31</v>
      </c>
      <c r="B14" t="str">
        <f>RAW_DATA!B14</f>
        <v>No</v>
      </c>
      <c r="C14" t="str">
        <f>RAW_DATA!C14</f>
        <v>Research &amp; Development</v>
      </c>
      <c r="D14">
        <f>RAW_DATA!D14</f>
        <v>26</v>
      </c>
      <c r="E14">
        <f>RAW_DATA!E14</f>
        <v>1</v>
      </c>
      <c r="F14" t="str">
        <f>RAW_DATA!F14</f>
        <v>Life Sciences</v>
      </c>
      <c r="G14">
        <f>RAW_DATA!G14</f>
        <v>1</v>
      </c>
      <c r="H14">
        <f>RAW_DATA!H14</f>
        <v>3</v>
      </c>
      <c r="I14" t="str">
        <f>RAW_DATA!I14</f>
        <v>Divorced</v>
      </c>
      <c r="J14">
        <f>RAW_DATA!J14</f>
        <v>2911</v>
      </c>
      <c r="K14">
        <f>RAW_DATA!K14</f>
        <v>1</v>
      </c>
      <c r="L14">
        <f>RAW_DATA!L14</f>
        <v>2</v>
      </c>
      <c r="M14">
        <f>RAW_DATA!M14</f>
        <v>5</v>
      </c>
      <c r="N14">
        <f t="shared" si="0"/>
        <v>0</v>
      </c>
      <c r="O14" t="str">
        <f xml:space="preserve"> VLOOKUP(A14, Lookup_Tables!$G$2:$H$6,2,TRUE)</f>
        <v>25-34</v>
      </c>
      <c r="P14" t="str">
        <f>_xlfn.XLOOKUP(J14,Lookup_Tables!$J$2:$J$4,Lookup_Tables!$K$2:$K$4, " ",-1)</f>
        <v>Low</v>
      </c>
      <c r="Q14" t="str">
        <f xml:space="preserve"> _xlfn.XLOOKUP(M14, Lookup_Tables!$M$2:$M$5,Lookup_Tables!$N$2:$N$5," ", -1)</f>
        <v>Established (5-10)</v>
      </c>
      <c r="R14" s="4">
        <f t="shared" si="1"/>
        <v>2</v>
      </c>
      <c r="S14" t="str">
        <f xml:space="preserve"> _xlfn.XLOOKUP( E14, Lookup_Tables!$A$2:$A$6,Lookup_Tables!$B$2:$B$6," ", -1)</f>
        <v>Below College</v>
      </c>
      <c r="T14" t="str">
        <f>_xlfn.XLOOKUP(G14,Lookup_Tables!$D$2:$D$5,Lookup_Tables!$E$2:$E$5)</f>
        <v>Low</v>
      </c>
      <c r="U14" t="str">
        <f>_xlfn.XLOOKUP(H14,Lookup_Tables!$D$2:$D$5,Lookup_Tables!$E$2:$E$5)</f>
        <v>High</v>
      </c>
      <c r="V14" t="str">
        <f>_xlfn.XLOOKUP(L14,Lookup_Tables!$D$2:$D$5,Lookup_Tables!$E$2:$E$5)</f>
        <v>Medium</v>
      </c>
    </row>
    <row r="15" spans="1:22">
      <c r="A15">
        <f>RAW_DATA!A15</f>
        <v>34</v>
      </c>
      <c r="B15" t="str">
        <f>RAW_DATA!B15</f>
        <v>No</v>
      </c>
      <c r="C15" t="str">
        <f>RAW_DATA!C15</f>
        <v>Research &amp; Development</v>
      </c>
      <c r="D15">
        <f>RAW_DATA!D15</f>
        <v>19</v>
      </c>
      <c r="E15">
        <f>RAW_DATA!E15</f>
        <v>2</v>
      </c>
      <c r="F15" t="str">
        <f>RAW_DATA!F15</f>
        <v>Medical</v>
      </c>
      <c r="G15">
        <f>RAW_DATA!G15</f>
        <v>2</v>
      </c>
      <c r="H15">
        <f>RAW_DATA!H15</f>
        <v>4</v>
      </c>
      <c r="I15" t="str">
        <f>RAW_DATA!I15</f>
        <v>Divorced</v>
      </c>
      <c r="J15">
        <f>RAW_DATA!J15</f>
        <v>2661</v>
      </c>
      <c r="K15">
        <f>RAW_DATA!K15</f>
        <v>0</v>
      </c>
      <c r="L15">
        <f>RAW_DATA!L15</f>
        <v>3</v>
      </c>
      <c r="M15">
        <f>RAW_DATA!M15</f>
        <v>2</v>
      </c>
      <c r="N15">
        <f t="shared" si="0"/>
        <v>0</v>
      </c>
      <c r="O15" t="str">
        <f xml:space="preserve"> VLOOKUP(A15, Lookup_Tables!$G$2:$H$6,2,TRUE)</f>
        <v>25-34</v>
      </c>
      <c r="P15" t="str">
        <f>_xlfn.XLOOKUP(J15,Lookup_Tables!$J$2:$J$4,Lookup_Tables!$K$2:$K$4, " ",-1)</f>
        <v>Low</v>
      </c>
      <c r="Q15" t="str">
        <f xml:space="preserve"> _xlfn.XLOOKUP(M15, Lookup_Tables!$M$2:$M$5,Lookup_Tables!$N$2:$N$5," ", -1)</f>
        <v>Early (2-5)</v>
      </c>
      <c r="R15" s="4">
        <f t="shared" si="1"/>
        <v>3</v>
      </c>
      <c r="S15" t="str">
        <f xml:space="preserve"> _xlfn.XLOOKUP( E15, Lookup_Tables!$A$2:$A$6,Lookup_Tables!$B$2:$B$6," ", -1)</f>
        <v>College</v>
      </c>
      <c r="T15" t="str">
        <f>_xlfn.XLOOKUP(G15,Lookup_Tables!$D$2:$D$5,Lookup_Tables!$E$2:$E$5)</f>
        <v>Medium</v>
      </c>
      <c r="U15" t="str">
        <f>_xlfn.XLOOKUP(H15,Lookup_Tables!$D$2:$D$5,Lookup_Tables!$E$2:$E$5)</f>
        <v>Very High</v>
      </c>
      <c r="V15" t="str">
        <f>_xlfn.XLOOKUP(L15,Lookup_Tables!$D$2:$D$5,Lookup_Tables!$E$2:$E$5)</f>
        <v>High</v>
      </c>
    </row>
    <row r="16" spans="1:22">
      <c r="A16">
        <f>RAW_DATA!A16</f>
        <v>28</v>
      </c>
      <c r="B16" t="str">
        <f>RAW_DATA!B16</f>
        <v>Yes</v>
      </c>
      <c r="C16" t="str">
        <f>RAW_DATA!C16</f>
        <v>Research &amp; Development</v>
      </c>
      <c r="D16">
        <f>RAW_DATA!D16</f>
        <v>24</v>
      </c>
      <c r="E16">
        <f>RAW_DATA!E16</f>
        <v>3</v>
      </c>
      <c r="F16" t="str">
        <f>RAW_DATA!F16</f>
        <v>Life Sciences</v>
      </c>
      <c r="G16">
        <f>RAW_DATA!G16</f>
        <v>3</v>
      </c>
      <c r="H16">
        <f>RAW_DATA!H16</f>
        <v>3</v>
      </c>
      <c r="I16" t="str">
        <f>RAW_DATA!I16</f>
        <v>Single</v>
      </c>
      <c r="J16">
        <f>RAW_DATA!J16</f>
        <v>2028</v>
      </c>
      <c r="K16">
        <f>RAW_DATA!K16</f>
        <v>5</v>
      </c>
      <c r="L16">
        <f>RAW_DATA!L16</f>
        <v>3</v>
      </c>
      <c r="M16">
        <f>RAW_DATA!M16</f>
        <v>4</v>
      </c>
      <c r="N16">
        <f t="shared" si="0"/>
        <v>1</v>
      </c>
      <c r="O16" t="str">
        <f xml:space="preserve"> VLOOKUP(A16, Lookup_Tables!$G$2:$H$6,2,TRUE)</f>
        <v>25-34</v>
      </c>
      <c r="P16" t="str">
        <f>_xlfn.XLOOKUP(J16,Lookup_Tables!$J$2:$J$4,Lookup_Tables!$K$2:$K$4, " ",-1)</f>
        <v>Low</v>
      </c>
      <c r="Q16" t="str">
        <f xml:space="preserve"> _xlfn.XLOOKUP(M16, Lookup_Tables!$M$2:$M$5,Lookup_Tables!$N$2:$N$5," ", -1)</f>
        <v>Early (2-5)</v>
      </c>
      <c r="R16" s="4">
        <f t="shared" si="1"/>
        <v>3</v>
      </c>
      <c r="S16" t="str">
        <f xml:space="preserve"> _xlfn.XLOOKUP( E16, Lookup_Tables!$A$2:$A$6,Lookup_Tables!$B$2:$B$6," ", -1)</f>
        <v>Bachelor</v>
      </c>
      <c r="T16" t="str">
        <f>_xlfn.XLOOKUP(G16,Lookup_Tables!$D$2:$D$5,Lookup_Tables!$E$2:$E$5)</f>
        <v>High</v>
      </c>
      <c r="U16" t="str">
        <f>_xlfn.XLOOKUP(H16,Lookup_Tables!$D$2:$D$5,Lookup_Tables!$E$2:$E$5)</f>
        <v>High</v>
      </c>
      <c r="V16" t="str">
        <f>_xlfn.XLOOKUP(L16,Lookup_Tables!$D$2:$D$5,Lookup_Tables!$E$2:$E$5)</f>
        <v>High</v>
      </c>
    </row>
    <row r="17" spans="1:22">
      <c r="A17">
        <f>RAW_DATA!A17</f>
        <v>29</v>
      </c>
      <c r="B17" t="str">
        <f>RAW_DATA!B17</f>
        <v>No</v>
      </c>
      <c r="C17" t="str">
        <f>RAW_DATA!C17</f>
        <v>Research &amp; Development</v>
      </c>
      <c r="D17">
        <f>RAW_DATA!D17</f>
        <v>21</v>
      </c>
      <c r="E17">
        <f>RAW_DATA!E17</f>
        <v>4</v>
      </c>
      <c r="F17" t="str">
        <f>RAW_DATA!F17</f>
        <v>Life Sciences</v>
      </c>
      <c r="G17">
        <f>RAW_DATA!G17</f>
        <v>2</v>
      </c>
      <c r="H17">
        <f>RAW_DATA!H17</f>
        <v>1</v>
      </c>
      <c r="I17" t="str">
        <f>RAW_DATA!I17</f>
        <v>Divorced</v>
      </c>
      <c r="J17">
        <f>RAW_DATA!J17</f>
        <v>9980</v>
      </c>
      <c r="K17">
        <f>RAW_DATA!K17</f>
        <v>1</v>
      </c>
      <c r="L17">
        <f>RAW_DATA!L17</f>
        <v>3</v>
      </c>
      <c r="M17">
        <f>RAW_DATA!M17</f>
        <v>10</v>
      </c>
      <c r="N17">
        <f t="shared" si="0"/>
        <v>0</v>
      </c>
      <c r="O17" t="str">
        <f xml:space="preserve"> VLOOKUP(A17, Lookup_Tables!$G$2:$H$6,2,TRUE)</f>
        <v>25-34</v>
      </c>
      <c r="P17" t="str">
        <f>_xlfn.XLOOKUP(J17,Lookup_Tables!$J$2:$J$4,Lookup_Tables!$K$2:$K$4, " ",-1)</f>
        <v>High</v>
      </c>
      <c r="Q17" t="str">
        <f xml:space="preserve"> _xlfn.XLOOKUP(M17, Lookup_Tables!$M$2:$M$5,Lookup_Tables!$N$2:$N$5," ", -1)</f>
        <v>Veteran (10+)</v>
      </c>
      <c r="R17" s="4">
        <f t="shared" si="1"/>
        <v>2</v>
      </c>
      <c r="S17" t="str">
        <f xml:space="preserve"> _xlfn.XLOOKUP( E17, Lookup_Tables!$A$2:$A$6,Lookup_Tables!$B$2:$B$6," ", -1)</f>
        <v>Master</v>
      </c>
      <c r="T17" t="str">
        <f>_xlfn.XLOOKUP(G17,Lookup_Tables!$D$2:$D$5,Lookup_Tables!$E$2:$E$5)</f>
        <v>Medium</v>
      </c>
      <c r="U17" t="str">
        <f>_xlfn.XLOOKUP(H17,Lookup_Tables!$D$2:$D$5,Lookup_Tables!$E$2:$E$5)</f>
        <v>Low</v>
      </c>
      <c r="V17" t="str">
        <f>_xlfn.XLOOKUP(L17,Lookup_Tables!$D$2:$D$5,Lookup_Tables!$E$2:$E$5)</f>
        <v>High</v>
      </c>
    </row>
    <row r="18" spans="1:22">
      <c r="A18">
        <f>RAW_DATA!A18</f>
        <v>32</v>
      </c>
      <c r="B18" t="str">
        <f>RAW_DATA!B18</f>
        <v>No</v>
      </c>
      <c r="C18" t="str">
        <f>RAW_DATA!C18</f>
        <v>Research &amp; Development</v>
      </c>
      <c r="D18">
        <f>RAW_DATA!D18</f>
        <v>5</v>
      </c>
      <c r="E18">
        <f>RAW_DATA!E18</f>
        <v>2</v>
      </c>
      <c r="F18" t="str">
        <f>RAW_DATA!F18</f>
        <v>Life Sciences</v>
      </c>
      <c r="G18">
        <f>RAW_DATA!G18</f>
        <v>1</v>
      </c>
      <c r="H18">
        <f>RAW_DATA!H18</f>
        <v>2</v>
      </c>
      <c r="I18" t="str">
        <f>RAW_DATA!I18</f>
        <v>Divorced</v>
      </c>
      <c r="J18">
        <f>RAW_DATA!J18</f>
        <v>3298</v>
      </c>
      <c r="K18">
        <f>RAW_DATA!K18</f>
        <v>0</v>
      </c>
      <c r="L18">
        <f>RAW_DATA!L18</f>
        <v>2</v>
      </c>
      <c r="M18">
        <f>RAW_DATA!M18</f>
        <v>6</v>
      </c>
      <c r="N18">
        <f t="shared" si="0"/>
        <v>0</v>
      </c>
      <c r="O18" t="str">
        <f xml:space="preserve"> VLOOKUP(A18, Lookup_Tables!$G$2:$H$6,2,TRUE)</f>
        <v>25-34</v>
      </c>
      <c r="P18" t="str">
        <f>_xlfn.XLOOKUP(J18,Lookup_Tables!$J$2:$J$4,Lookup_Tables!$K$2:$K$4, " ",-1)</f>
        <v>Medium</v>
      </c>
      <c r="Q18" t="str">
        <f xml:space="preserve"> _xlfn.XLOOKUP(M18, Lookup_Tables!$M$2:$M$5,Lookup_Tables!$N$2:$N$5," ", -1)</f>
        <v>Established (5-10)</v>
      </c>
      <c r="R18" s="4">
        <f t="shared" si="1"/>
        <v>1.6666666666666667</v>
      </c>
      <c r="S18" t="str">
        <f xml:space="preserve"> _xlfn.XLOOKUP( E18, Lookup_Tables!$A$2:$A$6,Lookup_Tables!$B$2:$B$6," ", -1)</f>
        <v>College</v>
      </c>
      <c r="T18" t="str">
        <f>_xlfn.XLOOKUP(G18,Lookup_Tables!$D$2:$D$5,Lookup_Tables!$E$2:$E$5)</f>
        <v>Low</v>
      </c>
      <c r="U18" t="str">
        <f>_xlfn.XLOOKUP(H18,Lookup_Tables!$D$2:$D$5,Lookup_Tables!$E$2:$E$5)</f>
        <v>Medium</v>
      </c>
      <c r="V18" t="str">
        <f>_xlfn.XLOOKUP(L18,Lookup_Tables!$D$2:$D$5,Lookup_Tables!$E$2:$E$5)</f>
        <v>Medium</v>
      </c>
    </row>
    <row r="19" spans="1:22">
      <c r="A19">
        <f>RAW_DATA!A19</f>
        <v>22</v>
      </c>
      <c r="B19" t="str">
        <f>RAW_DATA!B19</f>
        <v>No</v>
      </c>
      <c r="C19" t="str">
        <f>RAW_DATA!C19</f>
        <v>Research &amp; Development</v>
      </c>
      <c r="D19">
        <f>RAW_DATA!D19</f>
        <v>16</v>
      </c>
      <c r="E19">
        <f>RAW_DATA!E19</f>
        <v>2</v>
      </c>
      <c r="F19" t="str">
        <f>RAW_DATA!F19</f>
        <v>Medical</v>
      </c>
      <c r="G19">
        <f>RAW_DATA!G19</f>
        <v>4</v>
      </c>
      <c r="H19">
        <f>RAW_DATA!H19</f>
        <v>4</v>
      </c>
      <c r="I19" t="str">
        <f>RAW_DATA!I19</f>
        <v>Divorced</v>
      </c>
      <c r="J19">
        <f>RAW_DATA!J19</f>
        <v>2935</v>
      </c>
      <c r="K19">
        <f>RAW_DATA!K19</f>
        <v>1</v>
      </c>
      <c r="L19">
        <f>RAW_DATA!L19</f>
        <v>2</v>
      </c>
      <c r="M19">
        <f>RAW_DATA!M19</f>
        <v>1</v>
      </c>
      <c r="N19">
        <f t="shared" si="0"/>
        <v>0</v>
      </c>
      <c r="O19" t="str">
        <f xml:space="preserve"> VLOOKUP(A19, Lookup_Tables!$G$2:$H$6,2,TRUE)</f>
        <v>&lt;25</v>
      </c>
      <c r="P19" t="str">
        <f>_xlfn.XLOOKUP(J19,Lookup_Tables!$J$2:$J$4,Lookup_Tables!$K$2:$K$4, " ",-1)</f>
        <v>Low</v>
      </c>
      <c r="Q19" t="str">
        <f xml:space="preserve"> _xlfn.XLOOKUP(M19, Lookup_Tables!$M$2:$M$5,Lookup_Tables!$N$2:$N$5," ", -1)</f>
        <v>New (0-2)</v>
      </c>
      <c r="R19" s="4">
        <f t="shared" si="1"/>
        <v>3.3333333333333335</v>
      </c>
      <c r="S19" t="str">
        <f xml:space="preserve"> _xlfn.XLOOKUP( E19, Lookup_Tables!$A$2:$A$6,Lookup_Tables!$B$2:$B$6," ", -1)</f>
        <v>College</v>
      </c>
      <c r="T19" t="str">
        <f>_xlfn.XLOOKUP(G19,Lookup_Tables!$D$2:$D$5,Lookup_Tables!$E$2:$E$5)</f>
        <v>Very High</v>
      </c>
      <c r="U19" t="str">
        <f>_xlfn.XLOOKUP(H19,Lookup_Tables!$D$2:$D$5,Lookup_Tables!$E$2:$E$5)</f>
        <v>Very High</v>
      </c>
      <c r="V19" t="str">
        <f>_xlfn.XLOOKUP(L19,Lookup_Tables!$D$2:$D$5,Lookup_Tables!$E$2:$E$5)</f>
        <v>Medium</v>
      </c>
    </row>
    <row r="20" spans="1:22">
      <c r="A20">
        <f>RAW_DATA!A20</f>
        <v>53</v>
      </c>
      <c r="B20" t="str">
        <f>RAW_DATA!B20</f>
        <v>No</v>
      </c>
      <c r="C20" t="str">
        <f>RAW_DATA!C20</f>
        <v>Sales</v>
      </c>
      <c r="D20">
        <f>RAW_DATA!D20</f>
        <v>2</v>
      </c>
      <c r="E20">
        <f>RAW_DATA!E20</f>
        <v>4</v>
      </c>
      <c r="F20" t="str">
        <f>RAW_DATA!F20</f>
        <v>Life Sciences</v>
      </c>
      <c r="G20">
        <f>RAW_DATA!G20</f>
        <v>1</v>
      </c>
      <c r="H20">
        <f>RAW_DATA!H20</f>
        <v>4</v>
      </c>
      <c r="I20" t="str">
        <f>RAW_DATA!I20</f>
        <v>Married</v>
      </c>
      <c r="J20">
        <f>RAW_DATA!J20</f>
        <v>15427</v>
      </c>
      <c r="K20">
        <f>RAW_DATA!K20</f>
        <v>2</v>
      </c>
      <c r="L20">
        <f>RAW_DATA!L20</f>
        <v>3</v>
      </c>
      <c r="M20">
        <f>RAW_DATA!M20</f>
        <v>25</v>
      </c>
      <c r="N20">
        <f t="shared" si="0"/>
        <v>0</v>
      </c>
      <c r="O20" t="str">
        <f xml:space="preserve"> VLOOKUP(A20, Lookup_Tables!$G$2:$H$6,2,TRUE)</f>
        <v>45-54</v>
      </c>
      <c r="P20" t="str">
        <f>_xlfn.XLOOKUP(J20,Lookup_Tables!$J$2:$J$4,Lookup_Tables!$K$2:$K$4, " ",-1)</f>
        <v>High</v>
      </c>
      <c r="Q20" t="str">
        <f xml:space="preserve"> _xlfn.XLOOKUP(M20, Lookup_Tables!$M$2:$M$5,Lookup_Tables!$N$2:$N$5," ", -1)</f>
        <v>Veteran (10+)</v>
      </c>
      <c r="R20" s="4">
        <f t="shared" si="1"/>
        <v>2.6666666666666665</v>
      </c>
      <c r="S20" t="str">
        <f xml:space="preserve"> _xlfn.XLOOKUP( E20, Lookup_Tables!$A$2:$A$6,Lookup_Tables!$B$2:$B$6," ", -1)</f>
        <v>Master</v>
      </c>
      <c r="T20" t="str">
        <f>_xlfn.XLOOKUP(G20,Lookup_Tables!$D$2:$D$5,Lookup_Tables!$E$2:$E$5)</f>
        <v>Low</v>
      </c>
      <c r="U20" t="str">
        <f>_xlfn.XLOOKUP(H20,Lookup_Tables!$D$2:$D$5,Lookup_Tables!$E$2:$E$5)</f>
        <v>Very High</v>
      </c>
      <c r="V20" t="str">
        <f>_xlfn.XLOOKUP(L20,Lookup_Tables!$D$2:$D$5,Lookup_Tables!$E$2:$E$5)</f>
        <v>High</v>
      </c>
    </row>
    <row r="21" spans="1:22">
      <c r="A21">
        <f>RAW_DATA!A21</f>
        <v>38</v>
      </c>
      <c r="B21" t="str">
        <f>RAW_DATA!B21</f>
        <v>No</v>
      </c>
      <c r="C21" t="str">
        <f>RAW_DATA!C21</f>
        <v>Research &amp; Development</v>
      </c>
      <c r="D21">
        <f>RAW_DATA!D21</f>
        <v>2</v>
      </c>
      <c r="E21">
        <f>RAW_DATA!E21</f>
        <v>3</v>
      </c>
      <c r="F21" t="str">
        <f>RAW_DATA!F21</f>
        <v>Life Sciences</v>
      </c>
      <c r="G21">
        <f>RAW_DATA!G21</f>
        <v>4</v>
      </c>
      <c r="H21">
        <f>RAW_DATA!H21</f>
        <v>4</v>
      </c>
      <c r="I21" t="str">
        <f>RAW_DATA!I21</f>
        <v>Single</v>
      </c>
      <c r="J21">
        <f>RAW_DATA!J21</f>
        <v>3944</v>
      </c>
      <c r="K21">
        <f>RAW_DATA!K21</f>
        <v>5</v>
      </c>
      <c r="L21">
        <f>RAW_DATA!L21</f>
        <v>3</v>
      </c>
      <c r="M21">
        <f>RAW_DATA!M21</f>
        <v>3</v>
      </c>
      <c r="N21">
        <f t="shared" si="0"/>
        <v>0</v>
      </c>
      <c r="O21" t="str">
        <f xml:space="preserve"> VLOOKUP(A21, Lookup_Tables!$G$2:$H$6,2,TRUE)</f>
        <v>35-44</v>
      </c>
      <c r="P21" t="str">
        <f>_xlfn.XLOOKUP(J21,Lookup_Tables!$J$2:$J$4,Lookup_Tables!$K$2:$K$4, " ",-1)</f>
        <v>Medium</v>
      </c>
      <c r="Q21" t="str">
        <f xml:space="preserve"> _xlfn.XLOOKUP(M21, Lookup_Tables!$M$2:$M$5,Lookup_Tables!$N$2:$N$5," ", -1)</f>
        <v>Early (2-5)</v>
      </c>
      <c r="R21" s="4">
        <f t="shared" si="1"/>
        <v>3.6666666666666665</v>
      </c>
      <c r="S21" t="str">
        <f xml:space="preserve"> _xlfn.XLOOKUP( E21, Lookup_Tables!$A$2:$A$6,Lookup_Tables!$B$2:$B$6," ", -1)</f>
        <v>Bachelor</v>
      </c>
      <c r="T21" t="str">
        <f>_xlfn.XLOOKUP(G21,Lookup_Tables!$D$2:$D$5,Lookup_Tables!$E$2:$E$5)</f>
        <v>Very High</v>
      </c>
      <c r="U21" t="str">
        <f>_xlfn.XLOOKUP(H21,Lookup_Tables!$D$2:$D$5,Lookup_Tables!$E$2:$E$5)</f>
        <v>Very High</v>
      </c>
      <c r="V21" t="str">
        <f>_xlfn.XLOOKUP(L21,Lookup_Tables!$D$2:$D$5,Lookup_Tables!$E$2:$E$5)</f>
        <v>High</v>
      </c>
    </row>
    <row r="22" spans="1:22">
      <c r="A22">
        <f>RAW_DATA!A22</f>
        <v>24</v>
      </c>
      <c r="B22" t="str">
        <f>RAW_DATA!B22</f>
        <v>No</v>
      </c>
      <c r="C22" t="str">
        <f>RAW_DATA!C22</f>
        <v>Research &amp; Development</v>
      </c>
      <c r="D22">
        <f>RAW_DATA!D22</f>
        <v>11</v>
      </c>
      <c r="E22">
        <f>RAW_DATA!E22</f>
        <v>2</v>
      </c>
      <c r="F22" t="str">
        <f>RAW_DATA!F22</f>
        <v>Other</v>
      </c>
      <c r="G22">
        <f>RAW_DATA!G22</f>
        <v>1</v>
      </c>
      <c r="H22">
        <f>RAW_DATA!H22</f>
        <v>3</v>
      </c>
      <c r="I22" t="str">
        <f>RAW_DATA!I22</f>
        <v>Divorced</v>
      </c>
      <c r="J22">
        <f>RAW_DATA!J22</f>
        <v>4011</v>
      </c>
      <c r="K22">
        <f>RAW_DATA!K22</f>
        <v>0</v>
      </c>
      <c r="L22">
        <f>RAW_DATA!L22</f>
        <v>2</v>
      </c>
      <c r="M22">
        <f>RAW_DATA!M22</f>
        <v>4</v>
      </c>
      <c r="N22">
        <f t="shared" si="0"/>
        <v>0</v>
      </c>
      <c r="O22" t="str">
        <f xml:space="preserve"> VLOOKUP(A22, Lookup_Tables!$G$2:$H$6,2,TRUE)</f>
        <v>&lt;25</v>
      </c>
      <c r="P22" t="str">
        <f>_xlfn.XLOOKUP(J22,Lookup_Tables!$J$2:$J$4,Lookup_Tables!$K$2:$K$4, " ",-1)</f>
        <v>Medium</v>
      </c>
      <c r="Q22" t="str">
        <f xml:space="preserve"> _xlfn.XLOOKUP(M22, Lookup_Tables!$M$2:$M$5,Lookup_Tables!$N$2:$N$5," ", -1)</f>
        <v>Early (2-5)</v>
      </c>
      <c r="R22" s="4">
        <f t="shared" si="1"/>
        <v>2</v>
      </c>
      <c r="S22" t="str">
        <f xml:space="preserve"> _xlfn.XLOOKUP( E22, Lookup_Tables!$A$2:$A$6,Lookup_Tables!$B$2:$B$6," ", -1)</f>
        <v>College</v>
      </c>
      <c r="T22" t="str">
        <f>_xlfn.XLOOKUP(G22,Lookup_Tables!$D$2:$D$5,Lookup_Tables!$E$2:$E$5)</f>
        <v>Low</v>
      </c>
      <c r="U22" t="str">
        <f>_xlfn.XLOOKUP(H22,Lookup_Tables!$D$2:$D$5,Lookup_Tables!$E$2:$E$5)</f>
        <v>High</v>
      </c>
      <c r="V22" t="str">
        <f>_xlfn.XLOOKUP(L22,Lookup_Tables!$D$2:$D$5,Lookup_Tables!$E$2:$E$5)</f>
        <v>Medium</v>
      </c>
    </row>
    <row r="23" spans="1:22">
      <c r="A23">
        <f>RAW_DATA!A23</f>
        <v>36</v>
      </c>
      <c r="B23" t="str">
        <f>RAW_DATA!B23</f>
        <v>Yes</v>
      </c>
      <c r="C23" t="str">
        <f>RAW_DATA!C23</f>
        <v>Sales</v>
      </c>
      <c r="D23">
        <f>RAW_DATA!D23</f>
        <v>9</v>
      </c>
      <c r="E23">
        <f>RAW_DATA!E23</f>
        <v>4</v>
      </c>
      <c r="F23" t="str">
        <f>RAW_DATA!F23</f>
        <v>Life Sciences</v>
      </c>
      <c r="G23">
        <f>RAW_DATA!G23</f>
        <v>3</v>
      </c>
      <c r="H23">
        <f>RAW_DATA!H23</f>
        <v>1</v>
      </c>
      <c r="I23" t="str">
        <f>RAW_DATA!I23</f>
        <v>Single</v>
      </c>
      <c r="J23">
        <f>RAW_DATA!J23</f>
        <v>3407</v>
      </c>
      <c r="K23">
        <f>RAW_DATA!K23</f>
        <v>7</v>
      </c>
      <c r="L23">
        <f>RAW_DATA!L23</f>
        <v>3</v>
      </c>
      <c r="M23">
        <f>RAW_DATA!M23</f>
        <v>5</v>
      </c>
      <c r="N23">
        <f t="shared" si="0"/>
        <v>1</v>
      </c>
      <c r="O23" t="str">
        <f xml:space="preserve"> VLOOKUP(A23, Lookup_Tables!$G$2:$H$6,2,TRUE)</f>
        <v>35-44</v>
      </c>
      <c r="P23" t="str">
        <f>_xlfn.XLOOKUP(J23,Lookup_Tables!$J$2:$J$4,Lookup_Tables!$K$2:$K$4, " ",-1)</f>
        <v>Medium</v>
      </c>
      <c r="Q23" t="str">
        <f xml:space="preserve"> _xlfn.XLOOKUP(M23, Lookup_Tables!$M$2:$M$5,Lookup_Tables!$N$2:$N$5," ", -1)</f>
        <v>Established (5-10)</v>
      </c>
      <c r="R23" s="4">
        <f t="shared" si="1"/>
        <v>2.3333333333333335</v>
      </c>
      <c r="S23" t="str">
        <f xml:space="preserve"> _xlfn.XLOOKUP( E23, Lookup_Tables!$A$2:$A$6,Lookup_Tables!$B$2:$B$6," ", -1)</f>
        <v>Master</v>
      </c>
      <c r="T23" t="str">
        <f>_xlfn.XLOOKUP(G23,Lookup_Tables!$D$2:$D$5,Lookup_Tables!$E$2:$E$5)</f>
        <v>High</v>
      </c>
      <c r="U23" t="str">
        <f>_xlfn.XLOOKUP(H23,Lookup_Tables!$D$2:$D$5,Lookup_Tables!$E$2:$E$5)</f>
        <v>Low</v>
      </c>
      <c r="V23" t="str">
        <f>_xlfn.XLOOKUP(L23,Lookup_Tables!$D$2:$D$5,Lookup_Tables!$E$2:$E$5)</f>
        <v>High</v>
      </c>
    </row>
    <row r="24" spans="1:22">
      <c r="A24">
        <f>RAW_DATA!A24</f>
        <v>34</v>
      </c>
      <c r="B24" t="str">
        <f>RAW_DATA!B24</f>
        <v>No</v>
      </c>
      <c r="C24" t="str">
        <f>RAW_DATA!C24</f>
        <v>Research &amp; Development</v>
      </c>
      <c r="D24">
        <f>RAW_DATA!D24</f>
        <v>7</v>
      </c>
      <c r="E24">
        <f>RAW_DATA!E24</f>
        <v>4</v>
      </c>
      <c r="F24" t="str">
        <f>RAW_DATA!F24</f>
        <v>Life Sciences</v>
      </c>
      <c r="G24">
        <f>RAW_DATA!G24</f>
        <v>1</v>
      </c>
      <c r="H24">
        <f>RAW_DATA!H24</f>
        <v>2</v>
      </c>
      <c r="I24" t="str">
        <f>RAW_DATA!I24</f>
        <v>Single</v>
      </c>
      <c r="J24">
        <f>RAW_DATA!J24</f>
        <v>11994</v>
      </c>
      <c r="K24">
        <f>RAW_DATA!K24</f>
        <v>0</v>
      </c>
      <c r="L24">
        <f>RAW_DATA!L24</f>
        <v>3</v>
      </c>
      <c r="M24">
        <f>RAW_DATA!M24</f>
        <v>12</v>
      </c>
      <c r="N24">
        <f t="shared" si="0"/>
        <v>0</v>
      </c>
      <c r="O24" t="str">
        <f xml:space="preserve"> VLOOKUP(A24, Lookup_Tables!$G$2:$H$6,2,TRUE)</f>
        <v>25-34</v>
      </c>
      <c r="P24" t="str">
        <f>_xlfn.XLOOKUP(J24,Lookup_Tables!$J$2:$J$4,Lookup_Tables!$K$2:$K$4, " ",-1)</f>
        <v>High</v>
      </c>
      <c r="Q24" t="str">
        <f xml:space="preserve"> _xlfn.XLOOKUP(M24, Lookup_Tables!$M$2:$M$5,Lookup_Tables!$N$2:$N$5," ", -1)</f>
        <v>Veteran (10+)</v>
      </c>
      <c r="R24" s="4">
        <f t="shared" si="1"/>
        <v>2</v>
      </c>
      <c r="S24" t="str">
        <f xml:space="preserve"> _xlfn.XLOOKUP( E24, Lookup_Tables!$A$2:$A$6,Lookup_Tables!$B$2:$B$6," ", -1)</f>
        <v>Master</v>
      </c>
      <c r="T24" t="str">
        <f>_xlfn.XLOOKUP(G24,Lookup_Tables!$D$2:$D$5,Lookup_Tables!$E$2:$E$5)</f>
        <v>Low</v>
      </c>
      <c r="U24" t="str">
        <f>_xlfn.XLOOKUP(H24,Lookup_Tables!$D$2:$D$5,Lookup_Tables!$E$2:$E$5)</f>
        <v>Medium</v>
      </c>
      <c r="V24" t="str">
        <f>_xlfn.XLOOKUP(L24,Lookup_Tables!$D$2:$D$5,Lookup_Tables!$E$2:$E$5)</f>
        <v>High</v>
      </c>
    </row>
    <row r="25" spans="1:22">
      <c r="A25">
        <f>RAW_DATA!A25</f>
        <v>21</v>
      </c>
      <c r="B25" t="str">
        <f>RAW_DATA!B25</f>
        <v>No</v>
      </c>
      <c r="C25" t="str">
        <f>RAW_DATA!C25</f>
        <v>Research &amp; Development</v>
      </c>
      <c r="D25">
        <f>RAW_DATA!D25</f>
        <v>15</v>
      </c>
      <c r="E25">
        <f>RAW_DATA!E25</f>
        <v>2</v>
      </c>
      <c r="F25" t="str">
        <f>RAW_DATA!F25</f>
        <v>Life Sciences</v>
      </c>
      <c r="G25">
        <f>RAW_DATA!G25</f>
        <v>3</v>
      </c>
      <c r="H25">
        <f>RAW_DATA!H25</f>
        <v>4</v>
      </c>
      <c r="I25" t="str">
        <f>RAW_DATA!I25</f>
        <v>Single</v>
      </c>
      <c r="J25">
        <f>RAW_DATA!J25</f>
        <v>1232</v>
      </c>
      <c r="K25">
        <f>RAW_DATA!K25</f>
        <v>1</v>
      </c>
      <c r="L25">
        <f>RAW_DATA!L25</f>
        <v>3</v>
      </c>
      <c r="M25">
        <f>RAW_DATA!M25</f>
        <v>0</v>
      </c>
      <c r="N25">
        <f t="shared" si="0"/>
        <v>0</v>
      </c>
      <c r="O25" t="str">
        <f xml:space="preserve"> VLOOKUP(A25, Lookup_Tables!$G$2:$H$6,2,TRUE)</f>
        <v>&lt;25</v>
      </c>
      <c r="P25" t="str">
        <f>_xlfn.XLOOKUP(J25,Lookup_Tables!$J$2:$J$4,Lookup_Tables!$K$2:$K$4, " ",-1)</f>
        <v>Low</v>
      </c>
      <c r="Q25" t="str">
        <f xml:space="preserve"> _xlfn.XLOOKUP(M25, Lookup_Tables!$M$2:$M$5,Lookup_Tables!$N$2:$N$5," ", -1)</f>
        <v>New (0-2)</v>
      </c>
      <c r="R25" s="4">
        <f t="shared" si="1"/>
        <v>3.3333333333333335</v>
      </c>
      <c r="S25" t="str">
        <f xml:space="preserve"> _xlfn.XLOOKUP( E25, Lookup_Tables!$A$2:$A$6,Lookup_Tables!$B$2:$B$6," ", -1)</f>
        <v>College</v>
      </c>
      <c r="T25" t="str">
        <f>_xlfn.XLOOKUP(G25,Lookup_Tables!$D$2:$D$5,Lookup_Tables!$E$2:$E$5)</f>
        <v>High</v>
      </c>
      <c r="U25" t="str">
        <f>_xlfn.XLOOKUP(H25,Lookup_Tables!$D$2:$D$5,Lookup_Tables!$E$2:$E$5)</f>
        <v>Very High</v>
      </c>
      <c r="V25" t="str">
        <f>_xlfn.XLOOKUP(L25,Lookup_Tables!$D$2:$D$5,Lookup_Tables!$E$2:$E$5)</f>
        <v>High</v>
      </c>
    </row>
    <row r="26" spans="1:22">
      <c r="A26">
        <f>RAW_DATA!A26</f>
        <v>34</v>
      </c>
      <c r="B26" t="str">
        <f>RAW_DATA!B26</f>
        <v>Yes</v>
      </c>
      <c r="C26" t="str">
        <f>RAW_DATA!C26</f>
        <v>Research &amp; Development</v>
      </c>
      <c r="D26">
        <f>RAW_DATA!D26</f>
        <v>6</v>
      </c>
      <c r="E26">
        <f>RAW_DATA!E26</f>
        <v>1</v>
      </c>
      <c r="F26" t="str">
        <f>RAW_DATA!F26</f>
        <v>Medical</v>
      </c>
      <c r="G26">
        <f>RAW_DATA!G26</f>
        <v>2</v>
      </c>
      <c r="H26">
        <f>RAW_DATA!H26</f>
        <v>1</v>
      </c>
      <c r="I26" t="str">
        <f>RAW_DATA!I26</f>
        <v>Single</v>
      </c>
      <c r="J26">
        <f>RAW_DATA!J26</f>
        <v>2960</v>
      </c>
      <c r="K26">
        <f>RAW_DATA!K26</f>
        <v>2</v>
      </c>
      <c r="L26">
        <f>RAW_DATA!L26</f>
        <v>3</v>
      </c>
      <c r="M26">
        <f>RAW_DATA!M26</f>
        <v>4</v>
      </c>
      <c r="N26">
        <f t="shared" si="0"/>
        <v>1</v>
      </c>
      <c r="O26" t="str">
        <f xml:space="preserve"> VLOOKUP(A26, Lookup_Tables!$G$2:$H$6,2,TRUE)</f>
        <v>25-34</v>
      </c>
      <c r="P26" t="str">
        <f>_xlfn.XLOOKUP(J26,Lookup_Tables!$J$2:$J$4,Lookup_Tables!$K$2:$K$4, " ",-1)</f>
        <v>Low</v>
      </c>
      <c r="Q26" t="str">
        <f xml:space="preserve"> _xlfn.XLOOKUP(M26, Lookup_Tables!$M$2:$M$5,Lookup_Tables!$N$2:$N$5," ", -1)</f>
        <v>Early (2-5)</v>
      </c>
      <c r="R26" s="4">
        <f t="shared" si="1"/>
        <v>2</v>
      </c>
      <c r="S26" t="str">
        <f xml:space="preserve"> _xlfn.XLOOKUP( E26, Lookup_Tables!$A$2:$A$6,Lookup_Tables!$B$2:$B$6," ", -1)</f>
        <v>Below College</v>
      </c>
      <c r="T26" t="str">
        <f>_xlfn.XLOOKUP(G26,Lookup_Tables!$D$2:$D$5,Lookup_Tables!$E$2:$E$5)</f>
        <v>Medium</v>
      </c>
      <c r="U26" t="str">
        <f>_xlfn.XLOOKUP(H26,Lookup_Tables!$D$2:$D$5,Lookup_Tables!$E$2:$E$5)</f>
        <v>Low</v>
      </c>
      <c r="V26" t="str">
        <f>_xlfn.XLOOKUP(L26,Lookup_Tables!$D$2:$D$5,Lookup_Tables!$E$2:$E$5)</f>
        <v>High</v>
      </c>
    </row>
    <row r="27" spans="1:22">
      <c r="A27">
        <f>RAW_DATA!A27</f>
        <v>53</v>
      </c>
      <c r="B27" t="str">
        <f>RAW_DATA!B27</f>
        <v>No</v>
      </c>
      <c r="C27" t="str">
        <f>RAW_DATA!C27</f>
        <v>Research &amp; Development</v>
      </c>
      <c r="D27">
        <f>RAW_DATA!D27</f>
        <v>5</v>
      </c>
      <c r="E27">
        <f>RAW_DATA!E27</f>
        <v>3</v>
      </c>
      <c r="F27" t="str">
        <f>RAW_DATA!F27</f>
        <v>Other</v>
      </c>
      <c r="G27">
        <f>RAW_DATA!G27</f>
        <v>3</v>
      </c>
      <c r="H27">
        <f>RAW_DATA!H27</f>
        <v>3</v>
      </c>
      <c r="I27" t="str">
        <f>RAW_DATA!I27</f>
        <v>Divorced</v>
      </c>
      <c r="J27">
        <f>RAW_DATA!J27</f>
        <v>19094</v>
      </c>
      <c r="K27">
        <f>RAW_DATA!K27</f>
        <v>4</v>
      </c>
      <c r="L27">
        <f>RAW_DATA!L27</f>
        <v>2</v>
      </c>
      <c r="M27">
        <f>RAW_DATA!M27</f>
        <v>14</v>
      </c>
      <c r="N27">
        <f t="shared" si="0"/>
        <v>0</v>
      </c>
      <c r="O27" t="str">
        <f xml:space="preserve"> VLOOKUP(A27, Lookup_Tables!$G$2:$H$6,2,TRUE)</f>
        <v>45-54</v>
      </c>
      <c r="P27" t="str">
        <f>_xlfn.XLOOKUP(J27,Lookup_Tables!$J$2:$J$4,Lookup_Tables!$K$2:$K$4, " ",-1)</f>
        <v>High</v>
      </c>
      <c r="Q27" t="str">
        <f xml:space="preserve"> _xlfn.XLOOKUP(M27, Lookup_Tables!$M$2:$M$5,Lookup_Tables!$N$2:$N$5," ", -1)</f>
        <v>Veteran (10+)</v>
      </c>
      <c r="R27" s="4">
        <f t="shared" si="1"/>
        <v>2.6666666666666665</v>
      </c>
      <c r="S27" t="str">
        <f xml:space="preserve"> _xlfn.XLOOKUP( E27, Lookup_Tables!$A$2:$A$6,Lookup_Tables!$B$2:$B$6," ", -1)</f>
        <v>Bachelor</v>
      </c>
      <c r="T27" t="str">
        <f>_xlfn.XLOOKUP(G27,Lookup_Tables!$D$2:$D$5,Lookup_Tables!$E$2:$E$5)</f>
        <v>High</v>
      </c>
      <c r="U27" t="str">
        <f>_xlfn.XLOOKUP(H27,Lookup_Tables!$D$2:$D$5,Lookup_Tables!$E$2:$E$5)</f>
        <v>High</v>
      </c>
      <c r="V27" t="str">
        <f>_xlfn.XLOOKUP(L27,Lookup_Tables!$D$2:$D$5,Lookup_Tables!$E$2:$E$5)</f>
        <v>Medium</v>
      </c>
    </row>
    <row r="28" spans="1:22">
      <c r="A28">
        <f>RAW_DATA!A28</f>
        <v>32</v>
      </c>
      <c r="B28" t="str">
        <f>RAW_DATA!B28</f>
        <v>Yes</v>
      </c>
      <c r="C28" t="str">
        <f>RAW_DATA!C28</f>
        <v>Research &amp; Development</v>
      </c>
      <c r="D28">
        <f>RAW_DATA!D28</f>
        <v>16</v>
      </c>
      <c r="E28">
        <f>RAW_DATA!E28</f>
        <v>1</v>
      </c>
      <c r="F28" t="str">
        <f>RAW_DATA!F28</f>
        <v>Life Sciences</v>
      </c>
      <c r="G28">
        <f>RAW_DATA!G28</f>
        <v>2</v>
      </c>
      <c r="H28">
        <f>RAW_DATA!H28</f>
        <v>1</v>
      </c>
      <c r="I28" t="str">
        <f>RAW_DATA!I28</f>
        <v>Single</v>
      </c>
      <c r="J28">
        <f>RAW_DATA!J28</f>
        <v>3919</v>
      </c>
      <c r="K28">
        <f>RAW_DATA!K28</f>
        <v>1</v>
      </c>
      <c r="L28">
        <f>RAW_DATA!L28</f>
        <v>3</v>
      </c>
      <c r="M28">
        <f>RAW_DATA!M28</f>
        <v>10</v>
      </c>
      <c r="N28">
        <f t="shared" si="0"/>
        <v>1</v>
      </c>
      <c r="O28" t="str">
        <f xml:space="preserve"> VLOOKUP(A28, Lookup_Tables!$G$2:$H$6,2,TRUE)</f>
        <v>25-34</v>
      </c>
      <c r="P28" t="str">
        <f>_xlfn.XLOOKUP(J28,Lookup_Tables!$J$2:$J$4,Lookup_Tables!$K$2:$K$4, " ",-1)</f>
        <v>Medium</v>
      </c>
      <c r="Q28" t="str">
        <f xml:space="preserve"> _xlfn.XLOOKUP(M28, Lookup_Tables!$M$2:$M$5,Lookup_Tables!$N$2:$N$5," ", -1)</f>
        <v>Veteran (10+)</v>
      </c>
      <c r="R28" s="4">
        <f t="shared" si="1"/>
        <v>2</v>
      </c>
      <c r="S28" t="str">
        <f xml:space="preserve"> _xlfn.XLOOKUP( E28, Lookup_Tables!$A$2:$A$6,Lookup_Tables!$B$2:$B$6," ", -1)</f>
        <v>Below College</v>
      </c>
      <c r="T28" t="str">
        <f>_xlfn.XLOOKUP(G28,Lookup_Tables!$D$2:$D$5,Lookup_Tables!$E$2:$E$5)</f>
        <v>Medium</v>
      </c>
      <c r="U28" t="str">
        <f>_xlfn.XLOOKUP(H28,Lookup_Tables!$D$2:$D$5,Lookup_Tables!$E$2:$E$5)</f>
        <v>Low</v>
      </c>
      <c r="V28" t="str">
        <f>_xlfn.XLOOKUP(L28,Lookup_Tables!$D$2:$D$5,Lookup_Tables!$E$2:$E$5)</f>
        <v>High</v>
      </c>
    </row>
    <row r="29" spans="1:22">
      <c r="A29">
        <f>RAW_DATA!A29</f>
        <v>42</v>
      </c>
      <c r="B29" t="str">
        <f>RAW_DATA!B29</f>
        <v>No</v>
      </c>
      <c r="C29" t="str">
        <f>RAW_DATA!C29</f>
        <v>Sales</v>
      </c>
      <c r="D29">
        <f>RAW_DATA!D29</f>
        <v>8</v>
      </c>
      <c r="E29">
        <f>RAW_DATA!E29</f>
        <v>4</v>
      </c>
      <c r="F29" t="str">
        <f>RAW_DATA!F29</f>
        <v>Marketing</v>
      </c>
      <c r="G29">
        <f>RAW_DATA!G29</f>
        <v>3</v>
      </c>
      <c r="H29">
        <f>RAW_DATA!H29</f>
        <v>2</v>
      </c>
      <c r="I29" t="str">
        <f>RAW_DATA!I29</f>
        <v>Married</v>
      </c>
      <c r="J29">
        <f>RAW_DATA!J29</f>
        <v>6825</v>
      </c>
      <c r="K29">
        <f>RAW_DATA!K29</f>
        <v>0</v>
      </c>
      <c r="L29">
        <f>RAW_DATA!L29</f>
        <v>3</v>
      </c>
      <c r="M29">
        <f>RAW_DATA!M29</f>
        <v>9</v>
      </c>
      <c r="N29">
        <f t="shared" si="0"/>
        <v>0</v>
      </c>
      <c r="O29" t="str">
        <f xml:space="preserve"> VLOOKUP(A29, Lookup_Tables!$G$2:$H$6,2,TRUE)</f>
        <v>35-44</v>
      </c>
      <c r="P29" t="str">
        <f>_xlfn.XLOOKUP(J29,Lookup_Tables!$J$2:$J$4,Lookup_Tables!$K$2:$K$4, " ",-1)</f>
        <v>Medium</v>
      </c>
      <c r="Q29" t="str">
        <f xml:space="preserve"> _xlfn.XLOOKUP(M29, Lookup_Tables!$M$2:$M$5,Lookup_Tables!$N$2:$N$5," ", -1)</f>
        <v>Established (5-10)</v>
      </c>
      <c r="R29" s="4">
        <f t="shared" si="1"/>
        <v>2.6666666666666665</v>
      </c>
      <c r="S29" t="str">
        <f xml:space="preserve"> _xlfn.XLOOKUP( E29, Lookup_Tables!$A$2:$A$6,Lookup_Tables!$B$2:$B$6," ", -1)</f>
        <v>Master</v>
      </c>
      <c r="T29" t="str">
        <f>_xlfn.XLOOKUP(G29,Lookup_Tables!$D$2:$D$5,Lookup_Tables!$E$2:$E$5)</f>
        <v>High</v>
      </c>
      <c r="U29" t="str">
        <f>_xlfn.XLOOKUP(H29,Lookup_Tables!$D$2:$D$5,Lookup_Tables!$E$2:$E$5)</f>
        <v>Medium</v>
      </c>
      <c r="V29" t="str">
        <f>_xlfn.XLOOKUP(L29,Lookup_Tables!$D$2:$D$5,Lookup_Tables!$E$2:$E$5)</f>
        <v>High</v>
      </c>
    </row>
    <row r="30" spans="1:22">
      <c r="A30">
        <f>RAW_DATA!A30</f>
        <v>44</v>
      </c>
      <c r="B30" t="str">
        <f>RAW_DATA!B30</f>
        <v>No</v>
      </c>
      <c r="C30" t="str">
        <f>RAW_DATA!C30</f>
        <v>Research &amp; Development</v>
      </c>
      <c r="D30">
        <f>RAW_DATA!D30</f>
        <v>7</v>
      </c>
      <c r="E30">
        <f>RAW_DATA!E30</f>
        <v>4</v>
      </c>
      <c r="F30" t="str">
        <f>RAW_DATA!F30</f>
        <v>Medical</v>
      </c>
      <c r="G30">
        <f>RAW_DATA!G30</f>
        <v>1</v>
      </c>
      <c r="H30">
        <f>RAW_DATA!H30</f>
        <v>4</v>
      </c>
      <c r="I30" t="str">
        <f>RAW_DATA!I30</f>
        <v>Married</v>
      </c>
      <c r="J30">
        <f>RAW_DATA!J30</f>
        <v>10248</v>
      </c>
      <c r="K30">
        <f>RAW_DATA!K30</f>
        <v>3</v>
      </c>
      <c r="L30">
        <f>RAW_DATA!L30</f>
        <v>3</v>
      </c>
      <c r="M30">
        <f>RAW_DATA!M30</f>
        <v>22</v>
      </c>
      <c r="N30">
        <f t="shared" si="0"/>
        <v>0</v>
      </c>
      <c r="O30" t="str">
        <f xml:space="preserve"> VLOOKUP(A30, Lookup_Tables!$G$2:$H$6,2,TRUE)</f>
        <v>35-44</v>
      </c>
      <c r="P30" t="str">
        <f>_xlfn.XLOOKUP(J30,Lookup_Tables!$J$2:$J$4,Lookup_Tables!$K$2:$K$4, " ",-1)</f>
        <v>High</v>
      </c>
      <c r="Q30" t="str">
        <f xml:space="preserve"> _xlfn.XLOOKUP(M30, Lookup_Tables!$M$2:$M$5,Lookup_Tables!$N$2:$N$5," ", -1)</f>
        <v>Veteran (10+)</v>
      </c>
      <c r="R30" s="4">
        <f t="shared" si="1"/>
        <v>2.6666666666666665</v>
      </c>
      <c r="S30" t="str">
        <f xml:space="preserve"> _xlfn.XLOOKUP( E30, Lookup_Tables!$A$2:$A$6,Lookup_Tables!$B$2:$B$6," ", -1)</f>
        <v>Master</v>
      </c>
      <c r="T30" t="str">
        <f>_xlfn.XLOOKUP(G30,Lookup_Tables!$D$2:$D$5,Lookup_Tables!$E$2:$E$5)</f>
        <v>Low</v>
      </c>
      <c r="U30" t="str">
        <f>_xlfn.XLOOKUP(H30,Lookup_Tables!$D$2:$D$5,Lookup_Tables!$E$2:$E$5)</f>
        <v>Very High</v>
      </c>
      <c r="V30" t="str">
        <f>_xlfn.XLOOKUP(L30,Lookup_Tables!$D$2:$D$5,Lookup_Tables!$E$2:$E$5)</f>
        <v>High</v>
      </c>
    </row>
    <row r="31" spans="1:22">
      <c r="A31">
        <f>RAW_DATA!A31</f>
        <v>46</v>
      </c>
      <c r="B31" t="str">
        <f>RAW_DATA!B31</f>
        <v>No</v>
      </c>
      <c r="C31" t="str">
        <f>RAW_DATA!C31</f>
        <v>Sales</v>
      </c>
      <c r="D31">
        <f>RAW_DATA!D31</f>
        <v>2</v>
      </c>
      <c r="E31">
        <f>RAW_DATA!E31</f>
        <v>4</v>
      </c>
      <c r="F31" t="str">
        <f>RAW_DATA!F31</f>
        <v>Marketing</v>
      </c>
      <c r="G31">
        <f>RAW_DATA!G31</f>
        <v>2</v>
      </c>
      <c r="H31">
        <f>RAW_DATA!H31</f>
        <v>1</v>
      </c>
      <c r="I31" t="str">
        <f>RAW_DATA!I31</f>
        <v>Single</v>
      </c>
      <c r="J31">
        <f>RAW_DATA!J31</f>
        <v>18947</v>
      </c>
      <c r="K31">
        <f>RAW_DATA!K31</f>
        <v>3</v>
      </c>
      <c r="L31">
        <f>RAW_DATA!L31</f>
        <v>2</v>
      </c>
      <c r="M31">
        <f>RAW_DATA!M31</f>
        <v>2</v>
      </c>
      <c r="N31">
        <f t="shared" si="0"/>
        <v>0</v>
      </c>
      <c r="O31" t="str">
        <f xml:space="preserve"> VLOOKUP(A31, Lookup_Tables!$G$2:$H$6,2,TRUE)</f>
        <v>45-54</v>
      </c>
      <c r="P31" t="str">
        <f>_xlfn.XLOOKUP(J31,Lookup_Tables!$J$2:$J$4,Lookup_Tables!$K$2:$K$4, " ",-1)</f>
        <v>High</v>
      </c>
      <c r="Q31" t="str">
        <f xml:space="preserve"> _xlfn.XLOOKUP(M31, Lookup_Tables!$M$2:$M$5,Lookup_Tables!$N$2:$N$5," ", -1)</f>
        <v>Early (2-5)</v>
      </c>
      <c r="R31" s="4">
        <f t="shared" si="1"/>
        <v>1.6666666666666667</v>
      </c>
      <c r="S31" t="str">
        <f xml:space="preserve"> _xlfn.XLOOKUP( E31, Lookup_Tables!$A$2:$A$6,Lookup_Tables!$B$2:$B$6," ", -1)</f>
        <v>Master</v>
      </c>
      <c r="T31" t="str">
        <f>_xlfn.XLOOKUP(G31,Lookup_Tables!$D$2:$D$5,Lookup_Tables!$E$2:$E$5)</f>
        <v>Medium</v>
      </c>
      <c r="U31" t="str">
        <f>_xlfn.XLOOKUP(H31,Lookup_Tables!$D$2:$D$5,Lookup_Tables!$E$2:$E$5)</f>
        <v>Low</v>
      </c>
      <c r="V31" t="str">
        <f>_xlfn.XLOOKUP(L31,Lookup_Tables!$D$2:$D$5,Lookup_Tables!$E$2:$E$5)</f>
        <v>Medium</v>
      </c>
    </row>
    <row r="32" spans="1:22">
      <c r="A32">
        <f>RAW_DATA!A32</f>
        <v>33</v>
      </c>
      <c r="B32" t="str">
        <f>RAW_DATA!B32</f>
        <v>No</v>
      </c>
      <c r="C32" t="str">
        <f>RAW_DATA!C32</f>
        <v>Research &amp; Development</v>
      </c>
      <c r="D32">
        <f>RAW_DATA!D32</f>
        <v>2</v>
      </c>
      <c r="E32">
        <f>RAW_DATA!E32</f>
        <v>3</v>
      </c>
      <c r="F32" t="str">
        <f>RAW_DATA!F32</f>
        <v>Medical</v>
      </c>
      <c r="G32">
        <f>RAW_DATA!G32</f>
        <v>3</v>
      </c>
      <c r="H32">
        <f>RAW_DATA!H32</f>
        <v>4</v>
      </c>
      <c r="I32" t="str">
        <f>RAW_DATA!I32</f>
        <v>Single</v>
      </c>
      <c r="J32">
        <f>RAW_DATA!J32</f>
        <v>2496</v>
      </c>
      <c r="K32">
        <f>RAW_DATA!K32</f>
        <v>4</v>
      </c>
      <c r="L32">
        <f>RAW_DATA!L32</f>
        <v>3</v>
      </c>
      <c r="M32">
        <f>RAW_DATA!M32</f>
        <v>1</v>
      </c>
      <c r="N32">
        <f t="shared" si="0"/>
        <v>0</v>
      </c>
      <c r="O32" t="str">
        <f xml:space="preserve"> VLOOKUP(A32, Lookup_Tables!$G$2:$H$6,2,TRUE)</f>
        <v>25-34</v>
      </c>
      <c r="P32" t="str">
        <f>_xlfn.XLOOKUP(J32,Lookup_Tables!$J$2:$J$4,Lookup_Tables!$K$2:$K$4, " ",-1)</f>
        <v>Low</v>
      </c>
      <c r="Q32" t="str">
        <f xml:space="preserve"> _xlfn.XLOOKUP(M32, Lookup_Tables!$M$2:$M$5,Lookup_Tables!$N$2:$N$5," ", -1)</f>
        <v>New (0-2)</v>
      </c>
      <c r="R32" s="4">
        <f t="shared" si="1"/>
        <v>3.3333333333333335</v>
      </c>
      <c r="S32" t="str">
        <f xml:space="preserve"> _xlfn.XLOOKUP( E32, Lookup_Tables!$A$2:$A$6,Lookup_Tables!$B$2:$B$6," ", -1)</f>
        <v>Bachelor</v>
      </c>
      <c r="T32" t="str">
        <f>_xlfn.XLOOKUP(G32,Lookup_Tables!$D$2:$D$5,Lookup_Tables!$E$2:$E$5)</f>
        <v>High</v>
      </c>
      <c r="U32" t="str">
        <f>_xlfn.XLOOKUP(H32,Lookup_Tables!$D$2:$D$5,Lookup_Tables!$E$2:$E$5)</f>
        <v>Very High</v>
      </c>
      <c r="V32" t="str">
        <f>_xlfn.XLOOKUP(L32,Lookup_Tables!$D$2:$D$5,Lookup_Tables!$E$2:$E$5)</f>
        <v>High</v>
      </c>
    </row>
    <row r="33" spans="1:22">
      <c r="A33">
        <f>RAW_DATA!A33</f>
        <v>44</v>
      </c>
      <c r="B33" t="str">
        <f>RAW_DATA!B33</f>
        <v>No</v>
      </c>
      <c r="C33" t="str">
        <f>RAW_DATA!C33</f>
        <v>Research &amp; Development</v>
      </c>
      <c r="D33">
        <f>RAW_DATA!D33</f>
        <v>10</v>
      </c>
      <c r="E33">
        <f>RAW_DATA!E33</f>
        <v>4</v>
      </c>
      <c r="F33" t="str">
        <f>RAW_DATA!F33</f>
        <v>Other</v>
      </c>
      <c r="G33">
        <f>RAW_DATA!G33</f>
        <v>4</v>
      </c>
      <c r="H33">
        <f>RAW_DATA!H33</f>
        <v>4</v>
      </c>
      <c r="I33" t="str">
        <f>RAW_DATA!I33</f>
        <v>Married</v>
      </c>
      <c r="J33">
        <f>RAW_DATA!J33</f>
        <v>6465</v>
      </c>
      <c r="K33">
        <f>RAW_DATA!K33</f>
        <v>2</v>
      </c>
      <c r="L33">
        <f>RAW_DATA!L33</f>
        <v>4</v>
      </c>
      <c r="M33">
        <f>RAW_DATA!M33</f>
        <v>4</v>
      </c>
      <c r="N33">
        <f t="shared" si="0"/>
        <v>0</v>
      </c>
      <c r="O33" t="str">
        <f xml:space="preserve"> VLOOKUP(A33, Lookup_Tables!$G$2:$H$6,2,TRUE)</f>
        <v>35-44</v>
      </c>
      <c r="P33" t="str">
        <f>_xlfn.XLOOKUP(J33,Lookup_Tables!$J$2:$J$4,Lookup_Tables!$K$2:$K$4, " ",-1)</f>
        <v>Medium</v>
      </c>
      <c r="Q33" t="str">
        <f xml:space="preserve"> _xlfn.XLOOKUP(M33, Lookup_Tables!$M$2:$M$5,Lookup_Tables!$N$2:$N$5," ", -1)</f>
        <v>Early (2-5)</v>
      </c>
      <c r="R33" s="4">
        <f t="shared" si="1"/>
        <v>4</v>
      </c>
      <c r="S33" t="str">
        <f xml:space="preserve"> _xlfn.XLOOKUP( E33, Lookup_Tables!$A$2:$A$6,Lookup_Tables!$B$2:$B$6," ", -1)</f>
        <v>Master</v>
      </c>
      <c r="T33" t="str">
        <f>_xlfn.XLOOKUP(G33,Lookup_Tables!$D$2:$D$5,Lookup_Tables!$E$2:$E$5)</f>
        <v>Very High</v>
      </c>
      <c r="U33" t="str">
        <f>_xlfn.XLOOKUP(H33,Lookup_Tables!$D$2:$D$5,Lookup_Tables!$E$2:$E$5)</f>
        <v>Very High</v>
      </c>
      <c r="V33" t="str">
        <f>_xlfn.XLOOKUP(L33,Lookup_Tables!$D$2:$D$5,Lookup_Tables!$E$2:$E$5)</f>
        <v>Very High</v>
      </c>
    </row>
    <row r="34" spans="1:22">
      <c r="A34">
        <f>RAW_DATA!A34</f>
        <v>30</v>
      </c>
      <c r="B34" t="str">
        <f>RAW_DATA!B34</f>
        <v>No</v>
      </c>
      <c r="C34" t="str">
        <f>RAW_DATA!C34</f>
        <v>Research &amp; Development</v>
      </c>
      <c r="D34">
        <f>RAW_DATA!D34</f>
        <v>9</v>
      </c>
      <c r="E34">
        <f>RAW_DATA!E34</f>
        <v>2</v>
      </c>
      <c r="F34" t="str">
        <f>RAW_DATA!F34</f>
        <v>Medical</v>
      </c>
      <c r="G34">
        <f>RAW_DATA!G34</f>
        <v>4</v>
      </c>
      <c r="H34">
        <f>RAW_DATA!H34</f>
        <v>3</v>
      </c>
      <c r="I34" t="str">
        <f>RAW_DATA!I34</f>
        <v>Single</v>
      </c>
      <c r="J34">
        <f>RAW_DATA!J34</f>
        <v>2206</v>
      </c>
      <c r="K34">
        <f>RAW_DATA!K34</f>
        <v>1</v>
      </c>
      <c r="L34">
        <f>RAW_DATA!L34</f>
        <v>3</v>
      </c>
      <c r="M34">
        <f>RAW_DATA!M34</f>
        <v>10</v>
      </c>
      <c r="N34">
        <f t="shared" si="0"/>
        <v>0</v>
      </c>
      <c r="O34" t="str">
        <f xml:space="preserve"> VLOOKUP(A34, Lookup_Tables!$G$2:$H$6,2,TRUE)</f>
        <v>25-34</v>
      </c>
      <c r="P34" t="str">
        <f>_xlfn.XLOOKUP(J34,Lookup_Tables!$J$2:$J$4,Lookup_Tables!$K$2:$K$4, " ",-1)</f>
        <v>Low</v>
      </c>
      <c r="Q34" t="str">
        <f xml:space="preserve"> _xlfn.XLOOKUP(M34, Lookup_Tables!$M$2:$M$5,Lookup_Tables!$N$2:$N$5," ", -1)</f>
        <v>Veteran (10+)</v>
      </c>
      <c r="R34" s="4">
        <f t="shared" si="1"/>
        <v>3.3333333333333335</v>
      </c>
      <c r="S34" t="str">
        <f xml:space="preserve"> _xlfn.XLOOKUP( E34, Lookup_Tables!$A$2:$A$6,Lookup_Tables!$B$2:$B$6," ", -1)</f>
        <v>College</v>
      </c>
      <c r="T34" t="str">
        <f>_xlfn.XLOOKUP(G34,Lookup_Tables!$D$2:$D$5,Lookup_Tables!$E$2:$E$5)</f>
        <v>Very High</v>
      </c>
      <c r="U34" t="str">
        <f>_xlfn.XLOOKUP(H34,Lookup_Tables!$D$2:$D$5,Lookup_Tables!$E$2:$E$5)</f>
        <v>High</v>
      </c>
      <c r="V34" t="str">
        <f>_xlfn.XLOOKUP(L34,Lookup_Tables!$D$2:$D$5,Lookup_Tables!$E$2:$E$5)</f>
        <v>High</v>
      </c>
    </row>
    <row r="35" spans="1:22">
      <c r="A35">
        <f>RAW_DATA!A35</f>
        <v>39</v>
      </c>
      <c r="B35" t="str">
        <f>RAW_DATA!B35</f>
        <v>Yes</v>
      </c>
      <c r="C35" t="str">
        <f>RAW_DATA!C35</f>
        <v>Sales</v>
      </c>
      <c r="D35">
        <f>RAW_DATA!D35</f>
        <v>5</v>
      </c>
      <c r="E35">
        <f>RAW_DATA!E35</f>
        <v>3</v>
      </c>
      <c r="F35" t="str">
        <f>RAW_DATA!F35</f>
        <v>Technical Degree</v>
      </c>
      <c r="G35">
        <f>RAW_DATA!G35</f>
        <v>4</v>
      </c>
      <c r="H35">
        <f>RAW_DATA!H35</f>
        <v>4</v>
      </c>
      <c r="I35" t="str">
        <f>RAW_DATA!I35</f>
        <v>Married</v>
      </c>
      <c r="J35">
        <f>RAW_DATA!J35</f>
        <v>2086</v>
      </c>
      <c r="K35">
        <f>RAW_DATA!K35</f>
        <v>3</v>
      </c>
      <c r="L35">
        <f>RAW_DATA!L35</f>
        <v>4</v>
      </c>
      <c r="M35">
        <f>RAW_DATA!M35</f>
        <v>1</v>
      </c>
      <c r="N35">
        <f t="shared" si="0"/>
        <v>1</v>
      </c>
      <c r="O35" t="str">
        <f xml:space="preserve"> VLOOKUP(A35, Lookup_Tables!$G$2:$H$6,2,TRUE)</f>
        <v>35-44</v>
      </c>
      <c r="P35" t="str">
        <f>_xlfn.XLOOKUP(J35,Lookup_Tables!$J$2:$J$4,Lookup_Tables!$K$2:$K$4, " ",-1)</f>
        <v>Low</v>
      </c>
      <c r="Q35" t="str">
        <f xml:space="preserve"> _xlfn.XLOOKUP(M35, Lookup_Tables!$M$2:$M$5,Lookup_Tables!$N$2:$N$5," ", -1)</f>
        <v>New (0-2)</v>
      </c>
      <c r="R35" s="4">
        <f t="shared" si="1"/>
        <v>4</v>
      </c>
      <c r="S35" t="str">
        <f xml:space="preserve"> _xlfn.XLOOKUP( E35, Lookup_Tables!$A$2:$A$6,Lookup_Tables!$B$2:$B$6," ", -1)</f>
        <v>Bachelor</v>
      </c>
      <c r="T35" t="str">
        <f>_xlfn.XLOOKUP(G35,Lookup_Tables!$D$2:$D$5,Lookup_Tables!$E$2:$E$5)</f>
        <v>Very High</v>
      </c>
      <c r="U35" t="str">
        <f>_xlfn.XLOOKUP(H35,Lookup_Tables!$D$2:$D$5,Lookup_Tables!$E$2:$E$5)</f>
        <v>Very High</v>
      </c>
      <c r="V35" t="str">
        <f>_xlfn.XLOOKUP(L35,Lookup_Tables!$D$2:$D$5,Lookup_Tables!$E$2:$E$5)</f>
        <v>Very High</v>
      </c>
    </row>
    <row r="36" spans="1:22">
      <c r="A36">
        <f>RAW_DATA!A36</f>
        <v>24</v>
      </c>
      <c r="B36" t="str">
        <f>RAW_DATA!B36</f>
        <v>Yes</v>
      </c>
      <c r="C36" t="str">
        <f>RAW_DATA!C36</f>
        <v>Research &amp; Development</v>
      </c>
      <c r="D36">
        <f>RAW_DATA!D36</f>
        <v>1</v>
      </c>
      <c r="E36">
        <f>RAW_DATA!E36</f>
        <v>3</v>
      </c>
      <c r="F36" t="str">
        <f>RAW_DATA!F36</f>
        <v>Medical</v>
      </c>
      <c r="G36">
        <f>RAW_DATA!G36</f>
        <v>2</v>
      </c>
      <c r="H36">
        <f>RAW_DATA!H36</f>
        <v>4</v>
      </c>
      <c r="I36" t="str">
        <f>RAW_DATA!I36</f>
        <v>Married</v>
      </c>
      <c r="J36">
        <f>RAW_DATA!J36</f>
        <v>2293</v>
      </c>
      <c r="K36">
        <f>RAW_DATA!K36</f>
        <v>2</v>
      </c>
      <c r="L36">
        <f>RAW_DATA!L36</f>
        <v>2</v>
      </c>
      <c r="M36">
        <f>RAW_DATA!M36</f>
        <v>2</v>
      </c>
      <c r="N36">
        <f t="shared" si="0"/>
        <v>1</v>
      </c>
      <c r="O36" t="str">
        <f xml:space="preserve"> VLOOKUP(A36, Lookup_Tables!$G$2:$H$6,2,TRUE)</f>
        <v>&lt;25</v>
      </c>
      <c r="P36" t="str">
        <f>_xlfn.XLOOKUP(J36,Lookup_Tables!$J$2:$J$4,Lookup_Tables!$K$2:$K$4, " ",-1)</f>
        <v>Low</v>
      </c>
      <c r="Q36" t="str">
        <f xml:space="preserve"> _xlfn.XLOOKUP(M36, Lookup_Tables!$M$2:$M$5,Lookup_Tables!$N$2:$N$5," ", -1)</f>
        <v>Early (2-5)</v>
      </c>
      <c r="R36" s="4">
        <f t="shared" si="1"/>
        <v>2.6666666666666665</v>
      </c>
      <c r="S36" t="str">
        <f xml:space="preserve"> _xlfn.XLOOKUP( E36, Lookup_Tables!$A$2:$A$6,Lookup_Tables!$B$2:$B$6," ", -1)</f>
        <v>Bachelor</v>
      </c>
      <c r="T36" t="str">
        <f>_xlfn.XLOOKUP(G36,Lookup_Tables!$D$2:$D$5,Lookup_Tables!$E$2:$E$5)</f>
        <v>Medium</v>
      </c>
      <c r="U36" t="str">
        <f>_xlfn.XLOOKUP(H36,Lookup_Tables!$D$2:$D$5,Lookup_Tables!$E$2:$E$5)</f>
        <v>Very High</v>
      </c>
      <c r="V36" t="str">
        <f>_xlfn.XLOOKUP(L36,Lookup_Tables!$D$2:$D$5,Lookup_Tables!$E$2:$E$5)</f>
        <v>Medium</v>
      </c>
    </row>
    <row r="37" spans="1:22">
      <c r="A37">
        <f>RAW_DATA!A37</f>
        <v>43</v>
      </c>
      <c r="B37" t="str">
        <f>RAW_DATA!B37</f>
        <v>No</v>
      </c>
      <c r="C37" t="str">
        <f>RAW_DATA!C37</f>
        <v>Research &amp; Development</v>
      </c>
      <c r="D37">
        <f>RAW_DATA!D37</f>
        <v>2</v>
      </c>
      <c r="E37">
        <f>RAW_DATA!E37</f>
        <v>2</v>
      </c>
      <c r="F37" t="str">
        <f>RAW_DATA!F37</f>
        <v>Medical</v>
      </c>
      <c r="G37">
        <f>RAW_DATA!G37</f>
        <v>4</v>
      </c>
      <c r="H37">
        <f>RAW_DATA!H37</f>
        <v>3</v>
      </c>
      <c r="I37" t="str">
        <f>RAW_DATA!I37</f>
        <v>Divorced</v>
      </c>
      <c r="J37">
        <f>RAW_DATA!J37</f>
        <v>2645</v>
      </c>
      <c r="K37">
        <f>RAW_DATA!K37</f>
        <v>1</v>
      </c>
      <c r="L37">
        <f>RAW_DATA!L37</f>
        <v>2</v>
      </c>
      <c r="M37">
        <f>RAW_DATA!M37</f>
        <v>5</v>
      </c>
      <c r="N37">
        <f t="shared" si="0"/>
        <v>0</v>
      </c>
      <c r="O37" t="str">
        <f xml:space="preserve"> VLOOKUP(A37, Lookup_Tables!$G$2:$H$6,2,TRUE)</f>
        <v>35-44</v>
      </c>
      <c r="P37" t="str">
        <f>_xlfn.XLOOKUP(J37,Lookup_Tables!$J$2:$J$4,Lookup_Tables!$K$2:$K$4, " ",-1)</f>
        <v>Low</v>
      </c>
      <c r="Q37" t="str">
        <f xml:space="preserve"> _xlfn.XLOOKUP(M37, Lookup_Tables!$M$2:$M$5,Lookup_Tables!$N$2:$N$5," ", -1)</f>
        <v>Established (5-10)</v>
      </c>
      <c r="R37" s="4">
        <f t="shared" si="1"/>
        <v>3</v>
      </c>
      <c r="S37" t="str">
        <f xml:space="preserve"> _xlfn.XLOOKUP( E37, Lookup_Tables!$A$2:$A$6,Lookup_Tables!$B$2:$B$6," ", -1)</f>
        <v>College</v>
      </c>
      <c r="T37" t="str">
        <f>_xlfn.XLOOKUP(G37,Lookup_Tables!$D$2:$D$5,Lookup_Tables!$E$2:$E$5)</f>
        <v>Very High</v>
      </c>
      <c r="U37" t="str">
        <f>_xlfn.XLOOKUP(H37,Lookup_Tables!$D$2:$D$5,Lookup_Tables!$E$2:$E$5)</f>
        <v>High</v>
      </c>
      <c r="V37" t="str">
        <f>_xlfn.XLOOKUP(L37,Lookup_Tables!$D$2:$D$5,Lookup_Tables!$E$2:$E$5)</f>
        <v>Medium</v>
      </c>
    </row>
    <row r="38" spans="1:22">
      <c r="A38">
        <f>RAW_DATA!A38</f>
        <v>50</v>
      </c>
      <c r="B38" t="str">
        <f>RAW_DATA!B38</f>
        <v>Yes</v>
      </c>
      <c r="C38" t="str">
        <f>RAW_DATA!C38</f>
        <v>Sales</v>
      </c>
      <c r="D38">
        <f>RAW_DATA!D38</f>
        <v>3</v>
      </c>
      <c r="E38">
        <f>RAW_DATA!E38</f>
        <v>2</v>
      </c>
      <c r="F38" t="str">
        <f>RAW_DATA!F38</f>
        <v>Marketing</v>
      </c>
      <c r="G38">
        <f>RAW_DATA!G38</f>
        <v>1</v>
      </c>
      <c r="H38">
        <f>RAW_DATA!H38</f>
        <v>3</v>
      </c>
      <c r="I38" t="str">
        <f>RAW_DATA!I38</f>
        <v>Married</v>
      </c>
      <c r="J38">
        <f>RAW_DATA!J38</f>
        <v>2683</v>
      </c>
      <c r="K38">
        <f>RAW_DATA!K38</f>
        <v>1</v>
      </c>
      <c r="L38">
        <f>RAW_DATA!L38</f>
        <v>3</v>
      </c>
      <c r="M38">
        <f>RAW_DATA!M38</f>
        <v>3</v>
      </c>
      <c r="N38">
        <f t="shared" si="0"/>
        <v>1</v>
      </c>
      <c r="O38" t="str">
        <f xml:space="preserve"> VLOOKUP(A38, Lookup_Tables!$G$2:$H$6,2,TRUE)</f>
        <v>45-54</v>
      </c>
      <c r="P38" t="str">
        <f>_xlfn.XLOOKUP(J38,Lookup_Tables!$J$2:$J$4,Lookup_Tables!$K$2:$K$4, " ",-1)</f>
        <v>Low</v>
      </c>
      <c r="Q38" t="str">
        <f xml:space="preserve"> _xlfn.XLOOKUP(M38, Lookup_Tables!$M$2:$M$5,Lookup_Tables!$N$2:$N$5," ", -1)</f>
        <v>Early (2-5)</v>
      </c>
      <c r="R38" s="4">
        <f t="shared" si="1"/>
        <v>2.3333333333333335</v>
      </c>
      <c r="S38" t="str">
        <f xml:space="preserve"> _xlfn.XLOOKUP( E38, Lookup_Tables!$A$2:$A$6,Lookup_Tables!$B$2:$B$6," ", -1)</f>
        <v>College</v>
      </c>
      <c r="T38" t="str">
        <f>_xlfn.XLOOKUP(G38,Lookup_Tables!$D$2:$D$5,Lookup_Tables!$E$2:$E$5)</f>
        <v>Low</v>
      </c>
      <c r="U38" t="str">
        <f>_xlfn.XLOOKUP(H38,Lookup_Tables!$D$2:$D$5,Lookup_Tables!$E$2:$E$5)</f>
        <v>High</v>
      </c>
      <c r="V38" t="str">
        <f>_xlfn.XLOOKUP(L38,Lookup_Tables!$D$2:$D$5,Lookup_Tables!$E$2:$E$5)</f>
        <v>High</v>
      </c>
    </row>
    <row r="39" spans="1:22">
      <c r="A39">
        <f>RAW_DATA!A39</f>
        <v>35</v>
      </c>
      <c r="B39" t="str">
        <f>RAW_DATA!B39</f>
        <v>No</v>
      </c>
      <c r="C39" t="str">
        <f>RAW_DATA!C39</f>
        <v>Sales</v>
      </c>
      <c r="D39">
        <f>RAW_DATA!D39</f>
        <v>2</v>
      </c>
      <c r="E39">
        <f>RAW_DATA!E39</f>
        <v>3</v>
      </c>
      <c r="F39" t="str">
        <f>RAW_DATA!F39</f>
        <v>Marketing</v>
      </c>
      <c r="G39">
        <f>RAW_DATA!G39</f>
        <v>4</v>
      </c>
      <c r="H39">
        <f>RAW_DATA!H39</f>
        <v>4</v>
      </c>
      <c r="I39" t="str">
        <f>RAW_DATA!I39</f>
        <v>Married</v>
      </c>
      <c r="J39">
        <f>RAW_DATA!J39</f>
        <v>2014</v>
      </c>
      <c r="K39">
        <f>RAW_DATA!K39</f>
        <v>1</v>
      </c>
      <c r="L39">
        <f>RAW_DATA!L39</f>
        <v>3</v>
      </c>
      <c r="M39">
        <f>RAW_DATA!M39</f>
        <v>2</v>
      </c>
      <c r="N39">
        <f t="shared" si="0"/>
        <v>0</v>
      </c>
      <c r="O39" t="str">
        <f xml:space="preserve"> VLOOKUP(A39, Lookup_Tables!$G$2:$H$6,2,TRUE)</f>
        <v>35-44</v>
      </c>
      <c r="P39" t="str">
        <f>_xlfn.XLOOKUP(J39,Lookup_Tables!$J$2:$J$4,Lookup_Tables!$K$2:$K$4, " ",-1)</f>
        <v>Low</v>
      </c>
      <c r="Q39" t="str">
        <f xml:space="preserve"> _xlfn.XLOOKUP(M39, Lookup_Tables!$M$2:$M$5,Lookup_Tables!$N$2:$N$5," ", -1)</f>
        <v>Early (2-5)</v>
      </c>
      <c r="R39" s="4">
        <f t="shared" si="1"/>
        <v>3.6666666666666665</v>
      </c>
      <c r="S39" t="str">
        <f xml:space="preserve"> _xlfn.XLOOKUP( E39, Lookup_Tables!$A$2:$A$6,Lookup_Tables!$B$2:$B$6," ", -1)</f>
        <v>Bachelor</v>
      </c>
      <c r="T39" t="str">
        <f>_xlfn.XLOOKUP(G39,Lookup_Tables!$D$2:$D$5,Lookup_Tables!$E$2:$E$5)</f>
        <v>Very High</v>
      </c>
      <c r="U39" t="str">
        <f>_xlfn.XLOOKUP(H39,Lookup_Tables!$D$2:$D$5,Lookup_Tables!$E$2:$E$5)</f>
        <v>Very High</v>
      </c>
      <c r="V39" t="str">
        <f>_xlfn.XLOOKUP(L39,Lookup_Tables!$D$2:$D$5,Lookup_Tables!$E$2:$E$5)</f>
        <v>High</v>
      </c>
    </row>
    <row r="40" spans="1:22">
      <c r="A40">
        <f>RAW_DATA!A40</f>
        <v>36</v>
      </c>
      <c r="B40" t="str">
        <f>RAW_DATA!B40</f>
        <v>No</v>
      </c>
      <c r="C40" t="str">
        <f>RAW_DATA!C40</f>
        <v>Research &amp; Development</v>
      </c>
      <c r="D40">
        <f>RAW_DATA!D40</f>
        <v>5</v>
      </c>
      <c r="E40">
        <f>RAW_DATA!E40</f>
        <v>4</v>
      </c>
      <c r="F40" t="str">
        <f>RAW_DATA!F40</f>
        <v>Life Sciences</v>
      </c>
      <c r="G40">
        <f>RAW_DATA!G40</f>
        <v>2</v>
      </c>
      <c r="H40">
        <f>RAW_DATA!H40</f>
        <v>1</v>
      </c>
      <c r="I40" t="str">
        <f>RAW_DATA!I40</f>
        <v>Married</v>
      </c>
      <c r="J40">
        <f>RAW_DATA!J40</f>
        <v>3419</v>
      </c>
      <c r="K40">
        <f>RAW_DATA!K40</f>
        <v>9</v>
      </c>
      <c r="L40">
        <f>RAW_DATA!L40</f>
        <v>4</v>
      </c>
      <c r="M40">
        <f>RAW_DATA!M40</f>
        <v>1</v>
      </c>
      <c r="N40">
        <f t="shared" si="0"/>
        <v>0</v>
      </c>
      <c r="O40" t="str">
        <f xml:space="preserve"> VLOOKUP(A40, Lookup_Tables!$G$2:$H$6,2,TRUE)</f>
        <v>35-44</v>
      </c>
      <c r="P40" t="str">
        <f>_xlfn.XLOOKUP(J40,Lookup_Tables!$J$2:$J$4,Lookup_Tables!$K$2:$K$4, " ",-1)</f>
        <v>Medium</v>
      </c>
      <c r="Q40" t="str">
        <f xml:space="preserve"> _xlfn.XLOOKUP(M40, Lookup_Tables!$M$2:$M$5,Lookup_Tables!$N$2:$N$5," ", -1)</f>
        <v>New (0-2)</v>
      </c>
      <c r="R40" s="4">
        <f t="shared" si="1"/>
        <v>2.3333333333333335</v>
      </c>
      <c r="S40" t="str">
        <f xml:space="preserve"> _xlfn.XLOOKUP( E40, Lookup_Tables!$A$2:$A$6,Lookup_Tables!$B$2:$B$6," ", -1)</f>
        <v>Master</v>
      </c>
      <c r="T40" t="str">
        <f>_xlfn.XLOOKUP(G40,Lookup_Tables!$D$2:$D$5,Lookup_Tables!$E$2:$E$5)</f>
        <v>Medium</v>
      </c>
      <c r="U40" t="str">
        <f>_xlfn.XLOOKUP(H40,Lookup_Tables!$D$2:$D$5,Lookup_Tables!$E$2:$E$5)</f>
        <v>Low</v>
      </c>
      <c r="V40" t="str">
        <f>_xlfn.XLOOKUP(L40,Lookup_Tables!$D$2:$D$5,Lookup_Tables!$E$2:$E$5)</f>
        <v>Very High</v>
      </c>
    </row>
    <row r="41" spans="1:22">
      <c r="A41">
        <f>RAW_DATA!A41</f>
        <v>33</v>
      </c>
      <c r="B41" t="str">
        <f>RAW_DATA!B41</f>
        <v>No</v>
      </c>
      <c r="C41" t="str">
        <f>RAW_DATA!C41</f>
        <v>Sales</v>
      </c>
      <c r="D41">
        <f>RAW_DATA!D41</f>
        <v>1</v>
      </c>
      <c r="E41">
        <f>RAW_DATA!E41</f>
        <v>3</v>
      </c>
      <c r="F41" t="str">
        <f>RAW_DATA!F41</f>
        <v>Life Sciences</v>
      </c>
      <c r="G41">
        <f>RAW_DATA!G41</f>
        <v>3</v>
      </c>
      <c r="H41">
        <f>RAW_DATA!H41</f>
        <v>1</v>
      </c>
      <c r="I41" t="str">
        <f>RAW_DATA!I41</f>
        <v>Married</v>
      </c>
      <c r="J41">
        <f>RAW_DATA!J41</f>
        <v>5376</v>
      </c>
      <c r="K41">
        <f>RAW_DATA!K41</f>
        <v>2</v>
      </c>
      <c r="L41">
        <f>RAW_DATA!L41</f>
        <v>3</v>
      </c>
      <c r="M41">
        <f>RAW_DATA!M41</f>
        <v>5</v>
      </c>
      <c r="N41">
        <f t="shared" si="0"/>
        <v>0</v>
      </c>
      <c r="O41" t="str">
        <f xml:space="preserve"> VLOOKUP(A41, Lookup_Tables!$G$2:$H$6,2,TRUE)</f>
        <v>25-34</v>
      </c>
      <c r="P41" t="str">
        <f>_xlfn.XLOOKUP(J41,Lookup_Tables!$J$2:$J$4,Lookup_Tables!$K$2:$K$4, " ",-1)</f>
        <v>Medium</v>
      </c>
      <c r="Q41" t="str">
        <f xml:space="preserve"> _xlfn.XLOOKUP(M41, Lookup_Tables!$M$2:$M$5,Lookup_Tables!$N$2:$N$5," ", -1)</f>
        <v>Established (5-10)</v>
      </c>
      <c r="R41" s="4">
        <f t="shared" si="1"/>
        <v>2.3333333333333335</v>
      </c>
      <c r="S41" t="str">
        <f xml:space="preserve"> _xlfn.XLOOKUP( E41, Lookup_Tables!$A$2:$A$6,Lookup_Tables!$B$2:$B$6," ", -1)</f>
        <v>Bachelor</v>
      </c>
      <c r="T41" t="str">
        <f>_xlfn.XLOOKUP(G41,Lookup_Tables!$D$2:$D$5,Lookup_Tables!$E$2:$E$5)</f>
        <v>High</v>
      </c>
      <c r="U41" t="str">
        <f>_xlfn.XLOOKUP(H41,Lookup_Tables!$D$2:$D$5,Lookup_Tables!$E$2:$E$5)</f>
        <v>Low</v>
      </c>
      <c r="V41" t="str">
        <f>_xlfn.XLOOKUP(L41,Lookup_Tables!$D$2:$D$5,Lookup_Tables!$E$2:$E$5)</f>
        <v>High</v>
      </c>
    </row>
    <row r="42" spans="1:22">
      <c r="A42">
        <f>RAW_DATA!A42</f>
        <v>35</v>
      </c>
      <c r="B42" t="str">
        <f>RAW_DATA!B42</f>
        <v>No</v>
      </c>
      <c r="C42" t="str">
        <f>RAW_DATA!C42</f>
        <v>Research &amp; Development</v>
      </c>
      <c r="D42">
        <f>RAW_DATA!D42</f>
        <v>4</v>
      </c>
      <c r="E42">
        <f>RAW_DATA!E42</f>
        <v>2</v>
      </c>
      <c r="F42" t="str">
        <f>RAW_DATA!F42</f>
        <v>Other</v>
      </c>
      <c r="G42">
        <f>RAW_DATA!G42</f>
        <v>3</v>
      </c>
      <c r="H42">
        <f>RAW_DATA!H42</f>
        <v>4</v>
      </c>
      <c r="I42" t="str">
        <f>RAW_DATA!I42</f>
        <v>Divorced</v>
      </c>
      <c r="J42">
        <f>RAW_DATA!J42</f>
        <v>1951</v>
      </c>
      <c r="K42">
        <f>RAW_DATA!K42</f>
        <v>1</v>
      </c>
      <c r="L42">
        <f>RAW_DATA!L42</f>
        <v>3</v>
      </c>
      <c r="M42">
        <f>RAW_DATA!M42</f>
        <v>1</v>
      </c>
      <c r="N42">
        <f t="shared" si="0"/>
        <v>0</v>
      </c>
      <c r="O42" t="str">
        <f xml:space="preserve"> VLOOKUP(A42, Lookup_Tables!$G$2:$H$6,2,TRUE)</f>
        <v>35-44</v>
      </c>
      <c r="P42" t="str">
        <f>_xlfn.XLOOKUP(J42,Lookup_Tables!$J$2:$J$4,Lookup_Tables!$K$2:$K$4, " ",-1)</f>
        <v>Low</v>
      </c>
      <c r="Q42" t="str">
        <f xml:space="preserve"> _xlfn.XLOOKUP(M42, Lookup_Tables!$M$2:$M$5,Lookup_Tables!$N$2:$N$5," ", -1)</f>
        <v>New (0-2)</v>
      </c>
      <c r="R42" s="4">
        <f t="shared" si="1"/>
        <v>3.3333333333333335</v>
      </c>
      <c r="S42" t="str">
        <f xml:space="preserve"> _xlfn.XLOOKUP( E42, Lookup_Tables!$A$2:$A$6,Lookup_Tables!$B$2:$B$6," ", -1)</f>
        <v>College</v>
      </c>
      <c r="T42" t="str">
        <f>_xlfn.XLOOKUP(G42,Lookup_Tables!$D$2:$D$5,Lookup_Tables!$E$2:$E$5)</f>
        <v>High</v>
      </c>
      <c r="U42" t="str">
        <f>_xlfn.XLOOKUP(H42,Lookup_Tables!$D$2:$D$5,Lookup_Tables!$E$2:$E$5)</f>
        <v>Very High</v>
      </c>
      <c r="V42" t="str">
        <f>_xlfn.XLOOKUP(L42,Lookup_Tables!$D$2:$D$5,Lookup_Tables!$E$2:$E$5)</f>
        <v>High</v>
      </c>
    </row>
    <row r="43" spans="1:22">
      <c r="A43">
        <f>RAW_DATA!A43</f>
        <v>27</v>
      </c>
      <c r="B43" t="str">
        <f>RAW_DATA!B43</f>
        <v>No</v>
      </c>
      <c r="C43" t="str">
        <f>RAW_DATA!C43</f>
        <v>Research &amp; Development</v>
      </c>
      <c r="D43">
        <f>RAW_DATA!D43</f>
        <v>2</v>
      </c>
      <c r="E43">
        <f>RAW_DATA!E43</f>
        <v>4</v>
      </c>
      <c r="F43" t="str">
        <f>RAW_DATA!F43</f>
        <v>Life Sciences</v>
      </c>
      <c r="G43">
        <f>RAW_DATA!G43</f>
        <v>4</v>
      </c>
      <c r="H43">
        <f>RAW_DATA!H43</f>
        <v>1</v>
      </c>
      <c r="I43" t="str">
        <f>RAW_DATA!I43</f>
        <v>Divorced</v>
      </c>
      <c r="J43">
        <f>RAW_DATA!J43</f>
        <v>2341</v>
      </c>
      <c r="K43">
        <f>RAW_DATA!K43</f>
        <v>1</v>
      </c>
      <c r="L43">
        <f>RAW_DATA!L43</f>
        <v>3</v>
      </c>
      <c r="M43">
        <f>RAW_DATA!M43</f>
        <v>1</v>
      </c>
      <c r="N43">
        <f t="shared" si="0"/>
        <v>0</v>
      </c>
      <c r="O43" t="str">
        <f xml:space="preserve"> VLOOKUP(A43, Lookup_Tables!$G$2:$H$6,2,TRUE)</f>
        <v>25-34</v>
      </c>
      <c r="P43" t="str">
        <f>_xlfn.XLOOKUP(J43,Lookup_Tables!$J$2:$J$4,Lookup_Tables!$K$2:$K$4, " ",-1)</f>
        <v>Low</v>
      </c>
      <c r="Q43" t="str">
        <f xml:space="preserve"> _xlfn.XLOOKUP(M43, Lookup_Tables!$M$2:$M$5,Lookup_Tables!$N$2:$N$5," ", -1)</f>
        <v>New (0-2)</v>
      </c>
      <c r="R43" s="4">
        <f t="shared" si="1"/>
        <v>2.6666666666666665</v>
      </c>
      <c r="S43" t="str">
        <f xml:space="preserve"> _xlfn.XLOOKUP( E43, Lookup_Tables!$A$2:$A$6,Lookup_Tables!$B$2:$B$6," ", -1)</f>
        <v>Master</v>
      </c>
      <c r="T43" t="str">
        <f>_xlfn.XLOOKUP(G43,Lookup_Tables!$D$2:$D$5,Lookup_Tables!$E$2:$E$5)</f>
        <v>Very High</v>
      </c>
      <c r="U43" t="str">
        <f>_xlfn.XLOOKUP(H43,Lookup_Tables!$D$2:$D$5,Lookup_Tables!$E$2:$E$5)</f>
        <v>Low</v>
      </c>
      <c r="V43" t="str">
        <f>_xlfn.XLOOKUP(L43,Lookup_Tables!$D$2:$D$5,Lookup_Tables!$E$2:$E$5)</f>
        <v>High</v>
      </c>
    </row>
    <row r="44" spans="1:22">
      <c r="A44">
        <f>RAW_DATA!A44</f>
        <v>26</v>
      </c>
      <c r="B44" t="str">
        <f>RAW_DATA!B44</f>
        <v>Yes</v>
      </c>
      <c r="C44" t="str">
        <f>RAW_DATA!C44</f>
        <v>Research &amp; Development</v>
      </c>
      <c r="D44">
        <f>RAW_DATA!D44</f>
        <v>25</v>
      </c>
      <c r="E44">
        <f>RAW_DATA!E44</f>
        <v>3</v>
      </c>
      <c r="F44" t="str">
        <f>RAW_DATA!F44</f>
        <v>Life Sciences</v>
      </c>
      <c r="G44">
        <f>RAW_DATA!G44</f>
        <v>1</v>
      </c>
      <c r="H44">
        <f>RAW_DATA!H44</f>
        <v>3</v>
      </c>
      <c r="I44" t="str">
        <f>RAW_DATA!I44</f>
        <v>Single</v>
      </c>
      <c r="J44">
        <f>RAW_DATA!J44</f>
        <v>2293</v>
      </c>
      <c r="K44">
        <f>RAW_DATA!K44</f>
        <v>1</v>
      </c>
      <c r="L44">
        <f>RAW_DATA!L44</f>
        <v>2</v>
      </c>
      <c r="M44">
        <f>RAW_DATA!M44</f>
        <v>1</v>
      </c>
      <c r="N44">
        <f t="shared" si="0"/>
        <v>1</v>
      </c>
      <c r="O44" t="str">
        <f xml:space="preserve"> VLOOKUP(A44, Lookup_Tables!$G$2:$H$6,2,TRUE)</f>
        <v>25-34</v>
      </c>
      <c r="P44" t="str">
        <f>_xlfn.XLOOKUP(J44,Lookup_Tables!$J$2:$J$4,Lookup_Tables!$K$2:$K$4, " ",-1)</f>
        <v>Low</v>
      </c>
      <c r="Q44" t="str">
        <f xml:space="preserve"> _xlfn.XLOOKUP(M44, Lookup_Tables!$M$2:$M$5,Lookup_Tables!$N$2:$N$5," ", -1)</f>
        <v>New (0-2)</v>
      </c>
      <c r="R44" s="4">
        <f t="shared" si="1"/>
        <v>2</v>
      </c>
      <c r="S44" t="str">
        <f xml:space="preserve"> _xlfn.XLOOKUP( E44, Lookup_Tables!$A$2:$A$6,Lookup_Tables!$B$2:$B$6," ", -1)</f>
        <v>Bachelor</v>
      </c>
      <c r="T44" t="str">
        <f>_xlfn.XLOOKUP(G44,Lookup_Tables!$D$2:$D$5,Lookup_Tables!$E$2:$E$5)</f>
        <v>Low</v>
      </c>
      <c r="U44" t="str">
        <f>_xlfn.XLOOKUP(H44,Lookup_Tables!$D$2:$D$5,Lookup_Tables!$E$2:$E$5)</f>
        <v>High</v>
      </c>
      <c r="V44" t="str">
        <f>_xlfn.XLOOKUP(L44,Lookup_Tables!$D$2:$D$5,Lookup_Tables!$E$2:$E$5)</f>
        <v>Medium</v>
      </c>
    </row>
    <row r="45" spans="1:22">
      <c r="A45">
        <f>RAW_DATA!A45</f>
        <v>27</v>
      </c>
      <c r="B45" t="str">
        <f>RAW_DATA!B45</f>
        <v>No</v>
      </c>
      <c r="C45" t="str">
        <f>RAW_DATA!C45</f>
        <v>Sales</v>
      </c>
      <c r="D45">
        <f>RAW_DATA!D45</f>
        <v>8</v>
      </c>
      <c r="E45">
        <f>RAW_DATA!E45</f>
        <v>3</v>
      </c>
      <c r="F45" t="str">
        <f>RAW_DATA!F45</f>
        <v>Life Sciences</v>
      </c>
      <c r="G45">
        <f>RAW_DATA!G45</f>
        <v>4</v>
      </c>
      <c r="H45">
        <f>RAW_DATA!H45</f>
        <v>3</v>
      </c>
      <c r="I45" t="str">
        <f>RAW_DATA!I45</f>
        <v>Single</v>
      </c>
      <c r="J45">
        <f>RAW_DATA!J45</f>
        <v>8726</v>
      </c>
      <c r="K45">
        <f>RAW_DATA!K45</f>
        <v>1</v>
      </c>
      <c r="L45">
        <f>RAW_DATA!L45</f>
        <v>3</v>
      </c>
      <c r="M45">
        <f>RAW_DATA!M45</f>
        <v>9</v>
      </c>
      <c r="N45">
        <f t="shared" si="0"/>
        <v>0</v>
      </c>
      <c r="O45" t="str">
        <f xml:space="preserve"> VLOOKUP(A45, Lookup_Tables!$G$2:$H$6,2,TRUE)</f>
        <v>25-34</v>
      </c>
      <c r="P45" t="str">
        <f>_xlfn.XLOOKUP(J45,Lookup_Tables!$J$2:$J$4,Lookup_Tables!$K$2:$K$4, " ",-1)</f>
        <v>High</v>
      </c>
      <c r="Q45" t="str">
        <f xml:space="preserve"> _xlfn.XLOOKUP(M45, Lookup_Tables!$M$2:$M$5,Lookup_Tables!$N$2:$N$5," ", -1)</f>
        <v>Established (5-10)</v>
      </c>
      <c r="R45" s="4">
        <f t="shared" si="1"/>
        <v>3.3333333333333335</v>
      </c>
      <c r="S45" t="str">
        <f xml:space="preserve"> _xlfn.XLOOKUP( E45, Lookup_Tables!$A$2:$A$6,Lookup_Tables!$B$2:$B$6," ", -1)</f>
        <v>Bachelor</v>
      </c>
      <c r="T45" t="str">
        <f>_xlfn.XLOOKUP(G45,Lookup_Tables!$D$2:$D$5,Lookup_Tables!$E$2:$E$5)</f>
        <v>Very High</v>
      </c>
      <c r="U45" t="str">
        <f>_xlfn.XLOOKUP(H45,Lookup_Tables!$D$2:$D$5,Lookup_Tables!$E$2:$E$5)</f>
        <v>High</v>
      </c>
      <c r="V45" t="str">
        <f>_xlfn.XLOOKUP(L45,Lookup_Tables!$D$2:$D$5,Lookup_Tables!$E$2:$E$5)</f>
        <v>High</v>
      </c>
    </row>
    <row r="46" spans="1:22">
      <c r="A46">
        <f>RAW_DATA!A46</f>
        <v>30</v>
      </c>
      <c r="B46" t="str">
        <f>RAW_DATA!B46</f>
        <v>No</v>
      </c>
      <c r="C46" t="str">
        <f>RAW_DATA!C46</f>
        <v>Research &amp; Development</v>
      </c>
      <c r="D46">
        <f>RAW_DATA!D46</f>
        <v>1</v>
      </c>
      <c r="E46">
        <f>RAW_DATA!E46</f>
        <v>2</v>
      </c>
      <c r="F46" t="str">
        <f>RAW_DATA!F46</f>
        <v>Medical</v>
      </c>
      <c r="G46">
        <f>RAW_DATA!G46</f>
        <v>3</v>
      </c>
      <c r="H46">
        <f>RAW_DATA!H46</f>
        <v>4</v>
      </c>
      <c r="I46" t="str">
        <f>RAW_DATA!I46</f>
        <v>Single</v>
      </c>
      <c r="J46">
        <f>RAW_DATA!J46</f>
        <v>4011</v>
      </c>
      <c r="K46">
        <f>RAW_DATA!K46</f>
        <v>1</v>
      </c>
      <c r="L46">
        <f>RAW_DATA!L46</f>
        <v>3</v>
      </c>
      <c r="M46">
        <f>RAW_DATA!M46</f>
        <v>12</v>
      </c>
      <c r="N46">
        <f t="shared" si="0"/>
        <v>0</v>
      </c>
      <c r="O46" t="str">
        <f xml:space="preserve"> VLOOKUP(A46, Lookup_Tables!$G$2:$H$6,2,TRUE)</f>
        <v>25-34</v>
      </c>
      <c r="P46" t="str">
        <f>_xlfn.XLOOKUP(J46,Lookup_Tables!$J$2:$J$4,Lookup_Tables!$K$2:$K$4, " ",-1)</f>
        <v>Medium</v>
      </c>
      <c r="Q46" t="str">
        <f xml:space="preserve"> _xlfn.XLOOKUP(M46, Lookup_Tables!$M$2:$M$5,Lookup_Tables!$N$2:$N$5," ", -1)</f>
        <v>Veteran (10+)</v>
      </c>
      <c r="R46" s="4">
        <f t="shared" si="1"/>
        <v>3.3333333333333335</v>
      </c>
      <c r="S46" t="str">
        <f xml:space="preserve"> _xlfn.XLOOKUP( E46, Lookup_Tables!$A$2:$A$6,Lookup_Tables!$B$2:$B$6," ", -1)</f>
        <v>College</v>
      </c>
      <c r="T46" t="str">
        <f>_xlfn.XLOOKUP(G46,Lookup_Tables!$D$2:$D$5,Lookup_Tables!$E$2:$E$5)</f>
        <v>High</v>
      </c>
      <c r="U46" t="str">
        <f>_xlfn.XLOOKUP(H46,Lookup_Tables!$D$2:$D$5,Lookup_Tables!$E$2:$E$5)</f>
        <v>Very High</v>
      </c>
      <c r="V46" t="str">
        <f>_xlfn.XLOOKUP(L46,Lookup_Tables!$D$2:$D$5,Lookup_Tables!$E$2:$E$5)</f>
        <v>High</v>
      </c>
    </row>
    <row r="47" spans="1:22">
      <c r="A47">
        <f>RAW_DATA!A47</f>
        <v>41</v>
      </c>
      <c r="B47" t="str">
        <f>RAW_DATA!B47</f>
        <v>Yes</v>
      </c>
      <c r="C47" t="str">
        <f>RAW_DATA!C47</f>
        <v>Research &amp; Development</v>
      </c>
      <c r="D47">
        <f>RAW_DATA!D47</f>
        <v>12</v>
      </c>
      <c r="E47">
        <f>RAW_DATA!E47</f>
        <v>3</v>
      </c>
      <c r="F47" t="str">
        <f>RAW_DATA!F47</f>
        <v>Technical Degree</v>
      </c>
      <c r="G47">
        <f>RAW_DATA!G47</f>
        <v>2</v>
      </c>
      <c r="H47">
        <f>RAW_DATA!H47</f>
        <v>3</v>
      </c>
      <c r="I47" t="str">
        <f>RAW_DATA!I47</f>
        <v>Married</v>
      </c>
      <c r="J47">
        <f>RAW_DATA!J47</f>
        <v>19545</v>
      </c>
      <c r="K47">
        <f>RAW_DATA!K47</f>
        <v>1</v>
      </c>
      <c r="L47">
        <f>RAW_DATA!L47</f>
        <v>3</v>
      </c>
      <c r="M47">
        <f>RAW_DATA!M47</f>
        <v>22</v>
      </c>
      <c r="N47">
        <f t="shared" si="0"/>
        <v>1</v>
      </c>
      <c r="O47" t="str">
        <f xml:space="preserve"> VLOOKUP(A47, Lookup_Tables!$G$2:$H$6,2,TRUE)</f>
        <v>35-44</v>
      </c>
      <c r="P47" t="str">
        <f>_xlfn.XLOOKUP(J47,Lookup_Tables!$J$2:$J$4,Lookup_Tables!$K$2:$K$4, " ",-1)</f>
        <v>High</v>
      </c>
      <c r="Q47" t="str">
        <f xml:space="preserve"> _xlfn.XLOOKUP(M47, Lookup_Tables!$M$2:$M$5,Lookup_Tables!$N$2:$N$5," ", -1)</f>
        <v>Veteran (10+)</v>
      </c>
      <c r="R47" s="4">
        <f t="shared" si="1"/>
        <v>2.6666666666666665</v>
      </c>
      <c r="S47" t="str">
        <f xml:space="preserve"> _xlfn.XLOOKUP( E47, Lookup_Tables!$A$2:$A$6,Lookup_Tables!$B$2:$B$6," ", -1)</f>
        <v>Bachelor</v>
      </c>
      <c r="T47" t="str">
        <f>_xlfn.XLOOKUP(G47,Lookup_Tables!$D$2:$D$5,Lookup_Tables!$E$2:$E$5)</f>
        <v>Medium</v>
      </c>
      <c r="U47" t="str">
        <f>_xlfn.XLOOKUP(H47,Lookup_Tables!$D$2:$D$5,Lookup_Tables!$E$2:$E$5)</f>
        <v>High</v>
      </c>
      <c r="V47" t="str">
        <f>_xlfn.XLOOKUP(L47,Lookup_Tables!$D$2:$D$5,Lookup_Tables!$E$2:$E$5)</f>
        <v>High</v>
      </c>
    </row>
    <row r="48" spans="1:22">
      <c r="A48">
        <f>RAW_DATA!A48</f>
        <v>34</v>
      </c>
      <c r="B48" t="str">
        <f>RAW_DATA!B48</f>
        <v>No</v>
      </c>
      <c r="C48" t="str">
        <f>RAW_DATA!C48</f>
        <v>Sales</v>
      </c>
      <c r="D48">
        <f>RAW_DATA!D48</f>
        <v>23</v>
      </c>
      <c r="E48">
        <f>RAW_DATA!E48</f>
        <v>4</v>
      </c>
      <c r="F48" t="str">
        <f>RAW_DATA!F48</f>
        <v>Marketing</v>
      </c>
      <c r="G48">
        <f>RAW_DATA!G48</f>
        <v>2</v>
      </c>
      <c r="H48">
        <f>RAW_DATA!H48</f>
        <v>3</v>
      </c>
      <c r="I48" t="str">
        <f>RAW_DATA!I48</f>
        <v>Single</v>
      </c>
      <c r="J48">
        <f>RAW_DATA!J48</f>
        <v>4568</v>
      </c>
      <c r="K48">
        <f>RAW_DATA!K48</f>
        <v>0</v>
      </c>
      <c r="L48">
        <f>RAW_DATA!L48</f>
        <v>3</v>
      </c>
      <c r="M48">
        <f>RAW_DATA!M48</f>
        <v>9</v>
      </c>
      <c r="N48">
        <f t="shared" si="0"/>
        <v>0</v>
      </c>
      <c r="O48" t="str">
        <f xml:space="preserve"> VLOOKUP(A48, Lookup_Tables!$G$2:$H$6,2,TRUE)</f>
        <v>25-34</v>
      </c>
      <c r="P48" t="str">
        <f>_xlfn.XLOOKUP(J48,Lookup_Tables!$J$2:$J$4,Lookup_Tables!$K$2:$K$4, " ",-1)</f>
        <v>Medium</v>
      </c>
      <c r="Q48" t="str">
        <f xml:space="preserve"> _xlfn.XLOOKUP(M48, Lookup_Tables!$M$2:$M$5,Lookup_Tables!$N$2:$N$5," ", -1)</f>
        <v>Established (5-10)</v>
      </c>
      <c r="R48" s="4">
        <f t="shared" si="1"/>
        <v>2.6666666666666665</v>
      </c>
      <c r="S48" t="str">
        <f xml:space="preserve"> _xlfn.XLOOKUP( E48, Lookup_Tables!$A$2:$A$6,Lookup_Tables!$B$2:$B$6," ", -1)</f>
        <v>Master</v>
      </c>
      <c r="T48" t="str">
        <f>_xlfn.XLOOKUP(G48,Lookup_Tables!$D$2:$D$5,Lookup_Tables!$E$2:$E$5)</f>
        <v>Medium</v>
      </c>
      <c r="U48" t="str">
        <f>_xlfn.XLOOKUP(H48,Lookup_Tables!$D$2:$D$5,Lookup_Tables!$E$2:$E$5)</f>
        <v>High</v>
      </c>
      <c r="V48" t="str">
        <f>_xlfn.XLOOKUP(L48,Lookup_Tables!$D$2:$D$5,Lookup_Tables!$E$2:$E$5)</f>
        <v>High</v>
      </c>
    </row>
    <row r="49" spans="1:22">
      <c r="A49">
        <f>RAW_DATA!A49</f>
        <v>37</v>
      </c>
      <c r="B49" t="str">
        <f>RAW_DATA!B49</f>
        <v>No</v>
      </c>
      <c r="C49" t="str">
        <f>RAW_DATA!C49</f>
        <v>Research &amp; Development</v>
      </c>
      <c r="D49">
        <f>RAW_DATA!D49</f>
        <v>19</v>
      </c>
      <c r="E49">
        <f>RAW_DATA!E49</f>
        <v>2</v>
      </c>
      <c r="F49" t="str">
        <f>RAW_DATA!F49</f>
        <v>Life Sciences</v>
      </c>
      <c r="G49">
        <f>RAW_DATA!G49</f>
        <v>2</v>
      </c>
      <c r="H49">
        <f>RAW_DATA!H49</f>
        <v>2</v>
      </c>
      <c r="I49" t="str">
        <f>RAW_DATA!I49</f>
        <v>Married</v>
      </c>
      <c r="J49">
        <f>RAW_DATA!J49</f>
        <v>3022</v>
      </c>
      <c r="K49">
        <f>RAW_DATA!K49</f>
        <v>4</v>
      </c>
      <c r="L49">
        <f>RAW_DATA!L49</f>
        <v>3</v>
      </c>
      <c r="M49">
        <f>RAW_DATA!M49</f>
        <v>1</v>
      </c>
      <c r="N49">
        <f t="shared" si="0"/>
        <v>0</v>
      </c>
      <c r="O49" t="str">
        <f xml:space="preserve"> VLOOKUP(A49, Lookup_Tables!$G$2:$H$6,2,TRUE)</f>
        <v>35-44</v>
      </c>
      <c r="P49" t="str">
        <f>_xlfn.XLOOKUP(J49,Lookup_Tables!$J$2:$J$4,Lookup_Tables!$K$2:$K$4, " ",-1)</f>
        <v>Medium</v>
      </c>
      <c r="Q49" t="str">
        <f xml:space="preserve"> _xlfn.XLOOKUP(M49, Lookup_Tables!$M$2:$M$5,Lookup_Tables!$N$2:$N$5," ", -1)</f>
        <v>New (0-2)</v>
      </c>
      <c r="R49" s="4">
        <f t="shared" si="1"/>
        <v>2.3333333333333335</v>
      </c>
      <c r="S49" t="str">
        <f xml:space="preserve"> _xlfn.XLOOKUP( E49, Lookup_Tables!$A$2:$A$6,Lookup_Tables!$B$2:$B$6," ", -1)</f>
        <v>College</v>
      </c>
      <c r="T49" t="str">
        <f>_xlfn.XLOOKUP(G49,Lookup_Tables!$D$2:$D$5,Lookup_Tables!$E$2:$E$5)</f>
        <v>Medium</v>
      </c>
      <c r="U49" t="str">
        <f>_xlfn.XLOOKUP(H49,Lookup_Tables!$D$2:$D$5,Lookup_Tables!$E$2:$E$5)</f>
        <v>Medium</v>
      </c>
      <c r="V49" t="str">
        <f>_xlfn.XLOOKUP(L49,Lookup_Tables!$D$2:$D$5,Lookup_Tables!$E$2:$E$5)</f>
        <v>High</v>
      </c>
    </row>
    <row r="50" spans="1:22">
      <c r="A50">
        <f>RAW_DATA!A50</f>
        <v>46</v>
      </c>
      <c r="B50" t="str">
        <f>RAW_DATA!B50</f>
        <v>No</v>
      </c>
      <c r="C50" t="str">
        <f>RAW_DATA!C50</f>
        <v>Sales</v>
      </c>
      <c r="D50">
        <f>RAW_DATA!D50</f>
        <v>5</v>
      </c>
      <c r="E50">
        <f>RAW_DATA!E50</f>
        <v>4</v>
      </c>
      <c r="F50" t="str">
        <f>RAW_DATA!F50</f>
        <v>Marketing</v>
      </c>
      <c r="G50">
        <f>RAW_DATA!G50</f>
        <v>1</v>
      </c>
      <c r="H50">
        <f>RAW_DATA!H50</f>
        <v>4</v>
      </c>
      <c r="I50" t="str">
        <f>RAW_DATA!I50</f>
        <v>Single</v>
      </c>
      <c r="J50">
        <f>RAW_DATA!J50</f>
        <v>5772</v>
      </c>
      <c r="K50">
        <f>RAW_DATA!K50</f>
        <v>4</v>
      </c>
      <c r="L50">
        <f>RAW_DATA!L50</f>
        <v>3</v>
      </c>
      <c r="M50">
        <f>RAW_DATA!M50</f>
        <v>9</v>
      </c>
      <c r="N50">
        <f t="shared" si="0"/>
        <v>0</v>
      </c>
      <c r="O50" t="str">
        <f xml:space="preserve"> VLOOKUP(A50, Lookup_Tables!$G$2:$H$6,2,TRUE)</f>
        <v>45-54</v>
      </c>
      <c r="P50" t="str">
        <f>_xlfn.XLOOKUP(J50,Lookup_Tables!$J$2:$J$4,Lookup_Tables!$K$2:$K$4, " ",-1)</f>
        <v>Medium</v>
      </c>
      <c r="Q50" t="str">
        <f xml:space="preserve"> _xlfn.XLOOKUP(M50, Lookup_Tables!$M$2:$M$5,Lookup_Tables!$N$2:$N$5," ", -1)</f>
        <v>Established (5-10)</v>
      </c>
      <c r="R50" s="4">
        <f t="shared" si="1"/>
        <v>2.6666666666666665</v>
      </c>
      <c r="S50" t="str">
        <f xml:space="preserve"> _xlfn.XLOOKUP( E50, Lookup_Tables!$A$2:$A$6,Lookup_Tables!$B$2:$B$6," ", -1)</f>
        <v>Master</v>
      </c>
      <c r="T50" t="str">
        <f>_xlfn.XLOOKUP(G50,Lookup_Tables!$D$2:$D$5,Lookup_Tables!$E$2:$E$5)</f>
        <v>Low</v>
      </c>
      <c r="U50" t="str">
        <f>_xlfn.XLOOKUP(H50,Lookup_Tables!$D$2:$D$5,Lookup_Tables!$E$2:$E$5)</f>
        <v>Very High</v>
      </c>
      <c r="V50" t="str">
        <f>_xlfn.XLOOKUP(L50,Lookup_Tables!$D$2:$D$5,Lookup_Tables!$E$2:$E$5)</f>
        <v>High</v>
      </c>
    </row>
    <row r="51" spans="1:22">
      <c r="A51">
        <f>RAW_DATA!A51</f>
        <v>35</v>
      </c>
      <c r="B51" t="str">
        <f>RAW_DATA!B51</f>
        <v>No</v>
      </c>
      <c r="C51" t="str">
        <f>RAW_DATA!C51</f>
        <v>Research &amp; Development</v>
      </c>
      <c r="D51">
        <f>RAW_DATA!D51</f>
        <v>8</v>
      </c>
      <c r="E51">
        <f>RAW_DATA!E51</f>
        <v>1</v>
      </c>
      <c r="F51" t="str">
        <f>RAW_DATA!F51</f>
        <v>Life Sciences</v>
      </c>
      <c r="G51">
        <f>RAW_DATA!G51</f>
        <v>4</v>
      </c>
      <c r="H51">
        <f>RAW_DATA!H51</f>
        <v>4</v>
      </c>
      <c r="I51" t="str">
        <f>RAW_DATA!I51</f>
        <v>Married</v>
      </c>
      <c r="J51">
        <f>RAW_DATA!J51</f>
        <v>2269</v>
      </c>
      <c r="K51">
        <f>RAW_DATA!K51</f>
        <v>1</v>
      </c>
      <c r="L51">
        <f>RAW_DATA!L51</f>
        <v>3</v>
      </c>
      <c r="M51">
        <f>RAW_DATA!M51</f>
        <v>1</v>
      </c>
      <c r="N51">
        <f t="shared" si="0"/>
        <v>0</v>
      </c>
      <c r="O51" t="str">
        <f xml:space="preserve"> VLOOKUP(A51, Lookup_Tables!$G$2:$H$6,2,TRUE)</f>
        <v>35-44</v>
      </c>
      <c r="P51" t="str">
        <f>_xlfn.XLOOKUP(J51,Lookup_Tables!$J$2:$J$4,Lookup_Tables!$K$2:$K$4, " ",-1)</f>
        <v>Low</v>
      </c>
      <c r="Q51" t="str">
        <f xml:space="preserve"> _xlfn.XLOOKUP(M51, Lookup_Tables!$M$2:$M$5,Lookup_Tables!$N$2:$N$5," ", -1)</f>
        <v>New (0-2)</v>
      </c>
      <c r="R51" s="4">
        <f t="shared" si="1"/>
        <v>3.6666666666666665</v>
      </c>
      <c r="S51" t="str">
        <f xml:space="preserve"> _xlfn.XLOOKUP( E51, Lookup_Tables!$A$2:$A$6,Lookup_Tables!$B$2:$B$6," ", -1)</f>
        <v>Below College</v>
      </c>
      <c r="T51" t="str">
        <f>_xlfn.XLOOKUP(G51,Lookup_Tables!$D$2:$D$5,Lookup_Tables!$E$2:$E$5)</f>
        <v>Very High</v>
      </c>
      <c r="U51" t="str">
        <f>_xlfn.XLOOKUP(H51,Lookup_Tables!$D$2:$D$5,Lookup_Tables!$E$2:$E$5)</f>
        <v>Very High</v>
      </c>
      <c r="V51" t="str">
        <f>_xlfn.XLOOKUP(L51,Lookup_Tables!$D$2:$D$5,Lookup_Tables!$E$2:$E$5)</f>
        <v>High</v>
      </c>
    </row>
    <row r="52" spans="1:22">
      <c r="A52">
        <f>RAW_DATA!A52</f>
        <v>48</v>
      </c>
      <c r="B52" t="str">
        <f>RAW_DATA!B52</f>
        <v>Yes</v>
      </c>
      <c r="C52" t="str">
        <f>RAW_DATA!C52</f>
        <v>Research &amp; Development</v>
      </c>
      <c r="D52">
        <f>RAW_DATA!D52</f>
        <v>1</v>
      </c>
      <c r="E52">
        <f>RAW_DATA!E52</f>
        <v>2</v>
      </c>
      <c r="F52" t="str">
        <f>RAW_DATA!F52</f>
        <v>Life Sciences</v>
      </c>
      <c r="G52">
        <f>RAW_DATA!G52</f>
        <v>1</v>
      </c>
      <c r="H52">
        <f>RAW_DATA!H52</f>
        <v>3</v>
      </c>
      <c r="I52" t="str">
        <f>RAW_DATA!I52</f>
        <v>Single</v>
      </c>
      <c r="J52">
        <f>RAW_DATA!J52</f>
        <v>5381</v>
      </c>
      <c r="K52">
        <f>RAW_DATA!K52</f>
        <v>9</v>
      </c>
      <c r="L52">
        <f>RAW_DATA!L52</f>
        <v>3</v>
      </c>
      <c r="M52">
        <f>RAW_DATA!M52</f>
        <v>1</v>
      </c>
      <c r="N52">
        <f t="shared" si="0"/>
        <v>1</v>
      </c>
      <c r="O52" t="str">
        <f xml:space="preserve"> VLOOKUP(A52, Lookup_Tables!$G$2:$H$6,2,TRUE)</f>
        <v>45-54</v>
      </c>
      <c r="P52" t="str">
        <f>_xlfn.XLOOKUP(J52,Lookup_Tables!$J$2:$J$4,Lookup_Tables!$K$2:$K$4, " ",-1)</f>
        <v>Medium</v>
      </c>
      <c r="Q52" t="str">
        <f xml:space="preserve"> _xlfn.XLOOKUP(M52, Lookup_Tables!$M$2:$M$5,Lookup_Tables!$N$2:$N$5," ", -1)</f>
        <v>New (0-2)</v>
      </c>
      <c r="R52" s="4">
        <f t="shared" si="1"/>
        <v>2.3333333333333335</v>
      </c>
      <c r="S52" t="str">
        <f xml:space="preserve"> _xlfn.XLOOKUP( E52, Lookup_Tables!$A$2:$A$6,Lookup_Tables!$B$2:$B$6," ", -1)</f>
        <v>College</v>
      </c>
      <c r="T52" t="str">
        <f>_xlfn.XLOOKUP(G52,Lookup_Tables!$D$2:$D$5,Lookup_Tables!$E$2:$E$5)</f>
        <v>Low</v>
      </c>
      <c r="U52" t="str">
        <f>_xlfn.XLOOKUP(H52,Lookup_Tables!$D$2:$D$5,Lookup_Tables!$E$2:$E$5)</f>
        <v>High</v>
      </c>
      <c r="V52" t="str">
        <f>_xlfn.XLOOKUP(L52,Lookup_Tables!$D$2:$D$5,Lookup_Tables!$E$2:$E$5)</f>
        <v>High</v>
      </c>
    </row>
    <row r="53" spans="1:22">
      <c r="A53">
        <f>RAW_DATA!A53</f>
        <v>28</v>
      </c>
      <c r="B53" t="str">
        <f>RAW_DATA!B53</f>
        <v>Yes</v>
      </c>
      <c r="C53" t="str">
        <f>RAW_DATA!C53</f>
        <v>Research &amp; Development</v>
      </c>
      <c r="D53">
        <f>RAW_DATA!D53</f>
        <v>5</v>
      </c>
      <c r="E53">
        <f>RAW_DATA!E53</f>
        <v>4</v>
      </c>
      <c r="F53" t="str">
        <f>RAW_DATA!F53</f>
        <v>Technical Degree</v>
      </c>
      <c r="G53">
        <f>RAW_DATA!G53</f>
        <v>3</v>
      </c>
      <c r="H53">
        <f>RAW_DATA!H53</f>
        <v>3</v>
      </c>
      <c r="I53" t="str">
        <f>RAW_DATA!I53</f>
        <v>Single</v>
      </c>
      <c r="J53">
        <f>RAW_DATA!J53</f>
        <v>3441</v>
      </c>
      <c r="K53">
        <f>RAW_DATA!K53</f>
        <v>1</v>
      </c>
      <c r="L53">
        <f>RAW_DATA!L53</f>
        <v>2</v>
      </c>
      <c r="M53">
        <f>RAW_DATA!M53</f>
        <v>2</v>
      </c>
      <c r="N53">
        <f t="shared" si="0"/>
        <v>1</v>
      </c>
      <c r="O53" t="str">
        <f xml:space="preserve"> VLOOKUP(A53, Lookup_Tables!$G$2:$H$6,2,TRUE)</f>
        <v>25-34</v>
      </c>
      <c r="P53" t="str">
        <f>_xlfn.XLOOKUP(J53,Lookup_Tables!$J$2:$J$4,Lookup_Tables!$K$2:$K$4, " ",-1)</f>
        <v>Medium</v>
      </c>
      <c r="Q53" t="str">
        <f xml:space="preserve"> _xlfn.XLOOKUP(M53, Lookup_Tables!$M$2:$M$5,Lookup_Tables!$N$2:$N$5," ", -1)</f>
        <v>Early (2-5)</v>
      </c>
      <c r="R53" s="4">
        <f t="shared" si="1"/>
        <v>2.6666666666666665</v>
      </c>
      <c r="S53" t="str">
        <f xml:space="preserve"> _xlfn.XLOOKUP( E53, Lookup_Tables!$A$2:$A$6,Lookup_Tables!$B$2:$B$6," ", -1)</f>
        <v>Master</v>
      </c>
      <c r="T53" t="str">
        <f>_xlfn.XLOOKUP(G53,Lookup_Tables!$D$2:$D$5,Lookup_Tables!$E$2:$E$5)</f>
        <v>High</v>
      </c>
      <c r="U53" t="str">
        <f>_xlfn.XLOOKUP(H53,Lookup_Tables!$D$2:$D$5,Lookup_Tables!$E$2:$E$5)</f>
        <v>High</v>
      </c>
      <c r="V53" t="str">
        <f>_xlfn.XLOOKUP(L53,Lookup_Tables!$D$2:$D$5,Lookup_Tables!$E$2:$E$5)</f>
        <v>Medium</v>
      </c>
    </row>
    <row r="54" spans="1:22">
      <c r="A54">
        <f>RAW_DATA!A54</f>
        <v>44</v>
      </c>
      <c r="B54" t="str">
        <f>RAW_DATA!B54</f>
        <v>No</v>
      </c>
      <c r="C54" t="str">
        <f>RAW_DATA!C54</f>
        <v>Sales</v>
      </c>
      <c r="D54">
        <f>RAW_DATA!D54</f>
        <v>1</v>
      </c>
      <c r="E54">
        <f>RAW_DATA!E54</f>
        <v>5</v>
      </c>
      <c r="F54" t="str">
        <f>RAW_DATA!F54</f>
        <v>Marketing</v>
      </c>
      <c r="G54">
        <f>RAW_DATA!G54</f>
        <v>2</v>
      </c>
      <c r="H54">
        <f>RAW_DATA!H54</f>
        <v>1</v>
      </c>
      <c r="I54" t="str">
        <f>RAW_DATA!I54</f>
        <v>Divorced</v>
      </c>
      <c r="J54">
        <f>RAW_DATA!J54</f>
        <v>5454</v>
      </c>
      <c r="K54">
        <f>RAW_DATA!K54</f>
        <v>5</v>
      </c>
      <c r="L54">
        <f>RAW_DATA!L54</f>
        <v>2</v>
      </c>
      <c r="M54">
        <f>RAW_DATA!M54</f>
        <v>4</v>
      </c>
      <c r="N54">
        <f t="shared" si="0"/>
        <v>0</v>
      </c>
      <c r="O54" t="str">
        <f xml:space="preserve"> VLOOKUP(A54, Lookup_Tables!$G$2:$H$6,2,TRUE)</f>
        <v>35-44</v>
      </c>
      <c r="P54" t="str">
        <f>_xlfn.XLOOKUP(J54,Lookup_Tables!$J$2:$J$4,Lookup_Tables!$K$2:$K$4, " ",-1)</f>
        <v>Medium</v>
      </c>
      <c r="Q54" t="str">
        <f xml:space="preserve"> _xlfn.XLOOKUP(M54, Lookup_Tables!$M$2:$M$5,Lookup_Tables!$N$2:$N$5," ", -1)</f>
        <v>Early (2-5)</v>
      </c>
      <c r="R54" s="4">
        <f t="shared" si="1"/>
        <v>1.6666666666666667</v>
      </c>
      <c r="S54" t="str">
        <f xml:space="preserve"> _xlfn.XLOOKUP( E54, Lookup_Tables!$A$2:$A$6,Lookup_Tables!$B$2:$B$6," ", -1)</f>
        <v>Doctor</v>
      </c>
      <c r="T54" t="str">
        <f>_xlfn.XLOOKUP(G54,Lookup_Tables!$D$2:$D$5,Lookup_Tables!$E$2:$E$5)</f>
        <v>Medium</v>
      </c>
      <c r="U54" t="str">
        <f>_xlfn.XLOOKUP(H54,Lookup_Tables!$D$2:$D$5,Lookup_Tables!$E$2:$E$5)</f>
        <v>Low</v>
      </c>
      <c r="V54" t="str">
        <f>_xlfn.XLOOKUP(L54,Lookup_Tables!$D$2:$D$5,Lookup_Tables!$E$2:$E$5)</f>
        <v>Medium</v>
      </c>
    </row>
    <row r="55" spans="1:22">
      <c r="A55">
        <f>RAW_DATA!A55</f>
        <v>35</v>
      </c>
      <c r="B55" t="str">
        <f>RAW_DATA!B55</f>
        <v>No</v>
      </c>
      <c r="C55" t="str">
        <f>RAW_DATA!C55</f>
        <v>Research &amp; Development</v>
      </c>
      <c r="D55">
        <f>RAW_DATA!D55</f>
        <v>11</v>
      </c>
      <c r="E55">
        <f>RAW_DATA!E55</f>
        <v>2</v>
      </c>
      <c r="F55" t="str">
        <f>RAW_DATA!F55</f>
        <v>Medical</v>
      </c>
      <c r="G55">
        <f>RAW_DATA!G55</f>
        <v>3</v>
      </c>
      <c r="H55">
        <f>RAW_DATA!H55</f>
        <v>1</v>
      </c>
      <c r="I55" t="str">
        <f>RAW_DATA!I55</f>
        <v>Married</v>
      </c>
      <c r="J55">
        <f>RAW_DATA!J55</f>
        <v>9884</v>
      </c>
      <c r="K55">
        <f>RAW_DATA!K55</f>
        <v>2</v>
      </c>
      <c r="L55">
        <f>RAW_DATA!L55</f>
        <v>3</v>
      </c>
      <c r="M55">
        <f>RAW_DATA!M55</f>
        <v>4</v>
      </c>
      <c r="N55">
        <f t="shared" si="0"/>
        <v>0</v>
      </c>
      <c r="O55" t="str">
        <f xml:space="preserve"> VLOOKUP(A55, Lookup_Tables!$G$2:$H$6,2,TRUE)</f>
        <v>35-44</v>
      </c>
      <c r="P55" t="str">
        <f>_xlfn.XLOOKUP(J55,Lookup_Tables!$J$2:$J$4,Lookup_Tables!$K$2:$K$4, " ",-1)</f>
        <v>High</v>
      </c>
      <c r="Q55" t="str">
        <f xml:space="preserve"> _xlfn.XLOOKUP(M55, Lookup_Tables!$M$2:$M$5,Lookup_Tables!$N$2:$N$5," ", -1)</f>
        <v>Early (2-5)</v>
      </c>
      <c r="R55" s="4">
        <f t="shared" si="1"/>
        <v>2.3333333333333335</v>
      </c>
      <c r="S55" t="str">
        <f xml:space="preserve"> _xlfn.XLOOKUP( E55, Lookup_Tables!$A$2:$A$6,Lookup_Tables!$B$2:$B$6," ", -1)</f>
        <v>College</v>
      </c>
      <c r="T55" t="str">
        <f>_xlfn.XLOOKUP(G55,Lookup_Tables!$D$2:$D$5,Lookup_Tables!$E$2:$E$5)</f>
        <v>High</v>
      </c>
      <c r="U55" t="str">
        <f>_xlfn.XLOOKUP(H55,Lookup_Tables!$D$2:$D$5,Lookup_Tables!$E$2:$E$5)</f>
        <v>Low</v>
      </c>
      <c r="V55" t="str">
        <f>_xlfn.XLOOKUP(L55,Lookup_Tables!$D$2:$D$5,Lookup_Tables!$E$2:$E$5)</f>
        <v>High</v>
      </c>
    </row>
    <row r="56" spans="1:22">
      <c r="A56">
        <f>RAW_DATA!A56</f>
        <v>26</v>
      </c>
      <c r="B56" t="str">
        <f>RAW_DATA!B56</f>
        <v>No</v>
      </c>
      <c r="C56" t="str">
        <f>RAW_DATA!C56</f>
        <v>Sales</v>
      </c>
      <c r="D56">
        <f>RAW_DATA!D56</f>
        <v>23</v>
      </c>
      <c r="E56">
        <f>RAW_DATA!E56</f>
        <v>3</v>
      </c>
      <c r="F56" t="str">
        <f>RAW_DATA!F56</f>
        <v>Marketing</v>
      </c>
      <c r="G56">
        <f>RAW_DATA!G56</f>
        <v>3</v>
      </c>
      <c r="H56">
        <f>RAW_DATA!H56</f>
        <v>4</v>
      </c>
      <c r="I56" t="str">
        <f>RAW_DATA!I56</f>
        <v>Married</v>
      </c>
      <c r="J56">
        <f>RAW_DATA!J56</f>
        <v>4157</v>
      </c>
      <c r="K56">
        <f>RAW_DATA!K56</f>
        <v>7</v>
      </c>
      <c r="L56">
        <f>RAW_DATA!L56</f>
        <v>2</v>
      </c>
      <c r="M56">
        <f>RAW_DATA!M56</f>
        <v>2</v>
      </c>
      <c r="N56">
        <f t="shared" si="0"/>
        <v>0</v>
      </c>
      <c r="O56" t="str">
        <f xml:space="preserve"> VLOOKUP(A56, Lookup_Tables!$G$2:$H$6,2,TRUE)</f>
        <v>25-34</v>
      </c>
      <c r="P56" t="str">
        <f>_xlfn.XLOOKUP(J56,Lookup_Tables!$J$2:$J$4,Lookup_Tables!$K$2:$K$4, " ",-1)</f>
        <v>Medium</v>
      </c>
      <c r="Q56" t="str">
        <f xml:space="preserve"> _xlfn.XLOOKUP(M56, Lookup_Tables!$M$2:$M$5,Lookup_Tables!$N$2:$N$5," ", -1)</f>
        <v>Early (2-5)</v>
      </c>
      <c r="R56" s="4">
        <f t="shared" si="1"/>
        <v>3</v>
      </c>
      <c r="S56" t="str">
        <f xml:space="preserve"> _xlfn.XLOOKUP( E56, Lookup_Tables!$A$2:$A$6,Lookup_Tables!$B$2:$B$6," ", -1)</f>
        <v>Bachelor</v>
      </c>
      <c r="T56" t="str">
        <f>_xlfn.XLOOKUP(G56,Lookup_Tables!$D$2:$D$5,Lookup_Tables!$E$2:$E$5)</f>
        <v>High</v>
      </c>
      <c r="U56" t="str">
        <f>_xlfn.XLOOKUP(H56,Lookup_Tables!$D$2:$D$5,Lookup_Tables!$E$2:$E$5)</f>
        <v>Very High</v>
      </c>
      <c r="V56" t="str">
        <f>_xlfn.XLOOKUP(L56,Lookup_Tables!$D$2:$D$5,Lookup_Tables!$E$2:$E$5)</f>
        <v>Medium</v>
      </c>
    </row>
    <row r="57" spans="1:22">
      <c r="A57">
        <f>RAW_DATA!A57</f>
        <v>33</v>
      </c>
      <c r="B57" t="str">
        <f>RAW_DATA!B57</f>
        <v>No</v>
      </c>
      <c r="C57" t="str">
        <f>RAW_DATA!C57</f>
        <v>Research &amp; Development</v>
      </c>
      <c r="D57">
        <f>RAW_DATA!D57</f>
        <v>1</v>
      </c>
      <c r="E57">
        <f>RAW_DATA!E57</f>
        <v>2</v>
      </c>
      <c r="F57" t="str">
        <f>RAW_DATA!F57</f>
        <v>Life Sciences</v>
      </c>
      <c r="G57">
        <f>RAW_DATA!G57</f>
        <v>1</v>
      </c>
      <c r="H57">
        <f>RAW_DATA!H57</f>
        <v>4</v>
      </c>
      <c r="I57" t="str">
        <f>RAW_DATA!I57</f>
        <v>Single</v>
      </c>
      <c r="J57">
        <f>RAW_DATA!J57</f>
        <v>13458</v>
      </c>
      <c r="K57">
        <f>RAW_DATA!K57</f>
        <v>1</v>
      </c>
      <c r="L57">
        <f>RAW_DATA!L57</f>
        <v>3</v>
      </c>
      <c r="M57">
        <f>RAW_DATA!M57</f>
        <v>15</v>
      </c>
      <c r="N57">
        <f t="shared" si="0"/>
        <v>0</v>
      </c>
      <c r="O57" t="str">
        <f xml:space="preserve"> VLOOKUP(A57, Lookup_Tables!$G$2:$H$6,2,TRUE)</f>
        <v>25-34</v>
      </c>
      <c r="P57" t="str">
        <f>_xlfn.XLOOKUP(J57,Lookup_Tables!$J$2:$J$4,Lookup_Tables!$K$2:$K$4, " ",-1)</f>
        <v>High</v>
      </c>
      <c r="Q57" t="str">
        <f xml:space="preserve"> _xlfn.XLOOKUP(M57, Lookup_Tables!$M$2:$M$5,Lookup_Tables!$N$2:$N$5," ", -1)</f>
        <v>Veteran (10+)</v>
      </c>
      <c r="R57" s="4">
        <f t="shared" si="1"/>
        <v>2.6666666666666665</v>
      </c>
      <c r="S57" t="str">
        <f xml:space="preserve"> _xlfn.XLOOKUP( E57, Lookup_Tables!$A$2:$A$6,Lookup_Tables!$B$2:$B$6," ", -1)</f>
        <v>College</v>
      </c>
      <c r="T57" t="str">
        <f>_xlfn.XLOOKUP(G57,Lookup_Tables!$D$2:$D$5,Lookup_Tables!$E$2:$E$5)</f>
        <v>Low</v>
      </c>
      <c r="U57" t="str">
        <f>_xlfn.XLOOKUP(H57,Lookup_Tables!$D$2:$D$5,Lookup_Tables!$E$2:$E$5)</f>
        <v>Very High</v>
      </c>
      <c r="V57" t="str">
        <f>_xlfn.XLOOKUP(L57,Lookup_Tables!$D$2:$D$5,Lookup_Tables!$E$2:$E$5)</f>
        <v>High</v>
      </c>
    </row>
    <row r="58" spans="1:22">
      <c r="A58">
        <f>RAW_DATA!A58</f>
        <v>35</v>
      </c>
      <c r="B58" t="str">
        <f>RAW_DATA!B58</f>
        <v>No</v>
      </c>
      <c r="C58" t="str">
        <f>RAW_DATA!C58</f>
        <v>Sales</v>
      </c>
      <c r="D58">
        <f>RAW_DATA!D58</f>
        <v>18</v>
      </c>
      <c r="E58">
        <f>RAW_DATA!E58</f>
        <v>5</v>
      </c>
      <c r="F58" t="str">
        <f>RAW_DATA!F58</f>
        <v>Life Sciences</v>
      </c>
      <c r="G58">
        <f>RAW_DATA!G58</f>
        <v>2</v>
      </c>
      <c r="H58">
        <f>RAW_DATA!H58</f>
        <v>1</v>
      </c>
      <c r="I58" t="str">
        <f>RAW_DATA!I58</f>
        <v>Married</v>
      </c>
      <c r="J58">
        <f>RAW_DATA!J58</f>
        <v>9069</v>
      </c>
      <c r="K58">
        <f>RAW_DATA!K58</f>
        <v>1</v>
      </c>
      <c r="L58">
        <f>RAW_DATA!L58</f>
        <v>2</v>
      </c>
      <c r="M58">
        <f>RAW_DATA!M58</f>
        <v>9</v>
      </c>
      <c r="N58">
        <f t="shared" si="0"/>
        <v>0</v>
      </c>
      <c r="O58" t="str">
        <f xml:space="preserve"> VLOOKUP(A58, Lookup_Tables!$G$2:$H$6,2,TRUE)</f>
        <v>35-44</v>
      </c>
      <c r="P58" t="str">
        <f>_xlfn.XLOOKUP(J58,Lookup_Tables!$J$2:$J$4,Lookup_Tables!$K$2:$K$4, " ",-1)</f>
        <v>High</v>
      </c>
      <c r="Q58" t="str">
        <f xml:space="preserve"> _xlfn.XLOOKUP(M58, Lookup_Tables!$M$2:$M$5,Lookup_Tables!$N$2:$N$5," ", -1)</f>
        <v>Established (5-10)</v>
      </c>
      <c r="R58" s="4">
        <f t="shared" si="1"/>
        <v>1.6666666666666667</v>
      </c>
      <c r="S58" t="str">
        <f xml:space="preserve"> _xlfn.XLOOKUP( E58, Lookup_Tables!$A$2:$A$6,Lookup_Tables!$B$2:$B$6," ", -1)</f>
        <v>Doctor</v>
      </c>
      <c r="T58" t="str">
        <f>_xlfn.XLOOKUP(G58,Lookup_Tables!$D$2:$D$5,Lookup_Tables!$E$2:$E$5)</f>
        <v>Medium</v>
      </c>
      <c r="U58" t="str">
        <f>_xlfn.XLOOKUP(H58,Lookup_Tables!$D$2:$D$5,Lookup_Tables!$E$2:$E$5)</f>
        <v>Low</v>
      </c>
      <c r="V58" t="str">
        <f>_xlfn.XLOOKUP(L58,Lookup_Tables!$D$2:$D$5,Lookup_Tables!$E$2:$E$5)</f>
        <v>Medium</v>
      </c>
    </row>
    <row r="59" spans="1:22">
      <c r="A59">
        <f>RAW_DATA!A59</f>
        <v>35</v>
      </c>
      <c r="B59" t="str">
        <f>RAW_DATA!B59</f>
        <v>No</v>
      </c>
      <c r="C59" t="str">
        <f>RAW_DATA!C59</f>
        <v>Research &amp; Development</v>
      </c>
      <c r="D59">
        <f>RAW_DATA!D59</f>
        <v>23</v>
      </c>
      <c r="E59">
        <f>RAW_DATA!E59</f>
        <v>4</v>
      </c>
      <c r="F59" t="str">
        <f>RAW_DATA!F59</f>
        <v>Medical</v>
      </c>
      <c r="G59">
        <f>RAW_DATA!G59</f>
        <v>3</v>
      </c>
      <c r="H59">
        <f>RAW_DATA!H59</f>
        <v>1</v>
      </c>
      <c r="I59" t="str">
        <f>RAW_DATA!I59</f>
        <v>Married</v>
      </c>
      <c r="J59">
        <f>RAW_DATA!J59</f>
        <v>4014</v>
      </c>
      <c r="K59">
        <f>RAW_DATA!K59</f>
        <v>3</v>
      </c>
      <c r="L59">
        <f>RAW_DATA!L59</f>
        <v>3</v>
      </c>
      <c r="M59">
        <f>RAW_DATA!M59</f>
        <v>2</v>
      </c>
      <c r="N59">
        <f t="shared" si="0"/>
        <v>0</v>
      </c>
      <c r="O59" t="str">
        <f xml:space="preserve"> VLOOKUP(A59, Lookup_Tables!$G$2:$H$6,2,TRUE)</f>
        <v>35-44</v>
      </c>
      <c r="P59" t="str">
        <f>_xlfn.XLOOKUP(J59,Lookup_Tables!$J$2:$J$4,Lookup_Tables!$K$2:$K$4, " ",-1)</f>
        <v>Medium</v>
      </c>
      <c r="Q59" t="str">
        <f xml:space="preserve"> _xlfn.XLOOKUP(M59, Lookup_Tables!$M$2:$M$5,Lookup_Tables!$N$2:$N$5," ", -1)</f>
        <v>Early (2-5)</v>
      </c>
      <c r="R59" s="4">
        <f t="shared" si="1"/>
        <v>2.3333333333333335</v>
      </c>
      <c r="S59" t="str">
        <f xml:space="preserve"> _xlfn.XLOOKUP( E59, Lookup_Tables!$A$2:$A$6,Lookup_Tables!$B$2:$B$6," ", -1)</f>
        <v>Master</v>
      </c>
      <c r="T59" t="str">
        <f>_xlfn.XLOOKUP(G59,Lookup_Tables!$D$2:$D$5,Lookup_Tables!$E$2:$E$5)</f>
        <v>High</v>
      </c>
      <c r="U59" t="str">
        <f>_xlfn.XLOOKUP(H59,Lookup_Tables!$D$2:$D$5,Lookup_Tables!$E$2:$E$5)</f>
        <v>Low</v>
      </c>
      <c r="V59" t="str">
        <f>_xlfn.XLOOKUP(L59,Lookup_Tables!$D$2:$D$5,Lookup_Tables!$E$2:$E$5)</f>
        <v>High</v>
      </c>
    </row>
    <row r="60" spans="1:22">
      <c r="A60">
        <f>RAW_DATA!A60</f>
        <v>31</v>
      </c>
      <c r="B60" t="str">
        <f>RAW_DATA!B60</f>
        <v>No</v>
      </c>
      <c r="C60" t="str">
        <f>RAW_DATA!C60</f>
        <v>Research &amp; Development</v>
      </c>
      <c r="D60">
        <f>RAW_DATA!D60</f>
        <v>7</v>
      </c>
      <c r="E60">
        <f>RAW_DATA!E60</f>
        <v>4</v>
      </c>
      <c r="F60" t="str">
        <f>RAW_DATA!F60</f>
        <v>Life Sciences</v>
      </c>
      <c r="G60">
        <f>RAW_DATA!G60</f>
        <v>4</v>
      </c>
      <c r="H60">
        <f>RAW_DATA!H60</f>
        <v>4</v>
      </c>
      <c r="I60" t="str">
        <f>RAW_DATA!I60</f>
        <v>Divorced</v>
      </c>
      <c r="J60">
        <f>RAW_DATA!J60</f>
        <v>5915</v>
      </c>
      <c r="K60">
        <f>RAW_DATA!K60</f>
        <v>3</v>
      </c>
      <c r="L60">
        <f>RAW_DATA!L60</f>
        <v>2</v>
      </c>
      <c r="M60">
        <f>RAW_DATA!M60</f>
        <v>7</v>
      </c>
      <c r="N60">
        <f t="shared" si="0"/>
        <v>0</v>
      </c>
      <c r="O60" t="str">
        <f xml:space="preserve"> VLOOKUP(A60, Lookup_Tables!$G$2:$H$6,2,TRUE)</f>
        <v>25-34</v>
      </c>
      <c r="P60" t="str">
        <f>_xlfn.XLOOKUP(J60,Lookup_Tables!$J$2:$J$4,Lookup_Tables!$K$2:$K$4, " ",-1)</f>
        <v>Medium</v>
      </c>
      <c r="Q60" t="str">
        <f xml:space="preserve"> _xlfn.XLOOKUP(M60, Lookup_Tables!$M$2:$M$5,Lookup_Tables!$N$2:$N$5," ", -1)</f>
        <v>Established (5-10)</v>
      </c>
      <c r="R60" s="4">
        <f t="shared" si="1"/>
        <v>3.3333333333333335</v>
      </c>
      <c r="S60" t="str">
        <f xml:space="preserve"> _xlfn.XLOOKUP( E60, Lookup_Tables!$A$2:$A$6,Lookup_Tables!$B$2:$B$6," ", -1)</f>
        <v>Master</v>
      </c>
      <c r="T60" t="str">
        <f>_xlfn.XLOOKUP(G60,Lookup_Tables!$D$2:$D$5,Lookup_Tables!$E$2:$E$5)</f>
        <v>Very High</v>
      </c>
      <c r="U60" t="str">
        <f>_xlfn.XLOOKUP(H60,Lookup_Tables!$D$2:$D$5,Lookup_Tables!$E$2:$E$5)</f>
        <v>Very High</v>
      </c>
      <c r="V60" t="str">
        <f>_xlfn.XLOOKUP(L60,Lookup_Tables!$D$2:$D$5,Lookup_Tables!$E$2:$E$5)</f>
        <v>Medium</v>
      </c>
    </row>
    <row r="61" spans="1:22">
      <c r="A61">
        <f>RAW_DATA!A61</f>
        <v>37</v>
      </c>
      <c r="B61" t="str">
        <f>RAW_DATA!B61</f>
        <v>No</v>
      </c>
      <c r="C61" t="str">
        <f>RAW_DATA!C61</f>
        <v>Research &amp; Development</v>
      </c>
      <c r="D61">
        <f>RAW_DATA!D61</f>
        <v>1</v>
      </c>
      <c r="E61">
        <f>RAW_DATA!E61</f>
        <v>4</v>
      </c>
      <c r="F61" t="str">
        <f>RAW_DATA!F61</f>
        <v>Life Sciences</v>
      </c>
      <c r="G61">
        <f>RAW_DATA!G61</f>
        <v>1</v>
      </c>
      <c r="H61">
        <f>RAW_DATA!H61</f>
        <v>3</v>
      </c>
      <c r="I61" t="str">
        <f>RAW_DATA!I61</f>
        <v>Divorced</v>
      </c>
      <c r="J61">
        <f>RAW_DATA!J61</f>
        <v>5993</v>
      </c>
      <c r="K61">
        <f>RAW_DATA!K61</f>
        <v>1</v>
      </c>
      <c r="L61">
        <f>RAW_DATA!L61</f>
        <v>4</v>
      </c>
      <c r="M61">
        <f>RAW_DATA!M61</f>
        <v>7</v>
      </c>
      <c r="N61">
        <f t="shared" si="0"/>
        <v>0</v>
      </c>
      <c r="O61" t="str">
        <f xml:space="preserve"> VLOOKUP(A61, Lookup_Tables!$G$2:$H$6,2,TRUE)</f>
        <v>35-44</v>
      </c>
      <c r="P61" t="str">
        <f>_xlfn.XLOOKUP(J61,Lookup_Tables!$J$2:$J$4,Lookup_Tables!$K$2:$K$4, " ",-1)</f>
        <v>Medium</v>
      </c>
      <c r="Q61" t="str">
        <f xml:space="preserve"> _xlfn.XLOOKUP(M61, Lookup_Tables!$M$2:$M$5,Lookup_Tables!$N$2:$N$5," ", -1)</f>
        <v>Established (5-10)</v>
      </c>
      <c r="R61" s="4">
        <f t="shared" si="1"/>
        <v>2.6666666666666665</v>
      </c>
      <c r="S61" t="str">
        <f xml:space="preserve"> _xlfn.XLOOKUP( E61, Lookup_Tables!$A$2:$A$6,Lookup_Tables!$B$2:$B$6," ", -1)</f>
        <v>Master</v>
      </c>
      <c r="T61" t="str">
        <f>_xlfn.XLOOKUP(G61,Lookup_Tables!$D$2:$D$5,Lookup_Tables!$E$2:$E$5)</f>
        <v>Low</v>
      </c>
      <c r="U61" t="str">
        <f>_xlfn.XLOOKUP(H61,Lookup_Tables!$D$2:$D$5,Lookup_Tables!$E$2:$E$5)</f>
        <v>High</v>
      </c>
      <c r="V61" t="str">
        <f>_xlfn.XLOOKUP(L61,Lookup_Tables!$D$2:$D$5,Lookup_Tables!$E$2:$E$5)</f>
        <v>Very High</v>
      </c>
    </row>
    <row r="62" spans="1:22">
      <c r="A62">
        <f>RAW_DATA!A62</f>
        <v>32</v>
      </c>
      <c r="B62" t="str">
        <f>RAW_DATA!B62</f>
        <v>No</v>
      </c>
      <c r="C62" t="str">
        <f>RAW_DATA!C62</f>
        <v>Research &amp; Development</v>
      </c>
      <c r="D62">
        <f>RAW_DATA!D62</f>
        <v>1</v>
      </c>
      <c r="E62">
        <f>RAW_DATA!E62</f>
        <v>3</v>
      </c>
      <c r="F62" t="str">
        <f>RAW_DATA!F62</f>
        <v>Medical</v>
      </c>
      <c r="G62">
        <f>RAW_DATA!G62</f>
        <v>1</v>
      </c>
      <c r="H62">
        <f>RAW_DATA!H62</f>
        <v>4</v>
      </c>
      <c r="I62" t="str">
        <f>RAW_DATA!I62</f>
        <v>Married</v>
      </c>
      <c r="J62">
        <f>RAW_DATA!J62</f>
        <v>6162</v>
      </c>
      <c r="K62">
        <f>RAW_DATA!K62</f>
        <v>1</v>
      </c>
      <c r="L62">
        <f>RAW_DATA!L62</f>
        <v>3</v>
      </c>
      <c r="M62">
        <f>RAW_DATA!M62</f>
        <v>9</v>
      </c>
      <c r="N62">
        <f t="shared" si="0"/>
        <v>0</v>
      </c>
      <c r="O62" t="str">
        <f xml:space="preserve"> VLOOKUP(A62, Lookup_Tables!$G$2:$H$6,2,TRUE)</f>
        <v>25-34</v>
      </c>
      <c r="P62" t="str">
        <f>_xlfn.XLOOKUP(J62,Lookup_Tables!$J$2:$J$4,Lookup_Tables!$K$2:$K$4, " ",-1)</f>
        <v>Medium</v>
      </c>
      <c r="Q62" t="str">
        <f xml:space="preserve"> _xlfn.XLOOKUP(M62, Lookup_Tables!$M$2:$M$5,Lookup_Tables!$N$2:$N$5," ", -1)</f>
        <v>Established (5-10)</v>
      </c>
      <c r="R62" s="4">
        <f t="shared" si="1"/>
        <v>2.6666666666666665</v>
      </c>
      <c r="S62" t="str">
        <f xml:space="preserve"> _xlfn.XLOOKUP( E62, Lookup_Tables!$A$2:$A$6,Lookup_Tables!$B$2:$B$6," ", -1)</f>
        <v>Bachelor</v>
      </c>
      <c r="T62" t="str">
        <f>_xlfn.XLOOKUP(G62,Lookup_Tables!$D$2:$D$5,Lookup_Tables!$E$2:$E$5)</f>
        <v>Low</v>
      </c>
      <c r="U62" t="str">
        <f>_xlfn.XLOOKUP(H62,Lookup_Tables!$D$2:$D$5,Lookup_Tables!$E$2:$E$5)</f>
        <v>Very High</v>
      </c>
      <c r="V62" t="str">
        <f>_xlfn.XLOOKUP(L62,Lookup_Tables!$D$2:$D$5,Lookup_Tables!$E$2:$E$5)</f>
        <v>High</v>
      </c>
    </row>
    <row r="63" spans="1:22">
      <c r="A63">
        <f>RAW_DATA!A63</f>
        <v>38</v>
      </c>
      <c r="B63" t="str">
        <f>RAW_DATA!B63</f>
        <v>No</v>
      </c>
      <c r="C63" t="str">
        <f>RAW_DATA!C63</f>
        <v>Research &amp; Development</v>
      </c>
      <c r="D63">
        <f>RAW_DATA!D63</f>
        <v>29</v>
      </c>
      <c r="E63">
        <f>RAW_DATA!E63</f>
        <v>5</v>
      </c>
      <c r="F63" t="str">
        <f>RAW_DATA!F63</f>
        <v>Life Sciences</v>
      </c>
      <c r="G63">
        <f>RAW_DATA!G63</f>
        <v>4</v>
      </c>
      <c r="H63">
        <f>RAW_DATA!H63</f>
        <v>4</v>
      </c>
      <c r="I63" t="str">
        <f>RAW_DATA!I63</f>
        <v>Single</v>
      </c>
      <c r="J63">
        <f>RAW_DATA!J63</f>
        <v>2406</v>
      </c>
      <c r="K63">
        <f>RAW_DATA!K63</f>
        <v>1</v>
      </c>
      <c r="L63">
        <f>RAW_DATA!L63</f>
        <v>3</v>
      </c>
      <c r="M63">
        <f>RAW_DATA!M63</f>
        <v>10</v>
      </c>
      <c r="N63">
        <f t="shared" si="0"/>
        <v>0</v>
      </c>
      <c r="O63" t="str">
        <f xml:space="preserve"> VLOOKUP(A63, Lookup_Tables!$G$2:$H$6,2,TRUE)</f>
        <v>35-44</v>
      </c>
      <c r="P63" t="str">
        <f>_xlfn.XLOOKUP(J63,Lookup_Tables!$J$2:$J$4,Lookup_Tables!$K$2:$K$4, " ",-1)</f>
        <v>Low</v>
      </c>
      <c r="Q63" t="str">
        <f xml:space="preserve"> _xlfn.XLOOKUP(M63, Lookup_Tables!$M$2:$M$5,Lookup_Tables!$N$2:$N$5," ", -1)</f>
        <v>Veteran (10+)</v>
      </c>
      <c r="R63" s="4">
        <f t="shared" si="1"/>
        <v>3.6666666666666665</v>
      </c>
      <c r="S63" t="str">
        <f xml:space="preserve"> _xlfn.XLOOKUP( E63, Lookup_Tables!$A$2:$A$6,Lookup_Tables!$B$2:$B$6," ", -1)</f>
        <v>Doctor</v>
      </c>
      <c r="T63" t="str">
        <f>_xlfn.XLOOKUP(G63,Lookup_Tables!$D$2:$D$5,Lookup_Tables!$E$2:$E$5)</f>
        <v>Very High</v>
      </c>
      <c r="U63" t="str">
        <f>_xlfn.XLOOKUP(H63,Lookup_Tables!$D$2:$D$5,Lookup_Tables!$E$2:$E$5)</f>
        <v>Very High</v>
      </c>
      <c r="V63" t="str">
        <f>_xlfn.XLOOKUP(L63,Lookup_Tables!$D$2:$D$5,Lookup_Tables!$E$2:$E$5)</f>
        <v>High</v>
      </c>
    </row>
    <row r="64" spans="1:22">
      <c r="A64">
        <f>RAW_DATA!A64</f>
        <v>50</v>
      </c>
      <c r="B64" t="str">
        <f>RAW_DATA!B64</f>
        <v>No</v>
      </c>
      <c r="C64" t="str">
        <f>RAW_DATA!C64</f>
        <v>Research &amp; Development</v>
      </c>
      <c r="D64">
        <f>RAW_DATA!D64</f>
        <v>7</v>
      </c>
      <c r="E64">
        <f>RAW_DATA!E64</f>
        <v>2</v>
      </c>
      <c r="F64" t="str">
        <f>RAW_DATA!F64</f>
        <v>Medical</v>
      </c>
      <c r="G64">
        <f>RAW_DATA!G64</f>
        <v>2</v>
      </c>
      <c r="H64">
        <f>RAW_DATA!H64</f>
        <v>3</v>
      </c>
      <c r="I64" t="str">
        <f>RAW_DATA!I64</f>
        <v>Divorced</v>
      </c>
      <c r="J64">
        <f>RAW_DATA!J64</f>
        <v>18740</v>
      </c>
      <c r="K64">
        <f>RAW_DATA!K64</f>
        <v>5</v>
      </c>
      <c r="L64">
        <f>RAW_DATA!L64</f>
        <v>2</v>
      </c>
      <c r="M64">
        <f>RAW_DATA!M64</f>
        <v>27</v>
      </c>
      <c r="N64">
        <f t="shared" si="0"/>
        <v>0</v>
      </c>
      <c r="O64" t="str">
        <f xml:space="preserve"> VLOOKUP(A64, Lookup_Tables!$G$2:$H$6,2,TRUE)</f>
        <v>45-54</v>
      </c>
      <c r="P64" t="str">
        <f>_xlfn.XLOOKUP(J64,Lookup_Tables!$J$2:$J$4,Lookup_Tables!$K$2:$K$4, " ",-1)</f>
        <v>High</v>
      </c>
      <c r="Q64" t="str">
        <f xml:space="preserve"> _xlfn.XLOOKUP(M64, Lookup_Tables!$M$2:$M$5,Lookup_Tables!$N$2:$N$5," ", -1)</f>
        <v>Veteran (10+)</v>
      </c>
      <c r="R64" s="4">
        <f t="shared" si="1"/>
        <v>2.3333333333333335</v>
      </c>
      <c r="S64" t="str">
        <f xml:space="preserve"> _xlfn.XLOOKUP( E64, Lookup_Tables!$A$2:$A$6,Lookup_Tables!$B$2:$B$6," ", -1)</f>
        <v>College</v>
      </c>
      <c r="T64" t="str">
        <f>_xlfn.XLOOKUP(G64,Lookup_Tables!$D$2:$D$5,Lookup_Tables!$E$2:$E$5)</f>
        <v>Medium</v>
      </c>
      <c r="U64" t="str">
        <f>_xlfn.XLOOKUP(H64,Lookup_Tables!$D$2:$D$5,Lookup_Tables!$E$2:$E$5)</f>
        <v>High</v>
      </c>
      <c r="V64" t="str">
        <f>_xlfn.XLOOKUP(L64,Lookup_Tables!$D$2:$D$5,Lookup_Tables!$E$2:$E$5)</f>
        <v>Medium</v>
      </c>
    </row>
    <row r="65" spans="1:22">
      <c r="A65">
        <f>RAW_DATA!A65</f>
        <v>59</v>
      </c>
      <c r="B65" t="str">
        <f>RAW_DATA!B65</f>
        <v>No</v>
      </c>
      <c r="C65" t="str">
        <f>RAW_DATA!C65</f>
        <v>Sales</v>
      </c>
      <c r="D65">
        <f>RAW_DATA!D65</f>
        <v>25</v>
      </c>
      <c r="E65">
        <f>RAW_DATA!E65</f>
        <v>3</v>
      </c>
      <c r="F65" t="str">
        <f>RAW_DATA!F65</f>
        <v>Life Sciences</v>
      </c>
      <c r="G65">
        <f>RAW_DATA!G65</f>
        <v>1</v>
      </c>
      <c r="H65">
        <f>RAW_DATA!H65</f>
        <v>1</v>
      </c>
      <c r="I65" t="str">
        <f>RAW_DATA!I65</f>
        <v>Single</v>
      </c>
      <c r="J65">
        <f>RAW_DATA!J65</f>
        <v>7637</v>
      </c>
      <c r="K65">
        <f>RAW_DATA!K65</f>
        <v>7</v>
      </c>
      <c r="L65">
        <f>RAW_DATA!L65</f>
        <v>2</v>
      </c>
      <c r="M65">
        <f>RAW_DATA!M65</f>
        <v>21</v>
      </c>
      <c r="N65">
        <f t="shared" si="0"/>
        <v>0</v>
      </c>
      <c r="O65" t="str">
        <f xml:space="preserve"> VLOOKUP(A65, Lookup_Tables!$G$2:$H$6,2,TRUE)</f>
        <v>55+</v>
      </c>
      <c r="P65" t="str">
        <f>_xlfn.XLOOKUP(J65,Lookup_Tables!$J$2:$J$4,Lookup_Tables!$K$2:$K$4, " ",-1)</f>
        <v>High</v>
      </c>
      <c r="Q65" t="str">
        <f xml:space="preserve"> _xlfn.XLOOKUP(M65, Lookup_Tables!$M$2:$M$5,Lookup_Tables!$N$2:$N$5," ", -1)</f>
        <v>Veteran (10+)</v>
      </c>
      <c r="R65" s="4">
        <f t="shared" si="1"/>
        <v>1.3333333333333333</v>
      </c>
      <c r="S65" t="str">
        <f xml:space="preserve"> _xlfn.XLOOKUP( E65, Lookup_Tables!$A$2:$A$6,Lookup_Tables!$B$2:$B$6," ", -1)</f>
        <v>Bachelor</v>
      </c>
      <c r="T65" t="str">
        <f>_xlfn.XLOOKUP(G65,Lookup_Tables!$D$2:$D$5,Lookup_Tables!$E$2:$E$5)</f>
        <v>Low</v>
      </c>
      <c r="U65" t="str">
        <f>_xlfn.XLOOKUP(H65,Lookup_Tables!$D$2:$D$5,Lookup_Tables!$E$2:$E$5)</f>
        <v>Low</v>
      </c>
      <c r="V65" t="str">
        <f>_xlfn.XLOOKUP(L65,Lookup_Tables!$D$2:$D$5,Lookup_Tables!$E$2:$E$5)</f>
        <v>Medium</v>
      </c>
    </row>
    <row r="66" spans="1:22">
      <c r="A66">
        <f>RAW_DATA!A66</f>
        <v>36</v>
      </c>
      <c r="B66" t="str">
        <f>RAW_DATA!B66</f>
        <v>No</v>
      </c>
      <c r="C66" t="str">
        <f>RAW_DATA!C66</f>
        <v>Research &amp; Development</v>
      </c>
      <c r="D66">
        <f>RAW_DATA!D66</f>
        <v>8</v>
      </c>
      <c r="E66">
        <f>RAW_DATA!E66</f>
        <v>3</v>
      </c>
      <c r="F66" t="str">
        <f>RAW_DATA!F66</f>
        <v>Technical Degree</v>
      </c>
      <c r="G66">
        <f>RAW_DATA!G66</f>
        <v>3</v>
      </c>
      <c r="H66">
        <f>RAW_DATA!H66</f>
        <v>3</v>
      </c>
      <c r="I66" t="str">
        <f>RAW_DATA!I66</f>
        <v>Divorced</v>
      </c>
      <c r="J66">
        <f>RAW_DATA!J66</f>
        <v>10096</v>
      </c>
      <c r="K66">
        <f>RAW_DATA!K66</f>
        <v>1</v>
      </c>
      <c r="L66">
        <f>RAW_DATA!L66</f>
        <v>3</v>
      </c>
      <c r="M66">
        <f>RAW_DATA!M66</f>
        <v>17</v>
      </c>
      <c r="N66">
        <f t="shared" si="0"/>
        <v>0</v>
      </c>
      <c r="O66" t="str">
        <f xml:space="preserve"> VLOOKUP(A66, Lookup_Tables!$G$2:$H$6,2,TRUE)</f>
        <v>35-44</v>
      </c>
      <c r="P66" t="str">
        <f>_xlfn.XLOOKUP(J66,Lookup_Tables!$J$2:$J$4,Lookup_Tables!$K$2:$K$4, " ",-1)</f>
        <v>High</v>
      </c>
      <c r="Q66" t="str">
        <f xml:space="preserve"> _xlfn.XLOOKUP(M66, Lookup_Tables!$M$2:$M$5,Lookup_Tables!$N$2:$N$5," ", -1)</f>
        <v>Veteran (10+)</v>
      </c>
      <c r="R66" s="4">
        <f t="shared" si="1"/>
        <v>3</v>
      </c>
      <c r="S66" t="str">
        <f xml:space="preserve"> _xlfn.XLOOKUP( E66, Lookup_Tables!$A$2:$A$6,Lookup_Tables!$B$2:$B$6," ", -1)</f>
        <v>Bachelor</v>
      </c>
      <c r="T66" t="str">
        <f>_xlfn.XLOOKUP(G66,Lookup_Tables!$D$2:$D$5,Lookup_Tables!$E$2:$E$5)</f>
        <v>High</v>
      </c>
      <c r="U66" t="str">
        <f>_xlfn.XLOOKUP(H66,Lookup_Tables!$D$2:$D$5,Lookup_Tables!$E$2:$E$5)</f>
        <v>High</v>
      </c>
      <c r="V66" t="str">
        <f>_xlfn.XLOOKUP(L66,Lookup_Tables!$D$2:$D$5,Lookup_Tables!$E$2:$E$5)</f>
        <v>High</v>
      </c>
    </row>
    <row r="67" spans="1:22">
      <c r="A67">
        <f>RAW_DATA!A67</f>
        <v>55</v>
      </c>
      <c r="B67" t="str">
        <f>RAW_DATA!B67</f>
        <v>No</v>
      </c>
      <c r="C67" t="str">
        <f>RAW_DATA!C67</f>
        <v>Research &amp; Development</v>
      </c>
      <c r="D67">
        <f>RAW_DATA!D67</f>
        <v>8</v>
      </c>
      <c r="E67">
        <f>RAW_DATA!E67</f>
        <v>3</v>
      </c>
      <c r="F67" t="str">
        <f>RAW_DATA!F67</f>
        <v>Medical</v>
      </c>
      <c r="G67">
        <f>RAW_DATA!G67</f>
        <v>4</v>
      </c>
      <c r="H67">
        <f>RAW_DATA!H67</f>
        <v>3</v>
      </c>
      <c r="I67" t="str">
        <f>RAW_DATA!I67</f>
        <v>Divorced</v>
      </c>
      <c r="J67">
        <f>RAW_DATA!J67</f>
        <v>14756</v>
      </c>
      <c r="K67">
        <f>RAW_DATA!K67</f>
        <v>2</v>
      </c>
      <c r="L67">
        <f>RAW_DATA!L67</f>
        <v>3</v>
      </c>
      <c r="M67">
        <f>RAW_DATA!M67</f>
        <v>5</v>
      </c>
      <c r="N67">
        <f t="shared" ref="N67:N130" si="2" xml:space="preserve"> IF(B67 ="Yes",1,0)</f>
        <v>0</v>
      </c>
      <c r="O67" t="str">
        <f xml:space="preserve"> VLOOKUP(A67, Lookup_Tables!$G$2:$H$6,2,TRUE)</f>
        <v>55+</v>
      </c>
      <c r="P67" t="str">
        <f>_xlfn.XLOOKUP(J67,Lookup_Tables!$J$2:$J$4,Lookup_Tables!$K$2:$K$4, " ",-1)</f>
        <v>High</v>
      </c>
      <c r="Q67" t="str">
        <f xml:space="preserve"> _xlfn.XLOOKUP(M67, Lookup_Tables!$M$2:$M$5,Lookup_Tables!$N$2:$N$5," ", -1)</f>
        <v>Established (5-10)</v>
      </c>
      <c r="R67" s="4">
        <f t="shared" ref="R67:R130" si="3">AVERAGE(G67,H67,L67)</f>
        <v>3.3333333333333335</v>
      </c>
      <c r="S67" t="str">
        <f xml:space="preserve"> _xlfn.XLOOKUP( E67, Lookup_Tables!$A$2:$A$6,Lookup_Tables!$B$2:$B$6," ", -1)</f>
        <v>Bachelor</v>
      </c>
      <c r="T67" t="str">
        <f>_xlfn.XLOOKUP(G67,Lookup_Tables!$D$2:$D$5,Lookup_Tables!$E$2:$E$5)</f>
        <v>Very High</v>
      </c>
      <c r="U67" t="str">
        <f>_xlfn.XLOOKUP(H67,Lookup_Tables!$D$2:$D$5,Lookup_Tables!$E$2:$E$5)</f>
        <v>High</v>
      </c>
      <c r="V67" t="str">
        <f>_xlfn.XLOOKUP(L67,Lookup_Tables!$D$2:$D$5,Lookup_Tables!$E$2:$E$5)</f>
        <v>High</v>
      </c>
    </row>
    <row r="68" spans="1:22">
      <c r="A68">
        <f>RAW_DATA!A68</f>
        <v>36</v>
      </c>
      <c r="B68" t="str">
        <f>RAW_DATA!B68</f>
        <v>No</v>
      </c>
      <c r="C68" t="str">
        <f>RAW_DATA!C68</f>
        <v>Research &amp; Development</v>
      </c>
      <c r="D68">
        <f>RAW_DATA!D68</f>
        <v>11</v>
      </c>
      <c r="E68">
        <f>RAW_DATA!E68</f>
        <v>3</v>
      </c>
      <c r="F68" t="str">
        <f>RAW_DATA!F68</f>
        <v>Life Sciences</v>
      </c>
      <c r="G68">
        <f>RAW_DATA!G68</f>
        <v>2</v>
      </c>
      <c r="H68">
        <f>RAW_DATA!H68</f>
        <v>2</v>
      </c>
      <c r="I68" t="str">
        <f>RAW_DATA!I68</f>
        <v>Single</v>
      </c>
      <c r="J68">
        <f>RAW_DATA!J68</f>
        <v>6499</v>
      </c>
      <c r="K68">
        <f>RAW_DATA!K68</f>
        <v>1</v>
      </c>
      <c r="L68">
        <f>RAW_DATA!L68</f>
        <v>3</v>
      </c>
      <c r="M68">
        <f>RAW_DATA!M68</f>
        <v>6</v>
      </c>
      <c r="N68">
        <f t="shared" si="2"/>
        <v>0</v>
      </c>
      <c r="O68" t="str">
        <f xml:space="preserve"> VLOOKUP(A68, Lookup_Tables!$G$2:$H$6,2,TRUE)</f>
        <v>35-44</v>
      </c>
      <c r="P68" t="str">
        <f>_xlfn.XLOOKUP(J68,Lookup_Tables!$J$2:$J$4,Lookup_Tables!$K$2:$K$4, " ",-1)</f>
        <v>Medium</v>
      </c>
      <c r="Q68" t="str">
        <f xml:space="preserve"> _xlfn.XLOOKUP(M68, Lookup_Tables!$M$2:$M$5,Lookup_Tables!$N$2:$N$5," ", -1)</f>
        <v>Established (5-10)</v>
      </c>
      <c r="R68" s="4">
        <f t="shared" si="3"/>
        <v>2.3333333333333335</v>
      </c>
      <c r="S68" t="str">
        <f xml:space="preserve"> _xlfn.XLOOKUP( E68, Lookup_Tables!$A$2:$A$6,Lookup_Tables!$B$2:$B$6," ", -1)</f>
        <v>Bachelor</v>
      </c>
      <c r="T68" t="str">
        <f>_xlfn.XLOOKUP(G68,Lookup_Tables!$D$2:$D$5,Lookup_Tables!$E$2:$E$5)</f>
        <v>Medium</v>
      </c>
      <c r="U68" t="str">
        <f>_xlfn.XLOOKUP(H68,Lookup_Tables!$D$2:$D$5,Lookup_Tables!$E$2:$E$5)</f>
        <v>Medium</v>
      </c>
      <c r="V68" t="str">
        <f>_xlfn.XLOOKUP(L68,Lookup_Tables!$D$2:$D$5,Lookup_Tables!$E$2:$E$5)</f>
        <v>High</v>
      </c>
    </row>
    <row r="69" spans="1:22">
      <c r="A69">
        <f>RAW_DATA!A69</f>
        <v>45</v>
      </c>
      <c r="B69" t="str">
        <f>RAW_DATA!B69</f>
        <v>No</v>
      </c>
      <c r="C69" t="str">
        <f>RAW_DATA!C69</f>
        <v>Research &amp; Development</v>
      </c>
      <c r="D69">
        <f>RAW_DATA!D69</f>
        <v>7</v>
      </c>
      <c r="E69">
        <f>RAW_DATA!E69</f>
        <v>3</v>
      </c>
      <c r="F69" t="str">
        <f>RAW_DATA!F69</f>
        <v>Life Sciences</v>
      </c>
      <c r="G69">
        <f>RAW_DATA!G69</f>
        <v>2</v>
      </c>
      <c r="H69">
        <f>RAW_DATA!H69</f>
        <v>1</v>
      </c>
      <c r="I69" t="str">
        <f>RAW_DATA!I69</f>
        <v>Divorced</v>
      </c>
      <c r="J69">
        <f>RAW_DATA!J69</f>
        <v>9724</v>
      </c>
      <c r="K69">
        <f>RAW_DATA!K69</f>
        <v>2</v>
      </c>
      <c r="L69">
        <f>RAW_DATA!L69</f>
        <v>3</v>
      </c>
      <c r="M69">
        <f>RAW_DATA!M69</f>
        <v>1</v>
      </c>
      <c r="N69">
        <f t="shared" si="2"/>
        <v>0</v>
      </c>
      <c r="O69" t="str">
        <f xml:space="preserve"> VLOOKUP(A69, Lookup_Tables!$G$2:$H$6,2,TRUE)</f>
        <v>45-54</v>
      </c>
      <c r="P69" t="str">
        <f>_xlfn.XLOOKUP(J69,Lookup_Tables!$J$2:$J$4,Lookup_Tables!$K$2:$K$4, " ",-1)</f>
        <v>High</v>
      </c>
      <c r="Q69" t="str">
        <f xml:space="preserve"> _xlfn.XLOOKUP(M69, Lookup_Tables!$M$2:$M$5,Lookup_Tables!$N$2:$N$5," ", -1)</f>
        <v>New (0-2)</v>
      </c>
      <c r="R69" s="4">
        <f t="shared" si="3"/>
        <v>2</v>
      </c>
      <c r="S69" t="str">
        <f xml:space="preserve"> _xlfn.XLOOKUP( E69, Lookup_Tables!$A$2:$A$6,Lookup_Tables!$B$2:$B$6," ", -1)</f>
        <v>Bachelor</v>
      </c>
      <c r="T69" t="str">
        <f>_xlfn.XLOOKUP(G69,Lookup_Tables!$D$2:$D$5,Lookup_Tables!$E$2:$E$5)</f>
        <v>Medium</v>
      </c>
      <c r="U69" t="str">
        <f>_xlfn.XLOOKUP(H69,Lookup_Tables!$D$2:$D$5,Lookup_Tables!$E$2:$E$5)</f>
        <v>Low</v>
      </c>
      <c r="V69" t="str">
        <f>_xlfn.XLOOKUP(L69,Lookup_Tables!$D$2:$D$5,Lookup_Tables!$E$2:$E$5)</f>
        <v>High</v>
      </c>
    </row>
    <row r="70" spans="1:22">
      <c r="A70">
        <f>RAW_DATA!A70</f>
        <v>35</v>
      </c>
      <c r="B70" t="str">
        <f>RAW_DATA!B70</f>
        <v>No</v>
      </c>
      <c r="C70" t="str">
        <f>RAW_DATA!C70</f>
        <v>Research &amp; Development</v>
      </c>
      <c r="D70">
        <f>RAW_DATA!D70</f>
        <v>1</v>
      </c>
      <c r="E70">
        <f>RAW_DATA!E70</f>
        <v>3</v>
      </c>
      <c r="F70" t="str">
        <f>RAW_DATA!F70</f>
        <v>Medical</v>
      </c>
      <c r="G70">
        <f>RAW_DATA!G70</f>
        <v>2</v>
      </c>
      <c r="H70">
        <f>RAW_DATA!H70</f>
        <v>1</v>
      </c>
      <c r="I70" t="str">
        <f>RAW_DATA!I70</f>
        <v>Married</v>
      </c>
      <c r="J70">
        <f>RAW_DATA!J70</f>
        <v>2194</v>
      </c>
      <c r="K70">
        <f>RAW_DATA!K70</f>
        <v>4</v>
      </c>
      <c r="L70">
        <f>RAW_DATA!L70</f>
        <v>2</v>
      </c>
      <c r="M70">
        <f>RAW_DATA!M70</f>
        <v>3</v>
      </c>
      <c r="N70">
        <f t="shared" si="2"/>
        <v>0</v>
      </c>
      <c r="O70" t="str">
        <f xml:space="preserve"> VLOOKUP(A70, Lookup_Tables!$G$2:$H$6,2,TRUE)</f>
        <v>35-44</v>
      </c>
      <c r="P70" t="str">
        <f>_xlfn.XLOOKUP(J70,Lookup_Tables!$J$2:$J$4,Lookup_Tables!$K$2:$K$4, " ",-1)</f>
        <v>Low</v>
      </c>
      <c r="Q70" t="str">
        <f xml:space="preserve"> _xlfn.XLOOKUP(M70, Lookup_Tables!$M$2:$M$5,Lookup_Tables!$N$2:$N$5," ", -1)</f>
        <v>Early (2-5)</v>
      </c>
      <c r="R70" s="4">
        <f t="shared" si="3"/>
        <v>1.6666666666666667</v>
      </c>
      <c r="S70" t="str">
        <f xml:space="preserve"> _xlfn.XLOOKUP( E70, Lookup_Tables!$A$2:$A$6,Lookup_Tables!$B$2:$B$6," ", -1)</f>
        <v>Bachelor</v>
      </c>
      <c r="T70" t="str">
        <f>_xlfn.XLOOKUP(G70,Lookup_Tables!$D$2:$D$5,Lookup_Tables!$E$2:$E$5)</f>
        <v>Medium</v>
      </c>
      <c r="U70" t="str">
        <f>_xlfn.XLOOKUP(H70,Lookup_Tables!$D$2:$D$5,Lookup_Tables!$E$2:$E$5)</f>
        <v>Low</v>
      </c>
      <c r="V70" t="str">
        <f>_xlfn.XLOOKUP(L70,Lookup_Tables!$D$2:$D$5,Lookup_Tables!$E$2:$E$5)</f>
        <v>Medium</v>
      </c>
    </row>
    <row r="71" spans="1:22">
      <c r="A71">
        <f>RAW_DATA!A71</f>
        <v>36</v>
      </c>
      <c r="B71" t="str">
        <f>RAW_DATA!B71</f>
        <v>Yes</v>
      </c>
      <c r="C71" t="str">
        <f>RAW_DATA!C71</f>
        <v>Research &amp; Development</v>
      </c>
      <c r="D71">
        <f>RAW_DATA!D71</f>
        <v>9</v>
      </c>
      <c r="E71">
        <f>RAW_DATA!E71</f>
        <v>3</v>
      </c>
      <c r="F71" t="str">
        <f>RAW_DATA!F71</f>
        <v>Medical</v>
      </c>
      <c r="G71">
        <f>RAW_DATA!G71</f>
        <v>4</v>
      </c>
      <c r="H71">
        <f>RAW_DATA!H71</f>
        <v>3</v>
      </c>
      <c r="I71" t="str">
        <f>RAW_DATA!I71</f>
        <v>Married</v>
      </c>
      <c r="J71">
        <f>RAW_DATA!J71</f>
        <v>3388</v>
      </c>
      <c r="K71">
        <f>RAW_DATA!K71</f>
        <v>0</v>
      </c>
      <c r="L71">
        <f>RAW_DATA!L71</f>
        <v>2</v>
      </c>
      <c r="M71">
        <f>RAW_DATA!M71</f>
        <v>1</v>
      </c>
      <c r="N71">
        <f t="shared" si="2"/>
        <v>1</v>
      </c>
      <c r="O71" t="str">
        <f xml:space="preserve"> VLOOKUP(A71, Lookup_Tables!$G$2:$H$6,2,TRUE)</f>
        <v>35-44</v>
      </c>
      <c r="P71" t="str">
        <f>_xlfn.XLOOKUP(J71,Lookup_Tables!$J$2:$J$4,Lookup_Tables!$K$2:$K$4, " ",-1)</f>
        <v>Medium</v>
      </c>
      <c r="Q71" t="str">
        <f xml:space="preserve"> _xlfn.XLOOKUP(M71, Lookup_Tables!$M$2:$M$5,Lookup_Tables!$N$2:$N$5," ", -1)</f>
        <v>New (0-2)</v>
      </c>
      <c r="R71" s="4">
        <f t="shared" si="3"/>
        <v>3</v>
      </c>
      <c r="S71" t="str">
        <f xml:space="preserve"> _xlfn.XLOOKUP( E71, Lookup_Tables!$A$2:$A$6,Lookup_Tables!$B$2:$B$6," ", -1)</f>
        <v>Bachelor</v>
      </c>
      <c r="T71" t="str">
        <f>_xlfn.XLOOKUP(G71,Lookup_Tables!$D$2:$D$5,Lookup_Tables!$E$2:$E$5)</f>
        <v>Very High</v>
      </c>
      <c r="U71" t="str">
        <f>_xlfn.XLOOKUP(H71,Lookup_Tables!$D$2:$D$5,Lookup_Tables!$E$2:$E$5)</f>
        <v>High</v>
      </c>
      <c r="V71" t="str">
        <f>_xlfn.XLOOKUP(L71,Lookup_Tables!$D$2:$D$5,Lookup_Tables!$E$2:$E$5)</f>
        <v>Medium</v>
      </c>
    </row>
    <row r="72" spans="1:22">
      <c r="A72">
        <f>RAW_DATA!A72</f>
        <v>59</v>
      </c>
      <c r="B72" t="str">
        <f>RAW_DATA!B72</f>
        <v>No</v>
      </c>
      <c r="C72" t="str">
        <f>RAW_DATA!C72</f>
        <v>Sales</v>
      </c>
      <c r="D72">
        <f>RAW_DATA!D72</f>
        <v>1</v>
      </c>
      <c r="E72">
        <f>RAW_DATA!E72</f>
        <v>1</v>
      </c>
      <c r="F72" t="str">
        <f>RAW_DATA!F72</f>
        <v>Life Sciences</v>
      </c>
      <c r="G72">
        <f>RAW_DATA!G72</f>
        <v>1</v>
      </c>
      <c r="H72">
        <f>RAW_DATA!H72</f>
        <v>3</v>
      </c>
      <c r="I72" t="str">
        <f>RAW_DATA!I72</f>
        <v>Single</v>
      </c>
      <c r="J72">
        <f>RAW_DATA!J72</f>
        <v>5473</v>
      </c>
      <c r="K72">
        <f>RAW_DATA!K72</f>
        <v>7</v>
      </c>
      <c r="L72">
        <f>RAW_DATA!L72</f>
        <v>2</v>
      </c>
      <c r="M72">
        <f>RAW_DATA!M72</f>
        <v>4</v>
      </c>
      <c r="N72">
        <f t="shared" si="2"/>
        <v>0</v>
      </c>
      <c r="O72" t="str">
        <f xml:space="preserve"> VLOOKUP(A72, Lookup_Tables!$G$2:$H$6,2,TRUE)</f>
        <v>55+</v>
      </c>
      <c r="P72" t="str">
        <f>_xlfn.XLOOKUP(J72,Lookup_Tables!$J$2:$J$4,Lookup_Tables!$K$2:$K$4, " ",-1)</f>
        <v>Medium</v>
      </c>
      <c r="Q72" t="str">
        <f xml:space="preserve"> _xlfn.XLOOKUP(M72, Lookup_Tables!$M$2:$M$5,Lookup_Tables!$N$2:$N$5," ", -1)</f>
        <v>Early (2-5)</v>
      </c>
      <c r="R72" s="4">
        <f t="shared" si="3"/>
        <v>2</v>
      </c>
      <c r="S72" t="str">
        <f xml:space="preserve"> _xlfn.XLOOKUP( E72, Lookup_Tables!$A$2:$A$6,Lookup_Tables!$B$2:$B$6," ", -1)</f>
        <v>Below College</v>
      </c>
      <c r="T72" t="str">
        <f>_xlfn.XLOOKUP(G72,Lookup_Tables!$D$2:$D$5,Lookup_Tables!$E$2:$E$5)</f>
        <v>Low</v>
      </c>
      <c r="U72" t="str">
        <f>_xlfn.XLOOKUP(H72,Lookup_Tables!$D$2:$D$5,Lookup_Tables!$E$2:$E$5)</f>
        <v>High</v>
      </c>
      <c r="V72" t="str">
        <f>_xlfn.XLOOKUP(L72,Lookup_Tables!$D$2:$D$5,Lookup_Tables!$E$2:$E$5)</f>
        <v>Medium</v>
      </c>
    </row>
    <row r="73" spans="1:22">
      <c r="A73">
        <f>RAW_DATA!A73</f>
        <v>29</v>
      </c>
      <c r="B73" t="str">
        <f>RAW_DATA!B73</f>
        <v>No</v>
      </c>
      <c r="C73" t="str">
        <f>RAW_DATA!C73</f>
        <v>Research &amp; Development</v>
      </c>
      <c r="D73">
        <f>RAW_DATA!D73</f>
        <v>2</v>
      </c>
      <c r="E73">
        <f>RAW_DATA!E73</f>
        <v>3</v>
      </c>
      <c r="F73" t="str">
        <f>RAW_DATA!F73</f>
        <v>Life Sciences</v>
      </c>
      <c r="G73">
        <f>RAW_DATA!G73</f>
        <v>3</v>
      </c>
      <c r="H73">
        <f>RAW_DATA!H73</f>
        <v>2</v>
      </c>
      <c r="I73" t="str">
        <f>RAW_DATA!I73</f>
        <v>Married</v>
      </c>
      <c r="J73">
        <f>RAW_DATA!J73</f>
        <v>2703</v>
      </c>
      <c r="K73">
        <f>RAW_DATA!K73</f>
        <v>0</v>
      </c>
      <c r="L73">
        <f>RAW_DATA!L73</f>
        <v>3</v>
      </c>
      <c r="M73">
        <f>RAW_DATA!M73</f>
        <v>5</v>
      </c>
      <c r="N73">
        <f t="shared" si="2"/>
        <v>0</v>
      </c>
      <c r="O73" t="str">
        <f xml:space="preserve"> VLOOKUP(A73, Lookup_Tables!$G$2:$H$6,2,TRUE)</f>
        <v>25-34</v>
      </c>
      <c r="P73" t="str">
        <f>_xlfn.XLOOKUP(J73,Lookup_Tables!$J$2:$J$4,Lookup_Tables!$K$2:$K$4, " ",-1)</f>
        <v>Low</v>
      </c>
      <c r="Q73" t="str">
        <f xml:space="preserve"> _xlfn.XLOOKUP(M73, Lookup_Tables!$M$2:$M$5,Lookup_Tables!$N$2:$N$5," ", -1)</f>
        <v>Established (5-10)</v>
      </c>
      <c r="R73" s="4">
        <f t="shared" si="3"/>
        <v>2.6666666666666665</v>
      </c>
      <c r="S73" t="str">
        <f xml:space="preserve"> _xlfn.XLOOKUP( E73, Lookup_Tables!$A$2:$A$6,Lookup_Tables!$B$2:$B$6," ", -1)</f>
        <v>Bachelor</v>
      </c>
      <c r="T73" t="str">
        <f>_xlfn.XLOOKUP(G73,Lookup_Tables!$D$2:$D$5,Lookup_Tables!$E$2:$E$5)</f>
        <v>High</v>
      </c>
      <c r="U73" t="str">
        <f>_xlfn.XLOOKUP(H73,Lookup_Tables!$D$2:$D$5,Lookup_Tables!$E$2:$E$5)</f>
        <v>Medium</v>
      </c>
      <c r="V73" t="str">
        <f>_xlfn.XLOOKUP(L73,Lookup_Tables!$D$2:$D$5,Lookup_Tables!$E$2:$E$5)</f>
        <v>High</v>
      </c>
    </row>
    <row r="74" spans="1:22">
      <c r="A74">
        <f>RAW_DATA!A74</f>
        <v>31</v>
      </c>
      <c r="B74" t="str">
        <f>RAW_DATA!B74</f>
        <v>No</v>
      </c>
      <c r="C74" t="str">
        <f>RAW_DATA!C74</f>
        <v>Research &amp; Development</v>
      </c>
      <c r="D74">
        <f>RAW_DATA!D74</f>
        <v>1</v>
      </c>
      <c r="E74">
        <f>RAW_DATA!E74</f>
        <v>4</v>
      </c>
      <c r="F74" t="str">
        <f>RAW_DATA!F74</f>
        <v>Medical</v>
      </c>
      <c r="G74">
        <f>RAW_DATA!G74</f>
        <v>3</v>
      </c>
      <c r="H74">
        <f>RAW_DATA!H74</f>
        <v>2</v>
      </c>
      <c r="I74" t="str">
        <f>RAW_DATA!I74</f>
        <v>Single</v>
      </c>
      <c r="J74">
        <f>RAW_DATA!J74</f>
        <v>2501</v>
      </c>
      <c r="K74">
        <f>RAW_DATA!K74</f>
        <v>1</v>
      </c>
      <c r="L74">
        <f>RAW_DATA!L74</f>
        <v>3</v>
      </c>
      <c r="M74">
        <f>RAW_DATA!M74</f>
        <v>1</v>
      </c>
      <c r="N74">
        <f t="shared" si="2"/>
        <v>0</v>
      </c>
      <c r="O74" t="str">
        <f xml:space="preserve"> VLOOKUP(A74, Lookup_Tables!$G$2:$H$6,2,TRUE)</f>
        <v>25-34</v>
      </c>
      <c r="P74" t="str">
        <f>_xlfn.XLOOKUP(J74,Lookup_Tables!$J$2:$J$4,Lookup_Tables!$K$2:$K$4, " ",-1)</f>
        <v>Low</v>
      </c>
      <c r="Q74" t="str">
        <f xml:space="preserve"> _xlfn.XLOOKUP(M74, Lookup_Tables!$M$2:$M$5,Lookup_Tables!$N$2:$N$5," ", -1)</f>
        <v>New (0-2)</v>
      </c>
      <c r="R74" s="4">
        <f t="shared" si="3"/>
        <v>2.6666666666666665</v>
      </c>
      <c r="S74" t="str">
        <f xml:space="preserve"> _xlfn.XLOOKUP( E74, Lookup_Tables!$A$2:$A$6,Lookup_Tables!$B$2:$B$6," ", -1)</f>
        <v>Master</v>
      </c>
      <c r="T74" t="str">
        <f>_xlfn.XLOOKUP(G74,Lookup_Tables!$D$2:$D$5,Lookup_Tables!$E$2:$E$5)</f>
        <v>High</v>
      </c>
      <c r="U74" t="str">
        <f>_xlfn.XLOOKUP(H74,Lookup_Tables!$D$2:$D$5,Lookup_Tables!$E$2:$E$5)</f>
        <v>Medium</v>
      </c>
      <c r="V74" t="str">
        <f>_xlfn.XLOOKUP(L74,Lookup_Tables!$D$2:$D$5,Lookup_Tables!$E$2:$E$5)</f>
        <v>High</v>
      </c>
    </row>
    <row r="75" spans="1:22">
      <c r="A75">
        <f>RAW_DATA!A75</f>
        <v>32</v>
      </c>
      <c r="B75" t="str">
        <f>RAW_DATA!B75</f>
        <v>No</v>
      </c>
      <c r="C75" t="str">
        <f>RAW_DATA!C75</f>
        <v>Research &amp; Development</v>
      </c>
      <c r="D75">
        <f>RAW_DATA!D75</f>
        <v>1</v>
      </c>
      <c r="E75">
        <f>RAW_DATA!E75</f>
        <v>3</v>
      </c>
      <c r="F75" t="str">
        <f>RAW_DATA!F75</f>
        <v>Life Sciences</v>
      </c>
      <c r="G75">
        <f>RAW_DATA!G75</f>
        <v>2</v>
      </c>
      <c r="H75">
        <f>RAW_DATA!H75</f>
        <v>2</v>
      </c>
      <c r="I75" t="str">
        <f>RAW_DATA!I75</f>
        <v>Married</v>
      </c>
      <c r="J75">
        <f>RAW_DATA!J75</f>
        <v>6220</v>
      </c>
      <c r="K75">
        <f>RAW_DATA!K75</f>
        <v>1</v>
      </c>
      <c r="L75">
        <f>RAW_DATA!L75</f>
        <v>3</v>
      </c>
      <c r="M75">
        <f>RAW_DATA!M75</f>
        <v>10</v>
      </c>
      <c r="N75">
        <f t="shared" si="2"/>
        <v>0</v>
      </c>
      <c r="O75" t="str">
        <f xml:space="preserve"> VLOOKUP(A75, Lookup_Tables!$G$2:$H$6,2,TRUE)</f>
        <v>25-34</v>
      </c>
      <c r="P75" t="str">
        <f>_xlfn.XLOOKUP(J75,Lookup_Tables!$J$2:$J$4,Lookup_Tables!$K$2:$K$4, " ",-1)</f>
        <v>Medium</v>
      </c>
      <c r="Q75" t="str">
        <f xml:space="preserve"> _xlfn.XLOOKUP(M75, Lookup_Tables!$M$2:$M$5,Lookup_Tables!$N$2:$N$5," ", -1)</f>
        <v>Veteran (10+)</v>
      </c>
      <c r="R75" s="4">
        <f t="shared" si="3"/>
        <v>2.3333333333333335</v>
      </c>
      <c r="S75" t="str">
        <f xml:space="preserve"> _xlfn.XLOOKUP( E75, Lookup_Tables!$A$2:$A$6,Lookup_Tables!$B$2:$B$6," ", -1)</f>
        <v>Bachelor</v>
      </c>
      <c r="T75" t="str">
        <f>_xlfn.XLOOKUP(G75,Lookup_Tables!$D$2:$D$5,Lookup_Tables!$E$2:$E$5)</f>
        <v>Medium</v>
      </c>
      <c r="U75" t="str">
        <f>_xlfn.XLOOKUP(H75,Lookup_Tables!$D$2:$D$5,Lookup_Tables!$E$2:$E$5)</f>
        <v>Medium</v>
      </c>
      <c r="V75" t="str">
        <f>_xlfn.XLOOKUP(L75,Lookup_Tables!$D$2:$D$5,Lookup_Tables!$E$2:$E$5)</f>
        <v>High</v>
      </c>
    </row>
    <row r="76" spans="1:22">
      <c r="A76">
        <f>RAW_DATA!A76</f>
        <v>36</v>
      </c>
      <c r="B76" t="str">
        <f>RAW_DATA!B76</f>
        <v>No</v>
      </c>
      <c r="C76" t="str">
        <f>RAW_DATA!C76</f>
        <v>Research &amp; Development</v>
      </c>
      <c r="D76">
        <f>RAW_DATA!D76</f>
        <v>6</v>
      </c>
      <c r="E76">
        <f>RAW_DATA!E76</f>
        <v>3</v>
      </c>
      <c r="F76" t="str">
        <f>RAW_DATA!F76</f>
        <v>Life Sciences</v>
      </c>
      <c r="G76">
        <f>RAW_DATA!G76</f>
        <v>2</v>
      </c>
      <c r="H76">
        <f>RAW_DATA!H76</f>
        <v>4</v>
      </c>
      <c r="I76" t="str">
        <f>RAW_DATA!I76</f>
        <v>Married</v>
      </c>
      <c r="J76">
        <f>RAW_DATA!J76</f>
        <v>3038</v>
      </c>
      <c r="K76">
        <f>RAW_DATA!K76</f>
        <v>3</v>
      </c>
      <c r="L76">
        <f>RAW_DATA!L76</f>
        <v>3</v>
      </c>
      <c r="M76">
        <f>RAW_DATA!M76</f>
        <v>1</v>
      </c>
      <c r="N76">
        <f t="shared" si="2"/>
        <v>0</v>
      </c>
      <c r="O76" t="str">
        <f xml:space="preserve"> VLOOKUP(A76, Lookup_Tables!$G$2:$H$6,2,TRUE)</f>
        <v>35-44</v>
      </c>
      <c r="P76" t="str">
        <f>_xlfn.XLOOKUP(J76,Lookup_Tables!$J$2:$J$4,Lookup_Tables!$K$2:$K$4, " ",-1)</f>
        <v>Medium</v>
      </c>
      <c r="Q76" t="str">
        <f xml:space="preserve"> _xlfn.XLOOKUP(M76, Lookup_Tables!$M$2:$M$5,Lookup_Tables!$N$2:$N$5," ", -1)</f>
        <v>New (0-2)</v>
      </c>
      <c r="R76" s="4">
        <f t="shared" si="3"/>
        <v>3</v>
      </c>
      <c r="S76" t="str">
        <f xml:space="preserve"> _xlfn.XLOOKUP( E76, Lookup_Tables!$A$2:$A$6,Lookup_Tables!$B$2:$B$6," ", -1)</f>
        <v>Bachelor</v>
      </c>
      <c r="T76" t="str">
        <f>_xlfn.XLOOKUP(G76,Lookup_Tables!$D$2:$D$5,Lookup_Tables!$E$2:$E$5)</f>
        <v>Medium</v>
      </c>
      <c r="U76" t="str">
        <f>_xlfn.XLOOKUP(H76,Lookup_Tables!$D$2:$D$5,Lookup_Tables!$E$2:$E$5)</f>
        <v>Very High</v>
      </c>
      <c r="V76" t="str">
        <f>_xlfn.XLOOKUP(L76,Lookup_Tables!$D$2:$D$5,Lookup_Tables!$E$2:$E$5)</f>
        <v>High</v>
      </c>
    </row>
    <row r="77" spans="1:22">
      <c r="A77">
        <f>RAW_DATA!A77</f>
        <v>31</v>
      </c>
      <c r="B77" t="str">
        <f>RAW_DATA!B77</f>
        <v>No</v>
      </c>
      <c r="C77" t="str">
        <f>RAW_DATA!C77</f>
        <v>Research &amp; Development</v>
      </c>
      <c r="D77">
        <f>RAW_DATA!D77</f>
        <v>8</v>
      </c>
      <c r="E77">
        <f>RAW_DATA!E77</f>
        <v>4</v>
      </c>
      <c r="F77" t="str">
        <f>RAW_DATA!F77</f>
        <v>Life Sciences</v>
      </c>
      <c r="G77">
        <f>RAW_DATA!G77</f>
        <v>3</v>
      </c>
      <c r="H77">
        <f>RAW_DATA!H77</f>
        <v>4</v>
      </c>
      <c r="I77" t="str">
        <f>RAW_DATA!I77</f>
        <v>Single</v>
      </c>
      <c r="J77">
        <f>RAW_DATA!J77</f>
        <v>4424</v>
      </c>
      <c r="K77">
        <f>RAW_DATA!K77</f>
        <v>1</v>
      </c>
      <c r="L77">
        <f>RAW_DATA!L77</f>
        <v>3</v>
      </c>
      <c r="M77">
        <f>RAW_DATA!M77</f>
        <v>11</v>
      </c>
      <c r="N77">
        <f t="shared" si="2"/>
        <v>0</v>
      </c>
      <c r="O77" t="str">
        <f xml:space="preserve"> VLOOKUP(A77, Lookup_Tables!$G$2:$H$6,2,TRUE)</f>
        <v>25-34</v>
      </c>
      <c r="P77" t="str">
        <f>_xlfn.XLOOKUP(J77,Lookup_Tables!$J$2:$J$4,Lookup_Tables!$K$2:$K$4, " ",-1)</f>
        <v>Medium</v>
      </c>
      <c r="Q77" t="str">
        <f xml:space="preserve"> _xlfn.XLOOKUP(M77, Lookup_Tables!$M$2:$M$5,Lookup_Tables!$N$2:$N$5," ", -1)</f>
        <v>Veteran (10+)</v>
      </c>
      <c r="R77" s="4">
        <f t="shared" si="3"/>
        <v>3.3333333333333335</v>
      </c>
      <c r="S77" t="str">
        <f xml:space="preserve"> _xlfn.XLOOKUP( E77, Lookup_Tables!$A$2:$A$6,Lookup_Tables!$B$2:$B$6," ", -1)</f>
        <v>Master</v>
      </c>
      <c r="T77" t="str">
        <f>_xlfn.XLOOKUP(G77,Lookup_Tables!$D$2:$D$5,Lookup_Tables!$E$2:$E$5)</f>
        <v>High</v>
      </c>
      <c r="U77" t="str">
        <f>_xlfn.XLOOKUP(H77,Lookup_Tables!$D$2:$D$5,Lookup_Tables!$E$2:$E$5)</f>
        <v>Very High</v>
      </c>
      <c r="V77" t="str">
        <f>_xlfn.XLOOKUP(L77,Lookup_Tables!$D$2:$D$5,Lookup_Tables!$E$2:$E$5)</f>
        <v>High</v>
      </c>
    </row>
    <row r="78" spans="1:22">
      <c r="A78">
        <f>RAW_DATA!A78</f>
        <v>35</v>
      </c>
      <c r="B78" t="str">
        <f>RAW_DATA!B78</f>
        <v>No</v>
      </c>
      <c r="C78" t="str">
        <f>RAW_DATA!C78</f>
        <v>Sales</v>
      </c>
      <c r="D78">
        <f>RAW_DATA!D78</f>
        <v>1</v>
      </c>
      <c r="E78">
        <f>RAW_DATA!E78</f>
        <v>4</v>
      </c>
      <c r="F78" t="str">
        <f>RAW_DATA!F78</f>
        <v>Marketing</v>
      </c>
      <c r="G78">
        <f>RAW_DATA!G78</f>
        <v>3</v>
      </c>
      <c r="H78">
        <f>RAW_DATA!H78</f>
        <v>1</v>
      </c>
      <c r="I78" t="str">
        <f>RAW_DATA!I78</f>
        <v>Single</v>
      </c>
      <c r="J78">
        <f>RAW_DATA!J78</f>
        <v>4312</v>
      </c>
      <c r="K78">
        <f>RAW_DATA!K78</f>
        <v>0</v>
      </c>
      <c r="L78">
        <f>RAW_DATA!L78</f>
        <v>3</v>
      </c>
      <c r="M78">
        <f>RAW_DATA!M78</f>
        <v>15</v>
      </c>
      <c r="N78">
        <f t="shared" si="2"/>
        <v>0</v>
      </c>
      <c r="O78" t="str">
        <f xml:space="preserve"> VLOOKUP(A78, Lookup_Tables!$G$2:$H$6,2,TRUE)</f>
        <v>35-44</v>
      </c>
      <c r="P78" t="str">
        <f>_xlfn.XLOOKUP(J78,Lookup_Tables!$J$2:$J$4,Lookup_Tables!$K$2:$K$4, " ",-1)</f>
        <v>Medium</v>
      </c>
      <c r="Q78" t="str">
        <f xml:space="preserve"> _xlfn.XLOOKUP(M78, Lookup_Tables!$M$2:$M$5,Lookup_Tables!$N$2:$N$5," ", -1)</f>
        <v>Veteran (10+)</v>
      </c>
      <c r="R78" s="4">
        <f t="shared" si="3"/>
        <v>2.3333333333333335</v>
      </c>
      <c r="S78" t="str">
        <f xml:space="preserve"> _xlfn.XLOOKUP( E78, Lookup_Tables!$A$2:$A$6,Lookup_Tables!$B$2:$B$6," ", -1)</f>
        <v>Master</v>
      </c>
      <c r="T78" t="str">
        <f>_xlfn.XLOOKUP(G78,Lookup_Tables!$D$2:$D$5,Lookup_Tables!$E$2:$E$5)</f>
        <v>High</v>
      </c>
      <c r="U78" t="str">
        <f>_xlfn.XLOOKUP(H78,Lookup_Tables!$D$2:$D$5,Lookup_Tables!$E$2:$E$5)</f>
        <v>Low</v>
      </c>
      <c r="V78" t="str">
        <f>_xlfn.XLOOKUP(L78,Lookup_Tables!$D$2:$D$5,Lookup_Tables!$E$2:$E$5)</f>
        <v>High</v>
      </c>
    </row>
    <row r="79" spans="1:22">
      <c r="A79">
        <f>RAW_DATA!A79</f>
        <v>45</v>
      </c>
      <c r="B79" t="str">
        <f>RAW_DATA!B79</f>
        <v>No</v>
      </c>
      <c r="C79" t="str">
        <f>RAW_DATA!C79</f>
        <v>Research &amp; Development</v>
      </c>
      <c r="D79">
        <f>RAW_DATA!D79</f>
        <v>6</v>
      </c>
      <c r="E79">
        <f>RAW_DATA!E79</f>
        <v>4</v>
      </c>
      <c r="F79" t="str">
        <f>RAW_DATA!F79</f>
        <v>Other</v>
      </c>
      <c r="G79">
        <f>RAW_DATA!G79</f>
        <v>4</v>
      </c>
      <c r="H79">
        <f>RAW_DATA!H79</f>
        <v>1</v>
      </c>
      <c r="I79" t="str">
        <f>RAW_DATA!I79</f>
        <v>Married</v>
      </c>
      <c r="J79">
        <f>RAW_DATA!J79</f>
        <v>13245</v>
      </c>
      <c r="K79">
        <f>RAW_DATA!K79</f>
        <v>4</v>
      </c>
      <c r="L79">
        <f>RAW_DATA!L79</f>
        <v>4</v>
      </c>
      <c r="M79">
        <f>RAW_DATA!M79</f>
        <v>0</v>
      </c>
      <c r="N79">
        <f t="shared" si="2"/>
        <v>0</v>
      </c>
      <c r="O79" t="str">
        <f xml:space="preserve"> VLOOKUP(A79, Lookup_Tables!$G$2:$H$6,2,TRUE)</f>
        <v>45-54</v>
      </c>
      <c r="P79" t="str">
        <f>_xlfn.XLOOKUP(J79,Lookup_Tables!$J$2:$J$4,Lookup_Tables!$K$2:$K$4, " ",-1)</f>
        <v>High</v>
      </c>
      <c r="Q79" t="str">
        <f xml:space="preserve"> _xlfn.XLOOKUP(M79, Lookup_Tables!$M$2:$M$5,Lookup_Tables!$N$2:$N$5," ", -1)</f>
        <v>New (0-2)</v>
      </c>
      <c r="R79" s="4">
        <f t="shared" si="3"/>
        <v>3</v>
      </c>
      <c r="S79" t="str">
        <f xml:space="preserve"> _xlfn.XLOOKUP( E79, Lookup_Tables!$A$2:$A$6,Lookup_Tables!$B$2:$B$6," ", -1)</f>
        <v>Master</v>
      </c>
      <c r="T79" t="str">
        <f>_xlfn.XLOOKUP(G79,Lookup_Tables!$D$2:$D$5,Lookup_Tables!$E$2:$E$5)</f>
        <v>Very High</v>
      </c>
      <c r="U79" t="str">
        <f>_xlfn.XLOOKUP(H79,Lookup_Tables!$D$2:$D$5,Lookup_Tables!$E$2:$E$5)</f>
        <v>Low</v>
      </c>
      <c r="V79" t="str">
        <f>_xlfn.XLOOKUP(L79,Lookup_Tables!$D$2:$D$5,Lookup_Tables!$E$2:$E$5)</f>
        <v>Very High</v>
      </c>
    </row>
    <row r="80" spans="1:22">
      <c r="A80">
        <f>RAW_DATA!A80</f>
        <v>37</v>
      </c>
      <c r="B80" t="str">
        <f>RAW_DATA!B80</f>
        <v>No</v>
      </c>
      <c r="C80" t="str">
        <f>RAW_DATA!C80</f>
        <v>Research &amp; Development</v>
      </c>
      <c r="D80">
        <f>RAW_DATA!D80</f>
        <v>7</v>
      </c>
      <c r="E80">
        <f>RAW_DATA!E80</f>
        <v>4</v>
      </c>
      <c r="F80" t="str">
        <f>RAW_DATA!F80</f>
        <v>Medical</v>
      </c>
      <c r="G80">
        <f>RAW_DATA!G80</f>
        <v>1</v>
      </c>
      <c r="H80">
        <f>RAW_DATA!H80</f>
        <v>3</v>
      </c>
      <c r="I80" t="str">
        <f>RAW_DATA!I80</f>
        <v>Single</v>
      </c>
      <c r="J80">
        <f>RAW_DATA!J80</f>
        <v>13664</v>
      </c>
      <c r="K80">
        <f>RAW_DATA!K80</f>
        <v>4</v>
      </c>
      <c r="L80">
        <f>RAW_DATA!L80</f>
        <v>4</v>
      </c>
      <c r="M80">
        <f>RAW_DATA!M80</f>
        <v>5</v>
      </c>
      <c r="N80">
        <f t="shared" si="2"/>
        <v>0</v>
      </c>
      <c r="O80" t="str">
        <f xml:space="preserve"> VLOOKUP(A80, Lookup_Tables!$G$2:$H$6,2,TRUE)</f>
        <v>35-44</v>
      </c>
      <c r="P80" t="str">
        <f>_xlfn.XLOOKUP(J80,Lookup_Tables!$J$2:$J$4,Lookup_Tables!$K$2:$K$4, " ",-1)</f>
        <v>High</v>
      </c>
      <c r="Q80" t="str">
        <f xml:space="preserve"> _xlfn.XLOOKUP(M80, Lookup_Tables!$M$2:$M$5,Lookup_Tables!$N$2:$N$5," ", -1)</f>
        <v>Established (5-10)</v>
      </c>
      <c r="R80" s="4">
        <f t="shared" si="3"/>
        <v>2.6666666666666665</v>
      </c>
      <c r="S80" t="str">
        <f xml:space="preserve"> _xlfn.XLOOKUP( E80, Lookup_Tables!$A$2:$A$6,Lookup_Tables!$B$2:$B$6," ", -1)</f>
        <v>Master</v>
      </c>
      <c r="T80" t="str">
        <f>_xlfn.XLOOKUP(G80,Lookup_Tables!$D$2:$D$5,Lookup_Tables!$E$2:$E$5)</f>
        <v>Low</v>
      </c>
      <c r="U80" t="str">
        <f>_xlfn.XLOOKUP(H80,Lookup_Tables!$D$2:$D$5,Lookup_Tables!$E$2:$E$5)</f>
        <v>High</v>
      </c>
      <c r="V80" t="str">
        <f>_xlfn.XLOOKUP(L80,Lookup_Tables!$D$2:$D$5,Lookup_Tables!$E$2:$E$5)</f>
        <v>Very High</v>
      </c>
    </row>
    <row r="81" spans="1:22">
      <c r="A81">
        <f>RAW_DATA!A81</f>
        <v>46</v>
      </c>
      <c r="B81" t="str">
        <f>RAW_DATA!B81</f>
        <v>No</v>
      </c>
      <c r="C81" t="str">
        <f>RAW_DATA!C81</f>
        <v>Human Resources</v>
      </c>
      <c r="D81">
        <f>RAW_DATA!D81</f>
        <v>5</v>
      </c>
      <c r="E81">
        <f>RAW_DATA!E81</f>
        <v>2</v>
      </c>
      <c r="F81" t="str">
        <f>RAW_DATA!F81</f>
        <v>Medical</v>
      </c>
      <c r="G81">
        <f>RAW_DATA!G81</f>
        <v>2</v>
      </c>
      <c r="H81">
        <f>RAW_DATA!H81</f>
        <v>2</v>
      </c>
      <c r="I81" t="str">
        <f>RAW_DATA!I81</f>
        <v>Divorced</v>
      </c>
      <c r="J81">
        <f>RAW_DATA!J81</f>
        <v>5021</v>
      </c>
      <c r="K81">
        <f>RAW_DATA!K81</f>
        <v>8</v>
      </c>
      <c r="L81">
        <f>RAW_DATA!L81</f>
        <v>3</v>
      </c>
      <c r="M81">
        <f>RAW_DATA!M81</f>
        <v>4</v>
      </c>
      <c r="N81">
        <f t="shared" si="2"/>
        <v>0</v>
      </c>
      <c r="O81" t="str">
        <f xml:space="preserve"> VLOOKUP(A81, Lookup_Tables!$G$2:$H$6,2,TRUE)</f>
        <v>45-54</v>
      </c>
      <c r="P81" t="str">
        <f>_xlfn.XLOOKUP(J81,Lookup_Tables!$J$2:$J$4,Lookup_Tables!$K$2:$K$4, " ",-1)</f>
        <v>Medium</v>
      </c>
      <c r="Q81" t="str">
        <f xml:space="preserve"> _xlfn.XLOOKUP(M81, Lookup_Tables!$M$2:$M$5,Lookup_Tables!$N$2:$N$5," ", -1)</f>
        <v>Early (2-5)</v>
      </c>
      <c r="R81" s="4">
        <f t="shared" si="3"/>
        <v>2.3333333333333335</v>
      </c>
      <c r="S81" t="str">
        <f xml:space="preserve"> _xlfn.XLOOKUP( E81, Lookup_Tables!$A$2:$A$6,Lookup_Tables!$B$2:$B$6," ", -1)</f>
        <v>College</v>
      </c>
      <c r="T81" t="str">
        <f>_xlfn.XLOOKUP(G81,Lookup_Tables!$D$2:$D$5,Lookup_Tables!$E$2:$E$5)</f>
        <v>Medium</v>
      </c>
      <c r="U81" t="str">
        <f>_xlfn.XLOOKUP(H81,Lookup_Tables!$D$2:$D$5,Lookup_Tables!$E$2:$E$5)</f>
        <v>Medium</v>
      </c>
      <c r="V81" t="str">
        <f>_xlfn.XLOOKUP(L81,Lookup_Tables!$D$2:$D$5,Lookup_Tables!$E$2:$E$5)</f>
        <v>High</v>
      </c>
    </row>
    <row r="82" spans="1:22">
      <c r="A82">
        <f>RAW_DATA!A82</f>
        <v>30</v>
      </c>
      <c r="B82" t="str">
        <f>RAW_DATA!B82</f>
        <v>No</v>
      </c>
      <c r="C82" t="str">
        <f>RAW_DATA!C82</f>
        <v>Research &amp; Development</v>
      </c>
      <c r="D82">
        <f>RAW_DATA!D82</f>
        <v>1</v>
      </c>
      <c r="E82">
        <f>RAW_DATA!E82</f>
        <v>1</v>
      </c>
      <c r="F82" t="str">
        <f>RAW_DATA!F82</f>
        <v>Life Sciences</v>
      </c>
      <c r="G82">
        <f>RAW_DATA!G82</f>
        <v>4</v>
      </c>
      <c r="H82">
        <f>RAW_DATA!H82</f>
        <v>4</v>
      </c>
      <c r="I82" t="str">
        <f>RAW_DATA!I82</f>
        <v>Married</v>
      </c>
      <c r="J82">
        <f>RAW_DATA!J82</f>
        <v>5126</v>
      </c>
      <c r="K82">
        <f>RAW_DATA!K82</f>
        <v>1</v>
      </c>
      <c r="L82">
        <f>RAW_DATA!L82</f>
        <v>2</v>
      </c>
      <c r="M82">
        <f>RAW_DATA!M82</f>
        <v>10</v>
      </c>
      <c r="N82">
        <f t="shared" si="2"/>
        <v>0</v>
      </c>
      <c r="O82" t="str">
        <f xml:space="preserve"> VLOOKUP(A82, Lookup_Tables!$G$2:$H$6,2,TRUE)</f>
        <v>25-34</v>
      </c>
      <c r="P82" t="str">
        <f>_xlfn.XLOOKUP(J82,Lookup_Tables!$J$2:$J$4,Lookup_Tables!$K$2:$K$4, " ",-1)</f>
        <v>Medium</v>
      </c>
      <c r="Q82" t="str">
        <f xml:space="preserve"> _xlfn.XLOOKUP(M82, Lookup_Tables!$M$2:$M$5,Lookup_Tables!$N$2:$N$5," ", -1)</f>
        <v>Veteran (10+)</v>
      </c>
      <c r="R82" s="4">
        <f t="shared" si="3"/>
        <v>3.3333333333333335</v>
      </c>
      <c r="S82" t="str">
        <f xml:space="preserve"> _xlfn.XLOOKUP( E82, Lookup_Tables!$A$2:$A$6,Lookup_Tables!$B$2:$B$6," ", -1)</f>
        <v>Below College</v>
      </c>
      <c r="T82" t="str">
        <f>_xlfn.XLOOKUP(G82,Lookup_Tables!$D$2:$D$5,Lookup_Tables!$E$2:$E$5)</f>
        <v>Very High</v>
      </c>
      <c r="U82" t="str">
        <f>_xlfn.XLOOKUP(H82,Lookup_Tables!$D$2:$D$5,Lookup_Tables!$E$2:$E$5)</f>
        <v>Very High</v>
      </c>
      <c r="V82" t="str">
        <f>_xlfn.XLOOKUP(L82,Lookup_Tables!$D$2:$D$5,Lookup_Tables!$E$2:$E$5)</f>
        <v>Medium</v>
      </c>
    </row>
    <row r="83" spans="1:22">
      <c r="A83">
        <f>RAW_DATA!A83</f>
        <v>35</v>
      </c>
      <c r="B83" t="str">
        <f>RAW_DATA!B83</f>
        <v>No</v>
      </c>
      <c r="C83" t="str">
        <f>RAW_DATA!C83</f>
        <v>Research &amp; Development</v>
      </c>
      <c r="D83">
        <f>RAW_DATA!D83</f>
        <v>1</v>
      </c>
      <c r="E83">
        <f>RAW_DATA!E83</f>
        <v>3</v>
      </c>
      <c r="F83" t="str">
        <f>RAW_DATA!F83</f>
        <v>Medical</v>
      </c>
      <c r="G83">
        <f>RAW_DATA!G83</f>
        <v>2</v>
      </c>
      <c r="H83">
        <f>RAW_DATA!H83</f>
        <v>3</v>
      </c>
      <c r="I83" t="str">
        <f>RAW_DATA!I83</f>
        <v>Single</v>
      </c>
      <c r="J83">
        <f>RAW_DATA!J83</f>
        <v>2859</v>
      </c>
      <c r="K83">
        <f>RAW_DATA!K83</f>
        <v>1</v>
      </c>
      <c r="L83">
        <f>RAW_DATA!L83</f>
        <v>3</v>
      </c>
      <c r="M83">
        <f>RAW_DATA!M83</f>
        <v>6</v>
      </c>
      <c r="N83">
        <f t="shared" si="2"/>
        <v>0</v>
      </c>
      <c r="O83" t="str">
        <f xml:space="preserve"> VLOOKUP(A83, Lookup_Tables!$G$2:$H$6,2,TRUE)</f>
        <v>35-44</v>
      </c>
      <c r="P83" t="str">
        <f>_xlfn.XLOOKUP(J83,Lookup_Tables!$J$2:$J$4,Lookup_Tables!$K$2:$K$4, " ",-1)</f>
        <v>Low</v>
      </c>
      <c r="Q83" t="str">
        <f xml:space="preserve"> _xlfn.XLOOKUP(M83, Lookup_Tables!$M$2:$M$5,Lookup_Tables!$N$2:$N$5," ", -1)</f>
        <v>Established (5-10)</v>
      </c>
      <c r="R83" s="4">
        <f t="shared" si="3"/>
        <v>2.6666666666666665</v>
      </c>
      <c r="S83" t="str">
        <f xml:space="preserve"> _xlfn.XLOOKUP( E83, Lookup_Tables!$A$2:$A$6,Lookup_Tables!$B$2:$B$6," ", -1)</f>
        <v>Bachelor</v>
      </c>
      <c r="T83" t="str">
        <f>_xlfn.XLOOKUP(G83,Lookup_Tables!$D$2:$D$5,Lookup_Tables!$E$2:$E$5)</f>
        <v>Medium</v>
      </c>
      <c r="U83" t="str">
        <f>_xlfn.XLOOKUP(H83,Lookup_Tables!$D$2:$D$5,Lookup_Tables!$E$2:$E$5)</f>
        <v>High</v>
      </c>
      <c r="V83" t="str">
        <f>_xlfn.XLOOKUP(L83,Lookup_Tables!$D$2:$D$5,Lookup_Tables!$E$2:$E$5)</f>
        <v>High</v>
      </c>
    </row>
    <row r="84" spans="1:22">
      <c r="A84">
        <f>RAW_DATA!A84</f>
        <v>55</v>
      </c>
      <c r="B84" t="str">
        <f>RAW_DATA!B84</f>
        <v>No</v>
      </c>
      <c r="C84" t="str">
        <f>RAW_DATA!C84</f>
        <v>Sales</v>
      </c>
      <c r="D84">
        <f>RAW_DATA!D84</f>
        <v>1</v>
      </c>
      <c r="E84">
        <f>RAW_DATA!E84</f>
        <v>2</v>
      </c>
      <c r="F84" t="str">
        <f>RAW_DATA!F84</f>
        <v>Life Sciences</v>
      </c>
      <c r="G84">
        <f>RAW_DATA!G84</f>
        <v>1</v>
      </c>
      <c r="H84">
        <f>RAW_DATA!H84</f>
        <v>4</v>
      </c>
      <c r="I84" t="str">
        <f>RAW_DATA!I84</f>
        <v>Married</v>
      </c>
      <c r="J84">
        <f>RAW_DATA!J84</f>
        <v>10239</v>
      </c>
      <c r="K84">
        <f>RAW_DATA!K84</f>
        <v>3</v>
      </c>
      <c r="L84">
        <f>RAW_DATA!L84</f>
        <v>3</v>
      </c>
      <c r="M84">
        <f>RAW_DATA!M84</f>
        <v>1</v>
      </c>
      <c r="N84">
        <f t="shared" si="2"/>
        <v>0</v>
      </c>
      <c r="O84" t="str">
        <f xml:space="preserve"> VLOOKUP(A84, Lookup_Tables!$G$2:$H$6,2,TRUE)</f>
        <v>55+</v>
      </c>
      <c r="P84" t="str">
        <f>_xlfn.XLOOKUP(J84,Lookup_Tables!$J$2:$J$4,Lookup_Tables!$K$2:$K$4, " ",-1)</f>
        <v>High</v>
      </c>
      <c r="Q84" t="str">
        <f xml:space="preserve"> _xlfn.XLOOKUP(M84, Lookup_Tables!$M$2:$M$5,Lookup_Tables!$N$2:$N$5," ", -1)</f>
        <v>New (0-2)</v>
      </c>
      <c r="R84" s="4">
        <f t="shared" si="3"/>
        <v>2.6666666666666665</v>
      </c>
      <c r="S84" t="str">
        <f xml:space="preserve"> _xlfn.XLOOKUP( E84, Lookup_Tables!$A$2:$A$6,Lookup_Tables!$B$2:$B$6," ", -1)</f>
        <v>College</v>
      </c>
      <c r="T84" t="str">
        <f>_xlfn.XLOOKUP(G84,Lookup_Tables!$D$2:$D$5,Lookup_Tables!$E$2:$E$5)</f>
        <v>Low</v>
      </c>
      <c r="U84" t="str">
        <f>_xlfn.XLOOKUP(H84,Lookup_Tables!$D$2:$D$5,Lookup_Tables!$E$2:$E$5)</f>
        <v>Very High</v>
      </c>
      <c r="V84" t="str">
        <f>_xlfn.XLOOKUP(L84,Lookup_Tables!$D$2:$D$5,Lookup_Tables!$E$2:$E$5)</f>
        <v>High</v>
      </c>
    </row>
    <row r="85" spans="1:22">
      <c r="A85">
        <f>RAW_DATA!A85</f>
        <v>38</v>
      </c>
      <c r="B85" t="str">
        <f>RAW_DATA!B85</f>
        <v>No</v>
      </c>
      <c r="C85" t="str">
        <f>RAW_DATA!C85</f>
        <v>Research &amp; Development</v>
      </c>
      <c r="D85">
        <f>RAW_DATA!D85</f>
        <v>6</v>
      </c>
      <c r="E85">
        <f>RAW_DATA!E85</f>
        <v>3</v>
      </c>
      <c r="F85" t="str">
        <f>RAW_DATA!F85</f>
        <v>Medical</v>
      </c>
      <c r="G85">
        <f>RAW_DATA!G85</f>
        <v>2</v>
      </c>
      <c r="H85">
        <f>RAW_DATA!H85</f>
        <v>4</v>
      </c>
      <c r="I85" t="str">
        <f>RAW_DATA!I85</f>
        <v>Divorced</v>
      </c>
      <c r="J85">
        <f>RAW_DATA!J85</f>
        <v>5329</v>
      </c>
      <c r="K85">
        <f>RAW_DATA!K85</f>
        <v>7</v>
      </c>
      <c r="L85">
        <f>RAW_DATA!L85</f>
        <v>3</v>
      </c>
      <c r="M85">
        <f>RAW_DATA!M85</f>
        <v>13</v>
      </c>
      <c r="N85">
        <f t="shared" si="2"/>
        <v>0</v>
      </c>
      <c r="O85" t="str">
        <f xml:space="preserve"> VLOOKUP(A85, Lookup_Tables!$G$2:$H$6,2,TRUE)</f>
        <v>35-44</v>
      </c>
      <c r="P85" t="str">
        <f>_xlfn.XLOOKUP(J85,Lookup_Tables!$J$2:$J$4,Lookup_Tables!$K$2:$K$4, " ",-1)</f>
        <v>Medium</v>
      </c>
      <c r="Q85" t="str">
        <f xml:space="preserve"> _xlfn.XLOOKUP(M85, Lookup_Tables!$M$2:$M$5,Lookup_Tables!$N$2:$N$5," ", -1)</f>
        <v>Veteran (10+)</v>
      </c>
      <c r="R85" s="4">
        <f t="shared" si="3"/>
        <v>3</v>
      </c>
      <c r="S85" t="str">
        <f xml:space="preserve"> _xlfn.XLOOKUP( E85, Lookup_Tables!$A$2:$A$6,Lookup_Tables!$B$2:$B$6," ", -1)</f>
        <v>Bachelor</v>
      </c>
      <c r="T85" t="str">
        <f>_xlfn.XLOOKUP(G85,Lookup_Tables!$D$2:$D$5,Lookup_Tables!$E$2:$E$5)</f>
        <v>Medium</v>
      </c>
      <c r="U85" t="str">
        <f>_xlfn.XLOOKUP(H85,Lookup_Tables!$D$2:$D$5,Lookup_Tables!$E$2:$E$5)</f>
        <v>Very High</v>
      </c>
      <c r="V85" t="str">
        <f>_xlfn.XLOOKUP(L85,Lookup_Tables!$D$2:$D$5,Lookup_Tables!$E$2:$E$5)</f>
        <v>High</v>
      </c>
    </row>
    <row r="86" spans="1:22">
      <c r="A86">
        <f>RAW_DATA!A86</f>
        <v>34</v>
      </c>
      <c r="B86" t="str">
        <f>RAW_DATA!B86</f>
        <v>No</v>
      </c>
      <c r="C86" t="str">
        <f>RAW_DATA!C86</f>
        <v>Research &amp; Development</v>
      </c>
      <c r="D86">
        <f>RAW_DATA!D86</f>
        <v>1</v>
      </c>
      <c r="E86">
        <f>RAW_DATA!E86</f>
        <v>2</v>
      </c>
      <c r="F86" t="str">
        <f>RAW_DATA!F86</f>
        <v>Medical</v>
      </c>
      <c r="G86">
        <f>RAW_DATA!G86</f>
        <v>1</v>
      </c>
      <c r="H86">
        <f>RAW_DATA!H86</f>
        <v>2</v>
      </c>
      <c r="I86" t="str">
        <f>RAW_DATA!I86</f>
        <v>Married</v>
      </c>
      <c r="J86">
        <f>RAW_DATA!J86</f>
        <v>4325</v>
      </c>
      <c r="K86">
        <f>RAW_DATA!K86</f>
        <v>1</v>
      </c>
      <c r="L86">
        <f>RAW_DATA!L86</f>
        <v>3</v>
      </c>
      <c r="M86">
        <f>RAW_DATA!M86</f>
        <v>5</v>
      </c>
      <c r="N86">
        <f t="shared" si="2"/>
        <v>0</v>
      </c>
      <c r="O86" t="str">
        <f xml:space="preserve"> VLOOKUP(A86, Lookup_Tables!$G$2:$H$6,2,TRUE)</f>
        <v>25-34</v>
      </c>
      <c r="P86" t="str">
        <f>_xlfn.XLOOKUP(J86,Lookup_Tables!$J$2:$J$4,Lookup_Tables!$K$2:$K$4, " ",-1)</f>
        <v>Medium</v>
      </c>
      <c r="Q86" t="str">
        <f xml:space="preserve"> _xlfn.XLOOKUP(M86, Lookup_Tables!$M$2:$M$5,Lookup_Tables!$N$2:$N$5," ", -1)</f>
        <v>Established (5-10)</v>
      </c>
      <c r="R86" s="4">
        <f t="shared" si="3"/>
        <v>2</v>
      </c>
      <c r="S86" t="str">
        <f xml:space="preserve"> _xlfn.XLOOKUP( E86, Lookup_Tables!$A$2:$A$6,Lookup_Tables!$B$2:$B$6," ", -1)</f>
        <v>College</v>
      </c>
      <c r="T86" t="str">
        <f>_xlfn.XLOOKUP(G86,Lookup_Tables!$D$2:$D$5,Lookup_Tables!$E$2:$E$5)</f>
        <v>Low</v>
      </c>
      <c r="U86" t="str">
        <f>_xlfn.XLOOKUP(H86,Lookup_Tables!$D$2:$D$5,Lookup_Tables!$E$2:$E$5)</f>
        <v>Medium</v>
      </c>
      <c r="V86" t="str">
        <f>_xlfn.XLOOKUP(L86,Lookup_Tables!$D$2:$D$5,Lookup_Tables!$E$2:$E$5)</f>
        <v>High</v>
      </c>
    </row>
    <row r="87" spans="1:22">
      <c r="A87">
        <f>RAW_DATA!A87</f>
        <v>56</v>
      </c>
      <c r="B87" t="str">
        <f>RAW_DATA!B87</f>
        <v>No</v>
      </c>
      <c r="C87" t="str">
        <f>RAW_DATA!C87</f>
        <v>Research &amp; Development</v>
      </c>
      <c r="D87">
        <f>RAW_DATA!D87</f>
        <v>7</v>
      </c>
      <c r="E87">
        <f>RAW_DATA!E87</f>
        <v>3</v>
      </c>
      <c r="F87" t="str">
        <f>RAW_DATA!F87</f>
        <v>Life Sciences</v>
      </c>
      <c r="G87">
        <f>RAW_DATA!G87</f>
        <v>4</v>
      </c>
      <c r="H87">
        <f>RAW_DATA!H87</f>
        <v>4</v>
      </c>
      <c r="I87" t="str">
        <f>RAW_DATA!I87</f>
        <v>Single</v>
      </c>
      <c r="J87">
        <f>RAW_DATA!J87</f>
        <v>7260</v>
      </c>
      <c r="K87">
        <f>RAW_DATA!K87</f>
        <v>4</v>
      </c>
      <c r="L87">
        <f>RAW_DATA!L87</f>
        <v>2</v>
      </c>
      <c r="M87">
        <f>RAW_DATA!M87</f>
        <v>6</v>
      </c>
      <c r="N87">
        <f t="shared" si="2"/>
        <v>0</v>
      </c>
      <c r="O87" t="str">
        <f xml:space="preserve"> VLOOKUP(A87, Lookup_Tables!$G$2:$H$6,2,TRUE)</f>
        <v>55+</v>
      </c>
      <c r="P87" t="str">
        <f>_xlfn.XLOOKUP(J87,Lookup_Tables!$J$2:$J$4,Lookup_Tables!$K$2:$K$4, " ",-1)</f>
        <v>High</v>
      </c>
      <c r="Q87" t="str">
        <f xml:space="preserve"> _xlfn.XLOOKUP(M87, Lookup_Tables!$M$2:$M$5,Lookup_Tables!$N$2:$N$5," ", -1)</f>
        <v>Established (5-10)</v>
      </c>
      <c r="R87" s="4">
        <f t="shared" si="3"/>
        <v>3.3333333333333335</v>
      </c>
      <c r="S87" t="str">
        <f xml:space="preserve"> _xlfn.XLOOKUP( E87, Lookup_Tables!$A$2:$A$6,Lookup_Tables!$B$2:$B$6," ", -1)</f>
        <v>Bachelor</v>
      </c>
      <c r="T87" t="str">
        <f>_xlfn.XLOOKUP(G87,Lookup_Tables!$D$2:$D$5,Lookup_Tables!$E$2:$E$5)</f>
        <v>Very High</v>
      </c>
      <c r="U87" t="str">
        <f>_xlfn.XLOOKUP(H87,Lookup_Tables!$D$2:$D$5,Lookup_Tables!$E$2:$E$5)</f>
        <v>Very High</v>
      </c>
      <c r="V87" t="str">
        <f>_xlfn.XLOOKUP(L87,Lookup_Tables!$D$2:$D$5,Lookup_Tables!$E$2:$E$5)</f>
        <v>Medium</v>
      </c>
    </row>
    <row r="88" spans="1:22">
      <c r="A88">
        <f>RAW_DATA!A88</f>
        <v>23</v>
      </c>
      <c r="B88" t="str">
        <f>RAW_DATA!B88</f>
        <v>No</v>
      </c>
      <c r="C88" t="str">
        <f>RAW_DATA!C88</f>
        <v>Sales</v>
      </c>
      <c r="D88">
        <f>RAW_DATA!D88</f>
        <v>2</v>
      </c>
      <c r="E88">
        <f>RAW_DATA!E88</f>
        <v>1</v>
      </c>
      <c r="F88" t="str">
        <f>RAW_DATA!F88</f>
        <v>Technical Degree</v>
      </c>
      <c r="G88">
        <f>RAW_DATA!G88</f>
        <v>3</v>
      </c>
      <c r="H88">
        <f>RAW_DATA!H88</f>
        <v>1</v>
      </c>
      <c r="I88" t="str">
        <f>RAW_DATA!I88</f>
        <v>Divorced</v>
      </c>
      <c r="J88">
        <f>RAW_DATA!J88</f>
        <v>2322</v>
      </c>
      <c r="K88">
        <f>RAW_DATA!K88</f>
        <v>3</v>
      </c>
      <c r="L88">
        <f>RAW_DATA!L88</f>
        <v>3</v>
      </c>
      <c r="M88">
        <f>RAW_DATA!M88</f>
        <v>0</v>
      </c>
      <c r="N88">
        <f t="shared" si="2"/>
        <v>0</v>
      </c>
      <c r="O88" t="str">
        <f xml:space="preserve"> VLOOKUP(A88, Lookup_Tables!$G$2:$H$6,2,TRUE)</f>
        <v>&lt;25</v>
      </c>
      <c r="P88" t="str">
        <f>_xlfn.XLOOKUP(J88,Lookup_Tables!$J$2:$J$4,Lookup_Tables!$K$2:$K$4, " ",-1)</f>
        <v>Low</v>
      </c>
      <c r="Q88" t="str">
        <f xml:space="preserve"> _xlfn.XLOOKUP(M88, Lookup_Tables!$M$2:$M$5,Lookup_Tables!$N$2:$N$5," ", -1)</f>
        <v>New (0-2)</v>
      </c>
      <c r="R88" s="4">
        <f t="shared" si="3"/>
        <v>2.3333333333333335</v>
      </c>
      <c r="S88" t="str">
        <f xml:space="preserve"> _xlfn.XLOOKUP( E88, Lookup_Tables!$A$2:$A$6,Lookup_Tables!$B$2:$B$6," ", -1)</f>
        <v>Below College</v>
      </c>
      <c r="T88" t="str">
        <f>_xlfn.XLOOKUP(G88,Lookup_Tables!$D$2:$D$5,Lookup_Tables!$E$2:$E$5)</f>
        <v>High</v>
      </c>
      <c r="U88" t="str">
        <f>_xlfn.XLOOKUP(H88,Lookup_Tables!$D$2:$D$5,Lookup_Tables!$E$2:$E$5)</f>
        <v>Low</v>
      </c>
      <c r="V88" t="str">
        <f>_xlfn.XLOOKUP(L88,Lookup_Tables!$D$2:$D$5,Lookup_Tables!$E$2:$E$5)</f>
        <v>High</v>
      </c>
    </row>
    <row r="89" spans="1:22">
      <c r="A89">
        <f>RAW_DATA!A89</f>
        <v>51</v>
      </c>
      <c r="B89" t="str">
        <f>RAW_DATA!B89</f>
        <v>No</v>
      </c>
      <c r="C89" t="str">
        <f>RAW_DATA!C89</f>
        <v>Research &amp; Development</v>
      </c>
      <c r="D89">
        <f>RAW_DATA!D89</f>
        <v>9</v>
      </c>
      <c r="E89">
        <f>RAW_DATA!E89</f>
        <v>4</v>
      </c>
      <c r="F89" t="str">
        <f>RAW_DATA!F89</f>
        <v>Life Sciences</v>
      </c>
      <c r="G89">
        <f>RAW_DATA!G89</f>
        <v>4</v>
      </c>
      <c r="H89">
        <f>RAW_DATA!H89</f>
        <v>4</v>
      </c>
      <c r="I89" t="str">
        <f>RAW_DATA!I89</f>
        <v>Married</v>
      </c>
      <c r="J89">
        <f>RAW_DATA!J89</f>
        <v>2075</v>
      </c>
      <c r="K89">
        <f>RAW_DATA!K89</f>
        <v>3</v>
      </c>
      <c r="L89">
        <f>RAW_DATA!L89</f>
        <v>3</v>
      </c>
      <c r="M89">
        <f>RAW_DATA!M89</f>
        <v>4</v>
      </c>
      <c r="N89">
        <f t="shared" si="2"/>
        <v>0</v>
      </c>
      <c r="O89" t="str">
        <f xml:space="preserve"> VLOOKUP(A89, Lookup_Tables!$G$2:$H$6,2,TRUE)</f>
        <v>45-54</v>
      </c>
      <c r="P89" t="str">
        <f>_xlfn.XLOOKUP(J89,Lookup_Tables!$J$2:$J$4,Lookup_Tables!$K$2:$K$4, " ",-1)</f>
        <v>Low</v>
      </c>
      <c r="Q89" t="str">
        <f xml:space="preserve"> _xlfn.XLOOKUP(M89, Lookup_Tables!$M$2:$M$5,Lookup_Tables!$N$2:$N$5," ", -1)</f>
        <v>Early (2-5)</v>
      </c>
      <c r="R89" s="4">
        <f t="shared" si="3"/>
        <v>3.6666666666666665</v>
      </c>
      <c r="S89" t="str">
        <f xml:space="preserve"> _xlfn.XLOOKUP( E89, Lookup_Tables!$A$2:$A$6,Lookup_Tables!$B$2:$B$6," ", -1)</f>
        <v>Master</v>
      </c>
      <c r="T89" t="str">
        <f>_xlfn.XLOOKUP(G89,Lookup_Tables!$D$2:$D$5,Lookup_Tables!$E$2:$E$5)</f>
        <v>Very High</v>
      </c>
      <c r="U89" t="str">
        <f>_xlfn.XLOOKUP(H89,Lookup_Tables!$D$2:$D$5,Lookup_Tables!$E$2:$E$5)</f>
        <v>Very High</v>
      </c>
      <c r="V89" t="str">
        <f>_xlfn.XLOOKUP(L89,Lookup_Tables!$D$2:$D$5,Lookup_Tables!$E$2:$E$5)</f>
        <v>High</v>
      </c>
    </row>
    <row r="90" spans="1:22">
      <c r="A90">
        <f>RAW_DATA!A90</f>
        <v>30</v>
      </c>
      <c r="B90" t="str">
        <f>RAW_DATA!B90</f>
        <v>No</v>
      </c>
      <c r="C90" t="str">
        <f>RAW_DATA!C90</f>
        <v>Research &amp; Development</v>
      </c>
      <c r="D90">
        <f>RAW_DATA!D90</f>
        <v>2</v>
      </c>
      <c r="E90">
        <f>RAW_DATA!E90</f>
        <v>3</v>
      </c>
      <c r="F90" t="str">
        <f>RAW_DATA!F90</f>
        <v>Life Sciences</v>
      </c>
      <c r="G90">
        <f>RAW_DATA!G90</f>
        <v>3</v>
      </c>
      <c r="H90">
        <f>RAW_DATA!H90</f>
        <v>4</v>
      </c>
      <c r="I90" t="str">
        <f>RAW_DATA!I90</f>
        <v>Married</v>
      </c>
      <c r="J90">
        <f>RAW_DATA!J90</f>
        <v>4152</v>
      </c>
      <c r="K90">
        <f>RAW_DATA!K90</f>
        <v>1</v>
      </c>
      <c r="L90">
        <f>RAW_DATA!L90</f>
        <v>3</v>
      </c>
      <c r="M90">
        <f>RAW_DATA!M90</f>
        <v>11</v>
      </c>
      <c r="N90">
        <f t="shared" si="2"/>
        <v>0</v>
      </c>
      <c r="O90" t="str">
        <f xml:space="preserve"> VLOOKUP(A90, Lookup_Tables!$G$2:$H$6,2,TRUE)</f>
        <v>25-34</v>
      </c>
      <c r="P90" t="str">
        <f>_xlfn.XLOOKUP(J90,Lookup_Tables!$J$2:$J$4,Lookup_Tables!$K$2:$K$4, " ",-1)</f>
        <v>Medium</v>
      </c>
      <c r="Q90" t="str">
        <f xml:space="preserve"> _xlfn.XLOOKUP(M90, Lookup_Tables!$M$2:$M$5,Lookup_Tables!$N$2:$N$5," ", -1)</f>
        <v>Veteran (10+)</v>
      </c>
      <c r="R90" s="4">
        <f t="shared" si="3"/>
        <v>3.3333333333333335</v>
      </c>
      <c r="S90" t="str">
        <f xml:space="preserve"> _xlfn.XLOOKUP( E90, Lookup_Tables!$A$2:$A$6,Lookup_Tables!$B$2:$B$6," ", -1)</f>
        <v>Bachelor</v>
      </c>
      <c r="T90" t="str">
        <f>_xlfn.XLOOKUP(G90,Lookup_Tables!$D$2:$D$5,Lookup_Tables!$E$2:$E$5)</f>
        <v>High</v>
      </c>
      <c r="U90" t="str">
        <f>_xlfn.XLOOKUP(H90,Lookup_Tables!$D$2:$D$5,Lookup_Tables!$E$2:$E$5)</f>
        <v>Very High</v>
      </c>
      <c r="V90" t="str">
        <f>_xlfn.XLOOKUP(L90,Lookup_Tables!$D$2:$D$5,Lookup_Tables!$E$2:$E$5)</f>
        <v>High</v>
      </c>
    </row>
    <row r="91" spans="1:22">
      <c r="A91">
        <f>RAW_DATA!A91</f>
        <v>46</v>
      </c>
      <c r="B91" t="str">
        <f>RAW_DATA!B91</f>
        <v>Yes</v>
      </c>
      <c r="C91" t="str">
        <f>RAW_DATA!C91</f>
        <v>Sales</v>
      </c>
      <c r="D91">
        <f>RAW_DATA!D91</f>
        <v>9</v>
      </c>
      <c r="E91">
        <f>RAW_DATA!E91</f>
        <v>2</v>
      </c>
      <c r="F91" t="str">
        <f>RAW_DATA!F91</f>
        <v>Medical</v>
      </c>
      <c r="G91">
        <f>RAW_DATA!G91</f>
        <v>3</v>
      </c>
      <c r="H91">
        <f>RAW_DATA!H91</f>
        <v>4</v>
      </c>
      <c r="I91" t="str">
        <f>RAW_DATA!I91</f>
        <v>Single</v>
      </c>
      <c r="J91">
        <f>RAW_DATA!J91</f>
        <v>9619</v>
      </c>
      <c r="K91">
        <f>RAW_DATA!K91</f>
        <v>1</v>
      </c>
      <c r="L91">
        <f>RAW_DATA!L91</f>
        <v>3</v>
      </c>
      <c r="M91">
        <f>RAW_DATA!M91</f>
        <v>9</v>
      </c>
      <c r="N91">
        <f t="shared" si="2"/>
        <v>1</v>
      </c>
      <c r="O91" t="str">
        <f xml:space="preserve"> VLOOKUP(A91, Lookup_Tables!$G$2:$H$6,2,TRUE)</f>
        <v>45-54</v>
      </c>
      <c r="P91" t="str">
        <f>_xlfn.XLOOKUP(J91,Lookup_Tables!$J$2:$J$4,Lookup_Tables!$K$2:$K$4, " ",-1)</f>
        <v>High</v>
      </c>
      <c r="Q91" t="str">
        <f xml:space="preserve"> _xlfn.XLOOKUP(M91, Lookup_Tables!$M$2:$M$5,Lookup_Tables!$N$2:$N$5," ", -1)</f>
        <v>Established (5-10)</v>
      </c>
      <c r="R91" s="4">
        <f t="shared" si="3"/>
        <v>3.3333333333333335</v>
      </c>
      <c r="S91" t="str">
        <f xml:space="preserve"> _xlfn.XLOOKUP( E91, Lookup_Tables!$A$2:$A$6,Lookup_Tables!$B$2:$B$6," ", -1)</f>
        <v>College</v>
      </c>
      <c r="T91" t="str">
        <f>_xlfn.XLOOKUP(G91,Lookup_Tables!$D$2:$D$5,Lookup_Tables!$E$2:$E$5)</f>
        <v>High</v>
      </c>
      <c r="U91" t="str">
        <f>_xlfn.XLOOKUP(H91,Lookup_Tables!$D$2:$D$5,Lookup_Tables!$E$2:$E$5)</f>
        <v>Very High</v>
      </c>
      <c r="V91" t="str">
        <f>_xlfn.XLOOKUP(L91,Lookup_Tables!$D$2:$D$5,Lookup_Tables!$E$2:$E$5)</f>
        <v>High</v>
      </c>
    </row>
    <row r="92" spans="1:22">
      <c r="A92">
        <f>RAW_DATA!A92</f>
        <v>40</v>
      </c>
      <c r="B92" t="str">
        <f>RAW_DATA!B92</f>
        <v>No</v>
      </c>
      <c r="C92" t="str">
        <f>RAW_DATA!C92</f>
        <v>Research &amp; Development</v>
      </c>
      <c r="D92">
        <f>RAW_DATA!D92</f>
        <v>1</v>
      </c>
      <c r="E92">
        <f>RAW_DATA!E92</f>
        <v>4</v>
      </c>
      <c r="F92" t="str">
        <f>RAW_DATA!F92</f>
        <v>Life Sciences</v>
      </c>
      <c r="G92">
        <f>RAW_DATA!G92</f>
        <v>3</v>
      </c>
      <c r="H92">
        <f>RAW_DATA!H92</f>
        <v>2</v>
      </c>
      <c r="I92" t="str">
        <f>RAW_DATA!I92</f>
        <v>Married</v>
      </c>
      <c r="J92">
        <f>RAW_DATA!J92</f>
        <v>13503</v>
      </c>
      <c r="K92">
        <f>RAW_DATA!K92</f>
        <v>1</v>
      </c>
      <c r="L92">
        <f>RAW_DATA!L92</f>
        <v>2</v>
      </c>
      <c r="M92">
        <f>RAW_DATA!M92</f>
        <v>22</v>
      </c>
      <c r="N92">
        <f t="shared" si="2"/>
        <v>0</v>
      </c>
      <c r="O92" t="str">
        <f xml:space="preserve"> VLOOKUP(A92, Lookup_Tables!$G$2:$H$6,2,TRUE)</f>
        <v>35-44</v>
      </c>
      <c r="P92" t="str">
        <f>_xlfn.XLOOKUP(J92,Lookup_Tables!$J$2:$J$4,Lookup_Tables!$K$2:$K$4, " ",-1)</f>
        <v>High</v>
      </c>
      <c r="Q92" t="str">
        <f xml:space="preserve"> _xlfn.XLOOKUP(M92, Lookup_Tables!$M$2:$M$5,Lookup_Tables!$N$2:$N$5," ", -1)</f>
        <v>Veteran (10+)</v>
      </c>
      <c r="R92" s="4">
        <f t="shared" si="3"/>
        <v>2.3333333333333335</v>
      </c>
      <c r="S92" t="str">
        <f xml:space="preserve"> _xlfn.XLOOKUP( E92, Lookup_Tables!$A$2:$A$6,Lookup_Tables!$B$2:$B$6," ", -1)</f>
        <v>Master</v>
      </c>
      <c r="T92" t="str">
        <f>_xlfn.XLOOKUP(G92,Lookup_Tables!$D$2:$D$5,Lookup_Tables!$E$2:$E$5)</f>
        <v>High</v>
      </c>
      <c r="U92" t="str">
        <f>_xlfn.XLOOKUP(H92,Lookup_Tables!$D$2:$D$5,Lookup_Tables!$E$2:$E$5)</f>
        <v>Medium</v>
      </c>
      <c r="V92" t="str">
        <f>_xlfn.XLOOKUP(L92,Lookup_Tables!$D$2:$D$5,Lookup_Tables!$E$2:$E$5)</f>
        <v>Medium</v>
      </c>
    </row>
    <row r="93" spans="1:22">
      <c r="A93">
        <f>RAW_DATA!A93</f>
        <v>51</v>
      </c>
      <c r="B93" t="str">
        <f>RAW_DATA!B93</f>
        <v>No</v>
      </c>
      <c r="C93" t="str">
        <f>RAW_DATA!C93</f>
        <v>Sales</v>
      </c>
      <c r="D93">
        <f>RAW_DATA!D93</f>
        <v>21</v>
      </c>
      <c r="E93">
        <f>RAW_DATA!E93</f>
        <v>4</v>
      </c>
      <c r="F93" t="str">
        <f>RAW_DATA!F93</f>
        <v>Marketing</v>
      </c>
      <c r="G93">
        <f>RAW_DATA!G93</f>
        <v>3</v>
      </c>
      <c r="H93">
        <f>RAW_DATA!H93</f>
        <v>4</v>
      </c>
      <c r="I93" t="str">
        <f>RAW_DATA!I93</f>
        <v>Single</v>
      </c>
      <c r="J93">
        <f>RAW_DATA!J93</f>
        <v>5441</v>
      </c>
      <c r="K93">
        <f>RAW_DATA!K93</f>
        <v>0</v>
      </c>
      <c r="L93">
        <f>RAW_DATA!L93</f>
        <v>1</v>
      </c>
      <c r="M93">
        <f>RAW_DATA!M93</f>
        <v>10</v>
      </c>
      <c r="N93">
        <f t="shared" si="2"/>
        <v>0</v>
      </c>
      <c r="O93" t="str">
        <f xml:space="preserve"> VLOOKUP(A93, Lookup_Tables!$G$2:$H$6,2,TRUE)</f>
        <v>45-54</v>
      </c>
      <c r="P93" t="str">
        <f>_xlfn.XLOOKUP(J93,Lookup_Tables!$J$2:$J$4,Lookup_Tables!$K$2:$K$4, " ",-1)</f>
        <v>Medium</v>
      </c>
      <c r="Q93" t="str">
        <f xml:space="preserve"> _xlfn.XLOOKUP(M93, Lookup_Tables!$M$2:$M$5,Lookup_Tables!$N$2:$N$5," ", -1)</f>
        <v>Veteran (10+)</v>
      </c>
      <c r="R93" s="4">
        <f t="shared" si="3"/>
        <v>2.6666666666666665</v>
      </c>
      <c r="S93" t="str">
        <f xml:space="preserve"> _xlfn.XLOOKUP( E93, Lookup_Tables!$A$2:$A$6,Lookup_Tables!$B$2:$B$6," ", -1)</f>
        <v>Master</v>
      </c>
      <c r="T93" t="str">
        <f>_xlfn.XLOOKUP(G93,Lookup_Tables!$D$2:$D$5,Lookup_Tables!$E$2:$E$5)</f>
        <v>High</v>
      </c>
      <c r="U93" t="str">
        <f>_xlfn.XLOOKUP(H93,Lookup_Tables!$D$2:$D$5,Lookup_Tables!$E$2:$E$5)</f>
        <v>Very High</v>
      </c>
      <c r="V93" t="str">
        <f>_xlfn.XLOOKUP(L93,Lookup_Tables!$D$2:$D$5,Lookup_Tables!$E$2:$E$5)</f>
        <v>Low</v>
      </c>
    </row>
    <row r="94" spans="1:22">
      <c r="A94">
        <f>RAW_DATA!A94</f>
        <v>30</v>
      </c>
      <c r="B94" t="str">
        <f>RAW_DATA!B94</f>
        <v>No</v>
      </c>
      <c r="C94" t="str">
        <f>RAW_DATA!C94</f>
        <v>Sales</v>
      </c>
      <c r="D94">
        <f>RAW_DATA!D94</f>
        <v>4</v>
      </c>
      <c r="E94">
        <f>RAW_DATA!E94</f>
        <v>2</v>
      </c>
      <c r="F94" t="str">
        <f>RAW_DATA!F94</f>
        <v>Medical</v>
      </c>
      <c r="G94">
        <f>RAW_DATA!G94</f>
        <v>3</v>
      </c>
      <c r="H94">
        <f>RAW_DATA!H94</f>
        <v>2</v>
      </c>
      <c r="I94" t="str">
        <f>RAW_DATA!I94</f>
        <v>Divorced</v>
      </c>
      <c r="J94">
        <f>RAW_DATA!J94</f>
        <v>5209</v>
      </c>
      <c r="K94">
        <f>RAW_DATA!K94</f>
        <v>1</v>
      </c>
      <c r="L94">
        <f>RAW_DATA!L94</f>
        <v>2</v>
      </c>
      <c r="M94">
        <f>RAW_DATA!M94</f>
        <v>11</v>
      </c>
      <c r="N94">
        <f t="shared" si="2"/>
        <v>0</v>
      </c>
      <c r="O94" t="str">
        <f xml:space="preserve"> VLOOKUP(A94, Lookup_Tables!$G$2:$H$6,2,TRUE)</f>
        <v>25-34</v>
      </c>
      <c r="P94" t="str">
        <f>_xlfn.XLOOKUP(J94,Lookup_Tables!$J$2:$J$4,Lookup_Tables!$K$2:$K$4, " ",-1)</f>
        <v>Medium</v>
      </c>
      <c r="Q94" t="str">
        <f xml:space="preserve"> _xlfn.XLOOKUP(M94, Lookup_Tables!$M$2:$M$5,Lookup_Tables!$N$2:$N$5," ", -1)</f>
        <v>Veteran (10+)</v>
      </c>
      <c r="R94" s="4">
        <f t="shared" si="3"/>
        <v>2.3333333333333335</v>
      </c>
      <c r="S94" t="str">
        <f xml:space="preserve"> _xlfn.XLOOKUP( E94, Lookup_Tables!$A$2:$A$6,Lookup_Tables!$B$2:$B$6," ", -1)</f>
        <v>College</v>
      </c>
      <c r="T94" t="str">
        <f>_xlfn.XLOOKUP(G94,Lookup_Tables!$D$2:$D$5,Lookup_Tables!$E$2:$E$5)</f>
        <v>High</v>
      </c>
      <c r="U94" t="str">
        <f>_xlfn.XLOOKUP(H94,Lookup_Tables!$D$2:$D$5,Lookup_Tables!$E$2:$E$5)</f>
        <v>Medium</v>
      </c>
      <c r="V94" t="str">
        <f>_xlfn.XLOOKUP(L94,Lookup_Tables!$D$2:$D$5,Lookup_Tables!$E$2:$E$5)</f>
        <v>Medium</v>
      </c>
    </row>
    <row r="95" spans="1:22">
      <c r="A95">
        <f>RAW_DATA!A95</f>
        <v>46</v>
      </c>
      <c r="B95" t="str">
        <f>RAW_DATA!B95</f>
        <v>No</v>
      </c>
      <c r="C95" t="str">
        <f>RAW_DATA!C95</f>
        <v>Research &amp; Development</v>
      </c>
      <c r="D95">
        <f>RAW_DATA!D95</f>
        <v>1</v>
      </c>
      <c r="E95">
        <f>RAW_DATA!E95</f>
        <v>3</v>
      </c>
      <c r="F95" t="str">
        <f>RAW_DATA!F95</f>
        <v>Medical</v>
      </c>
      <c r="G95">
        <f>RAW_DATA!G95</f>
        <v>3</v>
      </c>
      <c r="H95">
        <f>RAW_DATA!H95</f>
        <v>1</v>
      </c>
      <c r="I95" t="str">
        <f>RAW_DATA!I95</f>
        <v>Married</v>
      </c>
      <c r="J95">
        <f>RAW_DATA!J95</f>
        <v>10673</v>
      </c>
      <c r="K95">
        <f>RAW_DATA!K95</f>
        <v>2</v>
      </c>
      <c r="L95">
        <f>RAW_DATA!L95</f>
        <v>2</v>
      </c>
      <c r="M95">
        <f>RAW_DATA!M95</f>
        <v>10</v>
      </c>
      <c r="N95">
        <f t="shared" si="2"/>
        <v>0</v>
      </c>
      <c r="O95" t="str">
        <f xml:space="preserve"> VLOOKUP(A95, Lookup_Tables!$G$2:$H$6,2,TRUE)</f>
        <v>45-54</v>
      </c>
      <c r="P95" t="str">
        <f>_xlfn.XLOOKUP(J95,Lookup_Tables!$J$2:$J$4,Lookup_Tables!$K$2:$K$4, " ",-1)</f>
        <v>High</v>
      </c>
      <c r="Q95" t="str">
        <f xml:space="preserve"> _xlfn.XLOOKUP(M95, Lookup_Tables!$M$2:$M$5,Lookup_Tables!$N$2:$N$5," ", -1)</f>
        <v>Veteran (10+)</v>
      </c>
      <c r="R95" s="4">
        <f t="shared" si="3"/>
        <v>2</v>
      </c>
      <c r="S95" t="str">
        <f xml:space="preserve"> _xlfn.XLOOKUP( E95, Lookup_Tables!$A$2:$A$6,Lookup_Tables!$B$2:$B$6," ", -1)</f>
        <v>Bachelor</v>
      </c>
      <c r="T95" t="str">
        <f>_xlfn.XLOOKUP(G95,Lookup_Tables!$D$2:$D$5,Lookup_Tables!$E$2:$E$5)</f>
        <v>High</v>
      </c>
      <c r="U95" t="str">
        <f>_xlfn.XLOOKUP(H95,Lookup_Tables!$D$2:$D$5,Lookup_Tables!$E$2:$E$5)</f>
        <v>Low</v>
      </c>
      <c r="V95" t="str">
        <f>_xlfn.XLOOKUP(L95,Lookup_Tables!$D$2:$D$5,Lookup_Tables!$E$2:$E$5)</f>
        <v>Medium</v>
      </c>
    </row>
    <row r="96" spans="1:22">
      <c r="A96">
        <f>RAW_DATA!A96</f>
        <v>32</v>
      </c>
      <c r="B96" t="str">
        <f>RAW_DATA!B96</f>
        <v>No</v>
      </c>
      <c r="C96" t="str">
        <f>RAW_DATA!C96</f>
        <v>Sales</v>
      </c>
      <c r="D96">
        <f>RAW_DATA!D96</f>
        <v>6</v>
      </c>
      <c r="E96">
        <f>RAW_DATA!E96</f>
        <v>4</v>
      </c>
      <c r="F96" t="str">
        <f>RAW_DATA!F96</f>
        <v>Medical</v>
      </c>
      <c r="G96">
        <f>RAW_DATA!G96</f>
        <v>2</v>
      </c>
      <c r="H96">
        <f>RAW_DATA!H96</f>
        <v>3</v>
      </c>
      <c r="I96" t="str">
        <f>RAW_DATA!I96</f>
        <v>Single</v>
      </c>
      <c r="J96">
        <f>RAW_DATA!J96</f>
        <v>5010</v>
      </c>
      <c r="K96">
        <f>RAW_DATA!K96</f>
        <v>1</v>
      </c>
      <c r="L96">
        <f>RAW_DATA!L96</f>
        <v>3</v>
      </c>
      <c r="M96">
        <f>RAW_DATA!M96</f>
        <v>11</v>
      </c>
      <c r="N96">
        <f t="shared" si="2"/>
        <v>0</v>
      </c>
      <c r="O96" t="str">
        <f xml:space="preserve"> VLOOKUP(A96, Lookup_Tables!$G$2:$H$6,2,TRUE)</f>
        <v>25-34</v>
      </c>
      <c r="P96" t="str">
        <f>_xlfn.XLOOKUP(J96,Lookup_Tables!$J$2:$J$4,Lookup_Tables!$K$2:$K$4, " ",-1)</f>
        <v>Medium</v>
      </c>
      <c r="Q96" t="str">
        <f xml:space="preserve"> _xlfn.XLOOKUP(M96, Lookup_Tables!$M$2:$M$5,Lookup_Tables!$N$2:$N$5," ", -1)</f>
        <v>Veteran (10+)</v>
      </c>
      <c r="R96" s="4">
        <f t="shared" si="3"/>
        <v>2.6666666666666665</v>
      </c>
      <c r="S96" t="str">
        <f xml:space="preserve"> _xlfn.XLOOKUP( E96, Lookup_Tables!$A$2:$A$6,Lookup_Tables!$B$2:$B$6," ", -1)</f>
        <v>Master</v>
      </c>
      <c r="T96" t="str">
        <f>_xlfn.XLOOKUP(G96,Lookup_Tables!$D$2:$D$5,Lookup_Tables!$E$2:$E$5)</f>
        <v>Medium</v>
      </c>
      <c r="U96" t="str">
        <f>_xlfn.XLOOKUP(H96,Lookup_Tables!$D$2:$D$5,Lookup_Tables!$E$2:$E$5)</f>
        <v>High</v>
      </c>
      <c r="V96" t="str">
        <f>_xlfn.XLOOKUP(L96,Lookup_Tables!$D$2:$D$5,Lookup_Tables!$E$2:$E$5)</f>
        <v>High</v>
      </c>
    </row>
    <row r="97" spans="1:22">
      <c r="A97">
        <f>RAW_DATA!A97</f>
        <v>54</v>
      </c>
      <c r="B97" t="str">
        <f>RAW_DATA!B97</f>
        <v>No</v>
      </c>
      <c r="C97" t="str">
        <f>RAW_DATA!C97</f>
        <v>Research &amp; Development</v>
      </c>
      <c r="D97">
        <f>RAW_DATA!D97</f>
        <v>2</v>
      </c>
      <c r="E97">
        <f>RAW_DATA!E97</f>
        <v>4</v>
      </c>
      <c r="F97" t="str">
        <f>RAW_DATA!F97</f>
        <v>Technical Degree</v>
      </c>
      <c r="G97">
        <f>RAW_DATA!G97</f>
        <v>1</v>
      </c>
      <c r="H97">
        <f>RAW_DATA!H97</f>
        <v>3</v>
      </c>
      <c r="I97" t="str">
        <f>RAW_DATA!I97</f>
        <v>Married</v>
      </c>
      <c r="J97">
        <f>RAW_DATA!J97</f>
        <v>13549</v>
      </c>
      <c r="K97">
        <f>RAW_DATA!K97</f>
        <v>9</v>
      </c>
      <c r="L97">
        <f>RAW_DATA!L97</f>
        <v>1</v>
      </c>
      <c r="M97">
        <f>RAW_DATA!M97</f>
        <v>4</v>
      </c>
      <c r="N97">
        <f t="shared" si="2"/>
        <v>0</v>
      </c>
      <c r="O97" t="str">
        <f xml:space="preserve"> VLOOKUP(A97, Lookup_Tables!$G$2:$H$6,2,TRUE)</f>
        <v>45-54</v>
      </c>
      <c r="P97" t="str">
        <f>_xlfn.XLOOKUP(J97,Lookup_Tables!$J$2:$J$4,Lookup_Tables!$K$2:$K$4, " ",-1)</f>
        <v>High</v>
      </c>
      <c r="Q97" t="str">
        <f xml:space="preserve"> _xlfn.XLOOKUP(M97, Lookup_Tables!$M$2:$M$5,Lookup_Tables!$N$2:$N$5," ", -1)</f>
        <v>Early (2-5)</v>
      </c>
      <c r="R97" s="4">
        <f t="shared" si="3"/>
        <v>1.6666666666666667</v>
      </c>
      <c r="S97" t="str">
        <f xml:space="preserve"> _xlfn.XLOOKUP( E97, Lookup_Tables!$A$2:$A$6,Lookup_Tables!$B$2:$B$6," ", -1)</f>
        <v>Master</v>
      </c>
      <c r="T97" t="str">
        <f>_xlfn.XLOOKUP(G97,Lookup_Tables!$D$2:$D$5,Lookup_Tables!$E$2:$E$5)</f>
        <v>Low</v>
      </c>
      <c r="U97" t="str">
        <f>_xlfn.XLOOKUP(H97,Lookup_Tables!$D$2:$D$5,Lookup_Tables!$E$2:$E$5)</f>
        <v>High</v>
      </c>
      <c r="V97" t="str">
        <f>_xlfn.XLOOKUP(L97,Lookup_Tables!$D$2:$D$5,Lookup_Tables!$E$2:$E$5)</f>
        <v>Low</v>
      </c>
    </row>
    <row r="98" spans="1:22">
      <c r="A98">
        <f>RAW_DATA!A98</f>
        <v>24</v>
      </c>
      <c r="B98" t="str">
        <f>RAW_DATA!B98</f>
        <v>No</v>
      </c>
      <c r="C98" t="str">
        <f>RAW_DATA!C98</f>
        <v>Sales</v>
      </c>
      <c r="D98">
        <f>RAW_DATA!D98</f>
        <v>3</v>
      </c>
      <c r="E98">
        <f>RAW_DATA!E98</f>
        <v>2</v>
      </c>
      <c r="F98" t="str">
        <f>RAW_DATA!F98</f>
        <v>Other</v>
      </c>
      <c r="G98">
        <f>RAW_DATA!G98</f>
        <v>1</v>
      </c>
      <c r="H98">
        <f>RAW_DATA!H98</f>
        <v>3</v>
      </c>
      <c r="I98" t="str">
        <f>RAW_DATA!I98</f>
        <v>Married</v>
      </c>
      <c r="J98">
        <f>RAW_DATA!J98</f>
        <v>4999</v>
      </c>
      <c r="K98">
        <f>RAW_DATA!K98</f>
        <v>0</v>
      </c>
      <c r="L98">
        <f>RAW_DATA!L98</f>
        <v>2</v>
      </c>
      <c r="M98">
        <f>RAW_DATA!M98</f>
        <v>3</v>
      </c>
      <c r="N98">
        <f t="shared" si="2"/>
        <v>0</v>
      </c>
      <c r="O98" t="str">
        <f xml:space="preserve"> VLOOKUP(A98, Lookup_Tables!$G$2:$H$6,2,TRUE)</f>
        <v>&lt;25</v>
      </c>
      <c r="P98" t="str">
        <f>_xlfn.XLOOKUP(J98,Lookup_Tables!$J$2:$J$4,Lookup_Tables!$K$2:$K$4, " ",-1)</f>
        <v>Medium</v>
      </c>
      <c r="Q98" t="str">
        <f xml:space="preserve"> _xlfn.XLOOKUP(M98, Lookup_Tables!$M$2:$M$5,Lookup_Tables!$N$2:$N$5," ", -1)</f>
        <v>Early (2-5)</v>
      </c>
      <c r="R98" s="4">
        <f t="shared" si="3"/>
        <v>2</v>
      </c>
      <c r="S98" t="str">
        <f xml:space="preserve"> _xlfn.XLOOKUP( E98, Lookup_Tables!$A$2:$A$6,Lookup_Tables!$B$2:$B$6," ", -1)</f>
        <v>College</v>
      </c>
      <c r="T98" t="str">
        <f>_xlfn.XLOOKUP(G98,Lookup_Tables!$D$2:$D$5,Lookup_Tables!$E$2:$E$5)</f>
        <v>Low</v>
      </c>
      <c r="U98" t="str">
        <f>_xlfn.XLOOKUP(H98,Lookup_Tables!$D$2:$D$5,Lookup_Tables!$E$2:$E$5)</f>
        <v>High</v>
      </c>
      <c r="V98" t="str">
        <f>_xlfn.XLOOKUP(L98,Lookup_Tables!$D$2:$D$5,Lookup_Tables!$E$2:$E$5)</f>
        <v>Medium</v>
      </c>
    </row>
    <row r="99" spans="1:22">
      <c r="A99">
        <f>RAW_DATA!A99</f>
        <v>28</v>
      </c>
      <c r="B99" t="str">
        <f>RAW_DATA!B99</f>
        <v>No</v>
      </c>
      <c r="C99" t="str">
        <f>RAW_DATA!C99</f>
        <v>Sales</v>
      </c>
      <c r="D99">
        <f>RAW_DATA!D99</f>
        <v>4</v>
      </c>
      <c r="E99">
        <f>RAW_DATA!E99</f>
        <v>3</v>
      </c>
      <c r="F99" t="str">
        <f>RAW_DATA!F99</f>
        <v>Medical</v>
      </c>
      <c r="G99">
        <f>RAW_DATA!G99</f>
        <v>2</v>
      </c>
      <c r="H99">
        <f>RAW_DATA!H99</f>
        <v>3</v>
      </c>
      <c r="I99" t="str">
        <f>RAW_DATA!I99</f>
        <v>Married</v>
      </c>
      <c r="J99">
        <f>RAW_DATA!J99</f>
        <v>4221</v>
      </c>
      <c r="K99">
        <f>RAW_DATA!K99</f>
        <v>1</v>
      </c>
      <c r="L99">
        <f>RAW_DATA!L99</f>
        <v>4</v>
      </c>
      <c r="M99">
        <f>RAW_DATA!M99</f>
        <v>5</v>
      </c>
      <c r="N99">
        <f t="shared" si="2"/>
        <v>0</v>
      </c>
      <c r="O99" t="str">
        <f xml:space="preserve"> VLOOKUP(A99, Lookup_Tables!$G$2:$H$6,2,TRUE)</f>
        <v>25-34</v>
      </c>
      <c r="P99" t="str">
        <f>_xlfn.XLOOKUP(J99,Lookup_Tables!$J$2:$J$4,Lookup_Tables!$K$2:$K$4, " ",-1)</f>
        <v>Medium</v>
      </c>
      <c r="Q99" t="str">
        <f xml:space="preserve"> _xlfn.XLOOKUP(M99, Lookup_Tables!$M$2:$M$5,Lookup_Tables!$N$2:$N$5," ", -1)</f>
        <v>Established (5-10)</v>
      </c>
      <c r="R99" s="4">
        <f t="shared" si="3"/>
        <v>3</v>
      </c>
      <c r="S99" t="str">
        <f xml:space="preserve"> _xlfn.XLOOKUP( E99, Lookup_Tables!$A$2:$A$6,Lookup_Tables!$B$2:$B$6," ", -1)</f>
        <v>Bachelor</v>
      </c>
      <c r="T99" t="str">
        <f>_xlfn.XLOOKUP(G99,Lookup_Tables!$D$2:$D$5,Lookup_Tables!$E$2:$E$5)</f>
        <v>Medium</v>
      </c>
      <c r="U99" t="str">
        <f>_xlfn.XLOOKUP(H99,Lookup_Tables!$D$2:$D$5,Lookup_Tables!$E$2:$E$5)</f>
        <v>High</v>
      </c>
      <c r="V99" t="str">
        <f>_xlfn.XLOOKUP(L99,Lookup_Tables!$D$2:$D$5,Lookup_Tables!$E$2:$E$5)</f>
        <v>Very High</v>
      </c>
    </row>
    <row r="100" spans="1:22">
      <c r="A100">
        <f>RAW_DATA!A100</f>
        <v>58</v>
      </c>
      <c r="B100" t="str">
        <f>RAW_DATA!B100</f>
        <v>No</v>
      </c>
      <c r="C100" t="str">
        <f>RAW_DATA!C100</f>
        <v>Sales</v>
      </c>
      <c r="D100">
        <f>RAW_DATA!D100</f>
        <v>10</v>
      </c>
      <c r="E100">
        <f>RAW_DATA!E100</f>
        <v>4</v>
      </c>
      <c r="F100" t="str">
        <f>RAW_DATA!F100</f>
        <v>Medical</v>
      </c>
      <c r="G100">
        <f>RAW_DATA!G100</f>
        <v>4</v>
      </c>
      <c r="H100">
        <f>RAW_DATA!H100</f>
        <v>3</v>
      </c>
      <c r="I100" t="str">
        <f>RAW_DATA!I100</f>
        <v>Single</v>
      </c>
      <c r="J100">
        <f>RAW_DATA!J100</f>
        <v>13872</v>
      </c>
      <c r="K100">
        <f>RAW_DATA!K100</f>
        <v>0</v>
      </c>
      <c r="L100">
        <f>RAW_DATA!L100</f>
        <v>2</v>
      </c>
      <c r="M100">
        <f>RAW_DATA!M100</f>
        <v>37</v>
      </c>
      <c r="N100">
        <f t="shared" si="2"/>
        <v>0</v>
      </c>
      <c r="O100" t="str">
        <f xml:space="preserve"> VLOOKUP(A100, Lookup_Tables!$G$2:$H$6,2,TRUE)</f>
        <v>55+</v>
      </c>
      <c r="P100" t="str">
        <f>_xlfn.XLOOKUP(J100,Lookup_Tables!$J$2:$J$4,Lookup_Tables!$K$2:$K$4, " ",-1)</f>
        <v>High</v>
      </c>
      <c r="Q100" t="str">
        <f xml:space="preserve"> _xlfn.XLOOKUP(M100, Lookup_Tables!$M$2:$M$5,Lookup_Tables!$N$2:$N$5," ", -1)</f>
        <v>Veteran (10+)</v>
      </c>
      <c r="R100" s="4">
        <f t="shared" si="3"/>
        <v>3</v>
      </c>
      <c r="S100" t="str">
        <f xml:space="preserve"> _xlfn.XLOOKUP( E100, Lookup_Tables!$A$2:$A$6,Lookup_Tables!$B$2:$B$6," ", -1)</f>
        <v>Master</v>
      </c>
      <c r="T100" t="str">
        <f>_xlfn.XLOOKUP(G100,Lookup_Tables!$D$2:$D$5,Lookup_Tables!$E$2:$E$5)</f>
        <v>Very High</v>
      </c>
      <c r="U100" t="str">
        <f>_xlfn.XLOOKUP(H100,Lookup_Tables!$D$2:$D$5,Lookup_Tables!$E$2:$E$5)</f>
        <v>High</v>
      </c>
      <c r="V100" t="str">
        <f>_xlfn.XLOOKUP(L100,Lookup_Tables!$D$2:$D$5,Lookup_Tables!$E$2:$E$5)</f>
        <v>Medium</v>
      </c>
    </row>
    <row r="101" spans="1:22">
      <c r="A101">
        <f>RAW_DATA!A101</f>
        <v>44</v>
      </c>
      <c r="B101" t="str">
        <f>RAW_DATA!B101</f>
        <v>No</v>
      </c>
      <c r="C101" t="str">
        <f>RAW_DATA!C101</f>
        <v>Research &amp; Development</v>
      </c>
      <c r="D101">
        <f>RAW_DATA!D101</f>
        <v>23</v>
      </c>
      <c r="E101">
        <f>RAW_DATA!E101</f>
        <v>3</v>
      </c>
      <c r="F101" t="str">
        <f>RAW_DATA!F101</f>
        <v>Medical</v>
      </c>
      <c r="G101">
        <f>RAW_DATA!G101</f>
        <v>2</v>
      </c>
      <c r="H101">
        <f>RAW_DATA!H101</f>
        <v>2</v>
      </c>
      <c r="I101" t="str">
        <f>RAW_DATA!I101</f>
        <v>Married</v>
      </c>
      <c r="J101">
        <f>RAW_DATA!J101</f>
        <v>2042</v>
      </c>
      <c r="K101">
        <f>RAW_DATA!K101</f>
        <v>4</v>
      </c>
      <c r="L101">
        <f>RAW_DATA!L101</f>
        <v>4</v>
      </c>
      <c r="M101">
        <f>RAW_DATA!M101</f>
        <v>3</v>
      </c>
      <c r="N101">
        <f t="shared" si="2"/>
        <v>0</v>
      </c>
      <c r="O101" t="str">
        <f xml:space="preserve"> VLOOKUP(A101, Lookup_Tables!$G$2:$H$6,2,TRUE)</f>
        <v>35-44</v>
      </c>
      <c r="P101" t="str">
        <f>_xlfn.XLOOKUP(J101,Lookup_Tables!$J$2:$J$4,Lookup_Tables!$K$2:$K$4, " ",-1)</f>
        <v>Low</v>
      </c>
      <c r="Q101" t="str">
        <f xml:space="preserve"> _xlfn.XLOOKUP(M101, Lookup_Tables!$M$2:$M$5,Lookup_Tables!$N$2:$N$5," ", -1)</f>
        <v>Early (2-5)</v>
      </c>
      <c r="R101" s="4">
        <f t="shared" si="3"/>
        <v>2.6666666666666665</v>
      </c>
      <c r="S101" t="str">
        <f xml:space="preserve"> _xlfn.XLOOKUP( E101, Lookup_Tables!$A$2:$A$6,Lookup_Tables!$B$2:$B$6," ", -1)</f>
        <v>Bachelor</v>
      </c>
      <c r="T101" t="str">
        <f>_xlfn.XLOOKUP(G101,Lookup_Tables!$D$2:$D$5,Lookup_Tables!$E$2:$E$5)</f>
        <v>Medium</v>
      </c>
      <c r="U101" t="str">
        <f>_xlfn.XLOOKUP(H101,Lookup_Tables!$D$2:$D$5,Lookup_Tables!$E$2:$E$5)</f>
        <v>Medium</v>
      </c>
      <c r="V101" t="str">
        <f>_xlfn.XLOOKUP(L101,Lookup_Tables!$D$2:$D$5,Lookup_Tables!$E$2:$E$5)</f>
        <v>Very High</v>
      </c>
    </row>
    <row r="102" spans="1:22">
      <c r="A102">
        <f>RAW_DATA!A102</f>
        <v>37</v>
      </c>
      <c r="B102" t="str">
        <f>RAW_DATA!B102</f>
        <v>Yes</v>
      </c>
      <c r="C102" t="str">
        <f>RAW_DATA!C102</f>
        <v>Human Resources</v>
      </c>
      <c r="D102">
        <f>RAW_DATA!D102</f>
        <v>6</v>
      </c>
      <c r="E102">
        <f>RAW_DATA!E102</f>
        <v>4</v>
      </c>
      <c r="F102" t="str">
        <f>RAW_DATA!F102</f>
        <v>Human Resources</v>
      </c>
      <c r="G102">
        <f>RAW_DATA!G102</f>
        <v>3</v>
      </c>
      <c r="H102">
        <f>RAW_DATA!H102</f>
        <v>1</v>
      </c>
      <c r="I102" t="str">
        <f>RAW_DATA!I102</f>
        <v>Divorced</v>
      </c>
      <c r="J102">
        <f>RAW_DATA!J102</f>
        <v>2073</v>
      </c>
      <c r="K102">
        <f>RAW_DATA!K102</f>
        <v>4</v>
      </c>
      <c r="L102">
        <f>RAW_DATA!L102</f>
        <v>3</v>
      </c>
      <c r="M102">
        <f>RAW_DATA!M102</f>
        <v>3</v>
      </c>
      <c r="N102">
        <f t="shared" si="2"/>
        <v>1</v>
      </c>
      <c r="O102" t="str">
        <f xml:space="preserve"> VLOOKUP(A102, Lookup_Tables!$G$2:$H$6,2,TRUE)</f>
        <v>35-44</v>
      </c>
      <c r="P102" t="str">
        <f>_xlfn.XLOOKUP(J102,Lookup_Tables!$J$2:$J$4,Lookup_Tables!$K$2:$K$4, " ",-1)</f>
        <v>Low</v>
      </c>
      <c r="Q102" t="str">
        <f xml:space="preserve"> _xlfn.XLOOKUP(M102, Lookup_Tables!$M$2:$M$5,Lookup_Tables!$N$2:$N$5," ", -1)</f>
        <v>Early (2-5)</v>
      </c>
      <c r="R102" s="4">
        <f t="shared" si="3"/>
        <v>2.3333333333333335</v>
      </c>
      <c r="S102" t="str">
        <f xml:space="preserve"> _xlfn.XLOOKUP( E102, Lookup_Tables!$A$2:$A$6,Lookup_Tables!$B$2:$B$6," ", -1)</f>
        <v>Master</v>
      </c>
      <c r="T102" t="str">
        <f>_xlfn.XLOOKUP(G102,Lookup_Tables!$D$2:$D$5,Lookup_Tables!$E$2:$E$5)</f>
        <v>High</v>
      </c>
      <c r="U102" t="str">
        <f>_xlfn.XLOOKUP(H102,Lookup_Tables!$D$2:$D$5,Lookup_Tables!$E$2:$E$5)</f>
        <v>Low</v>
      </c>
      <c r="V102" t="str">
        <f>_xlfn.XLOOKUP(L102,Lookup_Tables!$D$2:$D$5,Lookup_Tables!$E$2:$E$5)</f>
        <v>High</v>
      </c>
    </row>
    <row r="103" spans="1:22">
      <c r="A103">
        <f>RAW_DATA!A103</f>
        <v>32</v>
      </c>
      <c r="B103" t="str">
        <f>RAW_DATA!B103</f>
        <v>No</v>
      </c>
      <c r="C103" t="str">
        <f>RAW_DATA!C103</f>
        <v>Research &amp; Development</v>
      </c>
      <c r="D103">
        <f>RAW_DATA!D103</f>
        <v>1</v>
      </c>
      <c r="E103">
        <f>RAW_DATA!E103</f>
        <v>1</v>
      </c>
      <c r="F103" t="str">
        <f>RAW_DATA!F103</f>
        <v>Life Sciences</v>
      </c>
      <c r="G103">
        <f>RAW_DATA!G103</f>
        <v>4</v>
      </c>
      <c r="H103">
        <f>RAW_DATA!H103</f>
        <v>1</v>
      </c>
      <c r="I103" t="str">
        <f>RAW_DATA!I103</f>
        <v>Single</v>
      </c>
      <c r="J103">
        <f>RAW_DATA!J103</f>
        <v>2956</v>
      </c>
      <c r="K103">
        <f>RAW_DATA!K103</f>
        <v>1</v>
      </c>
      <c r="L103">
        <f>RAW_DATA!L103</f>
        <v>3</v>
      </c>
      <c r="M103">
        <f>RAW_DATA!M103</f>
        <v>1</v>
      </c>
      <c r="N103">
        <f t="shared" si="2"/>
        <v>0</v>
      </c>
      <c r="O103" t="str">
        <f xml:space="preserve"> VLOOKUP(A103, Lookup_Tables!$G$2:$H$6,2,TRUE)</f>
        <v>25-34</v>
      </c>
      <c r="P103" t="str">
        <f>_xlfn.XLOOKUP(J103,Lookup_Tables!$J$2:$J$4,Lookup_Tables!$K$2:$K$4, " ",-1)</f>
        <v>Low</v>
      </c>
      <c r="Q103" t="str">
        <f xml:space="preserve"> _xlfn.XLOOKUP(M103, Lookup_Tables!$M$2:$M$5,Lookup_Tables!$N$2:$N$5," ", -1)</f>
        <v>New (0-2)</v>
      </c>
      <c r="R103" s="4">
        <f t="shared" si="3"/>
        <v>2.6666666666666665</v>
      </c>
      <c r="S103" t="str">
        <f xml:space="preserve"> _xlfn.XLOOKUP( E103, Lookup_Tables!$A$2:$A$6,Lookup_Tables!$B$2:$B$6," ", -1)</f>
        <v>Below College</v>
      </c>
      <c r="T103" t="str">
        <f>_xlfn.XLOOKUP(G103,Lookup_Tables!$D$2:$D$5,Lookup_Tables!$E$2:$E$5)</f>
        <v>Very High</v>
      </c>
      <c r="U103" t="str">
        <f>_xlfn.XLOOKUP(H103,Lookup_Tables!$D$2:$D$5,Lookup_Tables!$E$2:$E$5)</f>
        <v>Low</v>
      </c>
      <c r="V103" t="str">
        <f>_xlfn.XLOOKUP(L103,Lookup_Tables!$D$2:$D$5,Lookup_Tables!$E$2:$E$5)</f>
        <v>High</v>
      </c>
    </row>
    <row r="104" spans="1:22">
      <c r="A104">
        <f>RAW_DATA!A104</f>
        <v>20</v>
      </c>
      <c r="B104" t="str">
        <f>RAW_DATA!B104</f>
        <v>Yes</v>
      </c>
      <c r="C104" t="str">
        <f>RAW_DATA!C104</f>
        <v>Research &amp; Development</v>
      </c>
      <c r="D104">
        <f>RAW_DATA!D104</f>
        <v>6</v>
      </c>
      <c r="E104">
        <f>RAW_DATA!E104</f>
        <v>3</v>
      </c>
      <c r="F104" t="str">
        <f>RAW_DATA!F104</f>
        <v>Life Sciences</v>
      </c>
      <c r="G104">
        <f>RAW_DATA!G104</f>
        <v>4</v>
      </c>
      <c r="H104">
        <f>RAW_DATA!H104</f>
        <v>4</v>
      </c>
      <c r="I104" t="str">
        <f>RAW_DATA!I104</f>
        <v>Single</v>
      </c>
      <c r="J104">
        <f>RAW_DATA!J104</f>
        <v>2926</v>
      </c>
      <c r="K104">
        <f>RAW_DATA!K104</f>
        <v>1</v>
      </c>
      <c r="L104">
        <f>RAW_DATA!L104</f>
        <v>3</v>
      </c>
      <c r="M104">
        <f>RAW_DATA!M104</f>
        <v>1</v>
      </c>
      <c r="N104">
        <f t="shared" si="2"/>
        <v>1</v>
      </c>
      <c r="O104" t="str">
        <f xml:space="preserve"> VLOOKUP(A104, Lookup_Tables!$G$2:$H$6,2,TRUE)</f>
        <v>&lt;25</v>
      </c>
      <c r="P104" t="str">
        <f>_xlfn.XLOOKUP(J104,Lookup_Tables!$J$2:$J$4,Lookup_Tables!$K$2:$K$4, " ",-1)</f>
        <v>Low</v>
      </c>
      <c r="Q104" t="str">
        <f xml:space="preserve"> _xlfn.XLOOKUP(M104, Lookup_Tables!$M$2:$M$5,Lookup_Tables!$N$2:$N$5," ", -1)</f>
        <v>New (0-2)</v>
      </c>
      <c r="R104" s="4">
        <f t="shared" si="3"/>
        <v>3.6666666666666665</v>
      </c>
      <c r="S104" t="str">
        <f xml:space="preserve"> _xlfn.XLOOKUP( E104, Lookup_Tables!$A$2:$A$6,Lookup_Tables!$B$2:$B$6," ", -1)</f>
        <v>Bachelor</v>
      </c>
      <c r="T104" t="str">
        <f>_xlfn.XLOOKUP(G104,Lookup_Tables!$D$2:$D$5,Lookup_Tables!$E$2:$E$5)</f>
        <v>Very High</v>
      </c>
      <c r="U104" t="str">
        <f>_xlfn.XLOOKUP(H104,Lookup_Tables!$D$2:$D$5,Lookup_Tables!$E$2:$E$5)</f>
        <v>Very High</v>
      </c>
      <c r="V104" t="str">
        <f>_xlfn.XLOOKUP(L104,Lookup_Tables!$D$2:$D$5,Lookup_Tables!$E$2:$E$5)</f>
        <v>High</v>
      </c>
    </row>
    <row r="105" spans="1:22">
      <c r="A105">
        <f>RAW_DATA!A105</f>
        <v>34</v>
      </c>
      <c r="B105" t="str">
        <f>RAW_DATA!B105</f>
        <v>No</v>
      </c>
      <c r="C105" t="str">
        <f>RAW_DATA!C105</f>
        <v>Research &amp; Development</v>
      </c>
      <c r="D105">
        <f>RAW_DATA!D105</f>
        <v>6</v>
      </c>
      <c r="E105">
        <f>RAW_DATA!E105</f>
        <v>4</v>
      </c>
      <c r="F105" t="str">
        <f>RAW_DATA!F105</f>
        <v>Other</v>
      </c>
      <c r="G105">
        <f>RAW_DATA!G105</f>
        <v>1</v>
      </c>
      <c r="H105">
        <f>RAW_DATA!H105</f>
        <v>3</v>
      </c>
      <c r="I105" t="str">
        <f>RAW_DATA!I105</f>
        <v>Single</v>
      </c>
      <c r="J105">
        <f>RAW_DATA!J105</f>
        <v>4809</v>
      </c>
      <c r="K105">
        <f>RAW_DATA!K105</f>
        <v>1</v>
      </c>
      <c r="L105">
        <f>RAW_DATA!L105</f>
        <v>3</v>
      </c>
      <c r="M105">
        <f>RAW_DATA!M105</f>
        <v>16</v>
      </c>
      <c r="N105">
        <f t="shared" si="2"/>
        <v>0</v>
      </c>
      <c r="O105" t="str">
        <f xml:space="preserve"> VLOOKUP(A105, Lookup_Tables!$G$2:$H$6,2,TRUE)</f>
        <v>25-34</v>
      </c>
      <c r="P105" t="str">
        <f>_xlfn.XLOOKUP(J105,Lookup_Tables!$J$2:$J$4,Lookup_Tables!$K$2:$K$4, " ",-1)</f>
        <v>Medium</v>
      </c>
      <c r="Q105" t="str">
        <f xml:space="preserve"> _xlfn.XLOOKUP(M105, Lookup_Tables!$M$2:$M$5,Lookup_Tables!$N$2:$N$5," ", -1)</f>
        <v>Veteran (10+)</v>
      </c>
      <c r="R105" s="4">
        <f t="shared" si="3"/>
        <v>2.3333333333333335</v>
      </c>
      <c r="S105" t="str">
        <f xml:space="preserve"> _xlfn.XLOOKUP( E105, Lookup_Tables!$A$2:$A$6,Lookup_Tables!$B$2:$B$6," ", -1)</f>
        <v>Master</v>
      </c>
      <c r="T105" t="str">
        <f>_xlfn.XLOOKUP(G105,Lookup_Tables!$D$2:$D$5,Lookup_Tables!$E$2:$E$5)</f>
        <v>Low</v>
      </c>
      <c r="U105" t="str">
        <f>_xlfn.XLOOKUP(H105,Lookup_Tables!$D$2:$D$5,Lookup_Tables!$E$2:$E$5)</f>
        <v>High</v>
      </c>
      <c r="V105" t="str">
        <f>_xlfn.XLOOKUP(L105,Lookup_Tables!$D$2:$D$5,Lookup_Tables!$E$2:$E$5)</f>
        <v>High</v>
      </c>
    </row>
    <row r="106" spans="1:22">
      <c r="A106">
        <f>RAW_DATA!A106</f>
        <v>37</v>
      </c>
      <c r="B106" t="str">
        <f>RAW_DATA!B106</f>
        <v>No</v>
      </c>
      <c r="C106" t="str">
        <f>RAW_DATA!C106</f>
        <v>Research &amp; Development</v>
      </c>
      <c r="D106">
        <f>RAW_DATA!D106</f>
        <v>2</v>
      </c>
      <c r="E106">
        <f>RAW_DATA!E106</f>
        <v>2</v>
      </c>
      <c r="F106" t="str">
        <f>RAW_DATA!F106</f>
        <v>Life Sciences</v>
      </c>
      <c r="G106">
        <f>RAW_DATA!G106</f>
        <v>3</v>
      </c>
      <c r="H106">
        <f>RAW_DATA!H106</f>
        <v>4</v>
      </c>
      <c r="I106" t="str">
        <f>RAW_DATA!I106</f>
        <v>Divorced</v>
      </c>
      <c r="J106">
        <f>RAW_DATA!J106</f>
        <v>5163</v>
      </c>
      <c r="K106">
        <f>RAW_DATA!K106</f>
        <v>5</v>
      </c>
      <c r="L106">
        <f>RAW_DATA!L106</f>
        <v>4</v>
      </c>
      <c r="M106">
        <f>RAW_DATA!M106</f>
        <v>1</v>
      </c>
      <c r="N106">
        <f t="shared" si="2"/>
        <v>0</v>
      </c>
      <c r="O106" t="str">
        <f xml:space="preserve"> VLOOKUP(A106, Lookup_Tables!$G$2:$H$6,2,TRUE)</f>
        <v>35-44</v>
      </c>
      <c r="P106" t="str">
        <f>_xlfn.XLOOKUP(J106,Lookup_Tables!$J$2:$J$4,Lookup_Tables!$K$2:$K$4, " ",-1)</f>
        <v>Medium</v>
      </c>
      <c r="Q106" t="str">
        <f xml:space="preserve"> _xlfn.XLOOKUP(M106, Lookup_Tables!$M$2:$M$5,Lookup_Tables!$N$2:$N$5," ", -1)</f>
        <v>New (0-2)</v>
      </c>
      <c r="R106" s="4">
        <f t="shared" si="3"/>
        <v>3.6666666666666665</v>
      </c>
      <c r="S106" t="str">
        <f xml:space="preserve"> _xlfn.XLOOKUP( E106, Lookup_Tables!$A$2:$A$6,Lookup_Tables!$B$2:$B$6," ", -1)</f>
        <v>College</v>
      </c>
      <c r="T106" t="str">
        <f>_xlfn.XLOOKUP(G106,Lookup_Tables!$D$2:$D$5,Lookup_Tables!$E$2:$E$5)</f>
        <v>High</v>
      </c>
      <c r="U106" t="str">
        <f>_xlfn.XLOOKUP(H106,Lookup_Tables!$D$2:$D$5,Lookup_Tables!$E$2:$E$5)</f>
        <v>Very High</v>
      </c>
      <c r="V106" t="str">
        <f>_xlfn.XLOOKUP(L106,Lookup_Tables!$D$2:$D$5,Lookup_Tables!$E$2:$E$5)</f>
        <v>Very High</v>
      </c>
    </row>
    <row r="107" spans="1:22">
      <c r="A107">
        <f>RAW_DATA!A107</f>
        <v>59</v>
      </c>
      <c r="B107" t="str">
        <f>RAW_DATA!B107</f>
        <v>No</v>
      </c>
      <c r="C107" t="str">
        <f>RAW_DATA!C107</f>
        <v>Human Resources</v>
      </c>
      <c r="D107">
        <f>RAW_DATA!D107</f>
        <v>2</v>
      </c>
      <c r="E107">
        <f>RAW_DATA!E107</f>
        <v>4</v>
      </c>
      <c r="F107" t="str">
        <f>RAW_DATA!F107</f>
        <v>Human Resources</v>
      </c>
      <c r="G107">
        <f>RAW_DATA!G107</f>
        <v>3</v>
      </c>
      <c r="H107">
        <f>RAW_DATA!H107</f>
        <v>4</v>
      </c>
      <c r="I107" t="str">
        <f>RAW_DATA!I107</f>
        <v>Married</v>
      </c>
      <c r="J107">
        <f>RAW_DATA!J107</f>
        <v>18844</v>
      </c>
      <c r="K107">
        <f>RAW_DATA!K107</f>
        <v>9</v>
      </c>
      <c r="L107">
        <f>RAW_DATA!L107</f>
        <v>3</v>
      </c>
      <c r="M107">
        <f>RAW_DATA!M107</f>
        <v>3</v>
      </c>
      <c r="N107">
        <f t="shared" si="2"/>
        <v>0</v>
      </c>
      <c r="O107" t="str">
        <f xml:space="preserve"> VLOOKUP(A107, Lookup_Tables!$G$2:$H$6,2,TRUE)</f>
        <v>55+</v>
      </c>
      <c r="P107" t="str">
        <f>_xlfn.XLOOKUP(J107,Lookup_Tables!$J$2:$J$4,Lookup_Tables!$K$2:$K$4, " ",-1)</f>
        <v>High</v>
      </c>
      <c r="Q107" t="str">
        <f xml:space="preserve"> _xlfn.XLOOKUP(M107, Lookup_Tables!$M$2:$M$5,Lookup_Tables!$N$2:$N$5," ", -1)</f>
        <v>Early (2-5)</v>
      </c>
      <c r="R107" s="4">
        <f t="shared" si="3"/>
        <v>3.3333333333333335</v>
      </c>
      <c r="S107" t="str">
        <f xml:space="preserve"> _xlfn.XLOOKUP( E107, Lookup_Tables!$A$2:$A$6,Lookup_Tables!$B$2:$B$6," ", -1)</f>
        <v>Master</v>
      </c>
      <c r="T107" t="str">
        <f>_xlfn.XLOOKUP(G107,Lookup_Tables!$D$2:$D$5,Lookup_Tables!$E$2:$E$5)</f>
        <v>High</v>
      </c>
      <c r="U107" t="str">
        <f>_xlfn.XLOOKUP(H107,Lookup_Tables!$D$2:$D$5,Lookup_Tables!$E$2:$E$5)</f>
        <v>Very High</v>
      </c>
      <c r="V107" t="str">
        <f>_xlfn.XLOOKUP(L107,Lookup_Tables!$D$2:$D$5,Lookup_Tables!$E$2:$E$5)</f>
        <v>High</v>
      </c>
    </row>
    <row r="108" spans="1:22">
      <c r="A108">
        <f>RAW_DATA!A108</f>
        <v>50</v>
      </c>
      <c r="B108" t="str">
        <f>RAW_DATA!B108</f>
        <v>No</v>
      </c>
      <c r="C108" t="str">
        <f>RAW_DATA!C108</f>
        <v>Research &amp; Development</v>
      </c>
      <c r="D108">
        <f>RAW_DATA!D108</f>
        <v>1</v>
      </c>
      <c r="E108">
        <f>RAW_DATA!E108</f>
        <v>3</v>
      </c>
      <c r="F108" t="str">
        <f>RAW_DATA!F108</f>
        <v>Life Sciences</v>
      </c>
      <c r="G108">
        <f>RAW_DATA!G108</f>
        <v>1</v>
      </c>
      <c r="H108">
        <f>RAW_DATA!H108</f>
        <v>2</v>
      </c>
      <c r="I108" t="str">
        <f>RAW_DATA!I108</f>
        <v>Married</v>
      </c>
      <c r="J108">
        <f>RAW_DATA!J108</f>
        <v>18172</v>
      </c>
      <c r="K108">
        <f>RAW_DATA!K108</f>
        <v>3</v>
      </c>
      <c r="L108">
        <f>RAW_DATA!L108</f>
        <v>2</v>
      </c>
      <c r="M108">
        <f>RAW_DATA!M108</f>
        <v>8</v>
      </c>
      <c r="N108">
        <f t="shared" si="2"/>
        <v>0</v>
      </c>
      <c r="O108" t="str">
        <f xml:space="preserve"> VLOOKUP(A108, Lookup_Tables!$G$2:$H$6,2,TRUE)</f>
        <v>45-54</v>
      </c>
      <c r="P108" t="str">
        <f>_xlfn.XLOOKUP(J108,Lookup_Tables!$J$2:$J$4,Lookup_Tables!$K$2:$K$4, " ",-1)</f>
        <v>High</v>
      </c>
      <c r="Q108" t="str">
        <f xml:space="preserve"> _xlfn.XLOOKUP(M108, Lookup_Tables!$M$2:$M$5,Lookup_Tables!$N$2:$N$5," ", -1)</f>
        <v>Established (5-10)</v>
      </c>
      <c r="R108" s="4">
        <f t="shared" si="3"/>
        <v>1.6666666666666667</v>
      </c>
      <c r="S108" t="str">
        <f xml:space="preserve"> _xlfn.XLOOKUP( E108, Lookup_Tables!$A$2:$A$6,Lookup_Tables!$B$2:$B$6," ", -1)</f>
        <v>Bachelor</v>
      </c>
      <c r="T108" t="str">
        <f>_xlfn.XLOOKUP(G108,Lookup_Tables!$D$2:$D$5,Lookup_Tables!$E$2:$E$5)</f>
        <v>Low</v>
      </c>
      <c r="U108" t="str">
        <f>_xlfn.XLOOKUP(H108,Lookup_Tables!$D$2:$D$5,Lookup_Tables!$E$2:$E$5)</f>
        <v>Medium</v>
      </c>
      <c r="V108" t="str">
        <f>_xlfn.XLOOKUP(L108,Lookup_Tables!$D$2:$D$5,Lookup_Tables!$E$2:$E$5)</f>
        <v>Medium</v>
      </c>
    </row>
    <row r="109" spans="1:22">
      <c r="A109">
        <f>RAW_DATA!A109</f>
        <v>25</v>
      </c>
      <c r="B109" t="str">
        <f>RAW_DATA!B109</f>
        <v>Yes</v>
      </c>
      <c r="C109" t="str">
        <f>RAW_DATA!C109</f>
        <v>Sales</v>
      </c>
      <c r="D109">
        <f>RAW_DATA!D109</f>
        <v>5</v>
      </c>
      <c r="E109">
        <f>RAW_DATA!E109</f>
        <v>3</v>
      </c>
      <c r="F109" t="str">
        <f>RAW_DATA!F109</f>
        <v>Marketing</v>
      </c>
      <c r="G109">
        <f>RAW_DATA!G109</f>
        <v>3</v>
      </c>
      <c r="H109">
        <f>RAW_DATA!H109</f>
        <v>3</v>
      </c>
      <c r="I109" t="str">
        <f>RAW_DATA!I109</f>
        <v>Single</v>
      </c>
      <c r="J109">
        <f>RAW_DATA!J109</f>
        <v>5744</v>
      </c>
      <c r="K109">
        <f>RAW_DATA!K109</f>
        <v>1</v>
      </c>
      <c r="L109">
        <f>RAW_DATA!L109</f>
        <v>3</v>
      </c>
      <c r="M109">
        <f>RAW_DATA!M109</f>
        <v>6</v>
      </c>
      <c r="N109">
        <f t="shared" si="2"/>
        <v>1</v>
      </c>
      <c r="O109" t="str">
        <f xml:space="preserve"> VLOOKUP(A109, Lookup_Tables!$G$2:$H$6,2,TRUE)</f>
        <v>25-34</v>
      </c>
      <c r="P109" t="str">
        <f>_xlfn.XLOOKUP(J109,Lookup_Tables!$J$2:$J$4,Lookup_Tables!$K$2:$K$4, " ",-1)</f>
        <v>Medium</v>
      </c>
      <c r="Q109" t="str">
        <f xml:space="preserve"> _xlfn.XLOOKUP(M109, Lookup_Tables!$M$2:$M$5,Lookup_Tables!$N$2:$N$5," ", -1)</f>
        <v>Established (5-10)</v>
      </c>
      <c r="R109" s="4">
        <f t="shared" si="3"/>
        <v>3</v>
      </c>
      <c r="S109" t="str">
        <f xml:space="preserve"> _xlfn.XLOOKUP( E109, Lookup_Tables!$A$2:$A$6,Lookup_Tables!$B$2:$B$6," ", -1)</f>
        <v>Bachelor</v>
      </c>
      <c r="T109" t="str">
        <f>_xlfn.XLOOKUP(G109,Lookup_Tables!$D$2:$D$5,Lookup_Tables!$E$2:$E$5)</f>
        <v>High</v>
      </c>
      <c r="U109" t="str">
        <f>_xlfn.XLOOKUP(H109,Lookup_Tables!$D$2:$D$5,Lookup_Tables!$E$2:$E$5)</f>
        <v>High</v>
      </c>
      <c r="V109" t="str">
        <f>_xlfn.XLOOKUP(L109,Lookup_Tables!$D$2:$D$5,Lookup_Tables!$E$2:$E$5)</f>
        <v>High</v>
      </c>
    </row>
    <row r="110" spans="1:22">
      <c r="A110">
        <f>RAW_DATA!A110</f>
        <v>25</v>
      </c>
      <c r="B110" t="str">
        <f>RAW_DATA!B110</f>
        <v>No</v>
      </c>
      <c r="C110" t="str">
        <f>RAW_DATA!C110</f>
        <v>Research &amp; Development</v>
      </c>
      <c r="D110">
        <f>RAW_DATA!D110</f>
        <v>7</v>
      </c>
      <c r="E110">
        <f>RAW_DATA!E110</f>
        <v>1</v>
      </c>
      <c r="F110" t="str">
        <f>RAW_DATA!F110</f>
        <v>Medical</v>
      </c>
      <c r="G110">
        <f>RAW_DATA!G110</f>
        <v>4</v>
      </c>
      <c r="H110">
        <f>RAW_DATA!H110</f>
        <v>4</v>
      </c>
      <c r="I110" t="str">
        <f>RAW_DATA!I110</f>
        <v>Married</v>
      </c>
      <c r="J110">
        <f>RAW_DATA!J110</f>
        <v>2889</v>
      </c>
      <c r="K110">
        <f>RAW_DATA!K110</f>
        <v>1</v>
      </c>
      <c r="L110">
        <f>RAW_DATA!L110</f>
        <v>3</v>
      </c>
      <c r="M110">
        <f>RAW_DATA!M110</f>
        <v>2</v>
      </c>
      <c r="N110">
        <f t="shared" si="2"/>
        <v>0</v>
      </c>
      <c r="O110" t="str">
        <f xml:space="preserve"> VLOOKUP(A110, Lookup_Tables!$G$2:$H$6,2,TRUE)</f>
        <v>25-34</v>
      </c>
      <c r="P110" t="str">
        <f>_xlfn.XLOOKUP(J110,Lookup_Tables!$J$2:$J$4,Lookup_Tables!$K$2:$K$4, " ",-1)</f>
        <v>Low</v>
      </c>
      <c r="Q110" t="str">
        <f xml:space="preserve"> _xlfn.XLOOKUP(M110, Lookup_Tables!$M$2:$M$5,Lookup_Tables!$N$2:$N$5," ", -1)</f>
        <v>Early (2-5)</v>
      </c>
      <c r="R110" s="4">
        <f t="shared" si="3"/>
        <v>3.6666666666666665</v>
      </c>
      <c r="S110" t="str">
        <f xml:space="preserve"> _xlfn.XLOOKUP( E110, Lookup_Tables!$A$2:$A$6,Lookup_Tables!$B$2:$B$6," ", -1)</f>
        <v>Below College</v>
      </c>
      <c r="T110" t="str">
        <f>_xlfn.XLOOKUP(G110,Lookup_Tables!$D$2:$D$5,Lookup_Tables!$E$2:$E$5)</f>
        <v>Very High</v>
      </c>
      <c r="U110" t="str">
        <f>_xlfn.XLOOKUP(H110,Lookup_Tables!$D$2:$D$5,Lookup_Tables!$E$2:$E$5)</f>
        <v>Very High</v>
      </c>
      <c r="V110" t="str">
        <f>_xlfn.XLOOKUP(L110,Lookup_Tables!$D$2:$D$5,Lookup_Tables!$E$2:$E$5)</f>
        <v>High</v>
      </c>
    </row>
    <row r="111" spans="1:22">
      <c r="A111">
        <f>RAW_DATA!A111</f>
        <v>22</v>
      </c>
      <c r="B111" t="str">
        <f>RAW_DATA!B111</f>
        <v>No</v>
      </c>
      <c r="C111" t="str">
        <f>RAW_DATA!C111</f>
        <v>Research &amp; Development</v>
      </c>
      <c r="D111">
        <f>RAW_DATA!D111</f>
        <v>15</v>
      </c>
      <c r="E111">
        <f>RAW_DATA!E111</f>
        <v>3</v>
      </c>
      <c r="F111" t="str">
        <f>RAW_DATA!F111</f>
        <v>Medical</v>
      </c>
      <c r="G111">
        <f>RAW_DATA!G111</f>
        <v>2</v>
      </c>
      <c r="H111">
        <f>RAW_DATA!H111</f>
        <v>4</v>
      </c>
      <c r="I111" t="str">
        <f>RAW_DATA!I111</f>
        <v>Single</v>
      </c>
      <c r="J111">
        <f>RAW_DATA!J111</f>
        <v>2871</v>
      </c>
      <c r="K111">
        <f>RAW_DATA!K111</f>
        <v>1</v>
      </c>
      <c r="L111">
        <f>RAW_DATA!L111</f>
        <v>3</v>
      </c>
      <c r="M111">
        <f>RAW_DATA!M111</f>
        <v>0</v>
      </c>
      <c r="N111">
        <f t="shared" si="2"/>
        <v>0</v>
      </c>
      <c r="O111" t="str">
        <f xml:space="preserve"> VLOOKUP(A111, Lookup_Tables!$G$2:$H$6,2,TRUE)</f>
        <v>&lt;25</v>
      </c>
      <c r="P111" t="str">
        <f>_xlfn.XLOOKUP(J111,Lookup_Tables!$J$2:$J$4,Lookup_Tables!$K$2:$K$4, " ",-1)</f>
        <v>Low</v>
      </c>
      <c r="Q111" t="str">
        <f xml:space="preserve"> _xlfn.XLOOKUP(M111, Lookup_Tables!$M$2:$M$5,Lookup_Tables!$N$2:$N$5," ", -1)</f>
        <v>New (0-2)</v>
      </c>
      <c r="R111" s="4">
        <f t="shared" si="3"/>
        <v>3</v>
      </c>
      <c r="S111" t="str">
        <f xml:space="preserve"> _xlfn.XLOOKUP( E111, Lookup_Tables!$A$2:$A$6,Lookup_Tables!$B$2:$B$6," ", -1)</f>
        <v>Bachelor</v>
      </c>
      <c r="T111" t="str">
        <f>_xlfn.XLOOKUP(G111,Lookup_Tables!$D$2:$D$5,Lookup_Tables!$E$2:$E$5)</f>
        <v>Medium</v>
      </c>
      <c r="U111" t="str">
        <f>_xlfn.XLOOKUP(H111,Lookup_Tables!$D$2:$D$5,Lookup_Tables!$E$2:$E$5)</f>
        <v>Very High</v>
      </c>
      <c r="V111" t="str">
        <f>_xlfn.XLOOKUP(L111,Lookup_Tables!$D$2:$D$5,Lookup_Tables!$E$2:$E$5)</f>
        <v>High</v>
      </c>
    </row>
    <row r="112" spans="1:22">
      <c r="A112">
        <f>RAW_DATA!A112</f>
        <v>51</v>
      </c>
      <c r="B112" t="str">
        <f>RAW_DATA!B112</f>
        <v>No</v>
      </c>
      <c r="C112" t="str">
        <f>RAW_DATA!C112</f>
        <v>Research &amp; Development</v>
      </c>
      <c r="D112">
        <f>RAW_DATA!D112</f>
        <v>1</v>
      </c>
      <c r="E112">
        <f>RAW_DATA!E112</f>
        <v>4</v>
      </c>
      <c r="F112" t="str">
        <f>RAW_DATA!F112</f>
        <v>Medical</v>
      </c>
      <c r="G112">
        <f>RAW_DATA!G112</f>
        <v>1</v>
      </c>
      <c r="H112">
        <f>RAW_DATA!H112</f>
        <v>1</v>
      </c>
      <c r="I112" t="str">
        <f>RAW_DATA!I112</f>
        <v>Single</v>
      </c>
      <c r="J112">
        <f>RAW_DATA!J112</f>
        <v>7484</v>
      </c>
      <c r="K112">
        <f>RAW_DATA!K112</f>
        <v>3</v>
      </c>
      <c r="L112">
        <f>RAW_DATA!L112</f>
        <v>2</v>
      </c>
      <c r="M112">
        <f>RAW_DATA!M112</f>
        <v>13</v>
      </c>
      <c r="N112">
        <f t="shared" si="2"/>
        <v>0</v>
      </c>
      <c r="O112" t="str">
        <f xml:space="preserve"> VLOOKUP(A112, Lookup_Tables!$G$2:$H$6,2,TRUE)</f>
        <v>45-54</v>
      </c>
      <c r="P112" t="str">
        <f>_xlfn.XLOOKUP(J112,Lookup_Tables!$J$2:$J$4,Lookup_Tables!$K$2:$K$4, " ",-1)</f>
        <v>High</v>
      </c>
      <c r="Q112" t="str">
        <f xml:space="preserve"> _xlfn.XLOOKUP(M112, Lookup_Tables!$M$2:$M$5,Lookup_Tables!$N$2:$N$5," ", -1)</f>
        <v>Veteran (10+)</v>
      </c>
      <c r="R112" s="4">
        <f t="shared" si="3"/>
        <v>1.3333333333333333</v>
      </c>
      <c r="S112" t="str">
        <f xml:space="preserve"> _xlfn.XLOOKUP( E112, Lookup_Tables!$A$2:$A$6,Lookup_Tables!$B$2:$B$6," ", -1)</f>
        <v>Master</v>
      </c>
      <c r="T112" t="str">
        <f>_xlfn.XLOOKUP(G112,Lookup_Tables!$D$2:$D$5,Lookup_Tables!$E$2:$E$5)</f>
        <v>Low</v>
      </c>
      <c r="U112" t="str">
        <f>_xlfn.XLOOKUP(H112,Lookup_Tables!$D$2:$D$5,Lookup_Tables!$E$2:$E$5)</f>
        <v>Low</v>
      </c>
      <c r="V112" t="str">
        <f>_xlfn.XLOOKUP(L112,Lookup_Tables!$D$2:$D$5,Lookup_Tables!$E$2:$E$5)</f>
        <v>Medium</v>
      </c>
    </row>
    <row r="113" spans="1:22">
      <c r="A113">
        <f>RAW_DATA!A113</f>
        <v>34</v>
      </c>
      <c r="B113" t="str">
        <f>RAW_DATA!B113</f>
        <v>Yes</v>
      </c>
      <c r="C113" t="str">
        <f>RAW_DATA!C113</f>
        <v>Research &amp; Development</v>
      </c>
      <c r="D113">
        <f>RAW_DATA!D113</f>
        <v>7</v>
      </c>
      <c r="E113">
        <f>RAW_DATA!E113</f>
        <v>3</v>
      </c>
      <c r="F113" t="str">
        <f>RAW_DATA!F113</f>
        <v>Life Sciences</v>
      </c>
      <c r="G113">
        <f>RAW_DATA!G113</f>
        <v>1</v>
      </c>
      <c r="H113">
        <f>RAW_DATA!H113</f>
        <v>3</v>
      </c>
      <c r="I113" t="str">
        <f>RAW_DATA!I113</f>
        <v>Single</v>
      </c>
      <c r="J113">
        <f>RAW_DATA!J113</f>
        <v>6074</v>
      </c>
      <c r="K113">
        <f>RAW_DATA!K113</f>
        <v>1</v>
      </c>
      <c r="L113">
        <f>RAW_DATA!L113</f>
        <v>3</v>
      </c>
      <c r="M113">
        <f>RAW_DATA!M113</f>
        <v>9</v>
      </c>
      <c r="N113">
        <f t="shared" si="2"/>
        <v>1</v>
      </c>
      <c r="O113" t="str">
        <f xml:space="preserve"> VLOOKUP(A113, Lookup_Tables!$G$2:$H$6,2,TRUE)</f>
        <v>25-34</v>
      </c>
      <c r="P113" t="str">
        <f>_xlfn.XLOOKUP(J113,Lookup_Tables!$J$2:$J$4,Lookup_Tables!$K$2:$K$4, " ",-1)</f>
        <v>Medium</v>
      </c>
      <c r="Q113" t="str">
        <f xml:space="preserve"> _xlfn.XLOOKUP(M113, Lookup_Tables!$M$2:$M$5,Lookup_Tables!$N$2:$N$5," ", -1)</f>
        <v>Established (5-10)</v>
      </c>
      <c r="R113" s="4">
        <f t="shared" si="3"/>
        <v>2.3333333333333335</v>
      </c>
      <c r="S113" t="str">
        <f xml:space="preserve"> _xlfn.XLOOKUP( E113, Lookup_Tables!$A$2:$A$6,Lookup_Tables!$B$2:$B$6," ", -1)</f>
        <v>Bachelor</v>
      </c>
      <c r="T113" t="str">
        <f>_xlfn.XLOOKUP(G113,Lookup_Tables!$D$2:$D$5,Lookup_Tables!$E$2:$E$5)</f>
        <v>Low</v>
      </c>
      <c r="U113" t="str">
        <f>_xlfn.XLOOKUP(H113,Lookup_Tables!$D$2:$D$5,Lookup_Tables!$E$2:$E$5)</f>
        <v>High</v>
      </c>
      <c r="V113" t="str">
        <f>_xlfn.XLOOKUP(L113,Lookup_Tables!$D$2:$D$5,Lookup_Tables!$E$2:$E$5)</f>
        <v>High</v>
      </c>
    </row>
    <row r="114" spans="1:22">
      <c r="A114">
        <f>RAW_DATA!A114</f>
        <v>54</v>
      </c>
      <c r="B114" t="str">
        <f>RAW_DATA!B114</f>
        <v>No</v>
      </c>
      <c r="C114" t="str">
        <f>RAW_DATA!C114</f>
        <v>Human Resources</v>
      </c>
      <c r="D114">
        <f>RAW_DATA!D114</f>
        <v>26</v>
      </c>
      <c r="E114">
        <f>RAW_DATA!E114</f>
        <v>3</v>
      </c>
      <c r="F114" t="str">
        <f>RAW_DATA!F114</f>
        <v>Human Resources</v>
      </c>
      <c r="G114">
        <f>RAW_DATA!G114</f>
        <v>4</v>
      </c>
      <c r="H114">
        <f>RAW_DATA!H114</f>
        <v>4</v>
      </c>
      <c r="I114" t="str">
        <f>RAW_DATA!I114</f>
        <v>Single</v>
      </c>
      <c r="J114">
        <f>RAW_DATA!J114</f>
        <v>17328</v>
      </c>
      <c r="K114">
        <f>RAW_DATA!K114</f>
        <v>2</v>
      </c>
      <c r="L114">
        <f>RAW_DATA!L114</f>
        <v>3</v>
      </c>
      <c r="M114">
        <f>RAW_DATA!M114</f>
        <v>5</v>
      </c>
      <c r="N114">
        <f t="shared" si="2"/>
        <v>0</v>
      </c>
      <c r="O114" t="str">
        <f xml:space="preserve"> VLOOKUP(A114, Lookup_Tables!$G$2:$H$6,2,TRUE)</f>
        <v>45-54</v>
      </c>
      <c r="P114" t="str">
        <f>_xlfn.XLOOKUP(J114,Lookup_Tables!$J$2:$J$4,Lookup_Tables!$K$2:$K$4, " ",-1)</f>
        <v>High</v>
      </c>
      <c r="Q114" t="str">
        <f xml:space="preserve"> _xlfn.XLOOKUP(M114, Lookup_Tables!$M$2:$M$5,Lookup_Tables!$N$2:$N$5," ", -1)</f>
        <v>Established (5-10)</v>
      </c>
      <c r="R114" s="4">
        <f t="shared" si="3"/>
        <v>3.6666666666666665</v>
      </c>
      <c r="S114" t="str">
        <f xml:space="preserve"> _xlfn.XLOOKUP( E114, Lookup_Tables!$A$2:$A$6,Lookup_Tables!$B$2:$B$6," ", -1)</f>
        <v>Bachelor</v>
      </c>
      <c r="T114" t="str">
        <f>_xlfn.XLOOKUP(G114,Lookup_Tables!$D$2:$D$5,Lookup_Tables!$E$2:$E$5)</f>
        <v>Very High</v>
      </c>
      <c r="U114" t="str">
        <f>_xlfn.XLOOKUP(H114,Lookup_Tables!$D$2:$D$5,Lookup_Tables!$E$2:$E$5)</f>
        <v>Very High</v>
      </c>
      <c r="V114" t="str">
        <f>_xlfn.XLOOKUP(L114,Lookup_Tables!$D$2:$D$5,Lookup_Tables!$E$2:$E$5)</f>
        <v>High</v>
      </c>
    </row>
    <row r="115" spans="1:22">
      <c r="A115">
        <f>RAW_DATA!A115</f>
        <v>24</v>
      </c>
      <c r="B115" t="str">
        <f>RAW_DATA!B115</f>
        <v>No</v>
      </c>
      <c r="C115" t="str">
        <f>RAW_DATA!C115</f>
        <v>Research &amp; Development</v>
      </c>
      <c r="D115">
        <f>RAW_DATA!D115</f>
        <v>18</v>
      </c>
      <c r="E115">
        <f>RAW_DATA!E115</f>
        <v>1</v>
      </c>
      <c r="F115" t="str">
        <f>RAW_DATA!F115</f>
        <v>Life Sciences</v>
      </c>
      <c r="G115">
        <f>RAW_DATA!G115</f>
        <v>2</v>
      </c>
      <c r="H115">
        <f>RAW_DATA!H115</f>
        <v>3</v>
      </c>
      <c r="I115" t="str">
        <f>RAW_DATA!I115</f>
        <v>Married</v>
      </c>
      <c r="J115">
        <f>RAW_DATA!J115</f>
        <v>2774</v>
      </c>
      <c r="K115">
        <f>RAW_DATA!K115</f>
        <v>0</v>
      </c>
      <c r="L115">
        <f>RAW_DATA!L115</f>
        <v>3</v>
      </c>
      <c r="M115">
        <f>RAW_DATA!M115</f>
        <v>5</v>
      </c>
      <c r="N115">
        <f t="shared" si="2"/>
        <v>0</v>
      </c>
      <c r="O115" t="str">
        <f xml:space="preserve"> VLOOKUP(A115, Lookup_Tables!$G$2:$H$6,2,TRUE)</f>
        <v>&lt;25</v>
      </c>
      <c r="P115" t="str">
        <f>_xlfn.XLOOKUP(J115,Lookup_Tables!$J$2:$J$4,Lookup_Tables!$K$2:$K$4, " ",-1)</f>
        <v>Low</v>
      </c>
      <c r="Q115" t="str">
        <f xml:space="preserve"> _xlfn.XLOOKUP(M115, Lookup_Tables!$M$2:$M$5,Lookup_Tables!$N$2:$N$5," ", -1)</f>
        <v>Established (5-10)</v>
      </c>
      <c r="R115" s="4">
        <f t="shared" si="3"/>
        <v>2.6666666666666665</v>
      </c>
      <c r="S115" t="str">
        <f xml:space="preserve"> _xlfn.XLOOKUP( E115, Lookup_Tables!$A$2:$A$6,Lookup_Tables!$B$2:$B$6," ", -1)</f>
        <v>Below College</v>
      </c>
      <c r="T115" t="str">
        <f>_xlfn.XLOOKUP(G115,Lookup_Tables!$D$2:$D$5,Lookup_Tables!$E$2:$E$5)</f>
        <v>Medium</v>
      </c>
      <c r="U115" t="str">
        <f>_xlfn.XLOOKUP(H115,Lookup_Tables!$D$2:$D$5,Lookup_Tables!$E$2:$E$5)</f>
        <v>High</v>
      </c>
      <c r="V115" t="str">
        <f>_xlfn.XLOOKUP(L115,Lookup_Tables!$D$2:$D$5,Lookup_Tables!$E$2:$E$5)</f>
        <v>High</v>
      </c>
    </row>
    <row r="116" spans="1:22">
      <c r="A116">
        <f>RAW_DATA!A116</f>
        <v>34</v>
      </c>
      <c r="B116" t="str">
        <f>RAW_DATA!B116</f>
        <v>No</v>
      </c>
      <c r="C116" t="str">
        <f>RAW_DATA!C116</f>
        <v>Research &amp; Development</v>
      </c>
      <c r="D116">
        <f>RAW_DATA!D116</f>
        <v>6</v>
      </c>
      <c r="E116">
        <f>RAW_DATA!E116</f>
        <v>4</v>
      </c>
      <c r="F116" t="str">
        <f>RAW_DATA!F116</f>
        <v>Life Sciences</v>
      </c>
      <c r="G116">
        <f>RAW_DATA!G116</f>
        <v>3</v>
      </c>
      <c r="H116">
        <f>RAW_DATA!H116</f>
        <v>2</v>
      </c>
      <c r="I116" t="str">
        <f>RAW_DATA!I116</f>
        <v>Divorced</v>
      </c>
      <c r="J116">
        <f>RAW_DATA!J116</f>
        <v>4505</v>
      </c>
      <c r="K116">
        <f>RAW_DATA!K116</f>
        <v>6</v>
      </c>
      <c r="L116">
        <f>RAW_DATA!L116</f>
        <v>3</v>
      </c>
      <c r="M116">
        <f>RAW_DATA!M116</f>
        <v>1</v>
      </c>
      <c r="N116">
        <f t="shared" si="2"/>
        <v>0</v>
      </c>
      <c r="O116" t="str">
        <f xml:space="preserve"> VLOOKUP(A116, Lookup_Tables!$G$2:$H$6,2,TRUE)</f>
        <v>25-34</v>
      </c>
      <c r="P116" t="str">
        <f>_xlfn.XLOOKUP(J116,Lookup_Tables!$J$2:$J$4,Lookup_Tables!$K$2:$K$4, " ",-1)</f>
        <v>Medium</v>
      </c>
      <c r="Q116" t="str">
        <f xml:space="preserve"> _xlfn.XLOOKUP(M116, Lookup_Tables!$M$2:$M$5,Lookup_Tables!$N$2:$N$5," ", -1)</f>
        <v>New (0-2)</v>
      </c>
      <c r="R116" s="4">
        <f t="shared" si="3"/>
        <v>2.6666666666666665</v>
      </c>
      <c r="S116" t="str">
        <f xml:space="preserve"> _xlfn.XLOOKUP( E116, Lookup_Tables!$A$2:$A$6,Lookup_Tables!$B$2:$B$6," ", -1)</f>
        <v>Master</v>
      </c>
      <c r="T116" t="str">
        <f>_xlfn.XLOOKUP(G116,Lookup_Tables!$D$2:$D$5,Lookup_Tables!$E$2:$E$5)</f>
        <v>High</v>
      </c>
      <c r="U116" t="str">
        <f>_xlfn.XLOOKUP(H116,Lookup_Tables!$D$2:$D$5,Lookup_Tables!$E$2:$E$5)</f>
        <v>Medium</v>
      </c>
      <c r="V116" t="str">
        <f>_xlfn.XLOOKUP(L116,Lookup_Tables!$D$2:$D$5,Lookup_Tables!$E$2:$E$5)</f>
        <v>High</v>
      </c>
    </row>
    <row r="117" spans="1:22">
      <c r="A117">
        <f>RAW_DATA!A117</f>
        <v>37</v>
      </c>
      <c r="B117" t="str">
        <f>RAW_DATA!B117</f>
        <v>No</v>
      </c>
      <c r="C117" t="str">
        <f>RAW_DATA!C117</f>
        <v>Sales</v>
      </c>
      <c r="D117">
        <f>RAW_DATA!D117</f>
        <v>3</v>
      </c>
      <c r="E117">
        <f>RAW_DATA!E117</f>
        <v>3</v>
      </c>
      <c r="F117" t="str">
        <f>RAW_DATA!F117</f>
        <v>Life Sciences</v>
      </c>
      <c r="G117">
        <f>RAW_DATA!G117</f>
        <v>3</v>
      </c>
      <c r="H117">
        <f>RAW_DATA!H117</f>
        <v>4</v>
      </c>
      <c r="I117" t="str">
        <f>RAW_DATA!I117</f>
        <v>Single</v>
      </c>
      <c r="J117">
        <f>RAW_DATA!J117</f>
        <v>7428</v>
      </c>
      <c r="K117">
        <f>RAW_DATA!K117</f>
        <v>2</v>
      </c>
      <c r="L117">
        <f>RAW_DATA!L117</f>
        <v>3</v>
      </c>
      <c r="M117">
        <f>RAW_DATA!M117</f>
        <v>5</v>
      </c>
      <c r="N117">
        <f t="shared" si="2"/>
        <v>0</v>
      </c>
      <c r="O117" t="str">
        <f xml:space="preserve"> VLOOKUP(A117, Lookup_Tables!$G$2:$H$6,2,TRUE)</f>
        <v>35-44</v>
      </c>
      <c r="P117" t="str">
        <f>_xlfn.XLOOKUP(J117,Lookup_Tables!$J$2:$J$4,Lookup_Tables!$K$2:$K$4, " ",-1)</f>
        <v>High</v>
      </c>
      <c r="Q117" t="str">
        <f xml:space="preserve"> _xlfn.XLOOKUP(M117, Lookup_Tables!$M$2:$M$5,Lookup_Tables!$N$2:$N$5," ", -1)</f>
        <v>Established (5-10)</v>
      </c>
      <c r="R117" s="4">
        <f t="shared" si="3"/>
        <v>3.3333333333333335</v>
      </c>
      <c r="S117" t="str">
        <f xml:space="preserve"> _xlfn.XLOOKUP( E117, Lookup_Tables!$A$2:$A$6,Lookup_Tables!$B$2:$B$6," ", -1)</f>
        <v>Bachelor</v>
      </c>
      <c r="T117" t="str">
        <f>_xlfn.XLOOKUP(G117,Lookup_Tables!$D$2:$D$5,Lookup_Tables!$E$2:$E$5)</f>
        <v>High</v>
      </c>
      <c r="U117" t="str">
        <f>_xlfn.XLOOKUP(H117,Lookup_Tables!$D$2:$D$5,Lookup_Tables!$E$2:$E$5)</f>
        <v>Very High</v>
      </c>
      <c r="V117" t="str">
        <f>_xlfn.XLOOKUP(L117,Lookup_Tables!$D$2:$D$5,Lookup_Tables!$E$2:$E$5)</f>
        <v>High</v>
      </c>
    </row>
    <row r="118" spans="1:22">
      <c r="A118">
        <f>RAW_DATA!A118</f>
        <v>34</v>
      </c>
      <c r="B118" t="str">
        <f>RAW_DATA!B118</f>
        <v>No</v>
      </c>
      <c r="C118" t="str">
        <f>RAW_DATA!C118</f>
        <v>Research &amp; Development</v>
      </c>
      <c r="D118">
        <f>RAW_DATA!D118</f>
        <v>5</v>
      </c>
      <c r="E118">
        <f>RAW_DATA!E118</f>
        <v>3</v>
      </c>
      <c r="F118" t="str">
        <f>RAW_DATA!F118</f>
        <v>Medical</v>
      </c>
      <c r="G118">
        <f>RAW_DATA!G118</f>
        <v>3</v>
      </c>
      <c r="H118">
        <f>RAW_DATA!H118</f>
        <v>1</v>
      </c>
      <c r="I118" t="str">
        <f>RAW_DATA!I118</f>
        <v>Single</v>
      </c>
      <c r="J118">
        <f>RAW_DATA!J118</f>
        <v>11631</v>
      </c>
      <c r="K118">
        <f>RAW_DATA!K118</f>
        <v>2</v>
      </c>
      <c r="L118">
        <f>RAW_DATA!L118</f>
        <v>3</v>
      </c>
      <c r="M118">
        <f>RAW_DATA!M118</f>
        <v>11</v>
      </c>
      <c r="N118">
        <f t="shared" si="2"/>
        <v>0</v>
      </c>
      <c r="O118" t="str">
        <f xml:space="preserve"> VLOOKUP(A118, Lookup_Tables!$G$2:$H$6,2,TRUE)</f>
        <v>25-34</v>
      </c>
      <c r="P118" t="str">
        <f>_xlfn.XLOOKUP(J118,Lookup_Tables!$J$2:$J$4,Lookup_Tables!$K$2:$K$4, " ",-1)</f>
        <v>High</v>
      </c>
      <c r="Q118" t="str">
        <f xml:space="preserve"> _xlfn.XLOOKUP(M118, Lookup_Tables!$M$2:$M$5,Lookup_Tables!$N$2:$N$5," ", -1)</f>
        <v>Veteran (10+)</v>
      </c>
      <c r="R118" s="4">
        <f t="shared" si="3"/>
        <v>2.3333333333333335</v>
      </c>
      <c r="S118" t="str">
        <f xml:space="preserve"> _xlfn.XLOOKUP( E118, Lookup_Tables!$A$2:$A$6,Lookup_Tables!$B$2:$B$6," ", -1)</f>
        <v>Bachelor</v>
      </c>
      <c r="T118" t="str">
        <f>_xlfn.XLOOKUP(G118,Lookup_Tables!$D$2:$D$5,Lookup_Tables!$E$2:$E$5)</f>
        <v>High</v>
      </c>
      <c r="U118" t="str">
        <f>_xlfn.XLOOKUP(H118,Lookup_Tables!$D$2:$D$5,Lookup_Tables!$E$2:$E$5)</f>
        <v>Low</v>
      </c>
      <c r="V118" t="str">
        <f>_xlfn.XLOOKUP(L118,Lookup_Tables!$D$2:$D$5,Lookup_Tables!$E$2:$E$5)</f>
        <v>High</v>
      </c>
    </row>
    <row r="119" spans="1:22">
      <c r="A119">
        <f>RAW_DATA!A119</f>
        <v>36</v>
      </c>
      <c r="B119" t="str">
        <f>RAW_DATA!B119</f>
        <v>No</v>
      </c>
      <c r="C119" t="str">
        <f>RAW_DATA!C119</f>
        <v>Sales</v>
      </c>
      <c r="D119">
        <f>RAW_DATA!D119</f>
        <v>11</v>
      </c>
      <c r="E119">
        <f>RAW_DATA!E119</f>
        <v>2</v>
      </c>
      <c r="F119" t="str">
        <f>RAW_DATA!F119</f>
        <v>Technical Degree</v>
      </c>
      <c r="G119">
        <f>RAW_DATA!G119</f>
        <v>2</v>
      </c>
      <c r="H119">
        <f>RAW_DATA!H119</f>
        <v>4</v>
      </c>
      <c r="I119" t="str">
        <f>RAW_DATA!I119</f>
        <v>Married</v>
      </c>
      <c r="J119">
        <f>RAW_DATA!J119</f>
        <v>9738</v>
      </c>
      <c r="K119">
        <f>RAW_DATA!K119</f>
        <v>0</v>
      </c>
      <c r="L119">
        <f>RAW_DATA!L119</f>
        <v>3</v>
      </c>
      <c r="M119">
        <f>RAW_DATA!M119</f>
        <v>9</v>
      </c>
      <c r="N119">
        <f t="shared" si="2"/>
        <v>0</v>
      </c>
      <c r="O119" t="str">
        <f xml:space="preserve"> VLOOKUP(A119, Lookup_Tables!$G$2:$H$6,2,TRUE)</f>
        <v>35-44</v>
      </c>
      <c r="P119" t="str">
        <f>_xlfn.XLOOKUP(J119,Lookup_Tables!$J$2:$J$4,Lookup_Tables!$K$2:$K$4, " ",-1)</f>
        <v>High</v>
      </c>
      <c r="Q119" t="str">
        <f xml:space="preserve"> _xlfn.XLOOKUP(M119, Lookup_Tables!$M$2:$M$5,Lookup_Tables!$N$2:$N$5," ", -1)</f>
        <v>Established (5-10)</v>
      </c>
      <c r="R119" s="4">
        <f t="shared" si="3"/>
        <v>3</v>
      </c>
      <c r="S119" t="str">
        <f xml:space="preserve"> _xlfn.XLOOKUP( E119, Lookup_Tables!$A$2:$A$6,Lookup_Tables!$B$2:$B$6," ", -1)</f>
        <v>College</v>
      </c>
      <c r="T119" t="str">
        <f>_xlfn.XLOOKUP(G119,Lookup_Tables!$D$2:$D$5,Lookup_Tables!$E$2:$E$5)</f>
        <v>Medium</v>
      </c>
      <c r="U119" t="str">
        <f>_xlfn.XLOOKUP(H119,Lookup_Tables!$D$2:$D$5,Lookup_Tables!$E$2:$E$5)</f>
        <v>Very High</v>
      </c>
      <c r="V119" t="str">
        <f>_xlfn.XLOOKUP(L119,Lookup_Tables!$D$2:$D$5,Lookup_Tables!$E$2:$E$5)</f>
        <v>High</v>
      </c>
    </row>
    <row r="120" spans="1:22">
      <c r="A120">
        <f>RAW_DATA!A120</f>
        <v>36</v>
      </c>
      <c r="B120" t="str">
        <f>RAW_DATA!B120</f>
        <v>No</v>
      </c>
      <c r="C120" t="str">
        <f>RAW_DATA!C120</f>
        <v>Research &amp; Development</v>
      </c>
      <c r="D120">
        <f>RAW_DATA!D120</f>
        <v>3</v>
      </c>
      <c r="E120">
        <f>RAW_DATA!E120</f>
        <v>2</v>
      </c>
      <c r="F120" t="str">
        <f>RAW_DATA!F120</f>
        <v>Life Sciences</v>
      </c>
      <c r="G120">
        <f>RAW_DATA!G120</f>
        <v>1</v>
      </c>
      <c r="H120">
        <f>RAW_DATA!H120</f>
        <v>4</v>
      </c>
      <c r="I120" t="str">
        <f>RAW_DATA!I120</f>
        <v>Divorced</v>
      </c>
      <c r="J120">
        <f>RAW_DATA!J120</f>
        <v>2835</v>
      </c>
      <c r="K120">
        <f>RAW_DATA!K120</f>
        <v>5</v>
      </c>
      <c r="L120">
        <f>RAW_DATA!L120</f>
        <v>3</v>
      </c>
      <c r="M120">
        <f>RAW_DATA!M120</f>
        <v>1</v>
      </c>
      <c r="N120">
        <f t="shared" si="2"/>
        <v>0</v>
      </c>
      <c r="O120" t="str">
        <f xml:space="preserve"> VLOOKUP(A120, Lookup_Tables!$G$2:$H$6,2,TRUE)</f>
        <v>35-44</v>
      </c>
      <c r="P120" t="str">
        <f>_xlfn.XLOOKUP(J120,Lookup_Tables!$J$2:$J$4,Lookup_Tables!$K$2:$K$4, " ",-1)</f>
        <v>Low</v>
      </c>
      <c r="Q120" t="str">
        <f xml:space="preserve"> _xlfn.XLOOKUP(M120, Lookup_Tables!$M$2:$M$5,Lookup_Tables!$N$2:$N$5," ", -1)</f>
        <v>New (0-2)</v>
      </c>
      <c r="R120" s="4">
        <f t="shared" si="3"/>
        <v>2.6666666666666665</v>
      </c>
      <c r="S120" t="str">
        <f xml:space="preserve"> _xlfn.XLOOKUP( E120, Lookup_Tables!$A$2:$A$6,Lookup_Tables!$B$2:$B$6," ", -1)</f>
        <v>College</v>
      </c>
      <c r="T120" t="str">
        <f>_xlfn.XLOOKUP(G120,Lookup_Tables!$D$2:$D$5,Lookup_Tables!$E$2:$E$5)</f>
        <v>Low</v>
      </c>
      <c r="U120" t="str">
        <f>_xlfn.XLOOKUP(H120,Lookup_Tables!$D$2:$D$5,Lookup_Tables!$E$2:$E$5)</f>
        <v>Very High</v>
      </c>
      <c r="V120" t="str">
        <f>_xlfn.XLOOKUP(L120,Lookup_Tables!$D$2:$D$5,Lookup_Tables!$E$2:$E$5)</f>
        <v>High</v>
      </c>
    </row>
    <row r="121" spans="1:22">
      <c r="A121">
        <f>RAW_DATA!A121</f>
        <v>43</v>
      </c>
      <c r="B121" t="str">
        <f>RAW_DATA!B121</f>
        <v>No</v>
      </c>
      <c r="C121" t="str">
        <f>RAW_DATA!C121</f>
        <v>Sales</v>
      </c>
      <c r="D121">
        <f>RAW_DATA!D121</f>
        <v>26</v>
      </c>
      <c r="E121">
        <f>RAW_DATA!E121</f>
        <v>2</v>
      </c>
      <c r="F121" t="str">
        <f>RAW_DATA!F121</f>
        <v>Life Sciences</v>
      </c>
      <c r="G121">
        <f>RAW_DATA!G121</f>
        <v>3</v>
      </c>
      <c r="H121">
        <f>RAW_DATA!H121</f>
        <v>4</v>
      </c>
      <c r="I121" t="str">
        <f>RAW_DATA!I121</f>
        <v>Married</v>
      </c>
      <c r="J121">
        <f>RAW_DATA!J121</f>
        <v>16959</v>
      </c>
      <c r="K121">
        <f>RAW_DATA!K121</f>
        <v>1</v>
      </c>
      <c r="L121">
        <f>RAW_DATA!L121</f>
        <v>4</v>
      </c>
      <c r="M121">
        <f>RAW_DATA!M121</f>
        <v>25</v>
      </c>
      <c r="N121">
        <f t="shared" si="2"/>
        <v>0</v>
      </c>
      <c r="O121" t="str">
        <f xml:space="preserve"> VLOOKUP(A121, Lookup_Tables!$G$2:$H$6,2,TRUE)</f>
        <v>35-44</v>
      </c>
      <c r="P121" t="str">
        <f>_xlfn.XLOOKUP(J121,Lookup_Tables!$J$2:$J$4,Lookup_Tables!$K$2:$K$4, " ",-1)</f>
        <v>High</v>
      </c>
      <c r="Q121" t="str">
        <f xml:space="preserve"> _xlfn.XLOOKUP(M121, Lookup_Tables!$M$2:$M$5,Lookup_Tables!$N$2:$N$5," ", -1)</f>
        <v>Veteran (10+)</v>
      </c>
      <c r="R121" s="4">
        <f t="shared" si="3"/>
        <v>3.6666666666666665</v>
      </c>
      <c r="S121" t="str">
        <f xml:space="preserve"> _xlfn.XLOOKUP( E121, Lookup_Tables!$A$2:$A$6,Lookup_Tables!$B$2:$B$6," ", -1)</f>
        <v>College</v>
      </c>
      <c r="T121" t="str">
        <f>_xlfn.XLOOKUP(G121,Lookup_Tables!$D$2:$D$5,Lookup_Tables!$E$2:$E$5)</f>
        <v>High</v>
      </c>
      <c r="U121" t="str">
        <f>_xlfn.XLOOKUP(H121,Lookup_Tables!$D$2:$D$5,Lookup_Tables!$E$2:$E$5)</f>
        <v>Very High</v>
      </c>
      <c r="V121" t="str">
        <f>_xlfn.XLOOKUP(L121,Lookup_Tables!$D$2:$D$5,Lookup_Tables!$E$2:$E$5)</f>
        <v>Very High</v>
      </c>
    </row>
    <row r="122" spans="1:22">
      <c r="A122">
        <f>RAW_DATA!A122</f>
        <v>30</v>
      </c>
      <c r="B122" t="str">
        <f>RAW_DATA!B122</f>
        <v>No</v>
      </c>
      <c r="C122" t="str">
        <f>RAW_DATA!C122</f>
        <v>Research &amp; Development</v>
      </c>
      <c r="D122">
        <f>RAW_DATA!D122</f>
        <v>23</v>
      </c>
      <c r="E122">
        <f>RAW_DATA!E122</f>
        <v>3</v>
      </c>
      <c r="F122" t="str">
        <f>RAW_DATA!F122</f>
        <v>Life Sciences</v>
      </c>
      <c r="G122">
        <f>RAW_DATA!G122</f>
        <v>1</v>
      </c>
      <c r="H122">
        <f>RAW_DATA!H122</f>
        <v>3</v>
      </c>
      <c r="I122" t="str">
        <f>RAW_DATA!I122</f>
        <v>Divorced</v>
      </c>
      <c r="J122">
        <f>RAW_DATA!J122</f>
        <v>2613</v>
      </c>
      <c r="K122">
        <f>RAW_DATA!K122</f>
        <v>1</v>
      </c>
      <c r="L122">
        <f>RAW_DATA!L122</f>
        <v>2</v>
      </c>
      <c r="M122">
        <f>RAW_DATA!M122</f>
        <v>10</v>
      </c>
      <c r="N122">
        <f t="shared" si="2"/>
        <v>0</v>
      </c>
      <c r="O122" t="str">
        <f xml:space="preserve"> VLOOKUP(A122, Lookup_Tables!$G$2:$H$6,2,TRUE)</f>
        <v>25-34</v>
      </c>
      <c r="P122" t="str">
        <f>_xlfn.XLOOKUP(J122,Lookup_Tables!$J$2:$J$4,Lookup_Tables!$K$2:$K$4, " ",-1)</f>
        <v>Low</v>
      </c>
      <c r="Q122" t="str">
        <f xml:space="preserve"> _xlfn.XLOOKUP(M122, Lookup_Tables!$M$2:$M$5,Lookup_Tables!$N$2:$N$5," ", -1)</f>
        <v>Veteran (10+)</v>
      </c>
      <c r="R122" s="4">
        <f t="shared" si="3"/>
        <v>2</v>
      </c>
      <c r="S122" t="str">
        <f xml:space="preserve"> _xlfn.XLOOKUP( E122, Lookup_Tables!$A$2:$A$6,Lookup_Tables!$B$2:$B$6," ", -1)</f>
        <v>Bachelor</v>
      </c>
      <c r="T122" t="str">
        <f>_xlfn.XLOOKUP(G122,Lookup_Tables!$D$2:$D$5,Lookup_Tables!$E$2:$E$5)</f>
        <v>Low</v>
      </c>
      <c r="U122" t="str">
        <f>_xlfn.XLOOKUP(H122,Lookup_Tables!$D$2:$D$5,Lookup_Tables!$E$2:$E$5)</f>
        <v>High</v>
      </c>
      <c r="V122" t="str">
        <f>_xlfn.XLOOKUP(L122,Lookup_Tables!$D$2:$D$5,Lookup_Tables!$E$2:$E$5)</f>
        <v>Medium</v>
      </c>
    </row>
    <row r="123" spans="1:22">
      <c r="A123">
        <f>RAW_DATA!A123</f>
        <v>33</v>
      </c>
      <c r="B123" t="str">
        <f>RAW_DATA!B123</f>
        <v>No</v>
      </c>
      <c r="C123" t="str">
        <f>RAW_DATA!C123</f>
        <v>Sales</v>
      </c>
      <c r="D123">
        <f>RAW_DATA!D123</f>
        <v>22</v>
      </c>
      <c r="E123">
        <f>RAW_DATA!E123</f>
        <v>2</v>
      </c>
      <c r="F123" t="str">
        <f>RAW_DATA!F123</f>
        <v>Marketing</v>
      </c>
      <c r="G123">
        <f>RAW_DATA!G123</f>
        <v>3</v>
      </c>
      <c r="H123">
        <f>RAW_DATA!H123</f>
        <v>2</v>
      </c>
      <c r="I123" t="str">
        <f>RAW_DATA!I123</f>
        <v>Married</v>
      </c>
      <c r="J123">
        <f>RAW_DATA!J123</f>
        <v>6146</v>
      </c>
      <c r="K123">
        <f>RAW_DATA!K123</f>
        <v>0</v>
      </c>
      <c r="L123">
        <f>RAW_DATA!L123</f>
        <v>4</v>
      </c>
      <c r="M123">
        <f>RAW_DATA!M123</f>
        <v>7</v>
      </c>
      <c r="N123">
        <f t="shared" si="2"/>
        <v>0</v>
      </c>
      <c r="O123" t="str">
        <f xml:space="preserve"> VLOOKUP(A123, Lookup_Tables!$G$2:$H$6,2,TRUE)</f>
        <v>25-34</v>
      </c>
      <c r="P123" t="str">
        <f>_xlfn.XLOOKUP(J123,Lookup_Tables!$J$2:$J$4,Lookup_Tables!$K$2:$K$4, " ",-1)</f>
        <v>Medium</v>
      </c>
      <c r="Q123" t="str">
        <f xml:space="preserve"> _xlfn.XLOOKUP(M123, Lookup_Tables!$M$2:$M$5,Lookup_Tables!$N$2:$N$5," ", -1)</f>
        <v>Established (5-10)</v>
      </c>
      <c r="R123" s="4">
        <f t="shared" si="3"/>
        <v>3</v>
      </c>
      <c r="S123" t="str">
        <f xml:space="preserve"> _xlfn.XLOOKUP( E123, Lookup_Tables!$A$2:$A$6,Lookup_Tables!$B$2:$B$6," ", -1)</f>
        <v>College</v>
      </c>
      <c r="T123" t="str">
        <f>_xlfn.XLOOKUP(G123,Lookup_Tables!$D$2:$D$5,Lookup_Tables!$E$2:$E$5)</f>
        <v>High</v>
      </c>
      <c r="U123" t="str">
        <f>_xlfn.XLOOKUP(H123,Lookup_Tables!$D$2:$D$5,Lookup_Tables!$E$2:$E$5)</f>
        <v>Medium</v>
      </c>
      <c r="V123" t="str">
        <f>_xlfn.XLOOKUP(L123,Lookup_Tables!$D$2:$D$5,Lookup_Tables!$E$2:$E$5)</f>
        <v>Very High</v>
      </c>
    </row>
    <row r="124" spans="1:22">
      <c r="A124">
        <f>RAW_DATA!A124</f>
        <v>56</v>
      </c>
      <c r="B124" t="str">
        <f>RAW_DATA!B124</f>
        <v>Yes</v>
      </c>
      <c r="C124" t="str">
        <f>RAW_DATA!C124</f>
        <v>Research &amp; Development</v>
      </c>
      <c r="D124">
        <f>RAW_DATA!D124</f>
        <v>14</v>
      </c>
      <c r="E124">
        <f>RAW_DATA!E124</f>
        <v>4</v>
      </c>
      <c r="F124" t="str">
        <f>RAW_DATA!F124</f>
        <v>Life Sciences</v>
      </c>
      <c r="G124">
        <f>RAW_DATA!G124</f>
        <v>2</v>
      </c>
      <c r="H124">
        <f>RAW_DATA!H124</f>
        <v>2</v>
      </c>
      <c r="I124" t="str">
        <f>RAW_DATA!I124</f>
        <v>Married</v>
      </c>
      <c r="J124">
        <f>RAW_DATA!J124</f>
        <v>4963</v>
      </c>
      <c r="K124">
        <f>RAW_DATA!K124</f>
        <v>9</v>
      </c>
      <c r="L124">
        <f>RAW_DATA!L124</f>
        <v>3</v>
      </c>
      <c r="M124">
        <f>RAW_DATA!M124</f>
        <v>5</v>
      </c>
      <c r="N124">
        <f t="shared" si="2"/>
        <v>1</v>
      </c>
      <c r="O124" t="str">
        <f xml:space="preserve"> VLOOKUP(A124, Lookup_Tables!$G$2:$H$6,2,TRUE)</f>
        <v>55+</v>
      </c>
      <c r="P124" t="str">
        <f>_xlfn.XLOOKUP(J124,Lookup_Tables!$J$2:$J$4,Lookup_Tables!$K$2:$K$4, " ",-1)</f>
        <v>Medium</v>
      </c>
      <c r="Q124" t="str">
        <f xml:space="preserve"> _xlfn.XLOOKUP(M124, Lookup_Tables!$M$2:$M$5,Lookup_Tables!$N$2:$N$5," ", -1)</f>
        <v>Established (5-10)</v>
      </c>
      <c r="R124" s="4">
        <f t="shared" si="3"/>
        <v>2.3333333333333335</v>
      </c>
      <c r="S124" t="str">
        <f xml:space="preserve"> _xlfn.XLOOKUP( E124, Lookup_Tables!$A$2:$A$6,Lookup_Tables!$B$2:$B$6," ", -1)</f>
        <v>Master</v>
      </c>
      <c r="T124" t="str">
        <f>_xlfn.XLOOKUP(G124,Lookup_Tables!$D$2:$D$5,Lookup_Tables!$E$2:$E$5)</f>
        <v>Medium</v>
      </c>
      <c r="U124" t="str">
        <f>_xlfn.XLOOKUP(H124,Lookup_Tables!$D$2:$D$5,Lookup_Tables!$E$2:$E$5)</f>
        <v>Medium</v>
      </c>
      <c r="V124" t="str">
        <f>_xlfn.XLOOKUP(L124,Lookup_Tables!$D$2:$D$5,Lookup_Tables!$E$2:$E$5)</f>
        <v>High</v>
      </c>
    </row>
    <row r="125" spans="1:22">
      <c r="A125">
        <f>RAW_DATA!A125</f>
        <v>51</v>
      </c>
      <c r="B125" t="str">
        <f>RAW_DATA!B125</f>
        <v>No</v>
      </c>
      <c r="C125" t="str">
        <f>RAW_DATA!C125</f>
        <v>Research &amp; Development</v>
      </c>
      <c r="D125">
        <f>RAW_DATA!D125</f>
        <v>6</v>
      </c>
      <c r="E125">
        <f>RAW_DATA!E125</f>
        <v>3</v>
      </c>
      <c r="F125" t="str">
        <f>RAW_DATA!F125</f>
        <v>Life Sciences</v>
      </c>
      <c r="G125">
        <f>RAW_DATA!G125</f>
        <v>1</v>
      </c>
      <c r="H125">
        <f>RAW_DATA!H125</f>
        <v>3</v>
      </c>
      <c r="I125" t="str">
        <f>RAW_DATA!I125</f>
        <v>Single</v>
      </c>
      <c r="J125">
        <f>RAW_DATA!J125</f>
        <v>19537</v>
      </c>
      <c r="K125">
        <f>RAW_DATA!K125</f>
        <v>7</v>
      </c>
      <c r="L125">
        <f>RAW_DATA!L125</f>
        <v>3</v>
      </c>
      <c r="M125">
        <f>RAW_DATA!M125</f>
        <v>20</v>
      </c>
      <c r="N125">
        <f t="shared" si="2"/>
        <v>0</v>
      </c>
      <c r="O125" t="str">
        <f xml:space="preserve"> VLOOKUP(A125, Lookup_Tables!$G$2:$H$6,2,TRUE)</f>
        <v>45-54</v>
      </c>
      <c r="P125" t="str">
        <f>_xlfn.XLOOKUP(J125,Lookup_Tables!$J$2:$J$4,Lookup_Tables!$K$2:$K$4, " ",-1)</f>
        <v>High</v>
      </c>
      <c r="Q125" t="str">
        <f xml:space="preserve"> _xlfn.XLOOKUP(M125, Lookup_Tables!$M$2:$M$5,Lookup_Tables!$N$2:$N$5," ", -1)</f>
        <v>Veteran (10+)</v>
      </c>
      <c r="R125" s="4">
        <f t="shared" si="3"/>
        <v>2.3333333333333335</v>
      </c>
      <c r="S125" t="str">
        <f xml:space="preserve"> _xlfn.XLOOKUP( E125, Lookup_Tables!$A$2:$A$6,Lookup_Tables!$B$2:$B$6," ", -1)</f>
        <v>Bachelor</v>
      </c>
      <c r="T125" t="str">
        <f>_xlfn.XLOOKUP(G125,Lookup_Tables!$D$2:$D$5,Lookup_Tables!$E$2:$E$5)</f>
        <v>Low</v>
      </c>
      <c r="U125" t="str">
        <f>_xlfn.XLOOKUP(H125,Lookup_Tables!$D$2:$D$5,Lookup_Tables!$E$2:$E$5)</f>
        <v>High</v>
      </c>
      <c r="V125" t="str">
        <f>_xlfn.XLOOKUP(L125,Lookup_Tables!$D$2:$D$5,Lookup_Tables!$E$2:$E$5)</f>
        <v>High</v>
      </c>
    </row>
    <row r="126" spans="1:22">
      <c r="A126">
        <f>RAW_DATA!A126</f>
        <v>31</v>
      </c>
      <c r="B126" t="str">
        <f>RAW_DATA!B126</f>
        <v>Yes</v>
      </c>
      <c r="C126" t="str">
        <f>RAW_DATA!C126</f>
        <v>Sales</v>
      </c>
      <c r="D126">
        <f>RAW_DATA!D126</f>
        <v>6</v>
      </c>
      <c r="E126">
        <f>RAW_DATA!E126</f>
        <v>4</v>
      </c>
      <c r="F126" t="str">
        <f>RAW_DATA!F126</f>
        <v>Life Sciences</v>
      </c>
      <c r="G126">
        <f>RAW_DATA!G126</f>
        <v>2</v>
      </c>
      <c r="H126">
        <f>RAW_DATA!H126</f>
        <v>3</v>
      </c>
      <c r="I126" t="str">
        <f>RAW_DATA!I126</f>
        <v>Married</v>
      </c>
      <c r="J126">
        <f>RAW_DATA!J126</f>
        <v>6172</v>
      </c>
      <c r="K126">
        <f>RAW_DATA!K126</f>
        <v>4</v>
      </c>
      <c r="L126">
        <f>RAW_DATA!L126</f>
        <v>2</v>
      </c>
      <c r="M126">
        <f>RAW_DATA!M126</f>
        <v>7</v>
      </c>
      <c r="N126">
        <f t="shared" si="2"/>
        <v>1</v>
      </c>
      <c r="O126" t="str">
        <f xml:space="preserve"> VLOOKUP(A126, Lookup_Tables!$G$2:$H$6,2,TRUE)</f>
        <v>25-34</v>
      </c>
      <c r="P126" t="str">
        <f>_xlfn.XLOOKUP(J126,Lookup_Tables!$J$2:$J$4,Lookup_Tables!$K$2:$K$4, " ",-1)</f>
        <v>Medium</v>
      </c>
      <c r="Q126" t="str">
        <f xml:space="preserve"> _xlfn.XLOOKUP(M126, Lookup_Tables!$M$2:$M$5,Lookup_Tables!$N$2:$N$5," ", -1)</f>
        <v>Established (5-10)</v>
      </c>
      <c r="R126" s="4">
        <f t="shared" si="3"/>
        <v>2.3333333333333335</v>
      </c>
      <c r="S126" t="str">
        <f xml:space="preserve"> _xlfn.XLOOKUP( E126, Lookup_Tables!$A$2:$A$6,Lookup_Tables!$B$2:$B$6," ", -1)</f>
        <v>Master</v>
      </c>
      <c r="T126" t="str">
        <f>_xlfn.XLOOKUP(G126,Lookup_Tables!$D$2:$D$5,Lookup_Tables!$E$2:$E$5)</f>
        <v>Medium</v>
      </c>
      <c r="U126" t="str">
        <f>_xlfn.XLOOKUP(H126,Lookup_Tables!$D$2:$D$5,Lookup_Tables!$E$2:$E$5)</f>
        <v>High</v>
      </c>
      <c r="V126" t="str">
        <f>_xlfn.XLOOKUP(L126,Lookup_Tables!$D$2:$D$5,Lookup_Tables!$E$2:$E$5)</f>
        <v>Medium</v>
      </c>
    </row>
    <row r="127" spans="1:22">
      <c r="A127">
        <f>RAW_DATA!A127</f>
        <v>26</v>
      </c>
      <c r="B127" t="str">
        <f>RAW_DATA!B127</f>
        <v>No</v>
      </c>
      <c r="C127" t="str">
        <f>RAW_DATA!C127</f>
        <v>Research &amp; Development</v>
      </c>
      <c r="D127">
        <f>RAW_DATA!D127</f>
        <v>6</v>
      </c>
      <c r="E127">
        <f>RAW_DATA!E127</f>
        <v>3</v>
      </c>
      <c r="F127" t="str">
        <f>RAW_DATA!F127</f>
        <v>Other</v>
      </c>
      <c r="G127">
        <f>RAW_DATA!G127</f>
        <v>3</v>
      </c>
      <c r="H127">
        <f>RAW_DATA!H127</f>
        <v>2</v>
      </c>
      <c r="I127" t="str">
        <f>RAW_DATA!I127</f>
        <v>Married</v>
      </c>
      <c r="J127">
        <f>RAW_DATA!J127</f>
        <v>2368</v>
      </c>
      <c r="K127">
        <f>RAW_DATA!K127</f>
        <v>1</v>
      </c>
      <c r="L127">
        <f>RAW_DATA!L127</f>
        <v>2</v>
      </c>
      <c r="M127">
        <f>RAW_DATA!M127</f>
        <v>5</v>
      </c>
      <c r="N127">
        <f t="shared" si="2"/>
        <v>0</v>
      </c>
      <c r="O127" t="str">
        <f xml:space="preserve"> VLOOKUP(A127, Lookup_Tables!$G$2:$H$6,2,TRUE)</f>
        <v>25-34</v>
      </c>
      <c r="P127" t="str">
        <f>_xlfn.XLOOKUP(J127,Lookup_Tables!$J$2:$J$4,Lookup_Tables!$K$2:$K$4, " ",-1)</f>
        <v>Low</v>
      </c>
      <c r="Q127" t="str">
        <f xml:space="preserve"> _xlfn.XLOOKUP(M127, Lookup_Tables!$M$2:$M$5,Lookup_Tables!$N$2:$N$5," ", -1)</f>
        <v>Established (5-10)</v>
      </c>
      <c r="R127" s="4">
        <f t="shared" si="3"/>
        <v>2.3333333333333335</v>
      </c>
      <c r="S127" t="str">
        <f xml:space="preserve"> _xlfn.XLOOKUP( E127, Lookup_Tables!$A$2:$A$6,Lookup_Tables!$B$2:$B$6," ", -1)</f>
        <v>Bachelor</v>
      </c>
      <c r="T127" t="str">
        <f>_xlfn.XLOOKUP(G127,Lookup_Tables!$D$2:$D$5,Lookup_Tables!$E$2:$E$5)</f>
        <v>High</v>
      </c>
      <c r="U127" t="str">
        <f>_xlfn.XLOOKUP(H127,Lookup_Tables!$D$2:$D$5,Lookup_Tables!$E$2:$E$5)</f>
        <v>Medium</v>
      </c>
      <c r="V127" t="str">
        <f>_xlfn.XLOOKUP(L127,Lookup_Tables!$D$2:$D$5,Lookup_Tables!$E$2:$E$5)</f>
        <v>Medium</v>
      </c>
    </row>
    <row r="128" spans="1:22">
      <c r="A128">
        <f>RAW_DATA!A128</f>
        <v>58</v>
      </c>
      <c r="B128" t="str">
        <f>RAW_DATA!B128</f>
        <v>Yes</v>
      </c>
      <c r="C128" t="str">
        <f>RAW_DATA!C128</f>
        <v>Research &amp; Development</v>
      </c>
      <c r="D128">
        <f>RAW_DATA!D128</f>
        <v>23</v>
      </c>
      <c r="E128">
        <f>RAW_DATA!E128</f>
        <v>4</v>
      </c>
      <c r="F128" t="str">
        <f>RAW_DATA!F128</f>
        <v>Medical</v>
      </c>
      <c r="G128">
        <f>RAW_DATA!G128</f>
        <v>4</v>
      </c>
      <c r="H128">
        <f>RAW_DATA!H128</f>
        <v>4</v>
      </c>
      <c r="I128" t="str">
        <f>RAW_DATA!I128</f>
        <v>Married</v>
      </c>
      <c r="J128">
        <f>RAW_DATA!J128</f>
        <v>10312</v>
      </c>
      <c r="K128">
        <f>RAW_DATA!K128</f>
        <v>1</v>
      </c>
      <c r="L128">
        <f>RAW_DATA!L128</f>
        <v>2</v>
      </c>
      <c r="M128">
        <f>RAW_DATA!M128</f>
        <v>40</v>
      </c>
      <c r="N128">
        <f t="shared" si="2"/>
        <v>1</v>
      </c>
      <c r="O128" t="str">
        <f xml:space="preserve"> VLOOKUP(A128, Lookup_Tables!$G$2:$H$6,2,TRUE)</f>
        <v>55+</v>
      </c>
      <c r="P128" t="str">
        <f>_xlfn.XLOOKUP(J128,Lookup_Tables!$J$2:$J$4,Lookup_Tables!$K$2:$K$4, " ",-1)</f>
        <v>High</v>
      </c>
      <c r="Q128" t="str">
        <f xml:space="preserve"> _xlfn.XLOOKUP(M128, Lookup_Tables!$M$2:$M$5,Lookup_Tables!$N$2:$N$5," ", -1)</f>
        <v>Veteran (10+)</v>
      </c>
      <c r="R128" s="4">
        <f t="shared" si="3"/>
        <v>3.3333333333333335</v>
      </c>
      <c r="S128" t="str">
        <f xml:space="preserve"> _xlfn.XLOOKUP( E128, Lookup_Tables!$A$2:$A$6,Lookup_Tables!$B$2:$B$6," ", -1)</f>
        <v>Master</v>
      </c>
      <c r="T128" t="str">
        <f>_xlfn.XLOOKUP(G128,Lookup_Tables!$D$2:$D$5,Lookup_Tables!$E$2:$E$5)</f>
        <v>Very High</v>
      </c>
      <c r="U128" t="str">
        <f>_xlfn.XLOOKUP(H128,Lookup_Tables!$D$2:$D$5,Lookup_Tables!$E$2:$E$5)</f>
        <v>Very High</v>
      </c>
      <c r="V128" t="str">
        <f>_xlfn.XLOOKUP(L128,Lookup_Tables!$D$2:$D$5,Lookup_Tables!$E$2:$E$5)</f>
        <v>Medium</v>
      </c>
    </row>
    <row r="129" spans="1:22">
      <c r="A129">
        <f>RAW_DATA!A129</f>
        <v>19</v>
      </c>
      <c r="B129" t="str">
        <f>RAW_DATA!B129</f>
        <v>Yes</v>
      </c>
      <c r="C129" t="str">
        <f>RAW_DATA!C129</f>
        <v>Sales</v>
      </c>
      <c r="D129">
        <f>RAW_DATA!D129</f>
        <v>22</v>
      </c>
      <c r="E129">
        <f>RAW_DATA!E129</f>
        <v>1</v>
      </c>
      <c r="F129" t="str">
        <f>RAW_DATA!F129</f>
        <v>Marketing</v>
      </c>
      <c r="G129">
        <f>RAW_DATA!G129</f>
        <v>4</v>
      </c>
      <c r="H129">
        <f>RAW_DATA!H129</f>
        <v>3</v>
      </c>
      <c r="I129" t="str">
        <f>RAW_DATA!I129</f>
        <v>Single</v>
      </c>
      <c r="J129">
        <f>RAW_DATA!J129</f>
        <v>1675</v>
      </c>
      <c r="K129">
        <f>RAW_DATA!K129</f>
        <v>1</v>
      </c>
      <c r="L129">
        <f>RAW_DATA!L129</f>
        <v>2</v>
      </c>
      <c r="M129">
        <f>RAW_DATA!M129</f>
        <v>0</v>
      </c>
      <c r="N129">
        <f t="shared" si="2"/>
        <v>1</v>
      </c>
      <c r="O129" t="str">
        <f xml:space="preserve"> VLOOKUP(A129, Lookup_Tables!$G$2:$H$6,2,TRUE)</f>
        <v>&lt;25</v>
      </c>
      <c r="P129" t="str">
        <f>_xlfn.XLOOKUP(J129,Lookup_Tables!$J$2:$J$4,Lookup_Tables!$K$2:$K$4, " ",-1)</f>
        <v>Low</v>
      </c>
      <c r="Q129" t="str">
        <f xml:space="preserve"> _xlfn.XLOOKUP(M129, Lookup_Tables!$M$2:$M$5,Lookup_Tables!$N$2:$N$5," ", -1)</f>
        <v>New (0-2)</v>
      </c>
      <c r="R129" s="4">
        <f t="shared" si="3"/>
        <v>3</v>
      </c>
      <c r="S129" t="str">
        <f xml:space="preserve"> _xlfn.XLOOKUP( E129, Lookup_Tables!$A$2:$A$6,Lookup_Tables!$B$2:$B$6," ", -1)</f>
        <v>Below College</v>
      </c>
      <c r="T129" t="str">
        <f>_xlfn.XLOOKUP(G129,Lookup_Tables!$D$2:$D$5,Lookup_Tables!$E$2:$E$5)</f>
        <v>Very High</v>
      </c>
      <c r="U129" t="str">
        <f>_xlfn.XLOOKUP(H129,Lookup_Tables!$D$2:$D$5,Lookup_Tables!$E$2:$E$5)</f>
        <v>High</v>
      </c>
      <c r="V129" t="str">
        <f>_xlfn.XLOOKUP(L129,Lookup_Tables!$D$2:$D$5,Lookup_Tables!$E$2:$E$5)</f>
        <v>Medium</v>
      </c>
    </row>
    <row r="130" spans="1:22">
      <c r="A130">
        <f>RAW_DATA!A130</f>
        <v>22</v>
      </c>
      <c r="B130" t="str">
        <f>RAW_DATA!B130</f>
        <v>No</v>
      </c>
      <c r="C130" t="str">
        <f>RAW_DATA!C130</f>
        <v>Research &amp; Development</v>
      </c>
      <c r="D130">
        <f>RAW_DATA!D130</f>
        <v>2</v>
      </c>
      <c r="E130">
        <f>RAW_DATA!E130</f>
        <v>1</v>
      </c>
      <c r="F130" t="str">
        <f>RAW_DATA!F130</f>
        <v>Technical Degree</v>
      </c>
      <c r="G130">
        <f>RAW_DATA!G130</f>
        <v>3</v>
      </c>
      <c r="H130">
        <f>RAW_DATA!H130</f>
        <v>4</v>
      </c>
      <c r="I130" t="str">
        <f>RAW_DATA!I130</f>
        <v>Married</v>
      </c>
      <c r="J130">
        <f>RAW_DATA!J130</f>
        <v>2523</v>
      </c>
      <c r="K130">
        <f>RAW_DATA!K130</f>
        <v>0</v>
      </c>
      <c r="L130">
        <f>RAW_DATA!L130</f>
        <v>3</v>
      </c>
      <c r="M130">
        <f>RAW_DATA!M130</f>
        <v>2</v>
      </c>
      <c r="N130">
        <f t="shared" si="2"/>
        <v>0</v>
      </c>
      <c r="O130" t="str">
        <f xml:space="preserve"> VLOOKUP(A130, Lookup_Tables!$G$2:$H$6,2,TRUE)</f>
        <v>&lt;25</v>
      </c>
      <c r="P130" t="str">
        <f>_xlfn.XLOOKUP(J130,Lookup_Tables!$J$2:$J$4,Lookup_Tables!$K$2:$K$4, " ",-1)</f>
        <v>Low</v>
      </c>
      <c r="Q130" t="str">
        <f xml:space="preserve"> _xlfn.XLOOKUP(M130, Lookup_Tables!$M$2:$M$5,Lookup_Tables!$N$2:$N$5," ", -1)</f>
        <v>Early (2-5)</v>
      </c>
      <c r="R130" s="4">
        <f t="shared" si="3"/>
        <v>3.3333333333333335</v>
      </c>
      <c r="S130" t="str">
        <f xml:space="preserve"> _xlfn.XLOOKUP( E130, Lookup_Tables!$A$2:$A$6,Lookup_Tables!$B$2:$B$6," ", -1)</f>
        <v>Below College</v>
      </c>
      <c r="T130" t="str">
        <f>_xlfn.XLOOKUP(G130,Lookup_Tables!$D$2:$D$5,Lookup_Tables!$E$2:$E$5)</f>
        <v>High</v>
      </c>
      <c r="U130" t="str">
        <f>_xlfn.XLOOKUP(H130,Lookup_Tables!$D$2:$D$5,Lookup_Tables!$E$2:$E$5)</f>
        <v>Very High</v>
      </c>
      <c r="V130" t="str">
        <f>_xlfn.XLOOKUP(L130,Lookup_Tables!$D$2:$D$5,Lookup_Tables!$E$2:$E$5)</f>
        <v>High</v>
      </c>
    </row>
    <row r="131" spans="1:22">
      <c r="A131">
        <f>RAW_DATA!A131</f>
        <v>49</v>
      </c>
      <c r="B131" t="str">
        <f>RAW_DATA!B131</f>
        <v>No</v>
      </c>
      <c r="C131" t="str">
        <f>RAW_DATA!C131</f>
        <v>Research &amp; Development</v>
      </c>
      <c r="D131">
        <f>RAW_DATA!D131</f>
        <v>20</v>
      </c>
      <c r="E131">
        <f>RAW_DATA!E131</f>
        <v>4</v>
      </c>
      <c r="F131" t="str">
        <f>RAW_DATA!F131</f>
        <v>Medical</v>
      </c>
      <c r="G131">
        <f>RAW_DATA!G131</f>
        <v>3</v>
      </c>
      <c r="H131">
        <f>RAW_DATA!H131</f>
        <v>1</v>
      </c>
      <c r="I131" t="str">
        <f>RAW_DATA!I131</f>
        <v>Married</v>
      </c>
      <c r="J131">
        <f>RAW_DATA!J131</f>
        <v>6567</v>
      </c>
      <c r="K131">
        <f>RAW_DATA!K131</f>
        <v>1</v>
      </c>
      <c r="L131">
        <f>RAW_DATA!L131</f>
        <v>2</v>
      </c>
      <c r="M131">
        <f>RAW_DATA!M131</f>
        <v>15</v>
      </c>
      <c r="N131">
        <f t="shared" ref="N131:N194" si="4" xml:space="preserve"> IF(B131 ="Yes",1,0)</f>
        <v>0</v>
      </c>
      <c r="O131" t="str">
        <f xml:space="preserve"> VLOOKUP(A131, Lookup_Tables!$G$2:$H$6,2,TRUE)</f>
        <v>45-54</v>
      </c>
      <c r="P131" t="str">
        <f>_xlfn.XLOOKUP(J131,Lookup_Tables!$J$2:$J$4,Lookup_Tables!$K$2:$K$4, " ",-1)</f>
        <v>Medium</v>
      </c>
      <c r="Q131" t="str">
        <f xml:space="preserve"> _xlfn.XLOOKUP(M131, Lookup_Tables!$M$2:$M$5,Lookup_Tables!$N$2:$N$5," ", -1)</f>
        <v>Veteran (10+)</v>
      </c>
      <c r="R131" s="4">
        <f t="shared" ref="R131:R194" si="5">AVERAGE(G131,H131,L131)</f>
        <v>2</v>
      </c>
      <c r="S131" t="str">
        <f xml:space="preserve"> _xlfn.XLOOKUP( E131, Lookup_Tables!$A$2:$A$6,Lookup_Tables!$B$2:$B$6," ", -1)</f>
        <v>Master</v>
      </c>
      <c r="T131" t="str">
        <f>_xlfn.XLOOKUP(G131,Lookup_Tables!$D$2:$D$5,Lookup_Tables!$E$2:$E$5)</f>
        <v>High</v>
      </c>
      <c r="U131" t="str">
        <f>_xlfn.XLOOKUP(H131,Lookup_Tables!$D$2:$D$5,Lookup_Tables!$E$2:$E$5)</f>
        <v>Low</v>
      </c>
      <c r="V131" t="str">
        <f>_xlfn.XLOOKUP(L131,Lookup_Tables!$D$2:$D$5,Lookup_Tables!$E$2:$E$5)</f>
        <v>Medium</v>
      </c>
    </row>
    <row r="132" spans="1:22">
      <c r="A132">
        <f>RAW_DATA!A132</f>
        <v>43</v>
      </c>
      <c r="B132" t="str">
        <f>RAW_DATA!B132</f>
        <v>No</v>
      </c>
      <c r="C132" t="str">
        <f>RAW_DATA!C132</f>
        <v>Research &amp; Development</v>
      </c>
      <c r="D132">
        <f>RAW_DATA!D132</f>
        <v>28</v>
      </c>
      <c r="E132">
        <f>RAW_DATA!E132</f>
        <v>3</v>
      </c>
      <c r="F132" t="str">
        <f>RAW_DATA!F132</f>
        <v>Medical</v>
      </c>
      <c r="G132">
        <f>RAW_DATA!G132</f>
        <v>2</v>
      </c>
      <c r="H132">
        <f>RAW_DATA!H132</f>
        <v>3</v>
      </c>
      <c r="I132" t="str">
        <f>RAW_DATA!I132</f>
        <v>Single</v>
      </c>
      <c r="J132">
        <f>RAW_DATA!J132</f>
        <v>4739</v>
      </c>
      <c r="K132">
        <f>RAW_DATA!K132</f>
        <v>4</v>
      </c>
      <c r="L132">
        <f>RAW_DATA!L132</f>
        <v>3</v>
      </c>
      <c r="M132">
        <f>RAW_DATA!M132</f>
        <v>3</v>
      </c>
      <c r="N132">
        <f t="shared" si="4"/>
        <v>0</v>
      </c>
      <c r="O132" t="str">
        <f xml:space="preserve"> VLOOKUP(A132, Lookup_Tables!$G$2:$H$6,2,TRUE)</f>
        <v>35-44</v>
      </c>
      <c r="P132" t="str">
        <f>_xlfn.XLOOKUP(J132,Lookup_Tables!$J$2:$J$4,Lookup_Tables!$K$2:$K$4, " ",-1)</f>
        <v>Medium</v>
      </c>
      <c r="Q132" t="str">
        <f xml:space="preserve"> _xlfn.XLOOKUP(M132, Lookup_Tables!$M$2:$M$5,Lookup_Tables!$N$2:$N$5," ", -1)</f>
        <v>Early (2-5)</v>
      </c>
      <c r="R132" s="4">
        <f t="shared" si="5"/>
        <v>2.6666666666666665</v>
      </c>
      <c r="S132" t="str">
        <f xml:space="preserve"> _xlfn.XLOOKUP( E132, Lookup_Tables!$A$2:$A$6,Lookup_Tables!$B$2:$B$6," ", -1)</f>
        <v>Bachelor</v>
      </c>
      <c r="T132" t="str">
        <f>_xlfn.XLOOKUP(G132,Lookup_Tables!$D$2:$D$5,Lookup_Tables!$E$2:$E$5)</f>
        <v>Medium</v>
      </c>
      <c r="U132" t="str">
        <f>_xlfn.XLOOKUP(H132,Lookup_Tables!$D$2:$D$5,Lookup_Tables!$E$2:$E$5)</f>
        <v>High</v>
      </c>
      <c r="V132" t="str">
        <f>_xlfn.XLOOKUP(L132,Lookup_Tables!$D$2:$D$5,Lookup_Tables!$E$2:$E$5)</f>
        <v>High</v>
      </c>
    </row>
    <row r="133" spans="1:22">
      <c r="A133">
        <f>RAW_DATA!A133</f>
        <v>50</v>
      </c>
      <c r="B133" t="str">
        <f>RAW_DATA!B133</f>
        <v>No</v>
      </c>
      <c r="C133" t="str">
        <f>RAW_DATA!C133</f>
        <v>Sales</v>
      </c>
      <c r="D133">
        <f>RAW_DATA!D133</f>
        <v>12</v>
      </c>
      <c r="E133">
        <f>RAW_DATA!E133</f>
        <v>3</v>
      </c>
      <c r="F133" t="str">
        <f>RAW_DATA!F133</f>
        <v>Marketing</v>
      </c>
      <c r="G133">
        <f>RAW_DATA!G133</f>
        <v>3</v>
      </c>
      <c r="H133">
        <f>RAW_DATA!H133</f>
        <v>4</v>
      </c>
      <c r="I133" t="str">
        <f>RAW_DATA!I133</f>
        <v>Single</v>
      </c>
      <c r="J133">
        <f>RAW_DATA!J133</f>
        <v>9208</v>
      </c>
      <c r="K133">
        <f>RAW_DATA!K133</f>
        <v>4</v>
      </c>
      <c r="L133">
        <f>RAW_DATA!L133</f>
        <v>3</v>
      </c>
      <c r="M133">
        <f>RAW_DATA!M133</f>
        <v>2</v>
      </c>
      <c r="N133">
        <f t="shared" si="4"/>
        <v>0</v>
      </c>
      <c r="O133" t="str">
        <f xml:space="preserve"> VLOOKUP(A133, Lookup_Tables!$G$2:$H$6,2,TRUE)</f>
        <v>45-54</v>
      </c>
      <c r="P133" t="str">
        <f>_xlfn.XLOOKUP(J133,Lookup_Tables!$J$2:$J$4,Lookup_Tables!$K$2:$K$4, " ",-1)</f>
        <v>High</v>
      </c>
      <c r="Q133" t="str">
        <f xml:space="preserve"> _xlfn.XLOOKUP(M133, Lookup_Tables!$M$2:$M$5,Lookup_Tables!$N$2:$N$5," ", -1)</f>
        <v>Early (2-5)</v>
      </c>
      <c r="R133" s="4">
        <f t="shared" si="5"/>
        <v>3.3333333333333335</v>
      </c>
      <c r="S133" t="str">
        <f xml:space="preserve"> _xlfn.XLOOKUP( E133, Lookup_Tables!$A$2:$A$6,Lookup_Tables!$B$2:$B$6," ", -1)</f>
        <v>Bachelor</v>
      </c>
      <c r="T133" t="str">
        <f>_xlfn.XLOOKUP(G133,Lookup_Tables!$D$2:$D$5,Lookup_Tables!$E$2:$E$5)</f>
        <v>High</v>
      </c>
      <c r="U133" t="str">
        <f>_xlfn.XLOOKUP(H133,Lookup_Tables!$D$2:$D$5,Lookup_Tables!$E$2:$E$5)</f>
        <v>Very High</v>
      </c>
      <c r="V133" t="str">
        <f>_xlfn.XLOOKUP(L133,Lookup_Tables!$D$2:$D$5,Lookup_Tables!$E$2:$E$5)</f>
        <v>High</v>
      </c>
    </row>
    <row r="134" spans="1:22">
      <c r="A134">
        <f>RAW_DATA!A134</f>
        <v>31</v>
      </c>
      <c r="B134" t="str">
        <f>RAW_DATA!B134</f>
        <v>Yes</v>
      </c>
      <c r="C134" t="str">
        <f>RAW_DATA!C134</f>
        <v>Sales</v>
      </c>
      <c r="D134">
        <f>RAW_DATA!D134</f>
        <v>20</v>
      </c>
      <c r="E134">
        <f>RAW_DATA!E134</f>
        <v>3</v>
      </c>
      <c r="F134" t="str">
        <f>RAW_DATA!F134</f>
        <v>Life Sciences</v>
      </c>
      <c r="G134">
        <f>RAW_DATA!G134</f>
        <v>2</v>
      </c>
      <c r="H134">
        <f>RAW_DATA!H134</f>
        <v>3</v>
      </c>
      <c r="I134" t="str">
        <f>RAW_DATA!I134</f>
        <v>Married</v>
      </c>
      <c r="J134">
        <f>RAW_DATA!J134</f>
        <v>4559</v>
      </c>
      <c r="K134">
        <f>RAW_DATA!K134</f>
        <v>3</v>
      </c>
      <c r="L134">
        <f>RAW_DATA!L134</f>
        <v>3</v>
      </c>
      <c r="M134">
        <f>RAW_DATA!M134</f>
        <v>2</v>
      </c>
      <c r="N134">
        <f t="shared" si="4"/>
        <v>1</v>
      </c>
      <c r="O134" t="str">
        <f xml:space="preserve"> VLOOKUP(A134, Lookup_Tables!$G$2:$H$6,2,TRUE)</f>
        <v>25-34</v>
      </c>
      <c r="P134" t="str">
        <f>_xlfn.XLOOKUP(J134,Lookup_Tables!$J$2:$J$4,Lookup_Tables!$K$2:$K$4, " ",-1)</f>
        <v>Medium</v>
      </c>
      <c r="Q134" t="str">
        <f xml:space="preserve"> _xlfn.XLOOKUP(M134, Lookup_Tables!$M$2:$M$5,Lookup_Tables!$N$2:$N$5," ", -1)</f>
        <v>Early (2-5)</v>
      </c>
      <c r="R134" s="4">
        <f t="shared" si="5"/>
        <v>2.6666666666666665</v>
      </c>
      <c r="S134" t="str">
        <f xml:space="preserve"> _xlfn.XLOOKUP( E134, Lookup_Tables!$A$2:$A$6,Lookup_Tables!$B$2:$B$6," ", -1)</f>
        <v>Bachelor</v>
      </c>
      <c r="T134" t="str">
        <f>_xlfn.XLOOKUP(G134,Lookup_Tables!$D$2:$D$5,Lookup_Tables!$E$2:$E$5)</f>
        <v>Medium</v>
      </c>
      <c r="U134" t="str">
        <f>_xlfn.XLOOKUP(H134,Lookup_Tables!$D$2:$D$5,Lookup_Tables!$E$2:$E$5)</f>
        <v>High</v>
      </c>
      <c r="V134" t="str">
        <f>_xlfn.XLOOKUP(L134,Lookup_Tables!$D$2:$D$5,Lookup_Tables!$E$2:$E$5)</f>
        <v>High</v>
      </c>
    </row>
    <row r="135" spans="1:22">
      <c r="A135">
        <f>RAW_DATA!A135</f>
        <v>41</v>
      </c>
      <c r="B135" t="str">
        <f>RAW_DATA!B135</f>
        <v>No</v>
      </c>
      <c r="C135" t="str">
        <f>RAW_DATA!C135</f>
        <v>Sales</v>
      </c>
      <c r="D135">
        <f>RAW_DATA!D135</f>
        <v>9</v>
      </c>
      <c r="E135">
        <f>RAW_DATA!E135</f>
        <v>1</v>
      </c>
      <c r="F135" t="str">
        <f>RAW_DATA!F135</f>
        <v>Life Sciences</v>
      </c>
      <c r="G135">
        <f>RAW_DATA!G135</f>
        <v>3</v>
      </c>
      <c r="H135">
        <f>RAW_DATA!H135</f>
        <v>3</v>
      </c>
      <c r="I135" t="str">
        <f>RAW_DATA!I135</f>
        <v>Divorced</v>
      </c>
      <c r="J135">
        <f>RAW_DATA!J135</f>
        <v>8189</v>
      </c>
      <c r="K135">
        <f>RAW_DATA!K135</f>
        <v>3</v>
      </c>
      <c r="L135">
        <f>RAW_DATA!L135</f>
        <v>3</v>
      </c>
      <c r="M135">
        <f>RAW_DATA!M135</f>
        <v>9</v>
      </c>
      <c r="N135">
        <f t="shared" si="4"/>
        <v>0</v>
      </c>
      <c r="O135" t="str">
        <f xml:space="preserve"> VLOOKUP(A135, Lookup_Tables!$G$2:$H$6,2,TRUE)</f>
        <v>35-44</v>
      </c>
      <c r="P135" t="str">
        <f>_xlfn.XLOOKUP(J135,Lookup_Tables!$J$2:$J$4,Lookup_Tables!$K$2:$K$4, " ",-1)</f>
        <v>High</v>
      </c>
      <c r="Q135" t="str">
        <f xml:space="preserve"> _xlfn.XLOOKUP(M135, Lookup_Tables!$M$2:$M$5,Lookup_Tables!$N$2:$N$5," ", -1)</f>
        <v>Established (5-10)</v>
      </c>
      <c r="R135" s="4">
        <f t="shared" si="5"/>
        <v>3</v>
      </c>
      <c r="S135" t="str">
        <f xml:space="preserve"> _xlfn.XLOOKUP( E135, Lookup_Tables!$A$2:$A$6,Lookup_Tables!$B$2:$B$6," ", -1)</f>
        <v>Below College</v>
      </c>
      <c r="T135" t="str">
        <f>_xlfn.XLOOKUP(G135,Lookup_Tables!$D$2:$D$5,Lookup_Tables!$E$2:$E$5)</f>
        <v>High</v>
      </c>
      <c r="U135" t="str">
        <f>_xlfn.XLOOKUP(H135,Lookup_Tables!$D$2:$D$5,Lookup_Tables!$E$2:$E$5)</f>
        <v>High</v>
      </c>
      <c r="V135" t="str">
        <f>_xlfn.XLOOKUP(L135,Lookup_Tables!$D$2:$D$5,Lookup_Tables!$E$2:$E$5)</f>
        <v>High</v>
      </c>
    </row>
    <row r="136" spans="1:22">
      <c r="A136">
        <f>RAW_DATA!A136</f>
        <v>26</v>
      </c>
      <c r="B136" t="str">
        <f>RAW_DATA!B136</f>
        <v>No</v>
      </c>
      <c r="C136" t="str">
        <f>RAW_DATA!C136</f>
        <v>Human Resources</v>
      </c>
      <c r="D136">
        <f>RAW_DATA!D136</f>
        <v>25</v>
      </c>
      <c r="E136">
        <f>RAW_DATA!E136</f>
        <v>1</v>
      </c>
      <c r="F136" t="str">
        <f>RAW_DATA!F136</f>
        <v>Life Sciences</v>
      </c>
      <c r="G136">
        <f>RAW_DATA!G136</f>
        <v>3</v>
      </c>
      <c r="H136">
        <f>RAW_DATA!H136</f>
        <v>3</v>
      </c>
      <c r="I136" t="str">
        <f>RAW_DATA!I136</f>
        <v>Married</v>
      </c>
      <c r="J136">
        <f>RAW_DATA!J136</f>
        <v>2942</v>
      </c>
      <c r="K136">
        <f>RAW_DATA!K136</f>
        <v>1</v>
      </c>
      <c r="L136">
        <f>RAW_DATA!L136</f>
        <v>3</v>
      </c>
      <c r="M136">
        <f>RAW_DATA!M136</f>
        <v>8</v>
      </c>
      <c r="N136">
        <f t="shared" si="4"/>
        <v>0</v>
      </c>
      <c r="O136" t="str">
        <f xml:space="preserve"> VLOOKUP(A136, Lookup_Tables!$G$2:$H$6,2,TRUE)</f>
        <v>25-34</v>
      </c>
      <c r="P136" t="str">
        <f>_xlfn.XLOOKUP(J136,Lookup_Tables!$J$2:$J$4,Lookup_Tables!$K$2:$K$4, " ",-1)</f>
        <v>Low</v>
      </c>
      <c r="Q136" t="str">
        <f xml:space="preserve"> _xlfn.XLOOKUP(M136, Lookup_Tables!$M$2:$M$5,Lookup_Tables!$N$2:$N$5," ", -1)</f>
        <v>Established (5-10)</v>
      </c>
      <c r="R136" s="4">
        <f t="shared" si="5"/>
        <v>3</v>
      </c>
      <c r="S136" t="str">
        <f xml:space="preserve"> _xlfn.XLOOKUP( E136, Lookup_Tables!$A$2:$A$6,Lookup_Tables!$B$2:$B$6," ", -1)</f>
        <v>Below College</v>
      </c>
      <c r="T136" t="str">
        <f>_xlfn.XLOOKUP(G136,Lookup_Tables!$D$2:$D$5,Lookup_Tables!$E$2:$E$5)</f>
        <v>High</v>
      </c>
      <c r="U136" t="str">
        <f>_xlfn.XLOOKUP(H136,Lookup_Tables!$D$2:$D$5,Lookup_Tables!$E$2:$E$5)</f>
        <v>High</v>
      </c>
      <c r="V136" t="str">
        <f>_xlfn.XLOOKUP(L136,Lookup_Tables!$D$2:$D$5,Lookup_Tables!$E$2:$E$5)</f>
        <v>High</v>
      </c>
    </row>
    <row r="137" spans="1:22">
      <c r="A137">
        <f>RAW_DATA!A137</f>
        <v>36</v>
      </c>
      <c r="B137" t="str">
        <f>RAW_DATA!B137</f>
        <v>No</v>
      </c>
      <c r="C137" t="str">
        <f>RAW_DATA!C137</f>
        <v>Research &amp; Development</v>
      </c>
      <c r="D137">
        <f>RAW_DATA!D137</f>
        <v>6</v>
      </c>
      <c r="E137">
        <f>RAW_DATA!E137</f>
        <v>2</v>
      </c>
      <c r="F137" t="str">
        <f>RAW_DATA!F137</f>
        <v>Medical</v>
      </c>
      <c r="G137">
        <f>RAW_DATA!G137</f>
        <v>2</v>
      </c>
      <c r="H137">
        <f>RAW_DATA!H137</f>
        <v>2</v>
      </c>
      <c r="I137" t="str">
        <f>RAW_DATA!I137</f>
        <v>Divorced</v>
      </c>
      <c r="J137">
        <f>RAW_DATA!J137</f>
        <v>4941</v>
      </c>
      <c r="K137">
        <f>RAW_DATA!K137</f>
        <v>6</v>
      </c>
      <c r="L137">
        <f>RAW_DATA!L137</f>
        <v>3</v>
      </c>
      <c r="M137">
        <f>RAW_DATA!M137</f>
        <v>3</v>
      </c>
      <c r="N137">
        <f t="shared" si="4"/>
        <v>0</v>
      </c>
      <c r="O137" t="str">
        <f xml:space="preserve"> VLOOKUP(A137, Lookup_Tables!$G$2:$H$6,2,TRUE)</f>
        <v>35-44</v>
      </c>
      <c r="P137" t="str">
        <f>_xlfn.XLOOKUP(J137,Lookup_Tables!$J$2:$J$4,Lookup_Tables!$K$2:$K$4, " ",-1)</f>
        <v>Medium</v>
      </c>
      <c r="Q137" t="str">
        <f xml:space="preserve"> _xlfn.XLOOKUP(M137, Lookup_Tables!$M$2:$M$5,Lookup_Tables!$N$2:$N$5," ", -1)</f>
        <v>Early (2-5)</v>
      </c>
      <c r="R137" s="4">
        <f t="shared" si="5"/>
        <v>2.3333333333333335</v>
      </c>
      <c r="S137" t="str">
        <f xml:space="preserve"> _xlfn.XLOOKUP( E137, Lookup_Tables!$A$2:$A$6,Lookup_Tables!$B$2:$B$6," ", -1)</f>
        <v>College</v>
      </c>
      <c r="T137" t="str">
        <f>_xlfn.XLOOKUP(G137,Lookup_Tables!$D$2:$D$5,Lookup_Tables!$E$2:$E$5)</f>
        <v>Medium</v>
      </c>
      <c r="U137" t="str">
        <f>_xlfn.XLOOKUP(H137,Lookup_Tables!$D$2:$D$5,Lookup_Tables!$E$2:$E$5)</f>
        <v>Medium</v>
      </c>
      <c r="V137" t="str">
        <f>_xlfn.XLOOKUP(L137,Lookup_Tables!$D$2:$D$5,Lookup_Tables!$E$2:$E$5)</f>
        <v>High</v>
      </c>
    </row>
    <row r="138" spans="1:22">
      <c r="A138">
        <f>RAW_DATA!A138</f>
        <v>51</v>
      </c>
      <c r="B138" t="str">
        <f>RAW_DATA!B138</f>
        <v>Yes</v>
      </c>
      <c r="C138" t="str">
        <f>RAW_DATA!C138</f>
        <v>Research &amp; Development</v>
      </c>
      <c r="D138">
        <f>RAW_DATA!D138</f>
        <v>8</v>
      </c>
      <c r="E138">
        <f>RAW_DATA!E138</f>
        <v>4</v>
      </c>
      <c r="F138" t="str">
        <f>RAW_DATA!F138</f>
        <v>Life Sciences</v>
      </c>
      <c r="G138">
        <f>RAW_DATA!G138</f>
        <v>1</v>
      </c>
      <c r="H138">
        <f>RAW_DATA!H138</f>
        <v>4</v>
      </c>
      <c r="I138" t="str">
        <f>RAW_DATA!I138</f>
        <v>Single</v>
      </c>
      <c r="J138">
        <f>RAW_DATA!J138</f>
        <v>10650</v>
      </c>
      <c r="K138">
        <f>RAW_DATA!K138</f>
        <v>2</v>
      </c>
      <c r="L138">
        <f>RAW_DATA!L138</f>
        <v>3</v>
      </c>
      <c r="M138">
        <f>RAW_DATA!M138</f>
        <v>4</v>
      </c>
      <c r="N138">
        <f t="shared" si="4"/>
        <v>1</v>
      </c>
      <c r="O138" t="str">
        <f xml:space="preserve"> VLOOKUP(A138, Lookup_Tables!$G$2:$H$6,2,TRUE)</f>
        <v>45-54</v>
      </c>
      <c r="P138" t="str">
        <f>_xlfn.XLOOKUP(J138,Lookup_Tables!$J$2:$J$4,Lookup_Tables!$K$2:$K$4, " ",-1)</f>
        <v>High</v>
      </c>
      <c r="Q138" t="str">
        <f xml:space="preserve"> _xlfn.XLOOKUP(M138, Lookup_Tables!$M$2:$M$5,Lookup_Tables!$N$2:$N$5," ", -1)</f>
        <v>Early (2-5)</v>
      </c>
      <c r="R138" s="4">
        <f t="shared" si="5"/>
        <v>2.6666666666666665</v>
      </c>
      <c r="S138" t="str">
        <f xml:space="preserve"> _xlfn.XLOOKUP( E138, Lookup_Tables!$A$2:$A$6,Lookup_Tables!$B$2:$B$6," ", -1)</f>
        <v>Master</v>
      </c>
      <c r="T138" t="str">
        <f>_xlfn.XLOOKUP(G138,Lookup_Tables!$D$2:$D$5,Lookup_Tables!$E$2:$E$5)</f>
        <v>Low</v>
      </c>
      <c r="U138" t="str">
        <f>_xlfn.XLOOKUP(H138,Lookup_Tables!$D$2:$D$5,Lookup_Tables!$E$2:$E$5)</f>
        <v>Very High</v>
      </c>
      <c r="V138" t="str">
        <f>_xlfn.XLOOKUP(L138,Lookup_Tables!$D$2:$D$5,Lookup_Tables!$E$2:$E$5)</f>
        <v>High</v>
      </c>
    </row>
    <row r="139" spans="1:22">
      <c r="A139">
        <f>RAW_DATA!A139</f>
        <v>39</v>
      </c>
      <c r="B139" t="str">
        <f>RAW_DATA!B139</f>
        <v>No</v>
      </c>
      <c r="C139" t="str">
        <f>RAW_DATA!C139</f>
        <v>Sales</v>
      </c>
      <c r="D139">
        <f>RAW_DATA!D139</f>
        <v>4</v>
      </c>
      <c r="E139">
        <f>RAW_DATA!E139</f>
        <v>4</v>
      </c>
      <c r="F139" t="str">
        <f>RAW_DATA!F139</f>
        <v>Life Sciences</v>
      </c>
      <c r="G139">
        <f>RAW_DATA!G139</f>
        <v>4</v>
      </c>
      <c r="H139">
        <f>RAW_DATA!H139</f>
        <v>3</v>
      </c>
      <c r="I139" t="str">
        <f>RAW_DATA!I139</f>
        <v>Married</v>
      </c>
      <c r="J139">
        <f>RAW_DATA!J139</f>
        <v>5902</v>
      </c>
      <c r="K139">
        <f>RAW_DATA!K139</f>
        <v>4</v>
      </c>
      <c r="L139">
        <f>RAW_DATA!L139</f>
        <v>4</v>
      </c>
      <c r="M139">
        <f>RAW_DATA!M139</f>
        <v>15</v>
      </c>
      <c r="N139">
        <f t="shared" si="4"/>
        <v>0</v>
      </c>
      <c r="O139" t="str">
        <f xml:space="preserve"> VLOOKUP(A139, Lookup_Tables!$G$2:$H$6,2,TRUE)</f>
        <v>35-44</v>
      </c>
      <c r="P139" t="str">
        <f>_xlfn.XLOOKUP(J139,Lookup_Tables!$J$2:$J$4,Lookup_Tables!$K$2:$K$4, " ",-1)</f>
        <v>Medium</v>
      </c>
      <c r="Q139" t="str">
        <f xml:space="preserve"> _xlfn.XLOOKUP(M139, Lookup_Tables!$M$2:$M$5,Lookup_Tables!$N$2:$N$5," ", -1)</f>
        <v>Veteran (10+)</v>
      </c>
      <c r="R139" s="4">
        <f t="shared" si="5"/>
        <v>3.6666666666666665</v>
      </c>
      <c r="S139" t="str">
        <f xml:space="preserve"> _xlfn.XLOOKUP( E139, Lookup_Tables!$A$2:$A$6,Lookup_Tables!$B$2:$B$6," ", -1)</f>
        <v>Master</v>
      </c>
      <c r="T139" t="str">
        <f>_xlfn.XLOOKUP(G139,Lookup_Tables!$D$2:$D$5,Lookup_Tables!$E$2:$E$5)</f>
        <v>Very High</v>
      </c>
      <c r="U139" t="str">
        <f>_xlfn.XLOOKUP(H139,Lookup_Tables!$D$2:$D$5,Lookup_Tables!$E$2:$E$5)</f>
        <v>High</v>
      </c>
      <c r="V139" t="str">
        <f>_xlfn.XLOOKUP(L139,Lookup_Tables!$D$2:$D$5,Lookup_Tables!$E$2:$E$5)</f>
        <v>Very High</v>
      </c>
    </row>
    <row r="140" spans="1:22">
      <c r="A140">
        <f>RAW_DATA!A140</f>
        <v>25</v>
      </c>
      <c r="B140" t="str">
        <f>RAW_DATA!B140</f>
        <v>No</v>
      </c>
      <c r="C140" t="str">
        <f>RAW_DATA!C140</f>
        <v>Sales</v>
      </c>
      <c r="D140">
        <f>RAW_DATA!D140</f>
        <v>28</v>
      </c>
      <c r="E140">
        <f>RAW_DATA!E140</f>
        <v>3</v>
      </c>
      <c r="F140" t="str">
        <f>RAW_DATA!F140</f>
        <v>Life Sciences</v>
      </c>
      <c r="G140">
        <f>RAW_DATA!G140</f>
        <v>1</v>
      </c>
      <c r="H140">
        <f>RAW_DATA!H140</f>
        <v>3</v>
      </c>
      <c r="I140" t="str">
        <f>RAW_DATA!I140</f>
        <v>Married</v>
      </c>
      <c r="J140">
        <f>RAW_DATA!J140</f>
        <v>8639</v>
      </c>
      <c r="K140">
        <f>RAW_DATA!K140</f>
        <v>2</v>
      </c>
      <c r="L140">
        <f>RAW_DATA!L140</f>
        <v>3</v>
      </c>
      <c r="M140">
        <f>RAW_DATA!M140</f>
        <v>2</v>
      </c>
      <c r="N140">
        <f t="shared" si="4"/>
        <v>0</v>
      </c>
      <c r="O140" t="str">
        <f xml:space="preserve"> VLOOKUP(A140, Lookup_Tables!$G$2:$H$6,2,TRUE)</f>
        <v>25-34</v>
      </c>
      <c r="P140" t="str">
        <f>_xlfn.XLOOKUP(J140,Lookup_Tables!$J$2:$J$4,Lookup_Tables!$K$2:$K$4, " ",-1)</f>
        <v>High</v>
      </c>
      <c r="Q140" t="str">
        <f xml:space="preserve"> _xlfn.XLOOKUP(M140, Lookup_Tables!$M$2:$M$5,Lookup_Tables!$N$2:$N$5," ", -1)</f>
        <v>Early (2-5)</v>
      </c>
      <c r="R140" s="4">
        <f t="shared" si="5"/>
        <v>2.3333333333333335</v>
      </c>
      <c r="S140" t="str">
        <f xml:space="preserve"> _xlfn.XLOOKUP( E140, Lookup_Tables!$A$2:$A$6,Lookup_Tables!$B$2:$B$6," ", -1)</f>
        <v>Bachelor</v>
      </c>
      <c r="T140" t="str">
        <f>_xlfn.XLOOKUP(G140,Lookup_Tables!$D$2:$D$5,Lookup_Tables!$E$2:$E$5)</f>
        <v>Low</v>
      </c>
      <c r="U140" t="str">
        <f>_xlfn.XLOOKUP(H140,Lookup_Tables!$D$2:$D$5,Lookup_Tables!$E$2:$E$5)</f>
        <v>High</v>
      </c>
      <c r="V140" t="str">
        <f>_xlfn.XLOOKUP(L140,Lookup_Tables!$D$2:$D$5,Lookup_Tables!$E$2:$E$5)</f>
        <v>High</v>
      </c>
    </row>
    <row r="141" spans="1:22">
      <c r="A141">
        <f>RAW_DATA!A141</f>
        <v>30</v>
      </c>
      <c r="B141" t="str">
        <f>RAW_DATA!B141</f>
        <v>No</v>
      </c>
      <c r="C141" t="str">
        <f>RAW_DATA!C141</f>
        <v>Human Resources</v>
      </c>
      <c r="D141">
        <f>RAW_DATA!D141</f>
        <v>9</v>
      </c>
      <c r="E141">
        <f>RAW_DATA!E141</f>
        <v>3</v>
      </c>
      <c r="F141" t="str">
        <f>RAW_DATA!F141</f>
        <v>Human Resources</v>
      </c>
      <c r="G141">
        <f>RAW_DATA!G141</f>
        <v>3</v>
      </c>
      <c r="H141">
        <f>RAW_DATA!H141</f>
        <v>4</v>
      </c>
      <c r="I141" t="str">
        <f>RAW_DATA!I141</f>
        <v>Married</v>
      </c>
      <c r="J141">
        <f>RAW_DATA!J141</f>
        <v>6347</v>
      </c>
      <c r="K141">
        <f>RAW_DATA!K141</f>
        <v>0</v>
      </c>
      <c r="L141">
        <f>RAW_DATA!L141</f>
        <v>1</v>
      </c>
      <c r="M141">
        <f>RAW_DATA!M141</f>
        <v>11</v>
      </c>
      <c r="N141">
        <f t="shared" si="4"/>
        <v>0</v>
      </c>
      <c r="O141" t="str">
        <f xml:space="preserve"> VLOOKUP(A141, Lookup_Tables!$G$2:$H$6,2,TRUE)</f>
        <v>25-34</v>
      </c>
      <c r="P141" t="str">
        <f>_xlfn.XLOOKUP(J141,Lookup_Tables!$J$2:$J$4,Lookup_Tables!$K$2:$K$4, " ",-1)</f>
        <v>Medium</v>
      </c>
      <c r="Q141" t="str">
        <f xml:space="preserve"> _xlfn.XLOOKUP(M141, Lookup_Tables!$M$2:$M$5,Lookup_Tables!$N$2:$N$5," ", -1)</f>
        <v>Veteran (10+)</v>
      </c>
      <c r="R141" s="4">
        <f t="shared" si="5"/>
        <v>2.6666666666666665</v>
      </c>
      <c r="S141" t="str">
        <f xml:space="preserve"> _xlfn.XLOOKUP( E141, Lookup_Tables!$A$2:$A$6,Lookup_Tables!$B$2:$B$6," ", -1)</f>
        <v>Bachelor</v>
      </c>
      <c r="T141" t="str">
        <f>_xlfn.XLOOKUP(G141,Lookup_Tables!$D$2:$D$5,Lookup_Tables!$E$2:$E$5)</f>
        <v>High</v>
      </c>
      <c r="U141" t="str">
        <f>_xlfn.XLOOKUP(H141,Lookup_Tables!$D$2:$D$5,Lookup_Tables!$E$2:$E$5)</f>
        <v>Very High</v>
      </c>
      <c r="V141" t="str">
        <f>_xlfn.XLOOKUP(L141,Lookup_Tables!$D$2:$D$5,Lookup_Tables!$E$2:$E$5)</f>
        <v>Low</v>
      </c>
    </row>
    <row r="142" spans="1:22">
      <c r="A142">
        <f>RAW_DATA!A142</f>
        <v>32</v>
      </c>
      <c r="B142" t="str">
        <f>RAW_DATA!B142</f>
        <v>Yes</v>
      </c>
      <c r="C142" t="str">
        <f>RAW_DATA!C142</f>
        <v>Research &amp; Development</v>
      </c>
      <c r="D142">
        <f>RAW_DATA!D142</f>
        <v>9</v>
      </c>
      <c r="E142">
        <f>RAW_DATA!E142</f>
        <v>3</v>
      </c>
      <c r="F142" t="str">
        <f>RAW_DATA!F142</f>
        <v>Medical</v>
      </c>
      <c r="G142">
        <f>RAW_DATA!G142</f>
        <v>1</v>
      </c>
      <c r="H142">
        <f>RAW_DATA!H142</f>
        <v>1</v>
      </c>
      <c r="I142" t="str">
        <f>RAW_DATA!I142</f>
        <v>Single</v>
      </c>
      <c r="J142">
        <f>RAW_DATA!J142</f>
        <v>4200</v>
      </c>
      <c r="K142">
        <f>RAW_DATA!K142</f>
        <v>7</v>
      </c>
      <c r="L142">
        <f>RAW_DATA!L142</f>
        <v>4</v>
      </c>
      <c r="M142">
        <f>RAW_DATA!M142</f>
        <v>5</v>
      </c>
      <c r="N142">
        <f t="shared" si="4"/>
        <v>1</v>
      </c>
      <c r="O142" t="str">
        <f xml:space="preserve"> VLOOKUP(A142, Lookup_Tables!$G$2:$H$6,2,TRUE)</f>
        <v>25-34</v>
      </c>
      <c r="P142" t="str">
        <f>_xlfn.XLOOKUP(J142,Lookup_Tables!$J$2:$J$4,Lookup_Tables!$K$2:$K$4, " ",-1)</f>
        <v>Medium</v>
      </c>
      <c r="Q142" t="str">
        <f xml:space="preserve"> _xlfn.XLOOKUP(M142, Lookup_Tables!$M$2:$M$5,Lookup_Tables!$N$2:$N$5," ", -1)</f>
        <v>Established (5-10)</v>
      </c>
      <c r="R142" s="4">
        <f t="shared" si="5"/>
        <v>2</v>
      </c>
      <c r="S142" t="str">
        <f xml:space="preserve"> _xlfn.XLOOKUP( E142, Lookup_Tables!$A$2:$A$6,Lookup_Tables!$B$2:$B$6," ", -1)</f>
        <v>Bachelor</v>
      </c>
      <c r="T142" t="str">
        <f>_xlfn.XLOOKUP(G142,Lookup_Tables!$D$2:$D$5,Lookup_Tables!$E$2:$E$5)</f>
        <v>Low</v>
      </c>
      <c r="U142" t="str">
        <f>_xlfn.XLOOKUP(H142,Lookup_Tables!$D$2:$D$5,Lookup_Tables!$E$2:$E$5)</f>
        <v>Low</v>
      </c>
      <c r="V142" t="str">
        <f>_xlfn.XLOOKUP(L142,Lookup_Tables!$D$2:$D$5,Lookup_Tables!$E$2:$E$5)</f>
        <v>Very High</v>
      </c>
    </row>
    <row r="143" spans="1:22">
      <c r="A143">
        <f>RAW_DATA!A143</f>
        <v>45</v>
      </c>
      <c r="B143" t="str">
        <f>RAW_DATA!B143</f>
        <v>No</v>
      </c>
      <c r="C143" t="str">
        <f>RAW_DATA!C143</f>
        <v>Research &amp; Development</v>
      </c>
      <c r="D143">
        <f>RAW_DATA!D143</f>
        <v>29</v>
      </c>
      <c r="E143">
        <f>RAW_DATA!E143</f>
        <v>3</v>
      </c>
      <c r="F143" t="str">
        <f>RAW_DATA!F143</f>
        <v>Medical</v>
      </c>
      <c r="G143">
        <f>RAW_DATA!G143</f>
        <v>3</v>
      </c>
      <c r="H143">
        <f>RAW_DATA!H143</f>
        <v>4</v>
      </c>
      <c r="I143" t="str">
        <f>RAW_DATA!I143</f>
        <v>Single</v>
      </c>
      <c r="J143">
        <f>RAW_DATA!J143</f>
        <v>3452</v>
      </c>
      <c r="K143">
        <f>RAW_DATA!K143</f>
        <v>5</v>
      </c>
      <c r="L143">
        <f>RAW_DATA!L143</f>
        <v>2</v>
      </c>
      <c r="M143">
        <f>RAW_DATA!M143</f>
        <v>6</v>
      </c>
      <c r="N143">
        <f t="shared" si="4"/>
        <v>0</v>
      </c>
      <c r="O143" t="str">
        <f xml:space="preserve"> VLOOKUP(A143, Lookup_Tables!$G$2:$H$6,2,TRUE)</f>
        <v>45-54</v>
      </c>
      <c r="P143" t="str">
        <f>_xlfn.XLOOKUP(J143,Lookup_Tables!$J$2:$J$4,Lookup_Tables!$K$2:$K$4, " ",-1)</f>
        <v>Medium</v>
      </c>
      <c r="Q143" t="str">
        <f xml:space="preserve"> _xlfn.XLOOKUP(M143, Lookup_Tables!$M$2:$M$5,Lookup_Tables!$N$2:$N$5," ", -1)</f>
        <v>Established (5-10)</v>
      </c>
      <c r="R143" s="4">
        <f t="shared" si="5"/>
        <v>3</v>
      </c>
      <c r="S143" t="str">
        <f xml:space="preserve"> _xlfn.XLOOKUP( E143, Lookup_Tables!$A$2:$A$6,Lookup_Tables!$B$2:$B$6," ", -1)</f>
        <v>Bachelor</v>
      </c>
      <c r="T143" t="str">
        <f>_xlfn.XLOOKUP(G143,Lookup_Tables!$D$2:$D$5,Lookup_Tables!$E$2:$E$5)</f>
        <v>High</v>
      </c>
      <c r="U143" t="str">
        <f>_xlfn.XLOOKUP(H143,Lookup_Tables!$D$2:$D$5,Lookup_Tables!$E$2:$E$5)</f>
        <v>Very High</v>
      </c>
      <c r="V143" t="str">
        <f>_xlfn.XLOOKUP(L143,Lookup_Tables!$D$2:$D$5,Lookup_Tables!$E$2:$E$5)</f>
        <v>Medium</v>
      </c>
    </row>
    <row r="144" spans="1:22">
      <c r="A144">
        <f>RAW_DATA!A144</f>
        <v>38</v>
      </c>
      <c r="B144" t="str">
        <f>RAW_DATA!B144</f>
        <v>No</v>
      </c>
      <c r="C144" t="str">
        <f>RAW_DATA!C144</f>
        <v>Research &amp; Development</v>
      </c>
      <c r="D144">
        <f>RAW_DATA!D144</f>
        <v>3</v>
      </c>
      <c r="E144">
        <f>RAW_DATA!E144</f>
        <v>5</v>
      </c>
      <c r="F144" t="str">
        <f>RAW_DATA!F144</f>
        <v>Technical Degree</v>
      </c>
      <c r="G144">
        <f>RAW_DATA!G144</f>
        <v>4</v>
      </c>
      <c r="H144">
        <f>RAW_DATA!H144</f>
        <v>3</v>
      </c>
      <c r="I144" t="str">
        <f>RAW_DATA!I144</f>
        <v>Single</v>
      </c>
      <c r="J144">
        <f>RAW_DATA!J144</f>
        <v>4317</v>
      </c>
      <c r="K144">
        <f>RAW_DATA!K144</f>
        <v>3</v>
      </c>
      <c r="L144">
        <f>RAW_DATA!L144</f>
        <v>3</v>
      </c>
      <c r="M144">
        <f>RAW_DATA!M144</f>
        <v>3</v>
      </c>
      <c r="N144">
        <f t="shared" si="4"/>
        <v>0</v>
      </c>
      <c r="O144" t="str">
        <f xml:space="preserve"> VLOOKUP(A144, Lookup_Tables!$G$2:$H$6,2,TRUE)</f>
        <v>35-44</v>
      </c>
      <c r="P144" t="str">
        <f>_xlfn.XLOOKUP(J144,Lookup_Tables!$J$2:$J$4,Lookup_Tables!$K$2:$K$4, " ",-1)</f>
        <v>Medium</v>
      </c>
      <c r="Q144" t="str">
        <f xml:space="preserve"> _xlfn.XLOOKUP(M144, Lookup_Tables!$M$2:$M$5,Lookup_Tables!$N$2:$N$5," ", -1)</f>
        <v>Early (2-5)</v>
      </c>
      <c r="R144" s="4">
        <f t="shared" si="5"/>
        <v>3.3333333333333335</v>
      </c>
      <c r="S144" t="str">
        <f xml:space="preserve"> _xlfn.XLOOKUP( E144, Lookup_Tables!$A$2:$A$6,Lookup_Tables!$B$2:$B$6," ", -1)</f>
        <v>Doctor</v>
      </c>
      <c r="T144" t="str">
        <f>_xlfn.XLOOKUP(G144,Lookup_Tables!$D$2:$D$5,Lookup_Tables!$E$2:$E$5)</f>
        <v>Very High</v>
      </c>
      <c r="U144" t="str">
        <f>_xlfn.XLOOKUP(H144,Lookup_Tables!$D$2:$D$5,Lookup_Tables!$E$2:$E$5)</f>
        <v>High</v>
      </c>
      <c r="V144" t="str">
        <f>_xlfn.XLOOKUP(L144,Lookup_Tables!$D$2:$D$5,Lookup_Tables!$E$2:$E$5)</f>
        <v>High</v>
      </c>
    </row>
    <row r="145" spans="1:22">
      <c r="A145">
        <f>RAW_DATA!A145</f>
        <v>30</v>
      </c>
      <c r="B145" t="str">
        <f>RAW_DATA!B145</f>
        <v>No</v>
      </c>
      <c r="C145" t="str">
        <f>RAW_DATA!C145</f>
        <v>Research &amp; Development</v>
      </c>
      <c r="D145">
        <f>RAW_DATA!D145</f>
        <v>18</v>
      </c>
      <c r="E145">
        <f>RAW_DATA!E145</f>
        <v>3</v>
      </c>
      <c r="F145" t="str">
        <f>RAW_DATA!F145</f>
        <v>Life Sciences</v>
      </c>
      <c r="G145">
        <f>RAW_DATA!G145</f>
        <v>1</v>
      </c>
      <c r="H145">
        <f>RAW_DATA!H145</f>
        <v>3</v>
      </c>
      <c r="I145" t="str">
        <f>RAW_DATA!I145</f>
        <v>Single</v>
      </c>
      <c r="J145">
        <f>RAW_DATA!J145</f>
        <v>2632</v>
      </c>
      <c r="K145">
        <f>RAW_DATA!K145</f>
        <v>1</v>
      </c>
      <c r="L145">
        <f>RAW_DATA!L145</f>
        <v>2</v>
      </c>
      <c r="M145">
        <f>RAW_DATA!M145</f>
        <v>5</v>
      </c>
      <c r="N145">
        <f t="shared" si="4"/>
        <v>0</v>
      </c>
      <c r="O145" t="str">
        <f xml:space="preserve"> VLOOKUP(A145, Lookup_Tables!$G$2:$H$6,2,TRUE)</f>
        <v>25-34</v>
      </c>
      <c r="P145" t="str">
        <f>_xlfn.XLOOKUP(J145,Lookup_Tables!$J$2:$J$4,Lookup_Tables!$K$2:$K$4, " ",-1)</f>
        <v>Low</v>
      </c>
      <c r="Q145" t="str">
        <f xml:space="preserve"> _xlfn.XLOOKUP(M145, Lookup_Tables!$M$2:$M$5,Lookup_Tables!$N$2:$N$5," ", -1)</f>
        <v>Established (5-10)</v>
      </c>
      <c r="R145" s="4">
        <f t="shared" si="5"/>
        <v>2</v>
      </c>
      <c r="S145" t="str">
        <f xml:space="preserve"> _xlfn.XLOOKUP( E145, Lookup_Tables!$A$2:$A$6,Lookup_Tables!$B$2:$B$6," ", -1)</f>
        <v>Bachelor</v>
      </c>
      <c r="T145" t="str">
        <f>_xlfn.XLOOKUP(G145,Lookup_Tables!$D$2:$D$5,Lookup_Tables!$E$2:$E$5)</f>
        <v>Low</v>
      </c>
      <c r="U145" t="str">
        <f>_xlfn.XLOOKUP(H145,Lookup_Tables!$D$2:$D$5,Lookup_Tables!$E$2:$E$5)</f>
        <v>High</v>
      </c>
      <c r="V145" t="str">
        <f>_xlfn.XLOOKUP(L145,Lookup_Tables!$D$2:$D$5,Lookup_Tables!$E$2:$E$5)</f>
        <v>Medium</v>
      </c>
    </row>
    <row r="146" spans="1:22">
      <c r="A146">
        <f>RAW_DATA!A146</f>
        <v>32</v>
      </c>
      <c r="B146" t="str">
        <f>RAW_DATA!B146</f>
        <v>No</v>
      </c>
      <c r="C146" t="str">
        <f>RAW_DATA!C146</f>
        <v>Sales</v>
      </c>
      <c r="D146">
        <f>RAW_DATA!D146</f>
        <v>9</v>
      </c>
      <c r="E146">
        <f>RAW_DATA!E146</f>
        <v>2</v>
      </c>
      <c r="F146" t="str">
        <f>RAW_DATA!F146</f>
        <v>Medical</v>
      </c>
      <c r="G146">
        <f>RAW_DATA!G146</f>
        <v>4</v>
      </c>
      <c r="H146">
        <f>RAW_DATA!H146</f>
        <v>4</v>
      </c>
      <c r="I146" t="str">
        <f>RAW_DATA!I146</f>
        <v>Divorced</v>
      </c>
      <c r="J146">
        <f>RAW_DATA!J146</f>
        <v>4668</v>
      </c>
      <c r="K146">
        <f>RAW_DATA!K146</f>
        <v>0</v>
      </c>
      <c r="L146">
        <f>RAW_DATA!L146</f>
        <v>4</v>
      </c>
      <c r="M146">
        <f>RAW_DATA!M146</f>
        <v>8</v>
      </c>
      <c r="N146">
        <f t="shared" si="4"/>
        <v>0</v>
      </c>
      <c r="O146" t="str">
        <f xml:space="preserve"> VLOOKUP(A146, Lookup_Tables!$G$2:$H$6,2,TRUE)</f>
        <v>25-34</v>
      </c>
      <c r="P146" t="str">
        <f>_xlfn.XLOOKUP(J146,Lookup_Tables!$J$2:$J$4,Lookup_Tables!$K$2:$K$4, " ",-1)</f>
        <v>Medium</v>
      </c>
      <c r="Q146" t="str">
        <f xml:space="preserve"> _xlfn.XLOOKUP(M146, Lookup_Tables!$M$2:$M$5,Lookup_Tables!$N$2:$N$5," ", -1)</f>
        <v>Established (5-10)</v>
      </c>
      <c r="R146" s="4">
        <f t="shared" si="5"/>
        <v>4</v>
      </c>
      <c r="S146" t="str">
        <f xml:space="preserve"> _xlfn.XLOOKUP( E146, Lookup_Tables!$A$2:$A$6,Lookup_Tables!$B$2:$B$6," ", -1)</f>
        <v>College</v>
      </c>
      <c r="T146" t="str">
        <f>_xlfn.XLOOKUP(G146,Lookup_Tables!$D$2:$D$5,Lookup_Tables!$E$2:$E$5)</f>
        <v>Very High</v>
      </c>
      <c r="U146" t="str">
        <f>_xlfn.XLOOKUP(H146,Lookup_Tables!$D$2:$D$5,Lookup_Tables!$E$2:$E$5)</f>
        <v>Very High</v>
      </c>
      <c r="V146" t="str">
        <f>_xlfn.XLOOKUP(L146,Lookup_Tables!$D$2:$D$5,Lookup_Tables!$E$2:$E$5)</f>
        <v>Very High</v>
      </c>
    </row>
    <row r="147" spans="1:22">
      <c r="A147">
        <f>RAW_DATA!A147</f>
        <v>30</v>
      </c>
      <c r="B147" t="str">
        <f>RAW_DATA!B147</f>
        <v>No</v>
      </c>
      <c r="C147" t="str">
        <f>RAW_DATA!C147</f>
        <v>Research &amp; Development</v>
      </c>
      <c r="D147">
        <f>RAW_DATA!D147</f>
        <v>5</v>
      </c>
      <c r="E147">
        <f>RAW_DATA!E147</f>
        <v>3</v>
      </c>
      <c r="F147" t="str">
        <f>RAW_DATA!F147</f>
        <v>Technical Degree</v>
      </c>
      <c r="G147">
        <f>RAW_DATA!G147</f>
        <v>4</v>
      </c>
      <c r="H147">
        <f>RAW_DATA!H147</f>
        <v>1</v>
      </c>
      <c r="I147" t="str">
        <f>RAW_DATA!I147</f>
        <v>Divorced</v>
      </c>
      <c r="J147">
        <f>RAW_DATA!J147</f>
        <v>3204</v>
      </c>
      <c r="K147">
        <f>RAW_DATA!K147</f>
        <v>5</v>
      </c>
      <c r="L147">
        <f>RAW_DATA!L147</f>
        <v>3</v>
      </c>
      <c r="M147">
        <f>RAW_DATA!M147</f>
        <v>3</v>
      </c>
      <c r="N147">
        <f t="shared" si="4"/>
        <v>0</v>
      </c>
      <c r="O147" t="str">
        <f xml:space="preserve"> VLOOKUP(A147, Lookup_Tables!$G$2:$H$6,2,TRUE)</f>
        <v>25-34</v>
      </c>
      <c r="P147" t="str">
        <f>_xlfn.XLOOKUP(J147,Lookup_Tables!$J$2:$J$4,Lookup_Tables!$K$2:$K$4, " ",-1)</f>
        <v>Medium</v>
      </c>
      <c r="Q147" t="str">
        <f xml:space="preserve"> _xlfn.XLOOKUP(M147, Lookup_Tables!$M$2:$M$5,Lookup_Tables!$N$2:$N$5," ", -1)</f>
        <v>Early (2-5)</v>
      </c>
      <c r="R147" s="4">
        <f t="shared" si="5"/>
        <v>2.6666666666666665</v>
      </c>
      <c r="S147" t="str">
        <f xml:space="preserve"> _xlfn.XLOOKUP( E147, Lookup_Tables!$A$2:$A$6,Lookup_Tables!$B$2:$B$6," ", -1)</f>
        <v>Bachelor</v>
      </c>
      <c r="T147" t="str">
        <f>_xlfn.XLOOKUP(G147,Lookup_Tables!$D$2:$D$5,Lookup_Tables!$E$2:$E$5)</f>
        <v>Very High</v>
      </c>
      <c r="U147" t="str">
        <f>_xlfn.XLOOKUP(H147,Lookup_Tables!$D$2:$D$5,Lookup_Tables!$E$2:$E$5)</f>
        <v>Low</v>
      </c>
      <c r="V147" t="str">
        <f>_xlfn.XLOOKUP(L147,Lookup_Tables!$D$2:$D$5,Lookup_Tables!$E$2:$E$5)</f>
        <v>High</v>
      </c>
    </row>
    <row r="148" spans="1:22">
      <c r="A148">
        <f>RAW_DATA!A148</f>
        <v>30</v>
      </c>
      <c r="B148" t="str">
        <f>RAW_DATA!B148</f>
        <v>No</v>
      </c>
      <c r="C148" t="str">
        <f>RAW_DATA!C148</f>
        <v>Research &amp; Development</v>
      </c>
      <c r="D148">
        <f>RAW_DATA!D148</f>
        <v>2</v>
      </c>
      <c r="E148">
        <f>RAW_DATA!E148</f>
        <v>1</v>
      </c>
      <c r="F148" t="str">
        <f>RAW_DATA!F148</f>
        <v>Medical</v>
      </c>
      <c r="G148">
        <f>RAW_DATA!G148</f>
        <v>2</v>
      </c>
      <c r="H148">
        <f>RAW_DATA!H148</f>
        <v>4</v>
      </c>
      <c r="I148" t="str">
        <f>RAW_DATA!I148</f>
        <v>Single</v>
      </c>
      <c r="J148">
        <f>RAW_DATA!J148</f>
        <v>2720</v>
      </c>
      <c r="K148">
        <f>RAW_DATA!K148</f>
        <v>0</v>
      </c>
      <c r="L148">
        <f>RAW_DATA!L148</f>
        <v>3</v>
      </c>
      <c r="M148">
        <f>RAW_DATA!M148</f>
        <v>5</v>
      </c>
      <c r="N148">
        <f t="shared" si="4"/>
        <v>0</v>
      </c>
      <c r="O148" t="str">
        <f xml:space="preserve"> VLOOKUP(A148, Lookup_Tables!$G$2:$H$6,2,TRUE)</f>
        <v>25-34</v>
      </c>
      <c r="P148" t="str">
        <f>_xlfn.XLOOKUP(J148,Lookup_Tables!$J$2:$J$4,Lookup_Tables!$K$2:$K$4, " ",-1)</f>
        <v>Low</v>
      </c>
      <c r="Q148" t="str">
        <f xml:space="preserve"> _xlfn.XLOOKUP(M148, Lookup_Tables!$M$2:$M$5,Lookup_Tables!$N$2:$N$5," ", -1)</f>
        <v>Established (5-10)</v>
      </c>
      <c r="R148" s="4">
        <f t="shared" si="5"/>
        <v>3</v>
      </c>
      <c r="S148" t="str">
        <f xml:space="preserve"> _xlfn.XLOOKUP( E148, Lookup_Tables!$A$2:$A$6,Lookup_Tables!$B$2:$B$6," ", -1)</f>
        <v>Below College</v>
      </c>
      <c r="T148" t="str">
        <f>_xlfn.XLOOKUP(G148,Lookup_Tables!$D$2:$D$5,Lookup_Tables!$E$2:$E$5)</f>
        <v>Medium</v>
      </c>
      <c r="U148" t="str">
        <f>_xlfn.XLOOKUP(H148,Lookup_Tables!$D$2:$D$5,Lookup_Tables!$E$2:$E$5)</f>
        <v>Very High</v>
      </c>
      <c r="V148" t="str">
        <f>_xlfn.XLOOKUP(L148,Lookup_Tables!$D$2:$D$5,Lookup_Tables!$E$2:$E$5)</f>
        <v>High</v>
      </c>
    </row>
    <row r="149" spans="1:22">
      <c r="A149">
        <f>RAW_DATA!A149</f>
        <v>41</v>
      </c>
      <c r="B149" t="str">
        <f>RAW_DATA!B149</f>
        <v>No</v>
      </c>
      <c r="C149" t="str">
        <f>RAW_DATA!C149</f>
        <v>Research &amp; Development</v>
      </c>
      <c r="D149">
        <f>RAW_DATA!D149</f>
        <v>10</v>
      </c>
      <c r="E149">
        <f>RAW_DATA!E149</f>
        <v>3</v>
      </c>
      <c r="F149" t="str">
        <f>RAW_DATA!F149</f>
        <v>Life Sciences</v>
      </c>
      <c r="G149">
        <f>RAW_DATA!G149</f>
        <v>4</v>
      </c>
      <c r="H149">
        <f>RAW_DATA!H149</f>
        <v>1</v>
      </c>
      <c r="I149" t="str">
        <f>RAW_DATA!I149</f>
        <v>Divorced</v>
      </c>
      <c r="J149">
        <f>RAW_DATA!J149</f>
        <v>17181</v>
      </c>
      <c r="K149">
        <f>RAW_DATA!K149</f>
        <v>4</v>
      </c>
      <c r="L149">
        <f>RAW_DATA!L149</f>
        <v>2</v>
      </c>
      <c r="M149">
        <f>RAW_DATA!M149</f>
        <v>7</v>
      </c>
      <c r="N149">
        <f t="shared" si="4"/>
        <v>0</v>
      </c>
      <c r="O149" t="str">
        <f xml:space="preserve"> VLOOKUP(A149, Lookup_Tables!$G$2:$H$6,2,TRUE)</f>
        <v>35-44</v>
      </c>
      <c r="P149" t="str">
        <f>_xlfn.XLOOKUP(J149,Lookup_Tables!$J$2:$J$4,Lookup_Tables!$K$2:$K$4, " ",-1)</f>
        <v>High</v>
      </c>
      <c r="Q149" t="str">
        <f xml:space="preserve"> _xlfn.XLOOKUP(M149, Lookup_Tables!$M$2:$M$5,Lookup_Tables!$N$2:$N$5," ", -1)</f>
        <v>Established (5-10)</v>
      </c>
      <c r="R149" s="4">
        <f t="shared" si="5"/>
        <v>2.3333333333333335</v>
      </c>
      <c r="S149" t="str">
        <f xml:space="preserve"> _xlfn.XLOOKUP( E149, Lookup_Tables!$A$2:$A$6,Lookup_Tables!$B$2:$B$6," ", -1)</f>
        <v>Bachelor</v>
      </c>
      <c r="T149" t="str">
        <f>_xlfn.XLOOKUP(G149,Lookup_Tables!$D$2:$D$5,Lookup_Tables!$E$2:$E$5)</f>
        <v>Very High</v>
      </c>
      <c r="U149" t="str">
        <f>_xlfn.XLOOKUP(H149,Lookup_Tables!$D$2:$D$5,Lookup_Tables!$E$2:$E$5)</f>
        <v>Low</v>
      </c>
      <c r="V149" t="str">
        <f>_xlfn.XLOOKUP(L149,Lookup_Tables!$D$2:$D$5,Lookup_Tables!$E$2:$E$5)</f>
        <v>Medium</v>
      </c>
    </row>
    <row r="150" spans="1:22">
      <c r="A150">
        <f>RAW_DATA!A150</f>
        <v>41</v>
      </c>
      <c r="B150" t="str">
        <f>RAW_DATA!B150</f>
        <v>No</v>
      </c>
      <c r="C150" t="str">
        <f>RAW_DATA!C150</f>
        <v>Research &amp; Development</v>
      </c>
      <c r="D150">
        <f>RAW_DATA!D150</f>
        <v>9</v>
      </c>
      <c r="E150">
        <f>RAW_DATA!E150</f>
        <v>4</v>
      </c>
      <c r="F150" t="str">
        <f>RAW_DATA!F150</f>
        <v>Life Sciences</v>
      </c>
      <c r="G150">
        <f>RAW_DATA!G150</f>
        <v>3</v>
      </c>
      <c r="H150">
        <f>RAW_DATA!H150</f>
        <v>1</v>
      </c>
      <c r="I150" t="str">
        <f>RAW_DATA!I150</f>
        <v>Married</v>
      </c>
      <c r="J150">
        <f>RAW_DATA!J150</f>
        <v>2238</v>
      </c>
      <c r="K150">
        <f>RAW_DATA!K150</f>
        <v>2</v>
      </c>
      <c r="L150">
        <f>RAW_DATA!L150</f>
        <v>3</v>
      </c>
      <c r="M150">
        <f>RAW_DATA!M150</f>
        <v>5</v>
      </c>
      <c r="N150">
        <f t="shared" si="4"/>
        <v>0</v>
      </c>
      <c r="O150" t="str">
        <f xml:space="preserve"> VLOOKUP(A150, Lookup_Tables!$G$2:$H$6,2,TRUE)</f>
        <v>35-44</v>
      </c>
      <c r="P150" t="str">
        <f>_xlfn.XLOOKUP(J150,Lookup_Tables!$J$2:$J$4,Lookup_Tables!$K$2:$K$4, " ",-1)</f>
        <v>Low</v>
      </c>
      <c r="Q150" t="str">
        <f xml:space="preserve"> _xlfn.XLOOKUP(M150, Lookup_Tables!$M$2:$M$5,Lookup_Tables!$N$2:$N$5," ", -1)</f>
        <v>Established (5-10)</v>
      </c>
      <c r="R150" s="4">
        <f t="shared" si="5"/>
        <v>2.3333333333333335</v>
      </c>
      <c r="S150" t="str">
        <f xml:space="preserve"> _xlfn.XLOOKUP( E150, Lookup_Tables!$A$2:$A$6,Lookup_Tables!$B$2:$B$6," ", -1)</f>
        <v>Master</v>
      </c>
      <c r="T150" t="str">
        <f>_xlfn.XLOOKUP(G150,Lookup_Tables!$D$2:$D$5,Lookup_Tables!$E$2:$E$5)</f>
        <v>High</v>
      </c>
      <c r="U150" t="str">
        <f>_xlfn.XLOOKUP(H150,Lookup_Tables!$D$2:$D$5,Lookup_Tables!$E$2:$E$5)</f>
        <v>Low</v>
      </c>
      <c r="V150" t="str">
        <f>_xlfn.XLOOKUP(L150,Lookup_Tables!$D$2:$D$5,Lookup_Tables!$E$2:$E$5)</f>
        <v>High</v>
      </c>
    </row>
    <row r="151" spans="1:22">
      <c r="A151">
        <f>RAW_DATA!A151</f>
        <v>19</v>
      </c>
      <c r="B151" t="str">
        <f>RAW_DATA!B151</f>
        <v>No</v>
      </c>
      <c r="C151" t="str">
        <f>RAW_DATA!C151</f>
        <v>Research &amp; Development</v>
      </c>
      <c r="D151">
        <f>RAW_DATA!D151</f>
        <v>3</v>
      </c>
      <c r="E151">
        <f>RAW_DATA!E151</f>
        <v>1</v>
      </c>
      <c r="F151" t="str">
        <f>RAW_DATA!F151</f>
        <v>Medical</v>
      </c>
      <c r="G151">
        <f>RAW_DATA!G151</f>
        <v>2</v>
      </c>
      <c r="H151">
        <f>RAW_DATA!H151</f>
        <v>2</v>
      </c>
      <c r="I151" t="str">
        <f>RAW_DATA!I151</f>
        <v>Single</v>
      </c>
      <c r="J151">
        <f>RAW_DATA!J151</f>
        <v>1483</v>
      </c>
      <c r="K151">
        <f>RAW_DATA!K151</f>
        <v>1</v>
      </c>
      <c r="L151">
        <f>RAW_DATA!L151</f>
        <v>3</v>
      </c>
      <c r="M151">
        <f>RAW_DATA!M151</f>
        <v>1</v>
      </c>
      <c r="N151">
        <f t="shared" si="4"/>
        <v>0</v>
      </c>
      <c r="O151" t="str">
        <f xml:space="preserve"> VLOOKUP(A151, Lookup_Tables!$G$2:$H$6,2,TRUE)</f>
        <v>&lt;25</v>
      </c>
      <c r="P151" t="str">
        <f>_xlfn.XLOOKUP(J151,Lookup_Tables!$J$2:$J$4,Lookup_Tables!$K$2:$K$4, " ",-1)</f>
        <v>Low</v>
      </c>
      <c r="Q151" t="str">
        <f xml:space="preserve"> _xlfn.XLOOKUP(M151, Lookup_Tables!$M$2:$M$5,Lookup_Tables!$N$2:$N$5," ", -1)</f>
        <v>New (0-2)</v>
      </c>
      <c r="R151" s="4">
        <f t="shared" si="5"/>
        <v>2.3333333333333335</v>
      </c>
      <c r="S151" t="str">
        <f xml:space="preserve"> _xlfn.XLOOKUP( E151, Lookup_Tables!$A$2:$A$6,Lookup_Tables!$B$2:$B$6," ", -1)</f>
        <v>Below College</v>
      </c>
      <c r="T151" t="str">
        <f>_xlfn.XLOOKUP(G151,Lookup_Tables!$D$2:$D$5,Lookup_Tables!$E$2:$E$5)</f>
        <v>Medium</v>
      </c>
      <c r="U151" t="str">
        <f>_xlfn.XLOOKUP(H151,Lookup_Tables!$D$2:$D$5,Lookup_Tables!$E$2:$E$5)</f>
        <v>Medium</v>
      </c>
      <c r="V151" t="str">
        <f>_xlfn.XLOOKUP(L151,Lookup_Tables!$D$2:$D$5,Lookup_Tables!$E$2:$E$5)</f>
        <v>High</v>
      </c>
    </row>
    <row r="152" spans="1:22">
      <c r="A152">
        <f>RAW_DATA!A152</f>
        <v>40</v>
      </c>
      <c r="B152" t="str">
        <f>RAW_DATA!B152</f>
        <v>No</v>
      </c>
      <c r="C152" t="str">
        <f>RAW_DATA!C152</f>
        <v>Research &amp; Development</v>
      </c>
      <c r="D152">
        <f>RAW_DATA!D152</f>
        <v>26</v>
      </c>
      <c r="E152">
        <f>RAW_DATA!E152</f>
        <v>3</v>
      </c>
      <c r="F152" t="str">
        <f>RAW_DATA!F152</f>
        <v>Medical</v>
      </c>
      <c r="G152">
        <f>RAW_DATA!G152</f>
        <v>2</v>
      </c>
      <c r="H152">
        <f>RAW_DATA!H152</f>
        <v>2</v>
      </c>
      <c r="I152" t="str">
        <f>RAW_DATA!I152</f>
        <v>Divorced</v>
      </c>
      <c r="J152">
        <f>RAW_DATA!J152</f>
        <v>5605</v>
      </c>
      <c r="K152">
        <f>RAW_DATA!K152</f>
        <v>1</v>
      </c>
      <c r="L152">
        <f>RAW_DATA!L152</f>
        <v>3</v>
      </c>
      <c r="M152">
        <f>RAW_DATA!M152</f>
        <v>20</v>
      </c>
      <c r="N152">
        <f t="shared" si="4"/>
        <v>0</v>
      </c>
      <c r="O152" t="str">
        <f xml:space="preserve"> VLOOKUP(A152, Lookup_Tables!$G$2:$H$6,2,TRUE)</f>
        <v>35-44</v>
      </c>
      <c r="P152" t="str">
        <f>_xlfn.XLOOKUP(J152,Lookup_Tables!$J$2:$J$4,Lookup_Tables!$K$2:$K$4, " ",-1)</f>
        <v>Medium</v>
      </c>
      <c r="Q152" t="str">
        <f xml:space="preserve"> _xlfn.XLOOKUP(M152, Lookup_Tables!$M$2:$M$5,Lookup_Tables!$N$2:$N$5," ", -1)</f>
        <v>Veteran (10+)</v>
      </c>
      <c r="R152" s="4">
        <f t="shared" si="5"/>
        <v>2.3333333333333335</v>
      </c>
      <c r="S152" t="str">
        <f xml:space="preserve"> _xlfn.XLOOKUP( E152, Lookup_Tables!$A$2:$A$6,Lookup_Tables!$B$2:$B$6," ", -1)</f>
        <v>Bachelor</v>
      </c>
      <c r="T152" t="str">
        <f>_xlfn.XLOOKUP(G152,Lookup_Tables!$D$2:$D$5,Lookup_Tables!$E$2:$E$5)</f>
        <v>Medium</v>
      </c>
      <c r="U152" t="str">
        <f>_xlfn.XLOOKUP(H152,Lookup_Tables!$D$2:$D$5,Lookup_Tables!$E$2:$E$5)</f>
        <v>Medium</v>
      </c>
      <c r="V152" t="str">
        <f>_xlfn.XLOOKUP(L152,Lookup_Tables!$D$2:$D$5,Lookup_Tables!$E$2:$E$5)</f>
        <v>High</v>
      </c>
    </row>
    <row r="153" spans="1:22">
      <c r="A153">
        <f>RAW_DATA!A153</f>
        <v>35</v>
      </c>
      <c r="B153" t="str">
        <f>RAW_DATA!B153</f>
        <v>No</v>
      </c>
      <c r="C153" t="str">
        <f>RAW_DATA!C153</f>
        <v>Sales</v>
      </c>
      <c r="D153">
        <f>RAW_DATA!D153</f>
        <v>1</v>
      </c>
      <c r="E153">
        <f>RAW_DATA!E153</f>
        <v>5</v>
      </c>
      <c r="F153" t="str">
        <f>RAW_DATA!F153</f>
        <v>Marketing</v>
      </c>
      <c r="G153">
        <f>RAW_DATA!G153</f>
        <v>3</v>
      </c>
      <c r="H153">
        <f>RAW_DATA!H153</f>
        <v>2</v>
      </c>
      <c r="I153" t="str">
        <f>RAW_DATA!I153</f>
        <v>Married</v>
      </c>
      <c r="J153">
        <f>RAW_DATA!J153</f>
        <v>7295</v>
      </c>
      <c r="K153">
        <f>RAW_DATA!K153</f>
        <v>1</v>
      </c>
      <c r="L153">
        <f>RAW_DATA!L153</f>
        <v>3</v>
      </c>
      <c r="M153">
        <f>RAW_DATA!M153</f>
        <v>10</v>
      </c>
      <c r="N153">
        <f t="shared" si="4"/>
        <v>0</v>
      </c>
      <c r="O153" t="str">
        <f xml:space="preserve"> VLOOKUP(A153, Lookup_Tables!$G$2:$H$6,2,TRUE)</f>
        <v>35-44</v>
      </c>
      <c r="P153" t="str">
        <f>_xlfn.XLOOKUP(J153,Lookup_Tables!$J$2:$J$4,Lookup_Tables!$K$2:$K$4, " ",-1)</f>
        <v>High</v>
      </c>
      <c r="Q153" t="str">
        <f xml:space="preserve"> _xlfn.XLOOKUP(M153, Lookup_Tables!$M$2:$M$5,Lookup_Tables!$N$2:$N$5," ", -1)</f>
        <v>Veteran (10+)</v>
      </c>
      <c r="R153" s="4">
        <f t="shared" si="5"/>
        <v>2.6666666666666665</v>
      </c>
      <c r="S153" t="str">
        <f xml:space="preserve"> _xlfn.XLOOKUP( E153, Lookup_Tables!$A$2:$A$6,Lookup_Tables!$B$2:$B$6," ", -1)</f>
        <v>Doctor</v>
      </c>
      <c r="T153" t="str">
        <f>_xlfn.XLOOKUP(G153,Lookup_Tables!$D$2:$D$5,Lookup_Tables!$E$2:$E$5)</f>
        <v>High</v>
      </c>
      <c r="U153" t="str">
        <f>_xlfn.XLOOKUP(H153,Lookup_Tables!$D$2:$D$5,Lookup_Tables!$E$2:$E$5)</f>
        <v>Medium</v>
      </c>
      <c r="V153" t="str">
        <f>_xlfn.XLOOKUP(L153,Lookup_Tables!$D$2:$D$5,Lookup_Tables!$E$2:$E$5)</f>
        <v>High</v>
      </c>
    </row>
    <row r="154" spans="1:22">
      <c r="A154">
        <f>RAW_DATA!A154</f>
        <v>53</v>
      </c>
      <c r="B154" t="str">
        <f>RAW_DATA!B154</f>
        <v>No</v>
      </c>
      <c r="C154" t="str">
        <f>RAW_DATA!C154</f>
        <v>Sales</v>
      </c>
      <c r="D154">
        <f>RAW_DATA!D154</f>
        <v>6</v>
      </c>
      <c r="E154">
        <f>RAW_DATA!E154</f>
        <v>2</v>
      </c>
      <c r="F154" t="str">
        <f>RAW_DATA!F154</f>
        <v>Marketing</v>
      </c>
      <c r="G154">
        <f>RAW_DATA!G154</f>
        <v>2</v>
      </c>
      <c r="H154">
        <f>RAW_DATA!H154</f>
        <v>3</v>
      </c>
      <c r="I154" t="str">
        <f>RAW_DATA!I154</f>
        <v>Married</v>
      </c>
      <c r="J154">
        <f>RAW_DATA!J154</f>
        <v>2306</v>
      </c>
      <c r="K154">
        <f>RAW_DATA!K154</f>
        <v>2</v>
      </c>
      <c r="L154">
        <f>RAW_DATA!L154</f>
        <v>1</v>
      </c>
      <c r="M154">
        <f>RAW_DATA!M154</f>
        <v>7</v>
      </c>
      <c r="N154">
        <f t="shared" si="4"/>
        <v>0</v>
      </c>
      <c r="O154" t="str">
        <f xml:space="preserve"> VLOOKUP(A154, Lookup_Tables!$G$2:$H$6,2,TRUE)</f>
        <v>45-54</v>
      </c>
      <c r="P154" t="str">
        <f>_xlfn.XLOOKUP(J154,Lookup_Tables!$J$2:$J$4,Lookup_Tables!$K$2:$K$4, " ",-1)</f>
        <v>Low</v>
      </c>
      <c r="Q154" t="str">
        <f xml:space="preserve"> _xlfn.XLOOKUP(M154, Lookup_Tables!$M$2:$M$5,Lookup_Tables!$N$2:$N$5," ", -1)</f>
        <v>Established (5-10)</v>
      </c>
      <c r="R154" s="4">
        <f t="shared" si="5"/>
        <v>2</v>
      </c>
      <c r="S154" t="str">
        <f xml:space="preserve"> _xlfn.XLOOKUP( E154, Lookup_Tables!$A$2:$A$6,Lookup_Tables!$B$2:$B$6," ", -1)</f>
        <v>College</v>
      </c>
      <c r="T154" t="str">
        <f>_xlfn.XLOOKUP(G154,Lookup_Tables!$D$2:$D$5,Lookup_Tables!$E$2:$E$5)</f>
        <v>Medium</v>
      </c>
      <c r="U154" t="str">
        <f>_xlfn.XLOOKUP(H154,Lookup_Tables!$D$2:$D$5,Lookup_Tables!$E$2:$E$5)</f>
        <v>High</v>
      </c>
      <c r="V154" t="str">
        <f>_xlfn.XLOOKUP(L154,Lookup_Tables!$D$2:$D$5,Lookup_Tables!$E$2:$E$5)</f>
        <v>Low</v>
      </c>
    </row>
    <row r="155" spans="1:22">
      <c r="A155">
        <f>RAW_DATA!A155</f>
        <v>45</v>
      </c>
      <c r="B155" t="str">
        <f>RAW_DATA!B155</f>
        <v>No</v>
      </c>
      <c r="C155" t="str">
        <f>RAW_DATA!C155</f>
        <v>Research &amp; Development</v>
      </c>
      <c r="D155">
        <f>RAW_DATA!D155</f>
        <v>9</v>
      </c>
      <c r="E155">
        <f>RAW_DATA!E155</f>
        <v>3</v>
      </c>
      <c r="F155" t="str">
        <f>RAW_DATA!F155</f>
        <v>Life Sciences</v>
      </c>
      <c r="G155">
        <f>RAW_DATA!G155</f>
        <v>2</v>
      </c>
      <c r="H155">
        <f>RAW_DATA!H155</f>
        <v>2</v>
      </c>
      <c r="I155" t="str">
        <f>RAW_DATA!I155</f>
        <v>Divorced</v>
      </c>
      <c r="J155">
        <f>RAW_DATA!J155</f>
        <v>2348</v>
      </c>
      <c r="K155">
        <f>RAW_DATA!K155</f>
        <v>8</v>
      </c>
      <c r="L155">
        <f>RAW_DATA!L155</f>
        <v>1</v>
      </c>
      <c r="M155">
        <f>RAW_DATA!M155</f>
        <v>17</v>
      </c>
      <c r="N155">
        <f t="shared" si="4"/>
        <v>0</v>
      </c>
      <c r="O155" t="str">
        <f xml:space="preserve"> VLOOKUP(A155, Lookup_Tables!$G$2:$H$6,2,TRUE)</f>
        <v>45-54</v>
      </c>
      <c r="P155" t="str">
        <f>_xlfn.XLOOKUP(J155,Lookup_Tables!$J$2:$J$4,Lookup_Tables!$K$2:$K$4, " ",-1)</f>
        <v>Low</v>
      </c>
      <c r="Q155" t="str">
        <f xml:space="preserve"> _xlfn.XLOOKUP(M155, Lookup_Tables!$M$2:$M$5,Lookup_Tables!$N$2:$N$5," ", -1)</f>
        <v>Veteran (10+)</v>
      </c>
      <c r="R155" s="4">
        <f t="shared" si="5"/>
        <v>1.6666666666666667</v>
      </c>
      <c r="S155" t="str">
        <f xml:space="preserve"> _xlfn.XLOOKUP( E155, Lookup_Tables!$A$2:$A$6,Lookup_Tables!$B$2:$B$6," ", -1)</f>
        <v>Bachelor</v>
      </c>
      <c r="T155" t="str">
        <f>_xlfn.XLOOKUP(G155,Lookup_Tables!$D$2:$D$5,Lookup_Tables!$E$2:$E$5)</f>
        <v>Medium</v>
      </c>
      <c r="U155" t="str">
        <f>_xlfn.XLOOKUP(H155,Lookup_Tables!$D$2:$D$5,Lookup_Tables!$E$2:$E$5)</f>
        <v>Medium</v>
      </c>
      <c r="V155" t="str">
        <f>_xlfn.XLOOKUP(L155,Lookup_Tables!$D$2:$D$5,Lookup_Tables!$E$2:$E$5)</f>
        <v>Low</v>
      </c>
    </row>
    <row r="156" spans="1:22">
      <c r="A156">
        <f>RAW_DATA!A156</f>
        <v>32</v>
      </c>
      <c r="B156" t="str">
        <f>RAW_DATA!B156</f>
        <v>No</v>
      </c>
      <c r="C156" t="str">
        <f>RAW_DATA!C156</f>
        <v>Sales</v>
      </c>
      <c r="D156">
        <f>RAW_DATA!D156</f>
        <v>8</v>
      </c>
      <c r="E156">
        <f>RAW_DATA!E156</f>
        <v>3</v>
      </c>
      <c r="F156" t="str">
        <f>RAW_DATA!F156</f>
        <v>Marketing</v>
      </c>
      <c r="G156">
        <f>RAW_DATA!G156</f>
        <v>2</v>
      </c>
      <c r="H156">
        <f>RAW_DATA!H156</f>
        <v>4</v>
      </c>
      <c r="I156" t="str">
        <f>RAW_DATA!I156</f>
        <v>Single</v>
      </c>
      <c r="J156">
        <f>RAW_DATA!J156</f>
        <v>8998</v>
      </c>
      <c r="K156">
        <f>RAW_DATA!K156</f>
        <v>1</v>
      </c>
      <c r="L156">
        <f>RAW_DATA!L156</f>
        <v>3</v>
      </c>
      <c r="M156">
        <f>RAW_DATA!M156</f>
        <v>9</v>
      </c>
      <c r="N156">
        <f t="shared" si="4"/>
        <v>0</v>
      </c>
      <c r="O156" t="str">
        <f xml:space="preserve"> VLOOKUP(A156, Lookup_Tables!$G$2:$H$6,2,TRUE)</f>
        <v>25-34</v>
      </c>
      <c r="P156" t="str">
        <f>_xlfn.XLOOKUP(J156,Lookup_Tables!$J$2:$J$4,Lookup_Tables!$K$2:$K$4, " ",-1)</f>
        <v>High</v>
      </c>
      <c r="Q156" t="str">
        <f xml:space="preserve"> _xlfn.XLOOKUP(M156, Lookup_Tables!$M$2:$M$5,Lookup_Tables!$N$2:$N$5," ", -1)</f>
        <v>Established (5-10)</v>
      </c>
      <c r="R156" s="4">
        <f t="shared" si="5"/>
        <v>3</v>
      </c>
      <c r="S156" t="str">
        <f xml:space="preserve"> _xlfn.XLOOKUP( E156, Lookup_Tables!$A$2:$A$6,Lookup_Tables!$B$2:$B$6," ", -1)</f>
        <v>Bachelor</v>
      </c>
      <c r="T156" t="str">
        <f>_xlfn.XLOOKUP(G156,Lookup_Tables!$D$2:$D$5,Lookup_Tables!$E$2:$E$5)</f>
        <v>Medium</v>
      </c>
      <c r="U156" t="str">
        <f>_xlfn.XLOOKUP(H156,Lookup_Tables!$D$2:$D$5,Lookup_Tables!$E$2:$E$5)</f>
        <v>Very High</v>
      </c>
      <c r="V156" t="str">
        <f>_xlfn.XLOOKUP(L156,Lookup_Tables!$D$2:$D$5,Lookup_Tables!$E$2:$E$5)</f>
        <v>High</v>
      </c>
    </row>
    <row r="157" spans="1:22">
      <c r="A157">
        <f>RAW_DATA!A157</f>
        <v>29</v>
      </c>
      <c r="B157" t="str">
        <f>RAW_DATA!B157</f>
        <v>No</v>
      </c>
      <c r="C157" t="str">
        <f>RAW_DATA!C157</f>
        <v>Research &amp; Development</v>
      </c>
      <c r="D157">
        <f>RAW_DATA!D157</f>
        <v>1</v>
      </c>
      <c r="E157">
        <f>RAW_DATA!E157</f>
        <v>1</v>
      </c>
      <c r="F157" t="str">
        <f>RAW_DATA!F157</f>
        <v>Technical Degree</v>
      </c>
      <c r="G157">
        <f>RAW_DATA!G157</f>
        <v>4</v>
      </c>
      <c r="H157">
        <f>RAW_DATA!H157</f>
        <v>3</v>
      </c>
      <c r="I157" t="str">
        <f>RAW_DATA!I157</f>
        <v>Married</v>
      </c>
      <c r="J157">
        <f>RAW_DATA!J157</f>
        <v>4319</v>
      </c>
      <c r="K157">
        <f>RAW_DATA!K157</f>
        <v>1</v>
      </c>
      <c r="L157">
        <f>RAW_DATA!L157</f>
        <v>3</v>
      </c>
      <c r="M157">
        <f>RAW_DATA!M157</f>
        <v>10</v>
      </c>
      <c r="N157">
        <f t="shared" si="4"/>
        <v>0</v>
      </c>
      <c r="O157" t="str">
        <f xml:space="preserve"> VLOOKUP(A157, Lookup_Tables!$G$2:$H$6,2,TRUE)</f>
        <v>25-34</v>
      </c>
      <c r="P157" t="str">
        <f>_xlfn.XLOOKUP(J157,Lookup_Tables!$J$2:$J$4,Lookup_Tables!$K$2:$K$4, " ",-1)</f>
        <v>Medium</v>
      </c>
      <c r="Q157" t="str">
        <f xml:space="preserve"> _xlfn.XLOOKUP(M157, Lookup_Tables!$M$2:$M$5,Lookup_Tables!$N$2:$N$5," ", -1)</f>
        <v>Veteran (10+)</v>
      </c>
      <c r="R157" s="4">
        <f t="shared" si="5"/>
        <v>3.3333333333333335</v>
      </c>
      <c r="S157" t="str">
        <f xml:space="preserve"> _xlfn.XLOOKUP( E157, Lookup_Tables!$A$2:$A$6,Lookup_Tables!$B$2:$B$6," ", -1)</f>
        <v>Below College</v>
      </c>
      <c r="T157" t="str">
        <f>_xlfn.XLOOKUP(G157,Lookup_Tables!$D$2:$D$5,Lookup_Tables!$E$2:$E$5)</f>
        <v>Very High</v>
      </c>
      <c r="U157" t="str">
        <f>_xlfn.XLOOKUP(H157,Lookup_Tables!$D$2:$D$5,Lookup_Tables!$E$2:$E$5)</f>
        <v>High</v>
      </c>
      <c r="V157" t="str">
        <f>_xlfn.XLOOKUP(L157,Lookup_Tables!$D$2:$D$5,Lookup_Tables!$E$2:$E$5)</f>
        <v>High</v>
      </c>
    </row>
    <row r="158" spans="1:22">
      <c r="A158">
        <f>RAW_DATA!A158</f>
        <v>51</v>
      </c>
      <c r="B158" t="str">
        <f>RAW_DATA!B158</f>
        <v>No</v>
      </c>
      <c r="C158" t="str">
        <f>RAW_DATA!C158</f>
        <v>Research &amp; Development</v>
      </c>
      <c r="D158">
        <f>RAW_DATA!D158</f>
        <v>7</v>
      </c>
      <c r="E158">
        <f>RAW_DATA!E158</f>
        <v>4</v>
      </c>
      <c r="F158" t="str">
        <f>RAW_DATA!F158</f>
        <v>Medical</v>
      </c>
      <c r="G158">
        <f>RAW_DATA!G158</f>
        <v>2</v>
      </c>
      <c r="H158">
        <f>RAW_DATA!H158</f>
        <v>3</v>
      </c>
      <c r="I158" t="str">
        <f>RAW_DATA!I158</f>
        <v>Married</v>
      </c>
      <c r="J158">
        <f>RAW_DATA!J158</f>
        <v>6132</v>
      </c>
      <c r="K158">
        <f>RAW_DATA!K158</f>
        <v>2</v>
      </c>
      <c r="L158">
        <f>RAW_DATA!L158</f>
        <v>3</v>
      </c>
      <c r="M158">
        <f>RAW_DATA!M158</f>
        <v>1</v>
      </c>
      <c r="N158">
        <f t="shared" si="4"/>
        <v>0</v>
      </c>
      <c r="O158" t="str">
        <f xml:space="preserve"> VLOOKUP(A158, Lookup_Tables!$G$2:$H$6,2,TRUE)</f>
        <v>45-54</v>
      </c>
      <c r="P158" t="str">
        <f>_xlfn.XLOOKUP(J158,Lookup_Tables!$J$2:$J$4,Lookup_Tables!$K$2:$K$4, " ",-1)</f>
        <v>Medium</v>
      </c>
      <c r="Q158" t="str">
        <f xml:space="preserve"> _xlfn.XLOOKUP(M158, Lookup_Tables!$M$2:$M$5,Lookup_Tables!$N$2:$N$5," ", -1)</f>
        <v>New (0-2)</v>
      </c>
      <c r="R158" s="4">
        <f t="shared" si="5"/>
        <v>2.6666666666666665</v>
      </c>
      <c r="S158" t="str">
        <f xml:space="preserve"> _xlfn.XLOOKUP( E158, Lookup_Tables!$A$2:$A$6,Lookup_Tables!$B$2:$B$6," ", -1)</f>
        <v>Master</v>
      </c>
      <c r="T158" t="str">
        <f>_xlfn.XLOOKUP(G158,Lookup_Tables!$D$2:$D$5,Lookup_Tables!$E$2:$E$5)</f>
        <v>Medium</v>
      </c>
      <c r="U158" t="str">
        <f>_xlfn.XLOOKUP(H158,Lookup_Tables!$D$2:$D$5,Lookup_Tables!$E$2:$E$5)</f>
        <v>High</v>
      </c>
      <c r="V158" t="str">
        <f>_xlfn.XLOOKUP(L158,Lookup_Tables!$D$2:$D$5,Lookup_Tables!$E$2:$E$5)</f>
        <v>High</v>
      </c>
    </row>
    <row r="159" spans="1:22">
      <c r="A159">
        <f>RAW_DATA!A159</f>
        <v>58</v>
      </c>
      <c r="B159" t="str">
        <f>RAW_DATA!B159</f>
        <v>No</v>
      </c>
      <c r="C159" t="str">
        <f>RAW_DATA!C159</f>
        <v>Research &amp; Development</v>
      </c>
      <c r="D159">
        <f>RAW_DATA!D159</f>
        <v>9</v>
      </c>
      <c r="E159">
        <f>RAW_DATA!E159</f>
        <v>3</v>
      </c>
      <c r="F159" t="str">
        <f>RAW_DATA!F159</f>
        <v>Medical</v>
      </c>
      <c r="G159">
        <f>RAW_DATA!G159</f>
        <v>2</v>
      </c>
      <c r="H159">
        <f>RAW_DATA!H159</f>
        <v>2</v>
      </c>
      <c r="I159" t="str">
        <f>RAW_DATA!I159</f>
        <v>Married</v>
      </c>
      <c r="J159">
        <f>RAW_DATA!J159</f>
        <v>3346</v>
      </c>
      <c r="K159">
        <f>RAW_DATA!K159</f>
        <v>4</v>
      </c>
      <c r="L159">
        <f>RAW_DATA!L159</f>
        <v>2</v>
      </c>
      <c r="M159">
        <f>RAW_DATA!M159</f>
        <v>1</v>
      </c>
      <c r="N159">
        <f t="shared" si="4"/>
        <v>0</v>
      </c>
      <c r="O159" t="str">
        <f xml:space="preserve"> VLOOKUP(A159, Lookup_Tables!$G$2:$H$6,2,TRUE)</f>
        <v>55+</v>
      </c>
      <c r="P159" t="str">
        <f>_xlfn.XLOOKUP(J159,Lookup_Tables!$J$2:$J$4,Lookup_Tables!$K$2:$K$4, " ",-1)</f>
        <v>Medium</v>
      </c>
      <c r="Q159" t="str">
        <f xml:space="preserve"> _xlfn.XLOOKUP(M159, Lookup_Tables!$M$2:$M$5,Lookup_Tables!$N$2:$N$5," ", -1)</f>
        <v>New (0-2)</v>
      </c>
      <c r="R159" s="4">
        <f t="shared" si="5"/>
        <v>2</v>
      </c>
      <c r="S159" t="str">
        <f xml:space="preserve"> _xlfn.XLOOKUP( E159, Lookup_Tables!$A$2:$A$6,Lookup_Tables!$B$2:$B$6," ", -1)</f>
        <v>Bachelor</v>
      </c>
      <c r="T159" t="str">
        <f>_xlfn.XLOOKUP(G159,Lookup_Tables!$D$2:$D$5,Lookup_Tables!$E$2:$E$5)</f>
        <v>Medium</v>
      </c>
      <c r="U159" t="str">
        <f>_xlfn.XLOOKUP(H159,Lookup_Tables!$D$2:$D$5,Lookup_Tables!$E$2:$E$5)</f>
        <v>Medium</v>
      </c>
      <c r="V159" t="str">
        <f>_xlfn.XLOOKUP(L159,Lookup_Tables!$D$2:$D$5,Lookup_Tables!$E$2:$E$5)</f>
        <v>Medium</v>
      </c>
    </row>
    <row r="160" spans="1:22">
      <c r="A160">
        <f>RAW_DATA!A160</f>
        <v>40</v>
      </c>
      <c r="B160" t="str">
        <f>RAW_DATA!B160</f>
        <v>No</v>
      </c>
      <c r="C160" t="str">
        <f>RAW_DATA!C160</f>
        <v>Sales</v>
      </c>
      <c r="D160">
        <f>RAW_DATA!D160</f>
        <v>4</v>
      </c>
      <c r="E160">
        <f>RAW_DATA!E160</f>
        <v>4</v>
      </c>
      <c r="F160" t="str">
        <f>RAW_DATA!F160</f>
        <v>Marketing</v>
      </c>
      <c r="G160">
        <f>RAW_DATA!G160</f>
        <v>3</v>
      </c>
      <c r="H160">
        <f>RAW_DATA!H160</f>
        <v>4</v>
      </c>
      <c r="I160" t="str">
        <f>RAW_DATA!I160</f>
        <v>Married</v>
      </c>
      <c r="J160">
        <f>RAW_DATA!J160</f>
        <v>10855</v>
      </c>
      <c r="K160">
        <f>RAW_DATA!K160</f>
        <v>7</v>
      </c>
      <c r="L160">
        <f>RAW_DATA!L160</f>
        <v>2</v>
      </c>
      <c r="M160">
        <f>RAW_DATA!M160</f>
        <v>12</v>
      </c>
      <c r="N160">
        <f t="shared" si="4"/>
        <v>0</v>
      </c>
      <c r="O160" t="str">
        <f xml:space="preserve"> VLOOKUP(A160, Lookup_Tables!$G$2:$H$6,2,TRUE)</f>
        <v>35-44</v>
      </c>
      <c r="P160" t="str">
        <f>_xlfn.XLOOKUP(J160,Lookup_Tables!$J$2:$J$4,Lookup_Tables!$K$2:$K$4, " ",-1)</f>
        <v>High</v>
      </c>
      <c r="Q160" t="str">
        <f xml:space="preserve"> _xlfn.XLOOKUP(M160, Lookup_Tables!$M$2:$M$5,Lookup_Tables!$N$2:$N$5," ", -1)</f>
        <v>Veteran (10+)</v>
      </c>
      <c r="R160" s="4">
        <f t="shared" si="5"/>
        <v>3</v>
      </c>
      <c r="S160" t="str">
        <f xml:space="preserve"> _xlfn.XLOOKUP( E160, Lookup_Tables!$A$2:$A$6,Lookup_Tables!$B$2:$B$6," ", -1)</f>
        <v>Master</v>
      </c>
      <c r="T160" t="str">
        <f>_xlfn.XLOOKUP(G160,Lookup_Tables!$D$2:$D$5,Lookup_Tables!$E$2:$E$5)</f>
        <v>High</v>
      </c>
      <c r="U160" t="str">
        <f>_xlfn.XLOOKUP(H160,Lookup_Tables!$D$2:$D$5,Lookup_Tables!$E$2:$E$5)</f>
        <v>Very High</v>
      </c>
      <c r="V160" t="str">
        <f>_xlfn.XLOOKUP(L160,Lookup_Tables!$D$2:$D$5,Lookup_Tables!$E$2:$E$5)</f>
        <v>Medium</v>
      </c>
    </row>
    <row r="161" spans="1:22">
      <c r="A161">
        <f>RAW_DATA!A161</f>
        <v>34</v>
      </c>
      <c r="B161" t="str">
        <f>RAW_DATA!B161</f>
        <v>No</v>
      </c>
      <c r="C161" t="str">
        <f>RAW_DATA!C161</f>
        <v>Sales</v>
      </c>
      <c r="D161">
        <f>RAW_DATA!D161</f>
        <v>2</v>
      </c>
      <c r="E161">
        <f>RAW_DATA!E161</f>
        <v>4</v>
      </c>
      <c r="F161" t="str">
        <f>RAW_DATA!F161</f>
        <v>Marketing</v>
      </c>
      <c r="G161">
        <f>RAW_DATA!G161</f>
        <v>3</v>
      </c>
      <c r="H161">
        <f>RAW_DATA!H161</f>
        <v>3</v>
      </c>
      <c r="I161" t="str">
        <f>RAW_DATA!I161</f>
        <v>Married</v>
      </c>
      <c r="J161">
        <f>RAW_DATA!J161</f>
        <v>2231</v>
      </c>
      <c r="K161">
        <f>RAW_DATA!K161</f>
        <v>6</v>
      </c>
      <c r="L161">
        <f>RAW_DATA!L161</f>
        <v>3</v>
      </c>
      <c r="M161">
        <f>RAW_DATA!M161</f>
        <v>4</v>
      </c>
      <c r="N161">
        <f t="shared" si="4"/>
        <v>0</v>
      </c>
      <c r="O161" t="str">
        <f xml:space="preserve"> VLOOKUP(A161, Lookup_Tables!$G$2:$H$6,2,TRUE)</f>
        <v>25-34</v>
      </c>
      <c r="P161" t="str">
        <f>_xlfn.XLOOKUP(J161,Lookup_Tables!$J$2:$J$4,Lookup_Tables!$K$2:$K$4, " ",-1)</f>
        <v>Low</v>
      </c>
      <c r="Q161" t="str">
        <f xml:space="preserve"> _xlfn.XLOOKUP(M161, Lookup_Tables!$M$2:$M$5,Lookup_Tables!$N$2:$N$5," ", -1)</f>
        <v>Early (2-5)</v>
      </c>
      <c r="R161" s="4">
        <f t="shared" si="5"/>
        <v>3</v>
      </c>
      <c r="S161" t="str">
        <f xml:space="preserve"> _xlfn.XLOOKUP( E161, Lookup_Tables!$A$2:$A$6,Lookup_Tables!$B$2:$B$6," ", -1)</f>
        <v>Master</v>
      </c>
      <c r="T161" t="str">
        <f>_xlfn.XLOOKUP(G161,Lookup_Tables!$D$2:$D$5,Lookup_Tables!$E$2:$E$5)</f>
        <v>High</v>
      </c>
      <c r="U161" t="str">
        <f>_xlfn.XLOOKUP(H161,Lookup_Tables!$D$2:$D$5,Lookup_Tables!$E$2:$E$5)</f>
        <v>High</v>
      </c>
      <c r="V161" t="str">
        <f>_xlfn.XLOOKUP(L161,Lookup_Tables!$D$2:$D$5,Lookup_Tables!$E$2:$E$5)</f>
        <v>High</v>
      </c>
    </row>
    <row r="162" spans="1:22">
      <c r="A162">
        <f>RAW_DATA!A162</f>
        <v>22</v>
      </c>
      <c r="B162" t="str">
        <f>RAW_DATA!B162</f>
        <v>No</v>
      </c>
      <c r="C162" t="str">
        <f>RAW_DATA!C162</f>
        <v>Research &amp; Development</v>
      </c>
      <c r="D162">
        <f>RAW_DATA!D162</f>
        <v>19</v>
      </c>
      <c r="E162">
        <f>RAW_DATA!E162</f>
        <v>1</v>
      </c>
      <c r="F162" t="str">
        <f>RAW_DATA!F162</f>
        <v>Medical</v>
      </c>
      <c r="G162">
        <f>RAW_DATA!G162</f>
        <v>3</v>
      </c>
      <c r="H162">
        <f>RAW_DATA!H162</f>
        <v>4</v>
      </c>
      <c r="I162" t="str">
        <f>RAW_DATA!I162</f>
        <v>Married</v>
      </c>
      <c r="J162">
        <f>RAW_DATA!J162</f>
        <v>2323</v>
      </c>
      <c r="K162">
        <f>RAW_DATA!K162</f>
        <v>1</v>
      </c>
      <c r="L162">
        <f>RAW_DATA!L162</f>
        <v>3</v>
      </c>
      <c r="M162">
        <f>RAW_DATA!M162</f>
        <v>2</v>
      </c>
      <c r="N162">
        <f t="shared" si="4"/>
        <v>0</v>
      </c>
      <c r="O162" t="str">
        <f xml:space="preserve"> VLOOKUP(A162, Lookup_Tables!$G$2:$H$6,2,TRUE)</f>
        <v>&lt;25</v>
      </c>
      <c r="P162" t="str">
        <f>_xlfn.XLOOKUP(J162,Lookup_Tables!$J$2:$J$4,Lookup_Tables!$K$2:$K$4, " ",-1)</f>
        <v>Low</v>
      </c>
      <c r="Q162" t="str">
        <f xml:space="preserve"> _xlfn.XLOOKUP(M162, Lookup_Tables!$M$2:$M$5,Lookup_Tables!$N$2:$N$5," ", -1)</f>
        <v>Early (2-5)</v>
      </c>
      <c r="R162" s="4">
        <f t="shared" si="5"/>
        <v>3.3333333333333335</v>
      </c>
      <c r="S162" t="str">
        <f xml:space="preserve"> _xlfn.XLOOKUP( E162, Lookup_Tables!$A$2:$A$6,Lookup_Tables!$B$2:$B$6," ", -1)</f>
        <v>Below College</v>
      </c>
      <c r="T162" t="str">
        <f>_xlfn.XLOOKUP(G162,Lookup_Tables!$D$2:$D$5,Lookup_Tables!$E$2:$E$5)</f>
        <v>High</v>
      </c>
      <c r="U162" t="str">
        <f>_xlfn.XLOOKUP(H162,Lookup_Tables!$D$2:$D$5,Lookup_Tables!$E$2:$E$5)</f>
        <v>Very High</v>
      </c>
      <c r="V162" t="str">
        <f>_xlfn.XLOOKUP(L162,Lookup_Tables!$D$2:$D$5,Lookup_Tables!$E$2:$E$5)</f>
        <v>High</v>
      </c>
    </row>
    <row r="163" spans="1:22">
      <c r="A163">
        <f>RAW_DATA!A163</f>
        <v>27</v>
      </c>
      <c r="B163" t="str">
        <f>RAW_DATA!B163</f>
        <v>No</v>
      </c>
      <c r="C163" t="str">
        <f>RAW_DATA!C163</f>
        <v>Research &amp; Development</v>
      </c>
      <c r="D163">
        <f>RAW_DATA!D163</f>
        <v>9</v>
      </c>
      <c r="E163">
        <f>RAW_DATA!E163</f>
        <v>3</v>
      </c>
      <c r="F163" t="str">
        <f>RAW_DATA!F163</f>
        <v>Medical</v>
      </c>
      <c r="G163">
        <f>RAW_DATA!G163</f>
        <v>4</v>
      </c>
      <c r="H163">
        <f>RAW_DATA!H163</f>
        <v>2</v>
      </c>
      <c r="I163" t="str">
        <f>RAW_DATA!I163</f>
        <v>Divorced</v>
      </c>
      <c r="J163">
        <f>RAW_DATA!J163</f>
        <v>2024</v>
      </c>
      <c r="K163">
        <f>RAW_DATA!K163</f>
        <v>6</v>
      </c>
      <c r="L163">
        <f>RAW_DATA!L163</f>
        <v>1</v>
      </c>
      <c r="M163">
        <f>RAW_DATA!M163</f>
        <v>2</v>
      </c>
      <c r="N163">
        <f t="shared" si="4"/>
        <v>0</v>
      </c>
      <c r="O163" t="str">
        <f xml:space="preserve"> VLOOKUP(A163, Lookup_Tables!$G$2:$H$6,2,TRUE)</f>
        <v>25-34</v>
      </c>
      <c r="P163" t="str">
        <f>_xlfn.XLOOKUP(J163,Lookup_Tables!$J$2:$J$4,Lookup_Tables!$K$2:$K$4, " ",-1)</f>
        <v>Low</v>
      </c>
      <c r="Q163" t="str">
        <f xml:space="preserve"> _xlfn.XLOOKUP(M163, Lookup_Tables!$M$2:$M$5,Lookup_Tables!$N$2:$N$5," ", -1)</f>
        <v>Early (2-5)</v>
      </c>
      <c r="R163" s="4">
        <f t="shared" si="5"/>
        <v>2.3333333333333335</v>
      </c>
      <c r="S163" t="str">
        <f xml:space="preserve"> _xlfn.XLOOKUP( E163, Lookup_Tables!$A$2:$A$6,Lookup_Tables!$B$2:$B$6," ", -1)</f>
        <v>Bachelor</v>
      </c>
      <c r="T163" t="str">
        <f>_xlfn.XLOOKUP(G163,Lookup_Tables!$D$2:$D$5,Lookup_Tables!$E$2:$E$5)</f>
        <v>Very High</v>
      </c>
      <c r="U163" t="str">
        <f>_xlfn.XLOOKUP(H163,Lookup_Tables!$D$2:$D$5,Lookup_Tables!$E$2:$E$5)</f>
        <v>Medium</v>
      </c>
      <c r="V163" t="str">
        <f>_xlfn.XLOOKUP(L163,Lookup_Tables!$D$2:$D$5,Lookup_Tables!$E$2:$E$5)</f>
        <v>Low</v>
      </c>
    </row>
    <row r="164" spans="1:22">
      <c r="A164">
        <f>RAW_DATA!A164</f>
        <v>28</v>
      </c>
      <c r="B164" t="str">
        <f>RAW_DATA!B164</f>
        <v>No</v>
      </c>
      <c r="C164" t="str">
        <f>RAW_DATA!C164</f>
        <v>Research &amp; Development</v>
      </c>
      <c r="D164">
        <f>RAW_DATA!D164</f>
        <v>21</v>
      </c>
      <c r="E164">
        <f>RAW_DATA!E164</f>
        <v>3</v>
      </c>
      <c r="F164" t="str">
        <f>RAW_DATA!F164</f>
        <v>Medical</v>
      </c>
      <c r="G164">
        <f>RAW_DATA!G164</f>
        <v>3</v>
      </c>
      <c r="H164">
        <f>RAW_DATA!H164</f>
        <v>4</v>
      </c>
      <c r="I164" t="str">
        <f>RAW_DATA!I164</f>
        <v>Married</v>
      </c>
      <c r="J164">
        <f>RAW_DATA!J164</f>
        <v>2713</v>
      </c>
      <c r="K164">
        <f>RAW_DATA!K164</f>
        <v>1</v>
      </c>
      <c r="L164">
        <f>RAW_DATA!L164</f>
        <v>1</v>
      </c>
      <c r="M164">
        <f>RAW_DATA!M164</f>
        <v>5</v>
      </c>
      <c r="N164">
        <f t="shared" si="4"/>
        <v>0</v>
      </c>
      <c r="O164" t="str">
        <f xml:space="preserve"> VLOOKUP(A164, Lookup_Tables!$G$2:$H$6,2,TRUE)</f>
        <v>25-34</v>
      </c>
      <c r="P164" t="str">
        <f>_xlfn.XLOOKUP(J164,Lookup_Tables!$J$2:$J$4,Lookup_Tables!$K$2:$K$4, " ",-1)</f>
        <v>Low</v>
      </c>
      <c r="Q164" t="str">
        <f xml:space="preserve"> _xlfn.XLOOKUP(M164, Lookup_Tables!$M$2:$M$5,Lookup_Tables!$N$2:$N$5," ", -1)</f>
        <v>Established (5-10)</v>
      </c>
      <c r="R164" s="4">
        <f t="shared" si="5"/>
        <v>2.6666666666666665</v>
      </c>
      <c r="S164" t="str">
        <f xml:space="preserve"> _xlfn.XLOOKUP( E164, Lookup_Tables!$A$2:$A$6,Lookup_Tables!$B$2:$B$6," ", -1)</f>
        <v>Bachelor</v>
      </c>
      <c r="T164" t="str">
        <f>_xlfn.XLOOKUP(G164,Lookup_Tables!$D$2:$D$5,Lookup_Tables!$E$2:$E$5)</f>
        <v>High</v>
      </c>
      <c r="U164" t="str">
        <f>_xlfn.XLOOKUP(H164,Lookup_Tables!$D$2:$D$5,Lookup_Tables!$E$2:$E$5)</f>
        <v>Very High</v>
      </c>
      <c r="V164" t="str">
        <f>_xlfn.XLOOKUP(L164,Lookup_Tables!$D$2:$D$5,Lookup_Tables!$E$2:$E$5)</f>
        <v>Low</v>
      </c>
    </row>
    <row r="165" spans="1:22">
      <c r="A165">
        <f>RAW_DATA!A165</f>
        <v>57</v>
      </c>
      <c r="B165" t="str">
        <f>RAW_DATA!B165</f>
        <v>No</v>
      </c>
      <c r="C165" t="str">
        <f>RAW_DATA!C165</f>
        <v>Research &amp; Development</v>
      </c>
      <c r="D165">
        <f>RAW_DATA!D165</f>
        <v>24</v>
      </c>
      <c r="E165">
        <f>RAW_DATA!E165</f>
        <v>2</v>
      </c>
      <c r="F165" t="str">
        <f>RAW_DATA!F165</f>
        <v>Life Sciences</v>
      </c>
      <c r="G165">
        <f>RAW_DATA!G165</f>
        <v>3</v>
      </c>
      <c r="H165">
        <f>RAW_DATA!H165</f>
        <v>4</v>
      </c>
      <c r="I165" t="str">
        <f>RAW_DATA!I165</f>
        <v>Divorced</v>
      </c>
      <c r="J165">
        <f>RAW_DATA!J165</f>
        <v>9439</v>
      </c>
      <c r="K165">
        <f>RAW_DATA!K165</f>
        <v>3</v>
      </c>
      <c r="L165">
        <f>RAW_DATA!L165</f>
        <v>1</v>
      </c>
      <c r="M165">
        <f>RAW_DATA!M165</f>
        <v>5</v>
      </c>
      <c r="N165">
        <f t="shared" si="4"/>
        <v>0</v>
      </c>
      <c r="O165" t="str">
        <f xml:space="preserve"> VLOOKUP(A165, Lookup_Tables!$G$2:$H$6,2,TRUE)</f>
        <v>55+</v>
      </c>
      <c r="P165" t="str">
        <f>_xlfn.XLOOKUP(J165,Lookup_Tables!$J$2:$J$4,Lookup_Tables!$K$2:$K$4, " ",-1)</f>
        <v>High</v>
      </c>
      <c r="Q165" t="str">
        <f xml:space="preserve"> _xlfn.XLOOKUP(M165, Lookup_Tables!$M$2:$M$5,Lookup_Tables!$N$2:$N$5," ", -1)</f>
        <v>Established (5-10)</v>
      </c>
      <c r="R165" s="4">
        <f t="shared" si="5"/>
        <v>2.6666666666666665</v>
      </c>
      <c r="S165" t="str">
        <f xml:space="preserve"> _xlfn.XLOOKUP( E165, Lookup_Tables!$A$2:$A$6,Lookup_Tables!$B$2:$B$6," ", -1)</f>
        <v>College</v>
      </c>
      <c r="T165" t="str">
        <f>_xlfn.XLOOKUP(G165,Lookup_Tables!$D$2:$D$5,Lookup_Tables!$E$2:$E$5)</f>
        <v>High</v>
      </c>
      <c r="U165" t="str">
        <f>_xlfn.XLOOKUP(H165,Lookup_Tables!$D$2:$D$5,Lookup_Tables!$E$2:$E$5)</f>
        <v>Very High</v>
      </c>
      <c r="V165" t="str">
        <f>_xlfn.XLOOKUP(L165,Lookup_Tables!$D$2:$D$5,Lookup_Tables!$E$2:$E$5)</f>
        <v>Low</v>
      </c>
    </row>
    <row r="166" spans="1:22">
      <c r="A166">
        <f>RAW_DATA!A166</f>
        <v>27</v>
      </c>
      <c r="B166" t="str">
        <f>RAW_DATA!B166</f>
        <v>No</v>
      </c>
      <c r="C166" t="str">
        <f>RAW_DATA!C166</f>
        <v>Research &amp; Development</v>
      </c>
      <c r="D166">
        <f>RAW_DATA!D166</f>
        <v>3</v>
      </c>
      <c r="E166">
        <f>RAW_DATA!E166</f>
        <v>3</v>
      </c>
      <c r="F166" t="str">
        <f>RAW_DATA!F166</f>
        <v>Medical</v>
      </c>
      <c r="G166">
        <f>RAW_DATA!G166</f>
        <v>3</v>
      </c>
      <c r="H166">
        <f>RAW_DATA!H166</f>
        <v>3</v>
      </c>
      <c r="I166" t="str">
        <f>RAW_DATA!I166</f>
        <v>Divorced</v>
      </c>
      <c r="J166">
        <f>RAW_DATA!J166</f>
        <v>2566</v>
      </c>
      <c r="K166">
        <f>RAW_DATA!K166</f>
        <v>1</v>
      </c>
      <c r="L166">
        <f>RAW_DATA!L166</f>
        <v>2</v>
      </c>
      <c r="M166">
        <f>RAW_DATA!M166</f>
        <v>1</v>
      </c>
      <c r="N166">
        <f t="shared" si="4"/>
        <v>0</v>
      </c>
      <c r="O166" t="str">
        <f xml:space="preserve"> VLOOKUP(A166, Lookup_Tables!$G$2:$H$6,2,TRUE)</f>
        <v>25-34</v>
      </c>
      <c r="P166" t="str">
        <f>_xlfn.XLOOKUP(J166,Lookup_Tables!$J$2:$J$4,Lookup_Tables!$K$2:$K$4, " ",-1)</f>
        <v>Low</v>
      </c>
      <c r="Q166" t="str">
        <f xml:space="preserve"> _xlfn.XLOOKUP(M166, Lookup_Tables!$M$2:$M$5,Lookup_Tables!$N$2:$N$5," ", -1)</f>
        <v>New (0-2)</v>
      </c>
      <c r="R166" s="4">
        <f t="shared" si="5"/>
        <v>2.6666666666666665</v>
      </c>
      <c r="S166" t="str">
        <f xml:space="preserve"> _xlfn.XLOOKUP( E166, Lookup_Tables!$A$2:$A$6,Lookup_Tables!$B$2:$B$6," ", -1)</f>
        <v>Bachelor</v>
      </c>
      <c r="T166" t="str">
        <f>_xlfn.XLOOKUP(G166,Lookup_Tables!$D$2:$D$5,Lookup_Tables!$E$2:$E$5)</f>
        <v>High</v>
      </c>
      <c r="U166" t="str">
        <f>_xlfn.XLOOKUP(H166,Lookup_Tables!$D$2:$D$5,Lookup_Tables!$E$2:$E$5)</f>
        <v>High</v>
      </c>
      <c r="V166" t="str">
        <f>_xlfn.XLOOKUP(L166,Lookup_Tables!$D$2:$D$5,Lookup_Tables!$E$2:$E$5)</f>
        <v>Medium</v>
      </c>
    </row>
    <row r="167" spans="1:22">
      <c r="A167">
        <f>RAW_DATA!A167</f>
        <v>50</v>
      </c>
      <c r="B167" t="str">
        <f>RAW_DATA!B167</f>
        <v>No</v>
      </c>
      <c r="C167" t="str">
        <f>RAW_DATA!C167</f>
        <v>Research &amp; Development</v>
      </c>
      <c r="D167">
        <f>RAW_DATA!D167</f>
        <v>11</v>
      </c>
      <c r="E167">
        <f>RAW_DATA!E167</f>
        <v>3</v>
      </c>
      <c r="F167" t="str">
        <f>RAW_DATA!F167</f>
        <v>Life Sciences</v>
      </c>
      <c r="G167">
        <f>RAW_DATA!G167</f>
        <v>3</v>
      </c>
      <c r="H167">
        <f>RAW_DATA!H167</f>
        <v>2</v>
      </c>
      <c r="I167" t="str">
        <f>RAW_DATA!I167</f>
        <v>Single</v>
      </c>
      <c r="J167">
        <f>RAW_DATA!J167</f>
        <v>19926</v>
      </c>
      <c r="K167">
        <f>RAW_DATA!K167</f>
        <v>3</v>
      </c>
      <c r="L167">
        <f>RAW_DATA!L167</f>
        <v>3</v>
      </c>
      <c r="M167">
        <f>RAW_DATA!M167</f>
        <v>5</v>
      </c>
      <c r="N167">
        <f t="shared" si="4"/>
        <v>0</v>
      </c>
      <c r="O167" t="str">
        <f xml:space="preserve"> VLOOKUP(A167, Lookup_Tables!$G$2:$H$6,2,TRUE)</f>
        <v>45-54</v>
      </c>
      <c r="P167" t="str">
        <f>_xlfn.XLOOKUP(J167,Lookup_Tables!$J$2:$J$4,Lookup_Tables!$K$2:$K$4, " ",-1)</f>
        <v>High</v>
      </c>
      <c r="Q167" t="str">
        <f xml:space="preserve"> _xlfn.XLOOKUP(M167, Lookup_Tables!$M$2:$M$5,Lookup_Tables!$N$2:$N$5," ", -1)</f>
        <v>Established (5-10)</v>
      </c>
      <c r="R167" s="4">
        <f t="shared" si="5"/>
        <v>2.6666666666666665</v>
      </c>
      <c r="S167" t="str">
        <f xml:space="preserve"> _xlfn.XLOOKUP( E167, Lookup_Tables!$A$2:$A$6,Lookup_Tables!$B$2:$B$6," ", -1)</f>
        <v>Bachelor</v>
      </c>
      <c r="T167" t="str">
        <f>_xlfn.XLOOKUP(G167,Lookup_Tables!$D$2:$D$5,Lookup_Tables!$E$2:$E$5)</f>
        <v>High</v>
      </c>
      <c r="U167" t="str">
        <f>_xlfn.XLOOKUP(H167,Lookup_Tables!$D$2:$D$5,Lookup_Tables!$E$2:$E$5)</f>
        <v>Medium</v>
      </c>
      <c r="V167" t="str">
        <f>_xlfn.XLOOKUP(L167,Lookup_Tables!$D$2:$D$5,Lookup_Tables!$E$2:$E$5)</f>
        <v>High</v>
      </c>
    </row>
    <row r="168" spans="1:22">
      <c r="A168">
        <f>RAW_DATA!A168</f>
        <v>41</v>
      </c>
      <c r="B168" t="str">
        <f>RAW_DATA!B168</f>
        <v>No</v>
      </c>
      <c r="C168" t="str">
        <f>RAW_DATA!C168</f>
        <v>Research &amp; Development</v>
      </c>
      <c r="D168">
        <f>RAW_DATA!D168</f>
        <v>14</v>
      </c>
      <c r="E168">
        <f>RAW_DATA!E168</f>
        <v>3</v>
      </c>
      <c r="F168" t="str">
        <f>RAW_DATA!F168</f>
        <v>Life Sciences</v>
      </c>
      <c r="G168">
        <f>RAW_DATA!G168</f>
        <v>1</v>
      </c>
      <c r="H168">
        <f>RAW_DATA!H168</f>
        <v>3</v>
      </c>
      <c r="I168" t="str">
        <f>RAW_DATA!I168</f>
        <v>Divorced</v>
      </c>
      <c r="J168">
        <f>RAW_DATA!J168</f>
        <v>2451</v>
      </c>
      <c r="K168">
        <f>RAW_DATA!K168</f>
        <v>4</v>
      </c>
      <c r="L168">
        <f>RAW_DATA!L168</f>
        <v>3</v>
      </c>
      <c r="M168">
        <f>RAW_DATA!M168</f>
        <v>9</v>
      </c>
      <c r="N168">
        <f t="shared" si="4"/>
        <v>0</v>
      </c>
      <c r="O168" t="str">
        <f xml:space="preserve"> VLOOKUP(A168, Lookup_Tables!$G$2:$H$6,2,TRUE)</f>
        <v>35-44</v>
      </c>
      <c r="P168" t="str">
        <f>_xlfn.XLOOKUP(J168,Lookup_Tables!$J$2:$J$4,Lookup_Tables!$K$2:$K$4, " ",-1)</f>
        <v>Low</v>
      </c>
      <c r="Q168" t="str">
        <f xml:space="preserve"> _xlfn.XLOOKUP(M168, Lookup_Tables!$M$2:$M$5,Lookup_Tables!$N$2:$N$5," ", -1)</f>
        <v>Established (5-10)</v>
      </c>
      <c r="R168" s="4">
        <f t="shared" si="5"/>
        <v>2.3333333333333335</v>
      </c>
      <c r="S168" t="str">
        <f xml:space="preserve"> _xlfn.XLOOKUP( E168, Lookup_Tables!$A$2:$A$6,Lookup_Tables!$B$2:$B$6," ", -1)</f>
        <v>Bachelor</v>
      </c>
      <c r="T168" t="str">
        <f>_xlfn.XLOOKUP(G168,Lookup_Tables!$D$2:$D$5,Lookup_Tables!$E$2:$E$5)</f>
        <v>Low</v>
      </c>
      <c r="U168" t="str">
        <f>_xlfn.XLOOKUP(H168,Lookup_Tables!$D$2:$D$5,Lookup_Tables!$E$2:$E$5)</f>
        <v>High</v>
      </c>
      <c r="V168" t="str">
        <f>_xlfn.XLOOKUP(L168,Lookup_Tables!$D$2:$D$5,Lookup_Tables!$E$2:$E$5)</f>
        <v>High</v>
      </c>
    </row>
    <row r="169" spans="1:22">
      <c r="A169">
        <f>RAW_DATA!A169</f>
        <v>30</v>
      </c>
      <c r="B169" t="str">
        <f>RAW_DATA!B169</f>
        <v>No</v>
      </c>
      <c r="C169" t="str">
        <f>RAW_DATA!C169</f>
        <v>Sales</v>
      </c>
      <c r="D169">
        <f>RAW_DATA!D169</f>
        <v>5</v>
      </c>
      <c r="E169">
        <f>RAW_DATA!E169</f>
        <v>3</v>
      </c>
      <c r="F169" t="str">
        <f>RAW_DATA!F169</f>
        <v>Life Sciences</v>
      </c>
      <c r="G169">
        <f>RAW_DATA!G169</f>
        <v>2</v>
      </c>
      <c r="H169">
        <f>RAW_DATA!H169</f>
        <v>4</v>
      </c>
      <c r="I169" t="str">
        <f>RAW_DATA!I169</f>
        <v>Married</v>
      </c>
      <c r="J169">
        <f>RAW_DATA!J169</f>
        <v>9419</v>
      </c>
      <c r="K169">
        <f>RAW_DATA!K169</f>
        <v>2</v>
      </c>
      <c r="L169">
        <f>RAW_DATA!L169</f>
        <v>3</v>
      </c>
      <c r="M169">
        <f>RAW_DATA!M169</f>
        <v>10</v>
      </c>
      <c r="N169">
        <f t="shared" si="4"/>
        <v>0</v>
      </c>
      <c r="O169" t="str">
        <f xml:space="preserve"> VLOOKUP(A169, Lookup_Tables!$G$2:$H$6,2,TRUE)</f>
        <v>25-34</v>
      </c>
      <c r="P169" t="str">
        <f>_xlfn.XLOOKUP(J169,Lookup_Tables!$J$2:$J$4,Lookup_Tables!$K$2:$K$4, " ",-1)</f>
        <v>High</v>
      </c>
      <c r="Q169" t="str">
        <f xml:space="preserve"> _xlfn.XLOOKUP(M169, Lookup_Tables!$M$2:$M$5,Lookup_Tables!$N$2:$N$5," ", -1)</f>
        <v>Veteran (10+)</v>
      </c>
      <c r="R169" s="4">
        <f t="shared" si="5"/>
        <v>3</v>
      </c>
      <c r="S169" t="str">
        <f xml:space="preserve"> _xlfn.XLOOKUP( E169, Lookup_Tables!$A$2:$A$6,Lookup_Tables!$B$2:$B$6," ", -1)</f>
        <v>Bachelor</v>
      </c>
      <c r="T169" t="str">
        <f>_xlfn.XLOOKUP(G169,Lookup_Tables!$D$2:$D$5,Lookup_Tables!$E$2:$E$5)</f>
        <v>Medium</v>
      </c>
      <c r="U169" t="str">
        <f>_xlfn.XLOOKUP(H169,Lookup_Tables!$D$2:$D$5,Lookup_Tables!$E$2:$E$5)</f>
        <v>Very High</v>
      </c>
      <c r="V169" t="str">
        <f>_xlfn.XLOOKUP(L169,Lookup_Tables!$D$2:$D$5,Lookup_Tables!$E$2:$E$5)</f>
        <v>High</v>
      </c>
    </row>
    <row r="170" spans="1:22">
      <c r="A170">
        <f>RAW_DATA!A170</f>
        <v>38</v>
      </c>
      <c r="B170" t="str">
        <f>RAW_DATA!B170</f>
        <v>No</v>
      </c>
      <c r="C170" t="str">
        <f>RAW_DATA!C170</f>
        <v>Sales</v>
      </c>
      <c r="D170">
        <f>RAW_DATA!D170</f>
        <v>1</v>
      </c>
      <c r="E170">
        <f>RAW_DATA!E170</f>
        <v>4</v>
      </c>
      <c r="F170" t="str">
        <f>RAW_DATA!F170</f>
        <v>Life Sciences</v>
      </c>
      <c r="G170">
        <f>RAW_DATA!G170</f>
        <v>1</v>
      </c>
      <c r="H170">
        <f>RAW_DATA!H170</f>
        <v>4</v>
      </c>
      <c r="I170" t="str">
        <f>RAW_DATA!I170</f>
        <v>Single</v>
      </c>
      <c r="J170">
        <f>RAW_DATA!J170</f>
        <v>8686</v>
      </c>
      <c r="K170">
        <f>RAW_DATA!K170</f>
        <v>4</v>
      </c>
      <c r="L170">
        <f>RAW_DATA!L170</f>
        <v>4</v>
      </c>
      <c r="M170">
        <f>RAW_DATA!M170</f>
        <v>8</v>
      </c>
      <c r="N170">
        <f t="shared" si="4"/>
        <v>0</v>
      </c>
      <c r="O170" t="str">
        <f xml:space="preserve"> VLOOKUP(A170, Lookup_Tables!$G$2:$H$6,2,TRUE)</f>
        <v>35-44</v>
      </c>
      <c r="P170" t="str">
        <f>_xlfn.XLOOKUP(J170,Lookup_Tables!$J$2:$J$4,Lookup_Tables!$K$2:$K$4, " ",-1)</f>
        <v>High</v>
      </c>
      <c r="Q170" t="str">
        <f xml:space="preserve"> _xlfn.XLOOKUP(M170, Lookup_Tables!$M$2:$M$5,Lookup_Tables!$N$2:$N$5," ", -1)</f>
        <v>Established (5-10)</v>
      </c>
      <c r="R170" s="4">
        <f t="shared" si="5"/>
        <v>3</v>
      </c>
      <c r="S170" t="str">
        <f xml:space="preserve"> _xlfn.XLOOKUP( E170, Lookup_Tables!$A$2:$A$6,Lookup_Tables!$B$2:$B$6," ", -1)</f>
        <v>Master</v>
      </c>
      <c r="T170" t="str">
        <f>_xlfn.XLOOKUP(G170,Lookup_Tables!$D$2:$D$5,Lookup_Tables!$E$2:$E$5)</f>
        <v>Low</v>
      </c>
      <c r="U170" t="str">
        <f>_xlfn.XLOOKUP(H170,Lookup_Tables!$D$2:$D$5,Lookup_Tables!$E$2:$E$5)</f>
        <v>Very High</v>
      </c>
      <c r="V170" t="str">
        <f>_xlfn.XLOOKUP(L170,Lookup_Tables!$D$2:$D$5,Lookup_Tables!$E$2:$E$5)</f>
        <v>Very High</v>
      </c>
    </row>
    <row r="171" spans="1:22">
      <c r="A171">
        <f>RAW_DATA!A171</f>
        <v>32</v>
      </c>
      <c r="B171" t="str">
        <f>RAW_DATA!B171</f>
        <v>No</v>
      </c>
      <c r="C171" t="str">
        <f>RAW_DATA!C171</f>
        <v>Research &amp; Development</v>
      </c>
      <c r="D171">
        <f>RAW_DATA!D171</f>
        <v>6</v>
      </c>
      <c r="E171">
        <f>RAW_DATA!E171</f>
        <v>5</v>
      </c>
      <c r="F171" t="str">
        <f>RAW_DATA!F171</f>
        <v>Life Sciences</v>
      </c>
      <c r="G171">
        <f>RAW_DATA!G171</f>
        <v>3</v>
      </c>
      <c r="H171">
        <f>RAW_DATA!H171</f>
        <v>3</v>
      </c>
      <c r="I171" t="str">
        <f>RAW_DATA!I171</f>
        <v>Single</v>
      </c>
      <c r="J171">
        <f>RAW_DATA!J171</f>
        <v>3038</v>
      </c>
      <c r="K171">
        <f>RAW_DATA!K171</f>
        <v>3</v>
      </c>
      <c r="L171">
        <f>RAW_DATA!L171</f>
        <v>3</v>
      </c>
      <c r="M171">
        <f>RAW_DATA!M171</f>
        <v>5</v>
      </c>
      <c r="N171">
        <f t="shared" si="4"/>
        <v>0</v>
      </c>
      <c r="O171" t="str">
        <f xml:space="preserve"> VLOOKUP(A171, Lookup_Tables!$G$2:$H$6,2,TRUE)</f>
        <v>25-34</v>
      </c>
      <c r="P171" t="str">
        <f>_xlfn.XLOOKUP(J171,Lookup_Tables!$J$2:$J$4,Lookup_Tables!$K$2:$K$4, " ",-1)</f>
        <v>Medium</v>
      </c>
      <c r="Q171" t="str">
        <f xml:space="preserve"> _xlfn.XLOOKUP(M171, Lookup_Tables!$M$2:$M$5,Lookup_Tables!$N$2:$N$5," ", -1)</f>
        <v>Established (5-10)</v>
      </c>
      <c r="R171" s="4">
        <f t="shared" si="5"/>
        <v>3</v>
      </c>
      <c r="S171" t="str">
        <f xml:space="preserve"> _xlfn.XLOOKUP( E171, Lookup_Tables!$A$2:$A$6,Lookup_Tables!$B$2:$B$6," ", -1)</f>
        <v>Doctor</v>
      </c>
      <c r="T171" t="str">
        <f>_xlfn.XLOOKUP(G171,Lookup_Tables!$D$2:$D$5,Lookup_Tables!$E$2:$E$5)</f>
        <v>High</v>
      </c>
      <c r="U171" t="str">
        <f>_xlfn.XLOOKUP(H171,Lookup_Tables!$D$2:$D$5,Lookup_Tables!$E$2:$E$5)</f>
        <v>High</v>
      </c>
      <c r="V171" t="str">
        <f>_xlfn.XLOOKUP(L171,Lookup_Tables!$D$2:$D$5,Lookup_Tables!$E$2:$E$5)</f>
        <v>High</v>
      </c>
    </row>
    <row r="172" spans="1:22">
      <c r="A172">
        <f>RAW_DATA!A172</f>
        <v>27</v>
      </c>
      <c r="B172" t="str">
        <f>RAW_DATA!B172</f>
        <v>No</v>
      </c>
      <c r="C172" t="str">
        <f>RAW_DATA!C172</f>
        <v>Research &amp; Development</v>
      </c>
      <c r="D172">
        <f>RAW_DATA!D172</f>
        <v>17</v>
      </c>
      <c r="E172">
        <f>RAW_DATA!E172</f>
        <v>3</v>
      </c>
      <c r="F172" t="str">
        <f>RAW_DATA!F172</f>
        <v>Technical Degree</v>
      </c>
      <c r="G172">
        <f>RAW_DATA!G172</f>
        <v>3</v>
      </c>
      <c r="H172">
        <f>RAW_DATA!H172</f>
        <v>2</v>
      </c>
      <c r="I172" t="str">
        <f>RAW_DATA!I172</f>
        <v>Married</v>
      </c>
      <c r="J172">
        <f>RAW_DATA!J172</f>
        <v>3058</v>
      </c>
      <c r="K172">
        <f>RAW_DATA!K172</f>
        <v>0</v>
      </c>
      <c r="L172">
        <f>RAW_DATA!L172</f>
        <v>2</v>
      </c>
      <c r="M172">
        <f>RAW_DATA!M172</f>
        <v>5</v>
      </c>
      <c r="N172">
        <f t="shared" si="4"/>
        <v>0</v>
      </c>
      <c r="O172" t="str">
        <f xml:space="preserve"> VLOOKUP(A172, Lookup_Tables!$G$2:$H$6,2,TRUE)</f>
        <v>25-34</v>
      </c>
      <c r="P172" t="str">
        <f>_xlfn.XLOOKUP(J172,Lookup_Tables!$J$2:$J$4,Lookup_Tables!$K$2:$K$4, " ",-1)</f>
        <v>Medium</v>
      </c>
      <c r="Q172" t="str">
        <f xml:space="preserve"> _xlfn.XLOOKUP(M172, Lookup_Tables!$M$2:$M$5,Lookup_Tables!$N$2:$N$5," ", -1)</f>
        <v>Established (5-10)</v>
      </c>
      <c r="R172" s="4">
        <f t="shared" si="5"/>
        <v>2.3333333333333335</v>
      </c>
      <c r="S172" t="str">
        <f xml:space="preserve"> _xlfn.XLOOKUP( E172, Lookup_Tables!$A$2:$A$6,Lookup_Tables!$B$2:$B$6," ", -1)</f>
        <v>Bachelor</v>
      </c>
      <c r="T172" t="str">
        <f>_xlfn.XLOOKUP(G172,Lookup_Tables!$D$2:$D$5,Lookup_Tables!$E$2:$E$5)</f>
        <v>High</v>
      </c>
      <c r="U172" t="str">
        <f>_xlfn.XLOOKUP(H172,Lookup_Tables!$D$2:$D$5,Lookup_Tables!$E$2:$E$5)</f>
        <v>Medium</v>
      </c>
      <c r="V172" t="str">
        <f>_xlfn.XLOOKUP(L172,Lookup_Tables!$D$2:$D$5,Lookup_Tables!$E$2:$E$5)</f>
        <v>Medium</v>
      </c>
    </row>
    <row r="173" spans="1:22">
      <c r="A173">
        <f>RAW_DATA!A173</f>
        <v>19</v>
      </c>
      <c r="B173" t="str">
        <f>RAW_DATA!B173</f>
        <v>Yes</v>
      </c>
      <c r="C173" t="str">
        <f>RAW_DATA!C173</f>
        <v>Sales</v>
      </c>
      <c r="D173">
        <f>RAW_DATA!D173</f>
        <v>1</v>
      </c>
      <c r="E173">
        <f>RAW_DATA!E173</f>
        <v>1</v>
      </c>
      <c r="F173" t="str">
        <f>RAW_DATA!F173</f>
        <v>Technical Degree</v>
      </c>
      <c r="G173">
        <f>RAW_DATA!G173</f>
        <v>3</v>
      </c>
      <c r="H173">
        <f>RAW_DATA!H173</f>
        <v>1</v>
      </c>
      <c r="I173" t="str">
        <f>RAW_DATA!I173</f>
        <v>Single</v>
      </c>
      <c r="J173">
        <f>RAW_DATA!J173</f>
        <v>2325</v>
      </c>
      <c r="K173">
        <f>RAW_DATA!K173</f>
        <v>0</v>
      </c>
      <c r="L173">
        <f>RAW_DATA!L173</f>
        <v>4</v>
      </c>
      <c r="M173">
        <f>RAW_DATA!M173</f>
        <v>0</v>
      </c>
      <c r="N173">
        <f t="shared" si="4"/>
        <v>1</v>
      </c>
      <c r="O173" t="str">
        <f xml:space="preserve"> VLOOKUP(A173, Lookup_Tables!$G$2:$H$6,2,TRUE)</f>
        <v>&lt;25</v>
      </c>
      <c r="P173" t="str">
        <f>_xlfn.XLOOKUP(J173,Lookup_Tables!$J$2:$J$4,Lookup_Tables!$K$2:$K$4, " ",-1)</f>
        <v>Low</v>
      </c>
      <c r="Q173" t="str">
        <f xml:space="preserve"> _xlfn.XLOOKUP(M173, Lookup_Tables!$M$2:$M$5,Lookup_Tables!$N$2:$N$5," ", -1)</f>
        <v>New (0-2)</v>
      </c>
      <c r="R173" s="4">
        <f t="shared" si="5"/>
        <v>2.6666666666666665</v>
      </c>
      <c r="S173" t="str">
        <f xml:space="preserve"> _xlfn.XLOOKUP( E173, Lookup_Tables!$A$2:$A$6,Lookup_Tables!$B$2:$B$6," ", -1)</f>
        <v>Below College</v>
      </c>
      <c r="T173" t="str">
        <f>_xlfn.XLOOKUP(G173,Lookup_Tables!$D$2:$D$5,Lookup_Tables!$E$2:$E$5)</f>
        <v>High</v>
      </c>
      <c r="U173" t="str">
        <f>_xlfn.XLOOKUP(H173,Lookup_Tables!$D$2:$D$5,Lookup_Tables!$E$2:$E$5)</f>
        <v>Low</v>
      </c>
      <c r="V173" t="str">
        <f>_xlfn.XLOOKUP(L173,Lookup_Tables!$D$2:$D$5,Lookup_Tables!$E$2:$E$5)</f>
        <v>Very High</v>
      </c>
    </row>
    <row r="174" spans="1:22">
      <c r="A174">
        <f>RAW_DATA!A174</f>
        <v>36</v>
      </c>
      <c r="B174" t="str">
        <f>RAW_DATA!B174</f>
        <v>No</v>
      </c>
      <c r="C174" t="str">
        <f>RAW_DATA!C174</f>
        <v>Research &amp; Development</v>
      </c>
      <c r="D174">
        <f>RAW_DATA!D174</f>
        <v>3</v>
      </c>
      <c r="E174">
        <f>RAW_DATA!E174</f>
        <v>2</v>
      </c>
      <c r="F174" t="str">
        <f>RAW_DATA!F174</f>
        <v>Medical</v>
      </c>
      <c r="G174">
        <f>RAW_DATA!G174</f>
        <v>4</v>
      </c>
      <c r="H174">
        <f>RAW_DATA!H174</f>
        <v>2</v>
      </c>
      <c r="I174" t="str">
        <f>RAW_DATA!I174</f>
        <v>Single</v>
      </c>
      <c r="J174">
        <f>RAW_DATA!J174</f>
        <v>2088</v>
      </c>
      <c r="K174">
        <f>RAW_DATA!K174</f>
        <v>4</v>
      </c>
      <c r="L174">
        <f>RAW_DATA!L174</f>
        <v>2</v>
      </c>
      <c r="M174">
        <f>RAW_DATA!M174</f>
        <v>8</v>
      </c>
      <c r="N174">
        <f t="shared" si="4"/>
        <v>0</v>
      </c>
      <c r="O174" t="str">
        <f xml:space="preserve"> VLOOKUP(A174, Lookup_Tables!$G$2:$H$6,2,TRUE)</f>
        <v>35-44</v>
      </c>
      <c r="P174" t="str">
        <f>_xlfn.XLOOKUP(J174,Lookup_Tables!$J$2:$J$4,Lookup_Tables!$K$2:$K$4, " ",-1)</f>
        <v>Low</v>
      </c>
      <c r="Q174" t="str">
        <f xml:space="preserve"> _xlfn.XLOOKUP(M174, Lookup_Tables!$M$2:$M$5,Lookup_Tables!$N$2:$N$5," ", -1)</f>
        <v>Established (5-10)</v>
      </c>
      <c r="R174" s="4">
        <f t="shared" si="5"/>
        <v>2.6666666666666665</v>
      </c>
      <c r="S174" t="str">
        <f xml:space="preserve"> _xlfn.XLOOKUP( E174, Lookup_Tables!$A$2:$A$6,Lookup_Tables!$B$2:$B$6," ", -1)</f>
        <v>College</v>
      </c>
      <c r="T174" t="str">
        <f>_xlfn.XLOOKUP(G174,Lookup_Tables!$D$2:$D$5,Lookup_Tables!$E$2:$E$5)</f>
        <v>Very High</v>
      </c>
      <c r="U174" t="str">
        <f>_xlfn.XLOOKUP(H174,Lookup_Tables!$D$2:$D$5,Lookup_Tables!$E$2:$E$5)</f>
        <v>Medium</v>
      </c>
      <c r="V174" t="str">
        <f>_xlfn.XLOOKUP(L174,Lookup_Tables!$D$2:$D$5,Lookup_Tables!$E$2:$E$5)</f>
        <v>Medium</v>
      </c>
    </row>
    <row r="175" spans="1:22">
      <c r="A175">
        <f>RAW_DATA!A175</f>
        <v>30</v>
      </c>
      <c r="B175" t="str">
        <f>RAW_DATA!B175</f>
        <v>No</v>
      </c>
      <c r="C175" t="str">
        <f>RAW_DATA!C175</f>
        <v>Research &amp; Development</v>
      </c>
      <c r="D175">
        <f>RAW_DATA!D175</f>
        <v>9</v>
      </c>
      <c r="E175">
        <f>RAW_DATA!E175</f>
        <v>3</v>
      </c>
      <c r="F175" t="str">
        <f>RAW_DATA!F175</f>
        <v>Medical</v>
      </c>
      <c r="G175">
        <f>RAW_DATA!G175</f>
        <v>3</v>
      </c>
      <c r="H175">
        <f>RAW_DATA!H175</f>
        <v>1</v>
      </c>
      <c r="I175" t="str">
        <f>RAW_DATA!I175</f>
        <v>Divorced</v>
      </c>
      <c r="J175">
        <f>RAW_DATA!J175</f>
        <v>3072</v>
      </c>
      <c r="K175">
        <f>RAW_DATA!K175</f>
        <v>1</v>
      </c>
      <c r="L175">
        <f>RAW_DATA!L175</f>
        <v>3</v>
      </c>
      <c r="M175">
        <f>RAW_DATA!M175</f>
        <v>12</v>
      </c>
      <c r="N175">
        <f t="shared" si="4"/>
        <v>0</v>
      </c>
      <c r="O175" t="str">
        <f xml:space="preserve"> VLOOKUP(A175, Lookup_Tables!$G$2:$H$6,2,TRUE)</f>
        <v>25-34</v>
      </c>
      <c r="P175" t="str">
        <f>_xlfn.XLOOKUP(J175,Lookup_Tables!$J$2:$J$4,Lookup_Tables!$K$2:$K$4, " ",-1)</f>
        <v>Medium</v>
      </c>
      <c r="Q175" t="str">
        <f xml:space="preserve"> _xlfn.XLOOKUP(M175, Lookup_Tables!$M$2:$M$5,Lookup_Tables!$N$2:$N$5," ", -1)</f>
        <v>Veteran (10+)</v>
      </c>
      <c r="R175" s="4">
        <f t="shared" si="5"/>
        <v>2.3333333333333335</v>
      </c>
      <c r="S175" t="str">
        <f xml:space="preserve"> _xlfn.XLOOKUP( E175, Lookup_Tables!$A$2:$A$6,Lookup_Tables!$B$2:$B$6," ", -1)</f>
        <v>Bachelor</v>
      </c>
      <c r="T175" t="str">
        <f>_xlfn.XLOOKUP(G175,Lookup_Tables!$D$2:$D$5,Lookup_Tables!$E$2:$E$5)</f>
        <v>High</v>
      </c>
      <c r="U175" t="str">
        <f>_xlfn.XLOOKUP(H175,Lookup_Tables!$D$2:$D$5,Lookup_Tables!$E$2:$E$5)</f>
        <v>Low</v>
      </c>
      <c r="V175" t="str">
        <f>_xlfn.XLOOKUP(L175,Lookup_Tables!$D$2:$D$5,Lookup_Tables!$E$2:$E$5)</f>
        <v>High</v>
      </c>
    </row>
    <row r="176" spans="1:22">
      <c r="A176">
        <f>RAW_DATA!A176</f>
        <v>45</v>
      </c>
      <c r="B176" t="str">
        <f>RAW_DATA!B176</f>
        <v>No</v>
      </c>
      <c r="C176" t="str">
        <f>RAW_DATA!C176</f>
        <v>Sales</v>
      </c>
      <c r="D176">
        <f>RAW_DATA!D176</f>
        <v>4</v>
      </c>
      <c r="E176">
        <f>RAW_DATA!E176</f>
        <v>2</v>
      </c>
      <c r="F176" t="str">
        <f>RAW_DATA!F176</f>
        <v>Life Sciences</v>
      </c>
      <c r="G176">
        <f>RAW_DATA!G176</f>
        <v>3</v>
      </c>
      <c r="H176">
        <f>RAW_DATA!H176</f>
        <v>1</v>
      </c>
      <c r="I176" t="str">
        <f>RAW_DATA!I176</f>
        <v>Divorced</v>
      </c>
      <c r="J176">
        <f>RAW_DATA!J176</f>
        <v>5006</v>
      </c>
      <c r="K176">
        <f>RAW_DATA!K176</f>
        <v>4</v>
      </c>
      <c r="L176">
        <f>RAW_DATA!L176</f>
        <v>4</v>
      </c>
      <c r="M176">
        <f>RAW_DATA!M176</f>
        <v>5</v>
      </c>
      <c r="N176">
        <f t="shared" si="4"/>
        <v>0</v>
      </c>
      <c r="O176" t="str">
        <f xml:space="preserve"> VLOOKUP(A176, Lookup_Tables!$G$2:$H$6,2,TRUE)</f>
        <v>45-54</v>
      </c>
      <c r="P176" t="str">
        <f>_xlfn.XLOOKUP(J176,Lookup_Tables!$J$2:$J$4,Lookup_Tables!$K$2:$K$4, " ",-1)</f>
        <v>Medium</v>
      </c>
      <c r="Q176" t="str">
        <f xml:space="preserve"> _xlfn.XLOOKUP(M176, Lookup_Tables!$M$2:$M$5,Lookup_Tables!$N$2:$N$5," ", -1)</f>
        <v>Established (5-10)</v>
      </c>
      <c r="R176" s="4">
        <f t="shared" si="5"/>
        <v>2.6666666666666665</v>
      </c>
      <c r="S176" t="str">
        <f xml:space="preserve"> _xlfn.XLOOKUP( E176, Lookup_Tables!$A$2:$A$6,Lookup_Tables!$B$2:$B$6," ", -1)</f>
        <v>College</v>
      </c>
      <c r="T176" t="str">
        <f>_xlfn.XLOOKUP(G176,Lookup_Tables!$D$2:$D$5,Lookup_Tables!$E$2:$E$5)</f>
        <v>High</v>
      </c>
      <c r="U176" t="str">
        <f>_xlfn.XLOOKUP(H176,Lookup_Tables!$D$2:$D$5,Lookup_Tables!$E$2:$E$5)</f>
        <v>Low</v>
      </c>
      <c r="V176" t="str">
        <f>_xlfn.XLOOKUP(L176,Lookup_Tables!$D$2:$D$5,Lookup_Tables!$E$2:$E$5)</f>
        <v>Very High</v>
      </c>
    </row>
    <row r="177" spans="1:22">
      <c r="A177">
        <f>RAW_DATA!A177</f>
        <v>56</v>
      </c>
      <c r="B177" t="str">
        <f>RAW_DATA!B177</f>
        <v>No</v>
      </c>
      <c r="C177" t="str">
        <f>RAW_DATA!C177</f>
        <v>Research &amp; Development</v>
      </c>
      <c r="D177">
        <f>RAW_DATA!D177</f>
        <v>8</v>
      </c>
      <c r="E177">
        <f>RAW_DATA!E177</f>
        <v>3</v>
      </c>
      <c r="F177" t="str">
        <f>RAW_DATA!F177</f>
        <v>Life Sciences</v>
      </c>
      <c r="G177">
        <f>RAW_DATA!G177</f>
        <v>3</v>
      </c>
      <c r="H177">
        <f>RAW_DATA!H177</f>
        <v>1</v>
      </c>
      <c r="I177" t="str">
        <f>RAW_DATA!I177</f>
        <v>Divorced</v>
      </c>
      <c r="J177">
        <f>RAW_DATA!J177</f>
        <v>4257</v>
      </c>
      <c r="K177">
        <f>RAW_DATA!K177</f>
        <v>4</v>
      </c>
      <c r="L177">
        <f>RAW_DATA!L177</f>
        <v>3</v>
      </c>
      <c r="M177">
        <f>RAW_DATA!M177</f>
        <v>2</v>
      </c>
      <c r="N177">
        <f t="shared" si="4"/>
        <v>0</v>
      </c>
      <c r="O177" t="str">
        <f xml:space="preserve"> VLOOKUP(A177, Lookup_Tables!$G$2:$H$6,2,TRUE)</f>
        <v>55+</v>
      </c>
      <c r="P177" t="str">
        <f>_xlfn.XLOOKUP(J177,Lookup_Tables!$J$2:$J$4,Lookup_Tables!$K$2:$K$4, " ",-1)</f>
        <v>Medium</v>
      </c>
      <c r="Q177" t="str">
        <f xml:space="preserve"> _xlfn.XLOOKUP(M177, Lookup_Tables!$M$2:$M$5,Lookup_Tables!$N$2:$N$5," ", -1)</f>
        <v>Early (2-5)</v>
      </c>
      <c r="R177" s="4">
        <f t="shared" si="5"/>
        <v>2.3333333333333335</v>
      </c>
      <c r="S177" t="str">
        <f xml:space="preserve"> _xlfn.XLOOKUP( E177, Lookup_Tables!$A$2:$A$6,Lookup_Tables!$B$2:$B$6," ", -1)</f>
        <v>Bachelor</v>
      </c>
      <c r="T177" t="str">
        <f>_xlfn.XLOOKUP(G177,Lookup_Tables!$D$2:$D$5,Lookup_Tables!$E$2:$E$5)</f>
        <v>High</v>
      </c>
      <c r="U177" t="str">
        <f>_xlfn.XLOOKUP(H177,Lookup_Tables!$D$2:$D$5,Lookup_Tables!$E$2:$E$5)</f>
        <v>Low</v>
      </c>
      <c r="V177" t="str">
        <f>_xlfn.XLOOKUP(L177,Lookup_Tables!$D$2:$D$5,Lookup_Tables!$E$2:$E$5)</f>
        <v>High</v>
      </c>
    </row>
    <row r="178" spans="1:22">
      <c r="A178">
        <f>RAW_DATA!A178</f>
        <v>33</v>
      </c>
      <c r="B178" t="str">
        <f>RAW_DATA!B178</f>
        <v>No</v>
      </c>
      <c r="C178" t="str">
        <f>RAW_DATA!C178</f>
        <v>Research &amp; Development</v>
      </c>
      <c r="D178">
        <f>RAW_DATA!D178</f>
        <v>2</v>
      </c>
      <c r="E178">
        <f>RAW_DATA!E178</f>
        <v>3</v>
      </c>
      <c r="F178" t="str">
        <f>RAW_DATA!F178</f>
        <v>Life Sciences</v>
      </c>
      <c r="G178">
        <f>RAW_DATA!G178</f>
        <v>3</v>
      </c>
      <c r="H178">
        <f>RAW_DATA!H178</f>
        <v>4</v>
      </c>
      <c r="I178" t="str">
        <f>RAW_DATA!I178</f>
        <v>Single</v>
      </c>
      <c r="J178">
        <f>RAW_DATA!J178</f>
        <v>2500</v>
      </c>
      <c r="K178">
        <f>RAW_DATA!K178</f>
        <v>0</v>
      </c>
      <c r="L178">
        <f>RAW_DATA!L178</f>
        <v>4</v>
      </c>
      <c r="M178">
        <f>RAW_DATA!M178</f>
        <v>3</v>
      </c>
      <c r="N178">
        <f t="shared" si="4"/>
        <v>0</v>
      </c>
      <c r="O178" t="str">
        <f xml:space="preserve"> VLOOKUP(A178, Lookup_Tables!$G$2:$H$6,2,TRUE)</f>
        <v>25-34</v>
      </c>
      <c r="P178" t="str">
        <f>_xlfn.XLOOKUP(J178,Lookup_Tables!$J$2:$J$4,Lookup_Tables!$K$2:$K$4, " ",-1)</f>
        <v>Low</v>
      </c>
      <c r="Q178" t="str">
        <f xml:space="preserve"> _xlfn.XLOOKUP(M178, Lookup_Tables!$M$2:$M$5,Lookup_Tables!$N$2:$N$5," ", -1)</f>
        <v>Early (2-5)</v>
      </c>
      <c r="R178" s="4">
        <f t="shared" si="5"/>
        <v>3.6666666666666665</v>
      </c>
      <c r="S178" t="str">
        <f xml:space="preserve"> _xlfn.XLOOKUP( E178, Lookup_Tables!$A$2:$A$6,Lookup_Tables!$B$2:$B$6," ", -1)</f>
        <v>Bachelor</v>
      </c>
      <c r="T178" t="str">
        <f>_xlfn.XLOOKUP(G178,Lookup_Tables!$D$2:$D$5,Lookup_Tables!$E$2:$E$5)</f>
        <v>High</v>
      </c>
      <c r="U178" t="str">
        <f>_xlfn.XLOOKUP(H178,Lookup_Tables!$D$2:$D$5,Lookup_Tables!$E$2:$E$5)</f>
        <v>Very High</v>
      </c>
      <c r="V178" t="str">
        <f>_xlfn.XLOOKUP(L178,Lookup_Tables!$D$2:$D$5,Lookup_Tables!$E$2:$E$5)</f>
        <v>Very High</v>
      </c>
    </row>
    <row r="179" spans="1:22">
      <c r="A179">
        <f>RAW_DATA!A179</f>
        <v>19</v>
      </c>
      <c r="B179" t="str">
        <f>RAW_DATA!B179</f>
        <v>Yes</v>
      </c>
      <c r="C179" t="str">
        <f>RAW_DATA!C179</f>
        <v>Research &amp; Development</v>
      </c>
      <c r="D179">
        <f>RAW_DATA!D179</f>
        <v>2</v>
      </c>
      <c r="E179">
        <f>RAW_DATA!E179</f>
        <v>3</v>
      </c>
      <c r="F179" t="str">
        <f>RAW_DATA!F179</f>
        <v>Life Sciences</v>
      </c>
      <c r="G179">
        <f>RAW_DATA!G179</f>
        <v>2</v>
      </c>
      <c r="H179">
        <f>RAW_DATA!H179</f>
        <v>4</v>
      </c>
      <c r="I179" t="str">
        <f>RAW_DATA!I179</f>
        <v>Single</v>
      </c>
      <c r="J179">
        <f>RAW_DATA!J179</f>
        <v>1102</v>
      </c>
      <c r="K179">
        <f>RAW_DATA!K179</f>
        <v>1</v>
      </c>
      <c r="L179">
        <f>RAW_DATA!L179</f>
        <v>2</v>
      </c>
      <c r="M179">
        <f>RAW_DATA!M179</f>
        <v>1</v>
      </c>
      <c r="N179">
        <f t="shared" si="4"/>
        <v>1</v>
      </c>
      <c r="O179" t="str">
        <f xml:space="preserve"> VLOOKUP(A179, Lookup_Tables!$G$2:$H$6,2,TRUE)</f>
        <v>&lt;25</v>
      </c>
      <c r="P179" t="str">
        <f>_xlfn.XLOOKUP(J179,Lookup_Tables!$J$2:$J$4,Lookup_Tables!$K$2:$K$4, " ",-1)</f>
        <v>Low</v>
      </c>
      <c r="Q179" t="str">
        <f xml:space="preserve"> _xlfn.XLOOKUP(M179, Lookup_Tables!$M$2:$M$5,Lookup_Tables!$N$2:$N$5," ", -1)</f>
        <v>New (0-2)</v>
      </c>
      <c r="R179" s="4">
        <f t="shared" si="5"/>
        <v>2.6666666666666665</v>
      </c>
      <c r="S179" t="str">
        <f xml:space="preserve"> _xlfn.XLOOKUP( E179, Lookup_Tables!$A$2:$A$6,Lookup_Tables!$B$2:$B$6," ", -1)</f>
        <v>Bachelor</v>
      </c>
      <c r="T179" t="str">
        <f>_xlfn.XLOOKUP(G179,Lookup_Tables!$D$2:$D$5,Lookup_Tables!$E$2:$E$5)</f>
        <v>Medium</v>
      </c>
      <c r="U179" t="str">
        <f>_xlfn.XLOOKUP(H179,Lookup_Tables!$D$2:$D$5,Lookup_Tables!$E$2:$E$5)</f>
        <v>Very High</v>
      </c>
      <c r="V179" t="str">
        <f>_xlfn.XLOOKUP(L179,Lookup_Tables!$D$2:$D$5,Lookup_Tables!$E$2:$E$5)</f>
        <v>Medium</v>
      </c>
    </row>
    <row r="180" spans="1:22">
      <c r="A180">
        <f>RAW_DATA!A180</f>
        <v>46</v>
      </c>
      <c r="B180" t="str">
        <f>RAW_DATA!B180</f>
        <v>No</v>
      </c>
      <c r="C180" t="str">
        <f>RAW_DATA!C180</f>
        <v>Sales</v>
      </c>
      <c r="D180">
        <f>RAW_DATA!D180</f>
        <v>1</v>
      </c>
      <c r="E180">
        <f>RAW_DATA!E180</f>
        <v>2</v>
      </c>
      <c r="F180" t="str">
        <f>RAW_DATA!F180</f>
        <v>Marketing</v>
      </c>
      <c r="G180">
        <f>RAW_DATA!G180</f>
        <v>2</v>
      </c>
      <c r="H180">
        <f>RAW_DATA!H180</f>
        <v>1</v>
      </c>
      <c r="I180" t="str">
        <f>RAW_DATA!I180</f>
        <v>Divorced</v>
      </c>
      <c r="J180">
        <f>RAW_DATA!J180</f>
        <v>10453</v>
      </c>
      <c r="K180">
        <f>RAW_DATA!K180</f>
        <v>1</v>
      </c>
      <c r="L180">
        <f>RAW_DATA!L180</f>
        <v>3</v>
      </c>
      <c r="M180">
        <f>RAW_DATA!M180</f>
        <v>24</v>
      </c>
      <c r="N180">
        <f t="shared" si="4"/>
        <v>0</v>
      </c>
      <c r="O180" t="str">
        <f xml:space="preserve"> VLOOKUP(A180, Lookup_Tables!$G$2:$H$6,2,TRUE)</f>
        <v>45-54</v>
      </c>
      <c r="P180" t="str">
        <f>_xlfn.XLOOKUP(J180,Lookup_Tables!$J$2:$J$4,Lookup_Tables!$K$2:$K$4, " ",-1)</f>
        <v>High</v>
      </c>
      <c r="Q180" t="str">
        <f xml:space="preserve"> _xlfn.XLOOKUP(M180, Lookup_Tables!$M$2:$M$5,Lookup_Tables!$N$2:$N$5," ", -1)</f>
        <v>Veteran (10+)</v>
      </c>
      <c r="R180" s="4">
        <f t="shared" si="5"/>
        <v>2</v>
      </c>
      <c r="S180" t="str">
        <f xml:space="preserve"> _xlfn.XLOOKUP( E180, Lookup_Tables!$A$2:$A$6,Lookup_Tables!$B$2:$B$6," ", -1)</f>
        <v>College</v>
      </c>
      <c r="T180" t="str">
        <f>_xlfn.XLOOKUP(G180,Lookup_Tables!$D$2:$D$5,Lookup_Tables!$E$2:$E$5)</f>
        <v>Medium</v>
      </c>
      <c r="U180" t="str">
        <f>_xlfn.XLOOKUP(H180,Lookup_Tables!$D$2:$D$5,Lookup_Tables!$E$2:$E$5)</f>
        <v>Low</v>
      </c>
      <c r="V180" t="str">
        <f>_xlfn.XLOOKUP(L180,Lookup_Tables!$D$2:$D$5,Lookup_Tables!$E$2:$E$5)</f>
        <v>High</v>
      </c>
    </row>
    <row r="181" spans="1:22">
      <c r="A181">
        <f>RAW_DATA!A181</f>
        <v>38</v>
      </c>
      <c r="B181" t="str">
        <f>RAW_DATA!B181</f>
        <v>No</v>
      </c>
      <c r="C181" t="str">
        <f>RAW_DATA!C181</f>
        <v>Research &amp; Development</v>
      </c>
      <c r="D181">
        <f>RAW_DATA!D181</f>
        <v>9</v>
      </c>
      <c r="E181">
        <f>RAW_DATA!E181</f>
        <v>2</v>
      </c>
      <c r="F181" t="str">
        <f>RAW_DATA!F181</f>
        <v>Life Sciences</v>
      </c>
      <c r="G181">
        <f>RAW_DATA!G181</f>
        <v>3</v>
      </c>
      <c r="H181">
        <f>RAW_DATA!H181</f>
        <v>4</v>
      </c>
      <c r="I181" t="str">
        <f>RAW_DATA!I181</f>
        <v>Single</v>
      </c>
      <c r="J181">
        <f>RAW_DATA!J181</f>
        <v>2288</v>
      </c>
      <c r="K181">
        <f>RAW_DATA!K181</f>
        <v>1</v>
      </c>
      <c r="L181">
        <f>RAW_DATA!L181</f>
        <v>3</v>
      </c>
      <c r="M181">
        <f>RAW_DATA!M181</f>
        <v>2</v>
      </c>
      <c r="N181">
        <f t="shared" si="4"/>
        <v>0</v>
      </c>
      <c r="O181" t="str">
        <f xml:space="preserve"> VLOOKUP(A181, Lookup_Tables!$G$2:$H$6,2,TRUE)</f>
        <v>35-44</v>
      </c>
      <c r="P181" t="str">
        <f>_xlfn.XLOOKUP(J181,Lookup_Tables!$J$2:$J$4,Lookup_Tables!$K$2:$K$4, " ",-1)</f>
        <v>Low</v>
      </c>
      <c r="Q181" t="str">
        <f xml:space="preserve"> _xlfn.XLOOKUP(M181, Lookup_Tables!$M$2:$M$5,Lookup_Tables!$N$2:$N$5," ", -1)</f>
        <v>Early (2-5)</v>
      </c>
      <c r="R181" s="4">
        <f t="shared" si="5"/>
        <v>3.3333333333333335</v>
      </c>
      <c r="S181" t="str">
        <f xml:space="preserve"> _xlfn.XLOOKUP( E181, Lookup_Tables!$A$2:$A$6,Lookup_Tables!$B$2:$B$6," ", -1)</f>
        <v>College</v>
      </c>
      <c r="T181" t="str">
        <f>_xlfn.XLOOKUP(G181,Lookup_Tables!$D$2:$D$5,Lookup_Tables!$E$2:$E$5)</f>
        <v>High</v>
      </c>
      <c r="U181" t="str">
        <f>_xlfn.XLOOKUP(H181,Lookup_Tables!$D$2:$D$5,Lookup_Tables!$E$2:$E$5)</f>
        <v>Very High</v>
      </c>
      <c r="V181" t="str">
        <f>_xlfn.XLOOKUP(L181,Lookup_Tables!$D$2:$D$5,Lookup_Tables!$E$2:$E$5)</f>
        <v>High</v>
      </c>
    </row>
    <row r="182" spans="1:22">
      <c r="A182">
        <f>RAW_DATA!A182</f>
        <v>31</v>
      </c>
      <c r="B182" t="str">
        <f>RAW_DATA!B182</f>
        <v>No</v>
      </c>
      <c r="C182" t="str">
        <f>RAW_DATA!C182</f>
        <v>Research &amp; Development</v>
      </c>
      <c r="D182">
        <f>RAW_DATA!D182</f>
        <v>12</v>
      </c>
      <c r="E182">
        <f>RAW_DATA!E182</f>
        <v>1</v>
      </c>
      <c r="F182" t="str">
        <f>RAW_DATA!F182</f>
        <v>Medical</v>
      </c>
      <c r="G182">
        <f>RAW_DATA!G182</f>
        <v>3</v>
      </c>
      <c r="H182">
        <f>RAW_DATA!H182</f>
        <v>4</v>
      </c>
      <c r="I182" t="str">
        <f>RAW_DATA!I182</f>
        <v>Married</v>
      </c>
      <c r="J182">
        <f>RAW_DATA!J182</f>
        <v>3929</v>
      </c>
      <c r="K182">
        <f>RAW_DATA!K182</f>
        <v>8</v>
      </c>
      <c r="L182">
        <f>RAW_DATA!L182</f>
        <v>3</v>
      </c>
      <c r="M182">
        <f>RAW_DATA!M182</f>
        <v>4</v>
      </c>
      <c r="N182">
        <f t="shared" si="4"/>
        <v>0</v>
      </c>
      <c r="O182" t="str">
        <f xml:space="preserve"> VLOOKUP(A182, Lookup_Tables!$G$2:$H$6,2,TRUE)</f>
        <v>25-34</v>
      </c>
      <c r="P182" t="str">
        <f>_xlfn.XLOOKUP(J182,Lookup_Tables!$J$2:$J$4,Lookup_Tables!$K$2:$K$4, " ",-1)</f>
        <v>Medium</v>
      </c>
      <c r="Q182" t="str">
        <f xml:space="preserve"> _xlfn.XLOOKUP(M182, Lookup_Tables!$M$2:$M$5,Lookup_Tables!$N$2:$N$5," ", -1)</f>
        <v>Early (2-5)</v>
      </c>
      <c r="R182" s="4">
        <f t="shared" si="5"/>
        <v>3.3333333333333335</v>
      </c>
      <c r="S182" t="str">
        <f xml:space="preserve"> _xlfn.XLOOKUP( E182, Lookup_Tables!$A$2:$A$6,Lookup_Tables!$B$2:$B$6," ", -1)</f>
        <v>Below College</v>
      </c>
      <c r="T182" t="str">
        <f>_xlfn.XLOOKUP(G182,Lookup_Tables!$D$2:$D$5,Lookup_Tables!$E$2:$E$5)</f>
        <v>High</v>
      </c>
      <c r="U182" t="str">
        <f>_xlfn.XLOOKUP(H182,Lookup_Tables!$D$2:$D$5,Lookup_Tables!$E$2:$E$5)</f>
        <v>Very High</v>
      </c>
      <c r="V182" t="str">
        <f>_xlfn.XLOOKUP(L182,Lookup_Tables!$D$2:$D$5,Lookup_Tables!$E$2:$E$5)</f>
        <v>High</v>
      </c>
    </row>
    <row r="183" spans="1:22">
      <c r="A183">
        <f>RAW_DATA!A183</f>
        <v>34</v>
      </c>
      <c r="B183" t="str">
        <f>RAW_DATA!B183</f>
        <v>No</v>
      </c>
      <c r="C183" t="str">
        <f>RAW_DATA!C183</f>
        <v>Research &amp; Development</v>
      </c>
      <c r="D183">
        <f>RAW_DATA!D183</f>
        <v>27</v>
      </c>
      <c r="E183">
        <f>RAW_DATA!E183</f>
        <v>2</v>
      </c>
      <c r="F183" t="str">
        <f>RAW_DATA!F183</f>
        <v>Medical</v>
      </c>
      <c r="G183">
        <f>RAW_DATA!G183</f>
        <v>4</v>
      </c>
      <c r="H183">
        <f>RAW_DATA!H183</f>
        <v>2</v>
      </c>
      <c r="I183" t="str">
        <f>RAW_DATA!I183</f>
        <v>Single</v>
      </c>
      <c r="J183">
        <f>RAW_DATA!J183</f>
        <v>2311</v>
      </c>
      <c r="K183">
        <f>RAW_DATA!K183</f>
        <v>2</v>
      </c>
      <c r="L183">
        <f>RAW_DATA!L183</f>
        <v>3</v>
      </c>
      <c r="M183">
        <f>RAW_DATA!M183</f>
        <v>3</v>
      </c>
      <c r="N183">
        <f t="shared" si="4"/>
        <v>0</v>
      </c>
      <c r="O183" t="str">
        <f xml:space="preserve"> VLOOKUP(A183, Lookup_Tables!$G$2:$H$6,2,TRUE)</f>
        <v>25-34</v>
      </c>
      <c r="P183" t="str">
        <f>_xlfn.XLOOKUP(J183,Lookup_Tables!$J$2:$J$4,Lookup_Tables!$K$2:$K$4, " ",-1)</f>
        <v>Low</v>
      </c>
      <c r="Q183" t="str">
        <f xml:space="preserve"> _xlfn.XLOOKUP(M183, Lookup_Tables!$M$2:$M$5,Lookup_Tables!$N$2:$N$5," ", -1)</f>
        <v>Early (2-5)</v>
      </c>
      <c r="R183" s="4">
        <f t="shared" si="5"/>
        <v>3</v>
      </c>
      <c r="S183" t="str">
        <f xml:space="preserve"> _xlfn.XLOOKUP( E183, Lookup_Tables!$A$2:$A$6,Lookup_Tables!$B$2:$B$6," ", -1)</f>
        <v>College</v>
      </c>
      <c r="T183" t="str">
        <f>_xlfn.XLOOKUP(G183,Lookup_Tables!$D$2:$D$5,Lookup_Tables!$E$2:$E$5)</f>
        <v>Very High</v>
      </c>
      <c r="U183" t="str">
        <f>_xlfn.XLOOKUP(H183,Lookup_Tables!$D$2:$D$5,Lookup_Tables!$E$2:$E$5)</f>
        <v>Medium</v>
      </c>
      <c r="V183" t="str">
        <f>_xlfn.XLOOKUP(L183,Lookup_Tables!$D$2:$D$5,Lookup_Tables!$E$2:$E$5)</f>
        <v>High</v>
      </c>
    </row>
    <row r="184" spans="1:22">
      <c r="A184">
        <f>RAW_DATA!A184</f>
        <v>41</v>
      </c>
      <c r="B184" t="str">
        <f>RAW_DATA!B184</f>
        <v>Yes</v>
      </c>
      <c r="C184" t="str">
        <f>RAW_DATA!C184</f>
        <v>Sales</v>
      </c>
      <c r="D184">
        <f>RAW_DATA!D184</f>
        <v>20</v>
      </c>
      <c r="E184">
        <f>RAW_DATA!E184</f>
        <v>2</v>
      </c>
      <c r="F184" t="str">
        <f>RAW_DATA!F184</f>
        <v>Marketing</v>
      </c>
      <c r="G184">
        <f>RAW_DATA!G184</f>
        <v>2</v>
      </c>
      <c r="H184">
        <f>RAW_DATA!H184</f>
        <v>2</v>
      </c>
      <c r="I184" t="str">
        <f>RAW_DATA!I184</f>
        <v>Single</v>
      </c>
      <c r="J184">
        <f>RAW_DATA!J184</f>
        <v>3140</v>
      </c>
      <c r="K184">
        <f>RAW_DATA!K184</f>
        <v>1</v>
      </c>
      <c r="L184">
        <f>RAW_DATA!L184</f>
        <v>2</v>
      </c>
      <c r="M184">
        <f>RAW_DATA!M184</f>
        <v>4</v>
      </c>
      <c r="N184">
        <f t="shared" si="4"/>
        <v>1</v>
      </c>
      <c r="O184" t="str">
        <f xml:space="preserve"> VLOOKUP(A184, Lookup_Tables!$G$2:$H$6,2,TRUE)</f>
        <v>35-44</v>
      </c>
      <c r="P184" t="str">
        <f>_xlfn.XLOOKUP(J184,Lookup_Tables!$J$2:$J$4,Lookup_Tables!$K$2:$K$4, " ",-1)</f>
        <v>Medium</v>
      </c>
      <c r="Q184" t="str">
        <f xml:space="preserve"> _xlfn.XLOOKUP(M184, Lookup_Tables!$M$2:$M$5,Lookup_Tables!$N$2:$N$5," ", -1)</f>
        <v>Early (2-5)</v>
      </c>
      <c r="R184" s="4">
        <f t="shared" si="5"/>
        <v>2</v>
      </c>
      <c r="S184" t="str">
        <f xml:space="preserve"> _xlfn.XLOOKUP( E184, Lookup_Tables!$A$2:$A$6,Lookup_Tables!$B$2:$B$6," ", -1)</f>
        <v>College</v>
      </c>
      <c r="T184" t="str">
        <f>_xlfn.XLOOKUP(G184,Lookup_Tables!$D$2:$D$5,Lookup_Tables!$E$2:$E$5)</f>
        <v>Medium</v>
      </c>
      <c r="U184" t="str">
        <f>_xlfn.XLOOKUP(H184,Lookup_Tables!$D$2:$D$5,Lookup_Tables!$E$2:$E$5)</f>
        <v>Medium</v>
      </c>
      <c r="V184" t="str">
        <f>_xlfn.XLOOKUP(L184,Lookup_Tables!$D$2:$D$5,Lookup_Tables!$E$2:$E$5)</f>
        <v>Medium</v>
      </c>
    </row>
    <row r="185" spans="1:22">
      <c r="A185">
        <f>RAW_DATA!A185</f>
        <v>50</v>
      </c>
      <c r="B185" t="str">
        <f>RAW_DATA!B185</f>
        <v>No</v>
      </c>
      <c r="C185" t="str">
        <f>RAW_DATA!C185</f>
        <v>Research &amp; Development</v>
      </c>
      <c r="D185">
        <f>RAW_DATA!D185</f>
        <v>1</v>
      </c>
      <c r="E185">
        <f>RAW_DATA!E185</f>
        <v>3</v>
      </c>
      <c r="F185" t="str">
        <f>RAW_DATA!F185</f>
        <v>Medical</v>
      </c>
      <c r="G185">
        <f>RAW_DATA!G185</f>
        <v>3</v>
      </c>
      <c r="H185">
        <f>RAW_DATA!H185</f>
        <v>3</v>
      </c>
      <c r="I185" t="str">
        <f>RAW_DATA!I185</f>
        <v>Married</v>
      </c>
      <c r="J185">
        <f>RAW_DATA!J185</f>
        <v>3690</v>
      </c>
      <c r="K185">
        <f>RAW_DATA!K185</f>
        <v>2</v>
      </c>
      <c r="L185">
        <f>RAW_DATA!L185</f>
        <v>2</v>
      </c>
      <c r="M185">
        <f>RAW_DATA!M185</f>
        <v>3</v>
      </c>
      <c r="N185">
        <f t="shared" si="4"/>
        <v>0</v>
      </c>
      <c r="O185" t="str">
        <f xml:space="preserve"> VLOOKUP(A185, Lookup_Tables!$G$2:$H$6,2,TRUE)</f>
        <v>45-54</v>
      </c>
      <c r="P185" t="str">
        <f>_xlfn.XLOOKUP(J185,Lookup_Tables!$J$2:$J$4,Lookup_Tables!$K$2:$K$4, " ",-1)</f>
        <v>Medium</v>
      </c>
      <c r="Q185" t="str">
        <f xml:space="preserve"> _xlfn.XLOOKUP(M185, Lookup_Tables!$M$2:$M$5,Lookup_Tables!$N$2:$N$5," ", -1)</f>
        <v>Early (2-5)</v>
      </c>
      <c r="R185" s="4">
        <f t="shared" si="5"/>
        <v>2.6666666666666665</v>
      </c>
      <c r="S185" t="str">
        <f xml:space="preserve"> _xlfn.XLOOKUP( E185, Lookup_Tables!$A$2:$A$6,Lookup_Tables!$B$2:$B$6," ", -1)</f>
        <v>Bachelor</v>
      </c>
      <c r="T185" t="str">
        <f>_xlfn.XLOOKUP(G185,Lookup_Tables!$D$2:$D$5,Lookup_Tables!$E$2:$E$5)</f>
        <v>High</v>
      </c>
      <c r="U185" t="str">
        <f>_xlfn.XLOOKUP(H185,Lookup_Tables!$D$2:$D$5,Lookup_Tables!$E$2:$E$5)</f>
        <v>High</v>
      </c>
      <c r="V185" t="str">
        <f>_xlfn.XLOOKUP(L185,Lookup_Tables!$D$2:$D$5,Lookup_Tables!$E$2:$E$5)</f>
        <v>Medium</v>
      </c>
    </row>
    <row r="186" spans="1:22">
      <c r="A186">
        <f>RAW_DATA!A186</f>
        <v>53</v>
      </c>
      <c r="B186" t="str">
        <f>RAW_DATA!B186</f>
        <v>No</v>
      </c>
      <c r="C186" t="str">
        <f>RAW_DATA!C186</f>
        <v>Research &amp; Development</v>
      </c>
      <c r="D186">
        <f>RAW_DATA!D186</f>
        <v>13</v>
      </c>
      <c r="E186">
        <f>RAW_DATA!E186</f>
        <v>2</v>
      </c>
      <c r="F186" t="str">
        <f>RAW_DATA!F186</f>
        <v>Medical</v>
      </c>
      <c r="G186">
        <f>RAW_DATA!G186</f>
        <v>4</v>
      </c>
      <c r="H186">
        <f>RAW_DATA!H186</f>
        <v>1</v>
      </c>
      <c r="I186" t="str">
        <f>RAW_DATA!I186</f>
        <v>Divorced</v>
      </c>
      <c r="J186">
        <f>RAW_DATA!J186</f>
        <v>4450</v>
      </c>
      <c r="K186">
        <f>RAW_DATA!K186</f>
        <v>1</v>
      </c>
      <c r="L186">
        <f>RAW_DATA!L186</f>
        <v>3</v>
      </c>
      <c r="M186">
        <f>RAW_DATA!M186</f>
        <v>4</v>
      </c>
      <c r="N186">
        <f t="shared" si="4"/>
        <v>0</v>
      </c>
      <c r="O186" t="str">
        <f xml:space="preserve"> VLOOKUP(A186, Lookup_Tables!$G$2:$H$6,2,TRUE)</f>
        <v>45-54</v>
      </c>
      <c r="P186" t="str">
        <f>_xlfn.XLOOKUP(J186,Lookup_Tables!$J$2:$J$4,Lookup_Tables!$K$2:$K$4, " ",-1)</f>
        <v>Medium</v>
      </c>
      <c r="Q186" t="str">
        <f xml:space="preserve"> _xlfn.XLOOKUP(M186, Lookup_Tables!$M$2:$M$5,Lookup_Tables!$N$2:$N$5," ", -1)</f>
        <v>Early (2-5)</v>
      </c>
      <c r="R186" s="4">
        <f t="shared" si="5"/>
        <v>2.6666666666666665</v>
      </c>
      <c r="S186" t="str">
        <f xml:space="preserve"> _xlfn.XLOOKUP( E186, Lookup_Tables!$A$2:$A$6,Lookup_Tables!$B$2:$B$6," ", -1)</f>
        <v>College</v>
      </c>
      <c r="T186" t="str">
        <f>_xlfn.XLOOKUP(G186,Lookup_Tables!$D$2:$D$5,Lookup_Tables!$E$2:$E$5)</f>
        <v>Very High</v>
      </c>
      <c r="U186" t="str">
        <f>_xlfn.XLOOKUP(H186,Lookup_Tables!$D$2:$D$5,Lookup_Tables!$E$2:$E$5)</f>
        <v>Low</v>
      </c>
      <c r="V186" t="str">
        <f>_xlfn.XLOOKUP(L186,Lookup_Tables!$D$2:$D$5,Lookup_Tables!$E$2:$E$5)</f>
        <v>High</v>
      </c>
    </row>
    <row r="187" spans="1:22">
      <c r="A187">
        <f>RAW_DATA!A187</f>
        <v>33</v>
      </c>
      <c r="B187" t="str">
        <f>RAW_DATA!B187</f>
        <v>No</v>
      </c>
      <c r="C187" t="str">
        <f>RAW_DATA!C187</f>
        <v>Research &amp; Development</v>
      </c>
      <c r="D187">
        <f>RAW_DATA!D187</f>
        <v>14</v>
      </c>
      <c r="E187">
        <f>RAW_DATA!E187</f>
        <v>3</v>
      </c>
      <c r="F187" t="str">
        <f>RAW_DATA!F187</f>
        <v>Medical</v>
      </c>
      <c r="G187">
        <f>RAW_DATA!G187</f>
        <v>4</v>
      </c>
      <c r="H187">
        <f>RAW_DATA!H187</f>
        <v>2</v>
      </c>
      <c r="I187" t="str">
        <f>RAW_DATA!I187</f>
        <v>Married</v>
      </c>
      <c r="J187">
        <f>RAW_DATA!J187</f>
        <v>2756</v>
      </c>
      <c r="K187">
        <f>RAW_DATA!K187</f>
        <v>1</v>
      </c>
      <c r="L187">
        <f>RAW_DATA!L187</f>
        <v>3</v>
      </c>
      <c r="M187">
        <f>RAW_DATA!M187</f>
        <v>8</v>
      </c>
      <c r="N187">
        <f t="shared" si="4"/>
        <v>0</v>
      </c>
      <c r="O187" t="str">
        <f xml:space="preserve"> VLOOKUP(A187, Lookup_Tables!$G$2:$H$6,2,TRUE)</f>
        <v>25-34</v>
      </c>
      <c r="P187" t="str">
        <f>_xlfn.XLOOKUP(J187,Lookup_Tables!$J$2:$J$4,Lookup_Tables!$K$2:$K$4, " ",-1)</f>
        <v>Low</v>
      </c>
      <c r="Q187" t="str">
        <f xml:space="preserve"> _xlfn.XLOOKUP(M187, Lookup_Tables!$M$2:$M$5,Lookup_Tables!$N$2:$N$5," ", -1)</f>
        <v>Established (5-10)</v>
      </c>
      <c r="R187" s="4">
        <f t="shared" si="5"/>
        <v>3</v>
      </c>
      <c r="S187" t="str">
        <f xml:space="preserve"> _xlfn.XLOOKUP( E187, Lookup_Tables!$A$2:$A$6,Lookup_Tables!$B$2:$B$6," ", -1)</f>
        <v>Bachelor</v>
      </c>
      <c r="T187" t="str">
        <f>_xlfn.XLOOKUP(G187,Lookup_Tables!$D$2:$D$5,Lookup_Tables!$E$2:$E$5)</f>
        <v>Very High</v>
      </c>
      <c r="U187" t="str">
        <f>_xlfn.XLOOKUP(H187,Lookup_Tables!$D$2:$D$5,Lookup_Tables!$E$2:$E$5)</f>
        <v>Medium</v>
      </c>
      <c r="V187" t="str">
        <f>_xlfn.XLOOKUP(L187,Lookup_Tables!$D$2:$D$5,Lookup_Tables!$E$2:$E$5)</f>
        <v>High</v>
      </c>
    </row>
    <row r="188" spans="1:22">
      <c r="A188">
        <f>RAW_DATA!A188</f>
        <v>40</v>
      </c>
      <c r="B188" t="str">
        <f>RAW_DATA!B188</f>
        <v>No</v>
      </c>
      <c r="C188" t="str">
        <f>RAW_DATA!C188</f>
        <v>Research &amp; Development</v>
      </c>
      <c r="D188">
        <f>RAW_DATA!D188</f>
        <v>4</v>
      </c>
      <c r="E188">
        <f>RAW_DATA!E188</f>
        <v>1</v>
      </c>
      <c r="F188" t="str">
        <f>RAW_DATA!F188</f>
        <v>Medical</v>
      </c>
      <c r="G188">
        <f>RAW_DATA!G188</f>
        <v>4</v>
      </c>
      <c r="H188">
        <f>RAW_DATA!H188</f>
        <v>3</v>
      </c>
      <c r="I188" t="str">
        <f>RAW_DATA!I188</f>
        <v>Married</v>
      </c>
      <c r="J188">
        <f>RAW_DATA!J188</f>
        <v>19033</v>
      </c>
      <c r="K188">
        <f>RAW_DATA!K188</f>
        <v>1</v>
      </c>
      <c r="L188">
        <f>RAW_DATA!L188</f>
        <v>3</v>
      </c>
      <c r="M188">
        <f>RAW_DATA!M188</f>
        <v>20</v>
      </c>
      <c r="N188">
        <f t="shared" si="4"/>
        <v>0</v>
      </c>
      <c r="O188" t="str">
        <f xml:space="preserve"> VLOOKUP(A188, Lookup_Tables!$G$2:$H$6,2,TRUE)</f>
        <v>35-44</v>
      </c>
      <c r="P188" t="str">
        <f>_xlfn.XLOOKUP(J188,Lookup_Tables!$J$2:$J$4,Lookup_Tables!$K$2:$K$4, " ",-1)</f>
        <v>High</v>
      </c>
      <c r="Q188" t="str">
        <f xml:space="preserve"> _xlfn.XLOOKUP(M188, Lookup_Tables!$M$2:$M$5,Lookup_Tables!$N$2:$N$5," ", -1)</f>
        <v>Veteran (10+)</v>
      </c>
      <c r="R188" s="4">
        <f t="shared" si="5"/>
        <v>3.3333333333333335</v>
      </c>
      <c r="S188" t="str">
        <f xml:space="preserve"> _xlfn.XLOOKUP( E188, Lookup_Tables!$A$2:$A$6,Lookup_Tables!$B$2:$B$6," ", -1)</f>
        <v>Below College</v>
      </c>
      <c r="T188" t="str">
        <f>_xlfn.XLOOKUP(G188,Lookup_Tables!$D$2:$D$5,Lookup_Tables!$E$2:$E$5)</f>
        <v>Very High</v>
      </c>
      <c r="U188" t="str">
        <f>_xlfn.XLOOKUP(H188,Lookup_Tables!$D$2:$D$5,Lookup_Tables!$E$2:$E$5)</f>
        <v>High</v>
      </c>
      <c r="V188" t="str">
        <f>_xlfn.XLOOKUP(L188,Lookup_Tables!$D$2:$D$5,Lookup_Tables!$E$2:$E$5)</f>
        <v>High</v>
      </c>
    </row>
    <row r="189" spans="1:22">
      <c r="A189">
        <f>RAW_DATA!A189</f>
        <v>55</v>
      </c>
      <c r="B189" t="str">
        <f>RAW_DATA!B189</f>
        <v>No</v>
      </c>
      <c r="C189" t="str">
        <f>RAW_DATA!C189</f>
        <v>Research &amp; Development</v>
      </c>
      <c r="D189">
        <f>RAW_DATA!D189</f>
        <v>14</v>
      </c>
      <c r="E189">
        <f>RAW_DATA!E189</f>
        <v>4</v>
      </c>
      <c r="F189" t="str">
        <f>RAW_DATA!F189</f>
        <v>Medical</v>
      </c>
      <c r="G189">
        <f>RAW_DATA!G189</f>
        <v>3</v>
      </c>
      <c r="H189">
        <f>RAW_DATA!H189</f>
        <v>2</v>
      </c>
      <c r="I189" t="str">
        <f>RAW_DATA!I189</f>
        <v>Single</v>
      </c>
      <c r="J189">
        <f>RAW_DATA!J189</f>
        <v>18722</v>
      </c>
      <c r="K189">
        <f>RAW_DATA!K189</f>
        <v>8</v>
      </c>
      <c r="L189">
        <f>RAW_DATA!L189</f>
        <v>3</v>
      </c>
      <c r="M189">
        <f>RAW_DATA!M189</f>
        <v>24</v>
      </c>
      <c r="N189">
        <f t="shared" si="4"/>
        <v>0</v>
      </c>
      <c r="O189" t="str">
        <f xml:space="preserve"> VLOOKUP(A189, Lookup_Tables!$G$2:$H$6,2,TRUE)</f>
        <v>55+</v>
      </c>
      <c r="P189" t="str">
        <f>_xlfn.XLOOKUP(J189,Lookup_Tables!$J$2:$J$4,Lookup_Tables!$K$2:$K$4, " ",-1)</f>
        <v>High</v>
      </c>
      <c r="Q189" t="str">
        <f xml:space="preserve"> _xlfn.XLOOKUP(M189, Lookup_Tables!$M$2:$M$5,Lookup_Tables!$N$2:$N$5," ", -1)</f>
        <v>Veteran (10+)</v>
      </c>
      <c r="R189" s="4">
        <f t="shared" si="5"/>
        <v>2.6666666666666665</v>
      </c>
      <c r="S189" t="str">
        <f xml:space="preserve"> _xlfn.XLOOKUP( E189, Lookup_Tables!$A$2:$A$6,Lookup_Tables!$B$2:$B$6," ", -1)</f>
        <v>Master</v>
      </c>
      <c r="T189" t="str">
        <f>_xlfn.XLOOKUP(G189,Lookup_Tables!$D$2:$D$5,Lookup_Tables!$E$2:$E$5)</f>
        <v>High</v>
      </c>
      <c r="U189" t="str">
        <f>_xlfn.XLOOKUP(H189,Lookup_Tables!$D$2:$D$5,Lookup_Tables!$E$2:$E$5)</f>
        <v>Medium</v>
      </c>
      <c r="V189" t="str">
        <f>_xlfn.XLOOKUP(L189,Lookup_Tables!$D$2:$D$5,Lookup_Tables!$E$2:$E$5)</f>
        <v>High</v>
      </c>
    </row>
    <row r="190" spans="1:22">
      <c r="A190">
        <f>RAW_DATA!A190</f>
        <v>34</v>
      </c>
      <c r="B190" t="str">
        <f>RAW_DATA!B190</f>
        <v>No</v>
      </c>
      <c r="C190" t="str">
        <f>RAW_DATA!C190</f>
        <v>Research &amp; Development</v>
      </c>
      <c r="D190">
        <f>RAW_DATA!D190</f>
        <v>2</v>
      </c>
      <c r="E190">
        <f>RAW_DATA!E190</f>
        <v>1</v>
      </c>
      <c r="F190" t="str">
        <f>RAW_DATA!F190</f>
        <v>Life Sciences</v>
      </c>
      <c r="G190">
        <f>RAW_DATA!G190</f>
        <v>4</v>
      </c>
      <c r="H190">
        <f>RAW_DATA!H190</f>
        <v>3</v>
      </c>
      <c r="I190" t="str">
        <f>RAW_DATA!I190</f>
        <v>Married</v>
      </c>
      <c r="J190">
        <f>RAW_DATA!J190</f>
        <v>9547</v>
      </c>
      <c r="K190">
        <f>RAW_DATA!K190</f>
        <v>1</v>
      </c>
      <c r="L190">
        <f>RAW_DATA!L190</f>
        <v>2</v>
      </c>
      <c r="M190">
        <f>RAW_DATA!M190</f>
        <v>10</v>
      </c>
      <c r="N190">
        <f t="shared" si="4"/>
        <v>0</v>
      </c>
      <c r="O190" t="str">
        <f xml:space="preserve"> VLOOKUP(A190, Lookup_Tables!$G$2:$H$6,2,TRUE)</f>
        <v>25-34</v>
      </c>
      <c r="P190" t="str">
        <f>_xlfn.XLOOKUP(J190,Lookup_Tables!$J$2:$J$4,Lookup_Tables!$K$2:$K$4, " ",-1)</f>
        <v>High</v>
      </c>
      <c r="Q190" t="str">
        <f xml:space="preserve"> _xlfn.XLOOKUP(M190, Lookup_Tables!$M$2:$M$5,Lookup_Tables!$N$2:$N$5," ", -1)</f>
        <v>Veteran (10+)</v>
      </c>
      <c r="R190" s="4">
        <f t="shared" si="5"/>
        <v>3</v>
      </c>
      <c r="S190" t="str">
        <f xml:space="preserve"> _xlfn.XLOOKUP( E190, Lookup_Tables!$A$2:$A$6,Lookup_Tables!$B$2:$B$6," ", -1)</f>
        <v>Below College</v>
      </c>
      <c r="T190" t="str">
        <f>_xlfn.XLOOKUP(G190,Lookup_Tables!$D$2:$D$5,Lookup_Tables!$E$2:$E$5)</f>
        <v>Very High</v>
      </c>
      <c r="U190" t="str">
        <f>_xlfn.XLOOKUP(H190,Lookup_Tables!$D$2:$D$5,Lookup_Tables!$E$2:$E$5)</f>
        <v>High</v>
      </c>
      <c r="V190" t="str">
        <f>_xlfn.XLOOKUP(L190,Lookup_Tables!$D$2:$D$5,Lookup_Tables!$E$2:$E$5)</f>
        <v>Medium</v>
      </c>
    </row>
    <row r="191" spans="1:22">
      <c r="A191">
        <f>RAW_DATA!A191</f>
        <v>51</v>
      </c>
      <c r="B191" t="str">
        <f>RAW_DATA!B191</f>
        <v>No</v>
      </c>
      <c r="C191" t="str">
        <f>RAW_DATA!C191</f>
        <v>Research &amp; Development</v>
      </c>
      <c r="D191">
        <f>RAW_DATA!D191</f>
        <v>3</v>
      </c>
      <c r="E191">
        <f>RAW_DATA!E191</f>
        <v>3</v>
      </c>
      <c r="F191" t="str">
        <f>RAW_DATA!F191</f>
        <v>Medical</v>
      </c>
      <c r="G191">
        <f>RAW_DATA!G191</f>
        <v>4</v>
      </c>
      <c r="H191">
        <f>RAW_DATA!H191</f>
        <v>2</v>
      </c>
      <c r="I191" t="str">
        <f>RAW_DATA!I191</f>
        <v>Single</v>
      </c>
      <c r="J191">
        <f>RAW_DATA!J191</f>
        <v>13734</v>
      </c>
      <c r="K191">
        <f>RAW_DATA!K191</f>
        <v>3</v>
      </c>
      <c r="L191">
        <f>RAW_DATA!L191</f>
        <v>3</v>
      </c>
      <c r="M191">
        <f>RAW_DATA!M191</f>
        <v>7</v>
      </c>
      <c r="N191">
        <f t="shared" si="4"/>
        <v>0</v>
      </c>
      <c r="O191" t="str">
        <f xml:space="preserve"> VLOOKUP(A191, Lookup_Tables!$G$2:$H$6,2,TRUE)</f>
        <v>45-54</v>
      </c>
      <c r="P191" t="str">
        <f>_xlfn.XLOOKUP(J191,Lookup_Tables!$J$2:$J$4,Lookup_Tables!$K$2:$K$4, " ",-1)</f>
        <v>High</v>
      </c>
      <c r="Q191" t="str">
        <f xml:space="preserve"> _xlfn.XLOOKUP(M191, Lookup_Tables!$M$2:$M$5,Lookup_Tables!$N$2:$N$5," ", -1)</f>
        <v>Established (5-10)</v>
      </c>
      <c r="R191" s="4">
        <f t="shared" si="5"/>
        <v>3</v>
      </c>
      <c r="S191" t="str">
        <f xml:space="preserve"> _xlfn.XLOOKUP( E191, Lookup_Tables!$A$2:$A$6,Lookup_Tables!$B$2:$B$6," ", -1)</f>
        <v>Bachelor</v>
      </c>
      <c r="T191" t="str">
        <f>_xlfn.XLOOKUP(G191,Lookup_Tables!$D$2:$D$5,Lookup_Tables!$E$2:$E$5)</f>
        <v>Very High</v>
      </c>
      <c r="U191" t="str">
        <f>_xlfn.XLOOKUP(H191,Lookup_Tables!$D$2:$D$5,Lookup_Tables!$E$2:$E$5)</f>
        <v>Medium</v>
      </c>
      <c r="V191" t="str">
        <f>_xlfn.XLOOKUP(L191,Lookup_Tables!$D$2:$D$5,Lookup_Tables!$E$2:$E$5)</f>
        <v>High</v>
      </c>
    </row>
    <row r="192" spans="1:22">
      <c r="A192">
        <f>RAW_DATA!A192</f>
        <v>52</v>
      </c>
      <c r="B192" t="str">
        <f>RAW_DATA!B192</f>
        <v>No</v>
      </c>
      <c r="C192" t="str">
        <f>RAW_DATA!C192</f>
        <v>Research &amp; Development</v>
      </c>
      <c r="D192">
        <f>RAW_DATA!D192</f>
        <v>1</v>
      </c>
      <c r="E192">
        <f>RAW_DATA!E192</f>
        <v>4</v>
      </c>
      <c r="F192" t="str">
        <f>RAW_DATA!F192</f>
        <v>Life Sciences</v>
      </c>
      <c r="G192">
        <f>RAW_DATA!G192</f>
        <v>3</v>
      </c>
      <c r="H192">
        <f>RAW_DATA!H192</f>
        <v>3</v>
      </c>
      <c r="I192" t="str">
        <f>RAW_DATA!I192</f>
        <v>Married</v>
      </c>
      <c r="J192">
        <f>RAW_DATA!J192</f>
        <v>19999</v>
      </c>
      <c r="K192">
        <f>RAW_DATA!K192</f>
        <v>0</v>
      </c>
      <c r="L192">
        <f>RAW_DATA!L192</f>
        <v>3</v>
      </c>
      <c r="M192">
        <f>RAW_DATA!M192</f>
        <v>33</v>
      </c>
      <c r="N192">
        <f t="shared" si="4"/>
        <v>0</v>
      </c>
      <c r="O192" t="str">
        <f xml:space="preserve"> VLOOKUP(A192, Lookup_Tables!$G$2:$H$6,2,TRUE)</f>
        <v>45-54</v>
      </c>
      <c r="P192" t="str">
        <f>_xlfn.XLOOKUP(J192,Lookup_Tables!$J$2:$J$4,Lookup_Tables!$K$2:$K$4, " ",-1)</f>
        <v>High</v>
      </c>
      <c r="Q192" t="str">
        <f xml:space="preserve"> _xlfn.XLOOKUP(M192, Lookup_Tables!$M$2:$M$5,Lookup_Tables!$N$2:$N$5," ", -1)</f>
        <v>Veteran (10+)</v>
      </c>
      <c r="R192" s="4">
        <f t="shared" si="5"/>
        <v>3</v>
      </c>
      <c r="S192" t="str">
        <f xml:space="preserve"> _xlfn.XLOOKUP( E192, Lookup_Tables!$A$2:$A$6,Lookup_Tables!$B$2:$B$6," ", -1)</f>
        <v>Master</v>
      </c>
      <c r="T192" t="str">
        <f>_xlfn.XLOOKUP(G192,Lookup_Tables!$D$2:$D$5,Lookup_Tables!$E$2:$E$5)</f>
        <v>High</v>
      </c>
      <c r="U192" t="str">
        <f>_xlfn.XLOOKUP(H192,Lookup_Tables!$D$2:$D$5,Lookup_Tables!$E$2:$E$5)</f>
        <v>High</v>
      </c>
      <c r="V192" t="str">
        <f>_xlfn.XLOOKUP(L192,Lookup_Tables!$D$2:$D$5,Lookup_Tables!$E$2:$E$5)</f>
        <v>High</v>
      </c>
    </row>
    <row r="193" spans="1:22">
      <c r="A193">
        <f>RAW_DATA!A193</f>
        <v>27</v>
      </c>
      <c r="B193" t="str">
        <f>RAW_DATA!B193</f>
        <v>No</v>
      </c>
      <c r="C193" t="str">
        <f>RAW_DATA!C193</f>
        <v>Research &amp; Development</v>
      </c>
      <c r="D193">
        <f>RAW_DATA!D193</f>
        <v>9</v>
      </c>
      <c r="E193">
        <f>RAW_DATA!E193</f>
        <v>3</v>
      </c>
      <c r="F193" t="str">
        <f>RAW_DATA!F193</f>
        <v>Medical</v>
      </c>
      <c r="G193">
        <f>RAW_DATA!G193</f>
        <v>4</v>
      </c>
      <c r="H193">
        <f>RAW_DATA!H193</f>
        <v>2</v>
      </c>
      <c r="I193" t="str">
        <f>RAW_DATA!I193</f>
        <v>Single</v>
      </c>
      <c r="J193">
        <f>RAW_DATA!J193</f>
        <v>2279</v>
      </c>
      <c r="K193">
        <f>RAW_DATA!K193</f>
        <v>1</v>
      </c>
      <c r="L193">
        <f>RAW_DATA!L193</f>
        <v>2</v>
      </c>
      <c r="M193">
        <f>RAW_DATA!M193</f>
        <v>7</v>
      </c>
      <c r="N193">
        <f t="shared" si="4"/>
        <v>0</v>
      </c>
      <c r="O193" t="str">
        <f xml:space="preserve"> VLOOKUP(A193, Lookup_Tables!$G$2:$H$6,2,TRUE)</f>
        <v>25-34</v>
      </c>
      <c r="P193" t="str">
        <f>_xlfn.XLOOKUP(J193,Lookup_Tables!$J$2:$J$4,Lookup_Tables!$K$2:$K$4, " ",-1)</f>
        <v>Low</v>
      </c>
      <c r="Q193" t="str">
        <f xml:space="preserve"> _xlfn.XLOOKUP(M193, Lookup_Tables!$M$2:$M$5,Lookup_Tables!$N$2:$N$5," ", -1)</f>
        <v>Established (5-10)</v>
      </c>
      <c r="R193" s="4">
        <f t="shared" si="5"/>
        <v>2.6666666666666665</v>
      </c>
      <c r="S193" t="str">
        <f xml:space="preserve"> _xlfn.XLOOKUP( E193, Lookup_Tables!$A$2:$A$6,Lookup_Tables!$B$2:$B$6," ", -1)</f>
        <v>Bachelor</v>
      </c>
      <c r="T193" t="str">
        <f>_xlfn.XLOOKUP(G193,Lookup_Tables!$D$2:$D$5,Lookup_Tables!$E$2:$E$5)</f>
        <v>Very High</v>
      </c>
      <c r="U193" t="str">
        <f>_xlfn.XLOOKUP(H193,Lookup_Tables!$D$2:$D$5,Lookup_Tables!$E$2:$E$5)</f>
        <v>Medium</v>
      </c>
      <c r="V193" t="str">
        <f>_xlfn.XLOOKUP(L193,Lookup_Tables!$D$2:$D$5,Lookup_Tables!$E$2:$E$5)</f>
        <v>Medium</v>
      </c>
    </row>
    <row r="194" spans="1:22">
      <c r="A194">
        <f>RAW_DATA!A194</f>
        <v>35</v>
      </c>
      <c r="B194" t="str">
        <f>RAW_DATA!B194</f>
        <v>Yes</v>
      </c>
      <c r="C194" t="str">
        <f>RAW_DATA!C194</f>
        <v>Research &amp; Development</v>
      </c>
      <c r="D194">
        <f>RAW_DATA!D194</f>
        <v>23</v>
      </c>
      <c r="E194">
        <f>RAW_DATA!E194</f>
        <v>2</v>
      </c>
      <c r="F194" t="str">
        <f>RAW_DATA!F194</f>
        <v>Life Sciences</v>
      </c>
      <c r="G194">
        <f>RAW_DATA!G194</f>
        <v>2</v>
      </c>
      <c r="H194">
        <f>RAW_DATA!H194</f>
        <v>3</v>
      </c>
      <c r="I194" t="str">
        <f>RAW_DATA!I194</f>
        <v>Married</v>
      </c>
      <c r="J194">
        <f>RAW_DATA!J194</f>
        <v>5916</v>
      </c>
      <c r="K194">
        <f>RAW_DATA!K194</f>
        <v>3</v>
      </c>
      <c r="L194">
        <f>RAW_DATA!L194</f>
        <v>3</v>
      </c>
      <c r="M194">
        <f>RAW_DATA!M194</f>
        <v>1</v>
      </c>
      <c r="N194">
        <f t="shared" si="4"/>
        <v>1</v>
      </c>
      <c r="O194" t="str">
        <f xml:space="preserve"> VLOOKUP(A194, Lookup_Tables!$G$2:$H$6,2,TRUE)</f>
        <v>35-44</v>
      </c>
      <c r="P194" t="str">
        <f>_xlfn.XLOOKUP(J194,Lookup_Tables!$J$2:$J$4,Lookup_Tables!$K$2:$K$4, " ",-1)</f>
        <v>Medium</v>
      </c>
      <c r="Q194" t="str">
        <f xml:space="preserve"> _xlfn.XLOOKUP(M194, Lookup_Tables!$M$2:$M$5,Lookup_Tables!$N$2:$N$5," ", -1)</f>
        <v>New (0-2)</v>
      </c>
      <c r="R194" s="4">
        <f t="shared" si="5"/>
        <v>2.6666666666666665</v>
      </c>
      <c r="S194" t="str">
        <f xml:space="preserve"> _xlfn.XLOOKUP( E194, Lookup_Tables!$A$2:$A$6,Lookup_Tables!$B$2:$B$6," ", -1)</f>
        <v>College</v>
      </c>
      <c r="T194" t="str">
        <f>_xlfn.XLOOKUP(G194,Lookup_Tables!$D$2:$D$5,Lookup_Tables!$E$2:$E$5)</f>
        <v>Medium</v>
      </c>
      <c r="U194" t="str">
        <f>_xlfn.XLOOKUP(H194,Lookup_Tables!$D$2:$D$5,Lookup_Tables!$E$2:$E$5)</f>
        <v>High</v>
      </c>
      <c r="V194" t="str">
        <f>_xlfn.XLOOKUP(L194,Lookup_Tables!$D$2:$D$5,Lookup_Tables!$E$2:$E$5)</f>
        <v>High</v>
      </c>
    </row>
    <row r="195" spans="1:22">
      <c r="A195">
        <f>RAW_DATA!A195</f>
        <v>43</v>
      </c>
      <c r="B195" t="str">
        <f>RAW_DATA!B195</f>
        <v>No</v>
      </c>
      <c r="C195" t="str">
        <f>RAW_DATA!C195</f>
        <v>Research &amp; Development</v>
      </c>
      <c r="D195">
        <f>RAW_DATA!D195</f>
        <v>7</v>
      </c>
      <c r="E195">
        <f>RAW_DATA!E195</f>
        <v>3</v>
      </c>
      <c r="F195" t="str">
        <f>RAW_DATA!F195</f>
        <v>Medical</v>
      </c>
      <c r="G195">
        <f>RAW_DATA!G195</f>
        <v>4</v>
      </c>
      <c r="H195">
        <f>RAW_DATA!H195</f>
        <v>4</v>
      </c>
      <c r="I195" t="str">
        <f>RAW_DATA!I195</f>
        <v>Divorced</v>
      </c>
      <c r="J195">
        <f>RAW_DATA!J195</f>
        <v>2089</v>
      </c>
      <c r="K195">
        <f>RAW_DATA!K195</f>
        <v>4</v>
      </c>
      <c r="L195">
        <f>RAW_DATA!L195</f>
        <v>4</v>
      </c>
      <c r="M195">
        <f>RAW_DATA!M195</f>
        <v>5</v>
      </c>
      <c r="N195">
        <f t="shared" ref="N195:N258" si="6" xml:space="preserve"> IF(B195 ="Yes",1,0)</f>
        <v>0</v>
      </c>
      <c r="O195" t="str">
        <f xml:space="preserve"> VLOOKUP(A195, Lookup_Tables!$G$2:$H$6,2,TRUE)</f>
        <v>35-44</v>
      </c>
      <c r="P195" t="str">
        <f>_xlfn.XLOOKUP(J195,Lookup_Tables!$J$2:$J$4,Lookup_Tables!$K$2:$K$4, " ",-1)</f>
        <v>Low</v>
      </c>
      <c r="Q195" t="str">
        <f xml:space="preserve"> _xlfn.XLOOKUP(M195, Lookup_Tables!$M$2:$M$5,Lookup_Tables!$N$2:$N$5," ", -1)</f>
        <v>Established (5-10)</v>
      </c>
      <c r="R195" s="4">
        <f t="shared" ref="R195:R258" si="7">AVERAGE(G195,H195,L195)</f>
        <v>4</v>
      </c>
      <c r="S195" t="str">
        <f xml:space="preserve"> _xlfn.XLOOKUP( E195, Lookup_Tables!$A$2:$A$6,Lookup_Tables!$B$2:$B$6," ", -1)</f>
        <v>Bachelor</v>
      </c>
      <c r="T195" t="str">
        <f>_xlfn.XLOOKUP(G195,Lookup_Tables!$D$2:$D$5,Lookup_Tables!$E$2:$E$5)</f>
        <v>Very High</v>
      </c>
      <c r="U195" t="str">
        <f>_xlfn.XLOOKUP(H195,Lookup_Tables!$D$2:$D$5,Lookup_Tables!$E$2:$E$5)</f>
        <v>Very High</v>
      </c>
      <c r="V195" t="str">
        <f>_xlfn.XLOOKUP(L195,Lookup_Tables!$D$2:$D$5,Lookup_Tables!$E$2:$E$5)</f>
        <v>Very High</v>
      </c>
    </row>
    <row r="196" spans="1:22">
      <c r="A196">
        <f>RAW_DATA!A196</f>
        <v>45</v>
      </c>
      <c r="B196" t="str">
        <f>RAW_DATA!B196</f>
        <v>No</v>
      </c>
      <c r="C196" t="str">
        <f>RAW_DATA!C196</f>
        <v>Research &amp; Development</v>
      </c>
      <c r="D196">
        <f>RAW_DATA!D196</f>
        <v>2</v>
      </c>
      <c r="E196">
        <f>RAW_DATA!E196</f>
        <v>2</v>
      </c>
      <c r="F196" t="str">
        <f>RAW_DATA!F196</f>
        <v>Medical</v>
      </c>
      <c r="G196">
        <f>RAW_DATA!G196</f>
        <v>1</v>
      </c>
      <c r="H196">
        <f>RAW_DATA!H196</f>
        <v>4</v>
      </c>
      <c r="I196" t="str">
        <f>RAW_DATA!I196</f>
        <v>Married</v>
      </c>
      <c r="J196">
        <f>RAW_DATA!J196</f>
        <v>16792</v>
      </c>
      <c r="K196">
        <f>RAW_DATA!K196</f>
        <v>9</v>
      </c>
      <c r="L196">
        <f>RAW_DATA!L196</f>
        <v>3</v>
      </c>
      <c r="M196">
        <f>RAW_DATA!M196</f>
        <v>20</v>
      </c>
      <c r="N196">
        <f t="shared" si="6"/>
        <v>0</v>
      </c>
      <c r="O196" t="str">
        <f xml:space="preserve"> VLOOKUP(A196, Lookup_Tables!$G$2:$H$6,2,TRUE)</f>
        <v>45-54</v>
      </c>
      <c r="P196" t="str">
        <f>_xlfn.XLOOKUP(J196,Lookup_Tables!$J$2:$J$4,Lookup_Tables!$K$2:$K$4, " ",-1)</f>
        <v>High</v>
      </c>
      <c r="Q196" t="str">
        <f xml:space="preserve"> _xlfn.XLOOKUP(M196, Lookup_Tables!$M$2:$M$5,Lookup_Tables!$N$2:$N$5," ", -1)</f>
        <v>Veteran (10+)</v>
      </c>
      <c r="R196" s="4">
        <f t="shared" si="7"/>
        <v>2.6666666666666665</v>
      </c>
      <c r="S196" t="str">
        <f xml:space="preserve"> _xlfn.XLOOKUP( E196, Lookup_Tables!$A$2:$A$6,Lookup_Tables!$B$2:$B$6," ", -1)</f>
        <v>College</v>
      </c>
      <c r="T196" t="str">
        <f>_xlfn.XLOOKUP(G196,Lookup_Tables!$D$2:$D$5,Lookup_Tables!$E$2:$E$5)</f>
        <v>Low</v>
      </c>
      <c r="U196" t="str">
        <f>_xlfn.XLOOKUP(H196,Lookup_Tables!$D$2:$D$5,Lookup_Tables!$E$2:$E$5)</f>
        <v>Very High</v>
      </c>
      <c r="V196" t="str">
        <f>_xlfn.XLOOKUP(L196,Lookup_Tables!$D$2:$D$5,Lookup_Tables!$E$2:$E$5)</f>
        <v>High</v>
      </c>
    </row>
    <row r="197" spans="1:22">
      <c r="A197">
        <f>RAW_DATA!A197</f>
        <v>37</v>
      </c>
      <c r="B197" t="str">
        <f>RAW_DATA!B197</f>
        <v>No</v>
      </c>
      <c r="C197" t="str">
        <f>RAW_DATA!C197</f>
        <v>Research &amp; Development</v>
      </c>
      <c r="D197">
        <f>RAW_DATA!D197</f>
        <v>21</v>
      </c>
      <c r="E197">
        <f>RAW_DATA!E197</f>
        <v>3</v>
      </c>
      <c r="F197" t="str">
        <f>RAW_DATA!F197</f>
        <v>Life Sciences</v>
      </c>
      <c r="G197">
        <f>RAW_DATA!G197</f>
        <v>2</v>
      </c>
      <c r="H197">
        <f>RAW_DATA!H197</f>
        <v>1</v>
      </c>
      <c r="I197" t="str">
        <f>RAW_DATA!I197</f>
        <v>Married</v>
      </c>
      <c r="J197">
        <f>RAW_DATA!J197</f>
        <v>3564</v>
      </c>
      <c r="K197">
        <f>RAW_DATA!K197</f>
        <v>1</v>
      </c>
      <c r="L197">
        <f>RAW_DATA!L197</f>
        <v>2</v>
      </c>
      <c r="M197">
        <f>RAW_DATA!M197</f>
        <v>8</v>
      </c>
      <c r="N197">
        <f t="shared" si="6"/>
        <v>0</v>
      </c>
      <c r="O197" t="str">
        <f xml:space="preserve"> VLOOKUP(A197, Lookup_Tables!$G$2:$H$6,2,TRUE)</f>
        <v>35-44</v>
      </c>
      <c r="P197" t="str">
        <f>_xlfn.XLOOKUP(J197,Lookup_Tables!$J$2:$J$4,Lookup_Tables!$K$2:$K$4, " ",-1)</f>
        <v>Medium</v>
      </c>
      <c r="Q197" t="str">
        <f xml:space="preserve"> _xlfn.XLOOKUP(M197, Lookup_Tables!$M$2:$M$5,Lookup_Tables!$N$2:$N$5," ", -1)</f>
        <v>Established (5-10)</v>
      </c>
      <c r="R197" s="4">
        <f t="shared" si="7"/>
        <v>1.6666666666666667</v>
      </c>
      <c r="S197" t="str">
        <f xml:space="preserve"> _xlfn.XLOOKUP( E197, Lookup_Tables!$A$2:$A$6,Lookup_Tables!$B$2:$B$6," ", -1)</f>
        <v>Bachelor</v>
      </c>
      <c r="T197" t="str">
        <f>_xlfn.XLOOKUP(G197,Lookup_Tables!$D$2:$D$5,Lookup_Tables!$E$2:$E$5)</f>
        <v>Medium</v>
      </c>
      <c r="U197" t="str">
        <f>_xlfn.XLOOKUP(H197,Lookup_Tables!$D$2:$D$5,Lookup_Tables!$E$2:$E$5)</f>
        <v>Low</v>
      </c>
      <c r="V197" t="str">
        <f>_xlfn.XLOOKUP(L197,Lookup_Tables!$D$2:$D$5,Lookup_Tables!$E$2:$E$5)</f>
        <v>Medium</v>
      </c>
    </row>
    <row r="198" spans="1:22">
      <c r="A198">
        <f>RAW_DATA!A198</f>
        <v>35</v>
      </c>
      <c r="B198" t="str">
        <f>RAW_DATA!B198</f>
        <v>No</v>
      </c>
      <c r="C198" t="str">
        <f>RAW_DATA!C198</f>
        <v>Research &amp; Development</v>
      </c>
      <c r="D198">
        <f>RAW_DATA!D198</f>
        <v>2</v>
      </c>
      <c r="E198">
        <f>RAW_DATA!E198</f>
        <v>3</v>
      </c>
      <c r="F198" t="str">
        <f>RAW_DATA!F198</f>
        <v>Medical</v>
      </c>
      <c r="G198">
        <f>RAW_DATA!G198</f>
        <v>2</v>
      </c>
      <c r="H198">
        <f>RAW_DATA!H198</f>
        <v>2</v>
      </c>
      <c r="I198" t="str">
        <f>RAW_DATA!I198</f>
        <v>Single</v>
      </c>
      <c r="J198">
        <f>RAW_DATA!J198</f>
        <v>4425</v>
      </c>
      <c r="K198">
        <f>RAW_DATA!K198</f>
        <v>5</v>
      </c>
      <c r="L198">
        <f>RAW_DATA!L198</f>
        <v>3</v>
      </c>
      <c r="M198">
        <f>RAW_DATA!M198</f>
        <v>6</v>
      </c>
      <c r="N198">
        <f t="shared" si="6"/>
        <v>0</v>
      </c>
      <c r="O198" t="str">
        <f xml:space="preserve"> VLOOKUP(A198, Lookup_Tables!$G$2:$H$6,2,TRUE)</f>
        <v>35-44</v>
      </c>
      <c r="P198" t="str">
        <f>_xlfn.XLOOKUP(J198,Lookup_Tables!$J$2:$J$4,Lookup_Tables!$K$2:$K$4, " ",-1)</f>
        <v>Medium</v>
      </c>
      <c r="Q198" t="str">
        <f xml:space="preserve"> _xlfn.XLOOKUP(M198, Lookup_Tables!$M$2:$M$5,Lookup_Tables!$N$2:$N$5," ", -1)</f>
        <v>Established (5-10)</v>
      </c>
      <c r="R198" s="4">
        <f t="shared" si="7"/>
        <v>2.3333333333333335</v>
      </c>
      <c r="S198" t="str">
        <f xml:space="preserve"> _xlfn.XLOOKUP( E198, Lookup_Tables!$A$2:$A$6,Lookup_Tables!$B$2:$B$6," ", -1)</f>
        <v>Bachelor</v>
      </c>
      <c r="T198" t="str">
        <f>_xlfn.XLOOKUP(G198,Lookup_Tables!$D$2:$D$5,Lookup_Tables!$E$2:$E$5)</f>
        <v>Medium</v>
      </c>
      <c r="U198" t="str">
        <f>_xlfn.XLOOKUP(H198,Lookup_Tables!$D$2:$D$5,Lookup_Tables!$E$2:$E$5)</f>
        <v>Medium</v>
      </c>
      <c r="V198" t="str">
        <f>_xlfn.XLOOKUP(L198,Lookup_Tables!$D$2:$D$5,Lookup_Tables!$E$2:$E$5)</f>
        <v>High</v>
      </c>
    </row>
    <row r="199" spans="1:22">
      <c r="A199">
        <f>RAW_DATA!A199</f>
        <v>42</v>
      </c>
      <c r="B199" t="str">
        <f>RAW_DATA!B199</f>
        <v>No</v>
      </c>
      <c r="C199" t="str">
        <f>RAW_DATA!C199</f>
        <v>Research &amp; Development</v>
      </c>
      <c r="D199">
        <f>RAW_DATA!D199</f>
        <v>21</v>
      </c>
      <c r="E199">
        <f>RAW_DATA!E199</f>
        <v>2</v>
      </c>
      <c r="F199" t="str">
        <f>RAW_DATA!F199</f>
        <v>Medical</v>
      </c>
      <c r="G199">
        <f>RAW_DATA!G199</f>
        <v>3</v>
      </c>
      <c r="H199">
        <f>RAW_DATA!H199</f>
        <v>3</v>
      </c>
      <c r="I199" t="str">
        <f>RAW_DATA!I199</f>
        <v>Divorced</v>
      </c>
      <c r="J199">
        <f>RAW_DATA!J199</f>
        <v>5265</v>
      </c>
      <c r="K199">
        <f>RAW_DATA!K199</f>
        <v>2</v>
      </c>
      <c r="L199">
        <f>RAW_DATA!L199</f>
        <v>3</v>
      </c>
      <c r="M199">
        <f>RAW_DATA!M199</f>
        <v>5</v>
      </c>
      <c r="N199">
        <f t="shared" si="6"/>
        <v>0</v>
      </c>
      <c r="O199" t="str">
        <f xml:space="preserve"> VLOOKUP(A199, Lookup_Tables!$G$2:$H$6,2,TRUE)</f>
        <v>35-44</v>
      </c>
      <c r="P199" t="str">
        <f>_xlfn.XLOOKUP(J199,Lookup_Tables!$J$2:$J$4,Lookup_Tables!$K$2:$K$4, " ",-1)</f>
        <v>Medium</v>
      </c>
      <c r="Q199" t="str">
        <f xml:space="preserve"> _xlfn.XLOOKUP(M199, Lookup_Tables!$M$2:$M$5,Lookup_Tables!$N$2:$N$5," ", -1)</f>
        <v>Established (5-10)</v>
      </c>
      <c r="R199" s="4">
        <f t="shared" si="7"/>
        <v>3</v>
      </c>
      <c r="S199" t="str">
        <f xml:space="preserve"> _xlfn.XLOOKUP( E199, Lookup_Tables!$A$2:$A$6,Lookup_Tables!$B$2:$B$6," ", -1)</f>
        <v>College</v>
      </c>
      <c r="T199" t="str">
        <f>_xlfn.XLOOKUP(G199,Lookup_Tables!$D$2:$D$5,Lookup_Tables!$E$2:$E$5)</f>
        <v>High</v>
      </c>
      <c r="U199" t="str">
        <f>_xlfn.XLOOKUP(H199,Lookup_Tables!$D$2:$D$5,Lookup_Tables!$E$2:$E$5)</f>
        <v>High</v>
      </c>
      <c r="V199" t="str">
        <f>_xlfn.XLOOKUP(L199,Lookup_Tables!$D$2:$D$5,Lookup_Tables!$E$2:$E$5)</f>
        <v>High</v>
      </c>
    </row>
    <row r="200" spans="1:22">
      <c r="A200">
        <f>RAW_DATA!A200</f>
        <v>38</v>
      </c>
      <c r="B200" t="str">
        <f>RAW_DATA!B200</f>
        <v>No</v>
      </c>
      <c r="C200" t="str">
        <f>RAW_DATA!C200</f>
        <v>Research &amp; Development</v>
      </c>
      <c r="D200">
        <f>RAW_DATA!D200</f>
        <v>2</v>
      </c>
      <c r="E200">
        <f>RAW_DATA!E200</f>
        <v>4</v>
      </c>
      <c r="F200" t="str">
        <f>RAW_DATA!F200</f>
        <v>Life Sciences</v>
      </c>
      <c r="G200">
        <f>RAW_DATA!G200</f>
        <v>4</v>
      </c>
      <c r="H200">
        <f>RAW_DATA!H200</f>
        <v>3</v>
      </c>
      <c r="I200" t="str">
        <f>RAW_DATA!I200</f>
        <v>Married</v>
      </c>
      <c r="J200">
        <f>RAW_DATA!J200</f>
        <v>6553</v>
      </c>
      <c r="K200">
        <f>RAW_DATA!K200</f>
        <v>9</v>
      </c>
      <c r="L200">
        <f>RAW_DATA!L200</f>
        <v>3</v>
      </c>
      <c r="M200">
        <f>RAW_DATA!M200</f>
        <v>1</v>
      </c>
      <c r="N200">
        <f t="shared" si="6"/>
        <v>0</v>
      </c>
      <c r="O200" t="str">
        <f xml:space="preserve"> VLOOKUP(A200, Lookup_Tables!$G$2:$H$6,2,TRUE)</f>
        <v>35-44</v>
      </c>
      <c r="P200" t="str">
        <f>_xlfn.XLOOKUP(J200,Lookup_Tables!$J$2:$J$4,Lookup_Tables!$K$2:$K$4, " ",-1)</f>
        <v>Medium</v>
      </c>
      <c r="Q200" t="str">
        <f xml:space="preserve"> _xlfn.XLOOKUP(M200, Lookup_Tables!$M$2:$M$5,Lookup_Tables!$N$2:$N$5," ", -1)</f>
        <v>New (0-2)</v>
      </c>
      <c r="R200" s="4">
        <f t="shared" si="7"/>
        <v>3.3333333333333335</v>
      </c>
      <c r="S200" t="str">
        <f xml:space="preserve"> _xlfn.XLOOKUP( E200, Lookup_Tables!$A$2:$A$6,Lookup_Tables!$B$2:$B$6," ", -1)</f>
        <v>Master</v>
      </c>
      <c r="T200" t="str">
        <f>_xlfn.XLOOKUP(G200,Lookup_Tables!$D$2:$D$5,Lookup_Tables!$E$2:$E$5)</f>
        <v>Very High</v>
      </c>
      <c r="U200" t="str">
        <f>_xlfn.XLOOKUP(H200,Lookup_Tables!$D$2:$D$5,Lookup_Tables!$E$2:$E$5)</f>
        <v>High</v>
      </c>
      <c r="V200" t="str">
        <f>_xlfn.XLOOKUP(L200,Lookup_Tables!$D$2:$D$5,Lookup_Tables!$E$2:$E$5)</f>
        <v>High</v>
      </c>
    </row>
    <row r="201" spans="1:22">
      <c r="A201">
        <f>RAW_DATA!A201</f>
        <v>38</v>
      </c>
      <c r="B201" t="str">
        <f>RAW_DATA!B201</f>
        <v>No</v>
      </c>
      <c r="C201" t="str">
        <f>RAW_DATA!C201</f>
        <v>Research &amp; Development</v>
      </c>
      <c r="D201">
        <f>RAW_DATA!D201</f>
        <v>29</v>
      </c>
      <c r="E201">
        <f>RAW_DATA!E201</f>
        <v>3</v>
      </c>
      <c r="F201" t="str">
        <f>RAW_DATA!F201</f>
        <v>Technical Degree</v>
      </c>
      <c r="G201">
        <f>RAW_DATA!G201</f>
        <v>4</v>
      </c>
      <c r="H201">
        <f>RAW_DATA!H201</f>
        <v>4</v>
      </c>
      <c r="I201" t="str">
        <f>RAW_DATA!I201</f>
        <v>Married</v>
      </c>
      <c r="J201">
        <f>RAW_DATA!J201</f>
        <v>6261</v>
      </c>
      <c r="K201">
        <f>RAW_DATA!K201</f>
        <v>3</v>
      </c>
      <c r="L201">
        <f>RAW_DATA!L201</f>
        <v>1</v>
      </c>
      <c r="M201">
        <f>RAW_DATA!M201</f>
        <v>7</v>
      </c>
      <c r="N201">
        <f t="shared" si="6"/>
        <v>0</v>
      </c>
      <c r="O201" t="str">
        <f xml:space="preserve"> VLOOKUP(A201, Lookup_Tables!$G$2:$H$6,2,TRUE)</f>
        <v>35-44</v>
      </c>
      <c r="P201" t="str">
        <f>_xlfn.XLOOKUP(J201,Lookup_Tables!$J$2:$J$4,Lookup_Tables!$K$2:$K$4, " ",-1)</f>
        <v>Medium</v>
      </c>
      <c r="Q201" t="str">
        <f xml:space="preserve"> _xlfn.XLOOKUP(M201, Lookup_Tables!$M$2:$M$5,Lookup_Tables!$N$2:$N$5," ", -1)</f>
        <v>Established (5-10)</v>
      </c>
      <c r="R201" s="4">
        <f t="shared" si="7"/>
        <v>3</v>
      </c>
      <c r="S201" t="str">
        <f xml:space="preserve"> _xlfn.XLOOKUP( E201, Lookup_Tables!$A$2:$A$6,Lookup_Tables!$B$2:$B$6," ", -1)</f>
        <v>Bachelor</v>
      </c>
      <c r="T201" t="str">
        <f>_xlfn.XLOOKUP(G201,Lookup_Tables!$D$2:$D$5,Lookup_Tables!$E$2:$E$5)</f>
        <v>Very High</v>
      </c>
      <c r="U201" t="str">
        <f>_xlfn.XLOOKUP(H201,Lookup_Tables!$D$2:$D$5,Lookup_Tables!$E$2:$E$5)</f>
        <v>Very High</v>
      </c>
      <c r="V201" t="str">
        <f>_xlfn.XLOOKUP(L201,Lookup_Tables!$D$2:$D$5,Lookup_Tables!$E$2:$E$5)</f>
        <v>Low</v>
      </c>
    </row>
    <row r="202" spans="1:22">
      <c r="A202">
        <f>RAW_DATA!A202</f>
        <v>27</v>
      </c>
      <c r="B202" t="str">
        <f>RAW_DATA!B202</f>
        <v>No</v>
      </c>
      <c r="C202" t="str">
        <f>RAW_DATA!C202</f>
        <v>Research &amp; Development</v>
      </c>
      <c r="D202">
        <f>RAW_DATA!D202</f>
        <v>1</v>
      </c>
      <c r="E202">
        <f>RAW_DATA!E202</f>
        <v>1</v>
      </c>
      <c r="F202" t="str">
        <f>RAW_DATA!F202</f>
        <v>Technical Degree</v>
      </c>
      <c r="G202">
        <f>RAW_DATA!G202</f>
        <v>3</v>
      </c>
      <c r="H202">
        <f>RAW_DATA!H202</f>
        <v>1</v>
      </c>
      <c r="I202" t="str">
        <f>RAW_DATA!I202</f>
        <v>Married</v>
      </c>
      <c r="J202">
        <f>RAW_DATA!J202</f>
        <v>4298</v>
      </c>
      <c r="K202">
        <f>RAW_DATA!K202</f>
        <v>5</v>
      </c>
      <c r="L202">
        <f>RAW_DATA!L202</f>
        <v>3</v>
      </c>
      <c r="M202">
        <f>RAW_DATA!M202</f>
        <v>2</v>
      </c>
      <c r="N202">
        <f t="shared" si="6"/>
        <v>0</v>
      </c>
      <c r="O202" t="str">
        <f xml:space="preserve"> VLOOKUP(A202, Lookup_Tables!$G$2:$H$6,2,TRUE)</f>
        <v>25-34</v>
      </c>
      <c r="P202" t="str">
        <f>_xlfn.XLOOKUP(J202,Lookup_Tables!$J$2:$J$4,Lookup_Tables!$K$2:$K$4, " ",-1)</f>
        <v>Medium</v>
      </c>
      <c r="Q202" t="str">
        <f xml:space="preserve"> _xlfn.XLOOKUP(M202, Lookup_Tables!$M$2:$M$5,Lookup_Tables!$N$2:$N$5," ", -1)</f>
        <v>Early (2-5)</v>
      </c>
      <c r="R202" s="4">
        <f t="shared" si="7"/>
        <v>2.3333333333333335</v>
      </c>
      <c r="S202" t="str">
        <f xml:space="preserve"> _xlfn.XLOOKUP( E202, Lookup_Tables!$A$2:$A$6,Lookup_Tables!$B$2:$B$6," ", -1)</f>
        <v>Below College</v>
      </c>
      <c r="T202" t="str">
        <f>_xlfn.XLOOKUP(G202,Lookup_Tables!$D$2:$D$5,Lookup_Tables!$E$2:$E$5)</f>
        <v>High</v>
      </c>
      <c r="U202" t="str">
        <f>_xlfn.XLOOKUP(H202,Lookup_Tables!$D$2:$D$5,Lookup_Tables!$E$2:$E$5)</f>
        <v>Low</v>
      </c>
      <c r="V202" t="str">
        <f>_xlfn.XLOOKUP(L202,Lookup_Tables!$D$2:$D$5,Lookup_Tables!$E$2:$E$5)</f>
        <v>High</v>
      </c>
    </row>
    <row r="203" spans="1:22">
      <c r="A203">
        <f>RAW_DATA!A203</f>
        <v>49</v>
      </c>
      <c r="B203" t="str">
        <f>RAW_DATA!B203</f>
        <v>No</v>
      </c>
      <c r="C203" t="str">
        <f>RAW_DATA!C203</f>
        <v>Research &amp; Development</v>
      </c>
      <c r="D203">
        <f>RAW_DATA!D203</f>
        <v>18</v>
      </c>
      <c r="E203">
        <f>RAW_DATA!E203</f>
        <v>4</v>
      </c>
      <c r="F203" t="str">
        <f>RAW_DATA!F203</f>
        <v>Life Sciences</v>
      </c>
      <c r="G203">
        <f>RAW_DATA!G203</f>
        <v>4</v>
      </c>
      <c r="H203">
        <f>RAW_DATA!H203</f>
        <v>4</v>
      </c>
      <c r="I203" t="str">
        <f>RAW_DATA!I203</f>
        <v>Divorced</v>
      </c>
      <c r="J203">
        <f>RAW_DATA!J203</f>
        <v>6804</v>
      </c>
      <c r="K203">
        <f>RAW_DATA!K203</f>
        <v>1</v>
      </c>
      <c r="L203">
        <f>RAW_DATA!L203</f>
        <v>3</v>
      </c>
      <c r="M203">
        <f>RAW_DATA!M203</f>
        <v>7</v>
      </c>
      <c r="N203">
        <f t="shared" si="6"/>
        <v>0</v>
      </c>
      <c r="O203" t="str">
        <f xml:space="preserve"> VLOOKUP(A203, Lookup_Tables!$G$2:$H$6,2,TRUE)</f>
        <v>45-54</v>
      </c>
      <c r="P203" t="str">
        <f>_xlfn.XLOOKUP(J203,Lookup_Tables!$J$2:$J$4,Lookup_Tables!$K$2:$K$4, " ",-1)</f>
        <v>Medium</v>
      </c>
      <c r="Q203" t="str">
        <f xml:space="preserve"> _xlfn.XLOOKUP(M203, Lookup_Tables!$M$2:$M$5,Lookup_Tables!$N$2:$N$5," ", -1)</f>
        <v>Established (5-10)</v>
      </c>
      <c r="R203" s="4">
        <f t="shared" si="7"/>
        <v>3.6666666666666665</v>
      </c>
      <c r="S203" t="str">
        <f xml:space="preserve"> _xlfn.XLOOKUP( E203, Lookup_Tables!$A$2:$A$6,Lookup_Tables!$B$2:$B$6," ", -1)</f>
        <v>Master</v>
      </c>
      <c r="T203" t="str">
        <f>_xlfn.XLOOKUP(G203,Lookup_Tables!$D$2:$D$5,Lookup_Tables!$E$2:$E$5)</f>
        <v>Very High</v>
      </c>
      <c r="U203" t="str">
        <f>_xlfn.XLOOKUP(H203,Lookup_Tables!$D$2:$D$5,Lookup_Tables!$E$2:$E$5)</f>
        <v>Very High</v>
      </c>
      <c r="V203" t="str">
        <f>_xlfn.XLOOKUP(L203,Lookup_Tables!$D$2:$D$5,Lookup_Tables!$E$2:$E$5)</f>
        <v>High</v>
      </c>
    </row>
    <row r="204" spans="1:22">
      <c r="A204">
        <f>RAW_DATA!A204</f>
        <v>34</v>
      </c>
      <c r="B204" t="str">
        <f>RAW_DATA!B204</f>
        <v>No</v>
      </c>
      <c r="C204" t="str">
        <f>RAW_DATA!C204</f>
        <v>Research &amp; Development</v>
      </c>
      <c r="D204">
        <f>RAW_DATA!D204</f>
        <v>10</v>
      </c>
      <c r="E204">
        <f>RAW_DATA!E204</f>
        <v>4</v>
      </c>
      <c r="F204" t="str">
        <f>RAW_DATA!F204</f>
        <v>Medical</v>
      </c>
      <c r="G204">
        <f>RAW_DATA!G204</f>
        <v>4</v>
      </c>
      <c r="H204">
        <f>RAW_DATA!H204</f>
        <v>3</v>
      </c>
      <c r="I204" t="str">
        <f>RAW_DATA!I204</f>
        <v>Divorced</v>
      </c>
      <c r="J204">
        <f>RAW_DATA!J204</f>
        <v>3815</v>
      </c>
      <c r="K204">
        <f>RAW_DATA!K204</f>
        <v>1</v>
      </c>
      <c r="L204">
        <f>RAW_DATA!L204</f>
        <v>4</v>
      </c>
      <c r="M204">
        <f>RAW_DATA!M204</f>
        <v>5</v>
      </c>
      <c r="N204">
        <f t="shared" si="6"/>
        <v>0</v>
      </c>
      <c r="O204" t="str">
        <f xml:space="preserve"> VLOOKUP(A204, Lookup_Tables!$G$2:$H$6,2,TRUE)</f>
        <v>25-34</v>
      </c>
      <c r="P204" t="str">
        <f>_xlfn.XLOOKUP(J204,Lookup_Tables!$J$2:$J$4,Lookup_Tables!$K$2:$K$4, " ",-1)</f>
        <v>Medium</v>
      </c>
      <c r="Q204" t="str">
        <f xml:space="preserve"> _xlfn.XLOOKUP(M204, Lookup_Tables!$M$2:$M$5,Lookup_Tables!$N$2:$N$5," ", -1)</f>
        <v>Established (5-10)</v>
      </c>
      <c r="R204" s="4">
        <f t="shared" si="7"/>
        <v>3.6666666666666665</v>
      </c>
      <c r="S204" t="str">
        <f xml:space="preserve"> _xlfn.XLOOKUP( E204, Lookup_Tables!$A$2:$A$6,Lookup_Tables!$B$2:$B$6," ", -1)</f>
        <v>Master</v>
      </c>
      <c r="T204" t="str">
        <f>_xlfn.XLOOKUP(G204,Lookup_Tables!$D$2:$D$5,Lookup_Tables!$E$2:$E$5)</f>
        <v>Very High</v>
      </c>
      <c r="U204" t="str">
        <f>_xlfn.XLOOKUP(H204,Lookup_Tables!$D$2:$D$5,Lookup_Tables!$E$2:$E$5)</f>
        <v>High</v>
      </c>
      <c r="V204" t="str">
        <f>_xlfn.XLOOKUP(L204,Lookup_Tables!$D$2:$D$5,Lookup_Tables!$E$2:$E$5)</f>
        <v>Very High</v>
      </c>
    </row>
    <row r="205" spans="1:22">
      <c r="A205">
        <f>RAW_DATA!A205</f>
        <v>40</v>
      </c>
      <c r="B205" t="str">
        <f>RAW_DATA!B205</f>
        <v>No</v>
      </c>
      <c r="C205" t="str">
        <f>RAW_DATA!C205</f>
        <v>Research &amp; Development</v>
      </c>
      <c r="D205">
        <f>RAW_DATA!D205</f>
        <v>19</v>
      </c>
      <c r="E205">
        <f>RAW_DATA!E205</f>
        <v>2</v>
      </c>
      <c r="F205" t="str">
        <f>RAW_DATA!F205</f>
        <v>Medical</v>
      </c>
      <c r="G205">
        <f>RAW_DATA!G205</f>
        <v>3</v>
      </c>
      <c r="H205">
        <f>RAW_DATA!H205</f>
        <v>4</v>
      </c>
      <c r="I205" t="str">
        <f>RAW_DATA!I205</f>
        <v>Married</v>
      </c>
      <c r="J205">
        <f>RAW_DATA!J205</f>
        <v>2741</v>
      </c>
      <c r="K205">
        <f>RAW_DATA!K205</f>
        <v>8</v>
      </c>
      <c r="L205">
        <f>RAW_DATA!L205</f>
        <v>4</v>
      </c>
      <c r="M205">
        <f>RAW_DATA!M205</f>
        <v>7</v>
      </c>
      <c r="N205">
        <f t="shared" si="6"/>
        <v>0</v>
      </c>
      <c r="O205" t="str">
        <f xml:space="preserve"> VLOOKUP(A205, Lookup_Tables!$G$2:$H$6,2,TRUE)</f>
        <v>35-44</v>
      </c>
      <c r="P205" t="str">
        <f>_xlfn.XLOOKUP(J205,Lookup_Tables!$J$2:$J$4,Lookup_Tables!$K$2:$K$4, " ",-1)</f>
        <v>Low</v>
      </c>
      <c r="Q205" t="str">
        <f xml:space="preserve"> _xlfn.XLOOKUP(M205, Lookup_Tables!$M$2:$M$5,Lookup_Tables!$N$2:$N$5," ", -1)</f>
        <v>Established (5-10)</v>
      </c>
      <c r="R205" s="4">
        <f t="shared" si="7"/>
        <v>3.6666666666666665</v>
      </c>
      <c r="S205" t="str">
        <f xml:space="preserve"> _xlfn.XLOOKUP( E205, Lookup_Tables!$A$2:$A$6,Lookup_Tables!$B$2:$B$6," ", -1)</f>
        <v>College</v>
      </c>
      <c r="T205" t="str">
        <f>_xlfn.XLOOKUP(G205,Lookup_Tables!$D$2:$D$5,Lookup_Tables!$E$2:$E$5)</f>
        <v>High</v>
      </c>
      <c r="U205" t="str">
        <f>_xlfn.XLOOKUP(H205,Lookup_Tables!$D$2:$D$5,Lookup_Tables!$E$2:$E$5)</f>
        <v>Very High</v>
      </c>
      <c r="V205" t="str">
        <f>_xlfn.XLOOKUP(L205,Lookup_Tables!$D$2:$D$5,Lookup_Tables!$E$2:$E$5)</f>
        <v>Very High</v>
      </c>
    </row>
    <row r="206" spans="1:22">
      <c r="A206">
        <f>RAW_DATA!A206</f>
        <v>38</v>
      </c>
      <c r="B206" t="str">
        <f>RAW_DATA!B206</f>
        <v>Yes</v>
      </c>
      <c r="C206" t="str">
        <f>RAW_DATA!C206</f>
        <v>Research &amp; Development</v>
      </c>
      <c r="D206">
        <f>RAW_DATA!D206</f>
        <v>29</v>
      </c>
      <c r="E206">
        <f>RAW_DATA!E206</f>
        <v>1</v>
      </c>
      <c r="F206" t="str">
        <f>RAW_DATA!F206</f>
        <v>Medical</v>
      </c>
      <c r="G206">
        <f>RAW_DATA!G206</f>
        <v>2</v>
      </c>
      <c r="H206">
        <f>RAW_DATA!H206</f>
        <v>1</v>
      </c>
      <c r="I206" t="str">
        <f>RAW_DATA!I206</f>
        <v>Married</v>
      </c>
      <c r="J206">
        <f>RAW_DATA!J206</f>
        <v>6673</v>
      </c>
      <c r="K206">
        <f>RAW_DATA!K206</f>
        <v>7</v>
      </c>
      <c r="L206">
        <f>RAW_DATA!L206</f>
        <v>3</v>
      </c>
      <c r="M206">
        <f>RAW_DATA!M206</f>
        <v>1</v>
      </c>
      <c r="N206">
        <f t="shared" si="6"/>
        <v>1</v>
      </c>
      <c r="O206" t="str">
        <f xml:space="preserve"> VLOOKUP(A206, Lookup_Tables!$G$2:$H$6,2,TRUE)</f>
        <v>35-44</v>
      </c>
      <c r="P206" t="str">
        <f>_xlfn.XLOOKUP(J206,Lookup_Tables!$J$2:$J$4,Lookup_Tables!$K$2:$K$4, " ",-1)</f>
        <v>Medium</v>
      </c>
      <c r="Q206" t="str">
        <f xml:space="preserve"> _xlfn.XLOOKUP(M206, Lookup_Tables!$M$2:$M$5,Lookup_Tables!$N$2:$N$5," ", -1)</f>
        <v>New (0-2)</v>
      </c>
      <c r="R206" s="4">
        <f t="shared" si="7"/>
        <v>2</v>
      </c>
      <c r="S206" t="str">
        <f xml:space="preserve"> _xlfn.XLOOKUP( E206, Lookup_Tables!$A$2:$A$6,Lookup_Tables!$B$2:$B$6," ", -1)</f>
        <v>Below College</v>
      </c>
      <c r="T206" t="str">
        <f>_xlfn.XLOOKUP(G206,Lookup_Tables!$D$2:$D$5,Lookup_Tables!$E$2:$E$5)</f>
        <v>Medium</v>
      </c>
      <c r="U206" t="str">
        <f>_xlfn.XLOOKUP(H206,Lookup_Tables!$D$2:$D$5,Lookup_Tables!$E$2:$E$5)</f>
        <v>Low</v>
      </c>
      <c r="V206" t="str">
        <f>_xlfn.XLOOKUP(L206,Lookup_Tables!$D$2:$D$5,Lookup_Tables!$E$2:$E$5)</f>
        <v>High</v>
      </c>
    </row>
    <row r="207" spans="1:22">
      <c r="A207">
        <f>RAW_DATA!A207</f>
        <v>29</v>
      </c>
      <c r="B207" t="str">
        <f>RAW_DATA!B207</f>
        <v>Yes</v>
      </c>
      <c r="C207" t="str">
        <f>RAW_DATA!C207</f>
        <v>Sales</v>
      </c>
      <c r="D207">
        <f>RAW_DATA!D207</f>
        <v>27</v>
      </c>
      <c r="E207">
        <f>RAW_DATA!E207</f>
        <v>3</v>
      </c>
      <c r="F207" t="str">
        <f>RAW_DATA!F207</f>
        <v>Marketing</v>
      </c>
      <c r="G207">
        <f>RAW_DATA!G207</f>
        <v>2</v>
      </c>
      <c r="H207">
        <f>RAW_DATA!H207</f>
        <v>4</v>
      </c>
      <c r="I207" t="str">
        <f>RAW_DATA!I207</f>
        <v>Married</v>
      </c>
      <c r="J207">
        <f>RAW_DATA!J207</f>
        <v>7639</v>
      </c>
      <c r="K207">
        <f>RAW_DATA!K207</f>
        <v>1</v>
      </c>
      <c r="L207">
        <f>RAW_DATA!L207</f>
        <v>2</v>
      </c>
      <c r="M207">
        <f>RAW_DATA!M207</f>
        <v>10</v>
      </c>
      <c r="N207">
        <f t="shared" si="6"/>
        <v>1</v>
      </c>
      <c r="O207" t="str">
        <f xml:space="preserve"> VLOOKUP(A207, Lookup_Tables!$G$2:$H$6,2,TRUE)</f>
        <v>25-34</v>
      </c>
      <c r="P207" t="str">
        <f>_xlfn.XLOOKUP(J207,Lookup_Tables!$J$2:$J$4,Lookup_Tables!$K$2:$K$4, " ",-1)</f>
        <v>High</v>
      </c>
      <c r="Q207" t="str">
        <f xml:space="preserve"> _xlfn.XLOOKUP(M207, Lookup_Tables!$M$2:$M$5,Lookup_Tables!$N$2:$N$5," ", -1)</f>
        <v>Veteran (10+)</v>
      </c>
      <c r="R207" s="4">
        <f t="shared" si="7"/>
        <v>2.6666666666666665</v>
      </c>
      <c r="S207" t="str">
        <f xml:space="preserve"> _xlfn.XLOOKUP( E207, Lookup_Tables!$A$2:$A$6,Lookup_Tables!$B$2:$B$6," ", -1)</f>
        <v>Bachelor</v>
      </c>
      <c r="T207" t="str">
        <f>_xlfn.XLOOKUP(G207,Lookup_Tables!$D$2:$D$5,Lookup_Tables!$E$2:$E$5)</f>
        <v>Medium</v>
      </c>
      <c r="U207" t="str">
        <f>_xlfn.XLOOKUP(H207,Lookup_Tables!$D$2:$D$5,Lookup_Tables!$E$2:$E$5)</f>
        <v>Very High</v>
      </c>
      <c r="V207" t="str">
        <f>_xlfn.XLOOKUP(L207,Lookup_Tables!$D$2:$D$5,Lookup_Tables!$E$2:$E$5)</f>
        <v>Medium</v>
      </c>
    </row>
    <row r="208" spans="1:22">
      <c r="A208">
        <f>RAW_DATA!A208</f>
        <v>22</v>
      </c>
      <c r="B208" t="str">
        <f>RAW_DATA!B208</f>
        <v>No</v>
      </c>
      <c r="C208" t="str">
        <f>RAW_DATA!C208</f>
        <v>Research &amp; Development</v>
      </c>
      <c r="D208">
        <f>RAW_DATA!D208</f>
        <v>5</v>
      </c>
      <c r="E208">
        <f>RAW_DATA!E208</f>
        <v>3</v>
      </c>
      <c r="F208" t="str">
        <f>RAW_DATA!F208</f>
        <v>Life Sciences</v>
      </c>
      <c r="G208">
        <f>RAW_DATA!G208</f>
        <v>4</v>
      </c>
      <c r="H208">
        <f>RAW_DATA!H208</f>
        <v>2</v>
      </c>
      <c r="I208" t="str">
        <f>RAW_DATA!I208</f>
        <v>Divorced</v>
      </c>
      <c r="J208">
        <f>RAW_DATA!J208</f>
        <v>2328</v>
      </c>
      <c r="K208">
        <f>RAW_DATA!K208</f>
        <v>1</v>
      </c>
      <c r="L208">
        <f>RAW_DATA!L208</f>
        <v>2</v>
      </c>
      <c r="M208">
        <f>RAW_DATA!M208</f>
        <v>4</v>
      </c>
      <c r="N208">
        <f t="shared" si="6"/>
        <v>0</v>
      </c>
      <c r="O208" t="str">
        <f xml:space="preserve"> VLOOKUP(A208, Lookup_Tables!$G$2:$H$6,2,TRUE)</f>
        <v>&lt;25</v>
      </c>
      <c r="P208" t="str">
        <f>_xlfn.XLOOKUP(J208,Lookup_Tables!$J$2:$J$4,Lookup_Tables!$K$2:$K$4, " ",-1)</f>
        <v>Low</v>
      </c>
      <c r="Q208" t="str">
        <f xml:space="preserve"> _xlfn.XLOOKUP(M208, Lookup_Tables!$M$2:$M$5,Lookup_Tables!$N$2:$N$5," ", -1)</f>
        <v>Early (2-5)</v>
      </c>
      <c r="R208" s="4">
        <f t="shared" si="7"/>
        <v>2.6666666666666665</v>
      </c>
      <c r="S208" t="str">
        <f xml:space="preserve"> _xlfn.XLOOKUP( E208, Lookup_Tables!$A$2:$A$6,Lookup_Tables!$B$2:$B$6," ", -1)</f>
        <v>Bachelor</v>
      </c>
      <c r="T208" t="str">
        <f>_xlfn.XLOOKUP(G208,Lookup_Tables!$D$2:$D$5,Lookup_Tables!$E$2:$E$5)</f>
        <v>Very High</v>
      </c>
      <c r="U208" t="str">
        <f>_xlfn.XLOOKUP(H208,Lookup_Tables!$D$2:$D$5,Lookup_Tables!$E$2:$E$5)</f>
        <v>Medium</v>
      </c>
      <c r="V208" t="str">
        <f>_xlfn.XLOOKUP(L208,Lookup_Tables!$D$2:$D$5,Lookup_Tables!$E$2:$E$5)</f>
        <v>Medium</v>
      </c>
    </row>
    <row r="209" spans="1:22">
      <c r="A209">
        <f>RAW_DATA!A209</f>
        <v>36</v>
      </c>
      <c r="B209" t="str">
        <f>RAW_DATA!B209</f>
        <v>No</v>
      </c>
      <c r="C209" t="str">
        <f>RAW_DATA!C209</f>
        <v>Research &amp; Development</v>
      </c>
      <c r="D209">
        <f>RAW_DATA!D209</f>
        <v>18</v>
      </c>
      <c r="E209">
        <f>RAW_DATA!E209</f>
        <v>1</v>
      </c>
      <c r="F209" t="str">
        <f>RAW_DATA!F209</f>
        <v>Medical</v>
      </c>
      <c r="G209">
        <f>RAW_DATA!G209</f>
        <v>2</v>
      </c>
      <c r="H209">
        <f>RAW_DATA!H209</f>
        <v>4</v>
      </c>
      <c r="I209" t="str">
        <f>RAW_DATA!I209</f>
        <v>Single</v>
      </c>
      <c r="J209">
        <f>RAW_DATA!J209</f>
        <v>2153</v>
      </c>
      <c r="K209">
        <f>RAW_DATA!K209</f>
        <v>1</v>
      </c>
      <c r="L209">
        <f>RAW_DATA!L209</f>
        <v>3</v>
      </c>
      <c r="M209">
        <f>RAW_DATA!M209</f>
        <v>8</v>
      </c>
      <c r="N209">
        <f t="shared" si="6"/>
        <v>0</v>
      </c>
      <c r="O209" t="str">
        <f xml:space="preserve"> VLOOKUP(A209, Lookup_Tables!$G$2:$H$6,2,TRUE)</f>
        <v>35-44</v>
      </c>
      <c r="P209" t="str">
        <f>_xlfn.XLOOKUP(J209,Lookup_Tables!$J$2:$J$4,Lookup_Tables!$K$2:$K$4, " ",-1)</f>
        <v>Low</v>
      </c>
      <c r="Q209" t="str">
        <f xml:space="preserve"> _xlfn.XLOOKUP(M209, Lookup_Tables!$M$2:$M$5,Lookup_Tables!$N$2:$N$5," ", -1)</f>
        <v>Established (5-10)</v>
      </c>
      <c r="R209" s="4">
        <f t="shared" si="7"/>
        <v>3</v>
      </c>
      <c r="S209" t="str">
        <f xml:space="preserve"> _xlfn.XLOOKUP( E209, Lookup_Tables!$A$2:$A$6,Lookup_Tables!$B$2:$B$6," ", -1)</f>
        <v>Below College</v>
      </c>
      <c r="T209" t="str">
        <f>_xlfn.XLOOKUP(G209,Lookup_Tables!$D$2:$D$5,Lookup_Tables!$E$2:$E$5)</f>
        <v>Medium</v>
      </c>
      <c r="U209" t="str">
        <f>_xlfn.XLOOKUP(H209,Lookup_Tables!$D$2:$D$5,Lookup_Tables!$E$2:$E$5)</f>
        <v>Very High</v>
      </c>
      <c r="V209" t="str">
        <f>_xlfn.XLOOKUP(L209,Lookup_Tables!$D$2:$D$5,Lookup_Tables!$E$2:$E$5)</f>
        <v>High</v>
      </c>
    </row>
    <row r="210" spans="1:22">
      <c r="A210">
        <f>RAW_DATA!A210</f>
        <v>40</v>
      </c>
      <c r="B210" t="str">
        <f>RAW_DATA!B210</f>
        <v>No</v>
      </c>
      <c r="C210" t="str">
        <f>RAW_DATA!C210</f>
        <v>Research &amp; Development</v>
      </c>
      <c r="D210">
        <f>RAW_DATA!D210</f>
        <v>9</v>
      </c>
      <c r="E210">
        <f>RAW_DATA!E210</f>
        <v>5</v>
      </c>
      <c r="F210" t="str">
        <f>RAW_DATA!F210</f>
        <v>Life Sciences</v>
      </c>
      <c r="G210">
        <f>RAW_DATA!G210</f>
        <v>4</v>
      </c>
      <c r="H210">
        <f>RAW_DATA!H210</f>
        <v>4</v>
      </c>
      <c r="I210" t="str">
        <f>RAW_DATA!I210</f>
        <v>Married</v>
      </c>
      <c r="J210">
        <f>RAW_DATA!J210</f>
        <v>4876</v>
      </c>
      <c r="K210">
        <f>RAW_DATA!K210</f>
        <v>9</v>
      </c>
      <c r="L210">
        <f>RAW_DATA!L210</f>
        <v>1</v>
      </c>
      <c r="M210">
        <f>RAW_DATA!M210</f>
        <v>3</v>
      </c>
      <c r="N210">
        <f t="shared" si="6"/>
        <v>0</v>
      </c>
      <c r="O210" t="str">
        <f xml:space="preserve"> VLOOKUP(A210, Lookup_Tables!$G$2:$H$6,2,TRUE)</f>
        <v>35-44</v>
      </c>
      <c r="P210" t="str">
        <f>_xlfn.XLOOKUP(J210,Lookup_Tables!$J$2:$J$4,Lookup_Tables!$K$2:$K$4, " ",-1)</f>
        <v>Medium</v>
      </c>
      <c r="Q210" t="str">
        <f xml:space="preserve"> _xlfn.XLOOKUP(M210, Lookup_Tables!$M$2:$M$5,Lookup_Tables!$N$2:$N$5," ", -1)</f>
        <v>Early (2-5)</v>
      </c>
      <c r="R210" s="4">
        <f t="shared" si="7"/>
        <v>3</v>
      </c>
      <c r="S210" t="str">
        <f xml:space="preserve"> _xlfn.XLOOKUP( E210, Lookup_Tables!$A$2:$A$6,Lookup_Tables!$B$2:$B$6," ", -1)</f>
        <v>Doctor</v>
      </c>
      <c r="T210" t="str">
        <f>_xlfn.XLOOKUP(G210,Lookup_Tables!$D$2:$D$5,Lookup_Tables!$E$2:$E$5)</f>
        <v>Very High</v>
      </c>
      <c r="U210" t="str">
        <f>_xlfn.XLOOKUP(H210,Lookup_Tables!$D$2:$D$5,Lookup_Tables!$E$2:$E$5)</f>
        <v>Very High</v>
      </c>
      <c r="V210" t="str">
        <f>_xlfn.XLOOKUP(L210,Lookup_Tables!$D$2:$D$5,Lookup_Tables!$E$2:$E$5)</f>
        <v>Low</v>
      </c>
    </row>
    <row r="211" spans="1:22">
      <c r="A211">
        <f>RAW_DATA!A211</f>
        <v>46</v>
      </c>
      <c r="B211" t="str">
        <f>RAW_DATA!B211</f>
        <v>No</v>
      </c>
      <c r="C211" t="str">
        <f>RAW_DATA!C211</f>
        <v>Research &amp; Development</v>
      </c>
      <c r="D211">
        <f>RAW_DATA!D211</f>
        <v>1</v>
      </c>
      <c r="E211">
        <f>RAW_DATA!E211</f>
        <v>4</v>
      </c>
      <c r="F211" t="str">
        <f>RAW_DATA!F211</f>
        <v>Medical</v>
      </c>
      <c r="G211">
        <f>RAW_DATA!G211</f>
        <v>4</v>
      </c>
      <c r="H211">
        <f>RAW_DATA!H211</f>
        <v>1</v>
      </c>
      <c r="I211" t="str">
        <f>RAW_DATA!I211</f>
        <v>Divorced</v>
      </c>
      <c r="J211">
        <f>RAW_DATA!J211</f>
        <v>9396</v>
      </c>
      <c r="K211">
        <f>RAW_DATA!K211</f>
        <v>7</v>
      </c>
      <c r="L211">
        <f>RAW_DATA!L211</f>
        <v>3</v>
      </c>
      <c r="M211">
        <f>RAW_DATA!M211</f>
        <v>4</v>
      </c>
      <c r="N211">
        <f t="shared" si="6"/>
        <v>0</v>
      </c>
      <c r="O211" t="str">
        <f xml:space="preserve"> VLOOKUP(A211, Lookup_Tables!$G$2:$H$6,2,TRUE)</f>
        <v>45-54</v>
      </c>
      <c r="P211" t="str">
        <f>_xlfn.XLOOKUP(J211,Lookup_Tables!$J$2:$J$4,Lookup_Tables!$K$2:$K$4, " ",-1)</f>
        <v>High</v>
      </c>
      <c r="Q211" t="str">
        <f xml:space="preserve"> _xlfn.XLOOKUP(M211, Lookup_Tables!$M$2:$M$5,Lookup_Tables!$N$2:$N$5," ", -1)</f>
        <v>Early (2-5)</v>
      </c>
      <c r="R211" s="4">
        <f t="shared" si="7"/>
        <v>2.6666666666666665</v>
      </c>
      <c r="S211" t="str">
        <f xml:space="preserve"> _xlfn.XLOOKUP( E211, Lookup_Tables!$A$2:$A$6,Lookup_Tables!$B$2:$B$6," ", -1)</f>
        <v>Master</v>
      </c>
      <c r="T211" t="str">
        <f>_xlfn.XLOOKUP(G211,Lookup_Tables!$D$2:$D$5,Lookup_Tables!$E$2:$E$5)</f>
        <v>Very High</v>
      </c>
      <c r="U211" t="str">
        <f>_xlfn.XLOOKUP(H211,Lookup_Tables!$D$2:$D$5,Lookup_Tables!$E$2:$E$5)</f>
        <v>Low</v>
      </c>
      <c r="V211" t="str">
        <f>_xlfn.XLOOKUP(L211,Lookup_Tables!$D$2:$D$5,Lookup_Tables!$E$2:$E$5)</f>
        <v>High</v>
      </c>
    </row>
    <row r="212" spans="1:22">
      <c r="A212">
        <f>RAW_DATA!A212</f>
        <v>32</v>
      </c>
      <c r="B212" t="str">
        <f>RAW_DATA!B212</f>
        <v>Yes</v>
      </c>
      <c r="C212" t="str">
        <f>RAW_DATA!C212</f>
        <v>Sales</v>
      </c>
      <c r="D212">
        <f>RAW_DATA!D212</f>
        <v>4</v>
      </c>
      <c r="E212">
        <f>RAW_DATA!E212</f>
        <v>4</v>
      </c>
      <c r="F212" t="str">
        <f>RAW_DATA!F212</f>
        <v>Medical</v>
      </c>
      <c r="G212">
        <f>RAW_DATA!G212</f>
        <v>4</v>
      </c>
      <c r="H212">
        <f>RAW_DATA!H212</f>
        <v>4</v>
      </c>
      <c r="I212" t="str">
        <f>RAW_DATA!I212</f>
        <v>Married</v>
      </c>
      <c r="J212">
        <f>RAW_DATA!J212</f>
        <v>10400</v>
      </c>
      <c r="K212">
        <f>RAW_DATA!K212</f>
        <v>1</v>
      </c>
      <c r="L212">
        <f>RAW_DATA!L212</f>
        <v>2</v>
      </c>
      <c r="M212">
        <f>RAW_DATA!M212</f>
        <v>14</v>
      </c>
      <c r="N212">
        <f t="shared" si="6"/>
        <v>1</v>
      </c>
      <c r="O212" t="str">
        <f xml:space="preserve"> VLOOKUP(A212, Lookup_Tables!$G$2:$H$6,2,TRUE)</f>
        <v>25-34</v>
      </c>
      <c r="P212" t="str">
        <f>_xlfn.XLOOKUP(J212,Lookup_Tables!$J$2:$J$4,Lookup_Tables!$K$2:$K$4, " ",-1)</f>
        <v>High</v>
      </c>
      <c r="Q212" t="str">
        <f xml:space="preserve"> _xlfn.XLOOKUP(M212, Lookup_Tables!$M$2:$M$5,Lookup_Tables!$N$2:$N$5," ", -1)</f>
        <v>Veteran (10+)</v>
      </c>
      <c r="R212" s="4">
        <f t="shared" si="7"/>
        <v>3.3333333333333335</v>
      </c>
      <c r="S212" t="str">
        <f xml:space="preserve"> _xlfn.XLOOKUP( E212, Lookup_Tables!$A$2:$A$6,Lookup_Tables!$B$2:$B$6," ", -1)</f>
        <v>Master</v>
      </c>
      <c r="T212" t="str">
        <f>_xlfn.XLOOKUP(G212,Lookup_Tables!$D$2:$D$5,Lookup_Tables!$E$2:$E$5)</f>
        <v>Very High</v>
      </c>
      <c r="U212" t="str">
        <f>_xlfn.XLOOKUP(H212,Lookup_Tables!$D$2:$D$5,Lookup_Tables!$E$2:$E$5)</f>
        <v>Very High</v>
      </c>
      <c r="V212" t="str">
        <f>_xlfn.XLOOKUP(L212,Lookup_Tables!$D$2:$D$5,Lookup_Tables!$E$2:$E$5)</f>
        <v>Medium</v>
      </c>
    </row>
    <row r="213" spans="1:22">
      <c r="A213">
        <f>RAW_DATA!A213</f>
        <v>30</v>
      </c>
      <c r="B213" t="str">
        <f>RAW_DATA!B213</f>
        <v>No</v>
      </c>
      <c r="C213" t="str">
        <f>RAW_DATA!C213</f>
        <v>Research &amp; Development</v>
      </c>
      <c r="D213">
        <f>RAW_DATA!D213</f>
        <v>1</v>
      </c>
      <c r="E213">
        <f>RAW_DATA!E213</f>
        <v>1</v>
      </c>
      <c r="F213" t="str">
        <f>RAW_DATA!F213</f>
        <v>Life Sciences</v>
      </c>
      <c r="G213">
        <f>RAW_DATA!G213</f>
        <v>3</v>
      </c>
      <c r="H213">
        <f>RAW_DATA!H213</f>
        <v>3</v>
      </c>
      <c r="I213" t="str">
        <f>RAW_DATA!I213</f>
        <v>Single</v>
      </c>
      <c r="J213">
        <f>RAW_DATA!J213</f>
        <v>8474</v>
      </c>
      <c r="K213">
        <f>RAW_DATA!K213</f>
        <v>1</v>
      </c>
      <c r="L213">
        <f>RAW_DATA!L213</f>
        <v>3</v>
      </c>
      <c r="M213">
        <f>RAW_DATA!M213</f>
        <v>11</v>
      </c>
      <c r="N213">
        <f t="shared" si="6"/>
        <v>0</v>
      </c>
      <c r="O213" t="str">
        <f xml:space="preserve"> VLOOKUP(A213, Lookup_Tables!$G$2:$H$6,2,TRUE)</f>
        <v>25-34</v>
      </c>
      <c r="P213" t="str">
        <f>_xlfn.XLOOKUP(J213,Lookup_Tables!$J$2:$J$4,Lookup_Tables!$K$2:$K$4, " ",-1)</f>
        <v>High</v>
      </c>
      <c r="Q213" t="str">
        <f xml:space="preserve"> _xlfn.XLOOKUP(M213, Lookup_Tables!$M$2:$M$5,Lookup_Tables!$N$2:$N$5," ", -1)</f>
        <v>Veteran (10+)</v>
      </c>
      <c r="R213" s="4">
        <f t="shared" si="7"/>
        <v>3</v>
      </c>
      <c r="S213" t="str">
        <f xml:space="preserve"> _xlfn.XLOOKUP( E213, Lookup_Tables!$A$2:$A$6,Lookup_Tables!$B$2:$B$6," ", -1)</f>
        <v>Below College</v>
      </c>
      <c r="T213" t="str">
        <f>_xlfn.XLOOKUP(G213,Lookup_Tables!$D$2:$D$5,Lookup_Tables!$E$2:$E$5)</f>
        <v>High</v>
      </c>
      <c r="U213" t="str">
        <f>_xlfn.XLOOKUP(H213,Lookup_Tables!$D$2:$D$5,Lookup_Tables!$E$2:$E$5)</f>
        <v>High</v>
      </c>
      <c r="V213" t="str">
        <f>_xlfn.XLOOKUP(L213,Lookup_Tables!$D$2:$D$5,Lookup_Tables!$E$2:$E$5)</f>
        <v>High</v>
      </c>
    </row>
    <row r="214" spans="1:22">
      <c r="A214">
        <f>RAW_DATA!A214</f>
        <v>27</v>
      </c>
      <c r="B214" t="str">
        <f>RAW_DATA!B214</f>
        <v>No</v>
      </c>
      <c r="C214" t="str">
        <f>RAW_DATA!C214</f>
        <v>Sales</v>
      </c>
      <c r="D214">
        <f>RAW_DATA!D214</f>
        <v>20</v>
      </c>
      <c r="E214">
        <f>RAW_DATA!E214</f>
        <v>3</v>
      </c>
      <c r="F214" t="str">
        <f>RAW_DATA!F214</f>
        <v>Life Sciences</v>
      </c>
      <c r="G214">
        <f>RAW_DATA!G214</f>
        <v>4</v>
      </c>
      <c r="H214">
        <f>RAW_DATA!H214</f>
        <v>3</v>
      </c>
      <c r="I214" t="str">
        <f>RAW_DATA!I214</f>
        <v>Single</v>
      </c>
      <c r="J214">
        <f>RAW_DATA!J214</f>
        <v>9981</v>
      </c>
      <c r="K214">
        <f>RAW_DATA!K214</f>
        <v>1</v>
      </c>
      <c r="L214">
        <f>RAW_DATA!L214</f>
        <v>3</v>
      </c>
      <c r="M214">
        <f>RAW_DATA!M214</f>
        <v>7</v>
      </c>
      <c r="N214">
        <f t="shared" si="6"/>
        <v>0</v>
      </c>
      <c r="O214" t="str">
        <f xml:space="preserve"> VLOOKUP(A214, Lookup_Tables!$G$2:$H$6,2,TRUE)</f>
        <v>25-34</v>
      </c>
      <c r="P214" t="str">
        <f>_xlfn.XLOOKUP(J214,Lookup_Tables!$J$2:$J$4,Lookup_Tables!$K$2:$K$4, " ",-1)</f>
        <v>High</v>
      </c>
      <c r="Q214" t="str">
        <f xml:space="preserve"> _xlfn.XLOOKUP(M214, Lookup_Tables!$M$2:$M$5,Lookup_Tables!$N$2:$N$5," ", -1)</f>
        <v>Established (5-10)</v>
      </c>
      <c r="R214" s="4">
        <f t="shared" si="7"/>
        <v>3.3333333333333335</v>
      </c>
      <c r="S214" t="str">
        <f xml:space="preserve"> _xlfn.XLOOKUP( E214, Lookup_Tables!$A$2:$A$6,Lookup_Tables!$B$2:$B$6," ", -1)</f>
        <v>Bachelor</v>
      </c>
      <c r="T214" t="str">
        <f>_xlfn.XLOOKUP(G214,Lookup_Tables!$D$2:$D$5,Lookup_Tables!$E$2:$E$5)</f>
        <v>Very High</v>
      </c>
      <c r="U214" t="str">
        <f>_xlfn.XLOOKUP(H214,Lookup_Tables!$D$2:$D$5,Lookup_Tables!$E$2:$E$5)</f>
        <v>High</v>
      </c>
      <c r="V214" t="str">
        <f>_xlfn.XLOOKUP(L214,Lookup_Tables!$D$2:$D$5,Lookup_Tables!$E$2:$E$5)</f>
        <v>High</v>
      </c>
    </row>
    <row r="215" spans="1:22">
      <c r="A215">
        <f>RAW_DATA!A215</f>
        <v>51</v>
      </c>
      <c r="B215" t="str">
        <f>RAW_DATA!B215</f>
        <v>No</v>
      </c>
      <c r="C215" t="str">
        <f>RAW_DATA!C215</f>
        <v>Research &amp; Development</v>
      </c>
      <c r="D215">
        <f>RAW_DATA!D215</f>
        <v>8</v>
      </c>
      <c r="E215">
        <f>RAW_DATA!E215</f>
        <v>4</v>
      </c>
      <c r="F215" t="str">
        <f>RAW_DATA!F215</f>
        <v>Life Sciences</v>
      </c>
      <c r="G215">
        <f>RAW_DATA!G215</f>
        <v>2</v>
      </c>
      <c r="H215">
        <f>RAW_DATA!H215</f>
        <v>2</v>
      </c>
      <c r="I215" t="str">
        <f>RAW_DATA!I215</f>
        <v>Married</v>
      </c>
      <c r="J215">
        <f>RAW_DATA!J215</f>
        <v>12490</v>
      </c>
      <c r="K215">
        <f>RAW_DATA!K215</f>
        <v>5</v>
      </c>
      <c r="L215">
        <f>RAW_DATA!L215</f>
        <v>1</v>
      </c>
      <c r="M215">
        <f>RAW_DATA!M215</f>
        <v>10</v>
      </c>
      <c r="N215">
        <f t="shared" si="6"/>
        <v>0</v>
      </c>
      <c r="O215" t="str">
        <f xml:space="preserve"> VLOOKUP(A215, Lookup_Tables!$G$2:$H$6,2,TRUE)</f>
        <v>45-54</v>
      </c>
      <c r="P215" t="str">
        <f>_xlfn.XLOOKUP(J215,Lookup_Tables!$J$2:$J$4,Lookup_Tables!$K$2:$K$4, " ",-1)</f>
        <v>High</v>
      </c>
      <c r="Q215" t="str">
        <f xml:space="preserve"> _xlfn.XLOOKUP(M215, Lookup_Tables!$M$2:$M$5,Lookup_Tables!$N$2:$N$5," ", -1)</f>
        <v>Veteran (10+)</v>
      </c>
      <c r="R215" s="4">
        <f t="shared" si="7"/>
        <v>1.6666666666666667</v>
      </c>
      <c r="S215" t="str">
        <f xml:space="preserve"> _xlfn.XLOOKUP( E215, Lookup_Tables!$A$2:$A$6,Lookup_Tables!$B$2:$B$6," ", -1)</f>
        <v>Master</v>
      </c>
      <c r="T215" t="str">
        <f>_xlfn.XLOOKUP(G215,Lookup_Tables!$D$2:$D$5,Lookup_Tables!$E$2:$E$5)</f>
        <v>Medium</v>
      </c>
      <c r="U215" t="str">
        <f>_xlfn.XLOOKUP(H215,Lookup_Tables!$D$2:$D$5,Lookup_Tables!$E$2:$E$5)</f>
        <v>Medium</v>
      </c>
      <c r="V215" t="str">
        <f>_xlfn.XLOOKUP(L215,Lookup_Tables!$D$2:$D$5,Lookup_Tables!$E$2:$E$5)</f>
        <v>Low</v>
      </c>
    </row>
    <row r="216" spans="1:22">
      <c r="A216">
        <f>RAW_DATA!A216</f>
        <v>30</v>
      </c>
      <c r="B216" t="str">
        <f>RAW_DATA!B216</f>
        <v>Yes</v>
      </c>
      <c r="C216" t="str">
        <f>RAW_DATA!C216</f>
        <v>Research &amp; Development</v>
      </c>
      <c r="D216">
        <f>RAW_DATA!D216</f>
        <v>3</v>
      </c>
      <c r="E216">
        <f>RAW_DATA!E216</f>
        <v>3</v>
      </c>
      <c r="F216" t="str">
        <f>RAW_DATA!F216</f>
        <v>Technical Degree</v>
      </c>
      <c r="G216">
        <f>RAW_DATA!G216</f>
        <v>4</v>
      </c>
      <c r="H216">
        <f>RAW_DATA!H216</f>
        <v>1</v>
      </c>
      <c r="I216" t="str">
        <f>RAW_DATA!I216</f>
        <v>Single</v>
      </c>
      <c r="J216">
        <f>RAW_DATA!J216</f>
        <v>2657</v>
      </c>
      <c r="K216">
        <f>RAW_DATA!K216</f>
        <v>5</v>
      </c>
      <c r="L216">
        <f>RAW_DATA!L216</f>
        <v>3</v>
      </c>
      <c r="M216">
        <f>RAW_DATA!M216</f>
        <v>5</v>
      </c>
      <c r="N216">
        <f t="shared" si="6"/>
        <v>1</v>
      </c>
      <c r="O216" t="str">
        <f xml:space="preserve"> VLOOKUP(A216, Lookup_Tables!$G$2:$H$6,2,TRUE)</f>
        <v>25-34</v>
      </c>
      <c r="P216" t="str">
        <f>_xlfn.XLOOKUP(J216,Lookup_Tables!$J$2:$J$4,Lookup_Tables!$K$2:$K$4, " ",-1)</f>
        <v>Low</v>
      </c>
      <c r="Q216" t="str">
        <f xml:space="preserve"> _xlfn.XLOOKUP(M216, Lookup_Tables!$M$2:$M$5,Lookup_Tables!$N$2:$N$5," ", -1)</f>
        <v>Established (5-10)</v>
      </c>
      <c r="R216" s="4">
        <f t="shared" si="7"/>
        <v>2.6666666666666665</v>
      </c>
      <c r="S216" t="str">
        <f xml:space="preserve"> _xlfn.XLOOKUP( E216, Lookup_Tables!$A$2:$A$6,Lookup_Tables!$B$2:$B$6," ", -1)</f>
        <v>Bachelor</v>
      </c>
      <c r="T216" t="str">
        <f>_xlfn.XLOOKUP(G216,Lookup_Tables!$D$2:$D$5,Lookup_Tables!$E$2:$E$5)</f>
        <v>Very High</v>
      </c>
      <c r="U216" t="str">
        <f>_xlfn.XLOOKUP(H216,Lookup_Tables!$D$2:$D$5,Lookup_Tables!$E$2:$E$5)</f>
        <v>Low</v>
      </c>
      <c r="V216" t="str">
        <f>_xlfn.XLOOKUP(L216,Lookup_Tables!$D$2:$D$5,Lookup_Tables!$E$2:$E$5)</f>
        <v>High</v>
      </c>
    </row>
    <row r="217" spans="1:22">
      <c r="A217">
        <f>RAW_DATA!A217</f>
        <v>41</v>
      </c>
      <c r="B217" t="str">
        <f>RAW_DATA!B217</f>
        <v>No</v>
      </c>
      <c r="C217" t="str">
        <f>RAW_DATA!C217</f>
        <v>Sales</v>
      </c>
      <c r="D217">
        <f>RAW_DATA!D217</f>
        <v>6</v>
      </c>
      <c r="E217">
        <f>RAW_DATA!E217</f>
        <v>3</v>
      </c>
      <c r="F217" t="str">
        <f>RAW_DATA!F217</f>
        <v>Life Sciences</v>
      </c>
      <c r="G217">
        <f>RAW_DATA!G217</f>
        <v>4</v>
      </c>
      <c r="H217">
        <f>RAW_DATA!H217</f>
        <v>4</v>
      </c>
      <c r="I217" t="str">
        <f>RAW_DATA!I217</f>
        <v>Single</v>
      </c>
      <c r="J217">
        <f>RAW_DATA!J217</f>
        <v>13591</v>
      </c>
      <c r="K217">
        <f>RAW_DATA!K217</f>
        <v>3</v>
      </c>
      <c r="L217">
        <f>RAW_DATA!L217</f>
        <v>3</v>
      </c>
      <c r="M217">
        <f>RAW_DATA!M217</f>
        <v>1</v>
      </c>
      <c r="N217">
        <f t="shared" si="6"/>
        <v>0</v>
      </c>
      <c r="O217" t="str">
        <f xml:space="preserve"> VLOOKUP(A217, Lookup_Tables!$G$2:$H$6,2,TRUE)</f>
        <v>35-44</v>
      </c>
      <c r="P217" t="str">
        <f>_xlfn.XLOOKUP(J217,Lookup_Tables!$J$2:$J$4,Lookup_Tables!$K$2:$K$4, " ",-1)</f>
        <v>High</v>
      </c>
      <c r="Q217" t="str">
        <f xml:space="preserve"> _xlfn.XLOOKUP(M217, Lookup_Tables!$M$2:$M$5,Lookup_Tables!$N$2:$N$5," ", -1)</f>
        <v>New (0-2)</v>
      </c>
      <c r="R217" s="4">
        <f t="shared" si="7"/>
        <v>3.6666666666666665</v>
      </c>
      <c r="S217" t="str">
        <f xml:space="preserve"> _xlfn.XLOOKUP( E217, Lookup_Tables!$A$2:$A$6,Lookup_Tables!$B$2:$B$6," ", -1)</f>
        <v>Bachelor</v>
      </c>
      <c r="T217" t="str">
        <f>_xlfn.XLOOKUP(G217,Lookup_Tables!$D$2:$D$5,Lookup_Tables!$E$2:$E$5)</f>
        <v>Very High</v>
      </c>
      <c r="U217" t="str">
        <f>_xlfn.XLOOKUP(H217,Lookup_Tables!$D$2:$D$5,Lookup_Tables!$E$2:$E$5)</f>
        <v>Very High</v>
      </c>
      <c r="V217" t="str">
        <f>_xlfn.XLOOKUP(L217,Lookup_Tables!$D$2:$D$5,Lookup_Tables!$E$2:$E$5)</f>
        <v>High</v>
      </c>
    </row>
    <row r="218" spans="1:22">
      <c r="A218">
        <f>RAW_DATA!A218</f>
        <v>30</v>
      </c>
      <c r="B218" t="str">
        <f>RAW_DATA!B218</f>
        <v>Yes</v>
      </c>
      <c r="C218" t="str">
        <f>RAW_DATA!C218</f>
        <v>Sales</v>
      </c>
      <c r="D218">
        <f>RAW_DATA!D218</f>
        <v>26</v>
      </c>
      <c r="E218">
        <f>RAW_DATA!E218</f>
        <v>4</v>
      </c>
      <c r="F218" t="str">
        <f>RAW_DATA!F218</f>
        <v>Marketing</v>
      </c>
      <c r="G218">
        <f>RAW_DATA!G218</f>
        <v>3</v>
      </c>
      <c r="H218">
        <f>RAW_DATA!H218</f>
        <v>1</v>
      </c>
      <c r="I218" t="str">
        <f>RAW_DATA!I218</f>
        <v>Single</v>
      </c>
      <c r="J218">
        <f>RAW_DATA!J218</f>
        <v>6696</v>
      </c>
      <c r="K218">
        <f>RAW_DATA!K218</f>
        <v>5</v>
      </c>
      <c r="L218">
        <f>RAW_DATA!L218</f>
        <v>2</v>
      </c>
      <c r="M218">
        <f>RAW_DATA!M218</f>
        <v>6</v>
      </c>
      <c r="N218">
        <f t="shared" si="6"/>
        <v>1</v>
      </c>
      <c r="O218" t="str">
        <f xml:space="preserve"> VLOOKUP(A218, Lookup_Tables!$G$2:$H$6,2,TRUE)</f>
        <v>25-34</v>
      </c>
      <c r="P218" t="str">
        <f>_xlfn.XLOOKUP(J218,Lookup_Tables!$J$2:$J$4,Lookup_Tables!$K$2:$K$4, " ",-1)</f>
        <v>Medium</v>
      </c>
      <c r="Q218" t="str">
        <f xml:space="preserve"> _xlfn.XLOOKUP(M218, Lookup_Tables!$M$2:$M$5,Lookup_Tables!$N$2:$N$5," ", -1)</f>
        <v>Established (5-10)</v>
      </c>
      <c r="R218" s="4">
        <f t="shared" si="7"/>
        <v>2</v>
      </c>
      <c r="S218" t="str">
        <f xml:space="preserve"> _xlfn.XLOOKUP( E218, Lookup_Tables!$A$2:$A$6,Lookup_Tables!$B$2:$B$6," ", -1)</f>
        <v>Master</v>
      </c>
      <c r="T218" t="str">
        <f>_xlfn.XLOOKUP(G218,Lookup_Tables!$D$2:$D$5,Lookup_Tables!$E$2:$E$5)</f>
        <v>High</v>
      </c>
      <c r="U218" t="str">
        <f>_xlfn.XLOOKUP(H218,Lookup_Tables!$D$2:$D$5,Lookup_Tables!$E$2:$E$5)</f>
        <v>Low</v>
      </c>
      <c r="V218" t="str">
        <f>_xlfn.XLOOKUP(L218,Lookup_Tables!$D$2:$D$5,Lookup_Tables!$E$2:$E$5)</f>
        <v>Medium</v>
      </c>
    </row>
    <row r="219" spans="1:22">
      <c r="A219">
        <f>RAW_DATA!A219</f>
        <v>29</v>
      </c>
      <c r="B219" t="str">
        <f>RAW_DATA!B219</f>
        <v>Yes</v>
      </c>
      <c r="C219" t="str">
        <f>RAW_DATA!C219</f>
        <v>Research &amp; Development</v>
      </c>
      <c r="D219">
        <f>RAW_DATA!D219</f>
        <v>1</v>
      </c>
      <c r="E219">
        <f>RAW_DATA!E219</f>
        <v>3</v>
      </c>
      <c r="F219" t="str">
        <f>RAW_DATA!F219</f>
        <v>Technical Degree</v>
      </c>
      <c r="G219">
        <f>RAW_DATA!G219</f>
        <v>3</v>
      </c>
      <c r="H219">
        <f>RAW_DATA!H219</f>
        <v>3</v>
      </c>
      <c r="I219" t="str">
        <f>RAW_DATA!I219</f>
        <v>Single</v>
      </c>
      <c r="J219">
        <f>RAW_DATA!J219</f>
        <v>2058</v>
      </c>
      <c r="K219">
        <f>RAW_DATA!K219</f>
        <v>0</v>
      </c>
      <c r="L219">
        <f>RAW_DATA!L219</f>
        <v>2</v>
      </c>
      <c r="M219">
        <f>RAW_DATA!M219</f>
        <v>6</v>
      </c>
      <c r="N219">
        <f t="shared" si="6"/>
        <v>1</v>
      </c>
      <c r="O219" t="str">
        <f xml:space="preserve"> VLOOKUP(A219, Lookup_Tables!$G$2:$H$6,2,TRUE)</f>
        <v>25-34</v>
      </c>
      <c r="P219" t="str">
        <f>_xlfn.XLOOKUP(J219,Lookup_Tables!$J$2:$J$4,Lookup_Tables!$K$2:$K$4, " ",-1)</f>
        <v>Low</v>
      </c>
      <c r="Q219" t="str">
        <f xml:space="preserve"> _xlfn.XLOOKUP(M219, Lookup_Tables!$M$2:$M$5,Lookup_Tables!$N$2:$N$5," ", -1)</f>
        <v>Established (5-10)</v>
      </c>
      <c r="R219" s="4">
        <f t="shared" si="7"/>
        <v>2.6666666666666665</v>
      </c>
      <c r="S219" t="str">
        <f xml:space="preserve"> _xlfn.XLOOKUP( E219, Lookup_Tables!$A$2:$A$6,Lookup_Tables!$B$2:$B$6," ", -1)</f>
        <v>Bachelor</v>
      </c>
      <c r="T219" t="str">
        <f>_xlfn.XLOOKUP(G219,Lookup_Tables!$D$2:$D$5,Lookup_Tables!$E$2:$E$5)</f>
        <v>High</v>
      </c>
      <c r="U219" t="str">
        <f>_xlfn.XLOOKUP(H219,Lookup_Tables!$D$2:$D$5,Lookup_Tables!$E$2:$E$5)</f>
        <v>High</v>
      </c>
      <c r="V219" t="str">
        <f>_xlfn.XLOOKUP(L219,Lookup_Tables!$D$2:$D$5,Lookup_Tables!$E$2:$E$5)</f>
        <v>Medium</v>
      </c>
    </row>
    <row r="220" spans="1:22">
      <c r="A220">
        <f>RAW_DATA!A220</f>
        <v>45</v>
      </c>
      <c r="B220" t="str">
        <f>RAW_DATA!B220</f>
        <v>No</v>
      </c>
      <c r="C220" t="str">
        <f>RAW_DATA!C220</f>
        <v>Sales</v>
      </c>
      <c r="D220">
        <f>RAW_DATA!D220</f>
        <v>6</v>
      </c>
      <c r="E220">
        <f>RAW_DATA!E220</f>
        <v>3</v>
      </c>
      <c r="F220" t="str">
        <f>RAW_DATA!F220</f>
        <v>Medical</v>
      </c>
      <c r="G220">
        <f>RAW_DATA!G220</f>
        <v>4</v>
      </c>
      <c r="H220">
        <f>RAW_DATA!H220</f>
        <v>4</v>
      </c>
      <c r="I220" t="str">
        <f>RAW_DATA!I220</f>
        <v>Single</v>
      </c>
      <c r="J220">
        <f>RAW_DATA!J220</f>
        <v>8865</v>
      </c>
      <c r="K220">
        <f>RAW_DATA!K220</f>
        <v>6</v>
      </c>
      <c r="L220">
        <f>RAW_DATA!L220</f>
        <v>3</v>
      </c>
      <c r="M220">
        <f>RAW_DATA!M220</f>
        <v>19</v>
      </c>
      <c r="N220">
        <f t="shared" si="6"/>
        <v>0</v>
      </c>
      <c r="O220" t="str">
        <f xml:space="preserve"> VLOOKUP(A220, Lookup_Tables!$G$2:$H$6,2,TRUE)</f>
        <v>45-54</v>
      </c>
      <c r="P220" t="str">
        <f>_xlfn.XLOOKUP(J220,Lookup_Tables!$J$2:$J$4,Lookup_Tables!$K$2:$K$4, " ",-1)</f>
        <v>High</v>
      </c>
      <c r="Q220" t="str">
        <f xml:space="preserve"> _xlfn.XLOOKUP(M220, Lookup_Tables!$M$2:$M$5,Lookup_Tables!$N$2:$N$5," ", -1)</f>
        <v>Veteran (10+)</v>
      </c>
      <c r="R220" s="4">
        <f t="shared" si="7"/>
        <v>3.6666666666666665</v>
      </c>
      <c r="S220" t="str">
        <f xml:space="preserve"> _xlfn.XLOOKUP( E220, Lookup_Tables!$A$2:$A$6,Lookup_Tables!$B$2:$B$6," ", -1)</f>
        <v>Bachelor</v>
      </c>
      <c r="T220" t="str">
        <f>_xlfn.XLOOKUP(G220,Lookup_Tables!$D$2:$D$5,Lookup_Tables!$E$2:$E$5)</f>
        <v>Very High</v>
      </c>
      <c r="U220" t="str">
        <f>_xlfn.XLOOKUP(H220,Lookup_Tables!$D$2:$D$5,Lookup_Tables!$E$2:$E$5)</f>
        <v>Very High</v>
      </c>
      <c r="V220" t="str">
        <f>_xlfn.XLOOKUP(L220,Lookup_Tables!$D$2:$D$5,Lookup_Tables!$E$2:$E$5)</f>
        <v>High</v>
      </c>
    </row>
    <row r="221" spans="1:22">
      <c r="A221">
        <f>RAW_DATA!A221</f>
        <v>54</v>
      </c>
      <c r="B221" t="str">
        <f>RAW_DATA!B221</f>
        <v>No</v>
      </c>
      <c r="C221" t="str">
        <f>RAW_DATA!C221</f>
        <v>Sales</v>
      </c>
      <c r="D221">
        <f>RAW_DATA!D221</f>
        <v>3</v>
      </c>
      <c r="E221">
        <f>RAW_DATA!E221</f>
        <v>3</v>
      </c>
      <c r="F221" t="str">
        <f>RAW_DATA!F221</f>
        <v>Marketing</v>
      </c>
      <c r="G221">
        <f>RAW_DATA!G221</f>
        <v>4</v>
      </c>
      <c r="H221">
        <f>RAW_DATA!H221</f>
        <v>1</v>
      </c>
      <c r="I221" t="str">
        <f>RAW_DATA!I221</f>
        <v>Married</v>
      </c>
      <c r="J221">
        <f>RAW_DATA!J221</f>
        <v>5940</v>
      </c>
      <c r="K221">
        <f>RAW_DATA!K221</f>
        <v>2</v>
      </c>
      <c r="L221">
        <f>RAW_DATA!L221</f>
        <v>3</v>
      </c>
      <c r="M221">
        <f>RAW_DATA!M221</f>
        <v>6</v>
      </c>
      <c r="N221">
        <f t="shared" si="6"/>
        <v>0</v>
      </c>
      <c r="O221" t="str">
        <f xml:space="preserve"> VLOOKUP(A221, Lookup_Tables!$G$2:$H$6,2,TRUE)</f>
        <v>45-54</v>
      </c>
      <c r="P221" t="str">
        <f>_xlfn.XLOOKUP(J221,Lookup_Tables!$J$2:$J$4,Lookup_Tables!$K$2:$K$4, " ",-1)</f>
        <v>Medium</v>
      </c>
      <c r="Q221" t="str">
        <f xml:space="preserve"> _xlfn.XLOOKUP(M221, Lookup_Tables!$M$2:$M$5,Lookup_Tables!$N$2:$N$5," ", -1)</f>
        <v>Established (5-10)</v>
      </c>
      <c r="R221" s="4">
        <f t="shared" si="7"/>
        <v>2.6666666666666665</v>
      </c>
      <c r="S221" t="str">
        <f xml:space="preserve"> _xlfn.XLOOKUP( E221, Lookup_Tables!$A$2:$A$6,Lookup_Tables!$B$2:$B$6," ", -1)</f>
        <v>Bachelor</v>
      </c>
      <c r="T221" t="str">
        <f>_xlfn.XLOOKUP(G221,Lookup_Tables!$D$2:$D$5,Lookup_Tables!$E$2:$E$5)</f>
        <v>Very High</v>
      </c>
      <c r="U221" t="str">
        <f>_xlfn.XLOOKUP(H221,Lookup_Tables!$D$2:$D$5,Lookup_Tables!$E$2:$E$5)</f>
        <v>Low</v>
      </c>
      <c r="V221" t="str">
        <f>_xlfn.XLOOKUP(L221,Lookup_Tables!$D$2:$D$5,Lookup_Tables!$E$2:$E$5)</f>
        <v>High</v>
      </c>
    </row>
    <row r="222" spans="1:22">
      <c r="A222">
        <f>RAW_DATA!A222</f>
        <v>36</v>
      </c>
      <c r="B222" t="str">
        <f>RAW_DATA!B222</f>
        <v>No</v>
      </c>
      <c r="C222" t="str">
        <f>RAW_DATA!C222</f>
        <v>Research &amp; Development</v>
      </c>
      <c r="D222">
        <f>RAW_DATA!D222</f>
        <v>5</v>
      </c>
      <c r="E222">
        <f>RAW_DATA!E222</f>
        <v>2</v>
      </c>
      <c r="F222" t="str">
        <f>RAW_DATA!F222</f>
        <v>Life Sciences</v>
      </c>
      <c r="G222">
        <f>RAW_DATA!G222</f>
        <v>4</v>
      </c>
      <c r="H222">
        <f>RAW_DATA!H222</f>
        <v>2</v>
      </c>
      <c r="I222" t="str">
        <f>RAW_DATA!I222</f>
        <v>Single</v>
      </c>
      <c r="J222">
        <f>RAW_DATA!J222</f>
        <v>5914</v>
      </c>
      <c r="K222">
        <f>RAW_DATA!K222</f>
        <v>8</v>
      </c>
      <c r="L222">
        <f>RAW_DATA!L222</f>
        <v>4</v>
      </c>
      <c r="M222">
        <f>RAW_DATA!M222</f>
        <v>13</v>
      </c>
      <c r="N222">
        <f t="shared" si="6"/>
        <v>0</v>
      </c>
      <c r="O222" t="str">
        <f xml:space="preserve"> VLOOKUP(A222, Lookup_Tables!$G$2:$H$6,2,TRUE)</f>
        <v>35-44</v>
      </c>
      <c r="P222" t="str">
        <f>_xlfn.XLOOKUP(J222,Lookup_Tables!$J$2:$J$4,Lookup_Tables!$K$2:$K$4, " ",-1)</f>
        <v>Medium</v>
      </c>
      <c r="Q222" t="str">
        <f xml:space="preserve"> _xlfn.XLOOKUP(M222, Lookup_Tables!$M$2:$M$5,Lookup_Tables!$N$2:$N$5," ", -1)</f>
        <v>Veteran (10+)</v>
      </c>
      <c r="R222" s="4">
        <f t="shared" si="7"/>
        <v>3.3333333333333335</v>
      </c>
      <c r="S222" t="str">
        <f xml:space="preserve"> _xlfn.XLOOKUP( E222, Lookup_Tables!$A$2:$A$6,Lookup_Tables!$B$2:$B$6," ", -1)</f>
        <v>College</v>
      </c>
      <c r="T222" t="str">
        <f>_xlfn.XLOOKUP(G222,Lookup_Tables!$D$2:$D$5,Lookup_Tables!$E$2:$E$5)</f>
        <v>Very High</v>
      </c>
      <c r="U222" t="str">
        <f>_xlfn.XLOOKUP(H222,Lookup_Tables!$D$2:$D$5,Lookup_Tables!$E$2:$E$5)</f>
        <v>Medium</v>
      </c>
      <c r="V222" t="str">
        <f>_xlfn.XLOOKUP(L222,Lookup_Tables!$D$2:$D$5,Lookup_Tables!$E$2:$E$5)</f>
        <v>Very High</v>
      </c>
    </row>
    <row r="223" spans="1:22">
      <c r="A223">
        <f>RAW_DATA!A223</f>
        <v>33</v>
      </c>
      <c r="B223" t="str">
        <f>RAW_DATA!B223</f>
        <v>No</v>
      </c>
      <c r="C223" t="str">
        <f>RAW_DATA!C223</f>
        <v>Research &amp; Development</v>
      </c>
      <c r="D223">
        <f>RAW_DATA!D223</f>
        <v>4</v>
      </c>
      <c r="E223">
        <f>RAW_DATA!E223</f>
        <v>4</v>
      </c>
      <c r="F223" t="str">
        <f>RAW_DATA!F223</f>
        <v>Medical</v>
      </c>
      <c r="G223">
        <f>RAW_DATA!G223</f>
        <v>3</v>
      </c>
      <c r="H223">
        <f>RAW_DATA!H223</f>
        <v>2</v>
      </c>
      <c r="I223" t="str">
        <f>RAW_DATA!I223</f>
        <v>Married</v>
      </c>
      <c r="J223">
        <f>RAW_DATA!J223</f>
        <v>2622</v>
      </c>
      <c r="K223">
        <f>RAW_DATA!K223</f>
        <v>6</v>
      </c>
      <c r="L223">
        <f>RAW_DATA!L223</f>
        <v>3</v>
      </c>
      <c r="M223">
        <f>RAW_DATA!M223</f>
        <v>3</v>
      </c>
      <c r="N223">
        <f t="shared" si="6"/>
        <v>0</v>
      </c>
      <c r="O223" t="str">
        <f xml:space="preserve"> VLOOKUP(A223, Lookup_Tables!$G$2:$H$6,2,TRUE)</f>
        <v>25-34</v>
      </c>
      <c r="P223" t="str">
        <f>_xlfn.XLOOKUP(J223,Lookup_Tables!$J$2:$J$4,Lookup_Tables!$K$2:$K$4, " ",-1)</f>
        <v>Low</v>
      </c>
      <c r="Q223" t="str">
        <f xml:space="preserve"> _xlfn.XLOOKUP(M223, Lookup_Tables!$M$2:$M$5,Lookup_Tables!$N$2:$N$5," ", -1)</f>
        <v>Early (2-5)</v>
      </c>
      <c r="R223" s="4">
        <f t="shared" si="7"/>
        <v>2.6666666666666665</v>
      </c>
      <c r="S223" t="str">
        <f xml:space="preserve"> _xlfn.XLOOKUP( E223, Lookup_Tables!$A$2:$A$6,Lookup_Tables!$B$2:$B$6," ", -1)</f>
        <v>Master</v>
      </c>
      <c r="T223" t="str">
        <f>_xlfn.XLOOKUP(G223,Lookup_Tables!$D$2:$D$5,Lookup_Tables!$E$2:$E$5)</f>
        <v>High</v>
      </c>
      <c r="U223" t="str">
        <f>_xlfn.XLOOKUP(H223,Lookup_Tables!$D$2:$D$5,Lookup_Tables!$E$2:$E$5)</f>
        <v>Medium</v>
      </c>
      <c r="V223" t="str">
        <f>_xlfn.XLOOKUP(L223,Lookup_Tables!$D$2:$D$5,Lookup_Tables!$E$2:$E$5)</f>
        <v>High</v>
      </c>
    </row>
    <row r="224" spans="1:22">
      <c r="A224">
        <f>RAW_DATA!A224</f>
        <v>37</v>
      </c>
      <c r="B224" t="str">
        <f>RAW_DATA!B224</f>
        <v>No</v>
      </c>
      <c r="C224" t="str">
        <f>RAW_DATA!C224</f>
        <v>Research &amp; Development</v>
      </c>
      <c r="D224">
        <f>RAW_DATA!D224</f>
        <v>11</v>
      </c>
      <c r="E224">
        <f>RAW_DATA!E224</f>
        <v>3</v>
      </c>
      <c r="F224" t="str">
        <f>RAW_DATA!F224</f>
        <v>Other</v>
      </c>
      <c r="G224">
        <f>RAW_DATA!G224</f>
        <v>2</v>
      </c>
      <c r="H224">
        <f>RAW_DATA!H224</f>
        <v>4</v>
      </c>
      <c r="I224" t="str">
        <f>RAW_DATA!I224</f>
        <v>Divorced</v>
      </c>
      <c r="J224">
        <f>RAW_DATA!J224</f>
        <v>12185</v>
      </c>
      <c r="K224">
        <f>RAW_DATA!K224</f>
        <v>1</v>
      </c>
      <c r="L224">
        <f>RAW_DATA!L224</f>
        <v>3</v>
      </c>
      <c r="M224">
        <f>RAW_DATA!M224</f>
        <v>10</v>
      </c>
      <c r="N224">
        <f t="shared" si="6"/>
        <v>0</v>
      </c>
      <c r="O224" t="str">
        <f xml:space="preserve"> VLOOKUP(A224, Lookup_Tables!$G$2:$H$6,2,TRUE)</f>
        <v>35-44</v>
      </c>
      <c r="P224" t="str">
        <f>_xlfn.XLOOKUP(J224,Lookup_Tables!$J$2:$J$4,Lookup_Tables!$K$2:$K$4, " ",-1)</f>
        <v>High</v>
      </c>
      <c r="Q224" t="str">
        <f xml:space="preserve"> _xlfn.XLOOKUP(M224, Lookup_Tables!$M$2:$M$5,Lookup_Tables!$N$2:$N$5," ", -1)</f>
        <v>Veteran (10+)</v>
      </c>
      <c r="R224" s="4">
        <f t="shared" si="7"/>
        <v>3</v>
      </c>
      <c r="S224" t="str">
        <f xml:space="preserve"> _xlfn.XLOOKUP( E224, Lookup_Tables!$A$2:$A$6,Lookup_Tables!$B$2:$B$6," ", -1)</f>
        <v>Bachelor</v>
      </c>
      <c r="T224" t="str">
        <f>_xlfn.XLOOKUP(G224,Lookup_Tables!$D$2:$D$5,Lookup_Tables!$E$2:$E$5)</f>
        <v>Medium</v>
      </c>
      <c r="U224" t="str">
        <f>_xlfn.XLOOKUP(H224,Lookup_Tables!$D$2:$D$5,Lookup_Tables!$E$2:$E$5)</f>
        <v>Very High</v>
      </c>
      <c r="V224" t="str">
        <f>_xlfn.XLOOKUP(L224,Lookup_Tables!$D$2:$D$5,Lookup_Tables!$E$2:$E$5)</f>
        <v>High</v>
      </c>
    </row>
    <row r="225" spans="1:22">
      <c r="A225">
        <f>RAW_DATA!A225</f>
        <v>38</v>
      </c>
      <c r="B225" t="str">
        <f>RAW_DATA!B225</f>
        <v>No</v>
      </c>
      <c r="C225" t="str">
        <f>RAW_DATA!C225</f>
        <v>Sales</v>
      </c>
      <c r="D225">
        <f>RAW_DATA!D225</f>
        <v>3</v>
      </c>
      <c r="E225">
        <f>RAW_DATA!E225</f>
        <v>3</v>
      </c>
      <c r="F225" t="str">
        <f>RAW_DATA!F225</f>
        <v>Life Sciences</v>
      </c>
      <c r="G225">
        <f>RAW_DATA!G225</f>
        <v>1</v>
      </c>
      <c r="H225">
        <f>RAW_DATA!H225</f>
        <v>3</v>
      </c>
      <c r="I225" t="str">
        <f>RAW_DATA!I225</f>
        <v>Divorced</v>
      </c>
      <c r="J225">
        <f>RAW_DATA!J225</f>
        <v>10609</v>
      </c>
      <c r="K225">
        <f>RAW_DATA!K225</f>
        <v>0</v>
      </c>
      <c r="L225">
        <f>RAW_DATA!L225</f>
        <v>2</v>
      </c>
      <c r="M225">
        <f>RAW_DATA!M225</f>
        <v>16</v>
      </c>
      <c r="N225">
        <f t="shared" si="6"/>
        <v>0</v>
      </c>
      <c r="O225" t="str">
        <f xml:space="preserve"> VLOOKUP(A225, Lookup_Tables!$G$2:$H$6,2,TRUE)</f>
        <v>35-44</v>
      </c>
      <c r="P225" t="str">
        <f>_xlfn.XLOOKUP(J225,Lookup_Tables!$J$2:$J$4,Lookup_Tables!$K$2:$K$4, " ",-1)</f>
        <v>High</v>
      </c>
      <c r="Q225" t="str">
        <f xml:space="preserve"> _xlfn.XLOOKUP(M225, Lookup_Tables!$M$2:$M$5,Lookup_Tables!$N$2:$N$5," ", -1)</f>
        <v>Veteran (10+)</v>
      </c>
      <c r="R225" s="4">
        <f t="shared" si="7"/>
        <v>2</v>
      </c>
      <c r="S225" t="str">
        <f xml:space="preserve"> _xlfn.XLOOKUP( E225, Lookup_Tables!$A$2:$A$6,Lookup_Tables!$B$2:$B$6," ", -1)</f>
        <v>Bachelor</v>
      </c>
      <c r="T225" t="str">
        <f>_xlfn.XLOOKUP(G225,Lookup_Tables!$D$2:$D$5,Lookup_Tables!$E$2:$E$5)</f>
        <v>Low</v>
      </c>
      <c r="U225" t="str">
        <f>_xlfn.XLOOKUP(H225,Lookup_Tables!$D$2:$D$5,Lookup_Tables!$E$2:$E$5)</f>
        <v>High</v>
      </c>
      <c r="V225" t="str">
        <f>_xlfn.XLOOKUP(L225,Lookup_Tables!$D$2:$D$5,Lookup_Tables!$E$2:$E$5)</f>
        <v>Medium</v>
      </c>
    </row>
    <row r="226" spans="1:22">
      <c r="A226">
        <f>RAW_DATA!A226</f>
        <v>31</v>
      </c>
      <c r="B226" t="str">
        <f>RAW_DATA!B226</f>
        <v>No</v>
      </c>
      <c r="C226" t="str">
        <f>RAW_DATA!C226</f>
        <v>Research &amp; Development</v>
      </c>
      <c r="D226">
        <f>RAW_DATA!D226</f>
        <v>1</v>
      </c>
      <c r="E226">
        <f>RAW_DATA!E226</f>
        <v>4</v>
      </c>
      <c r="F226" t="str">
        <f>RAW_DATA!F226</f>
        <v>Medical</v>
      </c>
      <c r="G226">
        <f>RAW_DATA!G226</f>
        <v>3</v>
      </c>
      <c r="H226">
        <f>RAW_DATA!H226</f>
        <v>3</v>
      </c>
      <c r="I226" t="str">
        <f>RAW_DATA!I226</f>
        <v>Married</v>
      </c>
      <c r="J226">
        <f>RAW_DATA!J226</f>
        <v>4345</v>
      </c>
      <c r="K226">
        <f>RAW_DATA!K226</f>
        <v>0</v>
      </c>
      <c r="L226">
        <f>RAW_DATA!L226</f>
        <v>3</v>
      </c>
      <c r="M226">
        <f>RAW_DATA!M226</f>
        <v>5</v>
      </c>
      <c r="N226">
        <f t="shared" si="6"/>
        <v>0</v>
      </c>
      <c r="O226" t="str">
        <f xml:space="preserve"> VLOOKUP(A226, Lookup_Tables!$G$2:$H$6,2,TRUE)</f>
        <v>25-34</v>
      </c>
      <c r="P226" t="str">
        <f>_xlfn.XLOOKUP(J226,Lookup_Tables!$J$2:$J$4,Lookup_Tables!$K$2:$K$4, " ",-1)</f>
        <v>Medium</v>
      </c>
      <c r="Q226" t="str">
        <f xml:space="preserve"> _xlfn.XLOOKUP(M226, Lookup_Tables!$M$2:$M$5,Lookup_Tables!$N$2:$N$5," ", -1)</f>
        <v>Established (5-10)</v>
      </c>
      <c r="R226" s="4">
        <f t="shared" si="7"/>
        <v>3</v>
      </c>
      <c r="S226" t="str">
        <f xml:space="preserve"> _xlfn.XLOOKUP( E226, Lookup_Tables!$A$2:$A$6,Lookup_Tables!$B$2:$B$6," ", -1)</f>
        <v>Master</v>
      </c>
      <c r="T226" t="str">
        <f>_xlfn.XLOOKUP(G226,Lookup_Tables!$D$2:$D$5,Lookup_Tables!$E$2:$E$5)</f>
        <v>High</v>
      </c>
      <c r="U226" t="str">
        <f>_xlfn.XLOOKUP(H226,Lookup_Tables!$D$2:$D$5,Lookup_Tables!$E$2:$E$5)</f>
        <v>High</v>
      </c>
      <c r="V226" t="str">
        <f>_xlfn.XLOOKUP(L226,Lookup_Tables!$D$2:$D$5,Lookup_Tables!$E$2:$E$5)</f>
        <v>High</v>
      </c>
    </row>
    <row r="227" spans="1:22">
      <c r="A227">
        <f>RAW_DATA!A227</f>
        <v>59</v>
      </c>
      <c r="B227" t="str">
        <f>RAW_DATA!B227</f>
        <v>No</v>
      </c>
      <c r="C227" t="str">
        <f>RAW_DATA!C227</f>
        <v>Research &amp; Development</v>
      </c>
      <c r="D227">
        <f>RAW_DATA!D227</f>
        <v>3</v>
      </c>
      <c r="E227">
        <f>RAW_DATA!E227</f>
        <v>3</v>
      </c>
      <c r="F227" t="str">
        <f>RAW_DATA!F227</f>
        <v>Life Sciences</v>
      </c>
      <c r="G227">
        <f>RAW_DATA!G227</f>
        <v>3</v>
      </c>
      <c r="H227">
        <f>RAW_DATA!H227</f>
        <v>4</v>
      </c>
      <c r="I227" t="str">
        <f>RAW_DATA!I227</f>
        <v>Married</v>
      </c>
      <c r="J227">
        <f>RAW_DATA!J227</f>
        <v>2177</v>
      </c>
      <c r="K227">
        <f>RAW_DATA!K227</f>
        <v>3</v>
      </c>
      <c r="L227">
        <f>RAW_DATA!L227</f>
        <v>3</v>
      </c>
      <c r="M227">
        <f>RAW_DATA!M227</f>
        <v>1</v>
      </c>
      <c r="N227">
        <f t="shared" si="6"/>
        <v>0</v>
      </c>
      <c r="O227" t="str">
        <f xml:space="preserve"> VLOOKUP(A227, Lookup_Tables!$G$2:$H$6,2,TRUE)</f>
        <v>55+</v>
      </c>
      <c r="P227" t="str">
        <f>_xlfn.XLOOKUP(J227,Lookup_Tables!$J$2:$J$4,Lookup_Tables!$K$2:$K$4, " ",-1)</f>
        <v>Low</v>
      </c>
      <c r="Q227" t="str">
        <f xml:space="preserve"> _xlfn.XLOOKUP(M227, Lookup_Tables!$M$2:$M$5,Lookup_Tables!$N$2:$N$5," ", -1)</f>
        <v>New (0-2)</v>
      </c>
      <c r="R227" s="4">
        <f t="shared" si="7"/>
        <v>3.3333333333333335</v>
      </c>
      <c r="S227" t="str">
        <f xml:space="preserve"> _xlfn.XLOOKUP( E227, Lookup_Tables!$A$2:$A$6,Lookup_Tables!$B$2:$B$6," ", -1)</f>
        <v>Bachelor</v>
      </c>
      <c r="T227" t="str">
        <f>_xlfn.XLOOKUP(G227,Lookup_Tables!$D$2:$D$5,Lookup_Tables!$E$2:$E$5)</f>
        <v>High</v>
      </c>
      <c r="U227" t="str">
        <f>_xlfn.XLOOKUP(H227,Lookup_Tables!$D$2:$D$5,Lookup_Tables!$E$2:$E$5)</f>
        <v>Very High</v>
      </c>
      <c r="V227" t="str">
        <f>_xlfn.XLOOKUP(L227,Lookup_Tables!$D$2:$D$5,Lookup_Tables!$E$2:$E$5)</f>
        <v>High</v>
      </c>
    </row>
    <row r="228" spans="1:22">
      <c r="A228">
        <f>RAW_DATA!A228</f>
        <v>37</v>
      </c>
      <c r="B228" t="str">
        <f>RAW_DATA!B228</f>
        <v>No</v>
      </c>
      <c r="C228" t="str">
        <f>RAW_DATA!C228</f>
        <v>Sales</v>
      </c>
      <c r="D228">
        <f>RAW_DATA!D228</f>
        <v>4</v>
      </c>
      <c r="E228">
        <f>RAW_DATA!E228</f>
        <v>4</v>
      </c>
      <c r="F228" t="str">
        <f>RAW_DATA!F228</f>
        <v>Marketing</v>
      </c>
      <c r="G228">
        <f>RAW_DATA!G228</f>
        <v>1</v>
      </c>
      <c r="H228">
        <f>RAW_DATA!H228</f>
        <v>4</v>
      </c>
      <c r="I228" t="str">
        <f>RAW_DATA!I228</f>
        <v>Divorced</v>
      </c>
      <c r="J228">
        <f>RAW_DATA!J228</f>
        <v>2793</v>
      </c>
      <c r="K228">
        <f>RAW_DATA!K228</f>
        <v>4</v>
      </c>
      <c r="L228">
        <f>RAW_DATA!L228</f>
        <v>3</v>
      </c>
      <c r="M228">
        <f>RAW_DATA!M228</f>
        <v>9</v>
      </c>
      <c r="N228">
        <f t="shared" si="6"/>
        <v>0</v>
      </c>
      <c r="O228" t="str">
        <f xml:space="preserve"> VLOOKUP(A228, Lookup_Tables!$G$2:$H$6,2,TRUE)</f>
        <v>35-44</v>
      </c>
      <c r="P228" t="str">
        <f>_xlfn.XLOOKUP(J228,Lookup_Tables!$J$2:$J$4,Lookup_Tables!$K$2:$K$4, " ",-1)</f>
        <v>Low</v>
      </c>
      <c r="Q228" t="str">
        <f xml:space="preserve"> _xlfn.XLOOKUP(M228, Lookup_Tables!$M$2:$M$5,Lookup_Tables!$N$2:$N$5," ", -1)</f>
        <v>Established (5-10)</v>
      </c>
      <c r="R228" s="4">
        <f t="shared" si="7"/>
        <v>2.6666666666666665</v>
      </c>
      <c r="S228" t="str">
        <f xml:space="preserve"> _xlfn.XLOOKUP( E228, Lookup_Tables!$A$2:$A$6,Lookup_Tables!$B$2:$B$6," ", -1)</f>
        <v>Master</v>
      </c>
      <c r="T228" t="str">
        <f>_xlfn.XLOOKUP(G228,Lookup_Tables!$D$2:$D$5,Lookup_Tables!$E$2:$E$5)</f>
        <v>Low</v>
      </c>
      <c r="U228" t="str">
        <f>_xlfn.XLOOKUP(H228,Lookup_Tables!$D$2:$D$5,Lookup_Tables!$E$2:$E$5)</f>
        <v>Very High</v>
      </c>
      <c r="V228" t="str">
        <f>_xlfn.XLOOKUP(L228,Lookup_Tables!$D$2:$D$5,Lookup_Tables!$E$2:$E$5)</f>
        <v>High</v>
      </c>
    </row>
    <row r="229" spans="1:22">
      <c r="A229">
        <f>RAW_DATA!A229</f>
        <v>29</v>
      </c>
      <c r="B229" t="str">
        <f>RAW_DATA!B229</f>
        <v>No</v>
      </c>
      <c r="C229" t="str">
        <f>RAW_DATA!C229</f>
        <v>Sales</v>
      </c>
      <c r="D229">
        <f>RAW_DATA!D229</f>
        <v>1</v>
      </c>
      <c r="E229">
        <f>RAW_DATA!E229</f>
        <v>1</v>
      </c>
      <c r="F229" t="str">
        <f>RAW_DATA!F229</f>
        <v>Medical</v>
      </c>
      <c r="G229">
        <f>RAW_DATA!G229</f>
        <v>2</v>
      </c>
      <c r="H229">
        <f>RAW_DATA!H229</f>
        <v>4</v>
      </c>
      <c r="I229" t="str">
        <f>RAW_DATA!I229</f>
        <v>Married</v>
      </c>
      <c r="J229">
        <f>RAW_DATA!J229</f>
        <v>7918</v>
      </c>
      <c r="K229">
        <f>RAW_DATA!K229</f>
        <v>1</v>
      </c>
      <c r="L229">
        <f>RAW_DATA!L229</f>
        <v>3</v>
      </c>
      <c r="M229">
        <f>RAW_DATA!M229</f>
        <v>11</v>
      </c>
      <c r="N229">
        <f t="shared" si="6"/>
        <v>0</v>
      </c>
      <c r="O229" t="str">
        <f xml:space="preserve"> VLOOKUP(A229, Lookup_Tables!$G$2:$H$6,2,TRUE)</f>
        <v>25-34</v>
      </c>
      <c r="P229" t="str">
        <f>_xlfn.XLOOKUP(J229,Lookup_Tables!$J$2:$J$4,Lookup_Tables!$K$2:$K$4, " ",-1)</f>
        <v>High</v>
      </c>
      <c r="Q229" t="str">
        <f xml:space="preserve"> _xlfn.XLOOKUP(M229, Lookup_Tables!$M$2:$M$5,Lookup_Tables!$N$2:$N$5," ", -1)</f>
        <v>Veteran (10+)</v>
      </c>
      <c r="R229" s="4">
        <f t="shared" si="7"/>
        <v>3</v>
      </c>
      <c r="S229" t="str">
        <f xml:space="preserve"> _xlfn.XLOOKUP( E229, Lookup_Tables!$A$2:$A$6,Lookup_Tables!$B$2:$B$6," ", -1)</f>
        <v>Below College</v>
      </c>
      <c r="T229" t="str">
        <f>_xlfn.XLOOKUP(G229,Lookup_Tables!$D$2:$D$5,Lookup_Tables!$E$2:$E$5)</f>
        <v>Medium</v>
      </c>
      <c r="U229" t="str">
        <f>_xlfn.XLOOKUP(H229,Lookup_Tables!$D$2:$D$5,Lookup_Tables!$E$2:$E$5)</f>
        <v>Very High</v>
      </c>
      <c r="V229" t="str">
        <f>_xlfn.XLOOKUP(L229,Lookup_Tables!$D$2:$D$5,Lookup_Tables!$E$2:$E$5)</f>
        <v>High</v>
      </c>
    </row>
    <row r="230" spans="1:22">
      <c r="A230">
        <f>RAW_DATA!A230</f>
        <v>35</v>
      </c>
      <c r="B230" t="str">
        <f>RAW_DATA!B230</f>
        <v>No</v>
      </c>
      <c r="C230" t="str">
        <f>RAW_DATA!C230</f>
        <v>Sales</v>
      </c>
      <c r="D230">
        <f>RAW_DATA!D230</f>
        <v>1</v>
      </c>
      <c r="E230">
        <f>RAW_DATA!E230</f>
        <v>3</v>
      </c>
      <c r="F230" t="str">
        <f>RAW_DATA!F230</f>
        <v>Marketing</v>
      </c>
      <c r="G230">
        <f>RAW_DATA!G230</f>
        <v>3</v>
      </c>
      <c r="H230">
        <f>RAW_DATA!H230</f>
        <v>3</v>
      </c>
      <c r="I230" t="str">
        <f>RAW_DATA!I230</f>
        <v>Single</v>
      </c>
      <c r="J230">
        <f>RAW_DATA!J230</f>
        <v>8789</v>
      </c>
      <c r="K230">
        <f>RAW_DATA!K230</f>
        <v>1</v>
      </c>
      <c r="L230">
        <f>RAW_DATA!L230</f>
        <v>4</v>
      </c>
      <c r="M230">
        <f>RAW_DATA!M230</f>
        <v>10</v>
      </c>
      <c r="N230">
        <f t="shared" si="6"/>
        <v>0</v>
      </c>
      <c r="O230" t="str">
        <f xml:space="preserve"> VLOOKUP(A230, Lookup_Tables!$G$2:$H$6,2,TRUE)</f>
        <v>35-44</v>
      </c>
      <c r="P230" t="str">
        <f>_xlfn.XLOOKUP(J230,Lookup_Tables!$J$2:$J$4,Lookup_Tables!$K$2:$K$4, " ",-1)</f>
        <v>High</v>
      </c>
      <c r="Q230" t="str">
        <f xml:space="preserve"> _xlfn.XLOOKUP(M230, Lookup_Tables!$M$2:$M$5,Lookup_Tables!$N$2:$N$5," ", -1)</f>
        <v>Veteran (10+)</v>
      </c>
      <c r="R230" s="4">
        <f t="shared" si="7"/>
        <v>3.3333333333333335</v>
      </c>
      <c r="S230" t="str">
        <f xml:space="preserve"> _xlfn.XLOOKUP( E230, Lookup_Tables!$A$2:$A$6,Lookup_Tables!$B$2:$B$6," ", -1)</f>
        <v>Bachelor</v>
      </c>
      <c r="T230" t="str">
        <f>_xlfn.XLOOKUP(G230,Lookup_Tables!$D$2:$D$5,Lookup_Tables!$E$2:$E$5)</f>
        <v>High</v>
      </c>
      <c r="U230" t="str">
        <f>_xlfn.XLOOKUP(H230,Lookup_Tables!$D$2:$D$5,Lookup_Tables!$E$2:$E$5)</f>
        <v>High</v>
      </c>
      <c r="V230" t="str">
        <f>_xlfn.XLOOKUP(L230,Lookup_Tables!$D$2:$D$5,Lookup_Tables!$E$2:$E$5)</f>
        <v>Very High</v>
      </c>
    </row>
    <row r="231" spans="1:22">
      <c r="A231">
        <f>RAW_DATA!A231</f>
        <v>29</v>
      </c>
      <c r="B231" t="str">
        <f>RAW_DATA!B231</f>
        <v>Yes</v>
      </c>
      <c r="C231" t="str">
        <f>RAW_DATA!C231</f>
        <v>Research &amp; Development</v>
      </c>
      <c r="D231">
        <f>RAW_DATA!D231</f>
        <v>18</v>
      </c>
      <c r="E231">
        <f>RAW_DATA!E231</f>
        <v>1</v>
      </c>
      <c r="F231" t="str">
        <f>RAW_DATA!F231</f>
        <v>Medical</v>
      </c>
      <c r="G231">
        <f>RAW_DATA!G231</f>
        <v>3</v>
      </c>
      <c r="H231">
        <f>RAW_DATA!H231</f>
        <v>4</v>
      </c>
      <c r="I231" t="str">
        <f>RAW_DATA!I231</f>
        <v>Single</v>
      </c>
      <c r="J231">
        <f>RAW_DATA!J231</f>
        <v>2389</v>
      </c>
      <c r="K231">
        <f>RAW_DATA!K231</f>
        <v>1</v>
      </c>
      <c r="L231">
        <f>RAW_DATA!L231</f>
        <v>2</v>
      </c>
      <c r="M231">
        <f>RAW_DATA!M231</f>
        <v>4</v>
      </c>
      <c r="N231">
        <f t="shared" si="6"/>
        <v>1</v>
      </c>
      <c r="O231" t="str">
        <f xml:space="preserve"> VLOOKUP(A231, Lookup_Tables!$G$2:$H$6,2,TRUE)</f>
        <v>25-34</v>
      </c>
      <c r="P231" t="str">
        <f>_xlfn.XLOOKUP(J231,Lookup_Tables!$J$2:$J$4,Lookup_Tables!$K$2:$K$4, " ",-1)</f>
        <v>Low</v>
      </c>
      <c r="Q231" t="str">
        <f xml:space="preserve"> _xlfn.XLOOKUP(M231, Lookup_Tables!$M$2:$M$5,Lookup_Tables!$N$2:$N$5," ", -1)</f>
        <v>Early (2-5)</v>
      </c>
      <c r="R231" s="4">
        <f t="shared" si="7"/>
        <v>3</v>
      </c>
      <c r="S231" t="str">
        <f xml:space="preserve"> _xlfn.XLOOKUP( E231, Lookup_Tables!$A$2:$A$6,Lookup_Tables!$B$2:$B$6," ", -1)</f>
        <v>Below College</v>
      </c>
      <c r="T231" t="str">
        <f>_xlfn.XLOOKUP(G231,Lookup_Tables!$D$2:$D$5,Lookup_Tables!$E$2:$E$5)</f>
        <v>High</v>
      </c>
      <c r="U231" t="str">
        <f>_xlfn.XLOOKUP(H231,Lookup_Tables!$D$2:$D$5,Lookup_Tables!$E$2:$E$5)</f>
        <v>Very High</v>
      </c>
      <c r="V231" t="str">
        <f>_xlfn.XLOOKUP(L231,Lookup_Tables!$D$2:$D$5,Lookup_Tables!$E$2:$E$5)</f>
        <v>Medium</v>
      </c>
    </row>
    <row r="232" spans="1:22">
      <c r="A232">
        <f>RAW_DATA!A232</f>
        <v>52</v>
      </c>
      <c r="B232" t="str">
        <f>RAW_DATA!B232</f>
        <v>No</v>
      </c>
      <c r="C232" t="str">
        <f>RAW_DATA!C232</f>
        <v>Research &amp; Development</v>
      </c>
      <c r="D232">
        <f>RAW_DATA!D232</f>
        <v>2</v>
      </c>
      <c r="E232">
        <f>RAW_DATA!E232</f>
        <v>3</v>
      </c>
      <c r="F232" t="str">
        <f>RAW_DATA!F232</f>
        <v>Life Sciences</v>
      </c>
      <c r="G232">
        <f>RAW_DATA!G232</f>
        <v>3</v>
      </c>
      <c r="H232">
        <f>RAW_DATA!H232</f>
        <v>4</v>
      </c>
      <c r="I232" t="str">
        <f>RAW_DATA!I232</f>
        <v>Single</v>
      </c>
      <c r="J232">
        <f>RAW_DATA!J232</f>
        <v>3212</v>
      </c>
      <c r="K232">
        <f>RAW_DATA!K232</f>
        <v>7</v>
      </c>
      <c r="L232">
        <f>RAW_DATA!L232</f>
        <v>2</v>
      </c>
      <c r="M232">
        <f>RAW_DATA!M232</f>
        <v>2</v>
      </c>
      <c r="N232">
        <f t="shared" si="6"/>
        <v>0</v>
      </c>
      <c r="O232" t="str">
        <f xml:space="preserve"> VLOOKUP(A232, Lookup_Tables!$G$2:$H$6,2,TRUE)</f>
        <v>45-54</v>
      </c>
      <c r="P232" t="str">
        <f>_xlfn.XLOOKUP(J232,Lookup_Tables!$J$2:$J$4,Lookup_Tables!$K$2:$K$4, " ",-1)</f>
        <v>Medium</v>
      </c>
      <c r="Q232" t="str">
        <f xml:space="preserve"> _xlfn.XLOOKUP(M232, Lookup_Tables!$M$2:$M$5,Lookup_Tables!$N$2:$N$5," ", -1)</f>
        <v>Early (2-5)</v>
      </c>
      <c r="R232" s="4">
        <f t="shared" si="7"/>
        <v>3</v>
      </c>
      <c r="S232" t="str">
        <f xml:space="preserve"> _xlfn.XLOOKUP( E232, Lookup_Tables!$A$2:$A$6,Lookup_Tables!$B$2:$B$6," ", -1)</f>
        <v>Bachelor</v>
      </c>
      <c r="T232" t="str">
        <f>_xlfn.XLOOKUP(G232,Lookup_Tables!$D$2:$D$5,Lookup_Tables!$E$2:$E$5)</f>
        <v>High</v>
      </c>
      <c r="U232" t="str">
        <f>_xlfn.XLOOKUP(H232,Lookup_Tables!$D$2:$D$5,Lookup_Tables!$E$2:$E$5)</f>
        <v>Very High</v>
      </c>
      <c r="V232" t="str">
        <f>_xlfn.XLOOKUP(L232,Lookup_Tables!$D$2:$D$5,Lookup_Tables!$E$2:$E$5)</f>
        <v>Medium</v>
      </c>
    </row>
    <row r="233" spans="1:22">
      <c r="A233">
        <f>RAW_DATA!A233</f>
        <v>42</v>
      </c>
      <c r="B233" t="str">
        <f>RAW_DATA!B233</f>
        <v>No</v>
      </c>
      <c r="C233" t="str">
        <f>RAW_DATA!C233</f>
        <v>Research &amp; Development</v>
      </c>
      <c r="D233">
        <f>RAW_DATA!D233</f>
        <v>4</v>
      </c>
      <c r="E233">
        <f>RAW_DATA!E233</f>
        <v>2</v>
      </c>
      <c r="F233" t="str">
        <f>RAW_DATA!F233</f>
        <v>Technical Degree</v>
      </c>
      <c r="G233">
        <f>RAW_DATA!G233</f>
        <v>3</v>
      </c>
      <c r="H233">
        <f>RAW_DATA!H233</f>
        <v>4</v>
      </c>
      <c r="I233" t="str">
        <f>RAW_DATA!I233</f>
        <v>Married</v>
      </c>
      <c r="J233">
        <f>RAW_DATA!J233</f>
        <v>19232</v>
      </c>
      <c r="K233">
        <f>RAW_DATA!K233</f>
        <v>1</v>
      </c>
      <c r="L233">
        <f>RAW_DATA!L233</f>
        <v>3</v>
      </c>
      <c r="M233">
        <f>RAW_DATA!M233</f>
        <v>22</v>
      </c>
      <c r="N233">
        <f t="shared" si="6"/>
        <v>0</v>
      </c>
      <c r="O233" t="str">
        <f xml:space="preserve"> VLOOKUP(A233, Lookup_Tables!$G$2:$H$6,2,TRUE)</f>
        <v>35-44</v>
      </c>
      <c r="P233" t="str">
        <f>_xlfn.XLOOKUP(J233,Lookup_Tables!$J$2:$J$4,Lookup_Tables!$K$2:$K$4, " ",-1)</f>
        <v>High</v>
      </c>
      <c r="Q233" t="str">
        <f xml:space="preserve"> _xlfn.XLOOKUP(M233, Lookup_Tables!$M$2:$M$5,Lookup_Tables!$N$2:$N$5," ", -1)</f>
        <v>Veteran (10+)</v>
      </c>
      <c r="R233" s="4">
        <f t="shared" si="7"/>
        <v>3.3333333333333335</v>
      </c>
      <c r="S233" t="str">
        <f xml:space="preserve"> _xlfn.XLOOKUP( E233, Lookup_Tables!$A$2:$A$6,Lookup_Tables!$B$2:$B$6," ", -1)</f>
        <v>College</v>
      </c>
      <c r="T233" t="str">
        <f>_xlfn.XLOOKUP(G233,Lookup_Tables!$D$2:$D$5,Lookup_Tables!$E$2:$E$5)</f>
        <v>High</v>
      </c>
      <c r="U233" t="str">
        <f>_xlfn.XLOOKUP(H233,Lookup_Tables!$D$2:$D$5,Lookup_Tables!$E$2:$E$5)</f>
        <v>Very High</v>
      </c>
      <c r="V233" t="str">
        <f>_xlfn.XLOOKUP(L233,Lookup_Tables!$D$2:$D$5,Lookup_Tables!$E$2:$E$5)</f>
        <v>High</v>
      </c>
    </row>
    <row r="234" spans="1:22">
      <c r="A234">
        <f>RAW_DATA!A234</f>
        <v>59</v>
      </c>
      <c r="B234" t="str">
        <f>RAW_DATA!B234</f>
        <v>No</v>
      </c>
      <c r="C234" t="str">
        <f>RAW_DATA!C234</f>
        <v>Human Resources</v>
      </c>
      <c r="D234">
        <f>RAW_DATA!D234</f>
        <v>6</v>
      </c>
      <c r="E234">
        <f>RAW_DATA!E234</f>
        <v>2</v>
      </c>
      <c r="F234" t="str">
        <f>RAW_DATA!F234</f>
        <v>Medical</v>
      </c>
      <c r="G234">
        <f>RAW_DATA!G234</f>
        <v>2</v>
      </c>
      <c r="H234">
        <f>RAW_DATA!H234</f>
        <v>3</v>
      </c>
      <c r="I234" t="str">
        <f>RAW_DATA!I234</f>
        <v>Married</v>
      </c>
      <c r="J234">
        <f>RAW_DATA!J234</f>
        <v>2267</v>
      </c>
      <c r="K234">
        <f>RAW_DATA!K234</f>
        <v>8</v>
      </c>
      <c r="L234">
        <f>RAW_DATA!L234</f>
        <v>2</v>
      </c>
      <c r="M234">
        <f>RAW_DATA!M234</f>
        <v>2</v>
      </c>
      <c r="N234">
        <f t="shared" si="6"/>
        <v>0</v>
      </c>
      <c r="O234" t="str">
        <f xml:space="preserve"> VLOOKUP(A234, Lookup_Tables!$G$2:$H$6,2,TRUE)</f>
        <v>55+</v>
      </c>
      <c r="P234" t="str">
        <f>_xlfn.XLOOKUP(J234,Lookup_Tables!$J$2:$J$4,Lookup_Tables!$K$2:$K$4, " ",-1)</f>
        <v>Low</v>
      </c>
      <c r="Q234" t="str">
        <f xml:space="preserve"> _xlfn.XLOOKUP(M234, Lookup_Tables!$M$2:$M$5,Lookup_Tables!$N$2:$N$5," ", -1)</f>
        <v>Early (2-5)</v>
      </c>
      <c r="R234" s="4">
        <f t="shared" si="7"/>
        <v>2.3333333333333335</v>
      </c>
      <c r="S234" t="str">
        <f xml:space="preserve"> _xlfn.XLOOKUP( E234, Lookup_Tables!$A$2:$A$6,Lookup_Tables!$B$2:$B$6," ", -1)</f>
        <v>College</v>
      </c>
      <c r="T234" t="str">
        <f>_xlfn.XLOOKUP(G234,Lookup_Tables!$D$2:$D$5,Lookup_Tables!$E$2:$E$5)</f>
        <v>Medium</v>
      </c>
      <c r="U234" t="str">
        <f>_xlfn.XLOOKUP(H234,Lookup_Tables!$D$2:$D$5,Lookup_Tables!$E$2:$E$5)</f>
        <v>High</v>
      </c>
      <c r="V234" t="str">
        <f>_xlfn.XLOOKUP(L234,Lookup_Tables!$D$2:$D$5,Lookup_Tables!$E$2:$E$5)</f>
        <v>Medium</v>
      </c>
    </row>
    <row r="235" spans="1:22">
      <c r="A235">
        <f>RAW_DATA!A235</f>
        <v>50</v>
      </c>
      <c r="B235" t="str">
        <f>RAW_DATA!B235</f>
        <v>No</v>
      </c>
      <c r="C235" t="str">
        <f>RAW_DATA!C235</f>
        <v>Sales</v>
      </c>
      <c r="D235">
        <f>RAW_DATA!D235</f>
        <v>1</v>
      </c>
      <c r="E235">
        <f>RAW_DATA!E235</f>
        <v>4</v>
      </c>
      <c r="F235" t="str">
        <f>RAW_DATA!F235</f>
        <v>Medical</v>
      </c>
      <c r="G235">
        <f>RAW_DATA!G235</f>
        <v>4</v>
      </c>
      <c r="H235">
        <f>RAW_DATA!H235</f>
        <v>4</v>
      </c>
      <c r="I235" t="str">
        <f>RAW_DATA!I235</f>
        <v>Divorced</v>
      </c>
      <c r="J235">
        <f>RAW_DATA!J235</f>
        <v>19517</v>
      </c>
      <c r="K235">
        <f>RAW_DATA!K235</f>
        <v>3</v>
      </c>
      <c r="L235">
        <f>RAW_DATA!L235</f>
        <v>2</v>
      </c>
      <c r="M235">
        <f>RAW_DATA!M235</f>
        <v>7</v>
      </c>
      <c r="N235">
        <f t="shared" si="6"/>
        <v>0</v>
      </c>
      <c r="O235" t="str">
        <f xml:space="preserve"> VLOOKUP(A235, Lookup_Tables!$G$2:$H$6,2,TRUE)</f>
        <v>45-54</v>
      </c>
      <c r="P235" t="str">
        <f>_xlfn.XLOOKUP(J235,Lookup_Tables!$J$2:$J$4,Lookup_Tables!$K$2:$K$4, " ",-1)</f>
        <v>High</v>
      </c>
      <c r="Q235" t="str">
        <f xml:space="preserve"> _xlfn.XLOOKUP(M235, Lookup_Tables!$M$2:$M$5,Lookup_Tables!$N$2:$N$5," ", -1)</f>
        <v>Established (5-10)</v>
      </c>
      <c r="R235" s="4">
        <f t="shared" si="7"/>
        <v>3.3333333333333335</v>
      </c>
      <c r="S235" t="str">
        <f xml:space="preserve"> _xlfn.XLOOKUP( E235, Lookup_Tables!$A$2:$A$6,Lookup_Tables!$B$2:$B$6," ", -1)</f>
        <v>Master</v>
      </c>
      <c r="T235" t="str">
        <f>_xlfn.XLOOKUP(G235,Lookup_Tables!$D$2:$D$5,Lookup_Tables!$E$2:$E$5)</f>
        <v>Very High</v>
      </c>
      <c r="U235" t="str">
        <f>_xlfn.XLOOKUP(H235,Lookup_Tables!$D$2:$D$5,Lookup_Tables!$E$2:$E$5)</f>
        <v>Very High</v>
      </c>
      <c r="V235" t="str">
        <f>_xlfn.XLOOKUP(L235,Lookup_Tables!$D$2:$D$5,Lookup_Tables!$E$2:$E$5)</f>
        <v>Medium</v>
      </c>
    </row>
    <row r="236" spans="1:22">
      <c r="A236">
        <f>RAW_DATA!A236</f>
        <v>33</v>
      </c>
      <c r="B236" t="str">
        <f>RAW_DATA!B236</f>
        <v>Yes</v>
      </c>
      <c r="C236" t="str">
        <f>RAW_DATA!C236</f>
        <v>Research &amp; Development</v>
      </c>
      <c r="D236">
        <f>RAW_DATA!D236</f>
        <v>14</v>
      </c>
      <c r="E236">
        <f>RAW_DATA!E236</f>
        <v>3</v>
      </c>
      <c r="F236" t="str">
        <f>RAW_DATA!F236</f>
        <v>Medical</v>
      </c>
      <c r="G236">
        <f>RAW_DATA!G236</f>
        <v>3</v>
      </c>
      <c r="H236">
        <f>RAW_DATA!H236</f>
        <v>4</v>
      </c>
      <c r="I236" t="str">
        <f>RAW_DATA!I236</f>
        <v>Married</v>
      </c>
      <c r="J236">
        <f>RAW_DATA!J236</f>
        <v>2436</v>
      </c>
      <c r="K236">
        <f>RAW_DATA!K236</f>
        <v>5</v>
      </c>
      <c r="L236">
        <f>RAW_DATA!L236</f>
        <v>1</v>
      </c>
      <c r="M236">
        <f>RAW_DATA!M236</f>
        <v>5</v>
      </c>
      <c r="N236">
        <f t="shared" si="6"/>
        <v>1</v>
      </c>
      <c r="O236" t="str">
        <f xml:space="preserve"> VLOOKUP(A236, Lookup_Tables!$G$2:$H$6,2,TRUE)</f>
        <v>25-34</v>
      </c>
      <c r="P236" t="str">
        <f>_xlfn.XLOOKUP(J236,Lookup_Tables!$J$2:$J$4,Lookup_Tables!$K$2:$K$4, " ",-1)</f>
        <v>Low</v>
      </c>
      <c r="Q236" t="str">
        <f xml:space="preserve"> _xlfn.XLOOKUP(M236, Lookup_Tables!$M$2:$M$5,Lookup_Tables!$N$2:$N$5," ", -1)</f>
        <v>Established (5-10)</v>
      </c>
      <c r="R236" s="4">
        <f t="shared" si="7"/>
        <v>2.6666666666666665</v>
      </c>
      <c r="S236" t="str">
        <f xml:space="preserve"> _xlfn.XLOOKUP( E236, Lookup_Tables!$A$2:$A$6,Lookup_Tables!$B$2:$B$6," ", -1)</f>
        <v>Bachelor</v>
      </c>
      <c r="T236" t="str">
        <f>_xlfn.XLOOKUP(G236,Lookup_Tables!$D$2:$D$5,Lookup_Tables!$E$2:$E$5)</f>
        <v>High</v>
      </c>
      <c r="U236" t="str">
        <f>_xlfn.XLOOKUP(H236,Lookup_Tables!$D$2:$D$5,Lookup_Tables!$E$2:$E$5)</f>
        <v>Very High</v>
      </c>
      <c r="V236" t="str">
        <f>_xlfn.XLOOKUP(L236,Lookup_Tables!$D$2:$D$5,Lookup_Tables!$E$2:$E$5)</f>
        <v>Low</v>
      </c>
    </row>
    <row r="237" spans="1:22">
      <c r="A237">
        <f>RAW_DATA!A237</f>
        <v>43</v>
      </c>
      <c r="B237" t="str">
        <f>RAW_DATA!B237</f>
        <v>No</v>
      </c>
      <c r="C237" t="str">
        <f>RAW_DATA!C237</f>
        <v>Sales</v>
      </c>
      <c r="D237">
        <f>RAW_DATA!D237</f>
        <v>16</v>
      </c>
      <c r="E237">
        <f>RAW_DATA!E237</f>
        <v>3</v>
      </c>
      <c r="F237" t="str">
        <f>RAW_DATA!F237</f>
        <v>Marketing</v>
      </c>
      <c r="G237">
        <f>RAW_DATA!G237</f>
        <v>4</v>
      </c>
      <c r="H237">
        <f>RAW_DATA!H237</f>
        <v>4</v>
      </c>
      <c r="I237" t="str">
        <f>RAW_DATA!I237</f>
        <v>Married</v>
      </c>
      <c r="J237">
        <f>RAW_DATA!J237</f>
        <v>16064</v>
      </c>
      <c r="K237">
        <f>RAW_DATA!K237</f>
        <v>5</v>
      </c>
      <c r="L237">
        <f>RAW_DATA!L237</f>
        <v>3</v>
      </c>
      <c r="M237">
        <f>RAW_DATA!M237</f>
        <v>17</v>
      </c>
      <c r="N237">
        <f t="shared" si="6"/>
        <v>0</v>
      </c>
      <c r="O237" t="str">
        <f xml:space="preserve"> VLOOKUP(A237, Lookup_Tables!$G$2:$H$6,2,TRUE)</f>
        <v>35-44</v>
      </c>
      <c r="P237" t="str">
        <f>_xlfn.XLOOKUP(J237,Lookup_Tables!$J$2:$J$4,Lookup_Tables!$K$2:$K$4, " ",-1)</f>
        <v>High</v>
      </c>
      <c r="Q237" t="str">
        <f xml:space="preserve"> _xlfn.XLOOKUP(M237, Lookup_Tables!$M$2:$M$5,Lookup_Tables!$N$2:$N$5," ", -1)</f>
        <v>Veteran (10+)</v>
      </c>
      <c r="R237" s="4">
        <f t="shared" si="7"/>
        <v>3.6666666666666665</v>
      </c>
      <c r="S237" t="str">
        <f xml:space="preserve"> _xlfn.XLOOKUP( E237, Lookup_Tables!$A$2:$A$6,Lookup_Tables!$B$2:$B$6," ", -1)</f>
        <v>Bachelor</v>
      </c>
      <c r="T237" t="str">
        <f>_xlfn.XLOOKUP(G237,Lookup_Tables!$D$2:$D$5,Lookup_Tables!$E$2:$E$5)</f>
        <v>Very High</v>
      </c>
      <c r="U237" t="str">
        <f>_xlfn.XLOOKUP(H237,Lookup_Tables!$D$2:$D$5,Lookup_Tables!$E$2:$E$5)</f>
        <v>Very High</v>
      </c>
      <c r="V237" t="str">
        <f>_xlfn.XLOOKUP(L237,Lookup_Tables!$D$2:$D$5,Lookup_Tables!$E$2:$E$5)</f>
        <v>High</v>
      </c>
    </row>
    <row r="238" spans="1:22">
      <c r="A238">
        <f>RAW_DATA!A238</f>
        <v>33</v>
      </c>
      <c r="B238" t="str">
        <f>RAW_DATA!B238</f>
        <v>Yes</v>
      </c>
      <c r="C238" t="str">
        <f>RAW_DATA!C238</f>
        <v>Research &amp; Development</v>
      </c>
      <c r="D238">
        <f>RAW_DATA!D238</f>
        <v>2</v>
      </c>
      <c r="E238">
        <f>RAW_DATA!E238</f>
        <v>2</v>
      </c>
      <c r="F238" t="str">
        <f>RAW_DATA!F238</f>
        <v>Life Sciences</v>
      </c>
      <c r="G238">
        <f>RAW_DATA!G238</f>
        <v>1</v>
      </c>
      <c r="H238">
        <f>RAW_DATA!H238</f>
        <v>1</v>
      </c>
      <c r="I238" t="str">
        <f>RAW_DATA!I238</f>
        <v>Married</v>
      </c>
      <c r="J238">
        <f>RAW_DATA!J238</f>
        <v>2707</v>
      </c>
      <c r="K238">
        <f>RAW_DATA!K238</f>
        <v>7</v>
      </c>
      <c r="L238">
        <f>RAW_DATA!L238</f>
        <v>4</v>
      </c>
      <c r="M238">
        <f>RAW_DATA!M238</f>
        <v>9</v>
      </c>
      <c r="N238">
        <f t="shared" si="6"/>
        <v>1</v>
      </c>
      <c r="O238" t="str">
        <f xml:space="preserve"> VLOOKUP(A238, Lookup_Tables!$G$2:$H$6,2,TRUE)</f>
        <v>25-34</v>
      </c>
      <c r="P238" t="str">
        <f>_xlfn.XLOOKUP(J238,Lookup_Tables!$J$2:$J$4,Lookup_Tables!$K$2:$K$4, " ",-1)</f>
        <v>Low</v>
      </c>
      <c r="Q238" t="str">
        <f xml:space="preserve"> _xlfn.XLOOKUP(M238, Lookup_Tables!$M$2:$M$5,Lookup_Tables!$N$2:$N$5," ", -1)</f>
        <v>Established (5-10)</v>
      </c>
      <c r="R238" s="4">
        <f t="shared" si="7"/>
        <v>2</v>
      </c>
      <c r="S238" t="str">
        <f xml:space="preserve"> _xlfn.XLOOKUP( E238, Lookup_Tables!$A$2:$A$6,Lookup_Tables!$B$2:$B$6," ", -1)</f>
        <v>College</v>
      </c>
      <c r="T238" t="str">
        <f>_xlfn.XLOOKUP(G238,Lookup_Tables!$D$2:$D$5,Lookup_Tables!$E$2:$E$5)</f>
        <v>Low</v>
      </c>
      <c r="U238" t="str">
        <f>_xlfn.XLOOKUP(H238,Lookup_Tables!$D$2:$D$5,Lookup_Tables!$E$2:$E$5)</f>
        <v>Low</v>
      </c>
      <c r="V238" t="str">
        <f>_xlfn.XLOOKUP(L238,Lookup_Tables!$D$2:$D$5,Lookup_Tables!$E$2:$E$5)</f>
        <v>Very High</v>
      </c>
    </row>
    <row r="239" spans="1:22">
      <c r="A239">
        <f>RAW_DATA!A239</f>
        <v>52</v>
      </c>
      <c r="B239" t="str">
        <f>RAW_DATA!B239</f>
        <v>No</v>
      </c>
      <c r="C239" t="str">
        <f>RAW_DATA!C239</f>
        <v>Sales</v>
      </c>
      <c r="D239">
        <f>RAW_DATA!D239</f>
        <v>2</v>
      </c>
      <c r="E239">
        <f>RAW_DATA!E239</f>
        <v>4</v>
      </c>
      <c r="F239" t="str">
        <f>RAW_DATA!F239</f>
        <v>Life Sciences</v>
      </c>
      <c r="G239">
        <f>RAW_DATA!G239</f>
        <v>1</v>
      </c>
      <c r="H239">
        <f>RAW_DATA!H239</f>
        <v>3</v>
      </c>
      <c r="I239" t="str">
        <f>RAW_DATA!I239</f>
        <v>Single</v>
      </c>
      <c r="J239">
        <f>RAW_DATA!J239</f>
        <v>19068</v>
      </c>
      <c r="K239">
        <f>RAW_DATA!K239</f>
        <v>1</v>
      </c>
      <c r="L239">
        <f>RAW_DATA!L239</f>
        <v>4</v>
      </c>
      <c r="M239">
        <f>RAW_DATA!M239</f>
        <v>33</v>
      </c>
      <c r="N239">
        <f t="shared" si="6"/>
        <v>0</v>
      </c>
      <c r="O239" t="str">
        <f xml:space="preserve"> VLOOKUP(A239, Lookup_Tables!$G$2:$H$6,2,TRUE)</f>
        <v>45-54</v>
      </c>
      <c r="P239" t="str">
        <f>_xlfn.XLOOKUP(J239,Lookup_Tables!$J$2:$J$4,Lookup_Tables!$K$2:$K$4, " ",-1)</f>
        <v>High</v>
      </c>
      <c r="Q239" t="str">
        <f xml:space="preserve"> _xlfn.XLOOKUP(M239, Lookup_Tables!$M$2:$M$5,Lookup_Tables!$N$2:$N$5," ", -1)</f>
        <v>Veteran (10+)</v>
      </c>
      <c r="R239" s="4">
        <f t="shared" si="7"/>
        <v>2.6666666666666665</v>
      </c>
      <c r="S239" t="str">
        <f xml:space="preserve"> _xlfn.XLOOKUP( E239, Lookup_Tables!$A$2:$A$6,Lookup_Tables!$B$2:$B$6," ", -1)</f>
        <v>Master</v>
      </c>
      <c r="T239" t="str">
        <f>_xlfn.XLOOKUP(G239,Lookup_Tables!$D$2:$D$5,Lookup_Tables!$E$2:$E$5)</f>
        <v>Low</v>
      </c>
      <c r="U239" t="str">
        <f>_xlfn.XLOOKUP(H239,Lookup_Tables!$D$2:$D$5,Lookup_Tables!$E$2:$E$5)</f>
        <v>High</v>
      </c>
      <c r="V239" t="str">
        <f>_xlfn.XLOOKUP(L239,Lookup_Tables!$D$2:$D$5,Lookup_Tables!$E$2:$E$5)</f>
        <v>Very High</v>
      </c>
    </row>
    <row r="240" spans="1:22">
      <c r="A240">
        <f>RAW_DATA!A240</f>
        <v>32</v>
      </c>
      <c r="B240" t="str">
        <f>RAW_DATA!B240</f>
        <v>No</v>
      </c>
      <c r="C240" t="str">
        <f>RAW_DATA!C240</f>
        <v>Sales</v>
      </c>
      <c r="D240">
        <f>RAW_DATA!D240</f>
        <v>4</v>
      </c>
      <c r="E240">
        <f>RAW_DATA!E240</f>
        <v>2</v>
      </c>
      <c r="F240" t="str">
        <f>RAW_DATA!F240</f>
        <v>Life Sciences</v>
      </c>
      <c r="G240">
        <f>RAW_DATA!G240</f>
        <v>3</v>
      </c>
      <c r="H240">
        <f>RAW_DATA!H240</f>
        <v>2</v>
      </c>
      <c r="I240" t="str">
        <f>RAW_DATA!I240</f>
        <v>Married</v>
      </c>
      <c r="J240">
        <f>RAW_DATA!J240</f>
        <v>3931</v>
      </c>
      <c r="K240">
        <f>RAW_DATA!K240</f>
        <v>2</v>
      </c>
      <c r="L240">
        <f>RAW_DATA!L240</f>
        <v>3</v>
      </c>
      <c r="M240">
        <f>RAW_DATA!M240</f>
        <v>4</v>
      </c>
      <c r="N240">
        <f t="shared" si="6"/>
        <v>0</v>
      </c>
      <c r="O240" t="str">
        <f xml:space="preserve"> VLOOKUP(A240, Lookup_Tables!$G$2:$H$6,2,TRUE)</f>
        <v>25-34</v>
      </c>
      <c r="P240" t="str">
        <f>_xlfn.XLOOKUP(J240,Lookup_Tables!$J$2:$J$4,Lookup_Tables!$K$2:$K$4, " ",-1)</f>
        <v>Medium</v>
      </c>
      <c r="Q240" t="str">
        <f xml:space="preserve"> _xlfn.XLOOKUP(M240, Lookup_Tables!$M$2:$M$5,Lookup_Tables!$N$2:$N$5," ", -1)</f>
        <v>Early (2-5)</v>
      </c>
      <c r="R240" s="4">
        <f t="shared" si="7"/>
        <v>2.6666666666666665</v>
      </c>
      <c r="S240" t="str">
        <f xml:space="preserve"> _xlfn.XLOOKUP( E240, Lookup_Tables!$A$2:$A$6,Lookup_Tables!$B$2:$B$6," ", -1)</f>
        <v>College</v>
      </c>
      <c r="T240" t="str">
        <f>_xlfn.XLOOKUP(G240,Lookup_Tables!$D$2:$D$5,Lookup_Tables!$E$2:$E$5)</f>
        <v>High</v>
      </c>
      <c r="U240" t="str">
        <f>_xlfn.XLOOKUP(H240,Lookup_Tables!$D$2:$D$5,Lookup_Tables!$E$2:$E$5)</f>
        <v>Medium</v>
      </c>
      <c r="V240" t="str">
        <f>_xlfn.XLOOKUP(L240,Lookup_Tables!$D$2:$D$5,Lookup_Tables!$E$2:$E$5)</f>
        <v>High</v>
      </c>
    </row>
    <row r="241" spans="1:22">
      <c r="A241">
        <f>RAW_DATA!A241</f>
        <v>32</v>
      </c>
      <c r="B241" t="str">
        <f>RAW_DATA!B241</f>
        <v>Yes</v>
      </c>
      <c r="C241" t="str">
        <f>RAW_DATA!C241</f>
        <v>Research &amp; Development</v>
      </c>
      <c r="D241">
        <f>RAW_DATA!D241</f>
        <v>1</v>
      </c>
      <c r="E241">
        <f>RAW_DATA!E241</f>
        <v>3</v>
      </c>
      <c r="F241" t="str">
        <f>RAW_DATA!F241</f>
        <v>Life Sciences</v>
      </c>
      <c r="G241">
        <f>RAW_DATA!G241</f>
        <v>4</v>
      </c>
      <c r="H241">
        <f>RAW_DATA!H241</f>
        <v>3</v>
      </c>
      <c r="I241" t="str">
        <f>RAW_DATA!I241</f>
        <v>Single</v>
      </c>
      <c r="J241">
        <f>RAW_DATA!J241</f>
        <v>3730</v>
      </c>
      <c r="K241">
        <f>RAW_DATA!K241</f>
        <v>0</v>
      </c>
      <c r="L241">
        <f>RAW_DATA!L241</f>
        <v>1</v>
      </c>
      <c r="M241">
        <f>RAW_DATA!M241</f>
        <v>3</v>
      </c>
      <c r="N241">
        <f t="shared" si="6"/>
        <v>1</v>
      </c>
      <c r="O241" t="str">
        <f xml:space="preserve"> VLOOKUP(A241, Lookup_Tables!$G$2:$H$6,2,TRUE)</f>
        <v>25-34</v>
      </c>
      <c r="P241" t="str">
        <f>_xlfn.XLOOKUP(J241,Lookup_Tables!$J$2:$J$4,Lookup_Tables!$K$2:$K$4, " ",-1)</f>
        <v>Medium</v>
      </c>
      <c r="Q241" t="str">
        <f xml:space="preserve"> _xlfn.XLOOKUP(M241, Lookup_Tables!$M$2:$M$5,Lookup_Tables!$N$2:$N$5," ", -1)</f>
        <v>Early (2-5)</v>
      </c>
      <c r="R241" s="4">
        <f t="shared" si="7"/>
        <v>2.6666666666666665</v>
      </c>
      <c r="S241" t="str">
        <f xml:space="preserve"> _xlfn.XLOOKUP( E241, Lookup_Tables!$A$2:$A$6,Lookup_Tables!$B$2:$B$6," ", -1)</f>
        <v>Bachelor</v>
      </c>
      <c r="T241" t="str">
        <f>_xlfn.XLOOKUP(G241,Lookup_Tables!$D$2:$D$5,Lookup_Tables!$E$2:$E$5)</f>
        <v>Very High</v>
      </c>
      <c r="U241" t="str">
        <f>_xlfn.XLOOKUP(H241,Lookup_Tables!$D$2:$D$5,Lookup_Tables!$E$2:$E$5)</f>
        <v>High</v>
      </c>
      <c r="V241" t="str">
        <f>_xlfn.XLOOKUP(L241,Lookup_Tables!$D$2:$D$5,Lookup_Tables!$E$2:$E$5)</f>
        <v>Low</v>
      </c>
    </row>
    <row r="242" spans="1:22">
      <c r="A242">
        <f>RAW_DATA!A242</f>
        <v>39</v>
      </c>
      <c r="B242" t="str">
        <f>RAW_DATA!B242</f>
        <v>No</v>
      </c>
      <c r="C242" t="str">
        <f>RAW_DATA!C242</f>
        <v>Research &amp; Development</v>
      </c>
      <c r="D242">
        <f>RAW_DATA!D242</f>
        <v>1</v>
      </c>
      <c r="E242">
        <f>RAW_DATA!E242</f>
        <v>4</v>
      </c>
      <c r="F242" t="str">
        <f>RAW_DATA!F242</f>
        <v>Medical</v>
      </c>
      <c r="G242">
        <f>RAW_DATA!G242</f>
        <v>3</v>
      </c>
      <c r="H242">
        <f>RAW_DATA!H242</f>
        <v>3</v>
      </c>
      <c r="I242" t="str">
        <f>RAW_DATA!I242</f>
        <v>Divorced</v>
      </c>
      <c r="J242">
        <f>RAW_DATA!J242</f>
        <v>2232</v>
      </c>
      <c r="K242">
        <f>RAW_DATA!K242</f>
        <v>7</v>
      </c>
      <c r="L242">
        <f>RAW_DATA!L242</f>
        <v>3</v>
      </c>
      <c r="M242">
        <f>RAW_DATA!M242</f>
        <v>3</v>
      </c>
      <c r="N242">
        <f t="shared" si="6"/>
        <v>0</v>
      </c>
      <c r="O242" t="str">
        <f xml:space="preserve"> VLOOKUP(A242, Lookup_Tables!$G$2:$H$6,2,TRUE)</f>
        <v>35-44</v>
      </c>
      <c r="P242" t="str">
        <f>_xlfn.XLOOKUP(J242,Lookup_Tables!$J$2:$J$4,Lookup_Tables!$K$2:$K$4, " ",-1)</f>
        <v>Low</v>
      </c>
      <c r="Q242" t="str">
        <f xml:space="preserve"> _xlfn.XLOOKUP(M242, Lookup_Tables!$M$2:$M$5,Lookup_Tables!$N$2:$N$5," ", -1)</f>
        <v>Early (2-5)</v>
      </c>
      <c r="R242" s="4">
        <f t="shared" si="7"/>
        <v>3</v>
      </c>
      <c r="S242" t="str">
        <f xml:space="preserve"> _xlfn.XLOOKUP( E242, Lookup_Tables!$A$2:$A$6,Lookup_Tables!$B$2:$B$6," ", -1)</f>
        <v>Master</v>
      </c>
      <c r="T242" t="str">
        <f>_xlfn.XLOOKUP(G242,Lookup_Tables!$D$2:$D$5,Lookup_Tables!$E$2:$E$5)</f>
        <v>High</v>
      </c>
      <c r="U242" t="str">
        <f>_xlfn.XLOOKUP(H242,Lookup_Tables!$D$2:$D$5,Lookup_Tables!$E$2:$E$5)</f>
        <v>High</v>
      </c>
      <c r="V242" t="str">
        <f>_xlfn.XLOOKUP(L242,Lookup_Tables!$D$2:$D$5,Lookup_Tables!$E$2:$E$5)</f>
        <v>High</v>
      </c>
    </row>
    <row r="243" spans="1:22">
      <c r="A243">
        <f>RAW_DATA!A243</f>
        <v>32</v>
      </c>
      <c r="B243" t="str">
        <f>RAW_DATA!B243</f>
        <v>No</v>
      </c>
      <c r="C243" t="str">
        <f>RAW_DATA!C243</f>
        <v>Sales</v>
      </c>
      <c r="D243">
        <f>RAW_DATA!D243</f>
        <v>26</v>
      </c>
      <c r="E243">
        <f>RAW_DATA!E243</f>
        <v>4</v>
      </c>
      <c r="F243" t="str">
        <f>RAW_DATA!F243</f>
        <v>Marketing</v>
      </c>
      <c r="G243">
        <f>RAW_DATA!G243</f>
        <v>3</v>
      </c>
      <c r="H243">
        <f>RAW_DATA!H243</f>
        <v>4</v>
      </c>
      <c r="I243" t="str">
        <f>RAW_DATA!I243</f>
        <v>Married</v>
      </c>
      <c r="J243">
        <f>RAW_DATA!J243</f>
        <v>4465</v>
      </c>
      <c r="K243">
        <f>RAW_DATA!K243</f>
        <v>0</v>
      </c>
      <c r="L243">
        <f>RAW_DATA!L243</f>
        <v>3</v>
      </c>
      <c r="M243">
        <f>RAW_DATA!M243</f>
        <v>3</v>
      </c>
      <c r="N243">
        <f t="shared" si="6"/>
        <v>0</v>
      </c>
      <c r="O243" t="str">
        <f xml:space="preserve"> VLOOKUP(A243, Lookup_Tables!$G$2:$H$6,2,TRUE)</f>
        <v>25-34</v>
      </c>
      <c r="P243" t="str">
        <f>_xlfn.XLOOKUP(J243,Lookup_Tables!$J$2:$J$4,Lookup_Tables!$K$2:$K$4, " ",-1)</f>
        <v>Medium</v>
      </c>
      <c r="Q243" t="str">
        <f xml:space="preserve"> _xlfn.XLOOKUP(M243, Lookup_Tables!$M$2:$M$5,Lookup_Tables!$N$2:$N$5," ", -1)</f>
        <v>Early (2-5)</v>
      </c>
      <c r="R243" s="4">
        <f t="shared" si="7"/>
        <v>3.3333333333333335</v>
      </c>
      <c r="S243" t="str">
        <f xml:space="preserve"> _xlfn.XLOOKUP( E243, Lookup_Tables!$A$2:$A$6,Lookup_Tables!$B$2:$B$6," ", -1)</f>
        <v>Master</v>
      </c>
      <c r="T243" t="str">
        <f>_xlfn.XLOOKUP(G243,Lookup_Tables!$D$2:$D$5,Lookup_Tables!$E$2:$E$5)</f>
        <v>High</v>
      </c>
      <c r="U243" t="str">
        <f>_xlfn.XLOOKUP(H243,Lookup_Tables!$D$2:$D$5,Lookup_Tables!$E$2:$E$5)</f>
        <v>Very High</v>
      </c>
      <c r="V243" t="str">
        <f>_xlfn.XLOOKUP(L243,Lookup_Tables!$D$2:$D$5,Lookup_Tables!$E$2:$E$5)</f>
        <v>High</v>
      </c>
    </row>
    <row r="244" spans="1:22">
      <c r="A244">
        <f>RAW_DATA!A244</f>
        <v>41</v>
      </c>
      <c r="B244" t="str">
        <f>RAW_DATA!B244</f>
        <v>No</v>
      </c>
      <c r="C244" t="str">
        <f>RAW_DATA!C244</f>
        <v>Research &amp; Development</v>
      </c>
      <c r="D244">
        <f>RAW_DATA!D244</f>
        <v>19</v>
      </c>
      <c r="E244">
        <f>RAW_DATA!E244</f>
        <v>2</v>
      </c>
      <c r="F244" t="str">
        <f>RAW_DATA!F244</f>
        <v>Life Sciences</v>
      </c>
      <c r="G244">
        <f>RAW_DATA!G244</f>
        <v>3</v>
      </c>
      <c r="H244">
        <f>RAW_DATA!H244</f>
        <v>1</v>
      </c>
      <c r="I244" t="str">
        <f>RAW_DATA!I244</f>
        <v>Divorced</v>
      </c>
      <c r="J244">
        <f>RAW_DATA!J244</f>
        <v>3072</v>
      </c>
      <c r="K244">
        <f>RAW_DATA!K244</f>
        <v>2</v>
      </c>
      <c r="L244">
        <f>RAW_DATA!L244</f>
        <v>2</v>
      </c>
      <c r="M244">
        <f>RAW_DATA!M244</f>
        <v>1</v>
      </c>
      <c r="N244">
        <f t="shared" si="6"/>
        <v>0</v>
      </c>
      <c r="O244" t="str">
        <f xml:space="preserve"> VLOOKUP(A244, Lookup_Tables!$G$2:$H$6,2,TRUE)</f>
        <v>35-44</v>
      </c>
      <c r="P244" t="str">
        <f>_xlfn.XLOOKUP(J244,Lookup_Tables!$J$2:$J$4,Lookup_Tables!$K$2:$K$4, " ",-1)</f>
        <v>Medium</v>
      </c>
      <c r="Q244" t="str">
        <f xml:space="preserve"> _xlfn.XLOOKUP(M244, Lookup_Tables!$M$2:$M$5,Lookup_Tables!$N$2:$N$5," ", -1)</f>
        <v>New (0-2)</v>
      </c>
      <c r="R244" s="4">
        <f t="shared" si="7"/>
        <v>2</v>
      </c>
      <c r="S244" t="str">
        <f xml:space="preserve"> _xlfn.XLOOKUP( E244, Lookup_Tables!$A$2:$A$6,Lookup_Tables!$B$2:$B$6," ", -1)</f>
        <v>College</v>
      </c>
      <c r="T244" t="str">
        <f>_xlfn.XLOOKUP(G244,Lookup_Tables!$D$2:$D$5,Lookup_Tables!$E$2:$E$5)</f>
        <v>High</v>
      </c>
      <c r="U244" t="str">
        <f>_xlfn.XLOOKUP(H244,Lookup_Tables!$D$2:$D$5,Lookup_Tables!$E$2:$E$5)</f>
        <v>Low</v>
      </c>
      <c r="V244" t="str">
        <f>_xlfn.XLOOKUP(L244,Lookup_Tables!$D$2:$D$5,Lookup_Tables!$E$2:$E$5)</f>
        <v>Medium</v>
      </c>
    </row>
    <row r="245" spans="1:22">
      <c r="A245">
        <f>RAW_DATA!A245</f>
        <v>40</v>
      </c>
      <c r="B245" t="str">
        <f>RAW_DATA!B245</f>
        <v>No</v>
      </c>
      <c r="C245" t="str">
        <f>RAW_DATA!C245</f>
        <v>Research &amp; Development</v>
      </c>
      <c r="D245">
        <f>RAW_DATA!D245</f>
        <v>24</v>
      </c>
      <c r="E245">
        <f>RAW_DATA!E245</f>
        <v>2</v>
      </c>
      <c r="F245" t="str">
        <f>RAW_DATA!F245</f>
        <v>Technical Degree</v>
      </c>
      <c r="G245">
        <f>RAW_DATA!G245</f>
        <v>1</v>
      </c>
      <c r="H245">
        <f>RAW_DATA!H245</f>
        <v>4</v>
      </c>
      <c r="I245" t="str">
        <f>RAW_DATA!I245</f>
        <v>Divorced</v>
      </c>
      <c r="J245">
        <f>RAW_DATA!J245</f>
        <v>3319</v>
      </c>
      <c r="K245">
        <f>RAW_DATA!K245</f>
        <v>1</v>
      </c>
      <c r="L245">
        <f>RAW_DATA!L245</f>
        <v>3</v>
      </c>
      <c r="M245">
        <f>RAW_DATA!M245</f>
        <v>9</v>
      </c>
      <c r="N245">
        <f t="shared" si="6"/>
        <v>0</v>
      </c>
      <c r="O245" t="str">
        <f xml:space="preserve"> VLOOKUP(A245, Lookup_Tables!$G$2:$H$6,2,TRUE)</f>
        <v>35-44</v>
      </c>
      <c r="P245" t="str">
        <f>_xlfn.XLOOKUP(J245,Lookup_Tables!$J$2:$J$4,Lookup_Tables!$K$2:$K$4, " ",-1)</f>
        <v>Medium</v>
      </c>
      <c r="Q245" t="str">
        <f xml:space="preserve"> _xlfn.XLOOKUP(M245, Lookup_Tables!$M$2:$M$5,Lookup_Tables!$N$2:$N$5," ", -1)</f>
        <v>Established (5-10)</v>
      </c>
      <c r="R245" s="4">
        <f t="shared" si="7"/>
        <v>2.6666666666666665</v>
      </c>
      <c r="S245" t="str">
        <f xml:space="preserve"> _xlfn.XLOOKUP( E245, Lookup_Tables!$A$2:$A$6,Lookup_Tables!$B$2:$B$6," ", -1)</f>
        <v>College</v>
      </c>
      <c r="T245" t="str">
        <f>_xlfn.XLOOKUP(G245,Lookup_Tables!$D$2:$D$5,Lookup_Tables!$E$2:$E$5)</f>
        <v>Low</v>
      </c>
      <c r="U245" t="str">
        <f>_xlfn.XLOOKUP(H245,Lookup_Tables!$D$2:$D$5,Lookup_Tables!$E$2:$E$5)</f>
        <v>Very High</v>
      </c>
      <c r="V245" t="str">
        <f>_xlfn.XLOOKUP(L245,Lookup_Tables!$D$2:$D$5,Lookup_Tables!$E$2:$E$5)</f>
        <v>High</v>
      </c>
    </row>
    <row r="246" spans="1:22">
      <c r="A246">
        <f>RAW_DATA!A246</f>
        <v>45</v>
      </c>
      <c r="B246" t="str">
        <f>RAW_DATA!B246</f>
        <v>No</v>
      </c>
      <c r="C246" t="str">
        <f>RAW_DATA!C246</f>
        <v>Research &amp; Development</v>
      </c>
      <c r="D246">
        <f>RAW_DATA!D246</f>
        <v>1</v>
      </c>
      <c r="E246">
        <f>RAW_DATA!E246</f>
        <v>3</v>
      </c>
      <c r="F246" t="str">
        <f>RAW_DATA!F246</f>
        <v>Other</v>
      </c>
      <c r="G246">
        <f>RAW_DATA!G246</f>
        <v>3</v>
      </c>
      <c r="H246">
        <f>RAW_DATA!H246</f>
        <v>4</v>
      </c>
      <c r="I246" t="str">
        <f>RAW_DATA!I246</f>
        <v>Married</v>
      </c>
      <c r="J246">
        <f>RAW_DATA!J246</f>
        <v>19202</v>
      </c>
      <c r="K246">
        <f>RAW_DATA!K246</f>
        <v>0</v>
      </c>
      <c r="L246">
        <f>RAW_DATA!L246</f>
        <v>3</v>
      </c>
      <c r="M246">
        <f>RAW_DATA!M246</f>
        <v>24</v>
      </c>
      <c r="N246">
        <f t="shared" si="6"/>
        <v>0</v>
      </c>
      <c r="O246" t="str">
        <f xml:space="preserve"> VLOOKUP(A246, Lookup_Tables!$G$2:$H$6,2,TRUE)</f>
        <v>45-54</v>
      </c>
      <c r="P246" t="str">
        <f>_xlfn.XLOOKUP(J246,Lookup_Tables!$J$2:$J$4,Lookup_Tables!$K$2:$K$4, " ",-1)</f>
        <v>High</v>
      </c>
      <c r="Q246" t="str">
        <f xml:space="preserve"> _xlfn.XLOOKUP(M246, Lookup_Tables!$M$2:$M$5,Lookup_Tables!$N$2:$N$5," ", -1)</f>
        <v>Veteran (10+)</v>
      </c>
      <c r="R246" s="4">
        <f t="shared" si="7"/>
        <v>3.3333333333333335</v>
      </c>
      <c r="S246" t="str">
        <f xml:space="preserve"> _xlfn.XLOOKUP( E246, Lookup_Tables!$A$2:$A$6,Lookup_Tables!$B$2:$B$6," ", -1)</f>
        <v>Bachelor</v>
      </c>
      <c r="T246" t="str">
        <f>_xlfn.XLOOKUP(G246,Lookup_Tables!$D$2:$D$5,Lookup_Tables!$E$2:$E$5)</f>
        <v>High</v>
      </c>
      <c r="U246" t="str">
        <f>_xlfn.XLOOKUP(H246,Lookup_Tables!$D$2:$D$5,Lookup_Tables!$E$2:$E$5)</f>
        <v>Very High</v>
      </c>
      <c r="V246" t="str">
        <f>_xlfn.XLOOKUP(L246,Lookup_Tables!$D$2:$D$5,Lookup_Tables!$E$2:$E$5)</f>
        <v>High</v>
      </c>
    </row>
    <row r="247" spans="1:22">
      <c r="A247">
        <f>RAW_DATA!A247</f>
        <v>31</v>
      </c>
      <c r="B247" t="str">
        <f>RAW_DATA!B247</f>
        <v>No</v>
      </c>
      <c r="C247" t="str">
        <f>RAW_DATA!C247</f>
        <v>Research &amp; Development</v>
      </c>
      <c r="D247">
        <f>RAW_DATA!D247</f>
        <v>3</v>
      </c>
      <c r="E247">
        <f>RAW_DATA!E247</f>
        <v>4</v>
      </c>
      <c r="F247" t="str">
        <f>RAW_DATA!F247</f>
        <v>Medical</v>
      </c>
      <c r="G247">
        <f>RAW_DATA!G247</f>
        <v>2</v>
      </c>
      <c r="H247">
        <f>RAW_DATA!H247</f>
        <v>3</v>
      </c>
      <c r="I247" t="str">
        <f>RAW_DATA!I247</f>
        <v>Divorced</v>
      </c>
      <c r="J247">
        <f>RAW_DATA!J247</f>
        <v>13675</v>
      </c>
      <c r="K247">
        <f>RAW_DATA!K247</f>
        <v>9</v>
      </c>
      <c r="L247">
        <f>RAW_DATA!L247</f>
        <v>3</v>
      </c>
      <c r="M247">
        <f>RAW_DATA!M247</f>
        <v>2</v>
      </c>
      <c r="N247">
        <f t="shared" si="6"/>
        <v>0</v>
      </c>
      <c r="O247" t="str">
        <f xml:space="preserve"> VLOOKUP(A247, Lookup_Tables!$G$2:$H$6,2,TRUE)</f>
        <v>25-34</v>
      </c>
      <c r="P247" t="str">
        <f>_xlfn.XLOOKUP(J247,Lookup_Tables!$J$2:$J$4,Lookup_Tables!$K$2:$K$4, " ",-1)</f>
        <v>High</v>
      </c>
      <c r="Q247" t="str">
        <f xml:space="preserve"> _xlfn.XLOOKUP(M247, Lookup_Tables!$M$2:$M$5,Lookup_Tables!$N$2:$N$5," ", -1)</f>
        <v>Early (2-5)</v>
      </c>
      <c r="R247" s="4">
        <f t="shared" si="7"/>
        <v>2.6666666666666665</v>
      </c>
      <c r="S247" t="str">
        <f xml:space="preserve"> _xlfn.XLOOKUP( E247, Lookup_Tables!$A$2:$A$6,Lookup_Tables!$B$2:$B$6," ", -1)</f>
        <v>Master</v>
      </c>
      <c r="T247" t="str">
        <f>_xlfn.XLOOKUP(G247,Lookup_Tables!$D$2:$D$5,Lookup_Tables!$E$2:$E$5)</f>
        <v>Medium</v>
      </c>
      <c r="U247" t="str">
        <f>_xlfn.XLOOKUP(H247,Lookup_Tables!$D$2:$D$5,Lookup_Tables!$E$2:$E$5)</f>
        <v>High</v>
      </c>
      <c r="V247" t="str">
        <f>_xlfn.XLOOKUP(L247,Lookup_Tables!$D$2:$D$5,Lookup_Tables!$E$2:$E$5)</f>
        <v>High</v>
      </c>
    </row>
    <row r="248" spans="1:22">
      <c r="A248">
        <f>RAW_DATA!A248</f>
        <v>33</v>
      </c>
      <c r="B248" t="str">
        <f>RAW_DATA!B248</f>
        <v>No</v>
      </c>
      <c r="C248" t="str">
        <f>RAW_DATA!C248</f>
        <v>Research &amp; Development</v>
      </c>
      <c r="D248">
        <f>RAW_DATA!D248</f>
        <v>5</v>
      </c>
      <c r="E248">
        <f>RAW_DATA!E248</f>
        <v>4</v>
      </c>
      <c r="F248" t="str">
        <f>RAW_DATA!F248</f>
        <v>Life Sciences</v>
      </c>
      <c r="G248">
        <f>RAW_DATA!G248</f>
        <v>3</v>
      </c>
      <c r="H248">
        <f>RAW_DATA!H248</f>
        <v>4</v>
      </c>
      <c r="I248" t="str">
        <f>RAW_DATA!I248</f>
        <v>Married</v>
      </c>
      <c r="J248">
        <f>RAW_DATA!J248</f>
        <v>2911</v>
      </c>
      <c r="K248">
        <f>RAW_DATA!K248</f>
        <v>1</v>
      </c>
      <c r="L248">
        <f>RAW_DATA!L248</f>
        <v>2</v>
      </c>
      <c r="M248">
        <f>RAW_DATA!M248</f>
        <v>2</v>
      </c>
      <c r="N248">
        <f t="shared" si="6"/>
        <v>0</v>
      </c>
      <c r="O248" t="str">
        <f xml:space="preserve"> VLOOKUP(A248, Lookup_Tables!$G$2:$H$6,2,TRUE)</f>
        <v>25-34</v>
      </c>
      <c r="P248" t="str">
        <f>_xlfn.XLOOKUP(J248,Lookup_Tables!$J$2:$J$4,Lookup_Tables!$K$2:$K$4, " ",-1)</f>
        <v>Low</v>
      </c>
      <c r="Q248" t="str">
        <f xml:space="preserve"> _xlfn.XLOOKUP(M248, Lookup_Tables!$M$2:$M$5,Lookup_Tables!$N$2:$N$5," ", -1)</f>
        <v>Early (2-5)</v>
      </c>
      <c r="R248" s="4">
        <f t="shared" si="7"/>
        <v>3</v>
      </c>
      <c r="S248" t="str">
        <f xml:space="preserve"> _xlfn.XLOOKUP( E248, Lookup_Tables!$A$2:$A$6,Lookup_Tables!$B$2:$B$6," ", -1)</f>
        <v>Master</v>
      </c>
      <c r="T248" t="str">
        <f>_xlfn.XLOOKUP(G248,Lookup_Tables!$D$2:$D$5,Lookup_Tables!$E$2:$E$5)</f>
        <v>High</v>
      </c>
      <c r="U248" t="str">
        <f>_xlfn.XLOOKUP(H248,Lookup_Tables!$D$2:$D$5,Lookup_Tables!$E$2:$E$5)</f>
        <v>Very High</v>
      </c>
      <c r="V248" t="str">
        <f>_xlfn.XLOOKUP(L248,Lookup_Tables!$D$2:$D$5,Lookup_Tables!$E$2:$E$5)</f>
        <v>Medium</v>
      </c>
    </row>
    <row r="249" spans="1:22">
      <c r="A249">
        <f>RAW_DATA!A249</f>
        <v>34</v>
      </c>
      <c r="B249" t="str">
        <f>RAW_DATA!B249</f>
        <v>No</v>
      </c>
      <c r="C249" t="str">
        <f>RAW_DATA!C249</f>
        <v>Research &amp; Development</v>
      </c>
      <c r="D249">
        <f>RAW_DATA!D249</f>
        <v>2</v>
      </c>
      <c r="E249">
        <f>RAW_DATA!E249</f>
        <v>4</v>
      </c>
      <c r="F249" t="str">
        <f>RAW_DATA!F249</f>
        <v>Life Sciences</v>
      </c>
      <c r="G249">
        <f>RAW_DATA!G249</f>
        <v>4</v>
      </c>
      <c r="H249">
        <f>RAW_DATA!H249</f>
        <v>1</v>
      </c>
      <c r="I249" t="str">
        <f>RAW_DATA!I249</f>
        <v>Married</v>
      </c>
      <c r="J249">
        <f>RAW_DATA!J249</f>
        <v>5957</v>
      </c>
      <c r="K249">
        <f>RAW_DATA!K249</f>
        <v>6</v>
      </c>
      <c r="L249">
        <f>RAW_DATA!L249</f>
        <v>3</v>
      </c>
      <c r="M249">
        <f>RAW_DATA!M249</f>
        <v>11</v>
      </c>
      <c r="N249">
        <f t="shared" si="6"/>
        <v>0</v>
      </c>
      <c r="O249" t="str">
        <f xml:space="preserve"> VLOOKUP(A249, Lookup_Tables!$G$2:$H$6,2,TRUE)</f>
        <v>25-34</v>
      </c>
      <c r="P249" t="str">
        <f>_xlfn.XLOOKUP(J249,Lookup_Tables!$J$2:$J$4,Lookup_Tables!$K$2:$K$4, " ",-1)</f>
        <v>Medium</v>
      </c>
      <c r="Q249" t="str">
        <f xml:space="preserve"> _xlfn.XLOOKUP(M249, Lookup_Tables!$M$2:$M$5,Lookup_Tables!$N$2:$N$5," ", -1)</f>
        <v>Veteran (10+)</v>
      </c>
      <c r="R249" s="4">
        <f t="shared" si="7"/>
        <v>2.6666666666666665</v>
      </c>
      <c r="S249" t="str">
        <f xml:space="preserve"> _xlfn.XLOOKUP( E249, Lookup_Tables!$A$2:$A$6,Lookup_Tables!$B$2:$B$6," ", -1)</f>
        <v>Master</v>
      </c>
      <c r="T249" t="str">
        <f>_xlfn.XLOOKUP(G249,Lookup_Tables!$D$2:$D$5,Lookup_Tables!$E$2:$E$5)</f>
        <v>Very High</v>
      </c>
      <c r="U249" t="str">
        <f>_xlfn.XLOOKUP(H249,Lookup_Tables!$D$2:$D$5,Lookup_Tables!$E$2:$E$5)</f>
        <v>Low</v>
      </c>
      <c r="V249" t="str">
        <f>_xlfn.XLOOKUP(L249,Lookup_Tables!$D$2:$D$5,Lookup_Tables!$E$2:$E$5)</f>
        <v>High</v>
      </c>
    </row>
    <row r="250" spans="1:22">
      <c r="A250">
        <f>RAW_DATA!A250</f>
        <v>37</v>
      </c>
      <c r="B250" t="str">
        <f>RAW_DATA!B250</f>
        <v>No</v>
      </c>
      <c r="C250" t="str">
        <f>RAW_DATA!C250</f>
        <v>Research &amp; Development</v>
      </c>
      <c r="D250">
        <f>RAW_DATA!D250</f>
        <v>1</v>
      </c>
      <c r="E250">
        <f>RAW_DATA!E250</f>
        <v>2</v>
      </c>
      <c r="F250" t="str">
        <f>RAW_DATA!F250</f>
        <v>Medical</v>
      </c>
      <c r="G250">
        <f>RAW_DATA!G250</f>
        <v>3</v>
      </c>
      <c r="H250">
        <f>RAW_DATA!H250</f>
        <v>1</v>
      </c>
      <c r="I250" t="str">
        <f>RAW_DATA!I250</f>
        <v>Married</v>
      </c>
      <c r="J250">
        <f>RAW_DATA!J250</f>
        <v>3920</v>
      </c>
      <c r="K250">
        <f>RAW_DATA!K250</f>
        <v>2</v>
      </c>
      <c r="L250">
        <f>RAW_DATA!L250</f>
        <v>2</v>
      </c>
      <c r="M250">
        <f>RAW_DATA!M250</f>
        <v>3</v>
      </c>
      <c r="N250">
        <f t="shared" si="6"/>
        <v>0</v>
      </c>
      <c r="O250" t="str">
        <f xml:space="preserve"> VLOOKUP(A250, Lookup_Tables!$G$2:$H$6,2,TRUE)</f>
        <v>35-44</v>
      </c>
      <c r="P250" t="str">
        <f>_xlfn.XLOOKUP(J250,Lookup_Tables!$J$2:$J$4,Lookup_Tables!$K$2:$K$4, " ",-1)</f>
        <v>Medium</v>
      </c>
      <c r="Q250" t="str">
        <f xml:space="preserve"> _xlfn.XLOOKUP(M250, Lookup_Tables!$M$2:$M$5,Lookup_Tables!$N$2:$N$5," ", -1)</f>
        <v>Early (2-5)</v>
      </c>
      <c r="R250" s="4">
        <f t="shared" si="7"/>
        <v>2</v>
      </c>
      <c r="S250" t="str">
        <f xml:space="preserve"> _xlfn.XLOOKUP( E250, Lookup_Tables!$A$2:$A$6,Lookup_Tables!$B$2:$B$6," ", -1)</f>
        <v>College</v>
      </c>
      <c r="T250" t="str">
        <f>_xlfn.XLOOKUP(G250,Lookup_Tables!$D$2:$D$5,Lookup_Tables!$E$2:$E$5)</f>
        <v>High</v>
      </c>
      <c r="U250" t="str">
        <f>_xlfn.XLOOKUP(H250,Lookup_Tables!$D$2:$D$5,Lookup_Tables!$E$2:$E$5)</f>
        <v>Low</v>
      </c>
      <c r="V250" t="str">
        <f>_xlfn.XLOOKUP(L250,Lookup_Tables!$D$2:$D$5,Lookup_Tables!$E$2:$E$5)</f>
        <v>Medium</v>
      </c>
    </row>
    <row r="251" spans="1:22">
      <c r="A251">
        <f>RAW_DATA!A251</f>
        <v>45</v>
      </c>
      <c r="B251" t="str">
        <f>RAW_DATA!B251</f>
        <v>No</v>
      </c>
      <c r="C251" t="str">
        <f>RAW_DATA!C251</f>
        <v>Research &amp; Development</v>
      </c>
      <c r="D251">
        <f>RAW_DATA!D251</f>
        <v>7</v>
      </c>
      <c r="E251">
        <f>RAW_DATA!E251</f>
        <v>4</v>
      </c>
      <c r="F251" t="str">
        <f>RAW_DATA!F251</f>
        <v>Life Sciences</v>
      </c>
      <c r="G251">
        <f>RAW_DATA!G251</f>
        <v>1</v>
      </c>
      <c r="H251">
        <f>RAW_DATA!H251</f>
        <v>3</v>
      </c>
      <c r="I251" t="str">
        <f>RAW_DATA!I251</f>
        <v>Married</v>
      </c>
      <c r="J251">
        <f>RAW_DATA!J251</f>
        <v>6434</v>
      </c>
      <c r="K251">
        <f>RAW_DATA!K251</f>
        <v>4</v>
      </c>
      <c r="L251">
        <f>RAW_DATA!L251</f>
        <v>3</v>
      </c>
      <c r="M251">
        <f>RAW_DATA!M251</f>
        <v>3</v>
      </c>
      <c r="N251">
        <f t="shared" si="6"/>
        <v>0</v>
      </c>
      <c r="O251" t="str">
        <f xml:space="preserve"> VLOOKUP(A251, Lookup_Tables!$G$2:$H$6,2,TRUE)</f>
        <v>45-54</v>
      </c>
      <c r="P251" t="str">
        <f>_xlfn.XLOOKUP(J251,Lookup_Tables!$J$2:$J$4,Lookup_Tables!$K$2:$K$4, " ",-1)</f>
        <v>Medium</v>
      </c>
      <c r="Q251" t="str">
        <f xml:space="preserve"> _xlfn.XLOOKUP(M251, Lookup_Tables!$M$2:$M$5,Lookup_Tables!$N$2:$N$5," ", -1)</f>
        <v>Early (2-5)</v>
      </c>
      <c r="R251" s="4">
        <f t="shared" si="7"/>
        <v>2.3333333333333335</v>
      </c>
      <c r="S251" t="str">
        <f xml:space="preserve"> _xlfn.XLOOKUP( E251, Lookup_Tables!$A$2:$A$6,Lookup_Tables!$B$2:$B$6," ", -1)</f>
        <v>Master</v>
      </c>
      <c r="T251" t="str">
        <f>_xlfn.XLOOKUP(G251,Lookup_Tables!$D$2:$D$5,Lookup_Tables!$E$2:$E$5)</f>
        <v>Low</v>
      </c>
      <c r="U251" t="str">
        <f>_xlfn.XLOOKUP(H251,Lookup_Tables!$D$2:$D$5,Lookup_Tables!$E$2:$E$5)</f>
        <v>High</v>
      </c>
      <c r="V251" t="str">
        <f>_xlfn.XLOOKUP(L251,Lookup_Tables!$D$2:$D$5,Lookup_Tables!$E$2:$E$5)</f>
        <v>High</v>
      </c>
    </row>
    <row r="252" spans="1:22">
      <c r="A252">
        <f>RAW_DATA!A252</f>
        <v>37</v>
      </c>
      <c r="B252" t="str">
        <f>RAW_DATA!B252</f>
        <v>Yes</v>
      </c>
      <c r="C252" t="str">
        <f>RAW_DATA!C252</f>
        <v>Research &amp; Development</v>
      </c>
      <c r="D252">
        <f>RAW_DATA!D252</f>
        <v>10</v>
      </c>
      <c r="E252">
        <f>RAW_DATA!E252</f>
        <v>3</v>
      </c>
      <c r="F252" t="str">
        <f>RAW_DATA!F252</f>
        <v>Medical</v>
      </c>
      <c r="G252">
        <f>RAW_DATA!G252</f>
        <v>1</v>
      </c>
      <c r="H252">
        <f>RAW_DATA!H252</f>
        <v>3</v>
      </c>
      <c r="I252" t="str">
        <f>RAW_DATA!I252</f>
        <v>Divorced</v>
      </c>
      <c r="J252">
        <f>RAW_DATA!J252</f>
        <v>10048</v>
      </c>
      <c r="K252">
        <f>RAW_DATA!K252</f>
        <v>6</v>
      </c>
      <c r="L252">
        <f>RAW_DATA!L252</f>
        <v>3</v>
      </c>
      <c r="M252">
        <f>RAW_DATA!M252</f>
        <v>1</v>
      </c>
      <c r="N252">
        <f t="shared" si="6"/>
        <v>1</v>
      </c>
      <c r="O252" t="str">
        <f xml:space="preserve"> VLOOKUP(A252, Lookup_Tables!$G$2:$H$6,2,TRUE)</f>
        <v>35-44</v>
      </c>
      <c r="P252" t="str">
        <f>_xlfn.XLOOKUP(J252,Lookup_Tables!$J$2:$J$4,Lookup_Tables!$K$2:$K$4, " ",-1)</f>
        <v>High</v>
      </c>
      <c r="Q252" t="str">
        <f xml:space="preserve"> _xlfn.XLOOKUP(M252, Lookup_Tables!$M$2:$M$5,Lookup_Tables!$N$2:$N$5," ", -1)</f>
        <v>New (0-2)</v>
      </c>
      <c r="R252" s="4">
        <f t="shared" si="7"/>
        <v>2.3333333333333335</v>
      </c>
      <c r="S252" t="str">
        <f xml:space="preserve"> _xlfn.XLOOKUP( E252, Lookup_Tables!$A$2:$A$6,Lookup_Tables!$B$2:$B$6," ", -1)</f>
        <v>Bachelor</v>
      </c>
      <c r="T252" t="str">
        <f>_xlfn.XLOOKUP(G252,Lookup_Tables!$D$2:$D$5,Lookup_Tables!$E$2:$E$5)</f>
        <v>Low</v>
      </c>
      <c r="U252" t="str">
        <f>_xlfn.XLOOKUP(H252,Lookup_Tables!$D$2:$D$5,Lookup_Tables!$E$2:$E$5)</f>
        <v>High</v>
      </c>
      <c r="V252" t="str">
        <f>_xlfn.XLOOKUP(L252,Lookup_Tables!$D$2:$D$5,Lookup_Tables!$E$2:$E$5)</f>
        <v>High</v>
      </c>
    </row>
    <row r="253" spans="1:22">
      <c r="A253">
        <f>RAW_DATA!A253</f>
        <v>39</v>
      </c>
      <c r="B253" t="str">
        <f>RAW_DATA!B253</f>
        <v>No</v>
      </c>
      <c r="C253" t="str">
        <f>RAW_DATA!C253</f>
        <v>Research &amp; Development</v>
      </c>
      <c r="D253">
        <f>RAW_DATA!D253</f>
        <v>2</v>
      </c>
      <c r="E253">
        <f>RAW_DATA!E253</f>
        <v>4</v>
      </c>
      <c r="F253" t="str">
        <f>RAW_DATA!F253</f>
        <v>Technical Degree</v>
      </c>
      <c r="G253">
        <f>RAW_DATA!G253</f>
        <v>3</v>
      </c>
      <c r="H253">
        <f>RAW_DATA!H253</f>
        <v>3</v>
      </c>
      <c r="I253" t="str">
        <f>RAW_DATA!I253</f>
        <v>Single</v>
      </c>
      <c r="J253">
        <f>RAW_DATA!J253</f>
        <v>10938</v>
      </c>
      <c r="K253">
        <f>RAW_DATA!K253</f>
        <v>0</v>
      </c>
      <c r="L253">
        <f>RAW_DATA!L253</f>
        <v>3</v>
      </c>
      <c r="M253">
        <f>RAW_DATA!M253</f>
        <v>19</v>
      </c>
      <c r="N253">
        <f t="shared" si="6"/>
        <v>0</v>
      </c>
      <c r="O253" t="str">
        <f xml:space="preserve"> VLOOKUP(A253, Lookup_Tables!$G$2:$H$6,2,TRUE)</f>
        <v>35-44</v>
      </c>
      <c r="P253" t="str">
        <f>_xlfn.XLOOKUP(J253,Lookup_Tables!$J$2:$J$4,Lookup_Tables!$K$2:$K$4, " ",-1)</f>
        <v>High</v>
      </c>
      <c r="Q253" t="str">
        <f xml:space="preserve"> _xlfn.XLOOKUP(M253, Lookup_Tables!$M$2:$M$5,Lookup_Tables!$N$2:$N$5," ", -1)</f>
        <v>Veteran (10+)</v>
      </c>
      <c r="R253" s="4">
        <f t="shared" si="7"/>
        <v>3</v>
      </c>
      <c r="S253" t="str">
        <f xml:space="preserve"> _xlfn.XLOOKUP( E253, Lookup_Tables!$A$2:$A$6,Lookup_Tables!$B$2:$B$6," ", -1)</f>
        <v>Master</v>
      </c>
      <c r="T253" t="str">
        <f>_xlfn.XLOOKUP(G253,Lookup_Tables!$D$2:$D$5,Lookup_Tables!$E$2:$E$5)</f>
        <v>High</v>
      </c>
      <c r="U253" t="str">
        <f>_xlfn.XLOOKUP(H253,Lookup_Tables!$D$2:$D$5,Lookup_Tables!$E$2:$E$5)</f>
        <v>High</v>
      </c>
      <c r="V253" t="str">
        <f>_xlfn.XLOOKUP(L253,Lookup_Tables!$D$2:$D$5,Lookup_Tables!$E$2:$E$5)</f>
        <v>High</v>
      </c>
    </row>
    <row r="254" spans="1:22">
      <c r="A254">
        <f>RAW_DATA!A254</f>
        <v>29</v>
      </c>
      <c r="B254" t="str">
        <f>RAW_DATA!B254</f>
        <v>No</v>
      </c>
      <c r="C254" t="str">
        <f>RAW_DATA!C254</f>
        <v>Research &amp; Development</v>
      </c>
      <c r="D254">
        <f>RAW_DATA!D254</f>
        <v>15</v>
      </c>
      <c r="E254">
        <f>RAW_DATA!E254</f>
        <v>3</v>
      </c>
      <c r="F254" t="str">
        <f>RAW_DATA!F254</f>
        <v>Life Sciences</v>
      </c>
      <c r="G254">
        <f>RAW_DATA!G254</f>
        <v>3</v>
      </c>
      <c r="H254">
        <f>RAW_DATA!H254</f>
        <v>4</v>
      </c>
      <c r="I254" t="str">
        <f>RAW_DATA!I254</f>
        <v>Single</v>
      </c>
      <c r="J254">
        <f>RAW_DATA!J254</f>
        <v>2340</v>
      </c>
      <c r="K254">
        <f>RAW_DATA!K254</f>
        <v>1</v>
      </c>
      <c r="L254">
        <f>RAW_DATA!L254</f>
        <v>3</v>
      </c>
      <c r="M254">
        <f>RAW_DATA!M254</f>
        <v>6</v>
      </c>
      <c r="N254">
        <f t="shared" si="6"/>
        <v>0</v>
      </c>
      <c r="O254" t="str">
        <f xml:space="preserve"> VLOOKUP(A254, Lookup_Tables!$G$2:$H$6,2,TRUE)</f>
        <v>25-34</v>
      </c>
      <c r="P254" t="str">
        <f>_xlfn.XLOOKUP(J254,Lookup_Tables!$J$2:$J$4,Lookup_Tables!$K$2:$K$4, " ",-1)</f>
        <v>Low</v>
      </c>
      <c r="Q254" t="str">
        <f xml:space="preserve"> _xlfn.XLOOKUP(M254, Lookup_Tables!$M$2:$M$5,Lookup_Tables!$N$2:$N$5," ", -1)</f>
        <v>Established (5-10)</v>
      </c>
      <c r="R254" s="4">
        <f t="shared" si="7"/>
        <v>3.3333333333333335</v>
      </c>
      <c r="S254" t="str">
        <f xml:space="preserve"> _xlfn.XLOOKUP( E254, Lookup_Tables!$A$2:$A$6,Lookup_Tables!$B$2:$B$6," ", -1)</f>
        <v>Bachelor</v>
      </c>
      <c r="T254" t="str">
        <f>_xlfn.XLOOKUP(G254,Lookup_Tables!$D$2:$D$5,Lookup_Tables!$E$2:$E$5)</f>
        <v>High</v>
      </c>
      <c r="U254" t="str">
        <f>_xlfn.XLOOKUP(H254,Lookup_Tables!$D$2:$D$5,Lookup_Tables!$E$2:$E$5)</f>
        <v>Very High</v>
      </c>
      <c r="V254" t="str">
        <f>_xlfn.XLOOKUP(L254,Lookup_Tables!$D$2:$D$5,Lookup_Tables!$E$2:$E$5)</f>
        <v>High</v>
      </c>
    </row>
    <row r="255" spans="1:22">
      <c r="A255">
        <f>RAW_DATA!A255</f>
        <v>42</v>
      </c>
      <c r="B255" t="str">
        <f>RAW_DATA!B255</f>
        <v>No</v>
      </c>
      <c r="C255" t="str">
        <f>RAW_DATA!C255</f>
        <v>Research &amp; Development</v>
      </c>
      <c r="D255">
        <f>RAW_DATA!D255</f>
        <v>17</v>
      </c>
      <c r="E255">
        <f>RAW_DATA!E255</f>
        <v>2</v>
      </c>
      <c r="F255" t="str">
        <f>RAW_DATA!F255</f>
        <v>Life Sciences</v>
      </c>
      <c r="G255">
        <f>RAW_DATA!G255</f>
        <v>4</v>
      </c>
      <c r="H255">
        <f>RAW_DATA!H255</f>
        <v>1</v>
      </c>
      <c r="I255" t="str">
        <f>RAW_DATA!I255</f>
        <v>Single</v>
      </c>
      <c r="J255">
        <f>RAW_DATA!J255</f>
        <v>6545</v>
      </c>
      <c r="K255">
        <f>RAW_DATA!K255</f>
        <v>3</v>
      </c>
      <c r="L255">
        <f>RAW_DATA!L255</f>
        <v>3</v>
      </c>
      <c r="M255">
        <f>RAW_DATA!M255</f>
        <v>3</v>
      </c>
      <c r="N255">
        <f t="shared" si="6"/>
        <v>0</v>
      </c>
      <c r="O255" t="str">
        <f xml:space="preserve"> VLOOKUP(A255, Lookup_Tables!$G$2:$H$6,2,TRUE)</f>
        <v>35-44</v>
      </c>
      <c r="P255" t="str">
        <f>_xlfn.XLOOKUP(J255,Lookup_Tables!$J$2:$J$4,Lookup_Tables!$K$2:$K$4, " ",-1)</f>
        <v>Medium</v>
      </c>
      <c r="Q255" t="str">
        <f xml:space="preserve"> _xlfn.XLOOKUP(M255, Lookup_Tables!$M$2:$M$5,Lookup_Tables!$N$2:$N$5," ", -1)</f>
        <v>Early (2-5)</v>
      </c>
      <c r="R255" s="4">
        <f t="shared" si="7"/>
        <v>2.6666666666666665</v>
      </c>
      <c r="S255" t="str">
        <f xml:space="preserve"> _xlfn.XLOOKUP( E255, Lookup_Tables!$A$2:$A$6,Lookup_Tables!$B$2:$B$6," ", -1)</f>
        <v>College</v>
      </c>
      <c r="T255" t="str">
        <f>_xlfn.XLOOKUP(G255,Lookup_Tables!$D$2:$D$5,Lookup_Tables!$E$2:$E$5)</f>
        <v>Very High</v>
      </c>
      <c r="U255" t="str">
        <f>_xlfn.XLOOKUP(H255,Lookup_Tables!$D$2:$D$5,Lookup_Tables!$E$2:$E$5)</f>
        <v>Low</v>
      </c>
      <c r="V255" t="str">
        <f>_xlfn.XLOOKUP(L255,Lookup_Tables!$D$2:$D$5,Lookup_Tables!$E$2:$E$5)</f>
        <v>High</v>
      </c>
    </row>
    <row r="256" spans="1:22">
      <c r="A256">
        <f>RAW_DATA!A256</f>
        <v>29</v>
      </c>
      <c r="B256" t="str">
        <f>RAW_DATA!B256</f>
        <v>No</v>
      </c>
      <c r="C256" t="str">
        <f>RAW_DATA!C256</f>
        <v>Sales</v>
      </c>
      <c r="D256">
        <f>RAW_DATA!D256</f>
        <v>20</v>
      </c>
      <c r="E256">
        <f>RAW_DATA!E256</f>
        <v>2</v>
      </c>
      <c r="F256" t="str">
        <f>RAW_DATA!F256</f>
        <v>Marketing</v>
      </c>
      <c r="G256">
        <f>RAW_DATA!G256</f>
        <v>4</v>
      </c>
      <c r="H256">
        <f>RAW_DATA!H256</f>
        <v>4</v>
      </c>
      <c r="I256" t="str">
        <f>RAW_DATA!I256</f>
        <v>Divorced</v>
      </c>
      <c r="J256">
        <f>RAW_DATA!J256</f>
        <v>6931</v>
      </c>
      <c r="K256">
        <f>RAW_DATA!K256</f>
        <v>2</v>
      </c>
      <c r="L256">
        <f>RAW_DATA!L256</f>
        <v>3</v>
      </c>
      <c r="M256">
        <f>RAW_DATA!M256</f>
        <v>3</v>
      </c>
      <c r="N256">
        <f t="shared" si="6"/>
        <v>0</v>
      </c>
      <c r="O256" t="str">
        <f xml:space="preserve"> VLOOKUP(A256, Lookup_Tables!$G$2:$H$6,2,TRUE)</f>
        <v>25-34</v>
      </c>
      <c r="P256" t="str">
        <f>_xlfn.XLOOKUP(J256,Lookup_Tables!$J$2:$J$4,Lookup_Tables!$K$2:$K$4, " ",-1)</f>
        <v>Medium</v>
      </c>
      <c r="Q256" t="str">
        <f xml:space="preserve"> _xlfn.XLOOKUP(M256, Lookup_Tables!$M$2:$M$5,Lookup_Tables!$N$2:$N$5," ", -1)</f>
        <v>Early (2-5)</v>
      </c>
      <c r="R256" s="4">
        <f t="shared" si="7"/>
        <v>3.6666666666666665</v>
      </c>
      <c r="S256" t="str">
        <f xml:space="preserve"> _xlfn.XLOOKUP( E256, Lookup_Tables!$A$2:$A$6,Lookup_Tables!$B$2:$B$6," ", -1)</f>
        <v>College</v>
      </c>
      <c r="T256" t="str">
        <f>_xlfn.XLOOKUP(G256,Lookup_Tables!$D$2:$D$5,Lookup_Tables!$E$2:$E$5)</f>
        <v>Very High</v>
      </c>
      <c r="U256" t="str">
        <f>_xlfn.XLOOKUP(H256,Lookup_Tables!$D$2:$D$5,Lookup_Tables!$E$2:$E$5)</f>
        <v>Very High</v>
      </c>
      <c r="V256" t="str">
        <f>_xlfn.XLOOKUP(L256,Lookup_Tables!$D$2:$D$5,Lookup_Tables!$E$2:$E$5)</f>
        <v>High</v>
      </c>
    </row>
    <row r="257" spans="1:22">
      <c r="A257">
        <f>RAW_DATA!A257</f>
        <v>25</v>
      </c>
      <c r="B257" t="str">
        <f>RAW_DATA!B257</f>
        <v>No</v>
      </c>
      <c r="C257" t="str">
        <f>RAW_DATA!C257</f>
        <v>Research &amp; Development</v>
      </c>
      <c r="D257">
        <f>RAW_DATA!D257</f>
        <v>1</v>
      </c>
      <c r="E257">
        <f>RAW_DATA!E257</f>
        <v>3</v>
      </c>
      <c r="F257" t="str">
        <f>RAW_DATA!F257</f>
        <v>Life Sciences</v>
      </c>
      <c r="G257">
        <f>RAW_DATA!G257</f>
        <v>1</v>
      </c>
      <c r="H257">
        <f>RAW_DATA!H257</f>
        <v>3</v>
      </c>
      <c r="I257" t="str">
        <f>RAW_DATA!I257</f>
        <v>Married</v>
      </c>
      <c r="J257">
        <f>RAW_DATA!J257</f>
        <v>4898</v>
      </c>
      <c r="K257">
        <f>RAW_DATA!K257</f>
        <v>0</v>
      </c>
      <c r="L257">
        <f>RAW_DATA!L257</f>
        <v>3</v>
      </c>
      <c r="M257">
        <f>RAW_DATA!M257</f>
        <v>4</v>
      </c>
      <c r="N257">
        <f t="shared" si="6"/>
        <v>0</v>
      </c>
      <c r="O257" t="str">
        <f xml:space="preserve"> VLOOKUP(A257, Lookup_Tables!$G$2:$H$6,2,TRUE)</f>
        <v>25-34</v>
      </c>
      <c r="P257" t="str">
        <f>_xlfn.XLOOKUP(J257,Lookup_Tables!$J$2:$J$4,Lookup_Tables!$K$2:$K$4, " ",-1)</f>
        <v>Medium</v>
      </c>
      <c r="Q257" t="str">
        <f xml:space="preserve"> _xlfn.XLOOKUP(M257, Lookup_Tables!$M$2:$M$5,Lookup_Tables!$N$2:$N$5," ", -1)</f>
        <v>Early (2-5)</v>
      </c>
      <c r="R257" s="4">
        <f t="shared" si="7"/>
        <v>2.3333333333333335</v>
      </c>
      <c r="S257" t="str">
        <f xml:space="preserve"> _xlfn.XLOOKUP( E257, Lookup_Tables!$A$2:$A$6,Lookup_Tables!$B$2:$B$6," ", -1)</f>
        <v>Bachelor</v>
      </c>
      <c r="T257" t="str">
        <f>_xlfn.XLOOKUP(G257,Lookup_Tables!$D$2:$D$5,Lookup_Tables!$E$2:$E$5)</f>
        <v>Low</v>
      </c>
      <c r="U257" t="str">
        <f>_xlfn.XLOOKUP(H257,Lookup_Tables!$D$2:$D$5,Lookup_Tables!$E$2:$E$5)</f>
        <v>High</v>
      </c>
      <c r="V257" t="str">
        <f>_xlfn.XLOOKUP(L257,Lookup_Tables!$D$2:$D$5,Lookup_Tables!$E$2:$E$5)</f>
        <v>High</v>
      </c>
    </row>
    <row r="258" spans="1:22">
      <c r="A258">
        <f>RAW_DATA!A258</f>
        <v>42</v>
      </c>
      <c r="B258" t="str">
        <f>RAW_DATA!B258</f>
        <v>No</v>
      </c>
      <c r="C258" t="str">
        <f>RAW_DATA!C258</f>
        <v>Research &amp; Development</v>
      </c>
      <c r="D258">
        <f>RAW_DATA!D258</f>
        <v>2</v>
      </c>
      <c r="E258">
        <f>RAW_DATA!E258</f>
        <v>3</v>
      </c>
      <c r="F258" t="str">
        <f>RAW_DATA!F258</f>
        <v>Medical</v>
      </c>
      <c r="G258">
        <f>RAW_DATA!G258</f>
        <v>4</v>
      </c>
      <c r="H258">
        <f>RAW_DATA!H258</f>
        <v>1</v>
      </c>
      <c r="I258" t="str">
        <f>RAW_DATA!I258</f>
        <v>Divorced</v>
      </c>
      <c r="J258">
        <f>RAW_DATA!J258</f>
        <v>2593</v>
      </c>
      <c r="K258">
        <f>RAW_DATA!K258</f>
        <v>0</v>
      </c>
      <c r="L258">
        <f>RAW_DATA!L258</f>
        <v>3</v>
      </c>
      <c r="M258">
        <f>RAW_DATA!M258</f>
        <v>9</v>
      </c>
      <c r="N258">
        <f t="shared" si="6"/>
        <v>0</v>
      </c>
      <c r="O258" t="str">
        <f xml:space="preserve"> VLOOKUP(A258, Lookup_Tables!$G$2:$H$6,2,TRUE)</f>
        <v>35-44</v>
      </c>
      <c r="P258" t="str">
        <f>_xlfn.XLOOKUP(J258,Lookup_Tables!$J$2:$J$4,Lookup_Tables!$K$2:$K$4, " ",-1)</f>
        <v>Low</v>
      </c>
      <c r="Q258" t="str">
        <f xml:space="preserve"> _xlfn.XLOOKUP(M258, Lookup_Tables!$M$2:$M$5,Lookup_Tables!$N$2:$N$5," ", -1)</f>
        <v>Established (5-10)</v>
      </c>
      <c r="R258" s="4">
        <f t="shared" si="7"/>
        <v>2.6666666666666665</v>
      </c>
      <c r="S258" t="str">
        <f xml:space="preserve"> _xlfn.XLOOKUP( E258, Lookup_Tables!$A$2:$A$6,Lookup_Tables!$B$2:$B$6," ", -1)</f>
        <v>Bachelor</v>
      </c>
      <c r="T258" t="str">
        <f>_xlfn.XLOOKUP(G258,Lookup_Tables!$D$2:$D$5,Lookup_Tables!$E$2:$E$5)</f>
        <v>Very High</v>
      </c>
      <c r="U258" t="str">
        <f>_xlfn.XLOOKUP(H258,Lookup_Tables!$D$2:$D$5,Lookup_Tables!$E$2:$E$5)</f>
        <v>Low</v>
      </c>
      <c r="V258" t="str">
        <f>_xlfn.XLOOKUP(L258,Lookup_Tables!$D$2:$D$5,Lookup_Tables!$E$2:$E$5)</f>
        <v>High</v>
      </c>
    </row>
    <row r="259" spans="1:22">
      <c r="A259">
        <f>RAW_DATA!A259</f>
        <v>40</v>
      </c>
      <c r="B259" t="str">
        <f>RAW_DATA!B259</f>
        <v>No</v>
      </c>
      <c r="C259" t="str">
        <f>RAW_DATA!C259</f>
        <v>Research &amp; Development</v>
      </c>
      <c r="D259">
        <f>RAW_DATA!D259</f>
        <v>2</v>
      </c>
      <c r="E259">
        <f>RAW_DATA!E259</f>
        <v>2</v>
      </c>
      <c r="F259" t="str">
        <f>RAW_DATA!F259</f>
        <v>Medical</v>
      </c>
      <c r="G259">
        <f>RAW_DATA!G259</f>
        <v>1</v>
      </c>
      <c r="H259">
        <f>RAW_DATA!H259</f>
        <v>3</v>
      </c>
      <c r="I259" t="str">
        <f>RAW_DATA!I259</f>
        <v>Divorced</v>
      </c>
      <c r="J259">
        <f>RAW_DATA!J259</f>
        <v>19436</v>
      </c>
      <c r="K259">
        <f>RAW_DATA!K259</f>
        <v>0</v>
      </c>
      <c r="L259">
        <f>RAW_DATA!L259</f>
        <v>3</v>
      </c>
      <c r="M259">
        <f>RAW_DATA!M259</f>
        <v>21</v>
      </c>
      <c r="N259">
        <f t="shared" ref="N259:N322" si="8" xml:space="preserve"> IF(B259 ="Yes",1,0)</f>
        <v>0</v>
      </c>
      <c r="O259" t="str">
        <f xml:space="preserve"> VLOOKUP(A259, Lookup_Tables!$G$2:$H$6,2,TRUE)</f>
        <v>35-44</v>
      </c>
      <c r="P259" t="str">
        <f>_xlfn.XLOOKUP(J259,Lookup_Tables!$J$2:$J$4,Lookup_Tables!$K$2:$K$4, " ",-1)</f>
        <v>High</v>
      </c>
      <c r="Q259" t="str">
        <f xml:space="preserve"> _xlfn.XLOOKUP(M259, Lookup_Tables!$M$2:$M$5,Lookup_Tables!$N$2:$N$5," ", -1)</f>
        <v>Veteran (10+)</v>
      </c>
      <c r="R259" s="4">
        <f t="shared" ref="R259:R322" si="9">AVERAGE(G259,H259,L259)</f>
        <v>2.3333333333333335</v>
      </c>
      <c r="S259" t="str">
        <f xml:space="preserve"> _xlfn.XLOOKUP( E259, Lookup_Tables!$A$2:$A$6,Lookup_Tables!$B$2:$B$6," ", -1)</f>
        <v>College</v>
      </c>
      <c r="T259" t="str">
        <f>_xlfn.XLOOKUP(G259,Lookup_Tables!$D$2:$D$5,Lookup_Tables!$E$2:$E$5)</f>
        <v>Low</v>
      </c>
      <c r="U259" t="str">
        <f>_xlfn.XLOOKUP(H259,Lookup_Tables!$D$2:$D$5,Lookup_Tables!$E$2:$E$5)</f>
        <v>High</v>
      </c>
      <c r="V259" t="str">
        <f>_xlfn.XLOOKUP(L259,Lookup_Tables!$D$2:$D$5,Lookup_Tables!$E$2:$E$5)</f>
        <v>High</v>
      </c>
    </row>
    <row r="260" spans="1:22">
      <c r="A260">
        <f>RAW_DATA!A260</f>
        <v>51</v>
      </c>
      <c r="B260" t="str">
        <f>RAW_DATA!B260</f>
        <v>No</v>
      </c>
      <c r="C260" t="str">
        <f>RAW_DATA!C260</f>
        <v>Research &amp; Development</v>
      </c>
      <c r="D260">
        <f>RAW_DATA!D260</f>
        <v>1</v>
      </c>
      <c r="E260">
        <f>RAW_DATA!E260</f>
        <v>3</v>
      </c>
      <c r="F260" t="str">
        <f>RAW_DATA!F260</f>
        <v>Life Sciences</v>
      </c>
      <c r="G260">
        <f>RAW_DATA!G260</f>
        <v>3</v>
      </c>
      <c r="H260">
        <f>RAW_DATA!H260</f>
        <v>4</v>
      </c>
      <c r="I260" t="str">
        <f>RAW_DATA!I260</f>
        <v>Married</v>
      </c>
      <c r="J260">
        <f>RAW_DATA!J260</f>
        <v>2723</v>
      </c>
      <c r="K260">
        <f>RAW_DATA!K260</f>
        <v>1</v>
      </c>
      <c r="L260">
        <f>RAW_DATA!L260</f>
        <v>2</v>
      </c>
      <c r="M260">
        <f>RAW_DATA!M260</f>
        <v>1</v>
      </c>
      <c r="N260">
        <f t="shared" si="8"/>
        <v>0</v>
      </c>
      <c r="O260" t="str">
        <f xml:space="preserve"> VLOOKUP(A260, Lookup_Tables!$G$2:$H$6,2,TRUE)</f>
        <v>45-54</v>
      </c>
      <c r="P260" t="str">
        <f>_xlfn.XLOOKUP(J260,Lookup_Tables!$J$2:$J$4,Lookup_Tables!$K$2:$K$4, " ",-1)</f>
        <v>Low</v>
      </c>
      <c r="Q260" t="str">
        <f xml:space="preserve"> _xlfn.XLOOKUP(M260, Lookup_Tables!$M$2:$M$5,Lookup_Tables!$N$2:$N$5," ", -1)</f>
        <v>New (0-2)</v>
      </c>
      <c r="R260" s="4">
        <f t="shared" si="9"/>
        <v>3</v>
      </c>
      <c r="S260" t="str">
        <f xml:space="preserve"> _xlfn.XLOOKUP( E260, Lookup_Tables!$A$2:$A$6,Lookup_Tables!$B$2:$B$6," ", -1)</f>
        <v>Bachelor</v>
      </c>
      <c r="T260" t="str">
        <f>_xlfn.XLOOKUP(G260,Lookup_Tables!$D$2:$D$5,Lookup_Tables!$E$2:$E$5)</f>
        <v>High</v>
      </c>
      <c r="U260" t="str">
        <f>_xlfn.XLOOKUP(H260,Lookup_Tables!$D$2:$D$5,Lookup_Tables!$E$2:$E$5)</f>
        <v>Very High</v>
      </c>
      <c r="V260" t="str">
        <f>_xlfn.XLOOKUP(L260,Lookup_Tables!$D$2:$D$5,Lookup_Tables!$E$2:$E$5)</f>
        <v>Medium</v>
      </c>
    </row>
    <row r="261" spans="1:22">
      <c r="A261">
        <f>RAW_DATA!A261</f>
        <v>31</v>
      </c>
      <c r="B261" t="str">
        <f>RAW_DATA!B261</f>
        <v>Yes</v>
      </c>
      <c r="C261" t="str">
        <f>RAW_DATA!C261</f>
        <v>Research &amp; Development</v>
      </c>
      <c r="D261">
        <f>RAW_DATA!D261</f>
        <v>29</v>
      </c>
      <c r="E261">
        <f>RAW_DATA!E261</f>
        <v>2</v>
      </c>
      <c r="F261" t="str">
        <f>RAW_DATA!F261</f>
        <v>Medical</v>
      </c>
      <c r="G261">
        <f>RAW_DATA!G261</f>
        <v>3</v>
      </c>
      <c r="H261">
        <f>RAW_DATA!H261</f>
        <v>2</v>
      </c>
      <c r="I261" t="str">
        <f>RAW_DATA!I261</f>
        <v>Single</v>
      </c>
      <c r="J261">
        <f>RAW_DATA!J261</f>
        <v>3479</v>
      </c>
      <c r="K261">
        <f>RAW_DATA!K261</f>
        <v>0</v>
      </c>
      <c r="L261">
        <f>RAW_DATA!L261</f>
        <v>4</v>
      </c>
      <c r="M261">
        <f>RAW_DATA!M261</f>
        <v>5</v>
      </c>
      <c r="N261">
        <f t="shared" si="8"/>
        <v>1</v>
      </c>
      <c r="O261" t="str">
        <f xml:space="preserve"> VLOOKUP(A261, Lookup_Tables!$G$2:$H$6,2,TRUE)</f>
        <v>25-34</v>
      </c>
      <c r="P261" t="str">
        <f>_xlfn.XLOOKUP(J261,Lookup_Tables!$J$2:$J$4,Lookup_Tables!$K$2:$K$4, " ",-1)</f>
        <v>Medium</v>
      </c>
      <c r="Q261" t="str">
        <f xml:space="preserve"> _xlfn.XLOOKUP(M261, Lookup_Tables!$M$2:$M$5,Lookup_Tables!$N$2:$N$5," ", -1)</f>
        <v>Established (5-10)</v>
      </c>
      <c r="R261" s="4">
        <f t="shared" si="9"/>
        <v>3</v>
      </c>
      <c r="S261" t="str">
        <f xml:space="preserve"> _xlfn.XLOOKUP( E261, Lookup_Tables!$A$2:$A$6,Lookup_Tables!$B$2:$B$6," ", -1)</f>
        <v>College</v>
      </c>
      <c r="T261" t="str">
        <f>_xlfn.XLOOKUP(G261,Lookup_Tables!$D$2:$D$5,Lookup_Tables!$E$2:$E$5)</f>
        <v>High</v>
      </c>
      <c r="U261" t="str">
        <f>_xlfn.XLOOKUP(H261,Lookup_Tables!$D$2:$D$5,Lookup_Tables!$E$2:$E$5)</f>
        <v>Medium</v>
      </c>
      <c r="V261" t="str">
        <f>_xlfn.XLOOKUP(L261,Lookup_Tables!$D$2:$D$5,Lookup_Tables!$E$2:$E$5)</f>
        <v>Very High</v>
      </c>
    </row>
    <row r="262" spans="1:22">
      <c r="A262">
        <f>RAW_DATA!A262</f>
        <v>32</v>
      </c>
      <c r="B262" t="str">
        <f>RAW_DATA!B262</f>
        <v>No</v>
      </c>
      <c r="C262" t="str">
        <f>RAW_DATA!C262</f>
        <v>Research &amp; Development</v>
      </c>
      <c r="D262">
        <f>RAW_DATA!D262</f>
        <v>7</v>
      </c>
      <c r="E262">
        <f>RAW_DATA!E262</f>
        <v>3</v>
      </c>
      <c r="F262" t="str">
        <f>RAW_DATA!F262</f>
        <v>Life Sciences</v>
      </c>
      <c r="G262">
        <f>RAW_DATA!G262</f>
        <v>2</v>
      </c>
      <c r="H262">
        <f>RAW_DATA!H262</f>
        <v>2</v>
      </c>
      <c r="I262" t="str">
        <f>RAW_DATA!I262</f>
        <v>Married</v>
      </c>
      <c r="J262">
        <f>RAW_DATA!J262</f>
        <v>2794</v>
      </c>
      <c r="K262">
        <f>RAW_DATA!K262</f>
        <v>1</v>
      </c>
      <c r="L262">
        <f>RAW_DATA!L262</f>
        <v>1</v>
      </c>
      <c r="M262">
        <f>RAW_DATA!M262</f>
        <v>5</v>
      </c>
      <c r="N262">
        <f t="shared" si="8"/>
        <v>0</v>
      </c>
      <c r="O262" t="str">
        <f xml:space="preserve"> VLOOKUP(A262, Lookup_Tables!$G$2:$H$6,2,TRUE)</f>
        <v>25-34</v>
      </c>
      <c r="P262" t="str">
        <f>_xlfn.XLOOKUP(J262,Lookup_Tables!$J$2:$J$4,Lookup_Tables!$K$2:$K$4, " ",-1)</f>
        <v>Low</v>
      </c>
      <c r="Q262" t="str">
        <f xml:space="preserve"> _xlfn.XLOOKUP(M262, Lookup_Tables!$M$2:$M$5,Lookup_Tables!$N$2:$N$5," ", -1)</f>
        <v>Established (5-10)</v>
      </c>
      <c r="R262" s="4">
        <f t="shared" si="9"/>
        <v>1.6666666666666667</v>
      </c>
      <c r="S262" t="str">
        <f xml:space="preserve"> _xlfn.XLOOKUP( E262, Lookup_Tables!$A$2:$A$6,Lookup_Tables!$B$2:$B$6," ", -1)</f>
        <v>Bachelor</v>
      </c>
      <c r="T262" t="str">
        <f>_xlfn.XLOOKUP(G262,Lookup_Tables!$D$2:$D$5,Lookup_Tables!$E$2:$E$5)</f>
        <v>Medium</v>
      </c>
      <c r="U262" t="str">
        <f>_xlfn.XLOOKUP(H262,Lookup_Tables!$D$2:$D$5,Lookup_Tables!$E$2:$E$5)</f>
        <v>Medium</v>
      </c>
      <c r="V262" t="str">
        <f>_xlfn.XLOOKUP(L262,Lookup_Tables!$D$2:$D$5,Lookup_Tables!$E$2:$E$5)</f>
        <v>Low</v>
      </c>
    </row>
    <row r="263" spans="1:22">
      <c r="A263">
        <f>RAW_DATA!A263</f>
        <v>38</v>
      </c>
      <c r="B263" t="str">
        <f>RAW_DATA!B263</f>
        <v>No</v>
      </c>
      <c r="C263" t="str">
        <f>RAW_DATA!C263</f>
        <v>Sales</v>
      </c>
      <c r="D263">
        <f>RAW_DATA!D263</f>
        <v>2</v>
      </c>
      <c r="E263">
        <f>RAW_DATA!E263</f>
        <v>2</v>
      </c>
      <c r="F263" t="str">
        <f>RAW_DATA!F263</f>
        <v>Life Sciences</v>
      </c>
      <c r="G263">
        <f>RAW_DATA!G263</f>
        <v>4</v>
      </c>
      <c r="H263">
        <f>RAW_DATA!H263</f>
        <v>4</v>
      </c>
      <c r="I263" t="str">
        <f>RAW_DATA!I263</f>
        <v>Married</v>
      </c>
      <c r="J263">
        <f>RAW_DATA!J263</f>
        <v>5249</v>
      </c>
      <c r="K263">
        <f>RAW_DATA!K263</f>
        <v>3</v>
      </c>
      <c r="L263">
        <f>RAW_DATA!L263</f>
        <v>3</v>
      </c>
      <c r="M263">
        <f>RAW_DATA!M263</f>
        <v>8</v>
      </c>
      <c r="N263">
        <f t="shared" si="8"/>
        <v>0</v>
      </c>
      <c r="O263" t="str">
        <f xml:space="preserve"> VLOOKUP(A263, Lookup_Tables!$G$2:$H$6,2,TRUE)</f>
        <v>35-44</v>
      </c>
      <c r="P263" t="str">
        <f>_xlfn.XLOOKUP(J263,Lookup_Tables!$J$2:$J$4,Lookup_Tables!$K$2:$K$4, " ",-1)</f>
        <v>Medium</v>
      </c>
      <c r="Q263" t="str">
        <f xml:space="preserve"> _xlfn.XLOOKUP(M263, Lookup_Tables!$M$2:$M$5,Lookup_Tables!$N$2:$N$5," ", -1)</f>
        <v>Established (5-10)</v>
      </c>
      <c r="R263" s="4">
        <f t="shared" si="9"/>
        <v>3.6666666666666665</v>
      </c>
      <c r="S263" t="str">
        <f xml:space="preserve"> _xlfn.XLOOKUP( E263, Lookup_Tables!$A$2:$A$6,Lookup_Tables!$B$2:$B$6," ", -1)</f>
        <v>College</v>
      </c>
      <c r="T263" t="str">
        <f>_xlfn.XLOOKUP(G263,Lookup_Tables!$D$2:$D$5,Lookup_Tables!$E$2:$E$5)</f>
        <v>Very High</v>
      </c>
      <c r="U263" t="str">
        <f>_xlfn.XLOOKUP(H263,Lookup_Tables!$D$2:$D$5,Lookup_Tables!$E$2:$E$5)</f>
        <v>Very High</v>
      </c>
      <c r="V263" t="str">
        <f>_xlfn.XLOOKUP(L263,Lookup_Tables!$D$2:$D$5,Lookup_Tables!$E$2:$E$5)</f>
        <v>High</v>
      </c>
    </row>
    <row r="264" spans="1:22">
      <c r="A264">
        <f>RAW_DATA!A264</f>
        <v>32</v>
      </c>
      <c r="B264" t="str">
        <f>RAW_DATA!B264</f>
        <v>No</v>
      </c>
      <c r="C264" t="str">
        <f>RAW_DATA!C264</f>
        <v>Research &amp; Development</v>
      </c>
      <c r="D264">
        <f>RAW_DATA!D264</f>
        <v>2</v>
      </c>
      <c r="E264">
        <f>RAW_DATA!E264</f>
        <v>1</v>
      </c>
      <c r="F264" t="str">
        <f>RAW_DATA!F264</f>
        <v>Technical Degree</v>
      </c>
      <c r="G264">
        <f>RAW_DATA!G264</f>
        <v>4</v>
      </c>
      <c r="H264">
        <f>RAW_DATA!H264</f>
        <v>1</v>
      </c>
      <c r="I264" t="str">
        <f>RAW_DATA!I264</f>
        <v>Single</v>
      </c>
      <c r="J264">
        <f>RAW_DATA!J264</f>
        <v>2176</v>
      </c>
      <c r="K264">
        <f>RAW_DATA!K264</f>
        <v>4</v>
      </c>
      <c r="L264">
        <f>RAW_DATA!L264</f>
        <v>3</v>
      </c>
      <c r="M264">
        <f>RAW_DATA!M264</f>
        <v>6</v>
      </c>
      <c r="N264">
        <f t="shared" si="8"/>
        <v>0</v>
      </c>
      <c r="O264" t="str">
        <f xml:space="preserve"> VLOOKUP(A264, Lookup_Tables!$G$2:$H$6,2,TRUE)</f>
        <v>25-34</v>
      </c>
      <c r="P264" t="str">
        <f>_xlfn.XLOOKUP(J264,Lookup_Tables!$J$2:$J$4,Lookup_Tables!$K$2:$K$4, " ",-1)</f>
        <v>Low</v>
      </c>
      <c r="Q264" t="str">
        <f xml:space="preserve"> _xlfn.XLOOKUP(M264, Lookup_Tables!$M$2:$M$5,Lookup_Tables!$N$2:$N$5," ", -1)</f>
        <v>Established (5-10)</v>
      </c>
      <c r="R264" s="4">
        <f t="shared" si="9"/>
        <v>2.6666666666666665</v>
      </c>
      <c r="S264" t="str">
        <f xml:space="preserve"> _xlfn.XLOOKUP( E264, Lookup_Tables!$A$2:$A$6,Lookup_Tables!$B$2:$B$6," ", -1)</f>
        <v>Below College</v>
      </c>
      <c r="T264" t="str">
        <f>_xlfn.XLOOKUP(G264,Lookup_Tables!$D$2:$D$5,Lookup_Tables!$E$2:$E$5)</f>
        <v>Very High</v>
      </c>
      <c r="U264" t="str">
        <f>_xlfn.XLOOKUP(H264,Lookup_Tables!$D$2:$D$5,Lookup_Tables!$E$2:$E$5)</f>
        <v>Low</v>
      </c>
      <c r="V264" t="str">
        <f>_xlfn.XLOOKUP(L264,Lookup_Tables!$D$2:$D$5,Lookup_Tables!$E$2:$E$5)</f>
        <v>High</v>
      </c>
    </row>
    <row r="265" spans="1:22">
      <c r="A265">
        <f>RAW_DATA!A265</f>
        <v>46</v>
      </c>
      <c r="B265" t="str">
        <f>RAW_DATA!B265</f>
        <v>No</v>
      </c>
      <c r="C265" t="str">
        <f>RAW_DATA!C265</f>
        <v>Sales</v>
      </c>
      <c r="D265">
        <f>RAW_DATA!D265</f>
        <v>2</v>
      </c>
      <c r="E265">
        <f>RAW_DATA!E265</f>
        <v>3</v>
      </c>
      <c r="F265" t="str">
        <f>RAW_DATA!F265</f>
        <v>Technical Degree</v>
      </c>
      <c r="G265">
        <f>RAW_DATA!G265</f>
        <v>3</v>
      </c>
      <c r="H265">
        <f>RAW_DATA!H265</f>
        <v>2</v>
      </c>
      <c r="I265" t="str">
        <f>RAW_DATA!I265</f>
        <v>Married</v>
      </c>
      <c r="J265">
        <f>RAW_DATA!J265</f>
        <v>16872</v>
      </c>
      <c r="K265">
        <f>RAW_DATA!K265</f>
        <v>3</v>
      </c>
      <c r="L265">
        <f>RAW_DATA!L265</f>
        <v>2</v>
      </c>
      <c r="M265">
        <f>RAW_DATA!M265</f>
        <v>7</v>
      </c>
      <c r="N265">
        <f t="shared" si="8"/>
        <v>0</v>
      </c>
      <c r="O265" t="str">
        <f xml:space="preserve"> VLOOKUP(A265, Lookup_Tables!$G$2:$H$6,2,TRUE)</f>
        <v>45-54</v>
      </c>
      <c r="P265" t="str">
        <f>_xlfn.XLOOKUP(J265,Lookup_Tables!$J$2:$J$4,Lookup_Tables!$K$2:$K$4, " ",-1)</f>
        <v>High</v>
      </c>
      <c r="Q265" t="str">
        <f xml:space="preserve"> _xlfn.XLOOKUP(M265, Lookup_Tables!$M$2:$M$5,Lookup_Tables!$N$2:$N$5," ", -1)</f>
        <v>Established (5-10)</v>
      </c>
      <c r="R265" s="4">
        <f t="shared" si="9"/>
        <v>2.3333333333333335</v>
      </c>
      <c r="S265" t="str">
        <f xml:space="preserve"> _xlfn.XLOOKUP( E265, Lookup_Tables!$A$2:$A$6,Lookup_Tables!$B$2:$B$6," ", -1)</f>
        <v>Bachelor</v>
      </c>
      <c r="T265" t="str">
        <f>_xlfn.XLOOKUP(G265,Lookup_Tables!$D$2:$D$5,Lookup_Tables!$E$2:$E$5)</f>
        <v>High</v>
      </c>
      <c r="U265" t="str">
        <f>_xlfn.XLOOKUP(H265,Lookup_Tables!$D$2:$D$5,Lookup_Tables!$E$2:$E$5)</f>
        <v>Medium</v>
      </c>
      <c r="V265" t="str">
        <f>_xlfn.XLOOKUP(L265,Lookup_Tables!$D$2:$D$5,Lookup_Tables!$E$2:$E$5)</f>
        <v>Medium</v>
      </c>
    </row>
    <row r="266" spans="1:22">
      <c r="A266">
        <f>RAW_DATA!A266</f>
        <v>28</v>
      </c>
      <c r="B266" t="str">
        <f>RAW_DATA!B266</f>
        <v>Yes</v>
      </c>
      <c r="C266" t="str">
        <f>RAW_DATA!C266</f>
        <v>Research &amp; Development</v>
      </c>
      <c r="D266">
        <f>RAW_DATA!D266</f>
        <v>2</v>
      </c>
      <c r="E266">
        <f>RAW_DATA!E266</f>
        <v>4</v>
      </c>
      <c r="F266" t="str">
        <f>RAW_DATA!F266</f>
        <v>Life Sciences</v>
      </c>
      <c r="G266">
        <f>RAW_DATA!G266</f>
        <v>1</v>
      </c>
      <c r="H266">
        <f>RAW_DATA!H266</f>
        <v>3</v>
      </c>
      <c r="I266" t="str">
        <f>RAW_DATA!I266</f>
        <v>Single</v>
      </c>
      <c r="J266">
        <f>RAW_DATA!J266</f>
        <v>3485</v>
      </c>
      <c r="K266">
        <f>RAW_DATA!K266</f>
        <v>2</v>
      </c>
      <c r="L266">
        <f>RAW_DATA!L266</f>
        <v>1</v>
      </c>
      <c r="M266">
        <f>RAW_DATA!M266</f>
        <v>0</v>
      </c>
      <c r="N266">
        <f t="shared" si="8"/>
        <v>1</v>
      </c>
      <c r="O266" t="str">
        <f xml:space="preserve"> VLOOKUP(A266, Lookup_Tables!$G$2:$H$6,2,TRUE)</f>
        <v>25-34</v>
      </c>
      <c r="P266" t="str">
        <f>_xlfn.XLOOKUP(J266,Lookup_Tables!$J$2:$J$4,Lookup_Tables!$K$2:$K$4, " ",-1)</f>
        <v>Medium</v>
      </c>
      <c r="Q266" t="str">
        <f xml:space="preserve"> _xlfn.XLOOKUP(M266, Lookup_Tables!$M$2:$M$5,Lookup_Tables!$N$2:$N$5," ", -1)</f>
        <v>New (0-2)</v>
      </c>
      <c r="R266" s="4">
        <f t="shared" si="9"/>
        <v>1.6666666666666667</v>
      </c>
      <c r="S266" t="str">
        <f xml:space="preserve"> _xlfn.XLOOKUP( E266, Lookup_Tables!$A$2:$A$6,Lookup_Tables!$B$2:$B$6," ", -1)</f>
        <v>Master</v>
      </c>
      <c r="T266" t="str">
        <f>_xlfn.XLOOKUP(G266,Lookup_Tables!$D$2:$D$5,Lookup_Tables!$E$2:$E$5)</f>
        <v>Low</v>
      </c>
      <c r="U266" t="str">
        <f>_xlfn.XLOOKUP(H266,Lookup_Tables!$D$2:$D$5,Lookup_Tables!$E$2:$E$5)</f>
        <v>High</v>
      </c>
      <c r="V266" t="str">
        <f>_xlfn.XLOOKUP(L266,Lookup_Tables!$D$2:$D$5,Lookup_Tables!$E$2:$E$5)</f>
        <v>Low</v>
      </c>
    </row>
    <row r="267" spans="1:22">
      <c r="A267">
        <f>RAW_DATA!A267</f>
        <v>29</v>
      </c>
      <c r="B267" t="str">
        <f>RAW_DATA!B267</f>
        <v>No</v>
      </c>
      <c r="C267" t="str">
        <f>RAW_DATA!C267</f>
        <v>Sales</v>
      </c>
      <c r="D267">
        <f>RAW_DATA!D267</f>
        <v>2</v>
      </c>
      <c r="E267">
        <f>RAW_DATA!E267</f>
        <v>3</v>
      </c>
      <c r="F267" t="str">
        <f>RAW_DATA!F267</f>
        <v>Medical</v>
      </c>
      <c r="G267">
        <f>RAW_DATA!G267</f>
        <v>1</v>
      </c>
      <c r="H267">
        <f>RAW_DATA!H267</f>
        <v>2</v>
      </c>
      <c r="I267" t="str">
        <f>RAW_DATA!I267</f>
        <v>Married</v>
      </c>
      <c r="J267">
        <f>RAW_DATA!J267</f>
        <v>6644</v>
      </c>
      <c r="K267">
        <f>RAW_DATA!K267</f>
        <v>2</v>
      </c>
      <c r="L267">
        <f>RAW_DATA!L267</f>
        <v>3</v>
      </c>
      <c r="M267">
        <f>RAW_DATA!M267</f>
        <v>0</v>
      </c>
      <c r="N267">
        <f t="shared" si="8"/>
        <v>0</v>
      </c>
      <c r="O267" t="str">
        <f xml:space="preserve"> VLOOKUP(A267, Lookup_Tables!$G$2:$H$6,2,TRUE)</f>
        <v>25-34</v>
      </c>
      <c r="P267" t="str">
        <f>_xlfn.XLOOKUP(J267,Lookup_Tables!$J$2:$J$4,Lookup_Tables!$K$2:$K$4, " ",-1)</f>
        <v>Medium</v>
      </c>
      <c r="Q267" t="str">
        <f xml:space="preserve"> _xlfn.XLOOKUP(M267, Lookup_Tables!$M$2:$M$5,Lookup_Tables!$N$2:$N$5," ", -1)</f>
        <v>New (0-2)</v>
      </c>
      <c r="R267" s="4">
        <f t="shared" si="9"/>
        <v>2</v>
      </c>
      <c r="S267" t="str">
        <f xml:space="preserve"> _xlfn.XLOOKUP( E267, Lookup_Tables!$A$2:$A$6,Lookup_Tables!$B$2:$B$6," ", -1)</f>
        <v>Bachelor</v>
      </c>
      <c r="T267" t="str">
        <f>_xlfn.XLOOKUP(G267,Lookup_Tables!$D$2:$D$5,Lookup_Tables!$E$2:$E$5)</f>
        <v>Low</v>
      </c>
      <c r="U267" t="str">
        <f>_xlfn.XLOOKUP(H267,Lookup_Tables!$D$2:$D$5,Lookup_Tables!$E$2:$E$5)</f>
        <v>Medium</v>
      </c>
      <c r="V267" t="str">
        <f>_xlfn.XLOOKUP(L267,Lookup_Tables!$D$2:$D$5,Lookup_Tables!$E$2:$E$5)</f>
        <v>High</v>
      </c>
    </row>
    <row r="268" spans="1:22">
      <c r="A268">
        <f>RAW_DATA!A268</f>
        <v>31</v>
      </c>
      <c r="B268" t="str">
        <f>RAW_DATA!B268</f>
        <v>No</v>
      </c>
      <c r="C268" t="str">
        <f>RAW_DATA!C268</f>
        <v>Research &amp; Development</v>
      </c>
      <c r="D268">
        <f>RAW_DATA!D268</f>
        <v>23</v>
      </c>
      <c r="E268">
        <f>RAW_DATA!E268</f>
        <v>3</v>
      </c>
      <c r="F268" t="str">
        <f>RAW_DATA!F268</f>
        <v>Medical</v>
      </c>
      <c r="G268">
        <f>RAW_DATA!G268</f>
        <v>2</v>
      </c>
      <c r="H268">
        <f>RAW_DATA!H268</f>
        <v>4</v>
      </c>
      <c r="I268" t="str">
        <f>RAW_DATA!I268</f>
        <v>Married</v>
      </c>
      <c r="J268">
        <f>RAW_DATA!J268</f>
        <v>5582</v>
      </c>
      <c r="K268">
        <f>RAW_DATA!K268</f>
        <v>0</v>
      </c>
      <c r="L268">
        <f>RAW_DATA!L268</f>
        <v>3</v>
      </c>
      <c r="M268">
        <f>RAW_DATA!M268</f>
        <v>9</v>
      </c>
      <c r="N268">
        <f t="shared" si="8"/>
        <v>0</v>
      </c>
      <c r="O268" t="str">
        <f xml:space="preserve"> VLOOKUP(A268, Lookup_Tables!$G$2:$H$6,2,TRUE)</f>
        <v>25-34</v>
      </c>
      <c r="P268" t="str">
        <f>_xlfn.XLOOKUP(J268,Lookup_Tables!$J$2:$J$4,Lookup_Tables!$K$2:$K$4, " ",-1)</f>
        <v>Medium</v>
      </c>
      <c r="Q268" t="str">
        <f xml:space="preserve"> _xlfn.XLOOKUP(M268, Lookup_Tables!$M$2:$M$5,Lookup_Tables!$N$2:$N$5," ", -1)</f>
        <v>Established (5-10)</v>
      </c>
      <c r="R268" s="4">
        <f t="shared" si="9"/>
        <v>3</v>
      </c>
      <c r="S268" t="str">
        <f xml:space="preserve"> _xlfn.XLOOKUP( E268, Lookup_Tables!$A$2:$A$6,Lookup_Tables!$B$2:$B$6," ", -1)</f>
        <v>Bachelor</v>
      </c>
      <c r="T268" t="str">
        <f>_xlfn.XLOOKUP(G268,Lookup_Tables!$D$2:$D$5,Lookup_Tables!$E$2:$E$5)</f>
        <v>Medium</v>
      </c>
      <c r="U268" t="str">
        <f>_xlfn.XLOOKUP(H268,Lookup_Tables!$D$2:$D$5,Lookup_Tables!$E$2:$E$5)</f>
        <v>Very High</v>
      </c>
      <c r="V268" t="str">
        <f>_xlfn.XLOOKUP(L268,Lookup_Tables!$D$2:$D$5,Lookup_Tables!$E$2:$E$5)</f>
        <v>High</v>
      </c>
    </row>
    <row r="269" spans="1:22">
      <c r="A269">
        <f>RAW_DATA!A269</f>
        <v>25</v>
      </c>
      <c r="B269" t="str">
        <f>RAW_DATA!B269</f>
        <v>No</v>
      </c>
      <c r="C269" t="str">
        <f>RAW_DATA!C269</f>
        <v>Research &amp; Development</v>
      </c>
      <c r="D269">
        <f>RAW_DATA!D269</f>
        <v>5</v>
      </c>
      <c r="E269">
        <f>RAW_DATA!E269</f>
        <v>2</v>
      </c>
      <c r="F269" t="str">
        <f>RAW_DATA!F269</f>
        <v>Life Sciences</v>
      </c>
      <c r="G269">
        <f>RAW_DATA!G269</f>
        <v>2</v>
      </c>
      <c r="H269">
        <f>RAW_DATA!H269</f>
        <v>1</v>
      </c>
      <c r="I269" t="str">
        <f>RAW_DATA!I269</f>
        <v>Divorced</v>
      </c>
      <c r="J269">
        <f>RAW_DATA!J269</f>
        <v>4000</v>
      </c>
      <c r="K269">
        <f>RAW_DATA!K269</f>
        <v>1</v>
      </c>
      <c r="L269">
        <f>RAW_DATA!L269</f>
        <v>3</v>
      </c>
      <c r="M269">
        <f>RAW_DATA!M269</f>
        <v>6</v>
      </c>
      <c r="N269">
        <f t="shared" si="8"/>
        <v>0</v>
      </c>
      <c r="O269" t="str">
        <f xml:space="preserve"> VLOOKUP(A269, Lookup_Tables!$G$2:$H$6,2,TRUE)</f>
        <v>25-34</v>
      </c>
      <c r="P269" t="str">
        <f>_xlfn.XLOOKUP(J269,Lookup_Tables!$J$2:$J$4,Lookup_Tables!$K$2:$K$4, " ",-1)</f>
        <v>Medium</v>
      </c>
      <c r="Q269" t="str">
        <f xml:space="preserve"> _xlfn.XLOOKUP(M269, Lookup_Tables!$M$2:$M$5,Lookup_Tables!$N$2:$N$5," ", -1)</f>
        <v>Established (5-10)</v>
      </c>
      <c r="R269" s="4">
        <f t="shared" si="9"/>
        <v>2</v>
      </c>
      <c r="S269" t="str">
        <f xml:space="preserve"> _xlfn.XLOOKUP( E269, Lookup_Tables!$A$2:$A$6,Lookup_Tables!$B$2:$B$6," ", -1)</f>
        <v>College</v>
      </c>
      <c r="T269" t="str">
        <f>_xlfn.XLOOKUP(G269,Lookup_Tables!$D$2:$D$5,Lookup_Tables!$E$2:$E$5)</f>
        <v>Medium</v>
      </c>
      <c r="U269" t="str">
        <f>_xlfn.XLOOKUP(H269,Lookup_Tables!$D$2:$D$5,Lookup_Tables!$E$2:$E$5)</f>
        <v>Low</v>
      </c>
      <c r="V269" t="str">
        <f>_xlfn.XLOOKUP(L269,Lookup_Tables!$D$2:$D$5,Lookup_Tables!$E$2:$E$5)</f>
        <v>High</v>
      </c>
    </row>
    <row r="270" spans="1:22">
      <c r="A270">
        <f>RAW_DATA!A270</f>
        <v>45</v>
      </c>
      <c r="B270" t="str">
        <f>RAW_DATA!B270</f>
        <v>No</v>
      </c>
      <c r="C270" t="str">
        <f>RAW_DATA!C270</f>
        <v>Research &amp; Development</v>
      </c>
      <c r="D270">
        <f>RAW_DATA!D270</f>
        <v>20</v>
      </c>
      <c r="E270">
        <f>RAW_DATA!E270</f>
        <v>2</v>
      </c>
      <c r="F270" t="str">
        <f>RAW_DATA!F270</f>
        <v>Medical</v>
      </c>
      <c r="G270">
        <f>RAW_DATA!G270</f>
        <v>3</v>
      </c>
      <c r="H270">
        <f>RAW_DATA!H270</f>
        <v>4</v>
      </c>
      <c r="I270" t="str">
        <f>RAW_DATA!I270</f>
        <v>Married</v>
      </c>
      <c r="J270">
        <f>RAW_DATA!J270</f>
        <v>13496</v>
      </c>
      <c r="K270">
        <f>RAW_DATA!K270</f>
        <v>0</v>
      </c>
      <c r="L270">
        <f>RAW_DATA!L270</f>
        <v>3</v>
      </c>
      <c r="M270">
        <f>RAW_DATA!M270</f>
        <v>20</v>
      </c>
      <c r="N270">
        <f t="shared" si="8"/>
        <v>0</v>
      </c>
      <c r="O270" t="str">
        <f xml:space="preserve"> VLOOKUP(A270, Lookup_Tables!$G$2:$H$6,2,TRUE)</f>
        <v>45-54</v>
      </c>
      <c r="P270" t="str">
        <f>_xlfn.XLOOKUP(J270,Lookup_Tables!$J$2:$J$4,Lookup_Tables!$K$2:$K$4, " ",-1)</f>
        <v>High</v>
      </c>
      <c r="Q270" t="str">
        <f xml:space="preserve"> _xlfn.XLOOKUP(M270, Lookup_Tables!$M$2:$M$5,Lookup_Tables!$N$2:$N$5," ", -1)</f>
        <v>Veteran (10+)</v>
      </c>
      <c r="R270" s="4">
        <f t="shared" si="9"/>
        <v>3.3333333333333335</v>
      </c>
      <c r="S270" t="str">
        <f xml:space="preserve"> _xlfn.XLOOKUP( E270, Lookup_Tables!$A$2:$A$6,Lookup_Tables!$B$2:$B$6," ", -1)</f>
        <v>College</v>
      </c>
      <c r="T270" t="str">
        <f>_xlfn.XLOOKUP(G270,Lookup_Tables!$D$2:$D$5,Lookup_Tables!$E$2:$E$5)</f>
        <v>High</v>
      </c>
      <c r="U270" t="str">
        <f>_xlfn.XLOOKUP(H270,Lookup_Tables!$D$2:$D$5,Lookup_Tables!$E$2:$E$5)</f>
        <v>Very High</v>
      </c>
      <c r="V270" t="str">
        <f>_xlfn.XLOOKUP(L270,Lookup_Tables!$D$2:$D$5,Lookup_Tables!$E$2:$E$5)</f>
        <v>High</v>
      </c>
    </row>
    <row r="271" spans="1:22">
      <c r="A271">
        <f>RAW_DATA!A271</f>
        <v>36</v>
      </c>
      <c r="B271" t="str">
        <f>RAW_DATA!B271</f>
        <v>No</v>
      </c>
      <c r="C271" t="str">
        <f>RAW_DATA!C271</f>
        <v>Research &amp; Development</v>
      </c>
      <c r="D271">
        <f>RAW_DATA!D271</f>
        <v>6</v>
      </c>
      <c r="E271">
        <f>RAW_DATA!E271</f>
        <v>3</v>
      </c>
      <c r="F271" t="str">
        <f>RAW_DATA!F271</f>
        <v>Life Sciences</v>
      </c>
      <c r="G271">
        <f>RAW_DATA!G271</f>
        <v>4</v>
      </c>
      <c r="H271">
        <f>RAW_DATA!H271</f>
        <v>4</v>
      </c>
      <c r="I271" t="str">
        <f>RAW_DATA!I271</f>
        <v>Married</v>
      </c>
      <c r="J271">
        <f>RAW_DATA!J271</f>
        <v>3210</v>
      </c>
      <c r="K271">
        <f>RAW_DATA!K271</f>
        <v>0</v>
      </c>
      <c r="L271">
        <f>RAW_DATA!L271</f>
        <v>3</v>
      </c>
      <c r="M271">
        <f>RAW_DATA!M271</f>
        <v>15</v>
      </c>
      <c r="N271">
        <f t="shared" si="8"/>
        <v>0</v>
      </c>
      <c r="O271" t="str">
        <f xml:space="preserve"> VLOOKUP(A271, Lookup_Tables!$G$2:$H$6,2,TRUE)</f>
        <v>35-44</v>
      </c>
      <c r="P271" t="str">
        <f>_xlfn.XLOOKUP(J271,Lookup_Tables!$J$2:$J$4,Lookup_Tables!$K$2:$K$4, " ",-1)</f>
        <v>Medium</v>
      </c>
      <c r="Q271" t="str">
        <f xml:space="preserve"> _xlfn.XLOOKUP(M271, Lookup_Tables!$M$2:$M$5,Lookup_Tables!$N$2:$N$5," ", -1)</f>
        <v>Veteran (10+)</v>
      </c>
      <c r="R271" s="4">
        <f t="shared" si="9"/>
        <v>3.6666666666666665</v>
      </c>
      <c r="S271" t="str">
        <f xml:space="preserve"> _xlfn.XLOOKUP( E271, Lookup_Tables!$A$2:$A$6,Lookup_Tables!$B$2:$B$6," ", -1)</f>
        <v>Bachelor</v>
      </c>
      <c r="T271" t="str">
        <f>_xlfn.XLOOKUP(G271,Lookup_Tables!$D$2:$D$5,Lookup_Tables!$E$2:$E$5)</f>
        <v>Very High</v>
      </c>
      <c r="U271" t="str">
        <f>_xlfn.XLOOKUP(H271,Lookup_Tables!$D$2:$D$5,Lookup_Tables!$E$2:$E$5)</f>
        <v>Very High</v>
      </c>
      <c r="V271" t="str">
        <f>_xlfn.XLOOKUP(L271,Lookup_Tables!$D$2:$D$5,Lookup_Tables!$E$2:$E$5)</f>
        <v>High</v>
      </c>
    </row>
    <row r="272" spans="1:22">
      <c r="A272">
        <f>RAW_DATA!A272</f>
        <v>55</v>
      </c>
      <c r="B272" t="str">
        <f>RAW_DATA!B272</f>
        <v>No</v>
      </c>
      <c r="C272" t="str">
        <f>RAW_DATA!C272</f>
        <v>Research &amp; Development</v>
      </c>
      <c r="D272">
        <f>RAW_DATA!D272</f>
        <v>1</v>
      </c>
      <c r="E272">
        <f>RAW_DATA!E272</f>
        <v>3</v>
      </c>
      <c r="F272" t="str">
        <f>RAW_DATA!F272</f>
        <v>Medical</v>
      </c>
      <c r="G272">
        <f>RAW_DATA!G272</f>
        <v>4</v>
      </c>
      <c r="H272">
        <f>RAW_DATA!H272</f>
        <v>1</v>
      </c>
      <c r="I272" t="str">
        <f>RAW_DATA!I272</f>
        <v>Single</v>
      </c>
      <c r="J272">
        <f>RAW_DATA!J272</f>
        <v>19045</v>
      </c>
      <c r="K272">
        <f>RAW_DATA!K272</f>
        <v>0</v>
      </c>
      <c r="L272">
        <f>RAW_DATA!L272</f>
        <v>3</v>
      </c>
      <c r="M272">
        <f>RAW_DATA!M272</f>
        <v>36</v>
      </c>
      <c r="N272">
        <f t="shared" si="8"/>
        <v>0</v>
      </c>
      <c r="O272" t="str">
        <f xml:space="preserve"> VLOOKUP(A272, Lookup_Tables!$G$2:$H$6,2,TRUE)</f>
        <v>55+</v>
      </c>
      <c r="P272" t="str">
        <f>_xlfn.XLOOKUP(J272,Lookup_Tables!$J$2:$J$4,Lookup_Tables!$K$2:$K$4, " ",-1)</f>
        <v>High</v>
      </c>
      <c r="Q272" t="str">
        <f xml:space="preserve"> _xlfn.XLOOKUP(M272, Lookup_Tables!$M$2:$M$5,Lookup_Tables!$N$2:$N$5," ", -1)</f>
        <v>Veteran (10+)</v>
      </c>
      <c r="R272" s="4">
        <f t="shared" si="9"/>
        <v>2.6666666666666665</v>
      </c>
      <c r="S272" t="str">
        <f xml:space="preserve"> _xlfn.XLOOKUP( E272, Lookup_Tables!$A$2:$A$6,Lookup_Tables!$B$2:$B$6," ", -1)</f>
        <v>Bachelor</v>
      </c>
      <c r="T272" t="str">
        <f>_xlfn.XLOOKUP(G272,Lookup_Tables!$D$2:$D$5,Lookup_Tables!$E$2:$E$5)</f>
        <v>Very High</v>
      </c>
      <c r="U272" t="str">
        <f>_xlfn.XLOOKUP(H272,Lookup_Tables!$D$2:$D$5,Lookup_Tables!$E$2:$E$5)</f>
        <v>Low</v>
      </c>
      <c r="V272" t="str">
        <f>_xlfn.XLOOKUP(L272,Lookup_Tables!$D$2:$D$5,Lookup_Tables!$E$2:$E$5)</f>
        <v>High</v>
      </c>
    </row>
    <row r="273" spans="1:22">
      <c r="A273">
        <f>RAW_DATA!A273</f>
        <v>47</v>
      </c>
      <c r="B273" t="str">
        <f>RAW_DATA!B273</f>
        <v>Yes</v>
      </c>
      <c r="C273" t="str">
        <f>RAW_DATA!C273</f>
        <v>Research &amp; Development</v>
      </c>
      <c r="D273">
        <f>RAW_DATA!D273</f>
        <v>29</v>
      </c>
      <c r="E273">
        <f>RAW_DATA!E273</f>
        <v>4</v>
      </c>
      <c r="F273" t="str">
        <f>RAW_DATA!F273</f>
        <v>Life Sciences</v>
      </c>
      <c r="G273">
        <f>RAW_DATA!G273</f>
        <v>1</v>
      </c>
      <c r="H273">
        <f>RAW_DATA!H273</f>
        <v>2</v>
      </c>
      <c r="I273" t="str">
        <f>RAW_DATA!I273</f>
        <v>Married</v>
      </c>
      <c r="J273">
        <f>RAW_DATA!J273</f>
        <v>11849</v>
      </c>
      <c r="K273">
        <f>RAW_DATA!K273</f>
        <v>1</v>
      </c>
      <c r="L273">
        <f>RAW_DATA!L273</f>
        <v>2</v>
      </c>
      <c r="M273">
        <f>RAW_DATA!M273</f>
        <v>10</v>
      </c>
      <c r="N273">
        <f t="shared" si="8"/>
        <v>1</v>
      </c>
      <c r="O273" t="str">
        <f xml:space="preserve"> VLOOKUP(A273, Lookup_Tables!$G$2:$H$6,2,TRUE)</f>
        <v>45-54</v>
      </c>
      <c r="P273" t="str">
        <f>_xlfn.XLOOKUP(J273,Lookup_Tables!$J$2:$J$4,Lookup_Tables!$K$2:$K$4, " ",-1)</f>
        <v>High</v>
      </c>
      <c r="Q273" t="str">
        <f xml:space="preserve"> _xlfn.XLOOKUP(M273, Lookup_Tables!$M$2:$M$5,Lookup_Tables!$N$2:$N$5," ", -1)</f>
        <v>Veteran (10+)</v>
      </c>
      <c r="R273" s="4">
        <f t="shared" si="9"/>
        <v>1.6666666666666667</v>
      </c>
      <c r="S273" t="str">
        <f xml:space="preserve"> _xlfn.XLOOKUP( E273, Lookup_Tables!$A$2:$A$6,Lookup_Tables!$B$2:$B$6," ", -1)</f>
        <v>Master</v>
      </c>
      <c r="T273" t="str">
        <f>_xlfn.XLOOKUP(G273,Lookup_Tables!$D$2:$D$5,Lookup_Tables!$E$2:$E$5)</f>
        <v>Low</v>
      </c>
      <c r="U273" t="str">
        <f>_xlfn.XLOOKUP(H273,Lookup_Tables!$D$2:$D$5,Lookup_Tables!$E$2:$E$5)</f>
        <v>Medium</v>
      </c>
      <c r="V273" t="str">
        <f>_xlfn.XLOOKUP(L273,Lookup_Tables!$D$2:$D$5,Lookup_Tables!$E$2:$E$5)</f>
        <v>Medium</v>
      </c>
    </row>
    <row r="274" spans="1:22">
      <c r="A274">
        <f>RAW_DATA!A274</f>
        <v>28</v>
      </c>
      <c r="B274" t="str">
        <f>RAW_DATA!B274</f>
        <v>No</v>
      </c>
      <c r="C274" t="str">
        <f>RAW_DATA!C274</f>
        <v>Research &amp; Development</v>
      </c>
      <c r="D274">
        <f>RAW_DATA!D274</f>
        <v>9</v>
      </c>
      <c r="E274">
        <f>RAW_DATA!E274</f>
        <v>3</v>
      </c>
      <c r="F274" t="str">
        <f>RAW_DATA!F274</f>
        <v>Medical</v>
      </c>
      <c r="G274">
        <f>RAW_DATA!G274</f>
        <v>4</v>
      </c>
      <c r="H274">
        <f>RAW_DATA!H274</f>
        <v>4</v>
      </c>
      <c r="I274" t="str">
        <f>RAW_DATA!I274</f>
        <v>Married</v>
      </c>
      <c r="J274">
        <f>RAW_DATA!J274</f>
        <v>2070</v>
      </c>
      <c r="K274">
        <f>RAW_DATA!K274</f>
        <v>1</v>
      </c>
      <c r="L274">
        <f>RAW_DATA!L274</f>
        <v>2</v>
      </c>
      <c r="M274">
        <f>RAW_DATA!M274</f>
        <v>5</v>
      </c>
      <c r="N274">
        <f t="shared" si="8"/>
        <v>0</v>
      </c>
      <c r="O274" t="str">
        <f xml:space="preserve"> VLOOKUP(A274, Lookup_Tables!$G$2:$H$6,2,TRUE)</f>
        <v>25-34</v>
      </c>
      <c r="P274" t="str">
        <f>_xlfn.XLOOKUP(J274,Lookup_Tables!$J$2:$J$4,Lookup_Tables!$K$2:$K$4, " ",-1)</f>
        <v>Low</v>
      </c>
      <c r="Q274" t="str">
        <f xml:space="preserve"> _xlfn.XLOOKUP(M274, Lookup_Tables!$M$2:$M$5,Lookup_Tables!$N$2:$N$5," ", -1)</f>
        <v>Established (5-10)</v>
      </c>
      <c r="R274" s="4">
        <f t="shared" si="9"/>
        <v>3.3333333333333335</v>
      </c>
      <c r="S274" t="str">
        <f xml:space="preserve"> _xlfn.XLOOKUP( E274, Lookup_Tables!$A$2:$A$6,Lookup_Tables!$B$2:$B$6," ", -1)</f>
        <v>Bachelor</v>
      </c>
      <c r="T274" t="str">
        <f>_xlfn.XLOOKUP(G274,Lookup_Tables!$D$2:$D$5,Lookup_Tables!$E$2:$E$5)</f>
        <v>Very High</v>
      </c>
      <c r="U274" t="str">
        <f>_xlfn.XLOOKUP(H274,Lookup_Tables!$D$2:$D$5,Lookup_Tables!$E$2:$E$5)</f>
        <v>Very High</v>
      </c>
      <c r="V274" t="str">
        <f>_xlfn.XLOOKUP(L274,Lookup_Tables!$D$2:$D$5,Lookup_Tables!$E$2:$E$5)</f>
        <v>Medium</v>
      </c>
    </row>
    <row r="275" spans="1:22">
      <c r="A275">
        <f>RAW_DATA!A275</f>
        <v>37</v>
      </c>
      <c r="B275" t="str">
        <f>RAW_DATA!B275</f>
        <v>No</v>
      </c>
      <c r="C275" t="str">
        <f>RAW_DATA!C275</f>
        <v>Sales</v>
      </c>
      <c r="D275">
        <f>RAW_DATA!D275</f>
        <v>6</v>
      </c>
      <c r="E275">
        <f>RAW_DATA!E275</f>
        <v>4</v>
      </c>
      <c r="F275" t="str">
        <f>RAW_DATA!F275</f>
        <v>Medical</v>
      </c>
      <c r="G275">
        <f>RAW_DATA!G275</f>
        <v>3</v>
      </c>
      <c r="H275">
        <f>RAW_DATA!H275</f>
        <v>4</v>
      </c>
      <c r="I275" t="str">
        <f>RAW_DATA!I275</f>
        <v>Married</v>
      </c>
      <c r="J275">
        <f>RAW_DATA!J275</f>
        <v>6502</v>
      </c>
      <c r="K275">
        <f>RAW_DATA!K275</f>
        <v>4</v>
      </c>
      <c r="L275">
        <f>RAW_DATA!L275</f>
        <v>4</v>
      </c>
      <c r="M275">
        <f>RAW_DATA!M275</f>
        <v>5</v>
      </c>
      <c r="N275">
        <f t="shared" si="8"/>
        <v>0</v>
      </c>
      <c r="O275" t="str">
        <f xml:space="preserve"> VLOOKUP(A275, Lookup_Tables!$G$2:$H$6,2,TRUE)</f>
        <v>35-44</v>
      </c>
      <c r="P275" t="str">
        <f>_xlfn.XLOOKUP(J275,Lookup_Tables!$J$2:$J$4,Lookup_Tables!$K$2:$K$4, " ",-1)</f>
        <v>Medium</v>
      </c>
      <c r="Q275" t="str">
        <f xml:space="preserve"> _xlfn.XLOOKUP(M275, Lookup_Tables!$M$2:$M$5,Lookup_Tables!$N$2:$N$5," ", -1)</f>
        <v>Established (5-10)</v>
      </c>
      <c r="R275" s="4">
        <f t="shared" si="9"/>
        <v>3.6666666666666665</v>
      </c>
      <c r="S275" t="str">
        <f xml:space="preserve"> _xlfn.XLOOKUP( E275, Lookup_Tables!$A$2:$A$6,Lookup_Tables!$B$2:$B$6," ", -1)</f>
        <v>Master</v>
      </c>
      <c r="T275" t="str">
        <f>_xlfn.XLOOKUP(G275,Lookup_Tables!$D$2:$D$5,Lookup_Tables!$E$2:$E$5)</f>
        <v>High</v>
      </c>
      <c r="U275" t="str">
        <f>_xlfn.XLOOKUP(H275,Lookup_Tables!$D$2:$D$5,Lookup_Tables!$E$2:$E$5)</f>
        <v>Very High</v>
      </c>
      <c r="V275" t="str">
        <f>_xlfn.XLOOKUP(L275,Lookup_Tables!$D$2:$D$5,Lookup_Tables!$E$2:$E$5)</f>
        <v>Very High</v>
      </c>
    </row>
    <row r="276" spans="1:22">
      <c r="A276">
        <f>RAW_DATA!A276</f>
        <v>21</v>
      </c>
      <c r="B276" t="str">
        <f>RAW_DATA!B276</f>
        <v>No</v>
      </c>
      <c r="C276" t="str">
        <f>RAW_DATA!C276</f>
        <v>Research &amp; Development</v>
      </c>
      <c r="D276">
        <f>RAW_DATA!D276</f>
        <v>3</v>
      </c>
      <c r="E276">
        <f>RAW_DATA!E276</f>
        <v>2</v>
      </c>
      <c r="F276" t="str">
        <f>RAW_DATA!F276</f>
        <v>Medical</v>
      </c>
      <c r="G276">
        <f>RAW_DATA!G276</f>
        <v>4</v>
      </c>
      <c r="H276">
        <f>RAW_DATA!H276</f>
        <v>3</v>
      </c>
      <c r="I276" t="str">
        <f>RAW_DATA!I276</f>
        <v>Single</v>
      </c>
      <c r="J276">
        <f>RAW_DATA!J276</f>
        <v>3230</v>
      </c>
      <c r="K276">
        <f>RAW_DATA!K276</f>
        <v>1</v>
      </c>
      <c r="L276">
        <f>RAW_DATA!L276</f>
        <v>4</v>
      </c>
      <c r="M276">
        <f>RAW_DATA!M276</f>
        <v>3</v>
      </c>
      <c r="N276">
        <f t="shared" si="8"/>
        <v>0</v>
      </c>
      <c r="O276" t="str">
        <f xml:space="preserve"> VLOOKUP(A276, Lookup_Tables!$G$2:$H$6,2,TRUE)</f>
        <v>&lt;25</v>
      </c>
      <c r="P276" t="str">
        <f>_xlfn.XLOOKUP(J276,Lookup_Tables!$J$2:$J$4,Lookup_Tables!$K$2:$K$4, " ",-1)</f>
        <v>Medium</v>
      </c>
      <c r="Q276" t="str">
        <f xml:space="preserve"> _xlfn.XLOOKUP(M276, Lookup_Tables!$M$2:$M$5,Lookup_Tables!$N$2:$N$5," ", -1)</f>
        <v>Early (2-5)</v>
      </c>
      <c r="R276" s="4">
        <f t="shared" si="9"/>
        <v>3.6666666666666665</v>
      </c>
      <c r="S276" t="str">
        <f xml:space="preserve"> _xlfn.XLOOKUP( E276, Lookup_Tables!$A$2:$A$6,Lookup_Tables!$B$2:$B$6," ", -1)</f>
        <v>College</v>
      </c>
      <c r="T276" t="str">
        <f>_xlfn.XLOOKUP(G276,Lookup_Tables!$D$2:$D$5,Lookup_Tables!$E$2:$E$5)</f>
        <v>Very High</v>
      </c>
      <c r="U276" t="str">
        <f>_xlfn.XLOOKUP(H276,Lookup_Tables!$D$2:$D$5,Lookup_Tables!$E$2:$E$5)</f>
        <v>High</v>
      </c>
      <c r="V276" t="str">
        <f>_xlfn.XLOOKUP(L276,Lookup_Tables!$D$2:$D$5,Lookup_Tables!$E$2:$E$5)</f>
        <v>Very High</v>
      </c>
    </row>
    <row r="277" spans="1:22">
      <c r="A277">
        <f>RAW_DATA!A277</f>
        <v>37</v>
      </c>
      <c r="B277" t="str">
        <f>RAW_DATA!B277</f>
        <v>No</v>
      </c>
      <c r="C277" t="str">
        <f>RAW_DATA!C277</f>
        <v>Research &amp; Development</v>
      </c>
      <c r="D277">
        <f>RAW_DATA!D277</f>
        <v>1</v>
      </c>
      <c r="E277">
        <f>RAW_DATA!E277</f>
        <v>4</v>
      </c>
      <c r="F277" t="str">
        <f>RAW_DATA!F277</f>
        <v>Medical</v>
      </c>
      <c r="G277">
        <f>RAW_DATA!G277</f>
        <v>1</v>
      </c>
      <c r="H277">
        <f>RAW_DATA!H277</f>
        <v>4</v>
      </c>
      <c r="I277" t="str">
        <f>RAW_DATA!I277</f>
        <v>Divorced</v>
      </c>
      <c r="J277">
        <f>RAW_DATA!J277</f>
        <v>13603</v>
      </c>
      <c r="K277">
        <f>RAW_DATA!K277</f>
        <v>2</v>
      </c>
      <c r="L277">
        <f>RAW_DATA!L277</f>
        <v>3</v>
      </c>
      <c r="M277">
        <f>RAW_DATA!M277</f>
        <v>5</v>
      </c>
      <c r="N277">
        <f t="shared" si="8"/>
        <v>0</v>
      </c>
      <c r="O277" t="str">
        <f xml:space="preserve"> VLOOKUP(A277, Lookup_Tables!$G$2:$H$6,2,TRUE)</f>
        <v>35-44</v>
      </c>
      <c r="P277" t="str">
        <f>_xlfn.XLOOKUP(J277,Lookup_Tables!$J$2:$J$4,Lookup_Tables!$K$2:$K$4, " ",-1)</f>
        <v>High</v>
      </c>
      <c r="Q277" t="str">
        <f xml:space="preserve"> _xlfn.XLOOKUP(M277, Lookup_Tables!$M$2:$M$5,Lookup_Tables!$N$2:$N$5," ", -1)</f>
        <v>Established (5-10)</v>
      </c>
      <c r="R277" s="4">
        <f t="shared" si="9"/>
        <v>2.6666666666666665</v>
      </c>
      <c r="S277" t="str">
        <f xml:space="preserve"> _xlfn.XLOOKUP( E277, Lookup_Tables!$A$2:$A$6,Lookup_Tables!$B$2:$B$6," ", -1)</f>
        <v>Master</v>
      </c>
      <c r="T277" t="str">
        <f>_xlfn.XLOOKUP(G277,Lookup_Tables!$D$2:$D$5,Lookup_Tables!$E$2:$E$5)</f>
        <v>Low</v>
      </c>
      <c r="U277" t="str">
        <f>_xlfn.XLOOKUP(H277,Lookup_Tables!$D$2:$D$5,Lookup_Tables!$E$2:$E$5)</f>
        <v>Very High</v>
      </c>
      <c r="V277" t="str">
        <f>_xlfn.XLOOKUP(L277,Lookup_Tables!$D$2:$D$5,Lookup_Tables!$E$2:$E$5)</f>
        <v>High</v>
      </c>
    </row>
    <row r="278" spans="1:22">
      <c r="A278">
        <f>RAW_DATA!A278</f>
        <v>35</v>
      </c>
      <c r="B278" t="str">
        <f>RAW_DATA!B278</f>
        <v>No</v>
      </c>
      <c r="C278" t="str">
        <f>RAW_DATA!C278</f>
        <v>Research &amp; Development</v>
      </c>
      <c r="D278">
        <f>RAW_DATA!D278</f>
        <v>22</v>
      </c>
      <c r="E278">
        <f>RAW_DATA!E278</f>
        <v>3</v>
      </c>
      <c r="F278" t="str">
        <f>RAW_DATA!F278</f>
        <v>Life Sciences</v>
      </c>
      <c r="G278">
        <f>RAW_DATA!G278</f>
        <v>2</v>
      </c>
      <c r="H278">
        <f>RAW_DATA!H278</f>
        <v>2</v>
      </c>
      <c r="I278" t="str">
        <f>RAW_DATA!I278</f>
        <v>Divorced</v>
      </c>
      <c r="J278">
        <f>RAW_DATA!J278</f>
        <v>11996</v>
      </c>
      <c r="K278">
        <f>RAW_DATA!K278</f>
        <v>7</v>
      </c>
      <c r="L278">
        <f>RAW_DATA!L278</f>
        <v>2</v>
      </c>
      <c r="M278">
        <f>RAW_DATA!M278</f>
        <v>7</v>
      </c>
      <c r="N278">
        <f t="shared" si="8"/>
        <v>0</v>
      </c>
      <c r="O278" t="str">
        <f xml:space="preserve"> VLOOKUP(A278, Lookup_Tables!$G$2:$H$6,2,TRUE)</f>
        <v>35-44</v>
      </c>
      <c r="P278" t="str">
        <f>_xlfn.XLOOKUP(J278,Lookup_Tables!$J$2:$J$4,Lookup_Tables!$K$2:$K$4, " ",-1)</f>
        <v>High</v>
      </c>
      <c r="Q278" t="str">
        <f xml:space="preserve"> _xlfn.XLOOKUP(M278, Lookup_Tables!$M$2:$M$5,Lookup_Tables!$N$2:$N$5," ", -1)</f>
        <v>Established (5-10)</v>
      </c>
      <c r="R278" s="4">
        <f t="shared" si="9"/>
        <v>2</v>
      </c>
      <c r="S278" t="str">
        <f xml:space="preserve"> _xlfn.XLOOKUP( E278, Lookup_Tables!$A$2:$A$6,Lookup_Tables!$B$2:$B$6," ", -1)</f>
        <v>Bachelor</v>
      </c>
      <c r="T278" t="str">
        <f>_xlfn.XLOOKUP(G278,Lookup_Tables!$D$2:$D$5,Lookup_Tables!$E$2:$E$5)</f>
        <v>Medium</v>
      </c>
      <c r="U278" t="str">
        <f>_xlfn.XLOOKUP(H278,Lookup_Tables!$D$2:$D$5,Lookup_Tables!$E$2:$E$5)</f>
        <v>Medium</v>
      </c>
      <c r="V278" t="str">
        <f>_xlfn.XLOOKUP(L278,Lookup_Tables!$D$2:$D$5,Lookup_Tables!$E$2:$E$5)</f>
        <v>Medium</v>
      </c>
    </row>
    <row r="279" spans="1:22">
      <c r="A279">
        <f>RAW_DATA!A279</f>
        <v>38</v>
      </c>
      <c r="B279" t="str">
        <f>RAW_DATA!B279</f>
        <v>No</v>
      </c>
      <c r="C279" t="str">
        <f>RAW_DATA!C279</f>
        <v>Sales</v>
      </c>
      <c r="D279">
        <f>RAW_DATA!D279</f>
        <v>7</v>
      </c>
      <c r="E279">
        <f>RAW_DATA!E279</f>
        <v>2</v>
      </c>
      <c r="F279" t="str">
        <f>RAW_DATA!F279</f>
        <v>Medical</v>
      </c>
      <c r="G279">
        <f>RAW_DATA!G279</f>
        <v>1</v>
      </c>
      <c r="H279">
        <f>RAW_DATA!H279</f>
        <v>1</v>
      </c>
      <c r="I279" t="str">
        <f>RAW_DATA!I279</f>
        <v>Divorced</v>
      </c>
      <c r="J279">
        <f>RAW_DATA!J279</f>
        <v>5605</v>
      </c>
      <c r="K279">
        <f>RAW_DATA!K279</f>
        <v>1</v>
      </c>
      <c r="L279">
        <f>RAW_DATA!L279</f>
        <v>3</v>
      </c>
      <c r="M279">
        <f>RAW_DATA!M279</f>
        <v>8</v>
      </c>
      <c r="N279">
        <f t="shared" si="8"/>
        <v>0</v>
      </c>
      <c r="O279" t="str">
        <f xml:space="preserve"> VLOOKUP(A279, Lookup_Tables!$G$2:$H$6,2,TRUE)</f>
        <v>35-44</v>
      </c>
      <c r="P279" t="str">
        <f>_xlfn.XLOOKUP(J279,Lookup_Tables!$J$2:$J$4,Lookup_Tables!$K$2:$K$4, " ",-1)</f>
        <v>Medium</v>
      </c>
      <c r="Q279" t="str">
        <f xml:space="preserve"> _xlfn.XLOOKUP(M279, Lookup_Tables!$M$2:$M$5,Lookup_Tables!$N$2:$N$5," ", -1)</f>
        <v>Established (5-10)</v>
      </c>
      <c r="R279" s="4">
        <f t="shared" si="9"/>
        <v>1.6666666666666667</v>
      </c>
      <c r="S279" t="str">
        <f xml:space="preserve"> _xlfn.XLOOKUP( E279, Lookup_Tables!$A$2:$A$6,Lookup_Tables!$B$2:$B$6," ", -1)</f>
        <v>College</v>
      </c>
      <c r="T279" t="str">
        <f>_xlfn.XLOOKUP(G279,Lookup_Tables!$D$2:$D$5,Lookup_Tables!$E$2:$E$5)</f>
        <v>Low</v>
      </c>
      <c r="U279" t="str">
        <f>_xlfn.XLOOKUP(H279,Lookup_Tables!$D$2:$D$5,Lookup_Tables!$E$2:$E$5)</f>
        <v>Low</v>
      </c>
      <c r="V279" t="str">
        <f>_xlfn.XLOOKUP(L279,Lookup_Tables!$D$2:$D$5,Lookup_Tables!$E$2:$E$5)</f>
        <v>High</v>
      </c>
    </row>
    <row r="280" spans="1:22">
      <c r="A280">
        <f>RAW_DATA!A280</f>
        <v>26</v>
      </c>
      <c r="B280" t="str">
        <f>RAW_DATA!B280</f>
        <v>No</v>
      </c>
      <c r="C280" t="str">
        <f>RAW_DATA!C280</f>
        <v>Research &amp; Development</v>
      </c>
      <c r="D280">
        <f>RAW_DATA!D280</f>
        <v>1</v>
      </c>
      <c r="E280">
        <f>RAW_DATA!E280</f>
        <v>3</v>
      </c>
      <c r="F280" t="str">
        <f>RAW_DATA!F280</f>
        <v>Life Sciences</v>
      </c>
      <c r="G280">
        <f>RAW_DATA!G280</f>
        <v>3</v>
      </c>
      <c r="H280">
        <f>RAW_DATA!H280</f>
        <v>2</v>
      </c>
      <c r="I280" t="str">
        <f>RAW_DATA!I280</f>
        <v>Divorced</v>
      </c>
      <c r="J280">
        <f>RAW_DATA!J280</f>
        <v>6397</v>
      </c>
      <c r="K280">
        <f>RAW_DATA!K280</f>
        <v>1</v>
      </c>
      <c r="L280">
        <f>RAW_DATA!L280</f>
        <v>1</v>
      </c>
      <c r="M280">
        <f>RAW_DATA!M280</f>
        <v>6</v>
      </c>
      <c r="N280">
        <f t="shared" si="8"/>
        <v>0</v>
      </c>
      <c r="O280" t="str">
        <f xml:space="preserve"> VLOOKUP(A280, Lookup_Tables!$G$2:$H$6,2,TRUE)</f>
        <v>25-34</v>
      </c>
      <c r="P280" t="str">
        <f>_xlfn.XLOOKUP(J280,Lookup_Tables!$J$2:$J$4,Lookup_Tables!$K$2:$K$4, " ",-1)</f>
        <v>Medium</v>
      </c>
      <c r="Q280" t="str">
        <f xml:space="preserve"> _xlfn.XLOOKUP(M280, Lookup_Tables!$M$2:$M$5,Lookup_Tables!$N$2:$N$5," ", -1)</f>
        <v>Established (5-10)</v>
      </c>
      <c r="R280" s="4">
        <f t="shared" si="9"/>
        <v>2</v>
      </c>
      <c r="S280" t="str">
        <f xml:space="preserve"> _xlfn.XLOOKUP( E280, Lookup_Tables!$A$2:$A$6,Lookup_Tables!$B$2:$B$6," ", -1)</f>
        <v>Bachelor</v>
      </c>
      <c r="T280" t="str">
        <f>_xlfn.XLOOKUP(G280,Lookup_Tables!$D$2:$D$5,Lookup_Tables!$E$2:$E$5)</f>
        <v>High</v>
      </c>
      <c r="U280" t="str">
        <f>_xlfn.XLOOKUP(H280,Lookup_Tables!$D$2:$D$5,Lookup_Tables!$E$2:$E$5)</f>
        <v>Medium</v>
      </c>
      <c r="V280" t="str">
        <f>_xlfn.XLOOKUP(L280,Lookup_Tables!$D$2:$D$5,Lookup_Tables!$E$2:$E$5)</f>
        <v>Low</v>
      </c>
    </row>
    <row r="281" spans="1:22">
      <c r="A281">
        <f>RAW_DATA!A281</f>
        <v>50</v>
      </c>
      <c r="B281" t="str">
        <f>RAW_DATA!B281</f>
        <v>No</v>
      </c>
      <c r="C281" t="str">
        <f>RAW_DATA!C281</f>
        <v>Research &amp; Development</v>
      </c>
      <c r="D281">
        <f>RAW_DATA!D281</f>
        <v>4</v>
      </c>
      <c r="E281">
        <f>RAW_DATA!E281</f>
        <v>1</v>
      </c>
      <c r="F281" t="str">
        <f>RAW_DATA!F281</f>
        <v>Life Sciences</v>
      </c>
      <c r="G281">
        <f>RAW_DATA!G281</f>
        <v>1</v>
      </c>
      <c r="H281">
        <f>RAW_DATA!H281</f>
        <v>2</v>
      </c>
      <c r="I281" t="str">
        <f>RAW_DATA!I281</f>
        <v>Divorced</v>
      </c>
      <c r="J281">
        <f>RAW_DATA!J281</f>
        <v>19144</v>
      </c>
      <c r="K281">
        <f>RAW_DATA!K281</f>
        <v>3</v>
      </c>
      <c r="L281">
        <f>RAW_DATA!L281</f>
        <v>2</v>
      </c>
      <c r="M281">
        <f>RAW_DATA!M281</f>
        <v>10</v>
      </c>
      <c r="N281">
        <f t="shared" si="8"/>
        <v>0</v>
      </c>
      <c r="O281" t="str">
        <f xml:space="preserve"> VLOOKUP(A281, Lookup_Tables!$G$2:$H$6,2,TRUE)</f>
        <v>45-54</v>
      </c>
      <c r="P281" t="str">
        <f>_xlfn.XLOOKUP(J281,Lookup_Tables!$J$2:$J$4,Lookup_Tables!$K$2:$K$4, " ",-1)</f>
        <v>High</v>
      </c>
      <c r="Q281" t="str">
        <f xml:space="preserve"> _xlfn.XLOOKUP(M281, Lookup_Tables!$M$2:$M$5,Lookup_Tables!$N$2:$N$5," ", -1)</f>
        <v>Veteran (10+)</v>
      </c>
      <c r="R281" s="4">
        <f t="shared" si="9"/>
        <v>1.6666666666666667</v>
      </c>
      <c r="S281" t="str">
        <f xml:space="preserve"> _xlfn.XLOOKUP( E281, Lookup_Tables!$A$2:$A$6,Lookup_Tables!$B$2:$B$6," ", -1)</f>
        <v>Below College</v>
      </c>
      <c r="T281" t="str">
        <f>_xlfn.XLOOKUP(G281,Lookup_Tables!$D$2:$D$5,Lookup_Tables!$E$2:$E$5)</f>
        <v>Low</v>
      </c>
      <c r="U281" t="str">
        <f>_xlfn.XLOOKUP(H281,Lookup_Tables!$D$2:$D$5,Lookup_Tables!$E$2:$E$5)</f>
        <v>Medium</v>
      </c>
      <c r="V281" t="str">
        <f>_xlfn.XLOOKUP(L281,Lookup_Tables!$D$2:$D$5,Lookup_Tables!$E$2:$E$5)</f>
        <v>Medium</v>
      </c>
    </row>
    <row r="282" spans="1:22">
      <c r="A282">
        <f>RAW_DATA!A282</f>
        <v>53</v>
      </c>
      <c r="B282" t="str">
        <f>RAW_DATA!B282</f>
        <v>No</v>
      </c>
      <c r="C282" t="str">
        <f>RAW_DATA!C282</f>
        <v>Research &amp; Development</v>
      </c>
      <c r="D282">
        <f>RAW_DATA!D282</f>
        <v>3</v>
      </c>
      <c r="E282">
        <f>RAW_DATA!E282</f>
        <v>4</v>
      </c>
      <c r="F282" t="str">
        <f>RAW_DATA!F282</f>
        <v>Medical</v>
      </c>
      <c r="G282">
        <f>RAW_DATA!G282</f>
        <v>3</v>
      </c>
      <c r="H282">
        <f>RAW_DATA!H282</f>
        <v>3</v>
      </c>
      <c r="I282" t="str">
        <f>RAW_DATA!I282</f>
        <v>Married</v>
      </c>
      <c r="J282">
        <f>RAW_DATA!J282</f>
        <v>17584</v>
      </c>
      <c r="K282">
        <f>RAW_DATA!K282</f>
        <v>3</v>
      </c>
      <c r="L282">
        <f>RAW_DATA!L282</f>
        <v>2</v>
      </c>
      <c r="M282">
        <f>RAW_DATA!M282</f>
        <v>5</v>
      </c>
      <c r="N282">
        <f t="shared" si="8"/>
        <v>0</v>
      </c>
      <c r="O282" t="str">
        <f xml:space="preserve"> VLOOKUP(A282, Lookup_Tables!$G$2:$H$6,2,TRUE)</f>
        <v>45-54</v>
      </c>
      <c r="P282" t="str">
        <f>_xlfn.XLOOKUP(J282,Lookup_Tables!$J$2:$J$4,Lookup_Tables!$K$2:$K$4, " ",-1)</f>
        <v>High</v>
      </c>
      <c r="Q282" t="str">
        <f xml:space="preserve"> _xlfn.XLOOKUP(M282, Lookup_Tables!$M$2:$M$5,Lookup_Tables!$N$2:$N$5," ", -1)</f>
        <v>Established (5-10)</v>
      </c>
      <c r="R282" s="4">
        <f t="shared" si="9"/>
        <v>2.6666666666666665</v>
      </c>
      <c r="S282" t="str">
        <f xml:space="preserve"> _xlfn.XLOOKUP( E282, Lookup_Tables!$A$2:$A$6,Lookup_Tables!$B$2:$B$6," ", -1)</f>
        <v>Master</v>
      </c>
      <c r="T282" t="str">
        <f>_xlfn.XLOOKUP(G282,Lookup_Tables!$D$2:$D$5,Lookup_Tables!$E$2:$E$5)</f>
        <v>High</v>
      </c>
      <c r="U282" t="str">
        <f>_xlfn.XLOOKUP(H282,Lookup_Tables!$D$2:$D$5,Lookup_Tables!$E$2:$E$5)</f>
        <v>High</v>
      </c>
      <c r="V282" t="str">
        <f>_xlfn.XLOOKUP(L282,Lookup_Tables!$D$2:$D$5,Lookup_Tables!$E$2:$E$5)</f>
        <v>Medium</v>
      </c>
    </row>
    <row r="283" spans="1:22">
      <c r="A283">
        <f>RAW_DATA!A283</f>
        <v>42</v>
      </c>
      <c r="B283" t="str">
        <f>RAW_DATA!B283</f>
        <v>No</v>
      </c>
      <c r="C283" t="str">
        <f>RAW_DATA!C283</f>
        <v>Sales</v>
      </c>
      <c r="D283">
        <f>RAW_DATA!D283</f>
        <v>1</v>
      </c>
      <c r="E283">
        <f>RAW_DATA!E283</f>
        <v>1</v>
      </c>
      <c r="F283" t="str">
        <f>RAW_DATA!F283</f>
        <v>Life Sciences</v>
      </c>
      <c r="G283">
        <f>RAW_DATA!G283</f>
        <v>2</v>
      </c>
      <c r="H283">
        <f>RAW_DATA!H283</f>
        <v>3</v>
      </c>
      <c r="I283" t="str">
        <f>RAW_DATA!I283</f>
        <v>Married</v>
      </c>
      <c r="J283">
        <f>RAW_DATA!J283</f>
        <v>4907</v>
      </c>
      <c r="K283">
        <f>RAW_DATA!K283</f>
        <v>1</v>
      </c>
      <c r="L283">
        <f>RAW_DATA!L283</f>
        <v>3</v>
      </c>
      <c r="M283">
        <f>RAW_DATA!M283</f>
        <v>20</v>
      </c>
      <c r="N283">
        <f t="shared" si="8"/>
        <v>0</v>
      </c>
      <c r="O283" t="str">
        <f xml:space="preserve"> VLOOKUP(A283, Lookup_Tables!$G$2:$H$6,2,TRUE)</f>
        <v>35-44</v>
      </c>
      <c r="P283" t="str">
        <f>_xlfn.XLOOKUP(J283,Lookup_Tables!$J$2:$J$4,Lookup_Tables!$K$2:$K$4, " ",-1)</f>
        <v>Medium</v>
      </c>
      <c r="Q283" t="str">
        <f xml:space="preserve"> _xlfn.XLOOKUP(M283, Lookup_Tables!$M$2:$M$5,Lookup_Tables!$N$2:$N$5," ", -1)</f>
        <v>Veteran (10+)</v>
      </c>
      <c r="R283" s="4">
        <f t="shared" si="9"/>
        <v>2.6666666666666665</v>
      </c>
      <c r="S283" t="str">
        <f xml:space="preserve"> _xlfn.XLOOKUP( E283, Lookup_Tables!$A$2:$A$6,Lookup_Tables!$B$2:$B$6," ", -1)</f>
        <v>Below College</v>
      </c>
      <c r="T283" t="str">
        <f>_xlfn.XLOOKUP(G283,Lookup_Tables!$D$2:$D$5,Lookup_Tables!$E$2:$E$5)</f>
        <v>Medium</v>
      </c>
      <c r="U283" t="str">
        <f>_xlfn.XLOOKUP(H283,Lookup_Tables!$D$2:$D$5,Lookup_Tables!$E$2:$E$5)</f>
        <v>High</v>
      </c>
      <c r="V283" t="str">
        <f>_xlfn.XLOOKUP(L283,Lookup_Tables!$D$2:$D$5,Lookup_Tables!$E$2:$E$5)</f>
        <v>High</v>
      </c>
    </row>
    <row r="284" spans="1:22">
      <c r="A284">
        <f>RAW_DATA!A284</f>
        <v>29</v>
      </c>
      <c r="B284" t="str">
        <f>RAW_DATA!B284</f>
        <v>No</v>
      </c>
      <c r="C284" t="str">
        <f>RAW_DATA!C284</f>
        <v>Sales</v>
      </c>
      <c r="D284">
        <f>RAW_DATA!D284</f>
        <v>2</v>
      </c>
      <c r="E284">
        <f>RAW_DATA!E284</f>
        <v>2</v>
      </c>
      <c r="F284" t="str">
        <f>RAW_DATA!F284</f>
        <v>Life Sciences</v>
      </c>
      <c r="G284">
        <f>RAW_DATA!G284</f>
        <v>2</v>
      </c>
      <c r="H284">
        <f>RAW_DATA!H284</f>
        <v>4</v>
      </c>
      <c r="I284" t="str">
        <f>RAW_DATA!I284</f>
        <v>Single</v>
      </c>
      <c r="J284">
        <f>RAW_DATA!J284</f>
        <v>4554</v>
      </c>
      <c r="K284">
        <f>RAW_DATA!K284</f>
        <v>1</v>
      </c>
      <c r="L284">
        <f>RAW_DATA!L284</f>
        <v>2</v>
      </c>
      <c r="M284">
        <f>RAW_DATA!M284</f>
        <v>10</v>
      </c>
      <c r="N284">
        <f t="shared" si="8"/>
        <v>0</v>
      </c>
      <c r="O284" t="str">
        <f xml:space="preserve"> VLOOKUP(A284, Lookup_Tables!$G$2:$H$6,2,TRUE)</f>
        <v>25-34</v>
      </c>
      <c r="P284" t="str">
        <f>_xlfn.XLOOKUP(J284,Lookup_Tables!$J$2:$J$4,Lookup_Tables!$K$2:$K$4, " ",-1)</f>
        <v>Medium</v>
      </c>
      <c r="Q284" t="str">
        <f xml:space="preserve"> _xlfn.XLOOKUP(M284, Lookup_Tables!$M$2:$M$5,Lookup_Tables!$N$2:$N$5," ", -1)</f>
        <v>Veteran (10+)</v>
      </c>
      <c r="R284" s="4">
        <f t="shared" si="9"/>
        <v>2.6666666666666665</v>
      </c>
      <c r="S284" t="str">
        <f xml:space="preserve"> _xlfn.XLOOKUP( E284, Lookup_Tables!$A$2:$A$6,Lookup_Tables!$B$2:$B$6," ", -1)</f>
        <v>College</v>
      </c>
      <c r="T284" t="str">
        <f>_xlfn.XLOOKUP(G284,Lookup_Tables!$D$2:$D$5,Lookup_Tables!$E$2:$E$5)</f>
        <v>Medium</v>
      </c>
      <c r="U284" t="str">
        <f>_xlfn.XLOOKUP(H284,Lookup_Tables!$D$2:$D$5,Lookup_Tables!$E$2:$E$5)</f>
        <v>Very High</v>
      </c>
      <c r="V284" t="str">
        <f>_xlfn.XLOOKUP(L284,Lookup_Tables!$D$2:$D$5,Lookup_Tables!$E$2:$E$5)</f>
        <v>Medium</v>
      </c>
    </row>
    <row r="285" spans="1:22">
      <c r="A285">
        <f>RAW_DATA!A285</f>
        <v>55</v>
      </c>
      <c r="B285" t="str">
        <f>RAW_DATA!B285</f>
        <v>No</v>
      </c>
      <c r="C285" t="str">
        <f>RAW_DATA!C285</f>
        <v>Research &amp; Development</v>
      </c>
      <c r="D285">
        <f>RAW_DATA!D285</f>
        <v>20</v>
      </c>
      <c r="E285">
        <f>RAW_DATA!E285</f>
        <v>2</v>
      </c>
      <c r="F285" t="str">
        <f>RAW_DATA!F285</f>
        <v>Technical Degree</v>
      </c>
      <c r="G285">
        <f>RAW_DATA!G285</f>
        <v>2</v>
      </c>
      <c r="H285">
        <f>RAW_DATA!H285</f>
        <v>4</v>
      </c>
      <c r="I285" t="str">
        <f>RAW_DATA!I285</f>
        <v>Married</v>
      </c>
      <c r="J285">
        <f>RAW_DATA!J285</f>
        <v>5415</v>
      </c>
      <c r="K285">
        <f>RAW_DATA!K285</f>
        <v>3</v>
      </c>
      <c r="L285">
        <f>RAW_DATA!L285</f>
        <v>3</v>
      </c>
      <c r="M285">
        <f>RAW_DATA!M285</f>
        <v>10</v>
      </c>
      <c r="N285">
        <f t="shared" si="8"/>
        <v>0</v>
      </c>
      <c r="O285" t="str">
        <f xml:space="preserve"> VLOOKUP(A285, Lookup_Tables!$G$2:$H$6,2,TRUE)</f>
        <v>55+</v>
      </c>
      <c r="P285" t="str">
        <f>_xlfn.XLOOKUP(J285,Lookup_Tables!$J$2:$J$4,Lookup_Tables!$K$2:$K$4, " ",-1)</f>
        <v>Medium</v>
      </c>
      <c r="Q285" t="str">
        <f xml:space="preserve"> _xlfn.XLOOKUP(M285, Lookup_Tables!$M$2:$M$5,Lookup_Tables!$N$2:$N$5," ", -1)</f>
        <v>Veteran (10+)</v>
      </c>
      <c r="R285" s="4">
        <f t="shared" si="9"/>
        <v>3</v>
      </c>
      <c r="S285" t="str">
        <f xml:space="preserve"> _xlfn.XLOOKUP( E285, Lookup_Tables!$A$2:$A$6,Lookup_Tables!$B$2:$B$6," ", -1)</f>
        <v>College</v>
      </c>
      <c r="T285" t="str">
        <f>_xlfn.XLOOKUP(G285,Lookup_Tables!$D$2:$D$5,Lookup_Tables!$E$2:$E$5)</f>
        <v>Medium</v>
      </c>
      <c r="U285" t="str">
        <f>_xlfn.XLOOKUP(H285,Lookup_Tables!$D$2:$D$5,Lookup_Tables!$E$2:$E$5)</f>
        <v>Very High</v>
      </c>
      <c r="V285" t="str">
        <f>_xlfn.XLOOKUP(L285,Lookup_Tables!$D$2:$D$5,Lookup_Tables!$E$2:$E$5)</f>
        <v>High</v>
      </c>
    </row>
    <row r="286" spans="1:22">
      <c r="A286">
        <f>RAW_DATA!A286</f>
        <v>26</v>
      </c>
      <c r="B286" t="str">
        <f>RAW_DATA!B286</f>
        <v>No</v>
      </c>
      <c r="C286" t="str">
        <f>RAW_DATA!C286</f>
        <v>Research &amp; Development</v>
      </c>
      <c r="D286">
        <f>RAW_DATA!D286</f>
        <v>11</v>
      </c>
      <c r="E286">
        <f>RAW_DATA!E286</f>
        <v>2</v>
      </c>
      <c r="F286" t="str">
        <f>RAW_DATA!F286</f>
        <v>Medical</v>
      </c>
      <c r="G286">
        <f>RAW_DATA!G286</f>
        <v>1</v>
      </c>
      <c r="H286">
        <f>RAW_DATA!H286</f>
        <v>1</v>
      </c>
      <c r="I286" t="str">
        <f>RAW_DATA!I286</f>
        <v>Married</v>
      </c>
      <c r="J286">
        <f>RAW_DATA!J286</f>
        <v>4741</v>
      </c>
      <c r="K286">
        <f>RAW_DATA!K286</f>
        <v>1</v>
      </c>
      <c r="L286">
        <f>RAW_DATA!L286</f>
        <v>3</v>
      </c>
      <c r="M286">
        <f>RAW_DATA!M286</f>
        <v>5</v>
      </c>
      <c r="N286">
        <f t="shared" si="8"/>
        <v>0</v>
      </c>
      <c r="O286" t="str">
        <f xml:space="preserve"> VLOOKUP(A286, Lookup_Tables!$G$2:$H$6,2,TRUE)</f>
        <v>25-34</v>
      </c>
      <c r="P286" t="str">
        <f>_xlfn.XLOOKUP(J286,Lookup_Tables!$J$2:$J$4,Lookup_Tables!$K$2:$K$4, " ",-1)</f>
        <v>Medium</v>
      </c>
      <c r="Q286" t="str">
        <f xml:space="preserve"> _xlfn.XLOOKUP(M286, Lookup_Tables!$M$2:$M$5,Lookup_Tables!$N$2:$N$5," ", -1)</f>
        <v>Established (5-10)</v>
      </c>
      <c r="R286" s="4">
        <f t="shared" si="9"/>
        <v>1.6666666666666667</v>
      </c>
      <c r="S286" t="str">
        <f xml:space="preserve"> _xlfn.XLOOKUP( E286, Lookup_Tables!$A$2:$A$6,Lookup_Tables!$B$2:$B$6," ", -1)</f>
        <v>College</v>
      </c>
      <c r="T286" t="str">
        <f>_xlfn.XLOOKUP(G286,Lookup_Tables!$D$2:$D$5,Lookup_Tables!$E$2:$E$5)</f>
        <v>Low</v>
      </c>
      <c r="U286" t="str">
        <f>_xlfn.XLOOKUP(H286,Lookup_Tables!$D$2:$D$5,Lookup_Tables!$E$2:$E$5)</f>
        <v>Low</v>
      </c>
      <c r="V286" t="str">
        <f>_xlfn.XLOOKUP(L286,Lookup_Tables!$D$2:$D$5,Lookup_Tables!$E$2:$E$5)</f>
        <v>High</v>
      </c>
    </row>
    <row r="287" spans="1:22">
      <c r="A287">
        <f>RAW_DATA!A287</f>
        <v>37</v>
      </c>
      <c r="B287" t="str">
        <f>RAW_DATA!B287</f>
        <v>No</v>
      </c>
      <c r="C287" t="str">
        <f>RAW_DATA!C287</f>
        <v>Research &amp; Development</v>
      </c>
      <c r="D287">
        <f>RAW_DATA!D287</f>
        <v>1</v>
      </c>
      <c r="E287">
        <f>RAW_DATA!E287</f>
        <v>3</v>
      </c>
      <c r="F287" t="str">
        <f>RAW_DATA!F287</f>
        <v>Life Sciences</v>
      </c>
      <c r="G287">
        <f>RAW_DATA!G287</f>
        <v>4</v>
      </c>
      <c r="H287">
        <f>RAW_DATA!H287</f>
        <v>4</v>
      </c>
      <c r="I287" t="str">
        <f>RAW_DATA!I287</f>
        <v>Single</v>
      </c>
      <c r="J287">
        <f>RAW_DATA!J287</f>
        <v>2115</v>
      </c>
      <c r="K287">
        <f>RAW_DATA!K287</f>
        <v>1</v>
      </c>
      <c r="L287">
        <f>RAW_DATA!L287</f>
        <v>3</v>
      </c>
      <c r="M287">
        <f>RAW_DATA!M287</f>
        <v>17</v>
      </c>
      <c r="N287">
        <f t="shared" si="8"/>
        <v>0</v>
      </c>
      <c r="O287" t="str">
        <f xml:space="preserve"> VLOOKUP(A287, Lookup_Tables!$G$2:$H$6,2,TRUE)</f>
        <v>35-44</v>
      </c>
      <c r="P287" t="str">
        <f>_xlfn.XLOOKUP(J287,Lookup_Tables!$J$2:$J$4,Lookup_Tables!$K$2:$K$4, " ",-1)</f>
        <v>Low</v>
      </c>
      <c r="Q287" t="str">
        <f xml:space="preserve"> _xlfn.XLOOKUP(M287, Lookup_Tables!$M$2:$M$5,Lookup_Tables!$N$2:$N$5," ", -1)</f>
        <v>Veteran (10+)</v>
      </c>
      <c r="R287" s="4">
        <f t="shared" si="9"/>
        <v>3.6666666666666665</v>
      </c>
      <c r="S287" t="str">
        <f xml:space="preserve"> _xlfn.XLOOKUP( E287, Lookup_Tables!$A$2:$A$6,Lookup_Tables!$B$2:$B$6," ", -1)</f>
        <v>Bachelor</v>
      </c>
      <c r="T287" t="str">
        <f>_xlfn.XLOOKUP(G287,Lookup_Tables!$D$2:$D$5,Lookup_Tables!$E$2:$E$5)</f>
        <v>Very High</v>
      </c>
      <c r="U287" t="str">
        <f>_xlfn.XLOOKUP(H287,Lookup_Tables!$D$2:$D$5,Lookup_Tables!$E$2:$E$5)</f>
        <v>Very High</v>
      </c>
      <c r="V287" t="str">
        <f>_xlfn.XLOOKUP(L287,Lookup_Tables!$D$2:$D$5,Lookup_Tables!$E$2:$E$5)</f>
        <v>High</v>
      </c>
    </row>
    <row r="288" spans="1:22">
      <c r="A288">
        <f>RAW_DATA!A288</f>
        <v>44</v>
      </c>
      <c r="B288" t="str">
        <f>RAW_DATA!B288</f>
        <v>Yes</v>
      </c>
      <c r="C288" t="str">
        <f>RAW_DATA!C288</f>
        <v>Research &amp; Development</v>
      </c>
      <c r="D288">
        <f>RAW_DATA!D288</f>
        <v>24</v>
      </c>
      <c r="E288">
        <f>RAW_DATA!E288</f>
        <v>3</v>
      </c>
      <c r="F288" t="str">
        <f>RAW_DATA!F288</f>
        <v>Life Sciences</v>
      </c>
      <c r="G288">
        <f>RAW_DATA!G288</f>
        <v>4</v>
      </c>
      <c r="H288">
        <f>RAW_DATA!H288</f>
        <v>3</v>
      </c>
      <c r="I288" t="str">
        <f>RAW_DATA!I288</f>
        <v>Divorced</v>
      </c>
      <c r="J288">
        <f>RAW_DATA!J288</f>
        <v>3161</v>
      </c>
      <c r="K288">
        <f>RAW_DATA!K288</f>
        <v>3</v>
      </c>
      <c r="L288">
        <f>RAW_DATA!L288</f>
        <v>1</v>
      </c>
      <c r="M288">
        <f>RAW_DATA!M288</f>
        <v>1</v>
      </c>
      <c r="N288">
        <f t="shared" si="8"/>
        <v>1</v>
      </c>
      <c r="O288" t="str">
        <f xml:space="preserve"> VLOOKUP(A288, Lookup_Tables!$G$2:$H$6,2,TRUE)</f>
        <v>35-44</v>
      </c>
      <c r="P288" t="str">
        <f>_xlfn.XLOOKUP(J288,Lookup_Tables!$J$2:$J$4,Lookup_Tables!$K$2:$K$4, " ",-1)</f>
        <v>Medium</v>
      </c>
      <c r="Q288" t="str">
        <f xml:space="preserve"> _xlfn.XLOOKUP(M288, Lookup_Tables!$M$2:$M$5,Lookup_Tables!$N$2:$N$5," ", -1)</f>
        <v>New (0-2)</v>
      </c>
      <c r="R288" s="4">
        <f t="shared" si="9"/>
        <v>2.6666666666666665</v>
      </c>
      <c r="S288" t="str">
        <f xml:space="preserve"> _xlfn.XLOOKUP( E288, Lookup_Tables!$A$2:$A$6,Lookup_Tables!$B$2:$B$6," ", -1)</f>
        <v>Bachelor</v>
      </c>
      <c r="T288" t="str">
        <f>_xlfn.XLOOKUP(G288,Lookup_Tables!$D$2:$D$5,Lookup_Tables!$E$2:$E$5)</f>
        <v>Very High</v>
      </c>
      <c r="U288" t="str">
        <f>_xlfn.XLOOKUP(H288,Lookup_Tables!$D$2:$D$5,Lookup_Tables!$E$2:$E$5)</f>
        <v>High</v>
      </c>
      <c r="V288" t="str">
        <f>_xlfn.XLOOKUP(L288,Lookup_Tables!$D$2:$D$5,Lookup_Tables!$E$2:$E$5)</f>
        <v>Low</v>
      </c>
    </row>
    <row r="289" spans="1:22">
      <c r="A289">
        <f>RAW_DATA!A289</f>
        <v>38</v>
      </c>
      <c r="B289" t="str">
        <f>RAW_DATA!B289</f>
        <v>No</v>
      </c>
      <c r="C289" t="str">
        <f>RAW_DATA!C289</f>
        <v>Research &amp; Development</v>
      </c>
      <c r="D289">
        <f>RAW_DATA!D289</f>
        <v>23</v>
      </c>
      <c r="E289">
        <f>RAW_DATA!E289</f>
        <v>4</v>
      </c>
      <c r="F289" t="str">
        <f>RAW_DATA!F289</f>
        <v>Life Sciences</v>
      </c>
      <c r="G289">
        <f>RAW_DATA!G289</f>
        <v>4</v>
      </c>
      <c r="H289">
        <f>RAW_DATA!H289</f>
        <v>4</v>
      </c>
      <c r="I289" t="str">
        <f>RAW_DATA!I289</f>
        <v>Divorced</v>
      </c>
      <c r="J289">
        <f>RAW_DATA!J289</f>
        <v>5745</v>
      </c>
      <c r="K289">
        <f>RAW_DATA!K289</f>
        <v>9</v>
      </c>
      <c r="L289">
        <f>RAW_DATA!L289</f>
        <v>3</v>
      </c>
      <c r="M289">
        <f>RAW_DATA!M289</f>
        <v>2</v>
      </c>
      <c r="N289">
        <f t="shared" si="8"/>
        <v>0</v>
      </c>
      <c r="O289" t="str">
        <f xml:space="preserve"> VLOOKUP(A289, Lookup_Tables!$G$2:$H$6,2,TRUE)</f>
        <v>35-44</v>
      </c>
      <c r="P289" t="str">
        <f>_xlfn.XLOOKUP(J289,Lookup_Tables!$J$2:$J$4,Lookup_Tables!$K$2:$K$4, " ",-1)</f>
        <v>Medium</v>
      </c>
      <c r="Q289" t="str">
        <f xml:space="preserve"> _xlfn.XLOOKUP(M289, Lookup_Tables!$M$2:$M$5,Lookup_Tables!$N$2:$N$5," ", -1)</f>
        <v>Early (2-5)</v>
      </c>
      <c r="R289" s="4">
        <f t="shared" si="9"/>
        <v>3.6666666666666665</v>
      </c>
      <c r="S289" t="str">
        <f xml:space="preserve"> _xlfn.XLOOKUP( E289, Lookup_Tables!$A$2:$A$6,Lookup_Tables!$B$2:$B$6," ", -1)</f>
        <v>Master</v>
      </c>
      <c r="T289" t="str">
        <f>_xlfn.XLOOKUP(G289,Lookup_Tables!$D$2:$D$5,Lookup_Tables!$E$2:$E$5)</f>
        <v>Very High</v>
      </c>
      <c r="U289" t="str">
        <f>_xlfn.XLOOKUP(H289,Lookup_Tables!$D$2:$D$5,Lookup_Tables!$E$2:$E$5)</f>
        <v>Very High</v>
      </c>
      <c r="V289" t="str">
        <f>_xlfn.XLOOKUP(L289,Lookup_Tables!$D$2:$D$5,Lookup_Tables!$E$2:$E$5)</f>
        <v>High</v>
      </c>
    </row>
    <row r="290" spans="1:22">
      <c r="A290">
        <f>RAW_DATA!A290</f>
        <v>26</v>
      </c>
      <c r="B290" t="str">
        <f>RAW_DATA!B290</f>
        <v>Yes</v>
      </c>
      <c r="C290" t="str">
        <f>RAW_DATA!C290</f>
        <v>Research &amp; Development</v>
      </c>
      <c r="D290">
        <f>RAW_DATA!D290</f>
        <v>16</v>
      </c>
      <c r="E290">
        <f>RAW_DATA!E290</f>
        <v>4</v>
      </c>
      <c r="F290" t="str">
        <f>RAW_DATA!F290</f>
        <v>Medical</v>
      </c>
      <c r="G290">
        <f>RAW_DATA!G290</f>
        <v>1</v>
      </c>
      <c r="H290">
        <f>RAW_DATA!H290</f>
        <v>2</v>
      </c>
      <c r="I290" t="str">
        <f>RAW_DATA!I290</f>
        <v>Divorced</v>
      </c>
      <c r="J290">
        <f>RAW_DATA!J290</f>
        <v>2373</v>
      </c>
      <c r="K290">
        <f>RAW_DATA!K290</f>
        <v>2</v>
      </c>
      <c r="L290">
        <f>RAW_DATA!L290</f>
        <v>3</v>
      </c>
      <c r="M290">
        <f>RAW_DATA!M290</f>
        <v>3</v>
      </c>
      <c r="N290">
        <f t="shared" si="8"/>
        <v>1</v>
      </c>
      <c r="O290" t="str">
        <f xml:space="preserve"> VLOOKUP(A290, Lookup_Tables!$G$2:$H$6,2,TRUE)</f>
        <v>25-34</v>
      </c>
      <c r="P290" t="str">
        <f>_xlfn.XLOOKUP(J290,Lookup_Tables!$J$2:$J$4,Lookup_Tables!$K$2:$K$4, " ",-1)</f>
        <v>Low</v>
      </c>
      <c r="Q290" t="str">
        <f xml:space="preserve"> _xlfn.XLOOKUP(M290, Lookup_Tables!$M$2:$M$5,Lookup_Tables!$N$2:$N$5," ", -1)</f>
        <v>Early (2-5)</v>
      </c>
      <c r="R290" s="4">
        <f t="shared" si="9"/>
        <v>2</v>
      </c>
      <c r="S290" t="str">
        <f xml:space="preserve"> _xlfn.XLOOKUP( E290, Lookup_Tables!$A$2:$A$6,Lookup_Tables!$B$2:$B$6," ", -1)</f>
        <v>Master</v>
      </c>
      <c r="T290" t="str">
        <f>_xlfn.XLOOKUP(G290,Lookup_Tables!$D$2:$D$5,Lookup_Tables!$E$2:$E$5)</f>
        <v>Low</v>
      </c>
      <c r="U290" t="str">
        <f>_xlfn.XLOOKUP(H290,Lookup_Tables!$D$2:$D$5,Lookup_Tables!$E$2:$E$5)</f>
        <v>Medium</v>
      </c>
      <c r="V290" t="str">
        <f>_xlfn.XLOOKUP(L290,Lookup_Tables!$D$2:$D$5,Lookup_Tables!$E$2:$E$5)</f>
        <v>High</v>
      </c>
    </row>
    <row r="291" spans="1:22">
      <c r="A291">
        <f>RAW_DATA!A291</f>
        <v>28</v>
      </c>
      <c r="B291" t="str">
        <f>RAW_DATA!B291</f>
        <v>No</v>
      </c>
      <c r="C291" t="str">
        <f>RAW_DATA!C291</f>
        <v>Research &amp; Development</v>
      </c>
      <c r="D291">
        <f>RAW_DATA!D291</f>
        <v>8</v>
      </c>
      <c r="E291">
        <f>RAW_DATA!E291</f>
        <v>2</v>
      </c>
      <c r="F291" t="str">
        <f>RAW_DATA!F291</f>
        <v>Life Sciences</v>
      </c>
      <c r="G291">
        <f>RAW_DATA!G291</f>
        <v>4</v>
      </c>
      <c r="H291">
        <f>RAW_DATA!H291</f>
        <v>4</v>
      </c>
      <c r="I291" t="str">
        <f>RAW_DATA!I291</f>
        <v>Single</v>
      </c>
      <c r="J291">
        <f>RAW_DATA!J291</f>
        <v>3310</v>
      </c>
      <c r="K291">
        <f>RAW_DATA!K291</f>
        <v>1</v>
      </c>
      <c r="L291">
        <f>RAW_DATA!L291</f>
        <v>3</v>
      </c>
      <c r="M291">
        <f>RAW_DATA!M291</f>
        <v>5</v>
      </c>
      <c r="N291">
        <f t="shared" si="8"/>
        <v>0</v>
      </c>
      <c r="O291" t="str">
        <f xml:space="preserve"> VLOOKUP(A291, Lookup_Tables!$G$2:$H$6,2,TRUE)</f>
        <v>25-34</v>
      </c>
      <c r="P291" t="str">
        <f>_xlfn.XLOOKUP(J291,Lookup_Tables!$J$2:$J$4,Lookup_Tables!$K$2:$K$4, " ",-1)</f>
        <v>Medium</v>
      </c>
      <c r="Q291" t="str">
        <f xml:space="preserve"> _xlfn.XLOOKUP(M291, Lookup_Tables!$M$2:$M$5,Lookup_Tables!$N$2:$N$5," ", -1)</f>
        <v>Established (5-10)</v>
      </c>
      <c r="R291" s="4">
        <f t="shared" si="9"/>
        <v>3.6666666666666665</v>
      </c>
      <c r="S291" t="str">
        <f xml:space="preserve"> _xlfn.XLOOKUP( E291, Lookup_Tables!$A$2:$A$6,Lookup_Tables!$B$2:$B$6," ", -1)</f>
        <v>College</v>
      </c>
      <c r="T291" t="str">
        <f>_xlfn.XLOOKUP(G291,Lookup_Tables!$D$2:$D$5,Lookup_Tables!$E$2:$E$5)</f>
        <v>Very High</v>
      </c>
      <c r="U291" t="str">
        <f>_xlfn.XLOOKUP(H291,Lookup_Tables!$D$2:$D$5,Lookup_Tables!$E$2:$E$5)</f>
        <v>Very High</v>
      </c>
      <c r="V291" t="str">
        <f>_xlfn.XLOOKUP(L291,Lookup_Tables!$D$2:$D$5,Lookup_Tables!$E$2:$E$5)</f>
        <v>High</v>
      </c>
    </row>
    <row r="292" spans="1:22">
      <c r="A292">
        <f>RAW_DATA!A292</f>
        <v>49</v>
      </c>
      <c r="B292" t="str">
        <f>RAW_DATA!B292</f>
        <v>No</v>
      </c>
      <c r="C292" t="str">
        <f>RAW_DATA!C292</f>
        <v>Research &amp; Development</v>
      </c>
      <c r="D292">
        <f>RAW_DATA!D292</f>
        <v>10</v>
      </c>
      <c r="E292">
        <f>RAW_DATA!E292</f>
        <v>4</v>
      </c>
      <c r="F292" t="str">
        <f>RAW_DATA!F292</f>
        <v>Life Sciences</v>
      </c>
      <c r="G292">
        <f>RAW_DATA!G292</f>
        <v>3</v>
      </c>
      <c r="H292">
        <f>RAW_DATA!H292</f>
        <v>1</v>
      </c>
      <c r="I292" t="str">
        <f>RAW_DATA!I292</f>
        <v>Single</v>
      </c>
      <c r="J292">
        <f>RAW_DATA!J292</f>
        <v>18665</v>
      </c>
      <c r="K292">
        <f>RAW_DATA!K292</f>
        <v>9</v>
      </c>
      <c r="L292">
        <f>RAW_DATA!L292</f>
        <v>3</v>
      </c>
      <c r="M292">
        <f>RAW_DATA!M292</f>
        <v>3</v>
      </c>
      <c r="N292">
        <f t="shared" si="8"/>
        <v>0</v>
      </c>
      <c r="O292" t="str">
        <f xml:space="preserve"> VLOOKUP(A292, Lookup_Tables!$G$2:$H$6,2,TRUE)</f>
        <v>45-54</v>
      </c>
      <c r="P292" t="str">
        <f>_xlfn.XLOOKUP(J292,Lookup_Tables!$J$2:$J$4,Lookup_Tables!$K$2:$K$4, " ",-1)</f>
        <v>High</v>
      </c>
      <c r="Q292" t="str">
        <f xml:space="preserve"> _xlfn.XLOOKUP(M292, Lookup_Tables!$M$2:$M$5,Lookup_Tables!$N$2:$N$5," ", -1)</f>
        <v>Early (2-5)</v>
      </c>
      <c r="R292" s="4">
        <f t="shared" si="9"/>
        <v>2.3333333333333335</v>
      </c>
      <c r="S292" t="str">
        <f xml:space="preserve"> _xlfn.XLOOKUP( E292, Lookup_Tables!$A$2:$A$6,Lookup_Tables!$B$2:$B$6," ", -1)</f>
        <v>Master</v>
      </c>
      <c r="T292" t="str">
        <f>_xlfn.XLOOKUP(G292,Lookup_Tables!$D$2:$D$5,Lookup_Tables!$E$2:$E$5)</f>
        <v>High</v>
      </c>
      <c r="U292" t="str">
        <f>_xlfn.XLOOKUP(H292,Lookup_Tables!$D$2:$D$5,Lookup_Tables!$E$2:$E$5)</f>
        <v>Low</v>
      </c>
      <c r="V292" t="str">
        <f>_xlfn.XLOOKUP(L292,Lookup_Tables!$D$2:$D$5,Lookup_Tables!$E$2:$E$5)</f>
        <v>High</v>
      </c>
    </row>
    <row r="293" spans="1:22">
      <c r="A293">
        <f>RAW_DATA!A293</f>
        <v>36</v>
      </c>
      <c r="B293" t="str">
        <f>RAW_DATA!B293</f>
        <v>No</v>
      </c>
      <c r="C293" t="str">
        <f>RAW_DATA!C293</f>
        <v>Research &amp; Development</v>
      </c>
      <c r="D293">
        <f>RAW_DATA!D293</f>
        <v>3</v>
      </c>
      <c r="E293">
        <f>RAW_DATA!E293</f>
        <v>3</v>
      </c>
      <c r="F293" t="str">
        <f>RAW_DATA!F293</f>
        <v>Technical Degree</v>
      </c>
      <c r="G293">
        <f>RAW_DATA!G293</f>
        <v>3</v>
      </c>
      <c r="H293">
        <f>RAW_DATA!H293</f>
        <v>2</v>
      </c>
      <c r="I293" t="str">
        <f>RAW_DATA!I293</f>
        <v>Single</v>
      </c>
      <c r="J293">
        <f>RAW_DATA!J293</f>
        <v>4485</v>
      </c>
      <c r="K293">
        <f>RAW_DATA!K293</f>
        <v>4</v>
      </c>
      <c r="L293">
        <f>RAW_DATA!L293</f>
        <v>3</v>
      </c>
      <c r="M293">
        <f>RAW_DATA!M293</f>
        <v>8</v>
      </c>
      <c r="N293">
        <f t="shared" si="8"/>
        <v>0</v>
      </c>
      <c r="O293" t="str">
        <f xml:space="preserve"> VLOOKUP(A293, Lookup_Tables!$G$2:$H$6,2,TRUE)</f>
        <v>35-44</v>
      </c>
      <c r="P293" t="str">
        <f>_xlfn.XLOOKUP(J293,Lookup_Tables!$J$2:$J$4,Lookup_Tables!$K$2:$K$4, " ",-1)</f>
        <v>Medium</v>
      </c>
      <c r="Q293" t="str">
        <f xml:space="preserve"> _xlfn.XLOOKUP(M293, Lookup_Tables!$M$2:$M$5,Lookup_Tables!$N$2:$N$5," ", -1)</f>
        <v>Established (5-10)</v>
      </c>
      <c r="R293" s="4">
        <f t="shared" si="9"/>
        <v>2.6666666666666665</v>
      </c>
      <c r="S293" t="str">
        <f xml:space="preserve"> _xlfn.XLOOKUP( E293, Lookup_Tables!$A$2:$A$6,Lookup_Tables!$B$2:$B$6," ", -1)</f>
        <v>Bachelor</v>
      </c>
      <c r="T293" t="str">
        <f>_xlfn.XLOOKUP(G293,Lookup_Tables!$D$2:$D$5,Lookup_Tables!$E$2:$E$5)</f>
        <v>High</v>
      </c>
      <c r="U293" t="str">
        <f>_xlfn.XLOOKUP(H293,Lookup_Tables!$D$2:$D$5,Lookup_Tables!$E$2:$E$5)</f>
        <v>Medium</v>
      </c>
      <c r="V293" t="str">
        <f>_xlfn.XLOOKUP(L293,Lookup_Tables!$D$2:$D$5,Lookup_Tables!$E$2:$E$5)</f>
        <v>High</v>
      </c>
    </row>
    <row r="294" spans="1:22">
      <c r="A294">
        <f>RAW_DATA!A294</f>
        <v>31</v>
      </c>
      <c r="B294" t="str">
        <f>RAW_DATA!B294</f>
        <v>No</v>
      </c>
      <c r="C294" t="str">
        <f>RAW_DATA!C294</f>
        <v>Sales</v>
      </c>
      <c r="D294">
        <f>RAW_DATA!D294</f>
        <v>5</v>
      </c>
      <c r="E294">
        <f>RAW_DATA!E294</f>
        <v>3</v>
      </c>
      <c r="F294" t="str">
        <f>RAW_DATA!F294</f>
        <v>Marketing</v>
      </c>
      <c r="G294">
        <f>RAW_DATA!G294</f>
        <v>4</v>
      </c>
      <c r="H294">
        <f>RAW_DATA!H294</f>
        <v>2</v>
      </c>
      <c r="I294" t="str">
        <f>RAW_DATA!I294</f>
        <v>Divorced</v>
      </c>
      <c r="J294">
        <f>RAW_DATA!J294</f>
        <v>2789</v>
      </c>
      <c r="K294">
        <f>RAW_DATA!K294</f>
        <v>1</v>
      </c>
      <c r="L294">
        <f>RAW_DATA!L294</f>
        <v>2</v>
      </c>
      <c r="M294">
        <f>RAW_DATA!M294</f>
        <v>2</v>
      </c>
      <c r="N294">
        <f t="shared" si="8"/>
        <v>0</v>
      </c>
      <c r="O294" t="str">
        <f xml:space="preserve"> VLOOKUP(A294, Lookup_Tables!$G$2:$H$6,2,TRUE)</f>
        <v>25-34</v>
      </c>
      <c r="P294" t="str">
        <f>_xlfn.XLOOKUP(J294,Lookup_Tables!$J$2:$J$4,Lookup_Tables!$K$2:$K$4, " ",-1)</f>
        <v>Low</v>
      </c>
      <c r="Q294" t="str">
        <f xml:space="preserve"> _xlfn.XLOOKUP(M294, Lookup_Tables!$M$2:$M$5,Lookup_Tables!$N$2:$N$5," ", -1)</f>
        <v>Early (2-5)</v>
      </c>
      <c r="R294" s="4">
        <f t="shared" si="9"/>
        <v>2.6666666666666665</v>
      </c>
      <c r="S294" t="str">
        <f xml:space="preserve"> _xlfn.XLOOKUP( E294, Lookup_Tables!$A$2:$A$6,Lookup_Tables!$B$2:$B$6," ", -1)</f>
        <v>Bachelor</v>
      </c>
      <c r="T294" t="str">
        <f>_xlfn.XLOOKUP(G294,Lookup_Tables!$D$2:$D$5,Lookup_Tables!$E$2:$E$5)</f>
        <v>Very High</v>
      </c>
      <c r="U294" t="str">
        <f>_xlfn.XLOOKUP(H294,Lookup_Tables!$D$2:$D$5,Lookup_Tables!$E$2:$E$5)</f>
        <v>Medium</v>
      </c>
      <c r="V294" t="str">
        <f>_xlfn.XLOOKUP(L294,Lookup_Tables!$D$2:$D$5,Lookup_Tables!$E$2:$E$5)</f>
        <v>Medium</v>
      </c>
    </row>
    <row r="295" spans="1:22">
      <c r="A295">
        <f>RAW_DATA!A295</f>
        <v>26</v>
      </c>
      <c r="B295" t="str">
        <f>RAW_DATA!B295</f>
        <v>Yes</v>
      </c>
      <c r="C295" t="str">
        <f>RAW_DATA!C295</f>
        <v>Sales</v>
      </c>
      <c r="D295">
        <f>RAW_DATA!D295</f>
        <v>4</v>
      </c>
      <c r="E295">
        <f>RAW_DATA!E295</f>
        <v>4</v>
      </c>
      <c r="F295" t="str">
        <f>RAW_DATA!F295</f>
        <v>Marketing</v>
      </c>
      <c r="G295">
        <f>RAW_DATA!G295</f>
        <v>4</v>
      </c>
      <c r="H295">
        <f>RAW_DATA!H295</f>
        <v>4</v>
      </c>
      <c r="I295" t="str">
        <f>RAW_DATA!I295</f>
        <v>Single</v>
      </c>
      <c r="J295">
        <f>RAW_DATA!J295</f>
        <v>5828</v>
      </c>
      <c r="K295">
        <f>RAW_DATA!K295</f>
        <v>1</v>
      </c>
      <c r="L295">
        <f>RAW_DATA!L295</f>
        <v>3</v>
      </c>
      <c r="M295">
        <f>RAW_DATA!M295</f>
        <v>8</v>
      </c>
      <c r="N295">
        <f t="shared" si="8"/>
        <v>1</v>
      </c>
      <c r="O295" t="str">
        <f xml:space="preserve"> VLOOKUP(A295, Lookup_Tables!$G$2:$H$6,2,TRUE)</f>
        <v>25-34</v>
      </c>
      <c r="P295" t="str">
        <f>_xlfn.XLOOKUP(J295,Lookup_Tables!$J$2:$J$4,Lookup_Tables!$K$2:$K$4, " ",-1)</f>
        <v>Medium</v>
      </c>
      <c r="Q295" t="str">
        <f xml:space="preserve"> _xlfn.XLOOKUP(M295, Lookup_Tables!$M$2:$M$5,Lookup_Tables!$N$2:$N$5," ", -1)</f>
        <v>Established (5-10)</v>
      </c>
      <c r="R295" s="4">
        <f t="shared" si="9"/>
        <v>3.6666666666666665</v>
      </c>
      <c r="S295" t="str">
        <f xml:space="preserve"> _xlfn.XLOOKUP( E295, Lookup_Tables!$A$2:$A$6,Lookup_Tables!$B$2:$B$6," ", -1)</f>
        <v>Master</v>
      </c>
      <c r="T295" t="str">
        <f>_xlfn.XLOOKUP(G295,Lookup_Tables!$D$2:$D$5,Lookup_Tables!$E$2:$E$5)</f>
        <v>Very High</v>
      </c>
      <c r="U295" t="str">
        <f>_xlfn.XLOOKUP(H295,Lookup_Tables!$D$2:$D$5,Lookup_Tables!$E$2:$E$5)</f>
        <v>Very High</v>
      </c>
      <c r="V295" t="str">
        <f>_xlfn.XLOOKUP(L295,Lookup_Tables!$D$2:$D$5,Lookup_Tables!$E$2:$E$5)</f>
        <v>High</v>
      </c>
    </row>
    <row r="296" spans="1:22">
      <c r="A296">
        <f>RAW_DATA!A296</f>
        <v>37</v>
      </c>
      <c r="B296" t="str">
        <f>RAW_DATA!B296</f>
        <v>No</v>
      </c>
      <c r="C296" t="str">
        <f>RAW_DATA!C296</f>
        <v>Research &amp; Development</v>
      </c>
      <c r="D296">
        <f>RAW_DATA!D296</f>
        <v>9</v>
      </c>
      <c r="E296">
        <f>RAW_DATA!E296</f>
        <v>3</v>
      </c>
      <c r="F296" t="str">
        <f>RAW_DATA!F296</f>
        <v>Medical</v>
      </c>
      <c r="G296">
        <f>RAW_DATA!G296</f>
        <v>2</v>
      </c>
      <c r="H296">
        <f>RAW_DATA!H296</f>
        <v>4</v>
      </c>
      <c r="I296" t="str">
        <f>RAW_DATA!I296</f>
        <v>Married</v>
      </c>
      <c r="J296">
        <f>RAW_DATA!J296</f>
        <v>2326</v>
      </c>
      <c r="K296">
        <f>RAW_DATA!K296</f>
        <v>1</v>
      </c>
      <c r="L296">
        <f>RAW_DATA!L296</f>
        <v>2</v>
      </c>
      <c r="M296">
        <f>RAW_DATA!M296</f>
        <v>4</v>
      </c>
      <c r="N296">
        <f t="shared" si="8"/>
        <v>0</v>
      </c>
      <c r="O296" t="str">
        <f xml:space="preserve"> VLOOKUP(A296, Lookup_Tables!$G$2:$H$6,2,TRUE)</f>
        <v>35-44</v>
      </c>
      <c r="P296" t="str">
        <f>_xlfn.XLOOKUP(J296,Lookup_Tables!$J$2:$J$4,Lookup_Tables!$K$2:$K$4, " ",-1)</f>
        <v>Low</v>
      </c>
      <c r="Q296" t="str">
        <f xml:space="preserve"> _xlfn.XLOOKUP(M296, Lookup_Tables!$M$2:$M$5,Lookup_Tables!$N$2:$N$5," ", -1)</f>
        <v>Early (2-5)</v>
      </c>
      <c r="R296" s="4">
        <f t="shared" si="9"/>
        <v>2.6666666666666665</v>
      </c>
      <c r="S296" t="str">
        <f xml:space="preserve"> _xlfn.XLOOKUP( E296, Lookup_Tables!$A$2:$A$6,Lookup_Tables!$B$2:$B$6," ", -1)</f>
        <v>Bachelor</v>
      </c>
      <c r="T296" t="str">
        <f>_xlfn.XLOOKUP(G296,Lookup_Tables!$D$2:$D$5,Lookup_Tables!$E$2:$E$5)</f>
        <v>Medium</v>
      </c>
      <c r="U296" t="str">
        <f>_xlfn.XLOOKUP(H296,Lookup_Tables!$D$2:$D$5,Lookup_Tables!$E$2:$E$5)</f>
        <v>Very High</v>
      </c>
      <c r="V296" t="str">
        <f>_xlfn.XLOOKUP(L296,Lookup_Tables!$D$2:$D$5,Lookup_Tables!$E$2:$E$5)</f>
        <v>Medium</v>
      </c>
    </row>
    <row r="297" spans="1:22">
      <c r="A297">
        <f>RAW_DATA!A297</f>
        <v>42</v>
      </c>
      <c r="B297" t="str">
        <f>RAW_DATA!B297</f>
        <v>No</v>
      </c>
      <c r="C297" t="str">
        <f>RAW_DATA!C297</f>
        <v>Sales</v>
      </c>
      <c r="D297">
        <f>RAW_DATA!D297</f>
        <v>26</v>
      </c>
      <c r="E297">
        <f>RAW_DATA!E297</f>
        <v>3</v>
      </c>
      <c r="F297" t="str">
        <f>RAW_DATA!F297</f>
        <v>Marketing</v>
      </c>
      <c r="G297">
        <f>RAW_DATA!G297</f>
        <v>3</v>
      </c>
      <c r="H297">
        <f>RAW_DATA!H297</f>
        <v>2</v>
      </c>
      <c r="I297" t="str">
        <f>RAW_DATA!I297</f>
        <v>Married</v>
      </c>
      <c r="J297">
        <f>RAW_DATA!J297</f>
        <v>13525</v>
      </c>
      <c r="K297">
        <f>RAW_DATA!K297</f>
        <v>5</v>
      </c>
      <c r="L297">
        <f>RAW_DATA!L297</f>
        <v>4</v>
      </c>
      <c r="M297">
        <f>RAW_DATA!M297</f>
        <v>20</v>
      </c>
      <c r="N297">
        <f t="shared" si="8"/>
        <v>0</v>
      </c>
      <c r="O297" t="str">
        <f xml:space="preserve"> VLOOKUP(A297, Lookup_Tables!$G$2:$H$6,2,TRUE)</f>
        <v>35-44</v>
      </c>
      <c r="P297" t="str">
        <f>_xlfn.XLOOKUP(J297,Lookup_Tables!$J$2:$J$4,Lookup_Tables!$K$2:$K$4, " ",-1)</f>
        <v>High</v>
      </c>
      <c r="Q297" t="str">
        <f xml:space="preserve"> _xlfn.XLOOKUP(M297, Lookup_Tables!$M$2:$M$5,Lookup_Tables!$N$2:$N$5," ", -1)</f>
        <v>Veteran (10+)</v>
      </c>
      <c r="R297" s="4">
        <f t="shared" si="9"/>
        <v>3</v>
      </c>
      <c r="S297" t="str">
        <f xml:space="preserve"> _xlfn.XLOOKUP( E297, Lookup_Tables!$A$2:$A$6,Lookup_Tables!$B$2:$B$6," ", -1)</f>
        <v>Bachelor</v>
      </c>
      <c r="T297" t="str">
        <f>_xlfn.XLOOKUP(G297,Lookup_Tables!$D$2:$D$5,Lookup_Tables!$E$2:$E$5)</f>
        <v>High</v>
      </c>
      <c r="U297" t="str">
        <f>_xlfn.XLOOKUP(H297,Lookup_Tables!$D$2:$D$5,Lookup_Tables!$E$2:$E$5)</f>
        <v>Medium</v>
      </c>
      <c r="V297" t="str">
        <f>_xlfn.XLOOKUP(L297,Lookup_Tables!$D$2:$D$5,Lookup_Tables!$E$2:$E$5)</f>
        <v>Very High</v>
      </c>
    </row>
    <row r="298" spans="1:22">
      <c r="A298">
        <f>RAW_DATA!A298</f>
        <v>18</v>
      </c>
      <c r="B298" t="str">
        <f>RAW_DATA!B298</f>
        <v>Yes</v>
      </c>
      <c r="C298" t="str">
        <f>RAW_DATA!C298</f>
        <v>Research &amp; Development</v>
      </c>
      <c r="D298">
        <f>RAW_DATA!D298</f>
        <v>3</v>
      </c>
      <c r="E298">
        <f>RAW_DATA!E298</f>
        <v>3</v>
      </c>
      <c r="F298" t="str">
        <f>RAW_DATA!F298</f>
        <v>Life Sciences</v>
      </c>
      <c r="G298">
        <f>RAW_DATA!G298</f>
        <v>3</v>
      </c>
      <c r="H298">
        <f>RAW_DATA!H298</f>
        <v>3</v>
      </c>
      <c r="I298" t="str">
        <f>RAW_DATA!I298</f>
        <v>Single</v>
      </c>
      <c r="J298">
        <f>RAW_DATA!J298</f>
        <v>1420</v>
      </c>
      <c r="K298">
        <f>RAW_DATA!K298</f>
        <v>1</v>
      </c>
      <c r="L298">
        <f>RAW_DATA!L298</f>
        <v>3</v>
      </c>
      <c r="M298">
        <f>RAW_DATA!M298</f>
        <v>0</v>
      </c>
      <c r="N298">
        <f t="shared" si="8"/>
        <v>1</v>
      </c>
      <c r="O298" t="str">
        <f xml:space="preserve"> VLOOKUP(A298, Lookup_Tables!$G$2:$H$6,2,TRUE)</f>
        <v>&lt;25</v>
      </c>
      <c r="P298" t="str">
        <f>_xlfn.XLOOKUP(J298,Lookup_Tables!$J$2:$J$4,Lookup_Tables!$K$2:$K$4, " ",-1)</f>
        <v>Low</v>
      </c>
      <c r="Q298" t="str">
        <f xml:space="preserve"> _xlfn.XLOOKUP(M298, Lookup_Tables!$M$2:$M$5,Lookup_Tables!$N$2:$N$5," ", -1)</f>
        <v>New (0-2)</v>
      </c>
      <c r="R298" s="4">
        <f t="shared" si="9"/>
        <v>3</v>
      </c>
      <c r="S298" t="str">
        <f xml:space="preserve"> _xlfn.XLOOKUP( E298, Lookup_Tables!$A$2:$A$6,Lookup_Tables!$B$2:$B$6," ", -1)</f>
        <v>Bachelor</v>
      </c>
      <c r="T298" t="str">
        <f>_xlfn.XLOOKUP(G298,Lookup_Tables!$D$2:$D$5,Lookup_Tables!$E$2:$E$5)</f>
        <v>High</v>
      </c>
      <c r="U298" t="str">
        <f>_xlfn.XLOOKUP(H298,Lookup_Tables!$D$2:$D$5,Lookup_Tables!$E$2:$E$5)</f>
        <v>High</v>
      </c>
      <c r="V298" t="str">
        <f>_xlfn.XLOOKUP(L298,Lookup_Tables!$D$2:$D$5,Lookup_Tables!$E$2:$E$5)</f>
        <v>High</v>
      </c>
    </row>
    <row r="299" spans="1:22">
      <c r="A299">
        <f>RAW_DATA!A299</f>
        <v>35</v>
      </c>
      <c r="B299" t="str">
        <f>RAW_DATA!B299</f>
        <v>No</v>
      </c>
      <c r="C299" t="str">
        <f>RAW_DATA!C299</f>
        <v>Sales</v>
      </c>
      <c r="D299">
        <f>RAW_DATA!D299</f>
        <v>16</v>
      </c>
      <c r="E299">
        <f>RAW_DATA!E299</f>
        <v>3</v>
      </c>
      <c r="F299" t="str">
        <f>RAW_DATA!F299</f>
        <v>Marketing</v>
      </c>
      <c r="G299">
        <f>RAW_DATA!G299</f>
        <v>3</v>
      </c>
      <c r="H299">
        <f>RAW_DATA!H299</f>
        <v>2</v>
      </c>
      <c r="I299" t="str">
        <f>RAW_DATA!I299</f>
        <v>Married</v>
      </c>
      <c r="J299">
        <f>RAW_DATA!J299</f>
        <v>8020</v>
      </c>
      <c r="K299">
        <f>RAW_DATA!K299</f>
        <v>0</v>
      </c>
      <c r="L299">
        <f>RAW_DATA!L299</f>
        <v>2</v>
      </c>
      <c r="M299">
        <f>RAW_DATA!M299</f>
        <v>11</v>
      </c>
      <c r="N299">
        <f t="shared" si="8"/>
        <v>0</v>
      </c>
      <c r="O299" t="str">
        <f xml:space="preserve"> VLOOKUP(A299, Lookup_Tables!$G$2:$H$6,2,TRUE)</f>
        <v>35-44</v>
      </c>
      <c r="P299" t="str">
        <f>_xlfn.XLOOKUP(J299,Lookup_Tables!$J$2:$J$4,Lookup_Tables!$K$2:$K$4, " ",-1)</f>
        <v>High</v>
      </c>
      <c r="Q299" t="str">
        <f xml:space="preserve"> _xlfn.XLOOKUP(M299, Lookup_Tables!$M$2:$M$5,Lookup_Tables!$N$2:$N$5," ", -1)</f>
        <v>Veteran (10+)</v>
      </c>
      <c r="R299" s="4">
        <f t="shared" si="9"/>
        <v>2.3333333333333335</v>
      </c>
      <c r="S299" t="str">
        <f xml:space="preserve"> _xlfn.XLOOKUP( E299, Lookup_Tables!$A$2:$A$6,Lookup_Tables!$B$2:$B$6," ", -1)</f>
        <v>Bachelor</v>
      </c>
      <c r="T299" t="str">
        <f>_xlfn.XLOOKUP(G299,Lookup_Tables!$D$2:$D$5,Lookup_Tables!$E$2:$E$5)</f>
        <v>High</v>
      </c>
      <c r="U299" t="str">
        <f>_xlfn.XLOOKUP(H299,Lookup_Tables!$D$2:$D$5,Lookup_Tables!$E$2:$E$5)</f>
        <v>Medium</v>
      </c>
      <c r="V299" t="str">
        <f>_xlfn.XLOOKUP(L299,Lookup_Tables!$D$2:$D$5,Lookup_Tables!$E$2:$E$5)</f>
        <v>Medium</v>
      </c>
    </row>
    <row r="300" spans="1:22">
      <c r="A300">
        <f>RAW_DATA!A300</f>
        <v>36</v>
      </c>
      <c r="B300" t="str">
        <f>RAW_DATA!B300</f>
        <v>No</v>
      </c>
      <c r="C300" t="str">
        <f>RAW_DATA!C300</f>
        <v>Research &amp; Development</v>
      </c>
      <c r="D300">
        <f>RAW_DATA!D300</f>
        <v>18</v>
      </c>
      <c r="E300">
        <f>RAW_DATA!E300</f>
        <v>4</v>
      </c>
      <c r="F300" t="str">
        <f>RAW_DATA!F300</f>
        <v>Life Sciences</v>
      </c>
      <c r="G300">
        <f>RAW_DATA!G300</f>
        <v>3</v>
      </c>
      <c r="H300">
        <f>RAW_DATA!H300</f>
        <v>4</v>
      </c>
      <c r="I300" t="str">
        <f>RAW_DATA!I300</f>
        <v>Married</v>
      </c>
      <c r="J300">
        <f>RAW_DATA!J300</f>
        <v>3688</v>
      </c>
      <c r="K300">
        <f>RAW_DATA!K300</f>
        <v>4</v>
      </c>
      <c r="L300">
        <f>RAW_DATA!L300</f>
        <v>3</v>
      </c>
      <c r="M300">
        <f>RAW_DATA!M300</f>
        <v>1</v>
      </c>
      <c r="N300">
        <f t="shared" si="8"/>
        <v>0</v>
      </c>
      <c r="O300" t="str">
        <f xml:space="preserve"> VLOOKUP(A300, Lookup_Tables!$G$2:$H$6,2,TRUE)</f>
        <v>35-44</v>
      </c>
      <c r="P300" t="str">
        <f>_xlfn.XLOOKUP(J300,Lookup_Tables!$J$2:$J$4,Lookup_Tables!$K$2:$K$4, " ",-1)</f>
        <v>Medium</v>
      </c>
      <c r="Q300" t="str">
        <f xml:space="preserve"> _xlfn.XLOOKUP(M300, Lookup_Tables!$M$2:$M$5,Lookup_Tables!$N$2:$N$5," ", -1)</f>
        <v>New (0-2)</v>
      </c>
      <c r="R300" s="4">
        <f t="shared" si="9"/>
        <v>3.3333333333333335</v>
      </c>
      <c r="S300" t="str">
        <f xml:space="preserve"> _xlfn.XLOOKUP( E300, Lookup_Tables!$A$2:$A$6,Lookup_Tables!$B$2:$B$6," ", -1)</f>
        <v>Master</v>
      </c>
      <c r="T300" t="str">
        <f>_xlfn.XLOOKUP(G300,Lookup_Tables!$D$2:$D$5,Lookup_Tables!$E$2:$E$5)</f>
        <v>High</v>
      </c>
      <c r="U300" t="str">
        <f>_xlfn.XLOOKUP(H300,Lookup_Tables!$D$2:$D$5,Lookup_Tables!$E$2:$E$5)</f>
        <v>Very High</v>
      </c>
      <c r="V300" t="str">
        <f>_xlfn.XLOOKUP(L300,Lookup_Tables!$D$2:$D$5,Lookup_Tables!$E$2:$E$5)</f>
        <v>High</v>
      </c>
    </row>
    <row r="301" spans="1:22">
      <c r="A301">
        <f>RAW_DATA!A301</f>
        <v>51</v>
      </c>
      <c r="B301" t="str">
        <f>RAW_DATA!B301</f>
        <v>No</v>
      </c>
      <c r="C301" t="str">
        <f>RAW_DATA!C301</f>
        <v>Research &amp; Development</v>
      </c>
      <c r="D301">
        <f>RAW_DATA!D301</f>
        <v>2</v>
      </c>
      <c r="E301">
        <f>RAW_DATA!E301</f>
        <v>3</v>
      </c>
      <c r="F301" t="str">
        <f>RAW_DATA!F301</f>
        <v>Medical</v>
      </c>
      <c r="G301">
        <f>RAW_DATA!G301</f>
        <v>4</v>
      </c>
      <c r="H301">
        <f>RAW_DATA!H301</f>
        <v>2</v>
      </c>
      <c r="I301" t="str">
        <f>RAW_DATA!I301</f>
        <v>Divorced</v>
      </c>
      <c r="J301">
        <f>RAW_DATA!J301</f>
        <v>5482</v>
      </c>
      <c r="K301">
        <f>RAW_DATA!K301</f>
        <v>5</v>
      </c>
      <c r="L301">
        <f>RAW_DATA!L301</f>
        <v>3</v>
      </c>
      <c r="M301">
        <f>RAW_DATA!M301</f>
        <v>4</v>
      </c>
      <c r="N301">
        <f t="shared" si="8"/>
        <v>0</v>
      </c>
      <c r="O301" t="str">
        <f xml:space="preserve"> VLOOKUP(A301, Lookup_Tables!$G$2:$H$6,2,TRUE)</f>
        <v>45-54</v>
      </c>
      <c r="P301" t="str">
        <f>_xlfn.XLOOKUP(J301,Lookup_Tables!$J$2:$J$4,Lookup_Tables!$K$2:$K$4, " ",-1)</f>
        <v>Medium</v>
      </c>
      <c r="Q301" t="str">
        <f xml:space="preserve"> _xlfn.XLOOKUP(M301, Lookup_Tables!$M$2:$M$5,Lookup_Tables!$N$2:$N$5," ", -1)</f>
        <v>Early (2-5)</v>
      </c>
      <c r="R301" s="4">
        <f t="shared" si="9"/>
        <v>3</v>
      </c>
      <c r="S301" t="str">
        <f xml:space="preserve"> _xlfn.XLOOKUP( E301, Lookup_Tables!$A$2:$A$6,Lookup_Tables!$B$2:$B$6," ", -1)</f>
        <v>Bachelor</v>
      </c>
      <c r="T301" t="str">
        <f>_xlfn.XLOOKUP(G301,Lookup_Tables!$D$2:$D$5,Lookup_Tables!$E$2:$E$5)</f>
        <v>Very High</v>
      </c>
      <c r="U301" t="str">
        <f>_xlfn.XLOOKUP(H301,Lookup_Tables!$D$2:$D$5,Lookup_Tables!$E$2:$E$5)</f>
        <v>Medium</v>
      </c>
      <c r="V301" t="str">
        <f>_xlfn.XLOOKUP(L301,Lookup_Tables!$D$2:$D$5,Lookup_Tables!$E$2:$E$5)</f>
        <v>High</v>
      </c>
    </row>
    <row r="302" spans="1:22">
      <c r="A302">
        <f>RAW_DATA!A302</f>
        <v>41</v>
      </c>
      <c r="B302" t="str">
        <f>RAW_DATA!B302</f>
        <v>No</v>
      </c>
      <c r="C302" t="str">
        <f>RAW_DATA!C302</f>
        <v>Sales</v>
      </c>
      <c r="D302">
        <f>RAW_DATA!D302</f>
        <v>2</v>
      </c>
      <c r="E302">
        <f>RAW_DATA!E302</f>
        <v>4</v>
      </c>
      <c r="F302" t="str">
        <f>RAW_DATA!F302</f>
        <v>Life Sciences</v>
      </c>
      <c r="G302">
        <f>RAW_DATA!G302</f>
        <v>4</v>
      </c>
      <c r="H302">
        <f>RAW_DATA!H302</f>
        <v>2</v>
      </c>
      <c r="I302" t="str">
        <f>RAW_DATA!I302</f>
        <v>Single</v>
      </c>
      <c r="J302">
        <f>RAW_DATA!J302</f>
        <v>16015</v>
      </c>
      <c r="K302">
        <f>RAW_DATA!K302</f>
        <v>1</v>
      </c>
      <c r="L302">
        <f>RAW_DATA!L302</f>
        <v>3</v>
      </c>
      <c r="M302">
        <f>RAW_DATA!M302</f>
        <v>22</v>
      </c>
      <c r="N302">
        <f t="shared" si="8"/>
        <v>0</v>
      </c>
      <c r="O302" t="str">
        <f xml:space="preserve"> VLOOKUP(A302, Lookup_Tables!$G$2:$H$6,2,TRUE)</f>
        <v>35-44</v>
      </c>
      <c r="P302" t="str">
        <f>_xlfn.XLOOKUP(J302,Lookup_Tables!$J$2:$J$4,Lookup_Tables!$K$2:$K$4, " ",-1)</f>
        <v>High</v>
      </c>
      <c r="Q302" t="str">
        <f xml:space="preserve"> _xlfn.XLOOKUP(M302, Lookup_Tables!$M$2:$M$5,Lookup_Tables!$N$2:$N$5," ", -1)</f>
        <v>Veteran (10+)</v>
      </c>
      <c r="R302" s="4">
        <f t="shared" si="9"/>
        <v>3</v>
      </c>
      <c r="S302" t="str">
        <f xml:space="preserve"> _xlfn.XLOOKUP( E302, Lookup_Tables!$A$2:$A$6,Lookup_Tables!$B$2:$B$6," ", -1)</f>
        <v>Master</v>
      </c>
      <c r="T302" t="str">
        <f>_xlfn.XLOOKUP(G302,Lookup_Tables!$D$2:$D$5,Lookup_Tables!$E$2:$E$5)</f>
        <v>Very High</v>
      </c>
      <c r="U302" t="str">
        <f>_xlfn.XLOOKUP(H302,Lookup_Tables!$D$2:$D$5,Lookup_Tables!$E$2:$E$5)</f>
        <v>Medium</v>
      </c>
      <c r="V302" t="str">
        <f>_xlfn.XLOOKUP(L302,Lookup_Tables!$D$2:$D$5,Lookup_Tables!$E$2:$E$5)</f>
        <v>High</v>
      </c>
    </row>
    <row r="303" spans="1:22">
      <c r="A303">
        <f>RAW_DATA!A303</f>
        <v>18</v>
      </c>
      <c r="B303" t="str">
        <f>RAW_DATA!B303</f>
        <v>No</v>
      </c>
      <c r="C303" t="str">
        <f>RAW_DATA!C303</f>
        <v>Sales</v>
      </c>
      <c r="D303">
        <f>RAW_DATA!D303</f>
        <v>10</v>
      </c>
      <c r="E303">
        <f>RAW_DATA!E303</f>
        <v>3</v>
      </c>
      <c r="F303" t="str">
        <f>RAW_DATA!F303</f>
        <v>Medical</v>
      </c>
      <c r="G303">
        <f>RAW_DATA!G303</f>
        <v>4</v>
      </c>
      <c r="H303">
        <f>RAW_DATA!H303</f>
        <v>3</v>
      </c>
      <c r="I303" t="str">
        <f>RAW_DATA!I303</f>
        <v>Single</v>
      </c>
      <c r="J303">
        <f>RAW_DATA!J303</f>
        <v>1200</v>
      </c>
      <c r="K303">
        <f>RAW_DATA!K303</f>
        <v>1</v>
      </c>
      <c r="L303">
        <f>RAW_DATA!L303</f>
        <v>3</v>
      </c>
      <c r="M303">
        <f>RAW_DATA!M303</f>
        <v>0</v>
      </c>
      <c r="N303">
        <f t="shared" si="8"/>
        <v>0</v>
      </c>
      <c r="O303" t="str">
        <f xml:space="preserve"> VLOOKUP(A303, Lookup_Tables!$G$2:$H$6,2,TRUE)</f>
        <v>&lt;25</v>
      </c>
      <c r="P303" t="str">
        <f>_xlfn.XLOOKUP(J303,Lookup_Tables!$J$2:$J$4,Lookup_Tables!$K$2:$K$4, " ",-1)</f>
        <v>Low</v>
      </c>
      <c r="Q303" t="str">
        <f xml:space="preserve"> _xlfn.XLOOKUP(M303, Lookup_Tables!$M$2:$M$5,Lookup_Tables!$N$2:$N$5," ", -1)</f>
        <v>New (0-2)</v>
      </c>
      <c r="R303" s="4">
        <f t="shared" si="9"/>
        <v>3.3333333333333335</v>
      </c>
      <c r="S303" t="str">
        <f xml:space="preserve"> _xlfn.XLOOKUP( E303, Lookup_Tables!$A$2:$A$6,Lookup_Tables!$B$2:$B$6," ", -1)</f>
        <v>Bachelor</v>
      </c>
      <c r="T303" t="str">
        <f>_xlfn.XLOOKUP(G303,Lookup_Tables!$D$2:$D$5,Lookup_Tables!$E$2:$E$5)</f>
        <v>Very High</v>
      </c>
      <c r="U303" t="str">
        <f>_xlfn.XLOOKUP(H303,Lookup_Tables!$D$2:$D$5,Lookup_Tables!$E$2:$E$5)</f>
        <v>High</v>
      </c>
      <c r="V303" t="str">
        <f>_xlfn.XLOOKUP(L303,Lookup_Tables!$D$2:$D$5,Lookup_Tables!$E$2:$E$5)</f>
        <v>High</v>
      </c>
    </row>
    <row r="304" spans="1:22">
      <c r="A304">
        <f>RAW_DATA!A304</f>
        <v>28</v>
      </c>
      <c r="B304" t="str">
        <f>RAW_DATA!B304</f>
        <v>No</v>
      </c>
      <c r="C304" t="str">
        <f>RAW_DATA!C304</f>
        <v>Research &amp; Development</v>
      </c>
      <c r="D304">
        <f>RAW_DATA!D304</f>
        <v>16</v>
      </c>
      <c r="E304">
        <f>RAW_DATA!E304</f>
        <v>2</v>
      </c>
      <c r="F304" t="str">
        <f>RAW_DATA!F304</f>
        <v>Medical</v>
      </c>
      <c r="G304">
        <f>RAW_DATA!G304</f>
        <v>2</v>
      </c>
      <c r="H304">
        <f>RAW_DATA!H304</f>
        <v>1</v>
      </c>
      <c r="I304" t="str">
        <f>RAW_DATA!I304</f>
        <v>Single</v>
      </c>
      <c r="J304">
        <f>RAW_DATA!J304</f>
        <v>5661</v>
      </c>
      <c r="K304">
        <f>RAW_DATA!K304</f>
        <v>0</v>
      </c>
      <c r="L304">
        <f>RAW_DATA!L304</f>
        <v>3</v>
      </c>
      <c r="M304">
        <f>RAW_DATA!M304</f>
        <v>8</v>
      </c>
      <c r="N304">
        <f t="shared" si="8"/>
        <v>0</v>
      </c>
      <c r="O304" t="str">
        <f xml:space="preserve"> VLOOKUP(A304, Lookup_Tables!$G$2:$H$6,2,TRUE)</f>
        <v>25-34</v>
      </c>
      <c r="P304" t="str">
        <f>_xlfn.XLOOKUP(J304,Lookup_Tables!$J$2:$J$4,Lookup_Tables!$K$2:$K$4, " ",-1)</f>
        <v>Medium</v>
      </c>
      <c r="Q304" t="str">
        <f xml:space="preserve"> _xlfn.XLOOKUP(M304, Lookup_Tables!$M$2:$M$5,Lookup_Tables!$N$2:$N$5," ", -1)</f>
        <v>Established (5-10)</v>
      </c>
      <c r="R304" s="4">
        <f t="shared" si="9"/>
        <v>2</v>
      </c>
      <c r="S304" t="str">
        <f xml:space="preserve"> _xlfn.XLOOKUP( E304, Lookup_Tables!$A$2:$A$6,Lookup_Tables!$B$2:$B$6," ", -1)</f>
        <v>College</v>
      </c>
      <c r="T304" t="str">
        <f>_xlfn.XLOOKUP(G304,Lookup_Tables!$D$2:$D$5,Lookup_Tables!$E$2:$E$5)</f>
        <v>Medium</v>
      </c>
      <c r="U304" t="str">
        <f>_xlfn.XLOOKUP(H304,Lookup_Tables!$D$2:$D$5,Lookup_Tables!$E$2:$E$5)</f>
        <v>Low</v>
      </c>
      <c r="V304" t="str">
        <f>_xlfn.XLOOKUP(L304,Lookup_Tables!$D$2:$D$5,Lookup_Tables!$E$2:$E$5)</f>
        <v>High</v>
      </c>
    </row>
    <row r="305" spans="1:22">
      <c r="A305">
        <f>RAW_DATA!A305</f>
        <v>31</v>
      </c>
      <c r="B305" t="str">
        <f>RAW_DATA!B305</f>
        <v>No</v>
      </c>
      <c r="C305" t="str">
        <f>RAW_DATA!C305</f>
        <v>Sales</v>
      </c>
      <c r="D305">
        <f>RAW_DATA!D305</f>
        <v>7</v>
      </c>
      <c r="E305">
        <f>RAW_DATA!E305</f>
        <v>3</v>
      </c>
      <c r="F305" t="str">
        <f>RAW_DATA!F305</f>
        <v>Technical Degree</v>
      </c>
      <c r="G305">
        <f>RAW_DATA!G305</f>
        <v>2</v>
      </c>
      <c r="H305">
        <f>RAW_DATA!H305</f>
        <v>4</v>
      </c>
      <c r="I305" t="str">
        <f>RAW_DATA!I305</f>
        <v>Married</v>
      </c>
      <c r="J305">
        <f>RAW_DATA!J305</f>
        <v>6929</v>
      </c>
      <c r="K305">
        <f>RAW_DATA!K305</f>
        <v>4</v>
      </c>
      <c r="L305">
        <f>RAW_DATA!L305</f>
        <v>2</v>
      </c>
      <c r="M305">
        <f>RAW_DATA!M305</f>
        <v>8</v>
      </c>
      <c r="N305">
        <f t="shared" si="8"/>
        <v>0</v>
      </c>
      <c r="O305" t="str">
        <f xml:space="preserve"> VLOOKUP(A305, Lookup_Tables!$G$2:$H$6,2,TRUE)</f>
        <v>25-34</v>
      </c>
      <c r="P305" t="str">
        <f>_xlfn.XLOOKUP(J305,Lookup_Tables!$J$2:$J$4,Lookup_Tables!$K$2:$K$4, " ",-1)</f>
        <v>Medium</v>
      </c>
      <c r="Q305" t="str">
        <f xml:space="preserve"> _xlfn.XLOOKUP(M305, Lookup_Tables!$M$2:$M$5,Lookup_Tables!$N$2:$N$5," ", -1)</f>
        <v>Established (5-10)</v>
      </c>
      <c r="R305" s="4">
        <f t="shared" si="9"/>
        <v>2.6666666666666665</v>
      </c>
      <c r="S305" t="str">
        <f xml:space="preserve"> _xlfn.XLOOKUP( E305, Lookup_Tables!$A$2:$A$6,Lookup_Tables!$B$2:$B$6," ", -1)</f>
        <v>Bachelor</v>
      </c>
      <c r="T305" t="str">
        <f>_xlfn.XLOOKUP(G305,Lookup_Tables!$D$2:$D$5,Lookup_Tables!$E$2:$E$5)</f>
        <v>Medium</v>
      </c>
      <c r="U305" t="str">
        <f>_xlfn.XLOOKUP(H305,Lookup_Tables!$D$2:$D$5,Lookup_Tables!$E$2:$E$5)</f>
        <v>Very High</v>
      </c>
      <c r="V305" t="str">
        <f>_xlfn.XLOOKUP(L305,Lookup_Tables!$D$2:$D$5,Lookup_Tables!$E$2:$E$5)</f>
        <v>Medium</v>
      </c>
    </row>
    <row r="306" spans="1:22">
      <c r="A306">
        <f>RAW_DATA!A306</f>
        <v>39</v>
      </c>
      <c r="B306" t="str">
        <f>RAW_DATA!B306</f>
        <v>No</v>
      </c>
      <c r="C306" t="str">
        <f>RAW_DATA!C306</f>
        <v>Research &amp; Development</v>
      </c>
      <c r="D306">
        <f>RAW_DATA!D306</f>
        <v>1</v>
      </c>
      <c r="E306">
        <f>RAW_DATA!E306</f>
        <v>3</v>
      </c>
      <c r="F306" t="str">
        <f>RAW_DATA!F306</f>
        <v>Medical</v>
      </c>
      <c r="G306">
        <f>RAW_DATA!G306</f>
        <v>3</v>
      </c>
      <c r="H306">
        <f>RAW_DATA!H306</f>
        <v>4</v>
      </c>
      <c r="I306" t="str">
        <f>RAW_DATA!I306</f>
        <v>Divorced</v>
      </c>
      <c r="J306">
        <f>RAW_DATA!J306</f>
        <v>9613</v>
      </c>
      <c r="K306">
        <f>RAW_DATA!K306</f>
        <v>0</v>
      </c>
      <c r="L306">
        <f>RAW_DATA!L306</f>
        <v>2</v>
      </c>
      <c r="M306">
        <f>RAW_DATA!M306</f>
        <v>18</v>
      </c>
      <c r="N306">
        <f t="shared" si="8"/>
        <v>0</v>
      </c>
      <c r="O306" t="str">
        <f xml:space="preserve"> VLOOKUP(A306, Lookup_Tables!$G$2:$H$6,2,TRUE)</f>
        <v>35-44</v>
      </c>
      <c r="P306" t="str">
        <f>_xlfn.XLOOKUP(J306,Lookup_Tables!$J$2:$J$4,Lookup_Tables!$K$2:$K$4, " ",-1)</f>
        <v>High</v>
      </c>
      <c r="Q306" t="str">
        <f xml:space="preserve"> _xlfn.XLOOKUP(M306, Lookup_Tables!$M$2:$M$5,Lookup_Tables!$N$2:$N$5," ", -1)</f>
        <v>Veteran (10+)</v>
      </c>
      <c r="R306" s="4">
        <f t="shared" si="9"/>
        <v>3</v>
      </c>
      <c r="S306" t="str">
        <f xml:space="preserve"> _xlfn.XLOOKUP( E306, Lookup_Tables!$A$2:$A$6,Lookup_Tables!$B$2:$B$6," ", -1)</f>
        <v>Bachelor</v>
      </c>
      <c r="T306" t="str">
        <f>_xlfn.XLOOKUP(G306,Lookup_Tables!$D$2:$D$5,Lookup_Tables!$E$2:$E$5)</f>
        <v>High</v>
      </c>
      <c r="U306" t="str">
        <f>_xlfn.XLOOKUP(H306,Lookup_Tables!$D$2:$D$5,Lookup_Tables!$E$2:$E$5)</f>
        <v>Very High</v>
      </c>
      <c r="V306" t="str">
        <f>_xlfn.XLOOKUP(L306,Lookup_Tables!$D$2:$D$5,Lookup_Tables!$E$2:$E$5)</f>
        <v>Medium</v>
      </c>
    </row>
    <row r="307" spans="1:22">
      <c r="A307">
        <f>RAW_DATA!A307</f>
        <v>36</v>
      </c>
      <c r="B307" t="str">
        <f>RAW_DATA!B307</f>
        <v>No</v>
      </c>
      <c r="C307" t="str">
        <f>RAW_DATA!C307</f>
        <v>Research &amp; Development</v>
      </c>
      <c r="D307">
        <f>RAW_DATA!D307</f>
        <v>24</v>
      </c>
      <c r="E307">
        <f>RAW_DATA!E307</f>
        <v>4</v>
      </c>
      <c r="F307" t="str">
        <f>RAW_DATA!F307</f>
        <v>Life Sciences</v>
      </c>
      <c r="G307">
        <f>RAW_DATA!G307</f>
        <v>2</v>
      </c>
      <c r="H307">
        <f>RAW_DATA!H307</f>
        <v>2</v>
      </c>
      <c r="I307" t="str">
        <f>RAW_DATA!I307</f>
        <v>Married</v>
      </c>
      <c r="J307">
        <f>RAW_DATA!J307</f>
        <v>5674</v>
      </c>
      <c r="K307">
        <f>RAW_DATA!K307</f>
        <v>7</v>
      </c>
      <c r="L307">
        <f>RAW_DATA!L307</f>
        <v>3</v>
      </c>
      <c r="M307">
        <f>RAW_DATA!M307</f>
        <v>9</v>
      </c>
      <c r="N307">
        <f t="shared" si="8"/>
        <v>0</v>
      </c>
      <c r="O307" t="str">
        <f xml:space="preserve"> VLOOKUP(A307, Lookup_Tables!$G$2:$H$6,2,TRUE)</f>
        <v>35-44</v>
      </c>
      <c r="P307" t="str">
        <f>_xlfn.XLOOKUP(J307,Lookup_Tables!$J$2:$J$4,Lookup_Tables!$K$2:$K$4, " ",-1)</f>
        <v>Medium</v>
      </c>
      <c r="Q307" t="str">
        <f xml:space="preserve"> _xlfn.XLOOKUP(M307, Lookup_Tables!$M$2:$M$5,Lookup_Tables!$N$2:$N$5," ", -1)</f>
        <v>Established (5-10)</v>
      </c>
      <c r="R307" s="4">
        <f t="shared" si="9"/>
        <v>2.3333333333333335</v>
      </c>
      <c r="S307" t="str">
        <f xml:space="preserve"> _xlfn.XLOOKUP( E307, Lookup_Tables!$A$2:$A$6,Lookup_Tables!$B$2:$B$6," ", -1)</f>
        <v>Master</v>
      </c>
      <c r="T307" t="str">
        <f>_xlfn.XLOOKUP(G307,Lookup_Tables!$D$2:$D$5,Lookup_Tables!$E$2:$E$5)</f>
        <v>Medium</v>
      </c>
      <c r="U307" t="str">
        <f>_xlfn.XLOOKUP(H307,Lookup_Tables!$D$2:$D$5,Lookup_Tables!$E$2:$E$5)</f>
        <v>Medium</v>
      </c>
      <c r="V307" t="str">
        <f>_xlfn.XLOOKUP(L307,Lookup_Tables!$D$2:$D$5,Lookup_Tables!$E$2:$E$5)</f>
        <v>High</v>
      </c>
    </row>
    <row r="308" spans="1:22">
      <c r="A308">
        <f>RAW_DATA!A308</f>
        <v>32</v>
      </c>
      <c r="B308" t="str">
        <f>RAW_DATA!B308</f>
        <v>No</v>
      </c>
      <c r="C308" t="str">
        <f>RAW_DATA!C308</f>
        <v>Sales</v>
      </c>
      <c r="D308">
        <f>RAW_DATA!D308</f>
        <v>7</v>
      </c>
      <c r="E308">
        <f>RAW_DATA!E308</f>
        <v>3</v>
      </c>
      <c r="F308" t="str">
        <f>RAW_DATA!F308</f>
        <v>Life Sciences</v>
      </c>
      <c r="G308">
        <f>RAW_DATA!G308</f>
        <v>4</v>
      </c>
      <c r="H308">
        <f>RAW_DATA!H308</f>
        <v>3</v>
      </c>
      <c r="I308" t="str">
        <f>RAW_DATA!I308</f>
        <v>Married</v>
      </c>
      <c r="J308">
        <f>RAW_DATA!J308</f>
        <v>5484</v>
      </c>
      <c r="K308">
        <f>RAW_DATA!K308</f>
        <v>1</v>
      </c>
      <c r="L308">
        <f>RAW_DATA!L308</f>
        <v>2</v>
      </c>
      <c r="M308">
        <f>RAW_DATA!M308</f>
        <v>13</v>
      </c>
      <c r="N308">
        <f t="shared" si="8"/>
        <v>0</v>
      </c>
      <c r="O308" t="str">
        <f xml:space="preserve"> VLOOKUP(A308, Lookup_Tables!$G$2:$H$6,2,TRUE)</f>
        <v>25-34</v>
      </c>
      <c r="P308" t="str">
        <f>_xlfn.XLOOKUP(J308,Lookup_Tables!$J$2:$J$4,Lookup_Tables!$K$2:$K$4, " ",-1)</f>
        <v>Medium</v>
      </c>
      <c r="Q308" t="str">
        <f xml:space="preserve"> _xlfn.XLOOKUP(M308, Lookup_Tables!$M$2:$M$5,Lookup_Tables!$N$2:$N$5," ", -1)</f>
        <v>Veteran (10+)</v>
      </c>
      <c r="R308" s="4">
        <f t="shared" si="9"/>
        <v>3</v>
      </c>
      <c r="S308" t="str">
        <f xml:space="preserve"> _xlfn.XLOOKUP( E308, Lookup_Tables!$A$2:$A$6,Lookup_Tables!$B$2:$B$6," ", -1)</f>
        <v>Bachelor</v>
      </c>
      <c r="T308" t="str">
        <f>_xlfn.XLOOKUP(G308,Lookup_Tables!$D$2:$D$5,Lookup_Tables!$E$2:$E$5)</f>
        <v>Very High</v>
      </c>
      <c r="U308" t="str">
        <f>_xlfn.XLOOKUP(H308,Lookup_Tables!$D$2:$D$5,Lookup_Tables!$E$2:$E$5)</f>
        <v>High</v>
      </c>
      <c r="V308" t="str">
        <f>_xlfn.XLOOKUP(L308,Lookup_Tables!$D$2:$D$5,Lookup_Tables!$E$2:$E$5)</f>
        <v>Medium</v>
      </c>
    </row>
    <row r="309" spans="1:22">
      <c r="A309">
        <f>RAW_DATA!A309</f>
        <v>38</v>
      </c>
      <c r="B309" t="str">
        <f>RAW_DATA!B309</f>
        <v>No</v>
      </c>
      <c r="C309" t="str">
        <f>RAW_DATA!C309</f>
        <v>Research &amp; Development</v>
      </c>
      <c r="D309">
        <f>RAW_DATA!D309</f>
        <v>25</v>
      </c>
      <c r="E309">
        <f>RAW_DATA!E309</f>
        <v>2</v>
      </c>
      <c r="F309" t="str">
        <f>RAW_DATA!F309</f>
        <v>Life Sciences</v>
      </c>
      <c r="G309">
        <f>RAW_DATA!G309</f>
        <v>1</v>
      </c>
      <c r="H309">
        <f>RAW_DATA!H309</f>
        <v>2</v>
      </c>
      <c r="I309" t="str">
        <f>RAW_DATA!I309</f>
        <v>Married</v>
      </c>
      <c r="J309">
        <f>RAW_DATA!J309</f>
        <v>12061</v>
      </c>
      <c r="K309">
        <f>RAW_DATA!K309</f>
        <v>3</v>
      </c>
      <c r="L309">
        <f>RAW_DATA!L309</f>
        <v>3</v>
      </c>
      <c r="M309">
        <f>RAW_DATA!M309</f>
        <v>10</v>
      </c>
      <c r="N309">
        <f t="shared" si="8"/>
        <v>0</v>
      </c>
      <c r="O309" t="str">
        <f xml:space="preserve"> VLOOKUP(A309, Lookup_Tables!$G$2:$H$6,2,TRUE)</f>
        <v>35-44</v>
      </c>
      <c r="P309" t="str">
        <f>_xlfn.XLOOKUP(J309,Lookup_Tables!$J$2:$J$4,Lookup_Tables!$K$2:$K$4, " ",-1)</f>
        <v>High</v>
      </c>
      <c r="Q309" t="str">
        <f xml:space="preserve"> _xlfn.XLOOKUP(M309, Lookup_Tables!$M$2:$M$5,Lookup_Tables!$N$2:$N$5," ", -1)</f>
        <v>Veteran (10+)</v>
      </c>
      <c r="R309" s="4">
        <f t="shared" si="9"/>
        <v>2</v>
      </c>
      <c r="S309" t="str">
        <f xml:space="preserve"> _xlfn.XLOOKUP( E309, Lookup_Tables!$A$2:$A$6,Lookup_Tables!$B$2:$B$6," ", -1)</f>
        <v>College</v>
      </c>
      <c r="T309" t="str">
        <f>_xlfn.XLOOKUP(G309,Lookup_Tables!$D$2:$D$5,Lookup_Tables!$E$2:$E$5)</f>
        <v>Low</v>
      </c>
      <c r="U309" t="str">
        <f>_xlfn.XLOOKUP(H309,Lookup_Tables!$D$2:$D$5,Lookup_Tables!$E$2:$E$5)</f>
        <v>Medium</v>
      </c>
      <c r="V309" t="str">
        <f>_xlfn.XLOOKUP(L309,Lookup_Tables!$D$2:$D$5,Lookup_Tables!$E$2:$E$5)</f>
        <v>High</v>
      </c>
    </row>
    <row r="310" spans="1:22">
      <c r="A310">
        <f>RAW_DATA!A310</f>
        <v>58</v>
      </c>
      <c r="B310" t="str">
        <f>RAW_DATA!B310</f>
        <v>No</v>
      </c>
      <c r="C310" t="str">
        <f>RAW_DATA!C310</f>
        <v>Research &amp; Development</v>
      </c>
      <c r="D310">
        <f>RAW_DATA!D310</f>
        <v>1</v>
      </c>
      <c r="E310">
        <f>RAW_DATA!E310</f>
        <v>4</v>
      </c>
      <c r="F310" t="str">
        <f>RAW_DATA!F310</f>
        <v>Life Sciences</v>
      </c>
      <c r="G310">
        <f>RAW_DATA!G310</f>
        <v>4</v>
      </c>
      <c r="H310">
        <f>RAW_DATA!H310</f>
        <v>3</v>
      </c>
      <c r="I310" t="str">
        <f>RAW_DATA!I310</f>
        <v>Divorced</v>
      </c>
      <c r="J310">
        <f>RAW_DATA!J310</f>
        <v>5660</v>
      </c>
      <c r="K310">
        <f>RAW_DATA!K310</f>
        <v>2</v>
      </c>
      <c r="L310">
        <f>RAW_DATA!L310</f>
        <v>3</v>
      </c>
      <c r="M310">
        <f>RAW_DATA!M310</f>
        <v>5</v>
      </c>
      <c r="N310">
        <f t="shared" si="8"/>
        <v>0</v>
      </c>
      <c r="O310" t="str">
        <f xml:space="preserve"> VLOOKUP(A310, Lookup_Tables!$G$2:$H$6,2,TRUE)</f>
        <v>55+</v>
      </c>
      <c r="P310" t="str">
        <f>_xlfn.XLOOKUP(J310,Lookup_Tables!$J$2:$J$4,Lookup_Tables!$K$2:$K$4, " ",-1)</f>
        <v>Medium</v>
      </c>
      <c r="Q310" t="str">
        <f xml:space="preserve"> _xlfn.XLOOKUP(M310, Lookup_Tables!$M$2:$M$5,Lookup_Tables!$N$2:$N$5," ", -1)</f>
        <v>Established (5-10)</v>
      </c>
      <c r="R310" s="4">
        <f t="shared" si="9"/>
        <v>3.3333333333333335</v>
      </c>
      <c r="S310" t="str">
        <f xml:space="preserve"> _xlfn.XLOOKUP( E310, Lookup_Tables!$A$2:$A$6,Lookup_Tables!$B$2:$B$6," ", -1)</f>
        <v>Master</v>
      </c>
      <c r="T310" t="str">
        <f>_xlfn.XLOOKUP(G310,Lookup_Tables!$D$2:$D$5,Lookup_Tables!$E$2:$E$5)</f>
        <v>Very High</v>
      </c>
      <c r="U310" t="str">
        <f>_xlfn.XLOOKUP(H310,Lookup_Tables!$D$2:$D$5,Lookup_Tables!$E$2:$E$5)</f>
        <v>High</v>
      </c>
      <c r="V310" t="str">
        <f>_xlfn.XLOOKUP(L310,Lookup_Tables!$D$2:$D$5,Lookup_Tables!$E$2:$E$5)</f>
        <v>High</v>
      </c>
    </row>
    <row r="311" spans="1:22">
      <c r="A311">
        <f>RAW_DATA!A311</f>
        <v>31</v>
      </c>
      <c r="B311" t="str">
        <f>RAW_DATA!B311</f>
        <v>No</v>
      </c>
      <c r="C311" t="str">
        <f>RAW_DATA!C311</f>
        <v>Research &amp; Development</v>
      </c>
      <c r="D311">
        <f>RAW_DATA!D311</f>
        <v>5</v>
      </c>
      <c r="E311">
        <f>RAW_DATA!E311</f>
        <v>4</v>
      </c>
      <c r="F311" t="str">
        <f>RAW_DATA!F311</f>
        <v>Technical Degree</v>
      </c>
      <c r="G311">
        <f>RAW_DATA!G311</f>
        <v>3</v>
      </c>
      <c r="H311">
        <f>RAW_DATA!H311</f>
        <v>4</v>
      </c>
      <c r="I311" t="str">
        <f>RAW_DATA!I311</f>
        <v>Married</v>
      </c>
      <c r="J311">
        <f>RAW_DATA!J311</f>
        <v>4821</v>
      </c>
      <c r="K311">
        <f>RAW_DATA!K311</f>
        <v>0</v>
      </c>
      <c r="L311">
        <f>RAW_DATA!L311</f>
        <v>3</v>
      </c>
      <c r="M311">
        <f>RAW_DATA!M311</f>
        <v>5</v>
      </c>
      <c r="N311">
        <f t="shared" si="8"/>
        <v>0</v>
      </c>
      <c r="O311" t="str">
        <f xml:space="preserve"> VLOOKUP(A311, Lookup_Tables!$G$2:$H$6,2,TRUE)</f>
        <v>25-34</v>
      </c>
      <c r="P311" t="str">
        <f>_xlfn.XLOOKUP(J311,Lookup_Tables!$J$2:$J$4,Lookup_Tables!$K$2:$K$4, " ",-1)</f>
        <v>Medium</v>
      </c>
      <c r="Q311" t="str">
        <f xml:space="preserve"> _xlfn.XLOOKUP(M311, Lookup_Tables!$M$2:$M$5,Lookup_Tables!$N$2:$N$5," ", -1)</f>
        <v>Established (5-10)</v>
      </c>
      <c r="R311" s="4">
        <f t="shared" si="9"/>
        <v>3.3333333333333335</v>
      </c>
      <c r="S311" t="str">
        <f xml:space="preserve"> _xlfn.XLOOKUP( E311, Lookup_Tables!$A$2:$A$6,Lookup_Tables!$B$2:$B$6," ", -1)</f>
        <v>Master</v>
      </c>
      <c r="T311" t="str">
        <f>_xlfn.XLOOKUP(G311,Lookup_Tables!$D$2:$D$5,Lookup_Tables!$E$2:$E$5)</f>
        <v>High</v>
      </c>
      <c r="U311" t="str">
        <f>_xlfn.XLOOKUP(H311,Lookup_Tables!$D$2:$D$5,Lookup_Tables!$E$2:$E$5)</f>
        <v>Very High</v>
      </c>
      <c r="V311" t="str">
        <f>_xlfn.XLOOKUP(L311,Lookup_Tables!$D$2:$D$5,Lookup_Tables!$E$2:$E$5)</f>
        <v>High</v>
      </c>
    </row>
    <row r="312" spans="1:22">
      <c r="A312">
        <f>RAW_DATA!A312</f>
        <v>31</v>
      </c>
      <c r="B312" t="str">
        <f>RAW_DATA!B312</f>
        <v>No</v>
      </c>
      <c r="C312" t="str">
        <f>RAW_DATA!C312</f>
        <v>Human Resources</v>
      </c>
      <c r="D312">
        <f>RAW_DATA!D312</f>
        <v>2</v>
      </c>
      <c r="E312">
        <f>RAW_DATA!E312</f>
        <v>3</v>
      </c>
      <c r="F312" t="str">
        <f>RAW_DATA!F312</f>
        <v>Human Resources</v>
      </c>
      <c r="G312">
        <f>RAW_DATA!G312</f>
        <v>1</v>
      </c>
      <c r="H312">
        <f>RAW_DATA!H312</f>
        <v>1</v>
      </c>
      <c r="I312" t="str">
        <f>RAW_DATA!I312</f>
        <v>Married</v>
      </c>
      <c r="J312">
        <f>RAW_DATA!J312</f>
        <v>6410</v>
      </c>
      <c r="K312">
        <f>RAW_DATA!K312</f>
        <v>3</v>
      </c>
      <c r="L312">
        <f>RAW_DATA!L312</f>
        <v>3</v>
      </c>
      <c r="M312">
        <f>RAW_DATA!M312</f>
        <v>2</v>
      </c>
      <c r="N312">
        <f t="shared" si="8"/>
        <v>0</v>
      </c>
      <c r="O312" t="str">
        <f xml:space="preserve"> VLOOKUP(A312, Lookup_Tables!$G$2:$H$6,2,TRUE)</f>
        <v>25-34</v>
      </c>
      <c r="P312" t="str">
        <f>_xlfn.XLOOKUP(J312,Lookup_Tables!$J$2:$J$4,Lookup_Tables!$K$2:$K$4, " ",-1)</f>
        <v>Medium</v>
      </c>
      <c r="Q312" t="str">
        <f xml:space="preserve"> _xlfn.XLOOKUP(M312, Lookup_Tables!$M$2:$M$5,Lookup_Tables!$N$2:$N$5," ", -1)</f>
        <v>Early (2-5)</v>
      </c>
      <c r="R312" s="4">
        <f t="shared" si="9"/>
        <v>1.6666666666666667</v>
      </c>
      <c r="S312" t="str">
        <f xml:space="preserve"> _xlfn.XLOOKUP( E312, Lookup_Tables!$A$2:$A$6,Lookup_Tables!$B$2:$B$6," ", -1)</f>
        <v>Bachelor</v>
      </c>
      <c r="T312" t="str">
        <f>_xlfn.XLOOKUP(G312,Lookup_Tables!$D$2:$D$5,Lookup_Tables!$E$2:$E$5)</f>
        <v>Low</v>
      </c>
      <c r="U312" t="str">
        <f>_xlfn.XLOOKUP(H312,Lookup_Tables!$D$2:$D$5,Lookup_Tables!$E$2:$E$5)</f>
        <v>Low</v>
      </c>
      <c r="V312" t="str">
        <f>_xlfn.XLOOKUP(L312,Lookup_Tables!$D$2:$D$5,Lookup_Tables!$E$2:$E$5)</f>
        <v>High</v>
      </c>
    </row>
    <row r="313" spans="1:22">
      <c r="A313">
        <f>RAW_DATA!A313</f>
        <v>45</v>
      </c>
      <c r="B313" t="str">
        <f>RAW_DATA!B313</f>
        <v>No</v>
      </c>
      <c r="C313" t="str">
        <f>RAW_DATA!C313</f>
        <v>Research &amp; Development</v>
      </c>
      <c r="D313">
        <f>RAW_DATA!D313</f>
        <v>7</v>
      </c>
      <c r="E313">
        <f>RAW_DATA!E313</f>
        <v>3</v>
      </c>
      <c r="F313" t="str">
        <f>RAW_DATA!F313</f>
        <v>Life Sciences</v>
      </c>
      <c r="G313">
        <f>RAW_DATA!G313</f>
        <v>1</v>
      </c>
      <c r="H313">
        <f>RAW_DATA!H313</f>
        <v>1</v>
      </c>
      <c r="I313" t="str">
        <f>RAW_DATA!I313</f>
        <v>Divorced</v>
      </c>
      <c r="J313">
        <f>RAW_DATA!J313</f>
        <v>5210</v>
      </c>
      <c r="K313">
        <f>RAW_DATA!K313</f>
        <v>1</v>
      </c>
      <c r="L313">
        <f>RAW_DATA!L313</f>
        <v>3</v>
      </c>
      <c r="M313">
        <f>RAW_DATA!M313</f>
        <v>24</v>
      </c>
      <c r="N313">
        <f t="shared" si="8"/>
        <v>0</v>
      </c>
      <c r="O313" t="str">
        <f xml:space="preserve"> VLOOKUP(A313, Lookup_Tables!$G$2:$H$6,2,TRUE)</f>
        <v>45-54</v>
      </c>
      <c r="P313" t="str">
        <f>_xlfn.XLOOKUP(J313,Lookup_Tables!$J$2:$J$4,Lookup_Tables!$K$2:$K$4, " ",-1)</f>
        <v>Medium</v>
      </c>
      <c r="Q313" t="str">
        <f xml:space="preserve"> _xlfn.XLOOKUP(M313, Lookup_Tables!$M$2:$M$5,Lookup_Tables!$N$2:$N$5," ", -1)</f>
        <v>Veteran (10+)</v>
      </c>
      <c r="R313" s="4">
        <f t="shared" si="9"/>
        <v>1.6666666666666667</v>
      </c>
      <c r="S313" t="str">
        <f xml:space="preserve"> _xlfn.XLOOKUP( E313, Lookup_Tables!$A$2:$A$6,Lookup_Tables!$B$2:$B$6," ", -1)</f>
        <v>Bachelor</v>
      </c>
      <c r="T313" t="str">
        <f>_xlfn.XLOOKUP(G313,Lookup_Tables!$D$2:$D$5,Lookup_Tables!$E$2:$E$5)</f>
        <v>Low</v>
      </c>
      <c r="U313" t="str">
        <f>_xlfn.XLOOKUP(H313,Lookup_Tables!$D$2:$D$5,Lookup_Tables!$E$2:$E$5)</f>
        <v>Low</v>
      </c>
      <c r="V313" t="str">
        <f>_xlfn.XLOOKUP(L313,Lookup_Tables!$D$2:$D$5,Lookup_Tables!$E$2:$E$5)</f>
        <v>High</v>
      </c>
    </row>
    <row r="314" spans="1:22">
      <c r="A314">
        <f>RAW_DATA!A314</f>
        <v>31</v>
      </c>
      <c r="B314" t="str">
        <f>RAW_DATA!B314</f>
        <v>No</v>
      </c>
      <c r="C314" t="str">
        <f>RAW_DATA!C314</f>
        <v>Research &amp; Development</v>
      </c>
      <c r="D314">
        <f>RAW_DATA!D314</f>
        <v>2</v>
      </c>
      <c r="E314">
        <f>RAW_DATA!E314</f>
        <v>4</v>
      </c>
      <c r="F314" t="str">
        <f>RAW_DATA!F314</f>
        <v>Life Sciences</v>
      </c>
      <c r="G314">
        <f>RAW_DATA!G314</f>
        <v>3</v>
      </c>
      <c r="H314">
        <f>RAW_DATA!H314</f>
        <v>4</v>
      </c>
      <c r="I314" t="str">
        <f>RAW_DATA!I314</f>
        <v>Divorced</v>
      </c>
      <c r="J314">
        <f>RAW_DATA!J314</f>
        <v>2695</v>
      </c>
      <c r="K314">
        <f>RAW_DATA!K314</f>
        <v>0</v>
      </c>
      <c r="L314">
        <f>RAW_DATA!L314</f>
        <v>1</v>
      </c>
      <c r="M314">
        <f>RAW_DATA!M314</f>
        <v>2</v>
      </c>
      <c r="N314">
        <f t="shared" si="8"/>
        <v>0</v>
      </c>
      <c r="O314" t="str">
        <f xml:space="preserve"> VLOOKUP(A314, Lookup_Tables!$G$2:$H$6,2,TRUE)</f>
        <v>25-34</v>
      </c>
      <c r="P314" t="str">
        <f>_xlfn.XLOOKUP(J314,Lookup_Tables!$J$2:$J$4,Lookup_Tables!$K$2:$K$4, " ",-1)</f>
        <v>Low</v>
      </c>
      <c r="Q314" t="str">
        <f xml:space="preserve"> _xlfn.XLOOKUP(M314, Lookup_Tables!$M$2:$M$5,Lookup_Tables!$N$2:$N$5," ", -1)</f>
        <v>Early (2-5)</v>
      </c>
      <c r="R314" s="4">
        <f t="shared" si="9"/>
        <v>2.6666666666666665</v>
      </c>
      <c r="S314" t="str">
        <f xml:space="preserve"> _xlfn.XLOOKUP( E314, Lookup_Tables!$A$2:$A$6,Lookup_Tables!$B$2:$B$6," ", -1)</f>
        <v>Master</v>
      </c>
      <c r="T314" t="str">
        <f>_xlfn.XLOOKUP(G314,Lookup_Tables!$D$2:$D$5,Lookup_Tables!$E$2:$E$5)</f>
        <v>High</v>
      </c>
      <c r="U314" t="str">
        <f>_xlfn.XLOOKUP(H314,Lookup_Tables!$D$2:$D$5,Lookup_Tables!$E$2:$E$5)</f>
        <v>Very High</v>
      </c>
      <c r="V314" t="str">
        <f>_xlfn.XLOOKUP(L314,Lookup_Tables!$D$2:$D$5,Lookup_Tables!$E$2:$E$5)</f>
        <v>Low</v>
      </c>
    </row>
    <row r="315" spans="1:22">
      <c r="A315">
        <f>RAW_DATA!A315</f>
        <v>33</v>
      </c>
      <c r="B315" t="str">
        <f>RAW_DATA!B315</f>
        <v>No</v>
      </c>
      <c r="C315" t="str">
        <f>RAW_DATA!C315</f>
        <v>Research &amp; Development</v>
      </c>
      <c r="D315">
        <f>RAW_DATA!D315</f>
        <v>5</v>
      </c>
      <c r="E315">
        <f>RAW_DATA!E315</f>
        <v>4</v>
      </c>
      <c r="F315" t="str">
        <f>RAW_DATA!F315</f>
        <v>Life Sciences</v>
      </c>
      <c r="G315">
        <f>RAW_DATA!G315</f>
        <v>4</v>
      </c>
      <c r="H315">
        <f>RAW_DATA!H315</f>
        <v>2</v>
      </c>
      <c r="I315" t="str">
        <f>RAW_DATA!I315</f>
        <v>Married</v>
      </c>
      <c r="J315">
        <f>RAW_DATA!J315</f>
        <v>11878</v>
      </c>
      <c r="K315">
        <f>RAW_DATA!K315</f>
        <v>6</v>
      </c>
      <c r="L315">
        <f>RAW_DATA!L315</f>
        <v>3</v>
      </c>
      <c r="M315">
        <f>RAW_DATA!M315</f>
        <v>10</v>
      </c>
      <c r="N315">
        <f t="shared" si="8"/>
        <v>0</v>
      </c>
      <c r="O315" t="str">
        <f xml:space="preserve"> VLOOKUP(A315, Lookup_Tables!$G$2:$H$6,2,TRUE)</f>
        <v>25-34</v>
      </c>
      <c r="P315" t="str">
        <f>_xlfn.XLOOKUP(J315,Lookup_Tables!$J$2:$J$4,Lookup_Tables!$K$2:$K$4, " ",-1)</f>
        <v>High</v>
      </c>
      <c r="Q315" t="str">
        <f xml:space="preserve"> _xlfn.XLOOKUP(M315, Lookup_Tables!$M$2:$M$5,Lookup_Tables!$N$2:$N$5," ", -1)</f>
        <v>Veteran (10+)</v>
      </c>
      <c r="R315" s="4">
        <f t="shared" si="9"/>
        <v>3</v>
      </c>
      <c r="S315" t="str">
        <f xml:space="preserve"> _xlfn.XLOOKUP( E315, Lookup_Tables!$A$2:$A$6,Lookup_Tables!$B$2:$B$6," ", -1)</f>
        <v>Master</v>
      </c>
      <c r="T315" t="str">
        <f>_xlfn.XLOOKUP(G315,Lookup_Tables!$D$2:$D$5,Lookup_Tables!$E$2:$E$5)</f>
        <v>Very High</v>
      </c>
      <c r="U315" t="str">
        <f>_xlfn.XLOOKUP(H315,Lookup_Tables!$D$2:$D$5,Lookup_Tables!$E$2:$E$5)</f>
        <v>Medium</v>
      </c>
      <c r="V315" t="str">
        <f>_xlfn.XLOOKUP(L315,Lookup_Tables!$D$2:$D$5,Lookup_Tables!$E$2:$E$5)</f>
        <v>High</v>
      </c>
    </row>
    <row r="316" spans="1:22">
      <c r="A316">
        <f>RAW_DATA!A316</f>
        <v>39</v>
      </c>
      <c r="B316" t="str">
        <f>RAW_DATA!B316</f>
        <v>No</v>
      </c>
      <c r="C316" t="str">
        <f>RAW_DATA!C316</f>
        <v>Research &amp; Development</v>
      </c>
      <c r="D316">
        <f>RAW_DATA!D316</f>
        <v>10</v>
      </c>
      <c r="E316">
        <f>RAW_DATA!E316</f>
        <v>1</v>
      </c>
      <c r="F316" t="str">
        <f>RAW_DATA!F316</f>
        <v>Medical</v>
      </c>
      <c r="G316">
        <f>RAW_DATA!G316</f>
        <v>3</v>
      </c>
      <c r="H316">
        <f>RAW_DATA!H316</f>
        <v>1</v>
      </c>
      <c r="I316" t="str">
        <f>RAW_DATA!I316</f>
        <v>Married</v>
      </c>
      <c r="J316">
        <f>RAW_DATA!J316</f>
        <v>17068</v>
      </c>
      <c r="K316">
        <f>RAW_DATA!K316</f>
        <v>1</v>
      </c>
      <c r="L316">
        <f>RAW_DATA!L316</f>
        <v>3</v>
      </c>
      <c r="M316">
        <f>RAW_DATA!M316</f>
        <v>21</v>
      </c>
      <c r="N316">
        <f t="shared" si="8"/>
        <v>0</v>
      </c>
      <c r="O316" t="str">
        <f xml:space="preserve"> VLOOKUP(A316, Lookup_Tables!$G$2:$H$6,2,TRUE)</f>
        <v>35-44</v>
      </c>
      <c r="P316" t="str">
        <f>_xlfn.XLOOKUP(J316,Lookup_Tables!$J$2:$J$4,Lookup_Tables!$K$2:$K$4, " ",-1)</f>
        <v>High</v>
      </c>
      <c r="Q316" t="str">
        <f xml:space="preserve"> _xlfn.XLOOKUP(M316, Lookup_Tables!$M$2:$M$5,Lookup_Tables!$N$2:$N$5," ", -1)</f>
        <v>Veteran (10+)</v>
      </c>
      <c r="R316" s="4">
        <f t="shared" si="9"/>
        <v>2.3333333333333335</v>
      </c>
      <c r="S316" t="str">
        <f xml:space="preserve"> _xlfn.XLOOKUP( E316, Lookup_Tables!$A$2:$A$6,Lookup_Tables!$B$2:$B$6," ", -1)</f>
        <v>Below College</v>
      </c>
      <c r="T316" t="str">
        <f>_xlfn.XLOOKUP(G316,Lookup_Tables!$D$2:$D$5,Lookup_Tables!$E$2:$E$5)</f>
        <v>High</v>
      </c>
      <c r="U316" t="str">
        <f>_xlfn.XLOOKUP(H316,Lookup_Tables!$D$2:$D$5,Lookup_Tables!$E$2:$E$5)</f>
        <v>Low</v>
      </c>
      <c r="V316" t="str">
        <f>_xlfn.XLOOKUP(L316,Lookup_Tables!$D$2:$D$5,Lookup_Tables!$E$2:$E$5)</f>
        <v>High</v>
      </c>
    </row>
    <row r="317" spans="1:22">
      <c r="A317">
        <f>RAW_DATA!A317</f>
        <v>43</v>
      </c>
      <c r="B317" t="str">
        <f>RAW_DATA!B317</f>
        <v>No</v>
      </c>
      <c r="C317" t="str">
        <f>RAW_DATA!C317</f>
        <v>Research &amp; Development</v>
      </c>
      <c r="D317">
        <f>RAW_DATA!D317</f>
        <v>10</v>
      </c>
      <c r="E317">
        <f>RAW_DATA!E317</f>
        <v>4</v>
      </c>
      <c r="F317" t="str">
        <f>RAW_DATA!F317</f>
        <v>Life Sciences</v>
      </c>
      <c r="G317">
        <f>RAW_DATA!G317</f>
        <v>3</v>
      </c>
      <c r="H317">
        <f>RAW_DATA!H317</f>
        <v>4</v>
      </c>
      <c r="I317" t="str">
        <f>RAW_DATA!I317</f>
        <v>Single</v>
      </c>
      <c r="J317">
        <f>RAW_DATA!J317</f>
        <v>2455</v>
      </c>
      <c r="K317">
        <f>RAW_DATA!K317</f>
        <v>0</v>
      </c>
      <c r="L317">
        <f>RAW_DATA!L317</f>
        <v>3</v>
      </c>
      <c r="M317">
        <f>RAW_DATA!M317</f>
        <v>8</v>
      </c>
      <c r="N317">
        <f t="shared" si="8"/>
        <v>0</v>
      </c>
      <c r="O317" t="str">
        <f xml:space="preserve"> VLOOKUP(A317, Lookup_Tables!$G$2:$H$6,2,TRUE)</f>
        <v>35-44</v>
      </c>
      <c r="P317" t="str">
        <f>_xlfn.XLOOKUP(J317,Lookup_Tables!$J$2:$J$4,Lookup_Tables!$K$2:$K$4, " ",-1)</f>
        <v>Low</v>
      </c>
      <c r="Q317" t="str">
        <f xml:space="preserve"> _xlfn.XLOOKUP(M317, Lookup_Tables!$M$2:$M$5,Lookup_Tables!$N$2:$N$5," ", -1)</f>
        <v>Established (5-10)</v>
      </c>
      <c r="R317" s="4">
        <f t="shared" si="9"/>
        <v>3.3333333333333335</v>
      </c>
      <c r="S317" t="str">
        <f xml:space="preserve"> _xlfn.XLOOKUP( E317, Lookup_Tables!$A$2:$A$6,Lookup_Tables!$B$2:$B$6," ", -1)</f>
        <v>Master</v>
      </c>
      <c r="T317" t="str">
        <f>_xlfn.XLOOKUP(G317,Lookup_Tables!$D$2:$D$5,Lookup_Tables!$E$2:$E$5)</f>
        <v>High</v>
      </c>
      <c r="U317" t="str">
        <f>_xlfn.XLOOKUP(H317,Lookup_Tables!$D$2:$D$5,Lookup_Tables!$E$2:$E$5)</f>
        <v>Very High</v>
      </c>
      <c r="V317" t="str">
        <f>_xlfn.XLOOKUP(L317,Lookup_Tables!$D$2:$D$5,Lookup_Tables!$E$2:$E$5)</f>
        <v>High</v>
      </c>
    </row>
    <row r="318" spans="1:22">
      <c r="A318">
        <f>RAW_DATA!A318</f>
        <v>49</v>
      </c>
      <c r="B318" t="str">
        <f>RAW_DATA!B318</f>
        <v>No</v>
      </c>
      <c r="C318" t="str">
        <f>RAW_DATA!C318</f>
        <v>Research &amp; Development</v>
      </c>
      <c r="D318">
        <f>RAW_DATA!D318</f>
        <v>1</v>
      </c>
      <c r="E318">
        <f>RAW_DATA!E318</f>
        <v>2</v>
      </c>
      <c r="F318" t="str">
        <f>RAW_DATA!F318</f>
        <v>Technical Degree</v>
      </c>
      <c r="G318">
        <f>RAW_DATA!G318</f>
        <v>3</v>
      </c>
      <c r="H318">
        <f>RAW_DATA!H318</f>
        <v>3</v>
      </c>
      <c r="I318" t="str">
        <f>RAW_DATA!I318</f>
        <v>Single</v>
      </c>
      <c r="J318">
        <f>RAW_DATA!J318</f>
        <v>13964</v>
      </c>
      <c r="K318">
        <f>RAW_DATA!K318</f>
        <v>7</v>
      </c>
      <c r="L318">
        <f>RAW_DATA!L318</f>
        <v>3</v>
      </c>
      <c r="M318">
        <f>RAW_DATA!M318</f>
        <v>7</v>
      </c>
      <c r="N318">
        <f t="shared" si="8"/>
        <v>0</v>
      </c>
      <c r="O318" t="str">
        <f xml:space="preserve"> VLOOKUP(A318, Lookup_Tables!$G$2:$H$6,2,TRUE)</f>
        <v>45-54</v>
      </c>
      <c r="P318" t="str">
        <f>_xlfn.XLOOKUP(J318,Lookup_Tables!$J$2:$J$4,Lookup_Tables!$K$2:$K$4, " ",-1)</f>
        <v>High</v>
      </c>
      <c r="Q318" t="str">
        <f xml:space="preserve"> _xlfn.XLOOKUP(M318, Lookup_Tables!$M$2:$M$5,Lookup_Tables!$N$2:$N$5," ", -1)</f>
        <v>Established (5-10)</v>
      </c>
      <c r="R318" s="4">
        <f t="shared" si="9"/>
        <v>3</v>
      </c>
      <c r="S318" t="str">
        <f xml:space="preserve"> _xlfn.XLOOKUP( E318, Lookup_Tables!$A$2:$A$6,Lookup_Tables!$B$2:$B$6," ", -1)</f>
        <v>College</v>
      </c>
      <c r="T318" t="str">
        <f>_xlfn.XLOOKUP(G318,Lookup_Tables!$D$2:$D$5,Lookup_Tables!$E$2:$E$5)</f>
        <v>High</v>
      </c>
      <c r="U318" t="str">
        <f>_xlfn.XLOOKUP(H318,Lookup_Tables!$D$2:$D$5,Lookup_Tables!$E$2:$E$5)</f>
        <v>High</v>
      </c>
      <c r="V318" t="str">
        <f>_xlfn.XLOOKUP(L318,Lookup_Tables!$D$2:$D$5,Lookup_Tables!$E$2:$E$5)</f>
        <v>High</v>
      </c>
    </row>
    <row r="319" spans="1:22">
      <c r="A319">
        <f>RAW_DATA!A319</f>
        <v>52</v>
      </c>
      <c r="B319" t="str">
        <f>RAW_DATA!B319</f>
        <v>Yes</v>
      </c>
      <c r="C319" t="str">
        <f>RAW_DATA!C319</f>
        <v>Research &amp; Development</v>
      </c>
      <c r="D319">
        <f>RAW_DATA!D319</f>
        <v>8</v>
      </c>
      <c r="E319">
        <f>RAW_DATA!E319</f>
        <v>4</v>
      </c>
      <c r="F319" t="str">
        <f>RAW_DATA!F319</f>
        <v>Medical</v>
      </c>
      <c r="G319">
        <f>RAW_DATA!G319</f>
        <v>3</v>
      </c>
      <c r="H319">
        <f>RAW_DATA!H319</f>
        <v>2</v>
      </c>
      <c r="I319" t="str">
        <f>RAW_DATA!I319</f>
        <v>Married</v>
      </c>
      <c r="J319">
        <f>RAW_DATA!J319</f>
        <v>4941</v>
      </c>
      <c r="K319">
        <f>RAW_DATA!K319</f>
        <v>2</v>
      </c>
      <c r="L319">
        <f>RAW_DATA!L319</f>
        <v>2</v>
      </c>
      <c r="M319">
        <f>RAW_DATA!M319</f>
        <v>8</v>
      </c>
      <c r="N319">
        <f t="shared" si="8"/>
        <v>1</v>
      </c>
      <c r="O319" t="str">
        <f xml:space="preserve"> VLOOKUP(A319, Lookup_Tables!$G$2:$H$6,2,TRUE)</f>
        <v>45-54</v>
      </c>
      <c r="P319" t="str">
        <f>_xlfn.XLOOKUP(J319,Lookup_Tables!$J$2:$J$4,Lookup_Tables!$K$2:$K$4, " ",-1)</f>
        <v>Medium</v>
      </c>
      <c r="Q319" t="str">
        <f xml:space="preserve"> _xlfn.XLOOKUP(M319, Lookup_Tables!$M$2:$M$5,Lookup_Tables!$N$2:$N$5," ", -1)</f>
        <v>Established (5-10)</v>
      </c>
      <c r="R319" s="4">
        <f t="shared" si="9"/>
        <v>2.3333333333333335</v>
      </c>
      <c r="S319" t="str">
        <f xml:space="preserve"> _xlfn.XLOOKUP( E319, Lookup_Tables!$A$2:$A$6,Lookup_Tables!$B$2:$B$6," ", -1)</f>
        <v>Master</v>
      </c>
      <c r="T319" t="str">
        <f>_xlfn.XLOOKUP(G319,Lookup_Tables!$D$2:$D$5,Lookup_Tables!$E$2:$E$5)</f>
        <v>High</v>
      </c>
      <c r="U319" t="str">
        <f>_xlfn.XLOOKUP(H319,Lookup_Tables!$D$2:$D$5,Lookup_Tables!$E$2:$E$5)</f>
        <v>Medium</v>
      </c>
      <c r="V319" t="str">
        <f>_xlfn.XLOOKUP(L319,Lookup_Tables!$D$2:$D$5,Lookup_Tables!$E$2:$E$5)</f>
        <v>Medium</v>
      </c>
    </row>
    <row r="320" spans="1:22">
      <c r="A320">
        <f>RAW_DATA!A320</f>
        <v>27</v>
      </c>
      <c r="B320" t="str">
        <f>RAW_DATA!B320</f>
        <v>No</v>
      </c>
      <c r="C320" t="str">
        <f>RAW_DATA!C320</f>
        <v>Research &amp; Development</v>
      </c>
      <c r="D320">
        <f>RAW_DATA!D320</f>
        <v>5</v>
      </c>
      <c r="E320">
        <f>RAW_DATA!E320</f>
        <v>3</v>
      </c>
      <c r="F320" t="str">
        <f>RAW_DATA!F320</f>
        <v>Life Sciences</v>
      </c>
      <c r="G320">
        <f>RAW_DATA!G320</f>
        <v>3</v>
      </c>
      <c r="H320">
        <f>RAW_DATA!H320</f>
        <v>2</v>
      </c>
      <c r="I320" t="str">
        <f>RAW_DATA!I320</f>
        <v>Single</v>
      </c>
      <c r="J320">
        <f>RAW_DATA!J320</f>
        <v>2478</v>
      </c>
      <c r="K320">
        <f>RAW_DATA!K320</f>
        <v>1</v>
      </c>
      <c r="L320">
        <f>RAW_DATA!L320</f>
        <v>2</v>
      </c>
      <c r="M320">
        <f>RAW_DATA!M320</f>
        <v>4</v>
      </c>
      <c r="N320">
        <f t="shared" si="8"/>
        <v>0</v>
      </c>
      <c r="O320" t="str">
        <f xml:space="preserve"> VLOOKUP(A320, Lookup_Tables!$G$2:$H$6,2,TRUE)</f>
        <v>25-34</v>
      </c>
      <c r="P320" t="str">
        <f>_xlfn.XLOOKUP(J320,Lookup_Tables!$J$2:$J$4,Lookup_Tables!$K$2:$K$4, " ",-1)</f>
        <v>Low</v>
      </c>
      <c r="Q320" t="str">
        <f xml:space="preserve"> _xlfn.XLOOKUP(M320, Lookup_Tables!$M$2:$M$5,Lookup_Tables!$N$2:$N$5," ", -1)</f>
        <v>Early (2-5)</v>
      </c>
      <c r="R320" s="4">
        <f t="shared" si="9"/>
        <v>2.3333333333333335</v>
      </c>
      <c r="S320" t="str">
        <f xml:space="preserve"> _xlfn.XLOOKUP( E320, Lookup_Tables!$A$2:$A$6,Lookup_Tables!$B$2:$B$6," ", -1)</f>
        <v>Bachelor</v>
      </c>
      <c r="T320" t="str">
        <f>_xlfn.XLOOKUP(G320,Lookup_Tables!$D$2:$D$5,Lookup_Tables!$E$2:$E$5)</f>
        <v>High</v>
      </c>
      <c r="U320" t="str">
        <f>_xlfn.XLOOKUP(H320,Lookup_Tables!$D$2:$D$5,Lookup_Tables!$E$2:$E$5)</f>
        <v>Medium</v>
      </c>
      <c r="V320" t="str">
        <f>_xlfn.XLOOKUP(L320,Lookup_Tables!$D$2:$D$5,Lookup_Tables!$E$2:$E$5)</f>
        <v>Medium</v>
      </c>
    </row>
    <row r="321" spans="1:22">
      <c r="A321">
        <f>RAW_DATA!A321</f>
        <v>32</v>
      </c>
      <c r="B321" t="str">
        <f>RAW_DATA!B321</f>
        <v>No</v>
      </c>
      <c r="C321" t="str">
        <f>RAW_DATA!C321</f>
        <v>Sales</v>
      </c>
      <c r="D321">
        <f>RAW_DATA!D321</f>
        <v>8</v>
      </c>
      <c r="E321">
        <f>RAW_DATA!E321</f>
        <v>2</v>
      </c>
      <c r="F321" t="str">
        <f>RAW_DATA!F321</f>
        <v>Technical Degree</v>
      </c>
      <c r="G321">
        <f>RAW_DATA!G321</f>
        <v>3</v>
      </c>
      <c r="H321">
        <f>RAW_DATA!H321</f>
        <v>2</v>
      </c>
      <c r="I321" t="str">
        <f>RAW_DATA!I321</f>
        <v>Married</v>
      </c>
      <c r="J321">
        <f>RAW_DATA!J321</f>
        <v>5228</v>
      </c>
      <c r="K321">
        <f>RAW_DATA!K321</f>
        <v>1</v>
      </c>
      <c r="L321">
        <f>RAW_DATA!L321</f>
        <v>3</v>
      </c>
      <c r="M321">
        <f>RAW_DATA!M321</f>
        <v>13</v>
      </c>
      <c r="N321">
        <f t="shared" si="8"/>
        <v>0</v>
      </c>
      <c r="O321" t="str">
        <f xml:space="preserve"> VLOOKUP(A321, Lookup_Tables!$G$2:$H$6,2,TRUE)</f>
        <v>25-34</v>
      </c>
      <c r="P321" t="str">
        <f>_xlfn.XLOOKUP(J321,Lookup_Tables!$J$2:$J$4,Lookup_Tables!$K$2:$K$4, " ",-1)</f>
        <v>Medium</v>
      </c>
      <c r="Q321" t="str">
        <f xml:space="preserve"> _xlfn.XLOOKUP(M321, Lookup_Tables!$M$2:$M$5,Lookup_Tables!$N$2:$N$5," ", -1)</f>
        <v>Veteran (10+)</v>
      </c>
      <c r="R321" s="4">
        <f t="shared" si="9"/>
        <v>2.6666666666666665</v>
      </c>
      <c r="S321" t="str">
        <f xml:space="preserve"> _xlfn.XLOOKUP( E321, Lookup_Tables!$A$2:$A$6,Lookup_Tables!$B$2:$B$6," ", -1)</f>
        <v>College</v>
      </c>
      <c r="T321" t="str">
        <f>_xlfn.XLOOKUP(G321,Lookup_Tables!$D$2:$D$5,Lookup_Tables!$E$2:$E$5)</f>
        <v>High</v>
      </c>
      <c r="U321" t="str">
        <f>_xlfn.XLOOKUP(H321,Lookup_Tables!$D$2:$D$5,Lookup_Tables!$E$2:$E$5)</f>
        <v>Medium</v>
      </c>
      <c r="V321" t="str">
        <f>_xlfn.XLOOKUP(L321,Lookup_Tables!$D$2:$D$5,Lookup_Tables!$E$2:$E$5)</f>
        <v>High</v>
      </c>
    </row>
    <row r="322" spans="1:22">
      <c r="A322">
        <f>RAW_DATA!A322</f>
        <v>27</v>
      </c>
      <c r="B322" t="str">
        <f>RAW_DATA!B322</f>
        <v>No</v>
      </c>
      <c r="C322" t="str">
        <f>RAW_DATA!C322</f>
        <v>Sales</v>
      </c>
      <c r="D322">
        <f>RAW_DATA!D322</f>
        <v>2</v>
      </c>
      <c r="E322">
        <f>RAW_DATA!E322</f>
        <v>3</v>
      </c>
      <c r="F322" t="str">
        <f>RAW_DATA!F322</f>
        <v>Life Sciences</v>
      </c>
      <c r="G322">
        <f>RAW_DATA!G322</f>
        <v>4</v>
      </c>
      <c r="H322">
        <f>RAW_DATA!H322</f>
        <v>3</v>
      </c>
      <c r="I322" t="str">
        <f>RAW_DATA!I322</f>
        <v>Single</v>
      </c>
      <c r="J322">
        <f>RAW_DATA!J322</f>
        <v>4478</v>
      </c>
      <c r="K322">
        <f>RAW_DATA!K322</f>
        <v>1</v>
      </c>
      <c r="L322">
        <f>RAW_DATA!L322</f>
        <v>3</v>
      </c>
      <c r="M322">
        <f>RAW_DATA!M322</f>
        <v>5</v>
      </c>
      <c r="N322">
        <f t="shared" si="8"/>
        <v>0</v>
      </c>
      <c r="O322" t="str">
        <f xml:space="preserve"> VLOOKUP(A322, Lookup_Tables!$G$2:$H$6,2,TRUE)</f>
        <v>25-34</v>
      </c>
      <c r="P322" t="str">
        <f>_xlfn.XLOOKUP(J322,Lookup_Tables!$J$2:$J$4,Lookup_Tables!$K$2:$K$4, " ",-1)</f>
        <v>Medium</v>
      </c>
      <c r="Q322" t="str">
        <f xml:space="preserve"> _xlfn.XLOOKUP(M322, Lookup_Tables!$M$2:$M$5,Lookup_Tables!$N$2:$N$5," ", -1)</f>
        <v>Established (5-10)</v>
      </c>
      <c r="R322" s="4">
        <f t="shared" si="9"/>
        <v>3.3333333333333335</v>
      </c>
      <c r="S322" t="str">
        <f xml:space="preserve"> _xlfn.XLOOKUP( E322, Lookup_Tables!$A$2:$A$6,Lookup_Tables!$B$2:$B$6," ", -1)</f>
        <v>Bachelor</v>
      </c>
      <c r="T322" t="str">
        <f>_xlfn.XLOOKUP(G322,Lookup_Tables!$D$2:$D$5,Lookup_Tables!$E$2:$E$5)</f>
        <v>Very High</v>
      </c>
      <c r="U322" t="str">
        <f>_xlfn.XLOOKUP(H322,Lookup_Tables!$D$2:$D$5,Lookup_Tables!$E$2:$E$5)</f>
        <v>High</v>
      </c>
      <c r="V322" t="str">
        <f>_xlfn.XLOOKUP(L322,Lookup_Tables!$D$2:$D$5,Lookup_Tables!$E$2:$E$5)</f>
        <v>High</v>
      </c>
    </row>
    <row r="323" spans="1:22">
      <c r="A323">
        <f>RAW_DATA!A323</f>
        <v>31</v>
      </c>
      <c r="B323" t="str">
        <f>RAW_DATA!B323</f>
        <v>No</v>
      </c>
      <c r="C323" t="str">
        <f>RAW_DATA!C323</f>
        <v>Sales</v>
      </c>
      <c r="D323">
        <f>RAW_DATA!D323</f>
        <v>7</v>
      </c>
      <c r="E323">
        <f>RAW_DATA!E323</f>
        <v>3</v>
      </c>
      <c r="F323" t="str">
        <f>RAW_DATA!F323</f>
        <v>Marketing</v>
      </c>
      <c r="G323">
        <f>RAW_DATA!G323</f>
        <v>4</v>
      </c>
      <c r="H323">
        <f>RAW_DATA!H323</f>
        <v>4</v>
      </c>
      <c r="I323" t="str">
        <f>RAW_DATA!I323</f>
        <v>Divorced</v>
      </c>
      <c r="J323">
        <f>RAW_DATA!J323</f>
        <v>7547</v>
      </c>
      <c r="K323">
        <f>RAW_DATA!K323</f>
        <v>4</v>
      </c>
      <c r="L323">
        <f>RAW_DATA!L323</f>
        <v>3</v>
      </c>
      <c r="M323">
        <f>RAW_DATA!M323</f>
        <v>7</v>
      </c>
      <c r="N323">
        <f t="shared" ref="N323:N386" si="10" xml:space="preserve"> IF(B323 ="Yes",1,0)</f>
        <v>0</v>
      </c>
      <c r="O323" t="str">
        <f xml:space="preserve"> VLOOKUP(A323, Lookup_Tables!$G$2:$H$6,2,TRUE)</f>
        <v>25-34</v>
      </c>
      <c r="P323" t="str">
        <f>_xlfn.XLOOKUP(J323,Lookup_Tables!$J$2:$J$4,Lookup_Tables!$K$2:$K$4, " ",-1)</f>
        <v>High</v>
      </c>
      <c r="Q323" t="str">
        <f xml:space="preserve"> _xlfn.XLOOKUP(M323, Lookup_Tables!$M$2:$M$5,Lookup_Tables!$N$2:$N$5," ", -1)</f>
        <v>Established (5-10)</v>
      </c>
      <c r="R323" s="4">
        <f t="shared" ref="R323:R386" si="11">AVERAGE(G323,H323,L323)</f>
        <v>3.6666666666666665</v>
      </c>
      <c r="S323" t="str">
        <f xml:space="preserve"> _xlfn.XLOOKUP( E323, Lookup_Tables!$A$2:$A$6,Lookup_Tables!$B$2:$B$6," ", -1)</f>
        <v>Bachelor</v>
      </c>
      <c r="T323" t="str">
        <f>_xlfn.XLOOKUP(G323,Lookup_Tables!$D$2:$D$5,Lookup_Tables!$E$2:$E$5)</f>
        <v>Very High</v>
      </c>
      <c r="U323" t="str">
        <f>_xlfn.XLOOKUP(H323,Lookup_Tables!$D$2:$D$5,Lookup_Tables!$E$2:$E$5)</f>
        <v>Very High</v>
      </c>
      <c r="V323" t="str">
        <f>_xlfn.XLOOKUP(L323,Lookup_Tables!$D$2:$D$5,Lookup_Tables!$E$2:$E$5)</f>
        <v>High</v>
      </c>
    </row>
    <row r="324" spans="1:22">
      <c r="A324">
        <f>RAW_DATA!A324</f>
        <v>32</v>
      </c>
      <c r="B324" t="str">
        <f>RAW_DATA!B324</f>
        <v>No</v>
      </c>
      <c r="C324" t="str">
        <f>RAW_DATA!C324</f>
        <v>Research &amp; Development</v>
      </c>
      <c r="D324">
        <f>RAW_DATA!D324</f>
        <v>2</v>
      </c>
      <c r="E324">
        <f>RAW_DATA!E324</f>
        <v>4</v>
      </c>
      <c r="F324" t="str">
        <f>RAW_DATA!F324</f>
        <v>Medical</v>
      </c>
      <c r="G324">
        <f>RAW_DATA!G324</f>
        <v>1</v>
      </c>
      <c r="H324">
        <f>RAW_DATA!H324</f>
        <v>4</v>
      </c>
      <c r="I324" t="str">
        <f>RAW_DATA!I324</f>
        <v>Single</v>
      </c>
      <c r="J324">
        <f>RAW_DATA!J324</f>
        <v>5055</v>
      </c>
      <c r="K324">
        <f>RAW_DATA!K324</f>
        <v>7</v>
      </c>
      <c r="L324">
        <f>RAW_DATA!L324</f>
        <v>2</v>
      </c>
      <c r="M324">
        <f>RAW_DATA!M324</f>
        <v>7</v>
      </c>
      <c r="N324">
        <f t="shared" si="10"/>
        <v>0</v>
      </c>
      <c r="O324" t="str">
        <f xml:space="preserve"> VLOOKUP(A324, Lookup_Tables!$G$2:$H$6,2,TRUE)</f>
        <v>25-34</v>
      </c>
      <c r="P324" t="str">
        <f>_xlfn.XLOOKUP(J324,Lookup_Tables!$J$2:$J$4,Lookup_Tables!$K$2:$K$4, " ",-1)</f>
        <v>Medium</v>
      </c>
      <c r="Q324" t="str">
        <f xml:space="preserve"> _xlfn.XLOOKUP(M324, Lookup_Tables!$M$2:$M$5,Lookup_Tables!$N$2:$N$5," ", -1)</f>
        <v>Established (5-10)</v>
      </c>
      <c r="R324" s="4">
        <f t="shared" si="11"/>
        <v>2.3333333333333335</v>
      </c>
      <c r="S324" t="str">
        <f xml:space="preserve"> _xlfn.XLOOKUP( E324, Lookup_Tables!$A$2:$A$6,Lookup_Tables!$B$2:$B$6," ", -1)</f>
        <v>Master</v>
      </c>
      <c r="T324" t="str">
        <f>_xlfn.XLOOKUP(G324,Lookup_Tables!$D$2:$D$5,Lookup_Tables!$E$2:$E$5)</f>
        <v>Low</v>
      </c>
      <c r="U324" t="str">
        <f>_xlfn.XLOOKUP(H324,Lookup_Tables!$D$2:$D$5,Lookup_Tables!$E$2:$E$5)</f>
        <v>Very High</v>
      </c>
      <c r="V324" t="str">
        <f>_xlfn.XLOOKUP(L324,Lookup_Tables!$D$2:$D$5,Lookup_Tables!$E$2:$E$5)</f>
        <v>Medium</v>
      </c>
    </row>
    <row r="325" spans="1:22">
      <c r="A325">
        <f>RAW_DATA!A325</f>
        <v>28</v>
      </c>
      <c r="B325" t="str">
        <f>RAW_DATA!B325</f>
        <v>Yes</v>
      </c>
      <c r="C325" t="str">
        <f>RAW_DATA!C325</f>
        <v>Research &amp; Development</v>
      </c>
      <c r="D325">
        <f>RAW_DATA!D325</f>
        <v>2</v>
      </c>
      <c r="E325">
        <f>RAW_DATA!E325</f>
        <v>4</v>
      </c>
      <c r="F325" t="str">
        <f>RAW_DATA!F325</f>
        <v>Medical</v>
      </c>
      <c r="G325">
        <f>RAW_DATA!G325</f>
        <v>1</v>
      </c>
      <c r="H325">
        <f>RAW_DATA!H325</f>
        <v>4</v>
      </c>
      <c r="I325" t="str">
        <f>RAW_DATA!I325</f>
        <v>Married</v>
      </c>
      <c r="J325">
        <f>RAW_DATA!J325</f>
        <v>3464</v>
      </c>
      <c r="K325">
        <f>RAW_DATA!K325</f>
        <v>5</v>
      </c>
      <c r="L325">
        <f>RAW_DATA!L325</f>
        <v>2</v>
      </c>
      <c r="M325">
        <f>RAW_DATA!M325</f>
        <v>3</v>
      </c>
      <c r="N325">
        <f t="shared" si="10"/>
        <v>1</v>
      </c>
      <c r="O325" t="str">
        <f xml:space="preserve"> VLOOKUP(A325, Lookup_Tables!$G$2:$H$6,2,TRUE)</f>
        <v>25-34</v>
      </c>
      <c r="P325" t="str">
        <f>_xlfn.XLOOKUP(J325,Lookup_Tables!$J$2:$J$4,Lookup_Tables!$K$2:$K$4, " ",-1)</f>
        <v>Medium</v>
      </c>
      <c r="Q325" t="str">
        <f xml:space="preserve"> _xlfn.XLOOKUP(M325, Lookup_Tables!$M$2:$M$5,Lookup_Tables!$N$2:$N$5," ", -1)</f>
        <v>Early (2-5)</v>
      </c>
      <c r="R325" s="4">
        <f t="shared" si="11"/>
        <v>2.3333333333333335</v>
      </c>
      <c r="S325" t="str">
        <f xml:space="preserve"> _xlfn.XLOOKUP( E325, Lookup_Tables!$A$2:$A$6,Lookup_Tables!$B$2:$B$6," ", -1)</f>
        <v>Master</v>
      </c>
      <c r="T325" t="str">
        <f>_xlfn.XLOOKUP(G325,Lookup_Tables!$D$2:$D$5,Lookup_Tables!$E$2:$E$5)</f>
        <v>Low</v>
      </c>
      <c r="U325" t="str">
        <f>_xlfn.XLOOKUP(H325,Lookup_Tables!$D$2:$D$5,Lookup_Tables!$E$2:$E$5)</f>
        <v>Very High</v>
      </c>
      <c r="V325" t="str">
        <f>_xlfn.XLOOKUP(L325,Lookup_Tables!$D$2:$D$5,Lookup_Tables!$E$2:$E$5)</f>
        <v>Medium</v>
      </c>
    </row>
    <row r="326" spans="1:22">
      <c r="A326">
        <f>RAW_DATA!A326</f>
        <v>30</v>
      </c>
      <c r="B326" t="str">
        <f>RAW_DATA!B326</f>
        <v>No</v>
      </c>
      <c r="C326" t="str">
        <f>RAW_DATA!C326</f>
        <v>Research &amp; Development</v>
      </c>
      <c r="D326">
        <f>RAW_DATA!D326</f>
        <v>28</v>
      </c>
      <c r="E326">
        <f>RAW_DATA!E326</f>
        <v>2</v>
      </c>
      <c r="F326" t="str">
        <f>RAW_DATA!F326</f>
        <v>Medical</v>
      </c>
      <c r="G326">
        <f>RAW_DATA!G326</f>
        <v>4</v>
      </c>
      <c r="H326">
        <f>RAW_DATA!H326</f>
        <v>4</v>
      </c>
      <c r="I326" t="str">
        <f>RAW_DATA!I326</f>
        <v>Married</v>
      </c>
      <c r="J326">
        <f>RAW_DATA!J326</f>
        <v>5775</v>
      </c>
      <c r="K326">
        <f>RAW_DATA!K326</f>
        <v>1</v>
      </c>
      <c r="L326">
        <f>RAW_DATA!L326</f>
        <v>3</v>
      </c>
      <c r="M326">
        <f>RAW_DATA!M326</f>
        <v>10</v>
      </c>
      <c r="N326">
        <f t="shared" si="10"/>
        <v>0</v>
      </c>
      <c r="O326" t="str">
        <f xml:space="preserve"> VLOOKUP(A326, Lookup_Tables!$G$2:$H$6,2,TRUE)</f>
        <v>25-34</v>
      </c>
      <c r="P326" t="str">
        <f>_xlfn.XLOOKUP(J326,Lookup_Tables!$J$2:$J$4,Lookup_Tables!$K$2:$K$4, " ",-1)</f>
        <v>Medium</v>
      </c>
      <c r="Q326" t="str">
        <f xml:space="preserve"> _xlfn.XLOOKUP(M326, Lookup_Tables!$M$2:$M$5,Lookup_Tables!$N$2:$N$5," ", -1)</f>
        <v>Veteran (10+)</v>
      </c>
      <c r="R326" s="4">
        <f t="shared" si="11"/>
        <v>3.6666666666666665</v>
      </c>
      <c r="S326" t="str">
        <f xml:space="preserve"> _xlfn.XLOOKUP( E326, Lookup_Tables!$A$2:$A$6,Lookup_Tables!$B$2:$B$6," ", -1)</f>
        <v>College</v>
      </c>
      <c r="T326" t="str">
        <f>_xlfn.XLOOKUP(G326,Lookup_Tables!$D$2:$D$5,Lookup_Tables!$E$2:$E$5)</f>
        <v>Very High</v>
      </c>
      <c r="U326" t="str">
        <f>_xlfn.XLOOKUP(H326,Lookup_Tables!$D$2:$D$5,Lookup_Tables!$E$2:$E$5)</f>
        <v>Very High</v>
      </c>
      <c r="V326" t="str">
        <f>_xlfn.XLOOKUP(L326,Lookup_Tables!$D$2:$D$5,Lookup_Tables!$E$2:$E$5)</f>
        <v>High</v>
      </c>
    </row>
    <row r="327" spans="1:22">
      <c r="A327">
        <f>RAW_DATA!A327</f>
        <v>31</v>
      </c>
      <c r="B327" t="str">
        <f>RAW_DATA!B327</f>
        <v>No</v>
      </c>
      <c r="C327" t="str">
        <f>RAW_DATA!C327</f>
        <v>Research &amp; Development</v>
      </c>
      <c r="D327">
        <f>RAW_DATA!D327</f>
        <v>7</v>
      </c>
      <c r="E327">
        <f>RAW_DATA!E327</f>
        <v>2</v>
      </c>
      <c r="F327" t="str">
        <f>RAW_DATA!F327</f>
        <v>Life Sciences</v>
      </c>
      <c r="G327">
        <f>RAW_DATA!G327</f>
        <v>3</v>
      </c>
      <c r="H327">
        <f>RAW_DATA!H327</f>
        <v>3</v>
      </c>
      <c r="I327" t="str">
        <f>RAW_DATA!I327</f>
        <v>Married</v>
      </c>
      <c r="J327">
        <f>RAW_DATA!J327</f>
        <v>8943</v>
      </c>
      <c r="K327">
        <f>RAW_DATA!K327</f>
        <v>1</v>
      </c>
      <c r="L327">
        <f>RAW_DATA!L327</f>
        <v>3</v>
      </c>
      <c r="M327">
        <f>RAW_DATA!M327</f>
        <v>10</v>
      </c>
      <c r="N327">
        <f t="shared" si="10"/>
        <v>0</v>
      </c>
      <c r="O327" t="str">
        <f xml:space="preserve"> VLOOKUP(A327, Lookup_Tables!$G$2:$H$6,2,TRUE)</f>
        <v>25-34</v>
      </c>
      <c r="P327" t="str">
        <f>_xlfn.XLOOKUP(J327,Lookup_Tables!$J$2:$J$4,Lookup_Tables!$K$2:$K$4, " ",-1)</f>
        <v>High</v>
      </c>
      <c r="Q327" t="str">
        <f xml:space="preserve"> _xlfn.XLOOKUP(M327, Lookup_Tables!$M$2:$M$5,Lookup_Tables!$N$2:$N$5," ", -1)</f>
        <v>Veteran (10+)</v>
      </c>
      <c r="R327" s="4">
        <f t="shared" si="11"/>
        <v>3</v>
      </c>
      <c r="S327" t="str">
        <f xml:space="preserve"> _xlfn.XLOOKUP( E327, Lookup_Tables!$A$2:$A$6,Lookup_Tables!$B$2:$B$6," ", -1)</f>
        <v>College</v>
      </c>
      <c r="T327" t="str">
        <f>_xlfn.XLOOKUP(G327,Lookup_Tables!$D$2:$D$5,Lookup_Tables!$E$2:$E$5)</f>
        <v>High</v>
      </c>
      <c r="U327" t="str">
        <f>_xlfn.XLOOKUP(H327,Lookup_Tables!$D$2:$D$5,Lookup_Tables!$E$2:$E$5)</f>
        <v>High</v>
      </c>
      <c r="V327" t="str">
        <f>_xlfn.XLOOKUP(L327,Lookup_Tables!$D$2:$D$5,Lookup_Tables!$E$2:$E$5)</f>
        <v>High</v>
      </c>
    </row>
    <row r="328" spans="1:22">
      <c r="A328">
        <f>RAW_DATA!A328</f>
        <v>39</v>
      </c>
      <c r="B328" t="str">
        <f>RAW_DATA!B328</f>
        <v>No</v>
      </c>
      <c r="C328" t="str">
        <f>RAW_DATA!C328</f>
        <v>Research &amp; Development</v>
      </c>
      <c r="D328">
        <f>RAW_DATA!D328</f>
        <v>7</v>
      </c>
      <c r="E328">
        <f>RAW_DATA!E328</f>
        <v>2</v>
      </c>
      <c r="F328" t="str">
        <f>RAW_DATA!F328</f>
        <v>Medical</v>
      </c>
      <c r="G328">
        <f>RAW_DATA!G328</f>
        <v>3</v>
      </c>
      <c r="H328">
        <f>RAW_DATA!H328</f>
        <v>4</v>
      </c>
      <c r="I328" t="str">
        <f>RAW_DATA!I328</f>
        <v>Married</v>
      </c>
      <c r="J328">
        <f>RAW_DATA!J328</f>
        <v>19272</v>
      </c>
      <c r="K328">
        <f>RAW_DATA!K328</f>
        <v>1</v>
      </c>
      <c r="L328">
        <f>RAW_DATA!L328</f>
        <v>3</v>
      </c>
      <c r="M328">
        <f>RAW_DATA!M328</f>
        <v>21</v>
      </c>
      <c r="N328">
        <f t="shared" si="10"/>
        <v>0</v>
      </c>
      <c r="O328" t="str">
        <f xml:space="preserve"> VLOOKUP(A328, Lookup_Tables!$G$2:$H$6,2,TRUE)</f>
        <v>35-44</v>
      </c>
      <c r="P328" t="str">
        <f>_xlfn.XLOOKUP(J328,Lookup_Tables!$J$2:$J$4,Lookup_Tables!$K$2:$K$4, " ",-1)</f>
        <v>High</v>
      </c>
      <c r="Q328" t="str">
        <f xml:space="preserve"> _xlfn.XLOOKUP(M328, Lookup_Tables!$M$2:$M$5,Lookup_Tables!$N$2:$N$5," ", -1)</f>
        <v>Veteran (10+)</v>
      </c>
      <c r="R328" s="4">
        <f t="shared" si="11"/>
        <v>3.3333333333333335</v>
      </c>
      <c r="S328" t="str">
        <f xml:space="preserve"> _xlfn.XLOOKUP( E328, Lookup_Tables!$A$2:$A$6,Lookup_Tables!$B$2:$B$6," ", -1)</f>
        <v>College</v>
      </c>
      <c r="T328" t="str">
        <f>_xlfn.XLOOKUP(G328,Lookup_Tables!$D$2:$D$5,Lookup_Tables!$E$2:$E$5)</f>
        <v>High</v>
      </c>
      <c r="U328" t="str">
        <f>_xlfn.XLOOKUP(H328,Lookup_Tables!$D$2:$D$5,Lookup_Tables!$E$2:$E$5)</f>
        <v>Very High</v>
      </c>
      <c r="V328" t="str">
        <f>_xlfn.XLOOKUP(L328,Lookup_Tables!$D$2:$D$5,Lookup_Tables!$E$2:$E$5)</f>
        <v>High</v>
      </c>
    </row>
    <row r="329" spans="1:22">
      <c r="A329">
        <f>RAW_DATA!A329</f>
        <v>39</v>
      </c>
      <c r="B329" t="str">
        <f>RAW_DATA!B329</f>
        <v>Yes</v>
      </c>
      <c r="C329" t="str">
        <f>RAW_DATA!C329</f>
        <v>Sales</v>
      </c>
      <c r="D329">
        <f>RAW_DATA!D329</f>
        <v>3</v>
      </c>
      <c r="E329">
        <f>RAW_DATA!E329</f>
        <v>2</v>
      </c>
      <c r="F329" t="str">
        <f>RAW_DATA!F329</f>
        <v>Medical</v>
      </c>
      <c r="G329">
        <f>RAW_DATA!G329</f>
        <v>4</v>
      </c>
      <c r="H329">
        <f>RAW_DATA!H329</f>
        <v>3</v>
      </c>
      <c r="I329" t="str">
        <f>RAW_DATA!I329</f>
        <v>Married</v>
      </c>
      <c r="J329">
        <f>RAW_DATA!J329</f>
        <v>5238</v>
      </c>
      <c r="K329">
        <f>RAW_DATA!K329</f>
        <v>4</v>
      </c>
      <c r="L329">
        <f>RAW_DATA!L329</f>
        <v>2</v>
      </c>
      <c r="M329">
        <f>RAW_DATA!M329</f>
        <v>1</v>
      </c>
      <c r="N329">
        <f t="shared" si="10"/>
        <v>1</v>
      </c>
      <c r="O329" t="str">
        <f xml:space="preserve"> VLOOKUP(A329, Lookup_Tables!$G$2:$H$6,2,TRUE)</f>
        <v>35-44</v>
      </c>
      <c r="P329" t="str">
        <f>_xlfn.XLOOKUP(J329,Lookup_Tables!$J$2:$J$4,Lookup_Tables!$K$2:$K$4, " ",-1)</f>
        <v>Medium</v>
      </c>
      <c r="Q329" t="str">
        <f xml:space="preserve"> _xlfn.XLOOKUP(M329, Lookup_Tables!$M$2:$M$5,Lookup_Tables!$N$2:$N$5," ", -1)</f>
        <v>New (0-2)</v>
      </c>
      <c r="R329" s="4">
        <f t="shared" si="11"/>
        <v>3</v>
      </c>
      <c r="S329" t="str">
        <f xml:space="preserve"> _xlfn.XLOOKUP( E329, Lookup_Tables!$A$2:$A$6,Lookup_Tables!$B$2:$B$6," ", -1)</f>
        <v>College</v>
      </c>
      <c r="T329" t="str">
        <f>_xlfn.XLOOKUP(G329,Lookup_Tables!$D$2:$D$5,Lookup_Tables!$E$2:$E$5)</f>
        <v>Very High</v>
      </c>
      <c r="U329" t="str">
        <f>_xlfn.XLOOKUP(H329,Lookup_Tables!$D$2:$D$5,Lookup_Tables!$E$2:$E$5)</f>
        <v>High</v>
      </c>
      <c r="V329" t="str">
        <f>_xlfn.XLOOKUP(L329,Lookup_Tables!$D$2:$D$5,Lookup_Tables!$E$2:$E$5)</f>
        <v>Medium</v>
      </c>
    </row>
    <row r="330" spans="1:22">
      <c r="A330">
        <f>RAW_DATA!A330</f>
        <v>33</v>
      </c>
      <c r="B330" t="str">
        <f>RAW_DATA!B330</f>
        <v>No</v>
      </c>
      <c r="C330" t="str">
        <f>RAW_DATA!C330</f>
        <v>Sales</v>
      </c>
      <c r="D330">
        <f>RAW_DATA!D330</f>
        <v>10</v>
      </c>
      <c r="E330">
        <f>RAW_DATA!E330</f>
        <v>3</v>
      </c>
      <c r="F330" t="str">
        <f>RAW_DATA!F330</f>
        <v>Marketing</v>
      </c>
      <c r="G330">
        <f>RAW_DATA!G330</f>
        <v>2</v>
      </c>
      <c r="H330">
        <f>RAW_DATA!H330</f>
        <v>4</v>
      </c>
      <c r="I330" t="str">
        <f>RAW_DATA!I330</f>
        <v>Single</v>
      </c>
      <c r="J330">
        <f>RAW_DATA!J330</f>
        <v>4682</v>
      </c>
      <c r="K330">
        <f>RAW_DATA!K330</f>
        <v>3</v>
      </c>
      <c r="L330">
        <f>RAW_DATA!L330</f>
        <v>2</v>
      </c>
      <c r="M330">
        <f>RAW_DATA!M330</f>
        <v>7</v>
      </c>
      <c r="N330">
        <f t="shared" si="10"/>
        <v>0</v>
      </c>
      <c r="O330" t="str">
        <f xml:space="preserve"> VLOOKUP(A330, Lookup_Tables!$G$2:$H$6,2,TRUE)</f>
        <v>25-34</v>
      </c>
      <c r="P330" t="str">
        <f>_xlfn.XLOOKUP(J330,Lookup_Tables!$J$2:$J$4,Lookup_Tables!$K$2:$K$4, " ",-1)</f>
        <v>Medium</v>
      </c>
      <c r="Q330" t="str">
        <f xml:space="preserve"> _xlfn.XLOOKUP(M330, Lookup_Tables!$M$2:$M$5,Lookup_Tables!$N$2:$N$5," ", -1)</f>
        <v>Established (5-10)</v>
      </c>
      <c r="R330" s="4">
        <f t="shared" si="11"/>
        <v>2.6666666666666665</v>
      </c>
      <c r="S330" t="str">
        <f xml:space="preserve"> _xlfn.XLOOKUP( E330, Lookup_Tables!$A$2:$A$6,Lookup_Tables!$B$2:$B$6," ", -1)</f>
        <v>Bachelor</v>
      </c>
      <c r="T330" t="str">
        <f>_xlfn.XLOOKUP(G330,Lookup_Tables!$D$2:$D$5,Lookup_Tables!$E$2:$E$5)</f>
        <v>Medium</v>
      </c>
      <c r="U330" t="str">
        <f>_xlfn.XLOOKUP(H330,Lookup_Tables!$D$2:$D$5,Lookup_Tables!$E$2:$E$5)</f>
        <v>Very High</v>
      </c>
      <c r="V330" t="str">
        <f>_xlfn.XLOOKUP(L330,Lookup_Tables!$D$2:$D$5,Lookup_Tables!$E$2:$E$5)</f>
        <v>Medium</v>
      </c>
    </row>
    <row r="331" spans="1:22">
      <c r="A331">
        <f>RAW_DATA!A331</f>
        <v>47</v>
      </c>
      <c r="B331" t="str">
        <f>RAW_DATA!B331</f>
        <v>No</v>
      </c>
      <c r="C331" t="str">
        <f>RAW_DATA!C331</f>
        <v>Research &amp; Development</v>
      </c>
      <c r="D331">
        <f>RAW_DATA!D331</f>
        <v>5</v>
      </c>
      <c r="E331">
        <f>RAW_DATA!E331</f>
        <v>5</v>
      </c>
      <c r="F331" t="str">
        <f>RAW_DATA!F331</f>
        <v>Life Sciences</v>
      </c>
      <c r="G331">
        <f>RAW_DATA!G331</f>
        <v>4</v>
      </c>
      <c r="H331">
        <f>RAW_DATA!H331</f>
        <v>3</v>
      </c>
      <c r="I331" t="str">
        <f>RAW_DATA!I331</f>
        <v>Married</v>
      </c>
      <c r="J331">
        <f>RAW_DATA!J331</f>
        <v>18300</v>
      </c>
      <c r="K331">
        <f>RAW_DATA!K331</f>
        <v>4</v>
      </c>
      <c r="L331">
        <f>RAW_DATA!L331</f>
        <v>3</v>
      </c>
      <c r="M331">
        <f>RAW_DATA!M331</f>
        <v>3</v>
      </c>
      <c r="N331">
        <f t="shared" si="10"/>
        <v>0</v>
      </c>
      <c r="O331" t="str">
        <f xml:space="preserve"> VLOOKUP(A331, Lookup_Tables!$G$2:$H$6,2,TRUE)</f>
        <v>45-54</v>
      </c>
      <c r="P331" t="str">
        <f>_xlfn.XLOOKUP(J331,Lookup_Tables!$J$2:$J$4,Lookup_Tables!$K$2:$K$4, " ",-1)</f>
        <v>High</v>
      </c>
      <c r="Q331" t="str">
        <f xml:space="preserve"> _xlfn.XLOOKUP(M331, Lookup_Tables!$M$2:$M$5,Lookup_Tables!$N$2:$N$5," ", -1)</f>
        <v>Early (2-5)</v>
      </c>
      <c r="R331" s="4">
        <f t="shared" si="11"/>
        <v>3.3333333333333335</v>
      </c>
      <c r="S331" t="str">
        <f xml:space="preserve"> _xlfn.XLOOKUP( E331, Lookup_Tables!$A$2:$A$6,Lookup_Tables!$B$2:$B$6," ", -1)</f>
        <v>Doctor</v>
      </c>
      <c r="T331" t="str">
        <f>_xlfn.XLOOKUP(G331,Lookup_Tables!$D$2:$D$5,Lookup_Tables!$E$2:$E$5)</f>
        <v>Very High</v>
      </c>
      <c r="U331" t="str">
        <f>_xlfn.XLOOKUP(H331,Lookup_Tables!$D$2:$D$5,Lookup_Tables!$E$2:$E$5)</f>
        <v>High</v>
      </c>
      <c r="V331" t="str">
        <f>_xlfn.XLOOKUP(L331,Lookup_Tables!$D$2:$D$5,Lookup_Tables!$E$2:$E$5)</f>
        <v>High</v>
      </c>
    </row>
    <row r="332" spans="1:22">
      <c r="A332">
        <f>RAW_DATA!A332</f>
        <v>43</v>
      </c>
      <c r="B332" t="str">
        <f>RAW_DATA!B332</f>
        <v>No</v>
      </c>
      <c r="C332" t="str">
        <f>RAW_DATA!C332</f>
        <v>Research &amp; Development</v>
      </c>
      <c r="D332">
        <f>RAW_DATA!D332</f>
        <v>10</v>
      </c>
      <c r="E332">
        <f>RAW_DATA!E332</f>
        <v>4</v>
      </c>
      <c r="F332" t="str">
        <f>RAW_DATA!F332</f>
        <v>Life Sciences</v>
      </c>
      <c r="G332">
        <f>RAW_DATA!G332</f>
        <v>3</v>
      </c>
      <c r="H332">
        <f>RAW_DATA!H332</f>
        <v>3</v>
      </c>
      <c r="I332" t="str">
        <f>RAW_DATA!I332</f>
        <v>Divorced</v>
      </c>
      <c r="J332">
        <f>RAW_DATA!J332</f>
        <v>5257</v>
      </c>
      <c r="K332">
        <f>RAW_DATA!K332</f>
        <v>1</v>
      </c>
      <c r="L332">
        <f>RAW_DATA!L332</f>
        <v>4</v>
      </c>
      <c r="M332">
        <f>RAW_DATA!M332</f>
        <v>9</v>
      </c>
      <c r="N332">
        <f t="shared" si="10"/>
        <v>0</v>
      </c>
      <c r="O332" t="str">
        <f xml:space="preserve"> VLOOKUP(A332, Lookup_Tables!$G$2:$H$6,2,TRUE)</f>
        <v>35-44</v>
      </c>
      <c r="P332" t="str">
        <f>_xlfn.XLOOKUP(J332,Lookup_Tables!$J$2:$J$4,Lookup_Tables!$K$2:$K$4, " ",-1)</f>
        <v>Medium</v>
      </c>
      <c r="Q332" t="str">
        <f xml:space="preserve"> _xlfn.XLOOKUP(M332, Lookup_Tables!$M$2:$M$5,Lookup_Tables!$N$2:$N$5," ", -1)</f>
        <v>Established (5-10)</v>
      </c>
      <c r="R332" s="4">
        <f t="shared" si="11"/>
        <v>3.3333333333333335</v>
      </c>
      <c r="S332" t="str">
        <f xml:space="preserve"> _xlfn.XLOOKUP( E332, Lookup_Tables!$A$2:$A$6,Lookup_Tables!$B$2:$B$6," ", -1)</f>
        <v>Master</v>
      </c>
      <c r="T332" t="str">
        <f>_xlfn.XLOOKUP(G332,Lookup_Tables!$D$2:$D$5,Lookup_Tables!$E$2:$E$5)</f>
        <v>High</v>
      </c>
      <c r="U332" t="str">
        <f>_xlfn.XLOOKUP(H332,Lookup_Tables!$D$2:$D$5,Lookup_Tables!$E$2:$E$5)</f>
        <v>High</v>
      </c>
      <c r="V332" t="str">
        <f>_xlfn.XLOOKUP(L332,Lookup_Tables!$D$2:$D$5,Lookup_Tables!$E$2:$E$5)</f>
        <v>Very High</v>
      </c>
    </row>
    <row r="333" spans="1:22">
      <c r="A333">
        <f>RAW_DATA!A333</f>
        <v>27</v>
      </c>
      <c r="B333" t="str">
        <f>RAW_DATA!B333</f>
        <v>No</v>
      </c>
      <c r="C333" t="str">
        <f>RAW_DATA!C333</f>
        <v>Sales</v>
      </c>
      <c r="D333">
        <f>RAW_DATA!D333</f>
        <v>1</v>
      </c>
      <c r="E333">
        <f>RAW_DATA!E333</f>
        <v>1</v>
      </c>
      <c r="F333" t="str">
        <f>RAW_DATA!F333</f>
        <v>Marketing</v>
      </c>
      <c r="G333">
        <f>RAW_DATA!G333</f>
        <v>3</v>
      </c>
      <c r="H333">
        <f>RAW_DATA!H333</f>
        <v>2</v>
      </c>
      <c r="I333" t="str">
        <f>RAW_DATA!I333</f>
        <v>Married</v>
      </c>
      <c r="J333">
        <f>RAW_DATA!J333</f>
        <v>6349</v>
      </c>
      <c r="K333">
        <f>RAW_DATA!K333</f>
        <v>0</v>
      </c>
      <c r="L333">
        <f>RAW_DATA!L333</f>
        <v>3</v>
      </c>
      <c r="M333">
        <f>RAW_DATA!M333</f>
        <v>5</v>
      </c>
      <c r="N333">
        <f t="shared" si="10"/>
        <v>0</v>
      </c>
      <c r="O333" t="str">
        <f xml:space="preserve"> VLOOKUP(A333, Lookup_Tables!$G$2:$H$6,2,TRUE)</f>
        <v>25-34</v>
      </c>
      <c r="P333" t="str">
        <f>_xlfn.XLOOKUP(J333,Lookup_Tables!$J$2:$J$4,Lookup_Tables!$K$2:$K$4, " ",-1)</f>
        <v>Medium</v>
      </c>
      <c r="Q333" t="str">
        <f xml:space="preserve"> _xlfn.XLOOKUP(M333, Lookup_Tables!$M$2:$M$5,Lookup_Tables!$N$2:$N$5," ", -1)</f>
        <v>Established (5-10)</v>
      </c>
      <c r="R333" s="4">
        <f t="shared" si="11"/>
        <v>2.6666666666666665</v>
      </c>
      <c r="S333" t="str">
        <f xml:space="preserve"> _xlfn.XLOOKUP( E333, Lookup_Tables!$A$2:$A$6,Lookup_Tables!$B$2:$B$6," ", -1)</f>
        <v>Below College</v>
      </c>
      <c r="T333" t="str">
        <f>_xlfn.XLOOKUP(G333,Lookup_Tables!$D$2:$D$5,Lookup_Tables!$E$2:$E$5)</f>
        <v>High</v>
      </c>
      <c r="U333" t="str">
        <f>_xlfn.XLOOKUP(H333,Lookup_Tables!$D$2:$D$5,Lookup_Tables!$E$2:$E$5)</f>
        <v>Medium</v>
      </c>
      <c r="V333" t="str">
        <f>_xlfn.XLOOKUP(L333,Lookup_Tables!$D$2:$D$5,Lookup_Tables!$E$2:$E$5)</f>
        <v>High</v>
      </c>
    </row>
    <row r="334" spans="1:22">
      <c r="A334">
        <f>RAW_DATA!A334</f>
        <v>54</v>
      </c>
      <c r="B334" t="str">
        <f>RAW_DATA!B334</f>
        <v>No</v>
      </c>
      <c r="C334" t="str">
        <f>RAW_DATA!C334</f>
        <v>Research &amp; Development</v>
      </c>
      <c r="D334">
        <f>RAW_DATA!D334</f>
        <v>20</v>
      </c>
      <c r="E334">
        <f>RAW_DATA!E334</f>
        <v>4</v>
      </c>
      <c r="F334" t="str">
        <f>RAW_DATA!F334</f>
        <v>Life Sciences</v>
      </c>
      <c r="G334">
        <f>RAW_DATA!G334</f>
        <v>4</v>
      </c>
      <c r="H334">
        <f>RAW_DATA!H334</f>
        <v>3</v>
      </c>
      <c r="I334" t="str">
        <f>RAW_DATA!I334</f>
        <v>Single</v>
      </c>
      <c r="J334">
        <f>RAW_DATA!J334</f>
        <v>4869</v>
      </c>
      <c r="K334">
        <f>RAW_DATA!K334</f>
        <v>3</v>
      </c>
      <c r="L334">
        <f>RAW_DATA!L334</f>
        <v>2</v>
      </c>
      <c r="M334">
        <f>RAW_DATA!M334</f>
        <v>4</v>
      </c>
      <c r="N334">
        <f t="shared" si="10"/>
        <v>0</v>
      </c>
      <c r="O334" t="str">
        <f xml:space="preserve"> VLOOKUP(A334, Lookup_Tables!$G$2:$H$6,2,TRUE)</f>
        <v>45-54</v>
      </c>
      <c r="P334" t="str">
        <f>_xlfn.XLOOKUP(J334,Lookup_Tables!$J$2:$J$4,Lookup_Tables!$K$2:$K$4, " ",-1)</f>
        <v>Medium</v>
      </c>
      <c r="Q334" t="str">
        <f xml:space="preserve"> _xlfn.XLOOKUP(M334, Lookup_Tables!$M$2:$M$5,Lookup_Tables!$N$2:$N$5," ", -1)</f>
        <v>Early (2-5)</v>
      </c>
      <c r="R334" s="4">
        <f t="shared" si="11"/>
        <v>3</v>
      </c>
      <c r="S334" t="str">
        <f xml:space="preserve"> _xlfn.XLOOKUP( E334, Lookup_Tables!$A$2:$A$6,Lookup_Tables!$B$2:$B$6," ", -1)</f>
        <v>Master</v>
      </c>
      <c r="T334" t="str">
        <f>_xlfn.XLOOKUP(G334,Lookup_Tables!$D$2:$D$5,Lookup_Tables!$E$2:$E$5)</f>
        <v>Very High</v>
      </c>
      <c r="U334" t="str">
        <f>_xlfn.XLOOKUP(H334,Lookup_Tables!$D$2:$D$5,Lookup_Tables!$E$2:$E$5)</f>
        <v>High</v>
      </c>
      <c r="V334" t="str">
        <f>_xlfn.XLOOKUP(L334,Lookup_Tables!$D$2:$D$5,Lookup_Tables!$E$2:$E$5)</f>
        <v>Medium</v>
      </c>
    </row>
    <row r="335" spans="1:22">
      <c r="A335">
        <f>RAW_DATA!A335</f>
        <v>43</v>
      </c>
      <c r="B335" t="str">
        <f>RAW_DATA!B335</f>
        <v>No</v>
      </c>
      <c r="C335" t="str">
        <f>RAW_DATA!C335</f>
        <v>Research &amp; Development</v>
      </c>
      <c r="D335">
        <f>RAW_DATA!D335</f>
        <v>7</v>
      </c>
      <c r="E335">
        <f>RAW_DATA!E335</f>
        <v>3</v>
      </c>
      <c r="F335" t="str">
        <f>RAW_DATA!F335</f>
        <v>Life Sciences</v>
      </c>
      <c r="G335">
        <f>RAW_DATA!G335</f>
        <v>3</v>
      </c>
      <c r="H335">
        <f>RAW_DATA!H335</f>
        <v>1</v>
      </c>
      <c r="I335" t="str">
        <f>RAW_DATA!I335</f>
        <v>Married</v>
      </c>
      <c r="J335">
        <f>RAW_DATA!J335</f>
        <v>9985</v>
      </c>
      <c r="K335">
        <f>RAW_DATA!K335</f>
        <v>8</v>
      </c>
      <c r="L335">
        <f>RAW_DATA!L335</f>
        <v>2</v>
      </c>
      <c r="M335">
        <f>RAW_DATA!M335</f>
        <v>1</v>
      </c>
      <c r="N335">
        <f t="shared" si="10"/>
        <v>0</v>
      </c>
      <c r="O335" t="str">
        <f xml:space="preserve"> VLOOKUP(A335, Lookup_Tables!$G$2:$H$6,2,TRUE)</f>
        <v>35-44</v>
      </c>
      <c r="P335" t="str">
        <f>_xlfn.XLOOKUP(J335,Lookup_Tables!$J$2:$J$4,Lookup_Tables!$K$2:$K$4, " ",-1)</f>
        <v>High</v>
      </c>
      <c r="Q335" t="str">
        <f xml:space="preserve"> _xlfn.XLOOKUP(M335, Lookup_Tables!$M$2:$M$5,Lookup_Tables!$N$2:$N$5," ", -1)</f>
        <v>New (0-2)</v>
      </c>
      <c r="R335" s="4">
        <f t="shared" si="11"/>
        <v>2</v>
      </c>
      <c r="S335" t="str">
        <f xml:space="preserve"> _xlfn.XLOOKUP( E335, Lookup_Tables!$A$2:$A$6,Lookup_Tables!$B$2:$B$6," ", -1)</f>
        <v>Bachelor</v>
      </c>
      <c r="T335" t="str">
        <f>_xlfn.XLOOKUP(G335,Lookup_Tables!$D$2:$D$5,Lookup_Tables!$E$2:$E$5)</f>
        <v>High</v>
      </c>
      <c r="U335" t="str">
        <f>_xlfn.XLOOKUP(H335,Lookup_Tables!$D$2:$D$5,Lookup_Tables!$E$2:$E$5)</f>
        <v>Low</v>
      </c>
      <c r="V335" t="str">
        <f>_xlfn.XLOOKUP(L335,Lookup_Tables!$D$2:$D$5,Lookup_Tables!$E$2:$E$5)</f>
        <v>Medium</v>
      </c>
    </row>
    <row r="336" spans="1:22">
      <c r="A336">
        <f>RAW_DATA!A336</f>
        <v>45</v>
      </c>
      <c r="B336" t="str">
        <f>RAW_DATA!B336</f>
        <v>No</v>
      </c>
      <c r="C336" t="str">
        <f>RAW_DATA!C336</f>
        <v>Research &amp; Development</v>
      </c>
      <c r="D336">
        <f>RAW_DATA!D336</f>
        <v>8</v>
      </c>
      <c r="E336">
        <f>RAW_DATA!E336</f>
        <v>4</v>
      </c>
      <c r="F336" t="str">
        <f>RAW_DATA!F336</f>
        <v>Other</v>
      </c>
      <c r="G336">
        <f>RAW_DATA!G336</f>
        <v>4</v>
      </c>
      <c r="H336">
        <f>RAW_DATA!H336</f>
        <v>4</v>
      </c>
      <c r="I336" t="str">
        <f>RAW_DATA!I336</f>
        <v>Married</v>
      </c>
      <c r="J336">
        <f>RAW_DATA!J336</f>
        <v>3697</v>
      </c>
      <c r="K336">
        <f>RAW_DATA!K336</f>
        <v>9</v>
      </c>
      <c r="L336">
        <f>RAW_DATA!L336</f>
        <v>3</v>
      </c>
      <c r="M336">
        <f>RAW_DATA!M336</f>
        <v>10</v>
      </c>
      <c r="N336">
        <f t="shared" si="10"/>
        <v>0</v>
      </c>
      <c r="O336" t="str">
        <f xml:space="preserve"> VLOOKUP(A336, Lookup_Tables!$G$2:$H$6,2,TRUE)</f>
        <v>45-54</v>
      </c>
      <c r="P336" t="str">
        <f>_xlfn.XLOOKUP(J336,Lookup_Tables!$J$2:$J$4,Lookup_Tables!$K$2:$K$4, " ",-1)</f>
        <v>Medium</v>
      </c>
      <c r="Q336" t="str">
        <f xml:space="preserve"> _xlfn.XLOOKUP(M336, Lookup_Tables!$M$2:$M$5,Lookup_Tables!$N$2:$N$5," ", -1)</f>
        <v>Veteran (10+)</v>
      </c>
      <c r="R336" s="4">
        <f t="shared" si="11"/>
        <v>3.6666666666666665</v>
      </c>
      <c r="S336" t="str">
        <f xml:space="preserve"> _xlfn.XLOOKUP( E336, Lookup_Tables!$A$2:$A$6,Lookup_Tables!$B$2:$B$6," ", -1)</f>
        <v>Master</v>
      </c>
      <c r="T336" t="str">
        <f>_xlfn.XLOOKUP(G336,Lookup_Tables!$D$2:$D$5,Lookup_Tables!$E$2:$E$5)</f>
        <v>Very High</v>
      </c>
      <c r="U336" t="str">
        <f>_xlfn.XLOOKUP(H336,Lookup_Tables!$D$2:$D$5,Lookup_Tables!$E$2:$E$5)</f>
        <v>Very High</v>
      </c>
      <c r="V336" t="str">
        <f>_xlfn.XLOOKUP(L336,Lookup_Tables!$D$2:$D$5,Lookup_Tables!$E$2:$E$5)</f>
        <v>High</v>
      </c>
    </row>
    <row r="337" spans="1:22">
      <c r="A337">
        <f>RAW_DATA!A337</f>
        <v>40</v>
      </c>
      <c r="B337" t="str">
        <f>RAW_DATA!B337</f>
        <v>No</v>
      </c>
      <c r="C337" t="str">
        <f>RAW_DATA!C337</f>
        <v>Sales</v>
      </c>
      <c r="D337">
        <f>RAW_DATA!D337</f>
        <v>1</v>
      </c>
      <c r="E337">
        <f>RAW_DATA!E337</f>
        <v>2</v>
      </c>
      <c r="F337" t="str">
        <f>RAW_DATA!F337</f>
        <v>Medical</v>
      </c>
      <c r="G337">
        <f>RAW_DATA!G337</f>
        <v>2</v>
      </c>
      <c r="H337">
        <f>RAW_DATA!H337</f>
        <v>4</v>
      </c>
      <c r="I337" t="str">
        <f>RAW_DATA!I337</f>
        <v>Married</v>
      </c>
      <c r="J337">
        <f>RAW_DATA!J337</f>
        <v>7457</v>
      </c>
      <c r="K337">
        <f>RAW_DATA!K337</f>
        <v>2</v>
      </c>
      <c r="L337">
        <f>RAW_DATA!L337</f>
        <v>2</v>
      </c>
      <c r="M337">
        <f>RAW_DATA!M337</f>
        <v>4</v>
      </c>
      <c r="N337">
        <f t="shared" si="10"/>
        <v>0</v>
      </c>
      <c r="O337" t="str">
        <f xml:space="preserve"> VLOOKUP(A337, Lookup_Tables!$G$2:$H$6,2,TRUE)</f>
        <v>35-44</v>
      </c>
      <c r="P337" t="str">
        <f>_xlfn.XLOOKUP(J337,Lookup_Tables!$J$2:$J$4,Lookup_Tables!$K$2:$K$4, " ",-1)</f>
        <v>High</v>
      </c>
      <c r="Q337" t="str">
        <f xml:space="preserve"> _xlfn.XLOOKUP(M337, Lookup_Tables!$M$2:$M$5,Lookup_Tables!$N$2:$N$5," ", -1)</f>
        <v>Early (2-5)</v>
      </c>
      <c r="R337" s="4">
        <f t="shared" si="11"/>
        <v>2.6666666666666665</v>
      </c>
      <c r="S337" t="str">
        <f xml:space="preserve"> _xlfn.XLOOKUP( E337, Lookup_Tables!$A$2:$A$6,Lookup_Tables!$B$2:$B$6," ", -1)</f>
        <v>College</v>
      </c>
      <c r="T337" t="str">
        <f>_xlfn.XLOOKUP(G337,Lookup_Tables!$D$2:$D$5,Lookup_Tables!$E$2:$E$5)</f>
        <v>Medium</v>
      </c>
      <c r="U337" t="str">
        <f>_xlfn.XLOOKUP(H337,Lookup_Tables!$D$2:$D$5,Lookup_Tables!$E$2:$E$5)</f>
        <v>Very High</v>
      </c>
      <c r="V337" t="str">
        <f>_xlfn.XLOOKUP(L337,Lookup_Tables!$D$2:$D$5,Lookup_Tables!$E$2:$E$5)</f>
        <v>Medium</v>
      </c>
    </row>
    <row r="338" spans="1:22">
      <c r="A338">
        <f>RAW_DATA!A338</f>
        <v>29</v>
      </c>
      <c r="B338" t="str">
        <f>RAW_DATA!B338</f>
        <v>Yes</v>
      </c>
      <c r="C338" t="str">
        <f>RAW_DATA!C338</f>
        <v>Research &amp; Development</v>
      </c>
      <c r="D338">
        <f>RAW_DATA!D338</f>
        <v>8</v>
      </c>
      <c r="E338">
        <f>RAW_DATA!E338</f>
        <v>4</v>
      </c>
      <c r="F338" t="str">
        <f>RAW_DATA!F338</f>
        <v>Other</v>
      </c>
      <c r="G338">
        <f>RAW_DATA!G338</f>
        <v>2</v>
      </c>
      <c r="H338">
        <f>RAW_DATA!H338</f>
        <v>1</v>
      </c>
      <c r="I338" t="str">
        <f>RAW_DATA!I338</f>
        <v>Married</v>
      </c>
      <c r="J338">
        <f>RAW_DATA!J338</f>
        <v>2119</v>
      </c>
      <c r="K338">
        <f>RAW_DATA!K338</f>
        <v>1</v>
      </c>
      <c r="L338">
        <f>RAW_DATA!L338</f>
        <v>2</v>
      </c>
      <c r="M338">
        <f>RAW_DATA!M338</f>
        <v>7</v>
      </c>
      <c r="N338">
        <f t="shared" si="10"/>
        <v>1</v>
      </c>
      <c r="O338" t="str">
        <f xml:space="preserve"> VLOOKUP(A338, Lookup_Tables!$G$2:$H$6,2,TRUE)</f>
        <v>25-34</v>
      </c>
      <c r="P338" t="str">
        <f>_xlfn.XLOOKUP(J338,Lookup_Tables!$J$2:$J$4,Lookup_Tables!$K$2:$K$4, " ",-1)</f>
        <v>Low</v>
      </c>
      <c r="Q338" t="str">
        <f xml:space="preserve"> _xlfn.XLOOKUP(M338, Lookup_Tables!$M$2:$M$5,Lookup_Tables!$N$2:$N$5," ", -1)</f>
        <v>Established (5-10)</v>
      </c>
      <c r="R338" s="4">
        <f t="shared" si="11"/>
        <v>1.6666666666666667</v>
      </c>
      <c r="S338" t="str">
        <f xml:space="preserve"> _xlfn.XLOOKUP( E338, Lookup_Tables!$A$2:$A$6,Lookup_Tables!$B$2:$B$6," ", -1)</f>
        <v>Master</v>
      </c>
      <c r="T338" t="str">
        <f>_xlfn.XLOOKUP(G338,Lookup_Tables!$D$2:$D$5,Lookup_Tables!$E$2:$E$5)</f>
        <v>Medium</v>
      </c>
      <c r="U338" t="str">
        <f>_xlfn.XLOOKUP(H338,Lookup_Tables!$D$2:$D$5,Lookup_Tables!$E$2:$E$5)</f>
        <v>Low</v>
      </c>
      <c r="V338" t="str">
        <f>_xlfn.XLOOKUP(L338,Lookup_Tables!$D$2:$D$5,Lookup_Tables!$E$2:$E$5)</f>
        <v>Medium</v>
      </c>
    </row>
    <row r="339" spans="1:22">
      <c r="A339">
        <f>RAW_DATA!A339</f>
        <v>29</v>
      </c>
      <c r="B339" t="str">
        <f>RAW_DATA!B339</f>
        <v>No</v>
      </c>
      <c r="C339" t="str">
        <f>RAW_DATA!C339</f>
        <v>Research &amp; Development</v>
      </c>
      <c r="D339">
        <f>RAW_DATA!D339</f>
        <v>9</v>
      </c>
      <c r="E339">
        <f>RAW_DATA!E339</f>
        <v>5</v>
      </c>
      <c r="F339" t="str">
        <f>RAW_DATA!F339</f>
        <v>Other</v>
      </c>
      <c r="G339">
        <f>RAW_DATA!G339</f>
        <v>2</v>
      </c>
      <c r="H339">
        <f>RAW_DATA!H339</f>
        <v>4</v>
      </c>
      <c r="I339" t="str">
        <f>RAW_DATA!I339</f>
        <v>Single</v>
      </c>
      <c r="J339">
        <f>RAW_DATA!J339</f>
        <v>3983</v>
      </c>
      <c r="K339">
        <f>RAW_DATA!K339</f>
        <v>0</v>
      </c>
      <c r="L339">
        <f>RAW_DATA!L339</f>
        <v>3</v>
      </c>
      <c r="M339">
        <f>RAW_DATA!M339</f>
        <v>3</v>
      </c>
      <c r="N339">
        <f t="shared" si="10"/>
        <v>0</v>
      </c>
      <c r="O339" t="str">
        <f xml:space="preserve"> VLOOKUP(A339, Lookup_Tables!$G$2:$H$6,2,TRUE)</f>
        <v>25-34</v>
      </c>
      <c r="P339" t="str">
        <f>_xlfn.XLOOKUP(J339,Lookup_Tables!$J$2:$J$4,Lookup_Tables!$K$2:$K$4, " ",-1)</f>
        <v>Medium</v>
      </c>
      <c r="Q339" t="str">
        <f xml:space="preserve"> _xlfn.XLOOKUP(M339, Lookup_Tables!$M$2:$M$5,Lookup_Tables!$N$2:$N$5," ", -1)</f>
        <v>Early (2-5)</v>
      </c>
      <c r="R339" s="4">
        <f t="shared" si="11"/>
        <v>3</v>
      </c>
      <c r="S339" t="str">
        <f xml:space="preserve"> _xlfn.XLOOKUP( E339, Lookup_Tables!$A$2:$A$6,Lookup_Tables!$B$2:$B$6," ", -1)</f>
        <v>Doctor</v>
      </c>
      <c r="T339" t="str">
        <f>_xlfn.XLOOKUP(G339,Lookup_Tables!$D$2:$D$5,Lookup_Tables!$E$2:$E$5)</f>
        <v>Medium</v>
      </c>
      <c r="U339" t="str">
        <f>_xlfn.XLOOKUP(H339,Lookup_Tables!$D$2:$D$5,Lookup_Tables!$E$2:$E$5)</f>
        <v>Very High</v>
      </c>
      <c r="V339" t="str">
        <f>_xlfn.XLOOKUP(L339,Lookup_Tables!$D$2:$D$5,Lookup_Tables!$E$2:$E$5)</f>
        <v>High</v>
      </c>
    </row>
    <row r="340" spans="1:22">
      <c r="A340">
        <f>RAW_DATA!A340</f>
        <v>30</v>
      </c>
      <c r="B340" t="str">
        <f>RAW_DATA!B340</f>
        <v>No</v>
      </c>
      <c r="C340" t="str">
        <f>RAW_DATA!C340</f>
        <v>Sales</v>
      </c>
      <c r="D340">
        <f>RAW_DATA!D340</f>
        <v>5</v>
      </c>
      <c r="E340">
        <f>RAW_DATA!E340</f>
        <v>3</v>
      </c>
      <c r="F340" t="str">
        <f>RAW_DATA!F340</f>
        <v>Marketing</v>
      </c>
      <c r="G340">
        <f>RAW_DATA!G340</f>
        <v>4</v>
      </c>
      <c r="H340">
        <f>RAW_DATA!H340</f>
        <v>3</v>
      </c>
      <c r="I340" t="str">
        <f>RAW_DATA!I340</f>
        <v>Divorced</v>
      </c>
      <c r="J340">
        <f>RAW_DATA!J340</f>
        <v>6118</v>
      </c>
      <c r="K340">
        <f>RAW_DATA!K340</f>
        <v>1</v>
      </c>
      <c r="L340">
        <f>RAW_DATA!L340</f>
        <v>3</v>
      </c>
      <c r="M340">
        <f>RAW_DATA!M340</f>
        <v>10</v>
      </c>
      <c r="N340">
        <f t="shared" si="10"/>
        <v>0</v>
      </c>
      <c r="O340" t="str">
        <f xml:space="preserve"> VLOOKUP(A340, Lookup_Tables!$G$2:$H$6,2,TRUE)</f>
        <v>25-34</v>
      </c>
      <c r="P340" t="str">
        <f>_xlfn.XLOOKUP(J340,Lookup_Tables!$J$2:$J$4,Lookup_Tables!$K$2:$K$4, " ",-1)</f>
        <v>Medium</v>
      </c>
      <c r="Q340" t="str">
        <f xml:space="preserve"> _xlfn.XLOOKUP(M340, Lookup_Tables!$M$2:$M$5,Lookup_Tables!$N$2:$N$5," ", -1)</f>
        <v>Veteran (10+)</v>
      </c>
      <c r="R340" s="4">
        <f t="shared" si="11"/>
        <v>3.3333333333333335</v>
      </c>
      <c r="S340" t="str">
        <f xml:space="preserve"> _xlfn.XLOOKUP( E340, Lookup_Tables!$A$2:$A$6,Lookup_Tables!$B$2:$B$6," ", -1)</f>
        <v>Bachelor</v>
      </c>
      <c r="T340" t="str">
        <f>_xlfn.XLOOKUP(G340,Lookup_Tables!$D$2:$D$5,Lookup_Tables!$E$2:$E$5)</f>
        <v>Very High</v>
      </c>
      <c r="U340" t="str">
        <f>_xlfn.XLOOKUP(H340,Lookup_Tables!$D$2:$D$5,Lookup_Tables!$E$2:$E$5)</f>
        <v>High</v>
      </c>
      <c r="V340" t="str">
        <f>_xlfn.XLOOKUP(L340,Lookup_Tables!$D$2:$D$5,Lookup_Tables!$E$2:$E$5)</f>
        <v>High</v>
      </c>
    </row>
    <row r="341" spans="1:22">
      <c r="A341">
        <f>RAW_DATA!A341</f>
        <v>27</v>
      </c>
      <c r="B341" t="str">
        <f>RAW_DATA!B341</f>
        <v>No</v>
      </c>
      <c r="C341" t="str">
        <f>RAW_DATA!C341</f>
        <v>Sales</v>
      </c>
      <c r="D341">
        <f>RAW_DATA!D341</f>
        <v>8</v>
      </c>
      <c r="E341">
        <f>RAW_DATA!E341</f>
        <v>4</v>
      </c>
      <c r="F341" t="str">
        <f>RAW_DATA!F341</f>
        <v>Marketing</v>
      </c>
      <c r="G341">
        <f>RAW_DATA!G341</f>
        <v>2</v>
      </c>
      <c r="H341">
        <f>RAW_DATA!H341</f>
        <v>2</v>
      </c>
      <c r="I341" t="str">
        <f>RAW_DATA!I341</f>
        <v>Married</v>
      </c>
      <c r="J341">
        <f>RAW_DATA!J341</f>
        <v>6214</v>
      </c>
      <c r="K341">
        <f>RAW_DATA!K341</f>
        <v>1</v>
      </c>
      <c r="L341">
        <f>RAW_DATA!L341</f>
        <v>3</v>
      </c>
      <c r="M341">
        <f>RAW_DATA!M341</f>
        <v>8</v>
      </c>
      <c r="N341">
        <f t="shared" si="10"/>
        <v>0</v>
      </c>
      <c r="O341" t="str">
        <f xml:space="preserve"> VLOOKUP(A341, Lookup_Tables!$G$2:$H$6,2,TRUE)</f>
        <v>25-34</v>
      </c>
      <c r="P341" t="str">
        <f>_xlfn.XLOOKUP(J341,Lookup_Tables!$J$2:$J$4,Lookup_Tables!$K$2:$K$4, " ",-1)</f>
        <v>Medium</v>
      </c>
      <c r="Q341" t="str">
        <f xml:space="preserve"> _xlfn.XLOOKUP(M341, Lookup_Tables!$M$2:$M$5,Lookup_Tables!$N$2:$N$5," ", -1)</f>
        <v>Established (5-10)</v>
      </c>
      <c r="R341" s="4">
        <f t="shared" si="11"/>
        <v>2.3333333333333335</v>
      </c>
      <c r="S341" t="str">
        <f xml:space="preserve"> _xlfn.XLOOKUP( E341, Lookup_Tables!$A$2:$A$6,Lookup_Tables!$B$2:$B$6," ", -1)</f>
        <v>Master</v>
      </c>
      <c r="T341" t="str">
        <f>_xlfn.XLOOKUP(G341,Lookup_Tables!$D$2:$D$5,Lookup_Tables!$E$2:$E$5)</f>
        <v>Medium</v>
      </c>
      <c r="U341" t="str">
        <f>_xlfn.XLOOKUP(H341,Lookup_Tables!$D$2:$D$5,Lookup_Tables!$E$2:$E$5)</f>
        <v>Medium</v>
      </c>
      <c r="V341" t="str">
        <f>_xlfn.XLOOKUP(L341,Lookup_Tables!$D$2:$D$5,Lookup_Tables!$E$2:$E$5)</f>
        <v>High</v>
      </c>
    </row>
    <row r="342" spans="1:22">
      <c r="A342">
        <f>RAW_DATA!A342</f>
        <v>37</v>
      </c>
      <c r="B342" t="str">
        <f>RAW_DATA!B342</f>
        <v>No</v>
      </c>
      <c r="C342" t="str">
        <f>RAW_DATA!C342</f>
        <v>Research &amp; Development</v>
      </c>
      <c r="D342">
        <f>RAW_DATA!D342</f>
        <v>5</v>
      </c>
      <c r="E342">
        <f>RAW_DATA!E342</f>
        <v>2</v>
      </c>
      <c r="F342" t="str">
        <f>RAW_DATA!F342</f>
        <v>Medical</v>
      </c>
      <c r="G342">
        <f>RAW_DATA!G342</f>
        <v>4</v>
      </c>
      <c r="H342">
        <f>RAW_DATA!H342</f>
        <v>4</v>
      </c>
      <c r="I342" t="str">
        <f>RAW_DATA!I342</f>
        <v>Divorced</v>
      </c>
      <c r="J342">
        <f>RAW_DATA!J342</f>
        <v>6347</v>
      </c>
      <c r="K342">
        <f>RAW_DATA!K342</f>
        <v>7</v>
      </c>
      <c r="L342">
        <f>RAW_DATA!L342</f>
        <v>2</v>
      </c>
      <c r="M342">
        <f>RAW_DATA!M342</f>
        <v>6</v>
      </c>
      <c r="N342">
        <f t="shared" si="10"/>
        <v>0</v>
      </c>
      <c r="O342" t="str">
        <f xml:space="preserve"> VLOOKUP(A342, Lookup_Tables!$G$2:$H$6,2,TRUE)</f>
        <v>35-44</v>
      </c>
      <c r="P342" t="str">
        <f>_xlfn.XLOOKUP(J342,Lookup_Tables!$J$2:$J$4,Lookup_Tables!$K$2:$K$4, " ",-1)</f>
        <v>Medium</v>
      </c>
      <c r="Q342" t="str">
        <f xml:space="preserve"> _xlfn.XLOOKUP(M342, Lookup_Tables!$M$2:$M$5,Lookup_Tables!$N$2:$N$5," ", -1)</f>
        <v>Established (5-10)</v>
      </c>
      <c r="R342" s="4">
        <f t="shared" si="11"/>
        <v>3.3333333333333335</v>
      </c>
      <c r="S342" t="str">
        <f xml:space="preserve"> _xlfn.XLOOKUP( E342, Lookup_Tables!$A$2:$A$6,Lookup_Tables!$B$2:$B$6," ", -1)</f>
        <v>College</v>
      </c>
      <c r="T342" t="str">
        <f>_xlfn.XLOOKUP(G342,Lookup_Tables!$D$2:$D$5,Lookup_Tables!$E$2:$E$5)</f>
        <v>Very High</v>
      </c>
      <c r="U342" t="str">
        <f>_xlfn.XLOOKUP(H342,Lookup_Tables!$D$2:$D$5,Lookup_Tables!$E$2:$E$5)</f>
        <v>Very High</v>
      </c>
      <c r="V342" t="str">
        <f>_xlfn.XLOOKUP(L342,Lookup_Tables!$D$2:$D$5,Lookup_Tables!$E$2:$E$5)</f>
        <v>Medium</v>
      </c>
    </row>
    <row r="343" spans="1:22">
      <c r="A343">
        <f>RAW_DATA!A343</f>
        <v>38</v>
      </c>
      <c r="B343" t="str">
        <f>RAW_DATA!B343</f>
        <v>No</v>
      </c>
      <c r="C343" t="str">
        <f>RAW_DATA!C343</f>
        <v>Research &amp; Development</v>
      </c>
      <c r="D343">
        <f>RAW_DATA!D343</f>
        <v>15</v>
      </c>
      <c r="E343">
        <f>RAW_DATA!E343</f>
        <v>2</v>
      </c>
      <c r="F343" t="str">
        <f>RAW_DATA!F343</f>
        <v>Life Sciences</v>
      </c>
      <c r="G343">
        <f>RAW_DATA!G343</f>
        <v>3</v>
      </c>
      <c r="H343">
        <f>RAW_DATA!H343</f>
        <v>4</v>
      </c>
      <c r="I343" t="str">
        <f>RAW_DATA!I343</f>
        <v>Divorced</v>
      </c>
      <c r="J343">
        <f>RAW_DATA!J343</f>
        <v>11510</v>
      </c>
      <c r="K343">
        <f>RAW_DATA!K343</f>
        <v>0</v>
      </c>
      <c r="L343">
        <f>RAW_DATA!L343</f>
        <v>3</v>
      </c>
      <c r="M343">
        <f>RAW_DATA!M343</f>
        <v>11</v>
      </c>
      <c r="N343">
        <f t="shared" si="10"/>
        <v>0</v>
      </c>
      <c r="O343" t="str">
        <f xml:space="preserve"> VLOOKUP(A343, Lookup_Tables!$G$2:$H$6,2,TRUE)</f>
        <v>35-44</v>
      </c>
      <c r="P343" t="str">
        <f>_xlfn.XLOOKUP(J343,Lookup_Tables!$J$2:$J$4,Lookup_Tables!$K$2:$K$4, " ",-1)</f>
        <v>High</v>
      </c>
      <c r="Q343" t="str">
        <f xml:space="preserve"> _xlfn.XLOOKUP(M343, Lookup_Tables!$M$2:$M$5,Lookup_Tables!$N$2:$N$5," ", -1)</f>
        <v>Veteran (10+)</v>
      </c>
      <c r="R343" s="4">
        <f t="shared" si="11"/>
        <v>3.3333333333333335</v>
      </c>
      <c r="S343" t="str">
        <f xml:space="preserve"> _xlfn.XLOOKUP( E343, Lookup_Tables!$A$2:$A$6,Lookup_Tables!$B$2:$B$6," ", -1)</f>
        <v>College</v>
      </c>
      <c r="T343" t="str">
        <f>_xlfn.XLOOKUP(G343,Lookup_Tables!$D$2:$D$5,Lookup_Tables!$E$2:$E$5)</f>
        <v>High</v>
      </c>
      <c r="U343" t="str">
        <f>_xlfn.XLOOKUP(H343,Lookup_Tables!$D$2:$D$5,Lookup_Tables!$E$2:$E$5)</f>
        <v>Very High</v>
      </c>
      <c r="V343" t="str">
        <f>_xlfn.XLOOKUP(L343,Lookup_Tables!$D$2:$D$5,Lookup_Tables!$E$2:$E$5)</f>
        <v>High</v>
      </c>
    </row>
    <row r="344" spans="1:22">
      <c r="A344">
        <f>RAW_DATA!A344</f>
        <v>31</v>
      </c>
      <c r="B344" t="str">
        <f>RAW_DATA!B344</f>
        <v>No</v>
      </c>
      <c r="C344" t="str">
        <f>RAW_DATA!C344</f>
        <v>Research &amp; Development</v>
      </c>
      <c r="D344">
        <f>RAW_DATA!D344</f>
        <v>7</v>
      </c>
      <c r="E344">
        <f>RAW_DATA!E344</f>
        <v>4</v>
      </c>
      <c r="F344" t="str">
        <f>RAW_DATA!F344</f>
        <v>Medical</v>
      </c>
      <c r="G344">
        <f>RAW_DATA!G344</f>
        <v>3</v>
      </c>
      <c r="H344">
        <f>RAW_DATA!H344</f>
        <v>4</v>
      </c>
      <c r="I344" t="str">
        <f>RAW_DATA!I344</f>
        <v>Single</v>
      </c>
      <c r="J344">
        <f>RAW_DATA!J344</f>
        <v>7143</v>
      </c>
      <c r="K344">
        <f>RAW_DATA!K344</f>
        <v>1</v>
      </c>
      <c r="L344">
        <f>RAW_DATA!L344</f>
        <v>2</v>
      </c>
      <c r="M344">
        <f>RAW_DATA!M344</f>
        <v>11</v>
      </c>
      <c r="N344">
        <f t="shared" si="10"/>
        <v>0</v>
      </c>
      <c r="O344" t="str">
        <f xml:space="preserve"> VLOOKUP(A344, Lookup_Tables!$G$2:$H$6,2,TRUE)</f>
        <v>25-34</v>
      </c>
      <c r="P344" t="str">
        <f>_xlfn.XLOOKUP(J344,Lookup_Tables!$J$2:$J$4,Lookup_Tables!$K$2:$K$4, " ",-1)</f>
        <v>High</v>
      </c>
      <c r="Q344" t="str">
        <f xml:space="preserve"> _xlfn.XLOOKUP(M344, Lookup_Tables!$M$2:$M$5,Lookup_Tables!$N$2:$N$5," ", -1)</f>
        <v>Veteran (10+)</v>
      </c>
      <c r="R344" s="4">
        <f t="shared" si="11"/>
        <v>3</v>
      </c>
      <c r="S344" t="str">
        <f xml:space="preserve"> _xlfn.XLOOKUP( E344, Lookup_Tables!$A$2:$A$6,Lookup_Tables!$B$2:$B$6," ", -1)</f>
        <v>Master</v>
      </c>
      <c r="T344" t="str">
        <f>_xlfn.XLOOKUP(G344,Lookup_Tables!$D$2:$D$5,Lookup_Tables!$E$2:$E$5)</f>
        <v>High</v>
      </c>
      <c r="U344" t="str">
        <f>_xlfn.XLOOKUP(H344,Lookup_Tables!$D$2:$D$5,Lookup_Tables!$E$2:$E$5)</f>
        <v>Very High</v>
      </c>
      <c r="V344" t="str">
        <f>_xlfn.XLOOKUP(L344,Lookup_Tables!$D$2:$D$5,Lookup_Tables!$E$2:$E$5)</f>
        <v>Medium</v>
      </c>
    </row>
    <row r="345" spans="1:22">
      <c r="A345">
        <f>RAW_DATA!A345</f>
        <v>29</v>
      </c>
      <c r="B345" t="str">
        <f>RAW_DATA!B345</f>
        <v>No</v>
      </c>
      <c r="C345" t="str">
        <f>RAW_DATA!C345</f>
        <v>Sales</v>
      </c>
      <c r="D345">
        <f>RAW_DATA!D345</f>
        <v>10</v>
      </c>
      <c r="E345">
        <f>RAW_DATA!E345</f>
        <v>1</v>
      </c>
      <c r="F345" t="str">
        <f>RAW_DATA!F345</f>
        <v>Marketing</v>
      </c>
      <c r="G345">
        <f>RAW_DATA!G345</f>
        <v>4</v>
      </c>
      <c r="H345">
        <f>RAW_DATA!H345</f>
        <v>2</v>
      </c>
      <c r="I345" t="str">
        <f>RAW_DATA!I345</f>
        <v>Divorced</v>
      </c>
      <c r="J345">
        <f>RAW_DATA!J345</f>
        <v>8268</v>
      </c>
      <c r="K345">
        <f>RAW_DATA!K345</f>
        <v>1</v>
      </c>
      <c r="L345">
        <f>RAW_DATA!L345</f>
        <v>3</v>
      </c>
      <c r="M345">
        <f>RAW_DATA!M345</f>
        <v>7</v>
      </c>
      <c r="N345">
        <f t="shared" si="10"/>
        <v>0</v>
      </c>
      <c r="O345" t="str">
        <f xml:space="preserve"> VLOOKUP(A345, Lookup_Tables!$G$2:$H$6,2,TRUE)</f>
        <v>25-34</v>
      </c>
      <c r="P345" t="str">
        <f>_xlfn.XLOOKUP(J345,Lookup_Tables!$J$2:$J$4,Lookup_Tables!$K$2:$K$4, " ",-1)</f>
        <v>High</v>
      </c>
      <c r="Q345" t="str">
        <f xml:space="preserve"> _xlfn.XLOOKUP(M345, Lookup_Tables!$M$2:$M$5,Lookup_Tables!$N$2:$N$5," ", -1)</f>
        <v>Established (5-10)</v>
      </c>
      <c r="R345" s="4">
        <f t="shared" si="11"/>
        <v>3</v>
      </c>
      <c r="S345" t="str">
        <f xml:space="preserve"> _xlfn.XLOOKUP( E345, Lookup_Tables!$A$2:$A$6,Lookup_Tables!$B$2:$B$6," ", -1)</f>
        <v>Below College</v>
      </c>
      <c r="T345" t="str">
        <f>_xlfn.XLOOKUP(G345,Lookup_Tables!$D$2:$D$5,Lookup_Tables!$E$2:$E$5)</f>
        <v>Very High</v>
      </c>
      <c r="U345" t="str">
        <f>_xlfn.XLOOKUP(H345,Lookup_Tables!$D$2:$D$5,Lookup_Tables!$E$2:$E$5)</f>
        <v>Medium</v>
      </c>
      <c r="V345" t="str">
        <f>_xlfn.XLOOKUP(L345,Lookup_Tables!$D$2:$D$5,Lookup_Tables!$E$2:$E$5)</f>
        <v>High</v>
      </c>
    </row>
    <row r="346" spans="1:22">
      <c r="A346">
        <f>RAW_DATA!A346</f>
        <v>35</v>
      </c>
      <c r="B346" t="str">
        <f>RAW_DATA!B346</f>
        <v>No</v>
      </c>
      <c r="C346" t="str">
        <f>RAW_DATA!C346</f>
        <v>Research &amp; Development</v>
      </c>
      <c r="D346">
        <f>RAW_DATA!D346</f>
        <v>5</v>
      </c>
      <c r="E346">
        <f>RAW_DATA!E346</f>
        <v>4</v>
      </c>
      <c r="F346" t="str">
        <f>RAW_DATA!F346</f>
        <v>Technical Degree</v>
      </c>
      <c r="G346">
        <f>RAW_DATA!G346</f>
        <v>3</v>
      </c>
      <c r="H346">
        <f>RAW_DATA!H346</f>
        <v>2</v>
      </c>
      <c r="I346" t="str">
        <f>RAW_DATA!I346</f>
        <v>Single</v>
      </c>
      <c r="J346">
        <f>RAW_DATA!J346</f>
        <v>8095</v>
      </c>
      <c r="K346">
        <f>RAW_DATA!K346</f>
        <v>0</v>
      </c>
      <c r="L346">
        <f>RAW_DATA!L346</f>
        <v>3</v>
      </c>
      <c r="M346">
        <f>RAW_DATA!M346</f>
        <v>16</v>
      </c>
      <c r="N346">
        <f t="shared" si="10"/>
        <v>0</v>
      </c>
      <c r="O346" t="str">
        <f xml:space="preserve"> VLOOKUP(A346, Lookup_Tables!$G$2:$H$6,2,TRUE)</f>
        <v>35-44</v>
      </c>
      <c r="P346" t="str">
        <f>_xlfn.XLOOKUP(J346,Lookup_Tables!$J$2:$J$4,Lookup_Tables!$K$2:$K$4, " ",-1)</f>
        <v>High</v>
      </c>
      <c r="Q346" t="str">
        <f xml:space="preserve"> _xlfn.XLOOKUP(M346, Lookup_Tables!$M$2:$M$5,Lookup_Tables!$N$2:$N$5," ", -1)</f>
        <v>Veteran (10+)</v>
      </c>
      <c r="R346" s="4">
        <f t="shared" si="11"/>
        <v>2.6666666666666665</v>
      </c>
      <c r="S346" t="str">
        <f xml:space="preserve"> _xlfn.XLOOKUP( E346, Lookup_Tables!$A$2:$A$6,Lookup_Tables!$B$2:$B$6," ", -1)</f>
        <v>Master</v>
      </c>
      <c r="T346" t="str">
        <f>_xlfn.XLOOKUP(G346,Lookup_Tables!$D$2:$D$5,Lookup_Tables!$E$2:$E$5)</f>
        <v>High</v>
      </c>
      <c r="U346" t="str">
        <f>_xlfn.XLOOKUP(H346,Lookup_Tables!$D$2:$D$5,Lookup_Tables!$E$2:$E$5)</f>
        <v>Medium</v>
      </c>
      <c r="V346" t="str">
        <f>_xlfn.XLOOKUP(L346,Lookup_Tables!$D$2:$D$5,Lookup_Tables!$E$2:$E$5)</f>
        <v>High</v>
      </c>
    </row>
    <row r="347" spans="1:22">
      <c r="A347">
        <f>RAW_DATA!A347</f>
        <v>23</v>
      </c>
      <c r="B347" t="str">
        <f>RAW_DATA!B347</f>
        <v>No</v>
      </c>
      <c r="C347" t="str">
        <f>RAW_DATA!C347</f>
        <v>Research &amp; Development</v>
      </c>
      <c r="D347">
        <f>RAW_DATA!D347</f>
        <v>26</v>
      </c>
      <c r="E347">
        <f>RAW_DATA!E347</f>
        <v>1</v>
      </c>
      <c r="F347" t="str">
        <f>RAW_DATA!F347</f>
        <v>Life Sciences</v>
      </c>
      <c r="G347">
        <f>RAW_DATA!G347</f>
        <v>3</v>
      </c>
      <c r="H347">
        <f>RAW_DATA!H347</f>
        <v>4</v>
      </c>
      <c r="I347" t="str">
        <f>RAW_DATA!I347</f>
        <v>Divorced</v>
      </c>
      <c r="J347">
        <f>RAW_DATA!J347</f>
        <v>2904</v>
      </c>
      <c r="K347">
        <f>RAW_DATA!K347</f>
        <v>1</v>
      </c>
      <c r="L347">
        <f>RAW_DATA!L347</f>
        <v>2</v>
      </c>
      <c r="M347">
        <f>RAW_DATA!M347</f>
        <v>4</v>
      </c>
      <c r="N347">
        <f t="shared" si="10"/>
        <v>0</v>
      </c>
      <c r="O347" t="str">
        <f xml:space="preserve"> VLOOKUP(A347, Lookup_Tables!$G$2:$H$6,2,TRUE)</f>
        <v>&lt;25</v>
      </c>
      <c r="P347" t="str">
        <f>_xlfn.XLOOKUP(J347,Lookup_Tables!$J$2:$J$4,Lookup_Tables!$K$2:$K$4, " ",-1)</f>
        <v>Low</v>
      </c>
      <c r="Q347" t="str">
        <f xml:space="preserve"> _xlfn.XLOOKUP(M347, Lookup_Tables!$M$2:$M$5,Lookup_Tables!$N$2:$N$5," ", -1)</f>
        <v>Early (2-5)</v>
      </c>
      <c r="R347" s="4">
        <f t="shared" si="11"/>
        <v>3</v>
      </c>
      <c r="S347" t="str">
        <f xml:space="preserve"> _xlfn.XLOOKUP( E347, Lookup_Tables!$A$2:$A$6,Lookup_Tables!$B$2:$B$6," ", -1)</f>
        <v>Below College</v>
      </c>
      <c r="T347" t="str">
        <f>_xlfn.XLOOKUP(G347,Lookup_Tables!$D$2:$D$5,Lookup_Tables!$E$2:$E$5)</f>
        <v>High</v>
      </c>
      <c r="U347" t="str">
        <f>_xlfn.XLOOKUP(H347,Lookup_Tables!$D$2:$D$5,Lookup_Tables!$E$2:$E$5)</f>
        <v>Very High</v>
      </c>
      <c r="V347" t="str">
        <f>_xlfn.XLOOKUP(L347,Lookup_Tables!$D$2:$D$5,Lookup_Tables!$E$2:$E$5)</f>
        <v>Medium</v>
      </c>
    </row>
    <row r="348" spans="1:22">
      <c r="A348">
        <f>RAW_DATA!A348</f>
        <v>41</v>
      </c>
      <c r="B348" t="str">
        <f>RAW_DATA!B348</f>
        <v>No</v>
      </c>
      <c r="C348" t="str">
        <f>RAW_DATA!C348</f>
        <v>Research &amp; Development</v>
      </c>
      <c r="D348">
        <f>RAW_DATA!D348</f>
        <v>6</v>
      </c>
      <c r="E348">
        <f>RAW_DATA!E348</f>
        <v>3</v>
      </c>
      <c r="F348" t="str">
        <f>RAW_DATA!F348</f>
        <v>Medical</v>
      </c>
      <c r="G348">
        <f>RAW_DATA!G348</f>
        <v>4</v>
      </c>
      <c r="H348">
        <f>RAW_DATA!H348</f>
        <v>2</v>
      </c>
      <c r="I348" t="str">
        <f>RAW_DATA!I348</f>
        <v>Single</v>
      </c>
      <c r="J348">
        <f>RAW_DATA!J348</f>
        <v>6032</v>
      </c>
      <c r="K348">
        <f>RAW_DATA!K348</f>
        <v>6</v>
      </c>
      <c r="L348">
        <f>RAW_DATA!L348</f>
        <v>3</v>
      </c>
      <c r="M348">
        <f>RAW_DATA!M348</f>
        <v>5</v>
      </c>
      <c r="N348">
        <f t="shared" si="10"/>
        <v>0</v>
      </c>
      <c r="O348" t="str">
        <f xml:space="preserve"> VLOOKUP(A348, Lookup_Tables!$G$2:$H$6,2,TRUE)</f>
        <v>35-44</v>
      </c>
      <c r="P348" t="str">
        <f>_xlfn.XLOOKUP(J348,Lookup_Tables!$J$2:$J$4,Lookup_Tables!$K$2:$K$4, " ",-1)</f>
        <v>Medium</v>
      </c>
      <c r="Q348" t="str">
        <f xml:space="preserve"> _xlfn.XLOOKUP(M348, Lookup_Tables!$M$2:$M$5,Lookup_Tables!$N$2:$N$5," ", -1)</f>
        <v>Established (5-10)</v>
      </c>
      <c r="R348" s="4">
        <f t="shared" si="11"/>
        <v>3</v>
      </c>
      <c r="S348" t="str">
        <f xml:space="preserve"> _xlfn.XLOOKUP( E348, Lookup_Tables!$A$2:$A$6,Lookup_Tables!$B$2:$B$6," ", -1)</f>
        <v>Bachelor</v>
      </c>
      <c r="T348" t="str">
        <f>_xlfn.XLOOKUP(G348,Lookup_Tables!$D$2:$D$5,Lookup_Tables!$E$2:$E$5)</f>
        <v>Very High</v>
      </c>
      <c r="U348" t="str">
        <f>_xlfn.XLOOKUP(H348,Lookup_Tables!$D$2:$D$5,Lookup_Tables!$E$2:$E$5)</f>
        <v>Medium</v>
      </c>
      <c r="V348" t="str">
        <f>_xlfn.XLOOKUP(L348,Lookup_Tables!$D$2:$D$5,Lookup_Tables!$E$2:$E$5)</f>
        <v>High</v>
      </c>
    </row>
    <row r="349" spans="1:22">
      <c r="A349">
        <f>RAW_DATA!A349</f>
        <v>47</v>
      </c>
      <c r="B349" t="str">
        <f>RAW_DATA!B349</f>
        <v>No</v>
      </c>
      <c r="C349" t="str">
        <f>RAW_DATA!C349</f>
        <v>Sales</v>
      </c>
      <c r="D349">
        <f>RAW_DATA!D349</f>
        <v>4</v>
      </c>
      <c r="E349">
        <f>RAW_DATA!E349</f>
        <v>1</v>
      </c>
      <c r="F349" t="str">
        <f>RAW_DATA!F349</f>
        <v>Medical</v>
      </c>
      <c r="G349">
        <f>RAW_DATA!G349</f>
        <v>2</v>
      </c>
      <c r="H349">
        <f>RAW_DATA!H349</f>
        <v>3</v>
      </c>
      <c r="I349" t="str">
        <f>RAW_DATA!I349</f>
        <v>Single</v>
      </c>
      <c r="J349">
        <f>RAW_DATA!J349</f>
        <v>2976</v>
      </c>
      <c r="K349">
        <f>RAW_DATA!K349</f>
        <v>3</v>
      </c>
      <c r="L349">
        <f>RAW_DATA!L349</f>
        <v>3</v>
      </c>
      <c r="M349">
        <f>RAW_DATA!M349</f>
        <v>0</v>
      </c>
      <c r="N349">
        <f t="shared" si="10"/>
        <v>0</v>
      </c>
      <c r="O349" t="str">
        <f xml:space="preserve"> VLOOKUP(A349, Lookup_Tables!$G$2:$H$6,2,TRUE)</f>
        <v>45-54</v>
      </c>
      <c r="P349" t="str">
        <f>_xlfn.XLOOKUP(J349,Lookup_Tables!$J$2:$J$4,Lookup_Tables!$K$2:$K$4, " ",-1)</f>
        <v>Low</v>
      </c>
      <c r="Q349" t="str">
        <f xml:space="preserve"> _xlfn.XLOOKUP(M349, Lookup_Tables!$M$2:$M$5,Lookup_Tables!$N$2:$N$5," ", -1)</f>
        <v>New (0-2)</v>
      </c>
      <c r="R349" s="4">
        <f t="shared" si="11"/>
        <v>2.6666666666666665</v>
      </c>
      <c r="S349" t="str">
        <f xml:space="preserve"> _xlfn.XLOOKUP( E349, Lookup_Tables!$A$2:$A$6,Lookup_Tables!$B$2:$B$6," ", -1)</f>
        <v>Below College</v>
      </c>
      <c r="T349" t="str">
        <f>_xlfn.XLOOKUP(G349,Lookup_Tables!$D$2:$D$5,Lookup_Tables!$E$2:$E$5)</f>
        <v>Medium</v>
      </c>
      <c r="U349" t="str">
        <f>_xlfn.XLOOKUP(H349,Lookup_Tables!$D$2:$D$5,Lookup_Tables!$E$2:$E$5)</f>
        <v>High</v>
      </c>
      <c r="V349" t="str">
        <f>_xlfn.XLOOKUP(L349,Lookup_Tables!$D$2:$D$5,Lookup_Tables!$E$2:$E$5)</f>
        <v>High</v>
      </c>
    </row>
    <row r="350" spans="1:22">
      <c r="A350">
        <f>RAW_DATA!A350</f>
        <v>42</v>
      </c>
      <c r="B350" t="str">
        <f>RAW_DATA!B350</f>
        <v>No</v>
      </c>
      <c r="C350" t="str">
        <f>RAW_DATA!C350</f>
        <v>Research &amp; Development</v>
      </c>
      <c r="D350">
        <f>RAW_DATA!D350</f>
        <v>23</v>
      </c>
      <c r="E350">
        <f>RAW_DATA!E350</f>
        <v>5</v>
      </c>
      <c r="F350" t="str">
        <f>RAW_DATA!F350</f>
        <v>Life Sciences</v>
      </c>
      <c r="G350">
        <f>RAW_DATA!G350</f>
        <v>1</v>
      </c>
      <c r="H350">
        <f>RAW_DATA!H350</f>
        <v>4</v>
      </c>
      <c r="I350" t="str">
        <f>RAW_DATA!I350</f>
        <v>Single</v>
      </c>
      <c r="J350">
        <f>RAW_DATA!J350</f>
        <v>15992</v>
      </c>
      <c r="K350">
        <f>RAW_DATA!K350</f>
        <v>2</v>
      </c>
      <c r="L350">
        <f>RAW_DATA!L350</f>
        <v>3</v>
      </c>
      <c r="M350">
        <f>RAW_DATA!M350</f>
        <v>1</v>
      </c>
      <c r="N350">
        <f t="shared" si="10"/>
        <v>0</v>
      </c>
      <c r="O350" t="str">
        <f xml:space="preserve"> VLOOKUP(A350, Lookup_Tables!$G$2:$H$6,2,TRUE)</f>
        <v>35-44</v>
      </c>
      <c r="P350" t="str">
        <f>_xlfn.XLOOKUP(J350,Lookup_Tables!$J$2:$J$4,Lookup_Tables!$K$2:$K$4, " ",-1)</f>
        <v>High</v>
      </c>
      <c r="Q350" t="str">
        <f xml:space="preserve"> _xlfn.XLOOKUP(M350, Lookup_Tables!$M$2:$M$5,Lookup_Tables!$N$2:$N$5," ", -1)</f>
        <v>New (0-2)</v>
      </c>
      <c r="R350" s="4">
        <f t="shared" si="11"/>
        <v>2.6666666666666665</v>
      </c>
      <c r="S350" t="str">
        <f xml:space="preserve"> _xlfn.XLOOKUP( E350, Lookup_Tables!$A$2:$A$6,Lookup_Tables!$B$2:$B$6," ", -1)</f>
        <v>Doctor</v>
      </c>
      <c r="T350" t="str">
        <f>_xlfn.XLOOKUP(G350,Lookup_Tables!$D$2:$D$5,Lookup_Tables!$E$2:$E$5)</f>
        <v>Low</v>
      </c>
      <c r="U350" t="str">
        <f>_xlfn.XLOOKUP(H350,Lookup_Tables!$D$2:$D$5,Lookup_Tables!$E$2:$E$5)</f>
        <v>Very High</v>
      </c>
      <c r="V350" t="str">
        <f>_xlfn.XLOOKUP(L350,Lookup_Tables!$D$2:$D$5,Lookup_Tables!$E$2:$E$5)</f>
        <v>High</v>
      </c>
    </row>
    <row r="351" spans="1:22">
      <c r="A351">
        <f>RAW_DATA!A351</f>
        <v>29</v>
      </c>
      <c r="B351" t="str">
        <f>RAW_DATA!B351</f>
        <v>No</v>
      </c>
      <c r="C351" t="str">
        <f>RAW_DATA!C351</f>
        <v>Sales</v>
      </c>
      <c r="D351">
        <f>RAW_DATA!D351</f>
        <v>2</v>
      </c>
      <c r="E351">
        <f>RAW_DATA!E351</f>
        <v>3</v>
      </c>
      <c r="F351" t="str">
        <f>RAW_DATA!F351</f>
        <v>Life Sciences</v>
      </c>
      <c r="G351">
        <f>RAW_DATA!G351</f>
        <v>4</v>
      </c>
      <c r="H351">
        <f>RAW_DATA!H351</f>
        <v>3</v>
      </c>
      <c r="I351" t="str">
        <f>RAW_DATA!I351</f>
        <v>Married</v>
      </c>
      <c r="J351">
        <f>RAW_DATA!J351</f>
        <v>4649</v>
      </c>
      <c r="K351">
        <f>RAW_DATA!K351</f>
        <v>1</v>
      </c>
      <c r="L351">
        <f>RAW_DATA!L351</f>
        <v>2</v>
      </c>
      <c r="M351">
        <f>RAW_DATA!M351</f>
        <v>4</v>
      </c>
      <c r="N351">
        <f t="shared" si="10"/>
        <v>0</v>
      </c>
      <c r="O351" t="str">
        <f xml:space="preserve"> VLOOKUP(A351, Lookup_Tables!$G$2:$H$6,2,TRUE)</f>
        <v>25-34</v>
      </c>
      <c r="P351" t="str">
        <f>_xlfn.XLOOKUP(J351,Lookup_Tables!$J$2:$J$4,Lookup_Tables!$K$2:$K$4, " ",-1)</f>
        <v>Medium</v>
      </c>
      <c r="Q351" t="str">
        <f xml:space="preserve"> _xlfn.XLOOKUP(M351, Lookup_Tables!$M$2:$M$5,Lookup_Tables!$N$2:$N$5," ", -1)</f>
        <v>Early (2-5)</v>
      </c>
      <c r="R351" s="4">
        <f t="shared" si="11"/>
        <v>3</v>
      </c>
      <c r="S351" t="str">
        <f xml:space="preserve"> _xlfn.XLOOKUP( E351, Lookup_Tables!$A$2:$A$6,Lookup_Tables!$B$2:$B$6," ", -1)</f>
        <v>Bachelor</v>
      </c>
      <c r="T351" t="str">
        <f>_xlfn.XLOOKUP(G351,Lookup_Tables!$D$2:$D$5,Lookup_Tables!$E$2:$E$5)</f>
        <v>Very High</v>
      </c>
      <c r="U351" t="str">
        <f>_xlfn.XLOOKUP(H351,Lookup_Tables!$D$2:$D$5,Lookup_Tables!$E$2:$E$5)</f>
        <v>High</v>
      </c>
      <c r="V351" t="str">
        <f>_xlfn.XLOOKUP(L351,Lookup_Tables!$D$2:$D$5,Lookup_Tables!$E$2:$E$5)</f>
        <v>Medium</v>
      </c>
    </row>
    <row r="352" spans="1:22">
      <c r="A352">
        <f>RAW_DATA!A352</f>
        <v>42</v>
      </c>
      <c r="B352" t="str">
        <f>RAW_DATA!B352</f>
        <v>No</v>
      </c>
      <c r="C352" t="str">
        <f>RAW_DATA!C352</f>
        <v>Human Resources</v>
      </c>
      <c r="D352">
        <f>RAW_DATA!D352</f>
        <v>2</v>
      </c>
      <c r="E352">
        <f>RAW_DATA!E352</f>
        <v>1</v>
      </c>
      <c r="F352" t="str">
        <f>RAW_DATA!F352</f>
        <v>Technical Degree</v>
      </c>
      <c r="G352">
        <f>RAW_DATA!G352</f>
        <v>3</v>
      </c>
      <c r="H352">
        <f>RAW_DATA!H352</f>
        <v>3</v>
      </c>
      <c r="I352" t="str">
        <f>RAW_DATA!I352</f>
        <v>Divorced</v>
      </c>
      <c r="J352">
        <f>RAW_DATA!J352</f>
        <v>2696</v>
      </c>
      <c r="K352">
        <f>RAW_DATA!K352</f>
        <v>0</v>
      </c>
      <c r="L352">
        <f>RAW_DATA!L352</f>
        <v>3</v>
      </c>
      <c r="M352">
        <f>RAW_DATA!M352</f>
        <v>3</v>
      </c>
      <c r="N352">
        <f t="shared" si="10"/>
        <v>0</v>
      </c>
      <c r="O352" t="str">
        <f xml:space="preserve"> VLOOKUP(A352, Lookup_Tables!$G$2:$H$6,2,TRUE)</f>
        <v>35-44</v>
      </c>
      <c r="P352" t="str">
        <f>_xlfn.XLOOKUP(J352,Lookup_Tables!$J$2:$J$4,Lookup_Tables!$K$2:$K$4, " ",-1)</f>
        <v>Low</v>
      </c>
      <c r="Q352" t="str">
        <f xml:space="preserve"> _xlfn.XLOOKUP(M352, Lookup_Tables!$M$2:$M$5,Lookup_Tables!$N$2:$N$5," ", -1)</f>
        <v>Early (2-5)</v>
      </c>
      <c r="R352" s="4">
        <f t="shared" si="11"/>
        <v>3</v>
      </c>
      <c r="S352" t="str">
        <f xml:space="preserve"> _xlfn.XLOOKUP( E352, Lookup_Tables!$A$2:$A$6,Lookup_Tables!$B$2:$B$6," ", -1)</f>
        <v>Below College</v>
      </c>
      <c r="T352" t="str">
        <f>_xlfn.XLOOKUP(G352,Lookup_Tables!$D$2:$D$5,Lookup_Tables!$E$2:$E$5)</f>
        <v>High</v>
      </c>
      <c r="U352" t="str">
        <f>_xlfn.XLOOKUP(H352,Lookup_Tables!$D$2:$D$5,Lookup_Tables!$E$2:$E$5)</f>
        <v>High</v>
      </c>
      <c r="V352" t="str">
        <f>_xlfn.XLOOKUP(L352,Lookup_Tables!$D$2:$D$5,Lookup_Tables!$E$2:$E$5)</f>
        <v>High</v>
      </c>
    </row>
    <row r="353" spans="1:22">
      <c r="A353">
        <f>RAW_DATA!A353</f>
        <v>32</v>
      </c>
      <c r="B353" t="str">
        <f>RAW_DATA!B353</f>
        <v>No</v>
      </c>
      <c r="C353" t="str">
        <f>RAW_DATA!C353</f>
        <v>Research &amp; Development</v>
      </c>
      <c r="D353">
        <f>RAW_DATA!D353</f>
        <v>2</v>
      </c>
      <c r="E353">
        <f>RAW_DATA!E353</f>
        <v>3</v>
      </c>
      <c r="F353" t="str">
        <f>RAW_DATA!F353</f>
        <v>Medical</v>
      </c>
      <c r="G353">
        <f>RAW_DATA!G353</f>
        <v>3</v>
      </c>
      <c r="H353">
        <f>RAW_DATA!H353</f>
        <v>2</v>
      </c>
      <c r="I353" t="str">
        <f>RAW_DATA!I353</f>
        <v>Married</v>
      </c>
      <c r="J353">
        <f>RAW_DATA!J353</f>
        <v>2370</v>
      </c>
      <c r="K353">
        <f>RAW_DATA!K353</f>
        <v>1</v>
      </c>
      <c r="L353">
        <f>RAW_DATA!L353</f>
        <v>3</v>
      </c>
      <c r="M353">
        <f>RAW_DATA!M353</f>
        <v>8</v>
      </c>
      <c r="N353">
        <f t="shared" si="10"/>
        <v>0</v>
      </c>
      <c r="O353" t="str">
        <f xml:space="preserve"> VLOOKUP(A353, Lookup_Tables!$G$2:$H$6,2,TRUE)</f>
        <v>25-34</v>
      </c>
      <c r="P353" t="str">
        <f>_xlfn.XLOOKUP(J353,Lookup_Tables!$J$2:$J$4,Lookup_Tables!$K$2:$K$4, " ",-1)</f>
        <v>Low</v>
      </c>
      <c r="Q353" t="str">
        <f xml:space="preserve"> _xlfn.XLOOKUP(M353, Lookup_Tables!$M$2:$M$5,Lookup_Tables!$N$2:$N$5," ", -1)</f>
        <v>Established (5-10)</v>
      </c>
      <c r="R353" s="4">
        <f t="shared" si="11"/>
        <v>2.6666666666666665</v>
      </c>
      <c r="S353" t="str">
        <f xml:space="preserve"> _xlfn.XLOOKUP( E353, Lookup_Tables!$A$2:$A$6,Lookup_Tables!$B$2:$B$6," ", -1)</f>
        <v>Bachelor</v>
      </c>
      <c r="T353" t="str">
        <f>_xlfn.XLOOKUP(G353,Lookup_Tables!$D$2:$D$5,Lookup_Tables!$E$2:$E$5)</f>
        <v>High</v>
      </c>
      <c r="U353" t="str">
        <f>_xlfn.XLOOKUP(H353,Lookup_Tables!$D$2:$D$5,Lookup_Tables!$E$2:$E$5)</f>
        <v>Medium</v>
      </c>
      <c r="V353" t="str">
        <f>_xlfn.XLOOKUP(L353,Lookup_Tables!$D$2:$D$5,Lookup_Tables!$E$2:$E$5)</f>
        <v>High</v>
      </c>
    </row>
    <row r="354" spans="1:22">
      <c r="A354">
        <f>RAW_DATA!A354</f>
        <v>48</v>
      </c>
      <c r="B354" t="str">
        <f>RAW_DATA!B354</f>
        <v>No</v>
      </c>
      <c r="C354" t="str">
        <f>RAW_DATA!C354</f>
        <v>Sales</v>
      </c>
      <c r="D354">
        <f>RAW_DATA!D354</f>
        <v>29</v>
      </c>
      <c r="E354">
        <f>RAW_DATA!E354</f>
        <v>1</v>
      </c>
      <c r="F354" t="str">
        <f>RAW_DATA!F354</f>
        <v>Medical</v>
      </c>
      <c r="G354">
        <f>RAW_DATA!G354</f>
        <v>1</v>
      </c>
      <c r="H354">
        <f>RAW_DATA!H354</f>
        <v>3</v>
      </c>
      <c r="I354" t="str">
        <f>RAW_DATA!I354</f>
        <v>Married</v>
      </c>
      <c r="J354">
        <f>RAW_DATA!J354</f>
        <v>12504</v>
      </c>
      <c r="K354">
        <f>RAW_DATA!K354</f>
        <v>3</v>
      </c>
      <c r="L354">
        <f>RAW_DATA!L354</f>
        <v>1</v>
      </c>
      <c r="M354">
        <f>RAW_DATA!M354</f>
        <v>0</v>
      </c>
      <c r="N354">
        <f t="shared" si="10"/>
        <v>0</v>
      </c>
      <c r="O354" t="str">
        <f xml:space="preserve"> VLOOKUP(A354, Lookup_Tables!$G$2:$H$6,2,TRUE)</f>
        <v>45-54</v>
      </c>
      <c r="P354" t="str">
        <f>_xlfn.XLOOKUP(J354,Lookup_Tables!$J$2:$J$4,Lookup_Tables!$K$2:$K$4, " ",-1)</f>
        <v>High</v>
      </c>
      <c r="Q354" t="str">
        <f xml:space="preserve"> _xlfn.XLOOKUP(M354, Lookup_Tables!$M$2:$M$5,Lookup_Tables!$N$2:$N$5," ", -1)</f>
        <v>New (0-2)</v>
      </c>
      <c r="R354" s="4">
        <f t="shared" si="11"/>
        <v>1.6666666666666667</v>
      </c>
      <c r="S354" t="str">
        <f xml:space="preserve"> _xlfn.XLOOKUP( E354, Lookup_Tables!$A$2:$A$6,Lookup_Tables!$B$2:$B$6," ", -1)</f>
        <v>Below College</v>
      </c>
      <c r="T354" t="str">
        <f>_xlfn.XLOOKUP(G354,Lookup_Tables!$D$2:$D$5,Lookup_Tables!$E$2:$E$5)</f>
        <v>Low</v>
      </c>
      <c r="U354" t="str">
        <f>_xlfn.XLOOKUP(H354,Lookup_Tables!$D$2:$D$5,Lookup_Tables!$E$2:$E$5)</f>
        <v>High</v>
      </c>
      <c r="V354" t="str">
        <f>_xlfn.XLOOKUP(L354,Lookup_Tables!$D$2:$D$5,Lookup_Tables!$E$2:$E$5)</f>
        <v>Low</v>
      </c>
    </row>
    <row r="355" spans="1:22">
      <c r="A355">
        <f>RAW_DATA!A355</f>
        <v>37</v>
      </c>
      <c r="B355" t="str">
        <f>RAW_DATA!B355</f>
        <v>No</v>
      </c>
      <c r="C355" t="str">
        <f>RAW_DATA!C355</f>
        <v>Research &amp; Development</v>
      </c>
      <c r="D355">
        <f>RAW_DATA!D355</f>
        <v>6</v>
      </c>
      <c r="E355">
        <f>RAW_DATA!E355</f>
        <v>3</v>
      </c>
      <c r="F355" t="str">
        <f>RAW_DATA!F355</f>
        <v>Medical</v>
      </c>
      <c r="G355">
        <f>RAW_DATA!G355</f>
        <v>3</v>
      </c>
      <c r="H355">
        <f>RAW_DATA!H355</f>
        <v>1</v>
      </c>
      <c r="I355" t="str">
        <f>RAW_DATA!I355</f>
        <v>Divorced</v>
      </c>
      <c r="J355">
        <f>RAW_DATA!J355</f>
        <v>5974</v>
      </c>
      <c r="K355">
        <f>RAW_DATA!K355</f>
        <v>4</v>
      </c>
      <c r="L355">
        <f>RAW_DATA!L355</f>
        <v>3</v>
      </c>
      <c r="M355">
        <f>RAW_DATA!M355</f>
        <v>7</v>
      </c>
      <c r="N355">
        <f t="shared" si="10"/>
        <v>0</v>
      </c>
      <c r="O355" t="str">
        <f xml:space="preserve"> VLOOKUP(A355, Lookup_Tables!$G$2:$H$6,2,TRUE)</f>
        <v>35-44</v>
      </c>
      <c r="P355" t="str">
        <f>_xlfn.XLOOKUP(J355,Lookup_Tables!$J$2:$J$4,Lookup_Tables!$K$2:$K$4, " ",-1)</f>
        <v>Medium</v>
      </c>
      <c r="Q355" t="str">
        <f xml:space="preserve"> _xlfn.XLOOKUP(M355, Lookup_Tables!$M$2:$M$5,Lookup_Tables!$N$2:$N$5," ", -1)</f>
        <v>Established (5-10)</v>
      </c>
      <c r="R355" s="4">
        <f t="shared" si="11"/>
        <v>2.3333333333333335</v>
      </c>
      <c r="S355" t="str">
        <f xml:space="preserve"> _xlfn.XLOOKUP( E355, Lookup_Tables!$A$2:$A$6,Lookup_Tables!$B$2:$B$6," ", -1)</f>
        <v>Bachelor</v>
      </c>
      <c r="T355" t="str">
        <f>_xlfn.XLOOKUP(G355,Lookup_Tables!$D$2:$D$5,Lookup_Tables!$E$2:$E$5)</f>
        <v>High</v>
      </c>
      <c r="U355" t="str">
        <f>_xlfn.XLOOKUP(H355,Lookup_Tables!$D$2:$D$5,Lookup_Tables!$E$2:$E$5)</f>
        <v>Low</v>
      </c>
      <c r="V355" t="str">
        <f>_xlfn.XLOOKUP(L355,Lookup_Tables!$D$2:$D$5,Lookup_Tables!$E$2:$E$5)</f>
        <v>High</v>
      </c>
    </row>
    <row r="356" spans="1:22">
      <c r="A356">
        <f>RAW_DATA!A356</f>
        <v>30</v>
      </c>
      <c r="B356" t="str">
        <f>RAW_DATA!B356</f>
        <v>No</v>
      </c>
      <c r="C356" t="str">
        <f>RAW_DATA!C356</f>
        <v>Sales</v>
      </c>
      <c r="D356">
        <f>RAW_DATA!D356</f>
        <v>25</v>
      </c>
      <c r="E356">
        <f>RAW_DATA!E356</f>
        <v>2</v>
      </c>
      <c r="F356" t="str">
        <f>RAW_DATA!F356</f>
        <v>Technical Degree</v>
      </c>
      <c r="G356">
        <f>RAW_DATA!G356</f>
        <v>4</v>
      </c>
      <c r="H356">
        <f>RAW_DATA!H356</f>
        <v>3</v>
      </c>
      <c r="I356" t="str">
        <f>RAW_DATA!I356</f>
        <v>Married</v>
      </c>
      <c r="J356">
        <f>RAW_DATA!J356</f>
        <v>4736</v>
      </c>
      <c r="K356">
        <f>RAW_DATA!K356</f>
        <v>7</v>
      </c>
      <c r="L356">
        <f>RAW_DATA!L356</f>
        <v>4</v>
      </c>
      <c r="M356">
        <f>RAW_DATA!M356</f>
        <v>2</v>
      </c>
      <c r="N356">
        <f t="shared" si="10"/>
        <v>0</v>
      </c>
      <c r="O356" t="str">
        <f xml:space="preserve"> VLOOKUP(A356, Lookup_Tables!$G$2:$H$6,2,TRUE)</f>
        <v>25-34</v>
      </c>
      <c r="P356" t="str">
        <f>_xlfn.XLOOKUP(J356,Lookup_Tables!$J$2:$J$4,Lookup_Tables!$K$2:$K$4, " ",-1)</f>
        <v>Medium</v>
      </c>
      <c r="Q356" t="str">
        <f xml:space="preserve"> _xlfn.XLOOKUP(M356, Lookup_Tables!$M$2:$M$5,Lookup_Tables!$N$2:$N$5," ", -1)</f>
        <v>Early (2-5)</v>
      </c>
      <c r="R356" s="4">
        <f t="shared" si="11"/>
        <v>3.6666666666666665</v>
      </c>
      <c r="S356" t="str">
        <f xml:space="preserve"> _xlfn.XLOOKUP( E356, Lookup_Tables!$A$2:$A$6,Lookup_Tables!$B$2:$B$6," ", -1)</f>
        <v>College</v>
      </c>
      <c r="T356" t="str">
        <f>_xlfn.XLOOKUP(G356,Lookup_Tables!$D$2:$D$5,Lookup_Tables!$E$2:$E$5)</f>
        <v>Very High</v>
      </c>
      <c r="U356" t="str">
        <f>_xlfn.XLOOKUP(H356,Lookup_Tables!$D$2:$D$5,Lookup_Tables!$E$2:$E$5)</f>
        <v>High</v>
      </c>
      <c r="V356" t="str">
        <f>_xlfn.XLOOKUP(L356,Lookup_Tables!$D$2:$D$5,Lookup_Tables!$E$2:$E$5)</f>
        <v>Very High</v>
      </c>
    </row>
    <row r="357" spans="1:22">
      <c r="A357">
        <f>RAW_DATA!A357</f>
        <v>26</v>
      </c>
      <c r="B357" t="str">
        <f>RAW_DATA!B357</f>
        <v>No</v>
      </c>
      <c r="C357" t="str">
        <f>RAW_DATA!C357</f>
        <v>Sales</v>
      </c>
      <c r="D357">
        <f>RAW_DATA!D357</f>
        <v>1</v>
      </c>
      <c r="E357">
        <f>RAW_DATA!E357</f>
        <v>3</v>
      </c>
      <c r="F357" t="str">
        <f>RAW_DATA!F357</f>
        <v>Life Sciences</v>
      </c>
      <c r="G357">
        <f>RAW_DATA!G357</f>
        <v>3</v>
      </c>
      <c r="H357">
        <f>RAW_DATA!H357</f>
        <v>3</v>
      </c>
      <c r="I357" t="str">
        <f>RAW_DATA!I357</f>
        <v>Married</v>
      </c>
      <c r="J357">
        <f>RAW_DATA!J357</f>
        <v>5296</v>
      </c>
      <c r="K357">
        <f>RAW_DATA!K357</f>
        <v>1</v>
      </c>
      <c r="L357">
        <f>RAW_DATA!L357</f>
        <v>3</v>
      </c>
      <c r="M357">
        <f>RAW_DATA!M357</f>
        <v>8</v>
      </c>
      <c r="N357">
        <f t="shared" si="10"/>
        <v>0</v>
      </c>
      <c r="O357" t="str">
        <f xml:space="preserve"> VLOOKUP(A357, Lookup_Tables!$G$2:$H$6,2,TRUE)</f>
        <v>25-34</v>
      </c>
      <c r="P357" t="str">
        <f>_xlfn.XLOOKUP(J357,Lookup_Tables!$J$2:$J$4,Lookup_Tables!$K$2:$K$4, " ",-1)</f>
        <v>Medium</v>
      </c>
      <c r="Q357" t="str">
        <f xml:space="preserve"> _xlfn.XLOOKUP(M357, Lookup_Tables!$M$2:$M$5,Lookup_Tables!$N$2:$N$5," ", -1)</f>
        <v>Established (5-10)</v>
      </c>
      <c r="R357" s="4">
        <f t="shared" si="11"/>
        <v>3</v>
      </c>
      <c r="S357" t="str">
        <f xml:space="preserve"> _xlfn.XLOOKUP( E357, Lookup_Tables!$A$2:$A$6,Lookup_Tables!$B$2:$B$6," ", -1)</f>
        <v>Bachelor</v>
      </c>
      <c r="T357" t="str">
        <f>_xlfn.XLOOKUP(G357,Lookup_Tables!$D$2:$D$5,Lookup_Tables!$E$2:$E$5)</f>
        <v>High</v>
      </c>
      <c r="U357" t="str">
        <f>_xlfn.XLOOKUP(H357,Lookup_Tables!$D$2:$D$5,Lookup_Tables!$E$2:$E$5)</f>
        <v>High</v>
      </c>
      <c r="V357" t="str">
        <f>_xlfn.XLOOKUP(L357,Lookup_Tables!$D$2:$D$5,Lookup_Tables!$E$2:$E$5)</f>
        <v>High</v>
      </c>
    </row>
    <row r="358" spans="1:22">
      <c r="A358">
        <f>RAW_DATA!A358</f>
        <v>42</v>
      </c>
      <c r="B358" t="str">
        <f>RAW_DATA!B358</f>
        <v>No</v>
      </c>
      <c r="C358" t="str">
        <f>RAW_DATA!C358</f>
        <v>Research &amp; Development</v>
      </c>
      <c r="D358">
        <f>RAW_DATA!D358</f>
        <v>2</v>
      </c>
      <c r="E358">
        <f>RAW_DATA!E358</f>
        <v>4</v>
      </c>
      <c r="F358" t="str">
        <f>RAW_DATA!F358</f>
        <v>Other</v>
      </c>
      <c r="G358">
        <f>RAW_DATA!G358</f>
        <v>1</v>
      </c>
      <c r="H358">
        <f>RAW_DATA!H358</f>
        <v>4</v>
      </c>
      <c r="I358" t="str">
        <f>RAW_DATA!I358</f>
        <v>Single</v>
      </c>
      <c r="J358">
        <f>RAW_DATA!J358</f>
        <v>6781</v>
      </c>
      <c r="K358">
        <f>RAW_DATA!K358</f>
        <v>3</v>
      </c>
      <c r="L358">
        <f>RAW_DATA!L358</f>
        <v>3</v>
      </c>
      <c r="M358">
        <f>RAW_DATA!M358</f>
        <v>1</v>
      </c>
      <c r="N358">
        <f t="shared" si="10"/>
        <v>0</v>
      </c>
      <c r="O358" t="str">
        <f xml:space="preserve"> VLOOKUP(A358, Lookup_Tables!$G$2:$H$6,2,TRUE)</f>
        <v>35-44</v>
      </c>
      <c r="P358" t="str">
        <f>_xlfn.XLOOKUP(J358,Lookup_Tables!$J$2:$J$4,Lookup_Tables!$K$2:$K$4, " ",-1)</f>
        <v>Medium</v>
      </c>
      <c r="Q358" t="str">
        <f xml:space="preserve"> _xlfn.XLOOKUP(M358, Lookup_Tables!$M$2:$M$5,Lookup_Tables!$N$2:$N$5," ", -1)</f>
        <v>New (0-2)</v>
      </c>
      <c r="R358" s="4">
        <f t="shared" si="11"/>
        <v>2.6666666666666665</v>
      </c>
      <c r="S358" t="str">
        <f xml:space="preserve"> _xlfn.XLOOKUP( E358, Lookup_Tables!$A$2:$A$6,Lookup_Tables!$B$2:$B$6," ", -1)</f>
        <v>Master</v>
      </c>
      <c r="T358" t="str">
        <f>_xlfn.XLOOKUP(G358,Lookup_Tables!$D$2:$D$5,Lookup_Tables!$E$2:$E$5)</f>
        <v>Low</v>
      </c>
      <c r="U358" t="str">
        <f>_xlfn.XLOOKUP(H358,Lookup_Tables!$D$2:$D$5,Lookup_Tables!$E$2:$E$5)</f>
        <v>Very High</v>
      </c>
      <c r="V358" t="str">
        <f>_xlfn.XLOOKUP(L358,Lookup_Tables!$D$2:$D$5,Lookup_Tables!$E$2:$E$5)</f>
        <v>High</v>
      </c>
    </row>
    <row r="359" spans="1:22">
      <c r="A359">
        <f>RAW_DATA!A359</f>
        <v>21</v>
      </c>
      <c r="B359" t="str">
        <f>RAW_DATA!B359</f>
        <v>Yes</v>
      </c>
      <c r="C359" t="str">
        <f>RAW_DATA!C359</f>
        <v>Sales</v>
      </c>
      <c r="D359">
        <f>RAW_DATA!D359</f>
        <v>1</v>
      </c>
      <c r="E359">
        <f>RAW_DATA!E359</f>
        <v>1</v>
      </c>
      <c r="F359" t="str">
        <f>RAW_DATA!F359</f>
        <v>Technical Degree</v>
      </c>
      <c r="G359">
        <f>RAW_DATA!G359</f>
        <v>1</v>
      </c>
      <c r="H359">
        <f>RAW_DATA!H359</f>
        <v>2</v>
      </c>
      <c r="I359" t="str">
        <f>RAW_DATA!I359</f>
        <v>Single</v>
      </c>
      <c r="J359">
        <f>RAW_DATA!J359</f>
        <v>2174</v>
      </c>
      <c r="K359">
        <f>RAW_DATA!K359</f>
        <v>1</v>
      </c>
      <c r="L359">
        <f>RAW_DATA!L359</f>
        <v>3</v>
      </c>
      <c r="M359">
        <f>RAW_DATA!M359</f>
        <v>3</v>
      </c>
      <c r="N359">
        <f t="shared" si="10"/>
        <v>1</v>
      </c>
      <c r="O359" t="str">
        <f xml:space="preserve"> VLOOKUP(A359, Lookup_Tables!$G$2:$H$6,2,TRUE)</f>
        <v>&lt;25</v>
      </c>
      <c r="P359" t="str">
        <f>_xlfn.XLOOKUP(J359,Lookup_Tables!$J$2:$J$4,Lookup_Tables!$K$2:$K$4, " ",-1)</f>
        <v>Low</v>
      </c>
      <c r="Q359" t="str">
        <f xml:space="preserve"> _xlfn.XLOOKUP(M359, Lookup_Tables!$M$2:$M$5,Lookup_Tables!$N$2:$N$5," ", -1)</f>
        <v>Early (2-5)</v>
      </c>
      <c r="R359" s="4">
        <f t="shared" si="11"/>
        <v>2</v>
      </c>
      <c r="S359" t="str">
        <f xml:space="preserve"> _xlfn.XLOOKUP( E359, Lookup_Tables!$A$2:$A$6,Lookup_Tables!$B$2:$B$6," ", -1)</f>
        <v>Below College</v>
      </c>
      <c r="T359" t="str">
        <f>_xlfn.XLOOKUP(G359,Lookup_Tables!$D$2:$D$5,Lookup_Tables!$E$2:$E$5)</f>
        <v>Low</v>
      </c>
      <c r="U359" t="str">
        <f>_xlfn.XLOOKUP(H359,Lookup_Tables!$D$2:$D$5,Lookup_Tables!$E$2:$E$5)</f>
        <v>Medium</v>
      </c>
      <c r="V359" t="str">
        <f>_xlfn.XLOOKUP(L359,Lookup_Tables!$D$2:$D$5,Lookup_Tables!$E$2:$E$5)</f>
        <v>High</v>
      </c>
    </row>
    <row r="360" spans="1:22">
      <c r="A360">
        <f>RAW_DATA!A360</f>
        <v>36</v>
      </c>
      <c r="B360" t="str">
        <f>RAW_DATA!B360</f>
        <v>No</v>
      </c>
      <c r="C360" t="str">
        <f>RAW_DATA!C360</f>
        <v>Sales</v>
      </c>
      <c r="D360">
        <f>RAW_DATA!D360</f>
        <v>1</v>
      </c>
      <c r="E360">
        <f>RAW_DATA!E360</f>
        <v>5</v>
      </c>
      <c r="F360" t="str">
        <f>RAW_DATA!F360</f>
        <v>Medical</v>
      </c>
      <c r="G360">
        <f>RAW_DATA!G360</f>
        <v>4</v>
      </c>
      <c r="H360">
        <f>RAW_DATA!H360</f>
        <v>4</v>
      </c>
      <c r="I360" t="str">
        <f>RAW_DATA!I360</f>
        <v>Single</v>
      </c>
      <c r="J360">
        <f>RAW_DATA!J360</f>
        <v>6653</v>
      </c>
      <c r="K360">
        <f>RAW_DATA!K360</f>
        <v>4</v>
      </c>
      <c r="L360">
        <f>RAW_DATA!L360</f>
        <v>3</v>
      </c>
      <c r="M360">
        <f>RAW_DATA!M360</f>
        <v>1</v>
      </c>
      <c r="N360">
        <f t="shared" si="10"/>
        <v>0</v>
      </c>
      <c r="O360" t="str">
        <f xml:space="preserve"> VLOOKUP(A360, Lookup_Tables!$G$2:$H$6,2,TRUE)</f>
        <v>35-44</v>
      </c>
      <c r="P360" t="str">
        <f>_xlfn.XLOOKUP(J360,Lookup_Tables!$J$2:$J$4,Lookup_Tables!$K$2:$K$4, " ",-1)</f>
        <v>Medium</v>
      </c>
      <c r="Q360" t="str">
        <f xml:space="preserve"> _xlfn.XLOOKUP(M360, Lookup_Tables!$M$2:$M$5,Lookup_Tables!$N$2:$N$5," ", -1)</f>
        <v>New (0-2)</v>
      </c>
      <c r="R360" s="4">
        <f t="shared" si="11"/>
        <v>3.6666666666666665</v>
      </c>
      <c r="S360" t="str">
        <f xml:space="preserve"> _xlfn.XLOOKUP( E360, Lookup_Tables!$A$2:$A$6,Lookup_Tables!$B$2:$B$6," ", -1)</f>
        <v>Doctor</v>
      </c>
      <c r="T360" t="str">
        <f>_xlfn.XLOOKUP(G360,Lookup_Tables!$D$2:$D$5,Lookup_Tables!$E$2:$E$5)</f>
        <v>Very High</v>
      </c>
      <c r="U360" t="str">
        <f>_xlfn.XLOOKUP(H360,Lookup_Tables!$D$2:$D$5,Lookup_Tables!$E$2:$E$5)</f>
        <v>Very High</v>
      </c>
      <c r="V360" t="str">
        <f>_xlfn.XLOOKUP(L360,Lookup_Tables!$D$2:$D$5,Lookup_Tables!$E$2:$E$5)</f>
        <v>High</v>
      </c>
    </row>
    <row r="361" spans="1:22">
      <c r="A361">
        <f>RAW_DATA!A361</f>
        <v>36</v>
      </c>
      <c r="B361" t="str">
        <f>RAW_DATA!B361</f>
        <v>No</v>
      </c>
      <c r="C361" t="str">
        <f>RAW_DATA!C361</f>
        <v>Sales</v>
      </c>
      <c r="D361">
        <f>RAW_DATA!D361</f>
        <v>3</v>
      </c>
      <c r="E361">
        <f>RAW_DATA!E361</f>
        <v>4</v>
      </c>
      <c r="F361" t="str">
        <f>RAW_DATA!F361</f>
        <v>Medical</v>
      </c>
      <c r="G361">
        <f>RAW_DATA!G361</f>
        <v>1</v>
      </c>
      <c r="H361">
        <f>RAW_DATA!H361</f>
        <v>4</v>
      </c>
      <c r="I361" t="str">
        <f>RAW_DATA!I361</f>
        <v>Married</v>
      </c>
      <c r="J361">
        <f>RAW_DATA!J361</f>
        <v>9699</v>
      </c>
      <c r="K361">
        <f>RAW_DATA!K361</f>
        <v>4</v>
      </c>
      <c r="L361">
        <f>RAW_DATA!L361</f>
        <v>3</v>
      </c>
      <c r="M361">
        <f>RAW_DATA!M361</f>
        <v>13</v>
      </c>
      <c r="N361">
        <f t="shared" si="10"/>
        <v>0</v>
      </c>
      <c r="O361" t="str">
        <f xml:space="preserve"> VLOOKUP(A361, Lookup_Tables!$G$2:$H$6,2,TRUE)</f>
        <v>35-44</v>
      </c>
      <c r="P361" t="str">
        <f>_xlfn.XLOOKUP(J361,Lookup_Tables!$J$2:$J$4,Lookup_Tables!$K$2:$K$4, " ",-1)</f>
        <v>High</v>
      </c>
      <c r="Q361" t="str">
        <f xml:space="preserve"> _xlfn.XLOOKUP(M361, Lookup_Tables!$M$2:$M$5,Lookup_Tables!$N$2:$N$5," ", -1)</f>
        <v>Veteran (10+)</v>
      </c>
      <c r="R361" s="4">
        <f t="shared" si="11"/>
        <v>2.6666666666666665</v>
      </c>
      <c r="S361" t="str">
        <f xml:space="preserve"> _xlfn.XLOOKUP( E361, Lookup_Tables!$A$2:$A$6,Lookup_Tables!$B$2:$B$6," ", -1)</f>
        <v>Master</v>
      </c>
      <c r="T361" t="str">
        <f>_xlfn.XLOOKUP(G361,Lookup_Tables!$D$2:$D$5,Lookup_Tables!$E$2:$E$5)</f>
        <v>Low</v>
      </c>
      <c r="U361" t="str">
        <f>_xlfn.XLOOKUP(H361,Lookup_Tables!$D$2:$D$5,Lookup_Tables!$E$2:$E$5)</f>
        <v>Very High</v>
      </c>
      <c r="V361" t="str">
        <f>_xlfn.XLOOKUP(L361,Lookup_Tables!$D$2:$D$5,Lookup_Tables!$E$2:$E$5)</f>
        <v>High</v>
      </c>
    </row>
    <row r="362" spans="1:22">
      <c r="A362">
        <f>RAW_DATA!A362</f>
        <v>57</v>
      </c>
      <c r="B362" t="str">
        <f>RAW_DATA!B362</f>
        <v>No</v>
      </c>
      <c r="C362" t="str">
        <f>RAW_DATA!C362</f>
        <v>Research &amp; Development</v>
      </c>
      <c r="D362">
        <f>RAW_DATA!D362</f>
        <v>1</v>
      </c>
      <c r="E362">
        <f>RAW_DATA!E362</f>
        <v>4</v>
      </c>
      <c r="F362" t="str">
        <f>RAW_DATA!F362</f>
        <v>Medical</v>
      </c>
      <c r="G362">
        <f>RAW_DATA!G362</f>
        <v>4</v>
      </c>
      <c r="H362">
        <f>RAW_DATA!H362</f>
        <v>3</v>
      </c>
      <c r="I362" t="str">
        <f>RAW_DATA!I362</f>
        <v>Married</v>
      </c>
      <c r="J362">
        <f>RAW_DATA!J362</f>
        <v>6755</v>
      </c>
      <c r="K362">
        <f>RAW_DATA!K362</f>
        <v>2</v>
      </c>
      <c r="L362">
        <f>RAW_DATA!L362</f>
        <v>3</v>
      </c>
      <c r="M362">
        <f>RAW_DATA!M362</f>
        <v>3</v>
      </c>
      <c r="N362">
        <f t="shared" si="10"/>
        <v>0</v>
      </c>
      <c r="O362" t="str">
        <f xml:space="preserve"> VLOOKUP(A362, Lookup_Tables!$G$2:$H$6,2,TRUE)</f>
        <v>55+</v>
      </c>
      <c r="P362" t="str">
        <f>_xlfn.XLOOKUP(J362,Lookup_Tables!$J$2:$J$4,Lookup_Tables!$K$2:$K$4, " ",-1)</f>
        <v>Medium</v>
      </c>
      <c r="Q362" t="str">
        <f xml:space="preserve"> _xlfn.XLOOKUP(M362, Lookup_Tables!$M$2:$M$5,Lookup_Tables!$N$2:$N$5," ", -1)</f>
        <v>Early (2-5)</v>
      </c>
      <c r="R362" s="4">
        <f t="shared" si="11"/>
        <v>3.3333333333333335</v>
      </c>
      <c r="S362" t="str">
        <f xml:space="preserve"> _xlfn.XLOOKUP( E362, Lookup_Tables!$A$2:$A$6,Lookup_Tables!$B$2:$B$6," ", -1)</f>
        <v>Master</v>
      </c>
      <c r="T362" t="str">
        <f>_xlfn.XLOOKUP(G362,Lookup_Tables!$D$2:$D$5,Lookup_Tables!$E$2:$E$5)</f>
        <v>Very High</v>
      </c>
      <c r="U362" t="str">
        <f>_xlfn.XLOOKUP(H362,Lookup_Tables!$D$2:$D$5,Lookup_Tables!$E$2:$E$5)</f>
        <v>High</v>
      </c>
      <c r="V362" t="str">
        <f>_xlfn.XLOOKUP(L362,Lookup_Tables!$D$2:$D$5,Lookup_Tables!$E$2:$E$5)</f>
        <v>High</v>
      </c>
    </row>
    <row r="363" spans="1:22">
      <c r="A363">
        <f>RAW_DATA!A363</f>
        <v>40</v>
      </c>
      <c r="B363" t="str">
        <f>RAW_DATA!B363</f>
        <v>No</v>
      </c>
      <c r="C363" t="str">
        <f>RAW_DATA!C363</f>
        <v>Research &amp; Development</v>
      </c>
      <c r="D363">
        <f>RAW_DATA!D363</f>
        <v>10</v>
      </c>
      <c r="E363">
        <f>RAW_DATA!E363</f>
        <v>4</v>
      </c>
      <c r="F363" t="str">
        <f>RAW_DATA!F363</f>
        <v>Life Sciences</v>
      </c>
      <c r="G363">
        <f>RAW_DATA!G363</f>
        <v>4</v>
      </c>
      <c r="H363">
        <f>RAW_DATA!H363</f>
        <v>3</v>
      </c>
      <c r="I363" t="str">
        <f>RAW_DATA!I363</f>
        <v>Married</v>
      </c>
      <c r="J363">
        <f>RAW_DATA!J363</f>
        <v>2213</v>
      </c>
      <c r="K363">
        <f>RAW_DATA!K363</f>
        <v>3</v>
      </c>
      <c r="L363">
        <f>RAW_DATA!L363</f>
        <v>3</v>
      </c>
      <c r="M363">
        <f>RAW_DATA!M363</f>
        <v>7</v>
      </c>
      <c r="N363">
        <f t="shared" si="10"/>
        <v>0</v>
      </c>
      <c r="O363" t="str">
        <f xml:space="preserve"> VLOOKUP(A363, Lookup_Tables!$G$2:$H$6,2,TRUE)</f>
        <v>35-44</v>
      </c>
      <c r="P363" t="str">
        <f>_xlfn.XLOOKUP(J363,Lookup_Tables!$J$2:$J$4,Lookup_Tables!$K$2:$K$4, " ",-1)</f>
        <v>Low</v>
      </c>
      <c r="Q363" t="str">
        <f xml:space="preserve"> _xlfn.XLOOKUP(M363, Lookup_Tables!$M$2:$M$5,Lookup_Tables!$N$2:$N$5," ", -1)</f>
        <v>Established (5-10)</v>
      </c>
      <c r="R363" s="4">
        <f t="shared" si="11"/>
        <v>3.3333333333333335</v>
      </c>
      <c r="S363" t="str">
        <f xml:space="preserve"> _xlfn.XLOOKUP( E363, Lookup_Tables!$A$2:$A$6,Lookup_Tables!$B$2:$B$6," ", -1)</f>
        <v>Master</v>
      </c>
      <c r="T363" t="str">
        <f>_xlfn.XLOOKUP(G363,Lookup_Tables!$D$2:$D$5,Lookup_Tables!$E$2:$E$5)</f>
        <v>Very High</v>
      </c>
      <c r="U363" t="str">
        <f>_xlfn.XLOOKUP(H363,Lookup_Tables!$D$2:$D$5,Lookup_Tables!$E$2:$E$5)</f>
        <v>High</v>
      </c>
      <c r="V363" t="str">
        <f>_xlfn.XLOOKUP(L363,Lookup_Tables!$D$2:$D$5,Lookup_Tables!$E$2:$E$5)</f>
        <v>High</v>
      </c>
    </row>
    <row r="364" spans="1:22">
      <c r="A364">
        <f>RAW_DATA!A364</f>
        <v>21</v>
      </c>
      <c r="B364" t="str">
        <f>RAW_DATA!B364</f>
        <v>No</v>
      </c>
      <c r="C364" t="str">
        <f>RAW_DATA!C364</f>
        <v>Sales</v>
      </c>
      <c r="D364">
        <f>RAW_DATA!D364</f>
        <v>9</v>
      </c>
      <c r="E364">
        <f>RAW_DATA!E364</f>
        <v>2</v>
      </c>
      <c r="F364" t="str">
        <f>RAW_DATA!F364</f>
        <v>Medical</v>
      </c>
      <c r="G364">
        <f>RAW_DATA!G364</f>
        <v>1</v>
      </c>
      <c r="H364">
        <f>RAW_DATA!H364</f>
        <v>4</v>
      </c>
      <c r="I364" t="str">
        <f>RAW_DATA!I364</f>
        <v>Single</v>
      </c>
      <c r="J364">
        <f>RAW_DATA!J364</f>
        <v>2610</v>
      </c>
      <c r="K364">
        <f>RAW_DATA!K364</f>
        <v>1</v>
      </c>
      <c r="L364">
        <f>RAW_DATA!L364</f>
        <v>2</v>
      </c>
      <c r="M364">
        <f>RAW_DATA!M364</f>
        <v>3</v>
      </c>
      <c r="N364">
        <f t="shared" si="10"/>
        <v>0</v>
      </c>
      <c r="O364" t="str">
        <f xml:space="preserve"> VLOOKUP(A364, Lookup_Tables!$G$2:$H$6,2,TRUE)</f>
        <v>&lt;25</v>
      </c>
      <c r="P364" t="str">
        <f>_xlfn.XLOOKUP(J364,Lookup_Tables!$J$2:$J$4,Lookup_Tables!$K$2:$K$4, " ",-1)</f>
        <v>Low</v>
      </c>
      <c r="Q364" t="str">
        <f xml:space="preserve"> _xlfn.XLOOKUP(M364, Lookup_Tables!$M$2:$M$5,Lookup_Tables!$N$2:$N$5," ", -1)</f>
        <v>Early (2-5)</v>
      </c>
      <c r="R364" s="4">
        <f t="shared" si="11"/>
        <v>2.3333333333333335</v>
      </c>
      <c r="S364" t="str">
        <f xml:space="preserve"> _xlfn.XLOOKUP( E364, Lookup_Tables!$A$2:$A$6,Lookup_Tables!$B$2:$B$6," ", -1)</f>
        <v>College</v>
      </c>
      <c r="T364" t="str">
        <f>_xlfn.XLOOKUP(G364,Lookup_Tables!$D$2:$D$5,Lookup_Tables!$E$2:$E$5)</f>
        <v>Low</v>
      </c>
      <c r="U364" t="str">
        <f>_xlfn.XLOOKUP(H364,Lookup_Tables!$D$2:$D$5,Lookup_Tables!$E$2:$E$5)</f>
        <v>Very High</v>
      </c>
      <c r="V364" t="str">
        <f>_xlfn.XLOOKUP(L364,Lookup_Tables!$D$2:$D$5,Lookup_Tables!$E$2:$E$5)</f>
        <v>Medium</v>
      </c>
    </row>
    <row r="365" spans="1:22">
      <c r="A365">
        <f>RAW_DATA!A365</f>
        <v>33</v>
      </c>
      <c r="B365" t="str">
        <f>RAW_DATA!B365</f>
        <v>Yes</v>
      </c>
      <c r="C365" t="str">
        <f>RAW_DATA!C365</f>
        <v>Sales</v>
      </c>
      <c r="D365">
        <f>RAW_DATA!D365</f>
        <v>5</v>
      </c>
      <c r="E365">
        <f>RAW_DATA!E365</f>
        <v>3</v>
      </c>
      <c r="F365" t="str">
        <f>RAW_DATA!F365</f>
        <v>Marketing</v>
      </c>
      <c r="G365">
        <f>RAW_DATA!G365</f>
        <v>4</v>
      </c>
      <c r="H365">
        <f>RAW_DATA!H365</f>
        <v>3</v>
      </c>
      <c r="I365" t="str">
        <f>RAW_DATA!I365</f>
        <v>Single</v>
      </c>
      <c r="J365">
        <f>RAW_DATA!J365</f>
        <v>2851</v>
      </c>
      <c r="K365">
        <f>RAW_DATA!K365</f>
        <v>1</v>
      </c>
      <c r="L365">
        <f>RAW_DATA!L365</f>
        <v>3</v>
      </c>
      <c r="M365">
        <f>RAW_DATA!M365</f>
        <v>1</v>
      </c>
      <c r="N365">
        <f t="shared" si="10"/>
        <v>1</v>
      </c>
      <c r="O365" t="str">
        <f xml:space="preserve"> VLOOKUP(A365, Lookup_Tables!$G$2:$H$6,2,TRUE)</f>
        <v>25-34</v>
      </c>
      <c r="P365" t="str">
        <f>_xlfn.XLOOKUP(J365,Lookup_Tables!$J$2:$J$4,Lookup_Tables!$K$2:$K$4, " ",-1)</f>
        <v>Low</v>
      </c>
      <c r="Q365" t="str">
        <f xml:space="preserve"> _xlfn.XLOOKUP(M365, Lookup_Tables!$M$2:$M$5,Lookup_Tables!$N$2:$N$5," ", -1)</f>
        <v>New (0-2)</v>
      </c>
      <c r="R365" s="4">
        <f t="shared" si="11"/>
        <v>3.3333333333333335</v>
      </c>
      <c r="S365" t="str">
        <f xml:space="preserve"> _xlfn.XLOOKUP( E365, Lookup_Tables!$A$2:$A$6,Lookup_Tables!$B$2:$B$6," ", -1)</f>
        <v>Bachelor</v>
      </c>
      <c r="T365" t="str">
        <f>_xlfn.XLOOKUP(G365,Lookup_Tables!$D$2:$D$5,Lookup_Tables!$E$2:$E$5)</f>
        <v>Very High</v>
      </c>
      <c r="U365" t="str">
        <f>_xlfn.XLOOKUP(H365,Lookup_Tables!$D$2:$D$5,Lookup_Tables!$E$2:$E$5)</f>
        <v>High</v>
      </c>
      <c r="V365" t="str">
        <f>_xlfn.XLOOKUP(L365,Lookup_Tables!$D$2:$D$5,Lookup_Tables!$E$2:$E$5)</f>
        <v>High</v>
      </c>
    </row>
    <row r="366" spans="1:22">
      <c r="A366">
        <f>RAW_DATA!A366</f>
        <v>37</v>
      </c>
      <c r="B366" t="str">
        <f>RAW_DATA!B366</f>
        <v>No</v>
      </c>
      <c r="C366" t="str">
        <f>RAW_DATA!C366</f>
        <v>Research &amp; Development</v>
      </c>
      <c r="D366">
        <f>RAW_DATA!D366</f>
        <v>10</v>
      </c>
      <c r="E366">
        <f>RAW_DATA!E366</f>
        <v>3</v>
      </c>
      <c r="F366" t="str">
        <f>RAW_DATA!F366</f>
        <v>Medical</v>
      </c>
      <c r="G366">
        <f>RAW_DATA!G366</f>
        <v>3</v>
      </c>
      <c r="H366">
        <f>RAW_DATA!H366</f>
        <v>1</v>
      </c>
      <c r="I366" t="str">
        <f>RAW_DATA!I366</f>
        <v>Married</v>
      </c>
      <c r="J366">
        <f>RAW_DATA!J366</f>
        <v>3452</v>
      </c>
      <c r="K366">
        <f>RAW_DATA!K366</f>
        <v>6</v>
      </c>
      <c r="L366">
        <f>RAW_DATA!L366</f>
        <v>3</v>
      </c>
      <c r="M366">
        <f>RAW_DATA!M366</f>
        <v>5</v>
      </c>
      <c r="N366">
        <f t="shared" si="10"/>
        <v>0</v>
      </c>
      <c r="O366" t="str">
        <f xml:space="preserve"> VLOOKUP(A366, Lookup_Tables!$G$2:$H$6,2,TRUE)</f>
        <v>35-44</v>
      </c>
      <c r="P366" t="str">
        <f>_xlfn.XLOOKUP(J366,Lookup_Tables!$J$2:$J$4,Lookup_Tables!$K$2:$K$4, " ",-1)</f>
        <v>Medium</v>
      </c>
      <c r="Q366" t="str">
        <f xml:space="preserve"> _xlfn.XLOOKUP(M366, Lookup_Tables!$M$2:$M$5,Lookup_Tables!$N$2:$N$5," ", -1)</f>
        <v>Established (5-10)</v>
      </c>
      <c r="R366" s="4">
        <f t="shared" si="11"/>
        <v>2.3333333333333335</v>
      </c>
      <c r="S366" t="str">
        <f xml:space="preserve"> _xlfn.XLOOKUP( E366, Lookup_Tables!$A$2:$A$6,Lookup_Tables!$B$2:$B$6," ", -1)</f>
        <v>Bachelor</v>
      </c>
      <c r="T366" t="str">
        <f>_xlfn.XLOOKUP(G366,Lookup_Tables!$D$2:$D$5,Lookup_Tables!$E$2:$E$5)</f>
        <v>High</v>
      </c>
      <c r="U366" t="str">
        <f>_xlfn.XLOOKUP(H366,Lookup_Tables!$D$2:$D$5,Lookup_Tables!$E$2:$E$5)</f>
        <v>Low</v>
      </c>
      <c r="V366" t="str">
        <f>_xlfn.XLOOKUP(L366,Lookup_Tables!$D$2:$D$5,Lookup_Tables!$E$2:$E$5)</f>
        <v>High</v>
      </c>
    </row>
    <row r="367" spans="1:22">
      <c r="A367">
        <f>RAW_DATA!A367</f>
        <v>46</v>
      </c>
      <c r="B367" t="str">
        <f>RAW_DATA!B367</f>
        <v>No</v>
      </c>
      <c r="C367" t="str">
        <f>RAW_DATA!C367</f>
        <v>Research &amp; Development</v>
      </c>
      <c r="D367">
        <f>RAW_DATA!D367</f>
        <v>7</v>
      </c>
      <c r="E367">
        <f>RAW_DATA!E367</f>
        <v>4</v>
      </c>
      <c r="F367" t="str">
        <f>RAW_DATA!F367</f>
        <v>Medical</v>
      </c>
      <c r="G367">
        <f>RAW_DATA!G367</f>
        <v>3</v>
      </c>
      <c r="H367">
        <f>RAW_DATA!H367</f>
        <v>3</v>
      </c>
      <c r="I367" t="str">
        <f>RAW_DATA!I367</f>
        <v>Married</v>
      </c>
      <c r="J367">
        <f>RAW_DATA!J367</f>
        <v>5258</v>
      </c>
      <c r="K367">
        <f>RAW_DATA!K367</f>
        <v>2</v>
      </c>
      <c r="L367">
        <f>RAW_DATA!L367</f>
        <v>4</v>
      </c>
      <c r="M367">
        <f>RAW_DATA!M367</f>
        <v>1</v>
      </c>
      <c r="N367">
        <f t="shared" si="10"/>
        <v>0</v>
      </c>
      <c r="O367" t="str">
        <f xml:space="preserve"> VLOOKUP(A367, Lookup_Tables!$G$2:$H$6,2,TRUE)</f>
        <v>45-54</v>
      </c>
      <c r="P367" t="str">
        <f>_xlfn.XLOOKUP(J367,Lookup_Tables!$J$2:$J$4,Lookup_Tables!$K$2:$K$4, " ",-1)</f>
        <v>Medium</v>
      </c>
      <c r="Q367" t="str">
        <f xml:space="preserve"> _xlfn.XLOOKUP(M367, Lookup_Tables!$M$2:$M$5,Lookup_Tables!$N$2:$N$5," ", -1)</f>
        <v>New (0-2)</v>
      </c>
      <c r="R367" s="4">
        <f t="shared" si="11"/>
        <v>3.3333333333333335</v>
      </c>
      <c r="S367" t="str">
        <f xml:space="preserve"> _xlfn.XLOOKUP( E367, Lookup_Tables!$A$2:$A$6,Lookup_Tables!$B$2:$B$6," ", -1)</f>
        <v>Master</v>
      </c>
      <c r="T367" t="str">
        <f>_xlfn.XLOOKUP(G367,Lookup_Tables!$D$2:$D$5,Lookup_Tables!$E$2:$E$5)</f>
        <v>High</v>
      </c>
      <c r="U367" t="str">
        <f>_xlfn.XLOOKUP(H367,Lookup_Tables!$D$2:$D$5,Lookup_Tables!$E$2:$E$5)</f>
        <v>High</v>
      </c>
      <c r="V367" t="str">
        <f>_xlfn.XLOOKUP(L367,Lookup_Tables!$D$2:$D$5,Lookup_Tables!$E$2:$E$5)</f>
        <v>Very High</v>
      </c>
    </row>
    <row r="368" spans="1:22">
      <c r="A368">
        <f>RAW_DATA!A368</f>
        <v>41</v>
      </c>
      <c r="B368" t="str">
        <f>RAW_DATA!B368</f>
        <v>Yes</v>
      </c>
      <c r="C368" t="str">
        <f>RAW_DATA!C368</f>
        <v>Sales</v>
      </c>
      <c r="D368">
        <f>RAW_DATA!D368</f>
        <v>4</v>
      </c>
      <c r="E368">
        <f>RAW_DATA!E368</f>
        <v>3</v>
      </c>
      <c r="F368" t="str">
        <f>RAW_DATA!F368</f>
        <v>Marketing</v>
      </c>
      <c r="G368">
        <f>RAW_DATA!G368</f>
        <v>1</v>
      </c>
      <c r="H368">
        <f>RAW_DATA!H368</f>
        <v>2</v>
      </c>
      <c r="I368" t="str">
        <f>RAW_DATA!I368</f>
        <v>Single</v>
      </c>
      <c r="J368">
        <f>RAW_DATA!J368</f>
        <v>9355</v>
      </c>
      <c r="K368">
        <f>RAW_DATA!K368</f>
        <v>1</v>
      </c>
      <c r="L368">
        <f>RAW_DATA!L368</f>
        <v>3</v>
      </c>
      <c r="M368">
        <f>RAW_DATA!M368</f>
        <v>8</v>
      </c>
      <c r="N368">
        <f t="shared" si="10"/>
        <v>1</v>
      </c>
      <c r="O368" t="str">
        <f xml:space="preserve"> VLOOKUP(A368, Lookup_Tables!$G$2:$H$6,2,TRUE)</f>
        <v>35-44</v>
      </c>
      <c r="P368" t="str">
        <f>_xlfn.XLOOKUP(J368,Lookup_Tables!$J$2:$J$4,Lookup_Tables!$K$2:$K$4, " ",-1)</f>
        <v>High</v>
      </c>
      <c r="Q368" t="str">
        <f xml:space="preserve"> _xlfn.XLOOKUP(M368, Lookup_Tables!$M$2:$M$5,Lookup_Tables!$N$2:$N$5," ", -1)</f>
        <v>Established (5-10)</v>
      </c>
      <c r="R368" s="4">
        <f t="shared" si="11"/>
        <v>2</v>
      </c>
      <c r="S368" t="str">
        <f xml:space="preserve"> _xlfn.XLOOKUP( E368, Lookup_Tables!$A$2:$A$6,Lookup_Tables!$B$2:$B$6," ", -1)</f>
        <v>Bachelor</v>
      </c>
      <c r="T368" t="str">
        <f>_xlfn.XLOOKUP(G368,Lookup_Tables!$D$2:$D$5,Lookup_Tables!$E$2:$E$5)</f>
        <v>Low</v>
      </c>
      <c r="U368" t="str">
        <f>_xlfn.XLOOKUP(H368,Lookup_Tables!$D$2:$D$5,Lookup_Tables!$E$2:$E$5)</f>
        <v>Medium</v>
      </c>
      <c r="V368" t="str">
        <f>_xlfn.XLOOKUP(L368,Lookup_Tables!$D$2:$D$5,Lookup_Tables!$E$2:$E$5)</f>
        <v>High</v>
      </c>
    </row>
    <row r="369" spans="1:22">
      <c r="A369">
        <f>RAW_DATA!A369</f>
        <v>50</v>
      </c>
      <c r="B369" t="str">
        <f>RAW_DATA!B369</f>
        <v>No</v>
      </c>
      <c r="C369" t="str">
        <f>RAW_DATA!C369</f>
        <v>Research &amp; Development</v>
      </c>
      <c r="D369">
        <f>RAW_DATA!D369</f>
        <v>10</v>
      </c>
      <c r="E369">
        <f>RAW_DATA!E369</f>
        <v>3</v>
      </c>
      <c r="F369" t="str">
        <f>RAW_DATA!F369</f>
        <v>Technical Degree</v>
      </c>
      <c r="G369">
        <f>RAW_DATA!G369</f>
        <v>4</v>
      </c>
      <c r="H369">
        <f>RAW_DATA!H369</f>
        <v>4</v>
      </c>
      <c r="I369" t="str">
        <f>RAW_DATA!I369</f>
        <v>Single</v>
      </c>
      <c r="J369">
        <f>RAW_DATA!J369</f>
        <v>10496</v>
      </c>
      <c r="K369">
        <f>RAW_DATA!K369</f>
        <v>6</v>
      </c>
      <c r="L369">
        <f>RAW_DATA!L369</f>
        <v>3</v>
      </c>
      <c r="M369">
        <f>RAW_DATA!M369</f>
        <v>4</v>
      </c>
      <c r="N369">
        <f t="shared" si="10"/>
        <v>0</v>
      </c>
      <c r="O369" t="str">
        <f xml:space="preserve"> VLOOKUP(A369, Lookup_Tables!$G$2:$H$6,2,TRUE)</f>
        <v>45-54</v>
      </c>
      <c r="P369" t="str">
        <f>_xlfn.XLOOKUP(J369,Lookup_Tables!$J$2:$J$4,Lookup_Tables!$K$2:$K$4, " ",-1)</f>
        <v>High</v>
      </c>
      <c r="Q369" t="str">
        <f xml:space="preserve"> _xlfn.XLOOKUP(M369, Lookup_Tables!$M$2:$M$5,Lookup_Tables!$N$2:$N$5," ", -1)</f>
        <v>Early (2-5)</v>
      </c>
      <c r="R369" s="4">
        <f t="shared" si="11"/>
        <v>3.6666666666666665</v>
      </c>
      <c r="S369" t="str">
        <f xml:space="preserve"> _xlfn.XLOOKUP( E369, Lookup_Tables!$A$2:$A$6,Lookup_Tables!$B$2:$B$6," ", -1)</f>
        <v>Bachelor</v>
      </c>
      <c r="T369" t="str">
        <f>_xlfn.XLOOKUP(G369,Lookup_Tables!$D$2:$D$5,Lookup_Tables!$E$2:$E$5)</f>
        <v>Very High</v>
      </c>
      <c r="U369" t="str">
        <f>_xlfn.XLOOKUP(H369,Lookup_Tables!$D$2:$D$5,Lookup_Tables!$E$2:$E$5)</f>
        <v>Very High</v>
      </c>
      <c r="V369" t="str">
        <f>_xlfn.XLOOKUP(L369,Lookup_Tables!$D$2:$D$5,Lookup_Tables!$E$2:$E$5)</f>
        <v>High</v>
      </c>
    </row>
    <row r="370" spans="1:22">
      <c r="A370">
        <f>RAW_DATA!A370</f>
        <v>40</v>
      </c>
      <c r="B370" t="str">
        <f>RAW_DATA!B370</f>
        <v>Yes</v>
      </c>
      <c r="C370" t="str">
        <f>RAW_DATA!C370</f>
        <v>Sales</v>
      </c>
      <c r="D370">
        <f>RAW_DATA!D370</f>
        <v>22</v>
      </c>
      <c r="E370">
        <f>RAW_DATA!E370</f>
        <v>2</v>
      </c>
      <c r="F370" t="str">
        <f>RAW_DATA!F370</f>
        <v>Marketing</v>
      </c>
      <c r="G370">
        <f>RAW_DATA!G370</f>
        <v>3</v>
      </c>
      <c r="H370">
        <f>RAW_DATA!H370</f>
        <v>3</v>
      </c>
      <c r="I370" t="str">
        <f>RAW_DATA!I370</f>
        <v>Married</v>
      </c>
      <c r="J370">
        <f>RAW_DATA!J370</f>
        <v>6380</v>
      </c>
      <c r="K370">
        <f>RAW_DATA!K370</f>
        <v>2</v>
      </c>
      <c r="L370">
        <f>RAW_DATA!L370</f>
        <v>3</v>
      </c>
      <c r="M370">
        <f>RAW_DATA!M370</f>
        <v>6</v>
      </c>
      <c r="N370">
        <f t="shared" si="10"/>
        <v>1</v>
      </c>
      <c r="O370" t="str">
        <f xml:space="preserve"> VLOOKUP(A370, Lookup_Tables!$G$2:$H$6,2,TRUE)</f>
        <v>35-44</v>
      </c>
      <c r="P370" t="str">
        <f>_xlfn.XLOOKUP(J370,Lookup_Tables!$J$2:$J$4,Lookup_Tables!$K$2:$K$4, " ",-1)</f>
        <v>Medium</v>
      </c>
      <c r="Q370" t="str">
        <f xml:space="preserve"> _xlfn.XLOOKUP(M370, Lookup_Tables!$M$2:$M$5,Lookup_Tables!$N$2:$N$5," ", -1)</f>
        <v>Established (5-10)</v>
      </c>
      <c r="R370" s="4">
        <f t="shared" si="11"/>
        <v>3</v>
      </c>
      <c r="S370" t="str">
        <f xml:space="preserve"> _xlfn.XLOOKUP( E370, Lookup_Tables!$A$2:$A$6,Lookup_Tables!$B$2:$B$6," ", -1)</f>
        <v>College</v>
      </c>
      <c r="T370" t="str">
        <f>_xlfn.XLOOKUP(G370,Lookup_Tables!$D$2:$D$5,Lookup_Tables!$E$2:$E$5)</f>
        <v>High</v>
      </c>
      <c r="U370" t="str">
        <f>_xlfn.XLOOKUP(H370,Lookup_Tables!$D$2:$D$5,Lookup_Tables!$E$2:$E$5)</f>
        <v>High</v>
      </c>
      <c r="V370" t="str">
        <f>_xlfn.XLOOKUP(L370,Lookup_Tables!$D$2:$D$5,Lookup_Tables!$E$2:$E$5)</f>
        <v>High</v>
      </c>
    </row>
    <row r="371" spans="1:22">
      <c r="A371">
        <f>RAW_DATA!A371</f>
        <v>31</v>
      </c>
      <c r="B371" t="str">
        <f>RAW_DATA!B371</f>
        <v>No</v>
      </c>
      <c r="C371" t="str">
        <f>RAW_DATA!C371</f>
        <v>Research &amp; Development</v>
      </c>
      <c r="D371">
        <f>RAW_DATA!D371</f>
        <v>9</v>
      </c>
      <c r="E371">
        <f>RAW_DATA!E371</f>
        <v>4</v>
      </c>
      <c r="F371" t="str">
        <f>RAW_DATA!F371</f>
        <v>Life Sciences</v>
      </c>
      <c r="G371">
        <f>RAW_DATA!G371</f>
        <v>3</v>
      </c>
      <c r="H371">
        <f>RAW_DATA!H371</f>
        <v>2</v>
      </c>
      <c r="I371" t="str">
        <f>RAW_DATA!I371</f>
        <v>Single</v>
      </c>
      <c r="J371">
        <f>RAW_DATA!J371</f>
        <v>2657</v>
      </c>
      <c r="K371">
        <f>RAW_DATA!K371</f>
        <v>0</v>
      </c>
      <c r="L371">
        <f>RAW_DATA!L371</f>
        <v>3</v>
      </c>
      <c r="M371">
        <f>RAW_DATA!M371</f>
        <v>2</v>
      </c>
      <c r="N371">
        <f t="shared" si="10"/>
        <v>0</v>
      </c>
      <c r="O371" t="str">
        <f xml:space="preserve"> VLOOKUP(A371, Lookup_Tables!$G$2:$H$6,2,TRUE)</f>
        <v>25-34</v>
      </c>
      <c r="P371" t="str">
        <f>_xlfn.XLOOKUP(J371,Lookup_Tables!$J$2:$J$4,Lookup_Tables!$K$2:$K$4, " ",-1)</f>
        <v>Low</v>
      </c>
      <c r="Q371" t="str">
        <f xml:space="preserve"> _xlfn.XLOOKUP(M371, Lookup_Tables!$M$2:$M$5,Lookup_Tables!$N$2:$N$5," ", -1)</f>
        <v>Early (2-5)</v>
      </c>
      <c r="R371" s="4">
        <f t="shared" si="11"/>
        <v>2.6666666666666665</v>
      </c>
      <c r="S371" t="str">
        <f xml:space="preserve"> _xlfn.XLOOKUP( E371, Lookup_Tables!$A$2:$A$6,Lookup_Tables!$B$2:$B$6," ", -1)</f>
        <v>Master</v>
      </c>
      <c r="T371" t="str">
        <f>_xlfn.XLOOKUP(G371,Lookup_Tables!$D$2:$D$5,Lookup_Tables!$E$2:$E$5)</f>
        <v>High</v>
      </c>
      <c r="U371" t="str">
        <f>_xlfn.XLOOKUP(H371,Lookup_Tables!$D$2:$D$5,Lookup_Tables!$E$2:$E$5)</f>
        <v>Medium</v>
      </c>
      <c r="V371" t="str">
        <f>_xlfn.XLOOKUP(L371,Lookup_Tables!$D$2:$D$5,Lookup_Tables!$E$2:$E$5)</f>
        <v>High</v>
      </c>
    </row>
    <row r="372" spans="1:22">
      <c r="A372">
        <f>RAW_DATA!A372</f>
        <v>21</v>
      </c>
      <c r="B372" t="str">
        <f>RAW_DATA!B372</f>
        <v>Yes</v>
      </c>
      <c r="C372" t="str">
        <f>RAW_DATA!C372</f>
        <v>Sales</v>
      </c>
      <c r="D372">
        <f>RAW_DATA!D372</f>
        <v>12</v>
      </c>
      <c r="E372">
        <f>RAW_DATA!E372</f>
        <v>3</v>
      </c>
      <c r="F372" t="str">
        <f>RAW_DATA!F372</f>
        <v>Life Sciences</v>
      </c>
      <c r="G372">
        <f>RAW_DATA!G372</f>
        <v>3</v>
      </c>
      <c r="H372">
        <f>RAW_DATA!H372</f>
        <v>2</v>
      </c>
      <c r="I372" t="str">
        <f>RAW_DATA!I372</f>
        <v>Single</v>
      </c>
      <c r="J372">
        <f>RAW_DATA!J372</f>
        <v>2716</v>
      </c>
      <c r="K372">
        <f>RAW_DATA!K372</f>
        <v>1</v>
      </c>
      <c r="L372">
        <f>RAW_DATA!L372</f>
        <v>3</v>
      </c>
      <c r="M372">
        <f>RAW_DATA!M372</f>
        <v>1</v>
      </c>
      <c r="N372">
        <f t="shared" si="10"/>
        <v>1</v>
      </c>
      <c r="O372" t="str">
        <f xml:space="preserve"> VLOOKUP(A372, Lookup_Tables!$G$2:$H$6,2,TRUE)</f>
        <v>&lt;25</v>
      </c>
      <c r="P372" t="str">
        <f>_xlfn.XLOOKUP(J372,Lookup_Tables!$J$2:$J$4,Lookup_Tables!$K$2:$K$4, " ",-1)</f>
        <v>Low</v>
      </c>
      <c r="Q372" t="str">
        <f xml:space="preserve"> _xlfn.XLOOKUP(M372, Lookup_Tables!$M$2:$M$5,Lookup_Tables!$N$2:$N$5," ", -1)</f>
        <v>New (0-2)</v>
      </c>
      <c r="R372" s="4">
        <f t="shared" si="11"/>
        <v>2.6666666666666665</v>
      </c>
      <c r="S372" t="str">
        <f xml:space="preserve"> _xlfn.XLOOKUP( E372, Lookup_Tables!$A$2:$A$6,Lookup_Tables!$B$2:$B$6," ", -1)</f>
        <v>Bachelor</v>
      </c>
      <c r="T372" t="str">
        <f>_xlfn.XLOOKUP(G372,Lookup_Tables!$D$2:$D$5,Lookup_Tables!$E$2:$E$5)</f>
        <v>High</v>
      </c>
      <c r="U372" t="str">
        <f>_xlfn.XLOOKUP(H372,Lookup_Tables!$D$2:$D$5,Lookup_Tables!$E$2:$E$5)</f>
        <v>Medium</v>
      </c>
      <c r="V372" t="str">
        <f>_xlfn.XLOOKUP(L372,Lookup_Tables!$D$2:$D$5,Lookup_Tables!$E$2:$E$5)</f>
        <v>High</v>
      </c>
    </row>
    <row r="373" spans="1:22">
      <c r="A373">
        <f>RAW_DATA!A373</f>
        <v>29</v>
      </c>
      <c r="B373" t="str">
        <f>RAW_DATA!B373</f>
        <v>No</v>
      </c>
      <c r="C373" t="str">
        <f>RAW_DATA!C373</f>
        <v>Research &amp; Development</v>
      </c>
      <c r="D373">
        <f>RAW_DATA!D373</f>
        <v>23</v>
      </c>
      <c r="E373">
        <f>RAW_DATA!E373</f>
        <v>3</v>
      </c>
      <c r="F373" t="str">
        <f>RAW_DATA!F373</f>
        <v>Life Sciences</v>
      </c>
      <c r="G373">
        <f>RAW_DATA!G373</f>
        <v>4</v>
      </c>
      <c r="H373">
        <f>RAW_DATA!H373</f>
        <v>4</v>
      </c>
      <c r="I373" t="str">
        <f>RAW_DATA!I373</f>
        <v>Single</v>
      </c>
      <c r="J373">
        <f>RAW_DATA!J373</f>
        <v>2201</v>
      </c>
      <c r="K373">
        <f>RAW_DATA!K373</f>
        <v>9</v>
      </c>
      <c r="L373">
        <f>RAW_DATA!L373</f>
        <v>3</v>
      </c>
      <c r="M373">
        <f>RAW_DATA!M373</f>
        <v>3</v>
      </c>
      <c r="N373">
        <f t="shared" si="10"/>
        <v>0</v>
      </c>
      <c r="O373" t="str">
        <f xml:space="preserve"> VLOOKUP(A373, Lookup_Tables!$G$2:$H$6,2,TRUE)</f>
        <v>25-34</v>
      </c>
      <c r="P373" t="str">
        <f>_xlfn.XLOOKUP(J373,Lookup_Tables!$J$2:$J$4,Lookup_Tables!$K$2:$K$4, " ",-1)</f>
        <v>Low</v>
      </c>
      <c r="Q373" t="str">
        <f xml:space="preserve"> _xlfn.XLOOKUP(M373, Lookup_Tables!$M$2:$M$5,Lookup_Tables!$N$2:$N$5," ", -1)</f>
        <v>Early (2-5)</v>
      </c>
      <c r="R373" s="4">
        <f t="shared" si="11"/>
        <v>3.6666666666666665</v>
      </c>
      <c r="S373" t="str">
        <f xml:space="preserve"> _xlfn.XLOOKUP( E373, Lookup_Tables!$A$2:$A$6,Lookup_Tables!$B$2:$B$6," ", -1)</f>
        <v>Bachelor</v>
      </c>
      <c r="T373" t="str">
        <f>_xlfn.XLOOKUP(G373,Lookup_Tables!$D$2:$D$5,Lookup_Tables!$E$2:$E$5)</f>
        <v>Very High</v>
      </c>
      <c r="U373" t="str">
        <f>_xlfn.XLOOKUP(H373,Lookup_Tables!$D$2:$D$5,Lookup_Tables!$E$2:$E$5)</f>
        <v>Very High</v>
      </c>
      <c r="V373" t="str">
        <f>_xlfn.XLOOKUP(L373,Lookup_Tables!$D$2:$D$5,Lookup_Tables!$E$2:$E$5)</f>
        <v>High</v>
      </c>
    </row>
    <row r="374" spans="1:22">
      <c r="A374">
        <f>RAW_DATA!A374</f>
        <v>35</v>
      </c>
      <c r="B374" t="str">
        <f>RAW_DATA!B374</f>
        <v>No</v>
      </c>
      <c r="C374" t="str">
        <f>RAW_DATA!C374</f>
        <v>Research &amp; Development</v>
      </c>
      <c r="D374">
        <f>RAW_DATA!D374</f>
        <v>9</v>
      </c>
      <c r="E374">
        <f>RAW_DATA!E374</f>
        <v>4</v>
      </c>
      <c r="F374" t="str">
        <f>RAW_DATA!F374</f>
        <v>Life Sciences</v>
      </c>
      <c r="G374">
        <f>RAW_DATA!G374</f>
        <v>3</v>
      </c>
      <c r="H374">
        <f>RAW_DATA!H374</f>
        <v>2</v>
      </c>
      <c r="I374" t="str">
        <f>RAW_DATA!I374</f>
        <v>Single</v>
      </c>
      <c r="J374">
        <f>RAW_DATA!J374</f>
        <v>6540</v>
      </c>
      <c r="K374">
        <f>RAW_DATA!K374</f>
        <v>9</v>
      </c>
      <c r="L374">
        <f>RAW_DATA!L374</f>
        <v>3</v>
      </c>
      <c r="M374">
        <f>RAW_DATA!M374</f>
        <v>1</v>
      </c>
      <c r="N374">
        <f t="shared" si="10"/>
        <v>0</v>
      </c>
      <c r="O374" t="str">
        <f xml:space="preserve"> VLOOKUP(A374, Lookup_Tables!$G$2:$H$6,2,TRUE)</f>
        <v>35-44</v>
      </c>
      <c r="P374" t="str">
        <f>_xlfn.XLOOKUP(J374,Lookup_Tables!$J$2:$J$4,Lookup_Tables!$K$2:$K$4, " ",-1)</f>
        <v>Medium</v>
      </c>
      <c r="Q374" t="str">
        <f xml:space="preserve"> _xlfn.XLOOKUP(M374, Lookup_Tables!$M$2:$M$5,Lookup_Tables!$N$2:$N$5," ", -1)</f>
        <v>New (0-2)</v>
      </c>
      <c r="R374" s="4">
        <f t="shared" si="11"/>
        <v>2.6666666666666665</v>
      </c>
      <c r="S374" t="str">
        <f xml:space="preserve"> _xlfn.XLOOKUP( E374, Lookup_Tables!$A$2:$A$6,Lookup_Tables!$B$2:$B$6," ", -1)</f>
        <v>Master</v>
      </c>
      <c r="T374" t="str">
        <f>_xlfn.XLOOKUP(G374,Lookup_Tables!$D$2:$D$5,Lookup_Tables!$E$2:$E$5)</f>
        <v>High</v>
      </c>
      <c r="U374" t="str">
        <f>_xlfn.XLOOKUP(H374,Lookup_Tables!$D$2:$D$5,Lookup_Tables!$E$2:$E$5)</f>
        <v>Medium</v>
      </c>
      <c r="V374" t="str">
        <f>_xlfn.XLOOKUP(L374,Lookup_Tables!$D$2:$D$5,Lookup_Tables!$E$2:$E$5)</f>
        <v>High</v>
      </c>
    </row>
    <row r="375" spans="1:22">
      <c r="A375">
        <f>RAW_DATA!A375</f>
        <v>27</v>
      </c>
      <c r="B375" t="str">
        <f>RAW_DATA!B375</f>
        <v>No</v>
      </c>
      <c r="C375" t="str">
        <f>RAW_DATA!C375</f>
        <v>Research &amp; Development</v>
      </c>
      <c r="D375">
        <f>RAW_DATA!D375</f>
        <v>1</v>
      </c>
      <c r="E375">
        <f>RAW_DATA!E375</f>
        <v>2</v>
      </c>
      <c r="F375" t="str">
        <f>RAW_DATA!F375</f>
        <v>Medical</v>
      </c>
      <c r="G375">
        <f>RAW_DATA!G375</f>
        <v>4</v>
      </c>
      <c r="H375">
        <f>RAW_DATA!H375</f>
        <v>2</v>
      </c>
      <c r="I375" t="str">
        <f>RAW_DATA!I375</f>
        <v>Divorced</v>
      </c>
      <c r="J375">
        <f>RAW_DATA!J375</f>
        <v>3816</v>
      </c>
      <c r="K375">
        <f>RAW_DATA!K375</f>
        <v>1</v>
      </c>
      <c r="L375">
        <f>RAW_DATA!L375</f>
        <v>3</v>
      </c>
      <c r="M375">
        <f>RAW_DATA!M375</f>
        <v>5</v>
      </c>
      <c r="N375">
        <f t="shared" si="10"/>
        <v>0</v>
      </c>
      <c r="O375" t="str">
        <f xml:space="preserve"> VLOOKUP(A375, Lookup_Tables!$G$2:$H$6,2,TRUE)</f>
        <v>25-34</v>
      </c>
      <c r="P375" t="str">
        <f>_xlfn.XLOOKUP(J375,Lookup_Tables!$J$2:$J$4,Lookup_Tables!$K$2:$K$4, " ",-1)</f>
        <v>Medium</v>
      </c>
      <c r="Q375" t="str">
        <f xml:space="preserve"> _xlfn.XLOOKUP(M375, Lookup_Tables!$M$2:$M$5,Lookup_Tables!$N$2:$N$5," ", -1)</f>
        <v>Established (5-10)</v>
      </c>
      <c r="R375" s="4">
        <f t="shared" si="11"/>
        <v>3</v>
      </c>
      <c r="S375" t="str">
        <f xml:space="preserve"> _xlfn.XLOOKUP( E375, Lookup_Tables!$A$2:$A$6,Lookup_Tables!$B$2:$B$6," ", -1)</f>
        <v>College</v>
      </c>
      <c r="T375" t="str">
        <f>_xlfn.XLOOKUP(G375,Lookup_Tables!$D$2:$D$5,Lookup_Tables!$E$2:$E$5)</f>
        <v>Very High</v>
      </c>
      <c r="U375" t="str">
        <f>_xlfn.XLOOKUP(H375,Lookup_Tables!$D$2:$D$5,Lookup_Tables!$E$2:$E$5)</f>
        <v>Medium</v>
      </c>
      <c r="V375" t="str">
        <f>_xlfn.XLOOKUP(L375,Lookup_Tables!$D$2:$D$5,Lookup_Tables!$E$2:$E$5)</f>
        <v>High</v>
      </c>
    </row>
    <row r="376" spans="1:22">
      <c r="A376">
        <f>RAW_DATA!A376</f>
        <v>28</v>
      </c>
      <c r="B376" t="str">
        <f>RAW_DATA!B376</f>
        <v>No</v>
      </c>
      <c r="C376" t="str">
        <f>RAW_DATA!C376</f>
        <v>Sales</v>
      </c>
      <c r="D376">
        <f>RAW_DATA!D376</f>
        <v>9</v>
      </c>
      <c r="E376">
        <f>RAW_DATA!E376</f>
        <v>4</v>
      </c>
      <c r="F376" t="str">
        <f>RAW_DATA!F376</f>
        <v>Life Sciences</v>
      </c>
      <c r="G376">
        <f>RAW_DATA!G376</f>
        <v>2</v>
      </c>
      <c r="H376">
        <f>RAW_DATA!H376</f>
        <v>4</v>
      </c>
      <c r="I376" t="str">
        <f>RAW_DATA!I376</f>
        <v>Single</v>
      </c>
      <c r="J376">
        <f>RAW_DATA!J376</f>
        <v>5253</v>
      </c>
      <c r="K376">
        <f>RAW_DATA!K376</f>
        <v>1</v>
      </c>
      <c r="L376">
        <f>RAW_DATA!L376</f>
        <v>3</v>
      </c>
      <c r="M376">
        <f>RAW_DATA!M376</f>
        <v>7</v>
      </c>
      <c r="N376">
        <f t="shared" si="10"/>
        <v>0</v>
      </c>
      <c r="O376" t="str">
        <f xml:space="preserve"> VLOOKUP(A376, Lookup_Tables!$G$2:$H$6,2,TRUE)</f>
        <v>25-34</v>
      </c>
      <c r="P376" t="str">
        <f>_xlfn.XLOOKUP(J376,Lookup_Tables!$J$2:$J$4,Lookup_Tables!$K$2:$K$4, " ",-1)</f>
        <v>Medium</v>
      </c>
      <c r="Q376" t="str">
        <f xml:space="preserve"> _xlfn.XLOOKUP(M376, Lookup_Tables!$M$2:$M$5,Lookup_Tables!$N$2:$N$5," ", -1)</f>
        <v>Established (5-10)</v>
      </c>
      <c r="R376" s="4">
        <f t="shared" si="11"/>
        <v>3</v>
      </c>
      <c r="S376" t="str">
        <f xml:space="preserve"> _xlfn.XLOOKUP( E376, Lookup_Tables!$A$2:$A$6,Lookup_Tables!$B$2:$B$6," ", -1)</f>
        <v>Master</v>
      </c>
      <c r="T376" t="str">
        <f>_xlfn.XLOOKUP(G376,Lookup_Tables!$D$2:$D$5,Lookup_Tables!$E$2:$E$5)</f>
        <v>Medium</v>
      </c>
      <c r="U376" t="str">
        <f>_xlfn.XLOOKUP(H376,Lookup_Tables!$D$2:$D$5,Lookup_Tables!$E$2:$E$5)</f>
        <v>Very High</v>
      </c>
      <c r="V376" t="str">
        <f>_xlfn.XLOOKUP(L376,Lookup_Tables!$D$2:$D$5,Lookup_Tables!$E$2:$E$5)</f>
        <v>High</v>
      </c>
    </row>
    <row r="377" spans="1:22">
      <c r="A377">
        <f>RAW_DATA!A377</f>
        <v>49</v>
      </c>
      <c r="B377" t="str">
        <f>RAW_DATA!B377</f>
        <v>No</v>
      </c>
      <c r="C377" t="str">
        <f>RAW_DATA!C377</f>
        <v>Research &amp; Development</v>
      </c>
      <c r="D377">
        <f>RAW_DATA!D377</f>
        <v>7</v>
      </c>
      <c r="E377">
        <f>RAW_DATA!E377</f>
        <v>3</v>
      </c>
      <c r="F377" t="str">
        <f>RAW_DATA!F377</f>
        <v>Other</v>
      </c>
      <c r="G377">
        <f>RAW_DATA!G377</f>
        <v>2</v>
      </c>
      <c r="H377">
        <f>RAW_DATA!H377</f>
        <v>3</v>
      </c>
      <c r="I377" t="str">
        <f>RAW_DATA!I377</f>
        <v>Single</v>
      </c>
      <c r="J377">
        <f>RAW_DATA!J377</f>
        <v>10965</v>
      </c>
      <c r="K377">
        <f>RAW_DATA!K377</f>
        <v>8</v>
      </c>
      <c r="L377">
        <f>RAW_DATA!L377</f>
        <v>3</v>
      </c>
      <c r="M377">
        <f>RAW_DATA!M377</f>
        <v>5</v>
      </c>
      <c r="N377">
        <f t="shared" si="10"/>
        <v>0</v>
      </c>
      <c r="O377" t="str">
        <f xml:space="preserve"> VLOOKUP(A377, Lookup_Tables!$G$2:$H$6,2,TRUE)</f>
        <v>45-54</v>
      </c>
      <c r="P377" t="str">
        <f>_xlfn.XLOOKUP(J377,Lookup_Tables!$J$2:$J$4,Lookup_Tables!$K$2:$K$4, " ",-1)</f>
        <v>High</v>
      </c>
      <c r="Q377" t="str">
        <f xml:space="preserve"> _xlfn.XLOOKUP(M377, Lookup_Tables!$M$2:$M$5,Lookup_Tables!$N$2:$N$5," ", -1)</f>
        <v>Established (5-10)</v>
      </c>
      <c r="R377" s="4">
        <f t="shared" si="11"/>
        <v>2.6666666666666665</v>
      </c>
      <c r="S377" t="str">
        <f xml:space="preserve"> _xlfn.XLOOKUP( E377, Lookup_Tables!$A$2:$A$6,Lookup_Tables!$B$2:$B$6," ", -1)</f>
        <v>Bachelor</v>
      </c>
      <c r="T377" t="str">
        <f>_xlfn.XLOOKUP(G377,Lookup_Tables!$D$2:$D$5,Lookup_Tables!$E$2:$E$5)</f>
        <v>Medium</v>
      </c>
      <c r="U377" t="str">
        <f>_xlfn.XLOOKUP(H377,Lookup_Tables!$D$2:$D$5,Lookup_Tables!$E$2:$E$5)</f>
        <v>High</v>
      </c>
      <c r="V377" t="str">
        <f>_xlfn.XLOOKUP(L377,Lookup_Tables!$D$2:$D$5,Lookup_Tables!$E$2:$E$5)</f>
        <v>High</v>
      </c>
    </row>
    <row r="378" spans="1:22">
      <c r="A378">
        <f>RAW_DATA!A378</f>
        <v>51</v>
      </c>
      <c r="B378" t="str">
        <f>RAW_DATA!B378</f>
        <v>No</v>
      </c>
      <c r="C378" t="str">
        <f>RAW_DATA!C378</f>
        <v>Sales</v>
      </c>
      <c r="D378">
        <f>RAW_DATA!D378</f>
        <v>14</v>
      </c>
      <c r="E378">
        <f>RAW_DATA!E378</f>
        <v>2</v>
      </c>
      <c r="F378" t="str">
        <f>RAW_DATA!F378</f>
        <v>Life Sciences</v>
      </c>
      <c r="G378">
        <f>RAW_DATA!G378</f>
        <v>3</v>
      </c>
      <c r="H378">
        <f>RAW_DATA!H378</f>
        <v>4</v>
      </c>
      <c r="I378" t="str">
        <f>RAW_DATA!I378</f>
        <v>Married</v>
      </c>
      <c r="J378">
        <f>RAW_DATA!J378</f>
        <v>4936</v>
      </c>
      <c r="K378">
        <f>RAW_DATA!K378</f>
        <v>4</v>
      </c>
      <c r="L378">
        <f>RAW_DATA!L378</f>
        <v>2</v>
      </c>
      <c r="M378">
        <f>RAW_DATA!M378</f>
        <v>7</v>
      </c>
      <c r="N378">
        <f t="shared" si="10"/>
        <v>0</v>
      </c>
      <c r="O378" t="str">
        <f xml:space="preserve"> VLOOKUP(A378, Lookup_Tables!$G$2:$H$6,2,TRUE)</f>
        <v>45-54</v>
      </c>
      <c r="P378" t="str">
        <f>_xlfn.XLOOKUP(J378,Lookup_Tables!$J$2:$J$4,Lookup_Tables!$K$2:$K$4, " ",-1)</f>
        <v>Medium</v>
      </c>
      <c r="Q378" t="str">
        <f xml:space="preserve"> _xlfn.XLOOKUP(M378, Lookup_Tables!$M$2:$M$5,Lookup_Tables!$N$2:$N$5," ", -1)</f>
        <v>Established (5-10)</v>
      </c>
      <c r="R378" s="4">
        <f t="shared" si="11"/>
        <v>3</v>
      </c>
      <c r="S378" t="str">
        <f xml:space="preserve"> _xlfn.XLOOKUP( E378, Lookup_Tables!$A$2:$A$6,Lookup_Tables!$B$2:$B$6," ", -1)</f>
        <v>College</v>
      </c>
      <c r="T378" t="str">
        <f>_xlfn.XLOOKUP(G378,Lookup_Tables!$D$2:$D$5,Lookup_Tables!$E$2:$E$5)</f>
        <v>High</v>
      </c>
      <c r="U378" t="str">
        <f>_xlfn.XLOOKUP(H378,Lookup_Tables!$D$2:$D$5,Lookup_Tables!$E$2:$E$5)</f>
        <v>Very High</v>
      </c>
      <c r="V378" t="str">
        <f>_xlfn.XLOOKUP(L378,Lookup_Tables!$D$2:$D$5,Lookup_Tables!$E$2:$E$5)</f>
        <v>Medium</v>
      </c>
    </row>
    <row r="379" spans="1:22">
      <c r="A379">
        <f>RAW_DATA!A379</f>
        <v>36</v>
      </c>
      <c r="B379" t="str">
        <f>RAW_DATA!B379</f>
        <v>No</v>
      </c>
      <c r="C379" t="str">
        <f>RAW_DATA!C379</f>
        <v>Research &amp; Development</v>
      </c>
      <c r="D379">
        <f>RAW_DATA!D379</f>
        <v>2</v>
      </c>
      <c r="E379">
        <f>RAW_DATA!E379</f>
        <v>3</v>
      </c>
      <c r="F379" t="str">
        <f>RAW_DATA!F379</f>
        <v>Life Sciences</v>
      </c>
      <c r="G379">
        <f>RAW_DATA!G379</f>
        <v>4</v>
      </c>
      <c r="H379">
        <f>RAW_DATA!H379</f>
        <v>3</v>
      </c>
      <c r="I379" t="str">
        <f>RAW_DATA!I379</f>
        <v>Married</v>
      </c>
      <c r="J379">
        <f>RAW_DATA!J379</f>
        <v>2543</v>
      </c>
      <c r="K379">
        <f>RAW_DATA!K379</f>
        <v>4</v>
      </c>
      <c r="L379">
        <f>RAW_DATA!L379</f>
        <v>3</v>
      </c>
      <c r="M379">
        <f>RAW_DATA!M379</f>
        <v>2</v>
      </c>
      <c r="N379">
        <f t="shared" si="10"/>
        <v>0</v>
      </c>
      <c r="O379" t="str">
        <f xml:space="preserve"> VLOOKUP(A379, Lookup_Tables!$G$2:$H$6,2,TRUE)</f>
        <v>35-44</v>
      </c>
      <c r="P379" t="str">
        <f>_xlfn.XLOOKUP(J379,Lookup_Tables!$J$2:$J$4,Lookup_Tables!$K$2:$K$4, " ",-1)</f>
        <v>Low</v>
      </c>
      <c r="Q379" t="str">
        <f xml:space="preserve"> _xlfn.XLOOKUP(M379, Lookup_Tables!$M$2:$M$5,Lookup_Tables!$N$2:$N$5," ", -1)</f>
        <v>Early (2-5)</v>
      </c>
      <c r="R379" s="4">
        <f t="shared" si="11"/>
        <v>3.3333333333333335</v>
      </c>
      <c r="S379" t="str">
        <f xml:space="preserve"> _xlfn.XLOOKUP( E379, Lookup_Tables!$A$2:$A$6,Lookup_Tables!$B$2:$B$6," ", -1)</f>
        <v>Bachelor</v>
      </c>
      <c r="T379" t="str">
        <f>_xlfn.XLOOKUP(G379,Lookup_Tables!$D$2:$D$5,Lookup_Tables!$E$2:$E$5)</f>
        <v>Very High</v>
      </c>
      <c r="U379" t="str">
        <f>_xlfn.XLOOKUP(H379,Lookup_Tables!$D$2:$D$5,Lookup_Tables!$E$2:$E$5)</f>
        <v>High</v>
      </c>
      <c r="V379" t="str">
        <f>_xlfn.XLOOKUP(L379,Lookup_Tables!$D$2:$D$5,Lookup_Tables!$E$2:$E$5)</f>
        <v>High</v>
      </c>
    </row>
    <row r="380" spans="1:22">
      <c r="A380">
        <f>RAW_DATA!A380</f>
        <v>34</v>
      </c>
      <c r="B380" t="str">
        <f>RAW_DATA!B380</f>
        <v>Yes</v>
      </c>
      <c r="C380" t="str">
        <f>RAW_DATA!C380</f>
        <v>Sales</v>
      </c>
      <c r="D380">
        <f>RAW_DATA!D380</f>
        <v>19</v>
      </c>
      <c r="E380">
        <f>RAW_DATA!E380</f>
        <v>3</v>
      </c>
      <c r="F380" t="str">
        <f>RAW_DATA!F380</f>
        <v>Marketing</v>
      </c>
      <c r="G380">
        <f>RAW_DATA!G380</f>
        <v>1</v>
      </c>
      <c r="H380">
        <f>RAW_DATA!H380</f>
        <v>4</v>
      </c>
      <c r="I380" t="str">
        <f>RAW_DATA!I380</f>
        <v>Single</v>
      </c>
      <c r="J380">
        <f>RAW_DATA!J380</f>
        <v>5304</v>
      </c>
      <c r="K380">
        <f>RAW_DATA!K380</f>
        <v>8</v>
      </c>
      <c r="L380">
        <f>RAW_DATA!L380</f>
        <v>2</v>
      </c>
      <c r="M380">
        <f>RAW_DATA!M380</f>
        <v>5</v>
      </c>
      <c r="N380">
        <f t="shared" si="10"/>
        <v>1</v>
      </c>
      <c r="O380" t="str">
        <f xml:space="preserve"> VLOOKUP(A380, Lookup_Tables!$G$2:$H$6,2,TRUE)</f>
        <v>25-34</v>
      </c>
      <c r="P380" t="str">
        <f>_xlfn.XLOOKUP(J380,Lookup_Tables!$J$2:$J$4,Lookup_Tables!$K$2:$K$4, " ",-1)</f>
        <v>Medium</v>
      </c>
      <c r="Q380" t="str">
        <f xml:space="preserve"> _xlfn.XLOOKUP(M380, Lookup_Tables!$M$2:$M$5,Lookup_Tables!$N$2:$N$5," ", -1)</f>
        <v>Established (5-10)</v>
      </c>
      <c r="R380" s="4">
        <f t="shared" si="11"/>
        <v>2.3333333333333335</v>
      </c>
      <c r="S380" t="str">
        <f xml:space="preserve"> _xlfn.XLOOKUP( E380, Lookup_Tables!$A$2:$A$6,Lookup_Tables!$B$2:$B$6," ", -1)</f>
        <v>Bachelor</v>
      </c>
      <c r="T380" t="str">
        <f>_xlfn.XLOOKUP(G380,Lookup_Tables!$D$2:$D$5,Lookup_Tables!$E$2:$E$5)</f>
        <v>Low</v>
      </c>
      <c r="U380" t="str">
        <f>_xlfn.XLOOKUP(H380,Lookup_Tables!$D$2:$D$5,Lookup_Tables!$E$2:$E$5)</f>
        <v>Very High</v>
      </c>
      <c r="V380" t="str">
        <f>_xlfn.XLOOKUP(L380,Lookup_Tables!$D$2:$D$5,Lookup_Tables!$E$2:$E$5)</f>
        <v>Medium</v>
      </c>
    </row>
    <row r="381" spans="1:22">
      <c r="A381">
        <f>RAW_DATA!A381</f>
        <v>55</v>
      </c>
      <c r="B381" t="str">
        <f>RAW_DATA!B381</f>
        <v>No</v>
      </c>
      <c r="C381" t="str">
        <f>RAW_DATA!C381</f>
        <v>Research &amp; Development</v>
      </c>
      <c r="D381">
        <f>RAW_DATA!D381</f>
        <v>2</v>
      </c>
      <c r="E381">
        <f>RAW_DATA!E381</f>
        <v>3</v>
      </c>
      <c r="F381" t="str">
        <f>RAW_DATA!F381</f>
        <v>Life Sciences</v>
      </c>
      <c r="G381">
        <f>RAW_DATA!G381</f>
        <v>3</v>
      </c>
      <c r="H381">
        <f>RAW_DATA!H381</f>
        <v>4</v>
      </c>
      <c r="I381" t="str">
        <f>RAW_DATA!I381</f>
        <v>Single</v>
      </c>
      <c r="J381">
        <f>RAW_DATA!J381</f>
        <v>16659</v>
      </c>
      <c r="K381">
        <f>RAW_DATA!K381</f>
        <v>2</v>
      </c>
      <c r="L381">
        <f>RAW_DATA!L381</f>
        <v>3</v>
      </c>
      <c r="M381">
        <f>RAW_DATA!M381</f>
        <v>5</v>
      </c>
      <c r="N381">
        <f t="shared" si="10"/>
        <v>0</v>
      </c>
      <c r="O381" t="str">
        <f xml:space="preserve"> VLOOKUP(A381, Lookup_Tables!$G$2:$H$6,2,TRUE)</f>
        <v>55+</v>
      </c>
      <c r="P381" t="str">
        <f>_xlfn.XLOOKUP(J381,Lookup_Tables!$J$2:$J$4,Lookup_Tables!$K$2:$K$4, " ",-1)</f>
        <v>High</v>
      </c>
      <c r="Q381" t="str">
        <f xml:space="preserve"> _xlfn.XLOOKUP(M381, Lookup_Tables!$M$2:$M$5,Lookup_Tables!$N$2:$N$5," ", -1)</f>
        <v>Established (5-10)</v>
      </c>
      <c r="R381" s="4">
        <f t="shared" si="11"/>
        <v>3.3333333333333335</v>
      </c>
      <c r="S381" t="str">
        <f xml:space="preserve"> _xlfn.XLOOKUP( E381, Lookup_Tables!$A$2:$A$6,Lookup_Tables!$B$2:$B$6," ", -1)</f>
        <v>Bachelor</v>
      </c>
      <c r="T381" t="str">
        <f>_xlfn.XLOOKUP(G381,Lookup_Tables!$D$2:$D$5,Lookup_Tables!$E$2:$E$5)</f>
        <v>High</v>
      </c>
      <c r="U381" t="str">
        <f>_xlfn.XLOOKUP(H381,Lookup_Tables!$D$2:$D$5,Lookup_Tables!$E$2:$E$5)</f>
        <v>Very High</v>
      </c>
      <c r="V381" t="str">
        <f>_xlfn.XLOOKUP(L381,Lookup_Tables!$D$2:$D$5,Lookup_Tables!$E$2:$E$5)</f>
        <v>High</v>
      </c>
    </row>
    <row r="382" spans="1:22">
      <c r="A382">
        <f>RAW_DATA!A382</f>
        <v>24</v>
      </c>
      <c r="B382" t="str">
        <f>RAW_DATA!B382</f>
        <v>No</v>
      </c>
      <c r="C382" t="str">
        <f>RAW_DATA!C382</f>
        <v>Sales</v>
      </c>
      <c r="D382">
        <f>RAW_DATA!D382</f>
        <v>10</v>
      </c>
      <c r="E382">
        <f>RAW_DATA!E382</f>
        <v>4</v>
      </c>
      <c r="F382" t="str">
        <f>RAW_DATA!F382</f>
        <v>Marketing</v>
      </c>
      <c r="G382">
        <f>RAW_DATA!G382</f>
        <v>4</v>
      </c>
      <c r="H382">
        <f>RAW_DATA!H382</f>
        <v>3</v>
      </c>
      <c r="I382" t="str">
        <f>RAW_DATA!I382</f>
        <v>Divorced</v>
      </c>
      <c r="J382">
        <f>RAW_DATA!J382</f>
        <v>4260</v>
      </c>
      <c r="K382">
        <f>RAW_DATA!K382</f>
        <v>1</v>
      </c>
      <c r="L382">
        <f>RAW_DATA!L382</f>
        <v>4</v>
      </c>
      <c r="M382">
        <f>RAW_DATA!M382</f>
        <v>5</v>
      </c>
      <c r="N382">
        <f t="shared" si="10"/>
        <v>0</v>
      </c>
      <c r="O382" t="str">
        <f xml:space="preserve"> VLOOKUP(A382, Lookup_Tables!$G$2:$H$6,2,TRUE)</f>
        <v>&lt;25</v>
      </c>
      <c r="P382" t="str">
        <f>_xlfn.XLOOKUP(J382,Lookup_Tables!$J$2:$J$4,Lookup_Tables!$K$2:$K$4, " ",-1)</f>
        <v>Medium</v>
      </c>
      <c r="Q382" t="str">
        <f xml:space="preserve"> _xlfn.XLOOKUP(M382, Lookup_Tables!$M$2:$M$5,Lookup_Tables!$N$2:$N$5," ", -1)</f>
        <v>Established (5-10)</v>
      </c>
      <c r="R382" s="4">
        <f t="shared" si="11"/>
        <v>3.6666666666666665</v>
      </c>
      <c r="S382" t="str">
        <f xml:space="preserve"> _xlfn.XLOOKUP( E382, Lookup_Tables!$A$2:$A$6,Lookup_Tables!$B$2:$B$6," ", -1)</f>
        <v>Master</v>
      </c>
      <c r="T382" t="str">
        <f>_xlfn.XLOOKUP(G382,Lookup_Tables!$D$2:$D$5,Lookup_Tables!$E$2:$E$5)</f>
        <v>Very High</v>
      </c>
      <c r="U382" t="str">
        <f>_xlfn.XLOOKUP(H382,Lookup_Tables!$D$2:$D$5,Lookup_Tables!$E$2:$E$5)</f>
        <v>High</v>
      </c>
      <c r="V382" t="str">
        <f>_xlfn.XLOOKUP(L382,Lookup_Tables!$D$2:$D$5,Lookup_Tables!$E$2:$E$5)</f>
        <v>Very High</v>
      </c>
    </row>
    <row r="383" spans="1:22">
      <c r="A383">
        <f>RAW_DATA!A383</f>
        <v>30</v>
      </c>
      <c r="B383" t="str">
        <f>RAW_DATA!B383</f>
        <v>No</v>
      </c>
      <c r="C383" t="str">
        <f>RAW_DATA!C383</f>
        <v>Sales</v>
      </c>
      <c r="D383">
        <f>RAW_DATA!D383</f>
        <v>2</v>
      </c>
      <c r="E383">
        <f>RAW_DATA!E383</f>
        <v>1</v>
      </c>
      <c r="F383" t="str">
        <f>RAW_DATA!F383</f>
        <v>Technical Degree</v>
      </c>
      <c r="G383">
        <f>RAW_DATA!G383</f>
        <v>3</v>
      </c>
      <c r="H383">
        <f>RAW_DATA!H383</f>
        <v>2</v>
      </c>
      <c r="I383" t="str">
        <f>RAW_DATA!I383</f>
        <v>Married</v>
      </c>
      <c r="J383">
        <f>RAW_DATA!J383</f>
        <v>2476</v>
      </c>
      <c r="K383">
        <f>RAW_DATA!K383</f>
        <v>1</v>
      </c>
      <c r="L383">
        <f>RAW_DATA!L383</f>
        <v>3</v>
      </c>
      <c r="M383">
        <f>RAW_DATA!M383</f>
        <v>1</v>
      </c>
      <c r="N383">
        <f t="shared" si="10"/>
        <v>0</v>
      </c>
      <c r="O383" t="str">
        <f xml:space="preserve"> VLOOKUP(A383, Lookup_Tables!$G$2:$H$6,2,TRUE)</f>
        <v>25-34</v>
      </c>
      <c r="P383" t="str">
        <f>_xlfn.XLOOKUP(J383,Lookup_Tables!$J$2:$J$4,Lookup_Tables!$K$2:$K$4, " ",-1)</f>
        <v>Low</v>
      </c>
      <c r="Q383" t="str">
        <f xml:space="preserve"> _xlfn.XLOOKUP(M383, Lookup_Tables!$M$2:$M$5,Lookup_Tables!$N$2:$N$5," ", -1)</f>
        <v>New (0-2)</v>
      </c>
      <c r="R383" s="4">
        <f t="shared" si="11"/>
        <v>2.6666666666666665</v>
      </c>
      <c r="S383" t="str">
        <f xml:space="preserve"> _xlfn.XLOOKUP( E383, Lookup_Tables!$A$2:$A$6,Lookup_Tables!$B$2:$B$6," ", -1)</f>
        <v>Below College</v>
      </c>
      <c r="T383" t="str">
        <f>_xlfn.XLOOKUP(G383,Lookup_Tables!$D$2:$D$5,Lookup_Tables!$E$2:$E$5)</f>
        <v>High</v>
      </c>
      <c r="U383" t="str">
        <f>_xlfn.XLOOKUP(H383,Lookup_Tables!$D$2:$D$5,Lookup_Tables!$E$2:$E$5)</f>
        <v>Medium</v>
      </c>
      <c r="V383" t="str">
        <f>_xlfn.XLOOKUP(L383,Lookup_Tables!$D$2:$D$5,Lookup_Tables!$E$2:$E$5)</f>
        <v>High</v>
      </c>
    </row>
    <row r="384" spans="1:22">
      <c r="A384">
        <f>RAW_DATA!A384</f>
        <v>26</v>
      </c>
      <c r="B384" t="str">
        <f>RAW_DATA!B384</f>
        <v>Yes</v>
      </c>
      <c r="C384" t="str">
        <f>RAW_DATA!C384</f>
        <v>Research &amp; Development</v>
      </c>
      <c r="D384">
        <f>RAW_DATA!D384</f>
        <v>3</v>
      </c>
      <c r="E384">
        <f>RAW_DATA!E384</f>
        <v>1</v>
      </c>
      <c r="F384" t="str">
        <f>RAW_DATA!F384</f>
        <v>Technical Degree</v>
      </c>
      <c r="G384">
        <f>RAW_DATA!G384</f>
        <v>3</v>
      </c>
      <c r="H384">
        <f>RAW_DATA!H384</f>
        <v>1</v>
      </c>
      <c r="I384" t="str">
        <f>RAW_DATA!I384</f>
        <v>Single</v>
      </c>
      <c r="J384">
        <f>RAW_DATA!J384</f>
        <v>3102</v>
      </c>
      <c r="K384">
        <f>RAW_DATA!K384</f>
        <v>0</v>
      </c>
      <c r="L384">
        <f>RAW_DATA!L384</f>
        <v>3</v>
      </c>
      <c r="M384">
        <f>RAW_DATA!M384</f>
        <v>6</v>
      </c>
      <c r="N384">
        <f t="shared" si="10"/>
        <v>1</v>
      </c>
      <c r="O384" t="str">
        <f xml:space="preserve"> VLOOKUP(A384, Lookup_Tables!$G$2:$H$6,2,TRUE)</f>
        <v>25-34</v>
      </c>
      <c r="P384" t="str">
        <f>_xlfn.XLOOKUP(J384,Lookup_Tables!$J$2:$J$4,Lookup_Tables!$K$2:$K$4, " ",-1)</f>
        <v>Medium</v>
      </c>
      <c r="Q384" t="str">
        <f xml:space="preserve"> _xlfn.XLOOKUP(M384, Lookup_Tables!$M$2:$M$5,Lookup_Tables!$N$2:$N$5," ", -1)</f>
        <v>Established (5-10)</v>
      </c>
      <c r="R384" s="4">
        <f t="shared" si="11"/>
        <v>2.3333333333333335</v>
      </c>
      <c r="S384" t="str">
        <f xml:space="preserve"> _xlfn.XLOOKUP( E384, Lookup_Tables!$A$2:$A$6,Lookup_Tables!$B$2:$B$6," ", -1)</f>
        <v>Below College</v>
      </c>
      <c r="T384" t="str">
        <f>_xlfn.XLOOKUP(G384,Lookup_Tables!$D$2:$D$5,Lookup_Tables!$E$2:$E$5)</f>
        <v>High</v>
      </c>
      <c r="U384" t="str">
        <f>_xlfn.XLOOKUP(H384,Lookup_Tables!$D$2:$D$5,Lookup_Tables!$E$2:$E$5)</f>
        <v>Low</v>
      </c>
      <c r="V384" t="str">
        <f>_xlfn.XLOOKUP(L384,Lookup_Tables!$D$2:$D$5,Lookup_Tables!$E$2:$E$5)</f>
        <v>High</v>
      </c>
    </row>
    <row r="385" spans="1:22">
      <c r="A385">
        <f>RAW_DATA!A385</f>
        <v>22</v>
      </c>
      <c r="B385" t="str">
        <f>RAW_DATA!B385</f>
        <v>No</v>
      </c>
      <c r="C385" t="str">
        <f>RAW_DATA!C385</f>
        <v>Research &amp; Development</v>
      </c>
      <c r="D385">
        <f>RAW_DATA!D385</f>
        <v>11</v>
      </c>
      <c r="E385">
        <f>RAW_DATA!E385</f>
        <v>3</v>
      </c>
      <c r="F385" t="str">
        <f>RAW_DATA!F385</f>
        <v>Medical</v>
      </c>
      <c r="G385">
        <f>RAW_DATA!G385</f>
        <v>1</v>
      </c>
      <c r="H385">
        <f>RAW_DATA!H385</f>
        <v>2</v>
      </c>
      <c r="I385" t="str">
        <f>RAW_DATA!I385</f>
        <v>Married</v>
      </c>
      <c r="J385">
        <f>RAW_DATA!J385</f>
        <v>2244</v>
      </c>
      <c r="K385">
        <f>RAW_DATA!K385</f>
        <v>1</v>
      </c>
      <c r="L385">
        <f>RAW_DATA!L385</f>
        <v>3</v>
      </c>
      <c r="M385">
        <f>RAW_DATA!M385</f>
        <v>2</v>
      </c>
      <c r="N385">
        <f t="shared" si="10"/>
        <v>0</v>
      </c>
      <c r="O385" t="str">
        <f xml:space="preserve"> VLOOKUP(A385, Lookup_Tables!$G$2:$H$6,2,TRUE)</f>
        <v>&lt;25</v>
      </c>
      <c r="P385" t="str">
        <f>_xlfn.XLOOKUP(J385,Lookup_Tables!$J$2:$J$4,Lookup_Tables!$K$2:$K$4, " ",-1)</f>
        <v>Low</v>
      </c>
      <c r="Q385" t="str">
        <f xml:space="preserve"> _xlfn.XLOOKUP(M385, Lookup_Tables!$M$2:$M$5,Lookup_Tables!$N$2:$N$5," ", -1)</f>
        <v>Early (2-5)</v>
      </c>
      <c r="R385" s="4">
        <f t="shared" si="11"/>
        <v>2</v>
      </c>
      <c r="S385" t="str">
        <f xml:space="preserve"> _xlfn.XLOOKUP( E385, Lookup_Tables!$A$2:$A$6,Lookup_Tables!$B$2:$B$6," ", -1)</f>
        <v>Bachelor</v>
      </c>
      <c r="T385" t="str">
        <f>_xlfn.XLOOKUP(G385,Lookup_Tables!$D$2:$D$5,Lookup_Tables!$E$2:$E$5)</f>
        <v>Low</v>
      </c>
      <c r="U385" t="str">
        <f>_xlfn.XLOOKUP(H385,Lookup_Tables!$D$2:$D$5,Lookup_Tables!$E$2:$E$5)</f>
        <v>Medium</v>
      </c>
      <c r="V385" t="str">
        <f>_xlfn.XLOOKUP(L385,Lookup_Tables!$D$2:$D$5,Lookup_Tables!$E$2:$E$5)</f>
        <v>High</v>
      </c>
    </row>
    <row r="386" spans="1:22">
      <c r="A386">
        <f>RAW_DATA!A386</f>
        <v>36</v>
      </c>
      <c r="B386" t="str">
        <f>RAW_DATA!B386</f>
        <v>No</v>
      </c>
      <c r="C386" t="str">
        <f>RAW_DATA!C386</f>
        <v>Sales</v>
      </c>
      <c r="D386">
        <f>RAW_DATA!D386</f>
        <v>2</v>
      </c>
      <c r="E386">
        <f>RAW_DATA!E386</f>
        <v>2</v>
      </c>
      <c r="F386" t="str">
        <f>RAW_DATA!F386</f>
        <v>Medical</v>
      </c>
      <c r="G386">
        <f>RAW_DATA!G386</f>
        <v>2</v>
      </c>
      <c r="H386">
        <f>RAW_DATA!H386</f>
        <v>3</v>
      </c>
      <c r="I386" t="str">
        <f>RAW_DATA!I386</f>
        <v>Married</v>
      </c>
      <c r="J386">
        <f>RAW_DATA!J386</f>
        <v>7596</v>
      </c>
      <c r="K386">
        <f>RAW_DATA!K386</f>
        <v>1</v>
      </c>
      <c r="L386">
        <f>RAW_DATA!L386</f>
        <v>3</v>
      </c>
      <c r="M386">
        <f>RAW_DATA!M386</f>
        <v>10</v>
      </c>
      <c r="N386">
        <f t="shared" si="10"/>
        <v>0</v>
      </c>
      <c r="O386" t="str">
        <f xml:space="preserve"> VLOOKUP(A386, Lookup_Tables!$G$2:$H$6,2,TRUE)</f>
        <v>35-44</v>
      </c>
      <c r="P386" t="str">
        <f>_xlfn.XLOOKUP(J386,Lookup_Tables!$J$2:$J$4,Lookup_Tables!$K$2:$K$4, " ",-1)</f>
        <v>High</v>
      </c>
      <c r="Q386" t="str">
        <f xml:space="preserve"> _xlfn.XLOOKUP(M386, Lookup_Tables!$M$2:$M$5,Lookup_Tables!$N$2:$N$5," ", -1)</f>
        <v>Veteran (10+)</v>
      </c>
      <c r="R386" s="4">
        <f t="shared" si="11"/>
        <v>2.6666666666666665</v>
      </c>
      <c r="S386" t="str">
        <f xml:space="preserve"> _xlfn.XLOOKUP( E386, Lookup_Tables!$A$2:$A$6,Lookup_Tables!$B$2:$B$6," ", -1)</f>
        <v>College</v>
      </c>
      <c r="T386" t="str">
        <f>_xlfn.XLOOKUP(G386,Lookup_Tables!$D$2:$D$5,Lookup_Tables!$E$2:$E$5)</f>
        <v>Medium</v>
      </c>
      <c r="U386" t="str">
        <f>_xlfn.XLOOKUP(H386,Lookup_Tables!$D$2:$D$5,Lookup_Tables!$E$2:$E$5)</f>
        <v>High</v>
      </c>
      <c r="V386" t="str">
        <f>_xlfn.XLOOKUP(L386,Lookup_Tables!$D$2:$D$5,Lookup_Tables!$E$2:$E$5)</f>
        <v>High</v>
      </c>
    </row>
    <row r="387" spans="1:22">
      <c r="A387">
        <f>RAW_DATA!A387</f>
        <v>30</v>
      </c>
      <c r="B387" t="str">
        <f>RAW_DATA!B387</f>
        <v>Yes</v>
      </c>
      <c r="C387" t="str">
        <f>RAW_DATA!C387</f>
        <v>Research &amp; Development</v>
      </c>
      <c r="D387">
        <f>RAW_DATA!D387</f>
        <v>4</v>
      </c>
      <c r="E387">
        <f>RAW_DATA!E387</f>
        <v>3</v>
      </c>
      <c r="F387" t="str">
        <f>RAW_DATA!F387</f>
        <v>Technical Degree</v>
      </c>
      <c r="G387">
        <f>RAW_DATA!G387</f>
        <v>3</v>
      </c>
      <c r="H387">
        <f>RAW_DATA!H387</f>
        <v>4</v>
      </c>
      <c r="I387" t="str">
        <f>RAW_DATA!I387</f>
        <v>Single</v>
      </c>
      <c r="J387">
        <f>RAW_DATA!J387</f>
        <v>2285</v>
      </c>
      <c r="K387">
        <f>RAW_DATA!K387</f>
        <v>9</v>
      </c>
      <c r="L387">
        <f>RAW_DATA!L387</f>
        <v>3</v>
      </c>
      <c r="M387">
        <f>RAW_DATA!M387</f>
        <v>1</v>
      </c>
      <c r="N387">
        <f t="shared" ref="N387:N450" si="12" xml:space="preserve"> IF(B387 ="Yes",1,0)</f>
        <v>1</v>
      </c>
      <c r="O387" t="str">
        <f xml:space="preserve"> VLOOKUP(A387, Lookup_Tables!$G$2:$H$6,2,TRUE)</f>
        <v>25-34</v>
      </c>
      <c r="P387" t="str">
        <f>_xlfn.XLOOKUP(J387,Lookup_Tables!$J$2:$J$4,Lookup_Tables!$K$2:$K$4, " ",-1)</f>
        <v>Low</v>
      </c>
      <c r="Q387" t="str">
        <f xml:space="preserve"> _xlfn.XLOOKUP(M387, Lookup_Tables!$M$2:$M$5,Lookup_Tables!$N$2:$N$5," ", -1)</f>
        <v>New (0-2)</v>
      </c>
      <c r="R387" s="4">
        <f t="shared" ref="R387:R450" si="13">AVERAGE(G387,H387,L387)</f>
        <v>3.3333333333333335</v>
      </c>
      <c r="S387" t="str">
        <f xml:space="preserve"> _xlfn.XLOOKUP( E387, Lookup_Tables!$A$2:$A$6,Lookup_Tables!$B$2:$B$6," ", -1)</f>
        <v>Bachelor</v>
      </c>
      <c r="T387" t="str">
        <f>_xlfn.XLOOKUP(G387,Lookup_Tables!$D$2:$D$5,Lookup_Tables!$E$2:$E$5)</f>
        <v>High</v>
      </c>
      <c r="U387" t="str">
        <f>_xlfn.XLOOKUP(H387,Lookup_Tables!$D$2:$D$5,Lookup_Tables!$E$2:$E$5)</f>
        <v>Very High</v>
      </c>
      <c r="V387" t="str">
        <f>_xlfn.XLOOKUP(L387,Lookup_Tables!$D$2:$D$5,Lookup_Tables!$E$2:$E$5)</f>
        <v>High</v>
      </c>
    </row>
    <row r="388" spans="1:22">
      <c r="A388">
        <f>RAW_DATA!A388</f>
        <v>37</v>
      </c>
      <c r="B388" t="str">
        <f>RAW_DATA!B388</f>
        <v>No</v>
      </c>
      <c r="C388" t="str">
        <f>RAW_DATA!C388</f>
        <v>Research &amp; Development</v>
      </c>
      <c r="D388">
        <f>RAW_DATA!D388</f>
        <v>14</v>
      </c>
      <c r="E388">
        <f>RAW_DATA!E388</f>
        <v>3</v>
      </c>
      <c r="F388" t="str">
        <f>RAW_DATA!F388</f>
        <v>Life Sciences</v>
      </c>
      <c r="G388">
        <f>RAW_DATA!G388</f>
        <v>4</v>
      </c>
      <c r="H388">
        <f>RAW_DATA!H388</f>
        <v>1</v>
      </c>
      <c r="I388" t="str">
        <f>RAW_DATA!I388</f>
        <v>Divorced</v>
      </c>
      <c r="J388">
        <f>RAW_DATA!J388</f>
        <v>3034</v>
      </c>
      <c r="K388">
        <f>RAW_DATA!K388</f>
        <v>1</v>
      </c>
      <c r="L388">
        <f>RAW_DATA!L388</f>
        <v>2</v>
      </c>
      <c r="M388">
        <f>RAW_DATA!M388</f>
        <v>18</v>
      </c>
      <c r="N388">
        <f t="shared" si="12"/>
        <v>0</v>
      </c>
      <c r="O388" t="str">
        <f xml:space="preserve"> VLOOKUP(A388, Lookup_Tables!$G$2:$H$6,2,TRUE)</f>
        <v>35-44</v>
      </c>
      <c r="P388" t="str">
        <f>_xlfn.XLOOKUP(J388,Lookup_Tables!$J$2:$J$4,Lookup_Tables!$K$2:$K$4, " ",-1)</f>
        <v>Medium</v>
      </c>
      <c r="Q388" t="str">
        <f xml:space="preserve"> _xlfn.XLOOKUP(M388, Lookup_Tables!$M$2:$M$5,Lookup_Tables!$N$2:$N$5," ", -1)</f>
        <v>Veteran (10+)</v>
      </c>
      <c r="R388" s="4">
        <f t="shared" si="13"/>
        <v>2.3333333333333335</v>
      </c>
      <c r="S388" t="str">
        <f xml:space="preserve"> _xlfn.XLOOKUP( E388, Lookup_Tables!$A$2:$A$6,Lookup_Tables!$B$2:$B$6," ", -1)</f>
        <v>Bachelor</v>
      </c>
      <c r="T388" t="str">
        <f>_xlfn.XLOOKUP(G388,Lookup_Tables!$D$2:$D$5,Lookup_Tables!$E$2:$E$5)</f>
        <v>Very High</v>
      </c>
      <c r="U388" t="str">
        <f>_xlfn.XLOOKUP(H388,Lookup_Tables!$D$2:$D$5,Lookup_Tables!$E$2:$E$5)</f>
        <v>Low</v>
      </c>
      <c r="V388" t="str">
        <f>_xlfn.XLOOKUP(L388,Lookup_Tables!$D$2:$D$5,Lookup_Tables!$E$2:$E$5)</f>
        <v>Medium</v>
      </c>
    </row>
    <row r="389" spans="1:22">
      <c r="A389">
        <f>RAW_DATA!A389</f>
        <v>40</v>
      </c>
      <c r="B389" t="str">
        <f>RAW_DATA!B389</f>
        <v>No</v>
      </c>
      <c r="C389" t="str">
        <f>RAW_DATA!C389</f>
        <v>Sales</v>
      </c>
      <c r="D389">
        <f>RAW_DATA!D389</f>
        <v>2</v>
      </c>
      <c r="E389">
        <f>RAW_DATA!E389</f>
        <v>2</v>
      </c>
      <c r="F389" t="str">
        <f>RAW_DATA!F389</f>
        <v>Marketing</v>
      </c>
      <c r="G389">
        <f>RAW_DATA!G389</f>
        <v>4</v>
      </c>
      <c r="H389">
        <f>RAW_DATA!H389</f>
        <v>2</v>
      </c>
      <c r="I389" t="str">
        <f>RAW_DATA!I389</f>
        <v>Divorced</v>
      </c>
      <c r="J389">
        <f>RAW_DATA!J389</f>
        <v>5715</v>
      </c>
      <c r="K389">
        <f>RAW_DATA!K389</f>
        <v>7</v>
      </c>
      <c r="L389">
        <f>RAW_DATA!L389</f>
        <v>3</v>
      </c>
      <c r="M389">
        <f>RAW_DATA!M389</f>
        <v>5</v>
      </c>
      <c r="N389">
        <f t="shared" si="12"/>
        <v>0</v>
      </c>
      <c r="O389" t="str">
        <f xml:space="preserve"> VLOOKUP(A389, Lookup_Tables!$G$2:$H$6,2,TRUE)</f>
        <v>35-44</v>
      </c>
      <c r="P389" t="str">
        <f>_xlfn.XLOOKUP(J389,Lookup_Tables!$J$2:$J$4,Lookup_Tables!$K$2:$K$4, " ",-1)</f>
        <v>Medium</v>
      </c>
      <c r="Q389" t="str">
        <f xml:space="preserve"> _xlfn.XLOOKUP(M389, Lookup_Tables!$M$2:$M$5,Lookup_Tables!$N$2:$N$5," ", -1)</f>
        <v>Established (5-10)</v>
      </c>
      <c r="R389" s="4">
        <f t="shared" si="13"/>
        <v>3</v>
      </c>
      <c r="S389" t="str">
        <f xml:space="preserve"> _xlfn.XLOOKUP( E389, Lookup_Tables!$A$2:$A$6,Lookup_Tables!$B$2:$B$6," ", -1)</f>
        <v>College</v>
      </c>
      <c r="T389" t="str">
        <f>_xlfn.XLOOKUP(G389,Lookup_Tables!$D$2:$D$5,Lookup_Tables!$E$2:$E$5)</f>
        <v>Very High</v>
      </c>
      <c r="U389" t="str">
        <f>_xlfn.XLOOKUP(H389,Lookup_Tables!$D$2:$D$5,Lookup_Tables!$E$2:$E$5)</f>
        <v>Medium</v>
      </c>
      <c r="V389" t="str">
        <f>_xlfn.XLOOKUP(L389,Lookup_Tables!$D$2:$D$5,Lookup_Tables!$E$2:$E$5)</f>
        <v>High</v>
      </c>
    </row>
    <row r="390" spans="1:22">
      <c r="A390">
        <f>RAW_DATA!A390</f>
        <v>42</v>
      </c>
      <c r="B390" t="str">
        <f>RAW_DATA!B390</f>
        <v>No</v>
      </c>
      <c r="C390" t="str">
        <f>RAW_DATA!C390</f>
        <v>Research &amp; Development</v>
      </c>
      <c r="D390">
        <f>RAW_DATA!D390</f>
        <v>1</v>
      </c>
      <c r="E390">
        <f>RAW_DATA!E390</f>
        <v>4</v>
      </c>
      <c r="F390" t="str">
        <f>RAW_DATA!F390</f>
        <v>Life Sciences</v>
      </c>
      <c r="G390">
        <f>RAW_DATA!G390</f>
        <v>2</v>
      </c>
      <c r="H390">
        <f>RAW_DATA!H390</f>
        <v>1</v>
      </c>
      <c r="I390" t="str">
        <f>RAW_DATA!I390</f>
        <v>Divorced</v>
      </c>
      <c r="J390">
        <f>RAW_DATA!J390</f>
        <v>2576</v>
      </c>
      <c r="K390">
        <f>RAW_DATA!K390</f>
        <v>3</v>
      </c>
      <c r="L390">
        <f>RAW_DATA!L390</f>
        <v>3</v>
      </c>
      <c r="M390">
        <f>RAW_DATA!M390</f>
        <v>5</v>
      </c>
      <c r="N390">
        <f t="shared" si="12"/>
        <v>0</v>
      </c>
      <c r="O390" t="str">
        <f xml:space="preserve"> VLOOKUP(A390, Lookup_Tables!$G$2:$H$6,2,TRUE)</f>
        <v>35-44</v>
      </c>
      <c r="P390" t="str">
        <f>_xlfn.XLOOKUP(J390,Lookup_Tables!$J$2:$J$4,Lookup_Tables!$K$2:$K$4, " ",-1)</f>
        <v>Low</v>
      </c>
      <c r="Q390" t="str">
        <f xml:space="preserve"> _xlfn.XLOOKUP(M390, Lookup_Tables!$M$2:$M$5,Lookup_Tables!$N$2:$N$5," ", -1)</f>
        <v>Established (5-10)</v>
      </c>
      <c r="R390" s="4">
        <f t="shared" si="13"/>
        <v>2</v>
      </c>
      <c r="S390" t="str">
        <f xml:space="preserve"> _xlfn.XLOOKUP( E390, Lookup_Tables!$A$2:$A$6,Lookup_Tables!$B$2:$B$6," ", -1)</f>
        <v>Master</v>
      </c>
      <c r="T390" t="str">
        <f>_xlfn.XLOOKUP(G390,Lookup_Tables!$D$2:$D$5,Lookup_Tables!$E$2:$E$5)</f>
        <v>Medium</v>
      </c>
      <c r="U390" t="str">
        <f>_xlfn.XLOOKUP(H390,Lookup_Tables!$D$2:$D$5,Lookup_Tables!$E$2:$E$5)</f>
        <v>Low</v>
      </c>
      <c r="V390" t="str">
        <f>_xlfn.XLOOKUP(L390,Lookup_Tables!$D$2:$D$5,Lookup_Tables!$E$2:$E$5)</f>
        <v>High</v>
      </c>
    </row>
    <row r="391" spans="1:22">
      <c r="A391">
        <f>RAW_DATA!A391</f>
        <v>37</v>
      </c>
      <c r="B391" t="str">
        <f>RAW_DATA!B391</f>
        <v>No</v>
      </c>
      <c r="C391" t="str">
        <f>RAW_DATA!C391</f>
        <v>Research &amp; Development</v>
      </c>
      <c r="D391">
        <f>RAW_DATA!D391</f>
        <v>10</v>
      </c>
      <c r="E391">
        <f>RAW_DATA!E391</f>
        <v>4</v>
      </c>
      <c r="F391" t="str">
        <f>RAW_DATA!F391</f>
        <v>Life Sciences</v>
      </c>
      <c r="G391">
        <f>RAW_DATA!G391</f>
        <v>3</v>
      </c>
      <c r="H391">
        <f>RAW_DATA!H391</f>
        <v>2</v>
      </c>
      <c r="I391" t="str">
        <f>RAW_DATA!I391</f>
        <v>Single</v>
      </c>
      <c r="J391">
        <f>RAW_DATA!J391</f>
        <v>4197</v>
      </c>
      <c r="K391">
        <f>RAW_DATA!K391</f>
        <v>2</v>
      </c>
      <c r="L391">
        <f>RAW_DATA!L391</f>
        <v>2</v>
      </c>
      <c r="M391">
        <f>RAW_DATA!M391</f>
        <v>1</v>
      </c>
      <c r="N391">
        <f t="shared" si="12"/>
        <v>0</v>
      </c>
      <c r="O391" t="str">
        <f xml:space="preserve"> VLOOKUP(A391, Lookup_Tables!$G$2:$H$6,2,TRUE)</f>
        <v>35-44</v>
      </c>
      <c r="P391" t="str">
        <f>_xlfn.XLOOKUP(J391,Lookup_Tables!$J$2:$J$4,Lookup_Tables!$K$2:$K$4, " ",-1)</f>
        <v>Medium</v>
      </c>
      <c r="Q391" t="str">
        <f xml:space="preserve"> _xlfn.XLOOKUP(M391, Lookup_Tables!$M$2:$M$5,Lookup_Tables!$N$2:$N$5," ", -1)</f>
        <v>New (0-2)</v>
      </c>
      <c r="R391" s="4">
        <f t="shared" si="13"/>
        <v>2.3333333333333335</v>
      </c>
      <c r="S391" t="str">
        <f xml:space="preserve"> _xlfn.XLOOKUP( E391, Lookup_Tables!$A$2:$A$6,Lookup_Tables!$B$2:$B$6," ", -1)</f>
        <v>Master</v>
      </c>
      <c r="T391" t="str">
        <f>_xlfn.XLOOKUP(G391,Lookup_Tables!$D$2:$D$5,Lookup_Tables!$E$2:$E$5)</f>
        <v>High</v>
      </c>
      <c r="U391" t="str">
        <f>_xlfn.XLOOKUP(H391,Lookup_Tables!$D$2:$D$5,Lookup_Tables!$E$2:$E$5)</f>
        <v>Medium</v>
      </c>
      <c r="V391" t="str">
        <f>_xlfn.XLOOKUP(L391,Lookup_Tables!$D$2:$D$5,Lookup_Tables!$E$2:$E$5)</f>
        <v>Medium</v>
      </c>
    </row>
    <row r="392" spans="1:22">
      <c r="A392">
        <f>RAW_DATA!A392</f>
        <v>43</v>
      </c>
      <c r="B392" t="str">
        <f>RAW_DATA!B392</f>
        <v>No</v>
      </c>
      <c r="C392" t="str">
        <f>RAW_DATA!C392</f>
        <v>Research &amp; Development</v>
      </c>
      <c r="D392">
        <f>RAW_DATA!D392</f>
        <v>12</v>
      </c>
      <c r="E392">
        <f>RAW_DATA!E392</f>
        <v>3</v>
      </c>
      <c r="F392" t="str">
        <f>RAW_DATA!F392</f>
        <v>Life Sciences</v>
      </c>
      <c r="G392">
        <f>RAW_DATA!G392</f>
        <v>1</v>
      </c>
      <c r="H392">
        <f>RAW_DATA!H392</f>
        <v>2</v>
      </c>
      <c r="I392" t="str">
        <f>RAW_DATA!I392</f>
        <v>Divorced</v>
      </c>
      <c r="J392">
        <f>RAW_DATA!J392</f>
        <v>14336</v>
      </c>
      <c r="K392">
        <f>RAW_DATA!K392</f>
        <v>1</v>
      </c>
      <c r="L392">
        <f>RAW_DATA!L392</f>
        <v>3</v>
      </c>
      <c r="M392">
        <f>RAW_DATA!M392</f>
        <v>25</v>
      </c>
      <c r="N392">
        <f t="shared" si="12"/>
        <v>0</v>
      </c>
      <c r="O392" t="str">
        <f xml:space="preserve"> VLOOKUP(A392, Lookup_Tables!$G$2:$H$6,2,TRUE)</f>
        <v>35-44</v>
      </c>
      <c r="P392" t="str">
        <f>_xlfn.XLOOKUP(J392,Lookup_Tables!$J$2:$J$4,Lookup_Tables!$K$2:$K$4, " ",-1)</f>
        <v>High</v>
      </c>
      <c r="Q392" t="str">
        <f xml:space="preserve"> _xlfn.XLOOKUP(M392, Lookup_Tables!$M$2:$M$5,Lookup_Tables!$N$2:$N$5," ", -1)</f>
        <v>Veteran (10+)</v>
      </c>
      <c r="R392" s="4">
        <f t="shared" si="13"/>
        <v>2</v>
      </c>
      <c r="S392" t="str">
        <f xml:space="preserve"> _xlfn.XLOOKUP( E392, Lookup_Tables!$A$2:$A$6,Lookup_Tables!$B$2:$B$6," ", -1)</f>
        <v>Bachelor</v>
      </c>
      <c r="T392" t="str">
        <f>_xlfn.XLOOKUP(G392,Lookup_Tables!$D$2:$D$5,Lookup_Tables!$E$2:$E$5)</f>
        <v>Low</v>
      </c>
      <c r="U392" t="str">
        <f>_xlfn.XLOOKUP(H392,Lookup_Tables!$D$2:$D$5,Lookup_Tables!$E$2:$E$5)</f>
        <v>Medium</v>
      </c>
      <c r="V392" t="str">
        <f>_xlfn.XLOOKUP(L392,Lookup_Tables!$D$2:$D$5,Lookup_Tables!$E$2:$E$5)</f>
        <v>High</v>
      </c>
    </row>
    <row r="393" spans="1:22">
      <c r="A393">
        <f>RAW_DATA!A393</f>
        <v>40</v>
      </c>
      <c r="B393" t="str">
        <f>RAW_DATA!B393</f>
        <v>No</v>
      </c>
      <c r="C393" t="str">
        <f>RAW_DATA!C393</f>
        <v>Research &amp; Development</v>
      </c>
      <c r="D393">
        <f>RAW_DATA!D393</f>
        <v>2</v>
      </c>
      <c r="E393">
        <f>RAW_DATA!E393</f>
        <v>3</v>
      </c>
      <c r="F393" t="str">
        <f>RAW_DATA!F393</f>
        <v>Medical</v>
      </c>
      <c r="G393">
        <f>RAW_DATA!G393</f>
        <v>2</v>
      </c>
      <c r="H393">
        <f>RAW_DATA!H393</f>
        <v>3</v>
      </c>
      <c r="I393" t="str">
        <f>RAW_DATA!I393</f>
        <v>Married</v>
      </c>
      <c r="J393">
        <f>RAW_DATA!J393</f>
        <v>3448</v>
      </c>
      <c r="K393">
        <f>RAW_DATA!K393</f>
        <v>6</v>
      </c>
      <c r="L393">
        <f>RAW_DATA!L393</f>
        <v>3</v>
      </c>
      <c r="M393">
        <f>RAW_DATA!M393</f>
        <v>1</v>
      </c>
      <c r="N393">
        <f t="shared" si="12"/>
        <v>0</v>
      </c>
      <c r="O393" t="str">
        <f xml:space="preserve"> VLOOKUP(A393, Lookup_Tables!$G$2:$H$6,2,TRUE)</f>
        <v>35-44</v>
      </c>
      <c r="P393" t="str">
        <f>_xlfn.XLOOKUP(J393,Lookup_Tables!$J$2:$J$4,Lookup_Tables!$K$2:$K$4, " ",-1)</f>
        <v>Medium</v>
      </c>
      <c r="Q393" t="str">
        <f xml:space="preserve"> _xlfn.XLOOKUP(M393, Lookup_Tables!$M$2:$M$5,Lookup_Tables!$N$2:$N$5," ", -1)</f>
        <v>New (0-2)</v>
      </c>
      <c r="R393" s="4">
        <f t="shared" si="13"/>
        <v>2.6666666666666665</v>
      </c>
      <c r="S393" t="str">
        <f xml:space="preserve"> _xlfn.XLOOKUP( E393, Lookup_Tables!$A$2:$A$6,Lookup_Tables!$B$2:$B$6," ", -1)</f>
        <v>Bachelor</v>
      </c>
      <c r="T393" t="str">
        <f>_xlfn.XLOOKUP(G393,Lookup_Tables!$D$2:$D$5,Lookup_Tables!$E$2:$E$5)</f>
        <v>Medium</v>
      </c>
      <c r="U393" t="str">
        <f>_xlfn.XLOOKUP(H393,Lookup_Tables!$D$2:$D$5,Lookup_Tables!$E$2:$E$5)</f>
        <v>High</v>
      </c>
      <c r="V393" t="str">
        <f>_xlfn.XLOOKUP(L393,Lookup_Tables!$D$2:$D$5,Lookup_Tables!$E$2:$E$5)</f>
        <v>High</v>
      </c>
    </row>
    <row r="394" spans="1:22">
      <c r="A394">
        <f>RAW_DATA!A394</f>
        <v>54</v>
      </c>
      <c r="B394" t="str">
        <f>RAW_DATA!B394</f>
        <v>No</v>
      </c>
      <c r="C394" t="str">
        <f>RAW_DATA!C394</f>
        <v>Research &amp; Development</v>
      </c>
      <c r="D394">
        <f>RAW_DATA!D394</f>
        <v>5</v>
      </c>
      <c r="E394">
        <f>RAW_DATA!E394</f>
        <v>2</v>
      </c>
      <c r="F394" t="str">
        <f>RAW_DATA!F394</f>
        <v>Medical</v>
      </c>
      <c r="G394">
        <f>RAW_DATA!G394</f>
        <v>1</v>
      </c>
      <c r="H394">
        <f>RAW_DATA!H394</f>
        <v>1</v>
      </c>
      <c r="I394" t="str">
        <f>RAW_DATA!I394</f>
        <v>Married</v>
      </c>
      <c r="J394">
        <f>RAW_DATA!J394</f>
        <v>19406</v>
      </c>
      <c r="K394">
        <f>RAW_DATA!K394</f>
        <v>4</v>
      </c>
      <c r="L394">
        <f>RAW_DATA!L394</f>
        <v>2</v>
      </c>
      <c r="M394">
        <f>RAW_DATA!M394</f>
        <v>4</v>
      </c>
      <c r="N394">
        <f t="shared" si="12"/>
        <v>0</v>
      </c>
      <c r="O394" t="str">
        <f xml:space="preserve"> VLOOKUP(A394, Lookup_Tables!$G$2:$H$6,2,TRUE)</f>
        <v>45-54</v>
      </c>
      <c r="P394" t="str">
        <f>_xlfn.XLOOKUP(J394,Lookup_Tables!$J$2:$J$4,Lookup_Tables!$K$2:$K$4, " ",-1)</f>
        <v>High</v>
      </c>
      <c r="Q394" t="str">
        <f xml:space="preserve"> _xlfn.XLOOKUP(M394, Lookup_Tables!$M$2:$M$5,Lookup_Tables!$N$2:$N$5," ", -1)</f>
        <v>Early (2-5)</v>
      </c>
      <c r="R394" s="4">
        <f t="shared" si="13"/>
        <v>1.3333333333333333</v>
      </c>
      <c r="S394" t="str">
        <f xml:space="preserve"> _xlfn.XLOOKUP( E394, Lookup_Tables!$A$2:$A$6,Lookup_Tables!$B$2:$B$6," ", -1)</f>
        <v>College</v>
      </c>
      <c r="T394" t="str">
        <f>_xlfn.XLOOKUP(G394,Lookup_Tables!$D$2:$D$5,Lookup_Tables!$E$2:$E$5)</f>
        <v>Low</v>
      </c>
      <c r="U394" t="str">
        <f>_xlfn.XLOOKUP(H394,Lookup_Tables!$D$2:$D$5,Lookup_Tables!$E$2:$E$5)</f>
        <v>Low</v>
      </c>
      <c r="V394" t="str">
        <f>_xlfn.XLOOKUP(L394,Lookup_Tables!$D$2:$D$5,Lookup_Tables!$E$2:$E$5)</f>
        <v>Medium</v>
      </c>
    </row>
    <row r="395" spans="1:22">
      <c r="A395">
        <f>RAW_DATA!A395</f>
        <v>34</v>
      </c>
      <c r="B395" t="str">
        <f>RAW_DATA!B395</f>
        <v>No</v>
      </c>
      <c r="C395" t="str">
        <f>RAW_DATA!C395</f>
        <v>Sales</v>
      </c>
      <c r="D395">
        <f>RAW_DATA!D395</f>
        <v>4</v>
      </c>
      <c r="E395">
        <f>RAW_DATA!E395</f>
        <v>4</v>
      </c>
      <c r="F395" t="str">
        <f>RAW_DATA!F395</f>
        <v>Marketing</v>
      </c>
      <c r="G395">
        <f>RAW_DATA!G395</f>
        <v>3</v>
      </c>
      <c r="H395">
        <f>RAW_DATA!H395</f>
        <v>3</v>
      </c>
      <c r="I395" t="str">
        <f>RAW_DATA!I395</f>
        <v>Married</v>
      </c>
      <c r="J395">
        <f>RAW_DATA!J395</f>
        <v>6538</v>
      </c>
      <c r="K395">
        <f>RAW_DATA!K395</f>
        <v>9</v>
      </c>
      <c r="L395">
        <f>RAW_DATA!L395</f>
        <v>3</v>
      </c>
      <c r="M395">
        <f>RAW_DATA!M395</f>
        <v>3</v>
      </c>
      <c r="N395">
        <f t="shared" si="12"/>
        <v>0</v>
      </c>
      <c r="O395" t="str">
        <f xml:space="preserve"> VLOOKUP(A395, Lookup_Tables!$G$2:$H$6,2,TRUE)</f>
        <v>25-34</v>
      </c>
      <c r="P395" t="str">
        <f>_xlfn.XLOOKUP(J395,Lookup_Tables!$J$2:$J$4,Lookup_Tables!$K$2:$K$4, " ",-1)</f>
        <v>Medium</v>
      </c>
      <c r="Q395" t="str">
        <f xml:space="preserve"> _xlfn.XLOOKUP(M395, Lookup_Tables!$M$2:$M$5,Lookup_Tables!$N$2:$N$5," ", -1)</f>
        <v>Early (2-5)</v>
      </c>
      <c r="R395" s="4">
        <f t="shared" si="13"/>
        <v>3</v>
      </c>
      <c r="S395" t="str">
        <f xml:space="preserve"> _xlfn.XLOOKUP( E395, Lookup_Tables!$A$2:$A$6,Lookup_Tables!$B$2:$B$6," ", -1)</f>
        <v>Master</v>
      </c>
      <c r="T395" t="str">
        <f>_xlfn.XLOOKUP(G395,Lookup_Tables!$D$2:$D$5,Lookup_Tables!$E$2:$E$5)</f>
        <v>High</v>
      </c>
      <c r="U395" t="str">
        <f>_xlfn.XLOOKUP(H395,Lookup_Tables!$D$2:$D$5,Lookup_Tables!$E$2:$E$5)</f>
        <v>High</v>
      </c>
      <c r="V395" t="str">
        <f>_xlfn.XLOOKUP(L395,Lookup_Tables!$D$2:$D$5,Lookup_Tables!$E$2:$E$5)</f>
        <v>High</v>
      </c>
    </row>
    <row r="396" spans="1:22">
      <c r="A396">
        <f>RAW_DATA!A396</f>
        <v>31</v>
      </c>
      <c r="B396" t="str">
        <f>RAW_DATA!B396</f>
        <v>No</v>
      </c>
      <c r="C396" t="str">
        <f>RAW_DATA!C396</f>
        <v>Research &amp; Development</v>
      </c>
      <c r="D396">
        <f>RAW_DATA!D396</f>
        <v>7</v>
      </c>
      <c r="E396">
        <f>RAW_DATA!E396</f>
        <v>2</v>
      </c>
      <c r="F396" t="str">
        <f>RAW_DATA!F396</f>
        <v>Medical</v>
      </c>
      <c r="G396">
        <f>RAW_DATA!G396</f>
        <v>2</v>
      </c>
      <c r="H396">
        <f>RAW_DATA!H396</f>
        <v>1</v>
      </c>
      <c r="I396" t="str">
        <f>RAW_DATA!I396</f>
        <v>Married</v>
      </c>
      <c r="J396">
        <f>RAW_DATA!J396</f>
        <v>4306</v>
      </c>
      <c r="K396">
        <f>RAW_DATA!K396</f>
        <v>1</v>
      </c>
      <c r="L396">
        <f>RAW_DATA!L396</f>
        <v>1</v>
      </c>
      <c r="M396">
        <f>RAW_DATA!M396</f>
        <v>13</v>
      </c>
      <c r="N396">
        <f t="shared" si="12"/>
        <v>0</v>
      </c>
      <c r="O396" t="str">
        <f xml:space="preserve"> VLOOKUP(A396, Lookup_Tables!$G$2:$H$6,2,TRUE)</f>
        <v>25-34</v>
      </c>
      <c r="P396" t="str">
        <f>_xlfn.XLOOKUP(J396,Lookup_Tables!$J$2:$J$4,Lookup_Tables!$K$2:$K$4, " ",-1)</f>
        <v>Medium</v>
      </c>
      <c r="Q396" t="str">
        <f xml:space="preserve"> _xlfn.XLOOKUP(M396, Lookup_Tables!$M$2:$M$5,Lookup_Tables!$N$2:$N$5," ", -1)</f>
        <v>Veteran (10+)</v>
      </c>
      <c r="R396" s="4">
        <f t="shared" si="13"/>
        <v>1.3333333333333333</v>
      </c>
      <c r="S396" t="str">
        <f xml:space="preserve"> _xlfn.XLOOKUP( E396, Lookup_Tables!$A$2:$A$6,Lookup_Tables!$B$2:$B$6," ", -1)</f>
        <v>College</v>
      </c>
      <c r="T396" t="str">
        <f>_xlfn.XLOOKUP(G396,Lookup_Tables!$D$2:$D$5,Lookup_Tables!$E$2:$E$5)</f>
        <v>Medium</v>
      </c>
      <c r="U396" t="str">
        <f>_xlfn.XLOOKUP(H396,Lookup_Tables!$D$2:$D$5,Lookup_Tables!$E$2:$E$5)</f>
        <v>Low</v>
      </c>
      <c r="V396" t="str">
        <f>_xlfn.XLOOKUP(L396,Lookup_Tables!$D$2:$D$5,Lookup_Tables!$E$2:$E$5)</f>
        <v>Low</v>
      </c>
    </row>
    <row r="397" spans="1:22">
      <c r="A397">
        <f>RAW_DATA!A397</f>
        <v>43</v>
      </c>
      <c r="B397" t="str">
        <f>RAW_DATA!B397</f>
        <v>No</v>
      </c>
      <c r="C397" t="str">
        <f>RAW_DATA!C397</f>
        <v>Research &amp; Development</v>
      </c>
      <c r="D397">
        <f>RAW_DATA!D397</f>
        <v>21</v>
      </c>
      <c r="E397">
        <f>RAW_DATA!E397</f>
        <v>3</v>
      </c>
      <c r="F397" t="str">
        <f>RAW_DATA!F397</f>
        <v>Medical</v>
      </c>
      <c r="G397">
        <f>RAW_DATA!G397</f>
        <v>4</v>
      </c>
      <c r="H397">
        <f>RAW_DATA!H397</f>
        <v>4</v>
      </c>
      <c r="I397" t="str">
        <f>RAW_DATA!I397</f>
        <v>Married</v>
      </c>
      <c r="J397">
        <f>RAW_DATA!J397</f>
        <v>2258</v>
      </c>
      <c r="K397">
        <f>RAW_DATA!K397</f>
        <v>7</v>
      </c>
      <c r="L397">
        <f>RAW_DATA!L397</f>
        <v>3</v>
      </c>
      <c r="M397">
        <f>RAW_DATA!M397</f>
        <v>3</v>
      </c>
      <c r="N397">
        <f t="shared" si="12"/>
        <v>0</v>
      </c>
      <c r="O397" t="str">
        <f xml:space="preserve"> VLOOKUP(A397, Lookup_Tables!$G$2:$H$6,2,TRUE)</f>
        <v>35-44</v>
      </c>
      <c r="P397" t="str">
        <f>_xlfn.XLOOKUP(J397,Lookup_Tables!$J$2:$J$4,Lookup_Tables!$K$2:$K$4, " ",-1)</f>
        <v>Low</v>
      </c>
      <c r="Q397" t="str">
        <f xml:space="preserve"> _xlfn.XLOOKUP(M397, Lookup_Tables!$M$2:$M$5,Lookup_Tables!$N$2:$N$5," ", -1)</f>
        <v>Early (2-5)</v>
      </c>
      <c r="R397" s="4">
        <f t="shared" si="13"/>
        <v>3.6666666666666665</v>
      </c>
      <c r="S397" t="str">
        <f xml:space="preserve"> _xlfn.XLOOKUP( E397, Lookup_Tables!$A$2:$A$6,Lookup_Tables!$B$2:$B$6," ", -1)</f>
        <v>Bachelor</v>
      </c>
      <c r="T397" t="str">
        <f>_xlfn.XLOOKUP(G397,Lookup_Tables!$D$2:$D$5,Lookup_Tables!$E$2:$E$5)</f>
        <v>Very High</v>
      </c>
      <c r="U397" t="str">
        <f>_xlfn.XLOOKUP(H397,Lookup_Tables!$D$2:$D$5,Lookup_Tables!$E$2:$E$5)</f>
        <v>Very High</v>
      </c>
      <c r="V397" t="str">
        <f>_xlfn.XLOOKUP(L397,Lookup_Tables!$D$2:$D$5,Lookup_Tables!$E$2:$E$5)</f>
        <v>High</v>
      </c>
    </row>
    <row r="398" spans="1:22">
      <c r="A398">
        <f>RAW_DATA!A398</f>
        <v>43</v>
      </c>
      <c r="B398" t="str">
        <f>RAW_DATA!B398</f>
        <v>No</v>
      </c>
      <c r="C398" t="str">
        <f>RAW_DATA!C398</f>
        <v>Research &amp; Development</v>
      </c>
      <c r="D398">
        <f>RAW_DATA!D398</f>
        <v>8</v>
      </c>
      <c r="E398">
        <f>RAW_DATA!E398</f>
        <v>4</v>
      </c>
      <c r="F398" t="str">
        <f>RAW_DATA!F398</f>
        <v>Other</v>
      </c>
      <c r="G398">
        <f>RAW_DATA!G398</f>
        <v>3</v>
      </c>
      <c r="H398">
        <f>RAW_DATA!H398</f>
        <v>3</v>
      </c>
      <c r="I398" t="str">
        <f>RAW_DATA!I398</f>
        <v>Divorced</v>
      </c>
      <c r="J398">
        <f>RAW_DATA!J398</f>
        <v>4522</v>
      </c>
      <c r="K398">
        <f>RAW_DATA!K398</f>
        <v>4</v>
      </c>
      <c r="L398">
        <f>RAW_DATA!L398</f>
        <v>3</v>
      </c>
      <c r="M398">
        <f>RAW_DATA!M398</f>
        <v>5</v>
      </c>
      <c r="N398">
        <f t="shared" si="12"/>
        <v>0</v>
      </c>
      <c r="O398" t="str">
        <f xml:space="preserve"> VLOOKUP(A398, Lookup_Tables!$G$2:$H$6,2,TRUE)</f>
        <v>35-44</v>
      </c>
      <c r="P398" t="str">
        <f>_xlfn.XLOOKUP(J398,Lookup_Tables!$J$2:$J$4,Lookup_Tables!$K$2:$K$4, " ",-1)</f>
        <v>Medium</v>
      </c>
      <c r="Q398" t="str">
        <f xml:space="preserve"> _xlfn.XLOOKUP(M398, Lookup_Tables!$M$2:$M$5,Lookup_Tables!$N$2:$N$5," ", -1)</f>
        <v>Established (5-10)</v>
      </c>
      <c r="R398" s="4">
        <f t="shared" si="13"/>
        <v>3</v>
      </c>
      <c r="S398" t="str">
        <f xml:space="preserve"> _xlfn.XLOOKUP( E398, Lookup_Tables!$A$2:$A$6,Lookup_Tables!$B$2:$B$6," ", -1)</f>
        <v>Master</v>
      </c>
      <c r="T398" t="str">
        <f>_xlfn.XLOOKUP(G398,Lookup_Tables!$D$2:$D$5,Lookup_Tables!$E$2:$E$5)</f>
        <v>High</v>
      </c>
      <c r="U398" t="str">
        <f>_xlfn.XLOOKUP(H398,Lookup_Tables!$D$2:$D$5,Lookup_Tables!$E$2:$E$5)</f>
        <v>High</v>
      </c>
      <c r="V398" t="str">
        <f>_xlfn.XLOOKUP(L398,Lookup_Tables!$D$2:$D$5,Lookup_Tables!$E$2:$E$5)</f>
        <v>High</v>
      </c>
    </row>
    <row r="399" spans="1:22">
      <c r="A399">
        <f>RAW_DATA!A399</f>
        <v>25</v>
      </c>
      <c r="B399" t="str">
        <f>RAW_DATA!B399</f>
        <v>No</v>
      </c>
      <c r="C399" t="str">
        <f>RAW_DATA!C399</f>
        <v>Sales</v>
      </c>
      <c r="D399">
        <f>RAW_DATA!D399</f>
        <v>4</v>
      </c>
      <c r="E399">
        <f>RAW_DATA!E399</f>
        <v>2</v>
      </c>
      <c r="F399" t="str">
        <f>RAW_DATA!F399</f>
        <v>Life Sciences</v>
      </c>
      <c r="G399">
        <f>RAW_DATA!G399</f>
        <v>2</v>
      </c>
      <c r="H399">
        <f>RAW_DATA!H399</f>
        <v>4</v>
      </c>
      <c r="I399" t="str">
        <f>RAW_DATA!I399</f>
        <v>Single</v>
      </c>
      <c r="J399">
        <f>RAW_DATA!J399</f>
        <v>4487</v>
      </c>
      <c r="K399">
        <f>RAW_DATA!K399</f>
        <v>1</v>
      </c>
      <c r="L399">
        <f>RAW_DATA!L399</f>
        <v>3</v>
      </c>
      <c r="M399">
        <f>RAW_DATA!M399</f>
        <v>5</v>
      </c>
      <c r="N399">
        <f t="shared" si="12"/>
        <v>0</v>
      </c>
      <c r="O399" t="str">
        <f xml:space="preserve"> VLOOKUP(A399, Lookup_Tables!$G$2:$H$6,2,TRUE)</f>
        <v>25-34</v>
      </c>
      <c r="P399" t="str">
        <f>_xlfn.XLOOKUP(J399,Lookup_Tables!$J$2:$J$4,Lookup_Tables!$K$2:$K$4, " ",-1)</f>
        <v>Medium</v>
      </c>
      <c r="Q399" t="str">
        <f xml:space="preserve"> _xlfn.XLOOKUP(M399, Lookup_Tables!$M$2:$M$5,Lookup_Tables!$N$2:$N$5," ", -1)</f>
        <v>Established (5-10)</v>
      </c>
      <c r="R399" s="4">
        <f t="shared" si="13"/>
        <v>3</v>
      </c>
      <c r="S399" t="str">
        <f xml:space="preserve"> _xlfn.XLOOKUP( E399, Lookup_Tables!$A$2:$A$6,Lookup_Tables!$B$2:$B$6," ", -1)</f>
        <v>College</v>
      </c>
      <c r="T399" t="str">
        <f>_xlfn.XLOOKUP(G399,Lookup_Tables!$D$2:$D$5,Lookup_Tables!$E$2:$E$5)</f>
        <v>Medium</v>
      </c>
      <c r="U399" t="str">
        <f>_xlfn.XLOOKUP(H399,Lookup_Tables!$D$2:$D$5,Lookup_Tables!$E$2:$E$5)</f>
        <v>Very High</v>
      </c>
      <c r="V399" t="str">
        <f>_xlfn.XLOOKUP(L399,Lookup_Tables!$D$2:$D$5,Lookup_Tables!$E$2:$E$5)</f>
        <v>High</v>
      </c>
    </row>
    <row r="400" spans="1:22">
      <c r="A400">
        <f>RAW_DATA!A400</f>
        <v>37</v>
      </c>
      <c r="B400" t="str">
        <f>RAW_DATA!B400</f>
        <v>No</v>
      </c>
      <c r="C400" t="str">
        <f>RAW_DATA!C400</f>
        <v>Research &amp; Development</v>
      </c>
      <c r="D400">
        <f>RAW_DATA!D400</f>
        <v>25</v>
      </c>
      <c r="E400">
        <f>RAW_DATA!E400</f>
        <v>5</v>
      </c>
      <c r="F400" t="str">
        <f>RAW_DATA!F400</f>
        <v>Medical</v>
      </c>
      <c r="G400">
        <f>RAW_DATA!G400</f>
        <v>2</v>
      </c>
      <c r="H400">
        <f>RAW_DATA!H400</f>
        <v>3</v>
      </c>
      <c r="I400" t="str">
        <f>RAW_DATA!I400</f>
        <v>Married</v>
      </c>
      <c r="J400">
        <f>RAW_DATA!J400</f>
        <v>4449</v>
      </c>
      <c r="K400">
        <f>RAW_DATA!K400</f>
        <v>3</v>
      </c>
      <c r="L400">
        <f>RAW_DATA!L400</f>
        <v>3</v>
      </c>
      <c r="M400">
        <f>RAW_DATA!M400</f>
        <v>13</v>
      </c>
      <c r="N400">
        <f t="shared" si="12"/>
        <v>0</v>
      </c>
      <c r="O400" t="str">
        <f xml:space="preserve"> VLOOKUP(A400, Lookup_Tables!$G$2:$H$6,2,TRUE)</f>
        <v>35-44</v>
      </c>
      <c r="P400" t="str">
        <f>_xlfn.XLOOKUP(J400,Lookup_Tables!$J$2:$J$4,Lookup_Tables!$K$2:$K$4, " ",-1)</f>
        <v>Medium</v>
      </c>
      <c r="Q400" t="str">
        <f xml:space="preserve"> _xlfn.XLOOKUP(M400, Lookup_Tables!$M$2:$M$5,Lookup_Tables!$N$2:$N$5," ", -1)</f>
        <v>Veteran (10+)</v>
      </c>
      <c r="R400" s="4">
        <f t="shared" si="13"/>
        <v>2.6666666666666665</v>
      </c>
      <c r="S400" t="str">
        <f xml:space="preserve"> _xlfn.XLOOKUP( E400, Lookup_Tables!$A$2:$A$6,Lookup_Tables!$B$2:$B$6," ", -1)</f>
        <v>Doctor</v>
      </c>
      <c r="T400" t="str">
        <f>_xlfn.XLOOKUP(G400,Lookup_Tables!$D$2:$D$5,Lookup_Tables!$E$2:$E$5)</f>
        <v>Medium</v>
      </c>
      <c r="U400" t="str">
        <f>_xlfn.XLOOKUP(H400,Lookup_Tables!$D$2:$D$5,Lookup_Tables!$E$2:$E$5)</f>
        <v>High</v>
      </c>
      <c r="V400" t="str">
        <f>_xlfn.XLOOKUP(L400,Lookup_Tables!$D$2:$D$5,Lookup_Tables!$E$2:$E$5)</f>
        <v>High</v>
      </c>
    </row>
    <row r="401" spans="1:22">
      <c r="A401">
        <f>RAW_DATA!A401</f>
        <v>31</v>
      </c>
      <c r="B401" t="str">
        <f>RAW_DATA!B401</f>
        <v>No</v>
      </c>
      <c r="C401" t="str">
        <f>RAW_DATA!C401</f>
        <v>Research &amp; Development</v>
      </c>
      <c r="D401">
        <f>RAW_DATA!D401</f>
        <v>1</v>
      </c>
      <c r="E401">
        <f>RAW_DATA!E401</f>
        <v>2</v>
      </c>
      <c r="F401" t="str">
        <f>RAW_DATA!F401</f>
        <v>Life Sciences</v>
      </c>
      <c r="G401">
        <f>RAW_DATA!G401</f>
        <v>4</v>
      </c>
      <c r="H401">
        <f>RAW_DATA!H401</f>
        <v>1</v>
      </c>
      <c r="I401" t="str">
        <f>RAW_DATA!I401</f>
        <v>Married</v>
      </c>
      <c r="J401">
        <f>RAW_DATA!J401</f>
        <v>2218</v>
      </c>
      <c r="K401">
        <f>RAW_DATA!K401</f>
        <v>1</v>
      </c>
      <c r="L401">
        <f>RAW_DATA!L401</f>
        <v>3</v>
      </c>
      <c r="M401">
        <f>RAW_DATA!M401</f>
        <v>4</v>
      </c>
      <c r="N401">
        <f t="shared" si="12"/>
        <v>0</v>
      </c>
      <c r="O401" t="str">
        <f xml:space="preserve"> VLOOKUP(A401, Lookup_Tables!$G$2:$H$6,2,TRUE)</f>
        <v>25-34</v>
      </c>
      <c r="P401" t="str">
        <f>_xlfn.XLOOKUP(J401,Lookup_Tables!$J$2:$J$4,Lookup_Tables!$K$2:$K$4, " ",-1)</f>
        <v>Low</v>
      </c>
      <c r="Q401" t="str">
        <f xml:space="preserve"> _xlfn.XLOOKUP(M401, Lookup_Tables!$M$2:$M$5,Lookup_Tables!$N$2:$N$5," ", -1)</f>
        <v>Early (2-5)</v>
      </c>
      <c r="R401" s="4">
        <f t="shared" si="13"/>
        <v>2.6666666666666665</v>
      </c>
      <c r="S401" t="str">
        <f xml:space="preserve"> _xlfn.XLOOKUP( E401, Lookup_Tables!$A$2:$A$6,Lookup_Tables!$B$2:$B$6," ", -1)</f>
        <v>College</v>
      </c>
      <c r="T401" t="str">
        <f>_xlfn.XLOOKUP(G401,Lookup_Tables!$D$2:$D$5,Lookup_Tables!$E$2:$E$5)</f>
        <v>Very High</v>
      </c>
      <c r="U401" t="str">
        <f>_xlfn.XLOOKUP(H401,Lookup_Tables!$D$2:$D$5,Lookup_Tables!$E$2:$E$5)</f>
        <v>Low</v>
      </c>
      <c r="V401" t="str">
        <f>_xlfn.XLOOKUP(L401,Lookup_Tables!$D$2:$D$5,Lookup_Tables!$E$2:$E$5)</f>
        <v>High</v>
      </c>
    </row>
    <row r="402" spans="1:22">
      <c r="A402">
        <f>RAW_DATA!A402</f>
        <v>39</v>
      </c>
      <c r="B402" t="str">
        <f>RAW_DATA!B402</f>
        <v>No</v>
      </c>
      <c r="C402" t="str">
        <f>RAW_DATA!C402</f>
        <v>Research &amp; Development</v>
      </c>
      <c r="D402">
        <f>RAW_DATA!D402</f>
        <v>1</v>
      </c>
      <c r="E402">
        <f>RAW_DATA!E402</f>
        <v>1</v>
      </c>
      <c r="F402" t="str">
        <f>RAW_DATA!F402</f>
        <v>Life Sciences</v>
      </c>
      <c r="G402">
        <f>RAW_DATA!G402</f>
        <v>2</v>
      </c>
      <c r="H402">
        <f>RAW_DATA!H402</f>
        <v>3</v>
      </c>
      <c r="I402" t="str">
        <f>RAW_DATA!I402</f>
        <v>Divorced</v>
      </c>
      <c r="J402">
        <f>RAW_DATA!J402</f>
        <v>19197</v>
      </c>
      <c r="K402">
        <f>RAW_DATA!K402</f>
        <v>1</v>
      </c>
      <c r="L402">
        <f>RAW_DATA!L402</f>
        <v>3</v>
      </c>
      <c r="M402">
        <f>RAW_DATA!M402</f>
        <v>21</v>
      </c>
      <c r="N402">
        <f t="shared" si="12"/>
        <v>0</v>
      </c>
      <c r="O402" t="str">
        <f xml:space="preserve"> VLOOKUP(A402, Lookup_Tables!$G$2:$H$6,2,TRUE)</f>
        <v>35-44</v>
      </c>
      <c r="P402" t="str">
        <f>_xlfn.XLOOKUP(J402,Lookup_Tables!$J$2:$J$4,Lookup_Tables!$K$2:$K$4, " ",-1)</f>
        <v>High</v>
      </c>
      <c r="Q402" t="str">
        <f xml:space="preserve"> _xlfn.XLOOKUP(M402, Lookup_Tables!$M$2:$M$5,Lookup_Tables!$N$2:$N$5," ", -1)</f>
        <v>Veteran (10+)</v>
      </c>
      <c r="R402" s="4">
        <f t="shared" si="13"/>
        <v>2.6666666666666665</v>
      </c>
      <c r="S402" t="str">
        <f xml:space="preserve"> _xlfn.XLOOKUP( E402, Lookup_Tables!$A$2:$A$6,Lookup_Tables!$B$2:$B$6," ", -1)</f>
        <v>Below College</v>
      </c>
      <c r="T402" t="str">
        <f>_xlfn.XLOOKUP(G402,Lookup_Tables!$D$2:$D$5,Lookup_Tables!$E$2:$E$5)</f>
        <v>Medium</v>
      </c>
      <c r="U402" t="str">
        <f>_xlfn.XLOOKUP(H402,Lookup_Tables!$D$2:$D$5,Lookup_Tables!$E$2:$E$5)</f>
        <v>High</v>
      </c>
      <c r="V402" t="str">
        <f>_xlfn.XLOOKUP(L402,Lookup_Tables!$D$2:$D$5,Lookup_Tables!$E$2:$E$5)</f>
        <v>High</v>
      </c>
    </row>
    <row r="403" spans="1:22">
      <c r="A403">
        <f>RAW_DATA!A403</f>
        <v>56</v>
      </c>
      <c r="B403" t="str">
        <f>RAW_DATA!B403</f>
        <v>No</v>
      </c>
      <c r="C403" t="str">
        <f>RAW_DATA!C403</f>
        <v>Sales</v>
      </c>
      <c r="D403">
        <f>RAW_DATA!D403</f>
        <v>6</v>
      </c>
      <c r="E403">
        <f>RAW_DATA!E403</f>
        <v>3</v>
      </c>
      <c r="F403" t="str">
        <f>RAW_DATA!F403</f>
        <v>Life Sciences</v>
      </c>
      <c r="G403">
        <f>RAW_DATA!G403</f>
        <v>3</v>
      </c>
      <c r="H403">
        <f>RAW_DATA!H403</f>
        <v>1</v>
      </c>
      <c r="I403" t="str">
        <f>RAW_DATA!I403</f>
        <v>Married</v>
      </c>
      <c r="J403">
        <f>RAW_DATA!J403</f>
        <v>13212</v>
      </c>
      <c r="K403">
        <f>RAW_DATA!K403</f>
        <v>9</v>
      </c>
      <c r="L403">
        <f>RAW_DATA!L403</f>
        <v>2</v>
      </c>
      <c r="M403">
        <f>RAW_DATA!M403</f>
        <v>7</v>
      </c>
      <c r="N403">
        <f t="shared" si="12"/>
        <v>0</v>
      </c>
      <c r="O403" t="str">
        <f xml:space="preserve"> VLOOKUP(A403, Lookup_Tables!$G$2:$H$6,2,TRUE)</f>
        <v>55+</v>
      </c>
      <c r="P403" t="str">
        <f>_xlfn.XLOOKUP(J403,Lookup_Tables!$J$2:$J$4,Lookup_Tables!$K$2:$K$4, " ",-1)</f>
        <v>High</v>
      </c>
      <c r="Q403" t="str">
        <f xml:space="preserve"> _xlfn.XLOOKUP(M403, Lookup_Tables!$M$2:$M$5,Lookup_Tables!$N$2:$N$5," ", -1)</f>
        <v>Established (5-10)</v>
      </c>
      <c r="R403" s="4">
        <f t="shared" si="13"/>
        <v>2</v>
      </c>
      <c r="S403" t="str">
        <f xml:space="preserve"> _xlfn.XLOOKUP( E403, Lookup_Tables!$A$2:$A$6,Lookup_Tables!$B$2:$B$6," ", -1)</f>
        <v>Bachelor</v>
      </c>
      <c r="T403" t="str">
        <f>_xlfn.XLOOKUP(G403,Lookup_Tables!$D$2:$D$5,Lookup_Tables!$E$2:$E$5)</f>
        <v>High</v>
      </c>
      <c r="U403" t="str">
        <f>_xlfn.XLOOKUP(H403,Lookup_Tables!$D$2:$D$5,Lookup_Tables!$E$2:$E$5)</f>
        <v>Low</v>
      </c>
      <c r="V403" t="str">
        <f>_xlfn.XLOOKUP(L403,Lookup_Tables!$D$2:$D$5,Lookup_Tables!$E$2:$E$5)</f>
        <v>Medium</v>
      </c>
    </row>
    <row r="404" spans="1:22">
      <c r="A404">
        <f>RAW_DATA!A404</f>
        <v>30</v>
      </c>
      <c r="B404" t="str">
        <f>RAW_DATA!B404</f>
        <v>No</v>
      </c>
      <c r="C404" t="str">
        <f>RAW_DATA!C404</f>
        <v>Sales</v>
      </c>
      <c r="D404">
        <f>RAW_DATA!D404</f>
        <v>12</v>
      </c>
      <c r="E404">
        <f>RAW_DATA!E404</f>
        <v>3</v>
      </c>
      <c r="F404" t="str">
        <f>RAW_DATA!F404</f>
        <v>Technical Degree</v>
      </c>
      <c r="G404">
        <f>RAW_DATA!G404</f>
        <v>2</v>
      </c>
      <c r="H404">
        <f>RAW_DATA!H404</f>
        <v>3</v>
      </c>
      <c r="I404" t="str">
        <f>RAW_DATA!I404</f>
        <v>Single</v>
      </c>
      <c r="J404">
        <f>RAW_DATA!J404</f>
        <v>6577</v>
      </c>
      <c r="K404">
        <f>RAW_DATA!K404</f>
        <v>0</v>
      </c>
      <c r="L404">
        <f>RAW_DATA!L404</f>
        <v>3</v>
      </c>
      <c r="M404">
        <f>RAW_DATA!M404</f>
        <v>5</v>
      </c>
      <c r="N404">
        <f t="shared" si="12"/>
        <v>0</v>
      </c>
      <c r="O404" t="str">
        <f xml:space="preserve"> VLOOKUP(A404, Lookup_Tables!$G$2:$H$6,2,TRUE)</f>
        <v>25-34</v>
      </c>
      <c r="P404" t="str">
        <f>_xlfn.XLOOKUP(J404,Lookup_Tables!$J$2:$J$4,Lookup_Tables!$K$2:$K$4, " ",-1)</f>
        <v>Medium</v>
      </c>
      <c r="Q404" t="str">
        <f xml:space="preserve"> _xlfn.XLOOKUP(M404, Lookup_Tables!$M$2:$M$5,Lookup_Tables!$N$2:$N$5," ", -1)</f>
        <v>Established (5-10)</v>
      </c>
      <c r="R404" s="4">
        <f t="shared" si="13"/>
        <v>2.6666666666666665</v>
      </c>
      <c r="S404" t="str">
        <f xml:space="preserve"> _xlfn.XLOOKUP( E404, Lookup_Tables!$A$2:$A$6,Lookup_Tables!$B$2:$B$6," ", -1)</f>
        <v>Bachelor</v>
      </c>
      <c r="T404" t="str">
        <f>_xlfn.XLOOKUP(G404,Lookup_Tables!$D$2:$D$5,Lookup_Tables!$E$2:$E$5)</f>
        <v>Medium</v>
      </c>
      <c r="U404" t="str">
        <f>_xlfn.XLOOKUP(H404,Lookup_Tables!$D$2:$D$5,Lookup_Tables!$E$2:$E$5)</f>
        <v>High</v>
      </c>
      <c r="V404" t="str">
        <f>_xlfn.XLOOKUP(L404,Lookup_Tables!$D$2:$D$5,Lookup_Tables!$E$2:$E$5)</f>
        <v>High</v>
      </c>
    </row>
    <row r="405" spans="1:22">
      <c r="A405">
        <f>RAW_DATA!A405</f>
        <v>41</v>
      </c>
      <c r="B405" t="str">
        <f>RAW_DATA!B405</f>
        <v>No</v>
      </c>
      <c r="C405" t="str">
        <f>RAW_DATA!C405</f>
        <v>Sales</v>
      </c>
      <c r="D405">
        <f>RAW_DATA!D405</f>
        <v>1</v>
      </c>
      <c r="E405">
        <f>RAW_DATA!E405</f>
        <v>3</v>
      </c>
      <c r="F405" t="str">
        <f>RAW_DATA!F405</f>
        <v>Marketing</v>
      </c>
      <c r="G405">
        <f>RAW_DATA!G405</f>
        <v>2</v>
      </c>
      <c r="H405">
        <f>RAW_DATA!H405</f>
        <v>1</v>
      </c>
      <c r="I405" t="str">
        <f>RAW_DATA!I405</f>
        <v>Married</v>
      </c>
      <c r="J405">
        <f>RAW_DATA!J405</f>
        <v>8392</v>
      </c>
      <c r="K405">
        <f>RAW_DATA!K405</f>
        <v>1</v>
      </c>
      <c r="L405">
        <f>RAW_DATA!L405</f>
        <v>3</v>
      </c>
      <c r="M405">
        <f>RAW_DATA!M405</f>
        <v>10</v>
      </c>
      <c r="N405">
        <f t="shared" si="12"/>
        <v>0</v>
      </c>
      <c r="O405" t="str">
        <f xml:space="preserve"> VLOOKUP(A405, Lookup_Tables!$G$2:$H$6,2,TRUE)</f>
        <v>35-44</v>
      </c>
      <c r="P405" t="str">
        <f>_xlfn.XLOOKUP(J405,Lookup_Tables!$J$2:$J$4,Lookup_Tables!$K$2:$K$4, " ",-1)</f>
        <v>High</v>
      </c>
      <c r="Q405" t="str">
        <f xml:space="preserve"> _xlfn.XLOOKUP(M405, Lookup_Tables!$M$2:$M$5,Lookup_Tables!$N$2:$N$5," ", -1)</f>
        <v>Veteran (10+)</v>
      </c>
      <c r="R405" s="4">
        <f t="shared" si="13"/>
        <v>2</v>
      </c>
      <c r="S405" t="str">
        <f xml:space="preserve"> _xlfn.XLOOKUP( E405, Lookup_Tables!$A$2:$A$6,Lookup_Tables!$B$2:$B$6," ", -1)</f>
        <v>Bachelor</v>
      </c>
      <c r="T405" t="str">
        <f>_xlfn.XLOOKUP(G405,Lookup_Tables!$D$2:$D$5,Lookup_Tables!$E$2:$E$5)</f>
        <v>Medium</v>
      </c>
      <c r="U405" t="str">
        <f>_xlfn.XLOOKUP(H405,Lookup_Tables!$D$2:$D$5,Lookup_Tables!$E$2:$E$5)</f>
        <v>Low</v>
      </c>
      <c r="V405" t="str">
        <f>_xlfn.XLOOKUP(L405,Lookup_Tables!$D$2:$D$5,Lookup_Tables!$E$2:$E$5)</f>
        <v>High</v>
      </c>
    </row>
    <row r="406" spans="1:22">
      <c r="A406">
        <f>RAW_DATA!A406</f>
        <v>28</v>
      </c>
      <c r="B406" t="str">
        <f>RAW_DATA!B406</f>
        <v>No</v>
      </c>
      <c r="C406" t="str">
        <f>RAW_DATA!C406</f>
        <v>Research &amp; Development</v>
      </c>
      <c r="D406">
        <f>RAW_DATA!D406</f>
        <v>17</v>
      </c>
      <c r="E406">
        <f>RAW_DATA!E406</f>
        <v>2</v>
      </c>
      <c r="F406" t="str">
        <f>RAW_DATA!F406</f>
        <v>Medical</v>
      </c>
      <c r="G406">
        <f>RAW_DATA!G406</f>
        <v>3</v>
      </c>
      <c r="H406">
        <f>RAW_DATA!H406</f>
        <v>1</v>
      </c>
      <c r="I406" t="str">
        <f>RAW_DATA!I406</f>
        <v>Divorced</v>
      </c>
      <c r="J406">
        <f>RAW_DATA!J406</f>
        <v>4558</v>
      </c>
      <c r="K406">
        <f>RAW_DATA!K406</f>
        <v>1</v>
      </c>
      <c r="L406">
        <f>RAW_DATA!L406</f>
        <v>3</v>
      </c>
      <c r="M406">
        <f>RAW_DATA!M406</f>
        <v>10</v>
      </c>
      <c r="N406">
        <f t="shared" si="12"/>
        <v>0</v>
      </c>
      <c r="O406" t="str">
        <f xml:space="preserve"> VLOOKUP(A406, Lookup_Tables!$G$2:$H$6,2,TRUE)</f>
        <v>25-34</v>
      </c>
      <c r="P406" t="str">
        <f>_xlfn.XLOOKUP(J406,Lookup_Tables!$J$2:$J$4,Lookup_Tables!$K$2:$K$4, " ",-1)</f>
        <v>Medium</v>
      </c>
      <c r="Q406" t="str">
        <f xml:space="preserve"> _xlfn.XLOOKUP(M406, Lookup_Tables!$M$2:$M$5,Lookup_Tables!$N$2:$N$5," ", -1)</f>
        <v>Veteran (10+)</v>
      </c>
      <c r="R406" s="4">
        <f t="shared" si="13"/>
        <v>2.3333333333333335</v>
      </c>
      <c r="S406" t="str">
        <f xml:space="preserve"> _xlfn.XLOOKUP( E406, Lookup_Tables!$A$2:$A$6,Lookup_Tables!$B$2:$B$6," ", -1)</f>
        <v>College</v>
      </c>
      <c r="T406" t="str">
        <f>_xlfn.XLOOKUP(G406,Lookup_Tables!$D$2:$D$5,Lookup_Tables!$E$2:$E$5)</f>
        <v>High</v>
      </c>
      <c r="U406" t="str">
        <f>_xlfn.XLOOKUP(H406,Lookup_Tables!$D$2:$D$5,Lookup_Tables!$E$2:$E$5)</f>
        <v>Low</v>
      </c>
      <c r="V406" t="str">
        <f>_xlfn.XLOOKUP(L406,Lookup_Tables!$D$2:$D$5,Lookup_Tables!$E$2:$E$5)</f>
        <v>High</v>
      </c>
    </row>
    <row r="407" spans="1:22">
      <c r="A407">
        <f>RAW_DATA!A407</f>
        <v>25</v>
      </c>
      <c r="B407" t="str">
        <f>RAW_DATA!B407</f>
        <v>Yes</v>
      </c>
      <c r="C407" t="str">
        <f>RAW_DATA!C407</f>
        <v>Research &amp; Development</v>
      </c>
      <c r="D407">
        <f>RAW_DATA!D407</f>
        <v>3</v>
      </c>
      <c r="E407">
        <f>RAW_DATA!E407</f>
        <v>3</v>
      </c>
      <c r="F407" t="str">
        <f>RAW_DATA!F407</f>
        <v>Medical</v>
      </c>
      <c r="G407">
        <f>RAW_DATA!G407</f>
        <v>1</v>
      </c>
      <c r="H407">
        <f>RAW_DATA!H407</f>
        <v>1</v>
      </c>
      <c r="I407" t="str">
        <f>RAW_DATA!I407</f>
        <v>Married</v>
      </c>
      <c r="J407">
        <f>RAW_DATA!J407</f>
        <v>4031</v>
      </c>
      <c r="K407">
        <f>RAW_DATA!K407</f>
        <v>5</v>
      </c>
      <c r="L407">
        <f>RAW_DATA!L407</f>
        <v>3</v>
      </c>
      <c r="M407">
        <f>RAW_DATA!M407</f>
        <v>2</v>
      </c>
      <c r="N407">
        <f t="shared" si="12"/>
        <v>1</v>
      </c>
      <c r="O407" t="str">
        <f xml:space="preserve"> VLOOKUP(A407, Lookup_Tables!$G$2:$H$6,2,TRUE)</f>
        <v>25-34</v>
      </c>
      <c r="P407" t="str">
        <f>_xlfn.XLOOKUP(J407,Lookup_Tables!$J$2:$J$4,Lookup_Tables!$K$2:$K$4, " ",-1)</f>
        <v>Medium</v>
      </c>
      <c r="Q407" t="str">
        <f xml:space="preserve"> _xlfn.XLOOKUP(M407, Lookup_Tables!$M$2:$M$5,Lookup_Tables!$N$2:$N$5," ", -1)</f>
        <v>Early (2-5)</v>
      </c>
      <c r="R407" s="4">
        <f t="shared" si="13"/>
        <v>1.6666666666666667</v>
      </c>
      <c r="S407" t="str">
        <f xml:space="preserve"> _xlfn.XLOOKUP( E407, Lookup_Tables!$A$2:$A$6,Lookup_Tables!$B$2:$B$6," ", -1)</f>
        <v>Bachelor</v>
      </c>
      <c r="T407" t="str">
        <f>_xlfn.XLOOKUP(G407,Lookup_Tables!$D$2:$D$5,Lookup_Tables!$E$2:$E$5)</f>
        <v>Low</v>
      </c>
      <c r="U407" t="str">
        <f>_xlfn.XLOOKUP(H407,Lookup_Tables!$D$2:$D$5,Lookup_Tables!$E$2:$E$5)</f>
        <v>Low</v>
      </c>
      <c r="V407" t="str">
        <f>_xlfn.XLOOKUP(L407,Lookup_Tables!$D$2:$D$5,Lookup_Tables!$E$2:$E$5)</f>
        <v>High</v>
      </c>
    </row>
    <row r="408" spans="1:22">
      <c r="A408">
        <f>RAW_DATA!A408</f>
        <v>52</v>
      </c>
      <c r="B408" t="str">
        <f>RAW_DATA!B408</f>
        <v>No</v>
      </c>
      <c r="C408" t="str">
        <f>RAW_DATA!C408</f>
        <v>Research &amp; Development</v>
      </c>
      <c r="D408">
        <f>RAW_DATA!D408</f>
        <v>3</v>
      </c>
      <c r="E408">
        <f>RAW_DATA!E408</f>
        <v>3</v>
      </c>
      <c r="F408" t="str">
        <f>RAW_DATA!F408</f>
        <v>Medical</v>
      </c>
      <c r="G408">
        <f>RAW_DATA!G408</f>
        <v>4</v>
      </c>
      <c r="H408">
        <f>RAW_DATA!H408</f>
        <v>3</v>
      </c>
      <c r="I408" t="str">
        <f>RAW_DATA!I408</f>
        <v>Married</v>
      </c>
      <c r="J408">
        <f>RAW_DATA!J408</f>
        <v>7969</v>
      </c>
      <c r="K408">
        <f>RAW_DATA!K408</f>
        <v>2</v>
      </c>
      <c r="L408">
        <f>RAW_DATA!L408</f>
        <v>3</v>
      </c>
      <c r="M408">
        <f>RAW_DATA!M408</f>
        <v>5</v>
      </c>
      <c r="N408">
        <f t="shared" si="12"/>
        <v>0</v>
      </c>
      <c r="O408" t="str">
        <f xml:space="preserve"> VLOOKUP(A408, Lookup_Tables!$G$2:$H$6,2,TRUE)</f>
        <v>45-54</v>
      </c>
      <c r="P408" t="str">
        <f>_xlfn.XLOOKUP(J408,Lookup_Tables!$J$2:$J$4,Lookup_Tables!$K$2:$K$4, " ",-1)</f>
        <v>High</v>
      </c>
      <c r="Q408" t="str">
        <f xml:space="preserve"> _xlfn.XLOOKUP(M408, Lookup_Tables!$M$2:$M$5,Lookup_Tables!$N$2:$N$5," ", -1)</f>
        <v>Established (5-10)</v>
      </c>
      <c r="R408" s="4">
        <f t="shared" si="13"/>
        <v>3.3333333333333335</v>
      </c>
      <c r="S408" t="str">
        <f xml:space="preserve"> _xlfn.XLOOKUP( E408, Lookup_Tables!$A$2:$A$6,Lookup_Tables!$B$2:$B$6," ", -1)</f>
        <v>Bachelor</v>
      </c>
      <c r="T408" t="str">
        <f>_xlfn.XLOOKUP(G408,Lookup_Tables!$D$2:$D$5,Lookup_Tables!$E$2:$E$5)</f>
        <v>Very High</v>
      </c>
      <c r="U408" t="str">
        <f>_xlfn.XLOOKUP(H408,Lookup_Tables!$D$2:$D$5,Lookup_Tables!$E$2:$E$5)</f>
        <v>High</v>
      </c>
      <c r="V408" t="str">
        <f>_xlfn.XLOOKUP(L408,Lookup_Tables!$D$2:$D$5,Lookup_Tables!$E$2:$E$5)</f>
        <v>High</v>
      </c>
    </row>
    <row r="409" spans="1:22">
      <c r="A409">
        <f>RAW_DATA!A409</f>
        <v>45</v>
      </c>
      <c r="B409" t="str">
        <f>RAW_DATA!B409</f>
        <v>No</v>
      </c>
      <c r="C409" t="str">
        <f>RAW_DATA!C409</f>
        <v>Research &amp; Development</v>
      </c>
      <c r="D409">
        <f>RAW_DATA!D409</f>
        <v>10</v>
      </c>
      <c r="E409">
        <f>RAW_DATA!E409</f>
        <v>2</v>
      </c>
      <c r="F409" t="str">
        <f>RAW_DATA!F409</f>
        <v>Life Sciences</v>
      </c>
      <c r="G409">
        <f>RAW_DATA!G409</f>
        <v>1</v>
      </c>
      <c r="H409">
        <f>RAW_DATA!H409</f>
        <v>4</v>
      </c>
      <c r="I409" t="str">
        <f>RAW_DATA!I409</f>
        <v>Married</v>
      </c>
      <c r="J409">
        <f>RAW_DATA!J409</f>
        <v>2654</v>
      </c>
      <c r="K409">
        <f>RAW_DATA!K409</f>
        <v>3</v>
      </c>
      <c r="L409">
        <f>RAW_DATA!L409</f>
        <v>2</v>
      </c>
      <c r="M409">
        <f>RAW_DATA!M409</f>
        <v>2</v>
      </c>
      <c r="N409">
        <f t="shared" si="12"/>
        <v>0</v>
      </c>
      <c r="O409" t="str">
        <f xml:space="preserve"> VLOOKUP(A409, Lookup_Tables!$G$2:$H$6,2,TRUE)</f>
        <v>45-54</v>
      </c>
      <c r="P409" t="str">
        <f>_xlfn.XLOOKUP(J409,Lookup_Tables!$J$2:$J$4,Lookup_Tables!$K$2:$K$4, " ",-1)</f>
        <v>Low</v>
      </c>
      <c r="Q409" t="str">
        <f xml:space="preserve"> _xlfn.XLOOKUP(M409, Lookup_Tables!$M$2:$M$5,Lookup_Tables!$N$2:$N$5," ", -1)</f>
        <v>Early (2-5)</v>
      </c>
      <c r="R409" s="4">
        <f t="shared" si="13"/>
        <v>2.3333333333333335</v>
      </c>
      <c r="S409" t="str">
        <f xml:space="preserve"> _xlfn.XLOOKUP( E409, Lookup_Tables!$A$2:$A$6,Lookup_Tables!$B$2:$B$6," ", -1)</f>
        <v>College</v>
      </c>
      <c r="T409" t="str">
        <f>_xlfn.XLOOKUP(G409,Lookup_Tables!$D$2:$D$5,Lookup_Tables!$E$2:$E$5)</f>
        <v>Low</v>
      </c>
      <c r="U409" t="str">
        <f>_xlfn.XLOOKUP(H409,Lookup_Tables!$D$2:$D$5,Lookup_Tables!$E$2:$E$5)</f>
        <v>Very High</v>
      </c>
      <c r="V409" t="str">
        <f>_xlfn.XLOOKUP(L409,Lookup_Tables!$D$2:$D$5,Lookup_Tables!$E$2:$E$5)</f>
        <v>Medium</v>
      </c>
    </row>
    <row r="410" spans="1:22">
      <c r="A410">
        <f>RAW_DATA!A410</f>
        <v>52</v>
      </c>
      <c r="B410" t="str">
        <f>RAW_DATA!B410</f>
        <v>No</v>
      </c>
      <c r="C410" t="str">
        <f>RAW_DATA!C410</f>
        <v>Research &amp; Development</v>
      </c>
      <c r="D410">
        <f>RAW_DATA!D410</f>
        <v>4</v>
      </c>
      <c r="E410">
        <f>RAW_DATA!E410</f>
        <v>2</v>
      </c>
      <c r="F410" t="str">
        <f>RAW_DATA!F410</f>
        <v>Life Sciences</v>
      </c>
      <c r="G410">
        <f>RAW_DATA!G410</f>
        <v>4</v>
      </c>
      <c r="H410">
        <f>RAW_DATA!H410</f>
        <v>4</v>
      </c>
      <c r="I410" t="str">
        <f>RAW_DATA!I410</f>
        <v>Married</v>
      </c>
      <c r="J410">
        <f>RAW_DATA!J410</f>
        <v>16555</v>
      </c>
      <c r="K410">
        <f>RAW_DATA!K410</f>
        <v>2</v>
      </c>
      <c r="L410">
        <f>RAW_DATA!L410</f>
        <v>1</v>
      </c>
      <c r="M410">
        <f>RAW_DATA!M410</f>
        <v>5</v>
      </c>
      <c r="N410">
        <f t="shared" si="12"/>
        <v>0</v>
      </c>
      <c r="O410" t="str">
        <f xml:space="preserve"> VLOOKUP(A410, Lookup_Tables!$G$2:$H$6,2,TRUE)</f>
        <v>45-54</v>
      </c>
      <c r="P410" t="str">
        <f>_xlfn.XLOOKUP(J410,Lookup_Tables!$J$2:$J$4,Lookup_Tables!$K$2:$K$4, " ",-1)</f>
        <v>High</v>
      </c>
      <c r="Q410" t="str">
        <f xml:space="preserve"> _xlfn.XLOOKUP(M410, Lookup_Tables!$M$2:$M$5,Lookup_Tables!$N$2:$N$5," ", -1)</f>
        <v>Established (5-10)</v>
      </c>
      <c r="R410" s="4">
        <f t="shared" si="13"/>
        <v>3</v>
      </c>
      <c r="S410" t="str">
        <f xml:space="preserve"> _xlfn.XLOOKUP( E410, Lookup_Tables!$A$2:$A$6,Lookup_Tables!$B$2:$B$6," ", -1)</f>
        <v>College</v>
      </c>
      <c r="T410" t="str">
        <f>_xlfn.XLOOKUP(G410,Lookup_Tables!$D$2:$D$5,Lookup_Tables!$E$2:$E$5)</f>
        <v>Very High</v>
      </c>
      <c r="U410" t="str">
        <f>_xlfn.XLOOKUP(H410,Lookup_Tables!$D$2:$D$5,Lookup_Tables!$E$2:$E$5)</f>
        <v>Very High</v>
      </c>
      <c r="V410" t="str">
        <f>_xlfn.XLOOKUP(L410,Lookup_Tables!$D$2:$D$5,Lookup_Tables!$E$2:$E$5)</f>
        <v>Low</v>
      </c>
    </row>
    <row r="411" spans="1:22">
      <c r="A411">
        <f>RAW_DATA!A411</f>
        <v>42</v>
      </c>
      <c r="B411" t="str">
        <f>RAW_DATA!B411</f>
        <v>No</v>
      </c>
      <c r="C411" t="str">
        <f>RAW_DATA!C411</f>
        <v>Research &amp; Development</v>
      </c>
      <c r="D411">
        <f>RAW_DATA!D411</f>
        <v>29</v>
      </c>
      <c r="E411">
        <f>RAW_DATA!E411</f>
        <v>2</v>
      </c>
      <c r="F411" t="str">
        <f>RAW_DATA!F411</f>
        <v>Life Sciences</v>
      </c>
      <c r="G411">
        <f>RAW_DATA!G411</f>
        <v>1</v>
      </c>
      <c r="H411">
        <f>RAW_DATA!H411</f>
        <v>3</v>
      </c>
      <c r="I411" t="str">
        <f>RAW_DATA!I411</f>
        <v>Divorced</v>
      </c>
      <c r="J411">
        <f>RAW_DATA!J411</f>
        <v>4556</v>
      </c>
      <c r="K411">
        <f>RAW_DATA!K411</f>
        <v>2</v>
      </c>
      <c r="L411">
        <f>RAW_DATA!L411</f>
        <v>3</v>
      </c>
      <c r="M411">
        <f>RAW_DATA!M411</f>
        <v>5</v>
      </c>
      <c r="N411">
        <f t="shared" si="12"/>
        <v>0</v>
      </c>
      <c r="O411" t="str">
        <f xml:space="preserve"> VLOOKUP(A411, Lookup_Tables!$G$2:$H$6,2,TRUE)</f>
        <v>35-44</v>
      </c>
      <c r="P411" t="str">
        <f>_xlfn.XLOOKUP(J411,Lookup_Tables!$J$2:$J$4,Lookup_Tables!$K$2:$K$4, " ",-1)</f>
        <v>Medium</v>
      </c>
      <c r="Q411" t="str">
        <f xml:space="preserve"> _xlfn.XLOOKUP(M411, Lookup_Tables!$M$2:$M$5,Lookup_Tables!$N$2:$N$5," ", -1)</f>
        <v>Established (5-10)</v>
      </c>
      <c r="R411" s="4">
        <f t="shared" si="13"/>
        <v>2.3333333333333335</v>
      </c>
      <c r="S411" t="str">
        <f xml:space="preserve"> _xlfn.XLOOKUP( E411, Lookup_Tables!$A$2:$A$6,Lookup_Tables!$B$2:$B$6," ", -1)</f>
        <v>College</v>
      </c>
      <c r="T411" t="str">
        <f>_xlfn.XLOOKUP(G411,Lookup_Tables!$D$2:$D$5,Lookup_Tables!$E$2:$E$5)</f>
        <v>Low</v>
      </c>
      <c r="U411" t="str">
        <f>_xlfn.XLOOKUP(H411,Lookup_Tables!$D$2:$D$5,Lookup_Tables!$E$2:$E$5)</f>
        <v>High</v>
      </c>
      <c r="V411" t="str">
        <f>_xlfn.XLOOKUP(L411,Lookup_Tables!$D$2:$D$5,Lookup_Tables!$E$2:$E$5)</f>
        <v>High</v>
      </c>
    </row>
    <row r="412" spans="1:22">
      <c r="A412">
        <f>RAW_DATA!A412</f>
        <v>30</v>
      </c>
      <c r="B412" t="str">
        <f>RAW_DATA!B412</f>
        <v>No</v>
      </c>
      <c r="C412" t="str">
        <f>RAW_DATA!C412</f>
        <v>Research &amp; Development</v>
      </c>
      <c r="D412">
        <f>RAW_DATA!D412</f>
        <v>2</v>
      </c>
      <c r="E412">
        <f>RAW_DATA!E412</f>
        <v>3</v>
      </c>
      <c r="F412" t="str">
        <f>RAW_DATA!F412</f>
        <v>Life Sciences</v>
      </c>
      <c r="G412">
        <f>RAW_DATA!G412</f>
        <v>3</v>
      </c>
      <c r="H412">
        <f>RAW_DATA!H412</f>
        <v>4</v>
      </c>
      <c r="I412" t="str">
        <f>RAW_DATA!I412</f>
        <v>Single</v>
      </c>
      <c r="J412">
        <f>RAW_DATA!J412</f>
        <v>6091</v>
      </c>
      <c r="K412">
        <f>RAW_DATA!K412</f>
        <v>2</v>
      </c>
      <c r="L412">
        <f>RAW_DATA!L412</f>
        <v>3</v>
      </c>
      <c r="M412">
        <f>RAW_DATA!M412</f>
        <v>5</v>
      </c>
      <c r="N412">
        <f t="shared" si="12"/>
        <v>0</v>
      </c>
      <c r="O412" t="str">
        <f xml:space="preserve"> VLOOKUP(A412, Lookup_Tables!$G$2:$H$6,2,TRUE)</f>
        <v>25-34</v>
      </c>
      <c r="P412" t="str">
        <f>_xlfn.XLOOKUP(J412,Lookup_Tables!$J$2:$J$4,Lookup_Tables!$K$2:$K$4, " ",-1)</f>
        <v>Medium</v>
      </c>
      <c r="Q412" t="str">
        <f xml:space="preserve"> _xlfn.XLOOKUP(M412, Lookup_Tables!$M$2:$M$5,Lookup_Tables!$N$2:$N$5," ", -1)</f>
        <v>Established (5-10)</v>
      </c>
      <c r="R412" s="4">
        <f t="shared" si="13"/>
        <v>3.3333333333333335</v>
      </c>
      <c r="S412" t="str">
        <f xml:space="preserve"> _xlfn.XLOOKUP( E412, Lookup_Tables!$A$2:$A$6,Lookup_Tables!$B$2:$B$6," ", -1)</f>
        <v>Bachelor</v>
      </c>
      <c r="T412" t="str">
        <f>_xlfn.XLOOKUP(G412,Lookup_Tables!$D$2:$D$5,Lookup_Tables!$E$2:$E$5)</f>
        <v>High</v>
      </c>
      <c r="U412" t="str">
        <f>_xlfn.XLOOKUP(H412,Lookup_Tables!$D$2:$D$5,Lookup_Tables!$E$2:$E$5)</f>
        <v>Very High</v>
      </c>
      <c r="V412" t="str">
        <f>_xlfn.XLOOKUP(L412,Lookup_Tables!$D$2:$D$5,Lookup_Tables!$E$2:$E$5)</f>
        <v>High</v>
      </c>
    </row>
    <row r="413" spans="1:22">
      <c r="A413">
        <f>RAW_DATA!A413</f>
        <v>60</v>
      </c>
      <c r="B413" t="str">
        <f>RAW_DATA!B413</f>
        <v>No</v>
      </c>
      <c r="C413" t="str">
        <f>RAW_DATA!C413</f>
        <v>Research &amp; Development</v>
      </c>
      <c r="D413">
        <f>RAW_DATA!D413</f>
        <v>7</v>
      </c>
      <c r="E413">
        <f>RAW_DATA!E413</f>
        <v>3</v>
      </c>
      <c r="F413" t="str">
        <f>RAW_DATA!F413</f>
        <v>Life Sciences</v>
      </c>
      <c r="G413">
        <f>RAW_DATA!G413</f>
        <v>1</v>
      </c>
      <c r="H413">
        <f>RAW_DATA!H413</f>
        <v>1</v>
      </c>
      <c r="I413" t="str">
        <f>RAW_DATA!I413</f>
        <v>Married</v>
      </c>
      <c r="J413">
        <f>RAW_DATA!J413</f>
        <v>19566</v>
      </c>
      <c r="K413">
        <f>RAW_DATA!K413</f>
        <v>5</v>
      </c>
      <c r="L413">
        <f>RAW_DATA!L413</f>
        <v>1</v>
      </c>
      <c r="M413">
        <f>RAW_DATA!M413</f>
        <v>29</v>
      </c>
      <c r="N413">
        <f t="shared" si="12"/>
        <v>0</v>
      </c>
      <c r="O413" t="str">
        <f xml:space="preserve"> VLOOKUP(A413, Lookup_Tables!$G$2:$H$6,2,TRUE)</f>
        <v>55+</v>
      </c>
      <c r="P413" t="str">
        <f>_xlfn.XLOOKUP(J413,Lookup_Tables!$J$2:$J$4,Lookup_Tables!$K$2:$K$4, " ",-1)</f>
        <v>High</v>
      </c>
      <c r="Q413" t="str">
        <f xml:space="preserve"> _xlfn.XLOOKUP(M413, Lookup_Tables!$M$2:$M$5,Lookup_Tables!$N$2:$N$5," ", -1)</f>
        <v>Veteran (10+)</v>
      </c>
      <c r="R413" s="4">
        <f t="shared" si="13"/>
        <v>1</v>
      </c>
      <c r="S413" t="str">
        <f xml:space="preserve"> _xlfn.XLOOKUP( E413, Lookup_Tables!$A$2:$A$6,Lookup_Tables!$B$2:$B$6," ", -1)</f>
        <v>Bachelor</v>
      </c>
      <c r="T413" t="str">
        <f>_xlfn.XLOOKUP(G413,Lookup_Tables!$D$2:$D$5,Lookup_Tables!$E$2:$E$5)</f>
        <v>Low</v>
      </c>
      <c r="U413" t="str">
        <f>_xlfn.XLOOKUP(H413,Lookup_Tables!$D$2:$D$5,Lookup_Tables!$E$2:$E$5)</f>
        <v>Low</v>
      </c>
      <c r="V413" t="str">
        <f>_xlfn.XLOOKUP(L413,Lookup_Tables!$D$2:$D$5,Lookup_Tables!$E$2:$E$5)</f>
        <v>Low</v>
      </c>
    </row>
    <row r="414" spans="1:22">
      <c r="A414">
        <f>RAW_DATA!A414</f>
        <v>46</v>
      </c>
      <c r="B414" t="str">
        <f>RAW_DATA!B414</f>
        <v>No</v>
      </c>
      <c r="C414" t="str">
        <f>RAW_DATA!C414</f>
        <v>Research &amp; Development</v>
      </c>
      <c r="D414">
        <f>RAW_DATA!D414</f>
        <v>18</v>
      </c>
      <c r="E414">
        <f>RAW_DATA!E414</f>
        <v>3</v>
      </c>
      <c r="F414" t="str">
        <f>RAW_DATA!F414</f>
        <v>Medical</v>
      </c>
      <c r="G414">
        <f>RAW_DATA!G414</f>
        <v>3</v>
      </c>
      <c r="H414">
        <f>RAW_DATA!H414</f>
        <v>3</v>
      </c>
      <c r="I414" t="str">
        <f>RAW_DATA!I414</f>
        <v>Divorced</v>
      </c>
      <c r="J414">
        <f>RAW_DATA!J414</f>
        <v>4810</v>
      </c>
      <c r="K414">
        <f>RAW_DATA!K414</f>
        <v>2</v>
      </c>
      <c r="L414">
        <f>RAW_DATA!L414</f>
        <v>2</v>
      </c>
      <c r="M414">
        <f>RAW_DATA!M414</f>
        <v>10</v>
      </c>
      <c r="N414">
        <f t="shared" si="12"/>
        <v>0</v>
      </c>
      <c r="O414" t="str">
        <f xml:space="preserve"> VLOOKUP(A414, Lookup_Tables!$G$2:$H$6,2,TRUE)</f>
        <v>45-54</v>
      </c>
      <c r="P414" t="str">
        <f>_xlfn.XLOOKUP(J414,Lookup_Tables!$J$2:$J$4,Lookup_Tables!$K$2:$K$4, " ",-1)</f>
        <v>Medium</v>
      </c>
      <c r="Q414" t="str">
        <f xml:space="preserve"> _xlfn.XLOOKUP(M414, Lookup_Tables!$M$2:$M$5,Lookup_Tables!$N$2:$N$5," ", -1)</f>
        <v>Veteran (10+)</v>
      </c>
      <c r="R414" s="4">
        <f t="shared" si="13"/>
        <v>2.6666666666666665</v>
      </c>
      <c r="S414" t="str">
        <f xml:space="preserve"> _xlfn.XLOOKUP( E414, Lookup_Tables!$A$2:$A$6,Lookup_Tables!$B$2:$B$6," ", -1)</f>
        <v>Bachelor</v>
      </c>
      <c r="T414" t="str">
        <f>_xlfn.XLOOKUP(G414,Lookup_Tables!$D$2:$D$5,Lookup_Tables!$E$2:$E$5)</f>
        <v>High</v>
      </c>
      <c r="U414" t="str">
        <f>_xlfn.XLOOKUP(H414,Lookup_Tables!$D$2:$D$5,Lookup_Tables!$E$2:$E$5)</f>
        <v>High</v>
      </c>
      <c r="V414" t="str">
        <f>_xlfn.XLOOKUP(L414,Lookup_Tables!$D$2:$D$5,Lookup_Tables!$E$2:$E$5)</f>
        <v>Medium</v>
      </c>
    </row>
    <row r="415" spans="1:22">
      <c r="A415">
        <f>RAW_DATA!A415</f>
        <v>42</v>
      </c>
      <c r="B415" t="str">
        <f>RAW_DATA!B415</f>
        <v>No</v>
      </c>
      <c r="C415" t="str">
        <f>RAW_DATA!C415</f>
        <v>Research &amp; Development</v>
      </c>
      <c r="D415">
        <f>RAW_DATA!D415</f>
        <v>28</v>
      </c>
      <c r="E415">
        <f>RAW_DATA!E415</f>
        <v>4</v>
      </c>
      <c r="F415" t="str">
        <f>RAW_DATA!F415</f>
        <v>Technical Degree</v>
      </c>
      <c r="G415">
        <f>RAW_DATA!G415</f>
        <v>4</v>
      </c>
      <c r="H415">
        <f>RAW_DATA!H415</f>
        <v>4</v>
      </c>
      <c r="I415" t="str">
        <f>RAW_DATA!I415</f>
        <v>Married</v>
      </c>
      <c r="J415">
        <f>RAW_DATA!J415</f>
        <v>4523</v>
      </c>
      <c r="K415">
        <f>RAW_DATA!K415</f>
        <v>0</v>
      </c>
      <c r="L415">
        <f>RAW_DATA!L415</f>
        <v>4</v>
      </c>
      <c r="M415">
        <f>RAW_DATA!M415</f>
        <v>6</v>
      </c>
      <c r="N415">
        <f t="shared" si="12"/>
        <v>0</v>
      </c>
      <c r="O415" t="str">
        <f xml:space="preserve"> VLOOKUP(A415, Lookup_Tables!$G$2:$H$6,2,TRUE)</f>
        <v>35-44</v>
      </c>
      <c r="P415" t="str">
        <f>_xlfn.XLOOKUP(J415,Lookup_Tables!$J$2:$J$4,Lookup_Tables!$K$2:$K$4, " ",-1)</f>
        <v>Medium</v>
      </c>
      <c r="Q415" t="str">
        <f xml:space="preserve"> _xlfn.XLOOKUP(M415, Lookup_Tables!$M$2:$M$5,Lookup_Tables!$N$2:$N$5," ", -1)</f>
        <v>Established (5-10)</v>
      </c>
      <c r="R415" s="4">
        <f t="shared" si="13"/>
        <v>4</v>
      </c>
      <c r="S415" t="str">
        <f xml:space="preserve"> _xlfn.XLOOKUP( E415, Lookup_Tables!$A$2:$A$6,Lookup_Tables!$B$2:$B$6," ", -1)</f>
        <v>Master</v>
      </c>
      <c r="T415" t="str">
        <f>_xlfn.XLOOKUP(G415,Lookup_Tables!$D$2:$D$5,Lookup_Tables!$E$2:$E$5)</f>
        <v>Very High</v>
      </c>
      <c r="U415" t="str">
        <f>_xlfn.XLOOKUP(H415,Lookup_Tables!$D$2:$D$5,Lookup_Tables!$E$2:$E$5)</f>
        <v>Very High</v>
      </c>
      <c r="V415" t="str">
        <f>_xlfn.XLOOKUP(L415,Lookup_Tables!$D$2:$D$5,Lookup_Tables!$E$2:$E$5)</f>
        <v>Very High</v>
      </c>
    </row>
    <row r="416" spans="1:22">
      <c r="A416">
        <f>RAW_DATA!A416</f>
        <v>24</v>
      </c>
      <c r="B416" t="str">
        <f>RAW_DATA!B416</f>
        <v>Yes</v>
      </c>
      <c r="C416" t="str">
        <f>RAW_DATA!C416</f>
        <v>Sales</v>
      </c>
      <c r="D416">
        <f>RAW_DATA!D416</f>
        <v>1</v>
      </c>
      <c r="E416">
        <f>RAW_DATA!E416</f>
        <v>1</v>
      </c>
      <c r="F416" t="str">
        <f>RAW_DATA!F416</f>
        <v>Technical Degree</v>
      </c>
      <c r="G416">
        <f>RAW_DATA!G416</f>
        <v>1</v>
      </c>
      <c r="H416">
        <f>RAW_DATA!H416</f>
        <v>2</v>
      </c>
      <c r="I416" t="str">
        <f>RAW_DATA!I416</f>
        <v>Single</v>
      </c>
      <c r="J416">
        <f>RAW_DATA!J416</f>
        <v>3202</v>
      </c>
      <c r="K416">
        <f>RAW_DATA!K416</f>
        <v>1</v>
      </c>
      <c r="L416">
        <f>RAW_DATA!L416</f>
        <v>3</v>
      </c>
      <c r="M416">
        <f>RAW_DATA!M416</f>
        <v>5</v>
      </c>
      <c r="N416">
        <f t="shared" si="12"/>
        <v>1</v>
      </c>
      <c r="O416" t="str">
        <f xml:space="preserve"> VLOOKUP(A416, Lookup_Tables!$G$2:$H$6,2,TRUE)</f>
        <v>&lt;25</v>
      </c>
      <c r="P416" t="str">
        <f>_xlfn.XLOOKUP(J416,Lookup_Tables!$J$2:$J$4,Lookup_Tables!$K$2:$K$4, " ",-1)</f>
        <v>Medium</v>
      </c>
      <c r="Q416" t="str">
        <f xml:space="preserve"> _xlfn.XLOOKUP(M416, Lookup_Tables!$M$2:$M$5,Lookup_Tables!$N$2:$N$5," ", -1)</f>
        <v>Established (5-10)</v>
      </c>
      <c r="R416" s="4">
        <f t="shared" si="13"/>
        <v>2</v>
      </c>
      <c r="S416" t="str">
        <f xml:space="preserve"> _xlfn.XLOOKUP( E416, Lookup_Tables!$A$2:$A$6,Lookup_Tables!$B$2:$B$6," ", -1)</f>
        <v>Below College</v>
      </c>
      <c r="T416" t="str">
        <f>_xlfn.XLOOKUP(G416,Lookup_Tables!$D$2:$D$5,Lookup_Tables!$E$2:$E$5)</f>
        <v>Low</v>
      </c>
      <c r="U416" t="str">
        <f>_xlfn.XLOOKUP(H416,Lookup_Tables!$D$2:$D$5,Lookup_Tables!$E$2:$E$5)</f>
        <v>Medium</v>
      </c>
      <c r="V416" t="str">
        <f>_xlfn.XLOOKUP(L416,Lookup_Tables!$D$2:$D$5,Lookup_Tables!$E$2:$E$5)</f>
        <v>High</v>
      </c>
    </row>
    <row r="417" spans="1:22">
      <c r="A417">
        <f>RAW_DATA!A417</f>
        <v>34</v>
      </c>
      <c r="B417" t="str">
        <f>RAW_DATA!B417</f>
        <v>Yes</v>
      </c>
      <c r="C417" t="str">
        <f>RAW_DATA!C417</f>
        <v>Sales</v>
      </c>
      <c r="D417">
        <f>RAW_DATA!D417</f>
        <v>6</v>
      </c>
      <c r="E417">
        <f>RAW_DATA!E417</f>
        <v>2</v>
      </c>
      <c r="F417" t="str">
        <f>RAW_DATA!F417</f>
        <v>Marketing</v>
      </c>
      <c r="G417">
        <f>RAW_DATA!G417</f>
        <v>4</v>
      </c>
      <c r="H417">
        <f>RAW_DATA!H417</f>
        <v>3</v>
      </c>
      <c r="I417" t="str">
        <f>RAW_DATA!I417</f>
        <v>Divorced</v>
      </c>
      <c r="J417">
        <f>RAW_DATA!J417</f>
        <v>2351</v>
      </c>
      <c r="K417">
        <f>RAW_DATA!K417</f>
        <v>0</v>
      </c>
      <c r="L417">
        <f>RAW_DATA!L417</f>
        <v>2</v>
      </c>
      <c r="M417">
        <f>RAW_DATA!M417</f>
        <v>2</v>
      </c>
      <c r="N417">
        <f t="shared" si="12"/>
        <v>1</v>
      </c>
      <c r="O417" t="str">
        <f xml:space="preserve"> VLOOKUP(A417, Lookup_Tables!$G$2:$H$6,2,TRUE)</f>
        <v>25-34</v>
      </c>
      <c r="P417" t="str">
        <f>_xlfn.XLOOKUP(J417,Lookup_Tables!$J$2:$J$4,Lookup_Tables!$K$2:$K$4, " ",-1)</f>
        <v>Low</v>
      </c>
      <c r="Q417" t="str">
        <f xml:space="preserve"> _xlfn.XLOOKUP(M417, Lookup_Tables!$M$2:$M$5,Lookup_Tables!$N$2:$N$5," ", -1)</f>
        <v>Early (2-5)</v>
      </c>
      <c r="R417" s="4">
        <f t="shared" si="13"/>
        <v>3</v>
      </c>
      <c r="S417" t="str">
        <f xml:space="preserve"> _xlfn.XLOOKUP( E417, Lookup_Tables!$A$2:$A$6,Lookup_Tables!$B$2:$B$6," ", -1)</f>
        <v>College</v>
      </c>
      <c r="T417" t="str">
        <f>_xlfn.XLOOKUP(G417,Lookup_Tables!$D$2:$D$5,Lookup_Tables!$E$2:$E$5)</f>
        <v>Very High</v>
      </c>
      <c r="U417" t="str">
        <f>_xlfn.XLOOKUP(H417,Lookup_Tables!$D$2:$D$5,Lookup_Tables!$E$2:$E$5)</f>
        <v>High</v>
      </c>
      <c r="V417" t="str">
        <f>_xlfn.XLOOKUP(L417,Lookup_Tables!$D$2:$D$5,Lookup_Tables!$E$2:$E$5)</f>
        <v>Medium</v>
      </c>
    </row>
    <row r="418" spans="1:22">
      <c r="A418">
        <f>RAW_DATA!A418</f>
        <v>38</v>
      </c>
      <c r="B418" t="str">
        <f>RAW_DATA!B418</f>
        <v>No</v>
      </c>
      <c r="C418" t="str">
        <f>RAW_DATA!C418</f>
        <v>Research &amp; Development</v>
      </c>
      <c r="D418">
        <f>RAW_DATA!D418</f>
        <v>2</v>
      </c>
      <c r="E418">
        <f>RAW_DATA!E418</f>
        <v>2</v>
      </c>
      <c r="F418" t="str">
        <f>RAW_DATA!F418</f>
        <v>Life Sciences</v>
      </c>
      <c r="G418">
        <f>RAW_DATA!G418</f>
        <v>4</v>
      </c>
      <c r="H418">
        <f>RAW_DATA!H418</f>
        <v>4</v>
      </c>
      <c r="I418" t="str">
        <f>RAW_DATA!I418</f>
        <v>Married</v>
      </c>
      <c r="J418">
        <f>RAW_DATA!J418</f>
        <v>1702</v>
      </c>
      <c r="K418">
        <f>RAW_DATA!K418</f>
        <v>1</v>
      </c>
      <c r="L418">
        <f>RAW_DATA!L418</f>
        <v>3</v>
      </c>
      <c r="M418">
        <f>RAW_DATA!M418</f>
        <v>1</v>
      </c>
      <c r="N418">
        <f t="shared" si="12"/>
        <v>0</v>
      </c>
      <c r="O418" t="str">
        <f xml:space="preserve"> VLOOKUP(A418, Lookup_Tables!$G$2:$H$6,2,TRUE)</f>
        <v>35-44</v>
      </c>
      <c r="P418" t="str">
        <f>_xlfn.XLOOKUP(J418,Lookup_Tables!$J$2:$J$4,Lookup_Tables!$K$2:$K$4, " ",-1)</f>
        <v>Low</v>
      </c>
      <c r="Q418" t="str">
        <f xml:space="preserve"> _xlfn.XLOOKUP(M418, Lookup_Tables!$M$2:$M$5,Lookup_Tables!$N$2:$N$5," ", -1)</f>
        <v>New (0-2)</v>
      </c>
      <c r="R418" s="4">
        <f t="shared" si="13"/>
        <v>3.6666666666666665</v>
      </c>
      <c r="S418" t="str">
        <f xml:space="preserve"> _xlfn.XLOOKUP( E418, Lookup_Tables!$A$2:$A$6,Lookup_Tables!$B$2:$B$6," ", -1)</f>
        <v>College</v>
      </c>
      <c r="T418" t="str">
        <f>_xlfn.XLOOKUP(G418,Lookup_Tables!$D$2:$D$5,Lookup_Tables!$E$2:$E$5)</f>
        <v>Very High</v>
      </c>
      <c r="U418" t="str">
        <f>_xlfn.XLOOKUP(H418,Lookup_Tables!$D$2:$D$5,Lookup_Tables!$E$2:$E$5)</f>
        <v>Very High</v>
      </c>
      <c r="V418" t="str">
        <f>_xlfn.XLOOKUP(L418,Lookup_Tables!$D$2:$D$5,Lookup_Tables!$E$2:$E$5)</f>
        <v>High</v>
      </c>
    </row>
    <row r="419" spans="1:22">
      <c r="A419">
        <f>RAW_DATA!A419</f>
        <v>40</v>
      </c>
      <c r="B419" t="str">
        <f>RAW_DATA!B419</f>
        <v>No</v>
      </c>
      <c r="C419" t="str">
        <f>RAW_DATA!C419</f>
        <v>Sales</v>
      </c>
      <c r="D419">
        <f>RAW_DATA!D419</f>
        <v>2</v>
      </c>
      <c r="E419">
        <f>RAW_DATA!E419</f>
        <v>4</v>
      </c>
      <c r="F419" t="str">
        <f>RAW_DATA!F419</f>
        <v>Life Sciences</v>
      </c>
      <c r="G419">
        <f>RAW_DATA!G419</f>
        <v>3</v>
      </c>
      <c r="H419">
        <f>RAW_DATA!H419</f>
        <v>3</v>
      </c>
      <c r="I419" t="str">
        <f>RAW_DATA!I419</f>
        <v>Married</v>
      </c>
      <c r="J419">
        <f>RAW_DATA!J419</f>
        <v>18041</v>
      </c>
      <c r="K419">
        <f>RAW_DATA!K419</f>
        <v>0</v>
      </c>
      <c r="L419">
        <f>RAW_DATA!L419</f>
        <v>3</v>
      </c>
      <c r="M419">
        <f>RAW_DATA!M419</f>
        <v>20</v>
      </c>
      <c r="N419">
        <f t="shared" si="12"/>
        <v>0</v>
      </c>
      <c r="O419" t="str">
        <f xml:space="preserve"> VLOOKUP(A419, Lookup_Tables!$G$2:$H$6,2,TRUE)</f>
        <v>35-44</v>
      </c>
      <c r="P419" t="str">
        <f>_xlfn.XLOOKUP(J419,Lookup_Tables!$J$2:$J$4,Lookup_Tables!$K$2:$K$4, " ",-1)</f>
        <v>High</v>
      </c>
      <c r="Q419" t="str">
        <f xml:space="preserve"> _xlfn.XLOOKUP(M419, Lookup_Tables!$M$2:$M$5,Lookup_Tables!$N$2:$N$5," ", -1)</f>
        <v>Veteran (10+)</v>
      </c>
      <c r="R419" s="4">
        <f t="shared" si="13"/>
        <v>3</v>
      </c>
      <c r="S419" t="str">
        <f xml:space="preserve"> _xlfn.XLOOKUP( E419, Lookup_Tables!$A$2:$A$6,Lookup_Tables!$B$2:$B$6," ", -1)</f>
        <v>Master</v>
      </c>
      <c r="T419" t="str">
        <f>_xlfn.XLOOKUP(G419,Lookup_Tables!$D$2:$D$5,Lookup_Tables!$E$2:$E$5)</f>
        <v>High</v>
      </c>
      <c r="U419" t="str">
        <f>_xlfn.XLOOKUP(H419,Lookup_Tables!$D$2:$D$5,Lookup_Tables!$E$2:$E$5)</f>
        <v>High</v>
      </c>
      <c r="V419" t="str">
        <f>_xlfn.XLOOKUP(L419,Lookup_Tables!$D$2:$D$5,Lookup_Tables!$E$2:$E$5)</f>
        <v>High</v>
      </c>
    </row>
    <row r="420" spans="1:22">
      <c r="A420">
        <f>RAW_DATA!A420</f>
        <v>26</v>
      </c>
      <c r="B420" t="str">
        <f>RAW_DATA!B420</f>
        <v>No</v>
      </c>
      <c r="C420" t="str">
        <f>RAW_DATA!C420</f>
        <v>Research &amp; Development</v>
      </c>
      <c r="D420">
        <f>RAW_DATA!D420</f>
        <v>23</v>
      </c>
      <c r="E420">
        <f>RAW_DATA!E420</f>
        <v>3</v>
      </c>
      <c r="F420" t="str">
        <f>RAW_DATA!F420</f>
        <v>Life Sciences</v>
      </c>
      <c r="G420">
        <f>RAW_DATA!G420</f>
        <v>1</v>
      </c>
      <c r="H420">
        <f>RAW_DATA!H420</f>
        <v>4</v>
      </c>
      <c r="I420" t="str">
        <f>RAW_DATA!I420</f>
        <v>Divorced</v>
      </c>
      <c r="J420">
        <f>RAW_DATA!J420</f>
        <v>2886</v>
      </c>
      <c r="K420">
        <f>RAW_DATA!K420</f>
        <v>1</v>
      </c>
      <c r="L420">
        <f>RAW_DATA!L420</f>
        <v>1</v>
      </c>
      <c r="M420">
        <f>RAW_DATA!M420</f>
        <v>3</v>
      </c>
      <c r="N420">
        <f t="shared" si="12"/>
        <v>0</v>
      </c>
      <c r="O420" t="str">
        <f xml:space="preserve"> VLOOKUP(A420, Lookup_Tables!$G$2:$H$6,2,TRUE)</f>
        <v>25-34</v>
      </c>
      <c r="P420" t="str">
        <f>_xlfn.XLOOKUP(J420,Lookup_Tables!$J$2:$J$4,Lookup_Tables!$K$2:$K$4, " ",-1)</f>
        <v>Low</v>
      </c>
      <c r="Q420" t="str">
        <f xml:space="preserve"> _xlfn.XLOOKUP(M420, Lookup_Tables!$M$2:$M$5,Lookup_Tables!$N$2:$N$5," ", -1)</f>
        <v>Early (2-5)</v>
      </c>
      <c r="R420" s="4">
        <f t="shared" si="13"/>
        <v>2</v>
      </c>
      <c r="S420" t="str">
        <f xml:space="preserve"> _xlfn.XLOOKUP( E420, Lookup_Tables!$A$2:$A$6,Lookup_Tables!$B$2:$B$6," ", -1)</f>
        <v>Bachelor</v>
      </c>
      <c r="T420" t="str">
        <f>_xlfn.XLOOKUP(G420,Lookup_Tables!$D$2:$D$5,Lookup_Tables!$E$2:$E$5)</f>
        <v>Low</v>
      </c>
      <c r="U420" t="str">
        <f>_xlfn.XLOOKUP(H420,Lookup_Tables!$D$2:$D$5,Lookup_Tables!$E$2:$E$5)</f>
        <v>Very High</v>
      </c>
      <c r="V420" t="str">
        <f>_xlfn.XLOOKUP(L420,Lookup_Tables!$D$2:$D$5,Lookup_Tables!$E$2:$E$5)</f>
        <v>Low</v>
      </c>
    </row>
    <row r="421" spans="1:22">
      <c r="A421">
        <f>RAW_DATA!A421</f>
        <v>30</v>
      </c>
      <c r="B421" t="str">
        <f>RAW_DATA!B421</f>
        <v>No</v>
      </c>
      <c r="C421" t="str">
        <f>RAW_DATA!C421</f>
        <v>Research &amp; Development</v>
      </c>
      <c r="D421">
        <f>RAW_DATA!D421</f>
        <v>3</v>
      </c>
      <c r="E421">
        <f>RAW_DATA!E421</f>
        <v>3</v>
      </c>
      <c r="F421" t="str">
        <f>RAW_DATA!F421</f>
        <v>Life Sciences</v>
      </c>
      <c r="G421">
        <f>RAW_DATA!G421</f>
        <v>3</v>
      </c>
      <c r="H421">
        <f>RAW_DATA!H421</f>
        <v>4</v>
      </c>
      <c r="I421" t="str">
        <f>RAW_DATA!I421</f>
        <v>Married</v>
      </c>
      <c r="J421">
        <f>RAW_DATA!J421</f>
        <v>2097</v>
      </c>
      <c r="K421">
        <f>RAW_DATA!K421</f>
        <v>4</v>
      </c>
      <c r="L421">
        <f>RAW_DATA!L421</f>
        <v>1</v>
      </c>
      <c r="M421">
        <f>RAW_DATA!M421</f>
        <v>5</v>
      </c>
      <c r="N421">
        <f t="shared" si="12"/>
        <v>0</v>
      </c>
      <c r="O421" t="str">
        <f xml:space="preserve"> VLOOKUP(A421, Lookup_Tables!$G$2:$H$6,2,TRUE)</f>
        <v>25-34</v>
      </c>
      <c r="P421" t="str">
        <f>_xlfn.XLOOKUP(J421,Lookup_Tables!$J$2:$J$4,Lookup_Tables!$K$2:$K$4, " ",-1)</f>
        <v>Low</v>
      </c>
      <c r="Q421" t="str">
        <f xml:space="preserve"> _xlfn.XLOOKUP(M421, Lookup_Tables!$M$2:$M$5,Lookup_Tables!$N$2:$N$5," ", -1)</f>
        <v>Established (5-10)</v>
      </c>
      <c r="R421" s="4">
        <f t="shared" si="13"/>
        <v>2.6666666666666665</v>
      </c>
      <c r="S421" t="str">
        <f xml:space="preserve"> _xlfn.XLOOKUP( E421, Lookup_Tables!$A$2:$A$6,Lookup_Tables!$B$2:$B$6," ", -1)</f>
        <v>Bachelor</v>
      </c>
      <c r="T421" t="str">
        <f>_xlfn.XLOOKUP(G421,Lookup_Tables!$D$2:$D$5,Lookup_Tables!$E$2:$E$5)</f>
        <v>High</v>
      </c>
      <c r="U421" t="str">
        <f>_xlfn.XLOOKUP(H421,Lookup_Tables!$D$2:$D$5,Lookup_Tables!$E$2:$E$5)</f>
        <v>Very High</v>
      </c>
      <c r="V421" t="str">
        <f>_xlfn.XLOOKUP(L421,Lookup_Tables!$D$2:$D$5,Lookup_Tables!$E$2:$E$5)</f>
        <v>Low</v>
      </c>
    </row>
    <row r="422" spans="1:22">
      <c r="A422">
        <f>RAW_DATA!A422</f>
        <v>29</v>
      </c>
      <c r="B422" t="str">
        <f>RAW_DATA!B422</f>
        <v>No</v>
      </c>
      <c r="C422" t="str">
        <f>RAW_DATA!C422</f>
        <v>Research &amp; Development</v>
      </c>
      <c r="D422">
        <f>RAW_DATA!D422</f>
        <v>3</v>
      </c>
      <c r="E422">
        <f>RAW_DATA!E422</f>
        <v>4</v>
      </c>
      <c r="F422" t="str">
        <f>RAW_DATA!F422</f>
        <v>Medical</v>
      </c>
      <c r="G422">
        <f>RAW_DATA!G422</f>
        <v>2</v>
      </c>
      <c r="H422">
        <f>RAW_DATA!H422</f>
        <v>3</v>
      </c>
      <c r="I422" t="str">
        <f>RAW_DATA!I422</f>
        <v>Married</v>
      </c>
      <c r="J422">
        <f>RAW_DATA!J422</f>
        <v>11935</v>
      </c>
      <c r="K422">
        <f>RAW_DATA!K422</f>
        <v>1</v>
      </c>
      <c r="L422">
        <f>RAW_DATA!L422</f>
        <v>3</v>
      </c>
      <c r="M422">
        <f>RAW_DATA!M422</f>
        <v>10</v>
      </c>
      <c r="N422">
        <f t="shared" si="12"/>
        <v>0</v>
      </c>
      <c r="O422" t="str">
        <f xml:space="preserve"> VLOOKUP(A422, Lookup_Tables!$G$2:$H$6,2,TRUE)</f>
        <v>25-34</v>
      </c>
      <c r="P422" t="str">
        <f>_xlfn.XLOOKUP(J422,Lookup_Tables!$J$2:$J$4,Lookup_Tables!$K$2:$K$4, " ",-1)</f>
        <v>High</v>
      </c>
      <c r="Q422" t="str">
        <f xml:space="preserve"> _xlfn.XLOOKUP(M422, Lookup_Tables!$M$2:$M$5,Lookup_Tables!$N$2:$N$5," ", -1)</f>
        <v>Veteran (10+)</v>
      </c>
      <c r="R422" s="4">
        <f t="shared" si="13"/>
        <v>2.6666666666666665</v>
      </c>
      <c r="S422" t="str">
        <f xml:space="preserve"> _xlfn.XLOOKUP( E422, Lookup_Tables!$A$2:$A$6,Lookup_Tables!$B$2:$B$6," ", -1)</f>
        <v>Master</v>
      </c>
      <c r="T422" t="str">
        <f>_xlfn.XLOOKUP(G422,Lookup_Tables!$D$2:$D$5,Lookup_Tables!$E$2:$E$5)</f>
        <v>Medium</v>
      </c>
      <c r="U422" t="str">
        <f>_xlfn.XLOOKUP(H422,Lookup_Tables!$D$2:$D$5,Lookup_Tables!$E$2:$E$5)</f>
        <v>High</v>
      </c>
      <c r="V422" t="str">
        <f>_xlfn.XLOOKUP(L422,Lookup_Tables!$D$2:$D$5,Lookup_Tables!$E$2:$E$5)</f>
        <v>High</v>
      </c>
    </row>
    <row r="423" spans="1:22">
      <c r="A423">
        <f>RAW_DATA!A423</f>
        <v>29</v>
      </c>
      <c r="B423" t="str">
        <f>RAW_DATA!B423</f>
        <v>Yes</v>
      </c>
      <c r="C423" t="str">
        <f>RAW_DATA!C423</f>
        <v>Research &amp; Development</v>
      </c>
      <c r="D423">
        <f>RAW_DATA!D423</f>
        <v>25</v>
      </c>
      <c r="E423">
        <f>RAW_DATA!E423</f>
        <v>5</v>
      </c>
      <c r="F423" t="str">
        <f>RAW_DATA!F423</f>
        <v>Technical Degree</v>
      </c>
      <c r="G423">
        <f>RAW_DATA!G423</f>
        <v>3</v>
      </c>
      <c r="H423">
        <f>RAW_DATA!H423</f>
        <v>2</v>
      </c>
      <c r="I423" t="str">
        <f>RAW_DATA!I423</f>
        <v>Married</v>
      </c>
      <c r="J423">
        <f>RAW_DATA!J423</f>
        <v>2546</v>
      </c>
      <c r="K423">
        <f>RAW_DATA!K423</f>
        <v>5</v>
      </c>
      <c r="L423">
        <f>RAW_DATA!L423</f>
        <v>4</v>
      </c>
      <c r="M423">
        <f>RAW_DATA!M423</f>
        <v>2</v>
      </c>
      <c r="N423">
        <f t="shared" si="12"/>
        <v>1</v>
      </c>
      <c r="O423" t="str">
        <f xml:space="preserve"> VLOOKUP(A423, Lookup_Tables!$G$2:$H$6,2,TRUE)</f>
        <v>25-34</v>
      </c>
      <c r="P423" t="str">
        <f>_xlfn.XLOOKUP(J423,Lookup_Tables!$J$2:$J$4,Lookup_Tables!$K$2:$K$4, " ",-1)</f>
        <v>Low</v>
      </c>
      <c r="Q423" t="str">
        <f xml:space="preserve"> _xlfn.XLOOKUP(M423, Lookup_Tables!$M$2:$M$5,Lookup_Tables!$N$2:$N$5," ", -1)</f>
        <v>Early (2-5)</v>
      </c>
      <c r="R423" s="4">
        <f t="shared" si="13"/>
        <v>3</v>
      </c>
      <c r="S423" t="str">
        <f xml:space="preserve"> _xlfn.XLOOKUP( E423, Lookup_Tables!$A$2:$A$6,Lookup_Tables!$B$2:$B$6," ", -1)</f>
        <v>Doctor</v>
      </c>
      <c r="T423" t="str">
        <f>_xlfn.XLOOKUP(G423,Lookup_Tables!$D$2:$D$5,Lookup_Tables!$E$2:$E$5)</f>
        <v>High</v>
      </c>
      <c r="U423" t="str">
        <f>_xlfn.XLOOKUP(H423,Lookup_Tables!$D$2:$D$5,Lookup_Tables!$E$2:$E$5)</f>
        <v>Medium</v>
      </c>
      <c r="V423" t="str">
        <f>_xlfn.XLOOKUP(L423,Lookup_Tables!$D$2:$D$5,Lookup_Tables!$E$2:$E$5)</f>
        <v>Very High</v>
      </c>
    </row>
    <row r="424" spans="1:22">
      <c r="A424">
        <f>RAW_DATA!A424</f>
        <v>19</v>
      </c>
      <c r="B424" t="str">
        <f>RAW_DATA!B424</f>
        <v>Yes</v>
      </c>
      <c r="C424" t="str">
        <f>RAW_DATA!C424</f>
        <v>Human Resources</v>
      </c>
      <c r="D424">
        <f>RAW_DATA!D424</f>
        <v>2</v>
      </c>
      <c r="E424">
        <f>RAW_DATA!E424</f>
        <v>2</v>
      </c>
      <c r="F424" t="str">
        <f>RAW_DATA!F424</f>
        <v>Technical Degree</v>
      </c>
      <c r="G424">
        <f>RAW_DATA!G424</f>
        <v>1</v>
      </c>
      <c r="H424">
        <f>RAW_DATA!H424</f>
        <v>4</v>
      </c>
      <c r="I424" t="str">
        <f>RAW_DATA!I424</f>
        <v>Single</v>
      </c>
      <c r="J424">
        <f>RAW_DATA!J424</f>
        <v>2564</v>
      </c>
      <c r="K424">
        <f>RAW_DATA!K424</f>
        <v>1</v>
      </c>
      <c r="L424">
        <f>RAW_DATA!L424</f>
        <v>4</v>
      </c>
      <c r="M424">
        <f>RAW_DATA!M424</f>
        <v>1</v>
      </c>
      <c r="N424">
        <f t="shared" si="12"/>
        <v>1</v>
      </c>
      <c r="O424" t="str">
        <f xml:space="preserve"> VLOOKUP(A424, Lookup_Tables!$G$2:$H$6,2,TRUE)</f>
        <v>&lt;25</v>
      </c>
      <c r="P424" t="str">
        <f>_xlfn.XLOOKUP(J424,Lookup_Tables!$J$2:$J$4,Lookup_Tables!$K$2:$K$4, " ",-1)</f>
        <v>Low</v>
      </c>
      <c r="Q424" t="str">
        <f xml:space="preserve"> _xlfn.XLOOKUP(M424, Lookup_Tables!$M$2:$M$5,Lookup_Tables!$N$2:$N$5," ", -1)</f>
        <v>New (0-2)</v>
      </c>
      <c r="R424" s="4">
        <f t="shared" si="13"/>
        <v>3</v>
      </c>
      <c r="S424" t="str">
        <f xml:space="preserve"> _xlfn.XLOOKUP( E424, Lookup_Tables!$A$2:$A$6,Lookup_Tables!$B$2:$B$6," ", -1)</f>
        <v>College</v>
      </c>
      <c r="T424" t="str">
        <f>_xlfn.XLOOKUP(G424,Lookup_Tables!$D$2:$D$5,Lookup_Tables!$E$2:$E$5)</f>
        <v>Low</v>
      </c>
      <c r="U424" t="str">
        <f>_xlfn.XLOOKUP(H424,Lookup_Tables!$D$2:$D$5,Lookup_Tables!$E$2:$E$5)</f>
        <v>Very High</v>
      </c>
      <c r="V424" t="str">
        <f>_xlfn.XLOOKUP(L424,Lookup_Tables!$D$2:$D$5,Lookup_Tables!$E$2:$E$5)</f>
        <v>Very High</v>
      </c>
    </row>
    <row r="425" spans="1:22">
      <c r="A425">
        <f>RAW_DATA!A425</f>
        <v>30</v>
      </c>
      <c r="B425" t="str">
        <f>RAW_DATA!B425</f>
        <v>No</v>
      </c>
      <c r="C425" t="str">
        <f>RAW_DATA!C425</f>
        <v>Sales</v>
      </c>
      <c r="D425">
        <f>RAW_DATA!D425</f>
        <v>22</v>
      </c>
      <c r="E425">
        <f>RAW_DATA!E425</f>
        <v>4</v>
      </c>
      <c r="F425" t="str">
        <f>RAW_DATA!F425</f>
        <v>Other</v>
      </c>
      <c r="G425">
        <f>RAW_DATA!G425</f>
        <v>3</v>
      </c>
      <c r="H425">
        <f>RAW_DATA!H425</f>
        <v>1</v>
      </c>
      <c r="I425" t="str">
        <f>RAW_DATA!I425</f>
        <v>Married</v>
      </c>
      <c r="J425">
        <f>RAW_DATA!J425</f>
        <v>8412</v>
      </c>
      <c r="K425">
        <f>RAW_DATA!K425</f>
        <v>0</v>
      </c>
      <c r="L425">
        <f>RAW_DATA!L425</f>
        <v>3</v>
      </c>
      <c r="M425">
        <f>RAW_DATA!M425</f>
        <v>9</v>
      </c>
      <c r="N425">
        <f t="shared" si="12"/>
        <v>0</v>
      </c>
      <c r="O425" t="str">
        <f xml:space="preserve"> VLOOKUP(A425, Lookup_Tables!$G$2:$H$6,2,TRUE)</f>
        <v>25-34</v>
      </c>
      <c r="P425" t="str">
        <f>_xlfn.XLOOKUP(J425,Lookup_Tables!$J$2:$J$4,Lookup_Tables!$K$2:$K$4, " ",-1)</f>
        <v>High</v>
      </c>
      <c r="Q425" t="str">
        <f xml:space="preserve"> _xlfn.XLOOKUP(M425, Lookup_Tables!$M$2:$M$5,Lookup_Tables!$N$2:$N$5," ", -1)</f>
        <v>Established (5-10)</v>
      </c>
      <c r="R425" s="4">
        <f t="shared" si="13"/>
        <v>2.3333333333333335</v>
      </c>
      <c r="S425" t="str">
        <f xml:space="preserve"> _xlfn.XLOOKUP( E425, Lookup_Tables!$A$2:$A$6,Lookup_Tables!$B$2:$B$6," ", -1)</f>
        <v>Master</v>
      </c>
      <c r="T425" t="str">
        <f>_xlfn.XLOOKUP(G425,Lookup_Tables!$D$2:$D$5,Lookup_Tables!$E$2:$E$5)</f>
        <v>High</v>
      </c>
      <c r="U425" t="str">
        <f>_xlfn.XLOOKUP(H425,Lookup_Tables!$D$2:$D$5,Lookup_Tables!$E$2:$E$5)</f>
        <v>Low</v>
      </c>
      <c r="V425" t="str">
        <f>_xlfn.XLOOKUP(L425,Lookup_Tables!$D$2:$D$5,Lookup_Tables!$E$2:$E$5)</f>
        <v>High</v>
      </c>
    </row>
    <row r="426" spans="1:22">
      <c r="A426">
        <f>RAW_DATA!A426</f>
        <v>57</v>
      </c>
      <c r="B426" t="str">
        <f>RAW_DATA!B426</f>
        <v>No</v>
      </c>
      <c r="C426" t="str">
        <f>RAW_DATA!C426</f>
        <v>Sales</v>
      </c>
      <c r="D426">
        <f>RAW_DATA!D426</f>
        <v>29</v>
      </c>
      <c r="E426">
        <f>RAW_DATA!E426</f>
        <v>3</v>
      </c>
      <c r="F426" t="str">
        <f>RAW_DATA!F426</f>
        <v>Marketing</v>
      </c>
      <c r="G426">
        <f>RAW_DATA!G426</f>
        <v>1</v>
      </c>
      <c r="H426">
        <f>RAW_DATA!H426</f>
        <v>4</v>
      </c>
      <c r="I426" t="str">
        <f>RAW_DATA!I426</f>
        <v>Divorced</v>
      </c>
      <c r="J426">
        <f>RAW_DATA!J426</f>
        <v>14118</v>
      </c>
      <c r="K426">
        <f>RAW_DATA!K426</f>
        <v>3</v>
      </c>
      <c r="L426">
        <f>RAW_DATA!L426</f>
        <v>2</v>
      </c>
      <c r="M426">
        <f>RAW_DATA!M426</f>
        <v>1</v>
      </c>
      <c r="N426">
        <f t="shared" si="12"/>
        <v>0</v>
      </c>
      <c r="O426" t="str">
        <f xml:space="preserve"> VLOOKUP(A426, Lookup_Tables!$G$2:$H$6,2,TRUE)</f>
        <v>55+</v>
      </c>
      <c r="P426" t="str">
        <f>_xlfn.XLOOKUP(J426,Lookup_Tables!$J$2:$J$4,Lookup_Tables!$K$2:$K$4, " ",-1)</f>
        <v>High</v>
      </c>
      <c r="Q426" t="str">
        <f xml:space="preserve"> _xlfn.XLOOKUP(M426, Lookup_Tables!$M$2:$M$5,Lookup_Tables!$N$2:$N$5," ", -1)</f>
        <v>New (0-2)</v>
      </c>
      <c r="R426" s="4">
        <f t="shared" si="13"/>
        <v>2.3333333333333335</v>
      </c>
      <c r="S426" t="str">
        <f xml:space="preserve"> _xlfn.XLOOKUP( E426, Lookup_Tables!$A$2:$A$6,Lookup_Tables!$B$2:$B$6," ", -1)</f>
        <v>Bachelor</v>
      </c>
      <c r="T426" t="str">
        <f>_xlfn.XLOOKUP(G426,Lookup_Tables!$D$2:$D$5,Lookup_Tables!$E$2:$E$5)</f>
        <v>Low</v>
      </c>
      <c r="U426" t="str">
        <f>_xlfn.XLOOKUP(H426,Lookup_Tables!$D$2:$D$5,Lookup_Tables!$E$2:$E$5)</f>
        <v>Very High</v>
      </c>
      <c r="V426" t="str">
        <f>_xlfn.XLOOKUP(L426,Lookup_Tables!$D$2:$D$5,Lookup_Tables!$E$2:$E$5)</f>
        <v>Medium</v>
      </c>
    </row>
    <row r="427" spans="1:22">
      <c r="A427">
        <f>RAW_DATA!A427</f>
        <v>50</v>
      </c>
      <c r="B427" t="str">
        <f>RAW_DATA!B427</f>
        <v>No</v>
      </c>
      <c r="C427" t="str">
        <f>RAW_DATA!C427</f>
        <v>Research &amp; Development</v>
      </c>
      <c r="D427">
        <f>RAW_DATA!D427</f>
        <v>29</v>
      </c>
      <c r="E427">
        <f>RAW_DATA!E427</f>
        <v>4</v>
      </c>
      <c r="F427" t="str">
        <f>RAW_DATA!F427</f>
        <v>Life Sciences</v>
      </c>
      <c r="G427">
        <f>RAW_DATA!G427</f>
        <v>2</v>
      </c>
      <c r="H427">
        <f>RAW_DATA!H427</f>
        <v>3</v>
      </c>
      <c r="I427" t="str">
        <f>RAW_DATA!I427</f>
        <v>Married</v>
      </c>
      <c r="J427">
        <f>RAW_DATA!J427</f>
        <v>17046</v>
      </c>
      <c r="K427">
        <f>RAW_DATA!K427</f>
        <v>0</v>
      </c>
      <c r="L427">
        <f>RAW_DATA!L427</f>
        <v>3</v>
      </c>
      <c r="M427">
        <f>RAW_DATA!M427</f>
        <v>27</v>
      </c>
      <c r="N427">
        <f t="shared" si="12"/>
        <v>0</v>
      </c>
      <c r="O427" t="str">
        <f xml:space="preserve"> VLOOKUP(A427, Lookup_Tables!$G$2:$H$6,2,TRUE)</f>
        <v>45-54</v>
      </c>
      <c r="P427" t="str">
        <f>_xlfn.XLOOKUP(J427,Lookup_Tables!$J$2:$J$4,Lookup_Tables!$K$2:$K$4, " ",-1)</f>
        <v>High</v>
      </c>
      <c r="Q427" t="str">
        <f xml:space="preserve"> _xlfn.XLOOKUP(M427, Lookup_Tables!$M$2:$M$5,Lookup_Tables!$N$2:$N$5," ", -1)</f>
        <v>Veteran (10+)</v>
      </c>
      <c r="R427" s="4">
        <f t="shared" si="13"/>
        <v>2.6666666666666665</v>
      </c>
      <c r="S427" t="str">
        <f xml:space="preserve"> _xlfn.XLOOKUP( E427, Lookup_Tables!$A$2:$A$6,Lookup_Tables!$B$2:$B$6," ", -1)</f>
        <v>Master</v>
      </c>
      <c r="T427" t="str">
        <f>_xlfn.XLOOKUP(G427,Lookup_Tables!$D$2:$D$5,Lookup_Tables!$E$2:$E$5)</f>
        <v>Medium</v>
      </c>
      <c r="U427" t="str">
        <f>_xlfn.XLOOKUP(H427,Lookup_Tables!$D$2:$D$5,Lookup_Tables!$E$2:$E$5)</f>
        <v>High</v>
      </c>
      <c r="V427" t="str">
        <f>_xlfn.XLOOKUP(L427,Lookup_Tables!$D$2:$D$5,Lookup_Tables!$E$2:$E$5)</f>
        <v>High</v>
      </c>
    </row>
    <row r="428" spans="1:22">
      <c r="A428">
        <f>RAW_DATA!A428</f>
        <v>30</v>
      </c>
      <c r="B428" t="str">
        <f>RAW_DATA!B428</f>
        <v>No</v>
      </c>
      <c r="C428" t="str">
        <f>RAW_DATA!C428</f>
        <v>Research &amp; Development</v>
      </c>
      <c r="D428">
        <f>RAW_DATA!D428</f>
        <v>2</v>
      </c>
      <c r="E428">
        <f>RAW_DATA!E428</f>
        <v>3</v>
      </c>
      <c r="F428" t="str">
        <f>RAW_DATA!F428</f>
        <v>Medical</v>
      </c>
      <c r="G428">
        <f>RAW_DATA!G428</f>
        <v>3</v>
      </c>
      <c r="H428">
        <f>RAW_DATA!H428</f>
        <v>4</v>
      </c>
      <c r="I428" t="str">
        <f>RAW_DATA!I428</f>
        <v>Single</v>
      </c>
      <c r="J428">
        <f>RAW_DATA!J428</f>
        <v>2564</v>
      </c>
      <c r="K428">
        <f>RAW_DATA!K428</f>
        <v>0</v>
      </c>
      <c r="L428">
        <f>RAW_DATA!L428</f>
        <v>2</v>
      </c>
      <c r="M428">
        <f>RAW_DATA!M428</f>
        <v>11</v>
      </c>
      <c r="N428">
        <f t="shared" si="12"/>
        <v>0</v>
      </c>
      <c r="O428" t="str">
        <f xml:space="preserve"> VLOOKUP(A428, Lookup_Tables!$G$2:$H$6,2,TRUE)</f>
        <v>25-34</v>
      </c>
      <c r="P428" t="str">
        <f>_xlfn.XLOOKUP(J428,Lookup_Tables!$J$2:$J$4,Lookup_Tables!$K$2:$K$4, " ",-1)</f>
        <v>Low</v>
      </c>
      <c r="Q428" t="str">
        <f xml:space="preserve"> _xlfn.XLOOKUP(M428, Lookup_Tables!$M$2:$M$5,Lookup_Tables!$N$2:$N$5," ", -1)</f>
        <v>Veteran (10+)</v>
      </c>
      <c r="R428" s="4">
        <f t="shared" si="13"/>
        <v>3</v>
      </c>
      <c r="S428" t="str">
        <f xml:space="preserve"> _xlfn.XLOOKUP( E428, Lookup_Tables!$A$2:$A$6,Lookup_Tables!$B$2:$B$6," ", -1)</f>
        <v>Bachelor</v>
      </c>
      <c r="T428" t="str">
        <f>_xlfn.XLOOKUP(G428,Lookup_Tables!$D$2:$D$5,Lookup_Tables!$E$2:$E$5)</f>
        <v>High</v>
      </c>
      <c r="U428" t="str">
        <f>_xlfn.XLOOKUP(H428,Lookup_Tables!$D$2:$D$5,Lookup_Tables!$E$2:$E$5)</f>
        <v>Very High</v>
      </c>
      <c r="V428" t="str">
        <f>_xlfn.XLOOKUP(L428,Lookup_Tables!$D$2:$D$5,Lookup_Tables!$E$2:$E$5)</f>
        <v>Medium</v>
      </c>
    </row>
    <row r="429" spans="1:22">
      <c r="A429">
        <f>RAW_DATA!A429</f>
        <v>60</v>
      </c>
      <c r="B429" t="str">
        <f>RAW_DATA!B429</f>
        <v>No</v>
      </c>
      <c r="C429" t="str">
        <f>RAW_DATA!C429</f>
        <v>Sales</v>
      </c>
      <c r="D429">
        <f>RAW_DATA!D429</f>
        <v>28</v>
      </c>
      <c r="E429">
        <f>RAW_DATA!E429</f>
        <v>3</v>
      </c>
      <c r="F429" t="str">
        <f>RAW_DATA!F429</f>
        <v>Marketing</v>
      </c>
      <c r="G429">
        <f>RAW_DATA!G429</f>
        <v>3</v>
      </c>
      <c r="H429">
        <f>RAW_DATA!H429</f>
        <v>1</v>
      </c>
      <c r="I429" t="str">
        <f>RAW_DATA!I429</f>
        <v>Married</v>
      </c>
      <c r="J429">
        <f>RAW_DATA!J429</f>
        <v>10266</v>
      </c>
      <c r="K429">
        <f>RAW_DATA!K429</f>
        <v>4</v>
      </c>
      <c r="L429">
        <f>RAW_DATA!L429</f>
        <v>4</v>
      </c>
      <c r="M429">
        <f>RAW_DATA!M429</f>
        <v>18</v>
      </c>
      <c r="N429">
        <f t="shared" si="12"/>
        <v>0</v>
      </c>
      <c r="O429" t="str">
        <f xml:space="preserve"> VLOOKUP(A429, Lookup_Tables!$G$2:$H$6,2,TRUE)</f>
        <v>55+</v>
      </c>
      <c r="P429" t="str">
        <f>_xlfn.XLOOKUP(J429,Lookup_Tables!$J$2:$J$4,Lookup_Tables!$K$2:$K$4, " ",-1)</f>
        <v>High</v>
      </c>
      <c r="Q429" t="str">
        <f xml:space="preserve"> _xlfn.XLOOKUP(M429, Lookup_Tables!$M$2:$M$5,Lookup_Tables!$N$2:$N$5," ", -1)</f>
        <v>Veteran (10+)</v>
      </c>
      <c r="R429" s="4">
        <f t="shared" si="13"/>
        <v>2.6666666666666665</v>
      </c>
      <c r="S429" t="str">
        <f xml:space="preserve"> _xlfn.XLOOKUP( E429, Lookup_Tables!$A$2:$A$6,Lookup_Tables!$B$2:$B$6," ", -1)</f>
        <v>Bachelor</v>
      </c>
      <c r="T429" t="str">
        <f>_xlfn.XLOOKUP(G429,Lookup_Tables!$D$2:$D$5,Lookup_Tables!$E$2:$E$5)</f>
        <v>High</v>
      </c>
      <c r="U429" t="str">
        <f>_xlfn.XLOOKUP(H429,Lookup_Tables!$D$2:$D$5,Lookup_Tables!$E$2:$E$5)</f>
        <v>Low</v>
      </c>
      <c r="V429" t="str">
        <f>_xlfn.XLOOKUP(L429,Lookup_Tables!$D$2:$D$5,Lookup_Tables!$E$2:$E$5)</f>
        <v>Very High</v>
      </c>
    </row>
    <row r="430" spans="1:22">
      <c r="A430">
        <f>RAW_DATA!A430</f>
        <v>47</v>
      </c>
      <c r="B430" t="str">
        <f>RAW_DATA!B430</f>
        <v>No</v>
      </c>
      <c r="C430" t="str">
        <f>RAW_DATA!C430</f>
        <v>Research &amp; Development</v>
      </c>
      <c r="D430">
        <f>RAW_DATA!D430</f>
        <v>2</v>
      </c>
      <c r="E430">
        <f>RAW_DATA!E430</f>
        <v>2</v>
      </c>
      <c r="F430" t="str">
        <f>RAW_DATA!F430</f>
        <v>Medical</v>
      </c>
      <c r="G430">
        <f>RAW_DATA!G430</f>
        <v>1</v>
      </c>
      <c r="H430">
        <f>RAW_DATA!H430</f>
        <v>4</v>
      </c>
      <c r="I430" t="str">
        <f>RAW_DATA!I430</f>
        <v>Divorced</v>
      </c>
      <c r="J430">
        <f>RAW_DATA!J430</f>
        <v>5070</v>
      </c>
      <c r="K430">
        <f>RAW_DATA!K430</f>
        <v>5</v>
      </c>
      <c r="L430">
        <f>RAW_DATA!L430</f>
        <v>3</v>
      </c>
      <c r="M430">
        <f>RAW_DATA!M430</f>
        <v>5</v>
      </c>
      <c r="N430">
        <f t="shared" si="12"/>
        <v>0</v>
      </c>
      <c r="O430" t="str">
        <f xml:space="preserve"> VLOOKUP(A430, Lookup_Tables!$G$2:$H$6,2,TRUE)</f>
        <v>45-54</v>
      </c>
      <c r="P430" t="str">
        <f>_xlfn.XLOOKUP(J430,Lookup_Tables!$J$2:$J$4,Lookup_Tables!$K$2:$K$4, " ",-1)</f>
        <v>Medium</v>
      </c>
      <c r="Q430" t="str">
        <f xml:space="preserve"> _xlfn.XLOOKUP(M430, Lookup_Tables!$M$2:$M$5,Lookup_Tables!$N$2:$N$5," ", -1)</f>
        <v>Established (5-10)</v>
      </c>
      <c r="R430" s="4">
        <f t="shared" si="13"/>
        <v>2.6666666666666665</v>
      </c>
      <c r="S430" t="str">
        <f xml:space="preserve"> _xlfn.XLOOKUP( E430, Lookup_Tables!$A$2:$A$6,Lookup_Tables!$B$2:$B$6," ", -1)</f>
        <v>College</v>
      </c>
      <c r="T430" t="str">
        <f>_xlfn.XLOOKUP(G430,Lookup_Tables!$D$2:$D$5,Lookup_Tables!$E$2:$E$5)</f>
        <v>Low</v>
      </c>
      <c r="U430" t="str">
        <f>_xlfn.XLOOKUP(H430,Lookup_Tables!$D$2:$D$5,Lookup_Tables!$E$2:$E$5)</f>
        <v>Very High</v>
      </c>
      <c r="V430" t="str">
        <f>_xlfn.XLOOKUP(L430,Lookup_Tables!$D$2:$D$5,Lookup_Tables!$E$2:$E$5)</f>
        <v>High</v>
      </c>
    </row>
    <row r="431" spans="1:22">
      <c r="A431">
        <f>RAW_DATA!A431</f>
        <v>46</v>
      </c>
      <c r="B431" t="str">
        <f>RAW_DATA!B431</f>
        <v>No</v>
      </c>
      <c r="C431" t="str">
        <f>RAW_DATA!C431</f>
        <v>Research &amp; Development</v>
      </c>
      <c r="D431">
        <f>RAW_DATA!D431</f>
        <v>2</v>
      </c>
      <c r="E431">
        <f>RAW_DATA!E431</f>
        <v>3</v>
      </c>
      <c r="F431" t="str">
        <f>RAW_DATA!F431</f>
        <v>Life Sciences</v>
      </c>
      <c r="G431">
        <f>RAW_DATA!G431</f>
        <v>1</v>
      </c>
      <c r="H431">
        <f>RAW_DATA!H431</f>
        <v>3</v>
      </c>
      <c r="I431" t="str">
        <f>RAW_DATA!I431</f>
        <v>Married</v>
      </c>
      <c r="J431">
        <f>RAW_DATA!J431</f>
        <v>17861</v>
      </c>
      <c r="K431">
        <f>RAW_DATA!K431</f>
        <v>6</v>
      </c>
      <c r="L431">
        <f>RAW_DATA!L431</f>
        <v>1</v>
      </c>
      <c r="M431">
        <f>RAW_DATA!M431</f>
        <v>3</v>
      </c>
      <c r="N431">
        <f t="shared" si="12"/>
        <v>0</v>
      </c>
      <c r="O431" t="str">
        <f xml:space="preserve"> VLOOKUP(A431, Lookup_Tables!$G$2:$H$6,2,TRUE)</f>
        <v>45-54</v>
      </c>
      <c r="P431" t="str">
        <f>_xlfn.XLOOKUP(J431,Lookup_Tables!$J$2:$J$4,Lookup_Tables!$K$2:$K$4, " ",-1)</f>
        <v>High</v>
      </c>
      <c r="Q431" t="str">
        <f xml:space="preserve"> _xlfn.XLOOKUP(M431, Lookup_Tables!$M$2:$M$5,Lookup_Tables!$N$2:$N$5," ", -1)</f>
        <v>Early (2-5)</v>
      </c>
      <c r="R431" s="4">
        <f t="shared" si="13"/>
        <v>1.6666666666666667</v>
      </c>
      <c r="S431" t="str">
        <f xml:space="preserve"> _xlfn.XLOOKUP( E431, Lookup_Tables!$A$2:$A$6,Lookup_Tables!$B$2:$B$6," ", -1)</f>
        <v>Bachelor</v>
      </c>
      <c r="T431" t="str">
        <f>_xlfn.XLOOKUP(G431,Lookup_Tables!$D$2:$D$5,Lookup_Tables!$E$2:$E$5)</f>
        <v>Low</v>
      </c>
      <c r="U431" t="str">
        <f>_xlfn.XLOOKUP(H431,Lookup_Tables!$D$2:$D$5,Lookup_Tables!$E$2:$E$5)</f>
        <v>High</v>
      </c>
      <c r="V431" t="str">
        <f>_xlfn.XLOOKUP(L431,Lookup_Tables!$D$2:$D$5,Lookup_Tables!$E$2:$E$5)</f>
        <v>Low</v>
      </c>
    </row>
    <row r="432" spans="1:22">
      <c r="A432">
        <f>RAW_DATA!A432</f>
        <v>35</v>
      </c>
      <c r="B432" t="str">
        <f>RAW_DATA!B432</f>
        <v>No</v>
      </c>
      <c r="C432" t="str">
        <f>RAW_DATA!C432</f>
        <v>Research &amp; Development</v>
      </c>
      <c r="D432">
        <f>RAW_DATA!D432</f>
        <v>22</v>
      </c>
      <c r="E432">
        <f>RAW_DATA!E432</f>
        <v>3</v>
      </c>
      <c r="F432" t="str">
        <f>RAW_DATA!F432</f>
        <v>Life Sciences</v>
      </c>
      <c r="G432">
        <f>RAW_DATA!G432</f>
        <v>4</v>
      </c>
      <c r="H432">
        <f>RAW_DATA!H432</f>
        <v>3</v>
      </c>
      <c r="I432" t="str">
        <f>RAW_DATA!I432</f>
        <v>Single</v>
      </c>
      <c r="J432">
        <f>RAW_DATA!J432</f>
        <v>4230</v>
      </c>
      <c r="K432">
        <f>RAW_DATA!K432</f>
        <v>0</v>
      </c>
      <c r="L432">
        <f>RAW_DATA!L432</f>
        <v>3</v>
      </c>
      <c r="M432">
        <f>RAW_DATA!M432</f>
        <v>5</v>
      </c>
      <c r="N432">
        <f t="shared" si="12"/>
        <v>0</v>
      </c>
      <c r="O432" t="str">
        <f xml:space="preserve"> VLOOKUP(A432, Lookup_Tables!$G$2:$H$6,2,TRUE)</f>
        <v>35-44</v>
      </c>
      <c r="P432" t="str">
        <f>_xlfn.XLOOKUP(J432,Lookup_Tables!$J$2:$J$4,Lookup_Tables!$K$2:$K$4, " ",-1)</f>
        <v>Medium</v>
      </c>
      <c r="Q432" t="str">
        <f xml:space="preserve"> _xlfn.XLOOKUP(M432, Lookup_Tables!$M$2:$M$5,Lookup_Tables!$N$2:$N$5," ", -1)</f>
        <v>Established (5-10)</v>
      </c>
      <c r="R432" s="4">
        <f t="shared" si="13"/>
        <v>3.3333333333333335</v>
      </c>
      <c r="S432" t="str">
        <f xml:space="preserve"> _xlfn.XLOOKUP( E432, Lookup_Tables!$A$2:$A$6,Lookup_Tables!$B$2:$B$6," ", -1)</f>
        <v>Bachelor</v>
      </c>
      <c r="T432" t="str">
        <f>_xlfn.XLOOKUP(G432,Lookup_Tables!$D$2:$D$5,Lookup_Tables!$E$2:$E$5)</f>
        <v>Very High</v>
      </c>
      <c r="U432" t="str">
        <f>_xlfn.XLOOKUP(H432,Lookup_Tables!$D$2:$D$5,Lookup_Tables!$E$2:$E$5)</f>
        <v>High</v>
      </c>
      <c r="V432" t="str">
        <f>_xlfn.XLOOKUP(L432,Lookup_Tables!$D$2:$D$5,Lookup_Tables!$E$2:$E$5)</f>
        <v>High</v>
      </c>
    </row>
    <row r="433" spans="1:22">
      <c r="A433">
        <f>RAW_DATA!A433</f>
        <v>54</v>
      </c>
      <c r="B433" t="str">
        <f>RAW_DATA!B433</f>
        <v>No</v>
      </c>
      <c r="C433" t="str">
        <f>RAW_DATA!C433</f>
        <v>Research &amp; Development</v>
      </c>
      <c r="D433">
        <f>RAW_DATA!D433</f>
        <v>8</v>
      </c>
      <c r="E433">
        <f>RAW_DATA!E433</f>
        <v>4</v>
      </c>
      <c r="F433" t="str">
        <f>RAW_DATA!F433</f>
        <v>Life Sciences</v>
      </c>
      <c r="G433">
        <f>RAW_DATA!G433</f>
        <v>3</v>
      </c>
      <c r="H433">
        <f>RAW_DATA!H433</f>
        <v>3</v>
      </c>
      <c r="I433" t="str">
        <f>RAW_DATA!I433</f>
        <v>Single</v>
      </c>
      <c r="J433">
        <f>RAW_DATA!J433</f>
        <v>3780</v>
      </c>
      <c r="K433">
        <f>RAW_DATA!K433</f>
        <v>7</v>
      </c>
      <c r="L433">
        <f>RAW_DATA!L433</f>
        <v>3</v>
      </c>
      <c r="M433">
        <f>RAW_DATA!M433</f>
        <v>1</v>
      </c>
      <c r="N433">
        <f t="shared" si="12"/>
        <v>0</v>
      </c>
      <c r="O433" t="str">
        <f xml:space="preserve"> VLOOKUP(A433, Lookup_Tables!$G$2:$H$6,2,TRUE)</f>
        <v>45-54</v>
      </c>
      <c r="P433" t="str">
        <f>_xlfn.XLOOKUP(J433,Lookup_Tables!$J$2:$J$4,Lookup_Tables!$K$2:$K$4, " ",-1)</f>
        <v>Medium</v>
      </c>
      <c r="Q433" t="str">
        <f xml:space="preserve"> _xlfn.XLOOKUP(M433, Lookup_Tables!$M$2:$M$5,Lookup_Tables!$N$2:$N$5," ", -1)</f>
        <v>New (0-2)</v>
      </c>
      <c r="R433" s="4">
        <f t="shared" si="13"/>
        <v>3</v>
      </c>
      <c r="S433" t="str">
        <f xml:space="preserve"> _xlfn.XLOOKUP( E433, Lookup_Tables!$A$2:$A$6,Lookup_Tables!$B$2:$B$6," ", -1)</f>
        <v>Master</v>
      </c>
      <c r="T433" t="str">
        <f>_xlfn.XLOOKUP(G433,Lookup_Tables!$D$2:$D$5,Lookup_Tables!$E$2:$E$5)</f>
        <v>High</v>
      </c>
      <c r="U433" t="str">
        <f>_xlfn.XLOOKUP(H433,Lookup_Tables!$D$2:$D$5,Lookup_Tables!$E$2:$E$5)</f>
        <v>High</v>
      </c>
      <c r="V433" t="str">
        <f>_xlfn.XLOOKUP(L433,Lookup_Tables!$D$2:$D$5,Lookup_Tables!$E$2:$E$5)</f>
        <v>High</v>
      </c>
    </row>
    <row r="434" spans="1:22">
      <c r="A434">
        <f>RAW_DATA!A434</f>
        <v>34</v>
      </c>
      <c r="B434" t="str">
        <f>RAW_DATA!B434</f>
        <v>No</v>
      </c>
      <c r="C434" t="str">
        <f>RAW_DATA!C434</f>
        <v>Research &amp; Development</v>
      </c>
      <c r="D434">
        <f>RAW_DATA!D434</f>
        <v>2</v>
      </c>
      <c r="E434">
        <f>RAW_DATA!E434</f>
        <v>4</v>
      </c>
      <c r="F434" t="str">
        <f>RAW_DATA!F434</f>
        <v>Life Sciences</v>
      </c>
      <c r="G434">
        <f>RAW_DATA!G434</f>
        <v>4</v>
      </c>
      <c r="H434">
        <f>RAW_DATA!H434</f>
        <v>3</v>
      </c>
      <c r="I434" t="str">
        <f>RAW_DATA!I434</f>
        <v>Divorced</v>
      </c>
      <c r="J434">
        <f>RAW_DATA!J434</f>
        <v>2768</v>
      </c>
      <c r="K434">
        <f>RAW_DATA!K434</f>
        <v>3</v>
      </c>
      <c r="L434">
        <f>RAW_DATA!L434</f>
        <v>3</v>
      </c>
      <c r="M434">
        <f>RAW_DATA!M434</f>
        <v>7</v>
      </c>
      <c r="N434">
        <f t="shared" si="12"/>
        <v>0</v>
      </c>
      <c r="O434" t="str">
        <f xml:space="preserve"> VLOOKUP(A434, Lookup_Tables!$G$2:$H$6,2,TRUE)</f>
        <v>25-34</v>
      </c>
      <c r="P434" t="str">
        <f>_xlfn.XLOOKUP(J434,Lookup_Tables!$J$2:$J$4,Lookup_Tables!$K$2:$K$4, " ",-1)</f>
        <v>Low</v>
      </c>
      <c r="Q434" t="str">
        <f xml:space="preserve"> _xlfn.XLOOKUP(M434, Lookup_Tables!$M$2:$M$5,Lookup_Tables!$N$2:$N$5," ", -1)</f>
        <v>Established (5-10)</v>
      </c>
      <c r="R434" s="4">
        <f t="shared" si="13"/>
        <v>3.3333333333333335</v>
      </c>
      <c r="S434" t="str">
        <f xml:space="preserve"> _xlfn.XLOOKUP( E434, Lookup_Tables!$A$2:$A$6,Lookup_Tables!$B$2:$B$6," ", -1)</f>
        <v>Master</v>
      </c>
      <c r="T434" t="str">
        <f>_xlfn.XLOOKUP(G434,Lookup_Tables!$D$2:$D$5,Lookup_Tables!$E$2:$E$5)</f>
        <v>Very High</v>
      </c>
      <c r="U434" t="str">
        <f>_xlfn.XLOOKUP(H434,Lookup_Tables!$D$2:$D$5,Lookup_Tables!$E$2:$E$5)</f>
        <v>High</v>
      </c>
      <c r="V434" t="str">
        <f>_xlfn.XLOOKUP(L434,Lookup_Tables!$D$2:$D$5,Lookup_Tables!$E$2:$E$5)</f>
        <v>High</v>
      </c>
    </row>
    <row r="435" spans="1:22">
      <c r="A435">
        <f>RAW_DATA!A435</f>
        <v>46</v>
      </c>
      <c r="B435" t="str">
        <f>RAW_DATA!B435</f>
        <v>No</v>
      </c>
      <c r="C435" t="str">
        <f>RAW_DATA!C435</f>
        <v>Sales</v>
      </c>
      <c r="D435">
        <f>RAW_DATA!D435</f>
        <v>10</v>
      </c>
      <c r="E435">
        <f>RAW_DATA!E435</f>
        <v>3</v>
      </c>
      <c r="F435" t="str">
        <f>RAW_DATA!F435</f>
        <v>Marketing</v>
      </c>
      <c r="G435">
        <f>RAW_DATA!G435</f>
        <v>3</v>
      </c>
      <c r="H435">
        <f>RAW_DATA!H435</f>
        <v>4</v>
      </c>
      <c r="I435" t="str">
        <f>RAW_DATA!I435</f>
        <v>Married</v>
      </c>
      <c r="J435">
        <f>RAW_DATA!J435</f>
        <v>9071</v>
      </c>
      <c r="K435">
        <f>RAW_DATA!K435</f>
        <v>2</v>
      </c>
      <c r="L435">
        <f>RAW_DATA!L435</f>
        <v>3</v>
      </c>
      <c r="M435">
        <f>RAW_DATA!M435</f>
        <v>3</v>
      </c>
      <c r="N435">
        <f t="shared" si="12"/>
        <v>0</v>
      </c>
      <c r="O435" t="str">
        <f xml:space="preserve"> VLOOKUP(A435, Lookup_Tables!$G$2:$H$6,2,TRUE)</f>
        <v>45-54</v>
      </c>
      <c r="P435" t="str">
        <f>_xlfn.XLOOKUP(J435,Lookup_Tables!$J$2:$J$4,Lookup_Tables!$K$2:$K$4, " ",-1)</f>
        <v>High</v>
      </c>
      <c r="Q435" t="str">
        <f xml:space="preserve"> _xlfn.XLOOKUP(M435, Lookup_Tables!$M$2:$M$5,Lookup_Tables!$N$2:$N$5," ", -1)</f>
        <v>Early (2-5)</v>
      </c>
      <c r="R435" s="4">
        <f t="shared" si="13"/>
        <v>3.3333333333333335</v>
      </c>
      <c r="S435" t="str">
        <f xml:space="preserve"> _xlfn.XLOOKUP( E435, Lookup_Tables!$A$2:$A$6,Lookup_Tables!$B$2:$B$6," ", -1)</f>
        <v>Bachelor</v>
      </c>
      <c r="T435" t="str">
        <f>_xlfn.XLOOKUP(G435,Lookup_Tables!$D$2:$D$5,Lookup_Tables!$E$2:$E$5)</f>
        <v>High</v>
      </c>
      <c r="U435" t="str">
        <f>_xlfn.XLOOKUP(H435,Lookup_Tables!$D$2:$D$5,Lookup_Tables!$E$2:$E$5)</f>
        <v>Very High</v>
      </c>
      <c r="V435" t="str">
        <f>_xlfn.XLOOKUP(L435,Lookup_Tables!$D$2:$D$5,Lookup_Tables!$E$2:$E$5)</f>
        <v>High</v>
      </c>
    </row>
    <row r="436" spans="1:22">
      <c r="A436">
        <f>RAW_DATA!A436</f>
        <v>31</v>
      </c>
      <c r="B436" t="str">
        <f>RAW_DATA!B436</f>
        <v>No</v>
      </c>
      <c r="C436" t="str">
        <f>RAW_DATA!C436</f>
        <v>Research &amp; Development</v>
      </c>
      <c r="D436">
        <f>RAW_DATA!D436</f>
        <v>9</v>
      </c>
      <c r="E436">
        <f>RAW_DATA!E436</f>
        <v>1</v>
      </c>
      <c r="F436" t="str">
        <f>RAW_DATA!F436</f>
        <v>Life Sciences</v>
      </c>
      <c r="G436">
        <f>RAW_DATA!G436</f>
        <v>3</v>
      </c>
      <c r="H436">
        <f>RAW_DATA!H436</f>
        <v>2</v>
      </c>
      <c r="I436" t="str">
        <f>RAW_DATA!I436</f>
        <v>Divorced</v>
      </c>
      <c r="J436">
        <f>RAW_DATA!J436</f>
        <v>10648</v>
      </c>
      <c r="K436">
        <f>RAW_DATA!K436</f>
        <v>1</v>
      </c>
      <c r="L436">
        <f>RAW_DATA!L436</f>
        <v>4</v>
      </c>
      <c r="M436">
        <f>RAW_DATA!M436</f>
        <v>13</v>
      </c>
      <c r="N436">
        <f t="shared" si="12"/>
        <v>0</v>
      </c>
      <c r="O436" t="str">
        <f xml:space="preserve"> VLOOKUP(A436, Lookup_Tables!$G$2:$H$6,2,TRUE)</f>
        <v>25-34</v>
      </c>
      <c r="P436" t="str">
        <f>_xlfn.XLOOKUP(J436,Lookup_Tables!$J$2:$J$4,Lookup_Tables!$K$2:$K$4, " ",-1)</f>
        <v>High</v>
      </c>
      <c r="Q436" t="str">
        <f xml:space="preserve"> _xlfn.XLOOKUP(M436, Lookup_Tables!$M$2:$M$5,Lookup_Tables!$N$2:$N$5," ", -1)</f>
        <v>Veteran (10+)</v>
      </c>
      <c r="R436" s="4">
        <f t="shared" si="13"/>
        <v>3</v>
      </c>
      <c r="S436" t="str">
        <f xml:space="preserve"> _xlfn.XLOOKUP( E436, Lookup_Tables!$A$2:$A$6,Lookup_Tables!$B$2:$B$6," ", -1)</f>
        <v>Below College</v>
      </c>
      <c r="T436" t="str">
        <f>_xlfn.XLOOKUP(G436,Lookup_Tables!$D$2:$D$5,Lookup_Tables!$E$2:$E$5)</f>
        <v>High</v>
      </c>
      <c r="U436" t="str">
        <f>_xlfn.XLOOKUP(H436,Lookup_Tables!$D$2:$D$5,Lookup_Tables!$E$2:$E$5)</f>
        <v>Medium</v>
      </c>
      <c r="V436" t="str">
        <f>_xlfn.XLOOKUP(L436,Lookup_Tables!$D$2:$D$5,Lookup_Tables!$E$2:$E$5)</f>
        <v>Very High</v>
      </c>
    </row>
    <row r="437" spans="1:22">
      <c r="A437">
        <f>RAW_DATA!A437</f>
        <v>33</v>
      </c>
      <c r="B437" t="str">
        <f>RAW_DATA!B437</f>
        <v>Yes</v>
      </c>
      <c r="C437" t="str">
        <f>RAW_DATA!C437</f>
        <v>Research &amp; Development</v>
      </c>
      <c r="D437">
        <f>RAW_DATA!D437</f>
        <v>15</v>
      </c>
      <c r="E437">
        <f>RAW_DATA!E437</f>
        <v>1</v>
      </c>
      <c r="F437" t="str">
        <f>RAW_DATA!F437</f>
        <v>Medical</v>
      </c>
      <c r="G437">
        <f>RAW_DATA!G437</f>
        <v>2</v>
      </c>
      <c r="H437">
        <f>RAW_DATA!H437</f>
        <v>3</v>
      </c>
      <c r="I437" t="str">
        <f>RAW_DATA!I437</f>
        <v>Married</v>
      </c>
      <c r="J437">
        <f>RAW_DATA!J437</f>
        <v>13610</v>
      </c>
      <c r="K437">
        <f>RAW_DATA!K437</f>
        <v>7</v>
      </c>
      <c r="L437">
        <f>RAW_DATA!L437</f>
        <v>4</v>
      </c>
      <c r="M437">
        <f>RAW_DATA!M437</f>
        <v>7</v>
      </c>
      <c r="N437">
        <f t="shared" si="12"/>
        <v>1</v>
      </c>
      <c r="O437" t="str">
        <f xml:space="preserve"> VLOOKUP(A437, Lookup_Tables!$G$2:$H$6,2,TRUE)</f>
        <v>25-34</v>
      </c>
      <c r="P437" t="str">
        <f>_xlfn.XLOOKUP(J437,Lookup_Tables!$J$2:$J$4,Lookup_Tables!$K$2:$K$4, " ",-1)</f>
        <v>High</v>
      </c>
      <c r="Q437" t="str">
        <f xml:space="preserve"> _xlfn.XLOOKUP(M437, Lookup_Tables!$M$2:$M$5,Lookup_Tables!$N$2:$N$5," ", -1)</f>
        <v>Established (5-10)</v>
      </c>
      <c r="R437" s="4">
        <f t="shared" si="13"/>
        <v>3</v>
      </c>
      <c r="S437" t="str">
        <f xml:space="preserve"> _xlfn.XLOOKUP( E437, Lookup_Tables!$A$2:$A$6,Lookup_Tables!$B$2:$B$6," ", -1)</f>
        <v>Below College</v>
      </c>
      <c r="T437" t="str">
        <f>_xlfn.XLOOKUP(G437,Lookup_Tables!$D$2:$D$5,Lookup_Tables!$E$2:$E$5)</f>
        <v>Medium</v>
      </c>
      <c r="U437" t="str">
        <f>_xlfn.XLOOKUP(H437,Lookup_Tables!$D$2:$D$5,Lookup_Tables!$E$2:$E$5)</f>
        <v>High</v>
      </c>
      <c r="V437" t="str">
        <f>_xlfn.XLOOKUP(L437,Lookup_Tables!$D$2:$D$5,Lookup_Tables!$E$2:$E$5)</f>
        <v>Very High</v>
      </c>
    </row>
    <row r="438" spans="1:22">
      <c r="A438">
        <f>RAW_DATA!A438</f>
        <v>33</v>
      </c>
      <c r="B438" t="str">
        <f>RAW_DATA!B438</f>
        <v>Yes</v>
      </c>
      <c r="C438" t="str">
        <f>RAW_DATA!C438</f>
        <v>Research &amp; Development</v>
      </c>
      <c r="D438">
        <f>RAW_DATA!D438</f>
        <v>10</v>
      </c>
      <c r="E438">
        <f>RAW_DATA!E438</f>
        <v>1</v>
      </c>
      <c r="F438" t="str">
        <f>RAW_DATA!F438</f>
        <v>Medical</v>
      </c>
      <c r="G438">
        <f>RAW_DATA!G438</f>
        <v>1</v>
      </c>
      <c r="H438">
        <f>RAW_DATA!H438</f>
        <v>4</v>
      </c>
      <c r="I438" t="str">
        <f>RAW_DATA!I438</f>
        <v>Divorced</v>
      </c>
      <c r="J438">
        <f>RAW_DATA!J438</f>
        <v>3408</v>
      </c>
      <c r="K438">
        <f>RAW_DATA!K438</f>
        <v>7</v>
      </c>
      <c r="L438">
        <f>RAW_DATA!L438</f>
        <v>3</v>
      </c>
      <c r="M438">
        <f>RAW_DATA!M438</f>
        <v>4</v>
      </c>
      <c r="N438">
        <f t="shared" si="12"/>
        <v>1</v>
      </c>
      <c r="O438" t="str">
        <f xml:space="preserve"> VLOOKUP(A438, Lookup_Tables!$G$2:$H$6,2,TRUE)</f>
        <v>25-34</v>
      </c>
      <c r="P438" t="str">
        <f>_xlfn.XLOOKUP(J438,Lookup_Tables!$J$2:$J$4,Lookup_Tables!$K$2:$K$4, " ",-1)</f>
        <v>Medium</v>
      </c>
      <c r="Q438" t="str">
        <f xml:space="preserve"> _xlfn.XLOOKUP(M438, Lookup_Tables!$M$2:$M$5,Lookup_Tables!$N$2:$N$5," ", -1)</f>
        <v>Early (2-5)</v>
      </c>
      <c r="R438" s="4">
        <f t="shared" si="13"/>
        <v>2.6666666666666665</v>
      </c>
      <c r="S438" t="str">
        <f xml:space="preserve"> _xlfn.XLOOKUP( E438, Lookup_Tables!$A$2:$A$6,Lookup_Tables!$B$2:$B$6," ", -1)</f>
        <v>Below College</v>
      </c>
      <c r="T438" t="str">
        <f>_xlfn.XLOOKUP(G438,Lookup_Tables!$D$2:$D$5,Lookup_Tables!$E$2:$E$5)</f>
        <v>Low</v>
      </c>
      <c r="U438" t="str">
        <f>_xlfn.XLOOKUP(H438,Lookup_Tables!$D$2:$D$5,Lookup_Tables!$E$2:$E$5)</f>
        <v>Very High</v>
      </c>
      <c r="V438" t="str">
        <f>_xlfn.XLOOKUP(L438,Lookup_Tables!$D$2:$D$5,Lookup_Tables!$E$2:$E$5)</f>
        <v>High</v>
      </c>
    </row>
    <row r="439" spans="1:22">
      <c r="A439">
        <f>RAW_DATA!A439</f>
        <v>30</v>
      </c>
      <c r="B439" t="str">
        <f>RAW_DATA!B439</f>
        <v>No</v>
      </c>
      <c r="C439" t="str">
        <f>RAW_DATA!C439</f>
        <v>Sales</v>
      </c>
      <c r="D439">
        <f>RAW_DATA!D439</f>
        <v>7</v>
      </c>
      <c r="E439">
        <f>RAW_DATA!E439</f>
        <v>1</v>
      </c>
      <c r="F439" t="str">
        <f>RAW_DATA!F439</f>
        <v>Marketing</v>
      </c>
      <c r="G439">
        <f>RAW_DATA!G439</f>
        <v>4</v>
      </c>
      <c r="H439">
        <f>RAW_DATA!H439</f>
        <v>2</v>
      </c>
      <c r="I439" t="str">
        <f>RAW_DATA!I439</f>
        <v>Single</v>
      </c>
      <c r="J439">
        <f>RAW_DATA!J439</f>
        <v>2983</v>
      </c>
      <c r="K439">
        <f>RAW_DATA!K439</f>
        <v>0</v>
      </c>
      <c r="L439">
        <f>RAW_DATA!L439</f>
        <v>3</v>
      </c>
      <c r="M439">
        <f>RAW_DATA!M439</f>
        <v>3</v>
      </c>
      <c r="N439">
        <f t="shared" si="12"/>
        <v>0</v>
      </c>
      <c r="O439" t="str">
        <f xml:space="preserve"> VLOOKUP(A439, Lookup_Tables!$G$2:$H$6,2,TRUE)</f>
        <v>25-34</v>
      </c>
      <c r="P439" t="str">
        <f>_xlfn.XLOOKUP(J439,Lookup_Tables!$J$2:$J$4,Lookup_Tables!$K$2:$K$4, " ",-1)</f>
        <v>Low</v>
      </c>
      <c r="Q439" t="str">
        <f xml:space="preserve"> _xlfn.XLOOKUP(M439, Lookup_Tables!$M$2:$M$5,Lookup_Tables!$N$2:$N$5," ", -1)</f>
        <v>Early (2-5)</v>
      </c>
      <c r="R439" s="4">
        <f t="shared" si="13"/>
        <v>3</v>
      </c>
      <c r="S439" t="str">
        <f xml:space="preserve"> _xlfn.XLOOKUP( E439, Lookup_Tables!$A$2:$A$6,Lookup_Tables!$B$2:$B$6," ", -1)</f>
        <v>Below College</v>
      </c>
      <c r="T439" t="str">
        <f>_xlfn.XLOOKUP(G439,Lookup_Tables!$D$2:$D$5,Lookup_Tables!$E$2:$E$5)</f>
        <v>Very High</v>
      </c>
      <c r="U439" t="str">
        <f>_xlfn.XLOOKUP(H439,Lookup_Tables!$D$2:$D$5,Lookup_Tables!$E$2:$E$5)</f>
        <v>Medium</v>
      </c>
      <c r="V439" t="str">
        <f>_xlfn.XLOOKUP(L439,Lookup_Tables!$D$2:$D$5,Lookup_Tables!$E$2:$E$5)</f>
        <v>High</v>
      </c>
    </row>
    <row r="440" spans="1:22">
      <c r="A440">
        <f>RAW_DATA!A440</f>
        <v>35</v>
      </c>
      <c r="B440" t="str">
        <f>RAW_DATA!B440</f>
        <v>No</v>
      </c>
      <c r="C440" t="str">
        <f>RAW_DATA!C440</f>
        <v>Research &amp; Development</v>
      </c>
      <c r="D440">
        <f>RAW_DATA!D440</f>
        <v>16</v>
      </c>
      <c r="E440">
        <f>RAW_DATA!E440</f>
        <v>3</v>
      </c>
      <c r="F440" t="str">
        <f>RAW_DATA!F440</f>
        <v>Life Sciences</v>
      </c>
      <c r="G440">
        <f>RAW_DATA!G440</f>
        <v>4</v>
      </c>
      <c r="H440">
        <f>RAW_DATA!H440</f>
        <v>3</v>
      </c>
      <c r="I440" t="str">
        <f>RAW_DATA!I440</f>
        <v>Married</v>
      </c>
      <c r="J440">
        <f>RAW_DATA!J440</f>
        <v>7632</v>
      </c>
      <c r="K440">
        <f>RAW_DATA!K440</f>
        <v>4</v>
      </c>
      <c r="L440">
        <f>RAW_DATA!L440</f>
        <v>3</v>
      </c>
      <c r="M440">
        <f>RAW_DATA!M440</f>
        <v>8</v>
      </c>
      <c r="N440">
        <f t="shared" si="12"/>
        <v>0</v>
      </c>
      <c r="O440" t="str">
        <f xml:space="preserve"> VLOOKUP(A440, Lookup_Tables!$G$2:$H$6,2,TRUE)</f>
        <v>35-44</v>
      </c>
      <c r="P440" t="str">
        <f>_xlfn.XLOOKUP(J440,Lookup_Tables!$J$2:$J$4,Lookup_Tables!$K$2:$K$4, " ",-1)</f>
        <v>High</v>
      </c>
      <c r="Q440" t="str">
        <f xml:space="preserve"> _xlfn.XLOOKUP(M440, Lookup_Tables!$M$2:$M$5,Lookup_Tables!$N$2:$N$5," ", -1)</f>
        <v>Established (5-10)</v>
      </c>
      <c r="R440" s="4">
        <f t="shared" si="13"/>
        <v>3.3333333333333335</v>
      </c>
      <c r="S440" t="str">
        <f xml:space="preserve"> _xlfn.XLOOKUP( E440, Lookup_Tables!$A$2:$A$6,Lookup_Tables!$B$2:$B$6," ", -1)</f>
        <v>Bachelor</v>
      </c>
      <c r="T440" t="str">
        <f>_xlfn.XLOOKUP(G440,Lookup_Tables!$D$2:$D$5,Lookup_Tables!$E$2:$E$5)</f>
        <v>Very High</v>
      </c>
      <c r="U440" t="str">
        <f>_xlfn.XLOOKUP(H440,Lookup_Tables!$D$2:$D$5,Lookup_Tables!$E$2:$E$5)</f>
        <v>High</v>
      </c>
      <c r="V440" t="str">
        <f>_xlfn.XLOOKUP(L440,Lookup_Tables!$D$2:$D$5,Lookup_Tables!$E$2:$E$5)</f>
        <v>High</v>
      </c>
    </row>
    <row r="441" spans="1:22">
      <c r="A441">
        <f>RAW_DATA!A441</f>
        <v>31</v>
      </c>
      <c r="B441" t="str">
        <f>RAW_DATA!B441</f>
        <v>Yes</v>
      </c>
      <c r="C441" t="str">
        <f>RAW_DATA!C441</f>
        <v>Research &amp; Development</v>
      </c>
      <c r="D441">
        <f>RAW_DATA!D441</f>
        <v>20</v>
      </c>
      <c r="E441">
        <f>RAW_DATA!E441</f>
        <v>3</v>
      </c>
      <c r="F441" t="str">
        <f>RAW_DATA!F441</f>
        <v>Life Sciences</v>
      </c>
      <c r="G441">
        <f>RAW_DATA!G441</f>
        <v>1</v>
      </c>
      <c r="H441">
        <f>RAW_DATA!H441</f>
        <v>3</v>
      </c>
      <c r="I441" t="str">
        <f>RAW_DATA!I441</f>
        <v>Married</v>
      </c>
      <c r="J441">
        <f>RAW_DATA!J441</f>
        <v>9824</v>
      </c>
      <c r="K441">
        <f>RAW_DATA!K441</f>
        <v>3</v>
      </c>
      <c r="L441">
        <f>RAW_DATA!L441</f>
        <v>3</v>
      </c>
      <c r="M441">
        <f>RAW_DATA!M441</f>
        <v>1</v>
      </c>
      <c r="N441">
        <f t="shared" si="12"/>
        <v>1</v>
      </c>
      <c r="O441" t="str">
        <f xml:space="preserve"> VLOOKUP(A441, Lookup_Tables!$G$2:$H$6,2,TRUE)</f>
        <v>25-34</v>
      </c>
      <c r="P441" t="str">
        <f>_xlfn.XLOOKUP(J441,Lookup_Tables!$J$2:$J$4,Lookup_Tables!$K$2:$K$4, " ",-1)</f>
        <v>High</v>
      </c>
      <c r="Q441" t="str">
        <f xml:space="preserve"> _xlfn.XLOOKUP(M441, Lookup_Tables!$M$2:$M$5,Lookup_Tables!$N$2:$N$5," ", -1)</f>
        <v>New (0-2)</v>
      </c>
      <c r="R441" s="4">
        <f t="shared" si="13"/>
        <v>2.3333333333333335</v>
      </c>
      <c r="S441" t="str">
        <f xml:space="preserve"> _xlfn.XLOOKUP( E441, Lookup_Tables!$A$2:$A$6,Lookup_Tables!$B$2:$B$6," ", -1)</f>
        <v>Bachelor</v>
      </c>
      <c r="T441" t="str">
        <f>_xlfn.XLOOKUP(G441,Lookup_Tables!$D$2:$D$5,Lookup_Tables!$E$2:$E$5)</f>
        <v>Low</v>
      </c>
      <c r="U441" t="str">
        <f>_xlfn.XLOOKUP(H441,Lookup_Tables!$D$2:$D$5,Lookup_Tables!$E$2:$E$5)</f>
        <v>High</v>
      </c>
      <c r="V441" t="str">
        <f>_xlfn.XLOOKUP(L441,Lookup_Tables!$D$2:$D$5,Lookup_Tables!$E$2:$E$5)</f>
        <v>High</v>
      </c>
    </row>
    <row r="442" spans="1:22">
      <c r="A442">
        <f>RAW_DATA!A442</f>
        <v>34</v>
      </c>
      <c r="B442" t="str">
        <f>RAW_DATA!B442</f>
        <v>Yes</v>
      </c>
      <c r="C442" t="str">
        <f>RAW_DATA!C442</f>
        <v>Human Resources</v>
      </c>
      <c r="D442">
        <f>RAW_DATA!D442</f>
        <v>23</v>
      </c>
      <c r="E442">
        <f>RAW_DATA!E442</f>
        <v>3</v>
      </c>
      <c r="F442" t="str">
        <f>RAW_DATA!F442</f>
        <v>Human Resources</v>
      </c>
      <c r="G442">
        <f>RAW_DATA!G442</f>
        <v>2</v>
      </c>
      <c r="H442">
        <f>RAW_DATA!H442</f>
        <v>1</v>
      </c>
      <c r="I442" t="str">
        <f>RAW_DATA!I442</f>
        <v>Divorced</v>
      </c>
      <c r="J442">
        <f>RAW_DATA!J442</f>
        <v>9950</v>
      </c>
      <c r="K442">
        <f>RAW_DATA!K442</f>
        <v>9</v>
      </c>
      <c r="L442">
        <f>RAW_DATA!L442</f>
        <v>3</v>
      </c>
      <c r="M442">
        <f>RAW_DATA!M442</f>
        <v>3</v>
      </c>
      <c r="N442">
        <f t="shared" si="12"/>
        <v>1</v>
      </c>
      <c r="O442" t="str">
        <f xml:space="preserve"> VLOOKUP(A442, Lookup_Tables!$G$2:$H$6,2,TRUE)</f>
        <v>25-34</v>
      </c>
      <c r="P442" t="str">
        <f>_xlfn.XLOOKUP(J442,Lookup_Tables!$J$2:$J$4,Lookup_Tables!$K$2:$K$4, " ",-1)</f>
        <v>High</v>
      </c>
      <c r="Q442" t="str">
        <f xml:space="preserve"> _xlfn.XLOOKUP(M442, Lookup_Tables!$M$2:$M$5,Lookup_Tables!$N$2:$N$5," ", -1)</f>
        <v>Early (2-5)</v>
      </c>
      <c r="R442" s="4">
        <f t="shared" si="13"/>
        <v>2</v>
      </c>
      <c r="S442" t="str">
        <f xml:space="preserve"> _xlfn.XLOOKUP( E442, Lookup_Tables!$A$2:$A$6,Lookup_Tables!$B$2:$B$6," ", -1)</f>
        <v>Bachelor</v>
      </c>
      <c r="T442" t="str">
        <f>_xlfn.XLOOKUP(G442,Lookup_Tables!$D$2:$D$5,Lookup_Tables!$E$2:$E$5)</f>
        <v>Medium</v>
      </c>
      <c r="U442" t="str">
        <f>_xlfn.XLOOKUP(H442,Lookup_Tables!$D$2:$D$5,Lookup_Tables!$E$2:$E$5)</f>
        <v>Low</v>
      </c>
      <c r="V442" t="str">
        <f>_xlfn.XLOOKUP(L442,Lookup_Tables!$D$2:$D$5,Lookup_Tables!$E$2:$E$5)</f>
        <v>High</v>
      </c>
    </row>
    <row r="443" spans="1:22">
      <c r="A443">
        <f>RAW_DATA!A443</f>
        <v>42</v>
      </c>
      <c r="B443" t="str">
        <f>RAW_DATA!B443</f>
        <v>No</v>
      </c>
      <c r="C443" t="str">
        <f>RAW_DATA!C443</f>
        <v>Research &amp; Development</v>
      </c>
      <c r="D443">
        <f>RAW_DATA!D443</f>
        <v>5</v>
      </c>
      <c r="E443">
        <f>RAW_DATA!E443</f>
        <v>2</v>
      </c>
      <c r="F443" t="str">
        <f>RAW_DATA!F443</f>
        <v>Other</v>
      </c>
      <c r="G443">
        <f>RAW_DATA!G443</f>
        <v>2</v>
      </c>
      <c r="H443">
        <f>RAW_DATA!H443</f>
        <v>3</v>
      </c>
      <c r="I443" t="str">
        <f>RAW_DATA!I443</f>
        <v>Married</v>
      </c>
      <c r="J443">
        <f>RAW_DATA!J443</f>
        <v>2093</v>
      </c>
      <c r="K443">
        <f>RAW_DATA!K443</f>
        <v>4</v>
      </c>
      <c r="L443">
        <f>RAW_DATA!L443</f>
        <v>3</v>
      </c>
      <c r="M443">
        <f>RAW_DATA!M443</f>
        <v>2</v>
      </c>
      <c r="N443">
        <f t="shared" si="12"/>
        <v>0</v>
      </c>
      <c r="O443" t="str">
        <f xml:space="preserve"> VLOOKUP(A443, Lookup_Tables!$G$2:$H$6,2,TRUE)</f>
        <v>35-44</v>
      </c>
      <c r="P443" t="str">
        <f>_xlfn.XLOOKUP(J443,Lookup_Tables!$J$2:$J$4,Lookup_Tables!$K$2:$K$4, " ",-1)</f>
        <v>Low</v>
      </c>
      <c r="Q443" t="str">
        <f xml:space="preserve"> _xlfn.XLOOKUP(M443, Lookup_Tables!$M$2:$M$5,Lookup_Tables!$N$2:$N$5," ", -1)</f>
        <v>Early (2-5)</v>
      </c>
      <c r="R443" s="4">
        <f t="shared" si="13"/>
        <v>2.6666666666666665</v>
      </c>
      <c r="S443" t="str">
        <f xml:space="preserve"> _xlfn.XLOOKUP( E443, Lookup_Tables!$A$2:$A$6,Lookup_Tables!$B$2:$B$6," ", -1)</f>
        <v>College</v>
      </c>
      <c r="T443" t="str">
        <f>_xlfn.XLOOKUP(G443,Lookup_Tables!$D$2:$D$5,Lookup_Tables!$E$2:$E$5)</f>
        <v>Medium</v>
      </c>
      <c r="U443" t="str">
        <f>_xlfn.XLOOKUP(H443,Lookup_Tables!$D$2:$D$5,Lookup_Tables!$E$2:$E$5)</f>
        <v>High</v>
      </c>
      <c r="V443" t="str">
        <f>_xlfn.XLOOKUP(L443,Lookup_Tables!$D$2:$D$5,Lookup_Tables!$E$2:$E$5)</f>
        <v>High</v>
      </c>
    </row>
    <row r="444" spans="1:22">
      <c r="A444">
        <f>RAW_DATA!A444</f>
        <v>36</v>
      </c>
      <c r="B444" t="str">
        <f>RAW_DATA!B444</f>
        <v>No</v>
      </c>
      <c r="C444" t="str">
        <f>RAW_DATA!C444</f>
        <v>Sales</v>
      </c>
      <c r="D444">
        <f>RAW_DATA!D444</f>
        <v>10</v>
      </c>
      <c r="E444">
        <f>RAW_DATA!E444</f>
        <v>4</v>
      </c>
      <c r="F444" t="str">
        <f>RAW_DATA!F444</f>
        <v>Medical</v>
      </c>
      <c r="G444">
        <f>RAW_DATA!G444</f>
        <v>2</v>
      </c>
      <c r="H444">
        <f>RAW_DATA!H444</f>
        <v>4</v>
      </c>
      <c r="I444" t="str">
        <f>RAW_DATA!I444</f>
        <v>Single</v>
      </c>
      <c r="J444">
        <f>RAW_DATA!J444</f>
        <v>9980</v>
      </c>
      <c r="K444">
        <f>RAW_DATA!K444</f>
        <v>1</v>
      </c>
      <c r="L444">
        <f>RAW_DATA!L444</f>
        <v>2</v>
      </c>
      <c r="M444">
        <f>RAW_DATA!M444</f>
        <v>10</v>
      </c>
      <c r="N444">
        <f t="shared" si="12"/>
        <v>0</v>
      </c>
      <c r="O444" t="str">
        <f xml:space="preserve"> VLOOKUP(A444, Lookup_Tables!$G$2:$H$6,2,TRUE)</f>
        <v>35-44</v>
      </c>
      <c r="P444" t="str">
        <f>_xlfn.XLOOKUP(J444,Lookup_Tables!$J$2:$J$4,Lookup_Tables!$K$2:$K$4, " ",-1)</f>
        <v>High</v>
      </c>
      <c r="Q444" t="str">
        <f xml:space="preserve"> _xlfn.XLOOKUP(M444, Lookup_Tables!$M$2:$M$5,Lookup_Tables!$N$2:$N$5," ", -1)</f>
        <v>Veteran (10+)</v>
      </c>
      <c r="R444" s="4">
        <f t="shared" si="13"/>
        <v>2.6666666666666665</v>
      </c>
      <c r="S444" t="str">
        <f xml:space="preserve"> _xlfn.XLOOKUP( E444, Lookup_Tables!$A$2:$A$6,Lookup_Tables!$B$2:$B$6," ", -1)</f>
        <v>Master</v>
      </c>
      <c r="T444" t="str">
        <f>_xlfn.XLOOKUP(G444,Lookup_Tables!$D$2:$D$5,Lookup_Tables!$E$2:$E$5)</f>
        <v>Medium</v>
      </c>
      <c r="U444" t="str">
        <f>_xlfn.XLOOKUP(H444,Lookup_Tables!$D$2:$D$5,Lookup_Tables!$E$2:$E$5)</f>
        <v>Very High</v>
      </c>
      <c r="V444" t="str">
        <f>_xlfn.XLOOKUP(L444,Lookup_Tables!$D$2:$D$5,Lookup_Tables!$E$2:$E$5)</f>
        <v>Medium</v>
      </c>
    </row>
    <row r="445" spans="1:22">
      <c r="A445">
        <f>RAW_DATA!A445</f>
        <v>22</v>
      </c>
      <c r="B445" t="str">
        <f>RAW_DATA!B445</f>
        <v>Yes</v>
      </c>
      <c r="C445" t="str">
        <f>RAW_DATA!C445</f>
        <v>Research &amp; Development</v>
      </c>
      <c r="D445">
        <f>RAW_DATA!D445</f>
        <v>4</v>
      </c>
      <c r="E445">
        <f>RAW_DATA!E445</f>
        <v>1</v>
      </c>
      <c r="F445" t="str">
        <f>RAW_DATA!F445</f>
        <v>Technical Degree</v>
      </c>
      <c r="G445">
        <f>RAW_DATA!G445</f>
        <v>3</v>
      </c>
      <c r="H445">
        <f>RAW_DATA!H445</f>
        <v>3</v>
      </c>
      <c r="I445" t="str">
        <f>RAW_DATA!I445</f>
        <v>Single</v>
      </c>
      <c r="J445">
        <f>RAW_DATA!J445</f>
        <v>3894</v>
      </c>
      <c r="K445">
        <f>RAW_DATA!K445</f>
        <v>5</v>
      </c>
      <c r="L445">
        <f>RAW_DATA!L445</f>
        <v>3</v>
      </c>
      <c r="M445">
        <f>RAW_DATA!M445</f>
        <v>2</v>
      </c>
      <c r="N445">
        <f t="shared" si="12"/>
        <v>1</v>
      </c>
      <c r="O445" t="str">
        <f xml:space="preserve"> VLOOKUP(A445, Lookup_Tables!$G$2:$H$6,2,TRUE)</f>
        <v>&lt;25</v>
      </c>
      <c r="P445" t="str">
        <f>_xlfn.XLOOKUP(J445,Lookup_Tables!$J$2:$J$4,Lookup_Tables!$K$2:$K$4, " ",-1)</f>
        <v>Medium</v>
      </c>
      <c r="Q445" t="str">
        <f xml:space="preserve"> _xlfn.XLOOKUP(M445, Lookup_Tables!$M$2:$M$5,Lookup_Tables!$N$2:$N$5," ", -1)</f>
        <v>Early (2-5)</v>
      </c>
      <c r="R445" s="4">
        <f t="shared" si="13"/>
        <v>3</v>
      </c>
      <c r="S445" t="str">
        <f xml:space="preserve"> _xlfn.XLOOKUP( E445, Lookup_Tables!$A$2:$A$6,Lookup_Tables!$B$2:$B$6," ", -1)</f>
        <v>Below College</v>
      </c>
      <c r="T445" t="str">
        <f>_xlfn.XLOOKUP(G445,Lookup_Tables!$D$2:$D$5,Lookup_Tables!$E$2:$E$5)</f>
        <v>High</v>
      </c>
      <c r="U445" t="str">
        <f>_xlfn.XLOOKUP(H445,Lookup_Tables!$D$2:$D$5,Lookup_Tables!$E$2:$E$5)</f>
        <v>High</v>
      </c>
      <c r="V445" t="str">
        <f>_xlfn.XLOOKUP(L445,Lookup_Tables!$D$2:$D$5,Lookup_Tables!$E$2:$E$5)</f>
        <v>High</v>
      </c>
    </row>
    <row r="446" spans="1:22">
      <c r="A446">
        <f>RAW_DATA!A446</f>
        <v>48</v>
      </c>
      <c r="B446" t="str">
        <f>RAW_DATA!B446</f>
        <v>No</v>
      </c>
      <c r="C446" t="str">
        <f>RAW_DATA!C446</f>
        <v>Sales</v>
      </c>
      <c r="D446">
        <f>RAW_DATA!D446</f>
        <v>2</v>
      </c>
      <c r="E446">
        <f>RAW_DATA!E446</f>
        <v>5</v>
      </c>
      <c r="F446" t="str">
        <f>RAW_DATA!F446</f>
        <v>Marketing</v>
      </c>
      <c r="G446">
        <f>RAW_DATA!G446</f>
        <v>2</v>
      </c>
      <c r="H446">
        <f>RAW_DATA!H446</f>
        <v>4</v>
      </c>
      <c r="I446" t="str">
        <f>RAW_DATA!I446</f>
        <v>Married</v>
      </c>
      <c r="J446">
        <f>RAW_DATA!J446</f>
        <v>4051</v>
      </c>
      <c r="K446">
        <f>RAW_DATA!K446</f>
        <v>2</v>
      </c>
      <c r="L446">
        <f>RAW_DATA!L446</f>
        <v>3</v>
      </c>
      <c r="M446">
        <f>RAW_DATA!M446</f>
        <v>9</v>
      </c>
      <c r="N446">
        <f t="shared" si="12"/>
        <v>0</v>
      </c>
      <c r="O446" t="str">
        <f xml:space="preserve"> VLOOKUP(A446, Lookup_Tables!$G$2:$H$6,2,TRUE)</f>
        <v>45-54</v>
      </c>
      <c r="P446" t="str">
        <f>_xlfn.XLOOKUP(J446,Lookup_Tables!$J$2:$J$4,Lookup_Tables!$K$2:$K$4, " ",-1)</f>
        <v>Medium</v>
      </c>
      <c r="Q446" t="str">
        <f xml:space="preserve"> _xlfn.XLOOKUP(M446, Lookup_Tables!$M$2:$M$5,Lookup_Tables!$N$2:$N$5," ", -1)</f>
        <v>Established (5-10)</v>
      </c>
      <c r="R446" s="4">
        <f t="shared" si="13"/>
        <v>3</v>
      </c>
      <c r="S446" t="str">
        <f xml:space="preserve"> _xlfn.XLOOKUP( E446, Lookup_Tables!$A$2:$A$6,Lookup_Tables!$B$2:$B$6," ", -1)</f>
        <v>Doctor</v>
      </c>
      <c r="T446" t="str">
        <f>_xlfn.XLOOKUP(G446,Lookup_Tables!$D$2:$D$5,Lookup_Tables!$E$2:$E$5)</f>
        <v>Medium</v>
      </c>
      <c r="U446" t="str">
        <f>_xlfn.XLOOKUP(H446,Lookup_Tables!$D$2:$D$5,Lookup_Tables!$E$2:$E$5)</f>
        <v>Very High</v>
      </c>
      <c r="V446" t="str">
        <f>_xlfn.XLOOKUP(L446,Lookup_Tables!$D$2:$D$5,Lookup_Tables!$E$2:$E$5)</f>
        <v>High</v>
      </c>
    </row>
    <row r="447" spans="1:22">
      <c r="A447">
        <f>RAW_DATA!A447</f>
        <v>55</v>
      </c>
      <c r="B447" t="str">
        <f>RAW_DATA!B447</f>
        <v>No</v>
      </c>
      <c r="C447" t="str">
        <f>RAW_DATA!C447</f>
        <v>Sales</v>
      </c>
      <c r="D447">
        <f>RAW_DATA!D447</f>
        <v>18</v>
      </c>
      <c r="E447">
        <f>RAW_DATA!E447</f>
        <v>5</v>
      </c>
      <c r="F447" t="str">
        <f>RAW_DATA!F447</f>
        <v>Life Sciences</v>
      </c>
      <c r="G447">
        <f>RAW_DATA!G447</f>
        <v>1</v>
      </c>
      <c r="H447">
        <f>RAW_DATA!H447</f>
        <v>2</v>
      </c>
      <c r="I447" t="str">
        <f>RAW_DATA!I447</f>
        <v>Single</v>
      </c>
      <c r="J447">
        <f>RAW_DATA!J447</f>
        <v>16835</v>
      </c>
      <c r="K447">
        <f>RAW_DATA!K447</f>
        <v>3</v>
      </c>
      <c r="L447">
        <f>RAW_DATA!L447</f>
        <v>3</v>
      </c>
      <c r="M447">
        <f>RAW_DATA!M447</f>
        <v>10</v>
      </c>
      <c r="N447">
        <f t="shared" si="12"/>
        <v>0</v>
      </c>
      <c r="O447" t="str">
        <f xml:space="preserve"> VLOOKUP(A447, Lookup_Tables!$G$2:$H$6,2,TRUE)</f>
        <v>55+</v>
      </c>
      <c r="P447" t="str">
        <f>_xlfn.XLOOKUP(J447,Lookup_Tables!$J$2:$J$4,Lookup_Tables!$K$2:$K$4, " ",-1)</f>
        <v>High</v>
      </c>
      <c r="Q447" t="str">
        <f xml:space="preserve"> _xlfn.XLOOKUP(M447, Lookup_Tables!$M$2:$M$5,Lookup_Tables!$N$2:$N$5," ", -1)</f>
        <v>Veteran (10+)</v>
      </c>
      <c r="R447" s="4">
        <f t="shared" si="13"/>
        <v>2</v>
      </c>
      <c r="S447" t="str">
        <f xml:space="preserve"> _xlfn.XLOOKUP( E447, Lookup_Tables!$A$2:$A$6,Lookup_Tables!$B$2:$B$6," ", -1)</f>
        <v>Doctor</v>
      </c>
      <c r="T447" t="str">
        <f>_xlfn.XLOOKUP(G447,Lookup_Tables!$D$2:$D$5,Lookup_Tables!$E$2:$E$5)</f>
        <v>Low</v>
      </c>
      <c r="U447" t="str">
        <f>_xlfn.XLOOKUP(H447,Lookup_Tables!$D$2:$D$5,Lookup_Tables!$E$2:$E$5)</f>
        <v>Medium</v>
      </c>
      <c r="V447" t="str">
        <f>_xlfn.XLOOKUP(L447,Lookup_Tables!$D$2:$D$5,Lookup_Tables!$E$2:$E$5)</f>
        <v>High</v>
      </c>
    </row>
    <row r="448" spans="1:22">
      <c r="A448">
        <f>RAW_DATA!A448</f>
        <v>41</v>
      </c>
      <c r="B448" t="str">
        <f>RAW_DATA!B448</f>
        <v>No</v>
      </c>
      <c r="C448" t="str">
        <f>RAW_DATA!C448</f>
        <v>Sales</v>
      </c>
      <c r="D448">
        <f>RAW_DATA!D448</f>
        <v>10</v>
      </c>
      <c r="E448">
        <f>RAW_DATA!E448</f>
        <v>2</v>
      </c>
      <c r="F448" t="str">
        <f>RAW_DATA!F448</f>
        <v>Life Sciences</v>
      </c>
      <c r="G448">
        <f>RAW_DATA!G448</f>
        <v>4</v>
      </c>
      <c r="H448">
        <f>RAW_DATA!H448</f>
        <v>4</v>
      </c>
      <c r="I448" t="str">
        <f>RAW_DATA!I448</f>
        <v>Single</v>
      </c>
      <c r="J448">
        <f>RAW_DATA!J448</f>
        <v>6230</v>
      </c>
      <c r="K448">
        <f>RAW_DATA!K448</f>
        <v>7</v>
      </c>
      <c r="L448">
        <f>RAW_DATA!L448</f>
        <v>3</v>
      </c>
      <c r="M448">
        <f>RAW_DATA!M448</f>
        <v>14</v>
      </c>
      <c r="N448">
        <f t="shared" si="12"/>
        <v>0</v>
      </c>
      <c r="O448" t="str">
        <f xml:space="preserve"> VLOOKUP(A448, Lookup_Tables!$G$2:$H$6,2,TRUE)</f>
        <v>35-44</v>
      </c>
      <c r="P448" t="str">
        <f>_xlfn.XLOOKUP(J448,Lookup_Tables!$J$2:$J$4,Lookup_Tables!$K$2:$K$4, " ",-1)</f>
        <v>Medium</v>
      </c>
      <c r="Q448" t="str">
        <f xml:space="preserve"> _xlfn.XLOOKUP(M448, Lookup_Tables!$M$2:$M$5,Lookup_Tables!$N$2:$N$5," ", -1)</f>
        <v>Veteran (10+)</v>
      </c>
      <c r="R448" s="4">
        <f t="shared" si="13"/>
        <v>3.6666666666666665</v>
      </c>
      <c r="S448" t="str">
        <f xml:space="preserve"> _xlfn.XLOOKUP( E448, Lookup_Tables!$A$2:$A$6,Lookup_Tables!$B$2:$B$6," ", -1)</f>
        <v>College</v>
      </c>
      <c r="T448" t="str">
        <f>_xlfn.XLOOKUP(G448,Lookup_Tables!$D$2:$D$5,Lookup_Tables!$E$2:$E$5)</f>
        <v>Very High</v>
      </c>
      <c r="U448" t="str">
        <f>_xlfn.XLOOKUP(H448,Lookup_Tables!$D$2:$D$5,Lookup_Tables!$E$2:$E$5)</f>
        <v>Very High</v>
      </c>
      <c r="V448" t="str">
        <f>_xlfn.XLOOKUP(L448,Lookup_Tables!$D$2:$D$5,Lookup_Tables!$E$2:$E$5)</f>
        <v>High</v>
      </c>
    </row>
    <row r="449" spans="1:22">
      <c r="A449">
        <f>RAW_DATA!A449</f>
        <v>35</v>
      </c>
      <c r="B449" t="str">
        <f>RAW_DATA!B449</f>
        <v>No</v>
      </c>
      <c r="C449" t="str">
        <f>RAW_DATA!C449</f>
        <v>Sales</v>
      </c>
      <c r="D449">
        <f>RAW_DATA!D449</f>
        <v>1</v>
      </c>
      <c r="E449">
        <f>RAW_DATA!E449</f>
        <v>3</v>
      </c>
      <c r="F449" t="str">
        <f>RAW_DATA!F449</f>
        <v>Marketing</v>
      </c>
      <c r="G449">
        <f>RAW_DATA!G449</f>
        <v>2</v>
      </c>
      <c r="H449">
        <f>RAW_DATA!H449</f>
        <v>3</v>
      </c>
      <c r="I449" t="str">
        <f>RAW_DATA!I449</f>
        <v>Married</v>
      </c>
      <c r="J449">
        <f>RAW_DATA!J449</f>
        <v>4717</v>
      </c>
      <c r="K449">
        <f>RAW_DATA!K449</f>
        <v>9</v>
      </c>
      <c r="L449">
        <f>RAW_DATA!L449</f>
        <v>3</v>
      </c>
      <c r="M449">
        <f>RAW_DATA!M449</f>
        <v>11</v>
      </c>
      <c r="N449">
        <f t="shared" si="12"/>
        <v>0</v>
      </c>
      <c r="O449" t="str">
        <f xml:space="preserve"> VLOOKUP(A449, Lookup_Tables!$G$2:$H$6,2,TRUE)</f>
        <v>35-44</v>
      </c>
      <c r="P449" t="str">
        <f>_xlfn.XLOOKUP(J449,Lookup_Tables!$J$2:$J$4,Lookup_Tables!$K$2:$K$4, " ",-1)</f>
        <v>Medium</v>
      </c>
      <c r="Q449" t="str">
        <f xml:space="preserve"> _xlfn.XLOOKUP(M449, Lookup_Tables!$M$2:$M$5,Lookup_Tables!$N$2:$N$5," ", -1)</f>
        <v>Veteran (10+)</v>
      </c>
      <c r="R449" s="4">
        <f t="shared" si="13"/>
        <v>2.6666666666666665</v>
      </c>
      <c r="S449" t="str">
        <f xml:space="preserve"> _xlfn.XLOOKUP( E449, Lookup_Tables!$A$2:$A$6,Lookup_Tables!$B$2:$B$6," ", -1)</f>
        <v>Bachelor</v>
      </c>
      <c r="T449" t="str">
        <f>_xlfn.XLOOKUP(G449,Lookup_Tables!$D$2:$D$5,Lookup_Tables!$E$2:$E$5)</f>
        <v>Medium</v>
      </c>
      <c r="U449" t="str">
        <f>_xlfn.XLOOKUP(H449,Lookup_Tables!$D$2:$D$5,Lookup_Tables!$E$2:$E$5)</f>
        <v>High</v>
      </c>
      <c r="V449" t="str">
        <f>_xlfn.XLOOKUP(L449,Lookup_Tables!$D$2:$D$5,Lookup_Tables!$E$2:$E$5)</f>
        <v>High</v>
      </c>
    </row>
    <row r="450" spans="1:22">
      <c r="A450">
        <f>RAW_DATA!A450</f>
        <v>40</v>
      </c>
      <c r="B450" t="str">
        <f>RAW_DATA!B450</f>
        <v>No</v>
      </c>
      <c r="C450" t="str">
        <f>RAW_DATA!C450</f>
        <v>Research &amp; Development</v>
      </c>
      <c r="D450">
        <f>RAW_DATA!D450</f>
        <v>6</v>
      </c>
      <c r="E450">
        <f>RAW_DATA!E450</f>
        <v>3</v>
      </c>
      <c r="F450" t="str">
        <f>RAW_DATA!F450</f>
        <v>Life Sciences</v>
      </c>
      <c r="G450">
        <f>RAW_DATA!G450</f>
        <v>2</v>
      </c>
      <c r="H450">
        <f>RAW_DATA!H450</f>
        <v>3</v>
      </c>
      <c r="I450" t="str">
        <f>RAW_DATA!I450</f>
        <v>Single</v>
      </c>
      <c r="J450">
        <f>RAW_DATA!J450</f>
        <v>13237</v>
      </c>
      <c r="K450">
        <f>RAW_DATA!K450</f>
        <v>7</v>
      </c>
      <c r="L450">
        <f>RAW_DATA!L450</f>
        <v>3</v>
      </c>
      <c r="M450">
        <f>RAW_DATA!M450</f>
        <v>20</v>
      </c>
      <c r="N450">
        <f t="shared" si="12"/>
        <v>0</v>
      </c>
      <c r="O450" t="str">
        <f xml:space="preserve"> VLOOKUP(A450, Lookup_Tables!$G$2:$H$6,2,TRUE)</f>
        <v>35-44</v>
      </c>
      <c r="P450" t="str">
        <f>_xlfn.XLOOKUP(J450,Lookup_Tables!$J$2:$J$4,Lookup_Tables!$K$2:$K$4, " ",-1)</f>
        <v>High</v>
      </c>
      <c r="Q450" t="str">
        <f xml:space="preserve"> _xlfn.XLOOKUP(M450, Lookup_Tables!$M$2:$M$5,Lookup_Tables!$N$2:$N$5," ", -1)</f>
        <v>Veteran (10+)</v>
      </c>
      <c r="R450" s="4">
        <f t="shared" si="13"/>
        <v>2.6666666666666665</v>
      </c>
      <c r="S450" t="str">
        <f xml:space="preserve"> _xlfn.XLOOKUP( E450, Lookup_Tables!$A$2:$A$6,Lookup_Tables!$B$2:$B$6," ", -1)</f>
        <v>Bachelor</v>
      </c>
      <c r="T450" t="str">
        <f>_xlfn.XLOOKUP(G450,Lookup_Tables!$D$2:$D$5,Lookup_Tables!$E$2:$E$5)</f>
        <v>Medium</v>
      </c>
      <c r="U450" t="str">
        <f>_xlfn.XLOOKUP(H450,Lookup_Tables!$D$2:$D$5,Lookup_Tables!$E$2:$E$5)</f>
        <v>High</v>
      </c>
      <c r="V450" t="str">
        <f>_xlfn.XLOOKUP(L450,Lookup_Tables!$D$2:$D$5,Lookup_Tables!$E$2:$E$5)</f>
        <v>High</v>
      </c>
    </row>
    <row r="451" spans="1:22">
      <c r="A451">
        <f>RAW_DATA!A451</f>
        <v>39</v>
      </c>
      <c r="B451" t="str">
        <f>RAW_DATA!B451</f>
        <v>No</v>
      </c>
      <c r="C451" t="str">
        <f>RAW_DATA!C451</f>
        <v>Research &amp; Development</v>
      </c>
      <c r="D451">
        <f>RAW_DATA!D451</f>
        <v>8</v>
      </c>
      <c r="E451">
        <f>RAW_DATA!E451</f>
        <v>1</v>
      </c>
      <c r="F451" t="str">
        <f>RAW_DATA!F451</f>
        <v>Life Sciences</v>
      </c>
      <c r="G451">
        <f>RAW_DATA!G451</f>
        <v>3</v>
      </c>
      <c r="H451">
        <f>RAW_DATA!H451</f>
        <v>3</v>
      </c>
      <c r="I451" t="str">
        <f>RAW_DATA!I451</f>
        <v>Married</v>
      </c>
      <c r="J451">
        <f>RAW_DATA!J451</f>
        <v>3755</v>
      </c>
      <c r="K451">
        <f>RAW_DATA!K451</f>
        <v>1</v>
      </c>
      <c r="L451">
        <f>RAW_DATA!L451</f>
        <v>3</v>
      </c>
      <c r="M451">
        <f>RAW_DATA!M451</f>
        <v>8</v>
      </c>
      <c r="N451">
        <f t="shared" ref="N451:N514" si="14" xml:space="preserve"> IF(B451 ="Yes",1,0)</f>
        <v>0</v>
      </c>
      <c r="O451" t="str">
        <f xml:space="preserve"> VLOOKUP(A451, Lookup_Tables!$G$2:$H$6,2,TRUE)</f>
        <v>35-44</v>
      </c>
      <c r="P451" t="str">
        <f>_xlfn.XLOOKUP(J451,Lookup_Tables!$J$2:$J$4,Lookup_Tables!$K$2:$K$4, " ",-1)</f>
        <v>Medium</v>
      </c>
      <c r="Q451" t="str">
        <f xml:space="preserve"> _xlfn.XLOOKUP(M451, Lookup_Tables!$M$2:$M$5,Lookup_Tables!$N$2:$N$5," ", -1)</f>
        <v>Established (5-10)</v>
      </c>
      <c r="R451" s="4">
        <f t="shared" ref="R451:R514" si="15">AVERAGE(G451,H451,L451)</f>
        <v>3</v>
      </c>
      <c r="S451" t="str">
        <f xml:space="preserve"> _xlfn.XLOOKUP( E451, Lookup_Tables!$A$2:$A$6,Lookup_Tables!$B$2:$B$6," ", -1)</f>
        <v>Below College</v>
      </c>
      <c r="T451" t="str">
        <f>_xlfn.XLOOKUP(G451,Lookup_Tables!$D$2:$D$5,Lookup_Tables!$E$2:$E$5)</f>
        <v>High</v>
      </c>
      <c r="U451" t="str">
        <f>_xlfn.XLOOKUP(H451,Lookup_Tables!$D$2:$D$5,Lookup_Tables!$E$2:$E$5)</f>
        <v>High</v>
      </c>
      <c r="V451" t="str">
        <f>_xlfn.XLOOKUP(L451,Lookup_Tables!$D$2:$D$5,Lookup_Tables!$E$2:$E$5)</f>
        <v>High</v>
      </c>
    </row>
    <row r="452" spans="1:22">
      <c r="A452">
        <f>RAW_DATA!A452</f>
        <v>31</v>
      </c>
      <c r="B452" t="str">
        <f>RAW_DATA!B452</f>
        <v>No</v>
      </c>
      <c r="C452" t="str">
        <f>RAW_DATA!C452</f>
        <v>Sales</v>
      </c>
      <c r="D452">
        <f>RAW_DATA!D452</f>
        <v>2</v>
      </c>
      <c r="E452">
        <f>RAW_DATA!E452</f>
        <v>1</v>
      </c>
      <c r="F452" t="str">
        <f>RAW_DATA!F452</f>
        <v>Life Sciences</v>
      </c>
      <c r="G452">
        <f>RAW_DATA!G452</f>
        <v>2</v>
      </c>
      <c r="H452">
        <f>RAW_DATA!H452</f>
        <v>4</v>
      </c>
      <c r="I452" t="str">
        <f>RAW_DATA!I452</f>
        <v>Single</v>
      </c>
      <c r="J452">
        <f>RAW_DATA!J452</f>
        <v>6582</v>
      </c>
      <c r="K452">
        <f>RAW_DATA!K452</f>
        <v>4</v>
      </c>
      <c r="L452">
        <f>RAW_DATA!L452</f>
        <v>4</v>
      </c>
      <c r="M452">
        <f>RAW_DATA!M452</f>
        <v>6</v>
      </c>
      <c r="N452">
        <f t="shared" si="14"/>
        <v>0</v>
      </c>
      <c r="O452" t="str">
        <f xml:space="preserve"> VLOOKUP(A452, Lookup_Tables!$G$2:$H$6,2,TRUE)</f>
        <v>25-34</v>
      </c>
      <c r="P452" t="str">
        <f>_xlfn.XLOOKUP(J452,Lookup_Tables!$J$2:$J$4,Lookup_Tables!$K$2:$K$4, " ",-1)</f>
        <v>Medium</v>
      </c>
      <c r="Q452" t="str">
        <f xml:space="preserve"> _xlfn.XLOOKUP(M452, Lookup_Tables!$M$2:$M$5,Lookup_Tables!$N$2:$N$5," ", -1)</f>
        <v>Established (5-10)</v>
      </c>
      <c r="R452" s="4">
        <f t="shared" si="15"/>
        <v>3.3333333333333335</v>
      </c>
      <c r="S452" t="str">
        <f xml:space="preserve"> _xlfn.XLOOKUP( E452, Lookup_Tables!$A$2:$A$6,Lookup_Tables!$B$2:$B$6," ", -1)</f>
        <v>Below College</v>
      </c>
      <c r="T452" t="str">
        <f>_xlfn.XLOOKUP(G452,Lookup_Tables!$D$2:$D$5,Lookup_Tables!$E$2:$E$5)</f>
        <v>Medium</v>
      </c>
      <c r="U452" t="str">
        <f>_xlfn.XLOOKUP(H452,Lookup_Tables!$D$2:$D$5,Lookup_Tables!$E$2:$E$5)</f>
        <v>Very High</v>
      </c>
      <c r="V452" t="str">
        <f>_xlfn.XLOOKUP(L452,Lookup_Tables!$D$2:$D$5,Lookup_Tables!$E$2:$E$5)</f>
        <v>Very High</v>
      </c>
    </row>
    <row r="453" spans="1:22">
      <c r="A453">
        <f>RAW_DATA!A453</f>
        <v>42</v>
      </c>
      <c r="B453" t="str">
        <f>RAW_DATA!B453</f>
        <v>No</v>
      </c>
      <c r="C453" t="str">
        <f>RAW_DATA!C453</f>
        <v>Research &amp; Development</v>
      </c>
      <c r="D453">
        <f>RAW_DATA!D453</f>
        <v>24</v>
      </c>
      <c r="E453">
        <f>RAW_DATA!E453</f>
        <v>3</v>
      </c>
      <c r="F453" t="str">
        <f>RAW_DATA!F453</f>
        <v>Medical</v>
      </c>
      <c r="G453">
        <f>RAW_DATA!G453</f>
        <v>4</v>
      </c>
      <c r="H453">
        <f>RAW_DATA!H453</f>
        <v>1</v>
      </c>
      <c r="I453" t="str">
        <f>RAW_DATA!I453</f>
        <v>Married</v>
      </c>
      <c r="J453">
        <f>RAW_DATA!J453</f>
        <v>7406</v>
      </c>
      <c r="K453">
        <f>RAW_DATA!K453</f>
        <v>1</v>
      </c>
      <c r="L453">
        <f>RAW_DATA!L453</f>
        <v>2</v>
      </c>
      <c r="M453">
        <f>RAW_DATA!M453</f>
        <v>10</v>
      </c>
      <c r="N453">
        <f t="shared" si="14"/>
        <v>0</v>
      </c>
      <c r="O453" t="str">
        <f xml:space="preserve"> VLOOKUP(A453, Lookup_Tables!$G$2:$H$6,2,TRUE)</f>
        <v>35-44</v>
      </c>
      <c r="P453" t="str">
        <f>_xlfn.XLOOKUP(J453,Lookup_Tables!$J$2:$J$4,Lookup_Tables!$K$2:$K$4, " ",-1)</f>
        <v>High</v>
      </c>
      <c r="Q453" t="str">
        <f xml:space="preserve"> _xlfn.XLOOKUP(M453, Lookup_Tables!$M$2:$M$5,Lookup_Tables!$N$2:$N$5," ", -1)</f>
        <v>Veteran (10+)</v>
      </c>
      <c r="R453" s="4">
        <f t="shared" si="15"/>
        <v>2.3333333333333335</v>
      </c>
      <c r="S453" t="str">
        <f xml:space="preserve"> _xlfn.XLOOKUP( E453, Lookup_Tables!$A$2:$A$6,Lookup_Tables!$B$2:$B$6," ", -1)</f>
        <v>Bachelor</v>
      </c>
      <c r="T453" t="str">
        <f>_xlfn.XLOOKUP(G453,Lookup_Tables!$D$2:$D$5,Lookup_Tables!$E$2:$E$5)</f>
        <v>Very High</v>
      </c>
      <c r="U453" t="str">
        <f>_xlfn.XLOOKUP(H453,Lookup_Tables!$D$2:$D$5,Lookup_Tables!$E$2:$E$5)</f>
        <v>Low</v>
      </c>
      <c r="V453" t="str">
        <f>_xlfn.XLOOKUP(L453,Lookup_Tables!$D$2:$D$5,Lookup_Tables!$E$2:$E$5)</f>
        <v>Medium</v>
      </c>
    </row>
    <row r="454" spans="1:22">
      <c r="A454">
        <f>RAW_DATA!A454</f>
        <v>45</v>
      </c>
      <c r="B454" t="str">
        <f>RAW_DATA!B454</f>
        <v>No</v>
      </c>
      <c r="C454" t="str">
        <f>RAW_DATA!C454</f>
        <v>Sales</v>
      </c>
      <c r="D454">
        <f>RAW_DATA!D454</f>
        <v>2</v>
      </c>
      <c r="E454">
        <f>RAW_DATA!E454</f>
        <v>3</v>
      </c>
      <c r="F454" t="str">
        <f>RAW_DATA!F454</f>
        <v>Other</v>
      </c>
      <c r="G454">
        <f>RAW_DATA!G454</f>
        <v>4</v>
      </c>
      <c r="H454">
        <f>RAW_DATA!H454</f>
        <v>2</v>
      </c>
      <c r="I454" t="str">
        <f>RAW_DATA!I454</f>
        <v>Married</v>
      </c>
      <c r="J454">
        <f>RAW_DATA!J454</f>
        <v>4805</v>
      </c>
      <c r="K454">
        <f>RAW_DATA!K454</f>
        <v>0</v>
      </c>
      <c r="L454">
        <f>RAW_DATA!L454</f>
        <v>4</v>
      </c>
      <c r="M454">
        <f>RAW_DATA!M454</f>
        <v>8</v>
      </c>
      <c r="N454">
        <f t="shared" si="14"/>
        <v>0</v>
      </c>
      <c r="O454" t="str">
        <f xml:space="preserve"> VLOOKUP(A454, Lookup_Tables!$G$2:$H$6,2,TRUE)</f>
        <v>45-54</v>
      </c>
      <c r="P454" t="str">
        <f>_xlfn.XLOOKUP(J454,Lookup_Tables!$J$2:$J$4,Lookup_Tables!$K$2:$K$4, " ",-1)</f>
        <v>Medium</v>
      </c>
      <c r="Q454" t="str">
        <f xml:space="preserve"> _xlfn.XLOOKUP(M454, Lookup_Tables!$M$2:$M$5,Lookup_Tables!$N$2:$N$5," ", -1)</f>
        <v>Established (5-10)</v>
      </c>
      <c r="R454" s="4">
        <f t="shared" si="15"/>
        <v>3.3333333333333335</v>
      </c>
      <c r="S454" t="str">
        <f xml:space="preserve"> _xlfn.XLOOKUP( E454, Lookup_Tables!$A$2:$A$6,Lookup_Tables!$B$2:$B$6," ", -1)</f>
        <v>Bachelor</v>
      </c>
      <c r="T454" t="str">
        <f>_xlfn.XLOOKUP(G454,Lookup_Tables!$D$2:$D$5,Lookup_Tables!$E$2:$E$5)</f>
        <v>Very High</v>
      </c>
      <c r="U454" t="str">
        <f>_xlfn.XLOOKUP(H454,Lookup_Tables!$D$2:$D$5,Lookup_Tables!$E$2:$E$5)</f>
        <v>Medium</v>
      </c>
      <c r="V454" t="str">
        <f>_xlfn.XLOOKUP(L454,Lookup_Tables!$D$2:$D$5,Lookup_Tables!$E$2:$E$5)</f>
        <v>Very High</v>
      </c>
    </row>
    <row r="455" spans="1:22">
      <c r="A455">
        <f>RAW_DATA!A455</f>
        <v>26</v>
      </c>
      <c r="B455" t="str">
        <f>RAW_DATA!B455</f>
        <v>Yes</v>
      </c>
      <c r="C455" t="str">
        <f>RAW_DATA!C455</f>
        <v>Human Resources</v>
      </c>
      <c r="D455">
        <f>RAW_DATA!D455</f>
        <v>17</v>
      </c>
      <c r="E455">
        <f>RAW_DATA!E455</f>
        <v>4</v>
      </c>
      <c r="F455" t="str">
        <f>RAW_DATA!F455</f>
        <v>Life Sciences</v>
      </c>
      <c r="G455">
        <f>RAW_DATA!G455</f>
        <v>2</v>
      </c>
      <c r="H455">
        <f>RAW_DATA!H455</f>
        <v>3</v>
      </c>
      <c r="I455" t="str">
        <f>RAW_DATA!I455</f>
        <v>Divorced</v>
      </c>
      <c r="J455">
        <f>RAW_DATA!J455</f>
        <v>2741</v>
      </c>
      <c r="K455">
        <f>RAW_DATA!K455</f>
        <v>0</v>
      </c>
      <c r="L455">
        <f>RAW_DATA!L455</f>
        <v>2</v>
      </c>
      <c r="M455">
        <f>RAW_DATA!M455</f>
        <v>7</v>
      </c>
      <c r="N455">
        <f t="shared" si="14"/>
        <v>1</v>
      </c>
      <c r="O455" t="str">
        <f xml:space="preserve"> VLOOKUP(A455, Lookup_Tables!$G$2:$H$6,2,TRUE)</f>
        <v>25-34</v>
      </c>
      <c r="P455" t="str">
        <f>_xlfn.XLOOKUP(J455,Lookup_Tables!$J$2:$J$4,Lookup_Tables!$K$2:$K$4, " ",-1)</f>
        <v>Low</v>
      </c>
      <c r="Q455" t="str">
        <f xml:space="preserve"> _xlfn.XLOOKUP(M455, Lookup_Tables!$M$2:$M$5,Lookup_Tables!$N$2:$N$5," ", -1)</f>
        <v>Established (5-10)</v>
      </c>
      <c r="R455" s="4">
        <f t="shared" si="15"/>
        <v>2.3333333333333335</v>
      </c>
      <c r="S455" t="str">
        <f xml:space="preserve"> _xlfn.XLOOKUP( E455, Lookup_Tables!$A$2:$A$6,Lookup_Tables!$B$2:$B$6," ", -1)</f>
        <v>Master</v>
      </c>
      <c r="T455" t="str">
        <f>_xlfn.XLOOKUP(G455,Lookup_Tables!$D$2:$D$5,Lookup_Tables!$E$2:$E$5)</f>
        <v>Medium</v>
      </c>
      <c r="U455" t="str">
        <f>_xlfn.XLOOKUP(H455,Lookup_Tables!$D$2:$D$5,Lookup_Tables!$E$2:$E$5)</f>
        <v>High</v>
      </c>
      <c r="V455" t="str">
        <f>_xlfn.XLOOKUP(L455,Lookup_Tables!$D$2:$D$5,Lookup_Tables!$E$2:$E$5)</f>
        <v>Medium</v>
      </c>
    </row>
    <row r="456" spans="1:22">
      <c r="A456">
        <f>RAW_DATA!A456</f>
        <v>29</v>
      </c>
      <c r="B456" t="str">
        <f>RAW_DATA!B456</f>
        <v>No</v>
      </c>
      <c r="C456" t="str">
        <f>RAW_DATA!C456</f>
        <v>Research &amp; Development</v>
      </c>
      <c r="D456">
        <f>RAW_DATA!D456</f>
        <v>19</v>
      </c>
      <c r="E456">
        <f>RAW_DATA!E456</f>
        <v>3</v>
      </c>
      <c r="F456" t="str">
        <f>RAW_DATA!F456</f>
        <v>Technical Degree</v>
      </c>
      <c r="G456">
        <f>RAW_DATA!G456</f>
        <v>4</v>
      </c>
      <c r="H456">
        <f>RAW_DATA!H456</f>
        <v>4</v>
      </c>
      <c r="I456" t="str">
        <f>RAW_DATA!I456</f>
        <v>Divorced</v>
      </c>
      <c r="J456">
        <f>RAW_DATA!J456</f>
        <v>4262</v>
      </c>
      <c r="K456">
        <f>RAW_DATA!K456</f>
        <v>4</v>
      </c>
      <c r="L456">
        <f>RAW_DATA!L456</f>
        <v>4</v>
      </c>
      <c r="M456">
        <f>RAW_DATA!M456</f>
        <v>3</v>
      </c>
      <c r="N456">
        <f t="shared" si="14"/>
        <v>0</v>
      </c>
      <c r="O456" t="str">
        <f xml:space="preserve"> VLOOKUP(A456, Lookup_Tables!$G$2:$H$6,2,TRUE)</f>
        <v>25-34</v>
      </c>
      <c r="P456" t="str">
        <f>_xlfn.XLOOKUP(J456,Lookup_Tables!$J$2:$J$4,Lookup_Tables!$K$2:$K$4, " ",-1)</f>
        <v>Medium</v>
      </c>
      <c r="Q456" t="str">
        <f xml:space="preserve"> _xlfn.XLOOKUP(M456, Lookup_Tables!$M$2:$M$5,Lookup_Tables!$N$2:$N$5," ", -1)</f>
        <v>Early (2-5)</v>
      </c>
      <c r="R456" s="4">
        <f t="shared" si="15"/>
        <v>4</v>
      </c>
      <c r="S456" t="str">
        <f xml:space="preserve"> _xlfn.XLOOKUP( E456, Lookup_Tables!$A$2:$A$6,Lookup_Tables!$B$2:$B$6," ", -1)</f>
        <v>Bachelor</v>
      </c>
      <c r="T456" t="str">
        <f>_xlfn.XLOOKUP(G456,Lookup_Tables!$D$2:$D$5,Lookup_Tables!$E$2:$E$5)</f>
        <v>Very High</v>
      </c>
      <c r="U456" t="str">
        <f>_xlfn.XLOOKUP(H456,Lookup_Tables!$D$2:$D$5,Lookup_Tables!$E$2:$E$5)</f>
        <v>Very High</v>
      </c>
      <c r="V456" t="str">
        <f>_xlfn.XLOOKUP(L456,Lookup_Tables!$D$2:$D$5,Lookup_Tables!$E$2:$E$5)</f>
        <v>Very High</v>
      </c>
    </row>
    <row r="457" spans="1:22">
      <c r="A457">
        <f>RAW_DATA!A457</f>
        <v>33</v>
      </c>
      <c r="B457" t="str">
        <f>RAW_DATA!B457</f>
        <v>No</v>
      </c>
      <c r="C457" t="str">
        <f>RAW_DATA!C457</f>
        <v>Research &amp; Development</v>
      </c>
      <c r="D457">
        <f>RAW_DATA!D457</f>
        <v>1</v>
      </c>
      <c r="E457">
        <f>RAW_DATA!E457</f>
        <v>5</v>
      </c>
      <c r="F457" t="str">
        <f>RAW_DATA!F457</f>
        <v>Medical</v>
      </c>
      <c r="G457">
        <f>RAW_DATA!G457</f>
        <v>1</v>
      </c>
      <c r="H457">
        <f>RAW_DATA!H457</f>
        <v>3</v>
      </c>
      <c r="I457" t="str">
        <f>RAW_DATA!I457</f>
        <v>Divorced</v>
      </c>
      <c r="J457">
        <f>RAW_DATA!J457</f>
        <v>16184</v>
      </c>
      <c r="K457">
        <f>RAW_DATA!K457</f>
        <v>4</v>
      </c>
      <c r="L457">
        <f>RAW_DATA!L457</f>
        <v>3</v>
      </c>
      <c r="M457">
        <f>RAW_DATA!M457</f>
        <v>6</v>
      </c>
      <c r="N457">
        <f t="shared" si="14"/>
        <v>0</v>
      </c>
      <c r="O457" t="str">
        <f xml:space="preserve"> VLOOKUP(A457, Lookup_Tables!$G$2:$H$6,2,TRUE)</f>
        <v>25-34</v>
      </c>
      <c r="P457" t="str">
        <f>_xlfn.XLOOKUP(J457,Lookup_Tables!$J$2:$J$4,Lookup_Tables!$K$2:$K$4, " ",-1)</f>
        <v>High</v>
      </c>
      <c r="Q457" t="str">
        <f xml:space="preserve"> _xlfn.XLOOKUP(M457, Lookup_Tables!$M$2:$M$5,Lookup_Tables!$N$2:$N$5," ", -1)</f>
        <v>Established (5-10)</v>
      </c>
      <c r="R457" s="4">
        <f t="shared" si="15"/>
        <v>2.3333333333333335</v>
      </c>
      <c r="S457" t="str">
        <f xml:space="preserve"> _xlfn.XLOOKUP( E457, Lookup_Tables!$A$2:$A$6,Lookup_Tables!$B$2:$B$6," ", -1)</f>
        <v>Doctor</v>
      </c>
      <c r="T457" t="str">
        <f>_xlfn.XLOOKUP(G457,Lookup_Tables!$D$2:$D$5,Lookup_Tables!$E$2:$E$5)</f>
        <v>Low</v>
      </c>
      <c r="U457" t="str">
        <f>_xlfn.XLOOKUP(H457,Lookup_Tables!$D$2:$D$5,Lookup_Tables!$E$2:$E$5)</f>
        <v>High</v>
      </c>
      <c r="V457" t="str">
        <f>_xlfn.XLOOKUP(L457,Lookup_Tables!$D$2:$D$5,Lookup_Tables!$E$2:$E$5)</f>
        <v>High</v>
      </c>
    </row>
    <row r="458" spans="1:22">
      <c r="A458">
        <f>RAW_DATA!A458</f>
        <v>31</v>
      </c>
      <c r="B458" t="str">
        <f>RAW_DATA!B458</f>
        <v>No</v>
      </c>
      <c r="C458" t="str">
        <f>RAW_DATA!C458</f>
        <v>Sales</v>
      </c>
      <c r="D458">
        <f>RAW_DATA!D458</f>
        <v>7</v>
      </c>
      <c r="E458">
        <f>RAW_DATA!E458</f>
        <v>3</v>
      </c>
      <c r="F458" t="str">
        <f>RAW_DATA!F458</f>
        <v>Life Sciences</v>
      </c>
      <c r="G458">
        <f>RAW_DATA!G458</f>
        <v>3</v>
      </c>
      <c r="H458">
        <f>RAW_DATA!H458</f>
        <v>4</v>
      </c>
      <c r="I458" t="str">
        <f>RAW_DATA!I458</f>
        <v>Divorced</v>
      </c>
      <c r="J458">
        <f>RAW_DATA!J458</f>
        <v>11557</v>
      </c>
      <c r="K458">
        <f>RAW_DATA!K458</f>
        <v>9</v>
      </c>
      <c r="L458">
        <f>RAW_DATA!L458</f>
        <v>2</v>
      </c>
      <c r="M458">
        <f>RAW_DATA!M458</f>
        <v>5</v>
      </c>
      <c r="N458">
        <f t="shared" si="14"/>
        <v>0</v>
      </c>
      <c r="O458" t="str">
        <f xml:space="preserve"> VLOOKUP(A458, Lookup_Tables!$G$2:$H$6,2,TRUE)</f>
        <v>25-34</v>
      </c>
      <c r="P458" t="str">
        <f>_xlfn.XLOOKUP(J458,Lookup_Tables!$J$2:$J$4,Lookup_Tables!$K$2:$K$4, " ",-1)</f>
        <v>High</v>
      </c>
      <c r="Q458" t="str">
        <f xml:space="preserve"> _xlfn.XLOOKUP(M458, Lookup_Tables!$M$2:$M$5,Lookup_Tables!$N$2:$N$5," ", -1)</f>
        <v>Established (5-10)</v>
      </c>
      <c r="R458" s="4">
        <f t="shared" si="15"/>
        <v>3</v>
      </c>
      <c r="S458" t="str">
        <f xml:space="preserve"> _xlfn.XLOOKUP( E458, Lookup_Tables!$A$2:$A$6,Lookup_Tables!$B$2:$B$6," ", -1)</f>
        <v>Bachelor</v>
      </c>
      <c r="T458" t="str">
        <f>_xlfn.XLOOKUP(G458,Lookup_Tables!$D$2:$D$5,Lookup_Tables!$E$2:$E$5)</f>
        <v>High</v>
      </c>
      <c r="U458" t="str">
        <f>_xlfn.XLOOKUP(H458,Lookup_Tables!$D$2:$D$5,Lookup_Tables!$E$2:$E$5)</f>
        <v>Very High</v>
      </c>
      <c r="V458" t="str">
        <f>_xlfn.XLOOKUP(L458,Lookup_Tables!$D$2:$D$5,Lookup_Tables!$E$2:$E$5)</f>
        <v>Medium</v>
      </c>
    </row>
    <row r="459" spans="1:22">
      <c r="A459">
        <f>RAW_DATA!A459</f>
        <v>18</v>
      </c>
      <c r="B459" t="str">
        <f>RAW_DATA!B459</f>
        <v>Yes</v>
      </c>
      <c r="C459" t="str">
        <f>RAW_DATA!C459</f>
        <v>Sales</v>
      </c>
      <c r="D459">
        <f>RAW_DATA!D459</f>
        <v>5</v>
      </c>
      <c r="E459">
        <f>RAW_DATA!E459</f>
        <v>3</v>
      </c>
      <c r="F459" t="str">
        <f>RAW_DATA!F459</f>
        <v>Marketing</v>
      </c>
      <c r="G459">
        <f>RAW_DATA!G459</f>
        <v>2</v>
      </c>
      <c r="H459">
        <f>RAW_DATA!H459</f>
        <v>2</v>
      </c>
      <c r="I459" t="str">
        <f>RAW_DATA!I459</f>
        <v>Single</v>
      </c>
      <c r="J459">
        <f>RAW_DATA!J459</f>
        <v>1878</v>
      </c>
      <c r="K459">
        <f>RAW_DATA!K459</f>
        <v>1</v>
      </c>
      <c r="L459">
        <f>RAW_DATA!L459</f>
        <v>3</v>
      </c>
      <c r="M459">
        <f>RAW_DATA!M459</f>
        <v>0</v>
      </c>
      <c r="N459">
        <f t="shared" si="14"/>
        <v>1</v>
      </c>
      <c r="O459" t="str">
        <f xml:space="preserve"> VLOOKUP(A459, Lookup_Tables!$G$2:$H$6,2,TRUE)</f>
        <v>&lt;25</v>
      </c>
      <c r="P459" t="str">
        <f>_xlfn.XLOOKUP(J459,Lookup_Tables!$J$2:$J$4,Lookup_Tables!$K$2:$K$4, " ",-1)</f>
        <v>Low</v>
      </c>
      <c r="Q459" t="str">
        <f xml:space="preserve"> _xlfn.XLOOKUP(M459, Lookup_Tables!$M$2:$M$5,Lookup_Tables!$N$2:$N$5," ", -1)</f>
        <v>New (0-2)</v>
      </c>
      <c r="R459" s="4">
        <f t="shared" si="15"/>
        <v>2.3333333333333335</v>
      </c>
      <c r="S459" t="str">
        <f xml:space="preserve"> _xlfn.XLOOKUP( E459, Lookup_Tables!$A$2:$A$6,Lookup_Tables!$B$2:$B$6," ", -1)</f>
        <v>Bachelor</v>
      </c>
      <c r="T459" t="str">
        <f>_xlfn.XLOOKUP(G459,Lookup_Tables!$D$2:$D$5,Lookup_Tables!$E$2:$E$5)</f>
        <v>Medium</v>
      </c>
      <c r="U459" t="str">
        <f>_xlfn.XLOOKUP(H459,Lookup_Tables!$D$2:$D$5,Lookup_Tables!$E$2:$E$5)</f>
        <v>Medium</v>
      </c>
      <c r="V459" t="str">
        <f>_xlfn.XLOOKUP(L459,Lookup_Tables!$D$2:$D$5,Lookup_Tables!$E$2:$E$5)</f>
        <v>High</v>
      </c>
    </row>
    <row r="460" spans="1:22">
      <c r="A460">
        <f>RAW_DATA!A460</f>
        <v>40</v>
      </c>
      <c r="B460" t="str">
        <f>RAW_DATA!B460</f>
        <v>No</v>
      </c>
      <c r="C460" t="str">
        <f>RAW_DATA!C460</f>
        <v>Sales</v>
      </c>
      <c r="D460">
        <f>RAW_DATA!D460</f>
        <v>28</v>
      </c>
      <c r="E460">
        <f>RAW_DATA!E460</f>
        <v>3</v>
      </c>
      <c r="F460" t="str">
        <f>RAW_DATA!F460</f>
        <v>Other</v>
      </c>
      <c r="G460">
        <f>RAW_DATA!G460</f>
        <v>3</v>
      </c>
      <c r="H460">
        <f>RAW_DATA!H460</f>
        <v>1</v>
      </c>
      <c r="I460" t="str">
        <f>RAW_DATA!I460</f>
        <v>Divorced</v>
      </c>
      <c r="J460">
        <f>RAW_DATA!J460</f>
        <v>10932</v>
      </c>
      <c r="K460">
        <f>RAW_DATA!K460</f>
        <v>3</v>
      </c>
      <c r="L460">
        <f>RAW_DATA!L460</f>
        <v>3</v>
      </c>
      <c r="M460">
        <f>RAW_DATA!M460</f>
        <v>1</v>
      </c>
      <c r="N460">
        <f t="shared" si="14"/>
        <v>0</v>
      </c>
      <c r="O460" t="str">
        <f xml:space="preserve"> VLOOKUP(A460, Lookup_Tables!$G$2:$H$6,2,TRUE)</f>
        <v>35-44</v>
      </c>
      <c r="P460" t="str">
        <f>_xlfn.XLOOKUP(J460,Lookup_Tables!$J$2:$J$4,Lookup_Tables!$K$2:$K$4, " ",-1)</f>
        <v>High</v>
      </c>
      <c r="Q460" t="str">
        <f xml:space="preserve"> _xlfn.XLOOKUP(M460, Lookup_Tables!$M$2:$M$5,Lookup_Tables!$N$2:$N$5," ", -1)</f>
        <v>New (0-2)</v>
      </c>
      <c r="R460" s="4">
        <f t="shared" si="15"/>
        <v>2.3333333333333335</v>
      </c>
      <c r="S460" t="str">
        <f xml:space="preserve"> _xlfn.XLOOKUP( E460, Lookup_Tables!$A$2:$A$6,Lookup_Tables!$B$2:$B$6," ", -1)</f>
        <v>Bachelor</v>
      </c>
      <c r="T460" t="str">
        <f>_xlfn.XLOOKUP(G460,Lookup_Tables!$D$2:$D$5,Lookup_Tables!$E$2:$E$5)</f>
        <v>High</v>
      </c>
      <c r="U460" t="str">
        <f>_xlfn.XLOOKUP(H460,Lookup_Tables!$D$2:$D$5,Lookup_Tables!$E$2:$E$5)</f>
        <v>Low</v>
      </c>
      <c r="V460" t="str">
        <f>_xlfn.XLOOKUP(L460,Lookup_Tables!$D$2:$D$5,Lookup_Tables!$E$2:$E$5)</f>
        <v>High</v>
      </c>
    </row>
    <row r="461" spans="1:22">
      <c r="A461">
        <f>RAW_DATA!A461</f>
        <v>41</v>
      </c>
      <c r="B461" t="str">
        <f>RAW_DATA!B461</f>
        <v>No</v>
      </c>
      <c r="C461" t="str">
        <f>RAW_DATA!C461</f>
        <v>Research &amp; Development</v>
      </c>
      <c r="D461">
        <f>RAW_DATA!D461</f>
        <v>2</v>
      </c>
      <c r="E461">
        <f>RAW_DATA!E461</f>
        <v>4</v>
      </c>
      <c r="F461" t="str">
        <f>RAW_DATA!F461</f>
        <v>Other</v>
      </c>
      <c r="G461">
        <f>RAW_DATA!G461</f>
        <v>1</v>
      </c>
      <c r="H461">
        <f>RAW_DATA!H461</f>
        <v>3</v>
      </c>
      <c r="I461" t="str">
        <f>RAW_DATA!I461</f>
        <v>Single</v>
      </c>
      <c r="J461">
        <f>RAW_DATA!J461</f>
        <v>6811</v>
      </c>
      <c r="K461">
        <f>RAW_DATA!K461</f>
        <v>2</v>
      </c>
      <c r="L461">
        <f>RAW_DATA!L461</f>
        <v>3</v>
      </c>
      <c r="M461">
        <f>RAW_DATA!M461</f>
        <v>8</v>
      </c>
      <c r="N461">
        <f t="shared" si="14"/>
        <v>0</v>
      </c>
      <c r="O461" t="str">
        <f xml:space="preserve"> VLOOKUP(A461, Lookup_Tables!$G$2:$H$6,2,TRUE)</f>
        <v>35-44</v>
      </c>
      <c r="P461" t="str">
        <f>_xlfn.XLOOKUP(J461,Lookup_Tables!$J$2:$J$4,Lookup_Tables!$K$2:$K$4, " ",-1)</f>
        <v>Medium</v>
      </c>
      <c r="Q461" t="str">
        <f xml:space="preserve"> _xlfn.XLOOKUP(M461, Lookup_Tables!$M$2:$M$5,Lookup_Tables!$N$2:$N$5," ", -1)</f>
        <v>Established (5-10)</v>
      </c>
      <c r="R461" s="4">
        <f t="shared" si="15"/>
        <v>2.3333333333333335</v>
      </c>
      <c r="S461" t="str">
        <f xml:space="preserve"> _xlfn.XLOOKUP( E461, Lookup_Tables!$A$2:$A$6,Lookup_Tables!$B$2:$B$6," ", -1)</f>
        <v>Master</v>
      </c>
      <c r="T461" t="str">
        <f>_xlfn.XLOOKUP(G461,Lookup_Tables!$D$2:$D$5,Lookup_Tables!$E$2:$E$5)</f>
        <v>Low</v>
      </c>
      <c r="U461" t="str">
        <f>_xlfn.XLOOKUP(H461,Lookup_Tables!$D$2:$D$5,Lookup_Tables!$E$2:$E$5)</f>
        <v>High</v>
      </c>
      <c r="V461" t="str">
        <f>_xlfn.XLOOKUP(L461,Lookup_Tables!$D$2:$D$5,Lookup_Tables!$E$2:$E$5)</f>
        <v>High</v>
      </c>
    </row>
    <row r="462" spans="1:22">
      <c r="A462">
        <f>RAW_DATA!A462</f>
        <v>26</v>
      </c>
      <c r="B462" t="str">
        <f>RAW_DATA!B462</f>
        <v>No</v>
      </c>
      <c r="C462" t="str">
        <f>RAW_DATA!C462</f>
        <v>Sales</v>
      </c>
      <c r="D462">
        <f>RAW_DATA!D462</f>
        <v>29</v>
      </c>
      <c r="E462">
        <f>RAW_DATA!E462</f>
        <v>2</v>
      </c>
      <c r="F462" t="str">
        <f>RAW_DATA!F462</f>
        <v>Medical</v>
      </c>
      <c r="G462">
        <f>RAW_DATA!G462</f>
        <v>1</v>
      </c>
      <c r="H462">
        <f>RAW_DATA!H462</f>
        <v>3</v>
      </c>
      <c r="I462" t="str">
        <f>RAW_DATA!I462</f>
        <v>Divorced</v>
      </c>
      <c r="J462">
        <f>RAW_DATA!J462</f>
        <v>4306</v>
      </c>
      <c r="K462">
        <f>RAW_DATA!K462</f>
        <v>5</v>
      </c>
      <c r="L462">
        <f>RAW_DATA!L462</f>
        <v>3</v>
      </c>
      <c r="M462">
        <f>RAW_DATA!M462</f>
        <v>0</v>
      </c>
      <c r="N462">
        <f t="shared" si="14"/>
        <v>0</v>
      </c>
      <c r="O462" t="str">
        <f xml:space="preserve"> VLOOKUP(A462, Lookup_Tables!$G$2:$H$6,2,TRUE)</f>
        <v>25-34</v>
      </c>
      <c r="P462" t="str">
        <f>_xlfn.XLOOKUP(J462,Lookup_Tables!$J$2:$J$4,Lookup_Tables!$K$2:$K$4, " ",-1)</f>
        <v>Medium</v>
      </c>
      <c r="Q462" t="str">
        <f xml:space="preserve"> _xlfn.XLOOKUP(M462, Lookup_Tables!$M$2:$M$5,Lookup_Tables!$N$2:$N$5," ", -1)</f>
        <v>New (0-2)</v>
      </c>
      <c r="R462" s="4">
        <f t="shared" si="15"/>
        <v>2.3333333333333335</v>
      </c>
      <c r="S462" t="str">
        <f xml:space="preserve"> _xlfn.XLOOKUP( E462, Lookup_Tables!$A$2:$A$6,Lookup_Tables!$B$2:$B$6," ", -1)</f>
        <v>College</v>
      </c>
      <c r="T462" t="str">
        <f>_xlfn.XLOOKUP(G462,Lookup_Tables!$D$2:$D$5,Lookup_Tables!$E$2:$E$5)</f>
        <v>Low</v>
      </c>
      <c r="U462" t="str">
        <f>_xlfn.XLOOKUP(H462,Lookup_Tables!$D$2:$D$5,Lookup_Tables!$E$2:$E$5)</f>
        <v>High</v>
      </c>
      <c r="V462" t="str">
        <f>_xlfn.XLOOKUP(L462,Lookup_Tables!$D$2:$D$5,Lookup_Tables!$E$2:$E$5)</f>
        <v>High</v>
      </c>
    </row>
    <row r="463" spans="1:22">
      <c r="A463">
        <f>RAW_DATA!A463</f>
        <v>35</v>
      </c>
      <c r="B463" t="str">
        <f>RAW_DATA!B463</f>
        <v>No</v>
      </c>
      <c r="C463" t="str">
        <f>RAW_DATA!C463</f>
        <v>Sales</v>
      </c>
      <c r="D463">
        <f>RAW_DATA!D463</f>
        <v>1</v>
      </c>
      <c r="E463">
        <f>RAW_DATA!E463</f>
        <v>3</v>
      </c>
      <c r="F463" t="str">
        <f>RAW_DATA!F463</f>
        <v>Medical</v>
      </c>
      <c r="G463">
        <f>RAW_DATA!G463</f>
        <v>1</v>
      </c>
      <c r="H463">
        <f>RAW_DATA!H463</f>
        <v>3</v>
      </c>
      <c r="I463" t="str">
        <f>RAW_DATA!I463</f>
        <v>Single</v>
      </c>
      <c r="J463">
        <f>RAW_DATA!J463</f>
        <v>4859</v>
      </c>
      <c r="K463">
        <f>RAW_DATA!K463</f>
        <v>1</v>
      </c>
      <c r="L463">
        <f>RAW_DATA!L463</f>
        <v>3</v>
      </c>
      <c r="M463">
        <f>RAW_DATA!M463</f>
        <v>5</v>
      </c>
      <c r="N463">
        <f t="shared" si="14"/>
        <v>0</v>
      </c>
      <c r="O463" t="str">
        <f xml:space="preserve"> VLOOKUP(A463, Lookup_Tables!$G$2:$H$6,2,TRUE)</f>
        <v>35-44</v>
      </c>
      <c r="P463" t="str">
        <f>_xlfn.XLOOKUP(J463,Lookup_Tables!$J$2:$J$4,Lookup_Tables!$K$2:$K$4, " ",-1)</f>
        <v>Medium</v>
      </c>
      <c r="Q463" t="str">
        <f xml:space="preserve"> _xlfn.XLOOKUP(M463, Lookup_Tables!$M$2:$M$5,Lookup_Tables!$N$2:$N$5," ", -1)</f>
        <v>Established (5-10)</v>
      </c>
      <c r="R463" s="4">
        <f t="shared" si="15"/>
        <v>2.3333333333333335</v>
      </c>
      <c r="S463" t="str">
        <f xml:space="preserve"> _xlfn.XLOOKUP( E463, Lookup_Tables!$A$2:$A$6,Lookup_Tables!$B$2:$B$6," ", -1)</f>
        <v>Bachelor</v>
      </c>
      <c r="T463" t="str">
        <f>_xlfn.XLOOKUP(G463,Lookup_Tables!$D$2:$D$5,Lookup_Tables!$E$2:$E$5)</f>
        <v>Low</v>
      </c>
      <c r="U463" t="str">
        <f>_xlfn.XLOOKUP(H463,Lookup_Tables!$D$2:$D$5,Lookup_Tables!$E$2:$E$5)</f>
        <v>High</v>
      </c>
      <c r="V463" t="str">
        <f>_xlfn.XLOOKUP(L463,Lookup_Tables!$D$2:$D$5,Lookup_Tables!$E$2:$E$5)</f>
        <v>High</v>
      </c>
    </row>
    <row r="464" spans="1:22">
      <c r="A464">
        <f>RAW_DATA!A464</f>
        <v>34</v>
      </c>
      <c r="B464" t="str">
        <f>RAW_DATA!B464</f>
        <v>No</v>
      </c>
      <c r="C464" t="str">
        <f>RAW_DATA!C464</f>
        <v>Sales</v>
      </c>
      <c r="D464">
        <f>RAW_DATA!D464</f>
        <v>21</v>
      </c>
      <c r="E464">
        <f>RAW_DATA!E464</f>
        <v>4</v>
      </c>
      <c r="F464" t="str">
        <f>RAW_DATA!F464</f>
        <v>Life Sciences</v>
      </c>
      <c r="G464">
        <f>RAW_DATA!G464</f>
        <v>4</v>
      </c>
      <c r="H464">
        <f>RAW_DATA!H464</f>
        <v>4</v>
      </c>
      <c r="I464" t="str">
        <f>RAW_DATA!I464</f>
        <v>Single</v>
      </c>
      <c r="J464">
        <f>RAW_DATA!J464</f>
        <v>5337</v>
      </c>
      <c r="K464">
        <f>RAW_DATA!K464</f>
        <v>1</v>
      </c>
      <c r="L464">
        <f>RAW_DATA!L464</f>
        <v>3</v>
      </c>
      <c r="M464">
        <f>RAW_DATA!M464</f>
        <v>10</v>
      </c>
      <c r="N464">
        <f t="shared" si="14"/>
        <v>0</v>
      </c>
      <c r="O464" t="str">
        <f xml:space="preserve"> VLOOKUP(A464, Lookup_Tables!$G$2:$H$6,2,TRUE)</f>
        <v>25-34</v>
      </c>
      <c r="P464" t="str">
        <f>_xlfn.XLOOKUP(J464,Lookup_Tables!$J$2:$J$4,Lookup_Tables!$K$2:$K$4, " ",-1)</f>
        <v>Medium</v>
      </c>
      <c r="Q464" t="str">
        <f xml:space="preserve"> _xlfn.XLOOKUP(M464, Lookup_Tables!$M$2:$M$5,Lookup_Tables!$N$2:$N$5," ", -1)</f>
        <v>Veteran (10+)</v>
      </c>
      <c r="R464" s="4">
        <f t="shared" si="15"/>
        <v>3.6666666666666665</v>
      </c>
      <c r="S464" t="str">
        <f xml:space="preserve"> _xlfn.XLOOKUP( E464, Lookup_Tables!$A$2:$A$6,Lookup_Tables!$B$2:$B$6," ", -1)</f>
        <v>Master</v>
      </c>
      <c r="T464" t="str">
        <f>_xlfn.XLOOKUP(G464,Lookup_Tables!$D$2:$D$5,Lookup_Tables!$E$2:$E$5)</f>
        <v>Very High</v>
      </c>
      <c r="U464" t="str">
        <f>_xlfn.XLOOKUP(H464,Lookup_Tables!$D$2:$D$5,Lookup_Tables!$E$2:$E$5)</f>
        <v>Very High</v>
      </c>
      <c r="V464" t="str">
        <f>_xlfn.XLOOKUP(L464,Lookup_Tables!$D$2:$D$5,Lookup_Tables!$E$2:$E$5)</f>
        <v>High</v>
      </c>
    </row>
    <row r="465" spans="1:22">
      <c r="A465">
        <f>RAW_DATA!A465</f>
        <v>26</v>
      </c>
      <c r="B465" t="str">
        <f>RAW_DATA!B465</f>
        <v>Yes</v>
      </c>
      <c r="C465" t="str">
        <f>RAW_DATA!C465</f>
        <v>Research &amp; Development</v>
      </c>
      <c r="D465">
        <f>RAW_DATA!D465</f>
        <v>24</v>
      </c>
      <c r="E465">
        <f>RAW_DATA!E465</f>
        <v>3</v>
      </c>
      <c r="F465" t="str">
        <f>RAW_DATA!F465</f>
        <v>Technical Degree</v>
      </c>
      <c r="G465">
        <f>RAW_DATA!G465</f>
        <v>3</v>
      </c>
      <c r="H465">
        <f>RAW_DATA!H465</f>
        <v>4</v>
      </c>
      <c r="I465" t="str">
        <f>RAW_DATA!I465</f>
        <v>Single</v>
      </c>
      <c r="J465">
        <f>RAW_DATA!J465</f>
        <v>2340</v>
      </c>
      <c r="K465">
        <f>RAW_DATA!K465</f>
        <v>1</v>
      </c>
      <c r="L465">
        <f>RAW_DATA!L465</f>
        <v>1</v>
      </c>
      <c r="M465">
        <f>RAW_DATA!M465</f>
        <v>1</v>
      </c>
      <c r="N465">
        <f t="shared" si="14"/>
        <v>1</v>
      </c>
      <c r="O465" t="str">
        <f xml:space="preserve"> VLOOKUP(A465, Lookup_Tables!$G$2:$H$6,2,TRUE)</f>
        <v>25-34</v>
      </c>
      <c r="P465" t="str">
        <f>_xlfn.XLOOKUP(J465,Lookup_Tables!$J$2:$J$4,Lookup_Tables!$K$2:$K$4, " ",-1)</f>
        <v>Low</v>
      </c>
      <c r="Q465" t="str">
        <f xml:space="preserve"> _xlfn.XLOOKUP(M465, Lookup_Tables!$M$2:$M$5,Lookup_Tables!$N$2:$N$5," ", -1)</f>
        <v>New (0-2)</v>
      </c>
      <c r="R465" s="4">
        <f t="shared" si="15"/>
        <v>2.6666666666666665</v>
      </c>
      <c r="S465" t="str">
        <f xml:space="preserve"> _xlfn.XLOOKUP( E465, Lookup_Tables!$A$2:$A$6,Lookup_Tables!$B$2:$B$6," ", -1)</f>
        <v>Bachelor</v>
      </c>
      <c r="T465" t="str">
        <f>_xlfn.XLOOKUP(G465,Lookup_Tables!$D$2:$D$5,Lookup_Tables!$E$2:$E$5)</f>
        <v>High</v>
      </c>
      <c r="U465" t="str">
        <f>_xlfn.XLOOKUP(H465,Lookup_Tables!$D$2:$D$5,Lookup_Tables!$E$2:$E$5)</f>
        <v>Very High</v>
      </c>
      <c r="V465" t="str">
        <f>_xlfn.XLOOKUP(L465,Lookup_Tables!$D$2:$D$5,Lookup_Tables!$E$2:$E$5)</f>
        <v>Low</v>
      </c>
    </row>
    <row r="466" spans="1:22">
      <c r="A466">
        <f>RAW_DATA!A466</f>
        <v>37</v>
      </c>
      <c r="B466" t="str">
        <f>RAW_DATA!B466</f>
        <v>No</v>
      </c>
      <c r="C466" t="str">
        <f>RAW_DATA!C466</f>
        <v>Research &amp; Development</v>
      </c>
      <c r="D466">
        <f>RAW_DATA!D466</f>
        <v>1</v>
      </c>
      <c r="E466">
        <f>RAW_DATA!E466</f>
        <v>3</v>
      </c>
      <c r="F466" t="str">
        <f>RAW_DATA!F466</f>
        <v>Technical Degree</v>
      </c>
      <c r="G466">
        <f>RAW_DATA!G466</f>
        <v>2</v>
      </c>
      <c r="H466">
        <f>RAW_DATA!H466</f>
        <v>4</v>
      </c>
      <c r="I466" t="str">
        <f>RAW_DATA!I466</f>
        <v>Single</v>
      </c>
      <c r="J466">
        <f>RAW_DATA!J466</f>
        <v>7491</v>
      </c>
      <c r="K466">
        <f>RAW_DATA!K466</f>
        <v>4</v>
      </c>
      <c r="L466">
        <f>RAW_DATA!L466</f>
        <v>4</v>
      </c>
      <c r="M466">
        <f>RAW_DATA!M466</f>
        <v>6</v>
      </c>
      <c r="N466">
        <f t="shared" si="14"/>
        <v>0</v>
      </c>
      <c r="O466" t="str">
        <f xml:space="preserve"> VLOOKUP(A466, Lookup_Tables!$G$2:$H$6,2,TRUE)</f>
        <v>35-44</v>
      </c>
      <c r="P466" t="str">
        <f>_xlfn.XLOOKUP(J466,Lookup_Tables!$J$2:$J$4,Lookup_Tables!$K$2:$K$4, " ",-1)</f>
        <v>High</v>
      </c>
      <c r="Q466" t="str">
        <f xml:space="preserve"> _xlfn.XLOOKUP(M466, Lookup_Tables!$M$2:$M$5,Lookup_Tables!$N$2:$N$5," ", -1)</f>
        <v>Established (5-10)</v>
      </c>
      <c r="R466" s="4">
        <f t="shared" si="15"/>
        <v>3.3333333333333335</v>
      </c>
      <c r="S466" t="str">
        <f xml:space="preserve"> _xlfn.XLOOKUP( E466, Lookup_Tables!$A$2:$A$6,Lookup_Tables!$B$2:$B$6," ", -1)</f>
        <v>Bachelor</v>
      </c>
      <c r="T466" t="str">
        <f>_xlfn.XLOOKUP(G466,Lookup_Tables!$D$2:$D$5,Lookup_Tables!$E$2:$E$5)</f>
        <v>Medium</v>
      </c>
      <c r="U466" t="str">
        <f>_xlfn.XLOOKUP(H466,Lookup_Tables!$D$2:$D$5,Lookup_Tables!$E$2:$E$5)</f>
        <v>Very High</v>
      </c>
      <c r="V466" t="str">
        <f>_xlfn.XLOOKUP(L466,Lookup_Tables!$D$2:$D$5,Lookup_Tables!$E$2:$E$5)</f>
        <v>Very High</v>
      </c>
    </row>
    <row r="467" spans="1:22">
      <c r="A467">
        <f>RAW_DATA!A467</f>
        <v>46</v>
      </c>
      <c r="B467" t="str">
        <f>RAW_DATA!B467</f>
        <v>No</v>
      </c>
      <c r="C467" t="str">
        <f>RAW_DATA!C467</f>
        <v>Research &amp; Development</v>
      </c>
      <c r="D467">
        <f>RAW_DATA!D467</f>
        <v>18</v>
      </c>
      <c r="E467">
        <f>RAW_DATA!E467</f>
        <v>1</v>
      </c>
      <c r="F467" t="str">
        <f>RAW_DATA!F467</f>
        <v>Medical</v>
      </c>
      <c r="G467">
        <f>RAW_DATA!G467</f>
        <v>1</v>
      </c>
      <c r="H467">
        <f>RAW_DATA!H467</f>
        <v>3</v>
      </c>
      <c r="I467" t="str">
        <f>RAW_DATA!I467</f>
        <v>Married</v>
      </c>
      <c r="J467">
        <f>RAW_DATA!J467</f>
        <v>10527</v>
      </c>
      <c r="K467">
        <f>RAW_DATA!K467</f>
        <v>5</v>
      </c>
      <c r="L467">
        <f>RAW_DATA!L467</f>
        <v>2</v>
      </c>
      <c r="M467">
        <f>RAW_DATA!M467</f>
        <v>2</v>
      </c>
      <c r="N467">
        <f t="shared" si="14"/>
        <v>0</v>
      </c>
      <c r="O467" t="str">
        <f xml:space="preserve"> VLOOKUP(A467, Lookup_Tables!$G$2:$H$6,2,TRUE)</f>
        <v>45-54</v>
      </c>
      <c r="P467" t="str">
        <f>_xlfn.XLOOKUP(J467,Lookup_Tables!$J$2:$J$4,Lookup_Tables!$K$2:$K$4, " ",-1)</f>
        <v>High</v>
      </c>
      <c r="Q467" t="str">
        <f xml:space="preserve"> _xlfn.XLOOKUP(M467, Lookup_Tables!$M$2:$M$5,Lookup_Tables!$N$2:$N$5," ", -1)</f>
        <v>Early (2-5)</v>
      </c>
      <c r="R467" s="4">
        <f t="shared" si="15"/>
        <v>2</v>
      </c>
      <c r="S467" t="str">
        <f xml:space="preserve"> _xlfn.XLOOKUP( E467, Lookup_Tables!$A$2:$A$6,Lookup_Tables!$B$2:$B$6," ", -1)</f>
        <v>Below College</v>
      </c>
      <c r="T467" t="str">
        <f>_xlfn.XLOOKUP(G467,Lookup_Tables!$D$2:$D$5,Lookup_Tables!$E$2:$E$5)</f>
        <v>Low</v>
      </c>
      <c r="U467" t="str">
        <f>_xlfn.XLOOKUP(H467,Lookup_Tables!$D$2:$D$5,Lookup_Tables!$E$2:$E$5)</f>
        <v>High</v>
      </c>
      <c r="V467" t="str">
        <f>_xlfn.XLOOKUP(L467,Lookup_Tables!$D$2:$D$5,Lookup_Tables!$E$2:$E$5)</f>
        <v>Medium</v>
      </c>
    </row>
    <row r="468" spans="1:22">
      <c r="A468">
        <f>RAW_DATA!A468</f>
        <v>41</v>
      </c>
      <c r="B468" t="str">
        <f>RAW_DATA!B468</f>
        <v>No</v>
      </c>
      <c r="C468" t="str">
        <f>RAW_DATA!C468</f>
        <v>Sales</v>
      </c>
      <c r="D468">
        <f>RAW_DATA!D468</f>
        <v>2</v>
      </c>
      <c r="E468">
        <f>RAW_DATA!E468</f>
        <v>5</v>
      </c>
      <c r="F468" t="str">
        <f>RAW_DATA!F468</f>
        <v>Life Sciences</v>
      </c>
      <c r="G468">
        <f>RAW_DATA!G468</f>
        <v>2</v>
      </c>
      <c r="H468">
        <f>RAW_DATA!H468</f>
        <v>1</v>
      </c>
      <c r="I468" t="str">
        <f>RAW_DATA!I468</f>
        <v>Married</v>
      </c>
      <c r="J468">
        <f>RAW_DATA!J468</f>
        <v>16595</v>
      </c>
      <c r="K468">
        <f>RAW_DATA!K468</f>
        <v>7</v>
      </c>
      <c r="L468">
        <f>RAW_DATA!L468</f>
        <v>3</v>
      </c>
      <c r="M468">
        <f>RAW_DATA!M468</f>
        <v>18</v>
      </c>
      <c r="N468">
        <f t="shared" si="14"/>
        <v>0</v>
      </c>
      <c r="O468" t="str">
        <f xml:space="preserve"> VLOOKUP(A468, Lookup_Tables!$G$2:$H$6,2,TRUE)</f>
        <v>35-44</v>
      </c>
      <c r="P468" t="str">
        <f>_xlfn.XLOOKUP(J468,Lookup_Tables!$J$2:$J$4,Lookup_Tables!$K$2:$K$4, " ",-1)</f>
        <v>High</v>
      </c>
      <c r="Q468" t="str">
        <f xml:space="preserve"> _xlfn.XLOOKUP(M468, Lookup_Tables!$M$2:$M$5,Lookup_Tables!$N$2:$N$5," ", -1)</f>
        <v>Veteran (10+)</v>
      </c>
      <c r="R468" s="4">
        <f t="shared" si="15"/>
        <v>2</v>
      </c>
      <c r="S468" t="str">
        <f xml:space="preserve"> _xlfn.XLOOKUP( E468, Lookup_Tables!$A$2:$A$6,Lookup_Tables!$B$2:$B$6," ", -1)</f>
        <v>Doctor</v>
      </c>
      <c r="T468" t="str">
        <f>_xlfn.XLOOKUP(G468,Lookup_Tables!$D$2:$D$5,Lookup_Tables!$E$2:$E$5)</f>
        <v>Medium</v>
      </c>
      <c r="U468" t="str">
        <f>_xlfn.XLOOKUP(H468,Lookup_Tables!$D$2:$D$5,Lookup_Tables!$E$2:$E$5)</f>
        <v>Low</v>
      </c>
      <c r="V468" t="str">
        <f>_xlfn.XLOOKUP(L468,Lookup_Tables!$D$2:$D$5,Lookup_Tables!$E$2:$E$5)</f>
        <v>High</v>
      </c>
    </row>
    <row r="469" spans="1:22">
      <c r="A469">
        <f>RAW_DATA!A469</f>
        <v>37</v>
      </c>
      <c r="B469" t="str">
        <f>RAW_DATA!B469</f>
        <v>No</v>
      </c>
      <c r="C469" t="str">
        <f>RAW_DATA!C469</f>
        <v>Sales</v>
      </c>
      <c r="D469">
        <f>RAW_DATA!D469</f>
        <v>9</v>
      </c>
      <c r="E469">
        <f>RAW_DATA!E469</f>
        <v>4</v>
      </c>
      <c r="F469" t="str">
        <f>RAW_DATA!F469</f>
        <v>Medical</v>
      </c>
      <c r="G469">
        <f>RAW_DATA!G469</f>
        <v>1</v>
      </c>
      <c r="H469">
        <f>RAW_DATA!H469</f>
        <v>2</v>
      </c>
      <c r="I469" t="str">
        <f>RAW_DATA!I469</f>
        <v>Divorced</v>
      </c>
      <c r="J469">
        <f>RAW_DATA!J469</f>
        <v>8834</v>
      </c>
      <c r="K469">
        <f>RAW_DATA!K469</f>
        <v>1</v>
      </c>
      <c r="L469">
        <f>RAW_DATA!L469</f>
        <v>3</v>
      </c>
      <c r="M469">
        <f>RAW_DATA!M469</f>
        <v>9</v>
      </c>
      <c r="N469">
        <f t="shared" si="14"/>
        <v>0</v>
      </c>
      <c r="O469" t="str">
        <f xml:space="preserve"> VLOOKUP(A469, Lookup_Tables!$G$2:$H$6,2,TRUE)</f>
        <v>35-44</v>
      </c>
      <c r="P469" t="str">
        <f>_xlfn.XLOOKUP(J469,Lookup_Tables!$J$2:$J$4,Lookup_Tables!$K$2:$K$4, " ",-1)</f>
        <v>High</v>
      </c>
      <c r="Q469" t="str">
        <f xml:space="preserve"> _xlfn.XLOOKUP(M469, Lookup_Tables!$M$2:$M$5,Lookup_Tables!$N$2:$N$5," ", -1)</f>
        <v>Established (5-10)</v>
      </c>
      <c r="R469" s="4">
        <f t="shared" si="15"/>
        <v>2</v>
      </c>
      <c r="S469" t="str">
        <f xml:space="preserve"> _xlfn.XLOOKUP( E469, Lookup_Tables!$A$2:$A$6,Lookup_Tables!$B$2:$B$6," ", -1)</f>
        <v>Master</v>
      </c>
      <c r="T469" t="str">
        <f>_xlfn.XLOOKUP(G469,Lookup_Tables!$D$2:$D$5,Lookup_Tables!$E$2:$E$5)</f>
        <v>Low</v>
      </c>
      <c r="U469" t="str">
        <f>_xlfn.XLOOKUP(H469,Lookup_Tables!$D$2:$D$5,Lookup_Tables!$E$2:$E$5)</f>
        <v>Medium</v>
      </c>
      <c r="V469" t="str">
        <f>_xlfn.XLOOKUP(L469,Lookup_Tables!$D$2:$D$5,Lookup_Tables!$E$2:$E$5)</f>
        <v>High</v>
      </c>
    </row>
    <row r="470" spans="1:22">
      <c r="A470">
        <f>RAW_DATA!A470</f>
        <v>52</v>
      </c>
      <c r="B470" t="str">
        <f>RAW_DATA!B470</f>
        <v>No</v>
      </c>
      <c r="C470" t="str">
        <f>RAW_DATA!C470</f>
        <v>Research &amp; Development</v>
      </c>
      <c r="D470">
        <f>RAW_DATA!D470</f>
        <v>6</v>
      </c>
      <c r="E470">
        <f>RAW_DATA!E470</f>
        <v>2</v>
      </c>
      <c r="F470" t="str">
        <f>RAW_DATA!F470</f>
        <v>Technical Degree</v>
      </c>
      <c r="G470">
        <f>RAW_DATA!G470</f>
        <v>4</v>
      </c>
      <c r="H470">
        <f>RAW_DATA!H470</f>
        <v>1</v>
      </c>
      <c r="I470" t="str">
        <f>RAW_DATA!I470</f>
        <v>Divorced</v>
      </c>
      <c r="J470">
        <f>RAW_DATA!J470</f>
        <v>5577</v>
      </c>
      <c r="K470">
        <f>RAW_DATA!K470</f>
        <v>3</v>
      </c>
      <c r="L470">
        <f>RAW_DATA!L470</f>
        <v>3</v>
      </c>
      <c r="M470">
        <f>RAW_DATA!M470</f>
        <v>10</v>
      </c>
      <c r="N470">
        <f t="shared" si="14"/>
        <v>0</v>
      </c>
      <c r="O470" t="str">
        <f xml:space="preserve"> VLOOKUP(A470, Lookup_Tables!$G$2:$H$6,2,TRUE)</f>
        <v>45-54</v>
      </c>
      <c r="P470" t="str">
        <f>_xlfn.XLOOKUP(J470,Lookup_Tables!$J$2:$J$4,Lookup_Tables!$K$2:$K$4, " ",-1)</f>
        <v>Medium</v>
      </c>
      <c r="Q470" t="str">
        <f xml:space="preserve"> _xlfn.XLOOKUP(M470, Lookup_Tables!$M$2:$M$5,Lookup_Tables!$N$2:$N$5," ", -1)</f>
        <v>Veteran (10+)</v>
      </c>
      <c r="R470" s="4">
        <f t="shared" si="15"/>
        <v>2.6666666666666665</v>
      </c>
      <c r="S470" t="str">
        <f xml:space="preserve"> _xlfn.XLOOKUP( E470, Lookup_Tables!$A$2:$A$6,Lookup_Tables!$B$2:$B$6," ", -1)</f>
        <v>College</v>
      </c>
      <c r="T470" t="str">
        <f>_xlfn.XLOOKUP(G470,Lookup_Tables!$D$2:$D$5,Lookup_Tables!$E$2:$E$5)</f>
        <v>Very High</v>
      </c>
      <c r="U470" t="str">
        <f>_xlfn.XLOOKUP(H470,Lookup_Tables!$D$2:$D$5,Lookup_Tables!$E$2:$E$5)</f>
        <v>Low</v>
      </c>
      <c r="V470" t="str">
        <f>_xlfn.XLOOKUP(L470,Lookup_Tables!$D$2:$D$5,Lookup_Tables!$E$2:$E$5)</f>
        <v>High</v>
      </c>
    </row>
    <row r="471" spans="1:22">
      <c r="A471">
        <f>RAW_DATA!A471</f>
        <v>32</v>
      </c>
      <c r="B471" t="str">
        <f>RAW_DATA!B471</f>
        <v>Yes</v>
      </c>
      <c r="C471" t="str">
        <f>RAW_DATA!C471</f>
        <v>Sales</v>
      </c>
      <c r="D471">
        <f>RAW_DATA!D471</f>
        <v>11</v>
      </c>
      <c r="E471">
        <f>RAW_DATA!E471</f>
        <v>4</v>
      </c>
      <c r="F471" t="str">
        <f>RAW_DATA!F471</f>
        <v>Other</v>
      </c>
      <c r="G471">
        <f>RAW_DATA!G471</f>
        <v>4</v>
      </c>
      <c r="H471">
        <f>RAW_DATA!H471</f>
        <v>3</v>
      </c>
      <c r="I471" t="str">
        <f>RAW_DATA!I471</f>
        <v>Married</v>
      </c>
      <c r="J471">
        <f>RAW_DATA!J471</f>
        <v>4707</v>
      </c>
      <c r="K471">
        <f>RAW_DATA!K471</f>
        <v>8</v>
      </c>
      <c r="L471">
        <f>RAW_DATA!L471</f>
        <v>3</v>
      </c>
      <c r="M471">
        <f>RAW_DATA!M471</f>
        <v>4</v>
      </c>
      <c r="N471">
        <f t="shared" si="14"/>
        <v>1</v>
      </c>
      <c r="O471" t="str">
        <f xml:space="preserve"> VLOOKUP(A471, Lookup_Tables!$G$2:$H$6,2,TRUE)</f>
        <v>25-34</v>
      </c>
      <c r="P471" t="str">
        <f>_xlfn.XLOOKUP(J471,Lookup_Tables!$J$2:$J$4,Lookup_Tables!$K$2:$K$4, " ",-1)</f>
        <v>Medium</v>
      </c>
      <c r="Q471" t="str">
        <f xml:space="preserve"> _xlfn.XLOOKUP(M471, Lookup_Tables!$M$2:$M$5,Lookup_Tables!$N$2:$N$5," ", -1)</f>
        <v>Early (2-5)</v>
      </c>
      <c r="R471" s="4">
        <f t="shared" si="15"/>
        <v>3.3333333333333335</v>
      </c>
      <c r="S471" t="str">
        <f xml:space="preserve"> _xlfn.XLOOKUP( E471, Lookup_Tables!$A$2:$A$6,Lookup_Tables!$B$2:$B$6," ", -1)</f>
        <v>Master</v>
      </c>
      <c r="T471" t="str">
        <f>_xlfn.XLOOKUP(G471,Lookup_Tables!$D$2:$D$5,Lookup_Tables!$E$2:$E$5)</f>
        <v>Very High</v>
      </c>
      <c r="U471" t="str">
        <f>_xlfn.XLOOKUP(H471,Lookup_Tables!$D$2:$D$5,Lookup_Tables!$E$2:$E$5)</f>
        <v>High</v>
      </c>
      <c r="V471" t="str">
        <f>_xlfn.XLOOKUP(L471,Lookup_Tables!$D$2:$D$5,Lookup_Tables!$E$2:$E$5)</f>
        <v>High</v>
      </c>
    </row>
    <row r="472" spans="1:22">
      <c r="A472">
        <f>RAW_DATA!A472</f>
        <v>24</v>
      </c>
      <c r="B472" t="str">
        <f>RAW_DATA!B472</f>
        <v>No</v>
      </c>
      <c r="C472" t="str">
        <f>RAW_DATA!C472</f>
        <v>Sales</v>
      </c>
      <c r="D472">
        <f>RAW_DATA!D472</f>
        <v>24</v>
      </c>
      <c r="E472">
        <f>RAW_DATA!E472</f>
        <v>3</v>
      </c>
      <c r="F472" t="str">
        <f>RAW_DATA!F472</f>
        <v>Medical</v>
      </c>
      <c r="G472">
        <f>RAW_DATA!G472</f>
        <v>4</v>
      </c>
      <c r="H472">
        <f>RAW_DATA!H472</f>
        <v>4</v>
      </c>
      <c r="I472" t="str">
        <f>RAW_DATA!I472</f>
        <v>Married</v>
      </c>
      <c r="J472">
        <f>RAW_DATA!J472</f>
        <v>2400</v>
      </c>
      <c r="K472">
        <f>RAW_DATA!K472</f>
        <v>0</v>
      </c>
      <c r="L472">
        <f>RAW_DATA!L472</f>
        <v>3</v>
      </c>
      <c r="M472">
        <f>RAW_DATA!M472</f>
        <v>2</v>
      </c>
      <c r="N472">
        <f t="shared" si="14"/>
        <v>0</v>
      </c>
      <c r="O472" t="str">
        <f xml:space="preserve"> VLOOKUP(A472, Lookup_Tables!$G$2:$H$6,2,TRUE)</f>
        <v>&lt;25</v>
      </c>
      <c r="P472" t="str">
        <f>_xlfn.XLOOKUP(J472,Lookup_Tables!$J$2:$J$4,Lookup_Tables!$K$2:$K$4, " ",-1)</f>
        <v>Low</v>
      </c>
      <c r="Q472" t="str">
        <f xml:space="preserve"> _xlfn.XLOOKUP(M472, Lookup_Tables!$M$2:$M$5,Lookup_Tables!$N$2:$N$5," ", -1)</f>
        <v>Early (2-5)</v>
      </c>
      <c r="R472" s="4">
        <f t="shared" si="15"/>
        <v>3.6666666666666665</v>
      </c>
      <c r="S472" t="str">
        <f xml:space="preserve"> _xlfn.XLOOKUP( E472, Lookup_Tables!$A$2:$A$6,Lookup_Tables!$B$2:$B$6," ", -1)</f>
        <v>Bachelor</v>
      </c>
      <c r="T472" t="str">
        <f>_xlfn.XLOOKUP(G472,Lookup_Tables!$D$2:$D$5,Lookup_Tables!$E$2:$E$5)</f>
        <v>Very High</v>
      </c>
      <c r="U472" t="str">
        <f>_xlfn.XLOOKUP(H472,Lookup_Tables!$D$2:$D$5,Lookup_Tables!$E$2:$E$5)</f>
        <v>Very High</v>
      </c>
      <c r="V472" t="str">
        <f>_xlfn.XLOOKUP(L472,Lookup_Tables!$D$2:$D$5,Lookup_Tables!$E$2:$E$5)</f>
        <v>High</v>
      </c>
    </row>
    <row r="473" spans="1:22">
      <c r="A473">
        <f>RAW_DATA!A473</f>
        <v>38</v>
      </c>
      <c r="B473" t="str">
        <f>RAW_DATA!B473</f>
        <v>No</v>
      </c>
      <c r="C473" t="str">
        <f>RAW_DATA!C473</f>
        <v>Research &amp; Development</v>
      </c>
      <c r="D473">
        <f>RAW_DATA!D473</f>
        <v>10</v>
      </c>
      <c r="E473">
        <f>RAW_DATA!E473</f>
        <v>3</v>
      </c>
      <c r="F473" t="str">
        <f>RAW_DATA!F473</f>
        <v>Medical</v>
      </c>
      <c r="G473">
        <f>RAW_DATA!G473</f>
        <v>3</v>
      </c>
      <c r="H473">
        <f>RAW_DATA!H473</f>
        <v>3</v>
      </c>
      <c r="I473" t="str">
        <f>RAW_DATA!I473</f>
        <v>Married</v>
      </c>
      <c r="J473">
        <f>RAW_DATA!J473</f>
        <v>9824</v>
      </c>
      <c r="K473">
        <f>RAW_DATA!K473</f>
        <v>3</v>
      </c>
      <c r="L473">
        <f>RAW_DATA!L473</f>
        <v>3</v>
      </c>
      <c r="M473">
        <f>RAW_DATA!M473</f>
        <v>1</v>
      </c>
      <c r="N473">
        <f t="shared" si="14"/>
        <v>0</v>
      </c>
      <c r="O473" t="str">
        <f xml:space="preserve"> VLOOKUP(A473, Lookup_Tables!$G$2:$H$6,2,TRUE)</f>
        <v>35-44</v>
      </c>
      <c r="P473" t="str">
        <f>_xlfn.XLOOKUP(J473,Lookup_Tables!$J$2:$J$4,Lookup_Tables!$K$2:$K$4, " ",-1)</f>
        <v>High</v>
      </c>
      <c r="Q473" t="str">
        <f xml:space="preserve"> _xlfn.XLOOKUP(M473, Lookup_Tables!$M$2:$M$5,Lookup_Tables!$N$2:$N$5," ", -1)</f>
        <v>New (0-2)</v>
      </c>
      <c r="R473" s="4">
        <f t="shared" si="15"/>
        <v>3</v>
      </c>
      <c r="S473" t="str">
        <f xml:space="preserve"> _xlfn.XLOOKUP( E473, Lookup_Tables!$A$2:$A$6,Lookup_Tables!$B$2:$B$6," ", -1)</f>
        <v>Bachelor</v>
      </c>
      <c r="T473" t="str">
        <f>_xlfn.XLOOKUP(G473,Lookup_Tables!$D$2:$D$5,Lookup_Tables!$E$2:$E$5)</f>
        <v>High</v>
      </c>
      <c r="U473" t="str">
        <f>_xlfn.XLOOKUP(H473,Lookup_Tables!$D$2:$D$5,Lookup_Tables!$E$2:$E$5)</f>
        <v>High</v>
      </c>
      <c r="V473" t="str">
        <f>_xlfn.XLOOKUP(L473,Lookup_Tables!$D$2:$D$5,Lookup_Tables!$E$2:$E$5)</f>
        <v>High</v>
      </c>
    </row>
    <row r="474" spans="1:22">
      <c r="A474">
        <f>RAW_DATA!A474</f>
        <v>37</v>
      </c>
      <c r="B474" t="str">
        <f>RAW_DATA!B474</f>
        <v>No</v>
      </c>
      <c r="C474" t="str">
        <f>RAW_DATA!C474</f>
        <v>Research &amp; Development</v>
      </c>
      <c r="D474">
        <f>RAW_DATA!D474</f>
        <v>1</v>
      </c>
      <c r="E474">
        <f>RAW_DATA!E474</f>
        <v>4</v>
      </c>
      <c r="F474" t="str">
        <f>RAW_DATA!F474</f>
        <v>Life Sciences</v>
      </c>
      <c r="G474">
        <f>RAW_DATA!G474</f>
        <v>2</v>
      </c>
      <c r="H474">
        <f>RAW_DATA!H474</f>
        <v>2</v>
      </c>
      <c r="I474" t="str">
        <f>RAW_DATA!I474</f>
        <v>Married</v>
      </c>
      <c r="J474">
        <f>RAW_DATA!J474</f>
        <v>6447</v>
      </c>
      <c r="K474">
        <f>RAW_DATA!K474</f>
        <v>6</v>
      </c>
      <c r="L474">
        <f>RAW_DATA!L474</f>
        <v>2</v>
      </c>
      <c r="M474">
        <f>RAW_DATA!M474</f>
        <v>6</v>
      </c>
      <c r="N474">
        <f t="shared" si="14"/>
        <v>0</v>
      </c>
      <c r="O474" t="str">
        <f xml:space="preserve"> VLOOKUP(A474, Lookup_Tables!$G$2:$H$6,2,TRUE)</f>
        <v>35-44</v>
      </c>
      <c r="P474" t="str">
        <f>_xlfn.XLOOKUP(J474,Lookup_Tables!$J$2:$J$4,Lookup_Tables!$K$2:$K$4, " ",-1)</f>
        <v>Medium</v>
      </c>
      <c r="Q474" t="str">
        <f xml:space="preserve"> _xlfn.XLOOKUP(M474, Lookup_Tables!$M$2:$M$5,Lookup_Tables!$N$2:$N$5," ", -1)</f>
        <v>Established (5-10)</v>
      </c>
      <c r="R474" s="4">
        <f t="shared" si="15"/>
        <v>2</v>
      </c>
      <c r="S474" t="str">
        <f xml:space="preserve"> _xlfn.XLOOKUP( E474, Lookup_Tables!$A$2:$A$6,Lookup_Tables!$B$2:$B$6," ", -1)</f>
        <v>Master</v>
      </c>
      <c r="T474" t="str">
        <f>_xlfn.XLOOKUP(G474,Lookup_Tables!$D$2:$D$5,Lookup_Tables!$E$2:$E$5)</f>
        <v>Medium</v>
      </c>
      <c r="U474" t="str">
        <f>_xlfn.XLOOKUP(H474,Lookup_Tables!$D$2:$D$5,Lookup_Tables!$E$2:$E$5)</f>
        <v>Medium</v>
      </c>
      <c r="V474" t="str">
        <f>_xlfn.XLOOKUP(L474,Lookup_Tables!$D$2:$D$5,Lookup_Tables!$E$2:$E$5)</f>
        <v>Medium</v>
      </c>
    </row>
    <row r="475" spans="1:22">
      <c r="A475">
        <f>RAW_DATA!A475</f>
        <v>49</v>
      </c>
      <c r="B475" t="str">
        <f>RAW_DATA!B475</f>
        <v>No</v>
      </c>
      <c r="C475" t="str">
        <f>RAW_DATA!C475</f>
        <v>Research &amp; Development</v>
      </c>
      <c r="D475">
        <f>RAW_DATA!D475</f>
        <v>18</v>
      </c>
      <c r="E475">
        <f>RAW_DATA!E475</f>
        <v>4</v>
      </c>
      <c r="F475" t="str">
        <f>RAW_DATA!F475</f>
        <v>Life Sciences</v>
      </c>
      <c r="G475">
        <f>RAW_DATA!G475</f>
        <v>4</v>
      </c>
      <c r="H475">
        <f>RAW_DATA!H475</f>
        <v>3</v>
      </c>
      <c r="I475" t="str">
        <f>RAW_DATA!I475</f>
        <v>Divorced</v>
      </c>
      <c r="J475">
        <f>RAW_DATA!J475</f>
        <v>19502</v>
      </c>
      <c r="K475">
        <f>RAW_DATA!K475</f>
        <v>1</v>
      </c>
      <c r="L475">
        <f>RAW_DATA!L475</f>
        <v>3</v>
      </c>
      <c r="M475">
        <f>RAW_DATA!M475</f>
        <v>31</v>
      </c>
      <c r="N475">
        <f t="shared" si="14"/>
        <v>0</v>
      </c>
      <c r="O475" t="str">
        <f xml:space="preserve"> VLOOKUP(A475, Lookup_Tables!$G$2:$H$6,2,TRUE)</f>
        <v>45-54</v>
      </c>
      <c r="P475" t="str">
        <f>_xlfn.XLOOKUP(J475,Lookup_Tables!$J$2:$J$4,Lookup_Tables!$K$2:$K$4, " ",-1)</f>
        <v>High</v>
      </c>
      <c r="Q475" t="str">
        <f xml:space="preserve"> _xlfn.XLOOKUP(M475, Lookup_Tables!$M$2:$M$5,Lookup_Tables!$N$2:$N$5," ", -1)</f>
        <v>Veteran (10+)</v>
      </c>
      <c r="R475" s="4">
        <f t="shared" si="15"/>
        <v>3.3333333333333335</v>
      </c>
      <c r="S475" t="str">
        <f xml:space="preserve"> _xlfn.XLOOKUP( E475, Lookup_Tables!$A$2:$A$6,Lookup_Tables!$B$2:$B$6," ", -1)</f>
        <v>Master</v>
      </c>
      <c r="T475" t="str">
        <f>_xlfn.XLOOKUP(G475,Lookup_Tables!$D$2:$D$5,Lookup_Tables!$E$2:$E$5)</f>
        <v>Very High</v>
      </c>
      <c r="U475" t="str">
        <f>_xlfn.XLOOKUP(H475,Lookup_Tables!$D$2:$D$5,Lookup_Tables!$E$2:$E$5)</f>
        <v>High</v>
      </c>
      <c r="V475" t="str">
        <f>_xlfn.XLOOKUP(L475,Lookup_Tables!$D$2:$D$5,Lookup_Tables!$E$2:$E$5)</f>
        <v>High</v>
      </c>
    </row>
    <row r="476" spans="1:22">
      <c r="A476">
        <f>RAW_DATA!A476</f>
        <v>24</v>
      </c>
      <c r="B476" t="str">
        <f>RAW_DATA!B476</f>
        <v>No</v>
      </c>
      <c r="C476" t="str">
        <f>RAW_DATA!C476</f>
        <v>Research &amp; Development</v>
      </c>
      <c r="D476">
        <f>RAW_DATA!D476</f>
        <v>23</v>
      </c>
      <c r="E476">
        <f>RAW_DATA!E476</f>
        <v>3</v>
      </c>
      <c r="F476" t="str">
        <f>RAW_DATA!F476</f>
        <v>Medical</v>
      </c>
      <c r="G476">
        <f>RAW_DATA!G476</f>
        <v>2</v>
      </c>
      <c r="H476">
        <f>RAW_DATA!H476</f>
        <v>4</v>
      </c>
      <c r="I476" t="str">
        <f>RAW_DATA!I476</f>
        <v>Married</v>
      </c>
      <c r="J476">
        <f>RAW_DATA!J476</f>
        <v>2725</v>
      </c>
      <c r="K476">
        <f>RAW_DATA!K476</f>
        <v>1</v>
      </c>
      <c r="L476">
        <f>RAW_DATA!L476</f>
        <v>3</v>
      </c>
      <c r="M476">
        <f>RAW_DATA!M476</f>
        <v>6</v>
      </c>
      <c r="N476">
        <f t="shared" si="14"/>
        <v>0</v>
      </c>
      <c r="O476" t="str">
        <f xml:space="preserve"> VLOOKUP(A476, Lookup_Tables!$G$2:$H$6,2,TRUE)</f>
        <v>&lt;25</v>
      </c>
      <c r="P476" t="str">
        <f>_xlfn.XLOOKUP(J476,Lookup_Tables!$J$2:$J$4,Lookup_Tables!$K$2:$K$4, " ",-1)</f>
        <v>Low</v>
      </c>
      <c r="Q476" t="str">
        <f xml:space="preserve"> _xlfn.XLOOKUP(M476, Lookup_Tables!$M$2:$M$5,Lookup_Tables!$N$2:$N$5," ", -1)</f>
        <v>Established (5-10)</v>
      </c>
      <c r="R476" s="4">
        <f t="shared" si="15"/>
        <v>3</v>
      </c>
      <c r="S476" t="str">
        <f xml:space="preserve"> _xlfn.XLOOKUP( E476, Lookup_Tables!$A$2:$A$6,Lookup_Tables!$B$2:$B$6," ", -1)</f>
        <v>Bachelor</v>
      </c>
      <c r="T476" t="str">
        <f>_xlfn.XLOOKUP(G476,Lookup_Tables!$D$2:$D$5,Lookup_Tables!$E$2:$E$5)</f>
        <v>Medium</v>
      </c>
      <c r="U476" t="str">
        <f>_xlfn.XLOOKUP(H476,Lookup_Tables!$D$2:$D$5,Lookup_Tables!$E$2:$E$5)</f>
        <v>Very High</v>
      </c>
      <c r="V476" t="str">
        <f>_xlfn.XLOOKUP(L476,Lookup_Tables!$D$2:$D$5,Lookup_Tables!$E$2:$E$5)</f>
        <v>High</v>
      </c>
    </row>
    <row r="477" spans="1:22">
      <c r="A477">
        <f>RAW_DATA!A477</f>
        <v>26</v>
      </c>
      <c r="B477" t="str">
        <f>RAW_DATA!B477</f>
        <v>No</v>
      </c>
      <c r="C477" t="str">
        <f>RAW_DATA!C477</f>
        <v>Sales</v>
      </c>
      <c r="D477">
        <f>RAW_DATA!D477</f>
        <v>28</v>
      </c>
      <c r="E477">
        <f>RAW_DATA!E477</f>
        <v>2</v>
      </c>
      <c r="F477" t="str">
        <f>RAW_DATA!F477</f>
        <v>Marketing</v>
      </c>
      <c r="G477">
        <f>RAW_DATA!G477</f>
        <v>1</v>
      </c>
      <c r="H477">
        <f>RAW_DATA!H477</f>
        <v>2</v>
      </c>
      <c r="I477" t="str">
        <f>RAW_DATA!I477</f>
        <v>Married</v>
      </c>
      <c r="J477">
        <f>RAW_DATA!J477</f>
        <v>6272</v>
      </c>
      <c r="K477">
        <f>RAW_DATA!K477</f>
        <v>1</v>
      </c>
      <c r="L477">
        <f>RAW_DATA!L477</f>
        <v>4</v>
      </c>
      <c r="M477">
        <f>RAW_DATA!M477</f>
        <v>5</v>
      </c>
      <c r="N477">
        <f t="shared" si="14"/>
        <v>0</v>
      </c>
      <c r="O477" t="str">
        <f xml:space="preserve"> VLOOKUP(A477, Lookup_Tables!$G$2:$H$6,2,TRUE)</f>
        <v>25-34</v>
      </c>
      <c r="P477" t="str">
        <f>_xlfn.XLOOKUP(J477,Lookup_Tables!$J$2:$J$4,Lookup_Tables!$K$2:$K$4, " ",-1)</f>
        <v>Medium</v>
      </c>
      <c r="Q477" t="str">
        <f xml:space="preserve"> _xlfn.XLOOKUP(M477, Lookup_Tables!$M$2:$M$5,Lookup_Tables!$N$2:$N$5," ", -1)</f>
        <v>Established (5-10)</v>
      </c>
      <c r="R477" s="4">
        <f t="shared" si="15"/>
        <v>2.3333333333333335</v>
      </c>
      <c r="S477" t="str">
        <f xml:space="preserve"> _xlfn.XLOOKUP( E477, Lookup_Tables!$A$2:$A$6,Lookup_Tables!$B$2:$B$6," ", -1)</f>
        <v>College</v>
      </c>
      <c r="T477" t="str">
        <f>_xlfn.XLOOKUP(G477,Lookup_Tables!$D$2:$D$5,Lookup_Tables!$E$2:$E$5)</f>
        <v>Low</v>
      </c>
      <c r="U477" t="str">
        <f>_xlfn.XLOOKUP(H477,Lookup_Tables!$D$2:$D$5,Lookup_Tables!$E$2:$E$5)</f>
        <v>Medium</v>
      </c>
      <c r="V477" t="str">
        <f>_xlfn.XLOOKUP(L477,Lookup_Tables!$D$2:$D$5,Lookup_Tables!$E$2:$E$5)</f>
        <v>Very High</v>
      </c>
    </row>
    <row r="478" spans="1:22">
      <c r="A478">
        <f>RAW_DATA!A478</f>
        <v>24</v>
      </c>
      <c r="B478" t="str">
        <f>RAW_DATA!B478</f>
        <v>No</v>
      </c>
      <c r="C478" t="str">
        <f>RAW_DATA!C478</f>
        <v>Research &amp; Development</v>
      </c>
      <c r="D478">
        <f>RAW_DATA!D478</f>
        <v>17</v>
      </c>
      <c r="E478">
        <f>RAW_DATA!E478</f>
        <v>2</v>
      </c>
      <c r="F478" t="str">
        <f>RAW_DATA!F478</f>
        <v>Other</v>
      </c>
      <c r="G478">
        <f>RAW_DATA!G478</f>
        <v>4</v>
      </c>
      <c r="H478">
        <f>RAW_DATA!H478</f>
        <v>2</v>
      </c>
      <c r="I478" t="str">
        <f>RAW_DATA!I478</f>
        <v>Married</v>
      </c>
      <c r="J478">
        <f>RAW_DATA!J478</f>
        <v>2127</v>
      </c>
      <c r="K478">
        <f>RAW_DATA!K478</f>
        <v>1</v>
      </c>
      <c r="L478">
        <f>RAW_DATA!L478</f>
        <v>3</v>
      </c>
      <c r="M478">
        <f>RAW_DATA!M478</f>
        <v>1</v>
      </c>
      <c r="N478">
        <f t="shared" si="14"/>
        <v>0</v>
      </c>
      <c r="O478" t="str">
        <f xml:space="preserve"> VLOOKUP(A478, Lookup_Tables!$G$2:$H$6,2,TRUE)</f>
        <v>&lt;25</v>
      </c>
      <c r="P478" t="str">
        <f>_xlfn.XLOOKUP(J478,Lookup_Tables!$J$2:$J$4,Lookup_Tables!$K$2:$K$4, " ",-1)</f>
        <v>Low</v>
      </c>
      <c r="Q478" t="str">
        <f xml:space="preserve"> _xlfn.XLOOKUP(M478, Lookup_Tables!$M$2:$M$5,Lookup_Tables!$N$2:$N$5," ", -1)</f>
        <v>New (0-2)</v>
      </c>
      <c r="R478" s="4">
        <f t="shared" si="15"/>
        <v>3</v>
      </c>
      <c r="S478" t="str">
        <f xml:space="preserve"> _xlfn.XLOOKUP( E478, Lookup_Tables!$A$2:$A$6,Lookup_Tables!$B$2:$B$6," ", -1)</f>
        <v>College</v>
      </c>
      <c r="T478" t="str">
        <f>_xlfn.XLOOKUP(G478,Lookup_Tables!$D$2:$D$5,Lookup_Tables!$E$2:$E$5)</f>
        <v>Very High</v>
      </c>
      <c r="U478" t="str">
        <f>_xlfn.XLOOKUP(H478,Lookup_Tables!$D$2:$D$5,Lookup_Tables!$E$2:$E$5)</f>
        <v>Medium</v>
      </c>
      <c r="V478" t="str">
        <f>_xlfn.XLOOKUP(L478,Lookup_Tables!$D$2:$D$5,Lookup_Tables!$E$2:$E$5)</f>
        <v>High</v>
      </c>
    </row>
    <row r="479" spans="1:22">
      <c r="A479">
        <f>RAW_DATA!A479</f>
        <v>50</v>
      </c>
      <c r="B479" t="str">
        <f>RAW_DATA!B479</f>
        <v>No</v>
      </c>
      <c r="C479" t="str">
        <f>RAW_DATA!C479</f>
        <v>Human Resources</v>
      </c>
      <c r="D479">
        <f>RAW_DATA!D479</f>
        <v>3</v>
      </c>
      <c r="E479">
        <f>RAW_DATA!E479</f>
        <v>3</v>
      </c>
      <c r="F479" t="str">
        <f>RAW_DATA!F479</f>
        <v>Medical</v>
      </c>
      <c r="G479">
        <f>RAW_DATA!G479</f>
        <v>1</v>
      </c>
      <c r="H479">
        <f>RAW_DATA!H479</f>
        <v>2</v>
      </c>
      <c r="I479" t="str">
        <f>RAW_DATA!I479</f>
        <v>Married</v>
      </c>
      <c r="J479">
        <f>RAW_DATA!J479</f>
        <v>18200</v>
      </c>
      <c r="K479">
        <f>RAW_DATA!K479</f>
        <v>1</v>
      </c>
      <c r="L479">
        <f>RAW_DATA!L479</f>
        <v>3</v>
      </c>
      <c r="M479">
        <f>RAW_DATA!M479</f>
        <v>32</v>
      </c>
      <c r="N479">
        <f t="shared" si="14"/>
        <v>0</v>
      </c>
      <c r="O479" t="str">
        <f xml:space="preserve"> VLOOKUP(A479, Lookup_Tables!$G$2:$H$6,2,TRUE)</f>
        <v>45-54</v>
      </c>
      <c r="P479" t="str">
        <f>_xlfn.XLOOKUP(J479,Lookup_Tables!$J$2:$J$4,Lookup_Tables!$K$2:$K$4, " ",-1)</f>
        <v>High</v>
      </c>
      <c r="Q479" t="str">
        <f xml:space="preserve"> _xlfn.XLOOKUP(M479, Lookup_Tables!$M$2:$M$5,Lookup_Tables!$N$2:$N$5," ", -1)</f>
        <v>Veteran (10+)</v>
      </c>
      <c r="R479" s="4">
        <f t="shared" si="15"/>
        <v>2</v>
      </c>
      <c r="S479" t="str">
        <f xml:space="preserve"> _xlfn.XLOOKUP( E479, Lookup_Tables!$A$2:$A$6,Lookup_Tables!$B$2:$B$6," ", -1)</f>
        <v>Bachelor</v>
      </c>
      <c r="T479" t="str">
        <f>_xlfn.XLOOKUP(G479,Lookup_Tables!$D$2:$D$5,Lookup_Tables!$E$2:$E$5)</f>
        <v>Low</v>
      </c>
      <c r="U479" t="str">
        <f>_xlfn.XLOOKUP(H479,Lookup_Tables!$D$2:$D$5,Lookup_Tables!$E$2:$E$5)</f>
        <v>Medium</v>
      </c>
      <c r="V479" t="str">
        <f>_xlfn.XLOOKUP(L479,Lookup_Tables!$D$2:$D$5,Lookup_Tables!$E$2:$E$5)</f>
        <v>High</v>
      </c>
    </row>
    <row r="480" spans="1:22">
      <c r="A480">
        <f>RAW_DATA!A480</f>
        <v>25</v>
      </c>
      <c r="B480" t="str">
        <f>RAW_DATA!B480</f>
        <v>No</v>
      </c>
      <c r="C480" t="str">
        <f>RAW_DATA!C480</f>
        <v>Sales</v>
      </c>
      <c r="D480">
        <f>RAW_DATA!D480</f>
        <v>13</v>
      </c>
      <c r="E480">
        <f>RAW_DATA!E480</f>
        <v>1</v>
      </c>
      <c r="F480" t="str">
        <f>RAW_DATA!F480</f>
        <v>Medical</v>
      </c>
      <c r="G480">
        <f>RAW_DATA!G480</f>
        <v>2</v>
      </c>
      <c r="H480">
        <f>RAW_DATA!H480</f>
        <v>3</v>
      </c>
      <c r="I480" t="str">
        <f>RAW_DATA!I480</f>
        <v>Married</v>
      </c>
      <c r="J480">
        <f>RAW_DATA!J480</f>
        <v>2096</v>
      </c>
      <c r="K480">
        <f>RAW_DATA!K480</f>
        <v>1</v>
      </c>
      <c r="L480">
        <f>RAW_DATA!L480</f>
        <v>3</v>
      </c>
      <c r="M480">
        <f>RAW_DATA!M480</f>
        <v>7</v>
      </c>
      <c r="N480">
        <f t="shared" si="14"/>
        <v>0</v>
      </c>
      <c r="O480" t="str">
        <f xml:space="preserve"> VLOOKUP(A480, Lookup_Tables!$G$2:$H$6,2,TRUE)</f>
        <v>25-34</v>
      </c>
      <c r="P480" t="str">
        <f>_xlfn.XLOOKUP(J480,Lookup_Tables!$J$2:$J$4,Lookup_Tables!$K$2:$K$4, " ",-1)</f>
        <v>Low</v>
      </c>
      <c r="Q480" t="str">
        <f xml:space="preserve"> _xlfn.XLOOKUP(M480, Lookup_Tables!$M$2:$M$5,Lookup_Tables!$N$2:$N$5," ", -1)</f>
        <v>Established (5-10)</v>
      </c>
      <c r="R480" s="4">
        <f t="shared" si="15"/>
        <v>2.6666666666666665</v>
      </c>
      <c r="S480" t="str">
        <f xml:space="preserve"> _xlfn.XLOOKUP( E480, Lookup_Tables!$A$2:$A$6,Lookup_Tables!$B$2:$B$6," ", -1)</f>
        <v>Below College</v>
      </c>
      <c r="T480" t="str">
        <f>_xlfn.XLOOKUP(G480,Lookup_Tables!$D$2:$D$5,Lookup_Tables!$E$2:$E$5)</f>
        <v>Medium</v>
      </c>
      <c r="U480" t="str">
        <f>_xlfn.XLOOKUP(H480,Lookup_Tables!$D$2:$D$5,Lookup_Tables!$E$2:$E$5)</f>
        <v>High</v>
      </c>
      <c r="V480" t="str">
        <f>_xlfn.XLOOKUP(L480,Lookup_Tables!$D$2:$D$5,Lookup_Tables!$E$2:$E$5)</f>
        <v>High</v>
      </c>
    </row>
    <row r="481" spans="1:22">
      <c r="A481">
        <f>RAW_DATA!A481</f>
        <v>24</v>
      </c>
      <c r="B481" t="str">
        <f>RAW_DATA!B481</f>
        <v>Yes</v>
      </c>
      <c r="C481" t="str">
        <f>RAW_DATA!C481</f>
        <v>Research &amp; Development</v>
      </c>
      <c r="D481">
        <f>RAW_DATA!D481</f>
        <v>7</v>
      </c>
      <c r="E481">
        <f>RAW_DATA!E481</f>
        <v>3</v>
      </c>
      <c r="F481" t="str">
        <f>RAW_DATA!F481</f>
        <v>Life Sciences</v>
      </c>
      <c r="G481">
        <f>RAW_DATA!G481</f>
        <v>1</v>
      </c>
      <c r="H481">
        <f>RAW_DATA!H481</f>
        <v>3</v>
      </c>
      <c r="I481" t="str">
        <f>RAW_DATA!I481</f>
        <v>Married</v>
      </c>
      <c r="J481">
        <f>RAW_DATA!J481</f>
        <v>2886</v>
      </c>
      <c r="K481">
        <f>RAW_DATA!K481</f>
        <v>1</v>
      </c>
      <c r="L481">
        <f>RAW_DATA!L481</f>
        <v>3</v>
      </c>
      <c r="M481">
        <f>RAW_DATA!M481</f>
        <v>6</v>
      </c>
      <c r="N481">
        <f t="shared" si="14"/>
        <v>1</v>
      </c>
      <c r="O481" t="str">
        <f xml:space="preserve"> VLOOKUP(A481, Lookup_Tables!$G$2:$H$6,2,TRUE)</f>
        <v>&lt;25</v>
      </c>
      <c r="P481" t="str">
        <f>_xlfn.XLOOKUP(J481,Lookup_Tables!$J$2:$J$4,Lookup_Tables!$K$2:$K$4, " ",-1)</f>
        <v>Low</v>
      </c>
      <c r="Q481" t="str">
        <f xml:space="preserve"> _xlfn.XLOOKUP(M481, Lookup_Tables!$M$2:$M$5,Lookup_Tables!$N$2:$N$5," ", -1)</f>
        <v>Established (5-10)</v>
      </c>
      <c r="R481" s="4">
        <f t="shared" si="15"/>
        <v>2.3333333333333335</v>
      </c>
      <c r="S481" t="str">
        <f xml:space="preserve"> _xlfn.XLOOKUP( E481, Lookup_Tables!$A$2:$A$6,Lookup_Tables!$B$2:$B$6," ", -1)</f>
        <v>Bachelor</v>
      </c>
      <c r="T481" t="str">
        <f>_xlfn.XLOOKUP(G481,Lookup_Tables!$D$2:$D$5,Lookup_Tables!$E$2:$E$5)</f>
        <v>Low</v>
      </c>
      <c r="U481" t="str">
        <f>_xlfn.XLOOKUP(H481,Lookup_Tables!$D$2:$D$5,Lookup_Tables!$E$2:$E$5)</f>
        <v>High</v>
      </c>
      <c r="V481" t="str">
        <f>_xlfn.XLOOKUP(L481,Lookup_Tables!$D$2:$D$5,Lookup_Tables!$E$2:$E$5)</f>
        <v>High</v>
      </c>
    </row>
    <row r="482" spans="1:22">
      <c r="A482">
        <f>RAW_DATA!A482</f>
        <v>30</v>
      </c>
      <c r="B482" t="str">
        <f>RAW_DATA!B482</f>
        <v>Yes</v>
      </c>
      <c r="C482" t="str">
        <f>RAW_DATA!C482</f>
        <v>Sales</v>
      </c>
      <c r="D482">
        <f>RAW_DATA!D482</f>
        <v>12</v>
      </c>
      <c r="E482">
        <f>RAW_DATA!E482</f>
        <v>4</v>
      </c>
      <c r="F482" t="str">
        <f>RAW_DATA!F482</f>
        <v>Life Sciences</v>
      </c>
      <c r="G482">
        <f>RAW_DATA!G482</f>
        <v>2</v>
      </c>
      <c r="H482">
        <f>RAW_DATA!H482</f>
        <v>1</v>
      </c>
      <c r="I482" t="str">
        <f>RAW_DATA!I482</f>
        <v>Married</v>
      </c>
      <c r="J482">
        <f>RAW_DATA!J482</f>
        <v>2033</v>
      </c>
      <c r="K482">
        <f>RAW_DATA!K482</f>
        <v>1</v>
      </c>
      <c r="L482">
        <f>RAW_DATA!L482</f>
        <v>4</v>
      </c>
      <c r="M482">
        <f>RAW_DATA!M482</f>
        <v>1</v>
      </c>
      <c r="N482">
        <f t="shared" si="14"/>
        <v>1</v>
      </c>
      <c r="O482" t="str">
        <f xml:space="preserve"> VLOOKUP(A482, Lookup_Tables!$G$2:$H$6,2,TRUE)</f>
        <v>25-34</v>
      </c>
      <c r="P482" t="str">
        <f>_xlfn.XLOOKUP(J482,Lookup_Tables!$J$2:$J$4,Lookup_Tables!$K$2:$K$4, " ",-1)</f>
        <v>Low</v>
      </c>
      <c r="Q482" t="str">
        <f xml:space="preserve"> _xlfn.XLOOKUP(M482, Lookup_Tables!$M$2:$M$5,Lookup_Tables!$N$2:$N$5," ", -1)</f>
        <v>New (0-2)</v>
      </c>
      <c r="R482" s="4">
        <f t="shared" si="15"/>
        <v>2.3333333333333335</v>
      </c>
      <c r="S482" t="str">
        <f xml:space="preserve"> _xlfn.XLOOKUP( E482, Lookup_Tables!$A$2:$A$6,Lookup_Tables!$B$2:$B$6," ", -1)</f>
        <v>Master</v>
      </c>
      <c r="T482" t="str">
        <f>_xlfn.XLOOKUP(G482,Lookup_Tables!$D$2:$D$5,Lookup_Tables!$E$2:$E$5)</f>
        <v>Medium</v>
      </c>
      <c r="U482" t="str">
        <f>_xlfn.XLOOKUP(H482,Lookup_Tables!$D$2:$D$5,Lookup_Tables!$E$2:$E$5)</f>
        <v>Low</v>
      </c>
      <c r="V482" t="str">
        <f>_xlfn.XLOOKUP(L482,Lookup_Tables!$D$2:$D$5,Lookup_Tables!$E$2:$E$5)</f>
        <v>Very High</v>
      </c>
    </row>
    <row r="483" spans="1:22">
      <c r="A483">
        <f>RAW_DATA!A483</f>
        <v>34</v>
      </c>
      <c r="B483" t="str">
        <f>RAW_DATA!B483</f>
        <v>No</v>
      </c>
      <c r="C483" t="str">
        <f>RAW_DATA!C483</f>
        <v>Research &amp; Development</v>
      </c>
      <c r="D483">
        <f>RAW_DATA!D483</f>
        <v>1</v>
      </c>
      <c r="E483">
        <f>RAW_DATA!E483</f>
        <v>2</v>
      </c>
      <c r="F483" t="str">
        <f>RAW_DATA!F483</f>
        <v>Life Sciences</v>
      </c>
      <c r="G483">
        <f>RAW_DATA!G483</f>
        <v>2</v>
      </c>
      <c r="H483">
        <f>RAW_DATA!H483</f>
        <v>4</v>
      </c>
      <c r="I483" t="str">
        <f>RAW_DATA!I483</f>
        <v>Married</v>
      </c>
      <c r="J483">
        <f>RAW_DATA!J483</f>
        <v>3622</v>
      </c>
      <c r="K483">
        <f>RAW_DATA!K483</f>
        <v>1</v>
      </c>
      <c r="L483">
        <f>RAW_DATA!L483</f>
        <v>3</v>
      </c>
      <c r="M483">
        <f>RAW_DATA!M483</f>
        <v>6</v>
      </c>
      <c r="N483">
        <f t="shared" si="14"/>
        <v>0</v>
      </c>
      <c r="O483" t="str">
        <f xml:space="preserve"> VLOOKUP(A483, Lookup_Tables!$G$2:$H$6,2,TRUE)</f>
        <v>25-34</v>
      </c>
      <c r="P483" t="str">
        <f>_xlfn.XLOOKUP(J483,Lookup_Tables!$J$2:$J$4,Lookup_Tables!$K$2:$K$4, " ",-1)</f>
        <v>Medium</v>
      </c>
      <c r="Q483" t="str">
        <f xml:space="preserve"> _xlfn.XLOOKUP(M483, Lookup_Tables!$M$2:$M$5,Lookup_Tables!$N$2:$N$5," ", -1)</f>
        <v>Established (5-10)</v>
      </c>
      <c r="R483" s="4">
        <f t="shared" si="15"/>
        <v>3</v>
      </c>
      <c r="S483" t="str">
        <f xml:space="preserve"> _xlfn.XLOOKUP( E483, Lookup_Tables!$A$2:$A$6,Lookup_Tables!$B$2:$B$6," ", -1)</f>
        <v>College</v>
      </c>
      <c r="T483" t="str">
        <f>_xlfn.XLOOKUP(G483,Lookup_Tables!$D$2:$D$5,Lookup_Tables!$E$2:$E$5)</f>
        <v>Medium</v>
      </c>
      <c r="U483" t="str">
        <f>_xlfn.XLOOKUP(H483,Lookup_Tables!$D$2:$D$5,Lookup_Tables!$E$2:$E$5)</f>
        <v>Very High</v>
      </c>
      <c r="V483" t="str">
        <f>_xlfn.XLOOKUP(L483,Lookup_Tables!$D$2:$D$5,Lookup_Tables!$E$2:$E$5)</f>
        <v>High</v>
      </c>
    </row>
    <row r="484" spans="1:22">
      <c r="A484">
        <f>RAW_DATA!A484</f>
        <v>31</v>
      </c>
      <c r="B484" t="str">
        <f>RAW_DATA!B484</f>
        <v>Yes</v>
      </c>
      <c r="C484" t="str">
        <f>RAW_DATA!C484</f>
        <v>Sales</v>
      </c>
      <c r="D484">
        <f>RAW_DATA!D484</f>
        <v>13</v>
      </c>
      <c r="E484">
        <f>RAW_DATA!E484</f>
        <v>4</v>
      </c>
      <c r="F484" t="str">
        <f>RAW_DATA!F484</f>
        <v>Medical</v>
      </c>
      <c r="G484">
        <f>RAW_DATA!G484</f>
        <v>2</v>
      </c>
      <c r="H484">
        <f>RAW_DATA!H484</f>
        <v>1</v>
      </c>
      <c r="I484" t="str">
        <f>RAW_DATA!I484</f>
        <v>Divorced</v>
      </c>
      <c r="J484">
        <f>RAW_DATA!J484</f>
        <v>4233</v>
      </c>
      <c r="K484">
        <f>RAW_DATA!K484</f>
        <v>2</v>
      </c>
      <c r="L484">
        <f>RAW_DATA!L484</f>
        <v>1</v>
      </c>
      <c r="M484">
        <f>RAW_DATA!M484</f>
        <v>3</v>
      </c>
      <c r="N484">
        <f t="shared" si="14"/>
        <v>1</v>
      </c>
      <c r="O484" t="str">
        <f xml:space="preserve"> VLOOKUP(A484, Lookup_Tables!$G$2:$H$6,2,TRUE)</f>
        <v>25-34</v>
      </c>
      <c r="P484" t="str">
        <f>_xlfn.XLOOKUP(J484,Lookup_Tables!$J$2:$J$4,Lookup_Tables!$K$2:$K$4, " ",-1)</f>
        <v>Medium</v>
      </c>
      <c r="Q484" t="str">
        <f xml:space="preserve"> _xlfn.XLOOKUP(M484, Lookup_Tables!$M$2:$M$5,Lookup_Tables!$N$2:$N$5," ", -1)</f>
        <v>Early (2-5)</v>
      </c>
      <c r="R484" s="4">
        <f t="shared" si="15"/>
        <v>1.3333333333333333</v>
      </c>
      <c r="S484" t="str">
        <f xml:space="preserve"> _xlfn.XLOOKUP( E484, Lookup_Tables!$A$2:$A$6,Lookup_Tables!$B$2:$B$6," ", -1)</f>
        <v>Master</v>
      </c>
      <c r="T484" t="str">
        <f>_xlfn.XLOOKUP(G484,Lookup_Tables!$D$2:$D$5,Lookup_Tables!$E$2:$E$5)</f>
        <v>Medium</v>
      </c>
      <c r="U484" t="str">
        <f>_xlfn.XLOOKUP(H484,Lookup_Tables!$D$2:$D$5,Lookup_Tables!$E$2:$E$5)</f>
        <v>Low</v>
      </c>
      <c r="V484" t="str">
        <f>_xlfn.XLOOKUP(L484,Lookup_Tables!$D$2:$D$5,Lookup_Tables!$E$2:$E$5)</f>
        <v>Low</v>
      </c>
    </row>
    <row r="485" spans="1:22">
      <c r="A485">
        <f>RAW_DATA!A485</f>
        <v>35</v>
      </c>
      <c r="B485" t="str">
        <f>RAW_DATA!B485</f>
        <v>No</v>
      </c>
      <c r="C485" t="str">
        <f>RAW_DATA!C485</f>
        <v>Research &amp; Development</v>
      </c>
      <c r="D485">
        <f>RAW_DATA!D485</f>
        <v>25</v>
      </c>
      <c r="E485">
        <f>RAW_DATA!E485</f>
        <v>2</v>
      </c>
      <c r="F485" t="str">
        <f>RAW_DATA!F485</f>
        <v>Other</v>
      </c>
      <c r="G485">
        <f>RAW_DATA!G485</f>
        <v>1</v>
      </c>
      <c r="H485">
        <f>RAW_DATA!H485</f>
        <v>4</v>
      </c>
      <c r="I485" t="str">
        <f>RAW_DATA!I485</f>
        <v>Single</v>
      </c>
      <c r="J485">
        <f>RAW_DATA!J485</f>
        <v>3681</v>
      </c>
      <c r="K485">
        <f>RAW_DATA!K485</f>
        <v>4</v>
      </c>
      <c r="L485">
        <f>RAW_DATA!L485</f>
        <v>3</v>
      </c>
      <c r="M485">
        <f>RAW_DATA!M485</f>
        <v>3</v>
      </c>
      <c r="N485">
        <f t="shared" si="14"/>
        <v>0</v>
      </c>
      <c r="O485" t="str">
        <f xml:space="preserve"> VLOOKUP(A485, Lookup_Tables!$G$2:$H$6,2,TRUE)</f>
        <v>35-44</v>
      </c>
      <c r="P485" t="str">
        <f>_xlfn.XLOOKUP(J485,Lookup_Tables!$J$2:$J$4,Lookup_Tables!$K$2:$K$4, " ",-1)</f>
        <v>Medium</v>
      </c>
      <c r="Q485" t="str">
        <f xml:space="preserve"> _xlfn.XLOOKUP(M485, Lookup_Tables!$M$2:$M$5,Lookup_Tables!$N$2:$N$5," ", -1)</f>
        <v>Early (2-5)</v>
      </c>
      <c r="R485" s="4">
        <f t="shared" si="15"/>
        <v>2.6666666666666665</v>
      </c>
      <c r="S485" t="str">
        <f xml:space="preserve"> _xlfn.XLOOKUP( E485, Lookup_Tables!$A$2:$A$6,Lookup_Tables!$B$2:$B$6," ", -1)</f>
        <v>College</v>
      </c>
      <c r="T485" t="str">
        <f>_xlfn.XLOOKUP(G485,Lookup_Tables!$D$2:$D$5,Lookup_Tables!$E$2:$E$5)</f>
        <v>Low</v>
      </c>
      <c r="U485" t="str">
        <f>_xlfn.XLOOKUP(H485,Lookup_Tables!$D$2:$D$5,Lookup_Tables!$E$2:$E$5)</f>
        <v>Very High</v>
      </c>
      <c r="V485" t="str">
        <f>_xlfn.XLOOKUP(L485,Lookup_Tables!$D$2:$D$5,Lookup_Tables!$E$2:$E$5)</f>
        <v>High</v>
      </c>
    </row>
    <row r="486" spans="1:22">
      <c r="A486">
        <f>RAW_DATA!A486</f>
        <v>31</v>
      </c>
      <c r="B486" t="str">
        <f>RAW_DATA!B486</f>
        <v>No</v>
      </c>
      <c r="C486" t="str">
        <f>RAW_DATA!C486</f>
        <v>Sales</v>
      </c>
      <c r="D486">
        <f>RAW_DATA!D486</f>
        <v>6</v>
      </c>
      <c r="E486">
        <f>RAW_DATA!E486</f>
        <v>4</v>
      </c>
      <c r="F486" t="str">
        <f>RAW_DATA!F486</f>
        <v>Medical</v>
      </c>
      <c r="G486">
        <f>RAW_DATA!G486</f>
        <v>1</v>
      </c>
      <c r="H486">
        <f>RAW_DATA!H486</f>
        <v>4</v>
      </c>
      <c r="I486" t="str">
        <f>RAW_DATA!I486</f>
        <v>Divorced</v>
      </c>
      <c r="J486">
        <f>RAW_DATA!J486</f>
        <v>5460</v>
      </c>
      <c r="K486">
        <f>RAW_DATA!K486</f>
        <v>4</v>
      </c>
      <c r="L486">
        <f>RAW_DATA!L486</f>
        <v>4</v>
      </c>
      <c r="M486">
        <f>RAW_DATA!M486</f>
        <v>7</v>
      </c>
      <c r="N486">
        <f t="shared" si="14"/>
        <v>0</v>
      </c>
      <c r="O486" t="str">
        <f xml:space="preserve"> VLOOKUP(A486, Lookup_Tables!$G$2:$H$6,2,TRUE)</f>
        <v>25-34</v>
      </c>
      <c r="P486" t="str">
        <f>_xlfn.XLOOKUP(J486,Lookup_Tables!$J$2:$J$4,Lookup_Tables!$K$2:$K$4, " ",-1)</f>
        <v>Medium</v>
      </c>
      <c r="Q486" t="str">
        <f xml:space="preserve"> _xlfn.XLOOKUP(M486, Lookup_Tables!$M$2:$M$5,Lookup_Tables!$N$2:$N$5," ", -1)</f>
        <v>Established (5-10)</v>
      </c>
      <c r="R486" s="4">
        <f t="shared" si="15"/>
        <v>3</v>
      </c>
      <c r="S486" t="str">
        <f xml:space="preserve"> _xlfn.XLOOKUP( E486, Lookup_Tables!$A$2:$A$6,Lookup_Tables!$B$2:$B$6," ", -1)</f>
        <v>Master</v>
      </c>
      <c r="T486" t="str">
        <f>_xlfn.XLOOKUP(G486,Lookup_Tables!$D$2:$D$5,Lookup_Tables!$E$2:$E$5)</f>
        <v>Low</v>
      </c>
      <c r="U486" t="str">
        <f>_xlfn.XLOOKUP(H486,Lookup_Tables!$D$2:$D$5,Lookup_Tables!$E$2:$E$5)</f>
        <v>Very High</v>
      </c>
      <c r="V486" t="str">
        <f>_xlfn.XLOOKUP(L486,Lookup_Tables!$D$2:$D$5,Lookup_Tables!$E$2:$E$5)</f>
        <v>Very High</v>
      </c>
    </row>
    <row r="487" spans="1:22">
      <c r="A487">
        <f>RAW_DATA!A487</f>
        <v>27</v>
      </c>
      <c r="B487" t="str">
        <f>RAW_DATA!B487</f>
        <v>No</v>
      </c>
      <c r="C487" t="str">
        <f>RAW_DATA!C487</f>
        <v>Research &amp; Development</v>
      </c>
      <c r="D487">
        <f>RAW_DATA!D487</f>
        <v>6</v>
      </c>
      <c r="E487">
        <f>RAW_DATA!E487</f>
        <v>4</v>
      </c>
      <c r="F487" t="str">
        <f>RAW_DATA!F487</f>
        <v>Medical</v>
      </c>
      <c r="G487">
        <f>RAW_DATA!G487</f>
        <v>1</v>
      </c>
      <c r="H487">
        <f>RAW_DATA!H487</f>
        <v>3</v>
      </c>
      <c r="I487" t="str">
        <f>RAW_DATA!I487</f>
        <v>Divorced</v>
      </c>
      <c r="J487">
        <f>RAW_DATA!J487</f>
        <v>2187</v>
      </c>
      <c r="K487">
        <f>RAW_DATA!K487</f>
        <v>0</v>
      </c>
      <c r="L487">
        <f>RAW_DATA!L487</f>
        <v>2</v>
      </c>
      <c r="M487">
        <f>RAW_DATA!M487</f>
        <v>5</v>
      </c>
      <c r="N487">
        <f t="shared" si="14"/>
        <v>0</v>
      </c>
      <c r="O487" t="str">
        <f xml:space="preserve"> VLOOKUP(A487, Lookup_Tables!$G$2:$H$6,2,TRUE)</f>
        <v>25-34</v>
      </c>
      <c r="P487" t="str">
        <f>_xlfn.XLOOKUP(J487,Lookup_Tables!$J$2:$J$4,Lookup_Tables!$K$2:$K$4, " ",-1)</f>
        <v>Low</v>
      </c>
      <c r="Q487" t="str">
        <f xml:space="preserve"> _xlfn.XLOOKUP(M487, Lookup_Tables!$M$2:$M$5,Lookup_Tables!$N$2:$N$5," ", -1)</f>
        <v>Established (5-10)</v>
      </c>
      <c r="R487" s="4">
        <f t="shared" si="15"/>
        <v>2</v>
      </c>
      <c r="S487" t="str">
        <f xml:space="preserve"> _xlfn.XLOOKUP( E487, Lookup_Tables!$A$2:$A$6,Lookup_Tables!$B$2:$B$6," ", -1)</f>
        <v>Master</v>
      </c>
      <c r="T487" t="str">
        <f>_xlfn.XLOOKUP(G487,Lookup_Tables!$D$2:$D$5,Lookup_Tables!$E$2:$E$5)</f>
        <v>Low</v>
      </c>
      <c r="U487" t="str">
        <f>_xlfn.XLOOKUP(H487,Lookup_Tables!$D$2:$D$5,Lookup_Tables!$E$2:$E$5)</f>
        <v>High</v>
      </c>
      <c r="V487" t="str">
        <f>_xlfn.XLOOKUP(L487,Lookup_Tables!$D$2:$D$5,Lookup_Tables!$E$2:$E$5)</f>
        <v>Medium</v>
      </c>
    </row>
    <row r="488" spans="1:22">
      <c r="A488">
        <f>RAW_DATA!A488</f>
        <v>37</v>
      </c>
      <c r="B488" t="str">
        <f>RAW_DATA!B488</f>
        <v>No</v>
      </c>
      <c r="C488" t="str">
        <f>RAW_DATA!C488</f>
        <v>Sales</v>
      </c>
      <c r="D488">
        <f>RAW_DATA!D488</f>
        <v>2</v>
      </c>
      <c r="E488">
        <f>RAW_DATA!E488</f>
        <v>3</v>
      </c>
      <c r="F488" t="str">
        <f>RAW_DATA!F488</f>
        <v>Marketing</v>
      </c>
      <c r="G488">
        <f>RAW_DATA!G488</f>
        <v>4</v>
      </c>
      <c r="H488">
        <f>RAW_DATA!H488</f>
        <v>3</v>
      </c>
      <c r="I488" t="str">
        <f>RAW_DATA!I488</f>
        <v>Married</v>
      </c>
      <c r="J488">
        <f>RAW_DATA!J488</f>
        <v>9602</v>
      </c>
      <c r="K488">
        <f>RAW_DATA!K488</f>
        <v>4</v>
      </c>
      <c r="L488">
        <f>RAW_DATA!L488</f>
        <v>2</v>
      </c>
      <c r="M488">
        <f>RAW_DATA!M488</f>
        <v>3</v>
      </c>
      <c r="N488">
        <f t="shared" si="14"/>
        <v>0</v>
      </c>
      <c r="O488" t="str">
        <f xml:space="preserve"> VLOOKUP(A488, Lookup_Tables!$G$2:$H$6,2,TRUE)</f>
        <v>35-44</v>
      </c>
      <c r="P488" t="str">
        <f>_xlfn.XLOOKUP(J488,Lookup_Tables!$J$2:$J$4,Lookup_Tables!$K$2:$K$4, " ",-1)</f>
        <v>High</v>
      </c>
      <c r="Q488" t="str">
        <f xml:space="preserve"> _xlfn.XLOOKUP(M488, Lookup_Tables!$M$2:$M$5,Lookup_Tables!$N$2:$N$5," ", -1)</f>
        <v>Early (2-5)</v>
      </c>
      <c r="R488" s="4">
        <f t="shared" si="15"/>
        <v>3</v>
      </c>
      <c r="S488" t="str">
        <f xml:space="preserve"> _xlfn.XLOOKUP( E488, Lookup_Tables!$A$2:$A$6,Lookup_Tables!$B$2:$B$6," ", -1)</f>
        <v>Bachelor</v>
      </c>
      <c r="T488" t="str">
        <f>_xlfn.XLOOKUP(G488,Lookup_Tables!$D$2:$D$5,Lookup_Tables!$E$2:$E$5)</f>
        <v>Very High</v>
      </c>
      <c r="U488" t="str">
        <f>_xlfn.XLOOKUP(H488,Lookup_Tables!$D$2:$D$5,Lookup_Tables!$E$2:$E$5)</f>
        <v>High</v>
      </c>
      <c r="V488" t="str">
        <f>_xlfn.XLOOKUP(L488,Lookup_Tables!$D$2:$D$5,Lookup_Tables!$E$2:$E$5)</f>
        <v>Medium</v>
      </c>
    </row>
    <row r="489" spans="1:22">
      <c r="A489">
        <f>RAW_DATA!A489</f>
        <v>20</v>
      </c>
      <c r="B489" t="str">
        <f>RAW_DATA!B489</f>
        <v>No</v>
      </c>
      <c r="C489" t="str">
        <f>RAW_DATA!C489</f>
        <v>Research &amp; Development</v>
      </c>
      <c r="D489">
        <f>RAW_DATA!D489</f>
        <v>1</v>
      </c>
      <c r="E489">
        <f>RAW_DATA!E489</f>
        <v>3</v>
      </c>
      <c r="F489" t="str">
        <f>RAW_DATA!F489</f>
        <v>Life Sciences</v>
      </c>
      <c r="G489">
        <f>RAW_DATA!G489</f>
        <v>4</v>
      </c>
      <c r="H489">
        <f>RAW_DATA!H489</f>
        <v>2</v>
      </c>
      <c r="I489" t="str">
        <f>RAW_DATA!I489</f>
        <v>Single</v>
      </c>
      <c r="J489">
        <f>RAW_DATA!J489</f>
        <v>2836</v>
      </c>
      <c r="K489">
        <f>RAW_DATA!K489</f>
        <v>1</v>
      </c>
      <c r="L489">
        <f>RAW_DATA!L489</f>
        <v>4</v>
      </c>
      <c r="M489">
        <f>RAW_DATA!M489</f>
        <v>1</v>
      </c>
      <c r="N489">
        <f t="shared" si="14"/>
        <v>0</v>
      </c>
      <c r="O489" t="str">
        <f xml:space="preserve"> VLOOKUP(A489, Lookup_Tables!$G$2:$H$6,2,TRUE)</f>
        <v>&lt;25</v>
      </c>
      <c r="P489" t="str">
        <f>_xlfn.XLOOKUP(J489,Lookup_Tables!$J$2:$J$4,Lookup_Tables!$K$2:$K$4, " ",-1)</f>
        <v>Low</v>
      </c>
      <c r="Q489" t="str">
        <f xml:space="preserve"> _xlfn.XLOOKUP(M489, Lookup_Tables!$M$2:$M$5,Lookup_Tables!$N$2:$N$5," ", -1)</f>
        <v>New (0-2)</v>
      </c>
      <c r="R489" s="4">
        <f t="shared" si="15"/>
        <v>3.3333333333333335</v>
      </c>
      <c r="S489" t="str">
        <f xml:space="preserve"> _xlfn.XLOOKUP( E489, Lookup_Tables!$A$2:$A$6,Lookup_Tables!$B$2:$B$6," ", -1)</f>
        <v>Bachelor</v>
      </c>
      <c r="T489" t="str">
        <f>_xlfn.XLOOKUP(G489,Lookup_Tables!$D$2:$D$5,Lookup_Tables!$E$2:$E$5)</f>
        <v>Very High</v>
      </c>
      <c r="U489" t="str">
        <f>_xlfn.XLOOKUP(H489,Lookup_Tables!$D$2:$D$5,Lookup_Tables!$E$2:$E$5)</f>
        <v>Medium</v>
      </c>
      <c r="V489" t="str">
        <f>_xlfn.XLOOKUP(L489,Lookup_Tables!$D$2:$D$5,Lookup_Tables!$E$2:$E$5)</f>
        <v>Very High</v>
      </c>
    </row>
    <row r="490" spans="1:22">
      <c r="A490">
        <f>RAW_DATA!A490</f>
        <v>42</v>
      </c>
      <c r="B490" t="str">
        <f>RAW_DATA!B490</f>
        <v>No</v>
      </c>
      <c r="C490" t="str">
        <f>RAW_DATA!C490</f>
        <v>Research &amp; Development</v>
      </c>
      <c r="D490">
        <f>RAW_DATA!D490</f>
        <v>2</v>
      </c>
      <c r="E490">
        <f>RAW_DATA!E490</f>
        <v>4</v>
      </c>
      <c r="F490" t="str">
        <f>RAW_DATA!F490</f>
        <v>Life Sciences</v>
      </c>
      <c r="G490">
        <f>RAW_DATA!G490</f>
        <v>3</v>
      </c>
      <c r="H490">
        <f>RAW_DATA!H490</f>
        <v>4</v>
      </c>
      <c r="I490" t="str">
        <f>RAW_DATA!I490</f>
        <v>Married</v>
      </c>
      <c r="J490">
        <f>RAW_DATA!J490</f>
        <v>4089</v>
      </c>
      <c r="K490">
        <f>RAW_DATA!K490</f>
        <v>1</v>
      </c>
      <c r="L490">
        <f>RAW_DATA!L490</f>
        <v>3</v>
      </c>
      <c r="M490">
        <f>RAW_DATA!M490</f>
        <v>10</v>
      </c>
      <c r="N490">
        <f t="shared" si="14"/>
        <v>0</v>
      </c>
      <c r="O490" t="str">
        <f xml:space="preserve"> VLOOKUP(A490, Lookup_Tables!$G$2:$H$6,2,TRUE)</f>
        <v>35-44</v>
      </c>
      <c r="P490" t="str">
        <f>_xlfn.XLOOKUP(J490,Lookup_Tables!$J$2:$J$4,Lookup_Tables!$K$2:$K$4, " ",-1)</f>
        <v>Medium</v>
      </c>
      <c r="Q490" t="str">
        <f xml:space="preserve"> _xlfn.XLOOKUP(M490, Lookup_Tables!$M$2:$M$5,Lookup_Tables!$N$2:$N$5," ", -1)</f>
        <v>Veteran (10+)</v>
      </c>
      <c r="R490" s="4">
        <f t="shared" si="15"/>
        <v>3.3333333333333335</v>
      </c>
      <c r="S490" t="str">
        <f xml:space="preserve"> _xlfn.XLOOKUP( E490, Lookup_Tables!$A$2:$A$6,Lookup_Tables!$B$2:$B$6," ", -1)</f>
        <v>Master</v>
      </c>
      <c r="T490" t="str">
        <f>_xlfn.XLOOKUP(G490,Lookup_Tables!$D$2:$D$5,Lookup_Tables!$E$2:$E$5)</f>
        <v>High</v>
      </c>
      <c r="U490" t="str">
        <f>_xlfn.XLOOKUP(H490,Lookup_Tables!$D$2:$D$5,Lookup_Tables!$E$2:$E$5)</f>
        <v>Very High</v>
      </c>
      <c r="V490" t="str">
        <f>_xlfn.XLOOKUP(L490,Lookup_Tables!$D$2:$D$5,Lookup_Tables!$E$2:$E$5)</f>
        <v>High</v>
      </c>
    </row>
    <row r="491" spans="1:22">
      <c r="A491">
        <f>RAW_DATA!A491</f>
        <v>43</v>
      </c>
      <c r="B491" t="str">
        <f>RAW_DATA!B491</f>
        <v>No</v>
      </c>
      <c r="C491" t="str">
        <f>RAW_DATA!C491</f>
        <v>Research &amp; Development</v>
      </c>
      <c r="D491">
        <f>RAW_DATA!D491</f>
        <v>6</v>
      </c>
      <c r="E491">
        <f>RAW_DATA!E491</f>
        <v>4</v>
      </c>
      <c r="F491" t="str">
        <f>RAW_DATA!F491</f>
        <v>Other</v>
      </c>
      <c r="G491">
        <f>RAW_DATA!G491</f>
        <v>2</v>
      </c>
      <c r="H491">
        <f>RAW_DATA!H491</f>
        <v>4</v>
      </c>
      <c r="I491" t="str">
        <f>RAW_DATA!I491</f>
        <v>Divorced</v>
      </c>
      <c r="J491">
        <f>RAW_DATA!J491</f>
        <v>16627</v>
      </c>
      <c r="K491">
        <f>RAW_DATA!K491</f>
        <v>4</v>
      </c>
      <c r="L491">
        <f>RAW_DATA!L491</f>
        <v>2</v>
      </c>
      <c r="M491">
        <f>RAW_DATA!M491</f>
        <v>1</v>
      </c>
      <c r="N491">
        <f t="shared" si="14"/>
        <v>0</v>
      </c>
      <c r="O491" t="str">
        <f xml:space="preserve"> VLOOKUP(A491, Lookup_Tables!$G$2:$H$6,2,TRUE)</f>
        <v>35-44</v>
      </c>
      <c r="P491" t="str">
        <f>_xlfn.XLOOKUP(J491,Lookup_Tables!$J$2:$J$4,Lookup_Tables!$K$2:$K$4, " ",-1)</f>
        <v>High</v>
      </c>
      <c r="Q491" t="str">
        <f xml:space="preserve"> _xlfn.XLOOKUP(M491, Lookup_Tables!$M$2:$M$5,Lookup_Tables!$N$2:$N$5," ", -1)</f>
        <v>New (0-2)</v>
      </c>
      <c r="R491" s="4">
        <f t="shared" si="15"/>
        <v>2.6666666666666665</v>
      </c>
      <c r="S491" t="str">
        <f xml:space="preserve"> _xlfn.XLOOKUP( E491, Lookup_Tables!$A$2:$A$6,Lookup_Tables!$B$2:$B$6," ", -1)</f>
        <v>Master</v>
      </c>
      <c r="T491" t="str">
        <f>_xlfn.XLOOKUP(G491,Lookup_Tables!$D$2:$D$5,Lookup_Tables!$E$2:$E$5)</f>
        <v>Medium</v>
      </c>
      <c r="U491" t="str">
        <f>_xlfn.XLOOKUP(H491,Lookup_Tables!$D$2:$D$5,Lookup_Tables!$E$2:$E$5)</f>
        <v>Very High</v>
      </c>
      <c r="V491" t="str">
        <f>_xlfn.XLOOKUP(L491,Lookup_Tables!$D$2:$D$5,Lookup_Tables!$E$2:$E$5)</f>
        <v>Medium</v>
      </c>
    </row>
    <row r="492" spans="1:22">
      <c r="A492">
        <f>RAW_DATA!A492</f>
        <v>38</v>
      </c>
      <c r="B492" t="str">
        <f>RAW_DATA!B492</f>
        <v>No</v>
      </c>
      <c r="C492" t="str">
        <f>RAW_DATA!C492</f>
        <v>Research &amp; Development</v>
      </c>
      <c r="D492">
        <f>RAW_DATA!D492</f>
        <v>1</v>
      </c>
      <c r="E492">
        <f>RAW_DATA!E492</f>
        <v>1</v>
      </c>
      <c r="F492" t="str">
        <f>RAW_DATA!F492</f>
        <v>Life Sciences</v>
      </c>
      <c r="G492">
        <f>RAW_DATA!G492</f>
        <v>3</v>
      </c>
      <c r="H492">
        <f>RAW_DATA!H492</f>
        <v>1</v>
      </c>
      <c r="I492" t="str">
        <f>RAW_DATA!I492</f>
        <v>Single</v>
      </c>
      <c r="J492">
        <f>RAW_DATA!J492</f>
        <v>2619</v>
      </c>
      <c r="K492">
        <f>RAW_DATA!K492</f>
        <v>3</v>
      </c>
      <c r="L492">
        <f>RAW_DATA!L492</f>
        <v>2</v>
      </c>
      <c r="M492">
        <f>RAW_DATA!M492</f>
        <v>0</v>
      </c>
      <c r="N492">
        <f t="shared" si="14"/>
        <v>0</v>
      </c>
      <c r="O492" t="str">
        <f xml:space="preserve"> VLOOKUP(A492, Lookup_Tables!$G$2:$H$6,2,TRUE)</f>
        <v>35-44</v>
      </c>
      <c r="P492" t="str">
        <f>_xlfn.XLOOKUP(J492,Lookup_Tables!$J$2:$J$4,Lookup_Tables!$K$2:$K$4, " ",-1)</f>
        <v>Low</v>
      </c>
      <c r="Q492" t="str">
        <f xml:space="preserve"> _xlfn.XLOOKUP(M492, Lookup_Tables!$M$2:$M$5,Lookup_Tables!$N$2:$N$5," ", -1)</f>
        <v>New (0-2)</v>
      </c>
      <c r="R492" s="4">
        <f t="shared" si="15"/>
        <v>2</v>
      </c>
      <c r="S492" t="str">
        <f xml:space="preserve"> _xlfn.XLOOKUP( E492, Lookup_Tables!$A$2:$A$6,Lookup_Tables!$B$2:$B$6," ", -1)</f>
        <v>Below College</v>
      </c>
      <c r="T492" t="str">
        <f>_xlfn.XLOOKUP(G492,Lookup_Tables!$D$2:$D$5,Lookup_Tables!$E$2:$E$5)</f>
        <v>High</v>
      </c>
      <c r="U492" t="str">
        <f>_xlfn.XLOOKUP(H492,Lookup_Tables!$D$2:$D$5,Lookup_Tables!$E$2:$E$5)</f>
        <v>Low</v>
      </c>
      <c r="V492" t="str">
        <f>_xlfn.XLOOKUP(L492,Lookup_Tables!$D$2:$D$5,Lookup_Tables!$E$2:$E$5)</f>
        <v>Medium</v>
      </c>
    </row>
    <row r="493" spans="1:22">
      <c r="A493">
        <f>RAW_DATA!A493</f>
        <v>43</v>
      </c>
      <c r="B493" t="str">
        <f>RAW_DATA!B493</f>
        <v>No</v>
      </c>
      <c r="C493" t="str">
        <f>RAW_DATA!C493</f>
        <v>Research &amp; Development</v>
      </c>
      <c r="D493">
        <f>RAW_DATA!D493</f>
        <v>9</v>
      </c>
      <c r="E493">
        <f>RAW_DATA!E493</f>
        <v>5</v>
      </c>
      <c r="F493" t="str">
        <f>RAW_DATA!F493</f>
        <v>Medical</v>
      </c>
      <c r="G493">
        <f>RAW_DATA!G493</f>
        <v>4</v>
      </c>
      <c r="H493">
        <f>RAW_DATA!H493</f>
        <v>3</v>
      </c>
      <c r="I493" t="str">
        <f>RAW_DATA!I493</f>
        <v>Divorced</v>
      </c>
      <c r="J493">
        <f>RAW_DATA!J493</f>
        <v>5679</v>
      </c>
      <c r="K493">
        <f>RAW_DATA!K493</f>
        <v>3</v>
      </c>
      <c r="L493">
        <f>RAW_DATA!L493</f>
        <v>3</v>
      </c>
      <c r="M493">
        <f>RAW_DATA!M493</f>
        <v>8</v>
      </c>
      <c r="N493">
        <f t="shared" si="14"/>
        <v>0</v>
      </c>
      <c r="O493" t="str">
        <f xml:space="preserve"> VLOOKUP(A493, Lookup_Tables!$G$2:$H$6,2,TRUE)</f>
        <v>35-44</v>
      </c>
      <c r="P493" t="str">
        <f>_xlfn.XLOOKUP(J493,Lookup_Tables!$J$2:$J$4,Lookup_Tables!$K$2:$K$4, " ",-1)</f>
        <v>Medium</v>
      </c>
      <c r="Q493" t="str">
        <f xml:space="preserve"> _xlfn.XLOOKUP(M493, Lookup_Tables!$M$2:$M$5,Lookup_Tables!$N$2:$N$5," ", -1)</f>
        <v>Established (5-10)</v>
      </c>
      <c r="R493" s="4">
        <f t="shared" si="15"/>
        <v>3.3333333333333335</v>
      </c>
      <c r="S493" t="str">
        <f xml:space="preserve"> _xlfn.XLOOKUP( E493, Lookup_Tables!$A$2:$A$6,Lookup_Tables!$B$2:$B$6," ", -1)</f>
        <v>Doctor</v>
      </c>
      <c r="T493" t="str">
        <f>_xlfn.XLOOKUP(G493,Lookup_Tables!$D$2:$D$5,Lookup_Tables!$E$2:$E$5)</f>
        <v>Very High</v>
      </c>
      <c r="U493" t="str">
        <f>_xlfn.XLOOKUP(H493,Lookup_Tables!$D$2:$D$5,Lookup_Tables!$E$2:$E$5)</f>
        <v>High</v>
      </c>
      <c r="V493" t="str">
        <f>_xlfn.XLOOKUP(L493,Lookup_Tables!$D$2:$D$5,Lookup_Tables!$E$2:$E$5)</f>
        <v>High</v>
      </c>
    </row>
    <row r="494" spans="1:22">
      <c r="A494">
        <f>RAW_DATA!A494</f>
        <v>48</v>
      </c>
      <c r="B494" t="str">
        <f>RAW_DATA!B494</f>
        <v>No</v>
      </c>
      <c r="C494" t="str">
        <f>RAW_DATA!C494</f>
        <v>Research &amp; Development</v>
      </c>
      <c r="D494">
        <f>RAW_DATA!D494</f>
        <v>1</v>
      </c>
      <c r="E494">
        <f>RAW_DATA!E494</f>
        <v>4</v>
      </c>
      <c r="F494" t="str">
        <f>RAW_DATA!F494</f>
        <v>Life Sciences</v>
      </c>
      <c r="G494">
        <f>RAW_DATA!G494</f>
        <v>4</v>
      </c>
      <c r="H494">
        <f>RAW_DATA!H494</f>
        <v>1</v>
      </c>
      <c r="I494" t="str">
        <f>RAW_DATA!I494</f>
        <v>Married</v>
      </c>
      <c r="J494">
        <f>RAW_DATA!J494</f>
        <v>15402</v>
      </c>
      <c r="K494">
        <f>RAW_DATA!K494</f>
        <v>7</v>
      </c>
      <c r="L494">
        <f>RAW_DATA!L494</f>
        <v>1</v>
      </c>
      <c r="M494">
        <f>RAW_DATA!M494</f>
        <v>3</v>
      </c>
      <c r="N494">
        <f t="shared" si="14"/>
        <v>0</v>
      </c>
      <c r="O494" t="str">
        <f xml:space="preserve"> VLOOKUP(A494, Lookup_Tables!$G$2:$H$6,2,TRUE)</f>
        <v>45-54</v>
      </c>
      <c r="P494" t="str">
        <f>_xlfn.XLOOKUP(J494,Lookup_Tables!$J$2:$J$4,Lookup_Tables!$K$2:$K$4, " ",-1)</f>
        <v>High</v>
      </c>
      <c r="Q494" t="str">
        <f xml:space="preserve"> _xlfn.XLOOKUP(M494, Lookup_Tables!$M$2:$M$5,Lookup_Tables!$N$2:$N$5," ", -1)</f>
        <v>Early (2-5)</v>
      </c>
      <c r="R494" s="4">
        <f t="shared" si="15"/>
        <v>2</v>
      </c>
      <c r="S494" t="str">
        <f xml:space="preserve"> _xlfn.XLOOKUP( E494, Lookup_Tables!$A$2:$A$6,Lookup_Tables!$B$2:$B$6," ", -1)</f>
        <v>Master</v>
      </c>
      <c r="T494" t="str">
        <f>_xlfn.XLOOKUP(G494,Lookup_Tables!$D$2:$D$5,Lookup_Tables!$E$2:$E$5)</f>
        <v>Very High</v>
      </c>
      <c r="U494" t="str">
        <f>_xlfn.XLOOKUP(H494,Lookup_Tables!$D$2:$D$5,Lookup_Tables!$E$2:$E$5)</f>
        <v>Low</v>
      </c>
      <c r="V494" t="str">
        <f>_xlfn.XLOOKUP(L494,Lookup_Tables!$D$2:$D$5,Lookup_Tables!$E$2:$E$5)</f>
        <v>Low</v>
      </c>
    </row>
    <row r="495" spans="1:22">
      <c r="A495">
        <f>RAW_DATA!A495</f>
        <v>44</v>
      </c>
      <c r="B495" t="str">
        <f>RAW_DATA!B495</f>
        <v>No</v>
      </c>
      <c r="C495" t="str">
        <f>RAW_DATA!C495</f>
        <v>Human Resources</v>
      </c>
      <c r="D495">
        <f>RAW_DATA!D495</f>
        <v>1</v>
      </c>
      <c r="E495">
        <f>RAW_DATA!E495</f>
        <v>4</v>
      </c>
      <c r="F495" t="str">
        <f>RAW_DATA!F495</f>
        <v>Life Sciences</v>
      </c>
      <c r="G495">
        <f>RAW_DATA!G495</f>
        <v>1</v>
      </c>
      <c r="H495">
        <f>RAW_DATA!H495</f>
        <v>3</v>
      </c>
      <c r="I495" t="str">
        <f>RAW_DATA!I495</f>
        <v>Single</v>
      </c>
      <c r="J495">
        <f>RAW_DATA!J495</f>
        <v>5985</v>
      </c>
      <c r="K495">
        <f>RAW_DATA!K495</f>
        <v>4</v>
      </c>
      <c r="L495">
        <f>RAW_DATA!L495</f>
        <v>4</v>
      </c>
      <c r="M495">
        <f>RAW_DATA!M495</f>
        <v>2</v>
      </c>
      <c r="N495">
        <f t="shared" si="14"/>
        <v>0</v>
      </c>
      <c r="O495" t="str">
        <f xml:space="preserve"> VLOOKUP(A495, Lookup_Tables!$G$2:$H$6,2,TRUE)</f>
        <v>35-44</v>
      </c>
      <c r="P495" t="str">
        <f>_xlfn.XLOOKUP(J495,Lookup_Tables!$J$2:$J$4,Lookup_Tables!$K$2:$K$4, " ",-1)</f>
        <v>Medium</v>
      </c>
      <c r="Q495" t="str">
        <f xml:space="preserve"> _xlfn.XLOOKUP(M495, Lookup_Tables!$M$2:$M$5,Lookup_Tables!$N$2:$N$5," ", -1)</f>
        <v>Early (2-5)</v>
      </c>
      <c r="R495" s="4">
        <f t="shared" si="15"/>
        <v>2.6666666666666665</v>
      </c>
      <c r="S495" t="str">
        <f xml:space="preserve"> _xlfn.XLOOKUP( E495, Lookup_Tables!$A$2:$A$6,Lookup_Tables!$B$2:$B$6," ", -1)</f>
        <v>Master</v>
      </c>
      <c r="T495" t="str">
        <f>_xlfn.XLOOKUP(G495,Lookup_Tables!$D$2:$D$5,Lookup_Tables!$E$2:$E$5)</f>
        <v>Low</v>
      </c>
      <c r="U495" t="str">
        <f>_xlfn.XLOOKUP(H495,Lookup_Tables!$D$2:$D$5,Lookup_Tables!$E$2:$E$5)</f>
        <v>High</v>
      </c>
      <c r="V495" t="str">
        <f>_xlfn.XLOOKUP(L495,Lookup_Tables!$D$2:$D$5,Lookup_Tables!$E$2:$E$5)</f>
        <v>Very High</v>
      </c>
    </row>
    <row r="496" spans="1:22">
      <c r="A496">
        <f>RAW_DATA!A496</f>
        <v>34</v>
      </c>
      <c r="B496" t="str">
        <f>RAW_DATA!B496</f>
        <v>No</v>
      </c>
      <c r="C496" t="str">
        <f>RAW_DATA!C496</f>
        <v>Sales</v>
      </c>
      <c r="D496">
        <f>RAW_DATA!D496</f>
        <v>14</v>
      </c>
      <c r="E496">
        <f>RAW_DATA!E496</f>
        <v>3</v>
      </c>
      <c r="F496" t="str">
        <f>RAW_DATA!F496</f>
        <v>Technical Degree</v>
      </c>
      <c r="G496">
        <f>RAW_DATA!G496</f>
        <v>3</v>
      </c>
      <c r="H496">
        <f>RAW_DATA!H496</f>
        <v>3</v>
      </c>
      <c r="I496" t="str">
        <f>RAW_DATA!I496</f>
        <v>Divorced</v>
      </c>
      <c r="J496">
        <f>RAW_DATA!J496</f>
        <v>2579</v>
      </c>
      <c r="K496">
        <f>RAW_DATA!K496</f>
        <v>1</v>
      </c>
      <c r="L496">
        <f>RAW_DATA!L496</f>
        <v>3</v>
      </c>
      <c r="M496">
        <f>RAW_DATA!M496</f>
        <v>8</v>
      </c>
      <c r="N496">
        <f t="shared" si="14"/>
        <v>0</v>
      </c>
      <c r="O496" t="str">
        <f xml:space="preserve"> VLOOKUP(A496, Lookup_Tables!$G$2:$H$6,2,TRUE)</f>
        <v>25-34</v>
      </c>
      <c r="P496" t="str">
        <f>_xlfn.XLOOKUP(J496,Lookup_Tables!$J$2:$J$4,Lookup_Tables!$K$2:$K$4, " ",-1)</f>
        <v>Low</v>
      </c>
      <c r="Q496" t="str">
        <f xml:space="preserve"> _xlfn.XLOOKUP(M496, Lookup_Tables!$M$2:$M$5,Lookup_Tables!$N$2:$N$5," ", -1)</f>
        <v>Established (5-10)</v>
      </c>
      <c r="R496" s="4">
        <f t="shared" si="15"/>
        <v>3</v>
      </c>
      <c r="S496" t="str">
        <f xml:space="preserve"> _xlfn.XLOOKUP( E496, Lookup_Tables!$A$2:$A$6,Lookup_Tables!$B$2:$B$6," ", -1)</f>
        <v>Bachelor</v>
      </c>
      <c r="T496" t="str">
        <f>_xlfn.XLOOKUP(G496,Lookup_Tables!$D$2:$D$5,Lookup_Tables!$E$2:$E$5)</f>
        <v>High</v>
      </c>
      <c r="U496" t="str">
        <f>_xlfn.XLOOKUP(H496,Lookup_Tables!$D$2:$D$5,Lookup_Tables!$E$2:$E$5)</f>
        <v>High</v>
      </c>
      <c r="V496" t="str">
        <f>_xlfn.XLOOKUP(L496,Lookup_Tables!$D$2:$D$5,Lookup_Tables!$E$2:$E$5)</f>
        <v>High</v>
      </c>
    </row>
    <row r="497" spans="1:22">
      <c r="A497">
        <f>RAW_DATA!A497</f>
        <v>27</v>
      </c>
      <c r="B497" t="str">
        <f>RAW_DATA!B497</f>
        <v>Yes</v>
      </c>
      <c r="C497" t="str">
        <f>RAW_DATA!C497</f>
        <v>Sales</v>
      </c>
      <c r="D497">
        <f>RAW_DATA!D497</f>
        <v>2</v>
      </c>
      <c r="E497">
        <f>RAW_DATA!E497</f>
        <v>1</v>
      </c>
      <c r="F497" t="str">
        <f>RAW_DATA!F497</f>
        <v>Marketing</v>
      </c>
      <c r="G497">
        <f>RAW_DATA!G497</f>
        <v>3</v>
      </c>
      <c r="H497">
        <f>RAW_DATA!H497</f>
        <v>1</v>
      </c>
      <c r="I497" t="str">
        <f>RAW_DATA!I497</f>
        <v>Divorced</v>
      </c>
      <c r="J497">
        <f>RAW_DATA!J497</f>
        <v>3041</v>
      </c>
      <c r="K497">
        <f>RAW_DATA!K497</f>
        <v>0</v>
      </c>
      <c r="L497">
        <f>RAW_DATA!L497</f>
        <v>3</v>
      </c>
      <c r="M497">
        <f>RAW_DATA!M497</f>
        <v>4</v>
      </c>
      <c r="N497">
        <f t="shared" si="14"/>
        <v>1</v>
      </c>
      <c r="O497" t="str">
        <f xml:space="preserve"> VLOOKUP(A497, Lookup_Tables!$G$2:$H$6,2,TRUE)</f>
        <v>25-34</v>
      </c>
      <c r="P497" t="str">
        <f>_xlfn.XLOOKUP(J497,Lookup_Tables!$J$2:$J$4,Lookup_Tables!$K$2:$K$4, " ",-1)</f>
        <v>Medium</v>
      </c>
      <c r="Q497" t="str">
        <f xml:space="preserve"> _xlfn.XLOOKUP(M497, Lookup_Tables!$M$2:$M$5,Lookup_Tables!$N$2:$N$5," ", -1)</f>
        <v>Early (2-5)</v>
      </c>
      <c r="R497" s="4">
        <f t="shared" si="15"/>
        <v>2.3333333333333335</v>
      </c>
      <c r="S497" t="str">
        <f xml:space="preserve"> _xlfn.XLOOKUP( E497, Lookup_Tables!$A$2:$A$6,Lookup_Tables!$B$2:$B$6," ", -1)</f>
        <v>Below College</v>
      </c>
      <c r="T497" t="str">
        <f>_xlfn.XLOOKUP(G497,Lookup_Tables!$D$2:$D$5,Lookup_Tables!$E$2:$E$5)</f>
        <v>High</v>
      </c>
      <c r="U497" t="str">
        <f>_xlfn.XLOOKUP(H497,Lookup_Tables!$D$2:$D$5,Lookup_Tables!$E$2:$E$5)</f>
        <v>Low</v>
      </c>
      <c r="V497" t="str">
        <f>_xlfn.XLOOKUP(L497,Lookup_Tables!$D$2:$D$5,Lookup_Tables!$E$2:$E$5)</f>
        <v>High</v>
      </c>
    </row>
    <row r="498" spans="1:22">
      <c r="A498">
        <f>RAW_DATA!A498</f>
        <v>21</v>
      </c>
      <c r="B498" t="str">
        <f>RAW_DATA!B498</f>
        <v>No</v>
      </c>
      <c r="C498" t="str">
        <f>RAW_DATA!C498</f>
        <v>Sales</v>
      </c>
      <c r="D498">
        <f>RAW_DATA!D498</f>
        <v>22</v>
      </c>
      <c r="E498">
        <f>RAW_DATA!E498</f>
        <v>1</v>
      </c>
      <c r="F498" t="str">
        <f>RAW_DATA!F498</f>
        <v>Technical Degree</v>
      </c>
      <c r="G498">
        <f>RAW_DATA!G498</f>
        <v>3</v>
      </c>
      <c r="H498">
        <f>RAW_DATA!H498</f>
        <v>3</v>
      </c>
      <c r="I498" t="str">
        <f>RAW_DATA!I498</f>
        <v>Single</v>
      </c>
      <c r="J498">
        <f>RAW_DATA!J498</f>
        <v>3447</v>
      </c>
      <c r="K498">
        <f>RAW_DATA!K498</f>
        <v>1</v>
      </c>
      <c r="L498">
        <f>RAW_DATA!L498</f>
        <v>3</v>
      </c>
      <c r="M498">
        <f>RAW_DATA!M498</f>
        <v>3</v>
      </c>
      <c r="N498">
        <f t="shared" si="14"/>
        <v>0</v>
      </c>
      <c r="O498" t="str">
        <f xml:space="preserve"> VLOOKUP(A498, Lookup_Tables!$G$2:$H$6,2,TRUE)</f>
        <v>&lt;25</v>
      </c>
      <c r="P498" t="str">
        <f>_xlfn.XLOOKUP(J498,Lookup_Tables!$J$2:$J$4,Lookup_Tables!$K$2:$K$4, " ",-1)</f>
        <v>Medium</v>
      </c>
      <c r="Q498" t="str">
        <f xml:space="preserve"> _xlfn.XLOOKUP(M498, Lookup_Tables!$M$2:$M$5,Lookup_Tables!$N$2:$N$5," ", -1)</f>
        <v>Early (2-5)</v>
      </c>
      <c r="R498" s="4">
        <f t="shared" si="15"/>
        <v>3</v>
      </c>
      <c r="S498" t="str">
        <f xml:space="preserve"> _xlfn.XLOOKUP( E498, Lookup_Tables!$A$2:$A$6,Lookup_Tables!$B$2:$B$6," ", -1)</f>
        <v>Below College</v>
      </c>
      <c r="T498" t="str">
        <f>_xlfn.XLOOKUP(G498,Lookup_Tables!$D$2:$D$5,Lookup_Tables!$E$2:$E$5)</f>
        <v>High</v>
      </c>
      <c r="U498" t="str">
        <f>_xlfn.XLOOKUP(H498,Lookup_Tables!$D$2:$D$5,Lookup_Tables!$E$2:$E$5)</f>
        <v>High</v>
      </c>
      <c r="V498" t="str">
        <f>_xlfn.XLOOKUP(L498,Lookup_Tables!$D$2:$D$5,Lookup_Tables!$E$2:$E$5)</f>
        <v>High</v>
      </c>
    </row>
    <row r="499" spans="1:22">
      <c r="A499">
        <f>RAW_DATA!A499</f>
        <v>44</v>
      </c>
      <c r="B499" t="str">
        <f>RAW_DATA!B499</f>
        <v>No</v>
      </c>
      <c r="C499" t="str">
        <f>RAW_DATA!C499</f>
        <v>Research &amp; Development</v>
      </c>
      <c r="D499">
        <f>RAW_DATA!D499</f>
        <v>3</v>
      </c>
      <c r="E499">
        <f>RAW_DATA!E499</f>
        <v>4</v>
      </c>
      <c r="F499" t="str">
        <f>RAW_DATA!F499</f>
        <v>Other</v>
      </c>
      <c r="G499">
        <f>RAW_DATA!G499</f>
        <v>4</v>
      </c>
      <c r="H499">
        <f>RAW_DATA!H499</f>
        <v>4</v>
      </c>
      <c r="I499" t="str">
        <f>RAW_DATA!I499</f>
        <v>Married</v>
      </c>
      <c r="J499">
        <f>RAW_DATA!J499</f>
        <v>19513</v>
      </c>
      <c r="K499">
        <f>RAW_DATA!K499</f>
        <v>4</v>
      </c>
      <c r="L499">
        <f>RAW_DATA!L499</f>
        <v>4</v>
      </c>
      <c r="M499">
        <f>RAW_DATA!M499</f>
        <v>2</v>
      </c>
      <c r="N499">
        <f t="shared" si="14"/>
        <v>0</v>
      </c>
      <c r="O499" t="str">
        <f xml:space="preserve"> VLOOKUP(A499, Lookup_Tables!$G$2:$H$6,2,TRUE)</f>
        <v>35-44</v>
      </c>
      <c r="P499" t="str">
        <f>_xlfn.XLOOKUP(J499,Lookup_Tables!$J$2:$J$4,Lookup_Tables!$K$2:$K$4, " ",-1)</f>
        <v>High</v>
      </c>
      <c r="Q499" t="str">
        <f xml:space="preserve"> _xlfn.XLOOKUP(M499, Lookup_Tables!$M$2:$M$5,Lookup_Tables!$N$2:$N$5," ", -1)</f>
        <v>Early (2-5)</v>
      </c>
      <c r="R499" s="4">
        <f t="shared" si="15"/>
        <v>4</v>
      </c>
      <c r="S499" t="str">
        <f xml:space="preserve"> _xlfn.XLOOKUP( E499, Lookup_Tables!$A$2:$A$6,Lookup_Tables!$B$2:$B$6," ", -1)</f>
        <v>Master</v>
      </c>
      <c r="T499" t="str">
        <f>_xlfn.XLOOKUP(G499,Lookup_Tables!$D$2:$D$5,Lookup_Tables!$E$2:$E$5)</f>
        <v>Very High</v>
      </c>
      <c r="U499" t="str">
        <f>_xlfn.XLOOKUP(H499,Lookup_Tables!$D$2:$D$5,Lookup_Tables!$E$2:$E$5)</f>
        <v>Very High</v>
      </c>
      <c r="V499" t="str">
        <f>_xlfn.XLOOKUP(L499,Lookup_Tables!$D$2:$D$5,Lookup_Tables!$E$2:$E$5)</f>
        <v>Very High</v>
      </c>
    </row>
    <row r="500" spans="1:22">
      <c r="A500">
        <f>RAW_DATA!A500</f>
        <v>22</v>
      </c>
      <c r="B500" t="str">
        <f>RAW_DATA!B500</f>
        <v>No</v>
      </c>
      <c r="C500" t="str">
        <f>RAW_DATA!C500</f>
        <v>Research &amp; Development</v>
      </c>
      <c r="D500">
        <f>RAW_DATA!D500</f>
        <v>6</v>
      </c>
      <c r="E500">
        <f>RAW_DATA!E500</f>
        <v>1</v>
      </c>
      <c r="F500" t="str">
        <f>RAW_DATA!F500</f>
        <v>Medical</v>
      </c>
      <c r="G500">
        <f>RAW_DATA!G500</f>
        <v>1</v>
      </c>
      <c r="H500">
        <f>RAW_DATA!H500</f>
        <v>3</v>
      </c>
      <c r="I500" t="str">
        <f>RAW_DATA!I500</f>
        <v>Married</v>
      </c>
      <c r="J500">
        <f>RAW_DATA!J500</f>
        <v>2773</v>
      </c>
      <c r="K500">
        <f>RAW_DATA!K500</f>
        <v>0</v>
      </c>
      <c r="L500">
        <f>RAW_DATA!L500</f>
        <v>3</v>
      </c>
      <c r="M500">
        <f>RAW_DATA!M500</f>
        <v>2</v>
      </c>
      <c r="N500">
        <f t="shared" si="14"/>
        <v>0</v>
      </c>
      <c r="O500" t="str">
        <f xml:space="preserve"> VLOOKUP(A500, Lookup_Tables!$G$2:$H$6,2,TRUE)</f>
        <v>&lt;25</v>
      </c>
      <c r="P500" t="str">
        <f>_xlfn.XLOOKUP(J500,Lookup_Tables!$J$2:$J$4,Lookup_Tables!$K$2:$K$4, " ",-1)</f>
        <v>Low</v>
      </c>
      <c r="Q500" t="str">
        <f xml:space="preserve"> _xlfn.XLOOKUP(M500, Lookup_Tables!$M$2:$M$5,Lookup_Tables!$N$2:$N$5," ", -1)</f>
        <v>Early (2-5)</v>
      </c>
      <c r="R500" s="4">
        <f t="shared" si="15"/>
        <v>2.3333333333333335</v>
      </c>
      <c r="S500" t="str">
        <f xml:space="preserve"> _xlfn.XLOOKUP( E500, Lookup_Tables!$A$2:$A$6,Lookup_Tables!$B$2:$B$6," ", -1)</f>
        <v>Below College</v>
      </c>
      <c r="T500" t="str">
        <f>_xlfn.XLOOKUP(G500,Lookup_Tables!$D$2:$D$5,Lookup_Tables!$E$2:$E$5)</f>
        <v>Low</v>
      </c>
      <c r="U500" t="str">
        <f>_xlfn.XLOOKUP(H500,Lookup_Tables!$D$2:$D$5,Lookup_Tables!$E$2:$E$5)</f>
        <v>High</v>
      </c>
      <c r="V500" t="str">
        <f>_xlfn.XLOOKUP(L500,Lookup_Tables!$D$2:$D$5,Lookup_Tables!$E$2:$E$5)</f>
        <v>High</v>
      </c>
    </row>
    <row r="501" spans="1:22">
      <c r="A501">
        <f>RAW_DATA!A501</f>
        <v>33</v>
      </c>
      <c r="B501" t="str">
        <f>RAW_DATA!B501</f>
        <v>No</v>
      </c>
      <c r="C501" t="str">
        <f>RAW_DATA!C501</f>
        <v>Sales</v>
      </c>
      <c r="D501">
        <f>RAW_DATA!D501</f>
        <v>8</v>
      </c>
      <c r="E501">
        <f>RAW_DATA!E501</f>
        <v>4</v>
      </c>
      <c r="F501" t="str">
        <f>RAW_DATA!F501</f>
        <v>Marketing</v>
      </c>
      <c r="G501">
        <f>RAW_DATA!G501</f>
        <v>3</v>
      </c>
      <c r="H501">
        <f>RAW_DATA!H501</f>
        <v>3</v>
      </c>
      <c r="I501" t="str">
        <f>RAW_DATA!I501</f>
        <v>Divorced</v>
      </c>
      <c r="J501">
        <f>RAW_DATA!J501</f>
        <v>7104</v>
      </c>
      <c r="K501">
        <f>RAW_DATA!K501</f>
        <v>0</v>
      </c>
      <c r="L501">
        <f>RAW_DATA!L501</f>
        <v>3</v>
      </c>
      <c r="M501">
        <f>RAW_DATA!M501</f>
        <v>5</v>
      </c>
      <c r="N501">
        <f t="shared" si="14"/>
        <v>0</v>
      </c>
      <c r="O501" t="str">
        <f xml:space="preserve"> VLOOKUP(A501, Lookup_Tables!$G$2:$H$6,2,TRUE)</f>
        <v>25-34</v>
      </c>
      <c r="P501" t="str">
        <f>_xlfn.XLOOKUP(J501,Lookup_Tables!$J$2:$J$4,Lookup_Tables!$K$2:$K$4, " ",-1)</f>
        <v>High</v>
      </c>
      <c r="Q501" t="str">
        <f xml:space="preserve"> _xlfn.XLOOKUP(M501, Lookup_Tables!$M$2:$M$5,Lookup_Tables!$N$2:$N$5," ", -1)</f>
        <v>Established (5-10)</v>
      </c>
      <c r="R501" s="4">
        <f t="shared" si="15"/>
        <v>3</v>
      </c>
      <c r="S501" t="str">
        <f xml:space="preserve"> _xlfn.XLOOKUP( E501, Lookup_Tables!$A$2:$A$6,Lookup_Tables!$B$2:$B$6," ", -1)</f>
        <v>Master</v>
      </c>
      <c r="T501" t="str">
        <f>_xlfn.XLOOKUP(G501,Lookup_Tables!$D$2:$D$5,Lookup_Tables!$E$2:$E$5)</f>
        <v>High</v>
      </c>
      <c r="U501" t="str">
        <f>_xlfn.XLOOKUP(H501,Lookup_Tables!$D$2:$D$5,Lookup_Tables!$E$2:$E$5)</f>
        <v>High</v>
      </c>
      <c r="V501" t="str">
        <f>_xlfn.XLOOKUP(L501,Lookup_Tables!$D$2:$D$5,Lookup_Tables!$E$2:$E$5)</f>
        <v>High</v>
      </c>
    </row>
    <row r="502" spans="1:22">
      <c r="A502">
        <f>RAW_DATA!A502</f>
        <v>32</v>
      </c>
      <c r="B502" t="str">
        <f>RAW_DATA!B502</f>
        <v>No</v>
      </c>
      <c r="C502" t="str">
        <f>RAW_DATA!C502</f>
        <v>Research &amp; Development</v>
      </c>
      <c r="D502">
        <f>RAW_DATA!D502</f>
        <v>9</v>
      </c>
      <c r="E502">
        <f>RAW_DATA!E502</f>
        <v>4</v>
      </c>
      <c r="F502" t="str">
        <f>RAW_DATA!F502</f>
        <v>Life Sciences</v>
      </c>
      <c r="G502">
        <f>RAW_DATA!G502</f>
        <v>1</v>
      </c>
      <c r="H502">
        <f>RAW_DATA!H502</f>
        <v>4</v>
      </c>
      <c r="I502" t="str">
        <f>RAW_DATA!I502</f>
        <v>Married</v>
      </c>
      <c r="J502">
        <f>RAW_DATA!J502</f>
        <v>6322</v>
      </c>
      <c r="K502">
        <f>RAW_DATA!K502</f>
        <v>1</v>
      </c>
      <c r="L502">
        <f>RAW_DATA!L502</f>
        <v>2</v>
      </c>
      <c r="M502">
        <f>RAW_DATA!M502</f>
        <v>6</v>
      </c>
      <c r="N502">
        <f t="shared" si="14"/>
        <v>0</v>
      </c>
      <c r="O502" t="str">
        <f xml:space="preserve"> VLOOKUP(A502, Lookup_Tables!$G$2:$H$6,2,TRUE)</f>
        <v>25-34</v>
      </c>
      <c r="P502" t="str">
        <f>_xlfn.XLOOKUP(J502,Lookup_Tables!$J$2:$J$4,Lookup_Tables!$K$2:$K$4, " ",-1)</f>
        <v>Medium</v>
      </c>
      <c r="Q502" t="str">
        <f xml:space="preserve"> _xlfn.XLOOKUP(M502, Lookup_Tables!$M$2:$M$5,Lookup_Tables!$N$2:$N$5," ", -1)</f>
        <v>Established (5-10)</v>
      </c>
      <c r="R502" s="4">
        <f t="shared" si="15"/>
        <v>2.3333333333333335</v>
      </c>
      <c r="S502" t="str">
        <f xml:space="preserve"> _xlfn.XLOOKUP( E502, Lookup_Tables!$A$2:$A$6,Lookup_Tables!$B$2:$B$6," ", -1)</f>
        <v>Master</v>
      </c>
      <c r="T502" t="str">
        <f>_xlfn.XLOOKUP(G502,Lookup_Tables!$D$2:$D$5,Lookup_Tables!$E$2:$E$5)</f>
        <v>Low</v>
      </c>
      <c r="U502" t="str">
        <f>_xlfn.XLOOKUP(H502,Lookup_Tables!$D$2:$D$5,Lookup_Tables!$E$2:$E$5)</f>
        <v>Very High</v>
      </c>
      <c r="V502" t="str">
        <f>_xlfn.XLOOKUP(L502,Lookup_Tables!$D$2:$D$5,Lookup_Tables!$E$2:$E$5)</f>
        <v>Medium</v>
      </c>
    </row>
    <row r="503" spans="1:22">
      <c r="A503">
        <f>RAW_DATA!A503</f>
        <v>30</v>
      </c>
      <c r="B503" t="str">
        <f>RAW_DATA!B503</f>
        <v>No</v>
      </c>
      <c r="C503" t="str">
        <f>RAW_DATA!C503</f>
        <v>Research &amp; Development</v>
      </c>
      <c r="D503">
        <f>RAW_DATA!D503</f>
        <v>3</v>
      </c>
      <c r="E503">
        <f>RAW_DATA!E503</f>
        <v>3</v>
      </c>
      <c r="F503" t="str">
        <f>RAW_DATA!F503</f>
        <v>Medical</v>
      </c>
      <c r="G503">
        <f>RAW_DATA!G503</f>
        <v>3</v>
      </c>
      <c r="H503">
        <f>RAW_DATA!H503</f>
        <v>3</v>
      </c>
      <c r="I503" t="str">
        <f>RAW_DATA!I503</f>
        <v>Divorced</v>
      </c>
      <c r="J503">
        <f>RAW_DATA!J503</f>
        <v>2083</v>
      </c>
      <c r="K503">
        <f>RAW_DATA!K503</f>
        <v>1</v>
      </c>
      <c r="L503">
        <f>RAW_DATA!L503</f>
        <v>3</v>
      </c>
      <c r="M503">
        <f>RAW_DATA!M503</f>
        <v>1</v>
      </c>
      <c r="N503">
        <f t="shared" si="14"/>
        <v>0</v>
      </c>
      <c r="O503" t="str">
        <f xml:space="preserve"> VLOOKUP(A503, Lookup_Tables!$G$2:$H$6,2,TRUE)</f>
        <v>25-34</v>
      </c>
      <c r="P503" t="str">
        <f>_xlfn.XLOOKUP(J503,Lookup_Tables!$J$2:$J$4,Lookup_Tables!$K$2:$K$4, " ",-1)</f>
        <v>Low</v>
      </c>
      <c r="Q503" t="str">
        <f xml:space="preserve"> _xlfn.XLOOKUP(M503, Lookup_Tables!$M$2:$M$5,Lookup_Tables!$N$2:$N$5," ", -1)</f>
        <v>New (0-2)</v>
      </c>
      <c r="R503" s="4">
        <f t="shared" si="15"/>
        <v>3</v>
      </c>
      <c r="S503" t="str">
        <f xml:space="preserve"> _xlfn.XLOOKUP( E503, Lookup_Tables!$A$2:$A$6,Lookup_Tables!$B$2:$B$6," ", -1)</f>
        <v>Bachelor</v>
      </c>
      <c r="T503" t="str">
        <f>_xlfn.XLOOKUP(G503,Lookup_Tables!$D$2:$D$5,Lookup_Tables!$E$2:$E$5)</f>
        <v>High</v>
      </c>
      <c r="U503" t="str">
        <f>_xlfn.XLOOKUP(H503,Lookup_Tables!$D$2:$D$5,Lookup_Tables!$E$2:$E$5)</f>
        <v>High</v>
      </c>
      <c r="V503" t="str">
        <f>_xlfn.XLOOKUP(L503,Lookup_Tables!$D$2:$D$5,Lookup_Tables!$E$2:$E$5)</f>
        <v>High</v>
      </c>
    </row>
    <row r="504" spans="1:22">
      <c r="A504">
        <f>RAW_DATA!A504</f>
        <v>53</v>
      </c>
      <c r="B504" t="str">
        <f>RAW_DATA!B504</f>
        <v>No</v>
      </c>
      <c r="C504" t="str">
        <f>RAW_DATA!C504</f>
        <v>Sales</v>
      </c>
      <c r="D504">
        <f>RAW_DATA!D504</f>
        <v>1</v>
      </c>
      <c r="E504">
        <f>RAW_DATA!E504</f>
        <v>1</v>
      </c>
      <c r="F504" t="str">
        <f>RAW_DATA!F504</f>
        <v>Medical</v>
      </c>
      <c r="G504">
        <f>RAW_DATA!G504</f>
        <v>4</v>
      </c>
      <c r="H504">
        <f>RAW_DATA!H504</f>
        <v>1</v>
      </c>
      <c r="I504" t="str">
        <f>RAW_DATA!I504</f>
        <v>Single</v>
      </c>
      <c r="J504">
        <f>RAW_DATA!J504</f>
        <v>8381</v>
      </c>
      <c r="K504">
        <f>RAW_DATA!K504</f>
        <v>7</v>
      </c>
      <c r="L504">
        <f>RAW_DATA!L504</f>
        <v>4</v>
      </c>
      <c r="M504">
        <f>RAW_DATA!M504</f>
        <v>14</v>
      </c>
      <c r="N504">
        <f t="shared" si="14"/>
        <v>0</v>
      </c>
      <c r="O504" t="str">
        <f xml:space="preserve"> VLOOKUP(A504, Lookup_Tables!$G$2:$H$6,2,TRUE)</f>
        <v>45-54</v>
      </c>
      <c r="P504" t="str">
        <f>_xlfn.XLOOKUP(J504,Lookup_Tables!$J$2:$J$4,Lookup_Tables!$K$2:$K$4, " ",-1)</f>
        <v>High</v>
      </c>
      <c r="Q504" t="str">
        <f xml:space="preserve"> _xlfn.XLOOKUP(M504, Lookup_Tables!$M$2:$M$5,Lookup_Tables!$N$2:$N$5," ", -1)</f>
        <v>Veteran (10+)</v>
      </c>
      <c r="R504" s="4">
        <f t="shared" si="15"/>
        <v>3</v>
      </c>
      <c r="S504" t="str">
        <f xml:space="preserve"> _xlfn.XLOOKUP( E504, Lookup_Tables!$A$2:$A$6,Lookup_Tables!$B$2:$B$6," ", -1)</f>
        <v>Below College</v>
      </c>
      <c r="T504" t="str">
        <f>_xlfn.XLOOKUP(G504,Lookup_Tables!$D$2:$D$5,Lookup_Tables!$E$2:$E$5)</f>
        <v>Very High</v>
      </c>
      <c r="U504" t="str">
        <f>_xlfn.XLOOKUP(H504,Lookup_Tables!$D$2:$D$5,Lookup_Tables!$E$2:$E$5)</f>
        <v>Low</v>
      </c>
      <c r="V504" t="str">
        <f>_xlfn.XLOOKUP(L504,Lookup_Tables!$D$2:$D$5,Lookup_Tables!$E$2:$E$5)</f>
        <v>Very High</v>
      </c>
    </row>
    <row r="505" spans="1:22">
      <c r="A505">
        <f>RAW_DATA!A505</f>
        <v>34</v>
      </c>
      <c r="B505" t="str">
        <f>RAW_DATA!B505</f>
        <v>No</v>
      </c>
      <c r="C505" t="str">
        <f>RAW_DATA!C505</f>
        <v>Research &amp; Development</v>
      </c>
      <c r="D505">
        <f>RAW_DATA!D505</f>
        <v>1</v>
      </c>
      <c r="E505">
        <f>RAW_DATA!E505</f>
        <v>5</v>
      </c>
      <c r="F505" t="str">
        <f>RAW_DATA!F505</f>
        <v>Life Sciences</v>
      </c>
      <c r="G505">
        <f>RAW_DATA!G505</f>
        <v>2</v>
      </c>
      <c r="H505">
        <f>RAW_DATA!H505</f>
        <v>4</v>
      </c>
      <c r="I505" t="str">
        <f>RAW_DATA!I505</f>
        <v>Married</v>
      </c>
      <c r="J505">
        <f>RAW_DATA!J505</f>
        <v>2691</v>
      </c>
      <c r="K505">
        <f>RAW_DATA!K505</f>
        <v>1</v>
      </c>
      <c r="L505">
        <f>RAW_DATA!L505</f>
        <v>2</v>
      </c>
      <c r="M505">
        <f>RAW_DATA!M505</f>
        <v>10</v>
      </c>
      <c r="N505">
        <f t="shared" si="14"/>
        <v>0</v>
      </c>
      <c r="O505" t="str">
        <f xml:space="preserve"> VLOOKUP(A505, Lookup_Tables!$G$2:$H$6,2,TRUE)</f>
        <v>25-34</v>
      </c>
      <c r="P505" t="str">
        <f>_xlfn.XLOOKUP(J505,Lookup_Tables!$J$2:$J$4,Lookup_Tables!$K$2:$K$4, " ",-1)</f>
        <v>Low</v>
      </c>
      <c r="Q505" t="str">
        <f xml:space="preserve"> _xlfn.XLOOKUP(M505, Lookup_Tables!$M$2:$M$5,Lookup_Tables!$N$2:$N$5," ", -1)</f>
        <v>Veteran (10+)</v>
      </c>
      <c r="R505" s="4">
        <f t="shared" si="15"/>
        <v>2.6666666666666665</v>
      </c>
      <c r="S505" t="str">
        <f xml:space="preserve"> _xlfn.XLOOKUP( E505, Lookup_Tables!$A$2:$A$6,Lookup_Tables!$B$2:$B$6," ", -1)</f>
        <v>Doctor</v>
      </c>
      <c r="T505" t="str">
        <f>_xlfn.XLOOKUP(G505,Lookup_Tables!$D$2:$D$5,Lookup_Tables!$E$2:$E$5)</f>
        <v>Medium</v>
      </c>
      <c r="U505" t="str">
        <f>_xlfn.XLOOKUP(H505,Lookup_Tables!$D$2:$D$5,Lookup_Tables!$E$2:$E$5)</f>
        <v>Very High</v>
      </c>
      <c r="V505" t="str">
        <f>_xlfn.XLOOKUP(L505,Lookup_Tables!$D$2:$D$5,Lookup_Tables!$E$2:$E$5)</f>
        <v>Medium</v>
      </c>
    </row>
    <row r="506" spans="1:22">
      <c r="A506">
        <f>RAW_DATA!A506</f>
        <v>45</v>
      </c>
      <c r="B506" t="str">
        <f>RAW_DATA!B506</f>
        <v>Yes</v>
      </c>
      <c r="C506" t="str">
        <f>RAW_DATA!C506</f>
        <v>Sales</v>
      </c>
      <c r="D506">
        <f>RAW_DATA!D506</f>
        <v>26</v>
      </c>
      <c r="E506">
        <f>RAW_DATA!E506</f>
        <v>4</v>
      </c>
      <c r="F506" t="str">
        <f>RAW_DATA!F506</f>
        <v>Life Sciences</v>
      </c>
      <c r="G506">
        <f>RAW_DATA!G506</f>
        <v>1</v>
      </c>
      <c r="H506">
        <f>RAW_DATA!H506</f>
        <v>1</v>
      </c>
      <c r="I506" t="str">
        <f>RAW_DATA!I506</f>
        <v>Married</v>
      </c>
      <c r="J506">
        <f>RAW_DATA!J506</f>
        <v>4286</v>
      </c>
      <c r="K506">
        <f>RAW_DATA!K506</f>
        <v>2</v>
      </c>
      <c r="L506">
        <f>RAW_DATA!L506</f>
        <v>3</v>
      </c>
      <c r="M506">
        <f>RAW_DATA!M506</f>
        <v>1</v>
      </c>
      <c r="N506">
        <f t="shared" si="14"/>
        <v>1</v>
      </c>
      <c r="O506" t="str">
        <f xml:space="preserve"> VLOOKUP(A506, Lookup_Tables!$G$2:$H$6,2,TRUE)</f>
        <v>45-54</v>
      </c>
      <c r="P506" t="str">
        <f>_xlfn.XLOOKUP(J506,Lookup_Tables!$J$2:$J$4,Lookup_Tables!$K$2:$K$4, " ",-1)</f>
        <v>Medium</v>
      </c>
      <c r="Q506" t="str">
        <f xml:space="preserve"> _xlfn.XLOOKUP(M506, Lookup_Tables!$M$2:$M$5,Lookup_Tables!$N$2:$N$5," ", -1)</f>
        <v>New (0-2)</v>
      </c>
      <c r="R506" s="4">
        <f t="shared" si="15"/>
        <v>1.6666666666666667</v>
      </c>
      <c r="S506" t="str">
        <f xml:space="preserve"> _xlfn.XLOOKUP( E506, Lookup_Tables!$A$2:$A$6,Lookup_Tables!$B$2:$B$6," ", -1)</f>
        <v>Master</v>
      </c>
      <c r="T506" t="str">
        <f>_xlfn.XLOOKUP(G506,Lookup_Tables!$D$2:$D$5,Lookup_Tables!$E$2:$E$5)</f>
        <v>Low</v>
      </c>
      <c r="U506" t="str">
        <f>_xlfn.XLOOKUP(H506,Lookup_Tables!$D$2:$D$5,Lookup_Tables!$E$2:$E$5)</f>
        <v>Low</v>
      </c>
      <c r="V506" t="str">
        <f>_xlfn.XLOOKUP(L506,Lookup_Tables!$D$2:$D$5,Lookup_Tables!$E$2:$E$5)</f>
        <v>High</v>
      </c>
    </row>
    <row r="507" spans="1:22">
      <c r="A507">
        <f>RAW_DATA!A507</f>
        <v>26</v>
      </c>
      <c r="B507" t="str">
        <f>RAW_DATA!B507</f>
        <v>No</v>
      </c>
      <c r="C507" t="str">
        <f>RAW_DATA!C507</f>
        <v>Research &amp; Development</v>
      </c>
      <c r="D507">
        <f>RAW_DATA!D507</f>
        <v>6</v>
      </c>
      <c r="E507">
        <f>RAW_DATA!E507</f>
        <v>3</v>
      </c>
      <c r="F507" t="str">
        <f>RAW_DATA!F507</f>
        <v>Life Sciences</v>
      </c>
      <c r="G507">
        <f>RAW_DATA!G507</f>
        <v>3</v>
      </c>
      <c r="H507">
        <f>RAW_DATA!H507</f>
        <v>4</v>
      </c>
      <c r="I507" t="str">
        <f>RAW_DATA!I507</f>
        <v>Married</v>
      </c>
      <c r="J507">
        <f>RAW_DATA!J507</f>
        <v>2659</v>
      </c>
      <c r="K507">
        <f>RAW_DATA!K507</f>
        <v>1</v>
      </c>
      <c r="L507">
        <f>RAW_DATA!L507</f>
        <v>3</v>
      </c>
      <c r="M507">
        <f>RAW_DATA!M507</f>
        <v>3</v>
      </c>
      <c r="N507">
        <f t="shared" si="14"/>
        <v>0</v>
      </c>
      <c r="O507" t="str">
        <f xml:space="preserve"> VLOOKUP(A507, Lookup_Tables!$G$2:$H$6,2,TRUE)</f>
        <v>25-34</v>
      </c>
      <c r="P507" t="str">
        <f>_xlfn.XLOOKUP(J507,Lookup_Tables!$J$2:$J$4,Lookup_Tables!$K$2:$K$4, " ",-1)</f>
        <v>Low</v>
      </c>
      <c r="Q507" t="str">
        <f xml:space="preserve"> _xlfn.XLOOKUP(M507, Lookup_Tables!$M$2:$M$5,Lookup_Tables!$N$2:$N$5," ", -1)</f>
        <v>Early (2-5)</v>
      </c>
      <c r="R507" s="4">
        <f t="shared" si="15"/>
        <v>3.3333333333333335</v>
      </c>
      <c r="S507" t="str">
        <f xml:space="preserve"> _xlfn.XLOOKUP( E507, Lookup_Tables!$A$2:$A$6,Lookup_Tables!$B$2:$B$6," ", -1)</f>
        <v>Bachelor</v>
      </c>
      <c r="T507" t="str">
        <f>_xlfn.XLOOKUP(G507,Lookup_Tables!$D$2:$D$5,Lookup_Tables!$E$2:$E$5)</f>
        <v>High</v>
      </c>
      <c r="U507" t="str">
        <f>_xlfn.XLOOKUP(H507,Lookup_Tables!$D$2:$D$5,Lookup_Tables!$E$2:$E$5)</f>
        <v>Very High</v>
      </c>
      <c r="V507" t="str">
        <f>_xlfn.XLOOKUP(L507,Lookup_Tables!$D$2:$D$5,Lookup_Tables!$E$2:$E$5)</f>
        <v>High</v>
      </c>
    </row>
    <row r="508" spans="1:22">
      <c r="A508">
        <f>RAW_DATA!A508</f>
        <v>37</v>
      </c>
      <c r="B508" t="str">
        <f>RAW_DATA!B508</f>
        <v>No</v>
      </c>
      <c r="C508" t="str">
        <f>RAW_DATA!C508</f>
        <v>Research &amp; Development</v>
      </c>
      <c r="D508">
        <f>RAW_DATA!D508</f>
        <v>3</v>
      </c>
      <c r="E508">
        <f>RAW_DATA!E508</f>
        <v>3</v>
      </c>
      <c r="F508" t="str">
        <f>RAW_DATA!F508</f>
        <v>Other</v>
      </c>
      <c r="G508">
        <f>RAW_DATA!G508</f>
        <v>3</v>
      </c>
      <c r="H508">
        <f>RAW_DATA!H508</f>
        <v>3</v>
      </c>
      <c r="I508" t="str">
        <f>RAW_DATA!I508</f>
        <v>Married</v>
      </c>
      <c r="J508">
        <f>RAW_DATA!J508</f>
        <v>9434</v>
      </c>
      <c r="K508">
        <f>RAW_DATA!K508</f>
        <v>1</v>
      </c>
      <c r="L508">
        <f>RAW_DATA!L508</f>
        <v>3</v>
      </c>
      <c r="M508">
        <f>RAW_DATA!M508</f>
        <v>10</v>
      </c>
      <c r="N508">
        <f t="shared" si="14"/>
        <v>0</v>
      </c>
      <c r="O508" t="str">
        <f xml:space="preserve"> VLOOKUP(A508, Lookup_Tables!$G$2:$H$6,2,TRUE)</f>
        <v>35-44</v>
      </c>
      <c r="P508" t="str">
        <f>_xlfn.XLOOKUP(J508,Lookup_Tables!$J$2:$J$4,Lookup_Tables!$K$2:$K$4, " ",-1)</f>
        <v>High</v>
      </c>
      <c r="Q508" t="str">
        <f xml:space="preserve"> _xlfn.XLOOKUP(M508, Lookup_Tables!$M$2:$M$5,Lookup_Tables!$N$2:$N$5," ", -1)</f>
        <v>Veteran (10+)</v>
      </c>
      <c r="R508" s="4">
        <f t="shared" si="15"/>
        <v>3</v>
      </c>
      <c r="S508" t="str">
        <f xml:space="preserve"> _xlfn.XLOOKUP( E508, Lookup_Tables!$A$2:$A$6,Lookup_Tables!$B$2:$B$6," ", -1)</f>
        <v>Bachelor</v>
      </c>
      <c r="T508" t="str">
        <f>_xlfn.XLOOKUP(G508,Lookup_Tables!$D$2:$D$5,Lookup_Tables!$E$2:$E$5)</f>
        <v>High</v>
      </c>
      <c r="U508" t="str">
        <f>_xlfn.XLOOKUP(H508,Lookup_Tables!$D$2:$D$5,Lookup_Tables!$E$2:$E$5)</f>
        <v>High</v>
      </c>
      <c r="V508" t="str">
        <f>_xlfn.XLOOKUP(L508,Lookup_Tables!$D$2:$D$5,Lookup_Tables!$E$2:$E$5)</f>
        <v>High</v>
      </c>
    </row>
    <row r="509" spans="1:22">
      <c r="A509">
        <f>RAW_DATA!A509</f>
        <v>29</v>
      </c>
      <c r="B509" t="str">
        <f>RAW_DATA!B509</f>
        <v>No</v>
      </c>
      <c r="C509" t="str">
        <f>RAW_DATA!C509</f>
        <v>Sales</v>
      </c>
      <c r="D509">
        <f>RAW_DATA!D509</f>
        <v>3</v>
      </c>
      <c r="E509">
        <f>RAW_DATA!E509</f>
        <v>2</v>
      </c>
      <c r="F509" t="str">
        <f>RAW_DATA!F509</f>
        <v>Medical</v>
      </c>
      <c r="G509">
        <f>RAW_DATA!G509</f>
        <v>2</v>
      </c>
      <c r="H509">
        <f>RAW_DATA!H509</f>
        <v>3</v>
      </c>
      <c r="I509" t="str">
        <f>RAW_DATA!I509</f>
        <v>Married</v>
      </c>
      <c r="J509">
        <f>RAW_DATA!J509</f>
        <v>5561</v>
      </c>
      <c r="K509">
        <f>RAW_DATA!K509</f>
        <v>1</v>
      </c>
      <c r="L509">
        <f>RAW_DATA!L509</f>
        <v>2</v>
      </c>
      <c r="M509">
        <f>RAW_DATA!M509</f>
        <v>6</v>
      </c>
      <c r="N509">
        <f t="shared" si="14"/>
        <v>0</v>
      </c>
      <c r="O509" t="str">
        <f xml:space="preserve"> VLOOKUP(A509, Lookup_Tables!$G$2:$H$6,2,TRUE)</f>
        <v>25-34</v>
      </c>
      <c r="P509" t="str">
        <f>_xlfn.XLOOKUP(J509,Lookup_Tables!$J$2:$J$4,Lookup_Tables!$K$2:$K$4, " ",-1)</f>
        <v>Medium</v>
      </c>
      <c r="Q509" t="str">
        <f xml:space="preserve"> _xlfn.XLOOKUP(M509, Lookup_Tables!$M$2:$M$5,Lookup_Tables!$N$2:$N$5," ", -1)</f>
        <v>Established (5-10)</v>
      </c>
      <c r="R509" s="4">
        <f t="shared" si="15"/>
        <v>2.3333333333333335</v>
      </c>
      <c r="S509" t="str">
        <f xml:space="preserve"> _xlfn.XLOOKUP( E509, Lookup_Tables!$A$2:$A$6,Lookup_Tables!$B$2:$B$6," ", -1)</f>
        <v>College</v>
      </c>
      <c r="T509" t="str">
        <f>_xlfn.XLOOKUP(G509,Lookup_Tables!$D$2:$D$5,Lookup_Tables!$E$2:$E$5)</f>
        <v>Medium</v>
      </c>
      <c r="U509" t="str">
        <f>_xlfn.XLOOKUP(H509,Lookup_Tables!$D$2:$D$5,Lookup_Tables!$E$2:$E$5)</f>
        <v>High</v>
      </c>
      <c r="V509" t="str">
        <f>_xlfn.XLOOKUP(L509,Lookup_Tables!$D$2:$D$5,Lookup_Tables!$E$2:$E$5)</f>
        <v>Medium</v>
      </c>
    </row>
    <row r="510" spans="1:22">
      <c r="A510">
        <f>RAW_DATA!A510</f>
        <v>35</v>
      </c>
      <c r="B510" t="str">
        <f>RAW_DATA!B510</f>
        <v>No</v>
      </c>
      <c r="C510" t="str">
        <f>RAW_DATA!C510</f>
        <v>Research &amp; Development</v>
      </c>
      <c r="D510">
        <f>RAW_DATA!D510</f>
        <v>6</v>
      </c>
      <c r="E510">
        <f>RAW_DATA!E510</f>
        <v>4</v>
      </c>
      <c r="F510" t="str">
        <f>RAW_DATA!F510</f>
        <v>Life Sciences</v>
      </c>
      <c r="G510">
        <f>RAW_DATA!G510</f>
        <v>2</v>
      </c>
      <c r="H510">
        <f>RAW_DATA!H510</f>
        <v>4</v>
      </c>
      <c r="I510" t="str">
        <f>RAW_DATA!I510</f>
        <v>Single</v>
      </c>
      <c r="J510">
        <f>RAW_DATA!J510</f>
        <v>6646</v>
      </c>
      <c r="K510">
        <f>RAW_DATA!K510</f>
        <v>1</v>
      </c>
      <c r="L510">
        <f>RAW_DATA!L510</f>
        <v>3</v>
      </c>
      <c r="M510">
        <f>RAW_DATA!M510</f>
        <v>17</v>
      </c>
      <c r="N510">
        <f t="shared" si="14"/>
        <v>0</v>
      </c>
      <c r="O510" t="str">
        <f xml:space="preserve"> VLOOKUP(A510, Lookup_Tables!$G$2:$H$6,2,TRUE)</f>
        <v>35-44</v>
      </c>
      <c r="P510" t="str">
        <f>_xlfn.XLOOKUP(J510,Lookup_Tables!$J$2:$J$4,Lookup_Tables!$K$2:$K$4, " ",-1)</f>
        <v>Medium</v>
      </c>
      <c r="Q510" t="str">
        <f xml:space="preserve"> _xlfn.XLOOKUP(M510, Lookup_Tables!$M$2:$M$5,Lookup_Tables!$N$2:$N$5," ", -1)</f>
        <v>Veteran (10+)</v>
      </c>
      <c r="R510" s="4">
        <f t="shared" si="15"/>
        <v>3</v>
      </c>
      <c r="S510" t="str">
        <f xml:space="preserve"> _xlfn.XLOOKUP( E510, Lookup_Tables!$A$2:$A$6,Lookup_Tables!$B$2:$B$6," ", -1)</f>
        <v>Master</v>
      </c>
      <c r="T510" t="str">
        <f>_xlfn.XLOOKUP(G510,Lookup_Tables!$D$2:$D$5,Lookup_Tables!$E$2:$E$5)</f>
        <v>Medium</v>
      </c>
      <c r="U510" t="str">
        <f>_xlfn.XLOOKUP(H510,Lookup_Tables!$D$2:$D$5,Lookup_Tables!$E$2:$E$5)</f>
        <v>Very High</v>
      </c>
      <c r="V510" t="str">
        <f>_xlfn.XLOOKUP(L510,Lookup_Tables!$D$2:$D$5,Lookup_Tables!$E$2:$E$5)</f>
        <v>High</v>
      </c>
    </row>
    <row r="511" spans="1:22">
      <c r="A511">
        <f>RAW_DATA!A511</f>
        <v>33</v>
      </c>
      <c r="B511" t="str">
        <f>RAW_DATA!B511</f>
        <v>No</v>
      </c>
      <c r="C511" t="str">
        <f>RAW_DATA!C511</f>
        <v>Research &amp; Development</v>
      </c>
      <c r="D511">
        <f>RAW_DATA!D511</f>
        <v>6</v>
      </c>
      <c r="E511">
        <f>RAW_DATA!E511</f>
        <v>3</v>
      </c>
      <c r="F511" t="str">
        <f>RAW_DATA!F511</f>
        <v>Life Sciences</v>
      </c>
      <c r="G511">
        <f>RAW_DATA!G511</f>
        <v>3</v>
      </c>
      <c r="H511">
        <f>RAW_DATA!H511</f>
        <v>4</v>
      </c>
      <c r="I511" t="str">
        <f>RAW_DATA!I511</f>
        <v>Divorced</v>
      </c>
      <c r="J511">
        <f>RAW_DATA!J511</f>
        <v>7725</v>
      </c>
      <c r="K511">
        <f>RAW_DATA!K511</f>
        <v>3</v>
      </c>
      <c r="L511">
        <f>RAW_DATA!L511</f>
        <v>1</v>
      </c>
      <c r="M511">
        <f>RAW_DATA!M511</f>
        <v>13</v>
      </c>
      <c r="N511">
        <f t="shared" si="14"/>
        <v>0</v>
      </c>
      <c r="O511" t="str">
        <f xml:space="preserve"> VLOOKUP(A511, Lookup_Tables!$G$2:$H$6,2,TRUE)</f>
        <v>25-34</v>
      </c>
      <c r="P511" t="str">
        <f>_xlfn.XLOOKUP(J511,Lookup_Tables!$J$2:$J$4,Lookup_Tables!$K$2:$K$4, " ",-1)</f>
        <v>High</v>
      </c>
      <c r="Q511" t="str">
        <f xml:space="preserve"> _xlfn.XLOOKUP(M511, Lookup_Tables!$M$2:$M$5,Lookup_Tables!$N$2:$N$5," ", -1)</f>
        <v>Veteran (10+)</v>
      </c>
      <c r="R511" s="4">
        <f t="shared" si="15"/>
        <v>2.6666666666666665</v>
      </c>
      <c r="S511" t="str">
        <f xml:space="preserve"> _xlfn.XLOOKUP( E511, Lookup_Tables!$A$2:$A$6,Lookup_Tables!$B$2:$B$6," ", -1)</f>
        <v>Bachelor</v>
      </c>
      <c r="T511" t="str">
        <f>_xlfn.XLOOKUP(G511,Lookup_Tables!$D$2:$D$5,Lookup_Tables!$E$2:$E$5)</f>
        <v>High</v>
      </c>
      <c r="U511" t="str">
        <f>_xlfn.XLOOKUP(H511,Lookup_Tables!$D$2:$D$5,Lookup_Tables!$E$2:$E$5)</f>
        <v>Very High</v>
      </c>
      <c r="V511" t="str">
        <f>_xlfn.XLOOKUP(L511,Lookup_Tables!$D$2:$D$5,Lookup_Tables!$E$2:$E$5)</f>
        <v>Low</v>
      </c>
    </row>
    <row r="512" spans="1:22">
      <c r="A512">
        <f>RAW_DATA!A512</f>
        <v>54</v>
      </c>
      <c r="B512" t="str">
        <f>RAW_DATA!B512</f>
        <v>No</v>
      </c>
      <c r="C512" t="str">
        <f>RAW_DATA!C512</f>
        <v>Human Resources</v>
      </c>
      <c r="D512">
        <f>RAW_DATA!D512</f>
        <v>19</v>
      </c>
      <c r="E512">
        <f>RAW_DATA!E512</f>
        <v>4</v>
      </c>
      <c r="F512" t="str">
        <f>RAW_DATA!F512</f>
        <v>Medical</v>
      </c>
      <c r="G512">
        <f>RAW_DATA!G512</f>
        <v>3</v>
      </c>
      <c r="H512">
        <f>RAW_DATA!H512</f>
        <v>2</v>
      </c>
      <c r="I512" t="str">
        <f>RAW_DATA!I512</f>
        <v>Married</v>
      </c>
      <c r="J512">
        <f>RAW_DATA!J512</f>
        <v>10725</v>
      </c>
      <c r="K512">
        <f>RAW_DATA!K512</f>
        <v>2</v>
      </c>
      <c r="L512">
        <f>RAW_DATA!L512</f>
        <v>4</v>
      </c>
      <c r="M512">
        <f>RAW_DATA!M512</f>
        <v>9</v>
      </c>
      <c r="N512">
        <f t="shared" si="14"/>
        <v>0</v>
      </c>
      <c r="O512" t="str">
        <f xml:space="preserve"> VLOOKUP(A512, Lookup_Tables!$G$2:$H$6,2,TRUE)</f>
        <v>45-54</v>
      </c>
      <c r="P512" t="str">
        <f>_xlfn.XLOOKUP(J512,Lookup_Tables!$J$2:$J$4,Lookup_Tables!$K$2:$K$4, " ",-1)</f>
        <v>High</v>
      </c>
      <c r="Q512" t="str">
        <f xml:space="preserve"> _xlfn.XLOOKUP(M512, Lookup_Tables!$M$2:$M$5,Lookup_Tables!$N$2:$N$5," ", -1)</f>
        <v>Established (5-10)</v>
      </c>
      <c r="R512" s="4">
        <f t="shared" si="15"/>
        <v>3</v>
      </c>
      <c r="S512" t="str">
        <f xml:space="preserve"> _xlfn.XLOOKUP( E512, Lookup_Tables!$A$2:$A$6,Lookup_Tables!$B$2:$B$6," ", -1)</f>
        <v>Master</v>
      </c>
      <c r="T512" t="str">
        <f>_xlfn.XLOOKUP(G512,Lookup_Tables!$D$2:$D$5,Lookup_Tables!$E$2:$E$5)</f>
        <v>High</v>
      </c>
      <c r="U512" t="str">
        <f>_xlfn.XLOOKUP(H512,Lookup_Tables!$D$2:$D$5,Lookup_Tables!$E$2:$E$5)</f>
        <v>Medium</v>
      </c>
      <c r="V512" t="str">
        <f>_xlfn.XLOOKUP(L512,Lookup_Tables!$D$2:$D$5,Lookup_Tables!$E$2:$E$5)</f>
        <v>Very High</v>
      </c>
    </row>
    <row r="513" spans="1:22">
      <c r="A513">
        <f>RAW_DATA!A513</f>
        <v>36</v>
      </c>
      <c r="B513" t="str">
        <f>RAW_DATA!B513</f>
        <v>No</v>
      </c>
      <c r="C513" t="str">
        <f>RAW_DATA!C513</f>
        <v>Research &amp; Development</v>
      </c>
      <c r="D513">
        <f>RAW_DATA!D513</f>
        <v>9</v>
      </c>
      <c r="E513">
        <f>RAW_DATA!E513</f>
        <v>2</v>
      </c>
      <c r="F513" t="str">
        <f>RAW_DATA!F513</f>
        <v>Medical</v>
      </c>
      <c r="G513">
        <f>RAW_DATA!G513</f>
        <v>2</v>
      </c>
      <c r="H513">
        <f>RAW_DATA!H513</f>
        <v>2</v>
      </c>
      <c r="I513" t="str">
        <f>RAW_DATA!I513</f>
        <v>Divorced</v>
      </c>
      <c r="J513">
        <f>RAW_DATA!J513</f>
        <v>8847</v>
      </c>
      <c r="K513">
        <f>RAW_DATA!K513</f>
        <v>2</v>
      </c>
      <c r="L513">
        <f>RAW_DATA!L513</f>
        <v>3</v>
      </c>
      <c r="M513">
        <f>RAW_DATA!M513</f>
        <v>3</v>
      </c>
      <c r="N513">
        <f t="shared" si="14"/>
        <v>0</v>
      </c>
      <c r="O513" t="str">
        <f xml:space="preserve"> VLOOKUP(A513, Lookup_Tables!$G$2:$H$6,2,TRUE)</f>
        <v>35-44</v>
      </c>
      <c r="P513" t="str">
        <f>_xlfn.XLOOKUP(J513,Lookup_Tables!$J$2:$J$4,Lookup_Tables!$K$2:$K$4, " ",-1)</f>
        <v>High</v>
      </c>
      <c r="Q513" t="str">
        <f xml:space="preserve"> _xlfn.XLOOKUP(M513, Lookup_Tables!$M$2:$M$5,Lookup_Tables!$N$2:$N$5," ", -1)</f>
        <v>Early (2-5)</v>
      </c>
      <c r="R513" s="4">
        <f t="shared" si="15"/>
        <v>2.3333333333333335</v>
      </c>
      <c r="S513" t="str">
        <f xml:space="preserve"> _xlfn.XLOOKUP( E513, Lookup_Tables!$A$2:$A$6,Lookup_Tables!$B$2:$B$6," ", -1)</f>
        <v>College</v>
      </c>
      <c r="T513" t="str">
        <f>_xlfn.XLOOKUP(G513,Lookup_Tables!$D$2:$D$5,Lookup_Tables!$E$2:$E$5)</f>
        <v>Medium</v>
      </c>
      <c r="U513" t="str">
        <f>_xlfn.XLOOKUP(H513,Lookup_Tables!$D$2:$D$5,Lookup_Tables!$E$2:$E$5)</f>
        <v>Medium</v>
      </c>
      <c r="V513" t="str">
        <f>_xlfn.XLOOKUP(L513,Lookup_Tables!$D$2:$D$5,Lookup_Tables!$E$2:$E$5)</f>
        <v>High</v>
      </c>
    </row>
    <row r="514" spans="1:22">
      <c r="A514">
        <f>RAW_DATA!A514</f>
        <v>27</v>
      </c>
      <c r="B514" t="str">
        <f>RAW_DATA!B514</f>
        <v>No</v>
      </c>
      <c r="C514" t="str">
        <f>RAW_DATA!C514</f>
        <v>Research &amp; Development</v>
      </c>
      <c r="D514">
        <f>RAW_DATA!D514</f>
        <v>3</v>
      </c>
      <c r="E514">
        <f>RAW_DATA!E514</f>
        <v>4</v>
      </c>
      <c r="F514" t="str">
        <f>RAW_DATA!F514</f>
        <v>Medical</v>
      </c>
      <c r="G514">
        <f>RAW_DATA!G514</f>
        <v>1</v>
      </c>
      <c r="H514">
        <f>RAW_DATA!H514</f>
        <v>4</v>
      </c>
      <c r="I514" t="str">
        <f>RAW_DATA!I514</f>
        <v>Single</v>
      </c>
      <c r="J514">
        <f>RAW_DATA!J514</f>
        <v>2045</v>
      </c>
      <c r="K514">
        <f>RAW_DATA!K514</f>
        <v>0</v>
      </c>
      <c r="L514">
        <f>RAW_DATA!L514</f>
        <v>3</v>
      </c>
      <c r="M514">
        <f>RAW_DATA!M514</f>
        <v>4</v>
      </c>
      <c r="N514">
        <f t="shared" si="14"/>
        <v>0</v>
      </c>
      <c r="O514" t="str">
        <f xml:space="preserve"> VLOOKUP(A514, Lookup_Tables!$G$2:$H$6,2,TRUE)</f>
        <v>25-34</v>
      </c>
      <c r="P514" t="str">
        <f>_xlfn.XLOOKUP(J514,Lookup_Tables!$J$2:$J$4,Lookup_Tables!$K$2:$K$4, " ",-1)</f>
        <v>Low</v>
      </c>
      <c r="Q514" t="str">
        <f xml:space="preserve"> _xlfn.XLOOKUP(M514, Lookup_Tables!$M$2:$M$5,Lookup_Tables!$N$2:$N$5," ", -1)</f>
        <v>Early (2-5)</v>
      </c>
      <c r="R514" s="4">
        <f t="shared" si="15"/>
        <v>2.6666666666666665</v>
      </c>
      <c r="S514" t="str">
        <f xml:space="preserve"> _xlfn.XLOOKUP( E514, Lookup_Tables!$A$2:$A$6,Lookup_Tables!$B$2:$B$6," ", -1)</f>
        <v>Master</v>
      </c>
      <c r="T514" t="str">
        <f>_xlfn.XLOOKUP(G514,Lookup_Tables!$D$2:$D$5,Lookup_Tables!$E$2:$E$5)</f>
        <v>Low</v>
      </c>
      <c r="U514" t="str">
        <f>_xlfn.XLOOKUP(H514,Lookup_Tables!$D$2:$D$5,Lookup_Tables!$E$2:$E$5)</f>
        <v>Very High</v>
      </c>
      <c r="V514" t="str">
        <f>_xlfn.XLOOKUP(L514,Lookup_Tables!$D$2:$D$5,Lookup_Tables!$E$2:$E$5)</f>
        <v>High</v>
      </c>
    </row>
    <row r="515" spans="1:22">
      <c r="A515">
        <f>RAW_DATA!A515</f>
        <v>20</v>
      </c>
      <c r="B515" t="str">
        <f>RAW_DATA!B515</f>
        <v>Yes</v>
      </c>
      <c r="C515" t="str">
        <f>RAW_DATA!C515</f>
        <v>Research &amp; Development</v>
      </c>
      <c r="D515">
        <f>RAW_DATA!D515</f>
        <v>10</v>
      </c>
      <c r="E515">
        <f>RAW_DATA!E515</f>
        <v>1</v>
      </c>
      <c r="F515" t="str">
        <f>RAW_DATA!F515</f>
        <v>Medical</v>
      </c>
      <c r="G515">
        <f>RAW_DATA!G515</f>
        <v>4</v>
      </c>
      <c r="H515">
        <f>RAW_DATA!H515</f>
        <v>3</v>
      </c>
      <c r="I515" t="str">
        <f>RAW_DATA!I515</f>
        <v>Single</v>
      </c>
      <c r="J515">
        <f>RAW_DATA!J515</f>
        <v>1009</v>
      </c>
      <c r="K515">
        <f>RAW_DATA!K515</f>
        <v>1</v>
      </c>
      <c r="L515">
        <f>RAW_DATA!L515</f>
        <v>3</v>
      </c>
      <c r="M515">
        <f>RAW_DATA!M515</f>
        <v>1</v>
      </c>
      <c r="N515">
        <f t="shared" ref="N515:N578" si="16" xml:space="preserve"> IF(B515 ="Yes",1,0)</f>
        <v>1</v>
      </c>
      <c r="O515" t="str">
        <f xml:space="preserve"> VLOOKUP(A515, Lookup_Tables!$G$2:$H$6,2,TRUE)</f>
        <v>&lt;25</v>
      </c>
      <c r="P515" t="str">
        <f>_xlfn.XLOOKUP(J515,Lookup_Tables!$J$2:$J$4,Lookup_Tables!$K$2:$K$4, " ",-1)</f>
        <v>Low</v>
      </c>
      <c r="Q515" t="str">
        <f xml:space="preserve"> _xlfn.XLOOKUP(M515, Lookup_Tables!$M$2:$M$5,Lookup_Tables!$N$2:$N$5," ", -1)</f>
        <v>New (0-2)</v>
      </c>
      <c r="R515" s="4">
        <f t="shared" ref="R515:R578" si="17">AVERAGE(G515,H515,L515)</f>
        <v>3.3333333333333335</v>
      </c>
      <c r="S515" t="str">
        <f xml:space="preserve"> _xlfn.XLOOKUP( E515, Lookup_Tables!$A$2:$A$6,Lookup_Tables!$B$2:$B$6," ", -1)</f>
        <v>Below College</v>
      </c>
      <c r="T515" t="str">
        <f>_xlfn.XLOOKUP(G515,Lookup_Tables!$D$2:$D$5,Lookup_Tables!$E$2:$E$5)</f>
        <v>Very High</v>
      </c>
      <c r="U515" t="str">
        <f>_xlfn.XLOOKUP(H515,Lookup_Tables!$D$2:$D$5,Lookup_Tables!$E$2:$E$5)</f>
        <v>High</v>
      </c>
      <c r="V515" t="str">
        <f>_xlfn.XLOOKUP(L515,Lookup_Tables!$D$2:$D$5,Lookup_Tables!$E$2:$E$5)</f>
        <v>High</v>
      </c>
    </row>
    <row r="516" spans="1:22">
      <c r="A516">
        <f>RAW_DATA!A516</f>
        <v>33</v>
      </c>
      <c r="B516" t="str">
        <f>RAW_DATA!B516</f>
        <v>Yes</v>
      </c>
      <c r="C516" t="str">
        <f>RAW_DATA!C516</f>
        <v>Research &amp; Development</v>
      </c>
      <c r="D516">
        <f>RAW_DATA!D516</f>
        <v>3</v>
      </c>
      <c r="E516">
        <f>RAW_DATA!E516</f>
        <v>3</v>
      </c>
      <c r="F516" t="str">
        <f>RAW_DATA!F516</f>
        <v>Life Sciences</v>
      </c>
      <c r="G516">
        <f>RAW_DATA!G516</f>
        <v>1</v>
      </c>
      <c r="H516">
        <f>RAW_DATA!H516</f>
        <v>1</v>
      </c>
      <c r="I516" t="str">
        <f>RAW_DATA!I516</f>
        <v>Single</v>
      </c>
      <c r="J516">
        <f>RAW_DATA!J516</f>
        <v>3348</v>
      </c>
      <c r="K516">
        <f>RAW_DATA!K516</f>
        <v>1</v>
      </c>
      <c r="L516">
        <f>RAW_DATA!L516</f>
        <v>3</v>
      </c>
      <c r="M516">
        <f>RAW_DATA!M516</f>
        <v>10</v>
      </c>
      <c r="N516">
        <f t="shared" si="16"/>
        <v>1</v>
      </c>
      <c r="O516" t="str">
        <f xml:space="preserve"> VLOOKUP(A516, Lookup_Tables!$G$2:$H$6,2,TRUE)</f>
        <v>25-34</v>
      </c>
      <c r="P516" t="str">
        <f>_xlfn.XLOOKUP(J516,Lookup_Tables!$J$2:$J$4,Lookup_Tables!$K$2:$K$4, " ",-1)</f>
        <v>Medium</v>
      </c>
      <c r="Q516" t="str">
        <f xml:space="preserve"> _xlfn.XLOOKUP(M516, Lookup_Tables!$M$2:$M$5,Lookup_Tables!$N$2:$N$5," ", -1)</f>
        <v>Veteran (10+)</v>
      </c>
      <c r="R516" s="4">
        <f t="shared" si="17"/>
        <v>1.6666666666666667</v>
      </c>
      <c r="S516" t="str">
        <f xml:space="preserve"> _xlfn.XLOOKUP( E516, Lookup_Tables!$A$2:$A$6,Lookup_Tables!$B$2:$B$6," ", -1)</f>
        <v>Bachelor</v>
      </c>
      <c r="T516" t="str">
        <f>_xlfn.XLOOKUP(G516,Lookup_Tables!$D$2:$D$5,Lookup_Tables!$E$2:$E$5)</f>
        <v>Low</v>
      </c>
      <c r="U516" t="str">
        <f>_xlfn.XLOOKUP(H516,Lookup_Tables!$D$2:$D$5,Lookup_Tables!$E$2:$E$5)</f>
        <v>Low</v>
      </c>
      <c r="V516" t="str">
        <f>_xlfn.XLOOKUP(L516,Lookup_Tables!$D$2:$D$5,Lookup_Tables!$E$2:$E$5)</f>
        <v>High</v>
      </c>
    </row>
    <row r="517" spans="1:22">
      <c r="A517">
        <f>RAW_DATA!A517</f>
        <v>35</v>
      </c>
      <c r="B517" t="str">
        <f>RAW_DATA!B517</f>
        <v>No</v>
      </c>
      <c r="C517" t="str">
        <f>RAW_DATA!C517</f>
        <v>Research &amp; Development</v>
      </c>
      <c r="D517">
        <f>RAW_DATA!D517</f>
        <v>3</v>
      </c>
      <c r="E517">
        <f>RAW_DATA!E517</f>
        <v>3</v>
      </c>
      <c r="F517" t="str">
        <f>RAW_DATA!F517</f>
        <v>Life Sciences</v>
      </c>
      <c r="G517">
        <f>RAW_DATA!G517</f>
        <v>3</v>
      </c>
      <c r="H517">
        <f>RAW_DATA!H517</f>
        <v>3</v>
      </c>
      <c r="I517" t="str">
        <f>RAW_DATA!I517</f>
        <v>Married</v>
      </c>
      <c r="J517">
        <f>RAW_DATA!J517</f>
        <v>1281</v>
      </c>
      <c r="K517">
        <f>RAW_DATA!K517</f>
        <v>1</v>
      </c>
      <c r="L517">
        <f>RAW_DATA!L517</f>
        <v>3</v>
      </c>
      <c r="M517">
        <f>RAW_DATA!M517</f>
        <v>1</v>
      </c>
      <c r="N517">
        <f t="shared" si="16"/>
        <v>0</v>
      </c>
      <c r="O517" t="str">
        <f xml:space="preserve"> VLOOKUP(A517, Lookup_Tables!$G$2:$H$6,2,TRUE)</f>
        <v>35-44</v>
      </c>
      <c r="P517" t="str">
        <f>_xlfn.XLOOKUP(J517,Lookup_Tables!$J$2:$J$4,Lookup_Tables!$K$2:$K$4, " ",-1)</f>
        <v>Low</v>
      </c>
      <c r="Q517" t="str">
        <f xml:space="preserve"> _xlfn.XLOOKUP(M517, Lookup_Tables!$M$2:$M$5,Lookup_Tables!$N$2:$N$5," ", -1)</f>
        <v>New (0-2)</v>
      </c>
      <c r="R517" s="4">
        <f t="shared" si="17"/>
        <v>3</v>
      </c>
      <c r="S517" t="str">
        <f xml:space="preserve"> _xlfn.XLOOKUP( E517, Lookup_Tables!$A$2:$A$6,Lookup_Tables!$B$2:$B$6," ", -1)</f>
        <v>Bachelor</v>
      </c>
      <c r="T517" t="str">
        <f>_xlfn.XLOOKUP(G517,Lookup_Tables!$D$2:$D$5,Lookup_Tables!$E$2:$E$5)</f>
        <v>High</v>
      </c>
      <c r="U517" t="str">
        <f>_xlfn.XLOOKUP(H517,Lookup_Tables!$D$2:$D$5,Lookup_Tables!$E$2:$E$5)</f>
        <v>High</v>
      </c>
      <c r="V517" t="str">
        <f>_xlfn.XLOOKUP(L517,Lookup_Tables!$D$2:$D$5,Lookup_Tables!$E$2:$E$5)</f>
        <v>High</v>
      </c>
    </row>
    <row r="518" spans="1:22">
      <c r="A518">
        <f>RAW_DATA!A518</f>
        <v>23</v>
      </c>
      <c r="B518" t="str">
        <f>RAW_DATA!B518</f>
        <v>No</v>
      </c>
      <c r="C518" t="str">
        <f>RAW_DATA!C518</f>
        <v>Research &amp; Development</v>
      </c>
      <c r="D518">
        <f>RAW_DATA!D518</f>
        <v>4</v>
      </c>
      <c r="E518">
        <f>RAW_DATA!E518</f>
        <v>3</v>
      </c>
      <c r="F518" t="str">
        <f>RAW_DATA!F518</f>
        <v>Medical</v>
      </c>
      <c r="G518">
        <f>RAW_DATA!G518</f>
        <v>1</v>
      </c>
      <c r="H518">
        <f>RAW_DATA!H518</f>
        <v>1</v>
      </c>
      <c r="I518" t="str">
        <f>RAW_DATA!I518</f>
        <v>Married</v>
      </c>
      <c r="J518">
        <f>RAW_DATA!J518</f>
        <v>2819</v>
      </c>
      <c r="K518">
        <f>RAW_DATA!K518</f>
        <v>2</v>
      </c>
      <c r="L518">
        <f>RAW_DATA!L518</f>
        <v>4</v>
      </c>
      <c r="M518">
        <f>RAW_DATA!M518</f>
        <v>3</v>
      </c>
      <c r="N518">
        <f t="shared" si="16"/>
        <v>0</v>
      </c>
      <c r="O518" t="str">
        <f xml:space="preserve"> VLOOKUP(A518, Lookup_Tables!$G$2:$H$6,2,TRUE)</f>
        <v>&lt;25</v>
      </c>
      <c r="P518" t="str">
        <f>_xlfn.XLOOKUP(J518,Lookup_Tables!$J$2:$J$4,Lookup_Tables!$K$2:$K$4, " ",-1)</f>
        <v>Low</v>
      </c>
      <c r="Q518" t="str">
        <f xml:space="preserve"> _xlfn.XLOOKUP(M518, Lookup_Tables!$M$2:$M$5,Lookup_Tables!$N$2:$N$5," ", -1)</f>
        <v>Early (2-5)</v>
      </c>
      <c r="R518" s="4">
        <f t="shared" si="17"/>
        <v>2</v>
      </c>
      <c r="S518" t="str">
        <f xml:space="preserve"> _xlfn.XLOOKUP( E518, Lookup_Tables!$A$2:$A$6,Lookup_Tables!$B$2:$B$6," ", -1)</f>
        <v>Bachelor</v>
      </c>
      <c r="T518" t="str">
        <f>_xlfn.XLOOKUP(G518,Lookup_Tables!$D$2:$D$5,Lookup_Tables!$E$2:$E$5)</f>
        <v>Low</v>
      </c>
      <c r="U518" t="str">
        <f>_xlfn.XLOOKUP(H518,Lookup_Tables!$D$2:$D$5,Lookup_Tables!$E$2:$E$5)</f>
        <v>Low</v>
      </c>
      <c r="V518" t="str">
        <f>_xlfn.XLOOKUP(L518,Lookup_Tables!$D$2:$D$5,Lookup_Tables!$E$2:$E$5)</f>
        <v>Very High</v>
      </c>
    </row>
    <row r="519" spans="1:22">
      <c r="A519">
        <f>RAW_DATA!A519</f>
        <v>25</v>
      </c>
      <c r="B519" t="str">
        <f>RAW_DATA!B519</f>
        <v>No</v>
      </c>
      <c r="C519" t="str">
        <f>RAW_DATA!C519</f>
        <v>Sales</v>
      </c>
      <c r="D519">
        <f>RAW_DATA!D519</f>
        <v>8</v>
      </c>
      <c r="E519">
        <f>RAW_DATA!E519</f>
        <v>3</v>
      </c>
      <c r="F519" t="str">
        <f>RAW_DATA!F519</f>
        <v>Life Sciences</v>
      </c>
      <c r="G519">
        <f>RAW_DATA!G519</f>
        <v>4</v>
      </c>
      <c r="H519">
        <f>RAW_DATA!H519</f>
        <v>2</v>
      </c>
      <c r="I519" t="str">
        <f>RAW_DATA!I519</f>
        <v>Married</v>
      </c>
      <c r="J519">
        <f>RAW_DATA!J519</f>
        <v>4851</v>
      </c>
      <c r="K519">
        <f>RAW_DATA!K519</f>
        <v>0</v>
      </c>
      <c r="L519">
        <f>RAW_DATA!L519</f>
        <v>3</v>
      </c>
      <c r="M519">
        <f>RAW_DATA!M519</f>
        <v>3</v>
      </c>
      <c r="N519">
        <f t="shared" si="16"/>
        <v>0</v>
      </c>
      <c r="O519" t="str">
        <f xml:space="preserve"> VLOOKUP(A519, Lookup_Tables!$G$2:$H$6,2,TRUE)</f>
        <v>25-34</v>
      </c>
      <c r="P519" t="str">
        <f>_xlfn.XLOOKUP(J519,Lookup_Tables!$J$2:$J$4,Lookup_Tables!$K$2:$K$4, " ",-1)</f>
        <v>Medium</v>
      </c>
      <c r="Q519" t="str">
        <f xml:space="preserve"> _xlfn.XLOOKUP(M519, Lookup_Tables!$M$2:$M$5,Lookup_Tables!$N$2:$N$5," ", -1)</f>
        <v>Early (2-5)</v>
      </c>
      <c r="R519" s="4">
        <f t="shared" si="17"/>
        <v>3</v>
      </c>
      <c r="S519" t="str">
        <f xml:space="preserve"> _xlfn.XLOOKUP( E519, Lookup_Tables!$A$2:$A$6,Lookup_Tables!$B$2:$B$6," ", -1)</f>
        <v>Bachelor</v>
      </c>
      <c r="T519" t="str">
        <f>_xlfn.XLOOKUP(G519,Lookup_Tables!$D$2:$D$5,Lookup_Tables!$E$2:$E$5)</f>
        <v>Very High</v>
      </c>
      <c r="U519" t="str">
        <f>_xlfn.XLOOKUP(H519,Lookup_Tables!$D$2:$D$5,Lookup_Tables!$E$2:$E$5)</f>
        <v>Medium</v>
      </c>
      <c r="V519" t="str">
        <f>_xlfn.XLOOKUP(L519,Lookup_Tables!$D$2:$D$5,Lookup_Tables!$E$2:$E$5)</f>
        <v>High</v>
      </c>
    </row>
    <row r="520" spans="1:22">
      <c r="A520">
        <f>RAW_DATA!A520</f>
        <v>38</v>
      </c>
      <c r="B520" t="str">
        <f>RAW_DATA!B520</f>
        <v>No</v>
      </c>
      <c r="C520" t="str">
        <f>RAW_DATA!C520</f>
        <v>Sales</v>
      </c>
      <c r="D520">
        <f>RAW_DATA!D520</f>
        <v>7</v>
      </c>
      <c r="E520">
        <f>RAW_DATA!E520</f>
        <v>4</v>
      </c>
      <c r="F520" t="str">
        <f>RAW_DATA!F520</f>
        <v>Marketing</v>
      </c>
      <c r="G520">
        <f>RAW_DATA!G520</f>
        <v>4</v>
      </c>
      <c r="H520">
        <f>RAW_DATA!H520</f>
        <v>4</v>
      </c>
      <c r="I520" t="str">
        <f>RAW_DATA!I520</f>
        <v>Single</v>
      </c>
      <c r="J520">
        <f>RAW_DATA!J520</f>
        <v>4028</v>
      </c>
      <c r="K520">
        <f>RAW_DATA!K520</f>
        <v>0</v>
      </c>
      <c r="L520">
        <f>RAW_DATA!L520</f>
        <v>3</v>
      </c>
      <c r="M520">
        <f>RAW_DATA!M520</f>
        <v>7</v>
      </c>
      <c r="N520">
        <f t="shared" si="16"/>
        <v>0</v>
      </c>
      <c r="O520" t="str">
        <f xml:space="preserve"> VLOOKUP(A520, Lookup_Tables!$G$2:$H$6,2,TRUE)</f>
        <v>35-44</v>
      </c>
      <c r="P520" t="str">
        <f>_xlfn.XLOOKUP(J520,Lookup_Tables!$J$2:$J$4,Lookup_Tables!$K$2:$K$4, " ",-1)</f>
        <v>Medium</v>
      </c>
      <c r="Q520" t="str">
        <f xml:space="preserve"> _xlfn.XLOOKUP(M520, Lookup_Tables!$M$2:$M$5,Lookup_Tables!$N$2:$N$5," ", -1)</f>
        <v>Established (5-10)</v>
      </c>
      <c r="R520" s="4">
        <f t="shared" si="17"/>
        <v>3.6666666666666665</v>
      </c>
      <c r="S520" t="str">
        <f xml:space="preserve"> _xlfn.XLOOKUP( E520, Lookup_Tables!$A$2:$A$6,Lookup_Tables!$B$2:$B$6," ", -1)</f>
        <v>Master</v>
      </c>
      <c r="T520" t="str">
        <f>_xlfn.XLOOKUP(G520,Lookup_Tables!$D$2:$D$5,Lookup_Tables!$E$2:$E$5)</f>
        <v>Very High</v>
      </c>
      <c r="U520" t="str">
        <f>_xlfn.XLOOKUP(H520,Lookup_Tables!$D$2:$D$5,Lookup_Tables!$E$2:$E$5)</f>
        <v>Very High</v>
      </c>
      <c r="V520" t="str">
        <f>_xlfn.XLOOKUP(L520,Lookup_Tables!$D$2:$D$5,Lookup_Tables!$E$2:$E$5)</f>
        <v>High</v>
      </c>
    </row>
    <row r="521" spans="1:22">
      <c r="A521">
        <f>RAW_DATA!A521</f>
        <v>29</v>
      </c>
      <c r="B521" t="str">
        <f>RAW_DATA!B521</f>
        <v>No</v>
      </c>
      <c r="C521" t="str">
        <f>RAW_DATA!C521</f>
        <v>Research &amp; Development</v>
      </c>
      <c r="D521">
        <f>RAW_DATA!D521</f>
        <v>1</v>
      </c>
      <c r="E521">
        <f>RAW_DATA!E521</f>
        <v>4</v>
      </c>
      <c r="F521" t="str">
        <f>RAW_DATA!F521</f>
        <v>Life Sciences</v>
      </c>
      <c r="G521">
        <f>RAW_DATA!G521</f>
        <v>2</v>
      </c>
      <c r="H521">
        <f>RAW_DATA!H521</f>
        <v>4</v>
      </c>
      <c r="I521" t="str">
        <f>RAW_DATA!I521</f>
        <v>Divorced</v>
      </c>
      <c r="J521">
        <f>RAW_DATA!J521</f>
        <v>2720</v>
      </c>
      <c r="K521">
        <f>RAW_DATA!K521</f>
        <v>1</v>
      </c>
      <c r="L521">
        <f>RAW_DATA!L521</f>
        <v>3</v>
      </c>
      <c r="M521">
        <f>RAW_DATA!M521</f>
        <v>10</v>
      </c>
      <c r="N521">
        <f t="shared" si="16"/>
        <v>0</v>
      </c>
      <c r="O521" t="str">
        <f xml:space="preserve"> VLOOKUP(A521, Lookup_Tables!$G$2:$H$6,2,TRUE)</f>
        <v>25-34</v>
      </c>
      <c r="P521" t="str">
        <f>_xlfn.XLOOKUP(J521,Lookup_Tables!$J$2:$J$4,Lookup_Tables!$K$2:$K$4, " ",-1)</f>
        <v>Low</v>
      </c>
      <c r="Q521" t="str">
        <f xml:space="preserve"> _xlfn.XLOOKUP(M521, Lookup_Tables!$M$2:$M$5,Lookup_Tables!$N$2:$N$5," ", -1)</f>
        <v>Veteran (10+)</v>
      </c>
      <c r="R521" s="4">
        <f t="shared" si="17"/>
        <v>3</v>
      </c>
      <c r="S521" t="str">
        <f xml:space="preserve"> _xlfn.XLOOKUP( E521, Lookup_Tables!$A$2:$A$6,Lookup_Tables!$B$2:$B$6," ", -1)</f>
        <v>Master</v>
      </c>
      <c r="T521" t="str">
        <f>_xlfn.XLOOKUP(G521,Lookup_Tables!$D$2:$D$5,Lookup_Tables!$E$2:$E$5)</f>
        <v>Medium</v>
      </c>
      <c r="U521" t="str">
        <f>_xlfn.XLOOKUP(H521,Lookup_Tables!$D$2:$D$5,Lookup_Tables!$E$2:$E$5)</f>
        <v>Very High</v>
      </c>
      <c r="V521" t="str">
        <f>_xlfn.XLOOKUP(L521,Lookup_Tables!$D$2:$D$5,Lookup_Tables!$E$2:$E$5)</f>
        <v>High</v>
      </c>
    </row>
    <row r="522" spans="1:22">
      <c r="A522">
        <f>RAW_DATA!A522</f>
        <v>48</v>
      </c>
      <c r="B522" t="str">
        <f>RAW_DATA!B522</f>
        <v>No</v>
      </c>
      <c r="C522" t="str">
        <f>RAW_DATA!C522</f>
        <v>Sales</v>
      </c>
      <c r="D522">
        <f>RAW_DATA!D522</f>
        <v>2</v>
      </c>
      <c r="E522">
        <f>RAW_DATA!E522</f>
        <v>1</v>
      </c>
      <c r="F522" t="str">
        <f>RAW_DATA!F522</f>
        <v>Marketing</v>
      </c>
      <c r="G522">
        <f>RAW_DATA!G522</f>
        <v>2</v>
      </c>
      <c r="H522">
        <f>RAW_DATA!H522</f>
        <v>2</v>
      </c>
      <c r="I522" t="str">
        <f>RAW_DATA!I522</f>
        <v>Married</v>
      </c>
      <c r="J522">
        <f>RAW_DATA!J522</f>
        <v>8120</v>
      </c>
      <c r="K522">
        <f>RAW_DATA!K522</f>
        <v>3</v>
      </c>
      <c r="L522">
        <f>RAW_DATA!L522</f>
        <v>3</v>
      </c>
      <c r="M522">
        <f>RAW_DATA!M522</f>
        <v>2</v>
      </c>
      <c r="N522">
        <f t="shared" si="16"/>
        <v>0</v>
      </c>
      <c r="O522" t="str">
        <f xml:space="preserve"> VLOOKUP(A522, Lookup_Tables!$G$2:$H$6,2,TRUE)</f>
        <v>45-54</v>
      </c>
      <c r="P522" t="str">
        <f>_xlfn.XLOOKUP(J522,Lookup_Tables!$J$2:$J$4,Lookup_Tables!$K$2:$K$4, " ",-1)</f>
        <v>High</v>
      </c>
      <c r="Q522" t="str">
        <f xml:space="preserve"> _xlfn.XLOOKUP(M522, Lookup_Tables!$M$2:$M$5,Lookup_Tables!$N$2:$N$5," ", -1)</f>
        <v>Early (2-5)</v>
      </c>
      <c r="R522" s="4">
        <f t="shared" si="17"/>
        <v>2.3333333333333335</v>
      </c>
      <c r="S522" t="str">
        <f xml:space="preserve"> _xlfn.XLOOKUP( E522, Lookup_Tables!$A$2:$A$6,Lookup_Tables!$B$2:$B$6," ", -1)</f>
        <v>Below College</v>
      </c>
      <c r="T522" t="str">
        <f>_xlfn.XLOOKUP(G522,Lookup_Tables!$D$2:$D$5,Lookup_Tables!$E$2:$E$5)</f>
        <v>Medium</v>
      </c>
      <c r="U522" t="str">
        <f>_xlfn.XLOOKUP(H522,Lookup_Tables!$D$2:$D$5,Lookup_Tables!$E$2:$E$5)</f>
        <v>Medium</v>
      </c>
      <c r="V522" t="str">
        <f>_xlfn.XLOOKUP(L522,Lookup_Tables!$D$2:$D$5,Lookup_Tables!$E$2:$E$5)</f>
        <v>High</v>
      </c>
    </row>
    <row r="523" spans="1:22">
      <c r="A523">
        <f>RAW_DATA!A523</f>
        <v>27</v>
      </c>
      <c r="B523" t="str">
        <f>RAW_DATA!B523</f>
        <v>No</v>
      </c>
      <c r="C523" t="str">
        <f>RAW_DATA!C523</f>
        <v>Sales</v>
      </c>
      <c r="D523">
        <f>RAW_DATA!D523</f>
        <v>3</v>
      </c>
      <c r="E523">
        <f>RAW_DATA!E523</f>
        <v>1</v>
      </c>
      <c r="F523" t="str">
        <f>RAW_DATA!F523</f>
        <v>Medical</v>
      </c>
      <c r="G523">
        <f>RAW_DATA!G523</f>
        <v>4</v>
      </c>
      <c r="H523">
        <f>RAW_DATA!H523</f>
        <v>4</v>
      </c>
      <c r="I523" t="str">
        <f>RAW_DATA!I523</f>
        <v>Divorced</v>
      </c>
      <c r="J523">
        <f>RAW_DATA!J523</f>
        <v>4647</v>
      </c>
      <c r="K523">
        <f>RAW_DATA!K523</f>
        <v>1</v>
      </c>
      <c r="L523">
        <f>RAW_DATA!L523</f>
        <v>3</v>
      </c>
      <c r="M523">
        <f>RAW_DATA!M523</f>
        <v>6</v>
      </c>
      <c r="N523">
        <f t="shared" si="16"/>
        <v>0</v>
      </c>
      <c r="O523" t="str">
        <f xml:space="preserve"> VLOOKUP(A523, Lookup_Tables!$G$2:$H$6,2,TRUE)</f>
        <v>25-34</v>
      </c>
      <c r="P523" t="str">
        <f>_xlfn.XLOOKUP(J523,Lookup_Tables!$J$2:$J$4,Lookup_Tables!$K$2:$K$4, " ",-1)</f>
        <v>Medium</v>
      </c>
      <c r="Q523" t="str">
        <f xml:space="preserve"> _xlfn.XLOOKUP(M523, Lookup_Tables!$M$2:$M$5,Lookup_Tables!$N$2:$N$5," ", -1)</f>
        <v>Established (5-10)</v>
      </c>
      <c r="R523" s="4">
        <f t="shared" si="17"/>
        <v>3.6666666666666665</v>
      </c>
      <c r="S523" t="str">
        <f xml:space="preserve"> _xlfn.XLOOKUP( E523, Lookup_Tables!$A$2:$A$6,Lookup_Tables!$B$2:$B$6," ", -1)</f>
        <v>Below College</v>
      </c>
      <c r="T523" t="str">
        <f>_xlfn.XLOOKUP(G523,Lookup_Tables!$D$2:$D$5,Lookup_Tables!$E$2:$E$5)</f>
        <v>Very High</v>
      </c>
      <c r="U523" t="str">
        <f>_xlfn.XLOOKUP(H523,Lookup_Tables!$D$2:$D$5,Lookup_Tables!$E$2:$E$5)</f>
        <v>Very High</v>
      </c>
      <c r="V523" t="str">
        <f>_xlfn.XLOOKUP(L523,Lookup_Tables!$D$2:$D$5,Lookup_Tables!$E$2:$E$5)</f>
        <v>High</v>
      </c>
    </row>
    <row r="524" spans="1:22">
      <c r="A524">
        <f>RAW_DATA!A524</f>
        <v>37</v>
      </c>
      <c r="B524" t="str">
        <f>RAW_DATA!B524</f>
        <v>No</v>
      </c>
      <c r="C524" t="str">
        <f>RAW_DATA!C524</f>
        <v>Research &amp; Development</v>
      </c>
      <c r="D524">
        <f>RAW_DATA!D524</f>
        <v>10</v>
      </c>
      <c r="E524">
        <f>RAW_DATA!E524</f>
        <v>2</v>
      </c>
      <c r="F524" t="str">
        <f>RAW_DATA!F524</f>
        <v>Life Sciences</v>
      </c>
      <c r="G524">
        <f>RAW_DATA!G524</f>
        <v>4</v>
      </c>
      <c r="H524">
        <f>RAW_DATA!H524</f>
        <v>4</v>
      </c>
      <c r="I524" t="str">
        <f>RAW_DATA!I524</f>
        <v>Single</v>
      </c>
      <c r="J524">
        <f>RAW_DATA!J524</f>
        <v>4680</v>
      </c>
      <c r="K524">
        <f>RAW_DATA!K524</f>
        <v>3</v>
      </c>
      <c r="L524">
        <f>RAW_DATA!L524</f>
        <v>3</v>
      </c>
      <c r="M524">
        <f>RAW_DATA!M524</f>
        <v>1</v>
      </c>
      <c r="N524">
        <f t="shared" si="16"/>
        <v>0</v>
      </c>
      <c r="O524" t="str">
        <f xml:space="preserve"> VLOOKUP(A524, Lookup_Tables!$G$2:$H$6,2,TRUE)</f>
        <v>35-44</v>
      </c>
      <c r="P524" t="str">
        <f>_xlfn.XLOOKUP(J524,Lookup_Tables!$J$2:$J$4,Lookup_Tables!$K$2:$K$4, " ",-1)</f>
        <v>Medium</v>
      </c>
      <c r="Q524" t="str">
        <f xml:space="preserve"> _xlfn.XLOOKUP(M524, Lookup_Tables!$M$2:$M$5,Lookup_Tables!$N$2:$N$5," ", -1)</f>
        <v>New (0-2)</v>
      </c>
      <c r="R524" s="4">
        <f t="shared" si="17"/>
        <v>3.6666666666666665</v>
      </c>
      <c r="S524" t="str">
        <f xml:space="preserve"> _xlfn.XLOOKUP( E524, Lookup_Tables!$A$2:$A$6,Lookup_Tables!$B$2:$B$6," ", -1)</f>
        <v>College</v>
      </c>
      <c r="T524" t="str">
        <f>_xlfn.XLOOKUP(G524,Lookup_Tables!$D$2:$D$5,Lookup_Tables!$E$2:$E$5)</f>
        <v>Very High</v>
      </c>
      <c r="U524" t="str">
        <f>_xlfn.XLOOKUP(H524,Lookup_Tables!$D$2:$D$5,Lookup_Tables!$E$2:$E$5)</f>
        <v>Very High</v>
      </c>
      <c r="V524" t="str">
        <f>_xlfn.XLOOKUP(L524,Lookup_Tables!$D$2:$D$5,Lookup_Tables!$E$2:$E$5)</f>
        <v>High</v>
      </c>
    </row>
    <row r="525" spans="1:22">
      <c r="A525">
        <f>RAW_DATA!A525</f>
        <v>50</v>
      </c>
      <c r="B525" t="str">
        <f>RAW_DATA!B525</f>
        <v>No</v>
      </c>
      <c r="C525" t="str">
        <f>RAW_DATA!C525</f>
        <v>Research &amp; Development</v>
      </c>
      <c r="D525">
        <f>RAW_DATA!D525</f>
        <v>28</v>
      </c>
      <c r="E525">
        <f>RAW_DATA!E525</f>
        <v>1</v>
      </c>
      <c r="F525" t="str">
        <f>RAW_DATA!F525</f>
        <v>Medical</v>
      </c>
      <c r="G525">
        <f>RAW_DATA!G525</f>
        <v>4</v>
      </c>
      <c r="H525">
        <f>RAW_DATA!H525</f>
        <v>3</v>
      </c>
      <c r="I525" t="str">
        <f>RAW_DATA!I525</f>
        <v>Married</v>
      </c>
      <c r="J525">
        <f>RAW_DATA!J525</f>
        <v>3221</v>
      </c>
      <c r="K525">
        <f>RAW_DATA!K525</f>
        <v>1</v>
      </c>
      <c r="L525">
        <f>RAW_DATA!L525</f>
        <v>3</v>
      </c>
      <c r="M525">
        <f>RAW_DATA!M525</f>
        <v>20</v>
      </c>
      <c r="N525">
        <f t="shared" si="16"/>
        <v>0</v>
      </c>
      <c r="O525" t="str">
        <f xml:space="preserve"> VLOOKUP(A525, Lookup_Tables!$G$2:$H$6,2,TRUE)</f>
        <v>45-54</v>
      </c>
      <c r="P525" t="str">
        <f>_xlfn.XLOOKUP(J525,Lookup_Tables!$J$2:$J$4,Lookup_Tables!$K$2:$K$4, " ",-1)</f>
        <v>Medium</v>
      </c>
      <c r="Q525" t="str">
        <f xml:space="preserve"> _xlfn.XLOOKUP(M525, Lookup_Tables!$M$2:$M$5,Lookup_Tables!$N$2:$N$5," ", -1)</f>
        <v>Veteran (10+)</v>
      </c>
      <c r="R525" s="4">
        <f t="shared" si="17"/>
        <v>3.3333333333333335</v>
      </c>
      <c r="S525" t="str">
        <f xml:space="preserve"> _xlfn.XLOOKUP( E525, Lookup_Tables!$A$2:$A$6,Lookup_Tables!$B$2:$B$6," ", -1)</f>
        <v>Below College</v>
      </c>
      <c r="T525" t="str">
        <f>_xlfn.XLOOKUP(G525,Lookup_Tables!$D$2:$D$5,Lookup_Tables!$E$2:$E$5)</f>
        <v>Very High</v>
      </c>
      <c r="U525" t="str">
        <f>_xlfn.XLOOKUP(H525,Lookup_Tables!$D$2:$D$5,Lookup_Tables!$E$2:$E$5)</f>
        <v>High</v>
      </c>
      <c r="V525" t="str">
        <f>_xlfn.XLOOKUP(L525,Lookup_Tables!$D$2:$D$5,Lookup_Tables!$E$2:$E$5)</f>
        <v>High</v>
      </c>
    </row>
    <row r="526" spans="1:22">
      <c r="A526">
        <f>RAW_DATA!A526</f>
        <v>34</v>
      </c>
      <c r="B526" t="str">
        <f>RAW_DATA!B526</f>
        <v>No</v>
      </c>
      <c r="C526" t="str">
        <f>RAW_DATA!C526</f>
        <v>Research &amp; Development</v>
      </c>
      <c r="D526">
        <f>RAW_DATA!D526</f>
        <v>9</v>
      </c>
      <c r="E526">
        <f>RAW_DATA!E526</f>
        <v>3</v>
      </c>
      <c r="F526" t="str">
        <f>RAW_DATA!F526</f>
        <v>Medical</v>
      </c>
      <c r="G526">
        <f>RAW_DATA!G526</f>
        <v>4</v>
      </c>
      <c r="H526">
        <f>RAW_DATA!H526</f>
        <v>2</v>
      </c>
      <c r="I526" t="str">
        <f>RAW_DATA!I526</f>
        <v>Single</v>
      </c>
      <c r="J526">
        <f>RAW_DATA!J526</f>
        <v>8621</v>
      </c>
      <c r="K526">
        <f>RAW_DATA!K526</f>
        <v>1</v>
      </c>
      <c r="L526">
        <f>RAW_DATA!L526</f>
        <v>4</v>
      </c>
      <c r="M526">
        <f>RAW_DATA!M526</f>
        <v>8</v>
      </c>
      <c r="N526">
        <f t="shared" si="16"/>
        <v>0</v>
      </c>
      <c r="O526" t="str">
        <f xml:space="preserve"> VLOOKUP(A526, Lookup_Tables!$G$2:$H$6,2,TRUE)</f>
        <v>25-34</v>
      </c>
      <c r="P526" t="str">
        <f>_xlfn.XLOOKUP(J526,Lookup_Tables!$J$2:$J$4,Lookup_Tables!$K$2:$K$4, " ",-1)</f>
        <v>High</v>
      </c>
      <c r="Q526" t="str">
        <f xml:space="preserve"> _xlfn.XLOOKUP(M526, Lookup_Tables!$M$2:$M$5,Lookup_Tables!$N$2:$N$5," ", -1)</f>
        <v>Established (5-10)</v>
      </c>
      <c r="R526" s="4">
        <f t="shared" si="17"/>
        <v>3.3333333333333335</v>
      </c>
      <c r="S526" t="str">
        <f xml:space="preserve"> _xlfn.XLOOKUP( E526, Lookup_Tables!$A$2:$A$6,Lookup_Tables!$B$2:$B$6," ", -1)</f>
        <v>Bachelor</v>
      </c>
      <c r="T526" t="str">
        <f>_xlfn.XLOOKUP(G526,Lookup_Tables!$D$2:$D$5,Lookup_Tables!$E$2:$E$5)</f>
        <v>Very High</v>
      </c>
      <c r="U526" t="str">
        <f>_xlfn.XLOOKUP(H526,Lookup_Tables!$D$2:$D$5,Lookup_Tables!$E$2:$E$5)</f>
        <v>Medium</v>
      </c>
      <c r="V526" t="str">
        <f>_xlfn.XLOOKUP(L526,Lookup_Tables!$D$2:$D$5,Lookup_Tables!$E$2:$E$5)</f>
        <v>Very High</v>
      </c>
    </row>
    <row r="527" spans="1:22">
      <c r="A527">
        <f>RAW_DATA!A527</f>
        <v>24</v>
      </c>
      <c r="B527" t="str">
        <f>RAW_DATA!B527</f>
        <v>Yes</v>
      </c>
      <c r="C527" t="str">
        <f>RAW_DATA!C527</f>
        <v>Sales</v>
      </c>
      <c r="D527">
        <f>RAW_DATA!D527</f>
        <v>3</v>
      </c>
      <c r="E527">
        <f>RAW_DATA!E527</f>
        <v>2</v>
      </c>
      <c r="F527" t="str">
        <f>RAW_DATA!F527</f>
        <v>Life Sciences</v>
      </c>
      <c r="G527">
        <f>RAW_DATA!G527</f>
        <v>1</v>
      </c>
      <c r="H527">
        <f>RAW_DATA!H527</f>
        <v>3</v>
      </c>
      <c r="I527" t="str">
        <f>RAW_DATA!I527</f>
        <v>Single</v>
      </c>
      <c r="J527">
        <f>RAW_DATA!J527</f>
        <v>4577</v>
      </c>
      <c r="K527">
        <f>RAW_DATA!K527</f>
        <v>9</v>
      </c>
      <c r="L527">
        <f>RAW_DATA!L527</f>
        <v>3</v>
      </c>
      <c r="M527">
        <f>RAW_DATA!M527</f>
        <v>2</v>
      </c>
      <c r="N527">
        <f t="shared" si="16"/>
        <v>1</v>
      </c>
      <c r="O527" t="str">
        <f xml:space="preserve"> VLOOKUP(A527, Lookup_Tables!$G$2:$H$6,2,TRUE)</f>
        <v>&lt;25</v>
      </c>
      <c r="P527" t="str">
        <f>_xlfn.XLOOKUP(J527,Lookup_Tables!$J$2:$J$4,Lookup_Tables!$K$2:$K$4, " ",-1)</f>
        <v>Medium</v>
      </c>
      <c r="Q527" t="str">
        <f xml:space="preserve"> _xlfn.XLOOKUP(M527, Lookup_Tables!$M$2:$M$5,Lookup_Tables!$N$2:$N$5," ", -1)</f>
        <v>Early (2-5)</v>
      </c>
      <c r="R527" s="4">
        <f t="shared" si="17"/>
        <v>2.3333333333333335</v>
      </c>
      <c r="S527" t="str">
        <f xml:space="preserve"> _xlfn.XLOOKUP( E527, Lookup_Tables!$A$2:$A$6,Lookup_Tables!$B$2:$B$6," ", -1)</f>
        <v>College</v>
      </c>
      <c r="T527" t="str">
        <f>_xlfn.XLOOKUP(G527,Lookup_Tables!$D$2:$D$5,Lookup_Tables!$E$2:$E$5)</f>
        <v>Low</v>
      </c>
      <c r="U527" t="str">
        <f>_xlfn.XLOOKUP(H527,Lookup_Tables!$D$2:$D$5,Lookup_Tables!$E$2:$E$5)</f>
        <v>High</v>
      </c>
      <c r="V527" t="str">
        <f>_xlfn.XLOOKUP(L527,Lookup_Tables!$D$2:$D$5,Lookup_Tables!$E$2:$E$5)</f>
        <v>High</v>
      </c>
    </row>
    <row r="528" spans="1:22">
      <c r="A528">
        <f>RAW_DATA!A528</f>
        <v>39</v>
      </c>
      <c r="B528" t="str">
        <f>RAW_DATA!B528</f>
        <v>No</v>
      </c>
      <c r="C528" t="str">
        <f>RAW_DATA!C528</f>
        <v>Research &amp; Development</v>
      </c>
      <c r="D528">
        <f>RAW_DATA!D528</f>
        <v>2</v>
      </c>
      <c r="E528">
        <f>RAW_DATA!E528</f>
        <v>4</v>
      </c>
      <c r="F528" t="str">
        <f>RAW_DATA!F528</f>
        <v>Technical Degree</v>
      </c>
      <c r="G528">
        <f>RAW_DATA!G528</f>
        <v>4</v>
      </c>
      <c r="H528">
        <f>RAW_DATA!H528</f>
        <v>3</v>
      </c>
      <c r="I528" t="str">
        <f>RAW_DATA!I528</f>
        <v>Single</v>
      </c>
      <c r="J528">
        <f>RAW_DATA!J528</f>
        <v>4553</v>
      </c>
      <c r="K528">
        <f>RAW_DATA!K528</f>
        <v>1</v>
      </c>
      <c r="L528">
        <f>RAW_DATA!L528</f>
        <v>3</v>
      </c>
      <c r="M528">
        <f>RAW_DATA!M528</f>
        <v>20</v>
      </c>
      <c r="N528">
        <f t="shared" si="16"/>
        <v>0</v>
      </c>
      <c r="O528" t="str">
        <f xml:space="preserve"> VLOOKUP(A528, Lookup_Tables!$G$2:$H$6,2,TRUE)</f>
        <v>35-44</v>
      </c>
      <c r="P528" t="str">
        <f>_xlfn.XLOOKUP(J528,Lookup_Tables!$J$2:$J$4,Lookup_Tables!$K$2:$K$4, " ",-1)</f>
        <v>Medium</v>
      </c>
      <c r="Q528" t="str">
        <f xml:space="preserve"> _xlfn.XLOOKUP(M528, Lookup_Tables!$M$2:$M$5,Lookup_Tables!$N$2:$N$5," ", -1)</f>
        <v>Veteran (10+)</v>
      </c>
      <c r="R528" s="4">
        <f t="shared" si="17"/>
        <v>3.3333333333333335</v>
      </c>
      <c r="S528" t="str">
        <f xml:space="preserve"> _xlfn.XLOOKUP( E528, Lookup_Tables!$A$2:$A$6,Lookup_Tables!$B$2:$B$6," ", -1)</f>
        <v>Master</v>
      </c>
      <c r="T528" t="str">
        <f>_xlfn.XLOOKUP(G528,Lookup_Tables!$D$2:$D$5,Lookup_Tables!$E$2:$E$5)</f>
        <v>Very High</v>
      </c>
      <c r="U528" t="str">
        <f>_xlfn.XLOOKUP(H528,Lookup_Tables!$D$2:$D$5,Lookup_Tables!$E$2:$E$5)</f>
        <v>High</v>
      </c>
      <c r="V528" t="str">
        <f>_xlfn.XLOOKUP(L528,Lookup_Tables!$D$2:$D$5,Lookup_Tables!$E$2:$E$5)</f>
        <v>High</v>
      </c>
    </row>
    <row r="529" spans="1:22">
      <c r="A529">
        <f>RAW_DATA!A529</f>
        <v>32</v>
      </c>
      <c r="B529" t="str">
        <f>RAW_DATA!B529</f>
        <v>No</v>
      </c>
      <c r="C529" t="str">
        <f>RAW_DATA!C529</f>
        <v>Sales</v>
      </c>
      <c r="D529">
        <f>RAW_DATA!D529</f>
        <v>10</v>
      </c>
      <c r="E529">
        <f>RAW_DATA!E529</f>
        <v>3</v>
      </c>
      <c r="F529" t="str">
        <f>RAW_DATA!F529</f>
        <v>Marketing</v>
      </c>
      <c r="G529">
        <f>RAW_DATA!G529</f>
        <v>4</v>
      </c>
      <c r="H529">
        <f>RAW_DATA!H529</f>
        <v>4</v>
      </c>
      <c r="I529" t="str">
        <f>RAW_DATA!I529</f>
        <v>Single</v>
      </c>
      <c r="J529">
        <f>RAW_DATA!J529</f>
        <v>5396</v>
      </c>
      <c r="K529">
        <f>RAW_DATA!K529</f>
        <v>1</v>
      </c>
      <c r="L529">
        <f>RAW_DATA!L529</f>
        <v>2</v>
      </c>
      <c r="M529">
        <f>RAW_DATA!M529</f>
        <v>10</v>
      </c>
      <c r="N529">
        <f t="shared" si="16"/>
        <v>0</v>
      </c>
      <c r="O529" t="str">
        <f xml:space="preserve"> VLOOKUP(A529, Lookup_Tables!$G$2:$H$6,2,TRUE)</f>
        <v>25-34</v>
      </c>
      <c r="P529" t="str">
        <f>_xlfn.XLOOKUP(J529,Lookup_Tables!$J$2:$J$4,Lookup_Tables!$K$2:$K$4, " ",-1)</f>
        <v>Medium</v>
      </c>
      <c r="Q529" t="str">
        <f xml:space="preserve"> _xlfn.XLOOKUP(M529, Lookup_Tables!$M$2:$M$5,Lookup_Tables!$N$2:$N$5," ", -1)</f>
        <v>Veteran (10+)</v>
      </c>
      <c r="R529" s="4">
        <f t="shared" si="17"/>
        <v>3.3333333333333335</v>
      </c>
      <c r="S529" t="str">
        <f xml:space="preserve"> _xlfn.XLOOKUP( E529, Lookup_Tables!$A$2:$A$6,Lookup_Tables!$B$2:$B$6," ", -1)</f>
        <v>Bachelor</v>
      </c>
      <c r="T529" t="str">
        <f>_xlfn.XLOOKUP(G529,Lookup_Tables!$D$2:$D$5,Lookup_Tables!$E$2:$E$5)</f>
        <v>Very High</v>
      </c>
      <c r="U529" t="str">
        <f>_xlfn.XLOOKUP(H529,Lookup_Tables!$D$2:$D$5,Lookup_Tables!$E$2:$E$5)</f>
        <v>Very High</v>
      </c>
      <c r="V529" t="str">
        <f>_xlfn.XLOOKUP(L529,Lookup_Tables!$D$2:$D$5,Lookup_Tables!$E$2:$E$5)</f>
        <v>Medium</v>
      </c>
    </row>
    <row r="530" spans="1:22">
      <c r="A530">
        <f>RAW_DATA!A530</f>
        <v>50</v>
      </c>
      <c r="B530" t="str">
        <f>RAW_DATA!B530</f>
        <v>Yes</v>
      </c>
      <c r="C530" t="str">
        <f>RAW_DATA!C530</f>
        <v>Sales</v>
      </c>
      <c r="D530">
        <f>RAW_DATA!D530</f>
        <v>8</v>
      </c>
      <c r="E530">
        <f>RAW_DATA!E530</f>
        <v>2</v>
      </c>
      <c r="F530" t="str">
        <f>RAW_DATA!F530</f>
        <v>Technical Degree</v>
      </c>
      <c r="G530">
        <f>RAW_DATA!G530</f>
        <v>2</v>
      </c>
      <c r="H530">
        <f>RAW_DATA!H530</f>
        <v>3</v>
      </c>
      <c r="I530" t="str">
        <f>RAW_DATA!I530</f>
        <v>Married</v>
      </c>
      <c r="J530">
        <f>RAW_DATA!J530</f>
        <v>6796</v>
      </c>
      <c r="K530">
        <f>RAW_DATA!K530</f>
        <v>3</v>
      </c>
      <c r="L530">
        <f>RAW_DATA!L530</f>
        <v>3</v>
      </c>
      <c r="M530">
        <f>RAW_DATA!M530</f>
        <v>4</v>
      </c>
      <c r="N530">
        <f t="shared" si="16"/>
        <v>1</v>
      </c>
      <c r="O530" t="str">
        <f xml:space="preserve"> VLOOKUP(A530, Lookup_Tables!$G$2:$H$6,2,TRUE)</f>
        <v>45-54</v>
      </c>
      <c r="P530" t="str">
        <f>_xlfn.XLOOKUP(J530,Lookup_Tables!$J$2:$J$4,Lookup_Tables!$K$2:$K$4, " ",-1)</f>
        <v>Medium</v>
      </c>
      <c r="Q530" t="str">
        <f xml:space="preserve"> _xlfn.XLOOKUP(M530, Lookup_Tables!$M$2:$M$5,Lookup_Tables!$N$2:$N$5," ", -1)</f>
        <v>Early (2-5)</v>
      </c>
      <c r="R530" s="4">
        <f t="shared" si="17"/>
        <v>2.6666666666666665</v>
      </c>
      <c r="S530" t="str">
        <f xml:space="preserve"> _xlfn.XLOOKUP( E530, Lookup_Tables!$A$2:$A$6,Lookup_Tables!$B$2:$B$6," ", -1)</f>
        <v>College</v>
      </c>
      <c r="T530" t="str">
        <f>_xlfn.XLOOKUP(G530,Lookup_Tables!$D$2:$D$5,Lookup_Tables!$E$2:$E$5)</f>
        <v>Medium</v>
      </c>
      <c r="U530" t="str">
        <f>_xlfn.XLOOKUP(H530,Lookup_Tables!$D$2:$D$5,Lookup_Tables!$E$2:$E$5)</f>
        <v>High</v>
      </c>
      <c r="V530" t="str">
        <f>_xlfn.XLOOKUP(L530,Lookup_Tables!$D$2:$D$5,Lookup_Tables!$E$2:$E$5)</f>
        <v>High</v>
      </c>
    </row>
    <row r="531" spans="1:22">
      <c r="A531">
        <f>RAW_DATA!A531</f>
        <v>38</v>
      </c>
      <c r="B531" t="str">
        <f>RAW_DATA!B531</f>
        <v>No</v>
      </c>
      <c r="C531" t="str">
        <f>RAW_DATA!C531</f>
        <v>Research &amp; Development</v>
      </c>
      <c r="D531">
        <f>RAW_DATA!D531</f>
        <v>1</v>
      </c>
      <c r="E531">
        <f>RAW_DATA!E531</f>
        <v>4</v>
      </c>
      <c r="F531" t="str">
        <f>RAW_DATA!F531</f>
        <v>Life Sciences</v>
      </c>
      <c r="G531">
        <f>RAW_DATA!G531</f>
        <v>2</v>
      </c>
      <c r="H531">
        <f>RAW_DATA!H531</f>
        <v>4</v>
      </c>
      <c r="I531" t="str">
        <f>RAW_DATA!I531</f>
        <v>Single</v>
      </c>
      <c r="J531">
        <f>RAW_DATA!J531</f>
        <v>7625</v>
      </c>
      <c r="K531">
        <f>RAW_DATA!K531</f>
        <v>0</v>
      </c>
      <c r="L531">
        <f>RAW_DATA!L531</f>
        <v>2</v>
      </c>
      <c r="M531">
        <f>RAW_DATA!M531</f>
        <v>9</v>
      </c>
      <c r="N531">
        <f t="shared" si="16"/>
        <v>0</v>
      </c>
      <c r="O531" t="str">
        <f xml:space="preserve"> VLOOKUP(A531, Lookup_Tables!$G$2:$H$6,2,TRUE)</f>
        <v>35-44</v>
      </c>
      <c r="P531" t="str">
        <f>_xlfn.XLOOKUP(J531,Lookup_Tables!$J$2:$J$4,Lookup_Tables!$K$2:$K$4, " ",-1)</f>
        <v>High</v>
      </c>
      <c r="Q531" t="str">
        <f xml:space="preserve"> _xlfn.XLOOKUP(M531, Lookup_Tables!$M$2:$M$5,Lookup_Tables!$N$2:$N$5," ", -1)</f>
        <v>Established (5-10)</v>
      </c>
      <c r="R531" s="4">
        <f t="shared" si="17"/>
        <v>2.6666666666666665</v>
      </c>
      <c r="S531" t="str">
        <f xml:space="preserve"> _xlfn.XLOOKUP( E531, Lookup_Tables!$A$2:$A$6,Lookup_Tables!$B$2:$B$6," ", -1)</f>
        <v>Master</v>
      </c>
      <c r="T531" t="str">
        <f>_xlfn.XLOOKUP(G531,Lookup_Tables!$D$2:$D$5,Lookup_Tables!$E$2:$E$5)</f>
        <v>Medium</v>
      </c>
      <c r="U531" t="str">
        <f>_xlfn.XLOOKUP(H531,Lookup_Tables!$D$2:$D$5,Lookup_Tables!$E$2:$E$5)</f>
        <v>Very High</v>
      </c>
      <c r="V531" t="str">
        <f>_xlfn.XLOOKUP(L531,Lookup_Tables!$D$2:$D$5,Lookup_Tables!$E$2:$E$5)</f>
        <v>Medium</v>
      </c>
    </row>
    <row r="532" spans="1:22">
      <c r="A532">
        <f>RAW_DATA!A532</f>
        <v>27</v>
      </c>
      <c r="B532" t="str">
        <f>RAW_DATA!B532</f>
        <v>No</v>
      </c>
      <c r="C532" t="str">
        <f>RAW_DATA!C532</f>
        <v>Research &amp; Development</v>
      </c>
      <c r="D532">
        <f>RAW_DATA!D532</f>
        <v>1</v>
      </c>
      <c r="E532">
        <f>RAW_DATA!E532</f>
        <v>2</v>
      </c>
      <c r="F532" t="str">
        <f>RAW_DATA!F532</f>
        <v>Life Sciences</v>
      </c>
      <c r="G532">
        <f>RAW_DATA!G532</f>
        <v>3</v>
      </c>
      <c r="H532">
        <f>RAW_DATA!H532</f>
        <v>1</v>
      </c>
      <c r="I532" t="str">
        <f>RAW_DATA!I532</f>
        <v>Married</v>
      </c>
      <c r="J532">
        <f>RAW_DATA!J532</f>
        <v>7412</v>
      </c>
      <c r="K532">
        <f>RAW_DATA!K532</f>
        <v>1</v>
      </c>
      <c r="L532">
        <f>RAW_DATA!L532</f>
        <v>3</v>
      </c>
      <c r="M532">
        <f>RAW_DATA!M532</f>
        <v>9</v>
      </c>
      <c r="N532">
        <f t="shared" si="16"/>
        <v>0</v>
      </c>
      <c r="O532" t="str">
        <f xml:space="preserve"> VLOOKUP(A532, Lookup_Tables!$G$2:$H$6,2,TRUE)</f>
        <v>25-34</v>
      </c>
      <c r="P532" t="str">
        <f>_xlfn.XLOOKUP(J532,Lookup_Tables!$J$2:$J$4,Lookup_Tables!$K$2:$K$4, " ",-1)</f>
        <v>High</v>
      </c>
      <c r="Q532" t="str">
        <f xml:space="preserve"> _xlfn.XLOOKUP(M532, Lookup_Tables!$M$2:$M$5,Lookup_Tables!$N$2:$N$5," ", -1)</f>
        <v>Established (5-10)</v>
      </c>
      <c r="R532" s="4">
        <f t="shared" si="17"/>
        <v>2.3333333333333335</v>
      </c>
      <c r="S532" t="str">
        <f xml:space="preserve"> _xlfn.XLOOKUP( E532, Lookup_Tables!$A$2:$A$6,Lookup_Tables!$B$2:$B$6," ", -1)</f>
        <v>College</v>
      </c>
      <c r="T532" t="str">
        <f>_xlfn.XLOOKUP(G532,Lookup_Tables!$D$2:$D$5,Lookup_Tables!$E$2:$E$5)</f>
        <v>High</v>
      </c>
      <c r="U532" t="str">
        <f>_xlfn.XLOOKUP(H532,Lookup_Tables!$D$2:$D$5,Lookup_Tables!$E$2:$E$5)</f>
        <v>Low</v>
      </c>
      <c r="V532" t="str">
        <f>_xlfn.XLOOKUP(L532,Lookup_Tables!$D$2:$D$5,Lookup_Tables!$E$2:$E$5)</f>
        <v>High</v>
      </c>
    </row>
    <row r="533" spans="1:22">
      <c r="A533">
        <f>RAW_DATA!A533</f>
        <v>32</v>
      </c>
      <c r="B533" t="str">
        <f>RAW_DATA!B533</f>
        <v>No</v>
      </c>
      <c r="C533" t="str">
        <f>RAW_DATA!C533</f>
        <v>Research &amp; Development</v>
      </c>
      <c r="D533">
        <f>RAW_DATA!D533</f>
        <v>3</v>
      </c>
      <c r="E533">
        <f>RAW_DATA!E533</f>
        <v>2</v>
      </c>
      <c r="F533" t="str">
        <f>RAW_DATA!F533</f>
        <v>Life Sciences</v>
      </c>
      <c r="G533">
        <f>RAW_DATA!G533</f>
        <v>3</v>
      </c>
      <c r="H533">
        <f>RAW_DATA!H533</f>
        <v>4</v>
      </c>
      <c r="I533" t="str">
        <f>RAW_DATA!I533</f>
        <v>Single</v>
      </c>
      <c r="J533">
        <f>RAW_DATA!J533</f>
        <v>11159</v>
      </c>
      <c r="K533">
        <f>RAW_DATA!K533</f>
        <v>3</v>
      </c>
      <c r="L533">
        <f>RAW_DATA!L533</f>
        <v>3</v>
      </c>
      <c r="M533">
        <f>RAW_DATA!M533</f>
        <v>7</v>
      </c>
      <c r="N533">
        <f t="shared" si="16"/>
        <v>0</v>
      </c>
      <c r="O533" t="str">
        <f xml:space="preserve"> VLOOKUP(A533, Lookup_Tables!$G$2:$H$6,2,TRUE)</f>
        <v>25-34</v>
      </c>
      <c r="P533" t="str">
        <f>_xlfn.XLOOKUP(J533,Lookup_Tables!$J$2:$J$4,Lookup_Tables!$K$2:$K$4, " ",-1)</f>
        <v>High</v>
      </c>
      <c r="Q533" t="str">
        <f xml:space="preserve"> _xlfn.XLOOKUP(M533, Lookup_Tables!$M$2:$M$5,Lookup_Tables!$N$2:$N$5," ", -1)</f>
        <v>Established (5-10)</v>
      </c>
      <c r="R533" s="4">
        <f t="shared" si="17"/>
        <v>3.3333333333333335</v>
      </c>
      <c r="S533" t="str">
        <f xml:space="preserve"> _xlfn.XLOOKUP( E533, Lookup_Tables!$A$2:$A$6,Lookup_Tables!$B$2:$B$6," ", -1)</f>
        <v>College</v>
      </c>
      <c r="T533" t="str">
        <f>_xlfn.XLOOKUP(G533,Lookup_Tables!$D$2:$D$5,Lookup_Tables!$E$2:$E$5)</f>
        <v>High</v>
      </c>
      <c r="U533" t="str">
        <f>_xlfn.XLOOKUP(H533,Lookup_Tables!$D$2:$D$5,Lookup_Tables!$E$2:$E$5)</f>
        <v>Very High</v>
      </c>
      <c r="V533" t="str">
        <f>_xlfn.XLOOKUP(L533,Lookup_Tables!$D$2:$D$5,Lookup_Tables!$E$2:$E$5)</f>
        <v>High</v>
      </c>
    </row>
    <row r="534" spans="1:22">
      <c r="A534">
        <f>RAW_DATA!A534</f>
        <v>47</v>
      </c>
      <c r="B534" t="str">
        <f>RAW_DATA!B534</f>
        <v>No</v>
      </c>
      <c r="C534" t="str">
        <f>RAW_DATA!C534</f>
        <v>Sales</v>
      </c>
      <c r="D534">
        <f>RAW_DATA!D534</f>
        <v>14</v>
      </c>
      <c r="E534">
        <f>RAW_DATA!E534</f>
        <v>4</v>
      </c>
      <c r="F534" t="str">
        <f>RAW_DATA!F534</f>
        <v>Marketing</v>
      </c>
      <c r="G534">
        <f>RAW_DATA!G534</f>
        <v>4</v>
      </c>
      <c r="H534">
        <f>RAW_DATA!H534</f>
        <v>1</v>
      </c>
      <c r="I534" t="str">
        <f>RAW_DATA!I534</f>
        <v>Single</v>
      </c>
      <c r="J534">
        <f>RAW_DATA!J534</f>
        <v>4960</v>
      </c>
      <c r="K534">
        <f>RAW_DATA!K534</f>
        <v>2</v>
      </c>
      <c r="L534">
        <f>RAW_DATA!L534</f>
        <v>3</v>
      </c>
      <c r="M534">
        <f>RAW_DATA!M534</f>
        <v>7</v>
      </c>
      <c r="N534">
        <f t="shared" si="16"/>
        <v>0</v>
      </c>
      <c r="O534" t="str">
        <f xml:space="preserve"> VLOOKUP(A534, Lookup_Tables!$G$2:$H$6,2,TRUE)</f>
        <v>45-54</v>
      </c>
      <c r="P534" t="str">
        <f>_xlfn.XLOOKUP(J534,Lookup_Tables!$J$2:$J$4,Lookup_Tables!$K$2:$K$4, " ",-1)</f>
        <v>Medium</v>
      </c>
      <c r="Q534" t="str">
        <f xml:space="preserve"> _xlfn.XLOOKUP(M534, Lookup_Tables!$M$2:$M$5,Lookup_Tables!$N$2:$N$5," ", -1)</f>
        <v>Established (5-10)</v>
      </c>
      <c r="R534" s="4">
        <f t="shared" si="17"/>
        <v>2.6666666666666665</v>
      </c>
      <c r="S534" t="str">
        <f xml:space="preserve"> _xlfn.XLOOKUP( E534, Lookup_Tables!$A$2:$A$6,Lookup_Tables!$B$2:$B$6," ", -1)</f>
        <v>Master</v>
      </c>
      <c r="T534" t="str">
        <f>_xlfn.XLOOKUP(G534,Lookup_Tables!$D$2:$D$5,Lookup_Tables!$E$2:$E$5)</f>
        <v>Very High</v>
      </c>
      <c r="U534" t="str">
        <f>_xlfn.XLOOKUP(H534,Lookup_Tables!$D$2:$D$5,Lookup_Tables!$E$2:$E$5)</f>
        <v>Low</v>
      </c>
      <c r="V534" t="str">
        <f>_xlfn.XLOOKUP(L534,Lookup_Tables!$D$2:$D$5,Lookup_Tables!$E$2:$E$5)</f>
        <v>High</v>
      </c>
    </row>
    <row r="535" spans="1:22">
      <c r="A535">
        <f>RAW_DATA!A535</f>
        <v>40</v>
      </c>
      <c r="B535" t="str">
        <f>RAW_DATA!B535</f>
        <v>No</v>
      </c>
      <c r="C535" t="str">
        <f>RAW_DATA!C535</f>
        <v>Sales</v>
      </c>
      <c r="D535">
        <f>RAW_DATA!D535</f>
        <v>5</v>
      </c>
      <c r="E535">
        <f>RAW_DATA!E535</f>
        <v>4</v>
      </c>
      <c r="F535" t="str">
        <f>RAW_DATA!F535</f>
        <v>Life Sciences</v>
      </c>
      <c r="G535">
        <f>RAW_DATA!G535</f>
        <v>4</v>
      </c>
      <c r="H535">
        <f>RAW_DATA!H535</f>
        <v>1</v>
      </c>
      <c r="I535" t="str">
        <f>RAW_DATA!I535</f>
        <v>Married</v>
      </c>
      <c r="J535">
        <f>RAW_DATA!J535</f>
        <v>10475</v>
      </c>
      <c r="K535">
        <f>RAW_DATA!K535</f>
        <v>5</v>
      </c>
      <c r="L535">
        <f>RAW_DATA!L535</f>
        <v>3</v>
      </c>
      <c r="M535">
        <f>RAW_DATA!M535</f>
        <v>18</v>
      </c>
      <c r="N535">
        <f t="shared" si="16"/>
        <v>0</v>
      </c>
      <c r="O535" t="str">
        <f xml:space="preserve"> VLOOKUP(A535, Lookup_Tables!$G$2:$H$6,2,TRUE)</f>
        <v>35-44</v>
      </c>
      <c r="P535" t="str">
        <f>_xlfn.XLOOKUP(J535,Lookup_Tables!$J$2:$J$4,Lookup_Tables!$K$2:$K$4, " ",-1)</f>
        <v>High</v>
      </c>
      <c r="Q535" t="str">
        <f xml:space="preserve"> _xlfn.XLOOKUP(M535, Lookup_Tables!$M$2:$M$5,Lookup_Tables!$N$2:$N$5," ", -1)</f>
        <v>Veteran (10+)</v>
      </c>
      <c r="R535" s="4">
        <f t="shared" si="17"/>
        <v>2.6666666666666665</v>
      </c>
      <c r="S535" t="str">
        <f xml:space="preserve"> _xlfn.XLOOKUP( E535, Lookup_Tables!$A$2:$A$6,Lookup_Tables!$B$2:$B$6," ", -1)</f>
        <v>Master</v>
      </c>
      <c r="T535" t="str">
        <f>_xlfn.XLOOKUP(G535,Lookup_Tables!$D$2:$D$5,Lookup_Tables!$E$2:$E$5)</f>
        <v>Very High</v>
      </c>
      <c r="U535" t="str">
        <f>_xlfn.XLOOKUP(H535,Lookup_Tables!$D$2:$D$5,Lookup_Tables!$E$2:$E$5)</f>
        <v>Low</v>
      </c>
      <c r="V535" t="str">
        <f>_xlfn.XLOOKUP(L535,Lookup_Tables!$D$2:$D$5,Lookup_Tables!$E$2:$E$5)</f>
        <v>High</v>
      </c>
    </row>
    <row r="536" spans="1:22">
      <c r="A536">
        <f>RAW_DATA!A536</f>
        <v>53</v>
      </c>
      <c r="B536" t="str">
        <f>RAW_DATA!B536</f>
        <v>No</v>
      </c>
      <c r="C536" t="str">
        <f>RAW_DATA!C536</f>
        <v>Research &amp; Development</v>
      </c>
      <c r="D536">
        <f>RAW_DATA!D536</f>
        <v>7</v>
      </c>
      <c r="E536">
        <f>RAW_DATA!E536</f>
        <v>3</v>
      </c>
      <c r="F536" t="str">
        <f>RAW_DATA!F536</f>
        <v>Life Sciences</v>
      </c>
      <c r="G536">
        <f>RAW_DATA!G536</f>
        <v>3</v>
      </c>
      <c r="H536">
        <f>RAW_DATA!H536</f>
        <v>3</v>
      </c>
      <c r="I536" t="str">
        <f>RAW_DATA!I536</f>
        <v>Married</v>
      </c>
      <c r="J536">
        <f>RAW_DATA!J536</f>
        <v>14814</v>
      </c>
      <c r="K536">
        <f>RAW_DATA!K536</f>
        <v>3</v>
      </c>
      <c r="L536">
        <f>RAW_DATA!L536</f>
        <v>3</v>
      </c>
      <c r="M536">
        <f>RAW_DATA!M536</f>
        <v>5</v>
      </c>
      <c r="N536">
        <f t="shared" si="16"/>
        <v>0</v>
      </c>
      <c r="O536" t="str">
        <f xml:space="preserve"> VLOOKUP(A536, Lookup_Tables!$G$2:$H$6,2,TRUE)</f>
        <v>45-54</v>
      </c>
      <c r="P536" t="str">
        <f>_xlfn.XLOOKUP(J536,Lookup_Tables!$J$2:$J$4,Lookup_Tables!$K$2:$K$4, " ",-1)</f>
        <v>High</v>
      </c>
      <c r="Q536" t="str">
        <f xml:space="preserve"> _xlfn.XLOOKUP(M536, Lookup_Tables!$M$2:$M$5,Lookup_Tables!$N$2:$N$5," ", -1)</f>
        <v>Established (5-10)</v>
      </c>
      <c r="R536" s="4">
        <f t="shared" si="17"/>
        <v>3</v>
      </c>
      <c r="S536" t="str">
        <f xml:space="preserve"> _xlfn.XLOOKUP( E536, Lookup_Tables!$A$2:$A$6,Lookup_Tables!$B$2:$B$6," ", -1)</f>
        <v>Bachelor</v>
      </c>
      <c r="T536" t="str">
        <f>_xlfn.XLOOKUP(G536,Lookup_Tables!$D$2:$D$5,Lookup_Tables!$E$2:$E$5)</f>
        <v>High</v>
      </c>
      <c r="U536" t="str">
        <f>_xlfn.XLOOKUP(H536,Lookup_Tables!$D$2:$D$5,Lookup_Tables!$E$2:$E$5)</f>
        <v>High</v>
      </c>
      <c r="V536" t="str">
        <f>_xlfn.XLOOKUP(L536,Lookup_Tables!$D$2:$D$5,Lookup_Tables!$E$2:$E$5)</f>
        <v>High</v>
      </c>
    </row>
    <row r="537" spans="1:22">
      <c r="A537">
        <f>RAW_DATA!A537</f>
        <v>41</v>
      </c>
      <c r="B537" t="str">
        <f>RAW_DATA!B537</f>
        <v>No</v>
      </c>
      <c r="C537" t="str">
        <f>RAW_DATA!C537</f>
        <v>Human Resources</v>
      </c>
      <c r="D537">
        <f>RAW_DATA!D537</f>
        <v>10</v>
      </c>
      <c r="E537">
        <f>RAW_DATA!E537</f>
        <v>4</v>
      </c>
      <c r="F537" t="str">
        <f>RAW_DATA!F537</f>
        <v>Human Resources</v>
      </c>
      <c r="G537">
        <f>RAW_DATA!G537</f>
        <v>2</v>
      </c>
      <c r="H537">
        <f>RAW_DATA!H537</f>
        <v>4</v>
      </c>
      <c r="I537" t="str">
        <f>RAW_DATA!I537</f>
        <v>Divorced</v>
      </c>
      <c r="J537">
        <f>RAW_DATA!J537</f>
        <v>19141</v>
      </c>
      <c r="K537">
        <f>RAW_DATA!K537</f>
        <v>3</v>
      </c>
      <c r="L537">
        <f>RAW_DATA!L537</f>
        <v>2</v>
      </c>
      <c r="M537">
        <f>RAW_DATA!M537</f>
        <v>21</v>
      </c>
      <c r="N537">
        <f t="shared" si="16"/>
        <v>0</v>
      </c>
      <c r="O537" t="str">
        <f xml:space="preserve"> VLOOKUP(A537, Lookup_Tables!$G$2:$H$6,2,TRUE)</f>
        <v>35-44</v>
      </c>
      <c r="P537" t="str">
        <f>_xlfn.XLOOKUP(J537,Lookup_Tables!$J$2:$J$4,Lookup_Tables!$K$2:$K$4, " ",-1)</f>
        <v>High</v>
      </c>
      <c r="Q537" t="str">
        <f xml:space="preserve"> _xlfn.XLOOKUP(M537, Lookup_Tables!$M$2:$M$5,Lookup_Tables!$N$2:$N$5," ", -1)</f>
        <v>Veteran (10+)</v>
      </c>
      <c r="R537" s="4">
        <f t="shared" si="17"/>
        <v>2.6666666666666665</v>
      </c>
      <c r="S537" t="str">
        <f xml:space="preserve"> _xlfn.XLOOKUP( E537, Lookup_Tables!$A$2:$A$6,Lookup_Tables!$B$2:$B$6," ", -1)</f>
        <v>Master</v>
      </c>
      <c r="T537" t="str">
        <f>_xlfn.XLOOKUP(G537,Lookup_Tables!$D$2:$D$5,Lookup_Tables!$E$2:$E$5)</f>
        <v>Medium</v>
      </c>
      <c r="U537" t="str">
        <f>_xlfn.XLOOKUP(H537,Lookup_Tables!$D$2:$D$5,Lookup_Tables!$E$2:$E$5)</f>
        <v>Very High</v>
      </c>
      <c r="V537" t="str">
        <f>_xlfn.XLOOKUP(L537,Lookup_Tables!$D$2:$D$5,Lookup_Tables!$E$2:$E$5)</f>
        <v>Medium</v>
      </c>
    </row>
    <row r="538" spans="1:22">
      <c r="A538">
        <f>RAW_DATA!A538</f>
        <v>60</v>
      </c>
      <c r="B538" t="str">
        <f>RAW_DATA!B538</f>
        <v>No</v>
      </c>
      <c r="C538" t="str">
        <f>RAW_DATA!C538</f>
        <v>Sales</v>
      </c>
      <c r="D538">
        <f>RAW_DATA!D538</f>
        <v>16</v>
      </c>
      <c r="E538">
        <f>RAW_DATA!E538</f>
        <v>4</v>
      </c>
      <c r="F538" t="str">
        <f>RAW_DATA!F538</f>
        <v>Marketing</v>
      </c>
      <c r="G538">
        <f>RAW_DATA!G538</f>
        <v>1</v>
      </c>
      <c r="H538">
        <f>RAW_DATA!H538</f>
        <v>1</v>
      </c>
      <c r="I538" t="str">
        <f>RAW_DATA!I538</f>
        <v>Single</v>
      </c>
      <c r="J538">
        <f>RAW_DATA!J538</f>
        <v>5405</v>
      </c>
      <c r="K538">
        <f>RAW_DATA!K538</f>
        <v>8</v>
      </c>
      <c r="L538">
        <f>RAW_DATA!L538</f>
        <v>3</v>
      </c>
      <c r="M538">
        <f>RAW_DATA!M538</f>
        <v>2</v>
      </c>
      <c r="N538">
        <f t="shared" si="16"/>
        <v>0</v>
      </c>
      <c r="O538" t="str">
        <f xml:space="preserve"> VLOOKUP(A538, Lookup_Tables!$G$2:$H$6,2,TRUE)</f>
        <v>55+</v>
      </c>
      <c r="P538" t="str">
        <f>_xlfn.XLOOKUP(J538,Lookup_Tables!$J$2:$J$4,Lookup_Tables!$K$2:$K$4, " ",-1)</f>
        <v>Medium</v>
      </c>
      <c r="Q538" t="str">
        <f xml:space="preserve"> _xlfn.XLOOKUP(M538, Lookup_Tables!$M$2:$M$5,Lookup_Tables!$N$2:$N$5," ", -1)</f>
        <v>Early (2-5)</v>
      </c>
      <c r="R538" s="4">
        <f t="shared" si="17"/>
        <v>1.6666666666666667</v>
      </c>
      <c r="S538" t="str">
        <f xml:space="preserve"> _xlfn.XLOOKUP( E538, Lookup_Tables!$A$2:$A$6,Lookup_Tables!$B$2:$B$6," ", -1)</f>
        <v>Master</v>
      </c>
      <c r="T538" t="str">
        <f>_xlfn.XLOOKUP(G538,Lookup_Tables!$D$2:$D$5,Lookup_Tables!$E$2:$E$5)</f>
        <v>Low</v>
      </c>
      <c r="U538" t="str">
        <f>_xlfn.XLOOKUP(H538,Lookup_Tables!$D$2:$D$5,Lookup_Tables!$E$2:$E$5)</f>
        <v>Low</v>
      </c>
      <c r="V538" t="str">
        <f>_xlfn.XLOOKUP(L538,Lookup_Tables!$D$2:$D$5,Lookup_Tables!$E$2:$E$5)</f>
        <v>High</v>
      </c>
    </row>
    <row r="539" spans="1:22">
      <c r="A539">
        <f>RAW_DATA!A539</f>
        <v>27</v>
      </c>
      <c r="B539" t="str">
        <f>RAW_DATA!B539</f>
        <v>No</v>
      </c>
      <c r="C539" t="str">
        <f>RAW_DATA!C539</f>
        <v>Research &amp; Development</v>
      </c>
      <c r="D539">
        <f>RAW_DATA!D539</f>
        <v>10</v>
      </c>
      <c r="E539">
        <f>RAW_DATA!E539</f>
        <v>2</v>
      </c>
      <c r="F539" t="str">
        <f>RAW_DATA!F539</f>
        <v>Life Sciences</v>
      </c>
      <c r="G539">
        <f>RAW_DATA!G539</f>
        <v>4</v>
      </c>
      <c r="H539">
        <f>RAW_DATA!H539</f>
        <v>1</v>
      </c>
      <c r="I539" t="str">
        <f>RAW_DATA!I539</f>
        <v>Divorced</v>
      </c>
      <c r="J539">
        <f>RAW_DATA!J539</f>
        <v>8793</v>
      </c>
      <c r="K539">
        <f>RAW_DATA!K539</f>
        <v>1</v>
      </c>
      <c r="L539">
        <f>RAW_DATA!L539</f>
        <v>2</v>
      </c>
      <c r="M539">
        <f>RAW_DATA!M539</f>
        <v>9</v>
      </c>
      <c r="N539">
        <f t="shared" si="16"/>
        <v>0</v>
      </c>
      <c r="O539" t="str">
        <f xml:space="preserve"> VLOOKUP(A539, Lookup_Tables!$G$2:$H$6,2,TRUE)</f>
        <v>25-34</v>
      </c>
      <c r="P539" t="str">
        <f>_xlfn.XLOOKUP(J539,Lookup_Tables!$J$2:$J$4,Lookup_Tables!$K$2:$K$4, " ",-1)</f>
        <v>High</v>
      </c>
      <c r="Q539" t="str">
        <f xml:space="preserve"> _xlfn.XLOOKUP(M539, Lookup_Tables!$M$2:$M$5,Lookup_Tables!$N$2:$N$5," ", -1)</f>
        <v>Established (5-10)</v>
      </c>
      <c r="R539" s="4">
        <f t="shared" si="17"/>
        <v>2.3333333333333335</v>
      </c>
      <c r="S539" t="str">
        <f xml:space="preserve"> _xlfn.XLOOKUP( E539, Lookup_Tables!$A$2:$A$6,Lookup_Tables!$B$2:$B$6," ", -1)</f>
        <v>College</v>
      </c>
      <c r="T539" t="str">
        <f>_xlfn.XLOOKUP(G539,Lookup_Tables!$D$2:$D$5,Lookup_Tables!$E$2:$E$5)</f>
        <v>Very High</v>
      </c>
      <c r="U539" t="str">
        <f>_xlfn.XLOOKUP(H539,Lookup_Tables!$D$2:$D$5,Lookup_Tables!$E$2:$E$5)</f>
        <v>Low</v>
      </c>
      <c r="V539" t="str">
        <f>_xlfn.XLOOKUP(L539,Lookup_Tables!$D$2:$D$5,Lookup_Tables!$E$2:$E$5)</f>
        <v>Medium</v>
      </c>
    </row>
    <row r="540" spans="1:22">
      <c r="A540">
        <f>RAW_DATA!A540</f>
        <v>41</v>
      </c>
      <c r="B540" t="str">
        <f>RAW_DATA!B540</f>
        <v>No</v>
      </c>
      <c r="C540" t="str">
        <f>RAW_DATA!C540</f>
        <v>Human Resources</v>
      </c>
      <c r="D540">
        <f>RAW_DATA!D540</f>
        <v>1</v>
      </c>
      <c r="E540">
        <f>RAW_DATA!E540</f>
        <v>3</v>
      </c>
      <c r="F540" t="str">
        <f>RAW_DATA!F540</f>
        <v>Human Resources</v>
      </c>
      <c r="G540">
        <f>RAW_DATA!G540</f>
        <v>4</v>
      </c>
      <c r="H540">
        <f>RAW_DATA!H540</f>
        <v>3</v>
      </c>
      <c r="I540" t="str">
        <f>RAW_DATA!I540</f>
        <v>Married</v>
      </c>
      <c r="J540">
        <f>RAW_DATA!J540</f>
        <v>19189</v>
      </c>
      <c r="K540">
        <f>RAW_DATA!K540</f>
        <v>1</v>
      </c>
      <c r="L540">
        <f>RAW_DATA!L540</f>
        <v>3</v>
      </c>
      <c r="M540">
        <f>RAW_DATA!M540</f>
        <v>22</v>
      </c>
      <c r="N540">
        <f t="shared" si="16"/>
        <v>0</v>
      </c>
      <c r="O540" t="str">
        <f xml:space="preserve"> VLOOKUP(A540, Lookup_Tables!$G$2:$H$6,2,TRUE)</f>
        <v>35-44</v>
      </c>
      <c r="P540" t="str">
        <f>_xlfn.XLOOKUP(J540,Lookup_Tables!$J$2:$J$4,Lookup_Tables!$K$2:$K$4, " ",-1)</f>
        <v>High</v>
      </c>
      <c r="Q540" t="str">
        <f xml:space="preserve"> _xlfn.XLOOKUP(M540, Lookup_Tables!$M$2:$M$5,Lookup_Tables!$N$2:$N$5," ", -1)</f>
        <v>Veteran (10+)</v>
      </c>
      <c r="R540" s="4">
        <f t="shared" si="17"/>
        <v>3.3333333333333335</v>
      </c>
      <c r="S540" t="str">
        <f xml:space="preserve"> _xlfn.XLOOKUP( E540, Lookup_Tables!$A$2:$A$6,Lookup_Tables!$B$2:$B$6," ", -1)</f>
        <v>Bachelor</v>
      </c>
      <c r="T540" t="str">
        <f>_xlfn.XLOOKUP(G540,Lookup_Tables!$D$2:$D$5,Lookup_Tables!$E$2:$E$5)</f>
        <v>Very High</v>
      </c>
      <c r="U540" t="str">
        <f>_xlfn.XLOOKUP(H540,Lookup_Tables!$D$2:$D$5,Lookup_Tables!$E$2:$E$5)</f>
        <v>High</v>
      </c>
      <c r="V540" t="str">
        <f>_xlfn.XLOOKUP(L540,Lookup_Tables!$D$2:$D$5,Lookup_Tables!$E$2:$E$5)</f>
        <v>High</v>
      </c>
    </row>
    <row r="541" spans="1:22">
      <c r="A541">
        <f>RAW_DATA!A541</f>
        <v>50</v>
      </c>
      <c r="B541" t="str">
        <f>RAW_DATA!B541</f>
        <v>No</v>
      </c>
      <c r="C541" t="str">
        <f>RAW_DATA!C541</f>
        <v>Sales</v>
      </c>
      <c r="D541">
        <f>RAW_DATA!D541</f>
        <v>8</v>
      </c>
      <c r="E541">
        <f>RAW_DATA!E541</f>
        <v>4</v>
      </c>
      <c r="F541" t="str">
        <f>RAW_DATA!F541</f>
        <v>Marketing</v>
      </c>
      <c r="G541">
        <f>RAW_DATA!G541</f>
        <v>4</v>
      </c>
      <c r="H541">
        <f>RAW_DATA!H541</f>
        <v>2</v>
      </c>
      <c r="I541" t="str">
        <f>RAW_DATA!I541</f>
        <v>Married</v>
      </c>
      <c r="J541">
        <f>RAW_DATA!J541</f>
        <v>3875</v>
      </c>
      <c r="K541">
        <f>RAW_DATA!K541</f>
        <v>7</v>
      </c>
      <c r="L541">
        <f>RAW_DATA!L541</f>
        <v>3</v>
      </c>
      <c r="M541">
        <f>RAW_DATA!M541</f>
        <v>2</v>
      </c>
      <c r="N541">
        <f t="shared" si="16"/>
        <v>0</v>
      </c>
      <c r="O541" t="str">
        <f xml:space="preserve"> VLOOKUP(A541, Lookup_Tables!$G$2:$H$6,2,TRUE)</f>
        <v>45-54</v>
      </c>
      <c r="P541" t="str">
        <f>_xlfn.XLOOKUP(J541,Lookup_Tables!$J$2:$J$4,Lookup_Tables!$K$2:$K$4, " ",-1)</f>
        <v>Medium</v>
      </c>
      <c r="Q541" t="str">
        <f xml:space="preserve"> _xlfn.XLOOKUP(M541, Lookup_Tables!$M$2:$M$5,Lookup_Tables!$N$2:$N$5," ", -1)</f>
        <v>Early (2-5)</v>
      </c>
      <c r="R541" s="4">
        <f t="shared" si="17"/>
        <v>3</v>
      </c>
      <c r="S541" t="str">
        <f xml:space="preserve"> _xlfn.XLOOKUP( E541, Lookup_Tables!$A$2:$A$6,Lookup_Tables!$B$2:$B$6," ", -1)</f>
        <v>Master</v>
      </c>
      <c r="T541" t="str">
        <f>_xlfn.XLOOKUP(G541,Lookup_Tables!$D$2:$D$5,Lookup_Tables!$E$2:$E$5)</f>
        <v>Very High</v>
      </c>
      <c r="U541" t="str">
        <f>_xlfn.XLOOKUP(H541,Lookup_Tables!$D$2:$D$5,Lookup_Tables!$E$2:$E$5)</f>
        <v>Medium</v>
      </c>
      <c r="V541" t="str">
        <f>_xlfn.XLOOKUP(L541,Lookup_Tables!$D$2:$D$5,Lookup_Tables!$E$2:$E$5)</f>
        <v>High</v>
      </c>
    </row>
    <row r="542" spans="1:22">
      <c r="A542">
        <f>RAW_DATA!A542</f>
        <v>28</v>
      </c>
      <c r="B542" t="str">
        <f>RAW_DATA!B542</f>
        <v>Yes</v>
      </c>
      <c r="C542" t="str">
        <f>RAW_DATA!C542</f>
        <v>Research &amp; Development</v>
      </c>
      <c r="D542">
        <f>RAW_DATA!D542</f>
        <v>1</v>
      </c>
      <c r="E542">
        <f>RAW_DATA!E542</f>
        <v>2</v>
      </c>
      <c r="F542" t="str">
        <f>RAW_DATA!F542</f>
        <v>Life Sciences</v>
      </c>
      <c r="G542">
        <f>RAW_DATA!G542</f>
        <v>1</v>
      </c>
      <c r="H542">
        <f>RAW_DATA!H542</f>
        <v>2</v>
      </c>
      <c r="I542" t="str">
        <f>RAW_DATA!I542</f>
        <v>Single</v>
      </c>
      <c r="J542">
        <f>RAW_DATA!J542</f>
        <v>2216</v>
      </c>
      <c r="K542">
        <f>RAW_DATA!K542</f>
        <v>7</v>
      </c>
      <c r="L542">
        <f>RAW_DATA!L542</f>
        <v>3</v>
      </c>
      <c r="M542">
        <f>RAW_DATA!M542</f>
        <v>7</v>
      </c>
      <c r="N542">
        <f t="shared" si="16"/>
        <v>1</v>
      </c>
      <c r="O542" t="str">
        <f xml:space="preserve"> VLOOKUP(A542, Lookup_Tables!$G$2:$H$6,2,TRUE)</f>
        <v>25-34</v>
      </c>
      <c r="P542" t="str">
        <f>_xlfn.XLOOKUP(J542,Lookup_Tables!$J$2:$J$4,Lookup_Tables!$K$2:$K$4, " ",-1)</f>
        <v>Low</v>
      </c>
      <c r="Q542" t="str">
        <f xml:space="preserve"> _xlfn.XLOOKUP(M542, Lookup_Tables!$M$2:$M$5,Lookup_Tables!$N$2:$N$5," ", -1)</f>
        <v>Established (5-10)</v>
      </c>
      <c r="R542" s="4">
        <f t="shared" si="17"/>
        <v>2</v>
      </c>
      <c r="S542" t="str">
        <f xml:space="preserve"> _xlfn.XLOOKUP( E542, Lookup_Tables!$A$2:$A$6,Lookup_Tables!$B$2:$B$6," ", -1)</f>
        <v>College</v>
      </c>
      <c r="T542" t="str">
        <f>_xlfn.XLOOKUP(G542,Lookup_Tables!$D$2:$D$5,Lookup_Tables!$E$2:$E$5)</f>
        <v>Low</v>
      </c>
      <c r="U542" t="str">
        <f>_xlfn.XLOOKUP(H542,Lookup_Tables!$D$2:$D$5,Lookup_Tables!$E$2:$E$5)</f>
        <v>Medium</v>
      </c>
      <c r="V542" t="str">
        <f>_xlfn.XLOOKUP(L542,Lookup_Tables!$D$2:$D$5,Lookup_Tables!$E$2:$E$5)</f>
        <v>High</v>
      </c>
    </row>
    <row r="543" spans="1:22">
      <c r="A543">
        <f>RAW_DATA!A543</f>
        <v>36</v>
      </c>
      <c r="B543" t="str">
        <f>RAW_DATA!B543</f>
        <v>No</v>
      </c>
      <c r="C543" t="str">
        <f>RAW_DATA!C543</f>
        <v>Research &amp; Development</v>
      </c>
      <c r="D543">
        <f>RAW_DATA!D543</f>
        <v>8</v>
      </c>
      <c r="E543">
        <f>RAW_DATA!E543</f>
        <v>3</v>
      </c>
      <c r="F543" t="str">
        <f>RAW_DATA!F543</f>
        <v>Life Sciences</v>
      </c>
      <c r="G543">
        <f>RAW_DATA!G543</f>
        <v>1</v>
      </c>
      <c r="H543">
        <f>RAW_DATA!H543</f>
        <v>1</v>
      </c>
      <c r="I543" t="str">
        <f>RAW_DATA!I543</f>
        <v>Married</v>
      </c>
      <c r="J543">
        <f>RAW_DATA!J543</f>
        <v>11713</v>
      </c>
      <c r="K543">
        <f>RAW_DATA!K543</f>
        <v>9</v>
      </c>
      <c r="L543">
        <f>RAW_DATA!L543</f>
        <v>3</v>
      </c>
      <c r="M543">
        <f>RAW_DATA!M543</f>
        <v>8</v>
      </c>
      <c r="N543">
        <f t="shared" si="16"/>
        <v>0</v>
      </c>
      <c r="O543" t="str">
        <f xml:space="preserve"> VLOOKUP(A543, Lookup_Tables!$G$2:$H$6,2,TRUE)</f>
        <v>35-44</v>
      </c>
      <c r="P543" t="str">
        <f>_xlfn.XLOOKUP(J543,Lookup_Tables!$J$2:$J$4,Lookup_Tables!$K$2:$K$4, " ",-1)</f>
        <v>High</v>
      </c>
      <c r="Q543" t="str">
        <f xml:space="preserve"> _xlfn.XLOOKUP(M543, Lookup_Tables!$M$2:$M$5,Lookup_Tables!$N$2:$N$5," ", -1)</f>
        <v>Established (5-10)</v>
      </c>
      <c r="R543" s="4">
        <f t="shared" si="17"/>
        <v>1.6666666666666667</v>
      </c>
      <c r="S543" t="str">
        <f xml:space="preserve"> _xlfn.XLOOKUP( E543, Lookup_Tables!$A$2:$A$6,Lookup_Tables!$B$2:$B$6," ", -1)</f>
        <v>Bachelor</v>
      </c>
      <c r="T543" t="str">
        <f>_xlfn.XLOOKUP(G543,Lookup_Tables!$D$2:$D$5,Lookup_Tables!$E$2:$E$5)</f>
        <v>Low</v>
      </c>
      <c r="U543" t="str">
        <f>_xlfn.XLOOKUP(H543,Lookup_Tables!$D$2:$D$5,Lookup_Tables!$E$2:$E$5)</f>
        <v>Low</v>
      </c>
      <c r="V543" t="str">
        <f>_xlfn.XLOOKUP(L543,Lookup_Tables!$D$2:$D$5,Lookup_Tables!$E$2:$E$5)</f>
        <v>High</v>
      </c>
    </row>
    <row r="544" spans="1:22">
      <c r="A544">
        <f>RAW_DATA!A544</f>
        <v>38</v>
      </c>
      <c r="B544" t="str">
        <f>RAW_DATA!B544</f>
        <v>No</v>
      </c>
      <c r="C544" t="str">
        <f>RAW_DATA!C544</f>
        <v>Research &amp; Development</v>
      </c>
      <c r="D544">
        <f>RAW_DATA!D544</f>
        <v>1</v>
      </c>
      <c r="E544">
        <f>RAW_DATA!E544</f>
        <v>3</v>
      </c>
      <c r="F544" t="str">
        <f>RAW_DATA!F544</f>
        <v>Life Sciences</v>
      </c>
      <c r="G544">
        <f>RAW_DATA!G544</f>
        <v>3</v>
      </c>
      <c r="H544">
        <f>RAW_DATA!H544</f>
        <v>3</v>
      </c>
      <c r="I544" t="str">
        <f>RAW_DATA!I544</f>
        <v>Single</v>
      </c>
      <c r="J544">
        <f>RAW_DATA!J544</f>
        <v>7861</v>
      </c>
      <c r="K544">
        <f>RAW_DATA!K544</f>
        <v>4</v>
      </c>
      <c r="L544">
        <f>RAW_DATA!L544</f>
        <v>4</v>
      </c>
      <c r="M544">
        <f>RAW_DATA!M544</f>
        <v>1</v>
      </c>
      <c r="N544">
        <f t="shared" si="16"/>
        <v>0</v>
      </c>
      <c r="O544" t="str">
        <f xml:space="preserve"> VLOOKUP(A544, Lookup_Tables!$G$2:$H$6,2,TRUE)</f>
        <v>35-44</v>
      </c>
      <c r="P544" t="str">
        <f>_xlfn.XLOOKUP(J544,Lookup_Tables!$J$2:$J$4,Lookup_Tables!$K$2:$K$4, " ",-1)</f>
        <v>High</v>
      </c>
      <c r="Q544" t="str">
        <f xml:space="preserve"> _xlfn.XLOOKUP(M544, Lookup_Tables!$M$2:$M$5,Lookup_Tables!$N$2:$N$5," ", -1)</f>
        <v>New (0-2)</v>
      </c>
      <c r="R544" s="4">
        <f t="shared" si="17"/>
        <v>3.3333333333333335</v>
      </c>
      <c r="S544" t="str">
        <f xml:space="preserve"> _xlfn.XLOOKUP( E544, Lookup_Tables!$A$2:$A$6,Lookup_Tables!$B$2:$B$6," ", -1)</f>
        <v>Bachelor</v>
      </c>
      <c r="T544" t="str">
        <f>_xlfn.XLOOKUP(G544,Lookup_Tables!$D$2:$D$5,Lookup_Tables!$E$2:$E$5)</f>
        <v>High</v>
      </c>
      <c r="U544" t="str">
        <f>_xlfn.XLOOKUP(H544,Lookup_Tables!$D$2:$D$5,Lookup_Tables!$E$2:$E$5)</f>
        <v>High</v>
      </c>
      <c r="V544" t="str">
        <f>_xlfn.XLOOKUP(L544,Lookup_Tables!$D$2:$D$5,Lookup_Tables!$E$2:$E$5)</f>
        <v>Very High</v>
      </c>
    </row>
    <row r="545" spans="1:22">
      <c r="A545">
        <f>RAW_DATA!A545</f>
        <v>44</v>
      </c>
      <c r="B545" t="str">
        <f>RAW_DATA!B545</f>
        <v>No</v>
      </c>
      <c r="C545" t="str">
        <f>RAW_DATA!C545</f>
        <v>Research &amp; Development</v>
      </c>
      <c r="D545">
        <f>RAW_DATA!D545</f>
        <v>24</v>
      </c>
      <c r="E545">
        <f>RAW_DATA!E545</f>
        <v>3</v>
      </c>
      <c r="F545" t="str">
        <f>RAW_DATA!F545</f>
        <v>Medical</v>
      </c>
      <c r="G545">
        <f>RAW_DATA!G545</f>
        <v>1</v>
      </c>
      <c r="H545">
        <f>RAW_DATA!H545</f>
        <v>3</v>
      </c>
      <c r="I545" t="str">
        <f>RAW_DATA!I545</f>
        <v>Single</v>
      </c>
      <c r="J545">
        <f>RAW_DATA!J545</f>
        <v>3708</v>
      </c>
      <c r="K545">
        <f>RAW_DATA!K545</f>
        <v>2</v>
      </c>
      <c r="L545">
        <f>RAW_DATA!L545</f>
        <v>3</v>
      </c>
      <c r="M545">
        <f>RAW_DATA!M545</f>
        <v>5</v>
      </c>
      <c r="N545">
        <f t="shared" si="16"/>
        <v>0</v>
      </c>
      <c r="O545" t="str">
        <f xml:space="preserve"> VLOOKUP(A545, Lookup_Tables!$G$2:$H$6,2,TRUE)</f>
        <v>35-44</v>
      </c>
      <c r="P545" t="str">
        <f>_xlfn.XLOOKUP(J545,Lookup_Tables!$J$2:$J$4,Lookup_Tables!$K$2:$K$4, " ",-1)</f>
        <v>Medium</v>
      </c>
      <c r="Q545" t="str">
        <f xml:space="preserve"> _xlfn.XLOOKUP(M545, Lookup_Tables!$M$2:$M$5,Lookup_Tables!$N$2:$N$5," ", -1)</f>
        <v>Established (5-10)</v>
      </c>
      <c r="R545" s="4">
        <f t="shared" si="17"/>
        <v>2.3333333333333335</v>
      </c>
      <c r="S545" t="str">
        <f xml:space="preserve"> _xlfn.XLOOKUP( E545, Lookup_Tables!$A$2:$A$6,Lookup_Tables!$B$2:$B$6," ", -1)</f>
        <v>Bachelor</v>
      </c>
      <c r="T545" t="str">
        <f>_xlfn.XLOOKUP(G545,Lookup_Tables!$D$2:$D$5,Lookup_Tables!$E$2:$E$5)</f>
        <v>Low</v>
      </c>
      <c r="U545" t="str">
        <f>_xlfn.XLOOKUP(H545,Lookup_Tables!$D$2:$D$5,Lookup_Tables!$E$2:$E$5)</f>
        <v>High</v>
      </c>
      <c r="V545" t="str">
        <f>_xlfn.XLOOKUP(L545,Lookup_Tables!$D$2:$D$5,Lookup_Tables!$E$2:$E$5)</f>
        <v>High</v>
      </c>
    </row>
    <row r="546" spans="1:22">
      <c r="A546">
        <f>RAW_DATA!A546</f>
        <v>47</v>
      </c>
      <c r="B546" t="str">
        <f>RAW_DATA!B546</f>
        <v>No</v>
      </c>
      <c r="C546" t="str">
        <f>RAW_DATA!C546</f>
        <v>Sales</v>
      </c>
      <c r="D546">
        <f>RAW_DATA!D546</f>
        <v>3</v>
      </c>
      <c r="E546">
        <f>RAW_DATA!E546</f>
        <v>3</v>
      </c>
      <c r="F546" t="str">
        <f>RAW_DATA!F546</f>
        <v>Medical</v>
      </c>
      <c r="G546">
        <f>RAW_DATA!G546</f>
        <v>4</v>
      </c>
      <c r="H546">
        <f>RAW_DATA!H546</f>
        <v>3</v>
      </c>
      <c r="I546" t="str">
        <f>RAW_DATA!I546</f>
        <v>Divorced</v>
      </c>
      <c r="J546">
        <f>RAW_DATA!J546</f>
        <v>13770</v>
      </c>
      <c r="K546">
        <f>RAW_DATA!K546</f>
        <v>9</v>
      </c>
      <c r="L546">
        <f>RAW_DATA!L546</f>
        <v>2</v>
      </c>
      <c r="M546">
        <f>RAW_DATA!M546</f>
        <v>22</v>
      </c>
      <c r="N546">
        <f t="shared" si="16"/>
        <v>0</v>
      </c>
      <c r="O546" t="str">
        <f xml:space="preserve"> VLOOKUP(A546, Lookup_Tables!$G$2:$H$6,2,TRUE)</f>
        <v>45-54</v>
      </c>
      <c r="P546" t="str">
        <f>_xlfn.XLOOKUP(J546,Lookup_Tables!$J$2:$J$4,Lookup_Tables!$K$2:$K$4, " ",-1)</f>
        <v>High</v>
      </c>
      <c r="Q546" t="str">
        <f xml:space="preserve"> _xlfn.XLOOKUP(M546, Lookup_Tables!$M$2:$M$5,Lookup_Tables!$N$2:$N$5," ", -1)</f>
        <v>Veteran (10+)</v>
      </c>
      <c r="R546" s="4">
        <f t="shared" si="17"/>
        <v>3</v>
      </c>
      <c r="S546" t="str">
        <f xml:space="preserve"> _xlfn.XLOOKUP( E546, Lookup_Tables!$A$2:$A$6,Lookup_Tables!$B$2:$B$6," ", -1)</f>
        <v>Bachelor</v>
      </c>
      <c r="T546" t="str">
        <f>_xlfn.XLOOKUP(G546,Lookup_Tables!$D$2:$D$5,Lookup_Tables!$E$2:$E$5)</f>
        <v>Very High</v>
      </c>
      <c r="U546" t="str">
        <f>_xlfn.XLOOKUP(H546,Lookup_Tables!$D$2:$D$5,Lookup_Tables!$E$2:$E$5)</f>
        <v>High</v>
      </c>
      <c r="V546" t="str">
        <f>_xlfn.XLOOKUP(L546,Lookup_Tables!$D$2:$D$5,Lookup_Tables!$E$2:$E$5)</f>
        <v>Medium</v>
      </c>
    </row>
    <row r="547" spans="1:22">
      <c r="A547">
        <f>RAW_DATA!A547</f>
        <v>30</v>
      </c>
      <c r="B547" t="str">
        <f>RAW_DATA!B547</f>
        <v>No</v>
      </c>
      <c r="C547" t="str">
        <f>RAW_DATA!C547</f>
        <v>Sales</v>
      </c>
      <c r="D547">
        <f>RAW_DATA!D547</f>
        <v>27</v>
      </c>
      <c r="E547">
        <f>RAW_DATA!E547</f>
        <v>5</v>
      </c>
      <c r="F547" t="str">
        <f>RAW_DATA!F547</f>
        <v>Marketing</v>
      </c>
      <c r="G547">
        <f>RAW_DATA!G547</f>
        <v>3</v>
      </c>
      <c r="H547">
        <f>RAW_DATA!H547</f>
        <v>4</v>
      </c>
      <c r="I547" t="str">
        <f>RAW_DATA!I547</f>
        <v>Divorced</v>
      </c>
      <c r="J547">
        <f>RAW_DATA!J547</f>
        <v>5304</v>
      </c>
      <c r="K547">
        <f>RAW_DATA!K547</f>
        <v>7</v>
      </c>
      <c r="L547">
        <f>RAW_DATA!L547</f>
        <v>2</v>
      </c>
      <c r="M547">
        <f>RAW_DATA!M547</f>
        <v>8</v>
      </c>
      <c r="N547">
        <f t="shared" si="16"/>
        <v>0</v>
      </c>
      <c r="O547" t="str">
        <f xml:space="preserve"> VLOOKUP(A547, Lookup_Tables!$G$2:$H$6,2,TRUE)</f>
        <v>25-34</v>
      </c>
      <c r="P547" t="str">
        <f>_xlfn.XLOOKUP(J547,Lookup_Tables!$J$2:$J$4,Lookup_Tables!$K$2:$K$4, " ",-1)</f>
        <v>Medium</v>
      </c>
      <c r="Q547" t="str">
        <f xml:space="preserve"> _xlfn.XLOOKUP(M547, Lookup_Tables!$M$2:$M$5,Lookup_Tables!$N$2:$N$5," ", -1)</f>
        <v>Established (5-10)</v>
      </c>
      <c r="R547" s="4">
        <f t="shared" si="17"/>
        <v>3</v>
      </c>
      <c r="S547" t="str">
        <f xml:space="preserve"> _xlfn.XLOOKUP( E547, Lookup_Tables!$A$2:$A$6,Lookup_Tables!$B$2:$B$6," ", -1)</f>
        <v>Doctor</v>
      </c>
      <c r="T547" t="str">
        <f>_xlfn.XLOOKUP(G547,Lookup_Tables!$D$2:$D$5,Lookup_Tables!$E$2:$E$5)</f>
        <v>High</v>
      </c>
      <c r="U547" t="str">
        <f>_xlfn.XLOOKUP(H547,Lookup_Tables!$D$2:$D$5,Lookup_Tables!$E$2:$E$5)</f>
        <v>Very High</v>
      </c>
      <c r="V547" t="str">
        <f>_xlfn.XLOOKUP(L547,Lookup_Tables!$D$2:$D$5,Lookup_Tables!$E$2:$E$5)</f>
        <v>Medium</v>
      </c>
    </row>
    <row r="548" spans="1:22">
      <c r="A548">
        <f>RAW_DATA!A548</f>
        <v>29</v>
      </c>
      <c r="B548" t="str">
        <f>RAW_DATA!B548</f>
        <v>No</v>
      </c>
      <c r="C548" t="str">
        <f>RAW_DATA!C548</f>
        <v>Sales</v>
      </c>
      <c r="D548">
        <f>RAW_DATA!D548</f>
        <v>10</v>
      </c>
      <c r="E548">
        <f>RAW_DATA!E548</f>
        <v>3</v>
      </c>
      <c r="F548" t="str">
        <f>RAW_DATA!F548</f>
        <v>Life Sciences</v>
      </c>
      <c r="G548">
        <f>RAW_DATA!G548</f>
        <v>3</v>
      </c>
      <c r="H548">
        <f>RAW_DATA!H548</f>
        <v>3</v>
      </c>
      <c r="I548" t="str">
        <f>RAW_DATA!I548</f>
        <v>Single</v>
      </c>
      <c r="J548">
        <f>RAW_DATA!J548</f>
        <v>2642</v>
      </c>
      <c r="K548">
        <f>RAW_DATA!K548</f>
        <v>1</v>
      </c>
      <c r="L548">
        <f>RAW_DATA!L548</f>
        <v>3</v>
      </c>
      <c r="M548">
        <f>RAW_DATA!M548</f>
        <v>1</v>
      </c>
      <c r="N548">
        <f t="shared" si="16"/>
        <v>0</v>
      </c>
      <c r="O548" t="str">
        <f xml:space="preserve"> VLOOKUP(A548, Lookup_Tables!$G$2:$H$6,2,TRUE)</f>
        <v>25-34</v>
      </c>
      <c r="P548" t="str">
        <f>_xlfn.XLOOKUP(J548,Lookup_Tables!$J$2:$J$4,Lookup_Tables!$K$2:$K$4, " ",-1)</f>
        <v>Low</v>
      </c>
      <c r="Q548" t="str">
        <f xml:space="preserve"> _xlfn.XLOOKUP(M548, Lookup_Tables!$M$2:$M$5,Lookup_Tables!$N$2:$N$5," ", -1)</f>
        <v>New (0-2)</v>
      </c>
      <c r="R548" s="4">
        <f t="shared" si="17"/>
        <v>3</v>
      </c>
      <c r="S548" t="str">
        <f xml:space="preserve"> _xlfn.XLOOKUP( E548, Lookup_Tables!$A$2:$A$6,Lookup_Tables!$B$2:$B$6," ", -1)</f>
        <v>Bachelor</v>
      </c>
      <c r="T548" t="str">
        <f>_xlfn.XLOOKUP(G548,Lookup_Tables!$D$2:$D$5,Lookup_Tables!$E$2:$E$5)</f>
        <v>High</v>
      </c>
      <c r="U548" t="str">
        <f>_xlfn.XLOOKUP(H548,Lookup_Tables!$D$2:$D$5,Lookup_Tables!$E$2:$E$5)</f>
        <v>High</v>
      </c>
      <c r="V548" t="str">
        <f>_xlfn.XLOOKUP(L548,Lookup_Tables!$D$2:$D$5,Lookup_Tables!$E$2:$E$5)</f>
        <v>High</v>
      </c>
    </row>
    <row r="549" spans="1:22">
      <c r="A549">
        <f>RAW_DATA!A549</f>
        <v>42</v>
      </c>
      <c r="B549" t="str">
        <f>RAW_DATA!B549</f>
        <v>Yes</v>
      </c>
      <c r="C549" t="str">
        <f>RAW_DATA!C549</f>
        <v>Research &amp; Development</v>
      </c>
      <c r="D549">
        <f>RAW_DATA!D549</f>
        <v>19</v>
      </c>
      <c r="E549">
        <f>RAW_DATA!E549</f>
        <v>3</v>
      </c>
      <c r="F549" t="str">
        <f>RAW_DATA!F549</f>
        <v>Medical</v>
      </c>
      <c r="G549">
        <f>RAW_DATA!G549</f>
        <v>3</v>
      </c>
      <c r="H549">
        <f>RAW_DATA!H549</f>
        <v>3</v>
      </c>
      <c r="I549" t="str">
        <f>RAW_DATA!I549</f>
        <v>Divorced</v>
      </c>
      <c r="J549">
        <f>RAW_DATA!J549</f>
        <v>2759</v>
      </c>
      <c r="K549">
        <f>RAW_DATA!K549</f>
        <v>6</v>
      </c>
      <c r="L549">
        <f>RAW_DATA!L549</f>
        <v>3</v>
      </c>
      <c r="M549">
        <f>RAW_DATA!M549</f>
        <v>2</v>
      </c>
      <c r="N549">
        <f t="shared" si="16"/>
        <v>1</v>
      </c>
      <c r="O549" t="str">
        <f xml:space="preserve"> VLOOKUP(A549, Lookup_Tables!$G$2:$H$6,2,TRUE)</f>
        <v>35-44</v>
      </c>
      <c r="P549" t="str">
        <f>_xlfn.XLOOKUP(J549,Lookup_Tables!$J$2:$J$4,Lookup_Tables!$K$2:$K$4, " ",-1)</f>
        <v>Low</v>
      </c>
      <c r="Q549" t="str">
        <f xml:space="preserve"> _xlfn.XLOOKUP(M549, Lookup_Tables!$M$2:$M$5,Lookup_Tables!$N$2:$N$5," ", -1)</f>
        <v>Early (2-5)</v>
      </c>
      <c r="R549" s="4">
        <f t="shared" si="17"/>
        <v>3</v>
      </c>
      <c r="S549" t="str">
        <f xml:space="preserve"> _xlfn.XLOOKUP( E549, Lookup_Tables!$A$2:$A$6,Lookup_Tables!$B$2:$B$6," ", -1)</f>
        <v>Bachelor</v>
      </c>
      <c r="T549" t="str">
        <f>_xlfn.XLOOKUP(G549,Lookup_Tables!$D$2:$D$5,Lookup_Tables!$E$2:$E$5)</f>
        <v>High</v>
      </c>
      <c r="U549" t="str">
        <f>_xlfn.XLOOKUP(H549,Lookup_Tables!$D$2:$D$5,Lookup_Tables!$E$2:$E$5)</f>
        <v>High</v>
      </c>
      <c r="V549" t="str">
        <f>_xlfn.XLOOKUP(L549,Lookup_Tables!$D$2:$D$5,Lookup_Tables!$E$2:$E$5)</f>
        <v>High</v>
      </c>
    </row>
    <row r="550" spans="1:22">
      <c r="A550">
        <f>RAW_DATA!A550</f>
        <v>43</v>
      </c>
      <c r="B550" t="str">
        <f>RAW_DATA!B550</f>
        <v>No</v>
      </c>
      <c r="C550" t="str">
        <f>RAW_DATA!C550</f>
        <v>Sales</v>
      </c>
      <c r="D550">
        <f>RAW_DATA!D550</f>
        <v>15</v>
      </c>
      <c r="E550">
        <f>RAW_DATA!E550</f>
        <v>3</v>
      </c>
      <c r="F550" t="str">
        <f>RAW_DATA!F550</f>
        <v>Life Sciences</v>
      </c>
      <c r="G550">
        <f>RAW_DATA!G550</f>
        <v>4</v>
      </c>
      <c r="H550">
        <f>RAW_DATA!H550</f>
        <v>4</v>
      </c>
      <c r="I550" t="str">
        <f>RAW_DATA!I550</f>
        <v>Married</v>
      </c>
      <c r="J550">
        <f>RAW_DATA!J550</f>
        <v>6804</v>
      </c>
      <c r="K550">
        <f>RAW_DATA!K550</f>
        <v>3</v>
      </c>
      <c r="L550">
        <f>RAW_DATA!L550</f>
        <v>3</v>
      </c>
      <c r="M550">
        <f>RAW_DATA!M550</f>
        <v>2</v>
      </c>
      <c r="N550">
        <f t="shared" si="16"/>
        <v>0</v>
      </c>
      <c r="O550" t="str">
        <f xml:space="preserve"> VLOOKUP(A550, Lookup_Tables!$G$2:$H$6,2,TRUE)</f>
        <v>35-44</v>
      </c>
      <c r="P550" t="str">
        <f>_xlfn.XLOOKUP(J550,Lookup_Tables!$J$2:$J$4,Lookup_Tables!$K$2:$K$4, " ",-1)</f>
        <v>Medium</v>
      </c>
      <c r="Q550" t="str">
        <f xml:space="preserve"> _xlfn.XLOOKUP(M550, Lookup_Tables!$M$2:$M$5,Lookup_Tables!$N$2:$N$5," ", -1)</f>
        <v>Early (2-5)</v>
      </c>
      <c r="R550" s="4">
        <f t="shared" si="17"/>
        <v>3.6666666666666665</v>
      </c>
      <c r="S550" t="str">
        <f xml:space="preserve"> _xlfn.XLOOKUP( E550, Lookup_Tables!$A$2:$A$6,Lookup_Tables!$B$2:$B$6," ", -1)</f>
        <v>Bachelor</v>
      </c>
      <c r="T550" t="str">
        <f>_xlfn.XLOOKUP(G550,Lookup_Tables!$D$2:$D$5,Lookup_Tables!$E$2:$E$5)</f>
        <v>Very High</v>
      </c>
      <c r="U550" t="str">
        <f>_xlfn.XLOOKUP(H550,Lookup_Tables!$D$2:$D$5,Lookup_Tables!$E$2:$E$5)</f>
        <v>Very High</v>
      </c>
      <c r="V550" t="str">
        <f>_xlfn.XLOOKUP(L550,Lookup_Tables!$D$2:$D$5,Lookup_Tables!$E$2:$E$5)</f>
        <v>High</v>
      </c>
    </row>
    <row r="551" spans="1:22">
      <c r="A551">
        <f>RAW_DATA!A551</f>
        <v>34</v>
      </c>
      <c r="B551" t="str">
        <f>RAW_DATA!B551</f>
        <v>No</v>
      </c>
      <c r="C551" t="str">
        <f>RAW_DATA!C551</f>
        <v>Research &amp; Development</v>
      </c>
      <c r="D551">
        <f>RAW_DATA!D551</f>
        <v>8</v>
      </c>
      <c r="E551">
        <f>RAW_DATA!E551</f>
        <v>2</v>
      </c>
      <c r="F551" t="str">
        <f>RAW_DATA!F551</f>
        <v>Medical</v>
      </c>
      <c r="G551">
        <f>RAW_DATA!G551</f>
        <v>2</v>
      </c>
      <c r="H551">
        <f>RAW_DATA!H551</f>
        <v>3</v>
      </c>
      <c r="I551" t="str">
        <f>RAW_DATA!I551</f>
        <v>Single</v>
      </c>
      <c r="J551">
        <f>RAW_DATA!J551</f>
        <v>6142</v>
      </c>
      <c r="K551">
        <f>RAW_DATA!K551</f>
        <v>3</v>
      </c>
      <c r="L551">
        <f>RAW_DATA!L551</f>
        <v>3</v>
      </c>
      <c r="M551">
        <f>RAW_DATA!M551</f>
        <v>5</v>
      </c>
      <c r="N551">
        <f t="shared" si="16"/>
        <v>0</v>
      </c>
      <c r="O551" t="str">
        <f xml:space="preserve"> VLOOKUP(A551, Lookup_Tables!$G$2:$H$6,2,TRUE)</f>
        <v>25-34</v>
      </c>
      <c r="P551" t="str">
        <f>_xlfn.XLOOKUP(J551,Lookup_Tables!$J$2:$J$4,Lookup_Tables!$K$2:$K$4, " ",-1)</f>
        <v>Medium</v>
      </c>
      <c r="Q551" t="str">
        <f xml:space="preserve"> _xlfn.XLOOKUP(M551, Lookup_Tables!$M$2:$M$5,Lookup_Tables!$N$2:$N$5," ", -1)</f>
        <v>Established (5-10)</v>
      </c>
      <c r="R551" s="4">
        <f t="shared" si="17"/>
        <v>2.6666666666666665</v>
      </c>
      <c r="S551" t="str">
        <f xml:space="preserve"> _xlfn.XLOOKUP( E551, Lookup_Tables!$A$2:$A$6,Lookup_Tables!$B$2:$B$6," ", -1)</f>
        <v>College</v>
      </c>
      <c r="T551" t="str">
        <f>_xlfn.XLOOKUP(G551,Lookup_Tables!$D$2:$D$5,Lookup_Tables!$E$2:$E$5)</f>
        <v>Medium</v>
      </c>
      <c r="U551" t="str">
        <f>_xlfn.XLOOKUP(H551,Lookup_Tables!$D$2:$D$5,Lookup_Tables!$E$2:$E$5)</f>
        <v>High</v>
      </c>
      <c r="V551" t="str">
        <f>_xlfn.XLOOKUP(L551,Lookup_Tables!$D$2:$D$5,Lookup_Tables!$E$2:$E$5)</f>
        <v>High</v>
      </c>
    </row>
    <row r="552" spans="1:22">
      <c r="A552">
        <f>RAW_DATA!A552</f>
        <v>23</v>
      </c>
      <c r="B552" t="str">
        <f>RAW_DATA!B552</f>
        <v>No</v>
      </c>
      <c r="C552" t="str">
        <f>RAW_DATA!C552</f>
        <v>Research &amp; Development</v>
      </c>
      <c r="D552">
        <f>RAW_DATA!D552</f>
        <v>9</v>
      </c>
      <c r="E552">
        <f>RAW_DATA!E552</f>
        <v>1</v>
      </c>
      <c r="F552" t="str">
        <f>RAW_DATA!F552</f>
        <v>Medical</v>
      </c>
      <c r="G552">
        <f>RAW_DATA!G552</f>
        <v>2</v>
      </c>
      <c r="H552">
        <f>RAW_DATA!H552</f>
        <v>1</v>
      </c>
      <c r="I552" t="str">
        <f>RAW_DATA!I552</f>
        <v>Married</v>
      </c>
      <c r="J552">
        <f>RAW_DATA!J552</f>
        <v>2500</v>
      </c>
      <c r="K552">
        <f>RAW_DATA!K552</f>
        <v>1</v>
      </c>
      <c r="L552">
        <f>RAW_DATA!L552</f>
        <v>4</v>
      </c>
      <c r="M552">
        <f>RAW_DATA!M552</f>
        <v>4</v>
      </c>
      <c r="N552">
        <f t="shared" si="16"/>
        <v>0</v>
      </c>
      <c r="O552" t="str">
        <f xml:space="preserve"> VLOOKUP(A552, Lookup_Tables!$G$2:$H$6,2,TRUE)</f>
        <v>&lt;25</v>
      </c>
      <c r="P552" t="str">
        <f>_xlfn.XLOOKUP(J552,Lookup_Tables!$J$2:$J$4,Lookup_Tables!$K$2:$K$4, " ",-1)</f>
        <v>Low</v>
      </c>
      <c r="Q552" t="str">
        <f xml:space="preserve"> _xlfn.XLOOKUP(M552, Lookup_Tables!$M$2:$M$5,Lookup_Tables!$N$2:$N$5," ", -1)</f>
        <v>Early (2-5)</v>
      </c>
      <c r="R552" s="4">
        <f t="shared" si="17"/>
        <v>2.3333333333333335</v>
      </c>
      <c r="S552" t="str">
        <f xml:space="preserve"> _xlfn.XLOOKUP( E552, Lookup_Tables!$A$2:$A$6,Lookup_Tables!$B$2:$B$6," ", -1)</f>
        <v>Below College</v>
      </c>
      <c r="T552" t="str">
        <f>_xlfn.XLOOKUP(G552,Lookup_Tables!$D$2:$D$5,Lookup_Tables!$E$2:$E$5)</f>
        <v>Medium</v>
      </c>
      <c r="U552" t="str">
        <f>_xlfn.XLOOKUP(H552,Lookup_Tables!$D$2:$D$5,Lookup_Tables!$E$2:$E$5)</f>
        <v>Low</v>
      </c>
      <c r="V552" t="str">
        <f>_xlfn.XLOOKUP(L552,Lookup_Tables!$D$2:$D$5,Lookup_Tables!$E$2:$E$5)</f>
        <v>Very High</v>
      </c>
    </row>
    <row r="553" spans="1:22">
      <c r="A553">
        <f>RAW_DATA!A553</f>
        <v>39</v>
      </c>
      <c r="B553" t="str">
        <f>RAW_DATA!B553</f>
        <v>No</v>
      </c>
      <c r="C553" t="str">
        <f>RAW_DATA!C553</f>
        <v>Human Resources</v>
      </c>
      <c r="D553">
        <f>RAW_DATA!D553</f>
        <v>3</v>
      </c>
      <c r="E553">
        <f>RAW_DATA!E553</f>
        <v>3</v>
      </c>
      <c r="F553" t="str">
        <f>RAW_DATA!F553</f>
        <v>Human Resources</v>
      </c>
      <c r="G553">
        <f>RAW_DATA!G553</f>
        <v>3</v>
      </c>
      <c r="H553">
        <f>RAW_DATA!H553</f>
        <v>2</v>
      </c>
      <c r="I553" t="str">
        <f>RAW_DATA!I553</f>
        <v>Married</v>
      </c>
      <c r="J553">
        <f>RAW_DATA!J553</f>
        <v>6389</v>
      </c>
      <c r="K553">
        <f>RAW_DATA!K553</f>
        <v>9</v>
      </c>
      <c r="L553">
        <f>RAW_DATA!L553</f>
        <v>1</v>
      </c>
      <c r="M553">
        <f>RAW_DATA!M553</f>
        <v>8</v>
      </c>
      <c r="N553">
        <f t="shared" si="16"/>
        <v>0</v>
      </c>
      <c r="O553" t="str">
        <f xml:space="preserve"> VLOOKUP(A553, Lookup_Tables!$G$2:$H$6,2,TRUE)</f>
        <v>35-44</v>
      </c>
      <c r="P553" t="str">
        <f>_xlfn.XLOOKUP(J553,Lookup_Tables!$J$2:$J$4,Lookup_Tables!$K$2:$K$4, " ",-1)</f>
        <v>Medium</v>
      </c>
      <c r="Q553" t="str">
        <f xml:space="preserve"> _xlfn.XLOOKUP(M553, Lookup_Tables!$M$2:$M$5,Lookup_Tables!$N$2:$N$5," ", -1)</f>
        <v>Established (5-10)</v>
      </c>
      <c r="R553" s="4">
        <f t="shared" si="17"/>
        <v>2</v>
      </c>
      <c r="S553" t="str">
        <f xml:space="preserve"> _xlfn.XLOOKUP( E553, Lookup_Tables!$A$2:$A$6,Lookup_Tables!$B$2:$B$6," ", -1)</f>
        <v>Bachelor</v>
      </c>
      <c r="T553" t="str">
        <f>_xlfn.XLOOKUP(G553,Lookup_Tables!$D$2:$D$5,Lookup_Tables!$E$2:$E$5)</f>
        <v>High</v>
      </c>
      <c r="U553" t="str">
        <f>_xlfn.XLOOKUP(H553,Lookup_Tables!$D$2:$D$5,Lookup_Tables!$E$2:$E$5)</f>
        <v>Medium</v>
      </c>
      <c r="V553" t="str">
        <f>_xlfn.XLOOKUP(L553,Lookup_Tables!$D$2:$D$5,Lookup_Tables!$E$2:$E$5)</f>
        <v>Low</v>
      </c>
    </row>
    <row r="554" spans="1:22">
      <c r="A554">
        <f>RAW_DATA!A554</f>
        <v>56</v>
      </c>
      <c r="B554" t="str">
        <f>RAW_DATA!B554</f>
        <v>No</v>
      </c>
      <c r="C554" t="str">
        <f>RAW_DATA!C554</f>
        <v>Research &amp; Development</v>
      </c>
      <c r="D554">
        <f>RAW_DATA!D554</f>
        <v>9</v>
      </c>
      <c r="E554">
        <f>RAW_DATA!E554</f>
        <v>3</v>
      </c>
      <c r="F554" t="str">
        <f>RAW_DATA!F554</f>
        <v>Medical</v>
      </c>
      <c r="G554">
        <f>RAW_DATA!G554</f>
        <v>3</v>
      </c>
      <c r="H554">
        <f>RAW_DATA!H554</f>
        <v>4</v>
      </c>
      <c r="I554" t="str">
        <f>RAW_DATA!I554</f>
        <v>Married</v>
      </c>
      <c r="J554">
        <f>RAW_DATA!J554</f>
        <v>11103</v>
      </c>
      <c r="K554">
        <f>RAW_DATA!K554</f>
        <v>7</v>
      </c>
      <c r="L554">
        <f>RAW_DATA!L554</f>
        <v>2</v>
      </c>
      <c r="M554">
        <f>RAW_DATA!M554</f>
        <v>10</v>
      </c>
      <c r="N554">
        <f t="shared" si="16"/>
        <v>0</v>
      </c>
      <c r="O554" t="str">
        <f xml:space="preserve"> VLOOKUP(A554, Lookup_Tables!$G$2:$H$6,2,TRUE)</f>
        <v>55+</v>
      </c>
      <c r="P554" t="str">
        <f>_xlfn.XLOOKUP(J554,Lookup_Tables!$J$2:$J$4,Lookup_Tables!$K$2:$K$4, " ",-1)</f>
        <v>High</v>
      </c>
      <c r="Q554" t="str">
        <f xml:space="preserve"> _xlfn.XLOOKUP(M554, Lookup_Tables!$M$2:$M$5,Lookup_Tables!$N$2:$N$5," ", -1)</f>
        <v>Veteran (10+)</v>
      </c>
      <c r="R554" s="4">
        <f t="shared" si="17"/>
        <v>3</v>
      </c>
      <c r="S554" t="str">
        <f xml:space="preserve"> _xlfn.XLOOKUP( E554, Lookup_Tables!$A$2:$A$6,Lookup_Tables!$B$2:$B$6," ", -1)</f>
        <v>Bachelor</v>
      </c>
      <c r="T554" t="str">
        <f>_xlfn.XLOOKUP(G554,Lookup_Tables!$D$2:$D$5,Lookup_Tables!$E$2:$E$5)</f>
        <v>High</v>
      </c>
      <c r="U554" t="str">
        <f>_xlfn.XLOOKUP(H554,Lookup_Tables!$D$2:$D$5,Lookup_Tables!$E$2:$E$5)</f>
        <v>Very High</v>
      </c>
      <c r="V554" t="str">
        <f>_xlfn.XLOOKUP(L554,Lookup_Tables!$D$2:$D$5,Lookup_Tables!$E$2:$E$5)</f>
        <v>Medium</v>
      </c>
    </row>
    <row r="555" spans="1:22">
      <c r="A555">
        <f>RAW_DATA!A555</f>
        <v>40</v>
      </c>
      <c r="B555" t="str">
        <f>RAW_DATA!B555</f>
        <v>No</v>
      </c>
      <c r="C555" t="str">
        <f>RAW_DATA!C555</f>
        <v>Research &amp; Development</v>
      </c>
      <c r="D555">
        <f>RAW_DATA!D555</f>
        <v>2</v>
      </c>
      <c r="E555">
        <f>RAW_DATA!E555</f>
        <v>1</v>
      </c>
      <c r="F555" t="str">
        <f>RAW_DATA!F555</f>
        <v>Medical</v>
      </c>
      <c r="G555">
        <f>RAW_DATA!G555</f>
        <v>4</v>
      </c>
      <c r="H555">
        <f>RAW_DATA!H555</f>
        <v>4</v>
      </c>
      <c r="I555" t="str">
        <f>RAW_DATA!I555</f>
        <v>Single</v>
      </c>
      <c r="J555">
        <f>RAW_DATA!J555</f>
        <v>2342</v>
      </c>
      <c r="K555">
        <f>RAW_DATA!K555</f>
        <v>0</v>
      </c>
      <c r="L555">
        <f>RAW_DATA!L555</f>
        <v>2</v>
      </c>
      <c r="M555">
        <f>RAW_DATA!M555</f>
        <v>4</v>
      </c>
      <c r="N555">
        <f t="shared" si="16"/>
        <v>0</v>
      </c>
      <c r="O555" t="str">
        <f xml:space="preserve"> VLOOKUP(A555, Lookup_Tables!$G$2:$H$6,2,TRUE)</f>
        <v>35-44</v>
      </c>
      <c r="P555" t="str">
        <f>_xlfn.XLOOKUP(J555,Lookup_Tables!$J$2:$J$4,Lookup_Tables!$K$2:$K$4, " ",-1)</f>
        <v>Low</v>
      </c>
      <c r="Q555" t="str">
        <f xml:space="preserve"> _xlfn.XLOOKUP(M555, Lookup_Tables!$M$2:$M$5,Lookup_Tables!$N$2:$N$5," ", -1)</f>
        <v>Early (2-5)</v>
      </c>
      <c r="R555" s="4">
        <f t="shared" si="17"/>
        <v>3.3333333333333335</v>
      </c>
      <c r="S555" t="str">
        <f xml:space="preserve"> _xlfn.XLOOKUP( E555, Lookup_Tables!$A$2:$A$6,Lookup_Tables!$B$2:$B$6," ", -1)</f>
        <v>Below College</v>
      </c>
      <c r="T555" t="str">
        <f>_xlfn.XLOOKUP(G555,Lookup_Tables!$D$2:$D$5,Lookup_Tables!$E$2:$E$5)</f>
        <v>Very High</v>
      </c>
      <c r="U555" t="str">
        <f>_xlfn.XLOOKUP(H555,Lookup_Tables!$D$2:$D$5,Lookup_Tables!$E$2:$E$5)</f>
        <v>Very High</v>
      </c>
      <c r="V555" t="str">
        <f>_xlfn.XLOOKUP(L555,Lookup_Tables!$D$2:$D$5,Lookup_Tables!$E$2:$E$5)</f>
        <v>Medium</v>
      </c>
    </row>
    <row r="556" spans="1:22">
      <c r="A556">
        <f>RAW_DATA!A556</f>
        <v>27</v>
      </c>
      <c r="B556" t="str">
        <f>RAW_DATA!B556</f>
        <v>No</v>
      </c>
      <c r="C556" t="str">
        <f>RAW_DATA!C556</f>
        <v>Research &amp; Development</v>
      </c>
      <c r="D556">
        <f>RAW_DATA!D556</f>
        <v>7</v>
      </c>
      <c r="E556">
        <f>RAW_DATA!E556</f>
        <v>3</v>
      </c>
      <c r="F556" t="str">
        <f>RAW_DATA!F556</f>
        <v>Medical</v>
      </c>
      <c r="G556">
        <f>RAW_DATA!G556</f>
        <v>4</v>
      </c>
      <c r="H556">
        <f>RAW_DATA!H556</f>
        <v>1</v>
      </c>
      <c r="I556" t="str">
        <f>RAW_DATA!I556</f>
        <v>Single</v>
      </c>
      <c r="J556">
        <f>RAW_DATA!J556</f>
        <v>6811</v>
      </c>
      <c r="K556">
        <f>RAW_DATA!K556</f>
        <v>8</v>
      </c>
      <c r="L556">
        <f>RAW_DATA!L556</f>
        <v>1</v>
      </c>
      <c r="M556">
        <f>RAW_DATA!M556</f>
        <v>7</v>
      </c>
      <c r="N556">
        <f t="shared" si="16"/>
        <v>0</v>
      </c>
      <c r="O556" t="str">
        <f xml:space="preserve"> VLOOKUP(A556, Lookup_Tables!$G$2:$H$6,2,TRUE)</f>
        <v>25-34</v>
      </c>
      <c r="P556" t="str">
        <f>_xlfn.XLOOKUP(J556,Lookup_Tables!$J$2:$J$4,Lookup_Tables!$K$2:$K$4, " ",-1)</f>
        <v>Medium</v>
      </c>
      <c r="Q556" t="str">
        <f xml:space="preserve"> _xlfn.XLOOKUP(M556, Lookup_Tables!$M$2:$M$5,Lookup_Tables!$N$2:$N$5," ", -1)</f>
        <v>Established (5-10)</v>
      </c>
      <c r="R556" s="4">
        <f t="shared" si="17"/>
        <v>2</v>
      </c>
      <c r="S556" t="str">
        <f xml:space="preserve"> _xlfn.XLOOKUP( E556, Lookup_Tables!$A$2:$A$6,Lookup_Tables!$B$2:$B$6," ", -1)</f>
        <v>Bachelor</v>
      </c>
      <c r="T556" t="str">
        <f>_xlfn.XLOOKUP(G556,Lookup_Tables!$D$2:$D$5,Lookup_Tables!$E$2:$E$5)</f>
        <v>Very High</v>
      </c>
      <c r="U556" t="str">
        <f>_xlfn.XLOOKUP(H556,Lookup_Tables!$D$2:$D$5,Lookup_Tables!$E$2:$E$5)</f>
        <v>Low</v>
      </c>
      <c r="V556" t="str">
        <f>_xlfn.XLOOKUP(L556,Lookup_Tables!$D$2:$D$5,Lookup_Tables!$E$2:$E$5)</f>
        <v>Low</v>
      </c>
    </row>
    <row r="557" spans="1:22">
      <c r="A557">
        <f>RAW_DATA!A557</f>
        <v>29</v>
      </c>
      <c r="B557" t="str">
        <f>RAW_DATA!B557</f>
        <v>No</v>
      </c>
      <c r="C557" t="str">
        <f>RAW_DATA!C557</f>
        <v>Sales</v>
      </c>
      <c r="D557">
        <f>RAW_DATA!D557</f>
        <v>10</v>
      </c>
      <c r="E557">
        <f>RAW_DATA!E557</f>
        <v>3</v>
      </c>
      <c r="F557" t="str">
        <f>RAW_DATA!F557</f>
        <v>Marketing</v>
      </c>
      <c r="G557">
        <f>RAW_DATA!G557</f>
        <v>4</v>
      </c>
      <c r="H557">
        <f>RAW_DATA!H557</f>
        <v>2</v>
      </c>
      <c r="I557" t="str">
        <f>RAW_DATA!I557</f>
        <v>Divorced</v>
      </c>
      <c r="J557">
        <f>RAW_DATA!J557</f>
        <v>2297</v>
      </c>
      <c r="K557">
        <f>RAW_DATA!K557</f>
        <v>1</v>
      </c>
      <c r="L557">
        <f>RAW_DATA!L557</f>
        <v>3</v>
      </c>
      <c r="M557">
        <f>RAW_DATA!M557</f>
        <v>2</v>
      </c>
      <c r="N557">
        <f t="shared" si="16"/>
        <v>0</v>
      </c>
      <c r="O557" t="str">
        <f xml:space="preserve"> VLOOKUP(A557, Lookup_Tables!$G$2:$H$6,2,TRUE)</f>
        <v>25-34</v>
      </c>
      <c r="P557" t="str">
        <f>_xlfn.XLOOKUP(J557,Lookup_Tables!$J$2:$J$4,Lookup_Tables!$K$2:$K$4, " ",-1)</f>
        <v>Low</v>
      </c>
      <c r="Q557" t="str">
        <f xml:space="preserve"> _xlfn.XLOOKUP(M557, Lookup_Tables!$M$2:$M$5,Lookup_Tables!$N$2:$N$5," ", -1)</f>
        <v>Early (2-5)</v>
      </c>
      <c r="R557" s="4">
        <f t="shared" si="17"/>
        <v>3</v>
      </c>
      <c r="S557" t="str">
        <f xml:space="preserve"> _xlfn.XLOOKUP( E557, Lookup_Tables!$A$2:$A$6,Lookup_Tables!$B$2:$B$6," ", -1)</f>
        <v>Bachelor</v>
      </c>
      <c r="T557" t="str">
        <f>_xlfn.XLOOKUP(G557,Lookup_Tables!$D$2:$D$5,Lookup_Tables!$E$2:$E$5)</f>
        <v>Very High</v>
      </c>
      <c r="U557" t="str">
        <f>_xlfn.XLOOKUP(H557,Lookup_Tables!$D$2:$D$5,Lookup_Tables!$E$2:$E$5)</f>
        <v>Medium</v>
      </c>
      <c r="V557" t="str">
        <f>_xlfn.XLOOKUP(L557,Lookup_Tables!$D$2:$D$5,Lookup_Tables!$E$2:$E$5)</f>
        <v>High</v>
      </c>
    </row>
    <row r="558" spans="1:22">
      <c r="A558">
        <f>RAW_DATA!A558</f>
        <v>53</v>
      </c>
      <c r="B558" t="str">
        <f>RAW_DATA!B558</f>
        <v>No</v>
      </c>
      <c r="C558" t="str">
        <f>RAW_DATA!C558</f>
        <v>Research &amp; Development</v>
      </c>
      <c r="D558">
        <f>RAW_DATA!D558</f>
        <v>6</v>
      </c>
      <c r="E558">
        <f>RAW_DATA!E558</f>
        <v>3</v>
      </c>
      <c r="F558" t="str">
        <f>RAW_DATA!F558</f>
        <v>Life Sciences</v>
      </c>
      <c r="G558">
        <f>RAW_DATA!G558</f>
        <v>4</v>
      </c>
      <c r="H558">
        <f>RAW_DATA!H558</f>
        <v>4</v>
      </c>
      <c r="I558" t="str">
        <f>RAW_DATA!I558</f>
        <v>Single</v>
      </c>
      <c r="J558">
        <f>RAW_DATA!J558</f>
        <v>2450</v>
      </c>
      <c r="K558">
        <f>RAW_DATA!K558</f>
        <v>2</v>
      </c>
      <c r="L558">
        <f>RAW_DATA!L558</f>
        <v>3</v>
      </c>
      <c r="M558">
        <f>RAW_DATA!M558</f>
        <v>2</v>
      </c>
      <c r="N558">
        <f t="shared" si="16"/>
        <v>0</v>
      </c>
      <c r="O558" t="str">
        <f xml:space="preserve"> VLOOKUP(A558, Lookup_Tables!$G$2:$H$6,2,TRUE)</f>
        <v>45-54</v>
      </c>
      <c r="P558" t="str">
        <f>_xlfn.XLOOKUP(J558,Lookup_Tables!$J$2:$J$4,Lookup_Tables!$K$2:$K$4, " ",-1)</f>
        <v>Low</v>
      </c>
      <c r="Q558" t="str">
        <f xml:space="preserve"> _xlfn.XLOOKUP(M558, Lookup_Tables!$M$2:$M$5,Lookup_Tables!$N$2:$N$5," ", -1)</f>
        <v>Early (2-5)</v>
      </c>
      <c r="R558" s="4">
        <f t="shared" si="17"/>
        <v>3.6666666666666665</v>
      </c>
      <c r="S558" t="str">
        <f xml:space="preserve"> _xlfn.XLOOKUP( E558, Lookup_Tables!$A$2:$A$6,Lookup_Tables!$B$2:$B$6," ", -1)</f>
        <v>Bachelor</v>
      </c>
      <c r="T558" t="str">
        <f>_xlfn.XLOOKUP(G558,Lookup_Tables!$D$2:$D$5,Lookup_Tables!$E$2:$E$5)</f>
        <v>Very High</v>
      </c>
      <c r="U558" t="str">
        <f>_xlfn.XLOOKUP(H558,Lookup_Tables!$D$2:$D$5,Lookup_Tables!$E$2:$E$5)</f>
        <v>Very High</v>
      </c>
      <c r="V558" t="str">
        <f>_xlfn.XLOOKUP(L558,Lookup_Tables!$D$2:$D$5,Lookup_Tables!$E$2:$E$5)</f>
        <v>High</v>
      </c>
    </row>
    <row r="559" spans="1:22">
      <c r="A559">
        <f>RAW_DATA!A559</f>
        <v>35</v>
      </c>
      <c r="B559" t="str">
        <f>RAW_DATA!B559</f>
        <v>No</v>
      </c>
      <c r="C559" t="str">
        <f>RAW_DATA!C559</f>
        <v>Research &amp; Development</v>
      </c>
      <c r="D559">
        <f>RAW_DATA!D559</f>
        <v>2</v>
      </c>
      <c r="E559">
        <f>RAW_DATA!E559</f>
        <v>4</v>
      </c>
      <c r="F559" t="str">
        <f>RAW_DATA!F559</f>
        <v>Life Sciences</v>
      </c>
      <c r="G559">
        <f>RAW_DATA!G559</f>
        <v>4</v>
      </c>
      <c r="H559">
        <f>RAW_DATA!H559</f>
        <v>1</v>
      </c>
      <c r="I559" t="str">
        <f>RAW_DATA!I559</f>
        <v>Divorced</v>
      </c>
      <c r="J559">
        <f>RAW_DATA!J559</f>
        <v>5093</v>
      </c>
      <c r="K559">
        <f>RAW_DATA!K559</f>
        <v>2</v>
      </c>
      <c r="L559">
        <f>RAW_DATA!L559</f>
        <v>4</v>
      </c>
      <c r="M559">
        <f>RAW_DATA!M559</f>
        <v>1</v>
      </c>
      <c r="N559">
        <f t="shared" si="16"/>
        <v>0</v>
      </c>
      <c r="O559" t="str">
        <f xml:space="preserve"> VLOOKUP(A559, Lookup_Tables!$G$2:$H$6,2,TRUE)</f>
        <v>35-44</v>
      </c>
      <c r="P559" t="str">
        <f>_xlfn.XLOOKUP(J559,Lookup_Tables!$J$2:$J$4,Lookup_Tables!$K$2:$K$4, " ",-1)</f>
        <v>Medium</v>
      </c>
      <c r="Q559" t="str">
        <f xml:space="preserve"> _xlfn.XLOOKUP(M559, Lookup_Tables!$M$2:$M$5,Lookup_Tables!$N$2:$N$5," ", -1)</f>
        <v>New (0-2)</v>
      </c>
      <c r="R559" s="4">
        <f t="shared" si="17"/>
        <v>3</v>
      </c>
      <c r="S559" t="str">
        <f xml:space="preserve"> _xlfn.XLOOKUP( E559, Lookup_Tables!$A$2:$A$6,Lookup_Tables!$B$2:$B$6," ", -1)</f>
        <v>Master</v>
      </c>
      <c r="T559" t="str">
        <f>_xlfn.XLOOKUP(G559,Lookup_Tables!$D$2:$D$5,Lookup_Tables!$E$2:$E$5)</f>
        <v>Very High</v>
      </c>
      <c r="U559" t="str">
        <f>_xlfn.XLOOKUP(H559,Lookup_Tables!$D$2:$D$5,Lookup_Tables!$E$2:$E$5)</f>
        <v>Low</v>
      </c>
      <c r="V559" t="str">
        <f>_xlfn.XLOOKUP(L559,Lookup_Tables!$D$2:$D$5,Lookup_Tables!$E$2:$E$5)</f>
        <v>Very High</v>
      </c>
    </row>
    <row r="560" spans="1:22">
      <c r="A560">
        <f>RAW_DATA!A560</f>
        <v>32</v>
      </c>
      <c r="B560" t="str">
        <f>RAW_DATA!B560</f>
        <v>No</v>
      </c>
      <c r="C560" t="str">
        <f>RAW_DATA!C560</f>
        <v>Research &amp; Development</v>
      </c>
      <c r="D560">
        <f>RAW_DATA!D560</f>
        <v>24</v>
      </c>
      <c r="E560">
        <f>RAW_DATA!E560</f>
        <v>4</v>
      </c>
      <c r="F560" t="str">
        <f>RAW_DATA!F560</f>
        <v>Life Sciences</v>
      </c>
      <c r="G560">
        <f>RAW_DATA!G560</f>
        <v>1</v>
      </c>
      <c r="H560">
        <f>RAW_DATA!H560</f>
        <v>4</v>
      </c>
      <c r="I560" t="str">
        <f>RAW_DATA!I560</f>
        <v>Married</v>
      </c>
      <c r="J560">
        <f>RAW_DATA!J560</f>
        <v>5309</v>
      </c>
      <c r="K560">
        <f>RAW_DATA!K560</f>
        <v>1</v>
      </c>
      <c r="L560">
        <f>RAW_DATA!L560</f>
        <v>3</v>
      </c>
      <c r="M560">
        <f>RAW_DATA!M560</f>
        <v>10</v>
      </c>
      <c r="N560">
        <f t="shared" si="16"/>
        <v>0</v>
      </c>
      <c r="O560" t="str">
        <f xml:space="preserve"> VLOOKUP(A560, Lookup_Tables!$G$2:$H$6,2,TRUE)</f>
        <v>25-34</v>
      </c>
      <c r="P560" t="str">
        <f>_xlfn.XLOOKUP(J560,Lookup_Tables!$J$2:$J$4,Lookup_Tables!$K$2:$K$4, " ",-1)</f>
        <v>Medium</v>
      </c>
      <c r="Q560" t="str">
        <f xml:space="preserve"> _xlfn.XLOOKUP(M560, Lookup_Tables!$M$2:$M$5,Lookup_Tables!$N$2:$N$5," ", -1)</f>
        <v>Veteran (10+)</v>
      </c>
      <c r="R560" s="4">
        <f t="shared" si="17"/>
        <v>2.6666666666666665</v>
      </c>
      <c r="S560" t="str">
        <f xml:space="preserve"> _xlfn.XLOOKUP( E560, Lookup_Tables!$A$2:$A$6,Lookup_Tables!$B$2:$B$6," ", -1)</f>
        <v>Master</v>
      </c>
      <c r="T560" t="str">
        <f>_xlfn.XLOOKUP(G560,Lookup_Tables!$D$2:$D$5,Lookup_Tables!$E$2:$E$5)</f>
        <v>Low</v>
      </c>
      <c r="U560" t="str">
        <f>_xlfn.XLOOKUP(H560,Lookup_Tables!$D$2:$D$5,Lookup_Tables!$E$2:$E$5)</f>
        <v>Very High</v>
      </c>
      <c r="V560" t="str">
        <f>_xlfn.XLOOKUP(L560,Lookup_Tables!$D$2:$D$5,Lookup_Tables!$E$2:$E$5)</f>
        <v>High</v>
      </c>
    </row>
    <row r="561" spans="1:22">
      <c r="A561">
        <f>RAW_DATA!A561</f>
        <v>38</v>
      </c>
      <c r="B561" t="str">
        <f>RAW_DATA!B561</f>
        <v>No</v>
      </c>
      <c r="C561" t="str">
        <f>RAW_DATA!C561</f>
        <v>Research &amp; Development</v>
      </c>
      <c r="D561">
        <f>RAW_DATA!D561</f>
        <v>2</v>
      </c>
      <c r="E561">
        <f>RAW_DATA!E561</f>
        <v>5</v>
      </c>
      <c r="F561" t="str">
        <f>RAW_DATA!F561</f>
        <v>Medical</v>
      </c>
      <c r="G561">
        <f>RAW_DATA!G561</f>
        <v>4</v>
      </c>
      <c r="H561">
        <f>RAW_DATA!H561</f>
        <v>3</v>
      </c>
      <c r="I561" t="str">
        <f>RAW_DATA!I561</f>
        <v>Married</v>
      </c>
      <c r="J561">
        <f>RAW_DATA!J561</f>
        <v>3057</v>
      </c>
      <c r="K561">
        <f>RAW_DATA!K561</f>
        <v>6</v>
      </c>
      <c r="L561">
        <f>RAW_DATA!L561</f>
        <v>1</v>
      </c>
      <c r="M561">
        <f>RAW_DATA!M561</f>
        <v>1</v>
      </c>
      <c r="N561">
        <f t="shared" si="16"/>
        <v>0</v>
      </c>
      <c r="O561" t="str">
        <f xml:space="preserve"> VLOOKUP(A561, Lookup_Tables!$G$2:$H$6,2,TRUE)</f>
        <v>35-44</v>
      </c>
      <c r="P561" t="str">
        <f>_xlfn.XLOOKUP(J561,Lookup_Tables!$J$2:$J$4,Lookup_Tables!$K$2:$K$4, " ",-1)</f>
        <v>Medium</v>
      </c>
      <c r="Q561" t="str">
        <f xml:space="preserve"> _xlfn.XLOOKUP(M561, Lookup_Tables!$M$2:$M$5,Lookup_Tables!$N$2:$N$5," ", -1)</f>
        <v>New (0-2)</v>
      </c>
      <c r="R561" s="4">
        <f t="shared" si="17"/>
        <v>2.6666666666666665</v>
      </c>
      <c r="S561" t="str">
        <f xml:space="preserve"> _xlfn.XLOOKUP( E561, Lookup_Tables!$A$2:$A$6,Lookup_Tables!$B$2:$B$6," ", -1)</f>
        <v>Doctor</v>
      </c>
      <c r="T561" t="str">
        <f>_xlfn.XLOOKUP(G561,Lookup_Tables!$D$2:$D$5,Lookup_Tables!$E$2:$E$5)</f>
        <v>Very High</v>
      </c>
      <c r="U561" t="str">
        <f>_xlfn.XLOOKUP(H561,Lookup_Tables!$D$2:$D$5,Lookup_Tables!$E$2:$E$5)</f>
        <v>High</v>
      </c>
      <c r="V561" t="str">
        <f>_xlfn.XLOOKUP(L561,Lookup_Tables!$D$2:$D$5,Lookup_Tables!$E$2:$E$5)</f>
        <v>Low</v>
      </c>
    </row>
    <row r="562" spans="1:22">
      <c r="A562">
        <f>RAW_DATA!A562</f>
        <v>34</v>
      </c>
      <c r="B562" t="str">
        <f>RAW_DATA!B562</f>
        <v>No</v>
      </c>
      <c r="C562" t="str">
        <f>RAW_DATA!C562</f>
        <v>Research &amp; Development</v>
      </c>
      <c r="D562">
        <f>RAW_DATA!D562</f>
        <v>8</v>
      </c>
      <c r="E562">
        <f>RAW_DATA!E562</f>
        <v>5</v>
      </c>
      <c r="F562" t="str">
        <f>RAW_DATA!F562</f>
        <v>Life Sciences</v>
      </c>
      <c r="G562">
        <f>RAW_DATA!G562</f>
        <v>2</v>
      </c>
      <c r="H562">
        <f>RAW_DATA!H562</f>
        <v>1</v>
      </c>
      <c r="I562" t="str">
        <f>RAW_DATA!I562</f>
        <v>Divorced</v>
      </c>
      <c r="J562">
        <f>RAW_DATA!J562</f>
        <v>5121</v>
      </c>
      <c r="K562">
        <f>RAW_DATA!K562</f>
        <v>3</v>
      </c>
      <c r="L562">
        <f>RAW_DATA!L562</f>
        <v>3</v>
      </c>
      <c r="M562">
        <f>RAW_DATA!M562</f>
        <v>0</v>
      </c>
      <c r="N562">
        <f t="shared" si="16"/>
        <v>0</v>
      </c>
      <c r="O562" t="str">
        <f xml:space="preserve"> VLOOKUP(A562, Lookup_Tables!$G$2:$H$6,2,TRUE)</f>
        <v>25-34</v>
      </c>
      <c r="P562" t="str">
        <f>_xlfn.XLOOKUP(J562,Lookup_Tables!$J$2:$J$4,Lookup_Tables!$K$2:$K$4, " ",-1)</f>
        <v>Medium</v>
      </c>
      <c r="Q562" t="str">
        <f xml:space="preserve"> _xlfn.XLOOKUP(M562, Lookup_Tables!$M$2:$M$5,Lookup_Tables!$N$2:$N$5," ", -1)</f>
        <v>New (0-2)</v>
      </c>
      <c r="R562" s="4">
        <f t="shared" si="17"/>
        <v>2</v>
      </c>
      <c r="S562" t="str">
        <f xml:space="preserve"> _xlfn.XLOOKUP( E562, Lookup_Tables!$A$2:$A$6,Lookup_Tables!$B$2:$B$6," ", -1)</f>
        <v>Doctor</v>
      </c>
      <c r="T562" t="str">
        <f>_xlfn.XLOOKUP(G562,Lookup_Tables!$D$2:$D$5,Lookup_Tables!$E$2:$E$5)</f>
        <v>Medium</v>
      </c>
      <c r="U562" t="str">
        <f>_xlfn.XLOOKUP(H562,Lookup_Tables!$D$2:$D$5,Lookup_Tables!$E$2:$E$5)</f>
        <v>Low</v>
      </c>
      <c r="V562" t="str">
        <f>_xlfn.XLOOKUP(L562,Lookup_Tables!$D$2:$D$5,Lookup_Tables!$E$2:$E$5)</f>
        <v>High</v>
      </c>
    </row>
    <row r="563" spans="1:22">
      <c r="A563">
        <f>RAW_DATA!A563</f>
        <v>52</v>
      </c>
      <c r="B563" t="str">
        <f>RAW_DATA!B563</f>
        <v>No</v>
      </c>
      <c r="C563" t="str">
        <f>RAW_DATA!C563</f>
        <v>Sales</v>
      </c>
      <c r="D563">
        <f>RAW_DATA!D563</f>
        <v>3</v>
      </c>
      <c r="E563">
        <f>RAW_DATA!E563</f>
        <v>4</v>
      </c>
      <c r="F563" t="str">
        <f>RAW_DATA!F563</f>
        <v>Marketing</v>
      </c>
      <c r="G563">
        <f>RAW_DATA!G563</f>
        <v>3</v>
      </c>
      <c r="H563">
        <f>RAW_DATA!H563</f>
        <v>1</v>
      </c>
      <c r="I563" t="str">
        <f>RAW_DATA!I563</f>
        <v>Married</v>
      </c>
      <c r="J563">
        <f>RAW_DATA!J563</f>
        <v>16856</v>
      </c>
      <c r="K563">
        <f>RAW_DATA!K563</f>
        <v>1</v>
      </c>
      <c r="L563">
        <f>RAW_DATA!L563</f>
        <v>4</v>
      </c>
      <c r="M563">
        <f>RAW_DATA!M563</f>
        <v>34</v>
      </c>
      <c r="N563">
        <f t="shared" si="16"/>
        <v>0</v>
      </c>
      <c r="O563" t="str">
        <f xml:space="preserve"> VLOOKUP(A563, Lookup_Tables!$G$2:$H$6,2,TRUE)</f>
        <v>45-54</v>
      </c>
      <c r="P563" t="str">
        <f>_xlfn.XLOOKUP(J563,Lookup_Tables!$J$2:$J$4,Lookup_Tables!$K$2:$K$4, " ",-1)</f>
        <v>High</v>
      </c>
      <c r="Q563" t="str">
        <f xml:space="preserve"> _xlfn.XLOOKUP(M563, Lookup_Tables!$M$2:$M$5,Lookup_Tables!$N$2:$N$5," ", -1)</f>
        <v>Veteran (10+)</v>
      </c>
      <c r="R563" s="4">
        <f t="shared" si="17"/>
        <v>2.6666666666666665</v>
      </c>
      <c r="S563" t="str">
        <f xml:space="preserve"> _xlfn.XLOOKUP( E563, Lookup_Tables!$A$2:$A$6,Lookup_Tables!$B$2:$B$6," ", -1)</f>
        <v>Master</v>
      </c>
      <c r="T563" t="str">
        <f>_xlfn.XLOOKUP(G563,Lookup_Tables!$D$2:$D$5,Lookup_Tables!$E$2:$E$5)</f>
        <v>High</v>
      </c>
      <c r="U563" t="str">
        <f>_xlfn.XLOOKUP(H563,Lookup_Tables!$D$2:$D$5,Lookup_Tables!$E$2:$E$5)</f>
        <v>Low</v>
      </c>
      <c r="V563" t="str">
        <f>_xlfn.XLOOKUP(L563,Lookup_Tables!$D$2:$D$5,Lookup_Tables!$E$2:$E$5)</f>
        <v>Very High</v>
      </c>
    </row>
    <row r="564" spans="1:22">
      <c r="A564">
        <f>RAW_DATA!A564</f>
        <v>33</v>
      </c>
      <c r="B564" t="str">
        <f>RAW_DATA!B564</f>
        <v>Yes</v>
      </c>
      <c r="C564" t="str">
        <f>RAW_DATA!C564</f>
        <v>Research &amp; Development</v>
      </c>
      <c r="D564">
        <f>RAW_DATA!D564</f>
        <v>1</v>
      </c>
      <c r="E564">
        <f>RAW_DATA!E564</f>
        <v>4</v>
      </c>
      <c r="F564" t="str">
        <f>RAW_DATA!F564</f>
        <v>Other</v>
      </c>
      <c r="G564">
        <f>RAW_DATA!G564</f>
        <v>4</v>
      </c>
      <c r="H564">
        <f>RAW_DATA!H564</f>
        <v>4</v>
      </c>
      <c r="I564" t="str">
        <f>RAW_DATA!I564</f>
        <v>Single</v>
      </c>
      <c r="J564">
        <f>RAW_DATA!J564</f>
        <v>2686</v>
      </c>
      <c r="K564">
        <f>RAW_DATA!K564</f>
        <v>1</v>
      </c>
      <c r="L564">
        <f>RAW_DATA!L564</f>
        <v>2</v>
      </c>
      <c r="M564">
        <f>RAW_DATA!M564</f>
        <v>10</v>
      </c>
      <c r="N564">
        <f t="shared" si="16"/>
        <v>1</v>
      </c>
      <c r="O564" t="str">
        <f xml:space="preserve"> VLOOKUP(A564, Lookup_Tables!$G$2:$H$6,2,TRUE)</f>
        <v>25-34</v>
      </c>
      <c r="P564" t="str">
        <f>_xlfn.XLOOKUP(J564,Lookup_Tables!$J$2:$J$4,Lookup_Tables!$K$2:$K$4, " ",-1)</f>
        <v>Low</v>
      </c>
      <c r="Q564" t="str">
        <f xml:space="preserve"> _xlfn.XLOOKUP(M564, Lookup_Tables!$M$2:$M$5,Lookup_Tables!$N$2:$N$5," ", -1)</f>
        <v>Veteran (10+)</v>
      </c>
      <c r="R564" s="4">
        <f t="shared" si="17"/>
        <v>3.3333333333333335</v>
      </c>
      <c r="S564" t="str">
        <f xml:space="preserve"> _xlfn.XLOOKUP( E564, Lookup_Tables!$A$2:$A$6,Lookup_Tables!$B$2:$B$6," ", -1)</f>
        <v>Master</v>
      </c>
      <c r="T564" t="str">
        <f>_xlfn.XLOOKUP(G564,Lookup_Tables!$D$2:$D$5,Lookup_Tables!$E$2:$E$5)</f>
        <v>Very High</v>
      </c>
      <c r="U564" t="str">
        <f>_xlfn.XLOOKUP(H564,Lookup_Tables!$D$2:$D$5,Lookup_Tables!$E$2:$E$5)</f>
        <v>Very High</v>
      </c>
      <c r="V564" t="str">
        <f>_xlfn.XLOOKUP(L564,Lookup_Tables!$D$2:$D$5,Lookup_Tables!$E$2:$E$5)</f>
        <v>Medium</v>
      </c>
    </row>
    <row r="565" spans="1:22">
      <c r="A565">
        <f>RAW_DATA!A565</f>
        <v>25</v>
      </c>
      <c r="B565" t="str">
        <f>RAW_DATA!B565</f>
        <v>No</v>
      </c>
      <c r="C565" t="str">
        <f>RAW_DATA!C565</f>
        <v>Sales</v>
      </c>
      <c r="D565">
        <f>RAW_DATA!D565</f>
        <v>26</v>
      </c>
      <c r="E565">
        <f>RAW_DATA!E565</f>
        <v>1</v>
      </c>
      <c r="F565" t="str">
        <f>RAW_DATA!F565</f>
        <v>Medical</v>
      </c>
      <c r="G565">
        <f>RAW_DATA!G565</f>
        <v>3</v>
      </c>
      <c r="H565">
        <f>RAW_DATA!H565</f>
        <v>4</v>
      </c>
      <c r="I565" t="str">
        <f>RAW_DATA!I565</f>
        <v>Single</v>
      </c>
      <c r="J565">
        <f>RAW_DATA!J565</f>
        <v>6180</v>
      </c>
      <c r="K565">
        <f>RAW_DATA!K565</f>
        <v>1</v>
      </c>
      <c r="L565">
        <f>RAW_DATA!L565</f>
        <v>2</v>
      </c>
      <c r="M565">
        <f>RAW_DATA!M565</f>
        <v>6</v>
      </c>
      <c r="N565">
        <f t="shared" si="16"/>
        <v>0</v>
      </c>
      <c r="O565" t="str">
        <f xml:space="preserve"> VLOOKUP(A565, Lookup_Tables!$G$2:$H$6,2,TRUE)</f>
        <v>25-34</v>
      </c>
      <c r="P565" t="str">
        <f>_xlfn.XLOOKUP(J565,Lookup_Tables!$J$2:$J$4,Lookup_Tables!$K$2:$K$4, " ",-1)</f>
        <v>Medium</v>
      </c>
      <c r="Q565" t="str">
        <f xml:space="preserve"> _xlfn.XLOOKUP(M565, Lookup_Tables!$M$2:$M$5,Lookup_Tables!$N$2:$N$5," ", -1)</f>
        <v>Established (5-10)</v>
      </c>
      <c r="R565" s="4">
        <f t="shared" si="17"/>
        <v>3</v>
      </c>
      <c r="S565" t="str">
        <f xml:space="preserve"> _xlfn.XLOOKUP( E565, Lookup_Tables!$A$2:$A$6,Lookup_Tables!$B$2:$B$6," ", -1)</f>
        <v>Below College</v>
      </c>
      <c r="T565" t="str">
        <f>_xlfn.XLOOKUP(G565,Lookup_Tables!$D$2:$D$5,Lookup_Tables!$E$2:$E$5)</f>
        <v>High</v>
      </c>
      <c r="U565" t="str">
        <f>_xlfn.XLOOKUP(H565,Lookup_Tables!$D$2:$D$5,Lookup_Tables!$E$2:$E$5)</f>
        <v>Very High</v>
      </c>
      <c r="V565" t="str">
        <f>_xlfn.XLOOKUP(L565,Lookup_Tables!$D$2:$D$5,Lookup_Tables!$E$2:$E$5)</f>
        <v>Medium</v>
      </c>
    </row>
    <row r="566" spans="1:22">
      <c r="A566">
        <f>RAW_DATA!A566</f>
        <v>45</v>
      </c>
      <c r="B566" t="str">
        <f>RAW_DATA!B566</f>
        <v>No</v>
      </c>
      <c r="C566" t="str">
        <f>RAW_DATA!C566</f>
        <v>Sales</v>
      </c>
      <c r="D566">
        <f>RAW_DATA!D566</f>
        <v>2</v>
      </c>
      <c r="E566">
        <f>RAW_DATA!E566</f>
        <v>2</v>
      </c>
      <c r="F566" t="str">
        <f>RAW_DATA!F566</f>
        <v>Technical Degree</v>
      </c>
      <c r="G566">
        <f>RAW_DATA!G566</f>
        <v>2</v>
      </c>
      <c r="H566">
        <f>RAW_DATA!H566</f>
        <v>3</v>
      </c>
      <c r="I566" t="str">
        <f>RAW_DATA!I566</f>
        <v>Single</v>
      </c>
      <c r="J566">
        <f>RAW_DATA!J566</f>
        <v>6632</v>
      </c>
      <c r="K566">
        <f>RAW_DATA!K566</f>
        <v>0</v>
      </c>
      <c r="L566">
        <f>RAW_DATA!L566</f>
        <v>3</v>
      </c>
      <c r="M566">
        <f>RAW_DATA!M566</f>
        <v>8</v>
      </c>
      <c r="N566">
        <f t="shared" si="16"/>
        <v>0</v>
      </c>
      <c r="O566" t="str">
        <f xml:space="preserve"> VLOOKUP(A566, Lookup_Tables!$G$2:$H$6,2,TRUE)</f>
        <v>45-54</v>
      </c>
      <c r="P566" t="str">
        <f>_xlfn.XLOOKUP(J566,Lookup_Tables!$J$2:$J$4,Lookup_Tables!$K$2:$K$4, " ",-1)</f>
        <v>Medium</v>
      </c>
      <c r="Q566" t="str">
        <f xml:space="preserve"> _xlfn.XLOOKUP(M566, Lookup_Tables!$M$2:$M$5,Lookup_Tables!$N$2:$N$5," ", -1)</f>
        <v>Established (5-10)</v>
      </c>
      <c r="R566" s="4">
        <f t="shared" si="17"/>
        <v>2.6666666666666665</v>
      </c>
      <c r="S566" t="str">
        <f xml:space="preserve"> _xlfn.XLOOKUP( E566, Lookup_Tables!$A$2:$A$6,Lookup_Tables!$B$2:$B$6," ", -1)</f>
        <v>College</v>
      </c>
      <c r="T566" t="str">
        <f>_xlfn.XLOOKUP(G566,Lookup_Tables!$D$2:$D$5,Lookup_Tables!$E$2:$E$5)</f>
        <v>Medium</v>
      </c>
      <c r="U566" t="str">
        <f>_xlfn.XLOOKUP(H566,Lookup_Tables!$D$2:$D$5,Lookup_Tables!$E$2:$E$5)</f>
        <v>High</v>
      </c>
      <c r="V566" t="str">
        <f>_xlfn.XLOOKUP(L566,Lookup_Tables!$D$2:$D$5,Lookup_Tables!$E$2:$E$5)</f>
        <v>High</v>
      </c>
    </row>
    <row r="567" spans="1:22">
      <c r="A567">
        <f>RAW_DATA!A567</f>
        <v>23</v>
      </c>
      <c r="B567" t="str">
        <f>RAW_DATA!B567</f>
        <v>No</v>
      </c>
      <c r="C567" t="str">
        <f>RAW_DATA!C567</f>
        <v>Research &amp; Development</v>
      </c>
      <c r="D567">
        <f>RAW_DATA!D567</f>
        <v>10</v>
      </c>
      <c r="E567">
        <f>RAW_DATA!E567</f>
        <v>1</v>
      </c>
      <c r="F567" t="str">
        <f>RAW_DATA!F567</f>
        <v>Medical</v>
      </c>
      <c r="G567">
        <f>RAW_DATA!G567</f>
        <v>1</v>
      </c>
      <c r="H567">
        <f>RAW_DATA!H567</f>
        <v>3</v>
      </c>
      <c r="I567" t="str">
        <f>RAW_DATA!I567</f>
        <v>Single</v>
      </c>
      <c r="J567">
        <f>RAW_DATA!J567</f>
        <v>3505</v>
      </c>
      <c r="K567">
        <f>RAW_DATA!K567</f>
        <v>1</v>
      </c>
      <c r="L567">
        <f>RAW_DATA!L567</f>
        <v>3</v>
      </c>
      <c r="M567">
        <f>RAW_DATA!M567</f>
        <v>2</v>
      </c>
      <c r="N567">
        <f t="shared" si="16"/>
        <v>0</v>
      </c>
      <c r="O567" t="str">
        <f xml:space="preserve"> VLOOKUP(A567, Lookup_Tables!$G$2:$H$6,2,TRUE)</f>
        <v>&lt;25</v>
      </c>
      <c r="P567" t="str">
        <f>_xlfn.XLOOKUP(J567,Lookup_Tables!$J$2:$J$4,Lookup_Tables!$K$2:$K$4, " ",-1)</f>
        <v>Medium</v>
      </c>
      <c r="Q567" t="str">
        <f xml:space="preserve"> _xlfn.XLOOKUP(M567, Lookup_Tables!$M$2:$M$5,Lookup_Tables!$N$2:$N$5," ", -1)</f>
        <v>Early (2-5)</v>
      </c>
      <c r="R567" s="4">
        <f t="shared" si="17"/>
        <v>2.3333333333333335</v>
      </c>
      <c r="S567" t="str">
        <f xml:space="preserve"> _xlfn.XLOOKUP( E567, Lookup_Tables!$A$2:$A$6,Lookup_Tables!$B$2:$B$6," ", -1)</f>
        <v>Below College</v>
      </c>
      <c r="T567" t="str">
        <f>_xlfn.XLOOKUP(G567,Lookup_Tables!$D$2:$D$5,Lookup_Tables!$E$2:$E$5)</f>
        <v>Low</v>
      </c>
      <c r="U567" t="str">
        <f>_xlfn.XLOOKUP(H567,Lookup_Tables!$D$2:$D$5,Lookup_Tables!$E$2:$E$5)</f>
        <v>High</v>
      </c>
      <c r="V567" t="str">
        <f>_xlfn.XLOOKUP(L567,Lookup_Tables!$D$2:$D$5,Lookup_Tables!$E$2:$E$5)</f>
        <v>High</v>
      </c>
    </row>
    <row r="568" spans="1:22">
      <c r="A568">
        <f>RAW_DATA!A568</f>
        <v>47</v>
      </c>
      <c r="B568" t="str">
        <f>RAW_DATA!B568</f>
        <v>Yes</v>
      </c>
      <c r="C568" t="str">
        <f>RAW_DATA!C568</f>
        <v>Sales</v>
      </c>
      <c r="D568">
        <f>RAW_DATA!D568</f>
        <v>27</v>
      </c>
      <c r="E568">
        <f>RAW_DATA!E568</f>
        <v>2</v>
      </c>
      <c r="F568" t="str">
        <f>RAW_DATA!F568</f>
        <v>Life Sciences</v>
      </c>
      <c r="G568">
        <f>RAW_DATA!G568</f>
        <v>2</v>
      </c>
      <c r="H568">
        <f>RAW_DATA!H568</f>
        <v>3</v>
      </c>
      <c r="I568" t="str">
        <f>RAW_DATA!I568</f>
        <v>Single</v>
      </c>
      <c r="J568">
        <f>RAW_DATA!J568</f>
        <v>6397</v>
      </c>
      <c r="K568">
        <f>RAW_DATA!K568</f>
        <v>4</v>
      </c>
      <c r="L568">
        <f>RAW_DATA!L568</f>
        <v>3</v>
      </c>
      <c r="M568">
        <f>RAW_DATA!M568</f>
        <v>5</v>
      </c>
      <c r="N568">
        <f t="shared" si="16"/>
        <v>1</v>
      </c>
      <c r="O568" t="str">
        <f xml:space="preserve"> VLOOKUP(A568, Lookup_Tables!$G$2:$H$6,2,TRUE)</f>
        <v>45-54</v>
      </c>
      <c r="P568" t="str">
        <f>_xlfn.XLOOKUP(J568,Lookup_Tables!$J$2:$J$4,Lookup_Tables!$K$2:$K$4, " ",-1)</f>
        <v>Medium</v>
      </c>
      <c r="Q568" t="str">
        <f xml:space="preserve"> _xlfn.XLOOKUP(M568, Lookup_Tables!$M$2:$M$5,Lookup_Tables!$N$2:$N$5," ", -1)</f>
        <v>Established (5-10)</v>
      </c>
      <c r="R568" s="4">
        <f t="shared" si="17"/>
        <v>2.6666666666666665</v>
      </c>
      <c r="S568" t="str">
        <f xml:space="preserve"> _xlfn.XLOOKUP( E568, Lookup_Tables!$A$2:$A$6,Lookup_Tables!$B$2:$B$6," ", -1)</f>
        <v>College</v>
      </c>
      <c r="T568" t="str">
        <f>_xlfn.XLOOKUP(G568,Lookup_Tables!$D$2:$D$5,Lookup_Tables!$E$2:$E$5)</f>
        <v>Medium</v>
      </c>
      <c r="U568" t="str">
        <f>_xlfn.XLOOKUP(H568,Lookup_Tables!$D$2:$D$5,Lookup_Tables!$E$2:$E$5)</f>
        <v>High</v>
      </c>
      <c r="V568" t="str">
        <f>_xlfn.XLOOKUP(L568,Lookup_Tables!$D$2:$D$5,Lookup_Tables!$E$2:$E$5)</f>
        <v>High</v>
      </c>
    </row>
    <row r="569" spans="1:22">
      <c r="A569">
        <f>RAW_DATA!A569</f>
        <v>34</v>
      </c>
      <c r="B569" t="str">
        <f>RAW_DATA!B569</f>
        <v>No</v>
      </c>
      <c r="C569" t="str">
        <f>RAW_DATA!C569</f>
        <v>Sales</v>
      </c>
      <c r="D569">
        <f>RAW_DATA!D569</f>
        <v>2</v>
      </c>
      <c r="E569">
        <f>RAW_DATA!E569</f>
        <v>3</v>
      </c>
      <c r="F569" t="str">
        <f>RAW_DATA!F569</f>
        <v>Other</v>
      </c>
      <c r="G569">
        <f>RAW_DATA!G569</f>
        <v>4</v>
      </c>
      <c r="H569">
        <f>RAW_DATA!H569</f>
        <v>4</v>
      </c>
      <c r="I569" t="str">
        <f>RAW_DATA!I569</f>
        <v>Single</v>
      </c>
      <c r="J569">
        <f>RAW_DATA!J569</f>
        <v>6274</v>
      </c>
      <c r="K569">
        <f>RAW_DATA!K569</f>
        <v>1</v>
      </c>
      <c r="L569">
        <f>RAW_DATA!L569</f>
        <v>3</v>
      </c>
      <c r="M569">
        <f>RAW_DATA!M569</f>
        <v>6</v>
      </c>
      <c r="N569">
        <f t="shared" si="16"/>
        <v>0</v>
      </c>
      <c r="O569" t="str">
        <f xml:space="preserve"> VLOOKUP(A569, Lookup_Tables!$G$2:$H$6,2,TRUE)</f>
        <v>25-34</v>
      </c>
      <c r="P569" t="str">
        <f>_xlfn.XLOOKUP(J569,Lookup_Tables!$J$2:$J$4,Lookup_Tables!$K$2:$K$4, " ",-1)</f>
        <v>Medium</v>
      </c>
      <c r="Q569" t="str">
        <f xml:space="preserve"> _xlfn.XLOOKUP(M569, Lookup_Tables!$M$2:$M$5,Lookup_Tables!$N$2:$N$5," ", -1)</f>
        <v>Established (5-10)</v>
      </c>
      <c r="R569" s="4">
        <f t="shared" si="17"/>
        <v>3.6666666666666665</v>
      </c>
      <c r="S569" t="str">
        <f xml:space="preserve"> _xlfn.XLOOKUP( E569, Lookup_Tables!$A$2:$A$6,Lookup_Tables!$B$2:$B$6," ", -1)</f>
        <v>Bachelor</v>
      </c>
      <c r="T569" t="str">
        <f>_xlfn.XLOOKUP(G569,Lookup_Tables!$D$2:$D$5,Lookup_Tables!$E$2:$E$5)</f>
        <v>Very High</v>
      </c>
      <c r="U569" t="str">
        <f>_xlfn.XLOOKUP(H569,Lookup_Tables!$D$2:$D$5,Lookup_Tables!$E$2:$E$5)</f>
        <v>Very High</v>
      </c>
      <c r="V569" t="str">
        <f>_xlfn.XLOOKUP(L569,Lookup_Tables!$D$2:$D$5,Lookup_Tables!$E$2:$E$5)</f>
        <v>High</v>
      </c>
    </row>
    <row r="570" spans="1:22">
      <c r="A570">
        <f>RAW_DATA!A570</f>
        <v>55</v>
      </c>
      <c r="B570" t="str">
        <f>RAW_DATA!B570</f>
        <v>Yes</v>
      </c>
      <c r="C570" t="str">
        <f>RAW_DATA!C570</f>
        <v>Research &amp; Development</v>
      </c>
      <c r="D570">
        <f>RAW_DATA!D570</f>
        <v>2</v>
      </c>
      <c r="E570">
        <f>RAW_DATA!E570</f>
        <v>3</v>
      </c>
      <c r="F570" t="str">
        <f>RAW_DATA!F570</f>
        <v>Medical</v>
      </c>
      <c r="G570">
        <f>RAW_DATA!G570</f>
        <v>4</v>
      </c>
      <c r="H570">
        <f>RAW_DATA!H570</f>
        <v>1</v>
      </c>
      <c r="I570" t="str">
        <f>RAW_DATA!I570</f>
        <v>Married</v>
      </c>
      <c r="J570">
        <f>RAW_DATA!J570</f>
        <v>19859</v>
      </c>
      <c r="K570">
        <f>RAW_DATA!K570</f>
        <v>5</v>
      </c>
      <c r="L570">
        <f>RAW_DATA!L570</f>
        <v>3</v>
      </c>
      <c r="M570">
        <f>RAW_DATA!M570</f>
        <v>5</v>
      </c>
      <c r="N570">
        <f t="shared" si="16"/>
        <v>1</v>
      </c>
      <c r="O570" t="str">
        <f xml:space="preserve"> VLOOKUP(A570, Lookup_Tables!$G$2:$H$6,2,TRUE)</f>
        <v>55+</v>
      </c>
      <c r="P570" t="str">
        <f>_xlfn.XLOOKUP(J570,Lookup_Tables!$J$2:$J$4,Lookup_Tables!$K$2:$K$4, " ",-1)</f>
        <v>High</v>
      </c>
      <c r="Q570" t="str">
        <f xml:space="preserve"> _xlfn.XLOOKUP(M570, Lookup_Tables!$M$2:$M$5,Lookup_Tables!$N$2:$N$5," ", -1)</f>
        <v>Established (5-10)</v>
      </c>
      <c r="R570" s="4">
        <f t="shared" si="17"/>
        <v>2.6666666666666665</v>
      </c>
      <c r="S570" t="str">
        <f xml:space="preserve"> _xlfn.XLOOKUP( E570, Lookup_Tables!$A$2:$A$6,Lookup_Tables!$B$2:$B$6," ", -1)</f>
        <v>Bachelor</v>
      </c>
      <c r="T570" t="str">
        <f>_xlfn.XLOOKUP(G570,Lookup_Tables!$D$2:$D$5,Lookup_Tables!$E$2:$E$5)</f>
        <v>Very High</v>
      </c>
      <c r="U570" t="str">
        <f>_xlfn.XLOOKUP(H570,Lookup_Tables!$D$2:$D$5,Lookup_Tables!$E$2:$E$5)</f>
        <v>Low</v>
      </c>
      <c r="V570" t="str">
        <f>_xlfn.XLOOKUP(L570,Lookup_Tables!$D$2:$D$5,Lookup_Tables!$E$2:$E$5)</f>
        <v>High</v>
      </c>
    </row>
    <row r="571" spans="1:22">
      <c r="A571">
        <f>RAW_DATA!A571</f>
        <v>36</v>
      </c>
      <c r="B571" t="str">
        <f>RAW_DATA!B571</f>
        <v>No</v>
      </c>
      <c r="C571" t="str">
        <f>RAW_DATA!C571</f>
        <v>Sales</v>
      </c>
      <c r="D571">
        <f>RAW_DATA!D571</f>
        <v>8</v>
      </c>
      <c r="E571">
        <f>RAW_DATA!E571</f>
        <v>4</v>
      </c>
      <c r="F571" t="str">
        <f>RAW_DATA!F571</f>
        <v>Life Sciences</v>
      </c>
      <c r="G571">
        <f>RAW_DATA!G571</f>
        <v>1</v>
      </c>
      <c r="H571">
        <f>RAW_DATA!H571</f>
        <v>1</v>
      </c>
      <c r="I571" t="str">
        <f>RAW_DATA!I571</f>
        <v>Single</v>
      </c>
      <c r="J571">
        <f>RAW_DATA!J571</f>
        <v>7587</v>
      </c>
      <c r="K571">
        <f>RAW_DATA!K571</f>
        <v>1</v>
      </c>
      <c r="L571">
        <f>RAW_DATA!L571</f>
        <v>3</v>
      </c>
      <c r="M571">
        <f>RAW_DATA!M571</f>
        <v>10</v>
      </c>
      <c r="N571">
        <f t="shared" si="16"/>
        <v>0</v>
      </c>
      <c r="O571" t="str">
        <f xml:space="preserve"> VLOOKUP(A571, Lookup_Tables!$G$2:$H$6,2,TRUE)</f>
        <v>35-44</v>
      </c>
      <c r="P571" t="str">
        <f>_xlfn.XLOOKUP(J571,Lookup_Tables!$J$2:$J$4,Lookup_Tables!$K$2:$K$4, " ",-1)</f>
        <v>High</v>
      </c>
      <c r="Q571" t="str">
        <f xml:space="preserve"> _xlfn.XLOOKUP(M571, Lookup_Tables!$M$2:$M$5,Lookup_Tables!$N$2:$N$5," ", -1)</f>
        <v>Veteran (10+)</v>
      </c>
      <c r="R571" s="4">
        <f t="shared" si="17"/>
        <v>1.6666666666666667</v>
      </c>
      <c r="S571" t="str">
        <f xml:space="preserve"> _xlfn.XLOOKUP( E571, Lookup_Tables!$A$2:$A$6,Lookup_Tables!$B$2:$B$6," ", -1)</f>
        <v>Master</v>
      </c>
      <c r="T571" t="str">
        <f>_xlfn.XLOOKUP(G571,Lookup_Tables!$D$2:$D$5,Lookup_Tables!$E$2:$E$5)</f>
        <v>Low</v>
      </c>
      <c r="U571" t="str">
        <f>_xlfn.XLOOKUP(H571,Lookup_Tables!$D$2:$D$5,Lookup_Tables!$E$2:$E$5)</f>
        <v>Low</v>
      </c>
      <c r="V571" t="str">
        <f>_xlfn.XLOOKUP(L571,Lookup_Tables!$D$2:$D$5,Lookup_Tables!$E$2:$E$5)</f>
        <v>High</v>
      </c>
    </row>
    <row r="572" spans="1:22">
      <c r="A572">
        <f>RAW_DATA!A572</f>
        <v>52</v>
      </c>
      <c r="B572" t="str">
        <f>RAW_DATA!B572</f>
        <v>No</v>
      </c>
      <c r="C572" t="str">
        <f>RAW_DATA!C572</f>
        <v>Research &amp; Development</v>
      </c>
      <c r="D572">
        <f>RAW_DATA!D572</f>
        <v>19</v>
      </c>
      <c r="E572">
        <f>RAW_DATA!E572</f>
        <v>4</v>
      </c>
      <c r="F572" t="str">
        <f>RAW_DATA!F572</f>
        <v>Medical</v>
      </c>
      <c r="G572">
        <f>RAW_DATA!G572</f>
        <v>4</v>
      </c>
      <c r="H572">
        <f>RAW_DATA!H572</f>
        <v>4</v>
      </c>
      <c r="I572" t="str">
        <f>RAW_DATA!I572</f>
        <v>Married</v>
      </c>
      <c r="J572">
        <f>RAW_DATA!J572</f>
        <v>4258</v>
      </c>
      <c r="K572">
        <f>RAW_DATA!K572</f>
        <v>0</v>
      </c>
      <c r="L572">
        <f>RAW_DATA!L572</f>
        <v>3</v>
      </c>
      <c r="M572">
        <f>RAW_DATA!M572</f>
        <v>4</v>
      </c>
      <c r="N572">
        <f t="shared" si="16"/>
        <v>0</v>
      </c>
      <c r="O572" t="str">
        <f xml:space="preserve"> VLOOKUP(A572, Lookup_Tables!$G$2:$H$6,2,TRUE)</f>
        <v>45-54</v>
      </c>
      <c r="P572" t="str">
        <f>_xlfn.XLOOKUP(J572,Lookup_Tables!$J$2:$J$4,Lookup_Tables!$K$2:$K$4, " ",-1)</f>
        <v>Medium</v>
      </c>
      <c r="Q572" t="str">
        <f xml:space="preserve"> _xlfn.XLOOKUP(M572, Lookup_Tables!$M$2:$M$5,Lookup_Tables!$N$2:$N$5," ", -1)</f>
        <v>Early (2-5)</v>
      </c>
      <c r="R572" s="4">
        <f t="shared" si="17"/>
        <v>3.6666666666666665</v>
      </c>
      <c r="S572" t="str">
        <f xml:space="preserve"> _xlfn.XLOOKUP( E572, Lookup_Tables!$A$2:$A$6,Lookup_Tables!$B$2:$B$6," ", -1)</f>
        <v>Master</v>
      </c>
      <c r="T572" t="str">
        <f>_xlfn.XLOOKUP(G572,Lookup_Tables!$D$2:$D$5,Lookup_Tables!$E$2:$E$5)</f>
        <v>Very High</v>
      </c>
      <c r="U572" t="str">
        <f>_xlfn.XLOOKUP(H572,Lookup_Tables!$D$2:$D$5,Lookup_Tables!$E$2:$E$5)</f>
        <v>Very High</v>
      </c>
      <c r="V572" t="str">
        <f>_xlfn.XLOOKUP(L572,Lookup_Tables!$D$2:$D$5,Lookup_Tables!$E$2:$E$5)</f>
        <v>High</v>
      </c>
    </row>
    <row r="573" spans="1:22">
      <c r="A573">
        <f>RAW_DATA!A573</f>
        <v>26</v>
      </c>
      <c r="B573" t="str">
        <f>RAW_DATA!B573</f>
        <v>No</v>
      </c>
      <c r="C573" t="str">
        <f>RAW_DATA!C573</f>
        <v>Research &amp; Development</v>
      </c>
      <c r="D573">
        <f>RAW_DATA!D573</f>
        <v>1</v>
      </c>
      <c r="E573">
        <f>RAW_DATA!E573</f>
        <v>2</v>
      </c>
      <c r="F573" t="str">
        <f>RAW_DATA!F573</f>
        <v>Life Sciences</v>
      </c>
      <c r="G573">
        <f>RAW_DATA!G573</f>
        <v>1</v>
      </c>
      <c r="H573">
        <f>RAW_DATA!H573</f>
        <v>4</v>
      </c>
      <c r="I573" t="str">
        <f>RAW_DATA!I573</f>
        <v>Divorced</v>
      </c>
      <c r="J573">
        <f>RAW_DATA!J573</f>
        <v>4364</v>
      </c>
      <c r="K573">
        <f>RAW_DATA!K573</f>
        <v>3</v>
      </c>
      <c r="L573">
        <f>RAW_DATA!L573</f>
        <v>3</v>
      </c>
      <c r="M573">
        <f>RAW_DATA!M573</f>
        <v>2</v>
      </c>
      <c r="N573">
        <f t="shared" si="16"/>
        <v>0</v>
      </c>
      <c r="O573" t="str">
        <f xml:space="preserve"> VLOOKUP(A573, Lookup_Tables!$G$2:$H$6,2,TRUE)</f>
        <v>25-34</v>
      </c>
      <c r="P573" t="str">
        <f>_xlfn.XLOOKUP(J573,Lookup_Tables!$J$2:$J$4,Lookup_Tables!$K$2:$K$4, " ",-1)</f>
        <v>Medium</v>
      </c>
      <c r="Q573" t="str">
        <f xml:space="preserve"> _xlfn.XLOOKUP(M573, Lookup_Tables!$M$2:$M$5,Lookup_Tables!$N$2:$N$5," ", -1)</f>
        <v>Early (2-5)</v>
      </c>
      <c r="R573" s="4">
        <f t="shared" si="17"/>
        <v>2.6666666666666665</v>
      </c>
      <c r="S573" t="str">
        <f xml:space="preserve"> _xlfn.XLOOKUP( E573, Lookup_Tables!$A$2:$A$6,Lookup_Tables!$B$2:$B$6," ", -1)</f>
        <v>College</v>
      </c>
      <c r="T573" t="str">
        <f>_xlfn.XLOOKUP(G573,Lookup_Tables!$D$2:$D$5,Lookup_Tables!$E$2:$E$5)</f>
        <v>Low</v>
      </c>
      <c r="U573" t="str">
        <f>_xlfn.XLOOKUP(H573,Lookup_Tables!$D$2:$D$5,Lookup_Tables!$E$2:$E$5)</f>
        <v>Very High</v>
      </c>
      <c r="V573" t="str">
        <f>_xlfn.XLOOKUP(L573,Lookup_Tables!$D$2:$D$5,Lookup_Tables!$E$2:$E$5)</f>
        <v>High</v>
      </c>
    </row>
    <row r="574" spans="1:22">
      <c r="A574">
        <f>RAW_DATA!A574</f>
        <v>29</v>
      </c>
      <c r="B574" t="str">
        <f>RAW_DATA!B574</f>
        <v>No</v>
      </c>
      <c r="C574" t="str">
        <f>RAW_DATA!C574</f>
        <v>Research &amp; Development</v>
      </c>
      <c r="D574">
        <f>RAW_DATA!D574</f>
        <v>27</v>
      </c>
      <c r="E574">
        <f>RAW_DATA!E574</f>
        <v>3</v>
      </c>
      <c r="F574" t="str">
        <f>RAW_DATA!F574</f>
        <v>Medical</v>
      </c>
      <c r="G574">
        <f>RAW_DATA!G574</f>
        <v>2</v>
      </c>
      <c r="H574">
        <f>RAW_DATA!H574</f>
        <v>3</v>
      </c>
      <c r="I574" t="str">
        <f>RAW_DATA!I574</f>
        <v>Married</v>
      </c>
      <c r="J574">
        <f>RAW_DATA!J574</f>
        <v>4335</v>
      </c>
      <c r="K574">
        <f>RAW_DATA!K574</f>
        <v>4</v>
      </c>
      <c r="L574">
        <f>RAW_DATA!L574</f>
        <v>2</v>
      </c>
      <c r="M574">
        <f>RAW_DATA!M574</f>
        <v>8</v>
      </c>
      <c r="N574">
        <f t="shared" si="16"/>
        <v>0</v>
      </c>
      <c r="O574" t="str">
        <f xml:space="preserve"> VLOOKUP(A574, Lookup_Tables!$G$2:$H$6,2,TRUE)</f>
        <v>25-34</v>
      </c>
      <c r="P574" t="str">
        <f>_xlfn.XLOOKUP(J574,Lookup_Tables!$J$2:$J$4,Lookup_Tables!$K$2:$K$4, " ",-1)</f>
        <v>Medium</v>
      </c>
      <c r="Q574" t="str">
        <f xml:space="preserve"> _xlfn.XLOOKUP(M574, Lookup_Tables!$M$2:$M$5,Lookup_Tables!$N$2:$N$5," ", -1)</f>
        <v>Established (5-10)</v>
      </c>
      <c r="R574" s="4">
        <f t="shared" si="17"/>
        <v>2.3333333333333335</v>
      </c>
      <c r="S574" t="str">
        <f xml:space="preserve"> _xlfn.XLOOKUP( E574, Lookup_Tables!$A$2:$A$6,Lookup_Tables!$B$2:$B$6," ", -1)</f>
        <v>Bachelor</v>
      </c>
      <c r="T574" t="str">
        <f>_xlfn.XLOOKUP(G574,Lookup_Tables!$D$2:$D$5,Lookup_Tables!$E$2:$E$5)</f>
        <v>Medium</v>
      </c>
      <c r="U574" t="str">
        <f>_xlfn.XLOOKUP(H574,Lookup_Tables!$D$2:$D$5,Lookup_Tables!$E$2:$E$5)</f>
        <v>High</v>
      </c>
      <c r="V574" t="str">
        <f>_xlfn.XLOOKUP(L574,Lookup_Tables!$D$2:$D$5,Lookup_Tables!$E$2:$E$5)</f>
        <v>Medium</v>
      </c>
    </row>
    <row r="575" spans="1:22">
      <c r="A575">
        <f>RAW_DATA!A575</f>
        <v>26</v>
      </c>
      <c r="B575" t="str">
        <f>RAW_DATA!B575</f>
        <v>Yes</v>
      </c>
      <c r="C575" t="str">
        <f>RAW_DATA!C575</f>
        <v>Sales</v>
      </c>
      <c r="D575">
        <f>RAW_DATA!D575</f>
        <v>8</v>
      </c>
      <c r="E575">
        <f>RAW_DATA!E575</f>
        <v>3</v>
      </c>
      <c r="F575" t="str">
        <f>RAW_DATA!F575</f>
        <v>Technical Degree</v>
      </c>
      <c r="G575">
        <f>RAW_DATA!G575</f>
        <v>4</v>
      </c>
      <c r="H575">
        <f>RAW_DATA!H575</f>
        <v>1</v>
      </c>
      <c r="I575" t="str">
        <f>RAW_DATA!I575</f>
        <v>Single</v>
      </c>
      <c r="J575">
        <f>RAW_DATA!J575</f>
        <v>5326</v>
      </c>
      <c r="K575">
        <f>RAW_DATA!K575</f>
        <v>6</v>
      </c>
      <c r="L575">
        <f>RAW_DATA!L575</f>
        <v>2</v>
      </c>
      <c r="M575">
        <f>RAW_DATA!M575</f>
        <v>4</v>
      </c>
      <c r="N575">
        <f t="shared" si="16"/>
        <v>1</v>
      </c>
      <c r="O575" t="str">
        <f xml:space="preserve"> VLOOKUP(A575, Lookup_Tables!$G$2:$H$6,2,TRUE)</f>
        <v>25-34</v>
      </c>
      <c r="P575" t="str">
        <f>_xlfn.XLOOKUP(J575,Lookup_Tables!$J$2:$J$4,Lookup_Tables!$K$2:$K$4, " ",-1)</f>
        <v>Medium</v>
      </c>
      <c r="Q575" t="str">
        <f xml:space="preserve"> _xlfn.XLOOKUP(M575, Lookup_Tables!$M$2:$M$5,Lookup_Tables!$N$2:$N$5," ", -1)</f>
        <v>Early (2-5)</v>
      </c>
      <c r="R575" s="4">
        <f t="shared" si="17"/>
        <v>2.3333333333333335</v>
      </c>
      <c r="S575" t="str">
        <f xml:space="preserve"> _xlfn.XLOOKUP( E575, Lookup_Tables!$A$2:$A$6,Lookup_Tables!$B$2:$B$6," ", -1)</f>
        <v>Bachelor</v>
      </c>
      <c r="T575" t="str">
        <f>_xlfn.XLOOKUP(G575,Lookup_Tables!$D$2:$D$5,Lookup_Tables!$E$2:$E$5)</f>
        <v>Very High</v>
      </c>
      <c r="U575" t="str">
        <f>_xlfn.XLOOKUP(H575,Lookup_Tables!$D$2:$D$5,Lookup_Tables!$E$2:$E$5)</f>
        <v>Low</v>
      </c>
      <c r="V575" t="str">
        <f>_xlfn.XLOOKUP(L575,Lookup_Tables!$D$2:$D$5,Lookup_Tables!$E$2:$E$5)</f>
        <v>Medium</v>
      </c>
    </row>
    <row r="576" spans="1:22">
      <c r="A576">
        <f>RAW_DATA!A576</f>
        <v>34</v>
      </c>
      <c r="B576" t="str">
        <f>RAW_DATA!B576</f>
        <v>No</v>
      </c>
      <c r="C576" t="str">
        <f>RAW_DATA!C576</f>
        <v>Research &amp; Development</v>
      </c>
      <c r="D576">
        <f>RAW_DATA!D576</f>
        <v>1</v>
      </c>
      <c r="E576">
        <f>RAW_DATA!E576</f>
        <v>4</v>
      </c>
      <c r="F576" t="str">
        <f>RAW_DATA!F576</f>
        <v>Life Sciences</v>
      </c>
      <c r="G576">
        <f>RAW_DATA!G576</f>
        <v>2</v>
      </c>
      <c r="H576">
        <f>RAW_DATA!H576</f>
        <v>4</v>
      </c>
      <c r="I576" t="str">
        <f>RAW_DATA!I576</f>
        <v>Single</v>
      </c>
      <c r="J576">
        <f>RAW_DATA!J576</f>
        <v>3280</v>
      </c>
      <c r="K576">
        <f>RAW_DATA!K576</f>
        <v>2</v>
      </c>
      <c r="L576">
        <f>RAW_DATA!L576</f>
        <v>3</v>
      </c>
      <c r="M576">
        <f>RAW_DATA!M576</f>
        <v>4</v>
      </c>
      <c r="N576">
        <f t="shared" si="16"/>
        <v>0</v>
      </c>
      <c r="O576" t="str">
        <f xml:space="preserve"> VLOOKUP(A576, Lookup_Tables!$G$2:$H$6,2,TRUE)</f>
        <v>25-34</v>
      </c>
      <c r="P576" t="str">
        <f>_xlfn.XLOOKUP(J576,Lookup_Tables!$J$2:$J$4,Lookup_Tables!$K$2:$K$4, " ",-1)</f>
        <v>Medium</v>
      </c>
      <c r="Q576" t="str">
        <f xml:space="preserve"> _xlfn.XLOOKUP(M576, Lookup_Tables!$M$2:$M$5,Lookup_Tables!$N$2:$N$5," ", -1)</f>
        <v>Early (2-5)</v>
      </c>
      <c r="R576" s="4">
        <f t="shared" si="17"/>
        <v>3</v>
      </c>
      <c r="S576" t="str">
        <f xml:space="preserve"> _xlfn.XLOOKUP( E576, Lookup_Tables!$A$2:$A$6,Lookup_Tables!$B$2:$B$6," ", -1)</f>
        <v>Master</v>
      </c>
      <c r="T576" t="str">
        <f>_xlfn.XLOOKUP(G576,Lookup_Tables!$D$2:$D$5,Lookup_Tables!$E$2:$E$5)</f>
        <v>Medium</v>
      </c>
      <c r="U576" t="str">
        <f>_xlfn.XLOOKUP(H576,Lookup_Tables!$D$2:$D$5,Lookup_Tables!$E$2:$E$5)</f>
        <v>Very High</v>
      </c>
      <c r="V576" t="str">
        <f>_xlfn.XLOOKUP(L576,Lookup_Tables!$D$2:$D$5,Lookup_Tables!$E$2:$E$5)</f>
        <v>High</v>
      </c>
    </row>
    <row r="577" spans="1:22">
      <c r="A577">
        <f>RAW_DATA!A577</f>
        <v>54</v>
      </c>
      <c r="B577" t="str">
        <f>RAW_DATA!B577</f>
        <v>No</v>
      </c>
      <c r="C577" t="str">
        <f>RAW_DATA!C577</f>
        <v>Research &amp; Development</v>
      </c>
      <c r="D577">
        <f>RAW_DATA!D577</f>
        <v>19</v>
      </c>
      <c r="E577">
        <f>RAW_DATA!E577</f>
        <v>4</v>
      </c>
      <c r="F577" t="str">
        <f>RAW_DATA!F577</f>
        <v>Medical</v>
      </c>
      <c r="G577">
        <f>RAW_DATA!G577</f>
        <v>4</v>
      </c>
      <c r="H577">
        <f>RAW_DATA!H577</f>
        <v>1</v>
      </c>
      <c r="I577" t="str">
        <f>RAW_DATA!I577</f>
        <v>Divorced</v>
      </c>
      <c r="J577">
        <f>RAW_DATA!J577</f>
        <v>5485</v>
      </c>
      <c r="K577">
        <f>RAW_DATA!K577</f>
        <v>9</v>
      </c>
      <c r="L577">
        <f>RAW_DATA!L577</f>
        <v>3</v>
      </c>
      <c r="M577">
        <f>RAW_DATA!M577</f>
        <v>5</v>
      </c>
      <c r="N577">
        <f t="shared" si="16"/>
        <v>0</v>
      </c>
      <c r="O577" t="str">
        <f xml:space="preserve"> VLOOKUP(A577, Lookup_Tables!$G$2:$H$6,2,TRUE)</f>
        <v>45-54</v>
      </c>
      <c r="P577" t="str">
        <f>_xlfn.XLOOKUP(J577,Lookup_Tables!$J$2:$J$4,Lookup_Tables!$K$2:$K$4, " ",-1)</f>
        <v>Medium</v>
      </c>
      <c r="Q577" t="str">
        <f xml:space="preserve"> _xlfn.XLOOKUP(M577, Lookup_Tables!$M$2:$M$5,Lookup_Tables!$N$2:$N$5," ", -1)</f>
        <v>Established (5-10)</v>
      </c>
      <c r="R577" s="4">
        <f t="shared" si="17"/>
        <v>2.6666666666666665</v>
      </c>
      <c r="S577" t="str">
        <f xml:space="preserve"> _xlfn.XLOOKUP( E577, Lookup_Tables!$A$2:$A$6,Lookup_Tables!$B$2:$B$6," ", -1)</f>
        <v>Master</v>
      </c>
      <c r="T577" t="str">
        <f>_xlfn.XLOOKUP(G577,Lookup_Tables!$D$2:$D$5,Lookup_Tables!$E$2:$E$5)</f>
        <v>Very High</v>
      </c>
      <c r="U577" t="str">
        <f>_xlfn.XLOOKUP(H577,Lookup_Tables!$D$2:$D$5,Lookup_Tables!$E$2:$E$5)</f>
        <v>Low</v>
      </c>
      <c r="V577" t="str">
        <f>_xlfn.XLOOKUP(L577,Lookup_Tables!$D$2:$D$5,Lookup_Tables!$E$2:$E$5)</f>
        <v>High</v>
      </c>
    </row>
    <row r="578" spans="1:22">
      <c r="A578">
        <f>RAW_DATA!A578</f>
        <v>27</v>
      </c>
      <c r="B578" t="str">
        <f>RAW_DATA!B578</f>
        <v>No</v>
      </c>
      <c r="C578" t="str">
        <f>RAW_DATA!C578</f>
        <v>Sales</v>
      </c>
      <c r="D578">
        <f>RAW_DATA!D578</f>
        <v>8</v>
      </c>
      <c r="E578">
        <f>RAW_DATA!E578</f>
        <v>1</v>
      </c>
      <c r="F578" t="str">
        <f>RAW_DATA!F578</f>
        <v>Marketing</v>
      </c>
      <c r="G578">
        <f>RAW_DATA!G578</f>
        <v>3</v>
      </c>
      <c r="H578">
        <f>RAW_DATA!H578</f>
        <v>4</v>
      </c>
      <c r="I578" t="str">
        <f>RAW_DATA!I578</f>
        <v>Married</v>
      </c>
      <c r="J578">
        <f>RAW_DATA!J578</f>
        <v>4342</v>
      </c>
      <c r="K578">
        <f>RAW_DATA!K578</f>
        <v>0</v>
      </c>
      <c r="L578">
        <f>RAW_DATA!L578</f>
        <v>3</v>
      </c>
      <c r="M578">
        <f>RAW_DATA!M578</f>
        <v>4</v>
      </c>
      <c r="N578">
        <f t="shared" si="16"/>
        <v>0</v>
      </c>
      <c r="O578" t="str">
        <f xml:space="preserve"> VLOOKUP(A578, Lookup_Tables!$G$2:$H$6,2,TRUE)</f>
        <v>25-34</v>
      </c>
      <c r="P578" t="str">
        <f>_xlfn.XLOOKUP(J578,Lookup_Tables!$J$2:$J$4,Lookup_Tables!$K$2:$K$4, " ",-1)</f>
        <v>Medium</v>
      </c>
      <c r="Q578" t="str">
        <f xml:space="preserve"> _xlfn.XLOOKUP(M578, Lookup_Tables!$M$2:$M$5,Lookup_Tables!$N$2:$N$5," ", -1)</f>
        <v>Early (2-5)</v>
      </c>
      <c r="R578" s="4">
        <f t="shared" si="17"/>
        <v>3.3333333333333335</v>
      </c>
      <c r="S578" t="str">
        <f xml:space="preserve"> _xlfn.XLOOKUP( E578, Lookup_Tables!$A$2:$A$6,Lookup_Tables!$B$2:$B$6," ", -1)</f>
        <v>Below College</v>
      </c>
      <c r="T578" t="str">
        <f>_xlfn.XLOOKUP(G578,Lookup_Tables!$D$2:$D$5,Lookup_Tables!$E$2:$E$5)</f>
        <v>High</v>
      </c>
      <c r="U578" t="str">
        <f>_xlfn.XLOOKUP(H578,Lookup_Tables!$D$2:$D$5,Lookup_Tables!$E$2:$E$5)</f>
        <v>Very High</v>
      </c>
      <c r="V578" t="str">
        <f>_xlfn.XLOOKUP(L578,Lookup_Tables!$D$2:$D$5,Lookup_Tables!$E$2:$E$5)</f>
        <v>High</v>
      </c>
    </row>
    <row r="579" spans="1:22">
      <c r="A579">
        <f>RAW_DATA!A579</f>
        <v>37</v>
      </c>
      <c r="B579" t="str">
        <f>RAW_DATA!B579</f>
        <v>No</v>
      </c>
      <c r="C579" t="str">
        <f>RAW_DATA!C579</f>
        <v>Research &amp; Development</v>
      </c>
      <c r="D579">
        <f>RAW_DATA!D579</f>
        <v>10</v>
      </c>
      <c r="E579">
        <f>RAW_DATA!E579</f>
        <v>1</v>
      </c>
      <c r="F579" t="str">
        <f>RAW_DATA!F579</f>
        <v>Life Sciences</v>
      </c>
      <c r="G579">
        <f>RAW_DATA!G579</f>
        <v>4</v>
      </c>
      <c r="H579">
        <f>RAW_DATA!H579</f>
        <v>1</v>
      </c>
      <c r="I579" t="str">
        <f>RAW_DATA!I579</f>
        <v>Divorced</v>
      </c>
      <c r="J579">
        <f>RAW_DATA!J579</f>
        <v>2782</v>
      </c>
      <c r="K579">
        <f>RAW_DATA!K579</f>
        <v>0</v>
      </c>
      <c r="L579">
        <f>RAW_DATA!L579</f>
        <v>2</v>
      </c>
      <c r="M579">
        <f>RAW_DATA!M579</f>
        <v>5</v>
      </c>
      <c r="N579">
        <f t="shared" ref="N579:N642" si="18" xml:space="preserve"> IF(B579 ="Yes",1,0)</f>
        <v>0</v>
      </c>
      <c r="O579" t="str">
        <f xml:space="preserve"> VLOOKUP(A579, Lookup_Tables!$G$2:$H$6,2,TRUE)</f>
        <v>35-44</v>
      </c>
      <c r="P579" t="str">
        <f>_xlfn.XLOOKUP(J579,Lookup_Tables!$J$2:$J$4,Lookup_Tables!$K$2:$K$4, " ",-1)</f>
        <v>Low</v>
      </c>
      <c r="Q579" t="str">
        <f xml:space="preserve"> _xlfn.XLOOKUP(M579, Lookup_Tables!$M$2:$M$5,Lookup_Tables!$N$2:$N$5," ", -1)</f>
        <v>Established (5-10)</v>
      </c>
      <c r="R579" s="4">
        <f t="shared" ref="R579:R642" si="19">AVERAGE(G579,H579,L579)</f>
        <v>2.3333333333333335</v>
      </c>
      <c r="S579" t="str">
        <f xml:space="preserve"> _xlfn.XLOOKUP( E579, Lookup_Tables!$A$2:$A$6,Lookup_Tables!$B$2:$B$6," ", -1)</f>
        <v>Below College</v>
      </c>
      <c r="T579" t="str">
        <f>_xlfn.XLOOKUP(G579,Lookup_Tables!$D$2:$D$5,Lookup_Tables!$E$2:$E$5)</f>
        <v>Very High</v>
      </c>
      <c r="U579" t="str">
        <f>_xlfn.XLOOKUP(H579,Lookup_Tables!$D$2:$D$5,Lookup_Tables!$E$2:$E$5)</f>
        <v>Low</v>
      </c>
      <c r="V579" t="str">
        <f>_xlfn.XLOOKUP(L579,Lookup_Tables!$D$2:$D$5,Lookup_Tables!$E$2:$E$5)</f>
        <v>Medium</v>
      </c>
    </row>
    <row r="580" spans="1:22">
      <c r="A580">
        <f>RAW_DATA!A580</f>
        <v>38</v>
      </c>
      <c r="B580" t="str">
        <f>RAW_DATA!B580</f>
        <v>No</v>
      </c>
      <c r="C580" t="str">
        <f>RAW_DATA!C580</f>
        <v>Research &amp; Development</v>
      </c>
      <c r="D580">
        <f>RAW_DATA!D580</f>
        <v>2</v>
      </c>
      <c r="E580">
        <f>RAW_DATA!E580</f>
        <v>4</v>
      </c>
      <c r="F580" t="str">
        <f>RAW_DATA!F580</f>
        <v>Life Sciences</v>
      </c>
      <c r="G580">
        <f>RAW_DATA!G580</f>
        <v>1</v>
      </c>
      <c r="H580">
        <f>RAW_DATA!H580</f>
        <v>1</v>
      </c>
      <c r="I580" t="str">
        <f>RAW_DATA!I580</f>
        <v>Single</v>
      </c>
      <c r="J580">
        <f>RAW_DATA!J580</f>
        <v>5980</v>
      </c>
      <c r="K580">
        <f>RAW_DATA!K580</f>
        <v>6</v>
      </c>
      <c r="L580">
        <f>RAW_DATA!L580</f>
        <v>3</v>
      </c>
      <c r="M580">
        <f>RAW_DATA!M580</f>
        <v>15</v>
      </c>
      <c r="N580">
        <f t="shared" si="18"/>
        <v>0</v>
      </c>
      <c r="O580" t="str">
        <f xml:space="preserve"> VLOOKUP(A580, Lookup_Tables!$G$2:$H$6,2,TRUE)</f>
        <v>35-44</v>
      </c>
      <c r="P580" t="str">
        <f>_xlfn.XLOOKUP(J580,Lookup_Tables!$J$2:$J$4,Lookup_Tables!$K$2:$K$4, " ",-1)</f>
        <v>Medium</v>
      </c>
      <c r="Q580" t="str">
        <f xml:space="preserve"> _xlfn.XLOOKUP(M580, Lookup_Tables!$M$2:$M$5,Lookup_Tables!$N$2:$N$5," ", -1)</f>
        <v>Veteran (10+)</v>
      </c>
      <c r="R580" s="4">
        <f t="shared" si="19"/>
        <v>1.6666666666666667</v>
      </c>
      <c r="S580" t="str">
        <f xml:space="preserve"> _xlfn.XLOOKUP( E580, Lookup_Tables!$A$2:$A$6,Lookup_Tables!$B$2:$B$6," ", -1)</f>
        <v>Master</v>
      </c>
      <c r="T580" t="str">
        <f>_xlfn.XLOOKUP(G580,Lookup_Tables!$D$2:$D$5,Lookup_Tables!$E$2:$E$5)</f>
        <v>Low</v>
      </c>
      <c r="U580" t="str">
        <f>_xlfn.XLOOKUP(H580,Lookup_Tables!$D$2:$D$5,Lookup_Tables!$E$2:$E$5)</f>
        <v>Low</v>
      </c>
      <c r="V580" t="str">
        <f>_xlfn.XLOOKUP(L580,Lookup_Tables!$D$2:$D$5,Lookup_Tables!$E$2:$E$5)</f>
        <v>High</v>
      </c>
    </row>
    <row r="581" spans="1:22">
      <c r="A581">
        <f>RAW_DATA!A581</f>
        <v>34</v>
      </c>
      <c r="B581" t="str">
        <f>RAW_DATA!B581</f>
        <v>No</v>
      </c>
      <c r="C581" t="str">
        <f>RAW_DATA!C581</f>
        <v>Research &amp; Development</v>
      </c>
      <c r="D581">
        <f>RAW_DATA!D581</f>
        <v>2</v>
      </c>
      <c r="E581">
        <f>RAW_DATA!E581</f>
        <v>4</v>
      </c>
      <c r="F581" t="str">
        <f>RAW_DATA!F581</f>
        <v>Medical</v>
      </c>
      <c r="G581">
        <f>RAW_DATA!G581</f>
        <v>3</v>
      </c>
      <c r="H581">
        <f>RAW_DATA!H581</f>
        <v>1</v>
      </c>
      <c r="I581" t="str">
        <f>RAW_DATA!I581</f>
        <v>Single</v>
      </c>
      <c r="J581">
        <f>RAW_DATA!J581</f>
        <v>4381</v>
      </c>
      <c r="K581">
        <f>RAW_DATA!K581</f>
        <v>1</v>
      </c>
      <c r="L581">
        <f>RAW_DATA!L581</f>
        <v>3</v>
      </c>
      <c r="M581">
        <f>RAW_DATA!M581</f>
        <v>6</v>
      </c>
      <c r="N581">
        <f t="shared" si="18"/>
        <v>0</v>
      </c>
      <c r="O581" t="str">
        <f xml:space="preserve"> VLOOKUP(A581, Lookup_Tables!$G$2:$H$6,2,TRUE)</f>
        <v>25-34</v>
      </c>
      <c r="P581" t="str">
        <f>_xlfn.XLOOKUP(J581,Lookup_Tables!$J$2:$J$4,Lookup_Tables!$K$2:$K$4, " ",-1)</f>
        <v>Medium</v>
      </c>
      <c r="Q581" t="str">
        <f xml:space="preserve"> _xlfn.XLOOKUP(M581, Lookup_Tables!$M$2:$M$5,Lookup_Tables!$N$2:$N$5," ", -1)</f>
        <v>Established (5-10)</v>
      </c>
      <c r="R581" s="4">
        <f t="shared" si="19"/>
        <v>2.3333333333333335</v>
      </c>
      <c r="S581" t="str">
        <f xml:space="preserve"> _xlfn.XLOOKUP( E581, Lookup_Tables!$A$2:$A$6,Lookup_Tables!$B$2:$B$6," ", -1)</f>
        <v>Master</v>
      </c>
      <c r="T581" t="str">
        <f>_xlfn.XLOOKUP(G581,Lookup_Tables!$D$2:$D$5,Lookup_Tables!$E$2:$E$5)</f>
        <v>High</v>
      </c>
      <c r="U581" t="str">
        <f>_xlfn.XLOOKUP(H581,Lookup_Tables!$D$2:$D$5,Lookup_Tables!$E$2:$E$5)</f>
        <v>Low</v>
      </c>
      <c r="V581" t="str">
        <f>_xlfn.XLOOKUP(L581,Lookup_Tables!$D$2:$D$5,Lookup_Tables!$E$2:$E$5)</f>
        <v>High</v>
      </c>
    </row>
    <row r="582" spans="1:22">
      <c r="A582">
        <f>RAW_DATA!A582</f>
        <v>35</v>
      </c>
      <c r="B582" t="str">
        <f>RAW_DATA!B582</f>
        <v>No</v>
      </c>
      <c r="C582" t="str">
        <f>RAW_DATA!C582</f>
        <v>Sales</v>
      </c>
      <c r="D582">
        <f>RAW_DATA!D582</f>
        <v>8</v>
      </c>
      <c r="E582">
        <f>RAW_DATA!E582</f>
        <v>4</v>
      </c>
      <c r="F582" t="str">
        <f>RAW_DATA!F582</f>
        <v>Life Sciences</v>
      </c>
      <c r="G582">
        <f>RAW_DATA!G582</f>
        <v>1</v>
      </c>
      <c r="H582">
        <f>RAW_DATA!H582</f>
        <v>4</v>
      </c>
      <c r="I582" t="str">
        <f>RAW_DATA!I582</f>
        <v>Married</v>
      </c>
      <c r="J582">
        <f>RAW_DATA!J582</f>
        <v>2572</v>
      </c>
      <c r="K582">
        <f>RAW_DATA!K582</f>
        <v>1</v>
      </c>
      <c r="L582">
        <f>RAW_DATA!L582</f>
        <v>2</v>
      </c>
      <c r="M582">
        <f>RAW_DATA!M582</f>
        <v>3</v>
      </c>
      <c r="N582">
        <f t="shared" si="18"/>
        <v>0</v>
      </c>
      <c r="O582" t="str">
        <f xml:space="preserve"> VLOOKUP(A582, Lookup_Tables!$G$2:$H$6,2,TRUE)</f>
        <v>35-44</v>
      </c>
      <c r="P582" t="str">
        <f>_xlfn.XLOOKUP(J582,Lookup_Tables!$J$2:$J$4,Lookup_Tables!$K$2:$K$4, " ",-1)</f>
        <v>Low</v>
      </c>
      <c r="Q582" t="str">
        <f xml:space="preserve"> _xlfn.XLOOKUP(M582, Lookup_Tables!$M$2:$M$5,Lookup_Tables!$N$2:$N$5," ", -1)</f>
        <v>Early (2-5)</v>
      </c>
      <c r="R582" s="4">
        <f t="shared" si="19"/>
        <v>2.3333333333333335</v>
      </c>
      <c r="S582" t="str">
        <f xml:space="preserve"> _xlfn.XLOOKUP( E582, Lookup_Tables!$A$2:$A$6,Lookup_Tables!$B$2:$B$6," ", -1)</f>
        <v>Master</v>
      </c>
      <c r="T582" t="str">
        <f>_xlfn.XLOOKUP(G582,Lookup_Tables!$D$2:$D$5,Lookup_Tables!$E$2:$E$5)</f>
        <v>Low</v>
      </c>
      <c r="U582" t="str">
        <f>_xlfn.XLOOKUP(H582,Lookup_Tables!$D$2:$D$5,Lookup_Tables!$E$2:$E$5)</f>
        <v>Very High</v>
      </c>
      <c r="V582" t="str">
        <f>_xlfn.XLOOKUP(L582,Lookup_Tables!$D$2:$D$5,Lookup_Tables!$E$2:$E$5)</f>
        <v>Medium</v>
      </c>
    </row>
    <row r="583" spans="1:22">
      <c r="A583">
        <f>RAW_DATA!A583</f>
        <v>30</v>
      </c>
      <c r="B583" t="str">
        <f>RAW_DATA!B583</f>
        <v>No</v>
      </c>
      <c r="C583" t="str">
        <f>RAW_DATA!C583</f>
        <v>Research &amp; Development</v>
      </c>
      <c r="D583">
        <f>RAW_DATA!D583</f>
        <v>1</v>
      </c>
      <c r="E583">
        <f>RAW_DATA!E583</f>
        <v>3</v>
      </c>
      <c r="F583" t="str">
        <f>RAW_DATA!F583</f>
        <v>Life Sciences</v>
      </c>
      <c r="G583">
        <f>RAW_DATA!G583</f>
        <v>4</v>
      </c>
      <c r="H583">
        <f>RAW_DATA!H583</f>
        <v>3</v>
      </c>
      <c r="I583" t="str">
        <f>RAW_DATA!I583</f>
        <v>Married</v>
      </c>
      <c r="J583">
        <f>RAW_DATA!J583</f>
        <v>3833</v>
      </c>
      <c r="K583">
        <f>RAW_DATA!K583</f>
        <v>3</v>
      </c>
      <c r="L583">
        <f>RAW_DATA!L583</f>
        <v>3</v>
      </c>
      <c r="M583">
        <f>RAW_DATA!M583</f>
        <v>2</v>
      </c>
      <c r="N583">
        <f t="shared" si="18"/>
        <v>0</v>
      </c>
      <c r="O583" t="str">
        <f xml:space="preserve"> VLOOKUP(A583, Lookup_Tables!$G$2:$H$6,2,TRUE)</f>
        <v>25-34</v>
      </c>
      <c r="P583" t="str">
        <f>_xlfn.XLOOKUP(J583,Lookup_Tables!$J$2:$J$4,Lookup_Tables!$K$2:$K$4, " ",-1)</f>
        <v>Medium</v>
      </c>
      <c r="Q583" t="str">
        <f xml:space="preserve"> _xlfn.XLOOKUP(M583, Lookup_Tables!$M$2:$M$5,Lookup_Tables!$N$2:$N$5," ", -1)</f>
        <v>Early (2-5)</v>
      </c>
      <c r="R583" s="4">
        <f t="shared" si="19"/>
        <v>3.3333333333333335</v>
      </c>
      <c r="S583" t="str">
        <f xml:space="preserve"> _xlfn.XLOOKUP( E583, Lookup_Tables!$A$2:$A$6,Lookup_Tables!$B$2:$B$6," ", -1)</f>
        <v>Bachelor</v>
      </c>
      <c r="T583" t="str">
        <f>_xlfn.XLOOKUP(G583,Lookup_Tables!$D$2:$D$5,Lookup_Tables!$E$2:$E$5)</f>
        <v>Very High</v>
      </c>
      <c r="U583" t="str">
        <f>_xlfn.XLOOKUP(H583,Lookup_Tables!$D$2:$D$5,Lookup_Tables!$E$2:$E$5)</f>
        <v>High</v>
      </c>
      <c r="V583" t="str">
        <f>_xlfn.XLOOKUP(L583,Lookup_Tables!$D$2:$D$5,Lookup_Tables!$E$2:$E$5)</f>
        <v>High</v>
      </c>
    </row>
    <row r="584" spans="1:22">
      <c r="A584">
        <f>RAW_DATA!A584</f>
        <v>40</v>
      </c>
      <c r="B584" t="str">
        <f>RAW_DATA!B584</f>
        <v>No</v>
      </c>
      <c r="C584" t="str">
        <f>RAW_DATA!C584</f>
        <v>Research &amp; Development</v>
      </c>
      <c r="D584">
        <f>RAW_DATA!D584</f>
        <v>2</v>
      </c>
      <c r="E584">
        <f>RAW_DATA!E584</f>
        <v>2</v>
      </c>
      <c r="F584" t="str">
        <f>RAW_DATA!F584</f>
        <v>Medical</v>
      </c>
      <c r="G584">
        <f>RAW_DATA!G584</f>
        <v>3</v>
      </c>
      <c r="H584">
        <f>RAW_DATA!H584</f>
        <v>2</v>
      </c>
      <c r="I584" t="str">
        <f>RAW_DATA!I584</f>
        <v>Married</v>
      </c>
      <c r="J584">
        <f>RAW_DATA!J584</f>
        <v>4244</v>
      </c>
      <c r="K584">
        <f>RAW_DATA!K584</f>
        <v>1</v>
      </c>
      <c r="L584">
        <f>RAW_DATA!L584</f>
        <v>3</v>
      </c>
      <c r="M584">
        <f>RAW_DATA!M584</f>
        <v>8</v>
      </c>
      <c r="N584">
        <f t="shared" si="18"/>
        <v>0</v>
      </c>
      <c r="O584" t="str">
        <f xml:space="preserve"> VLOOKUP(A584, Lookup_Tables!$G$2:$H$6,2,TRUE)</f>
        <v>35-44</v>
      </c>
      <c r="P584" t="str">
        <f>_xlfn.XLOOKUP(J584,Lookup_Tables!$J$2:$J$4,Lookup_Tables!$K$2:$K$4, " ",-1)</f>
        <v>Medium</v>
      </c>
      <c r="Q584" t="str">
        <f xml:space="preserve"> _xlfn.XLOOKUP(M584, Lookup_Tables!$M$2:$M$5,Lookup_Tables!$N$2:$N$5," ", -1)</f>
        <v>Established (5-10)</v>
      </c>
      <c r="R584" s="4">
        <f t="shared" si="19"/>
        <v>2.6666666666666665</v>
      </c>
      <c r="S584" t="str">
        <f xml:space="preserve"> _xlfn.XLOOKUP( E584, Lookup_Tables!$A$2:$A$6,Lookup_Tables!$B$2:$B$6," ", -1)</f>
        <v>College</v>
      </c>
      <c r="T584" t="str">
        <f>_xlfn.XLOOKUP(G584,Lookup_Tables!$D$2:$D$5,Lookup_Tables!$E$2:$E$5)</f>
        <v>High</v>
      </c>
      <c r="U584" t="str">
        <f>_xlfn.XLOOKUP(H584,Lookup_Tables!$D$2:$D$5,Lookup_Tables!$E$2:$E$5)</f>
        <v>Medium</v>
      </c>
      <c r="V584" t="str">
        <f>_xlfn.XLOOKUP(L584,Lookup_Tables!$D$2:$D$5,Lookup_Tables!$E$2:$E$5)</f>
        <v>High</v>
      </c>
    </row>
    <row r="585" spans="1:22">
      <c r="A585">
        <f>RAW_DATA!A585</f>
        <v>34</v>
      </c>
      <c r="B585" t="str">
        <f>RAW_DATA!B585</f>
        <v>No</v>
      </c>
      <c r="C585" t="str">
        <f>RAW_DATA!C585</f>
        <v>Sales</v>
      </c>
      <c r="D585">
        <f>RAW_DATA!D585</f>
        <v>8</v>
      </c>
      <c r="E585">
        <f>RAW_DATA!E585</f>
        <v>2</v>
      </c>
      <c r="F585" t="str">
        <f>RAW_DATA!F585</f>
        <v>Life Sciences</v>
      </c>
      <c r="G585">
        <f>RAW_DATA!G585</f>
        <v>3</v>
      </c>
      <c r="H585">
        <f>RAW_DATA!H585</f>
        <v>1</v>
      </c>
      <c r="I585" t="str">
        <f>RAW_DATA!I585</f>
        <v>Married</v>
      </c>
      <c r="J585">
        <f>RAW_DATA!J585</f>
        <v>6500</v>
      </c>
      <c r="K585">
        <f>RAW_DATA!K585</f>
        <v>5</v>
      </c>
      <c r="L585">
        <f>RAW_DATA!L585</f>
        <v>3</v>
      </c>
      <c r="M585">
        <f>RAW_DATA!M585</f>
        <v>3</v>
      </c>
      <c r="N585">
        <f t="shared" si="18"/>
        <v>0</v>
      </c>
      <c r="O585" t="str">
        <f xml:space="preserve"> VLOOKUP(A585, Lookup_Tables!$G$2:$H$6,2,TRUE)</f>
        <v>25-34</v>
      </c>
      <c r="P585" t="str">
        <f>_xlfn.XLOOKUP(J585,Lookup_Tables!$J$2:$J$4,Lookup_Tables!$K$2:$K$4, " ",-1)</f>
        <v>Medium</v>
      </c>
      <c r="Q585" t="str">
        <f xml:space="preserve"> _xlfn.XLOOKUP(M585, Lookup_Tables!$M$2:$M$5,Lookup_Tables!$N$2:$N$5," ", -1)</f>
        <v>Early (2-5)</v>
      </c>
      <c r="R585" s="4">
        <f t="shared" si="19"/>
        <v>2.3333333333333335</v>
      </c>
      <c r="S585" t="str">
        <f xml:space="preserve"> _xlfn.XLOOKUP( E585, Lookup_Tables!$A$2:$A$6,Lookup_Tables!$B$2:$B$6," ", -1)</f>
        <v>College</v>
      </c>
      <c r="T585" t="str">
        <f>_xlfn.XLOOKUP(G585,Lookup_Tables!$D$2:$D$5,Lookup_Tables!$E$2:$E$5)</f>
        <v>High</v>
      </c>
      <c r="U585" t="str">
        <f>_xlfn.XLOOKUP(H585,Lookup_Tables!$D$2:$D$5,Lookup_Tables!$E$2:$E$5)</f>
        <v>Low</v>
      </c>
      <c r="V585" t="str">
        <f>_xlfn.XLOOKUP(L585,Lookup_Tables!$D$2:$D$5,Lookup_Tables!$E$2:$E$5)</f>
        <v>High</v>
      </c>
    </row>
    <row r="586" spans="1:22">
      <c r="A586">
        <f>RAW_DATA!A586</f>
        <v>42</v>
      </c>
      <c r="B586" t="str">
        <f>RAW_DATA!B586</f>
        <v>No</v>
      </c>
      <c r="C586" t="str">
        <f>RAW_DATA!C586</f>
        <v>Research &amp; Development</v>
      </c>
      <c r="D586">
        <f>RAW_DATA!D586</f>
        <v>8</v>
      </c>
      <c r="E586">
        <f>RAW_DATA!E586</f>
        <v>3</v>
      </c>
      <c r="F586" t="str">
        <f>RAW_DATA!F586</f>
        <v>Life Sciences</v>
      </c>
      <c r="G586">
        <f>RAW_DATA!G586</f>
        <v>2</v>
      </c>
      <c r="H586">
        <f>RAW_DATA!H586</f>
        <v>4</v>
      </c>
      <c r="I586" t="str">
        <f>RAW_DATA!I586</f>
        <v>Divorced</v>
      </c>
      <c r="J586">
        <f>RAW_DATA!J586</f>
        <v>18430</v>
      </c>
      <c r="K586">
        <f>RAW_DATA!K586</f>
        <v>1</v>
      </c>
      <c r="L586">
        <f>RAW_DATA!L586</f>
        <v>2</v>
      </c>
      <c r="M586">
        <f>RAW_DATA!M586</f>
        <v>24</v>
      </c>
      <c r="N586">
        <f t="shared" si="18"/>
        <v>0</v>
      </c>
      <c r="O586" t="str">
        <f xml:space="preserve"> VLOOKUP(A586, Lookup_Tables!$G$2:$H$6,2,TRUE)</f>
        <v>35-44</v>
      </c>
      <c r="P586" t="str">
        <f>_xlfn.XLOOKUP(J586,Lookup_Tables!$J$2:$J$4,Lookup_Tables!$K$2:$K$4, " ",-1)</f>
        <v>High</v>
      </c>
      <c r="Q586" t="str">
        <f xml:space="preserve"> _xlfn.XLOOKUP(M586, Lookup_Tables!$M$2:$M$5,Lookup_Tables!$N$2:$N$5," ", -1)</f>
        <v>Veteran (10+)</v>
      </c>
      <c r="R586" s="4">
        <f t="shared" si="19"/>
        <v>2.6666666666666665</v>
      </c>
      <c r="S586" t="str">
        <f xml:space="preserve"> _xlfn.XLOOKUP( E586, Lookup_Tables!$A$2:$A$6,Lookup_Tables!$B$2:$B$6," ", -1)</f>
        <v>Bachelor</v>
      </c>
      <c r="T586" t="str">
        <f>_xlfn.XLOOKUP(G586,Lookup_Tables!$D$2:$D$5,Lookup_Tables!$E$2:$E$5)</f>
        <v>Medium</v>
      </c>
      <c r="U586" t="str">
        <f>_xlfn.XLOOKUP(H586,Lookup_Tables!$D$2:$D$5,Lookup_Tables!$E$2:$E$5)</f>
        <v>Very High</v>
      </c>
      <c r="V586" t="str">
        <f>_xlfn.XLOOKUP(L586,Lookup_Tables!$D$2:$D$5,Lookup_Tables!$E$2:$E$5)</f>
        <v>Medium</v>
      </c>
    </row>
    <row r="587" spans="1:22">
      <c r="A587">
        <f>RAW_DATA!A587</f>
        <v>23</v>
      </c>
      <c r="B587" t="str">
        <f>RAW_DATA!B587</f>
        <v>Yes</v>
      </c>
      <c r="C587" t="str">
        <f>RAW_DATA!C587</f>
        <v>Research &amp; Development</v>
      </c>
      <c r="D587">
        <f>RAW_DATA!D587</f>
        <v>6</v>
      </c>
      <c r="E587">
        <f>RAW_DATA!E587</f>
        <v>3</v>
      </c>
      <c r="F587" t="str">
        <f>RAW_DATA!F587</f>
        <v>Life Sciences</v>
      </c>
      <c r="G587">
        <f>RAW_DATA!G587</f>
        <v>3</v>
      </c>
      <c r="H587">
        <f>RAW_DATA!H587</f>
        <v>1</v>
      </c>
      <c r="I587" t="str">
        <f>RAW_DATA!I587</f>
        <v>Married</v>
      </c>
      <c r="J587">
        <f>RAW_DATA!J587</f>
        <v>1601</v>
      </c>
      <c r="K587">
        <f>RAW_DATA!K587</f>
        <v>1</v>
      </c>
      <c r="L587">
        <f>RAW_DATA!L587</f>
        <v>3</v>
      </c>
      <c r="M587">
        <f>RAW_DATA!M587</f>
        <v>0</v>
      </c>
      <c r="N587">
        <f t="shared" si="18"/>
        <v>1</v>
      </c>
      <c r="O587" t="str">
        <f xml:space="preserve"> VLOOKUP(A587, Lookup_Tables!$G$2:$H$6,2,TRUE)</f>
        <v>&lt;25</v>
      </c>
      <c r="P587" t="str">
        <f>_xlfn.XLOOKUP(J587,Lookup_Tables!$J$2:$J$4,Lookup_Tables!$K$2:$K$4, " ",-1)</f>
        <v>Low</v>
      </c>
      <c r="Q587" t="str">
        <f xml:space="preserve"> _xlfn.XLOOKUP(M587, Lookup_Tables!$M$2:$M$5,Lookup_Tables!$N$2:$N$5," ", -1)</f>
        <v>New (0-2)</v>
      </c>
      <c r="R587" s="4">
        <f t="shared" si="19"/>
        <v>2.3333333333333335</v>
      </c>
      <c r="S587" t="str">
        <f xml:space="preserve"> _xlfn.XLOOKUP( E587, Lookup_Tables!$A$2:$A$6,Lookup_Tables!$B$2:$B$6," ", -1)</f>
        <v>Bachelor</v>
      </c>
      <c r="T587" t="str">
        <f>_xlfn.XLOOKUP(G587,Lookup_Tables!$D$2:$D$5,Lookup_Tables!$E$2:$E$5)</f>
        <v>High</v>
      </c>
      <c r="U587" t="str">
        <f>_xlfn.XLOOKUP(H587,Lookup_Tables!$D$2:$D$5,Lookup_Tables!$E$2:$E$5)</f>
        <v>Low</v>
      </c>
      <c r="V587" t="str">
        <f>_xlfn.XLOOKUP(L587,Lookup_Tables!$D$2:$D$5,Lookup_Tables!$E$2:$E$5)</f>
        <v>High</v>
      </c>
    </row>
    <row r="588" spans="1:22">
      <c r="A588">
        <f>RAW_DATA!A588</f>
        <v>24</v>
      </c>
      <c r="B588" t="str">
        <f>RAW_DATA!B588</f>
        <v>No</v>
      </c>
      <c r="C588" t="str">
        <f>RAW_DATA!C588</f>
        <v>Research &amp; Development</v>
      </c>
      <c r="D588">
        <f>RAW_DATA!D588</f>
        <v>9</v>
      </c>
      <c r="E588">
        <f>RAW_DATA!E588</f>
        <v>3</v>
      </c>
      <c r="F588" t="str">
        <f>RAW_DATA!F588</f>
        <v>Life Sciences</v>
      </c>
      <c r="G588">
        <f>RAW_DATA!G588</f>
        <v>3</v>
      </c>
      <c r="H588">
        <f>RAW_DATA!H588</f>
        <v>2</v>
      </c>
      <c r="I588" t="str">
        <f>RAW_DATA!I588</f>
        <v>Divorced</v>
      </c>
      <c r="J588">
        <f>RAW_DATA!J588</f>
        <v>2694</v>
      </c>
      <c r="K588">
        <f>RAW_DATA!K588</f>
        <v>1</v>
      </c>
      <c r="L588">
        <f>RAW_DATA!L588</f>
        <v>3</v>
      </c>
      <c r="M588">
        <f>RAW_DATA!M588</f>
        <v>1</v>
      </c>
      <c r="N588">
        <f t="shared" si="18"/>
        <v>0</v>
      </c>
      <c r="O588" t="str">
        <f xml:space="preserve"> VLOOKUP(A588, Lookup_Tables!$G$2:$H$6,2,TRUE)</f>
        <v>&lt;25</v>
      </c>
      <c r="P588" t="str">
        <f>_xlfn.XLOOKUP(J588,Lookup_Tables!$J$2:$J$4,Lookup_Tables!$K$2:$K$4, " ",-1)</f>
        <v>Low</v>
      </c>
      <c r="Q588" t="str">
        <f xml:space="preserve"> _xlfn.XLOOKUP(M588, Lookup_Tables!$M$2:$M$5,Lookup_Tables!$N$2:$N$5," ", -1)</f>
        <v>New (0-2)</v>
      </c>
      <c r="R588" s="4">
        <f t="shared" si="19"/>
        <v>2.6666666666666665</v>
      </c>
      <c r="S588" t="str">
        <f xml:space="preserve"> _xlfn.XLOOKUP( E588, Lookup_Tables!$A$2:$A$6,Lookup_Tables!$B$2:$B$6," ", -1)</f>
        <v>Bachelor</v>
      </c>
      <c r="T588" t="str">
        <f>_xlfn.XLOOKUP(G588,Lookup_Tables!$D$2:$D$5,Lookup_Tables!$E$2:$E$5)</f>
        <v>High</v>
      </c>
      <c r="U588" t="str">
        <f>_xlfn.XLOOKUP(H588,Lookup_Tables!$D$2:$D$5,Lookup_Tables!$E$2:$E$5)</f>
        <v>Medium</v>
      </c>
      <c r="V588" t="str">
        <f>_xlfn.XLOOKUP(L588,Lookup_Tables!$D$2:$D$5,Lookup_Tables!$E$2:$E$5)</f>
        <v>High</v>
      </c>
    </row>
    <row r="589" spans="1:22">
      <c r="A589">
        <f>RAW_DATA!A589</f>
        <v>52</v>
      </c>
      <c r="B589" t="str">
        <f>RAW_DATA!B589</f>
        <v>No</v>
      </c>
      <c r="C589" t="str">
        <f>RAW_DATA!C589</f>
        <v>Research &amp; Development</v>
      </c>
      <c r="D589">
        <f>RAW_DATA!D589</f>
        <v>11</v>
      </c>
      <c r="E589">
        <f>RAW_DATA!E589</f>
        <v>4</v>
      </c>
      <c r="F589" t="str">
        <f>RAW_DATA!F589</f>
        <v>Life Sciences</v>
      </c>
      <c r="G589">
        <f>RAW_DATA!G589</f>
        <v>4</v>
      </c>
      <c r="H589">
        <f>RAW_DATA!H589</f>
        <v>3</v>
      </c>
      <c r="I589" t="str">
        <f>RAW_DATA!I589</f>
        <v>Married</v>
      </c>
      <c r="J589">
        <f>RAW_DATA!J589</f>
        <v>3149</v>
      </c>
      <c r="K589">
        <f>RAW_DATA!K589</f>
        <v>8</v>
      </c>
      <c r="L589">
        <f>RAW_DATA!L589</f>
        <v>3</v>
      </c>
      <c r="M589">
        <f>RAW_DATA!M589</f>
        <v>5</v>
      </c>
      <c r="N589">
        <f t="shared" si="18"/>
        <v>0</v>
      </c>
      <c r="O589" t="str">
        <f xml:space="preserve"> VLOOKUP(A589, Lookup_Tables!$G$2:$H$6,2,TRUE)</f>
        <v>45-54</v>
      </c>
      <c r="P589" t="str">
        <f>_xlfn.XLOOKUP(J589,Lookup_Tables!$J$2:$J$4,Lookup_Tables!$K$2:$K$4, " ",-1)</f>
        <v>Medium</v>
      </c>
      <c r="Q589" t="str">
        <f xml:space="preserve"> _xlfn.XLOOKUP(M589, Lookup_Tables!$M$2:$M$5,Lookup_Tables!$N$2:$N$5," ", -1)</f>
        <v>Established (5-10)</v>
      </c>
      <c r="R589" s="4">
        <f t="shared" si="19"/>
        <v>3.3333333333333335</v>
      </c>
      <c r="S589" t="str">
        <f xml:space="preserve"> _xlfn.XLOOKUP( E589, Lookup_Tables!$A$2:$A$6,Lookup_Tables!$B$2:$B$6," ", -1)</f>
        <v>Master</v>
      </c>
      <c r="T589" t="str">
        <f>_xlfn.XLOOKUP(G589,Lookup_Tables!$D$2:$D$5,Lookup_Tables!$E$2:$E$5)</f>
        <v>Very High</v>
      </c>
      <c r="U589" t="str">
        <f>_xlfn.XLOOKUP(H589,Lookup_Tables!$D$2:$D$5,Lookup_Tables!$E$2:$E$5)</f>
        <v>High</v>
      </c>
      <c r="V589" t="str">
        <f>_xlfn.XLOOKUP(L589,Lookup_Tables!$D$2:$D$5,Lookup_Tables!$E$2:$E$5)</f>
        <v>High</v>
      </c>
    </row>
    <row r="590" spans="1:22">
      <c r="A590">
        <f>RAW_DATA!A590</f>
        <v>50</v>
      </c>
      <c r="B590" t="str">
        <f>RAW_DATA!B590</f>
        <v>No</v>
      </c>
      <c r="C590" t="str">
        <f>RAW_DATA!C590</f>
        <v>Research &amp; Development</v>
      </c>
      <c r="D590">
        <f>RAW_DATA!D590</f>
        <v>2</v>
      </c>
      <c r="E590">
        <f>RAW_DATA!E590</f>
        <v>3</v>
      </c>
      <c r="F590" t="str">
        <f>RAW_DATA!F590</f>
        <v>Medical</v>
      </c>
      <c r="G590">
        <f>RAW_DATA!G590</f>
        <v>3</v>
      </c>
      <c r="H590">
        <f>RAW_DATA!H590</f>
        <v>3</v>
      </c>
      <c r="I590" t="str">
        <f>RAW_DATA!I590</f>
        <v>Married</v>
      </c>
      <c r="J590">
        <f>RAW_DATA!J590</f>
        <v>17639</v>
      </c>
      <c r="K590">
        <f>RAW_DATA!K590</f>
        <v>5</v>
      </c>
      <c r="L590">
        <f>RAW_DATA!L590</f>
        <v>3</v>
      </c>
      <c r="M590">
        <f>RAW_DATA!M590</f>
        <v>4</v>
      </c>
      <c r="N590">
        <f t="shared" si="18"/>
        <v>0</v>
      </c>
      <c r="O590" t="str">
        <f xml:space="preserve"> VLOOKUP(A590, Lookup_Tables!$G$2:$H$6,2,TRUE)</f>
        <v>45-54</v>
      </c>
      <c r="P590" t="str">
        <f>_xlfn.XLOOKUP(J590,Lookup_Tables!$J$2:$J$4,Lookup_Tables!$K$2:$K$4, " ",-1)</f>
        <v>High</v>
      </c>
      <c r="Q590" t="str">
        <f xml:space="preserve"> _xlfn.XLOOKUP(M590, Lookup_Tables!$M$2:$M$5,Lookup_Tables!$N$2:$N$5," ", -1)</f>
        <v>Early (2-5)</v>
      </c>
      <c r="R590" s="4">
        <f t="shared" si="19"/>
        <v>3</v>
      </c>
      <c r="S590" t="str">
        <f xml:space="preserve"> _xlfn.XLOOKUP( E590, Lookup_Tables!$A$2:$A$6,Lookup_Tables!$B$2:$B$6," ", -1)</f>
        <v>Bachelor</v>
      </c>
      <c r="T590" t="str">
        <f>_xlfn.XLOOKUP(G590,Lookup_Tables!$D$2:$D$5,Lookup_Tables!$E$2:$E$5)</f>
        <v>High</v>
      </c>
      <c r="U590" t="str">
        <f>_xlfn.XLOOKUP(H590,Lookup_Tables!$D$2:$D$5,Lookup_Tables!$E$2:$E$5)</f>
        <v>High</v>
      </c>
      <c r="V590" t="str">
        <f>_xlfn.XLOOKUP(L590,Lookup_Tables!$D$2:$D$5,Lookup_Tables!$E$2:$E$5)</f>
        <v>High</v>
      </c>
    </row>
    <row r="591" spans="1:22">
      <c r="A591">
        <f>RAW_DATA!A591</f>
        <v>29</v>
      </c>
      <c r="B591" t="str">
        <f>RAW_DATA!B591</f>
        <v>Yes</v>
      </c>
      <c r="C591" t="str">
        <f>RAW_DATA!C591</f>
        <v>Research &amp; Development</v>
      </c>
      <c r="D591">
        <f>RAW_DATA!D591</f>
        <v>1</v>
      </c>
      <c r="E591">
        <f>RAW_DATA!E591</f>
        <v>2</v>
      </c>
      <c r="F591" t="str">
        <f>RAW_DATA!F591</f>
        <v>Life Sciences</v>
      </c>
      <c r="G591">
        <f>RAW_DATA!G591</f>
        <v>2</v>
      </c>
      <c r="H591">
        <f>RAW_DATA!H591</f>
        <v>1</v>
      </c>
      <c r="I591" t="str">
        <f>RAW_DATA!I591</f>
        <v>Married</v>
      </c>
      <c r="J591">
        <f>RAW_DATA!J591</f>
        <v>2319</v>
      </c>
      <c r="K591">
        <f>RAW_DATA!K591</f>
        <v>1</v>
      </c>
      <c r="L591">
        <f>RAW_DATA!L591</f>
        <v>3</v>
      </c>
      <c r="M591">
        <f>RAW_DATA!M591</f>
        <v>1</v>
      </c>
      <c r="N591">
        <f t="shared" si="18"/>
        <v>1</v>
      </c>
      <c r="O591" t="str">
        <f xml:space="preserve"> VLOOKUP(A591, Lookup_Tables!$G$2:$H$6,2,TRUE)</f>
        <v>25-34</v>
      </c>
      <c r="P591" t="str">
        <f>_xlfn.XLOOKUP(J591,Lookup_Tables!$J$2:$J$4,Lookup_Tables!$K$2:$K$4, " ",-1)</f>
        <v>Low</v>
      </c>
      <c r="Q591" t="str">
        <f xml:space="preserve"> _xlfn.XLOOKUP(M591, Lookup_Tables!$M$2:$M$5,Lookup_Tables!$N$2:$N$5," ", -1)</f>
        <v>New (0-2)</v>
      </c>
      <c r="R591" s="4">
        <f t="shared" si="19"/>
        <v>2</v>
      </c>
      <c r="S591" t="str">
        <f xml:space="preserve"> _xlfn.XLOOKUP( E591, Lookup_Tables!$A$2:$A$6,Lookup_Tables!$B$2:$B$6," ", -1)</f>
        <v>College</v>
      </c>
      <c r="T591" t="str">
        <f>_xlfn.XLOOKUP(G591,Lookup_Tables!$D$2:$D$5,Lookup_Tables!$E$2:$E$5)</f>
        <v>Medium</v>
      </c>
      <c r="U591" t="str">
        <f>_xlfn.XLOOKUP(H591,Lookup_Tables!$D$2:$D$5,Lookup_Tables!$E$2:$E$5)</f>
        <v>Low</v>
      </c>
      <c r="V591" t="str">
        <f>_xlfn.XLOOKUP(L591,Lookup_Tables!$D$2:$D$5,Lookup_Tables!$E$2:$E$5)</f>
        <v>High</v>
      </c>
    </row>
    <row r="592" spans="1:22">
      <c r="A592">
        <f>RAW_DATA!A592</f>
        <v>33</v>
      </c>
      <c r="B592" t="str">
        <f>RAW_DATA!B592</f>
        <v>No</v>
      </c>
      <c r="C592" t="str">
        <f>RAW_DATA!C592</f>
        <v>Research &amp; Development</v>
      </c>
      <c r="D592">
        <f>RAW_DATA!D592</f>
        <v>7</v>
      </c>
      <c r="E592">
        <f>RAW_DATA!E592</f>
        <v>3</v>
      </c>
      <c r="F592" t="str">
        <f>RAW_DATA!F592</f>
        <v>Medical</v>
      </c>
      <c r="G592">
        <f>RAW_DATA!G592</f>
        <v>3</v>
      </c>
      <c r="H592">
        <f>RAW_DATA!H592</f>
        <v>3</v>
      </c>
      <c r="I592" t="str">
        <f>RAW_DATA!I592</f>
        <v>Married</v>
      </c>
      <c r="J592">
        <f>RAW_DATA!J592</f>
        <v>11691</v>
      </c>
      <c r="K592">
        <f>RAW_DATA!K592</f>
        <v>0</v>
      </c>
      <c r="L592">
        <f>RAW_DATA!L592</f>
        <v>4</v>
      </c>
      <c r="M592">
        <f>RAW_DATA!M592</f>
        <v>13</v>
      </c>
      <c r="N592">
        <f t="shared" si="18"/>
        <v>0</v>
      </c>
      <c r="O592" t="str">
        <f xml:space="preserve"> VLOOKUP(A592, Lookup_Tables!$G$2:$H$6,2,TRUE)</f>
        <v>25-34</v>
      </c>
      <c r="P592" t="str">
        <f>_xlfn.XLOOKUP(J592,Lookup_Tables!$J$2:$J$4,Lookup_Tables!$K$2:$K$4, " ",-1)</f>
        <v>High</v>
      </c>
      <c r="Q592" t="str">
        <f xml:space="preserve"> _xlfn.XLOOKUP(M592, Lookup_Tables!$M$2:$M$5,Lookup_Tables!$N$2:$N$5," ", -1)</f>
        <v>Veteran (10+)</v>
      </c>
      <c r="R592" s="4">
        <f t="shared" si="19"/>
        <v>3.3333333333333335</v>
      </c>
      <c r="S592" t="str">
        <f xml:space="preserve"> _xlfn.XLOOKUP( E592, Lookup_Tables!$A$2:$A$6,Lookup_Tables!$B$2:$B$6," ", -1)</f>
        <v>Bachelor</v>
      </c>
      <c r="T592" t="str">
        <f>_xlfn.XLOOKUP(G592,Lookup_Tables!$D$2:$D$5,Lookup_Tables!$E$2:$E$5)</f>
        <v>High</v>
      </c>
      <c r="U592" t="str">
        <f>_xlfn.XLOOKUP(H592,Lookup_Tables!$D$2:$D$5,Lookup_Tables!$E$2:$E$5)</f>
        <v>High</v>
      </c>
      <c r="V592" t="str">
        <f>_xlfn.XLOOKUP(L592,Lookup_Tables!$D$2:$D$5,Lookup_Tables!$E$2:$E$5)</f>
        <v>Very High</v>
      </c>
    </row>
    <row r="593" spans="1:22">
      <c r="A593">
        <f>RAW_DATA!A593</f>
        <v>33</v>
      </c>
      <c r="B593" t="str">
        <f>RAW_DATA!B593</f>
        <v>Yes</v>
      </c>
      <c r="C593" t="str">
        <f>RAW_DATA!C593</f>
        <v>Sales</v>
      </c>
      <c r="D593">
        <f>RAW_DATA!D593</f>
        <v>16</v>
      </c>
      <c r="E593">
        <f>RAW_DATA!E593</f>
        <v>3</v>
      </c>
      <c r="F593" t="str">
        <f>RAW_DATA!F593</f>
        <v>Marketing</v>
      </c>
      <c r="G593">
        <f>RAW_DATA!G593</f>
        <v>1</v>
      </c>
      <c r="H593">
        <f>RAW_DATA!H593</f>
        <v>1</v>
      </c>
      <c r="I593" t="str">
        <f>RAW_DATA!I593</f>
        <v>Single</v>
      </c>
      <c r="J593">
        <f>RAW_DATA!J593</f>
        <v>5324</v>
      </c>
      <c r="K593">
        <f>RAW_DATA!K593</f>
        <v>5</v>
      </c>
      <c r="L593">
        <f>RAW_DATA!L593</f>
        <v>3</v>
      </c>
      <c r="M593">
        <f>RAW_DATA!M593</f>
        <v>3</v>
      </c>
      <c r="N593">
        <f t="shared" si="18"/>
        <v>1</v>
      </c>
      <c r="O593" t="str">
        <f xml:space="preserve"> VLOOKUP(A593, Lookup_Tables!$G$2:$H$6,2,TRUE)</f>
        <v>25-34</v>
      </c>
      <c r="P593" t="str">
        <f>_xlfn.XLOOKUP(J593,Lookup_Tables!$J$2:$J$4,Lookup_Tables!$K$2:$K$4, " ",-1)</f>
        <v>Medium</v>
      </c>
      <c r="Q593" t="str">
        <f xml:space="preserve"> _xlfn.XLOOKUP(M593, Lookup_Tables!$M$2:$M$5,Lookup_Tables!$N$2:$N$5," ", -1)</f>
        <v>Early (2-5)</v>
      </c>
      <c r="R593" s="4">
        <f t="shared" si="19"/>
        <v>1.6666666666666667</v>
      </c>
      <c r="S593" t="str">
        <f xml:space="preserve"> _xlfn.XLOOKUP( E593, Lookup_Tables!$A$2:$A$6,Lookup_Tables!$B$2:$B$6," ", -1)</f>
        <v>Bachelor</v>
      </c>
      <c r="T593" t="str">
        <f>_xlfn.XLOOKUP(G593,Lookup_Tables!$D$2:$D$5,Lookup_Tables!$E$2:$E$5)</f>
        <v>Low</v>
      </c>
      <c r="U593" t="str">
        <f>_xlfn.XLOOKUP(H593,Lookup_Tables!$D$2:$D$5,Lookup_Tables!$E$2:$E$5)</f>
        <v>Low</v>
      </c>
      <c r="V593" t="str">
        <f>_xlfn.XLOOKUP(L593,Lookup_Tables!$D$2:$D$5,Lookup_Tables!$E$2:$E$5)</f>
        <v>High</v>
      </c>
    </row>
    <row r="594" spans="1:22">
      <c r="A594">
        <f>RAW_DATA!A594</f>
        <v>47</v>
      </c>
      <c r="B594" t="str">
        <f>RAW_DATA!B594</f>
        <v>No</v>
      </c>
      <c r="C594" t="str">
        <f>RAW_DATA!C594</f>
        <v>Research &amp; Development</v>
      </c>
      <c r="D594">
        <f>RAW_DATA!D594</f>
        <v>2</v>
      </c>
      <c r="E594">
        <f>RAW_DATA!E594</f>
        <v>2</v>
      </c>
      <c r="F594" t="str">
        <f>RAW_DATA!F594</f>
        <v>Other</v>
      </c>
      <c r="G594">
        <f>RAW_DATA!G594</f>
        <v>3</v>
      </c>
      <c r="H594">
        <f>RAW_DATA!H594</f>
        <v>4</v>
      </c>
      <c r="I594" t="str">
        <f>RAW_DATA!I594</f>
        <v>Married</v>
      </c>
      <c r="J594">
        <f>RAW_DATA!J594</f>
        <v>16752</v>
      </c>
      <c r="K594">
        <f>RAW_DATA!K594</f>
        <v>1</v>
      </c>
      <c r="L594">
        <f>RAW_DATA!L594</f>
        <v>2</v>
      </c>
      <c r="M594">
        <f>RAW_DATA!M594</f>
        <v>26</v>
      </c>
      <c r="N594">
        <f t="shared" si="18"/>
        <v>0</v>
      </c>
      <c r="O594" t="str">
        <f xml:space="preserve"> VLOOKUP(A594, Lookup_Tables!$G$2:$H$6,2,TRUE)</f>
        <v>45-54</v>
      </c>
      <c r="P594" t="str">
        <f>_xlfn.XLOOKUP(J594,Lookup_Tables!$J$2:$J$4,Lookup_Tables!$K$2:$K$4, " ",-1)</f>
        <v>High</v>
      </c>
      <c r="Q594" t="str">
        <f xml:space="preserve"> _xlfn.XLOOKUP(M594, Lookup_Tables!$M$2:$M$5,Lookup_Tables!$N$2:$N$5," ", -1)</f>
        <v>Veteran (10+)</v>
      </c>
      <c r="R594" s="4">
        <f t="shared" si="19"/>
        <v>3</v>
      </c>
      <c r="S594" t="str">
        <f xml:space="preserve"> _xlfn.XLOOKUP( E594, Lookup_Tables!$A$2:$A$6,Lookup_Tables!$B$2:$B$6," ", -1)</f>
        <v>College</v>
      </c>
      <c r="T594" t="str">
        <f>_xlfn.XLOOKUP(G594,Lookup_Tables!$D$2:$D$5,Lookup_Tables!$E$2:$E$5)</f>
        <v>High</v>
      </c>
      <c r="U594" t="str">
        <f>_xlfn.XLOOKUP(H594,Lookup_Tables!$D$2:$D$5,Lookup_Tables!$E$2:$E$5)</f>
        <v>Very High</v>
      </c>
      <c r="V594" t="str">
        <f>_xlfn.XLOOKUP(L594,Lookup_Tables!$D$2:$D$5,Lookup_Tables!$E$2:$E$5)</f>
        <v>Medium</v>
      </c>
    </row>
    <row r="595" spans="1:22">
      <c r="A595">
        <f>RAW_DATA!A595</f>
        <v>36</v>
      </c>
      <c r="B595" t="str">
        <f>RAW_DATA!B595</f>
        <v>No</v>
      </c>
      <c r="C595" t="str">
        <f>RAW_DATA!C595</f>
        <v>Research &amp; Development</v>
      </c>
      <c r="D595">
        <f>RAW_DATA!D595</f>
        <v>1</v>
      </c>
      <c r="E595">
        <f>RAW_DATA!E595</f>
        <v>3</v>
      </c>
      <c r="F595" t="str">
        <f>RAW_DATA!F595</f>
        <v>Other</v>
      </c>
      <c r="G595">
        <f>RAW_DATA!G595</f>
        <v>3</v>
      </c>
      <c r="H595">
        <f>RAW_DATA!H595</f>
        <v>2</v>
      </c>
      <c r="I595" t="str">
        <f>RAW_DATA!I595</f>
        <v>Married</v>
      </c>
      <c r="J595">
        <f>RAW_DATA!J595</f>
        <v>5228</v>
      </c>
      <c r="K595">
        <f>RAW_DATA!K595</f>
        <v>0</v>
      </c>
      <c r="L595">
        <f>RAW_DATA!L595</f>
        <v>3</v>
      </c>
      <c r="M595">
        <f>RAW_DATA!M595</f>
        <v>9</v>
      </c>
      <c r="N595">
        <f t="shared" si="18"/>
        <v>0</v>
      </c>
      <c r="O595" t="str">
        <f xml:space="preserve"> VLOOKUP(A595, Lookup_Tables!$G$2:$H$6,2,TRUE)</f>
        <v>35-44</v>
      </c>
      <c r="P595" t="str">
        <f>_xlfn.XLOOKUP(J595,Lookup_Tables!$J$2:$J$4,Lookup_Tables!$K$2:$K$4, " ",-1)</f>
        <v>Medium</v>
      </c>
      <c r="Q595" t="str">
        <f xml:space="preserve"> _xlfn.XLOOKUP(M595, Lookup_Tables!$M$2:$M$5,Lookup_Tables!$N$2:$N$5," ", -1)</f>
        <v>Established (5-10)</v>
      </c>
      <c r="R595" s="4">
        <f t="shared" si="19"/>
        <v>2.6666666666666665</v>
      </c>
      <c r="S595" t="str">
        <f xml:space="preserve"> _xlfn.XLOOKUP( E595, Lookup_Tables!$A$2:$A$6,Lookup_Tables!$B$2:$B$6," ", -1)</f>
        <v>Bachelor</v>
      </c>
      <c r="T595" t="str">
        <f>_xlfn.XLOOKUP(G595,Lookup_Tables!$D$2:$D$5,Lookup_Tables!$E$2:$E$5)</f>
        <v>High</v>
      </c>
      <c r="U595" t="str">
        <f>_xlfn.XLOOKUP(H595,Lookup_Tables!$D$2:$D$5,Lookup_Tables!$E$2:$E$5)</f>
        <v>Medium</v>
      </c>
      <c r="V595" t="str">
        <f>_xlfn.XLOOKUP(L595,Lookup_Tables!$D$2:$D$5,Lookup_Tables!$E$2:$E$5)</f>
        <v>High</v>
      </c>
    </row>
    <row r="596" spans="1:22">
      <c r="A596">
        <f>RAW_DATA!A596</f>
        <v>29</v>
      </c>
      <c r="B596" t="str">
        <f>RAW_DATA!B596</f>
        <v>No</v>
      </c>
      <c r="C596" t="str">
        <f>RAW_DATA!C596</f>
        <v>Research &amp; Development</v>
      </c>
      <c r="D596">
        <f>RAW_DATA!D596</f>
        <v>23</v>
      </c>
      <c r="E596">
        <f>RAW_DATA!E596</f>
        <v>2</v>
      </c>
      <c r="F596" t="str">
        <f>RAW_DATA!F596</f>
        <v>Life Sciences</v>
      </c>
      <c r="G596">
        <f>RAW_DATA!G596</f>
        <v>3</v>
      </c>
      <c r="H596">
        <f>RAW_DATA!H596</f>
        <v>3</v>
      </c>
      <c r="I596" t="str">
        <f>RAW_DATA!I596</f>
        <v>Married</v>
      </c>
      <c r="J596">
        <f>RAW_DATA!J596</f>
        <v>2700</v>
      </c>
      <c r="K596">
        <f>RAW_DATA!K596</f>
        <v>1</v>
      </c>
      <c r="L596">
        <f>RAW_DATA!L596</f>
        <v>3</v>
      </c>
      <c r="M596">
        <f>RAW_DATA!M596</f>
        <v>10</v>
      </c>
      <c r="N596">
        <f t="shared" si="18"/>
        <v>0</v>
      </c>
      <c r="O596" t="str">
        <f xml:space="preserve"> VLOOKUP(A596, Lookup_Tables!$G$2:$H$6,2,TRUE)</f>
        <v>25-34</v>
      </c>
      <c r="P596" t="str">
        <f>_xlfn.XLOOKUP(J596,Lookup_Tables!$J$2:$J$4,Lookup_Tables!$K$2:$K$4, " ",-1)</f>
        <v>Low</v>
      </c>
      <c r="Q596" t="str">
        <f xml:space="preserve"> _xlfn.XLOOKUP(M596, Lookup_Tables!$M$2:$M$5,Lookup_Tables!$N$2:$N$5," ", -1)</f>
        <v>Veteran (10+)</v>
      </c>
      <c r="R596" s="4">
        <f t="shared" si="19"/>
        <v>3</v>
      </c>
      <c r="S596" t="str">
        <f xml:space="preserve"> _xlfn.XLOOKUP( E596, Lookup_Tables!$A$2:$A$6,Lookup_Tables!$B$2:$B$6," ", -1)</f>
        <v>College</v>
      </c>
      <c r="T596" t="str">
        <f>_xlfn.XLOOKUP(G596,Lookup_Tables!$D$2:$D$5,Lookup_Tables!$E$2:$E$5)</f>
        <v>High</v>
      </c>
      <c r="U596" t="str">
        <f>_xlfn.XLOOKUP(H596,Lookup_Tables!$D$2:$D$5,Lookup_Tables!$E$2:$E$5)</f>
        <v>High</v>
      </c>
      <c r="V596" t="str">
        <f>_xlfn.XLOOKUP(L596,Lookup_Tables!$D$2:$D$5,Lookup_Tables!$E$2:$E$5)</f>
        <v>High</v>
      </c>
    </row>
    <row r="597" spans="1:22">
      <c r="A597">
        <f>RAW_DATA!A597</f>
        <v>58</v>
      </c>
      <c r="B597" t="str">
        <f>RAW_DATA!B597</f>
        <v>Yes</v>
      </c>
      <c r="C597" t="str">
        <f>RAW_DATA!C597</f>
        <v>Research &amp; Development</v>
      </c>
      <c r="D597">
        <f>RAW_DATA!D597</f>
        <v>2</v>
      </c>
      <c r="E597">
        <f>RAW_DATA!E597</f>
        <v>4</v>
      </c>
      <c r="F597" t="str">
        <f>RAW_DATA!F597</f>
        <v>Life Sciences</v>
      </c>
      <c r="G597">
        <f>RAW_DATA!G597</f>
        <v>4</v>
      </c>
      <c r="H597">
        <f>RAW_DATA!H597</f>
        <v>2</v>
      </c>
      <c r="I597" t="str">
        <f>RAW_DATA!I597</f>
        <v>Single</v>
      </c>
      <c r="J597">
        <f>RAW_DATA!J597</f>
        <v>19246</v>
      </c>
      <c r="K597">
        <f>RAW_DATA!K597</f>
        <v>7</v>
      </c>
      <c r="L597">
        <f>RAW_DATA!L597</f>
        <v>3</v>
      </c>
      <c r="M597">
        <f>RAW_DATA!M597</f>
        <v>31</v>
      </c>
      <c r="N597">
        <f t="shared" si="18"/>
        <v>1</v>
      </c>
      <c r="O597" t="str">
        <f xml:space="preserve"> VLOOKUP(A597, Lookup_Tables!$G$2:$H$6,2,TRUE)</f>
        <v>55+</v>
      </c>
      <c r="P597" t="str">
        <f>_xlfn.XLOOKUP(J597,Lookup_Tables!$J$2:$J$4,Lookup_Tables!$K$2:$K$4, " ",-1)</f>
        <v>High</v>
      </c>
      <c r="Q597" t="str">
        <f xml:space="preserve"> _xlfn.XLOOKUP(M597, Lookup_Tables!$M$2:$M$5,Lookup_Tables!$N$2:$N$5," ", -1)</f>
        <v>Veteran (10+)</v>
      </c>
      <c r="R597" s="4">
        <f t="shared" si="19"/>
        <v>3</v>
      </c>
      <c r="S597" t="str">
        <f xml:space="preserve"> _xlfn.XLOOKUP( E597, Lookup_Tables!$A$2:$A$6,Lookup_Tables!$B$2:$B$6," ", -1)</f>
        <v>Master</v>
      </c>
      <c r="T597" t="str">
        <f>_xlfn.XLOOKUP(G597,Lookup_Tables!$D$2:$D$5,Lookup_Tables!$E$2:$E$5)</f>
        <v>Very High</v>
      </c>
      <c r="U597" t="str">
        <f>_xlfn.XLOOKUP(H597,Lookup_Tables!$D$2:$D$5,Lookup_Tables!$E$2:$E$5)</f>
        <v>Medium</v>
      </c>
      <c r="V597" t="str">
        <f>_xlfn.XLOOKUP(L597,Lookup_Tables!$D$2:$D$5,Lookup_Tables!$E$2:$E$5)</f>
        <v>High</v>
      </c>
    </row>
    <row r="598" spans="1:22">
      <c r="A598">
        <f>RAW_DATA!A598</f>
        <v>35</v>
      </c>
      <c r="B598" t="str">
        <f>RAW_DATA!B598</f>
        <v>No</v>
      </c>
      <c r="C598" t="str">
        <f>RAW_DATA!C598</f>
        <v>Research &amp; Development</v>
      </c>
      <c r="D598">
        <f>RAW_DATA!D598</f>
        <v>1</v>
      </c>
      <c r="E598">
        <f>RAW_DATA!E598</f>
        <v>4</v>
      </c>
      <c r="F598" t="str">
        <f>RAW_DATA!F598</f>
        <v>Life Sciences</v>
      </c>
      <c r="G598">
        <f>RAW_DATA!G598</f>
        <v>4</v>
      </c>
      <c r="H598">
        <f>RAW_DATA!H598</f>
        <v>3</v>
      </c>
      <c r="I598" t="str">
        <f>RAW_DATA!I598</f>
        <v>Single</v>
      </c>
      <c r="J598">
        <f>RAW_DATA!J598</f>
        <v>2506</v>
      </c>
      <c r="K598">
        <f>RAW_DATA!K598</f>
        <v>3</v>
      </c>
      <c r="L598">
        <f>RAW_DATA!L598</f>
        <v>3</v>
      </c>
      <c r="M598">
        <f>RAW_DATA!M598</f>
        <v>2</v>
      </c>
      <c r="N598">
        <f t="shared" si="18"/>
        <v>0</v>
      </c>
      <c r="O598" t="str">
        <f xml:space="preserve"> VLOOKUP(A598, Lookup_Tables!$G$2:$H$6,2,TRUE)</f>
        <v>35-44</v>
      </c>
      <c r="P598" t="str">
        <f>_xlfn.XLOOKUP(J598,Lookup_Tables!$J$2:$J$4,Lookup_Tables!$K$2:$K$4, " ",-1)</f>
        <v>Low</v>
      </c>
      <c r="Q598" t="str">
        <f xml:space="preserve"> _xlfn.XLOOKUP(M598, Lookup_Tables!$M$2:$M$5,Lookup_Tables!$N$2:$N$5," ", -1)</f>
        <v>Early (2-5)</v>
      </c>
      <c r="R598" s="4">
        <f t="shared" si="19"/>
        <v>3.3333333333333335</v>
      </c>
      <c r="S598" t="str">
        <f xml:space="preserve"> _xlfn.XLOOKUP( E598, Lookup_Tables!$A$2:$A$6,Lookup_Tables!$B$2:$B$6," ", -1)</f>
        <v>Master</v>
      </c>
      <c r="T598" t="str">
        <f>_xlfn.XLOOKUP(G598,Lookup_Tables!$D$2:$D$5,Lookup_Tables!$E$2:$E$5)</f>
        <v>Very High</v>
      </c>
      <c r="U598" t="str">
        <f>_xlfn.XLOOKUP(H598,Lookup_Tables!$D$2:$D$5,Lookup_Tables!$E$2:$E$5)</f>
        <v>High</v>
      </c>
      <c r="V598" t="str">
        <f>_xlfn.XLOOKUP(L598,Lookup_Tables!$D$2:$D$5,Lookup_Tables!$E$2:$E$5)</f>
        <v>High</v>
      </c>
    </row>
    <row r="599" spans="1:22">
      <c r="A599">
        <f>RAW_DATA!A599</f>
        <v>42</v>
      </c>
      <c r="B599" t="str">
        <f>RAW_DATA!B599</f>
        <v>No</v>
      </c>
      <c r="C599" t="str">
        <f>RAW_DATA!C599</f>
        <v>Research &amp; Development</v>
      </c>
      <c r="D599">
        <f>RAW_DATA!D599</f>
        <v>1</v>
      </c>
      <c r="E599">
        <f>RAW_DATA!E599</f>
        <v>2</v>
      </c>
      <c r="F599" t="str">
        <f>RAW_DATA!F599</f>
        <v>Life Sciences</v>
      </c>
      <c r="G599">
        <f>RAW_DATA!G599</f>
        <v>4</v>
      </c>
      <c r="H599">
        <f>RAW_DATA!H599</f>
        <v>4</v>
      </c>
      <c r="I599" t="str">
        <f>RAW_DATA!I599</f>
        <v>Married</v>
      </c>
      <c r="J599">
        <f>RAW_DATA!J599</f>
        <v>6062</v>
      </c>
      <c r="K599">
        <f>RAW_DATA!K599</f>
        <v>9</v>
      </c>
      <c r="L599">
        <f>RAW_DATA!L599</f>
        <v>3</v>
      </c>
      <c r="M599">
        <f>RAW_DATA!M599</f>
        <v>4</v>
      </c>
      <c r="N599">
        <f t="shared" si="18"/>
        <v>0</v>
      </c>
      <c r="O599" t="str">
        <f xml:space="preserve"> VLOOKUP(A599, Lookup_Tables!$G$2:$H$6,2,TRUE)</f>
        <v>35-44</v>
      </c>
      <c r="P599" t="str">
        <f>_xlfn.XLOOKUP(J599,Lookup_Tables!$J$2:$J$4,Lookup_Tables!$K$2:$K$4, " ",-1)</f>
        <v>Medium</v>
      </c>
      <c r="Q599" t="str">
        <f xml:space="preserve"> _xlfn.XLOOKUP(M599, Lookup_Tables!$M$2:$M$5,Lookup_Tables!$N$2:$N$5," ", -1)</f>
        <v>Early (2-5)</v>
      </c>
      <c r="R599" s="4">
        <f t="shared" si="19"/>
        <v>3.6666666666666665</v>
      </c>
      <c r="S599" t="str">
        <f xml:space="preserve"> _xlfn.XLOOKUP( E599, Lookup_Tables!$A$2:$A$6,Lookup_Tables!$B$2:$B$6," ", -1)</f>
        <v>College</v>
      </c>
      <c r="T599" t="str">
        <f>_xlfn.XLOOKUP(G599,Lookup_Tables!$D$2:$D$5,Lookup_Tables!$E$2:$E$5)</f>
        <v>Very High</v>
      </c>
      <c r="U599" t="str">
        <f>_xlfn.XLOOKUP(H599,Lookup_Tables!$D$2:$D$5,Lookup_Tables!$E$2:$E$5)</f>
        <v>Very High</v>
      </c>
      <c r="V599" t="str">
        <f>_xlfn.XLOOKUP(L599,Lookup_Tables!$D$2:$D$5,Lookup_Tables!$E$2:$E$5)</f>
        <v>High</v>
      </c>
    </row>
    <row r="600" spans="1:22">
      <c r="A600">
        <f>RAW_DATA!A600</f>
        <v>28</v>
      </c>
      <c r="B600" t="str">
        <f>RAW_DATA!B600</f>
        <v>Yes</v>
      </c>
      <c r="C600" t="str">
        <f>RAW_DATA!C600</f>
        <v>Research &amp; Development</v>
      </c>
      <c r="D600">
        <f>RAW_DATA!D600</f>
        <v>2</v>
      </c>
      <c r="E600">
        <f>RAW_DATA!E600</f>
        <v>4</v>
      </c>
      <c r="F600" t="str">
        <f>RAW_DATA!F600</f>
        <v>Medical</v>
      </c>
      <c r="G600">
        <f>RAW_DATA!G600</f>
        <v>3</v>
      </c>
      <c r="H600">
        <f>RAW_DATA!H600</f>
        <v>3</v>
      </c>
      <c r="I600" t="str">
        <f>RAW_DATA!I600</f>
        <v>Single</v>
      </c>
      <c r="J600">
        <f>RAW_DATA!J600</f>
        <v>4382</v>
      </c>
      <c r="K600">
        <f>RAW_DATA!K600</f>
        <v>6</v>
      </c>
      <c r="L600">
        <f>RAW_DATA!L600</f>
        <v>2</v>
      </c>
      <c r="M600">
        <f>RAW_DATA!M600</f>
        <v>2</v>
      </c>
      <c r="N600">
        <f t="shared" si="18"/>
        <v>1</v>
      </c>
      <c r="O600" t="str">
        <f xml:space="preserve"> VLOOKUP(A600, Lookup_Tables!$G$2:$H$6,2,TRUE)</f>
        <v>25-34</v>
      </c>
      <c r="P600" t="str">
        <f>_xlfn.XLOOKUP(J600,Lookup_Tables!$J$2:$J$4,Lookup_Tables!$K$2:$K$4, " ",-1)</f>
        <v>Medium</v>
      </c>
      <c r="Q600" t="str">
        <f xml:space="preserve"> _xlfn.XLOOKUP(M600, Lookup_Tables!$M$2:$M$5,Lookup_Tables!$N$2:$N$5," ", -1)</f>
        <v>Early (2-5)</v>
      </c>
      <c r="R600" s="4">
        <f t="shared" si="19"/>
        <v>2.6666666666666665</v>
      </c>
      <c r="S600" t="str">
        <f xml:space="preserve"> _xlfn.XLOOKUP( E600, Lookup_Tables!$A$2:$A$6,Lookup_Tables!$B$2:$B$6," ", -1)</f>
        <v>Master</v>
      </c>
      <c r="T600" t="str">
        <f>_xlfn.XLOOKUP(G600,Lookup_Tables!$D$2:$D$5,Lookup_Tables!$E$2:$E$5)</f>
        <v>High</v>
      </c>
      <c r="U600" t="str">
        <f>_xlfn.XLOOKUP(H600,Lookup_Tables!$D$2:$D$5,Lookup_Tables!$E$2:$E$5)</f>
        <v>High</v>
      </c>
      <c r="V600" t="str">
        <f>_xlfn.XLOOKUP(L600,Lookup_Tables!$D$2:$D$5,Lookup_Tables!$E$2:$E$5)</f>
        <v>Medium</v>
      </c>
    </row>
    <row r="601" spans="1:22">
      <c r="A601">
        <f>RAW_DATA!A601</f>
        <v>36</v>
      </c>
      <c r="B601" t="str">
        <f>RAW_DATA!B601</f>
        <v>No</v>
      </c>
      <c r="C601" t="str">
        <f>RAW_DATA!C601</f>
        <v>Human Resources</v>
      </c>
      <c r="D601">
        <f>RAW_DATA!D601</f>
        <v>13</v>
      </c>
      <c r="E601">
        <f>RAW_DATA!E601</f>
        <v>3</v>
      </c>
      <c r="F601" t="str">
        <f>RAW_DATA!F601</f>
        <v>Human Resources</v>
      </c>
      <c r="G601">
        <f>RAW_DATA!G601</f>
        <v>3</v>
      </c>
      <c r="H601">
        <f>RAW_DATA!H601</f>
        <v>2</v>
      </c>
      <c r="I601" t="str">
        <f>RAW_DATA!I601</f>
        <v>Married</v>
      </c>
      <c r="J601">
        <f>RAW_DATA!J601</f>
        <v>2143</v>
      </c>
      <c r="K601">
        <f>RAW_DATA!K601</f>
        <v>4</v>
      </c>
      <c r="L601">
        <f>RAW_DATA!L601</f>
        <v>3</v>
      </c>
      <c r="M601">
        <f>RAW_DATA!M601</f>
        <v>5</v>
      </c>
      <c r="N601">
        <f t="shared" si="18"/>
        <v>0</v>
      </c>
      <c r="O601" t="str">
        <f xml:space="preserve"> VLOOKUP(A601, Lookup_Tables!$G$2:$H$6,2,TRUE)</f>
        <v>35-44</v>
      </c>
      <c r="P601" t="str">
        <f>_xlfn.XLOOKUP(J601,Lookup_Tables!$J$2:$J$4,Lookup_Tables!$K$2:$K$4, " ",-1)</f>
        <v>Low</v>
      </c>
      <c r="Q601" t="str">
        <f xml:space="preserve"> _xlfn.XLOOKUP(M601, Lookup_Tables!$M$2:$M$5,Lookup_Tables!$N$2:$N$5," ", -1)</f>
        <v>Established (5-10)</v>
      </c>
      <c r="R601" s="4">
        <f t="shared" si="19"/>
        <v>2.6666666666666665</v>
      </c>
      <c r="S601" t="str">
        <f xml:space="preserve"> _xlfn.XLOOKUP( E601, Lookup_Tables!$A$2:$A$6,Lookup_Tables!$B$2:$B$6," ", -1)</f>
        <v>Bachelor</v>
      </c>
      <c r="T601" t="str">
        <f>_xlfn.XLOOKUP(G601,Lookup_Tables!$D$2:$D$5,Lookup_Tables!$E$2:$E$5)</f>
        <v>High</v>
      </c>
      <c r="U601" t="str">
        <f>_xlfn.XLOOKUP(H601,Lookup_Tables!$D$2:$D$5,Lookup_Tables!$E$2:$E$5)</f>
        <v>Medium</v>
      </c>
      <c r="V601" t="str">
        <f>_xlfn.XLOOKUP(L601,Lookup_Tables!$D$2:$D$5,Lookup_Tables!$E$2:$E$5)</f>
        <v>High</v>
      </c>
    </row>
    <row r="602" spans="1:22">
      <c r="A602">
        <f>RAW_DATA!A602</f>
        <v>32</v>
      </c>
      <c r="B602" t="str">
        <f>RAW_DATA!B602</f>
        <v>No</v>
      </c>
      <c r="C602" t="str">
        <f>RAW_DATA!C602</f>
        <v>Research &amp; Development</v>
      </c>
      <c r="D602">
        <f>RAW_DATA!D602</f>
        <v>4</v>
      </c>
      <c r="E602">
        <f>RAW_DATA!E602</f>
        <v>3</v>
      </c>
      <c r="F602" t="str">
        <f>RAW_DATA!F602</f>
        <v>Life Sciences</v>
      </c>
      <c r="G602">
        <f>RAW_DATA!G602</f>
        <v>3</v>
      </c>
      <c r="H602">
        <f>RAW_DATA!H602</f>
        <v>3</v>
      </c>
      <c r="I602" t="str">
        <f>RAW_DATA!I602</f>
        <v>Married</v>
      </c>
      <c r="J602">
        <f>RAW_DATA!J602</f>
        <v>6162</v>
      </c>
      <c r="K602">
        <f>RAW_DATA!K602</f>
        <v>1</v>
      </c>
      <c r="L602">
        <f>RAW_DATA!L602</f>
        <v>3</v>
      </c>
      <c r="M602">
        <f>RAW_DATA!M602</f>
        <v>14</v>
      </c>
      <c r="N602">
        <f t="shared" si="18"/>
        <v>0</v>
      </c>
      <c r="O602" t="str">
        <f xml:space="preserve"> VLOOKUP(A602, Lookup_Tables!$G$2:$H$6,2,TRUE)</f>
        <v>25-34</v>
      </c>
      <c r="P602" t="str">
        <f>_xlfn.XLOOKUP(J602,Lookup_Tables!$J$2:$J$4,Lookup_Tables!$K$2:$K$4, " ",-1)</f>
        <v>Medium</v>
      </c>
      <c r="Q602" t="str">
        <f xml:space="preserve"> _xlfn.XLOOKUP(M602, Lookup_Tables!$M$2:$M$5,Lookup_Tables!$N$2:$N$5," ", -1)</f>
        <v>Veteran (10+)</v>
      </c>
      <c r="R602" s="4">
        <f t="shared" si="19"/>
        <v>3</v>
      </c>
      <c r="S602" t="str">
        <f xml:space="preserve"> _xlfn.XLOOKUP( E602, Lookup_Tables!$A$2:$A$6,Lookup_Tables!$B$2:$B$6," ", -1)</f>
        <v>Bachelor</v>
      </c>
      <c r="T602" t="str">
        <f>_xlfn.XLOOKUP(G602,Lookup_Tables!$D$2:$D$5,Lookup_Tables!$E$2:$E$5)</f>
        <v>High</v>
      </c>
      <c r="U602" t="str">
        <f>_xlfn.XLOOKUP(H602,Lookup_Tables!$D$2:$D$5,Lookup_Tables!$E$2:$E$5)</f>
        <v>High</v>
      </c>
      <c r="V602" t="str">
        <f>_xlfn.XLOOKUP(L602,Lookup_Tables!$D$2:$D$5,Lookup_Tables!$E$2:$E$5)</f>
        <v>High</v>
      </c>
    </row>
    <row r="603" spans="1:22">
      <c r="A603">
        <f>RAW_DATA!A603</f>
        <v>40</v>
      </c>
      <c r="B603" t="str">
        <f>RAW_DATA!B603</f>
        <v>No</v>
      </c>
      <c r="C603" t="str">
        <f>RAW_DATA!C603</f>
        <v>Research &amp; Development</v>
      </c>
      <c r="D603">
        <f>RAW_DATA!D603</f>
        <v>16</v>
      </c>
      <c r="E603">
        <f>RAW_DATA!E603</f>
        <v>4</v>
      </c>
      <c r="F603" t="str">
        <f>RAW_DATA!F603</f>
        <v>Medical</v>
      </c>
      <c r="G603">
        <f>RAW_DATA!G603</f>
        <v>1</v>
      </c>
      <c r="H603">
        <f>RAW_DATA!H603</f>
        <v>3</v>
      </c>
      <c r="I603" t="str">
        <f>RAW_DATA!I603</f>
        <v>Single</v>
      </c>
      <c r="J603">
        <f>RAW_DATA!J603</f>
        <v>5094</v>
      </c>
      <c r="K603">
        <f>RAW_DATA!K603</f>
        <v>6</v>
      </c>
      <c r="L603">
        <f>RAW_DATA!L603</f>
        <v>3</v>
      </c>
      <c r="M603">
        <f>RAW_DATA!M603</f>
        <v>1</v>
      </c>
      <c r="N603">
        <f t="shared" si="18"/>
        <v>0</v>
      </c>
      <c r="O603" t="str">
        <f xml:space="preserve"> VLOOKUP(A603, Lookup_Tables!$G$2:$H$6,2,TRUE)</f>
        <v>35-44</v>
      </c>
      <c r="P603" t="str">
        <f>_xlfn.XLOOKUP(J603,Lookup_Tables!$J$2:$J$4,Lookup_Tables!$K$2:$K$4, " ",-1)</f>
        <v>Medium</v>
      </c>
      <c r="Q603" t="str">
        <f xml:space="preserve"> _xlfn.XLOOKUP(M603, Lookup_Tables!$M$2:$M$5,Lookup_Tables!$N$2:$N$5," ", -1)</f>
        <v>New (0-2)</v>
      </c>
      <c r="R603" s="4">
        <f t="shared" si="19"/>
        <v>2.3333333333333335</v>
      </c>
      <c r="S603" t="str">
        <f xml:space="preserve"> _xlfn.XLOOKUP( E603, Lookup_Tables!$A$2:$A$6,Lookup_Tables!$B$2:$B$6," ", -1)</f>
        <v>Master</v>
      </c>
      <c r="T603" t="str">
        <f>_xlfn.XLOOKUP(G603,Lookup_Tables!$D$2:$D$5,Lookup_Tables!$E$2:$E$5)</f>
        <v>Low</v>
      </c>
      <c r="U603" t="str">
        <f>_xlfn.XLOOKUP(H603,Lookup_Tables!$D$2:$D$5,Lookup_Tables!$E$2:$E$5)</f>
        <v>High</v>
      </c>
      <c r="V603" t="str">
        <f>_xlfn.XLOOKUP(L603,Lookup_Tables!$D$2:$D$5,Lookup_Tables!$E$2:$E$5)</f>
        <v>High</v>
      </c>
    </row>
    <row r="604" spans="1:22">
      <c r="A604">
        <f>RAW_DATA!A604</f>
        <v>30</v>
      </c>
      <c r="B604" t="str">
        <f>RAW_DATA!B604</f>
        <v>No</v>
      </c>
      <c r="C604" t="str">
        <f>RAW_DATA!C604</f>
        <v>Research &amp; Development</v>
      </c>
      <c r="D604">
        <f>RAW_DATA!D604</f>
        <v>2</v>
      </c>
      <c r="E604">
        <f>RAW_DATA!E604</f>
        <v>3</v>
      </c>
      <c r="F604" t="str">
        <f>RAW_DATA!F604</f>
        <v>Medical</v>
      </c>
      <c r="G604">
        <f>RAW_DATA!G604</f>
        <v>3</v>
      </c>
      <c r="H604">
        <f>RAW_DATA!H604</f>
        <v>4</v>
      </c>
      <c r="I604" t="str">
        <f>RAW_DATA!I604</f>
        <v>Single</v>
      </c>
      <c r="J604">
        <f>RAW_DATA!J604</f>
        <v>6877</v>
      </c>
      <c r="K604">
        <f>RAW_DATA!K604</f>
        <v>5</v>
      </c>
      <c r="L604">
        <f>RAW_DATA!L604</f>
        <v>2</v>
      </c>
      <c r="M604">
        <f>RAW_DATA!M604</f>
        <v>0</v>
      </c>
      <c r="N604">
        <f t="shared" si="18"/>
        <v>0</v>
      </c>
      <c r="O604" t="str">
        <f xml:space="preserve"> VLOOKUP(A604, Lookup_Tables!$G$2:$H$6,2,TRUE)</f>
        <v>25-34</v>
      </c>
      <c r="P604" t="str">
        <f>_xlfn.XLOOKUP(J604,Lookup_Tables!$J$2:$J$4,Lookup_Tables!$K$2:$K$4, " ",-1)</f>
        <v>Medium</v>
      </c>
      <c r="Q604" t="str">
        <f xml:space="preserve"> _xlfn.XLOOKUP(M604, Lookup_Tables!$M$2:$M$5,Lookup_Tables!$N$2:$N$5," ", -1)</f>
        <v>New (0-2)</v>
      </c>
      <c r="R604" s="4">
        <f t="shared" si="19"/>
        <v>3</v>
      </c>
      <c r="S604" t="str">
        <f xml:space="preserve"> _xlfn.XLOOKUP( E604, Lookup_Tables!$A$2:$A$6,Lookup_Tables!$B$2:$B$6," ", -1)</f>
        <v>Bachelor</v>
      </c>
      <c r="T604" t="str">
        <f>_xlfn.XLOOKUP(G604,Lookup_Tables!$D$2:$D$5,Lookup_Tables!$E$2:$E$5)</f>
        <v>High</v>
      </c>
      <c r="U604" t="str">
        <f>_xlfn.XLOOKUP(H604,Lookup_Tables!$D$2:$D$5,Lookup_Tables!$E$2:$E$5)</f>
        <v>Very High</v>
      </c>
      <c r="V604" t="str">
        <f>_xlfn.XLOOKUP(L604,Lookup_Tables!$D$2:$D$5,Lookup_Tables!$E$2:$E$5)</f>
        <v>Medium</v>
      </c>
    </row>
    <row r="605" spans="1:22">
      <c r="A605">
        <f>RAW_DATA!A605</f>
        <v>45</v>
      </c>
      <c r="B605" t="str">
        <f>RAW_DATA!B605</f>
        <v>No</v>
      </c>
      <c r="C605" t="str">
        <f>RAW_DATA!C605</f>
        <v>Research &amp; Development</v>
      </c>
      <c r="D605">
        <f>RAW_DATA!D605</f>
        <v>2</v>
      </c>
      <c r="E605">
        <f>RAW_DATA!E605</f>
        <v>3</v>
      </c>
      <c r="F605" t="str">
        <f>RAW_DATA!F605</f>
        <v>Life Sciences</v>
      </c>
      <c r="G605">
        <f>RAW_DATA!G605</f>
        <v>2</v>
      </c>
      <c r="H605">
        <f>RAW_DATA!H605</f>
        <v>3</v>
      </c>
      <c r="I605" t="str">
        <f>RAW_DATA!I605</f>
        <v>Single</v>
      </c>
      <c r="J605">
        <f>RAW_DATA!J605</f>
        <v>2274</v>
      </c>
      <c r="K605">
        <f>RAW_DATA!K605</f>
        <v>1</v>
      </c>
      <c r="L605">
        <f>RAW_DATA!L605</f>
        <v>3</v>
      </c>
      <c r="M605">
        <f>RAW_DATA!M605</f>
        <v>1</v>
      </c>
      <c r="N605">
        <f t="shared" si="18"/>
        <v>0</v>
      </c>
      <c r="O605" t="str">
        <f xml:space="preserve"> VLOOKUP(A605, Lookup_Tables!$G$2:$H$6,2,TRUE)</f>
        <v>45-54</v>
      </c>
      <c r="P605" t="str">
        <f>_xlfn.XLOOKUP(J605,Lookup_Tables!$J$2:$J$4,Lookup_Tables!$K$2:$K$4, " ",-1)</f>
        <v>Low</v>
      </c>
      <c r="Q605" t="str">
        <f xml:space="preserve"> _xlfn.XLOOKUP(M605, Lookup_Tables!$M$2:$M$5,Lookup_Tables!$N$2:$N$5," ", -1)</f>
        <v>New (0-2)</v>
      </c>
      <c r="R605" s="4">
        <f t="shared" si="19"/>
        <v>2.6666666666666665</v>
      </c>
      <c r="S605" t="str">
        <f xml:space="preserve"> _xlfn.XLOOKUP( E605, Lookup_Tables!$A$2:$A$6,Lookup_Tables!$B$2:$B$6," ", -1)</f>
        <v>Bachelor</v>
      </c>
      <c r="T605" t="str">
        <f>_xlfn.XLOOKUP(G605,Lookup_Tables!$D$2:$D$5,Lookup_Tables!$E$2:$E$5)</f>
        <v>Medium</v>
      </c>
      <c r="U605" t="str">
        <f>_xlfn.XLOOKUP(H605,Lookup_Tables!$D$2:$D$5,Lookup_Tables!$E$2:$E$5)</f>
        <v>High</v>
      </c>
      <c r="V605" t="str">
        <f>_xlfn.XLOOKUP(L605,Lookup_Tables!$D$2:$D$5,Lookup_Tables!$E$2:$E$5)</f>
        <v>High</v>
      </c>
    </row>
    <row r="606" spans="1:22">
      <c r="A606">
        <f>RAW_DATA!A606</f>
        <v>42</v>
      </c>
      <c r="B606" t="str">
        <f>RAW_DATA!B606</f>
        <v>No</v>
      </c>
      <c r="C606" t="str">
        <f>RAW_DATA!C606</f>
        <v>Research &amp; Development</v>
      </c>
      <c r="D606">
        <f>RAW_DATA!D606</f>
        <v>29</v>
      </c>
      <c r="E606">
        <f>RAW_DATA!E606</f>
        <v>3</v>
      </c>
      <c r="F606" t="str">
        <f>RAW_DATA!F606</f>
        <v>Life Sciences</v>
      </c>
      <c r="G606">
        <f>RAW_DATA!G606</f>
        <v>2</v>
      </c>
      <c r="H606">
        <f>RAW_DATA!H606</f>
        <v>2</v>
      </c>
      <c r="I606" t="str">
        <f>RAW_DATA!I606</f>
        <v>Married</v>
      </c>
      <c r="J606">
        <f>RAW_DATA!J606</f>
        <v>4434</v>
      </c>
      <c r="K606">
        <f>RAW_DATA!K606</f>
        <v>1</v>
      </c>
      <c r="L606">
        <f>RAW_DATA!L606</f>
        <v>2</v>
      </c>
      <c r="M606">
        <f>RAW_DATA!M606</f>
        <v>9</v>
      </c>
      <c r="N606">
        <f t="shared" si="18"/>
        <v>0</v>
      </c>
      <c r="O606" t="str">
        <f xml:space="preserve"> VLOOKUP(A606, Lookup_Tables!$G$2:$H$6,2,TRUE)</f>
        <v>35-44</v>
      </c>
      <c r="P606" t="str">
        <f>_xlfn.XLOOKUP(J606,Lookup_Tables!$J$2:$J$4,Lookup_Tables!$K$2:$K$4, " ",-1)</f>
        <v>Medium</v>
      </c>
      <c r="Q606" t="str">
        <f xml:space="preserve"> _xlfn.XLOOKUP(M606, Lookup_Tables!$M$2:$M$5,Lookup_Tables!$N$2:$N$5," ", -1)</f>
        <v>Established (5-10)</v>
      </c>
      <c r="R606" s="4">
        <f t="shared" si="19"/>
        <v>2</v>
      </c>
      <c r="S606" t="str">
        <f xml:space="preserve"> _xlfn.XLOOKUP( E606, Lookup_Tables!$A$2:$A$6,Lookup_Tables!$B$2:$B$6," ", -1)</f>
        <v>Bachelor</v>
      </c>
      <c r="T606" t="str">
        <f>_xlfn.XLOOKUP(G606,Lookup_Tables!$D$2:$D$5,Lookup_Tables!$E$2:$E$5)</f>
        <v>Medium</v>
      </c>
      <c r="U606" t="str">
        <f>_xlfn.XLOOKUP(H606,Lookup_Tables!$D$2:$D$5,Lookup_Tables!$E$2:$E$5)</f>
        <v>Medium</v>
      </c>
      <c r="V606" t="str">
        <f>_xlfn.XLOOKUP(L606,Lookup_Tables!$D$2:$D$5,Lookup_Tables!$E$2:$E$5)</f>
        <v>Medium</v>
      </c>
    </row>
    <row r="607" spans="1:22">
      <c r="A607">
        <f>RAW_DATA!A607</f>
        <v>38</v>
      </c>
      <c r="B607" t="str">
        <f>RAW_DATA!B607</f>
        <v>No</v>
      </c>
      <c r="C607" t="str">
        <f>RAW_DATA!C607</f>
        <v>Research &amp; Development</v>
      </c>
      <c r="D607">
        <f>RAW_DATA!D607</f>
        <v>12</v>
      </c>
      <c r="E607">
        <f>RAW_DATA!E607</f>
        <v>3</v>
      </c>
      <c r="F607" t="str">
        <f>RAW_DATA!F607</f>
        <v>Life Sciences</v>
      </c>
      <c r="G607">
        <f>RAW_DATA!G607</f>
        <v>1</v>
      </c>
      <c r="H607">
        <f>RAW_DATA!H607</f>
        <v>1</v>
      </c>
      <c r="I607" t="str">
        <f>RAW_DATA!I607</f>
        <v>Divorced</v>
      </c>
      <c r="J607">
        <f>RAW_DATA!J607</f>
        <v>6288</v>
      </c>
      <c r="K607">
        <f>RAW_DATA!K607</f>
        <v>2</v>
      </c>
      <c r="L607">
        <f>RAW_DATA!L607</f>
        <v>2</v>
      </c>
      <c r="M607">
        <f>RAW_DATA!M607</f>
        <v>4</v>
      </c>
      <c r="N607">
        <f t="shared" si="18"/>
        <v>0</v>
      </c>
      <c r="O607" t="str">
        <f xml:space="preserve"> VLOOKUP(A607, Lookup_Tables!$G$2:$H$6,2,TRUE)</f>
        <v>35-44</v>
      </c>
      <c r="P607" t="str">
        <f>_xlfn.XLOOKUP(J607,Lookup_Tables!$J$2:$J$4,Lookup_Tables!$K$2:$K$4, " ",-1)</f>
        <v>Medium</v>
      </c>
      <c r="Q607" t="str">
        <f xml:space="preserve"> _xlfn.XLOOKUP(M607, Lookup_Tables!$M$2:$M$5,Lookup_Tables!$N$2:$N$5," ", -1)</f>
        <v>Early (2-5)</v>
      </c>
      <c r="R607" s="4">
        <f t="shared" si="19"/>
        <v>1.3333333333333333</v>
      </c>
      <c r="S607" t="str">
        <f xml:space="preserve"> _xlfn.XLOOKUP( E607, Lookup_Tables!$A$2:$A$6,Lookup_Tables!$B$2:$B$6," ", -1)</f>
        <v>Bachelor</v>
      </c>
      <c r="T607" t="str">
        <f>_xlfn.XLOOKUP(G607,Lookup_Tables!$D$2:$D$5,Lookup_Tables!$E$2:$E$5)</f>
        <v>Low</v>
      </c>
      <c r="U607" t="str">
        <f>_xlfn.XLOOKUP(H607,Lookup_Tables!$D$2:$D$5,Lookup_Tables!$E$2:$E$5)</f>
        <v>Low</v>
      </c>
      <c r="V607" t="str">
        <f>_xlfn.XLOOKUP(L607,Lookup_Tables!$D$2:$D$5,Lookup_Tables!$E$2:$E$5)</f>
        <v>Medium</v>
      </c>
    </row>
    <row r="608" spans="1:22">
      <c r="A608">
        <f>RAW_DATA!A608</f>
        <v>34</v>
      </c>
      <c r="B608" t="str">
        <f>RAW_DATA!B608</f>
        <v>No</v>
      </c>
      <c r="C608" t="str">
        <f>RAW_DATA!C608</f>
        <v>Research &amp; Development</v>
      </c>
      <c r="D608">
        <f>RAW_DATA!D608</f>
        <v>16</v>
      </c>
      <c r="E608">
        <f>RAW_DATA!E608</f>
        <v>4</v>
      </c>
      <c r="F608" t="str">
        <f>RAW_DATA!F608</f>
        <v>Life Sciences</v>
      </c>
      <c r="G608">
        <f>RAW_DATA!G608</f>
        <v>3</v>
      </c>
      <c r="H608">
        <f>RAW_DATA!H608</f>
        <v>4</v>
      </c>
      <c r="I608" t="str">
        <f>RAW_DATA!I608</f>
        <v>Single</v>
      </c>
      <c r="J608">
        <f>RAW_DATA!J608</f>
        <v>2553</v>
      </c>
      <c r="K608">
        <f>RAW_DATA!K608</f>
        <v>1</v>
      </c>
      <c r="L608">
        <f>RAW_DATA!L608</f>
        <v>3</v>
      </c>
      <c r="M608">
        <f>RAW_DATA!M608</f>
        <v>5</v>
      </c>
      <c r="N608">
        <f t="shared" si="18"/>
        <v>0</v>
      </c>
      <c r="O608" t="str">
        <f xml:space="preserve"> VLOOKUP(A608, Lookup_Tables!$G$2:$H$6,2,TRUE)</f>
        <v>25-34</v>
      </c>
      <c r="P608" t="str">
        <f>_xlfn.XLOOKUP(J608,Lookup_Tables!$J$2:$J$4,Lookup_Tables!$K$2:$K$4, " ",-1)</f>
        <v>Low</v>
      </c>
      <c r="Q608" t="str">
        <f xml:space="preserve"> _xlfn.XLOOKUP(M608, Lookup_Tables!$M$2:$M$5,Lookup_Tables!$N$2:$N$5," ", -1)</f>
        <v>Established (5-10)</v>
      </c>
      <c r="R608" s="4">
        <f t="shared" si="19"/>
        <v>3.3333333333333335</v>
      </c>
      <c r="S608" t="str">
        <f xml:space="preserve"> _xlfn.XLOOKUP( E608, Lookup_Tables!$A$2:$A$6,Lookup_Tables!$B$2:$B$6," ", -1)</f>
        <v>Master</v>
      </c>
      <c r="T608" t="str">
        <f>_xlfn.XLOOKUP(G608,Lookup_Tables!$D$2:$D$5,Lookup_Tables!$E$2:$E$5)</f>
        <v>High</v>
      </c>
      <c r="U608" t="str">
        <f>_xlfn.XLOOKUP(H608,Lookup_Tables!$D$2:$D$5,Lookup_Tables!$E$2:$E$5)</f>
        <v>Very High</v>
      </c>
      <c r="V608" t="str">
        <f>_xlfn.XLOOKUP(L608,Lookup_Tables!$D$2:$D$5,Lookup_Tables!$E$2:$E$5)</f>
        <v>High</v>
      </c>
    </row>
    <row r="609" spans="1:22">
      <c r="A609">
        <f>RAW_DATA!A609</f>
        <v>49</v>
      </c>
      <c r="B609" t="str">
        <f>RAW_DATA!B609</f>
        <v>Yes</v>
      </c>
      <c r="C609" t="str">
        <f>RAW_DATA!C609</f>
        <v>Sales</v>
      </c>
      <c r="D609">
        <f>RAW_DATA!D609</f>
        <v>11</v>
      </c>
      <c r="E609">
        <f>RAW_DATA!E609</f>
        <v>3</v>
      </c>
      <c r="F609" t="str">
        <f>RAW_DATA!F609</f>
        <v>Marketing</v>
      </c>
      <c r="G609">
        <f>RAW_DATA!G609</f>
        <v>3</v>
      </c>
      <c r="H609">
        <f>RAW_DATA!H609</f>
        <v>4</v>
      </c>
      <c r="I609" t="str">
        <f>RAW_DATA!I609</f>
        <v>Married</v>
      </c>
      <c r="J609">
        <f>RAW_DATA!J609</f>
        <v>7654</v>
      </c>
      <c r="K609">
        <f>RAW_DATA!K609</f>
        <v>1</v>
      </c>
      <c r="L609">
        <f>RAW_DATA!L609</f>
        <v>4</v>
      </c>
      <c r="M609">
        <f>RAW_DATA!M609</f>
        <v>9</v>
      </c>
      <c r="N609">
        <f t="shared" si="18"/>
        <v>1</v>
      </c>
      <c r="O609" t="str">
        <f xml:space="preserve"> VLOOKUP(A609, Lookup_Tables!$G$2:$H$6,2,TRUE)</f>
        <v>45-54</v>
      </c>
      <c r="P609" t="str">
        <f>_xlfn.XLOOKUP(J609,Lookup_Tables!$J$2:$J$4,Lookup_Tables!$K$2:$K$4, " ",-1)</f>
        <v>High</v>
      </c>
      <c r="Q609" t="str">
        <f xml:space="preserve"> _xlfn.XLOOKUP(M609, Lookup_Tables!$M$2:$M$5,Lookup_Tables!$N$2:$N$5," ", -1)</f>
        <v>Established (5-10)</v>
      </c>
      <c r="R609" s="4">
        <f t="shared" si="19"/>
        <v>3.6666666666666665</v>
      </c>
      <c r="S609" t="str">
        <f xml:space="preserve"> _xlfn.XLOOKUP( E609, Lookup_Tables!$A$2:$A$6,Lookup_Tables!$B$2:$B$6," ", -1)</f>
        <v>Bachelor</v>
      </c>
      <c r="T609" t="str">
        <f>_xlfn.XLOOKUP(G609,Lookup_Tables!$D$2:$D$5,Lookup_Tables!$E$2:$E$5)</f>
        <v>High</v>
      </c>
      <c r="U609" t="str">
        <f>_xlfn.XLOOKUP(H609,Lookup_Tables!$D$2:$D$5,Lookup_Tables!$E$2:$E$5)</f>
        <v>Very High</v>
      </c>
      <c r="V609" t="str">
        <f>_xlfn.XLOOKUP(L609,Lookup_Tables!$D$2:$D$5,Lookup_Tables!$E$2:$E$5)</f>
        <v>Very High</v>
      </c>
    </row>
    <row r="610" spans="1:22">
      <c r="A610">
        <f>RAW_DATA!A610</f>
        <v>55</v>
      </c>
      <c r="B610" t="str">
        <f>RAW_DATA!B610</f>
        <v>Yes</v>
      </c>
      <c r="C610" t="str">
        <f>RAW_DATA!C610</f>
        <v>Sales</v>
      </c>
      <c r="D610">
        <f>RAW_DATA!D610</f>
        <v>2</v>
      </c>
      <c r="E610">
        <f>RAW_DATA!E610</f>
        <v>1</v>
      </c>
      <c r="F610" t="str">
        <f>RAW_DATA!F610</f>
        <v>Medical</v>
      </c>
      <c r="G610">
        <f>RAW_DATA!G610</f>
        <v>3</v>
      </c>
      <c r="H610">
        <f>RAW_DATA!H610</f>
        <v>4</v>
      </c>
      <c r="I610" t="str">
        <f>RAW_DATA!I610</f>
        <v>Single</v>
      </c>
      <c r="J610">
        <f>RAW_DATA!J610</f>
        <v>5160</v>
      </c>
      <c r="K610">
        <f>RAW_DATA!K610</f>
        <v>4</v>
      </c>
      <c r="L610">
        <f>RAW_DATA!L610</f>
        <v>2</v>
      </c>
      <c r="M610">
        <f>RAW_DATA!M610</f>
        <v>9</v>
      </c>
      <c r="N610">
        <f t="shared" si="18"/>
        <v>1</v>
      </c>
      <c r="O610" t="str">
        <f xml:space="preserve"> VLOOKUP(A610, Lookup_Tables!$G$2:$H$6,2,TRUE)</f>
        <v>55+</v>
      </c>
      <c r="P610" t="str">
        <f>_xlfn.XLOOKUP(J610,Lookup_Tables!$J$2:$J$4,Lookup_Tables!$K$2:$K$4, " ",-1)</f>
        <v>Medium</v>
      </c>
      <c r="Q610" t="str">
        <f xml:space="preserve"> _xlfn.XLOOKUP(M610, Lookup_Tables!$M$2:$M$5,Lookup_Tables!$N$2:$N$5," ", -1)</f>
        <v>Established (5-10)</v>
      </c>
      <c r="R610" s="4">
        <f t="shared" si="19"/>
        <v>3</v>
      </c>
      <c r="S610" t="str">
        <f xml:space="preserve"> _xlfn.XLOOKUP( E610, Lookup_Tables!$A$2:$A$6,Lookup_Tables!$B$2:$B$6," ", -1)</f>
        <v>Below College</v>
      </c>
      <c r="T610" t="str">
        <f>_xlfn.XLOOKUP(G610,Lookup_Tables!$D$2:$D$5,Lookup_Tables!$E$2:$E$5)</f>
        <v>High</v>
      </c>
      <c r="U610" t="str">
        <f>_xlfn.XLOOKUP(H610,Lookup_Tables!$D$2:$D$5,Lookup_Tables!$E$2:$E$5)</f>
        <v>Very High</v>
      </c>
      <c r="V610" t="str">
        <f>_xlfn.XLOOKUP(L610,Lookup_Tables!$D$2:$D$5,Lookup_Tables!$E$2:$E$5)</f>
        <v>Medium</v>
      </c>
    </row>
    <row r="611" spans="1:22">
      <c r="A611">
        <f>RAW_DATA!A611</f>
        <v>43</v>
      </c>
      <c r="B611" t="str">
        <f>RAW_DATA!B611</f>
        <v>No</v>
      </c>
      <c r="C611" t="str">
        <f>RAW_DATA!C611</f>
        <v>Research &amp; Development</v>
      </c>
      <c r="D611">
        <f>RAW_DATA!D611</f>
        <v>14</v>
      </c>
      <c r="E611">
        <f>RAW_DATA!E611</f>
        <v>2</v>
      </c>
      <c r="F611" t="str">
        <f>RAW_DATA!F611</f>
        <v>Life Sciences</v>
      </c>
      <c r="G611">
        <f>RAW_DATA!G611</f>
        <v>2</v>
      </c>
      <c r="H611">
        <f>RAW_DATA!H611</f>
        <v>1</v>
      </c>
      <c r="I611" t="str">
        <f>RAW_DATA!I611</f>
        <v>Married</v>
      </c>
      <c r="J611">
        <f>RAW_DATA!J611</f>
        <v>17159</v>
      </c>
      <c r="K611">
        <f>RAW_DATA!K611</f>
        <v>6</v>
      </c>
      <c r="L611">
        <f>RAW_DATA!L611</f>
        <v>3</v>
      </c>
      <c r="M611">
        <f>RAW_DATA!M611</f>
        <v>4</v>
      </c>
      <c r="N611">
        <f t="shared" si="18"/>
        <v>0</v>
      </c>
      <c r="O611" t="str">
        <f xml:space="preserve"> VLOOKUP(A611, Lookup_Tables!$G$2:$H$6,2,TRUE)</f>
        <v>35-44</v>
      </c>
      <c r="P611" t="str">
        <f>_xlfn.XLOOKUP(J611,Lookup_Tables!$J$2:$J$4,Lookup_Tables!$K$2:$K$4, " ",-1)</f>
        <v>High</v>
      </c>
      <c r="Q611" t="str">
        <f xml:space="preserve"> _xlfn.XLOOKUP(M611, Lookup_Tables!$M$2:$M$5,Lookup_Tables!$N$2:$N$5," ", -1)</f>
        <v>Early (2-5)</v>
      </c>
      <c r="R611" s="4">
        <f t="shared" si="19"/>
        <v>2</v>
      </c>
      <c r="S611" t="str">
        <f xml:space="preserve"> _xlfn.XLOOKUP( E611, Lookup_Tables!$A$2:$A$6,Lookup_Tables!$B$2:$B$6," ", -1)</f>
        <v>College</v>
      </c>
      <c r="T611" t="str">
        <f>_xlfn.XLOOKUP(G611,Lookup_Tables!$D$2:$D$5,Lookup_Tables!$E$2:$E$5)</f>
        <v>Medium</v>
      </c>
      <c r="U611" t="str">
        <f>_xlfn.XLOOKUP(H611,Lookup_Tables!$D$2:$D$5,Lookup_Tables!$E$2:$E$5)</f>
        <v>Low</v>
      </c>
      <c r="V611" t="str">
        <f>_xlfn.XLOOKUP(L611,Lookup_Tables!$D$2:$D$5,Lookup_Tables!$E$2:$E$5)</f>
        <v>High</v>
      </c>
    </row>
    <row r="612" spans="1:22">
      <c r="A612">
        <f>RAW_DATA!A612</f>
        <v>27</v>
      </c>
      <c r="B612" t="str">
        <f>RAW_DATA!B612</f>
        <v>No</v>
      </c>
      <c r="C612" t="str">
        <f>RAW_DATA!C612</f>
        <v>Research &amp; Development</v>
      </c>
      <c r="D612">
        <f>RAW_DATA!D612</f>
        <v>5</v>
      </c>
      <c r="E612">
        <f>RAW_DATA!E612</f>
        <v>1</v>
      </c>
      <c r="F612" t="str">
        <f>RAW_DATA!F612</f>
        <v>Technical Degree</v>
      </c>
      <c r="G612">
        <f>RAW_DATA!G612</f>
        <v>3</v>
      </c>
      <c r="H612">
        <f>RAW_DATA!H612</f>
        <v>4</v>
      </c>
      <c r="I612" t="str">
        <f>RAW_DATA!I612</f>
        <v>Divorced</v>
      </c>
      <c r="J612">
        <f>RAW_DATA!J612</f>
        <v>12808</v>
      </c>
      <c r="K612">
        <f>RAW_DATA!K612</f>
        <v>1</v>
      </c>
      <c r="L612">
        <f>RAW_DATA!L612</f>
        <v>3</v>
      </c>
      <c r="M612">
        <f>RAW_DATA!M612</f>
        <v>9</v>
      </c>
      <c r="N612">
        <f t="shared" si="18"/>
        <v>0</v>
      </c>
      <c r="O612" t="str">
        <f xml:space="preserve"> VLOOKUP(A612, Lookup_Tables!$G$2:$H$6,2,TRUE)</f>
        <v>25-34</v>
      </c>
      <c r="P612" t="str">
        <f>_xlfn.XLOOKUP(J612,Lookup_Tables!$J$2:$J$4,Lookup_Tables!$K$2:$K$4, " ",-1)</f>
        <v>High</v>
      </c>
      <c r="Q612" t="str">
        <f xml:space="preserve"> _xlfn.XLOOKUP(M612, Lookup_Tables!$M$2:$M$5,Lookup_Tables!$N$2:$N$5," ", -1)</f>
        <v>Established (5-10)</v>
      </c>
      <c r="R612" s="4">
        <f t="shared" si="19"/>
        <v>3.3333333333333335</v>
      </c>
      <c r="S612" t="str">
        <f xml:space="preserve"> _xlfn.XLOOKUP( E612, Lookup_Tables!$A$2:$A$6,Lookup_Tables!$B$2:$B$6," ", -1)</f>
        <v>Below College</v>
      </c>
      <c r="T612" t="str">
        <f>_xlfn.XLOOKUP(G612,Lookup_Tables!$D$2:$D$5,Lookup_Tables!$E$2:$E$5)</f>
        <v>High</v>
      </c>
      <c r="U612" t="str">
        <f>_xlfn.XLOOKUP(H612,Lookup_Tables!$D$2:$D$5,Lookup_Tables!$E$2:$E$5)</f>
        <v>Very High</v>
      </c>
      <c r="V612" t="str">
        <f>_xlfn.XLOOKUP(L612,Lookup_Tables!$D$2:$D$5,Lookup_Tables!$E$2:$E$5)</f>
        <v>High</v>
      </c>
    </row>
    <row r="613" spans="1:22">
      <c r="A613">
        <f>RAW_DATA!A613</f>
        <v>35</v>
      </c>
      <c r="B613" t="str">
        <f>RAW_DATA!B613</f>
        <v>No</v>
      </c>
      <c r="C613" t="str">
        <f>RAW_DATA!C613</f>
        <v>Research &amp; Development</v>
      </c>
      <c r="D613">
        <f>RAW_DATA!D613</f>
        <v>7</v>
      </c>
      <c r="E613">
        <f>RAW_DATA!E613</f>
        <v>3</v>
      </c>
      <c r="F613" t="str">
        <f>RAW_DATA!F613</f>
        <v>Other</v>
      </c>
      <c r="G613">
        <f>RAW_DATA!G613</f>
        <v>3</v>
      </c>
      <c r="H613">
        <f>RAW_DATA!H613</f>
        <v>3</v>
      </c>
      <c r="I613" t="str">
        <f>RAW_DATA!I613</f>
        <v>Single</v>
      </c>
      <c r="J613">
        <f>RAW_DATA!J613</f>
        <v>10221</v>
      </c>
      <c r="K613">
        <f>RAW_DATA!K613</f>
        <v>3</v>
      </c>
      <c r="L613">
        <f>RAW_DATA!L613</f>
        <v>4</v>
      </c>
      <c r="M613">
        <f>RAW_DATA!M613</f>
        <v>8</v>
      </c>
      <c r="N613">
        <f t="shared" si="18"/>
        <v>0</v>
      </c>
      <c r="O613" t="str">
        <f xml:space="preserve"> VLOOKUP(A613, Lookup_Tables!$G$2:$H$6,2,TRUE)</f>
        <v>35-44</v>
      </c>
      <c r="P613" t="str">
        <f>_xlfn.XLOOKUP(J613,Lookup_Tables!$J$2:$J$4,Lookup_Tables!$K$2:$K$4, " ",-1)</f>
        <v>High</v>
      </c>
      <c r="Q613" t="str">
        <f xml:space="preserve"> _xlfn.XLOOKUP(M613, Lookup_Tables!$M$2:$M$5,Lookup_Tables!$N$2:$N$5," ", -1)</f>
        <v>Established (5-10)</v>
      </c>
      <c r="R613" s="4">
        <f t="shared" si="19"/>
        <v>3.3333333333333335</v>
      </c>
      <c r="S613" t="str">
        <f xml:space="preserve"> _xlfn.XLOOKUP( E613, Lookup_Tables!$A$2:$A$6,Lookup_Tables!$B$2:$B$6," ", -1)</f>
        <v>Bachelor</v>
      </c>
      <c r="T613" t="str">
        <f>_xlfn.XLOOKUP(G613,Lookup_Tables!$D$2:$D$5,Lookup_Tables!$E$2:$E$5)</f>
        <v>High</v>
      </c>
      <c r="U613" t="str">
        <f>_xlfn.XLOOKUP(H613,Lookup_Tables!$D$2:$D$5,Lookup_Tables!$E$2:$E$5)</f>
        <v>High</v>
      </c>
      <c r="V613" t="str">
        <f>_xlfn.XLOOKUP(L613,Lookup_Tables!$D$2:$D$5,Lookup_Tables!$E$2:$E$5)</f>
        <v>Very High</v>
      </c>
    </row>
    <row r="614" spans="1:22">
      <c r="A614">
        <f>RAW_DATA!A614</f>
        <v>28</v>
      </c>
      <c r="B614" t="str">
        <f>RAW_DATA!B614</f>
        <v>No</v>
      </c>
      <c r="C614" t="str">
        <f>RAW_DATA!C614</f>
        <v>Sales</v>
      </c>
      <c r="D614">
        <f>RAW_DATA!D614</f>
        <v>2</v>
      </c>
      <c r="E614">
        <f>RAW_DATA!E614</f>
        <v>4</v>
      </c>
      <c r="F614" t="str">
        <f>RAW_DATA!F614</f>
        <v>Marketing</v>
      </c>
      <c r="G614">
        <f>RAW_DATA!G614</f>
        <v>2</v>
      </c>
      <c r="H614">
        <f>RAW_DATA!H614</f>
        <v>2</v>
      </c>
      <c r="I614" t="str">
        <f>RAW_DATA!I614</f>
        <v>Married</v>
      </c>
      <c r="J614">
        <f>RAW_DATA!J614</f>
        <v>4779</v>
      </c>
      <c r="K614">
        <f>RAW_DATA!K614</f>
        <v>1</v>
      </c>
      <c r="L614">
        <f>RAW_DATA!L614</f>
        <v>3</v>
      </c>
      <c r="M614">
        <f>RAW_DATA!M614</f>
        <v>8</v>
      </c>
      <c r="N614">
        <f t="shared" si="18"/>
        <v>0</v>
      </c>
      <c r="O614" t="str">
        <f xml:space="preserve"> VLOOKUP(A614, Lookup_Tables!$G$2:$H$6,2,TRUE)</f>
        <v>25-34</v>
      </c>
      <c r="P614" t="str">
        <f>_xlfn.XLOOKUP(J614,Lookup_Tables!$J$2:$J$4,Lookup_Tables!$K$2:$K$4, " ",-1)</f>
        <v>Medium</v>
      </c>
      <c r="Q614" t="str">
        <f xml:space="preserve"> _xlfn.XLOOKUP(M614, Lookup_Tables!$M$2:$M$5,Lookup_Tables!$N$2:$N$5," ", -1)</f>
        <v>Established (5-10)</v>
      </c>
      <c r="R614" s="4">
        <f t="shared" si="19"/>
        <v>2.3333333333333335</v>
      </c>
      <c r="S614" t="str">
        <f xml:space="preserve"> _xlfn.XLOOKUP( E614, Lookup_Tables!$A$2:$A$6,Lookup_Tables!$B$2:$B$6," ", -1)</f>
        <v>Master</v>
      </c>
      <c r="T614" t="str">
        <f>_xlfn.XLOOKUP(G614,Lookup_Tables!$D$2:$D$5,Lookup_Tables!$E$2:$E$5)</f>
        <v>Medium</v>
      </c>
      <c r="U614" t="str">
        <f>_xlfn.XLOOKUP(H614,Lookup_Tables!$D$2:$D$5,Lookup_Tables!$E$2:$E$5)</f>
        <v>Medium</v>
      </c>
      <c r="V614" t="str">
        <f>_xlfn.XLOOKUP(L614,Lookup_Tables!$D$2:$D$5,Lookup_Tables!$E$2:$E$5)</f>
        <v>High</v>
      </c>
    </row>
    <row r="615" spans="1:22">
      <c r="A615">
        <f>RAW_DATA!A615</f>
        <v>34</v>
      </c>
      <c r="B615" t="str">
        <f>RAW_DATA!B615</f>
        <v>No</v>
      </c>
      <c r="C615" t="str">
        <f>RAW_DATA!C615</f>
        <v>Human Resources</v>
      </c>
      <c r="D615">
        <f>RAW_DATA!D615</f>
        <v>3</v>
      </c>
      <c r="E615">
        <f>RAW_DATA!E615</f>
        <v>2</v>
      </c>
      <c r="F615" t="str">
        <f>RAW_DATA!F615</f>
        <v>Human Resources</v>
      </c>
      <c r="G615">
        <f>RAW_DATA!G615</f>
        <v>3</v>
      </c>
      <c r="H615">
        <f>RAW_DATA!H615</f>
        <v>4</v>
      </c>
      <c r="I615" t="str">
        <f>RAW_DATA!I615</f>
        <v>Married</v>
      </c>
      <c r="J615">
        <f>RAW_DATA!J615</f>
        <v>3737</v>
      </c>
      <c r="K615">
        <f>RAW_DATA!K615</f>
        <v>0</v>
      </c>
      <c r="L615">
        <f>RAW_DATA!L615</f>
        <v>1</v>
      </c>
      <c r="M615">
        <f>RAW_DATA!M615</f>
        <v>3</v>
      </c>
      <c r="N615">
        <f t="shared" si="18"/>
        <v>0</v>
      </c>
      <c r="O615" t="str">
        <f xml:space="preserve"> VLOOKUP(A615, Lookup_Tables!$G$2:$H$6,2,TRUE)</f>
        <v>25-34</v>
      </c>
      <c r="P615" t="str">
        <f>_xlfn.XLOOKUP(J615,Lookup_Tables!$J$2:$J$4,Lookup_Tables!$K$2:$K$4, " ",-1)</f>
        <v>Medium</v>
      </c>
      <c r="Q615" t="str">
        <f xml:space="preserve"> _xlfn.XLOOKUP(M615, Lookup_Tables!$M$2:$M$5,Lookup_Tables!$N$2:$N$5," ", -1)</f>
        <v>Early (2-5)</v>
      </c>
      <c r="R615" s="4">
        <f t="shared" si="19"/>
        <v>2.6666666666666665</v>
      </c>
      <c r="S615" t="str">
        <f xml:space="preserve"> _xlfn.XLOOKUP( E615, Lookup_Tables!$A$2:$A$6,Lookup_Tables!$B$2:$B$6," ", -1)</f>
        <v>College</v>
      </c>
      <c r="T615" t="str">
        <f>_xlfn.XLOOKUP(G615,Lookup_Tables!$D$2:$D$5,Lookup_Tables!$E$2:$E$5)</f>
        <v>High</v>
      </c>
      <c r="U615" t="str">
        <f>_xlfn.XLOOKUP(H615,Lookup_Tables!$D$2:$D$5,Lookup_Tables!$E$2:$E$5)</f>
        <v>Very High</v>
      </c>
      <c r="V615" t="str">
        <f>_xlfn.XLOOKUP(L615,Lookup_Tables!$D$2:$D$5,Lookup_Tables!$E$2:$E$5)</f>
        <v>Low</v>
      </c>
    </row>
    <row r="616" spans="1:22">
      <c r="A616">
        <f>RAW_DATA!A616</f>
        <v>26</v>
      </c>
      <c r="B616" t="str">
        <f>RAW_DATA!B616</f>
        <v>Yes</v>
      </c>
      <c r="C616" t="str">
        <f>RAW_DATA!C616</f>
        <v>Research &amp; Development</v>
      </c>
      <c r="D616">
        <f>RAW_DATA!D616</f>
        <v>5</v>
      </c>
      <c r="E616">
        <f>RAW_DATA!E616</f>
        <v>2</v>
      </c>
      <c r="F616" t="str">
        <f>RAW_DATA!F616</f>
        <v>Medical</v>
      </c>
      <c r="G616">
        <f>RAW_DATA!G616</f>
        <v>3</v>
      </c>
      <c r="H616">
        <f>RAW_DATA!H616</f>
        <v>3</v>
      </c>
      <c r="I616" t="str">
        <f>RAW_DATA!I616</f>
        <v>Married</v>
      </c>
      <c r="J616">
        <f>RAW_DATA!J616</f>
        <v>2366</v>
      </c>
      <c r="K616">
        <f>RAW_DATA!K616</f>
        <v>1</v>
      </c>
      <c r="L616">
        <f>RAW_DATA!L616</f>
        <v>3</v>
      </c>
      <c r="M616">
        <f>RAW_DATA!M616</f>
        <v>8</v>
      </c>
      <c r="N616">
        <f t="shared" si="18"/>
        <v>1</v>
      </c>
      <c r="O616" t="str">
        <f xml:space="preserve"> VLOOKUP(A616, Lookup_Tables!$G$2:$H$6,2,TRUE)</f>
        <v>25-34</v>
      </c>
      <c r="P616" t="str">
        <f>_xlfn.XLOOKUP(J616,Lookup_Tables!$J$2:$J$4,Lookup_Tables!$K$2:$K$4, " ",-1)</f>
        <v>Low</v>
      </c>
      <c r="Q616" t="str">
        <f xml:space="preserve"> _xlfn.XLOOKUP(M616, Lookup_Tables!$M$2:$M$5,Lookup_Tables!$N$2:$N$5," ", -1)</f>
        <v>Established (5-10)</v>
      </c>
      <c r="R616" s="4">
        <f t="shared" si="19"/>
        <v>3</v>
      </c>
      <c r="S616" t="str">
        <f xml:space="preserve"> _xlfn.XLOOKUP( E616, Lookup_Tables!$A$2:$A$6,Lookup_Tables!$B$2:$B$6," ", -1)</f>
        <v>College</v>
      </c>
      <c r="T616" t="str">
        <f>_xlfn.XLOOKUP(G616,Lookup_Tables!$D$2:$D$5,Lookup_Tables!$E$2:$E$5)</f>
        <v>High</v>
      </c>
      <c r="U616" t="str">
        <f>_xlfn.XLOOKUP(H616,Lookup_Tables!$D$2:$D$5,Lookup_Tables!$E$2:$E$5)</f>
        <v>High</v>
      </c>
      <c r="V616" t="str">
        <f>_xlfn.XLOOKUP(L616,Lookup_Tables!$D$2:$D$5,Lookup_Tables!$E$2:$E$5)</f>
        <v>High</v>
      </c>
    </row>
    <row r="617" spans="1:22">
      <c r="A617">
        <f>RAW_DATA!A617</f>
        <v>27</v>
      </c>
      <c r="B617" t="str">
        <f>RAW_DATA!B617</f>
        <v>No</v>
      </c>
      <c r="C617" t="str">
        <f>RAW_DATA!C617</f>
        <v>Research &amp; Development</v>
      </c>
      <c r="D617">
        <f>RAW_DATA!D617</f>
        <v>3</v>
      </c>
      <c r="E617">
        <f>RAW_DATA!E617</f>
        <v>3</v>
      </c>
      <c r="F617" t="str">
        <f>RAW_DATA!F617</f>
        <v>Medical</v>
      </c>
      <c r="G617">
        <f>RAW_DATA!G617</f>
        <v>4</v>
      </c>
      <c r="H617">
        <f>RAW_DATA!H617</f>
        <v>4</v>
      </c>
      <c r="I617" t="str">
        <f>RAW_DATA!I617</f>
        <v>Married</v>
      </c>
      <c r="J617">
        <f>RAW_DATA!J617</f>
        <v>1706</v>
      </c>
      <c r="K617">
        <f>RAW_DATA!K617</f>
        <v>1</v>
      </c>
      <c r="L617">
        <f>RAW_DATA!L617</f>
        <v>2</v>
      </c>
      <c r="M617">
        <f>RAW_DATA!M617</f>
        <v>0</v>
      </c>
      <c r="N617">
        <f t="shared" si="18"/>
        <v>0</v>
      </c>
      <c r="O617" t="str">
        <f xml:space="preserve"> VLOOKUP(A617, Lookup_Tables!$G$2:$H$6,2,TRUE)</f>
        <v>25-34</v>
      </c>
      <c r="P617" t="str">
        <f>_xlfn.XLOOKUP(J617,Lookup_Tables!$J$2:$J$4,Lookup_Tables!$K$2:$K$4, " ",-1)</f>
        <v>Low</v>
      </c>
      <c r="Q617" t="str">
        <f xml:space="preserve"> _xlfn.XLOOKUP(M617, Lookup_Tables!$M$2:$M$5,Lookup_Tables!$N$2:$N$5," ", -1)</f>
        <v>New (0-2)</v>
      </c>
      <c r="R617" s="4">
        <f t="shared" si="19"/>
        <v>3.3333333333333335</v>
      </c>
      <c r="S617" t="str">
        <f xml:space="preserve"> _xlfn.XLOOKUP( E617, Lookup_Tables!$A$2:$A$6,Lookup_Tables!$B$2:$B$6," ", -1)</f>
        <v>Bachelor</v>
      </c>
      <c r="T617" t="str">
        <f>_xlfn.XLOOKUP(G617,Lookup_Tables!$D$2:$D$5,Lookup_Tables!$E$2:$E$5)</f>
        <v>Very High</v>
      </c>
      <c r="U617" t="str">
        <f>_xlfn.XLOOKUP(H617,Lookup_Tables!$D$2:$D$5,Lookup_Tables!$E$2:$E$5)</f>
        <v>Very High</v>
      </c>
      <c r="V617" t="str">
        <f>_xlfn.XLOOKUP(L617,Lookup_Tables!$D$2:$D$5,Lookup_Tables!$E$2:$E$5)</f>
        <v>Medium</v>
      </c>
    </row>
    <row r="618" spans="1:22">
      <c r="A618">
        <f>RAW_DATA!A618</f>
        <v>51</v>
      </c>
      <c r="B618" t="str">
        <f>RAW_DATA!B618</f>
        <v>No</v>
      </c>
      <c r="C618" t="str">
        <f>RAW_DATA!C618</f>
        <v>Sales</v>
      </c>
      <c r="D618">
        <f>RAW_DATA!D618</f>
        <v>26</v>
      </c>
      <c r="E618">
        <f>RAW_DATA!E618</f>
        <v>4</v>
      </c>
      <c r="F618" t="str">
        <f>RAW_DATA!F618</f>
        <v>Marketing</v>
      </c>
      <c r="G618">
        <f>RAW_DATA!G618</f>
        <v>1</v>
      </c>
      <c r="H618">
        <f>RAW_DATA!H618</f>
        <v>3</v>
      </c>
      <c r="I618" t="str">
        <f>RAW_DATA!I618</f>
        <v>Married</v>
      </c>
      <c r="J618">
        <f>RAW_DATA!J618</f>
        <v>16307</v>
      </c>
      <c r="K618">
        <f>RAW_DATA!K618</f>
        <v>2</v>
      </c>
      <c r="L618">
        <f>RAW_DATA!L618</f>
        <v>2</v>
      </c>
      <c r="M618">
        <f>RAW_DATA!M618</f>
        <v>20</v>
      </c>
      <c r="N618">
        <f t="shared" si="18"/>
        <v>0</v>
      </c>
      <c r="O618" t="str">
        <f xml:space="preserve"> VLOOKUP(A618, Lookup_Tables!$G$2:$H$6,2,TRUE)</f>
        <v>45-54</v>
      </c>
      <c r="P618" t="str">
        <f>_xlfn.XLOOKUP(J618,Lookup_Tables!$J$2:$J$4,Lookup_Tables!$K$2:$K$4, " ",-1)</f>
        <v>High</v>
      </c>
      <c r="Q618" t="str">
        <f xml:space="preserve"> _xlfn.XLOOKUP(M618, Lookup_Tables!$M$2:$M$5,Lookup_Tables!$N$2:$N$5," ", -1)</f>
        <v>Veteran (10+)</v>
      </c>
      <c r="R618" s="4">
        <f t="shared" si="19"/>
        <v>2</v>
      </c>
      <c r="S618" t="str">
        <f xml:space="preserve"> _xlfn.XLOOKUP( E618, Lookup_Tables!$A$2:$A$6,Lookup_Tables!$B$2:$B$6," ", -1)</f>
        <v>Master</v>
      </c>
      <c r="T618" t="str">
        <f>_xlfn.XLOOKUP(G618,Lookup_Tables!$D$2:$D$5,Lookup_Tables!$E$2:$E$5)</f>
        <v>Low</v>
      </c>
      <c r="U618" t="str">
        <f>_xlfn.XLOOKUP(H618,Lookup_Tables!$D$2:$D$5,Lookup_Tables!$E$2:$E$5)</f>
        <v>High</v>
      </c>
      <c r="V618" t="str">
        <f>_xlfn.XLOOKUP(L618,Lookup_Tables!$D$2:$D$5,Lookup_Tables!$E$2:$E$5)</f>
        <v>Medium</v>
      </c>
    </row>
    <row r="619" spans="1:22">
      <c r="A619">
        <f>RAW_DATA!A619</f>
        <v>44</v>
      </c>
      <c r="B619" t="str">
        <f>RAW_DATA!B619</f>
        <v>No</v>
      </c>
      <c r="C619" t="str">
        <f>RAW_DATA!C619</f>
        <v>Research &amp; Development</v>
      </c>
      <c r="D619">
        <f>RAW_DATA!D619</f>
        <v>4</v>
      </c>
      <c r="E619">
        <f>RAW_DATA!E619</f>
        <v>3</v>
      </c>
      <c r="F619" t="str">
        <f>RAW_DATA!F619</f>
        <v>Medical</v>
      </c>
      <c r="G619">
        <f>RAW_DATA!G619</f>
        <v>4</v>
      </c>
      <c r="H619">
        <f>RAW_DATA!H619</f>
        <v>2</v>
      </c>
      <c r="I619" t="str">
        <f>RAW_DATA!I619</f>
        <v>Single</v>
      </c>
      <c r="J619">
        <f>RAW_DATA!J619</f>
        <v>5933</v>
      </c>
      <c r="K619">
        <f>RAW_DATA!K619</f>
        <v>9</v>
      </c>
      <c r="L619">
        <f>RAW_DATA!L619</f>
        <v>2</v>
      </c>
      <c r="M619">
        <f>RAW_DATA!M619</f>
        <v>5</v>
      </c>
      <c r="N619">
        <f t="shared" si="18"/>
        <v>0</v>
      </c>
      <c r="O619" t="str">
        <f xml:space="preserve"> VLOOKUP(A619, Lookup_Tables!$G$2:$H$6,2,TRUE)</f>
        <v>35-44</v>
      </c>
      <c r="P619" t="str">
        <f>_xlfn.XLOOKUP(J619,Lookup_Tables!$J$2:$J$4,Lookup_Tables!$K$2:$K$4, " ",-1)</f>
        <v>Medium</v>
      </c>
      <c r="Q619" t="str">
        <f xml:space="preserve"> _xlfn.XLOOKUP(M619, Lookup_Tables!$M$2:$M$5,Lookup_Tables!$N$2:$N$5," ", -1)</f>
        <v>Established (5-10)</v>
      </c>
      <c r="R619" s="4">
        <f t="shared" si="19"/>
        <v>2.6666666666666665</v>
      </c>
      <c r="S619" t="str">
        <f xml:space="preserve"> _xlfn.XLOOKUP( E619, Lookup_Tables!$A$2:$A$6,Lookup_Tables!$B$2:$B$6," ", -1)</f>
        <v>Bachelor</v>
      </c>
      <c r="T619" t="str">
        <f>_xlfn.XLOOKUP(G619,Lookup_Tables!$D$2:$D$5,Lookup_Tables!$E$2:$E$5)</f>
        <v>Very High</v>
      </c>
      <c r="U619" t="str">
        <f>_xlfn.XLOOKUP(H619,Lookup_Tables!$D$2:$D$5,Lookup_Tables!$E$2:$E$5)</f>
        <v>Medium</v>
      </c>
      <c r="V619" t="str">
        <f>_xlfn.XLOOKUP(L619,Lookup_Tables!$D$2:$D$5,Lookup_Tables!$E$2:$E$5)</f>
        <v>Medium</v>
      </c>
    </row>
    <row r="620" spans="1:22">
      <c r="A620">
        <f>RAW_DATA!A620</f>
        <v>25</v>
      </c>
      <c r="B620" t="str">
        <f>RAW_DATA!B620</f>
        <v>No</v>
      </c>
      <c r="C620" t="str">
        <f>RAW_DATA!C620</f>
        <v>Research &amp; Development</v>
      </c>
      <c r="D620">
        <f>RAW_DATA!D620</f>
        <v>2</v>
      </c>
      <c r="E620">
        <f>RAW_DATA!E620</f>
        <v>1</v>
      </c>
      <c r="F620" t="str">
        <f>RAW_DATA!F620</f>
        <v>Medical</v>
      </c>
      <c r="G620">
        <f>RAW_DATA!G620</f>
        <v>1</v>
      </c>
      <c r="H620">
        <f>RAW_DATA!H620</f>
        <v>1</v>
      </c>
      <c r="I620" t="str">
        <f>RAW_DATA!I620</f>
        <v>Single</v>
      </c>
      <c r="J620">
        <f>RAW_DATA!J620</f>
        <v>3424</v>
      </c>
      <c r="K620">
        <f>RAW_DATA!K620</f>
        <v>7</v>
      </c>
      <c r="L620">
        <f>RAW_DATA!L620</f>
        <v>2</v>
      </c>
      <c r="M620">
        <f>RAW_DATA!M620</f>
        <v>4</v>
      </c>
      <c r="N620">
        <f t="shared" si="18"/>
        <v>0</v>
      </c>
      <c r="O620" t="str">
        <f xml:space="preserve"> VLOOKUP(A620, Lookup_Tables!$G$2:$H$6,2,TRUE)</f>
        <v>25-34</v>
      </c>
      <c r="P620" t="str">
        <f>_xlfn.XLOOKUP(J620,Lookup_Tables!$J$2:$J$4,Lookup_Tables!$K$2:$K$4, " ",-1)</f>
        <v>Medium</v>
      </c>
      <c r="Q620" t="str">
        <f xml:space="preserve"> _xlfn.XLOOKUP(M620, Lookup_Tables!$M$2:$M$5,Lookup_Tables!$N$2:$N$5," ", -1)</f>
        <v>Early (2-5)</v>
      </c>
      <c r="R620" s="4">
        <f t="shared" si="19"/>
        <v>1.3333333333333333</v>
      </c>
      <c r="S620" t="str">
        <f xml:space="preserve"> _xlfn.XLOOKUP( E620, Lookup_Tables!$A$2:$A$6,Lookup_Tables!$B$2:$B$6," ", -1)</f>
        <v>Below College</v>
      </c>
      <c r="T620" t="str">
        <f>_xlfn.XLOOKUP(G620,Lookup_Tables!$D$2:$D$5,Lookup_Tables!$E$2:$E$5)</f>
        <v>Low</v>
      </c>
      <c r="U620" t="str">
        <f>_xlfn.XLOOKUP(H620,Lookup_Tables!$D$2:$D$5,Lookup_Tables!$E$2:$E$5)</f>
        <v>Low</v>
      </c>
      <c r="V620" t="str">
        <f>_xlfn.XLOOKUP(L620,Lookup_Tables!$D$2:$D$5,Lookup_Tables!$E$2:$E$5)</f>
        <v>Medium</v>
      </c>
    </row>
    <row r="621" spans="1:22">
      <c r="A621">
        <f>RAW_DATA!A621</f>
        <v>33</v>
      </c>
      <c r="B621" t="str">
        <f>RAW_DATA!B621</f>
        <v>No</v>
      </c>
      <c r="C621" t="str">
        <f>RAW_DATA!C621</f>
        <v>Sales</v>
      </c>
      <c r="D621">
        <f>RAW_DATA!D621</f>
        <v>1</v>
      </c>
      <c r="E621">
        <f>RAW_DATA!E621</f>
        <v>3</v>
      </c>
      <c r="F621" t="str">
        <f>RAW_DATA!F621</f>
        <v>Medical</v>
      </c>
      <c r="G621">
        <f>RAW_DATA!G621</f>
        <v>1</v>
      </c>
      <c r="H621">
        <f>RAW_DATA!H621</f>
        <v>1</v>
      </c>
      <c r="I621" t="str">
        <f>RAW_DATA!I621</f>
        <v>Divorced</v>
      </c>
      <c r="J621">
        <f>RAW_DATA!J621</f>
        <v>4037</v>
      </c>
      <c r="K621">
        <f>RAW_DATA!K621</f>
        <v>1</v>
      </c>
      <c r="L621">
        <f>RAW_DATA!L621</f>
        <v>3</v>
      </c>
      <c r="M621">
        <f>RAW_DATA!M621</f>
        <v>9</v>
      </c>
      <c r="N621">
        <f t="shared" si="18"/>
        <v>0</v>
      </c>
      <c r="O621" t="str">
        <f xml:space="preserve"> VLOOKUP(A621, Lookup_Tables!$G$2:$H$6,2,TRUE)</f>
        <v>25-34</v>
      </c>
      <c r="P621" t="str">
        <f>_xlfn.XLOOKUP(J621,Lookup_Tables!$J$2:$J$4,Lookup_Tables!$K$2:$K$4, " ",-1)</f>
        <v>Medium</v>
      </c>
      <c r="Q621" t="str">
        <f xml:space="preserve"> _xlfn.XLOOKUP(M621, Lookup_Tables!$M$2:$M$5,Lookup_Tables!$N$2:$N$5," ", -1)</f>
        <v>Established (5-10)</v>
      </c>
      <c r="R621" s="4">
        <f t="shared" si="19"/>
        <v>1.6666666666666667</v>
      </c>
      <c r="S621" t="str">
        <f xml:space="preserve"> _xlfn.XLOOKUP( E621, Lookup_Tables!$A$2:$A$6,Lookup_Tables!$B$2:$B$6," ", -1)</f>
        <v>Bachelor</v>
      </c>
      <c r="T621" t="str">
        <f>_xlfn.XLOOKUP(G621,Lookup_Tables!$D$2:$D$5,Lookup_Tables!$E$2:$E$5)</f>
        <v>Low</v>
      </c>
      <c r="U621" t="str">
        <f>_xlfn.XLOOKUP(H621,Lookup_Tables!$D$2:$D$5,Lookup_Tables!$E$2:$E$5)</f>
        <v>Low</v>
      </c>
      <c r="V621" t="str">
        <f>_xlfn.XLOOKUP(L621,Lookup_Tables!$D$2:$D$5,Lookup_Tables!$E$2:$E$5)</f>
        <v>High</v>
      </c>
    </row>
    <row r="622" spans="1:22">
      <c r="A622">
        <f>RAW_DATA!A622</f>
        <v>35</v>
      </c>
      <c r="B622" t="str">
        <f>RAW_DATA!B622</f>
        <v>No</v>
      </c>
      <c r="C622" t="str">
        <f>RAW_DATA!C622</f>
        <v>Research &amp; Development</v>
      </c>
      <c r="D622">
        <f>RAW_DATA!D622</f>
        <v>27</v>
      </c>
      <c r="E622">
        <f>RAW_DATA!E622</f>
        <v>1</v>
      </c>
      <c r="F622" t="str">
        <f>RAW_DATA!F622</f>
        <v>Medical</v>
      </c>
      <c r="G622">
        <f>RAW_DATA!G622</f>
        <v>3</v>
      </c>
      <c r="H622">
        <f>RAW_DATA!H622</f>
        <v>1</v>
      </c>
      <c r="I622" t="str">
        <f>RAW_DATA!I622</f>
        <v>Single</v>
      </c>
      <c r="J622">
        <f>RAW_DATA!J622</f>
        <v>2559</v>
      </c>
      <c r="K622">
        <f>RAW_DATA!K622</f>
        <v>1</v>
      </c>
      <c r="L622">
        <f>RAW_DATA!L622</f>
        <v>2</v>
      </c>
      <c r="M622">
        <f>RAW_DATA!M622</f>
        <v>6</v>
      </c>
      <c r="N622">
        <f t="shared" si="18"/>
        <v>0</v>
      </c>
      <c r="O622" t="str">
        <f xml:space="preserve"> VLOOKUP(A622, Lookup_Tables!$G$2:$H$6,2,TRUE)</f>
        <v>35-44</v>
      </c>
      <c r="P622" t="str">
        <f>_xlfn.XLOOKUP(J622,Lookup_Tables!$J$2:$J$4,Lookup_Tables!$K$2:$K$4, " ",-1)</f>
        <v>Low</v>
      </c>
      <c r="Q622" t="str">
        <f xml:space="preserve"> _xlfn.XLOOKUP(M622, Lookup_Tables!$M$2:$M$5,Lookup_Tables!$N$2:$N$5," ", -1)</f>
        <v>Established (5-10)</v>
      </c>
      <c r="R622" s="4">
        <f t="shared" si="19"/>
        <v>2</v>
      </c>
      <c r="S622" t="str">
        <f xml:space="preserve"> _xlfn.XLOOKUP( E622, Lookup_Tables!$A$2:$A$6,Lookup_Tables!$B$2:$B$6," ", -1)</f>
        <v>Below College</v>
      </c>
      <c r="T622" t="str">
        <f>_xlfn.XLOOKUP(G622,Lookup_Tables!$D$2:$D$5,Lookup_Tables!$E$2:$E$5)</f>
        <v>High</v>
      </c>
      <c r="U622" t="str">
        <f>_xlfn.XLOOKUP(H622,Lookup_Tables!$D$2:$D$5,Lookup_Tables!$E$2:$E$5)</f>
        <v>Low</v>
      </c>
      <c r="V622" t="str">
        <f>_xlfn.XLOOKUP(L622,Lookup_Tables!$D$2:$D$5,Lookup_Tables!$E$2:$E$5)</f>
        <v>Medium</v>
      </c>
    </row>
    <row r="623" spans="1:22">
      <c r="A623">
        <f>RAW_DATA!A623</f>
        <v>36</v>
      </c>
      <c r="B623" t="str">
        <f>RAW_DATA!B623</f>
        <v>No</v>
      </c>
      <c r="C623" t="str">
        <f>RAW_DATA!C623</f>
        <v>Sales</v>
      </c>
      <c r="D623">
        <f>RAW_DATA!D623</f>
        <v>1</v>
      </c>
      <c r="E623">
        <f>RAW_DATA!E623</f>
        <v>2</v>
      </c>
      <c r="F623" t="str">
        <f>RAW_DATA!F623</f>
        <v>Life Sciences</v>
      </c>
      <c r="G623">
        <f>RAW_DATA!G623</f>
        <v>2</v>
      </c>
      <c r="H623">
        <f>RAW_DATA!H623</f>
        <v>4</v>
      </c>
      <c r="I623" t="str">
        <f>RAW_DATA!I623</f>
        <v>Married</v>
      </c>
      <c r="J623">
        <f>RAW_DATA!J623</f>
        <v>6201</v>
      </c>
      <c r="K623">
        <f>RAW_DATA!K623</f>
        <v>1</v>
      </c>
      <c r="L623">
        <f>RAW_DATA!L623</f>
        <v>2</v>
      </c>
      <c r="M623">
        <f>RAW_DATA!M623</f>
        <v>18</v>
      </c>
      <c r="N623">
        <f t="shared" si="18"/>
        <v>0</v>
      </c>
      <c r="O623" t="str">
        <f xml:space="preserve"> VLOOKUP(A623, Lookup_Tables!$G$2:$H$6,2,TRUE)</f>
        <v>35-44</v>
      </c>
      <c r="P623" t="str">
        <f>_xlfn.XLOOKUP(J623,Lookup_Tables!$J$2:$J$4,Lookup_Tables!$K$2:$K$4, " ",-1)</f>
        <v>Medium</v>
      </c>
      <c r="Q623" t="str">
        <f xml:space="preserve"> _xlfn.XLOOKUP(M623, Lookup_Tables!$M$2:$M$5,Lookup_Tables!$N$2:$N$5," ", -1)</f>
        <v>Veteran (10+)</v>
      </c>
      <c r="R623" s="4">
        <f t="shared" si="19"/>
        <v>2.6666666666666665</v>
      </c>
      <c r="S623" t="str">
        <f xml:space="preserve"> _xlfn.XLOOKUP( E623, Lookup_Tables!$A$2:$A$6,Lookup_Tables!$B$2:$B$6," ", -1)</f>
        <v>College</v>
      </c>
      <c r="T623" t="str">
        <f>_xlfn.XLOOKUP(G623,Lookup_Tables!$D$2:$D$5,Lookup_Tables!$E$2:$E$5)</f>
        <v>Medium</v>
      </c>
      <c r="U623" t="str">
        <f>_xlfn.XLOOKUP(H623,Lookup_Tables!$D$2:$D$5,Lookup_Tables!$E$2:$E$5)</f>
        <v>Very High</v>
      </c>
      <c r="V623" t="str">
        <f>_xlfn.XLOOKUP(L623,Lookup_Tables!$D$2:$D$5,Lookup_Tables!$E$2:$E$5)</f>
        <v>Medium</v>
      </c>
    </row>
    <row r="624" spans="1:22">
      <c r="A624">
        <f>RAW_DATA!A624</f>
        <v>32</v>
      </c>
      <c r="B624" t="str">
        <f>RAW_DATA!B624</f>
        <v>No</v>
      </c>
      <c r="C624" t="str">
        <f>RAW_DATA!C624</f>
        <v>Sales</v>
      </c>
      <c r="D624">
        <f>RAW_DATA!D624</f>
        <v>13</v>
      </c>
      <c r="E624">
        <f>RAW_DATA!E624</f>
        <v>4</v>
      </c>
      <c r="F624" t="str">
        <f>RAW_DATA!F624</f>
        <v>Life Sciences</v>
      </c>
      <c r="G624">
        <f>RAW_DATA!G624</f>
        <v>2</v>
      </c>
      <c r="H624">
        <f>RAW_DATA!H624</f>
        <v>4</v>
      </c>
      <c r="I624" t="str">
        <f>RAW_DATA!I624</f>
        <v>Divorced</v>
      </c>
      <c r="J624">
        <f>RAW_DATA!J624</f>
        <v>4403</v>
      </c>
      <c r="K624">
        <f>RAW_DATA!K624</f>
        <v>2</v>
      </c>
      <c r="L624">
        <f>RAW_DATA!L624</f>
        <v>2</v>
      </c>
      <c r="M624">
        <f>RAW_DATA!M624</f>
        <v>5</v>
      </c>
      <c r="N624">
        <f t="shared" si="18"/>
        <v>0</v>
      </c>
      <c r="O624" t="str">
        <f xml:space="preserve"> VLOOKUP(A624, Lookup_Tables!$G$2:$H$6,2,TRUE)</f>
        <v>25-34</v>
      </c>
      <c r="P624" t="str">
        <f>_xlfn.XLOOKUP(J624,Lookup_Tables!$J$2:$J$4,Lookup_Tables!$K$2:$K$4, " ",-1)</f>
        <v>Medium</v>
      </c>
      <c r="Q624" t="str">
        <f xml:space="preserve"> _xlfn.XLOOKUP(M624, Lookup_Tables!$M$2:$M$5,Lookup_Tables!$N$2:$N$5," ", -1)</f>
        <v>Established (5-10)</v>
      </c>
      <c r="R624" s="4">
        <f t="shared" si="19"/>
        <v>2.6666666666666665</v>
      </c>
      <c r="S624" t="str">
        <f xml:space="preserve"> _xlfn.XLOOKUP( E624, Lookup_Tables!$A$2:$A$6,Lookup_Tables!$B$2:$B$6," ", -1)</f>
        <v>Master</v>
      </c>
      <c r="T624" t="str">
        <f>_xlfn.XLOOKUP(G624,Lookup_Tables!$D$2:$D$5,Lookup_Tables!$E$2:$E$5)</f>
        <v>Medium</v>
      </c>
      <c r="U624" t="str">
        <f>_xlfn.XLOOKUP(H624,Lookup_Tables!$D$2:$D$5,Lookup_Tables!$E$2:$E$5)</f>
        <v>Very High</v>
      </c>
      <c r="V624" t="str">
        <f>_xlfn.XLOOKUP(L624,Lookup_Tables!$D$2:$D$5,Lookup_Tables!$E$2:$E$5)</f>
        <v>Medium</v>
      </c>
    </row>
    <row r="625" spans="1:22">
      <c r="A625">
        <f>RAW_DATA!A625</f>
        <v>30</v>
      </c>
      <c r="B625" t="str">
        <f>RAW_DATA!B625</f>
        <v>No</v>
      </c>
      <c r="C625" t="str">
        <f>RAW_DATA!C625</f>
        <v>Research &amp; Development</v>
      </c>
      <c r="D625">
        <f>RAW_DATA!D625</f>
        <v>5</v>
      </c>
      <c r="E625">
        <f>RAW_DATA!E625</f>
        <v>4</v>
      </c>
      <c r="F625" t="str">
        <f>RAW_DATA!F625</f>
        <v>Life Sciences</v>
      </c>
      <c r="G625">
        <f>RAW_DATA!G625</f>
        <v>2</v>
      </c>
      <c r="H625">
        <f>RAW_DATA!H625</f>
        <v>4</v>
      </c>
      <c r="I625" t="str">
        <f>RAW_DATA!I625</f>
        <v>Divorced</v>
      </c>
      <c r="J625">
        <f>RAW_DATA!J625</f>
        <v>3761</v>
      </c>
      <c r="K625">
        <f>RAW_DATA!K625</f>
        <v>9</v>
      </c>
      <c r="L625">
        <f>RAW_DATA!L625</f>
        <v>2</v>
      </c>
      <c r="M625">
        <f>RAW_DATA!M625</f>
        <v>5</v>
      </c>
      <c r="N625">
        <f t="shared" si="18"/>
        <v>0</v>
      </c>
      <c r="O625" t="str">
        <f xml:space="preserve"> VLOOKUP(A625, Lookup_Tables!$G$2:$H$6,2,TRUE)</f>
        <v>25-34</v>
      </c>
      <c r="P625" t="str">
        <f>_xlfn.XLOOKUP(J625,Lookup_Tables!$J$2:$J$4,Lookup_Tables!$K$2:$K$4, " ",-1)</f>
        <v>Medium</v>
      </c>
      <c r="Q625" t="str">
        <f xml:space="preserve"> _xlfn.XLOOKUP(M625, Lookup_Tables!$M$2:$M$5,Lookup_Tables!$N$2:$N$5," ", -1)</f>
        <v>Established (5-10)</v>
      </c>
      <c r="R625" s="4">
        <f t="shared" si="19"/>
        <v>2.6666666666666665</v>
      </c>
      <c r="S625" t="str">
        <f xml:space="preserve"> _xlfn.XLOOKUP( E625, Lookup_Tables!$A$2:$A$6,Lookup_Tables!$B$2:$B$6," ", -1)</f>
        <v>Master</v>
      </c>
      <c r="T625" t="str">
        <f>_xlfn.XLOOKUP(G625,Lookup_Tables!$D$2:$D$5,Lookup_Tables!$E$2:$E$5)</f>
        <v>Medium</v>
      </c>
      <c r="U625" t="str">
        <f>_xlfn.XLOOKUP(H625,Lookup_Tables!$D$2:$D$5,Lookup_Tables!$E$2:$E$5)</f>
        <v>Very High</v>
      </c>
      <c r="V625" t="str">
        <f>_xlfn.XLOOKUP(L625,Lookup_Tables!$D$2:$D$5,Lookup_Tables!$E$2:$E$5)</f>
        <v>Medium</v>
      </c>
    </row>
    <row r="626" spans="1:22">
      <c r="A626">
        <f>RAW_DATA!A626</f>
        <v>53</v>
      </c>
      <c r="B626" t="str">
        <f>RAW_DATA!B626</f>
        <v>No</v>
      </c>
      <c r="C626" t="str">
        <f>RAW_DATA!C626</f>
        <v>Sales</v>
      </c>
      <c r="D626">
        <f>RAW_DATA!D626</f>
        <v>7</v>
      </c>
      <c r="E626">
        <f>RAW_DATA!E626</f>
        <v>2</v>
      </c>
      <c r="F626" t="str">
        <f>RAW_DATA!F626</f>
        <v>Marketing</v>
      </c>
      <c r="G626">
        <f>RAW_DATA!G626</f>
        <v>1</v>
      </c>
      <c r="H626">
        <f>RAW_DATA!H626</f>
        <v>4</v>
      </c>
      <c r="I626" t="str">
        <f>RAW_DATA!I626</f>
        <v>Married</v>
      </c>
      <c r="J626">
        <f>RAW_DATA!J626</f>
        <v>10934</v>
      </c>
      <c r="K626">
        <f>RAW_DATA!K626</f>
        <v>7</v>
      </c>
      <c r="L626">
        <f>RAW_DATA!L626</f>
        <v>3</v>
      </c>
      <c r="M626">
        <f>RAW_DATA!M626</f>
        <v>5</v>
      </c>
      <c r="N626">
        <f t="shared" si="18"/>
        <v>0</v>
      </c>
      <c r="O626" t="str">
        <f xml:space="preserve"> VLOOKUP(A626, Lookup_Tables!$G$2:$H$6,2,TRUE)</f>
        <v>45-54</v>
      </c>
      <c r="P626" t="str">
        <f>_xlfn.XLOOKUP(J626,Lookup_Tables!$J$2:$J$4,Lookup_Tables!$K$2:$K$4, " ",-1)</f>
        <v>High</v>
      </c>
      <c r="Q626" t="str">
        <f xml:space="preserve"> _xlfn.XLOOKUP(M626, Lookup_Tables!$M$2:$M$5,Lookup_Tables!$N$2:$N$5," ", -1)</f>
        <v>Established (5-10)</v>
      </c>
      <c r="R626" s="4">
        <f t="shared" si="19"/>
        <v>2.6666666666666665</v>
      </c>
      <c r="S626" t="str">
        <f xml:space="preserve"> _xlfn.XLOOKUP( E626, Lookup_Tables!$A$2:$A$6,Lookup_Tables!$B$2:$B$6," ", -1)</f>
        <v>College</v>
      </c>
      <c r="T626" t="str">
        <f>_xlfn.XLOOKUP(G626,Lookup_Tables!$D$2:$D$5,Lookup_Tables!$E$2:$E$5)</f>
        <v>Low</v>
      </c>
      <c r="U626" t="str">
        <f>_xlfn.XLOOKUP(H626,Lookup_Tables!$D$2:$D$5,Lookup_Tables!$E$2:$E$5)</f>
        <v>Very High</v>
      </c>
      <c r="V626" t="str">
        <f>_xlfn.XLOOKUP(L626,Lookup_Tables!$D$2:$D$5,Lookup_Tables!$E$2:$E$5)</f>
        <v>High</v>
      </c>
    </row>
    <row r="627" spans="1:22">
      <c r="A627">
        <f>RAW_DATA!A627</f>
        <v>45</v>
      </c>
      <c r="B627" t="str">
        <f>RAW_DATA!B627</f>
        <v>No</v>
      </c>
      <c r="C627" t="str">
        <f>RAW_DATA!C627</f>
        <v>Sales</v>
      </c>
      <c r="D627">
        <f>RAW_DATA!D627</f>
        <v>9</v>
      </c>
      <c r="E627">
        <f>RAW_DATA!E627</f>
        <v>3</v>
      </c>
      <c r="F627" t="str">
        <f>RAW_DATA!F627</f>
        <v>Marketing</v>
      </c>
      <c r="G627">
        <f>RAW_DATA!G627</f>
        <v>4</v>
      </c>
      <c r="H627">
        <f>RAW_DATA!H627</f>
        <v>1</v>
      </c>
      <c r="I627" t="str">
        <f>RAW_DATA!I627</f>
        <v>Divorced</v>
      </c>
      <c r="J627">
        <f>RAW_DATA!J627</f>
        <v>10761</v>
      </c>
      <c r="K627">
        <f>RAW_DATA!K627</f>
        <v>4</v>
      </c>
      <c r="L627">
        <f>RAW_DATA!L627</f>
        <v>3</v>
      </c>
      <c r="M627">
        <f>RAW_DATA!M627</f>
        <v>5</v>
      </c>
      <c r="N627">
        <f t="shared" si="18"/>
        <v>0</v>
      </c>
      <c r="O627" t="str">
        <f xml:space="preserve"> VLOOKUP(A627, Lookup_Tables!$G$2:$H$6,2,TRUE)</f>
        <v>45-54</v>
      </c>
      <c r="P627" t="str">
        <f>_xlfn.XLOOKUP(J627,Lookup_Tables!$J$2:$J$4,Lookup_Tables!$K$2:$K$4, " ",-1)</f>
        <v>High</v>
      </c>
      <c r="Q627" t="str">
        <f xml:space="preserve"> _xlfn.XLOOKUP(M627, Lookup_Tables!$M$2:$M$5,Lookup_Tables!$N$2:$N$5," ", -1)</f>
        <v>Established (5-10)</v>
      </c>
      <c r="R627" s="4">
        <f t="shared" si="19"/>
        <v>2.6666666666666665</v>
      </c>
      <c r="S627" t="str">
        <f xml:space="preserve"> _xlfn.XLOOKUP( E627, Lookup_Tables!$A$2:$A$6,Lookup_Tables!$B$2:$B$6," ", -1)</f>
        <v>Bachelor</v>
      </c>
      <c r="T627" t="str">
        <f>_xlfn.XLOOKUP(G627,Lookup_Tables!$D$2:$D$5,Lookup_Tables!$E$2:$E$5)</f>
        <v>Very High</v>
      </c>
      <c r="U627" t="str">
        <f>_xlfn.XLOOKUP(H627,Lookup_Tables!$D$2:$D$5,Lookup_Tables!$E$2:$E$5)</f>
        <v>Low</v>
      </c>
      <c r="V627" t="str">
        <f>_xlfn.XLOOKUP(L627,Lookup_Tables!$D$2:$D$5,Lookup_Tables!$E$2:$E$5)</f>
        <v>High</v>
      </c>
    </row>
    <row r="628" spans="1:22">
      <c r="A628">
        <f>RAW_DATA!A628</f>
        <v>32</v>
      </c>
      <c r="B628" t="str">
        <f>RAW_DATA!B628</f>
        <v>No</v>
      </c>
      <c r="C628" t="str">
        <f>RAW_DATA!C628</f>
        <v>Research &amp; Development</v>
      </c>
      <c r="D628">
        <f>RAW_DATA!D628</f>
        <v>8</v>
      </c>
      <c r="E628">
        <f>RAW_DATA!E628</f>
        <v>2</v>
      </c>
      <c r="F628" t="str">
        <f>RAW_DATA!F628</f>
        <v>Medical</v>
      </c>
      <c r="G628">
        <f>RAW_DATA!G628</f>
        <v>3</v>
      </c>
      <c r="H628">
        <f>RAW_DATA!H628</f>
        <v>3</v>
      </c>
      <c r="I628" t="str">
        <f>RAW_DATA!I628</f>
        <v>Married</v>
      </c>
      <c r="J628">
        <f>RAW_DATA!J628</f>
        <v>5175</v>
      </c>
      <c r="K628">
        <f>RAW_DATA!K628</f>
        <v>5</v>
      </c>
      <c r="L628">
        <f>RAW_DATA!L628</f>
        <v>2</v>
      </c>
      <c r="M628">
        <f>RAW_DATA!M628</f>
        <v>5</v>
      </c>
      <c r="N628">
        <f t="shared" si="18"/>
        <v>0</v>
      </c>
      <c r="O628" t="str">
        <f xml:space="preserve"> VLOOKUP(A628, Lookup_Tables!$G$2:$H$6,2,TRUE)</f>
        <v>25-34</v>
      </c>
      <c r="P628" t="str">
        <f>_xlfn.XLOOKUP(J628,Lookup_Tables!$J$2:$J$4,Lookup_Tables!$K$2:$K$4, " ",-1)</f>
        <v>Medium</v>
      </c>
      <c r="Q628" t="str">
        <f xml:space="preserve"> _xlfn.XLOOKUP(M628, Lookup_Tables!$M$2:$M$5,Lookup_Tables!$N$2:$N$5," ", -1)</f>
        <v>Established (5-10)</v>
      </c>
      <c r="R628" s="4">
        <f t="shared" si="19"/>
        <v>2.6666666666666665</v>
      </c>
      <c r="S628" t="str">
        <f xml:space="preserve"> _xlfn.XLOOKUP( E628, Lookup_Tables!$A$2:$A$6,Lookup_Tables!$B$2:$B$6," ", -1)</f>
        <v>College</v>
      </c>
      <c r="T628" t="str">
        <f>_xlfn.XLOOKUP(G628,Lookup_Tables!$D$2:$D$5,Lookup_Tables!$E$2:$E$5)</f>
        <v>High</v>
      </c>
      <c r="U628" t="str">
        <f>_xlfn.XLOOKUP(H628,Lookup_Tables!$D$2:$D$5,Lookup_Tables!$E$2:$E$5)</f>
        <v>High</v>
      </c>
      <c r="V628" t="str">
        <f>_xlfn.XLOOKUP(L628,Lookup_Tables!$D$2:$D$5,Lookup_Tables!$E$2:$E$5)</f>
        <v>Medium</v>
      </c>
    </row>
    <row r="629" spans="1:22">
      <c r="A629">
        <f>RAW_DATA!A629</f>
        <v>52</v>
      </c>
      <c r="B629" t="str">
        <f>RAW_DATA!B629</f>
        <v>No</v>
      </c>
      <c r="C629" t="str">
        <f>RAW_DATA!C629</f>
        <v>Research &amp; Development</v>
      </c>
      <c r="D629">
        <f>RAW_DATA!D629</f>
        <v>25</v>
      </c>
      <c r="E629">
        <f>RAW_DATA!E629</f>
        <v>4</v>
      </c>
      <c r="F629" t="str">
        <f>RAW_DATA!F629</f>
        <v>Medical</v>
      </c>
      <c r="G629">
        <f>RAW_DATA!G629</f>
        <v>3</v>
      </c>
      <c r="H629">
        <f>RAW_DATA!H629</f>
        <v>4</v>
      </c>
      <c r="I629" t="str">
        <f>RAW_DATA!I629</f>
        <v>Married</v>
      </c>
      <c r="J629">
        <f>RAW_DATA!J629</f>
        <v>13826</v>
      </c>
      <c r="K629">
        <f>RAW_DATA!K629</f>
        <v>3</v>
      </c>
      <c r="L629">
        <f>RAW_DATA!L629</f>
        <v>3</v>
      </c>
      <c r="M629">
        <f>RAW_DATA!M629</f>
        <v>9</v>
      </c>
      <c r="N629">
        <f t="shared" si="18"/>
        <v>0</v>
      </c>
      <c r="O629" t="str">
        <f xml:space="preserve"> VLOOKUP(A629, Lookup_Tables!$G$2:$H$6,2,TRUE)</f>
        <v>45-54</v>
      </c>
      <c r="P629" t="str">
        <f>_xlfn.XLOOKUP(J629,Lookup_Tables!$J$2:$J$4,Lookup_Tables!$K$2:$K$4, " ",-1)</f>
        <v>High</v>
      </c>
      <c r="Q629" t="str">
        <f xml:space="preserve"> _xlfn.XLOOKUP(M629, Lookup_Tables!$M$2:$M$5,Lookup_Tables!$N$2:$N$5," ", -1)</f>
        <v>Established (5-10)</v>
      </c>
      <c r="R629" s="4">
        <f t="shared" si="19"/>
        <v>3.3333333333333335</v>
      </c>
      <c r="S629" t="str">
        <f xml:space="preserve"> _xlfn.XLOOKUP( E629, Lookup_Tables!$A$2:$A$6,Lookup_Tables!$B$2:$B$6," ", -1)</f>
        <v>Master</v>
      </c>
      <c r="T629" t="str">
        <f>_xlfn.XLOOKUP(G629,Lookup_Tables!$D$2:$D$5,Lookup_Tables!$E$2:$E$5)</f>
        <v>High</v>
      </c>
      <c r="U629" t="str">
        <f>_xlfn.XLOOKUP(H629,Lookup_Tables!$D$2:$D$5,Lookup_Tables!$E$2:$E$5)</f>
        <v>Very High</v>
      </c>
      <c r="V629" t="str">
        <f>_xlfn.XLOOKUP(L629,Lookup_Tables!$D$2:$D$5,Lookup_Tables!$E$2:$E$5)</f>
        <v>High</v>
      </c>
    </row>
    <row r="630" spans="1:22">
      <c r="A630">
        <f>RAW_DATA!A630</f>
        <v>37</v>
      </c>
      <c r="B630" t="str">
        <f>RAW_DATA!B630</f>
        <v>No</v>
      </c>
      <c r="C630" t="str">
        <f>RAW_DATA!C630</f>
        <v>Sales</v>
      </c>
      <c r="D630">
        <f>RAW_DATA!D630</f>
        <v>16</v>
      </c>
      <c r="E630">
        <f>RAW_DATA!E630</f>
        <v>4</v>
      </c>
      <c r="F630" t="str">
        <f>RAW_DATA!F630</f>
        <v>Marketing</v>
      </c>
      <c r="G630">
        <f>RAW_DATA!G630</f>
        <v>4</v>
      </c>
      <c r="H630">
        <f>RAW_DATA!H630</f>
        <v>3</v>
      </c>
      <c r="I630" t="str">
        <f>RAW_DATA!I630</f>
        <v>Divorced</v>
      </c>
      <c r="J630">
        <f>RAW_DATA!J630</f>
        <v>6334</v>
      </c>
      <c r="K630">
        <f>RAW_DATA!K630</f>
        <v>4</v>
      </c>
      <c r="L630">
        <f>RAW_DATA!L630</f>
        <v>3</v>
      </c>
      <c r="M630">
        <f>RAW_DATA!M630</f>
        <v>1</v>
      </c>
      <c r="N630">
        <f t="shared" si="18"/>
        <v>0</v>
      </c>
      <c r="O630" t="str">
        <f xml:space="preserve"> VLOOKUP(A630, Lookup_Tables!$G$2:$H$6,2,TRUE)</f>
        <v>35-44</v>
      </c>
      <c r="P630" t="str">
        <f>_xlfn.XLOOKUP(J630,Lookup_Tables!$J$2:$J$4,Lookup_Tables!$K$2:$K$4, " ",-1)</f>
        <v>Medium</v>
      </c>
      <c r="Q630" t="str">
        <f xml:space="preserve"> _xlfn.XLOOKUP(M630, Lookup_Tables!$M$2:$M$5,Lookup_Tables!$N$2:$N$5," ", -1)</f>
        <v>New (0-2)</v>
      </c>
      <c r="R630" s="4">
        <f t="shared" si="19"/>
        <v>3.3333333333333335</v>
      </c>
      <c r="S630" t="str">
        <f xml:space="preserve"> _xlfn.XLOOKUP( E630, Lookup_Tables!$A$2:$A$6,Lookup_Tables!$B$2:$B$6," ", -1)</f>
        <v>Master</v>
      </c>
      <c r="T630" t="str">
        <f>_xlfn.XLOOKUP(G630,Lookup_Tables!$D$2:$D$5,Lookup_Tables!$E$2:$E$5)</f>
        <v>Very High</v>
      </c>
      <c r="U630" t="str">
        <f>_xlfn.XLOOKUP(H630,Lookup_Tables!$D$2:$D$5,Lookup_Tables!$E$2:$E$5)</f>
        <v>High</v>
      </c>
      <c r="V630" t="str">
        <f>_xlfn.XLOOKUP(L630,Lookup_Tables!$D$2:$D$5,Lookup_Tables!$E$2:$E$5)</f>
        <v>High</v>
      </c>
    </row>
    <row r="631" spans="1:22">
      <c r="A631">
        <f>RAW_DATA!A631</f>
        <v>28</v>
      </c>
      <c r="B631" t="str">
        <f>RAW_DATA!B631</f>
        <v>No</v>
      </c>
      <c r="C631" t="str">
        <f>RAW_DATA!C631</f>
        <v>Human Resources</v>
      </c>
      <c r="D631">
        <f>RAW_DATA!D631</f>
        <v>8</v>
      </c>
      <c r="E631">
        <f>RAW_DATA!E631</f>
        <v>2</v>
      </c>
      <c r="F631" t="str">
        <f>RAW_DATA!F631</f>
        <v>Medical</v>
      </c>
      <c r="G631">
        <f>RAW_DATA!G631</f>
        <v>2</v>
      </c>
      <c r="H631">
        <f>RAW_DATA!H631</f>
        <v>4</v>
      </c>
      <c r="I631" t="str">
        <f>RAW_DATA!I631</f>
        <v>Divorced</v>
      </c>
      <c r="J631">
        <f>RAW_DATA!J631</f>
        <v>4936</v>
      </c>
      <c r="K631">
        <f>RAW_DATA!K631</f>
        <v>1</v>
      </c>
      <c r="L631">
        <f>RAW_DATA!L631</f>
        <v>3</v>
      </c>
      <c r="M631">
        <f>RAW_DATA!M631</f>
        <v>5</v>
      </c>
      <c r="N631">
        <f t="shared" si="18"/>
        <v>0</v>
      </c>
      <c r="O631" t="str">
        <f xml:space="preserve"> VLOOKUP(A631, Lookup_Tables!$G$2:$H$6,2,TRUE)</f>
        <v>25-34</v>
      </c>
      <c r="P631" t="str">
        <f>_xlfn.XLOOKUP(J631,Lookup_Tables!$J$2:$J$4,Lookup_Tables!$K$2:$K$4, " ",-1)</f>
        <v>Medium</v>
      </c>
      <c r="Q631" t="str">
        <f xml:space="preserve"> _xlfn.XLOOKUP(M631, Lookup_Tables!$M$2:$M$5,Lookup_Tables!$N$2:$N$5," ", -1)</f>
        <v>Established (5-10)</v>
      </c>
      <c r="R631" s="4">
        <f t="shared" si="19"/>
        <v>3</v>
      </c>
      <c r="S631" t="str">
        <f xml:space="preserve"> _xlfn.XLOOKUP( E631, Lookup_Tables!$A$2:$A$6,Lookup_Tables!$B$2:$B$6," ", -1)</f>
        <v>College</v>
      </c>
      <c r="T631" t="str">
        <f>_xlfn.XLOOKUP(G631,Lookup_Tables!$D$2:$D$5,Lookup_Tables!$E$2:$E$5)</f>
        <v>Medium</v>
      </c>
      <c r="U631" t="str">
        <f>_xlfn.XLOOKUP(H631,Lookup_Tables!$D$2:$D$5,Lookup_Tables!$E$2:$E$5)</f>
        <v>Very High</v>
      </c>
      <c r="V631" t="str">
        <f>_xlfn.XLOOKUP(L631,Lookup_Tables!$D$2:$D$5,Lookup_Tables!$E$2:$E$5)</f>
        <v>High</v>
      </c>
    </row>
    <row r="632" spans="1:22">
      <c r="A632">
        <f>RAW_DATA!A632</f>
        <v>22</v>
      </c>
      <c r="B632" t="str">
        <f>RAW_DATA!B632</f>
        <v>No</v>
      </c>
      <c r="C632" t="str">
        <f>RAW_DATA!C632</f>
        <v>Research &amp; Development</v>
      </c>
      <c r="D632">
        <f>RAW_DATA!D632</f>
        <v>1</v>
      </c>
      <c r="E632">
        <f>RAW_DATA!E632</f>
        <v>2</v>
      </c>
      <c r="F632" t="str">
        <f>RAW_DATA!F632</f>
        <v>Life Sciences</v>
      </c>
      <c r="G632">
        <f>RAW_DATA!G632</f>
        <v>4</v>
      </c>
      <c r="H632">
        <f>RAW_DATA!H632</f>
        <v>4</v>
      </c>
      <c r="I632" t="str">
        <f>RAW_DATA!I632</f>
        <v>Married</v>
      </c>
      <c r="J632">
        <f>RAW_DATA!J632</f>
        <v>4775</v>
      </c>
      <c r="K632">
        <f>RAW_DATA!K632</f>
        <v>6</v>
      </c>
      <c r="L632">
        <f>RAW_DATA!L632</f>
        <v>1</v>
      </c>
      <c r="M632">
        <f>RAW_DATA!M632</f>
        <v>2</v>
      </c>
      <c r="N632">
        <f t="shared" si="18"/>
        <v>0</v>
      </c>
      <c r="O632" t="str">
        <f xml:space="preserve"> VLOOKUP(A632, Lookup_Tables!$G$2:$H$6,2,TRUE)</f>
        <v>&lt;25</v>
      </c>
      <c r="P632" t="str">
        <f>_xlfn.XLOOKUP(J632,Lookup_Tables!$J$2:$J$4,Lookup_Tables!$K$2:$K$4, " ",-1)</f>
        <v>Medium</v>
      </c>
      <c r="Q632" t="str">
        <f xml:space="preserve"> _xlfn.XLOOKUP(M632, Lookup_Tables!$M$2:$M$5,Lookup_Tables!$N$2:$N$5," ", -1)</f>
        <v>Early (2-5)</v>
      </c>
      <c r="R632" s="4">
        <f t="shared" si="19"/>
        <v>3</v>
      </c>
      <c r="S632" t="str">
        <f xml:space="preserve"> _xlfn.XLOOKUP( E632, Lookup_Tables!$A$2:$A$6,Lookup_Tables!$B$2:$B$6," ", -1)</f>
        <v>College</v>
      </c>
      <c r="T632" t="str">
        <f>_xlfn.XLOOKUP(G632,Lookup_Tables!$D$2:$D$5,Lookup_Tables!$E$2:$E$5)</f>
        <v>Very High</v>
      </c>
      <c r="U632" t="str">
        <f>_xlfn.XLOOKUP(H632,Lookup_Tables!$D$2:$D$5,Lookup_Tables!$E$2:$E$5)</f>
        <v>Very High</v>
      </c>
      <c r="V632" t="str">
        <f>_xlfn.XLOOKUP(L632,Lookup_Tables!$D$2:$D$5,Lookup_Tables!$E$2:$E$5)</f>
        <v>Low</v>
      </c>
    </row>
    <row r="633" spans="1:22">
      <c r="A633">
        <f>RAW_DATA!A633</f>
        <v>44</v>
      </c>
      <c r="B633" t="str">
        <f>RAW_DATA!B633</f>
        <v>No</v>
      </c>
      <c r="C633" t="str">
        <f>RAW_DATA!C633</f>
        <v>Research &amp; Development</v>
      </c>
      <c r="D633">
        <f>RAW_DATA!D633</f>
        <v>8</v>
      </c>
      <c r="E633">
        <f>RAW_DATA!E633</f>
        <v>4</v>
      </c>
      <c r="F633" t="str">
        <f>RAW_DATA!F633</f>
        <v>Life Sciences</v>
      </c>
      <c r="G633">
        <f>RAW_DATA!G633</f>
        <v>1</v>
      </c>
      <c r="H633">
        <f>RAW_DATA!H633</f>
        <v>4</v>
      </c>
      <c r="I633" t="str">
        <f>RAW_DATA!I633</f>
        <v>Married</v>
      </c>
      <c r="J633">
        <f>RAW_DATA!J633</f>
        <v>2818</v>
      </c>
      <c r="K633">
        <f>RAW_DATA!K633</f>
        <v>2</v>
      </c>
      <c r="L633">
        <f>RAW_DATA!L633</f>
        <v>2</v>
      </c>
      <c r="M633">
        <f>RAW_DATA!M633</f>
        <v>3</v>
      </c>
      <c r="N633">
        <f t="shared" si="18"/>
        <v>0</v>
      </c>
      <c r="O633" t="str">
        <f xml:space="preserve"> VLOOKUP(A633, Lookup_Tables!$G$2:$H$6,2,TRUE)</f>
        <v>35-44</v>
      </c>
      <c r="P633" t="str">
        <f>_xlfn.XLOOKUP(J633,Lookup_Tables!$J$2:$J$4,Lookup_Tables!$K$2:$K$4, " ",-1)</f>
        <v>Low</v>
      </c>
      <c r="Q633" t="str">
        <f xml:space="preserve"> _xlfn.XLOOKUP(M633, Lookup_Tables!$M$2:$M$5,Lookup_Tables!$N$2:$N$5," ", -1)</f>
        <v>Early (2-5)</v>
      </c>
      <c r="R633" s="4">
        <f t="shared" si="19"/>
        <v>2.3333333333333335</v>
      </c>
      <c r="S633" t="str">
        <f xml:space="preserve"> _xlfn.XLOOKUP( E633, Lookup_Tables!$A$2:$A$6,Lookup_Tables!$B$2:$B$6," ", -1)</f>
        <v>Master</v>
      </c>
      <c r="T633" t="str">
        <f>_xlfn.XLOOKUP(G633,Lookup_Tables!$D$2:$D$5,Lookup_Tables!$E$2:$E$5)</f>
        <v>Low</v>
      </c>
      <c r="U633" t="str">
        <f>_xlfn.XLOOKUP(H633,Lookup_Tables!$D$2:$D$5,Lookup_Tables!$E$2:$E$5)</f>
        <v>Very High</v>
      </c>
      <c r="V633" t="str">
        <f>_xlfn.XLOOKUP(L633,Lookup_Tables!$D$2:$D$5,Lookup_Tables!$E$2:$E$5)</f>
        <v>Medium</v>
      </c>
    </row>
    <row r="634" spans="1:22">
      <c r="A634">
        <f>RAW_DATA!A634</f>
        <v>42</v>
      </c>
      <c r="B634" t="str">
        <f>RAW_DATA!B634</f>
        <v>No</v>
      </c>
      <c r="C634" t="str">
        <f>RAW_DATA!C634</f>
        <v>Research &amp; Development</v>
      </c>
      <c r="D634">
        <f>RAW_DATA!D634</f>
        <v>2</v>
      </c>
      <c r="E634">
        <f>RAW_DATA!E634</f>
        <v>1</v>
      </c>
      <c r="F634" t="str">
        <f>RAW_DATA!F634</f>
        <v>Medical</v>
      </c>
      <c r="G634">
        <f>RAW_DATA!G634</f>
        <v>2</v>
      </c>
      <c r="H634">
        <f>RAW_DATA!H634</f>
        <v>4</v>
      </c>
      <c r="I634" t="str">
        <f>RAW_DATA!I634</f>
        <v>Single</v>
      </c>
      <c r="J634">
        <f>RAW_DATA!J634</f>
        <v>2515</v>
      </c>
      <c r="K634">
        <f>RAW_DATA!K634</f>
        <v>5</v>
      </c>
      <c r="L634">
        <f>RAW_DATA!L634</f>
        <v>3</v>
      </c>
      <c r="M634">
        <f>RAW_DATA!M634</f>
        <v>2</v>
      </c>
      <c r="N634">
        <f t="shared" si="18"/>
        <v>0</v>
      </c>
      <c r="O634" t="str">
        <f xml:space="preserve"> VLOOKUP(A634, Lookup_Tables!$G$2:$H$6,2,TRUE)</f>
        <v>35-44</v>
      </c>
      <c r="P634" t="str">
        <f>_xlfn.XLOOKUP(J634,Lookup_Tables!$J$2:$J$4,Lookup_Tables!$K$2:$K$4, " ",-1)</f>
        <v>Low</v>
      </c>
      <c r="Q634" t="str">
        <f xml:space="preserve"> _xlfn.XLOOKUP(M634, Lookup_Tables!$M$2:$M$5,Lookup_Tables!$N$2:$N$5," ", -1)</f>
        <v>Early (2-5)</v>
      </c>
      <c r="R634" s="4">
        <f t="shared" si="19"/>
        <v>3</v>
      </c>
      <c r="S634" t="str">
        <f xml:space="preserve"> _xlfn.XLOOKUP( E634, Lookup_Tables!$A$2:$A$6,Lookup_Tables!$B$2:$B$6," ", -1)</f>
        <v>Below College</v>
      </c>
      <c r="T634" t="str">
        <f>_xlfn.XLOOKUP(G634,Lookup_Tables!$D$2:$D$5,Lookup_Tables!$E$2:$E$5)</f>
        <v>Medium</v>
      </c>
      <c r="U634" t="str">
        <f>_xlfn.XLOOKUP(H634,Lookup_Tables!$D$2:$D$5,Lookup_Tables!$E$2:$E$5)</f>
        <v>Very High</v>
      </c>
      <c r="V634" t="str">
        <f>_xlfn.XLOOKUP(L634,Lookup_Tables!$D$2:$D$5,Lookup_Tables!$E$2:$E$5)</f>
        <v>High</v>
      </c>
    </row>
    <row r="635" spans="1:22">
      <c r="A635">
        <f>RAW_DATA!A635</f>
        <v>36</v>
      </c>
      <c r="B635" t="str">
        <f>RAW_DATA!B635</f>
        <v>No</v>
      </c>
      <c r="C635" t="str">
        <f>RAW_DATA!C635</f>
        <v>Human Resources</v>
      </c>
      <c r="D635">
        <f>RAW_DATA!D635</f>
        <v>8</v>
      </c>
      <c r="E635">
        <f>RAW_DATA!E635</f>
        <v>3</v>
      </c>
      <c r="F635" t="str">
        <f>RAW_DATA!F635</f>
        <v>Life Sciences</v>
      </c>
      <c r="G635">
        <f>RAW_DATA!G635</f>
        <v>1</v>
      </c>
      <c r="H635">
        <f>RAW_DATA!H635</f>
        <v>1</v>
      </c>
      <c r="I635" t="str">
        <f>RAW_DATA!I635</f>
        <v>Married</v>
      </c>
      <c r="J635">
        <f>RAW_DATA!J635</f>
        <v>2342</v>
      </c>
      <c r="K635">
        <f>RAW_DATA!K635</f>
        <v>0</v>
      </c>
      <c r="L635">
        <f>RAW_DATA!L635</f>
        <v>3</v>
      </c>
      <c r="M635">
        <f>RAW_DATA!M635</f>
        <v>5</v>
      </c>
      <c r="N635">
        <f t="shared" si="18"/>
        <v>0</v>
      </c>
      <c r="O635" t="str">
        <f xml:space="preserve"> VLOOKUP(A635, Lookup_Tables!$G$2:$H$6,2,TRUE)</f>
        <v>35-44</v>
      </c>
      <c r="P635" t="str">
        <f>_xlfn.XLOOKUP(J635,Lookup_Tables!$J$2:$J$4,Lookup_Tables!$K$2:$K$4, " ",-1)</f>
        <v>Low</v>
      </c>
      <c r="Q635" t="str">
        <f xml:space="preserve"> _xlfn.XLOOKUP(M635, Lookup_Tables!$M$2:$M$5,Lookup_Tables!$N$2:$N$5," ", -1)</f>
        <v>Established (5-10)</v>
      </c>
      <c r="R635" s="4">
        <f t="shared" si="19"/>
        <v>1.6666666666666667</v>
      </c>
      <c r="S635" t="str">
        <f xml:space="preserve"> _xlfn.XLOOKUP( E635, Lookup_Tables!$A$2:$A$6,Lookup_Tables!$B$2:$B$6," ", -1)</f>
        <v>Bachelor</v>
      </c>
      <c r="T635" t="str">
        <f>_xlfn.XLOOKUP(G635,Lookup_Tables!$D$2:$D$5,Lookup_Tables!$E$2:$E$5)</f>
        <v>Low</v>
      </c>
      <c r="U635" t="str">
        <f>_xlfn.XLOOKUP(H635,Lookup_Tables!$D$2:$D$5,Lookup_Tables!$E$2:$E$5)</f>
        <v>Low</v>
      </c>
      <c r="V635" t="str">
        <f>_xlfn.XLOOKUP(L635,Lookup_Tables!$D$2:$D$5,Lookup_Tables!$E$2:$E$5)</f>
        <v>High</v>
      </c>
    </row>
    <row r="636" spans="1:22">
      <c r="A636">
        <f>RAW_DATA!A636</f>
        <v>25</v>
      </c>
      <c r="B636" t="str">
        <f>RAW_DATA!B636</f>
        <v>No</v>
      </c>
      <c r="C636" t="str">
        <f>RAW_DATA!C636</f>
        <v>Sales</v>
      </c>
      <c r="D636">
        <f>RAW_DATA!D636</f>
        <v>3</v>
      </c>
      <c r="E636">
        <f>RAW_DATA!E636</f>
        <v>1</v>
      </c>
      <c r="F636" t="str">
        <f>RAW_DATA!F636</f>
        <v>Other</v>
      </c>
      <c r="G636">
        <f>RAW_DATA!G636</f>
        <v>3</v>
      </c>
      <c r="H636">
        <f>RAW_DATA!H636</f>
        <v>1</v>
      </c>
      <c r="I636" t="str">
        <f>RAW_DATA!I636</f>
        <v>Married</v>
      </c>
      <c r="J636">
        <f>RAW_DATA!J636</f>
        <v>4194</v>
      </c>
      <c r="K636">
        <f>RAW_DATA!K636</f>
        <v>1</v>
      </c>
      <c r="L636">
        <f>RAW_DATA!L636</f>
        <v>3</v>
      </c>
      <c r="M636">
        <f>RAW_DATA!M636</f>
        <v>5</v>
      </c>
      <c r="N636">
        <f t="shared" si="18"/>
        <v>0</v>
      </c>
      <c r="O636" t="str">
        <f xml:space="preserve"> VLOOKUP(A636, Lookup_Tables!$G$2:$H$6,2,TRUE)</f>
        <v>25-34</v>
      </c>
      <c r="P636" t="str">
        <f>_xlfn.XLOOKUP(J636,Lookup_Tables!$J$2:$J$4,Lookup_Tables!$K$2:$K$4, " ",-1)</f>
        <v>Medium</v>
      </c>
      <c r="Q636" t="str">
        <f xml:space="preserve"> _xlfn.XLOOKUP(M636, Lookup_Tables!$M$2:$M$5,Lookup_Tables!$N$2:$N$5," ", -1)</f>
        <v>Established (5-10)</v>
      </c>
      <c r="R636" s="4">
        <f t="shared" si="19"/>
        <v>2.3333333333333335</v>
      </c>
      <c r="S636" t="str">
        <f xml:space="preserve"> _xlfn.XLOOKUP( E636, Lookup_Tables!$A$2:$A$6,Lookup_Tables!$B$2:$B$6," ", -1)</f>
        <v>Below College</v>
      </c>
      <c r="T636" t="str">
        <f>_xlfn.XLOOKUP(G636,Lookup_Tables!$D$2:$D$5,Lookup_Tables!$E$2:$E$5)</f>
        <v>High</v>
      </c>
      <c r="U636" t="str">
        <f>_xlfn.XLOOKUP(H636,Lookup_Tables!$D$2:$D$5,Lookup_Tables!$E$2:$E$5)</f>
        <v>Low</v>
      </c>
      <c r="V636" t="str">
        <f>_xlfn.XLOOKUP(L636,Lookup_Tables!$D$2:$D$5,Lookup_Tables!$E$2:$E$5)</f>
        <v>High</v>
      </c>
    </row>
    <row r="637" spans="1:22">
      <c r="A637">
        <f>RAW_DATA!A637</f>
        <v>35</v>
      </c>
      <c r="B637" t="str">
        <f>RAW_DATA!B637</f>
        <v>No</v>
      </c>
      <c r="C637" t="str">
        <f>RAW_DATA!C637</f>
        <v>Research &amp; Development</v>
      </c>
      <c r="D637">
        <f>RAW_DATA!D637</f>
        <v>9</v>
      </c>
      <c r="E637">
        <f>RAW_DATA!E637</f>
        <v>3</v>
      </c>
      <c r="F637" t="str">
        <f>RAW_DATA!F637</f>
        <v>Life Sciences</v>
      </c>
      <c r="G637">
        <f>RAW_DATA!G637</f>
        <v>4</v>
      </c>
      <c r="H637">
        <f>RAW_DATA!H637</f>
        <v>3</v>
      </c>
      <c r="I637" t="str">
        <f>RAW_DATA!I637</f>
        <v>Married</v>
      </c>
      <c r="J637">
        <f>RAW_DATA!J637</f>
        <v>10685</v>
      </c>
      <c r="K637">
        <f>RAW_DATA!K637</f>
        <v>1</v>
      </c>
      <c r="L637">
        <f>RAW_DATA!L637</f>
        <v>3</v>
      </c>
      <c r="M637">
        <f>RAW_DATA!M637</f>
        <v>17</v>
      </c>
      <c r="N637">
        <f t="shared" si="18"/>
        <v>0</v>
      </c>
      <c r="O637" t="str">
        <f xml:space="preserve"> VLOOKUP(A637, Lookup_Tables!$G$2:$H$6,2,TRUE)</f>
        <v>35-44</v>
      </c>
      <c r="P637" t="str">
        <f>_xlfn.XLOOKUP(J637,Lookup_Tables!$J$2:$J$4,Lookup_Tables!$K$2:$K$4, " ",-1)</f>
        <v>High</v>
      </c>
      <c r="Q637" t="str">
        <f xml:space="preserve"> _xlfn.XLOOKUP(M637, Lookup_Tables!$M$2:$M$5,Lookup_Tables!$N$2:$N$5," ", -1)</f>
        <v>Veteran (10+)</v>
      </c>
      <c r="R637" s="4">
        <f t="shared" si="19"/>
        <v>3.3333333333333335</v>
      </c>
      <c r="S637" t="str">
        <f xml:space="preserve"> _xlfn.XLOOKUP( E637, Lookup_Tables!$A$2:$A$6,Lookup_Tables!$B$2:$B$6," ", -1)</f>
        <v>Bachelor</v>
      </c>
      <c r="T637" t="str">
        <f>_xlfn.XLOOKUP(G637,Lookup_Tables!$D$2:$D$5,Lookup_Tables!$E$2:$E$5)</f>
        <v>Very High</v>
      </c>
      <c r="U637" t="str">
        <f>_xlfn.XLOOKUP(H637,Lookup_Tables!$D$2:$D$5,Lookup_Tables!$E$2:$E$5)</f>
        <v>High</v>
      </c>
      <c r="V637" t="str">
        <f>_xlfn.XLOOKUP(L637,Lookup_Tables!$D$2:$D$5,Lookup_Tables!$E$2:$E$5)</f>
        <v>High</v>
      </c>
    </row>
    <row r="638" spans="1:22">
      <c r="A638">
        <f>RAW_DATA!A638</f>
        <v>35</v>
      </c>
      <c r="B638" t="str">
        <f>RAW_DATA!B638</f>
        <v>Yes</v>
      </c>
      <c r="C638" t="str">
        <f>RAW_DATA!C638</f>
        <v>Research &amp; Development</v>
      </c>
      <c r="D638">
        <f>RAW_DATA!D638</f>
        <v>25</v>
      </c>
      <c r="E638">
        <f>RAW_DATA!E638</f>
        <v>4</v>
      </c>
      <c r="F638" t="str">
        <f>RAW_DATA!F638</f>
        <v>Life Sciences</v>
      </c>
      <c r="G638">
        <f>RAW_DATA!G638</f>
        <v>4</v>
      </c>
      <c r="H638">
        <f>RAW_DATA!H638</f>
        <v>2</v>
      </c>
      <c r="I638" t="str">
        <f>RAW_DATA!I638</f>
        <v>Divorced</v>
      </c>
      <c r="J638">
        <f>RAW_DATA!J638</f>
        <v>2022</v>
      </c>
      <c r="K638">
        <f>RAW_DATA!K638</f>
        <v>1</v>
      </c>
      <c r="L638">
        <f>RAW_DATA!L638</f>
        <v>2</v>
      </c>
      <c r="M638">
        <f>RAW_DATA!M638</f>
        <v>10</v>
      </c>
      <c r="N638">
        <f t="shared" si="18"/>
        <v>1</v>
      </c>
      <c r="O638" t="str">
        <f xml:space="preserve"> VLOOKUP(A638, Lookup_Tables!$G$2:$H$6,2,TRUE)</f>
        <v>35-44</v>
      </c>
      <c r="P638" t="str">
        <f>_xlfn.XLOOKUP(J638,Lookup_Tables!$J$2:$J$4,Lookup_Tables!$K$2:$K$4, " ",-1)</f>
        <v>Low</v>
      </c>
      <c r="Q638" t="str">
        <f xml:space="preserve"> _xlfn.XLOOKUP(M638, Lookup_Tables!$M$2:$M$5,Lookup_Tables!$N$2:$N$5," ", -1)</f>
        <v>Veteran (10+)</v>
      </c>
      <c r="R638" s="4">
        <f t="shared" si="19"/>
        <v>2.6666666666666665</v>
      </c>
      <c r="S638" t="str">
        <f xml:space="preserve"> _xlfn.XLOOKUP( E638, Lookup_Tables!$A$2:$A$6,Lookup_Tables!$B$2:$B$6," ", -1)</f>
        <v>Master</v>
      </c>
      <c r="T638" t="str">
        <f>_xlfn.XLOOKUP(G638,Lookup_Tables!$D$2:$D$5,Lookup_Tables!$E$2:$E$5)</f>
        <v>Very High</v>
      </c>
      <c r="U638" t="str">
        <f>_xlfn.XLOOKUP(H638,Lookup_Tables!$D$2:$D$5,Lookup_Tables!$E$2:$E$5)</f>
        <v>Medium</v>
      </c>
      <c r="V638" t="str">
        <f>_xlfn.XLOOKUP(L638,Lookup_Tables!$D$2:$D$5,Lookup_Tables!$E$2:$E$5)</f>
        <v>Medium</v>
      </c>
    </row>
    <row r="639" spans="1:22">
      <c r="A639">
        <f>RAW_DATA!A639</f>
        <v>32</v>
      </c>
      <c r="B639" t="str">
        <f>RAW_DATA!B639</f>
        <v>No</v>
      </c>
      <c r="C639" t="str">
        <f>RAW_DATA!C639</f>
        <v>Research &amp; Development</v>
      </c>
      <c r="D639">
        <f>RAW_DATA!D639</f>
        <v>1</v>
      </c>
      <c r="E639">
        <f>RAW_DATA!E639</f>
        <v>3</v>
      </c>
      <c r="F639" t="str">
        <f>RAW_DATA!F639</f>
        <v>Life Sciences</v>
      </c>
      <c r="G639">
        <f>RAW_DATA!G639</f>
        <v>4</v>
      </c>
      <c r="H639">
        <f>RAW_DATA!H639</f>
        <v>4</v>
      </c>
      <c r="I639" t="str">
        <f>RAW_DATA!I639</f>
        <v>Divorced</v>
      </c>
      <c r="J639">
        <f>RAW_DATA!J639</f>
        <v>2314</v>
      </c>
      <c r="K639">
        <f>RAW_DATA!K639</f>
        <v>0</v>
      </c>
      <c r="L639">
        <f>RAW_DATA!L639</f>
        <v>3</v>
      </c>
      <c r="M639">
        <f>RAW_DATA!M639</f>
        <v>3</v>
      </c>
      <c r="N639">
        <f t="shared" si="18"/>
        <v>0</v>
      </c>
      <c r="O639" t="str">
        <f xml:space="preserve"> VLOOKUP(A639, Lookup_Tables!$G$2:$H$6,2,TRUE)</f>
        <v>25-34</v>
      </c>
      <c r="P639" t="str">
        <f>_xlfn.XLOOKUP(J639,Lookup_Tables!$J$2:$J$4,Lookup_Tables!$K$2:$K$4, " ",-1)</f>
        <v>Low</v>
      </c>
      <c r="Q639" t="str">
        <f xml:space="preserve"> _xlfn.XLOOKUP(M639, Lookup_Tables!$M$2:$M$5,Lookup_Tables!$N$2:$N$5," ", -1)</f>
        <v>Early (2-5)</v>
      </c>
      <c r="R639" s="4">
        <f t="shared" si="19"/>
        <v>3.6666666666666665</v>
      </c>
      <c r="S639" t="str">
        <f xml:space="preserve"> _xlfn.XLOOKUP( E639, Lookup_Tables!$A$2:$A$6,Lookup_Tables!$B$2:$B$6," ", -1)</f>
        <v>Bachelor</v>
      </c>
      <c r="T639" t="str">
        <f>_xlfn.XLOOKUP(G639,Lookup_Tables!$D$2:$D$5,Lookup_Tables!$E$2:$E$5)</f>
        <v>Very High</v>
      </c>
      <c r="U639" t="str">
        <f>_xlfn.XLOOKUP(H639,Lookup_Tables!$D$2:$D$5,Lookup_Tables!$E$2:$E$5)</f>
        <v>Very High</v>
      </c>
      <c r="V639" t="str">
        <f>_xlfn.XLOOKUP(L639,Lookup_Tables!$D$2:$D$5,Lookup_Tables!$E$2:$E$5)</f>
        <v>High</v>
      </c>
    </row>
    <row r="640" spans="1:22">
      <c r="A640">
        <f>RAW_DATA!A640</f>
        <v>25</v>
      </c>
      <c r="B640" t="str">
        <f>RAW_DATA!B640</f>
        <v>No</v>
      </c>
      <c r="C640" t="str">
        <f>RAW_DATA!C640</f>
        <v>Sales</v>
      </c>
      <c r="D640">
        <f>RAW_DATA!D640</f>
        <v>4</v>
      </c>
      <c r="E640">
        <f>RAW_DATA!E640</f>
        <v>1</v>
      </c>
      <c r="F640" t="str">
        <f>RAW_DATA!F640</f>
        <v>Marketing</v>
      </c>
      <c r="G640">
        <f>RAW_DATA!G640</f>
        <v>3</v>
      </c>
      <c r="H640">
        <f>RAW_DATA!H640</f>
        <v>1</v>
      </c>
      <c r="I640" t="str">
        <f>RAW_DATA!I640</f>
        <v>Married</v>
      </c>
      <c r="J640">
        <f>RAW_DATA!J640</f>
        <v>4256</v>
      </c>
      <c r="K640">
        <f>RAW_DATA!K640</f>
        <v>1</v>
      </c>
      <c r="L640">
        <f>RAW_DATA!L640</f>
        <v>4</v>
      </c>
      <c r="M640">
        <f>RAW_DATA!M640</f>
        <v>5</v>
      </c>
      <c r="N640">
        <f t="shared" si="18"/>
        <v>0</v>
      </c>
      <c r="O640" t="str">
        <f xml:space="preserve"> VLOOKUP(A640, Lookup_Tables!$G$2:$H$6,2,TRUE)</f>
        <v>25-34</v>
      </c>
      <c r="P640" t="str">
        <f>_xlfn.XLOOKUP(J640,Lookup_Tables!$J$2:$J$4,Lookup_Tables!$K$2:$K$4, " ",-1)</f>
        <v>Medium</v>
      </c>
      <c r="Q640" t="str">
        <f xml:space="preserve"> _xlfn.XLOOKUP(M640, Lookup_Tables!$M$2:$M$5,Lookup_Tables!$N$2:$N$5," ", -1)</f>
        <v>Established (5-10)</v>
      </c>
      <c r="R640" s="4">
        <f t="shared" si="19"/>
        <v>2.6666666666666665</v>
      </c>
      <c r="S640" t="str">
        <f xml:space="preserve"> _xlfn.XLOOKUP( E640, Lookup_Tables!$A$2:$A$6,Lookup_Tables!$B$2:$B$6," ", -1)</f>
        <v>Below College</v>
      </c>
      <c r="T640" t="str">
        <f>_xlfn.XLOOKUP(G640,Lookup_Tables!$D$2:$D$5,Lookup_Tables!$E$2:$E$5)</f>
        <v>High</v>
      </c>
      <c r="U640" t="str">
        <f>_xlfn.XLOOKUP(H640,Lookup_Tables!$D$2:$D$5,Lookup_Tables!$E$2:$E$5)</f>
        <v>Low</v>
      </c>
      <c r="V640" t="str">
        <f>_xlfn.XLOOKUP(L640,Lookup_Tables!$D$2:$D$5,Lookup_Tables!$E$2:$E$5)</f>
        <v>Very High</v>
      </c>
    </row>
    <row r="641" spans="1:22">
      <c r="A641">
        <f>RAW_DATA!A641</f>
        <v>49</v>
      </c>
      <c r="B641" t="str">
        <f>RAW_DATA!B641</f>
        <v>No</v>
      </c>
      <c r="C641" t="str">
        <f>RAW_DATA!C641</f>
        <v>Research &amp; Development</v>
      </c>
      <c r="D641">
        <f>RAW_DATA!D641</f>
        <v>1</v>
      </c>
      <c r="E641">
        <f>RAW_DATA!E641</f>
        <v>3</v>
      </c>
      <c r="F641" t="str">
        <f>RAW_DATA!F641</f>
        <v>Technical Degree</v>
      </c>
      <c r="G641">
        <f>RAW_DATA!G641</f>
        <v>3</v>
      </c>
      <c r="H641">
        <f>RAW_DATA!H641</f>
        <v>1</v>
      </c>
      <c r="I641" t="str">
        <f>RAW_DATA!I641</f>
        <v>Married</v>
      </c>
      <c r="J641">
        <f>RAW_DATA!J641</f>
        <v>3580</v>
      </c>
      <c r="K641">
        <f>RAW_DATA!K641</f>
        <v>2</v>
      </c>
      <c r="L641">
        <f>RAW_DATA!L641</f>
        <v>3</v>
      </c>
      <c r="M641">
        <f>RAW_DATA!M641</f>
        <v>4</v>
      </c>
      <c r="N641">
        <f t="shared" si="18"/>
        <v>0</v>
      </c>
      <c r="O641" t="str">
        <f xml:space="preserve"> VLOOKUP(A641, Lookup_Tables!$G$2:$H$6,2,TRUE)</f>
        <v>45-54</v>
      </c>
      <c r="P641" t="str">
        <f>_xlfn.XLOOKUP(J641,Lookup_Tables!$J$2:$J$4,Lookup_Tables!$K$2:$K$4, " ",-1)</f>
        <v>Medium</v>
      </c>
      <c r="Q641" t="str">
        <f xml:space="preserve"> _xlfn.XLOOKUP(M641, Lookup_Tables!$M$2:$M$5,Lookup_Tables!$N$2:$N$5," ", -1)</f>
        <v>Early (2-5)</v>
      </c>
      <c r="R641" s="4">
        <f t="shared" si="19"/>
        <v>2.3333333333333335</v>
      </c>
      <c r="S641" t="str">
        <f xml:space="preserve"> _xlfn.XLOOKUP( E641, Lookup_Tables!$A$2:$A$6,Lookup_Tables!$B$2:$B$6," ", -1)</f>
        <v>Bachelor</v>
      </c>
      <c r="T641" t="str">
        <f>_xlfn.XLOOKUP(G641,Lookup_Tables!$D$2:$D$5,Lookup_Tables!$E$2:$E$5)</f>
        <v>High</v>
      </c>
      <c r="U641" t="str">
        <f>_xlfn.XLOOKUP(H641,Lookup_Tables!$D$2:$D$5,Lookup_Tables!$E$2:$E$5)</f>
        <v>Low</v>
      </c>
      <c r="V641" t="str">
        <f>_xlfn.XLOOKUP(L641,Lookup_Tables!$D$2:$D$5,Lookup_Tables!$E$2:$E$5)</f>
        <v>High</v>
      </c>
    </row>
    <row r="642" spans="1:22">
      <c r="A642">
        <f>RAW_DATA!A642</f>
        <v>24</v>
      </c>
      <c r="B642" t="str">
        <f>RAW_DATA!B642</f>
        <v>No</v>
      </c>
      <c r="C642" t="str">
        <f>RAW_DATA!C642</f>
        <v>Research &amp; Development</v>
      </c>
      <c r="D642">
        <f>RAW_DATA!D642</f>
        <v>4</v>
      </c>
      <c r="E642">
        <f>RAW_DATA!E642</f>
        <v>1</v>
      </c>
      <c r="F642" t="str">
        <f>RAW_DATA!F642</f>
        <v>Life Sciences</v>
      </c>
      <c r="G642">
        <f>RAW_DATA!G642</f>
        <v>1</v>
      </c>
      <c r="H642">
        <f>RAW_DATA!H642</f>
        <v>4</v>
      </c>
      <c r="I642" t="str">
        <f>RAW_DATA!I642</f>
        <v>Married</v>
      </c>
      <c r="J642">
        <f>RAW_DATA!J642</f>
        <v>3162</v>
      </c>
      <c r="K642">
        <f>RAW_DATA!K642</f>
        <v>0</v>
      </c>
      <c r="L642">
        <f>RAW_DATA!L642</f>
        <v>2</v>
      </c>
      <c r="M642">
        <f>RAW_DATA!M642</f>
        <v>5</v>
      </c>
      <c r="N642">
        <f t="shared" si="18"/>
        <v>0</v>
      </c>
      <c r="O642" t="str">
        <f xml:space="preserve"> VLOOKUP(A642, Lookup_Tables!$G$2:$H$6,2,TRUE)</f>
        <v>&lt;25</v>
      </c>
      <c r="P642" t="str">
        <f>_xlfn.XLOOKUP(J642,Lookup_Tables!$J$2:$J$4,Lookup_Tables!$K$2:$K$4, " ",-1)</f>
        <v>Medium</v>
      </c>
      <c r="Q642" t="str">
        <f xml:space="preserve"> _xlfn.XLOOKUP(M642, Lookup_Tables!$M$2:$M$5,Lookup_Tables!$N$2:$N$5," ", -1)</f>
        <v>Established (5-10)</v>
      </c>
      <c r="R642" s="4">
        <f t="shared" si="19"/>
        <v>2.3333333333333335</v>
      </c>
      <c r="S642" t="str">
        <f xml:space="preserve"> _xlfn.XLOOKUP( E642, Lookup_Tables!$A$2:$A$6,Lookup_Tables!$B$2:$B$6," ", -1)</f>
        <v>Below College</v>
      </c>
      <c r="T642" t="str">
        <f>_xlfn.XLOOKUP(G642,Lookup_Tables!$D$2:$D$5,Lookup_Tables!$E$2:$E$5)</f>
        <v>Low</v>
      </c>
      <c r="U642" t="str">
        <f>_xlfn.XLOOKUP(H642,Lookup_Tables!$D$2:$D$5,Lookup_Tables!$E$2:$E$5)</f>
        <v>Very High</v>
      </c>
      <c r="V642" t="str">
        <f>_xlfn.XLOOKUP(L642,Lookup_Tables!$D$2:$D$5,Lookup_Tables!$E$2:$E$5)</f>
        <v>Medium</v>
      </c>
    </row>
    <row r="643" spans="1:22">
      <c r="A643">
        <f>RAW_DATA!A643</f>
        <v>32</v>
      </c>
      <c r="B643" t="str">
        <f>RAW_DATA!B643</f>
        <v>No</v>
      </c>
      <c r="C643" t="str">
        <f>RAW_DATA!C643</f>
        <v>Sales</v>
      </c>
      <c r="D643">
        <f>RAW_DATA!D643</f>
        <v>5</v>
      </c>
      <c r="E643">
        <f>RAW_DATA!E643</f>
        <v>2</v>
      </c>
      <c r="F643" t="str">
        <f>RAW_DATA!F643</f>
        <v>Life Sciences</v>
      </c>
      <c r="G643">
        <f>RAW_DATA!G643</f>
        <v>2</v>
      </c>
      <c r="H643">
        <f>RAW_DATA!H643</f>
        <v>2</v>
      </c>
      <c r="I643" t="str">
        <f>RAW_DATA!I643</f>
        <v>Married</v>
      </c>
      <c r="J643">
        <f>RAW_DATA!J643</f>
        <v>6524</v>
      </c>
      <c r="K643">
        <f>RAW_DATA!K643</f>
        <v>1</v>
      </c>
      <c r="L643">
        <f>RAW_DATA!L643</f>
        <v>3</v>
      </c>
      <c r="M643">
        <f>RAW_DATA!M643</f>
        <v>10</v>
      </c>
      <c r="N643">
        <f t="shared" ref="N643:N706" si="20" xml:space="preserve"> IF(B643 ="Yes",1,0)</f>
        <v>0</v>
      </c>
      <c r="O643" t="str">
        <f xml:space="preserve"> VLOOKUP(A643, Lookup_Tables!$G$2:$H$6,2,TRUE)</f>
        <v>25-34</v>
      </c>
      <c r="P643" t="str">
        <f>_xlfn.XLOOKUP(J643,Lookup_Tables!$J$2:$J$4,Lookup_Tables!$K$2:$K$4, " ",-1)</f>
        <v>Medium</v>
      </c>
      <c r="Q643" t="str">
        <f xml:space="preserve"> _xlfn.XLOOKUP(M643, Lookup_Tables!$M$2:$M$5,Lookup_Tables!$N$2:$N$5," ", -1)</f>
        <v>Veteran (10+)</v>
      </c>
      <c r="R643" s="4">
        <f t="shared" ref="R643:R706" si="21">AVERAGE(G643,H643,L643)</f>
        <v>2.3333333333333335</v>
      </c>
      <c r="S643" t="str">
        <f xml:space="preserve"> _xlfn.XLOOKUP( E643, Lookup_Tables!$A$2:$A$6,Lookup_Tables!$B$2:$B$6," ", -1)</f>
        <v>College</v>
      </c>
      <c r="T643" t="str">
        <f>_xlfn.XLOOKUP(G643,Lookup_Tables!$D$2:$D$5,Lookup_Tables!$E$2:$E$5)</f>
        <v>Medium</v>
      </c>
      <c r="U643" t="str">
        <f>_xlfn.XLOOKUP(H643,Lookup_Tables!$D$2:$D$5,Lookup_Tables!$E$2:$E$5)</f>
        <v>Medium</v>
      </c>
      <c r="V643" t="str">
        <f>_xlfn.XLOOKUP(L643,Lookup_Tables!$D$2:$D$5,Lookup_Tables!$E$2:$E$5)</f>
        <v>High</v>
      </c>
    </row>
    <row r="644" spans="1:22">
      <c r="A644">
        <f>RAW_DATA!A644</f>
        <v>38</v>
      </c>
      <c r="B644" t="str">
        <f>RAW_DATA!B644</f>
        <v>No</v>
      </c>
      <c r="C644" t="str">
        <f>RAW_DATA!C644</f>
        <v>Sales</v>
      </c>
      <c r="D644">
        <f>RAW_DATA!D644</f>
        <v>9</v>
      </c>
      <c r="E644">
        <f>RAW_DATA!E644</f>
        <v>3</v>
      </c>
      <c r="F644" t="str">
        <f>RAW_DATA!F644</f>
        <v>Marketing</v>
      </c>
      <c r="G644">
        <f>RAW_DATA!G644</f>
        <v>2</v>
      </c>
      <c r="H644">
        <f>RAW_DATA!H644</f>
        <v>2</v>
      </c>
      <c r="I644" t="str">
        <f>RAW_DATA!I644</f>
        <v>Married</v>
      </c>
      <c r="J644">
        <f>RAW_DATA!J644</f>
        <v>2899</v>
      </c>
      <c r="K644">
        <f>RAW_DATA!K644</f>
        <v>0</v>
      </c>
      <c r="L644">
        <f>RAW_DATA!L644</f>
        <v>3</v>
      </c>
      <c r="M644">
        <f>RAW_DATA!M644</f>
        <v>2</v>
      </c>
      <c r="N644">
        <f t="shared" si="20"/>
        <v>0</v>
      </c>
      <c r="O644" t="str">
        <f xml:space="preserve"> VLOOKUP(A644, Lookup_Tables!$G$2:$H$6,2,TRUE)</f>
        <v>35-44</v>
      </c>
      <c r="P644" t="str">
        <f>_xlfn.XLOOKUP(J644,Lookup_Tables!$J$2:$J$4,Lookup_Tables!$K$2:$K$4, " ",-1)</f>
        <v>Low</v>
      </c>
      <c r="Q644" t="str">
        <f xml:space="preserve"> _xlfn.XLOOKUP(M644, Lookup_Tables!$M$2:$M$5,Lookup_Tables!$N$2:$N$5," ", -1)</f>
        <v>Early (2-5)</v>
      </c>
      <c r="R644" s="4">
        <f t="shared" si="21"/>
        <v>2.3333333333333335</v>
      </c>
      <c r="S644" t="str">
        <f xml:space="preserve"> _xlfn.XLOOKUP( E644, Lookup_Tables!$A$2:$A$6,Lookup_Tables!$B$2:$B$6," ", -1)</f>
        <v>Bachelor</v>
      </c>
      <c r="T644" t="str">
        <f>_xlfn.XLOOKUP(G644,Lookup_Tables!$D$2:$D$5,Lookup_Tables!$E$2:$E$5)</f>
        <v>Medium</v>
      </c>
      <c r="U644" t="str">
        <f>_xlfn.XLOOKUP(H644,Lookup_Tables!$D$2:$D$5,Lookup_Tables!$E$2:$E$5)</f>
        <v>Medium</v>
      </c>
      <c r="V644" t="str">
        <f>_xlfn.XLOOKUP(L644,Lookup_Tables!$D$2:$D$5,Lookup_Tables!$E$2:$E$5)</f>
        <v>High</v>
      </c>
    </row>
    <row r="645" spans="1:22">
      <c r="A645">
        <f>RAW_DATA!A645</f>
        <v>42</v>
      </c>
      <c r="B645" t="str">
        <f>RAW_DATA!B645</f>
        <v>No</v>
      </c>
      <c r="C645" t="str">
        <f>RAW_DATA!C645</f>
        <v>Research &amp; Development</v>
      </c>
      <c r="D645">
        <f>RAW_DATA!D645</f>
        <v>3</v>
      </c>
      <c r="E645">
        <f>RAW_DATA!E645</f>
        <v>3</v>
      </c>
      <c r="F645" t="str">
        <f>RAW_DATA!F645</f>
        <v>Life Sciences</v>
      </c>
      <c r="G645">
        <f>RAW_DATA!G645</f>
        <v>3</v>
      </c>
      <c r="H645">
        <f>RAW_DATA!H645</f>
        <v>4</v>
      </c>
      <c r="I645" t="str">
        <f>RAW_DATA!I645</f>
        <v>Married</v>
      </c>
      <c r="J645">
        <f>RAW_DATA!J645</f>
        <v>5231</v>
      </c>
      <c r="K645">
        <f>RAW_DATA!K645</f>
        <v>2</v>
      </c>
      <c r="L645">
        <f>RAW_DATA!L645</f>
        <v>2</v>
      </c>
      <c r="M645">
        <f>RAW_DATA!M645</f>
        <v>5</v>
      </c>
      <c r="N645">
        <f t="shared" si="20"/>
        <v>0</v>
      </c>
      <c r="O645" t="str">
        <f xml:space="preserve"> VLOOKUP(A645, Lookup_Tables!$G$2:$H$6,2,TRUE)</f>
        <v>35-44</v>
      </c>
      <c r="P645" t="str">
        <f>_xlfn.XLOOKUP(J645,Lookup_Tables!$J$2:$J$4,Lookup_Tables!$K$2:$K$4, " ",-1)</f>
        <v>Medium</v>
      </c>
      <c r="Q645" t="str">
        <f xml:space="preserve"> _xlfn.XLOOKUP(M645, Lookup_Tables!$M$2:$M$5,Lookup_Tables!$N$2:$N$5," ", -1)</f>
        <v>Established (5-10)</v>
      </c>
      <c r="R645" s="4">
        <f t="shared" si="21"/>
        <v>3</v>
      </c>
      <c r="S645" t="str">
        <f xml:space="preserve"> _xlfn.XLOOKUP( E645, Lookup_Tables!$A$2:$A$6,Lookup_Tables!$B$2:$B$6," ", -1)</f>
        <v>Bachelor</v>
      </c>
      <c r="T645" t="str">
        <f>_xlfn.XLOOKUP(G645,Lookup_Tables!$D$2:$D$5,Lookup_Tables!$E$2:$E$5)</f>
        <v>High</v>
      </c>
      <c r="U645" t="str">
        <f>_xlfn.XLOOKUP(H645,Lookup_Tables!$D$2:$D$5,Lookup_Tables!$E$2:$E$5)</f>
        <v>Very High</v>
      </c>
      <c r="V645" t="str">
        <f>_xlfn.XLOOKUP(L645,Lookup_Tables!$D$2:$D$5,Lookup_Tables!$E$2:$E$5)</f>
        <v>Medium</v>
      </c>
    </row>
    <row r="646" spans="1:22">
      <c r="A646">
        <f>RAW_DATA!A646</f>
        <v>31</v>
      </c>
      <c r="B646" t="str">
        <f>RAW_DATA!B646</f>
        <v>No</v>
      </c>
      <c r="C646" t="str">
        <f>RAW_DATA!C646</f>
        <v>Research &amp; Development</v>
      </c>
      <c r="D646">
        <f>RAW_DATA!D646</f>
        <v>11</v>
      </c>
      <c r="E646">
        <f>RAW_DATA!E646</f>
        <v>4</v>
      </c>
      <c r="F646" t="str">
        <f>RAW_DATA!F646</f>
        <v>Life Sciences</v>
      </c>
      <c r="G646">
        <f>RAW_DATA!G646</f>
        <v>4</v>
      </c>
      <c r="H646">
        <f>RAW_DATA!H646</f>
        <v>4</v>
      </c>
      <c r="I646" t="str">
        <f>RAW_DATA!I646</f>
        <v>Married</v>
      </c>
      <c r="J646">
        <f>RAW_DATA!J646</f>
        <v>2356</v>
      </c>
      <c r="K646">
        <f>RAW_DATA!K646</f>
        <v>3</v>
      </c>
      <c r="L646">
        <f>RAW_DATA!L646</f>
        <v>3</v>
      </c>
      <c r="M646">
        <f>RAW_DATA!M646</f>
        <v>6</v>
      </c>
      <c r="N646">
        <f t="shared" si="20"/>
        <v>0</v>
      </c>
      <c r="O646" t="str">
        <f xml:space="preserve"> VLOOKUP(A646, Lookup_Tables!$G$2:$H$6,2,TRUE)</f>
        <v>25-34</v>
      </c>
      <c r="P646" t="str">
        <f>_xlfn.XLOOKUP(J646,Lookup_Tables!$J$2:$J$4,Lookup_Tables!$K$2:$K$4, " ",-1)</f>
        <v>Low</v>
      </c>
      <c r="Q646" t="str">
        <f xml:space="preserve"> _xlfn.XLOOKUP(M646, Lookup_Tables!$M$2:$M$5,Lookup_Tables!$N$2:$N$5," ", -1)</f>
        <v>Established (5-10)</v>
      </c>
      <c r="R646" s="4">
        <f t="shared" si="21"/>
        <v>3.6666666666666665</v>
      </c>
      <c r="S646" t="str">
        <f xml:space="preserve"> _xlfn.XLOOKUP( E646, Lookup_Tables!$A$2:$A$6,Lookup_Tables!$B$2:$B$6," ", -1)</f>
        <v>Master</v>
      </c>
      <c r="T646" t="str">
        <f>_xlfn.XLOOKUP(G646,Lookup_Tables!$D$2:$D$5,Lookup_Tables!$E$2:$E$5)</f>
        <v>Very High</v>
      </c>
      <c r="U646" t="str">
        <f>_xlfn.XLOOKUP(H646,Lookup_Tables!$D$2:$D$5,Lookup_Tables!$E$2:$E$5)</f>
        <v>Very High</v>
      </c>
      <c r="V646" t="str">
        <f>_xlfn.XLOOKUP(L646,Lookup_Tables!$D$2:$D$5,Lookup_Tables!$E$2:$E$5)</f>
        <v>High</v>
      </c>
    </row>
    <row r="647" spans="1:22">
      <c r="A647">
        <f>RAW_DATA!A647</f>
        <v>29</v>
      </c>
      <c r="B647" t="str">
        <f>RAW_DATA!B647</f>
        <v>Yes</v>
      </c>
      <c r="C647" t="str">
        <f>RAW_DATA!C647</f>
        <v>Sales</v>
      </c>
      <c r="D647">
        <f>RAW_DATA!D647</f>
        <v>1</v>
      </c>
      <c r="E647">
        <f>RAW_DATA!E647</f>
        <v>3</v>
      </c>
      <c r="F647" t="str">
        <f>RAW_DATA!F647</f>
        <v>Medical</v>
      </c>
      <c r="G647">
        <f>RAW_DATA!G647</f>
        <v>2</v>
      </c>
      <c r="H647">
        <f>RAW_DATA!H647</f>
        <v>3</v>
      </c>
      <c r="I647" t="str">
        <f>RAW_DATA!I647</f>
        <v>Divorced</v>
      </c>
      <c r="J647">
        <f>RAW_DATA!J647</f>
        <v>2800</v>
      </c>
      <c r="K647">
        <f>RAW_DATA!K647</f>
        <v>6</v>
      </c>
      <c r="L647">
        <f>RAW_DATA!L647</f>
        <v>3</v>
      </c>
      <c r="M647">
        <f>RAW_DATA!M647</f>
        <v>3</v>
      </c>
      <c r="N647">
        <f t="shared" si="20"/>
        <v>1</v>
      </c>
      <c r="O647" t="str">
        <f xml:space="preserve"> VLOOKUP(A647, Lookup_Tables!$G$2:$H$6,2,TRUE)</f>
        <v>25-34</v>
      </c>
      <c r="P647" t="str">
        <f>_xlfn.XLOOKUP(J647,Lookup_Tables!$J$2:$J$4,Lookup_Tables!$K$2:$K$4, " ",-1)</f>
        <v>Low</v>
      </c>
      <c r="Q647" t="str">
        <f xml:space="preserve"> _xlfn.XLOOKUP(M647, Lookup_Tables!$M$2:$M$5,Lookup_Tables!$N$2:$N$5," ", -1)</f>
        <v>Early (2-5)</v>
      </c>
      <c r="R647" s="4">
        <f t="shared" si="21"/>
        <v>2.6666666666666665</v>
      </c>
      <c r="S647" t="str">
        <f xml:space="preserve"> _xlfn.XLOOKUP( E647, Lookup_Tables!$A$2:$A$6,Lookup_Tables!$B$2:$B$6," ", -1)</f>
        <v>Bachelor</v>
      </c>
      <c r="T647" t="str">
        <f>_xlfn.XLOOKUP(G647,Lookup_Tables!$D$2:$D$5,Lookup_Tables!$E$2:$E$5)</f>
        <v>Medium</v>
      </c>
      <c r="U647" t="str">
        <f>_xlfn.XLOOKUP(H647,Lookup_Tables!$D$2:$D$5,Lookup_Tables!$E$2:$E$5)</f>
        <v>High</v>
      </c>
      <c r="V647" t="str">
        <f>_xlfn.XLOOKUP(L647,Lookup_Tables!$D$2:$D$5,Lookup_Tables!$E$2:$E$5)</f>
        <v>High</v>
      </c>
    </row>
    <row r="648" spans="1:22">
      <c r="A648">
        <f>RAW_DATA!A648</f>
        <v>53</v>
      </c>
      <c r="B648" t="str">
        <f>RAW_DATA!B648</f>
        <v>No</v>
      </c>
      <c r="C648" t="str">
        <f>RAW_DATA!C648</f>
        <v>Sales</v>
      </c>
      <c r="D648">
        <f>RAW_DATA!D648</f>
        <v>8</v>
      </c>
      <c r="E648">
        <f>RAW_DATA!E648</f>
        <v>3</v>
      </c>
      <c r="F648" t="str">
        <f>RAW_DATA!F648</f>
        <v>Marketing</v>
      </c>
      <c r="G648">
        <f>RAW_DATA!G648</f>
        <v>1</v>
      </c>
      <c r="H648">
        <f>RAW_DATA!H648</f>
        <v>4</v>
      </c>
      <c r="I648" t="str">
        <f>RAW_DATA!I648</f>
        <v>Married</v>
      </c>
      <c r="J648">
        <f>RAW_DATA!J648</f>
        <v>11836</v>
      </c>
      <c r="K648">
        <f>RAW_DATA!K648</f>
        <v>5</v>
      </c>
      <c r="L648">
        <f>RAW_DATA!L648</f>
        <v>3</v>
      </c>
      <c r="M648">
        <f>RAW_DATA!M648</f>
        <v>2</v>
      </c>
      <c r="N648">
        <f t="shared" si="20"/>
        <v>0</v>
      </c>
      <c r="O648" t="str">
        <f xml:space="preserve"> VLOOKUP(A648, Lookup_Tables!$G$2:$H$6,2,TRUE)</f>
        <v>45-54</v>
      </c>
      <c r="P648" t="str">
        <f>_xlfn.XLOOKUP(J648,Lookup_Tables!$J$2:$J$4,Lookup_Tables!$K$2:$K$4, " ",-1)</f>
        <v>High</v>
      </c>
      <c r="Q648" t="str">
        <f xml:space="preserve"> _xlfn.XLOOKUP(M648, Lookup_Tables!$M$2:$M$5,Lookup_Tables!$N$2:$N$5," ", -1)</f>
        <v>Early (2-5)</v>
      </c>
      <c r="R648" s="4">
        <f t="shared" si="21"/>
        <v>2.6666666666666665</v>
      </c>
      <c r="S648" t="str">
        <f xml:space="preserve"> _xlfn.XLOOKUP( E648, Lookup_Tables!$A$2:$A$6,Lookup_Tables!$B$2:$B$6," ", -1)</f>
        <v>Bachelor</v>
      </c>
      <c r="T648" t="str">
        <f>_xlfn.XLOOKUP(G648,Lookup_Tables!$D$2:$D$5,Lookup_Tables!$E$2:$E$5)</f>
        <v>Low</v>
      </c>
      <c r="U648" t="str">
        <f>_xlfn.XLOOKUP(H648,Lookup_Tables!$D$2:$D$5,Lookup_Tables!$E$2:$E$5)</f>
        <v>Very High</v>
      </c>
      <c r="V648" t="str">
        <f>_xlfn.XLOOKUP(L648,Lookup_Tables!$D$2:$D$5,Lookup_Tables!$E$2:$E$5)</f>
        <v>High</v>
      </c>
    </row>
    <row r="649" spans="1:22">
      <c r="A649">
        <f>RAW_DATA!A649</f>
        <v>35</v>
      </c>
      <c r="B649" t="str">
        <f>RAW_DATA!B649</f>
        <v>No</v>
      </c>
      <c r="C649" t="str">
        <f>RAW_DATA!C649</f>
        <v>Research &amp; Development</v>
      </c>
      <c r="D649">
        <f>RAW_DATA!D649</f>
        <v>25</v>
      </c>
      <c r="E649">
        <f>RAW_DATA!E649</f>
        <v>3</v>
      </c>
      <c r="F649" t="str">
        <f>RAW_DATA!F649</f>
        <v>Technical Degree</v>
      </c>
      <c r="G649">
        <f>RAW_DATA!G649</f>
        <v>4</v>
      </c>
      <c r="H649">
        <f>RAW_DATA!H649</f>
        <v>2</v>
      </c>
      <c r="I649" t="str">
        <f>RAW_DATA!I649</f>
        <v>Married</v>
      </c>
      <c r="J649">
        <f>RAW_DATA!J649</f>
        <v>10903</v>
      </c>
      <c r="K649">
        <f>RAW_DATA!K649</f>
        <v>3</v>
      </c>
      <c r="L649">
        <f>RAW_DATA!L649</f>
        <v>3</v>
      </c>
      <c r="M649">
        <f>RAW_DATA!M649</f>
        <v>13</v>
      </c>
      <c r="N649">
        <f t="shared" si="20"/>
        <v>0</v>
      </c>
      <c r="O649" t="str">
        <f xml:space="preserve"> VLOOKUP(A649, Lookup_Tables!$G$2:$H$6,2,TRUE)</f>
        <v>35-44</v>
      </c>
      <c r="P649" t="str">
        <f>_xlfn.XLOOKUP(J649,Lookup_Tables!$J$2:$J$4,Lookup_Tables!$K$2:$K$4, " ",-1)</f>
        <v>High</v>
      </c>
      <c r="Q649" t="str">
        <f xml:space="preserve"> _xlfn.XLOOKUP(M649, Lookup_Tables!$M$2:$M$5,Lookup_Tables!$N$2:$N$5," ", -1)</f>
        <v>Veteran (10+)</v>
      </c>
      <c r="R649" s="4">
        <f t="shared" si="21"/>
        <v>3</v>
      </c>
      <c r="S649" t="str">
        <f xml:space="preserve"> _xlfn.XLOOKUP( E649, Lookup_Tables!$A$2:$A$6,Lookup_Tables!$B$2:$B$6," ", -1)</f>
        <v>Bachelor</v>
      </c>
      <c r="T649" t="str">
        <f>_xlfn.XLOOKUP(G649,Lookup_Tables!$D$2:$D$5,Lookup_Tables!$E$2:$E$5)</f>
        <v>Very High</v>
      </c>
      <c r="U649" t="str">
        <f>_xlfn.XLOOKUP(H649,Lookup_Tables!$D$2:$D$5,Lookup_Tables!$E$2:$E$5)</f>
        <v>Medium</v>
      </c>
      <c r="V649" t="str">
        <f>_xlfn.XLOOKUP(L649,Lookup_Tables!$D$2:$D$5,Lookup_Tables!$E$2:$E$5)</f>
        <v>High</v>
      </c>
    </row>
    <row r="650" spans="1:22">
      <c r="A650">
        <f>RAW_DATA!A650</f>
        <v>37</v>
      </c>
      <c r="B650" t="str">
        <f>RAW_DATA!B650</f>
        <v>No</v>
      </c>
      <c r="C650" t="str">
        <f>RAW_DATA!C650</f>
        <v>Sales</v>
      </c>
      <c r="D650">
        <f>RAW_DATA!D650</f>
        <v>21</v>
      </c>
      <c r="E650">
        <f>RAW_DATA!E650</f>
        <v>2</v>
      </c>
      <c r="F650" t="str">
        <f>RAW_DATA!F650</f>
        <v>Medical</v>
      </c>
      <c r="G650">
        <f>RAW_DATA!G650</f>
        <v>3</v>
      </c>
      <c r="H650">
        <f>RAW_DATA!H650</f>
        <v>4</v>
      </c>
      <c r="I650" t="str">
        <f>RAW_DATA!I650</f>
        <v>Married</v>
      </c>
      <c r="J650">
        <f>RAW_DATA!J650</f>
        <v>2973</v>
      </c>
      <c r="K650">
        <f>RAW_DATA!K650</f>
        <v>5</v>
      </c>
      <c r="L650">
        <f>RAW_DATA!L650</f>
        <v>3</v>
      </c>
      <c r="M650">
        <f>RAW_DATA!M650</f>
        <v>5</v>
      </c>
      <c r="N650">
        <f t="shared" si="20"/>
        <v>0</v>
      </c>
      <c r="O650" t="str">
        <f xml:space="preserve"> VLOOKUP(A650, Lookup_Tables!$G$2:$H$6,2,TRUE)</f>
        <v>35-44</v>
      </c>
      <c r="P650" t="str">
        <f>_xlfn.XLOOKUP(J650,Lookup_Tables!$J$2:$J$4,Lookup_Tables!$K$2:$K$4, " ",-1)</f>
        <v>Low</v>
      </c>
      <c r="Q650" t="str">
        <f xml:space="preserve"> _xlfn.XLOOKUP(M650, Lookup_Tables!$M$2:$M$5,Lookup_Tables!$N$2:$N$5," ", -1)</f>
        <v>Established (5-10)</v>
      </c>
      <c r="R650" s="4">
        <f t="shared" si="21"/>
        <v>3.3333333333333335</v>
      </c>
      <c r="S650" t="str">
        <f xml:space="preserve"> _xlfn.XLOOKUP( E650, Lookup_Tables!$A$2:$A$6,Lookup_Tables!$B$2:$B$6," ", -1)</f>
        <v>College</v>
      </c>
      <c r="T650" t="str">
        <f>_xlfn.XLOOKUP(G650,Lookup_Tables!$D$2:$D$5,Lookup_Tables!$E$2:$E$5)</f>
        <v>High</v>
      </c>
      <c r="U650" t="str">
        <f>_xlfn.XLOOKUP(H650,Lookup_Tables!$D$2:$D$5,Lookup_Tables!$E$2:$E$5)</f>
        <v>Very High</v>
      </c>
      <c r="V650" t="str">
        <f>_xlfn.XLOOKUP(L650,Lookup_Tables!$D$2:$D$5,Lookup_Tables!$E$2:$E$5)</f>
        <v>High</v>
      </c>
    </row>
    <row r="651" spans="1:22">
      <c r="A651">
        <f>RAW_DATA!A651</f>
        <v>53</v>
      </c>
      <c r="B651" t="str">
        <f>RAW_DATA!B651</f>
        <v>No</v>
      </c>
      <c r="C651" t="str">
        <f>RAW_DATA!C651</f>
        <v>Research &amp; Development</v>
      </c>
      <c r="D651">
        <f>RAW_DATA!D651</f>
        <v>23</v>
      </c>
      <c r="E651">
        <f>RAW_DATA!E651</f>
        <v>4</v>
      </c>
      <c r="F651" t="str">
        <f>RAW_DATA!F651</f>
        <v>Life Sciences</v>
      </c>
      <c r="G651">
        <f>RAW_DATA!G651</f>
        <v>4</v>
      </c>
      <c r="H651">
        <f>RAW_DATA!H651</f>
        <v>4</v>
      </c>
      <c r="I651" t="str">
        <f>RAW_DATA!I651</f>
        <v>Single</v>
      </c>
      <c r="J651">
        <f>RAW_DATA!J651</f>
        <v>14275</v>
      </c>
      <c r="K651">
        <f>RAW_DATA!K651</f>
        <v>6</v>
      </c>
      <c r="L651">
        <f>RAW_DATA!L651</f>
        <v>3</v>
      </c>
      <c r="M651">
        <f>RAW_DATA!M651</f>
        <v>12</v>
      </c>
      <c r="N651">
        <f t="shared" si="20"/>
        <v>0</v>
      </c>
      <c r="O651" t="str">
        <f xml:space="preserve"> VLOOKUP(A651, Lookup_Tables!$G$2:$H$6,2,TRUE)</f>
        <v>45-54</v>
      </c>
      <c r="P651" t="str">
        <f>_xlfn.XLOOKUP(J651,Lookup_Tables!$J$2:$J$4,Lookup_Tables!$K$2:$K$4, " ",-1)</f>
        <v>High</v>
      </c>
      <c r="Q651" t="str">
        <f xml:space="preserve"> _xlfn.XLOOKUP(M651, Lookup_Tables!$M$2:$M$5,Lookup_Tables!$N$2:$N$5," ", -1)</f>
        <v>Veteran (10+)</v>
      </c>
      <c r="R651" s="4">
        <f t="shared" si="21"/>
        <v>3.6666666666666665</v>
      </c>
      <c r="S651" t="str">
        <f xml:space="preserve"> _xlfn.XLOOKUP( E651, Lookup_Tables!$A$2:$A$6,Lookup_Tables!$B$2:$B$6," ", -1)</f>
        <v>Master</v>
      </c>
      <c r="T651" t="str">
        <f>_xlfn.XLOOKUP(G651,Lookup_Tables!$D$2:$D$5,Lookup_Tables!$E$2:$E$5)</f>
        <v>Very High</v>
      </c>
      <c r="U651" t="str">
        <f>_xlfn.XLOOKUP(H651,Lookup_Tables!$D$2:$D$5,Lookup_Tables!$E$2:$E$5)</f>
        <v>Very High</v>
      </c>
      <c r="V651" t="str">
        <f>_xlfn.XLOOKUP(L651,Lookup_Tables!$D$2:$D$5,Lookup_Tables!$E$2:$E$5)</f>
        <v>High</v>
      </c>
    </row>
    <row r="652" spans="1:22">
      <c r="A652">
        <f>RAW_DATA!A652</f>
        <v>43</v>
      </c>
      <c r="B652" t="str">
        <f>RAW_DATA!B652</f>
        <v>No</v>
      </c>
      <c r="C652" t="str">
        <f>RAW_DATA!C652</f>
        <v>Research &amp; Development</v>
      </c>
      <c r="D652">
        <f>RAW_DATA!D652</f>
        <v>1</v>
      </c>
      <c r="E652">
        <f>RAW_DATA!E652</f>
        <v>3</v>
      </c>
      <c r="F652" t="str">
        <f>RAW_DATA!F652</f>
        <v>Life Sciences</v>
      </c>
      <c r="G652">
        <f>RAW_DATA!G652</f>
        <v>4</v>
      </c>
      <c r="H652">
        <f>RAW_DATA!H652</f>
        <v>4</v>
      </c>
      <c r="I652" t="str">
        <f>RAW_DATA!I652</f>
        <v>Married</v>
      </c>
      <c r="J652">
        <f>RAW_DATA!J652</f>
        <v>5562</v>
      </c>
      <c r="K652">
        <f>RAW_DATA!K652</f>
        <v>4</v>
      </c>
      <c r="L652">
        <f>RAW_DATA!L652</f>
        <v>2</v>
      </c>
      <c r="M652">
        <f>RAW_DATA!M652</f>
        <v>5</v>
      </c>
      <c r="N652">
        <f t="shared" si="20"/>
        <v>0</v>
      </c>
      <c r="O652" t="str">
        <f xml:space="preserve"> VLOOKUP(A652, Lookup_Tables!$G$2:$H$6,2,TRUE)</f>
        <v>35-44</v>
      </c>
      <c r="P652" t="str">
        <f>_xlfn.XLOOKUP(J652,Lookup_Tables!$J$2:$J$4,Lookup_Tables!$K$2:$K$4, " ",-1)</f>
        <v>Medium</v>
      </c>
      <c r="Q652" t="str">
        <f xml:space="preserve"> _xlfn.XLOOKUP(M652, Lookup_Tables!$M$2:$M$5,Lookup_Tables!$N$2:$N$5," ", -1)</f>
        <v>Established (5-10)</v>
      </c>
      <c r="R652" s="4">
        <f t="shared" si="21"/>
        <v>3.3333333333333335</v>
      </c>
      <c r="S652" t="str">
        <f xml:space="preserve"> _xlfn.XLOOKUP( E652, Lookup_Tables!$A$2:$A$6,Lookup_Tables!$B$2:$B$6," ", -1)</f>
        <v>Bachelor</v>
      </c>
      <c r="T652" t="str">
        <f>_xlfn.XLOOKUP(G652,Lookup_Tables!$D$2:$D$5,Lookup_Tables!$E$2:$E$5)</f>
        <v>Very High</v>
      </c>
      <c r="U652" t="str">
        <f>_xlfn.XLOOKUP(H652,Lookup_Tables!$D$2:$D$5,Lookup_Tables!$E$2:$E$5)</f>
        <v>Very High</v>
      </c>
      <c r="V652" t="str">
        <f>_xlfn.XLOOKUP(L652,Lookup_Tables!$D$2:$D$5,Lookup_Tables!$E$2:$E$5)</f>
        <v>Medium</v>
      </c>
    </row>
    <row r="653" spans="1:22">
      <c r="A653">
        <f>RAW_DATA!A653</f>
        <v>47</v>
      </c>
      <c r="B653" t="str">
        <f>RAW_DATA!B653</f>
        <v>No</v>
      </c>
      <c r="C653" t="str">
        <f>RAW_DATA!C653</f>
        <v>Sales</v>
      </c>
      <c r="D653">
        <f>RAW_DATA!D653</f>
        <v>2</v>
      </c>
      <c r="E653">
        <f>RAW_DATA!E653</f>
        <v>2</v>
      </c>
      <c r="F653" t="str">
        <f>RAW_DATA!F653</f>
        <v>Marketing</v>
      </c>
      <c r="G653">
        <f>RAW_DATA!G653</f>
        <v>3</v>
      </c>
      <c r="H653">
        <f>RAW_DATA!H653</f>
        <v>4</v>
      </c>
      <c r="I653" t="str">
        <f>RAW_DATA!I653</f>
        <v>Married</v>
      </c>
      <c r="J653">
        <f>RAW_DATA!J653</f>
        <v>4537</v>
      </c>
      <c r="K653">
        <f>RAW_DATA!K653</f>
        <v>0</v>
      </c>
      <c r="L653">
        <f>RAW_DATA!L653</f>
        <v>3</v>
      </c>
      <c r="M653">
        <f>RAW_DATA!M653</f>
        <v>7</v>
      </c>
      <c r="N653">
        <f t="shared" si="20"/>
        <v>0</v>
      </c>
      <c r="O653" t="str">
        <f xml:space="preserve"> VLOOKUP(A653, Lookup_Tables!$G$2:$H$6,2,TRUE)</f>
        <v>45-54</v>
      </c>
      <c r="P653" t="str">
        <f>_xlfn.XLOOKUP(J653,Lookup_Tables!$J$2:$J$4,Lookup_Tables!$K$2:$K$4, " ",-1)</f>
        <v>Medium</v>
      </c>
      <c r="Q653" t="str">
        <f xml:space="preserve"> _xlfn.XLOOKUP(M653, Lookup_Tables!$M$2:$M$5,Lookup_Tables!$N$2:$N$5," ", -1)</f>
        <v>Established (5-10)</v>
      </c>
      <c r="R653" s="4">
        <f t="shared" si="21"/>
        <v>3.3333333333333335</v>
      </c>
      <c r="S653" t="str">
        <f xml:space="preserve"> _xlfn.XLOOKUP( E653, Lookup_Tables!$A$2:$A$6,Lookup_Tables!$B$2:$B$6," ", -1)</f>
        <v>College</v>
      </c>
      <c r="T653" t="str">
        <f>_xlfn.XLOOKUP(G653,Lookup_Tables!$D$2:$D$5,Lookup_Tables!$E$2:$E$5)</f>
        <v>High</v>
      </c>
      <c r="U653" t="str">
        <f>_xlfn.XLOOKUP(H653,Lookup_Tables!$D$2:$D$5,Lookup_Tables!$E$2:$E$5)</f>
        <v>Very High</v>
      </c>
      <c r="V653" t="str">
        <f>_xlfn.XLOOKUP(L653,Lookup_Tables!$D$2:$D$5,Lookup_Tables!$E$2:$E$5)</f>
        <v>High</v>
      </c>
    </row>
    <row r="654" spans="1:22">
      <c r="A654">
        <f>RAW_DATA!A654</f>
        <v>37</v>
      </c>
      <c r="B654" t="str">
        <f>RAW_DATA!B654</f>
        <v>No</v>
      </c>
      <c r="C654" t="str">
        <f>RAW_DATA!C654</f>
        <v>Sales</v>
      </c>
      <c r="D654">
        <f>RAW_DATA!D654</f>
        <v>19</v>
      </c>
      <c r="E654">
        <f>RAW_DATA!E654</f>
        <v>2</v>
      </c>
      <c r="F654" t="str">
        <f>RAW_DATA!F654</f>
        <v>Medical</v>
      </c>
      <c r="G654">
        <f>RAW_DATA!G654</f>
        <v>1</v>
      </c>
      <c r="H654">
        <f>RAW_DATA!H654</f>
        <v>2</v>
      </c>
      <c r="I654" t="str">
        <f>RAW_DATA!I654</f>
        <v>Single</v>
      </c>
      <c r="J654">
        <f>RAW_DATA!J654</f>
        <v>7642</v>
      </c>
      <c r="K654">
        <f>RAW_DATA!K654</f>
        <v>1</v>
      </c>
      <c r="L654">
        <f>RAW_DATA!L654</f>
        <v>3</v>
      </c>
      <c r="M654">
        <f>RAW_DATA!M654</f>
        <v>10</v>
      </c>
      <c r="N654">
        <f t="shared" si="20"/>
        <v>0</v>
      </c>
      <c r="O654" t="str">
        <f xml:space="preserve"> VLOOKUP(A654, Lookup_Tables!$G$2:$H$6,2,TRUE)</f>
        <v>35-44</v>
      </c>
      <c r="P654" t="str">
        <f>_xlfn.XLOOKUP(J654,Lookup_Tables!$J$2:$J$4,Lookup_Tables!$K$2:$K$4, " ",-1)</f>
        <v>High</v>
      </c>
      <c r="Q654" t="str">
        <f xml:space="preserve"> _xlfn.XLOOKUP(M654, Lookup_Tables!$M$2:$M$5,Lookup_Tables!$N$2:$N$5," ", -1)</f>
        <v>Veteran (10+)</v>
      </c>
      <c r="R654" s="4">
        <f t="shared" si="21"/>
        <v>2</v>
      </c>
      <c r="S654" t="str">
        <f xml:space="preserve"> _xlfn.XLOOKUP( E654, Lookup_Tables!$A$2:$A$6,Lookup_Tables!$B$2:$B$6," ", -1)</f>
        <v>College</v>
      </c>
      <c r="T654" t="str">
        <f>_xlfn.XLOOKUP(G654,Lookup_Tables!$D$2:$D$5,Lookup_Tables!$E$2:$E$5)</f>
        <v>Low</v>
      </c>
      <c r="U654" t="str">
        <f>_xlfn.XLOOKUP(H654,Lookup_Tables!$D$2:$D$5,Lookup_Tables!$E$2:$E$5)</f>
        <v>Medium</v>
      </c>
      <c r="V654" t="str">
        <f>_xlfn.XLOOKUP(L654,Lookup_Tables!$D$2:$D$5,Lookup_Tables!$E$2:$E$5)</f>
        <v>High</v>
      </c>
    </row>
    <row r="655" spans="1:22">
      <c r="A655">
        <f>RAW_DATA!A655</f>
        <v>50</v>
      </c>
      <c r="B655" t="str">
        <f>RAW_DATA!B655</f>
        <v>No</v>
      </c>
      <c r="C655" t="str">
        <f>RAW_DATA!C655</f>
        <v>Research &amp; Development</v>
      </c>
      <c r="D655">
        <f>RAW_DATA!D655</f>
        <v>2</v>
      </c>
      <c r="E655">
        <f>RAW_DATA!E655</f>
        <v>4</v>
      </c>
      <c r="F655" t="str">
        <f>RAW_DATA!F655</f>
        <v>Life Sciences</v>
      </c>
      <c r="G655">
        <f>RAW_DATA!G655</f>
        <v>1</v>
      </c>
      <c r="H655">
        <f>RAW_DATA!H655</f>
        <v>1</v>
      </c>
      <c r="I655" t="str">
        <f>RAW_DATA!I655</f>
        <v>Divorced</v>
      </c>
      <c r="J655">
        <f>RAW_DATA!J655</f>
        <v>17924</v>
      </c>
      <c r="K655">
        <f>RAW_DATA!K655</f>
        <v>1</v>
      </c>
      <c r="L655">
        <f>RAW_DATA!L655</f>
        <v>3</v>
      </c>
      <c r="M655">
        <f>RAW_DATA!M655</f>
        <v>31</v>
      </c>
      <c r="N655">
        <f t="shared" si="20"/>
        <v>0</v>
      </c>
      <c r="O655" t="str">
        <f xml:space="preserve"> VLOOKUP(A655, Lookup_Tables!$G$2:$H$6,2,TRUE)</f>
        <v>45-54</v>
      </c>
      <c r="P655" t="str">
        <f>_xlfn.XLOOKUP(J655,Lookup_Tables!$J$2:$J$4,Lookup_Tables!$K$2:$K$4, " ",-1)</f>
        <v>High</v>
      </c>
      <c r="Q655" t="str">
        <f xml:space="preserve"> _xlfn.XLOOKUP(M655, Lookup_Tables!$M$2:$M$5,Lookup_Tables!$N$2:$N$5," ", -1)</f>
        <v>Veteran (10+)</v>
      </c>
      <c r="R655" s="4">
        <f t="shared" si="21"/>
        <v>1.6666666666666667</v>
      </c>
      <c r="S655" t="str">
        <f xml:space="preserve"> _xlfn.XLOOKUP( E655, Lookup_Tables!$A$2:$A$6,Lookup_Tables!$B$2:$B$6," ", -1)</f>
        <v>Master</v>
      </c>
      <c r="T655" t="str">
        <f>_xlfn.XLOOKUP(G655,Lookup_Tables!$D$2:$D$5,Lookup_Tables!$E$2:$E$5)</f>
        <v>Low</v>
      </c>
      <c r="U655" t="str">
        <f>_xlfn.XLOOKUP(H655,Lookup_Tables!$D$2:$D$5,Lookup_Tables!$E$2:$E$5)</f>
        <v>Low</v>
      </c>
      <c r="V655" t="str">
        <f>_xlfn.XLOOKUP(L655,Lookup_Tables!$D$2:$D$5,Lookup_Tables!$E$2:$E$5)</f>
        <v>High</v>
      </c>
    </row>
    <row r="656" spans="1:22">
      <c r="A656">
        <f>RAW_DATA!A656</f>
        <v>39</v>
      </c>
      <c r="B656" t="str">
        <f>RAW_DATA!B656</f>
        <v>No</v>
      </c>
      <c r="C656" t="str">
        <f>RAW_DATA!C656</f>
        <v>Human Resources</v>
      </c>
      <c r="D656">
        <f>RAW_DATA!D656</f>
        <v>2</v>
      </c>
      <c r="E656">
        <f>RAW_DATA!E656</f>
        <v>3</v>
      </c>
      <c r="F656" t="str">
        <f>RAW_DATA!F656</f>
        <v>Life Sciences</v>
      </c>
      <c r="G656">
        <f>RAW_DATA!G656</f>
        <v>4</v>
      </c>
      <c r="H656">
        <f>RAW_DATA!H656</f>
        <v>4</v>
      </c>
      <c r="I656" t="str">
        <f>RAW_DATA!I656</f>
        <v>Married</v>
      </c>
      <c r="J656">
        <f>RAW_DATA!J656</f>
        <v>5204</v>
      </c>
      <c r="K656">
        <f>RAW_DATA!K656</f>
        <v>8</v>
      </c>
      <c r="L656">
        <f>RAW_DATA!L656</f>
        <v>3</v>
      </c>
      <c r="M656">
        <f>RAW_DATA!M656</f>
        <v>5</v>
      </c>
      <c r="N656">
        <f t="shared" si="20"/>
        <v>0</v>
      </c>
      <c r="O656" t="str">
        <f xml:space="preserve"> VLOOKUP(A656, Lookup_Tables!$G$2:$H$6,2,TRUE)</f>
        <v>35-44</v>
      </c>
      <c r="P656" t="str">
        <f>_xlfn.XLOOKUP(J656,Lookup_Tables!$J$2:$J$4,Lookup_Tables!$K$2:$K$4, " ",-1)</f>
        <v>Medium</v>
      </c>
      <c r="Q656" t="str">
        <f xml:space="preserve"> _xlfn.XLOOKUP(M656, Lookup_Tables!$M$2:$M$5,Lookup_Tables!$N$2:$N$5," ", -1)</f>
        <v>Established (5-10)</v>
      </c>
      <c r="R656" s="4">
        <f t="shared" si="21"/>
        <v>3.6666666666666665</v>
      </c>
      <c r="S656" t="str">
        <f xml:space="preserve"> _xlfn.XLOOKUP( E656, Lookup_Tables!$A$2:$A$6,Lookup_Tables!$B$2:$B$6," ", -1)</f>
        <v>Bachelor</v>
      </c>
      <c r="T656" t="str">
        <f>_xlfn.XLOOKUP(G656,Lookup_Tables!$D$2:$D$5,Lookup_Tables!$E$2:$E$5)</f>
        <v>Very High</v>
      </c>
      <c r="U656" t="str">
        <f>_xlfn.XLOOKUP(H656,Lookup_Tables!$D$2:$D$5,Lookup_Tables!$E$2:$E$5)</f>
        <v>Very High</v>
      </c>
      <c r="V656" t="str">
        <f>_xlfn.XLOOKUP(L656,Lookup_Tables!$D$2:$D$5,Lookup_Tables!$E$2:$E$5)</f>
        <v>High</v>
      </c>
    </row>
    <row r="657" spans="1:22">
      <c r="A657">
        <f>RAW_DATA!A657</f>
        <v>33</v>
      </c>
      <c r="B657" t="str">
        <f>RAW_DATA!B657</f>
        <v>No</v>
      </c>
      <c r="C657" t="str">
        <f>RAW_DATA!C657</f>
        <v>Human Resources</v>
      </c>
      <c r="D657">
        <f>RAW_DATA!D657</f>
        <v>3</v>
      </c>
      <c r="E657">
        <f>RAW_DATA!E657</f>
        <v>2</v>
      </c>
      <c r="F657" t="str">
        <f>RAW_DATA!F657</f>
        <v>Human Resources</v>
      </c>
      <c r="G657">
        <f>RAW_DATA!G657</f>
        <v>4</v>
      </c>
      <c r="H657">
        <f>RAW_DATA!H657</f>
        <v>2</v>
      </c>
      <c r="I657" t="str">
        <f>RAW_DATA!I657</f>
        <v>Divorced</v>
      </c>
      <c r="J657">
        <f>RAW_DATA!J657</f>
        <v>2277</v>
      </c>
      <c r="K657">
        <f>RAW_DATA!K657</f>
        <v>3</v>
      </c>
      <c r="L657">
        <f>RAW_DATA!L657</f>
        <v>4</v>
      </c>
      <c r="M657">
        <f>RAW_DATA!M657</f>
        <v>4</v>
      </c>
      <c r="N657">
        <f t="shared" si="20"/>
        <v>0</v>
      </c>
      <c r="O657" t="str">
        <f xml:space="preserve"> VLOOKUP(A657, Lookup_Tables!$G$2:$H$6,2,TRUE)</f>
        <v>25-34</v>
      </c>
      <c r="P657" t="str">
        <f>_xlfn.XLOOKUP(J657,Lookup_Tables!$J$2:$J$4,Lookup_Tables!$K$2:$K$4, " ",-1)</f>
        <v>Low</v>
      </c>
      <c r="Q657" t="str">
        <f xml:space="preserve"> _xlfn.XLOOKUP(M657, Lookup_Tables!$M$2:$M$5,Lookup_Tables!$N$2:$N$5," ", -1)</f>
        <v>Early (2-5)</v>
      </c>
      <c r="R657" s="4">
        <f t="shared" si="21"/>
        <v>3.3333333333333335</v>
      </c>
      <c r="S657" t="str">
        <f xml:space="preserve"> _xlfn.XLOOKUP( E657, Lookup_Tables!$A$2:$A$6,Lookup_Tables!$B$2:$B$6," ", -1)</f>
        <v>College</v>
      </c>
      <c r="T657" t="str">
        <f>_xlfn.XLOOKUP(G657,Lookup_Tables!$D$2:$D$5,Lookup_Tables!$E$2:$E$5)</f>
        <v>Very High</v>
      </c>
      <c r="U657" t="str">
        <f>_xlfn.XLOOKUP(H657,Lookup_Tables!$D$2:$D$5,Lookup_Tables!$E$2:$E$5)</f>
        <v>Medium</v>
      </c>
      <c r="V657" t="str">
        <f>_xlfn.XLOOKUP(L657,Lookup_Tables!$D$2:$D$5,Lookup_Tables!$E$2:$E$5)</f>
        <v>Very High</v>
      </c>
    </row>
    <row r="658" spans="1:22">
      <c r="A658">
        <f>RAW_DATA!A658</f>
        <v>32</v>
      </c>
      <c r="B658" t="str">
        <f>RAW_DATA!B658</f>
        <v>Yes</v>
      </c>
      <c r="C658" t="str">
        <f>RAW_DATA!C658</f>
        <v>Research &amp; Development</v>
      </c>
      <c r="D658">
        <f>RAW_DATA!D658</f>
        <v>25</v>
      </c>
      <c r="E658">
        <f>RAW_DATA!E658</f>
        <v>4</v>
      </c>
      <c r="F658" t="str">
        <f>RAW_DATA!F658</f>
        <v>Life Sciences</v>
      </c>
      <c r="G658">
        <f>RAW_DATA!G658</f>
        <v>1</v>
      </c>
      <c r="H658">
        <f>RAW_DATA!H658</f>
        <v>4</v>
      </c>
      <c r="I658" t="str">
        <f>RAW_DATA!I658</f>
        <v>Single</v>
      </c>
      <c r="J658">
        <f>RAW_DATA!J658</f>
        <v>2795</v>
      </c>
      <c r="K658">
        <f>RAW_DATA!K658</f>
        <v>1</v>
      </c>
      <c r="L658">
        <f>RAW_DATA!L658</f>
        <v>1</v>
      </c>
      <c r="M658">
        <f>RAW_DATA!M658</f>
        <v>1</v>
      </c>
      <c r="N658">
        <f t="shared" si="20"/>
        <v>1</v>
      </c>
      <c r="O658" t="str">
        <f xml:space="preserve"> VLOOKUP(A658, Lookup_Tables!$G$2:$H$6,2,TRUE)</f>
        <v>25-34</v>
      </c>
      <c r="P658" t="str">
        <f>_xlfn.XLOOKUP(J658,Lookup_Tables!$J$2:$J$4,Lookup_Tables!$K$2:$K$4, " ",-1)</f>
        <v>Low</v>
      </c>
      <c r="Q658" t="str">
        <f xml:space="preserve"> _xlfn.XLOOKUP(M658, Lookup_Tables!$M$2:$M$5,Lookup_Tables!$N$2:$N$5," ", -1)</f>
        <v>New (0-2)</v>
      </c>
      <c r="R658" s="4">
        <f t="shared" si="21"/>
        <v>2</v>
      </c>
      <c r="S658" t="str">
        <f xml:space="preserve"> _xlfn.XLOOKUP( E658, Lookup_Tables!$A$2:$A$6,Lookup_Tables!$B$2:$B$6," ", -1)</f>
        <v>Master</v>
      </c>
      <c r="T658" t="str">
        <f>_xlfn.XLOOKUP(G658,Lookup_Tables!$D$2:$D$5,Lookup_Tables!$E$2:$E$5)</f>
        <v>Low</v>
      </c>
      <c r="U658" t="str">
        <f>_xlfn.XLOOKUP(H658,Lookup_Tables!$D$2:$D$5,Lookup_Tables!$E$2:$E$5)</f>
        <v>Very High</v>
      </c>
      <c r="V658" t="str">
        <f>_xlfn.XLOOKUP(L658,Lookup_Tables!$D$2:$D$5,Lookup_Tables!$E$2:$E$5)</f>
        <v>Low</v>
      </c>
    </row>
    <row r="659" spans="1:22">
      <c r="A659">
        <f>RAW_DATA!A659</f>
        <v>29</v>
      </c>
      <c r="B659" t="str">
        <f>RAW_DATA!B659</f>
        <v>No</v>
      </c>
      <c r="C659" t="str">
        <f>RAW_DATA!C659</f>
        <v>Research &amp; Development</v>
      </c>
      <c r="D659">
        <f>RAW_DATA!D659</f>
        <v>7</v>
      </c>
      <c r="E659">
        <f>RAW_DATA!E659</f>
        <v>1</v>
      </c>
      <c r="F659" t="str">
        <f>RAW_DATA!F659</f>
        <v>Medical</v>
      </c>
      <c r="G659">
        <f>RAW_DATA!G659</f>
        <v>1</v>
      </c>
      <c r="H659">
        <f>RAW_DATA!H659</f>
        <v>4</v>
      </c>
      <c r="I659" t="str">
        <f>RAW_DATA!I659</f>
        <v>Divorced</v>
      </c>
      <c r="J659">
        <f>RAW_DATA!J659</f>
        <v>2532</v>
      </c>
      <c r="K659">
        <f>RAW_DATA!K659</f>
        <v>6</v>
      </c>
      <c r="L659">
        <f>RAW_DATA!L659</f>
        <v>3</v>
      </c>
      <c r="M659">
        <f>RAW_DATA!M659</f>
        <v>4</v>
      </c>
      <c r="N659">
        <f t="shared" si="20"/>
        <v>0</v>
      </c>
      <c r="O659" t="str">
        <f xml:space="preserve"> VLOOKUP(A659, Lookup_Tables!$G$2:$H$6,2,TRUE)</f>
        <v>25-34</v>
      </c>
      <c r="P659" t="str">
        <f>_xlfn.XLOOKUP(J659,Lookup_Tables!$J$2:$J$4,Lookup_Tables!$K$2:$K$4, " ",-1)</f>
        <v>Low</v>
      </c>
      <c r="Q659" t="str">
        <f xml:space="preserve"> _xlfn.XLOOKUP(M659, Lookup_Tables!$M$2:$M$5,Lookup_Tables!$N$2:$N$5," ", -1)</f>
        <v>Early (2-5)</v>
      </c>
      <c r="R659" s="4">
        <f t="shared" si="21"/>
        <v>2.6666666666666665</v>
      </c>
      <c r="S659" t="str">
        <f xml:space="preserve"> _xlfn.XLOOKUP( E659, Lookup_Tables!$A$2:$A$6,Lookup_Tables!$B$2:$B$6," ", -1)</f>
        <v>Below College</v>
      </c>
      <c r="T659" t="str">
        <f>_xlfn.XLOOKUP(G659,Lookup_Tables!$D$2:$D$5,Lookup_Tables!$E$2:$E$5)</f>
        <v>Low</v>
      </c>
      <c r="U659" t="str">
        <f>_xlfn.XLOOKUP(H659,Lookup_Tables!$D$2:$D$5,Lookup_Tables!$E$2:$E$5)</f>
        <v>Very High</v>
      </c>
      <c r="V659" t="str">
        <f>_xlfn.XLOOKUP(L659,Lookup_Tables!$D$2:$D$5,Lookup_Tables!$E$2:$E$5)</f>
        <v>High</v>
      </c>
    </row>
    <row r="660" spans="1:22">
      <c r="A660">
        <f>RAW_DATA!A660</f>
        <v>44</v>
      </c>
      <c r="B660" t="str">
        <f>RAW_DATA!B660</f>
        <v>No</v>
      </c>
      <c r="C660" t="str">
        <f>RAW_DATA!C660</f>
        <v>Research &amp; Development</v>
      </c>
      <c r="D660">
        <f>RAW_DATA!D660</f>
        <v>9</v>
      </c>
      <c r="E660">
        <f>RAW_DATA!E660</f>
        <v>2</v>
      </c>
      <c r="F660" t="str">
        <f>RAW_DATA!F660</f>
        <v>Life Sciences</v>
      </c>
      <c r="G660">
        <f>RAW_DATA!G660</f>
        <v>2</v>
      </c>
      <c r="H660">
        <f>RAW_DATA!H660</f>
        <v>1</v>
      </c>
      <c r="I660" t="str">
        <f>RAW_DATA!I660</f>
        <v>Married</v>
      </c>
      <c r="J660">
        <f>RAW_DATA!J660</f>
        <v>2559</v>
      </c>
      <c r="K660">
        <f>RAW_DATA!K660</f>
        <v>1</v>
      </c>
      <c r="L660">
        <f>RAW_DATA!L660</f>
        <v>3</v>
      </c>
      <c r="M660">
        <f>RAW_DATA!M660</f>
        <v>8</v>
      </c>
      <c r="N660">
        <f t="shared" si="20"/>
        <v>0</v>
      </c>
      <c r="O660" t="str">
        <f xml:space="preserve"> VLOOKUP(A660, Lookup_Tables!$G$2:$H$6,2,TRUE)</f>
        <v>35-44</v>
      </c>
      <c r="P660" t="str">
        <f>_xlfn.XLOOKUP(J660,Lookup_Tables!$J$2:$J$4,Lookup_Tables!$K$2:$K$4, " ",-1)</f>
        <v>Low</v>
      </c>
      <c r="Q660" t="str">
        <f xml:space="preserve"> _xlfn.XLOOKUP(M660, Lookup_Tables!$M$2:$M$5,Lookup_Tables!$N$2:$N$5," ", -1)</f>
        <v>Established (5-10)</v>
      </c>
      <c r="R660" s="4">
        <f t="shared" si="21"/>
        <v>2</v>
      </c>
      <c r="S660" t="str">
        <f xml:space="preserve"> _xlfn.XLOOKUP( E660, Lookup_Tables!$A$2:$A$6,Lookup_Tables!$B$2:$B$6," ", -1)</f>
        <v>College</v>
      </c>
      <c r="T660" t="str">
        <f>_xlfn.XLOOKUP(G660,Lookup_Tables!$D$2:$D$5,Lookup_Tables!$E$2:$E$5)</f>
        <v>Medium</v>
      </c>
      <c r="U660" t="str">
        <f>_xlfn.XLOOKUP(H660,Lookup_Tables!$D$2:$D$5,Lookup_Tables!$E$2:$E$5)</f>
        <v>Low</v>
      </c>
      <c r="V660" t="str">
        <f>_xlfn.XLOOKUP(L660,Lookup_Tables!$D$2:$D$5,Lookup_Tables!$E$2:$E$5)</f>
        <v>High</v>
      </c>
    </row>
    <row r="661" spans="1:22">
      <c r="A661">
        <f>RAW_DATA!A661</f>
        <v>28</v>
      </c>
      <c r="B661" t="str">
        <f>RAW_DATA!B661</f>
        <v>No</v>
      </c>
      <c r="C661" t="str">
        <f>RAW_DATA!C661</f>
        <v>Sales</v>
      </c>
      <c r="D661">
        <f>RAW_DATA!D661</f>
        <v>5</v>
      </c>
      <c r="E661">
        <f>RAW_DATA!E661</f>
        <v>4</v>
      </c>
      <c r="F661" t="str">
        <f>RAW_DATA!F661</f>
        <v>Medical</v>
      </c>
      <c r="G661">
        <f>RAW_DATA!G661</f>
        <v>1</v>
      </c>
      <c r="H661">
        <f>RAW_DATA!H661</f>
        <v>4</v>
      </c>
      <c r="I661" t="str">
        <f>RAW_DATA!I661</f>
        <v>Single</v>
      </c>
      <c r="J661">
        <f>RAW_DATA!J661</f>
        <v>4908</v>
      </c>
      <c r="K661">
        <f>RAW_DATA!K661</f>
        <v>1</v>
      </c>
      <c r="L661">
        <f>RAW_DATA!L661</f>
        <v>3</v>
      </c>
      <c r="M661">
        <f>RAW_DATA!M661</f>
        <v>4</v>
      </c>
      <c r="N661">
        <f t="shared" si="20"/>
        <v>0</v>
      </c>
      <c r="O661" t="str">
        <f xml:space="preserve"> VLOOKUP(A661, Lookup_Tables!$G$2:$H$6,2,TRUE)</f>
        <v>25-34</v>
      </c>
      <c r="P661" t="str">
        <f>_xlfn.XLOOKUP(J661,Lookup_Tables!$J$2:$J$4,Lookup_Tables!$K$2:$K$4, " ",-1)</f>
        <v>Medium</v>
      </c>
      <c r="Q661" t="str">
        <f xml:space="preserve"> _xlfn.XLOOKUP(M661, Lookup_Tables!$M$2:$M$5,Lookup_Tables!$N$2:$N$5," ", -1)</f>
        <v>Early (2-5)</v>
      </c>
      <c r="R661" s="4">
        <f t="shared" si="21"/>
        <v>2.6666666666666665</v>
      </c>
      <c r="S661" t="str">
        <f xml:space="preserve"> _xlfn.XLOOKUP( E661, Lookup_Tables!$A$2:$A$6,Lookup_Tables!$B$2:$B$6," ", -1)</f>
        <v>Master</v>
      </c>
      <c r="T661" t="str">
        <f>_xlfn.XLOOKUP(G661,Lookup_Tables!$D$2:$D$5,Lookup_Tables!$E$2:$E$5)</f>
        <v>Low</v>
      </c>
      <c r="U661" t="str">
        <f>_xlfn.XLOOKUP(H661,Lookup_Tables!$D$2:$D$5,Lookup_Tables!$E$2:$E$5)</f>
        <v>Very High</v>
      </c>
      <c r="V661" t="str">
        <f>_xlfn.XLOOKUP(L661,Lookup_Tables!$D$2:$D$5,Lookup_Tables!$E$2:$E$5)</f>
        <v>High</v>
      </c>
    </row>
    <row r="662" spans="1:22">
      <c r="A662">
        <f>RAW_DATA!A662</f>
        <v>58</v>
      </c>
      <c r="B662" t="str">
        <f>RAW_DATA!B662</f>
        <v>Yes</v>
      </c>
      <c r="C662" t="str">
        <f>RAW_DATA!C662</f>
        <v>Research &amp; Development</v>
      </c>
      <c r="D662">
        <f>RAW_DATA!D662</f>
        <v>2</v>
      </c>
      <c r="E662">
        <f>RAW_DATA!E662</f>
        <v>1</v>
      </c>
      <c r="F662" t="str">
        <f>RAW_DATA!F662</f>
        <v>Life Sciences</v>
      </c>
      <c r="G662">
        <f>RAW_DATA!G662</f>
        <v>4</v>
      </c>
      <c r="H662">
        <f>RAW_DATA!H662</f>
        <v>4</v>
      </c>
      <c r="I662" t="str">
        <f>RAW_DATA!I662</f>
        <v>Divorced</v>
      </c>
      <c r="J662">
        <f>RAW_DATA!J662</f>
        <v>2380</v>
      </c>
      <c r="K662">
        <f>RAW_DATA!K662</f>
        <v>9</v>
      </c>
      <c r="L662">
        <f>RAW_DATA!L662</f>
        <v>2</v>
      </c>
      <c r="M662">
        <f>RAW_DATA!M662</f>
        <v>1</v>
      </c>
      <c r="N662">
        <f t="shared" si="20"/>
        <v>1</v>
      </c>
      <c r="O662" t="str">
        <f xml:space="preserve"> VLOOKUP(A662, Lookup_Tables!$G$2:$H$6,2,TRUE)</f>
        <v>55+</v>
      </c>
      <c r="P662" t="str">
        <f>_xlfn.XLOOKUP(J662,Lookup_Tables!$J$2:$J$4,Lookup_Tables!$K$2:$K$4, " ",-1)</f>
        <v>Low</v>
      </c>
      <c r="Q662" t="str">
        <f xml:space="preserve"> _xlfn.XLOOKUP(M662, Lookup_Tables!$M$2:$M$5,Lookup_Tables!$N$2:$N$5," ", -1)</f>
        <v>New (0-2)</v>
      </c>
      <c r="R662" s="4">
        <f t="shared" si="21"/>
        <v>3.3333333333333335</v>
      </c>
      <c r="S662" t="str">
        <f xml:space="preserve"> _xlfn.XLOOKUP( E662, Lookup_Tables!$A$2:$A$6,Lookup_Tables!$B$2:$B$6," ", -1)</f>
        <v>Below College</v>
      </c>
      <c r="T662" t="str">
        <f>_xlfn.XLOOKUP(G662,Lookup_Tables!$D$2:$D$5,Lookup_Tables!$E$2:$E$5)</f>
        <v>Very High</v>
      </c>
      <c r="U662" t="str">
        <f>_xlfn.XLOOKUP(H662,Lookup_Tables!$D$2:$D$5,Lookup_Tables!$E$2:$E$5)</f>
        <v>Very High</v>
      </c>
      <c r="V662" t="str">
        <f>_xlfn.XLOOKUP(L662,Lookup_Tables!$D$2:$D$5,Lookup_Tables!$E$2:$E$5)</f>
        <v>Medium</v>
      </c>
    </row>
    <row r="663" spans="1:22">
      <c r="A663">
        <f>RAW_DATA!A663</f>
        <v>43</v>
      </c>
      <c r="B663" t="str">
        <f>RAW_DATA!B663</f>
        <v>No</v>
      </c>
      <c r="C663" t="str">
        <f>RAW_DATA!C663</f>
        <v>Research &amp; Development</v>
      </c>
      <c r="D663">
        <f>RAW_DATA!D663</f>
        <v>8</v>
      </c>
      <c r="E663">
        <f>RAW_DATA!E663</f>
        <v>3</v>
      </c>
      <c r="F663" t="str">
        <f>RAW_DATA!F663</f>
        <v>Life Sciences</v>
      </c>
      <c r="G663">
        <f>RAW_DATA!G663</f>
        <v>1</v>
      </c>
      <c r="H663">
        <f>RAW_DATA!H663</f>
        <v>2</v>
      </c>
      <c r="I663" t="str">
        <f>RAW_DATA!I663</f>
        <v>Divorced</v>
      </c>
      <c r="J663">
        <f>RAW_DATA!J663</f>
        <v>4765</v>
      </c>
      <c r="K663">
        <f>RAW_DATA!K663</f>
        <v>4</v>
      </c>
      <c r="L663">
        <f>RAW_DATA!L663</f>
        <v>4</v>
      </c>
      <c r="M663">
        <f>RAW_DATA!M663</f>
        <v>1</v>
      </c>
      <c r="N663">
        <f t="shared" si="20"/>
        <v>0</v>
      </c>
      <c r="O663" t="str">
        <f xml:space="preserve"> VLOOKUP(A663, Lookup_Tables!$G$2:$H$6,2,TRUE)</f>
        <v>35-44</v>
      </c>
      <c r="P663" t="str">
        <f>_xlfn.XLOOKUP(J663,Lookup_Tables!$J$2:$J$4,Lookup_Tables!$K$2:$K$4, " ",-1)</f>
        <v>Medium</v>
      </c>
      <c r="Q663" t="str">
        <f xml:space="preserve"> _xlfn.XLOOKUP(M663, Lookup_Tables!$M$2:$M$5,Lookup_Tables!$N$2:$N$5," ", -1)</f>
        <v>New (0-2)</v>
      </c>
      <c r="R663" s="4">
        <f t="shared" si="21"/>
        <v>2.3333333333333335</v>
      </c>
      <c r="S663" t="str">
        <f xml:space="preserve"> _xlfn.XLOOKUP( E663, Lookup_Tables!$A$2:$A$6,Lookup_Tables!$B$2:$B$6," ", -1)</f>
        <v>Bachelor</v>
      </c>
      <c r="T663" t="str">
        <f>_xlfn.XLOOKUP(G663,Lookup_Tables!$D$2:$D$5,Lookup_Tables!$E$2:$E$5)</f>
        <v>Low</v>
      </c>
      <c r="U663" t="str">
        <f>_xlfn.XLOOKUP(H663,Lookup_Tables!$D$2:$D$5,Lookup_Tables!$E$2:$E$5)</f>
        <v>Medium</v>
      </c>
      <c r="V663" t="str">
        <f>_xlfn.XLOOKUP(L663,Lookup_Tables!$D$2:$D$5,Lookup_Tables!$E$2:$E$5)</f>
        <v>Very High</v>
      </c>
    </row>
    <row r="664" spans="1:22">
      <c r="A664">
        <f>RAW_DATA!A664</f>
        <v>20</v>
      </c>
      <c r="B664" t="str">
        <f>RAW_DATA!B664</f>
        <v>Yes</v>
      </c>
      <c r="C664" t="str">
        <f>RAW_DATA!C664</f>
        <v>Sales</v>
      </c>
      <c r="D664">
        <f>RAW_DATA!D664</f>
        <v>2</v>
      </c>
      <c r="E664">
        <f>RAW_DATA!E664</f>
        <v>3</v>
      </c>
      <c r="F664" t="str">
        <f>RAW_DATA!F664</f>
        <v>Medical</v>
      </c>
      <c r="G664">
        <f>RAW_DATA!G664</f>
        <v>3</v>
      </c>
      <c r="H664">
        <f>RAW_DATA!H664</f>
        <v>3</v>
      </c>
      <c r="I664" t="str">
        <f>RAW_DATA!I664</f>
        <v>Single</v>
      </c>
      <c r="J664">
        <f>RAW_DATA!J664</f>
        <v>2044</v>
      </c>
      <c r="K664">
        <f>RAW_DATA!K664</f>
        <v>1</v>
      </c>
      <c r="L664">
        <f>RAW_DATA!L664</f>
        <v>2</v>
      </c>
      <c r="M664">
        <f>RAW_DATA!M664</f>
        <v>2</v>
      </c>
      <c r="N664">
        <f t="shared" si="20"/>
        <v>1</v>
      </c>
      <c r="O664" t="str">
        <f xml:space="preserve"> VLOOKUP(A664, Lookup_Tables!$G$2:$H$6,2,TRUE)</f>
        <v>&lt;25</v>
      </c>
      <c r="P664" t="str">
        <f>_xlfn.XLOOKUP(J664,Lookup_Tables!$J$2:$J$4,Lookup_Tables!$K$2:$K$4, " ",-1)</f>
        <v>Low</v>
      </c>
      <c r="Q664" t="str">
        <f xml:space="preserve"> _xlfn.XLOOKUP(M664, Lookup_Tables!$M$2:$M$5,Lookup_Tables!$N$2:$N$5," ", -1)</f>
        <v>Early (2-5)</v>
      </c>
      <c r="R664" s="4">
        <f t="shared" si="21"/>
        <v>2.6666666666666665</v>
      </c>
      <c r="S664" t="str">
        <f xml:space="preserve"> _xlfn.XLOOKUP( E664, Lookup_Tables!$A$2:$A$6,Lookup_Tables!$B$2:$B$6," ", -1)</f>
        <v>Bachelor</v>
      </c>
      <c r="T664" t="str">
        <f>_xlfn.XLOOKUP(G664,Lookup_Tables!$D$2:$D$5,Lookup_Tables!$E$2:$E$5)</f>
        <v>High</v>
      </c>
      <c r="U664" t="str">
        <f>_xlfn.XLOOKUP(H664,Lookup_Tables!$D$2:$D$5,Lookup_Tables!$E$2:$E$5)</f>
        <v>High</v>
      </c>
      <c r="V664" t="str">
        <f>_xlfn.XLOOKUP(L664,Lookup_Tables!$D$2:$D$5,Lookup_Tables!$E$2:$E$5)</f>
        <v>Medium</v>
      </c>
    </row>
    <row r="665" spans="1:22">
      <c r="A665">
        <f>RAW_DATA!A665</f>
        <v>21</v>
      </c>
      <c r="B665" t="str">
        <f>RAW_DATA!B665</f>
        <v>Yes</v>
      </c>
      <c r="C665" t="str">
        <f>RAW_DATA!C665</f>
        <v>Research &amp; Development</v>
      </c>
      <c r="D665">
        <f>RAW_DATA!D665</f>
        <v>18</v>
      </c>
      <c r="E665">
        <f>RAW_DATA!E665</f>
        <v>1</v>
      </c>
      <c r="F665" t="str">
        <f>RAW_DATA!F665</f>
        <v>Other</v>
      </c>
      <c r="G665">
        <f>RAW_DATA!G665</f>
        <v>4</v>
      </c>
      <c r="H665">
        <f>RAW_DATA!H665</f>
        <v>4</v>
      </c>
      <c r="I665" t="str">
        <f>RAW_DATA!I665</f>
        <v>Single</v>
      </c>
      <c r="J665">
        <f>RAW_DATA!J665</f>
        <v>2693</v>
      </c>
      <c r="K665">
        <f>RAW_DATA!K665</f>
        <v>1</v>
      </c>
      <c r="L665">
        <f>RAW_DATA!L665</f>
        <v>2</v>
      </c>
      <c r="M665">
        <f>RAW_DATA!M665</f>
        <v>1</v>
      </c>
      <c r="N665">
        <f t="shared" si="20"/>
        <v>1</v>
      </c>
      <c r="O665" t="str">
        <f xml:space="preserve"> VLOOKUP(A665, Lookup_Tables!$G$2:$H$6,2,TRUE)</f>
        <v>&lt;25</v>
      </c>
      <c r="P665" t="str">
        <f>_xlfn.XLOOKUP(J665,Lookup_Tables!$J$2:$J$4,Lookup_Tables!$K$2:$K$4, " ",-1)</f>
        <v>Low</v>
      </c>
      <c r="Q665" t="str">
        <f xml:space="preserve"> _xlfn.XLOOKUP(M665, Lookup_Tables!$M$2:$M$5,Lookup_Tables!$N$2:$N$5," ", -1)</f>
        <v>New (0-2)</v>
      </c>
      <c r="R665" s="4">
        <f t="shared" si="21"/>
        <v>3.3333333333333335</v>
      </c>
      <c r="S665" t="str">
        <f xml:space="preserve"> _xlfn.XLOOKUP( E665, Lookup_Tables!$A$2:$A$6,Lookup_Tables!$B$2:$B$6," ", -1)</f>
        <v>Below College</v>
      </c>
      <c r="T665" t="str">
        <f>_xlfn.XLOOKUP(G665,Lookup_Tables!$D$2:$D$5,Lookup_Tables!$E$2:$E$5)</f>
        <v>Very High</v>
      </c>
      <c r="U665" t="str">
        <f>_xlfn.XLOOKUP(H665,Lookup_Tables!$D$2:$D$5,Lookup_Tables!$E$2:$E$5)</f>
        <v>Very High</v>
      </c>
      <c r="V665" t="str">
        <f>_xlfn.XLOOKUP(L665,Lookup_Tables!$D$2:$D$5,Lookup_Tables!$E$2:$E$5)</f>
        <v>Medium</v>
      </c>
    </row>
    <row r="666" spans="1:22">
      <c r="A666">
        <f>RAW_DATA!A666</f>
        <v>36</v>
      </c>
      <c r="B666" t="str">
        <f>RAW_DATA!B666</f>
        <v>No</v>
      </c>
      <c r="C666" t="str">
        <f>RAW_DATA!C666</f>
        <v>Research &amp; Development</v>
      </c>
      <c r="D666">
        <f>RAW_DATA!D666</f>
        <v>14</v>
      </c>
      <c r="E666">
        <f>RAW_DATA!E666</f>
        <v>1</v>
      </c>
      <c r="F666" t="str">
        <f>RAW_DATA!F666</f>
        <v>Life Sciences</v>
      </c>
      <c r="G666">
        <f>RAW_DATA!G666</f>
        <v>3</v>
      </c>
      <c r="H666">
        <f>RAW_DATA!H666</f>
        <v>4</v>
      </c>
      <c r="I666" t="str">
        <f>RAW_DATA!I666</f>
        <v>Married</v>
      </c>
      <c r="J666">
        <f>RAW_DATA!J666</f>
        <v>6586</v>
      </c>
      <c r="K666">
        <f>RAW_DATA!K666</f>
        <v>0</v>
      </c>
      <c r="L666">
        <f>RAW_DATA!L666</f>
        <v>2</v>
      </c>
      <c r="M666">
        <f>RAW_DATA!M666</f>
        <v>16</v>
      </c>
      <c r="N666">
        <f t="shared" si="20"/>
        <v>0</v>
      </c>
      <c r="O666" t="str">
        <f xml:space="preserve"> VLOOKUP(A666, Lookup_Tables!$G$2:$H$6,2,TRUE)</f>
        <v>35-44</v>
      </c>
      <c r="P666" t="str">
        <f>_xlfn.XLOOKUP(J666,Lookup_Tables!$J$2:$J$4,Lookup_Tables!$K$2:$K$4, " ",-1)</f>
        <v>Medium</v>
      </c>
      <c r="Q666" t="str">
        <f xml:space="preserve"> _xlfn.XLOOKUP(M666, Lookup_Tables!$M$2:$M$5,Lookup_Tables!$N$2:$N$5," ", -1)</f>
        <v>Veteran (10+)</v>
      </c>
      <c r="R666" s="4">
        <f t="shared" si="21"/>
        <v>3</v>
      </c>
      <c r="S666" t="str">
        <f xml:space="preserve"> _xlfn.XLOOKUP( E666, Lookup_Tables!$A$2:$A$6,Lookup_Tables!$B$2:$B$6," ", -1)</f>
        <v>Below College</v>
      </c>
      <c r="T666" t="str">
        <f>_xlfn.XLOOKUP(G666,Lookup_Tables!$D$2:$D$5,Lookup_Tables!$E$2:$E$5)</f>
        <v>High</v>
      </c>
      <c r="U666" t="str">
        <f>_xlfn.XLOOKUP(H666,Lookup_Tables!$D$2:$D$5,Lookup_Tables!$E$2:$E$5)</f>
        <v>Very High</v>
      </c>
      <c r="V666" t="str">
        <f>_xlfn.XLOOKUP(L666,Lookup_Tables!$D$2:$D$5,Lookup_Tables!$E$2:$E$5)</f>
        <v>Medium</v>
      </c>
    </row>
    <row r="667" spans="1:22">
      <c r="A667">
        <f>RAW_DATA!A667</f>
        <v>47</v>
      </c>
      <c r="B667" t="str">
        <f>RAW_DATA!B667</f>
        <v>No</v>
      </c>
      <c r="C667" t="str">
        <f>RAW_DATA!C667</f>
        <v>Sales</v>
      </c>
      <c r="D667">
        <f>RAW_DATA!D667</f>
        <v>2</v>
      </c>
      <c r="E667">
        <f>RAW_DATA!E667</f>
        <v>4</v>
      </c>
      <c r="F667" t="str">
        <f>RAW_DATA!F667</f>
        <v>Life Sciences</v>
      </c>
      <c r="G667">
        <f>RAW_DATA!G667</f>
        <v>4</v>
      </c>
      <c r="H667">
        <f>RAW_DATA!H667</f>
        <v>4</v>
      </c>
      <c r="I667" t="str">
        <f>RAW_DATA!I667</f>
        <v>Single</v>
      </c>
      <c r="J667">
        <f>RAW_DATA!J667</f>
        <v>3294</v>
      </c>
      <c r="K667">
        <f>RAW_DATA!K667</f>
        <v>1</v>
      </c>
      <c r="L667">
        <f>RAW_DATA!L667</f>
        <v>2</v>
      </c>
      <c r="M667">
        <f>RAW_DATA!M667</f>
        <v>3</v>
      </c>
      <c r="N667">
        <f t="shared" si="20"/>
        <v>0</v>
      </c>
      <c r="O667" t="str">
        <f xml:space="preserve"> VLOOKUP(A667, Lookup_Tables!$G$2:$H$6,2,TRUE)</f>
        <v>45-54</v>
      </c>
      <c r="P667" t="str">
        <f>_xlfn.XLOOKUP(J667,Lookup_Tables!$J$2:$J$4,Lookup_Tables!$K$2:$K$4, " ",-1)</f>
        <v>Medium</v>
      </c>
      <c r="Q667" t="str">
        <f xml:space="preserve"> _xlfn.XLOOKUP(M667, Lookup_Tables!$M$2:$M$5,Lookup_Tables!$N$2:$N$5," ", -1)</f>
        <v>Early (2-5)</v>
      </c>
      <c r="R667" s="4">
        <f t="shared" si="21"/>
        <v>3.3333333333333335</v>
      </c>
      <c r="S667" t="str">
        <f xml:space="preserve"> _xlfn.XLOOKUP( E667, Lookup_Tables!$A$2:$A$6,Lookup_Tables!$B$2:$B$6," ", -1)</f>
        <v>Master</v>
      </c>
      <c r="T667" t="str">
        <f>_xlfn.XLOOKUP(G667,Lookup_Tables!$D$2:$D$5,Lookup_Tables!$E$2:$E$5)</f>
        <v>Very High</v>
      </c>
      <c r="U667" t="str">
        <f>_xlfn.XLOOKUP(H667,Lookup_Tables!$D$2:$D$5,Lookup_Tables!$E$2:$E$5)</f>
        <v>Very High</v>
      </c>
      <c r="V667" t="str">
        <f>_xlfn.XLOOKUP(L667,Lookup_Tables!$D$2:$D$5,Lookup_Tables!$E$2:$E$5)</f>
        <v>Medium</v>
      </c>
    </row>
    <row r="668" spans="1:22">
      <c r="A668">
        <f>RAW_DATA!A668</f>
        <v>22</v>
      </c>
      <c r="B668" t="str">
        <f>RAW_DATA!B668</f>
        <v>Yes</v>
      </c>
      <c r="C668" t="str">
        <f>RAW_DATA!C668</f>
        <v>Research &amp; Development</v>
      </c>
      <c r="D668">
        <f>RAW_DATA!D668</f>
        <v>3</v>
      </c>
      <c r="E668">
        <f>RAW_DATA!E668</f>
        <v>1</v>
      </c>
      <c r="F668" t="str">
        <f>RAW_DATA!F668</f>
        <v>Life Sciences</v>
      </c>
      <c r="G668">
        <f>RAW_DATA!G668</f>
        <v>2</v>
      </c>
      <c r="H668">
        <f>RAW_DATA!H668</f>
        <v>3</v>
      </c>
      <c r="I668" t="str">
        <f>RAW_DATA!I668</f>
        <v>Married</v>
      </c>
      <c r="J668">
        <f>RAW_DATA!J668</f>
        <v>4171</v>
      </c>
      <c r="K668">
        <f>RAW_DATA!K668</f>
        <v>0</v>
      </c>
      <c r="L668">
        <f>RAW_DATA!L668</f>
        <v>4</v>
      </c>
      <c r="M668">
        <f>RAW_DATA!M668</f>
        <v>3</v>
      </c>
      <c r="N668">
        <f t="shared" si="20"/>
        <v>1</v>
      </c>
      <c r="O668" t="str">
        <f xml:space="preserve"> VLOOKUP(A668, Lookup_Tables!$G$2:$H$6,2,TRUE)</f>
        <v>&lt;25</v>
      </c>
      <c r="P668" t="str">
        <f>_xlfn.XLOOKUP(J668,Lookup_Tables!$J$2:$J$4,Lookup_Tables!$K$2:$K$4, " ",-1)</f>
        <v>Medium</v>
      </c>
      <c r="Q668" t="str">
        <f xml:space="preserve"> _xlfn.XLOOKUP(M668, Lookup_Tables!$M$2:$M$5,Lookup_Tables!$N$2:$N$5," ", -1)</f>
        <v>Early (2-5)</v>
      </c>
      <c r="R668" s="4">
        <f t="shared" si="21"/>
        <v>3</v>
      </c>
      <c r="S668" t="str">
        <f xml:space="preserve"> _xlfn.XLOOKUP( E668, Lookup_Tables!$A$2:$A$6,Lookup_Tables!$B$2:$B$6," ", -1)</f>
        <v>Below College</v>
      </c>
      <c r="T668" t="str">
        <f>_xlfn.XLOOKUP(G668,Lookup_Tables!$D$2:$D$5,Lookup_Tables!$E$2:$E$5)</f>
        <v>Medium</v>
      </c>
      <c r="U668" t="str">
        <f>_xlfn.XLOOKUP(H668,Lookup_Tables!$D$2:$D$5,Lookup_Tables!$E$2:$E$5)</f>
        <v>High</v>
      </c>
      <c r="V668" t="str">
        <f>_xlfn.XLOOKUP(L668,Lookup_Tables!$D$2:$D$5,Lookup_Tables!$E$2:$E$5)</f>
        <v>Very High</v>
      </c>
    </row>
    <row r="669" spans="1:22">
      <c r="A669">
        <f>RAW_DATA!A669</f>
        <v>41</v>
      </c>
      <c r="B669" t="str">
        <f>RAW_DATA!B669</f>
        <v>Yes</v>
      </c>
      <c r="C669" t="str">
        <f>RAW_DATA!C669</f>
        <v>Research &amp; Development</v>
      </c>
      <c r="D669">
        <f>RAW_DATA!D669</f>
        <v>2</v>
      </c>
      <c r="E669">
        <f>RAW_DATA!E669</f>
        <v>4</v>
      </c>
      <c r="F669" t="str">
        <f>RAW_DATA!F669</f>
        <v>Life Sciences</v>
      </c>
      <c r="G669">
        <f>RAW_DATA!G669</f>
        <v>2</v>
      </c>
      <c r="H669">
        <f>RAW_DATA!H669</f>
        <v>4</v>
      </c>
      <c r="I669" t="str">
        <f>RAW_DATA!I669</f>
        <v>Divorced</v>
      </c>
      <c r="J669">
        <f>RAW_DATA!J669</f>
        <v>2778</v>
      </c>
      <c r="K669">
        <f>RAW_DATA!K669</f>
        <v>4</v>
      </c>
      <c r="L669">
        <f>RAW_DATA!L669</f>
        <v>2</v>
      </c>
      <c r="M669">
        <f>RAW_DATA!M669</f>
        <v>7</v>
      </c>
      <c r="N669">
        <f t="shared" si="20"/>
        <v>1</v>
      </c>
      <c r="O669" t="str">
        <f xml:space="preserve"> VLOOKUP(A669, Lookup_Tables!$G$2:$H$6,2,TRUE)</f>
        <v>35-44</v>
      </c>
      <c r="P669" t="str">
        <f>_xlfn.XLOOKUP(J669,Lookup_Tables!$J$2:$J$4,Lookup_Tables!$K$2:$K$4, " ",-1)</f>
        <v>Low</v>
      </c>
      <c r="Q669" t="str">
        <f xml:space="preserve"> _xlfn.XLOOKUP(M669, Lookup_Tables!$M$2:$M$5,Lookup_Tables!$N$2:$N$5," ", -1)</f>
        <v>Established (5-10)</v>
      </c>
      <c r="R669" s="4">
        <f t="shared" si="21"/>
        <v>2.6666666666666665</v>
      </c>
      <c r="S669" t="str">
        <f xml:space="preserve"> _xlfn.XLOOKUP( E669, Lookup_Tables!$A$2:$A$6,Lookup_Tables!$B$2:$B$6," ", -1)</f>
        <v>Master</v>
      </c>
      <c r="T669" t="str">
        <f>_xlfn.XLOOKUP(G669,Lookup_Tables!$D$2:$D$5,Lookup_Tables!$E$2:$E$5)</f>
        <v>Medium</v>
      </c>
      <c r="U669" t="str">
        <f>_xlfn.XLOOKUP(H669,Lookup_Tables!$D$2:$D$5,Lookup_Tables!$E$2:$E$5)</f>
        <v>Very High</v>
      </c>
      <c r="V669" t="str">
        <f>_xlfn.XLOOKUP(L669,Lookup_Tables!$D$2:$D$5,Lookup_Tables!$E$2:$E$5)</f>
        <v>Medium</v>
      </c>
    </row>
    <row r="670" spans="1:22">
      <c r="A670">
        <f>RAW_DATA!A670</f>
        <v>28</v>
      </c>
      <c r="B670" t="str">
        <f>RAW_DATA!B670</f>
        <v>No</v>
      </c>
      <c r="C670" t="str">
        <f>RAW_DATA!C670</f>
        <v>Research &amp; Development</v>
      </c>
      <c r="D670">
        <f>RAW_DATA!D670</f>
        <v>9</v>
      </c>
      <c r="E670">
        <f>RAW_DATA!E670</f>
        <v>3</v>
      </c>
      <c r="F670" t="str">
        <f>RAW_DATA!F670</f>
        <v>Medical</v>
      </c>
      <c r="G670">
        <f>RAW_DATA!G670</f>
        <v>3</v>
      </c>
      <c r="H670">
        <f>RAW_DATA!H670</f>
        <v>3</v>
      </c>
      <c r="I670" t="str">
        <f>RAW_DATA!I670</f>
        <v>Divorced</v>
      </c>
      <c r="J670">
        <f>RAW_DATA!J670</f>
        <v>2377</v>
      </c>
      <c r="K670">
        <f>RAW_DATA!K670</f>
        <v>5</v>
      </c>
      <c r="L670">
        <f>RAW_DATA!L670</f>
        <v>3</v>
      </c>
      <c r="M670">
        <f>RAW_DATA!M670</f>
        <v>2</v>
      </c>
      <c r="N670">
        <f t="shared" si="20"/>
        <v>0</v>
      </c>
      <c r="O670" t="str">
        <f xml:space="preserve"> VLOOKUP(A670, Lookup_Tables!$G$2:$H$6,2,TRUE)</f>
        <v>25-34</v>
      </c>
      <c r="P670" t="str">
        <f>_xlfn.XLOOKUP(J670,Lookup_Tables!$J$2:$J$4,Lookup_Tables!$K$2:$K$4, " ",-1)</f>
        <v>Low</v>
      </c>
      <c r="Q670" t="str">
        <f xml:space="preserve"> _xlfn.XLOOKUP(M670, Lookup_Tables!$M$2:$M$5,Lookup_Tables!$N$2:$N$5," ", -1)</f>
        <v>Early (2-5)</v>
      </c>
      <c r="R670" s="4">
        <f t="shared" si="21"/>
        <v>3</v>
      </c>
      <c r="S670" t="str">
        <f xml:space="preserve"> _xlfn.XLOOKUP( E670, Lookup_Tables!$A$2:$A$6,Lookup_Tables!$B$2:$B$6," ", -1)</f>
        <v>Bachelor</v>
      </c>
      <c r="T670" t="str">
        <f>_xlfn.XLOOKUP(G670,Lookup_Tables!$D$2:$D$5,Lookup_Tables!$E$2:$E$5)</f>
        <v>High</v>
      </c>
      <c r="U670" t="str">
        <f>_xlfn.XLOOKUP(H670,Lookup_Tables!$D$2:$D$5,Lookup_Tables!$E$2:$E$5)</f>
        <v>High</v>
      </c>
      <c r="V670" t="str">
        <f>_xlfn.XLOOKUP(L670,Lookup_Tables!$D$2:$D$5,Lookup_Tables!$E$2:$E$5)</f>
        <v>High</v>
      </c>
    </row>
    <row r="671" spans="1:22">
      <c r="A671">
        <f>RAW_DATA!A671</f>
        <v>39</v>
      </c>
      <c r="B671" t="str">
        <f>RAW_DATA!B671</f>
        <v>Yes</v>
      </c>
      <c r="C671" t="str">
        <f>RAW_DATA!C671</f>
        <v>Research &amp; Development</v>
      </c>
      <c r="D671">
        <f>RAW_DATA!D671</f>
        <v>6</v>
      </c>
      <c r="E671">
        <f>RAW_DATA!E671</f>
        <v>3</v>
      </c>
      <c r="F671" t="str">
        <f>RAW_DATA!F671</f>
        <v>Medical</v>
      </c>
      <c r="G671">
        <f>RAW_DATA!G671</f>
        <v>4</v>
      </c>
      <c r="H671">
        <f>RAW_DATA!H671</f>
        <v>1</v>
      </c>
      <c r="I671" t="str">
        <f>RAW_DATA!I671</f>
        <v>Married</v>
      </c>
      <c r="J671">
        <f>RAW_DATA!J671</f>
        <v>2404</v>
      </c>
      <c r="K671">
        <f>RAW_DATA!K671</f>
        <v>7</v>
      </c>
      <c r="L671">
        <f>RAW_DATA!L671</f>
        <v>1</v>
      </c>
      <c r="M671">
        <f>RAW_DATA!M671</f>
        <v>2</v>
      </c>
      <c r="N671">
        <f t="shared" si="20"/>
        <v>1</v>
      </c>
      <c r="O671" t="str">
        <f xml:space="preserve"> VLOOKUP(A671, Lookup_Tables!$G$2:$H$6,2,TRUE)</f>
        <v>35-44</v>
      </c>
      <c r="P671" t="str">
        <f>_xlfn.XLOOKUP(J671,Lookup_Tables!$J$2:$J$4,Lookup_Tables!$K$2:$K$4, " ",-1)</f>
        <v>Low</v>
      </c>
      <c r="Q671" t="str">
        <f xml:space="preserve"> _xlfn.XLOOKUP(M671, Lookup_Tables!$M$2:$M$5,Lookup_Tables!$N$2:$N$5," ", -1)</f>
        <v>Early (2-5)</v>
      </c>
      <c r="R671" s="4">
        <f t="shared" si="21"/>
        <v>2</v>
      </c>
      <c r="S671" t="str">
        <f xml:space="preserve"> _xlfn.XLOOKUP( E671, Lookup_Tables!$A$2:$A$6,Lookup_Tables!$B$2:$B$6," ", -1)</f>
        <v>Bachelor</v>
      </c>
      <c r="T671" t="str">
        <f>_xlfn.XLOOKUP(G671,Lookup_Tables!$D$2:$D$5,Lookup_Tables!$E$2:$E$5)</f>
        <v>Very High</v>
      </c>
      <c r="U671" t="str">
        <f>_xlfn.XLOOKUP(H671,Lookup_Tables!$D$2:$D$5,Lookup_Tables!$E$2:$E$5)</f>
        <v>Low</v>
      </c>
      <c r="V671" t="str">
        <f>_xlfn.XLOOKUP(L671,Lookup_Tables!$D$2:$D$5,Lookup_Tables!$E$2:$E$5)</f>
        <v>Low</v>
      </c>
    </row>
    <row r="672" spans="1:22">
      <c r="A672">
        <f>RAW_DATA!A672</f>
        <v>27</v>
      </c>
      <c r="B672" t="str">
        <f>RAW_DATA!B672</f>
        <v>No</v>
      </c>
      <c r="C672" t="str">
        <f>RAW_DATA!C672</f>
        <v>Research &amp; Development</v>
      </c>
      <c r="D672">
        <f>RAW_DATA!D672</f>
        <v>4</v>
      </c>
      <c r="E672">
        <f>RAW_DATA!E672</f>
        <v>3</v>
      </c>
      <c r="F672" t="str">
        <f>RAW_DATA!F672</f>
        <v>Life Sciences</v>
      </c>
      <c r="G672">
        <f>RAW_DATA!G672</f>
        <v>2</v>
      </c>
      <c r="H672">
        <f>RAW_DATA!H672</f>
        <v>3</v>
      </c>
      <c r="I672" t="str">
        <f>RAW_DATA!I672</f>
        <v>Single</v>
      </c>
      <c r="J672">
        <f>RAW_DATA!J672</f>
        <v>2318</v>
      </c>
      <c r="K672">
        <f>RAW_DATA!K672</f>
        <v>1</v>
      </c>
      <c r="L672">
        <f>RAW_DATA!L672</f>
        <v>3</v>
      </c>
      <c r="M672">
        <f>RAW_DATA!M672</f>
        <v>1</v>
      </c>
      <c r="N672">
        <f t="shared" si="20"/>
        <v>0</v>
      </c>
      <c r="O672" t="str">
        <f xml:space="preserve"> VLOOKUP(A672, Lookup_Tables!$G$2:$H$6,2,TRUE)</f>
        <v>25-34</v>
      </c>
      <c r="P672" t="str">
        <f>_xlfn.XLOOKUP(J672,Lookup_Tables!$J$2:$J$4,Lookup_Tables!$K$2:$K$4, " ",-1)</f>
        <v>Low</v>
      </c>
      <c r="Q672" t="str">
        <f xml:space="preserve"> _xlfn.XLOOKUP(M672, Lookup_Tables!$M$2:$M$5,Lookup_Tables!$N$2:$N$5," ", -1)</f>
        <v>New (0-2)</v>
      </c>
      <c r="R672" s="4">
        <f t="shared" si="21"/>
        <v>2.6666666666666665</v>
      </c>
      <c r="S672" t="str">
        <f xml:space="preserve"> _xlfn.XLOOKUP( E672, Lookup_Tables!$A$2:$A$6,Lookup_Tables!$B$2:$B$6," ", -1)</f>
        <v>Bachelor</v>
      </c>
      <c r="T672" t="str">
        <f>_xlfn.XLOOKUP(G672,Lookup_Tables!$D$2:$D$5,Lookup_Tables!$E$2:$E$5)</f>
        <v>Medium</v>
      </c>
      <c r="U672" t="str">
        <f>_xlfn.XLOOKUP(H672,Lookup_Tables!$D$2:$D$5,Lookup_Tables!$E$2:$E$5)</f>
        <v>High</v>
      </c>
      <c r="V672" t="str">
        <f>_xlfn.XLOOKUP(L672,Lookup_Tables!$D$2:$D$5,Lookup_Tables!$E$2:$E$5)</f>
        <v>High</v>
      </c>
    </row>
    <row r="673" spans="1:22">
      <c r="A673">
        <f>RAW_DATA!A673</f>
        <v>34</v>
      </c>
      <c r="B673" t="str">
        <f>RAW_DATA!B673</f>
        <v>No</v>
      </c>
      <c r="C673" t="str">
        <f>RAW_DATA!C673</f>
        <v>Research &amp; Development</v>
      </c>
      <c r="D673">
        <f>RAW_DATA!D673</f>
        <v>10</v>
      </c>
      <c r="E673">
        <f>RAW_DATA!E673</f>
        <v>3</v>
      </c>
      <c r="F673" t="str">
        <f>RAW_DATA!F673</f>
        <v>Life Sciences</v>
      </c>
      <c r="G673">
        <f>RAW_DATA!G673</f>
        <v>2</v>
      </c>
      <c r="H673">
        <f>RAW_DATA!H673</f>
        <v>2</v>
      </c>
      <c r="I673" t="str">
        <f>RAW_DATA!I673</f>
        <v>Divorced</v>
      </c>
      <c r="J673">
        <f>RAW_DATA!J673</f>
        <v>2008</v>
      </c>
      <c r="K673">
        <f>RAW_DATA!K673</f>
        <v>1</v>
      </c>
      <c r="L673">
        <f>RAW_DATA!L673</f>
        <v>3</v>
      </c>
      <c r="M673">
        <f>RAW_DATA!M673</f>
        <v>1</v>
      </c>
      <c r="N673">
        <f t="shared" si="20"/>
        <v>0</v>
      </c>
      <c r="O673" t="str">
        <f xml:space="preserve"> VLOOKUP(A673, Lookup_Tables!$G$2:$H$6,2,TRUE)</f>
        <v>25-34</v>
      </c>
      <c r="P673" t="str">
        <f>_xlfn.XLOOKUP(J673,Lookup_Tables!$J$2:$J$4,Lookup_Tables!$K$2:$K$4, " ",-1)</f>
        <v>Low</v>
      </c>
      <c r="Q673" t="str">
        <f xml:space="preserve"> _xlfn.XLOOKUP(M673, Lookup_Tables!$M$2:$M$5,Lookup_Tables!$N$2:$N$5," ", -1)</f>
        <v>New (0-2)</v>
      </c>
      <c r="R673" s="4">
        <f t="shared" si="21"/>
        <v>2.3333333333333335</v>
      </c>
      <c r="S673" t="str">
        <f xml:space="preserve"> _xlfn.XLOOKUP( E673, Lookup_Tables!$A$2:$A$6,Lookup_Tables!$B$2:$B$6," ", -1)</f>
        <v>Bachelor</v>
      </c>
      <c r="T673" t="str">
        <f>_xlfn.XLOOKUP(G673,Lookup_Tables!$D$2:$D$5,Lookup_Tables!$E$2:$E$5)</f>
        <v>Medium</v>
      </c>
      <c r="U673" t="str">
        <f>_xlfn.XLOOKUP(H673,Lookup_Tables!$D$2:$D$5,Lookup_Tables!$E$2:$E$5)</f>
        <v>Medium</v>
      </c>
      <c r="V673" t="str">
        <f>_xlfn.XLOOKUP(L673,Lookup_Tables!$D$2:$D$5,Lookup_Tables!$E$2:$E$5)</f>
        <v>High</v>
      </c>
    </row>
    <row r="674" spans="1:22">
      <c r="A674">
        <f>RAW_DATA!A674</f>
        <v>42</v>
      </c>
      <c r="B674" t="str">
        <f>RAW_DATA!B674</f>
        <v>No</v>
      </c>
      <c r="C674" t="str">
        <f>RAW_DATA!C674</f>
        <v>Sales</v>
      </c>
      <c r="D674">
        <f>RAW_DATA!D674</f>
        <v>14</v>
      </c>
      <c r="E674">
        <f>RAW_DATA!E674</f>
        <v>2</v>
      </c>
      <c r="F674" t="str">
        <f>RAW_DATA!F674</f>
        <v>Medical</v>
      </c>
      <c r="G674">
        <f>RAW_DATA!G674</f>
        <v>3</v>
      </c>
      <c r="H674">
        <f>RAW_DATA!H674</f>
        <v>3</v>
      </c>
      <c r="I674" t="str">
        <f>RAW_DATA!I674</f>
        <v>Single</v>
      </c>
      <c r="J674">
        <f>RAW_DATA!J674</f>
        <v>6244</v>
      </c>
      <c r="K674">
        <f>RAW_DATA!K674</f>
        <v>7</v>
      </c>
      <c r="L674">
        <f>RAW_DATA!L674</f>
        <v>3</v>
      </c>
      <c r="M674">
        <f>RAW_DATA!M674</f>
        <v>5</v>
      </c>
      <c r="N674">
        <f t="shared" si="20"/>
        <v>0</v>
      </c>
      <c r="O674" t="str">
        <f xml:space="preserve"> VLOOKUP(A674, Lookup_Tables!$G$2:$H$6,2,TRUE)</f>
        <v>35-44</v>
      </c>
      <c r="P674" t="str">
        <f>_xlfn.XLOOKUP(J674,Lookup_Tables!$J$2:$J$4,Lookup_Tables!$K$2:$K$4, " ",-1)</f>
        <v>Medium</v>
      </c>
      <c r="Q674" t="str">
        <f xml:space="preserve"> _xlfn.XLOOKUP(M674, Lookup_Tables!$M$2:$M$5,Lookup_Tables!$N$2:$N$5," ", -1)</f>
        <v>Established (5-10)</v>
      </c>
      <c r="R674" s="4">
        <f t="shared" si="21"/>
        <v>3</v>
      </c>
      <c r="S674" t="str">
        <f xml:space="preserve"> _xlfn.XLOOKUP( E674, Lookup_Tables!$A$2:$A$6,Lookup_Tables!$B$2:$B$6," ", -1)</f>
        <v>College</v>
      </c>
      <c r="T674" t="str">
        <f>_xlfn.XLOOKUP(G674,Lookup_Tables!$D$2:$D$5,Lookup_Tables!$E$2:$E$5)</f>
        <v>High</v>
      </c>
      <c r="U674" t="str">
        <f>_xlfn.XLOOKUP(H674,Lookup_Tables!$D$2:$D$5,Lookup_Tables!$E$2:$E$5)</f>
        <v>High</v>
      </c>
      <c r="V674" t="str">
        <f>_xlfn.XLOOKUP(L674,Lookup_Tables!$D$2:$D$5,Lookup_Tables!$E$2:$E$5)</f>
        <v>High</v>
      </c>
    </row>
    <row r="675" spans="1:22">
      <c r="A675">
        <f>RAW_DATA!A675</f>
        <v>33</v>
      </c>
      <c r="B675" t="str">
        <f>RAW_DATA!B675</f>
        <v>No</v>
      </c>
      <c r="C675" t="str">
        <f>RAW_DATA!C675</f>
        <v>Research &amp; Development</v>
      </c>
      <c r="D675">
        <f>RAW_DATA!D675</f>
        <v>1</v>
      </c>
      <c r="E675">
        <f>RAW_DATA!E675</f>
        <v>4</v>
      </c>
      <c r="F675" t="str">
        <f>RAW_DATA!F675</f>
        <v>Other</v>
      </c>
      <c r="G675">
        <f>RAW_DATA!G675</f>
        <v>3</v>
      </c>
      <c r="H675">
        <f>RAW_DATA!H675</f>
        <v>1</v>
      </c>
      <c r="I675" t="str">
        <f>RAW_DATA!I675</f>
        <v>Single</v>
      </c>
      <c r="J675">
        <f>RAW_DATA!J675</f>
        <v>2799</v>
      </c>
      <c r="K675">
        <f>RAW_DATA!K675</f>
        <v>3</v>
      </c>
      <c r="L675">
        <f>RAW_DATA!L675</f>
        <v>3</v>
      </c>
      <c r="M675">
        <f>RAW_DATA!M675</f>
        <v>3</v>
      </c>
      <c r="N675">
        <f t="shared" si="20"/>
        <v>0</v>
      </c>
      <c r="O675" t="str">
        <f xml:space="preserve"> VLOOKUP(A675, Lookup_Tables!$G$2:$H$6,2,TRUE)</f>
        <v>25-34</v>
      </c>
      <c r="P675" t="str">
        <f>_xlfn.XLOOKUP(J675,Lookup_Tables!$J$2:$J$4,Lookup_Tables!$K$2:$K$4, " ",-1)</f>
        <v>Low</v>
      </c>
      <c r="Q675" t="str">
        <f xml:space="preserve"> _xlfn.XLOOKUP(M675, Lookup_Tables!$M$2:$M$5,Lookup_Tables!$N$2:$N$5," ", -1)</f>
        <v>Early (2-5)</v>
      </c>
      <c r="R675" s="4">
        <f t="shared" si="21"/>
        <v>2.3333333333333335</v>
      </c>
      <c r="S675" t="str">
        <f xml:space="preserve"> _xlfn.XLOOKUP( E675, Lookup_Tables!$A$2:$A$6,Lookup_Tables!$B$2:$B$6," ", -1)</f>
        <v>Master</v>
      </c>
      <c r="T675" t="str">
        <f>_xlfn.XLOOKUP(G675,Lookup_Tables!$D$2:$D$5,Lookup_Tables!$E$2:$E$5)</f>
        <v>High</v>
      </c>
      <c r="U675" t="str">
        <f>_xlfn.XLOOKUP(H675,Lookup_Tables!$D$2:$D$5,Lookup_Tables!$E$2:$E$5)</f>
        <v>Low</v>
      </c>
      <c r="V675" t="str">
        <f>_xlfn.XLOOKUP(L675,Lookup_Tables!$D$2:$D$5,Lookup_Tables!$E$2:$E$5)</f>
        <v>High</v>
      </c>
    </row>
    <row r="676" spans="1:22">
      <c r="A676">
        <f>RAW_DATA!A676</f>
        <v>58</v>
      </c>
      <c r="B676" t="str">
        <f>RAW_DATA!B676</f>
        <v>No</v>
      </c>
      <c r="C676" t="str">
        <f>RAW_DATA!C676</f>
        <v>Research &amp; Development</v>
      </c>
      <c r="D676">
        <f>RAW_DATA!D676</f>
        <v>5</v>
      </c>
      <c r="E676">
        <f>RAW_DATA!E676</f>
        <v>3</v>
      </c>
      <c r="F676" t="str">
        <f>RAW_DATA!F676</f>
        <v>Technical Degree</v>
      </c>
      <c r="G676">
        <f>RAW_DATA!G676</f>
        <v>3</v>
      </c>
      <c r="H676">
        <f>RAW_DATA!H676</f>
        <v>2</v>
      </c>
      <c r="I676" t="str">
        <f>RAW_DATA!I676</f>
        <v>Divorced</v>
      </c>
      <c r="J676">
        <f>RAW_DATA!J676</f>
        <v>10552</v>
      </c>
      <c r="K676">
        <f>RAW_DATA!K676</f>
        <v>2</v>
      </c>
      <c r="L676">
        <f>RAW_DATA!L676</f>
        <v>3</v>
      </c>
      <c r="M676">
        <f>RAW_DATA!M676</f>
        <v>6</v>
      </c>
      <c r="N676">
        <f t="shared" si="20"/>
        <v>0</v>
      </c>
      <c r="O676" t="str">
        <f xml:space="preserve"> VLOOKUP(A676, Lookup_Tables!$G$2:$H$6,2,TRUE)</f>
        <v>55+</v>
      </c>
      <c r="P676" t="str">
        <f>_xlfn.XLOOKUP(J676,Lookup_Tables!$J$2:$J$4,Lookup_Tables!$K$2:$K$4, " ",-1)</f>
        <v>High</v>
      </c>
      <c r="Q676" t="str">
        <f xml:space="preserve"> _xlfn.XLOOKUP(M676, Lookup_Tables!$M$2:$M$5,Lookup_Tables!$N$2:$N$5," ", -1)</f>
        <v>Established (5-10)</v>
      </c>
      <c r="R676" s="4">
        <f t="shared" si="21"/>
        <v>2.6666666666666665</v>
      </c>
      <c r="S676" t="str">
        <f xml:space="preserve"> _xlfn.XLOOKUP( E676, Lookup_Tables!$A$2:$A$6,Lookup_Tables!$B$2:$B$6," ", -1)</f>
        <v>Bachelor</v>
      </c>
      <c r="T676" t="str">
        <f>_xlfn.XLOOKUP(G676,Lookup_Tables!$D$2:$D$5,Lookup_Tables!$E$2:$E$5)</f>
        <v>High</v>
      </c>
      <c r="U676" t="str">
        <f>_xlfn.XLOOKUP(H676,Lookup_Tables!$D$2:$D$5,Lookup_Tables!$E$2:$E$5)</f>
        <v>Medium</v>
      </c>
      <c r="V676" t="str">
        <f>_xlfn.XLOOKUP(L676,Lookup_Tables!$D$2:$D$5,Lookup_Tables!$E$2:$E$5)</f>
        <v>High</v>
      </c>
    </row>
    <row r="677" spans="1:22">
      <c r="A677">
        <f>RAW_DATA!A677</f>
        <v>31</v>
      </c>
      <c r="B677" t="str">
        <f>RAW_DATA!B677</f>
        <v>No</v>
      </c>
      <c r="C677" t="str">
        <f>RAW_DATA!C677</f>
        <v>Sales</v>
      </c>
      <c r="D677">
        <f>RAW_DATA!D677</f>
        <v>7</v>
      </c>
      <c r="E677">
        <f>RAW_DATA!E677</f>
        <v>4</v>
      </c>
      <c r="F677" t="str">
        <f>RAW_DATA!F677</f>
        <v>Life Sciences</v>
      </c>
      <c r="G677">
        <f>RAW_DATA!G677</f>
        <v>2</v>
      </c>
      <c r="H677">
        <f>RAW_DATA!H677</f>
        <v>3</v>
      </c>
      <c r="I677" t="str">
        <f>RAW_DATA!I677</f>
        <v>Married</v>
      </c>
      <c r="J677">
        <f>RAW_DATA!J677</f>
        <v>2329</v>
      </c>
      <c r="K677">
        <f>RAW_DATA!K677</f>
        <v>3</v>
      </c>
      <c r="L677">
        <f>RAW_DATA!L677</f>
        <v>4</v>
      </c>
      <c r="M677">
        <f>RAW_DATA!M677</f>
        <v>7</v>
      </c>
      <c r="N677">
        <f t="shared" si="20"/>
        <v>0</v>
      </c>
      <c r="O677" t="str">
        <f xml:space="preserve"> VLOOKUP(A677, Lookup_Tables!$G$2:$H$6,2,TRUE)</f>
        <v>25-34</v>
      </c>
      <c r="P677" t="str">
        <f>_xlfn.XLOOKUP(J677,Lookup_Tables!$J$2:$J$4,Lookup_Tables!$K$2:$K$4, " ",-1)</f>
        <v>Low</v>
      </c>
      <c r="Q677" t="str">
        <f xml:space="preserve"> _xlfn.XLOOKUP(M677, Lookup_Tables!$M$2:$M$5,Lookup_Tables!$N$2:$N$5," ", -1)</f>
        <v>Established (5-10)</v>
      </c>
      <c r="R677" s="4">
        <f t="shared" si="21"/>
        <v>3</v>
      </c>
      <c r="S677" t="str">
        <f xml:space="preserve"> _xlfn.XLOOKUP( E677, Lookup_Tables!$A$2:$A$6,Lookup_Tables!$B$2:$B$6," ", -1)</f>
        <v>Master</v>
      </c>
      <c r="T677" t="str">
        <f>_xlfn.XLOOKUP(G677,Lookup_Tables!$D$2:$D$5,Lookup_Tables!$E$2:$E$5)</f>
        <v>Medium</v>
      </c>
      <c r="U677" t="str">
        <f>_xlfn.XLOOKUP(H677,Lookup_Tables!$D$2:$D$5,Lookup_Tables!$E$2:$E$5)</f>
        <v>High</v>
      </c>
      <c r="V677" t="str">
        <f>_xlfn.XLOOKUP(L677,Lookup_Tables!$D$2:$D$5,Lookup_Tables!$E$2:$E$5)</f>
        <v>Very High</v>
      </c>
    </row>
    <row r="678" spans="1:22">
      <c r="A678">
        <f>RAW_DATA!A678</f>
        <v>35</v>
      </c>
      <c r="B678" t="str">
        <f>RAW_DATA!B678</f>
        <v>No</v>
      </c>
      <c r="C678" t="str">
        <f>RAW_DATA!C678</f>
        <v>Research &amp; Development</v>
      </c>
      <c r="D678">
        <f>RAW_DATA!D678</f>
        <v>21</v>
      </c>
      <c r="E678">
        <f>RAW_DATA!E678</f>
        <v>1</v>
      </c>
      <c r="F678" t="str">
        <f>RAW_DATA!F678</f>
        <v>Life Sciences</v>
      </c>
      <c r="G678">
        <f>RAW_DATA!G678</f>
        <v>4</v>
      </c>
      <c r="H678">
        <f>RAW_DATA!H678</f>
        <v>4</v>
      </c>
      <c r="I678" t="str">
        <f>RAW_DATA!I678</f>
        <v>Married</v>
      </c>
      <c r="J678">
        <f>RAW_DATA!J678</f>
        <v>4014</v>
      </c>
      <c r="K678">
        <f>RAW_DATA!K678</f>
        <v>1</v>
      </c>
      <c r="L678">
        <f>RAW_DATA!L678</f>
        <v>1</v>
      </c>
      <c r="M678">
        <f>RAW_DATA!M678</f>
        <v>10</v>
      </c>
      <c r="N678">
        <f t="shared" si="20"/>
        <v>0</v>
      </c>
      <c r="O678" t="str">
        <f xml:space="preserve"> VLOOKUP(A678, Lookup_Tables!$G$2:$H$6,2,TRUE)</f>
        <v>35-44</v>
      </c>
      <c r="P678" t="str">
        <f>_xlfn.XLOOKUP(J678,Lookup_Tables!$J$2:$J$4,Lookup_Tables!$K$2:$K$4, " ",-1)</f>
        <v>Medium</v>
      </c>
      <c r="Q678" t="str">
        <f xml:space="preserve"> _xlfn.XLOOKUP(M678, Lookup_Tables!$M$2:$M$5,Lookup_Tables!$N$2:$N$5," ", -1)</f>
        <v>Veteran (10+)</v>
      </c>
      <c r="R678" s="4">
        <f t="shared" si="21"/>
        <v>3</v>
      </c>
      <c r="S678" t="str">
        <f xml:space="preserve"> _xlfn.XLOOKUP( E678, Lookup_Tables!$A$2:$A$6,Lookup_Tables!$B$2:$B$6," ", -1)</f>
        <v>Below College</v>
      </c>
      <c r="T678" t="str">
        <f>_xlfn.XLOOKUP(G678,Lookup_Tables!$D$2:$D$5,Lookup_Tables!$E$2:$E$5)</f>
        <v>Very High</v>
      </c>
      <c r="U678" t="str">
        <f>_xlfn.XLOOKUP(H678,Lookup_Tables!$D$2:$D$5,Lookup_Tables!$E$2:$E$5)</f>
        <v>Very High</v>
      </c>
      <c r="V678" t="str">
        <f>_xlfn.XLOOKUP(L678,Lookup_Tables!$D$2:$D$5,Lookup_Tables!$E$2:$E$5)</f>
        <v>Low</v>
      </c>
    </row>
    <row r="679" spans="1:22">
      <c r="A679">
        <f>RAW_DATA!A679</f>
        <v>49</v>
      </c>
      <c r="B679" t="str">
        <f>RAW_DATA!B679</f>
        <v>No</v>
      </c>
      <c r="C679" t="str">
        <f>RAW_DATA!C679</f>
        <v>Research &amp; Development</v>
      </c>
      <c r="D679">
        <f>RAW_DATA!D679</f>
        <v>8</v>
      </c>
      <c r="E679">
        <f>RAW_DATA!E679</f>
        <v>2</v>
      </c>
      <c r="F679" t="str">
        <f>RAW_DATA!F679</f>
        <v>Other</v>
      </c>
      <c r="G679">
        <f>RAW_DATA!G679</f>
        <v>1</v>
      </c>
      <c r="H679">
        <f>RAW_DATA!H679</f>
        <v>2</v>
      </c>
      <c r="I679" t="str">
        <f>RAW_DATA!I679</f>
        <v>Married</v>
      </c>
      <c r="J679">
        <f>RAW_DATA!J679</f>
        <v>7403</v>
      </c>
      <c r="K679">
        <f>RAW_DATA!K679</f>
        <v>4</v>
      </c>
      <c r="L679">
        <f>RAW_DATA!L679</f>
        <v>2</v>
      </c>
      <c r="M679">
        <f>RAW_DATA!M679</f>
        <v>26</v>
      </c>
      <c r="N679">
        <f t="shared" si="20"/>
        <v>0</v>
      </c>
      <c r="O679" t="str">
        <f xml:space="preserve"> VLOOKUP(A679, Lookup_Tables!$G$2:$H$6,2,TRUE)</f>
        <v>45-54</v>
      </c>
      <c r="P679" t="str">
        <f>_xlfn.XLOOKUP(J679,Lookup_Tables!$J$2:$J$4,Lookup_Tables!$K$2:$K$4, " ",-1)</f>
        <v>High</v>
      </c>
      <c r="Q679" t="str">
        <f xml:space="preserve"> _xlfn.XLOOKUP(M679, Lookup_Tables!$M$2:$M$5,Lookup_Tables!$N$2:$N$5," ", -1)</f>
        <v>Veteran (10+)</v>
      </c>
      <c r="R679" s="4">
        <f t="shared" si="21"/>
        <v>1.6666666666666667</v>
      </c>
      <c r="S679" t="str">
        <f xml:space="preserve"> _xlfn.XLOOKUP( E679, Lookup_Tables!$A$2:$A$6,Lookup_Tables!$B$2:$B$6," ", -1)</f>
        <v>College</v>
      </c>
      <c r="T679" t="str">
        <f>_xlfn.XLOOKUP(G679,Lookup_Tables!$D$2:$D$5,Lookup_Tables!$E$2:$E$5)</f>
        <v>Low</v>
      </c>
      <c r="U679" t="str">
        <f>_xlfn.XLOOKUP(H679,Lookup_Tables!$D$2:$D$5,Lookup_Tables!$E$2:$E$5)</f>
        <v>Medium</v>
      </c>
      <c r="V679" t="str">
        <f>_xlfn.XLOOKUP(L679,Lookup_Tables!$D$2:$D$5,Lookup_Tables!$E$2:$E$5)</f>
        <v>Medium</v>
      </c>
    </row>
    <row r="680" spans="1:22">
      <c r="A680">
        <f>RAW_DATA!A680</f>
        <v>48</v>
      </c>
      <c r="B680" t="str">
        <f>RAW_DATA!B680</f>
        <v>No</v>
      </c>
      <c r="C680" t="str">
        <f>RAW_DATA!C680</f>
        <v>Research &amp; Development</v>
      </c>
      <c r="D680">
        <f>RAW_DATA!D680</f>
        <v>20</v>
      </c>
      <c r="E680">
        <f>RAW_DATA!E680</f>
        <v>4</v>
      </c>
      <c r="F680" t="str">
        <f>RAW_DATA!F680</f>
        <v>Medical</v>
      </c>
      <c r="G680">
        <f>RAW_DATA!G680</f>
        <v>4</v>
      </c>
      <c r="H680">
        <f>RAW_DATA!H680</f>
        <v>3</v>
      </c>
      <c r="I680" t="str">
        <f>RAW_DATA!I680</f>
        <v>Married</v>
      </c>
      <c r="J680">
        <f>RAW_DATA!J680</f>
        <v>2259</v>
      </c>
      <c r="K680">
        <f>RAW_DATA!K680</f>
        <v>4</v>
      </c>
      <c r="L680">
        <f>RAW_DATA!L680</f>
        <v>2</v>
      </c>
      <c r="M680">
        <f>RAW_DATA!M680</f>
        <v>0</v>
      </c>
      <c r="N680">
        <f t="shared" si="20"/>
        <v>0</v>
      </c>
      <c r="O680" t="str">
        <f xml:space="preserve"> VLOOKUP(A680, Lookup_Tables!$G$2:$H$6,2,TRUE)</f>
        <v>45-54</v>
      </c>
      <c r="P680" t="str">
        <f>_xlfn.XLOOKUP(J680,Lookup_Tables!$J$2:$J$4,Lookup_Tables!$K$2:$K$4, " ",-1)</f>
        <v>Low</v>
      </c>
      <c r="Q680" t="str">
        <f xml:space="preserve"> _xlfn.XLOOKUP(M680, Lookup_Tables!$M$2:$M$5,Lookup_Tables!$N$2:$N$5," ", -1)</f>
        <v>New (0-2)</v>
      </c>
      <c r="R680" s="4">
        <f t="shared" si="21"/>
        <v>3</v>
      </c>
      <c r="S680" t="str">
        <f xml:space="preserve"> _xlfn.XLOOKUP( E680, Lookup_Tables!$A$2:$A$6,Lookup_Tables!$B$2:$B$6," ", -1)</f>
        <v>Master</v>
      </c>
      <c r="T680" t="str">
        <f>_xlfn.XLOOKUP(G680,Lookup_Tables!$D$2:$D$5,Lookup_Tables!$E$2:$E$5)</f>
        <v>Very High</v>
      </c>
      <c r="U680" t="str">
        <f>_xlfn.XLOOKUP(H680,Lookup_Tables!$D$2:$D$5,Lookup_Tables!$E$2:$E$5)</f>
        <v>High</v>
      </c>
      <c r="V680" t="str">
        <f>_xlfn.XLOOKUP(L680,Lookup_Tables!$D$2:$D$5,Lookup_Tables!$E$2:$E$5)</f>
        <v>Medium</v>
      </c>
    </row>
    <row r="681" spans="1:22">
      <c r="A681">
        <f>RAW_DATA!A681</f>
        <v>31</v>
      </c>
      <c r="B681" t="str">
        <f>RAW_DATA!B681</f>
        <v>No</v>
      </c>
      <c r="C681" t="str">
        <f>RAW_DATA!C681</f>
        <v>Sales</v>
      </c>
      <c r="D681">
        <f>RAW_DATA!D681</f>
        <v>20</v>
      </c>
      <c r="E681">
        <f>RAW_DATA!E681</f>
        <v>2</v>
      </c>
      <c r="F681" t="str">
        <f>RAW_DATA!F681</f>
        <v>Marketing</v>
      </c>
      <c r="G681">
        <f>RAW_DATA!G681</f>
        <v>4</v>
      </c>
      <c r="H681">
        <f>RAW_DATA!H681</f>
        <v>3</v>
      </c>
      <c r="I681" t="str">
        <f>RAW_DATA!I681</f>
        <v>Married</v>
      </c>
      <c r="J681">
        <f>RAW_DATA!J681</f>
        <v>6932</v>
      </c>
      <c r="K681">
        <f>RAW_DATA!K681</f>
        <v>1</v>
      </c>
      <c r="L681">
        <f>RAW_DATA!L681</f>
        <v>2</v>
      </c>
      <c r="M681">
        <f>RAW_DATA!M681</f>
        <v>9</v>
      </c>
      <c r="N681">
        <f t="shared" si="20"/>
        <v>0</v>
      </c>
      <c r="O681" t="str">
        <f xml:space="preserve"> VLOOKUP(A681, Lookup_Tables!$G$2:$H$6,2,TRUE)</f>
        <v>25-34</v>
      </c>
      <c r="P681" t="str">
        <f>_xlfn.XLOOKUP(J681,Lookup_Tables!$J$2:$J$4,Lookup_Tables!$K$2:$K$4, " ",-1)</f>
        <v>Medium</v>
      </c>
      <c r="Q681" t="str">
        <f xml:space="preserve"> _xlfn.XLOOKUP(M681, Lookup_Tables!$M$2:$M$5,Lookup_Tables!$N$2:$N$5," ", -1)</f>
        <v>Established (5-10)</v>
      </c>
      <c r="R681" s="4">
        <f t="shared" si="21"/>
        <v>3</v>
      </c>
      <c r="S681" t="str">
        <f xml:space="preserve"> _xlfn.XLOOKUP( E681, Lookup_Tables!$A$2:$A$6,Lookup_Tables!$B$2:$B$6," ", -1)</f>
        <v>College</v>
      </c>
      <c r="T681" t="str">
        <f>_xlfn.XLOOKUP(G681,Lookup_Tables!$D$2:$D$5,Lookup_Tables!$E$2:$E$5)</f>
        <v>Very High</v>
      </c>
      <c r="U681" t="str">
        <f>_xlfn.XLOOKUP(H681,Lookup_Tables!$D$2:$D$5,Lookup_Tables!$E$2:$E$5)</f>
        <v>High</v>
      </c>
      <c r="V681" t="str">
        <f>_xlfn.XLOOKUP(L681,Lookup_Tables!$D$2:$D$5,Lookup_Tables!$E$2:$E$5)</f>
        <v>Medium</v>
      </c>
    </row>
    <row r="682" spans="1:22">
      <c r="A682">
        <f>RAW_DATA!A682</f>
        <v>36</v>
      </c>
      <c r="B682" t="str">
        <f>RAW_DATA!B682</f>
        <v>No</v>
      </c>
      <c r="C682" t="str">
        <f>RAW_DATA!C682</f>
        <v>Research &amp; Development</v>
      </c>
      <c r="D682">
        <f>RAW_DATA!D682</f>
        <v>7</v>
      </c>
      <c r="E682">
        <f>RAW_DATA!E682</f>
        <v>4</v>
      </c>
      <c r="F682" t="str">
        <f>RAW_DATA!F682</f>
        <v>Other</v>
      </c>
      <c r="G682">
        <f>RAW_DATA!G682</f>
        <v>2</v>
      </c>
      <c r="H682">
        <f>RAW_DATA!H682</f>
        <v>4</v>
      </c>
      <c r="I682" t="str">
        <f>RAW_DATA!I682</f>
        <v>Single</v>
      </c>
      <c r="J682">
        <f>RAW_DATA!J682</f>
        <v>4678</v>
      </c>
      <c r="K682">
        <f>RAW_DATA!K682</f>
        <v>2</v>
      </c>
      <c r="L682">
        <f>RAW_DATA!L682</f>
        <v>3</v>
      </c>
      <c r="M682">
        <f>RAW_DATA!M682</f>
        <v>6</v>
      </c>
      <c r="N682">
        <f t="shared" si="20"/>
        <v>0</v>
      </c>
      <c r="O682" t="str">
        <f xml:space="preserve"> VLOOKUP(A682, Lookup_Tables!$G$2:$H$6,2,TRUE)</f>
        <v>35-44</v>
      </c>
      <c r="P682" t="str">
        <f>_xlfn.XLOOKUP(J682,Lookup_Tables!$J$2:$J$4,Lookup_Tables!$K$2:$K$4, " ",-1)</f>
        <v>Medium</v>
      </c>
      <c r="Q682" t="str">
        <f xml:space="preserve"> _xlfn.XLOOKUP(M682, Lookup_Tables!$M$2:$M$5,Lookup_Tables!$N$2:$N$5," ", -1)</f>
        <v>Established (5-10)</v>
      </c>
      <c r="R682" s="4">
        <f t="shared" si="21"/>
        <v>3</v>
      </c>
      <c r="S682" t="str">
        <f xml:space="preserve"> _xlfn.XLOOKUP( E682, Lookup_Tables!$A$2:$A$6,Lookup_Tables!$B$2:$B$6," ", -1)</f>
        <v>Master</v>
      </c>
      <c r="T682" t="str">
        <f>_xlfn.XLOOKUP(G682,Lookup_Tables!$D$2:$D$5,Lookup_Tables!$E$2:$E$5)</f>
        <v>Medium</v>
      </c>
      <c r="U682" t="str">
        <f>_xlfn.XLOOKUP(H682,Lookup_Tables!$D$2:$D$5,Lookup_Tables!$E$2:$E$5)</f>
        <v>Very High</v>
      </c>
      <c r="V682" t="str">
        <f>_xlfn.XLOOKUP(L682,Lookup_Tables!$D$2:$D$5,Lookup_Tables!$E$2:$E$5)</f>
        <v>High</v>
      </c>
    </row>
    <row r="683" spans="1:22">
      <c r="A683">
        <f>RAW_DATA!A683</f>
        <v>38</v>
      </c>
      <c r="B683" t="str">
        <f>RAW_DATA!B683</f>
        <v>No</v>
      </c>
      <c r="C683" t="str">
        <f>RAW_DATA!C683</f>
        <v>Research &amp; Development</v>
      </c>
      <c r="D683">
        <f>RAW_DATA!D683</f>
        <v>1</v>
      </c>
      <c r="E683">
        <f>RAW_DATA!E683</f>
        <v>3</v>
      </c>
      <c r="F683" t="str">
        <f>RAW_DATA!F683</f>
        <v>Technical Degree</v>
      </c>
      <c r="G683">
        <f>RAW_DATA!G683</f>
        <v>4</v>
      </c>
      <c r="H683">
        <f>RAW_DATA!H683</f>
        <v>1</v>
      </c>
      <c r="I683" t="str">
        <f>RAW_DATA!I683</f>
        <v>Married</v>
      </c>
      <c r="J683">
        <f>RAW_DATA!J683</f>
        <v>13582</v>
      </c>
      <c r="K683">
        <f>RAW_DATA!K683</f>
        <v>1</v>
      </c>
      <c r="L683">
        <f>RAW_DATA!L683</f>
        <v>3</v>
      </c>
      <c r="M683">
        <f>RAW_DATA!M683</f>
        <v>15</v>
      </c>
      <c r="N683">
        <f t="shared" si="20"/>
        <v>0</v>
      </c>
      <c r="O683" t="str">
        <f xml:space="preserve"> VLOOKUP(A683, Lookup_Tables!$G$2:$H$6,2,TRUE)</f>
        <v>35-44</v>
      </c>
      <c r="P683" t="str">
        <f>_xlfn.XLOOKUP(J683,Lookup_Tables!$J$2:$J$4,Lookup_Tables!$K$2:$K$4, " ",-1)</f>
        <v>High</v>
      </c>
      <c r="Q683" t="str">
        <f xml:space="preserve"> _xlfn.XLOOKUP(M683, Lookup_Tables!$M$2:$M$5,Lookup_Tables!$N$2:$N$5," ", -1)</f>
        <v>Veteran (10+)</v>
      </c>
      <c r="R683" s="4">
        <f t="shared" si="21"/>
        <v>2.6666666666666665</v>
      </c>
      <c r="S683" t="str">
        <f xml:space="preserve"> _xlfn.XLOOKUP( E683, Lookup_Tables!$A$2:$A$6,Lookup_Tables!$B$2:$B$6," ", -1)</f>
        <v>Bachelor</v>
      </c>
      <c r="T683" t="str">
        <f>_xlfn.XLOOKUP(G683,Lookup_Tables!$D$2:$D$5,Lookup_Tables!$E$2:$E$5)</f>
        <v>Very High</v>
      </c>
      <c r="U683" t="str">
        <f>_xlfn.XLOOKUP(H683,Lookup_Tables!$D$2:$D$5,Lookup_Tables!$E$2:$E$5)</f>
        <v>Low</v>
      </c>
      <c r="V683" t="str">
        <f>_xlfn.XLOOKUP(L683,Lookup_Tables!$D$2:$D$5,Lookup_Tables!$E$2:$E$5)</f>
        <v>High</v>
      </c>
    </row>
    <row r="684" spans="1:22">
      <c r="A684">
        <f>RAW_DATA!A684</f>
        <v>32</v>
      </c>
      <c r="B684" t="str">
        <f>RAW_DATA!B684</f>
        <v>No</v>
      </c>
      <c r="C684" t="str">
        <f>RAW_DATA!C684</f>
        <v>Research &amp; Development</v>
      </c>
      <c r="D684">
        <f>RAW_DATA!D684</f>
        <v>1</v>
      </c>
      <c r="E684">
        <f>RAW_DATA!E684</f>
        <v>3</v>
      </c>
      <c r="F684" t="str">
        <f>RAW_DATA!F684</f>
        <v>Life Sciences</v>
      </c>
      <c r="G684">
        <f>RAW_DATA!G684</f>
        <v>3</v>
      </c>
      <c r="H684">
        <f>RAW_DATA!H684</f>
        <v>2</v>
      </c>
      <c r="I684" t="str">
        <f>RAW_DATA!I684</f>
        <v>Married</v>
      </c>
      <c r="J684">
        <f>RAW_DATA!J684</f>
        <v>2332</v>
      </c>
      <c r="K684">
        <f>RAW_DATA!K684</f>
        <v>6</v>
      </c>
      <c r="L684">
        <f>RAW_DATA!L684</f>
        <v>3</v>
      </c>
      <c r="M684">
        <f>RAW_DATA!M684</f>
        <v>3</v>
      </c>
      <c r="N684">
        <f t="shared" si="20"/>
        <v>0</v>
      </c>
      <c r="O684" t="str">
        <f xml:space="preserve"> VLOOKUP(A684, Lookup_Tables!$G$2:$H$6,2,TRUE)</f>
        <v>25-34</v>
      </c>
      <c r="P684" t="str">
        <f>_xlfn.XLOOKUP(J684,Lookup_Tables!$J$2:$J$4,Lookup_Tables!$K$2:$K$4, " ",-1)</f>
        <v>Low</v>
      </c>
      <c r="Q684" t="str">
        <f xml:space="preserve"> _xlfn.XLOOKUP(M684, Lookup_Tables!$M$2:$M$5,Lookup_Tables!$N$2:$N$5," ", -1)</f>
        <v>Early (2-5)</v>
      </c>
      <c r="R684" s="4">
        <f t="shared" si="21"/>
        <v>2.6666666666666665</v>
      </c>
      <c r="S684" t="str">
        <f xml:space="preserve"> _xlfn.XLOOKUP( E684, Lookup_Tables!$A$2:$A$6,Lookup_Tables!$B$2:$B$6," ", -1)</f>
        <v>Bachelor</v>
      </c>
      <c r="T684" t="str">
        <f>_xlfn.XLOOKUP(G684,Lookup_Tables!$D$2:$D$5,Lookup_Tables!$E$2:$E$5)</f>
        <v>High</v>
      </c>
      <c r="U684" t="str">
        <f>_xlfn.XLOOKUP(H684,Lookup_Tables!$D$2:$D$5,Lookup_Tables!$E$2:$E$5)</f>
        <v>Medium</v>
      </c>
      <c r="V684" t="str">
        <f>_xlfn.XLOOKUP(L684,Lookup_Tables!$D$2:$D$5,Lookup_Tables!$E$2:$E$5)</f>
        <v>High</v>
      </c>
    </row>
    <row r="685" spans="1:22">
      <c r="A685">
        <f>RAW_DATA!A685</f>
        <v>25</v>
      </c>
      <c r="B685" t="str">
        <f>RAW_DATA!B685</f>
        <v>Yes</v>
      </c>
      <c r="C685" t="str">
        <f>RAW_DATA!C685</f>
        <v>Sales</v>
      </c>
      <c r="D685">
        <f>RAW_DATA!D685</f>
        <v>19</v>
      </c>
      <c r="E685">
        <f>RAW_DATA!E685</f>
        <v>2</v>
      </c>
      <c r="F685" t="str">
        <f>RAW_DATA!F685</f>
        <v>Marketing</v>
      </c>
      <c r="G685">
        <f>RAW_DATA!G685</f>
        <v>3</v>
      </c>
      <c r="H685">
        <f>RAW_DATA!H685</f>
        <v>2</v>
      </c>
      <c r="I685" t="str">
        <f>RAW_DATA!I685</f>
        <v>Married</v>
      </c>
      <c r="J685">
        <f>RAW_DATA!J685</f>
        <v>2413</v>
      </c>
      <c r="K685">
        <f>RAW_DATA!K685</f>
        <v>1</v>
      </c>
      <c r="L685">
        <f>RAW_DATA!L685</f>
        <v>3</v>
      </c>
      <c r="M685">
        <f>RAW_DATA!M685</f>
        <v>1</v>
      </c>
      <c r="N685">
        <f t="shared" si="20"/>
        <v>1</v>
      </c>
      <c r="O685" t="str">
        <f xml:space="preserve"> VLOOKUP(A685, Lookup_Tables!$G$2:$H$6,2,TRUE)</f>
        <v>25-34</v>
      </c>
      <c r="P685" t="str">
        <f>_xlfn.XLOOKUP(J685,Lookup_Tables!$J$2:$J$4,Lookup_Tables!$K$2:$K$4, " ",-1)</f>
        <v>Low</v>
      </c>
      <c r="Q685" t="str">
        <f xml:space="preserve"> _xlfn.XLOOKUP(M685, Lookup_Tables!$M$2:$M$5,Lookup_Tables!$N$2:$N$5," ", -1)</f>
        <v>New (0-2)</v>
      </c>
      <c r="R685" s="4">
        <f t="shared" si="21"/>
        <v>2.6666666666666665</v>
      </c>
      <c r="S685" t="str">
        <f xml:space="preserve"> _xlfn.XLOOKUP( E685, Lookup_Tables!$A$2:$A$6,Lookup_Tables!$B$2:$B$6," ", -1)</f>
        <v>College</v>
      </c>
      <c r="T685" t="str">
        <f>_xlfn.XLOOKUP(G685,Lookup_Tables!$D$2:$D$5,Lookup_Tables!$E$2:$E$5)</f>
        <v>High</v>
      </c>
      <c r="U685" t="str">
        <f>_xlfn.XLOOKUP(H685,Lookup_Tables!$D$2:$D$5,Lookup_Tables!$E$2:$E$5)</f>
        <v>Medium</v>
      </c>
      <c r="V685" t="str">
        <f>_xlfn.XLOOKUP(L685,Lookup_Tables!$D$2:$D$5,Lookup_Tables!$E$2:$E$5)</f>
        <v>High</v>
      </c>
    </row>
    <row r="686" spans="1:22">
      <c r="A686">
        <f>RAW_DATA!A686</f>
        <v>40</v>
      </c>
      <c r="B686" t="str">
        <f>RAW_DATA!B686</f>
        <v>No</v>
      </c>
      <c r="C686" t="str">
        <f>RAW_DATA!C686</f>
        <v>Sales</v>
      </c>
      <c r="D686">
        <f>RAW_DATA!D686</f>
        <v>10</v>
      </c>
      <c r="E686">
        <f>RAW_DATA!E686</f>
        <v>4</v>
      </c>
      <c r="F686" t="str">
        <f>RAW_DATA!F686</f>
        <v>Marketing</v>
      </c>
      <c r="G686">
        <f>RAW_DATA!G686</f>
        <v>1</v>
      </c>
      <c r="H686">
        <f>RAW_DATA!H686</f>
        <v>2</v>
      </c>
      <c r="I686" t="str">
        <f>RAW_DATA!I686</f>
        <v>Divorced</v>
      </c>
      <c r="J686">
        <f>RAW_DATA!J686</f>
        <v>9705</v>
      </c>
      <c r="K686">
        <f>RAW_DATA!K686</f>
        <v>2</v>
      </c>
      <c r="L686">
        <f>RAW_DATA!L686</f>
        <v>2</v>
      </c>
      <c r="M686">
        <f>RAW_DATA!M686</f>
        <v>1</v>
      </c>
      <c r="N686">
        <f t="shared" si="20"/>
        <v>0</v>
      </c>
      <c r="O686" t="str">
        <f xml:space="preserve"> VLOOKUP(A686, Lookup_Tables!$G$2:$H$6,2,TRUE)</f>
        <v>35-44</v>
      </c>
      <c r="P686" t="str">
        <f>_xlfn.XLOOKUP(J686,Lookup_Tables!$J$2:$J$4,Lookup_Tables!$K$2:$K$4, " ",-1)</f>
        <v>High</v>
      </c>
      <c r="Q686" t="str">
        <f xml:space="preserve"> _xlfn.XLOOKUP(M686, Lookup_Tables!$M$2:$M$5,Lookup_Tables!$N$2:$N$5," ", -1)</f>
        <v>New (0-2)</v>
      </c>
      <c r="R686" s="4">
        <f t="shared" si="21"/>
        <v>1.6666666666666667</v>
      </c>
      <c r="S686" t="str">
        <f xml:space="preserve"> _xlfn.XLOOKUP( E686, Lookup_Tables!$A$2:$A$6,Lookup_Tables!$B$2:$B$6," ", -1)</f>
        <v>Master</v>
      </c>
      <c r="T686" t="str">
        <f>_xlfn.XLOOKUP(G686,Lookup_Tables!$D$2:$D$5,Lookup_Tables!$E$2:$E$5)</f>
        <v>Low</v>
      </c>
      <c r="U686" t="str">
        <f>_xlfn.XLOOKUP(H686,Lookup_Tables!$D$2:$D$5,Lookup_Tables!$E$2:$E$5)</f>
        <v>Medium</v>
      </c>
      <c r="V686" t="str">
        <f>_xlfn.XLOOKUP(L686,Lookup_Tables!$D$2:$D$5,Lookup_Tables!$E$2:$E$5)</f>
        <v>Medium</v>
      </c>
    </row>
    <row r="687" spans="1:22">
      <c r="A687">
        <f>RAW_DATA!A687</f>
        <v>26</v>
      </c>
      <c r="B687" t="str">
        <f>RAW_DATA!B687</f>
        <v>No</v>
      </c>
      <c r="C687" t="str">
        <f>RAW_DATA!C687</f>
        <v>Sales</v>
      </c>
      <c r="D687">
        <f>RAW_DATA!D687</f>
        <v>1</v>
      </c>
      <c r="E687">
        <f>RAW_DATA!E687</f>
        <v>3</v>
      </c>
      <c r="F687" t="str">
        <f>RAW_DATA!F687</f>
        <v>Medical</v>
      </c>
      <c r="G687">
        <f>RAW_DATA!G687</f>
        <v>3</v>
      </c>
      <c r="H687">
        <f>RAW_DATA!H687</f>
        <v>1</v>
      </c>
      <c r="I687" t="str">
        <f>RAW_DATA!I687</f>
        <v>Single</v>
      </c>
      <c r="J687">
        <f>RAW_DATA!J687</f>
        <v>4294</v>
      </c>
      <c r="K687">
        <f>RAW_DATA!K687</f>
        <v>1</v>
      </c>
      <c r="L687">
        <f>RAW_DATA!L687</f>
        <v>3</v>
      </c>
      <c r="M687">
        <f>RAW_DATA!M687</f>
        <v>7</v>
      </c>
      <c r="N687">
        <f t="shared" si="20"/>
        <v>0</v>
      </c>
      <c r="O687" t="str">
        <f xml:space="preserve"> VLOOKUP(A687, Lookup_Tables!$G$2:$H$6,2,TRUE)</f>
        <v>25-34</v>
      </c>
      <c r="P687" t="str">
        <f>_xlfn.XLOOKUP(J687,Lookup_Tables!$J$2:$J$4,Lookup_Tables!$K$2:$K$4, " ",-1)</f>
        <v>Medium</v>
      </c>
      <c r="Q687" t="str">
        <f xml:space="preserve"> _xlfn.XLOOKUP(M687, Lookup_Tables!$M$2:$M$5,Lookup_Tables!$N$2:$N$5," ", -1)</f>
        <v>Established (5-10)</v>
      </c>
      <c r="R687" s="4">
        <f t="shared" si="21"/>
        <v>2.3333333333333335</v>
      </c>
      <c r="S687" t="str">
        <f xml:space="preserve"> _xlfn.XLOOKUP( E687, Lookup_Tables!$A$2:$A$6,Lookup_Tables!$B$2:$B$6," ", -1)</f>
        <v>Bachelor</v>
      </c>
      <c r="T687" t="str">
        <f>_xlfn.XLOOKUP(G687,Lookup_Tables!$D$2:$D$5,Lookup_Tables!$E$2:$E$5)</f>
        <v>High</v>
      </c>
      <c r="U687" t="str">
        <f>_xlfn.XLOOKUP(H687,Lookup_Tables!$D$2:$D$5,Lookup_Tables!$E$2:$E$5)</f>
        <v>Low</v>
      </c>
      <c r="V687" t="str">
        <f>_xlfn.XLOOKUP(L687,Lookup_Tables!$D$2:$D$5,Lookup_Tables!$E$2:$E$5)</f>
        <v>High</v>
      </c>
    </row>
    <row r="688" spans="1:22">
      <c r="A688">
        <f>RAW_DATA!A688</f>
        <v>41</v>
      </c>
      <c r="B688" t="str">
        <f>RAW_DATA!B688</f>
        <v>No</v>
      </c>
      <c r="C688" t="str">
        <f>RAW_DATA!C688</f>
        <v>Research &amp; Development</v>
      </c>
      <c r="D688">
        <f>RAW_DATA!D688</f>
        <v>6</v>
      </c>
      <c r="E688">
        <f>RAW_DATA!E688</f>
        <v>3</v>
      </c>
      <c r="F688" t="str">
        <f>RAW_DATA!F688</f>
        <v>Medical</v>
      </c>
      <c r="G688">
        <f>RAW_DATA!G688</f>
        <v>4</v>
      </c>
      <c r="H688">
        <f>RAW_DATA!H688</f>
        <v>1</v>
      </c>
      <c r="I688" t="str">
        <f>RAW_DATA!I688</f>
        <v>Single</v>
      </c>
      <c r="J688">
        <f>RAW_DATA!J688</f>
        <v>4721</v>
      </c>
      <c r="K688">
        <f>RAW_DATA!K688</f>
        <v>2</v>
      </c>
      <c r="L688">
        <f>RAW_DATA!L688</f>
        <v>3</v>
      </c>
      <c r="M688">
        <f>RAW_DATA!M688</f>
        <v>18</v>
      </c>
      <c r="N688">
        <f t="shared" si="20"/>
        <v>0</v>
      </c>
      <c r="O688" t="str">
        <f xml:space="preserve"> VLOOKUP(A688, Lookup_Tables!$G$2:$H$6,2,TRUE)</f>
        <v>35-44</v>
      </c>
      <c r="P688" t="str">
        <f>_xlfn.XLOOKUP(J688,Lookup_Tables!$J$2:$J$4,Lookup_Tables!$K$2:$K$4, " ",-1)</f>
        <v>Medium</v>
      </c>
      <c r="Q688" t="str">
        <f xml:space="preserve"> _xlfn.XLOOKUP(M688, Lookup_Tables!$M$2:$M$5,Lookup_Tables!$N$2:$N$5," ", -1)</f>
        <v>Veteran (10+)</v>
      </c>
      <c r="R688" s="4">
        <f t="shared" si="21"/>
        <v>2.6666666666666665</v>
      </c>
      <c r="S688" t="str">
        <f xml:space="preserve"> _xlfn.XLOOKUP( E688, Lookup_Tables!$A$2:$A$6,Lookup_Tables!$B$2:$B$6," ", -1)</f>
        <v>Bachelor</v>
      </c>
      <c r="T688" t="str">
        <f>_xlfn.XLOOKUP(G688,Lookup_Tables!$D$2:$D$5,Lookup_Tables!$E$2:$E$5)</f>
        <v>Very High</v>
      </c>
      <c r="U688" t="str">
        <f>_xlfn.XLOOKUP(H688,Lookup_Tables!$D$2:$D$5,Lookup_Tables!$E$2:$E$5)</f>
        <v>Low</v>
      </c>
      <c r="V688" t="str">
        <f>_xlfn.XLOOKUP(L688,Lookup_Tables!$D$2:$D$5,Lookup_Tables!$E$2:$E$5)</f>
        <v>High</v>
      </c>
    </row>
    <row r="689" spans="1:22">
      <c r="A689">
        <f>RAW_DATA!A689</f>
        <v>36</v>
      </c>
      <c r="B689" t="str">
        <f>RAW_DATA!B689</f>
        <v>No</v>
      </c>
      <c r="C689" t="str">
        <f>RAW_DATA!C689</f>
        <v>Research &amp; Development</v>
      </c>
      <c r="D689">
        <f>RAW_DATA!D689</f>
        <v>2</v>
      </c>
      <c r="E689">
        <f>RAW_DATA!E689</f>
        <v>4</v>
      </c>
      <c r="F689" t="str">
        <f>RAW_DATA!F689</f>
        <v>Medical</v>
      </c>
      <c r="G689">
        <f>RAW_DATA!G689</f>
        <v>3</v>
      </c>
      <c r="H689">
        <f>RAW_DATA!H689</f>
        <v>3</v>
      </c>
      <c r="I689" t="str">
        <f>RAW_DATA!I689</f>
        <v>Single</v>
      </c>
      <c r="J689">
        <f>RAW_DATA!J689</f>
        <v>2519</v>
      </c>
      <c r="K689">
        <f>RAW_DATA!K689</f>
        <v>4</v>
      </c>
      <c r="L689">
        <f>RAW_DATA!L689</f>
        <v>3</v>
      </c>
      <c r="M689">
        <f>RAW_DATA!M689</f>
        <v>11</v>
      </c>
      <c r="N689">
        <f t="shared" si="20"/>
        <v>0</v>
      </c>
      <c r="O689" t="str">
        <f xml:space="preserve"> VLOOKUP(A689, Lookup_Tables!$G$2:$H$6,2,TRUE)</f>
        <v>35-44</v>
      </c>
      <c r="P689" t="str">
        <f>_xlfn.XLOOKUP(J689,Lookup_Tables!$J$2:$J$4,Lookup_Tables!$K$2:$K$4, " ",-1)</f>
        <v>Low</v>
      </c>
      <c r="Q689" t="str">
        <f xml:space="preserve"> _xlfn.XLOOKUP(M689, Lookup_Tables!$M$2:$M$5,Lookup_Tables!$N$2:$N$5," ", -1)</f>
        <v>Veteran (10+)</v>
      </c>
      <c r="R689" s="4">
        <f t="shared" si="21"/>
        <v>3</v>
      </c>
      <c r="S689" t="str">
        <f xml:space="preserve"> _xlfn.XLOOKUP( E689, Lookup_Tables!$A$2:$A$6,Lookup_Tables!$B$2:$B$6," ", -1)</f>
        <v>Master</v>
      </c>
      <c r="T689" t="str">
        <f>_xlfn.XLOOKUP(G689,Lookup_Tables!$D$2:$D$5,Lookup_Tables!$E$2:$E$5)</f>
        <v>High</v>
      </c>
      <c r="U689" t="str">
        <f>_xlfn.XLOOKUP(H689,Lookup_Tables!$D$2:$D$5,Lookup_Tables!$E$2:$E$5)</f>
        <v>High</v>
      </c>
      <c r="V689" t="str">
        <f>_xlfn.XLOOKUP(L689,Lookup_Tables!$D$2:$D$5,Lookup_Tables!$E$2:$E$5)</f>
        <v>High</v>
      </c>
    </row>
    <row r="690" spans="1:22">
      <c r="A690">
        <f>RAW_DATA!A690</f>
        <v>19</v>
      </c>
      <c r="B690" t="str">
        <f>RAW_DATA!B690</f>
        <v>Yes</v>
      </c>
      <c r="C690" t="str">
        <f>RAW_DATA!C690</f>
        <v>Sales</v>
      </c>
      <c r="D690">
        <f>RAW_DATA!D690</f>
        <v>21</v>
      </c>
      <c r="E690">
        <f>RAW_DATA!E690</f>
        <v>3</v>
      </c>
      <c r="F690" t="str">
        <f>RAW_DATA!F690</f>
        <v>Other</v>
      </c>
      <c r="G690">
        <f>RAW_DATA!G690</f>
        <v>4</v>
      </c>
      <c r="H690">
        <f>RAW_DATA!H690</f>
        <v>2</v>
      </c>
      <c r="I690" t="str">
        <f>RAW_DATA!I690</f>
        <v>Single</v>
      </c>
      <c r="J690">
        <f>RAW_DATA!J690</f>
        <v>2121</v>
      </c>
      <c r="K690">
        <f>RAW_DATA!K690</f>
        <v>1</v>
      </c>
      <c r="L690">
        <f>RAW_DATA!L690</f>
        <v>4</v>
      </c>
      <c r="M690">
        <f>RAW_DATA!M690</f>
        <v>1</v>
      </c>
      <c r="N690">
        <f t="shared" si="20"/>
        <v>1</v>
      </c>
      <c r="O690" t="str">
        <f xml:space="preserve"> VLOOKUP(A690, Lookup_Tables!$G$2:$H$6,2,TRUE)</f>
        <v>&lt;25</v>
      </c>
      <c r="P690" t="str">
        <f>_xlfn.XLOOKUP(J690,Lookup_Tables!$J$2:$J$4,Lookup_Tables!$K$2:$K$4, " ",-1)</f>
        <v>Low</v>
      </c>
      <c r="Q690" t="str">
        <f xml:space="preserve"> _xlfn.XLOOKUP(M690, Lookup_Tables!$M$2:$M$5,Lookup_Tables!$N$2:$N$5," ", -1)</f>
        <v>New (0-2)</v>
      </c>
      <c r="R690" s="4">
        <f t="shared" si="21"/>
        <v>3.3333333333333335</v>
      </c>
      <c r="S690" t="str">
        <f xml:space="preserve"> _xlfn.XLOOKUP( E690, Lookup_Tables!$A$2:$A$6,Lookup_Tables!$B$2:$B$6," ", -1)</f>
        <v>Bachelor</v>
      </c>
      <c r="T690" t="str">
        <f>_xlfn.XLOOKUP(G690,Lookup_Tables!$D$2:$D$5,Lookup_Tables!$E$2:$E$5)</f>
        <v>Very High</v>
      </c>
      <c r="U690" t="str">
        <f>_xlfn.XLOOKUP(H690,Lookup_Tables!$D$2:$D$5,Lookup_Tables!$E$2:$E$5)</f>
        <v>Medium</v>
      </c>
      <c r="V690" t="str">
        <f>_xlfn.XLOOKUP(L690,Lookup_Tables!$D$2:$D$5,Lookup_Tables!$E$2:$E$5)</f>
        <v>Very High</v>
      </c>
    </row>
    <row r="691" spans="1:22">
      <c r="A691">
        <f>RAW_DATA!A691</f>
        <v>20</v>
      </c>
      <c r="B691" t="str">
        <f>RAW_DATA!B691</f>
        <v>Yes</v>
      </c>
      <c r="C691" t="str">
        <f>RAW_DATA!C691</f>
        <v>Research &amp; Development</v>
      </c>
      <c r="D691">
        <f>RAW_DATA!D691</f>
        <v>4</v>
      </c>
      <c r="E691">
        <f>RAW_DATA!E691</f>
        <v>3</v>
      </c>
      <c r="F691" t="str">
        <f>RAW_DATA!F691</f>
        <v>Technical Degree</v>
      </c>
      <c r="G691">
        <f>RAW_DATA!G691</f>
        <v>1</v>
      </c>
      <c r="H691">
        <f>RAW_DATA!H691</f>
        <v>1</v>
      </c>
      <c r="I691" t="str">
        <f>RAW_DATA!I691</f>
        <v>Single</v>
      </c>
      <c r="J691">
        <f>RAW_DATA!J691</f>
        <v>2973</v>
      </c>
      <c r="K691">
        <f>RAW_DATA!K691</f>
        <v>1</v>
      </c>
      <c r="L691">
        <f>RAW_DATA!L691</f>
        <v>3</v>
      </c>
      <c r="M691">
        <f>RAW_DATA!M691</f>
        <v>1</v>
      </c>
      <c r="N691">
        <f t="shared" si="20"/>
        <v>1</v>
      </c>
      <c r="O691" t="str">
        <f xml:space="preserve"> VLOOKUP(A691, Lookup_Tables!$G$2:$H$6,2,TRUE)</f>
        <v>&lt;25</v>
      </c>
      <c r="P691" t="str">
        <f>_xlfn.XLOOKUP(J691,Lookup_Tables!$J$2:$J$4,Lookup_Tables!$K$2:$K$4, " ",-1)</f>
        <v>Low</v>
      </c>
      <c r="Q691" t="str">
        <f xml:space="preserve"> _xlfn.XLOOKUP(M691, Lookup_Tables!$M$2:$M$5,Lookup_Tables!$N$2:$N$5," ", -1)</f>
        <v>New (0-2)</v>
      </c>
      <c r="R691" s="4">
        <f t="shared" si="21"/>
        <v>1.6666666666666667</v>
      </c>
      <c r="S691" t="str">
        <f xml:space="preserve"> _xlfn.XLOOKUP( E691, Lookup_Tables!$A$2:$A$6,Lookup_Tables!$B$2:$B$6," ", -1)</f>
        <v>Bachelor</v>
      </c>
      <c r="T691" t="str">
        <f>_xlfn.XLOOKUP(G691,Lookup_Tables!$D$2:$D$5,Lookup_Tables!$E$2:$E$5)</f>
        <v>Low</v>
      </c>
      <c r="U691" t="str">
        <f>_xlfn.XLOOKUP(H691,Lookup_Tables!$D$2:$D$5,Lookup_Tables!$E$2:$E$5)</f>
        <v>Low</v>
      </c>
      <c r="V691" t="str">
        <f>_xlfn.XLOOKUP(L691,Lookup_Tables!$D$2:$D$5,Lookup_Tables!$E$2:$E$5)</f>
        <v>High</v>
      </c>
    </row>
    <row r="692" spans="1:22">
      <c r="A692">
        <f>RAW_DATA!A692</f>
        <v>31</v>
      </c>
      <c r="B692" t="str">
        <f>RAW_DATA!B692</f>
        <v>No</v>
      </c>
      <c r="C692" t="str">
        <f>RAW_DATA!C692</f>
        <v>Research &amp; Development</v>
      </c>
      <c r="D692">
        <f>RAW_DATA!D692</f>
        <v>12</v>
      </c>
      <c r="E692">
        <f>RAW_DATA!E692</f>
        <v>3</v>
      </c>
      <c r="F692" t="str">
        <f>RAW_DATA!F692</f>
        <v>Medical</v>
      </c>
      <c r="G692">
        <f>RAW_DATA!G692</f>
        <v>4</v>
      </c>
      <c r="H692">
        <f>RAW_DATA!H692</f>
        <v>4</v>
      </c>
      <c r="I692" t="str">
        <f>RAW_DATA!I692</f>
        <v>Married</v>
      </c>
      <c r="J692">
        <f>RAW_DATA!J692</f>
        <v>5855</v>
      </c>
      <c r="K692">
        <f>RAW_DATA!K692</f>
        <v>0</v>
      </c>
      <c r="L692">
        <f>RAW_DATA!L692</f>
        <v>1</v>
      </c>
      <c r="M692">
        <f>RAW_DATA!M692</f>
        <v>9</v>
      </c>
      <c r="N692">
        <f t="shared" si="20"/>
        <v>0</v>
      </c>
      <c r="O692" t="str">
        <f xml:space="preserve"> VLOOKUP(A692, Lookup_Tables!$G$2:$H$6,2,TRUE)</f>
        <v>25-34</v>
      </c>
      <c r="P692" t="str">
        <f>_xlfn.XLOOKUP(J692,Lookup_Tables!$J$2:$J$4,Lookup_Tables!$K$2:$K$4, " ",-1)</f>
        <v>Medium</v>
      </c>
      <c r="Q692" t="str">
        <f xml:space="preserve"> _xlfn.XLOOKUP(M692, Lookup_Tables!$M$2:$M$5,Lookup_Tables!$N$2:$N$5," ", -1)</f>
        <v>Established (5-10)</v>
      </c>
      <c r="R692" s="4">
        <f t="shared" si="21"/>
        <v>3</v>
      </c>
      <c r="S692" t="str">
        <f xml:space="preserve"> _xlfn.XLOOKUP( E692, Lookup_Tables!$A$2:$A$6,Lookup_Tables!$B$2:$B$6," ", -1)</f>
        <v>Bachelor</v>
      </c>
      <c r="T692" t="str">
        <f>_xlfn.XLOOKUP(G692,Lookup_Tables!$D$2:$D$5,Lookup_Tables!$E$2:$E$5)</f>
        <v>Very High</v>
      </c>
      <c r="U692" t="str">
        <f>_xlfn.XLOOKUP(H692,Lookup_Tables!$D$2:$D$5,Lookup_Tables!$E$2:$E$5)</f>
        <v>Very High</v>
      </c>
      <c r="V692" t="str">
        <f>_xlfn.XLOOKUP(L692,Lookup_Tables!$D$2:$D$5,Lookup_Tables!$E$2:$E$5)</f>
        <v>Low</v>
      </c>
    </row>
    <row r="693" spans="1:22">
      <c r="A693">
        <f>RAW_DATA!A693</f>
        <v>40</v>
      </c>
      <c r="B693" t="str">
        <f>RAW_DATA!B693</f>
        <v>No</v>
      </c>
      <c r="C693" t="str">
        <f>RAW_DATA!C693</f>
        <v>Research &amp; Development</v>
      </c>
      <c r="D693">
        <f>RAW_DATA!D693</f>
        <v>9</v>
      </c>
      <c r="E693">
        <f>RAW_DATA!E693</f>
        <v>4</v>
      </c>
      <c r="F693" t="str">
        <f>RAW_DATA!F693</f>
        <v>Medical</v>
      </c>
      <c r="G693">
        <f>RAW_DATA!G693</f>
        <v>4</v>
      </c>
      <c r="H693">
        <f>RAW_DATA!H693</f>
        <v>2</v>
      </c>
      <c r="I693" t="str">
        <f>RAW_DATA!I693</f>
        <v>Divorced</v>
      </c>
      <c r="J693">
        <f>RAW_DATA!J693</f>
        <v>3617</v>
      </c>
      <c r="K693">
        <f>RAW_DATA!K693</f>
        <v>8</v>
      </c>
      <c r="L693">
        <f>RAW_DATA!L693</f>
        <v>3</v>
      </c>
      <c r="M693">
        <f>RAW_DATA!M693</f>
        <v>1</v>
      </c>
      <c r="N693">
        <f t="shared" si="20"/>
        <v>0</v>
      </c>
      <c r="O693" t="str">
        <f xml:space="preserve"> VLOOKUP(A693, Lookup_Tables!$G$2:$H$6,2,TRUE)</f>
        <v>35-44</v>
      </c>
      <c r="P693" t="str">
        <f>_xlfn.XLOOKUP(J693,Lookup_Tables!$J$2:$J$4,Lookup_Tables!$K$2:$K$4, " ",-1)</f>
        <v>Medium</v>
      </c>
      <c r="Q693" t="str">
        <f xml:space="preserve"> _xlfn.XLOOKUP(M693, Lookup_Tables!$M$2:$M$5,Lookup_Tables!$N$2:$N$5," ", -1)</f>
        <v>New (0-2)</v>
      </c>
      <c r="R693" s="4">
        <f t="shared" si="21"/>
        <v>3</v>
      </c>
      <c r="S693" t="str">
        <f xml:space="preserve"> _xlfn.XLOOKUP( E693, Lookup_Tables!$A$2:$A$6,Lookup_Tables!$B$2:$B$6," ", -1)</f>
        <v>Master</v>
      </c>
      <c r="T693" t="str">
        <f>_xlfn.XLOOKUP(G693,Lookup_Tables!$D$2:$D$5,Lookup_Tables!$E$2:$E$5)</f>
        <v>Very High</v>
      </c>
      <c r="U693" t="str">
        <f>_xlfn.XLOOKUP(H693,Lookup_Tables!$D$2:$D$5,Lookup_Tables!$E$2:$E$5)</f>
        <v>Medium</v>
      </c>
      <c r="V693" t="str">
        <f>_xlfn.XLOOKUP(L693,Lookup_Tables!$D$2:$D$5,Lookup_Tables!$E$2:$E$5)</f>
        <v>High</v>
      </c>
    </row>
    <row r="694" spans="1:22">
      <c r="A694">
        <f>RAW_DATA!A694</f>
        <v>32</v>
      </c>
      <c r="B694" t="str">
        <f>RAW_DATA!B694</f>
        <v>No</v>
      </c>
      <c r="C694" t="str">
        <f>RAW_DATA!C694</f>
        <v>Research &amp; Development</v>
      </c>
      <c r="D694">
        <f>RAW_DATA!D694</f>
        <v>3</v>
      </c>
      <c r="E694">
        <f>RAW_DATA!E694</f>
        <v>4</v>
      </c>
      <c r="F694" t="str">
        <f>RAW_DATA!F694</f>
        <v>Medical</v>
      </c>
      <c r="G694">
        <f>RAW_DATA!G694</f>
        <v>3</v>
      </c>
      <c r="H694">
        <f>RAW_DATA!H694</f>
        <v>1</v>
      </c>
      <c r="I694" t="str">
        <f>RAW_DATA!I694</f>
        <v>Married</v>
      </c>
      <c r="J694">
        <f>RAW_DATA!J694</f>
        <v>6725</v>
      </c>
      <c r="K694">
        <f>RAW_DATA!K694</f>
        <v>1</v>
      </c>
      <c r="L694">
        <f>RAW_DATA!L694</f>
        <v>4</v>
      </c>
      <c r="M694">
        <f>RAW_DATA!M694</f>
        <v>8</v>
      </c>
      <c r="N694">
        <f t="shared" si="20"/>
        <v>0</v>
      </c>
      <c r="O694" t="str">
        <f xml:space="preserve"> VLOOKUP(A694, Lookup_Tables!$G$2:$H$6,2,TRUE)</f>
        <v>25-34</v>
      </c>
      <c r="P694" t="str">
        <f>_xlfn.XLOOKUP(J694,Lookup_Tables!$J$2:$J$4,Lookup_Tables!$K$2:$K$4, " ",-1)</f>
        <v>Medium</v>
      </c>
      <c r="Q694" t="str">
        <f xml:space="preserve"> _xlfn.XLOOKUP(M694, Lookup_Tables!$M$2:$M$5,Lookup_Tables!$N$2:$N$5," ", -1)</f>
        <v>Established (5-10)</v>
      </c>
      <c r="R694" s="4">
        <f t="shared" si="21"/>
        <v>2.6666666666666665</v>
      </c>
      <c r="S694" t="str">
        <f xml:space="preserve"> _xlfn.XLOOKUP( E694, Lookup_Tables!$A$2:$A$6,Lookup_Tables!$B$2:$B$6," ", -1)</f>
        <v>Master</v>
      </c>
      <c r="T694" t="str">
        <f>_xlfn.XLOOKUP(G694,Lookup_Tables!$D$2:$D$5,Lookup_Tables!$E$2:$E$5)</f>
        <v>High</v>
      </c>
      <c r="U694" t="str">
        <f>_xlfn.XLOOKUP(H694,Lookup_Tables!$D$2:$D$5,Lookup_Tables!$E$2:$E$5)</f>
        <v>Low</v>
      </c>
      <c r="V694" t="str">
        <f>_xlfn.XLOOKUP(L694,Lookup_Tables!$D$2:$D$5,Lookup_Tables!$E$2:$E$5)</f>
        <v>Very High</v>
      </c>
    </row>
    <row r="695" spans="1:22">
      <c r="A695">
        <f>RAW_DATA!A695</f>
        <v>36</v>
      </c>
      <c r="B695" t="str">
        <f>RAW_DATA!B695</f>
        <v>Yes</v>
      </c>
      <c r="C695" t="str">
        <f>RAW_DATA!C695</f>
        <v>Sales</v>
      </c>
      <c r="D695">
        <f>RAW_DATA!D695</f>
        <v>3</v>
      </c>
      <c r="E695">
        <f>RAW_DATA!E695</f>
        <v>1</v>
      </c>
      <c r="F695" t="str">
        <f>RAW_DATA!F695</f>
        <v>Life Sciences</v>
      </c>
      <c r="G695">
        <f>RAW_DATA!G695</f>
        <v>3</v>
      </c>
      <c r="H695">
        <f>RAW_DATA!H695</f>
        <v>4</v>
      </c>
      <c r="I695" t="str">
        <f>RAW_DATA!I695</f>
        <v>Married</v>
      </c>
      <c r="J695">
        <f>RAW_DATA!J695</f>
        <v>10325</v>
      </c>
      <c r="K695">
        <f>RAW_DATA!K695</f>
        <v>1</v>
      </c>
      <c r="L695">
        <f>RAW_DATA!L695</f>
        <v>3</v>
      </c>
      <c r="M695">
        <f>RAW_DATA!M695</f>
        <v>16</v>
      </c>
      <c r="N695">
        <f t="shared" si="20"/>
        <v>1</v>
      </c>
      <c r="O695" t="str">
        <f xml:space="preserve"> VLOOKUP(A695, Lookup_Tables!$G$2:$H$6,2,TRUE)</f>
        <v>35-44</v>
      </c>
      <c r="P695" t="str">
        <f>_xlfn.XLOOKUP(J695,Lookup_Tables!$J$2:$J$4,Lookup_Tables!$K$2:$K$4, " ",-1)</f>
        <v>High</v>
      </c>
      <c r="Q695" t="str">
        <f xml:space="preserve"> _xlfn.XLOOKUP(M695, Lookup_Tables!$M$2:$M$5,Lookup_Tables!$N$2:$N$5," ", -1)</f>
        <v>Veteran (10+)</v>
      </c>
      <c r="R695" s="4">
        <f t="shared" si="21"/>
        <v>3.3333333333333335</v>
      </c>
      <c r="S695" t="str">
        <f xml:space="preserve"> _xlfn.XLOOKUP( E695, Lookup_Tables!$A$2:$A$6,Lookup_Tables!$B$2:$B$6," ", -1)</f>
        <v>Below College</v>
      </c>
      <c r="T695" t="str">
        <f>_xlfn.XLOOKUP(G695,Lookup_Tables!$D$2:$D$5,Lookup_Tables!$E$2:$E$5)</f>
        <v>High</v>
      </c>
      <c r="U695" t="str">
        <f>_xlfn.XLOOKUP(H695,Lookup_Tables!$D$2:$D$5,Lookup_Tables!$E$2:$E$5)</f>
        <v>Very High</v>
      </c>
      <c r="V695" t="str">
        <f>_xlfn.XLOOKUP(L695,Lookup_Tables!$D$2:$D$5,Lookup_Tables!$E$2:$E$5)</f>
        <v>High</v>
      </c>
    </row>
    <row r="696" spans="1:22">
      <c r="A696">
        <f>RAW_DATA!A696</f>
        <v>33</v>
      </c>
      <c r="B696" t="str">
        <f>RAW_DATA!B696</f>
        <v>No</v>
      </c>
      <c r="C696" t="str">
        <f>RAW_DATA!C696</f>
        <v>Research &amp; Development</v>
      </c>
      <c r="D696">
        <f>RAW_DATA!D696</f>
        <v>1</v>
      </c>
      <c r="E696">
        <f>RAW_DATA!E696</f>
        <v>3</v>
      </c>
      <c r="F696" t="str">
        <f>RAW_DATA!F696</f>
        <v>Life Sciences</v>
      </c>
      <c r="G696">
        <f>RAW_DATA!G696</f>
        <v>2</v>
      </c>
      <c r="H696">
        <f>RAW_DATA!H696</f>
        <v>4</v>
      </c>
      <c r="I696" t="str">
        <f>RAW_DATA!I696</f>
        <v>Single</v>
      </c>
      <c r="J696">
        <f>RAW_DATA!J696</f>
        <v>6949</v>
      </c>
      <c r="K696">
        <f>RAW_DATA!K696</f>
        <v>0</v>
      </c>
      <c r="L696">
        <f>RAW_DATA!L696</f>
        <v>3</v>
      </c>
      <c r="M696">
        <f>RAW_DATA!M696</f>
        <v>5</v>
      </c>
      <c r="N696">
        <f t="shared" si="20"/>
        <v>0</v>
      </c>
      <c r="O696" t="str">
        <f xml:space="preserve"> VLOOKUP(A696, Lookup_Tables!$G$2:$H$6,2,TRUE)</f>
        <v>25-34</v>
      </c>
      <c r="P696" t="str">
        <f>_xlfn.XLOOKUP(J696,Lookup_Tables!$J$2:$J$4,Lookup_Tables!$K$2:$K$4, " ",-1)</f>
        <v>Medium</v>
      </c>
      <c r="Q696" t="str">
        <f xml:space="preserve"> _xlfn.XLOOKUP(M696, Lookup_Tables!$M$2:$M$5,Lookup_Tables!$N$2:$N$5," ", -1)</f>
        <v>Established (5-10)</v>
      </c>
      <c r="R696" s="4">
        <f t="shared" si="21"/>
        <v>3</v>
      </c>
      <c r="S696" t="str">
        <f xml:space="preserve"> _xlfn.XLOOKUP( E696, Lookup_Tables!$A$2:$A$6,Lookup_Tables!$B$2:$B$6," ", -1)</f>
        <v>Bachelor</v>
      </c>
      <c r="T696" t="str">
        <f>_xlfn.XLOOKUP(G696,Lookup_Tables!$D$2:$D$5,Lookup_Tables!$E$2:$E$5)</f>
        <v>Medium</v>
      </c>
      <c r="U696" t="str">
        <f>_xlfn.XLOOKUP(H696,Lookup_Tables!$D$2:$D$5,Lookup_Tables!$E$2:$E$5)</f>
        <v>Very High</v>
      </c>
      <c r="V696" t="str">
        <f>_xlfn.XLOOKUP(L696,Lookup_Tables!$D$2:$D$5,Lookup_Tables!$E$2:$E$5)</f>
        <v>High</v>
      </c>
    </row>
    <row r="697" spans="1:22">
      <c r="A697">
        <f>RAW_DATA!A697</f>
        <v>37</v>
      </c>
      <c r="B697" t="str">
        <f>RAW_DATA!B697</f>
        <v>Yes</v>
      </c>
      <c r="C697" t="str">
        <f>RAW_DATA!C697</f>
        <v>Sales</v>
      </c>
      <c r="D697">
        <f>RAW_DATA!D697</f>
        <v>1</v>
      </c>
      <c r="E697">
        <f>RAW_DATA!E697</f>
        <v>4</v>
      </c>
      <c r="F697" t="str">
        <f>RAW_DATA!F697</f>
        <v>Life Sciences</v>
      </c>
      <c r="G697">
        <f>RAW_DATA!G697</f>
        <v>1</v>
      </c>
      <c r="H697">
        <f>RAW_DATA!H697</f>
        <v>3</v>
      </c>
      <c r="I697" t="str">
        <f>RAW_DATA!I697</f>
        <v>Married</v>
      </c>
      <c r="J697">
        <f>RAW_DATA!J697</f>
        <v>10609</v>
      </c>
      <c r="K697">
        <f>RAW_DATA!K697</f>
        <v>5</v>
      </c>
      <c r="L697">
        <f>RAW_DATA!L697</f>
        <v>1</v>
      </c>
      <c r="M697">
        <f>RAW_DATA!M697</f>
        <v>14</v>
      </c>
      <c r="N697">
        <f t="shared" si="20"/>
        <v>1</v>
      </c>
      <c r="O697" t="str">
        <f xml:space="preserve"> VLOOKUP(A697, Lookup_Tables!$G$2:$H$6,2,TRUE)</f>
        <v>35-44</v>
      </c>
      <c r="P697" t="str">
        <f>_xlfn.XLOOKUP(J697,Lookup_Tables!$J$2:$J$4,Lookup_Tables!$K$2:$K$4, " ",-1)</f>
        <v>High</v>
      </c>
      <c r="Q697" t="str">
        <f xml:space="preserve"> _xlfn.XLOOKUP(M697, Lookup_Tables!$M$2:$M$5,Lookup_Tables!$N$2:$N$5," ", -1)</f>
        <v>Veteran (10+)</v>
      </c>
      <c r="R697" s="4">
        <f t="shared" si="21"/>
        <v>1.6666666666666667</v>
      </c>
      <c r="S697" t="str">
        <f xml:space="preserve"> _xlfn.XLOOKUP( E697, Lookup_Tables!$A$2:$A$6,Lookup_Tables!$B$2:$B$6," ", -1)</f>
        <v>Master</v>
      </c>
      <c r="T697" t="str">
        <f>_xlfn.XLOOKUP(G697,Lookup_Tables!$D$2:$D$5,Lookup_Tables!$E$2:$E$5)</f>
        <v>Low</v>
      </c>
      <c r="U697" t="str">
        <f>_xlfn.XLOOKUP(H697,Lookup_Tables!$D$2:$D$5,Lookup_Tables!$E$2:$E$5)</f>
        <v>High</v>
      </c>
      <c r="V697" t="str">
        <f>_xlfn.XLOOKUP(L697,Lookup_Tables!$D$2:$D$5,Lookup_Tables!$E$2:$E$5)</f>
        <v>Low</v>
      </c>
    </row>
    <row r="698" spans="1:22">
      <c r="A698">
        <f>RAW_DATA!A698</f>
        <v>45</v>
      </c>
      <c r="B698" t="str">
        <f>RAW_DATA!B698</f>
        <v>No</v>
      </c>
      <c r="C698" t="str">
        <f>RAW_DATA!C698</f>
        <v>Research &amp; Development</v>
      </c>
      <c r="D698">
        <f>RAW_DATA!D698</f>
        <v>4</v>
      </c>
      <c r="E698">
        <f>RAW_DATA!E698</f>
        <v>2</v>
      </c>
      <c r="F698" t="str">
        <f>RAW_DATA!F698</f>
        <v>Life Sciences</v>
      </c>
      <c r="G698">
        <f>RAW_DATA!G698</f>
        <v>3</v>
      </c>
      <c r="H698">
        <f>RAW_DATA!H698</f>
        <v>2</v>
      </c>
      <c r="I698" t="str">
        <f>RAW_DATA!I698</f>
        <v>Married</v>
      </c>
      <c r="J698">
        <f>RAW_DATA!J698</f>
        <v>4447</v>
      </c>
      <c r="K698">
        <f>RAW_DATA!K698</f>
        <v>1</v>
      </c>
      <c r="L698">
        <f>RAW_DATA!L698</f>
        <v>2</v>
      </c>
      <c r="M698">
        <f>RAW_DATA!M698</f>
        <v>9</v>
      </c>
      <c r="N698">
        <f t="shared" si="20"/>
        <v>0</v>
      </c>
      <c r="O698" t="str">
        <f xml:space="preserve"> VLOOKUP(A698, Lookup_Tables!$G$2:$H$6,2,TRUE)</f>
        <v>45-54</v>
      </c>
      <c r="P698" t="str">
        <f>_xlfn.XLOOKUP(J698,Lookup_Tables!$J$2:$J$4,Lookup_Tables!$K$2:$K$4, " ",-1)</f>
        <v>Medium</v>
      </c>
      <c r="Q698" t="str">
        <f xml:space="preserve"> _xlfn.XLOOKUP(M698, Lookup_Tables!$M$2:$M$5,Lookup_Tables!$N$2:$N$5," ", -1)</f>
        <v>Established (5-10)</v>
      </c>
      <c r="R698" s="4">
        <f t="shared" si="21"/>
        <v>2.3333333333333335</v>
      </c>
      <c r="S698" t="str">
        <f xml:space="preserve"> _xlfn.XLOOKUP( E698, Lookup_Tables!$A$2:$A$6,Lookup_Tables!$B$2:$B$6," ", -1)</f>
        <v>College</v>
      </c>
      <c r="T698" t="str">
        <f>_xlfn.XLOOKUP(G698,Lookup_Tables!$D$2:$D$5,Lookup_Tables!$E$2:$E$5)</f>
        <v>High</v>
      </c>
      <c r="U698" t="str">
        <f>_xlfn.XLOOKUP(H698,Lookup_Tables!$D$2:$D$5,Lookup_Tables!$E$2:$E$5)</f>
        <v>Medium</v>
      </c>
      <c r="V698" t="str">
        <f>_xlfn.XLOOKUP(L698,Lookup_Tables!$D$2:$D$5,Lookup_Tables!$E$2:$E$5)</f>
        <v>Medium</v>
      </c>
    </row>
    <row r="699" spans="1:22">
      <c r="A699">
        <f>RAW_DATA!A699</f>
        <v>29</v>
      </c>
      <c r="B699" t="str">
        <f>RAW_DATA!B699</f>
        <v>No</v>
      </c>
      <c r="C699" t="str">
        <f>RAW_DATA!C699</f>
        <v>Sales</v>
      </c>
      <c r="D699">
        <f>RAW_DATA!D699</f>
        <v>20</v>
      </c>
      <c r="E699">
        <f>RAW_DATA!E699</f>
        <v>3</v>
      </c>
      <c r="F699" t="str">
        <f>RAW_DATA!F699</f>
        <v>Technical Degree</v>
      </c>
      <c r="G699">
        <f>RAW_DATA!G699</f>
        <v>3</v>
      </c>
      <c r="H699">
        <f>RAW_DATA!H699</f>
        <v>4</v>
      </c>
      <c r="I699" t="str">
        <f>RAW_DATA!I699</f>
        <v>Married</v>
      </c>
      <c r="J699">
        <f>RAW_DATA!J699</f>
        <v>2157</v>
      </c>
      <c r="K699">
        <f>RAW_DATA!K699</f>
        <v>1</v>
      </c>
      <c r="L699">
        <f>RAW_DATA!L699</f>
        <v>3</v>
      </c>
      <c r="M699">
        <f>RAW_DATA!M699</f>
        <v>3</v>
      </c>
      <c r="N699">
        <f t="shared" si="20"/>
        <v>0</v>
      </c>
      <c r="O699" t="str">
        <f xml:space="preserve"> VLOOKUP(A699, Lookup_Tables!$G$2:$H$6,2,TRUE)</f>
        <v>25-34</v>
      </c>
      <c r="P699" t="str">
        <f>_xlfn.XLOOKUP(J699,Lookup_Tables!$J$2:$J$4,Lookup_Tables!$K$2:$K$4, " ",-1)</f>
        <v>Low</v>
      </c>
      <c r="Q699" t="str">
        <f xml:space="preserve"> _xlfn.XLOOKUP(M699, Lookup_Tables!$M$2:$M$5,Lookup_Tables!$N$2:$N$5," ", -1)</f>
        <v>Early (2-5)</v>
      </c>
      <c r="R699" s="4">
        <f t="shared" si="21"/>
        <v>3.3333333333333335</v>
      </c>
      <c r="S699" t="str">
        <f xml:space="preserve"> _xlfn.XLOOKUP( E699, Lookup_Tables!$A$2:$A$6,Lookup_Tables!$B$2:$B$6," ", -1)</f>
        <v>Bachelor</v>
      </c>
      <c r="T699" t="str">
        <f>_xlfn.XLOOKUP(G699,Lookup_Tables!$D$2:$D$5,Lookup_Tables!$E$2:$E$5)</f>
        <v>High</v>
      </c>
      <c r="U699" t="str">
        <f>_xlfn.XLOOKUP(H699,Lookup_Tables!$D$2:$D$5,Lookup_Tables!$E$2:$E$5)</f>
        <v>Very High</v>
      </c>
      <c r="V699" t="str">
        <f>_xlfn.XLOOKUP(L699,Lookup_Tables!$D$2:$D$5,Lookup_Tables!$E$2:$E$5)</f>
        <v>High</v>
      </c>
    </row>
    <row r="700" spans="1:22">
      <c r="A700">
        <f>RAW_DATA!A700</f>
        <v>35</v>
      </c>
      <c r="B700" t="str">
        <f>RAW_DATA!B700</f>
        <v>No</v>
      </c>
      <c r="C700" t="str">
        <f>RAW_DATA!C700</f>
        <v>Sales</v>
      </c>
      <c r="D700">
        <f>RAW_DATA!D700</f>
        <v>18</v>
      </c>
      <c r="E700">
        <f>RAW_DATA!E700</f>
        <v>3</v>
      </c>
      <c r="F700" t="str">
        <f>RAW_DATA!F700</f>
        <v>Medical</v>
      </c>
      <c r="G700">
        <f>RAW_DATA!G700</f>
        <v>3</v>
      </c>
      <c r="H700">
        <f>RAW_DATA!H700</f>
        <v>3</v>
      </c>
      <c r="I700" t="str">
        <f>RAW_DATA!I700</f>
        <v>Married</v>
      </c>
      <c r="J700">
        <f>RAW_DATA!J700</f>
        <v>4601</v>
      </c>
      <c r="K700">
        <f>RAW_DATA!K700</f>
        <v>1</v>
      </c>
      <c r="L700">
        <f>RAW_DATA!L700</f>
        <v>3</v>
      </c>
      <c r="M700">
        <f>RAW_DATA!M700</f>
        <v>5</v>
      </c>
      <c r="N700">
        <f t="shared" si="20"/>
        <v>0</v>
      </c>
      <c r="O700" t="str">
        <f xml:space="preserve"> VLOOKUP(A700, Lookup_Tables!$G$2:$H$6,2,TRUE)</f>
        <v>35-44</v>
      </c>
      <c r="P700" t="str">
        <f>_xlfn.XLOOKUP(J700,Lookup_Tables!$J$2:$J$4,Lookup_Tables!$K$2:$K$4, " ",-1)</f>
        <v>Medium</v>
      </c>
      <c r="Q700" t="str">
        <f xml:space="preserve"> _xlfn.XLOOKUP(M700, Lookup_Tables!$M$2:$M$5,Lookup_Tables!$N$2:$N$5," ", -1)</f>
        <v>Established (5-10)</v>
      </c>
      <c r="R700" s="4">
        <f t="shared" si="21"/>
        <v>3</v>
      </c>
      <c r="S700" t="str">
        <f xml:space="preserve"> _xlfn.XLOOKUP( E700, Lookup_Tables!$A$2:$A$6,Lookup_Tables!$B$2:$B$6," ", -1)</f>
        <v>Bachelor</v>
      </c>
      <c r="T700" t="str">
        <f>_xlfn.XLOOKUP(G700,Lookup_Tables!$D$2:$D$5,Lookup_Tables!$E$2:$E$5)</f>
        <v>High</v>
      </c>
      <c r="U700" t="str">
        <f>_xlfn.XLOOKUP(H700,Lookup_Tables!$D$2:$D$5,Lookup_Tables!$E$2:$E$5)</f>
        <v>High</v>
      </c>
      <c r="V700" t="str">
        <f>_xlfn.XLOOKUP(L700,Lookup_Tables!$D$2:$D$5,Lookup_Tables!$E$2:$E$5)</f>
        <v>High</v>
      </c>
    </row>
    <row r="701" spans="1:22">
      <c r="A701">
        <f>RAW_DATA!A701</f>
        <v>52</v>
      </c>
      <c r="B701" t="str">
        <f>RAW_DATA!B701</f>
        <v>No</v>
      </c>
      <c r="C701" t="str">
        <f>RAW_DATA!C701</f>
        <v>Research &amp; Development</v>
      </c>
      <c r="D701">
        <f>RAW_DATA!D701</f>
        <v>1</v>
      </c>
      <c r="E701">
        <f>RAW_DATA!E701</f>
        <v>2</v>
      </c>
      <c r="F701" t="str">
        <f>RAW_DATA!F701</f>
        <v>Life Sciences</v>
      </c>
      <c r="G701">
        <f>RAW_DATA!G701</f>
        <v>4</v>
      </c>
      <c r="H701">
        <f>RAW_DATA!H701</f>
        <v>4</v>
      </c>
      <c r="I701" t="str">
        <f>RAW_DATA!I701</f>
        <v>Married</v>
      </c>
      <c r="J701">
        <f>RAW_DATA!J701</f>
        <v>17099</v>
      </c>
      <c r="K701">
        <f>RAW_DATA!K701</f>
        <v>2</v>
      </c>
      <c r="L701">
        <f>RAW_DATA!L701</f>
        <v>2</v>
      </c>
      <c r="M701">
        <f>RAW_DATA!M701</f>
        <v>9</v>
      </c>
      <c r="N701">
        <f t="shared" si="20"/>
        <v>0</v>
      </c>
      <c r="O701" t="str">
        <f xml:space="preserve"> VLOOKUP(A701, Lookup_Tables!$G$2:$H$6,2,TRUE)</f>
        <v>45-54</v>
      </c>
      <c r="P701" t="str">
        <f>_xlfn.XLOOKUP(J701,Lookup_Tables!$J$2:$J$4,Lookup_Tables!$K$2:$K$4, " ",-1)</f>
        <v>High</v>
      </c>
      <c r="Q701" t="str">
        <f xml:space="preserve"> _xlfn.XLOOKUP(M701, Lookup_Tables!$M$2:$M$5,Lookup_Tables!$N$2:$N$5," ", -1)</f>
        <v>Established (5-10)</v>
      </c>
      <c r="R701" s="4">
        <f t="shared" si="21"/>
        <v>3.3333333333333335</v>
      </c>
      <c r="S701" t="str">
        <f xml:space="preserve"> _xlfn.XLOOKUP( E701, Lookup_Tables!$A$2:$A$6,Lookup_Tables!$B$2:$B$6," ", -1)</f>
        <v>College</v>
      </c>
      <c r="T701" t="str">
        <f>_xlfn.XLOOKUP(G701,Lookup_Tables!$D$2:$D$5,Lookup_Tables!$E$2:$E$5)</f>
        <v>Very High</v>
      </c>
      <c r="U701" t="str">
        <f>_xlfn.XLOOKUP(H701,Lookup_Tables!$D$2:$D$5,Lookup_Tables!$E$2:$E$5)</f>
        <v>Very High</v>
      </c>
      <c r="V701" t="str">
        <f>_xlfn.XLOOKUP(L701,Lookup_Tables!$D$2:$D$5,Lookup_Tables!$E$2:$E$5)</f>
        <v>Medium</v>
      </c>
    </row>
    <row r="702" spans="1:22">
      <c r="A702">
        <f>RAW_DATA!A702</f>
        <v>58</v>
      </c>
      <c r="B702" t="str">
        <f>RAW_DATA!B702</f>
        <v>Yes</v>
      </c>
      <c r="C702" t="str">
        <f>RAW_DATA!C702</f>
        <v>Research &amp; Development</v>
      </c>
      <c r="D702">
        <f>RAW_DATA!D702</f>
        <v>2</v>
      </c>
      <c r="E702">
        <f>RAW_DATA!E702</f>
        <v>3</v>
      </c>
      <c r="F702" t="str">
        <f>RAW_DATA!F702</f>
        <v>Technical Degree</v>
      </c>
      <c r="G702">
        <f>RAW_DATA!G702</f>
        <v>4</v>
      </c>
      <c r="H702">
        <f>RAW_DATA!H702</f>
        <v>3</v>
      </c>
      <c r="I702" t="str">
        <f>RAW_DATA!I702</f>
        <v>Single</v>
      </c>
      <c r="J702">
        <f>RAW_DATA!J702</f>
        <v>2479</v>
      </c>
      <c r="K702">
        <f>RAW_DATA!K702</f>
        <v>4</v>
      </c>
      <c r="L702">
        <f>RAW_DATA!L702</f>
        <v>3</v>
      </c>
      <c r="M702">
        <f>RAW_DATA!M702</f>
        <v>1</v>
      </c>
      <c r="N702">
        <f t="shared" si="20"/>
        <v>1</v>
      </c>
      <c r="O702" t="str">
        <f xml:space="preserve"> VLOOKUP(A702, Lookup_Tables!$G$2:$H$6,2,TRUE)</f>
        <v>55+</v>
      </c>
      <c r="P702" t="str">
        <f>_xlfn.XLOOKUP(J702,Lookup_Tables!$J$2:$J$4,Lookup_Tables!$K$2:$K$4, " ",-1)</f>
        <v>Low</v>
      </c>
      <c r="Q702" t="str">
        <f xml:space="preserve"> _xlfn.XLOOKUP(M702, Lookup_Tables!$M$2:$M$5,Lookup_Tables!$N$2:$N$5," ", -1)</f>
        <v>New (0-2)</v>
      </c>
      <c r="R702" s="4">
        <f t="shared" si="21"/>
        <v>3.3333333333333335</v>
      </c>
      <c r="S702" t="str">
        <f xml:space="preserve"> _xlfn.XLOOKUP( E702, Lookup_Tables!$A$2:$A$6,Lookup_Tables!$B$2:$B$6," ", -1)</f>
        <v>Bachelor</v>
      </c>
      <c r="T702" t="str">
        <f>_xlfn.XLOOKUP(G702,Lookup_Tables!$D$2:$D$5,Lookup_Tables!$E$2:$E$5)</f>
        <v>Very High</v>
      </c>
      <c r="U702" t="str">
        <f>_xlfn.XLOOKUP(H702,Lookup_Tables!$D$2:$D$5,Lookup_Tables!$E$2:$E$5)</f>
        <v>High</v>
      </c>
      <c r="V702" t="str">
        <f>_xlfn.XLOOKUP(L702,Lookup_Tables!$D$2:$D$5,Lookup_Tables!$E$2:$E$5)</f>
        <v>High</v>
      </c>
    </row>
    <row r="703" spans="1:22">
      <c r="A703">
        <f>RAW_DATA!A703</f>
        <v>53</v>
      </c>
      <c r="B703" t="str">
        <f>RAW_DATA!B703</f>
        <v>No</v>
      </c>
      <c r="C703" t="str">
        <f>RAW_DATA!C703</f>
        <v>Sales</v>
      </c>
      <c r="D703">
        <f>RAW_DATA!D703</f>
        <v>2</v>
      </c>
      <c r="E703">
        <f>RAW_DATA!E703</f>
        <v>2</v>
      </c>
      <c r="F703" t="str">
        <f>RAW_DATA!F703</f>
        <v>Medical</v>
      </c>
      <c r="G703">
        <f>RAW_DATA!G703</f>
        <v>3</v>
      </c>
      <c r="H703">
        <f>RAW_DATA!H703</f>
        <v>3</v>
      </c>
      <c r="I703" t="str">
        <f>RAW_DATA!I703</f>
        <v>Divorced</v>
      </c>
      <c r="J703">
        <f>RAW_DATA!J703</f>
        <v>14852</v>
      </c>
      <c r="K703">
        <f>RAW_DATA!K703</f>
        <v>6</v>
      </c>
      <c r="L703">
        <f>RAW_DATA!L703</f>
        <v>4</v>
      </c>
      <c r="M703">
        <f>RAW_DATA!M703</f>
        <v>17</v>
      </c>
      <c r="N703">
        <f t="shared" si="20"/>
        <v>0</v>
      </c>
      <c r="O703" t="str">
        <f xml:space="preserve"> VLOOKUP(A703, Lookup_Tables!$G$2:$H$6,2,TRUE)</f>
        <v>45-54</v>
      </c>
      <c r="P703" t="str">
        <f>_xlfn.XLOOKUP(J703,Lookup_Tables!$J$2:$J$4,Lookup_Tables!$K$2:$K$4, " ",-1)</f>
        <v>High</v>
      </c>
      <c r="Q703" t="str">
        <f xml:space="preserve"> _xlfn.XLOOKUP(M703, Lookup_Tables!$M$2:$M$5,Lookup_Tables!$N$2:$N$5," ", -1)</f>
        <v>Veteran (10+)</v>
      </c>
      <c r="R703" s="4">
        <f t="shared" si="21"/>
        <v>3.3333333333333335</v>
      </c>
      <c r="S703" t="str">
        <f xml:space="preserve"> _xlfn.XLOOKUP( E703, Lookup_Tables!$A$2:$A$6,Lookup_Tables!$B$2:$B$6," ", -1)</f>
        <v>College</v>
      </c>
      <c r="T703" t="str">
        <f>_xlfn.XLOOKUP(G703,Lookup_Tables!$D$2:$D$5,Lookup_Tables!$E$2:$E$5)</f>
        <v>High</v>
      </c>
      <c r="U703" t="str">
        <f>_xlfn.XLOOKUP(H703,Lookup_Tables!$D$2:$D$5,Lookup_Tables!$E$2:$E$5)</f>
        <v>High</v>
      </c>
      <c r="V703" t="str">
        <f>_xlfn.XLOOKUP(L703,Lookup_Tables!$D$2:$D$5,Lookup_Tables!$E$2:$E$5)</f>
        <v>Very High</v>
      </c>
    </row>
    <row r="704" spans="1:22">
      <c r="A704">
        <f>RAW_DATA!A704</f>
        <v>30</v>
      </c>
      <c r="B704" t="str">
        <f>RAW_DATA!B704</f>
        <v>No</v>
      </c>
      <c r="C704" t="str">
        <f>RAW_DATA!C704</f>
        <v>Sales</v>
      </c>
      <c r="D704">
        <f>RAW_DATA!D704</f>
        <v>8</v>
      </c>
      <c r="E704">
        <f>RAW_DATA!E704</f>
        <v>2</v>
      </c>
      <c r="F704" t="str">
        <f>RAW_DATA!F704</f>
        <v>Other</v>
      </c>
      <c r="G704">
        <f>RAW_DATA!G704</f>
        <v>3</v>
      </c>
      <c r="H704">
        <f>RAW_DATA!H704</f>
        <v>3</v>
      </c>
      <c r="I704" t="str">
        <f>RAW_DATA!I704</f>
        <v>Divorced</v>
      </c>
      <c r="J704">
        <f>RAW_DATA!J704</f>
        <v>7264</v>
      </c>
      <c r="K704">
        <f>RAW_DATA!K704</f>
        <v>5</v>
      </c>
      <c r="L704">
        <f>RAW_DATA!L704</f>
        <v>4</v>
      </c>
      <c r="M704">
        <f>RAW_DATA!M704</f>
        <v>8</v>
      </c>
      <c r="N704">
        <f t="shared" si="20"/>
        <v>0</v>
      </c>
      <c r="O704" t="str">
        <f xml:space="preserve"> VLOOKUP(A704, Lookup_Tables!$G$2:$H$6,2,TRUE)</f>
        <v>25-34</v>
      </c>
      <c r="P704" t="str">
        <f>_xlfn.XLOOKUP(J704,Lookup_Tables!$J$2:$J$4,Lookup_Tables!$K$2:$K$4, " ",-1)</f>
        <v>High</v>
      </c>
      <c r="Q704" t="str">
        <f xml:space="preserve"> _xlfn.XLOOKUP(M704, Lookup_Tables!$M$2:$M$5,Lookup_Tables!$N$2:$N$5," ", -1)</f>
        <v>Established (5-10)</v>
      </c>
      <c r="R704" s="4">
        <f t="shared" si="21"/>
        <v>3.3333333333333335</v>
      </c>
      <c r="S704" t="str">
        <f xml:space="preserve"> _xlfn.XLOOKUP( E704, Lookup_Tables!$A$2:$A$6,Lookup_Tables!$B$2:$B$6," ", -1)</f>
        <v>College</v>
      </c>
      <c r="T704" t="str">
        <f>_xlfn.XLOOKUP(G704,Lookup_Tables!$D$2:$D$5,Lookup_Tables!$E$2:$E$5)</f>
        <v>High</v>
      </c>
      <c r="U704" t="str">
        <f>_xlfn.XLOOKUP(H704,Lookup_Tables!$D$2:$D$5,Lookup_Tables!$E$2:$E$5)</f>
        <v>High</v>
      </c>
      <c r="V704" t="str">
        <f>_xlfn.XLOOKUP(L704,Lookup_Tables!$D$2:$D$5,Lookup_Tables!$E$2:$E$5)</f>
        <v>Very High</v>
      </c>
    </row>
    <row r="705" spans="1:22">
      <c r="A705">
        <f>RAW_DATA!A705</f>
        <v>38</v>
      </c>
      <c r="B705" t="str">
        <f>RAW_DATA!B705</f>
        <v>No</v>
      </c>
      <c r="C705" t="str">
        <f>RAW_DATA!C705</f>
        <v>Sales</v>
      </c>
      <c r="D705">
        <f>RAW_DATA!D705</f>
        <v>10</v>
      </c>
      <c r="E705">
        <f>RAW_DATA!E705</f>
        <v>3</v>
      </c>
      <c r="F705" t="str">
        <f>RAW_DATA!F705</f>
        <v>Technical Degree</v>
      </c>
      <c r="G705">
        <f>RAW_DATA!G705</f>
        <v>3</v>
      </c>
      <c r="H705">
        <f>RAW_DATA!H705</f>
        <v>4</v>
      </c>
      <c r="I705" t="str">
        <f>RAW_DATA!I705</f>
        <v>Single</v>
      </c>
      <c r="J705">
        <f>RAW_DATA!J705</f>
        <v>5666</v>
      </c>
      <c r="K705">
        <f>RAW_DATA!K705</f>
        <v>1</v>
      </c>
      <c r="L705">
        <f>RAW_DATA!L705</f>
        <v>3</v>
      </c>
      <c r="M705">
        <f>RAW_DATA!M705</f>
        <v>5</v>
      </c>
      <c r="N705">
        <f t="shared" si="20"/>
        <v>0</v>
      </c>
      <c r="O705" t="str">
        <f xml:space="preserve"> VLOOKUP(A705, Lookup_Tables!$G$2:$H$6,2,TRUE)</f>
        <v>35-44</v>
      </c>
      <c r="P705" t="str">
        <f>_xlfn.XLOOKUP(J705,Lookup_Tables!$J$2:$J$4,Lookup_Tables!$K$2:$K$4, " ",-1)</f>
        <v>Medium</v>
      </c>
      <c r="Q705" t="str">
        <f xml:space="preserve"> _xlfn.XLOOKUP(M705, Lookup_Tables!$M$2:$M$5,Lookup_Tables!$N$2:$N$5," ", -1)</f>
        <v>Established (5-10)</v>
      </c>
      <c r="R705" s="4">
        <f t="shared" si="21"/>
        <v>3.3333333333333335</v>
      </c>
      <c r="S705" t="str">
        <f xml:space="preserve"> _xlfn.XLOOKUP( E705, Lookup_Tables!$A$2:$A$6,Lookup_Tables!$B$2:$B$6," ", -1)</f>
        <v>Bachelor</v>
      </c>
      <c r="T705" t="str">
        <f>_xlfn.XLOOKUP(G705,Lookup_Tables!$D$2:$D$5,Lookup_Tables!$E$2:$E$5)</f>
        <v>High</v>
      </c>
      <c r="U705" t="str">
        <f>_xlfn.XLOOKUP(H705,Lookup_Tables!$D$2:$D$5,Lookup_Tables!$E$2:$E$5)</f>
        <v>Very High</v>
      </c>
      <c r="V705" t="str">
        <f>_xlfn.XLOOKUP(L705,Lookup_Tables!$D$2:$D$5,Lookup_Tables!$E$2:$E$5)</f>
        <v>High</v>
      </c>
    </row>
    <row r="706" spans="1:22">
      <c r="A706">
        <f>RAW_DATA!A706</f>
        <v>35</v>
      </c>
      <c r="B706" t="str">
        <f>RAW_DATA!B706</f>
        <v>No</v>
      </c>
      <c r="C706" t="str">
        <f>RAW_DATA!C706</f>
        <v>Sales</v>
      </c>
      <c r="D706">
        <f>RAW_DATA!D706</f>
        <v>3</v>
      </c>
      <c r="E706">
        <f>RAW_DATA!E706</f>
        <v>4</v>
      </c>
      <c r="F706" t="str">
        <f>RAW_DATA!F706</f>
        <v>Life Sciences</v>
      </c>
      <c r="G706">
        <f>RAW_DATA!G706</f>
        <v>4</v>
      </c>
      <c r="H706">
        <f>RAW_DATA!H706</f>
        <v>4</v>
      </c>
      <c r="I706" t="str">
        <f>RAW_DATA!I706</f>
        <v>Divorced</v>
      </c>
      <c r="J706">
        <f>RAW_DATA!J706</f>
        <v>7823</v>
      </c>
      <c r="K706">
        <f>RAW_DATA!K706</f>
        <v>6</v>
      </c>
      <c r="L706">
        <f>RAW_DATA!L706</f>
        <v>3</v>
      </c>
      <c r="M706">
        <f>RAW_DATA!M706</f>
        <v>10</v>
      </c>
      <c r="N706">
        <f t="shared" si="20"/>
        <v>0</v>
      </c>
      <c r="O706" t="str">
        <f xml:space="preserve"> VLOOKUP(A706, Lookup_Tables!$G$2:$H$6,2,TRUE)</f>
        <v>35-44</v>
      </c>
      <c r="P706" t="str">
        <f>_xlfn.XLOOKUP(J706,Lookup_Tables!$J$2:$J$4,Lookup_Tables!$K$2:$K$4, " ",-1)</f>
        <v>High</v>
      </c>
      <c r="Q706" t="str">
        <f xml:space="preserve"> _xlfn.XLOOKUP(M706, Lookup_Tables!$M$2:$M$5,Lookup_Tables!$N$2:$N$5," ", -1)</f>
        <v>Veteran (10+)</v>
      </c>
      <c r="R706" s="4">
        <f t="shared" si="21"/>
        <v>3.6666666666666665</v>
      </c>
      <c r="S706" t="str">
        <f xml:space="preserve"> _xlfn.XLOOKUP( E706, Lookup_Tables!$A$2:$A$6,Lookup_Tables!$B$2:$B$6," ", -1)</f>
        <v>Master</v>
      </c>
      <c r="T706" t="str">
        <f>_xlfn.XLOOKUP(G706,Lookup_Tables!$D$2:$D$5,Lookup_Tables!$E$2:$E$5)</f>
        <v>Very High</v>
      </c>
      <c r="U706" t="str">
        <f>_xlfn.XLOOKUP(H706,Lookup_Tables!$D$2:$D$5,Lookup_Tables!$E$2:$E$5)</f>
        <v>Very High</v>
      </c>
      <c r="V706" t="str">
        <f>_xlfn.XLOOKUP(L706,Lookup_Tables!$D$2:$D$5,Lookup_Tables!$E$2:$E$5)</f>
        <v>High</v>
      </c>
    </row>
    <row r="707" spans="1:22">
      <c r="A707">
        <f>RAW_DATA!A707</f>
        <v>39</v>
      </c>
      <c r="B707" t="str">
        <f>RAW_DATA!B707</f>
        <v>No</v>
      </c>
      <c r="C707" t="str">
        <f>RAW_DATA!C707</f>
        <v>Sales</v>
      </c>
      <c r="D707">
        <f>RAW_DATA!D707</f>
        <v>2</v>
      </c>
      <c r="E707">
        <f>RAW_DATA!E707</f>
        <v>5</v>
      </c>
      <c r="F707" t="str">
        <f>RAW_DATA!F707</f>
        <v>Life Sciences</v>
      </c>
      <c r="G707">
        <f>RAW_DATA!G707</f>
        <v>1</v>
      </c>
      <c r="H707">
        <f>RAW_DATA!H707</f>
        <v>3</v>
      </c>
      <c r="I707" t="str">
        <f>RAW_DATA!I707</f>
        <v>Single</v>
      </c>
      <c r="J707">
        <f>RAW_DATA!J707</f>
        <v>7880</v>
      </c>
      <c r="K707">
        <f>RAW_DATA!K707</f>
        <v>0</v>
      </c>
      <c r="L707">
        <f>RAW_DATA!L707</f>
        <v>3</v>
      </c>
      <c r="M707">
        <f>RAW_DATA!M707</f>
        <v>8</v>
      </c>
      <c r="N707">
        <f t="shared" ref="N707:N770" si="22" xml:space="preserve"> IF(B707 ="Yes",1,0)</f>
        <v>0</v>
      </c>
      <c r="O707" t="str">
        <f xml:space="preserve"> VLOOKUP(A707, Lookup_Tables!$G$2:$H$6,2,TRUE)</f>
        <v>35-44</v>
      </c>
      <c r="P707" t="str">
        <f>_xlfn.XLOOKUP(J707,Lookup_Tables!$J$2:$J$4,Lookup_Tables!$K$2:$K$4, " ",-1)</f>
        <v>High</v>
      </c>
      <c r="Q707" t="str">
        <f xml:space="preserve"> _xlfn.XLOOKUP(M707, Lookup_Tables!$M$2:$M$5,Lookup_Tables!$N$2:$N$5," ", -1)</f>
        <v>Established (5-10)</v>
      </c>
      <c r="R707" s="4">
        <f t="shared" ref="R707:R770" si="23">AVERAGE(G707,H707,L707)</f>
        <v>2.3333333333333335</v>
      </c>
      <c r="S707" t="str">
        <f xml:space="preserve"> _xlfn.XLOOKUP( E707, Lookup_Tables!$A$2:$A$6,Lookup_Tables!$B$2:$B$6," ", -1)</f>
        <v>Doctor</v>
      </c>
      <c r="T707" t="str">
        <f>_xlfn.XLOOKUP(G707,Lookup_Tables!$D$2:$D$5,Lookup_Tables!$E$2:$E$5)</f>
        <v>Low</v>
      </c>
      <c r="U707" t="str">
        <f>_xlfn.XLOOKUP(H707,Lookup_Tables!$D$2:$D$5,Lookup_Tables!$E$2:$E$5)</f>
        <v>High</v>
      </c>
      <c r="V707" t="str">
        <f>_xlfn.XLOOKUP(L707,Lookup_Tables!$D$2:$D$5,Lookup_Tables!$E$2:$E$5)</f>
        <v>High</v>
      </c>
    </row>
    <row r="708" spans="1:22">
      <c r="A708">
        <f>RAW_DATA!A708</f>
        <v>40</v>
      </c>
      <c r="B708" t="str">
        <f>RAW_DATA!B708</f>
        <v>Yes</v>
      </c>
      <c r="C708" t="str">
        <f>RAW_DATA!C708</f>
        <v>Sales</v>
      </c>
      <c r="D708">
        <f>RAW_DATA!D708</f>
        <v>24</v>
      </c>
      <c r="E708">
        <f>RAW_DATA!E708</f>
        <v>3</v>
      </c>
      <c r="F708" t="str">
        <f>RAW_DATA!F708</f>
        <v>Life Sciences</v>
      </c>
      <c r="G708">
        <f>RAW_DATA!G708</f>
        <v>2</v>
      </c>
      <c r="H708">
        <f>RAW_DATA!H708</f>
        <v>2</v>
      </c>
      <c r="I708" t="str">
        <f>RAW_DATA!I708</f>
        <v>Single</v>
      </c>
      <c r="J708">
        <f>RAW_DATA!J708</f>
        <v>13194</v>
      </c>
      <c r="K708">
        <f>RAW_DATA!K708</f>
        <v>4</v>
      </c>
      <c r="L708">
        <f>RAW_DATA!L708</f>
        <v>2</v>
      </c>
      <c r="M708">
        <f>RAW_DATA!M708</f>
        <v>1</v>
      </c>
      <c r="N708">
        <f t="shared" si="22"/>
        <v>1</v>
      </c>
      <c r="O708" t="str">
        <f xml:space="preserve"> VLOOKUP(A708, Lookup_Tables!$G$2:$H$6,2,TRUE)</f>
        <v>35-44</v>
      </c>
      <c r="P708" t="str">
        <f>_xlfn.XLOOKUP(J708,Lookup_Tables!$J$2:$J$4,Lookup_Tables!$K$2:$K$4, " ",-1)</f>
        <v>High</v>
      </c>
      <c r="Q708" t="str">
        <f xml:space="preserve"> _xlfn.XLOOKUP(M708, Lookup_Tables!$M$2:$M$5,Lookup_Tables!$N$2:$N$5," ", -1)</f>
        <v>New (0-2)</v>
      </c>
      <c r="R708" s="4">
        <f t="shared" si="23"/>
        <v>2</v>
      </c>
      <c r="S708" t="str">
        <f xml:space="preserve"> _xlfn.XLOOKUP( E708, Lookup_Tables!$A$2:$A$6,Lookup_Tables!$B$2:$B$6," ", -1)</f>
        <v>Bachelor</v>
      </c>
      <c r="T708" t="str">
        <f>_xlfn.XLOOKUP(G708,Lookup_Tables!$D$2:$D$5,Lookup_Tables!$E$2:$E$5)</f>
        <v>Medium</v>
      </c>
      <c r="U708" t="str">
        <f>_xlfn.XLOOKUP(H708,Lookup_Tables!$D$2:$D$5,Lookup_Tables!$E$2:$E$5)</f>
        <v>Medium</v>
      </c>
      <c r="V708" t="str">
        <f>_xlfn.XLOOKUP(L708,Lookup_Tables!$D$2:$D$5,Lookup_Tables!$E$2:$E$5)</f>
        <v>Medium</v>
      </c>
    </row>
    <row r="709" spans="1:22">
      <c r="A709">
        <f>RAW_DATA!A709</f>
        <v>47</v>
      </c>
      <c r="B709" t="str">
        <f>RAW_DATA!B709</f>
        <v>No</v>
      </c>
      <c r="C709" t="str">
        <f>RAW_DATA!C709</f>
        <v>Research &amp; Development</v>
      </c>
      <c r="D709">
        <f>RAW_DATA!D709</f>
        <v>16</v>
      </c>
      <c r="E709">
        <f>RAW_DATA!E709</f>
        <v>4</v>
      </c>
      <c r="F709" t="str">
        <f>RAW_DATA!F709</f>
        <v>Medical</v>
      </c>
      <c r="G709">
        <f>RAW_DATA!G709</f>
        <v>3</v>
      </c>
      <c r="H709">
        <f>RAW_DATA!H709</f>
        <v>3</v>
      </c>
      <c r="I709" t="str">
        <f>RAW_DATA!I709</f>
        <v>Divorced</v>
      </c>
      <c r="J709">
        <f>RAW_DATA!J709</f>
        <v>5067</v>
      </c>
      <c r="K709">
        <f>RAW_DATA!K709</f>
        <v>1</v>
      </c>
      <c r="L709">
        <f>RAW_DATA!L709</f>
        <v>4</v>
      </c>
      <c r="M709">
        <f>RAW_DATA!M709</f>
        <v>19</v>
      </c>
      <c r="N709">
        <f t="shared" si="22"/>
        <v>0</v>
      </c>
      <c r="O709" t="str">
        <f xml:space="preserve"> VLOOKUP(A709, Lookup_Tables!$G$2:$H$6,2,TRUE)</f>
        <v>45-54</v>
      </c>
      <c r="P709" t="str">
        <f>_xlfn.XLOOKUP(J709,Lookup_Tables!$J$2:$J$4,Lookup_Tables!$K$2:$K$4, " ",-1)</f>
        <v>Medium</v>
      </c>
      <c r="Q709" t="str">
        <f xml:space="preserve"> _xlfn.XLOOKUP(M709, Lookup_Tables!$M$2:$M$5,Lookup_Tables!$N$2:$N$5," ", -1)</f>
        <v>Veteran (10+)</v>
      </c>
      <c r="R709" s="4">
        <f t="shared" si="23"/>
        <v>3.3333333333333335</v>
      </c>
      <c r="S709" t="str">
        <f xml:space="preserve"> _xlfn.XLOOKUP( E709, Lookup_Tables!$A$2:$A$6,Lookup_Tables!$B$2:$B$6," ", -1)</f>
        <v>Master</v>
      </c>
      <c r="T709" t="str">
        <f>_xlfn.XLOOKUP(G709,Lookup_Tables!$D$2:$D$5,Lookup_Tables!$E$2:$E$5)</f>
        <v>High</v>
      </c>
      <c r="U709" t="str">
        <f>_xlfn.XLOOKUP(H709,Lookup_Tables!$D$2:$D$5,Lookup_Tables!$E$2:$E$5)</f>
        <v>High</v>
      </c>
      <c r="V709" t="str">
        <f>_xlfn.XLOOKUP(L709,Lookup_Tables!$D$2:$D$5,Lookup_Tables!$E$2:$E$5)</f>
        <v>Very High</v>
      </c>
    </row>
    <row r="710" spans="1:22">
      <c r="A710">
        <f>RAW_DATA!A710</f>
        <v>36</v>
      </c>
      <c r="B710" t="str">
        <f>RAW_DATA!B710</f>
        <v>No</v>
      </c>
      <c r="C710" t="str">
        <f>RAW_DATA!C710</f>
        <v>Sales</v>
      </c>
      <c r="D710">
        <f>RAW_DATA!D710</f>
        <v>8</v>
      </c>
      <c r="E710">
        <f>RAW_DATA!E710</f>
        <v>4</v>
      </c>
      <c r="F710" t="str">
        <f>RAW_DATA!F710</f>
        <v>Technical Degree</v>
      </c>
      <c r="G710">
        <f>RAW_DATA!G710</f>
        <v>1</v>
      </c>
      <c r="H710">
        <f>RAW_DATA!H710</f>
        <v>4</v>
      </c>
      <c r="I710" t="str">
        <f>RAW_DATA!I710</f>
        <v>Divorced</v>
      </c>
      <c r="J710">
        <f>RAW_DATA!J710</f>
        <v>5079</v>
      </c>
      <c r="K710">
        <f>RAW_DATA!K710</f>
        <v>4</v>
      </c>
      <c r="L710">
        <f>RAW_DATA!L710</f>
        <v>3</v>
      </c>
      <c r="M710">
        <f>RAW_DATA!M710</f>
        <v>7</v>
      </c>
      <c r="N710">
        <f t="shared" si="22"/>
        <v>0</v>
      </c>
      <c r="O710" t="str">
        <f xml:space="preserve"> VLOOKUP(A710, Lookup_Tables!$G$2:$H$6,2,TRUE)</f>
        <v>35-44</v>
      </c>
      <c r="P710" t="str">
        <f>_xlfn.XLOOKUP(J710,Lookup_Tables!$J$2:$J$4,Lookup_Tables!$K$2:$K$4, " ",-1)</f>
        <v>Medium</v>
      </c>
      <c r="Q710" t="str">
        <f xml:space="preserve"> _xlfn.XLOOKUP(M710, Lookup_Tables!$M$2:$M$5,Lookup_Tables!$N$2:$N$5," ", -1)</f>
        <v>Established (5-10)</v>
      </c>
      <c r="R710" s="4">
        <f t="shared" si="23"/>
        <v>2.6666666666666665</v>
      </c>
      <c r="S710" t="str">
        <f xml:space="preserve"> _xlfn.XLOOKUP( E710, Lookup_Tables!$A$2:$A$6,Lookup_Tables!$B$2:$B$6," ", -1)</f>
        <v>Master</v>
      </c>
      <c r="T710" t="str">
        <f>_xlfn.XLOOKUP(G710,Lookup_Tables!$D$2:$D$5,Lookup_Tables!$E$2:$E$5)</f>
        <v>Low</v>
      </c>
      <c r="U710" t="str">
        <f>_xlfn.XLOOKUP(H710,Lookup_Tables!$D$2:$D$5,Lookup_Tables!$E$2:$E$5)</f>
        <v>Very High</v>
      </c>
      <c r="V710" t="str">
        <f>_xlfn.XLOOKUP(L710,Lookup_Tables!$D$2:$D$5,Lookup_Tables!$E$2:$E$5)</f>
        <v>High</v>
      </c>
    </row>
    <row r="711" spans="1:22">
      <c r="A711">
        <f>RAW_DATA!A711</f>
        <v>31</v>
      </c>
      <c r="B711" t="str">
        <f>RAW_DATA!B711</f>
        <v>Yes</v>
      </c>
      <c r="C711" t="str">
        <f>RAW_DATA!C711</f>
        <v>Research &amp; Development</v>
      </c>
      <c r="D711">
        <f>RAW_DATA!D711</f>
        <v>9</v>
      </c>
      <c r="E711">
        <f>RAW_DATA!E711</f>
        <v>2</v>
      </c>
      <c r="F711" t="str">
        <f>RAW_DATA!F711</f>
        <v>Medical</v>
      </c>
      <c r="G711">
        <f>RAW_DATA!G711</f>
        <v>3</v>
      </c>
      <c r="H711">
        <f>RAW_DATA!H711</f>
        <v>1</v>
      </c>
      <c r="I711" t="str">
        <f>RAW_DATA!I711</f>
        <v>Single</v>
      </c>
      <c r="J711">
        <f>RAW_DATA!J711</f>
        <v>2321</v>
      </c>
      <c r="K711">
        <f>RAW_DATA!K711</f>
        <v>0</v>
      </c>
      <c r="L711">
        <f>RAW_DATA!L711</f>
        <v>3</v>
      </c>
      <c r="M711">
        <f>RAW_DATA!M711</f>
        <v>3</v>
      </c>
      <c r="N711">
        <f t="shared" si="22"/>
        <v>1</v>
      </c>
      <c r="O711" t="str">
        <f xml:space="preserve"> VLOOKUP(A711, Lookup_Tables!$G$2:$H$6,2,TRUE)</f>
        <v>25-34</v>
      </c>
      <c r="P711" t="str">
        <f>_xlfn.XLOOKUP(J711,Lookup_Tables!$J$2:$J$4,Lookup_Tables!$K$2:$K$4, " ",-1)</f>
        <v>Low</v>
      </c>
      <c r="Q711" t="str">
        <f xml:space="preserve"> _xlfn.XLOOKUP(M711, Lookup_Tables!$M$2:$M$5,Lookup_Tables!$N$2:$N$5," ", -1)</f>
        <v>Early (2-5)</v>
      </c>
      <c r="R711" s="4">
        <f t="shared" si="23"/>
        <v>2.3333333333333335</v>
      </c>
      <c r="S711" t="str">
        <f xml:space="preserve"> _xlfn.XLOOKUP( E711, Lookup_Tables!$A$2:$A$6,Lookup_Tables!$B$2:$B$6," ", -1)</f>
        <v>College</v>
      </c>
      <c r="T711" t="str">
        <f>_xlfn.XLOOKUP(G711,Lookup_Tables!$D$2:$D$5,Lookup_Tables!$E$2:$E$5)</f>
        <v>High</v>
      </c>
      <c r="U711" t="str">
        <f>_xlfn.XLOOKUP(H711,Lookup_Tables!$D$2:$D$5,Lookup_Tables!$E$2:$E$5)</f>
        <v>Low</v>
      </c>
      <c r="V711" t="str">
        <f>_xlfn.XLOOKUP(L711,Lookup_Tables!$D$2:$D$5,Lookup_Tables!$E$2:$E$5)</f>
        <v>High</v>
      </c>
    </row>
    <row r="712" spans="1:22">
      <c r="A712">
        <f>RAW_DATA!A712</f>
        <v>33</v>
      </c>
      <c r="B712" t="str">
        <f>RAW_DATA!B712</f>
        <v>No</v>
      </c>
      <c r="C712" t="str">
        <f>RAW_DATA!C712</f>
        <v>Sales</v>
      </c>
      <c r="D712">
        <f>RAW_DATA!D712</f>
        <v>17</v>
      </c>
      <c r="E712">
        <f>RAW_DATA!E712</f>
        <v>3</v>
      </c>
      <c r="F712" t="str">
        <f>RAW_DATA!F712</f>
        <v>Life Sciences</v>
      </c>
      <c r="G712">
        <f>RAW_DATA!G712</f>
        <v>4</v>
      </c>
      <c r="H712">
        <f>RAW_DATA!H712</f>
        <v>3</v>
      </c>
      <c r="I712" t="str">
        <f>RAW_DATA!I712</f>
        <v>Single</v>
      </c>
      <c r="J712">
        <f>RAW_DATA!J712</f>
        <v>17444</v>
      </c>
      <c r="K712">
        <f>RAW_DATA!K712</f>
        <v>1</v>
      </c>
      <c r="L712">
        <f>RAW_DATA!L712</f>
        <v>3</v>
      </c>
      <c r="M712">
        <f>RAW_DATA!M712</f>
        <v>10</v>
      </c>
      <c r="N712">
        <f t="shared" si="22"/>
        <v>0</v>
      </c>
      <c r="O712" t="str">
        <f xml:space="preserve"> VLOOKUP(A712, Lookup_Tables!$G$2:$H$6,2,TRUE)</f>
        <v>25-34</v>
      </c>
      <c r="P712" t="str">
        <f>_xlfn.XLOOKUP(J712,Lookup_Tables!$J$2:$J$4,Lookup_Tables!$K$2:$K$4, " ",-1)</f>
        <v>High</v>
      </c>
      <c r="Q712" t="str">
        <f xml:space="preserve"> _xlfn.XLOOKUP(M712, Lookup_Tables!$M$2:$M$5,Lookup_Tables!$N$2:$N$5," ", -1)</f>
        <v>Veteran (10+)</v>
      </c>
      <c r="R712" s="4">
        <f t="shared" si="23"/>
        <v>3.3333333333333335</v>
      </c>
      <c r="S712" t="str">
        <f xml:space="preserve"> _xlfn.XLOOKUP( E712, Lookup_Tables!$A$2:$A$6,Lookup_Tables!$B$2:$B$6," ", -1)</f>
        <v>Bachelor</v>
      </c>
      <c r="T712" t="str">
        <f>_xlfn.XLOOKUP(G712,Lookup_Tables!$D$2:$D$5,Lookup_Tables!$E$2:$E$5)</f>
        <v>Very High</v>
      </c>
      <c r="U712" t="str">
        <f>_xlfn.XLOOKUP(H712,Lookup_Tables!$D$2:$D$5,Lookup_Tables!$E$2:$E$5)</f>
        <v>High</v>
      </c>
      <c r="V712" t="str">
        <f>_xlfn.XLOOKUP(L712,Lookup_Tables!$D$2:$D$5,Lookup_Tables!$E$2:$E$5)</f>
        <v>High</v>
      </c>
    </row>
    <row r="713" spans="1:22">
      <c r="A713">
        <f>RAW_DATA!A713</f>
        <v>29</v>
      </c>
      <c r="B713" t="str">
        <f>RAW_DATA!B713</f>
        <v>Yes</v>
      </c>
      <c r="C713" t="str">
        <f>RAW_DATA!C713</f>
        <v>Research &amp; Development</v>
      </c>
      <c r="D713">
        <f>RAW_DATA!D713</f>
        <v>10</v>
      </c>
      <c r="E713">
        <f>RAW_DATA!E713</f>
        <v>3</v>
      </c>
      <c r="F713" t="str">
        <f>RAW_DATA!F713</f>
        <v>Life Sciences</v>
      </c>
      <c r="G713">
        <f>RAW_DATA!G713</f>
        <v>4</v>
      </c>
      <c r="H713">
        <f>RAW_DATA!H713</f>
        <v>1</v>
      </c>
      <c r="I713" t="str">
        <f>RAW_DATA!I713</f>
        <v>Single</v>
      </c>
      <c r="J713">
        <f>RAW_DATA!J713</f>
        <v>2404</v>
      </c>
      <c r="K713">
        <f>RAW_DATA!K713</f>
        <v>6</v>
      </c>
      <c r="L713">
        <f>RAW_DATA!L713</f>
        <v>3</v>
      </c>
      <c r="M713">
        <f>RAW_DATA!M713</f>
        <v>0</v>
      </c>
      <c r="N713">
        <f t="shared" si="22"/>
        <v>1</v>
      </c>
      <c r="O713" t="str">
        <f xml:space="preserve"> VLOOKUP(A713, Lookup_Tables!$G$2:$H$6,2,TRUE)</f>
        <v>25-34</v>
      </c>
      <c r="P713" t="str">
        <f>_xlfn.XLOOKUP(J713,Lookup_Tables!$J$2:$J$4,Lookup_Tables!$K$2:$K$4, " ",-1)</f>
        <v>Low</v>
      </c>
      <c r="Q713" t="str">
        <f xml:space="preserve"> _xlfn.XLOOKUP(M713, Lookup_Tables!$M$2:$M$5,Lookup_Tables!$N$2:$N$5," ", -1)</f>
        <v>New (0-2)</v>
      </c>
      <c r="R713" s="4">
        <f t="shared" si="23"/>
        <v>2.6666666666666665</v>
      </c>
      <c r="S713" t="str">
        <f xml:space="preserve"> _xlfn.XLOOKUP( E713, Lookup_Tables!$A$2:$A$6,Lookup_Tables!$B$2:$B$6," ", -1)</f>
        <v>Bachelor</v>
      </c>
      <c r="T713" t="str">
        <f>_xlfn.XLOOKUP(G713,Lookup_Tables!$D$2:$D$5,Lookup_Tables!$E$2:$E$5)</f>
        <v>Very High</v>
      </c>
      <c r="U713" t="str">
        <f>_xlfn.XLOOKUP(H713,Lookup_Tables!$D$2:$D$5,Lookup_Tables!$E$2:$E$5)</f>
        <v>Low</v>
      </c>
      <c r="V713" t="str">
        <f>_xlfn.XLOOKUP(L713,Lookup_Tables!$D$2:$D$5,Lookup_Tables!$E$2:$E$5)</f>
        <v>High</v>
      </c>
    </row>
    <row r="714" spans="1:22">
      <c r="A714">
        <f>RAW_DATA!A714</f>
        <v>33</v>
      </c>
      <c r="B714" t="str">
        <f>RAW_DATA!B714</f>
        <v>No</v>
      </c>
      <c r="C714" t="str">
        <f>RAW_DATA!C714</f>
        <v>Research &amp; Development</v>
      </c>
      <c r="D714">
        <f>RAW_DATA!D714</f>
        <v>13</v>
      </c>
      <c r="E714">
        <f>RAW_DATA!E714</f>
        <v>1</v>
      </c>
      <c r="F714" t="str">
        <f>RAW_DATA!F714</f>
        <v>Life Sciences</v>
      </c>
      <c r="G714">
        <f>RAW_DATA!G714</f>
        <v>2</v>
      </c>
      <c r="H714">
        <f>RAW_DATA!H714</f>
        <v>4</v>
      </c>
      <c r="I714" t="str">
        <f>RAW_DATA!I714</f>
        <v>Single</v>
      </c>
      <c r="J714">
        <f>RAW_DATA!J714</f>
        <v>3452</v>
      </c>
      <c r="K714">
        <f>RAW_DATA!K714</f>
        <v>3</v>
      </c>
      <c r="L714">
        <f>RAW_DATA!L714</f>
        <v>3</v>
      </c>
      <c r="M714">
        <f>RAW_DATA!M714</f>
        <v>3</v>
      </c>
      <c r="N714">
        <f t="shared" si="22"/>
        <v>0</v>
      </c>
      <c r="O714" t="str">
        <f xml:space="preserve"> VLOOKUP(A714, Lookup_Tables!$G$2:$H$6,2,TRUE)</f>
        <v>25-34</v>
      </c>
      <c r="P714" t="str">
        <f>_xlfn.XLOOKUP(J714,Lookup_Tables!$J$2:$J$4,Lookup_Tables!$K$2:$K$4, " ",-1)</f>
        <v>Medium</v>
      </c>
      <c r="Q714" t="str">
        <f xml:space="preserve"> _xlfn.XLOOKUP(M714, Lookup_Tables!$M$2:$M$5,Lookup_Tables!$N$2:$N$5," ", -1)</f>
        <v>Early (2-5)</v>
      </c>
      <c r="R714" s="4">
        <f t="shared" si="23"/>
        <v>3</v>
      </c>
      <c r="S714" t="str">
        <f xml:space="preserve"> _xlfn.XLOOKUP( E714, Lookup_Tables!$A$2:$A$6,Lookup_Tables!$B$2:$B$6," ", -1)</f>
        <v>Below College</v>
      </c>
      <c r="T714" t="str">
        <f>_xlfn.XLOOKUP(G714,Lookup_Tables!$D$2:$D$5,Lookup_Tables!$E$2:$E$5)</f>
        <v>Medium</v>
      </c>
      <c r="U714" t="str">
        <f>_xlfn.XLOOKUP(H714,Lookup_Tables!$D$2:$D$5,Lookup_Tables!$E$2:$E$5)</f>
        <v>Very High</v>
      </c>
      <c r="V714" t="str">
        <f>_xlfn.XLOOKUP(L714,Lookup_Tables!$D$2:$D$5,Lookup_Tables!$E$2:$E$5)</f>
        <v>High</v>
      </c>
    </row>
    <row r="715" spans="1:22">
      <c r="A715">
        <f>RAW_DATA!A715</f>
        <v>45</v>
      </c>
      <c r="B715" t="str">
        <f>RAW_DATA!B715</f>
        <v>No</v>
      </c>
      <c r="C715" t="str">
        <f>RAW_DATA!C715</f>
        <v>Research &amp; Development</v>
      </c>
      <c r="D715">
        <f>RAW_DATA!D715</f>
        <v>1</v>
      </c>
      <c r="E715">
        <f>RAW_DATA!E715</f>
        <v>4</v>
      </c>
      <c r="F715" t="str">
        <f>RAW_DATA!F715</f>
        <v>Medical</v>
      </c>
      <c r="G715">
        <f>RAW_DATA!G715</f>
        <v>4</v>
      </c>
      <c r="H715">
        <f>RAW_DATA!H715</f>
        <v>4</v>
      </c>
      <c r="I715" t="str">
        <f>RAW_DATA!I715</f>
        <v>Divorced</v>
      </c>
      <c r="J715">
        <f>RAW_DATA!J715</f>
        <v>2270</v>
      </c>
      <c r="K715">
        <f>RAW_DATA!K715</f>
        <v>3</v>
      </c>
      <c r="L715">
        <f>RAW_DATA!L715</f>
        <v>3</v>
      </c>
      <c r="M715">
        <f>RAW_DATA!M715</f>
        <v>5</v>
      </c>
      <c r="N715">
        <f t="shared" si="22"/>
        <v>0</v>
      </c>
      <c r="O715" t="str">
        <f xml:space="preserve"> VLOOKUP(A715, Lookup_Tables!$G$2:$H$6,2,TRUE)</f>
        <v>45-54</v>
      </c>
      <c r="P715" t="str">
        <f>_xlfn.XLOOKUP(J715,Lookup_Tables!$J$2:$J$4,Lookup_Tables!$K$2:$K$4, " ",-1)</f>
        <v>Low</v>
      </c>
      <c r="Q715" t="str">
        <f xml:space="preserve"> _xlfn.XLOOKUP(M715, Lookup_Tables!$M$2:$M$5,Lookup_Tables!$N$2:$N$5," ", -1)</f>
        <v>Established (5-10)</v>
      </c>
      <c r="R715" s="4">
        <f t="shared" si="23"/>
        <v>3.6666666666666665</v>
      </c>
      <c r="S715" t="str">
        <f xml:space="preserve"> _xlfn.XLOOKUP( E715, Lookup_Tables!$A$2:$A$6,Lookup_Tables!$B$2:$B$6," ", -1)</f>
        <v>Master</v>
      </c>
      <c r="T715" t="str">
        <f>_xlfn.XLOOKUP(G715,Lookup_Tables!$D$2:$D$5,Lookup_Tables!$E$2:$E$5)</f>
        <v>Very High</v>
      </c>
      <c r="U715" t="str">
        <f>_xlfn.XLOOKUP(H715,Lookup_Tables!$D$2:$D$5,Lookup_Tables!$E$2:$E$5)</f>
        <v>Very High</v>
      </c>
      <c r="V715" t="str">
        <f>_xlfn.XLOOKUP(L715,Lookup_Tables!$D$2:$D$5,Lookup_Tables!$E$2:$E$5)</f>
        <v>High</v>
      </c>
    </row>
    <row r="716" spans="1:22">
      <c r="A716">
        <f>RAW_DATA!A716</f>
        <v>50</v>
      </c>
      <c r="B716" t="str">
        <f>RAW_DATA!B716</f>
        <v>No</v>
      </c>
      <c r="C716" t="str">
        <f>RAW_DATA!C716</f>
        <v>Research &amp; Development</v>
      </c>
      <c r="D716">
        <f>RAW_DATA!D716</f>
        <v>1</v>
      </c>
      <c r="E716">
        <f>RAW_DATA!E716</f>
        <v>2</v>
      </c>
      <c r="F716" t="str">
        <f>RAW_DATA!F716</f>
        <v>Medical</v>
      </c>
      <c r="G716">
        <f>RAW_DATA!G716</f>
        <v>4</v>
      </c>
      <c r="H716">
        <f>RAW_DATA!H716</f>
        <v>4</v>
      </c>
      <c r="I716" t="str">
        <f>RAW_DATA!I716</f>
        <v>Divorced</v>
      </c>
      <c r="J716">
        <f>RAW_DATA!J716</f>
        <v>17399</v>
      </c>
      <c r="K716">
        <f>RAW_DATA!K716</f>
        <v>9</v>
      </c>
      <c r="L716">
        <f>RAW_DATA!L716</f>
        <v>2</v>
      </c>
      <c r="M716">
        <f>RAW_DATA!M716</f>
        <v>5</v>
      </c>
      <c r="N716">
        <f t="shared" si="22"/>
        <v>0</v>
      </c>
      <c r="O716" t="str">
        <f xml:space="preserve"> VLOOKUP(A716, Lookup_Tables!$G$2:$H$6,2,TRUE)</f>
        <v>45-54</v>
      </c>
      <c r="P716" t="str">
        <f>_xlfn.XLOOKUP(J716,Lookup_Tables!$J$2:$J$4,Lookup_Tables!$K$2:$K$4, " ",-1)</f>
        <v>High</v>
      </c>
      <c r="Q716" t="str">
        <f xml:space="preserve"> _xlfn.XLOOKUP(M716, Lookup_Tables!$M$2:$M$5,Lookup_Tables!$N$2:$N$5," ", -1)</f>
        <v>Established (5-10)</v>
      </c>
      <c r="R716" s="4">
        <f t="shared" si="23"/>
        <v>3.3333333333333335</v>
      </c>
      <c r="S716" t="str">
        <f xml:space="preserve"> _xlfn.XLOOKUP( E716, Lookup_Tables!$A$2:$A$6,Lookup_Tables!$B$2:$B$6," ", -1)</f>
        <v>College</v>
      </c>
      <c r="T716" t="str">
        <f>_xlfn.XLOOKUP(G716,Lookup_Tables!$D$2:$D$5,Lookup_Tables!$E$2:$E$5)</f>
        <v>Very High</v>
      </c>
      <c r="U716" t="str">
        <f>_xlfn.XLOOKUP(H716,Lookup_Tables!$D$2:$D$5,Lookup_Tables!$E$2:$E$5)</f>
        <v>Very High</v>
      </c>
      <c r="V716" t="str">
        <f>_xlfn.XLOOKUP(L716,Lookup_Tables!$D$2:$D$5,Lookup_Tables!$E$2:$E$5)</f>
        <v>Medium</v>
      </c>
    </row>
    <row r="717" spans="1:22">
      <c r="A717">
        <f>RAW_DATA!A717</f>
        <v>33</v>
      </c>
      <c r="B717" t="str">
        <f>RAW_DATA!B717</f>
        <v>No</v>
      </c>
      <c r="C717" t="str">
        <f>RAW_DATA!C717</f>
        <v>Research &amp; Development</v>
      </c>
      <c r="D717">
        <f>RAW_DATA!D717</f>
        <v>1</v>
      </c>
      <c r="E717">
        <f>RAW_DATA!E717</f>
        <v>4</v>
      </c>
      <c r="F717" t="str">
        <f>RAW_DATA!F717</f>
        <v>Other</v>
      </c>
      <c r="G717">
        <f>RAW_DATA!G717</f>
        <v>3</v>
      </c>
      <c r="H717">
        <f>RAW_DATA!H717</f>
        <v>2</v>
      </c>
      <c r="I717" t="str">
        <f>RAW_DATA!I717</f>
        <v>Married</v>
      </c>
      <c r="J717">
        <f>RAW_DATA!J717</f>
        <v>5488</v>
      </c>
      <c r="K717">
        <f>RAW_DATA!K717</f>
        <v>1</v>
      </c>
      <c r="L717">
        <f>RAW_DATA!L717</f>
        <v>3</v>
      </c>
      <c r="M717">
        <f>RAW_DATA!M717</f>
        <v>6</v>
      </c>
      <c r="N717">
        <f t="shared" si="22"/>
        <v>0</v>
      </c>
      <c r="O717" t="str">
        <f xml:space="preserve"> VLOOKUP(A717, Lookup_Tables!$G$2:$H$6,2,TRUE)</f>
        <v>25-34</v>
      </c>
      <c r="P717" t="str">
        <f>_xlfn.XLOOKUP(J717,Lookup_Tables!$J$2:$J$4,Lookup_Tables!$K$2:$K$4, " ",-1)</f>
        <v>Medium</v>
      </c>
      <c r="Q717" t="str">
        <f xml:space="preserve"> _xlfn.XLOOKUP(M717, Lookup_Tables!$M$2:$M$5,Lookup_Tables!$N$2:$N$5," ", -1)</f>
        <v>Established (5-10)</v>
      </c>
      <c r="R717" s="4">
        <f t="shared" si="23"/>
        <v>2.6666666666666665</v>
      </c>
      <c r="S717" t="str">
        <f xml:space="preserve"> _xlfn.XLOOKUP( E717, Lookup_Tables!$A$2:$A$6,Lookup_Tables!$B$2:$B$6," ", -1)</f>
        <v>Master</v>
      </c>
      <c r="T717" t="str">
        <f>_xlfn.XLOOKUP(G717,Lookup_Tables!$D$2:$D$5,Lookup_Tables!$E$2:$E$5)</f>
        <v>High</v>
      </c>
      <c r="U717" t="str">
        <f>_xlfn.XLOOKUP(H717,Lookup_Tables!$D$2:$D$5,Lookup_Tables!$E$2:$E$5)</f>
        <v>Medium</v>
      </c>
      <c r="V717" t="str">
        <f>_xlfn.XLOOKUP(L717,Lookup_Tables!$D$2:$D$5,Lookup_Tables!$E$2:$E$5)</f>
        <v>High</v>
      </c>
    </row>
    <row r="718" spans="1:22">
      <c r="A718">
        <f>RAW_DATA!A718</f>
        <v>41</v>
      </c>
      <c r="B718" t="str">
        <f>RAW_DATA!B718</f>
        <v>No</v>
      </c>
      <c r="C718" t="str">
        <f>RAW_DATA!C718</f>
        <v>Research &amp; Development</v>
      </c>
      <c r="D718">
        <f>RAW_DATA!D718</f>
        <v>9</v>
      </c>
      <c r="E718">
        <f>RAW_DATA!E718</f>
        <v>3</v>
      </c>
      <c r="F718" t="str">
        <f>RAW_DATA!F718</f>
        <v>Medical</v>
      </c>
      <c r="G718">
        <f>RAW_DATA!G718</f>
        <v>1</v>
      </c>
      <c r="H718">
        <f>RAW_DATA!H718</f>
        <v>3</v>
      </c>
      <c r="I718" t="str">
        <f>RAW_DATA!I718</f>
        <v>Divorced</v>
      </c>
      <c r="J718">
        <f>RAW_DATA!J718</f>
        <v>19419</v>
      </c>
      <c r="K718">
        <f>RAW_DATA!K718</f>
        <v>2</v>
      </c>
      <c r="L718">
        <f>RAW_DATA!L718</f>
        <v>4</v>
      </c>
      <c r="M718">
        <f>RAW_DATA!M718</f>
        <v>18</v>
      </c>
      <c r="N718">
        <f t="shared" si="22"/>
        <v>0</v>
      </c>
      <c r="O718" t="str">
        <f xml:space="preserve"> VLOOKUP(A718, Lookup_Tables!$G$2:$H$6,2,TRUE)</f>
        <v>35-44</v>
      </c>
      <c r="P718" t="str">
        <f>_xlfn.XLOOKUP(J718,Lookup_Tables!$J$2:$J$4,Lookup_Tables!$K$2:$K$4, " ",-1)</f>
        <v>High</v>
      </c>
      <c r="Q718" t="str">
        <f xml:space="preserve"> _xlfn.XLOOKUP(M718, Lookup_Tables!$M$2:$M$5,Lookup_Tables!$N$2:$N$5," ", -1)</f>
        <v>Veteran (10+)</v>
      </c>
      <c r="R718" s="4">
        <f t="shared" si="23"/>
        <v>2.6666666666666665</v>
      </c>
      <c r="S718" t="str">
        <f xml:space="preserve"> _xlfn.XLOOKUP( E718, Lookup_Tables!$A$2:$A$6,Lookup_Tables!$B$2:$B$6," ", -1)</f>
        <v>Bachelor</v>
      </c>
      <c r="T718" t="str">
        <f>_xlfn.XLOOKUP(G718,Lookup_Tables!$D$2:$D$5,Lookup_Tables!$E$2:$E$5)</f>
        <v>Low</v>
      </c>
      <c r="U718" t="str">
        <f>_xlfn.XLOOKUP(H718,Lookup_Tables!$D$2:$D$5,Lookup_Tables!$E$2:$E$5)</f>
        <v>High</v>
      </c>
      <c r="V718" t="str">
        <f>_xlfn.XLOOKUP(L718,Lookup_Tables!$D$2:$D$5,Lookup_Tables!$E$2:$E$5)</f>
        <v>Very High</v>
      </c>
    </row>
    <row r="719" spans="1:22">
      <c r="A719">
        <f>RAW_DATA!A719</f>
        <v>27</v>
      </c>
      <c r="B719" t="str">
        <f>RAW_DATA!B719</f>
        <v>No</v>
      </c>
      <c r="C719" t="str">
        <f>RAW_DATA!C719</f>
        <v>Research &amp; Development</v>
      </c>
      <c r="D719">
        <f>RAW_DATA!D719</f>
        <v>16</v>
      </c>
      <c r="E719">
        <f>RAW_DATA!E719</f>
        <v>4</v>
      </c>
      <c r="F719" t="str">
        <f>RAW_DATA!F719</f>
        <v>Technical Degree</v>
      </c>
      <c r="G719">
        <f>RAW_DATA!G719</f>
        <v>3</v>
      </c>
      <c r="H719">
        <f>RAW_DATA!H719</f>
        <v>2</v>
      </c>
      <c r="I719" t="str">
        <f>RAW_DATA!I719</f>
        <v>Married</v>
      </c>
      <c r="J719">
        <f>RAW_DATA!J719</f>
        <v>2811</v>
      </c>
      <c r="K719">
        <f>RAW_DATA!K719</f>
        <v>9</v>
      </c>
      <c r="L719">
        <f>RAW_DATA!L719</f>
        <v>3</v>
      </c>
      <c r="M719">
        <f>RAW_DATA!M719</f>
        <v>2</v>
      </c>
      <c r="N719">
        <f t="shared" si="22"/>
        <v>0</v>
      </c>
      <c r="O719" t="str">
        <f xml:space="preserve"> VLOOKUP(A719, Lookup_Tables!$G$2:$H$6,2,TRUE)</f>
        <v>25-34</v>
      </c>
      <c r="P719" t="str">
        <f>_xlfn.XLOOKUP(J719,Lookup_Tables!$J$2:$J$4,Lookup_Tables!$K$2:$K$4, " ",-1)</f>
        <v>Low</v>
      </c>
      <c r="Q719" t="str">
        <f xml:space="preserve"> _xlfn.XLOOKUP(M719, Lookup_Tables!$M$2:$M$5,Lookup_Tables!$N$2:$N$5," ", -1)</f>
        <v>Early (2-5)</v>
      </c>
      <c r="R719" s="4">
        <f t="shared" si="23"/>
        <v>2.6666666666666665</v>
      </c>
      <c r="S719" t="str">
        <f xml:space="preserve"> _xlfn.XLOOKUP( E719, Lookup_Tables!$A$2:$A$6,Lookup_Tables!$B$2:$B$6," ", -1)</f>
        <v>Master</v>
      </c>
      <c r="T719" t="str">
        <f>_xlfn.XLOOKUP(G719,Lookup_Tables!$D$2:$D$5,Lookup_Tables!$E$2:$E$5)</f>
        <v>High</v>
      </c>
      <c r="U719" t="str">
        <f>_xlfn.XLOOKUP(H719,Lookup_Tables!$D$2:$D$5,Lookup_Tables!$E$2:$E$5)</f>
        <v>Medium</v>
      </c>
      <c r="V719" t="str">
        <f>_xlfn.XLOOKUP(L719,Lookup_Tables!$D$2:$D$5,Lookup_Tables!$E$2:$E$5)</f>
        <v>High</v>
      </c>
    </row>
    <row r="720" spans="1:22">
      <c r="A720">
        <f>RAW_DATA!A720</f>
        <v>45</v>
      </c>
      <c r="B720" t="str">
        <f>RAW_DATA!B720</f>
        <v>No</v>
      </c>
      <c r="C720" t="str">
        <f>RAW_DATA!C720</f>
        <v>Research &amp; Development</v>
      </c>
      <c r="D720">
        <f>RAW_DATA!D720</f>
        <v>23</v>
      </c>
      <c r="E720">
        <f>RAW_DATA!E720</f>
        <v>2</v>
      </c>
      <c r="F720" t="str">
        <f>RAW_DATA!F720</f>
        <v>Life Sciences</v>
      </c>
      <c r="G720">
        <f>RAW_DATA!G720</f>
        <v>4</v>
      </c>
      <c r="H720">
        <f>RAW_DATA!H720</f>
        <v>1</v>
      </c>
      <c r="I720" t="str">
        <f>RAW_DATA!I720</f>
        <v>Married</v>
      </c>
      <c r="J720">
        <f>RAW_DATA!J720</f>
        <v>3633</v>
      </c>
      <c r="K720">
        <f>RAW_DATA!K720</f>
        <v>1</v>
      </c>
      <c r="L720">
        <f>RAW_DATA!L720</f>
        <v>3</v>
      </c>
      <c r="M720">
        <f>RAW_DATA!M720</f>
        <v>9</v>
      </c>
      <c r="N720">
        <f t="shared" si="22"/>
        <v>0</v>
      </c>
      <c r="O720" t="str">
        <f xml:space="preserve"> VLOOKUP(A720, Lookup_Tables!$G$2:$H$6,2,TRUE)</f>
        <v>45-54</v>
      </c>
      <c r="P720" t="str">
        <f>_xlfn.XLOOKUP(J720,Lookup_Tables!$J$2:$J$4,Lookup_Tables!$K$2:$K$4, " ",-1)</f>
        <v>Medium</v>
      </c>
      <c r="Q720" t="str">
        <f xml:space="preserve"> _xlfn.XLOOKUP(M720, Lookup_Tables!$M$2:$M$5,Lookup_Tables!$N$2:$N$5," ", -1)</f>
        <v>Established (5-10)</v>
      </c>
      <c r="R720" s="4">
        <f t="shared" si="23"/>
        <v>2.6666666666666665</v>
      </c>
      <c r="S720" t="str">
        <f xml:space="preserve"> _xlfn.XLOOKUP( E720, Lookup_Tables!$A$2:$A$6,Lookup_Tables!$B$2:$B$6," ", -1)</f>
        <v>College</v>
      </c>
      <c r="T720" t="str">
        <f>_xlfn.XLOOKUP(G720,Lookup_Tables!$D$2:$D$5,Lookup_Tables!$E$2:$E$5)</f>
        <v>Very High</v>
      </c>
      <c r="U720" t="str">
        <f>_xlfn.XLOOKUP(H720,Lookup_Tables!$D$2:$D$5,Lookup_Tables!$E$2:$E$5)</f>
        <v>Low</v>
      </c>
      <c r="V720" t="str">
        <f>_xlfn.XLOOKUP(L720,Lookup_Tables!$D$2:$D$5,Lookup_Tables!$E$2:$E$5)</f>
        <v>High</v>
      </c>
    </row>
    <row r="721" spans="1:22">
      <c r="A721">
        <f>RAW_DATA!A721</f>
        <v>47</v>
      </c>
      <c r="B721" t="str">
        <f>RAW_DATA!B721</f>
        <v>No</v>
      </c>
      <c r="C721" t="str">
        <f>RAW_DATA!C721</f>
        <v>Sales</v>
      </c>
      <c r="D721">
        <f>RAW_DATA!D721</f>
        <v>4</v>
      </c>
      <c r="E721">
        <f>RAW_DATA!E721</f>
        <v>2</v>
      </c>
      <c r="F721" t="str">
        <f>RAW_DATA!F721</f>
        <v>Life Sciences</v>
      </c>
      <c r="G721">
        <f>RAW_DATA!G721</f>
        <v>4</v>
      </c>
      <c r="H721">
        <f>RAW_DATA!H721</f>
        <v>4</v>
      </c>
      <c r="I721" t="str">
        <f>RAW_DATA!I721</f>
        <v>Single</v>
      </c>
      <c r="J721">
        <f>RAW_DATA!J721</f>
        <v>4163</v>
      </c>
      <c r="K721">
        <f>RAW_DATA!K721</f>
        <v>1</v>
      </c>
      <c r="L721">
        <f>RAW_DATA!L721</f>
        <v>3</v>
      </c>
      <c r="M721">
        <f>RAW_DATA!M721</f>
        <v>9</v>
      </c>
      <c r="N721">
        <f t="shared" si="22"/>
        <v>0</v>
      </c>
      <c r="O721" t="str">
        <f xml:space="preserve"> VLOOKUP(A721, Lookup_Tables!$G$2:$H$6,2,TRUE)</f>
        <v>45-54</v>
      </c>
      <c r="P721" t="str">
        <f>_xlfn.XLOOKUP(J721,Lookup_Tables!$J$2:$J$4,Lookup_Tables!$K$2:$K$4, " ",-1)</f>
        <v>Medium</v>
      </c>
      <c r="Q721" t="str">
        <f xml:space="preserve"> _xlfn.XLOOKUP(M721, Lookup_Tables!$M$2:$M$5,Lookup_Tables!$N$2:$N$5," ", -1)</f>
        <v>Established (5-10)</v>
      </c>
      <c r="R721" s="4">
        <f t="shared" si="23"/>
        <v>3.6666666666666665</v>
      </c>
      <c r="S721" t="str">
        <f xml:space="preserve"> _xlfn.XLOOKUP( E721, Lookup_Tables!$A$2:$A$6,Lookup_Tables!$B$2:$B$6," ", -1)</f>
        <v>College</v>
      </c>
      <c r="T721" t="str">
        <f>_xlfn.XLOOKUP(G721,Lookup_Tables!$D$2:$D$5,Lookup_Tables!$E$2:$E$5)</f>
        <v>Very High</v>
      </c>
      <c r="U721" t="str">
        <f>_xlfn.XLOOKUP(H721,Lookup_Tables!$D$2:$D$5,Lookup_Tables!$E$2:$E$5)</f>
        <v>Very High</v>
      </c>
      <c r="V721" t="str">
        <f>_xlfn.XLOOKUP(L721,Lookup_Tables!$D$2:$D$5,Lookup_Tables!$E$2:$E$5)</f>
        <v>High</v>
      </c>
    </row>
    <row r="722" spans="1:22">
      <c r="A722">
        <f>RAW_DATA!A722</f>
        <v>30</v>
      </c>
      <c r="B722" t="str">
        <f>RAW_DATA!B722</f>
        <v>Yes</v>
      </c>
      <c r="C722" t="str">
        <f>RAW_DATA!C722</f>
        <v>Research &amp; Development</v>
      </c>
      <c r="D722">
        <f>RAW_DATA!D722</f>
        <v>22</v>
      </c>
      <c r="E722">
        <f>RAW_DATA!E722</f>
        <v>3</v>
      </c>
      <c r="F722" t="str">
        <f>RAW_DATA!F722</f>
        <v>Life Sciences</v>
      </c>
      <c r="G722">
        <f>RAW_DATA!G722</f>
        <v>1</v>
      </c>
      <c r="H722">
        <f>RAW_DATA!H722</f>
        <v>3</v>
      </c>
      <c r="I722" t="str">
        <f>RAW_DATA!I722</f>
        <v>Married</v>
      </c>
      <c r="J722">
        <f>RAW_DATA!J722</f>
        <v>2132</v>
      </c>
      <c r="K722">
        <f>RAW_DATA!K722</f>
        <v>4</v>
      </c>
      <c r="L722">
        <f>RAW_DATA!L722</f>
        <v>3</v>
      </c>
      <c r="M722">
        <f>RAW_DATA!M722</f>
        <v>5</v>
      </c>
      <c r="N722">
        <f t="shared" si="22"/>
        <v>1</v>
      </c>
      <c r="O722" t="str">
        <f xml:space="preserve"> VLOOKUP(A722, Lookup_Tables!$G$2:$H$6,2,TRUE)</f>
        <v>25-34</v>
      </c>
      <c r="P722" t="str">
        <f>_xlfn.XLOOKUP(J722,Lookup_Tables!$J$2:$J$4,Lookup_Tables!$K$2:$K$4, " ",-1)</f>
        <v>Low</v>
      </c>
      <c r="Q722" t="str">
        <f xml:space="preserve"> _xlfn.XLOOKUP(M722, Lookup_Tables!$M$2:$M$5,Lookup_Tables!$N$2:$N$5," ", -1)</f>
        <v>Established (5-10)</v>
      </c>
      <c r="R722" s="4">
        <f t="shared" si="23"/>
        <v>2.3333333333333335</v>
      </c>
      <c r="S722" t="str">
        <f xml:space="preserve"> _xlfn.XLOOKUP( E722, Lookup_Tables!$A$2:$A$6,Lookup_Tables!$B$2:$B$6," ", -1)</f>
        <v>Bachelor</v>
      </c>
      <c r="T722" t="str">
        <f>_xlfn.XLOOKUP(G722,Lookup_Tables!$D$2:$D$5,Lookup_Tables!$E$2:$E$5)</f>
        <v>Low</v>
      </c>
      <c r="U722" t="str">
        <f>_xlfn.XLOOKUP(H722,Lookup_Tables!$D$2:$D$5,Lookup_Tables!$E$2:$E$5)</f>
        <v>High</v>
      </c>
      <c r="V722" t="str">
        <f>_xlfn.XLOOKUP(L722,Lookup_Tables!$D$2:$D$5,Lookup_Tables!$E$2:$E$5)</f>
        <v>High</v>
      </c>
    </row>
    <row r="723" spans="1:22">
      <c r="A723">
        <f>RAW_DATA!A723</f>
        <v>50</v>
      </c>
      <c r="B723" t="str">
        <f>RAW_DATA!B723</f>
        <v>No</v>
      </c>
      <c r="C723" t="str">
        <f>RAW_DATA!C723</f>
        <v>Research &amp; Development</v>
      </c>
      <c r="D723">
        <f>RAW_DATA!D723</f>
        <v>24</v>
      </c>
      <c r="E723">
        <f>RAW_DATA!E723</f>
        <v>3</v>
      </c>
      <c r="F723" t="str">
        <f>RAW_DATA!F723</f>
        <v>Life Sciences</v>
      </c>
      <c r="G723">
        <f>RAW_DATA!G723</f>
        <v>4</v>
      </c>
      <c r="H723">
        <f>RAW_DATA!H723</f>
        <v>3</v>
      </c>
      <c r="I723" t="str">
        <f>RAW_DATA!I723</f>
        <v>Married</v>
      </c>
      <c r="J723">
        <f>RAW_DATA!J723</f>
        <v>13973</v>
      </c>
      <c r="K723">
        <f>RAW_DATA!K723</f>
        <v>3</v>
      </c>
      <c r="L723">
        <f>RAW_DATA!L723</f>
        <v>3</v>
      </c>
      <c r="M723">
        <f>RAW_DATA!M723</f>
        <v>12</v>
      </c>
      <c r="N723">
        <f t="shared" si="22"/>
        <v>0</v>
      </c>
      <c r="O723" t="str">
        <f xml:space="preserve"> VLOOKUP(A723, Lookup_Tables!$G$2:$H$6,2,TRUE)</f>
        <v>45-54</v>
      </c>
      <c r="P723" t="str">
        <f>_xlfn.XLOOKUP(J723,Lookup_Tables!$J$2:$J$4,Lookup_Tables!$K$2:$K$4, " ",-1)</f>
        <v>High</v>
      </c>
      <c r="Q723" t="str">
        <f xml:space="preserve"> _xlfn.XLOOKUP(M723, Lookup_Tables!$M$2:$M$5,Lookup_Tables!$N$2:$N$5," ", -1)</f>
        <v>Veteran (10+)</v>
      </c>
      <c r="R723" s="4">
        <f t="shared" si="23"/>
        <v>3.3333333333333335</v>
      </c>
      <c r="S723" t="str">
        <f xml:space="preserve"> _xlfn.XLOOKUP( E723, Lookup_Tables!$A$2:$A$6,Lookup_Tables!$B$2:$B$6," ", -1)</f>
        <v>Bachelor</v>
      </c>
      <c r="T723" t="str">
        <f>_xlfn.XLOOKUP(G723,Lookup_Tables!$D$2:$D$5,Lookup_Tables!$E$2:$E$5)</f>
        <v>Very High</v>
      </c>
      <c r="U723" t="str">
        <f>_xlfn.XLOOKUP(H723,Lookup_Tables!$D$2:$D$5,Lookup_Tables!$E$2:$E$5)</f>
        <v>High</v>
      </c>
      <c r="V723" t="str">
        <f>_xlfn.XLOOKUP(L723,Lookup_Tables!$D$2:$D$5,Lookup_Tables!$E$2:$E$5)</f>
        <v>High</v>
      </c>
    </row>
    <row r="724" spans="1:22">
      <c r="A724">
        <f>RAW_DATA!A724</f>
        <v>38</v>
      </c>
      <c r="B724" t="str">
        <f>RAW_DATA!B724</f>
        <v>No</v>
      </c>
      <c r="C724" t="str">
        <f>RAW_DATA!C724</f>
        <v>Research &amp; Development</v>
      </c>
      <c r="D724">
        <f>RAW_DATA!D724</f>
        <v>10</v>
      </c>
      <c r="E724">
        <f>RAW_DATA!E724</f>
        <v>1</v>
      </c>
      <c r="F724" t="str">
        <f>RAW_DATA!F724</f>
        <v>Medical</v>
      </c>
      <c r="G724">
        <f>RAW_DATA!G724</f>
        <v>3</v>
      </c>
      <c r="H724">
        <f>RAW_DATA!H724</f>
        <v>3</v>
      </c>
      <c r="I724" t="str">
        <f>RAW_DATA!I724</f>
        <v>Married</v>
      </c>
      <c r="J724">
        <f>RAW_DATA!J724</f>
        <v>2684</v>
      </c>
      <c r="K724">
        <f>RAW_DATA!K724</f>
        <v>0</v>
      </c>
      <c r="L724">
        <f>RAW_DATA!L724</f>
        <v>2</v>
      </c>
      <c r="M724">
        <f>RAW_DATA!M724</f>
        <v>2</v>
      </c>
      <c r="N724">
        <f t="shared" si="22"/>
        <v>0</v>
      </c>
      <c r="O724" t="str">
        <f xml:space="preserve"> VLOOKUP(A724, Lookup_Tables!$G$2:$H$6,2,TRUE)</f>
        <v>35-44</v>
      </c>
      <c r="P724" t="str">
        <f>_xlfn.XLOOKUP(J724,Lookup_Tables!$J$2:$J$4,Lookup_Tables!$K$2:$K$4, " ",-1)</f>
        <v>Low</v>
      </c>
      <c r="Q724" t="str">
        <f xml:space="preserve"> _xlfn.XLOOKUP(M724, Lookup_Tables!$M$2:$M$5,Lookup_Tables!$N$2:$N$5," ", -1)</f>
        <v>Early (2-5)</v>
      </c>
      <c r="R724" s="4">
        <f t="shared" si="23"/>
        <v>2.6666666666666665</v>
      </c>
      <c r="S724" t="str">
        <f xml:space="preserve"> _xlfn.XLOOKUP( E724, Lookup_Tables!$A$2:$A$6,Lookup_Tables!$B$2:$B$6," ", -1)</f>
        <v>Below College</v>
      </c>
      <c r="T724" t="str">
        <f>_xlfn.XLOOKUP(G724,Lookup_Tables!$D$2:$D$5,Lookup_Tables!$E$2:$E$5)</f>
        <v>High</v>
      </c>
      <c r="U724" t="str">
        <f>_xlfn.XLOOKUP(H724,Lookup_Tables!$D$2:$D$5,Lookup_Tables!$E$2:$E$5)</f>
        <v>High</v>
      </c>
      <c r="V724" t="str">
        <f>_xlfn.XLOOKUP(L724,Lookup_Tables!$D$2:$D$5,Lookup_Tables!$E$2:$E$5)</f>
        <v>Medium</v>
      </c>
    </row>
    <row r="725" spans="1:22">
      <c r="A725">
        <f>RAW_DATA!A725</f>
        <v>46</v>
      </c>
      <c r="B725" t="str">
        <f>RAW_DATA!B725</f>
        <v>No</v>
      </c>
      <c r="C725" t="str">
        <f>RAW_DATA!C725</f>
        <v>Research &amp; Development</v>
      </c>
      <c r="D725">
        <f>RAW_DATA!D725</f>
        <v>7</v>
      </c>
      <c r="E725">
        <f>RAW_DATA!E725</f>
        <v>2</v>
      </c>
      <c r="F725" t="str">
        <f>RAW_DATA!F725</f>
        <v>Medical</v>
      </c>
      <c r="G725">
        <f>RAW_DATA!G725</f>
        <v>4</v>
      </c>
      <c r="H725">
        <f>RAW_DATA!H725</f>
        <v>3</v>
      </c>
      <c r="I725" t="str">
        <f>RAW_DATA!I725</f>
        <v>Divorced</v>
      </c>
      <c r="J725">
        <f>RAW_DATA!J725</f>
        <v>10845</v>
      </c>
      <c r="K725">
        <f>RAW_DATA!K725</f>
        <v>6</v>
      </c>
      <c r="L725">
        <f>RAW_DATA!L725</f>
        <v>3</v>
      </c>
      <c r="M725">
        <f>RAW_DATA!M725</f>
        <v>8</v>
      </c>
      <c r="N725">
        <f t="shared" si="22"/>
        <v>0</v>
      </c>
      <c r="O725" t="str">
        <f xml:space="preserve"> VLOOKUP(A725, Lookup_Tables!$G$2:$H$6,2,TRUE)</f>
        <v>45-54</v>
      </c>
      <c r="P725" t="str">
        <f>_xlfn.XLOOKUP(J725,Lookup_Tables!$J$2:$J$4,Lookup_Tables!$K$2:$K$4, " ",-1)</f>
        <v>High</v>
      </c>
      <c r="Q725" t="str">
        <f xml:space="preserve"> _xlfn.XLOOKUP(M725, Lookup_Tables!$M$2:$M$5,Lookup_Tables!$N$2:$N$5," ", -1)</f>
        <v>Established (5-10)</v>
      </c>
      <c r="R725" s="4">
        <f t="shared" si="23"/>
        <v>3.3333333333333335</v>
      </c>
      <c r="S725" t="str">
        <f xml:space="preserve"> _xlfn.XLOOKUP( E725, Lookup_Tables!$A$2:$A$6,Lookup_Tables!$B$2:$B$6," ", -1)</f>
        <v>College</v>
      </c>
      <c r="T725" t="str">
        <f>_xlfn.XLOOKUP(G725,Lookup_Tables!$D$2:$D$5,Lookup_Tables!$E$2:$E$5)</f>
        <v>Very High</v>
      </c>
      <c r="U725" t="str">
        <f>_xlfn.XLOOKUP(H725,Lookup_Tables!$D$2:$D$5,Lookup_Tables!$E$2:$E$5)</f>
        <v>High</v>
      </c>
      <c r="V725" t="str">
        <f>_xlfn.XLOOKUP(L725,Lookup_Tables!$D$2:$D$5,Lookup_Tables!$E$2:$E$5)</f>
        <v>High</v>
      </c>
    </row>
    <row r="726" spans="1:22">
      <c r="A726">
        <f>RAW_DATA!A726</f>
        <v>24</v>
      </c>
      <c r="B726" t="str">
        <f>RAW_DATA!B726</f>
        <v>No</v>
      </c>
      <c r="C726" t="str">
        <f>RAW_DATA!C726</f>
        <v>Research &amp; Development</v>
      </c>
      <c r="D726">
        <f>RAW_DATA!D726</f>
        <v>17</v>
      </c>
      <c r="E726">
        <f>RAW_DATA!E726</f>
        <v>1</v>
      </c>
      <c r="F726" t="str">
        <f>RAW_DATA!F726</f>
        <v>Medical</v>
      </c>
      <c r="G726">
        <f>RAW_DATA!G726</f>
        <v>4</v>
      </c>
      <c r="H726">
        <f>RAW_DATA!H726</f>
        <v>3</v>
      </c>
      <c r="I726" t="str">
        <f>RAW_DATA!I726</f>
        <v>Divorced</v>
      </c>
      <c r="J726">
        <f>RAW_DATA!J726</f>
        <v>4377</v>
      </c>
      <c r="K726">
        <f>RAW_DATA!K726</f>
        <v>1</v>
      </c>
      <c r="L726">
        <f>RAW_DATA!L726</f>
        <v>3</v>
      </c>
      <c r="M726">
        <f>RAW_DATA!M726</f>
        <v>4</v>
      </c>
      <c r="N726">
        <f t="shared" si="22"/>
        <v>0</v>
      </c>
      <c r="O726" t="str">
        <f xml:space="preserve"> VLOOKUP(A726, Lookup_Tables!$G$2:$H$6,2,TRUE)</f>
        <v>&lt;25</v>
      </c>
      <c r="P726" t="str">
        <f>_xlfn.XLOOKUP(J726,Lookup_Tables!$J$2:$J$4,Lookup_Tables!$K$2:$K$4, " ",-1)</f>
        <v>Medium</v>
      </c>
      <c r="Q726" t="str">
        <f xml:space="preserve"> _xlfn.XLOOKUP(M726, Lookup_Tables!$M$2:$M$5,Lookup_Tables!$N$2:$N$5," ", -1)</f>
        <v>Early (2-5)</v>
      </c>
      <c r="R726" s="4">
        <f t="shared" si="23"/>
        <v>3.3333333333333335</v>
      </c>
      <c r="S726" t="str">
        <f xml:space="preserve"> _xlfn.XLOOKUP( E726, Lookup_Tables!$A$2:$A$6,Lookup_Tables!$B$2:$B$6," ", -1)</f>
        <v>Below College</v>
      </c>
      <c r="T726" t="str">
        <f>_xlfn.XLOOKUP(G726,Lookup_Tables!$D$2:$D$5,Lookup_Tables!$E$2:$E$5)</f>
        <v>Very High</v>
      </c>
      <c r="U726" t="str">
        <f>_xlfn.XLOOKUP(H726,Lookup_Tables!$D$2:$D$5,Lookup_Tables!$E$2:$E$5)</f>
        <v>High</v>
      </c>
      <c r="V726" t="str">
        <f>_xlfn.XLOOKUP(L726,Lookup_Tables!$D$2:$D$5,Lookup_Tables!$E$2:$E$5)</f>
        <v>High</v>
      </c>
    </row>
    <row r="727" spans="1:22">
      <c r="A727">
        <f>RAW_DATA!A727</f>
        <v>35</v>
      </c>
      <c r="B727" t="str">
        <f>RAW_DATA!B727</f>
        <v>Yes</v>
      </c>
      <c r="C727" t="str">
        <f>RAW_DATA!C727</f>
        <v>Research &amp; Development</v>
      </c>
      <c r="D727">
        <f>RAW_DATA!D727</f>
        <v>14</v>
      </c>
      <c r="E727">
        <f>RAW_DATA!E727</f>
        <v>4</v>
      </c>
      <c r="F727" t="str">
        <f>RAW_DATA!F727</f>
        <v>Other</v>
      </c>
      <c r="G727">
        <f>RAW_DATA!G727</f>
        <v>3</v>
      </c>
      <c r="H727">
        <f>RAW_DATA!H727</f>
        <v>2</v>
      </c>
      <c r="I727" t="str">
        <f>RAW_DATA!I727</f>
        <v>Divorced</v>
      </c>
      <c r="J727">
        <f>RAW_DATA!J727</f>
        <v>3743</v>
      </c>
      <c r="K727">
        <f>RAW_DATA!K727</f>
        <v>1</v>
      </c>
      <c r="L727">
        <f>RAW_DATA!L727</f>
        <v>1</v>
      </c>
      <c r="M727">
        <f>RAW_DATA!M727</f>
        <v>4</v>
      </c>
      <c r="N727">
        <f t="shared" si="22"/>
        <v>1</v>
      </c>
      <c r="O727" t="str">
        <f xml:space="preserve"> VLOOKUP(A727, Lookup_Tables!$G$2:$H$6,2,TRUE)</f>
        <v>35-44</v>
      </c>
      <c r="P727" t="str">
        <f>_xlfn.XLOOKUP(J727,Lookup_Tables!$J$2:$J$4,Lookup_Tables!$K$2:$K$4, " ",-1)</f>
        <v>Medium</v>
      </c>
      <c r="Q727" t="str">
        <f xml:space="preserve"> _xlfn.XLOOKUP(M727, Lookup_Tables!$M$2:$M$5,Lookup_Tables!$N$2:$N$5," ", -1)</f>
        <v>Early (2-5)</v>
      </c>
      <c r="R727" s="4">
        <f t="shared" si="23"/>
        <v>2</v>
      </c>
      <c r="S727" t="str">
        <f xml:space="preserve"> _xlfn.XLOOKUP( E727, Lookup_Tables!$A$2:$A$6,Lookup_Tables!$B$2:$B$6," ", -1)</f>
        <v>Master</v>
      </c>
      <c r="T727" t="str">
        <f>_xlfn.XLOOKUP(G727,Lookup_Tables!$D$2:$D$5,Lookup_Tables!$E$2:$E$5)</f>
        <v>High</v>
      </c>
      <c r="U727" t="str">
        <f>_xlfn.XLOOKUP(H727,Lookup_Tables!$D$2:$D$5,Lookup_Tables!$E$2:$E$5)</f>
        <v>Medium</v>
      </c>
      <c r="V727" t="str">
        <f>_xlfn.XLOOKUP(L727,Lookup_Tables!$D$2:$D$5,Lookup_Tables!$E$2:$E$5)</f>
        <v>Low</v>
      </c>
    </row>
    <row r="728" spans="1:22">
      <c r="A728">
        <f>RAW_DATA!A728</f>
        <v>31</v>
      </c>
      <c r="B728" t="str">
        <f>RAW_DATA!B728</f>
        <v>No</v>
      </c>
      <c r="C728" t="str">
        <f>RAW_DATA!C728</f>
        <v>Research &amp; Development</v>
      </c>
      <c r="D728">
        <f>RAW_DATA!D728</f>
        <v>1</v>
      </c>
      <c r="E728">
        <f>RAW_DATA!E728</f>
        <v>1</v>
      </c>
      <c r="F728" t="str">
        <f>RAW_DATA!F728</f>
        <v>Life Sciences</v>
      </c>
      <c r="G728">
        <f>RAW_DATA!G728</f>
        <v>3</v>
      </c>
      <c r="H728">
        <f>RAW_DATA!H728</f>
        <v>1</v>
      </c>
      <c r="I728" t="str">
        <f>RAW_DATA!I728</f>
        <v>Married</v>
      </c>
      <c r="J728">
        <f>RAW_DATA!J728</f>
        <v>4148</v>
      </c>
      <c r="K728">
        <f>RAW_DATA!K728</f>
        <v>1</v>
      </c>
      <c r="L728">
        <f>RAW_DATA!L728</f>
        <v>3</v>
      </c>
      <c r="M728">
        <f>RAW_DATA!M728</f>
        <v>4</v>
      </c>
      <c r="N728">
        <f t="shared" si="22"/>
        <v>0</v>
      </c>
      <c r="O728" t="str">
        <f xml:space="preserve"> VLOOKUP(A728, Lookup_Tables!$G$2:$H$6,2,TRUE)</f>
        <v>25-34</v>
      </c>
      <c r="P728" t="str">
        <f>_xlfn.XLOOKUP(J728,Lookup_Tables!$J$2:$J$4,Lookup_Tables!$K$2:$K$4, " ",-1)</f>
        <v>Medium</v>
      </c>
      <c r="Q728" t="str">
        <f xml:space="preserve"> _xlfn.XLOOKUP(M728, Lookup_Tables!$M$2:$M$5,Lookup_Tables!$N$2:$N$5," ", -1)</f>
        <v>Early (2-5)</v>
      </c>
      <c r="R728" s="4">
        <f t="shared" si="23"/>
        <v>2.3333333333333335</v>
      </c>
      <c r="S728" t="str">
        <f xml:space="preserve"> _xlfn.XLOOKUP( E728, Lookup_Tables!$A$2:$A$6,Lookup_Tables!$B$2:$B$6," ", -1)</f>
        <v>Below College</v>
      </c>
      <c r="T728" t="str">
        <f>_xlfn.XLOOKUP(G728,Lookup_Tables!$D$2:$D$5,Lookup_Tables!$E$2:$E$5)</f>
        <v>High</v>
      </c>
      <c r="U728" t="str">
        <f>_xlfn.XLOOKUP(H728,Lookup_Tables!$D$2:$D$5,Lookup_Tables!$E$2:$E$5)</f>
        <v>Low</v>
      </c>
      <c r="V728" t="str">
        <f>_xlfn.XLOOKUP(L728,Lookup_Tables!$D$2:$D$5,Lookup_Tables!$E$2:$E$5)</f>
        <v>High</v>
      </c>
    </row>
    <row r="729" spans="1:22">
      <c r="A729">
        <f>RAW_DATA!A729</f>
        <v>18</v>
      </c>
      <c r="B729" t="str">
        <f>RAW_DATA!B729</f>
        <v>No</v>
      </c>
      <c r="C729" t="str">
        <f>RAW_DATA!C729</f>
        <v>Research &amp; Development</v>
      </c>
      <c r="D729">
        <f>RAW_DATA!D729</f>
        <v>5</v>
      </c>
      <c r="E729">
        <f>RAW_DATA!E729</f>
        <v>2</v>
      </c>
      <c r="F729" t="str">
        <f>RAW_DATA!F729</f>
        <v>Life Sciences</v>
      </c>
      <c r="G729">
        <f>RAW_DATA!G729</f>
        <v>2</v>
      </c>
      <c r="H729">
        <f>RAW_DATA!H729</f>
        <v>4</v>
      </c>
      <c r="I729" t="str">
        <f>RAW_DATA!I729</f>
        <v>Single</v>
      </c>
      <c r="J729">
        <f>RAW_DATA!J729</f>
        <v>1051</v>
      </c>
      <c r="K729">
        <f>RAW_DATA!K729</f>
        <v>1</v>
      </c>
      <c r="L729">
        <f>RAW_DATA!L729</f>
        <v>3</v>
      </c>
      <c r="M729">
        <f>RAW_DATA!M729</f>
        <v>0</v>
      </c>
      <c r="N729">
        <f t="shared" si="22"/>
        <v>0</v>
      </c>
      <c r="O729" t="str">
        <f xml:space="preserve"> VLOOKUP(A729, Lookup_Tables!$G$2:$H$6,2,TRUE)</f>
        <v>&lt;25</v>
      </c>
      <c r="P729" t="str">
        <f>_xlfn.XLOOKUP(J729,Lookup_Tables!$J$2:$J$4,Lookup_Tables!$K$2:$K$4, " ",-1)</f>
        <v>Low</v>
      </c>
      <c r="Q729" t="str">
        <f xml:space="preserve"> _xlfn.XLOOKUP(M729, Lookup_Tables!$M$2:$M$5,Lookup_Tables!$N$2:$N$5," ", -1)</f>
        <v>New (0-2)</v>
      </c>
      <c r="R729" s="4">
        <f t="shared" si="23"/>
        <v>3</v>
      </c>
      <c r="S729" t="str">
        <f xml:space="preserve"> _xlfn.XLOOKUP( E729, Lookup_Tables!$A$2:$A$6,Lookup_Tables!$B$2:$B$6," ", -1)</f>
        <v>College</v>
      </c>
      <c r="T729" t="str">
        <f>_xlfn.XLOOKUP(G729,Lookup_Tables!$D$2:$D$5,Lookup_Tables!$E$2:$E$5)</f>
        <v>Medium</v>
      </c>
      <c r="U729" t="str">
        <f>_xlfn.XLOOKUP(H729,Lookup_Tables!$D$2:$D$5,Lookup_Tables!$E$2:$E$5)</f>
        <v>Very High</v>
      </c>
      <c r="V729" t="str">
        <f>_xlfn.XLOOKUP(L729,Lookup_Tables!$D$2:$D$5,Lookup_Tables!$E$2:$E$5)</f>
        <v>High</v>
      </c>
    </row>
    <row r="730" spans="1:22">
      <c r="A730">
        <f>RAW_DATA!A730</f>
        <v>54</v>
      </c>
      <c r="B730" t="str">
        <f>RAW_DATA!B730</f>
        <v>No</v>
      </c>
      <c r="C730" t="str">
        <f>RAW_DATA!C730</f>
        <v>Research &amp; Development</v>
      </c>
      <c r="D730">
        <f>RAW_DATA!D730</f>
        <v>17</v>
      </c>
      <c r="E730">
        <f>RAW_DATA!E730</f>
        <v>3</v>
      </c>
      <c r="F730" t="str">
        <f>RAW_DATA!F730</f>
        <v>Technical Degree</v>
      </c>
      <c r="G730">
        <f>RAW_DATA!G730</f>
        <v>3</v>
      </c>
      <c r="H730">
        <f>RAW_DATA!H730</f>
        <v>3</v>
      </c>
      <c r="I730" t="str">
        <f>RAW_DATA!I730</f>
        <v>Married</v>
      </c>
      <c r="J730">
        <f>RAW_DATA!J730</f>
        <v>10739</v>
      </c>
      <c r="K730">
        <f>RAW_DATA!K730</f>
        <v>8</v>
      </c>
      <c r="L730">
        <f>RAW_DATA!L730</f>
        <v>3</v>
      </c>
      <c r="M730">
        <f>RAW_DATA!M730</f>
        <v>10</v>
      </c>
      <c r="N730">
        <f t="shared" si="22"/>
        <v>0</v>
      </c>
      <c r="O730" t="str">
        <f xml:space="preserve"> VLOOKUP(A730, Lookup_Tables!$G$2:$H$6,2,TRUE)</f>
        <v>45-54</v>
      </c>
      <c r="P730" t="str">
        <f>_xlfn.XLOOKUP(J730,Lookup_Tables!$J$2:$J$4,Lookup_Tables!$K$2:$K$4, " ",-1)</f>
        <v>High</v>
      </c>
      <c r="Q730" t="str">
        <f xml:space="preserve"> _xlfn.XLOOKUP(M730, Lookup_Tables!$M$2:$M$5,Lookup_Tables!$N$2:$N$5," ", -1)</f>
        <v>Veteran (10+)</v>
      </c>
      <c r="R730" s="4">
        <f t="shared" si="23"/>
        <v>3</v>
      </c>
      <c r="S730" t="str">
        <f xml:space="preserve"> _xlfn.XLOOKUP( E730, Lookup_Tables!$A$2:$A$6,Lookup_Tables!$B$2:$B$6," ", -1)</f>
        <v>Bachelor</v>
      </c>
      <c r="T730" t="str">
        <f>_xlfn.XLOOKUP(G730,Lookup_Tables!$D$2:$D$5,Lookup_Tables!$E$2:$E$5)</f>
        <v>High</v>
      </c>
      <c r="U730" t="str">
        <f>_xlfn.XLOOKUP(H730,Lookup_Tables!$D$2:$D$5,Lookup_Tables!$E$2:$E$5)</f>
        <v>High</v>
      </c>
      <c r="V730" t="str">
        <f>_xlfn.XLOOKUP(L730,Lookup_Tables!$D$2:$D$5,Lookup_Tables!$E$2:$E$5)</f>
        <v>High</v>
      </c>
    </row>
    <row r="731" spans="1:22">
      <c r="A731">
        <f>RAW_DATA!A731</f>
        <v>35</v>
      </c>
      <c r="B731" t="str">
        <f>RAW_DATA!B731</f>
        <v>No</v>
      </c>
      <c r="C731" t="str">
        <f>RAW_DATA!C731</f>
        <v>Research &amp; Development</v>
      </c>
      <c r="D731">
        <f>RAW_DATA!D731</f>
        <v>25</v>
      </c>
      <c r="E731">
        <f>RAW_DATA!E731</f>
        <v>4</v>
      </c>
      <c r="F731" t="str">
        <f>RAW_DATA!F731</f>
        <v>Medical</v>
      </c>
      <c r="G731">
        <f>RAW_DATA!G731</f>
        <v>3</v>
      </c>
      <c r="H731">
        <f>RAW_DATA!H731</f>
        <v>3</v>
      </c>
      <c r="I731" t="str">
        <f>RAW_DATA!I731</f>
        <v>Divorced</v>
      </c>
      <c r="J731">
        <f>RAW_DATA!J731</f>
        <v>10388</v>
      </c>
      <c r="K731">
        <f>RAW_DATA!K731</f>
        <v>1</v>
      </c>
      <c r="L731">
        <f>RAW_DATA!L731</f>
        <v>2</v>
      </c>
      <c r="M731">
        <f>RAW_DATA!M731</f>
        <v>16</v>
      </c>
      <c r="N731">
        <f t="shared" si="22"/>
        <v>0</v>
      </c>
      <c r="O731" t="str">
        <f xml:space="preserve"> VLOOKUP(A731, Lookup_Tables!$G$2:$H$6,2,TRUE)</f>
        <v>35-44</v>
      </c>
      <c r="P731" t="str">
        <f>_xlfn.XLOOKUP(J731,Lookup_Tables!$J$2:$J$4,Lookup_Tables!$K$2:$K$4, " ",-1)</f>
        <v>High</v>
      </c>
      <c r="Q731" t="str">
        <f xml:space="preserve"> _xlfn.XLOOKUP(M731, Lookup_Tables!$M$2:$M$5,Lookup_Tables!$N$2:$N$5," ", -1)</f>
        <v>Veteran (10+)</v>
      </c>
      <c r="R731" s="4">
        <f t="shared" si="23"/>
        <v>2.6666666666666665</v>
      </c>
      <c r="S731" t="str">
        <f xml:space="preserve"> _xlfn.XLOOKUP( E731, Lookup_Tables!$A$2:$A$6,Lookup_Tables!$B$2:$B$6," ", -1)</f>
        <v>Master</v>
      </c>
      <c r="T731" t="str">
        <f>_xlfn.XLOOKUP(G731,Lookup_Tables!$D$2:$D$5,Lookup_Tables!$E$2:$E$5)</f>
        <v>High</v>
      </c>
      <c r="U731" t="str">
        <f>_xlfn.XLOOKUP(H731,Lookup_Tables!$D$2:$D$5,Lookup_Tables!$E$2:$E$5)</f>
        <v>High</v>
      </c>
      <c r="V731" t="str">
        <f>_xlfn.XLOOKUP(L731,Lookup_Tables!$D$2:$D$5,Lookup_Tables!$E$2:$E$5)</f>
        <v>Medium</v>
      </c>
    </row>
    <row r="732" spans="1:22">
      <c r="A732">
        <f>RAW_DATA!A732</f>
        <v>30</v>
      </c>
      <c r="B732" t="str">
        <f>RAW_DATA!B732</f>
        <v>No</v>
      </c>
      <c r="C732" t="str">
        <f>RAW_DATA!C732</f>
        <v>Research &amp; Development</v>
      </c>
      <c r="D732">
        <f>RAW_DATA!D732</f>
        <v>8</v>
      </c>
      <c r="E732">
        <f>RAW_DATA!E732</f>
        <v>2</v>
      </c>
      <c r="F732" t="str">
        <f>RAW_DATA!F732</f>
        <v>Life Sciences</v>
      </c>
      <c r="G732">
        <f>RAW_DATA!G732</f>
        <v>2</v>
      </c>
      <c r="H732">
        <f>RAW_DATA!H732</f>
        <v>1</v>
      </c>
      <c r="I732" t="str">
        <f>RAW_DATA!I732</f>
        <v>Married</v>
      </c>
      <c r="J732">
        <f>RAW_DATA!J732</f>
        <v>11416</v>
      </c>
      <c r="K732">
        <f>RAW_DATA!K732</f>
        <v>0</v>
      </c>
      <c r="L732">
        <f>RAW_DATA!L732</f>
        <v>2</v>
      </c>
      <c r="M732">
        <f>RAW_DATA!M732</f>
        <v>8</v>
      </c>
      <c r="N732">
        <f t="shared" si="22"/>
        <v>0</v>
      </c>
      <c r="O732" t="str">
        <f xml:space="preserve"> VLOOKUP(A732, Lookup_Tables!$G$2:$H$6,2,TRUE)</f>
        <v>25-34</v>
      </c>
      <c r="P732" t="str">
        <f>_xlfn.XLOOKUP(J732,Lookup_Tables!$J$2:$J$4,Lookup_Tables!$K$2:$K$4, " ",-1)</f>
        <v>High</v>
      </c>
      <c r="Q732" t="str">
        <f xml:space="preserve"> _xlfn.XLOOKUP(M732, Lookup_Tables!$M$2:$M$5,Lookup_Tables!$N$2:$N$5," ", -1)</f>
        <v>Established (5-10)</v>
      </c>
      <c r="R732" s="4">
        <f t="shared" si="23"/>
        <v>1.6666666666666667</v>
      </c>
      <c r="S732" t="str">
        <f xml:space="preserve"> _xlfn.XLOOKUP( E732, Lookup_Tables!$A$2:$A$6,Lookup_Tables!$B$2:$B$6," ", -1)</f>
        <v>College</v>
      </c>
      <c r="T732" t="str">
        <f>_xlfn.XLOOKUP(G732,Lookup_Tables!$D$2:$D$5,Lookup_Tables!$E$2:$E$5)</f>
        <v>Medium</v>
      </c>
      <c r="U732" t="str">
        <f>_xlfn.XLOOKUP(H732,Lookup_Tables!$D$2:$D$5,Lookup_Tables!$E$2:$E$5)</f>
        <v>Low</v>
      </c>
      <c r="V732" t="str">
        <f>_xlfn.XLOOKUP(L732,Lookup_Tables!$D$2:$D$5,Lookup_Tables!$E$2:$E$5)</f>
        <v>Medium</v>
      </c>
    </row>
    <row r="733" spans="1:22">
      <c r="A733">
        <f>RAW_DATA!A733</f>
        <v>20</v>
      </c>
      <c r="B733" t="str">
        <f>RAW_DATA!B733</f>
        <v>Yes</v>
      </c>
      <c r="C733" t="str">
        <f>RAW_DATA!C733</f>
        <v>Research &amp; Development</v>
      </c>
      <c r="D733">
        <f>RAW_DATA!D733</f>
        <v>11</v>
      </c>
      <c r="E733">
        <f>RAW_DATA!E733</f>
        <v>3</v>
      </c>
      <c r="F733" t="str">
        <f>RAW_DATA!F733</f>
        <v>Medical</v>
      </c>
      <c r="G733">
        <f>RAW_DATA!G733</f>
        <v>4</v>
      </c>
      <c r="H733">
        <f>RAW_DATA!H733</f>
        <v>1</v>
      </c>
      <c r="I733" t="str">
        <f>RAW_DATA!I733</f>
        <v>Single</v>
      </c>
      <c r="J733">
        <f>RAW_DATA!J733</f>
        <v>2600</v>
      </c>
      <c r="K733">
        <f>RAW_DATA!K733</f>
        <v>1</v>
      </c>
      <c r="L733">
        <f>RAW_DATA!L733</f>
        <v>3</v>
      </c>
      <c r="M733">
        <f>RAW_DATA!M733</f>
        <v>1</v>
      </c>
      <c r="N733">
        <f t="shared" si="22"/>
        <v>1</v>
      </c>
      <c r="O733" t="str">
        <f xml:space="preserve"> VLOOKUP(A733, Lookup_Tables!$G$2:$H$6,2,TRUE)</f>
        <v>&lt;25</v>
      </c>
      <c r="P733" t="str">
        <f>_xlfn.XLOOKUP(J733,Lookup_Tables!$J$2:$J$4,Lookup_Tables!$K$2:$K$4, " ",-1)</f>
        <v>Low</v>
      </c>
      <c r="Q733" t="str">
        <f xml:space="preserve"> _xlfn.XLOOKUP(M733, Lookup_Tables!$M$2:$M$5,Lookup_Tables!$N$2:$N$5," ", -1)</f>
        <v>New (0-2)</v>
      </c>
      <c r="R733" s="4">
        <f t="shared" si="23"/>
        <v>2.6666666666666665</v>
      </c>
      <c r="S733" t="str">
        <f xml:space="preserve"> _xlfn.XLOOKUP( E733, Lookup_Tables!$A$2:$A$6,Lookup_Tables!$B$2:$B$6," ", -1)</f>
        <v>Bachelor</v>
      </c>
      <c r="T733" t="str">
        <f>_xlfn.XLOOKUP(G733,Lookup_Tables!$D$2:$D$5,Lookup_Tables!$E$2:$E$5)</f>
        <v>Very High</v>
      </c>
      <c r="U733" t="str">
        <f>_xlfn.XLOOKUP(H733,Lookup_Tables!$D$2:$D$5,Lookup_Tables!$E$2:$E$5)</f>
        <v>Low</v>
      </c>
      <c r="V733" t="str">
        <f>_xlfn.XLOOKUP(L733,Lookup_Tables!$D$2:$D$5,Lookup_Tables!$E$2:$E$5)</f>
        <v>High</v>
      </c>
    </row>
    <row r="734" spans="1:22">
      <c r="A734">
        <f>RAW_DATA!A734</f>
        <v>30</v>
      </c>
      <c r="B734" t="str">
        <f>RAW_DATA!B734</f>
        <v>Yes</v>
      </c>
      <c r="C734" t="str">
        <f>RAW_DATA!C734</f>
        <v>Research &amp; Development</v>
      </c>
      <c r="D734">
        <f>RAW_DATA!D734</f>
        <v>5</v>
      </c>
      <c r="E734">
        <f>RAW_DATA!E734</f>
        <v>3</v>
      </c>
      <c r="F734" t="str">
        <f>RAW_DATA!F734</f>
        <v>Medical</v>
      </c>
      <c r="G734">
        <f>RAW_DATA!G734</f>
        <v>2</v>
      </c>
      <c r="H734">
        <f>RAW_DATA!H734</f>
        <v>2</v>
      </c>
      <c r="I734" t="str">
        <f>RAW_DATA!I734</f>
        <v>Single</v>
      </c>
      <c r="J734">
        <f>RAW_DATA!J734</f>
        <v>2422</v>
      </c>
      <c r="K734">
        <f>RAW_DATA!K734</f>
        <v>0</v>
      </c>
      <c r="L734">
        <f>RAW_DATA!L734</f>
        <v>3</v>
      </c>
      <c r="M734">
        <f>RAW_DATA!M734</f>
        <v>3</v>
      </c>
      <c r="N734">
        <f t="shared" si="22"/>
        <v>1</v>
      </c>
      <c r="O734" t="str">
        <f xml:space="preserve"> VLOOKUP(A734, Lookup_Tables!$G$2:$H$6,2,TRUE)</f>
        <v>25-34</v>
      </c>
      <c r="P734" t="str">
        <f>_xlfn.XLOOKUP(J734,Lookup_Tables!$J$2:$J$4,Lookup_Tables!$K$2:$K$4, " ",-1)</f>
        <v>Low</v>
      </c>
      <c r="Q734" t="str">
        <f xml:space="preserve"> _xlfn.XLOOKUP(M734, Lookup_Tables!$M$2:$M$5,Lookup_Tables!$N$2:$N$5," ", -1)</f>
        <v>Early (2-5)</v>
      </c>
      <c r="R734" s="4">
        <f t="shared" si="23"/>
        <v>2.3333333333333335</v>
      </c>
      <c r="S734" t="str">
        <f xml:space="preserve"> _xlfn.XLOOKUP( E734, Lookup_Tables!$A$2:$A$6,Lookup_Tables!$B$2:$B$6," ", -1)</f>
        <v>Bachelor</v>
      </c>
      <c r="T734" t="str">
        <f>_xlfn.XLOOKUP(G734,Lookup_Tables!$D$2:$D$5,Lookup_Tables!$E$2:$E$5)</f>
        <v>Medium</v>
      </c>
      <c r="U734" t="str">
        <f>_xlfn.XLOOKUP(H734,Lookup_Tables!$D$2:$D$5,Lookup_Tables!$E$2:$E$5)</f>
        <v>Medium</v>
      </c>
      <c r="V734" t="str">
        <f>_xlfn.XLOOKUP(L734,Lookup_Tables!$D$2:$D$5,Lookup_Tables!$E$2:$E$5)</f>
        <v>High</v>
      </c>
    </row>
    <row r="735" spans="1:22">
      <c r="A735">
        <f>RAW_DATA!A735</f>
        <v>26</v>
      </c>
      <c r="B735" t="str">
        <f>RAW_DATA!B735</f>
        <v>No</v>
      </c>
      <c r="C735" t="str">
        <f>RAW_DATA!C735</f>
        <v>Research &amp; Development</v>
      </c>
      <c r="D735">
        <f>RAW_DATA!D735</f>
        <v>2</v>
      </c>
      <c r="E735">
        <f>RAW_DATA!E735</f>
        <v>2</v>
      </c>
      <c r="F735" t="str">
        <f>RAW_DATA!F735</f>
        <v>Medical</v>
      </c>
      <c r="G735">
        <f>RAW_DATA!G735</f>
        <v>4</v>
      </c>
      <c r="H735">
        <f>RAW_DATA!H735</f>
        <v>4</v>
      </c>
      <c r="I735" t="str">
        <f>RAW_DATA!I735</f>
        <v>Married</v>
      </c>
      <c r="J735">
        <f>RAW_DATA!J735</f>
        <v>5472</v>
      </c>
      <c r="K735">
        <f>RAW_DATA!K735</f>
        <v>1</v>
      </c>
      <c r="L735">
        <f>RAW_DATA!L735</f>
        <v>3</v>
      </c>
      <c r="M735">
        <f>RAW_DATA!M735</f>
        <v>8</v>
      </c>
      <c r="N735">
        <f t="shared" si="22"/>
        <v>0</v>
      </c>
      <c r="O735" t="str">
        <f xml:space="preserve"> VLOOKUP(A735, Lookup_Tables!$G$2:$H$6,2,TRUE)</f>
        <v>25-34</v>
      </c>
      <c r="P735" t="str">
        <f>_xlfn.XLOOKUP(J735,Lookup_Tables!$J$2:$J$4,Lookup_Tables!$K$2:$K$4, " ",-1)</f>
        <v>Medium</v>
      </c>
      <c r="Q735" t="str">
        <f xml:space="preserve"> _xlfn.XLOOKUP(M735, Lookup_Tables!$M$2:$M$5,Lookup_Tables!$N$2:$N$5," ", -1)</f>
        <v>Established (5-10)</v>
      </c>
      <c r="R735" s="4">
        <f t="shared" si="23"/>
        <v>3.6666666666666665</v>
      </c>
      <c r="S735" t="str">
        <f xml:space="preserve"> _xlfn.XLOOKUP( E735, Lookup_Tables!$A$2:$A$6,Lookup_Tables!$B$2:$B$6," ", -1)</f>
        <v>College</v>
      </c>
      <c r="T735" t="str">
        <f>_xlfn.XLOOKUP(G735,Lookup_Tables!$D$2:$D$5,Lookup_Tables!$E$2:$E$5)</f>
        <v>Very High</v>
      </c>
      <c r="U735" t="str">
        <f>_xlfn.XLOOKUP(H735,Lookup_Tables!$D$2:$D$5,Lookup_Tables!$E$2:$E$5)</f>
        <v>Very High</v>
      </c>
      <c r="V735" t="str">
        <f>_xlfn.XLOOKUP(L735,Lookup_Tables!$D$2:$D$5,Lookup_Tables!$E$2:$E$5)</f>
        <v>High</v>
      </c>
    </row>
    <row r="736" spans="1:22">
      <c r="A736">
        <f>RAW_DATA!A736</f>
        <v>22</v>
      </c>
      <c r="B736" t="str">
        <f>RAW_DATA!B736</f>
        <v>No</v>
      </c>
      <c r="C736" t="str">
        <f>RAW_DATA!C736</f>
        <v>Research &amp; Development</v>
      </c>
      <c r="D736">
        <f>RAW_DATA!D736</f>
        <v>8</v>
      </c>
      <c r="E736">
        <f>RAW_DATA!E736</f>
        <v>1</v>
      </c>
      <c r="F736" t="str">
        <f>RAW_DATA!F736</f>
        <v>Life Sciences</v>
      </c>
      <c r="G736">
        <f>RAW_DATA!G736</f>
        <v>2</v>
      </c>
      <c r="H736">
        <f>RAW_DATA!H736</f>
        <v>1</v>
      </c>
      <c r="I736" t="str">
        <f>RAW_DATA!I736</f>
        <v>Married</v>
      </c>
      <c r="J736">
        <f>RAW_DATA!J736</f>
        <v>2451</v>
      </c>
      <c r="K736">
        <f>RAW_DATA!K736</f>
        <v>1</v>
      </c>
      <c r="L736">
        <f>RAW_DATA!L736</f>
        <v>2</v>
      </c>
      <c r="M736">
        <f>RAW_DATA!M736</f>
        <v>4</v>
      </c>
      <c r="N736">
        <f t="shared" si="22"/>
        <v>0</v>
      </c>
      <c r="O736" t="str">
        <f xml:space="preserve"> VLOOKUP(A736, Lookup_Tables!$G$2:$H$6,2,TRUE)</f>
        <v>&lt;25</v>
      </c>
      <c r="P736" t="str">
        <f>_xlfn.XLOOKUP(J736,Lookup_Tables!$J$2:$J$4,Lookup_Tables!$K$2:$K$4, " ",-1)</f>
        <v>Low</v>
      </c>
      <c r="Q736" t="str">
        <f xml:space="preserve"> _xlfn.XLOOKUP(M736, Lookup_Tables!$M$2:$M$5,Lookup_Tables!$N$2:$N$5," ", -1)</f>
        <v>Early (2-5)</v>
      </c>
      <c r="R736" s="4">
        <f t="shared" si="23"/>
        <v>1.6666666666666667</v>
      </c>
      <c r="S736" t="str">
        <f xml:space="preserve"> _xlfn.XLOOKUP( E736, Lookup_Tables!$A$2:$A$6,Lookup_Tables!$B$2:$B$6," ", -1)</f>
        <v>Below College</v>
      </c>
      <c r="T736" t="str">
        <f>_xlfn.XLOOKUP(G736,Lookup_Tables!$D$2:$D$5,Lookup_Tables!$E$2:$E$5)</f>
        <v>Medium</v>
      </c>
      <c r="U736" t="str">
        <f>_xlfn.XLOOKUP(H736,Lookup_Tables!$D$2:$D$5,Lookup_Tables!$E$2:$E$5)</f>
        <v>Low</v>
      </c>
      <c r="V736" t="str">
        <f>_xlfn.XLOOKUP(L736,Lookup_Tables!$D$2:$D$5,Lookup_Tables!$E$2:$E$5)</f>
        <v>Medium</v>
      </c>
    </row>
    <row r="737" spans="1:22">
      <c r="A737">
        <f>RAW_DATA!A737</f>
        <v>48</v>
      </c>
      <c r="B737" t="str">
        <f>RAW_DATA!B737</f>
        <v>No</v>
      </c>
      <c r="C737" t="str">
        <f>RAW_DATA!C737</f>
        <v>Research &amp; Development</v>
      </c>
      <c r="D737">
        <f>RAW_DATA!D737</f>
        <v>6</v>
      </c>
      <c r="E737">
        <f>RAW_DATA!E737</f>
        <v>3</v>
      </c>
      <c r="F737" t="str">
        <f>RAW_DATA!F737</f>
        <v>Life Sciences</v>
      </c>
      <c r="G737">
        <f>RAW_DATA!G737</f>
        <v>1</v>
      </c>
      <c r="H737">
        <f>RAW_DATA!H737</f>
        <v>3</v>
      </c>
      <c r="I737" t="str">
        <f>RAW_DATA!I737</f>
        <v>Single</v>
      </c>
      <c r="J737">
        <f>RAW_DATA!J737</f>
        <v>4240</v>
      </c>
      <c r="K737">
        <f>RAW_DATA!K737</f>
        <v>2</v>
      </c>
      <c r="L737">
        <f>RAW_DATA!L737</f>
        <v>3</v>
      </c>
      <c r="M737">
        <f>RAW_DATA!M737</f>
        <v>2</v>
      </c>
      <c r="N737">
        <f t="shared" si="22"/>
        <v>0</v>
      </c>
      <c r="O737" t="str">
        <f xml:space="preserve"> VLOOKUP(A737, Lookup_Tables!$G$2:$H$6,2,TRUE)</f>
        <v>45-54</v>
      </c>
      <c r="P737" t="str">
        <f>_xlfn.XLOOKUP(J737,Lookup_Tables!$J$2:$J$4,Lookup_Tables!$K$2:$K$4, " ",-1)</f>
        <v>Medium</v>
      </c>
      <c r="Q737" t="str">
        <f xml:space="preserve"> _xlfn.XLOOKUP(M737, Lookup_Tables!$M$2:$M$5,Lookup_Tables!$N$2:$N$5," ", -1)</f>
        <v>Early (2-5)</v>
      </c>
      <c r="R737" s="4">
        <f t="shared" si="23"/>
        <v>2.3333333333333335</v>
      </c>
      <c r="S737" t="str">
        <f xml:space="preserve"> _xlfn.XLOOKUP( E737, Lookup_Tables!$A$2:$A$6,Lookup_Tables!$B$2:$B$6," ", -1)</f>
        <v>Bachelor</v>
      </c>
      <c r="T737" t="str">
        <f>_xlfn.XLOOKUP(G737,Lookup_Tables!$D$2:$D$5,Lookup_Tables!$E$2:$E$5)</f>
        <v>Low</v>
      </c>
      <c r="U737" t="str">
        <f>_xlfn.XLOOKUP(H737,Lookup_Tables!$D$2:$D$5,Lookup_Tables!$E$2:$E$5)</f>
        <v>High</v>
      </c>
      <c r="V737" t="str">
        <f>_xlfn.XLOOKUP(L737,Lookup_Tables!$D$2:$D$5,Lookup_Tables!$E$2:$E$5)</f>
        <v>High</v>
      </c>
    </row>
    <row r="738" spans="1:22">
      <c r="A738">
        <f>RAW_DATA!A738</f>
        <v>48</v>
      </c>
      <c r="B738" t="str">
        <f>RAW_DATA!B738</f>
        <v>No</v>
      </c>
      <c r="C738" t="str">
        <f>RAW_DATA!C738</f>
        <v>Research &amp; Development</v>
      </c>
      <c r="D738">
        <f>RAW_DATA!D738</f>
        <v>4</v>
      </c>
      <c r="E738">
        <f>RAW_DATA!E738</f>
        <v>4</v>
      </c>
      <c r="F738" t="str">
        <f>RAW_DATA!F738</f>
        <v>Life Sciences</v>
      </c>
      <c r="G738">
        <f>RAW_DATA!G738</f>
        <v>3</v>
      </c>
      <c r="H738">
        <f>RAW_DATA!H738</f>
        <v>3</v>
      </c>
      <c r="I738" t="str">
        <f>RAW_DATA!I738</f>
        <v>Single</v>
      </c>
      <c r="J738">
        <f>RAW_DATA!J738</f>
        <v>10999</v>
      </c>
      <c r="K738">
        <f>RAW_DATA!K738</f>
        <v>7</v>
      </c>
      <c r="L738">
        <f>RAW_DATA!L738</f>
        <v>3</v>
      </c>
      <c r="M738">
        <f>RAW_DATA!M738</f>
        <v>15</v>
      </c>
      <c r="N738">
        <f t="shared" si="22"/>
        <v>0</v>
      </c>
      <c r="O738" t="str">
        <f xml:space="preserve"> VLOOKUP(A738, Lookup_Tables!$G$2:$H$6,2,TRUE)</f>
        <v>45-54</v>
      </c>
      <c r="P738" t="str">
        <f>_xlfn.XLOOKUP(J738,Lookup_Tables!$J$2:$J$4,Lookup_Tables!$K$2:$K$4, " ",-1)</f>
        <v>High</v>
      </c>
      <c r="Q738" t="str">
        <f xml:space="preserve"> _xlfn.XLOOKUP(M738, Lookup_Tables!$M$2:$M$5,Lookup_Tables!$N$2:$N$5," ", -1)</f>
        <v>Veteran (10+)</v>
      </c>
      <c r="R738" s="4">
        <f t="shared" si="23"/>
        <v>3</v>
      </c>
      <c r="S738" t="str">
        <f xml:space="preserve"> _xlfn.XLOOKUP( E738, Lookup_Tables!$A$2:$A$6,Lookup_Tables!$B$2:$B$6," ", -1)</f>
        <v>Master</v>
      </c>
      <c r="T738" t="str">
        <f>_xlfn.XLOOKUP(G738,Lookup_Tables!$D$2:$D$5,Lookup_Tables!$E$2:$E$5)</f>
        <v>High</v>
      </c>
      <c r="U738" t="str">
        <f>_xlfn.XLOOKUP(H738,Lookup_Tables!$D$2:$D$5,Lookup_Tables!$E$2:$E$5)</f>
        <v>High</v>
      </c>
      <c r="V738" t="str">
        <f>_xlfn.XLOOKUP(L738,Lookup_Tables!$D$2:$D$5,Lookup_Tables!$E$2:$E$5)</f>
        <v>High</v>
      </c>
    </row>
    <row r="739" spans="1:22">
      <c r="A739">
        <f>RAW_DATA!A739</f>
        <v>41</v>
      </c>
      <c r="B739" t="str">
        <f>RAW_DATA!B739</f>
        <v>No</v>
      </c>
      <c r="C739" t="str">
        <f>RAW_DATA!C739</f>
        <v>Research &amp; Development</v>
      </c>
      <c r="D739">
        <f>RAW_DATA!D739</f>
        <v>7</v>
      </c>
      <c r="E739">
        <f>RAW_DATA!E739</f>
        <v>2</v>
      </c>
      <c r="F739" t="str">
        <f>RAW_DATA!F739</f>
        <v>Medical</v>
      </c>
      <c r="G739">
        <f>RAW_DATA!G739</f>
        <v>4</v>
      </c>
      <c r="H739">
        <f>RAW_DATA!H739</f>
        <v>3</v>
      </c>
      <c r="I739" t="str">
        <f>RAW_DATA!I739</f>
        <v>Single</v>
      </c>
      <c r="J739">
        <f>RAW_DATA!J739</f>
        <v>5003</v>
      </c>
      <c r="K739">
        <f>RAW_DATA!K739</f>
        <v>6</v>
      </c>
      <c r="L739">
        <f>RAW_DATA!L739</f>
        <v>3</v>
      </c>
      <c r="M739">
        <f>RAW_DATA!M739</f>
        <v>2</v>
      </c>
      <c r="N739">
        <f t="shared" si="22"/>
        <v>0</v>
      </c>
      <c r="O739" t="str">
        <f xml:space="preserve"> VLOOKUP(A739, Lookup_Tables!$G$2:$H$6,2,TRUE)</f>
        <v>35-44</v>
      </c>
      <c r="P739" t="str">
        <f>_xlfn.XLOOKUP(J739,Lookup_Tables!$J$2:$J$4,Lookup_Tables!$K$2:$K$4, " ",-1)</f>
        <v>Medium</v>
      </c>
      <c r="Q739" t="str">
        <f xml:space="preserve"> _xlfn.XLOOKUP(M739, Lookup_Tables!$M$2:$M$5,Lookup_Tables!$N$2:$N$5," ", -1)</f>
        <v>Early (2-5)</v>
      </c>
      <c r="R739" s="4">
        <f t="shared" si="23"/>
        <v>3.3333333333333335</v>
      </c>
      <c r="S739" t="str">
        <f xml:space="preserve"> _xlfn.XLOOKUP( E739, Lookup_Tables!$A$2:$A$6,Lookup_Tables!$B$2:$B$6," ", -1)</f>
        <v>College</v>
      </c>
      <c r="T739" t="str">
        <f>_xlfn.XLOOKUP(G739,Lookup_Tables!$D$2:$D$5,Lookup_Tables!$E$2:$E$5)</f>
        <v>Very High</v>
      </c>
      <c r="U739" t="str">
        <f>_xlfn.XLOOKUP(H739,Lookup_Tables!$D$2:$D$5,Lookup_Tables!$E$2:$E$5)</f>
        <v>High</v>
      </c>
      <c r="V739" t="str">
        <f>_xlfn.XLOOKUP(L739,Lookup_Tables!$D$2:$D$5,Lookup_Tables!$E$2:$E$5)</f>
        <v>High</v>
      </c>
    </row>
    <row r="740" spans="1:22">
      <c r="A740">
        <f>RAW_DATA!A740</f>
        <v>39</v>
      </c>
      <c r="B740" t="str">
        <f>RAW_DATA!B740</f>
        <v>No</v>
      </c>
      <c r="C740" t="str">
        <f>RAW_DATA!C740</f>
        <v>Research &amp; Development</v>
      </c>
      <c r="D740">
        <f>RAW_DATA!D740</f>
        <v>1</v>
      </c>
      <c r="E740">
        <f>RAW_DATA!E740</f>
        <v>1</v>
      </c>
      <c r="F740" t="str">
        <f>RAW_DATA!F740</f>
        <v>Life Sciences</v>
      </c>
      <c r="G740">
        <f>RAW_DATA!G740</f>
        <v>4</v>
      </c>
      <c r="H740">
        <f>RAW_DATA!H740</f>
        <v>4</v>
      </c>
      <c r="I740" t="str">
        <f>RAW_DATA!I740</f>
        <v>Married</v>
      </c>
      <c r="J740">
        <f>RAW_DATA!J740</f>
        <v>12742</v>
      </c>
      <c r="K740">
        <f>RAW_DATA!K740</f>
        <v>1</v>
      </c>
      <c r="L740">
        <f>RAW_DATA!L740</f>
        <v>3</v>
      </c>
      <c r="M740">
        <f>RAW_DATA!M740</f>
        <v>21</v>
      </c>
      <c r="N740">
        <f t="shared" si="22"/>
        <v>0</v>
      </c>
      <c r="O740" t="str">
        <f xml:space="preserve"> VLOOKUP(A740, Lookup_Tables!$G$2:$H$6,2,TRUE)</f>
        <v>35-44</v>
      </c>
      <c r="P740" t="str">
        <f>_xlfn.XLOOKUP(J740,Lookup_Tables!$J$2:$J$4,Lookup_Tables!$K$2:$K$4, " ",-1)</f>
        <v>High</v>
      </c>
      <c r="Q740" t="str">
        <f xml:space="preserve"> _xlfn.XLOOKUP(M740, Lookup_Tables!$M$2:$M$5,Lookup_Tables!$N$2:$N$5," ", -1)</f>
        <v>Veteran (10+)</v>
      </c>
      <c r="R740" s="4">
        <f t="shared" si="23"/>
        <v>3.6666666666666665</v>
      </c>
      <c r="S740" t="str">
        <f xml:space="preserve"> _xlfn.XLOOKUP( E740, Lookup_Tables!$A$2:$A$6,Lookup_Tables!$B$2:$B$6," ", -1)</f>
        <v>Below College</v>
      </c>
      <c r="T740" t="str">
        <f>_xlfn.XLOOKUP(G740,Lookup_Tables!$D$2:$D$5,Lookup_Tables!$E$2:$E$5)</f>
        <v>Very High</v>
      </c>
      <c r="U740" t="str">
        <f>_xlfn.XLOOKUP(H740,Lookup_Tables!$D$2:$D$5,Lookup_Tables!$E$2:$E$5)</f>
        <v>Very High</v>
      </c>
      <c r="V740" t="str">
        <f>_xlfn.XLOOKUP(L740,Lookup_Tables!$D$2:$D$5,Lookup_Tables!$E$2:$E$5)</f>
        <v>High</v>
      </c>
    </row>
    <row r="741" spans="1:22">
      <c r="A741">
        <f>RAW_DATA!A741</f>
        <v>27</v>
      </c>
      <c r="B741" t="str">
        <f>RAW_DATA!B741</f>
        <v>No</v>
      </c>
      <c r="C741" t="str">
        <f>RAW_DATA!C741</f>
        <v>Research &amp; Development</v>
      </c>
      <c r="D741">
        <f>RAW_DATA!D741</f>
        <v>2</v>
      </c>
      <c r="E741">
        <f>RAW_DATA!E741</f>
        <v>4</v>
      </c>
      <c r="F741" t="str">
        <f>RAW_DATA!F741</f>
        <v>Life Sciences</v>
      </c>
      <c r="G741">
        <f>RAW_DATA!G741</f>
        <v>1</v>
      </c>
      <c r="H741">
        <f>RAW_DATA!H741</f>
        <v>4</v>
      </c>
      <c r="I741" t="str">
        <f>RAW_DATA!I741</f>
        <v>Married</v>
      </c>
      <c r="J741">
        <f>RAW_DATA!J741</f>
        <v>4227</v>
      </c>
      <c r="K741">
        <f>RAW_DATA!K741</f>
        <v>0</v>
      </c>
      <c r="L741">
        <f>RAW_DATA!L741</f>
        <v>3</v>
      </c>
      <c r="M741">
        <f>RAW_DATA!M741</f>
        <v>3</v>
      </c>
      <c r="N741">
        <f t="shared" si="22"/>
        <v>0</v>
      </c>
      <c r="O741" t="str">
        <f xml:space="preserve"> VLOOKUP(A741, Lookup_Tables!$G$2:$H$6,2,TRUE)</f>
        <v>25-34</v>
      </c>
      <c r="P741" t="str">
        <f>_xlfn.XLOOKUP(J741,Lookup_Tables!$J$2:$J$4,Lookup_Tables!$K$2:$K$4, " ",-1)</f>
        <v>Medium</v>
      </c>
      <c r="Q741" t="str">
        <f xml:space="preserve"> _xlfn.XLOOKUP(M741, Lookup_Tables!$M$2:$M$5,Lookup_Tables!$N$2:$N$5," ", -1)</f>
        <v>Early (2-5)</v>
      </c>
      <c r="R741" s="4">
        <f t="shared" si="23"/>
        <v>2.6666666666666665</v>
      </c>
      <c r="S741" t="str">
        <f xml:space="preserve"> _xlfn.XLOOKUP( E741, Lookup_Tables!$A$2:$A$6,Lookup_Tables!$B$2:$B$6," ", -1)</f>
        <v>Master</v>
      </c>
      <c r="T741" t="str">
        <f>_xlfn.XLOOKUP(G741,Lookup_Tables!$D$2:$D$5,Lookup_Tables!$E$2:$E$5)</f>
        <v>Low</v>
      </c>
      <c r="U741" t="str">
        <f>_xlfn.XLOOKUP(H741,Lookup_Tables!$D$2:$D$5,Lookup_Tables!$E$2:$E$5)</f>
        <v>Very High</v>
      </c>
      <c r="V741" t="str">
        <f>_xlfn.XLOOKUP(L741,Lookup_Tables!$D$2:$D$5,Lookup_Tables!$E$2:$E$5)</f>
        <v>High</v>
      </c>
    </row>
    <row r="742" spans="1:22">
      <c r="A742">
        <f>RAW_DATA!A742</f>
        <v>35</v>
      </c>
      <c r="B742" t="str">
        <f>RAW_DATA!B742</f>
        <v>No</v>
      </c>
      <c r="C742" t="str">
        <f>RAW_DATA!C742</f>
        <v>Research &amp; Development</v>
      </c>
      <c r="D742">
        <f>RAW_DATA!D742</f>
        <v>10</v>
      </c>
      <c r="E742">
        <f>RAW_DATA!E742</f>
        <v>3</v>
      </c>
      <c r="F742" t="str">
        <f>RAW_DATA!F742</f>
        <v>Other</v>
      </c>
      <c r="G742">
        <f>RAW_DATA!G742</f>
        <v>2</v>
      </c>
      <c r="H742">
        <f>RAW_DATA!H742</f>
        <v>4</v>
      </c>
      <c r="I742" t="str">
        <f>RAW_DATA!I742</f>
        <v>Divorced</v>
      </c>
      <c r="J742">
        <f>RAW_DATA!J742</f>
        <v>3917</v>
      </c>
      <c r="K742">
        <f>RAW_DATA!K742</f>
        <v>1</v>
      </c>
      <c r="L742">
        <f>RAW_DATA!L742</f>
        <v>2</v>
      </c>
      <c r="M742">
        <f>RAW_DATA!M742</f>
        <v>3</v>
      </c>
      <c r="N742">
        <f t="shared" si="22"/>
        <v>0</v>
      </c>
      <c r="O742" t="str">
        <f xml:space="preserve"> VLOOKUP(A742, Lookup_Tables!$G$2:$H$6,2,TRUE)</f>
        <v>35-44</v>
      </c>
      <c r="P742" t="str">
        <f>_xlfn.XLOOKUP(J742,Lookup_Tables!$J$2:$J$4,Lookup_Tables!$K$2:$K$4, " ",-1)</f>
        <v>Medium</v>
      </c>
      <c r="Q742" t="str">
        <f xml:space="preserve"> _xlfn.XLOOKUP(M742, Lookup_Tables!$M$2:$M$5,Lookup_Tables!$N$2:$N$5," ", -1)</f>
        <v>Early (2-5)</v>
      </c>
      <c r="R742" s="4">
        <f t="shared" si="23"/>
        <v>2.6666666666666665</v>
      </c>
      <c r="S742" t="str">
        <f xml:space="preserve"> _xlfn.XLOOKUP( E742, Lookup_Tables!$A$2:$A$6,Lookup_Tables!$B$2:$B$6," ", -1)</f>
        <v>Bachelor</v>
      </c>
      <c r="T742" t="str">
        <f>_xlfn.XLOOKUP(G742,Lookup_Tables!$D$2:$D$5,Lookup_Tables!$E$2:$E$5)</f>
        <v>Medium</v>
      </c>
      <c r="U742" t="str">
        <f>_xlfn.XLOOKUP(H742,Lookup_Tables!$D$2:$D$5,Lookup_Tables!$E$2:$E$5)</f>
        <v>Very High</v>
      </c>
      <c r="V742" t="str">
        <f>_xlfn.XLOOKUP(L742,Lookup_Tables!$D$2:$D$5,Lookup_Tables!$E$2:$E$5)</f>
        <v>Medium</v>
      </c>
    </row>
    <row r="743" spans="1:22">
      <c r="A743">
        <f>RAW_DATA!A743</f>
        <v>42</v>
      </c>
      <c r="B743" t="str">
        <f>RAW_DATA!B743</f>
        <v>No</v>
      </c>
      <c r="C743" t="str">
        <f>RAW_DATA!C743</f>
        <v>Sales</v>
      </c>
      <c r="D743">
        <f>RAW_DATA!D743</f>
        <v>5</v>
      </c>
      <c r="E743">
        <f>RAW_DATA!E743</f>
        <v>2</v>
      </c>
      <c r="F743" t="str">
        <f>RAW_DATA!F743</f>
        <v>Marketing</v>
      </c>
      <c r="G743">
        <f>RAW_DATA!G743</f>
        <v>4</v>
      </c>
      <c r="H743">
        <f>RAW_DATA!H743</f>
        <v>3</v>
      </c>
      <c r="I743" t="str">
        <f>RAW_DATA!I743</f>
        <v>Married</v>
      </c>
      <c r="J743">
        <f>RAW_DATA!J743</f>
        <v>18303</v>
      </c>
      <c r="K743">
        <f>RAW_DATA!K743</f>
        <v>6</v>
      </c>
      <c r="L743">
        <f>RAW_DATA!L743</f>
        <v>4</v>
      </c>
      <c r="M743">
        <f>RAW_DATA!M743</f>
        <v>1</v>
      </c>
      <c r="N743">
        <f t="shared" si="22"/>
        <v>0</v>
      </c>
      <c r="O743" t="str">
        <f xml:space="preserve"> VLOOKUP(A743, Lookup_Tables!$G$2:$H$6,2,TRUE)</f>
        <v>35-44</v>
      </c>
      <c r="P743" t="str">
        <f>_xlfn.XLOOKUP(J743,Lookup_Tables!$J$2:$J$4,Lookup_Tables!$K$2:$K$4, " ",-1)</f>
        <v>High</v>
      </c>
      <c r="Q743" t="str">
        <f xml:space="preserve"> _xlfn.XLOOKUP(M743, Lookup_Tables!$M$2:$M$5,Lookup_Tables!$N$2:$N$5," ", -1)</f>
        <v>New (0-2)</v>
      </c>
      <c r="R743" s="4">
        <f t="shared" si="23"/>
        <v>3.6666666666666665</v>
      </c>
      <c r="S743" t="str">
        <f xml:space="preserve"> _xlfn.XLOOKUP( E743, Lookup_Tables!$A$2:$A$6,Lookup_Tables!$B$2:$B$6," ", -1)</f>
        <v>College</v>
      </c>
      <c r="T743" t="str">
        <f>_xlfn.XLOOKUP(G743,Lookup_Tables!$D$2:$D$5,Lookup_Tables!$E$2:$E$5)</f>
        <v>Very High</v>
      </c>
      <c r="U743" t="str">
        <f>_xlfn.XLOOKUP(H743,Lookup_Tables!$D$2:$D$5,Lookup_Tables!$E$2:$E$5)</f>
        <v>High</v>
      </c>
      <c r="V743" t="str">
        <f>_xlfn.XLOOKUP(L743,Lookup_Tables!$D$2:$D$5,Lookup_Tables!$E$2:$E$5)</f>
        <v>Very High</v>
      </c>
    </row>
    <row r="744" spans="1:22">
      <c r="A744">
        <f>RAW_DATA!A744</f>
        <v>50</v>
      </c>
      <c r="B744" t="str">
        <f>RAW_DATA!B744</f>
        <v>No</v>
      </c>
      <c r="C744" t="str">
        <f>RAW_DATA!C744</f>
        <v>Research &amp; Development</v>
      </c>
      <c r="D744">
        <f>RAW_DATA!D744</f>
        <v>9</v>
      </c>
      <c r="E744">
        <f>RAW_DATA!E744</f>
        <v>3</v>
      </c>
      <c r="F744" t="str">
        <f>RAW_DATA!F744</f>
        <v>Life Sciences</v>
      </c>
      <c r="G744">
        <f>RAW_DATA!G744</f>
        <v>1</v>
      </c>
      <c r="H744">
        <f>RAW_DATA!H744</f>
        <v>4</v>
      </c>
      <c r="I744" t="str">
        <f>RAW_DATA!I744</f>
        <v>Married</v>
      </c>
      <c r="J744">
        <f>RAW_DATA!J744</f>
        <v>2380</v>
      </c>
      <c r="K744">
        <f>RAW_DATA!K744</f>
        <v>4</v>
      </c>
      <c r="L744">
        <f>RAW_DATA!L744</f>
        <v>3</v>
      </c>
      <c r="M744">
        <f>RAW_DATA!M744</f>
        <v>1</v>
      </c>
      <c r="N744">
        <f t="shared" si="22"/>
        <v>0</v>
      </c>
      <c r="O744" t="str">
        <f xml:space="preserve"> VLOOKUP(A744, Lookup_Tables!$G$2:$H$6,2,TRUE)</f>
        <v>45-54</v>
      </c>
      <c r="P744" t="str">
        <f>_xlfn.XLOOKUP(J744,Lookup_Tables!$J$2:$J$4,Lookup_Tables!$K$2:$K$4, " ",-1)</f>
        <v>Low</v>
      </c>
      <c r="Q744" t="str">
        <f xml:space="preserve"> _xlfn.XLOOKUP(M744, Lookup_Tables!$M$2:$M$5,Lookup_Tables!$N$2:$N$5," ", -1)</f>
        <v>New (0-2)</v>
      </c>
      <c r="R744" s="4">
        <f t="shared" si="23"/>
        <v>2.6666666666666665</v>
      </c>
      <c r="S744" t="str">
        <f xml:space="preserve"> _xlfn.XLOOKUP( E744, Lookup_Tables!$A$2:$A$6,Lookup_Tables!$B$2:$B$6," ", -1)</f>
        <v>Bachelor</v>
      </c>
      <c r="T744" t="str">
        <f>_xlfn.XLOOKUP(G744,Lookup_Tables!$D$2:$D$5,Lookup_Tables!$E$2:$E$5)</f>
        <v>Low</v>
      </c>
      <c r="U744" t="str">
        <f>_xlfn.XLOOKUP(H744,Lookup_Tables!$D$2:$D$5,Lookup_Tables!$E$2:$E$5)</f>
        <v>Very High</v>
      </c>
      <c r="V744" t="str">
        <f>_xlfn.XLOOKUP(L744,Lookup_Tables!$D$2:$D$5,Lookup_Tables!$E$2:$E$5)</f>
        <v>High</v>
      </c>
    </row>
    <row r="745" spans="1:22">
      <c r="A745">
        <f>RAW_DATA!A745</f>
        <v>59</v>
      </c>
      <c r="B745" t="str">
        <f>RAW_DATA!B745</f>
        <v>No</v>
      </c>
      <c r="C745" t="str">
        <f>RAW_DATA!C745</f>
        <v>Research &amp; Development</v>
      </c>
      <c r="D745">
        <f>RAW_DATA!D745</f>
        <v>2</v>
      </c>
      <c r="E745">
        <f>RAW_DATA!E745</f>
        <v>3</v>
      </c>
      <c r="F745" t="str">
        <f>RAW_DATA!F745</f>
        <v>Life Sciences</v>
      </c>
      <c r="G745">
        <f>RAW_DATA!G745</f>
        <v>3</v>
      </c>
      <c r="H745">
        <f>RAW_DATA!H745</f>
        <v>4</v>
      </c>
      <c r="I745" t="str">
        <f>RAW_DATA!I745</f>
        <v>Single</v>
      </c>
      <c r="J745">
        <f>RAW_DATA!J745</f>
        <v>13726</v>
      </c>
      <c r="K745">
        <f>RAW_DATA!K745</f>
        <v>3</v>
      </c>
      <c r="L745">
        <f>RAW_DATA!L745</f>
        <v>3</v>
      </c>
      <c r="M745">
        <f>RAW_DATA!M745</f>
        <v>5</v>
      </c>
      <c r="N745">
        <f t="shared" si="22"/>
        <v>0</v>
      </c>
      <c r="O745" t="str">
        <f xml:space="preserve"> VLOOKUP(A745, Lookup_Tables!$G$2:$H$6,2,TRUE)</f>
        <v>55+</v>
      </c>
      <c r="P745" t="str">
        <f>_xlfn.XLOOKUP(J745,Lookup_Tables!$J$2:$J$4,Lookup_Tables!$K$2:$K$4, " ",-1)</f>
        <v>High</v>
      </c>
      <c r="Q745" t="str">
        <f xml:space="preserve"> _xlfn.XLOOKUP(M745, Lookup_Tables!$M$2:$M$5,Lookup_Tables!$N$2:$N$5," ", -1)</f>
        <v>Established (5-10)</v>
      </c>
      <c r="R745" s="4">
        <f t="shared" si="23"/>
        <v>3.3333333333333335</v>
      </c>
      <c r="S745" t="str">
        <f xml:space="preserve"> _xlfn.XLOOKUP( E745, Lookup_Tables!$A$2:$A$6,Lookup_Tables!$B$2:$B$6," ", -1)</f>
        <v>Bachelor</v>
      </c>
      <c r="T745" t="str">
        <f>_xlfn.XLOOKUP(G745,Lookup_Tables!$D$2:$D$5,Lookup_Tables!$E$2:$E$5)</f>
        <v>High</v>
      </c>
      <c r="U745" t="str">
        <f>_xlfn.XLOOKUP(H745,Lookup_Tables!$D$2:$D$5,Lookup_Tables!$E$2:$E$5)</f>
        <v>Very High</v>
      </c>
      <c r="V745" t="str">
        <f>_xlfn.XLOOKUP(L745,Lookup_Tables!$D$2:$D$5,Lookup_Tables!$E$2:$E$5)</f>
        <v>High</v>
      </c>
    </row>
    <row r="746" spans="1:22">
      <c r="A746">
        <f>RAW_DATA!A746</f>
        <v>37</v>
      </c>
      <c r="B746" t="str">
        <f>RAW_DATA!B746</f>
        <v>Yes</v>
      </c>
      <c r="C746" t="str">
        <f>RAW_DATA!C746</f>
        <v>Research &amp; Development</v>
      </c>
      <c r="D746">
        <f>RAW_DATA!D746</f>
        <v>11</v>
      </c>
      <c r="E746">
        <f>RAW_DATA!E746</f>
        <v>2</v>
      </c>
      <c r="F746" t="str">
        <f>RAW_DATA!F746</f>
        <v>Medical</v>
      </c>
      <c r="G746">
        <f>RAW_DATA!G746</f>
        <v>1</v>
      </c>
      <c r="H746">
        <f>RAW_DATA!H746</f>
        <v>2</v>
      </c>
      <c r="I746" t="str">
        <f>RAW_DATA!I746</f>
        <v>Married</v>
      </c>
      <c r="J746">
        <f>RAW_DATA!J746</f>
        <v>4777</v>
      </c>
      <c r="K746">
        <f>RAW_DATA!K746</f>
        <v>5</v>
      </c>
      <c r="L746">
        <f>RAW_DATA!L746</f>
        <v>1</v>
      </c>
      <c r="M746">
        <f>RAW_DATA!M746</f>
        <v>1</v>
      </c>
      <c r="N746">
        <f t="shared" si="22"/>
        <v>1</v>
      </c>
      <c r="O746" t="str">
        <f xml:space="preserve"> VLOOKUP(A746, Lookup_Tables!$G$2:$H$6,2,TRUE)</f>
        <v>35-44</v>
      </c>
      <c r="P746" t="str">
        <f>_xlfn.XLOOKUP(J746,Lookup_Tables!$J$2:$J$4,Lookup_Tables!$K$2:$K$4, " ",-1)</f>
        <v>Medium</v>
      </c>
      <c r="Q746" t="str">
        <f xml:space="preserve"> _xlfn.XLOOKUP(M746, Lookup_Tables!$M$2:$M$5,Lookup_Tables!$N$2:$N$5," ", -1)</f>
        <v>New (0-2)</v>
      </c>
      <c r="R746" s="4">
        <f t="shared" si="23"/>
        <v>1.3333333333333333</v>
      </c>
      <c r="S746" t="str">
        <f xml:space="preserve"> _xlfn.XLOOKUP( E746, Lookup_Tables!$A$2:$A$6,Lookup_Tables!$B$2:$B$6," ", -1)</f>
        <v>College</v>
      </c>
      <c r="T746" t="str">
        <f>_xlfn.XLOOKUP(G746,Lookup_Tables!$D$2:$D$5,Lookup_Tables!$E$2:$E$5)</f>
        <v>Low</v>
      </c>
      <c r="U746" t="str">
        <f>_xlfn.XLOOKUP(H746,Lookup_Tables!$D$2:$D$5,Lookup_Tables!$E$2:$E$5)</f>
        <v>Medium</v>
      </c>
      <c r="V746" t="str">
        <f>_xlfn.XLOOKUP(L746,Lookup_Tables!$D$2:$D$5,Lookup_Tables!$E$2:$E$5)</f>
        <v>Low</v>
      </c>
    </row>
    <row r="747" spans="1:22">
      <c r="A747">
        <f>RAW_DATA!A747</f>
        <v>55</v>
      </c>
      <c r="B747" t="str">
        <f>RAW_DATA!B747</f>
        <v>No</v>
      </c>
      <c r="C747" t="str">
        <f>RAW_DATA!C747</f>
        <v>Research &amp; Development</v>
      </c>
      <c r="D747">
        <f>RAW_DATA!D747</f>
        <v>18</v>
      </c>
      <c r="E747">
        <f>RAW_DATA!E747</f>
        <v>4</v>
      </c>
      <c r="F747" t="str">
        <f>RAW_DATA!F747</f>
        <v>Medical</v>
      </c>
      <c r="G747">
        <f>RAW_DATA!G747</f>
        <v>3</v>
      </c>
      <c r="H747">
        <f>RAW_DATA!H747</f>
        <v>2</v>
      </c>
      <c r="I747" t="str">
        <f>RAW_DATA!I747</f>
        <v>Married</v>
      </c>
      <c r="J747">
        <f>RAW_DATA!J747</f>
        <v>6385</v>
      </c>
      <c r="K747">
        <f>RAW_DATA!K747</f>
        <v>3</v>
      </c>
      <c r="L747">
        <f>RAW_DATA!L747</f>
        <v>3</v>
      </c>
      <c r="M747">
        <f>RAW_DATA!M747</f>
        <v>8</v>
      </c>
      <c r="N747">
        <f t="shared" si="22"/>
        <v>0</v>
      </c>
      <c r="O747" t="str">
        <f xml:space="preserve"> VLOOKUP(A747, Lookup_Tables!$G$2:$H$6,2,TRUE)</f>
        <v>55+</v>
      </c>
      <c r="P747" t="str">
        <f>_xlfn.XLOOKUP(J747,Lookup_Tables!$J$2:$J$4,Lookup_Tables!$K$2:$K$4, " ",-1)</f>
        <v>Medium</v>
      </c>
      <c r="Q747" t="str">
        <f xml:space="preserve"> _xlfn.XLOOKUP(M747, Lookup_Tables!$M$2:$M$5,Lookup_Tables!$N$2:$N$5," ", -1)</f>
        <v>Established (5-10)</v>
      </c>
      <c r="R747" s="4">
        <f t="shared" si="23"/>
        <v>2.6666666666666665</v>
      </c>
      <c r="S747" t="str">
        <f xml:space="preserve"> _xlfn.XLOOKUP( E747, Lookup_Tables!$A$2:$A$6,Lookup_Tables!$B$2:$B$6," ", -1)</f>
        <v>Master</v>
      </c>
      <c r="T747" t="str">
        <f>_xlfn.XLOOKUP(G747,Lookup_Tables!$D$2:$D$5,Lookup_Tables!$E$2:$E$5)</f>
        <v>High</v>
      </c>
      <c r="U747" t="str">
        <f>_xlfn.XLOOKUP(H747,Lookup_Tables!$D$2:$D$5,Lookup_Tables!$E$2:$E$5)</f>
        <v>Medium</v>
      </c>
      <c r="V747" t="str">
        <f>_xlfn.XLOOKUP(L747,Lookup_Tables!$D$2:$D$5,Lookup_Tables!$E$2:$E$5)</f>
        <v>High</v>
      </c>
    </row>
    <row r="748" spans="1:22">
      <c r="A748">
        <f>RAW_DATA!A748</f>
        <v>41</v>
      </c>
      <c r="B748" t="str">
        <f>RAW_DATA!B748</f>
        <v>No</v>
      </c>
      <c r="C748" t="str">
        <f>RAW_DATA!C748</f>
        <v>Research &amp; Development</v>
      </c>
      <c r="D748">
        <f>RAW_DATA!D748</f>
        <v>7</v>
      </c>
      <c r="E748">
        <f>RAW_DATA!E748</f>
        <v>1</v>
      </c>
      <c r="F748" t="str">
        <f>RAW_DATA!F748</f>
        <v>Life Sciences</v>
      </c>
      <c r="G748">
        <f>RAW_DATA!G748</f>
        <v>2</v>
      </c>
      <c r="H748">
        <f>RAW_DATA!H748</f>
        <v>3</v>
      </c>
      <c r="I748" t="str">
        <f>RAW_DATA!I748</f>
        <v>Divorced</v>
      </c>
      <c r="J748">
        <f>RAW_DATA!J748</f>
        <v>19973</v>
      </c>
      <c r="K748">
        <f>RAW_DATA!K748</f>
        <v>1</v>
      </c>
      <c r="L748">
        <f>RAW_DATA!L748</f>
        <v>3</v>
      </c>
      <c r="M748">
        <f>RAW_DATA!M748</f>
        <v>21</v>
      </c>
      <c r="N748">
        <f t="shared" si="22"/>
        <v>0</v>
      </c>
      <c r="O748" t="str">
        <f xml:space="preserve"> VLOOKUP(A748, Lookup_Tables!$G$2:$H$6,2,TRUE)</f>
        <v>35-44</v>
      </c>
      <c r="P748" t="str">
        <f>_xlfn.XLOOKUP(J748,Lookup_Tables!$J$2:$J$4,Lookup_Tables!$K$2:$K$4, " ",-1)</f>
        <v>High</v>
      </c>
      <c r="Q748" t="str">
        <f xml:space="preserve"> _xlfn.XLOOKUP(M748, Lookup_Tables!$M$2:$M$5,Lookup_Tables!$N$2:$N$5," ", -1)</f>
        <v>Veteran (10+)</v>
      </c>
      <c r="R748" s="4">
        <f t="shared" si="23"/>
        <v>2.6666666666666665</v>
      </c>
      <c r="S748" t="str">
        <f xml:space="preserve"> _xlfn.XLOOKUP( E748, Lookup_Tables!$A$2:$A$6,Lookup_Tables!$B$2:$B$6," ", -1)</f>
        <v>Below College</v>
      </c>
      <c r="T748" t="str">
        <f>_xlfn.XLOOKUP(G748,Lookup_Tables!$D$2:$D$5,Lookup_Tables!$E$2:$E$5)</f>
        <v>Medium</v>
      </c>
      <c r="U748" t="str">
        <f>_xlfn.XLOOKUP(H748,Lookup_Tables!$D$2:$D$5,Lookup_Tables!$E$2:$E$5)</f>
        <v>High</v>
      </c>
      <c r="V748" t="str">
        <f>_xlfn.XLOOKUP(L748,Lookup_Tables!$D$2:$D$5,Lookup_Tables!$E$2:$E$5)</f>
        <v>High</v>
      </c>
    </row>
    <row r="749" spans="1:22">
      <c r="A749">
        <f>RAW_DATA!A749</f>
        <v>38</v>
      </c>
      <c r="B749" t="str">
        <f>RAW_DATA!B749</f>
        <v>No</v>
      </c>
      <c r="C749" t="str">
        <f>RAW_DATA!C749</f>
        <v>Sales</v>
      </c>
      <c r="D749">
        <f>RAW_DATA!D749</f>
        <v>3</v>
      </c>
      <c r="E749">
        <f>RAW_DATA!E749</f>
        <v>4</v>
      </c>
      <c r="F749" t="str">
        <f>RAW_DATA!F749</f>
        <v>Life Sciences</v>
      </c>
      <c r="G749">
        <f>RAW_DATA!G749</f>
        <v>2</v>
      </c>
      <c r="H749">
        <f>RAW_DATA!H749</f>
        <v>4</v>
      </c>
      <c r="I749" t="str">
        <f>RAW_DATA!I749</f>
        <v>Single</v>
      </c>
      <c r="J749">
        <f>RAW_DATA!J749</f>
        <v>6861</v>
      </c>
      <c r="K749">
        <f>RAW_DATA!K749</f>
        <v>8</v>
      </c>
      <c r="L749">
        <f>RAW_DATA!L749</f>
        <v>3</v>
      </c>
      <c r="M749">
        <f>RAW_DATA!M749</f>
        <v>1</v>
      </c>
      <c r="N749">
        <f t="shared" si="22"/>
        <v>0</v>
      </c>
      <c r="O749" t="str">
        <f xml:space="preserve"> VLOOKUP(A749, Lookup_Tables!$G$2:$H$6,2,TRUE)</f>
        <v>35-44</v>
      </c>
      <c r="P749" t="str">
        <f>_xlfn.XLOOKUP(J749,Lookup_Tables!$J$2:$J$4,Lookup_Tables!$K$2:$K$4, " ",-1)</f>
        <v>Medium</v>
      </c>
      <c r="Q749" t="str">
        <f xml:space="preserve"> _xlfn.XLOOKUP(M749, Lookup_Tables!$M$2:$M$5,Lookup_Tables!$N$2:$N$5," ", -1)</f>
        <v>New (0-2)</v>
      </c>
      <c r="R749" s="4">
        <f t="shared" si="23"/>
        <v>3</v>
      </c>
      <c r="S749" t="str">
        <f xml:space="preserve"> _xlfn.XLOOKUP( E749, Lookup_Tables!$A$2:$A$6,Lookup_Tables!$B$2:$B$6," ", -1)</f>
        <v>Master</v>
      </c>
      <c r="T749" t="str">
        <f>_xlfn.XLOOKUP(G749,Lookup_Tables!$D$2:$D$5,Lookup_Tables!$E$2:$E$5)</f>
        <v>Medium</v>
      </c>
      <c r="U749" t="str">
        <f>_xlfn.XLOOKUP(H749,Lookup_Tables!$D$2:$D$5,Lookup_Tables!$E$2:$E$5)</f>
        <v>Very High</v>
      </c>
      <c r="V749" t="str">
        <f>_xlfn.XLOOKUP(L749,Lookup_Tables!$D$2:$D$5,Lookup_Tables!$E$2:$E$5)</f>
        <v>High</v>
      </c>
    </row>
    <row r="750" spans="1:22">
      <c r="A750">
        <f>RAW_DATA!A750</f>
        <v>26</v>
      </c>
      <c r="B750" t="str">
        <f>RAW_DATA!B750</f>
        <v>Yes</v>
      </c>
      <c r="C750" t="str">
        <f>RAW_DATA!C750</f>
        <v>Sales</v>
      </c>
      <c r="D750">
        <f>RAW_DATA!D750</f>
        <v>29</v>
      </c>
      <c r="E750">
        <f>RAW_DATA!E750</f>
        <v>2</v>
      </c>
      <c r="F750" t="str">
        <f>RAW_DATA!F750</f>
        <v>Medical</v>
      </c>
      <c r="G750">
        <f>RAW_DATA!G750</f>
        <v>2</v>
      </c>
      <c r="H750">
        <f>RAW_DATA!H750</f>
        <v>1</v>
      </c>
      <c r="I750" t="str">
        <f>RAW_DATA!I750</f>
        <v>Single</v>
      </c>
      <c r="J750">
        <f>RAW_DATA!J750</f>
        <v>4969</v>
      </c>
      <c r="K750">
        <f>RAW_DATA!K750</f>
        <v>8</v>
      </c>
      <c r="L750">
        <f>RAW_DATA!L750</f>
        <v>3</v>
      </c>
      <c r="M750">
        <f>RAW_DATA!M750</f>
        <v>2</v>
      </c>
      <c r="N750">
        <f t="shared" si="22"/>
        <v>1</v>
      </c>
      <c r="O750" t="str">
        <f xml:space="preserve"> VLOOKUP(A750, Lookup_Tables!$G$2:$H$6,2,TRUE)</f>
        <v>25-34</v>
      </c>
      <c r="P750" t="str">
        <f>_xlfn.XLOOKUP(J750,Lookup_Tables!$J$2:$J$4,Lookup_Tables!$K$2:$K$4, " ",-1)</f>
        <v>Medium</v>
      </c>
      <c r="Q750" t="str">
        <f xml:space="preserve"> _xlfn.XLOOKUP(M750, Lookup_Tables!$M$2:$M$5,Lookup_Tables!$N$2:$N$5," ", -1)</f>
        <v>Early (2-5)</v>
      </c>
      <c r="R750" s="4">
        <f t="shared" si="23"/>
        <v>2</v>
      </c>
      <c r="S750" t="str">
        <f xml:space="preserve"> _xlfn.XLOOKUP( E750, Lookup_Tables!$A$2:$A$6,Lookup_Tables!$B$2:$B$6," ", -1)</f>
        <v>College</v>
      </c>
      <c r="T750" t="str">
        <f>_xlfn.XLOOKUP(G750,Lookup_Tables!$D$2:$D$5,Lookup_Tables!$E$2:$E$5)</f>
        <v>Medium</v>
      </c>
      <c r="U750" t="str">
        <f>_xlfn.XLOOKUP(H750,Lookup_Tables!$D$2:$D$5,Lookup_Tables!$E$2:$E$5)</f>
        <v>Low</v>
      </c>
      <c r="V750" t="str">
        <f>_xlfn.XLOOKUP(L750,Lookup_Tables!$D$2:$D$5,Lookup_Tables!$E$2:$E$5)</f>
        <v>High</v>
      </c>
    </row>
    <row r="751" spans="1:22">
      <c r="A751">
        <f>RAW_DATA!A751</f>
        <v>52</v>
      </c>
      <c r="B751" t="str">
        <f>RAW_DATA!B751</f>
        <v>Yes</v>
      </c>
      <c r="C751" t="str">
        <f>RAW_DATA!C751</f>
        <v>Sales</v>
      </c>
      <c r="D751">
        <f>RAW_DATA!D751</f>
        <v>2</v>
      </c>
      <c r="E751">
        <f>RAW_DATA!E751</f>
        <v>1</v>
      </c>
      <c r="F751" t="str">
        <f>RAW_DATA!F751</f>
        <v>Marketing</v>
      </c>
      <c r="G751">
        <f>RAW_DATA!G751</f>
        <v>1</v>
      </c>
      <c r="H751">
        <f>RAW_DATA!H751</f>
        <v>4</v>
      </c>
      <c r="I751" t="str">
        <f>RAW_DATA!I751</f>
        <v>Married</v>
      </c>
      <c r="J751">
        <f>RAW_DATA!J751</f>
        <v>19845</v>
      </c>
      <c r="K751">
        <f>RAW_DATA!K751</f>
        <v>1</v>
      </c>
      <c r="L751">
        <f>RAW_DATA!L751</f>
        <v>3</v>
      </c>
      <c r="M751">
        <f>RAW_DATA!M751</f>
        <v>32</v>
      </c>
      <c r="N751">
        <f t="shared" si="22"/>
        <v>1</v>
      </c>
      <c r="O751" t="str">
        <f xml:space="preserve"> VLOOKUP(A751, Lookup_Tables!$G$2:$H$6,2,TRUE)</f>
        <v>45-54</v>
      </c>
      <c r="P751" t="str">
        <f>_xlfn.XLOOKUP(J751,Lookup_Tables!$J$2:$J$4,Lookup_Tables!$K$2:$K$4, " ",-1)</f>
        <v>High</v>
      </c>
      <c r="Q751" t="str">
        <f xml:space="preserve"> _xlfn.XLOOKUP(M751, Lookup_Tables!$M$2:$M$5,Lookup_Tables!$N$2:$N$5," ", -1)</f>
        <v>Veteran (10+)</v>
      </c>
      <c r="R751" s="4">
        <f t="shared" si="23"/>
        <v>2.6666666666666665</v>
      </c>
      <c r="S751" t="str">
        <f xml:space="preserve"> _xlfn.XLOOKUP( E751, Lookup_Tables!$A$2:$A$6,Lookup_Tables!$B$2:$B$6," ", -1)</f>
        <v>Below College</v>
      </c>
      <c r="T751" t="str">
        <f>_xlfn.XLOOKUP(G751,Lookup_Tables!$D$2:$D$5,Lookup_Tables!$E$2:$E$5)</f>
        <v>Low</v>
      </c>
      <c r="U751" t="str">
        <f>_xlfn.XLOOKUP(H751,Lookup_Tables!$D$2:$D$5,Lookup_Tables!$E$2:$E$5)</f>
        <v>Very High</v>
      </c>
      <c r="V751" t="str">
        <f>_xlfn.XLOOKUP(L751,Lookup_Tables!$D$2:$D$5,Lookup_Tables!$E$2:$E$5)</f>
        <v>High</v>
      </c>
    </row>
    <row r="752" spans="1:22">
      <c r="A752">
        <f>RAW_DATA!A752</f>
        <v>44</v>
      </c>
      <c r="B752" t="str">
        <f>RAW_DATA!B752</f>
        <v>No</v>
      </c>
      <c r="C752" t="str">
        <f>RAW_DATA!C752</f>
        <v>Sales</v>
      </c>
      <c r="D752">
        <f>RAW_DATA!D752</f>
        <v>28</v>
      </c>
      <c r="E752">
        <f>RAW_DATA!E752</f>
        <v>3</v>
      </c>
      <c r="F752" t="str">
        <f>RAW_DATA!F752</f>
        <v>Medical</v>
      </c>
      <c r="G752">
        <f>RAW_DATA!G752</f>
        <v>4</v>
      </c>
      <c r="H752">
        <f>RAW_DATA!H752</f>
        <v>4</v>
      </c>
      <c r="I752" t="str">
        <f>RAW_DATA!I752</f>
        <v>Married</v>
      </c>
      <c r="J752">
        <f>RAW_DATA!J752</f>
        <v>13320</v>
      </c>
      <c r="K752">
        <f>RAW_DATA!K752</f>
        <v>3</v>
      </c>
      <c r="L752">
        <f>RAW_DATA!L752</f>
        <v>3</v>
      </c>
      <c r="M752">
        <f>RAW_DATA!M752</f>
        <v>12</v>
      </c>
      <c r="N752">
        <f t="shared" si="22"/>
        <v>0</v>
      </c>
      <c r="O752" t="str">
        <f xml:space="preserve"> VLOOKUP(A752, Lookup_Tables!$G$2:$H$6,2,TRUE)</f>
        <v>35-44</v>
      </c>
      <c r="P752" t="str">
        <f>_xlfn.XLOOKUP(J752,Lookup_Tables!$J$2:$J$4,Lookup_Tables!$K$2:$K$4, " ",-1)</f>
        <v>High</v>
      </c>
      <c r="Q752" t="str">
        <f xml:space="preserve"> _xlfn.XLOOKUP(M752, Lookup_Tables!$M$2:$M$5,Lookup_Tables!$N$2:$N$5," ", -1)</f>
        <v>Veteran (10+)</v>
      </c>
      <c r="R752" s="4">
        <f t="shared" si="23"/>
        <v>3.6666666666666665</v>
      </c>
      <c r="S752" t="str">
        <f xml:space="preserve"> _xlfn.XLOOKUP( E752, Lookup_Tables!$A$2:$A$6,Lookup_Tables!$B$2:$B$6," ", -1)</f>
        <v>Bachelor</v>
      </c>
      <c r="T752" t="str">
        <f>_xlfn.XLOOKUP(G752,Lookup_Tables!$D$2:$D$5,Lookup_Tables!$E$2:$E$5)</f>
        <v>Very High</v>
      </c>
      <c r="U752" t="str">
        <f>_xlfn.XLOOKUP(H752,Lookup_Tables!$D$2:$D$5,Lookup_Tables!$E$2:$E$5)</f>
        <v>Very High</v>
      </c>
      <c r="V752" t="str">
        <f>_xlfn.XLOOKUP(L752,Lookup_Tables!$D$2:$D$5,Lookup_Tables!$E$2:$E$5)</f>
        <v>High</v>
      </c>
    </row>
    <row r="753" spans="1:22">
      <c r="A753">
        <f>RAW_DATA!A753</f>
        <v>50</v>
      </c>
      <c r="B753" t="str">
        <f>RAW_DATA!B753</f>
        <v>No</v>
      </c>
      <c r="C753" t="str">
        <f>RAW_DATA!C753</f>
        <v>Sales</v>
      </c>
      <c r="D753">
        <f>RAW_DATA!D753</f>
        <v>1</v>
      </c>
      <c r="E753">
        <f>RAW_DATA!E753</f>
        <v>3</v>
      </c>
      <c r="F753" t="str">
        <f>RAW_DATA!F753</f>
        <v>Life Sciences</v>
      </c>
      <c r="G753">
        <f>RAW_DATA!G753</f>
        <v>4</v>
      </c>
      <c r="H753">
        <f>RAW_DATA!H753</f>
        <v>3</v>
      </c>
      <c r="I753" t="str">
        <f>RAW_DATA!I753</f>
        <v>Married</v>
      </c>
      <c r="J753">
        <f>RAW_DATA!J753</f>
        <v>6347</v>
      </c>
      <c r="K753">
        <f>RAW_DATA!K753</f>
        <v>0</v>
      </c>
      <c r="L753">
        <f>RAW_DATA!L753</f>
        <v>3</v>
      </c>
      <c r="M753">
        <f>RAW_DATA!M753</f>
        <v>18</v>
      </c>
      <c r="N753">
        <f t="shared" si="22"/>
        <v>0</v>
      </c>
      <c r="O753" t="str">
        <f xml:space="preserve"> VLOOKUP(A753, Lookup_Tables!$G$2:$H$6,2,TRUE)</f>
        <v>45-54</v>
      </c>
      <c r="P753" t="str">
        <f>_xlfn.XLOOKUP(J753,Lookup_Tables!$J$2:$J$4,Lookup_Tables!$K$2:$K$4, " ",-1)</f>
        <v>Medium</v>
      </c>
      <c r="Q753" t="str">
        <f xml:space="preserve"> _xlfn.XLOOKUP(M753, Lookup_Tables!$M$2:$M$5,Lookup_Tables!$N$2:$N$5," ", -1)</f>
        <v>Veteran (10+)</v>
      </c>
      <c r="R753" s="4">
        <f t="shared" si="23"/>
        <v>3.3333333333333335</v>
      </c>
      <c r="S753" t="str">
        <f xml:space="preserve"> _xlfn.XLOOKUP( E753, Lookup_Tables!$A$2:$A$6,Lookup_Tables!$B$2:$B$6," ", -1)</f>
        <v>Bachelor</v>
      </c>
      <c r="T753" t="str">
        <f>_xlfn.XLOOKUP(G753,Lookup_Tables!$D$2:$D$5,Lookup_Tables!$E$2:$E$5)</f>
        <v>Very High</v>
      </c>
      <c r="U753" t="str">
        <f>_xlfn.XLOOKUP(H753,Lookup_Tables!$D$2:$D$5,Lookup_Tables!$E$2:$E$5)</f>
        <v>High</v>
      </c>
      <c r="V753" t="str">
        <f>_xlfn.XLOOKUP(L753,Lookup_Tables!$D$2:$D$5,Lookup_Tables!$E$2:$E$5)</f>
        <v>High</v>
      </c>
    </row>
    <row r="754" spans="1:22">
      <c r="A754">
        <f>RAW_DATA!A754</f>
        <v>36</v>
      </c>
      <c r="B754" t="str">
        <f>RAW_DATA!B754</f>
        <v>Yes</v>
      </c>
      <c r="C754" t="str">
        <f>RAW_DATA!C754</f>
        <v>Research &amp; Development</v>
      </c>
      <c r="D754">
        <f>RAW_DATA!D754</f>
        <v>16</v>
      </c>
      <c r="E754">
        <f>RAW_DATA!E754</f>
        <v>4</v>
      </c>
      <c r="F754" t="str">
        <f>RAW_DATA!F754</f>
        <v>Life Sciences</v>
      </c>
      <c r="G754">
        <f>RAW_DATA!G754</f>
        <v>3</v>
      </c>
      <c r="H754">
        <f>RAW_DATA!H754</f>
        <v>1</v>
      </c>
      <c r="I754" t="str">
        <f>RAW_DATA!I754</f>
        <v>Single</v>
      </c>
      <c r="J754">
        <f>RAW_DATA!J754</f>
        <v>2743</v>
      </c>
      <c r="K754">
        <f>RAW_DATA!K754</f>
        <v>1</v>
      </c>
      <c r="L754">
        <f>RAW_DATA!L754</f>
        <v>3</v>
      </c>
      <c r="M754">
        <f>RAW_DATA!M754</f>
        <v>17</v>
      </c>
      <c r="N754">
        <f t="shared" si="22"/>
        <v>1</v>
      </c>
      <c r="O754" t="str">
        <f xml:space="preserve"> VLOOKUP(A754, Lookup_Tables!$G$2:$H$6,2,TRUE)</f>
        <v>35-44</v>
      </c>
      <c r="P754" t="str">
        <f>_xlfn.XLOOKUP(J754,Lookup_Tables!$J$2:$J$4,Lookup_Tables!$K$2:$K$4, " ",-1)</f>
        <v>Low</v>
      </c>
      <c r="Q754" t="str">
        <f xml:space="preserve"> _xlfn.XLOOKUP(M754, Lookup_Tables!$M$2:$M$5,Lookup_Tables!$N$2:$N$5," ", -1)</f>
        <v>Veteran (10+)</v>
      </c>
      <c r="R754" s="4">
        <f t="shared" si="23"/>
        <v>2.3333333333333335</v>
      </c>
      <c r="S754" t="str">
        <f xml:space="preserve"> _xlfn.XLOOKUP( E754, Lookup_Tables!$A$2:$A$6,Lookup_Tables!$B$2:$B$6," ", -1)</f>
        <v>Master</v>
      </c>
      <c r="T754" t="str">
        <f>_xlfn.XLOOKUP(G754,Lookup_Tables!$D$2:$D$5,Lookup_Tables!$E$2:$E$5)</f>
        <v>High</v>
      </c>
      <c r="U754" t="str">
        <f>_xlfn.XLOOKUP(H754,Lookup_Tables!$D$2:$D$5,Lookup_Tables!$E$2:$E$5)</f>
        <v>Low</v>
      </c>
      <c r="V754" t="str">
        <f>_xlfn.XLOOKUP(L754,Lookup_Tables!$D$2:$D$5,Lookup_Tables!$E$2:$E$5)</f>
        <v>High</v>
      </c>
    </row>
    <row r="755" spans="1:22">
      <c r="A755">
        <f>RAW_DATA!A755</f>
        <v>39</v>
      </c>
      <c r="B755" t="str">
        <f>RAW_DATA!B755</f>
        <v>No</v>
      </c>
      <c r="C755" t="str">
        <f>RAW_DATA!C755</f>
        <v>Research &amp; Development</v>
      </c>
      <c r="D755">
        <f>RAW_DATA!D755</f>
        <v>22</v>
      </c>
      <c r="E755">
        <f>RAW_DATA!E755</f>
        <v>3</v>
      </c>
      <c r="F755" t="str">
        <f>RAW_DATA!F755</f>
        <v>Medical</v>
      </c>
      <c r="G755">
        <f>RAW_DATA!G755</f>
        <v>4</v>
      </c>
      <c r="H755">
        <f>RAW_DATA!H755</f>
        <v>1</v>
      </c>
      <c r="I755" t="str">
        <f>RAW_DATA!I755</f>
        <v>Single</v>
      </c>
      <c r="J755">
        <f>RAW_DATA!J755</f>
        <v>10880</v>
      </c>
      <c r="K755">
        <f>RAW_DATA!K755</f>
        <v>1</v>
      </c>
      <c r="L755">
        <f>RAW_DATA!L755</f>
        <v>3</v>
      </c>
      <c r="M755">
        <f>RAW_DATA!M755</f>
        <v>21</v>
      </c>
      <c r="N755">
        <f t="shared" si="22"/>
        <v>0</v>
      </c>
      <c r="O755" t="str">
        <f xml:space="preserve"> VLOOKUP(A755, Lookup_Tables!$G$2:$H$6,2,TRUE)</f>
        <v>35-44</v>
      </c>
      <c r="P755" t="str">
        <f>_xlfn.XLOOKUP(J755,Lookup_Tables!$J$2:$J$4,Lookup_Tables!$K$2:$K$4, " ",-1)</f>
        <v>High</v>
      </c>
      <c r="Q755" t="str">
        <f xml:space="preserve"> _xlfn.XLOOKUP(M755, Lookup_Tables!$M$2:$M$5,Lookup_Tables!$N$2:$N$5," ", -1)</f>
        <v>Veteran (10+)</v>
      </c>
      <c r="R755" s="4">
        <f t="shared" si="23"/>
        <v>2.6666666666666665</v>
      </c>
      <c r="S755" t="str">
        <f xml:space="preserve"> _xlfn.XLOOKUP( E755, Lookup_Tables!$A$2:$A$6,Lookup_Tables!$B$2:$B$6," ", -1)</f>
        <v>Bachelor</v>
      </c>
      <c r="T755" t="str">
        <f>_xlfn.XLOOKUP(G755,Lookup_Tables!$D$2:$D$5,Lookup_Tables!$E$2:$E$5)</f>
        <v>Very High</v>
      </c>
      <c r="U755" t="str">
        <f>_xlfn.XLOOKUP(H755,Lookup_Tables!$D$2:$D$5,Lookup_Tables!$E$2:$E$5)</f>
        <v>Low</v>
      </c>
      <c r="V755" t="str">
        <f>_xlfn.XLOOKUP(L755,Lookup_Tables!$D$2:$D$5,Lookup_Tables!$E$2:$E$5)</f>
        <v>High</v>
      </c>
    </row>
    <row r="756" spans="1:22">
      <c r="A756">
        <f>RAW_DATA!A756</f>
        <v>33</v>
      </c>
      <c r="B756" t="str">
        <f>RAW_DATA!B756</f>
        <v>No</v>
      </c>
      <c r="C756" t="str">
        <f>RAW_DATA!C756</f>
        <v>Sales</v>
      </c>
      <c r="D756">
        <f>RAW_DATA!D756</f>
        <v>8</v>
      </c>
      <c r="E756">
        <f>RAW_DATA!E756</f>
        <v>1</v>
      </c>
      <c r="F756" t="str">
        <f>RAW_DATA!F756</f>
        <v>Life Sciences</v>
      </c>
      <c r="G756">
        <f>RAW_DATA!G756</f>
        <v>2</v>
      </c>
      <c r="H756">
        <f>RAW_DATA!H756</f>
        <v>4</v>
      </c>
      <c r="I756" t="str">
        <f>RAW_DATA!I756</f>
        <v>Single</v>
      </c>
      <c r="J756">
        <f>RAW_DATA!J756</f>
        <v>2342</v>
      </c>
      <c r="K756">
        <f>RAW_DATA!K756</f>
        <v>0</v>
      </c>
      <c r="L756">
        <f>RAW_DATA!L756</f>
        <v>2</v>
      </c>
      <c r="M756">
        <f>RAW_DATA!M756</f>
        <v>2</v>
      </c>
      <c r="N756">
        <f t="shared" si="22"/>
        <v>0</v>
      </c>
      <c r="O756" t="str">
        <f xml:space="preserve"> VLOOKUP(A756, Lookup_Tables!$G$2:$H$6,2,TRUE)</f>
        <v>25-34</v>
      </c>
      <c r="P756" t="str">
        <f>_xlfn.XLOOKUP(J756,Lookup_Tables!$J$2:$J$4,Lookup_Tables!$K$2:$K$4, " ",-1)</f>
        <v>Low</v>
      </c>
      <c r="Q756" t="str">
        <f xml:space="preserve"> _xlfn.XLOOKUP(M756, Lookup_Tables!$M$2:$M$5,Lookup_Tables!$N$2:$N$5," ", -1)</f>
        <v>Early (2-5)</v>
      </c>
      <c r="R756" s="4">
        <f t="shared" si="23"/>
        <v>2.6666666666666665</v>
      </c>
      <c r="S756" t="str">
        <f xml:space="preserve"> _xlfn.XLOOKUP( E756, Lookup_Tables!$A$2:$A$6,Lookup_Tables!$B$2:$B$6," ", -1)</f>
        <v>Below College</v>
      </c>
      <c r="T756" t="str">
        <f>_xlfn.XLOOKUP(G756,Lookup_Tables!$D$2:$D$5,Lookup_Tables!$E$2:$E$5)</f>
        <v>Medium</v>
      </c>
      <c r="U756" t="str">
        <f>_xlfn.XLOOKUP(H756,Lookup_Tables!$D$2:$D$5,Lookup_Tables!$E$2:$E$5)</f>
        <v>Very High</v>
      </c>
      <c r="V756" t="str">
        <f>_xlfn.XLOOKUP(L756,Lookup_Tables!$D$2:$D$5,Lookup_Tables!$E$2:$E$5)</f>
        <v>Medium</v>
      </c>
    </row>
    <row r="757" spans="1:22">
      <c r="A757">
        <f>RAW_DATA!A757</f>
        <v>45</v>
      </c>
      <c r="B757" t="str">
        <f>RAW_DATA!B757</f>
        <v>No</v>
      </c>
      <c r="C757" t="str">
        <f>RAW_DATA!C757</f>
        <v>Sales</v>
      </c>
      <c r="D757">
        <f>RAW_DATA!D757</f>
        <v>11</v>
      </c>
      <c r="E757">
        <f>RAW_DATA!E757</f>
        <v>2</v>
      </c>
      <c r="F757" t="str">
        <f>RAW_DATA!F757</f>
        <v>Life Sciences</v>
      </c>
      <c r="G757">
        <f>RAW_DATA!G757</f>
        <v>4</v>
      </c>
      <c r="H757">
        <f>RAW_DATA!H757</f>
        <v>4</v>
      </c>
      <c r="I757" t="str">
        <f>RAW_DATA!I757</f>
        <v>Married</v>
      </c>
      <c r="J757">
        <f>RAW_DATA!J757</f>
        <v>17650</v>
      </c>
      <c r="K757">
        <f>RAW_DATA!K757</f>
        <v>3</v>
      </c>
      <c r="L757">
        <f>RAW_DATA!L757</f>
        <v>4</v>
      </c>
      <c r="M757">
        <f>RAW_DATA!M757</f>
        <v>9</v>
      </c>
      <c r="N757">
        <f t="shared" si="22"/>
        <v>0</v>
      </c>
      <c r="O757" t="str">
        <f xml:space="preserve"> VLOOKUP(A757, Lookup_Tables!$G$2:$H$6,2,TRUE)</f>
        <v>45-54</v>
      </c>
      <c r="P757" t="str">
        <f>_xlfn.XLOOKUP(J757,Lookup_Tables!$J$2:$J$4,Lookup_Tables!$K$2:$K$4, " ",-1)</f>
        <v>High</v>
      </c>
      <c r="Q757" t="str">
        <f xml:space="preserve"> _xlfn.XLOOKUP(M757, Lookup_Tables!$M$2:$M$5,Lookup_Tables!$N$2:$N$5," ", -1)</f>
        <v>Established (5-10)</v>
      </c>
      <c r="R757" s="4">
        <f t="shared" si="23"/>
        <v>4</v>
      </c>
      <c r="S757" t="str">
        <f xml:space="preserve"> _xlfn.XLOOKUP( E757, Lookup_Tables!$A$2:$A$6,Lookup_Tables!$B$2:$B$6," ", -1)</f>
        <v>College</v>
      </c>
      <c r="T757" t="str">
        <f>_xlfn.XLOOKUP(G757,Lookup_Tables!$D$2:$D$5,Lookup_Tables!$E$2:$E$5)</f>
        <v>Very High</v>
      </c>
      <c r="U757" t="str">
        <f>_xlfn.XLOOKUP(H757,Lookup_Tables!$D$2:$D$5,Lookup_Tables!$E$2:$E$5)</f>
        <v>Very High</v>
      </c>
      <c r="V757" t="str">
        <f>_xlfn.XLOOKUP(L757,Lookup_Tables!$D$2:$D$5,Lookup_Tables!$E$2:$E$5)</f>
        <v>Very High</v>
      </c>
    </row>
    <row r="758" spans="1:22">
      <c r="A758">
        <f>RAW_DATA!A758</f>
        <v>32</v>
      </c>
      <c r="B758" t="str">
        <f>RAW_DATA!B758</f>
        <v>No</v>
      </c>
      <c r="C758" t="str">
        <f>RAW_DATA!C758</f>
        <v>Research &amp; Development</v>
      </c>
      <c r="D758">
        <f>RAW_DATA!D758</f>
        <v>29</v>
      </c>
      <c r="E758">
        <f>RAW_DATA!E758</f>
        <v>4</v>
      </c>
      <c r="F758" t="str">
        <f>RAW_DATA!F758</f>
        <v>Medical</v>
      </c>
      <c r="G758">
        <f>RAW_DATA!G758</f>
        <v>4</v>
      </c>
      <c r="H758">
        <f>RAW_DATA!H758</f>
        <v>3</v>
      </c>
      <c r="I758" t="str">
        <f>RAW_DATA!I758</f>
        <v>Single</v>
      </c>
      <c r="J758">
        <f>RAW_DATA!J758</f>
        <v>4025</v>
      </c>
      <c r="K758">
        <f>RAW_DATA!K758</f>
        <v>9</v>
      </c>
      <c r="L758">
        <f>RAW_DATA!L758</f>
        <v>3</v>
      </c>
      <c r="M758">
        <f>RAW_DATA!M758</f>
        <v>8</v>
      </c>
      <c r="N758">
        <f t="shared" si="22"/>
        <v>0</v>
      </c>
      <c r="O758" t="str">
        <f xml:space="preserve"> VLOOKUP(A758, Lookup_Tables!$G$2:$H$6,2,TRUE)</f>
        <v>25-34</v>
      </c>
      <c r="P758" t="str">
        <f>_xlfn.XLOOKUP(J758,Lookup_Tables!$J$2:$J$4,Lookup_Tables!$K$2:$K$4, " ",-1)</f>
        <v>Medium</v>
      </c>
      <c r="Q758" t="str">
        <f xml:space="preserve"> _xlfn.XLOOKUP(M758, Lookup_Tables!$M$2:$M$5,Lookup_Tables!$N$2:$N$5," ", -1)</f>
        <v>Established (5-10)</v>
      </c>
      <c r="R758" s="4">
        <f t="shared" si="23"/>
        <v>3.3333333333333335</v>
      </c>
      <c r="S758" t="str">
        <f xml:space="preserve"> _xlfn.XLOOKUP( E758, Lookup_Tables!$A$2:$A$6,Lookup_Tables!$B$2:$B$6," ", -1)</f>
        <v>Master</v>
      </c>
      <c r="T758" t="str">
        <f>_xlfn.XLOOKUP(G758,Lookup_Tables!$D$2:$D$5,Lookup_Tables!$E$2:$E$5)</f>
        <v>Very High</v>
      </c>
      <c r="U758" t="str">
        <f>_xlfn.XLOOKUP(H758,Lookup_Tables!$D$2:$D$5,Lookup_Tables!$E$2:$E$5)</f>
        <v>High</v>
      </c>
      <c r="V758" t="str">
        <f>_xlfn.XLOOKUP(L758,Lookup_Tables!$D$2:$D$5,Lookup_Tables!$E$2:$E$5)</f>
        <v>High</v>
      </c>
    </row>
    <row r="759" spans="1:22">
      <c r="A759">
        <f>RAW_DATA!A759</f>
        <v>34</v>
      </c>
      <c r="B759" t="str">
        <f>RAW_DATA!B759</f>
        <v>No</v>
      </c>
      <c r="C759" t="str">
        <f>RAW_DATA!C759</f>
        <v>Sales</v>
      </c>
      <c r="D759">
        <f>RAW_DATA!D759</f>
        <v>1</v>
      </c>
      <c r="E759">
        <f>RAW_DATA!E759</f>
        <v>4</v>
      </c>
      <c r="F759" t="str">
        <f>RAW_DATA!F759</f>
        <v>Marketing</v>
      </c>
      <c r="G759">
        <f>RAW_DATA!G759</f>
        <v>2</v>
      </c>
      <c r="H759">
        <f>RAW_DATA!H759</f>
        <v>4</v>
      </c>
      <c r="I759" t="str">
        <f>RAW_DATA!I759</f>
        <v>Divorced</v>
      </c>
      <c r="J759">
        <f>RAW_DATA!J759</f>
        <v>9725</v>
      </c>
      <c r="K759">
        <f>RAW_DATA!K759</f>
        <v>0</v>
      </c>
      <c r="L759">
        <f>RAW_DATA!L759</f>
        <v>2</v>
      </c>
      <c r="M759">
        <f>RAW_DATA!M759</f>
        <v>15</v>
      </c>
      <c r="N759">
        <f t="shared" si="22"/>
        <v>0</v>
      </c>
      <c r="O759" t="str">
        <f xml:space="preserve"> VLOOKUP(A759, Lookup_Tables!$G$2:$H$6,2,TRUE)</f>
        <v>25-34</v>
      </c>
      <c r="P759" t="str">
        <f>_xlfn.XLOOKUP(J759,Lookup_Tables!$J$2:$J$4,Lookup_Tables!$K$2:$K$4, " ",-1)</f>
        <v>High</v>
      </c>
      <c r="Q759" t="str">
        <f xml:space="preserve"> _xlfn.XLOOKUP(M759, Lookup_Tables!$M$2:$M$5,Lookup_Tables!$N$2:$N$5," ", -1)</f>
        <v>Veteran (10+)</v>
      </c>
      <c r="R759" s="4">
        <f t="shared" si="23"/>
        <v>2.6666666666666665</v>
      </c>
      <c r="S759" t="str">
        <f xml:space="preserve"> _xlfn.XLOOKUP( E759, Lookup_Tables!$A$2:$A$6,Lookup_Tables!$B$2:$B$6," ", -1)</f>
        <v>Master</v>
      </c>
      <c r="T759" t="str">
        <f>_xlfn.XLOOKUP(G759,Lookup_Tables!$D$2:$D$5,Lookup_Tables!$E$2:$E$5)</f>
        <v>Medium</v>
      </c>
      <c r="U759" t="str">
        <f>_xlfn.XLOOKUP(H759,Lookup_Tables!$D$2:$D$5,Lookup_Tables!$E$2:$E$5)</f>
        <v>Very High</v>
      </c>
      <c r="V759" t="str">
        <f>_xlfn.XLOOKUP(L759,Lookup_Tables!$D$2:$D$5,Lookup_Tables!$E$2:$E$5)</f>
        <v>Medium</v>
      </c>
    </row>
    <row r="760" spans="1:22">
      <c r="A760">
        <f>RAW_DATA!A760</f>
        <v>59</v>
      </c>
      <c r="B760" t="str">
        <f>RAW_DATA!B760</f>
        <v>No</v>
      </c>
      <c r="C760" t="str">
        <f>RAW_DATA!C760</f>
        <v>Sales</v>
      </c>
      <c r="D760">
        <f>RAW_DATA!D760</f>
        <v>1</v>
      </c>
      <c r="E760">
        <f>RAW_DATA!E760</f>
        <v>2</v>
      </c>
      <c r="F760" t="str">
        <f>RAW_DATA!F760</f>
        <v>Technical Degree</v>
      </c>
      <c r="G760">
        <f>RAW_DATA!G760</f>
        <v>2</v>
      </c>
      <c r="H760">
        <f>RAW_DATA!H760</f>
        <v>4</v>
      </c>
      <c r="I760" t="str">
        <f>RAW_DATA!I760</f>
        <v>Married</v>
      </c>
      <c r="J760">
        <f>RAW_DATA!J760</f>
        <v>11904</v>
      </c>
      <c r="K760">
        <f>RAW_DATA!K760</f>
        <v>3</v>
      </c>
      <c r="L760">
        <f>RAW_DATA!L760</f>
        <v>1</v>
      </c>
      <c r="M760">
        <f>RAW_DATA!M760</f>
        <v>6</v>
      </c>
      <c r="N760">
        <f t="shared" si="22"/>
        <v>0</v>
      </c>
      <c r="O760" t="str">
        <f xml:space="preserve"> VLOOKUP(A760, Lookup_Tables!$G$2:$H$6,2,TRUE)</f>
        <v>55+</v>
      </c>
      <c r="P760" t="str">
        <f>_xlfn.XLOOKUP(J760,Lookup_Tables!$J$2:$J$4,Lookup_Tables!$K$2:$K$4, " ",-1)</f>
        <v>High</v>
      </c>
      <c r="Q760" t="str">
        <f xml:space="preserve"> _xlfn.XLOOKUP(M760, Lookup_Tables!$M$2:$M$5,Lookup_Tables!$N$2:$N$5," ", -1)</f>
        <v>Established (5-10)</v>
      </c>
      <c r="R760" s="4">
        <f t="shared" si="23"/>
        <v>2.3333333333333335</v>
      </c>
      <c r="S760" t="str">
        <f xml:space="preserve"> _xlfn.XLOOKUP( E760, Lookup_Tables!$A$2:$A$6,Lookup_Tables!$B$2:$B$6," ", -1)</f>
        <v>College</v>
      </c>
      <c r="T760" t="str">
        <f>_xlfn.XLOOKUP(G760,Lookup_Tables!$D$2:$D$5,Lookup_Tables!$E$2:$E$5)</f>
        <v>Medium</v>
      </c>
      <c r="U760" t="str">
        <f>_xlfn.XLOOKUP(H760,Lookup_Tables!$D$2:$D$5,Lookup_Tables!$E$2:$E$5)</f>
        <v>Very High</v>
      </c>
      <c r="V760" t="str">
        <f>_xlfn.XLOOKUP(L760,Lookup_Tables!$D$2:$D$5,Lookup_Tables!$E$2:$E$5)</f>
        <v>Low</v>
      </c>
    </row>
    <row r="761" spans="1:22">
      <c r="A761">
        <f>RAW_DATA!A761</f>
        <v>45</v>
      </c>
      <c r="B761" t="str">
        <f>RAW_DATA!B761</f>
        <v>No</v>
      </c>
      <c r="C761" t="str">
        <f>RAW_DATA!C761</f>
        <v>Human Resources</v>
      </c>
      <c r="D761">
        <f>RAW_DATA!D761</f>
        <v>24</v>
      </c>
      <c r="E761">
        <f>RAW_DATA!E761</f>
        <v>4</v>
      </c>
      <c r="F761" t="str">
        <f>RAW_DATA!F761</f>
        <v>Medical</v>
      </c>
      <c r="G761">
        <f>RAW_DATA!G761</f>
        <v>2</v>
      </c>
      <c r="H761">
        <f>RAW_DATA!H761</f>
        <v>2</v>
      </c>
      <c r="I761" t="str">
        <f>RAW_DATA!I761</f>
        <v>Single</v>
      </c>
      <c r="J761">
        <f>RAW_DATA!J761</f>
        <v>2177</v>
      </c>
      <c r="K761">
        <f>RAW_DATA!K761</f>
        <v>1</v>
      </c>
      <c r="L761">
        <f>RAW_DATA!L761</f>
        <v>3</v>
      </c>
      <c r="M761">
        <f>RAW_DATA!M761</f>
        <v>6</v>
      </c>
      <c r="N761">
        <f t="shared" si="22"/>
        <v>0</v>
      </c>
      <c r="O761" t="str">
        <f xml:space="preserve"> VLOOKUP(A761, Lookup_Tables!$G$2:$H$6,2,TRUE)</f>
        <v>45-54</v>
      </c>
      <c r="P761" t="str">
        <f>_xlfn.XLOOKUP(J761,Lookup_Tables!$J$2:$J$4,Lookup_Tables!$K$2:$K$4, " ",-1)</f>
        <v>Low</v>
      </c>
      <c r="Q761" t="str">
        <f xml:space="preserve"> _xlfn.XLOOKUP(M761, Lookup_Tables!$M$2:$M$5,Lookup_Tables!$N$2:$N$5," ", -1)</f>
        <v>Established (5-10)</v>
      </c>
      <c r="R761" s="4">
        <f t="shared" si="23"/>
        <v>2.3333333333333335</v>
      </c>
      <c r="S761" t="str">
        <f xml:space="preserve"> _xlfn.XLOOKUP( E761, Lookup_Tables!$A$2:$A$6,Lookup_Tables!$B$2:$B$6," ", -1)</f>
        <v>Master</v>
      </c>
      <c r="T761" t="str">
        <f>_xlfn.XLOOKUP(G761,Lookup_Tables!$D$2:$D$5,Lookup_Tables!$E$2:$E$5)</f>
        <v>Medium</v>
      </c>
      <c r="U761" t="str">
        <f>_xlfn.XLOOKUP(H761,Lookup_Tables!$D$2:$D$5,Lookup_Tables!$E$2:$E$5)</f>
        <v>Medium</v>
      </c>
      <c r="V761" t="str">
        <f>_xlfn.XLOOKUP(L761,Lookup_Tables!$D$2:$D$5,Lookup_Tables!$E$2:$E$5)</f>
        <v>High</v>
      </c>
    </row>
    <row r="762" spans="1:22">
      <c r="A762">
        <f>RAW_DATA!A762</f>
        <v>53</v>
      </c>
      <c r="B762" t="str">
        <f>RAW_DATA!B762</f>
        <v>No</v>
      </c>
      <c r="C762" t="str">
        <f>RAW_DATA!C762</f>
        <v>Sales</v>
      </c>
      <c r="D762">
        <f>RAW_DATA!D762</f>
        <v>2</v>
      </c>
      <c r="E762">
        <f>RAW_DATA!E762</f>
        <v>3</v>
      </c>
      <c r="F762" t="str">
        <f>RAW_DATA!F762</f>
        <v>Marketing</v>
      </c>
      <c r="G762">
        <f>RAW_DATA!G762</f>
        <v>3</v>
      </c>
      <c r="H762">
        <f>RAW_DATA!H762</f>
        <v>2</v>
      </c>
      <c r="I762" t="str">
        <f>RAW_DATA!I762</f>
        <v>Married</v>
      </c>
      <c r="J762">
        <f>RAW_DATA!J762</f>
        <v>7525</v>
      </c>
      <c r="K762">
        <f>RAW_DATA!K762</f>
        <v>2</v>
      </c>
      <c r="L762">
        <f>RAW_DATA!L762</f>
        <v>3</v>
      </c>
      <c r="M762">
        <f>RAW_DATA!M762</f>
        <v>15</v>
      </c>
      <c r="N762">
        <f t="shared" si="22"/>
        <v>0</v>
      </c>
      <c r="O762" t="str">
        <f xml:space="preserve"> VLOOKUP(A762, Lookup_Tables!$G$2:$H$6,2,TRUE)</f>
        <v>45-54</v>
      </c>
      <c r="P762" t="str">
        <f>_xlfn.XLOOKUP(J762,Lookup_Tables!$J$2:$J$4,Lookup_Tables!$K$2:$K$4, " ",-1)</f>
        <v>High</v>
      </c>
      <c r="Q762" t="str">
        <f xml:space="preserve"> _xlfn.XLOOKUP(M762, Lookup_Tables!$M$2:$M$5,Lookup_Tables!$N$2:$N$5," ", -1)</f>
        <v>Veteran (10+)</v>
      </c>
      <c r="R762" s="4">
        <f t="shared" si="23"/>
        <v>2.6666666666666665</v>
      </c>
      <c r="S762" t="str">
        <f xml:space="preserve"> _xlfn.XLOOKUP( E762, Lookup_Tables!$A$2:$A$6,Lookup_Tables!$B$2:$B$6," ", -1)</f>
        <v>Bachelor</v>
      </c>
      <c r="T762" t="str">
        <f>_xlfn.XLOOKUP(G762,Lookup_Tables!$D$2:$D$5,Lookup_Tables!$E$2:$E$5)</f>
        <v>High</v>
      </c>
      <c r="U762" t="str">
        <f>_xlfn.XLOOKUP(H762,Lookup_Tables!$D$2:$D$5,Lookup_Tables!$E$2:$E$5)</f>
        <v>Medium</v>
      </c>
      <c r="V762" t="str">
        <f>_xlfn.XLOOKUP(L762,Lookup_Tables!$D$2:$D$5,Lookup_Tables!$E$2:$E$5)</f>
        <v>High</v>
      </c>
    </row>
    <row r="763" spans="1:22">
      <c r="A763">
        <f>RAW_DATA!A763</f>
        <v>36</v>
      </c>
      <c r="B763" t="str">
        <f>RAW_DATA!B763</f>
        <v>Yes</v>
      </c>
      <c r="C763" t="str">
        <f>RAW_DATA!C763</f>
        <v>Research &amp; Development</v>
      </c>
      <c r="D763">
        <f>RAW_DATA!D763</f>
        <v>15</v>
      </c>
      <c r="E763">
        <f>RAW_DATA!E763</f>
        <v>3</v>
      </c>
      <c r="F763" t="str">
        <f>RAW_DATA!F763</f>
        <v>Other</v>
      </c>
      <c r="G763">
        <f>RAW_DATA!G763</f>
        <v>1</v>
      </c>
      <c r="H763">
        <f>RAW_DATA!H763</f>
        <v>3</v>
      </c>
      <c r="I763" t="str">
        <f>RAW_DATA!I763</f>
        <v>Divorced</v>
      </c>
      <c r="J763">
        <f>RAW_DATA!J763</f>
        <v>4834</v>
      </c>
      <c r="K763">
        <f>RAW_DATA!K763</f>
        <v>7</v>
      </c>
      <c r="L763">
        <f>RAW_DATA!L763</f>
        <v>2</v>
      </c>
      <c r="M763">
        <f>RAW_DATA!M763</f>
        <v>1</v>
      </c>
      <c r="N763">
        <f t="shared" si="22"/>
        <v>1</v>
      </c>
      <c r="O763" t="str">
        <f xml:space="preserve"> VLOOKUP(A763, Lookup_Tables!$G$2:$H$6,2,TRUE)</f>
        <v>35-44</v>
      </c>
      <c r="P763" t="str">
        <f>_xlfn.XLOOKUP(J763,Lookup_Tables!$J$2:$J$4,Lookup_Tables!$K$2:$K$4, " ",-1)</f>
        <v>Medium</v>
      </c>
      <c r="Q763" t="str">
        <f xml:space="preserve"> _xlfn.XLOOKUP(M763, Lookup_Tables!$M$2:$M$5,Lookup_Tables!$N$2:$N$5," ", -1)</f>
        <v>New (0-2)</v>
      </c>
      <c r="R763" s="4">
        <f t="shared" si="23"/>
        <v>2</v>
      </c>
      <c r="S763" t="str">
        <f xml:space="preserve"> _xlfn.XLOOKUP( E763, Lookup_Tables!$A$2:$A$6,Lookup_Tables!$B$2:$B$6," ", -1)</f>
        <v>Bachelor</v>
      </c>
      <c r="T763" t="str">
        <f>_xlfn.XLOOKUP(G763,Lookup_Tables!$D$2:$D$5,Lookup_Tables!$E$2:$E$5)</f>
        <v>Low</v>
      </c>
      <c r="U763" t="str">
        <f>_xlfn.XLOOKUP(H763,Lookup_Tables!$D$2:$D$5,Lookup_Tables!$E$2:$E$5)</f>
        <v>High</v>
      </c>
      <c r="V763" t="str">
        <f>_xlfn.XLOOKUP(L763,Lookup_Tables!$D$2:$D$5,Lookup_Tables!$E$2:$E$5)</f>
        <v>Medium</v>
      </c>
    </row>
    <row r="764" spans="1:22">
      <c r="A764">
        <f>RAW_DATA!A764</f>
        <v>26</v>
      </c>
      <c r="B764" t="str">
        <f>RAW_DATA!B764</f>
        <v>Yes</v>
      </c>
      <c r="C764" t="str">
        <f>RAW_DATA!C764</f>
        <v>Research &amp; Development</v>
      </c>
      <c r="D764">
        <f>RAW_DATA!D764</f>
        <v>2</v>
      </c>
      <c r="E764">
        <f>RAW_DATA!E764</f>
        <v>3</v>
      </c>
      <c r="F764" t="str">
        <f>RAW_DATA!F764</f>
        <v>Life Sciences</v>
      </c>
      <c r="G764">
        <f>RAW_DATA!G764</f>
        <v>1</v>
      </c>
      <c r="H764">
        <f>RAW_DATA!H764</f>
        <v>1</v>
      </c>
      <c r="I764" t="str">
        <f>RAW_DATA!I764</f>
        <v>Married</v>
      </c>
      <c r="J764">
        <f>RAW_DATA!J764</f>
        <v>2042</v>
      </c>
      <c r="K764">
        <f>RAW_DATA!K764</f>
        <v>6</v>
      </c>
      <c r="L764">
        <f>RAW_DATA!L764</f>
        <v>3</v>
      </c>
      <c r="M764">
        <f>RAW_DATA!M764</f>
        <v>3</v>
      </c>
      <c r="N764">
        <f t="shared" si="22"/>
        <v>1</v>
      </c>
      <c r="O764" t="str">
        <f xml:space="preserve"> VLOOKUP(A764, Lookup_Tables!$G$2:$H$6,2,TRUE)</f>
        <v>25-34</v>
      </c>
      <c r="P764" t="str">
        <f>_xlfn.XLOOKUP(J764,Lookup_Tables!$J$2:$J$4,Lookup_Tables!$K$2:$K$4, " ",-1)</f>
        <v>Low</v>
      </c>
      <c r="Q764" t="str">
        <f xml:space="preserve"> _xlfn.XLOOKUP(M764, Lookup_Tables!$M$2:$M$5,Lookup_Tables!$N$2:$N$5," ", -1)</f>
        <v>Early (2-5)</v>
      </c>
      <c r="R764" s="4">
        <f t="shared" si="23"/>
        <v>1.6666666666666667</v>
      </c>
      <c r="S764" t="str">
        <f xml:space="preserve"> _xlfn.XLOOKUP( E764, Lookup_Tables!$A$2:$A$6,Lookup_Tables!$B$2:$B$6," ", -1)</f>
        <v>Bachelor</v>
      </c>
      <c r="T764" t="str">
        <f>_xlfn.XLOOKUP(G764,Lookup_Tables!$D$2:$D$5,Lookup_Tables!$E$2:$E$5)</f>
        <v>Low</v>
      </c>
      <c r="U764" t="str">
        <f>_xlfn.XLOOKUP(H764,Lookup_Tables!$D$2:$D$5,Lookup_Tables!$E$2:$E$5)</f>
        <v>Low</v>
      </c>
      <c r="V764" t="str">
        <f>_xlfn.XLOOKUP(L764,Lookup_Tables!$D$2:$D$5,Lookup_Tables!$E$2:$E$5)</f>
        <v>High</v>
      </c>
    </row>
    <row r="765" spans="1:22">
      <c r="A765">
        <f>RAW_DATA!A765</f>
        <v>34</v>
      </c>
      <c r="B765" t="str">
        <f>RAW_DATA!B765</f>
        <v>No</v>
      </c>
      <c r="C765" t="str">
        <f>RAW_DATA!C765</f>
        <v>Sales</v>
      </c>
      <c r="D765">
        <f>RAW_DATA!D765</f>
        <v>10</v>
      </c>
      <c r="E765">
        <f>RAW_DATA!E765</f>
        <v>4</v>
      </c>
      <c r="F765" t="str">
        <f>RAW_DATA!F765</f>
        <v>Life Sciences</v>
      </c>
      <c r="G765">
        <f>RAW_DATA!G765</f>
        <v>3</v>
      </c>
      <c r="H765">
        <f>RAW_DATA!H765</f>
        <v>3</v>
      </c>
      <c r="I765" t="str">
        <f>RAW_DATA!I765</f>
        <v>Married</v>
      </c>
      <c r="J765">
        <f>RAW_DATA!J765</f>
        <v>2220</v>
      </c>
      <c r="K765">
        <f>RAW_DATA!K765</f>
        <v>1</v>
      </c>
      <c r="L765">
        <f>RAW_DATA!L765</f>
        <v>3</v>
      </c>
      <c r="M765">
        <f>RAW_DATA!M765</f>
        <v>1</v>
      </c>
      <c r="N765">
        <f t="shared" si="22"/>
        <v>0</v>
      </c>
      <c r="O765" t="str">
        <f xml:space="preserve"> VLOOKUP(A765, Lookup_Tables!$G$2:$H$6,2,TRUE)</f>
        <v>25-34</v>
      </c>
      <c r="P765" t="str">
        <f>_xlfn.XLOOKUP(J765,Lookup_Tables!$J$2:$J$4,Lookup_Tables!$K$2:$K$4, " ",-1)</f>
        <v>Low</v>
      </c>
      <c r="Q765" t="str">
        <f xml:space="preserve"> _xlfn.XLOOKUP(M765, Lookup_Tables!$M$2:$M$5,Lookup_Tables!$N$2:$N$5," ", -1)</f>
        <v>New (0-2)</v>
      </c>
      <c r="R765" s="4">
        <f t="shared" si="23"/>
        <v>3</v>
      </c>
      <c r="S765" t="str">
        <f xml:space="preserve"> _xlfn.XLOOKUP( E765, Lookup_Tables!$A$2:$A$6,Lookup_Tables!$B$2:$B$6," ", -1)</f>
        <v>Master</v>
      </c>
      <c r="T765" t="str">
        <f>_xlfn.XLOOKUP(G765,Lookup_Tables!$D$2:$D$5,Lookup_Tables!$E$2:$E$5)</f>
        <v>High</v>
      </c>
      <c r="U765" t="str">
        <f>_xlfn.XLOOKUP(H765,Lookup_Tables!$D$2:$D$5,Lookup_Tables!$E$2:$E$5)</f>
        <v>High</v>
      </c>
      <c r="V765" t="str">
        <f>_xlfn.XLOOKUP(L765,Lookup_Tables!$D$2:$D$5,Lookup_Tables!$E$2:$E$5)</f>
        <v>High</v>
      </c>
    </row>
    <row r="766" spans="1:22">
      <c r="A766">
        <f>RAW_DATA!A766</f>
        <v>28</v>
      </c>
      <c r="B766" t="str">
        <f>RAW_DATA!B766</f>
        <v>No</v>
      </c>
      <c r="C766" t="str">
        <f>RAW_DATA!C766</f>
        <v>Sales</v>
      </c>
      <c r="D766">
        <f>RAW_DATA!D766</f>
        <v>10</v>
      </c>
      <c r="E766">
        <f>RAW_DATA!E766</f>
        <v>1</v>
      </c>
      <c r="F766" t="str">
        <f>RAW_DATA!F766</f>
        <v>Medical</v>
      </c>
      <c r="G766">
        <f>RAW_DATA!G766</f>
        <v>4</v>
      </c>
      <c r="H766">
        <f>RAW_DATA!H766</f>
        <v>2</v>
      </c>
      <c r="I766" t="str">
        <f>RAW_DATA!I766</f>
        <v>Married</v>
      </c>
      <c r="J766">
        <f>RAW_DATA!J766</f>
        <v>1052</v>
      </c>
      <c r="K766">
        <f>RAW_DATA!K766</f>
        <v>1</v>
      </c>
      <c r="L766">
        <f>RAW_DATA!L766</f>
        <v>3</v>
      </c>
      <c r="M766">
        <f>RAW_DATA!M766</f>
        <v>1</v>
      </c>
      <c r="N766">
        <f t="shared" si="22"/>
        <v>0</v>
      </c>
      <c r="O766" t="str">
        <f xml:space="preserve"> VLOOKUP(A766, Lookup_Tables!$G$2:$H$6,2,TRUE)</f>
        <v>25-34</v>
      </c>
      <c r="P766" t="str">
        <f>_xlfn.XLOOKUP(J766,Lookup_Tables!$J$2:$J$4,Lookup_Tables!$K$2:$K$4, " ",-1)</f>
        <v>Low</v>
      </c>
      <c r="Q766" t="str">
        <f xml:space="preserve"> _xlfn.XLOOKUP(M766, Lookup_Tables!$M$2:$M$5,Lookup_Tables!$N$2:$N$5," ", -1)</f>
        <v>New (0-2)</v>
      </c>
      <c r="R766" s="4">
        <f t="shared" si="23"/>
        <v>3</v>
      </c>
      <c r="S766" t="str">
        <f xml:space="preserve"> _xlfn.XLOOKUP( E766, Lookup_Tables!$A$2:$A$6,Lookup_Tables!$B$2:$B$6," ", -1)</f>
        <v>Below College</v>
      </c>
      <c r="T766" t="str">
        <f>_xlfn.XLOOKUP(G766,Lookup_Tables!$D$2:$D$5,Lookup_Tables!$E$2:$E$5)</f>
        <v>Very High</v>
      </c>
      <c r="U766" t="str">
        <f>_xlfn.XLOOKUP(H766,Lookup_Tables!$D$2:$D$5,Lookup_Tables!$E$2:$E$5)</f>
        <v>Medium</v>
      </c>
      <c r="V766" t="str">
        <f>_xlfn.XLOOKUP(L766,Lookup_Tables!$D$2:$D$5,Lookup_Tables!$E$2:$E$5)</f>
        <v>High</v>
      </c>
    </row>
    <row r="767" spans="1:22">
      <c r="A767">
        <f>RAW_DATA!A767</f>
        <v>38</v>
      </c>
      <c r="B767" t="str">
        <f>RAW_DATA!B767</f>
        <v>No</v>
      </c>
      <c r="C767" t="str">
        <f>RAW_DATA!C767</f>
        <v>Research &amp; Development</v>
      </c>
      <c r="D767">
        <f>RAW_DATA!D767</f>
        <v>3</v>
      </c>
      <c r="E767">
        <f>RAW_DATA!E767</f>
        <v>4</v>
      </c>
      <c r="F767" t="str">
        <f>RAW_DATA!F767</f>
        <v>Other</v>
      </c>
      <c r="G767">
        <f>RAW_DATA!G767</f>
        <v>3</v>
      </c>
      <c r="H767">
        <f>RAW_DATA!H767</f>
        <v>3</v>
      </c>
      <c r="I767" t="str">
        <f>RAW_DATA!I767</f>
        <v>Married</v>
      </c>
      <c r="J767">
        <f>RAW_DATA!J767</f>
        <v>2821</v>
      </c>
      <c r="K767">
        <f>RAW_DATA!K767</f>
        <v>3</v>
      </c>
      <c r="L767">
        <f>RAW_DATA!L767</f>
        <v>3</v>
      </c>
      <c r="M767">
        <f>RAW_DATA!M767</f>
        <v>2</v>
      </c>
      <c r="N767">
        <f t="shared" si="22"/>
        <v>0</v>
      </c>
      <c r="O767" t="str">
        <f xml:space="preserve"> VLOOKUP(A767, Lookup_Tables!$G$2:$H$6,2,TRUE)</f>
        <v>35-44</v>
      </c>
      <c r="P767" t="str">
        <f>_xlfn.XLOOKUP(J767,Lookup_Tables!$J$2:$J$4,Lookup_Tables!$K$2:$K$4, " ",-1)</f>
        <v>Low</v>
      </c>
      <c r="Q767" t="str">
        <f xml:space="preserve"> _xlfn.XLOOKUP(M767, Lookup_Tables!$M$2:$M$5,Lookup_Tables!$N$2:$N$5," ", -1)</f>
        <v>Early (2-5)</v>
      </c>
      <c r="R767" s="4">
        <f t="shared" si="23"/>
        <v>3</v>
      </c>
      <c r="S767" t="str">
        <f xml:space="preserve"> _xlfn.XLOOKUP( E767, Lookup_Tables!$A$2:$A$6,Lookup_Tables!$B$2:$B$6," ", -1)</f>
        <v>Master</v>
      </c>
      <c r="T767" t="str">
        <f>_xlfn.XLOOKUP(G767,Lookup_Tables!$D$2:$D$5,Lookup_Tables!$E$2:$E$5)</f>
        <v>High</v>
      </c>
      <c r="U767" t="str">
        <f>_xlfn.XLOOKUP(H767,Lookup_Tables!$D$2:$D$5,Lookup_Tables!$E$2:$E$5)</f>
        <v>High</v>
      </c>
      <c r="V767" t="str">
        <f>_xlfn.XLOOKUP(L767,Lookup_Tables!$D$2:$D$5,Lookup_Tables!$E$2:$E$5)</f>
        <v>High</v>
      </c>
    </row>
    <row r="768" spans="1:22">
      <c r="A768">
        <f>RAW_DATA!A768</f>
        <v>50</v>
      </c>
      <c r="B768" t="str">
        <f>RAW_DATA!B768</f>
        <v>No</v>
      </c>
      <c r="C768" t="str">
        <f>RAW_DATA!C768</f>
        <v>Research &amp; Development</v>
      </c>
      <c r="D768">
        <f>RAW_DATA!D768</f>
        <v>2</v>
      </c>
      <c r="E768">
        <f>RAW_DATA!E768</f>
        <v>4</v>
      </c>
      <c r="F768" t="str">
        <f>RAW_DATA!F768</f>
        <v>Medical</v>
      </c>
      <c r="G768">
        <f>RAW_DATA!G768</f>
        <v>2</v>
      </c>
      <c r="H768">
        <f>RAW_DATA!H768</f>
        <v>3</v>
      </c>
      <c r="I768" t="str">
        <f>RAW_DATA!I768</f>
        <v>Married</v>
      </c>
      <c r="J768">
        <f>RAW_DATA!J768</f>
        <v>19237</v>
      </c>
      <c r="K768">
        <f>RAW_DATA!K768</f>
        <v>2</v>
      </c>
      <c r="L768">
        <f>RAW_DATA!L768</f>
        <v>2</v>
      </c>
      <c r="M768">
        <f>RAW_DATA!M768</f>
        <v>8</v>
      </c>
      <c r="N768">
        <f t="shared" si="22"/>
        <v>0</v>
      </c>
      <c r="O768" t="str">
        <f xml:space="preserve"> VLOOKUP(A768, Lookup_Tables!$G$2:$H$6,2,TRUE)</f>
        <v>45-54</v>
      </c>
      <c r="P768" t="str">
        <f>_xlfn.XLOOKUP(J768,Lookup_Tables!$J$2:$J$4,Lookup_Tables!$K$2:$K$4, " ",-1)</f>
        <v>High</v>
      </c>
      <c r="Q768" t="str">
        <f xml:space="preserve"> _xlfn.XLOOKUP(M768, Lookup_Tables!$M$2:$M$5,Lookup_Tables!$N$2:$N$5," ", -1)</f>
        <v>Established (5-10)</v>
      </c>
      <c r="R768" s="4">
        <f t="shared" si="23"/>
        <v>2.3333333333333335</v>
      </c>
      <c r="S768" t="str">
        <f xml:space="preserve"> _xlfn.XLOOKUP( E768, Lookup_Tables!$A$2:$A$6,Lookup_Tables!$B$2:$B$6," ", -1)</f>
        <v>Master</v>
      </c>
      <c r="T768" t="str">
        <f>_xlfn.XLOOKUP(G768,Lookup_Tables!$D$2:$D$5,Lookup_Tables!$E$2:$E$5)</f>
        <v>Medium</v>
      </c>
      <c r="U768" t="str">
        <f>_xlfn.XLOOKUP(H768,Lookup_Tables!$D$2:$D$5,Lookup_Tables!$E$2:$E$5)</f>
        <v>High</v>
      </c>
      <c r="V768" t="str">
        <f>_xlfn.XLOOKUP(L768,Lookup_Tables!$D$2:$D$5,Lookup_Tables!$E$2:$E$5)</f>
        <v>Medium</v>
      </c>
    </row>
    <row r="769" spans="1:22">
      <c r="A769">
        <f>RAW_DATA!A769</f>
        <v>37</v>
      </c>
      <c r="B769" t="str">
        <f>RAW_DATA!B769</f>
        <v>No</v>
      </c>
      <c r="C769" t="str">
        <f>RAW_DATA!C769</f>
        <v>Research &amp; Development</v>
      </c>
      <c r="D769">
        <f>RAW_DATA!D769</f>
        <v>3</v>
      </c>
      <c r="E769">
        <f>RAW_DATA!E769</f>
        <v>3</v>
      </c>
      <c r="F769" t="str">
        <f>RAW_DATA!F769</f>
        <v>Other</v>
      </c>
      <c r="G769">
        <f>RAW_DATA!G769</f>
        <v>4</v>
      </c>
      <c r="H769">
        <f>RAW_DATA!H769</f>
        <v>2</v>
      </c>
      <c r="I769" t="str">
        <f>RAW_DATA!I769</f>
        <v>Single</v>
      </c>
      <c r="J769">
        <f>RAW_DATA!J769</f>
        <v>4107</v>
      </c>
      <c r="K769">
        <f>RAW_DATA!K769</f>
        <v>3</v>
      </c>
      <c r="L769">
        <f>RAW_DATA!L769</f>
        <v>2</v>
      </c>
      <c r="M769">
        <f>RAW_DATA!M769</f>
        <v>4</v>
      </c>
      <c r="N769">
        <f t="shared" si="22"/>
        <v>0</v>
      </c>
      <c r="O769" t="str">
        <f xml:space="preserve"> VLOOKUP(A769, Lookup_Tables!$G$2:$H$6,2,TRUE)</f>
        <v>35-44</v>
      </c>
      <c r="P769" t="str">
        <f>_xlfn.XLOOKUP(J769,Lookup_Tables!$J$2:$J$4,Lookup_Tables!$K$2:$K$4, " ",-1)</f>
        <v>Medium</v>
      </c>
      <c r="Q769" t="str">
        <f xml:space="preserve"> _xlfn.XLOOKUP(M769, Lookup_Tables!$M$2:$M$5,Lookup_Tables!$N$2:$N$5," ", -1)</f>
        <v>Early (2-5)</v>
      </c>
      <c r="R769" s="4">
        <f t="shared" si="23"/>
        <v>2.6666666666666665</v>
      </c>
      <c r="S769" t="str">
        <f xml:space="preserve"> _xlfn.XLOOKUP( E769, Lookup_Tables!$A$2:$A$6,Lookup_Tables!$B$2:$B$6," ", -1)</f>
        <v>Bachelor</v>
      </c>
      <c r="T769" t="str">
        <f>_xlfn.XLOOKUP(G769,Lookup_Tables!$D$2:$D$5,Lookup_Tables!$E$2:$E$5)</f>
        <v>Very High</v>
      </c>
      <c r="U769" t="str">
        <f>_xlfn.XLOOKUP(H769,Lookup_Tables!$D$2:$D$5,Lookup_Tables!$E$2:$E$5)</f>
        <v>Medium</v>
      </c>
      <c r="V769" t="str">
        <f>_xlfn.XLOOKUP(L769,Lookup_Tables!$D$2:$D$5,Lookup_Tables!$E$2:$E$5)</f>
        <v>Medium</v>
      </c>
    </row>
    <row r="770" spans="1:22">
      <c r="A770">
        <f>RAW_DATA!A770</f>
        <v>40</v>
      </c>
      <c r="B770" t="str">
        <f>RAW_DATA!B770</f>
        <v>No</v>
      </c>
      <c r="C770" t="str">
        <f>RAW_DATA!C770</f>
        <v>Sales</v>
      </c>
      <c r="D770">
        <f>RAW_DATA!D770</f>
        <v>26</v>
      </c>
      <c r="E770">
        <f>RAW_DATA!E770</f>
        <v>3</v>
      </c>
      <c r="F770" t="str">
        <f>RAW_DATA!F770</f>
        <v>Marketing</v>
      </c>
      <c r="G770">
        <f>RAW_DATA!G770</f>
        <v>3</v>
      </c>
      <c r="H770">
        <f>RAW_DATA!H770</f>
        <v>1</v>
      </c>
      <c r="I770" t="str">
        <f>RAW_DATA!I770</f>
        <v>Married</v>
      </c>
      <c r="J770">
        <f>RAW_DATA!J770</f>
        <v>8396</v>
      </c>
      <c r="K770">
        <f>RAW_DATA!K770</f>
        <v>1</v>
      </c>
      <c r="L770">
        <f>RAW_DATA!L770</f>
        <v>2</v>
      </c>
      <c r="M770">
        <f>RAW_DATA!M770</f>
        <v>7</v>
      </c>
      <c r="N770">
        <f t="shared" si="22"/>
        <v>0</v>
      </c>
      <c r="O770" t="str">
        <f xml:space="preserve"> VLOOKUP(A770, Lookup_Tables!$G$2:$H$6,2,TRUE)</f>
        <v>35-44</v>
      </c>
      <c r="P770" t="str">
        <f>_xlfn.XLOOKUP(J770,Lookup_Tables!$J$2:$J$4,Lookup_Tables!$K$2:$K$4, " ",-1)</f>
        <v>High</v>
      </c>
      <c r="Q770" t="str">
        <f xml:space="preserve"> _xlfn.XLOOKUP(M770, Lookup_Tables!$M$2:$M$5,Lookup_Tables!$N$2:$N$5," ", -1)</f>
        <v>Established (5-10)</v>
      </c>
      <c r="R770" s="4">
        <f t="shared" si="23"/>
        <v>2</v>
      </c>
      <c r="S770" t="str">
        <f xml:space="preserve"> _xlfn.XLOOKUP( E770, Lookup_Tables!$A$2:$A$6,Lookup_Tables!$B$2:$B$6," ", -1)</f>
        <v>Bachelor</v>
      </c>
      <c r="T770" t="str">
        <f>_xlfn.XLOOKUP(G770,Lookup_Tables!$D$2:$D$5,Lookup_Tables!$E$2:$E$5)</f>
        <v>High</v>
      </c>
      <c r="U770" t="str">
        <f>_xlfn.XLOOKUP(H770,Lookup_Tables!$D$2:$D$5,Lookup_Tables!$E$2:$E$5)</f>
        <v>Low</v>
      </c>
      <c r="V770" t="str">
        <f>_xlfn.XLOOKUP(L770,Lookup_Tables!$D$2:$D$5,Lookup_Tables!$E$2:$E$5)</f>
        <v>Medium</v>
      </c>
    </row>
    <row r="771" spans="1:22">
      <c r="A771">
        <f>RAW_DATA!A771</f>
        <v>26</v>
      </c>
      <c r="B771" t="str">
        <f>RAW_DATA!B771</f>
        <v>No</v>
      </c>
      <c r="C771" t="str">
        <f>RAW_DATA!C771</f>
        <v>Research &amp; Development</v>
      </c>
      <c r="D771">
        <f>RAW_DATA!D771</f>
        <v>1</v>
      </c>
      <c r="E771">
        <f>RAW_DATA!E771</f>
        <v>1</v>
      </c>
      <c r="F771" t="str">
        <f>RAW_DATA!F771</f>
        <v>Medical</v>
      </c>
      <c r="G771">
        <f>RAW_DATA!G771</f>
        <v>1</v>
      </c>
      <c r="H771">
        <f>RAW_DATA!H771</f>
        <v>3</v>
      </c>
      <c r="I771" t="str">
        <f>RAW_DATA!I771</f>
        <v>Divorced</v>
      </c>
      <c r="J771">
        <f>RAW_DATA!J771</f>
        <v>2007</v>
      </c>
      <c r="K771">
        <f>RAW_DATA!K771</f>
        <v>1</v>
      </c>
      <c r="L771">
        <f>RAW_DATA!L771</f>
        <v>3</v>
      </c>
      <c r="M771">
        <f>RAW_DATA!M771</f>
        <v>5</v>
      </c>
      <c r="N771">
        <f t="shared" ref="N771:N834" si="24" xml:space="preserve"> IF(B771 ="Yes",1,0)</f>
        <v>0</v>
      </c>
      <c r="O771" t="str">
        <f xml:space="preserve"> VLOOKUP(A771, Lookup_Tables!$G$2:$H$6,2,TRUE)</f>
        <v>25-34</v>
      </c>
      <c r="P771" t="str">
        <f>_xlfn.XLOOKUP(J771,Lookup_Tables!$J$2:$J$4,Lookup_Tables!$K$2:$K$4, " ",-1)</f>
        <v>Low</v>
      </c>
      <c r="Q771" t="str">
        <f xml:space="preserve"> _xlfn.XLOOKUP(M771, Lookup_Tables!$M$2:$M$5,Lookup_Tables!$N$2:$N$5," ", -1)</f>
        <v>Established (5-10)</v>
      </c>
      <c r="R771" s="4">
        <f t="shared" ref="R771:R834" si="25">AVERAGE(G771,H771,L771)</f>
        <v>2.3333333333333335</v>
      </c>
      <c r="S771" t="str">
        <f xml:space="preserve"> _xlfn.XLOOKUP( E771, Lookup_Tables!$A$2:$A$6,Lookup_Tables!$B$2:$B$6," ", -1)</f>
        <v>Below College</v>
      </c>
      <c r="T771" t="str">
        <f>_xlfn.XLOOKUP(G771,Lookup_Tables!$D$2:$D$5,Lookup_Tables!$E$2:$E$5)</f>
        <v>Low</v>
      </c>
      <c r="U771" t="str">
        <f>_xlfn.XLOOKUP(H771,Lookup_Tables!$D$2:$D$5,Lookup_Tables!$E$2:$E$5)</f>
        <v>High</v>
      </c>
      <c r="V771" t="str">
        <f>_xlfn.XLOOKUP(L771,Lookup_Tables!$D$2:$D$5,Lookup_Tables!$E$2:$E$5)</f>
        <v>High</v>
      </c>
    </row>
    <row r="772" spans="1:22">
      <c r="A772">
        <f>RAW_DATA!A772</f>
        <v>46</v>
      </c>
      <c r="B772" t="str">
        <f>RAW_DATA!B772</f>
        <v>No</v>
      </c>
      <c r="C772" t="str">
        <f>RAW_DATA!C772</f>
        <v>Research &amp; Development</v>
      </c>
      <c r="D772">
        <f>RAW_DATA!D772</f>
        <v>1</v>
      </c>
      <c r="E772">
        <f>RAW_DATA!E772</f>
        <v>4</v>
      </c>
      <c r="F772" t="str">
        <f>RAW_DATA!F772</f>
        <v>Medical</v>
      </c>
      <c r="G772">
        <f>RAW_DATA!G772</f>
        <v>4</v>
      </c>
      <c r="H772">
        <f>RAW_DATA!H772</f>
        <v>4</v>
      </c>
      <c r="I772" t="str">
        <f>RAW_DATA!I772</f>
        <v>Divorced</v>
      </c>
      <c r="J772">
        <f>RAW_DATA!J772</f>
        <v>19627</v>
      </c>
      <c r="K772">
        <f>RAW_DATA!K772</f>
        <v>9</v>
      </c>
      <c r="L772">
        <f>RAW_DATA!L772</f>
        <v>3</v>
      </c>
      <c r="M772">
        <f>RAW_DATA!M772</f>
        <v>2</v>
      </c>
      <c r="N772">
        <f t="shared" si="24"/>
        <v>0</v>
      </c>
      <c r="O772" t="str">
        <f xml:space="preserve"> VLOOKUP(A772, Lookup_Tables!$G$2:$H$6,2,TRUE)</f>
        <v>45-54</v>
      </c>
      <c r="P772" t="str">
        <f>_xlfn.XLOOKUP(J772,Lookup_Tables!$J$2:$J$4,Lookup_Tables!$K$2:$K$4, " ",-1)</f>
        <v>High</v>
      </c>
      <c r="Q772" t="str">
        <f xml:space="preserve"> _xlfn.XLOOKUP(M772, Lookup_Tables!$M$2:$M$5,Lookup_Tables!$N$2:$N$5," ", -1)</f>
        <v>Early (2-5)</v>
      </c>
      <c r="R772" s="4">
        <f t="shared" si="25"/>
        <v>3.6666666666666665</v>
      </c>
      <c r="S772" t="str">
        <f xml:space="preserve"> _xlfn.XLOOKUP( E772, Lookup_Tables!$A$2:$A$6,Lookup_Tables!$B$2:$B$6," ", -1)</f>
        <v>Master</v>
      </c>
      <c r="T772" t="str">
        <f>_xlfn.XLOOKUP(G772,Lookup_Tables!$D$2:$D$5,Lookup_Tables!$E$2:$E$5)</f>
        <v>Very High</v>
      </c>
      <c r="U772" t="str">
        <f>_xlfn.XLOOKUP(H772,Lookup_Tables!$D$2:$D$5,Lookup_Tables!$E$2:$E$5)</f>
        <v>Very High</v>
      </c>
      <c r="V772" t="str">
        <f>_xlfn.XLOOKUP(L772,Lookup_Tables!$D$2:$D$5,Lookup_Tables!$E$2:$E$5)</f>
        <v>High</v>
      </c>
    </row>
    <row r="773" spans="1:22">
      <c r="A773">
        <f>RAW_DATA!A773</f>
        <v>54</v>
      </c>
      <c r="B773" t="str">
        <f>RAW_DATA!B773</f>
        <v>No</v>
      </c>
      <c r="C773" t="str">
        <f>RAW_DATA!C773</f>
        <v>Sales</v>
      </c>
      <c r="D773">
        <f>RAW_DATA!D773</f>
        <v>2</v>
      </c>
      <c r="E773">
        <f>RAW_DATA!E773</f>
        <v>4</v>
      </c>
      <c r="F773" t="str">
        <f>RAW_DATA!F773</f>
        <v>Life Sciences</v>
      </c>
      <c r="G773">
        <f>RAW_DATA!G773</f>
        <v>3</v>
      </c>
      <c r="H773">
        <f>RAW_DATA!H773</f>
        <v>3</v>
      </c>
      <c r="I773" t="str">
        <f>RAW_DATA!I773</f>
        <v>Married</v>
      </c>
      <c r="J773">
        <f>RAW_DATA!J773</f>
        <v>10686</v>
      </c>
      <c r="K773">
        <f>RAW_DATA!K773</f>
        <v>6</v>
      </c>
      <c r="L773">
        <f>RAW_DATA!L773</f>
        <v>3</v>
      </c>
      <c r="M773">
        <f>RAW_DATA!M773</f>
        <v>9</v>
      </c>
      <c r="N773">
        <f t="shared" si="24"/>
        <v>0</v>
      </c>
      <c r="O773" t="str">
        <f xml:space="preserve"> VLOOKUP(A773, Lookup_Tables!$G$2:$H$6,2,TRUE)</f>
        <v>45-54</v>
      </c>
      <c r="P773" t="str">
        <f>_xlfn.XLOOKUP(J773,Lookup_Tables!$J$2:$J$4,Lookup_Tables!$K$2:$K$4, " ",-1)</f>
        <v>High</v>
      </c>
      <c r="Q773" t="str">
        <f xml:space="preserve"> _xlfn.XLOOKUP(M773, Lookup_Tables!$M$2:$M$5,Lookup_Tables!$N$2:$N$5," ", -1)</f>
        <v>Established (5-10)</v>
      </c>
      <c r="R773" s="4">
        <f t="shared" si="25"/>
        <v>3</v>
      </c>
      <c r="S773" t="str">
        <f xml:space="preserve"> _xlfn.XLOOKUP( E773, Lookup_Tables!$A$2:$A$6,Lookup_Tables!$B$2:$B$6," ", -1)</f>
        <v>Master</v>
      </c>
      <c r="T773" t="str">
        <f>_xlfn.XLOOKUP(G773,Lookup_Tables!$D$2:$D$5,Lookup_Tables!$E$2:$E$5)</f>
        <v>High</v>
      </c>
      <c r="U773" t="str">
        <f>_xlfn.XLOOKUP(H773,Lookup_Tables!$D$2:$D$5,Lookup_Tables!$E$2:$E$5)</f>
        <v>High</v>
      </c>
      <c r="V773" t="str">
        <f>_xlfn.XLOOKUP(L773,Lookup_Tables!$D$2:$D$5,Lookup_Tables!$E$2:$E$5)</f>
        <v>High</v>
      </c>
    </row>
    <row r="774" spans="1:22">
      <c r="A774">
        <f>RAW_DATA!A774</f>
        <v>56</v>
      </c>
      <c r="B774" t="str">
        <f>RAW_DATA!B774</f>
        <v>No</v>
      </c>
      <c r="C774" t="str">
        <f>RAW_DATA!C774</f>
        <v>Research &amp; Development</v>
      </c>
      <c r="D774">
        <f>RAW_DATA!D774</f>
        <v>9</v>
      </c>
      <c r="E774">
        <f>RAW_DATA!E774</f>
        <v>3</v>
      </c>
      <c r="F774" t="str">
        <f>RAW_DATA!F774</f>
        <v>Medical</v>
      </c>
      <c r="G774">
        <f>RAW_DATA!G774</f>
        <v>1</v>
      </c>
      <c r="H774">
        <f>RAW_DATA!H774</f>
        <v>3</v>
      </c>
      <c r="I774" t="str">
        <f>RAW_DATA!I774</f>
        <v>Married</v>
      </c>
      <c r="J774">
        <f>RAW_DATA!J774</f>
        <v>2942</v>
      </c>
      <c r="K774">
        <f>RAW_DATA!K774</f>
        <v>2</v>
      </c>
      <c r="L774">
        <f>RAW_DATA!L774</f>
        <v>3</v>
      </c>
      <c r="M774">
        <f>RAW_DATA!M774</f>
        <v>5</v>
      </c>
      <c r="N774">
        <f t="shared" si="24"/>
        <v>0</v>
      </c>
      <c r="O774" t="str">
        <f xml:space="preserve"> VLOOKUP(A774, Lookup_Tables!$G$2:$H$6,2,TRUE)</f>
        <v>55+</v>
      </c>
      <c r="P774" t="str">
        <f>_xlfn.XLOOKUP(J774,Lookup_Tables!$J$2:$J$4,Lookup_Tables!$K$2:$K$4, " ",-1)</f>
        <v>Low</v>
      </c>
      <c r="Q774" t="str">
        <f xml:space="preserve"> _xlfn.XLOOKUP(M774, Lookup_Tables!$M$2:$M$5,Lookup_Tables!$N$2:$N$5," ", -1)</f>
        <v>Established (5-10)</v>
      </c>
      <c r="R774" s="4">
        <f t="shared" si="25"/>
        <v>2.3333333333333335</v>
      </c>
      <c r="S774" t="str">
        <f xml:space="preserve"> _xlfn.XLOOKUP( E774, Lookup_Tables!$A$2:$A$6,Lookup_Tables!$B$2:$B$6," ", -1)</f>
        <v>Bachelor</v>
      </c>
      <c r="T774" t="str">
        <f>_xlfn.XLOOKUP(G774,Lookup_Tables!$D$2:$D$5,Lookup_Tables!$E$2:$E$5)</f>
        <v>Low</v>
      </c>
      <c r="U774" t="str">
        <f>_xlfn.XLOOKUP(H774,Lookup_Tables!$D$2:$D$5,Lookup_Tables!$E$2:$E$5)</f>
        <v>High</v>
      </c>
      <c r="V774" t="str">
        <f>_xlfn.XLOOKUP(L774,Lookup_Tables!$D$2:$D$5,Lookup_Tables!$E$2:$E$5)</f>
        <v>High</v>
      </c>
    </row>
    <row r="775" spans="1:22">
      <c r="A775">
        <f>RAW_DATA!A775</f>
        <v>36</v>
      </c>
      <c r="B775" t="str">
        <f>RAW_DATA!B775</f>
        <v>No</v>
      </c>
      <c r="C775" t="str">
        <f>RAW_DATA!C775</f>
        <v>Research &amp; Development</v>
      </c>
      <c r="D775">
        <f>RAW_DATA!D775</f>
        <v>12</v>
      </c>
      <c r="E775">
        <f>RAW_DATA!E775</f>
        <v>5</v>
      </c>
      <c r="F775" t="str">
        <f>RAW_DATA!F775</f>
        <v>Medical</v>
      </c>
      <c r="G775">
        <f>RAW_DATA!G775</f>
        <v>4</v>
      </c>
      <c r="H775">
        <f>RAW_DATA!H775</f>
        <v>4</v>
      </c>
      <c r="I775" t="str">
        <f>RAW_DATA!I775</f>
        <v>Single</v>
      </c>
      <c r="J775">
        <f>RAW_DATA!J775</f>
        <v>8858</v>
      </c>
      <c r="K775">
        <f>RAW_DATA!K775</f>
        <v>0</v>
      </c>
      <c r="L775">
        <f>RAW_DATA!L775</f>
        <v>2</v>
      </c>
      <c r="M775">
        <f>RAW_DATA!M775</f>
        <v>14</v>
      </c>
      <c r="N775">
        <f t="shared" si="24"/>
        <v>0</v>
      </c>
      <c r="O775" t="str">
        <f xml:space="preserve"> VLOOKUP(A775, Lookup_Tables!$G$2:$H$6,2,TRUE)</f>
        <v>35-44</v>
      </c>
      <c r="P775" t="str">
        <f>_xlfn.XLOOKUP(J775,Lookup_Tables!$J$2:$J$4,Lookup_Tables!$K$2:$K$4, " ",-1)</f>
        <v>High</v>
      </c>
      <c r="Q775" t="str">
        <f xml:space="preserve"> _xlfn.XLOOKUP(M775, Lookup_Tables!$M$2:$M$5,Lookup_Tables!$N$2:$N$5," ", -1)</f>
        <v>Veteran (10+)</v>
      </c>
      <c r="R775" s="4">
        <f t="shared" si="25"/>
        <v>3.3333333333333335</v>
      </c>
      <c r="S775" t="str">
        <f xml:space="preserve"> _xlfn.XLOOKUP( E775, Lookup_Tables!$A$2:$A$6,Lookup_Tables!$B$2:$B$6," ", -1)</f>
        <v>Doctor</v>
      </c>
      <c r="T775" t="str">
        <f>_xlfn.XLOOKUP(G775,Lookup_Tables!$D$2:$D$5,Lookup_Tables!$E$2:$E$5)</f>
        <v>Very High</v>
      </c>
      <c r="U775" t="str">
        <f>_xlfn.XLOOKUP(H775,Lookup_Tables!$D$2:$D$5,Lookup_Tables!$E$2:$E$5)</f>
        <v>Very High</v>
      </c>
      <c r="V775" t="str">
        <f>_xlfn.XLOOKUP(L775,Lookup_Tables!$D$2:$D$5,Lookup_Tables!$E$2:$E$5)</f>
        <v>Medium</v>
      </c>
    </row>
    <row r="776" spans="1:22">
      <c r="A776">
        <f>RAW_DATA!A776</f>
        <v>55</v>
      </c>
      <c r="B776" t="str">
        <f>RAW_DATA!B776</f>
        <v>No</v>
      </c>
      <c r="C776" t="str">
        <f>RAW_DATA!C776</f>
        <v>Research &amp; Development</v>
      </c>
      <c r="D776">
        <f>RAW_DATA!D776</f>
        <v>2</v>
      </c>
      <c r="E776">
        <f>RAW_DATA!E776</f>
        <v>1</v>
      </c>
      <c r="F776" t="str">
        <f>RAW_DATA!F776</f>
        <v>Medical</v>
      </c>
      <c r="G776">
        <f>RAW_DATA!G776</f>
        <v>3</v>
      </c>
      <c r="H776">
        <f>RAW_DATA!H776</f>
        <v>1</v>
      </c>
      <c r="I776" t="str">
        <f>RAW_DATA!I776</f>
        <v>Single</v>
      </c>
      <c r="J776">
        <f>RAW_DATA!J776</f>
        <v>16756</v>
      </c>
      <c r="K776">
        <f>RAW_DATA!K776</f>
        <v>7</v>
      </c>
      <c r="L776">
        <f>RAW_DATA!L776</f>
        <v>4</v>
      </c>
      <c r="M776">
        <f>RAW_DATA!M776</f>
        <v>9</v>
      </c>
      <c r="N776">
        <f t="shared" si="24"/>
        <v>0</v>
      </c>
      <c r="O776" t="str">
        <f xml:space="preserve"> VLOOKUP(A776, Lookup_Tables!$G$2:$H$6,2,TRUE)</f>
        <v>55+</v>
      </c>
      <c r="P776" t="str">
        <f>_xlfn.XLOOKUP(J776,Lookup_Tables!$J$2:$J$4,Lookup_Tables!$K$2:$K$4, " ",-1)</f>
        <v>High</v>
      </c>
      <c r="Q776" t="str">
        <f xml:space="preserve"> _xlfn.XLOOKUP(M776, Lookup_Tables!$M$2:$M$5,Lookup_Tables!$N$2:$N$5," ", -1)</f>
        <v>Established (5-10)</v>
      </c>
      <c r="R776" s="4">
        <f t="shared" si="25"/>
        <v>2.6666666666666665</v>
      </c>
      <c r="S776" t="str">
        <f xml:space="preserve"> _xlfn.XLOOKUP( E776, Lookup_Tables!$A$2:$A$6,Lookup_Tables!$B$2:$B$6," ", -1)</f>
        <v>Below College</v>
      </c>
      <c r="T776" t="str">
        <f>_xlfn.XLOOKUP(G776,Lookup_Tables!$D$2:$D$5,Lookup_Tables!$E$2:$E$5)</f>
        <v>High</v>
      </c>
      <c r="U776" t="str">
        <f>_xlfn.XLOOKUP(H776,Lookup_Tables!$D$2:$D$5,Lookup_Tables!$E$2:$E$5)</f>
        <v>Low</v>
      </c>
      <c r="V776" t="str">
        <f>_xlfn.XLOOKUP(L776,Lookup_Tables!$D$2:$D$5,Lookup_Tables!$E$2:$E$5)</f>
        <v>Very High</v>
      </c>
    </row>
    <row r="777" spans="1:22">
      <c r="A777">
        <f>RAW_DATA!A777</f>
        <v>43</v>
      </c>
      <c r="B777" t="str">
        <f>RAW_DATA!B777</f>
        <v>No</v>
      </c>
      <c r="C777" t="str">
        <f>RAW_DATA!C777</f>
        <v>Sales</v>
      </c>
      <c r="D777">
        <f>RAW_DATA!D777</f>
        <v>25</v>
      </c>
      <c r="E777">
        <f>RAW_DATA!E777</f>
        <v>3</v>
      </c>
      <c r="F777" t="str">
        <f>RAW_DATA!F777</f>
        <v>Medical</v>
      </c>
      <c r="G777">
        <f>RAW_DATA!G777</f>
        <v>3</v>
      </c>
      <c r="H777">
        <f>RAW_DATA!H777</f>
        <v>4</v>
      </c>
      <c r="I777" t="str">
        <f>RAW_DATA!I777</f>
        <v>Divorced</v>
      </c>
      <c r="J777">
        <f>RAW_DATA!J777</f>
        <v>10798</v>
      </c>
      <c r="K777">
        <f>RAW_DATA!K777</f>
        <v>5</v>
      </c>
      <c r="L777">
        <f>RAW_DATA!L777</f>
        <v>3</v>
      </c>
      <c r="M777">
        <f>RAW_DATA!M777</f>
        <v>1</v>
      </c>
      <c r="N777">
        <f t="shared" si="24"/>
        <v>0</v>
      </c>
      <c r="O777" t="str">
        <f xml:space="preserve"> VLOOKUP(A777, Lookup_Tables!$G$2:$H$6,2,TRUE)</f>
        <v>35-44</v>
      </c>
      <c r="P777" t="str">
        <f>_xlfn.XLOOKUP(J777,Lookup_Tables!$J$2:$J$4,Lookup_Tables!$K$2:$K$4, " ",-1)</f>
        <v>High</v>
      </c>
      <c r="Q777" t="str">
        <f xml:space="preserve"> _xlfn.XLOOKUP(M777, Lookup_Tables!$M$2:$M$5,Lookup_Tables!$N$2:$N$5," ", -1)</f>
        <v>New (0-2)</v>
      </c>
      <c r="R777" s="4">
        <f t="shared" si="25"/>
        <v>3.3333333333333335</v>
      </c>
      <c r="S777" t="str">
        <f xml:space="preserve"> _xlfn.XLOOKUP( E777, Lookup_Tables!$A$2:$A$6,Lookup_Tables!$B$2:$B$6," ", -1)</f>
        <v>Bachelor</v>
      </c>
      <c r="T777" t="str">
        <f>_xlfn.XLOOKUP(G777,Lookup_Tables!$D$2:$D$5,Lookup_Tables!$E$2:$E$5)</f>
        <v>High</v>
      </c>
      <c r="U777" t="str">
        <f>_xlfn.XLOOKUP(H777,Lookup_Tables!$D$2:$D$5,Lookup_Tables!$E$2:$E$5)</f>
        <v>Very High</v>
      </c>
      <c r="V777" t="str">
        <f>_xlfn.XLOOKUP(L777,Lookup_Tables!$D$2:$D$5,Lookup_Tables!$E$2:$E$5)</f>
        <v>High</v>
      </c>
    </row>
    <row r="778" spans="1:22">
      <c r="A778">
        <f>RAW_DATA!A778</f>
        <v>20</v>
      </c>
      <c r="B778" t="str">
        <f>RAW_DATA!B778</f>
        <v>Yes</v>
      </c>
      <c r="C778" t="str">
        <f>RAW_DATA!C778</f>
        <v>Sales</v>
      </c>
      <c r="D778">
        <f>RAW_DATA!D778</f>
        <v>9</v>
      </c>
      <c r="E778">
        <f>RAW_DATA!E778</f>
        <v>3</v>
      </c>
      <c r="F778" t="str">
        <f>RAW_DATA!F778</f>
        <v>Marketing</v>
      </c>
      <c r="G778">
        <f>RAW_DATA!G778</f>
        <v>4</v>
      </c>
      <c r="H778">
        <f>RAW_DATA!H778</f>
        <v>4</v>
      </c>
      <c r="I778" t="str">
        <f>RAW_DATA!I778</f>
        <v>Single</v>
      </c>
      <c r="J778">
        <f>RAW_DATA!J778</f>
        <v>2323</v>
      </c>
      <c r="K778">
        <f>RAW_DATA!K778</f>
        <v>1</v>
      </c>
      <c r="L778">
        <f>RAW_DATA!L778</f>
        <v>3</v>
      </c>
      <c r="M778">
        <f>RAW_DATA!M778</f>
        <v>2</v>
      </c>
      <c r="N778">
        <f t="shared" si="24"/>
        <v>1</v>
      </c>
      <c r="O778" t="str">
        <f xml:space="preserve"> VLOOKUP(A778, Lookup_Tables!$G$2:$H$6,2,TRUE)</f>
        <v>&lt;25</v>
      </c>
      <c r="P778" t="str">
        <f>_xlfn.XLOOKUP(J778,Lookup_Tables!$J$2:$J$4,Lookup_Tables!$K$2:$K$4, " ",-1)</f>
        <v>Low</v>
      </c>
      <c r="Q778" t="str">
        <f xml:space="preserve"> _xlfn.XLOOKUP(M778, Lookup_Tables!$M$2:$M$5,Lookup_Tables!$N$2:$N$5," ", -1)</f>
        <v>Early (2-5)</v>
      </c>
      <c r="R778" s="4">
        <f t="shared" si="25"/>
        <v>3.6666666666666665</v>
      </c>
      <c r="S778" t="str">
        <f xml:space="preserve"> _xlfn.XLOOKUP( E778, Lookup_Tables!$A$2:$A$6,Lookup_Tables!$B$2:$B$6," ", -1)</f>
        <v>Bachelor</v>
      </c>
      <c r="T778" t="str">
        <f>_xlfn.XLOOKUP(G778,Lookup_Tables!$D$2:$D$5,Lookup_Tables!$E$2:$E$5)</f>
        <v>Very High</v>
      </c>
      <c r="U778" t="str">
        <f>_xlfn.XLOOKUP(H778,Lookup_Tables!$D$2:$D$5,Lookup_Tables!$E$2:$E$5)</f>
        <v>Very High</v>
      </c>
      <c r="V778" t="str">
        <f>_xlfn.XLOOKUP(L778,Lookup_Tables!$D$2:$D$5,Lookup_Tables!$E$2:$E$5)</f>
        <v>High</v>
      </c>
    </row>
    <row r="779" spans="1:22">
      <c r="A779">
        <f>RAW_DATA!A779</f>
        <v>21</v>
      </c>
      <c r="B779" t="str">
        <f>RAW_DATA!B779</f>
        <v>Yes</v>
      </c>
      <c r="C779" t="str">
        <f>RAW_DATA!C779</f>
        <v>Research &amp; Development</v>
      </c>
      <c r="D779">
        <f>RAW_DATA!D779</f>
        <v>10</v>
      </c>
      <c r="E779">
        <f>RAW_DATA!E779</f>
        <v>3</v>
      </c>
      <c r="F779" t="str">
        <f>RAW_DATA!F779</f>
        <v>Life Sciences</v>
      </c>
      <c r="G779">
        <f>RAW_DATA!G779</f>
        <v>3</v>
      </c>
      <c r="H779">
        <f>RAW_DATA!H779</f>
        <v>1</v>
      </c>
      <c r="I779" t="str">
        <f>RAW_DATA!I779</f>
        <v>Single</v>
      </c>
      <c r="J779">
        <f>RAW_DATA!J779</f>
        <v>1416</v>
      </c>
      <c r="K779">
        <f>RAW_DATA!K779</f>
        <v>1</v>
      </c>
      <c r="L779">
        <f>RAW_DATA!L779</f>
        <v>2</v>
      </c>
      <c r="M779">
        <f>RAW_DATA!M779</f>
        <v>1</v>
      </c>
      <c r="N779">
        <f t="shared" si="24"/>
        <v>1</v>
      </c>
      <c r="O779" t="str">
        <f xml:space="preserve"> VLOOKUP(A779, Lookup_Tables!$G$2:$H$6,2,TRUE)</f>
        <v>&lt;25</v>
      </c>
      <c r="P779" t="str">
        <f>_xlfn.XLOOKUP(J779,Lookup_Tables!$J$2:$J$4,Lookup_Tables!$K$2:$K$4, " ",-1)</f>
        <v>Low</v>
      </c>
      <c r="Q779" t="str">
        <f xml:space="preserve"> _xlfn.XLOOKUP(M779, Lookup_Tables!$M$2:$M$5,Lookup_Tables!$N$2:$N$5," ", -1)</f>
        <v>New (0-2)</v>
      </c>
      <c r="R779" s="4">
        <f t="shared" si="25"/>
        <v>2</v>
      </c>
      <c r="S779" t="str">
        <f xml:space="preserve"> _xlfn.XLOOKUP( E779, Lookup_Tables!$A$2:$A$6,Lookup_Tables!$B$2:$B$6," ", -1)</f>
        <v>Bachelor</v>
      </c>
      <c r="T779" t="str">
        <f>_xlfn.XLOOKUP(G779,Lookup_Tables!$D$2:$D$5,Lookup_Tables!$E$2:$E$5)</f>
        <v>High</v>
      </c>
      <c r="U779" t="str">
        <f>_xlfn.XLOOKUP(H779,Lookup_Tables!$D$2:$D$5,Lookup_Tables!$E$2:$E$5)</f>
        <v>Low</v>
      </c>
      <c r="V779" t="str">
        <f>_xlfn.XLOOKUP(L779,Lookup_Tables!$D$2:$D$5,Lookup_Tables!$E$2:$E$5)</f>
        <v>Medium</v>
      </c>
    </row>
    <row r="780" spans="1:22">
      <c r="A780">
        <f>RAW_DATA!A780</f>
        <v>46</v>
      </c>
      <c r="B780" t="str">
        <f>RAW_DATA!B780</f>
        <v>No</v>
      </c>
      <c r="C780" t="str">
        <f>RAW_DATA!C780</f>
        <v>Research &amp; Development</v>
      </c>
      <c r="D780">
        <f>RAW_DATA!D780</f>
        <v>8</v>
      </c>
      <c r="E780">
        <f>RAW_DATA!E780</f>
        <v>4</v>
      </c>
      <c r="F780" t="str">
        <f>RAW_DATA!F780</f>
        <v>Life Sciences</v>
      </c>
      <c r="G780">
        <f>RAW_DATA!G780</f>
        <v>4</v>
      </c>
      <c r="H780">
        <f>RAW_DATA!H780</f>
        <v>1</v>
      </c>
      <c r="I780" t="str">
        <f>RAW_DATA!I780</f>
        <v>Divorced</v>
      </c>
      <c r="J780">
        <f>RAW_DATA!J780</f>
        <v>4615</v>
      </c>
      <c r="K780">
        <f>RAW_DATA!K780</f>
        <v>8</v>
      </c>
      <c r="L780">
        <f>RAW_DATA!L780</f>
        <v>3</v>
      </c>
      <c r="M780">
        <f>RAW_DATA!M780</f>
        <v>16</v>
      </c>
      <c r="N780">
        <f t="shared" si="24"/>
        <v>0</v>
      </c>
      <c r="O780" t="str">
        <f xml:space="preserve"> VLOOKUP(A780, Lookup_Tables!$G$2:$H$6,2,TRUE)</f>
        <v>45-54</v>
      </c>
      <c r="P780" t="str">
        <f>_xlfn.XLOOKUP(J780,Lookup_Tables!$J$2:$J$4,Lookup_Tables!$K$2:$K$4, " ",-1)</f>
        <v>Medium</v>
      </c>
      <c r="Q780" t="str">
        <f xml:space="preserve"> _xlfn.XLOOKUP(M780, Lookup_Tables!$M$2:$M$5,Lookup_Tables!$N$2:$N$5," ", -1)</f>
        <v>Veteran (10+)</v>
      </c>
      <c r="R780" s="4">
        <f t="shared" si="25"/>
        <v>2.6666666666666665</v>
      </c>
      <c r="S780" t="str">
        <f xml:space="preserve"> _xlfn.XLOOKUP( E780, Lookup_Tables!$A$2:$A$6,Lookup_Tables!$B$2:$B$6," ", -1)</f>
        <v>Master</v>
      </c>
      <c r="T780" t="str">
        <f>_xlfn.XLOOKUP(G780,Lookup_Tables!$D$2:$D$5,Lookup_Tables!$E$2:$E$5)</f>
        <v>Very High</v>
      </c>
      <c r="U780" t="str">
        <f>_xlfn.XLOOKUP(H780,Lookup_Tables!$D$2:$D$5,Lookup_Tables!$E$2:$E$5)</f>
        <v>Low</v>
      </c>
      <c r="V780" t="str">
        <f>_xlfn.XLOOKUP(L780,Lookup_Tables!$D$2:$D$5,Lookup_Tables!$E$2:$E$5)</f>
        <v>High</v>
      </c>
    </row>
    <row r="781" spans="1:22">
      <c r="A781">
        <f>RAW_DATA!A781</f>
        <v>51</v>
      </c>
      <c r="B781" t="str">
        <f>RAW_DATA!B781</f>
        <v>Yes</v>
      </c>
      <c r="C781" t="str">
        <f>RAW_DATA!C781</f>
        <v>Research &amp; Development</v>
      </c>
      <c r="D781">
        <f>RAW_DATA!D781</f>
        <v>4</v>
      </c>
      <c r="E781">
        <f>RAW_DATA!E781</f>
        <v>4</v>
      </c>
      <c r="F781" t="str">
        <f>RAW_DATA!F781</f>
        <v>Life Sciences</v>
      </c>
      <c r="G781">
        <f>RAW_DATA!G781</f>
        <v>1</v>
      </c>
      <c r="H781">
        <f>RAW_DATA!H781</f>
        <v>3</v>
      </c>
      <c r="I781" t="str">
        <f>RAW_DATA!I781</f>
        <v>Married</v>
      </c>
      <c r="J781">
        <f>RAW_DATA!J781</f>
        <v>2461</v>
      </c>
      <c r="K781">
        <f>RAW_DATA!K781</f>
        <v>9</v>
      </c>
      <c r="L781">
        <f>RAW_DATA!L781</f>
        <v>4</v>
      </c>
      <c r="M781">
        <f>RAW_DATA!M781</f>
        <v>10</v>
      </c>
      <c r="N781">
        <f t="shared" si="24"/>
        <v>1</v>
      </c>
      <c r="O781" t="str">
        <f xml:space="preserve"> VLOOKUP(A781, Lookup_Tables!$G$2:$H$6,2,TRUE)</f>
        <v>45-54</v>
      </c>
      <c r="P781" t="str">
        <f>_xlfn.XLOOKUP(J781,Lookup_Tables!$J$2:$J$4,Lookup_Tables!$K$2:$K$4, " ",-1)</f>
        <v>Low</v>
      </c>
      <c r="Q781" t="str">
        <f xml:space="preserve"> _xlfn.XLOOKUP(M781, Lookup_Tables!$M$2:$M$5,Lookup_Tables!$N$2:$N$5," ", -1)</f>
        <v>Veteran (10+)</v>
      </c>
      <c r="R781" s="4">
        <f t="shared" si="25"/>
        <v>2.6666666666666665</v>
      </c>
      <c r="S781" t="str">
        <f xml:space="preserve"> _xlfn.XLOOKUP( E781, Lookup_Tables!$A$2:$A$6,Lookup_Tables!$B$2:$B$6," ", -1)</f>
        <v>Master</v>
      </c>
      <c r="T781" t="str">
        <f>_xlfn.XLOOKUP(G781,Lookup_Tables!$D$2:$D$5,Lookup_Tables!$E$2:$E$5)</f>
        <v>Low</v>
      </c>
      <c r="U781" t="str">
        <f>_xlfn.XLOOKUP(H781,Lookup_Tables!$D$2:$D$5,Lookup_Tables!$E$2:$E$5)</f>
        <v>High</v>
      </c>
      <c r="V781" t="str">
        <f>_xlfn.XLOOKUP(L781,Lookup_Tables!$D$2:$D$5,Lookup_Tables!$E$2:$E$5)</f>
        <v>Very High</v>
      </c>
    </row>
    <row r="782" spans="1:22">
      <c r="A782">
        <f>RAW_DATA!A782</f>
        <v>28</v>
      </c>
      <c r="B782" t="str">
        <f>RAW_DATA!B782</f>
        <v>Yes</v>
      </c>
      <c r="C782" t="str">
        <f>RAW_DATA!C782</f>
        <v>Research &amp; Development</v>
      </c>
      <c r="D782">
        <f>RAW_DATA!D782</f>
        <v>24</v>
      </c>
      <c r="E782">
        <f>RAW_DATA!E782</f>
        <v>2</v>
      </c>
      <c r="F782" t="str">
        <f>RAW_DATA!F782</f>
        <v>Technical Degree</v>
      </c>
      <c r="G782">
        <f>RAW_DATA!G782</f>
        <v>2</v>
      </c>
      <c r="H782">
        <f>RAW_DATA!H782</f>
        <v>1</v>
      </c>
      <c r="I782" t="str">
        <f>RAW_DATA!I782</f>
        <v>Single</v>
      </c>
      <c r="J782">
        <f>RAW_DATA!J782</f>
        <v>8722</v>
      </c>
      <c r="K782">
        <f>RAW_DATA!K782</f>
        <v>1</v>
      </c>
      <c r="L782">
        <f>RAW_DATA!L782</f>
        <v>2</v>
      </c>
      <c r="M782">
        <f>RAW_DATA!M782</f>
        <v>10</v>
      </c>
      <c r="N782">
        <f t="shared" si="24"/>
        <v>1</v>
      </c>
      <c r="O782" t="str">
        <f xml:space="preserve"> VLOOKUP(A782, Lookup_Tables!$G$2:$H$6,2,TRUE)</f>
        <v>25-34</v>
      </c>
      <c r="P782" t="str">
        <f>_xlfn.XLOOKUP(J782,Lookup_Tables!$J$2:$J$4,Lookup_Tables!$K$2:$K$4, " ",-1)</f>
        <v>High</v>
      </c>
      <c r="Q782" t="str">
        <f xml:space="preserve"> _xlfn.XLOOKUP(M782, Lookup_Tables!$M$2:$M$5,Lookup_Tables!$N$2:$N$5," ", -1)</f>
        <v>Veteran (10+)</v>
      </c>
      <c r="R782" s="4">
        <f t="shared" si="25"/>
        <v>1.6666666666666667</v>
      </c>
      <c r="S782" t="str">
        <f xml:space="preserve"> _xlfn.XLOOKUP( E782, Lookup_Tables!$A$2:$A$6,Lookup_Tables!$B$2:$B$6," ", -1)</f>
        <v>College</v>
      </c>
      <c r="T782" t="str">
        <f>_xlfn.XLOOKUP(G782,Lookup_Tables!$D$2:$D$5,Lookup_Tables!$E$2:$E$5)</f>
        <v>Medium</v>
      </c>
      <c r="U782" t="str">
        <f>_xlfn.XLOOKUP(H782,Lookup_Tables!$D$2:$D$5,Lookup_Tables!$E$2:$E$5)</f>
        <v>Low</v>
      </c>
      <c r="V782" t="str">
        <f>_xlfn.XLOOKUP(L782,Lookup_Tables!$D$2:$D$5,Lookup_Tables!$E$2:$E$5)</f>
        <v>Medium</v>
      </c>
    </row>
    <row r="783" spans="1:22">
      <c r="A783">
        <f>RAW_DATA!A783</f>
        <v>26</v>
      </c>
      <c r="B783" t="str">
        <f>RAW_DATA!B783</f>
        <v>No</v>
      </c>
      <c r="C783" t="str">
        <f>RAW_DATA!C783</f>
        <v>Research &amp; Development</v>
      </c>
      <c r="D783">
        <f>RAW_DATA!D783</f>
        <v>1</v>
      </c>
      <c r="E783">
        <f>RAW_DATA!E783</f>
        <v>2</v>
      </c>
      <c r="F783" t="str">
        <f>RAW_DATA!F783</f>
        <v>Medical</v>
      </c>
      <c r="G783">
        <f>RAW_DATA!G783</f>
        <v>1</v>
      </c>
      <c r="H783">
        <f>RAW_DATA!H783</f>
        <v>1</v>
      </c>
      <c r="I783" t="str">
        <f>RAW_DATA!I783</f>
        <v>Married</v>
      </c>
      <c r="J783">
        <f>RAW_DATA!J783</f>
        <v>3955</v>
      </c>
      <c r="K783">
        <f>RAW_DATA!K783</f>
        <v>1</v>
      </c>
      <c r="L783">
        <f>RAW_DATA!L783</f>
        <v>3</v>
      </c>
      <c r="M783">
        <f>RAW_DATA!M783</f>
        <v>5</v>
      </c>
      <c r="N783">
        <f t="shared" si="24"/>
        <v>0</v>
      </c>
      <c r="O783" t="str">
        <f xml:space="preserve"> VLOOKUP(A783, Lookup_Tables!$G$2:$H$6,2,TRUE)</f>
        <v>25-34</v>
      </c>
      <c r="P783" t="str">
        <f>_xlfn.XLOOKUP(J783,Lookup_Tables!$J$2:$J$4,Lookup_Tables!$K$2:$K$4, " ",-1)</f>
        <v>Medium</v>
      </c>
      <c r="Q783" t="str">
        <f xml:space="preserve"> _xlfn.XLOOKUP(M783, Lookup_Tables!$M$2:$M$5,Lookup_Tables!$N$2:$N$5," ", -1)</f>
        <v>Established (5-10)</v>
      </c>
      <c r="R783" s="4">
        <f t="shared" si="25"/>
        <v>1.6666666666666667</v>
      </c>
      <c r="S783" t="str">
        <f xml:space="preserve"> _xlfn.XLOOKUP( E783, Lookup_Tables!$A$2:$A$6,Lookup_Tables!$B$2:$B$6," ", -1)</f>
        <v>College</v>
      </c>
      <c r="T783" t="str">
        <f>_xlfn.XLOOKUP(G783,Lookup_Tables!$D$2:$D$5,Lookup_Tables!$E$2:$E$5)</f>
        <v>Low</v>
      </c>
      <c r="U783" t="str">
        <f>_xlfn.XLOOKUP(H783,Lookup_Tables!$D$2:$D$5,Lookup_Tables!$E$2:$E$5)</f>
        <v>Low</v>
      </c>
      <c r="V783" t="str">
        <f>_xlfn.XLOOKUP(L783,Lookup_Tables!$D$2:$D$5,Lookup_Tables!$E$2:$E$5)</f>
        <v>High</v>
      </c>
    </row>
    <row r="784" spans="1:22">
      <c r="A784">
        <f>RAW_DATA!A784</f>
        <v>30</v>
      </c>
      <c r="B784" t="str">
        <f>RAW_DATA!B784</f>
        <v>No</v>
      </c>
      <c r="C784" t="str">
        <f>RAW_DATA!C784</f>
        <v>Research &amp; Development</v>
      </c>
      <c r="D784">
        <f>RAW_DATA!D784</f>
        <v>20</v>
      </c>
      <c r="E784">
        <f>RAW_DATA!E784</f>
        <v>3</v>
      </c>
      <c r="F784" t="str">
        <f>RAW_DATA!F784</f>
        <v>Other</v>
      </c>
      <c r="G784">
        <f>RAW_DATA!G784</f>
        <v>3</v>
      </c>
      <c r="H784">
        <f>RAW_DATA!H784</f>
        <v>1</v>
      </c>
      <c r="I784" t="str">
        <f>RAW_DATA!I784</f>
        <v>Married</v>
      </c>
      <c r="J784">
        <f>RAW_DATA!J784</f>
        <v>9957</v>
      </c>
      <c r="K784">
        <f>RAW_DATA!K784</f>
        <v>0</v>
      </c>
      <c r="L784">
        <f>RAW_DATA!L784</f>
        <v>2</v>
      </c>
      <c r="M784">
        <f>RAW_DATA!M784</f>
        <v>6</v>
      </c>
      <c r="N784">
        <f t="shared" si="24"/>
        <v>0</v>
      </c>
      <c r="O784" t="str">
        <f xml:space="preserve"> VLOOKUP(A784, Lookup_Tables!$G$2:$H$6,2,TRUE)</f>
        <v>25-34</v>
      </c>
      <c r="P784" t="str">
        <f>_xlfn.XLOOKUP(J784,Lookup_Tables!$J$2:$J$4,Lookup_Tables!$K$2:$K$4, " ",-1)</f>
        <v>High</v>
      </c>
      <c r="Q784" t="str">
        <f xml:space="preserve"> _xlfn.XLOOKUP(M784, Lookup_Tables!$M$2:$M$5,Lookup_Tables!$N$2:$N$5," ", -1)</f>
        <v>Established (5-10)</v>
      </c>
      <c r="R784" s="4">
        <f t="shared" si="25"/>
        <v>2</v>
      </c>
      <c r="S784" t="str">
        <f xml:space="preserve"> _xlfn.XLOOKUP( E784, Lookup_Tables!$A$2:$A$6,Lookup_Tables!$B$2:$B$6," ", -1)</f>
        <v>Bachelor</v>
      </c>
      <c r="T784" t="str">
        <f>_xlfn.XLOOKUP(G784,Lookup_Tables!$D$2:$D$5,Lookup_Tables!$E$2:$E$5)</f>
        <v>High</v>
      </c>
      <c r="U784" t="str">
        <f>_xlfn.XLOOKUP(H784,Lookup_Tables!$D$2:$D$5,Lookup_Tables!$E$2:$E$5)</f>
        <v>Low</v>
      </c>
      <c r="V784" t="str">
        <f>_xlfn.XLOOKUP(L784,Lookup_Tables!$D$2:$D$5,Lookup_Tables!$E$2:$E$5)</f>
        <v>Medium</v>
      </c>
    </row>
    <row r="785" spans="1:22">
      <c r="A785">
        <f>RAW_DATA!A785</f>
        <v>41</v>
      </c>
      <c r="B785" t="str">
        <f>RAW_DATA!B785</f>
        <v>No</v>
      </c>
      <c r="C785" t="str">
        <f>RAW_DATA!C785</f>
        <v>Research &amp; Development</v>
      </c>
      <c r="D785">
        <f>RAW_DATA!D785</f>
        <v>7</v>
      </c>
      <c r="E785">
        <f>RAW_DATA!E785</f>
        <v>2</v>
      </c>
      <c r="F785" t="str">
        <f>RAW_DATA!F785</f>
        <v>Technical Degree</v>
      </c>
      <c r="G785">
        <f>RAW_DATA!G785</f>
        <v>2</v>
      </c>
      <c r="H785">
        <f>RAW_DATA!H785</f>
        <v>3</v>
      </c>
      <c r="I785" t="str">
        <f>RAW_DATA!I785</f>
        <v>Married</v>
      </c>
      <c r="J785">
        <f>RAW_DATA!J785</f>
        <v>3376</v>
      </c>
      <c r="K785">
        <f>RAW_DATA!K785</f>
        <v>1</v>
      </c>
      <c r="L785">
        <f>RAW_DATA!L785</f>
        <v>3</v>
      </c>
      <c r="M785">
        <f>RAW_DATA!M785</f>
        <v>10</v>
      </c>
      <c r="N785">
        <f t="shared" si="24"/>
        <v>0</v>
      </c>
      <c r="O785" t="str">
        <f xml:space="preserve"> VLOOKUP(A785, Lookup_Tables!$G$2:$H$6,2,TRUE)</f>
        <v>35-44</v>
      </c>
      <c r="P785" t="str">
        <f>_xlfn.XLOOKUP(J785,Lookup_Tables!$J$2:$J$4,Lookup_Tables!$K$2:$K$4, " ",-1)</f>
        <v>Medium</v>
      </c>
      <c r="Q785" t="str">
        <f xml:space="preserve"> _xlfn.XLOOKUP(M785, Lookup_Tables!$M$2:$M$5,Lookup_Tables!$N$2:$N$5," ", -1)</f>
        <v>Veteran (10+)</v>
      </c>
      <c r="R785" s="4">
        <f t="shared" si="25"/>
        <v>2.6666666666666665</v>
      </c>
      <c r="S785" t="str">
        <f xml:space="preserve"> _xlfn.XLOOKUP( E785, Lookup_Tables!$A$2:$A$6,Lookup_Tables!$B$2:$B$6," ", -1)</f>
        <v>College</v>
      </c>
      <c r="T785" t="str">
        <f>_xlfn.XLOOKUP(G785,Lookup_Tables!$D$2:$D$5,Lookup_Tables!$E$2:$E$5)</f>
        <v>Medium</v>
      </c>
      <c r="U785" t="str">
        <f>_xlfn.XLOOKUP(H785,Lookup_Tables!$D$2:$D$5,Lookup_Tables!$E$2:$E$5)</f>
        <v>High</v>
      </c>
      <c r="V785" t="str">
        <f>_xlfn.XLOOKUP(L785,Lookup_Tables!$D$2:$D$5,Lookup_Tables!$E$2:$E$5)</f>
        <v>High</v>
      </c>
    </row>
    <row r="786" spans="1:22">
      <c r="A786">
        <f>RAW_DATA!A786</f>
        <v>38</v>
      </c>
      <c r="B786" t="str">
        <f>RAW_DATA!B786</f>
        <v>No</v>
      </c>
      <c r="C786" t="str">
        <f>RAW_DATA!C786</f>
        <v>Research &amp; Development</v>
      </c>
      <c r="D786">
        <f>RAW_DATA!D786</f>
        <v>17</v>
      </c>
      <c r="E786">
        <f>RAW_DATA!E786</f>
        <v>1</v>
      </c>
      <c r="F786" t="str">
        <f>RAW_DATA!F786</f>
        <v>Life Sciences</v>
      </c>
      <c r="G786">
        <f>RAW_DATA!G786</f>
        <v>3</v>
      </c>
      <c r="H786">
        <f>RAW_DATA!H786</f>
        <v>3</v>
      </c>
      <c r="I786" t="str">
        <f>RAW_DATA!I786</f>
        <v>Married</v>
      </c>
      <c r="J786">
        <f>RAW_DATA!J786</f>
        <v>8823</v>
      </c>
      <c r="K786">
        <f>RAW_DATA!K786</f>
        <v>0</v>
      </c>
      <c r="L786">
        <f>RAW_DATA!L786</f>
        <v>2</v>
      </c>
      <c r="M786">
        <f>RAW_DATA!M786</f>
        <v>19</v>
      </c>
      <c r="N786">
        <f t="shared" si="24"/>
        <v>0</v>
      </c>
      <c r="O786" t="str">
        <f xml:space="preserve"> VLOOKUP(A786, Lookup_Tables!$G$2:$H$6,2,TRUE)</f>
        <v>35-44</v>
      </c>
      <c r="P786" t="str">
        <f>_xlfn.XLOOKUP(J786,Lookup_Tables!$J$2:$J$4,Lookup_Tables!$K$2:$K$4, " ",-1)</f>
        <v>High</v>
      </c>
      <c r="Q786" t="str">
        <f xml:space="preserve"> _xlfn.XLOOKUP(M786, Lookup_Tables!$M$2:$M$5,Lookup_Tables!$N$2:$N$5," ", -1)</f>
        <v>Veteran (10+)</v>
      </c>
      <c r="R786" s="4">
        <f t="shared" si="25"/>
        <v>2.6666666666666665</v>
      </c>
      <c r="S786" t="str">
        <f xml:space="preserve"> _xlfn.XLOOKUP( E786, Lookup_Tables!$A$2:$A$6,Lookup_Tables!$B$2:$B$6," ", -1)</f>
        <v>Below College</v>
      </c>
      <c r="T786" t="str">
        <f>_xlfn.XLOOKUP(G786,Lookup_Tables!$D$2:$D$5,Lookup_Tables!$E$2:$E$5)</f>
        <v>High</v>
      </c>
      <c r="U786" t="str">
        <f>_xlfn.XLOOKUP(H786,Lookup_Tables!$D$2:$D$5,Lookup_Tables!$E$2:$E$5)</f>
        <v>High</v>
      </c>
      <c r="V786" t="str">
        <f>_xlfn.XLOOKUP(L786,Lookup_Tables!$D$2:$D$5,Lookup_Tables!$E$2:$E$5)</f>
        <v>Medium</v>
      </c>
    </row>
    <row r="787" spans="1:22">
      <c r="A787">
        <f>RAW_DATA!A787</f>
        <v>40</v>
      </c>
      <c r="B787" t="str">
        <f>RAW_DATA!B787</f>
        <v>No</v>
      </c>
      <c r="C787" t="str">
        <f>RAW_DATA!C787</f>
        <v>Research &amp; Development</v>
      </c>
      <c r="D787">
        <f>RAW_DATA!D787</f>
        <v>20</v>
      </c>
      <c r="E787">
        <f>RAW_DATA!E787</f>
        <v>4</v>
      </c>
      <c r="F787" t="str">
        <f>RAW_DATA!F787</f>
        <v>Technical Degree</v>
      </c>
      <c r="G787">
        <f>RAW_DATA!G787</f>
        <v>1</v>
      </c>
      <c r="H787">
        <f>RAW_DATA!H787</f>
        <v>4</v>
      </c>
      <c r="I787" t="str">
        <f>RAW_DATA!I787</f>
        <v>Married</v>
      </c>
      <c r="J787">
        <f>RAW_DATA!J787</f>
        <v>10322</v>
      </c>
      <c r="K787">
        <f>RAW_DATA!K787</f>
        <v>4</v>
      </c>
      <c r="L787">
        <f>RAW_DATA!L787</f>
        <v>3</v>
      </c>
      <c r="M787">
        <f>RAW_DATA!M787</f>
        <v>11</v>
      </c>
      <c r="N787">
        <f t="shared" si="24"/>
        <v>0</v>
      </c>
      <c r="O787" t="str">
        <f xml:space="preserve"> VLOOKUP(A787, Lookup_Tables!$G$2:$H$6,2,TRUE)</f>
        <v>35-44</v>
      </c>
      <c r="P787" t="str">
        <f>_xlfn.XLOOKUP(J787,Lookup_Tables!$J$2:$J$4,Lookup_Tables!$K$2:$K$4, " ",-1)</f>
        <v>High</v>
      </c>
      <c r="Q787" t="str">
        <f xml:space="preserve"> _xlfn.XLOOKUP(M787, Lookup_Tables!$M$2:$M$5,Lookup_Tables!$N$2:$N$5," ", -1)</f>
        <v>Veteran (10+)</v>
      </c>
      <c r="R787" s="4">
        <f t="shared" si="25"/>
        <v>2.6666666666666665</v>
      </c>
      <c r="S787" t="str">
        <f xml:space="preserve"> _xlfn.XLOOKUP( E787, Lookup_Tables!$A$2:$A$6,Lookup_Tables!$B$2:$B$6," ", -1)</f>
        <v>Master</v>
      </c>
      <c r="T787" t="str">
        <f>_xlfn.XLOOKUP(G787,Lookup_Tables!$D$2:$D$5,Lookup_Tables!$E$2:$E$5)</f>
        <v>Low</v>
      </c>
      <c r="U787" t="str">
        <f>_xlfn.XLOOKUP(H787,Lookup_Tables!$D$2:$D$5,Lookup_Tables!$E$2:$E$5)</f>
        <v>Very High</v>
      </c>
      <c r="V787" t="str">
        <f>_xlfn.XLOOKUP(L787,Lookup_Tables!$D$2:$D$5,Lookup_Tables!$E$2:$E$5)</f>
        <v>High</v>
      </c>
    </row>
    <row r="788" spans="1:22">
      <c r="A788">
        <f>RAW_DATA!A788</f>
        <v>27</v>
      </c>
      <c r="B788" t="str">
        <f>RAW_DATA!B788</f>
        <v>No</v>
      </c>
      <c r="C788" t="str">
        <f>RAW_DATA!C788</f>
        <v>Research &amp; Development</v>
      </c>
      <c r="D788">
        <f>RAW_DATA!D788</f>
        <v>8</v>
      </c>
      <c r="E788">
        <f>RAW_DATA!E788</f>
        <v>5</v>
      </c>
      <c r="F788" t="str">
        <f>RAW_DATA!F788</f>
        <v>Life Sciences</v>
      </c>
      <c r="G788">
        <f>RAW_DATA!G788</f>
        <v>1</v>
      </c>
      <c r="H788">
        <f>RAW_DATA!H788</f>
        <v>3</v>
      </c>
      <c r="I788" t="str">
        <f>RAW_DATA!I788</f>
        <v>Married</v>
      </c>
      <c r="J788">
        <f>RAW_DATA!J788</f>
        <v>4621</v>
      </c>
      <c r="K788">
        <f>RAW_DATA!K788</f>
        <v>1</v>
      </c>
      <c r="L788">
        <f>RAW_DATA!L788</f>
        <v>3</v>
      </c>
      <c r="M788">
        <f>RAW_DATA!M788</f>
        <v>3</v>
      </c>
      <c r="N788">
        <f t="shared" si="24"/>
        <v>0</v>
      </c>
      <c r="O788" t="str">
        <f xml:space="preserve"> VLOOKUP(A788, Lookup_Tables!$G$2:$H$6,2,TRUE)</f>
        <v>25-34</v>
      </c>
      <c r="P788" t="str">
        <f>_xlfn.XLOOKUP(J788,Lookup_Tables!$J$2:$J$4,Lookup_Tables!$K$2:$K$4, " ",-1)</f>
        <v>Medium</v>
      </c>
      <c r="Q788" t="str">
        <f xml:space="preserve"> _xlfn.XLOOKUP(M788, Lookup_Tables!$M$2:$M$5,Lookup_Tables!$N$2:$N$5," ", -1)</f>
        <v>Early (2-5)</v>
      </c>
      <c r="R788" s="4">
        <f t="shared" si="25"/>
        <v>2.3333333333333335</v>
      </c>
      <c r="S788" t="str">
        <f xml:space="preserve"> _xlfn.XLOOKUP( E788, Lookup_Tables!$A$2:$A$6,Lookup_Tables!$B$2:$B$6," ", -1)</f>
        <v>Doctor</v>
      </c>
      <c r="T788" t="str">
        <f>_xlfn.XLOOKUP(G788,Lookup_Tables!$D$2:$D$5,Lookup_Tables!$E$2:$E$5)</f>
        <v>Low</v>
      </c>
      <c r="U788" t="str">
        <f>_xlfn.XLOOKUP(H788,Lookup_Tables!$D$2:$D$5,Lookup_Tables!$E$2:$E$5)</f>
        <v>High</v>
      </c>
      <c r="V788" t="str">
        <f>_xlfn.XLOOKUP(L788,Lookup_Tables!$D$2:$D$5,Lookup_Tables!$E$2:$E$5)</f>
        <v>High</v>
      </c>
    </row>
    <row r="789" spans="1:22">
      <c r="A789">
        <f>RAW_DATA!A789</f>
        <v>55</v>
      </c>
      <c r="B789" t="str">
        <f>RAW_DATA!B789</f>
        <v>No</v>
      </c>
      <c r="C789" t="str">
        <f>RAW_DATA!C789</f>
        <v>Research &amp; Development</v>
      </c>
      <c r="D789">
        <f>RAW_DATA!D789</f>
        <v>2</v>
      </c>
      <c r="E789">
        <f>RAW_DATA!E789</f>
        <v>1</v>
      </c>
      <c r="F789" t="str">
        <f>RAW_DATA!F789</f>
        <v>Life Sciences</v>
      </c>
      <c r="G789">
        <f>RAW_DATA!G789</f>
        <v>4</v>
      </c>
      <c r="H789">
        <f>RAW_DATA!H789</f>
        <v>2</v>
      </c>
      <c r="I789" t="str">
        <f>RAW_DATA!I789</f>
        <v>Married</v>
      </c>
      <c r="J789">
        <f>RAW_DATA!J789</f>
        <v>10976</v>
      </c>
      <c r="K789">
        <f>RAW_DATA!K789</f>
        <v>3</v>
      </c>
      <c r="L789">
        <f>RAW_DATA!L789</f>
        <v>3</v>
      </c>
      <c r="M789">
        <f>RAW_DATA!M789</f>
        <v>3</v>
      </c>
      <c r="N789">
        <f t="shared" si="24"/>
        <v>0</v>
      </c>
      <c r="O789" t="str">
        <f xml:space="preserve"> VLOOKUP(A789, Lookup_Tables!$G$2:$H$6,2,TRUE)</f>
        <v>55+</v>
      </c>
      <c r="P789" t="str">
        <f>_xlfn.XLOOKUP(J789,Lookup_Tables!$J$2:$J$4,Lookup_Tables!$K$2:$K$4, " ",-1)</f>
        <v>High</v>
      </c>
      <c r="Q789" t="str">
        <f xml:space="preserve"> _xlfn.XLOOKUP(M789, Lookup_Tables!$M$2:$M$5,Lookup_Tables!$N$2:$N$5," ", -1)</f>
        <v>Early (2-5)</v>
      </c>
      <c r="R789" s="4">
        <f t="shared" si="25"/>
        <v>3</v>
      </c>
      <c r="S789" t="str">
        <f xml:space="preserve"> _xlfn.XLOOKUP( E789, Lookup_Tables!$A$2:$A$6,Lookup_Tables!$B$2:$B$6," ", -1)</f>
        <v>Below College</v>
      </c>
      <c r="T789" t="str">
        <f>_xlfn.XLOOKUP(G789,Lookup_Tables!$D$2:$D$5,Lookup_Tables!$E$2:$E$5)</f>
        <v>Very High</v>
      </c>
      <c r="U789" t="str">
        <f>_xlfn.XLOOKUP(H789,Lookup_Tables!$D$2:$D$5,Lookup_Tables!$E$2:$E$5)</f>
        <v>Medium</v>
      </c>
      <c r="V789" t="str">
        <f>_xlfn.XLOOKUP(L789,Lookup_Tables!$D$2:$D$5,Lookup_Tables!$E$2:$E$5)</f>
        <v>High</v>
      </c>
    </row>
    <row r="790" spans="1:22">
      <c r="A790">
        <f>RAW_DATA!A790</f>
        <v>28</v>
      </c>
      <c r="B790" t="str">
        <f>RAW_DATA!B790</f>
        <v>No</v>
      </c>
      <c r="C790" t="str">
        <f>RAW_DATA!C790</f>
        <v>Research &amp; Development</v>
      </c>
      <c r="D790">
        <f>RAW_DATA!D790</f>
        <v>10</v>
      </c>
      <c r="E790">
        <f>RAW_DATA!E790</f>
        <v>3</v>
      </c>
      <c r="F790" t="str">
        <f>RAW_DATA!F790</f>
        <v>Other</v>
      </c>
      <c r="G790">
        <f>RAW_DATA!G790</f>
        <v>3</v>
      </c>
      <c r="H790">
        <f>RAW_DATA!H790</f>
        <v>3</v>
      </c>
      <c r="I790" t="str">
        <f>RAW_DATA!I790</f>
        <v>Single</v>
      </c>
      <c r="J790">
        <f>RAW_DATA!J790</f>
        <v>3660</v>
      </c>
      <c r="K790">
        <f>RAW_DATA!K790</f>
        <v>3</v>
      </c>
      <c r="L790">
        <f>RAW_DATA!L790</f>
        <v>4</v>
      </c>
      <c r="M790">
        <f>RAW_DATA!M790</f>
        <v>8</v>
      </c>
      <c r="N790">
        <f t="shared" si="24"/>
        <v>0</v>
      </c>
      <c r="O790" t="str">
        <f xml:space="preserve"> VLOOKUP(A790, Lookup_Tables!$G$2:$H$6,2,TRUE)</f>
        <v>25-34</v>
      </c>
      <c r="P790" t="str">
        <f>_xlfn.XLOOKUP(J790,Lookup_Tables!$J$2:$J$4,Lookup_Tables!$K$2:$K$4, " ",-1)</f>
        <v>Medium</v>
      </c>
      <c r="Q790" t="str">
        <f xml:space="preserve"> _xlfn.XLOOKUP(M790, Lookup_Tables!$M$2:$M$5,Lookup_Tables!$N$2:$N$5," ", -1)</f>
        <v>Established (5-10)</v>
      </c>
      <c r="R790" s="4">
        <f t="shared" si="25"/>
        <v>3.3333333333333335</v>
      </c>
      <c r="S790" t="str">
        <f xml:space="preserve"> _xlfn.XLOOKUP( E790, Lookup_Tables!$A$2:$A$6,Lookup_Tables!$B$2:$B$6," ", -1)</f>
        <v>Bachelor</v>
      </c>
      <c r="T790" t="str">
        <f>_xlfn.XLOOKUP(G790,Lookup_Tables!$D$2:$D$5,Lookup_Tables!$E$2:$E$5)</f>
        <v>High</v>
      </c>
      <c r="U790" t="str">
        <f>_xlfn.XLOOKUP(H790,Lookup_Tables!$D$2:$D$5,Lookup_Tables!$E$2:$E$5)</f>
        <v>High</v>
      </c>
      <c r="V790" t="str">
        <f>_xlfn.XLOOKUP(L790,Lookup_Tables!$D$2:$D$5,Lookup_Tables!$E$2:$E$5)</f>
        <v>Very High</v>
      </c>
    </row>
    <row r="791" spans="1:22">
      <c r="A791">
        <f>RAW_DATA!A791</f>
        <v>44</v>
      </c>
      <c r="B791" t="str">
        <f>RAW_DATA!B791</f>
        <v>Yes</v>
      </c>
      <c r="C791" t="str">
        <f>RAW_DATA!C791</f>
        <v>Human Resources</v>
      </c>
      <c r="D791">
        <f>RAW_DATA!D791</f>
        <v>1</v>
      </c>
      <c r="E791">
        <f>RAW_DATA!E791</f>
        <v>2</v>
      </c>
      <c r="F791" t="str">
        <f>RAW_DATA!F791</f>
        <v>Medical</v>
      </c>
      <c r="G791">
        <f>RAW_DATA!G791</f>
        <v>2</v>
      </c>
      <c r="H791">
        <f>RAW_DATA!H791</f>
        <v>1</v>
      </c>
      <c r="I791" t="str">
        <f>RAW_DATA!I791</f>
        <v>Married</v>
      </c>
      <c r="J791">
        <f>RAW_DATA!J791</f>
        <v>10482</v>
      </c>
      <c r="K791">
        <f>RAW_DATA!K791</f>
        <v>9</v>
      </c>
      <c r="L791">
        <f>RAW_DATA!L791</f>
        <v>3</v>
      </c>
      <c r="M791">
        <f>RAW_DATA!M791</f>
        <v>20</v>
      </c>
      <c r="N791">
        <f t="shared" si="24"/>
        <v>1</v>
      </c>
      <c r="O791" t="str">
        <f xml:space="preserve"> VLOOKUP(A791, Lookup_Tables!$G$2:$H$6,2,TRUE)</f>
        <v>35-44</v>
      </c>
      <c r="P791" t="str">
        <f>_xlfn.XLOOKUP(J791,Lookup_Tables!$J$2:$J$4,Lookup_Tables!$K$2:$K$4, " ",-1)</f>
        <v>High</v>
      </c>
      <c r="Q791" t="str">
        <f xml:space="preserve"> _xlfn.XLOOKUP(M791, Lookup_Tables!$M$2:$M$5,Lookup_Tables!$N$2:$N$5," ", -1)</f>
        <v>Veteran (10+)</v>
      </c>
      <c r="R791" s="4">
        <f t="shared" si="25"/>
        <v>2</v>
      </c>
      <c r="S791" t="str">
        <f xml:space="preserve"> _xlfn.XLOOKUP( E791, Lookup_Tables!$A$2:$A$6,Lookup_Tables!$B$2:$B$6," ", -1)</f>
        <v>College</v>
      </c>
      <c r="T791" t="str">
        <f>_xlfn.XLOOKUP(G791,Lookup_Tables!$D$2:$D$5,Lookup_Tables!$E$2:$E$5)</f>
        <v>Medium</v>
      </c>
      <c r="U791" t="str">
        <f>_xlfn.XLOOKUP(H791,Lookup_Tables!$D$2:$D$5,Lookup_Tables!$E$2:$E$5)</f>
        <v>Low</v>
      </c>
      <c r="V791" t="str">
        <f>_xlfn.XLOOKUP(L791,Lookup_Tables!$D$2:$D$5,Lookup_Tables!$E$2:$E$5)</f>
        <v>High</v>
      </c>
    </row>
    <row r="792" spans="1:22">
      <c r="A792">
        <f>RAW_DATA!A792</f>
        <v>33</v>
      </c>
      <c r="B792" t="str">
        <f>RAW_DATA!B792</f>
        <v>No</v>
      </c>
      <c r="C792" t="str">
        <f>RAW_DATA!C792</f>
        <v>Research &amp; Development</v>
      </c>
      <c r="D792">
        <f>RAW_DATA!D792</f>
        <v>5</v>
      </c>
      <c r="E792">
        <f>RAW_DATA!E792</f>
        <v>3</v>
      </c>
      <c r="F792" t="str">
        <f>RAW_DATA!F792</f>
        <v>Life Sciences</v>
      </c>
      <c r="G792">
        <f>RAW_DATA!G792</f>
        <v>4</v>
      </c>
      <c r="H792">
        <f>RAW_DATA!H792</f>
        <v>4</v>
      </c>
      <c r="I792" t="str">
        <f>RAW_DATA!I792</f>
        <v>Divorced</v>
      </c>
      <c r="J792">
        <f>RAW_DATA!J792</f>
        <v>7119</v>
      </c>
      <c r="K792">
        <f>RAW_DATA!K792</f>
        <v>4</v>
      </c>
      <c r="L792">
        <f>RAW_DATA!L792</f>
        <v>3</v>
      </c>
      <c r="M792">
        <f>RAW_DATA!M792</f>
        <v>3</v>
      </c>
      <c r="N792">
        <f t="shared" si="24"/>
        <v>0</v>
      </c>
      <c r="O792" t="str">
        <f xml:space="preserve"> VLOOKUP(A792, Lookup_Tables!$G$2:$H$6,2,TRUE)</f>
        <v>25-34</v>
      </c>
      <c r="P792" t="str">
        <f>_xlfn.XLOOKUP(J792,Lookup_Tables!$J$2:$J$4,Lookup_Tables!$K$2:$K$4, " ",-1)</f>
        <v>High</v>
      </c>
      <c r="Q792" t="str">
        <f xml:space="preserve"> _xlfn.XLOOKUP(M792, Lookup_Tables!$M$2:$M$5,Lookup_Tables!$N$2:$N$5," ", -1)</f>
        <v>Early (2-5)</v>
      </c>
      <c r="R792" s="4">
        <f t="shared" si="25"/>
        <v>3.6666666666666665</v>
      </c>
      <c r="S792" t="str">
        <f xml:space="preserve"> _xlfn.XLOOKUP( E792, Lookup_Tables!$A$2:$A$6,Lookup_Tables!$B$2:$B$6," ", -1)</f>
        <v>Bachelor</v>
      </c>
      <c r="T792" t="str">
        <f>_xlfn.XLOOKUP(G792,Lookup_Tables!$D$2:$D$5,Lookup_Tables!$E$2:$E$5)</f>
        <v>Very High</v>
      </c>
      <c r="U792" t="str">
        <f>_xlfn.XLOOKUP(H792,Lookup_Tables!$D$2:$D$5,Lookup_Tables!$E$2:$E$5)</f>
        <v>Very High</v>
      </c>
      <c r="V792" t="str">
        <f>_xlfn.XLOOKUP(L792,Lookup_Tables!$D$2:$D$5,Lookup_Tables!$E$2:$E$5)</f>
        <v>High</v>
      </c>
    </row>
    <row r="793" spans="1:22">
      <c r="A793">
        <f>RAW_DATA!A793</f>
        <v>35</v>
      </c>
      <c r="B793" t="str">
        <f>RAW_DATA!B793</f>
        <v>Yes</v>
      </c>
      <c r="C793" t="str">
        <f>RAW_DATA!C793</f>
        <v>Sales</v>
      </c>
      <c r="D793">
        <f>RAW_DATA!D793</f>
        <v>4</v>
      </c>
      <c r="E793">
        <f>RAW_DATA!E793</f>
        <v>3</v>
      </c>
      <c r="F793" t="str">
        <f>RAW_DATA!F793</f>
        <v>Technical Degree</v>
      </c>
      <c r="G793">
        <f>RAW_DATA!G793</f>
        <v>4</v>
      </c>
      <c r="H793">
        <f>RAW_DATA!H793</f>
        <v>1</v>
      </c>
      <c r="I793" t="str">
        <f>RAW_DATA!I793</f>
        <v>Single</v>
      </c>
      <c r="J793">
        <f>RAW_DATA!J793</f>
        <v>9582</v>
      </c>
      <c r="K793">
        <f>RAW_DATA!K793</f>
        <v>0</v>
      </c>
      <c r="L793">
        <f>RAW_DATA!L793</f>
        <v>3</v>
      </c>
      <c r="M793">
        <f>RAW_DATA!M793</f>
        <v>8</v>
      </c>
      <c r="N793">
        <f t="shared" si="24"/>
        <v>1</v>
      </c>
      <c r="O793" t="str">
        <f xml:space="preserve"> VLOOKUP(A793, Lookup_Tables!$G$2:$H$6,2,TRUE)</f>
        <v>35-44</v>
      </c>
      <c r="P793" t="str">
        <f>_xlfn.XLOOKUP(J793,Lookup_Tables!$J$2:$J$4,Lookup_Tables!$K$2:$K$4, " ",-1)</f>
        <v>High</v>
      </c>
      <c r="Q793" t="str">
        <f xml:space="preserve"> _xlfn.XLOOKUP(M793, Lookup_Tables!$M$2:$M$5,Lookup_Tables!$N$2:$N$5," ", -1)</f>
        <v>Established (5-10)</v>
      </c>
      <c r="R793" s="4">
        <f t="shared" si="25"/>
        <v>2.6666666666666665</v>
      </c>
      <c r="S793" t="str">
        <f xml:space="preserve"> _xlfn.XLOOKUP( E793, Lookup_Tables!$A$2:$A$6,Lookup_Tables!$B$2:$B$6," ", -1)</f>
        <v>Bachelor</v>
      </c>
      <c r="T793" t="str">
        <f>_xlfn.XLOOKUP(G793,Lookup_Tables!$D$2:$D$5,Lookup_Tables!$E$2:$E$5)</f>
        <v>Very High</v>
      </c>
      <c r="U793" t="str">
        <f>_xlfn.XLOOKUP(H793,Lookup_Tables!$D$2:$D$5,Lookup_Tables!$E$2:$E$5)</f>
        <v>Low</v>
      </c>
      <c r="V793" t="str">
        <f>_xlfn.XLOOKUP(L793,Lookup_Tables!$D$2:$D$5,Lookup_Tables!$E$2:$E$5)</f>
        <v>High</v>
      </c>
    </row>
    <row r="794" spans="1:22">
      <c r="A794">
        <f>RAW_DATA!A794</f>
        <v>33</v>
      </c>
      <c r="B794" t="str">
        <f>RAW_DATA!B794</f>
        <v>Yes</v>
      </c>
      <c r="C794" t="str">
        <f>RAW_DATA!C794</f>
        <v>Research &amp; Development</v>
      </c>
      <c r="D794">
        <f>RAW_DATA!D794</f>
        <v>29</v>
      </c>
      <c r="E794">
        <f>RAW_DATA!E794</f>
        <v>4</v>
      </c>
      <c r="F794" t="str">
        <f>RAW_DATA!F794</f>
        <v>Medical</v>
      </c>
      <c r="G794">
        <f>RAW_DATA!G794</f>
        <v>1</v>
      </c>
      <c r="H794">
        <f>RAW_DATA!H794</f>
        <v>3</v>
      </c>
      <c r="I794" t="str">
        <f>RAW_DATA!I794</f>
        <v>Single</v>
      </c>
      <c r="J794">
        <f>RAW_DATA!J794</f>
        <v>4508</v>
      </c>
      <c r="K794">
        <f>RAW_DATA!K794</f>
        <v>1</v>
      </c>
      <c r="L794">
        <f>RAW_DATA!L794</f>
        <v>3</v>
      </c>
      <c r="M794">
        <f>RAW_DATA!M794</f>
        <v>13</v>
      </c>
      <c r="N794">
        <f t="shared" si="24"/>
        <v>1</v>
      </c>
      <c r="O794" t="str">
        <f xml:space="preserve"> VLOOKUP(A794, Lookup_Tables!$G$2:$H$6,2,TRUE)</f>
        <v>25-34</v>
      </c>
      <c r="P794" t="str">
        <f>_xlfn.XLOOKUP(J794,Lookup_Tables!$J$2:$J$4,Lookup_Tables!$K$2:$K$4, " ",-1)</f>
        <v>Medium</v>
      </c>
      <c r="Q794" t="str">
        <f xml:space="preserve"> _xlfn.XLOOKUP(M794, Lookup_Tables!$M$2:$M$5,Lookup_Tables!$N$2:$N$5," ", -1)</f>
        <v>Veteran (10+)</v>
      </c>
      <c r="R794" s="4">
        <f t="shared" si="25"/>
        <v>2.3333333333333335</v>
      </c>
      <c r="S794" t="str">
        <f xml:space="preserve"> _xlfn.XLOOKUP( E794, Lookup_Tables!$A$2:$A$6,Lookup_Tables!$B$2:$B$6," ", -1)</f>
        <v>Master</v>
      </c>
      <c r="T794" t="str">
        <f>_xlfn.XLOOKUP(G794,Lookup_Tables!$D$2:$D$5,Lookup_Tables!$E$2:$E$5)</f>
        <v>Low</v>
      </c>
      <c r="U794" t="str">
        <f>_xlfn.XLOOKUP(H794,Lookup_Tables!$D$2:$D$5,Lookup_Tables!$E$2:$E$5)</f>
        <v>High</v>
      </c>
      <c r="V794" t="str">
        <f>_xlfn.XLOOKUP(L794,Lookup_Tables!$D$2:$D$5,Lookup_Tables!$E$2:$E$5)</f>
        <v>High</v>
      </c>
    </row>
    <row r="795" spans="1:22">
      <c r="A795">
        <f>RAW_DATA!A795</f>
        <v>28</v>
      </c>
      <c r="B795" t="str">
        <f>RAW_DATA!B795</f>
        <v>No</v>
      </c>
      <c r="C795" t="str">
        <f>RAW_DATA!C795</f>
        <v>Research &amp; Development</v>
      </c>
      <c r="D795">
        <f>RAW_DATA!D795</f>
        <v>15</v>
      </c>
      <c r="E795">
        <f>RAW_DATA!E795</f>
        <v>2</v>
      </c>
      <c r="F795" t="str">
        <f>RAW_DATA!F795</f>
        <v>Life Sciences</v>
      </c>
      <c r="G795">
        <f>RAW_DATA!G795</f>
        <v>1</v>
      </c>
      <c r="H795">
        <f>RAW_DATA!H795</f>
        <v>3</v>
      </c>
      <c r="I795" t="str">
        <f>RAW_DATA!I795</f>
        <v>Divorced</v>
      </c>
      <c r="J795">
        <f>RAW_DATA!J795</f>
        <v>2207</v>
      </c>
      <c r="K795">
        <f>RAW_DATA!K795</f>
        <v>1</v>
      </c>
      <c r="L795">
        <f>RAW_DATA!L795</f>
        <v>2</v>
      </c>
      <c r="M795">
        <f>RAW_DATA!M795</f>
        <v>4</v>
      </c>
      <c r="N795">
        <f t="shared" si="24"/>
        <v>0</v>
      </c>
      <c r="O795" t="str">
        <f xml:space="preserve"> VLOOKUP(A795, Lookup_Tables!$G$2:$H$6,2,TRUE)</f>
        <v>25-34</v>
      </c>
      <c r="P795" t="str">
        <f>_xlfn.XLOOKUP(J795,Lookup_Tables!$J$2:$J$4,Lookup_Tables!$K$2:$K$4, " ",-1)</f>
        <v>Low</v>
      </c>
      <c r="Q795" t="str">
        <f xml:space="preserve"> _xlfn.XLOOKUP(M795, Lookup_Tables!$M$2:$M$5,Lookup_Tables!$N$2:$N$5," ", -1)</f>
        <v>Early (2-5)</v>
      </c>
      <c r="R795" s="4">
        <f t="shared" si="25"/>
        <v>2</v>
      </c>
      <c r="S795" t="str">
        <f xml:space="preserve"> _xlfn.XLOOKUP( E795, Lookup_Tables!$A$2:$A$6,Lookup_Tables!$B$2:$B$6," ", -1)</f>
        <v>College</v>
      </c>
      <c r="T795" t="str">
        <f>_xlfn.XLOOKUP(G795,Lookup_Tables!$D$2:$D$5,Lookup_Tables!$E$2:$E$5)</f>
        <v>Low</v>
      </c>
      <c r="U795" t="str">
        <f>_xlfn.XLOOKUP(H795,Lookup_Tables!$D$2:$D$5,Lookup_Tables!$E$2:$E$5)</f>
        <v>High</v>
      </c>
      <c r="V795" t="str">
        <f>_xlfn.XLOOKUP(L795,Lookup_Tables!$D$2:$D$5,Lookup_Tables!$E$2:$E$5)</f>
        <v>Medium</v>
      </c>
    </row>
    <row r="796" spans="1:22">
      <c r="A796">
        <f>RAW_DATA!A796</f>
        <v>34</v>
      </c>
      <c r="B796" t="str">
        <f>RAW_DATA!B796</f>
        <v>No</v>
      </c>
      <c r="C796" t="str">
        <f>RAW_DATA!C796</f>
        <v>Research &amp; Development</v>
      </c>
      <c r="D796">
        <f>RAW_DATA!D796</f>
        <v>3</v>
      </c>
      <c r="E796">
        <f>RAW_DATA!E796</f>
        <v>1</v>
      </c>
      <c r="F796" t="str">
        <f>RAW_DATA!F796</f>
        <v>Life Sciences</v>
      </c>
      <c r="G796">
        <f>RAW_DATA!G796</f>
        <v>1</v>
      </c>
      <c r="H796">
        <f>RAW_DATA!H796</f>
        <v>4</v>
      </c>
      <c r="I796" t="str">
        <f>RAW_DATA!I796</f>
        <v>Single</v>
      </c>
      <c r="J796">
        <f>RAW_DATA!J796</f>
        <v>7756</v>
      </c>
      <c r="K796">
        <f>RAW_DATA!K796</f>
        <v>0</v>
      </c>
      <c r="L796">
        <f>RAW_DATA!L796</f>
        <v>2</v>
      </c>
      <c r="M796">
        <f>RAW_DATA!M796</f>
        <v>6</v>
      </c>
      <c r="N796">
        <f t="shared" si="24"/>
        <v>0</v>
      </c>
      <c r="O796" t="str">
        <f xml:space="preserve"> VLOOKUP(A796, Lookup_Tables!$G$2:$H$6,2,TRUE)</f>
        <v>25-34</v>
      </c>
      <c r="P796" t="str">
        <f>_xlfn.XLOOKUP(J796,Lookup_Tables!$J$2:$J$4,Lookup_Tables!$K$2:$K$4, " ",-1)</f>
        <v>High</v>
      </c>
      <c r="Q796" t="str">
        <f xml:space="preserve"> _xlfn.XLOOKUP(M796, Lookup_Tables!$M$2:$M$5,Lookup_Tables!$N$2:$N$5," ", -1)</f>
        <v>Established (5-10)</v>
      </c>
      <c r="R796" s="4">
        <f t="shared" si="25"/>
        <v>2.3333333333333335</v>
      </c>
      <c r="S796" t="str">
        <f xml:space="preserve"> _xlfn.XLOOKUP( E796, Lookup_Tables!$A$2:$A$6,Lookup_Tables!$B$2:$B$6," ", -1)</f>
        <v>Below College</v>
      </c>
      <c r="T796" t="str">
        <f>_xlfn.XLOOKUP(G796,Lookup_Tables!$D$2:$D$5,Lookup_Tables!$E$2:$E$5)</f>
        <v>Low</v>
      </c>
      <c r="U796" t="str">
        <f>_xlfn.XLOOKUP(H796,Lookup_Tables!$D$2:$D$5,Lookup_Tables!$E$2:$E$5)</f>
        <v>Very High</v>
      </c>
      <c r="V796" t="str">
        <f>_xlfn.XLOOKUP(L796,Lookup_Tables!$D$2:$D$5,Lookup_Tables!$E$2:$E$5)</f>
        <v>Medium</v>
      </c>
    </row>
    <row r="797" spans="1:22">
      <c r="A797">
        <f>RAW_DATA!A797</f>
        <v>37</v>
      </c>
      <c r="B797" t="str">
        <f>RAW_DATA!B797</f>
        <v>No</v>
      </c>
      <c r="C797" t="str">
        <f>RAW_DATA!C797</f>
        <v>Sales</v>
      </c>
      <c r="D797">
        <f>RAW_DATA!D797</f>
        <v>10</v>
      </c>
      <c r="E797">
        <f>RAW_DATA!E797</f>
        <v>4</v>
      </c>
      <c r="F797" t="str">
        <f>RAW_DATA!F797</f>
        <v>Life Sciences</v>
      </c>
      <c r="G797">
        <f>RAW_DATA!G797</f>
        <v>4</v>
      </c>
      <c r="H797">
        <f>RAW_DATA!H797</f>
        <v>4</v>
      </c>
      <c r="I797" t="str">
        <f>RAW_DATA!I797</f>
        <v>Divorced</v>
      </c>
      <c r="J797">
        <f>RAW_DATA!J797</f>
        <v>6694</v>
      </c>
      <c r="K797">
        <f>RAW_DATA!K797</f>
        <v>2</v>
      </c>
      <c r="L797">
        <f>RAW_DATA!L797</f>
        <v>3</v>
      </c>
      <c r="M797">
        <f>RAW_DATA!M797</f>
        <v>1</v>
      </c>
      <c r="N797">
        <f t="shared" si="24"/>
        <v>0</v>
      </c>
      <c r="O797" t="str">
        <f xml:space="preserve"> VLOOKUP(A797, Lookup_Tables!$G$2:$H$6,2,TRUE)</f>
        <v>35-44</v>
      </c>
      <c r="P797" t="str">
        <f>_xlfn.XLOOKUP(J797,Lookup_Tables!$J$2:$J$4,Lookup_Tables!$K$2:$K$4, " ",-1)</f>
        <v>Medium</v>
      </c>
      <c r="Q797" t="str">
        <f xml:space="preserve"> _xlfn.XLOOKUP(M797, Lookup_Tables!$M$2:$M$5,Lookup_Tables!$N$2:$N$5," ", -1)</f>
        <v>New (0-2)</v>
      </c>
      <c r="R797" s="4">
        <f t="shared" si="25"/>
        <v>3.6666666666666665</v>
      </c>
      <c r="S797" t="str">
        <f xml:space="preserve"> _xlfn.XLOOKUP( E797, Lookup_Tables!$A$2:$A$6,Lookup_Tables!$B$2:$B$6," ", -1)</f>
        <v>Master</v>
      </c>
      <c r="T797" t="str">
        <f>_xlfn.XLOOKUP(G797,Lookup_Tables!$D$2:$D$5,Lookup_Tables!$E$2:$E$5)</f>
        <v>Very High</v>
      </c>
      <c r="U797" t="str">
        <f>_xlfn.XLOOKUP(H797,Lookup_Tables!$D$2:$D$5,Lookup_Tables!$E$2:$E$5)</f>
        <v>Very High</v>
      </c>
      <c r="V797" t="str">
        <f>_xlfn.XLOOKUP(L797,Lookup_Tables!$D$2:$D$5,Lookup_Tables!$E$2:$E$5)</f>
        <v>High</v>
      </c>
    </row>
    <row r="798" spans="1:22">
      <c r="A798">
        <f>RAW_DATA!A798</f>
        <v>25</v>
      </c>
      <c r="B798" t="str">
        <f>RAW_DATA!B798</f>
        <v>Yes</v>
      </c>
      <c r="C798" t="str">
        <f>RAW_DATA!C798</f>
        <v>Research &amp; Development</v>
      </c>
      <c r="D798">
        <f>RAW_DATA!D798</f>
        <v>4</v>
      </c>
      <c r="E798">
        <f>RAW_DATA!E798</f>
        <v>1</v>
      </c>
      <c r="F798" t="str">
        <f>RAW_DATA!F798</f>
        <v>Technical Degree</v>
      </c>
      <c r="G798">
        <f>RAW_DATA!G798</f>
        <v>4</v>
      </c>
      <c r="H798">
        <f>RAW_DATA!H798</f>
        <v>4</v>
      </c>
      <c r="I798" t="str">
        <f>RAW_DATA!I798</f>
        <v>Married</v>
      </c>
      <c r="J798">
        <f>RAW_DATA!J798</f>
        <v>3691</v>
      </c>
      <c r="K798">
        <f>RAW_DATA!K798</f>
        <v>1</v>
      </c>
      <c r="L798">
        <f>RAW_DATA!L798</f>
        <v>4</v>
      </c>
      <c r="M798">
        <f>RAW_DATA!M798</f>
        <v>7</v>
      </c>
      <c r="N798">
        <f t="shared" si="24"/>
        <v>1</v>
      </c>
      <c r="O798" t="str">
        <f xml:space="preserve"> VLOOKUP(A798, Lookup_Tables!$G$2:$H$6,2,TRUE)</f>
        <v>25-34</v>
      </c>
      <c r="P798" t="str">
        <f>_xlfn.XLOOKUP(J798,Lookup_Tables!$J$2:$J$4,Lookup_Tables!$K$2:$K$4, " ",-1)</f>
        <v>Medium</v>
      </c>
      <c r="Q798" t="str">
        <f xml:space="preserve"> _xlfn.XLOOKUP(M798, Lookup_Tables!$M$2:$M$5,Lookup_Tables!$N$2:$N$5," ", -1)</f>
        <v>Established (5-10)</v>
      </c>
      <c r="R798" s="4">
        <f t="shared" si="25"/>
        <v>4</v>
      </c>
      <c r="S798" t="str">
        <f xml:space="preserve"> _xlfn.XLOOKUP( E798, Lookup_Tables!$A$2:$A$6,Lookup_Tables!$B$2:$B$6," ", -1)</f>
        <v>Below College</v>
      </c>
      <c r="T798" t="str">
        <f>_xlfn.XLOOKUP(G798,Lookup_Tables!$D$2:$D$5,Lookup_Tables!$E$2:$E$5)</f>
        <v>Very High</v>
      </c>
      <c r="U798" t="str">
        <f>_xlfn.XLOOKUP(H798,Lookup_Tables!$D$2:$D$5,Lookup_Tables!$E$2:$E$5)</f>
        <v>Very High</v>
      </c>
      <c r="V798" t="str">
        <f>_xlfn.XLOOKUP(L798,Lookup_Tables!$D$2:$D$5,Lookup_Tables!$E$2:$E$5)</f>
        <v>Very High</v>
      </c>
    </row>
    <row r="799" spans="1:22">
      <c r="A799">
        <f>RAW_DATA!A799</f>
        <v>26</v>
      </c>
      <c r="B799" t="str">
        <f>RAW_DATA!B799</f>
        <v>Yes</v>
      </c>
      <c r="C799" t="str">
        <f>RAW_DATA!C799</f>
        <v>Research &amp; Development</v>
      </c>
      <c r="D799">
        <f>RAW_DATA!D799</f>
        <v>21</v>
      </c>
      <c r="E799">
        <f>RAW_DATA!E799</f>
        <v>3</v>
      </c>
      <c r="F799" t="str">
        <f>RAW_DATA!F799</f>
        <v>Medical</v>
      </c>
      <c r="G799">
        <f>RAW_DATA!G799</f>
        <v>1</v>
      </c>
      <c r="H799">
        <f>RAW_DATA!H799</f>
        <v>3</v>
      </c>
      <c r="I799" t="str">
        <f>RAW_DATA!I799</f>
        <v>Divorced</v>
      </c>
      <c r="J799">
        <f>RAW_DATA!J799</f>
        <v>2377</v>
      </c>
      <c r="K799">
        <f>RAW_DATA!K799</f>
        <v>1</v>
      </c>
      <c r="L799">
        <f>RAW_DATA!L799</f>
        <v>2</v>
      </c>
      <c r="M799">
        <f>RAW_DATA!M799</f>
        <v>1</v>
      </c>
      <c r="N799">
        <f t="shared" si="24"/>
        <v>1</v>
      </c>
      <c r="O799" t="str">
        <f xml:space="preserve"> VLOOKUP(A799, Lookup_Tables!$G$2:$H$6,2,TRUE)</f>
        <v>25-34</v>
      </c>
      <c r="P799" t="str">
        <f>_xlfn.XLOOKUP(J799,Lookup_Tables!$J$2:$J$4,Lookup_Tables!$K$2:$K$4, " ",-1)</f>
        <v>Low</v>
      </c>
      <c r="Q799" t="str">
        <f xml:space="preserve"> _xlfn.XLOOKUP(M799, Lookup_Tables!$M$2:$M$5,Lookup_Tables!$N$2:$N$5," ", -1)</f>
        <v>New (0-2)</v>
      </c>
      <c r="R799" s="4">
        <f t="shared" si="25"/>
        <v>2</v>
      </c>
      <c r="S799" t="str">
        <f xml:space="preserve"> _xlfn.XLOOKUP( E799, Lookup_Tables!$A$2:$A$6,Lookup_Tables!$B$2:$B$6," ", -1)</f>
        <v>Bachelor</v>
      </c>
      <c r="T799" t="str">
        <f>_xlfn.XLOOKUP(G799,Lookup_Tables!$D$2:$D$5,Lookup_Tables!$E$2:$E$5)</f>
        <v>Low</v>
      </c>
      <c r="U799" t="str">
        <f>_xlfn.XLOOKUP(H799,Lookup_Tables!$D$2:$D$5,Lookup_Tables!$E$2:$E$5)</f>
        <v>High</v>
      </c>
      <c r="V799" t="str">
        <f>_xlfn.XLOOKUP(L799,Lookup_Tables!$D$2:$D$5,Lookup_Tables!$E$2:$E$5)</f>
        <v>Medium</v>
      </c>
    </row>
    <row r="800" spans="1:22">
      <c r="A800">
        <f>RAW_DATA!A800</f>
        <v>33</v>
      </c>
      <c r="B800" t="str">
        <f>RAW_DATA!B800</f>
        <v>Yes</v>
      </c>
      <c r="C800" t="str">
        <f>RAW_DATA!C800</f>
        <v>Research &amp; Development</v>
      </c>
      <c r="D800">
        <f>RAW_DATA!D800</f>
        <v>25</v>
      </c>
      <c r="E800">
        <f>RAW_DATA!E800</f>
        <v>3</v>
      </c>
      <c r="F800" t="str">
        <f>RAW_DATA!F800</f>
        <v>Medical</v>
      </c>
      <c r="G800">
        <f>RAW_DATA!G800</f>
        <v>1</v>
      </c>
      <c r="H800">
        <f>RAW_DATA!H800</f>
        <v>2</v>
      </c>
      <c r="I800" t="str">
        <f>RAW_DATA!I800</f>
        <v>Single</v>
      </c>
      <c r="J800">
        <f>RAW_DATA!J800</f>
        <v>2313</v>
      </c>
      <c r="K800">
        <f>RAW_DATA!K800</f>
        <v>4</v>
      </c>
      <c r="L800">
        <f>RAW_DATA!L800</f>
        <v>3</v>
      </c>
      <c r="M800">
        <f>RAW_DATA!M800</f>
        <v>2</v>
      </c>
      <c r="N800">
        <f t="shared" si="24"/>
        <v>1</v>
      </c>
      <c r="O800" t="str">
        <f xml:space="preserve"> VLOOKUP(A800, Lookup_Tables!$G$2:$H$6,2,TRUE)</f>
        <v>25-34</v>
      </c>
      <c r="P800" t="str">
        <f>_xlfn.XLOOKUP(J800,Lookup_Tables!$J$2:$J$4,Lookup_Tables!$K$2:$K$4, " ",-1)</f>
        <v>Low</v>
      </c>
      <c r="Q800" t="str">
        <f xml:space="preserve"> _xlfn.XLOOKUP(M800, Lookup_Tables!$M$2:$M$5,Lookup_Tables!$N$2:$N$5," ", -1)</f>
        <v>Early (2-5)</v>
      </c>
      <c r="R800" s="4">
        <f t="shared" si="25"/>
        <v>2</v>
      </c>
      <c r="S800" t="str">
        <f xml:space="preserve"> _xlfn.XLOOKUP( E800, Lookup_Tables!$A$2:$A$6,Lookup_Tables!$B$2:$B$6," ", -1)</f>
        <v>Bachelor</v>
      </c>
      <c r="T800" t="str">
        <f>_xlfn.XLOOKUP(G800,Lookup_Tables!$D$2:$D$5,Lookup_Tables!$E$2:$E$5)</f>
        <v>Low</v>
      </c>
      <c r="U800" t="str">
        <f>_xlfn.XLOOKUP(H800,Lookup_Tables!$D$2:$D$5,Lookup_Tables!$E$2:$E$5)</f>
        <v>Medium</v>
      </c>
      <c r="V800" t="str">
        <f>_xlfn.XLOOKUP(L800,Lookup_Tables!$D$2:$D$5,Lookup_Tables!$E$2:$E$5)</f>
        <v>High</v>
      </c>
    </row>
    <row r="801" spans="1:22">
      <c r="A801">
        <f>RAW_DATA!A801</f>
        <v>42</v>
      </c>
      <c r="B801" t="str">
        <f>RAW_DATA!B801</f>
        <v>No</v>
      </c>
      <c r="C801" t="str">
        <f>RAW_DATA!C801</f>
        <v>Research &amp; Development</v>
      </c>
      <c r="D801">
        <f>RAW_DATA!D801</f>
        <v>2</v>
      </c>
      <c r="E801">
        <f>RAW_DATA!E801</f>
        <v>2</v>
      </c>
      <c r="F801" t="str">
        <f>RAW_DATA!F801</f>
        <v>Medical</v>
      </c>
      <c r="G801">
        <f>RAW_DATA!G801</f>
        <v>4</v>
      </c>
      <c r="H801">
        <f>RAW_DATA!H801</f>
        <v>1</v>
      </c>
      <c r="I801" t="str">
        <f>RAW_DATA!I801</f>
        <v>Married</v>
      </c>
      <c r="J801">
        <f>RAW_DATA!J801</f>
        <v>17665</v>
      </c>
      <c r="K801">
        <f>RAW_DATA!K801</f>
        <v>0</v>
      </c>
      <c r="L801">
        <f>RAW_DATA!L801</f>
        <v>3</v>
      </c>
      <c r="M801">
        <f>RAW_DATA!M801</f>
        <v>22</v>
      </c>
      <c r="N801">
        <f t="shared" si="24"/>
        <v>0</v>
      </c>
      <c r="O801" t="str">
        <f xml:space="preserve"> VLOOKUP(A801, Lookup_Tables!$G$2:$H$6,2,TRUE)</f>
        <v>35-44</v>
      </c>
      <c r="P801" t="str">
        <f>_xlfn.XLOOKUP(J801,Lookup_Tables!$J$2:$J$4,Lookup_Tables!$K$2:$K$4, " ",-1)</f>
        <v>High</v>
      </c>
      <c r="Q801" t="str">
        <f xml:space="preserve"> _xlfn.XLOOKUP(M801, Lookup_Tables!$M$2:$M$5,Lookup_Tables!$N$2:$N$5," ", -1)</f>
        <v>Veteran (10+)</v>
      </c>
      <c r="R801" s="4">
        <f t="shared" si="25"/>
        <v>2.6666666666666665</v>
      </c>
      <c r="S801" t="str">
        <f xml:space="preserve"> _xlfn.XLOOKUP( E801, Lookup_Tables!$A$2:$A$6,Lookup_Tables!$B$2:$B$6," ", -1)</f>
        <v>College</v>
      </c>
      <c r="T801" t="str">
        <f>_xlfn.XLOOKUP(G801,Lookup_Tables!$D$2:$D$5,Lookup_Tables!$E$2:$E$5)</f>
        <v>Very High</v>
      </c>
      <c r="U801" t="str">
        <f>_xlfn.XLOOKUP(H801,Lookup_Tables!$D$2:$D$5,Lookup_Tables!$E$2:$E$5)</f>
        <v>Low</v>
      </c>
      <c r="V801" t="str">
        <f>_xlfn.XLOOKUP(L801,Lookup_Tables!$D$2:$D$5,Lookup_Tables!$E$2:$E$5)</f>
        <v>High</v>
      </c>
    </row>
    <row r="802" spans="1:22">
      <c r="A802">
        <f>RAW_DATA!A802</f>
        <v>28</v>
      </c>
      <c r="B802" t="str">
        <f>RAW_DATA!B802</f>
        <v>Yes</v>
      </c>
      <c r="C802" t="str">
        <f>RAW_DATA!C802</f>
        <v>Research &amp; Development</v>
      </c>
      <c r="D802">
        <f>RAW_DATA!D802</f>
        <v>1</v>
      </c>
      <c r="E802">
        <f>RAW_DATA!E802</f>
        <v>3</v>
      </c>
      <c r="F802" t="str">
        <f>RAW_DATA!F802</f>
        <v>Medical</v>
      </c>
      <c r="G802">
        <f>RAW_DATA!G802</f>
        <v>1</v>
      </c>
      <c r="H802">
        <f>RAW_DATA!H802</f>
        <v>2</v>
      </c>
      <c r="I802" t="str">
        <f>RAW_DATA!I802</f>
        <v>Divorced</v>
      </c>
      <c r="J802">
        <f>RAW_DATA!J802</f>
        <v>2596</v>
      </c>
      <c r="K802">
        <f>RAW_DATA!K802</f>
        <v>1</v>
      </c>
      <c r="L802">
        <f>RAW_DATA!L802</f>
        <v>3</v>
      </c>
      <c r="M802">
        <f>RAW_DATA!M802</f>
        <v>1</v>
      </c>
      <c r="N802">
        <f t="shared" si="24"/>
        <v>1</v>
      </c>
      <c r="O802" t="str">
        <f xml:space="preserve"> VLOOKUP(A802, Lookup_Tables!$G$2:$H$6,2,TRUE)</f>
        <v>25-34</v>
      </c>
      <c r="P802" t="str">
        <f>_xlfn.XLOOKUP(J802,Lookup_Tables!$J$2:$J$4,Lookup_Tables!$K$2:$K$4, " ",-1)</f>
        <v>Low</v>
      </c>
      <c r="Q802" t="str">
        <f xml:space="preserve"> _xlfn.XLOOKUP(M802, Lookup_Tables!$M$2:$M$5,Lookup_Tables!$N$2:$N$5," ", -1)</f>
        <v>New (0-2)</v>
      </c>
      <c r="R802" s="4">
        <f t="shared" si="25"/>
        <v>2</v>
      </c>
      <c r="S802" t="str">
        <f xml:space="preserve"> _xlfn.XLOOKUP( E802, Lookup_Tables!$A$2:$A$6,Lookup_Tables!$B$2:$B$6," ", -1)</f>
        <v>Bachelor</v>
      </c>
      <c r="T802" t="str">
        <f>_xlfn.XLOOKUP(G802,Lookup_Tables!$D$2:$D$5,Lookup_Tables!$E$2:$E$5)</f>
        <v>Low</v>
      </c>
      <c r="U802" t="str">
        <f>_xlfn.XLOOKUP(H802,Lookup_Tables!$D$2:$D$5,Lookup_Tables!$E$2:$E$5)</f>
        <v>Medium</v>
      </c>
      <c r="V802" t="str">
        <f>_xlfn.XLOOKUP(L802,Lookup_Tables!$D$2:$D$5,Lookup_Tables!$E$2:$E$5)</f>
        <v>High</v>
      </c>
    </row>
    <row r="803" spans="1:22">
      <c r="A803">
        <f>RAW_DATA!A803</f>
        <v>50</v>
      </c>
      <c r="B803" t="str">
        <f>RAW_DATA!B803</f>
        <v>Yes</v>
      </c>
      <c r="C803" t="str">
        <f>RAW_DATA!C803</f>
        <v>Sales</v>
      </c>
      <c r="D803">
        <f>RAW_DATA!D803</f>
        <v>1</v>
      </c>
      <c r="E803">
        <f>RAW_DATA!E803</f>
        <v>4</v>
      </c>
      <c r="F803" t="str">
        <f>RAW_DATA!F803</f>
        <v>Other</v>
      </c>
      <c r="G803">
        <f>RAW_DATA!G803</f>
        <v>4</v>
      </c>
      <c r="H803">
        <f>RAW_DATA!H803</f>
        <v>3</v>
      </c>
      <c r="I803" t="str">
        <f>RAW_DATA!I803</f>
        <v>Single</v>
      </c>
      <c r="J803">
        <f>RAW_DATA!J803</f>
        <v>4728</v>
      </c>
      <c r="K803">
        <f>RAW_DATA!K803</f>
        <v>3</v>
      </c>
      <c r="L803">
        <f>RAW_DATA!L803</f>
        <v>3</v>
      </c>
      <c r="M803">
        <f>RAW_DATA!M803</f>
        <v>0</v>
      </c>
      <c r="N803">
        <f t="shared" si="24"/>
        <v>1</v>
      </c>
      <c r="O803" t="str">
        <f xml:space="preserve"> VLOOKUP(A803, Lookup_Tables!$G$2:$H$6,2,TRUE)</f>
        <v>45-54</v>
      </c>
      <c r="P803" t="str">
        <f>_xlfn.XLOOKUP(J803,Lookup_Tables!$J$2:$J$4,Lookup_Tables!$K$2:$K$4, " ",-1)</f>
        <v>Medium</v>
      </c>
      <c r="Q803" t="str">
        <f xml:space="preserve"> _xlfn.XLOOKUP(M803, Lookup_Tables!$M$2:$M$5,Lookup_Tables!$N$2:$N$5," ", -1)</f>
        <v>New (0-2)</v>
      </c>
      <c r="R803" s="4">
        <f t="shared" si="25"/>
        <v>3.3333333333333335</v>
      </c>
      <c r="S803" t="str">
        <f xml:space="preserve"> _xlfn.XLOOKUP( E803, Lookup_Tables!$A$2:$A$6,Lookup_Tables!$B$2:$B$6," ", -1)</f>
        <v>Master</v>
      </c>
      <c r="T803" t="str">
        <f>_xlfn.XLOOKUP(G803,Lookup_Tables!$D$2:$D$5,Lookup_Tables!$E$2:$E$5)</f>
        <v>Very High</v>
      </c>
      <c r="U803" t="str">
        <f>_xlfn.XLOOKUP(H803,Lookup_Tables!$D$2:$D$5,Lookup_Tables!$E$2:$E$5)</f>
        <v>High</v>
      </c>
      <c r="V803" t="str">
        <f>_xlfn.XLOOKUP(L803,Lookup_Tables!$D$2:$D$5,Lookup_Tables!$E$2:$E$5)</f>
        <v>High</v>
      </c>
    </row>
    <row r="804" spans="1:22">
      <c r="A804">
        <f>RAW_DATA!A804</f>
        <v>33</v>
      </c>
      <c r="B804" t="str">
        <f>RAW_DATA!B804</f>
        <v>No</v>
      </c>
      <c r="C804" t="str">
        <f>RAW_DATA!C804</f>
        <v>Sales</v>
      </c>
      <c r="D804">
        <f>RAW_DATA!D804</f>
        <v>7</v>
      </c>
      <c r="E804">
        <f>RAW_DATA!E804</f>
        <v>3</v>
      </c>
      <c r="F804" t="str">
        <f>RAW_DATA!F804</f>
        <v>Life Sciences</v>
      </c>
      <c r="G804">
        <f>RAW_DATA!G804</f>
        <v>4</v>
      </c>
      <c r="H804">
        <f>RAW_DATA!H804</f>
        <v>2</v>
      </c>
      <c r="I804" t="str">
        <f>RAW_DATA!I804</f>
        <v>Married</v>
      </c>
      <c r="J804">
        <f>RAW_DATA!J804</f>
        <v>4302</v>
      </c>
      <c r="K804">
        <f>RAW_DATA!K804</f>
        <v>0</v>
      </c>
      <c r="L804">
        <f>RAW_DATA!L804</f>
        <v>3</v>
      </c>
      <c r="M804">
        <f>RAW_DATA!M804</f>
        <v>3</v>
      </c>
      <c r="N804">
        <f t="shared" si="24"/>
        <v>0</v>
      </c>
      <c r="O804" t="str">
        <f xml:space="preserve"> VLOOKUP(A804, Lookup_Tables!$G$2:$H$6,2,TRUE)</f>
        <v>25-34</v>
      </c>
      <c r="P804" t="str">
        <f>_xlfn.XLOOKUP(J804,Lookup_Tables!$J$2:$J$4,Lookup_Tables!$K$2:$K$4, " ",-1)</f>
        <v>Medium</v>
      </c>
      <c r="Q804" t="str">
        <f xml:space="preserve"> _xlfn.XLOOKUP(M804, Lookup_Tables!$M$2:$M$5,Lookup_Tables!$N$2:$N$5," ", -1)</f>
        <v>Early (2-5)</v>
      </c>
      <c r="R804" s="4">
        <f t="shared" si="25"/>
        <v>3</v>
      </c>
      <c r="S804" t="str">
        <f xml:space="preserve"> _xlfn.XLOOKUP( E804, Lookup_Tables!$A$2:$A$6,Lookup_Tables!$B$2:$B$6," ", -1)</f>
        <v>Bachelor</v>
      </c>
      <c r="T804" t="str">
        <f>_xlfn.XLOOKUP(G804,Lookup_Tables!$D$2:$D$5,Lookup_Tables!$E$2:$E$5)</f>
        <v>Very High</v>
      </c>
      <c r="U804" t="str">
        <f>_xlfn.XLOOKUP(H804,Lookup_Tables!$D$2:$D$5,Lookup_Tables!$E$2:$E$5)</f>
        <v>Medium</v>
      </c>
      <c r="V804" t="str">
        <f>_xlfn.XLOOKUP(L804,Lookup_Tables!$D$2:$D$5,Lookup_Tables!$E$2:$E$5)</f>
        <v>High</v>
      </c>
    </row>
    <row r="805" spans="1:22">
      <c r="A805">
        <f>RAW_DATA!A805</f>
        <v>34</v>
      </c>
      <c r="B805" t="str">
        <f>RAW_DATA!B805</f>
        <v>No</v>
      </c>
      <c r="C805" t="str">
        <f>RAW_DATA!C805</f>
        <v>Research &amp; Development</v>
      </c>
      <c r="D805">
        <f>RAW_DATA!D805</f>
        <v>3</v>
      </c>
      <c r="E805">
        <f>RAW_DATA!E805</f>
        <v>4</v>
      </c>
      <c r="F805" t="str">
        <f>RAW_DATA!F805</f>
        <v>Life Sciences</v>
      </c>
      <c r="G805">
        <f>RAW_DATA!G805</f>
        <v>3</v>
      </c>
      <c r="H805">
        <f>RAW_DATA!H805</f>
        <v>4</v>
      </c>
      <c r="I805" t="str">
        <f>RAW_DATA!I805</f>
        <v>Married</v>
      </c>
      <c r="J805">
        <f>RAW_DATA!J805</f>
        <v>2979</v>
      </c>
      <c r="K805">
        <f>RAW_DATA!K805</f>
        <v>3</v>
      </c>
      <c r="L805">
        <f>RAW_DATA!L805</f>
        <v>3</v>
      </c>
      <c r="M805">
        <f>RAW_DATA!M805</f>
        <v>0</v>
      </c>
      <c r="N805">
        <f t="shared" si="24"/>
        <v>0</v>
      </c>
      <c r="O805" t="str">
        <f xml:space="preserve"> VLOOKUP(A805, Lookup_Tables!$G$2:$H$6,2,TRUE)</f>
        <v>25-34</v>
      </c>
      <c r="P805" t="str">
        <f>_xlfn.XLOOKUP(J805,Lookup_Tables!$J$2:$J$4,Lookup_Tables!$K$2:$K$4, " ",-1)</f>
        <v>Low</v>
      </c>
      <c r="Q805" t="str">
        <f xml:space="preserve"> _xlfn.XLOOKUP(M805, Lookup_Tables!$M$2:$M$5,Lookup_Tables!$N$2:$N$5," ", -1)</f>
        <v>New (0-2)</v>
      </c>
      <c r="R805" s="4">
        <f t="shared" si="25"/>
        <v>3.3333333333333335</v>
      </c>
      <c r="S805" t="str">
        <f xml:space="preserve"> _xlfn.XLOOKUP( E805, Lookup_Tables!$A$2:$A$6,Lookup_Tables!$B$2:$B$6," ", -1)</f>
        <v>Master</v>
      </c>
      <c r="T805" t="str">
        <f>_xlfn.XLOOKUP(G805,Lookup_Tables!$D$2:$D$5,Lookup_Tables!$E$2:$E$5)</f>
        <v>High</v>
      </c>
      <c r="U805" t="str">
        <f>_xlfn.XLOOKUP(H805,Lookup_Tables!$D$2:$D$5,Lookup_Tables!$E$2:$E$5)</f>
        <v>Very High</v>
      </c>
      <c r="V805" t="str">
        <f>_xlfn.XLOOKUP(L805,Lookup_Tables!$D$2:$D$5,Lookup_Tables!$E$2:$E$5)</f>
        <v>High</v>
      </c>
    </row>
    <row r="806" spans="1:22">
      <c r="A806">
        <f>RAW_DATA!A806</f>
        <v>48</v>
      </c>
      <c r="B806" t="str">
        <f>RAW_DATA!B806</f>
        <v>No</v>
      </c>
      <c r="C806" t="str">
        <f>RAW_DATA!C806</f>
        <v>Research &amp; Development</v>
      </c>
      <c r="D806">
        <f>RAW_DATA!D806</f>
        <v>1</v>
      </c>
      <c r="E806">
        <f>RAW_DATA!E806</f>
        <v>4</v>
      </c>
      <c r="F806" t="str">
        <f>RAW_DATA!F806</f>
        <v>Medical</v>
      </c>
      <c r="G806">
        <f>RAW_DATA!G806</f>
        <v>1</v>
      </c>
      <c r="H806">
        <f>RAW_DATA!H806</f>
        <v>4</v>
      </c>
      <c r="I806" t="str">
        <f>RAW_DATA!I806</f>
        <v>Single</v>
      </c>
      <c r="J806">
        <f>RAW_DATA!J806</f>
        <v>16885</v>
      </c>
      <c r="K806">
        <f>RAW_DATA!K806</f>
        <v>2</v>
      </c>
      <c r="L806">
        <f>RAW_DATA!L806</f>
        <v>2</v>
      </c>
      <c r="M806">
        <f>RAW_DATA!M806</f>
        <v>5</v>
      </c>
      <c r="N806">
        <f t="shared" si="24"/>
        <v>0</v>
      </c>
      <c r="O806" t="str">
        <f xml:space="preserve"> VLOOKUP(A806, Lookup_Tables!$G$2:$H$6,2,TRUE)</f>
        <v>45-54</v>
      </c>
      <c r="P806" t="str">
        <f>_xlfn.XLOOKUP(J806,Lookup_Tables!$J$2:$J$4,Lookup_Tables!$K$2:$K$4, " ",-1)</f>
        <v>High</v>
      </c>
      <c r="Q806" t="str">
        <f xml:space="preserve"> _xlfn.XLOOKUP(M806, Lookup_Tables!$M$2:$M$5,Lookup_Tables!$N$2:$N$5," ", -1)</f>
        <v>Established (5-10)</v>
      </c>
      <c r="R806" s="4">
        <f t="shared" si="25"/>
        <v>2.3333333333333335</v>
      </c>
      <c r="S806" t="str">
        <f xml:space="preserve"> _xlfn.XLOOKUP( E806, Lookup_Tables!$A$2:$A$6,Lookup_Tables!$B$2:$B$6," ", -1)</f>
        <v>Master</v>
      </c>
      <c r="T806" t="str">
        <f>_xlfn.XLOOKUP(G806,Lookup_Tables!$D$2:$D$5,Lookup_Tables!$E$2:$E$5)</f>
        <v>Low</v>
      </c>
      <c r="U806" t="str">
        <f>_xlfn.XLOOKUP(H806,Lookup_Tables!$D$2:$D$5,Lookup_Tables!$E$2:$E$5)</f>
        <v>Very High</v>
      </c>
      <c r="V806" t="str">
        <f>_xlfn.XLOOKUP(L806,Lookup_Tables!$D$2:$D$5,Lookup_Tables!$E$2:$E$5)</f>
        <v>Medium</v>
      </c>
    </row>
    <row r="807" spans="1:22">
      <c r="A807">
        <f>RAW_DATA!A807</f>
        <v>45</v>
      </c>
      <c r="B807" t="str">
        <f>RAW_DATA!B807</f>
        <v>No</v>
      </c>
      <c r="C807" t="str">
        <f>RAW_DATA!C807</f>
        <v>Sales</v>
      </c>
      <c r="D807">
        <f>RAW_DATA!D807</f>
        <v>9</v>
      </c>
      <c r="E807">
        <f>RAW_DATA!E807</f>
        <v>4</v>
      </c>
      <c r="F807" t="str">
        <f>RAW_DATA!F807</f>
        <v>Life Sciences</v>
      </c>
      <c r="G807">
        <f>RAW_DATA!G807</f>
        <v>2</v>
      </c>
      <c r="H807">
        <f>RAW_DATA!H807</f>
        <v>3</v>
      </c>
      <c r="I807" t="str">
        <f>RAW_DATA!I807</f>
        <v>Married</v>
      </c>
      <c r="J807">
        <f>RAW_DATA!J807</f>
        <v>5593</v>
      </c>
      <c r="K807">
        <f>RAW_DATA!K807</f>
        <v>1</v>
      </c>
      <c r="L807">
        <f>RAW_DATA!L807</f>
        <v>3</v>
      </c>
      <c r="M807">
        <f>RAW_DATA!M807</f>
        <v>15</v>
      </c>
      <c r="N807">
        <f t="shared" si="24"/>
        <v>0</v>
      </c>
      <c r="O807" t="str">
        <f xml:space="preserve"> VLOOKUP(A807, Lookup_Tables!$G$2:$H$6,2,TRUE)</f>
        <v>45-54</v>
      </c>
      <c r="P807" t="str">
        <f>_xlfn.XLOOKUP(J807,Lookup_Tables!$J$2:$J$4,Lookup_Tables!$K$2:$K$4, " ",-1)</f>
        <v>Medium</v>
      </c>
      <c r="Q807" t="str">
        <f xml:space="preserve"> _xlfn.XLOOKUP(M807, Lookup_Tables!$M$2:$M$5,Lookup_Tables!$N$2:$N$5," ", -1)</f>
        <v>Veteran (10+)</v>
      </c>
      <c r="R807" s="4">
        <f t="shared" si="25"/>
        <v>2.6666666666666665</v>
      </c>
      <c r="S807" t="str">
        <f xml:space="preserve"> _xlfn.XLOOKUP( E807, Lookup_Tables!$A$2:$A$6,Lookup_Tables!$B$2:$B$6," ", -1)</f>
        <v>Master</v>
      </c>
      <c r="T807" t="str">
        <f>_xlfn.XLOOKUP(G807,Lookup_Tables!$D$2:$D$5,Lookup_Tables!$E$2:$E$5)</f>
        <v>Medium</v>
      </c>
      <c r="U807" t="str">
        <f>_xlfn.XLOOKUP(H807,Lookup_Tables!$D$2:$D$5,Lookup_Tables!$E$2:$E$5)</f>
        <v>High</v>
      </c>
      <c r="V807" t="str">
        <f>_xlfn.XLOOKUP(L807,Lookup_Tables!$D$2:$D$5,Lookup_Tables!$E$2:$E$5)</f>
        <v>High</v>
      </c>
    </row>
    <row r="808" spans="1:22">
      <c r="A808">
        <f>RAW_DATA!A808</f>
        <v>52</v>
      </c>
      <c r="B808" t="str">
        <f>RAW_DATA!B808</f>
        <v>No</v>
      </c>
      <c r="C808" t="str">
        <f>RAW_DATA!C808</f>
        <v>Research &amp; Development</v>
      </c>
      <c r="D808">
        <f>RAW_DATA!D808</f>
        <v>7</v>
      </c>
      <c r="E808">
        <f>RAW_DATA!E808</f>
        <v>4</v>
      </c>
      <c r="F808" t="str">
        <f>RAW_DATA!F808</f>
        <v>Life Sciences</v>
      </c>
      <c r="G808">
        <f>RAW_DATA!G808</f>
        <v>2</v>
      </c>
      <c r="H808">
        <f>RAW_DATA!H808</f>
        <v>2</v>
      </c>
      <c r="I808" t="str">
        <f>RAW_DATA!I808</f>
        <v>Single</v>
      </c>
      <c r="J808">
        <f>RAW_DATA!J808</f>
        <v>10445</v>
      </c>
      <c r="K808">
        <f>RAW_DATA!K808</f>
        <v>7</v>
      </c>
      <c r="L808">
        <f>RAW_DATA!L808</f>
        <v>3</v>
      </c>
      <c r="M808">
        <f>RAW_DATA!M808</f>
        <v>8</v>
      </c>
      <c r="N808">
        <f t="shared" si="24"/>
        <v>0</v>
      </c>
      <c r="O808" t="str">
        <f xml:space="preserve"> VLOOKUP(A808, Lookup_Tables!$G$2:$H$6,2,TRUE)</f>
        <v>45-54</v>
      </c>
      <c r="P808" t="str">
        <f>_xlfn.XLOOKUP(J808,Lookup_Tables!$J$2:$J$4,Lookup_Tables!$K$2:$K$4, " ",-1)</f>
        <v>High</v>
      </c>
      <c r="Q808" t="str">
        <f xml:space="preserve"> _xlfn.XLOOKUP(M808, Lookup_Tables!$M$2:$M$5,Lookup_Tables!$N$2:$N$5," ", -1)</f>
        <v>Established (5-10)</v>
      </c>
      <c r="R808" s="4">
        <f t="shared" si="25"/>
        <v>2.3333333333333335</v>
      </c>
      <c r="S808" t="str">
        <f xml:space="preserve"> _xlfn.XLOOKUP( E808, Lookup_Tables!$A$2:$A$6,Lookup_Tables!$B$2:$B$6," ", -1)</f>
        <v>Master</v>
      </c>
      <c r="T808" t="str">
        <f>_xlfn.XLOOKUP(G808,Lookup_Tables!$D$2:$D$5,Lookup_Tables!$E$2:$E$5)</f>
        <v>Medium</v>
      </c>
      <c r="U808" t="str">
        <f>_xlfn.XLOOKUP(H808,Lookup_Tables!$D$2:$D$5,Lookup_Tables!$E$2:$E$5)</f>
        <v>Medium</v>
      </c>
      <c r="V808" t="str">
        <f>_xlfn.XLOOKUP(L808,Lookup_Tables!$D$2:$D$5,Lookup_Tables!$E$2:$E$5)</f>
        <v>High</v>
      </c>
    </row>
    <row r="809" spans="1:22">
      <c r="A809">
        <f>RAW_DATA!A809</f>
        <v>38</v>
      </c>
      <c r="B809" t="str">
        <f>RAW_DATA!B809</f>
        <v>No</v>
      </c>
      <c r="C809" t="str">
        <f>RAW_DATA!C809</f>
        <v>Sales</v>
      </c>
      <c r="D809">
        <f>RAW_DATA!D809</f>
        <v>10</v>
      </c>
      <c r="E809">
        <f>RAW_DATA!E809</f>
        <v>4</v>
      </c>
      <c r="F809" t="str">
        <f>RAW_DATA!F809</f>
        <v>Marketing</v>
      </c>
      <c r="G809">
        <f>RAW_DATA!G809</f>
        <v>3</v>
      </c>
      <c r="H809">
        <f>RAW_DATA!H809</f>
        <v>3</v>
      </c>
      <c r="I809" t="str">
        <f>RAW_DATA!I809</f>
        <v>Divorced</v>
      </c>
      <c r="J809">
        <f>RAW_DATA!J809</f>
        <v>8740</v>
      </c>
      <c r="K809">
        <f>RAW_DATA!K809</f>
        <v>0</v>
      </c>
      <c r="L809">
        <f>RAW_DATA!L809</f>
        <v>3</v>
      </c>
      <c r="M809">
        <f>RAW_DATA!M809</f>
        <v>8</v>
      </c>
      <c r="N809">
        <f t="shared" si="24"/>
        <v>0</v>
      </c>
      <c r="O809" t="str">
        <f xml:space="preserve"> VLOOKUP(A809, Lookup_Tables!$G$2:$H$6,2,TRUE)</f>
        <v>35-44</v>
      </c>
      <c r="P809" t="str">
        <f>_xlfn.XLOOKUP(J809,Lookup_Tables!$J$2:$J$4,Lookup_Tables!$K$2:$K$4, " ",-1)</f>
        <v>High</v>
      </c>
      <c r="Q809" t="str">
        <f xml:space="preserve"> _xlfn.XLOOKUP(M809, Lookup_Tables!$M$2:$M$5,Lookup_Tables!$N$2:$N$5," ", -1)</f>
        <v>Established (5-10)</v>
      </c>
      <c r="R809" s="4">
        <f t="shared" si="25"/>
        <v>3</v>
      </c>
      <c r="S809" t="str">
        <f xml:space="preserve"> _xlfn.XLOOKUP( E809, Lookup_Tables!$A$2:$A$6,Lookup_Tables!$B$2:$B$6," ", -1)</f>
        <v>Master</v>
      </c>
      <c r="T809" t="str">
        <f>_xlfn.XLOOKUP(G809,Lookup_Tables!$D$2:$D$5,Lookup_Tables!$E$2:$E$5)</f>
        <v>High</v>
      </c>
      <c r="U809" t="str">
        <f>_xlfn.XLOOKUP(H809,Lookup_Tables!$D$2:$D$5,Lookup_Tables!$E$2:$E$5)</f>
        <v>High</v>
      </c>
      <c r="V809" t="str">
        <f>_xlfn.XLOOKUP(L809,Lookup_Tables!$D$2:$D$5,Lookup_Tables!$E$2:$E$5)</f>
        <v>High</v>
      </c>
    </row>
    <row r="810" spans="1:22">
      <c r="A810">
        <f>RAW_DATA!A810</f>
        <v>29</v>
      </c>
      <c r="B810" t="str">
        <f>RAW_DATA!B810</f>
        <v>No</v>
      </c>
      <c r="C810" t="str">
        <f>RAW_DATA!C810</f>
        <v>Research &amp; Development</v>
      </c>
      <c r="D810">
        <f>RAW_DATA!D810</f>
        <v>28</v>
      </c>
      <c r="E810">
        <f>RAW_DATA!E810</f>
        <v>4</v>
      </c>
      <c r="F810" t="str">
        <f>RAW_DATA!F810</f>
        <v>Life Sciences</v>
      </c>
      <c r="G810">
        <f>RAW_DATA!G810</f>
        <v>3</v>
      </c>
      <c r="H810">
        <f>RAW_DATA!H810</f>
        <v>4</v>
      </c>
      <c r="I810" t="str">
        <f>RAW_DATA!I810</f>
        <v>Divorced</v>
      </c>
      <c r="J810">
        <f>RAW_DATA!J810</f>
        <v>2514</v>
      </c>
      <c r="K810">
        <f>RAW_DATA!K810</f>
        <v>4</v>
      </c>
      <c r="L810">
        <f>RAW_DATA!L810</f>
        <v>3</v>
      </c>
      <c r="M810">
        <f>RAW_DATA!M810</f>
        <v>7</v>
      </c>
      <c r="N810">
        <f t="shared" si="24"/>
        <v>0</v>
      </c>
      <c r="O810" t="str">
        <f xml:space="preserve"> VLOOKUP(A810, Lookup_Tables!$G$2:$H$6,2,TRUE)</f>
        <v>25-34</v>
      </c>
      <c r="P810" t="str">
        <f>_xlfn.XLOOKUP(J810,Lookup_Tables!$J$2:$J$4,Lookup_Tables!$K$2:$K$4, " ",-1)</f>
        <v>Low</v>
      </c>
      <c r="Q810" t="str">
        <f xml:space="preserve"> _xlfn.XLOOKUP(M810, Lookup_Tables!$M$2:$M$5,Lookup_Tables!$N$2:$N$5," ", -1)</f>
        <v>Established (5-10)</v>
      </c>
      <c r="R810" s="4">
        <f t="shared" si="25"/>
        <v>3.3333333333333335</v>
      </c>
      <c r="S810" t="str">
        <f xml:space="preserve"> _xlfn.XLOOKUP( E810, Lookup_Tables!$A$2:$A$6,Lookup_Tables!$B$2:$B$6," ", -1)</f>
        <v>Master</v>
      </c>
      <c r="T810" t="str">
        <f>_xlfn.XLOOKUP(G810,Lookup_Tables!$D$2:$D$5,Lookup_Tables!$E$2:$E$5)</f>
        <v>High</v>
      </c>
      <c r="U810" t="str">
        <f>_xlfn.XLOOKUP(H810,Lookup_Tables!$D$2:$D$5,Lookup_Tables!$E$2:$E$5)</f>
        <v>Very High</v>
      </c>
      <c r="V810" t="str">
        <f>_xlfn.XLOOKUP(L810,Lookup_Tables!$D$2:$D$5,Lookup_Tables!$E$2:$E$5)</f>
        <v>High</v>
      </c>
    </row>
    <row r="811" spans="1:22">
      <c r="A811">
        <f>RAW_DATA!A811</f>
        <v>28</v>
      </c>
      <c r="B811" t="str">
        <f>RAW_DATA!B811</f>
        <v>No</v>
      </c>
      <c r="C811" t="str">
        <f>RAW_DATA!C811</f>
        <v>Research &amp; Development</v>
      </c>
      <c r="D811">
        <f>RAW_DATA!D811</f>
        <v>3</v>
      </c>
      <c r="E811">
        <f>RAW_DATA!E811</f>
        <v>3</v>
      </c>
      <c r="F811" t="str">
        <f>RAW_DATA!F811</f>
        <v>Medical</v>
      </c>
      <c r="G811">
        <f>RAW_DATA!G811</f>
        <v>4</v>
      </c>
      <c r="H811">
        <f>RAW_DATA!H811</f>
        <v>2</v>
      </c>
      <c r="I811" t="str">
        <f>RAW_DATA!I811</f>
        <v>Divorced</v>
      </c>
      <c r="J811">
        <f>RAW_DATA!J811</f>
        <v>7655</v>
      </c>
      <c r="K811">
        <f>RAW_DATA!K811</f>
        <v>0</v>
      </c>
      <c r="L811">
        <f>RAW_DATA!L811</f>
        <v>2</v>
      </c>
      <c r="M811">
        <f>RAW_DATA!M811</f>
        <v>9</v>
      </c>
      <c r="N811">
        <f t="shared" si="24"/>
        <v>0</v>
      </c>
      <c r="O811" t="str">
        <f xml:space="preserve"> VLOOKUP(A811, Lookup_Tables!$G$2:$H$6,2,TRUE)</f>
        <v>25-34</v>
      </c>
      <c r="P811" t="str">
        <f>_xlfn.XLOOKUP(J811,Lookup_Tables!$J$2:$J$4,Lookup_Tables!$K$2:$K$4, " ",-1)</f>
        <v>High</v>
      </c>
      <c r="Q811" t="str">
        <f xml:space="preserve"> _xlfn.XLOOKUP(M811, Lookup_Tables!$M$2:$M$5,Lookup_Tables!$N$2:$N$5," ", -1)</f>
        <v>Established (5-10)</v>
      </c>
      <c r="R811" s="4">
        <f t="shared" si="25"/>
        <v>2.6666666666666665</v>
      </c>
      <c r="S811" t="str">
        <f xml:space="preserve"> _xlfn.XLOOKUP( E811, Lookup_Tables!$A$2:$A$6,Lookup_Tables!$B$2:$B$6," ", -1)</f>
        <v>Bachelor</v>
      </c>
      <c r="T811" t="str">
        <f>_xlfn.XLOOKUP(G811,Lookup_Tables!$D$2:$D$5,Lookup_Tables!$E$2:$E$5)</f>
        <v>Very High</v>
      </c>
      <c r="U811" t="str">
        <f>_xlfn.XLOOKUP(H811,Lookup_Tables!$D$2:$D$5,Lookup_Tables!$E$2:$E$5)</f>
        <v>Medium</v>
      </c>
      <c r="V811" t="str">
        <f>_xlfn.XLOOKUP(L811,Lookup_Tables!$D$2:$D$5,Lookup_Tables!$E$2:$E$5)</f>
        <v>Medium</v>
      </c>
    </row>
    <row r="812" spans="1:22">
      <c r="A812">
        <f>RAW_DATA!A812</f>
        <v>46</v>
      </c>
      <c r="B812" t="str">
        <f>RAW_DATA!B812</f>
        <v>No</v>
      </c>
      <c r="C812" t="str">
        <f>RAW_DATA!C812</f>
        <v>Sales</v>
      </c>
      <c r="D812">
        <f>RAW_DATA!D812</f>
        <v>3</v>
      </c>
      <c r="E812">
        <f>RAW_DATA!E812</f>
        <v>1</v>
      </c>
      <c r="F812" t="str">
        <f>RAW_DATA!F812</f>
        <v>Marketing</v>
      </c>
      <c r="G812">
        <f>RAW_DATA!G812</f>
        <v>1</v>
      </c>
      <c r="H812">
        <f>RAW_DATA!H812</f>
        <v>3</v>
      </c>
      <c r="I812" t="str">
        <f>RAW_DATA!I812</f>
        <v>Married</v>
      </c>
      <c r="J812">
        <f>RAW_DATA!J812</f>
        <v>17465</v>
      </c>
      <c r="K812">
        <f>RAW_DATA!K812</f>
        <v>3</v>
      </c>
      <c r="L812">
        <f>RAW_DATA!L812</f>
        <v>3</v>
      </c>
      <c r="M812">
        <f>RAW_DATA!M812</f>
        <v>12</v>
      </c>
      <c r="N812">
        <f t="shared" si="24"/>
        <v>0</v>
      </c>
      <c r="O812" t="str">
        <f xml:space="preserve"> VLOOKUP(A812, Lookup_Tables!$G$2:$H$6,2,TRUE)</f>
        <v>45-54</v>
      </c>
      <c r="P812" t="str">
        <f>_xlfn.XLOOKUP(J812,Lookup_Tables!$J$2:$J$4,Lookup_Tables!$K$2:$K$4, " ",-1)</f>
        <v>High</v>
      </c>
      <c r="Q812" t="str">
        <f xml:space="preserve"> _xlfn.XLOOKUP(M812, Lookup_Tables!$M$2:$M$5,Lookup_Tables!$N$2:$N$5," ", -1)</f>
        <v>Veteran (10+)</v>
      </c>
      <c r="R812" s="4">
        <f t="shared" si="25"/>
        <v>2.3333333333333335</v>
      </c>
      <c r="S812" t="str">
        <f xml:space="preserve"> _xlfn.XLOOKUP( E812, Lookup_Tables!$A$2:$A$6,Lookup_Tables!$B$2:$B$6," ", -1)</f>
        <v>Below College</v>
      </c>
      <c r="T812" t="str">
        <f>_xlfn.XLOOKUP(G812,Lookup_Tables!$D$2:$D$5,Lookup_Tables!$E$2:$E$5)</f>
        <v>Low</v>
      </c>
      <c r="U812" t="str">
        <f>_xlfn.XLOOKUP(H812,Lookup_Tables!$D$2:$D$5,Lookup_Tables!$E$2:$E$5)</f>
        <v>High</v>
      </c>
      <c r="V812" t="str">
        <f>_xlfn.XLOOKUP(L812,Lookup_Tables!$D$2:$D$5,Lookup_Tables!$E$2:$E$5)</f>
        <v>High</v>
      </c>
    </row>
    <row r="813" spans="1:22">
      <c r="A813">
        <f>RAW_DATA!A813</f>
        <v>38</v>
      </c>
      <c r="B813" t="str">
        <f>RAW_DATA!B813</f>
        <v>No</v>
      </c>
      <c r="C813" t="str">
        <f>RAW_DATA!C813</f>
        <v>Sales</v>
      </c>
      <c r="D813">
        <f>RAW_DATA!D813</f>
        <v>2</v>
      </c>
      <c r="E813">
        <f>RAW_DATA!E813</f>
        <v>2</v>
      </c>
      <c r="F813" t="str">
        <f>RAW_DATA!F813</f>
        <v>Marketing</v>
      </c>
      <c r="G813">
        <f>RAW_DATA!G813</f>
        <v>4</v>
      </c>
      <c r="H813">
        <f>RAW_DATA!H813</f>
        <v>2</v>
      </c>
      <c r="I813" t="str">
        <f>RAW_DATA!I813</f>
        <v>Single</v>
      </c>
      <c r="J813">
        <f>RAW_DATA!J813</f>
        <v>7351</v>
      </c>
      <c r="K813">
        <f>RAW_DATA!K813</f>
        <v>7</v>
      </c>
      <c r="L813">
        <f>RAW_DATA!L813</f>
        <v>3</v>
      </c>
      <c r="M813">
        <f>RAW_DATA!M813</f>
        <v>1</v>
      </c>
      <c r="N813">
        <f t="shared" si="24"/>
        <v>0</v>
      </c>
      <c r="O813" t="str">
        <f xml:space="preserve"> VLOOKUP(A813, Lookup_Tables!$G$2:$H$6,2,TRUE)</f>
        <v>35-44</v>
      </c>
      <c r="P813" t="str">
        <f>_xlfn.XLOOKUP(J813,Lookup_Tables!$J$2:$J$4,Lookup_Tables!$K$2:$K$4, " ",-1)</f>
        <v>High</v>
      </c>
      <c r="Q813" t="str">
        <f xml:space="preserve"> _xlfn.XLOOKUP(M813, Lookup_Tables!$M$2:$M$5,Lookup_Tables!$N$2:$N$5," ", -1)</f>
        <v>New (0-2)</v>
      </c>
      <c r="R813" s="4">
        <f t="shared" si="25"/>
        <v>3</v>
      </c>
      <c r="S813" t="str">
        <f xml:space="preserve"> _xlfn.XLOOKUP( E813, Lookup_Tables!$A$2:$A$6,Lookup_Tables!$B$2:$B$6," ", -1)</f>
        <v>College</v>
      </c>
      <c r="T813" t="str">
        <f>_xlfn.XLOOKUP(G813,Lookup_Tables!$D$2:$D$5,Lookup_Tables!$E$2:$E$5)</f>
        <v>Very High</v>
      </c>
      <c r="U813" t="str">
        <f>_xlfn.XLOOKUP(H813,Lookup_Tables!$D$2:$D$5,Lookup_Tables!$E$2:$E$5)</f>
        <v>Medium</v>
      </c>
      <c r="V813" t="str">
        <f>_xlfn.XLOOKUP(L813,Lookup_Tables!$D$2:$D$5,Lookup_Tables!$E$2:$E$5)</f>
        <v>High</v>
      </c>
    </row>
    <row r="814" spans="1:22">
      <c r="A814">
        <f>RAW_DATA!A814</f>
        <v>43</v>
      </c>
      <c r="B814" t="str">
        <f>RAW_DATA!B814</f>
        <v>No</v>
      </c>
      <c r="C814" t="str">
        <f>RAW_DATA!C814</f>
        <v>Research &amp; Development</v>
      </c>
      <c r="D814">
        <f>RAW_DATA!D814</f>
        <v>27</v>
      </c>
      <c r="E814">
        <f>RAW_DATA!E814</f>
        <v>3</v>
      </c>
      <c r="F814" t="str">
        <f>RAW_DATA!F814</f>
        <v>Life Sciences</v>
      </c>
      <c r="G814">
        <f>RAW_DATA!G814</f>
        <v>3</v>
      </c>
      <c r="H814">
        <f>RAW_DATA!H814</f>
        <v>1</v>
      </c>
      <c r="I814" t="str">
        <f>RAW_DATA!I814</f>
        <v>Married</v>
      </c>
      <c r="J814">
        <f>RAW_DATA!J814</f>
        <v>10820</v>
      </c>
      <c r="K814">
        <f>RAW_DATA!K814</f>
        <v>8</v>
      </c>
      <c r="L814">
        <f>RAW_DATA!L814</f>
        <v>3</v>
      </c>
      <c r="M814">
        <f>RAW_DATA!M814</f>
        <v>8</v>
      </c>
      <c r="N814">
        <f t="shared" si="24"/>
        <v>0</v>
      </c>
      <c r="O814" t="str">
        <f xml:space="preserve"> VLOOKUP(A814, Lookup_Tables!$G$2:$H$6,2,TRUE)</f>
        <v>35-44</v>
      </c>
      <c r="P814" t="str">
        <f>_xlfn.XLOOKUP(J814,Lookup_Tables!$J$2:$J$4,Lookup_Tables!$K$2:$K$4, " ",-1)</f>
        <v>High</v>
      </c>
      <c r="Q814" t="str">
        <f xml:space="preserve"> _xlfn.XLOOKUP(M814, Lookup_Tables!$M$2:$M$5,Lookup_Tables!$N$2:$N$5," ", -1)</f>
        <v>Established (5-10)</v>
      </c>
      <c r="R814" s="4">
        <f t="shared" si="25"/>
        <v>2.3333333333333335</v>
      </c>
      <c r="S814" t="str">
        <f xml:space="preserve"> _xlfn.XLOOKUP( E814, Lookup_Tables!$A$2:$A$6,Lookup_Tables!$B$2:$B$6," ", -1)</f>
        <v>Bachelor</v>
      </c>
      <c r="T814" t="str">
        <f>_xlfn.XLOOKUP(G814,Lookup_Tables!$D$2:$D$5,Lookup_Tables!$E$2:$E$5)</f>
        <v>High</v>
      </c>
      <c r="U814" t="str">
        <f>_xlfn.XLOOKUP(H814,Lookup_Tables!$D$2:$D$5,Lookup_Tables!$E$2:$E$5)</f>
        <v>Low</v>
      </c>
      <c r="V814" t="str">
        <f>_xlfn.XLOOKUP(L814,Lookup_Tables!$D$2:$D$5,Lookup_Tables!$E$2:$E$5)</f>
        <v>High</v>
      </c>
    </row>
    <row r="815" spans="1:22">
      <c r="A815">
        <f>RAW_DATA!A815</f>
        <v>39</v>
      </c>
      <c r="B815" t="str">
        <f>RAW_DATA!B815</f>
        <v>Yes</v>
      </c>
      <c r="C815" t="str">
        <f>RAW_DATA!C815</f>
        <v>Research &amp; Development</v>
      </c>
      <c r="D815">
        <f>RAW_DATA!D815</f>
        <v>2</v>
      </c>
      <c r="E815">
        <f>RAW_DATA!E815</f>
        <v>3</v>
      </c>
      <c r="F815" t="str">
        <f>RAW_DATA!F815</f>
        <v>Life Sciences</v>
      </c>
      <c r="G815">
        <f>RAW_DATA!G815</f>
        <v>1</v>
      </c>
      <c r="H815">
        <f>RAW_DATA!H815</f>
        <v>4</v>
      </c>
      <c r="I815" t="str">
        <f>RAW_DATA!I815</f>
        <v>Divorced</v>
      </c>
      <c r="J815">
        <f>RAW_DATA!J815</f>
        <v>12169</v>
      </c>
      <c r="K815">
        <f>RAW_DATA!K815</f>
        <v>7</v>
      </c>
      <c r="L815">
        <f>RAW_DATA!L815</f>
        <v>3</v>
      </c>
      <c r="M815">
        <f>RAW_DATA!M815</f>
        <v>18</v>
      </c>
      <c r="N815">
        <f t="shared" si="24"/>
        <v>1</v>
      </c>
      <c r="O815" t="str">
        <f xml:space="preserve"> VLOOKUP(A815, Lookup_Tables!$G$2:$H$6,2,TRUE)</f>
        <v>35-44</v>
      </c>
      <c r="P815" t="str">
        <f>_xlfn.XLOOKUP(J815,Lookup_Tables!$J$2:$J$4,Lookup_Tables!$K$2:$K$4, " ",-1)</f>
        <v>High</v>
      </c>
      <c r="Q815" t="str">
        <f xml:space="preserve"> _xlfn.XLOOKUP(M815, Lookup_Tables!$M$2:$M$5,Lookup_Tables!$N$2:$N$5," ", -1)</f>
        <v>Veteran (10+)</v>
      </c>
      <c r="R815" s="4">
        <f t="shared" si="25"/>
        <v>2.6666666666666665</v>
      </c>
      <c r="S815" t="str">
        <f xml:space="preserve"> _xlfn.XLOOKUP( E815, Lookup_Tables!$A$2:$A$6,Lookup_Tables!$B$2:$B$6," ", -1)</f>
        <v>Bachelor</v>
      </c>
      <c r="T815" t="str">
        <f>_xlfn.XLOOKUP(G815,Lookup_Tables!$D$2:$D$5,Lookup_Tables!$E$2:$E$5)</f>
        <v>Low</v>
      </c>
      <c r="U815" t="str">
        <f>_xlfn.XLOOKUP(H815,Lookup_Tables!$D$2:$D$5,Lookup_Tables!$E$2:$E$5)</f>
        <v>Very High</v>
      </c>
      <c r="V815" t="str">
        <f>_xlfn.XLOOKUP(L815,Lookup_Tables!$D$2:$D$5,Lookup_Tables!$E$2:$E$5)</f>
        <v>High</v>
      </c>
    </row>
    <row r="816" spans="1:22">
      <c r="A816">
        <f>RAW_DATA!A816</f>
        <v>40</v>
      </c>
      <c r="B816" t="str">
        <f>RAW_DATA!B816</f>
        <v>No</v>
      </c>
      <c r="C816" t="str">
        <f>RAW_DATA!C816</f>
        <v>Research &amp; Development</v>
      </c>
      <c r="D816">
        <f>RAW_DATA!D816</f>
        <v>14</v>
      </c>
      <c r="E816">
        <f>RAW_DATA!E816</f>
        <v>3</v>
      </c>
      <c r="F816" t="str">
        <f>RAW_DATA!F816</f>
        <v>Medical</v>
      </c>
      <c r="G816">
        <f>RAW_DATA!G816</f>
        <v>3</v>
      </c>
      <c r="H816">
        <f>RAW_DATA!H816</f>
        <v>3</v>
      </c>
      <c r="I816" t="str">
        <f>RAW_DATA!I816</f>
        <v>Single</v>
      </c>
      <c r="J816">
        <f>RAW_DATA!J816</f>
        <v>19626</v>
      </c>
      <c r="K816">
        <f>RAW_DATA!K816</f>
        <v>1</v>
      </c>
      <c r="L816">
        <f>RAW_DATA!L816</f>
        <v>4</v>
      </c>
      <c r="M816">
        <f>RAW_DATA!M816</f>
        <v>20</v>
      </c>
      <c r="N816">
        <f t="shared" si="24"/>
        <v>0</v>
      </c>
      <c r="O816" t="str">
        <f xml:space="preserve"> VLOOKUP(A816, Lookup_Tables!$G$2:$H$6,2,TRUE)</f>
        <v>35-44</v>
      </c>
      <c r="P816" t="str">
        <f>_xlfn.XLOOKUP(J816,Lookup_Tables!$J$2:$J$4,Lookup_Tables!$K$2:$K$4, " ",-1)</f>
        <v>High</v>
      </c>
      <c r="Q816" t="str">
        <f xml:space="preserve"> _xlfn.XLOOKUP(M816, Lookup_Tables!$M$2:$M$5,Lookup_Tables!$N$2:$N$5," ", -1)</f>
        <v>Veteran (10+)</v>
      </c>
      <c r="R816" s="4">
        <f t="shared" si="25"/>
        <v>3.3333333333333335</v>
      </c>
      <c r="S816" t="str">
        <f xml:space="preserve"> _xlfn.XLOOKUP( E816, Lookup_Tables!$A$2:$A$6,Lookup_Tables!$B$2:$B$6," ", -1)</f>
        <v>Bachelor</v>
      </c>
      <c r="T816" t="str">
        <f>_xlfn.XLOOKUP(G816,Lookup_Tables!$D$2:$D$5,Lookup_Tables!$E$2:$E$5)</f>
        <v>High</v>
      </c>
      <c r="U816" t="str">
        <f>_xlfn.XLOOKUP(H816,Lookup_Tables!$D$2:$D$5,Lookup_Tables!$E$2:$E$5)</f>
        <v>High</v>
      </c>
      <c r="V816" t="str">
        <f>_xlfn.XLOOKUP(L816,Lookup_Tables!$D$2:$D$5,Lookup_Tables!$E$2:$E$5)</f>
        <v>Very High</v>
      </c>
    </row>
    <row r="817" spans="1:22">
      <c r="A817">
        <f>RAW_DATA!A817</f>
        <v>21</v>
      </c>
      <c r="B817" t="str">
        <f>RAW_DATA!B817</f>
        <v>No</v>
      </c>
      <c r="C817" t="str">
        <f>RAW_DATA!C817</f>
        <v>Research &amp; Development</v>
      </c>
      <c r="D817">
        <f>RAW_DATA!D817</f>
        <v>1</v>
      </c>
      <c r="E817">
        <f>RAW_DATA!E817</f>
        <v>1</v>
      </c>
      <c r="F817" t="str">
        <f>RAW_DATA!F817</f>
        <v>Technical Degree</v>
      </c>
      <c r="G817">
        <f>RAW_DATA!G817</f>
        <v>4</v>
      </c>
      <c r="H817">
        <f>RAW_DATA!H817</f>
        <v>2</v>
      </c>
      <c r="I817" t="str">
        <f>RAW_DATA!I817</f>
        <v>Single</v>
      </c>
      <c r="J817">
        <f>RAW_DATA!J817</f>
        <v>2070</v>
      </c>
      <c r="K817">
        <f>RAW_DATA!K817</f>
        <v>1</v>
      </c>
      <c r="L817">
        <f>RAW_DATA!L817</f>
        <v>4</v>
      </c>
      <c r="M817">
        <f>RAW_DATA!M817</f>
        <v>2</v>
      </c>
      <c r="N817">
        <f t="shared" si="24"/>
        <v>0</v>
      </c>
      <c r="O817" t="str">
        <f xml:space="preserve"> VLOOKUP(A817, Lookup_Tables!$G$2:$H$6,2,TRUE)</f>
        <v>&lt;25</v>
      </c>
      <c r="P817" t="str">
        <f>_xlfn.XLOOKUP(J817,Lookup_Tables!$J$2:$J$4,Lookup_Tables!$K$2:$K$4, " ",-1)</f>
        <v>Low</v>
      </c>
      <c r="Q817" t="str">
        <f xml:space="preserve"> _xlfn.XLOOKUP(M817, Lookup_Tables!$M$2:$M$5,Lookup_Tables!$N$2:$N$5," ", -1)</f>
        <v>Early (2-5)</v>
      </c>
      <c r="R817" s="4">
        <f t="shared" si="25"/>
        <v>3.3333333333333335</v>
      </c>
      <c r="S817" t="str">
        <f xml:space="preserve"> _xlfn.XLOOKUP( E817, Lookup_Tables!$A$2:$A$6,Lookup_Tables!$B$2:$B$6," ", -1)</f>
        <v>Below College</v>
      </c>
      <c r="T817" t="str">
        <f>_xlfn.XLOOKUP(G817,Lookup_Tables!$D$2:$D$5,Lookup_Tables!$E$2:$E$5)</f>
        <v>Very High</v>
      </c>
      <c r="U817" t="str">
        <f>_xlfn.XLOOKUP(H817,Lookup_Tables!$D$2:$D$5,Lookup_Tables!$E$2:$E$5)</f>
        <v>Medium</v>
      </c>
      <c r="V817" t="str">
        <f>_xlfn.XLOOKUP(L817,Lookup_Tables!$D$2:$D$5,Lookup_Tables!$E$2:$E$5)</f>
        <v>Very High</v>
      </c>
    </row>
    <row r="818" spans="1:22">
      <c r="A818">
        <f>RAW_DATA!A818</f>
        <v>39</v>
      </c>
      <c r="B818" t="str">
        <f>RAW_DATA!B818</f>
        <v>No</v>
      </c>
      <c r="C818" t="str">
        <f>RAW_DATA!C818</f>
        <v>Research &amp; Development</v>
      </c>
      <c r="D818">
        <f>RAW_DATA!D818</f>
        <v>9</v>
      </c>
      <c r="E818">
        <f>RAW_DATA!E818</f>
        <v>3</v>
      </c>
      <c r="F818" t="str">
        <f>RAW_DATA!F818</f>
        <v>Life Sciences</v>
      </c>
      <c r="G818">
        <f>RAW_DATA!G818</f>
        <v>3</v>
      </c>
      <c r="H818">
        <f>RAW_DATA!H818</f>
        <v>2</v>
      </c>
      <c r="I818" t="str">
        <f>RAW_DATA!I818</f>
        <v>Single</v>
      </c>
      <c r="J818">
        <f>RAW_DATA!J818</f>
        <v>6782</v>
      </c>
      <c r="K818">
        <f>RAW_DATA!K818</f>
        <v>9</v>
      </c>
      <c r="L818">
        <f>RAW_DATA!L818</f>
        <v>2</v>
      </c>
      <c r="M818">
        <f>RAW_DATA!M818</f>
        <v>5</v>
      </c>
      <c r="N818">
        <f t="shared" si="24"/>
        <v>0</v>
      </c>
      <c r="O818" t="str">
        <f xml:space="preserve"> VLOOKUP(A818, Lookup_Tables!$G$2:$H$6,2,TRUE)</f>
        <v>35-44</v>
      </c>
      <c r="P818" t="str">
        <f>_xlfn.XLOOKUP(J818,Lookup_Tables!$J$2:$J$4,Lookup_Tables!$K$2:$K$4, " ",-1)</f>
        <v>Medium</v>
      </c>
      <c r="Q818" t="str">
        <f xml:space="preserve"> _xlfn.XLOOKUP(M818, Lookup_Tables!$M$2:$M$5,Lookup_Tables!$N$2:$N$5," ", -1)</f>
        <v>Established (5-10)</v>
      </c>
      <c r="R818" s="4">
        <f t="shared" si="25"/>
        <v>2.3333333333333335</v>
      </c>
      <c r="S818" t="str">
        <f xml:space="preserve"> _xlfn.XLOOKUP( E818, Lookup_Tables!$A$2:$A$6,Lookup_Tables!$B$2:$B$6," ", -1)</f>
        <v>Bachelor</v>
      </c>
      <c r="T818" t="str">
        <f>_xlfn.XLOOKUP(G818,Lookup_Tables!$D$2:$D$5,Lookup_Tables!$E$2:$E$5)</f>
        <v>High</v>
      </c>
      <c r="U818" t="str">
        <f>_xlfn.XLOOKUP(H818,Lookup_Tables!$D$2:$D$5,Lookup_Tables!$E$2:$E$5)</f>
        <v>Medium</v>
      </c>
      <c r="V818" t="str">
        <f>_xlfn.XLOOKUP(L818,Lookup_Tables!$D$2:$D$5,Lookup_Tables!$E$2:$E$5)</f>
        <v>Medium</v>
      </c>
    </row>
    <row r="819" spans="1:22">
      <c r="A819">
        <f>RAW_DATA!A819</f>
        <v>36</v>
      </c>
      <c r="B819" t="str">
        <f>RAW_DATA!B819</f>
        <v>No</v>
      </c>
      <c r="C819" t="str">
        <f>RAW_DATA!C819</f>
        <v>Research &amp; Development</v>
      </c>
      <c r="D819">
        <f>RAW_DATA!D819</f>
        <v>18</v>
      </c>
      <c r="E819">
        <f>RAW_DATA!E819</f>
        <v>4</v>
      </c>
      <c r="F819" t="str">
        <f>RAW_DATA!F819</f>
        <v>Life Sciences</v>
      </c>
      <c r="G819">
        <f>RAW_DATA!G819</f>
        <v>1</v>
      </c>
      <c r="H819">
        <f>RAW_DATA!H819</f>
        <v>4</v>
      </c>
      <c r="I819" t="str">
        <f>RAW_DATA!I819</f>
        <v>Single</v>
      </c>
      <c r="J819">
        <f>RAW_DATA!J819</f>
        <v>7779</v>
      </c>
      <c r="K819">
        <f>RAW_DATA!K819</f>
        <v>2</v>
      </c>
      <c r="L819">
        <f>RAW_DATA!L819</f>
        <v>3</v>
      </c>
      <c r="M819">
        <f>RAW_DATA!M819</f>
        <v>11</v>
      </c>
      <c r="N819">
        <f t="shared" si="24"/>
        <v>0</v>
      </c>
      <c r="O819" t="str">
        <f xml:space="preserve"> VLOOKUP(A819, Lookup_Tables!$G$2:$H$6,2,TRUE)</f>
        <v>35-44</v>
      </c>
      <c r="P819" t="str">
        <f>_xlfn.XLOOKUP(J819,Lookup_Tables!$J$2:$J$4,Lookup_Tables!$K$2:$K$4, " ",-1)</f>
        <v>High</v>
      </c>
      <c r="Q819" t="str">
        <f xml:space="preserve"> _xlfn.XLOOKUP(M819, Lookup_Tables!$M$2:$M$5,Lookup_Tables!$N$2:$N$5," ", -1)</f>
        <v>Veteran (10+)</v>
      </c>
      <c r="R819" s="4">
        <f t="shared" si="25"/>
        <v>2.6666666666666665</v>
      </c>
      <c r="S819" t="str">
        <f xml:space="preserve"> _xlfn.XLOOKUP( E819, Lookup_Tables!$A$2:$A$6,Lookup_Tables!$B$2:$B$6," ", -1)</f>
        <v>Master</v>
      </c>
      <c r="T819" t="str">
        <f>_xlfn.XLOOKUP(G819,Lookup_Tables!$D$2:$D$5,Lookup_Tables!$E$2:$E$5)</f>
        <v>Low</v>
      </c>
      <c r="U819" t="str">
        <f>_xlfn.XLOOKUP(H819,Lookup_Tables!$D$2:$D$5,Lookup_Tables!$E$2:$E$5)</f>
        <v>Very High</v>
      </c>
      <c r="V819" t="str">
        <f>_xlfn.XLOOKUP(L819,Lookup_Tables!$D$2:$D$5,Lookup_Tables!$E$2:$E$5)</f>
        <v>High</v>
      </c>
    </row>
    <row r="820" spans="1:22">
      <c r="A820">
        <f>RAW_DATA!A820</f>
        <v>31</v>
      </c>
      <c r="B820" t="str">
        <f>RAW_DATA!B820</f>
        <v>No</v>
      </c>
      <c r="C820" t="str">
        <f>RAW_DATA!C820</f>
        <v>Sales</v>
      </c>
      <c r="D820">
        <f>RAW_DATA!D820</f>
        <v>20</v>
      </c>
      <c r="E820">
        <f>RAW_DATA!E820</f>
        <v>3</v>
      </c>
      <c r="F820" t="str">
        <f>RAW_DATA!F820</f>
        <v>Life Sciences</v>
      </c>
      <c r="G820">
        <f>RAW_DATA!G820</f>
        <v>3</v>
      </c>
      <c r="H820">
        <f>RAW_DATA!H820</f>
        <v>4</v>
      </c>
      <c r="I820" t="str">
        <f>RAW_DATA!I820</f>
        <v>Married</v>
      </c>
      <c r="J820">
        <f>RAW_DATA!J820</f>
        <v>2791</v>
      </c>
      <c r="K820">
        <f>RAW_DATA!K820</f>
        <v>0</v>
      </c>
      <c r="L820">
        <f>RAW_DATA!L820</f>
        <v>3</v>
      </c>
      <c r="M820">
        <f>RAW_DATA!M820</f>
        <v>2</v>
      </c>
      <c r="N820">
        <f t="shared" si="24"/>
        <v>0</v>
      </c>
      <c r="O820" t="str">
        <f xml:space="preserve"> VLOOKUP(A820, Lookup_Tables!$G$2:$H$6,2,TRUE)</f>
        <v>25-34</v>
      </c>
      <c r="P820" t="str">
        <f>_xlfn.XLOOKUP(J820,Lookup_Tables!$J$2:$J$4,Lookup_Tables!$K$2:$K$4, " ",-1)</f>
        <v>Low</v>
      </c>
      <c r="Q820" t="str">
        <f xml:space="preserve"> _xlfn.XLOOKUP(M820, Lookup_Tables!$M$2:$M$5,Lookup_Tables!$N$2:$N$5," ", -1)</f>
        <v>Early (2-5)</v>
      </c>
      <c r="R820" s="4">
        <f t="shared" si="25"/>
        <v>3.3333333333333335</v>
      </c>
      <c r="S820" t="str">
        <f xml:space="preserve"> _xlfn.XLOOKUP( E820, Lookup_Tables!$A$2:$A$6,Lookup_Tables!$B$2:$B$6," ", -1)</f>
        <v>Bachelor</v>
      </c>
      <c r="T820" t="str">
        <f>_xlfn.XLOOKUP(G820,Lookup_Tables!$D$2:$D$5,Lookup_Tables!$E$2:$E$5)</f>
        <v>High</v>
      </c>
      <c r="U820" t="str">
        <f>_xlfn.XLOOKUP(H820,Lookup_Tables!$D$2:$D$5,Lookup_Tables!$E$2:$E$5)</f>
        <v>Very High</v>
      </c>
      <c r="V820" t="str">
        <f>_xlfn.XLOOKUP(L820,Lookup_Tables!$D$2:$D$5,Lookup_Tables!$E$2:$E$5)</f>
        <v>High</v>
      </c>
    </row>
    <row r="821" spans="1:22">
      <c r="A821">
        <f>RAW_DATA!A821</f>
        <v>28</v>
      </c>
      <c r="B821" t="str">
        <f>RAW_DATA!B821</f>
        <v>No</v>
      </c>
      <c r="C821" t="str">
        <f>RAW_DATA!C821</f>
        <v>Research &amp; Development</v>
      </c>
      <c r="D821">
        <f>RAW_DATA!D821</f>
        <v>2</v>
      </c>
      <c r="E821">
        <f>RAW_DATA!E821</f>
        <v>1</v>
      </c>
      <c r="F821" t="str">
        <f>RAW_DATA!F821</f>
        <v>Life Sciences</v>
      </c>
      <c r="G821">
        <f>RAW_DATA!G821</f>
        <v>1</v>
      </c>
      <c r="H821">
        <f>RAW_DATA!H821</f>
        <v>2</v>
      </c>
      <c r="I821" t="str">
        <f>RAW_DATA!I821</f>
        <v>Married</v>
      </c>
      <c r="J821">
        <f>RAW_DATA!J821</f>
        <v>3201</v>
      </c>
      <c r="K821">
        <f>RAW_DATA!K821</f>
        <v>0</v>
      </c>
      <c r="L821">
        <f>RAW_DATA!L821</f>
        <v>1</v>
      </c>
      <c r="M821">
        <f>RAW_DATA!M821</f>
        <v>5</v>
      </c>
      <c r="N821">
        <f t="shared" si="24"/>
        <v>0</v>
      </c>
      <c r="O821" t="str">
        <f xml:space="preserve"> VLOOKUP(A821, Lookup_Tables!$G$2:$H$6,2,TRUE)</f>
        <v>25-34</v>
      </c>
      <c r="P821" t="str">
        <f>_xlfn.XLOOKUP(J821,Lookup_Tables!$J$2:$J$4,Lookup_Tables!$K$2:$K$4, " ",-1)</f>
        <v>Medium</v>
      </c>
      <c r="Q821" t="str">
        <f xml:space="preserve"> _xlfn.XLOOKUP(M821, Lookup_Tables!$M$2:$M$5,Lookup_Tables!$N$2:$N$5," ", -1)</f>
        <v>Established (5-10)</v>
      </c>
      <c r="R821" s="4">
        <f t="shared" si="25"/>
        <v>1.3333333333333333</v>
      </c>
      <c r="S821" t="str">
        <f xml:space="preserve"> _xlfn.XLOOKUP( E821, Lookup_Tables!$A$2:$A$6,Lookup_Tables!$B$2:$B$6," ", -1)</f>
        <v>Below College</v>
      </c>
      <c r="T821" t="str">
        <f>_xlfn.XLOOKUP(G821,Lookup_Tables!$D$2:$D$5,Lookup_Tables!$E$2:$E$5)</f>
        <v>Low</v>
      </c>
      <c r="U821" t="str">
        <f>_xlfn.XLOOKUP(H821,Lookup_Tables!$D$2:$D$5,Lookup_Tables!$E$2:$E$5)</f>
        <v>Medium</v>
      </c>
      <c r="V821" t="str">
        <f>_xlfn.XLOOKUP(L821,Lookup_Tables!$D$2:$D$5,Lookup_Tables!$E$2:$E$5)</f>
        <v>Low</v>
      </c>
    </row>
    <row r="822" spans="1:22">
      <c r="A822">
        <f>RAW_DATA!A822</f>
        <v>35</v>
      </c>
      <c r="B822" t="str">
        <f>RAW_DATA!B822</f>
        <v>No</v>
      </c>
      <c r="C822" t="str">
        <f>RAW_DATA!C822</f>
        <v>Sales</v>
      </c>
      <c r="D822">
        <f>RAW_DATA!D822</f>
        <v>11</v>
      </c>
      <c r="E822">
        <f>RAW_DATA!E822</f>
        <v>2</v>
      </c>
      <c r="F822" t="str">
        <f>RAW_DATA!F822</f>
        <v>Marketing</v>
      </c>
      <c r="G822">
        <f>RAW_DATA!G822</f>
        <v>4</v>
      </c>
      <c r="H822">
        <f>RAW_DATA!H822</f>
        <v>4</v>
      </c>
      <c r="I822" t="str">
        <f>RAW_DATA!I822</f>
        <v>Divorced</v>
      </c>
      <c r="J822">
        <f>RAW_DATA!J822</f>
        <v>4968</v>
      </c>
      <c r="K822">
        <f>RAW_DATA!K822</f>
        <v>1</v>
      </c>
      <c r="L822">
        <f>RAW_DATA!L822</f>
        <v>3</v>
      </c>
      <c r="M822">
        <f>RAW_DATA!M822</f>
        <v>5</v>
      </c>
      <c r="N822">
        <f t="shared" si="24"/>
        <v>0</v>
      </c>
      <c r="O822" t="str">
        <f xml:space="preserve"> VLOOKUP(A822, Lookup_Tables!$G$2:$H$6,2,TRUE)</f>
        <v>35-44</v>
      </c>
      <c r="P822" t="str">
        <f>_xlfn.XLOOKUP(J822,Lookup_Tables!$J$2:$J$4,Lookup_Tables!$K$2:$K$4, " ",-1)</f>
        <v>Medium</v>
      </c>
      <c r="Q822" t="str">
        <f xml:space="preserve"> _xlfn.XLOOKUP(M822, Lookup_Tables!$M$2:$M$5,Lookup_Tables!$N$2:$N$5," ", -1)</f>
        <v>Established (5-10)</v>
      </c>
      <c r="R822" s="4">
        <f t="shared" si="25"/>
        <v>3.6666666666666665</v>
      </c>
      <c r="S822" t="str">
        <f xml:space="preserve"> _xlfn.XLOOKUP( E822, Lookup_Tables!$A$2:$A$6,Lookup_Tables!$B$2:$B$6," ", -1)</f>
        <v>College</v>
      </c>
      <c r="T822" t="str">
        <f>_xlfn.XLOOKUP(G822,Lookup_Tables!$D$2:$D$5,Lookup_Tables!$E$2:$E$5)</f>
        <v>Very High</v>
      </c>
      <c r="U822" t="str">
        <f>_xlfn.XLOOKUP(H822,Lookup_Tables!$D$2:$D$5,Lookup_Tables!$E$2:$E$5)</f>
        <v>Very High</v>
      </c>
      <c r="V822" t="str">
        <f>_xlfn.XLOOKUP(L822,Lookup_Tables!$D$2:$D$5,Lookup_Tables!$E$2:$E$5)</f>
        <v>High</v>
      </c>
    </row>
    <row r="823" spans="1:22">
      <c r="A823">
        <f>RAW_DATA!A823</f>
        <v>49</v>
      </c>
      <c r="B823" t="str">
        <f>RAW_DATA!B823</f>
        <v>No</v>
      </c>
      <c r="C823" t="str">
        <f>RAW_DATA!C823</f>
        <v>Sales</v>
      </c>
      <c r="D823">
        <f>RAW_DATA!D823</f>
        <v>8</v>
      </c>
      <c r="E823">
        <f>RAW_DATA!E823</f>
        <v>4</v>
      </c>
      <c r="F823" t="str">
        <f>RAW_DATA!F823</f>
        <v>Technical Degree</v>
      </c>
      <c r="G823">
        <f>RAW_DATA!G823</f>
        <v>4</v>
      </c>
      <c r="H823">
        <f>RAW_DATA!H823</f>
        <v>2</v>
      </c>
      <c r="I823" t="str">
        <f>RAW_DATA!I823</f>
        <v>Married</v>
      </c>
      <c r="J823">
        <f>RAW_DATA!J823</f>
        <v>13120</v>
      </c>
      <c r="K823">
        <f>RAW_DATA!K823</f>
        <v>6</v>
      </c>
      <c r="L823">
        <f>RAW_DATA!L823</f>
        <v>3</v>
      </c>
      <c r="M823">
        <f>RAW_DATA!M823</f>
        <v>9</v>
      </c>
      <c r="N823">
        <f t="shared" si="24"/>
        <v>0</v>
      </c>
      <c r="O823" t="str">
        <f xml:space="preserve"> VLOOKUP(A823, Lookup_Tables!$G$2:$H$6,2,TRUE)</f>
        <v>45-54</v>
      </c>
      <c r="P823" t="str">
        <f>_xlfn.XLOOKUP(J823,Lookup_Tables!$J$2:$J$4,Lookup_Tables!$K$2:$K$4, " ",-1)</f>
        <v>High</v>
      </c>
      <c r="Q823" t="str">
        <f xml:space="preserve"> _xlfn.XLOOKUP(M823, Lookup_Tables!$M$2:$M$5,Lookup_Tables!$N$2:$N$5," ", -1)</f>
        <v>Established (5-10)</v>
      </c>
      <c r="R823" s="4">
        <f t="shared" si="25"/>
        <v>3</v>
      </c>
      <c r="S823" t="str">
        <f xml:space="preserve"> _xlfn.XLOOKUP( E823, Lookup_Tables!$A$2:$A$6,Lookup_Tables!$B$2:$B$6," ", -1)</f>
        <v>Master</v>
      </c>
      <c r="T823" t="str">
        <f>_xlfn.XLOOKUP(G823,Lookup_Tables!$D$2:$D$5,Lookup_Tables!$E$2:$E$5)</f>
        <v>Very High</v>
      </c>
      <c r="U823" t="str">
        <f>_xlfn.XLOOKUP(H823,Lookup_Tables!$D$2:$D$5,Lookup_Tables!$E$2:$E$5)</f>
        <v>Medium</v>
      </c>
      <c r="V823" t="str">
        <f>_xlfn.XLOOKUP(L823,Lookup_Tables!$D$2:$D$5,Lookup_Tables!$E$2:$E$5)</f>
        <v>High</v>
      </c>
    </row>
    <row r="824" spans="1:22">
      <c r="A824">
        <f>RAW_DATA!A824</f>
        <v>34</v>
      </c>
      <c r="B824" t="str">
        <f>RAW_DATA!B824</f>
        <v>No</v>
      </c>
      <c r="C824" t="str">
        <f>RAW_DATA!C824</f>
        <v>Research &amp; Development</v>
      </c>
      <c r="D824">
        <f>RAW_DATA!D824</f>
        <v>2</v>
      </c>
      <c r="E824">
        <f>RAW_DATA!E824</f>
        <v>2</v>
      </c>
      <c r="F824" t="str">
        <f>RAW_DATA!F824</f>
        <v>Life Sciences</v>
      </c>
      <c r="G824">
        <f>RAW_DATA!G824</f>
        <v>4</v>
      </c>
      <c r="H824">
        <f>RAW_DATA!H824</f>
        <v>3</v>
      </c>
      <c r="I824" t="str">
        <f>RAW_DATA!I824</f>
        <v>Single</v>
      </c>
      <c r="J824">
        <f>RAW_DATA!J824</f>
        <v>4033</v>
      </c>
      <c r="K824">
        <f>RAW_DATA!K824</f>
        <v>2</v>
      </c>
      <c r="L824">
        <f>RAW_DATA!L824</f>
        <v>2</v>
      </c>
      <c r="M824">
        <f>RAW_DATA!M824</f>
        <v>3</v>
      </c>
      <c r="N824">
        <f t="shared" si="24"/>
        <v>0</v>
      </c>
      <c r="O824" t="str">
        <f xml:space="preserve"> VLOOKUP(A824, Lookup_Tables!$G$2:$H$6,2,TRUE)</f>
        <v>25-34</v>
      </c>
      <c r="P824" t="str">
        <f>_xlfn.XLOOKUP(J824,Lookup_Tables!$J$2:$J$4,Lookup_Tables!$K$2:$K$4, " ",-1)</f>
        <v>Medium</v>
      </c>
      <c r="Q824" t="str">
        <f xml:space="preserve"> _xlfn.XLOOKUP(M824, Lookup_Tables!$M$2:$M$5,Lookup_Tables!$N$2:$N$5," ", -1)</f>
        <v>Early (2-5)</v>
      </c>
      <c r="R824" s="4">
        <f t="shared" si="25"/>
        <v>3</v>
      </c>
      <c r="S824" t="str">
        <f xml:space="preserve"> _xlfn.XLOOKUP( E824, Lookup_Tables!$A$2:$A$6,Lookup_Tables!$B$2:$B$6," ", -1)</f>
        <v>College</v>
      </c>
      <c r="T824" t="str">
        <f>_xlfn.XLOOKUP(G824,Lookup_Tables!$D$2:$D$5,Lookup_Tables!$E$2:$E$5)</f>
        <v>Very High</v>
      </c>
      <c r="U824" t="str">
        <f>_xlfn.XLOOKUP(H824,Lookup_Tables!$D$2:$D$5,Lookup_Tables!$E$2:$E$5)</f>
        <v>High</v>
      </c>
      <c r="V824" t="str">
        <f>_xlfn.XLOOKUP(L824,Lookup_Tables!$D$2:$D$5,Lookup_Tables!$E$2:$E$5)</f>
        <v>Medium</v>
      </c>
    </row>
    <row r="825" spans="1:22">
      <c r="A825">
        <f>RAW_DATA!A825</f>
        <v>29</v>
      </c>
      <c r="B825" t="str">
        <f>RAW_DATA!B825</f>
        <v>No</v>
      </c>
      <c r="C825" t="str">
        <f>RAW_DATA!C825</f>
        <v>Research &amp; Development</v>
      </c>
      <c r="D825">
        <f>RAW_DATA!D825</f>
        <v>10</v>
      </c>
      <c r="E825">
        <f>RAW_DATA!E825</f>
        <v>3</v>
      </c>
      <c r="F825" t="str">
        <f>RAW_DATA!F825</f>
        <v>Life Sciences</v>
      </c>
      <c r="G825">
        <f>RAW_DATA!G825</f>
        <v>4</v>
      </c>
      <c r="H825">
        <f>RAW_DATA!H825</f>
        <v>2</v>
      </c>
      <c r="I825" t="str">
        <f>RAW_DATA!I825</f>
        <v>Divorced</v>
      </c>
      <c r="J825">
        <f>RAW_DATA!J825</f>
        <v>3291</v>
      </c>
      <c r="K825">
        <f>RAW_DATA!K825</f>
        <v>0</v>
      </c>
      <c r="L825">
        <f>RAW_DATA!L825</f>
        <v>2</v>
      </c>
      <c r="M825">
        <f>RAW_DATA!M825</f>
        <v>7</v>
      </c>
      <c r="N825">
        <f t="shared" si="24"/>
        <v>0</v>
      </c>
      <c r="O825" t="str">
        <f xml:space="preserve"> VLOOKUP(A825, Lookup_Tables!$G$2:$H$6,2,TRUE)</f>
        <v>25-34</v>
      </c>
      <c r="P825" t="str">
        <f>_xlfn.XLOOKUP(J825,Lookup_Tables!$J$2:$J$4,Lookup_Tables!$K$2:$K$4, " ",-1)</f>
        <v>Medium</v>
      </c>
      <c r="Q825" t="str">
        <f xml:space="preserve"> _xlfn.XLOOKUP(M825, Lookup_Tables!$M$2:$M$5,Lookup_Tables!$N$2:$N$5," ", -1)</f>
        <v>Established (5-10)</v>
      </c>
      <c r="R825" s="4">
        <f t="shared" si="25"/>
        <v>2.6666666666666665</v>
      </c>
      <c r="S825" t="str">
        <f xml:space="preserve"> _xlfn.XLOOKUP( E825, Lookup_Tables!$A$2:$A$6,Lookup_Tables!$B$2:$B$6," ", -1)</f>
        <v>Bachelor</v>
      </c>
      <c r="T825" t="str">
        <f>_xlfn.XLOOKUP(G825,Lookup_Tables!$D$2:$D$5,Lookup_Tables!$E$2:$E$5)</f>
        <v>Very High</v>
      </c>
      <c r="U825" t="str">
        <f>_xlfn.XLOOKUP(H825,Lookup_Tables!$D$2:$D$5,Lookup_Tables!$E$2:$E$5)</f>
        <v>Medium</v>
      </c>
      <c r="V825" t="str">
        <f>_xlfn.XLOOKUP(L825,Lookup_Tables!$D$2:$D$5,Lookup_Tables!$E$2:$E$5)</f>
        <v>Medium</v>
      </c>
    </row>
    <row r="826" spans="1:22">
      <c r="A826">
        <f>RAW_DATA!A826</f>
        <v>42</v>
      </c>
      <c r="B826" t="str">
        <f>RAW_DATA!B826</f>
        <v>No</v>
      </c>
      <c r="C826" t="str">
        <f>RAW_DATA!C826</f>
        <v>Research &amp; Development</v>
      </c>
      <c r="D826">
        <f>RAW_DATA!D826</f>
        <v>29</v>
      </c>
      <c r="E826">
        <f>RAW_DATA!E826</f>
        <v>3</v>
      </c>
      <c r="F826" t="str">
        <f>RAW_DATA!F826</f>
        <v>Medical</v>
      </c>
      <c r="G826">
        <f>RAW_DATA!G826</f>
        <v>2</v>
      </c>
      <c r="H826">
        <f>RAW_DATA!H826</f>
        <v>4</v>
      </c>
      <c r="I826" t="str">
        <f>RAW_DATA!I826</f>
        <v>Single</v>
      </c>
      <c r="J826">
        <f>RAW_DATA!J826</f>
        <v>4272</v>
      </c>
      <c r="K826">
        <f>RAW_DATA!K826</f>
        <v>4</v>
      </c>
      <c r="L826">
        <f>RAW_DATA!L826</f>
        <v>3</v>
      </c>
      <c r="M826">
        <f>RAW_DATA!M826</f>
        <v>1</v>
      </c>
      <c r="N826">
        <f t="shared" si="24"/>
        <v>0</v>
      </c>
      <c r="O826" t="str">
        <f xml:space="preserve"> VLOOKUP(A826, Lookup_Tables!$G$2:$H$6,2,TRUE)</f>
        <v>35-44</v>
      </c>
      <c r="P826" t="str">
        <f>_xlfn.XLOOKUP(J826,Lookup_Tables!$J$2:$J$4,Lookup_Tables!$K$2:$K$4, " ",-1)</f>
        <v>Medium</v>
      </c>
      <c r="Q826" t="str">
        <f xml:space="preserve"> _xlfn.XLOOKUP(M826, Lookup_Tables!$M$2:$M$5,Lookup_Tables!$N$2:$N$5," ", -1)</f>
        <v>New (0-2)</v>
      </c>
      <c r="R826" s="4">
        <f t="shared" si="25"/>
        <v>3</v>
      </c>
      <c r="S826" t="str">
        <f xml:space="preserve"> _xlfn.XLOOKUP( E826, Lookup_Tables!$A$2:$A$6,Lookup_Tables!$B$2:$B$6," ", -1)</f>
        <v>Bachelor</v>
      </c>
      <c r="T826" t="str">
        <f>_xlfn.XLOOKUP(G826,Lookup_Tables!$D$2:$D$5,Lookup_Tables!$E$2:$E$5)</f>
        <v>Medium</v>
      </c>
      <c r="U826" t="str">
        <f>_xlfn.XLOOKUP(H826,Lookup_Tables!$D$2:$D$5,Lookup_Tables!$E$2:$E$5)</f>
        <v>Very High</v>
      </c>
      <c r="V826" t="str">
        <f>_xlfn.XLOOKUP(L826,Lookup_Tables!$D$2:$D$5,Lookup_Tables!$E$2:$E$5)</f>
        <v>High</v>
      </c>
    </row>
    <row r="827" spans="1:22">
      <c r="A827">
        <f>RAW_DATA!A827</f>
        <v>29</v>
      </c>
      <c r="B827" t="str">
        <f>RAW_DATA!B827</f>
        <v>No</v>
      </c>
      <c r="C827" t="str">
        <f>RAW_DATA!C827</f>
        <v>Research &amp; Development</v>
      </c>
      <c r="D827">
        <f>RAW_DATA!D827</f>
        <v>8</v>
      </c>
      <c r="E827">
        <f>RAW_DATA!E827</f>
        <v>1</v>
      </c>
      <c r="F827" t="str">
        <f>RAW_DATA!F827</f>
        <v>Medical</v>
      </c>
      <c r="G827">
        <f>RAW_DATA!G827</f>
        <v>2</v>
      </c>
      <c r="H827">
        <f>RAW_DATA!H827</f>
        <v>4</v>
      </c>
      <c r="I827" t="str">
        <f>RAW_DATA!I827</f>
        <v>Married</v>
      </c>
      <c r="J827">
        <f>RAW_DATA!J827</f>
        <v>5056</v>
      </c>
      <c r="K827">
        <f>RAW_DATA!K827</f>
        <v>1</v>
      </c>
      <c r="L827">
        <f>RAW_DATA!L827</f>
        <v>2</v>
      </c>
      <c r="M827">
        <f>RAW_DATA!M827</f>
        <v>10</v>
      </c>
      <c r="N827">
        <f t="shared" si="24"/>
        <v>0</v>
      </c>
      <c r="O827" t="str">
        <f xml:space="preserve"> VLOOKUP(A827, Lookup_Tables!$G$2:$H$6,2,TRUE)</f>
        <v>25-34</v>
      </c>
      <c r="P827" t="str">
        <f>_xlfn.XLOOKUP(J827,Lookup_Tables!$J$2:$J$4,Lookup_Tables!$K$2:$K$4, " ",-1)</f>
        <v>Medium</v>
      </c>
      <c r="Q827" t="str">
        <f xml:space="preserve"> _xlfn.XLOOKUP(M827, Lookup_Tables!$M$2:$M$5,Lookup_Tables!$N$2:$N$5," ", -1)</f>
        <v>Veteran (10+)</v>
      </c>
      <c r="R827" s="4">
        <f t="shared" si="25"/>
        <v>2.6666666666666665</v>
      </c>
      <c r="S827" t="str">
        <f xml:space="preserve"> _xlfn.XLOOKUP( E827, Lookup_Tables!$A$2:$A$6,Lookup_Tables!$B$2:$B$6," ", -1)</f>
        <v>Below College</v>
      </c>
      <c r="T827" t="str">
        <f>_xlfn.XLOOKUP(G827,Lookup_Tables!$D$2:$D$5,Lookup_Tables!$E$2:$E$5)</f>
        <v>Medium</v>
      </c>
      <c r="U827" t="str">
        <f>_xlfn.XLOOKUP(H827,Lookup_Tables!$D$2:$D$5,Lookup_Tables!$E$2:$E$5)</f>
        <v>Very High</v>
      </c>
      <c r="V827" t="str">
        <f>_xlfn.XLOOKUP(L827,Lookup_Tables!$D$2:$D$5,Lookup_Tables!$E$2:$E$5)</f>
        <v>Medium</v>
      </c>
    </row>
    <row r="828" spans="1:22">
      <c r="A828">
        <f>RAW_DATA!A828</f>
        <v>38</v>
      </c>
      <c r="B828" t="str">
        <f>RAW_DATA!B828</f>
        <v>No</v>
      </c>
      <c r="C828" t="str">
        <f>RAW_DATA!C828</f>
        <v>Human Resources</v>
      </c>
      <c r="D828">
        <f>RAW_DATA!D828</f>
        <v>1</v>
      </c>
      <c r="E828">
        <f>RAW_DATA!E828</f>
        <v>3</v>
      </c>
      <c r="F828" t="str">
        <f>RAW_DATA!F828</f>
        <v>Human Resources</v>
      </c>
      <c r="G828">
        <f>RAW_DATA!G828</f>
        <v>3</v>
      </c>
      <c r="H828">
        <f>RAW_DATA!H828</f>
        <v>3</v>
      </c>
      <c r="I828" t="str">
        <f>RAW_DATA!I828</f>
        <v>Married</v>
      </c>
      <c r="J828">
        <f>RAW_DATA!J828</f>
        <v>2844</v>
      </c>
      <c r="K828">
        <f>RAW_DATA!K828</f>
        <v>1</v>
      </c>
      <c r="L828">
        <f>RAW_DATA!L828</f>
        <v>4</v>
      </c>
      <c r="M828">
        <f>RAW_DATA!M828</f>
        <v>7</v>
      </c>
      <c r="N828">
        <f t="shared" si="24"/>
        <v>0</v>
      </c>
      <c r="O828" t="str">
        <f xml:space="preserve"> VLOOKUP(A828, Lookup_Tables!$G$2:$H$6,2,TRUE)</f>
        <v>35-44</v>
      </c>
      <c r="P828" t="str">
        <f>_xlfn.XLOOKUP(J828,Lookup_Tables!$J$2:$J$4,Lookup_Tables!$K$2:$K$4, " ",-1)</f>
        <v>Low</v>
      </c>
      <c r="Q828" t="str">
        <f xml:space="preserve"> _xlfn.XLOOKUP(M828, Lookup_Tables!$M$2:$M$5,Lookup_Tables!$N$2:$N$5," ", -1)</f>
        <v>Established (5-10)</v>
      </c>
      <c r="R828" s="4">
        <f t="shared" si="25"/>
        <v>3.3333333333333335</v>
      </c>
      <c r="S828" t="str">
        <f xml:space="preserve"> _xlfn.XLOOKUP( E828, Lookup_Tables!$A$2:$A$6,Lookup_Tables!$B$2:$B$6," ", -1)</f>
        <v>Bachelor</v>
      </c>
      <c r="T828" t="str">
        <f>_xlfn.XLOOKUP(G828,Lookup_Tables!$D$2:$D$5,Lookup_Tables!$E$2:$E$5)</f>
        <v>High</v>
      </c>
      <c r="U828" t="str">
        <f>_xlfn.XLOOKUP(H828,Lookup_Tables!$D$2:$D$5,Lookup_Tables!$E$2:$E$5)</f>
        <v>High</v>
      </c>
      <c r="V828" t="str">
        <f>_xlfn.XLOOKUP(L828,Lookup_Tables!$D$2:$D$5,Lookup_Tables!$E$2:$E$5)</f>
        <v>Very High</v>
      </c>
    </row>
    <row r="829" spans="1:22">
      <c r="A829">
        <f>RAW_DATA!A829</f>
        <v>28</v>
      </c>
      <c r="B829" t="str">
        <f>RAW_DATA!B829</f>
        <v>No</v>
      </c>
      <c r="C829" t="str">
        <f>RAW_DATA!C829</f>
        <v>Research &amp; Development</v>
      </c>
      <c r="D829">
        <f>RAW_DATA!D829</f>
        <v>6</v>
      </c>
      <c r="E829">
        <f>RAW_DATA!E829</f>
        <v>3</v>
      </c>
      <c r="F829" t="str">
        <f>RAW_DATA!F829</f>
        <v>Life Sciences</v>
      </c>
      <c r="G829">
        <f>RAW_DATA!G829</f>
        <v>3</v>
      </c>
      <c r="H829">
        <f>RAW_DATA!H829</f>
        <v>3</v>
      </c>
      <c r="I829" t="str">
        <f>RAW_DATA!I829</f>
        <v>Divorced</v>
      </c>
      <c r="J829">
        <f>RAW_DATA!J829</f>
        <v>2703</v>
      </c>
      <c r="K829">
        <f>RAW_DATA!K829</f>
        <v>1</v>
      </c>
      <c r="L829">
        <f>RAW_DATA!L829</f>
        <v>3</v>
      </c>
      <c r="M829">
        <f>RAW_DATA!M829</f>
        <v>3</v>
      </c>
      <c r="N829">
        <f t="shared" si="24"/>
        <v>0</v>
      </c>
      <c r="O829" t="str">
        <f xml:space="preserve"> VLOOKUP(A829, Lookup_Tables!$G$2:$H$6,2,TRUE)</f>
        <v>25-34</v>
      </c>
      <c r="P829" t="str">
        <f>_xlfn.XLOOKUP(J829,Lookup_Tables!$J$2:$J$4,Lookup_Tables!$K$2:$K$4, " ",-1)</f>
        <v>Low</v>
      </c>
      <c r="Q829" t="str">
        <f xml:space="preserve"> _xlfn.XLOOKUP(M829, Lookup_Tables!$M$2:$M$5,Lookup_Tables!$N$2:$N$5," ", -1)</f>
        <v>Early (2-5)</v>
      </c>
      <c r="R829" s="4">
        <f t="shared" si="25"/>
        <v>3</v>
      </c>
      <c r="S829" t="str">
        <f xml:space="preserve"> _xlfn.XLOOKUP( E829, Lookup_Tables!$A$2:$A$6,Lookup_Tables!$B$2:$B$6," ", -1)</f>
        <v>Bachelor</v>
      </c>
      <c r="T829" t="str">
        <f>_xlfn.XLOOKUP(G829,Lookup_Tables!$D$2:$D$5,Lookup_Tables!$E$2:$E$5)</f>
        <v>High</v>
      </c>
      <c r="U829" t="str">
        <f>_xlfn.XLOOKUP(H829,Lookup_Tables!$D$2:$D$5,Lookup_Tables!$E$2:$E$5)</f>
        <v>High</v>
      </c>
      <c r="V829" t="str">
        <f>_xlfn.XLOOKUP(L829,Lookup_Tables!$D$2:$D$5,Lookup_Tables!$E$2:$E$5)</f>
        <v>High</v>
      </c>
    </row>
    <row r="830" spans="1:22">
      <c r="A830">
        <f>RAW_DATA!A830</f>
        <v>18</v>
      </c>
      <c r="B830" t="str">
        <f>RAW_DATA!B830</f>
        <v>Yes</v>
      </c>
      <c r="C830" t="str">
        <f>RAW_DATA!C830</f>
        <v>Research &amp; Development</v>
      </c>
      <c r="D830">
        <f>RAW_DATA!D830</f>
        <v>8</v>
      </c>
      <c r="E830">
        <f>RAW_DATA!E830</f>
        <v>1</v>
      </c>
      <c r="F830" t="str">
        <f>RAW_DATA!F830</f>
        <v>Medical</v>
      </c>
      <c r="G830">
        <f>RAW_DATA!G830</f>
        <v>3</v>
      </c>
      <c r="H830">
        <f>RAW_DATA!H830</f>
        <v>3</v>
      </c>
      <c r="I830" t="str">
        <f>RAW_DATA!I830</f>
        <v>Single</v>
      </c>
      <c r="J830">
        <f>RAW_DATA!J830</f>
        <v>1904</v>
      </c>
      <c r="K830">
        <f>RAW_DATA!K830</f>
        <v>1</v>
      </c>
      <c r="L830">
        <f>RAW_DATA!L830</f>
        <v>3</v>
      </c>
      <c r="M830">
        <f>RAW_DATA!M830</f>
        <v>0</v>
      </c>
      <c r="N830">
        <f t="shared" si="24"/>
        <v>1</v>
      </c>
      <c r="O830" t="str">
        <f xml:space="preserve"> VLOOKUP(A830, Lookup_Tables!$G$2:$H$6,2,TRUE)</f>
        <v>&lt;25</v>
      </c>
      <c r="P830" t="str">
        <f>_xlfn.XLOOKUP(J830,Lookup_Tables!$J$2:$J$4,Lookup_Tables!$K$2:$K$4, " ",-1)</f>
        <v>Low</v>
      </c>
      <c r="Q830" t="str">
        <f xml:space="preserve"> _xlfn.XLOOKUP(M830, Lookup_Tables!$M$2:$M$5,Lookup_Tables!$N$2:$N$5," ", -1)</f>
        <v>New (0-2)</v>
      </c>
      <c r="R830" s="4">
        <f t="shared" si="25"/>
        <v>3</v>
      </c>
      <c r="S830" t="str">
        <f xml:space="preserve"> _xlfn.XLOOKUP( E830, Lookup_Tables!$A$2:$A$6,Lookup_Tables!$B$2:$B$6," ", -1)</f>
        <v>Below College</v>
      </c>
      <c r="T830" t="str">
        <f>_xlfn.XLOOKUP(G830,Lookup_Tables!$D$2:$D$5,Lookup_Tables!$E$2:$E$5)</f>
        <v>High</v>
      </c>
      <c r="U830" t="str">
        <f>_xlfn.XLOOKUP(H830,Lookup_Tables!$D$2:$D$5,Lookup_Tables!$E$2:$E$5)</f>
        <v>High</v>
      </c>
      <c r="V830" t="str">
        <f>_xlfn.XLOOKUP(L830,Lookup_Tables!$D$2:$D$5,Lookup_Tables!$E$2:$E$5)</f>
        <v>High</v>
      </c>
    </row>
    <row r="831" spans="1:22">
      <c r="A831">
        <f>RAW_DATA!A831</f>
        <v>33</v>
      </c>
      <c r="B831" t="str">
        <f>RAW_DATA!B831</f>
        <v>Yes</v>
      </c>
      <c r="C831" t="str">
        <f>RAW_DATA!C831</f>
        <v>Sales</v>
      </c>
      <c r="D831">
        <f>RAW_DATA!D831</f>
        <v>9</v>
      </c>
      <c r="E831">
        <f>RAW_DATA!E831</f>
        <v>4</v>
      </c>
      <c r="F831" t="str">
        <f>RAW_DATA!F831</f>
        <v>Marketing</v>
      </c>
      <c r="G831">
        <f>RAW_DATA!G831</f>
        <v>1</v>
      </c>
      <c r="H831">
        <f>RAW_DATA!H831</f>
        <v>1</v>
      </c>
      <c r="I831" t="str">
        <f>RAW_DATA!I831</f>
        <v>Single</v>
      </c>
      <c r="J831">
        <f>RAW_DATA!J831</f>
        <v>8224</v>
      </c>
      <c r="K831">
        <f>RAW_DATA!K831</f>
        <v>0</v>
      </c>
      <c r="L831">
        <f>RAW_DATA!L831</f>
        <v>3</v>
      </c>
      <c r="M831">
        <f>RAW_DATA!M831</f>
        <v>5</v>
      </c>
      <c r="N831">
        <f t="shared" si="24"/>
        <v>1</v>
      </c>
      <c r="O831" t="str">
        <f xml:space="preserve"> VLOOKUP(A831, Lookup_Tables!$G$2:$H$6,2,TRUE)</f>
        <v>25-34</v>
      </c>
      <c r="P831" t="str">
        <f>_xlfn.XLOOKUP(J831,Lookup_Tables!$J$2:$J$4,Lookup_Tables!$K$2:$K$4, " ",-1)</f>
        <v>High</v>
      </c>
      <c r="Q831" t="str">
        <f xml:space="preserve"> _xlfn.XLOOKUP(M831, Lookup_Tables!$M$2:$M$5,Lookup_Tables!$N$2:$N$5," ", -1)</f>
        <v>Established (5-10)</v>
      </c>
      <c r="R831" s="4">
        <f t="shared" si="25"/>
        <v>1.6666666666666667</v>
      </c>
      <c r="S831" t="str">
        <f xml:space="preserve"> _xlfn.XLOOKUP( E831, Lookup_Tables!$A$2:$A$6,Lookup_Tables!$B$2:$B$6," ", -1)</f>
        <v>Master</v>
      </c>
      <c r="T831" t="str">
        <f>_xlfn.XLOOKUP(G831,Lookup_Tables!$D$2:$D$5,Lookup_Tables!$E$2:$E$5)</f>
        <v>Low</v>
      </c>
      <c r="U831" t="str">
        <f>_xlfn.XLOOKUP(H831,Lookup_Tables!$D$2:$D$5,Lookup_Tables!$E$2:$E$5)</f>
        <v>Low</v>
      </c>
      <c r="V831" t="str">
        <f>_xlfn.XLOOKUP(L831,Lookup_Tables!$D$2:$D$5,Lookup_Tables!$E$2:$E$5)</f>
        <v>High</v>
      </c>
    </row>
    <row r="832" spans="1:22">
      <c r="A832">
        <f>RAW_DATA!A832</f>
        <v>41</v>
      </c>
      <c r="B832" t="str">
        <f>RAW_DATA!B832</f>
        <v>No</v>
      </c>
      <c r="C832" t="str">
        <f>RAW_DATA!C832</f>
        <v>Research &amp; Development</v>
      </c>
      <c r="D832">
        <f>RAW_DATA!D832</f>
        <v>12</v>
      </c>
      <c r="E832">
        <f>RAW_DATA!E832</f>
        <v>4</v>
      </c>
      <c r="F832" t="str">
        <f>RAW_DATA!F832</f>
        <v>Life Sciences</v>
      </c>
      <c r="G832">
        <f>RAW_DATA!G832</f>
        <v>2</v>
      </c>
      <c r="H832">
        <f>RAW_DATA!H832</f>
        <v>4</v>
      </c>
      <c r="I832" t="str">
        <f>RAW_DATA!I832</f>
        <v>Married</v>
      </c>
      <c r="J832">
        <f>RAW_DATA!J832</f>
        <v>4766</v>
      </c>
      <c r="K832">
        <f>RAW_DATA!K832</f>
        <v>3</v>
      </c>
      <c r="L832">
        <f>RAW_DATA!L832</f>
        <v>3</v>
      </c>
      <c r="M832">
        <f>RAW_DATA!M832</f>
        <v>1</v>
      </c>
      <c r="N832">
        <f t="shared" si="24"/>
        <v>0</v>
      </c>
      <c r="O832" t="str">
        <f xml:space="preserve"> VLOOKUP(A832, Lookup_Tables!$G$2:$H$6,2,TRUE)</f>
        <v>35-44</v>
      </c>
      <c r="P832" t="str">
        <f>_xlfn.XLOOKUP(J832,Lookup_Tables!$J$2:$J$4,Lookup_Tables!$K$2:$K$4, " ",-1)</f>
        <v>Medium</v>
      </c>
      <c r="Q832" t="str">
        <f xml:space="preserve"> _xlfn.XLOOKUP(M832, Lookup_Tables!$M$2:$M$5,Lookup_Tables!$N$2:$N$5," ", -1)</f>
        <v>New (0-2)</v>
      </c>
      <c r="R832" s="4">
        <f t="shared" si="25"/>
        <v>3</v>
      </c>
      <c r="S832" t="str">
        <f xml:space="preserve"> _xlfn.XLOOKUP( E832, Lookup_Tables!$A$2:$A$6,Lookup_Tables!$B$2:$B$6," ", -1)</f>
        <v>Master</v>
      </c>
      <c r="T832" t="str">
        <f>_xlfn.XLOOKUP(G832,Lookup_Tables!$D$2:$D$5,Lookup_Tables!$E$2:$E$5)</f>
        <v>Medium</v>
      </c>
      <c r="U832" t="str">
        <f>_xlfn.XLOOKUP(H832,Lookup_Tables!$D$2:$D$5,Lookup_Tables!$E$2:$E$5)</f>
        <v>Very High</v>
      </c>
      <c r="V832" t="str">
        <f>_xlfn.XLOOKUP(L832,Lookup_Tables!$D$2:$D$5,Lookup_Tables!$E$2:$E$5)</f>
        <v>High</v>
      </c>
    </row>
    <row r="833" spans="1:22">
      <c r="A833">
        <f>RAW_DATA!A833</f>
        <v>31</v>
      </c>
      <c r="B833" t="str">
        <f>RAW_DATA!B833</f>
        <v>Yes</v>
      </c>
      <c r="C833" t="str">
        <f>RAW_DATA!C833</f>
        <v>Research &amp; Development</v>
      </c>
      <c r="D833">
        <f>RAW_DATA!D833</f>
        <v>15</v>
      </c>
      <c r="E833">
        <f>RAW_DATA!E833</f>
        <v>3</v>
      </c>
      <c r="F833" t="str">
        <f>RAW_DATA!F833</f>
        <v>Medical</v>
      </c>
      <c r="G833">
        <f>RAW_DATA!G833</f>
        <v>3</v>
      </c>
      <c r="H833">
        <f>RAW_DATA!H833</f>
        <v>3</v>
      </c>
      <c r="I833" t="str">
        <f>RAW_DATA!I833</f>
        <v>Married</v>
      </c>
      <c r="J833">
        <f>RAW_DATA!J833</f>
        <v>2610</v>
      </c>
      <c r="K833">
        <f>RAW_DATA!K833</f>
        <v>1</v>
      </c>
      <c r="L833">
        <f>RAW_DATA!L833</f>
        <v>2</v>
      </c>
      <c r="M833">
        <f>RAW_DATA!M833</f>
        <v>2</v>
      </c>
      <c r="N833">
        <f t="shared" si="24"/>
        <v>1</v>
      </c>
      <c r="O833" t="str">
        <f xml:space="preserve"> VLOOKUP(A833, Lookup_Tables!$G$2:$H$6,2,TRUE)</f>
        <v>25-34</v>
      </c>
      <c r="P833" t="str">
        <f>_xlfn.XLOOKUP(J833,Lookup_Tables!$J$2:$J$4,Lookup_Tables!$K$2:$K$4, " ",-1)</f>
        <v>Low</v>
      </c>
      <c r="Q833" t="str">
        <f xml:space="preserve"> _xlfn.XLOOKUP(M833, Lookup_Tables!$M$2:$M$5,Lookup_Tables!$N$2:$N$5," ", -1)</f>
        <v>Early (2-5)</v>
      </c>
      <c r="R833" s="4">
        <f t="shared" si="25"/>
        <v>2.6666666666666665</v>
      </c>
      <c r="S833" t="str">
        <f xml:space="preserve"> _xlfn.XLOOKUP( E833, Lookup_Tables!$A$2:$A$6,Lookup_Tables!$B$2:$B$6," ", -1)</f>
        <v>Bachelor</v>
      </c>
      <c r="T833" t="str">
        <f>_xlfn.XLOOKUP(G833,Lookup_Tables!$D$2:$D$5,Lookup_Tables!$E$2:$E$5)</f>
        <v>High</v>
      </c>
      <c r="U833" t="str">
        <f>_xlfn.XLOOKUP(H833,Lookup_Tables!$D$2:$D$5,Lookup_Tables!$E$2:$E$5)</f>
        <v>High</v>
      </c>
      <c r="V833" t="str">
        <f>_xlfn.XLOOKUP(L833,Lookup_Tables!$D$2:$D$5,Lookup_Tables!$E$2:$E$5)</f>
        <v>Medium</v>
      </c>
    </row>
    <row r="834" spans="1:22">
      <c r="A834">
        <f>RAW_DATA!A834</f>
        <v>37</v>
      </c>
      <c r="B834" t="str">
        <f>RAW_DATA!B834</f>
        <v>No</v>
      </c>
      <c r="C834" t="str">
        <f>RAW_DATA!C834</f>
        <v>Research &amp; Development</v>
      </c>
      <c r="D834">
        <f>RAW_DATA!D834</f>
        <v>25</v>
      </c>
      <c r="E834">
        <f>RAW_DATA!E834</f>
        <v>2</v>
      </c>
      <c r="F834" t="str">
        <f>RAW_DATA!F834</f>
        <v>Medical</v>
      </c>
      <c r="G834">
        <f>RAW_DATA!G834</f>
        <v>3</v>
      </c>
      <c r="H834">
        <f>RAW_DATA!H834</f>
        <v>4</v>
      </c>
      <c r="I834" t="str">
        <f>RAW_DATA!I834</f>
        <v>Divorced</v>
      </c>
      <c r="J834">
        <f>RAW_DATA!J834</f>
        <v>5731</v>
      </c>
      <c r="K834">
        <f>RAW_DATA!K834</f>
        <v>7</v>
      </c>
      <c r="L834">
        <f>RAW_DATA!L834</f>
        <v>3</v>
      </c>
      <c r="M834">
        <f>RAW_DATA!M834</f>
        <v>6</v>
      </c>
      <c r="N834">
        <f t="shared" si="24"/>
        <v>0</v>
      </c>
      <c r="O834" t="str">
        <f xml:space="preserve"> VLOOKUP(A834, Lookup_Tables!$G$2:$H$6,2,TRUE)</f>
        <v>35-44</v>
      </c>
      <c r="P834" t="str">
        <f>_xlfn.XLOOKUP(J834,Lookup_Tables!$J$2:$J$4,Lookup_Tables!$K$2:$K$4, " ",-1)</f>
        <v>Medium</v>
      </c>
      <c r="Q834" t="str">
        <f xml:space="preserve"> _xlfn.XLOOKUP(M834, Lookup_Tables!$M$2:$M$5,Lookup_Tables!$N$2:$N$5," ", -1)</f>
        <v>Established (5-10)</v>
      </c>
      <c r="R834" s="4">
        <f t="shared" si="25"/>
        <v>3.3333333333333335</v>
      </c>
      <c r="S834" t="str">
        <f xml:space="preserve"> _xlfn.XLOOKUP( E834, Lookup_Tables!$A$2:$A$6,Lookup_Tables!$B$2:$B$6," ", -1)</f>
        <v>College</v>
      </c>
      <c r="T834" t="str">
        <f>_xlfn.XLOOKUP(G834,Lookup_Tables!$D$2:$D$5,Lookup_Tables!$E$2:$E$5)</f>
        <v>High</v>
      </c>
      <c r="U834" t="str">
        <f>_xlfn.XLOOKUP(H834,Lookup_Tables!$D$2:$D$5,Lookup_Tables!$E$2:$E$5)</f>
        <v>Very High</v>
      </c>
      <c r="V834" t="str">
        <f>_xlfn.XLOOKUP(L834,Lookup_Tables!$D$2:$D$5,Lookup_Tables!$E$2:$E$5)</f>
        <v>High</v>
      </c>
    </row>
    <row r="835" spans="1:22">
      <c r="A835">
        <f>RAW_DATA!A835</f>
        <v>27</v>
      </c>
      <c r="B835" t="str">
        <f>RAW_DATA!B835</f>
        <v>No</v>
      </c>
      <c r="C835" t="str">
        <f>RAW_DATA!C835</f>
        <v>Research &amp; Development</v>
      </c>
      <c r="D835">
        <f>RAW_DATA!D835</f>
        <v>6</v>
      </c>
      <c r="E835">
        <f>RAW_DATA!E835</f>
        <v>3</v>
      </c>
      <c r="F835" t="str">
        <f>RAW_DATA!F835</f>
        <v>Life Sciences</v>
      </c>
      <c r="G835">
        <f>RAW_DATA!G835</f>
        <v>4</v>
      </c>
      <c r="H835">
        <f>RAW_DATA!H835</f>
        <v>3</v>
      </c>
      <c r="I835" t="str">
        <f>RAW_DATA!I835</f>
        <v>Married</v>
      </c>
      <c r="J835">
        <f>RAW_DATA!J835</f>
        <v>2539</v>
      </c>
      <c r="K835">
        <f>RAW_DATA!K835</f>
        <v>1</v>
      </c>
      <c r="L835">
        <f>RAW_DATA!L835</f>
        <v>3</v>
      </c>
      <c r="M835">
        <f>RAW_DATA!M835</f>
        <v>4</v>
      </c>
      <c r="N835">
        <f t="shared" ref="N835:N898" si="26" xml:space="preserve"> IF(B835 ="Yes",1,0)</f>
        <v>0</v>
      </c>
      <c r="O835" t="str">
        <f xml:space="preserve"> VLOOKUP(A835, Lookup_Tables!$G$2:$H$6,2,TRUE)</f>
        <v>25-34</v>
      </c>
      <c r="P835" t="str">
        <f>_xlfn.XLOOKUP(J835,Lookup_Tables!$J$2:$J$4,Lookup_Tables!$K$2:$K$4, " ",-1)</f>
        <v>Low</v>
      </c>
      <c r="Q835" t="str">
        <f xml:space="preserve"> _xlfn.XLOOKUP(M835, Lookup_Tables!$M$2:$M$5,Lookup_Tables!$N$2:$N$5," ", -1)</f>
        <v>Early (2-5)</v>
      </c>
      <c r="R835" s="4">
        <f t="shared" ref="R835:R898" si="27">AVERAGE(G835,H835,L835)</f>
        <v>3.3333333333333335</v>
      </c>
      <c r="S835" t="str">
        <f xml:space="preserve"> _xlfn.XLOOKUP( E835, Lookup_Tables!$A$2:$A$6,Lookup_Tables!$B$2:$B$6," ", -1)</f>
        <v>Bachelor</v>
      </c>
      <c r="T835" t="str">
        <f>_xlfn.XLOOKUP(G835,Lookup_Tables!$D$2:$D$5,Lookup_Tables!$E$2:$E$5)</f>
        <v>Very High</v>
      </c>
      <c r="U835" t="str">
        <f>_xlfn.XLOOKUP(H835,Lookup_Tables!$D$2:$D$5,Lookup_Tables!$E$2:$E$5)</f>
        <v>High</v>
      </c>
      <c r="V835" t="str">
        <f>_xlfn.XLOOKUP(L835,Lookup_Tables!$D$2:$D$5,Lookup_Tables!$E$2:$E$5)</f>
        <v>High</v>
      </c>
    </row>
    <row r="836" spans="1:22">
      <c r="A836">
        <f>RAW_DATA!A836</f>
        <v>34</v>
      </c>
      <c r="B836" t="str">
        <f>RAW_DATA!B836</f>
        <v>No</v>
      </c>
      <c r="C836" t="str">
        <f>RAW_DATA!C836</f>
        <v>Sales</v>
      </c>
      <c r="D836">
        <f>RAW_DATA!D836</f>
        <v>9</v>
      </c>
      <c r="E836">
        <f>RAW_DATA!E836</f>
        <v>1</v>
      </c>
      <c r="F836" t="str">
        <f>RAW_DATA!F836</f>
        <v>Life Sciences</v>
      </c>
      <c r="G836">
        <f>RAW_DATA!G836</f>
        <v>2</v>
      </c>
      <c r="H836">
        <f>RAW_DATA!H836</f>
        <v>3</v>
      </c>
      <c r="I836" t="str">
        <f>RAW_DATA!I836</f>
        <v>Married</v>
      </c>
      <c r="J836">
        <f>RAW_DATA!J836</f>
        <v>5714</v>
      </c>
      <c r="K836">
        <f>RAW_DATA!K836</f>
        <v>1</v>
      </c>
      <c r="L836">
        <f>RAW_DATA!L836</f>
        <v>2</v>
      </c>
      <c r="M836">
        <f>RAW_DATA!M836</f>
        <v>6</v>
      </c>
      <c r="N836">
        <f t="shared" si="26"/>
        <v>0</v>
      </c>
      <c r="O836" t="str">
        <f xml:space="preserve"> VLOOKUP(A836, Lookup_Tables!$G$2:$H$6,2,TRUE)</f>
        <v>25-34</v>
      </c>
      <c r="P836" t="str">
        <f>_xlfn.XLOOKUP(J836,Lookup_Tables!$J$2:$J$4,Lookup_Tables!$K$2:$K$4, " ",-1)</f>
        <v>Medium</v>
      </c>
      <c r="Q836" t="str">
        <f xml:space="preserve"> _xlfn.XLOOKUP(M836, Lookup_Tables!$M$2:$M$5,Lookup_Tables!$N$2:$N$5," ", -1)</f>
        <v>Established (5-10)</v>
      </c>
      <c r="R836" s="4">
        <f t="shared" si="27"/>
        <v>2.3333333333333335</v>
      </c>
      <c r="S836" t="str">
        <f xml:space="preserve"> _xlfn.XLOOKUP( E836, Lookup_Tables!$A$2:$A$6,Lookup_Tables!$B$2:$B$6," ", -1)</f>
        <v>Below College</v>
      </c>
      <c r="T836" t="str">
        <f>_xlfn.XLOOKUP(G836,Lookup_Tables!$D$2:$D$5,Lookup_Tables!$E$2:$E$5)</f>
        <v>Medium</v>
      </c>
      <c r="U836" t="str">
        <f>_xlfn.XLOOKUP(H836,Lookup_Tables!$D$2:$D$5,Lookup_Tables!$E$2:$E$5)</f>
        <v>High</v>
      </c>
      <c r="V836" t="str">
        <f>_xlfn.XLOOKUP(L836,Lookup_Tables!$D$2:$D$5,Lookup_Tables!$E$2:$E$5)</f>
        <v>Medium</v>
      </c>
    </row>
    <row r="837" spans="1:22">
      <c r="A837">
        <f>RAW_DATA!A837</f>
        <v>35</v>
      </c>
      <c r="B837" t="str">
        <f>RAW_DATA!B837</f>
        <v>No</v>
      </c>
      <c r="C837" t="str">
        <f>RAW_DATA!C837</f>
        <v>Human Resources</v>
      </c>
      <c r="D837">
        <f>RAW_DATA!D837</f>
        <v>8</v>
      </c>
      <c r="E837">
        <f>RAW_DATA!E837</f>
        <v>4</v>
      </c>
      <c r="F837" t="str">
        <f>RAW_DATA!F837</f>
        <v>Technical Degree</v>
      </c>
      <c r="G837">
        <f>RAW_DATA!G837</f>
        <v>3</v>
      </c>
      <c r="H837">
        <f>RAW_DATA!H837</f>
        <v>3</v>
      </c>
      <c r="I837" t="str">
        <f>RAW_DATA!I837</f>
        <v>Single</v>
      </c>
      <c r="J837">
        <f>RAW_DATA!J837</f>
        <v>4323</v>
      </c>
      <c r="K837">
        <f>RAW_DATA!K837</f>
        <v>1</v>
      </c>
      <c r="L837">
        <f>RAW_DATA!L837</f>
        <v>1</v>
      </c>
      <c r="M837">
        <f>RAW_DATA!M837</f>
        <v>5</v>
      </c>
      <c r="N837">
        <f t="shared" si="26"/>
        <v>0</v>
      </c>
      <c r="O837" t="str">
        <f xml:space="preserve"> VLOOKUP(A837, Lookup_Tables!$G$2:$H$6,2,TRUE)</f>
        <v>35-44</v>
      </c>
      <c r="P837" t="str">
        <f>_xlfn.XLOOKUP(J837,Lookup_Tables!$J$2:$J$4,Lookup_Tables!$K$2:$K$4, " ",-1)</f>
        <v>Medium</v>
      </c>
      <c r="Q837" t="str">
        <f xml:space="preserve"> _xlfn.XLOOKUP(M837, Lookup_Tables!$M$2:$M$5,Lookup_Tables!$N$2:$N$5," ", -1)</f>
        <v>Established (5-10)</v>
      </c>
      <c r="R837" s="4">
        <f t="shared" si="27"/>
        <v>2.3333333333333335</v>
      </c>
      <c r="S837" t="str">
        <f xml:space="preserve"> _xlfn.XLOOKUP( E837, Lookup_Tables!$A$2:$A$6,Lookup_Tables!$B$2:$B$6," ", -1)</f>
        <v>Master</v>
      </c>
      <c r="T837" t="str">
        <f>_xlfn.XLOOKUP(G837,Lookup_Tables!$D$2:$D$5,Lookup_Tables!$E$2:$E$5)</f>
        <v>High</v>
      </c>
      <c r="U837" t="str">
        <f>_xlfn.XLOOKUP(H837,Lookup_Tables!$D$2:$D$5,Lookup_Tables!$E$2:$E$5)</f>
        <v>High</v>
      </c>
      <c r="V837" t="str">
        <f>_xlfn.XLOOKUP(L837,Lookup_Tables!$D$2:$D$5,Lookup_Tables!$E$2:$E$5)</f>
        <v>Low</v>
      </c>
    </row>
    <row r="838" spans="1:22">
      <c r="A838">
        <f>RAW_DATA!A838</f>
        <v>29</v>
      </c>
      <c r="B838" t="str">
        <f>RAW_DATA!B838</f>
        <v>Yes</v>
      </c>
      <c r="C838" t="str">
        <f>RAW_DATA!C838</f>
        <v>Sales</v>
      </c>
      <c r="D838">
        <f>RAW_DATA!D838</f>
        <v>23</v>
      </c>
      <c r="E838">
        <f>RAW_DATA!E838</f>
        <v>1</v>
      </c>
      <c r="F838" t="str">
        <f>RAW_DATA!F838</f>
        <v>Life Sciences</v>
      </c>
      <c r="G838">
        <f>RAW_DATA!G838</f>
        <v>4</v>
      </c>
      <c r="H838">
        <f>RAW_DATA!H838</f>
        <v>1</v>
      </c>
      <c r="I838" t="str">
        <f>RAW_DATA!I838</f>
        <v>Married</v>
      </c>
      <c r="J838">
        <f>RAW_DATA!J838</f>
        <v>7336</v>
      </c>
      <c r="K838">
        <f>RAW_DATA!K838</f>
        <v>1</v>
      </c>
      <c r="L838">
        <f>RAW_DATA!L838</f>
        <v>1</v>
      </c>
      <c r="M838">
        <f>RAW_DATA!M838</f>
        <v>11</v>
      </c>
      <c r="N838">
        <f t="shared" si="26"/>
        <v>1</v>
      </c>
      <c r="O838" t="str">
        <f xml:space="preserve"> VLOOKUP(A838, Lookup_Tables!$G$2:$H$6,2,TRUE)</f>
        <v>25-34</v>
      </c>
      <c r="P838" t="str">
        <f>_xlfn.XLOOKUP(J838,Lookup_Tables!$J$2:$J$4,Lookup_Tables!$K$2:$K$4, " ",-1)</f>
        <v>High</v>
      </c>
      <c r="Q838" t="str">
        <f xml:space="preserve"> _xlfn.XLOOKUP(M838, Lookup_Tables!$M$2:$M$5,Lookup_Tables!$N$2:$N$5," ", -1)</f>
        <v>Veteran (10+)</v>
      </c>
      <c r="R838" s="4">
        <f t="shared" si="27"/>
        <v>2</v>
      </c>
      <c r="S838" t="str">
        <f xml:space="preserve"> _xlfn.XLOOKUP( E838, Lookup_Tables!$A$2:$A$6,Lookup_Tables!$B$2:$B$6," ", -1)</f>
        <v>Below College</v>
      </c>
      <c r="T838" t="str">
        <f>_xlfn.XLOOKUP(G838,Lookup_Tables!$D$2:$D$5,Lookup_Tables!$E$2:$E$5)</f>
        <v>Very High</v>
      </c>
      <c r="U838" t="str">
        <f>_xlfn.XLOOKUP(H838,Lookup_Tables!$D$2:$D$5,Lookup_Tables!$E$2:$E$5)</f>
        <v>Low</v>
      </c>
      <c r="V838" t="str">
        <f>_xlfn.XLOOKUP(L838,Lookup_Tables!$D$2:$D$5,Lookup_Tables!$E$2:$E$5)</f>
        <v>Low</v>
      </c>
    </row>
    <row r="839" spans="1:22">
      <c r="A839">
        <f>RAW_DATA!A839</f>
        <v>40</v>
      </c>
      <c r="B839" t="str">
        <f>RAW_DATA!B839</f>
        <v>No</v>
      </c>
      <c r="C839" t="str">
        <f>RAW_DATA!C839</f>
        <v>Research &amp; Development</v>
      </c>
      <c r="D839">
        <f>RAW_DATA!D839</f>
        <v>9</v>
      </c>
      <c r="E839">
        <f>RAW_DATA!E839</f>
        <v>4</v>
      </c>
      <c r="F839" t="str">
        <f>RAW_DATA!F839</f>
        <v>Medical</v>
      </c>
      <c r="G839">
        <f>RAW_DATA!G839</f>
        <v>2</v>
      </c>
      <c r="H839">
        <f>RAW_DATA!H839</f>
        <v>3</v>
      </c>
      <c r="I839" t="str">
        <f>RAW_DATA!I839</f>
        <v>Single</v>
      </c>
      <c r="J839">
        <f>RAW_DATA!J839</f>
        <v>13499</v>
      </c>
      <c r="K839">
        <f>RAW_DATA!K839</f>
        <v>9</v>
      </c>
      <c r="L839">
        <f>RAW_DATA!L839</f>
        <v>2</v>
      </c>
      <c r="M839">
        <f>RAW_DATA!M839</f>
        <v>18</v>
      </c>
      <c r="N839">
        <f t="shared" si="26"/>
        <v>0</v>
      </c>
      <c r="O839" t="str">
        <f xml:space="preserve"> VLOOKUP(A839, Lookup_Tables!$G$2:$H$6,2,TRUE)</f>
        <v>35-44</v>
      </c>
      <c r="P839" t="str">
        <f>_xlfn.XLOOKUP(J839,Lookup_Tables!$J$2:$J$4,Lookup_Tables!$K$2:$K$4, " ",-1)</f>
        <v>High</v>
      </c>
      <c r="Q839" t="str">
        <f xml:space="preserve"> _xlfn.XLOOKUP(M839, Lookup_Tables!$M$2:$M$5,Lookup_Tables!$N$2:$N$5," ", -1)</f>
        <v>Veteran (10+)</v>
      </c>
      <c r="R839" s="4">
        <f t="shared" si="27"/>
        <v>2.3333333333333335</v>
      </c>
      <c r="S839" t="str">
        <f xml:space="preserve"> _xlfn.XLOOKUP( E839, Lookup_Tables!$A$2:$A$6,Lookup_Tables!$B$2:$B$6," ", -1)</f>
        <v>Master</v>
      </c>
      <c r="T839" t="str">
        <f>_xlfn.XLOOKUP(G839,Lookup_Tables!$D$2:$D$5,Lookup_Tables!$E$2:$E$5)</f>
        <v>Medium</v>
      </c>
      <c r="U839" t="str">
        <f>_xlfn.XLOOKUP(H839,Lookup_Tables!$D$2:$D$5,Lookup_Tables!$E$2:$E$5)</f>
        <v>High</v>
      </c>
      <c r="V839" t="str">
        <f>_xlfn.XLOOKUP(L839,Lookup_Tables!$D$2:$D$5,Lookup_Tables!$E$2:$E$5)</f>
        <v>Medium</v>
      </c>
    </row>
    <row r="840" spans="1:22">
      <c r="A840">
        <f>RAW_DATA!A840</f>
        <v>42</v>
      </c>
      <c r="B840" t="str">
        <f>RAW_DATA!B840</f>
        <v>Yes</v>
      </c>
      <c r="C840" t="str">
        <f>RAW_DATA!C840</f>
        <v>Sales</v>
      </c>
      <c r="D840">
        <f>RAW_DATA!D840</f>
        <v>12</v>
      </c>
      <c r="E840">
        <f>RAW_DATA!E840</f>
        <v>3</v>
      </c>
      <c r="F840" t="str">
        <f>RAW_DATA!F840</f>
        <v>Life Sciences</v>
      </c>
      <c r="G840">
        <f>RAW_DATA!G840</f>
        <v>3</v>
      </c>
      <c r="H840">
        <f>RAW_DATA!H840</f>
        <v>1</v>
      </c>
      <c r="I840" t="str">
        <f>RAW_DATA!I840</f>
        <v>Single</v>
      </c>
      <c r="J840">
        <f>RAW_DATA!J840</f>
        <v>13758</v>
      </c>
      <c r="K840">
        <f>RAW_DATA!K840</f>
        <v>0</v>
      </c>
      <c r="L840">
        <f>RAW_DATA!L840</f>
        <v>2</v>
      </c>
      <c r="M840">
        <f>RAW_DATA!M840</f>
        <v>21</v>
      </c>
      <c r="N840">
        <f t="shared" si="26"/>
        <v>1</v>
      </c>
      <c r="O840" t="str">
        <f xml:space="preserve"> VLOOKUP(A840, Lookup_Tables!$G$2:$H$6,2,TRUE)</f>
        <v>35-44</v>
      </c>
      <c r="P840" t="str">
        <f>_xlfn.XLOOKUP(J840,Lookup_Tables!$J$2:$J$4,Lookup_Tables!$K$2:$K$4, " ",-1)</f>
        <v>High</v>
      </c>
      <c r="Q840" t="str">
        <f xml:space="preserve"> _xlfn.XLOOKUP(M840, Lookup_Tables!$M$2:$M$5,Lookup_Tables!$N$2:$N$5," ", -1)</f>
        <v>Veteran (10+)</v>
      </c>
      <c r="R840" s="4">
        <f t="shared" si="27"/>
        <v>2</v>
      </c>
      <c r="S840" t="str">
        <f xml:space="preserve"> _xlfn.XLOOKUP( E840, Lookup_Tables!$A$2:$A$6,Lookup_Tables!$B$2:$B$6," ", -1)</f>
        <v>Bachelor</v>
      </c>
      <c r="T840" t="str">
        <f>_xlfn.XLOOKUP(G840,Lookup_Tables!$D$2:$D$5,Lookup_Tables!$E$2:$E$5)</f>
        <v>High</v>
      </c>
      <c r="U840" t="str">
        <f>_xlfn.XLOOKUP(H840,Lookup_Tables!$D$2:$D$5,Lookup_Tables!$E$2:$E$5)</f>
        <v>Low</v>
      </c>
      <c r="V840" t="str">
        <f>_xlfn.XLOOKUP(L840,Lookup_Tables!$D$2:$D$5,Lookup_Tables!$E$2:$E$5)</f>
        <v>Medium</v>
      </c>
    </row>
    <row r="841" spans="1:22">
      <c r="A841">
        <f>RAW_DATA!A841</f>
        <v>42</v>
      </c>
      <c r="B841" t="str">
        <f>RAW_DATA!B841</f>
        <v>No</v>
      </c>
      <c r="C841" t="str">
        <f>RAW_DATA!C841</f>
        <v>Sales</v>
      </c>
      <c r="D841">
        <f>RAW_DATA!D841</f>
        <v>4</v>
      </c>
      <c r="E841">
        <f>RAW_DATA!E841</f>
        <v>4</v>
      </c>
      <c r="F841" t="str">
        <f>RAW_DATA!F841</f>
        <v>Marketing</v>
      </c>
      <c r="G841">
        <f>RAW_DATA!G841</f>
        <v>2</v>
      </c>
      <c r="H841">
        <f>RAW_DATA!H841</f>
        <v>1</v>
      </c>
      <c r="I841" t="str">
        <f>RAW_DATA!I841</f>
        <v>Single</v>
      </c>
      <c r="J841">
        <f>RAW_DATA!J841</f>
        <v>5155</v>
      </c>
      <c r="K841">
        <f>RAW_DATA!K841</f>
        <v>7</v>
      </c>
      <c r="L841">
        <f>RAW_DATA!L841</f>
        <v>4</v>
      </c>
      <c r="M841">
        <f>RAW_DATA!M841</f>
        <v>6</v>
      </c>
      <c r="N841">
        <f t="shared" si="26"/>
        <v>0</v>
      </c>
      <c r="O841" t="str">
        <f xml:space="preserve"> VLOOKUP(A841, Lookup_Tables!$G$2:$H$6,2,TRUE)</f>
        <v>35-44</v>
      </c>
      <c r="P841" t="str">
        <f>_xlfn.XLOOKUP(J841,Lookup_Tables!$J$2:$J$4,Lookup_Tables!$K$2:$K$4, " ",-1)</f>
        <v>Medium</v>
      </c>
      <c r="Q841" t="str">
        <f xml:space="preserve"> _xlfn.XLOOKUP(M841, Lookup_Tables!$M$2:$M$5,Lookup_Tables!$N$2:$N$5," ", -1)</f>
        <v>Established (5-10)</v>
      </c>
      <c r="R841" s="4">
        <f t="shared" si="27"/>
        <v>2.3333333333333335</v>
      </c>
      <c r="S841" t="str">
        <f xml:space="preserve"> _xlfn.XLOOKUP( E841, Lookup_Tables!$A$2:$A$6,Lookup_Tables!$B$2:$B$6," ", -1)</f>
        <v>Master</v>
      </c>
      <c r="T841" t="str">
        <f>_xlfn.XLOOKUP(G841,Lookup_Tables!$D$2:$D$5,Lookup_Tables!$E$2:$E$5)</f>
        <v>Medium</v>
      </c>
      <c r="U841" t="str">
        <f>_xlfn.XLOOKUP(H841,Lookup_Tables!$D$2:$D$5,Lookup_Tables!$E$2:$E$5)</f>
        <v>Low</v>
      </c>
      <c r="V841" t="str">
        <f>_xlfn.XLOOKUP(L841,Lookup_Tables!$D$2:$D$5,Lookup_Tables!$E$2:$E$5)</f>
        <v>Very High</v>
      </c>
    </row>
    <row r="842" spans="1:22">
      <c r="A842">
        <f>RAW_DATA!A842</f>
        <v>35</v>
      </c>
      <c r="B842" t="str">
        <f>RAW_DATA!B842</f>
        <v>No</v>
      </c>
      <c r="C842" t="str">
        <f>RAW_DATA!C842</f>
        <v>Research &amp; Development</v>
      </c>
      <c r="D842">
        <f>RAW_DATA!D842</f>
        <v>1</v>
      </c>
      <c r="E842">
        <f>RAW_DATA!E842</f>
        <v>4</v>
      </c>
      <c r="F842" t="str">
        <f>RAW_DATA!F842</f>
        <v>Medical</v>
      </c>
      <c r="G842">
        <f>RAW_DATA!G842</f>
        <v>4</v>
      </c>
      <c r="H842">
        <f>RAW_DATA!H842</f>
        <v>3</v>
      </c>
      <c r="I842" t="str">
        <f>RAW_DATA!I842</f>
        <v>Married</v>
      </c>
      <c r="J842">
        <f>RAW_DATA!J842</f>
        <v>2258</v>
      </c>
      <c r="K842">
        <f>RAW_DATA!K842</f>
        <v>6</v>
      </c>
      <c r="L842">
        <f>RAW_DATA!L842</f>
        <v>3</v>
      </c>
      <c r="M842">
        <f>RAW_DATA!M842</f>
        <v>8</v>
      </c>
      <c r="N842">
        <f t="shared" si="26"/>
        <v>0</v>
      </c>
      <c r="O842" t="str">
        <f xml:space="preserve"> VLOOKUP(A842, Lookup_Tables!$G$2:$H$6,2,TRUE)</f>
        <v>35-44</v>
      </c>
      <c r="P842" t="str">
        <f>_xlfn.XLOOKUP(J842,Lookup_Tables!$J$2:$J$4,Lookup_Tables!$K$2:$K$4, " ",-1)</f>
        <v>Low</v>
      </c>
      <c r="Q842" t="str">
        <f xml:space="preserve"> _xlfn.XLOOKUP(M842, Lookup_Tables!$M$2:$M$5,Lookup_Tables!$N$2:$N$5," ", -1)</f>
        <v>Established (5-10)</v>
      </c>
      <c r="R842" s="4">
        <f t="shared" si="27"/>
        <v>3.3333333333333335</v>
      </c>
      <c r="S842" t="str">
        <f xml:space="preserve"> _xlfn.XLOOKUP( E842, Lookup_Tables!$A$2:$A$6,Lookup_Tables!$B$2:$B$6," ", -1)</f>
        <v>Master</v>
      </c>
      <c r="T842" t="str">
        <f>_xlfn.XLOOKUP(G842,Lookup_Tables!$D$2:$D$5,Lookup_Tables!$E$2:$E$5)</f>
        <v>Very High</v>
      </c>
      <c r="U842" t="str">
        <f>_xlfn.XLOOKUP(H842,Lookup_Tables!$D$2:$D$5,Lookup_Tables!$E$2:$E$5)</f>
        <v>High</v>
      </c>
      <c r="V842" t="str">
        <f>_xlfn.XLOOKUP(L842,Lookup_Tables!$D$2:$D$5,Lookup_Tables!$E$2:$E$5)</f>
        <v>High</v>
      </c>
    </row>
    <row r="843" spans="1:22">
      <c r="A843">
        <f>RAW_DATA!A843</f>
        <v>24</v>
      </c>
      <c r="B843" t="str">
        <f>RAW_DATA!B843</f>
        <v>No</v>
      </c>
      <c r="C843" t="str">
        <f>RAW_DATA!C843</f>
        <v>Research &amp; Development</v>
      </c>
      <c r="D843">
        <f>RAW_DATA!D843</f>
        <v>24</v>
      </c>
      <c r="E843">
        <f>RAW_DATA!E843</f>
        <v>3</v>
      </c>
      <c r="F843" t="str">
        <f>RAW_DATA!F843</f>
        <v>Medical</v>
      </c>
      <c r="G843">
        <f>RAW_DATA!G843</f>
        <v>4</v>
      </c>
      <c r="H843">
        <f>RAW_DATA!H843</f>
        <v>2</v>
      </c>
      <c r="I843" t="str">
        <f>RAW_DATA!I843</f>
        <v>Single</v>
      </c>
      <c r="J843">
        <f>RAW_DATA!J843</f>
        <v>3597</v>
      </c>
      <c r="K843">
        <f>RAW_DATA!K843</f>
        <v>8</v>
      </c>
      <c r="L843">
        <f>RAW_DATA!L843</f>
        <v>3</v>
      </c>
      <c r="M843">
        <f>RAW_DATA!M843</f>
        <v>4</v>
      </c>
      <c r="N843">
        <f t="shared" si="26"/>
        <v>0</v>
      </c>
      <c r="O843" t="str">
        <f xml:space="preserve"> VLOOKUP(A843, Lookup_Tables!$G$2:$H$6,2,TRUE)</f>
        <v>&lt;25</v>
      </c>
      <c r="P843" t="str">
        <f>_xlfn.XLOOKUP(J843,Lookup_Tables!$J$2:$J$4,Lookup_Tables!$K$2:$K$4, " ",-1)</f>
        <v>Medium</v>
      </c>
      <c r="Q843" t="str">
        <f xml:space="preserve"> _xlfn.XLOOKUP(M843, Lookup_Tables!$M$2:$M$5,Lookup_Tables!$N$2:$N$5," ", -1)</f>
        <v>Early (2-5)</v>
      </c>
      <c r="R843" s="4">
        <f t="shared" si="27"/>
        <v>3</v>
      </c>
      <c r="S843" t="str">
        <f xml:space="preserve"> _xlfn.XLOOKUP( E843, Lookup_Tables!$A$2:$A$6,Lookup_Tables!$B$2:$B$6," ", -1)</f>
        <v>Bachelor</v>
      </c>
      <c r="T843" t="str">
        <f>_xlfn.XLOOKUP(G843,Lookup_Tables!$D$2:$D$5,Lookup_Tables!$E$2:$E$5)</f>
        <v>Very High</v>
      </c>
      <c r="U843" t="str">
        <f>_xlfn.XLOOKUP(H843,Lookup_Tables!$D$2:$D$5,Lookup_Tables!$E$2:$E$5)</f>
        <v>Medium</v>
      </c>
      <c r="V843" t="str">
        <f>_xlfn.XLOOKUP(L843,Lookup_Tables!$D$2:$D$5,Lookup_Tables!$E$2:$E$5)</f>
        <v>High</v>
      </c>
    </row>
    <row r="844" spans="1:22">
      <c r="A844">
        <f>RAW_DATA!A844</f>
        <v>28</v>
      </c>
      <c r="B844" t="str">
        <f>RAW_DATA!B844</f>
        <v>Yes</v>
      </c>
      <c r="C844" t="str">
        <f>RAW_DATA!C844</f>
        <v>Research &amp; Development</v>
      </c>
      <c r="D844">
        <f>RAW_DATA!D844</f>
        <v>12</v>
      </c>
      <c r="E844">
        <f>RAW_DATA!E844</f>
        <v>1</v>
      </c>
      <c r="F844" t="str">
        <f>RAW_DATA!F844</f>
        <v>Life Sciences</v>
      </c>
      <c r="G844">
        <f>RAW_DATA!G844</f>
        <v>3</v>
      </c>
      <c r="H844">
        <f>RAW_DATA!H844</f>
        <v>4</v>
      </c>
      <c r="I844" t="str">
        <f>RAW_DATA!I844</f>
        <v>Married</v>
      </c>
      <c r="J844">
        <f>RAW_DATA!J844</f>
        <v>2515</v>
      </c>
      <c r="K844">
        <f>RAW_DATA!K844</f>
        <v>1</v>
      </c>
      <c r="L844">
        <f>RAW_DATA!L844</f>
        <v>2</v>
      </c>
      <c r="M844">
        <f>RAW_DATA!M844</f>
        <v>1</v>
      </c>
      <c r="N844">
        <f t="shared" si="26"/>
        <v>1</v>
      </c>
      <c r="O844" t="str">
        <f xml:space="preserve"> VLOOKUP(A844, Lookup_Tables!$G$2:$H$6,2,TRUE)</f>
        <v>25-34</v>
      </c>
      <c r="P844" t="str">
        <f>_xlfn.XLOOKUP(J844,Lookup_Tables!$J$2:$J$4,Lookup_Tables!$K$2:$K$4, " ",-1)</f>
        <v>Low</v>
      </c>
      <c r="Q844" t="str">
        <f xml:space="preserve"> _xlfn.XLOOKUP(M844, Lookup_Tables!$M$2:$M$5,Lookup_Tables!$N$2:$N$5," ", -1)</f>
        <v>New (0-2)</v>
      </c>
      <c r="R844" s="4">
        <f t="shared" si="27"/>
        <v>3</v>
      </c>
      <c r="S844" t="str">
        <f xml:space="preserve"> _xlfn.XLOOKUP( E844, Lookup_Tables!$A$2:$A$6,Lookup_Tables!$B$2:$B$6," ", -1)</f>
        <v>Below College</v>
      </c>
      <c r="T844" t="str">
        <f>_xlfn.XLOOKUP(G844,Lookup_Tables!$D$2:$D$5,Lookup_Tables!$E$2:$E$5)</f>
        <v>High</v>
      </c>
      <c r="U844" t="str">
        <f>_xlfn.XLOOKUP(H844,Lookup_Tables!$D$2:$D$5,Lookup_Tables!$E$2:$E$5)</f>
        <v>Very High</v>
      </c>
      <c r="V844" t="str">
        <f>_xlfn.XLOOKUP(L844,Lookup_Tables!$D$2:$D$5,Lookup_Tables!$E$2:$E$5)</f>
        <v>Medium</v>
      </c>
    </row>
    <row r="845" spans="1:22">
      <c r="A845">
        <f>RAW_DATA!A845</f>
        <v>26</v>
      </c>
      <c r="B845" t="str">
        <f>RAW_DATA!B845</f>
        <v>No</v>
      </c>
      <c r="C845" t="str">
        <f>RAW_DATA!C845</f>
        <v>Research &amp; Development</v>
      </c>
      <c r="D845">
        <f>RAW_DATA!D845</f>
        <v>3</v>
      </c>
      <c r="E845">
        <f>RAW_DATA!E845</f>
        <v>4</v>
      </c>
      <c r="F845" t="str">
        <f>RAW_DATA!F845</f>
        <v>Medical</v>
      </c>
      <c r="G845">
        <f>RAW_DATA!G845</f>
        <v>1</v>
      </c>
      <c r="H845">
        <f>RAW_DATA!H845</f>
        <v>4</v>
      </c>
      <c r="I845" t="str">
        <f>RAW_DATA!I845</f>
        <v>Married</v>
      </c>
      <c r="J845">
        <f>RAW_DATA!J845</f>
        <v>4420</v>
      </c>
      <c r="K845">
        <f>RAW_DATA!K845</f>
        <v>1</v>
      </c>
      <c r="L845">
        <f>RAW_DATA!L845</f>
        <v>3</v>
      </c>
      <c r="M845">
        <f>RAW_DATA!M845</f>
        <v>8</v>
      </c>
      <c r="N845">
        <f t="shared" si="26"/>
        <v>0</v>
      </c>
      <c r="O845" t="str">
        <f xml:space="preserve"> VLOOKUP(A845, Lookup_Tables!$G$2:$H$6,2,TRUE)</f>
        <v>25-34</v>
      </c>
      <c r="P845" t="str">
        <f>_xlfn.XLOOKUP(J845,Lookup_Tables!$J$2:$J$4,Lookup_Tables!$K$2:$K$4, " ",-1)</f>
        <v>Medium</v>
      </c>
      <c r="Q845" t="str">
        <f xml:space="preserve"> _xlfn.XLOOKUP(M845, Lookup_Tables!$M$2:$M$5,Lookup_Tables!$N$2:$N$5," ", -1)</f>
        <v>Established (5-10)</v>
      </c>
      <c r="R845" s="4">
        <f t="shared" si="27"/>
        <v>2.6666666666666665</v>
      </c>
      <c r="S845" t="str">
        <f xml:space="preserve"> _xlfn.XLOOKUP( E845, Lookup_Tables!$A$2:$A$6,Lookup_Tables!$B$2:$B$6," ", -1)</f>
        <v>Master</v>
      </c>
      <c r="T845" t="str">
        <f>_xlfn.XLOOKUP(G845,Lookup_Tables!$D$2:$D$5,Lookup_Tables!$E$2:$E$5)</f>
        <v>Low</v>
      </c>
      <c r="U845" t="str">
        <f>_xlfn.XLOOKUP(H845,Lookup_Tables!$D$2:$D$5,Lookup_Tables!$E$2:$E$5)</f>
        <v>Very High</v>
      </c>
      <c r="V845" t="str">
        <f>_xlfn.XLOOKUP(L845,Lookup_Tables!$D$2:$D$5,Lookup_Tables!$E$2:$E$5)</f>
        <v>High</v>
      </c>
    </row>
    <row r="846" spans="1:22">
      <c r="A846">
        <f>RAW_DATA!A846</f>
        <v>30</v>
      </c>
      <c r="B846" t="str">
        <f>RAW_DATA!B846</f>
        <v>No</v>
      </c>
      <c r="C846" t="str">
        <f>RAW_DATA!C846</f>
        <v>Sales</v>
      </c>
      <c r="D846">
        <f>RAW_DATA!D846</f>
        <v>10</v>
      </c>
      <c r="E846">
        <f>RAW_DATA!E846</f>
        <v>3</v>
      </c>
      <c r="F846" t="str">
        <f>RAW_DATA!F846</f>
        <v>Marketing</v>
      </c>
      <c r="G846">
        <f>RAW_DATA!G846</f>
        <v>3</v>
      </c>
      <c r="H846">
        <f>RAW_DATA!H846</f>
        <v>3</v>
      </c>
      <c r="I846" t="str">
        <f>RAW_DATA!I846</f>
        <v>Married</v>
      </c>
      <c r="J846">
        <f>RAW_DATA!J846</f>
        <v>6578</v>
      </c>
      <c r="K846">
        <f>RAW_DATA!K846</f>
        <v>1</v>
      </c>
      <c r="L846">
        <f>RAW_DATA!L846</f>
        <v>3</v>
      </c>
      <c r="M846">
        <f>RAW_DATA!M846</f>
        <v>10</v>
      </c>
      <c r="N846">
        <f t="shared" si="26"/>
        <v>0</v>
      </c>
      <c r="O846" t="str">
        <f xml:space="preserve"> VLOOKUP(A846, Lookup_Tables!$G$2:$H$6,2,TRUE)</f>
        <v>25-34</v>
      </c>
      <c r="P846" t="str">
        <f>_xlfn.XLOOKUP(J846,Lookup_Tables!$J$2:$J$4,Lookup_Tables!$K$2:$K$4, " ",-1)</f>
        <v>Medium</v>
      </c>
      <c r="Q846" t="str">
        <f xml:space="preserve"> _xlfn.XLOOKUP(M846, Lookup_Tables!$M$2:$M$5,Lookup_Tables!$N$2:$N$5," ", -1)</f>
        <v>Veteran (10+)</v>
      </c>
      <c r="R846" s="4">
        <f t="shared" si="27"/>
        <v>3</v>
      </c>
      <c r="S846" t="str">
        <f xml:space="preserve"> _xlfn.XLOOKUP( E846, Lookup_Tables!$A$2:$A$6,Lookup_Tables!$B$2:$B$6," ", -1)</f>
        <v>Bachelor</v>
      </c>
      <c r="T846" t="str">
        <f>_xlfn.XLOOKUP(G846,Lookup_Tables!$D$2:$D$5,Lookup_Tables!$E$2:$E$5)</f>
        <v>High</v>
      </c>
      <c r="U846" t="str">
        <f>_xlfn.XLOOKUP(H846,Lookup_Tables!$D$2:$D$5,Lookup_Tables!$E$2:$E$5)</f>
        <v>High</v>
      </c>
      <c r="V846" t="str">
        <f>_xlfn.XLOOKUP(L846,Lookup_Tables!$D$2:$D$5,Lookup_Tables!$E$2:$E$5)</f>
        <v>High</v>
      </c>
    </row>
    <row r="847" spans="1:22">
      <c r="A847">
        <f>RAW_DATA!A847</f>
        <v>40</v>
      </c>
      <c r="B847" t="str">
        <f>RAW_DATA!B847</f>
        <v>No</v>
      </c>
      <c r="C847" t="str">
        <f>RAW_DATA!C847</f>
        <v>Research &amp; Development</v>
      </c>
      <c r="D847">
        <f>RAW_DATA!D847</f>
        <v>26</v>
      </c>
      <c r="E847">
        <f>RAW_DATA!E847</f>
        <v>2</v>
      </c>
      <c r="F847" t="str">
        <f>RAW_DATA!F847</f>
        <v>Medical</v>
      </c>
      <c r="G847">
        <f>RAW_DATA!G847</f>
        <v>3</v>
      </c>
      <c r="H847">
        <f>RAW_DATA!H847</f>
        <v>4</v>
      </c>
      <c r="I847" t="str">
        <f>RAW_DATA!I847</f>
        <v>Married</v>
      </c>
      <c r="J847">
        <f>RAW_DATA!J847</f>
        <v>4422</v>
      </c>
      <c r="K847">
        <f>RAW_DATA!K847</f>
        <v>3</v>
      </c>
      <c r="L847">
        <f>RAW_DATA!L847</f>
        <v>1</v>
      </c>
      <c r="M847">
        <f>RAW_DATA!M847</f>
        <v>1</v>
      </c>
      <c r="N847">
        <f t="shared" si="26"/>
        <v>0</v>
      </c>
      <c r="O847" t="str">
        <f xml:space="preserve"> VLOOKUP(A847, Lookup_Tables!$G$2:$H$6,2,TRUE)</f>
        <v>35-44</v>
      </c>
      <c r="P847" t="str">
        <f>_xlfn.XLOOKUP(J847,Lookup_Tables!$J$2:$J$4,Lookup_Tables!$K$2:$K$4, " ",-1)</f>
        <v>Medium</v>
      </c>
      <c r="Q847" t="str">
        <f xml:space="preserve"> _xlfn.XLOOKUP(M847, Lookup_Tables!$M$2:$M$5,Lookup_Tables!$N$2:$N$5," ", -1)</f>
        <v>New (0-2)</v>
      </c>
      <c r="R847" s="4">
        <f t="shared" si="27"/>
        <v>2.6666666666666665</v>
      </c>
      <c r="S847" t="str">
        <f xml:space="preserve"> _xlfn.XLOOKUP( E847, Lookup_Tables!$A$2:$A$6,Lookup_Tables!$B$2:$B$6," ", -1)</f>
        <v>College</v>
      </c>
      <c r="T847" t="str">
        <f>_xlfn.XLOOKUP(G847,Lookup_Tables!$D$2:$D$5,Lookup_Tables!$E$2:$E$5)</f>
        <v>High</v>
      </c>
      <c r="U847" t="str">
        <f>_xlfn.XLOOKUP(H847,Lookup_Tables!$D$2:$D$5,Lookup_Tables!$E$2:$E$5)</f>
        <v>Very High</v>
      </c>
      <c r="V847" t="str">
        <f>_xlfn.XLOOKUP(L847,Lookup_Tables!$D$2:$D$5,Lookup_Tables!$E$2:$E$5)</f>
        <v>Low</v>
      </c>
    </row>
    <row r="848" spans="1:22">
      <c r="A848">
        <f>RAW_DATA!A848</f>
        <v>35</v>
      </c>
      <c r="B848" t="str">
        <f>RAW_DATA!B848</f>
        <v>No</v>
      </c>
      <c r="C848" t="str">
        <f>RAW_DATA!C848</f>
        <v>Research &amp; Development</v>
      </c>
      <c r="D848">
        <f>RAW_DATA!D848</f>
        <v>2</v>
      </c>
      <c r="E848">
        <f>RAW_DATA!E848</f>
        <v>3</v>
      </c>
      <c r="F848" t="str">
        <f>RAW_DATA!F848</f>
        <v>Life Sciences</v>
      </c>
      <c r="G848">
        <f>RAW_DATA!G848</f>
        <v>3</v>
      </c>
      <c r="H848">
        <f>RAW_DATA!H848</f>
        <v>2</v>
      </c>
      <c r="I848" t="str">
        <f>RAW_DATA!I848</f>
        <v>Divorced</v>
      </c>
      <c r="J848">
        <f>RAW_DATA!J848</f>
        <v>10274</v>
      </c>
      <c r="K848">
        <f>RAW_DATA!K848</f>
        <v>2</v>
      </c>
      <c r="L848">
        <f>RAW_DATA!L848</f>
        <v>4</v>
      </c>
      <c r="M848">
        <f>RAW_DATA!M848</f>
        <v>7</v>
      </c>
      <c r="N848">
        <f t="shared" si="26"/>
        <v>0</v>
      </c>
      <c r="O848" t="str">
        <f xml:space="preserve"> VLOOKUP(A848, Lookup_Tables!$G$2:$H$6,2,TRUE)</f>
        <v>35-44</v>
      </c>
      <c r="P848" t="str">
        <f>_xlfn.XLOOKUP(J848,Lookup_Tables!$J$2:$J$4,Lookup_Tables!$K$2:$K$4, " ",-1)</f>
        <v>High</v>
      </c>
      <c r="Q848" t="str">
        <f xml:space="preserve"> _xlfn.XLOOKUP(M848, Lookup_Tables!$M$2:$M$5,Lookup_Tables!$N$2:$N$5," ", -1)</f>
        <v>Established (5-10)</v>
      </c>
      <c r="R848" s="4">
        <f t="shared" si="27"/>
        <v>3</v>
      </c>
      <c r="S848" t="str">
        <f xml:space="preserve"> _xlfn.XLOOKUP( E848, Lookup_Tables!$A$2:$A$6,Lookup_Tables!$B$2:$B$6," ", -1)</f>
        <v>Bachelor</v>
      </c>
      <c r="T848" t="str">
        <f>_xlfn.XLOOKUP(G848,Lookup_Tables!$D$2:$D$5,Lookup_Tables!$E$2:$E$5)</f>
        <v>High</v>
      </c>
      <c r="U848" t="str">
        <f>_xlfn.XLOOKUP(H848,Lookup_Tables!$D$2:$D$5,Lookup_Tables!$E$2:$E$5)</f>
        <v>Medium</v>
      </c>
      <c r="V848" t="str">
        <f>_xlfn.XLOOKUP(L848,Lookup_Tables!$D$2:$D$5,Lookup_Tables!$E$2:$E$5)</f>
        <v>Very High</v>
      </c>
    </row>
    <row r="849" spans="1:22">
      <c r="A849">
        <f>RAW_DATA!A849</f>
        <v>34</v>
      </c>
      <c r="B849" t="str">
        <f>RAW_DATA!B849</f>
        <v>No</v>
      </c>
      <c r="C849" t="str">
        <f>RAW_DATA!C849</f>
        <v>Research &amp; Development</v>
      </c>
      <c r="D849">
        <f>RAW_DATA!D849</f>
        <v>1</v>
      </c>
      <c r="E849">
        <f>RAW_DATA!E849</f>
        <v>3</v>
      </c>
      <c r="F849" t="str">
        <f>RAW_DATA!F849</f>
        <v>Medical</v>
      </c>
      <c r="G849">
        <f>RAW_DATA!G849</f>
        <v>4</v>
      </c>
      <c r="H849">
        <f>RAW_DATA!H849</f>
        <v>1</v>
      </c>
      <c r="I849" t="str">
        <f>RAW_DATA!I849</f>
        <v>Single</v>
      </c>
      <c r="J849">
        <f>RAW_DATA!J849</f>
        <v>5343</v>
      </c>
      <c r="K849">
        <f>RAW_DATA!K849</f>
        <v>0</v>
      </c>
      <c r="L849">
        <f>RAW_DATA!L849</f>
        <v>3</v>
      </c>
      <c r="M849">
        <f>RAW_DATA!M849</f>
        <v>13</v>
      </c>
      <c r="N849">
        <f t="shared" si="26"/>
        <v>0</v>
      </c>
      <c r="O849" t="str">
        <f xml:space="preserve"> VLOOKUP(A849, Lookup_Tables!$G$2:$H$6,2,TRUE)</f>
        <v>25-34</v>
      </c>
      <c r="P849" t="str">
        <f>_xlfn.XLOOKUP(J849,Lookup_Tables!$J$2:$J$4,Lookup_Tables!$K$2:$K$4, " ",-1)</f>
        <v>Medium</v>
      </c>
      <c r="Q849" t="str">
        <f xml:space="preserve"> _xlfn.XLOOKUP(M849, Lookup_Tables!$M$2:$M$5,Lookup_Tables!$N$2:$N$5," ", -1)</f>
        <v>Veteran (10+)</v>
      </c>
      <c r="R849" s="4">
        <f t="shared" si="27"/>
        <v>2.6666666666666665</v>
      </c>
      <c r="S849" t="str">
        <f xml:space="preserve"> _xlfn.XLOOKUP( E849, Lookup_Tables!$A$2:$A$6,Lookup_Tables!$B$2:$B$6," ", -1)</f>
        <v>Bachelor</v>
      </c>
      <c r="T849" t="str">
        <f>_xlfn.XLOOKUP(G849,Lookup_Tables!$D$2:$D$5,Lookup_Tables!$E$2:$E$5)</f>
        <v>Very High</v>
      </c>
      <c r="U849" t="str">
        <f>_xlfn.XLOOKUP(H849,Lookup_Tables!$D$2:$D$5,Lookup_Tables!$E$2:$E$5)</f>
        <v>Low</v>
      </c>
      <c r="V849" t="str">
        <f>_xlfn.XLOOKUP(L849,Lookup_Tables!$D$2:$D$5,Lookup_Tables!$E$2:$E$5)</f>
        <v>High</v>
      </c>
    </row>
    <row r="850" spans="1:22">
      <c r="A850">
        <f>RAW_DATA!A850</f>
        <v>35</v>
      </c>
      <c r="B850" t="str">
        <f>RAW_DATA!B850</f>
        <v>No</v>
      </c>
      <c r="C850" t="str">
        <f>RAW_DATA!C850</f>
        <v>Research &amp; Development</v>
      </c>
      <c r="D850">
        <f>RAW_DATA!D850</f>
        <v>4</v>
      </c>
      <c r="E850">
        <f>RAW_DATA!E850</f>
        <v>4</v>
      </c>
      <c r="F850" t="str">
        <f>RAW_DATA!F850</f>
        <v>Other</v>
      </c>
      <c r="G850">
        <f>RAW_DATA!G850</f>
        <v>4</v>
      </c>
      <c r="H850">
        <f>RAW_DATA!H850</f>
        <v>4</v>
      </c>
      <c r="I850" t="str">
        <f>RAW_DATA!I850</f>
        <v>Married</v>
      </c>
      <c r="J850">
        <f>RAW_DATA!J850</f>
        <v>2376</v>
      </c>
      <c r="K850">
        <f>RAW_DATA!K850</f>
        <v>1</v>
      </c>
      <c r="L850">
        <f>RAW_DATA!L850</f>
        <v>4</v>
      </c>
      <c r="M850">
        <f>RAW_DATA!M850</f>
        <v>2</v>
      </c>
      <c r="N850">
        <f t="shared" si="26"/>
        <v>0</v>
      </c>
      <c r="O850" t="str">
        <f xml:space="preserve"> VLOOKUP(A850, Lookup_Tables!$G$2:$H$6,2,TRUE)</f>
        <v>35-44</v>
      </c>
      <c r="P850" t="str">
        <f>_xlfn.XLOOKUP(J850,Lookup_Tables!$J$2:$J$4,Lookup_Tables!$K$2:$K$4, " ",-1)</f>
        <v>Low</v>
      </c>
      <c r="Q850" t="str">
        <f xml:space="preserve"> _xlfn.XLOOKUP(M850, Lookup_Tables!$M$2:$M$5,Lookup_Tables!$N$2:$N$5," ", -1)</f>
        <v>Early (2-5)</v>
      </c>
      <c r="R850" s="4">
        <f t="shared" si="27"/>
        <v>4</v>
      </c>
      <c r="S850" t="str">
        <f xml:space="preserve"> _xlfn.XLOOKUP( E850, Lookup_Tables!$A$2:$A$6,Lookup_Tables!$B$2:$B$6," ", -1)</f>
        <v>Master</v>
      </c>
      <c r="T850" t="str">
        <f>_xlfn.XLOOKUP(G850,Lookup_Tables!$D$2:$D$5,Lookup_Tables!$E$2:$E$5)</f>
        <v>Very High</v>
      </c>
      <c r="U850" t="str">
        <f>_xlfn.XLOOKUP(H850,Lookup_Tables!$D$2:$D$5,Lookup_Tables!$E$2:$E$5)</f>
        <v>Very High</v>
      </c>
      <c r="V850" t="str">
        <f>_xlfn.XLOOKUP(L850,Lookup_Tables!$D$2:$D$5,Lookup_Tables!$E$2:$E$5)</f>
        <v>Very High</v>
      </c>
    </row>
    <row r="851" spans="1:22">
      <c r="A851">
        <f>RAW_DATA!A851</f>
        <v>43</v>
      </c>
      <c r="B851" t="str">
        <f>RAW_DATA!B851</f>
        <v>Yes</v>
      </c>
      <c r="C851" t="str">
        <f>RAW_DATA!C851</f>
        <v>Sales</v>
      </c>
      <c r="D851">
        <f>RAW_DATA!D851</f>
        <v>9</v>
      </c>
      <c r="E851">
        <f>RAW_DATA!E851</f>
        <v>3</v>
      </c>
      <c r="F851" t="str">
        <f>RAW_DATA!F851</f>
        <v>Marketing</v>
      </c>
      <c r="G851">
        <f>RAW_DATA!G851</f>
        <v>1</v>
      </c>
      <c r="H851">
        <f>RAW_DATA!H851</f>
        <v>3</v>
      </c>
      <c r="I851" t="str">
        <f>RAW_DATA!I851</f>
        <v>Single</v>
      </c>
      <c r="J851">
        <f>RAW_DATA!J851</f>
        <v>5346</v>
      </c>
      <c r="K851">
        <f>RAW_DATA!K851</f>
        <v>8</v>
      </c>
      <c r="L851">
        <f>RAW_DATA!L851</f>
        <v>2</v>
      </c>
      <c r="M851">
        <f>RAW_DATA!M851</f>
        <v>4</v>
      </c>
      <c r="N851">
        <f t="shared" si="26"/>
        <v>1</v>
      </c>
      <c r="O851" t="str">
        <f xml:space="preserve"> VLOOKUP(A851, Lookup_Tables!$G$2:$H$6,2,TRUE)</f>
        <v>35-44</v>
      </c>
      <c r="P851" t="str">
        <f>_xlfn.XLOOKUP(J851,Lookup_Tables!$J$2:$J$4,Lookup_Tables!$K$2:$K$4, " ",-1)</f>
        <v>Medium</v>
      </c>
      <c r="Q851" t="str">
        <f xml:space="preserve"> _xlfn.XLOOKUP(M851, Lookup_Tables!$M$2:$M$5,Lookup_Tables!$N$2:$N$5," ", -1)</f>
        <v>Early (2-5)</v>
      </c>
      <c r="R851" s="4">
        <f t="shared" si="27"/>
        <v>2</v>
      </c>
      <c r="S851" t="str">
        <f xml:space="preserve"> _xlfn.XLOOKUP( E851, Lookup_Tables!$A$2:$A$6,Lookup_Tables!$B$2:$B$6," ", -1)</f>
        <v>Bachelor</v>
      </c>
      <c r="T851" t="str">
        <f>_xlfn.XLOOKUP(G851,Lookup_Tables!$D$2:$D$5,Lookup_Tables!$E$2:$E$5)</f>
        <v>Low</v>
      </c>
      <c r="U851" t="str">
        <f>_xlfn.XLOOKUP(H851,Lookup_Tables!$D$2:$D$5,Lookup_Tables!$E$2:$E$5)</f>
        <v>High</v>
      </c>
      <c r="V851" t="str">
        <f>_xlfn.XLOOKUP(L851,Lookup_Tables!$D$2:$D$5,Lookup_Tables!$E$2:$E$5)</f>
        <v>Medium</v>
      </c>
    </row>
    <row r="852" spans="1:22">
      <c r="A852">
        <f>RAW_DATA!A852</f>
        <v>32</v>
      </c>
      <c r="B852" t="str">
        <f>RAW_DATA!B852</f>
        <v>No</v>
      </c>
      <c r="C852" t="str">
        <f>RAW_DATA!C852</f>
        <v>Sales</v>
      </c>
      <c r="D852">
        <f>RAW_DATA!D852</f>
        <v>2</v>
      </c>
      <c r="E852">
        <f>RAW_DATA!E852</f>
        <v>1</v>
      </c>
      <c r="F852" t="str">
        <f>RAW_DATA!F852</f>
        <v>Life Sciences</v>
      </c>
      <c r="G852">
        <f>RAW_DATA!G852</f>
        <v>3</v>
      </c>
      <c r="H852">
        <f>RAW_DATA!H852</f>
        <v>1</v>
      </c>
      <c r="I852" t="str">
        <f>RAW_DATA!I852</f>
        <v>Divorced</v>
      </c>
      <c r="J852">
        <f>RAW_DATA!J852</f>
        <v>2827</v>
      </c>
      <c r="K852">
        <f>RAW_DATA!K852</f>
        <v>1</v>
      </c>
      <c r="L852">
        <f>RAW_DATA!L852</f>
        <v>3</v>
      </c>
      <c r="M852">
        <f>RAW_DATA!M852</f>
        <v>1</v>
      </c>
      <c r="N852">
        <f t="shared" si="26"/>
        <v>0</v>
      </c>
      <c r="O852" t="str">
        <f xml:space="preserve"> VLOOKUP(A852, Lookup_Tables!$G$2:$H$6,2,TRUE)</f>
        <v>25-34</v>
      </c>
      <c r="P852" t="str">
        <f>_xlfn.XLOOKUP(J852,Lookup_Tables!$J$2:$J$4,Lookup_Tables!$K$2:$K$4, " ",-1)</f>
        <v>Low</v>
      </c>
      <c r="Q852" t="str">
        <f xml:space="preserve"> _xlfn.XLOOKUP(M852, Lookup_Tables!$M$2:$M$5,Lookup_Tables!$N$2:$N$5," ", -1)</f>
        <v>New (0-2)</v>
      </c>
      <c r="R852" s="4">
        <f t="shared" si="27"/>
        <v>2.3333333333333335</v>
      </c>
      <c r="S852" t="str">
        <f xml:space="preserve"> _xlfn.XLOOKUP( E852, Lookup_Tables!$A$2:$A$6,Lookup_Tables!$B$2:$B$6," ", -1)</f>
        <v>Below College</v>
      </c>
      <c r="T852" t="str">
        <f>_xlfn.XLOOKUP(G852,Lookup_Tables!$D$2:$D$5,Lookup_Tables!$E$2:$E$5)</f>
        <v>High</v>
      </c>
      <c r="U852" t="str">
        <f>_xlfn.XLOOKUP(H852,Lookup_Tables!$D$2:$D$5,Lookup_Tables!$E$2:$E$5)</f>
        <v>Low</v>
      </c>
      <c r="V852" t="str">
        <f>_xlfn.XLOOKUP(L852,Lookup_Tables!$D$2:$D$5,Lookup_Tables!$E$2:$E$5)</f>
        <v>High</v>
      </c>
    </row>
    <row r="853" spans="1:22">
      <c r="A853">
        <f>RAW_DATA!A853</f>
        <v>56</v>
      </c>
      <c r="B853" t="str">
        <f>RAW_DATA!B853</f>
        <v>No</v>
      </c>
      <c r="C853" t="str">
        <f>RAW_DATA!C853</f>
        <v>Research &amp; Development</v>
      </c>
      <c r="D853">
        <f>RAW_DATA!D853</f>
        <v>4</v>
      </c>
      <c r="E853">
        <f>RAW_DATA!E853</f>
        <v>4</v>
      </c>
      <c r="F853" t="str">
        <f>RAW_DATA!F853</f>
        <v>Technical Degree</v>
      </c>
      <c r="G853">
        <f>RAW_DATA!G853</f>
        <v>4</v>
      </c>
      <c r="H853">
        <f>RAW_DATA!H853</f>
        <v>1</v>
      </c>
      <c r="I853" t="str">
        <f>RAW_DATA!I853</f>
        <v>Divorced</v>
      </c>
      <c r="J853">
        <f>RAW_DATA!J853</f>
        <v>19943</v>
      </c>
      <c r="K853">
        <f>RAW_DATA!K853</f>
        <v>4</v>
      </c>
      <c r="L853">
        <f>RAW_DATA!L853</f>
        <v>3</v>
      </c>
      <c r="M853">
        <f>RAW_DATA!M853</f>
        <v>5</v>
      </c>
      <c r="N853">
        <f t="shared" si="26"/>
        <v>0</v>
      </c>
      <c r="O853" t="str">
        <f xml:space="preserve"> VLOOKUP(A853, Lookup_Tables!$G$2:$H$6,2,TRUE)</f>
        <v>55+</v>
      </c>
      <c r="P853" t="str">
        <f>_xlfn.XLOOKUP(J853,Lookup_Tables!$J$2:$J$4,Lookup_Tables!$K$2:$K$4, " ",-1)</f>
        <v>High</v>
      </c>
      <c r="Q853" t="str">
        <f xml:space="preserve"> _xlfn.XLOOKUP(M853, Lookup_Tables!$M$2:$M$5,Lookup_Tables!$N$2:$N$5," ", -1)</f>
        <v>Established (5-10)</v>
      </c>
      <c r="R853" s="4">
        <f t="shared" si="27"/>
        <v>2.6666666666666665</v>
      </c>
      <c r="S853" t="str">
        <f xml:space="preserve"> _xlfn.XLOOKUP( E853, Lookup_Tables!$A$2:$A$6,Lookup_Tables!$B$2:$B$6," ", -1)</f>
        <v>Master</v>
      </c>
      <c r="T853" t="str">
        <f>_xlfn.XLOOKUP(G853,Lookup_Tables!$D$2:$D$5,Lookup_Tables!$E$2:$E$5)</f>
        <v>Very High</v>
      </c>
      <c r="U853" t="str">
        <f>_xlfn.XLOOKUP(H853,Lookup_Tables!$D$2:$D$5,Lookup_Tables!$E$2:$E$5)</f>
        <v>Low</v>
      </c>
      <c r="V853" t="str">
        <f>_xlfn.XLOOKUP(L853,Lookup_Tables!$D$2:$D$5,Lookup_Tables!$E$2:$E$5)</f>
        <v>High</v>
      </c>
    </row>
    <row r="854" spans="1:22">
      <c r="A854">
        <f>RAW_DATA!A854</f>
        <v>29</v>
      </c>
      <c r="B854" t="str">
        <f>RAW_DATA!B854</f>
        <v>No</v>
      </c>
      <c r="C854" t="str">
        <f>RAW_DATA!C854</f>
        <v>Research &amp; Development</v>
      </c>
      <c r="D854">
        <f>RAW_DATA!D854</f>
        <v>6</v>
      </c>
      <c r="E854">
        <f>RAW_DATA!E854</f>
        <v>1</v>
      </c>
      <c r="F854" t="str">
        <f>RAW_DATA!F854</f>
        <v>Medical</v>
      </c>
      <c r="G854">
        <f>RAW_DATA!G854</f>
        <v>2</v>
      </c>
      <c r="H854">
        <f>RAW_DATA!H854</f>
        <v>4</v>
      </c>
      <c r="I854" t="str">
        <f>RAW_DATA!I854</f>
        <v>Married</v>
      </c>
      <c r="J854">
        <f>RAW_DATA!J854</f>
        <v>3131</v>
      </c>
      <c r="K854">
        <f>RAW_DATA!K854</f>
        <v>1</v>
      </c>
      <c r="L854">
        <f>RAW_DATA!L854</f>
        <v>3</v>
      </c>
      <c r="M854">
        <f>RAW_DATA!M854</f>
        <v>10</v>
      </c>
      <c r="N854">
        <f t="shared" si="26"/>
        <v>0</v>
      </c>
      <c r="O854" t="str">
        <f xml:space="preserve"> VLOOKUP(A854, Lookup_Tables!$G$2:$H$6,2,TRUE)</f>
        <v>25-34</v>
      </c>
      <c r="P854" t="str">
        <f>_xlfn.XLOOKUP(J854,Lookup_Tables!$J$2:$J$4,Lookup_Tables!$K$2:$K$4, " ",-1)</f>
        <v>Medium</v>
      </c>
      <c r="Q854" t="str">
        <f xml:space="preserve"> _xlfn.XLOOKUP(M854, Lookup_Tables!$M$2:$M$5,Lookup_Tables!$N$2:$N$5," ", -1)</f>
        <v>Veteran (10+)</v>
      </c>
      <c r="R854" s="4">
        <f t="shared" si="27"/>
        <v>3</v>
      </c>
      <c r="S854" t="str">
        <f xml:space="preserve"> _xlfn.XLOOKUP( E854, Lookup_Tables!$A$2:$A$6,Lookup_Tables!$B$2:$B$6," ", -1)</f>
        <v>Below College</v>
      </c>
      <c r="T854" t="str">
        <f>_xlfn.XLOOKUP(G854,Lookup_Tables!$D$2:$D$5,Lookup_Tables!$E$2:$E$5)</f>
        <v>Medium</v>
      </c>
      <c r="U854" t="str">
        <f>_xlfn.XLOOKUP(H854,Lookup_Tables!$D$2:$D$5,Lookup_Tables!$E$2:$E$5)</f>
        <v>Very High</v>
      </c>
      <c r="V854" t="str">
        <f>_xlfn.XLOOKUP(L854,Lookup_Tables!$D$2:$D$5,Lookup_Tables!$E$2:$E$5)</f>
        <v>High</v>
      </c>
    </row>
    <row r="855" spans="1:22">
      <c r="A855">
        <f>RAW_DATA!A855</f>
        <v>19</v>
      </c>
      <c r="B855" t="str">
        <f>RAW_DATA!B855</f>
        <v>No</v>
      </c>
      <c r="C855" t="str">
        <f>RAW_DATA!C855</f>
        <v>Research &amp; Development</v>
      </c>
      <c r="D855">
        <f>RAW_DATA!D855</f>
        <v>9</v>
      </c>
      <c r="E855">
        <f>RAW_DATA!E855</f>
        <v>2</v>
      </c>
      <c r="F855" t="str">
        <f>RAW_DATA!F855</f>
        <v>Life Sciences</v>
      </c>
      <c r="G855">
        <f>RAW_DATA!G855</f>
        <v>3</v>
      </c>
      <c r="H855">
        <f>RAW_DATA!H855</f>
        <v>1</v>
      </c>
      <c r="I855" t="str">
        <f>RAW_DATA!I855</f>
        <v>Single</v>
      </c>
      <c r="J855">
        <f>RAW_DATA!J855</f>
        <v>2552</v>
      </c>
      <c r="K855">
        <f>RAW_DATA!K855</f>
        <v>1</v>
      </c>
      <c r="L855">
        <f>RAW_DATA!L855</f>
        <v>3</v>
      </c>
      <c r="M855">
        <f>RAW_DATA!M855</f>
        <v>1</v>
      </c>
      <c r="N855">
        <f t="shared" si="26"/>
        <v>0</v>
      </c>
      <c r="O855" t="str">
        <f xml:space="preserve"> VLOOKUP(A855, Lookup_Tables!$G$2:$H$6,2,TRUE)</f>
        <v>&lt;25</v>
      </c>
      <c r="P855" t="str">
        <f>_xlfn.XLOOKUP(J855,Lookup_Tables!$J$2:$J$4,Lookup_Tables!$K$2:$K$4, " ",-1)</f>
        <v>Low</v>
      </c>
      <c r="Q855" t="str">
        <f xml:space="preserve"> _xlfn.XLOOKUP(M855, Lookup_Tables!$M$2:$M$5,Lookup_Tables!$N$2:$N$5," ", -1)</f>
        <v>New (0-2)</v>
      </c>
      <c r="R855" s="4">
        <f t="shared" si="27"/>
        <v>2.3333333333333335</v>
      </c>
      <c r="S855" t="str">
        <f xml:space="preserve"> _xlfn.XLOOKUP( E855, Lookup_Tables!$A$2:$A$6,Lookup_Tables!$B$2:$B$6," ", -1)</f>
        <v>College</v>
      </c>
      <c r="T855" t="str">
        <f>_xlfn.XLOOKUP(G855,Lookup_Tables!$D$2:$D$5,Lookup_Tables!$E$2:$E$5)</f>
        <v>High</v>
      </c>
      <c r="U855" t="str">
        <f>_xlfn.XLOOKUP(H855,Lookup_Tables!$D$2:$D$5,Lookup_Tables!$E$2:$E$5)</f>
        <v>Low</v>
      </c>
      <c r="V855" t="str">
        <f>_xlfn.XLOOKUP(L855,Lookup_Tables!$D$2:$D$5,Lookup_Tables!$E$2:$E$5)</f>
        <v>High</v>
      </c>
    </row>
    <row r="856" spans="1:22">
      <c r="A856">
        <f>RAW_DATA!A856</f>
        <v>45</v>
      </c>
      <c r="B856" t="str">
        <f>RAW_DATA!B856</f>
        <v>No</v>
      </c>
      <c r="C856" t="str">
        <f>RAW_DATA!C856</f>
        <v>Research &amp; Development</v>
      </c>
      <c r="D856">
        <f>RAW_DATA!D856</f>
        <v>7</v>
      </c>
      <c r="E856">
        <f>RAW_DATA!E856</f>
        <v>3</v>
      </c>
      <c r="F856" t="str">
        <f>RAW_DATA!F856</f>
        <v>Medical</v>
      </c>
      <c r="G856">
        <f>RAW_DATA!G856</f>
        <v>1</v>
      </c>
      <c r="H856">
        <f>RAW_DATA!H856</f>
        <v>3</v>
      </c>
      <c r="I856" t="str">
        <f>RAW_DATA!I856</f>
        <v>Married</v>
      </c>
      <c r="J856">
        <f>RAW_DATA!J856</f>
        <v>4477</v>
      </c>
      <c r="K856">
        <f>RAW_DATA!K856</f>
        <v>4</v>
      </c>
      <c r="L856">
        <f>RAW_DATA!L856</f>
        <v>2</v>
      </c>
      <c r="M856">
        <f>RAW_DATA!M856</f>
        <v>3</v>
      </c>
      <c r="N856">
        <f t="shared" si="26"/>
        <v>0</v>
      </c>
      <c r="O856" t="str">
        <f xml:space="preserve"> VLOOKUP(A856, Lookup_Tables!$G$2:$H$6,2,TRUE)</f>
        <v>45-54</v>
      </c>
      <c r="P856" t="str">
        <f>_xlfn.XLOOKUP(J856,Lookup_Tables!$J$2:$J$4,Lookup_Tables!$K$2:$K$4, " ",-1)</f>
        <v>Medium</v>
      </c>
      <c r="Q856" t="str">
        <f xml:space="preserve"> _xlfn.XLOOKUP(M856, Lookup_Tables!$M$2:$M$5,Lookup_Tables!$N$2:$N$5," ", -1)</f>
        <v>Early (2-5)</v>
      </c>
      <c r="R856" s="4">
        <f t="shared" si="27"/>
        <v>2</v>
      </c>
      <c r="S856" t="str">
        <f xml:space="preserve"> _xlfn.XLOOKUP( E856, Lookup_Tables!$A$2:$A$6,Lookup_Tables!$B$2:$B$6," ", -1)</f>
        <v>Bachelor</v>
      </c>
      <c r="T856" t="str">
        <f>_xlfn.XLOOKUP(G856,Lookup_Tables!$D$2:$D$5,Lookup_Tables!$E$2:$E$5)</f>
        <v>Low</v>
      </c>
      <c r="U856" t="str">
        <f>_xlfn.XLOOKUP(H856,Lookup_Tables!$D$2:$D$5,Lookup_Tables!$E$2:$E$5)</f>
        <v>High</v>
      </c>
      <c r="V856" t="str">
        <f>_xlfn.XLOOKUP(L856,Lookup_Tables!$D$2:$D$5,Lookup_Tables!$E$2:$E$5)</f>
        <v>Medium</v>
      </c>
    </row>
    <row r="857" spans="1:22">
      <c r="A857">
        <f>RAW_DATA!A857</f>
        <v>37</v>
      </c>
      <c r="B857" t="str">
        <f>RAW_DATA!B857</f>
        <v>No</v>
      </c>
      <c r="C857" t="str">
        <f>RAW_DATA!C857</f>
        <v>Research &amp; Development</v>
      </c>
      <c r="D857">
        <f>RAW_DATA!D857</f>
        <v>1</v>
      </c>
      <c r="E857">
        <f>RAW_DATA!E857</f>
        <v>3</v>
      </c>
      <c r="F857" t="str">
        <f>RAW_DATA!F857</f>
        <v>Life Sciences</v>
      </c>
      <c r="G857">
        <f>RAW_DATA!G857</f>
        <v>4</v>
      </c>
      <c r="H857">
        <f>RAW_DATA!H857</f>
        <v>4</v>
      </c>
      <c r="I857" t="str">
        <f>RAW_DATA!I857</f>
        <v>Married</v>
      </c>
      <c r="J857">
        <f>RAW_DATA!J857</f>
        <v>6474</v>
      </c>
      <c r="K857">
        <f>RAW_DATA!K857</f>
        <v>1</v>
      </c>
      <c r="L857">
        <f>RAW_DATA!L857</f>
        <v>2</v>
      </c>
      <c r="M857">
        <f>RAW_DATA!M857</f>
        <v>14</v>
      </c>
      <c r="N857">
        <f t="shared" si="26"/>
        <v>0</v>
      </c>
      <c r="O857" t="str">
        <f xml:space="preserve"> VLOOKUP(A857, Lookup_Tables!$G$2:$H$6,2,TRUE)</f>
        <v>35-44</v>
      </c>
      <c r="P857" t="str">
        <f>_xlfn.XLOOKUP(J857,Lookup_Tables!$J$2:$J$4,Lookup_Tables!$K$2:$K$4, " ",-1)</f>
        <v>Medium</v>
      </c>
      <c r="Q857" t="str">
        <f xml:space="preserve"> _xlfn.XLOOKUP(M857, Lookup_Tables!$M$2:$M$5,Lookup_Tables!$N$2:$N$5," ", -1)</f>
        <v>Veteran (10+)</v>
      </c>
      <c r="R857" s="4">
        <f t="shared" si="27"/>
        <v>3.3333333333333335</v>
      </c>
      <c r="S857" t="str">
        <f xml:space="preserve"> _xlfn.XLOOKUP( E857, Lookup_Tables!$A$2:$A$6,Lookup_Tables!$B$2:$B$6," ", -1)</f>
        <v>Bachelor</v>
      </c>
      <c r="T857" t="str">
        <f>_xlfn.XLOOKUP(G857,Lookup_Tables!$D$2:$D$5,Lookup_Tables!$E$2:$E$5)</f>
        <v>Very High</v>
      </c>
      <c r="U857" t="str">
        <f>_xlfn.XLOOKUP(H857,Lookup_Tables!$D$2:$D$5,Lookup_Tables!$E$2:$E$5)</f>
        <v>Very High</v>
      </c>
      <c r="V857" t="str">
        <f>_xlfn.XLOOKUP(L857,Lookup_Tables!$D$2:$D$5,Lookup_Tables!$E$2:$E$5)</f>
        <v>Medium</v>
      </c>
    </row>
    <row r="858" spans="1:22">
      <c r="A858">
        <f>RAW_DATA!A858</f>
        <v>20</v>
      </c>
      <c r="B858" t="str">
        <f>RAW_DATA!B858</f>
        <v>No</v>
      </c>
      <c r="C858" t="str">
        <f>RAW_DATA!C858</f>
        <v>Research &amp; Development</v>
      </c>
      <c r="D858">
        <f>RAW_DATA!D858</f>
        <v>3</v>
      </c>
      <c r="E858">
        <f>RAW_DATA!E858</f>
        <v>3</v>
      </c>
      <c r="F858" t="str">
        <f>RAW_DATA!F858</f>
        <v>Life Sciences</v>
      </c>
      <c r="G858">
        <f>RAW_DATA!G858</f>
        <v>1</v>
      </c>
      <c r="H858">
        <f>RAW_DATA!H858</f>
        <v>3</v>
      </c>
      <c r="I858" t="str">
        <f>RAW_DATA!I858</f>
        <v>Single</v>
      </c>
      <c r="J858">
        <f>RAW_DATA!J858</f>
        <v>3033</v>
      </c>
      <c r="K858">
        <f>RAW_DATA!K858</f>
        <v>1</v>
      </c>
      <c r="L858">
        <f>RAW_DATA!L858</f>
        <v>2</v>
      </c>
      <c r="M858">
        <f>RAW_DATA!M858</f>
        <v>2</v>
      </c>
      <c r="N858">
        <f t="shared" si="26"/>
        <v>0</v>
      </c>
      <c r="O858" t="str">
        <f xml:space="preserve"> VLOOKUP(A858, Lookup_Tables!$G$2:$H$6,2,TRUE)</f>
        <v>&lt;25</v>
      </c>
      <c r="P858" t="str">
        <f>_xlfn.XLOOKUP(J858,Lookup_Tables!$J$2:$J$4,Lookup_Tables!$K$2:$K$4, " ",-1)</f>
        <v>Medium</v>
      </c>
      <c r="Q858" t="str">
        <f xml:space="preserve"> _xlfn.XLOOKUP(M858, Lookup_Tables!$M$2:$M$5,Lookup_Tables!$N$2:$N$5," ", -1)</f>
        <v>Early (2-5)</v>
      </c>
      <c r="R858" s="4">
        <f t="shared" si="27"/>
        <v>2</v>
      </c>
      <c r="S858" t="str">
        <f xml:space="preserve"> _xlfn.XLOOKUP( E858, Lookup_Tables!$A$2:$A$6,Lookup_Tables!$B$2:$B$6," ", -1)</f>
        <v>Bachelor</v>
      </c>
      <c r="T858" t="str">
        <f>_xlfn.XLOOKUP(G858,Lookup_Tables!$D$2:$D$5,Lookup_Tables!$E$2:$E$5)</f>
        <v>Low</v>
      </c>
      <c r="U858" t="str">
        <f>_xlfn.XLOOKUP(H858,Lookup_Tables!$D$2:$D$5,Lookup_Tables!$E$2:$E$5)</f>
        <v>High</v>
      </c>
      <c r="V858" t="str">
        <f>_xlfn.XLOOKUP(L858,Lookup_Tables!$D$2:$D$5,Lookup_Tables!$E$2:$E$5)</f>
        <v>Medium</v>
      </c>
    </row>
    <row r="859" spans="1:22">
      <c r="A859">
        <f>RAW_DATA!A859</f>
        <v>44</v>
      </c>
      <c r="B859" t="str">
        <f>RAW_DATA!B859</f>
        <v>Yes</v>
      </c>
      <c r="C859" t="str">
        <f>RAW_DATA!C859</f>
        <v>Research &amp; Development</v>
      </c>
      <c r="D859">
        <f>RAW_DATA!D859</f>
        <v>10</v>
      </c>
      <c r="E859">
        <f>RAW_DATA!E859</f>
        <v>4</v>
      </c>
      <c r="F859" t="str">
        <f>RAW_DATA!F859</f>
        <v>Life Sciences</v>
      </c>
      <c r="G859">
        <f>RAW_DATA!G859</f>
        <v>3</v>
      </c>
      <c r="H859">
        <f>RAW_DATA!H859</f>
        <v>3</v>
      </c>
      <c r="I859" t="str">
        <f>RAW_DATA!I859</f>
        <v>Single</v>
      </c>
      <c r="J859">
        <f>RAW_DATA!J859</f>
        <v>2936</v>
      </c>
      <c r="K859">
        <f>RAW_DATA!K859</f>
        <v>1</v>
      </c>
      <c r="L859">
        <f>RAW_DATA!L859</f>
        <v>3</v>
      </c>
      <c r="M859">
        <f>RAW_DATA!M859</f>
        <v>6</v>
      </c>
      <c r="N859">
        <f t="shared" si="26"/>
        <v>1</v>
      </c>
      <c r="O859" t="str">
        <f xml:space="preserve"> VLOOKUP(A859, Lookup_Tables!$G$2:$H$6,2,TRUE)</f>
        <v>35-44</v>
      </c>
      <c r="P859" t="str">
        <f>_xlfn.XLOOKUP(J859,Lookup_Tables!$J$2:$J$4,Lookup_Tables!$K$2:$K$4, " ",-1)</f>
        <v>Low</v>
      </c>
      <c r="Q859" t="str">
        <f xml:space="preserve"> _xlfn.XLOOKUP(M859, Lookup_Tables!$M$2:$M$5,Lookup_Tables!$N$2:$N$5," ", -1)</f>
        <v>Established (5-10)</v>
      </c>
      <c r="R859" s="4">
        <f t="shared" si="27"/>
        <v>3</v>
      </c>
      <c r="S859" t="str">
        <f xml:space="preserve"> _xlfn.XLOOKUP( E859, Lookup_Tables!$A$2:$A$6,Lookup_Tables!$B$2:$B$6," ", -1)</f>
        <v>Master</v>
      </c>
      <c r="T859" t="str">
        <f>_xlfn.XLOOKUP(G859,Lookup_Tables!$D$2:$D$5,Lookup_Tables!$E$2:$E$5)</f>
        <v>High</v>
      </c>
      <c r="U859" t="str">
        <f>_xlfn.XLOOKUP(H859,Lookup_Tables!$D$2:$D$5,Lookup_Tables!$E$2:$E$5)</f>
        <v>High</v>
      </c>
      <c r="V859" t="str">
        <f>_xlfn.XLOOKUP(L859,Lookup_Tables!$D$2:$D$5,Lookup_Tables!$E$2:$E$5)</f>
        <v>High</v>
      </c>
    </row>
    <row r="860" spans="1:22">
      <c r="A860">
        <f>RAW_DATA!A860</f>
        <v>53</v>
      </c>
      <c r="B860" t="str">
        <f>RAW_DATA!B860</f>
        <v>No</v>
      </c>
      <c r="C860" t="str">
        <f>RAW_DATA!C860</f>
        <v>Research &amp; Development</v>
      </c>
      <c r="D860">
        <f>RAW_DATA!D860</f>
        <v>7</v>
      </c>
      <c r="E860">
        <f>RAW_DATA!E860</f>
        <v>2</v>
      </c>
      <c r="F860" t="str">
        <f>RAW_DATA!F860</f>
        <v>Medical</v>
      </c>
      <c r="G860">
        <f>RAW_DATA!G860</f>
        <v>4</v>
      </c>
      <c r="H860">
        <f>RAW_DATA!H860</f>
        <v>3</v>
      </c>
      <c r="I860" t="str">
        <f>RAW_DATA!I860</f>
        <v>Divorced</v>
      </c>
      <c r="J860">
        <f>RAW_DATA!J860</f>
        <v>18606</v>
      </c>
      <c r="K860">
        <f>RAW_DATA!K860</f>
        <v>3</v>
      </c>
      <c r="L860">
        <f>RAW_DATA!L860</f>
        <v>3</v>
      </c>
      <c r="M860">
        <f>RAW_DATA!M860</f>
        <v>7</v>
      </c>
      <c r="N860">
        <f t="shared" si="26"/>
        <v>0</v>
      </c>
      <c r="O860" t="str">
        <f xml:space="preserve"> VLOOKUP(A860, Lookup_Tables!$G$2:$H$6,2,TRUE)</f>
        <v>45-54</v>
      </c>
      <c r="P860" t="str">
        <f>_xlfn.XLOOKUP(J860,Lookup_Tables!$J$2:$J$4,Lookup_Tables!$K$2:$K$4, " ",-1)</f>
        <v>High</v>
      </c>
      <c r="Q860" t="str">
        <f xml:space="preserve"> _xlfn.XLOOKUP(M860, Lookup_Tables!$M$2:$M$5,Lookup_Tables!$N$2:$N$5," ", -1)</f>
        <v>Established (5-10)</v>
      </c>
      <c r="R860" s="4">
        <f t="shared" si="27"/>
        <v>3.3333333333333335</v>
      </c>
      <c r="S860" t="str">
        <f xml:space="preserve"> _xlfn.XLOOKUP( E860, Lookup_Tables!$A$2:$A$6,Lookup_Tables!$B$2:$B$6," ", -1)</f>
        <v>College</v>
      </c>
      <c r="T860" t="str">
        <f>_xlfn.XLOOKUP(G860,Lookup_Tables!$D$2:$D$5,Lookup_Tables!$E$2:$E$5)</f>
        <v>Very High</v>
      </c>
      <c r="U860" t="str">
        <f>_xlfn.XLOOKUP(H860,Lookup_Tables!$D$2:$D$5,Lookup_Tables!$E$2:$E$5)</f>
        <v>High</v>
      </c>
      <c r="V860" t="str">
        <f>_xlfn.XLOOKUP(L860,Lookup_Tables!$D$2:$D$5,Lookup_Tables!$E$2:$E$5)</f>
        <v>High</v>
      </c>
    </row>
    <row r="861" spans="1:22">
      <c r="A861">
        <f>RAW_DATA!A861</f>
        <v>29</v>
      </c>
      <c r="B861" t="str">
        <f>RAW_DATA!B861</f>
        <v>No</v>
      </c>
      <c r="C861" t="str">
        <f>RAW_DATA!C861</f>
        <v>Research &amp; Development</v>
      </c>
      <c r="D861">
        <f>RAW_DATA!D861</f>
        <v>15</v>
      </c>
      <c r="E861">
        <f>RAW_DATA!E861</f>
        <v>1</v>
      </c>
      <c r="F861" t="str">
        <f>RAW_DATA!F861</f>
        <v>Life Sciences</v>
      </c>
      <c r="G861">
        <f>RAW_DATA!G861</f>
        <v>2</v>
      </c>
      <c r="H861">
        <f>RAW_DATA!H861</f>
        <v>4</v>
      </c>
      <c r="I861" t="str">
        <f>RAW_DATA!I861</f>
        <v>Married</v>
      </c>
      <c r="J861">
        <f>RAW_DATA!J861</f>
        <v>2168</v>
      </c>
      <c r="K861">
        <f>RAW_DATA!K861</f>
        <v>0</v>
      </c>
      <c r="L861">
        <f>RAW_DATA!L861</f>
        <v>2</v>
      </c>
      <c r="M861">
        <f>RAW_DATA!M861</f>
        <v>5</v>
      </c>
      <c r="N861">
        <f t="shared" si="26"/>
        <v>0</v>
      </c>
      <c r="O861" t="str">
        <f xml:space="preserve"> VLOOKUP(A861, Lookup_Tables!$G$2:$H$6,2,TRUE)</f>
        <v>25-34</v>
      </c>
      <c r="P861" t="str">
        <f>_xlfn.XLOOKUP(J861,Lookup_Tables!$J$2:$J$4,Lookup_Tables!$K$2:$K$4, " ",-1)</f>
        <v>Low</v>
      </c>
      <c r="Q861" t="str">
        <f xml:space="preserve"> _xlfn.XLOOKUP(M861, Lookup_Tables!$M$2:$M$5,Lookup_Tables!$N$2:$N$5," ", -1)</f>
        <v>Established (5-10)</v>
      </c>
      <c r="R861" s="4">
        <f t="shared" si="27"/>
        <v>2.6666666666666665</v>
      </c>
      <c r="S861" t="str">
        <f xml:space="preserve"> _xlfn.XLOOKUP( E861, Lookup_Tables!$A$2:$A$6,Lookup_Tables!$B$2:$B$6," ", -1)</f>
        <v>Below College</v>
      </c>
      <c r="T861" t="str">
        <f>_xlfn.XLOOKUP(G861,Lookup_Tables!$D$2:$D$5,Lookup_Tables!$E$2:$E$5)</f>
        <v>Medium</v>
      </c>
      <c r="U861" t="str">
        <f>_xlfn.XLOOKUP(H861,Lookup_Tables!$D$2:$D$5,Lookup_Tables!$E$2:$E$5)</f>
        <v>Very High</v>
      </c>
      <c r="V861" t="str">
        <f>_xlfn.XLOOKUP(L861,Lookup_Tables!$D$2:$D$5,Lookup_Tables!$E$2:$E$5)</f>
        <v>Medium</v>
      </c>
    </row>
    <row r="862" spans="1:22">
      <c r="A862">
        <f>RAW_DATA!A862</f>
        <v>22</v>
      </c>
      <c r="B862" t="str">
        <f>RAW_DATA!B862</f>
        <v>Yes</v>
      </c>
      <c r="C862" t="str">
        <f>RAW_DATA!C862</f>
        <v>Research &amp; Development</v>
      </c>
      <c r="D862">
        <f>RAW_DATA!D862</f>
        <v>3</v>
      </c>
      <c r="E862">
        <f>RAW_DATA!E862</f>
        <v>4</v>
      </c>
      <c r="F862" t="str">
        <f>RAW_DATA!F862</f>
        <v>Life Sciences</v>
      </c>
      <c r="G862">
        <f>RAW_DATA!G862</f>
        <v>3</v>
      </c>
      <c r="H862">
        <f>RAW_DATA!H862</f>
        <v>4</v>
      </c>
      <c r="I862" t="str">
        <f>RAW_DATA!I862</f>
        <v>Married</v>
      </c>
      <c r="J862">
        <f>RAW_DATA!J862</f>
        <v>2853</v>
      </c>
      <c r="K862">
        <f>RAW_DATA!K862</f>
        <v>0</v>
      </c>
      <c r="L862">
        <f>RAW_DATA!L862</f>
        <v>3</v>
      </c>
      <c r="M862">
        <f>RAW_DATA!M862</f>
        <v>0</v>
      </c>
      <c r="N862">
        <f t="shared" si="26"/>
        <v>1</v>
      </c>
      <c r="O862" t="str">
        <f xml:space="preserve"> VLOOKUP(A862, Lookup_Tables!$G$2:$H$6,2,TRUE)</f>
        <v>&lt;25</v>
      </c>
      <c r="P862" t="str">
        <f>_xlfn.XLOOKUP(J862,Lookup_Tables!$J$2:$J$4,Lookup_Tables!$K$2:$K$4, " ",-1)</f>
        <v>Low</v>
      </c>
      <c r="Q862" t="str">
        <f xml:space="preserve"> _xlfn.XLOOKUP(M862, Lookup_Tables!$M$2:$M$5,Lookup_Tables!$N$2:$N$5," ", -1)</f>
        <v>New (0-2)</v>
      </c>
      <c r="R862" s="4">
        <f t="shared" si="27"/>
        <v>3.3333333333333335</v>
      </c>
      <c r="S862" t="str">
        <f xml:space="preserve"> _xlfn.XLOOKUP( E862, Lookup_Tables!$A$2:$A$6,Lookup_Tables!$B$2:$B$6," ", -1)</f>
        <v>Master</v>
      </c>
      <c r="T862" t="str">
        <f>_xlfn.XLOOKUP(G862,Lookup_Tables!$D$2:$D$5,Lookup_Tables!$E$2:$E$5)</f>
        <v>High</v>
      </c>
      <c r="U862" t="str">
        <f>_xlfn.XLOOKUP(H862,Lookup_Tables!$D$2:$D$5,Lookup_Tables!$E$2:$E$5)</f>
        <v>Very High</v>
      </c>
      <c r="V862" t="str">
        <f>_xlfn.XLOOKUP(L862,Lookup_Tables!$D$2:$D$5,Lookup_Tables!$E$2:$E$5)</f>
        <v>High</v>
      </c>
    </row>
    <row r="863" spans="1:22">
      <c r="A863">
        <f>RAW_DATA!A863</f>
        <v>46</v>
      </c>
      <c r="B863" t="str">
        <f>RAW_DATA!B863</f>
        <v>No</v>
      </c>
      <c r="C863" t="str">
        <f>RAW_DATA!C863</f>
        <v>Sales</v>
      </c>
      <c r="D863">
        <f>RAW_DATA!D863</f>
        <v>2</v>
      </c>
      <c r="E863">
        <f>RAW_DATA!E863</f>
        <v>3</v>
      </c>
      <c r="F863" t="str">
        <f>RAW_DATA!F863</f>
        <v>Marketing</v>
      </c>
      <c r="G863">
        <f>RAW_DATA!G863</f>
        <v>3</v>
      </c>
      <c r="H863">
        <f>RAW_DATA!H863</f>
        <v>1</v>
      </c>
      <c r="I863" t="str">
        <f>RAW_DATA!I863</f>
        <v>Married</v>
      </c>
      <c r="J863">
        <f>RAW_DATA!J863</f>
        <v>17048</v>
      </c>
      <c r="K863">
        <f>RAW_DATA!K863</f>
        <v>8</v>
      </c>
      <c r="L863">
        <f>RAW_DATA!L863</f>
        <v>3</v>
      </c>
      <c r="M863">
        <f>RAW_DATA!M863</f>
        <v>26</v>
      </c>
      <c r="N863">
        <f t="shared" si="26"/>
        <v>0</v>
      </c>
      <c r="O863" t="str">
        <f xml:space="preserve"> VLOOKUP(A863, Lookup_Tables!$G$2:$H$6,2,TRUE)</f>
        <v>45-54</v>
      </c>
      <c r="P863" t="str">
        <f>_xlfn.XLOOKUP(J863,Lookup_Tables!$J$2:$J$4,Lookup_Tables!$K$2:$K$4, " ",-1)</f>
        <v>High</v>
      </c>
      <c r="Q863" t="str">
        <f xml:space="preserve"> _xlfn.XLOOKUP(M863, Lookup_Tables!$M$2:$M$5,Lookup_Tables!$N$2:$N$5," ", -1)</f>
        <v>Veteran (10+)</v>
      </c>
      <c r="R863" s="4">
        <f t="shared" si="27"/>
        <v>2.3333333333333335</v>
      </c>
      <c r="S863" t="str">
        <f xml:space="preserve"> _xlfn.XLOOKUP( E863, Lookup_Tables!$A$2:$A$6,Lookup_Tables!$B$2:$B$6," ", -1)</f>
        <v>Bachelor</v>
      </c>
      <c r="T863" t="str">
        <f>_xlfn.XLOOKUP(G863,Lookup_Tables!$D$2:$D$5,Lookup_Tables!$E$2:$E$5)</f>
        <v>High</v>
      </c>
      <c r="U863" t="str">
        <f>_xlfn.XLOOKUP(H863,Lookup_Tables!$D$2:$D$5,Lookup_Tables!$E$2:$E$5)</f>
        <v>Low</v>
      </c>
      <c r="V863" t="str">
        <f>_xlfn.XLOOKUP(L863,Lookup_Tables!$D$2:$D$5,Lookup_Tables!$E$2:$E$5)</f>
        <v>High</v>
      </c>
    </row>
    <row r="864" spans="1:22">
      <c r="A864">
        <f>RAW_DATA!A864</f>
        <v>44</v>
      </c>
      <c r="B864" t="str">
        <f>RAW_DATA!B864</f>
        <v>No</v>
      </c>
      <c r="C864" t="str">
        <f>RAW_DATA!C864</f>
        <v>Research &amp; Development</v>
      </c>
      <c r="D864">
        <f>RAW_DATA!D864</f>
        <v>17</v>
      </c>
      <c r="E864">
        <f>RAW_DATA!E864</f>
        <v>3</v>
      </c>
      <c r="F864" t="str">
        <f>RAW_DATA!F864</f>
        <v>Life Sciences</v>
      </c>
      <c r="G864">
        <f>RAW_DATA!G864</f>
        <v>4</v>
      </c>
      <c r="H864">
        <f>RAW_DATA!H864</f>
        <v>3</v>
      </c>
      <c r="I864" t="str">
        <f>RAW_DATA!I864</f>
        <v>Single</v>
      </c>
      <c r="J864">
        <f>RAW_DATA!J864</f>
        <v>2290</v>
      </c>
      <c r="K864">
        <f>RAW_DATA!K864</f>
        <v>2</v>
      </c>
      <c r="L864">
        <f>RAW_DATA!L864</f>
        <v>3</v>
      </c>
      <c r="M864">
        <f>RAW_DATA!M864</f>
        <v>0</v>
      </c>
      <c r="N864">
        <f t="shared" si="26"/>
        <v>0</v>
      </c>
      <c r="O864" t="str">
        <f xml:space="preserve"> VLOOKUP(A864, Lookup_Tables!$G$2:$H$6,2,TRUE)</f>
        <v>35-44</v>
      </c>
      <c r="P864" t="str">
        <f>_xlfn.XLOOKUP(J864,Lookup_Tables!$J$2:$J$4,Lookup_Tables!$K$2:$K$4, " ",-1)</f>
        <v>Low</v>
      </c>
      <c r="Q864" t="str">
        <f xml:space="preserve"> _xlfn.XLOOKUP(M864, Lookup_Tables!$M$2:$M$5,Lookup_Tables!$N$2:$N$5," ", -1)</f>
        <v>New (0-2)</v>
      </c>
      <c r="R864" s="4">
        <f t="shared" si="27"/>
        <v>3.3333333333333335</v>
      </c>
      <c r="S864" t="str">
        <f xml:space="preserve"> _xlfn.XLOOKUP( E864, Lookup_Tables!$A$2:$A$6,Lookup_Tables!$B$2:$B$6," ", -1)</f>
        <v>Bachelor</v>
      </c>
      <c r="T864" t="str">
        <f>_xlfn.XLOOKUP(G864,Lookup_Tables!$D$2:$D$5,Lookup_Tables!$E$2:$E$5)</f>
        <v>Very High</v>
      </c>
      <c r="U864" t="str">
        <f>_xlfn.XLOOKUP(H864,Lookup_Tables!$D$2:$D$5,Lookup_Tables!$E$2:$E$5)</f>
        <v>High</v>
      </c>
      <c r="V864" t="str">
        <f>_xlfn.XLOOKUP(L864,Lookup_Tables!$D$2:$D$5,Lookup_Tables!$E$2:$E$5)</f>
        <v>High</v>
      </c>
    </row>
    <row r="865" spans="1:22">
      <c r="A865">
        <f>RAW_DATA!A865</f>
        <v>33</v>
      </c>
      <c r="B865" t="str">
        <f>RAW_DATA!B865</f>
        <v>No</v>
      </c>
      <c r="C865" t="str">
        <f>RAW_DATA!C865</f>
        <v>Human Resources</v>
      </c>
      <c r="D865">
        <f>RAW_DATA!D865</f>
        <v>2</v>
      </c>
      <c r="E865">
        <f>RAW_DATA!E865</f>
        <v>3</v>
      </c>
      <c r="F865" t="str">
        <f>RAW_DATA!F865</f>
        <v>Human Resources</v>
      </c>
      <c r="G865">
        <f>RAW_DATA!G865</f>
        <v>2</v>
      </c>
      <c r="H865">
        <f>RAW_DATA!H865</f>
        <v>3</v>
      </c>
      <c r="I865" t="str">
        <f>RAW_DATA!I865</f>
        <v>Married</v>
      </c>
      <c r="J865">
        <f>RAW_DATA!J865</f>
        <v>3600</v>
      </c>
      <c r="K865">
        <f>RAW_DATA!K865</f>
        <v>1</v>
      </c>
      <c r="L865">
        <f>RAW_DATA!L865</f>
        <v>3</v>
      </c>
      <c r="M865">
        <f>RAW_DATA!M865</f>
        <v>5</v>
      </c>
      <c r="N865">
        <f t="shared" si="26"/>
        <v>0</v>
      </c>
      <c r="O865" t="str">
        <f xml:space="preserve"> VLOOKUP(A865, Lookup_Tables!$G$2:$H$6,2,TRUE)</f>
        <v>25-34</v>
      </c>
      <c r="P865" t="str">
        <f>_xlfn.XLOOKUP(J865,Lookup_Tables!$J$2:$J$4,Lookup_Tables!$K$2:$K$4, " ",-1)</f>
        <v>Medium</v>
      </c>
      <c r="Q865" t="str">
        <f xml:space="preserve"> _xlfn.XLOOKUP(M865, Lookup_Tables!$M$2:$M$5,Lookup_Tables!$N$2:$N$5," ", -1)</f>
        <v>Established (5-10)</v>
      </c>
      <c r="R865" s="4">
        <f t="shared" si="27"/>
        <v>2.6666666666666665</v>
      </c>
      <c r="S865" t="str">
        <f xml:space="preserve"> _xlfn.XLOOKUP( E865, Lookup_Tables!$A$2:$A$6,Lookup_Tables!$B$2:$B$6," ", -1)</f>
        <v>Bachelor</v>
      </c>
      <c r="T865" t="str">
        <f>_xlfn.XLOOKUP(G865,Lookup_Tables!$D$2:$D$5,Lookup_Tables!$E$2:$E$5)</f>
        <v>Medium</v>
      </c>
      <c r="U865" t="str">
        <f>_xlfn.XLOOKUP(H865,Lookup_Tables!$D$2:$D$5,Lookup_Tables!$E$2:$E$5)</f>
        <v>High</v>
      </c>
      <c r="V865" t="str">
        <f>_xlfn.XLOOKUP(L865,Lookup_Tables!$D$2:$D$5,Lookup_Tables!$E$2:$E$5)</f>
        <v>High</v>
      </c>
    </row>
    <row r="866" spans="1:22">
      <c r="A866">
        <f>RAW_DATA!A866</f>
        <v>41</v>
      </c>
      <c r="B866" t="str">
        <f>RAW_DATA!B866</f>
        <v>Yes</v>
      </c>
      <c r="C866" t="str">
        <f>RAW_DATA!C866</f>
        <v>Research &amp; Development</v>
      </c>
      <c r="D866">
        <f>RAW_DATA!D866</f>
        <v>5</v>
      </c>
      <c r="E866">
        <f>RAW_DATA!E866</f>
        <v>2</v>
      </c>
      <c r="F866" t="str">
        <f>RAW_DATA!F866</f>
        <v>Life Sciences</v>
      </c>
      <c r="G866">
        <f>RAW_DATA!G866</f>
        <v>1</v>
      </c>
      <c r="H866">
        <f>RAW_DATA!H866</f>
        <v>1</v>
      </c>
      <c r="I866" t="str">
        <f>RAW_DATA!I866</f>
        <v>Divorced</v>
      </c>
      <c r="J866">
        <f>RAW_DATA!J866</f>
        <v>2107</v>
      </c>
      <c r="K866">
        <f>RAW_DATA!K866</f>
        <v>6</v>
      </c>
      <c r="L866">
        <f>RAW_DATA!L866</f>
        <v>1</v>
      </c>
      <c r="M866">
        <f>RAW_DATA!M866</f>
        <v>1</v>
      </c>
      <c r="N866">
        <f t="shared" si="26"/>
        <v>1</v>
      </c>
      <c r="O866" t="str">
        <f xml:space="preserve"> VLOOKUP(A866, Lookup_Tables!$G$2:$H$6,2,TRUE)</f>
        <v>35-44</v>
      </c>
      <c r="P866" t="str">
        <f>_xlfn.XLOOKUP(J866,Lookup_Tables!$J$2:$J$4,Lookup_Tables!$K$2:$K$4, " ",-1)</f>
        <v>Low</v>
      </c>
      <c r="Q866" t="str">
        <f xml:space="preserve"> _xlfn.XLOOKUP(M866, Lookup_Tables!$M$2:$M$5,Lookup_Tables!$N$2:$N$5," ", -1)</f>
        <v>New (0-2)</v>
      </c>
      <c r="R866" s="4">
        <f t="shared" si="27"/>
        <v>1</v>
      </c>
      <c r="S866" t="str">
        <f xml:space="preserve"> _xlfn.XLOOKUP( E866, Lookup_Tables!$A$2:$A$6,Lookup_Tables!$B$2:$B$6," ", -1)</f>
        <v>College</v>
      </c>
      <c r="T866" t="str">
        <f>_xlfn.XLOOKUP(G866,Lookup_Tables!$D$2:$D$5,Lookup_Tables!$E$2:$E$5)</f>
        <v>Low</v>
      </c>
      <c r="U866" t="str">
        <f>_xlfn.XLOOKUP(H866,Lookup_Tables!$D$2:$D$5,Lookup_Tables!$E$2:$E$5)</f>
        <v>Low</v>
      </c>
      <c r="V866" t="str">
        <f>_xlfn.XLOOKUP(L866,Lookup_Tables!$D$2:$D$5,Lookup_Tables!$E$2:$E$5)</f>
        <v>Low</v>
      </c>
    </row>
    <row r="867" spans="1:22">
      <c r="A867">
        <f>RAW_DATA!A867</f>
        <v>30</v>
      </c>
      <c r="B867" t="str">
        <f>RAW_DATA!B867</f>
        <v>No</v>
      </c>
      <c r="C867" t="str">
        <f>RAW_DATA!C867</f>
        <v>Sales</v>
      </c>
      <c r="D867">
        <f>RAW_DATA!D867</f>
        <v>29</v>
      </c>
      <c r="E867">
        <f>RAW_DATA!E867</f>
        <v>4</v>
      </c>
      <c r="F867" t="str">
        <f>RAW_DATA!F867</f>
        <v>Life Sciences</v>
      </c>
      <c r="G867">
        <f>RAW_DATA!G867</f>
        <v>3</v>
      </c>
      <c r="H867">
        <f>RAW_DATA!H867</f>
        <v>1</v>
      </c>
      <c r="I867" t="str">
        <f>RAW_DATA!I867</f>
        <v>Divorced</v>
      </c>
      <c r="J867">
        <f>RAW_DATA!J867</f>
        <v>4115</v>
      </c>
      <c r="K867">
        <f>RAW_DATA!K867</f>
        <v>8</v>
      </c>
      <c r="L867">
        <f>RAW_DATA!L867</f>
        <v>3</v>
      </c>
      <c r="M867">
        <f>RAW_DATA!M867</f>
        <v>4</v>
      </c>
      <c r="N867">
        <f t="shared" si="26"/>
        <v>0</v>
      </c>
      <c r="O867" t="str">
        <f xml:space="preserve"> VLOOKUP(A867, Lookup_Tables!$G$2:$H$6,2,TRUE)</f>
        <v>25-34</v>
      </c>
      <c r="P867" t="str">
        <f>_xlfn.XLOOKUP(J867,Lookup_Tables!$J$2:$J$4,Lookup_Tables!$K$2:$K$4, " ",-1)</f>
        <v>Medium</v>
      </c>
      <c r="Q867" t="str">
        <f xml:space="preserve"> _xlfn.XLOOKUP(M867, Lookup_Tables!$M$2:$M$5,Lookup_Tables!$N$2:$N$5," ", -1)</f>
        <v>Early (2-5)</v>
      </c>
      <c r="R867" s="4">
        <f t="shared" si="27"/>
        <v>2.3333333333333335</v>
      </c>
      <c r="S867" t="str">
        <f xml:space="preserve"> _xlfn.XLOOKUP( E867, Lookup_Tables!$A$2:$A$6,Lookup_Tables!$B$2:$B$6," ", -1)</f>
        <v>Master</v>
      </c>
      <c r="T867" t="str">
        <f>_xlfn.XLOOKUP(G867,Lookup_Tables!$D$2:$D$5,Lookup_Tables!$E$2:$E$5)</f>
        <v>High</v>
      </c>
      <c r="U867" t="str">
        <f>_xlfn.XLOOKUP(H867,Lookup_Tables!$D$2:$D$5,Lookup_Tables!$E$2:$E$5)</f>
        <v>Low</v>
      </c>
      <c r="V867" t="str">
        <f>_xlfn.XLOOKUP(L867,Lookup_Tables!$D$2:$D$5,Lookup_Tables!$E$2:$E$5)</f>
        <v>High</v>
      </c>
    </row>
    <row r="868" spans="1:22">
      <c r="A868">
        <f>RAW_DATA!A868</f>
        <v>40</v>
      </c>
      <c r="B868" t="str">
        <f>RAW_DATA!B868</f>
        <v>No</v>
      </c>
      <c r="C868" t="str">
        <f>RAW_DATA!C868</f>
        <v>Sales</v>
      </c>
      <c r="D868">
        <f>RAW_DATA!D868</f>
        <v>2</v>
      </c>
      <c r="E868">
        <f>RAW_DATA!E868</f>
        <v>4</v>
      </c>
      <c r="F868" t="str">
        <f>RAW_DATA!F868</f>
        <v>Medical</v>
      </c>
      <c r="G868">
        <f>RAW_DATA!G868</f>
        <v>2</v>
      </c>
      <c r="H868">
        <f>RAW_DATA!H868</f>
        <v>2</v>
      </c>
      <c r="I868" t="str">
        <f>RAW_DATA!I868</f>
        <v>Married</v>
      </c>
      <c r="J868">
        <f>RAW_DATA!J868</f>
        <v>4327</v>
      </c>
      <c r="K868">
        <f>RAW_DATA!K868</f>
        <v>5</v>
      </c>
      <c r="L868">
        <f>RAW_DATA!L868</f>
        <v>3</v>
      </c>
      <c r="M868">
        <f>RAW_DATA!M868</f>
        <v>0</v>
      </c>
      <c r="N868">
        <f t="shared" si="26"/>
        <v>0</v>
      </c>
      <c r="O868" t="str">
        <f xml:space="preserve"> VLOOKUP(A868, Lookup_Tables!$G$2:$H$6,2,TRUE)</f>
        <v>35-44</v>
      </c>
      <c r="P868" t="str">
        <f>_xlfn.XLOOKUP(J868,Lookup_Tables!$J$2:$J$4,Lookup_Tables!$K$2:$K$4, " ",-1)</f>
        <v>Medium</v>
      </c>
      <c r="Q868" t="str">
        <f xml:space="preserve"> _xlfn.XLOOKUP(M868, Lookup_Tables!$M$2:$M$5,Lookup_Tables!$N$2:$N$5," ", -1)</f>
        <v>New (0-2)</v>
      </c>
      <c r="R868" s="4">
        <f t="shared" si="27"/>
        <v>2.3333333333333335</v>
      </c>
      <c r="S868" t="str">
        <f xml:space="preserve"> _xlfn.XLOOKUP( E868, Lookup_Tables!$A$2:$A$6,Lookup_Tables!$B$2:$B$6," ", -1)</f>
        <v>Master</v>
      </c>
      <c r="T868" t="str">
        <f>_xlfn.XLOOKUP(G868,Lookup_Tables!$D$2:$D$5,Lookup_Tables!$E$2:$E$5)</f>
        <v>Medium</v>
      </c>
      <c r="U868" t="str">
        <f>_xlfn.XLOOKUP(H868,Lookup_Tables!$D$2:$D$5,Lookup_Tables!$E$2:$E$5)</f>
        <v>Medium</v>
      </c>
      <c r="V868" t="str">
        <f>_xlfn.XLOOKUP(L868,Lookup_Tables!$D$2:$D$5,Lookup_Tables!$E$2:$E$5)</f>
        <v>High</v>
      </c>
    </row>
    <row r="869" spans="1:22">
      <c r="A869">
        <f>RAW_DATA!A869</f>
        <v>50</v>
      </c>
      <c r="B869" t="str">
        <f>RAW_DATA!B869</f>
        <v>No</v>
      </c>
      <c r="C869" t="str">
        <f>RAW_DATA!C869</f>
        <v>Research &amp; Development</v>
      </c>
      <c r="D869">
        <f>RAW_DATA!D869</f>
        <v>2</v>
      </c>
      <c r="E869">
        <f>RAW_DATA!E869</f>
        <v>3</v>
      </c>
      <c r="F869" t="str">
        <f>RAW_DATA!F869</f>
        <v>Medical</v>
      </c>
      <c r="G869">
        <f>RAW_DATA!G869</f>
        <v>4</v>
      </c>
      <c r="H869">
        <f>RAW_DATA!H869</f>
        <v>1</v>
      </c>
      <c r="I869" t="str">
        <f>RAW_DATA!I869</f>
        <v>Married</v>
      </c>
      <c r="J869">
        <f>RAW_DATA!J869</f>
        <v>17856</v>
      </c>
      <c r="K869">
        <f>RAW_DATA!K869</f>
        <v>2</v>
      </c>
      <c r="L869">
        <f>RAW_DATA!L869</f>
        <v>3</v>
      </c>
      <c r="M869">
        <f>RAW_DATA!M869</f>
        <v>2</v>
      </c>
      <c r="N869">
        <f t="shared" si="26"/>
        <v>0</v>
      </c>
      <c r="O869" t="str">
        <f xml:space="preserve"> VLOOKUP(A869, Lookup_Tables!$G$2:$H$6,2,TRUE)</f>
        <v>45-54</v>
      </c>
      <c r="P869" t="str">
        <f>_xlfn.XLOOKUP(J869,Lookup_Tables!$J$2:$J$4,Lookup_Tables!$K$2:$K$4, " ",-1)</f>
        <v>High</v>
      </c>
      <c r="Q869" t="str">
        <f xml:space="preserve"> _xlfn.XLOOKUP(M869, Lookup_Tables!$M$2:$M$5,Lookup_Tables!$N$2:$N$5," ", -1)</f>
        <v>Early (2-5)</v>
      </c>
      <c r="R869" s="4">
        <f t="shared" si="27"/>
        <v>2.6666666666666665</v>
      </c>
      <c r="S869" t="str">
        <f xml:space="preserve"> _xlfn.XLOOKUP( E869, Lookup_Tables!$A$2:$A$6,Lookup_Tables!$B$2:$B$6," ", -1)</f>
        <v>Bachelor</v>
      </c>
      <c r="T869" t="str">
        <f>_xlfn.XLOOKUP(G869,Lookup_Tables!$D$2:$D$5,Lookup_Tables!$E$2:$E$5)</f>
        <v>Very High</v>
      </c>
      <c r="U869" t="str">
        <f>_xlfn.XLOOKUP(H869,Lookup_Tables!$D$2:$D$5,Lookup_Tables!$E$2:$E$5)</f>
        <v>Low</v>
      </c>
      <c r="V869" t="str">
        <f>_xlfn.XLOOKUP(L869,Lookup_Tables!$D$2:$D$5,Lookup_Tables!$E$2:$E$5)</f>
        <v>High</v>
      </c>
    </row>
    <row r="870" spans="1:22">
      <c r="A870">
        <f>RAW_DATA!A870</f>
        <v>28</v>
      </c>
      <c r="B870" t="str">
        <f>RAW_DATA!B870</f>
        <v>No</v>
      </c>
      <c r="C870" t="str">
        <f>RAW_DATA!C870</f>
        <v>Research &amp; Development</v>
      </c>
      <c r="D870">
        <f>RAW_DATA!D870</f>
        <v>19</v>
      </c>
      <c r="E870">
        <f>RAW_DATA!E870</f>
        <v>4</v>
      </c>
      <c r="F870" t="str">
        <f>RAW_DATA!F870</f>
        <v>Medical</v>
      </c>
      <c r="G870">
        <f>RAW_DATA!G870</f>
        <v>4</v>
      </c>
      <c r="H870">
        <f>RAW_DATA!H870</f>
        <v>1</v>
      </c>
      <c r="I870" t="str">
        <f>RAW_DATA!I870</f>
        <v>Married</v>
      </c>
      <c r="J870">
        <f>RAW_DATA!J870</f>
        <v>3196</v>
      </c>
      <c r="K870">
        <f>RAW_DATA!K870</f>
        <v>1</v>
      </c>
      <c r="L870">
        <f>RAW_DATA!L870</f>
        <v>3</v>
      </c>
      <c r="M870">
        <f>RAW_DATA!M870</f>
        <v>6</v>
      </c>
      <c r="N870">
        <f t="shared" si="26"/>
        <v>0</v>
      </c>
      <c r="O870" t="str">
        <f xml:space="preserve"> VLOOKUP(A870, Lookup_Tables!$G$2:$H$6,2,TRUE)</f>
        <v>25-34</v>
      </c>
      <c r="P870" t="str">
        <f>_xlfn.XLOOKUP(J870,Lookup_Tables!$J$2:$J$4,Lookup_Tables!$K$2:$K$4, " ",-1)</f>
        <v>Medium</v>
      </c>
      <c r="Q870" t="str">
        <f xml:space="preserve"> _xlfn.XLOOKUP(M870, Lookup_Tables!$M$2:$M$5,Lookup_Tables!$N$2:$N$5," ", -1)</f>
        <v>Established (5-10)</v>
      </c>
      <c r="R870" s="4">
        <f t="shared" si="27"/>
        <v>2.6666666666666665</v>
      </c>
      <c r="S870" t="str">
        <f xml:space="preserve"> _xlfn.XLOOKUP( E870, Lookup_Tables!$A$2:$A$6,Lookup_Tables!$B$2:$B$6," ", -1)</f>
        <v>Master</v>
      </c>
      <c r="T870" t="str">
        <f>_xlfn.XLOOKUP(G870,Lookup_Tables!$D$2:$D$5,Lookup_Tables!$E$2:$E$5)</f>
        <v>Very High</v>
      </c>
      <c r="U870" t="str">
        <f>_xlfn.XLOOKUP(H870,Lookup_Tables!$D$2:$D$5,Lookup_Tables!$E$2:$E$5)</f>
        <v>Low</v>
      </c>
      <c r="V870" t="str">
        <f>_xlfn.XLOOKUP(L870,Lookup_Tables!$D$2:$D$5,Lookup_Tables!$E$2:$E$5)</f>
        <v>High</v>
      </c>
    </row>
    <row r="871" spans="1:22">
      <c r="A871">
        <f>RAW_DATA!A871</f>
        <v>46</v>
      </c>
      <c r="B871" t="str">
        <f>RAW_DATA!B871</f>
        <v>No</v>
      </c>
      <c r="C871" t="str">
        <f>RAW_DATA!C871</f>
        <v>Research &amp; Development</v>
      </c>
      <c r="D871">
        <f>RAW_DATA!D871</f>
        <v>15</v>
      </c>
      <c r="E871">
        <f>RAW_DATA!E871</f>
        <v>2</v>
      </c>
      <c r="F871" t="str">
        <f>RAW_DATA!F871</f>
        <v>Life Sciences</v>
      </c>
      <c r="G871">
        <f>RAW_DATA!G871</f>
        <v>4</v>
      </c>
      <c r="H871">
        <f>RAW_DATA!H871</f>
        <v>2</v>
      </c>
      <c r="I871" t="str">
        <f>RAW_DATA!I871</f>
        <v>Married</v>
      </c>
      <c r="J871">
        <f>RAW_DATA!J871</f>
        <v>19081</v>
      </c>
      <c r="K871">
        <f>RAW_DATA!K871</f>
        <v>5</v>
      </c>
      <c r="L871">
        <f>RAW_DATA!L871</f>
        <v>3</v>
      </c>
      <c r="M871">
        <f>RAW_DATA!M871</f>
        <v>4</v>
      </c>
      <c r="N871">
        <f t="shared" si="26"/>
        <v>0</v>
      </c>
      <c r="O871" t="str">
        <f xml:space="preserve"> VLOOKUP(A871, Lookup_Tables!$G$2:$H$6,2,TRUE)</f>
        <v>45-54</v>
      </c>
      <c r="P871" t="str">
        <f>_xlfn.XLOOKUP(J871,Lookup_Tables!$J$2:$J$4,Lookup_Tables!$K$2:$K$4, " ",-1)</f>
        <v>High</v>
      </c>
      <c r="Q871" t="str">
        <f xml:space="preserve"> _xlfn.XLOOKUP(M871, Lookup_Tables!$M$2:$M$5,Lookup_Tables!$N$2:$N$5," ", -1)</f>
        <v>Early (2-5)</v>
      </c>
      <c r="R871" s="4">
        <f t="shared" si="27"/>
        <v>3</v>
      </c>
      <c r="S871" t="str">
        <f xml:space="preserve"> _xlfn.XLOOKUP( E871, Lookup_Tables!$A$2:$A$6,Lookup_Tables!$B$2:$B$6," ", -1)</f>
        <v>College</v>
      </c>
      <c r="T871" t="str">
        <f>_xlfn.XLOOKUP(G871,Lookup_Tables!$D$2:$D$5,Lookup_Tables!$E$2:$E$5)</f>
        <v>Very High</v>
      </c>
      <c r="U871" t="str">
        <f>_xlfn.XLOOKUP(H871,Lookup_Tables!$D$2:$D$5,Lookup_Tables!$E$2:$E$5)</f>
        <v>Medium</v>
      </c>
      <c r="V871" t="str">
        <f>_xlfn.XLOOKUP(L871,Lookup_Tables!$D$2:$D$5,Lookup_Tables!$E$2:$E$5)</f>
        <v>High</v>
      </c>
    </row>
    <row r="872" spans="1:22">
      <c r="A872">
        <f>RAW_DATA!A872</f>
        <v>35</v>
      </c>
      <c r="B872" t="str">
        <f>RAW_DATA!B872</f>
        <v>No</v>
      </c>
      <c r="C872" t="str">
        <f>RAW_DATA!C872</f>
        <v>Sales</v>
      </c>
      <c r="D872">
        <f>RAW_DATA!D872</f>
        <v>17</v>
      </c>
      <c r="E872">
        <f>RAW_DATA!E872</f>
        <v>4</v>
      </c>
      <c r="F872" t="str">
        <f>RAW_DATA!F872</f>
        <v>Life Sciences</v>
      </c>
      <c r="G872">
        <f>RAW_DATA!G872</f>
        <v>3</v>
      </c>
      <c r="H872">
        <f>RAW_DATA!H872</f>
        <v>1</v>
      </c>
      <c r="I872" t="str">
        <f>RAW_DATA!I872</f>
        <v>Married</v>
      </c>
      <c r="J872">
        <f>RAW_DATA!J872</f>
        <v>8966</v>
      </c>
      <c r="K872">
        <f>RAW_DATA!K872</f>
        <v>3</v>
      </c>
      <c r="L872">
        <f>RAW_DATA!L872</f>
        <v>3</v>
      </c>
      <c r="M872">
        <f>RAW_DATA!M872</f>
        <v>7</v>
      </c>
      <c r="N872">
        <f t="shared" si="26"/>
        <v>0</v>
      </c>
      <c r="O872" t="str">
        <f xml:space="preserve"> VLOOKUP(A872, Lookup_Tables!$G$2:$H$6,2,TRUE)</f>
        <v>35-44</v>
      </c>
      <c r="P872" t="str">
        <f>_xlfn.XLOOKUP(J872,Lookup_Tables!$J$2:$J$4,Lookup_Tables!$K$2:$K$4, " ",-1)</f>
        <v>High</v>
      </c>
      <c r="Q872" t="str">
        <f xml:space="preserve"> _xlfn.XLOOKUP(M872, Lookup_Tables!$M$2:$M$5,Lookup_Tables!$N$2:$N$5," ", -1)</f>
        <v>Established (5-10)</v>
      </c>
      <c r="R872" s="4">
        <f t="shared" si="27"/>
        <v>2.3333333333333335</v>
      </c>
      <c r="S872" t="str">
        <f xml:space="preserve"> _xlfn.XLOOKUP( E872, Lookup_Tables!$A$2:$A$6,Lookup_Tables!$B$2:$B$6," ", -1)</f>
        <v>Master</v>
      </c>
      <c r="T872" t="str">
        <f>_xlfn.XLOOKUP(G872,Lookup_Tables!$D$2:$D$5,Lookup_Tables!$E$2:$E$5)</f>
        <v>High</v>
      </c>
      <c r="U872" t="str">
        <f>_xlfn.XLOOKUP(H872,Lookup_Tables!$D$2:$D$5,Lookup_Tables!$E$2:$E$5)</f>
        <v>Low</v>
      </c>
      <c r="V872" t="str">
        <f>_xlfn.XLOOKUP(L872,Lookup_Tables!$D$2:$D$5,Lookup_Tables!$E$2:$E$5)</f>
        <v>High</v>
      </c>
    </row>
    <row r="873" spans="1:22">
      <c r="A873">
        <f>RAW_DATA!A873</f>
        <v>24</v>
      </c>
      <c r="B873" t="str">
        <f>RAW_DATA!B873</f>
        <v>Yes</v>
      </c>
      <c r="C873" t="str">
        <f>RAW_DATA!C873</f>
        <v>Research &amp; Development</v>
      </c>
      <c r="D873">
        <f>RAW_DATA!D873</f>
        <v>17</v>
      </c>
      <c r="E873">
        <f>RAW_DATA!E873</f>
        <v>2</v>
      </c>
      <c r="F873" t="str">
        <f>RAW_DATA!F873</f>
        <v>Life Sciences</v>
      </c>
      <c r="G873">
        <f>RAW_DATA!G873</f>
        <v>4</v>
      </c>
      <c r="H873">
        <f>RAW_DATA!H873</f>
        <v>2</v>
      </c>
      <c r="I873" t="str">
        <f>RAW_DATA!I873</f>
        <v>Married</v>
      </c>
      <c r="J873">
        <f>RAW_DATA!J873</f>
        <v>2210</v>
      </c>
      <c r="K873">
        <f>RAW_DATA!K873</f>
        <v>1</v>
      </c>
      <c r="L873">
        <f>RAW_DATA!L873</f>
        <v>1</v>
      </c>
      <c r="M873">
        <f>RAW_DATA!M873</f>
        <v>1</v>
      </c>
      <c r="N873">
        <f t="shared" si="26"/>
        <v>1</v>
      </c>
      <c r="O873" t="str">
        <f xml:space="preserve"> VLOOKUP(A873, Lookup_Tables!$G$2:$H$6,2,TRUE)</f>
        <v>&lt;25</v>
      </c>
      <c r="P873" t="str">
        <f>_xlfn.XLOOKUP(J873,Lookup_Tables!$J$2:$J$4,Lookup_Tables!$K$2:$K$4, " ",-1)</f>
        <v>Low</v>
      </c>
      <c r="Q873" t="str">
        <f xml:space="preserve"> _xlfn.XLOOKUP(M873, Lookup_Tables!$M$2:$M$5,Lookup_Tables!$N$2:$N$5," ", -1)</f>
        <v>New (0-2)</v>
      </c>
      <c r="R873" s="4">
        <f t="shared" si="27"/>
        <v>2.3333333333333335</v>
      </c>
      <c r="S873" t="str">
        <f xml:space="preserve"> _xlfn.XLOOKUP( E873, Lookup_Tables!$A$2:$A$6,Lookup_Tables!$B$2:$B$6," ", -1)</f>
        <v>College</v>
      </c>
      <c r="T873" t="str">
        <f>_xlfn.XLOOKUP(G873,Lookup_Tables!$D$2:$D$5,Lookup_Tables!$E$2:$E$5)</f>
        <v>Very High</v>
      </c>
      <c r="U873" t="str">
        <f>_xlfn.XLOOKUP(H873,Lookup_Tables!$D$2:$D$5,Lookup_Tables!$E$2:$E$5)</f>
        <v>Medium</v>
      </c>
      <c r="V873" t="str">
        <f>_xlfn.XLOOKUP(L873,Lookup_Tables!$D$2:$D$5,Lookup_Tables!$E$2:$E$5)</f>
        <v>Low</v>
      </c>
    </row>
    <row r="874" spans="1:22">
      <c r="A874">
        <f>RAW_DATA!A874</f>
        <v>33</v>
      </c>
      <c r="B874" t="str">
        <f>RAW_DATA!B874</f>
        <v>No</v>
      </c>
      <c r="C874" t="str">
        <f>RAW_DATA!C874</f>
        <v>Sales</v>
      </c>
      <c r="D874">
        <f>RAW_DATA!D874</f>
        <v>25</v>
      </c>
      <c r="E874">
        <f>RAW_DATA!E874</f>
        <v>3</v>
      </c>
      <c r="F874" t="str">
        <f>RAW_DATA!F874</f>
        <v>Medical</v>
      </c>
      <c r="G874">
        <f>RAW_DATA!G874</f>
        <v>2</v>
      </c>
      <c r="H874">
        <f>RAW_DATA!H874</f>
        <v>3</v>
      </c>
      <c r="I874" t="str">
        <f>RAW_DATA!I874</f>
        <v>Married</v>
      </c>
      <c r="J874">
        <f>RAW_DATA!J874</f>
        <v>4539</v>
      </c>
      <c r="K874">
        <f>RAW_DATA!K874</f>
        <v>1</v>
      </c>
      <c r="L874">
        <f>RAW_DATA!L874</f>
        <v>2</v>
      </c>
      <c r="M874">
        <f>RAW_DATA!M874</f>
        <v>10</v>
      </c>
      <c r="N874">
        <f t="shared" si="26"/>
        <v>0</v>
      </c>
      <c r="O874" t="str">
        <f xml:space="preserve"> VLOOKUP(A874, Lookup_Tables!$G$2:$H$6,2,TRUE)</f>
        <v>25-34</v>
      </c>
      <c r="P874" t="str">
        <f>_xlfn.XLOOKUP(J874,Lookup_Tables!$J$2:$J$4,Lookup_Tables!$K$2:$K$4, " ",-1)</f>
        <v>Medium</v>
      </c>
      <c r="Q874" t="str">
        <f xml:space="preserve"> _xlfn.XLOOKUP(M874, Lookup_Tables!$M$2:$M$5,Lookup_Tables!$N$2:$N$5," ", -1)</f>
        <v>Veteran (10+)</v>
      </c>
      <c r="R874" s="4">
        <f t="shared" si="27"/>
        <v>2.3333333333333335</v>
      </c>
      <c r="S874" t="str">
        <f xml:space="preserve"> _xlfn.XLOOKUP( E874, Lookup_Tables!$A$2:$A$6,Lookup_Tables!$B$2:$B$6," ", -1)</f>
        <v>Bachelor</v>
      </c>
      <c r="T874" t="str">
        <f>_xlfn.XLOOKUP(G874,Lookup_Tables!$D$2:$D$5,Lookup_Tables!$E$2:$E$5)</f>
        <v>Medium</v>
      </c>
      <c r="U874" t="str">
        <f>_xlfn.XLOOKUP(H874,Lookup_Tables!$D$2:$D$5,Lookup_Tables!$E$2:$E$5)</f>
        <v>High</v>
      </c>
      <c r="V874" t="str">
        <f>_xlfn.XLOOKUP(L874,Lookup_Tables!$D$2:$D$5,Lookup_Tables!$E$2:$E$5)</f>
        <v>Medium</v>
      </c>
    </row>
    <row r="875" spans="1:22">
      <c r="A875">
        <f>RAW_DATA!A875</f>
        <v>36</v>
      </c>
      <c r="B875" t="str">
        <f>RAW_DATA!B875</f>
        <v>No</v>
      </c>
      <c r="C875" t="str">
        <f>RAW_DATA!C875</f>
        <v>Research &amp; Development</v>
      </c>
      <c r="D875">
        <f>RAW_DATA!D875</f>
        <v>6</v>
      </c>
      <c r="E875">
        <f>RAW_DATA!E875</f>
        <v>4</v>
      </c>
      <c r="F875" t="str">
        <f>RAW_DATA!F875</f>
        <v>Life Sciences</v>
      </c>
      <c r="G875">
        <f>RAW_DATA!G875</f>
        <v>3</v>
      </c>
      <c r="H875">
        <f>RAW_DATA!H875</f>
        <v>3</v>
      </c>
      <c r="I875" t="str">
        <f>RAW_DATA!I875</f>
        <v>Divorced</v>
      </c>
      <c r="J875">
        <f>RAW_DATA!J875</f>
        <v>2741</v>
      </c>
      <c r="K875">
        <f>RAW_DATA!K875</f>
        <v>1</v>
      </c>
      <c r="L875">
        <f>RAW_DATA!L875</f>
        <v>3</v>
      </c>
      <c r="M875">
        <f>RAW_DATA!M875</f>
        <v>7</v>
      </c>
      <c r="N875">
        <f t="shared" si="26"/>
        <v>0</v>
      </c>
      <c r="O875" t="str">
        <f xml:space="preserve"> VLOOKUP(A875, Lookup_Tables!$G$2:$H$6,2,TRUE)</f>
        <v>35-44</v>
      </c>
      <c r="P875" t="str">
        <f>_xlfn.XLOOKUP(J875,Lookup_Tables!$J$2:$J$4,Lookup_Tables!$K$2:$K$4, " ",-1)</f>
        <v>Low</v>
      </c>
      <c r="Q875" t="str">
        <f xml:space="preserve"> _xlfn.XLOOKUP(M875, Lookup_Tables!$M$2:$M$5,Lookup_Tables!$N$2:$N$5," ", -1)</f>
        <v>Established (5-10)</v>
      </c>
      <c r="R875" s="4">
        <f t="shared" si="27"/>
        <v>3</v>
      </c>
      <c r="S875" t="str">
        <f xml:space="preserve"> _xlfn.XLOOKUP( E875, Lookup_Tables!$A$2:$A$6,Lookup_Tables!$B$2:$B$6," ", -1)</f>
        <v>Master</v>
      </c>
      <c r="T875" t="str">
        <f>_xlfn.XLOOKUP(G875,Lookup_Tables!$D$2:$D$5,Lookup_Tables!$E$2:$E$5)</f>
        <v>High</v>
      </c>
      <c r="U875" t="str">
        <f>_xlfn.XLOOKUP(H875,Lookup_Tables!$D$2:$D$5,Lookup_Tables!$E$2:$E$5)</f>
        <v>High</v>
      </c>
      <c r="V875" t="str">
        <f>_xlfn.XLOOKUP(L875,Lookup_Tables!$D$2:$D$5,Lookup_Tables!$E$2:$E$5)</f>
        <v>High</v>
      </c>
    </row>
    <row r="876" spans="1:22">
      <c r="A876">
        <f>RAW_DATA!A876</f>
        <v>30</v>
      </c>
      <c r="B876" t="str">
        <f>RAW_DATA!B876</f>
        <v>No</v>
      </c>
      <c r="C876" t="str">
        <f>RAW_DATA!C876</f>
        <v>Research &amp; Development</v>
      </c>
      <c r="D876">
        <f>RAW_DATA!D876</f>
        <v>7</v>
      </c>
      <c r="E876">
        <f>RAW_DATA!E876</f>
        <v>4</v>
      </c>
      <c r="F876" t="str">
        <f>RAW_DATA!F876</f>
        <v>Life Sciences</v>
      </c>
      <c r="G876">
        <f>RAW_DATA!G876</f>
        <v>3</v>
      </c>
      <c r="H876">
        <f>RAW_DATA!H876</f>
        <v>3</v>
      </c>
      <c r="I876" t="str">
        <f>RAW_DATA!I876</f>
        <v>Divorced</v>
      </c>
      <c r="J876">
        <f>RAW_DATA!J876</f>
        <v>3491</v>
      </c>
      <c r="K876">
        <f>RAW_DATA!K876</f>
        <v>1</v>
      </c>
      <c r="L876">
        <f>RAW_DATA!L876</f>
        <v>2</v>
      </c>
      <c r="M876">
        <f>RAW_DATA!M876</f>
        <v>10</v>
      </c>
      <c r="N876">
        <f t="shared" si="26"/>
        <v>0</v>
      </c>
      <c r="O876" t="str">
        <f xml:space="preserve"> VLOOKUP(A876, Lookup_Tables!$G$2:$H$6,2,TRUE)</f>
        <v>25-34</v>
      </c>
      <c r="P876" t="str">
        <f>_xlfn.XLOOKUP(J876,Lookup_Tables!$J$2:$J$4,Lookup_Tables!$K$2:$K$4, " ",-1)</f>
        <v>Medium</v>
      </c>
      <c r="Q876" t="str">
        <f xml:space="preserve"> _xlfn.XLOOKUP(M876, Lookup_Tables!$M$2:$M$5,Lookup_Tables!$N$2:$N$5," ", -1)</f>
        <v>Veteran (10+)</v>
      </c>
      <c r="R876" s="4">
        <f t="shared" si="27"/>
        <v>2.6666666666666665</v>
      </c>
      <c r="S876" t="str">
        <f xml:space="preserve"> _xlfn.XLOOKUP( E876, Lookup_Tables!$A$2:$A$6,Lookup_Tables!$B$2:$B$6," ", -1)</f>
        <v>Master</v>
      </c>
      <c r="T876" t="str">
        <f>_xlfn.XLOOKUP(G876,Lookup_Tables!$D$2:$D$5,Lookup_Tables!$E$2:$E$5)</f>
        <v>High</v>
      </c>
      <c r="U876" t="str">
        <f>_xlfn.XLOOKUP(H876,Lookup_Tables!$D$2:$D$5,Lookup_Tables!$E$2:$E$5)</f>
        <v>High</v>
      </c>
      <c r="V876" t="str">
        <f>_xlfn.XLOOKUP(L876,Lookup_Tables!$D$2:$D$5,Lookup_Tables!$E$2:$E$5)</f>
        <v>Medium</v>
      </c>
    </row>
    <row r="877" spans="1:22">
      <c r="A877">
        <f>RAW_DATA!A877</f>
        <v>44</v>
      </c>
      <c r="B877" t="str">
        <f>RAW_DATA!B877</f>
        <v>No</v>
      </c>
      <c r="C877" t="str">
        <f>RAW_DATA!C877</f>
        <v>Research &amp; Development</v>
      </c>
      <c r="D877">
        <f>RAW_DATA!D877</f>
        <v>29</v>
      </c>
      <c r="E877">
        <f>RAW_DATA!E877</f>
        <v>4</v>
      </c>
      <c r="F877" t="str">
        <f>RAW_DATA!F877</f>
        <v>Other</v>
      </c>
      <c r="G877">
        <f>RAW_DATA!G877</f>
        <v>4</v>
      </c>
      <c r="H877">
        <f>RAW_DATA!H877</f>
        <v>4</v>
      </c>
      <c r="I877" t="str">
        <f>RAW_DATA!I877</f>
        <v>Single</v>
      </c>
      <c r="J877">
        <f>RAW_DATA!J877</f>
        <v>4541</v>
      </c>
      <c r="K877">
        <f>RAW_DATA!K877</f>
        <v>1</v>
      </c>
      <c r="L877">
        <f>RAW_DATA!L877</f>
        <v>3</v>
      </c>
      <c r="M877">
        <f>RAW_DATA!M877</f>
        <v>20</v>
      </c>
      <c r="N877">
        <f t="shared" si="26"/>
        <v>0</v>
      </c>
      <c r="O877" t="str">
        <f xml:space="preserve"> VLOOKUP(A877, Lookup_Tables!$G$2:$H$6,2,TRUE)</f>
        <v>35-44</v>
      </c>
      <c r="P877" t="str">
        <f>_xlfn.XLOOKUP(J877,Lookup_Tables!$J$2:$J$4,Lookup_Tables!$K$2:$K$4, " ",-1)</f>
        <v>Medium</v>
      </c>
      <c r="Q877" t="str">
        <f xml:space="preserve"> _xlfn.XLOOKUP(M877, Lookup_Tables!$M$2:$M$5,Lookup_Tables!$N$2:$N$5," ", -1)</f>
        <v>Veteran (10+)</v>
      </c>
      <c r="R877" s="4">
        <f t="shared" si="27"/>
        <v>3.6666666666666665</v>
      </c>
      <c r="S877" t="str">
        <f xml:space="preserve"> _xlfn.XLOOKUP( E877, Lookup_Tables!$A$2:$A$6,Lookup_Tables!$B$2:$B$6," ", -1)</f>
        <v>Master</v>
      </c>
      <c r="T877" t="str">
        <f>_xlfn.XLOOKUP(G877,Lookup_Tables!$D$2:$D$5,Lookup_Tables!$E$2:$E$5)</f>
        <v>Very High</v>
      </c>
      <c r="U877" t="str">
        <f>_xlfn.XLOOKUP(H877,Lookup_Tables!$D$2:$D$5,Lookup_Tables!$E$2:$E$5)</f>
        <v>Very High</v>
      </c>
      <c r="V877" t="str">
        <f>_xlfn.XLOOKUP(L877,Lookup_Tables!$D$2:$D$5,Lookup_Tables!$E$2:$E$5)</f>
        <v>High</v>
      </c>
    </row>
    <row r="878" spans="1:22">
      <c r="A878">
        <f>RAW_DATA!A878</f>
        <v>20</v>
      </c>
      <c r="B878" t="str">
        <f>RAW_DATA!B878</f>
        <v>No</v>
      </c>
      <c r="C878" t="str">
        <f>RAW_DATA!C878</f>
        <v>Sales</v>
      </c>
      <c r="D878">
        <f>RAW_DATA!D878</f>
        <v>21</v>
      </c>
      <c r="E878">
        <f>RAW_DATA!E878</f>
        <v>3</v>
      </c>
      <c r="F878" t="str">
        <f>RAW_DATA!F878</f>
        <v>Marketing</v>
      </c>
      <c r="G878">
        <f>RAW_DATA!G878</f>
        <v>3</v>
      </c>
      <c r="H878">
        <f>RAW_DATA!H878</f>
        <v>4</v>
      </c>
      <c r="I878" t="str">
        <f>RAW_DATA!I878</f>
        <v>Single</v>
      </c>
      <c r="J878">
        <f>RAW_DATA!J878</f>
        <v>2678</v>
      </c>
      <c r="K878">
        <f>RAW_DATA!K878</f>
        <v>1</v>
      </c>
      <c r="L878">
        <f>RAW_DATA!L878</f>
        <v>3</v>
      </c>
      <c r="M878">
        <f>RAW_DATA!M878</f>
        <v>2</v>
      </c>
      <c r="N878">
        <f t="shared" si="26"/>
        <v>0</v>
      </c>
      <c r="O878" t="str">
        <f xml:space="preserve"> VLOOKUP(A878, Lookup_Tables!$G$2:$H$6,2,TRUE)</f>
        <v>&lt;25</v>
      </c>
      <c r="P878" t="str">
        <f>_xlfn.XLOOKUP(J878,Lookup_Tables!$J$2:$J$4,Lookup_Tables!$K$2:$K$4, " ",-1)</f>
        <v>Low</v>
      </c>
      <c r="Q878" t="str">
        <f xml:space="preserve"> _xlfn.XLOOKUP(M878, Lookup_Tables!$M$2:$M$5,Lookup_Tables!$N$2:$N$5," ", -1)</f>
        <v>Early (2-5)</v>
      </c>
      <c r="R878" s="4">
        <f t="shared" si="27"/>
        <v>3.3333333333333335</v>
      </c>
      <c r="S878" t="str">
        <f xml:space="preserve"> _xlfn.XLOOKUP( E878, Lookup_Tables!$A$2:$A$6,Lookup_Tables!$B$2:$B$6," ", -1)</f>
        <v>Bachelor</v>
      </c>
      <c r="T878" t="str">
        <f>_xlfn.XLOOKUP(G878,Lookup_Tables!$D$2:$D$5,Lookup_Tables!$E$2:$E$5)</f>
        <v>High</v>
      </c>
      <c r="U878" t="str">
        <f>_xlfn.XLOOKUP(H878,Lookup_Tables!$D$2:$D$5,Lookup_Tables!$E$2:$E$5)</f>
        <v>Very High</v>
      </c>
      <c r="V878" t="str">
        <f>_xlfn.XLOOKUP(L878,Lookup_Tables!$D$2:$D$5,Lookup_Tables!$E$2:$E$5)</f>
        <v>High</v>
      </c>
    </row>
    <row r="879" spans="1:22">
      <c r="A879">
        <f>RAW_DATA!A879</f>
        <v>46</v>
      </c>
      <c r="B879" t="str">
        <f>RAW_DATA!B879</f>
        <v>No</v>
      </c>
      <c r="C879" t="str">
        <f>RAW_DATA!C879</f>
        <v>Research &amp; Development</v>
      </c>
      <c r="D879">
        <f>RAW_DATA!D879</f>
        <v>2</v>
      </c>
      <c r="E879">
        <f>RAW_DATA!E879</f>
        <v>4</v>
      </c>
      <c r="F879" t="str">
        <f>RAW_DATA!F879</f>
        <v>Technical Degree</v>
      </c>
      <c r="G879">
        <f>RAW_DATA!G879</f>
        <v>4</v>
      </c>
      <c r="H879">
        <f>RAW_DATA!H879</f>
        <v>4</v>
      </c>
      <c r="I879" t="str">
        <f>RAW_DATA!I879</f>
        <v>Divorced</v>
      </c>
      <c r="J879">
        <f>RAW_DATA!J879</f>
        <v>7379</v>
      </c>
      <c r="K879">
        <f>RAW_DATA!K879</f>
        <v>2</v>
      </c>
      <c r="L879">
        <f>RAW_DATA!L879</f>
        <v>2</v>
      </c>
      <c r="M879">
        <f>RAW_DATA!M879</f>
        <v>6</v>
      </c>
      <c r="N879">
        <f t="shared" si="26"/>
        <v>0</v>
      </c>
      <c r="O879" t="str">
        <f xml:space="preserve"> VLOOKUP(A879, Lookup_Tables!$G$2:$H$6,2,TRUE)</f>
        <v>45-54</v>
      </c>
      <c r="P879" t="str">
        <f>_xlfn.XLOOKUP(J879,Lookup_Tables!$J$2:$J$4,Lookup_Tables!$K$2:$K$4, " ",-1)</f>
        <v>High</v>
      </c>
      <c r="Q879" t="str">
        <f xml:space="preserve"> _xlfn.XLOOKUP(M879, Lookup_Tables!$M$2:$M$5,Lookup_Tables!$N$2:$N$5," ", -1)</f>
        <v>Established (5-10)</v>
      </c>
      <c r="R879" s="4">
        <f t="shared" si="27"/>
        <v>3.3333333333333335</v>
      </c>
      <c r="S879" t="str">
        <f xml:space="preserve"> _xlfn.XLOOKUP( E879, Lookup_Tables!$A$2:$A$6,Lookup_Tables!$B$2:$B$6," ", -1)</f>
        <v>Master</v>
      </c>
      <c r="T879" t="str">
        <f>_xlfn.XLOOKUP(G879,Lookup_Tables!$D$2:$D$5,Lookup_Tables!$E$2:$E$5)</f>
        <v>Very High</v>
      </c>
      <c r="U879" t="str">
        <f>_xlfn.XLOOKUP(H879,Lookup_Tables!$D$2:$D$5,Lookup_Tables!$E$2:$E$5)</f>
        <v>Very High</v>
      </c>
      <c r="V879" t="str">
        <f>_xlfn.XLOOKUP(L879,Lookup_Tables!$D$2:$D$5,Lookup_Tables!$E$2:$E$5)</f>
        <v>Medium</v>
      </c>
    </row>
    <row r="880" spans="1:22">
      <c r="A880">
        <f>RAW_DATA!A880</f>
        <v>42</v>
      </c>
      <c r="B880" t="str">
        <f>RAW_DATA!B880</f>
        <v>No</v>
      </c>
      <c r="C880" t="str">
        <f>RAW_DATA!C880</f>
        <v>Human Resources</v>
      </c>
      <c r="D880">
        <f>RAW_DATA!D880</f>
        <v>2</v>
      </c>
      <c r="E880">
        <f>RAW_DATA!E880</f>
        <v>5</v>
      </c>
      <c r="F880" t="str">
        <f>RAW_DATA!F880</f>
        <v>Medical</v>
      </c>
      <c r="G880">
        <f>RAW_DATA!G880</f>
        <v>4</v>
      </c>
      <c r="H880">
        <f>RAW_DATA!H880</f>
        <v>1</v>
      </c>
      <c r="I880" t="str">
        <f>RAW_DATA!I880</f>
        <v>Married</v>
      </c>
      <c r="J880">
        <f>RAW_DATA!J880</f>
        <v>6272</v>
      </c>
      <c r="K880">
        <f>RAW_DATA!K880</f>
        <v>7</v>
      </c>
      <c r="L880">
        <f>RAW_DATA!L880</f>
        <v>4</v>
      </c>
      <c r="M880">
        <f>RAW_DATA!M880</f>
        <v>4</v>
      </c>
      <c r="N880">
        <f t="shared" si="26"/>
        <v>0</v>
      </c>
      <c r="O880" t="str">
        <f xml:space="preserve"> VLOOKUP(A880, Lookup_Tables!$G$2:$H$6,2,TRUE)</f>
        <v>35-44</v>
      </c>
      <c r="P880" t="str">
        <f>_xlfn.XLOOKUP(J880,Lookup_Tables!$J$2:$J$4,Lookup_Tables!$K$2:$K$4, " ",-1)</f>
        <v>Medium</v>
      </c>
      <c r="Q880" t="str">
        <f xml:space="preserve"> _xlfn.XLOOKUP(M880, Lookup_Tables!$M$2:$M$5,Lookup_Tables!$N$2:$N$5," ", -1)</f>
        <v>Early (2-5)</v>
      </c>
      <c r="R880" s="4">
        <f t="shared" si="27"/>
        <v>3</v>
      </c>
      <c r="S880" t="str">
        <f xml:space="preserve"> _xlfn.XLOOKUP( E880, Lookup_Tables!$A$2:$A$6,Lookup_Tables!$B$2:$B$6," ", -1)</f>
        <v>Doctor</v>
      </c>
      <c r="T880" t="str">
        <f>_xlfn.XLOOKUP(G880,Lookup_Tables!$D$2:$D$5,Lookup_Tables!$E$2:$E$5)</f>
        <v>Very High</v>
      </c>
      <c r="U880" t="str">
        <f>_xlfn.XLOOKUP(H880,Lookup_Tables!$D$2:$D$5,Lookup_Tables!$E$2:$E$5)</f>
        <v>Low</v>
      </c>
      <c r="V880" t="str">
        <f>_xlfn.XLOOKUP(L880,Lookup_Tables!$D$2:$D$5,Lookup_Tables!$E$2:$E$5)</f>
        <v>Very High</v>
      </c>
    </row>
    <row r="881" spans="1:22">
      <c r="A881">
        <f>RAW_DATA!A881</f>
        <v>60</v>
      </c>
      <c r="B881" t="str">
        <f>RAW_DATA!B881</f>
        <v>No</v>
      </c>
      <c r="C881" t="str">
        <f>RAW_DATA!C881</f>
        <v>Sales</v>
      </c>
      <c r="D881">
        <f>RAW_DATA!D881</f>
        <v>7</v>
      </c>
      <c r="E881">
        <f>RAW_DATA!E881</f>
        <v>4</v>
      </c>
      <c r="F881" t="str">
        <f>RAW_DATA!F881</f>
        <v>Marketing</v>
      </c>
      <c r="G881">
        <f>RAW_DATA!G881</f>
        <v>2</v>
      </c>
      <c r="H881">
        <f>RAW_DATA!H881</f>
        <v>4</v>
      </c>
      <c r="I881" t="str">
        <f>RAW_DATA!I881</f>
        <v>Divorced</v>
      </c>
      <c r="J881">
        <f>RAW_DATA!J881</f>
        <v>5220</v>
      </c>
      <c r="K881">
        <f>RAW_DATA!K881</f>
        <v>0</v>
      </c>
      <c r="L881">
        <f>RAW_DATA!L881</f>
        <v>3</v>
      </c>
      <c r="M881">
        <f>RAW_DATA!M881</f>
        <v>11</v>
      </c>
      <c r="N881">
        <f t="shared" si="26"/>
        <v>0</v>
      </c>
      <c r="O881" t="str">
        <f xml:space="preserve"> VLOOKUP(A881, Lookup_Tables!$G$2:$H$6,2,TRUE)</f>
        <v>55+</v>
      </c>
      <c r="P881" t="str">
        <f>_xlfn.XLOOKUP(J881,Lookup_Tables!$J$2:$J$4,Lookup_Tables!$K$2:$K$4, " ",-1)</f>
        <v>Medium</v>
      </c>
      <c r="Q881" t="str">
        <f xml:space="preserve"> _xlfn.XLOOKUP(M881, Lookup_Tables!$M$2:$M$5,Lookup_Tables!$N$2:$N$5," ", -1)</f>
        <v>Veteran (10+)</v>
      </c>
      <c r="R881" s="4">
        <f t="shared" si="27"/>
        <v>3</v>
      </c>
      <c r="S881" t="str">
        <f xml:space="preserve"> _xlfn.XLOOKUP( E881, Lookup_Tables!$A$2:$A$6,Lookup_Tables!$B$2:$B$6," ", -1)</f>
        <v>Master</v>
      </c>
      <c r="T881" t="str">
        <f>_xlfn.XLOOKUP(G881,Lookup_Tables!$D$2:$D$5,Lookup_Tables!$E$2:$E$5)</f>
        <v>Medium</v>
      </c>
      <c r="U881" t="str">
        <f>_xlfn.XLOOKUP(H881,Lookup_Tables!$D$2:$D$5,Lookup_Tables!$E$2:$E$5)</f>
        <v>Very High</v>
      </c>
      <c r="V881" t="str">
        <f>_xlfn.XLOOKUP(L881,Lookup_Tables!$D$2:$D$5,Lookup_Tables!$E$2:$E$5)</f>
        <v>High</v>
      </c>
    </row>
    <row r="882" spans="1:22">
      <c r="A882">
        <f>RAW_DATA!A882</f>
        <v>32</v>
      </c>
      <c r="B882" t="str">
        <f>RAW_DATA!B882</f>
        <v>No</v>
      </c>
      <c r="C882" t="str">
        <f>RAW_DATA!C882</f>
        <v>Research &amp; Development</v>
      </c>
      <c r="D882">
        <f>RAW_DATA!D882</f>
        <v>13</v>
      </c>
      <c r="E882">
        <f>RAW_DATA!E882</f>
        <v>3</v>
      </c>
      <c r="F882" t="str">
        <f>RAW_DATA!F882</f>
        <v>Other</v>
      </c>
      <c r="G882">
        <f>RAW_DATA!G882</f>
        <v>3</v>
      </c>
      <c r="H882">
        <f>RAW_DATA!H882</f>
        <v>2</v>
      </c>
      <c r="I882" t="str">
        <f>RAW_DATA!I882</f>
        <v>Married</v>
      </c>
      <c r="J882">
        <f>RAW_DATA!J882</f>
        <v>2743</v>
      </c>
      <c r="K882">
        <f>RAW_DATA!K882</f>
        <v>1</v>
      </c>
      <c r="L882">
        <f>RAW_DATA!L882</f>
        <v>3</v>
      </c>
      <c r="M882">
        <f>RAW_DATA!M882</f>
        <v>2</v>
      </c>
      <c r="N882">
        <f t="shared" si="26"/>
        <v>0</v>
      </c>
      <c r="O882" t="str">
        <f xml:space="preserve"> VLOOKUP(A882, Lookup_Tables!$G$2:$H$6,2,TRUE)</f>
        <v>25-34</v>
      </c>
      <c r="P882" t="str">
        <f>_xlfn.XLOOKUP(J882,Lookup_Tables!$J$2:$J$4,Lookup_Tables!$K$2:$K$4, " ",-1)</f>
        <v>Low</v>
      </c>
      <c r="Q882" t="str">
        <f xml:space="preserve"> _xlfn.XLOOKUP(M882, Lookup_Tables!$M$2:$M$5,Lookup_Tables!$N$2:$N$5," ", -1)</f>
        <v>Early (2-5)</v>
      </c>
      <c r="R882" s="4">
        <f t="shared" si="27"/>
        <v>2.6666666666666665</v>
      </c>
      <c r="S882" t="str">
        <f xml:space="preserve"> _xlfn.XLOOKUP( E882, Lookup_Tables!$A$2:$A$6,Lookup_Tables!$B$2:$B$6," ", -1)</f>
        <v>Bachelor</v>
      </c>
      <c r="T882" t="str">
        <f>_xlfn.XLOOKUP(G882,Lookup_Tables!$D$2:$D$5,Lookup_Tables!$E$2:$E$5)</f>
        <v>High</v>
      </c>
      <c r="U882" t="str">
        <f>_xlfn.XLOOKUP(H882,Lookup_Tables!$D$2:$D$5,Lookup_Tables!$E$2:$E$5)</f>
        <v>Medium</v>
      </c>
      <c r="V882" t="str">
        <f>_xlfn.XLOOKUP(L882,Lookup_Tables!$D$2:$D$5,Lookup_Tables!$E$2:$E$5)</f>
        <v>High</v>
      </c>
    </row>
    <row r="883" spans="1:22">
      <c r="A883">
        <f>RAW_DATA!A883</f>
        <v>32</v>
      </c>
      <c r="B883" t="str">
        <f>RAW_DATA!B883</f>
        <v>No</v>
      </c>
      <c r="C883" t="str">
        <f>RAW_DATA!C883</f>
        <v>Research &amp; Development</v>
      </c>
      <c r="D883">
        <f>RAW_DATA!D883</f>
        <v>2</v>
      </c>
      <c r="E883">
        <f>RAW_DATA!E883</f>
        <v>2</v>
      </c>
      <c r="F883" t="str">
        <f>RAW_DATA!F883</f>
        <v>Life Sciences</v>
      </c>
      <c r="G883">
        <f>RAW_DATA!G883</f>
        <v>4</v>
      </c>
      <c r="H883">
        <f>RAW_DATA!H883</f>
        <v>3</v>
      </c>
      <c r="I883" t="str">
        <f>RAW_DATA!I883</f>
        <v>Single</v>
      </c>
      <c r="J883">
        <f>RAW_DATA!J883</f>
        <v>4998</v>
      </c>
      <c r="K883">
        <f>RAW_DATA!K883</f>
        <v>4</v>
      </c>
      <c r="L883">
        <f>RAW_DATA!L883</f>
        <v>3</v>
      </c>
      <c r="M883">
        <f>RAW_DATA!M883</f>
        <v>8</v>
      </c>
      <c r="N883">
        <f t="shared" si="26"/>
        <v>0</v>
      </c>
      <c r="O883" t="str">
        <f xml:space="preserve"> VLOOKUP(A883, Lookup_Tables!$G$2:$H$6,2,TRUE)</f>
        <v>25-34</v>
      </c>
      <c r="P883" t="str">
        <f>_xlfn.XLOOKUP(J883,Lookup_Tables!$J$2:$J$4,Lookup_Tables!$K$2:$K$4, " ",-1)</f>
        <v>Medium</v>
      </c>
      <c r="Q883" t="str">
        <f xml:space="preserve"> _xlfn.XLOOKUP(M883, Lookup_Tables!$M$2:$M$5,Lookup_Tables!$N$2:$N$5," ", -1)</f>
        <v>Established (5-10)</v>
      </c>
      <c r="R883" s="4">
        <f t="shared" si="27"/>
        <v>3.3333333333333335</v>
      </c>
      <c r="S883" t="str">
        <f xml:space="preserve"> _xlfn.XLOOKUP( E883, Lookup_Tables!$A$2:$A$6,Lookup_Tables!$B$2:$B$6," ", -1)</f>
        <v>College</v>
      </c>
      <c r="T883" t="str">
        <f>_xlfn.XLOOKUP(G883,Lookup_Tables!$D$2:$D$5,Lookup_Tables!$E$2:$E$5)</f>
        <v>Very High</v>
      </c>
      <c r="U883" t="str">
        <f>_xlfn.XLOOKUP(H883,Lookup_Tables!$D$2:$D$5,Lookup_Tables!$E$2:$E$5)</f>
        <v>High</v>
      </c>
      <c r="V883" t="str">
        <f>_xlfn.XLOOKUP(L883,Lookup_Tables!$D$2:$D$5,Lookup_Tables!$E$2:$E$5)</f>
        <v>High</v>
      </c>
    </row>
    <row r="884" spans="1:22">
      <c r="A884">
        <f>RAW_DATA!A884</f>
        <v>36</v>
      </c>
      <c r="B884" t="str">
        <f>RAW_DATA!B884</f>
        <v>No</v>
      </c>
      <c r="C884" t="str">
        <f>RAW_DATA!C884</f>
        <v>Research &amp; Development</v>
      </c>
      <c r="D884">
        <f>RAW_DATA!D884</f>
        <v>1</v>
      </c>
      <c r="E884">
        <f>RAW_DATA!E884</f>
        <v>3</v>
      </c>
      <c r="F884" t="str">
        <f>RAW_DATA!F884</f>
        <v>Technical Degree</v>
      </c>
      <c r="G884">
        <f>RAW_DATA!G884</f>
        <v>3</v>
      </c>
      <c r="H884">
        <f>RAW_DATA!H884</f>
        <v>1</v>
      </c>
      <c r="I884" t="str">
        <f>RAW_DATA!I884</f>
        <v>Divorced</v>
      </c>
      <c r="J884">
        <f>RAW_DATA!J884</f>
        <v>10252</v>
      </c>
      <c r="K884">
        <f>RAW_DATA!K884</f>
        <v>2</v>
      </c>
      <c r="L884">
        <f>RAW_DATA!L884</f>
        <v>3</v>
      </c>
      <c r="M884">
        <f>RAW_DATA!M884</f>
        <v>7</v>
      </c>
      <c r="N884">
        <f t="shared" si="26"/>
        <v>0</v>
      </c>
      <c r="O884" t="str">
        <f xml:space="preserve"> VLOOKUP(A884, Lookup_Tables!$G$2:$H$6,2,TRUE)</f>
        <v>35-44</v>
      </c>
      <c r="P884" t="str">
        <f>_xlfn.XLOOKUP(J884,Lookup_Tables!$J$2:$J$4,Lookup_Tables!$K$2:$K$4, " ",-1)</f>
        <v>High</v>
      </c>
      <c r="Q884" t="str">
        <f xml:space="preserve"> _xlfn.XLOOKUP(M884, Lookup_Tables!$M$2:$M$5,Lookup_Tables!$N$2:$N$5," ", -1)</f>
        <v>Established (5-10)</v>
      </c>
      <c r="R884" s="4">
        <f t="shared" si="27"/>
        <v>2.3333333333333335</v>
      </c>
      <c r="S884" t="str">
        <f xml:space="preserve"> _xlfn.XLOOKUP( E884, Lookup_Tables!$A$2:$A$6,Lookup_Tables!$B$2:$B$6," ", -1)</f>
        <v>Bachelor</v>
      </c>
      <c r="T884" t="str">
        <f>_xlfn.XLOOKUP(G884,Lookup_Tables!$D$2:$D$5,Lookup_Tables!$E$2:$E$5)</f>
        <v>High</v>
      </c>
      <c r="U884" t="str">
        <f>_xlfn.XLOOKUP(H884,Lookup_Tables!$D$2:$D$5,Lookup_Tables!$E$2:$E$5)</f>
        <v>Low</v>
      </c>
      <c r="V884" t="str">
        <f>_xlfn.XLOOKUP(L884,Lookup_Tables!$D$2:$D$5,Lookup_Tables!$E$2:$E$5)</f>
        <v>High</v>
      </c>
    </row>
    <row r="885" spans="1:22">
      <c r="A885">
        <f>RAW_DATA!A885</f>
        <v>33</v>
      </c>
      <c r="B885" t="str">
        <f>RAW_DATA!B885</f>
        <v>No</v>
      </c>
      <c r="C885" t="str">
        <f>RAW_DATA!C885</f>
        <v>Research &amp; Development</v>
      </c>
      <c r="D885">
        <f>RAW_DATA!D885</f>
        <v>9</v>
      </c>
      <c r="E885">
        <f>RAW_DATA!E885</f>
        <v>3</v>
      </c>
      <c r="F885" t="str">
        <f>RAW_DATA!F885</f>
        <v>Medical</v>
      </c>
      <c r="G885">
        <f>RAW_DATA!G885</f>
        <v>1</v>
      </c>
      <c r="H885">
        <f>RAW_DATA!H885</f>
        <v>4</v>
      </c>
      <c r="I885" t="str">
        <f>RAW_DATA!I885</f>
        <v>Married</v>
      </c>
      <c r="J885">
        <f>RAW_DATA!J885</f>
        <v>2781</v>
      </c>
      <c r="K885">
        <f>RAW_DATA!K885</f>
        <v>0</v>
      </c>
      <c r="L885">
        <f>RAW_DATA!L885</f>
        <v>3</v>
      </c>
      <c r="M885">
        <f>RAW_DATA!M885</f>
        <v>14</v>
      </c>
      <c r="N885">
        <f t="shared" si="26"/>
        <v>0</v>
      </c>
      <c r="O885" t="str">
        <f xml:space="preserve"> VLOOKUP(A885, Lookup_Tables!$G$2:$H$6,2,TRUE)</f>
        <v>25-34</v>
      </c>
      <c r="P885" t="str">
        <f>_xlfn.XLOOKUP(J885,Lookup_Tables!$J$2:$J$4,Lookup_Tables!$K$2:$K$4, " ",-1)</f>
        <v>Low</v>
      </c>
      <c r="Q885" t="str">
        <f xml:space="preserve"> _xlfn.XLOOKUP(M885, Lookup_Tables!$M$2:$M$5,Lookup_Tables!$N$2:$N$5," ", -1)</f>
        <v>Veteran (10+)</v>
      </c>
      <c r="R885" s="4">
        <f t="shared" si="27"/>
        <v>2.6666666666666665</v>
      </c>
      <c r="S885" t="str">
        <f xml:space="preserve"> _xlfn.XLOOKUP( E885, Lookup_Tables!$A$2:$A$6,Lookup_Tables!$B$2:$B$6," ", -1)</f>
        <v>Bachelor</v>
      </c>
      <c r="T885" t="str">
        <f>_xlfn.XLOOKUP(G885,Lookup_Tables!$D$2:$D$5,Lookup_Tables!$E$2:$E$5)</f>
        <v>Low</v>
      </c>
      <c r="U885" t="str">
        <f>_xlfn.XLOOKUP(H885,Lookup_Tables!$D$2:$D$5,Lookup_Tables!$E$2:$E$5)</f>
        <v>Very High</v>
      </c>
      <c r="V885" t="str">
        <f>_xlfn.XLOOKUP(L885,Lookup_Tables!$D$2:$D$5,Lookup_Tables!$E$2:$E$5)</f>
        <v>High</v>
      </c>
    </row>
    <row r="886" spans="1:22">
      <c r="A886">
        <f>RAW_DATA!A886</f>
        <v>40</v>
      </c>
      <c r="B886" t="str">
        <f>RAW_DATA!B886</f>
        <v>No</v>
      </c>
      <c r="C886" t="str">
        <f>RAW_DATA!C886</f>
        <v>Sales</v>
      </c>
      <c r="D886">
        <f>RAW_DATA!D886</f>
        <v>10</v>
      </c>
      <c r="E886">
        <f>RAW_DATA!E886</f>
        <v>3</v>
      </c>
      <c r="F886" t="str">
        <f>RAW_DATA!F886</f>
        <v>Technical Degree</v>
      </c>
      <c r="G886">
        <f>RAW_DATA!G886</f>
        <v>2</v>
      </c>
      <c r="H886">
        <f>RAW_DATA!H886</f>
        <v>2</v>
      </c>
      <c r="I886" t="str">
        <f>RAW_DATA!I886</f>
        <v>Divorced</v>
      </c>
      <c r="J886">
        <f>RAW_DATA!J886</f>
        <v>6852</v>
      </c>
      <c r="K886">
        <f>RAW_DATA!K886</f>
        <v>7</v>
      </c>
      <c r="L886">
        <f>RAW_DATA!L886</f>
        <v>4</v>
      </c>
      <c r="M886">
        <f>RAW_DATA!M886</f>
        <v>5</v>
      </c>
      <c r="N886">
        <f t="shared" si="26"/>
        <v>0</v>
      </c>
      <c r="O886" t="str">
        <f xml:space="preserve"> VLOOKUP(A886, Lookup_Tables!$G$2:$H$6,2,TRUE)</f>
        <v>35-44</v>
      </c>
      <c r="P886" t="str">
        <f>_xlfn.XLOOKUP(J886,Lookup_Tables!$J$2:$J$4,Lookup_Tables!$K$2:$K$4, " ",-1)</f>
        <v>Medium</v>
      </c>
      <c r="Q886" t="str">
        <f xml:space="preserve"> _xlfn.XLOOKUP(M886, Lookup_Tables!$M$2:$M$5,Lookup_Tables!$N$2:$N$5," ", -1)</f>
        <v>Established (5-10)</v>
      </c>
      <c r="R886" s="4">
        <f t="shared" si="27"/>
        <v>2.6666666666666665</v>
      </c>
      <c r="S886" t="str">
        <f xml:space="preserve"> _xlfn.XLOOKUP( E886, Lookup_Tables!$A$2:$A$6,Lookup_Tables!$B$2:$B$6," ", -1)</f>
        <v>Bachelor</v>
      </c>
      <c r="T886" t="str">
        <f>_xlfn.XLOOKUP(G886,Lookup_Tables!$D$2:$D$5,Lookup_Tables!$E$2:$E$5)</f>
        <v>Medium</v>
      </c>
      <c r="U886" t="str">
        <f>_xlfn.XLOOKUP(H886,Lookup_Tables!$D$2:$D$5,Lookup_Tables!$E$2:$E$5)</f>
        <v>Medium</v>
      </c>
      <c r="V886" t="str">
        <f>_xlfn.XLOOKUP(L886,Lookup_Tables!$D$2:$D$5,Lookup_Tables!$E$2:$E$5)</f>
        <v>Very High</v>
      </c>
    </row>
    <row r="887" spans="1:22">
      <c r="A887">
        <f>RAW_DATA!A887</f>
        <v>25</v>
      </c>
      <c r="B887" t="str">
        <f>RAW_DATA!B887</f>
        <v>No</v>
      </c>
      <c r="C887" t="str">
        <f>RAW_DATA!C887</f>
        <v>Sales</v>
      </c>
      <c r="D887">
        <f>RAW_DATA!D887</f>
        <v>10</v>
      </c>
      <c r="E887">
        <f>RAW_DATA!E887</f>
        <v>4</v>
      </c>
      <c r="F887" t="str">
        <f>RAW_DATA!F887</f>
        <v>Life Sciences</v>
      </c>
      <c r="G887">
        <f>RAW_DATA!G887</f>
        <v>3</v>
      </c>
      <c r="H887">
        <f>RAW_DATA!H887</f>
        <v>4</v>
      </c>
      <c r="I887" t="str">
        <f>RAW_DATA!I887</f>
        <v>Single</v>
      </c>
      <c r="J887">
        <f>RAW_DATA!J887</f>
        <v>4950</v>
      </c>
      <c r="K887">
        <f>RAW_DATA!K887</f>
        <v>0</v>
      </c>
      <c r="L887">
        <f>RAW_DATA!L887</f>
        <v>3</v>
      </c>
      <c r="M887">
        <f>RAW_DATA!M887</f>
        <v>4</v>
      </c>
      <c r="N887">
        <f t="shared" si="26"/>
        <v>0</v>
      </c>
      <c r="O887" t="str">
        <f xml:space="preserve"> VLOOKUP(A887, Lookup_Tables!$G$2:$H$6,2,TRUE)</f>
        <v>25-34</v>
      </c>
      <c r="P887" t="str">
        <f>_xlfn.XLOOKUP(J887,Lookup_Tables!$J$2:$J$4,Lookup_Tables!$K$2:$K$4, " ",-1)</f>
        <v>Medium</v>
      </c>
      <c r="Q887" t="str">
        <f xml:space="preserve"> _xlfn.XLOOKUP(M887, Lookup_Tables!$M$2:$M$5,Lookup_Tables!$N$2:$N$5," ", -1)</f>
        <v>Early (2-5)</v>
      </c>
      <c r="R887" s="4">
        <f t="shared" si="27"/>
        <v>3.3333333333333335</v>
      </c>
      <c r="S887" t="str">
        <f xml:space="preserve"> _xlfn.XLOOKUP( E887, Lookup_Tables!$A$2:$A$6,Lookup_Tables!$B$2:$B$6," ", -1)</f>
        <v>Master</v>
      </c>
      <c r="T887" t="str">
        <f>_xlfn.XLOOKUP(G887,Lookup_Tables!$D$2:$D$5,Lookup_Tables!$E$2:$E$5)</f>
        <v>High</v>
      </c>
      <c r="U887" t="str">
        <f>_xlfn.XLOOKUP(H887,Lookup_Tables!$D$2:$D$5,Lookup_Tables!$E$2:$E$5)</f>
        <v>Very High</v>
      </c>
      <c r="V887" t="str">
        <f>_xlfn.XLOOKUP(L887,Lookup_Tables!$D$2:$D$5,Lookup_Tables!$E$2:$E$5)</f>
        <v>High</v>
      </c>
    </row>
    <row r="888" spans="1:22">
      <c r="A888">
        <f>RAW_DATA!A888</f>
        <v>30</v>
      </c>
      <c r="B888" t="str">
        <f>RAW_DATA!B888</f>
        <v>No</v>
      </c>
      <c r="C888" t="str">
        <f>RAW_DATA!C888</f>
        <v>Research &amp; Development</v>
      </c>
      <c r="D888">
        <f>RAW_DATA!D888</f>
        <v>1</v>
      </c>
      <c r="E888">
        <f>RAW_DATA!E888</f>
        <v>3</v>
      </c>
      <c r="F888" t="str">
        <f>RAW_DATA!F888</f>
        <v>Medical</v>
      </c>
      <c r="G888">
        <f>RAW_DATA!G888</f>
        <v>4</v>
      </c>
      <c r="H888">
        <f>RAW_DATA!H888</f>
        <v>2</v>
      </c>
      <c r="I888" t="str">
        <f>RAW_DATA!I888</f>
        <v>Married</v>
      </c>
      <c r="J888">
        <f>RAW_DATA!J888</f>
        <v>3579</v>
      </c>
      <c r="K888">
        <f>RAW_DATA!K888</f>
        <v>0</v>
      </c>
      <c r="L888">
        <f>RAW_DATA!L888</f>
        <v>3</v>
      </c>
      <c r="M888">
        <f>RAW_DATA!M888</f>
        <v>11</v>
      </c>
      <c r="N888">
        <f t="shared" si="26"/>
        <v>0</v>
      </c>
      <c r="O888" t="str">
        <f xml:space="preserve"> VLOOKUP(A888, Lookup_Tables!$G$2:$H$6,2,TRUE)</f>
        <v>25-34</v>
      </c>
      <c r="P888" t="str">
        <f>_xlfn.XLOOKUP(J888,Lookup_Tables!$J$2:$J$4,Lookup_Tables!$K$2:$K$4, " ",-1)</f>
        <v>Medium</v>
      </c>
      <c r="Q888" t="str">
        <f xml:space="preserve"> _xlfn.XLOOKUP(M888, Lookup_Tables!$M$2:$M$5,Lookup_Tables!$N$2:$N$5," ", -1)</f>
        <v>Veteran (10+)</v>
      </c>
      <c r="R888" s="4">
        <f t="shared" si="27"/>
        <v>3</v>
      </c>
      <c r="S888" t="str">
        <f xml:space="preserve"> _xlfn.XLOOKUP( E888, Lookup_Tables!$A$2:$A$6,Lookup_Tables!$B$2:$B$6," ", -1)</f>
        <v>Bachelor</v>
      </c>
      <c r="T888" t="str">
        <f>_xlfn.XLOOKUP(G888,Lookup_Tables!$D$2:$D$5,Lookup_Tables!$E$2:$E$5)</f>
        <v>Very High</v>
      </c>
      <c r="U888" t="str">
        <f>_xlfn.XLOOKUP(H888,Lookup_Tables!$D$2:$D$5,Lookup_Tables!$E$2:$E$5)</f>
        <v>Medium</v>
      </c>
      <c r="V888" t="str">
        <f>_xlfn.XLOOKUP(L888,Lookup_Tables!$D$2:$D$5,Lookup_Tables!$E$2:$E$5)</f>
        <v>High</v>
      </c>
    </row>
    <row r="889" spans="1:22">
      <c r="A889">
        <f>RAW_DATA!A889</f>
        <v>42</v>
      </c>
      <c r="B889" t="str">
        <f>RAW_DATA!B889</f>
        <v>No</v>
      </c>
      <c r="C889" t="str">
        <f>RAW_DATA!C889</f>
        <v>Research &amp; Development</v>
      </c>
      <c r="D889">
        <f>RAW_DATA!D889</f>
        <v>26</v>
      </c>
      <c r="E889">
        <f>RAW_DATA!E889</f>
        <v>5</v>
      </c>
      <c r="F889" t="str">
        <f>RAW_DATA!F889</f>
        <v>Medical</v>
      </c>
      <c r="G889">
        <f>RAW_DATA!G889</f>
        <v>1</v>
      </c>
      <c r="H889">
        <f>RAW_DATA!H889</f>
        <v>1</v>
      </c>
      <c r="I889" t="str">
        <f>RAW_DATA!I889</f>
        <v>Married</v>
      </c>
      <c r="J889">
        <f>RAW_DATA!J889</f>
        <v>13191</v>
      </c>
      <c r="K889">
        <f>RAW_DATA!K889</f>
        <v>3</v>
      </c>
      <c r="L889">
        <f>RAW_DATA!L889</f>
        <v>3</v>
      </c>
      <c r="M889">
        <f>RAW_DATA!M889</f>
        <v>1</v>
      </c>
      <c r="N889">
        <f t="shared" si="26"/>
        <v>0</v>
      </c>
      <c r="O889" t="str">
        <f xml:space="preserve"> VLOOKUP(A889, Lookup_Tables!$G$2:$H$6,2,TRUE)</f>
        <v>35-44</v>
      </c>
      <c r="P889" t="str">
        <f>_xlfn.XLOOKUP(J889,Lookup_Tables!$J$2:$J$4,Lookup_Tables!$K$2:$K$4, " ",-1)</f>
        <v>High</v>
      </c>
      <c r="Q889" t="str">
        <f xml:space="preserve"> _xlfn.XLOOKUP(M889, Lookup_Tables!$M$2:$M$5,Lookup_Tables!$N$2:$N$5," ", -1)</f>
        <v>New (0-2)</v>
      </c>
      <c r="R889" s="4">
        <f t="shared" si="27"/>
        <v>1.6666666666666667</v>
      </c>
      <c r="S889" t="str">
        <f xml:space="preserve"> _xlfn.XLOOKUP( E889, Lookup_Tables!$A$2:$A$6,Lookup_Tables!$B$2:$B$6," ", -1)</f>
        <v>Doctor</v>
      </c>
      <c r="T889" t="str">
        <f>_xlfn.XLOOKUP(G889,Lookup_Tables!$D$2:$D$5,Lookup_Tables!$E$2:$E$5)</f>
        <v>Low</v>
      </c>
      <c r="U889" t="str">
        <f>_xlfn.XLOOKUP(H889,Lookup_Tables!$D$2:$D$5,Lookup_Tables!$E$2:$E$5)</f>
        <v>Low</v>
      </c>
      <c r="V889" t="str">
        <f>_xlfn.XLOOKUP(L889,Lookup_Tables!$D$2:$D$5,Lookup_Tables!$E$2:$E$5)</f>
        <v>High</v>
      </c>
    </row>
    <row r="890" spans="1:22">
      <c r="A890">
        <f>RAW_DATA!A890</f>
        <v>35</v>
      </c>
      <c r="B890" t="str">
        <f>RAW_DATA!B890</f>
        <v>No</v>
      </c>
      <c r="C890" t="str">
        <f>RAW_DATA!C890</f>
        <v>Sales</v>
      </c>
      <c r="D890">
        <f>RAW_DATA!D890</f>
        <v>8</v>
      </c>
      <c r="E890">
        <f>RAW_DATA!E890</f>
        <v>2</v>
      </c>
      <c r="F890" t="str">
        <f>RAW_DATA!F890</f>
        <v>Marketing</v>
      </c>
      <c r="G890">
        <f>RAW_DATA!G890</f>
        <v>3</v>
      </c>
      <c r="H890">
        <f>RAW_DATA!H890</f>
        <v>4</v>
      </c>
      <c r="I890" t="str">
        <f>RAW_DATA!I890</f>
        <v>Married</v>
      </c>
      <c r="J890">
        <f>RAW_DATA!J890</f>
        <v>10377</v>
      </c>
      <c r="K890">
        <f>RAW_DATA!K890</f>
        <v>4</v>
      </c>
      <c r="L890">
        <f>RAW_DATA!L890</f>
        <v>2</v>
      </c>
      <c r="M890">
        <f>RAW_DATA!M890</f>
        <v>13</v>
      </c>
      <c r="N890">
        <f t="shared" si="26"/>
        <v>0</v>
      </c>
      <c r="O890" t="str">
        <f xml:space="preserve"> VLOOKUP(A890, Lookup_Tables!$G$2:$H$6,2,TRUE)</f>
        <v>35-44</v>
      </c>
      <c r="P890" t="str">
        <f>_xlfn.XLOOKUP(J890,Lookup_Tables!$J$2:$J$4,Lookup_Tables!$K$2:$K$4, " ",-1)</f>
        <v>High</v>
      </c>
      <c r="Q890" t="str">
        <f xml:space="preserve"> _xlfn.XLOOKUP(M890, Lookup_Tables!$M$2:$M$5,Lookup_Tables!$N$2:$N$5," ", -1)</f>
        <v>Veteran (10+)</v>
      </c>
      <c r="R890" s="4">
        <f t="shared" si="27"/>
        <v>3</v>
      </c>
      <c r="S890" t="str">
        <f xml:space="preserve"> _xlfn.XLOOKUP( E890, Lookup_Tables!$A$2:$A$6,Lookup_Tables!$B$2:$B$6," ", -1)</f>
        <v>College</v>
      </c>
      <c r="T890" t="str">
        <f>_xlfn.XLOOKUP(G890,Lookup_Tables!$D$2:$D$5,Lookup_Tables!$E$2:$E$5)</f>
        <v>High</v>
      </c>
      <c r="U890" t="str">
        <f>_xlfn.XLOOKUP(H890,Lookup_Tables!$D$2:$D$5,Lookup_Tables!$E$2:$E$5)</f>
        <v>Very High</v>
      </c>
      <c r="V890" t="str">
        <f>_xlfn.XLOOKUP(L890,Lookup_Tables!$D$2:$D$5,Lookup_Tables!$E$2:$E$5)</f>
        <v>Medium</v>
      </c>
    </row>
    <row r="891" spans="1:22">
      <c r="A891">
        <f>RAW_DATA!A891</f>
        <v>27</v>
      </c>
      <c r="B891" t="str">
        <f>RAW_DATA!B891</f>
        <v>No</v>
      </c>
      <c r="C891" t="str">
        <f>RAW_DATA!C891</f>
        <v>Research &amp; Development</v>
      </c>
      <c r="D891">
        <f>RAW_DATA!D891</f>
        <v>14</v>
      </c>
      <c r="E891">
        <f>RAW_DATA!E891</f>
        <v>3</v>
      </c>
      <c r="F891" t="str">
        <f>RAW_DATA!F891</f>
        <v>Life Sciences</v>
      </c>
      <c r="G891">
        <f>RAW_DATA!G891</f>
        <v>1</v>
      </c>
      <c r="H891">
        <f>RAW_DATA!H891</f>
        <v>1</v>
      </c>
      <c r="I891" t="str">
        <f>RAW_DATA!I891</f>
        <v>Married</v>
      </c>
      <c r="J891">
        <f>RAW_DATA!J891</f>
        <v>2235</v>
      </c>
      <c r="K891">
        <f>RAW_DATA!K891</f>
        <v>1</v>
      </c>
      <c r="L891">
        <f>RAW_DATA!L891</f>
        <v>2</v>
      </c>
      <c r="M891">
        <f>RAW_DATA!M891</f>
        <v>9</v>
      </c>
      <c r="N891">
        <f t="shared" si="26"/>
        <v>0</v>
      </c>
      <c r="O891" t="str">
        <f xml:space="preserve"> VLOOKUP(A891, Lookup_Tables!$G$2:$H$6,2,TRUE)</f>
        <v>25-34</v>
      </c>
      <c r="P891" t="str">
        <f>_xlfn.XLOOKUP(J891,Lookup_Tables!$J$2:$J$4,Lookup_Tables!$K$2:$K$4, " ",-1)</f>
        <v>Low</v>
      </c>
      <c r="Q891" t="str">
        <f xml:space="preserve"> _xlfn.XLOOKUP(M891, Lookup_Tables!$M$2:$M$5,Lookup_Tables!$N$2:$N$5," ", -1)</f>
        <v>Established (5-10)</v>
      </c>
      <c r="R891" s="4">
        <f t="shared" si="27"/>
        <v>1.3333333333333333</v>
      </c>
      <c r="S891" t="str">
        <f xml:space="preserve"> _xlfn.XLOOKUP( E891, Lookup_Tables!$A$2:$A$6,Lookup_Tables!$B$2:$B$6," ", -1)</f>
        <v>Bachelor</v>
      </c>
      <c r="T891" t="str">
        <f>_xlfn.XLOOKUP(G891,Lookup_Tables!$D$2:$D$5,Lookup_Tables!$E$2:$E$5)</f>
        <v>Low</v>
      </c>
      <c r="U891" t="str">
        <f>_xlfn.XLOOKUP(H891,Lookup_Tables!$D$2:$D$5,Lookup_Tables!$E$2:$E$5)</f>
        <v>Low</v>
      </c>
      <c r="V891" t="str">
        <f>_xlfn.XLOOKUP(L891,Lookup_Tables!$D$2:$D$5,Lookup_Tables!$E$2:$E$5)</f>
        <v>Medium</v>
      </c>
    </row>
    <row r="892" spans="1:22">
      <c r="A892">
        <f>RAW_DATA!A892</f>
        <v>54</v>
      </c>
      <c r="B892" t="str">
        <f>RAW_DATA!B892</f>
        <v>No</v>
      </c>
      <c r="C892" t="str">
        <f>RAW_DATA!C892</f>
        <v>Research &amp; Development</v>
      </c>
      <c r="D892">
        <f>RAW_DATA!D892</f>
        <v>1</v>
      </c>
      <c r="E892">
        <f>RAW_DATA!E892</f>
        <v>4</v>
      </c>
      <c r="F892" t="str">
        <f>RAW_DATA!F892</f>
        <v>Life Sciences</v>
      </c>
      <c r="G892">
        <f>RAW_DATA!G892</f>
        <v>4</v>
      </c>
      <c r="H892">
        <f>RAW_DATA!H892</f>
        <v>3</v>
      </c>
      <c r="I892" t="str">
        <f>RAW_DATA!I892</f>
        <v>Divorced</v>
      </c>
      <c r="J892">
        <f>RAW_DATA!J892</f>
        <v>10502</v>
      </c>
      <c r="K892">
        <f>RAW_DATA!K892</f>
        <v>7</v>
      </c>
      <c r="L892">
        <f>RAW_DATA!L892</f>
        <v>1</v>
      </c>
      <c r="M892">
        <f>RAW_DATA!M892</f>
        <v>5</v>
      </c>
      <c r="N892">
        <f t="shared" si="26"/>
        <v>0</v>
      </c>
      <c r="O892" t="str">
        <f xml:space="preserve"> VLOOKUP(A892, Lookup_Tables!$G$2:$H$6,2,TRUE)</f>
        <v>45-54</v>
      </c>
      <c r="P892" t="str">
        <f>_xlfn.XLOOKUP(J892,Lookup_Tables!$J$2:$J$4,Lookup_Tables!$K$2:$K$4, " ",-1)</f>
        <v>High</v>
      </c>
      <c r="Q892" t="str">
        <f xml:space="preserve"> _xlfn.XLOOKUP(M892, Lookup_Tables!$M$2:$M$5,Lookup_Tables!$N$2:$N$5," ", -1)</f>
        <v>Established (5-10)</v>
      </c>
      <c r="R892" s="4">
        <f t="shared" si="27"/>
        <v>2.6666666666666665</v>
      </c>
      <c r="S892" t="str">
        <f xml:space="preserve"> _xlfn.XLOOKUP( E892, Lookup_Tables!$A$2:$A$6,Lookup_Tables!$B$2:$B$6," ", -1)</f>
        <v>Master</v>
      </c>
      <c r="T892" t="str">
        <f>_xlfn.XLOOKUP(G892,Lookup_Tables!$D$2:$D$5,Lookup_Tables!$E$2:$E$5)</f>
        <v>Very High</v>
      </c>
      <c r="U892" t="str">
        <f>_xlfn.XLOOKUP(H892,Lookup_Tables!$D$2:$D$5,Lookup_Tables!$E$2:$E$5)</f>
        <v>High</v>
      </c>
      <c r="V892" t="str">
        <f>_xlfn.XLOOKUP(L892,Lookup_Tables!$D$2:$D$5,Lookup_Tables!$E$2:$E$5)</f>
        <v>Low</v>
      </c>
    </row>
    <row r="893" spans="1:22">
      <c r="A893">
        <f>RAW_DATA!A893</f>
        <v>44</v>
      </c>
      <c r="B893" t="str">
        <f>RAW_DATA!B893</f>
        <v>No</v>
      </c>
      <c r="C893" t="str">
        <f>RAW_DATA!C893</f>
        <v>Research &amp; Development</v>
      </c>
      <c r="D893">
        <f>RAW_DATA!D893</f>
        <v>2</v>
      </c>
      <c r="E893">
        <f>RAW_DATA!E893</f>
        <v>1</v>
      </c>
      <c r="F893" t="str">
        <f>RAW_DATA!F893</f>
        <v>Life Sciences</v>
      </c>
      <c r="G893">
        <f>RAW_DATA!G893</f>
        <v>1</v>
      </c>
      <c r="H893">
        <f>RAW_DATA!H893</f>
        <v>4</v>
      </c>
      <c r="I893" t="str">
        <f>RAW_DATA!I893</f>
        <v>Married</v>
      </c>
      <c r="J893">
        <f>RAW_DATA!J893</f>
        <v>2011</v>
      </c>
      <c r="K893">
        <f>RAW_DATA!K893</f>
        <v>1</v>
      </c>
      <c r="L893">
        <f>RAW_DATA!L893</f>
        <v>3</v>
      </c>
      <c r="M893">
        <f>RAW_DATA!M893</f>
        <v>10</v>
      </c>
      <c r="N893">
        <f t="shared" si="26"/>
        <v>0</v>
      </c>
      <c r="O893" t="str">
        <f xml:space="preserve"> VLOOKUP(A893, Lookup_Tables!$G$2:$H$6,2,TRUE)</f>
        <v>35-44</v>
      </c>
      <c r="P893" t="str">
        <f>_xlfn.XLOOKUP(J893,Lookup_Tables!$J$2:$J$4,Lookup_Tables!$K$2:$K$4, " ",-1)</f>
        <v>Low</v>
      </c>
      <c r="Q893" t="str">
        <f xml:space="preserve"> _xlfn.XLOOKUP(M893, Lookup_Tables!$M$2:$M$5,Lookup_Tables!$N$2:$N$5," ", -1)</f>
        <v>Veteran (10+)</v>
      </c>
      <c r="R893" s="4">
        <f t="shared" si="27"/>
        <v>2.6666666666666665</v>
      </c>
      <c r="S893" t="str">
        <f xml:space="preserve"> _xlfn.XLOOKUP( E893, Lookup_Tables!$A$2:$A$6,Lookup_Tables!$B$2:$B$6," ", -1)</f>
        <v>Below College</v>
      </c>
      <c r="T893" t="str">
        <f>_xlfn.XLOOKUP(G893,Lookup_Tables!$D$2:$D$5,Lookup_Tables!$E$2:$E$5)</f>
        <v>Low</v>
      </c>
      <c r="U893" t="str">
        <f>_xlfn.XLOOKUP(H893,Lookup_Tables!$D$2:$D$5,Lookup_Tables!$E$2:$E$5)</f>
        <v>Very High</v>
      </c>
      <c r="V893" t="str">
        <f>_xlfn.XLOOKUP(L893,Lookup_Tables!$D$2:$D$5,Lookup_Tables!$E$2:$E$5)</f>
        <v>High</v>
      </c>
    </row>
    <row r="894" spans="1:22">
      <c r="A894">
        <f>RAW_DATA!A894</f>
        <v>19</v>
      </c>
      <c r="B894" t="str">
        <f>RAW_DATA!B894</f>
        <v>Yes</v>
      </c>
      <c r="C894" t="str">
        <f>RAW_DATA!C894</f>
        <v>Research &amp; Development</v>
      </c>
      <c r="D894">
        <f>RAW_DATA!D894</f>
        <v>10</v>
      </c>
      <c r="E894">
        <f>RAW_DATA!E894</f>
        <v>3</v>
      </c>
      <c r="F894" t="str">
        <f>RAW_DATA!F894</f>
        <v>Medical</v>
      </c>
      <c r="G894">
        <f>RAW_DATA!G894</f>
        <v>1</v>
      </c>
      <c r="H894">
        <f>RAW_DATA!H894</f>
        <v>2</v>
      </c>
      <c r="I894" t="str">
        <f>RAW_DATA!I894</f>
        <v>Single</v>
      </c>
      <c r="J894">
        <f>RAW_DATA!J894</f>
        <v>1859</v>
      </c>
      <c r="K894">
        <f>RAW_DATA!K894</f>
        <v>1</v>
      </c>
      <c r="L894">
        <f>RAW_DATA!L894</f>
        <v>4</v>
      </c>
      <c r="M894">
        <f>RAW_DATA!M894</f>
        <v>1</v>
      </c>
      <c r="N894">
        <f t="shared" si="26"/>
        <v>1</v>
      </c>
      <c r="O894" t="str">
        <f xml:space="preserve"> VLOOKUP(A894, Lookup_Tables!$G$2:$H$6,2,TRUE)</f>
        <v>&lt;25</v>
      </c>
      <c r="P894" t="str">
        <f>_xlfn.XLOOKUP(J894,Lookup_Tables!$J$2:$J$4,Lookup_Tables!$K$2:$K$4, " ",-1)</f>
        <v>Low</v>
      </c>
      <c r="Q894" t="str">
        <f xml:space="preserve"> _xlfn.XLOOKUP(M894, Lookup_Tables!$M$2:$M$5,Lookup_Tables!$N$2:$N$5," ", -1)</f>
        <v>New (0-2)</v>
      </c>
      <c r="R894" s="4">
        <f t="shared" si="27"/>
        <v>2.3333333333333335</v>
      </c>
      <c r="S894" t="str">
        <f xml:space="preserve"> _xlfn.XLOOKUP( E894, Lookup_Tables!$A$2:$A$6,Lookup_Tables!$B$2:$B$6," ", -1)</f>
        <v>Bachelor</v>
      </c>
      <c r="T894" t="str">
        <f>_xlfn.XLOOKUP(G894,Lookup_Tables!$D$2:$D$5,Lookup_Tables!$E$2:$E$5)</f>
        <v>Low</v>
      </c>
      <c r="U894" t="str">
        <f>_xlfn.XLOOKUP(H894,Lookup_Tables!$D$2:$D$5,Lookup_Tables!$E$2:$E$5)</f>
        <v>Medium</v>
      </c>
      <c r="V894" t="str">
        <f>_xlfn.XLOOKUP(L894,Lookup_Tables!$D$2:$D$5,Lookup_Tables!$E$2:$E$5)</f>
        <v>Very High</v>
      </c>
    </row>
    <row r="895" spans="1:22">
      <c r="A895">
        <f>RAW_DATA!A895</f>
        <v>29</v>
      </c>
      <c r="B895" t="str">
        <f>RAW_DATA!B895</f>
        <v>No</v>
      </c>
      <c r="C895" t="str">
        <f>RAW_DATA!C895</f>
        <v>Research &amp; Development</v>
      </c>
      <c r="D895">
        <f>RAW_DATA!D895</f>
        <v>1</v>
      </c>
      <c r="E895">
        <f>RAW_DATA!E895</f>
        <v>3</v>
      </c>
      <c r="F895" t="str">
        <f>RAW_DATA!F895</f>
        <v>Life Sciences</v>
      </c>
      <c r="G895">
        <f>RAW_DATA!G895</f>
        <v>1</v>
      </c>
      <c r="H895">
        <f>RAW_DATA!H895</f>
        <v>4</v>
      </c>
      <c r="I895" t="str">
        <f>RAW_DATA!I895</f>
        <v>Divorced</v>
      </c>
      <c r="J895">
        <f>RAW_DATA!J895</f>
        <v>3760</v>
      </c>
      <c r="K895">
        <f>RAW_DATA!K895</f>
        <v>1</v>
      </c>
      <c r="L895">
        <f>RAW_DATA!L895</f>
        <v>3</v>
      </c>
      <c r="M895">
        <f>RAW_DATA!M895</f>
        <v>3</v>
      </c>
      <c r="N895">
        <f t="shared" si="26"/>
        <v>0</v>
      </c>
      <c r="O895" t="str">
        <f xml:space="preserve"> VLOOKUP(A895, Lookup_Tables!$G$2:$H$6,2,TRUE)</f>
        <v>25-34</v>
      </c>
      <c r="P895" t="str">
        <f>_xlfn.XLOOKUP(J895,Lookup_Tables!$J$2:$J$4,Lookup_Tables!$K$2:$K$4, " ",-1)</f>
        <v>Medium</v>
      </c>
      <c r="Q895" t="str">
        <f xml:space="preserve"> _xlfn.XLOOKUP(M895, Lookup_Tables!$M$2:$M$5,Lookup_Tables!$N$2:$N$5," ", -1)</f>
        <v>Early (2-5)</v>
      </c>
      <c r="R895" s="4">
        <f t="shared" si="27"/>
        <v>2.6666666666666665</v>
      </c>
      <c r="S895" t="str">
        <f xml:space="preserve"> _xlfn.XLOOKUP( E895, Lookup_Tables!$A$2:$A$6,Lookup_Tables!$B$2:$B$6," ", -1)</f>
        <v>Bachelor</v>
      </c>
      <c r="T895" t="str">
        <f>_xlfn.XLOOKUP(G895,Lookup_Tables!$D$2:$D$5,Lookup_Tables!$E$2:$E$5)</f>
        <v>Low</v>
      </c>
      <c r="U895" t="str">
        <f>_xlfn.XLOOKUP(H895,Lookup_Tables!$D$2:$D$5,Lookup_Tables!$E$2:$E$5)</f>
        <v>Very High</v>
      </c>
      <c r="V895" t="str">
        <f>_xlfn.XLOOKUP(L895,Lookup_Tables!$D$2:$D$5,Lookup_Tables!$E$2:$E$5)</f>
        <v>High</v>
      </c>
    </row>
    <row r="896" spans="1:22">
      <c r="A896">
        <f>RAW_DATA!A896</f>
        <v>54</v>
      </c>
      <c r="B896" t="str">
        <f>RAW_DATA!B896</f>
        <v>No</v>
      </c>
      <c r="C896" t="str">
        <f>RAW_DATA!C896</f>
        <v>Research &amp; Development</v>
      </c>
      <c r="D896">
        <f>RAW_DATA!D896</f>
        <v>3</v>
      </c>
      <c r="E896">
        <f>RAW_DATA!E896</f>
        <v>3</v>
      </c>
      <c r="F896" t="str">
        <f>RAW_DATA!F896</f>
        <v>Life Sciences</v>
      </c>
      <c r="G896">
        <f>RAW_DATA!G896</f>
        <v>4</v>
      </c>
      <c r="H896">
        <f>RAW_DATA!H896</f>
        <v>4</v>
      </c>
      <c r="I896" t="str">
        <f>RAW_DATA!I896</f>
        <v>Married</v>
      </c>
      <c r="J896">
        <f>RAW_DATA!J896</f>
        <v>17779</v>
      </c>
      <c r="K896">
        <f>RAW_DATA!K896</f>
        <v>3</v>
      </c>
      <c r="L896">
        <f>RAW_DATA!L896</f>
        <v>3</v>
      </c>
      <c r="M896">
        <f>RAW_DATA!M896</f>
        <v>10</v>
      </c>
      <c r="N896">
        <f t="shared" si="26"/>
        <v>0</v>
      </c>
      <c r="O896" t="str">
        <f xml:space="preserve"> VLOOKUP(A896, Lookup_Tables!$G$2:$H$6,2,TRUE)</f>
        <v>45-54</v>
      </c>
      <c r="P896" t="str">
        <f>_xlfn.XLOOKUP(J896,Lookup_Tables!$J$2:$J$4,Lookup_Tables!$K$2:$K$4, " ",-1)</f>
        <v>High</v>
      </c>
      <c r="Q896" t="str">
        <f xml:space="preserve"> _xlfn.XLOOKUP(M896, Lookup_Tables!$M$2:$M$5,Lookup_Tables!$N$2:$N$5," ", -1)</f>
        <v>Veteran (10+)</v>
      </c>
      <c r="R896" s="4">
        <f t="shared" si="27"/>
        <v>3.6666666666666665</v>
      </c>
      <c r="S896" t="str">
        <f xml:space="preserve"> _xlfn.XLOOKUP( E896, Lookup_Tables!$A$2:$A$6,Lookup_Tables!$B$2:$B$6," ", -1)</f>
        <v>Bachelor</v>
      </c>
      <c r="T896" t="str">
        <f>_xlfn.XLOOKUP(G896,Lookup_Tables!$D$2:$D$5,Lookup_Tables!$E$2:$E$5)</f>
        <v>Very High</v>
      </c>
      <c r="U896" t="str">
        <f>_xlfn.XLOOKUP(H896,Lookup_Tables!$D$2:$D$5,Lookup_Tables!$E$2:$E$5)</f>
        <v>Very High</v>
      </c>
      <c r="V896" t="str">
        <f>_xlfn.XLOOKUP(L896,Lookup_Tables!$D$2:$D$5,Lookup_Tables!$E$2:$E$5)</f>
        <v>High</v>
      </c>
    </row>
    <row r="897" spans="1:22">
      <c r="A897">
        <f>RAW_DATA!A897</f>
        <v>31</v>
      </c>
      <c r="B897" t="str">
        <f>RAW_DATA!B897</f>
        <v>No</v>
      </c>
      <c r="C897" t="str">
        <f>RAW_DATA!C897</f>
        <v>Research &amp; Development</v>
      </c>
      <c r="D897">
        <f>RAW_DATA!D897</f>
        <v>11</v>
      </c>
      <c r="E897">
        <f>RAW_DATA!E897</f>
        <v>2</v>
      </c>
      <c r="F897" t="str">
        <f>RAW_DATA!F897</f>
        <v>Medical</v>
      </c>
      <c r="G897">
        <f>RAW_DATA!G897</f>
        <v>3</v>
      </c>
      <c r="H897">
        <f>RAW_DATA!H897</f>
        <v>1</v>
      </c>
      <c r="I897" t="str">
        <f>RAW_DATA!I897</f>
        <v>Married</v>
      </c>
      <c r="J897">
        <f>RAW_DATA!J897</f>
        <v>6833</v>
      </c>
      <c r="K897">
        <f>RAW_DATA!K897</f>
        <v>1</v>
      </c>
      <c r="L897">
        <f>RAW_DATA!L897</f>
        <v>2</v>
      </c>
      <c r="M897">
        <f>RAW_DATA!M897</f>
        <v>6</v>
      </c>
      <c r="N897">
        <f t="shared" si="26"/>
        <v>0</v>
      </c>
      <c r="O897" t="str">
        <f xml:space="preserve"> VLOOKUP(A897, Lookup_Tables!$G$2:$H$6,2,TRUE)</f>
        <v>25-34</v>
      </c>
      <c r="P897" t="str">
        <f>_xlfn.XLOOKUP(J897,Lookup_Tables!$J$2:$J$4,Lookup_Tables!$K$2:$K$4, " ",-1)</f>
        <v>Medium</v>
      </c>
      <c r="Q897" t="str">
        <f xml:space="preserve"> _xlfn.XLOOKUP(M897, Lookup_Tables!$M$2:$M$5,Lookup_Tables!$N$2:$N$5," ", -1)</f>
        <v>Established (5-10)</v>
      </c>
      <c r="R897" s="4">
        <f t="shared" si="27"/>
        <v>2</v>
      </c>
      <c r="S897" t="str">
        <f xml:space="preserve"> _xlfn.XLOOKUP( E897, Lookup_Tables!$A$2:$A$6,Lookup_Tables!$B$2:$B$6," ", -1)</f>
        <v>College</v>
      </c>
      <c r="T897" t="str">
        <f>_xlfn.XLOOKUP(G897,Lookup_Tables!$D$2:$D$5,Lookup_Tables!$E$2:$E$5)</f>
        <v>High</v>
      </c>
      <c r="U897" t="str">
        <f>_xlfn.XLOOKUP(H897,Lookup_Tables!$D$2:$D$5,Lookup_Tables!$E$2:$E$5)</f>
        <v>Low</v>
      </c>
      <c r="V897" t="str">
        <f>_xlfn.XLOOKUP(L897,Lookup_Tables!$D$2:$D$5,Lookup_Tables!$E$2:$E$5)</f>
        <v>Medium</v>
      </c>
    </row>
    <row r="898" spans="1:22">
      <c r="A898">
        <f>RAW_DATA!A898</f>
        <v>31</v>
      </c>
      <c r="B898" t="str">
        <f>RAW_DATA!B898</f>
        <v>No</v>
      </c>
      <c r="C898" t="str">
        <f>RAW_DATA!C898</f>
        <v>Research &amp; Development</v>
      </c>
      <c r="D898">
        <f>RAW_DATA!D898</f>
        <v>24</v>
      </c>
      <c r="E898">
        <f>RAW_DATA!E898</f>
        <v>3</v>
      </c>
      <c r="F898" t="str">
        <f>RAW_DATA!F898</f>
        <v>Medical</v>
      </c>
      <c r="G898">
        <f>RAW_DATA!G898</f>
        <v>3</v>
      </c>
      <c r="H898">
        <f>RAW_DATA!H898</f>
        <v>1</v>
      </c>
      <c r="I898" t="str">
        <f>RAW_DATA!I898</f>
        <v>Single</v>
      </c>
      <c r="J898">
        <f>RAW_DATA!J898</f>
        <v>6812</v>
      </c>
      <c r="K898">
        <f>RAW_DATA!K898</f>
        <v>1</v>
      </c>
      <c r="L898">
        <f>RAW_DATA!L898</f>
        <v>3</v>
      </c>
      <c r="M898">
        <f>RAW_DATA!M898</f>
        <v>10</v>
      </c>
      <c r="N898">
        <f t="shared" si="26"/>
        <v>0</v>
      </c>
      <c r="O898" t="str">
        <f xml:space="preserve"> VLOOKUP(A898, Lookup_Tables!$G$2:$H$6,2,TRUE)</f>
        <v>25-34</v>
      </c>
      <c r="P898" t="str">
        <f>_xlfn.XLOOKUP(J898,Lookup_Tables!$J$2:$J$4,Lookup_Tables!$K$2:$K$4, " ",-1)</f>
        <v>Medium</v>
      </c>
      <c r="Q898" t="str">
        <f xml:space="preserve"> _xlfn.XLOOKUP(M898, Lookup_Tables!$M$2:$M$5,Lookup_Tables!$N$2:$N$5," ", -1)</f>
        <v>Veteran (10+)</v>
      </c>
      <c r="R898" s="4">
        <f t="shared" si="27"/>
        <v>2.3333333333333335</v>
      </c>
      <c r="S898" t="str">
        <f xml:space="preserve"> _xlfn.XLOOKUP( E898, Lookup_Tables!$A$2:$A$6,Lookup_Tables!$B$2:$B$6," ", -1)</f>
        <v>Bachelor</v>
      </c>
      <c r="T898" t="str">
        <f>_xlfn.XLOOKUP(G898,Lookup_Tables!$D$2:$D$5,Lookup_Tables!$E$2:$E$5)</f>
        <v>High</v>
      </c>
      <c r="U898" t="str">
        <f>_xlfn.XLOOKUP(H898,Lookup_Tables!$D$2:$D$5,Lookup_Tables!$E$2:$E$5)</f>
        <v>Low</v>
      </c>
      <c r="V898" t="str">
        <f>_xlfn.XLOOKUP(L898,Lookup_Tables!$D$2:$D$5,Lookup_Tables!$E$2:$E$5)</f>
        <v>High</v>
      </c>
    </row>
    <row r="899" spans="1:22">
      <c r="A899">
        <f>RAW_DATA!A899</f>
        <v>59</v>
      </c>
      <c r="B899" t="str">
        <f>RAW_DATA!B899</f>
        <v>No</v>
      </c>
      <c r="C899" t="str">
        <f>RAW_DATA!C899</f>
        <v>Sales</v>
      </c>
      <c r="D899">
        <f>RAW_DATA!D899</f>
        <v>3</v>
      </c>
      <c r="E899">
        <f>RAW_DATA!E899</f>
        <v>3</v>
      </c>
      <c r="F899" t="str">
        <f>RAW_DATA!F899</f>
        <v>Life Sciences</v>
      </c>
      <c r="G899">
        <f>RAW_DATA!G899</f>
        <v>3</v>
      </c>
      <c r="H899">
        <f>RAW_DATA!H899</f>
        <v>4</v>
      </c>
      <c r="I899" t="str">
        <f>RAW_DATA!I899</f>
        <v>Single</v>
      </c>
      <c r="J899">
        <f>RAW_DATA!J899</f>
        <v>5171</v>
      </c>
      <c r="K899">
        <f>RAW_DATA!K899</f>
        <v>5</v>
      </c>
      <c r="L899">
        <f>RAW_DATA!L899</f>
        <v>3</v>
      </c>
      <c r="M899">
        <f>RAW_DATA!M899</f>
        <v>6</v>
      </c>
      <c r="N899">
        <f t="shared" ref="N899:N962" si="28" xml:space="preserve"> IF(B899 ="Yes",1,0)</f>
        <v>0</v>
      </c>
      <c r="O899" t="str">
        <f xml:space="preserve"> VLOOKUP(A899, Lookup_Tables!$G$2:$H$6,2,TRUE)</f>
        <v>55+</v>
      </c>
      <c r="P899" t="str">
        <f>_xlfn.XLOOKUP(J899,Lookup_Tables!$J$2:$J$4,Lookup_Tables!$K$2:$K$4, " ",-1)</f>
        <v>Medium</v>
      </c>
      <c r="Q899" t="str">
        <f xml:space="preserve"> _xlfn.XLOOKUP(M899, Lookup_Tables!$M$2:$M$5,Lookup_Tables!$N$2:$N$5," ", -1)</f>
        <v>Established (5-10)</v>
      </c>
      <c r="R899" s="4">
        <f t="shared" ref="R899:R962" si="29">AVERAGE(G899,H899,L899)</f>
        <v>3.3333333333333335</v>
      </c>
      <c r="S899" t="str">
        <f xml:space="preserve"> _xlfn.XLOOKUP( E899, Lookup_Tables!$A$2:$A$6,Lookup_Tables!$B$2:$B$6," ", -1)</f>
        <v>Bachelor</v>
      </c>
      <c r="T899" t="str">
        <f>_xlfn.XLOOKUP(G899,Lookup_Tables!$D$2:$D$5,Lookup_Tables!$E$2:$E$5)</f>
        <v>High</v>
      </c>
      <c r="U899" t="str">
        <f>_xlfn.XLOOKUP(H899,Lookup_Tables!$D$2:$D$5,Lookup_Tables!$E$2:$E$5)</f>
        <v>Very High</v>
      </c>
      <c r="V899" t="str">
        <f>_xlfn.XLOOKUP(L899,Lookup_Tables!$D$2:$D$5,Lookup_Tables!$E$2:$E$5)</f>
        <v>High</v>
      </c>
    </row>
    <row r="900" spans="1:22">
      <c r="A900">
        <f>RAW_DATA!A900</f>
        <v>43</v>
      </c>
      <c r="B900" t="str">
        <f>RAW_DATA!B900</f>
        <v>No</v>
      </c>
      <c r="C900" t="str">
        <f>RAW_DATA!C900</f>
        <v>Research &amp; Development</v>
      </c>
      <c r="D900">
        <f>RAW_DATA!D900</f>
        <v>3</v>
      </c>
      <c r="E900">
        <f>RAW_DATA!E900</f>
        <v>3</v>
      </c>
      <c r="F900" t="str">
        <f>RAW_DATA!F900</f>
        <v>Life Sciences</v>
      </c>
      <c r="G900">
        <f>RAW_DATA!G900</f>
        <v>3</v>
      </c>
      <c r="H900">
        <f>RAW_DATA!H900</f>
        <v>4</v>
      </c>
      <c r="I900" t="str">
        <f>RAW_DATA!I900</f>
        <v>Married</v>
      </c>
      <c r="J900">
        <f>RAW_DATA!J900</f>
        <v>19740</v>
      </c>
      <c r="K900">
        <f>RAW_DATA!K900</f>
        <v>3</v>
      </c>
      <c r="L900">
        <f>RAW_DATA!L900</f>
        <v>3</v>
      </c>
      <c r="M900">
        <f>RAW_DATA!M900</f>
        <v>8</v>
      </c>
      <c r="N900">
        <f t="shared" si="28"/>
        <v>0</v>
      </c>
      <c r="O900" t="str">
        <f xml:space="preserve"> VLOOKUP(A900, Lookup_Tables!$G$2:$H$6,2,TRUE)</f>
        <v>35-44</v>
      </c>
      <c r="P900" t="str">
        <f>_xlfn.XLOOKUP(J900,Lookup_Tables!$J$2:$J$4,Lookup_Tables!$K$2:$K$4, " ",-1)</f>
        <v>High</v>
      </c>
      <c r="Q900" t="str">
        <f xml:space="preserve"> _xlfn.XLOOKUP(M900, Lookup_Tables!$M$2:$M$5,Lookup_Tables!$N$2:$N$5," ", -1)</f>
        <v>Established (5-10)</v>
      </c>
      <c r="R900" s="4">
        <f t="shared" si="29"/>
        <v>3.3333333333333335</v>
      </c>
      <c r="S900" t="str">
        <f xml:space="preserve"> _xlfn.XLOOKUP( E900, Lookup_Tables!$A$2:$A$6,Lookup_Tables!$B$2:$B$6," ", -1)</f>
        <v>Bachelor</v>
      </c>
      <c r="T900" t="str">
        <f>_xlfn.XLOOKUP(G900,Lookup_Tables!$D$2:$D$5,Lookup_Tables!$E$2:$E$5)</f>
        <v>High</v>
      </c>
      <c r="U900" t="str">
        <f>_xlfn.XLOOKUP(H900,Lookup_Tables!$D$2:$D$5,Lookup_Tables!$E$2:$E$5)</f>
        <v>Very High</v>
      </c>
      <c r="V900" t="str">
        <f>_xlfn.XLOOKUP(L900,Lookup_Tables!$D$2:$D$5,Lookup_Tables!$E$2:$E$5)</f>
        <v>High</v>
      </c>
    </row>
    <row r="901" spans="1:22">
      <c r="A901">
        <f>RAW_DATA!A901</f>
        <v>49</v>
      </c>
      <c r="B901" t="str">
        <f>RAW_DATA!B901</f>
        <v>No</v>
      </c>
      <c r="C901" t="str">
        <f>RAW_DATA!C901</f>
        <v>Research &amp; Development</v>
      </c>
      <c r="D901">
        <f>RAW_DATA!D901</f>
        <v>4</v>
      </c>
      <c r="E901">
        <f>RAW_DATA!E901</f>
        <v>2</v>
      </c>
      <c r="F901" t="str">
        <f>RAW_DATA!F901</f>
        <v>Medical</v>
      </c>
      <c r="G901">
        <f>RAW_DATA!G901</f>
        <v>1</v>
      </c>
      <c r="H901">
        <f>RAW_DATA!H901</f>
        <v>3</v>
      </c>
      <c r="I901" t="str">
        <f>RAW_DATA!I901</f>
        <v>Married</v>
      </c>
      <c r="J901">
        <f>RAW_DATA!J901</f>
        <v>18711</v>
      </c>
      <c r="K901">
        <f>RAW_DATA!K901</f>
        <v>2</v>
      </c>
      <c r="L901">
        <f>RAW_DATA!L901</f>
        <v>4</v>
      </c>
      <c r="M901">
        <f>RAW_DATA!M901</f>
        <v>1</v>
      </c>
      <c r="N901">
        <f t="shared" si="28"/>
        <v>0</v>
      </c>
      <c r="O901" t="str">
        <f xml:space="preserve"> VLOOKUP(A901, Lookup_Tables!$G$2:$H$6,2,TRUE)</f>
        <v>45-54</v>
      </c>
      <c r="P901" t="str">
        <f>_xlfn.XLOOKUP(J901,Lookup_Tables!$J$2:$J$4,Lookup_Tables!$K$2:$K$4, " ",-1)</f>
        <v>High</v>
      </c>
      <c r="Q901" t="str">
        <f xml:space="preserve"> _xlfn.XLOOKUP(M901, Lookup_Tables!$M$2:$M$5,Lookup_Tables!$N$2:$N$5," ", -1)</f>
        <v>New (0-2)</v>
      </c>
      <c r="R901" s="4">
        <f t="shared" si="29"/>
        <v>2.6666666666666665</v>
      </c>
      <c r="S901" t="str">
        <f xml:space="preserve"> _xlfn.XLOOKUP( E901, Lookup_Tables!$A$2:$A$6,Lookup_Tables!$B$2:$B$6," ", -1)</f>
        <v>College</v>
      </c>
      <c r="T901" t="str">
        <f>_xlfn.XLOOKUP(G901,Lookup_Tables!$D$2:$D$5,Lookup_Tables!$E$2:$E$5)</f>
        <v>Low</v>
      </c>
      <c r="U901" t="str">
        <f>_xlfn.XLOOKUP(H901,Lookup_Tables!$D$2:$D$5,Lookup_Tables!$E$2:$E$5)</f>
        <v>High</v>
      </c>
      <c r="V901" t="str">
        <f>_xlfn.XLOOKUP(L901,Lookup_Tables!$D$2:$D$5,Lookup_Tables!$E$2:$E$5)</f>
        <v>Very High</v>
      </c>
    </row>
    <row r="902" spans="1:22">
      <c r="A902">
        <f>RAW_DATA!A902</f>
        <v>36</v>
      </c>
      <c r="B902" t="str">
        <f>RAW_DATA!B902</f>
        <v>No</v>
      </c>
      <c r="C902" t="str">
        <f>RAW_DATA!C902</f>
        <v>Research &amp; Development</v>
      </c>
      <c r="D902">
        <f>RAW_DATA!D902</f>
        <v>3</v>
      </c>
      <c r="E902">
        <f>RAW_DATA!E902</f>
        <v>3</v>
      </c>
      <c r="F902" t="str">
        <f>RAW_DATA!F902</f>
        <v>Technical Degree</v>
      </c>
      <c r="G902">
        <f>RAW_DATA!G902</f>
        <v>3</v>
      </c>
      <c r="H902">
        <f>RAW_DATA!H902</f>
        <v>2</v>
      </c>
      <c r="I902" t="str">
        <f>RAW_DATA!I902</f>
        <v>Married</v>
      </c>
      <c r="J902">
        <f>RAW_DATA!J902</f>
        <v>3692</v>
      </c>
      <c r="K902">
        <f>RAW_DATA!K902</f>
        <v>1</v>
      </c>
      <c r="L902">
        <f>RAW_DATA!L902</f>
        <v>2</v>
      </c>
      <c r="M902">
        <f>RAW_DATA!M902</f>
        <v>11</v>
      </c>
      <c r="N902">
        <f t="shared" si="28"/>
        <v>0</v>
      </c>
      <c r="O902" t="str">
        <f xml:space="preserve"> VLOOKUP(A902, Lookup_Tables!$G$2:$H$6,2,TRUE)</f>
        <v>35-44</v>
      </c>
      <c r="P902" t="str">
        <f>_xlfn.XLOOKUP(J902,Lookup_Tables!$J$2:$J$4,Lookup_Tables!$K$2:$K$4, " ",-1)</f>
        <v>Medium</v>
      </c>
      <c r="Q902" t="str">
        <f xml:space="preserve"> _xlfn.XLOOKUP(M902, Lookup_Tables!$M$2:$M$5,Lookup_Tables!$N$2:$N$5," ", -1)</f>
        <v>Veteran (10+)</v>
      </c>
      <c r="R902" s="4">
        <f t="shared" si="29"/>
        <v>2.3333333333333335</v>
      </c>
      <c r="S902" t="str">
        <f xml:space="preserve"> _xlfn.XLOOKUP( E902, Lookup_Tables!$A$2:$A$6,Lookup_Tables!$B$2:$B$6," ", -1)</f>
        <v>Bachelor</v>
      </c>
      <c r="T902" t="str">
        <f>_xlfn.XLOOKUP(G902,Lookup_Tables!$D$2:$D$5,Lookup_Tables!$E$2:$E$5)</f>
        <v>High</v>
      </c>
      <c r="U902" t="str">
        <f>_xlfn.XLOOKUP(H902,Lookup_Tables!$D$2:$D$5,Lookup_Tables!$E$2:$E$5)</f>
        <v>Medium</v>
      </c>
      <c r="V902" t="str">
        <f>_xlfn.XLOOKUP(L902,Lookup_Tables!$D$2:$D$5,Lookup_Tables!$E$2:$E$5)</f>
        <v>Medium</v>
      </c>
    </row>
    <row r="903" spans="1:22">
      <c r="A903">
        <f>RAW_DATA!A903</f>
        <v>48</v>
      </c>
      <c r="B903" t="str">
        <f>RAW_DATA!B903</f>
        <v>No</v>
      </c>
      <c r="C903" t="str">
        <f>RAW_DATA!C903</f>
        <v>Research &amp; Development</v>
      </c>
      <c r="D903">
        <f>RAW_DATA!D903</f>
        <v>2</v>
      </c>
      <c r="E903">
        <f>RAW_DATA!E903</f>
        <v>2</v>
      </c>
      <c r="F903" t="str">
        <f>RAW_DATA!F903</f>
        <v>Technical Degree</v>
      </c>
      <c r="G903">
        <f>RAW_DATA!G903</f>
        <v>4</v>
      </c>
      <c r="H903">
        <f>RAW_DATA!H903</f>
        <v>2</v>
      </c>
      <c r="I903" t="str">
        <f>RAW_DATA!I903</f>
        <v>Single</v>
      </c>
      <c r="J903">
        <f>RAW_DATA!J903</f>
        <v>2559</v>
      </c>
      <c r="K903">
        <f>RAW_DATA!K903</f>
        <v>5</v>
      </c>
      <c r="L903">
        <f>RAW_DATA!L903</f>
        <v>2</v>
      </c>
      <c r="M903">
        <f>RAW_DATA!M903</f>
        <v>1</v>
      </c>
      <c r="N903">
        <f t="shared" si="28"/>
        <v>0</v>
      </c>
      <c r="O903" t="str">
        <f xml:space="preserve"> VLOOKUP(A903, Lookup_Tables!$G$2:$H$6,2,TRUE)</f>
        <v>45-54</v>
      </c>
      <c r="P903" t="str">
        <f>_xlfn.XLOOKUP(J903,Lookup_Tables!$J$2:$J$4,Lookup_Tables!$K$2:$K$4, " ",-1)</f>
        <v>Low</v>
      </c>
      <c r="Q903" t="str">
        <f xml:space="preserve"> _xlfn.XLOOKUP(M903, Lookup_Tables!$M$2:$M$5,Lookup_Tables!$N$2:$N$5," ", -1)</f>
        <v>New (0-2)</v>
      </c>
      <c r="R903" s="4">
        <f t="shared" si="29"/>
        <v>2.6666666666666665</v>
      </c>
      <c r="S903" t="str">
        <f xml:space="preserve"> _xlfn.XLOOKUP( E903, Lookup_Tables!$A$2:$A$6,Lookup_Tables!$B$2:$B$6," ", -1)</f>
        <v>College</v>
      </c>
      <c r="T903" t="str">
        <f>_xlfn.XLOOKUP(G903,Lookup_Tables!$D$2:$D$5,Lookup_Tables!$E$2:$E$5)</f>
        <v>Very High</v>
      </c>
      <c r="U903" t="str">
        <f>_xlfn.XLOOKUP(H903,Lookup_Tables!$D$2:$D$5,Lookup_Tables!$E$2:$E$5)</f>
        <v>Medium</v>
      </c>
      <c r="V903" t="str">
        <f>_xlfn.XLOOKUP(L903,Lookup_Tables!$D$2:$D$5,Lookup_Tables!$E$2:$E$5)</f>
        <v>Medium</v>
      </c>
    </row>
    <row r="904" spans="1:22">
      <c r="A904">
        <f>RAW_DATA!A904</f>
        <v>27</v>
      </c>
      <c r="B904" t="str">
        <f>RAW_DATA!B904</f>
        <v>No</v>
      </c>
      <c r="C904" t="str">
        <f>RAW_DATA!C904</f>
        <v>Research &amp; Development</v>
      </c>
      <c r="D904">
        <f>RAW_DATA!D904</f>
        <v>4</v>
      </c>
      <c r="E904">
        <f>RAW_DATA!E904</f>
        <v>2</v>
      </c>
      <c r="F904" t="str">
        <f>RAW_DATA!F904</f>
        <v>Life Sciences</v>
      </c>
      <c r="G904">
        <f>RAW_DATA!G904</f>
        <v>1</v>
      </c>
      <c r="H904">
        <f>RAW_DATA!H904</f>
        <v>3</v>
      </c>
      <c r="I904" t="str">
        <f>RAW_DATA!I904</f>
        <v>Divorced</v>
      </c>
      <c r="J904">
        <f>RAW_DATA!J904</f>
        <v>2517</v>
      </c>
      <c r="K904">
        <f>RAW_DATA!K904</f>
        <v>1</v>
      </c>
      <c r="L904">
        <f>RAW_DATA!L904</f>
        <v>3</v>
      </c>
      <c r="M904">
        <f>RAW_DATA!M904</f>
        <v>5</v>
      </c>
      <c r="N904">
        <f t="shared" si="28"/>
        <v>0</v>
      </c>
      <c r="O904" t="str">
        <f xml:space="preserve"> VLOOKUP(A904, Lookup_Tables!$G$2:$H$6,2,TRUE)</f>
        <v>25-34</v>
      </c>
      <c r="P904" t="str">
        <f>_xlfn.XLOOKUP(J904,Lookup_Tables!$J$2:$J$4,Lookup_Tables!$K$2:$K$4, " ",-1)</f>
        <v>Low</v>
      </c>
      <c r="Q904" t="str">
        <f xml:space="preserve"> _xlfn.XLOOKUP(M904, Lookup_Tables!$M$2:$M$5,Lookup_Tables!$N$2:$N$5," ", -1)</f>
        <v>Established (5-10)</v>
      </c>
      <c r="R904" s="4">
        <f t="shared" si="29"/>
        <v>2.3333333333333335</v>
      </c>
      <c r="S904" t="str">
        <f xml:space="preserve"> _xlfn.XLOOKUP( E904, Lookup_Tables!$A$2:$A$6,Lookup_Tables!$B$2:$B$6," ", -1)</f>
        <v>College</v>
      </c>
      <c r="T904" t="str">
        <f>_xlfn.XLOOKUP(G904,Lookup_Tables!$D$2:$D$5,Lookup_Tables!$E$2:$E$5)</f>
        <v>Low</v>
      </c>
      <c r="U904" t="str">
        <f>_xlfn.XLOOKUP(H904,Lookup_Tables!$D$2:$D$5,Lookup_Tables!$E$2:$E$5)</f>
        <v>High</v>
      </c>
      <c r="V904" t="str">
        <f>_xlfn.XLOOKUP(L904,Lookup_Tables!$D$2:$D$5,Lookup_Tables!$E$2:$E$5)</f>
        <v>High</v>
      </c>
    </row>
    <row r="905" spans="1:22">
      <c r="A905">
        <f>RAW_DATA!A905</f>
        <v>29</v>
      </c>
      <c r="B905" t="str">
        <f>RAW_DATA!B905</f>
        <v>No</v>
      </c>
      <c r="C905" t="str">
        <f>RAW_DATA!C905</f>
        <v>Research &amp; Development</v>
      </c>
      <c r="D905">
        <f>RAW_DATA!D905</f>
        <v>7</v>
      </c>
      <c r="E905">
        <f>RAW_DATA!E905</f>
        <v>3</v>
      </c>
      <c r="F905" t="str">
        <f>RAW_DATA!F905</f>
        <v>Life Sciences</v>
      </c>
      <c r="G905">
        <f>RAW_DATA!G905</f>
        <v>3</v>
      </c>
      <c r="H905">
        <f>RAW_DATA!H905</f>
        <v>4</v>
      </c>
      <c r="I905" t="str">
        <f>RAW_DATA!I905</f>
        <v>Divorced</v>
      </c>
      <c r="J905">
        <f>RAW_DATA!J905</f>
        <v>6623</v>
      </c>
      <c r="K905">
        <f>RAW_DATA!K905</f>
        <v>1</v>
      </c>
      <c r="L905">
        <f>RAW_DATA!L905</f>
        <v>3</v>
      </c>
      <c r="M905">
        <f>RAW_DATA!M905</f>
        <v>6</v>
      </c>
      <c r="N905">
        <f t="shared" si="28"/>
        <v>0</v>
      </c>
      <c r="O905" t="str">
        <f xml:space="preserve"> VLOOKUP(A905, Lookup_Tables!$G$2:$H$6,2,TRUE)</f>
        <v>25-34</v>
      </c>
      <c r="P905" t="str">
        <f>_xlfn.XLOOKUP(J905,Lookup_Tables!$J$2:$J$4,Lookup_Tables!$K$2:$K$4, " ",-1)</f>
        <v>Medium</v>
      </c>
      <c r="Q905" t="str">
        <f xml:space="preserve"> _xlfn.XLOOKUP(M905, Lookup_Tables!$M$2:$M$5,Lookup_Tables!$N$2:$N$5," ", -1)</f>
        <v>Established (5-10)</v>
      </c>
      <c r="R905" s="4">
        <f t="shared" si="29"/>
        <v>3.3333333333333335</v>
      </c>
      <c r="S905" t="str">
        <f xml:space="preserve"> _xlfn.XLOOKUP( E905, Lookup_Tables!$A$2:$A$6,Lookup_Tables!$B$2:$B$6," ", -1)</f>
        <v>Bachelor</v>
      </c>
      <c r="T905" t="str">
        <f>_xlfn.XLOOKUP(G905,Lookup_Tables!$D$2:$D$5,Lookup_Tables!$E$2:$E$5)</f>
        <v>High</v>
      </c>
      <c r="U905" t="str">
        <f>_xlfn.XLOOKUP(H905,Lookup_Tables!$D$2:$D$5,Lookup_Tables!$E$2:$E$5)</f>
        <v>Very High</v>
      </c>
      <c r="V905" t="str">
        <f>_xlfn.XLOOKUP(L905,Lookup_Tables!$D$2:$D$5,Lookup_Tables!$E$2:$E$5)</f>
        <v>High</v>
      </c>
    </row>
    <row r="906" spans="1:22">
      <c r="A906">
        <f>RAW_DATA!A906</f>
        <v>48</v>
      </c>
      <c r="B906" t="str">
        <f>RAW_DATA!B906</f>
        <v>No</v>
      </c>
      <c r="C906" t="str">
        <f>RAW_DATA!C906</f>
        <v>Research &amp; Development</v>
      </c>
      <c r="D906">
        <f>RAW_DATA!D906</f>
        <v>1</v>
      </c>
      <c r="E906">
        <f>RAW_DATA!E906</f>
        <v>3</v>
      </c>
      <c r="F906" t="str">
        <f>RAW_DATA!F906</f>
        <v>Life Sciences</v>
      </c>
      <c r="G906">
        <f>RAW_DATA!G906</f>
        <v>4</v>
      </c>
      <c r="H906">
        <f>RAW_DATA!H906</f>
        <v>4</v>
      </c>
      <c r="I906" t="str">
        <f>RAW_DATA!I906</f>
        <v>Single</v>
      </c>
      <c r="J906">
        <f>RAW_DATA!J906</f>
        <v>18265</v>
      </c>
      <c r="K906">
        <f>RAW_DATA!K906</f>
        <v>6</v>
      </c>
      <c r="L906">
        <f>RAW_DATA!L906</f>
        <v>4</v>
      </c>
      <c r="M906">
        <f>RAW_DATA!M906</f>
        <v>1</v>
      </c>
      <c r="N906">
        <f t="shared" si="28"/>
        <v>0</v>
      </c>
      <c r="O906" t="str">
        <f xml:space="preserve"> VLOOKUP(A906, Lookup_Tables!$G$2:$H$6,2,TRUE)</f>
        <v>45-54</v>
      </c>
      <c r="P906" t="str">
        <f>_xlfn.XLOOKUP(J906,Lookup_Tables!$J$2:$J$4,Lookup_Tables!$K$2:$K$4, " ",-1)</f>
        <v>High</v>
      </c>
      <c r="Q906" t="str">
        <f xml:space="preserve"> _xlfn.XLOOKUP(M906, Lookup_Tables!$M$2:$M$5,Lookup_Tables!$N$2:$N$5," ", -1)</f>
        <v>New (0-2)</v>
      </c>
      <c r="R906" s="4">
        <f t="shared" si="29"/>
        <v>4</v>
      </c>
      <c r="S906" t="str">
        <f xml:space="preserve"> _xlfn.XLOOKUP( E906, Lookup_Tables!$A$2:$A$6,Lookup_Tables!$B$2:$B$6," ", -1)</f>
        <v>Bachelor</v>
      </c>
      <c r="T906" t="str">
        <f>_xlfn.XLOOKUP(G906,Lookup_Tables!$D$2:$D$5,Lookup_Tables!$E$2:$E$5)</f>
        <v>Very High</v>
      </c>
      <c r="U906" t="str">
        <f>_xlfn.XLOOKUP(H906,Lookup_Tables!$D$2:$D$5,Lookup_Tables!$E$2:$E$5)</f>
        <v>Very High</v>
      </c>
      <c r="V906" t="str">
        <f>_xlfn.XLOOKUP(L906,Lookup_Tables!$D$2:$D$5,Lookup_Tables!$E$2:$E$5)</f>
        <v>Very High</v>
      </c>
    </row>
    <row r="907" spans="1:22">
      <c r="A907">
        <f>RAW_DATA!A907</f>
        <v>29</v>
      </c>
      <c r="B907" t="str">
        <f>RAW_DATA!B907</f>
        <v>No</v>
      </c>
      <c r="C907" t="str">
        <f>RAW_DATA!C907</f>
        <v>Research &amp; Development</v>
      </c>
      <c r="D907">
        <f>RAW_DATA!D907</f>
        <v>1</v>
      </c>
      <c r="E907">
        <f>RAW_DATA!E907</f>
        <v>3</v>
      </c>
      <c r="F907" t="str">
        <f>RAW_DATA!F907</f>
        <v>Life Sciences</v>
      </c>
      <c r="G907">
        <f>RAW_DATA!G907</f>
        <v>4</v>
      </c>
      <c r="H907">
        <f>RAW_DATA!H907</f>
        <v>4</v>
      </c>
      <c r="I907" t="str">
        <f>RAW_DATA!I907</f>
        <v>Divorced</v>
      </c>
      <c r="J907">
        <f>RAW_DATA!J907</f>
        <v>16124</v>
      </c>
      <c r="K907">
        <f>RAW_DATA!K907</f>
        <v>3</v>
      </c>
      <c r="L907">
        <f>RAW_DATA!L907</f>
        <v>2</v>
      </c>
      <c r="M907">
        <f>RAW_DATA!M907</f>
        <v>7</v>
      </c>
      <c r="N907">
        <f t="shared" si="28"/>
        <v>0</v>
      </c>
      <c r="O907" t="str">
        <f xml:space="preserve"> VLOOKUP(A907, Lookup_Tables!$G$2:$H$6,2,TRUE)</f>
        <v>25-34</v>
      </c>
      <c r="P907" t="str">
        <f>_xlfn.XLOOKUP(J907,Lookup_Tables!$J$2:$J$4,Lookup_Tables!$K$2:$K$4, " ",-1)</f>
        <v>High</v>
      </c>
      <c r="Q907" t="str">
        <f xml:space="preserve"> _xlfn.XLOOKUP(M907, Lookup_Tables!$M$2:$M$5,Lookup_Tables!$N$2:$N$5," ", -1)</f>
        <v>Established (5-10)</v>
      </c>
      <c r="R907" s="4">
        <f t="shared" si="29"/>
        <v>3.3333333333333335</v>
      </c>
      <c r="S907" t="str">
        <f xml:space="preserve"> _xlfn.XLOOKUP( E907, Lookup_Tables!$A$2:$A$6,Lookup_Tables!$B$2:$B$6," ", -1)</f>
        <v>Bachelor</v>
      </c>
      <c r="T907" t="str">
        <f>_xlfn.XLOOKUP(G907,Lookup_Tables!$D$2:$D$5,Lookup_Tables!$E$2:$E$5)</f>
        <v>Very High</v>
      </c>
      <c r="U907" t="str">
        <f>_xlfn.XLOOKUP(H907,Lookup_Tables!$D$2:$D$5,Lookup_Tables!$E$2:$E$5)</f>
        <v>Very High</v>
      </c>
      <c r="V907" t="str">
        <f>_xlfn.XLOOKUP(L907,Lookup_Tables!$D$2:$D$5,Lookup_Tables!$E$2:$E$5)</f>
        <v>Medium</v>
      </c>
    </row>
    <row r="908" spans="1:22">
      <c r="A908">
        <f>RAW_DATA!A908</f>
        <v>34</v>
      </c>
      <c r="B908" t="str">
        <f>RAW_DATA!B908</f>
        <v>No</v>
      </c>
      <c r="C908" t="str">
        <f>RAW_DATA!C908</f>
        <v>Research &amp; Development</v>
      </c>
      <c r="D908">
        <f>RAW_DATA!D908</f>
        <v>20</v>
      </c>
      <c r="E908">
        <f>RAW_DATA!E908</f>
        <v>3</v>
      </c>
      <c r="F908" t="str">
        <f>RAW_DATA!F908</f>
        <v>Technical Degree</v>
      </c>
      <c r="G908">
        <f>RAW_DATA!G908</f>
        <v>3</v>
      </c>
      <c r="H908">
        <f>RAW_DATA!H908</f>
        <v>3</v>
      </c>
      <c r="I908" t="str">
        <f>RAW_DATA!I908</f>
        <v>Married</v>
      </c>
      <c r="J908">
        <f>RAW_DATA!J908</f>
        <v>2585</v>
      </c>
      <c r="K908">
        <f>RAW_DATA!K908</f>
        <v>0</v>
      </c>
      <c r="L908">
        <f>RAW_DATA!L908</f>
        <v>2</v>
      </c>
      <c r="M908">
        <f>RAW_DATA!M908</f>
        <v>1</v>
      </c>
      <c r="N908">
        <f t="shared" si="28"/>
        <v>0</v>
      </c>
      <c r="O908" t="str">
        <f xml:space="preserve"> VLOOKUP(A908, Lookup_Tables!$G$2:$H$6,2,TRUE)</f>
        <v>25-34</v>
      </c>
      <c r="P908" t="str">
        <f>_xlfn.XLOOKUP(J908,Lookup_Tables!$J$2:$J$4,Lookup_Tables!$K$2:$K$4, " ",-1)</f>
        <v>Low</v>
      </c>
      <c r="Q908" t="str">
        <f xml:space="preserve"> _xlfn.XLOOKUP(M908, Lookup_Tables!$M$2:$M$5,Lookup_Tables!$N$2:$N$5," ", -1)</f>
        <v>New (0-2)</v>
      </c>
      <c r="R908" s="4">
        <f t="shared" si="29"/>
        <v>2.6666666666666665</v>
      </c>
      <c r="S908" t="str">
        <f xml:space="preserve"> _xlfn.XLOOKUP( E908, Lookup_Tables!$A$2:$A$6,Lookup_Tables!$B$2:$B$6," ", -1)</f>
        <v>Bachelor</v>
      </c>
      <c r="T908" t="str">
        <f>_xlfn.XLOOKUP(G908,Lookup_Tables!$D$2:$D$5,Lookup_Tables!$E$2:$E$5)</f>
        <v>High</v>
      </c>
      <c r="U908" t="str">
        <f>_xlfn.XLOOKUP(H908,Lookup_Tables!$D$2:$D$5,Lookup_Tables!$E$2:$E$5)</f>
        <v>High</v>
      </c>
      <c r="V908" t="str">
        <f>_xlfn.XLOOKUP(L908,Lookup_Tables!$D$2:$D$5,Lookup_Tables!$E$2:$E$5)</f>
        <v>Medium</v>
      </c>
    </row>
    <row r="909" spans="1:22">
      <c r="A909">
        <f>RAW_DATA!A909</f>
        <v>44</v>
      </c>
      <c r="B909" t="str">
        <f>RAW_DATA!B909</f>
        <v>No</v>
      </c>
      <c r="C909" t="str">
        <f>RAW_DATA!C909</f>
        <v>Sales</v>
      </c>
      <c r="D909">
        <f>RAW_DATA!D909</f>
        <v>5</v>
      </c>
      <c r="E909">
        <f>RAW_DATA!E909</f>
        <v>3</v>
      </c>
      <c r="F909" t="str">
        <f>RAW_DATA!F909</f>
        <v>Marketing</v>
      </c>
      <c r="G909">
        <f>RAW_DATA!G909</f>
        <v>2</v>
      </c>
      <c r="H909">
        <f>RAW_DATA!H909</f>
        <v>2</v>
      </c>
      <c r="I909" t="str">
        <f>RAW_DATA!I909</f>
        <v>Married</v>
      </c>
      <c r="J909">
        <f>RAW_DATA!J909</f>
        <v>18213</v>
      </c>
      <c r="K909">
        <f>RAW_DATA!K909</f>
        <v>7</v>
      </c>
      <c r="L909">
        <f>RAW_DATA!L909</f>
        <v>3</v>
      </c>
      <c r="M909">
        <f>RAW_DATA!M909</f>
        <v>22</v>
      </c>
      <c r="N909">
        <f t="shared" si="28"/>
        <v>0</v>
      </c>
      <c r="O909" t="str">
        <f xml:space="preserve"> VLOOKUP(A909, Lookup_Tables!$G$2:$H$6,2,TRUE)</f>
        <v>35-44</v>
      </c>
      <c r="P909" t="str">
        <f>_xlfn.XLOOKUP(J909,Lookup_Tables!$J$2:$J$4,Lookup_Tables!$K$2:$K$4, " ",-1)</f>
        <v>High</v>
      </c>
      <c r="Q909" t="str">
        <f xml:space="preserve"> _xlfn.XLOOKUP(M909, Lookup_Tables!$M$2:$M$5,Lookup_Tables!$N$2:$N$5," ", -1)</f>
        <v>Veteran (10+)</v>
      </c>
      <c r="R909" s="4">
        <f t="shared" si="29"/>
        <v>2.3333333333333335</v>
      </c>
      <c r="S909" t="str">
        <f xml:space="preserve"> _xlfn.XLOOKUP( E909, Lookup_Tables!$A$2:$A$6,Lookup_Tables!$B$2:$B$6," ", -1)</f>
        <v>Bachelor</v>
      </c>
      <c r="T909" t="str">
        <f>_xlfn.XLOOKUP(G909,Lookup_Tables!$D$2:$D$5,Lookup_Tables!$E$2:$E$5)</f>
        <v>Medium</v>
      </c>
      <c r="U909" t="str">
        <f>_xlfn.XLOOKUP(H909,Lookup_Tables!$D$2:$D$5,Lookup_Tables!$E$2:$E$5)</f>
        <v>Medium</v>
      </c>
      <c r="V909" t="str">
        <f>_xlfn.XLOOKUP(L909,Lookup_Tables!$D$2:$D$5,Lookup_Tables!$E$2:$E$5)</f>
        <v>High</v>
      </c>
    </row>
    <row r="910" spans="1:22">
      <c r="A910">
        <f>RAW_DATA!A910</f>
        <v>33</v>
      </c>
      <c r="B910" t="str">
        <f>RAW_DATA!B910</f>
        <v>No</v>
      </c>
      <c r="C910" t="str">
        <f>RAW_DATA!C910</f>
        <v>Sales</v>
      </c>
      <c r="D910">
        <f>RAW_DATA!D910</f>
        <v>10</v>
      </c>
      <c r="E910">
        <f>RAW_DATA!E910</f>
        <v>5</v>
      </c>
      <c r="F910" t="str">
        <f>RAW_DATA!F910</f>
        <v>Marketing</v>
      </c>
      <c r="G910">
        <f>RAW_DATA!G910</f>
        <v>4</v>
      </c>
      <c r="H910">
        <f>RAW_DATA!H910</f>
        <v>3</v>
      </c>
      <c r="I910" t="str">
        <f>RAW_DATA!I910</f>
        <v>Divorced</v>
      </c>
      <c r="J910">
        <f>RAW_DATA!J910</f>
        <v>8380</v>
      </c>
      <c r="K910">
        <f>RAW_DATA!K910</f>
        <v>0</v>
      </c>
      <c r="L910">
        <f>RAW_DATA!L910</f>
        <v>3</v>
      </c>
      <c r="M910">
        <f>RAW_DATA!M910</f>
        <v>9</v>
      </c>
      <c r="N910">
        <f t="shared" si="28"/>
        <v>0</v>
      </c>
      <c r="O910" t="str">
        <f xml:space="preserve"> VLOOKUP(A910, Lookup_Tables!$G$2:$H$6,2,TRUE)</f>
        <v>25-34</v>
      </c>
      <c r="P910" t="str">
        <f>_xlfn.XLOOKUP(J910,Lookup_Tables!$J$2:$J$4,Lookup_Tables!$K$2:$K$4, " ",-1)</f>
        <v>High</v>
      </c>
      <c r="Q910" t="str">
        <f xml:space="preserve"> _xlfn.XLOOKUP(M910, Lookup_Tables!$M$2:$M$5,Lookup_Tables!$N$2:$N$5," ", -1)</f>
        <v>Established (5-10)</v>
      </c>
      <c r="R910" s="4">
        <f t="shared" si="29"/>
        <v>3.3333333333333335</v>
      </c>
      <c r="S910" t="str">
        <f xml:space="preserve"> _xlfn.XLOOKUP( E910, Lookup_Tables!$A$2:$A$6,Lookup_Tables!$B$2:$B$6," ", -1)</f>
        <v>Doctor</v>
      </c>
      <c r="T910" t="str">
        <f>_xlfn.XLOOKUP(G910,Lookup_Tables!$D$2:$D$5,Lookup_Tables!$E$2:$E$5)</f>
        <v>Very High</v>
      </c>
      <c r="U910" t="str">
        <f>_xlfn.XLOOKUP(H910,Lookup_Tables!$D$2:$D$5,Lookup_Tables!$E$2:$E$5)</f>
        <v>High</v>
      </c>
      <c r="V910" t="str">
        <f>_xlfn.XLOOKUP(L910,Lookup_Tables!$D$2:$D$5,Lookup_Tables!$E$2:$E$5)</f>
        <v>High</v>
      </c>
    </row>
    <row r="911" spans="1:22">
      <c r="A911">
        <f>RAW_DATA!A911</f>
        <v>19</v>
      </c>
      <c r="B911" t="str">
        <f>RAW_DATA!B911</f>
        <v>No</v>
      </c>
      <c r="C911" t="str">
        <f>RAW_DATA!C911</f>
        <v>Research &amp; Development</v>
      </c>
      <c r="D911">
        <f>RAW_DATA!D911</f>
        <v>25</v>
      </c>
      <c r="E911">
        <f>RAW_DATA!E911</f>
        <v>3</v>
      </c>
      <c r="F911" t="str">
        <f>RAW_DATA!F911</f>
        <v>Life Sciences</v>
      </c>
      <c r="G911">
        <f>RAW_DATA!G911</f>
        <v>2</v>
      </c>
      <c r="H911">
        <f>RAW_DATA!H911</f>
        <v>4</v>
      </c>
      <c r="I911" t="str">
        <f>RAW_DATA!I911</f>
        <v>Single</v>
      </c>
      <c r="J911">
        <f>RAW_DATA!J911</f>
        <v>2994</v>
      </c>
      <c r="K911">
        <f>RAW_DATA!K911</f>
        <v>1</v>
      </c>
      <c r="L911">
        <f>RAW_DATA!L911</f>
        <v>3</v>
      </c>
      <c r="M911">
        <f>RAW_DATA!M911</f>
        <v>1</v>
      </c>
      <c r="N911">
        <f t="shared" si="28"/>
        <v>0</v>
      </c>
      <c r="O911" t="str">
        <f xml:space="preserve"> VLOOKUP(A911, Lookup_Tables!$G$2:$H$6,2,TRUE)</f>
        <v>&lt;25</v>
      </c>
      <c r="P911" t="str">
        <f>_xlfn.XLOOKUP(J911,Lookup_Tables!$J$2:$J$4,Lookup_Tables!$K$2:$K$4, " ",-1)</f>
        <v>Low</v>
      </c>
      <c r="Q911" t="str">
        <f xml:space="preserve"> _xlfn.XLOOKUP(M911, Lookup_Tables!$M$2:$M$5,Lookup_Tables!$N$2:$N$5," ", -1)</f>
        <v>New (0-2)</v>
      </c>
      <c r="R911" s="4">
        <f t="shared" si="29"/>
        <v>3</v>
      </c>
      <c r="S911" t="str">
        <f xml:space="preserve"> _xlfn.XLOOKUP( E911, Lookup_Tables!$A$2:$A$6,Lookup_Tables!$B$2:$B$6," ", -1)</f>
        <v>Bachelor</v>
      </c>
      <c r="T911" t="str">
        <f>_xlfn.XLOOKUP(G911,Lookup_Tables!$D$2:$D$5,Lookup_Tables!$E$2:$E$5)</f>
        <v>Medium</v>
      </c>
      <c r="U911" t="str">
        <f>_xlfn.XLOOKUP(H911,Lookup_Tables!$D$2:$D$5,Lookup_Tables!$E$2:$E$5)</f>
        <v>Very High</v>
      </c>
      <c r="V911" t="str">
        <f>_xlfn.XLOOKUP(L911,Lookup_Tables!$D$2:$D$5,Lookup_Tables!$E$2:$E$5)</f>
        <v>High</v>
      </c>
    </row>
    <row r="912" spans="1:22">
      <c r="A912">
        <f>RAW_DATA!A912</f>
        <v>23</v>
      </c>
      <c r="B912" t="str">
        <f>RAW_DATA!B912</f>
        <v>No</v>
      </c>
      <c r="C912" t="str">
        <f>RAW_DATA!C912</f>
        <v>Research &amp; Development</v>
      </c>
      <c r="D912">
        <f>RAW_DATA!D912</f>
        <v>1</v>
      </c>
      <c r="E912">
        <f>RAW_DATA!E912</f>
        <v>2</v>
      </c>
      <c r="F912" t="str">
        <f>RAW_DATA!F912</f>
        <v>Life Sciences</v>
      </c>
      <c r="G912">
        <f>RAW_DATA!G912</f>
        <v>4</v>
      </c>
      <c r="H912">
        <f>RAW_DATA!H912</f>
        <v>3</v>
      </c>
      <c r="I912" t="str">
        <f>RAW_DATA!I912</f>
        <v>Married</v>
      </c>
      <c r="J912">
        <f>RAW_DATA!J912</f>
        <v>1223</v>
      </c>
      <c r="K912">
        <f>RAW_DATA!K912</f>
        <v>1</v>
      </c>
      <c r="L912">
        <f>RAW_DATA!L912</f>
        <v>3</v>
      </c>
      <c r="M912">
        <f>RAW_DATA!M912</f>
        <v>1</v>
      </c>
      <c r="N912">
        <f t="shared" si="28"/>
        <v>0</v>
      </c>
      <c r="O912" t="str">
        <f xml:space="preserve"> VLOOKUP(A912, Lookup_Tables!$G$2:$H$6,2,TRUE)</f>
        <v>&lt;25</v>
      </c>
      <c r="P912" t="str">
        <f>_xlfn.XLOOKUP(J912,Lookup_Tables!$J$2:$J$4,Lookup_Tables!$K$2:$K$4, " ",-1)</f>
        <v>Low</v>
      </c>
      <c r="Q912" t="str">
        <f xml:space="preserve"> _xlfn.XLOOKUP(M912, Lookup_Tables!$M$2:$M$5,Lookup_Tables!$N$2:$N$5," ", -1)</f>
        <v>New (0-2)</v>
      </c>
      <c r="R912" s="4">
        <f t="shared" si="29"/>
        <v>3.3333333333333335</v>
      </c>
      <c r="S912" t="str">
        <f xml:space="preserve"> _xlfn.XLOOKUP( E912, Lookup_Tables!$A$2:$A$6,Lookup_Tables!$B$2:$B$6," ", -1)</f>
        <v>College</v>
      </c>
      <c r="T912" t="str">
        <f>_xlfn.XLOOKUP(G912,Lookup_Tables!$D$2:$D$5,Lookup_Tables!$E$2:$E$5)</f>
        <v>Very High</v>
      </c>
      <c r="U912" t="str">
        <f>_xlfn.XLOOKUP(H912,Lookup_Tables!$D$2:$D$5,Lookup_Tables!$E$2:$E$5)</f>
        <v>High</v>
      </c>
      <c r="V912" t="str">
        <f>_xlfn.XLOOKUP(L912,Lookup_Tables!$D$2:$D$5,Lookup_Tables!$E$2:$E$5)</f>
        <v>High</v>
      </c>
    </row>
    <row r="913" spans="1:22">
      <c r="A913">
        <f>RAW_DATA!A913</f>
        <v>25</v>
      </c>
      <c r="B913" t="str">
        <f>RAW_DATA!B913</f>
        <v>Yes</v>
      </c>
      <c r="C913" t="str">
        <f>RAW_DATA!C913</f>
        <v>Sales</v>
      </c>
      <c r="D913">
        <f>RAW_DATA!D913</f>
        <v>24</v>
      </c>
      <c r="E913">
        <f>RAW_DATA!E913</f>
        <v>1</v>
      </c>
      <c r="F913" t="str">
        <f>RAW_DATA!F913</f>
        <v>Life Sciences</v>
      </c>
      <c r="G913">
        <f>RAW_DATA!G913</f>
        <v>3</v>
      </c>
      <c r="H913">
        <f>RAW_DATA!H913</f>
        <v>4</v>
      </c>
      <c r="I913" t="str">
        <f>RAW_DATA!I913</f>
        <v>Single</v>
      </c>
      <c r="J913">
        <f>RAW_DATA!J913</f>
        <v>1118</v>
      </c>
      <c r="K913">
        <f>RAW_DATA!K913</f>
        <v>1</v>
      </c>
      <c r="L913">
        <f>RAW_DATA!L913</f>
        <v>3</v>
      </c>
      <c r="M913">
        <f>RAW_DATA!M913</f>
        <v>1</v>
      </c>
      <c r="N913">
        <f t="shared" si="28"/>
        <v>1</v>
      </c>
      <c r="O913" t="str">
        <f xml:space="preserve"> VLOOKUP(A913, Lookup_Tables!$G$2:$H$6,2,TRUE)</f>
        <v>25-34</v>
      </c>
      <c r="P913" t="str">
        <f>_xlfn.XLOOKUP(J913,Lookup_Tables!$J$2:$J$4,Lookup_Tables!$K$2:$K$4, " ",-1)</f>
        <v>Low</v>
      </c>
      <c r="Q913" t="str">
        <f xml:space="preserve"> _xlfn.XLOOKUP(M913, Lookup_Tables!$M$2:$M$5,Lookup_Tables!$N$2:$N$5," ", -1)</f>
        <v>New (0-2)</v>
      </c>
      <c r="R913" s="4">
        <f t="shared" si="29"/>
        <v>3.3333333333333335</v>
      </c>
      <c r="S913" t="str">
        <f xml:space="preserve"> _xlfn.XLOOKUP( E913, Lookup_Tables!$A$2:$A$6,Lookup_Tables!$B$2:$B$6," ", -1)</f>
        <v>Below College</v>
      </c>
      <c r="T913" t="str">
        <f>_xlfn.XLOOKUP(G913,Lookup_Tables!$D$2:$D$5,Lookup_Tables!$E$2:$E$5)</f>
        <v>High</v>
      </c>
      <c r="U913" t="str">
        <f>_xlfn.XLOOKUP(H913,Lookup_Tables!$D$2:$D$5,Lookup_Tables!$E$2:$E$5)</f>
        <v>Very High</v>
      </c>
      <c r="V913" t="str">
        <f>_xlfn.XLOOKUP(L913,Lookup_Tables!$D$2:$D$5,Lookup_Tables!$E$2:$E$5)</f>
        <v>High</v>
      </c>
    </row>
    <row r="914" spans="1:22">
      <c r="A914">
        <f>RAW_DATA!A914</f>
        <v>26</v>
      </c>
      <c r="B914" t="str">
        <f>RAW_DATA!B914</f>
        <v>No</v>
      </c>
      <c r="C914" t="str">
        <f>RAW_DATA!C914</f>
        <v>Research &amp; Development</v>
      </c>
      <c r="D914">
        <f>RAW_DATA!D914</f>
        <v>4</v>
      </c>
      <c r="E914">
        <f>RAW_DATA!E914</f>
        <v>2</v>
      </c>
      <c r="F914" t="str">
        <f>RAW_DATA!F914</f>
        <v>Life Sciences</v>
      </c>
      <c r="G914">
        <f>RAW_DATA!G914</f>
        <v>3</v>
      </c>
      <c r="H914">
        <f>RAW_DATA!H914</f>
        <v>4</v>
      </c>
      <c r="I914" t="str">
        <f>RAW_DATA!I914</f>
        <v>Single</v>
      </c>
      <c r="J914">
        <f>RAW_DATA!J914</f>
        <v>2875</v>
      </c>
      <c r="K914">
        <f>RAW_DATA!K914</f>
        <v>1</v>
      </c>
      <c r="L914">
        <f>RAW_DATA!L914</f>
        <v>2</v>
      </c>
      <c r="M914">
        <f>RAW_DATA!M914</f>
        <v>8</v>
      </c>
      <c r="N914">
        <f t="shared" si="28"/>
        <v>0</v>
      </c>
      <c r="O914" t="str">
        <f xml:space="preserve"> VLOOKUP(A914, Lookup_Tables!$G$2:$H$6,2,TRUE)</f>
        <v>25-34</v>
      </c>
      <c r="P914" t="str">
        <f>_xlfn.XLOOKUP(J914,Lookup_Tables!$J$2:$J$4,Lookup_Tables!$K$2:$K$4, " ",-1)</f>
        <v>Low</v>
      </c>
      <c r="Q914" t="str">
        <f xml:space="preserve"> _xlfn.XLOOKUP(M914, Lookup_Tables!$M$2:$M$5,Lookup_Tables!$N$2:$N$5," ", -1)</f>
        <v>Established (5-10)</v>
      </c>
      <c r="R914" s="4">
        <f t="shared" si="29"/>
        <v>3</v>
      </c>
      <c r="S914" t="str">
        <f xml:space="preserve"> _xlfn.XLOOKUP( E914, Lookup_Tables!$A$2:$A$6,Lookup_Tables!$B$2:$B$6," ", -1)</f>
        <v>College</v>
      </c>
      <c r="T914" t="str">
        <f>_xlfn.XLOOKUP(G914,Lookup_Tables!$D$2:$D$5,Lookup_Tables!$E$2:$E$5)</f>
        <v>High</v>
      </c>
      <c r="U914" t="str">
        <f>_xlfn.XLOOKUP(H914,Lookup_Tables!$D$2:$D$5,Lookup_Tables!$E$2:$E$5)</f>
        <v>Very High</v>
      </c>
      <c r="V914" t="str">
        <f>_xlfn.XLOOKUP(L914,Lookup_Tables!$D$2:$D$5,Lookup_Tables!$E$2:$E$5)</f>
        <v>Medium</v>
      </c>
    </row>
    <row r="915" spans="1:22">
      <c r="A915">
        <f>RAW_DATA!A915</f>
        <v>45</v>
      </c>
      <c r="B915" t="str">
        <f>RAW_DATA!B915</f>
        <v>Yes</v>
      </c>
      <c r="C915" t="str">
        <f>RAW_DATA!C915</f>
        <v>Sales</v>
      </c>
      <c r="D915">
        <f>RAW_DATA!D915</f>
        <v>2</v>
      </c>
      <c r="E915">
        <f>RAW_DATA!E915</f>
        <v>3</v>
      </c>
      <c r="F915" t="str">
        <f>RAW_DATA!F915</f>
        <v>Marketing</v>
      </c>
      <c r="G915">
        <f>RAW_DATA!G915</f>
        <v>1</v>
      </c>
      <c r="H915">
        <f>RAW_DATA!H915</f>
        <v>2</v>
      </c>
      <c r="I915" t="str">
        <f>RAW_DATA!I915</f>
        <v>Single</v>
      </c>
      <c r="J915">
        <f>RAW_DATA!J915</f>
        <v>18824</v>
      </c>
      <c r="K915">
        <f>RAW_DATA!K915</f>
        <v>2</v>
      </c>
      <c r="L915">
        <f>RAW_DATA!L915</f>
        <v>3</v>
      </c>
      <c r="M915">
        <f>RAW_DATA!M915</f>
        <v>24</v>
      </c>
      <c r="N915">
        <f t="shared" si="28"/>
        <v>1</v>
      </c>
      <c r="O915" t="str">
        <f xml:space="preserve"> VLOOKUP(A915, Lookup_Tables!$G$2:$H$6,2,TRUE)</f>
        <v>45-54</v>
      </c>
      <c r="P915" t="str">
        <f>_xlfn.XLOOKUP(J915,Lookup_Tables!$J$2:$J$4,Lookup_Tables!$K$2:$K$4, " ",-1)</f>
        <v>High</v>
      </c>
      <c r="Q915" t="str">
        <f xml:space="preserve"> _xlfn.XLOOKUP(M915, Lookup_Tables!$M$2:$M$5,Lookup_Tables!$N$2:$N$5," ", -1)</f>
        <v>Veteran (10+)</v>
      </c>
      <c r="R915" s="4">
        <f t="shared" si="29"/>
        <v>2</v>
      </c>
      <c r="S915" t="str">
        <f xml:space="preserve"> _xlfn.XLOOKUP( E915, Lookup_Tables!$A$2:$A$6,Lookup_Tables!$B$2:$B$6," ", -1)</f>
        <v>Bachelor</v>
      </c>
      <c r="T915" t="str">
        <f>_xlfn.XLOOKUP(G915,Lookup_Tables!$D$2:$D$5,Lookup_Tables!$E$2:$E$5)</f>
        <v>Low</v>
      </c>
      <c r="U915" t="str">
        <f>_xlfn.XLOOKUP(H915,Lookup_Tables!$D$2:$D$5,Lookup_Tables!$E$2:$E$5)</f>
        <v>Medium</v>
      </c>
      <c r="V915" t="str">
        <f>_xlfn.XLOOKUP(L915,Lookup_Tables!$D$2:$D$5,Lookup_Tables!$E$2:$E$5)</f>
        <v>High</v>
      </c>
    </row>
    <row r="916" spans="1:22">
      <c r="A916">
        <f>RAW_DATA!A916</f>
        <v>55</v>
      </c>
      <c r="B916" t="str">
        <f>RAW_DATA!B916</f>
        <v>No</v>
      </c>
      <c r="C916" t="str">
        <f>RAW_DATA!C916</f>
        <v>Research &amp; Development</v>
      </c>
      <c r="D916">
        <f>RAW_DATA!D916</f>
        <v>8</v>
      </c>
      <c r="E916">
        <f>RAW_DATA!E916</f>
        <v>1</v>
      </c>
      <c r="F916" t="str">
        <f>RAW_DATA!F916</f>
        <v>Medical</v>
      </c>
      <c r="G916">
        <f>RAW_DATA!G916</f>
        <v>4</v>
      </c>
      <c r="H916">
        <f>RAW_DATA!H916</f>
        <v>2</v>
      </c>
      <c r="I916" t="str">
        <f>RAW_DATA!I916</f>
        <v>Divorced</v>
      </c>
      <c r="J916">
        <f>RAW_DATA!J916</f>
        <v>13577</v>
      </c>
      <c r="K916">
        <f>RAW_DATA!K916</f>
        <v>1</v>
      </c>
      <c r="L916">
        <f>RAW_DATA!L916</f>
        <v>3</v>
      </c>
      <c r="M916">
        <f>RAW_DATA!M916</f>
        <v>33</v>
      </c>
      <c r="N916">
        <f t="shared" si="28"/>
        <v>0</v>
      </c>
      <c r="O916" t="str">
        <f xml:space="preserve"> VLOOKUP(A916, Lookup_Tables!$G$2:$H$6,2,TRUE)</f>
        <v>55+</v>
      </c>
      <c r="P916" t="str">
        <f>_xlfn.XLOOKUP(J916,Lookup_Tables!$J$2:$J$4,Lookup_Tables!$K$2:$K$4, " ",-1)</f>
        <v>High</v>
      </c>
      <c r="Q916" t="str">
        <f xml:space="preserve"> _xlfn.XLOOKUP(M916, Lookup_Tables!$M$2:$M$5,Lookup_Tables!$N$2:$N$5," ", -1)</f>
        <v>Veteran (10+)</v>
      </c>
      <c r="R916" s="4">
        <f t="shared" si="29"/>
        <v>3</v>
      </c>
      <c r="S916" t="str">
        <f xml:space="preserve"> _xlfn.XLOOKUP( E916, Lookup_Tables!$A$2:$A$6,Lookup_Tables!$B$2:$B$6," ", -1)</f>
        <v>Below College</v>
      </c>
      <c r="T916" t="str">
        <f>_xlfn.XLOOKUP(G916,Lookup_Tables!$D$2:$D$5,Lookup_Tables!$E$2:$E$5)</f>
        <v>Very High</v>
      </c>
      <c r="U916" t="str">
        <f>_xlfn.XLOOKUP(H916,Lookup_Tables!$D$2:$D$5,Lookup_Tables!$E$2:$E$5)</f>
        <v>Medium</v>
      </c>
      <c r="V916" t="str">
        <f>_xlfn.XLOOKUP(L916,Lookup_Tables!$D$2:$D$5,Lookup_Tables!$E$2:$E$5)</f>
        <v>High</v>
      </c>
    </row>
    <row r="917" spans="1:22">
      <c r="A917">
        <f>RAW_DATA!A917</f>
        <v>21</v>
      </c>
      <c r="B917" t="str">
        <f>RAW_DATA!B917</f>
        <v>Yes</v>
      </c>
      <c r="C917" t="str">
        <f>RAW_DATA!C917</f>
        <v>Research &amp; Development</v>
      </c>
      <c r="D917">
        <f>RAW_DATA!D917</f>
        <v>10</v>
      </c>
      <c r="E917">
        <f>RAW_DATA!E917</f>
        <v>2</v>
      </c>
      <c r="F917" t="str">
        <f>RAW_DATA!F917</f>
        <v>Life Sciences</v>
      </c>
      <c r="G917">
        <f>RAW_DATA!G917</f>
        <v>1</v>
      </c>
      <c r="H917">
        <f>RAW_DATA!H917</f>
        <v>3</v>
      </c>
      <c r="I917" t="str">
        <f>RAW_DATA!I917</f>
        <v>Single</v>
      </c>
      <c r="J917">
        <f>RAW_DATA!J917</f>
        <v>2625</v>
      </c>
      <c r="K917">
        <f>RAW_DATA!K917</f>
        <v>1</v>
      </c>
      <c r="L917">
        <f>RAW_DATA!L917</f>
        <v>1</v>
      </c>
      <c r="M917">
        <f>RAW_DATA!M917</f>
        <v>2</v>
      </c>
      <c r="N917">
        <f t="shared" si="28"/>
        <v>1</v>
      </c>
      <c r="O917" t="str">
        <f xml:space="preserve"> VLOOKUP(A917, Lookup_Tables!$G$2:$H$6,2,TRUE)</f>
        <v>&lt;25</v>
      </c>
      <c r="P917" t="str">
        <f>_xlfn.XLOOKUP(J917,Lookup_Tables!$J$2:$J$4,Lookup_Tables!$K$2:$K$4, " ",-1)</f>
        <v>Low</v>
      </c>
      <c r="Q917" t="str">
        <f xml:space="preserve"> _xlfn.XLOOKUP(M917, Lookup_Tables!$M$2:$M$5,Lookup_Tables!$N$2:$N$5," ", -1)</f>
        <v>Early (2-5)</v>
      </c>
      <c r="R917" s="4">
        <f t="shared" si="29"/>
        <v>1.6666666666666667</v>
      </c>
      <c r="S917" t="str">
        <f xml:space="preserve"> _xlfn.XLOOKUP( E917, Lookup_Tables!$A$2:$A$6,Lookup_Tables!$B$2:$B$6," ", -1)</f>
        <v>College</v>
      </c>
      <c r="T917" t="str">
        <f>_xlfn.XLOOKUP(G917,Lookup_Tables!$D$2:$D$5,Lookup_Tables!$E$2:$E$5)</f>
        <v>Low</v>
      </c>
      <c r="U917" t="str">
        <f>_xlfn.XLOOKUP(H917,Lookup_Tables!$D$2:$D$5,Lookup_Tables!$E$2:$E$5)</f>
        <v>High</v>
      </c>
      <c r="V917" t="str">
        <f>_xlfn.XLOOKUP(L917,Lookup_Tables!$D$2:$D$5,Lookup_Tables!$E$2:$E$5)</f>
        <v>Low</v>
      </c>
    </row>
    <row r="918" spans="1:22">
      <c r="A918">
        <f>RAW_DATA!A918</f>
        <v>46</v>
      </c>
      <c r="B918" t="str">
        <f>RAW_DATA!B918</f>
        <v>No</v>
      </c>
      <c r="C918" t="str">
        <f>RAW_DATA!C918</f>
        <v>Sales</v>
      </c>
      <c r="D918">
        <f>RAW_DATA!D918</f>
        <v>4</v>
      </c>
      <c r="E918">
        <f>RAW_DATA!E918</f>
        <v>2</v>
      </c>
      <c r="F918" t="str">
        <f>RAW_DATA!F918</f>
        <v>Marketing</v>
      </c>
      <c r="G918">
        <f>RAW_DATA!G918</f>
        <v>4</v>
      </c>
      <c r="H918">
        <f>RAW_DATA!H918</f>
        <v>2</v>
      </c>
      <c r="I918" t="str">
        <f>RAW_DATA!I918</f>
        <v>Married</v>
      </c>
      <c r="J918">
        <f>RAW_DATA!J918</f>
        <v>18789</v>
      </c>
      <c r="K918">
        <f>RAW_DATA!K918</f>
        <v>2</v>
      </c>
      <c r="L918">
        <f>RAW_DATA!L918</f>
        <v>3</v>
      </c>
      <c r="M918">
        <f>RAW_DATA!M918</f>
        <v>11</v>
      </c>
      <c r="N918">
        <f t="shared" si="28"/>
        <v>0</v>
      </c>
      <c r="O918" t="str">
        <f xml:space="preserve"> VLOOKUP(A918, Lookup_Tables!$G$2:$H$6,2,TRUE)</f>
        <v>45-54</v>
      </c>
      <c r="P918" t="str">
        <f>_xlfn.XLOOKUP(J918,Lookup_Tables!$J$2:$J$4,Lookup_Tables!$K$2:$K$4, " ",-1)</f>
        <v>High</v>
      </c>
      <c r="Q918" t="str">
        <f xml:space="preserve"> _xlfn.XLOOKUP(M918, Lookup_Tables!$M$2:$M$5,Lookup_Tables!$N$2:$N$5," ", -1)</f>
        <v>Veteran (10+)</v>
      </c>
      <c r="R918" s="4">
        <f t="shared" si="29"/>
        <v>3</v>
      </c>
      <c r="S918" t="str">
        <f xml:space="preserve"> _xlfn.XLOOKUP( E918, Lookup_Tables!$A$2:$A$6,Lookup_Tables!$B$2:$B$6," ", -1)</f>
        <v>College</v>
      </c>
      <c r="T918" t="str">
        <f>_xlfn.XLOOKUP(G918,Lookup_Tables!$D$2:$D$5,Lookup_Tables!$E$2:$E$5)</f>
        <v>Very High</v>
      </c>
      <c r="U918" t="str">
        <f>_xlfn.XLOOKUP(H918,Lookup_Tables!$D$2:$D$5,Lookup_Tables!$E$2:$E$5)</f>
        <v>Medium</v>
      </c>
      <c r="V918" t="str">
        <f>_xlfn.XLOOKUP(L918,Lookup_Tables!$D$2:$D$5,Lookup_Tables!$E$2:$E$5)</f>
        <v>High</v>
      </c>
    </row>
    <row r="919" spans="1:22">
      <c r="A919">
        <f>RAW_DATA!A919</f>
        <v>34</v>
      </c>
      <c r="B919" t="str">
        <f>RAW_DATA!B919</f>
        <v>No</v>
      </c>
      <c r="C919" t="str">
        <f>RAW_DATA!C919</f>
        <v>Sales</v>
      </c>
      <c r="D919">
        <f>RAW_DATA!D919</f>
        <v>2</v>
      </c>
      <c r="E919">
        <f>RAW_DATA!E919</f>
        <v>3</v>
      </c>
      <c r="F919" t="str">
        <f>RAW_DATA!F919</f>
        <v>Marketing</v>
      </c>
      <c r="G919">
        <f>RAW_DATA!G919</f>
        <v>3</v>
      </c>
      <c r="H919">
        <f>RAW_DATA!H919</f>
        <v>1</v>
      </c>
      <c r="I919" t="str">
        <f>RAW_DATA!I919</f>
        <v>Single</v>
      </c>
      <c r="J919">
        <f>RAW_DATA!J919</f>
        <v>4538</v>
      </c>
      <c r="K919">
        <f>RAW_DATA!K919</f>
        <v>0</v>
      </c>
      <c r="L919">
        <f>RAW_DATA!L919</f>
        <v>3</v>
      </c>
      <c r="M919">
        <f>RAW_DATA!M919</f>
        <v>3</v>
      </c>
      <c r="N919">
        <f t="shared" si="28"/>
        <v>0</v>
      </c>
      <c r="O919" t="str">
        <f xml:space="preserve"> VLOOKUP(A919, Lookup_Tables!$G$2:$H$6,2,TRUE)</f>
        <v>25-34</v>
      </c>
      <c r="P919" t="str">
        <f>_xlfn.XLOOKUP(J919,Lookup_Tables!$J$2:$J$4,Lookup_Tables!$K$2:$K$4, " ",-1)</f>
        <v>Medium</v>
      </c>
      <c r="Q919" t="str">
        <f xml:space="preserve"> _xlfn.XLOOKUP(M919, Lookup_Tables!$M$2:$M$5,Lookup_Tables!$N$2:$N$5," ", -1)</f>
        <v>Early (2-5)</v>
      </c>
      <c r="R919" s="4">
        <f t="shared" si="29"/>
        <v>2.3333333333333335</v>
      </c>
      <c r="S919" t="str">
        <f xml:space="preserve"> _xlfn.XLOOKUP( E919, Lookup_Tables!$A$2:$A$6,Lookup_Tables!$B$2:$B$6," ", -1)</f>
        <v>Bachelor</v>
      </c>
      <c r="T919" t="str">
        <f>_xlfn.XLOOKUP(G919,Lookup_Tables!$D$2:$D$5,Lookup_Tables!$E$2:$E$5)</f>
        <v>High</v>
      </c>
      <c r="U919" t="str">
        <f>_xlfn.XLOOKUP(H919,Lookup_Tables!$D$2:$D$5,Lookup_Tables!$E$2:$E$5)</f>
        <v>Low</v>
      </c>
      <c r="V919" t="str">
        <f>_xlfn.XLOOKUP(L919,Lookup_Tables!$D$2:$D$5,Lookup_Tables!$E$2:$E$5)</f>
        <v>High</v>
      </c>
    </row>
    <row r="920" spans="1:22">
      <c r="A920">
        <f>RAW_DATA!A920</f>
        <v>51</v>
      </c>
      <c r="B920" t="str">
        <f>RAW_DATA!B920</f>
        <v>No</v>
      </c>
      <c r="C920" t="str">
        <f>RAW_DATA!C920</f>
        <v>Sales</v>
      </c>
      <c r="D920">
        <f>RAW_DATA!D920</f>
        <v>9</v>
      </c>
      <c r="E920">
        <f>RAW_DATA!E920</f>
        <v>3</v>
      </c>
      <c r="F920" t="str">
        <f>RAW_DATA!F920</f>
        <v>Life Sciences</v>
      </c>
      <c r="G920">
        <f>RAW_DATA!G920</f>
        <v>4</v>
      </c>
      <c r="H920">
        <f>RAW_DATA!H920</f>
        <v>2</v>
      </c>
      <c r="I920" t="str">
        <f>RAW_DATA!I920</f>
        <v>Divorced</v>
      </c>
      <c r="J920">
        <f>RAW_DATA!J920</f>
        <v>19847</v>
      </c>
      <c r="K920">
        <f>RAW_DATA!K920</f>
        <v>4</v>
      </c>
      <c r="L920">
        <f>RAW_DATA!L920</f>
        <v>2</v>
      </c>
      <c r="M920">
        <f>RAW_DATA!M920</f>
        <v>29</v>
      </c>
      <c r="N920">
        <f t="shared" si="28"/>
        <v>0</v>
      </c>
      <c r="O920" t="str">
        <f xml:space="preserve"> VLOOKUP(A920, Lookup_Tables!$G$2:$H$6,2,TRUE)</f>
        <v>45-54</v>
      </c>
      <c r="P920" t="str">
        <f>_xlfn.XLOOKUP(J920,Lookup_Tables!$J$2:$J$4,Lookup_Tables!$K$2:$K$4, " ",-1)</f>
        <v>High</v>
      </c>
      <c r="Q920" t="str">
        <f xml:space="preserve"> _xlfn.XLOOKUP(M920, Lookup_Tables!$M$2:$M$5,Lookup_Tables!$N$2:$N$5," ", -1)</f>
        <v>Veteran (10+)</v>
      </c>
      <c r="R920" s="4">
        <f t="shared" si="29"/>
        <v>2.6666666666666665</v>
      </c>
      <c r="S920" t="str">
        <f xml:space="preserve"> _xlfn.XLOOKUP( E920, Lookup_Tables!$A$2:$A$6,Lookup_Tables!$B$2:$B$6," ", -1)</f>
        <v>Bachelor</v>
      </c>
      <c r="T920" t="str">
        <f>_xlfn.XLOOKUP(G920,Lookup_Tables!$D$2:$D$5,Lookup_Tables!$E$2:$E$5)</f>
        <v>Very High</v>
      </c>
      <c r="U920" t="str">
        <f>_xlfn.XLOOKUP(H920,Lookup_Tables!$D$2:$D$5,Lookup_Tables!$E$2:$E$5)</f>
        <v>Medium</v>
      </c>
      <c r="V920" t="str">
        <f>_xlfn.XLOOKUP(L920,Lookup_Tables!$D$2:$D$5,Lookup_Tables!$E$2:$E$5)</f>
        <v>Medium</v>
      </c>
    </row>
    <row r="921" spans="1:22">
      <c r="A921">
        <f>RAW_DATA!A921</f>
        <v>59</v>
      </c>
      <c r="B921" t="str">
        <f>RAW_DATA!B921</f>
        <v>No</v>
      </c>
      <c r="C921" t="str">
        <f>RAW_DATA!C921</f>
        <v>Research &amp; Development</v>
      </c>
      <c r="D921">
        <f>RAW_DATA!D921</f>
        <v>18</v>
      </c>
      <c r="E921">
        <f>RAW_DATA!E921</f>
        <v>4</v>
      </c>
      <c r="F921" t="str">
        <f>RAW_DATA!F921</f>
        <v>Medical</v>
      </c>
      <c r="G921">
        <f>RAW_DATA!G921</f>
        <v>4</v>
      </c>
      <c r="H921">
        <f>RAW_DATA!H921</f>
        <v>4</v>
      </c>
      <c r="I921" t="str">
        <f>RAW_DATA!I921</f>
        <v>Single</v>
      </c>
      <c r="J921">
        <f>RAW_DATA!J921</f>
        <v>10512</v>
      </c>
      <c r="K921">
        <f>RAW_DATA!K921</f>
        <v>6</v>
      </c>
      <c r="L921">
        <f>RAW_DATA!L921</f>
        <v>2</v>
      </c>
      <c r="M921">
        <f>RAW_DATA!M921</f>
        <v>9</v>
      </c>
      <c r="N921">
        <f t="shared" si="28"/>
        <v>0</v>
      </c>
      <c r="O921" t="str">
        <f xml:space="preserve"> VLOOKUP(A921, Lookup_Tables!$G$2:$H$6,2,TRUE)</f>
        <v>55+</v>
      </c>
      <c r="P921" t="str">
        <f>_xlfn.XLOOKUP(J921,Lookup_Tables!$J$2:$J$4,Lookup_Tables!$K$2:$K$4, " ",-1)</f>
        <v>High</v>
      </c>
      <c r="Q921" t="str">
        <f xml:space="preserve"> _xlfn.XLOOKUP(M921, Lookup_Tables!$M$2:$M$5,Lookup_Tables!$N$2:$N$5," ", -1)</f>
        <v>Established (5-10)</v>
      </c>
      <c r="R921" s="4">
        <f t="shared" si="29"/>
        <v>3.3333333333333335</v>
      </c>
      <c r="S921" t="str">
        <f xml:space="preserve"> _xlfn.XLOOKUP( E921, Lookup_Tables!$A$2:$A$6,Lookup_Tables!$B$2:$B$6," ", -1)</f>
        <v>Master</v>
      </c>
      <c r="T921" t="str">
        <f>_xlfn.XLOOKUP(G921,Lookup_Tables!$D$2:$D$5,Lookup_Tables!$E$2:$E$5)</f>
        <v>Very High</v>
      </c>
      <c r="U921" t="str">
        <f>_xlfn.XLOOKUP(H921,Lookup_Tables!$D$2:$D$5,Lookup_Tables!$E$2:$E$5)</f>
        <v>Very High</v>
      </c>
      <c r="V921" t="str">
        <f>_xlfn.XLOOKUP(L921,Lookup_Tables!$D$2:$D$5,Lookup_Tables!$E$2:$E$5)</f>
        <v>Medium</v>
      </c>
    </row>
    <row r="922" spans="1:22">
      <c r="A922">
        <f>RAW_DATA!A922</f>
        <v>34</v>
      </c>
      <c r="B922" t="str">
        <f>RAW_DATA!B922</f>
        <v>No</v>
      </c>
      <c r="C922" t="str">
        <f>RAW_DATA!C922</f>
        <v>Research &amp; Development</v>
      </c>
      <c r="D922">
        <f>RAW_DATA!D922</f>
        <v>19</v>
      </c>
      <c r="E922">
        <f>RAW_DATA!E922</f>
        <v>3</v>
      </c>
      <c r="F922" t="str">
        <f>RAW_DATA!F922</f>
        <v>Medical</v>
      </c>
      <c r="G922">
        <f>RAW_DATA!G922</f>
        <v>3</v>
      </c>
      <c r="H922">
        <f>RAW_DATA!H922</f>
        <v>2</v>
      </c>
      <c r="I922" t="str">
        <f>RAW_DATA!I922</f>
        <v>Divorced</v>
      </c>
      <c r="J922">
        <f>RAW_DATA!J922</f>
        <v>4444</v>
      </c>
      <c r="K922">
        <f>RAW_DATA!K922</f>
        <v>4</v>
      </c>
      <c r="L922">
        <f>RAW_DATA!L922</f>
        <v>4</v>
      </c>
      <c r="M922">
        <f>RAW_DATA!M922</f>
        <v>11</v>
      </c>
      <c r="N922">
        <f t="shared" si="28"/>
        <v>0</v>
      </c>
      <c r="O922" t="str">
        <f xml:space="preserve"> VLOOKUP(A922, Lookup_Tables!$G$2:$H$6,2,TRUE)</f>
        <v>25-34</v>
      </c>
      <c r="P922" t="str">
        <f>_xlfn.XLOOKUP(J922,Lookup_Tables!$J$2:$J$4,Lookup_Tables!$K$2:$K$4, " ",-1)</f>
        <v>Medium</v>
      </c>
      <c r="Q922" t="str">
        <f xml:space="preserve"> _xlfn.XLOOKUP(M922, Lookup_Tables!$M$2:$M$5,Lookup_Tables!$N$2:$N$5," ", -1)</f>
        <v>Veteran (10+)</v>
      </c>
      <c r="R922" s="4">
        <f t="shared" si="29"/>
        <v>3</v>
      </c>
      <c r="S922" t="str">
        <f xml:space="preserve"> _xlfn.XLOOKUP( E922, Lookup_Tables!$A$2:$A$6,Lookup_Tables!$B$2:$B$6," ", -1)</f>
        <v>Bachelor</v>
      </c>
      <c r="T922" t="str">
        <f>_xlfn.XLOOKUP(G922,Lookup_Tables!$D$2:$D$5,Lookup_Tables!$E$2:$E$5)</f>
        <v>High</v>
      </c>
      <c r="U922" t="str">
        <f>_xlfn.XLOOKUP(H922,Lookup_Tables!$D$2:$D$5,Lookup_Tables!$E$2:$E$5)</f>
        <v>Medium</v>
      </c>
      <c r="V922" t="str">
        <f>_xlfn.XLOOKUP(L922,Lookup_Tables!$D$2:$D$5,Lookup_Tables!$E$2:$E$5)</f>
        <v>Very High</v>
      </c>
    </row>
    <row r="923" spans="1:22">
      <c r="A923">
        <f>RAW_DATA!A923</f>
        <v>28</v>
      </c>
      <c r="B923" t="str">
        <f>RAW_DATA!B923</f>
        <v>No</v>
      </c>
      <c r="C923" t="str">
        <f>RAW_DATA!C923</f>
        <v>Research &amp; Development</v>
      </c>
      <c r="D923">
        <f>RAW_DATA!D923</f>
        <v>1</v>
      </c>
      <c r="E923">
        <f>RAW_DATA!E923</f>
        <v>4</v>
      </c>
      <c r="F923" t="str">
        <f>RAW_DATA!F923</f>
        <v>Medical</v>
      </c>
      <c r="G923">
        <f>RAW_DATA!G923</f>
        <v>4</v>
      </c>
      <c r="H923">
        <f>RAW_DATA!H923</f>
        <v>3</v>
      </c>
      <c r="I923" t="str">
        <f>RAW_DATA!I923</f>
        <v>Single</v>
      </c>
      <c r="J923">
        <f>RAW_DATA!J923</f>
        <v>2154</v>
      </c>
      <c r="K923">
        <f>RAW_DATA!K923</f>
        <v>0</v>
      </c>
      <c r="L923">
        <f>RAW_DATA!L923</f>
        <v>2</v>
      </c>
      <c r="M923">
        <f>RAW_DATA!M923</f>
        <v>4</v>
      </c>
      <c r="N923">
        <f t="shared" si="28"/>
        <v>0</v>
      </c>
      <c r="O923" t="str">
        <f xml:space="preserve"> VLOOKUP(A923, Lookup_Tables!$G$2:$H$6,2,TRUE)</f>
        <v>25-34</v>
      </c>
      <c r="P923" t="str">
        <f>_xlfn.XLOOKUP(J923,Lookup_Tables!$J$2:$J$4,Lookup_Tables!$K$2:$K$4, " ",-1)</f>
        <v>Low</v>
      </c>
      <c r="Q923" t="str">
        <f xml:space="preserve"> _xlfn.XLOOKUP(M923, Lookup_Tables!$M$2:$M$5,Lookup_Tables!$N$2:$N$5," ", -1)</f>
        <v>Early (2-5)</v>
      </c>
      <c r="R923" s="4">
        <f t="shared" si="29"/>
        <v>3</v>
      </c>
      <c r="S923" t="str">
        <f xml:space="preserve"> _xlfn.XLOOKUP( E923, Lookup_Tables!$A$2:$A$6,Lookup_Tables!$B$2:$B$6," ", -1)</f>
        <v>Master</v>
      </c>
      <c r="T923" t="str">
        <f>_xlfn.XLOOKUP(G923,Lookup_Tables!$D$2:$D$5,Lookup_Tables!$E$2:$E$5)</f>
        <v>Very High</v>
      </c>
      <c r="U923" t="str">
        <f>_xlfn.XLOOKUP(H923,Lookup_Tables!$D$2:$D$5,Lookup_Tables!$E$2:$E$5)</f>
        <v>High</v>
      </c>
      <c r="V923" t="str">
        <f>_xlfn.XLOOKUP(L923,Lookup_Tables!$D$2:$D$5,Lookup_Tables!$E$2:$E$5)</f>
        <v>Medium</v>
      </c>
    </row>
    <row r="924" spans="1:22">
      <c r="A924">
        <f>RAW_DATA!A924</f>
        <v>44</v>
      </c>
      <c r="B924" t="str">
        <f>RAW_DATA!B924</f>
        <v>No</v>
      </c>
      <c r="C924" t="str">
        <f>RAW_DATA!C924</f>
        <v>Research &amp; Development</v>
      </c>
      <c r="D924">
        <f>RAW_DATA!D924</f>
        <v>4</v>
      </c>
      <c r="E924">
        <f>RAW_DATA!E924</f>
        <v>2</v>
      </c>
      <c r="F924" t="str">
        <f>RAW_DATA!F924</f>
        <v>Life Sciences</v>
      </c>
      <c r="G924">
        <f>RAW_DATA!G924</f>
        <v>3</v>
      </c>
      <c r="H924">
        <f>RAW_DATA!H924</f>
        <v>1</v>
      </c>
      <c r="I924" t="str">
        <f>RAW_DATA!I924</f>
        <v>Divorced</v>
      </c>
      <c r="J924">
        <f>RAW_DATA!J924</f>
        <v>19190</v>
      </c>
      <c r="K924">
        <f>RAW_DATA!K924</f>
        <v>1</v>
      </c>
      <c r="L924">
        <f>RAW_DATA!L924</f>
        <v>2</v>
      </c>
      <c r="M924">
        <f>RAW_DATA!M924</f>
        <v>25</v>
      </c>
      <c r="N924">
        <f t="shared" si="28"/>
        <v>0</v>
      </c>
      <c r="O924" t="str">
        <f xml:space="preserve"> VLOOKUP(A924, Lookup_Tables!$G$2:$H$6,2,TRUE)</f>
        <v>35-44</v>
      </c>
      <c r="P924" t="str">
        <f>_xlfn.XLOOKUP(J924,Lookup_Tables!$J$2:$J$4,Lookup_Tables!$K$2:$K$4, " ",-1)</f>
        <v>High</v>
      </c>
      <c r="Q924" t="str">
        <f xml:space="preserve"> _xlfn.XLOOKUP(M924, Lookup_Tables!$M$2:$M$5,Lookup_Tables!$N$2:$N$5," ", -1)</f>
        <v>Veteran (10+)</v>
      </c>
      <c r="R924" s="4">
        <f t="shared" si="29"/>
        <v>2</v>
      </c>
      <c r="S924" t="str">
        <f xml:space="preserve"> _xlfn.XLOOKUP( E924, Lookup_Tables!$A$2:$A$6,Lookup_Tables!$B$2:$B$6," ", -1)</f>
        <v>College</v>
      </c>
      <c r="T924" t="str">
        <f>_xlfn.XLOOKUP(G924,Lookup_Tables!$D$2:$D$5,Lookup_Tables!$E$2:$E$5)</f>
        <v>High</v>
      </c>
      <c r="U924" t="str">
        <f>_xlfn.XLOOKUP(H924,Lookup_Tables!$D$2:$D$5,Lookup_Tables!$E$2:$E$5)</f>
        <v>Low</v>
      </c>
      <c r="V924" t="str">
        <f>_xlfn.XLOOKUP(L924,Lookup_Tables!$D$2:$D$5,Lookup_Tables!$E$2:$E$5)</f>
        <v>Medium</v>
      </c>
    </row>
    <row r="925" spans="1:22">
      <c r="A925">
        <f>RAW_DATA!A925</f>
        <v>34</v>
      </c>
      <c r="B925" t="str">
        <f>RAW_DATA!B925</f>
        <v>No</v>
      </c>
      <c r="C925" t="str">
        <f>RAW_DATA!C925</f>
        <v>Human Resources</v>
      </c>
      <c r="D925">
        <f>RAW_DATA!D925</f>
        <v>11</v>
      </c>
      <c r="E925">
        <f>RAW_DATA!E925</f>
        <v>3</v>
      </c>
      <c r="F925" t="str">
        <f>RAW_DATA!F925</f>
        <v>Life Sciences</v>
      </c>
      <c r="G925">
        <f>RAW_DATA!G925</f>
        <v>3</v>
      </c>
      <c r="H925">
        <f>RAW_DATA!H925</f>
        <v>2</v>
      </c>
      <c r="I925" t="str">
        <f>RAW_DATA!I925</f>
        <v>Married</v>
      </c>
      <c r="J925">
        <f>RAW_DATA!J925</f>
        <v>4490</v>
      </c>
      <c r="K925">
        <f>RAW_DATA!K925</f>
        <v>4</v>
      </c>
      <c r="L925">
        <f>RAW_DATA!L925</f>
        <v>4</v>
      </c>
      <c r="M925">
        <f>RAW_DATA!M925</f>
        <v>10</v>
      </c>
      <c r="N925">
        <f t="shared" si="28"/>
        <v>0</v>
      </c>
      <c r="O925" t="str">
        <f xml:space="preserve"> VLOOKUP(A925, Lookup_Tables!$G$2:$H$6,2,TRUE)</f>
        <v>25-34</v>
      </c>
      <c r="P925" t="str">
        <f>_xlfn.XLOOKUP(J925,Lookup_Tables!$J$2:$J$4,Lookup_Tables!$K$2:$K$4, " ",-1)</f>
        <v>Medium</v>
      </c>
      <c r="Q925" t="str">
        <f xml:space="preserve"> _xlfn.XLOOKUP(M925, Lookup_Tables!$M$2:$M$5,Lookup_Tables!$N$2:$N$5," ", -1)</f>
        <v>Veteran (10+)</v>
      </c>
      <c r="R925" s="4">
        <f t="shared" si="29"/>
        <v>3</v>
      </c>
      <c r="S925" t="str">
        <f xml:space="preserve"> _xlfn.XLOOKUP( E925, Lookup_Tables!$A$2:$A$6,Lookup_Tables!$B$2:$B$6," ", -1)</f>
        <v>Bachelor</v>
      </c>
      <c r="T925" t="str">
        <f>_xlfn.XLOOKUP(G925,Lookup_Tables!$D$2:$D$5,Lookup_Tables!$E$2:$E$5)</f>
        <v>High</v>
      </c>
      <c r="U925" t="str">
        <f>_xlfn.XLOOKUP(H925,Lookup_Tables!$D$2:$D$5,Lookup_Tables!$E$2:$E$5)</f>
        <v>Medium</v>
      </c>
      <c r="V925" t="str">
        <f>_xlfn.XLOOKUP(L925,Lookup_Tables!$D$2:$D$5,Lookup_Tables!$E$2:$E$5)</f>
        <v>Very High</v>
      </c>
    </row>
    <row r="926" spans="1:22">
      <c r="A926">
        <f>RAW_DATA!A926</f>
        <v>35</v>
      </c>
      <c r="B926" t="str">
        <f>RAW_DATA!B926</f>
        <v>No</v>
      </c>
      <c r="C926" t="str">
        <f>RAW_DATA!C926</f>
        <v>Research &amp; Development</v>
      </c>
      <c r="D926">
        <f>RAW_DATA!D926</f>
        <v>6</v>
      </c>
      <c r="E926">
        <f>RAW_DATA!E926</f>
        <v>1</v>
      </c>
      <c r="F926" t="str">
        <f>RAW_DATA!F926</f>
        <v>Life Sciences</v>
      </c>
      <c r="G926">
        <f>RAW_DATA!G926</f>
        <v>3</v>
      </c>
      <c r="H926">
        <f>RAW_DATA!H926</f>
        <v>3</v>
      </c>
      <c r="I926" t="str">
        <f>RAW_DATA!I926</f>
        <v>Married</v>
      </c>
      <c r="J926">
        <f>RAW_DATA!J926</f>
        <v>3506</v>
      </c>
      <c r="K926">
        <f>RAW_DATA!K926</f>
        <v>0</v>
      </c>
      <c r="L926">
        <f>RAW_DATA!L926</f>
        <v>3</v>
      </c>
      <c r="M926">
        <f>RAW_DATA!M926</f>
        <v>3</v>
      </c>
      <c r="N926">
        <f t="shared" si="28"/>
        <v>0</v>
      </c>
      <c r="O926" t="str">
        <f xml:space="preserve"> VLOOKUP(A926, Lookup_Tables!$G$2:$H$6,2,TRUE)</f>
        <v>35-44</v>
      </c>
      <c r="P926" t="str">
        <f>_xlfn.XLOOKUP(J926,Lookup_Tables!$J$2:$J$4,Lookup_Tables!$K$2:$K$4, " ",-1)</f>
        <v>Medium</v>
      </c>
      <c r="Q926" t="str">
        <f xml:space="preserve"> _xlfn.XLOOKUP(M926, Lookup_Tables!$M$2:$M$5,Lookup_Tables!$N$2:$N$5," ", -1)</f>
        <v>Early (2-5)</v>
      </c>
      <c r="R926" s="4">
        <f t="shared" si="29"/>
        <v>3</v>
      </c>
      <c r="S926" t="str">
        <f xml:space="preserve"> _xlfn.XLOOKUP( E926, Lookup_Tables!$A$2:$A$6,Lookup_Tables!$B$2:$B$6," ", -1)</f>
        <v>Below College</v>
      </c>
      <c r="T926" t="str">
        <f>_xlfn.XLOOKUP(G926,Lookup_Tables!$D$2:$D$5,Lookup_Tables!$E$2:$E$5)</f>
        <v>High</v>
      </c>
      <c r="U926" t="str">
        <f>_xlfn.XLOOKUP(H926,Lookup_Tables!$D$2:$D$5,Lookup_Tables!$E$2:$E$5)</f>
        <v>High</v>
      </c>
      <c r="V926" t="str">
        <f>_xlfn.XLOOKUP(L926,Lookup_Tables!$D$2:$D$5,Lookup_Tables!$E$2:$E$5)</f>
        <v>High</v>
      </c>
    </row>
    <row r="927" spans="1:22">
      <c r="A927">
        <f>RAW_DATA!A927</f>
        <v>42</v>
      </c>
      <c r="B927" t="str">
        <f>RAW_DATA!B927</f>
        <v>No</v>
      </c>
      <c r="C927" t="str">
        <f>RAW_DATA!C927</f>
        <v>Research &amp; Development</v>
      </c>
      <c r="D927">
        <f>RAW_DATA!D927</f>
        <v>7</v>
      </c>
      <c r="E927">
        <f>RAW_DATA!E927</f>
        <v>4</v>
      </c>
      <c r="F927" t="str">
        <f>RAW_DATA!F927</f>
        <v>Medical</v>
      </c>
      <c r="G927">
        <f>RAW_DATA!G927</f>
        <v>2</v>
      </c>
      <c r="H927">
        <f>RAW_DATA!H927</f>
        <v>2</v>
      </c>
      <c r="I927" t="str">
        <f>RAW_DATA!I927</f>
        <v>Married</v>
      </c>
      <c r="J927">
        <f>RAW_DATA!J927</f>
        <v>2372</v>
      </c>
      <c r="K927">
        <f>RAW_DATA!K927</f>
        <v>6</v>
      </c>
      <c r="L927">
        <f>RAW_DATA!L927</f>
        <v>3</v>
      </c>
      <c r="M927">
        <f>RAW_DATA!M927</f>
        <v>1</v>
      </c>
      <c r="N927">
        <f t="shared" si="28"/>
        <v>0</v>
      </c>
      <c r="O927" t="str">
        <f xml:space="preserve"> VLOOKUP(A927, Lookup_Tables!$G$2:$H$6,2,TRUE)</f>
        <v>35-44</v>
      </c>
      <c r="P927" t="str">
        <f>_xlfn.XLOOKUP(J927,Lookup_Tables!$J$2:$J$4,Lookup_Tables!$K$2:$K$4, " ",-1)</f>
        <v>Low</v>
      </c>
      <c r="Q927" t="str">
        <f xml:space="preserve"> _xlfn.XLOOKUP(M927, Lookup_Tables!$M$2:$M$5,Lookup_Tables!$N$2:$N$5," ", -1)</f>
        <v>New (0-2)</v>
      </c>
      <c r="R927" s="4">
        <f t="shared" si="29"/>
        <v>2.3333333333333335</v>
      </c>
      <c r="S927" t="str">
        <f xml:space="preserve"> _xlfn.XLOOKUP( E927, Lookup_Tables!$A$2:$A$6,Lookup_Tables!$B$2:$B$6," ", -1)</f>
        <v>Master</v>
      </c>
      <c r="T927" t="str">
        <f>_xlfn.XLOOKUP(G927,Lookup_Tables!$D$2:$D$5,Lookup_Tables!$E$2:$E$5)</f>
        <v>Medium</v>
      </c>
      <c r="U927" t="str">
        <f>_xlfn.XLOOKUP(H927,Lookup_Tables!$D$2:$D$5,Lookup_Tables!$E$2:$E$5)</f>
        <v>Medium</v>
      </c>
      <c r="V927" t="str">
        <f>_xlfn.XLOOKUP(L927,Lookup_Tables!$D$2:$D$5,Lookup_Tables!$E$2:$E$5)</f>
        <v>High</v>
      </c>
    </row>
    <row r="928" spans="1:22">
      <c r="A928">
        <f>RAW_DATA!A928</f>
        <v>43</v>
      </c>
      <c r="B928" t="str">
        <f>RAW_DATA!B928</f>
        <v>No</v>
      </c>
      <c r="C928" t="str">
        <f>RAW_DATA!C928</f>
        <v>Sales</v>
      </c>
      <c r="D928">
        <f>RAW_DATA!D928</f>
        <v>4</v>
      </c>
      <c r="E928">
        <f>RAW_DATA!E928</f>
        <v>4</v>
      </c>
      <c r="F928" t="str">
        <f>RAW_DATA!F928</f>
        <v>Marketing</v>
      </c>
      <c r="G928">
        <f>RAW_DATA!G928</f>
        <v>4</v>
      </c>
      <c r="H928">
        <f>RAW_DATA!H928</f>
        <v>4</v>
      </c>
      <c r="I928" t="str">
        <f>RAW_DATA!I928</f>
        <v>Single</v>
      </c>
      <c r="J928">
        <f>RAW_DATA!J928</f>
        <v>10231</v>
      </c>
      <c r="K928">
        <f>RAW_DATA!K928</f>
        <v>3</v>
      </c>
      <c r="L928">
        <f>RAW_DATA!L928</f>
        <v>4</v>
      </c>
      <c r="M928">
        <f>RAW_DATA!M928</f>
        <v>21</v>
      </c>
      <c r="N928">
        <f t="shared" si="28"/>
        <v>0</v>
      </c>
      <c r="O928" t="str">
        <f xml:space="preserve"> VLOOKUP(A928, Lookup_Tables!$G$2:$H$6,2,TRUE)</f>
        <v>35-44</v>
      </c>
      <c r="P928" t="str">
        <f>_xlfn.XLOOKUP(J928,Lookup_Tables!$J$2:$J$4,Lookup_Tables!$K$2:$K$4, " ",-1)</f>
        <v>High</v>
      </c>
      <c r="Q928" t="str">
        <f xml:space="preserve"> _xlfn.XLOOKUP(M928, Lookup_Tables!$M$2:$M$5,Lookup_Tables!$N$2:$N$5," ", -1)</f>
        <v>Veteran (10+)</v>
      </c>
      <c r="R928" s="4">
        <f t="shared" si="29"/>
        <v>4</v>
      </c>
      <c r="S928" t="str">
        <f xml:space="preserve"> _xlfn.XLOOKUP( E928, Lookup_Tables!$A$2:$A$6,Lookup_Tables!$B$2:$B$6," ", -1)</f>
        <v>Master</v>
      </c>
      <c r="T928" t="str">
        <f>_xlfn.XLOOKUP(G928,Lookup_Tables!$D$2:$D$5,Lookup_Tables!$E$2:$E$5)</f>
        <v>Very High</v>
      </c>
      <c r="U928" t="str">
        <f>_xlfn.XLOOKUP(H928,Lookup_Tables!$D$2:$D$5,Lookup_Tables!$E$2:$E$5)</f>
        <v>Very High</v>
      </c>
      <c r="V928" t="str">
        <f>_xlfn.XLOOKUP(L928,Lookup_Tables!$D$2:$D$5,Lookup_Tables!$E$2:$E$5)</f>
        <v>Very High</v>
      </c>
    </row>
    <row r="929" spans="1:22">
      <c r="A929">
        <f>RAW_DATA!A929</f>
        <v>36</v>
      </c>
      <c r="B929" t="str">
        <f>RAW_DATA!B929</f>
        <v>No</v>
      </c>
      <c r="C929" t="str">
        <f>RAW_DATA!C929</f>
        <v>Research &amp; Development</v>
      </c>
      <c r="D929">
        <f>RAW_DATA!D929</f>
        <v>2</v>
      </c>
      <c r="E929">
        <f>RAW_DATA!E929</f>
        <v>4</v>
      </c>
      <c r="F929" t="str">
        <f>RAW_DATA!F929</f>
        <v>Life Sciences</v>
      </c>
      <c r="G929">
        <f>RAW_DATA!G929</f>
        <v>3</v>
      </c>
      <c r="H929">
        <f>RAW_DATA!H929</f>
        <v>2</v>
      </c>
      <c r="I929" t="str">
        <f>RAW_DATA!I929</f>
        <v>Single</v>
      </c>
      <c r="J929">
        <f>RAW_DATA!J929</f>
        <v>5410</v>
      </c>
      <c r="K929">
        <f>RAW_DATA!K929</f>
        <v>9</v>
      </c>
      <c r="L929">
        <f>RAW_DATA!L929</f>
        <v>3</v>
      </c>
      <c r="M929">
        <f>RAW_DATA!M929</f>
        <v>16</v>
      </c>
      <c r="N929">
        <f t="shared" si="28"/>
        <v>0</v>
      </c>
      <c r="O929" t="str">
        <f xml:space="preserve"> VLOOKUP(A929, Lookup_Tables!$G$2:$H$6,2,TRUE)</f>
        <v>35-44</v>
      </c>
      <c r="P929" t="str">
        <f>_xlfn.XLOOKUP(J929,Lookup_Tables!$J$2:$J$4,Lookup_Tables!$K$2:$K$4, " ",-1)</f>
        <v>Medium</v>
      </c>
      <c r="Q929" t="str">
        <f xml:space="preserve"> _xlfn.XLOOKUP(M929, Lookup_Tables!$M$2:$M$5,Lookup_Tables!$N$2:$N$5," ", -1)</f>
        <v>Veteran (10+)</v>
      </c>
      <c r="R929" s="4">
        <f t="shared" si="29"/>
        <v>2.6666666666666665</v>
      </c>
      <c r="S929" t="str">
        <f xml:space="preserve"> _xlfn.XLOOKUP( E929, Lookup_Tables!$A$2:$A$6,Lookup_Tables!$B$2:$B$6," ", -1)</f>
        <v>Master</v>
      </c>
      <c r="T929" t="str">
        <f>_xlfn.XLOOKUP(G929,Lookup_Tables!$D$2:$D$5,Lookup_Tables!$E$2:$E$5)</f>
        <v>High</v>
      </c>
      <c r="U929" t="str">
        <f>_xlfn.XLOOKUP(H929,Lookup_Tables!$D$2:$D$5,Lookup_Tables!$E$2:$E$5)</f>
        <v>Medium</v>
      </c>
      <c r="V929" t="str">
        <f>_xlfn.XLOOKUP(L929,Lookup_Tables!$D$2:$D$5,Lookup_Tables!$E$2:$E$5)</f>
        <v>High</v>
      </c>
    </row>
    <row r="930" spans="1:22">
      <c r="A930">
        <f>RAW_DATA!A930</f>
        <v>44</v>
      </c>
      <c r="B930" t="str">
        <f>RAW_DATA!B930</f>
        <v>Yes</v>
      </c>
      <c r="C930" t="str">
        <f>RAW_DATA!C930</f>
        <v>Research &amp; Development</v>
      </c>
      <c r="D930">
        <f>RAW_DATA!D930</f>
        <v>15</v>
      </c>
      <c r="E930">
        <f>RAW_DATA!E930</f>
        <v>3</v>
      </c>
      <c r="F930" t="str">
        <f>RAW_DATA!F930</f>
        <v>Medical</v>
      </c>
      <c r="G930">
        <f>RAW_DATA!G930</f>
        <v>1</v>
      </c>
      <c r="H930">
        <f>RAW_DATA!H930</f>
        <v>4</v>
      </c>
      <c r="I930" t="str">
        <f>RAW_DATA!I930</f>
        <v>Married</v>
      </c>
      <c r="J930">
        <f>RAW_DATA!J930</f>
        <v>7978</v>
      </c>
      <c r="K930">
        <f>RAW_DATA!K930</f>
        <v>1</v>
      </c>
      <c r="L930">
        <f>RAW_DATA!L930</f>
        <v>3</v>
      </c>
      <c r="M930">
        <f>RAW_DATA!M930</f>
        <v>10</v>
      </c>
      <c r="N930">
        <f t="shared" si="28"/>
        <v>1</v>
      </c>
      <c r="O930" t="str">
        <f xml:space="preserve"> VLOOKUP(A930, Lookup_Tables!$G$2:$H$6,2,TRUE)</f>
        <v>35-44</v>
      </c>
      <c r="P930" t="str">
        <f>_xlfn.XLOOKUP(J930,Lookup_Tables!$J$2:$J$4,Lookup_Tables!$K$2:$K$4, " ",-1)</f>
        <v>High</v>
      </c>
      <c r="Q930" t="str">
        <f xml:space="preserve"> _xlfn.XLOOKUP(M930, Lookup_Tables!$M$2:$M$5,Lookup_Tables!$N$2:$N$5," ", -1)</f>
        <v>Veteran (10+)</v>
      </c>
      <c r="R930" s="4">
        <f t="shared" si="29"/>
        <v>2.6666666666666665</v>
      </c>
      <c r="S930" t="str">
        <f xml:space="preserve"> _xlfn.XLOOKUP( E930, Lookup_Tables!$A$2:$A$6,Lookup_Tables!$B$2:$B$6," ", -1)</f>
        <v>Bachelor</v>
      </c>
      <c r="T930" t="str">
        <f>_xlfn.XLOOKUP(G930,Lookup_Tables!$D$2:$D$5,Lookup_Tables!$E$2:$E$5)</f>
        <v>Low</v>
      </c>
      <c r="U930" t="str">
        <f>_xlfn.XLOOKUP(H930,Lookup_Tables!$D$2:$D$5,Lookup_Tables!$E$2:$E$5)</f>
        <v>Very High</v>
      </c>
      <c r="V930" t="str">
        <f>_xlfn.XLOOKUP(L930,Lookup_Tables!$D$2:$D$5,Lookup_Tables!$E$2:$E$5)</f>
        <v>High</v>
      </c>
    </row>
    <row r="931" spans="1:22">
      <c r="A931">
        <f>RAW_DATA!A931</f>
        <v>28</v>
      </c>
      <c r="B931" t="str">
        <f>RAW_DATA!B931</f>
        <v>No</v>
      </c>
      <c r="C931" t="str">
        <f>RAW_DATA!C931</f>
        <v>Research &amp; Development</v>
      </c>
      <c r="D931">
        <f>RAW_DATA!D931</f>
        <v>2</v>
      </c>
      <c r="E931">
        <f>RAW_DATA!E931</f>
        <v>3</v>
      </c>
      <c r="F931" t="str">
        <f>RAW_DATA!F931</f>
        <v>Life Sciences</v>
      </c>
      <c r="G931">
        <f>RAW_DATA!G931</f>
        <v>4</v>
      </c>
      <c r="H931">
        <f>RAW_DATA!H931</f>
        <v>4</v>
      </c>
      <c r="I931" t="str">
        <f>RAW_DATA!I931</f>
        <v>Married</v>
      </c>
      <c r="J931">
        <f>RAW_DATA!J931</f>
        <v>3867</v>
      </c>
      <c r="K931">
        <f>RAW_DATA!K931</f>
        <v>1</v>
      </c>
      <c r="L931">
        <f>RAW_DATA!L931</f>
        <v>3</v>
      </c>
      <c r="M931">
        <f>RAW_DATA!M931</f>
        <v>2</v>
      </c>
      <c r="N931">
        <f t="shared" si="28"/>
        <v>0</v>
      </c>
      <c r="O931" t="str">
        <f xml:space="preserve"> VLOOKUP(A931, Lookup_Tables!$G$2:$H$6,2,TRUE)</f>
        <v>25-34</v>
      </c>
      <c r="P931" t="str">
        <f>_xlfn.XLOOKUP(J931,Lookup_Tables!$J$2:$J$4,Lookup_Tables!$K$2:$K$4, " ",-1)</f>
        <v>Medium</v>
      </c>
      <c r="Q931" t="str">
        <f xml:space="preserve"> _xlfn.XLOOKUP(M931, Lookup_Tables!$M$2:$M$5,Lookup_Tables!$N$2:$N$5," ", -1)</f>
        <v>Early (2-5)</v>
      </c>
      <c r="R931" s="4">
        <f t="shared" si="29"/>
        <v>3.6666666666666665</v>
      </c>
      <c r="S931" t="str">
        <f xml:space="preserve"> _xlfn.XLOOKUP( E931, Lookup_Tables!$A$2:$A$6,Lookup_Tables!$B$2:$B$6," ", -1)</f>
        <v>Bachelor</v>
      </c>
      <c r="T931" t="str">
        <f>_xlfn.XLOOKUP(G931,Lookup_Tables!$D$2:$D$5,Lookup_Tables!$E$2:$E$5)</f>
        <v>Very High</v>
      </c>
      <c r="U931" t="str">
        <f>_xlfn.XLOOKUP(H931,Lookup_Tables!$D$2:$D$5,Lookup_Tables!$E$2:$E$5)</f>
        <v>Very High</v>
      </c>
      <c r="V931" t="str">
        <f>_xlfn.XLOOKUP(L931,Lookup_Tables!$D$2:$D$5,Lookup_Tables!$E$2:$E$5)</f>
        <v>High</v>
      </c>
    </row>
    <row r="932" spans="1:22">
      <c r="A932">
        <f>RAW_DATA!A932</f>
        <v>51</v>
      </c>
      <c r="B932" t="str">
        <f>RAW_DATA!B932</f>
        <v>No</v>
      </c>
      <c r="C932" t="str">
        <f>RAW_DATA!C932</f>
        <v>Research &amp; Development</v>
      </c>
      <c r="D932">
        <f>RAW_DATA!D932</f>
        <v>6</v>
      </c>
      <c r="E932">
        <f>RAW_DATA!E932</f>
        <v>2</v>
      </c>
      <c r="F932" t="str">
        <f>RAW_DATA!F932</f>
        <v>Medical</v>
      </c>
      <c r="G932">
        <f>RAW_DATA!G932</f>
        <v>2</v>
      </c>
      <c r="H932">
        <f>RAW_DATA!H932</f>
        <v>3</v>
      </c>
      <c r="I932" t="str">
        <f>RAW_DATA!I932</f>
        <v>Single</v>
      </c>
      <c r="J932">
        <f>RAW_DATA!J932</f>
        <v>2838</v>
      </c>
      <c r="K932">
        <f>RAW_DATA!K932</f>
        <v>0</v>
      </c>
      <c r="L932">
        <f>RAW_DATA!L932</f>
        <v>2</v>
      </c>
      <c r="M932">
        <f>RAW_DATA!M932</f>
        <v>7</v>
      </c>
      <c r="N932">
        <f t="shared" si="28"/>
        <v>0</v>
      </c>
      <c r="O932" t="str">
        <f xml:space="preserve"> VLOOKUP(A932, Lookup_Tables!$G$2:$H$6,2,TRUE)</f>
        <v>45-54</v>
      </c>
      <c r="P932" t="str">
        <f>_xlfn.XLOOKUP(J932,Lookup_Tables!$J$2:$J$4,Lookup_Tables!$K$2:$K$4, " ",-1)</f>
        <v>Low</v>
      </c>
      <c r="Q932" t="str">
        <f xml:space="preserve"> _xlfn.XLOOKUP(M932, Lookup_Tables!$M$2:$M$5,Lookup_Tables!$N$2:$N$5," ", -1)</f>
        <v>Established (5-10)</v>
      </c>
      <c r="R932" s="4">
        <f t="shared" si="29"/>
        <v>2.3333333333333335</v>
      </c>
      <c r="S932" t="str">
        <f xml:space="preserve"> _xlfn.XLOOKUP( E932, Lookup_Tables!$A$2:$A$6,Lookup_Tables!$B$2:$B$6," ", -1)</f>
        <v>College</v>
      </c>
      <c r="T932" t="str">
        <f>_xlfn.XLOOKUP(G932,Lookup_Tables!$D$2:$D$5,Lookup_Tables!$E$2:$E$5)</f>
        <v>Medium</v>
      </c>
      <c r="U932" t="str">
        <f>_xlfn.XLOOKUP(H932,Lookup_Tables!$D$2:$D$5,Lookup_Tables!$E$2:$E$5)</f>
        <v>High</v>
      </c>
      <c r="V932" t="str">
        <f>_xlfn.XLOOKUP(L932,Lookup_Tables!$D$2:$D$5,Lookup_Tables!$E$2:$E$5)</f>
        <v>Medium</v>
      </c>
    </row>
    <row r="933" spans="1:22">
      <c r="A933">
        <f>RAW_DATA!A933</f>
        <v>30</v>
      </c>
      <c r="B933" t="str">
        <f>RAW_DATA!B933</f>
        <v>No</v>
      </c>
      <c r="C933" t="str">
        <f>RAW_DATA!C933</f>
        <v>Research &amp; Development</v>
      </c>
      <c r="D933">
        <f>RAW_DATA!D933</f>
        <v>9</v>
      </c>
      <c r="E933">
        <f>RAW_DATA!E933</f>
        <v>2</v>
      </c>
      <c r="F933" t="str">
        <f>RAW_DATA!F933</f>
        <v>Medical</v>
      </c>
      <c r="G933">
        <f>RAW_DATA!G933</f>
        <v>3</v>
      </c>
      <c r="H933">
        <f>RAW_DATA!H933</f>
        <v>3</v>
      </c>
      <c r="I933" t="str">
        <f>RAW_DATA!I933</f>
        <v>Single</v>
      </c>
      <c r="J933">
        <f>RAW_DATA!J933</f>
        <v>4695</v>
      </c>
      <c r="K933">
        <f>RAW_DATA!K933</f>
        <v>7</v>
      </c>
      <c r="L933">
        <f>RAW_DATA!L933</f>
        <v>3</v>
      </c>
      <c r="M933">
        <f>RAW_DATA!M933</f>
        <v>8</v>
      </c>
      <c r="N933">
        <f t="shared" si="28"/>
        <v>0</v>
      </c>
      <c r="O933" t="str">
        <f xml:space="preserve"> VLOOKUP(A933, Lookup_Tables!$G$2:$H$6,2,TRUE)</f>
        <v>25-34</v>
      </c>
      <c r="P933" t="str">
        <f>_xlfn.XLOOKUP(J933,Lookup_Tables!$J$2:$J$4,Lookup_Tables!$K$2:$K$4, " ",-1)</f>
        <v>Medium</v>
      </c>
      <c r="Q933" t="str">
        <f xml:space="preserve"> _xlfn.XLOOKUP(M933, Lookup_Tables!$M$2:$M$5,Lookup_Tables!$N$2:$N$5," ", -1)</f>
        <v>Established (5-10)</v>
      </c>
      <c r="R933" s="4">
        <f t="shared" si="29"/>
        <v>3</v>
      </c>
      <c r="S933" t="str">
        <f xml:space="preserve"> _xlfn.XLOOKUP( E933, Lookup_Tables!$A$2:$A$6,Lookup_Tables!$B$2:$B$6," ", -1)</f>
        <v>College</v>
      </c>
      <c r="T933" t="str">
        <f>_xlfn.XLOOKUP(G933,Lookup_Tables!$D$2:$D$5,Lookup_Tables!$E$2:$E$5)</f>
        <v>High</v>
      </c>
      <c r="U933" t="str">
        <f>_xlfn.XLOOKUP(H933,Lookup_Tables!$D$2:$D$5,Lookup_Tables!$E$2:$E$5)</f>
        <v>High</v>
      </c>
      <c r="V933" t="str">
        <f>_xlfn.XLOOKUP(L933,Lookup_Tables!$D$2:$D$5,Lookup_Tables!$E$2:$E$5)</f>
        <v>High</v>
      </c>
    </row>
    <row r="934" spans="1:22">
      <c r="A934">
        <f>RAW_DATA!A934</f>
        <v>29</v>
      </c>
      <c r="B934" t="str">
        <f>RAW_DATA!B934</f>
        <v>Yes</v>
      </c>
      <c r="C934" t="str">
        <f>RAW_DATA!C934</f>
        <v>Research &amp; Development</v>
      </c>
      <c r="D934">
        <f>RAW_DATA!D934</f>
        <v>7</v>
      </c>
      <c r="E934">
        <f>RAW_DATA!E934</f>
        <v>3</v>
      </c>
      <c r="F934" t="str">
        <f>RAW_DATA!F934</f>
        <v>Technical Degree</v>
      </c>
      <c r="G934">
        <f>RAW_DATA!G934</f>
        <v>2</v>
      </c>
      <c r="H934">
        <f>RAW_DATA!H934</f>
        <v>3</v>
      </c>
      <c r="I934" t="str">
        <f>RAW_DATA!I934</f>
        <v>Divorced</v>
      </c>
      <c r="J934">
        <f>RAW_DATA!J934</f>
        <v>3339</v>
      </c>
      <c r="K934">
        <f>RAW_DATA!K934</f>
        <v>3</v>
      </c>
      <c r="L934">
        <f>RAW_DATA!L934</f>
        <v>3</v>
      </c>
      <c r="M934">
        <f>RAW_DATA!M934</f>
        <v>7</v>
      </c>
      <c r="N934">
        <f t="shared" si="28"/>
        <v>1</v>
      </c>
      <c r="O934" t="str">
        <f xml:space="preserve"> VLOOKUP(A934, Lookup_Tables!$G$2:$H$6,2,TRUE)</f>
        <v>25-34</v>
      </c>
      <c r="P934" t="str">
        <f>_xlfn.XLOOKUP(J934,Lookup_Tables!$J$2:$J$4,Lookup_Tables!$K$2:$K$4, " ",-1)</f>
        <v>Medium</v>
      </c>
      <c r="Q934" t="str">
        <f xml:space="preserve"> _xlfn.XLOOKUP(M934, Lookup_Tables!$M$2:$M$5,Lookup_Tables!$N$2:$N$5," ", -1)</f>
        <v>Established (5-10)</v>
      </c>
      <c r="R934" s="4">
        <f t="shared" si="29"/>
        <v>2.6666666666666665</v>
      </c>
      <c r="S934" t="str">
        <f xml:space="preserve"> _xlfn.XLOOKUP( E934, Lookup_Tables!$A$2:$A$6,Lookup_Tables!$B$2:$B$6," ", -1)</f>
        <v>Bachelor</v>
      </c>
      <c r="T934" t="str">
        <f>_xlfn.XLOOKUP(G934,Lookup_Tables!$D$2:$D$5,Lookup_Tables!$E$2:$E$5)</f>
        <v>Medium</v>
      </c>
      <c r="U934" t="str">
        <f>_xlfn.XLOOKUP(H934,Lookup_Tables!$D$2:$D$5,Lookup_Tables!$E$2:$E$5)</f>
        <v>High</v>
      </c>
      <c r="V934" t="str">
        <f>_xlfn.XLOOKUP(L934,Lookup_Tables!$D$2:$D$5,Lookup_Tables!$E$2:$E$5)</f>
        <v>High</v>
      </c>
    </row>
    <row r="935" spans="1:22">
      <c r="A935">
        <f>RAW_DATA!A935</f>
        <v>28</v>
      </c>
      <c r="B935" t="str">
        <f>RAW_DATA!B935</f>
        <v>No</v>
      </c>
      <c r="C935" t="str">
        <f>RAW_DATA!C935</f>
        <v>Research &amp; Development</v>
      </c>
      <c r="D935">
        <f>RAW_DATA!D935</f>
        <v>1</v>
      </c>
      <c r="E935">
        <f>RAW_DATA!E935</f>
        <v>3</v>
      </c>
      <c r="F935" t="str">
        <f>RAW_DATA!F935</f>
        <v>Technical Degree</v>
      </c>
      <c r="G935">
        <f>RAW_DATA!G935</f>
        <v>4</v>
      </c>
      <c r="H935">
        <f>RAW_DATA!H935</f>
        <v>1</v>
      </c>
      <c r="I935" t="str">
        <f>RAW_DATA!I935</f>
        <v>Single</v>
      </c>
      <c r="J935">
        <f>RAW_DATA!J935</f>
        <v>2080</v>
      </c>
      <c r="K935">
        <f>RAW_DATA!K935</f>
        <v>2</v>
      </c>
      <c r="L935">
        <f>RAW_DATA!L935</f>
        <v>2</v>
      </c>
      <c r="M935">
        <f>RAW_DATA!M935</f>
        <v>3</v>
      </c>
      <c r="N935">
        <f t="shared" si="28"/>
        <v>0</v>
      </c>
      <c r="O935" t="str">
        <f xml:space="preserve"> VLOOKUP(A935, Lookup_Tables!$G$2:$H$6,2,TRUE)</f>
        <v>25-34</v>
      </c>
      <c r="P935" t="str">
        <f>_xlfn.XLOOKUP(J935,Lookup_Tables!$J$2:$J$4,Lookup_Tables!$K$2:$K$4, " ",-1)</f>
        <v>Low</v>
      </c>
      <c r="Q935" t="str">
        <f xml:space="preserve"> _xlfn.XLOOKUP(M935, Lookup_Tables!$M$2:$M$5,Lookup_Tables!$N$2:$N$5," ", -1)</f>
        <v>Early (2-5)</v>
      </c>
      <c r="R935" s="4">
        <f t="shared" si="29"/>
        <v>2.3333333333333335</v>
      </c>
      <c r="S935" t="str">
        <f xml:space="preserve"> _xlfn.XLOOKUP( E935, Lookup_Tables!$A$2:$A$6,Lookup_Tables!$B$2:$B$6," ", -1)</f>
        <v>Bachelor</v>
      </c>
      <c r="T935" t="str">
        <f>_xlfn.XLOOKUP(G935,Lookup_Tables!$D$2:$D$5,Lookup_Tables!$E$2:$E$5)</f>
        <v>Very High</v>
      </c>
      <c r="U935" t="str">
        <f>_xlfn.XLOOKUP(H935,Lookup_Tables!$D$2:$D$5,Lookup_Tables!$E$2:$E$5)</f>
        <v>Low</v>
      </c>
      <c r="V935" t="str">
        <f>_xlfn.XLOOKUP(L935,Lookup_Tables!$D$2:$D$5,Lookup_Tables!$E$2:$E$5)</f>
        <v>Medium</v>
      </c>
    </row>
    <row r="936" spans="1:22">
      <c r="A936">
        <f>RAW_DATA!A936</f>
        <v>25</v>
      </c>
      <c r="B936" t="str">
        <f>RAW_DATA!B936</f>
        <v>No</v>
      </c>
      <c r="C936" t="str">
        <f>RAW_DATA!C936</f>
        <v>Research &amp; Development</v>
      </c>
      <c r="D936">
        <f>RAW_DATA!D936</f>
        <v>1</v>
      </c>
      <c r="E936">
        <f>RAW_DATA!E936</f>
        <v>3</v>
      </c>
      <c r="F936" t="str">
        <f>RAW_DATA!F936</f>
        <v>Medical</v>
      </c>
      <c r="G936">
        <f>RAW_DATA!G936</f>
        <v>4</v>
      </c>
      <c r="H936">
        <f>RAW_DATA!H936</f>
        <v>2</v>
      </c>
      <c r="I936" t="str">
        <f>RAW_DATA!I936</f>
        <v>Single</v>
      </c>
      <c r="J936">
        <f>RAW_DATA!J936</f>
        <v>2096</v>
      </c>
      <c r="K936">
        <f>RAW_DATA!K936</f>
        <v>1</v>
      </c>
      <c r="L936">
        <f>RAW_DATA!L936</f>
        <v>2</v>
      </c>
      <c r="M936">
        <f>RAW_DATA!M936</f>
        <v>2</v>
      </c>
      <c r="N936">
        <f t="shared" si="28"/>
        <v>0</v>
      </c>
      <c r="O936" t="str">
        <f xml:space="preserve"> VLOOKUP(A936, Lookup_Tables!$G$2:$H$6,2,TRUE)</f>
        <v>25-34</v>
      </c>
      <c r="P936" t="str">
        <f>_xlfn.XLOOKUP(J936,Lookup_Tables!$J$2:$J$4,Lookup_Tables!$K$2:$K$4, " ",-1)</f>
        <v>Low</v>
      </c>
      <c r="Q936" t="str">
        <f xml:space="preserve"> _xlfn.XLOOKUP(M936, Lookup_Tables!$M$2:$M$5,Lookup_Tables!$N$2:$N$5," ", -1)</f>
        <v>Early (2-5)</v>
      </c>
      <c r="R936" s="4">
        <f t="shared" si="29"/>
        <v>2.6666666666666665</v>
      </c>
      <c r="S936" t="str">
        <f xml:space="preserve"> _xlfn.XLOOKUP( E936, Lookup_Tables!$A$2:$A$6,Lookup_Tables!$B$2:$B$6," ", -1)</f>
        <v>Bachelor</v>
      </c>
      <c r="T936" t="str">
        <f>_xlfn.XLOOKUP(G936,Lookup_Tables!$D$2:$D$5,Lookup_Tables!$E$2:$E$5)</f>
        <v>Very High</v>
      </c>
      <c r="U936" t="str">
        <f>_xlfn.XLOOKUP(H936,Lookup_Tables!$D$2:$D$5,Lookup_Tables!$E$2:$E$5)</f>
        <v>Medium</v>
      </c>
      <c r="V936" t="str">
        <f>_xlfn.XLOOKUP(L936,Lookup_Tables!$D$2:$D$5,Lookup_Tables!$E$2:$E$5)</f>
        <v>Medium</v>
      </c>
    </row>
    <row r="937" spans="1:22">
      <c r="A937">
        <f>RAW_DATA!A937</f>
        <v>32</v>
      </c>
      <c r="B937" t="str">
        <f>RAW_DATA!B937</f>
        <v>No</v>
      </c>
      <c r="C937" t="str">
        <f>RAW_DATA!C937</f>
        <v>Sales</v>
      </c>
      <c r="D937">
        <f>RAW_DATA!D937</f>
        <v>8</v>
      </c>
      <c r="E937">
        <f>RAW_DATA!E937</f>
        <v>3</v>
      </c>
      <c r="F937" t="str">
        <f>RAW_DATA!F937</f>
        <v>Medical</v>
      </c>
      <c r="G937">
        <f>RAW_DATA!G937</f>
        <v>3</v>
      </c>
      <c r="H937">
        <f>RAW_DATA!H937</f>
        <v>4</v>
      </c>
      <c r="I937" t="str">
        <f>RAW_DATA!I937</f>
        <v>Married</v>
      </c>
      <c r="J937">
        <f>RAW_DATA!J937</f>
        <v>6209</v>
      </c>
      <c r="K937">
        <f>RAW_DATA!K937</f>
        <v>1</v>
      </c>
      <c r="L937">
        <f>RAW_DATA!L937</f>
        <v>4</v>
      </c>
      <c r="M937">
        <f>RAW_DATA!M937</f>
        <v>10</v>
      </c>
      <c r="N937">
        <f t="shared" si="28"/>
        <v>0</v>
      </c>
      <c r="O937" t="str">
        <f xml:space="preserve"> VLOOKUP(A937, Lookup_Tables!$G$2:$H$6,2,TRUE)</f>
        <v>25-34</v>
      </c>
      <c r="P937" t="str">
        <f>_xlfn.XLOOKUP(J937,Lookup_Tables!$J$2:$J$4,Lookup_Tables!$K$2:$K$4, " ",-1)</f>
        <v>Medium</v>
      </c>
      <c r="Q937" t="str">
        <f xml:space="preserve"> _xlfn.XLOOKUP(M937, Lookup_Tables!$M$2:$M$5,Lookup_Tables!$N$2:$N$5," ", -1)</f>
        <v>Veteran (10+)</v>
      </c>
      <c r="R937" s="4">
        <f t="shared" si="29"/>
        <v>3.6666666666666665</v>
      </c>
      <c r="S937" t="str">
        <f xml:space="preserve"> _xlfn.XLOOKUP( E937, Lookup_Tables!$A$2:$A$6,Lookup_Tables!$B$2:$B$6," ", -1)</f>
        <v>Bachelor</v>
      </c>
      <c r="T937" t="str">
        <f>_xlfn.XLOOKUP(G937,Lookup_Tables!$D$2:$D$5,Lookup_Tables!$E$2:$E$5)</f>
        <v>High</v>
      </c>
      <c r="U937" t="str">
        <f>_xlfn.XLOOKUP(H937,Lookup_Tables!$D$2:$D$5,Lookup_Tables!$E$2:$E$5)</f>
        <v>Very High</v>
      </c>
      <c r="V937" t="str">
        <f>_xlfn.XLOOKUP(L937,Lookup_Tables!$D$2:$D$5,Lookup_Tables!$E$2:$E$5)</f>
        <v>Very High</v>
      </c>
    </row>
    <row r="938" spans="1:22">
      <c r="A938">
        <f>RAW_DATA!A938</f>
        <v>45</v>
      </c>
      <c r="B938" t="str">
        <f>RAW_DATA!B938</f>
        <v>No</v>
      </c>
      <c r="C938" t="str">
        <f>RAW_DATA!C938</f>
        <v>Research &amp; Development</v>
      </c>
      <c r="D938">
        <f>RAW_DATA!D938</f>
        <v>25</v>
      </c>
      <c r="E938">
        <f>RAW_DATA!E938</f>
        <v>3</v>
      </c>
      <c r="F938" t="str">
        <f>RAW_DATA!F938</f>
        <v>Medical</v>
      </c>
      <c r="G938">
        <f>RAW_DATA!G938</f>
        <v>2</v>
      </c>
      <c r="H938">
        <f>RAW_DATA!H938</f>
        <v>2</v>
      </c>
      <c r="I938" t="str">
        <f>RAW_DATA!I938</f>
        <v>Single</v>
      </c>
      <c r="J938">
        <f>RAW_DATA!J938</f>
        <v>18061</v>
      </c>
      <c r="K938">
        <f>RAW_DATA!K938</f>
        <v>3</v>
      </c>
      <c r="L938">
        <f>RAW_DATA!L938</f>
        <v>3</v>
      </c>
      <c r="M938">
        <f>RAW_DATA!M938</f>
        <v>0</v>
      </c>
      <c r="N938">
        <f t="shared" si="28"/>
        <v>0</v>
      </c>
      <c r="O938" t="str">
        <f xml:space="preserve"> VLOOKUP(A938, Lookup_Tables!$G$2:$H$6,2,TRUE)</f>
        <v>45-54</v>
      </c>
      <c r="P938" t="str">
        <f>_xlfn.XLOOKUP(J938,Lookup_Tables!$J$2:$J$4,Lookup_Tables!$K$2:$K$4, " ",-1)</f>
        <v>High</v>
      </c>
      <c r="Q938" t="str">
        <f xml:space="preserve"> _xlfn.XLOOKUP(M938, Lookup_Tables!$M$2:$M$5,Lookup_Tables!$N$2:$N$5," ", -1)</f>
        <v>New (0-2)</v>
      </c>
      <c r="R938" s="4">
        <f t="shared" si="29"/>
        <v>2.3333333333333335</v>
      </c>
      <c r="S938" t="str">
        <f xml:space="preserve"> _xlfn.XLOOKUP( E938, Lookup_Tables!$A$2:$A$6,Lookup_Tables!$B$2:$B$6," ", -1)</f>
        <v>Bachelor</v>
      </c>
      <c r="T938" t="str">
        <f>_xlfn.XLOOKUP(G938,Lookup_Tables!$D$2:$D$5,Lookup_Tables!$E$2:$E$5)</f>
        <v>Medium</v>
      </c>
      <c r="U938" t="str">
        <f>_xlfn.XLOOKUP(H938,Lookup_Tables!$D$2:$D$5,Lookup_Tables!$E$2:$E$5)</f>
        <v>Medium</v>
      </c>
      <c r="V938" t="str">
        <f>_xlfn.XLOOKUP(L938,Lookup_Tables!$D$2:$D$5,Lookup_Tables!$E$2:$E$5)</f>
        <v>High</v>
      </c>
    </row>
    <row r="939" spans="1:22">
      <c r="A939">
        <f>RAW_DATA!A939</f>
        <v>39</v>
      </c>
      <c r="B939" t="str">
        <f>RAW_DATA!B939</f>
        <v>No</v>
      </c>
      <c r="C939" t="str">
        <f>RAW_DATA!C939</f>
        <v>Research &amp; Development</v>
      </c>
      <c r="D939">
        <f>RAW_DATA!D939</f>
        <v>13</v>
      </c>
      <c r="E939">
        <f>RAW_DATA!E939</f>
        <v>4</v>
      </c>
      <c r="F939" t="str">
        <f>RAW_DATA!F939</f>
        <v>Medical</v>
      </c>
      <c r="G939">
        <f>RAW_DATA!G939</f>
        <v>3</v>
      </c>
      <c r="H939">
        <f>RAW_DATA!H939</f>
        <v>2</v>
      </c>
      <c r="I939" t="str">
        <f>RAW_DATA!I939</f>
        <v>Divorced</v>
      </c>
      <c r="J939">
        <f>RAW_DATA!J939</f>
        <v>17123</v>
      </c>
      <c r="K939">
        <f>RAW_DATA!K939</f>
        <v>6</v>
      </c>
      <c r="L939">
        <f>RAW_DATA!L939</f>
        <v>3</v>
      </c>
      <c r="M939">
        <f>RAW_DATA!M939</f>
        <v>19</v>
      </c>
      <c r="N939">
        <f t="shared" si="28"/>
        <v>0</v>
      </c>
      <c r="O939" t="str">
        <f xml:space="preserve"> VLOOKUP(A939, Lookup_Tables!$G$2:$H$6,2,TRUE)</f>
        <v>35-44</v>
      </c>
      <c r="P939" t="str">
        <f>_xlfn.XLOOKUP(J939,Lookup_Tables!$J$2:$J$4,Lookup_Tables!$K$2:$K$4, " ",-1)</f>
        <v>High</v>
      </c>
      <c r="Q939" t="str">
        <f xml:space="preserve"> _xlfn.XLOOKUP(M939, Lookup_Tables!$M$2:$M$5,Lookup_Tables!$N$2:$N$5," ", -1)</f>
        <v>Veteran (10+)</v>
      </c>
      <c r="R939" s="4">
        <f t="shared" si="29"/>
        <v>2.6666666666666665</v>
      </c>
      <c r="S939" t="str">
        <f xml:space="preserve"> _xlfn.XLOOKUP( E939, Lookup_Tables!$A$2:$A$6,Lookup_Tables!$B$2:$B$6," ", -1)</f>
        <v>Master</v>
      </c>
      <c r="T939" t="str">
        <f>_xlfn.XLOOKUP(G939,Lookup_Tables!$D$2:$D$5,Lookup_Tables!$E$2:$E$5)</f>
        <v>High</v>
      </c>
      <c r="U939" t="str">
        <f>_xlfn.XLOOKUP(H939,Lookup_Tables!$D$2:$D$5,Lookup_Tables!$E$2:$E$5)</f>
        <v>Medium</v>
      </c>
      <c r="V939" t="str">
        <f>_xlfn.XLOOKUP(L939,Lookup_Tables!$D$2:$D$5,Lookup_Tables!$E$2:$E$5)</f>
        <v>High</v>
      </c>
    </row>
    <row r="940" spans="1:22">
      <c r="A940">
        <f>RAW_DATA!A940</f>
        <v>58</v>
      </c>
      <c r="B940" t="str">
        <f>RAW_DATA!B940</f>
        <v>No</v>
      </c>
      <c r="C940" t="str">
        <f>RAW_DATA!C940</f>
        <v>Research &amp; Development</v>
      </c>
      <c r="D940">
        <f>RAW_DATA!D940</f>
        <v>23</v>
      </c>
      <c r="E940">
        <f>RAW_DATA!E940</f>
        <v>4</v>
      </c>
      <c r="F940" t="str">
        <f>RAW_DATA!F940</f>
        <v>Life Sciences</v>
      </c>
      <c r="G940">
        <f>RAW_DATA!G940</f>
        <v>1</v>
      </c>
      <c r="H940">
        <f>RAW_DATA!H940</f>
        <v>3</v>
      </c>
      <c r="I940" t="str">
        <f>RAW_DATA!I940</f>
        <v>Divorced</v>
      </c>
      <c r="J940">
        <f>RAW_DATA!J940</f>
        <v>2372</v>
      </c>
      <c r="K940">
        <f>RAW_DATA!K940</f>
        <v>1</v>
      </c>
      <c r="L940">
        <f>RAW_DATA!L940</f>
        <v>3</v>
      </c>
      <c r="M940">
        <f>RAW_DATA!M940</f>
        <v>2</v>
      </c>
      <c r="N940">
        <f t="shared" si="28"/>
        <v>0</v>
      </c>
      <c r="O940" t="str">
        <f xml:space="preserve"> VLOOKUP(A940, Lookup_Tables!$G$2:$H$6,2,TRUE)</f>
        <v>55+</v>
      </c>
      <c r="P940" t="str">
        <f>_xlfn.XLOOKUP(J940,Lookup_Tables!$J$2:$J$4,Lookup_Tables!$K$2:$K$4, " ",-1)</f>
        <v>Low</v>
      </c>
      <c r="Q940" t="str">
        <f xml:space="preserve"> _xlfn.XLOOKUP(M940, Lookup_Tables!$M$2:$M$5,Lookup_Tables!$N$2:$N$5," ", -1)</f>
        <v>Early (2-5)</v>
      </c>
      <c r="R940" s="4">
        <f t="shared" si="29"/>
        <v>2.3333333333333335</v>
      </c>
      <c r="S940" t="str">
        <f xml:space="preserve"> _xlfn.XLOOKUP( E940, Lookup_Tables!$A$2:$A$6,Lookup_Tables!$B$2:$B$6," ", -1)</f>
        <v>Master</v>
      </c>
      <c r="T940" t="str">
        <f>_xlfn.XLOOKUP(G940,Lookup_Tables!$D$2:$D$5,Lookup_Tables!$E$2:$E$5)</f>
        <v>Low</v>
      </c>
      <c r="U940" t="str">
        <f>_xlfn.XLOOKUP(H940,Lookup_Tables!$D$2:$D$5,Lookup_Tables!$E$2:$E$5)</f>
        <v>High</v>
      </c>
      <c r="V940" t="str">
        <f>_xlfn.XLOOKUP(L940,Lookup_Tables!$D$2:$D$5,Lookup_Tables!$E$2:$E$5)</f>
        <v>High</v>
      </c>
    </row>
    <row r="941" spans="1:22">
      <c r="A941">
        <f>RAW_DATA!A941</f>
        <v>32</v>
      </c>
      <c r="B941" t="str">
        <f>RAW_DATA!B941</f>
        <v>Yes</v>
      </c>
      <c r="C941" t="str">
        <f>RAW_DATA!C941</f>
        <v>Research &amp; Development</v>
      </c>
      <c r="D941">
        <f>RAW_DATA!D941</f>
        <v>7</v>
      </c>
      <c r="E941">
        <f>RAW_DATA!E941</f>
        <v>2</v>
      </c>
      <c r="F941" t="str">
        <f>RAW_DATA!F941</f>
        <v>Life Sciences</v>
      </c>
      <c r="G941">
        <f>RAW_DATA!G941</f>
        <v>4</v>
      </c>
      <c r="H941">
        <f>RAW_DATA!H941</f>
        <v>3</v>
      </c>
      <c r="I941" t="str">
        <f>RAW_DATA!I941</f>
        <v>Married</v>
      </c>
      <c r="J941">
        <f>RAW_DATA!J941</f>
        <v>4883</v>
      </c>
      <c r="K941">
        <f>RAW_DATA!K941</f>
        <v>1</v>
      </c>
      <c r="L941">
        <f>RAW_DATA!L941</f>
        <v>3</v>
      </c>
      <c r="M941">
        <f>RAW_DATA!M941</f>
        <v>10</v>
      </c>
      <c r="N941">
        <f t="shared" si="28"/>
        <v>1</v>
      </c>
      <c r="O941" t="str">
        <f xml:space="preserve"> VLOOKUP(A941, Lookup_Tables!$G$2:$H$6,2,TRUE)</f>
        <v>25-34</v>
      </c>
      <c r="P941" t="str">
        <f>_xlfn.XLOOKUP(J941,Lookup_Tables!$J$2:$J$4,Lookup_Tables!$K$2:$K$4, " ",-1)</f>
        <v>Medium</v>
      </c>
      <c r="Q941" t="str">
        <f xml:space="preserve"> _xlfn.XLOOKUP(M941, Lookup_Tables!$M$2:$M$5,Lookup_Tables!$N$2:$N$5," ", -1)</f>
        <v>Veteran (10+)</v>
      </c>
      <c r="R941" s="4">
        <f t="shared" si="29"/>
        <v>3.3333333333333335</v>
      </c>
      <c r="S941" t="str">
        <f xml:space="preserve"> _xlfn.XLOOKUP( E941, Lookup_Tables!$A$2:$A$6,Lookup_Tables!$B$2:$B$6," ", -1)</f>
        <v>College</v>
      </c>
      <c r="T941" t="str">
        <f>_xlfn.XLOOKUP(G941,Lookup_Tables!$D$2:$D$5,Lookup_Tables!$E$2:$E$5)</f>
        <v>Very High</v>
      </c>
      <c r="U941" t="str">
        <f>_xlfn.XLOOKUP(H941,Lookup_Tables!$D$2:$D$5,Lookup_Tables!$E$2:$E$5)</f>
        <v>High</v>
      </c>
      <c r="V941" t="str">
        <f>_xlfn.XLOOKUP(L941,Lookup_Tables!$D$2:$D$5,Lookup_Tables!$E$2:$E$5)</f>
        <v>High</v>
      </c>
    </row>
    <row r="942" spans="1:22">
      <c r="A942">
        <f>RAW_DATA!A942</f>
        <v>39</v>
      </c>
      <c r="B942" t="str">
        <f>RAW_DATA!B942</f>
        <v>Yes</v>
      </c>
      <c r="C942" t="str">
        <f>RAW_DATA!C942</f>
        <v>Research &amp; Development</v>
      </c>
      <c r="D942">
        <f>RAW_DATA!D942</f>
        <v>23</v>
      </c>
      <c r="E942">
        <f>RAW_DATA!E942</f>
        <v>3</v>
      </c>
      <c r="F942" t="str">
        <f>RAW_DATA!F942</f>
        <v>Medical</v>
      </c>
      <c r="G942">
        <f>RAW_DATA!G942</f>
        <v>3</v>
      </c>
      <c r="H942">
        <f>RAW_DATA!H942</f>
        <v>1</v>
      </c>
      <c r="I942" t="str">
        <f>RAW_DATA!I942</f>
        <v>Single</v>
      </c>
      <c r="J942">
        <f>RAW_DATA!J942</f>
        <v>3904</v>
      </c>
      <c r="K942">
        <f>RAW_DATA!K942</f>
        <v>0</v>
      </c>
      <c r="L942">
        <f>RAW_DATA!L942</f>
        <v>3</v>
      </c>
      <c r="M942">
        <f>RAW_DATA!M942</f>
        <v>5</v>
      </c>
      <c r="N942">
        <f t="shared" si="28"/>
        <v>1</v>
      </c>
      <c r="O942" t="str">
        <f xml:space="preserve"> VLOOKUP(A942, Lookup_Tables!$G$2:$H$6,2,TRUE)</f>
        <v>35-44</v>
      </c>
      <c r="P942" t="str">
        <f>_xlfn.XLOOKUP(J942,Lookup_Tables!$J$2:$J$4,Lookup_Tables!$K$2:$K$4, " ",-1)</f>
        <v>Medium</v>
      </c>
      <c r="Q942" t="str">
        <f xml:space="preserve"> _xlfn.XLOOKUP(M942, Lookup_Tables!$M$2:$M$5,Lookup_Tables!$N$2:$N$5," ", -1)</f>
        <v>Established (5-10)</v>
      </c>
      <c r="R942" s="4">
        <f t="shared" si="29"/>
        <v>2.3333333333333335</v>
      </c>
      <c r="S942" t="str">
        <f xml:space="preserve"> _xlfn.XLOOKUP( E942, Lookup_Tables!$A$2:$A$6,Lookup_Tables!$B$2:$B$6," ", -1)</f>
        <v>Bachelor</v>
      </c>
      <c r="T942" t="str">
        <f>_xlfn.XLOOKUP(G942,Lookup_Tables!$D$2:$D$5,Lookup_Tables!$E$2:$E$5)</f>
        <v>High</v>
      </c>
      <c r="U942" t="str">
        <f>_xlfn.XLOOKUP(H942,Lookup_Tables!$D$2:$D$5,Lookup_Tables!$E$2:$E$5)</f>
        <v>Low</v>
      </c>
      <c r="V942" t="str">
        <f>_xlfn.XLOOKUP(L942,Lookup_Tables!$D$2:$D$5,Lookup_Tables!$E$2:$E$5)</f>
        <v>High</v>
      </c>
    </row>
    <row r="943" spans="1:22">
      <c r="A943">
        <f>RAW_DATA!A943</f>
        <v>30</v>
      </c>
      <c r="B943" t="str">
        <f>RAW_DATA!B943</f>
        <v>No</v>
      </c>
      <c r="C943" t="str">
        <f>RAW_DATA!C943</f>
        <v>Research &amp; Development</v>
      </c>
      <c r="D943">
        <f>RAW_DATA!D943</f>
        <v>6</v>
      </c>
      <c r="E943">
        <f>RAW_DATA!E943</f>
        <v>3</v>
      </c>
      <c r="F943" t="str">
        <f>RAW_DATA!F943</f>
        <v>Technical Degree</v>
      </c>
      <c r="G943">
        <f>RAW_DATA!G943</f>
        <v>1</v>
      </c>
      <c r="H943">
        <f>RAW_DATA!H943</f>
        <v>4</v>
      </c>
      <c r="I943" t="str">
        <f>RAW_DATA!I943</f>
        <v>Married</v>
      </c>
      <c r="J943">
        <f>RAW_DATA!J943</f>
        <v>4627</v>
      </c>
      <c r="K943">
        <f>RAW_DATA!K943</f>
        <v>0</v>
      </c>
      <c r="L943">
        <f>RAW_DATA!L943</f>
        <v>3</v>
      </c>
      <c r="M943">
        <f>RAW_DATA!M943</f>
        <v>9</v>
      </c>
      <c r="N943">
        <f t="shared" si="28"/>
        <v>0</v>
      </c>
      <c r="O943" t="str">
        <f xml:space="preserve"> VLOOKUP(A943, Lookup_Tables!$G$2:$H$6,2,TRUE)</f>
        <v>25-34</v>
      </c>
      <c r="P943" t="str">
        <f>_xlfn.XLOOKUP(J943,Lookup_Tables!$J$2:$J$4,Lookup_Tables!$K$2:$K$4, " ",-1)</f>
        <v>Medium</v>
      </c>
      <c r="Q943" t="str">
        <f xml:space="preserve"> _xlfn.XLOOKUP(M943, Lookup_Tables!$M$2:$M$5,Lookup_Tables!$N$2:$N$5," ", -1)</f>
        <v>Established (5-10)</v>
      </c>
      <c r="R943" s="4">
        <f t="shared" si="29"/>
        <v>2.6666666666666665</v>
      </c>
      <c r="S943" t="str">
        <f xml:space="preserve"> _xlfn.XLOOKUP( E943, Lookup_Tables!$A$2:$A$6,Lookup_Tables!$B$2:$B$6," ", -1)</f>
        <v>Bachelor</v>
      </c>
      <c r="T943" t="str">
        <f>_xlfn.XLOOKUP(G943,Lookup_Tables!$D$2:$D$5,Lookup_Tables!$E$2:$E$5)</f>
        <v>Low</v>
      </c>
      <c r="U943" t="str">
        <f>_xlfn.XLOOKUP(H943,Lookup_Tables!$D$2:$D$5,Lookup_Tables!$E$2:$E$5)</f>
        <v>Very High</v>
      </c>
      <c r="V943" t="str">
        <f>_xlfn.XLOOKUP(L943,Lookup_Tables!$D$2:$D$5,Lookup_Tables!$E$2:$E$5)</f>
        <v>High</v>
      </c>
    </row>
    <row r="944" spans="1:22">
      <c r="A944">
        <f>RAW_DATA!A944</f>
        <v>36</v>
      </c>
      <c r="B944" t="str">
        <f>RAW_DATA!B944</f>
        <v>No</v>
      </c>
      <c r="C944" t="str">
        <f>RAW_DATA!C944</f>
        <v>Research &amp; Development</v>
      </c>
      <c r="D944">
        <f>RAW_DATA!D944</f>
        <v>10</v>
      </c>
      <c r="E944">
        <f>RAW_DATA!E944</f>
        <v>4</v>
      </c>
      <c r="F944" t="str">
        <f>RAW_DATA!F944</f>
        <v>Technical Degree</v>
      </c>
      <c r="G944">
        <f>RAW_DATA!G944</f>
        <v>4</v>
      </c>
      <c r="H944">
        <f>RAW_DATA!H944</f>
        <v>3</v>
      </c>
      <c r="I944" t="str">
        <f>RAW_DATA!I944</f>
        <v>Married</v>
      </c>
      <c r="J944">
        <f>RAW_DATA!J944</f>
        <v>7094</v>
      </c>
      <c r="K944">
        <f>RAW_DATA!K944</f>
        <v>3</v>
      </c>
      <c r="L944">
        <f>RAW_DATA!L944</f>
        <v>3</v>
      </c>
      <c r="M944">
        <f>RAW_DATA!M944</f>
        <v>7</v>
      </c>
      <c r="N944">
        <f t="shared" si="28"/>
        <v>0</v>
      </c>
      <c r="O944" t="str">
        <f xml:space="preserve"> VLOOKUP(A944, Lookup_Tables!$G$2:$H$6,2,TRUE)</f>
        <v>35-44</v>
      </c>
      <c r="P944" t="str">
        <f>_xlfn.XLOOKUP(J944,Lookup_Tables!$J$2:$J$4,Lookup_Tables!$K$2:$K$4, " ",-1)</f>
        <v>High</v>
      </c>
      <c r="Q944" t="str">
        <f xml:space="preserve"> _xlfn.XLOOKUP(M944, Lookup_Tables!$M$2:$M$5,Lookup_Tables!$N$2:$N$5," ", -1)</f>
        <v>Established (5-10)</v>
      </c>
      <c r="R944" s="4">
        <f t="shared" si="29"/>
        <v>3.3333333333333335</v>
      </c>
      <c r="S944" t="str">
        <f xml:space="preserve"> _xlfn.XLOOKUP( E944, Lookup_Tables!$A$2:$A$6,Lookup_Tables!$B$2:$B$6," ", -1)</f>
        <v>Master</v>
      </c>
      <c r="T944" t="str">
        <f>_xlfn.XLOOKUP(G944,Lookup_Tables!$D$2:$D$5,Lookup_Tables!$E$2:$E$5)</f>
        <v>Very High</v>
      </c>
      <c r="U944" t="str">
        <f>_xlfn.XLOOKUP(H944,Lookup_Tables!$D$2:$D$5,Lookup_Tables!$E$2:$E$5)</f>
        <v>High</v>
      </c>
      <c r="V944" t="str">
        <f>_xlfn.XLOOKUP(L944,Lookup_Tables!$D$2:$D$5,Lookup_Tables!$E$2:$E$5)</f>
        <v>High</v>
      </c>
    </row>
    <row r="945" spans="1:22">
      <c r="A945">
        <f>RAW_DATA!A945</f>
        <v>46</v>
      </c>
      <c r="B945" t="str">
        <f>RAW_DATA!B945</f>
        <v>No</v>
      </c>
      <c r="C945" t="str">
        <f>RAW_DATA!C945</f>
        <v>Human Resources</v>
      </c>
      <c r="D945">
        <f>RAW_DATA!D945</f>
        <v>1</v>
      </c>
      <c r="E945">
        <f>RAW_DATA!E945</f>
        <v>2</v>
      </c>
      <c r="F945" t="str">
        <f>RAW_DATA!F945</f>
        <v>Life Sciences</v>
      </c>
      <c r="G945">
        <f>RAW_DATA!G945</f>
        <v>4</v>
      </c>
      <c r="H945">
        <f>RAW_DATA!H945</f>
        <v>1</v>
      </c>
      <c r="I945" t="str">
        <f>RAW_DATA!I945</f>
        <v>Single</v>
      </c>
      <c r="J945">
        <f>RAW_DATA!J945</f>
        <v>3423</v>
      </c>
      <c r="K945">
        <f>RAW_DATA!K945</f>
        <v>6</v>
      </c>
      <c r="L945">
        <f>RAW_DATA!L945</f>
        <v>4</v>
      </c>
      <c r="M945">
        <f>RAW_DATA!M945</f>
        <v>7</v>
      </c>
      <c r="N945">
        <f t="shared" si="28"/>
        <v>0</v>
      </c>
      <c r="O945" t="str">
        <f xml:space="preserve"> VLOOKUP(A945, Lookup_Tables!$G$2:$H$6,2,TRUE)</f>
        <v>45-54</v>
      </c>
      <c r="P945" t="str">
        <f>_xlfn.XLOOKUP(J945,Lookup_Tables!$J$2:$J$4,Lookup_Tables!$K$2:$K$4, " ",-1)</f>
        <v>Medium</v>
      </c>
      <c r="Q945" t="str">
        <f xml:space="preserve"> _xlfn.XLOOKUP(M945, Lookup_Tables!$M$2:$M$5,Lookup_Tables!$N$2:$N$5," ", -1)</f>
        <v>Established (5-10)</v>
      </c>
      <c r="R945" s="4">
        <f t="shared" si="29"/>
        <v>3</v>
      </c>
      <c r="S945" t="str">
        <f xml:space="preserve"> _xlfn.XLOOKUP( E945, Lookup_Tables!$A$2:$A$6,Lookup_Tables!$B$2:$B$6," ", -1)</f>
        <v>College</v>
      </c>
      <c r="T945" t="str">
        <f>_xlfn.XLOOKUP(G945,Lookup_Tables!$D$2:$D$5,Lookup_Tables!$E$2:$E$5)</f>
        <v>Very High</v>
      </c>
      <c r="U945" t="str">
        <f>_xlfn.XLOOKUP(H945,Lookup_Tables!$D$2:$D$5,Lookup_Tables!$E$2:$E$5)</f>
        <v>Low</v>
      </c>
      <c r="V945" t="str">
        <f>_xlfn.XLOOKUP(L945,Lookup_Tables!$D$2:$D$5,Lookup_Tables!$E$2:$E$5)</f>
        <v>Very High</v>
      </c>
    </row>
    <row r="946" spans="1:22">
      <c r="A946">
        <f>RAW_DATA!A946</f>
        <v>28</v>
      </c>
      <c r="B946" t="str">
        <f>RAW_DATA!B946</f>
        <v>No</v>
      </c>
      <c r="C946" t="str">
        <f>RAW_DATA!C946</f>
        <v>Research &amp; Development</v>
      </c>
      <c r="D946">
        <f>RAW_DATA!D946</f>
        <v>1</v>
      </c>
      <c r="E946">
        <f>RAW_DATA!E946</f>
        <v>3</v>
      </c>
      <c r="F946" t="str">
        <f>RAW_DATA!F946</f>
        <v>Life Sciences</v>
      </c>
      <c r="G946">
        <f>RAW_DATA!G946</f>
        <v>3</v>
      </c>
      <c r="H946">
        <f>RAW_DATA!H946</f>
        <v>4</v>
      </c>
      <c r="I946" t="str">
        <f>RAW_DATA!I946</f>
        <v>Married</v>
      </c>
      <c r="J946">
        <f>RAW_DATA!J946</f>
        <v>6674</v>
      </c>
      <c r="K946">
        <f>RAW_DATA!K946</f>
        <v>0</v>
      </c>
      <c r="L946">
        <f>RAW_DATA!L946</f>
        <v>3</v>
      </c>
      <c r="M946">
        <f>RAW_DATA!M946</f>
        <v>9</v>
      </c>
      <c r="N946">
        <f t="shared" si="28"/>
        <v>0</v>
      </c>
      <c r="O946" t="str">
        <f xml:space="preserve"> VLOOKUP(A946, Lookup_Tables!$G$2:$H$6,2,TRUE)</f>
        <v>25-34</v>
      </c>
      <c r="P946" t="str">
        <f>_xlfn.XLOOKUP(J946,Lookup_Tables!$J$2:$J$4,Lookup_Tables!$K$2:$K$4, " ",-1)</f>
        <v>Medium</v>
      </c>
      <c r="Q946" t="str">
        <f xml:space="preserve"> _xlfn.XLOOKUP(M946, Lookup_Tables!$M$2:$M$5,Lookup_Tables!$N$2:$N$5," ", -1)</f>
        <v>Established (5-10)</v>
      </c>
      <c r="R946" s="4">
        <f t="shared" si="29"/>
        <v>3.3333333333333335</v>
      </c>
      <c r="S946" t="str">
        <f xml:space="preserve"> _xlfn.XLOOKUP( E946, Lookup_Tables!$A$2:$A$6,Lookup_Tables!$B$2:$B$6," ", -1)</f>
        <v>Bachelor</v>
      </c>
      <c r="T946" t="str">
        <f>_xlfn.XLOOKUP(G946,Lookup_Tables!$D$2:$D$5,Lookup_Tables!$E$2:$E$5)</f>
        <v>High</v>
      </c>
      <c r="U946" t="str">
        <f>_xlfn.XLOOKUP(H946,Lookup_Tables!$D$2:$D$5,Lookup_Tables!$E$2:$E$5)</f>
        <v>Very High</v>
      </c>
      <c r="V946" t="str">
        <f>_xlfn.XLOOKUP(L946,Lookup_Tables!$D$2:$D$5,Lookup_Tables!$E$2:$E$5)</f>
        <v>High</v>
      </c>
    </row>
    <row r="947" spans="1:22">
      <c r="A947">
        <f>RAW_DATA!A947</f>
        <v>50</v>
      </c>
      <c r="B947" t="str">
        <f>RAW_DATA!B947</f>
        <v>No</v>
      </c>
      <c r="C947" t="str">
        <f>RAW_DATA!C947</f>
        <v>Research &amp; Development</v>
      </c>
      <c r="D947">
        <f>RAW_DATA!D947</f>
        <v>28</v>
      </c>
      <c r="E947">
        <f>RAW_DATA!E947</f>
        <v>3</v>
      </c>
      <c r="F947" t="str">
        <f>RAW_DATA!F947</f>
        <v>Life Sciences</v>
      </c>
      <c r="G947">
        <f>RAW_DATA!G947</f>
        <v>4</v>
      </c>
      <c r="H947">
        <f>RAW_DATA!H947</f>
        <v>1</v>
      </c>
      <c r="I947" t="str">
        <f>RAW_DATA!I947</f>
        <v>Married</v>
      </c>
      <c r="J947">
        <f>RAW_DATA!J947</f>
        <v>16880</v>
      </c>
      <c r="K947">
        <f>RAW_DATA!K947</f>
        <v>4</v>
      </c>
      <c r="L947">
        <f>RAW_DATA!L947</f>
        <v>3</v>
      </c>
      <c r="M947">
        <f>RAW_DATA!M947</f>
        <v>3</v>
      </c>
      <c r="N947">
        <f t="shared" si="28"/>
        <v>0</v>
      </c>
      <c r="O947" t="str">
        <f xml:space="preserve"> VLOOKUP(A947, Lookup_Tables!$G$2:$H$6,2,TRUE)</f>
        <v>45-54</v>
      </c>
      <c r="P947" t="str">
        <f>_xlfn.XLOOKUP(J947,Lookup_Tables!$J$2:$J$4,Lookup_Tables!$K$2:$K$4, " ",-1)</f>
        <v>High</v>
      </c>
      <c r="Q947" t="str">
        <f xml:space="preserve"> _xlfn.XLOOKUP(M947, Lookup_Tables!$M$2:$M$5,Lookup_Tables!$N$2:$N$5," ", -1)</f>
        <v>Early (2-5)</v>
      </c>
      <c r="R947" s="4">
        <f t="shared" si="29"/>
        <v>2.6666666666666665</v>
      </c>
      <c r="S947" t="str">
        <f xml:space="preserve"> _xlfn.XLOOKUP( E947, Lookup_Tables!$A$2:$A$6,Lookup_Tables!$B$2:$B$6," ", -1)</f>
        <v>Bachelor</v>
      </c>
      <c r="T947" t="str">
        <f>_xlfn.XLOOKUP(G947,Lookup_Tables!$D$2:$D$5,Lookup_Tables!$E$2:$E$5)</f>
        <v>Very High</v>
      </c>
      <c r="U947" t="str">
        <f>_xlfn.XLOOKUP(H947,Lookup_Tables!$D$2:$D$5,Lookup_Tables!$E$2:$E$5)</f>
        <v>Low</v>
      </c>
      <c r="V947" t="str">
        <f>_xlfn.XLOOKUP(L947,Lookup_Tables!$D$2:$D$5,Lookup_Tables!$E$2:$E$5)</f>
        <v>High</v>
      </c>
    </row>
    <row r="948" spans="1:22">
      <c r="A948">
        <f>RAW_DATA!A948</f>
        <v>40</v>
      </c>
      <c r="B948" t="str">
        <f>RAW_DATA!B948</f>
        <v>Yes</v>
      </c>
      <c r="C948" t="str">
        <f>RAW_DATA!C948</f>
        <v>Sales</v>
      </c>
      <c r="D948">
        <f>RAW_DATA!D948</f>
        <v>25</v>
      </c>
      <c r="E948">
        <f>RAW_DATA!E948</f>
        <v>4</v>
      </c>
      <c r="F948" t="str">
        <f>RAW_DATA!F948</f>
        <v>Marketing</v>
      </c>
      <c r="G948">
        <f>RAW_DATA!G948</f>
        <v>4</v>
      </c>
      <c r="H948">
        <f>RAW_DATA!H948</f>
        <v>2</v>
      </c>
      <c r="I948" t="str">
        <f>RAW_DATA!I948</f>
        <v>Single</v>
      </c>
      <c r="J948">
        <f>RAW_DATA!J948</f>
        <v>9094</v>
      </c>
      <c r="K948">
        <f>RAW_DATA!K948</f>
        <v>2</v>
      </c>
      <c r="L948">
        <f>RAW_DATA!L948</f>
        <v>3</v>
      </c>
      <c r="M948">
        <f>RAW_DATA!M948</f>
        <v>5</v>
      </c>
      <c r="N948">
        <f t="shared" si="28"/>
        <v>1</v>
      </c>
      <c r="O948" t="str">
        <f xml:space="preserve"> VLOOKUP(A948, Lookup_Tables!$G$2:$H$6,2,TRUE)</f>
        <v>35-44</v>
      </c>
      <c r="P948" t="str">
        <f>_xlfn.XLOOKUP(J948,Lookup_Tables!$J$2:$J$4,Lookup_Tables!$K$2:$K$4, " ",-1)</f>
        <v>High</v>
      </c>
      <c r="Q948" t="str">
        <f xml:space="preserve"> _xlfn.XLOOKUP(M948, Lookup_Tables!$M$2:$M$5,Lookup_Tables!$N$2:$N$5," ", -1)</f>
        <v>Established (5-10)</v>
      </c>
      <c r="R948" s="4">
        <f t="shared" si="29"/>
        <v>3</v>
      </c>
      <c r="S948" t="str">
        <f xml:space="preserve"> _xlfn.XLOOKUP( E948, Lookup_Tables!$A$2:$A$6,Lookup_Tables!$B$2:$B$6," ", -1)</f>
        <v>Master</v>
      </c>
      <c r="T948" t="str">
        <f>_xlfn.XLOOKUP(G948,Lookup_Tables!$D$2:$D$5,Lookup_Tables!$E$2:$E$5)</f>
        <v>Very High</v>
      </c>
      <c r="U948" t="str">
        <f>_xlfn.XLOOKUP(H948,Lookup_Tables!$D$2:$D$5,Lookup_Tables!$E$2:$E$5)</f>
        <v>Medium</v>
      </c>
      <c r="V948" t="str">
        <f>_xlfn.XLOOKUP(L948,Lookup_Tables!$D$2:$D$5,Lookup_Tables!$E$2:$E$5)</f>
        <v>High</v>
      </c>
    </row>
    <row r="949" spans="1:22">
      <c r="A949">
        <f>RAW_DATA!A949</f>
        <v>52</v>
      </c>
      <c r="B949" t="str">
        <f>RAW_DATA!B949</f>
        <v>Yes</v>
      </c>
      <c r="C949" t="str">
        <f>RAW_DATA!C949</f>
        <v>Sales</v>
      </c>
      <c r="D949">
        <f>RAW_DATA!D949</f>
        <v>5</v>
      </c>
      <c r="E949">
        <f>RAW_DATA!E949</f>
        <v>3</v>
      </c>
      <c r="F949" t="str">
        <f>RAW_DATA!F949</f>
        <v>Life Sciences</v>
      </c>
      <c r="G949">
        <f>RAW_DATA!G949</f>
        <v>2</v>
      </c>
      <c r="H949">
        <f>RAW_DATA!H949</f>
        <v>2</v>
      </c>
      <c r="I949" t="str">
        <f>RAW_DATA!I949</f>
        <v>Single</v>
      </c>
      <c r="J949">
        <f>RAW_DATA!J949</f>
        <v>8446</v>
      </c>
      <c r="K949">
        <f>RAW_DATA!K949</f>
        <v>9</v>
      </c>
      <c r="L949">
        <f>RAW_DATA!L949</f>
        <v>2</v>
      </c>
      <c r="M949">
        <f>RAW_DATA!M949</f>
        <v>8</v>
      </c>
      <c r="N949">
        <f t="shared" si="28"/>
        <v>1</v>
      </c>
      <c r="O949" t="str">
        <f xml:space="preserve"> VLOOKUP(A949, Lookup_Tables!$G$2:$H$6,2,TRUE)</f>
        <v>45-54</v>
      </c>
      <c r="P949" t="str">
        <f>_xlfn.XLOOKUP(J949,Lookup_Tables!$J$2:$J$4,Lookup_Tables!$K$2:$K$4, " ",-1)</f>
        <v>High</v>
      </c>
      <c r="Q949" t="str">
        <f xml:space="preserve"> _xlfn.XLOOKUP(M949, Lookup_Tables!$M$2:$M$5,Lookup_Tables!$N$2:$N$5," ", -1)</f>
        <v>Established (5-10)</v>
      </c>
      <c r="R949" s="4">
        <f t="shared" si="29"/>
        <v>2</v>
      </c>
      <c r="S949" t="str">
        <f xml:space="preserve"> _xlfn.XLOOKUP( E949, Lookup_Tables!$A$2:$A$6,Lookup_Tables!$B$2:$B$6," ", -1)</f>
        <v>Bachelor</v>
      </c>
      <c r="T949" t="str">
        <f>_xlfn.XLOOKUP(G949,Lookup_Tables!$D$2:$D$5,Lookup_Tables!$E$2:$E$5)</f>
        <v>Medium</v>
      </c>
      <c r="U949" t="str">
        <f>_xlfn.XLOOKUP(H949,Lookup_Tables!$D$2:$D$5,Lookup_Tables!$E$2:$E$5)</f>
        <v>Medium</v>
      </c>
      <c r="V949" t="str">
        <f>_xlfn.XLOOKUP(L949,Lookup_Tables!$D$2:$D$5,Lookup_Tables!$E$2:$E$5)</f>
        <v>Medium</v>
      </c>
    </row>
    <row r="950" spans="1:22">
      <c r="A950">
        <f>RAW_DATA!A950</f>
        <v>30</v>
      </c>
      <c r="B950" t="str">
        <f>RAW_DATA!B950</f>
        <v>No</v>
      </c>
      <c r="C950" t="str">
        <f>RAW_DATA!C950</f>
        <v>Research &amp; Development</v>
      </c>
      <c r="D950">
        <f>RAW_DATA!D950</f>
        <v>17</v>
      </c>
      <c r="E950">
        <f>RAW_DATA!E950</f>
        <v>4</v>
      </c>
      <c r="F950" t="str">
        <f>RAW_DATA!F950</f>
        <v>Medical</v>
      </c>
      <c r="G950">
        <f>RAW_DATA!G950</f>
        <v>2</v>
      </c>
      <c r="H950">
        <f>RAW_DATA!H950</f>
        <v>1</v>
      </c>
      <c r="I950" t="str">
        <f>RAW_DATA!I950</f>
        <v>Married</v>
      </c>
      <c r="J950">
        <f>RAW_DATA!J950</f>
        <v>11916</v>
      </c>
      <c r="K950">
        <f>RAW_DATA!K950</f>
        <v>1</v>
      </c>
      <c r="L950">
        <f>RAW_DATA!L950</f>
        <v>3</v>
      </c>
      <c r="M950">
        <f>RAW_DATA!M950</f>
        <v>9</v>
      </c>
      <c r="N950">
        <f t="shared" si="28"/>
        <v>0</v>
      </c>
      <c r="O950" t="str">
        <f xml:space="preserve"> VLOOKUP(A950, Lookup_Tables!$G$2:$H$6,2,TRUE)</f>
        <v>25-34</v>
      </c>
      <c r="P950" t="str">
        <f>_xlfn.XLOOKUP(J950,Lookup_Tables!$J$2:$J$4,Lookup_Tables!$K$2:$K$4, " ",-1)</f>
        <v>High</v>
      </c>
      <c r="Q950" t="str">
        <f xml:space="preserve"> _xlfn.XLOOKUP(M950, Lookup_Tables!$M$2:$M$5,Lookup_Tables!$N$2:$N$5," ", -1)</f>
        <v>Established (5-10)</v>
      </c>
      <c r="R950" s="4">
        <f t="shared" si="29"/>
        <v>2</v>
      </c>
      <c r="S950" t="str">
        <f xml:space="preserve"> _xlfn.XLOOKUP( E950, Lookup_Tables!$A$2:$A$6,Lookup_Tables!$B$2:$B$6," ", -1)</f>
        <v>Master</v>
      </c>
      <c r="T950" t="str">
        <f>_xlfn.XLOOKUP(G950,Lookup_Tables!$D$2:$D$5,Lookup_Tables!$E$2:$E$5)</f>
        <v>Medium</v>
      </c>
      <c r="U950" t="str">
        <f>_xlfn.XLOOKUP(H950,Lookup_Tables!$D$2:$D$5,Lookup_Tables!$E$2:$E$5)</f>
        <v>Low</v>
      </c>
      <c r="V950" t="str">
        <f>_xlfn.XLOOKUP(L950,Lookup_Tables!$D$2:$D$5,Lookup_Tables!$E$2:$E$5)</f>
        <v>High</v>
      </c>
    </row>
    <row r="951" spans="1:22">
      <c r="A951">
        <f>RAW_DATA!A951</f>
        <v>39</v>
      </c>
      <c r="B951" t="str">
        <f>RAW_DATA!B951</f>
        <v>No</v>
      </c>
      <c r="C951" t="str">
        <f>RAW_DATA!C951</f>
        <v>Research &amp; Development</v>
      </c>
      <c r="D951">
        <f>RAW_DATA!D951</f>
        <v>18</v>
      </c>
      <c r="E951">
        <f>RAW_DATA!E951</f>
        <v>2</v>
      </c>
      <c r="F951" t="str">
        <f>RAW_DATA!F951</f>
        <v>Life Sciences</v>
      </c>
      <c r="G951">
        <f>RAW_DATA!G951</f>
        <v>1</v>
      </c>
      <c r="H951">
        <f>RAW_DATA!H951</f>
        <v>3</v>
      </c>
      <c r="I951" t="str">
        <f>RAW_DATA!I951</f>
        <v>Single</v>
      </c>
      <c r="J951">
        <f>RAW_DATA!J951</f>
        <v>4534</v>
      </c>
      <c r="K951">
        <f>RAW_DATA!K951</f>
        <v>0</v>
      </c>
      <c r="L951">
        <f>RAW_DATA!L951</f>
        <v>3</v>
      </c>
      <c r="M951">
        <f>RAW_DATA!M951</f>
        <v>8</v>
      </c>
      <c r="N951">
        <f t="shared" si="28"/>
        <v>0</v>
      </c>
      <c r="O951" t="str">
        <f xml:space="preserve"> VLOOKUP(A951, Lookup_Tables!$G$2:$H$6,2,TRUE)</f>
        <v>35-44</v>
      </c>
      <c r="P951" t="str">
        <f>_xlfn.XLOOKUP(J951,Lookup_Tables!$J$2:$J$4,Lookup_Tables!$K$2:$K$4, " ",-1)</f>
        <v>Medium</v>
      </c>
      <c r="Q951" t="str">
        <f xml:space="preserve"> _xlfn.XLOOKUP(M951, Lookup_Tables!$M$2:$M$5,Lookup_Tables!$N$2:$N$5," ", -1)</f>
        <v>Established (5-10)</v>
      </c>
      <c r="R951" s="4">
        <f t="shared" si="29"/>
        <v>2.3333333333333335</v>
      </c>
      <c r="S951" t="str">
        <f xml:space="preserve"> _xlfn.XLOOKUP( E951, Lookup_Tables!$A$2:$A$6,Lookup_Tables!$B$2:$B$6," ", -1)</f>
        <v>College</v>
      </c>
      <c r="T951" t="str">
        <f>_xlfn.XLOOKUP(G951,Lookup_Tables!$D$2:$D$5,Lookup_Tables!$E$2:$E$5)</f>
        <v>Low</v>
      </c>
      <c r="U951" t="str">
        <f>_xlfn.XLOOKUP(H951,Lookup_Tables!$D$2:$D$5,Lookup_Tables!$E$2:$E$5)</f>
        <v>High</v>
      </c>
      <c r="V951" t="str">
        <f>_xlfn.XLOOKUP(L951,Lookup_Tables!$D$2:$D$5,Lookup_Tables!$E$2:$E$5)</f>
        <v>High</v>
      </c>
    </row>
    <row r="952" spans="1:22">
      <c r="A952">
        <f>RAW_DATA!A952</f>
        <v>31</v>
      </c>
      <c r="B952" t="str">
        <f>RAW_DATA!B952</f>
        <v>No</v>
      </c>
      <c r="C952" t="str">
        <f>RAW_DATA!C952</f>
        <v>Sales</v>
      </c>
      <c r="D952">
        <f>RAW_DATA!D952</f>
        <v>2</v>
      </c>
      <c r="E952">
        <f>RAW_DATA!E952</f>
        <v>4</v>
      </c>
      <c r="F952" t="str">
        <f>RAW_DATA!F952</f>
        <v>Life Sciences</v>
      </c>
      <c r="G952">
        <f>RAW_DATA!G952</f>
        <v>4</v>
      </c>
      <c r="H952">
        <f>RAW_DATA!H952</f>
        <v>3</v>
      </c>
      <c r="I952" t="str">
        <f>RAW_DATA!I952</f>
        <v>Divorced</v>
      </c>
      <c r="J952">
        <f>RAW_DATA!J952</f>
        <v>9852</v>
      </c>
      <c r="K952">
        <f>RAW_DATA!K952</f>
        <v>1</v>
      </c>
      <c r="L952">
        <f>RAW_DATA!L952</f>
        <v>2</v>
      </c>
      <c r="M952">
        <f>RAW_DATA!M952</f>
        <v>10</v>
      </c>
      <c r="N952">
        <f t="shared" si="28"/>
        <v>0</v>
      </c>
      <c r="O952" t="str">
        <f xml:space="preserve"> VLOOKUP(A952, Lookup_Tables!$G$2:$H$6,2,TRUE)</f>
        <v>25-34</v>
      </c>
      <c r="P952" t="str">
        <f>_xlfn.XLOOKUP(J952,Lookup_Tables!$J$2:$J$4,Lookup_Tables!$K$2:$K$4, " ",-1)</f>
        <v>High</v>
      </c>
      <c r="Q952" t="str">
        <f xml:space="preserve"> _xlfn.XLOOKUP(M952, Lookup_Tables!$M$2:$M$5,Lookup_Tables!$N$2:$N$5," ", -1)</f>
        <v>Veteran (10+)</v>
      </c>
      <c r="R952" s="4">
        <f t="shared" si="29"/>
        <v>3</v>
      </c>
      <c r="S952" t="str">
        <f xml:space="preserve"> _xlfn.XLOOKUP( E952, Lookup_Tables!$A$2:$A$6,Lookup_Tables!$B$2:$B$6," ", -1)</f>
        <v>Master</v>
      </c>
      <c r="T952" t="str">
        <f>_xlfn.XLOOKUP(G952,Lookup_Tables!$D$2:$D$5,Lookup_Tables!$E$2:$E$5)</f>
        <v>Very High</v>
      </c>
      <c r="U952" t="str">
        <f>_xlfn.XLOOKUP(H952,Lookup_Tables!$D$2:$D$5,Lookup_Tables!$E$2:$E$5)</f>
        <v>High</v>
      </c>
      <c r="V952" t="str">
        <f>_xlfn.XLOOKUP(L952,Lookup_Tables!$D$2:$D$5,Lookup_Tables!$E$2:$E$5)</f>
        <v>Medium</v>
      </c>
    </row>
    <row r="953" spans="1:22">
      <c r="A953">
        <f>RAW_DATA!A953</f>
        <v>41</v>
      </c>
      <c r="B953" t="str">
        <f>RAW_DATA!B953</f>
        <v>No</v>
      </c>
      <c r="C953" t="str">
        <f>RAW_DATA!C953</f>
        <v>Sales</v>
      </c>
      <c r="D953">
        <f>RAW_DATA!D953</f>
        <v>10</v>
      </c>
      <c r="E953">
        <f>RAW_DATA!E953</f>
        <v>2</v>
      </c>
      <c r="F953" t="str">
        <f>RAW_DATA!F953</f>
        <v>Medical</v>
      </c>
      <c r="G953">
        <f>RAW_DATA!G953</f>
        <v>3</v>
      </c>
      <c r="H953">
        <f>RAW_DATA!H953</f>
        <v>2</v>
      </c>
      <c r="I953" t="str">
        <f>RAW_DATA!I953</f>
        <v>Single</v>
      </c>
      <c r="J953">
        <f>RAW_DATA!J953</f>
        <v>6151</v>
      </c>
      <c r="K953">
        <f>RAW_DATA!K953</f>
        <v>1</v>
      </c>
      <c r="L953">
        <f>RAW_DATA!L953</f>
        <v>3</v>
      </c>
      <c r="M953">
        <f>RAW_DATA!M953</f>
        <v>19</v>
      </c>
      <c r="N953">
        <f t="shared" si="28"/>
        <v>0</v>
      </c>
      <c r="O953" t="str">
        <f xml:space="preserve"> VLOOKUP(A953, Lookup_Tables!$G$2:$H$6,2,TRUE)</f>
        <v>35-44</v>
      </c>
      <c r="P953" t="str">
        <f>_xlfn.XLOOKUP(J953,Lookup_Tables!$J$2:$J$4,Lookup_Tables!$K$2:$K$4, " ",-1)</f>
        <v>Medium</v>
      </c>
      <c r="Q953" t="str">
        <f xml:space="preserve"> _xlfn.XLOOKUP(M953, Lookup_Tables!$M$2:$M$5,Lookup_Tables!$N$2:$N$5," ", -1)</f>
        <v>Veteran (10+)</v>
      </c>
      <c r="R953" s="4">
        <f t="shared" si="29"/>
        <v>2.6666666666666665</v>
      </c>
      <c r="S953" t="str">
        <f xml:space="preserve"> _xlfn.XLOOKUP( E953, Lookup_Tables!$A$2:$A$6,Lookup_Tables!$B$2:$B$6," ", -1)</f>
        <v>College</v>
      </c>
      <c r="T953" t="str">
        <f>_xlfn.XLOOKUP(G953,Lookup_Tables!$D$2:$D$5,Lookup_Tables!$E$2:$E$5)</f>
        <v>High</v>
      </c>
      <c r="U953" t="str">
        <f>_xlfn.XLOOKUP(H953,Lookup_Tables!$D$2:$D$5,Lookup_Tables!$E$2:$E$5)</f>
        <v>Medium</v>
      </c>
      <c r="V953" t="str">
        <f>_xlfn.XLOOKUP(L953,Lookup_Tables!$D$2:$D$5,Lookup_Tables!$E$2:$E$5)</f>
        <v>High</v>
      </c>
    </row>
    <row r="954" spans="1:22">
      <c r="A954">
        <f>RAW_DATA!A954</f>
        <v>31</v>
      </c>
      <c r="B954" t="str">
        <f>RAW_DATA!B954</f>
        <v>Yes</v>
      </c>
      <c r="C954" t="str">
        <f>RAW_DATA!C954</f>
        <v>Sales</v>
      </c>
      <c r="D954">
        <f>RAW_DATA!D954</f>
        <v>1</v>
      </c>
      <c r="E954">
        <f>RAW_DATA!E954</f>
        <v>3</v>
      </c>
      <c r="F954" t="str">
        <f>RAW_DATA!F954</f>
        <v>Life Sciences</v>
      </c>
      <c r="G954">
        <f>RAW_DATA!G954</f>
        <v>4</v>
      </c>
      <c r="H954">
        <f>RAW_DATA!H954</f>
        <v>2</v>
      </c>
      <c r="I954" t="str">
        <f>RAW_DATA!I954</f>
        <v>Single</v>
      </c>
      <c r="J954">
        <f>RAW_DATA!J954</f>
        <v>2302</v>
      </c>
      <c r="K954">
        <f>RAW_DATA!K954</f>
        <v>1</v>
      </c>
      <c r="L954">
        <f>RAW_DATA!L954</f>
        <v>4</v>
      </c>
      <c r="M954">
        <f>RAW_DATA!M954</f>
        <v>3</v>
      </c>
      <c r="N954">
        <f t="shared" si="28"/>
        <v>1</v>
      </c>
      <c r="O954" t="str">
        <f xml:space="preserve"> VLOOKUP(A954, Lookup_Tables!$G$2:$H$6,2,TRUE)</f>
        <v>25-34</v>
      </c>
      <c r="P954" t="str">
        <f>_xlfn.XLOOKUP(J954,Lookup_Tables!$J$2:$J$4,Lookup_Tables!$K$2:$K$4, " ",-1)</f>
        <v>Low</v>
      </c>
      <c r="Q954" t="str">
        <f xml:space="preserve"> _xlfn.XLOOKUP(M954, Lookup_Tables!$M$2:$M$5,Lookup_Tables!$N$2:$N$5," ", -1)</f>
        <v>Early (2-5)</v>
      </c>
      <c r="R954" s="4">
        <f t="shared" si="29"/>
        <v>3.3333333333333335</v>
      </c>
      <c r="S954" t="str">
        <f xml:space="preserve"> _xlfn.XLOOKUP( E954, Lookup_Tables!$A$2:$A$6,Lookup_Tables!$B$2:$B$6," ", -1)</f>
        <v>Bachelor</v>
      </c>
      <c r="T954" t="str">
        <f>_xlfn.XLOOKUP(G954,Lookup_Tables!$D$2:$D$5,Lookup_Tables!$E$2:$E$5)</f>
        <v>Very High</v>
      </c>
      <c r="U954" t="str">
        <f>_xlfn.XLOOKUP(H954,Lookup_Tables!$D$2:$D$5,Lookup_Tables!$E$2:$E$5)</f>
        <v>Medium</v>
      </c>
      <c r="V954" t="str">
        <f>_xlfn.XLOOKUP(L954,Lookup_Tables!$D$2:$D$5,Lookup_Tables!$E$2:$E$5)</f>
        <v>Very High</v>
      </c>
    </row>
    <row r="955" spans="1:22">
      <c r="A955">
        <f>RAW_DATA!A955</f>
        <v>44</v>
      </c>
      <c r="B955" t="str">
        <f>RAW_DATA!B955</f>
        <v>Yes</v>
      </c>
      <c r="C955" t="str">
        <f>RAW_DATA!C955</f>
        <v>Research &amp; Development</v>
      </c>
      <c r="D955">
        <f>RAW_DATA!D955</f>
        <v>3</v>
      </c>
      <c r="E955">
        <f>RAW_DATA!E955</f>
        <v>3</v>
      </c>
      <c r="F955" t="str">
        <f>RAW_DATA!F955</f>
        <v>Life Sciences</v>
      </c>
      <c r="G955">
        <f>RAW_DATA!G955</f>
        <v>1</v>
      </c>
      <c r="H955">
        <f>RAW_DATA!H955</f>
        <v>1</v>
      </c>
      <c r="I955" t="str">
        <f>RAW_DATA!I955</f>
        <v>Married</v>
      </c>
      <c r="J955">
        <f>RAW_DATA!J955</f>
        <v>2362</v>
      </c>
      <c r="K955">
        <f>RAW_DATA!K955</f>
        <v>4</v>
      </c>
      <c r="L955">
        <f>RAW_DATA!L955</f>
        <v>4</v>
      </c>
      <c r="M955">
        <f>RAW_DATA!M955</f>
        <v>3</v>
      </c>
      <c r="N955">
        <f t="shared" si="28"/>
        <v>1</v>
      </c>
      <c r="O955" t="str">
        <f xml:space="preserve"> VLOOKUP(A955, Lookup_Tables!$G$2:$H$6,2,TRUE)</f>
        <v>35-44</v>
      </c>
      <c r="P955" t="str">
        <f>_xlfn.XLOOKUP(J955,Lookup_Tables!$J$2:$J$4,Lookup_Tables!$K$2:$K$4, " ",-1)</f>
        <v>Low</v>
      </c>
      <c r="Q955" t="str">
        <f xml:space="preserve"> _xlfn.XLOOKUP(M955, Lookup_Tables!$M$2:$M$5,Lookup_Tables!$N$2:$N$5," ", -1)</f>
        <v>Early (2-5)</v>
      </c>
      <c r="R955" s="4">
        <f t="shared" si="29"/>
        <v>2</v>
      </c>
      <c r="S955" t="str">
        <f xml:space="preserve"> _xlfn.XLOOKUP( E955, Lookup_Tables!$A$2:$A$6,Lookup_Tables!$B$2:$B$6," ", -1)</f>
        <v>Bachelor</v>
      </c>
      <c r="T955" t="str">
        <f>_xlfn.XLOOKUP(G955,Lookup_Tables!$D$2:$D$5,Lookup_Tables!$E$2:$E$5)</f>
        <v>Low</v>
      </c>
      <c r="U955" t="str">
        <f>_xlfn.XLOOKUP(H955,Lookup_Tables!$D$2:$D$5,Lookup_Tables!$E$2:$E$5)</f>
        <v>Low</v>
      </c>
      <c r="V955" t="str">
        <f>_xlfn.XLOOKUP(L955,Lookup_Tables!$D$2:$D$5,Lookup_Tables!$E$2:$E$5)</f>
        <v>Very High</v>
      </c>
    </row>
    <row r="956" spans="1:22">
      <c r="A956">
        <f>RAW_DATA!A956</f>
        <v>42</v>
      </c>
      <c r="B956" t="str">
        <f>RAW_DATA!B956</f>
        <v>No</v>
      </c>
      <c r="C956" t="str">
        <f>RAW_DATA!C956</f>
        <v>Research &amp; Development</v>
      </c>
      <c r="D956">
        <f>RAW_DATA!D956</f>
        <v>2</v>
      </c>
      <c r="E956">
        <f>RAW_DATA!E956</f>
        <v>1</v>
      </c>
      <c r="F956" t="str">
        <f>RAW_DATA!F956</f>
        <v>Life Sciences</v>
      </c>
      <c r="G956">
        <f>RAW_DATA!G956</f>
        <v>3</v>
      </c>
      <c r="H956">
        <f>RAW_DATA!H956</f>
        <v>3</v>
      </c>
      <c r="I956" t="str">
        <f>RAW_DATA!I956</f>
        <v>Married</v>
      </c>
      <c r="J956">
        <f>RAW_DATA!J956</f>
        <v>17861</v>
      </c>
      <c r="K956">
        <f>RAW_DATA!K956</f>
        <v>0</v>
      </c>
      <c r="L956">
        <f>RAW_DATA!L956</f>
        <v>2</v>
      </c>
      <c r="M956">
        <f>RAW_DATA!M956</f>
        <v>20</v>
      </c>
      <c r="N956">
        <f t="shared" si="28"/>
        <v>0</v>
      </c>
      <c r="O956" t="str">
        <f xml:space="preserve"> VLOOKUP(A956, Lookup_Tables!$G$2:$H$6,2,TRUE)</f>
        <v>35-44</v>
      </c>
      <c r="P956" t="str">
        <f>_xlfn.XLOOKUP(J956,Lookup_Tables!$J$2:$J$4,Lookup_Tables!$K$2:$K$4, " ",-1)</f>
        <v>High</v>
      </c>
      <c r="Q956" t="str">
        <f xml:space="preserve"> _xlfn.XLOOKUP(M956, Lookup_Tables!$M$2:$M$5,Lookup_Tables!$N$2:$N$5," ", -1)</f>
        <v>Veteran (10+)</v>
      </c>
      <c r="R956" s="4">
        <f t="shared" si="29"/>
        <v>2.6666666666666665</v>
      </c>
      <c r="S956" t="str">
        <f xml:space="preserve"> _xlfn.XLOOKUP( E956, Lookup_Tables!$A$2:$A$6,Lookup_Tables!$B$2:$B$6," ", -1)</f>
        <v>Below College</v>
      </c>
      <c r="T956" t="str">
        <f>_xlfn.XLOOKUP(G956,Lookup_Tables!$D$2:$D$5,Lookup_Tables!$E$2:$E$5)</f>
        <v>High</v>
      </c>
      <c r="U956" t="str">
        <f>_xlfn.XLOOKUP(H956,Lookup_Tables!$D$2:$D$5,Lookup_Tables!$E$2:$E$5)</f>
        <v>High</v>
      </c>
      <c r="V956" t="str">
        <f>_xlfn.XLOOKUP(L956,Lookup_Tables!$D$2:$D$5,Lookup_Tables!$E$2:$E$5)</f>
        <v>Medium</v>
      </c>
    </row>
    <row r="957" spans="1:22">
      <c r="A957">
        <f>RAW_DATA!A957</f>
        <v>55</v>
      </c>
      <c r="B957" t="str">
        <f>RAW_DATA!B957</f>
        <v>No</v>
      </c>
      <c r="C957" t="str">
        <f>RAW_DATA!C957</f>
        <v>Research &amp; Development</v>
      </c>
      <c r="D957">
        <f>RAW_DATA!D957</f>
        <v>2</v>
      </c>
      <c r="E957">
        <f>RAW_DATA!E957</f>
        <v>2</v>
      </c>
      <c r="F957" t="str">
        <f>RAW_DATA!F957</f>
        <v>Medical</v>
      </c>
      <c r="G957">
        <f>RAW_DATA!G957</f>
        <v>4</v>
      </c>
      <c r="H957">
        <f>RAW_DATA!H957</f>
        <v>3</v>
      </c>
      <c r="I957" t="str">
        <f>RAW_DATA!I957</f>
        <v>Married</v>
      </c>
      <c r="J957">
        <f>RAW_DATA!J957</f>
        <v>19187</v>
      </c>
      <c r="K957">
        <f>RAW_DATA!K957</f>
        <v>4</v>
      </c>
      <c r="L957">
        <f>RAW_DATA!L957</f>
        <v>3</v>
      </c>
      <c r="M957">
        <f>RAW_DATA!M957</f>
        <v>19</v>
      </c>
      <c r="N957">
        <f t="shared" si="28"/>
        <v>0</v>
      </c>
      <c r="O957" t="str">
        <f xml:space="preserve"> VLOOKUP(A957, Lookup_Tables!$G$2:$H$6,2,TRUE)</f>
        <v>55+</v>
      </c>
      <c r="P957" t="str">
        <f>_xlfn.XLOOKUP(J957,Lookup_Tables!$J$2:$J$4,Lookup_Tables!$K$2:$K$4, " ",-1)</f>
        <v>High</v>
      </c>
      <c r="Q957" t="str">
        <f xml:space="preserve"> _xlfn.XLOOKUP(M957, Lookup_Tables!$M$2:$M$5,Lookup_Tables!$N$2:$N$5," ", -1)</f>
        <v>Veteran (10+)</v>
      </c>
      <c r="R957" s="4">
        <f t="shared" si="29"/>
        <v>3.3333333333333335</v>
      </c>
      <c r="S957" t="str">
        <f xml:space="preserve"> _xlfn.XLOOKUP( E957, Lookup_Tables!$A$2:$A$6,Lookup_Tables!$B$2:$B$6," ", -1)</f>
        <v>College</v>
      </c>
      <c r="T957" t="str">
        <f>_xlfn.XLOOKUP(G957,Lookup_Tables!$D$2:$D$5,Lookup_Tables!$E$2:$E$5)</f>
        <v>Very High</v>
      </c>
      <c r="U957" t="str">
        <f>_xlfn.XLOOKUP(H957,Lookup_Tables!$D$2:$D$5,Lookup_Tables!$E$2:$E$5)</f>
        <v>High</v>
      </c>
      <c r="V957" t="str">
        <f>_xlfn.XLOOKUP(L957,Lookup_Tables!$D$2:$D$5,Lookup_Tables!$E$2:$E$5)</f>
        <v>High</v>
      </c>
    </row>
    <row r="958" spans="1:22">
      <c r="A958">
        <f>RAW_DATA!A958</f>
        <v>56</v>
      </c>
      <c r="B958" t="str">
        <f>RAW_DATA!B958</f>
        <v>No</v>
      </c>
      <c r="C958" t="str">
        <f>RAW_DATA!C958</f>
        <v>Human Resources</v>
      </c>
      <c r="D958">
        <f>RAW_DATA!D958</f>
        <v>8</v>
      </c>
      <c r="E958">
        <f>RAW_DATA!E958</f>
        <v>4</v>
      </c>
      <c r="F958" t="str">
        <f>RAW_DATA!F958</f>
        <v>Life Sciences</v>
      </c>
      <c r="G958">
        <f>RAW_DATA!G958</f>
        <v>4</v>
      </c>
      <c r="H958">
        <f>RAW_DATA!H958</f>
        <v>2</v>
      </c>
      <c r="I958" t="str">
        <f>RAW_DATA!I958</f>
        <v>Single</v>
      </c>
      <c r="J958">
        <f>RAW_DATA!J958</f>
        <v>19717</v>
      </c>
      <c r="K958">
        <f>RAW_DATA!K958</f>
        <v>6</v>
      </c>
      <c r="L958">
        <f>RAW_DATA!L958</f>
        <v>3</v>
      </c>
      <c r="M958">
        <f>RAW_DATA!M958</f>
        <v>7</v>
      </c>
      <c r="N958">
        <f t="shared" si="28"/>
        <v>0</v>
      </c>
      <c r="O958" t="str">
        <f xml:space="preserve"> VLOOKUP(A958, Lookup_Tables!$G$2:$H$6,2,TRUE)</f>
        <v>55+</v>
      </c>
      <c r="P958" t="str">
        <f>_xlfn.XLOOKUP(J958,Lookup_Tables!$J$2:$J$4,Lookup_Tables!$K$2:$K$4, " ",-1)</f>
        <v>High</v>
      </c>
      <c r="Q958" t="str">
        <f xml:space="preserve"> _xlfn.XLOOKUP(M958, Lookup_Tables!$M$2:$M$5,Lookup_Tables!$N$2:$N$5," ", -1)</f>
        <v>Established (5-10)</v>
      </c>
      <c r="R958" s="4">
        <f t="shared" si="29"/>
        <v>3</v>
      </c>
      <c r="S958" t="str">
        <f xml:space="preserve"> _xlfn.XLOOKUP( E958, Lookup_Tables!$A$2:$A$6,Lookup_Tables!$B$2:$B$6," ", -1)</f>
        <v>Master</v>
      </c>
      <c r="T958" t="str">
        <f>_xlfn.XLOOKUP(G958,Lookup_Tables!$D$2:$D$5,Lookup_Tables!$E$2:$E$5)</f>
        <v>Very High</v>
      </c>
      <c r="U958" t="str">
        <f>_xlfn.XLOOKUP(H958,Lookup_Tables!$D$2:$D$5,Lookup_Tables!$E$2:$E$5)</f>
        <v>Medium</v>
      </c>
      <c r="V958" t="str">
        <f>_xlfn.XLOOKUP(L958,Lookup_Tables!$D$2:$D$5,Lookup_Tables!$E$2:$E$5)</f>
        <v>High</v>
      </c>
    </row>
    <row r="959" spans="1:22">
      <c r="A959">
        <f>RAW_DATA!A959</f>
        <v>40</v>
      </c>
      <c r="B959" t="str">
        <f>RAW_DATA!B959</f>
        <v>No</v>
      </c>
      <c r="C959" t="str">
        <f>RAW_DATA!C959</f>
        <v>Research &amp; Development</v>
      </c>
      <c r="D959">
        <f>RAW_DATA!D959</f>
        <v>16</v>
      </c>
      <c r="E959">
        <f>RAW_DATA!E959</f>
        <v>2</v>
      </c>
      <c r="F959" t="str">
        <f>RAW_DATA!F959</f>
        <v>Life Sciences</v>
      </c>
      <c r="G959">
        <f>RAW_DATA!G959</f>
        <v>3</v>
      </c>
      <c r="H959">
        <f>RAW_DATA!H959</f>
        <v>3</v>
      </c>
      <c r="I959" t="str">
        <f>RAW_DATA!I959</f>
        <v>Divorced</v>
      </c>
      <c r="J959">
        <f>RAW_DATA!J959</f>
        <v>3544</v>
      </c>
      <c r="K959">
        <f>RAW_DATA!K959</f>
        <v>9</v>
      </c>
      <c r="L959">
        <f>RAW_DATA!L959</f>
        <v>3</v>
      </c>
      <c r="M959">
        <f>RAW_DATA!M959</f>
        <v>4</v>
      </c>
      <c r="N959">
        <f t="shared" si="28"/>
        <v>0</v>
      </c>
      <c r="O959" t="str">
        <f xml:space="preserve"> VLOOKUP(A959, Lookup_Tables!$G$2:$H$6,2,TRUE)</f>
        <v>35-44</v>
      </c>
      <c r="P959" t="str">
        <f>_xlfn.XLOOKUP(J959,Lookup_Tables!$J$2:$J$4,Lookup_Tables!$K$2:$K$4, " ",-1)</f>
        <v>Medium</v>
      </c>
      <c r="Q959" t="str">
        <f xml:space="preserve"> _xlfn.XLOOKUP(M959, Lookup_Tables!$M$2:$M$5,Lookup_Tables!$N$2:$N$5," ", -1)</f>
        <v>Early (2-5)</v>
      </c>
      <c r="R959" s="4">
        <f t="shared" si="29"/>
        <v>3</v>
      </c>
      <c r="S959" t="str">
        <f xml:space="preserve"> _xlfn.XLOOKUP( E959, Lookup_Tables!$A$2:$A$6,Lookup_Tables!$B$2:$B$6," ", -1)</f>
        <v>College</v>
      </c>
      <c r="T959" t="str">
        <f>_xlfn.XLOOKUP(G959,Lookup_Tables!$D$2:$D$5,Lookup_Tables!$E$2:$E$5)</f>
        <v>High</v>
      </c>
      <c r="U959" t="str">
        <f>_xlfn.XLOOKUP(H959,Lookup_Tables!$D$2:$D$5,Lookup_Tables!$E$2:$E$5)</f>
        <v>High</v>
      </c>
      <c r="V959" t="str">
        <f>_xlfn.XLOOKUP(L959,Lookup_Tables!$D$2:$D$5,Lookup_Tables!$E$2:$E$5)</f>
        <v>High</v>
      </c>
    </row>
    <row r="960" spans="1:22">
      <c r="A960">
        <f>RAW_DATA!A960</f>
        <v>34</v>
      </c>
      <c r="B960" t="str">
        <f>RAW_DATA!B960</f>
        <v>No</v>
      </c>
      <c r="C960" t="str">
        <f>RAW_DATA!C960</f>
        <v>Research &amp; Development</v>
      </c>
      <c r="D960">
        <f>RAW_DATA!D960</f>
        <v>9</v>
      </c>
      <c r="E960">
        <f>RAW_DATA!E960</f>
        <v>3</v>
      </c>
      <c r="F960" t="str">
        <f>RAW_DATA!F960</f>
        <v>Life Sciences</v>
      </c>
      <c r="G960">
        <f>RAW_DATA!G960</f>
        <v>4</v>
      </c>
      <c r="H960">
        <f>RAW_DATA!H960</f>
        <v>4</v>
      </c>
      <c r="I960" t="str">
        <f>RAW_DATA!I960</f>
        <v>Divorced</v>
      </c>
      <c r="J960">
        <f>RAW_DATA!J960</f>
        <v>8500</v>
      </c>
      <c r="K960">
        <f>RAW_DATA!K960</f>
        <v>0</v>
      </c>
      <c r="L960">
        <f>RAW_DATA!L960</f>
        <v>2</v>
      </c>
      <c r="M960">
        <f>RAW_DATA!M960</f>
        <v>9</v>
      </c>
      <c r="N960">
        <f t="shared" si="28"/>
        <v>0</v>
      </c>
      <c r="O960" t="str">
        <f xml:space="preserve"> VLOOKUP(A960, Lookup_Tables!$G$2:$H$6,2,TRUE)</f>
        <v>25-34</v>
      </c>
      <c r="P960" t="str">
        <f>_xlfn.XLOOKUP(J960,Lookup_Tables!$J$2:$J$4,Lookup_Tables!$K$2:$K$4, " ",-1)</f>
        <v>High</v>
      </c>
      <c r="Q960" t="str">
        <f xml:space="preserve"> _xlfn.XLOOKUP(M960, Lookup_Tables!$M$2:$M$5,Lookup_Tables!$N$2:$N$5," ", -1)</f>
        <v>Established (5-10)</v>
      </c>
      <c r="R960" s="4">
        <f t="shared" si="29"/>
        <v>3.3333333333333335</v>
      </c>
      <c r="S960" t="str">
        <f xml:space="preserve"> _xlfn.XLOOKUP( E960, Lookup_Tables!$A$2:$A$6,Lookup_Tables!$B$2:$B$6," ", -1)</f>
        <v>Bachelor</v>
      </c>
      <c r="T960" t="str">
        <f>_xlfn.XLOOKUP(G960,Lookup_Tables!$D$2:$D$5,Lookup_Tables!$E$2:$E$5)</f>
        <v>Very High</v>
      </c>
      <c r="U960" t="str">
        <f>_xlfn.XLOOKUP(H960,Lookup_Tables!$D$2:$D$5,Lookup_Tables!$E$2:$E$5)</f>
        <v>Very High</v>
      </c>
      <c r="V960" t="str">
        <f>_xlfn.XLOOKUP(L960,Lookup_Tables!$D$2:$D$5,Lookup_Tables!$E$2:$E$5)</f>
        <v>Medium</v>
      </c>
    </row>
    <row r="961" spans="1:22">
      <c r="A961">
        <f>RAW_DATA!A961</f>
        <v>40</v>
      </c>
      <c r="B961" t="str">
        <f>RAW_DATA!B961</f>
        <v>No</v>
      </c>
      <c r="C961" t="str">
        <f>RAW_DATA!C961</f>
        <v>Research &amp; Development</v>
      </c>
      <c r="D961">
        <f>RAW_DATA!D961</f>
        <v>2</v>
      </c>
      <c r="E961">
        <f>RAW_DATA!E961</f>
        <v>3</v>
      </c>
      <c r="F961" t="str">
        <f>RAW_DATA!F961</f>
        <v>Life Sciences</v>
      </c>
      <c r="G961">
        <f>RAW_DATA!G961</f>
        <v>3</v>
      </c>
      <c r="H961">
        <f>RAW_DATA!H961</f>
        <v>4</v>
      </c>
      <c r="I961" t="str">
        <f>RAW_DATA!I961</f>
        <v>Single</v>
      </c>
      <c r="J961">
        <f>RAW_DATA!J961</f>
        <v>4661</v>
      </c>
      <c r="K961">
        <f>RAW_DATA!K961</f>
        <v>1</v>
      </c>
      <c r="L961">
        <f>RAW_DATA!L961</f>
        <v>3</v>
      </c>
      <c r="M961">
        <f>RAW_DATA!M961</f>
        <v>9</v>
      </c>
      <c r="N961">
        <f t="shared" si="28"/>
        <v>0</v>
      </c>
      <c r="O961" t="str">
        <f xml:space="preserve"> VLOOKUP(A961, Lookup_Tables!$G$2:$H$6,2,TRUE)</f>
        <v>35-44</v>
      </c>
      <c r="P961" t="str">
        <f>_xlfn.XLOOKUP(J961,Lookup_Tables!$J$2:$J$4,Lookup_Tables!$K$2:$K$4, " ",-1)</f>
        <v>Medium</v>
      </c>
      <c r="Q961" t="str">
        <f xml:space="preserve"> _xlfn.XLOOKUP(M961, Lookup_Tables!$M$2:$M$5,Lookup_Tables!$N$2:$N$5," ", -1)</f>
        <v>Established (5-10)</v>
      </c>
      <c r="R961" s="4">
        <f t="shared" si="29"/>
        <v>3.3333333333333335</v>
      </c>
      <c r="S961" t="str">
        <f xml:space="preserve"> _xlfn.XLOOKUP( E961, Lookup_Tables!$A$2:$A$6,Lookup_Tables!$B$2:$B$6," ", -1)</f>
        <v>Bachelor</v>
      </c>
      <c r="T961" t="str">
        <f>_xlfn.XLOOKUP(G961,Lookup_Tables!$D$2:$D$5,Lookup_Tables!$E$2:$E$5)</f>
        <v>High</v>
      </c>
      <c r="U961" t="str">
        <f>_xlfn.XLOOKUP(H961,Lookup_Tables!$D$2:$D$5,Lookup_Tables!$E$2:$E$5)</f>
        <v>Very High</v>
      </c>
      <c r="V961" t="str">
        <f>_xlfn.XLOOKUP(L961,Lookup_Tables!$D$2:$D$5,Lookup_Tables!$E$2:$E$5)</f>
        <v>High</v>
      </c>
    </row>
    <row r="962" spans="1:22">
      <c r="A962">
        <f>RAW_DATA!A962</f>
        <v>41</v>
      </c>
      <c r="B962" t="str">
        <f>RAW_DATA!B962</f>
        <v>No</v>
      </c>
      <c r="C962" t="str">
        <f>RAW_DATA!C962</f>
        <v>Sales</v>
      </c>
      <c r="D962">
        <f>RAW_DATA!D962</f>
        <v>1</v>
      </c>
      <c r="E962">
        <f>RAW_DATA!E962</f>
        <v>3</v>
      </c>
      <c r="F962" t="str">
        <f>RAW_DATA!F962</f>
        <v>Marketing</v>
      </c>
      <c r="G962">
        <f>RAW_DATA!G962</f>
        <v>3</v>
      </c>
      <c r="H962">
        <f>RAW_DATA!H962</f>
        <v>1</v>
      </c>
      <c r="I962" t="str">
        <f>RAW_DATA!I962</f>
        <v>Divorced</v>
      </c>
      <c r="J962">
        <f>RAW_DATA!J962</f>
        <v>4103</v>
      </c>
      <c r="K962">
        <f>RAW_DATA!K962</f>
        <v>0</v>
      </c>
      <c r="L962">
        <f>RAW_DATA!L962</f>
        <v>3</v>
      </c>
      <c r="M962">
        <f>RAW_DATA!M962</f>
        <v>9</v>
      </c>
      <c r="N962">
        <f t="shared" si="28"/>
        <v>0</v>
      </c>
      <c r="O962" t="str">
        <f xml:space="preserve"> VLOOKUP(A962, Lookup_Tables!$G$2:$H$6,2,TRUE)</f>
        <v>35-44</v>
      </c>
      <c r="P962" t="str">
        <f>_xlfn.XLOOKUP(J962,Lookup_Tables!$J$2:$J$4,Lookup_Tables!$K$2:$K$4, " ",-1)</f>
        <v>Medium</v>
      </c>
      <c r="Q962" t="str">
        <f xml:space="preserve"> _xlfn.XLOOKUP(M962, Lookup_Tables!$M$2:$M$5,Lookup_Tables!$N$2:$N$5," ", -1)</f>
        <v>Established (5-10)</v>
      </c>
      <c r="R962" s="4">
        <f t="shared" si="29"/>
        <v>2.3333333333333335</v>
      </c>
      <c r="S962" t="str">
        <f xml:space="preserve"> _xlfn.XLOOKUP( E962, Lookup_Tables!$A$2:$A$6,Lookup_Tables!$B$2:$B$6," ", -1)</f>
        <v>Bachelor</v>
      </c>
      <c r="T962" t="str">
        <f>_xlfn.XLOOKUP(G962,Lookup_Tables!$D$2:$D$5,Lookup_Tables!$E$2:$E$5)</f>
        <v>High</v>
      </c>
      <c r="U962" t="str">
        <f>_xlfn.XLOOKUP(H962,Lookup_Tables!$D$2:$D$5,Lookup_Tables!$E$2:$E$5)</f>
        <v>Low</v>
      </c>
      <c r="V962" t="str">
        <f>_xlfn.XLOOKUP(L962,Lookup_Tables!$D$2:$D$5,Lookup_Tables!$E$2:$E$5)</f>
        <v>High</v>
      </c>
    </row>
    <row r="963" spans="1:22">
      <c r="A963">
        <f>RAW_DATA!A963</f>
        <v>35</v>
      </c>
      <c r="B963" t="str">
        <f>RAW_DATA!B963</f>
        <v>No</v>
      </c>
      <c r="C963" t="str">
        <f>RAW_DATA!C963</f>
        <v>Research &amp; Development</v>
      </c>
      <c r="D963">
        <f>RAW_DATA!D963</f>
        <v>4</v>
      </c>
      <c r="E963">
        <f>RAW_DATA!E963</f>
        <v>4</v>
      </c>
      <c r="F963" t="str">
        <f>RAW_DATA!F963</f>
        <v>Life Sciences</v>
      </c>
      <c r="G963">
        <f>RAW_DATA!G963</f>
        <v>3</v>
      </c>
      <c r="H963">
        <f>RAW_DATA!H963</f>
        <v>3</v>
      </c>
      <c r="I963" t="str">
        <f>RAW_DATA!I963</f>
        <v>Single</v>
      </c>
      <c r="J963">
        <f>RAW_DATA!J963</f>
        <v>4249</v>
      </c>
      <c r="K963">
        <f>RAW_DATA!K963</f>
        <v>1</v>
      </c>
      <c r="L963">
        <f>RAW_DATA!L963</f>
        <v>3</v>
      </c>
      <c r="M963">
        <f>RAW_DATA!M963</f>
        <v>9</v>
      </c>
      <c r="N963">
        <f t="shared" ref="N963:N1026" si="30" xml:space="preserve"> IF(B963 ="Yes",1,0)</f>
        <v>0</v>
      </c>
      <c r="O963" t="str">
        <f xml:space="preserve"> VLOOKUP(A963, Lookup_Tables!$G$2:$H$6,2,TRUE)</f>
        <v>35-44</v>
      </c>
      <c r="P963" t="str">
        <f>_xlfn.XLOOKUP(J963,Lookup_Tables!$J$2:$J$4,Lookup_Tables!$K$2:$K$4, " ",-1)</f>
        <v>Medium</v>
      </c>
      <c r="Q963" t="str">
        <f xml:space="preserve"> _xlfn.XLOOKUP(M963, Lookup_Tables!$M$2:$M$5,Lookup_Tables!$N$2:$N$5," ", -1)</f>
        <v>Established (5-10)</v>
      </c>
      <c r="R963" s="4">
        <f t="shared" ref="R963:R1026" si="31">AVERAGE(G963,H963,L963)</f>
        <v>3</v>
      </c>
      <c r="S963" t="str">
        <f xml:space="preserve"> _xlfn.XLOOKUP( E963, Lookup_Tables!$A$2:$A$6,Lookup_Tables!$B$2:$B$6," ", -1)</f>
        <v>Master</v>
      </c>
      <c r="T963" t="str">
        <f>_xlfn.XLOOKUP(G963,Lookup_Tables!$D$2:$D$5,Lookup_Tables!$E$2:$E$5)</f>
        <v>High</v>
      </c>
      <c r="U963" t="str">
        <f>_xlfn.XLOOKUP(H963,Lookup_Tables!$D$2:$D$5,Lookup_Tables!$E$2:$E$5)</f>
        <v>High</v>
      </c>
      <c r="V963" t="str">
        <f>_xlfn.XLOOKUP(L963,Lookup_Tables!$D$2:$D$5,Lookup_Tables!$E$2:$E$5)</f>
        <v>High</v>
      </c>
    </row>
    <row r="964" spans="1:22">
      <c r="A964">
        <f>RAW_DATA!A964</f>
        <v>51</v>
      </c>
      <c r="B964" t="str">
        <f>RAW_DATA!B964</f>
        <v>No</v>
      </c>
      <c r="C964" t="str">
        <f>RAW_DATA!C964</f>
        <v>Human Resources</v>
      </c>
      <c r="D964">
        <f>RAW_DATA!D964</f>
        <v>5</v>
      </c>
      <c r="E964">
        <f>RAW_DATA!E964</f>
        <v>3</v>
      </c>
      <c r="F964" t="str">
        <f>RAW_DATA!F964</f>
        <v>Life Sciences</v>
      </c>
      <c r="G964">
        <f>RAW_DATA!G964</f>
        <v>3</v>
      </c>
      <c r="H964">
        <f>RAW_DATA!H964</f>
        <v>2</v>
      </c>
      <c r="I964" t="str">
        <f>RAW_DATA!I964</f>
        <v>Divorced</v>
      </c>
      <c r="J964">
        <f>RAW_DATA!J964</f>
        <v>14026</v>
      </c>
      <c r="K964">
        <f>RAW_DATA!K964</f>
        <v>1</v>
      </c>
      <c r="L964">
        <f>RAW_DATA!L964</f>
        <v>3</v>
      </c>
      <c r="M964">
        <f>RAW_DATA!M964</f>
        <v>33</v>
      </c>
      <c r="N964">
        <f t="shared" si="30"/>
        <v>0</v>
      </c>
      <c r="O964" t="str">
        <f xml:space="preserve"> VLOOKUP(A964, Lookup_Tables!$G$2:$H$6,2,TRUE)</f>
        <v>45-54</v>
      </c>
      <c r="P964" t="str">
        <f>_xlfn.XLOOKUP(J964,Lookup_Tables!$J$2:$J$4,Lookup_Tables!$K$2:$K$4, " ",-1)</f>
        <v>High</v>
      </c>
      <c r="Q964" t="str">
        <f xml:space="preserve"> _xlfn.XLOOKUP(M964, Lookup_Tables!$M$2:$M$5,Lookup_Tables!$N$2:$N$5," ", -1)</f>
        <v>Veteran (10+)</v>
      </c>
      <c r="R964" s="4">
        <f t="shared" si="31"/>
        <v>2.6666666666666665</v>
      </c>
      <c r="S964" t="str">
        <f xml:space="preserve"> _xlfn.XLOOKUP( E964, Lookup_Tables!$A$2:$A$6,Lookup_Tables!$B$2:$B$6," ", -1)</f>
        <v>Bachelor</v>
      </c>
      <c r="T964" t="str">
        <f>_xlfn.XLOOKUP(G964,Lookup_Tables!$D$2:$D$5,Lookup_Tables!$E$2:$E$5)</f>
        <v>High</v>
      </c>
      <c r="U964" t="str">
        <f>_xlfn.XLOOKUP(H964,Lookup_Tables!$D$2:$D$5,Lookup_Tables!$E$2:$E$5)</f>
        <v>Medium</v>
      </c>
      <c r="V964" t="str">
        <f>_xlfn.XLOOKUP(L964,Lookup_Tables!$D$2:$D$5,Lookup_Tables!$E$2:$E$5)</f>
        <v>High</v>
      </c>
    </row>
    <row r="965" spans="1:22">
      <c r="A965">
        <f>RAW_DATA!A965</f>
        <v>38</v>
      </c>
      <c r="B965" t="str">
        <f>RAW_DATA!B965</f>
        <v>No</v>
      </c>
      <c r="C965" t="str">
        <f>RAW_DATA!C965</f>
        <v>Sales</v>
      </c>
      <c r="D965">
        <f>RAW_DATA!D965</f>
        <v>2</v>
      </c>
      <c r="E965">
        <f>RAW_DATA!E965</f>
        <v>2</v>
      </c>
      <c r="F965" t="str">
        <f>RAW_DATA!F965</f>
        <v>Life Sciences</v>
      </c>
      <c r="G965">
        <f>RAW_DATA!G965</f>
        <v>2</v>
      </c>
      <c r="H965">
        <f>RAW_DATA!H965</f>
        <v>1</v>
      </c>
      <c r="I965" t="str">
        <f>RAW_DATA!I965</f>
        <v>Divorced</v>
      </c>
      <c r="J965">
        <f>RAW_DATA!J965</f>
        <v>6893</v>
      </c>
      <c r="K965">
        <f>RAW_DATA!K965</f>
        <v>3</v>
      </c>
      <c r="L965">
        <f>RAW_DATA!L965</f>
        <v>3</v>
      </c>
      <c r="M965">
        <f>RAW_DATA!M965</f>
        <v>7</v>
      </c>
      <c r="N965">
        <f t="shared" si="30"/>
        <v>0</v>
      </c>
      <c r="O965" t="str">
        <f xml:space="preserve"> VLOOKUP(A965, Lookup_Tables!$G$2:$H$6,2,TRUE)</f>
        <v>35-44</v>
      </c>
      <c r="P965" t="str">
        <f>_xlfn.XLOOKUP(J965,Lookup_Tables!$J$2:$J$4,Lookup_Tables!$K$2:$K$4, " ",-1)</f>
        <v>Medium</v>
      </c>
      <c r="Q965" t="str">
        <f xml:space="preserve"> _xlfn.XLOOKUP(M965, Lookup_Tables!$M$2:$M$5,Lookup_Tables!$N$2:$N$5," ", -1)</f>
        <v>Established (5-10)</v>
      </c>
      <c r="R965" s="4">
        <f t="shared" si="31"/>
        <v>2</v>
      </c>
      <c r="S965" t="str">
        <f xml:space="preserve"> _xlfn.XLOOKUP( E965, Lookup_Tables!$A$2:$A$6,Lookup_Tables!$B$2:$B$6," ", -1)</f>
        <v>College</v>
      </c>
      <c r="T965" t="str">
        <f>_xlfn.XLOOKUP(G965,Lookup_Tables!$D$2:$D$5,Lookup_Tables!$E$2:$E$5)</f>
        <v>Medium</v>
      </c>
      <c r="U965" t="str">
        <f>_xlfn.XLOOKUP(H965,Lookup_Tables!$D$2:$D$5,Lookup_Tables!$E$2:$E$5)</f>
        <v>Low</v>
      </c>
      <c r="V965" t="str">
        <f>_xlfn.XLOOKUP(L965,Lookup_Tables!$D$2:$D$5,Lookup_Tables!$E$2:$E$5)</f>
        <v>High</v>
      </c>
    </row>
    <row r="966" spans="1:22">
      <c r="A966">
        <f>RAW_DATA!A966</f>
        <v>34</v>
      </c>
      <c r="B966" t="str">
        <f>RAW_DATA!B966</f>
        <v>No</v>
      </c>
      <c r="C966" t="str">
        <f>RAW_DATA!C966</f>
        <v>Sales</v>
      </c>
      <c r="D966">
        <f>RAW_DATA!D966</f>
        <v>15</v>
      </c>
      <c r="E966">
        <f>RAW_DATA!E966</f>
        <v>2</v>
      </c>
      <c r="F966" t="str">
        <f>RAW_DATA!F966</f>
        <v>Medical</v>
      </c>
      <c r="G966">
        <f>RAW_DATA!G966</f>
        <v>3</v>
      </c>
      <c r="H966">
        <f>RAW_DATA!H966</f>
        <v>1</v>
      </c>
      <c r="I966" t="str">
        <f>RAW_DATA!I966</f>
        <v>Single</v>
      </c>
      <c r="J966">
        <f>RAW_DATA!J966</f>
        <v>6125</v>
      </c>
      <c r="K966">
        <f>RAW_DATA!K966</f>
        <v>1</v>
      </c>
      <c r="L966">
        <f>RAW_DATA!L966</f>
        <v>4</v>
      </c>
      <c r="M966">
        <f>RAW_DATA!M966</f>
        <v>10</v>
      </c>
      <c r="N966">
        <f t="shared" si="30"/>
        <v>0</v>
      </c>
      <c r="O966" t="str">
        <f xml:space="preserve"> VLOOKUP(A966, Lookup_Tables!$G$2:$H$6,2,TRUE)</f>
        <v>25-34</v>
      </c>
      <c r="P966" t="str">
        <f>_xlfn.XLOOKUP(J966,Lookup_Tables!$J$2:$J$4,Lookup_Tables!$K$2:$K$4, " ",-1)</f>
        <v>Medium</v>
      </c>
      <c r="Q966" t="str">
        <f xml:space="preserve"> _xlfn.XLOOKUP(M966, Lookup_Tables!$M$2:$M$5,Lookup_Tables!$N$2:$N$5," ", -1)</f>
        <v>Veteran (10+)</v>
      </c>
      <c r="R966" s="4">
        <f t="shared" si="31"/>
        <v>2.6666666666666665</v>
      </c>
      <c r="S966" t="str">
        <f xml:space="preserve"> _xlfn.XLOOKUP( E966, Lookup_Tables!$A$2:$A$6,Lookup_Tables!$B$2:$B$6," ", -1)</f>
        <v>College</v>
      </c>
      <c r="T966" t="str">
        <f>_xlfn.XLOOKUP(G966,Lookup_Tables!$D$2:$D$5,Lookup_Tables!$E$2:$E$5)</f>
        <v>High</v>
      </c>
      <c r="U966" t="str">
        <f>_xlfn.XLOOKUP(H966,Lookup_Tables!$D$2:$D$5,Lookup_Tables!$E$2:$E$5)</f>
        <v>Low</v>
      </c>
      <c r="V966" t="str">
        <f>_xlfn.XLOOKUP(L966,Lookup_Tables!$D$2:$D$5,Lookup_Tables!$E$2:$E$5)</f>
        <v>Very High</v>
      </c>
    </row>
    <row r="967" spans="1:22">
      <c r="A967">
        <f>RAW_DATA!A967</f>
        <v>25</v>
      </c>
      <c r="B967" t="str">
        <f>RAW_DATA!B967</f>
        <v>No</v>
      </c>
      <c r="C967" t="str">
        <f>RAW_DATA!C967</f>
        <v>Research &amp; Development</v>
      </c>
      <c r="D967">
        <f>RAW_DATA!D967</f>
        <v>19</v>
      </c>
      <c r="E967">
        <f>RAW_DATA!E967</f>
        <v>1</v>
      </c>
      <c r="F967" t="str">
        <f>RAW_DATA!F967</f>
        <v>Medical</v>
      </c>
      <c r="G967">
        <f>RAW_DATA!G967</f>
        <v>4</v>
      </c>
      <c r="H967">
        <f>RAW_DATA!H967</f>
        <v>4</v>
      </c>
      <c r="I967" t="str">
        <f>RAW_DATA!I967</f>
        <v>Married</v>
      </c>
      <c r="J967">
        <f>RAW_DATA!J967</f>
        <v>3669</v>
      </c>
      <c r="K967">
        <f>RAW_DATA!K967</f>
        <v>3</v>
      </c>
      <c r="L967">
        <f>RAW_DATA!L967</f>
        <v>2</v>
      </c>
      <c r="M967">
        <f>RAW_DATA!M967</f>
        <v>3</v>
      </c>
      <c r="N967">
        <f t="shared" si="30"/>
        <v>0</v>
      </c>
      <c r="O967" t="str">
        <f xml:space="preserve"> VLOOKUP(A967, Lookup_Tables!$G$2:$H$6,2,TRUE)</f>
        <v>25-34</v>
      </c>
      <c r="P967" t="str">
        <f>_xlfn.XLOOKUP(J967,Lookup_Tables!$J$2:$J$4,Lookup_Tables!$K$2:$K$4, " ",-1)</f>
        <v>Medium</v>
      </c>
      <c r="Q967" t="str">
        <f xml:space="preserve"> _xlfn.XLOOKUP(M967, Lookup_Tables!$M$2:$M$5,Lookup_Tables!$N$2:$N$5," ", -1)</f>
        <v>Early (2-5)</v>
      </c>
      <c r="R967" s="4">
        <f t="shared" si="31"/>
        <v>3.3333333333333335</v>
      </c>
      <c r="S967" t="str">
        <f xml:space="preserve"> _xlfn.XLOOKUP( E967, Lookup_Tables!$A$2:$A$6,Lookup_Tables!$B$2:$B$6," ", -1)</f>
        <v>Below College</v>
      </c>
      <c r="T967" t="str">
        <f>_xlfn.XLOOKUP(G967,Lookup_Tables!$D$2:$D$5,Lookup_Tables!$E$2:$E$5)</f>
        <v>Very High</v>
      </c>
      <c r="U967" t="str">
        <f>_xlfn.XLOOKUP(H967,Lookup_Tables!$D$2:$D$5,Lookup_Tables!$E$2:$E$5)</f>
        <v>Very High</v>
      </c>
      <c r="V967" t="str">
        <f>_xlfn.XLOOKUP(L967,Lookup_Tables!$D$2:$D$5,Lookup_Tables!$E$2:$E$5)</f>
        <v>Medium</v>
      </c>
    </row>
    <row r="968" spans="1:22">
      <c r="A968">
        <f>RAW_DATA!A968</f>
        <v>58</v>
      </c>
      <c r="B968" t="str">
        <f>RAW_DATA!B968</f>
        <v>Yes</v>
      </c>
      <c r="C968" t="str">
        <f>RAW_DATA!C968</f>
        <v>Research &amp; Development</v>
      </c>
      <c r="D968">
        <f>RAW_DATA!D968</f>
        <v>7</v>
      </c>
      <c r="E968">
        <f>RAW_DATA!E968</f>
        <v>4</v>
      </c>
      <c r="F968" t="str">
        <f>RAW_DATA!F968</f>
        <v>Medical</v>
      </c>
      <c r="G968">
        <f>RAW_DATA!G968</f>
        <v>3</v>
      </c>
      <c r="H968">
        <f>RAW_DATA!H968</f>
        <v>1</v>
      </c>
      <c r="I968" t="str">
        <f>RAW_DATA!I968</f>
        <v>Married</v>
      </c>
      <c r="J968">
        <f>RAW_DATA!J968</f>
        <v>10008</v>
      </c>
      <c r="K968">
        <f>RAW_DATA!K968</f>
        <v>7</v>
      </c>
      <c r="L968">
        <f>RAW_DATA!L968</f>
        <v>2</v>
      </c>
      <c r="M968">
        <f>RAW_DATA!M968</f>
        <v>10</v>
      </c>
      <c r="N968">
        <f t="shared" si="30"/>
        <v>1</v>
      </c>
      <c r="O968" t="str">
        <f xml:space="preserve"> VLOOKUP(A968, Lookup_Tables!$G$2:$H$6,2,TRUE)</f>
        <v>55+</v>
      </c>
      <c r="P968" t="str">
        <f>_xlfn.XLOOKUP(J968,Lookup_Tables!$J$2:$J$4,Lookup_Tables!$K$2:$K$4, " ",-1)</f>
        <v>High</v>
      </c>
      <c r="Q968" t="str">
        <f xml:space="preserve"> _xlfn.XLOOKUP(M968, Lookup_Tables!$M$2:$M$5,Lookup_Tables!$N$2:$N$5," ", -1)</f>
        <v>Veteran (10+)</v>
      </c>
      <c r="R968" s="4">
        <f t="shared" si="31"/>
        <v>2</v>
      </c>
      <c r="S968" t="str">
        <f xml:space="preserve"> _xlfn.XLOOKUP( E968, Lookup_Tables!$A$2:$A$6,Lookup_Tables!$B$2:$B$6," ", -1)</f>
        <v>Master</v>
      </c>
      <c r="T968" t="str">
        <f>_xlfn.XLOOKUP(G968,Lookup_Tables!$D$2:$D$5,Lookup_Tables!$E$2:$E$5)</f>
        <v>High</v>
      </c>
      <c r="U968" t="str">
        <f>_xlfn.XLOOKUP(H968,Lookup_Tables!$D$2:$D$5,Lookup_Tables!$E$2:$E$5)</f>
        <v>Low</v>
      </c>
      <c r="V968" t="str">
        <f>_xlfn.XLOOKUP(L968,Lookup_Tables!$D$2:$D$5,Lookup_Tables!$E$2:$E$5)</f>
        <v>Medium</v>
      </c>
    </row>
    <row r="969" spans="1:22">
      <c r="A969">
        <f>RAW_DATA!A969</f>
        <v>40</v>
      </c>
      <c r="B969" t="str">
        <f>RAW_DATA!B969</f>
        <v>No</v>
      </c>
      <c r="C969" t="str">
        <f>RAW_DATA!C969</f>
        <v>Research &amp; Development</v>
      </c>
      <c r="D969">
        <f>RAW_DATA!D969</f>
        <v>1</v>
      </c>
      <c r="E969">
        <f>RAW_DATA!E969</f>
        <v>4</v>
      </c>
      <c r="F969" t="str">
        <f>RAW_DATA!F969</f>
        <v>Life Sciences</v>
      </c>
      <c r="G969">
        <f>RAW_DATA!G969</f>
        <v>2</v>
      </c>
      <c r="H969">
        <f>RAW_DATA!H969</f>
        <v>2</v>
      </c>
      <c r="I969" t="str">
        <f>RAW_DATA!I969</f>
        <v>Married</v>
      </c>
      <c r="J969">
        <f>RAW_DATA!J969</f>
        <v>2387</v>
      </c>
      <c r="K969">
        <f>RAW_DATA!K969</f>
        <v>3</v>
      </c>
      <c r="L969">
        <f>RAW_DATA!L969</f>
        <v>3</v>
      </c>
      <c r="M969">
        <f>RAW_DATA!M969</f>
        <v>4</v>
      </c>
      <c r="N969">
        <f t="shared" si="30"/>
        <v>0</v>
      </c>
      <c r="O969" t="str">
        <f xml:space="preserve"> VLOOKUP(A969, Lookup_Tables!$G$2:$H$6,2,TRUE)</f>
        <v>35-44</v>
      </c>
      <c r="P969" t="str">
        <f>_xlfn.XLOOKUP(J969,Lookup_Tables!$J$2:$J$4,Lookup_Tables!$K$2:$K$4, " ",-1)</f>
        <v>Low</v>
      </c>
      <c r="Q969" t="str">
        <f xml:space="preserve"> _xlfn.XLOOKUP(M969, Lookup_Tables!$M$2:$M$5,Lookup_Tables!$N$2:$N$5," ", -1)</f>
        <v>Early (2-5)</v>
      </c>
      <c r="R969" s="4">
        <f t="shared" si="31"/>
        <v>2.3333333333333335</v>
      </c>
      <c r="S969" t="str">
        <f xml:space="preserve"> _xlfn.XLOOKUP( E969, Lookup_Tables!$A$2:$A$6,Lookup_Tables!$B$2:$B$6," ", -1)</f>
        <v>Master</v>
      </c>
      <c r="T969" t="str">
        <f>_xlfn.XLOOKUP(G969,Lookup_Tables!$D$2:$D$5,Lookup_Tables!$E$2:$E$5)</f>
        <v>Medium</v>
      </c>
      <c r="U969" t="str">
        <f>_xlfn.XLOOKUP(H969,Lookup_Tables!$D$2:$D$5,Lookup_Tables!$E$2:$E$5)</f>
        <v>Medium</v>
      </c>
      <c r="V969" t="str">
        <f>_xlfn.XLOOKUP(L969,Lookup_Tables!$D$2:$D$5,Lookup_Tables!$E$2:$E$5)</f>
        <v>High</v>
      </c>
    </row>
    <row r="970" spans="1:22">
      <c r="A970">
        <f>RAW_DATA!A970</f>
        <v>36</v>
      </c>
      <c r="B970" t="str">
        <f>RAW_DATA!B970</f>
        <v>No</v>
      </c>
      <c r="C970" t="str">
        <f>RAW_DATA!C970</f>
        <v>Sales</v>
      </c>
      <c r="D970">
        <f>RAW_DATA!D970</f>
        <v>7</v>
      </c>
      <c r="E970">
        <f>RAW_DATA!E970</f>
        <v>3</v>
      </c>
      <c r="F970" t="str">
        <f>RAW_DATA!F970</f>
        <v>Marketing</v>
      </c>
      <c r="G970">
        <f>RAW_DATA!G970</f>
        <v>1</v>
      </c>
      <c r="H970">
        <f>RAW_DATA!H970</f>
        <v>1</v>
      </c>
      <c r="I970" t="str">
        <f>RAW_DATA!I970</f>
        <v>Married</v>
      </c>
      <c r="J970">
        <f>RAW_DATA!J970</f>
        <v>4639</v>
      </c>
      <c r="K970">
        <f>RAW_DATA!K970</f>
        <v>2</v>
      </c>
      <c r="L970">
        <f>RAW_DATA!L970</f>
        <v>2</v>
      </c>
      <c r="M970">
        <f>RAW_DATA!M970</f>
        <v>15</v>
      </c>
      <c r="N970">
        <f t="shared" si="30"/>
        <v>0</v>
      </c>
      <c r="O970" t="str">
        <f xml:space="preserve"> VLOOKUP(A970, Lookup_Tables!$G$2:$H$6,2,TRUE)</f>
        <v>35-44</v>
      </c>
      <c r="P970" t="str">
        <f>_xlfn.XLOOKUP(J970,Lookup_Tables!$J$2:$J$4,Lookup_Tables!$K$2:$K$4, " ",-1)</f>
        <v>Medium</v>
      </c>
      <c r="Q970" t="str">
        <f xml:space="preserve"> _xlfn.XLOOKUP(M970, Lookup_Tables!$M$2:$M$5,Lookup_Tables!$N$2:$N$5," ", -1)</f>
        <v>Veteran (10+)</v>
      </c>
      <c r="R970" s="4">
        <f t="shared" si="31"/>
        <v>1.3333333333333333</v>
      </c>
      <c r="S970" t="str">
        <f xml:space="preserve"> _xlfn.XLOOKUP( E970, Lookup_Tables!$A$2:$A$6,Lookup_Tables!$B$2:$B$6," ", -1)</f>
        <v>Bachelor</v>
      </c>
      <c r="T970" t="str">
        <f>_xlfn.XLOOKUP(G970,Lookup_Tables!$D$2:$D$5,Lookup_Tables!$E$2:$E$5)</f>
        <v>Low</v>
      </c>
      <c r="U970" t="str">
        <f>_xlfn.XLOOKUP(H970,Lookup_Tables!$D$2:$D$5,Lookup_Tables!$E$2:$E$5)</f>
        <v>Low</v>
      </c>
      <c r="V970" t="str">
        <f>_xlfn.XLOOKUP(L970,Lookup_Tables!$D$2:$D$5,Lookup_Tables!$E$2:$E$5)</f>
        <v>Medium</v>
      </c>
    </row>
    <row r="971" spans="1:22">
      <c r="A971">
        <f>RAW_DATA!A971</f>
        <v>48</v>
      </c>
      <c r="B971" t="str">
        <f>RAW_DATA!B971</f>
        <v>No</v>
      </c>
      <c r="C971" t="str">
        <f>RAW_DATA!C971</f>
        <v>Research &amp; Development</v>
      </c>
      <c r="D971">
        <f>RAW_DATA!D971</f>
        <v>4</v>
      </c>
      <c r="E971">
        <f>RAW_DATA!E971</f>
        <v>3</v>
      </c>
      <c r="F971" t="str">
        <f>RAW_DATA!F971</f>
        <v>Life Sciences</v>
      </c>
      <c r="G971">
        <f>RAW_DATA!G971</f>
        <v>4</v>
      </c>
      <c r="H971">
        <f>RAW_DATA!H971</f>
        <v>4</v>
      </c>
      <c r="I971" t="str">
        <f>RAW_DATA!I971</f>
        <v>Single</v>
      </c>
      <c r="J971">
        <f>RAW_DATA!J971</f>
        <v>7898</v>
      </c>
      <c r="K971">
        <f>RAW_DATA!K971</f>
        <v>1</v>
      </c>
      <c r="L971">
        <f>RAW_DATA!L971</f>
        <v>3</v>
      </c>
      <c r="M971">
        <f>RAW_DATA!M971</f>
        <v>10</v>
      </c>
      <c r="N971">
        <f t="shared" si="30"/>
        <v>0</v>
      </c>
      <c r="O971" t="str">
        <f xml:space="preserve"> VLOOKUP(A971, Lookup_Tables!$G$2:$H$6,2,TRUE)</f>
        <v>45-54</v>
      </c>
      <c r="P971" t="str">
        <f>_xlfn.XLOOKUP(J971,Lookup_Tables!$J$2:$J$4,Lookup_Tables!$K$2:$K$4, " ",-1)</f>
        <v>High</v>
      </c>
      <c r="Q971" t="str">
        <f xml:space="preserve"> _xlfn.XLOOKUP(M971, Lookup_Tables!$M$2:$M$5,Lookup_Tables!$N$2:$N$5," ", -1)</f>
        <v>Veteran (10+)</v>
      </c>
      <c r="R971" s="4">
        <f t="shared" si="31"/>
        <v>3.6666666666666665</v>
      </c>
      <c r="S971" t="str">
        <f xml:space="preserve"> _xlfn.XLOOKUP( E971, Lookup_Tables!$A$2:$A$6,Lookup_Tables!$B$2:$B$6," ", -1)</f>
        <v>Bachelor</v>
      </c>
      <c r="T971" t="str">
        <f>_xlfn.XLOOKUP(G971,Lookup_Tables!$D$2:$D$5,Lookup_Tables!$E$2:$E$5)</f>
        <v>Very High</v>
      </c>
      <c r="U971" t="str">
        <f>_xlfn.XLOOKUP(H971,Lookup_Tables!$D$2:$D$5,Lookup_Tables!$E$2:$E$5)</f>
        <v>Very High</v>
      </c>
      <c r="V971" t="str">
        <f>_xlfn.XLOOKUP(L971,Lookup_Tables!$D$2:$D$5,Lookup_Tables!$E$2:$E$5)</f>
        <v>High</v>
      </c>
    </row>
    <row r="972" spans="1:22">
      <c r="A972">
        <f>RAW_DATA!A972</f>
        <v>27</v>
      </c>
      <c r="B972" t="str">
        <f>RAW_DATA!B972</f>
        <v>No</v>
      </c>
      <c r="C972" t="str">
        <f>RAW_DATA!C972</f>
        <v>Sales</v>
      </c>
      <c r="D972">
        <f>RAW_DATA!D972</f>
        <v>11</v>
      </c>
      <c r="E972">
        <f>RAW_DATA!E972</f>
        <v>3</v>
      </c>
      <c r="F972" t="str">
        <f>RAW_DATA!F972</f>
        <v>Medical</v>
      </c>
      <c r="G972">
        <f>RAW_DATA!G972</f>
        <v>3</v>
      </c>
      <c r="H972">
        <f>RAW_DATA!H972</f>
        <v>4</v>
      </c>
      <c r="I972" t="str">
        <f>RAW_DATA!I972</f>
        <v>Married</v>
      </c>
      <c r="J972">
        <f>RAW_DATA!J972</f>
        <v>2534</v>
      </c>
      <c r="K972">
        <f>RAW_DATA!K972</f>
        <v>8</v>
      </c>
      <c r="L972">
        <f>RAW_DATA!L972</f>
        <v>3</v>
      </c>
      <c r="M972">
        <f>RAW_DATA!M972</f>
        <v>1</v>
      </c>
      <c r="N972">
        <f t="shared" si="30"/>
        <v>0</v>
      </c>
      <c r="O972" t="str">
        <f xml:space="preserve"> VLOOKUP(A972, Lookup_Tables!$G$2:$H$6,2,TRUE)</f>
        <v>25-34</v>
      </c>
      <c r="P972" t="str">
        <f>_xlfn.XLOOKUP(J972,Lookup_Tables!$J$2:$J$4,Lookup_Tables!$K$2:$K$4, " ",-1)</f>
        <v>Low</v>
      </c>
      <c r="Q972" t="str">
        <f xml:space="preserve"> _xlfn.XLOOKUP(M972, Lookup_Tables!$M$2:$M$5,Lookup_Tables!$N$2:$N$5," ", -1)</f>
        <v>New (0-2)</v>
      </c>
      <c r="R972" s="4">
        <f t="shared" si="31"/>
        <v>3.3333333333333335</v>
      </c>
      <c r="S972" t="str">
        <f xml:space="preserve"> _xlfn.XLOOKUP( E972, Lookup_Tables!$A$2:$A$6,Lookup_Tables!$B$2:$B$6," ", -1)</f>
        <v>Bachelor</v>
      </c>
      <c r="T972" t="str">
        <f>_xlfn.XLOOKUP(G972,Lookup_Tables!$D$2:$D$5,Lookup_Tables!$E$2:$E$5)</f>
        <v>High</v>
      </c>
      <c r="U972" t="str">
        <f>_xlfn.XLOOKUP(H972,Lookup_Tables!$D$2:$D$5,Lookup_Tables!$E$2:$E$5)</f>
        <v>Very High</v>
      </c>
      <c r="V972" t="str">
        <f>_xlfn.XLOOKUP(L972,Lookup_Tables!$D$2:$D$5,Lookup_Tables!$E$2:$E$5)</f>
        <v>High</v>
      </c>
    </row>
    <row r="973" spans="1:22">
      <c r="A973">
        <f>RAW_DATA!A973</f>
        <v>51</v>
      </c>
      <c r="B973" t="str">
        <f>RAW_DATA!B973</f>
        <v>No</v>
      </c>
      <c r="C973" t="str">
        <f>RAW_DATA!C973</f>
        <v>Research &amp; Development</v>
      </c>
      <c r="D973">
        <f>RAW_DATA!D973</f>
        <v>11</v>
      </c>
      <c r="E973">
        <f>RAW_DATA!E973</f>
        <v>2</v>
      </c>
      <c r="F973" t="str">
        <f>RAW_DATA!F973</f>
        <v>Technical Degree</v>
      </c>
      <c r="G973">
        <f>RAW_DATA!G973</f>
        <v>4</v>
      </c>
      <c r="H973">
        <f>RAW_DATA!H973</f>
        <v>2</v>
      </c>
      <c r="I973" t="str">
        <f>RAW_DATA!I973</f>
        <v>Single</v>
      </c>
      <c r="J973">
        <f>RAW_DATA!J973</f>
        <v>13142</v>
      </c>
      <c r="K973">
        <f>RAW_DATA!K973</f>
        <v>3</v>
      </c>
      <c r="L973">
        <f>RAW_DATA!L973</f>
        <v>2</v>
      </c>
      <c r="M973">
        <f>RAW_DATA!M973</f>
        <v>5</v>
      </c>
      <c r="N973">
        <f t="shared" si="30"/>
        <v>0</v>
      </c>
      <c r="O973" t="str">
        <f xml:space="preserve"> VLOOKUP(A973, Lookup_Tables!$G$2:$H$6,2,TRUE)</f>
        <v>45-54</v>
      </c>
      <c r="P973" t="str">
        <f>_xlfn.XLOOKUP(J973,Lookup_Tables!$J$2:$J$4,Lookup_Tables!$K$2:$K$4, " ",-1)</f>
        <v>High</v>
      </c>
      <c r="Q973" t="str">
        <f xml:space="preserve"> _xlfn.XLOOKUP(M973, Lookup_Tables!$M$2:$M$5,Lookup_Tables!$N$2:$N$5," ", -1)</f>
        <v>Established (5-10)</v>
      </c>
      <c r="R973" s="4">
        <f t="shared" si="31"/>
        <v>2.6666666666666665</v>
      </c>
      <c r="S973" t="str">
        <f xml:space="preserve"> _xlfn.XLOOKUP( E973, Lookup_Tables!$A$2:$A$6,Lookup_Tables!$B$2:$B$6," ", -1)</f>
        <v>College</v>
      </c>
      <c r="T973" t="str">
        <f>_xlfn.XLOOKUP(G973,Lookup_Tables!$D$2:$D$5,Lookup_Tables!$E$2:$E$5)</f>
        <v>Very High</v>
      </c>
      <c r="U973" t="str">
        <f>_xlfn.XLOOKUP(H973,Lookup_Tables!$D$2:$D$5,Lookup_Tables!$E$2:$E$5)</f>
        <v>Medium</v>
      </c>
      <c r="V973" t="str">
        <f>_xlfn.XLOOKUP(L973,Lookup_Tables!$D$2:$D$5,Lookup_Tables!$E$2:$E$5)</f>
        <v>Medium</v>
      </c>
    </row>
    <row r="974" spans="1:22">
      <c r="A974">
        <f>RAW_DATA!A974</f>
        <v>18</v>
      </c>
      <c r="B974" t="str">
        <f>RAW_DATA!B974</f>
        <v>No</v>
      </c>
      <c r="C974" t="str">
        <f>RAW_DATA!C974</f>
        <v>Research &amp; Development</v>
      </c>
      <c r="D974">
        <f>RAW_DATA!D974</f>
        <v>1</v>
      </c>
      <c r="E974">
        <f>RAW_DATA!E974</f>
        <v>3</v>
      </c>
      <c r="F974" t="str">
        <f>RAW_DATA!F974</f>
        <v>Life Sciences</v>
      </c>
      <c r="G974">
        <f>RAW_DATA!G974</f>
        <v>4</v>
      </c>
      <c r="H974">
        <f>RAW_DATA!H974</f>
        <v>4</v>
      </c>
      <c r="I974" t="str">
        <f>RAW_DATA!I974</f>
        <v>Single</v>
      </c>
      <c r="J974">
        <f>RAW_DATA!J974</f>
        <v>1611</v>
      </c>
      <c r="K974">
        <f>RAW_DATA!K974</f>
        <v>1</v>
      </c>
      <c r="L974">
        <f>RAW_DATA!L974</f>
        <v>4</v>
      </c>
      <c r="M974">
        <f>RAW_DATA!M974</f>
        <v>0</v>
      </c>
      <c r="N974">
        <f t="shared" si="30"/>
        <v>0</v>
      </c>
      <c r="O974" t="str">
        <f xml:space="preserve"> VLOOKUP(A974, Lookup_Tables!$G$2:$H$6,2,TRUE)</f>
        <v>&lt;25</v>
      </c>
      <c r="P974" t="str">
        <f>_xlfn.XLOOKUP(J974,Lookup_Tables!$J$2:$J$4,Lookup_Tables!$K$2:$K$4, " ",-1)</f>
        <v>Low</v>
      </c>
      <c r="Q974" t="str">
        <f xml:space="preserve"> _xlfn.XLOOKUP(M974, Lookup_Tables!$M$2:$M$5,Lookup_Tables!$N$2:$N$5," ", -1)</f>
        <v>New (0-2)</v>
      </c>
      <c r="R974" s="4">
        <f t="shared" si="31"/>
        <v>4</v>
      </c>
      <c r="S974" t="str">
        <f xml:space="preserve"> _xlfn.XLOOKUP( E974, Lookup_Tables!$A$2:$A$6,Lookup_Tables!$B$2:$B$6," ", -1)</f>
        <v>Bachelor</v>
      </c>
      <c r="T974" t="str">
        <f>_xlfn.XLOOKUP(G974,Lookup_Tables!$D$2:$D$5,Lookup_Tables!$E$2:$E$5)</f>
        <v>Very High</v>
      </c>
      <c r="U974" t="str">
        <f>_xlfn.XLOOKUP(H974,Lookup_Tables!$D$2:$D$5,Lookup_Tables!$E$2:$E$5)</f>
        <v>Very High</v>
      </c>
      <c r="V974" t="str">
        <f>_xlfn.XLOOKUP(L974,Lookup_Tables!$D$2:$D$5,Lookup_Tables!$E$2:$E$5)</f>
        <v>Very High</v>
      </c>
    </row>
    <row r="975" spans="1:22">
      <c r="A975">
        <f>RAW_DATA!A975</f>
        <v>35</v>
      </c>
      <c r="B975" t="str">
        <f>RAW_DATA!B975</f>
        <v>No</v>
      </c>
      <c r="C975" t="str">
        <f>RAW_DATA!C975</f>
        <v>Research &amp; Development</v>
      </c>
      <c r="D975">
        <f>RAW_DATA!D975</f>
        <v>1</v>
      </c>
      <c r="E975">
        <f>RAW_DATA!E975</f>
        <v>3</v>
      </c>
      <c r="F975" t="str">
        <f>RAW_DATA!F975</f>
        <v>Medical</v>
      </c>
      <c r="G975">
        <f>RAW_DATA!G975</f>
        <v>4</v>
      </c>
      <c r="H975">
        <f>RAW_DATA!H975</f>
        <v>4</v>
      </c>
      <c r="I975" t="str">
        <f>RAW_DATA!I975</f>
        <v>Married</v>
      </c>
      <c r="J975">
        <f>RAW_DATA!J975</f>
        <v>5363</v>
      </c>
      <c r="K975">
        <f>RAW_DATA!K975</f>
        <v>0</v>
      </c>
      <c r="L975">
        <f>RAW_DATA!L975</f>
        <v>3</v>
      </c>
      <c r="M975">
        <f>RAW_DATA!M975</f>
        <v>9</v>
      </c>
      <c r="N975">
        <f t="shared" si="30"/>
        <v>0</v>
      </c>
      <c r="O975" t="str">
        <f xml:space="preserve"> VLOOKUP(A975, Lookup_Tables!$G$2:$H$6,2,TRUE)</f>
        <v>35-44</v>
      </c>
      <c r="P975" t="str">
        <f>_xlfn.XLOOKUP(J975,Lookup_Tables!$J$2:$J$4,Lookup_Tables!$K$2:$K$4, " ",-1)</f>
        <v>Medium</v>
      </c>
      <c r="Q975" t="str">
        <f xml:space="preserve"> _xlfn.XLOOKUP(M975, Lookup_Tables!$M$2:$M$5,Lookup_Tables!$N$2:$N$5," ", -1)</f>
        <v>Established (5-10)</v>
      </c>
      <c r="R975" s="4">
        <f t="shared" si="31"/>
        <v>3.6666666666666665</v>
      </c>
      <c r="S975" t="str">
        <f xml:space="preserve"> _xlfn.XLOOKUP( E975, Lookup_Tables!$A$2:$A$6,Lookup_Tables!$B$2:$B$6," ", -1)</f>
        <v>Bachelor</v>
      </c>
      <c r="T975" t="str">
        <f>_xlfn.XLOOKUP(G975,Lookup_Tables!$D$2:$D$5,Lookup_Tables!$E$2:$E$5)</f>
        <v>Very High</v>
      </c>
      <c r="U975" t="str">
        <f>_xlfn.XLOOKUP(H975,Lookup_Tables!$D$2:$D$5,Lookup_Tables!$E$2:$E$5)</f>
        <v>Very High</v>
      </c>
      <c r="V975" t="str">
        <f>_xlfn.XLOOKUP(L975,Lookup_Tables!$D$2:$D$5,Lookup_Tables!$E$2:$E$5)</f>
        <v>High</v>
      </c>
    </row>
    <row r="976" spans="1:22">
      <c r="A976">
        <f>RAW_DATA!A976</f>
        <v>27</v>
      </c>
      <c r="B976" t="str">
        <f>RAW_DATA!B976</f>
        <v>No</v>
      </c>
      <c r="C976" t="str">
        <f>RAW_DATA!C976</f>
        <v>Sales</v>
      </c>
      <c r="D976">
        <f>RAW_DATA!D976</f>
        <v>2</v>
      </c>
      <c r="E976">
        <f>RAW_DATA!E976</f>
        <v>1</v>
      </c>
      <c r="F976" t="str">
        <f>RAW_DATA!F976</f>
        <v>Life Sciences</v>
      </c>
      <c r="G976">
        <f>RAW_DATA!G976</f>
        <v>4</v>
      </c>
      <c r="H976">
        <f>RAW_DATA!H976</f>
        <v>4</v>
      </c>
      <c r="I976" t="str">
        <f>RAW_DATA!I976</f>
        <v>Single</v>
      </c>
      <c r="J976">
        <f>RAW_DATA!J976</f>
        <v>5071</v>
      </c>
      <c r="K976">
        <f>RAW_DATA!K976</f>
        <v>3</v>
      </c>
      <c r="L976">
        <f>RAW_DATA!L976</f>
        <v>3</v>
      </c>
      <c r="M976">
        <f>RAW_DATA!M976</f>
        <v>6</v>
      </c>
      <c r="N976">
        <f t="shared" si="30"/>
        <v>0</v>
      </c>
      <c r="O976" t="str">
        <f xml:space="preserve"> VLOOKUP(A976, Lookup_Tables!$G$2:$H$6,2,TRUE)</f>
        <v>25-34</v>
      </c>
      <c r="P976" t="str">
        <f>_xlfn.XLOOKUP(J976,Lookup_Tables!$J$2:$J$4,Lookup_Tables!$K$2:$K$4, " ",-1)</f>
        <v>Medium</v>
      </c>
      <c r="Q976" t="str">
        <f xml:space="preserve"> _xlfn.XLOOKUP(M976, Lookup_Tables!$M$2:$M$5,Lookup_Tables!$N$2:$N$5," ", -1)</f>
        <v>Established (5-10)</v>
      </c>
      <c r="R976" s="4">
        <f t="shared" si="31"/>
        <v>3.6666666666666665</v>
      </c>
      <c r="S976" t="str">
        <f xml:space="preserve"> _xlfn.XLOOKUP( E976, Lookup_Tables!$A$2:$A$6,Lookup_Tables!$B$2:$B$6," ", -1)</f>
        <v>Below College</v>
      </c>
      <c r="T976" t="str">
        <f>_xlfn.XLOOKUP(G976,Lookup_Tables!$D$2:$D$5,Lookup_Tables!$E$2:$E$5)</f>
        <v>Very High</v>
      </c>
      <c r="U976" t="str">
        <f>_xlfn.XLOOKUP(H976,Lookup_Tables!$D$2:$D$5,Lookup_Tables!$E$2:$E$5)</f>
        <v>Very High</v>
      </c>
      <c r="V976" t="str">
        <f>_xlfn.XLOOKUP(L976,Lookup_Tables!$D$2:$D$5,Lookup_Tables!$E$2:$E$5)</f>
        <v>High</v>
      </c>
    </row>
    <row r="977" spans="1:22">
      <c r="A977">
        <f>RAW_DATA!A977</f>
        <v>55</v>
      </c>
      <c r="B977" t="str">
        <f>RAW_DATA!B977</f>
        <v>Yes</v>
      </c>
      <c r="C977" t="str">
        <f>RAW_DATA!C977</f>
        <v>Sales</v>
      </c>
      <c r="D977">
        <f>RAW_DATA!D977</f>
        <v>13</v>
      </c>
      <c r="E977">
        <f>RAW_DATA!E977</f>
        <v>4</v>
      </c>
      <c r="F977" t="str">
        <f>RAW_DATA!F977</f>
        <v>Marketing</v>
      </c>
      <c r="G977">
        <f>RAW_DATA!G977</f>
        <v>1</v>
      </c>
      <c r="H977">
        <f>RAW_DATA!H977</f>
        <v>3</v>
      </c>
      <c r="I977" t="str">
        <f>RAW_DATA!I977</f>
        <v>Single</v>
      </c>
      <c r="J977">
        <f>RAW_DATA!J977</f>
        <v>13695</v>
      </c>
      <c r="K977">
        <f>RAW_DATA!K977</f>
        <v>6</v>
      </c>
      <c r="L977">
        <f>RAW_DATA!L977</f>
        <v>2</v>
      </c>
      <c r="M977">
        <f>RAW_DATA!M977</f>
        <v>19</v>
      </c>
      <c r="N977">
        <f t="shared" si="30"/>
        <v>1</v>
      </c>
      <c r="O977" t="str">
        <f xml:space="preserve"> VLOOKUP(A977, Lookup_Tables!$G$2:$H$6,2,TRUE)</f>
        <v>55+</v>
      </c>
      <c r="P977" t="str">
        <f>_xlfn.XLOOKUP(J977,Lookup_Tables!$J$2:$J$4,Lookup_Tables!$K$2:$K$4, " ",-1)</f>
        <v>High</v>
      </c>
      <c r="Q977" t="str">
        <f xml:space="preserve"> _xlfn.XLOOKUP(M977, Lookup_Tables!$M$2:$M$5,Lookup_Tables!$N$2:$N$5," ", -1)</f>
        <v>Veteran (10+)</v>
      </c>
      <c r="R977" s="4">
        <f t="shared" si="31"/>
        <v>2</v>
      </c>
      <c r="S977" t="str">
        <f xml:space="preserve"> _xlfn.XLOOKUP( E977, Lookup_Tables!$A$2:$A$6,Lookup_Tables!$B$2:$B$6," ", -1)</f>
        <v>Master</v>
      </c>
      <c r="T977" t="str">
        <f>_xlfn.XLOOKUP(G977,Lookup_Tables!$D$2:$D$5,Lookup_Tables!$E$2:$E$5)</f>
        <v>Low</v>
      </c>
      <c r="U977" t="str">
        <f>_xlfn.XLOOKUP(H977,Lookup_Tables!$D$2:$D$5,Lookup_Tables!$E$2:$E$5)</f>
        <v>High</v>
      </c>
      <c r="V977" t="str">
        <f>_xlfn.XLOOKUP(L977,Lookup_Tables!$D$2:$D$5,Lookup_Tables!$E$2:$E$5)</f>
        <v>Medium</v>
      </c>
    </row>
    <row r="978" spans="1:22">
      <c r="A978">
        <f>RAW_DATA!A978</f>
        <v>56</v>
      </c>
      <c r="B978" t="str">
        <f>RAW_DATA!B978</f>
        <v>No</v>
      </c>
      <c r="C978" t="str">
        <f>RAW_DATA!C978</f>
        <v>Research &amp; Development</v>
      </c>
      <c r="D978">
        <f>RAW_DATA!D978</f>
        <v>23</v>
      </c>
      <c r="E978">
        <f>RAW_DATA!E978</f>
        <v>3</v>
      </c>
      <c r="F978" t="str">
        <f>RAW_DATA!F978</f>
        <v>Life Sciences</v>
      </c>
      <c r="G978">
        <f>RAW_DATA!G978</f>
        <v>4</v>
      </c>
      <c r="H978">
        <f>RAW_DATA!H978</f>
        <v>2</v>
      </c>
      <c r="I978" t="str">
        <f>RAW_DATA!I978</f>
        <v>Married</v>
      </c>
      <c r="J978">
        <f>RAW_DATA!J978</f>
        <v>13402</v>
      </c>
      <c r="K978">
        <f>RAW_DATA!K978</f>
        <v>4</v>
      </c>
      <c r="L978">
        <f>RAW_DATA!L978</f>
        <v>3</v>
      </c>
      <c r="M978">
        <f>RAW_DATA!M978</f>
        <v>19</v>
      </c>
      <c r="N978">
        <f t="shared" si="30"/>
        <v>0</v>
      </c>
      <c r="O978" t="str">
        <f xml:space="preserve"> VLOOKUP(A978, Lookup_Tables!$G$2:$H$6,2,TRUE)</f>
        <v>55+</v>
      </c>
      <c r="P978" t="str">
        <f>_xlfn.XLOOKUP(J978,Lookup_Tables!$J$2:$J$4,Lookup_Tables!$K$2:$K$4, " ",-1)</f>
        <v>High</v>
      </c>
      <c r="Q978" t="str">
        <f xml:space="preserve"> _xlfn.XLOOKUP(M978, Lookup_Tables!$M$2:$M$5,Lookup_Tables!$N$2:$N$5," ", -1)</f>
        <v>Veteran (10+)</v>
      </c>
      <c r="R978" s="4">
        <f t="shared" si="31"/>
        <v>3</v>
      </c>
      <c r="S978" t="str">
        <f xml:space="preserve"> _xlfn.XLOOKUP( E978, Lookup_Tables!$A$2:$A$6,Lookup_Tables!$B$2:$B$6," ", -1)</f>
        <v>Bachelor</v>
      </c>
      <c r="T978" t="str">
        <f>_xlfn.XLOOKUP(G978,Lookup_Tables!$D$2:$D$5,Lookup_Tables!$E$2:$E$5)</f>
        <v>Very High</v>
      </c>
      <c r="U978" t="str">
        <f>_xlfn.XLOOKUP(H978,Lookup_Tables!$D$2:$D$5,Lookup_Tables!$E$2:$E$5)</f>
        <v>Medium</v>
      </c>
      <c r="V978" t="str">
        <f>_xlfn.XLOOKUP(L978,Lookup_Tables!$D$2:$D$5,Lookup_Tables!$E$2:$E$5)</f>
        <v>High</v>
      </c>
    </row>
    <row r="979" spans="1:22">
      <c r="A979">
        <f>RAW_DATA!A979</f>
        <v>34</v>
      </c>
      <c r="B979" t="str">
        <f>RAW_DATA!B979</f>
        <v>No</v>
      </c>
      <c r="C979" t="str">
        <f>RAW_DATA!C979</f>
        <v>Research &amp; Development</v>
      </c>
      <c r="D979">
        <f>RAW_DATA!D979</f>
        <v>26</v>
      </c>
      <c r="E979">
        <f>RAW_DATA!E979</f>
        <v>1</v>
      </c>
      <c r="F979" t="str">
        <f>RAW_DATA!F979</f>
        <v>Technical Degree</v>
      </c>
      <c r="G979">
        <f>RAW_DATA!G979</f>
        <v>1</v>
      </c>
      <c r="H979">
        <f>RAW_DATA!H979</f>
        <v>3</v>
      </c>
      <c r="I979" t="str">
        <f>RAW_DATA!I979</f>
        <v>Divorced</v>
      </c>
      <c r="J979">
        <f>RAW_DATA!J979</f>
        <v>2029</v>
      </c>
      <c r="K979">
        <f>RAW_DATA!K979</f>
        <v>1</v>
      </c>
      <c r="L979">
        <f>RAW_DATA!L979</f>
        <v>3</v>
      </c>
      <c r="M979">
        <f>RAW_DATA!M979</f>
        <v>5</v>
      </c>
      <c r="N979">
        <f t="shared" si="30"/>
        <v>0</v>
      </c>
      <c r="O979" t="str">
        <f xml:space="preserve"> VLOOKUP(A979, Lookup_Tables!$G$2:$H$6,2,TRUE)</f>
        <v>25-34</v>
      </c>
      <c r="P979" t="str">
        <f>_xlfn.XLOOKUP(J979,Lookup_Tables!$J$2:$J$4,Lookup_Tables!$K$2:$K$4, " ",-1)</f>
        <v>Low</v>
      </c>
      <c r="Q979" t="str">
        <f xml:space="preserve"> _xlfn.XLOOKUP(M979, Lookup_Tables!$M$2:$M$5,Lookup_Tables!$N$2:$N$5," ", -1)</f>
        <v>Established (5-10)</v>
      </c>
      <c r="R979" s="4">
        <f t="shared" si="31"/>
        <v>2.3333333333333335</v>
      </c>
      <c r="S979" t="str">
        <f xml:space="preserve"> _xlfn.XLOOKUP( E979, Lookup_Tables!$A$2:$A$6,Lookup_Tables!$B$2:$B$6," ", -1)</f>
        <v>Below College</v>
      </c>
      <c r="T979" t="str">
        <f>_xlfn.XLOOKUP(G979,Lookup_Tables!$D$2:$D$5,Lookup_Tables!$E$2:$E$5)</f>
        <v>Low</v>
      </c>
      <c r="U979" t="str">
        <f>_xlfn.XLOOKUP(H979,Lookup_Tables!$D$2:$D$5,Lookup_Tables!$E$2:$E$5)</f>
        <v>High</v>
      </c>
      <c r="V979" t="str">
        <f>_xlfn.XLOOKUP(L979,Lookup_Tables!$D$2:$D$5,Lookup_Tables!$E$2:$E$5)</f>
        <v>High</v>
      </c>
    </row>
    <row r="980" spans="1:22">
      <c r="A980">
        <f>RAW_DATA!A980</f>
        <v>40</v>
      </c>
      <c r="B980" t="str">
        <f>RAW_DATA!B980</f>
        <v>No</v>
      </c>
      <c r="C980" t="str">
        <f>RAW_DATA!C980</f>
        <v>Research &amp; Development</v>
      </c>
      <c r="D980">
        <f>RAW_DATA!D980</f>
        <v>2</v>
      </c>
      <c r="E980">
        <f>RAW_DATA!E980</f>
        <v>1</v>
      </c>
      <c r="F980" t="str">
        <f>RAW_DATA!F980</f>
        <v>Medical</v>
      </c>
      <c r="G980">
        <f>RAW_DATA!G980</f>
        <v>2</v>
      </c>
      <c r="H980">
        <f>RAW_DATA!H980</f>
        <v>3</v>
      </c>
      <c r="I980" t="str">
        <f>RAW_DATA!I980</f>
        <v>Divorced</v>
      </c>
      <c r="J980">
        <f>RAW_DATA!J980</f>
        <v>6377</v>
      </c>
      <c r="K980">
        <f>RAW_DATA!K980</f>
        <v>5</v>
      </c>
      <c r="L980">
        <f>RAW_DATA!L980</f>
        <v>3</v>
      </c>
      <c r="M980">
        <f>RAW_DATA!M980</f>
        <v>12</v>
      </c>
      <c r="N980">
        <f t="shared" si="30"/>
        <v>0</v>
      </c>
      <c r="O980" t="str">
        <f xml:space="preserve"> VLOOKUP(A980, Lookup_Tables!$G$2:$H$6,2,TRUE)</f>
        <v>35-44</v>
      </c>
      <c r="P980" t="str">
        <f>_xlfn.XLOOKUP(J980,Lookup_Tables!$J$2:$J$4,Lookup_Tables!$K$2:$K$4, " ",-1)</f>
        <v>Medium</v>
      </c>
      <c r="Q980" t="str">
        <f xml:space="preserve"> _xlfn.XLOOKUP(M980, Lookup_Tables!$M$2:$M$5,Lookup_Tables!$N$2:$N$5," ", -1)</f>
        <v>Veteran (10+)</v>
      </c>
      <c r="R980" s="4">
        <f t="shared" si="31"/>
        <v>2.6666666666666665</v>
      </c>
      <c r="S980" t="str">
        <f xml:space="preserve"> _xlfn.XLOOKUP( E980, Lookup_Tables!$A$2:$A$6,Lookup_Tables!$B$2:$B$6," ", -1)</f>
        <v>Below College</v>
      </c>
      <c r="T980" t="str">
        <f>_xlfn.XLOOKUP(G980,Lookup_Tables!$D$2:$D$5,Lookup_Tables!$E$2:$E$5)</f>
        <v>Medium</v>
      </c>
      <c r="U980" t="str">
        <f>_xlfn.XLOOKUP(H980,Lookup_Tables!$D$2:$D$5,Lookup_Tables!$E$2:$E$5)</f>
        <v>High</v>
      </c>
      <c r="V980" t="str">
        <f>_xlfn.XLOOKUP(L980,Lookup_Tables!$D$2:$D$5,Lookup_Tables!$E$2:$E$5)</f>
        <v>High</v>
      </c>
    </row>
    <row r="981" spans="1:22">
      <c r="A981">
        <f>RAW_DATA!A981</f>
        <v>34</v>
      </c>
      <c r="B981" t="str">
        <f>RAW_DATA!B981</f>
        <v>No</v>
      </c>
      <c r="C981" t="str">
        <f>RAW_DATA!C981</f>
        <v>Research &amp; Development</v>
      </c>
      <c r="D981">
        <f>RAW_DATA!D981</f>
        <v>29</v>
      </c>
      <c r="E981">
        <f>RAW_DATA!E981</f>
        <v>3</v>
      </c>
      <c r="F981" t="str">
        <f>RAW_DATA!F981</f>
        <v>Medical</v>
      </c>
      <c r="G981">
        <f>RAW_DATA!G981</f>
        <v>2</v>
      </c>
      <c r="H981">
        <f>RAW_DATA!H981</f>
        <v>3</v>
      </c>
      <c r="I981" t="str">
        <f>RAW_DATA!I981</f>
        <v>Married</v>
      </c>
      <c r="J981">
        <f>RAW_DATA!J981</f>
        <v>5429</v>
      </c>
      <c r="K981">
        <f>RAW_DATA!K981</f>
        <v>4</v>
      </c>
      <c r="L981">
        <f>RAW_DATA!L981</f>
        <v>3</v>
      </c>
      <c r="M981">
        <f>RAW_DATA!M981</f>
        <v>8</v>
      </c>
      <c r="N981">
        <f t="shared" si="30"/>
        <v>0</v>
      </c>
      <c r="O981" t="str">
        <f xml:space="preserve"> VLOOKUP(A981, Lookup_Tables!$G$2:$H$6,2,TRUE)</f>
        <v>25-34</v>
      </c>
      <c r="P981" t="str">
        <f>_xlfn.XLOOKUP(J981,Lookup_Tables!$J$2:$J$4,Lookup_Tables!$K$2:$K$4, " ",-1)</f>
        <v>Medium</v>
      </c>
      <c r="Q981" t="str">
        <f xml:space="preserve"> _xlfn.XLOOKUP(M981, Lookup_Tables!$M$2:$M$5,Lookup_Tables!$N$2:$N$5," ", -1)</f>
        <v>Established (5-10)</v>
      </c>
      <c r="R981" s="4">
        <f t="shared" si="31"/>
        <v>2.6666666666666665</v>
      </c>
      <c r="S981" t="str">
        <f xml:space="preserve"> _xlfn.XLOOKUP( E981, Lookup_Tables!$A$2:$A$6,Lookup_Tables!$B$2:$B$6," ", -1)</f>
        <v>Bachelor</v>
      </c>
      <c r="T981" t="str">
        <f>_xlfn.XLOOKUP(G981,Lookup_Tables!$D$2:$D$5,Lookup_Tables!$E$2:$E$5)</f>
        <v>Medium</v>
      </c>
      <c r="U981" t="str">
        <f>_xlfn.XLOOKUP(H981,Lookup_Tables!$D$2:$D$5,Lookup_Tables!$E$2:$E$5)</f>
        <v>High</v>
      </c>
      <c r="V981" t="str">
        <f>_xlfn.XLOOKUP(L981,Lookup_Tables!$D$2:$D$5,Lookup_Tables!$E$2:$E$5)</f>
        <v>High</v>
      </c>
    </row>
    <row r="982" spans="1:22">
      <c r="A982">
        <f>RAW_DATA!A982</f>
        <v>31</v>
      </c>
      <c r="B982" t="str">
        <f>RAW_DATA!B982</f>
        <v>Yes</v>
      </c>
      <c r="C982" t="str">
        <f>RAW_DATA!C982</f>
        <v>Sales</v>
      </c>
      <c r="D982">
        <f>RAW_DATA!D982</f>
        <v>2</v>
      </c>
      <c r="E982">
        <f>RAW_DATA!E982</f>
        <v>3</v>
      </c>
      <c r="F982" t="str">
        <f>RAW_DATA!F982</f>
        <v>Life Sciences</v>
      </c>
      <c r="G982">
        <f>RAW_DATA!G982</f>
        <v>3</v>
      </c>
      <c r="H982">
        <f>RAW_DATA!H982</f>
        <v>4</v>
      </c>
      <c r="I982" t="str">
        <f>RAW_DATA!I982</f>
        <v>Single</v>
      </c>
      <c r="J982">
        <f>RAW_DATA!J982</f>
        <v>2785</v>
      </c>
      <c r="K982">
        <f>RAW_DATA!K982</f>
        <v>7</v>
      </c>
      <c r="L982">
        <f>RAW_DATA!L982</f>
        <v>4</v>
      </c>
      <c r="M982">
        <f>RAW_DATA!M982</f>
        <v>1</v>
      </c>
      <c r="N982">
        <f t="shared" si="30"/>
        <v>1</v>
      </c>
      <c r="O982" t="str">
        <f xml:space="preserve"> VLOOKUP(A982, Lookup_Tables!$G$2:$H$6,2,TRUE)</f>
        <v>25-34</v>
      </c>
      <c r="P982" t="str">
        <f>_xlfn.XLOOKUP(J982,Lookup_Tables!$J$2:$J$4,Lookup_Tables!$K$2:$K$4, " ",-1)</f>
        <v>Low</v>
      </c>
      <c r="Q982" t="str">
        <f xml:space="preserve"> _xlfn.XLOOKUP(M982, Lookup_Tables!$M$2:$M$5,Lookup_Tables!$N$2:$N$5," ", -1)</f>
        <v>New (0-2)</v>
      </c>
      <c r="R982" s="4">
        <f t="shared" si="31"/>
        <v>3.6666666666666665</v>
      </c>
      <c r="S982" t="str">
        <f xml:space="preserve"> _xlfn.XLOOKUP( E982, Lookup_Tables!$A$2:$A$6,Lookup_Tables!$B$2:$B$6," ", -1)</f>
        <v>Bachelor</v>
      </c>
      <c r="T982" t="str">
        <f>_xlfn.XLOOKUP(G982,Lookup_Tables!$D$2:$D$5,Lookup_Tables!$E$2:$E$5)</f>
        <v>High</v>
      </c>
      <c r="U982" t="str">
        <f>_xlfn.XLOOKUP(H982,Lookup_Tables!$D$2:$D$5,Lookup_Tables!$E$2:$E$5)</f>
        <v>Very High</v>
      </c>
      <c r="V982" t="str">
        <f>_xlfn.XLOOKUP(L982,Lookup_Tables!$D$2:$D$5,Lookup_Tables!$E$2:$E$5)</f>
        <v>Very High</v>
      </c>
    </row>
    <row r="983" spans="1:22">
      <c r="A983">
        <f>RAW_DATA!A983</f>
        <v>35</v>
      </c>
      <c r="B983" t="str">
        <f>RAW_DATA!B983</f>
        <v>Yes</v>
      </c>
      <c r="C983" t="str">
        <f>RAW_DATA!C983</f>
        <v>Sales</v>
      </c>
      <c r="D983">
        <f>RAW_DATA!D983</f>
        <v>18</v>
      </c>
      <c r="E983">
        <f>RAW_DATA!E983</f>
        <v>4</v>
      </c>
      <c r="F983" t="str">
        <f>RAW_DATA!F983</f>
        <v>Marketing</v>
      </c>
      <c r="G983">
        <f>RAW_DATA!G983</f>
        <v>4</v>
      </c>
      <c r="H983">
        <f>RAW_DATA!H983</f>
        <v>3</v>
      </c>
      <c r="I983" t="str">
        <f>RAW_DATA!I983</f>
        <v>Married</v>
      </c>
      <c r="J983">
        <f>RAW_DATA!J983</f>
        <v>4614</v>
      </c>
      <c r="K983">
        <f>RAW_DATA!K983</f>
        <v>0</v>
      </c>
      <c r="L983">
        <f>RAW_DATA!L983</f>
        <v>2</v>
      </c>
      <c r="M983">
        <f>RAW_DATA!M983</f>
        <v>4</v>
      </c>
      <c r="N983">
        <f t="shared" si="30"/>
        <v>1</v>
      </c>
      <c r="O983" t="str">
        <f xml:space="preserve"> VLOOKUP(A983, Lookup_Tables!$G$2:$H$6,2,TRUE)</f>
        <v>35-44</v>
      </c>
      <c r="P983" t="str">
        <f>_xlfn.XLOOKUP(J983,Lookup_Tables!$J$2:$J$4,Lookup_Tables!$K$2:$K$4, " ",-1)</f>
        <v>Medium</v>
      </c>
      <c r="Q983" t="str">
        <f xml:space="preserve"> _xlfn.XLOOKUP(M983, Lookup_Tables!$M$2:$M$5,Lookup_Tables!$N$2:$N$5," ", -1)</f>
        <v>Early (2-5)</v>
      </c>
      <c r="R983" s="4">
        <f t="shared" si="31"/>
        <v>3</v>
      </c>
      <c r="S983" t="str">
        <f xml:space="preserve"> _xlfn.XLOOKUP( E983, Lookup_Tables!$A$2:$A$6,Lookup_Tables!$B$2:$B$6," ", -1)</f>
        <v>Master</v>
      </c>
      <c r="T983" t="str">
        <f>_xlfn.XLOOKUP(G983,Lookup_Tables!$D$2:$D$5,Lookup_Tables!$E$2:$E$5)</f>
        <v>Very High</v>
      </c>
      <c r="U983" t="str">
        <f>_xlfn.XLOOKUP(H983,Lookup_Tables!$D$2:$D$5,Lookup_Tables!$E$2:$E$5)</f>
        <v>High</v>
      </c>
      <c r="V983" t="str">
        <f>_xlfn.XLOOKUP(L983,Lookup_Tables!$D$2:$D$5,Lookup_Tables!$E$2:$E$5)</f>
        <v>Medium</v>
      </c>
    </row>
    <row r="984" spans="1:22">
      <c r="A984">
        <f>RAW_DATA!A984</f>
        <v>38</v>
      </c>
      <c r="B984" t="str">
        <f>RAW_DATA!B984</f>
        <v>No</v>
      </c>
      <c r="C984" t="str">
        <f>RAW_DATA!C984</f>
        <v>Research &amp; Development</v>
      </c>
      <c r="D984">
        <f>RAW_DATA!D984</f>
        <v>7</v>
      </c>
      <c r="E984">
        <f>RAW_DATA!E984</f>
        <v>3</v>
      </c>
      <c r="F984" t="str">
        <f>RAW_DATA!F984</f>
        <v>Life Sciences</v>
      </c>
      <c r="G984">
        <f>RAW_DATA!G984</f>
        <v>4</v>
      </c>
      <c r="H984">
        <f>RAW_DATA!H984</f>
        <v>3</v>
      </c>
      <c r="I984" t="str">
        <f>RAW_DATA!I984</f>
        <v>Divorced</v>
      </c>
      <c r="J984">
        <f>RAW_DATA!J984</f>
        <v>2610</v>
      </c>
      <c r="K984">
        <f>RAW_DATA!K984</f>
        <v>1</v>
      </c>
      <c r="L984">
        <f>RAW_DATA!L984</f>
        <v>3</v>
      </c>
      <c r="M984">
        <f>RAW_DATA!M984</f>
        <v>4</v>
      </c>
      <c r="N984">
        <f t="shared" si="30"/>
        <v>0</v>
      </c>
      <c r="O984" t="str">
        <f xml:space="preserve"> VLOOKUP(A984, Lookup_Tables!$G$2:$H$6,2,TRUE)</f>
        <v>35-44</v>
      </c>
      <c r="P984" t="str">
        <f>_xlfn.XLOOKUP(J984,Lookup_Tables!$J$2:$J$4,Lookup_Tables!$K$2:$K$4, " ",-1)</f>
        <v>Low</v>
      </c>
      <c r="Q984" t="str">
        <f xml:space="preserve"> _xlfn.XLOOKUP(M984, Lookup_Tables!$M$2:$M$5,Lookup_Tables!$N$2:$N$5," ", -1)</f>
        <v>Early (2-5)</v>
      </c>
      <c r="R984" s="4">
        <f t="shared" si="31"/>
        <v>3.3333333333333335</v>
      </c>
      <c r="S984" t="str">
        <f xml:space="preserve"> _xlfn.XLOOKUP( E984, Lookup_Tables!$A$2:$A$6,Lookup_Tables!$B$2:$B$6," ", -1)</f>
        <v>Bachelor</v>
      </c>
      <c r="T984" t="str">
        <f>_xlfn.XLOOKUP(G984,Lookup_Tables!$D$2:$D$5,Lookup_Tables!$E$2:$E$5)</f>
        <v>Very High</v>
      </c>
      <c r="U984" t="str">
        <f>_xlfn.XLOOKUP(H984,Lookup_Tables!$D$2:$D$5,Lookup_Tables!$E$2:$E$5)</f>
        <v>High</v>
      </c>
      <c r="V984" t="str">
        <f>_xlfn.XLOOKUP(L984,Lookup_Tables!$D$2:$D$5,Lookup_Tables!$E$2:$E$5)</f>
        <v>High</v>
      </c>
    </row>
    <row r="985" spans="1:22">
      <c r="A985">
        <f>RAW_DATA!A985</f>
        <v>34</v>
      </c>
      <c r="B985" t="str">
        <f>RAW_DATA!B985</f>
        <v>No</v>
      </c>
      <c r="C985" t="str">
        <f>RAW_DATA!C985</f>
        <v>Research &amp; Development</v>
      </c>
      <c r="D985">
        <f>RAW_DATA!D985</f>
        <v>2</v>
      </c>
      <c r="E985">
        <f>RAW_DATA!E985</f>
        <v>4</v>
      </c>
      <c r="F985" t="str">
        <f>RAW_DATA!F985</f>
        <v>Technical Degree</v>
      </c>
      <c r="G985">
        <f>RAW_DATA!G985</f>
        <v>3</v>
      </c>
      <c r="H985">
        <f>RAW_DATA!H985</f>
        <v>4</v>
      </c>
      <c r="I985" t="str">
        <f>RAW_DATA!I985</f>
        <v>Single</v>
      </c>
      <c r="J985">
        <f>RAW_DATA!J985</f>
        <v>6687</v>
      </c>
      <c r="K985">
        <f>RAW_DATA!K985</f>
        <v>1</v>
      </c>
      <c r="L985">
        <f>RAW_DATA!L985</f>
        <v>4</v>
      </c>
      <c r="M985">
        <f>RAW_DATA!M985</f>
        <v>14</v>
      </c>
      <c r="N985">
        <f t="shared" si="30"/>
        <v>0</v>
      </c>
      <c r="O985" t="str">
        <f xml:space="preserve"> VLOOKUP(A985, Lookup_Tables!$G$2:$H$6,2,TRUE)</f>
        <v>25-34</v>
      </c>
      <c r="P985" t="str">
        <f>_xlfn.XLOOKUP(J985,Lookup_Tables!$J$2:$J$4,Lookup_Tables!$K$2:$K$4, " ",-1)</f>
        <v>Medium</v>
      </c>
      <c r="Q985" t="str">
        <f xml:space="preserve"> _xlfn.XLOOKUP(M985, Lookup_Tables!$M$2:$M$5,Lookup_Tables!$N$2:$N$5," ", -1)</f>
        <v>Veteran (10+)</v>
      </c>
      <c r="R985" s="4">
        <f t="shared" si="31"/>
        <v>3.6666666666666665</v>
      </c>
      <c r="S985" t="str">
        <f xml:space="preserve"> _xlfn.XLOOKUP( E985, Lookup_Tables!$A$2:$A$6,Lookup_Tables!$B$2:$B$6," ", -1)</f>
        <v>Master</v>
      </c>
      <c r="T985" t="str">
        <f>_xlfn.XLOOKUP(G985,Lookup_Tables!$D$2:$D$5,Lookup_Tables!$E$2:$E$5)</f>
        <v>High</v>
      </c>
      <c r="U985" t="str">
        <f>_xlfn.XLOOKUP(H985,Lookup_Tables!$D$2:$D$5,Lookup_Tables!$E$2:$E$5)</f>
        <v>Very High</v>
      </c>
      <c r="V985" t="str">
        <f>_xlfn.XLOOKUP(L985,Lookup_Tables!$D$2:$D$5,Lookup_Tables!$E$2:$E$5)</f>
        <v>Very High</v>
      </c>
    </row>
    <row r="986" spans="1:22">
      <c r="A986">
        <f>RAW_DATA!A986</f>
        <v>28</v>
      </c>
      <c r="B986" t="str">
        <f>RAW_DATA!B986</f>
        <v>No</v>
      </c>
      <c r="C986" t="str">
        <f>RAW_DATA!C986</f>
        <v>Sales</v>
      </c>
      <c r="D986">
        <f>RAW_DATA!D986</f>
        <v>26</v>
      </c>
      <c r="E986">
        <f>RAW_DATA!E986</f>
        <v>3</v>
      </c>
      <c r="F986" t="str">
        <f>RAW_DATA!F986</f>
        <v>Life Sciences</v>
      </c>
      <c r="G986">
        <f>RAW_DATA!G986</f>
        <v>3</v>
      </c>
      <c r="H986">
        <f>RAW_DATA!H986</f>
        <v>1</v>
      </c>
      <c r="I986" t="str">
        <f>RAW_DATA!I986</f>
        <v>Married</v>
      </c>
      <c r="J986">
        <f>RAW_DATA!J986</f>
        <v>4724</v>
      </c>
      <c r="K986">
        <f>RAW_DATA!K986</f>
        <v>1</v>
      </c>
      <c r="L986">
        <f>RAW_DATA!L986</f>
        <v>3</v>
      </c>
      <c r="M986">
        <f>RAW_DATA!M986</f>
        <v>5</v>
      </c>
      <c r="N986">
        <f t="shared" si="30"/>
        <v>0</v>
      </c>
      <c r="O986" t="str">
        <f xml:space="preserve"> VLOOKUP(A986, Lookup_Tables!$G$2:$H$6,2,TRUE)</f>
        <v>25-34</v>
      </c>
      <c r="P986" t="str">
        <f>_xlfn.XLOOKUP(J986,Lookup_Tables!$J$2:$J$4,Lookup_Tables!$K$2:$K$4, " ",-1)</f>
        <v>Medium</v>
      </c>
      <c r="Q986" t="str">
        <f xml:space="preserve"> _xlfn.XLOOKUP(M986, Lookup_Tables!$M$2:$M$5,Lookup_Tables!$N$2:$N$5," ", -1)</f>
        <v>Established (5-10)</v>
      </c>
      <c r="R986" s="4">
        <f t="shared" si="31"/>
        <v>2.3333333333333335</v>
      </c>
      <c r="S986" t="str">
        <f xml:space="preserve"> _xlfn.XLOOKUP( E986, Lookup_Tables!$A$2:$A$6,Lookup_Tables!$B$2:$B$6," ", -1)</f>
        <v>Bachelor</v>
      </c>
      <c r="T986" t="str">
        <f>_xlfn.XLOOKUP(G986,Lookup_Tables!$D$2:$D$5,Lookup_Tables!$E$2:$E$5)</f>
        <v>High</v>
      </c>
      <c r="U986" t="str">
        <f>_xlfn.XLOOKUP(H986,Lookup_Tables!$D$2:$D$5,Lookup_Tables!$E$2:$E$5)</f>
        <v>Low</v>
      </c>
      <c r="V986" t="str">
        <f>_xlfn.XLOOKUP(L986,Lookup_Tables!$D$2:$D$5,Lookup_Tables!$E$2:$E$5)</f>
        <v>High</v>
      </c>
    </row>
    <row r="987" spans="1:22">
      <c r="A987">
        <f>RAW_DATA!A987</f>
        <v>31</v>
      </c>
      <c r="B987" t="str">
        <f>RAW_DATA!B987</f>
        <v>Yes</v>
      </c>
      <c r="C987" t="str">
        <f>RAW_DATA!C987</f>
        <v>Research &amp; Development</v>
      </c>
      <c r="D987">
        <f>RAW_DATA!D987</f>
        <v>22</v>
      </c>
      <c r="E987">
        <f>RAW_DATA!E987</f>
        <v>4</v>
      </c>
      <c r="F987" t="str">
        <f>RAW_DATA!F987</f>
        <v>Medical</v>
      </c>
      <c r="G987">
        <f>RAW_DATA!G987</f>
        <v>4</v>
      </c>
      <c r="H987">
        <f>RAW_DATA!H987</f>
        <v>3</v>
      </c>
      <c r="I987" t="str">
        <f>RAW_DATA!I987</f>
        <v>Married</v>
      </c>
      <c r="J987">
        <f>RAW_DATA!J987</f>
        <v>6179</v>
      </c>
      <c r="K987">
        <f>RAW_DATA!K987</f>
        <v>1</v>
      </c>
      <c r="L987">
        <f>RAW_DATA!L987</f>
        <v>2</v>
      </c>
      <c r="M987">
        <f>RAW_DATA!M987</f>
        <v>10</v>
      </c>
      <c r="N987">
        <f t="shared" si="30"/>
        <v>1</v>
      </c>
      <c r="O987" t="str">
        <f xml:space="preserve"> VLOOKUP(A987, Lookup_Tables!$G$2:$H$6,2,TRUE)</f>
        <v>25-34</v>
      </c>
      <c r="P987" t="str">
        <f>_xlfn.XLOOKUP(J987,Lookup_Tables!$J$2:$J$4,Lookup_Tables!$K$2:$K$4, " ",-1)</f>
        <v>Medium</v>
      </c>
      <c r="Q987" t="str">
        <f xml:space="preserve"> _xlfn.XLOOKUP(M987, Lookup_Tables!$M$2:$M$5,Lookup_Tables!$N$2:$N$5," ", -1)</f>
        <v>Veteran (10+)</v>
      </c>
      <c r="R987" s="4">
        <f t="shared" si="31"/>
        <v>3</v>
      </c>
      <c r="S987" t="str">
        <f xml:space="preserve"> _xlfn.XLOOKUP( E987, Lookup_Tables!$A$2:$A$6,Lookup_Tables!$B$2:$B$6," ", -1)</f>
        <v>Master</v>
      </c>
      <c r="T987" t="str">
        <f>_xlfn.XLOOKUP(G987,Lookup_Tables!$D$2:$D$5,Lookup_Tables!$E$2:$E$5)</f>
        <v>Very High</v>
      </c>
      <c r="U987" t="str">
        <f>_xlfn.XLOOKUP(H987,Lookup_Tables!$D$2:$D$5,Lookup_Tables!$E$2:$E$5)</f>
        <v>High</v>
      </c>
      <c r="V987" t="str">
        <f>_xlfn.XLOOKUP(L987,Lookup_Tables!$D$2:$D$5,Lookup_Tables!$E$2:$E$5)</f>
        <v>Medium</v>
      </c>
    </row>
    <row r="988" spans="1:22">
      <c r="A988">
        <f>RAW_DATA!A988</f>
        <v>39</v>
      </c>
      <c r="B988" t="str">
        <f>RAW_DATA!B988</f>
        <v>No</v>
      </c>
      <c r="C988" t="str">
        <f>RAW_DATA!C988</f>
        <v>Sales</v>
      </c>
      <c r="D988">
        <f>RAW_DATA!D988</f>
        <v>21</v>
      </c>
      <c r="E988">
        <f>RAW_DATA!E988</f>
        <v>4</v>
      </c>
      <c r="F988" t="str">
        <f>RAW_DATA!F988</f>
        <v>Life Sciences</v>
      </c>
      <c r="G988">
        <f>RAW_DATA!G988</f>
        <v>1</v>
      </c>
      <c r="H988">
        <f>RAW_DATA!H988</f>
        <v>4</v>
      </c>
      <c r="I988" t="str">
        <f>RAW_DATA!I988</f>
        <v>Married</v>
      </c>
      <c r="J988">
        <f>RAW_DATA!J988</f>
        <v>6120</v>
      </c>
      <c r="K988">
        <f>RAW_DATA!K988</f>
        <v>3</v>
      </c>
      <c r="L988">
        <f>RAW_DATA!L988</f>
        <v>4</v>
      </c>
      <c r="M988">
        <f>RAW_DATA!M988</f>
        <v>5</v>
      </c>
      <c r="N988">
        <f t="shared" si="30"/>
        <v>0</v>
      </c>
      <c r="O988" t="str">
        <f xml:space="preserve"> VLOOKUP(A988, Lookup_Tables!$G$2:$H$6,2,TRUE)</f>
        <v>35-44</v>
      </c>
      <c r="P988" t="str">
        <f>_xlfn.XLOOKUP(J988,Lookup_Tables!$J$2:$J$4,Lookup_Tables!$K$2:$K$4, " ",-1)</f>
        <v>Medium</v>
      </c>
      <c r="Q988" t="str">
        <f xml:space="preserve"> _xlfn.XLOOKUP(M988, Lookup_Tables!$M$2:$M$5,Lookup_Tables!$N$2:$N$5," ", -1)</f>
        <v>Established (5-10)</v>
      </c>
      <c r="R988" s="4">
        <f t="shared" si="31"/>
        <v>3</v>
      </c>
      <c r="S988" t="str">
        <f xml:space="preserve"> _xlfn.XLOOKUP( E988, Lookup_Tables!$A$2:$A$6,Lookup_Tables!$B$2:$B$6," ", -1)</f>
        <v>Master</v>
      </c>
      <c r="T988" t="str">
        <f>_xlfn.XLOOKUP(G988,Lookup_Tables!$D$2:$D$5,Lookup_Tables!$E$2:$E$5)</f>
        <v>Low</v>
      </c>
      <c r="U988" t="str">
        <f>_xlfn.XLOOKUP(H988,Lookup_Tables!$D$2:$D$5,Lookup_Tables!$E$2:$E$5)</f>
        <v>Very High</v>
      </c>
      <c r="V988" t="str">
        <f>_xlfn.XLOOKUP(L988,Lookup_Tables!$D$2:$D$5,Lookup_Tables!$E$2:$E$5)</f>
        <v>Very High</v>
      </c>
    </row>
    <row r="989" spans="1:22">
      <c r="A989">
        <f>RAW_DATA!A989</f>
        <v>51</v>
      </c>
      <c r="B989" t="str">
        <f>RAW_DATA!B989</f>
        <v>No</v>
      </c>
      <c r="C989" t="str">
        <f>RAW_DATA!C989</f>
        <v>Sales</v>
      </c>
      <c r="D989">
        <f>RAW_DATA!D989</f>
        <v>2</v>
      </c>
      <c r="E989">
        <f>RAW_DATA!E989</f>
        <v>3</v>
      </c>
      <c r="F989" t="str">
        <f>RAW_DATA!F989</f>
        <v>Marketing</v>
      </c>
      <c r="G989">
        <f>RAW_DATA!G989</f>
        <v>2</v>
      </c>
      <c r="H989">
        <f>RAW_DATA!H989</f>
        <v>2</v>
      </c>
      <c r="I989" t="str">
        <f>RAW_DATA!I989</f>
        <v>Married</v>
      </c>
      <c r="J989">
        <f>RAW_DATA!J989</f>
        <v>10596</v>
      </c>
      <c r="K989">
        <f>RAW_DATA!K989</f>
        <v>2</v>
      </c>
      <c r="L989">
        <f>RAW_DATA!L989</f>
        <v>3</v>
      </c>
      <c r="M989">
        <f>RAW_DATA!M989</f>
        <v>4</v>
      </c>
      <c r="N989">
        <f t="shared" si="30"/>
        <v>0</v>
      </c>
      <c r="O989" t="str">
        <f xml:space="preserve"> VLOOKUP(A989, Lookup_Tables!$G$2:$H$6,2,TRUE)</f>
        <v>45-54</v>
      </c>
      <c r="P989" t="str">
        <f>_xlfn.XLOOKUP(J989,Lookup_Tables!$J$2:$J$4,Lookup_Tables!$K$2:$K$4, " ",-1)</f>
        <v>High</v>
      </c>
      <c r="Q989" t="str">
        <f xml:space="preserve"> _xlfn.XLOOKUP(M989, Lookup_Tables!$M$2:$M$5,Lookup_Tables!$N$2:$N$5," ", -1)</f>
        <v>Early (2-5)</v>
      </c>
      <c r="R989" s="4">
        <f t="shared" si="31"/>
        <v>2.3333333333333335</v>
      </c>
      <c r="S989" t="str">
        <f xml:space="preserve"> _xlfn.XLOOKUP( E989, Lookup_Tables!$A$2:$A$6,Lookup_Tables!$B$2:$B$6," ", -1)</f>
        <v>Bachelor</v>
      </c>
      <c r="T989" t="str">
        <f>_xlfn.XLOOKUP(G989,Lookup_Tables!$D$2:$D$5,Lookup_Tables!$E$2:$E$5)</f>
        <v>Medium</v>
      </c>
      <c r="U989" t="str">
        <f>_xlfn.XLOOKUP(H989,Lookup_Tables!$D$2:$D$5,Lookup_Tables!$E$2:$E$5)</f>
        <v>Medium</v>
      </c>
      <c r="V989" t="str">
        <f>_xlfn.XLOOKUP(L989,Lookup_Tables!$D$2:$D$5,Lookup_Tables!$E$2:$E$5)</f>
        <v>High</v>
      </c>
    </row>
    <row r="990" spans="1:22">
      <c r="A990">
        <f>RAW_DATA!A990</f>
        <v>41</v>
      </c>
      <c r="B990" t="str">
        <f>RAW_DATA!B990</f>
        <v>No</v>
      </c>
      <c r="C990" t="str">
        <f>RAW_DATA!C990</f>
        <v>Research &amp; Development</v>
      </c>
      <c r="D990">
        <f>RAW_DATA!D990</f>
        <v>22</v>
      </c>
      <c r="E990">
        <f>RAW_DATA!E990</f>
        <v>3</v>
      </c>
      <c r="F990" t="str">
        <f>RAW_DATA!F990</f>
        <v>Life Sciences</v>
      </c>
      <c r="G990">
        <f>RAW_DATA!G990</f>
        <v>4</v>
      </c>
      <c r="H990">
        <f>RAW_DATA!H990</f>
        <v>4</v>
      </c>
      <c r="I990" t="str">
        <f>RAW_DATA!I990</f>
        <v>Divorced</v>
      </c>
      <c r="J990">
        <f>RAW_DATA!J990</f>
        <v>5467</v>
      </c>
      <c r="K990">
        <f>RAW_DATA!K990</f>
        <v>3</v>
      </c>
      <c r="L990">
        <f>RAW_DATA!L990</f>
        <v>2</v>
      </c>
      <c r="M990">
        <f>RAW_DATA!M990</f>
        <v>6</v>
      </c>
      <c r="N990">
        <f t="shared" si="30"/>
        <v>0</v>
      </c>
      <c r="O990" t="str">
        <f xml:space="preserve"> VLOOKUP(A990, Lookup_Tables!$G$2:$H$6,2,TRUE)</f>
        <v>35-44</v>
      </c>
      <c r="P990" t="str">
        <f>_xlfn.XLOOKUP(J990,Lookup_Tables!$J$2:$J$4,Lookup_Tables!$K$2:$K$4, " ",-1)</f>
        <v>Medium</v>
      </c>
      <c r="Q990" t="str">
        <f xml:space="preserve"> _xlfn.XLOOKUP(M990, Lookup_Tables!$M$2:$M$5,Lookup_Tables!$N$2:$N$5," ", -1)</f>
        <v>Established (5-10)</v>
      </c>
      <c r="R990" s="4">
        <f t="shared" si="31"/>
        <v>3.3333333333333335</v>
      </c>
      <c r="S990" t="str">
        <f xml:space="preserve"> _xlfn.XLOOKUP( E990, Lookup_Tables!$A$2:$A$6,Lookup_Tables!$B$2:$B$6," ", -1)</f>
        <v>Bachelor</v>
      </c>
      <c r="T990" t="str">
        <f>_xlfn.XLOOKUP(G990,Lookup_Tables!$D$2:$D$5,Lookup_Tables!$E$2:$E$5)</f>
        <v>Very High</v>
      </c>
      <c r="U990" t="str">
        <f>_xlfn.XLOOKUP(H990,Lookup_Tables!$D$2:$D$5,Lookup_Tables!$E$2:$E$5)</f>
        <v>Very High</v>
      </c>
      <c r="V990" t="str">
        <f>_xlfn.XLOOKUP(L990,Lookup_Tables!$D$2:$D$5,Lookup_Tables!$E$2:$E$5)</f>
        <v>Medium</v>
      </c>
    </row>
    <row r="991" spans="1:22">
      <c r="A991">
        <f>RAW_DATA!A991</f>
        <v>37</v>
      </c>
      <c r="B991" t="str">
        <f>RAW_DATA!B991</f>
        <v>No</v>
      </c>
      <c r="C991" t="str">
        <f>RAW_DATA!C991</f>
        <v>Research &amp; Development</v>
      </c>
      <c r="D991">
        <f>RAW_DATA!D991</f>
        <v>4</v>
      </c>
      <c r="E991">
        <f>RAW_DATA!E991</f>
        <v>1</v>
      </c>
      <c r="F991" t="str">
        <f>RAW_DATA!F991</f>
        <v>Life Sciences</v>
      </c>
      <c r="G991">
        <f>RAW_DATA!G991</f>
        <v>3</v>
      </c>
      <c r="H991">
        <f>RAW_DATA!H991</f>
        <v>3</v>
      </c>
      <c r="I991" t="str">
        <f>RAW_DATA!I991</f>
        <v>Married</v>
      </c>
      <c r="J991">
        <f>RAW_DATA!J991</f>
        <v>2996</v>
      </c>
      <c r="K991">
        <f>RAW_DATA!K991</f>
        <v>7</v>
      </c>
      <c r="L991">
        <f>RAW_DATA!L991</f>
        <v>3</v>
      </c>
      <c r="M991">
        <f>RAW_DATA!M991</f>
        <v>6</v>
      </c>
      <c r="N991">
        <f t="shared" si="30"/>
        <v>0</v>
      </c>
      <c r="O991" t="str">
        <f xml:space="preserve"> VLOOKUP(A991, Lookup_Tables!$G$2:$H$6,2,TRUE)</f>
        <v>35-44</v>
      </c>
      <c r="P991" t="str">
        <f>_xlfn.XLOOKUP(J991,Lookup_Tables!$J$2:$J$4,Lookup_Tables!$K$2:$K$4, " ",-1)</f>
        <v>Low</v>
      </c>
      <c r="Q991" t="str">
        <f xml:space="preserve"> _xlfn.XLOOKUP(M991, Lookup_Tables!$M$2:$M$5,Lookup_Tables!$N$2:$N$5," ", -1)</f>
        <v>Established (5-10)</v>
      </c>
      <c r="R991" s="4">
        <f t="shared" si="31"/>
        <v>3</v>
      </c>
      <c r="S991" t="str">
        <f xml:space="preserve"> _xlfn.XLOOKUP( E991, Lookup_Tables!$A$2:$A$6,Lookup_Tables!$B$2:$B$6," ", -1)</f>
        <v>Below College</v>
      </c>
      <c r="T991" t="str">
        <f>_xlfn.XLOOKUP(G991,Lookup_Tables!$D$2:$D$5,Lookup_Tables!$E$2:$E$5)</f>
        <v>High</v>
      </c>
      <c r="U991" t="str">
        <f>_xlfn.XLOOKUP(H991,Lookup_Tables!$D$2:$D$5,Lookup_Tables!$E$2:$E$5)</f>
        <v>High</v>
      </c>
      <c r="V991" t="str">
        <f>_xlfn.XLOOKUP(L991,Lookup_Tables!$D$2:$D$5,Lookup_Tables!$E$2:$E$5)</f>
        <v>High</v>
      </c>
    </row>
    <row r="992" spans="1:22">
      <c r="A992">
        <f>RAW_DATA!A992</f>
        <v>33</v>
      </c>
      <c r="B992" t="str">
        <f>RAW_DATA!B992</f>
        <v>No</v>
      </c>
      <c r="C992" t="str">
        <f>RAW_DATA!C992</f>
        <v>Sales</v>
      </c>
      <c r="D992">
        <f>RAW_DATA!D992</f>
        <v>5</v>
      </c>
      <c r="E992">
        <f>RAW_DATA!E992</f>
        <v>1</v>
      </c>
      <c r="F992" t="str">
        <f>RAW_DATA!F992</f>
        <v>Life Sciences</v>
      </c>
      <c r="G992">
        <f>RAW_DATA!G992</f>
        <v>2</v>
      </c>
      <c r="H992">
        <f>RAW_DATA!H992</f>
        <v>4</v>
      </c>
      <c r="I992" t="str">
        <f>RAW_DATA!I992</f>
        <v>Married</v>
      </c>
      <c r="J992">
        <f>RAW_DATA!J992</f>
        <v>9998</v>
      </c>
      <c r="K992">
        <f>RAW_DATA!K992</f>
        <v>6</v>
      </c>
      <c r="L992">
        <f>RAW_DATA!L992</f>
        <v>4</v>
      </c>
      <c r="M992">
        <f>RAW_DATA!M992</f>
        <v>5</v>
      </c>
      <c r="N992">
        <f t="shared" si="30"/>
        <v>0</v>
      </c>
      <c r="O992" t="str">
        <f xml:space="preserve"> VLOOKUP(A992, Lookup_Tables!$G$2:$H$6,2,TRUE)</f>
        <v>25-34</v>
      </c>
      <c r="P992" t="str">
        <f>_xlfn.XLOOKUP(J992,Lookup_Tables!$J$2:$J$4,Lookup_Tables!$K$2:$K$4, " ",-1)</f>
        <v>High</v>
      </c>
      <c r="Q992" t="str">
        <f xml:space="preserve"> _xlfn.XLOOKUP(M992, Lookup_Tables!$M$2:$M$5,Lookup_Tables!$N$2:$N$5," ", -1)</f>
        <v>Established (5-10)</v>
      </c>
      <c r="R992" s="4">
        <f t="shared" si="31"/>
        <v>3.3333333333333335</v>
      </c>
      <c r="S992" t="str">
        <f xml:space="preserve"> _xlfn.XLOOKUP( E992, Lookup_Tables!$A$2:$A$6,Lookup_Tables!$B$2:$B$6," ", -1)</f>
        <v>Below College</v>
      </c>
      <c r="T992" t="str">
        <f>_xlfn.XLOOKUP(G992,Lookup_Tables!$D$2:$D$5,Lookup_Tables!$E$2:$E$5)</f>
        <v>Medium</v>
      </c>
      <c r="U992" t="str">
        <f>_xlfn.XLOOKUP(H992,Lookup_Tables!$D$2:$D$5,Lookup_Tables!$E$2:$E$5)</f>
        <v>Very High</v>
      </c>
      <c r="V992" t="str">
        <f>_xlfn.XLOOKUP(L992,Lookup_Tables!$D$2:$D$5,Lookup_Tables!$E$2:$E$5)</f>
        <v>Very High</v>
      </c>
    </row>
    <row r="993" spans="1:22">
      <c r="A993">
        <f>RAW_DATA!A993</f>
        <v>32</v>
      </c>
      <c r="B993" t="str">
        <f>RAW_DATA!B993</f>
        <v>No</v>
      </c>
      <c r="C993" t="str">
        <f>RAW_DATA!C993</f>
        <v>Sales</v>
      </c>
      <c r="D993">
        <f>RAW_DATA!D993</f>
        <v>2</v>
      </c>
      <c r="E993">
        <f>RAW_DATA!E993</f>
        <v>1</v>
      </c>
      <c r="F993" t="str">
        <f>RAW_DATA!F993</f>
        <v>Marketing</v>
      </c>
      <c r="G993">
        <f>RAW_DATA!G993</f>
        <v>3</v>
      </c>
      <c r="H993">
        <f>RAW_DATA!H993</f>
        <v>2</v>
      </c>
      <c r="I993" t="str">
        <f>RAW_DATA!I993</f>
        <v>Married</v>
      </c>
      <c r="J993">
        <f>RAW_DATA!J993</f>
        <v>4078</v>
      </c>
      <c r="K993">
        <f>RAW_DATA!K993</f>
        <v>0</v>
      </c>
      <c r="L993">
        <f>RAW_DATA!L993</f>
        <v>2</v>
      </c>
      <c r="M993">
        <f>RAW_DATA!M993</f>
        <v>3</v>
      </c>
      <c r="N993">
        <f t="shared" si="30"/>
        <v>0</v>
      </c>
      <c r="O993" t="str">
        <f xml:space="preserve"> VLOOKUP(A993, Lookup_Tables!$G$2:$H$6,2,TRUE)</f>
        <v>25-34</v>
      </c>
      <c r="P993" t="str">
        <f>_xlfn.XLOOKUP(J993,Lookup_Tables!$J$2:$J$4,Lookup_Tables!$K$2:$K$4, " ",-1)</f>
        <v>Medium</v>
      </c>
      <c r="Q993" t="str">
        <f xml:space="preserve"> _xlfn.XLOOKUP(M993, Lookup_Tables!$M$2:$M$5,Lookup_Tables!$N$2:$N$5," ", -1)</f>
        <v>Early (2-5)</v>
      </c>
      <c r="R993" s="4">
        <f t="shared" si="31"/>
        <v>2.3333333333333335</v>
      </c>
      <c r="S993" t="str">
        <f xml:space="preserve"> _xlfn.XLOOKUP( E993, Lookup_Tables!$A$2:$A$6,Lookup_Tables!$B$2:$B$6," ", -1)</f>
        <v>Below College</v>
      </c>
      <c r="T993" t="str">
        <f>_xlfn.XLOOKUP(G993,Lookup_Tables!$D$2:$D$5,Lookup_Tables!$E$2:$E$5)</f>
        <v>High</v>
      </c>
      <c r="U993" t="str">
        <f>_xlfn.XLOOKUP(H993,Lookup_Tables!$D$2:$D$5,Lookup_Tables!$E$2:$E$5)</f>
        <v>Medium</v>
      </c>
      <c r="V993" t="str">
        <f>_xlfn.XLOOKUP(L993,Lookup_Tables!$D$2:$D$5,Lookup_Tables!$E$2:$E$5)</f>
        <v>Medium</v>
      </c>
    </row>
    <row r="994" spans="1:22">
      <c r="A994">
        <f>RAW_DATA!A994</f>
        <v>39</v>
      </c>
      <c r="B994" t="str">
        <f>RAW_DATA!B994</f>
        <v>No</v>
      </c>
      <c r="C994" t="str">
        <f>RAW_DATA!C994</f>
        <v>Research &amp; Development</v>
      </c>
      <c r="D994">
        <f>RAW_DATA!D994</f>
        <v>25</v>
      </c>
      <c r="E994">
        <f>RAW_DATA!E994</f>
        <v>2</v>
      </c>
      <c r="F994" t="str">
        <f>RAW_DATA!F994</f>
        <v>Life Sciences</v>
      </c>
      <c r="G994">
        <f>RAW_DATA!G994</f>
        <v>3</v>
      </c>
      <c r="H994">
        <f>RAW_DATA!H994</f>
        <v>3</v>
      </c>
      <c r="I994" t="str">
        <f>RAW_DATA!I994</f>
        <v>Married</v>
      </c>
      <c r="J994">
        <f>RAW_DATA!J994</f>
        <v>10920</v>
      </c>
      <c r="K994">
        <f>RAW_DATA!K994</f>
        <v>3</v>
      </c>
      <c r="L994">
        <f>RAW_DATA!L994</f>
        <v>3</v>
      </c>
      <c r="M994">
        <f>RAW_DATA!M994</f>
        <v>6</v>
      </c>
      <c r="N994">
        <f t="shared" si="30"/>
        <v>0</v>
      </c>
      <c r="O994" t="str">
        <f xml:space="preserve"> VLOOKUP(A994, Lookup_Tables!$G$2:$H$6,2,TRUE)</f>
        <v>35-44</v>
      </c>
      <c r="P994" t="str">
        <f>_xlfn.XLOOKUP(J994,Lookup_Tables!$J$2:$J$4,Lookup_Tables!$K$2:$K$4, " ",-1)</f>
        <v>High</v>
      </c>
      <c r="Q994" t="str">
        <f xml:space="preserve"> _xlfn.XLOOKUP(M994, Lookup_Tables!$M$2:$M$5,Lookup_Tables!$N$2:$N$5," ", -1)</f>
        <v>Established (5-10)</v>
      </c>
      <c r="R994" s="4">
        <f t="shared" si="31"/>
        <v>3</v>
      </c>
      <c r="S994" t="str">
        <f xml:space="preserve"> _xlfn.XLOOKUP( E994, Lookup_Tables!$A$2:$A$6,Lookup_Tables!$B$2:$B$6," ", -1)</f>
        <v>College</v>
      </c>
      <c r="T994" t="str">
        <f>_xlfn.XLOOKUP(G994,Lookup_Tables!$D$2:$D$5,Lookup_Tables!$E$2:$E$5)</f>
        <v>High</v>
      </c>
      <c r="U994" t="str">
        <f>_xlfn.XLOOKUP(H994,Lookup_Tables!$D$2:$D$5,Lookup_Tables!$E$2:$E$5)</f>
        <v>High</v>
      </c>
      <c r="V994" t="str">
        <f>_xlfn.XLOOKUP(L994,Lookup_Tables!$D$2:$D$5,Lookup_Tables!$E$2:$E$5)</f>
        <v>High</v>
      </c>
    </row>
    <row r="995" spans="1:22">
      <c r="A995">
        <f>RAW_DATA!A995</f>
        <v>25</v>
      </c>
      <c r="B995" t="str">
        <f>RAW_DATA!B995</f>
        <v>No</v>
      </c>
      <c r="C995" t="str">
        <f>RAW_DATA!C995</f>
        <v>Sales</v>
      </c>
      <c r="D995">
        <f>RAW_DATA!D995</f>
        <v>18</v>
      </c>
      <c r="E995">
        <f>RAW_DATA!E995</f>
        <v>1</v>
      </c>
      <c r="F995" t="str">
        <f>RAW_DATA!F995</f>
        <v>Life Sciences</v>
      </c>
      <c r="G995">
        <f>RAW_DATA!G995</f>
        <v>1</v>
      </c>
      <c r="H995">
        <f>RAW_DATA!H995</f>
        <v>3</v>
      </c>
      <c r="I995" t="str">
        <f>RAW_DATA!I995</f>
        <v>Married</v>
      </c>
      <c r="J995">
        <f>RAW_DATA!J995</f>
        <v>6232</v>
      </c>
      <c r="K995">
        <f>RAW_DATA!K995</f>
        <v>2</v>
      </c>
      <c r="L995">
        <f>RAW_DATA!L995</f>
        <v>2</v>
      </c>
      <c r="M995">
        <f>RAW_DATA!M995</f>
        <v>3</v>
      </c>
      <c r="N995">
        <f t="shared" si="30"/>
        <v>0</v>
      </c>
      <c r="O995" t="str">
        <f xml:space="preserve"> VLOOKUP(A995, Lookup_Tables!$G$2:$H$6,2,TRUE)</f>
        <v>25-34</v>
      </c>
      <c r="P995" t="str">
        <f>_xlfn.XLOOKUP(J995,Lookup_Tables!$J$2:$J$4,Lookup_Tables!$K$2:$K$4, " ",-1)</f>
        <v>Medium</v>
      </c>
      <c r="Q995" t="str">
        <f xml:space="preserve"> _xlfn.XLOOKUP(M995, Lookup_Tables!$M$2:$M$5,Lookup_Tables!$N$2:$N$5," ", -1)</f>
        <v>Early (2-5)</v>
      </c>
      <c r="R995" s="4">
        <f t="shared" si="31"/>
        <v>2</v>
      </c>
      <c r="S995" t="str">
        <f xml:space="preserve"> _xlfn.XLOOKUP( E995, Lookup_Tables!$A$2:$A$6,Lookup_Tables!$B$2:$B$6," ", -1)</f>
        <v>Below College</v>
      </c>
      <c r="T995" t="str">
        <f>_xlfn.XLOOKUP(G995,Lookup_Tables!$D$2:$D$5,Lookup_Tables!$E$2:$E$5)</f>
        <v>Low</v>
      </c>
      <c r="U995" t="str">
        <f>_xlfn.XLOOKUP(H995,Lookup_Tables!$D$2:$D$5,Lookup_Tables!$E$2:$E$5)</f>
        <v>High</v>
      </c>
      <c r="V995" t="str">
        <f>_xlfn.XLOOKUP(L995,Lookup_Tables!$D$2:$D$5,Lookup_Tables!$E$2:$E$5)</f>
        <v>Medium</v>
      </c>
    </row>
    <row r="996" spans="1:22">
      <c r="A996">
        <f>RAW_DATA!A996</f>
        <v>52</v>
      </c>
      <c r="B996" t="str">
        <f>RAW_DATA!B996</f>
        <v>No</v>
      </c>
      <c r="C996" t="str">
        <f>RAW_DATA!C996</f>
        <v>Research &amp; Development</v>
      </c>
      <c r="D996">
        <f>RAW_DATA!D996</f>
        <v>28</v>
      </c>
      <c r="E996">
        <f>RAW_DATA!E996</f>
        <v>2</v>
      </c>
      <c r="F996" t="str">
        <f>RAW_DATA!F996</f>
        <v>Medical</v>
      </c>
      <c r="G996">
        <f>RAW_DATA!G996</f>
        <v>4</v>
      </c>
      <c r="H996">
        <f>RAW_DATA!H996</f>
        <v>3</v>
      </c>
      <c r="I996" t="str">
        <f>RAW_DATA!I996</f>
        <v>Married</v>
      </c>
      <c r="J996">
        <f>RAW_DATA!J996</f>
        <v>13247</v>
      </c>
      <c r="K996">
        <f>RAW_DATA!K996</f>
        <v>2</v>
      </c>
      <c r="L996">
        <f>RAW_DATA!L996</f>
        <v>2</v>
      </c>
      <c r="M996">
        <f>RAW_DATA!M996</f>
        <v>5</v>
      </c>
      <c r="N996">
        <f t="shared" si="30"/>
        <v>0</v>
      </c>
      <c r="O996" t="str">
        <f xml:space="preserve"> VLOOKUP(A996, Lookup_Tables!$G$2:$H$6,2,TRUE)</f>
        <v>45-54</v>
      </c>
      <c r="P996" t="str">
        <f>_xlfn.XLOOKUP(J996,Lookup_Tables!$J$2:$J$4,Lookup_Tables!$K$2:$K$4, " ",-1)</f>
        <v>High</v>
      </c>
      <c r="Q996" t="str">
        <f xml:space="preserve"> _xlfn.XLOOKUP(M996, Lookup_Tables!$M$2:$M$5,Lookup_Tables!$N$2:$N$5," ", -1)</f>
        <v>Established (5-10)</v>
      </c>
      <c r="R996" s="4">
        <f t="shared" si="31"/>
        <v>3</v>
      </c>
      <c r="S996" t="str">
        <f xml:space="preserve"> _xlfn.XLOOKUP( E996, Lookup_Tables!$A$2:$A$6,Lookup_Tables!$B$2:$B$6," ", -1)</f>
        <v>College</v>
      </c>
      <c r="T996" t="str">
        <f>_xlfn.XLOOKUP(G996,Lookup_Tables!$D$2:$D$5,Lookup_Tables!$E$2:$E$5)</f>
        <v>Very High</v>
      </c>
      <c r="U996" t="str">
        <f>_xlfn.XLOOKUP(H996,Lookup_Tables!$D$2:$D$5,Lookup_Tables!$E$2:$E$5)</f>
        <v>High</v>
      </c>
      <c r="V996" t="str">
        <f>_xlfn.XLOOKUP(L996,Lookup_Tables!$D$2:$D$5,Lookup_Tables!$E$2:$E$5)</f>
        <v>Medium</v>
      </c>
    </row>
    <row r="997" spans="1:22">
      <c r="A997">
        <f>RAW_DATA!A997</f>
        <v>43</v>
      </c>
      <c r="B997" t="str">
        <f>RAW_DATA!B997</f>
        <v>No</v>
      </c>
      <c r="C997" t="str">
        <f>RAW_DATA!C997</f>
        <v>Research &amp; Development</v>
      </c>
      <c r="D997">
        <f>RAW_DATA!D997</f>
        <v>6</v>
      </c>
      <c r="E997">
        <f>RAW_DATA!E997</f>
        <v>3</v>
      </c>
      <c r="F997" t="str">
        <f>RAW_DATA!F997</f>
        <v>Medical</v>
      </c>
      <c r="G997">
        <f>RAW_DATA!G997</f>
        <v>1</v>
      </c>
      <c r="H997">
        <f>RAW_DATA!H997</f>
        <v>3</v>
      </c>
      <c r="I997" t="str">
        <f>RAW_DATA!I997</f>
        <v>Single</v>
      </c>
      <c r="J997">
        <f>RAW_DATA!J997</f>
        <v>4081</v>
      </c>
      <c r="K997">
        <f>RAW_DATA!K997</f>
        <v>1</v>
      </c>
      <c r="L997">
        <f>RAW_DATA!L997</f>
        <v>1</v>
      </c>
      <c r="M997">
        <f>RAW_DATA!M997</f>
        <v>20</v>
      </c>
      <c r="N997">
        <f t="shared" si="30"/>
        <v>0</v>
      </c>
      <c r="O997" t="str">
        <f xml:space="preserve"> VLOOKUP(A997, Lookup_Tables!$G$2:$H$6,2,TRUE)</f>
        <v>35-44</v>
      </c>
      <c r="P997" t="str">
        <f>_xlfn.XLOOKUP(J997,Lookup_Tables!$J$2:$J$4,Lookup_Tables!$K$2:$K$4, " ",-1)</f>
        <v>Medium</v>
      </c>
      <c r="Q997" t="str">
        <f xml:space="preserve"> _xlfn.XLOOKUP(M997, Lookup_Tables!$M$2:$M$5,Lookup_Tables!$N$2:$N$5," ", -1)</f>
        <v>Veteran (10+)</v>
      </c>
      <c r="R997" s="4">
        <f t="shared" si="31"/>
        <v>1.6666666666666667</v>
      </c>
      <c r="S997" t="str">
        <f xml:space="preserve"> _xlfn.XLOOKUP( E997, Lookup_Tables!$A$2:$A$6,Lookup_Tables!$B$2:$B$6," ", -1)</f>
        <v>Bachelor</v>
      </c>
      <c r="T997" t="str">
        <f>_xlfn.XLOOKUP(G997,Lookup_Tables!$D$2:$D$5,Lookup_Tables!$E$2:$E$5)</f>
        <v>Low</v>
      </c>
      <c r="U997" t="str">
        <f>_xlfn.XLOOKUP(H997,Lookup_Tables!$D$2:$D$5,Lookup_Tables!$E$2:$E$5)</f>
        <v>High</v>
      </c>
      <c r="V997" t="str">
        <f>_xlfn.XLOOKUP(L997,Lookup_Tables!$D$2:$D$5,Lookup_Tables!$E$2:$E$5)</f>
        <v>Low</v>
      </c>
    </row>
    <row r="998" spans="1:22">
      <c r="A998">
        <f>RAW_DATA!A998</f>
        <v>27</v>
      </c>
      <c r="B998" t="str">
        <f>RAW_DATA!B998</f>
        <v>No</v>
      </c>
      <c r="C998" t="str">
        <f>RAW_DATA!C998</f>
        <v>Sales</v>
      </c>
      <c r="D998">
        <f>RAW_DATA!D998</f>
        <v>10</v>
      </c>
      <c r="E998">
        <f>RAW_DATA!E998</f>
        <v>3</v>
      </c>
      <c r="F998" t="str">
        <f>RAW_DATA!F998</f>
        <v>Marketing</v>
      </c>
      <c r="G998">
        <f>RAW_DATA!G998</f>
        <v>4</v>
      </c>
      <c r="H998">
        <f>RAW_DATA!H998</f>
        <v>4</v>
      </c>
      <c r="I998" t="str">
        <f>RAW_DATA!I998</f>
        <v>Married</v>
      </c>
      <c r="J998">
        <f>RAW_DATA!J998</f>
        <v>5769</v>
      </c>
      <c r="K998">
        <f>RAW_DATA!K998</f>
        <v>1</v>
      </c>
      <c r="L998">
        <f>RAW_DATA!L998</f>
        <v>3</v>
      </c>
      <c r="M998">
        <f>RAW_DATA!M998</f>
        <v>6</v>
      </c>
      <c r="N998">
        <f t="shared" si="30"/>
        <v>0</v>
      </c>
      <c r="O998" t="str">
        <f xml:space="preserve"> VLOOKUP(A998, Lookup_Tables!$G$2:$H$6,2,TRUE)</f>
        <v>25-34</v>
      </c>
      <c r="P998" t="str">
        <f>_xlfn.XLOOKUP(J998,Lookup_Tables!$J$2:$J$4,Lookup_Tables!$K$2:$K$4, " ",-1)</f>
        <v>Medium</v>
      </c>
      <c r="Q998" t="str">
        <f xml:space="preserve"> _xlfn.XLOOKUP(M998, Lookup_Tables!$M$2:$M$5,Lookup_Tables!$N$2:$N$5," ", -1)</f>
        <v>Established (5-10)</v>
      </c>
      <c r="R998" s="4">
        <f t="shared" si="31"/>
        <v>3.6666666666666665</v>
      </c>
      <c r="S998" t="str">
        <f xml:space="preserve"> _xlfn.XLOOKUP( E998, Lookup_Tables!$A$2:$A$6,Lookup_Tables!$B$2:$B$6," ", -1)</f>
        <v>Bachelor</v>
      </c>
      <c r="T998" t="str">
        <f>_xlfn.XLOOKUP(G998,Lookup_Tables!$D$2:$D$5,Lookup_Tables!$E$2:$E$5)</f>
        <v>Very High</v>
      </c>
      <c r="U998" t="str">
        <f>_xlfn.XLOOKUP(H998,Lookup_Tables!$D$2:$D$5,Lookup_Tables!$E$2:$E$5)</f>
        <v>Very High</v>
      </c>
      <c r="V998" t="str">
        <f>_xlfn.XLOOKUP(L998,Lookup_Tables!$D$2:$D$5,Lookup_Tables!$E$2:$E$5)</f>
        <v>High</v>
      </c>
    </row>
    <row r="999" spans="1:22">
      <c r="A999">
        <f>RAW_DATA!A999</f>
        <v>27</v>
      </c>
      <c r="B999" t="str">
        <f>RAW_DATA!B999</f>
        <v>Yes</v>
      </c>
      <c r="C999" t="str">
        <f>RAW_DATA!C999</f>
        <v>Research &amp; Development</v>
      </c>
      <c r="D999">
        <f>RAW_DATA!D999</f>
        <v>17</v>
      </c>
      <c r="E999">
        <f>RAW_DATA!E999</f>
        <v>4</v>
      </c>
      <c r="F999" t="str">
        <f>RAW_DATA!F999</f>
        <v>Life Sciences</v>
      </c>
      <c r="G999">
        <f>RAW_DATA!G999</f>
        <v>4</v>
      </c>
      <c r="H999">
        <f>RAW_DATA!H999</f>
        <v>3</v>
      </c>
      <c r="I999" t="str">
        <f>RAW_DATA!I999</f>
        <v>Single</v>
      </c>
      <c r="J999">
        <f>RAW_DATA!J999</f>
        <v>2394</v>
      </c>
      <c r="K999">
        <f>RAW_DATA!K999</f>
        <v>1</v>
      </c>
      <c r="L999">
        <f>RAW_DATA!L999</f>
        <v>3</v>
      </c>
      <c r="M999">
        <f>RAW_DATA!M999</f>
        <v>8</v>
      </c>
      <c r="N999">
        <f t="shared" si="30"/>
        <v>1</v>
      </c>
      <c r="O999" t="str">
        <f xml:space="preserve"> VLOOKUP(A999, Lookup_Tables!$G$2:$H$6,2,TRUE)</f>
        <v>25-34</v>
      </c>
      <c r="P999" t="str">
        <f>_xlfn.XLOOKUP(J999,Lookup_Tables!$J$2:$J$4,Lookup_Tables!$K$2:$K$4, " ",-1)</f>
        <v>Low</v>
      </c>
      <c r="Q999" t="str">
        <f xml:space="preserve"> _xlfn.XLOOKUP(M999, Lookup_Tables!$M$2:$M$5,Lookup_Tables!$N$2:$N$5," ", -1)</f>
        <v>Established (5-10)</v>
      </c>
      <c r="R999" s="4">
        <f t="shared" si="31"/>
        <v>3.3333333333333335</v>
      </c>
      <c r="S999" t="str">
        <f xml:space="preserve"> _xlfn.XLOOKUP( E999, Lookup_Tables!$A$2:$A$6,Lookup_Tables!$B$2:$B$6," ", -1)</f>
        <v>Master</v>
      </c>
      <c r="T999" t="str">
        <f>_xlfn.XLOOKUP(G999,Lookup_Tables!$D$2:$D$5,Lookup_Tables!$E$2:$E$5)</f>
        <v>Very High</v>
      </c>
      <c r="U999" t="str">
        <f>_xlfn.XLOOKUP(H999,Lookup_Tables!$D$2:$D$5,Lookup_Tables!$E$2:$E$5)</f>
        <v>High</v>
      </c>
      <c r="V999" t="str">
        <f>_xlfn.XLOOKUP(L999,Lookup_Tables!$D$2:$D$5,Lookup_Tables!$E$2:$E$5)</f>
        <v>High</v>
      </c>
    </row>
    <row r="1000" spans="1:22">
      <c r="A1000">
        <f>RAW_DATA!A1000</f>
        <v>26</v>
      </c>
      <c r="B1000" t="str">
        <f>RAW_DATA!B1000</f>
        <v>No</v>
      </c>
      <c r="C1000" t="str">
        <f>RAW_DATA!C1000</f>
        <v>Research &amp; Development</v>
      </c>
      <c r="D1000">
        <f>RAW_DATA!D1000</f>
        <v>2</v>
      </c>
      <c r="E1000">
        <f>RAW_DATA!E1000</f>
        <v>1</v>
      </c>
      <c r="F1000" t="str">
        <f>RAW_DATA!F1000</f>
        <v>Medical</v>
      </c>
      <c r="G1000">
        <f>RAW_DATA!G1000</f>
        <v>1</v>
      </c>
      <c r="H1000">
        <f>RAW_DATA!H1000</f>
        <v>4</v>
      </c>
      <c r="I1000" t="str">
        <f>RAW_DATA!I1000</f>
        <v>Single</v>
      </c>
      <c r="J1000">
        <f>RAW_DATA!J1000</f>
        <v>3904</v>
      </c>
      <c r="K1000">
        <f>RAW_DATA!K1000</f>
        <v>0</v>
      </c>
      <c r="L1000">
        <f>RAW_DATA!L1000</f>
        <v>3</v>
      </c>
      <c r="M1000">
        <f>RAW_DATA!M1000</f>
        <v>4</v>
      </c>
      <c r="N1000">
        <f t="shared" si="30"/>
        <v>0</v>
      </c>
      <c r="O1000" t="str">
        <f xml:space="preserve"> VLOOKUP(A1000, Lookup_Tables!$G$2:$H$6,2,TRUE)</f>
        <v>25-34</v>
      </c>
      <c r="P1000" t="str">
        <f>_xlfn.XLOOKUP(J1000,Lookup_Tables!$J$2:$J$4,Lookup_Tables!$K$2:$K$4, " ",-1)</f>
        <v>Medium</v>
      </c>
      <c r="Q1000" t="str">
        <f xml:space="preserve"> _xlfn.XLOOKUP(M1000, Lookup_Tables!$M$2:$M$5,Lookup_Tables!$N$2:$N$5," ", -1)</f>
        <v>Early (2-5)</v>
      </c>
      <c r="R1000" s="4">
        <f t="shared" si="31"/>
        <v>2.6666666666666665</v>
      </c>
      <c r="S1000" t="str">
        <f xml:space="preserve"> _xlfn.XLOOKUP( E1000, Lookup_Tables!$A$2:$A$6,Lookup_Tables!$B$2:$B$6," ", -1)</f>
        <v>Below College</v>
      </c>
      <c r="T1000" t="str">
        <f>_xlfn.XLOOKUP(G1000,Lookup_Tables!$D$2:$D$5,Lookup_Tables!$E$2:$E$5)</f>
        <v>Low</v>
      </c>
      <c r="U1000" t="str">
        <f>_xlfn.XLOOKUP(H1000,Lookup_Tables!$D$2:$D$5,Lookup_Tables!$E$2:$E$5)</f>
        <v>Very High</v>
      </c>
      <c r="V1000" t="str">
        <f>_xlfn.XLOOKUP(L1000,Lookup_Tables!$D$2:$D$5,Lookup_Tables!$E$2:$E$5)</f>
        <v>High</v>
      </c>
    </row>
    <row r="1001" spans="1:22">
      <c r="A1001">
        <f>RAW_DATA!A1001</f>
        <v>42</v>
      </c>
      <c r="B1001" t="str">
        <f>RAW_DATA!B1001</f>
        <v>No</v>
      </c>
      <c r="C1001" t="str">
        <f>RAW_DATA!C1001</f>
        <v>Human Resources</v>
      </c>
      <c r="D1001">
        <f>RAW_DATA!D1001</f>
        <v>10</v>
      </c>
      <c r="E1001">
        <f>RAW_DATA!E1001</f>
        <v>3</v>
      </c>
      <c r="F1001" t="str">
        <f>RAW_DATA!F1001</f>
        <v>Human Resources</v>
      </c>
      <c r="G1001">
        <f>RAW_DATA!G1001</f>
        <v>3</v>
      </c>
      <c r="H1001">
        <f>RAW_DATA!H1001</f>
        <v>1</v>
      </c>
      <c r="I1001" t="str">
        <f>RAW_DATA!I1001</f>
        <v>Married</v>
      </c>
      <c r="J1001">
        <f>RAW_DATA!J1001</f>
        <v>16799</v>
      </c>
      <c r="K1001">
        <f>RAW_DATA!K1001</f>
        <v>0</v>
      </c>
      <c r="L1001">
        <f>RAW_DATA!L1001</f>
        <v>3</v>
      </c>
      <c r="M1001">
        <f>RAW_DATA!M1001</f>
        <v>20</v>
      </c>
      <c r="N1001">
        <f t="shared" si="30"/>
        <v>0</v>
      </c>
      <c r="O1001" t="str">
        <f xml:space="preserve"> VLOOKUP(A1001, Lookup_Tables!$G$2:$H$6,2,TRUE)</f>
        <v>35-44</v>
      </c>
      <c r="P1001" t="str">
        <f>_xlfn.XLOOKUP(J1001,Lookup_Tables!$J$2:$J$4,Lookup_Tables!$K$2:$K$4, " ",-1)</f>
        <v>High</v>
      </c>
      <c r="Q1001" t="str">
        <f xml:space="preserve"> _xlfn.XLOOKUP(M1001, Lookup_Tables!$M$2:$M$5,Lookup_Tables!$N$2:$N$5," ", -1)</f>
        <v>Veteran (10+)</v>
      </c>
      <c r="R1001" s="4">
        <f t="shared" si="31"/>
        <v>2.3333333333333335</v>
      </c>
      <c r="S1001" t="str">
        <f xml:space="preserve"> _xlfn.XLOOKUP( E1001, Lookup_Tables!$A$2:$A$6,Lookup_Tables!$B$2:$B$6," ", -1)</f>
        <v>Bachelor</v>
      </c>
      <c r="T1001" t="str">
        <f>_xlfn.XLOOKUP(G1001,Lookup_Tables!$D$2:$D$5,Lookup_Tables!$E$2:$E$5)</f>
        <v>High</v>
      </c>
      <c r="U1001" t="str">
        <f>_xlfn.XLOOKUP(H1001,Lookup_Tables!$D$2:$D$5,Lookup_Tables!$E$2:$E$5)</f>
        <v>Low</v>
      </c>
      <c r="V1001" t="str">
        <f>_xlfn.XLOOKUP(L1001,Lookup_Tables!$D$2:$D$5,Lookup_Tables!$E$2:$E$5)</f>
        <v>High</v>
      </c>
    </row>
    <row r="1002" spans="1:22">
      <c r="A1002">
        <f>RAW_DATA!A1002</f>
        <v>52</v>
      </c>
      <c r="B1002" t="str">
        <f>RAW_DATA!B1002</f>
        <v>No</v>
      </c>
      <c r="C1002" t="str">
        <f>RAW_DATA!C1002</f>
        <v>Research &amp; Development</v>
      </c>
      <c r="D1002">
        <f>RAW_DATA!D1002</f>
        <v>8</v>
      </c>
      <c r="E1002">
        <f>RAW_DATA!E1002</f>
        <v>4</v>
      </c>
      <c r="F1002" t="str">
        <f>RAW_DATA!F1002</f>
        <v>Other</v>
      </c>
      <c r="G1002">
        <f>RAW_DATA!G1002</f>
        <v>3</v>
      </c>
      <c r="H1002">
        <f>RAW_DATA!H1002</f>
        <v>1</v>
      </c>
      <c r="I1002" t="str">
        <f>RAW_DATA!I1002</f>
        <v>Married</v>
      </c>
      <c r="J1002">
        <f>RAW_DATA!J1002</f>
        <v>2950</v>
      </c>
      <c r="K1002">
        <f>RAW_DATA!K1002</f>
        <v>9</v>
      </c>
      <c r="L1002">
        <f>RAW_DATA!L1002</f>
        <v>1</v>
      </c>
      <c r="M1002">
        <f>RAW_DATA!M1002</f>
        <v>5</v>
      </c>
      <c r="N1002">
        <f t="shared" si="30"/>
        <v>0</v>
      </c>
      <c r="O1002" t="str">
        <f xml:space="preserve"> VLOOKUP(A1002, Lookup_Tables!$G$2:$H$6,2,TRUE)</f>
        <v>45-54</v>
      </c>
      <c r="P1002" t="str">
        <f>_xlfn.XLOOKUP(J1002,Lookup_Tables!$J$2:$J$4,Lookup_Tables!$K$2:$K$4, " ",-1)</f>
        <v>Low</v>
      </c>
      <c r="Q1002" t="str">
        <f xml:space="preserve"> _xlfn.XLOOKUP(M1002, Lookup_Tables!$M$2:$M$5,Lookup_Tables!$N$2:$N$5," ", -1)</f>
        <v>Established (5-10)</v>
      </c>
      <c r="R1002" s="4">
        <f t="shared" si="31"/>
        <v>1.6666666666666667</v>
      </c>
      <c r="S1002" t="str">
        <f xml:space="preserve"> _xlfn.XLOOKUP( E1002, Lookup_Tables!$A$2:$A$6,Lookup_Tables!$B$2:$B$6," ", -1)</f>
        <v>Master</v>
      </c>
      <c r="T1002" t="str">
        <f>_xlfn.XLOOKUP(G1002,Lookup_Tables!$D$2:$D$5,Lookup_Tables!$E$2:$E$5)</f>
        <v>High</v>
      </c>
      <c r="U1002" t="str">
        <f>_xlfn.XLOOKUP(H1002,Lookup_Tables!$D$2:$D$5,Lookup_Tables!$E$2:$E$5)</f>
        <v>Low</v>
      </c>
      <c r="V1002" t="str">
        <f>_xlfn.XLOOKUP(L1002,Lookup_Tables!$D$2:$D$5,Lookup_Tables!$E$2:$E$5)</f>
        <v>Low</v>
      </c>
    </row>
    <row r="1003" spans="1:22">
      <c r="A1003">
        <f>RAW_DATA!A1003</f>
        <v>37</v>
      </c>
      <c r="B1003" t="str">
        <f>RAW_DATA!B1003</f>
        <v>No</v>
      </c>
      <c r="C1003" t="str">
        <f>RAW_DATA!C1003</f>
        <v>Research &amp; Development</v>
      </c>
      <c r="D1003">
        <f>RAW_DATA!D1003</f>
        <v>11</v>
      </c>
      <c r="E1003">
        <f>RAW_DATA!E1003</f>
        <v>3</v>
      </c>
      <c r="F1003" t="str">
        <f>RAW_DATA!F1003</f>
        <v>Medical</v>
      </c>
      <c r="G1003">
        <f>RAW_DATA!G1003</f>
        <v>1</v>
      </c>
      <c r="H1003">
        <f>RAW_DATA!H1003</f>
        <v>3</v>
      </c>
      <c r="I1003" t="str">
        <f>RAW_DATA!I1003</f>
        <v>Single</v>
      </c>
      <c r="J1003">
        <f>RAW_DATA!J1003</f>
        <v>3629</v>
      </c>
      <c r="K1003">
        <f>RAW_DATA!K1003</f>
        <v>4</v>
      </c>
      <c r="L1003">
        <f>RAW_DATA!L1003</f>
        <v>3</v>
      </c>
      <c r="M1003">
        <f>RAW_DATA!M1003</f>
        <v>3</v>
      </c>
      <c r="N1003">
        <f t="shared" si="30"/>
        <v>0</v>
      </c>
      <c r="O1003" t="str">
        <f xml:space="preserve"> VLOOKUP(A1003, Lookup_Tables!$G$2:$H$6,2,TRUE)</f>
        <v>35-44</v>
      </c>
      <c r="P1003" t="str">
        <f>_xlfn.XLOOKUP(J1003,Lookup_Tables!$J$2:$J$4,Lookup_Tables!$K$2:$K$4, " ",-1)</f>
        <v>Medium</v>
      </c>
      <c r="Q1003" t="str">
        <f xml:space="preserve"> _xlfn.XLOOKUP(M1003, Lookup_Tables!$M$2:$M$5,Lookup_Tables!$N$2:$N$5," ", -1)</f>
        <v>Early (2-5)</v>
      </c>
      <c r="R1003" s="4">
        <f t="shared" si="31"/>
        <v>2.3333333333333335</v>
      </c>
      <c r="S1003" t="str">
        <f xml:space="preserve"> _xlfn.XLOOKUP( E1003, Lookup_Tables!$A$2:$A$6,Lookup_Tables!$B$2:$B$6," ", -1)</f>
        <v>Bachelor</v>
      </c>
      <c r="T1003" t="str">
        <f>_xlfn.XLOOKUP(G1003,Lookup_Tables!$D$2:$D$5,Lookup_Tables!$E$2:$E$5)</f>
        <v>Low</v>
      </c>
      <c r="U1003" t="str">
        <f>_xlfn.XLOOKUP(H1003,Lookup_Tables!$D$2:$D$5,Lookup_Tables!$E$2:$E$5)</f>
        <v>High</v>
      </c>
      <c r="V1003" t="str">
        <f>_xlfn.XLOOKUP(L1003,Lookup_Tables!$D$2:$D$5,Lookup_Tables!$E$2:$E$5)</f>
        <v>High</v>
      </c>
    </row>
    <row r="1004" spans="1:22">
      <c r="A1004">
        <f>RAW_DATA!A1004</f>
        <v>35</v>
      </c>
      <c r="B1004" t="str">
        <f>RAW_DATA!B1004</f>
        <v>No</v>
      </c>
      <c r="C1004" t="str">
        <f>RAW_DATA!C1004</f>
        <v>Research &amp; Development</v>
      </c>
      <c r="D1004">
        <f>RAW_DATA!D1004</f>
        <v>18</v>
      </c>
      <c r="E1004">
        <f>RAW_DATA!E1004</f>
        <v>2</v>
      </c>
      <c r="F1004" t="str">
        <f>RAW_DATA!F1004</f>
        <v>Life Sciences</v>
      </c>
      <c r="G1004">
        <f>RAW_DATA!G1004</f>
        <v>3</v>
      </c>
      <c r="H1004">
        <f>RAW_DATA!H1004</f>
        <v>4</v>
      </c>
      <c r="I1004" t="str">
        <f>RAW_DATA!I1004</f>
        <v>Single</v>
      </c>
      <c r="J1004">
        <f>RAW_DATA!J1004</f>
        <v>9362</v>
      </c>
      <c r="K1004">
        <f>RAW_DATA!K1004</f>
        <v>2</v>
      </c>
      <c r="L1004">
        <f>RAW_DATA!L1004</f>
        <v>3</v>
      </c>
      <c r="M1004">
        <f>RAW_DATA!M1004</f>
        <v>2</v>
      </c>
      <c r="N1004">
        <f t="shared" si="30"/>
        <v>0</v>
      </c>
      <c r="O1004" t="str">
        <f xml:space="preserve"> VLOOKUP(A1004, Lookup_Tables!$G$2:$H$6,2,TRUE)</f>
        <v>35-44</v>
      </c>
      <c r="P1004" t="str">
        <f>_xlfn.XLOOKUP(J1004,Lookup_Tables!$J$2:$J$4,Lookup_Tables!$K$2:$K$4, " ",-1)</f>
        <v>High</v>
      </c>
      <c r="Q1004" t="str">
        <f xml:space="preserve"> _xlfn.XLOOKUP(M1004, Lookup_Tables!$M$2:$M$5,Lookup_Tables!$N$2:$N$5," ", -1)</f>
        <v>Early (2-5)</v>
      </c>
      <c r="R1004" s="4">
        <f t="shared" si="31"/>
        <v>3.3333333333333335</v>
      </c>
      <c r="S1004" t="str">
        <f xml:space="preserve"> _xlfn.XLOOKUP( E1004, Lookup_Tables!$A$2:$A$6,Lookup_Tables!$B$2:$B$6," ", -1)</f>
        <v>College</v>
      </c>
      <c r="T1004" t="str">
        <f>_xlfn.XLOOKUP(G1004,Lookup_Tables!$D$2:$D$5,Lookup_Tables!$E$2:$E$5)</f>
        <v>High</v>
      </c>
      <c r="U1004" t="str">
        <f>_xlfn.XLOOKUP(H1004,Lookup_Tables!$D$2:$D$5,Lookup_Tables!$E$2:$E$5)</f>
        <v>Very High</v>
      </c>
      <c r="V1004" t="str">
        <f>_xlfn.XLOOKUP(L1004,Lookup_Tables!$D$2:$D$5,Lookup_Tables!$E$2:$E$5)</f>
        <v>High</v>
      </c>
    </row>
    <row r="1005" spans="1:22">
      <c r="A1005">
        <f>RAW_DATA!A1005</f>
        <v>25</v>
      </c>
      <c r="B1005" t="str">
        <f>RAW_DATA!B1005</f>
        <v>No</v>
      </c>
      <c r="C1005" t="str">
        <f>RAW_DATA!C1005</f>
        <v>Research &amp; Development</v>
      </c>
      <c r="D1005">
        <f>RAW_DATA!D1005</f>
        <v>1</v>
      </c>
      <c r="E1005">
        <f>RAW_DATA!E1005</f>
        <v>3</v>
      </c>
      <c r="F1005" t="str">
        <f>RAW_DATA!F1005</f>
        <v>Technical Degree</v>
      </c>
      <c r="G1005">
        <f>RAW_DATA!G1005</f>
        <v>1</v>
      </c>
      <c r="H1005">
        <f>RAW_DATA!H1005</f>
        <v>4</v>
      </c>
      <c r="I1005" t="str">
        <f>RAW_DATA!I1005</f>
        <v>Married</v>
      </c>
      <c r="J1005">
        <f>RAW_DATA!J1005</f>
        <v>3229</v>
      </c>
      <c r="K1005">
        <f>RAW_DATA!K1005</f>
        <v>4</v>
      </c>
      <c r="L1005">
        <f>RAW_DATA!L1005</f>
        <v>2</v>
      </c>
      <c r="M1005">
        <f>RAW_DATA!M1005</f>
        <v>3</v>
      </c>
      <c r="N1005">
        <f t="shared" si="30"/>
        <v>0</v>
      </c>
      <c r="O1005" t="str">
        <f xml:space="preserve"> VLOOKUP(A1005, Lookup_Tables!$G$2:$H$6,2,TRUE)</f>
        <v>25-34</v>
      </c>
      <c r="P1005" t="str">
        <f>_xlfn.XLOOKUP(J1005,Lookup_Tables!$J$2:$J$4,Lookup_Tables!$K$2:$K$4, " ",-1)</f>
        <v>Medium</v>
      </c>
      <c r="Q1005" t="str">
        <f xml:space="preserve"> _xlfn.XLOOKUP(M1005, Lookup_Tables!$M$2:$M$5,Lookup_Tables!$N$2:$N$5," ", -1)</f>
        <v>Early (2-5)</v>
      </c>
      <c r="R1005" s="4">
        <f t="shared" si="31"/>
        <v>2.3333333333333335</v>
      </c>
      <c r="S1005" t="str">
        <f xml:space="preserve"> _xlfn.XLOOKUP( E1005, Lookup_Tables!$A$2:$A$6,Lookup_Tables!$B$2:$B$6," ", -1)</f>
        <v>Bachelor</v>
      </c>
      <c r="T1005" t="str">
        <f>_xlfn.XLOOKUP(G1005,Lookup_Tables!$D$2:$D$5,Lookup_Tables!$E$2:$E$5)</f>
        <v>Low</v>
      </c>
      <c r="U1005" t="str">
        <f>_xlfn.XLOOKUP(H1005,Lookup_Tables!$D$2:$D$5,Lookup_Tables!$E$2:$E$5)</f>
        <v>Very High</v>
      </c>
      <c r="V1005" t="str">
        <f>_xlfn.XLOOKUP(L1005,Lookup_Tables!$D$2:$D$5,Lookup_Tables!$E$2:$E$5)</f>
        <v>Medium</v>
      </c>
    </row>
    <row r="1006" spans="1:22">
      <c r="A1006">
        <f>RAW_DATA!A1006</f>
        <v>26</v>
      </c>
      <c r="B1006" t="str">
        <f>RAW_DATA!B1006</f>
        <v>No</v>
      </c>
      <c r="C1006" t="str">
        <f>RAW_DATA!C1006</f>
        <v>Research &amp; Development</v>
      </c>
      <c r="D1006">
        <f>RAW_DATA!D1006</f>
        <v>7</v>
      </c>
      <c r="E1006">
        <f>RAW_DATA!E1006</f>
        <v>3</v>
      </c>
      <c r="F1006" t="str">
        <f>RAW_DATA!F1006</f>
        <v>Other</v>
      </c>
      <c r="G1006">
        <f>RAW_DATA!G1006</f>
        <v>3</v>
      </c>
      <c r="H1006">
        <f>RAW_DATA!H1006</f>
        <v>1</v>
      </c>
      <c r="I1006" t="str">
        <f>RAW_DATA!I1006</f>
        <v>Single</v>
      </c>
      <c r="J1006">
        <f>RAW_DATA!J1006</f>
        <v>3578</v>
      </c>
      <c r="K1006">
        <f>RAW_DATA!K1006</f>
        <v>0</v>
      </c>
      <c r="L1006">
        <f>RAW_DATA!L1006</f>
        <v>3</v>
      </c>
      <c r="M1006">
        <f>RAW_DATA!M1006</f>
        <v>7</v>
      </c>
      <c r="N1006">
        <f t="shared" si="30"/>
        <v>0</v>
      </c>
      <c r="O1006" t="str">
        <f xml:space="preserve"> VLOOKUP(A1006, Lookup_Tables!$G$2:$H$6,2,TRUE)</f>
        <v>25-34</v>
      </c>
      <c r="P1006" t="str">
        <f>_xlfn.XLOOKUP(J1006,Lookup_Tables!$J$2:$J$4,Lookup_Tables!$K$2:$K$4, " ",-1)</f>
        <v>Medium</v>
      </c>
      <c r="Q1006" t="str">
        <f xml:space="preserve"> _xlfn.XLOOKUP(M1006, Lookup_Tables!$M$2:$M$5,Lookup_Tables!$N$2:$N$5," ", -1)</f>
        <v>Established (5-10)</v>
      </c>
      <c r="R1006" s="4">
        <f t="shared" si="31"/>
        <v>2.3333333333333335</v>
      </c>
      <c r="S1006" t="str">
        <f xml:space="preserve"> _xlfn.XLOOKUP( E1006, Lookup_Tables!$A$2:$A$6,Lookup_Tables!$B$2:$B$6," ", -1)</f>
        <v>Bachelor</v>
      </c>
      <c r="T1006" t="str">
        <f>_xlfn.XLOOKUP(G1006,Lookup_Tables!$D$2:$D$5,Lookup_Tables!$E$2:$E$5)</f>
        <v>High</v>
      </c>
      <c r="U1006" t="str">
        <f>_xlfn.XLOOKUP(H1006,Lookup_Tables!$D$2:$D$5,Lookup_Tables!$E$2:$E$5)</f>
        <v>Low</v>
      </c>
      <c r="V1006" t="str">
        <f>_xlfn.XLOOKUP(L1006,Lookup_Tables!$D$2:$D$5,Lookup_Tables!$E$2:$E$5)</f>
        <v>High</v>
      </c>
    </row>
    <row r="1007" spans="1:22">
      <c r="A1007">
        <f>RAW_DATA!A1007</f>
        <v>29</v>
      </c>
      <c r="B1007" t="str">
        <f>RAW_DATA!B1007</f>
        <v>No</v>
      </c>
      <c r="C1007" t="str">
        <f>RAW_DATA!C1007</f>
        <v>Human Resources</v>
      </c>
      <c r="D1007">
        <f>RAW_DATA!D1007</f>
        <v>17</v>
      </c>
      <c r="E1007">
        <f>RAW_DATA!E1007</f>
        <v>3</v>
      </c>
      <c r="F1007" t="str">
        <f>RAW_DATA!F1007</f>
        <v>Other</v>
      </c>
      <c r="G1007">
        <f>RAW_DATA!G1007</f>
        <v>2</v>
      </c>
      <c r="H1007">
        <f>RAW_DATA!H1007</f>
        <v>1</v>
      </c>
      <c r="I1007" t="str">
        <f>RAW_DATA!I1007</f>
        <v>Single</v>
      </c>
      <c r="J1007">
        <f>RAW_DATA!J1007</f>
        <v>7988</v>
      </c>
      <c r="K1007">
        <f>RAW_DATA!K1007</f>
        <v>1</v>
      </c>
      <c r="L1007">
        <f>RAW_DATA!L1007</f>
        <v>2</v>
      </c>
      <c r="M1007">
        <f>RAW_DATA!M1007</f>
        <v>10</v>
      </c>
      <c r="N1007">
        <f t="shared" si="30"/>
        <v>0</v>
      </c>
      <c r="O1007" t="str">
        <f xml:space="preserve"> VLOOKUP(A1007, Lookup_Tables!$G$2:$H$6,2,TRUE)</f>
        <v>25-34</v>
      </c>
      <c r="P1007" t="str">
        <f>_xlfn.XLOOKUP(J1007,Lookup_Tables!$J$2:$J$4,Lookup_Tables!$K$2:$K$4, " ",-1)</f>
        <v>High</v>
      </c>
      <c r="Q1007" t="str">
        <f xml:space="preserve"> _xlfn.XLOOKUP(M1007, Lookup_Tables!$M$2:$M$5,Lookup_Tables!$N$2:$N$5," ", -1)</f>
        <v>Veteran (10+)</v>
      </c>
      <c r="R1007" s="4">
        <f t="shared" si="31"/>
        <v>1.6666666666666667</v>
      </c>
      <c r="S1007" t="str">
        <f xml:space="preserve"> _xlfn.XLOOKUP( E1007, Lookup_Tables!$A$2:$A$6,Lookup_Tables!$B$2:$B$6," ", -1)</f>
        <v>Bachelor</v>
      </c>
      <c r="T1007" t="str">
        <f>_xlfn.XLOOKUP(G1007,Lookup_Tables!$D$2:$D$5,Lookup_Tables!$E$2:$E$5)</f>
        <v>Medium</v>
      </c>
      <c r="U1007" t="str">
        <f>_xlfn.XLOOKUP(H1007,Lookup_Tables!$D$2:$D$5,Lookup_Tables!$E$2:$E$5)</f>
        <v>Low</v>
      </c>
      <c r="V1007" t="str">
        <f>_xlfn.XLOOKUP(L1007,Lookup_Tables!$D$2:$D$5,Lookup_Tables!$E$2:$E$5)</f>
        <v>Medium</v>
      </c>
    </row>
    <row r="1008" spans="1:22">
      <c r="A1008">
        <f>RAW_DATA!A1008</f>
        <v>49</v>
      </c>
      <c r="B1008" t="str">
        <f>RAW_DATA!B1008</f>
        <v>Yes</v>
      </c>
      <c r="C1008" t="str">
        <f>RAW_DATA!C1008</f>
        <v>Research &amp; Development</v>
      </c>
      <c r="D1008">
        <f>RAW_DATA!D1008</f>
        <v>28</v>
      </c>
      <c r="E1008">
        <f>RAW_DATA!E1008</f>
        <v>2</v>
      </c>
      <c r="F1008" t="str">
        <f>RAW_DATA!F1008</f>
        <v>Life Sciences</v>
      </c>
      <c r="G1008">
        <f>RAW_DATA!G1008</f>
        <v>1</v>
      </c>
      <c r="H1008">
        <f>RAW_DATA!H1008</f>
        <v>1</v>
      </c>
      <c r="I1008" t="str">
        <f>RAW_DATA!I1008</f>
        <v>Single</v>
      </c>
      <c r="J1008">
        <f>RAW_DATA!J1008</f>
        <v>4284</v>
      </c>
      <c r="K1008">
        <f>RAW_DATA!K1008</f>
        <v>3</v>
      </c>
      <c r="L1008">
        <f>RAW_DATA!L1008</f>
        <v>3</v>
      </c>
      <c r="M1008">
        <f>RAW_DATA!M1008</f>
        <v>4</v>
      </c>
      <c r="N1008">
        <f t="shared" si="30"/>
        <v>1</v>
      </c>
      <c r="O1008" t="str">
        <f xml:space="preserve"> VLOOKUP(A1008, Lookup_Tables!$G$2:$H$6,2,TRUE)</f>
        <v>45-54</v>
      </c>
      <c r="P1008" t="str">
        <f>_xlfn.XLOOKUP(J1008,Lookup_Tables!$J$2:$J$4,Lookup_Tables!$K$2:$K$4, " ",-1)</f>
        <v>Medium</v>
      </c>
      <c r="Q1008" t="str">
        <f xml:space="preserve"> _xlfn.XLOOKUP(M1008, Lookup_Tables!$M$2:$M$5,Lookup_Tables!$N$2:$N$5," ", -1)</f>
        <v>Early (2-5)</v>
      </c>
      <c r="R1008" s="4">
        <f t="shared" si="31"/>
        <v>1.6666666666666667</v>
      </c>
      <c r="S1008" t="str">
        <f xml:space="preserve"> _xlfn.XLOOKUP( E1008, Lookup_Tables!$A$2:$A$6,Lookup_Tables!$B$2:$B$6," ", -1)</f>
        <v>College</v>
      </c>
      <c r="T1008" t="str">
        <f>_xlfn.XLOOKUP(G1008,Lookup_Tables!$D$2:$D$5,Lookup_Tables!$E$2:$E$5)</f>
        <v>Low</v>
      </c>
      <c r="U1008" t="str">
        <f>_xlfn.XLOOKUP(H1008,Lookup_Tables!$D$2:$D$5,Lookup_Tables!$E$2:$E$5)</f>
        <v>Low</v>
      </c>
      <c r="V1008" t="str">
        <f>_xlfn.XLOOKUP(L1008,Lookup_Tables!$D$2:$D$5,Lookup_Tables!$E$2:$E$5)</f>
        <v>High</v>
      </c>
    </row>
    <row r="1009" spans="1:22">
      <c r="A1009">
        <f>RAW_DATA!A1009</f>
        <v>29</v>
      </c>
      <c r="B1009" t="str">
        <f>RAW_DATA!B1009</f>
        <v>Yes</v>
      </c>
      <c r="C1009" t="str">
        <f>RAW_DATA!C1009</f>
        <v>Research &amp; Development</v>
      </c>
      <c r="D1009">
        <f>RAW_DATA!D1009</f>
        <v>14</v>
      </c>
      <c r="E1009">
        <f>RAW_DATA!E1009</f>
        <v>1</v>
      </c>
      <c r="F1009" t="str">
        <f>RAW_DATA!F1009</f>
        <v>Other</v>
      </c>
      <c r="G1009">
        <f>RAW_DATA!G1009</f>
        <v>3</v>
      </c>
      <c r="H1009">
        <f>RAW_DATA!H1009</f>
        <v>4</v>
      </c>
      <c r="I1009" t="str">
        <f>RAW_DATA!I1009</f>
        <v>Single</v>
      </c>
      <c r="J1009">
        <f>RAW_DATA!J1009</f>
        <v>7553</v>
      </c>
      <c r="K1009">
        <f>RAW_DATA!K1009</f>
        <v>0</v>
      </c>
      <c r="L1009">
        <f>RAW_DATA!L1009</f>
        <v>3</v>
      </c>
      <c r="M1009">
        <f>RAW_DATA!M1009</f>
        <v>8</v>
      </c>
      <c r="N1009">
        <f t="shared" si="30"/>
        <v>1</v>
      </c>
      <c r="O1009" t="str">
        <f xml:space="preserve"> VLOOKUP(A1009, Lookup_Tables!$G$2:$H$6,2,TRUE)</f>
        <v>25-34</v>
      </c>
      <c r="P1009" t="str">
        <f>_xlfn.XLOOKUP(J1009,Lookup_Tables!$J$2:$J$4,Lookup_Tables!$K$2:$K$4, " ",-1)</f>
        <v>High</v>
      </c>
      <c r="Q1009" t="str">
        <f xml:space="preserve"> _xlfn.XLOOKUP(M1009, Lookup_Tables!$M$2:$M$5,Lookup_Tables!$N$2:$N$5," ", -1)</f>
        <v>Established (5-10)</v>
      </c>
      <c r="R1009" s="4">
        <f t="shared" si="31"/>
        <v>3.3333333333333335</v>
      </c>
      <c r="S1009" t="str">
        <f xml:space="preserve"> _xlfn.XLOOKUP( E1009, Lookup_Tables!$A$2:$A$6,Lookup_Tables!$B$2:$B$6," ", -1)</f>
        <v>Below College</v>
      </c>
      <c r="T1009" t="str">
        <f>_xlfn.XLOOKUP(G1009,Lookup_Tables!$D$2:$D$5,Lookup_Tables!$E$2:$E$5)</f>
        <v>High</v>
      </c>
      <c r="U1009" t="str">
        <f>_xlfn.XLOOKUP(H1009,Lookup_Tables!$D$2:$D$5,Lookup_Tables!$E$2:$E$5)</f>
        <v>Very High</v>
      </c>
      <c r="V1009" t="str">
        <f>_xlfn.XLOOKUP(L1009,Lookup_Tables!$D$2:$D$5,Lookup_Tables!$E$2:$E$5)</f>
        <v>High</v>
      </c>
    </row>
    <row r="1010" spans="1:22">
      <c r="A1010">
        <f>RAW_DATA!A1010</f>
        <v>54</v>
      </c>
      <c r="B1010" t="str">
        <f>RAW_DATA!B1010</f>
        <v>No</v>
      </c>
      <c r="C1010" t="str">
        <f>RAW_DATA!C1010</f>
        <v>Research &amp; Development</v>
      </c>
      <c r="D1010">
        <f>RAW_DATA!D1010</f>
        <v>1</v>
      </c>
      <c r="E1010">
        <f>RAW_DATA!E1010</f>
        <v>3</v>
      </c>
      <c r="F1010" t="str">
        <f>RAW_DATA!F1010</f>
        <v>Medical</v>
      </c>
      <c r="G1010">
        <f>RAW_DATA!G1010</f>
        <v>4</v>
      </c>
      <c r="H1010">
        <f>RAW_DATA!H1010</f>
        <v>4</v>
      </c>
      <c r="I1010" t="str">
        <f>RAW_DATA!I1010</f>
        <v>Single</v>
      </c>
      <c r="J1010">
        <f>RAW_DATA!J1010</f>
        <v>17328</v>
      </c>
      <c r="K1010">
        <f>RAW_DATA!K1010</f>
        <v>6</v>
      </c>
      <c r="L1010">
        <f>RAW_DATA!L1010</f>
        <v>2</v>
      </c>
      <c r="M1010">
        <f>RAW_DATA!M1010</f>
        <v>20</v>
      </c>
      <c r="N1010">
        <f t="shared" si="30"/>
        <v>0</v>
      </c>
      <c r="O1010" t="str">
        <f xml:space="preserve"> VLOOKUP(A1010, Lookup_Tables!$G$2:$H$6,2,TRUE)</f>
        <v>45-54</v>
      </c>
      <c r="P1010" t="str">
        <f>_xlfn.XLOOKUP(J1010,Lookup_Tables!$J$2:$J$4,Lookup_Tables!$K$2:$K$4, " ",-1)</f>
        <v>High</v>
      </c>
      <c r="Q1010" t="str">
        <f xml:space="preserve"> _xlfn.XLOOKUP(M1010, Lookup_Tables!$M$2:$M$5,Lookup_Tables!$N$2:$N$5," ", -1)</f>
        <v>Veteran (10+)</v>
      </c>
      <c r="R1010" s="4">
        <f t="shared" si="31"/>
        <v>3.3333333333333335</v>
      </c>
      <c r="S1010" t="str">
        <f xml:space="preserve"> _xlfn.XLOOKUP( E1010, Lookup_Tables!$A$2:$A$6,Lookup_Tables!$B$2:$B$6," ", -1)</f>
        <v>Bachelor</v>
      </c>
      <c r="T1010" t="str">
        <f>_xlfn.XLOOKUP(G1010,Lookup_Tables!$D$2:$D$5,Lookup_Tables!$E$2:$E$5)</f>
        <v>Very High</v>
      </c>
      <c r="U1010" t="str">
        <f>_xlfn.XLOOKUP(H1010,Lookup_Tables!$D$2:$D$5,Lookup_Tables!$E$2:$E$5)</f>
        <v>Very High</v>
      </c>
      <c r="V1010" t="str">
        <f>_xlfn.XLOOKUP(L1010,Lookup_Tables!$D$2:$D$5,Lookup_Tables!$E$2:$E$5)</f>
        <v>Medium</v>
      </c>
    </row>
    <row r="1011" spans="1:22">
      <c r="A1011">
        <f>RAW_DATA!A1011</f>
        <v>58</v>
      </c>
      <c r="B1011" t="str">
        <f>RAW_DATA!B1011</f>
        <v>No</v>
      </c>
      <c r="C1011" t="str">
        <f>RAW_DATA!C1011</f>
        <v>Research &amp; Development</v>
      </c>
      <c r="D1011">
        <f>RAW_DATA!D1011</f>
        <v>1</v>
      </c>
      <c r="E1011">
        <f>RAW_DATA!E1011</f>
        <v>3</v>
      </c>
      <c r="F1011" t="str">
        <f>RAW_DATA!F1011</f>
        <v>Medical</v>
      </c>
      <c r="G1011">
        <f>RAW_DATA!G1011</f>
        <v>4</v>
      </c>
      <c r="H1011">
        <f>RAW_DATA!H1011</f>
        <v>1</v>
      </c>
      <c r="I1011" t="str">
        <f>RAW_DATA!I1011</f>
        <v>Married</v>
      </c>
      <c r="J1011">
        <f>RAW_DATA!J1011</f>
        <v>19701</v>
      </c>
      <c r="K1011">
        <f>RAW_DATA!K1011</f>
        <v>3</v>
      </c>
      <c r="L1011">
        <f>RAW_DATA!L1011</f>
        <v>3</v>
      </c>
      <c r="M1011">
        <f>RAW_DATA!M1011</f>
        <v>9</v>
      </c>
      <c r="N1011">
        <f t="shared" si="30"/>
        <v>0</v>
      </c>
      <c r="O1011" t="str">
        <f xml:space="preserve"> VLOOKUP(A1011, Lookup_Tables!$G$2:$H$6,2,TRUE)</f>
        <v>55+</v>
      </c>
      <c r="P1011" t="str">
        <f>_xlfn.XLOOKUP(J1011,Lookup_Tables!$J$2:$J$4,Lookup_Tables!$K$2:$K$4, " ",-1)</f>
        <v>High</v>
      </c>
      <c r="Q1011" t="str">
        <f xml:space="preserve"> _xlfn.XLOOKUP(M1011, Lookup_Tables!$M$2:$M$5,Lookup_Tables!$N$2:$N$5," ", -1)</f>
        <v>Established (5-10)</v>
      </c>
      <c r="R1011" s="4">
        <f t="shared" si="31"/>
        <v>2.6666666666666665</v>
      </c>
      <c r="S1011" t="str">
        <f xml:space="preserve"> _xlfn.XLOOKUP( E1011, Lookup_Tables!$A$2:$A$6,Lookup_Tables!$B$2:$B$6," ", -1)</f>
        <v>Bachelor</v>
      </c>
      <c r="T1011" t="str">
        <f>_xlfn.XLOOKUP(G1011,Lookup_Tables!$D$2:$D$5,Lookup_Tables!$E$2:$E$5)</f>
        <v>Very High</v>
      </c>
      <c r="U1011" t="str">
        <f>_xlfn.XLOOKUP(H1011,Lookup_Tables!$D$2:$D$5,Lookup_Tables!$E$2:$E$5)</f>
        <v>Low</v>
      </c>
      <c r="V1011" t="str">
        <f>_xlfn.XLOOKUP(L1011,Lookup_Tables!$D$2:$D$5,Lookup_Tables!$E$2:$E$5)</f>
        <v>High</v>
      </c>
    </row>
    <row r="1012" spans="1:22">
      <c r="A1012">
        <f>RAW_DATA!A1012</f>
        <v>55</v>
      </c>
      <c r="B1012" t="str">
        <f>RAW_DATA!B1012</f>
        <v>No</v>
      </c>
      <c r="C1012" t="str">
        <f>RAW_DATA!C1012</f>
        <v>Research &amp; Development</v>
      </c>
      <c r="D1012">
        <f>RAW_DATA!D1012</f>
        <v>1</v>
      </c>
      <c r="E1012">
        <f>RAW_DATA!E1012</f>
        <v>4</v>
      </c>
      <c r="F1012" t="str">
        <f>RAW_DATA!F1012</f>
        <v>Medical</v>
      </c>
      <c r="G1012">
        <f>RAW_DATA!G1012</f>
        <v>2</v>
      </c>
      <c r="H1012">
        <f>RAW_DATA!H1012</f>
        <v>4</v>
      </c>
      <c r="I1012" t="str">
        <f>RAW_DATA!I1012</f>
        <v>Divorced</v>
      </c>
      <c r="J1012">
        <f>RAW_DATA!J1012</f>
        <v>14732</v>
      </c>
      <c r="K1012">
        <f>RAW_DATA!K1012</f>
        <v>2</v>
      </c>
      <c r="L1012">
        <f>RAW_DATA!L1012</f>
        <v>4</v>
      </c>
      <c r="M1012">
        <f>RAW_DATA!M1012</f>
        <v>7</v>
      </c>
      <c r="N1012">
        <f t="shared" si="30"/>
        <v>0</v>
      </c>
      <c r="O1012" t="str">
        <f xml:space="preserve"> VLOOKUP(A1012, Lookup_Tables!$G$2:$H$6,2,TRUE)</f>
        <v>55+</v>
      </c>
      <c r="P1012" t="str">
        <f>_xlfn.XLOOKUP(J1012,Lookup_Tables!$J$2:$J$4,Lookup_Tables!$K$2:$K$4, " ",-1)</f>
        <v>High</v>
      </c>
      <c r="Q1012" t="str">
        <f xml:space="preserve"> _xlfn.XLOOKUP(M1012, Lookup_Tables!$M$2:$M$5,Lookup_Tables!$N$2:$N$5," ", -1)</f>
        <v>Established (5-10)</v>
      </c>
      <c r="R1012" s="4">
        <f t="shared" si="31"/>
        <v>3.3333333333333335</v>
      </c>
      <c r="S1012" t="str">
        <f xml:space="preserve"> _xlfn.XLOOKUP( E1012, Lookup_Tables!$A$2:$A$6,Lookup_Tables!$B$2:$B$6," ", -1)</f>
        <v>Master</v>
      </c>
      <c r="T1012" t="str">
        <f>_xlfn.XLOOKUP(G1012,Lookup_Tables!$D$2:$D$5,Lookup_Tables!$E$2:$E$5)</f>
        <v>Medium</v>
      </c>
      <c r="U1012" t="str">
        <f>_xlfn.XLOOKUP(H1012,Lookup_Tables!$D$2:$D$5,Lookup_Tables!$E$2:$E$5)</f>
        <v>Very High</v>
      </c>
      <c r="V1012" t="str">
        <f>_xlfn.XLOOKUP(L1012,Lookup_Tables!$D$2:$D$5,Lookup_Tables!$E$2:$E$5)</f>
        <v>Very High</v>
      </c>
    </row>
    <row r="1013" spans="1:22">
      <c r="A1013">
        <f>RAW_DATA!A1013</f>
        <v>36</v>
      </c>
      <c r="B1013" t="str">
        <f>RAW_DATA!B1013</f>
        <v>No</v>
      </c>
      <c r="C1013" t="str">
        <f>RAW_DATA!C1013</f>
        <v>Sales</v>
      </c>
      <c r="D1013">
        <f>RAW_DATA!D1013</f>
        <v>3</v>
      </c>
      <c r="E1013">
        <f>RAW_DATA!E1013</f>
        <v>4</v>
      </c>
      <c r="F1013" t="str">
        <f>RAW_DATA!F1013</f>
        <v>Marketing</v>
      </c>
      <c r="G1013">
        <f>RAW_DATA!G1013</f>
        <v>1</v>
      </c>
      <c r="H1013">
        <f>RAW_DATA!H1013</f>
        <v>2</v>
      </c>
      <c r="I1013" t="str">
        <f>RAW_DATA!I1013</f>
        <v>Single</v>
      </c>
      <c r="J1013">
        <f>RAW_DATA!J1013</f>
        <v>9278</v>
      </c>
      <c r="K1013">
        <f>RAW_DATA!K1013</f>
        <v>3</v>
      </c>
      <c r="L1013">
        <f>RAW_DATA!L1013</f>
        <v>3</v>
      </c>
      <c r="M1013">
        <f>RAW_DATA!M1013</f>
        <v>5</v>
      </c>
      <c r="N1013">
        <f t="shared" si="30"/>
        <v>0</v>
      </c>
      <c r="O1013" t="str">
        <f xml:space="preserve"> VLOOKUP(A1013, Lookup_Tables!$G$2:$H$6,2,TRUE)</f>
        <v>35-44</v>
      </c>
      <c r="P1013" t="str">
        <f>_xlfn.XLOOKUP(J1013,Lookup_Tables!$J$2:$J$4,Lookup_Tables!$K$2:$K$4, " ",-1)</f>
        <v>High</v>
      </c>
      <c r="Q1013" t="str">
        <f xml:space="preserve"> _xlfn.XLOOKUP(M1013, Lookup_Tables!$M$2:$M$5,Lookup_Tables!$N$2:$N$5," ", -1)</f>
        <v>Established (5-10)</v>
      </c>
      <c r="R1013" s="4">
        <f t="shared" si="31"/>
        <v>2</v>
      </c>
      <c r="S1013" t="str">
        <f xml:space="preserve"> _xlfn.XLOOKUP( E1013, Lookup_Tables!$A$2:$A$6,Lookup_Tables!$B$2:$B$6," ", -1)</f>
        <v>Master</v>
      </c>
      <c r="T1013" t="str">
        <f>_xlfn.XLOOKUP(G1013,Lookup_Tables!$D$2:$D$5,Lookup_Tables!$E$2:$E$5)</f>
        <v>Low</v>
      </c>
      <c r="U1013" t="str">
        <f>_xlfn.XLOOKUP(H1013,Lookup_Tables!$D$2:$D$5,Lookup_Tables!$E$2:$E$5)</f>
        <v>Medium</v>
      </c>
      <c r="V1013" t="str">
        <f>_xlfn.XLOOKUP(L1013,Lookup_Tables!$D$2:$D$5,Lookup_Tables!$E$2:$E$5)</f>
        <v>High</v>
      </c>
    </row>
    <row r="1014" spans="1:22">
      <c r="A1014">
        <f>RAW_DATA!A1014</f>
        <v>31</v>
      </c>
      <c r="B1014" t="str">
        <f>RAW_DATA!B1014</f>
        <v>Yes</v>
      </c>
      <c r="C1014" t="str">
        <f>RAW_DATA!C1014</f>
        <v>Sales</v>
      </c>
      <c r="D1014">
        <f>RAW_DATA!D1014</f>
        <v>1</v>
      </c>
      <c r="E1014">
        <f>RAW_DATA!E1014</f>
        <v>4</v>
      </c>
      <c r="F1014" t="str">
        <f>RAW_DATA!F1014</f>
        <v>Life Sciences</v>
      </c>
      <c r="G1014">
        <f>RAW_DATA!G1014</f>
        <v>2</v>
      </c>
      <c r="H1014">
        <f>RAW_DATA!H1014</f>
        <v>3</v>
      </c>
      <c r="I1014" t="str">
        <f>RAW_DATA!I1014</f>
        <v>Single</v>
      </c>
      <c r="J1014">
        <f>RAW_DATA!J1014</f>
        <v>1359</v>
      </c>
      <c r="K1014">
        <f>RAW_DATA!K1014</f>
        <v>1</v>
      </c>
      <c r="L1014">
        <f>RAW_DATA!L1014</f>
        <v>3</v>
      </c>
      <c r="M1014">
        <f>RAW_DATA!M1014</f>
        <v>1</v>
      </c>
      <c r="N1014">
        <f t="shared" si="30"/>
        <v>1</v>
      </c>
      <c r="O1014" t="str">
        <f xml:space="preserve"> VLOOKUP(A1014, Lookup_Tables!$G$2:$H$6,2,TRUE)</f>
        <v>25-34</v>
      </c>
      <c r="P1014" t="str">
        <f>_xlfn.XLOOKUP(J1014,Lookup_Tables!$J$2:$J$4,Lookup_Tables!$K$2:$K$4, " ",-1)</f>
        <v>Low</v>
      </c>
      <c r="Q1014" t="str">
        <f xml:space="preserve"> _xlfn.XLOOKUP(M1014, Lookup_Tables!$M$2:$M$5,Lookup_Tables!$N$2:$N$5," ", -1)</f>
        <v>New (0-2)</v>
      </c>
      <c r="R1014" s="4">
        <f t="shared" si="31"/>
        <v>2.6666666666666665</v>
      </c>
      <c r="S1014" t="str">
        <f xml:space="preserve"> _xlfn.XLOOKUP( E1014, Lookup_Tables!$A$2:$A$6,Lookup_Tables!$B$2:$B$6," ", -1)</f>
        <v>Master</v>
      </c>
      <c r="T1014" t="str">
        <f>_xlfn.XLOOKUP(G1014,Lookup_Tables!$D$2:$D$5,Lookup_Tables!$E$2:$E$5)</f>
        <v>Medium</v>
      </c>
      <c r="U1014" t="str">
        <f>_xlfn.XLOOKUP(H1014,Lookup_Tables!$D$2:$D$5,Lookup_Tables!$E$2:$E$5)</f>
        <v>High</v>
      </c>
      <c r="V1014" t="str">
        <f>_xlfn.XLOOKUP(L1014,Lookup_Tables!$D$2:$D$5,Lookup_Tables!$E$2:$E$5)</f>
        <v>High</v>
      </c>
    </row>
    <row r="1015" spans="1:22">
      <c r="A1015">
        <f>RAW_DATA!A1015</f>
        <v>30</v>
      </c>
      <c r="B1015" t="str">
        <f>RAW_DATA!B1015</f>
        <v>No</v>
      </c>
      <c r="C1015" t="str">
        <f>RAW_DATA!C1015</f>
        <v>Sales</v>
      </c>
      <c r="D1015">
        <f>RAW_DATA!D1015</f>
        <v>7</v>
      </c>
      <c r="E1015">
        <f>RAW_DATA!E1015</f>
        <v>4</v>
      </c>
      <c r="F1015" t="str">
        <f>RAW_DATA!F1015</f>
        <v>Marketing</v>
      </c>
      <c r="G1015">
        <f>RAW_DATA!G1015</f>
        <v>4</v>
      </c>
      <c r="H1015">
        <f>RAW_DATA!H1015</f>
        <v>1</v>
      </c>
      <c r="I1015" t="str">
        <f>RAW_DATA!I1015</f>
        <v>Divorced</v>
      </c>
      <c r="J1015">
        <f>RAW_DATA!J1015</f>
        <v>4779</v>
      </c>
      <c r="K1015">
        <f>RAW_DATA!K1015</f>
        <v>7</v>
      </c>
      <c r="L1015">
        <f>RAW_DATA!L1015</f>
        <v>3</v>
      </c>
      <c r="M1015">
        <f>RAW_DATA!M1015</f>
        <v>3</v>
      </c>
      <c r="N1015">
        <f t="shared" si="30"/>
        <v>0</v>
      </c>
      <c r="O1015" t="str">
        <f xml:space="preserve"> VLOOKUP(A1015, Lookup_Tables!$G$2:$H$6,2,TRUE)</f>
        <v>25-34</v>
      </c>
      <c r="P1015" t="str">
        <f>_xlfn.XLOOKUP(J1015,Lookup_Tables!$J$2:$J$4,Lookup_Tables!$K$2:$K$4, " ",-1)</f>
        <v>Medium</v>
      </c>
      <c r="Q1015" t="str">
        <f xml:space="preserve"> _xlfn.XLOOKUP(M1015, Lookup_Tables!$M$2:$M$5,Lookup_Tables!$N$2:$N$5," ", -1)</f>
        <v>Early (2-5)</v>
      </c>
      <c r="R1015" s="4">
        <f t="shared" si="31"/>
        <v>2.6666666666666665</v>
      </c>
      <c r="S1015" t="str">
        <f xml:space="preserve"> _xlfn.XLOOKUP( E1015, Lookup_Tables!$A$2:$A$6,Lookup_Tables!$B$2:$B$6," ", -1)</f>
        <v>Master</v>
      </c>
      <c r="T1015" t="str">
        <f>_xlfn.XLOOKUP(G1015,Lookup_Tables!$D$2:$D$5,Lookup_Tables!$E$2:$E$5)</f>
        <v>Very High</v>
      </c>
      <c r="U1015" t="str">
        <f>_xlfn.XLOOKUP(H1015,Lookup_Tables!$D$2:$D$5,Lookup_Tables!$E$2:$E$5)</f>
        <v>Low</v>
      </c>
      <c r="V1015" t="str">
        <f>_xlfn.XLOOKUP(L1015,Lookup_Tables!$D$2:$D$5,Lookup_Tables!$E$2:$E$5)</f>
        <v>High</v>
      </c>
    </row>
    <row r="1016" spans="1:22">
      <c r="A1016">
        <f>RAW_DATA!A1016</f>
        <v>31</v>
      </c>
      <c r="B1016" t="str">
        <f>RAW_DATA!B1016</f>
        <v>No</v>
      </c>
      <c r="C1016" t="str">
        <f>RAW_DATA!C1016</f>
        <v>Research &amp; Development</v>
      </c>
      <c r="D1016">
        <f>RAW_DATA!D1016</f>
        <v>8</v>
      </c>
      <c r="E1016">
        <f>RAW_DATA!E1016</f>
        <v>5</v>
      </c>
      <c r="F1016" t="str">
        <f>RAW_DATA!F1016</f>
        <v>Life Sciences</v>
      </c>
      <c r="G1016">
        <f>RAW_DATA!G1016</f>
        <v>1</v>
      </c>
      <c r="H1016">
        <f>RAW_DATA!H1016</f>
        <v>2</v>
      </c>
      <c r="I1016" t="str">
        <f>RAW_DATA!I1016</f>
        <v>Single</v>
      </c>
      <c r="J1016">
        <f>RAW_DATA!J1016</f>
        <v>16422</v>
      </c>
      <c r="K1016">
        <f>RAW_DATA!K1016</f>
        <v>3</v>
      </c>
      <c r="L1016">
        <f>RAW_DATA!L1016</f>
        <v>4</v>
      </c>
      <c r="M1016">
        <f>RAW_DATA!M1016</f>
        <v>3</v>
      </c>
      <c r="N1016">
        <f t="shared" si="30"/>
        <v>0</v>
      </c>
      <c r="O1016" t="str">
        <f xml:space="preserve"> VLOOKUP(A1016, Lookup_Tables!$G$2:$H$6,2,TRUE)</f>
        <v>25-34</v>
      </c>
      <c r="P1016" t="str">
        <f>_xlfn.XLOOKUP(J1016,Lookup_Tables!$J$2:$J$4,Lookup_Tables!$K$2:$K$4, " ",-1)</f>
        <v>High</v>
      </c>
      <c r="Q1016" t="str">
        <f xml:space="preserve"> _xlfn.XLOOKUP(M1016, Lookup_Tables!$M$2:$M$5,Lookup_Tables!$N$2:$N$5," ", -1)</f>
        <v>Early (2-5)</v>
      </c>
      <c r="R1016" s="4">
        <f t="shared" si="31"/>
        <v>2.3333333333333335</v>
      </c>
      <c r="S1016" t="str">
        <f xml:space="preserve"> _xlfn.XLOOKUP( E1016, Lookup_Tables!$A$2:$A$6,Lookup_Tables!$B$2:$B$6," ", -1)</f>
        <v>Doctor</v>
      </c>
      <c r="T1016" t="str">
        <f>_xlfn.XLOOKUP(G1016,Lookup_Tables!$D$2:$D$5,Lookup_Tables!$E$2:$E$5)</f>
        <v>Low</v>
      </c>
      <c r="U1016" t="str">
        <f>_xlfn.XLOOKUP(H1016,Lookup_Tables!$D$2:$D$5,Lookup_Tables!$E$2:$E$5)</f>
        <v>Medium</v>
      </c>
      <c r="V1016" t="str">
        <f>_xlfn.XLOOKUP(L1016,Lookup_Tables!$D$2:$D$5,Lookup_Tables!$E$2:$E$5)</f>
        <v>Very High</v>
      </c>
    </row>
    <row r="1017" spans="1:22">
      <c r="A1017">
        <f>RAW_DATA!A1017</f>
        <v>34</v>
      </c>
      <c r="B1017" t="str">
        <f>RAW_DATA!B1017</f>
        <v>No</v>
      </c>
      <c r="C1017" t="str">
        <f>RAW_DATA!C1017</f>
        <v>Research &amp; Development</v>
      </c>
      <c r="D1017">
        <f>RAW_DATA!D1017</f>
        <v>1</v>
      </c>
      <c r="E1017">
        <f>RAW_DATA!E1017</f>
        <v>4</v>
      </c>
      <c r="F1017" t="str">
        <f>RAW_DATA!F1017</f>
        <v>Other</v>
      </c>
      <c r="G1017">
        <f>RAW_DATA!G1017</f>
        <v>4</v>
      </c>
      <c r="H1017">
        <f>RAW_DATA!H1017</f>
        <v>1</v>
      </c>
      <c r="I1017" t="str">
        <f>RAW_DATA!I1017</f>
        <v>Divorced</v>
      </c>
      <c r="J1017">
        <f>RAW_DATA!J1017</f>
        <v>2996</v>
      </c>
      <c r="K1017">
        <f>RAW_DATA!K1017</f>
        <v>5</v>
      </c>
      <c r="L1017">
        <f>RAW_DATA!L1017</f>
        <v>3</v>
      </c>
      <c r="M1017">
        <f>RAW_DATA!M1017</f>
        <v>4</v>
      </c>
      <c r="N1017">
        <f t="shared" si="30"/>
        <v>0</v>
      </c>
      <c r="O1017" t="str">
        <f xml:space="preserve"> VLOOKUP(A1017, Lookup_Tables!$G$2:$H$6,2,TRUE)</f>
        <v>25-34</v>
      </c>
      <c r="P1017" t="str">
        <f>_xlfn.XLOOKUP(J1017,Lookup_Tables!$J$2:$J$4,Lookup_Tables!$K$2:$K$4, " ",-1)</f>
        <v>Low</v>
      </c>
      <c r="Q1017" t="str">
        <f xml:space="preserve"> _xlfn.XLOOKUP(M1017, Lookup_Tables!$M$2:$M$5,Lookup_Tables!$N$2:$N$5," ", -1)</f>
        <v>Early (2-5)</v>
      </c>
      <c r="R1017" s="4">
        <f t="shared" si="31"/>
        <v>2.6666666666666665</v>
      </c>
      <c r="S1017" t="str">
        <f xml:space="preserve"> _xlfn.XLOOKUP( E1017, Lookup_Tables!$A$2:$A$6,Lookup_Tables!$B$2:$B$6," ", -1)</f>
        <v>Master</v>
      </c>
      <c r="T1017" t="str">
        <f>_xlfn.XLOOKUP(G1017,Lookup_Tables!$D$2:$D$5,Lookup_Tables!$E$2:$E$5)</f>
        <v>Very High</v>
      </c>
      <c r="U1017" t="str">
        <f>_xlfn.XLOOKUP(H1017,Lookup_Tables!$D$2:$D$5,Lookup_Tables!$E$2:$E$5)</f>
        <v>Low</v>
      </c>
      <c r="V1017" t="str">
        <f>_xlfn.XLOOKUP(L1017,Lookup_Tables!$D$2:$D$5,Lookup_Tables!$E$2:$E$5)</f>
        <v>High</v>
      </c>
    </row>
    <row r="1018" spans="1:22">
      <c r="A1018">
        <f>RAW_DATA!A1018</f>
        <v>31</v>
      </c>
      <c r="B1018" t="str">
        <f>RAW_DATA!B1018</f>
        <v>Yes</v>
      </c>
      <c r="C1018" t="str">
        <f>RAW_DATA!C1018</f>
        <v>Research &amp; Development</v>
      </c>
      <c r="D1018">
        <f>RAW_DATA!D1018</f>
        <v>8</v>
      </c>
      <c r="E1018">
        <f>RAW_DATA!E1018</f>
        <v>3</v>
      </c>
      <c r="F1018" t="str">
        <f>RAW_DATA!F1018</f>
        <v>Life Sciences</v>
      </c>
      <c r="G1018">
        <f>RAW_DATA!G1018</f>
        <v>1</v>
      </c>
      <c r="H1018">
        <f>RAW_DATA!H1018</f>
        <v>2</v>
      </c>
      <c r="I1018" t="str">
        <f>RAW_DATA!I1018</f>
        <v>Single</v>
      </c>
      <c r="J1018">
        <f>RAW_DATA!J1018</f>
        <v>1261</v>
      </c>
      <c r="K1018">
        <f>RAW_DATA!K1018</f>
        <v>1</v>
      </c>
      <c r="L1018">
        <f>RAW_DATA!L1018</f>
        <v>4</v>
      </c>
      <c r="M1018">
        <f>RAW_DATA!M1018</f>
        <v>1</v>
      </c>
      <c r="N1018">
        <f t="shared" si="30"/>
        <v>1</v>
      </c>
      <c r="O1018" t="str">
        <f xml:space="preserve"> VLOOKUP(A1018, Lookup_Tables!$G$2:$H$6,2,TRUE)</f>
        <v>25-34</v>
      </c>
      <c r="P1018" t="str">
        <f>_xlfn.XLOOKUP(J1018,Lookup_Tables!$J$2:$J$4,Lookup_Tables!$K$2:$K$4, " ",-1)</f>
        <v>Low</v>
      </c>
      <c r="Q1018" t="str">
        <f xml:space="preserve"> _xlfn.XLOOKUP(M1018, Lookup_Tables!$M$2:$M$5,Lookup_Tables!$N$2:$N$5," ", -1)</f>
        <v>New (0-2)</v>
      </c>
      <c r="R1018" s="4">
        <f t="shared" si="31"/>
        <v>2.3333333333333335</v>
      </c>
      <c r="S1018" t="str">
        <f xml:space="preserve"> _xlfn.XLOOKUP( E1018, Lookup_Tables!$A$2:$A$6,Lookup_Tables!$B$2:$B$6," ", -1)</f>
        <v>Bachelor</v>
      </c>
      <c r="T1018" t="str">
        <f>_xlfn.XLOOKUP(G1018,Lookup_Tables!$D$2:$D$5,Lookup_Tables!$E$2:$E$5)</f>
        <v>Low</v>
      </c>
      <c r="U1018" t="str">
        <f>_xlfn.XLOOKUP(H1018,Lookup_Tables!$D$2:$D$5,Lookup_Tables!$E$2:$E$5)</f>
        <v>Medium</v>
      </c>
      <c r="V1018" t="str">
        <f>_xlfn.XLOOKUP(L1018,Lookup_Tables!$D$2:$D$5,Lookup_Tables!$E$2:$E$5)</f>
        <v>Very High</v>
      </c>
    </row>
    <row r="1019" spans="1:22">
      <c r="A1019">
        <f>RAW_DATA!A1019</f>
        <v>27</v>
      </c>
      <c r="B1019" t="str">
        <f>RAW_DATA!B1019</f>
        <v>No</v>
      </c>
      <c r="C1019" t="str">
        <f>RAW_DATA!C1019</f>
        <v>Research &amp; Development</v>
      </c>
      <c r="D1019">
        <f>RAW_DATA!D1019</f>
        <v>11</v>
      </c>
      <c r="E1019">
        <f>RAW_DATA!E1019</f>
        <v>1</v>
      </c>
      <c r="F1019" t="str">
        <f>RAW_DATA!F1019</f>
        <v>Life Sciences</v>
      </c>
      <c r="G1019">
        <f>RAW_DATA!G1019</f>
        <v>2</v>
      </c>
      <c r="H1019">
        <f>RAW_DATA!H1019</f>
        <v>1</v>
      </c>
      <c r="I1019" t="str">
        <f>RAW_DATA!I1019</f>
        <v>Married</v>
      </c>
      <c r="J1019">
        <f>RAW_DATA!J1019</f>
        <v>2099</v>
      </c>
      <c r="K1019">
        <f>RAW_DATA!K1019</f>
        <v>0</v>
      </c>
      <c r="L1019">
        <f>RAW_DATA!L1019</f>
        <v>4</v>
      </c>
      <c r="M1019">
        <f>RAW_DATA!M1019</f>
        <v>5</v>
      </c>
      <c r="N1019">
        <f t="shared" si="30"/>
        <v>0</v>
      </c>
      <c r="O1019" t="str">
        <f xml:space="preserve"> VLOOKUP(A1019, Lookup_Tables!$G$2:$H$6,2,TRUE)</f>
        <v>25-34</v>
      </c>
      <c r="P1019" t="str">
        <f>_xlfn.XLOOKUP(J1019,Lookup_Tables!$J$2:$J$4,Lookup_Tables!$K$2:$K$4, " ",-1)</f>
        <v>Low</v>
      </c>
      <c r="Q1019" t="str">
        <f xml:space="preserve"> _xlfn.XLOOKUP(M1019, Lookup_Tables!$M$2:$M$5,Lookup_Tables!$N$2:$N$5," ", -1)</f>
        <v>Established (5-10)</v>
      </c>
      <c r="R1019" s="4">
        <f t="shared" si="31"/>
        <v>2.3333333333333335</v>
      </c>
      <c r="S1019" t="str">
        <f xml:space="preserve"> _xlfn.XLOOKUP( E1019, Lookup_Tables!$A$2:$A$6,Lookup_Tables!$B$2:$B$6," ", -1)</f>
        <v>Below College</v>
      </c>
      <c r="T1019" t="str">
        <f>_xlfn.XLOOKUP(G1019,Lookup_Tables!$D$2:$D$5,Lookup_Tables!$E$2:$E$5)</f>
        <v>Medium</v>
      </c>
      <c r="U1019" t="str">
        <f>_xlfn.XLOOKUP(H1019,Lookup_Tables!$D$2:$D$5,Lookup_Tables!$E$2:$E$5)</f>
        <v>Low</v>
      </c>
      <c r="V1019" t="str">
        <f>_xlfn.XLOOKUP(L1019,Lookup_Tables!$D$2:$D$5,Lookup_Tables!$E$2:$E$5)</f>
        <v>Very High</v>
      </c>
    </row>
    <row r="1020" spans="1:22">
      <c r="A1020">
        <f>RAW_DATA!A1020</f>
        <v>36</v>
      </c>
      <c r="B1020" t="str">
        <f>RAW_DATA!B1020</f>
        <v>No</v>
      </c>
      <c r="C1020" t="str">
        <f>RAW_DATA!C1020</f>
        <v>Research &amp; Development</v>
      </c>
      <c r="D1020">
        <f>RAW_DATA!D1020</f>
        <v>4</v>
      </c>
      <c r="E1020">
        <f>RAW_DATA!E1020</f>
        <v>4</v>
      </c>
      <c r="F1020" t="str">
        <f>RAW_DATA!F1020</f>
        <v>Life Sciences</v>
      </c>
      <c r="G1020">
        <f>RAW_DATA!G1020</f>
        <v>1</v>
      </c>
      <c r="H1020">
        <f>RAW_DATA!H1020</f>
        <v>4</v>
      </c>
      <c r="I1020" t="str">
        <f>RAW_DATA!I1020</f>
        <v>Single</v>
      </c>
      <c r="J1020">
        <f>RAW_DATA!J1020</f>
        <v>5810</v>
      </c>
      <c r="K1020">
        <f>RAW_DATA!K1020</f>
        <v>1</v>
      </c>
      <c r="L1020">
        <f>RAW_DATA!L1020</f>
        <v>2</v>
      </c>
      <c r="M1020">
        <f>RAW_DATA!M1020</f>
        <v>10</v>
      </c>
      <c r="N1020">
        <f t="shared" si="30"/>
        <v>0</v>
      </c>
      <c r="O1020" t="str">
        <f xml:space="preserve"> VLOOKUP(A1020, Lookup_Tables!$G$2:$H$6,2,TRUE)</f>
        <v>35-44</v>
      </c>
      <c r="P1020" t="str">
        <f>_xlfn.XLOOKUP(J1020,Lookup_Tables!$J$2:$J$4,Lookup_Tables!$K$2:$K$4, " ",-1)</f>
        <v>Medium</v>
      </c>
      <c r="Q1020" t="str">
        <f xml:space="preserve"> _xlfn.XLOOKUP(M1020, Lookup_Tables!$M$2:$M$5,Lookup_Tables!$N$2:$N$5," ", -1)</f>
        <v>Veteran (10+)</v>
      </c>
      <c r="R1020" s="4">
        <f t="shared" si="31"/>
        <v>2.3333333333333335</v>
      </c>
      <c r="S1020" t="str">
        <f xml:space="preserve"> _xlfn.XLOOKUP( E1020, Lookup_Tables!$A$2:$A$6,Lookup_Tables!$B$2:$B$6," ", -1)</f>
        <v>Master</v>
      </c>
      <c r="T1020" t="str">
        <f>_xlfn.XLOOKUP(G1020,Lookup_Tables!$D$2:$D$5,Lookup_Tables!$E$2:$E$5)</f>
        <v>Low</v>
      </c>
      <c r="U1020" t="str">
        <f>_xlfn.XLOOKUP(H1020,Lookup_Tables!$D$2:$D$5,Lookup_Tables!$E$2:$E$5)</f>
        <v>Very High</v>
      </c>
      <c r="V1020" t="str">
        <f>_xlfn.XLOOKUP(L1020,Lookup_Tables!$D$2:$D$5,Lookup_Tables!$E$2:$E$5)</f>
        <v>Medium</v>
      </c>
    </row>
    <row r="1021" spans="1:22">
      <c r="A1021">
        <f>RAW_DATA!A1021</f>
        <v>36</v>
      </c>
      <c r="B1021" t="str">
        <f>RAW_DATA!B1021</f>
        <v>No</v>
      </c>
      <c r="C1021" t="str">
        <f>RAW_DATA!C1021</f>
        <v>Sales</v>
      </c>
      <c r="D1021">
        <f>RAW_DATA!D1021</f>
        <v>16</v>
      </c>
      <c r="E1021">
        <f>RAW_DATA!E1021</f>
        <v>4</v>
      </c>
      <c r="F1021" t="str">
        <f>RAW_DATA!F1021</f>
        <v>Marketing</v>
      </c>
      <c r="G1021">
        <f>RAW_DATA!G1021</f>
        <v>3</v>
      </c>
      <c r="H1021">
        <f>RAW_DATA!H1021</f>
        <v>1</v>
      </c>
      <c r="I1021" t="str">
        <f>RAW_DATA!I1021</f>
        <v>Married</v>
      </c>
      <c r="J1021">
        <f>RAW_DATA!J1021</f>
        <v>5647</v>
      </c>
      <c r="K1021">
        <f>RAW_DATA!K1021</f>
        <v>4</v>
      </c>
      <c r="L1021">
        <f>RAW_DATA!L1021</f>
        <v>2</v>
      </c>
      <c r="M1021">
        <f>RAW_DATA!M1021</f>
        <v>3</v>
      </c>
      <c r="N1021">
        <f t="shared" si="30"/>
        <v>0</v>
      </c>
      <c r="O1021" t="str">
        <f xml:space="preserve"> VLOOKUP(A1021, Lookup_Tables!$G$2:$H$6,2,TRUE)</f>
        <v>35-44</v>
      </c>
      <c r="P1021" t="str">
        <f>_xlfn.XLOOKUP(J1021,Lookup_Tables!$J$2:$J$4,Lookup_Tables!$K$2:$K$4, " ",-1)</f>
        <v>Medium</v>
      </c>
      <c r="Q1021" t="str">
        <f xml:space="preserve"> _xlfn.XLOOKUP(M1021, Lookup_Tables!$M$2:$M$5,Lookup_Tables!$N$2:$N$5," ", -1)</f>
        <v>Early (2-5)</v>
      </c>
      <c r="R1021" s="4">
        <f t="shared" si="31"/>
        <v>2</v>
      </c>
      <c r="S1021" t="str">
        <f xml:space="preserve"> _xlfn.XLOOKUP( E1021, Lookup_Tables!$A$2:$A$6,Lookup_Tables!$B$2:$B$6," ", -1)</f>
        <v>Master</v>
      </c>
      <c r="T1021" t="str">
        <f>_xlfn.XLOOKUP(G1021,Lookup_Tables!$D$2:$D$5,Lookup_Tables!$E$2:$E$5)</f>
        <v>High</v>
      </c>
      <c r="U1021" t="str">
        <f>_xlfn.XLOOKUP(H1021,Lookup_Tables!$D$2:$D$5,Lookup_Tables!$E$2:$E$5)</f>
        <v>Low</v>
      </c>
      <c r="V1021" t="str">
        <f>_xlfn.XLOOKUP(L1021,Lookup_Tables!$D$2:$D$5,Lookup_Tables!$E$2:$E$5)</f>
        <v>Medium</v>
      </c>
    </row>
    <row r="1022" spans="1:22">
      <c r="A1022">
        <f>RAW_DATA!A1022</f>
        <v>47</v>
      </c>
      <c r="B1022" t="str">
        <f>RAW_DATA!B1022</f>
        <v>No</v>
      </c>
      <c r="C1022" t="str">
        <f>RAW_DATA!C1022</f>
        <v>Research &amp; Development</v>
      </c>
      <c r="D1022">
        <f>RAW_DATA!D1022</f>
        <v>1</v>
      </c>
      <c r="E1022">
        <f>RAW_DATA!E1022</f>
        <v>3</v>
      </c>
      <c r="F1022" t="str">
        <f>RAW_DATA!F1022</f>
        <v>Technical Degree</v>
      </c>
      <c r="G1022">
        <f>RAW_DATA!G1022</f>
        <v>1</v>
      </c>
      <c r="H1022">
        <f>RAW_DATA!H1022</f>
        <v>4</v>
      </c>
      <c r="I1022" t="str">
        <f>RAW_DATA!I1022</f>
        <v>Married</v>
      </c>
      <c r="J1022">
        <f>RAW_DATA!J1022</f>
        <v>3420</v>
      </c>
      <c r="K1022">
        <f>RAW_DATA!K1022</f>
        <v>7</v>
      </c>
      <c r="L1022">
        <f>RAW_DATA!L1022</f>
        <v>2</v>
      </c>
      <c r="M1022">
        <f>RAW_DATA!M1022</f>
        <v>6</v>
      </c>
      <c r="N1022">
        <f t="shared" si="30"/>
        <v>0</v>
      </c>
      <c r="O1022" t="str">
        <f xml:space="preserve"> VLOOKUP(A1022, Lookup_Tables!$G$2:$H$6,2,TRUE)</f>
        <v>45-54</v>
      </c>
      <c r="P1022" t="str">
        <f>_xlfn.XLOOKUP(J1022,Lookup_Tables!$J$2:$J$4,Lookup_Tables!$K$2:$K$4, " ",-1)</f>
        <v>Medium</v>
      </c>
      <c r="Q1022" t="str">
        <f xml:space="preserve"> _xlfn.XLOOKUP(M1022, Lookup_Tables!$M$2:$M$5,Lookup_Tables!$N$2:$N$5," ", -1)</f>
        <v>Established (5-10)</v>
      </c>
      <c r="R1022" s="4">
        <f t="shared" si="31"/>
        <v>2.3333333333333335</v>
      </c>
      <c r="S1022" t="str">
        <f xml:space="preserve"> _xlfn.XLOOKUP( E1022, Lookup_Tables!$A$2:$A$6,Lookup_Tables!$B$2:$B$6," ", -1)</f>
        <v>Bachelor</v>
      </c>
      <c r="T1022" t="str">
        <f>_xlfn.XLOOKUP(G1022,Lookup_Tables!$D$2:$D$5,Lookup_Tables!$E$2:$E$5)</f>
        <v>Low</v>
      </c>
      <c r="U1022" t="str">
        <f>_xlfn.XLOOKUP(H1022,Lookup_Tables!$D$2:$D$5,Lookup_Tables!$E$2:$E$5)</f>
        <v>Very High</v>
      </c>
      <c r="V1022" t="str">
        <f>_xlfn.XLOOKUP(L1022,Lookup_Tables!$D$2:$D$5,Lookup_Tables!$E$2:$E$5)</f>
        <v>Medium</v>
      </c>
    </row>
    <row r="1023" spans="1:22">
      <c r="A1023">
        <f>RAW_DATA!A1023</f>
        <v>25</v>
      </c>
      <c r="B1023" t="str">
        <f>RAW_DATA!B1023</f>
        <v>Yes</v>
      </c>
      <c r="C1023" t="str">
        <f>RAW_DATA!C1023</f>
        <v>Sales</v>
      </c>
      <c r="D1023">
        <f>RAW_DATA!D1023</f>
        <v>9</v>
      </c>
      <c r="E1023">
        <f>RAW_DATA!E1023</f>
        <v>2</v>
      </c>
      <c r="F1023" t="str">
        <f>RAW_DATA!F1023</f>
        <v>Life Sciences</v>
      </c>
      <c r="G1023">
        <f>RAW_DATA!G1023</f>
        <v>1</v>
      </c>
      <c r="H1023">
        <f>RAW_DATA!H1023</f>
        <v>1</v>
      </c>
      <c r="I1023" t="str">
        <f>RAW_DATA!I1023</f>
        <v>Married</v>
      </c>
      <c r="J1023">
        <f>RAW_DATA!J1023</f>
        <v>4400</v>
      </c>
      <c r="K1023">
        <f>RAW_DATA!K1023</f>
        <v>3</v>
      </c>
      <c r="L1023">
        <f>RAW_DATA!L1023</f>
        <v>3</v>
      </c>
      <c r="M1023">
        <f>RAW_DATA!M1023</f>
        <v>3</v>
      </c>
      <c r="N1023">
        <f t="shared" si="30"/>
        <v>1</v>
      </c>
      <c r="O1023" t="str">
        <f xml:space="preserve"> VLOOKUP(A1023, Lookup_Tables!$G$2:$H$6,2,TRUE)</f>
        <v>25-34</v>
      </c>
      <c r="P1023" t="str">
        <f>_xlfn.XLOOKUP(J1023,Lookup_Tables!$J$2:$J$4,Lookup_Tables!$K$2:$K$4, " ",-1)</f>
        <v>Medium</v>
      </c>
      <c r="Q1023" t="str">
        <f xml:space="preserve"> _xlfn.XLOOKUP(M1023, Lookup_Tables!$M$2:$M$5,Lookup_Tables!$N$2:$N$5," ", -1)</f>
        <v>Early (2-5)</v>
      </c>
      <c r="R1023" s="4">
        <f t="shared" si="31"/>
        <v>1.6666666666666667</v>
      </c>
      <c r="S1023" t="str">
        <f xml:space="preserve"> _xlfn.XLOOKUP( E1023, Lookup_Tables!$A$2:$A$6,Lookup_Tables!$B$2:$B$6," ", -1)</f>
        <v>College</v>
      </c>
      <c r="T1023" t="str">
        <f>_xlfn.XLOOKUP(G1023,Lookup_Tables!$D$2:$D$5,Lookup_Tables!$E$2:$E$5)</f>
        <v>Low</v>
      </c>
      <c r="U1023" t="str">
        <f>_xlfn.XLOOKUP(H1023,Lookup_Tables!$D$2:$D$5,Lookup_Tables!$E$2:$E$5)</f>
        <v>Low</v>
      </c>
      <c r="V1023" t="str">
        <f>_xlfn.XLOOKUP(L1023,Lookup_Tables!$D$2:$D$5,Lookup_Tables!$E$2:$E$5)</f>
        <v>High</v>
      </c>
    </row>
    <row r="1024" spans="1:22">
      <c r="A1024">
        <f>RAW_DATA!A1024</f>
        <v>37</v>
      </c>
      <c r="B1024" t="str">
        <f>RAW_DATA!B1024</f>
        <v>No</v>
      </c>
      <c r="C1024" t="str">
        <f>RAW_DATA!C1024</f>
        <v>Research &amp; Development</v>
      </c>
      <c r="D1024">
        <f>RAW_DATA!D1024</f>
        <v>5</v>
      </c>
      <c r="E1024">
        <f>RAW_DATA!E1024</f>
        <v>2</v>
      </c>
      <c r="F1024" t="str">
        <f>RAW_DATA!F1024</f>
        <v>Technical Degree</v>
      </c>
      <c r="G1024">
        <f>RAW_DATA!G1024</f>
        <v>3</v>
      </c>
      <c r="H1024">
        <f>RAW_DATA!H1024</f>
        <v>3</v>
      </c>
      <c r="I1024" t="str">
        <f>RAW_DATA!I1024</f>
        <v>Single</v>
      </c>
      <c r="J1024">
        <f>RAW_DATA!J1024</f>
        <v>3500</v>
      </c>
      <c r="K1024">
        <f>RAW_DATA!K1024</f>
        <v>0</v>
      </c>
      <c r="L1024">
        <f>RAW_DATA!L1024</f>
        <v>1</v>
      </c>
      <c r="M1024">
        <f>RAW_DATA!M1024</f>
        <v>6</v>
      </c>
      <c r="N1024">
        <f t="shared" si="30"/>
        <v>0</v>
      </c>
      <c r="O1024" t="str">
        <f xml:space="preserve"> VLOOKUP(A1024, Lookup_Tables!$G$2:$H$6,2,TRUE)</f>
        <v>35-44</v>
      </c>
      <c r="P1024" t="str">
        <f>_xlfn.XLOOKUP(J1024,Lookup_Tables!$J$2:$J$4,Lookup_Tables!$K$2:$K$4, " ",-1)</f>
        <v>Medium</v>
      </c>
      <c r="Q1024" t="str">
        <f xml:space="preserve"> _xlfn.XLOOKUP(M1024, Lookup_Tables!$M$2:$M$5,Lookup_Tables!$N$2:$N$5," ", -1)</f>
        <v>Established (5-10)</v>
      </c>
      <c r="R1024" s="4">
        <f t="shared" si="31"/>
        <v>2.3333333333333335</v>
      </c>
      <c r="S1024" t="str">
        <f xml:space="preserve"> _xlfn.XLOOKUP( E1024, Lookup_Tables!$A$2:$A$6,Lookup_Tables!$B$2:$B$6," ", -1)</f>
        <v>College</v>
      </c>
      <c r="T1024" t="str">
        <f>_xlfn.XLOOKUP(G1024,Lookup_Tables!$D$2:$D$5,Lookup_Tables!$E$2:$E$5)</f>
        <v>High</v>
      </c>
      <c r="U1024" t="str">
        <f>_xlfn.XLOOKUP(H1024,Lookup_Tables!$D$2:$D$5,Lookup_Tables!$E$2:$E$5)</f>
        <v>High</v>
      </c>
      <c r="V1024" t="str">
        <f>_xlfn.XLOOKUP(L1024,Lookup_Tables!$D$2:$D$5,Lookup_Tables!$E$2:$E$5)</f>
        <v>Low</v>
      </c>
    </row>
    <row r="1025" spans="1:22">
      <c r="A1025">
        <f>RAW_DATA!A1025</f>
        <v>56</v>
      </c>
      <c r="B1025" t="str">
        <f>RAW_DATA!B1025</f>
        <v>No</v>
      </c>
      <c r="C1025" t="str">
        <f>RAW_DATA!C1025</f>
        <v>Research &amp; Development</v>
      </c>
      <c r="D1025">
        <f>RAW_DATA!D1025</f>
        <v>1</v>
      </c>
      <c r="E1025">
        <f>RAW_DATA!E1025</f>
        <v>2</v>
      </c>
      <c r="F1025" t="str">
        <f>RAW_DATA!F1025</f>
        <v>Life Sciences</v>
      </c>
      <c r="G1025">
        <f>RAW_DATA!G1025</f>
        <v>1</v>
      </c>
      <c r="H1025">
        <f>RAW_DATA!H1025</f>
        <v>1</v>
      </c>
      <c r="I1025" t="str">
        <f>RAW_DATA!I1025</f>
        <v>Married</v>
      </c>
      <c r="J1025">
        <f>RAW_DATA!J1025</f>
        <v>2066</v>
      </c>
      <c r="K1025">
        <f>RAW_DATA!K1025</f>
        <v>2</v>
      </c>
      <c r="L1025">
        <f>RAW_DATA!L1025</f>
        <v>4</v>
      </c>
      <c r="M1025">
        <f>RAW_DATA!M1025</f>
        <v>3</v>
      </c>
      <c r="N1025">
        <f t="shared" si="30"/>
        <v>0</v>
      </c>
      <c r="O1025" t="str">
        <f xml:space="preserve"> VLOOKUP(A1025, Lookup_Tables!$G$2:$H$6,2,TRUE)</f>
        <v>55+</v>
      </c>
      <c r="P1025" t="str">
        <f>_xlfn.XLOOKUP(J1025,Lookup_Tables!$J$2:$J$4,Lookup_Tables!$K$2:$K$4, " ",-1)</f>
        <v>Low</v>
      </c>
      <c r="Q1025" t="str">
        <f xml:space="preserve"> _xlfn.XLOOKUP(M1025, Lookup_Tables!$M$2:$M$5,Lookup_Tables!$N$2:$N$5," ", -1)</f>
        <v>Early (2-5)</v>
      </c>
      <c r="R1025" s="4">
        <f t="shared" si="31"/>
        <v>2</v>
      </c>
      <c r="S1025" t="str">
        <f xml:space="preserve"> _xlfn.XLOOKUP( E1025, Lookup_Tables!$A$2:$A$6,Lookup_Tables!$B$2:$B$6," ", -1)</f>
        <v>College</v>
      </c>
      <c r="T1025" t="str">
        <f>_xlfn.XLOOKUP(G1025,Lookup_Tables!$D$2:$D$5,Lookup_Tables!$E$2:$E$5)</f>
        <v>Low</v>
      </c>
      <c r="U1025" t="str">
        <f>_xlfn.XLOOKUP(H1025,Lookup_Tables!$D$2:$D$5,Lookup_Tables!$E$2:$E$5)</f>
        <v>Low</v>
      </c>
      <c r="V1025" t="str">
        <f>_xlfn.XLOOKUP(L1025,Lookup_Tables!$D$2:$D$5,Lookup_Tables!$E$2:$E$5)</f>
        <v>Very High</v>
      </c>
    </row>
    <row r="1026" spans="1:22">
      <c r="A1026">
        <f>RAW_DATA!A1026</f>
        <v>47</v>
      </c>
      <c r="B1026" t="str">
        <f>RAW_DATA!B1026</f>
        <v>No</v>
      </c>
      <c r="C1026" t="str">
        <f>RAW_DATA!C1026</f>
        <v>Research &amp; Development</v>
      </c>
      <c r="D1026">
        <f>RAW_DATA!D1026</f>
        <v>2</v>
      </c>
      <c r="E1026">
        <f>RAW_DATA!E1026</f>
        <v>4</v>
      </c>
      <c r="F1026" t="str">
        <f>RAW_DATA!F1026</f>
        <v>Medical</v>
      </c>
      <c r="G1026">
        <f>RAW_DATA!G1026</f>
        <v>1</v>
      </c>
      <c r="H1026">
        <f>RAW_DATA!H1026</f>
        <v>3</v>
      </c>
      <c r="I1026" t="str">
        <f>RAW_DATA!I1026</f>
        <v>Married</v>
      </c>
      <c r="J1026">
        <f>RAW_DATA!J1026</f>
        <v>17169</v>
      </c>
      <c r="K1026">
        <f>RAW_DATA!K1026</f>
        <v>3</v>
      </c>
      <c r="L1026">
        <f>RAW_DATA!L1026</f>
        <v>4</v>
      </c>
      <c r="M1026">
        <f>RAW_DATA!M1026</f>
        <v>20</v>
      </c>
      <c r="N1026">
        <f t="shared" si="30"/>
        <v>0</v>
      </c>
      <c r="O1026" t="str">
        <f xml:space="preserve"> VLOOKUP(A1026, Lookup_Tables!$G$2:$H$6,2,TRUE)</f>
        <v>45-54</v>
      </c>
      <c r="P1026" t="str">
        <f>_xlfn.XLOOKUP(J1026,Lookup_Tables!$J$2:$J$4,Lookup_Tables!$K$2:$K$4, " ",-1)</f>
        <v>High</v>
      </c>
      <c r="Q1026" t="str">
        <f xml:space="preserve"> _xlfn.XLOOKUP(M1026, Lookup_Tables!$M$2:$M$5,Lookup_Tables!$N$2:$N$5," ", -1)</f>
        <v>Veteran (10+)</v>
      </c>
      <c r="R1026" s="4">
        <f t="shared" si="31"/>
        <v>2.6666666666666665</v>
      </c>
      <c r="S1026" t="str">
        <f xml:space="preserve"> _xlfn.XLOOKUP( E1026, Lookup_Tables!$A$2:$A$6,Lookup_Tables!$B$2:$B$6," ", -1)</f>
        <v>Master</v>
      </c>
      <c r="T1026" t="str">
        <f>_xlfn.XLOOKUP(G1026,Lookup_Tables!$D$2:$D$5,Lookup_Tables!$E$2:$E$5)</f>
        <v>Low</v>
      </c>
      <c r="U1026" t="str">
        <f>_xlfn.XLOOKUP(H1026,Lookup_Tables!$D$2:$D$5,Lookup_Tables!$E$2:$E$5)</f>
        <v>High</v>
      </c>
      <c r="V1026" t="str">
        <f>_xlfn.XLOOKUP(L1026,Lookup_Tables!$D$2:$D$5,Lookup_Tables!$E$2:$E$5)</f>
        <v>Very High</v>
      </c>
    </row>
    <row r="1027" spans="1:22">
      <c r="A1027">
        <f>RAW_DATA!A1027</f>
        <v>24</v>
      </c>
      <c r="B1027" t="str">
        <f>RAW_DATA!B1027</f>
        <v>No</v>
      </c>
      <c r="C1027" t="str">
        <f>RAW_DATA!C1027</f>
        <v>Sales</v>
      </c>
      <c r="D1027">
        <f>RAW_DATA!D1027</f>
        <v>4</v>
      </c>
      <c r="E1027">
        <f>RAW_DATA!E1027</f>
        <v>1</v>
      </c>
      <c r="F1027" t="str">
        <f>RAW_DATA!F1027</f>
        <v>Medical</v>
      </c>
      <c r="G1027">
        <f>RAW_DATA!G1027</f>
        <v>4</v>
      </c>
      <c r="H1027">
        <f>RAW_DATA!H1027</f>
        <v>3</v>
      </c>
      <c r="I1027" t="str">
        <f>RAW_DATA!I1027</f>
        <v>Married</v>
      </c>
      <c r="J1027">
        <f>RAW_DATA!J1027</f>
        <v>4162</v>
      </c>
      <c r="K1027">
        <f>RAW_DATA!K1027</f>
        <v>1</v>
      </c>
      <c r="L1027">
        <f>RAW_DATA!L1027</f>
        <v>3</v>
      </c>
      <c r="M1027">
        <f>RAW_DATA!M1027</f>
        <v>5</v>
      </c>
      <c r="N1027">
        <f t="shared" ref="N1027:N1090" si="32" xml:space="preserve"> IF(B1027 ="Yes",1,0)</f>
        <v>0</v>
      </c>
      <c r="O1027" t="str">
        <f xml:space="preserve"> VLOOKUP(A1027, Lookup_Tables!$G$2:$H$6,2,TRUE)</f>
        <v>&lt;25</v>
      </c>
      <c r="P1027" t="str">
        <f>_xlfn.XLOOKUP(J1027,Lookup_Tables!$J$2:$J$4,Lookup_Tables!$K$2:$K$4, " ",-1)</f>
        <v>Medium</v>
      </c>
      <c r="Q1027" t="str">
        <f xml:space="preserve"> _xlfn.XLOOKUP(M1027, Lookup_Tables!$M$2:$M$5,Lookup_Tables!$N$2:$N$5," ", -1)</f>
        <v>Established (5-10)</v>
      </c>
      <c r="R1027" s="4">
        <f t="shared" ref="R1027:R1090" si="33">AVERAGE(G1027,H1027,L1027)</f>
        <v>3.3333333333333335</v>
      </c>
      <c r="S1027" t="str">
        <f xml:space="preserve"> _xlfn.XLOOKUP( E1027, Lookup_Tables!$A$2:$A$6,Lookup_Tables!$B$2:$B$6," ", -1)</f>
        <v>Below College</v>
      </c>
      <c r="T1027" t="str">
        <f>_xlfn.XLOOKUP(G1027,Lookup_Tables!$D$2:$D$5,Lookup_Tables!$E$2:$E$5)</f>
        <v>Very High</v>
      </c>
      <c r="U1027" t="str">
        <f>_xlfn.XLOOKUP(H1027,Lookup_Tables!$D$2:$D$5,Lookup_Tables!$E$2:$E$5)</f>
        <v>High</v>
      </c>
      <c r="V1027" t="str">
        <f>_xlfn.XLOOKUP(L1027,Lookup_Tables!$D$2:$D$5,Lookup_Tables!$E$2:$E$5)</f>
        <v>High</v>
      </c>
    </row>
    <row r="1028" spans="1:22">
      <c r="A1028">
        <f>RAW_DATA!A1028</f>
        <v>32</v>
      </c>
      <c r="B1028" t="str">
        <f>RAW_DATA!B1028</f>
        <v>No</v>
      </c>
      <c r="C1028" t="str">
        <f>RAW_DATA!C1028</f>
        <v>Sales</v>
      </c>
      <c r="D1028">
        <f>RAW_DATA!D1028</f>
        <v>7</v>
      </c>
      <c r="E1028">
        <f>RAW_DATA!E1028</f>
        <v>5</v>
      </c>
      <c r="F1028" t="str">
        <f>RAW_DATA!F1028</f>
        <v>Marketing</v>
      </c>
      <c r="G1028">
        <f>RAW_DATA!G1028</f>
        <v>4</v>
      </c>
      <c r="H1028">
        <f>RAW_DATA!H1028</f>
        <v>4</v>
      </c>
      <c r="I1028" t="str">
        <f>RAW_DATA!I1028</f>
        <v>Married</v>
      </c>
      <c r="J1028">
        <f>RAW_DATA!J1028</f>
        <v>9204</v>
      </c>
      <c r="K1028">
        <f>RAW_DATA!K1028</f>
        <v>4</v>
      </c>
      <c r="L1028">
        <f>RAW_DATA!L1028</f>
        <v>2</v>
      </c>
      <c r="M1028">
        <f>RAW_DATA!M1028</f>
        <v>4</v>
      </c>
      <c r="N1028">
        <f t="shared" si="32"/>
        <v>0</v>
      </c>
      <c r="O1028" t="str">
        <f xml:space="preserve"> VLOOKUP(A1028, Lookup_Tables!$G$2:$H$6,2,TRUE)</f>
        <v>25-34</v>
      </c>
      <c r="P1028" t="str">
        <f>_xlfn.XLOOKUP(J1028,Lookup_Tables!$J$2:$J$4,Lookup_Tables!$K$2:$K$4, " ",-1)</f>
        <v>High</v>
      </c>
      <c r="Q1028" t="str">
        <f xml:space="preserve"> _xlfn.XLOOKUP(M1028, Lookup_Tables!$M$2:$M$5,Lookup_Tables!$N$2:$N$5," ", -1)</f>
        <v>Early (2-5)</v>
      </c>
      <c r="R1028" s="4">
        <f t="shared" si="33"/>
        <v>3.3333333333333335</v>
      </c>
      <c r="S1028" t="str">
        <f xml:space="preserve"> _xlfn.XLOOKUP( E1028, Lookup_Tables!$A$2:$A$6,Lookup_Tables!$B$2:$B$6," ", -1)</f>
        <v>Doctor</v>
      </c>
      <c r="T1028" t="str">
        <f>_xlfn.XLOOKUP(G1028,Lookup_Tables!$D$2:$D$5,Lookup_Tables!$E$2:$E$5)</f>
        <v>Very High</v>
      </c>
      <c r="U1028" t="str">
        <f>_xlfn.XLOOKUP(H1028,Lookup_Tables!$D$2:$D$5,Lookup_Tables!$E$2:$E$5)</f>
        <v>Very High</v>
      </c>
      <c r="V1028" t="str">
        <f>_xlfn.XLOOKUP(L1028,Lookup_Tables!$D$2:$D$5,Lookup_Tables!$E$2:$E$5)</f>
        <v>Medium</v>
      </c>
    </row>
    <row r="1029" spans="1:22">
      <c r="A1029">
        <f>RAW_DATA!A1029</f>
        <v>34</v>
      </c>
      <c r="B1029" t="str">
        <f>RAW_DATA!B1029</f>
        <v>No</v>
      </c>
      <c r="C1029" t="str">
        <f>RAW_DATA!C1029</f>
        <v>Research &amp; Development</v>
      </c>
      <c r="D1029">
        <f>RAW_DATA!D1029</f>
        <v>1</v>
      </c>
      <c r="E1029">
        <f>RAW_DATA!E1029</f>
        <v>3</v>
      </c>
      <c r="F1029" t="str">
        <f>RAW_DATA!F1029</f>
        <v>Life Sciences</v>
      </c>
      <c r="G1029">
        <f>RAW_DATA!G1029</f>
        <v>4</v>
      </c>
      <c r="H1029">
        <f>RAW_DATA!H1029</f>
        <v>2</v>
      </c>
      <c r="I1029" t="str">
        <f>RAW_DATA!I1029</f>
        <v>Married</v>
      </c>
      <c r="J1029">
        <f>RAW_DATA!J1029</f>
        <v>3294</v>
      </c>
      <c r="K1029">
        <f>RAW_DATA!K1029</f>
        <v>5</v>
      </c>
      <c r="L1029">
        <f>RAW_DATA!L1029</f>
        <v>2</v>
      </c>
      <c r="M1029">
        <f>RAW_DATA!M1029</f>
        <v>5</v>
      </c>
      <c r="N1029">
        <f t="shared" si="32"/>
        <v>0</v>
      </c>
      <c r="O1029" t="str">
        <f xml:space="preserve"> VLOOKUP(A1029, Lookup_Tables!$G$2:$H$6,2,TRUE)</f>
        <v>25-34</v>
      </c>
      <c r="P1029" t="str">
        <f>_xlfn.XLOOKUP(J1029,Lookup_Tables!$J$2:$J$4,Lookup_Tables!$K$2:$K$4, " ",-1)</f>
        <v>Medium</v>
      </c>
      <c r="Q1029" t="str">
        <f xml:space="preserve"> _xlfn.XLOOKUP(M1029, Lookup_Tables!$M$2:$M$5,Lookup_Tables!$N$2:$N$5," ", -1)</f>
        <v>Established (5-10)</v>
      </c>
      <c r="R1029" s="4">
        <f t="shared" si="33"/>
        <v>2.6666666666666665</v>
      </c>
      <c r="S1029" t="str">
        <f xml:space="preserve"> _xlfn.XLOOKUP( E1029, Lookup_Tables!$A$2:$A$6,Lookup_Tables!$B$2:$B$6," ", -1)</f>
        <v>Bachelor</v>
      </c>
      <c r="T1029" t="str">
        <f>_xlfn.XLOOKUP(G1029,Lookup_Tables!$D$2:$D$5,Lookup_Tables!$E$2:$E$5)</f>
        <v>Very High</v>
      </c>
      <c r="U1029" t="str">
        <f>_xlfn.XLOOKUP(H1029,Lookup_Tables!$D$2:$D$5,Lookup_Tables!$E$2:$E$5)</f>
        <v>Medium</v>
      </c>
      <c r="V1029" t="str">
        <f>_xlfn.XLOOKUP(L1029,Lookup_Tables!$D$2:$D$5,Lookup_Tables!$E$2:$E$5)</f>
        <v>Medium</v>
      </c>
    </row>
    <row r="1030" spans="1:22">
      <c r="A1030">
        <f>RAW_DATA!A1030</f>
        <v>41</v>
      </c>
      <c r="B1030" t="str">
        <f>RAW_DATA!B1030</f>
        <v>No</v>
      </c>
      <c r="C1030" t="str">
        <f>RAW_DATA!C1030</f>
        <v>Research &amp; Development</v>
      </c>
      <c r="D1030">
        <f>RAW_DATA!D1030</f>
        <v>5</v>
      </c>
      <c r="E1030">
        <f>RAW_DATA!E1030</f>
        <v>5</v>
      </c>
      <c r="F1030" t="str">
        <f>RAW_DATA!F1030</f>
        <v>Medical</v>
      </c>
      <c r="G1030">
        <f>RAW_DATA!G1030</f>
        <v>2</v>
      </c>
      <c r="H1030">
        <f>RAW_DATA!H1030</f>
        <v>3</v>
      </c>
      <c r="I1030" t="str">
        <f>RAW_DATA!I1030</f>
        <v>Married</v>
      </c>
      <c r="J1030">
        <f>RAW_DATA!J1030</f>
        <v>2127</v>
      </c>
      <c r="K1030">
        <f>RAW_DATA!K1030</f>
        <v>2</v>
      </c>
      <c r="L1030">
        <f>RAW_DATA!L1030</f>
        <v>2</v>
      </c>
      <c r="M1030">
        <f>RAW_DATA!M1030</f>
        <v>4</v>
      </c>
      <c r="N1030">
        <f t="shared" si="32"/>
        <v>0</v>
      </c>
      <c r="O1030" t="str">
        <f xml:space="preserve"> VLOOKUP(A1030, Lookup_Tables!$G$2:$H$6,2,TRUE)</f>
        <v>35-44</v>
      </c>
      <c r="P1030" t="str">
        <f>_xlfn.XLOOKUP(J1030,Lookup_Tables!$J$2:$J$4,Lookup_Tables!$K$2:$K$4, " ",-1)</f>
        <v>Low</v>
      </c>
      <c r="Q1030" t="str">
        <f xml:space="preserve"> _xlfn.XLOOKUP(M1030, Lookup_Tables!$M$2:$M$5,Lookup_Tables!$N$2:$N$5," ", -1)</f>
        <v>Early (2-5)</v>
      </c>
      <c r="R1030" s="4">
        <f t="shared" si="33"/>
        <v>2.3333333333333335</v>
      </c>
      <c r="S1030" t="str">
        <f xml:space="preserve"> _xlfn.XLOOKUP( E1030, Lookup_Tables!$A$2:$A$6,Lookup_Tables!$B$2:$B$6," ", -1)</f>
        <v>Doctor</v>
      </c>
      <c r="T1030" t="str">
        <f>_xlfn.XLOOKUP(G1030,Lookup_Tables!$D$2:$D$5,Lookup_Tables!$E$2:$E$5)</f>
        <v>Medium</v>
      </c>
      <c r="U1030" t="str">
        <f>_xlfn.XLOOKUP(H1030,Lookup_Tables!$D$2:$D$5,Lookup_Tables!$E$2:$E$5)</f>
        <v>High</v>
      </c>
      <c r="V1030" t="str">
        <f>_xlfn.XLOOKUP(L1030,Lookup_Tables!$D$2:$D$5,Lookup_Tables!$E$2:$E$5)</f>
        <v>Medium</v>
      </c>
    </row>
    <row r="1031" spans="1:22">
      <c r="A1031">
        <f>RAW_DATA!A1031</f>
        <v>40</v>
      </c>
      <c r="B1031" t="str">
        <f>RAW_DATA!B1031</f>
        <v>No</v>
      </c>
      <c r="C1031" t="str">
        <f>RAW_DATA!C1031</f>
        <v>Research &amp; Development</v>
      </c>
      <c r="D1031">
        <f>RAW_DATA!D1031</f>
        <v>9</v>
      </c>
      <c r="E1031">
        <f>RAW_DATA!E1031</f>
        <v>4</v>
      </c>
      <c r="F1031" t="str">
        <f>RAW_DATA!F1031</f>
        <v>Other</v>
      </c>
      <c r="G1031">
        <f>RAW_DATA!G1031</f>
        <v>3</v>
      </c>
      <c r="H1031">
        <f>RAW_DATA!H1031</f>
        <v>3</v>
      </c>
      <c r="I1031" t="str">
        <f>RAW_DATA!I1031</f>
        <v>Divorced</v>
      </c>
      <c r="J1031">
        <f>RAW_DATA!J1031</f>
        <v>3975</v>
      </c>
      <c r="K1031">
        <f>RAW_DATA!K1031</f>
        <v>3</v>
      </c>
      <c r="L1031">
        <f>RAW_DATA!L1031</f>
        <v>4</v>
      </c>
      <c r="M1031">
        <f>RAW_DATA!M1031</f>
        <v>8</v>
      </c>
      <c r="N1031">
        <f t="shared" si="32"/>
        <v>0</v>
      </c>
      <c r="O1031" t="str">
        <f xml:space="preserve"> VLOOKUP(A1031, Lookup_Tables!$G$2:$H$6,2,TRUE)</f>
        <v>35-44</v>
      </c>
      <c r="P1031" t="str">
        <f>_xlfn.XLOOKUP(J1031,Lookup_Tables!$J$2:$J$4,Lookup_Tables!$K$2:$K$4, " ",-1)</f>
        <v>Medium</v>
      </c>
      <c r="Q1031" t="str">
        <f xml:space="preserve"> _xlfn.XLOOKUP(M1031, Lookup_Tables!$M$2:$M$5,Lookup_Tables!$N$2:$N$5," ", -1)</f>
        <v>Established (5-10)</v>
      </c>
      <c r="R1031" s="4">
        <f t="shared" si="33"/>
        <v>3.3333333333333335</v>
      </c>
      <c r="S1031" t="str">
        <f xml:space="preserve"> _xlfn.XLOOKUP( E1031, Lookup_Tables!$A$2:$A$6,Lookup_Tables!$B$2:$B$6," ", -1)</f>
        <v>Master</v>
      </c>
      <c r="T1031" t="str">
        <f>_xlfn.XLOOKUP(G1031,Lookup_Tables!$D$2:$D$5,Lookup_Tables!$E$2:$E$5)</f>
        <v>High</v>
      </c>
      <c r="U1031" t="str">
        <f>_xlfn.XLOOKUP(H1031,Lookup_Tables!$D$2:$D$5,Lookup_Tables!$E$2:$E$5)</f>
        <v>High</v>
      </c>
      <c r="V1031" t="str">
        <f>_xlfn.XLOOKUP(L1031,Lookup_Tables!$D$2:$D$5,Lookup_Tables!$E$2:$E$5)</f>
        <v>Very High</v>
      </c>
    </row>
    <row r="1032" spans="1:22">
      <c r="A1032">
        <f>RAW_DATA!A1032</f>
        <v>31</v>
      </c>
      <c r="B1032" t="str">
        <f>RAW_DATA!B1032</f>
        <v>No</v>
      </c>
      <c r="C1032" t="str">
        <f>RAW_DATA!C1032</f>
        <v>Sales</v>
      </c>
      <c r="D1032">
        <f>RAW_DATA!D1032</f>
        <v>8</v>
      </c>
      <c r="E1032">
        <f>RAW_DATA!E1032</f>
        <v>2</v>
      </c>
      <c r="F1032" t="str">
        <f>RAW_DATA!F1032</f>
        <v>Life Sciences</v>
      </c>
      <c r="G1032">
        <f>RAW_DATA!G1032</f>
        <v>1</v>
      </c>
      <c r="H1032">
        <f>RAW_DATA!H1032</f>
        <v>4</v>
      </c>
      <c r="I1032" t="str">
        <f>RAW_DATA!I1032</f>
        <v>Divorced</v>
      </c>
      <c r="J1032">
        <f>RAW_DATA!J1032</f>
        <v>10793</v>
      </c>
      <c r="K1032">
        <f>RAW_DATA!K1032</f>
        <v>1</v>
      </c>
      <c r="L1032">
        <f>RAW_DATA!L1032</f>
        <v>3</v>
      </c>
      <c r="M1032">
        <f>RAW_DATA!M1032</f>
        <v>13</v>
      </c>
      <c r="N1032">
        <f t="shared" si="32"/>
        <v>0</v>
      </c>
      <c r="O1032" t="str">
        <f xml:space="preserve"> VLOOKUP(A1032, Lookup_Tables!$G$2:$H$6,2,TRUE)</f>
        <v>25-34</v>
      </c>
      <c r="P1032" t="str">
        <f>_xlfn.XLOOKUP(J1032,Lookup_Tables!$J$2:$J$4,Lookup_Tables!$K$2:$K$4, " ",-1)</f>
        <v>High</v>
      </c>
      <c r="Q1032" t="str">
        <f xml:space="preserve"> _xlfn.XLOOKUP(M1032, Lookup_Tables!$M$2:$M$5,Lookup_Tables!$N$2:$N$5," ", -1)</f>
        <v>Veteran (10+)</v>
      </c>
      <c r="R1032" s="4">
        <f t="shared" si="33"/>
        <v>2.6666666666666665</v>
      </c>
      <c r="S1032" t="str">
        <f xml:space="preserve"> _xlfn.XLOOKUP( E1032, Lookup_Tables!$A$2:$A$6,Lookup_Tables!$B$2:$B$6," ", -1)</f>
        <v>College</v>
      </c>
      <c r="T1032" t="str">
        <f>_xlfn.XLOOKUP(G1032,Lookup_Tables!$D$2:$D$5,Lookup_Tables!$E$2:$E$5)</f>
        <v>Low</v>
      </c>
      <c r="U1032" t="str">
        <f>_xlfn.XLOOKUP(H1032,Lookup_Tables!$D$2:$D$5,Lookup_Tables!$E$2:$E$5)</f>
        <v>Very High</v>
      </c>
      <c r="V1032" t="str">
        <f>_xlfn.XLOOKUP(L1032,Lookup_Tables!$D$2:$D$5,Lookup_Tables!$E$2:$E$5)</f>
        <v>High</v>
      </c>
    </row>
    <row r="1033" spans="1:22">
      <c r="A1033">
        <f>RAW_DATA!A1033</f>
        <v>46</v>
      </c>
      <c r="B1033" t="str">
        <f>RAW_DATA!B1033</f>
        <v>Yes</v>
      </c>
      <c r="C1033" t="str">
        <f>RAW_DATA!C1033</f>
        <v>Sales</v>
      </c>
      <c r="D1033">
        <f>RAW_DATA!D1033</f>
        <v>9</v>
      </c>
      <c r="E1033">
        <f>RAW_DATA!E1033</f>
        <v>3</v>
      </c>
      <c r="F1033" t="str">
        <f>RAW_DATA!F1033</f>
        <v>Marketing</v>
      </c>
      <c r="G1033">
        <f>RAW_DATA!G1033</f>
        <v>1</v>
      </c>
      <c r="H1033">
        <f>RAW_DATA!H1033</f>
        <v>4</v>
      </c>
      <c r="I1033" t="str">
        <f>RAW_DATA!I1033</f>
        <v>Divorced</v>
      </c>
      <c r="J1033">
        <f>RAW_DATA!J1033</f>
        <v>10096</v>
      </c>
      <c r="K1033">
        <f>RAW_DATA!K1033</f>
        <v>4</v>
      </c>
      <c r="L1033">
        <f>RAW_DATA!L1033</f>
        <v>4</v>
      </c>
      <c r="M1033">
        <f>RAW_DATA!M1033</f>
        <v>7</v>
      </c>
      <c r="N1033">
        <f t="shared" si="32"/>
        <v>1</v>
      </c>
      <c r="O1033" t="str">
        <f xml:space="preserve"> VLOOKUP(A1033, Lookup_Tables!$G$2:$H$6,2,TRUE)</f>
        <v>45-54</v>
      </c>
      <c r="P1033" t="str">
        <f>_xlfn.XLOOKUP(J1033,Lookup_Tables!$J$2:$J$4,Lookup_Tables!$K$2:$K$4, " ",-1)</f>
        <v>High</v>
      </c>
      <c r="Q1033" t="str">
        <f xml:space="preserve"> _xlfn.XLOOKUP(M1033, Lookup_Tables!$M$2:$M$5,Lookup_Tables!$N$2:$N$5," ", -1)</f>
        <v>Established (5-10)</v>
      </c>
      <c r="R1033" s="4">
        <f t="shared" si="33"/>
        <v>3</v>
      </c>
      <c r="S1033" t="str">
        <f xml:space="preserve"> _xlfn.XLOOKUP( E1033, Lookup_Tables!$A$2:$A$6,Lookup_Tables!$B$2:$B$6," ", -1)</f>
        <v>Bachelor</v>
      </c>
      <c r="T1033" t="str">
        <f>_xlfn.XLOOKUP(G1033,Lookup_Tables!$D$2:$D$5,Lookup_Tables!$E$2:$E$5)</f>
        <v>Low</v>
      </c>
      <c r="U1033" t="str">
        <f>_xlfn.XLOOKUP(H1033,Lookup_Tables!$D$2:$D$5,Lookup_Tables!$E$2:$E$5)</f>
        <v>Very High</v>
      </c>
      <c r="V1033" t="str">
        <f>_xlfn.XLOOKUP(L1033,Lookup_Tables!$D$2:$D$5,Lookup_Tables!$E$2:$E$5)</f>
        <v>Very High</v>
      </c>
    </row>
    <row r="1034" spans="1:22">
      <c r="A1034">
        <f>RAW_DATA!A1034</f>
        <v>39</v>
      </c>
      <c r="B1034" t="str">
        <f>RAW_DATA!B1034</f>
        <v>Yes</v>
      </c>
      <c r="C1034" t="str">
        <f>RAW_DATA!C1034</f>
        <v>Research &amp; Development</v>
      </c>
      <c r="D1034">
        <f>RAW_DATA!D1034</f>
        <v>2</v>
      </c>
      <c r="E1034">
        <f>RAW_DATA!E1034</f>
        <v>3</v>
      </c>
      <c r="F1034" t="str">
        <f>RAW_DATA!F1034</f>
        <v>Life Sciences</v>
      </c>
      <c r="G1034">
        <f>RAW_DATA!G1034</f>
        <v>1</v>
      </c>
      <c r="H1034">
        <f>RAW_DATA!H1034</f>
        <v>1</v>
      </c>
      <c r="I1034" t="str">
        <f>RAW_DATA!I1034</f>
        <v>Single</v>
      </c>
      <c r="J1034">
        <f>RAW_DATA!J1034</f>
        <v>3646</v>
      </c>
      <c r="K1034">
        <f>RAW_DATA!K1034</f>
        <v>2</v>
      </c>
      <c r="L1034">
        <f>RAW_DATA!L1034</f>
        <v>4</v>
      </c>
      <c r="M1034">
        <f>RAW_DATA!M1034</f>
        <v>1</v>
      </c>
      <c r="N1034">
        <f t="shared" si="32"/>
        <v>1</v>
      </c>
      <c r="O1034" t="str">
        <f xml:space="preserve"> VLOOKUP(A1034, Lookup_Tables!$G$2:$H$6,2,TRUE)</f>
        <v>35-44</v>
      </c>
      <c r="P1034" t="str">
        <f>_xlfn.XLOOKUP(J1034,Lookup_Tables!$J$2:$J$4,Lookup_Tables!$K$2:$K$4, " ",-1)</f>
        <v>Medium</v>
      </c>
      <c r="Q1034" t="str">
        <f xml:space="preserve"> _xlfn.XLOOKUP(M1034, Lookup_Tables!$M$2:$M$5,Lookup_Tables!$N$2:$N$5," ", -1)</f>
        <v>New (0-2)</v>
      </c>
      <c r="R1034" s="4">
        <f t="shared" si="33"/>
        <v>2</v>
      </c>
      <c r="S1034" t="str">
        <f xml:space="preserve"> _xlfn.XLOOKUP( E1034, Lookup_Tables!$A$2:$A$6,Lookup_Tables!$B$2:$B$6," ", -1)</f>
        <v>Bachelor</v>
      </c>
      <c r="T1034" t="str">
        <f>_xlfn.XLOOKUP(G1034,Lookup_Tables!$D$2:$D$5,Lookup_Tables!$E$2:$E$5)</f>
        <v>Low</v>
      </c>
      <c r="U1034" t="str">
        <f>_xlfn.XLOOKUP(H1034,Lookup_Tables!$D$2:$D$5,Lookup_Tables!$E$2:$E$5)</f>
        <v>Low</v>
      </c>
      <c r="V1034" t="str">
        <f>_xlfn.XLOOKUP(L1034,Lookup_Tables!$D$2:$D$5,Lookup_Tables!$E$2:$E$5)</f>
        <v>Very High</v>
      </c>
    </row>
    <row r="1035" spans="1:22">
      <c r="A1035">
        <f>RAW_DATA!A1035</f>
        <v>31</v>
      </c>
      <c r="B1035" t="str">
        <f>RAW_DATA!B1035</f>
        <v>Yes</v>
      </c>
      <c r="C1035" t="str">
        <f>RAW_DATA!C1035</f>
        <v>Research &amp; Development</v>
      </c>
      <c r="D1035">
        <f>RAW_DATA!D1035</f>
        <v>1</v>
      </c>
      <c r="E1035">
        <f>RAW_DATA!E1035</f>
        <v>5</v>
      </c>
      <c r="F1035" t="str">
        <f>RAW_DATA!F1035</f>
        <v>Life Sciences</v>
      </c>
      <c r="G1035">
        <f>RAW_DATA!G1035</f>
        <v>3</v>
      </c>
      <c r="H1035">
        <f>RAW_DATA!H1035</f>
        <v>2</v>
      </c>
      <c r="I1035" t="str">
        <f>RAW_DATA!I1035</f>
        <v>Single</v>
      </c>
      <c r="J1035">
        <f>RAW_DATA!J1035</f>
        <v>7446</v>
      </c>
      <c r="K1035">
        <f>RAW_DATA!K1035</f>
        <v>1</v>
      </c>
      <c r="L1035">
        <f>RAW_DATA!L1035</f>
        <v>3</v>
      </c>
      <c r="M1035">
        <f>RAW_DATA!M1035</f>
        <v>10</v>
      </c>
      <c r="N1035">
        <f t="shared" si="32"/>
        <v>1</v>
      </c>
      <c r="O1035" t="str">
        <f xml:space="preserve"> VLOOKUP(A1035, Lookup_Tables!$G$2:$H$6,2,TRUE)</f>
        <v>25-34</v>
      </c>
      <c r="P1035" t="str">
        <f>_xlfn.XLOOKUP(J1035,Lookup_Tables!$J$2:$J$4,Lookup_Tables!$K$2:$K$4, " ",-1)</f>
        <v>High</v>
      </c>
      <c r="Q1035" t="str">
        <f xml:space="preserve"> _xlfn.XLOOKUP(M1035, Lookup_Tables!$M$2:$M$5,Lookup_Tables!$N$2:$N$5," ", -1)</f>
        <v>Veteran (10+)</v>
      </c>
      <c r="R1035" s="4">
        <f t="shared" si="33"/>
        <v>2.6666666666666665</v>
      </c>
      <c r="S1035" t="str">
        <f xml:space="preserve"> _xlfn.XLOOKUP( E1035, Lookup_Tables!$A$2:$A$6,Lookup_Tables!$B$2:$B$6," ", -1)</f>
        <v>Doctor</v>
      </c>
      <c r="T1035" t="str">
        <f>_xlfn.XLOOKUP(G1035,Lookup_Tables!$D$2:$D$5,Lookup_Tables!$E$2:$E$5)</f>
        <v>High</v>
      </c>
      <c r="U1035" t="str">
        <f>_xlfn.XLOOKUP(H1035,Lookup_Tables!$D$2:$D$5,Lookup_Tables!$E$2:$E$5)</f>
        <v>Medium</v>
      </c>
      <c r="V1035" t="str">
        <f>_xlfn.XLOOKUP(L1035,Lookup_Tables!$D$2:$D$5,Lookup_Tables!$E$2:$E$5)</f>
        <v>High</v>
      </c>
    </row>
    <row r="1036" spans="1:22">
      <c r="A1036">
        <f>RAW_DATA!A1036</f>
        <v>45</v>
      </c>
      <c r="B1036" t="str">
        <f>RAW_DATA!B1036</f>
        <v>No</v>
      </c>
      <c r="C1036" t="str">
        <f>RAW_DATA!C1036</f>
        <v>Research &amp; Development</v>
      </c>
      <c r="D1036">
        <f>RAW_DATA!D1036</f>
        <v>20</v>
      </c>
      <c r="E1036">
        <f>RAW_DATA!E1036</f>
        <v>3</v>
      </c>
      <c r="F1036" t="str">
        <f>RAW_DATA!F1036</f>
        <v>Medical</v>
      </c>
      <c r="G1036">
        <f>RAW_DATA!G1036</f>
        <v>2</v>
      </c>
      <c r="H1036">
        <f>RAW_DATA!H1036</f>
        <v>1</v>
      </c>
      <c r="I1036" t="str">
        <f>RAW_DATA!I1036</f>
        <v>Divorced</v>
      </c>
      <c r="J1036">
        <f>RAW_DATA!J1036</f>
        <v>10851</v>
      </c>
      <c r="K1036">
        <f>RAW_DATA!K1036</f>
        <v>2</v>
      </c>
      <c r="L1036">
        <f>RAW_DATA!L1036</f>
        <v>3</v>
      </c>
      <c r="M1036">
        <f>RAW_DATA!M1036</f>
        <v>7</v>
      </c>
      <c r="N1036">
        <f t="shared" si="32"/>
        <v>0</v>
      </c>
      <c r="O1036" t="str">
        <f xml:space="preserve"> VLOOKUP(A1036, Lookup_Tables!$G$2:$H$6,2,TRUE)</f>
        <v>45-54</v>
      </c>
      <c r="P1036" t="str">
        <f>_xlfn.XLOOKUP(J1036,Lookup_Tables!$J$2:$J$4,Lookup_Tables!$K$2:$K$4, " ",-1)</f>
        <v>High</v>
      </c>
      <c r="Q1036" t="str">
        <f xml:space="preserve"> _xlfn.XLOOKUP(M1036, Lookup_Tables!$M$2:$M$5,Lookup_Tables!$N$2:$N$5," ", -1)</f>
        <v>Established (5-10)</v>
      </c>
      <c r="R1036" s="4">
        <f t="shared" si="33"/>
        <v>2</v>
      </c>
      <c r="S1036" t="str">
        <f xml:space="preserve"> _xlfn.XLOOKUP( E1036, Lookup_Tables!$A$2:$A$6,Lookup_Tables!$B$2:$B$6," ", -1)</f>
        <v>Bachelor</v>
      </c>
      <c r="T1036" t="str">
        <f>_xlfn.XLOOKUP(G1036,Lookup_Tables!$D$2:$D$5,Lookup_Tables!$E$2:$E$5)</f>
        <v>Medium</v>
      </c>
      <c r="U1036" t="str">
        <f>_xlfn.XLOOKUP(H1036,Lookup_Tables!$D$2:$D$5,Lookup_Tables!$E$2:$E$5)</f>
        <v>Low</v>
      </c>
      <c r="V1036" t="str">
        <f>_xlfn.XLOOKUP(L1036,Lookup_Tables!$D$2:$D$5,Lookup_Tables!$E$2:$E$5)</f>
        <v>High</v>
      </c>
    </row>
    <row r="1037" spans="1:22">
      <c r="A1037">
        <f>RAW_DATA!A1037</f>
        <v>31</v>
      </c>
      <c r="B1037" t="str">
        <f>RAW_DATA!B1037</f>
        <v>No</v>
      </c>
      <c r="C1037" t="str">
        <f>RAW_DATA!C1037</f>
        <v>Human Resources</v>
      </c>
      <c r="D1037">
        <f>RAW_DATA!D1037</f>
        <v>8</v>
      </c>
      <c r="E1037">
        <f>RAW_DATA!E1037</f>
        <v>2</v>
      </c>
      <c r="F1037" t="str">
        <f>RAW_DATA!F1037</f>
        <v>Medical</v>
      </c>
      <c r="G1037">
        <f>RAW_DATA!G1037</f>
        <v>4</v>
      </c>
      <c r="H1037">
        <f>RAW_DATA!H1037</f>
        <v>2</v>
      </c>
      <c r="I1037" t="str">
        <f>RAW_DATA!I1037</f>
        <v>Single</v>
      </c>
      <c r="J1037">
        <f>RAW_DATA!J1037</f>
        <v>2109</v>
      </c>
      <c r="K1037">
        <f>RAW_DATA!K1037</f>
        <v>9</v>
      </c>
      <c r="L1037">
        <f>RAW_DATA!L1037</f>
        <v>3</v>
      </c>
      <c r="M1037">
        <f>RAW_DATA!M1037</f>
        <v>3</v>
      </c>
      <c r="N1037">
        <f t="shared" si="32"/>
        <v>0</v>
      </c>
      <c r="O1037" t="str">
        <f xml:space="preserve"> VLOOKUP(A1037, Lookup_Tables!$G$2:$H$6,2,TRUE)</f>
        <v>25-34</v>
      </c>
      <c r="P1037" t="str">
        <f>_xlfn.XLOOKUP(J1037,Lookup_Tables!$J$2:$J$4,Lookup_Tables!$K$2:$K$4, " ",-1)</f>
        <v>Low</v>
      </c>
      <c r="Q1037" t="str">
        <f xml:space="preserve"> _xlfn.XLOOKUP(M1037, Lookup_Tables!$M$2:$M$5,Lookup_Tables!$N$2:$N$5," ", -1)</f>
        <v>Early (2-5)</v>
      </c>
      <c r="R1037" s="4">
        <f t="shared" si="33"/>
        <v>3</v>
      </c>
      <c r="S1037" t="str">
        <f xml:space="preserve"> _xlfn.XLOOKUP( E1037, Lookup_Tables!$A$2:$A$6,Lookup_Tables!$B$2:$B$6," ", -1)</f>
        <v>College</v>
      </c>
      <c r="T1037" t="str">
        <f>_xlfn.XLOOKUP(G1037,Lookup_Tables!$D$2:$D$5,Lookup_Tables!$E$2:$E$5)</f>
        <v>Very High</v>
      </c>
      <c r="U1037" t="str">
        <f>_xlfn.XLOOKUP(H1037,Lookup_Tables!$D$2:$D$5,Lookup_Tables!$E$2:$E$5)</f>
        <v>Medium</v>
      </c>
      <c r="V1037" t="str">
        <f>_xlfn.XLOOKUP(L1037,Lookup_Tables!$D$2:$D$5,Lookup_Tables!$E$2:$E$5)</f>
        <v>High</v>
      </c>
    </row>
    <row r="1038" spans="1:22">
      <c r="A1038">
        <f>RAW_DATA!A1038</f>
        <v>31</v>
      </c>
      <c r="B1038" t="str">
        <f>RAW_DATA!B1038</f>
        <v>Yes</v>
      </c>
      <c r="C1038" t="str">
        <f>RAW_DATA!C1038</f>
        <v>Research &amp; Development</v>
      </c>
      <c r="D1038">
        <f>RAW_DATA!D1038</f>
        <v>2</v>
      </c>
      <c r="E1038">
        <f>RAW_DATA!E1038</f>
        <v>3</v>
      </c>
      <c r="F1038" t="str">
        <f>RAW_DATA!F1038</f>
        <v>Life Sciences</v>
      </c>
      <c r="G1038">
        <f>RAW_DATA!G1038</f>
        <v>2</v>
      </c>
      <c r="H1038">
        <f>RAW_DATA!H1038</f>
        <v>4</v>
      </c>
      <c r="I1038" t="str">
        <f>RAW_DATA!I1038</f>
        <v>Married</v>
      </c>
      <c r="J1038">
        <f>RAW_DATA!J1038</f>
        <v>3722</v>
      </c>
      <c r="K1038">
        <f>RAW_DATA!K1038</f>
        <v>6</v>
      </c>
      <c r="L1038">
        <f>RAW_DATA!L1038</f>
        <v>1</v>
      </c>
      <c r="M1038">
        <f>RAW_DATA!M1038</f>
        <v>2</v>
      </c>
      <c r="N1038">
        <f t="shared" si="32"/>
        <v>1</v>
      </c>
      <c r="O1038" t="str">
        <f xml:space="preserve"> VLOOKUP(A1038, Lookup_Tables!$G$2:$H$6,2,TRUE)</f>
        <v>25-34</v>
      </c>
      <c r="P1038" t="str">
        <f>_xlfn.XLOOKUP(J1038,Lookup_Tables!$J$2:$J$4,Lookup_Tables!$K$2:$K$4, " ",-1)</f>
        <v>Medium</v>
      </c>
      <c r="Q1038" t="str">
        <f xml:space="preserve"> _xlfn.XLOOKUP(M1038, Lookup_Tables!$M$2:$M$5,Lookup_Tables!$N$2:$N$5," ", -1)</f>
        <v>Early (2-5)</v>
      </c>
      <c r="R1038" s="4">
        <f t="shared" si="33"/>
        <v>2.3333333333333335</v>
      </c>
      <c r="S1038" t="str">
        <f xml:space="preserve"> _xlfn.XLOOKUP( E1038, Lookup_Tables!$A$2:$A$6,Lookup_Tables!$B$2:$B$6," ", -1)</f>
        <v>Bachelor</v>
      </c>
      <c r="T1038" t="str">
        <f>_xlfn.XLOOKUP(G1038,Lookup_Tables!$D$2:$D$5,Lookup_Tables!$E$2:$E$5)</f>
        <v>Medium</v>
      </c>
      <c r="U1038" t="str">
        <f>_xlfn.XLOOKUP(H1038,Lookup_Tables!$D$2:$D$5,Lookup_Tables!$E$2:$E$5)</f>
        <v>Very High</v>
      </c>
      <c r="V1038" t="str">
        <f>_xlfn.XLOOKUP(L1038,Lookup_Tables!$D$2:$D$5,Lookup_Tables!$E$2:$E$5)</f>
        <v>Low</v>
      </c>
    </row>
    <row r="1039" spans="1:22">
      <c r="A1039">
        <f>RAW_DATA!A1039</f>
        <v>45</v>
      </c>
      <c r="B1039" t="str">
        <f>RAW_DATA!B1039</f>
        <v>No</v>
      </c>
      <c r="C1039" t="str">
        <f>RAW_DATA!C1039</f>
        <v>Research &amp; Development</v>
      </c>
      <c r="D1039">
        <f>RAW_DATA!D1039</f>
        <v>29</v>
      </c>
      <c r="E1039">
        <f>RAW_DATA!E1039</f>
        <v>3</v>
      </c>
      <c r="F1039" t="str">
        <f>RAW_DATA!F1039</f>
        <v>Technical Degree</v>
      </c>
      <c r="G1039">
        <f>RAW_DATA!G1039</f>
        <v>2</v>
      </c>
      <c r="H1039">
        <f>RAW_DATA!H1039</f>
        <v>4</v>
      </c>
      <c r="I1039" t="str">
        <f>RAW_DATA!I1039</f>
        <v>Married</v>
      </c>
      <c r="J1039">
        <f>RAW_DATA!J1039</f>
        <v>9380</v>
      </c>
      <c r="K1039">
        <f>RAW_DATA!K1039</f>
        <v>4</v>
      </c>
      <c r="L1039">
        <f>RAW_DATA!L1039</f>
        <v>4</v>
      </c>
      <c r="M1039">
        <f>RAW_DATA!M1039</f>
        <v>3</v>
      </c>
      <c r="N1039">
        <f t="shared" si="32"/>
        <v>0</v>
      </c>
      <c r="O1039" t="str">
        <f xml:space="preserve"> VLOOKUP(A1039, Lookup_Tables!$G$2:$H$6,2,TRUE)</f>
        <v>45-54</v>
      </c>
      <c r="P1039" t="str">
        <f>_xlfn.XLOOKUP(J1039,Lookup_Tables!$J$2:$J$4,Lookup_Tables!$K$2:$K$4, " ",-1)</f>
        <v>High</v>
      </c>
      <c r="Q1039" t="str">
        <f xml:space="preserve"> _xlfn.XLOOKUP(M1039, Lookup_Tables!$M$2:$M$5,Lookup_Tables!$N$2:$N$5," ", -1)</f>
        <v>Early (2-5)</v>
      </c>
      <c r="R1039" s="4">
        <f t="shared" si="33"/>
        <v>3.3333333333333335</v>
      </c>
      <c r="S1039" t="str">
        <f xml:space="preserve"> _xlfn.XLOOKUP( E1039, Lookup_Tables!$A$2:$A$6,Lookup_Tables!$B$2:$B$6," ", -1)</f>
        <v>Bachelor</v>
      </c>
      <c r="T1039" t="str">
        <f>_xlfn.XLOOKUP(G1039,Lookup_Tables!$D$2:$D$5,Lookup_Tables!$E$2:$E$5)</f>
        <v>Medium</v>
      </c>
      <c r="U1039" t="str">
        <f>_xlfn.XLOOKUP(H1039,Lookup_Tables!$D$2:$D$5,Lookup_Tables!$E$2:$E$5)</f>
        <v>Very High</v>
      </c>
      <c r="V1039" t="str">
        <f>_xlfn.XLOOKUP(L1039,Lookup_Tables!$D$2:$D$5,Lookup_Tables!$E$2:$E$5)</f>
        <v>Very High</v>
      </c>
    </row>
    <row r="1040" spans="1:22">
      <c r="A1040">
        <f>RAW_DATA!A1040</f>
        <v>48</v>
      </c>
      <c r="B1040" t="str">
        <f>RAW_DATA!B1040</f>
        <v>No</v>
      </c>
      <c r="C1040" t="str">
        <f>RAW_DATA!C1040</f>
        <v>Sales</v>
      </c>
      <c r="D1040">
        <f>RAW_DATA!D1040</f>
        <v>7</v>
      </c>
      <c r="E1040">
        <f>RAW_DATA!E1040</f>
        <v>3</v>
      </c>
      <c r="F1040" t="str">
        <f>RAW_DATA!F1040</f>
        <v>Marketing</v>
      </c>
      <c r="G1040">
        <f>RAW_DATA!G1040</f>
        <v>3</v>
      </c>
      <c r="H1040">
        <f>RAW_DATA!H1040</f>
        <v>1</v>
      </c>
      <c r="I1040" t="str">
        <f>RAW_DATA!I1040</f>
        <v>Divorced</v>
      </c>
      <c r="J1040">
        <f>RAW_DATA!J1040</f>
        <v>5486</v>
      </c>
      <c r="K1040">
        <f>RAW_DATA!K1040</f>
        <v>4</v>
      </c>
      <c r="L1040">
        <f>RAW_DATA!L1040</f>
        <v>3</v>
      </c>
      <c r="M1040">
        <f>RAW_DATA!M1040</f>
        <v>2</v>
      </c>
      <c r="N1040">
        <f t="shared" si="32"/>
        <v>0</v>
      </c>
      <c r="O1040" t="str">
        <f xml:space="preserve"> VLOOKUP(A1040, Lookup_Tables!$G$2:$H$6,2,TRUE)</f>
        <v>45-54</v>
      </c>
      <c r="P1040" t="str">
        <f>_xlfn.XLOOKUP(J1040,Lookup_Tables!$J$2:$J$4,Lookup_Tables!$K$2:$K$4, " ",-1)</f>
        <v>Medium</v>
      </c>
      <c r="Q1040" t="str">
        <f xml:space="preserve"> _xlfn.XLOOKUP(M1040, Lookup_Tables!$M$2:$M$5,Lookup_Tables!$N$2:$N$5," ", -1)</f>
        <v>Early (2-5)</v>
      </c>
      <c r="R1040" s="4">
        <f t="shared" si="33"/>
        <v>2.3333333333333335</v>
      </c>
      <c r="S1040" t="str">
        <f xml:space="preserve"> _xlfn.XLOOKUP( E1040, Lookup_Tables!$A$2:$A$6,Lookup_Tables!$B$2:$B$6," ", -1)</f>
        <v>Bachelor</v>
      </c>
      <c r="T1040" t="str">
        <f>_xlfn.XLOOKUP(G1040,Lookup_Tables!$D$2:$D$5,Lookup_Tables!$E$2:$E$5)</f>
        <v>High</v>
      </c>
      <c r="U1040" t="str">
        <f>_xlfn.XLOOKUP(H1040,Lookup_Tables!$D$2:$D$5,Lookup_Tables!$E$2:$E$5)</f>
        <v>Low</v>
      </c>
      <c r="V1040" t="str">
        <f>_xlfn.XLOOKUP(L1040,Lookup_Tables!$D$2:$D$5,Lookup_Tables!$E$2:$E$5)</f>
        <v>High</v>
      </c>
    </row>
    <row r="1041" spans="1:22">
      <c r="A1041">
        <f>RAW_DATA!A1041</f>
        <v>34</v>
      </c>
      <c r="B1041" t="str">
        <f>RAW_DATA!B1041</f>
        <v>Yes</v>
      </c>
      <c r="C1041" t="str">
        <f>RAW_DATA!C1041</f>
        <v>Human Resources</v>
      </c>
      <c r="D1041">
        <f>RAW_DATA!D1041</f>
        <v>9</v>
      </c>
      <c r="E1041">
        <f>RAW_DATA!E1041</f>
        <v>4</v>
      </c>
      <c r="F1041" t="str">
        <f>RAW_DATA!F1041</f>
        <v>Technical Degree</v>
      </c>
      <c r="G1041">
        <f>RAW_DATA!G1041</f>
        <v>1</v>
      </c>
      <c r="H1041">
        <f>RAW_DATA!H1041</f>
        <v>3</v>
      </c>
      <c r="I1041" t="str">
        <f>RAW_DATA!I1041</f>
        <v>Married</v>
      </c>
      <c r="J1041">
        <f>RAW_DATA!J1041</f>
        <v>2742</v>
      </c>
      <c r="K1041">
        <f>RAW_DATA!K1041</f>
        <v>1</v>
      </c>
      <c r="L1041">
        <f>RAW_DATA!L1041</f>
        <v>3</v>
      </c>
      <c r="M1041">
        <f>RAW_DATA!M1041</f>
        <v>2</v>
      </c>
      <c r="N1041">
        <f t="shared" si="32"/>
        <v>1</v>
      </c>
      <c r="O1041" t="str">
        <f xml:space="preserve"> VLOOKUP(A1041, Lookup_Tables!$G$2:$H$6,2,TRUE)</f>
        <v>25-34</v>
      </c>
      <c r="P1041" t="str">
        <f>_xlfn.XLOOKUP(J1041,Lookup_Tables!$J$2:$J$4,Lookup_Tables!$K$2:$K$4, " ",-1)</f>
        <v>Low</v>
      </c>
      <c r="Q1041" t="str">
        <f xml:space="preserve"> _xlfn.XLOOKUP(M1041, Lookup_Tables!$M$2:$M$5,Lookup_Tables!$N$2:$N$5," ", -1)</f>
        <v>Early (2-5)</v>
      </c>
      <c r="R1041" s="4">
        <f t="shared" si="33"/>
        <v>2.3333333333333335</v>
      </c>
      <c r="S1041" t="str">
        <f xml:space="preserve"> _xlfn.XLOOKUP( E1041, Lookup_Tables!$A$2:$A$6,Lookup_Tables!$B$2:$B$6," ", -1)</f>
        <v>Master</v>
      </c>
      <c r="T1041" t="str">
        <f>_xlfn.XLOOKUP(G1041,Lookup_Tables!$D$2:$D$5,Lookup_Tables!$E$2:$E$5)</f>
        <v>Low</v>
      </c>
      <c r="U1041" t="str">
        <f>_xlfn.XLOOKUP(H1041,Lookup_Tables!$D$2:$D$5,Lookup_Tables!$E$2:$E$5)</f>
        <v>High</v>
      </c>
      <c r="V1041" t="str">
        <f>_xlfn.XLOOKUP(L1041,Lookup_Tables!$D$2:$D$5,Lookup_Tables!$E$2:$E$5)</f>
        <v>High</v>
      </c>
    </row>
    <row r="1042" spans="1:22">
      <c r="A1042">
        <f>RAW_DATA!A1042</f>
        <v>40</v>
      </c>
      <c r="B1042" t="str">
        <f>RAW_DATA!B1042</f>
        <v>No</v>
      </c>
      <c r="C1042" t="str">
        <f>RAW_DATA!C1042</f>
        <v>Research &amp; Development</v>
      </c>
      <c r="D1042">
        <f>RAW_DATA!D1042</f>
        <v>8</v>
      </c>
      <c r="E1042">
        <f>RAW_DATA!E1042</f>
        <v>1</v>
      </c>
      <c r="F1042" t="str">
        <f>RAW_DATA!F1042</f>
        <v>Medical</v>
      </c>
      <c r="G1042">
        <f>RAW_DATA!G1042</f>
        <v>4</v>
      </c>
      <c r="H1042">
        <f>RAW_DATA!H1042</f>
        <v>2</v>
      </c>
      <c r="I1042" t="str">
        <f>RAW_DATA!I1042</f>
        <v>Divorced</v>
      </c>
      <c r="J1042">
        <f>RAW_DATA!J1042</f>
        <v>13757</v>
      </c>
      <c r="K1042">
        <f>RAW_DATA!K1042</f>
        <v>2</v>
      </c>
      <c r="L1042">
        <f>RAW_DATA!L1042</f>
        <v>3</v>
      </c>
      <c r="M1042">
        <f>RAW_DATA!M1042</f>
        <v>9</v>
      </c>
      <c r="N1042">
        <f t="shared" si="32"/>
        <v>0</v>
      </c>
      <c r="O1042" t="str">
        <f xml:space="preserve"> VLOOKUP(A1042, Lookup_Tables!$G$2:$H$6,2,TRUE)</f>
        <v>35-44</v>
      </c>
      <c r="P1042" t="str">
        <f>_xlfn.XLOOKUP(J1042,Lookup_Tables!$J$2:$J$4,Lookup_Tables!$K$2:$K$4, " ",-1)</f>
        <v>High</v>
      </c>
      <c r="Q1042" t="str">
        <f xml:space="preserve"> _xlfn.XLOOKUP(M1042, Lookup_Tables!$M$2:$M$5,Lookup_Tables!$N$2:$N$5," ", -1)</f>
        <v>Established (5-10)</v>
      </c>
      <c r="R1042" s="4">
        <f t="shared" si="33"/>
        <v>3</v>
      </c>
      <c r="S1042" t="str">
        <f xml:space="preserve"> _xlfn.XLOOKUP( E1042, Lookup_Tables!$A$2:$A$6,Lookup_Tables!$B$2:$B$6," ", -1)</f>
        <v>Below College</v>
      </c>
      <c r="T1042" t="str">
        <f>_xlfn.XLOOKUP(G1042,Lookup_Tables!$D$2:$D$5,Lookup_Tables!$E$2:$E$5)</f>
        <v>Very High</v>
      </c>
      <c r="U1042" t="str">
        <f>_xlfn.XLOOKUP(H1042,Lookup_Tables!$D$2:$D$5,Lookup_Tables!$E$2:$E$5)</f>
        <v>Medium</v>
      </c>
      <c r="V1042" t="str">
        <f>_xlfn.XLOOKUP(L1042,Lookup_Tables!$D$2:$D$5,Lookup_Tables!$E$2:$E$5)</f>
        <v>High</v>
      </c>
    </row>
    <row r="1043" spans="1:22">
      <c r="A1043">
        <f>RAW_DATA!A1043</f>
        <v>28</v>
      </c>
      <c r="B1043" t="str">
        <f>RAW_DATA!B1043</f>
        <v>No</v>
      </c>
      <c r="C1043" t="str">
        <f>RAW_DATA!C1043</f>
        <v>Sales</v>
      </c>
      <c r="D1043">
        <f>RAW_DATA!D1043</f>
        <v>5</v>
      </c>
      <c r="E1043">
        <f>RAW_DATA!E1043</f>
        <v>3</v>
      </c>
      <c r="F1043" t="str">
        <f>RAW_DATA!F1043</f>
        <v>Medical</v>
      </c>
      <c r="G1043">
        <f>RAW_DATA!G1043</f>
        <v>4</v>
      </c>
      <c r="H1043">
        <f>RAW_DATA!H1043</f>
        <v>1</v>
      </c>
      <c r="I1043" t="str">
        <f>RAW_DATA!I1043</f>
        <v>Single</v>
      </c>
      <c r="J1043">
        <f>RAW_DATA!J1043</f>
        <v>8463</v>
      </c>
      <c r="K1043">
        <f>RAW_DATA!K1043</f>
        <v>0</v>
      </c>
      <c r="L1043">
        <f>RAW_DATA!L1043</f>
        <v>3</v>
      </c>
      <c r="M1043">
        <f>RAW_DATA!M1043</f>
        <v>5</v>
      </c>
      <c r="N1043">
        <f t="shared" si="32"/>
        <v>0</v>
      </c>
      <c r="O1043" t="str">
        <f xml:space="preserve"> VLOOKUP(A1043, Lookup_Tables!$G$2:$H$6,2,TRUE)</f>
        <v>25-34</v>
      </c>
      <c r="P1043" t="str">
        <f>_xlfn.XLOOKUP(J1043,Lookup_Tables!$J$2:$J$4,Lookup_Tables!$K$2:$K$4, " ",-1)</f>
        <v>High</v>
      </c>
      <c r="Q1043" t="str">
        <f xml:space="preserve"> _xlfn.XLOOKUP(M1043, Lookup_Tables!$M$2:$M$5,Lookup_Tables!$N$2:$N$5," ", -1)</f>
        <v>Established (5-10)</v>
      </c>
      <c r="R1043" s="4">
        <f t="shared" si="33"/>
        <v>2.6666666666666665</v>
      </c>
      <c r="S1043" t="str">
        <f xml:space="preserve"> _xlfn.XLOOKUP( E1043, Lookup_Tables!$A$2:$A$6,Lookup_Tables!$B$2:$B$6," ", -1)</f>
        <v>Bachelor</v>
      </c>
      <c r="T1043" t="str">
        <f>_xlfn.XLOOKUP(G1043,Lookup_Tables!$D$2:$D$5,Lookup_Tables!$E$2:$E$5)</f>
        <v>Very High</v>
      </c>
      <c r="U1043" t="str">
        <f>_xlfn.XLOOKUP(H1043,Lookup_Tables!$D$2:$D$5,Lookup_Tables!$E$2:$E$5)</f>
        <v>Low</v>
      </c>
      <c r="V1043" t="str">
        <f>_xlfn.XLOOKUP(L1043,Lookup_Tables!$D$2:$D$5,Lookup_Tables!$E$2:$E$5)</f>
        <v>High</v>
      </c>
    </row>
    <row r="1044" spans="1:22">
      <c r="A1044">
        <f>RAW_DATA!A1044</f>
        <v>44</v>
      </c>
      <c r="B1044" t="str">
        <f>RAW_DATA!B1044</f>
        <v>No</v>
      </c>
      <c r="C1044" t="str">
        <f>RAW_DATA!C1044</f>
        <v>Research &amp; Development</v>
      </c>
      <c r="D1044">
        <f>RAW_DATA!D1044</f>
        <v>5</v>
      </c>
      <c r="E1044">
        <f>RAW_DATA!E1044</f>
        <v>3</v>
      </c>
      <c r="F1044" t="str">
        <f>RAW_DATA!F1044</f>
        <v>Life Sciences</v>
      </c>
      <c r="G1044">
        <f>RAW_DATA!G1044</f>
        <v>3</v>
      </c>
      <c r="H1044">
        <f>RAW_DATA!H1044</f>
        <v>3</v>
      </c>
      <c r="I1044" t="str">
        <f>RAW_DATA!I1044</f>
        <v>Single</v>
      </c>
      <c r="J1044">
        <f>RAW_DATA!J1044</f>
        <v>3162</v>
      </c>
      <c r="K1044">
        <f>RAW_DATA!K1044</f>
        <v>3</v>
      </c>
      <c r="L1044">
        <f>RAW_DATA!L1044</f>
        <v>3</v>
      </c>
      <c r="M1044">
        <f>RAW_DATA!M1044</f>
        <v>5</v>
      </c>
      <c r="N1044">
        <f t="shared" si="32"/>
        <v>0</v>
      </c>
      <c r="O1044" t="str">
        <f xml:space="preserve"> VLOOKUP(A1044, Lookup_Tables!$G$2:$H$6,2,TRUE)</f>
        <v>35-44</v>
      </c>
      <c r="P1044" t="str">
        <f>_xlfn.XLOOKUP(J1044,Lookup_Tables!$J$2:$J$4,Lookup_Tables!$K$2:$K$4, " ",-1)</f>
        <v>Medium</v>
      </c>
      <c r="Q1044" t="str">
        <f xml:space="preserve"> _xlfn.XLOOKUP(M1044, Lookup_Tables!$M$2:$M$5,Lookup_Tables!$N$2:$N$5," ", -1)</f>
        <v>Established (5-10)</v>
      </c>
      <c r="R1044" s="4">
        <f t="shared" si="33"/>
        <v>3</v>
      </c>
      <c r="S1044" t="str">
        <f xml:space="preserve"> _xlfn.XLOOKUP( E1044, Lookup_Tables!$A$2:$A$6,Lookup_Tables!$B$2:$B$6," ", -1)</f>
        <v>Bachelor</v>
      </c>
      <c r="T1044" t="str">
        <f>_xlfn.XLOOKUP(G1044,Lookup_Tables!$D$2:$D$5,Lookup_Tables!$E$2:$E$5)</f>
        <v>High</v>
      </c>
      <c r="U1044" t="str">
        <f>_xlfn.XLOOKUP(H1044,Lookup_Tables!$D$2:$D$5,Lookup_Tables!$E$2:$E$5)</f>
        <v>High</v>
      </c>
      <c r="V1044" t="str">
        <f>_xlfn.XLOOKUP(L1044,Lookup_Tables!$D$2:$D$5,Lookup_Tables!$E$2:$E$5)</f>
        <v>High</v>
      </c>
    </row>
    <row r="1045" spans="1:22">
      <c r="A1045">
        <f>RAW_DATA!A1045</f>
        <v>53</v>
      </c>
      <c r="B1045" t="str">
        <f>RAW_DATA!B1045</f>
        <v>No</v>
      </c>
      <c r="C1045" t="str">
        <f>RAW_DATA!C1045</f>
        <v>Research &amp; Development</v>
      </c>
      <c r="D1045">
        <f>RAW_DATA!D1045</f>
        <v>2</v>
      </c>
      <c r="E1045">
        <f>RAW_DATA!E1045</f>
        <v>3</v>
      </c>
      <c r="F1045" t="str">
        <f>RAW_DATA!F1045</f>
        <v>Medical</v>
      </c>
      <c r="G1045">
        <f>RAW_DATA!G1045</f>
        <v>4</v>
      </c>
      <c r="H1045">
        <f>RAW_DATA!H1045</f>
        <v>2</v>
      </c>
      <c r="I1045" t="str">
        <f>RAW_DATA!I1045</f>
        <v>Single</v>
      </c>
      <c r="J1045">
        <f>RAW_DATA!J1045</f>
        <v>16598</v>
      </c>
      <c r="K1045">
        <f>RAW_DATA!K1045</f>
        <v>4</v>
      </c>
      <c r="L1045">
        <f>RAW_DATA!L1045</f>
        <v>2</v>
      </c>
      <c r="M1045">
        <f>RAW_DATA!M1045</f>
        <v>9</v>
      </c>
      <c r="N1045">
        <f t="shared" si="32"/>
        <v>0</v>
      </c>
      <c r="O1045" t="str">
        <f xml:space="preserve"> VLOOKUP(A1045, Lookup_Tables!$G$2:$H$6,2,TRUE)</f>
        <v>45-54</v>
      </c>
      <c r="P1045" t="str">
        <f>_xlfn.XLOOKUP(J1045,Lookup_Tables!$J$2:$J$4,Lookup_Tables!$K$2:$K$4, " ",-1)</f>
        <v>High</v>
      </c>
      <c r="Q1045" t="str">
        <f xml:space="preserve"> _xlfn.XLOOKUP(M1045, Lookup_Tables!$M$2:$M$5,Lookup_Tables!$N$2:$N$5," ", -1)</f>
        <v>Established (5-10)</v>
      </c>
      <c r="R1045" s="4">
        <f t="shared" si="33"/>
        <v>2.6666666666666665</v>
      </c>
      <c r="S1045" t="str">
        <f xml:space="preserve"> _xlfn.XLOOKUP( E1045, Lookup_Tables!$A$2:$A$6,Lookup_Tables!$B$2:$B$6," ", -1)</f>
        <v>Bachelor</v>
      </c>
      <c r="T1045" t="str">
        <f>_xlfn.XLOOKUP(G1045,Lookup_Tables!$D$2:$D$5,Lookup_Tables!$E$2:$E$5)</f>
        <v>Very High</v>
      </c>
      <c r="U1045" t="str">
        <f>_xlfn.XLOOKUP(H1045,Lookup_Tables!$D$2:$D$5,Lookup_Tables!$E$2:$E$5)</f>
        <v>Medium</v>
      </c>
      <c r="V1045" t="str">
        <f>_xlfn.XLOOKUP(L1045,Lookup_Tables!$D$2:$D$5,Lookup_Tables!$E$2:$E$5)</f>
        <v>Medium</v>
      </c>
    </row>
    <row r="1046" spans="1:22">
      <c r="A1046">
        <f>RAW_DATA!A1046</f>
        <v>49</v>
      </c>
      <c r="B1046" t="str">
        <f>RAW_DATA!B1046</f>
        <v>No</v>
      </c>
      <c r="C1046" t="str">
        <f>RAW_DATA!C1046</f>
        <v>Research &amp; Development</v>
      </c>
      <c r="D1046">
        <f>RAW_DATA!D1046</f>
        <v>5</v>
      </c>
      <c r="E1046">
        <f>RAW_DATA!E1046</f>
        <v>4</v>
      </c>
      <c r="F1046" t="str">
        <f>RAW_DATA!F1046</f>
        <v>Technical Degree</v>
      </c>
      <c r="G1046">
        <f>RAW_DATA!G1046</f>
        <v>1</v>
      </c>
      <c r="H1046">
        <f>RAW_DATA!H1046</f>
        <v>3</v>
      </c>
      <c r="I1046" t="str">
        <f>RAW_DATA!I1046</f>
        <v>Married</v>
      </c>
      <c r="J1046">
        <f>RAW_DATA!J1046</f>
        <v>6651</v>
      </c>
      <c r="K1046">
        <f>RAW_DATA!K1046</f>
        <v>2</v>
      </c>
      <c r="L1046">
        <f>RAW_DATA!L1046</f>
        <v>2</v>
      </c>
      <c r="M1046">
        <f>RAW_DATA!M1046</f>
        <v>3</v>
      </c>
      <c r="N1046">
        <f t="shared" si="32"/>
        <v>0</v>
      </c>
      <c r="O1046" t="str">
        <f xml:space="preserve"> VLOOKUP(A1046, Lookup_Tables!$G$2:$H$6,2,TRUE)</f>
        <v>45-54</v>
      </c>
      <c r="P1046" t="str">
        <f>_xlfn.XLOOKUP(J1046,Lookup_Tables!$J$2:$J$4,Lookup_Tables!$K$2:$K$4, " ",-1)</f>
        <v>Medium</v>
      </c>
      <c r="Q1046" t="str">
        <f xml:space="preserve"> _xlfn.XLOOKUP(M1046, Lookup_Tables!$M$2:$M$5,Lookup_Tables!$N$2:$N$5," ", -1)</f>
        <v>Early (2-5)</v>
      </c>
      <c r="R1046" s="4">
        <f t="shared" si="33"/>
        <v>2</v>
      </c>
      <c r="S1046" t="str">
        <f xml:space="preserve"> _xlfn.XLOOKUP( E1046, Lookup_Tables!$A$2:$A$6,Lookup_Tables!$B$2:$B$6," ", -1)</f>
        <v>Master</v>
      </c>
      <c r="T1046" t="str">
        <f>_xlfn.XLOOKUP(G1046,Lookup_Tables!$D$2:$D$5,Lookup_Tables!$E$2:$E$5)</f>
        <v>Low</v>
      </c>
      <c r="U1046" t="str">
        <f>_xlfn.XLOOKUP(H1046,Lookup_Tables!$D$2:$D$5,Lookup_Tables!$E$2:$E$5)</f>
        <v>High</v>
      </c>
      <c r="V1046" t="str">
        <f>_xlfn.XLOOKUP(L1046,Lookup_Tables!$D$2:$D$5,Lookup_Tables!$E$2:$E$5)</f>
        <v>Medium</v>
      </c>
    </row>
    <row r="1047" spans="1:22">
      <c r="A1047">
        <f>RAW_DATA!A1047</f>
        <v>40</v>
      </c>
      <c r="B1047" t="str">
        <f>RAW_DATA!B1047</f>
        <v>No</v>
      </c>
      <c r="C1047" t="str">
        <f>RAW_DATA!C1047</f>
        <v>Research &amp; Development</v>
      </c>
      <c r="D1047">
        <f>RAW_DATA!D1047</f>
        <v>2</v>
      </c>
      <c r="E1047">
        <f>RAW_DATA!E1047</f>
        <v>3</v>
      </c>
      <c r="F1047" t="str">
        <f>RAW_DATA!F1047</f>
        <v>Medical</v>
      </c>
      <c r="G1047">
        <f>RAW_DATA!G1047</f>
        <v>3</v>
      </c>
      <c r="H1047">
        <f>RAW_DATA!H1047</f>
        <v>3</v>
      </c>
      <c r="I1047" t="str">
        <f>RAW_DATA!I1047</f>
        <v>Divorced</v>
      </c>
      <c r="J1047">
        <f>RAW_DATA!J1047</f>
        <v>2345</v>
      </c>
      <c r="K1047">
        <f>RAW_DATA!K1047</f>
        <v>2</v>
      </c>
      <c r="L1047">
        <f>RAW_DATA!L1047</f>
        <v>4</v>
      </c>
      <c r="M1047">
        <f>RAW_DATA!M1047</f>
        <v>3</v>
      </c>
      <c r="N1047">
        <f t="shared" si="32"/>
        <v>0</v>
      </c>
      <c r="O1047" t="str">
        <f xml:space="preserve"> VLOOKUP(A1047, Lookup_Tables!$G$2:$H$6,2,TRUE)</f>
        <v>35-44</v>
      </c>
      <c r="P1047" t="str">
        <f>_xlfn.XLOOKUP(J1047,Lookup_Tables!$J$2:$J$4,Lookup_Tables!$K$2:$K$4, " ",-1)</f>
        <v>Low</v>
      </c>
      <c r="Q1047" t="str">
        <f xml:space="preserve"> _xlfn.XLOOKUP(M1047, Lookup_Tables!$M$2:$M$5,Lookup_Tables!$N$2:$N$5," ", -1)</f>
        <v>Early (2-5)</v>
      </c>
      <c r="R1047" s="4">
        <f t="shared" si="33"/>
        <v>3.3333333333333335</v>
      </c>
      <c r="S1047" t="str">
        <f xml:space="preserve"> _xlfn.XLOOKUP( E1047, Lookup_Tables!$A$2:$A$6,Lookup_Tables!$B$2:$B$6," ", -1)</f>
        <v>Bachelor</v>
      </c>
      <c r="T1047" t="str">
        <f>_xlfn.XLOOKUP(G1047,Lookup_Tables!$D$2:$D$5,Lookup_Tables!$E$2:$E$5)</f>
        <v>High</v>
      </c>
      <c r="U1047" t="str">
        <f>_xlfn.XLOOKUP(H1047,Lookup_Tables!$D$2:$D$5,Lookup_Tables!$E$2:$E$5)</f>
        <v>High</v>
      </c>
      <c r="V1047" t="str">
        <f>_xlfn.XLOOKUP(L1047,Lookup_Tables!$D$2:$D$5,Lookup_Tables!$E$2:$E$5)</f>
        <v>Very High</v>
      </c>
    </row>
    <row r="1048" spans="1:22">
      <c r="A1048">
        <f>RAW_DATA!A1048</f>
        <v>44</v>
      </c>
      <c r="B1048" t="str">
        <f>RAW_DATA!B1048</f>
        <v>No</v>
      </c>
      <c r="C1048" t="str">
        <f>RAW_DATA!C1048</f>
        <v>Research &amp; Development</v>
      </c>
      <c r="D1048">
        <f>RAW_DATA!D1048</f>
        <v>20</v>
      </c>
      <c r="E1048">
        <f>RAW_DATA!E1048</f>
        <v>3</v>
      </c>
      <c r="F1048" t="str">
        <f>RAW_DATA!F1048</f>
        <v>Life Sciences</v>
      </c>
      <c r="G1048">
        <f>RAW_DATA!G1048</f>
        <v>4</v>
      </c>
      <c r="H1048">
        <f>RAW_DATA!H1048</f>
        <v>2</v>
      </c>
      <c r="I1048" t="str">
        <f>RAW_DATA!I1048</f>
        <v>Single</v>
      </c>
      <c r="J1048">
        <f>RAW_DATA!J1048</f>
        <v>3420</v>
      </c>
      <c r="K1048">
        <f>RAW_DATA!K1048</f>
        <v>1</v>
      </c>
      <c r="L1048">
        <f>RAW_DATA!L1048</f>
        <v>2</v>
      </c>
      <c r="M1048">
        <f>RAW_DATA!M1048</f>
        <v>5</v>
      </c>
      <c r="N1048">
        <f t="shared" si="32"/>
        <v>0</v>
      </c>
      <c r="O1048" t="str">
        <f xml:space="preserve"> VLOOKUP(A1048, Lookup_Tables!$G$2:$H$6,2,TRUE)</f>
        <v>35-44</v>
      </c>
      <c r="P1048" t="str">
        <f>_xlfn.XLOOKUP(J1048,Lookup_Tables!$J$2:$J$4,Lookup_Tables!$K$2:$K$4, " ",-1)</f>
        <v>Medium</v>
      </c>
      <c r="Q1048" t="str">
        <f xml:space="preserve"> _xlfn.XLOOKUP(M1048, Lookup_Tables!$M$2:$M$5,Lookup_Tables!$N$2:$N$5," ", -1)</f>
        <v>Established (5-10)</v>
      </c>
      <c r="R1048" s="4">
        <f t="shared" si="33"/>
        <v>2.6666666666666665</v>
      </c>
      <c r="S1048" t="str">
        <f xml:space="preserve"> _xlfn.XLOOKUP( E1048, Lookup_Tables!$A$2:$A$6,Lookup_Tables!$B$2:$B$6," ", -1)</f>
        <v>Bachelor</v>
      </c>
      <c r="T1048" t="str">
        <f>_xlfn.XLOOKUP(G1048,Lookup_Tables!$D$2:$D$5,Lookup_Tables!$E$2:$E$5)</f>
        <v>Very High</v>
      </c>
      <c r="U1048" t="str">
        <f>_xlfn.XLOOKUP(H1048,Lookup_Tables!$D$2:$D$5,Lookup_Tables!$E$2:$E$5)</f>
        <v>Medium</v>
      </c>
      <c r="V1048" t="str">
        <f>_xlfn.XLOOKUP(L1048,Lookup_Tables!$D$2:$D$5,Lookup_Tables!$E$2:$E$5)</f>
        <v>Medium</v>
      </c>
    </row>
    <row r="1049" spans="1:22">
      <c r="A1049">
        <f>RAW_DATA!A1049</f>
        <v>33</v>
      </c>
      <c r="B1049" t="str">
        <f>RAW_DATA!B1049</f>
        <v>No</v>
      </c>
      <c r="C1049" t="str">
        <f>RAW_DATA!C1049</f>
        <v>Sales</v>
      </c>
      <c r="D1049">
        <f>RAW_DATA!D1049</f>
        <v>7</v>
      </c>
      <c r="E1049">
        <f>RAW_DATA!E1049</f>
        <v>3</v>
      </c>
      <c r="F1049" t="str">
        <f>RAW_DATA!F1049</f>
        <v>Medical</v>
      </c>
      <c r="G1049">
        <f>RAW_DATA!G1049</f>
        <v>4</v>
      </c>
      <c r="H1049">
        <f>RAW_DATA!H1049</f>
        <v>1</v>
      </c>
      <c r="I1049" t="str">
        <f>RAW_DATA!I1049</f>
        <v>Married</v>
      </c>
      <c r="J1049">
        <f>RAW_DATA!J1049</f>
        <v>4373</v>
      </c>
      <c r="K1049">
        <f>RAW_DATA!K1049</f>
        <v>0</v>
      </c>
      <c r="L1049">
        <f>RAW_DATA!L1049</f>
        <v>3</v>
      </c>
      <c r="M1049">
        <f>RAW_DATA!M1049</f>
        <v>4</v>
      </c>
      <c r="N1049">
        <f t="shared" si="32"/>
        <v>0</v>
      </c>
      <c r="O1049" t="str">
        <f xml:space="preserve"> VLOOKUP(A1049, Lookup_Tables!$G$2:$H$6,2,TRUE)</f>
        <v>25-34</v>
      </c>
      <c r="P1049" t="str">
        <f>_xlfn.XLOOKUP(J1049,Lookup_Tables!$J$2:$J$4,Lookup_Tables!$K$2:$K$4, " ",-1)</f>
        <v>Medium</v>
      </c>
      <c r="Q1049" t="str">
        <f xml:space="preserve"> _xlfn.XLOOKUP(M1049, Lookup_Tables!$M$2:$M$5,Lookup_Tables!$N$2:$N$5," ", -1)</f>
        <v>Early (2-5)</v>
      </c>
      <c r="R1049" s="4">
        <f t="shared" si="33"/>
        <v>2.6666666666666665</v>
      </c>
      <c r="S1049" t="str">
        <f xml:space="preserve"> _xlfn.XLOOKUP( E1049, Lookup_Tables!$A$2:$A$6,Lookup_Tables!$B$2:$B$6," ", -1)</f>
        <v>Bachelor</v>
      </c>
      <c r="T1049" t="str">
        <f>_xlfn.XLOOKUP(G1049,Lookup_Tables!$D$2:$D$5,Lookup_Tables!$E$2:$E$5)</f>
        <v>Very High</v>
      </c>
      <c r="U1049" t="str">
        <f>_xlfn.XLOOKUP(H1049,Lookup_Tables!$D$2:$D$5,Lookup_Tables!$E$2:$E$5)</f>
        <v>Low</v>
      </c>
      <c r="V1049" t="str">
        <f>_xlfn.XLOOKUP(L1049,Lookup_Tables!$D$2:$D$5,Lookup_Tables!$E$2:$E$5)</f>
        <v>High</v>
      </c>
    </row>
    <row r="1050" spans="1:22">
      <c r="A1050">
        <f>RAW_DATA!A1050</f>
        <v>34</v>
      </c>
      <c r="B1050" t="str">
        <f>RAW_DATA!B1050</f>
        <v>No</v>
      </c>
      <c r="C1050" t="str">
        <f>RAW_DATA!C1050</f>
        <v>Sales</v>
      </c>
      <c r="D1050">
        <f>RAW_DATA!D1050</f>
        <v>3</v>
      </c>
      <c r="E1050">
        <f>RAW_DATA!E1050</f>
        <v>3</v>
      </c>
      <c r="F1050" t="str">
        <f>RAW_DATA!F1050</f>
        <v>Other</v>
      </c>
      <c r="G1050">
        <f>RAW_DATA!G1050</f>
        <v>4</v>
      </c>
      <c r="H1050">
        <f>RAW_DATA!H1050</f>
        <v>1</v>
      </c>
      <c r="I1050" t="str">
        <f>RAW_DATA!I1050</f>
        <v>Single</v>
      </c>
      <c r="J1050">
        <f>RAW_DATA!J1050</f>
        <v>4759</v>
      </c>
      <c r="K1050">
        <f>RAW_DATA!K1050</f>
        <v>3</v>
      </c>
      <c r="L1050">
        <f>RAW_DATA!L1050</f>
        <v>3</v>
      </c>
      <c r="M1050">
        <f>RAW_DATA!M1050</f>
        <v>13</v>
      </c>
      <c r="N1050">
        <f t="shared" si="32"/>
        <v>0</v>
      </c>
      <c r="O1050" t="str">
        <f xml:space="preserve"> VLOOKUP(A1050, Lookup_Tables!$G$2:$H$6,2,TRUE)</f>
        <v>25-34</v>
      </c>
      <c r="P1050" t="str">
        <f>_xlfn.XLOOKUP(J1050,Lookup_Tables!$J$2:$J$4,Lookup_Tables!$K$2:$K$4, " ",-1)</f>
        <v>Medium</v>
      </c>
      <c r="Q1050" t="str">
        <f xml:space="preserve"> _xlfn.XLOOKUP(M1050, Lookup_Tables!$M$2:$M$5,Lookup_Tables!$N$2:$N$5," ", -1)</f>
        <v>Veteran (10+)</v>
      </c>
      <c r="R1050" s="4">
        <f t="shared" si="33"/>
        <v>2.6666666666666665</v>
      </c>
      <c r="S1050" t="str">
        <f xml:space="preserve"> _xlfn.XLOOKUP( E1050, Lookup_Tables!$A$2:$A$6,Lookup_Tables!$B$2:$B$6," ", -1)</f>
        <v>Bachelor</v>
      </c>
      <c r="T1050" t="str">
        <f>_xlfn.XLOOKUP(G1050,Lookup_Tables!$D$2:$D$5,Lookup_Tables!$E$2:$E$5)</f>
        <v>Very High</v>
      </c>
      <c r="U1050" t="str">
        <f>_xlfn.XLOOKUP(H1050,Lookup_Tables!$D$2:$D$5,Lookup_Tables!$E$2:$E$5)</f>
        <v>Low</v>
      </c>
      <c r="V1050" t="str">
        <f>_xlfn.XLOOKUP(L1050,Lookup_Tables!$D$2:$D$5,Lookup_Tables!$E$2:$E$5)</f>
        <v>High</v>
      </c>
    </row>
    <row r="1051" spans="1:22">
      <c r="A1051">
        <f>RAW_DATA!A1051</f>
        <v>30</v>
      </c>
      <c r="B1051" t="str">
        <f>RAW_DATA!B1051</f>
        <v>No</v>
      </c>
      <c r="C1051" t="str">
        <f>RAW_DATA!C1051</f>
        <v>Sales</v>
      </c>
      <c r="D1051">
        <f>RAW_DATA!D1051</f>
        <v>16</v>
      </c>
      <c r="E1051">
        <f>RAW_DATA!E1051</f>
        <v>1</v>
      </c>
      <c r="F1051" t="str">
        <f>RAW_DATA!F1051</f>
        <v>Life Sciences</v>
      </c>
      <c r="G1051">
        <f>RAW_DATA!G1051</f>
        <v>4</v>
      </c>
      <c r="H1051">
        <f>RAW_DATA!H1051</f>
        <v>3</v>
      </c>
      <c r="I1051" t="str">
        <f>RAW_DATA!I1051</f>
        <v>Married</v>
      </c>
      <c r="J1051">
        <f>RAW_DATA!J1051</f>
        <v>5301</v>
      </c>
      <c r="K1051">
        <f>RAW_DATA!K1051</f>
        <v>8</v>
      </c>
      <c r="L1051">
        <f>RAW_DATA!L1051</f>
        <v>2</v>
      </c>
      <c r="M1051">
        <f>RAW_DATA!M1051</f>
        <v>2</v>
      </c>
      <c r="N1051">
        <f t="shared" si="32"/>
        <v>0</v>
      </c>
      <c r="O1051" t="str">
        <f xml:space="preserve"> VLOOKUP(A1051, Lookup_Tables!$G$2:$H$6,2,TRUE)</f>
        <v>25-34</v>
      </c>
      <c r="P1051" t="str">
        <f>_xlfn.XLOOKUP(J1051,Lookup_Tables!$J$2:$J$4,Lookup_Tables!$K$2:$K$4, " ",-1)</f>
        <v>Medium</v>
      </c>
      <c r="Q1051" t="str">
        <f xml:space="preserve"> _xlfn.XLOOKUP(M1051, Lookup_Tables!$M$2:$M$5,Lookup_Tables!$N$2:$N$5," ", -1)</f>
        <v>Early (2-5)</v>
      </c>
      <c r="R1051" s="4">
        <f t="shared" si="33"/>
        <v>3</v>
      </c>
      <c r="S1051" t="str">
        <f xml:space="preserve"> _xlfn.XLOOKUP( E1051, Lookup_Tables!$A$2:$A$6,Lookup_Tables!$B$2:$B$6," ", -1)</f>
        <v>Below College</v>
      </c>
      <c r="T1051" t="str">
        <f>_xlfn.XLOOKUP(G1051,Lookup_Tables!$D$2:$D$5,Lookup_Tables!$E$2:$E$5)</f>
        <v>Very High</v>
      </c>
      <c r="U1051" t="str">
        <f>_xlfn.XLOOKUP(H1051,Lookup_Tables!$D$2:$D$5,Lookup_Tables!$E$2:$E$5)</f>
        <v>High</v>
      </c>
      <c r="V1051" t="str">
        <f>_xlfn.XLOOKUP(L1051,Lookup_Tables!$D$2:$D$5,Lookup_Tables!$E$2:$E$5)</f>
        <v>Medium</v>
      </c>
    </row>
    <row r="1052" spans="1:22">
      <c r="A1052">
        <f>RAW_DATA!A1052</f>
        <v>42</v>
      </c>
      <c r="B1052" t="str">
        <f>RAW_DATA!B1052</f>
        <v>No</v>
      </c>
      <c r="C1052" t="str">
        <f>RAW_DATA!C1052</f>
        <v>Research &amp; Development</v>
      </c>
      <c r="D1052">
        <f>RAW_DATA!D1052</f>
        <v>9</v>
      </c>
      <c r="E1052">
        <f>RAW_DATA!E1052</f>
        <v>2</v>
      </c>
      <c r="F1052" t="str">
        <f>RAW_DATA!F1052</f>
        <v>Medical</v>
      </c>
      <c r="G1052">
        <f>RAW_DATA!G1052</f>
        <v>1</v>
      </c>
      <c r="H1052">
        <f>RAW_DATA!H1052</f>
        <v>4</v>
      </c>
      <c r="I1052" t="str">
        <f>RAW_DATA!I1052</f>
        <v>Single</v>
      </c>
      <c r="J1052">
        <f>RAW_DATA!J1052</f>
        <v>3673</v>
      </c>
      <c r="K1052">
        <f>RAW_DATA!K1052</f>
        <v>1</v>
      </c>
      <c r="L1052">
        <f>RAW_DATA!L1052</f>
        <v>3</v>
      </c>
      <c r="M1052">
        <f>RAW_DATA!M1052</f>
        <v>12</v>
      </c>
      <c r="N1052">
        <f t="shared" si="32"/>
        <v>0</v>
      </c>
      <c r="O1052" t="str">
        <f xml:space="preserve"> VLOOKUP(A1052, Lookup_Tables!$G$2:$H$6,2,TRUE)</f>
        <v>35-44</v>
      </c>
      <c r="P1052" t="str">
        <f>_xlfn.XLOOKUP(J1052,Lookup_Tables!$J$2:$J$4,Lookup_Tables!$K$2:$K$4, " ",-1)</f>
        <v>Medium</v>
      </c>
      <c r="Q1052" t="str">
        <f xml:space="preserve"> _xlfn.XLOOKUP(M1052, Lookup_Tables!$M$2:$M$5,Lookup_Tables!$N$2:$N$5," ", -1)</f>
        <v>Veteran (10+)</v>
      </c>
      <c r="R1052" s="4">
        <f t="shared" si="33"/>
        <v>2.6666666666666665</v>
      </c>
      <c r="S1052" t="str">
        <f xml:space="preserve"> _xlfn.XLOOKUP( E1052, Lookup_Tables!$A$2:$A$6,Lookup_Tables!$B$2:$B$6," ", -1)</f>
        <v>College</v>
      </c>
      <c r="T1052" t="str">
        <f>_xlfn.XLOOKUP(G1052,Lookup_Tables!$D$2:$D$5,Lookup_Tables!$E$2:$E$5)</f>
        <v>Low</v>
      </c>
      <c r="U1052" t="str">
        <f>_xlfn.XLOOKUP(H1052,Lookup_Tables!$D$2:$D$5,Lookup_Tables!$E$2:$E$5)</f>
        <v>Very High</v>
      </c>
      <c r="V1052" t="str">
        <f>_xlfn.XLOOKUP(L1052,Lookup_Tables!$D$2:$D$5,Lookup_Tables!$E$2:$E$5)</f>
        <v>High</v>
      </c>
    </row>
    <row r="1053" spans="1:22">
      <c r="A1053">
        <f>RAW_DATA!A1053</f>
        <v>44</v>
      </c>
      <c r="B1053" t="str">
        <f>RAW_DATA!B1053</f>
        <v>No</v>
      </c>
      <c r="C1053" t="str">
        <f>RAW_DATA!C1053</f>
        <v>Sales</v>
      </c>
      <c r="D1053">
        <f>RAW_DATA!D1053</f>
        <v>1</v>
      </c>
      <c r="E1053">
        <f>RAW_DATA!E1053</f>
        <v>5</v>
      </c>
      <c r="F1053" t="str">
        <f>RAW_DATA!F1053</f>
        <v>Marketing</v>
      </c>
      <c r="G1053">
        <f>RAW_DATA!G1053</f>
        <v>1</v>
      </c>
      <c r="H1053">
        <f>RAW_DATA!H1053</f>
        <v>3</v>
      </c>
      <c r="I1053" t="str">
        <f>RAW_DATA!I1053</f>
        <v>Married</v>
      </c>
      <c r="J1053">
        <f>RAW_DATA!J1053</f>
        <v>4768</v>
      </c>
      <c r="K1053">
        <f>RAW_DATA!K1053</f>
        <v>7</v>
      </c>
      <c r="L1053">
        <f>RAW_DATA!L1053</f>
        <v>2</v>
      </c>
      <c r="M1053">
        <f>RAW_DATA!M1053</f>
        <v>1</v>
      </c>
      <c r="N1053">
        <f t="shared" si="32"/>
        <v>0</v>
      </c>
      <c r="O1053" t="str">
        <f xml:space="preserve"> VLOOKUP(A1053, Lookup_Tables!$G$2:$H$6,2,TRUE)</f>
        <v>35-44</v>
      </c>
      <c r="P1053" t="str">
        <f>_xlfn.XLOOKUP(J1053,Lookup_Tables!$J$2:$J$4,Lookup_Tables!$K$2:$K$4, " ",-1)</f>
        <v>Medium</v>
      </c>
      <c r="Q1053" t="str">
        <f xml:space="preserve"> _xlfn.XLOOKUP(M1053, Lookup_Tables!$M$2:$M$5,Lookup_Tables!$N$2:$N$5," ", -1)</f>
        <v>New (0-2)</v>
      </c>
      <c r="R1053" s="4">
        <f t="shared" si="33"/>
        <v>2</v>
      </c>
      <c r="S1053" t="str">
        <f xml:space="preserve"> _xlfn.XLOOKUP( E1053, Lookup_Tables!$A$2:$A$6,Lookup_Tables!$B$2:$B$6," ", -1)</f>
        <v>Doctor</v>
      </c>
      <c r="T1053" t="str">
        <f>_xlfn.XLOOKUP(G1053,Lookup_Tables!$D$2:$D$5,Lookup_Tables!$E$2:$E$5)</f>
        <v>Low</v>
      </c>
      <c r="U1053" t="str">
        <f>_xlfn.XLOOKUP(H1053,Lookup_Tables!$D$2:$D$5,Lookup_Tables!$E$2:$E$5)</f>
        <v>High</v>
      </c>
      <c r="V1053" t="str">
        <f>_xlfn.XLOOKUP(L1053,Lookup_Tables!$D$2:$D$5,Lookup_Tables!$E$2:$E$5)</f>
        <v>Medium</v>
      </c>
    </row>
    <row r="1054" spans="1:22">
      <c r="A1054">
        <f>RAW_DATA!A1054</f>
        <v>30</v>
      </c>
      <c r="B1054" t="str">
        <f>RAW_DATA!B1054</f>
        <v>No</v>
      </c>
      <c r="C1054" t="str">
        <f>RAW_DATA!C1054</f>
        <v>Research &amp; Development</v>
      </c>
      <c r="D1054">
        <f>RAW_DATA!D1054</f>
        <v>7</v>
      </c>
      <c r="E1054">
        <f>RAW_DATA!E1054</f>
        <v>3</v>
      </c>
      <c r="F1054" t="str">
        <f>RAW_DATA!F1054</f>
        <v>Technical Degree</v>
      </c>
      <c r="G1054">
        <f>RAW_DATA!G1054</f>
        <v>3</v>
      </c>
      <c r="H1054">
        <f>RAW_DATA!H1054</f>
        <v>3</v>
      </c>
      <c r="I1054" t="str">
        <f>RAW_DATA!I1054</f>
        <v>Divorced</v>
      </c>
      <c r="J1054">
        <f>RAW_DATA!J1054</f>
        <v>1274</v>
      </c>
      <c r="K1054">
        <f>RAW_DATA!K1054</f>
        <v>1</v>
      </c>
      <c r="L1054">
        <f>RAW_DATA!L1054</f>
        <v>2</v>
      </c>
      <c r="M1054">
        <f>RAW_DATA!M1054</f>
        <v>1</v>
      </c>
      <c r="N1054">
        <f t="shared" si="32"/>
        <v>0</v>
      </c>
      <c r="O1054" t="str">
        <f xml:space="preserve"> VLOOKUP(A1054, Lookup_Tables!$G$2:$H$6,2,TRUE)</f>
        <v>25-34</v>
      </c>
      <c r="P1054" t="str">
        <f>_xlfn.XLOOKUP(J1054,Lookup_Tables!$J$2:$J$4,Lookup_Tables!$K$2:$K$4, " ",-1)</f>
        <v>Low</v>
      </c>
      <c r="Q1054" t="str">
        <f xml:space="preserve"> _xlfn.XLOOKUP(M1054, Lookup_Tables!$M$2:$M$5,Lookup_Tables!$N$2:$N$5," ", -1)</f>
        <v>New (0-2)</v>
      </c>
      <c r="R1054" s="4">
        <f t="shared" si="33"/>
        <v>2.6666666666666665</v>
      </c>
      <c r="S1054" t="str">
        <f xml:space="preserve"> _xlfn.XLOOKUP( E1054, Lookup_Tables!$A$2:$A$6,Lookup_Tables!$B$2:$B$6," ", -1)</f>
        <v>Bachelor</v>
      </c>
      <c r="T1054" t="str">
        <f>_xlfn.XLOOKUP(G1054,Lookup_Tables!$D$2:$D$5,Lookup_Tables!$E$2:$E$5)</f>
        <v>High</v>
      </c>
      <c r="U1054" t="str">
        <f>_xlfn.XLOOKUP(H1054,Lookup_Tables!$D$2:$D$5,Lookup_Tables!$E$2:$E$5)</f>
        <v>High</v>
      </c>
      <c r="V1054" t="str">
        <f>_xlfn.XLOOKUP(L1054,Lookup_Tables!$D$2:$D$5,Lookup_Tables!$E$2:$E$5)</f>
        <v>Medium</v>
      </c>
    </row>
    <row r="1055" spans="1:22">
      <c r="A1055">
        <f>RAW_DATA!A1055</f>
        <v>57</v>
      </c>
      <c r="B1055" t="str">
        <f>RAW_DATA!B1055</f>
        <v>No</v>
      </c>
      <c r="C1055" t="str">
        <f>RAW_DATA!C1055</f>
        <v>Research &amp; Development</v>
      </c>
      <c r="D1055">
        <f>RAW_DATA!D1055</f>
        <v>1</v>
      </c>
      <c r="E1055">
        <f>RAW_DATA!E1055</f>
        <v>2</v>
      </c>
      <c r="F1055" t="str">
        <f>RAW_DATA!F1055</f>
        <v>Life Sciences</v>
      </c>
      <c r="G1055">
        <f>RAW_DATA!G1055</f>
        <v>2</v>
      </c>
      <c r="H1055">
        <f>RAW_DATA!H1055</f>
        <v>3</v>
      </c>
      <c r="I1055" t="str">
        <f>RAW_DATA!I1055</f>
        <v>Married</v>
      </c>
      <c r="J1055">
        <f>RAW_DATA!J1055</f>
        <v>4900</v>
      </c>
      <c r="K1055">
        <f>RAW_DATA!K1055</f>
        <v>0</v>
      </c>
      <c r="L1055">
        <f>RAW_DATA!L1055</f>
        <v>2</v>
      </c>
      <c r="M1055">
        <f>RAW_DATA!M1055</f>
        <v>12</v>
      </c>
      <c r="N1055">
        <f t="shared" si="32"/>
        <v>0</v>
      </c>
      <c r="O1055" t="str">
        <f xml:space="preserve"> VLOOKUP(A1055, Lookup_Tables!$G$2:$H$6,2,TRUE)</f>
        <v>55+</v>
      </c>
      <c r="P1055" t="str">
        <f>_xlfn.XLOOKUP(J1055,Lookup_Tables!$J$2:$J$4,Lookup_Tables!$K$2:$K$4, " ",-1)</f>
        <v>Medium</v>
      </c>
      <c r="Q1055" t="str">
        <f xml:space="preserve"> _xlfn.XLOOKUP(M1055, Lookup_Tables!$M$2:$M$5,Lookup_Tables!$N$2:$N$5," ", -1)</f>
        <v>Veteran (10+)</v>
      </c>
      <c r="R1055" s="4">
        <f t="shared" si="33"/>
        <v>2.3333333333333335</v>
      </c>
      <c r="S1055" t="str">
        <f xml:space="preserve"> _xlfn.XLOOKUP( E1055, Lookup_Tables!$A$2:$A$6,Lookup_Tables!$B$2:$B$6," ", -1)</f>
        <v>College</v>
      </c>
      <c r="T1055" t="str">
        <f>_xlfn.XLOOKUP(G1055,Lookup_Tables!$D$2:$D$5,Lookup_Tables!$E$2:$E$5)</f>
        <v>Medium</v>
      </c>
      <c r="U1055" t="str">
        <f>_xlfn.XLOOKUP(H1055,Lookup_Tables!$D$2:$D$5,Lookup_Tables!$E$2:$E$5)</f>
        <v>High</v>
      </c>
      <c r="V1055" t="str">
        <f>_xlfn.XLOOKUP(L1055,Lookup_Tables!$D$2:$D$5,Lookup_Tables!$E$2:$E$5)</f>
        <v>Medium</v>
      </c>
    </row>
    <row r="1056" spans="1:22">
      <c r="A1056">
        <f>RAW_DATA!A1056</f>
        <v>49</v>
      </c>
      <c r="B1056" t="str">
        <f>RAW_DATA!B1056</f>
        <v>No</v>
      </c>
      <c r="C1056" t="str">
        <f>RAW_DATA!C1056</f>
        <v>Research &amp; Development</v>
      </c>
      <c r="D1056">
        <f>RAW_DATA!D1056</f>
        <v>7</v>
      </c>
      <c r="E1056">
        <f>RAW_DATA!E1056</f>
        <v>4</v>
      </c>
      <c r="F1056" t="str">
        <f>RAW_DATA!F1056</f>
        <v>Life Sciences</v>
      </c>
      <c r="G1056">
        <f>RAW_DATA!G1056</f>
        <v>3</v>
      </c>
      <c r="H1056">
        <f>RAW_DATA!H1056</f>
        <v>2</v>
      </c>
      <c r="I1056" t="str">
        <f>RAW_DATA!I1056</f>
        <v>Divorced</v>
      </c>
      <c r="J1056">
        <f>RAW_DATA!J1056</f>
        <v>10466</v>
      </c>
      <c r="K1056">
        <f>RAW_DATA!K1056</f>
        <v>3</v>
      </c>
      <c r="L1056">
        <f>RAW_DATA!L1056</f>
        <v>3</v>
      </c>
      <c r="M1056">
        <f>RAW_DATA!M1056</f>
        <v>8</v>
      </c>
      <c r="N1056">
        <f t="shared" si="32"/>
        <v>0</v>
      </c>
      <c r="O1056" t="str">
        <f xml:space="preserve"> VLOOKUP(A1056, Lookup_Tables!$G$2:$H$6,2,TRUE)</f>
        <v>45-54</v>
      </c>
      <c r="P1056" t="str">
        <f>_xlfn.XLOOKUP(J1056,Lookup_Tables!$J$2:$J$4,Lookup_Tables!$K$2:$K$4, " ",-1)</f>
        <v>High</v>
      </c>
      <c r="Q1056" t="str">
        <f xml:space="preserve"> _xlfn.XLOOKUP(M1056, Lookup_Tables!$M$2:$M$5,Lookup_Tables!$N$2:$N$5," ", -1)</f>
        <v>Established (5-10)</v>
      </c>
      <c r="R1056" s="4">
        <f t="shared" si="33"/>
        <v>2.6666666666666665</v>
      </c>
      <c r="S1056" t="str">
        <f xml:space="preserve"> _xlfn.XLOOKUP( E1056, Lookup_Tables!$A$2:$A$6,Lookup_Tables!$B$2:$B$6," ", -1)</f>
        <v>Master</v>
      </c>
      <c r="T1056" t="str">
        <f>_xlfn.XLOOKUP(G1056,Lookup_Tables!$D$2:$D$5,Lookup_Tables!$E$2:$E$5)</f>
        <v>High</v>
      </c>
      <c r="U1056" t="str">
        <f>_xlfn.XLOOKUP(H1056,Lookup_Tables!$D$2:$D$5,Lookup_Tables!$E$2:$E$5)</f>
        <v>Medium</v>
      </c>
      <c r="V1056" t="str">
        <f>_xlfn.XLOOKUP(L1056,Lookup_Tables!$D$2:$D$5,Lookup_Tables!$E$2:$E$5)</f>
        <v>High</v>
      </c>
    </row>
    <row r="1057" spans="1:22">
      <c r="A1057">
        <f>RAW_DATA!A1057</f>
        <v>34</v>
      </c>
      <c r="B1057" t="str">
        <f>RAW_DATA!B1057</f>
        <v>No</v>
      </c>
      <c r="C1057" t="str">
        <f>RAW_DATA!C1057</f>
        <v>Research &amp; Development</v>
      </c>
      <c r="D1057">
        <f>RAW_DATA!D1057</f>
        <v>15</v>
      </c>
      <c r="E1057">
        <f>RAW_DATA!E1057</f>
        <v>3</v>
      </c>
      <c r="F1057" t="str">
        <f>RAW_DATA!F1057</f>
        <v>Medical</v>
      </c>
      <c r="G1057">
        <f>RAW_DATA!G1057</f>
        <v>2</v>
      </c>
      <c r="H1057">
        <f>RAW_DATA!H1057</f>
        <v>1</v>
      </c>
      <c r="I1057" t="str">
        <f>RAW_DATA!I1057</f>
        <v>Divorced</v>
      </c>
      <c r="J1057">
        <f>RAW_DATA!J1057</f>
        <v>17007</v>
      </c>
      <c r="K1057">
        <f>RAW_DATA!K1057</f>
        <v>7</v>
      </c>
      <c r="L1057">
        <f>RAW_DATA!L1057</f>
        <v>2</v>
      </c>
      <c r="M1057">
        <f>RAW_DATA!M1057</f>
        <v>14</v>
      </c>
      <c r="N1057">
        <f t="shared" si="32"/>
        <v>0</v>
      </c>
      <c r="O1057" t="str">
        <f xml:space="preserve"> VLOOKUP(A1057, Lookup_Tables!$G$2:$H$6,2,TRUE)</f>
        <v>25-34</v>
      </c>
      <c r="P1057" t="str">
        <f>_xlfn.XLOOKUP(J1057,Lookup_Tables!$J$2:$J$4,Lookup_Tables!$K$2:$K$4, " ",-1)</f>
        <v>High</v>
      </c>
      <c r="Q1057" t="str">
        <f xml:space="preserve"> _xlfn.XLOOKUP(M1057, Lookup_Tables!$M$2:$M$5,Lookup_Tables!$N$2:$N$5," ", -1)</f>
        <v>Veteran (10+)</v>
      </c>
      <c r="R1057" s="4">
        <f t="shared" si="33"/>
        <v>1.6666666666666667</v>
      </c>
      <c r="S1057" t="str">
        <f xml:space="preserve"> _xlfn.XLOOKUP( E1057, Lookup_Tables!$A$2:$A$6,Lookup_Tables!$B$2:$B$6," ", -1)</f>
        <v>Bachelor</v>
      </c>
      <c r="T1057" t="str">
        <f>_xlfn.XLOOKUP(G1057,Lookup_Tables!$D$2:$D$5,Lookup_Tables!$E$2:$E$5)</f>
        <v>Medium</v>
      </c>
      <c r="U1057" t="str">
        <f>_xlfn.XLOOKUP(H1057,Lookup_Tables!$D$2:$D$5,Lookup_Tables!$E$2:$E$5)</f>
        <v>Low</v>
      </c>
      <c r="V1057" t="str">
        <f>_xlfn.XLOOKUP(L1057,Lookup_Tables!$D$2:$D$5,Lookup_Tables!$E$2:$E$5)</f>
        <v>Medium</v>
      </c>
    </row>
    <row r="1058" spans="1:22">
      <c r="A1058">
        <f>RAW_DATA!A1058</f>
        <v>28</v>
      </c>
      <c r="B1058" t="str">
        <f>RAW_DATA!B1058</f>
        <v>Yes</v>
      </c>
      <c r="C1058" t="str">
        <f>RAW_DATA!C1058</f>
        <v>Sales</v>
      </c>
      <c r="D1058">
        <f>RAW_DATA!D1058</f>
        <v>1</v>
      </c>
      <c r="E1058">
        <f>RAW_DATA!E1058</f>
        <v>3</v>
      </c>
      <c r="F1058" t="str">
        <f>RAW_DATA!F1058</f>
        <v>Technical Degree</v>
      </c>
      <c r="G1058">
        <f>RAW_DATA!G1058</f>
        <v>1</v>
      </c>
      <c r="H1058">
        <f>RAW_DATA!H1058</f>
        <v>3</v>
      </c>
      <c r="I1058" t="str">
        <f>RAW_DATA!I1058</f>
        <v>Married</v>
      </c>
      <c r="J1058">
        <f>RAW_DATA!J1058</f>
        <v>2909</v>
      </c>
      <c r="K1058">
        <f>RAW_DATA!K1058</f>
        <v>3</v>
      </c>
      <c r="L1058">
        <f>RAW_DATA!L1058</f>
        <v>4</v>
      </c>
      <c r="M1058">
        <f>RAW_DATA!M1058</f>
        <v>3</v>
      </c>
      <c r="N1058">
        <f t="shared" si="32"/>
        <v>1</v>
      </c>
      <c r="O1058" t="str">
        <f xml:space="preserve"> VLOOKUP(A1058, Lookup_Tables!$G$2:$H$6,2,TRUE)</f>
        <v>25-34</v>
      </c>
      <c r="P1058" t="str">
        <f>_xlfn.XLOOKUP(J1058,Lookup_Tables!$J$2:$J$4,Lookup_Tables!$K$2:$K$4, " ",-1)</f>
        <v>Low</v>
      </c>
      <c r="Q1058" t="str">
        <f xml:space="preserve"> _xlfn.XLOOKUP(M1058, Lookup_Tables!$M$2:$M$5,Lookup_Tables!$N$2:$N$5," ", -1)</f>
        <v>Early (2-5)</v>
      </c>
      <c r="R1058" s="4">
        <f t="shared" si="33"/>
        <v>2.6666666666666665</v>
      </c>
      <c r="S1058" t="str">
        <f xml:space="preserve"> _xlfn.XLOOKUP( E1058, Lookup_Tables!$A$2:$A$6,Lookup_Tables!$B$2:$B$6," ", -1)</f>
        <v>Bachelor</v>
      </c>
      <c r="T1058" t="str">
        <f>_xlfn.XLOOKUP(G1058,Lookup_Tables!$D$2:$D$5,Lookup_Tables!$E$2:$E$5)</f>
        <v>Low</v>
      </c>
      <c r="U1058" t="str">
        <f>_xlfn.XLOOKUP(H1058,Lookup_Tables!$D$2:$D$5,Lookup_Tables!$E$2:$E$5)</f>
        <v>High</v>
      </c>
      <c r="V1058" t="str">
        <f>_xlfn.XLOOKUP(L1058,Lookup_Tables!$D$2:$D$5,Lookup_Tables!$E$2:$E$5)</f>
        <v>Very High</v>
      </c>
    </row>
    <row r="1059" spans="1:22">
      <c r="A1059">
        <f>RAW_DATA!A1059</f>
        <v>29</v>
      </c>
      <c r="B1059" t="str">
        <f>RAW_DATA!B1059</f>
        <v>Yes</v>
      </c>
      <c r="C1059" t="str">
        <f>RAW_DATA!C1059</f>
        <v>Sales</v>
      </c>
      <c r="D1059">
        <f>RAW_DATA!D1059</f>
        <v>13</v>
      </c>
      <c r="E1059">
        <f>RAW_DATA!E1059</f>
        <v>3</v>
      </c>
      <c r="F1059" t="str">
        <f>RAW_DATA!F1059</f>
        <v>Technical Degree</v>
      </c>
      <c r="G1059">
        <f>RAW_DATA!G1059</f>
        <v>1</v>
      </c>
      <c r="H1059">
        <f>RAW_DATA!H1059</f>
        <v>2</v>
      </c>
      <c r="I1059" t="str">
        <f>RAW_DATA!I1059</f>
        <v>Single</v>
      </c>
      <c r="J1059">
        <f>RAW_DATA!J1059</f>
        <v>5765</v>
      </c>
      <c r="K1059">
        <f>RAW_DATA!K1059</f>
        <v>5</v>
      </c>
      <c r="L1059">
        <f>RAW_DATA!L1059</f>
        <v>1</v>
      </c>
      <c r="M1059">
        <f>RAW_DATA!M1059</f>
        <v>5</v>
      </c>
      <c r="N1059">
        <f t="shared" si="32"/>
        <v>1</v>
      </c>
      <c r="O1059" t="str">
        <f xml:space="preserve"> VLOOKUP(A1059, Lookup_Tables!$G$2:$H$6,2,TRUE)</f>
        <v>25-34</v>
      </c>
      <c r="P1059" t="str">
        <f>_xlfn.XLOOKUP(J1059,Lookup_Tables!$J$2:$J$4,Lookup_Tables!$K$2:$K$4, " ",-1)</f>
        <v>Medium</v>
      </c>
      <c r="Q1059" t="str">
        <f xml:space="preserve"> _xlfn.XLOOKUP(M1059, Lookup_Tables!$M$2:$M$5,Lookup_Tables!$N$2:$N$5," ", -1)</f>
        <v>Established (5-10)</v>
      </c>
      <c r="R1059" s="4">
        <f t="shared" si="33"/>
        <v>1.3333333333333333</v>
      </c>
      <c r="S1059" t="str">
        <f xml:space="preserve"> _xlfn.XLOOKUP( E1059, Lookup_Tables!$A$2:$A$6,Lookup_Tables!$B$2:$B$6," ", -1)</f>
        <v>Bachelor</v>
      </c>
      <c r="T1059" t="str">
        <f>_xlfn.XLOOKUP(G1059,Lookup_Tables!$D$2:$D$5,Lookup_Tables!$E$2:$E$5)</f>
        <v>Low</v>
      </c>
      <c r="U1059" t="str">
        <f>_xlfn.XLOOKUP(H1059,Lookup_Tables!$D$2:$D$5,Lookup_Tables!$E$2:$E$5)</f>
        <v>Medium</v>
      </c>
      <c r="V1059" t="str">
        <f>_xlfn.XLOOKUP(L1059,Lookup_Tables!$D$2:$D$5,Lookup_Tables!$E$2:$E$5)</f>
        <v>Low</v>
      </c>
    </row>
    <row r="1060" spans="1:22">
      <c r="A1060">
        <f>RAW_DATA!A1060</f>
        <v>34</v>
      </c>
      <c r="B1060" t="str">
        <f>RAW_DATA!B1060</f>
        <v>Yes</v>
      </c>
      <c r="C1060" t="str">
        <f>RAW_DATA!C1060</f>
        <v>Sales</v>
      </c>
      <c r="D1060">
        <f>RAW_DATA!D1060</f>
        <v>24</v>
      </c>
      <c r="E1060">
        <f>RAW_DATA!E1060</f>
        <v>4</v>
      </c>
      <c r="F1060" t="str">
        <f>RAW_DATA!F1060</f>
        <v>Medical</v>
      </c>
      <c r="G1060">
        <f>RAW_DATA!G1060</f>
        <v>1</v>
      </c>
      <c r="H1060">
        <f>RAW_DATA!H1060</f>
        <v>2</v>
      </c>
      <c r="I1060" t="str">
        <f>RAW_DATA!I1060</f>
        <v>Single</v>
      </c>
      <c r="J1060">
        <f>RAW_DATA!J1060</f>
        <v>4599</v>
      </c>
      <c r="K1060">
        <f>RAW_DATA!K1060</f>
        <v>0</v>
      </c>
      <c r="L1060">
        <f>RAW_DATA!L1060</f>
        <v>4</v>
      </c>
      <c r="M1060">
        <f>RAW_DATA!M1060</f>
        <v>15</v>
      </c>
      <c r="N1060">
        <f t="shared" si="32"/>
        <v>1</v>
      </c>
      <c r="O1060" t="str">
        <f xml:space="preserve"> VLOOKUP(A1060, Lookup_Tables!$G$2:$H$6,2,TRUE)</f>
        <v>25-34</v>
      </c>
      <c r="P1060" t="str">
        <f>_xlfn.XLOOKUP(J1060,Lookup_Tables!$J$2:$J$4,Lookup_Tables!$K$2:$K$4, " ",-1)</f>
        <v>Medium</v>
      </c>
      <c r="Q1060" t="str">
        <f xml:space="preserve"> _xlfn.XLOOKUP(M1060, Lookup_Tables!$M$2:$M$5,Lookup_Tables!$N$2:$N$5," ", -1)</f>
        <v>Veteran (10+)</v>
      </c>
      <c r="R1060" s="4">
        <f t="shared" si="33"/>
        <v>2.3333333333333335</v>
      </c>
      <c r="S1060" t="str">
        <f xml:space="preserve"> _xlfn.XLOOKUP( E1060, Lookup_Tables!$A$2:$A$6,Lookup_Tables!$B$2:$B$6," ", -1)</f>
        <v>Master</v>
      </c>
      <c r="T1060" t="str">
        <f>_xlfn.XLOOKUP(G1060,Lookup_Tables!$D$2:$D$5,Lookup_Tables!$E$2:$E$5)</f>
        <v>Low</v>
      </c>
      <c r="U1060" t="str">
        <f>_xlfn.XLOOKUP(H1060,Lookup_Tables!$D$2:$D$5,Lookup_Tables!$E$2:$E$5)</f>
        <v>Medium</v>
      </c>
      <c r="V1060" t="str">
        <f>_xlfn.XLOOKUP(L1060,Lookup_Tables!$D$2:$D$5,Lookup_Tables!$E$2:$E$5)</f>
        <v>Very High</v>
      </c>
    </row>
    <row r="1061" spans="1:22">
      <c r="A1061">
        <f>RAW_DATA!A1061</f>
        <v>35</v>
      </c>
      <c r="B1061" t="str">
        <f>RAW_DATA!B1061</f>
        <v>No</v>
      </c>
      <c r="C1061" t="str">
        <f>RAW_DATA!C1061</f>
        <v>Sales</v>
      </c>
      <c r="D1061">
        <f>RAW_DATA!D1061</f>
        <v>7</v>
      </c>
      <c r="E1061">
        <f>RAW_DATA!E1061</f>
        <v>1</v>
      </c>
      <c r="F1061" t="str">
        <f>RAW_DATA!F1061</f>
        <v>Life Sciences</v>
      </c>
      <c r="G1061">
        <f>RAW_DATA!G1061</f>
        <v>4</v>
      </c>
      <c r="H1061">
        <f>RAW_DATA!H1061</f>
        <v>3</v>
      </c>
      <c r="I1061" t="str">
        <f>RAW_DATA!I1061</f>
        <v>Married</v>
      </c>
      <c r="J1061">
        <f>RAW_DATA!J1061</f>
        <v>2404</v>
      </c>
      <c r="K1061">
        <f>RAW_DATA!K1061</f>
        <v>1</v>
      </c>
      <c r="L1061">
        <f>RAW_DATA!L1061</f>
        <v>3</v>
      </c>
      <c r="M1061">
        <f>RAW_DATA!M1061</f>
        <v>1</v>
      </c>
      <c r="N1061">
        <f t="shared" si="32"/>
        <v>0</v>
      </c>
      <c r="O1061" t="str">
        <f xml:space="preserve"> VLOOKUP(A1061, Lookup_Tables!$G$2:$H$6,2,TRUE)</f>
        <v>35-44</v>
      </c>
      <c r="P1061" t="str">
        <f>_xlfn.XLOOKUP(J1061,Lookup_Tables!$J$2:$J$4,Lookup_Tables!$K$2:$K$4, " ",-1)</f>
        <v>Low</v>
      </c>
      <c r="Q1061" t="str">
        <f xml:space="preserve"> _xlfn.XLOOKUP(M1061, Lookup_Tables!$M$2:$M$5,Lookup_Tables!$N$2:$N$5," ", -1)</f>
        <v>New (0-2)</v>
      </c>
      <c r="R1061" s="4">
        <f t="shared" si="33"/>
        <v>3.3333333333333335</v>
      </c>
      <c r="S1061" t="str">
        <f xml:space="preserve"> _xlfn.XLOOKUP( E1061, Lookup_Tables!$A$2:$A$6,Lookup_Tables!$B$2:$B$6," ", -1)</f>
        <v>Below College</v>
      </c>
      <c r="T1061" t="str">
        <f>_xlfn.XLOOKUP(G1061,Lookup_Tables!$D$2:$D$5,Lookup_Tables!$E$2:$E$5)</f>
        <v>Very High</v>
      </c>
      <c r="U1061" t="str">
        <f>_xlfn.XLOOKUP(H1061,Lookup_Tables!$D$2:$D$5,Lookup_Tables!$E$2:$E$5)</f>
        <v>High</v>
      </c>
      <c r="V1061" t="str">
        <f>_xlfn.XLOOKUP(L1061,Lookup_Tables!$D$2:$D$5,Lookup_Tables!$E$2:$E$5)</f>
        <v>High</v>
      </c>
    </row>
    <row r="1062" spans="1:22">
      <c r="A1062">
        <f>RAW_DATA!A1062</f>
        <v>24</v>
      </c>
      <c r="B1062" t="str">
        <f>RAW_DATA!B1062</f>
        <v>Yes</v>
      </c>
      <c r="C1062" t="str">
        <f>RAW_DATA!C1062</f>
        <v>Research &amp; Development</v>
      </c>
      <c r="D1062">
        <f>RAW_DATA!D1062</f>
        <v>9</v>
      </c>
      <c r="E1062">
        <f>RAW_DATA!E1062</f>
        <v>3</v>
      </c>
      <c r="F1062" t="str">
        <f>RAW_DATA!F1062</f>
        <v>Medical</v>
      </c>
      <c r="G1062">
        <f>RAW_DATA!G1062</f>
        <v>2</v>
      </c>
      <c r="H1062">
        <f>RAW_DATA!H1062</f>
        <v>1</v>
      </c>
      <c r="I1062" t="str">
        <f>RAW_DATA!I1062</f>
        <v>Single</v>
      </c>
      <c r="J1062">
        <f>RAW_DATA!J1062</f>
        <v>3172</v>
      </c>
      <c r="K1062">
        <f>RAW_DATA!K1062</f>
        <v>2</v>
      </c>
      <c r="L1062">
        <f>RAW_DATA!L1062</f>
        <v>2</v>
      </c>
      <c r="M1062">
        <f>RAW_DATA!M1062</f>
        <v>0</v>
      </c>
      <c r="N1062">
        <f t="shared" si="32"/>
        <v>1</v>
      </c>
      <c r="O1062" t="str">
        <f xml:space="preserve"> VLOOKUP(A1062, Lookup_Tables!$G$2:$H$6,2,TRUE)</f>
        <v>&lt;25</v>
      </c>
      <c r="P1062" t="str">
        <f>_xlfn.XLOOKUP(J1062,Lookup_Tables!$J$2:$J$4,Lookup_Tables!$K$2:$K$4, " ",-1)</f>
        <v>Medium</v>
      </c>
      <c r="Q1062" t="str">
        <f xml:space="preserve"> _xlfn.XLOOKUP(M1062, Lookup_Tables!$M$2:$M$5,Lookup_Tables!$N$2:$N$5," ", -1)</f>
        <v>New (0-2)</v>
      </c>
      <c r="R1062" s="4">
        <f t="shared" si="33"/>
        <v>1.6666666666666667</v>
      </c>
      <c r="S1062" t="str">
        <f xml:space="preserve"> _xlfn.XLOOKUP( E1062, Lookup_Tables!$A$2:$A$6,Lookup_Tables!$B$2:$B$6," ", -1)</f>
        <v>Bachelor</v>
      </c>
      <c r="T1062" t="str">
        <f>_xlfn.XLOOKUP(G1062,Lookup_Tables!$D$2:$D$5,Lookup_Tables!$E$2:$E$5)</f>
        <v>Medium</v>
      </c>
      <c r="U1062" t="str">
        <f>_xlfn.XLOOKUP(H1062,Lookup_Tables!$D$2:$D$5,Lookup_Tables!$E$2:$E$5)</f>
        <v>Low</v>
      </c>
      <c r="V1062" t="str">
        <f>_xlfn.XLOOKUP(L1062,Lookup_Tables!$D$2:$D$5,Lookup_Tables!$E$2:$E$5)</f>
        <v>Medium</v>
      </c>
    </row>
    <row r="1063" spans="1:22">
      <c r="A1063">
        <f>RAW_DATA!A1063</f>
        <v>24</v>
      </c>
      <c r="B1063" t="str">
        <f>RAW_DATA!B1063</f>
        <v>No</v>
      </c>
      <c r="C1063" t="str">
        <f>RAW_DATA!C1063</f>
        <v>Sales</v>
      </c>
      <c r="D1063">
        <f>RAW_DATA!D1063</f>
        <v>13</v>
      </c>
      <c r="E1063">
        <f>RAW_DATA!E1063</f>
        <v>2</v>
      </c>
      <c r="F1063" t="str">
        <f>RAW_DATA!F1063</f>
        <v>Life Sciences</v>
      </c>
      <c r="G1063">
        <f>RAW_DATA!G1063</f>
        <v>4</v>
      </c>
      <c r="H1063">
        <f>RAW_DATA!H1063</f>
        <v>2</v>
      </c>
      <c r="I1063" t="str">
        <f>RAW_DATA!I1063</f>
        <v>Married</v>
      </c>
      <c r="J1063">
        <f>RAW_DATA!J1063</f>
        <v>2033</v>
      </c>
      <c r="K1063">
        <f>RAW_DATA!K1063</f>
        <v>1</v>
      </c>
      <c r="L1063">
        <f>RAW_DATA!L1063</f>
        <v>3</v>
      </c>
      <c r="M1063">
        <f>RAW_DATA!M1063</f>
        <v>1</v>
      </c>
      <c r="N1063">
        <f t="shared" si="32"/>
        <v>0</v>
      </c>
      <c r="O1063" t="str">
        <f xml:space="preserve"> VLOOKUP(A1063, Lookup_Tables!$G$2:$H$6,2,TRUE)</f>
        <v>&lt;25</v>
      </c>
      <c r="P1063" t="str">
        <f>_xlfn.XLOOKUP(J1063,Lookup_Tables!$J$2:$J$4,Lookup_Tables!$K$2:$K$4, " ",-1)</f>
        <v>Low</v>
      </c>
      <c r="Q1063" t="str">
        <f xml:space="preserve"> _xlfn.XLOOKUP(M1063, Lookup_Tables!$M$2:$M$5,Lookup_Tables!$N$2:$N$5," ", -1)</f>
        <v>New (0-2)</v>
      </c>
      <c r="R1063" s="4">
        <f t="shared" si="33"/>
        <v>3</v>
      </c>
      <c r="S1063" t="str">
        <f xml:space="preserve"> _xlfn.XLOOKUP( E1063, Lookup_Tables!$A$2:$A$6,Lookup_Tables!$B$2:$B$6," ", -1)</f>
        <v>College</v>
      </c>
      <c r="T1063" t="str">
        <f>_xlfn.XLOOKUP(G1063,Lookup_Tables!$D$2:$D$5,Lookup_Tables!$E$2:$E$5)</f>
        <v>Very High</v>
      </c>
      <c r="U1063" t="str">
        <f>_xlfn.XLOOKUP(H1063,Lookup_Tables!$D$2:$D$5,Lookup_Tables!$E$2:$E$5)</f>
        <v>Medium</v>
      </c>
      <c r="V1063" t="str">
        <f>_xlfn.XLOOKUP(L1063,Lookup_Tables!$D$2:$D$5,Lookup_Tables!$E$2:$E$5)</f>
        <v>High</v>
      </c>
    </row>
    <row r="1064" spans="1:22">
      <c r="A1064">
        <f>RAW_DATA!A1064</f>
        <v>44</v>
      </c>
      <c r="B1064" t="str">
        <f>RAW_DATA!B1064</f>
        <v>No</v>
      </c>
      <c r="C1064" t="str">
        <f>RAW_DATA!C1064</f>
        <v>Research &amp; Development</v>
      </c>
      <c r="D1064">
        <f>RAW_DATA!D1064</f>
        <v>2</v>
      </c>
      <c r="E1064">
        <f>RAW_DATA!E1064</f>
        <v>1</v>
      </c>
      <c r="F1064" t="str">
        <f>RAW_DATA!F1064</f>
        <v>Medical</v>
      </c>
      <c r="G1064">
        <f>RAW_DATA!G1064</f>
        <v>2</v>
      </c>
      <c r="H1064">
        <f>RAW_DATA!H1064</f>
        <v>3</v>
      </c>
      <c r="I1064" t="str">
        <f>RAW_DATA!I1064</f>
        <v>Single</v>
      </c>
      <c r="J1064">
        <f>RAW_DATA!J1064</f>
        <v>10209</v>
      </c>
      <c r="K1064">
        <f>RAW_DATA!K1064</f>
        <v>5</v>
      </c>
      <c r="L1064">
        <f>RAW_DATA!L1064</f>
        <v>2</v>
      </c>
      <c r="M1064">
        <f>RAW_DATA!M1064</f>
        <v>2</v>
      </c>
      <c r="N1064">
        <f t="shared" si="32"/>
        <v>0</v>
      </c>
      <c r="O1064" t="str">
        <f xml:space="preserve"> VLOOKUP(A1064, Lookup_Tables!$G$2:$H$6,2,TRUE)</f>
        <v>35-44</v>
      </c>
      <c r="P1064" t="str">
        <f>_xlfn.XLOOKUP(J1064,Lookup_Tables!$J$2:$J$4,Lookup_Tables!$K$2:$K$4, " ",-1)</f>
        <v>High</v>
      </c>
      <c r="Q1064" t="str">
        <f xml:space="preserve"> _xlfn.XLOOKUP(M1064, Lookup_Tables!$M$2:$M$5,Lookup_Tables!$N$2:$N$5," ", -1)</f>
        <v>Early (2-5)</v>
      </c>
      <c r="R1064" s="4">
        <f t="shared" si="33"/>
        <v>2.3333333333333335</v>
      </c>
      <c r="S1064" t="str">
        <f xml:space="preserve"> _xlfn.XLOOKUP( E1064, Lookup_Tables!$A$2:$A$6,Lookup_Tables!$B$2:$B$6," ", -1)</f>
        <v>Below College</v>
      </c>
      <c r="T1064" t="str">
        <f>_xlfn.XLOOKUP(G1064,Lookup_Tables!$D$2:$D$5,Lookup_Tables!$E$2:$E$5)</f>
        <v>Medium</v>
      </c>
      <c r="U1064" t="str">
        <f>_xlfn.XLOOKUP(H1064,Lookup_Tables!$D$2:$D$5,Lookup_Tables!$E$2:$E$5)</f>
        <v>High</v>
      </c>
      <c r="V1064" t="str">
        <f>_xlfn.XLOOKUP(L1064,Lookup_Tables!$D$2:$D$5,Lookup_Tables!$E$2:$E$5)</f>
        <v>Medium</v>
      </c>
    </row>
    <row r="1065" spans="1:22">
      <c r="A1065">
        <f>RAW_DATA!A1065</f>
        <v>29</v>
      </c>
      <c r="B1065" t="str">
        <f>RAW_DATA!B1065</f>
        <v>No</v>
      </c>
      <c r="C1065" t="str">
        <f>RAW_DATA!C1065</f>
        <v>Sales</v>
      </c>
      <c r="D1065">
        <f>RAW_DATA!D1065</f>
        <v>19</v>
      </c>
      <c r="E1065">
        <f>RAW_DATA!E1065</f>
        <v>3</v>
      </c>
      <c r="F1065" t="str">
        <f>RAW_DATA!F1065</f>
        <v>Life Sciences</v>
      </c>
      <c r="G1065">
        <f>RAW_DATA!G1065</f>
        <v>3</v>
      </c>
      <c r="H1065">
        <f>RAW_DATA!H1065</f>
        <v>3</v>
      </c>
      <c r="I1065" t="str">
        <f>RAW_DATA!I1065</f>
        <v>Divorced</v>
      </c>
      <c r="J1065">
        <f>RAW_DATA!J1065</f>
        <v>8620</v>
      </c>
      <c r="K1065">
        <f>RAW_DATA!K1065</f>
        <v>1</v>
      </c>
      <c r="L1065">
        <f>RAW_DATA!L1065</f>
        <v>3</v>
      </c>
      <c r="M1065">
        <f>RAW_DATA!M1065</f>
        <v>10</v>
      </c>
      <c r="N1065">
        <f t="shared" si="32"/>
        <v>0</v>
      </c>
      <c r="O1065" t="str">
        <f xml:space="preserve"> VLOOKUP(A1065, Lookup_Tables!$G$2:$H$6,2,TRUE)</f>
        <v>25-34</v>
      </c>
      <c r="P1065" t="str">
        <f>_xlfn.XLOOKUP(J1065,Lookup_Tables!$J$2:$J$4,Lookup_Tables!$K$2:$K$4, " ",-1)</f>
        <v>High</v>
      </c>
      <c r="Q1065" t="str">
        <f xml:space="preserve"> _xlfn.XLOOKUP(M1065, Lookup_Tables!$M$2:$M$5,Lookup_Tables!$N$2:$N$5," ", -1)</f>
        <v>Veteran (10+)</v>
      </c>
      <c r="R1065" s="4">
        <f t="shared" si="33"/>
        <v>3</v>
      </c>
      <c r="S1065" t="str">
        <f xml:space="preserve"> _xlfn.XLOOKUP( E1065, Lookup_Tables!$A$2:$A$6,Lookup_Tables!$B$2:$B$6," ", -1)</f>
        <v>Bachelor</v>
      </c>
      <c r="T1065" t="str">
        <f>_xlfn.XLOOKUP(G1065,Lookup_Tables!$D$2:$D$5,Lookup_Tables!$E$2:$E$5)</f>
        <v>High</v>
      </c>
      <c r="U1065" t="str">
        <f>_xlfn.XLOOKUP(H1065,Lookup_Tables!$D$2:$D$5,Lookup_Tables!$E$2:$E$5)</f>
        <v>High</v>
      </c>
      <c r="V1065" t="str">
        <f>_xlfn.XLOOKUP(L1065,Lookup_Tables!$D$2:$D$5,Lookup_Tables!$E$2:$E$5)</f>
        <v>High</v>
      </c>
    </row>
    <row r="1066" spans="1:22">
      <c r="A1066">
        <f>RAW_DATA!A1066</f>
        <v>30</v>
      </c>
      <c r="B1066" t="str">
        <f>RAW_DATA!B1066</f>
        <v>No</v>
      </c>
      <c r="C1066" t="str">
        <f>RAW_DATA!C1066</f>
        <v>Human Resources</v>
      </c>
      <c r="D1066">
        <f>RAW_DATA!D1066</f>
        <v>1</v>
      </c>
      <c r="E1066">
        <f>RAW_DATA!E1066</f>
        <v>3</v>
      </c>
      <c r="F1066" t="str">
        <f>RAW_DATA!F1066</f>
        <v>Life Sciences</v>
      </c>
      <c r="G1066">
        <f>RAW_DATA!G1066</f>
        <v>3</v>
      </c>
      <c r="H1066">
        <f>RAW_DATA!H1066</f>
        <v>3</v>
      </c>
      <c r="I1066" t="str">
        <f>RAW_DATA!I1066</f>
        <v>Divorced</v>
      </c>
      <c r="J1066">
        <f>RAW_DATA!J1066</f>
        <v>2064</v>
      </c>
      <c r="K1066">
        <f>RAW_DATA!K1066</f>
        <v>0</v>
      </c>
      <c r="L1066">
        <f>RAW_DATA!L1066</f>
        <v>4</v>
      </c>
      <c r="M1066">
        <f>RAW_DATA!M1066</f>
        <v>5</v>
      </c>
      <c r="N1066">
        <f t="shared" si="32"/>
        <v>0</v>
      </c>
      <c r="O1066" t="str">
        <f xml:space="preserve"> VLOOKUP(A1066, Lookup_Tables!$G$2:$H$6,2,TRUE)</f>
        <v>25-34</v>
      </c>
      <c r="P1066" t="str">
        <f>_xlfn.XLOOKUP(J1066,Lookup_Tables!$J$2:$J$4,Lookup_Tables!$K$2:$K$4, " ",-1)</f>
        <v>Low</v>
      </c>
      <c r="Q1066" t="str">
        <f xml:space="preserve"> _xlfn.XLOOKUP(M1066, Lookup_Tables!$M$2:$M$5,Lookup_Tables!$N$2:$N$5," ", -1)</f>
        <v>Established (5-10)</v>
      </c>
      <c r="R1066" s="4">
        <f t="shared" si="33"/>
        <v>3.3333333333333335</v>
      </c>
      <c r="S1066" t="str">
        <f xml:space="preserve"> _xlfn.XLOOKUP( E1066, Lookup_Tables!$A$2:$A$6,Lookup_Tables!$B$2:$B$6," ", -1)</f>
        <v>Bachelor</v>
      </c>
      <c r="T1066" t="str">
        <f>_xlfn.XLOOKUP(G1066,Lookup_Tables!$D$2:$D$5,Lookup_Tables!$E$2:$E$5)</f>
        <v>High</v>
      </c>
      <c r="U1066" t="str">
        <f>_xlfn.XLOOKUP(H1066,Lookup_Tables!$D$2:$D$5,Lookup_Tables!$E$2:$E$5)</f>
        <v>High</v>
      </c>
      <c r="V1066" t="str">
        <f>_xlfn.XLOOKUP(L1066,Lookup_Tables!$D$2:$D$5,Lookup_Tables!$E$2:$E$5)</f>
        <v>Very High</v>
      </c>
    </row>
    <row r="1067" spans="1:22">
      <c r="A1067">
        <f>RAW_DATA!A1067</f>
        <v>55</v>
      </c>
      <c r="B1067" t="str">
        <f>RAW_DATA!B1067</f>
        <v>No</v>
      </c>
      <c r="C1067" t="str">
        <f>RAW_DATA!C1067</f>
        <v>Research &amp; Development</v>
      </c>
      <c r="D1067">
        <f>RAW_DATA!D1067</f>
        <v>4</v>
      </c>
      <c r="E1067">
        <f>RAW_DATA!E1067</f>
        <v>4</v>
      </c>
      <c r="F1067" t="str">
        <f>RAW_DATA!F1067</f>
        <v>Life Sciences</v>
      </c>
      <c r="G1067">
        <f>RAW_DATA!G1067</f>
        <v>4</v>
      </c>
      <c r="H1067">
        <f>RAW_DATA!H1067</f>
        <v>3</v>
      </c>
      <c r="I1067" t="str">
        <f>RAW_DATA!I1067</f>
        <v>Married</v>
      </c>
      <c r="J1067">
        <f>RAW_DATA!J1067</f>
        <v>4035</v>
      </c>
      <c r="K1067">
        <f>RAW_DATA!K1067</f>
        <v>0</v>
      </c>
      <c r="L1067">
        <f>RAW_DATA!L1067</f>
        <v>3</v>
      </c>
      <c r="M1067">
        <f>RAW_DATA!M1067</f>
        <v>3</v>
      </c>
      <c r="N1067">
        <f t="shared" si="32"/>
        <v>0</v>
      </c>
      <c r="O1067" t="str">
        <f xml:space="preserve"> VLOOKUP(A1067, Lookup_Tables!$G$2:$H$6,2,TRUE)</f>
        <v>55+</v>
      </c>
      <c r="P1067" t="str">
        <f>_xlfn.XLOOKUP(J1067,Lookup_Tables!$J$2:$J$4,Lookup_Tables!$K$2:$K$4, " ",-1)</f>
        <v>Medium</v>
      </c>
      <c r="Q1067" t="str">
        <f xml:space="preserve"> _xlfn.XLOOKUP(M1067, Lookup_Tables!$M$2:$M$5,Lookup_Tables!$N$2:$N$5," ", -1)</f>
        <v>Early (2-5)</v>
      </c>
      <c r="R1067" s="4">
        <f t="shared" si="33"/>
        <v>3.3333333333333335</v>
      </c>
      <c r="S1067" t="str">
        <f xml:space="preserve"> _xlfn.XLOOKUP( E1067, Lookup_Tables!$A$2:$A$6,Lookup_Tables!$B$2:$B$6," ", -1)</f>
        <v>Master</v>
      </c>
      <c r="T1067" t="str">
        <f>_xlfn.XLOOKUP(G1067,Lookup_Tables!$D$2:$D$5,Lookup_Tables!$E$2:$E$5)</f>
        <v>Very High</v>
      </c>
      <c r="U1067" t="str">
        <f>_xlfn.XLOOKUP(H1067,Lookup_Tables!$D$2:$D$5,Lookup_Tables!$E$2:$E$5)</f>
        <v>High</v>
      </c>
      <c r="V1067" t="str">
        <f>_xlfn.XLOOKUP(L1067,Lookup_Tables!$D$2:$D$5,Lookup_Tables!$E$2:$E$5)</f>
        <v>High</v>
      </c>
    </row>
    <row r="1068" spans="1:22">
      <c r="A1068">
        <f>RAW_DATA!A1068</f>
        <v>33</v>
      </c>
      <c r="B1068" t="str">
        <f>RAW_DATA!B1068</f>
        <v>No</v>
      </c>
      <c r="C1068" t="str">
        <f>RAW_DATA!C1068</f>
        <v>Research &amp; Development</v>
      </c>
      <c r="D1068">
        <f>RAW_DATA!D1068</f>
        <v>4</v>
      </c>
      <c r="E1068">
        <f>RAW_DATA!E1068</f>
        <v>4</v>
      </c>
      <c r="F1068" t="str">
        <f>RAW_DATA!F1068</f>
        <v>Medical</v>
      </c>
      <c r="G1068">
        <f>RAW_DATA!G1068</f>
        <v>1</v>
      </c>
      <c r="H1068">
        <f>RAW_DATA!H1068</f>
        <v>2</v>
      </c>
      <c r="I1068" t="str">
        <f>RAW_DATA!I1068</f>
        <v>Married</v>
      </c>
      <c r="J1068">
        <f>RAW_DATA!J1068</f>
        <v>3838</v>
      </c>
      <c r="K1068">
        <f>RAW_DATA!K1068</f>
        <v>8</v>
      </c>
      <c r="L1068">
        <f>RAW_DATA!L1068</f>
        <v>3</v>
      </c>
      <c r="M1068">
        <f>RAW_DATA!M1068</f>
        <v>5</v>
      </c>
      <c r="N1068">
        <f t="shared" si="32"/>
        <v>0</v>
      </c>
      <c r="O1068" t="str">
        <f xml:space="preserve"> VLOOKUP(A1068, Lookup_Tables!$G$2:$H$6,2,TRUE)</f>
        <v>25-34</v>
      </c>
      <c r="P1068" t="str">
        <f>_xlfn.XLOOKUP(J1068,Lookup_Tables!$J$2:$J$4,Lookup_Tables!$K$2:$K$4, " ",-1)</f>
        <v>Medium</v>
      </c>
      <c r="Q1068" t="str">
        <f xml:space="preserve"> _xlfn.XLOOKUP(M1068, Lookup_Tables!$M$2:$M$5,Lookup_Tables!$N$2:$N$5," ", -1)</f>
        <v>Established (5-10)</v>
      </c>
      <c r="R1068" s="4">
        <f t="shared" si="33"/>
        <v>2</v>
      </c>
      <c r="S1068" t="str">
        <f xml:space="preserve"> _xlfn.XLOOKUP( E1068, Lookup_Tables!$A$2:$A$6,Lookup_Tables!$B$2:$B$6," ", -1)</f>
        <v>Master</v>
      </c>
      <c r="T1068" t="str">
        <f>_xlfn.XLOOKUP(G1068,Lookup_Tables!$D$2:$D$5,Lookup_Tables!$E$2:$E$5)</f>
        <v>Low</v>
      </c>
      <c r="U1068" t="str">
        <f>_xlfn.XLOOKUP(H1068,Lookup_Tables!$D$2:$D$5,Lookup_Tables!$E$2:$E$5)</f>
        <v>Medium</v>
      </c>
      <c r="V1068" t="str">
        <f>_xlfn.XLOOKUP(L1068,Lookup_Tables!$D$2:$D$5,Lookup_Tables!$E$2:$E$5)</f>
        <v>High</v>
      </c>
    </row>
    <row r="1069" spans="1:22">
      <c r="A1069">
        <f>RAW_DATA!A1069</f>
        <v>47</v>
      </c>
      <c r="B1069" t="str">
        <f>RAW_DATA!B1069</f>
        <v>No</v>
      </c>
      <c r="C1069" t="str">
        <f>RAW_DATA!C1069</f>
        <v>Sales</v>
      </c>
      <c r="D1069">
        <f>RAW_DATA!D1069</f>
        <v>14</v>
      </c>
      <c r="E1069">
        <f>RAW_DATA!E1069</f>
        <v>3</v>
      </c>
      <c r="F1069" t="str">
        <f>RAW_DATA!F1069</f>
        <v>Medical</v>
      </c>
      <c r="G1069">
        <f>RAW_DATA!G1069</f>
        <v>3</v>
      </c>
      <c r="H1069">
        <f>RAW_DATA!H1069</f>
        <v>3</v>
      </c>
      <c r="I1069" t="str">
        <f>RAW_DATA!I1069</f>
        <v>Married</v>
      </c>
      <c r="J1069">
        <f>RAW_DATA!J1069</f>
        <v>4591</v>
      </c>
      <c r="K1069">
        <f>RAW_DATA!K1069</f>
        <v>3</v>
      </c>
      <c r="L1069">
        <f>RAW_DATA!L1069</f>
        <v>2</v>
      </c>
      <c r="M1069">
        <f>RAW_DATA!M1069</f>
        <v>5</v>
      </c>
      <c r="N1069">
        <f t="shared" si="32"/>
        <v>0</v>
      </c>
      <c r="O1069" t="str">
        <f xml:space="preserve"> VLOOKUP(A1069, Lookup_Tables!$G$2:$H$6,2,TRUE)</f>
        <v>45-54</v>
      </c>
      <c r="P1069" t="str">
        <f>_xlfn.XLOOKUP(J1069,Lookup_Tables!$J$2:$J$4,Lookup_Tables!$K$2:$K$4, " ",-1)</f>
        <v>Medium</v>
      </c>
      <c r="Q1069" t="str">
        <f xml:space="preserve"> _xlfn.XLOOKUP(M1069, Lookup_Tables!$M$2:$M$5,Lookup_Tables!$N$2:$N$5," ", -1)</f>
        <v>Established (5-10)</v>
      </c>
      <c r="R1069" s="4">
        <f t="shared" si="33"/>
        <v>2.6666666666666665</v>
      </c>
      <c r="S1069" t="str">
        <f xml:space="preserve"> _xlfn.XLOOKUP( E1069, Lookup_Tables!$A$2:$A$6,Lookup_Tables!$B$2:$B$6," ", -1)</f>
        <v>Bachelor</v>
      </c>
      <c r="T1069" t="str">
        <f>_xlfn.XLOOKUP(G1069,Lookup_Tables!$D$2:$D$5,Lookup_Tables!$E$2:$E$5)</f>
        <v>High</v>
      </c>
      <c r="U1069" t="str">
        <f>_xlfn.XLOOKUP(H1069,Lookup_Tables!$D$2:$D$5,Lookup_Tables!$E$2:$E$5)</f>
        <v>High</v>
      </c>
      <c r="V1069" t="str">
        <f>_xlfn.XLOOKUP(L1069,Lookup_Tables!$D$2:$D$5,Lookup_Tables!$E$2:$E$5)</f>
        <v>Medium</v>
      </c>
    </row>
    <row r="1070" spans="1:22">
      <c r="A1070">
        <f>RAW_DATA!A1070</f>
        <v>28</v>
      </c>
      <c r="B1070" t="str">
        <f>RAW_DATA!B1070</f>
        <v>Yes</v>
      </c>
      <c r="C1070" t="str">
        <f>RAW_DATA!C1070</f>
        <v>Research &amp; Development</v>
      </c>
      <c r="D1070">
        <f>RAW_DATA!D1070</f>
        <v>2</v>
      </c>
      <c r="E1070">
        <f>RAW_DATA!E1070</f>
        <v>2</v>
      </c>
      <c r="F1070" t="str">
        <f>RAW_DATA!F1070</f>
        <v>Medical</v>
      </c>
      <c r="G1070">
        <f>RAW_DATA!G1070</f>
        <v>3</v>
      </c>
      <c r="H1070">
        <f>RAW_DATA!H1070</f>
        <v>1</v>
      </c>
      <c r="I1070" t="str">
        <f>RAW_DATA!I1070</f>
        <v>Single</v>
      </c>
      <c r="J1070">
        <f>RAW_DATA!J1070</f>
        <v>2561</v>
      </c>
      <c r="K1070">
        <f>RAW_DATA!K1070</f>
        <v>7</v>
      </c>
      <c r="L1070">
        <f>RAW_DATA!L1070</f>
        <v>2</v>
      </c>
      <c r="M1070">
        <f>RAW_DATA!M1070</f>
        <v>0</v>
      </c>
      <c r="N1070">
        <f t="shared" si="32"/>
        <v>1</v>
      </c>
      <c r="O1070" t="str">
        <f xml:space="preserve"> VLOOKUP(A1070, Lookup_Tables!$G$2:$H$6,2,TRUE)</f>
        <v>25-34</v>
      </c>
      <c r="P1070" t="str">
        <f>_xlfn.XLOOKUP(J1070,Lookup_Tables!$J$2:$J$4,Lookup_Tables!$K$2:$K$4, " ",-1)</f>
        <v>Low</v>
      </c>
      <c r="Q1070" t="str">
        <f xml:space="preserve"> _xlfn.XLOOKUP(M1070, Lookup_Tables!$M$2:$M$5,Lookup_Tables!$N$2:$N$5," ", -1)</f>
        <v>New (0-2)</v>
      </c>
      <c r="R1070" s="4">
        <f t="shared" si="33"/>
        <v>2</v>
      </c>
      <c r="S1070" t="str">
        <f xml:space="preserve"> _xlfn.XLOOKUP( E1070, Lookup_Tables!$A$2:$A$6,Lookup_Tables!$B$2:$B$6," ", -1)</f>
        <v>College</v>
      </c>
      <c r="T1070" t="str">
        <f>_xlfn.XLOOKUP(G1070,Lookup_Tables!$D$2:$D$5,Lookup_Tables!$E$2:$E$5)</f>
        <v>High</v>
      </c>
      <c r="U1070" t="str">
        <f>_xlfn.XLOOKUP(H1070,Lookup_Tables!$D$2:$D$5,Lookup_Tables!$E$2:$E$5)</f>
        <v>Low</v>
      </c>
      <c r="V1070" t="str">
        <f>_xlfn.XLOOKUP(L1070,Lookup_Tables!$D$2:$D$5,Lookup_Tables!$E$2:$E$5)</f>
        <v>Medium</v>
      </c>
    </row>
    <row r="1071" spans="1:22">
      <c r="A1071">
        <f>RAW_DATA!A1071</f>
        <v>28</v>
      </c>
      <c r="B1071" t="str">
        <f>RAW_DATA!B1071</f>
        <v>No</v>
      </c>
      <c r="C1071" t="str">
        <f>RAW_DATA!C1071</f>
        <v>Research &amp; Development</v>
      </c>
      <c r="D1071">
        <f>RAW_DATA!D1071</f>
        <v>1</v>
      </c>
      <c r="E1071">
        <f>RAW_DATA!E1071</f>
        <v>3</v>
      </c>
      <c r="F1071" t="str">
        <f>RAW_DATA!F1071</f>
        <v>Life Sciences</v>
      </c>
      <c r="G1071">
        <f>RAW_DATA!G1071</f>
        <v>1</v>
      </c>
      <c r="H1071">
        <f>RAW_DATA!H1071</f>
        <v>3</v>
      </c>
      <c r="I1071" t="str">
        <f>RAW_DATA!I1071</f>
        <v>Divorced</v>
      </c>
      <c r="J1071">
        <f>RAW_DATA!J1071</f>
        <v>1563</v>
      </c>
      <c r="K1071">
        <f>RAW_DATA!K1071</f>
        <v>1</v>
      </c>
      <c r="L1071">
        <f>RAW_DATA!L1071</f>
        <v>1</v>
      </c>
      <c r="M1071">
        <f>RAW_DATA!M1071</f>
        <v>1</v>
      </c>
      <c r="N1071">
        <f t="shared" si="32"/>
        <v>0</v>
      </c>
      <c r="O1071" t="str">
        <f xml:space="preserve"> VLOOKUP(A1071, Lookup_Tables!$G$2:$H$6,2,TRUE)</f>
        <v>25-34</v>
      </c>
      <c r="P1071" t="str">
        <f>_xlfn.XLOOKUP(J1071,Lookup_Tables!$J$2:$J$4,Lookup_Tables!$K$2:$K$4, " ",-1)</f>
        <v>Low</v>
      </c>
      <c r="Q1071" t="str">
        <f xml:space="preserve"> _xlfn.XLOOKUP(M1071, Lookup_Tables!$M$2:$M$5,Lookup_Tables!$N$2:$N$5," ", -1)</f>
        <v>New (0-2)</v>
      </c>
      <c r="R1071" s="4">
        <f t="shared" si="33"/>
        <v>1.6666666666666667</v>
      </c>
      <c r="S1071" t="str">
        <f xml:space="preserve"> _xlfn.XLOOKUP( E1071, Lookup_Tables!$A$2:$A$6,Lookup_Tables!$B$2:$B$6," ", -1)</f>
        <v>Bachelor</v>
      </c>
      <c r="T1071" t="str">
        <f>_xlfn.XLOOKUP(G1071,Lookup_Tables!$D$2:$D$5,Lookup_Tables!$E$2:$E$5)</f>
        <v>Low</v>
      </c>
      <c r="U1071" t="str">
        <f>_xlfn.XLOOKUP(H1071,Lookup_Tables!$D$2:$D$5,Lookup_Tables!$E$2:$E$5)</f>
        <v>High</v>
      </c>
      <c r="V1071" t="str">
        <f>_xlfn.XLOOKUP(L1071,Lookup_Tables!$D$2:$D$5,Lookup_Tables!$E$2:$E$5)</f>
        <v>Low</v>
      </c>
    </row>
    <row r="1072" spans="1:22">
      <c r="A1072">
        <f>RAW_DATA!A1072</f>
        <v>28</v>
      </c>
      <c r="B1072" t="str">
        <f>RAW_DATA!B1072</f>
        <v>No</v>
      </c>
      <c r="C1072" t="str">
        <f>RAW_DATA!C1072</f>
        <v>Sales</v>
      </c>
      <c r="D1072">
        <f>RAW_DATA!D1072</f>
        <v>7</v>
      </c>
      <c r="E1072">
        <f>RAW_DATA!E1072</f>
        <v>3</v>
      </c>
      <c r="F1072" t="str">
        <f>RAW_DATA!F1072</f>
        <v>Life Sciences</v>
      </c>
      <c r="G1072">
        <f>RAW_DATA!G1072</f>
        <v>3</v>
      </c>
      <c r="H1072">
        <f>RAW_DATA!H1072</f>
        <v>1</v>
      </c>
      <c r="I1072" t="str">
        <f>RAW_DATA!I1072</f>
        <v>Single</v>
      </c>
      <c r="J1072">
        <f>RAW_DATA!J1072</f>
        <v>4898</v>
      </c>
      <c r="K1072">
        <f>RAW_DATA!K1072</f>
        <v>0</v>
      </c>
      <c r="L1072">
        <f>RAW_DATA!L1072</f>
        <v>3</v>
      </c>
      <c r="M1072">
        <f>RAW_DATA!M1072</f>
        <v>4</v>
      </c>
      <c r="N1072">
        <f t="shared" si="32"/>
        <v>0</v>
      </c>
      <c r="O1072" t="str">
        <f xml:space="preserve"> VLOOKUP(A1072, Lookup_Tables!$G$2:$H$6,2,TRUE)</f>
        <v>25-34</v>
      </c>
      <c r="P1072" t="str">
        <f>_xlfn.XLOOKUP(J1072,Lookup_Tables!$J$2:$J$4,Lookup_Tables!$K$2:$K$4, " ",-1)</f>
        <v>Medium</v>
      </c>
      <c r="Q1072" t="str">
        <f xml:space="preserve"> _xlfn.XLOOKUP(M1072, Lookup_Tables!$M$2:$M$5,Lookup_Tables!$N$2:$N$5," ", -1)</f>
        <v>Early (2-5)</v>
      </c>
      <c r="R1072" s="4">
        <f t="shared" si="33"/>
        <v>2.3333333333333335</v>
      </c>
      <c r="S1072" t="str">
        <f xml:space="preserve"> _xlfn.XLOOKUP( E1072, Lookup_Tables!$A$2:$A$6,Lookup_Tables!$B$2:$B$6," ", -1)</f>
        <v>Bachelor</v>
      </c>
      <c r="T1072" t="str">
        <f>_xlfn.XLOOKUP(G1072,Lookup_Tables!$D$2:$D$5,Lookup_Tables!$E$2:$E$5)</f>
        <v>High</v>
      </c>
      <c r="U1072" t="str">
        <f>_xlfn.XLOOKUP(H1072,Lookup_Tables!$D$2:$D$5,Lookup_Tables!$E$2:$E$5)</f>
        <v>Low</v>
      </c>
      <c r="V1072" t="str">
        <f>_xlfn.XLOOKUP(L1072,Lookup_Tables!$D$2:$D$5,Lookup_Tables!$E$2:$E$5)</f>
        <v>High</v>
      </c>
    </row>
    <row r="1073" spans="1:22">
      <c r="A1073">
        <f>RAW_DATA!A1073</f>
        <v>49</v>
      </c>
      <c r="B1073" t="str">
        <f>RAW_DATA!B1073</f>
        <v>No</v>
      </c>
      <c r="C1073" t="str">
        <f>RAW_DATA!C1073</f>
        <v>Research &amp; Development</v>
      </c>
      <c r="D1073">
        <f>RAW_DATA!D1073</f>
        <v>3</v>
      </c>
      <c r="E1073">
        <f>RAW_DATA!E1073</f>
        <v>2</v>
      </c>
      <c r="F1073" t="str">
        <f>RAW_DATA!F1073</f>
        <v>Medical</v>
      </c>
      <c r="G1073">
        <f>RAW_DATA!G1073</f>
        <v>3</v>
      </c>
      <c r="H1073">
        <f>RAW_DATA!H1073</f>
        <v>1</v>
      </c>
      <c r="I1073" t="str">
        <f>RAW_DATA!I1073</f>
        <v>Married</v>
      </c>
      <c r="J1073">
        <f>RAW_DATA!J1073</f>
        <v>4789</v>
      </c>
      <c r="K1073">
        <f>RAW_DATA!K1073</f>
        <v>4</v>
      </c>
      <c r="L1073">
        <f>RAW_DATA!L1073</f>
        <v>3</v>
      </c>
      <c r="M1073">
        <f>RAW_DATA!M1073</f>
        <v>3</v>
      </c>
      <c r="N1073">
        <f t="shared" si="32"/>
        <v>0</v>
      </c>
      <c r="O1073" t="str">
        <f xml:space="preserve"> VLOOKUP(A1073, Lookup_Tables!$G$2:$H$6,2,TRUE)</f>
        <v>45-54</v>
      </c>
      <c r="P1073" t="str">
        <f>_xlfn.XLOOKUP(J1073,Lookup_Tables!$J$2:$J$4,Lookup_Tables!$K$2:$K$4, " ",-1)</f>
        <v>Medium</v>
      </c>
      <c r="Q1073" t="str">
        <f xml:space="preserve"> _xlfn.XLOOKUP(M1073, Lookup_Tables!$M$2:$M$5,Lookup_Tables!$N$2:$N$5," ", -1)</f>
        <v>Early (2-5)</v>
      </c>
      <c r="R1073" s="4">
        <f t="shared" si="33"/>
        <v>2.3333333333333335</v>
      </c>
      <c r="S1073" t="str">
        <f xml:space="preserve"> _xlfn.XLOOKUP( E1073, Lookup_Tables!$A$2:$A$6,Lookup_Tables!$B$2:$B$6," ", -1)</f>
        <v>College</v>
      </c>
      <c r="T1073" t="str">
        <f>_xlfn.XLOOKUP(G1073,Lookup_Tables!$D$2:$D$5,Lookup_Tables!$E$2:$E$5)</f>
        <v>High</v>
      </c>
      <c r="U1073" t="str">
        <f>_xlfn.XLOOKUP(H1073,Lookup_Tables!$D$2:$D$5,Lookup_Tables!$E$2:$E$5)</f>
        <v>Low</v>
      </c>
      <c r="V1073" t="str">
        <f>_xlfn.XLOOKUP(L1073,Lookup_Tables!$D$2:$D$5,Lookup_Tables!$E$2:$E$5)</f>
        <v>High</v>
      </c>
    </row>
    <row r="1074" spans="1:22">
      <c r="A1074">
        <f>RAW_DATA!A1074</f>
        <v>29</v>
      </c>
      <c r="B1074" t="str">
        <f>RAW_DATA!B1074</f>
        <v>No</v>
      </c>
      <c r="C1074" t="str">
        <f>RAW_DATA!C1074</f>
        <v>Research &amp; Development</v>
      </c>
      <c r="D1074">
        <f>RAW_DATA!D1074</f>
        <v>2</v>
      </c>
      <c r="E1074">
        <f>RAW_DATA!E1074</f>
        <v>1</v>
      </c>
      <c r="F1074" t="str">
        <f>RAW_DATA!F1074</f>
        <v>Life Sciences</v>
      </c>
      <c r="G1074">
        <f>RAW_DATA!G1074</f>
        <v>4</v>
      </c>
      <c r="H1074">
        <f>RAW_DATA!H1074</f>
        <v>2</v>
      </c>
      <c r="I1074" t="str">
        <f>RAW_DATA!I1074</f>
        <v>Married</v>
      </c>
      <c r="J1074">
        <f>RAW_DATA!J1074</f>
        <v>3180</v>
      </c>
      <c r="K1074">
        <f>RAW_DATA!K1074</f>
        <v>0</v>
      </c>
      <c r="L1074">
        <f>RAW_DATA!L1074</f>
        <v>3</v>
      </c>
      <c r="M1074">
        <f>RAW_DATA!M1074</f>
        <v>3</v>
      </c>
      <c r="N1074">
        <f t="shared" si="32"/>
        <v>0</v>
      </c>
      <c r="O1074" t="str">
        <f xml:space="preserve"> VLOOKUP(A1074, Lookup_Tables!$G$2:$H$6,2,TRUE)</f>
        <v>25-34</v>
      </c>
      <c r="P1074" t="str">
        <f>_xlfn.XLOOKUP(J1074,Lookup_Tables!$J$2:$J$4,Lookup_Tables!$K$2:$K$4, " ",-1)</f>
        <v>Medium</v>
      </c>
      <c r="Q1074" t="str">
        <f xml:space="preserve"> _xlfn.XLOOKUP(M1074, Lookup_Tables!$M$2:$M$5,Lookup_Tables!$N$2:$N$5," ", -1)</f>
        <v>Early (2-5)</v>
      </c>
      <c r="R1074" s="4">
        <f t="shared" si="33"/>
        <v>3</v>
      </c>
      <c r="S1074" t="str">
        <f xml:space="preserve"> _xlfn.XLOOKUP( E1074, Lookup_Tables!$A$2:$A$6,Lookup_Tables!$B$2:$B$6," ", -1)</f>
        <v>Below College</v>
      </c>
      <c r="T1074" t="str">
        <f>_xlfn.XLOOKUP(G1074,Lookup_Tables!$D$2:$D$5,Lookup_Tables!$E$2:$E$5)</f>
        <v>Very High</v>
      </c>
      <c r="U1074" t="str">
        <f>_xlfn.XLOOKUP(H1074,Lookup_Tables!$D$2:$D$5,Lookup_Tables!$E$2:$E$5)</f>
        <v>Medium</v>
      </c>
      <c r="V1074" t="str">
        <f>_xlfn.XLOOKUP(L1074,Lookup_Tables!$D$2:$D$5,Lookup_Tables!$E$2:$E$5)</f>
        <v>High</v>
      </c>
    </row>
    <row r="1075" spans="1:22">
      <c r="A1075">
        <f>RAW_DATA!A1075</f>
        <v>28</v>
      </c>
      <c r="B1075" t="str">
        <f>RAW_DATA!B1075</f>
        <v>No</v>
      </c>
      <c r="C1075" t="str">
        <f>RAW_DATA!C1075</f>
        <v>Research &amp; Development</v>
      </c>
      <c r="D1075">
        <f>RAW_DATA!D1075</f>
        <v>29</v>
      </c>
      <c r="E1075">
        <f>RAW_DATA!E1075</f>
        <v>1</v>
      </c>
      <c r="F1075" t="str">
        <f>RAW_DATA!F1075</f>
        <v>Life Sciences</v>
      </c>
      <c r="G1075">
        <f>RAW_DATA!G1075</f>
        <v>3</v>
      </c>
      <c r="H1075">
        <f>RAW_DATA!H1075</f>
        <v>2</v>
      </c>
      <c r="I1075" t="str">
        <f>RAW_DATA!I1075</f>
        <v>Married</v>
      </c>
      <c r="J1075">
        <f>RAW_DATA!J1075</f>
        <v>6549</v>
      </c>
      <c r="K1075">
        <f>RAW_DATA!K1075</f>
        <v>1</v>
      </c>
      <c r="L1075">
        <f>RAW_DATA!L1075</f>
        <v>2</v>
      </c>
      <c r="M1075">
        <f>RAW_DATA!M1075</f>
        <v>8</v>
      </c>
      <c r="N1075">
        <f t="shared" si="32"/>
        <v>0</v>
      </c>
      <c r="O1075" t="str">
        <f xml:space="preserve"> VLOOKUP(A1075, Lookup_Tables!$G$2:$H$6,2,TRUE)</f>
        <v>25-34</v>
      </c>
      <c r="P1075" t="str">
        <f>_xlfn.XLOOKUP(J1075,Lookup_Tables!$J$2:$J$4,Lookup_Tables!$K$2:$K$4, " ",-1)</f>
        <v>Medium</v>
      </c>
      <c r="Q1075" t="str">
        <f xml:space="preserve"> _xlfn.XLOOKUP(M1075, Lookup_Tables!$M$2:$M$5,Lookup_Tables!$N$2:$N$5," ", -1)</f>
        <v>Established (5-10)</v>
      </c>
      <c r="R1075" s="4">
        <f t="shared" si="33"/>
        <v>2.3333333333333335</v>
      </c>
      <c r="S1075" t="str">
        <f xml:space="preserve"> _xlfn.XLOOKUP( E1075, Lookup_Tables!$A$2:$A$6,Lookup_Tables!$B$2:$B$6," ", -1)</f>
        <v>Below College</v>
      </c>
      <c r="T1075" t="str">
        <f>_xlfn.XLOOKUP(G1075,Lookup_Tables!$D$2:$D$5,Lookup_Tables!$E$2:$E$5)</f>
        <v>High</v>
      </c>
      <c r="U1075" t="str">
        <f>_xlfn.XLOOKUP(H1075,Lookup_Tables!$D$2:$D$5,Lookup_Tables!$E$2:$E$5)</f>
        <v>Medium</v>
      </c>
      <c r="V1075" t="str">
        <f>_xlfn.XLOOKUP(L1075,Lookup_Tables!$D$2:$D$5,Lookup_Tables!$E$2:$E$5)</f>
        <v>Medium</v>
      </c>
    </row>
    <row r="1076" spans="1:22">
      <c r="A1076">
        <f>RAW_DATA!A1076</f>
        <v>33</v>
      </c>
      <c r="B1076" t="str">
        <f>RAW_DATA!B1076</f>
        <v>No</v>
      </c>
      <c r="C1076" t="str">
        <f>RAW_DATA!C1076</f>
        <v>Research &amp; Development</v>
      </c>
      <c r="D1076">
        <f>RAW_DATA!D1076</f>
        <v>8</v>
      </c>
      <c r="E1076">
        <f>RAW_DATA!E1076</f>
        <v>5</v>
      </c>
      <c r="F1076" t="str">
        <f>RAW_DATA!F1076</f>
        <v>Life Sciences</v>
      </c>
      <c r="G1076">
        <f>RAW_DATA!G1076</f>
        <v>4</v>
      </c>
      <c r="H1076">
        <f>RAW_DATA!H1076</f>
        <v>3</v>
      </c>
      <c r="I1076" t="str">
        <f>RAW_DATA!I1076</f>
        <v>Single</v>
      </c>
      <c r="J1076">
        <f>RAW_DATA!J1076</f>
        <v>6388</v>
      </c>
      <c r="K1076">
        <f>RAW_DATA!K1076</f>
        <v>2</v>
      </c>
      <c r="L1076">
        <f>RAW_DATA!L1076</f>
        <v>3</v>
      </c>
      <c r="M1076">
        <f>RAW_DATA!M1076</f>
        <v>0</v>
      </c>
      <c r="N1076">
        <f t="shared" si="32"/>
        <v>0</v>
      </c>
      <c r="O1076" t="str">
        <f xml:space="preserve"> VLOOKUP(A1076, Lookup_Tables!$G$2:$H$6,2,TRUE)</f>
        <v>25-34</v>
      </c>
      <c r="P1076" t="str">
        <f>_xlfn.XLOOKUP(J1076,Lookup_Tables!$J$2:$J$4,Lookup_Tables!$K$2:$K$4, " ",-1)</f>
        <v>Medium</v>
      </c>
      <c r="Q1076" t="str">
        <f xml:space="preserve"> _xlfn.XLOOKUP(M1076, Lookup_Tables!$M$2:$M$5,Lookup_Tables!$N$2:$N$5," ", -1)</f>
        <v>New (0-2)</v>
      </c>
      <c r="R1076" s="4">
        <f t="shared" si="33"/>
        <v>3.3333333333333335</v>
      </c>
      <c r="S1076" t="str">
        <f xml:space="preserve"> _xlfn.XLOOKUP( E1076, Lookup_Tables!$A$2:$A$6,Lookup_Tables!$B$2:$B$6," ", -1)</f>
        <v>Doctor</v>
      </c>
      <c r="T1076" t="str">
        <f>_xlfn.XLOOKUP(G1076,Lookup_Tables!$D$2:$D$5,Lookup_Tables!$E$2:$E$5)</f>
        <v>Very High</v>
      </c>
      <c r="U1076" t="str">
        <f>_xlfn.XLOOKUP(H1076,Lookup_Tables!$D$2:$D$5,Lookup_Tables!$E$2:$E$5)</f>
        <v>High</v>
      </c>
      <c r="V1076" t="str">
        <f>_xlfn.XLOOKUP(L1076,Lookup_Tables!$D$2:$D$5,Lookup_Tables!$E$2:$E$5)</f>
        <v>High</v>
      </c>
    </row>
    <row r="1077" spans="1:22">
      <c r="A1077">
        <f>RAW_DATA!A1077</f>
        <v>32</v>
      </c>
      <c r="B1077" t="str">
        <f>RAW_DATA!B1077</f>
        <v>No</v>
      </c>
      <c r="C1077" t="str">
        <f>RAW_DATA!C1077</f>
        <v>Research &amp; Development</v>
      </c>
      <c r="D1077">
        <f>RAW_DATA!D1077</f>
        <v>10</v>
      </c>
      <c r="E1077">
        <f>RAW_DATA!E1077</f>
        <v>3</v>
      </c>
      <c r="F1077" t="str">
        <f>RAW_DATA!F1077</f>
        <v>Medical</v>
      </c>
      <c r="G1077">
        <f>RAW_DATA!G1077</f>
        <v>3</v>
      </c>
      <c r="H1077">
        <f>RAW_DATA!H1077</f>
        <v>4</v>
      </c>
      <c r="I1077" t="str">
        <f>RAW_DATA!I1077</f>
        <v>Single</v>
      </c>
      <c r="J1077">
        <f>RAW_DATA!J1077</f>
        <v>11244</v>
      </c>
      <c r="K1077">
        <f>RAW_DATA!K1077</f>
        <v>2</v>
      </c>
      <c r="L1077">
        <f>RAW_DATA!L1077</f>
        <v>4</v>
      </c>
      <c r="M1077">
        <f>RAW_DATA!M1077</f>
        <v>5</v>
      </c>
      <c r="N1077">
        <f t="shared" si="32"/>
        <v>0</v>
      </c>
      <c r="O1077" t="str">
        <f xml:space="preserve"> VLOOKUP(A1077, Lookup_Tables!$G$2:$H$6,2,TRUE)</f>
        <v>25-34</v>
      </c>
      <c r="P1077" t="str">
        <f>_xlfn.XLOOKUP(J1077,Lookup_Tables!$J$2:$J$4,Lookup_Tables!$K$2:$K$4, " ",-1)</f>
        <v>High</v>
      </c>
      <c r="Q1077" t="str">
        <f xml:space="preserve"> _xlfn.XLOOKUP(M1077, Lookup_Tables!$M$2:$M$5,Lookup_Tables!$N$2:$N$5," ", -1)</f>
        <v>Established (5-10)</v>
      </c>
      <c r="R1077" s="4">
        <f t="shared" si="33"/>
        <v>3.6666666666666665</v>
      </c>
      <c r="S1077" t="str">
        <f xml:space="preserve"> _xlfn.XLOOKUP( E1077, Lookup_Tables!$A$2:$A$6,Lookup_Tables!$B$2:$B$6," ", -1)</f>
        <v>Bachelor</v>
      </c>
      <c r="T1077" t="str">
        <f>_xlfn.XLOOKUP(G1077,Lookup_Tables!$D$2:$D$5,Lookup_Tables!$E$2:$E$5)</f>
        <v>High</v>
      </c>
      <c r="U1077" t="str">
        <f>_xlfn.XLOOKUP(H1077,Lookup_Tables!$D$2:$D$5,Lookup_Tables!$E$2:$E$5)</f>
        <v>Very High</v>
      </c>
      <c r="V1077" t="str">
        <f>_xlfn.XLOOKUP(L1077,Lookup_Tables!$D$2:$D$5,Lookup_Tables!$E$2:$E$5)</f>
        <v>Very High</v>
      </c>
    </row>
    <row r="1078" spans="1:22">
      <c r="A1078">
        <f>RAW_DATA!A1078</f>
        <v>54</v>
      </c>
      <c r="B1078" t="str">
        <f>RAW_DATA!B1078</f>
        <v>No</v>
      </c>
      <c r="C1078" t="str">
        <f>RAW_DATA!C1078</f>
        <v>Research &amp; Development</v>
      </c>
      <c r="D1078">
        <f>RAW_DATA!D1078</f>
        <v>11</v>
      </c>
      <c r="E1078">
        <f>RAW_DATA!E1078</f>
        <v>4</v>
      </c>
      <c r="F1078" t="str">
        <f>RAW_DATA!F1078</f>
        <v>Medical</v>
      </c>
      <c r="G1078">
        <f>RAW_DATA!G1078</f>
        <v>2</v>
      </c>
      <c r="H1078">
        <f>RAW_DATA!H1078</f>
        <v>4</v>
      </c>
      <c r="I1078" t="str">
        <f>RAW_DATA!I1078</f>
        <v>Divorced</v>
      </c>
      <c r="J1078">
        <f>RAW_DATA!J1078</f>
        <v>16032</v>
      </c>
      <c r="K1078">
        <f>RAW_DATA!K1078</f>
        <v>3</v>
      </c>
      <c r="L1078">
        <f>RAW_DATA!L1078</f>
        <v>3</v>
      </c>
      <c r="M1078">
        <f>RAW_DATA!M1078</f>
        <v>14</v>
      </c>
      <c r="N1078">
        <f t="shared" si="32"/>
        <v>0</v>
      </c>
      <c r="O1078" t="str">
        <f xml:space="preserve"> VLOOKUP(A1078, Lookup_Tables!$G$2:$H$6,2,TRUE)</f>
        <v>45-54</v>
      </c>
      <c r="P1078" t="str">
        <f>_xlfn.XLOOKUP(J1078,Lookup_Tables!$J$2:$J$4,Lookup_Tables!$K$2:$K$4, " ",-1)</f>
        <v>High</v>
      </c>
      <c r="Q1078" t="str">
        <f xml:space="preserve"> _xlfn.XLOOKUP(M1078, Lookup_Tables!$M$2:$M$5,Lookup_Tables!$N$2:$N$5," ", -1)</f>
        <v>Veteran (10+)</v>
      </c>
      <c r="R1078" s="4">
        <f t="shared" si="33"/>
        <v>3</v>
      </c>
      <c r="S1078" t="str">
        <f xml:space="preserve"> _xlfn.XLOOKUP( E1078, Lookup_Tables!$A$2:$A$6,Lookup_Tables!$B$2:$B$6," ", -1)</f>
        <v>Master</v>
      </c>
      <c r="T1078" t="str">
        <f>_xlfn.XLOOKUP(G1078,Lookup_Tables!$D$2:$D$5,Lookup_Tables!$E$2:$E$5)</f>
        <v>Medium</v>
      </c>
      <c r="U1078" t="str">
        <f>_xlfn.XLOOKUP(H1078,Lookup_Tables!$D$2:$D$5,Lookup_Tables!$E$2:$E$5)</f>
        <v>Very High</v>
      </c>
      <c r="V1078" t="str">
        <f>_xlfn.XLOOKUP(L1078,Lookup_Tables!$D$2:$D$5,Lookup_Tables!$E$2:$E$5)</f>
        <v>High</v>
      </c>
    </row>
    <row r="1079" spans="1:22">
      <c r="A1079">
        <f>RAW_DATA!A1079</f>
        <v>29</v>
      </c>
      <c r="B1079" t="str">
        <f>RAW_DATA!B1079</f>
        <v>Yes</v>
      </c>
      <c r="C1079" t="str">
        <f>RAW_DATA!C1079</f>
        <v>Research &amp; Development</v>
      </c>
      <c r="D1079">
        <f>RAW_DATA!D1079</f>
        <v>1</v>
      </c>
      <c r="E1079">
        <f>RAW_DATA!E1079</f>
        <v>4</v>
      </c>
      <c r="F1079" t="str">
        <f>RAW_DATA!F1079</f>
        <v>Technical Degree</v>
      </c>
      <c r="G1079">
        <f>RAW_DATA!G1079</f>
        <v>1</v>
      </c>
      <c r="H1079">
        <f>RAW_DATA!H1079</f>
        <v>1</v>
      </c>
      <c r="I1079" t="str">
        <f>RAW_DATA!I1079</f>
        <v>Single</v>
      </c>
      <c r="J1079">
        <f>RAW_DATA!J1079</f>
        <v>2362</v>
      </c>
      <c r="K1079">
        <f>RAW_DATA!K1079</f>
        <v>6</v>
      </c>
      <c r="L1079">
        <f>RAW_DATA!L1079</f>
        <v>1</v>
      </c>
      <c r="M1079">
        <f>RAW_DATA!M1079</f>
        <v>9</v>
      </c>
      <c r="N1079">
        <f t="shared" si="32"/>
        <v>1</v>
      </c>
      <c r="O1079" t="str">
        <f xml:space="preserve"> VLOOKUP(A1079, Lookup_Tables!$G$2:$H$6,2,TRUE)</f>
        <v>25-34</v>
      </c>
      <c r="P1079" t="str">
        <f>_xlfn.XLOOKUP(J1079,Lookup_Tables!$J$2:$J$4,Lookup_Tables!$K$2:$K$4, " ",-1)</f>
        <v>Low</v>
      </c>
      <c r="Q1079" t="str">
        <f xml:space="preserve"> _xlfn.XLOOKUP(M1079, Lookup_Tables!$M$2:$M$5,Lookup_Tables!$N$2:$N$5," ", -1)</f>
        <v>Established (5-10)</v>
      </c>
      <c r="R1079" s="4">
        <f t="shared" si="33"/>
        <v>1</v>
      </c>
      <c r="S1079" t="str">
        <f xml:space="preserve"> _xlfn.XLOOKUP( E1079, Lookup_Tables!$A$2:$A$6,Lookup_Tables!$B$2:$B$6," ", -1)</f>
        <v>Master</v>
      </c>
      <c r="T1079" t="str">
        <f>_xlfn.XLOOKUP(G1079,Lookup_Tables!$D$2:$D$5,Lookup_Tables!$E$2:$E$5)</f>
        <v>Low</v>
      </c>
      <c r="U1079" t="str">
        <f>_xlfn.XLOOKUP(H1079,Lookup_Tables!$D$2:$D$5,Lookup_Tables!$E$2:$E$5)</f>
        <v>Low</v>
      </c>
      <c r="V1079" t="str">
        <f>_xlfn.XLOOKUP(L1079,Lookup_Tables!$D$2:$D$5,Lookup_Tables!$E$2:$E$5)</f>
        <v>Low</v>
      </c>
    </row>
    <row r="1080" spans="1:22">
      <c r="A1080">
        <f>RAW_DATA!A1080</f>
        <v>44</v>
      </c>
      <c r="B1080" t="str">
        <f>RAW_DATA!B1080</f>
        <v>No</v>
      </c>
      <c r="C1080" t="str">
        <f>RAW_DATA!C1080</f>
        <v>Research &amp; Development</v>
      </c>
      <c r="D1080">
        <f>RAW_DATA!D1080</f>
        <v>28</v>
      </c>
      <c r="E1080">
        <f>RAW_DATA!E1080</f>
        <v>3</v>
      </c>
      <c r="F1080" t="str">
        <f>RAW_DATA!F1080</f>
        <v>Life Sciences</v>
      </c>
      <c r="G1080">
        <f>RAW_DATA!G1080</f>
        <v>4</v>
      </c>
      <c r="H1080">
        <f>RAW_DATA!H1080</f>
        <v>1</v>
      </c>
      <c r="I1080" t="str">
        <f>RAW_DATA!I1080</f>
        <v>Married</v>
      </c>
      <c r="J1080">
        <f>RAW_DATA!J1080</f>
        <v>16328</v>
      </c>
      <c r="K1080">
        <f>RAW_DATA!K1080</f>
        <v>3</v>
      </c>
      <c r="L1080">
        <f>RAW_DATA!L1080</f>
        <v>4</v>
      </c>
      <c r="M1080">
        <f>RAW_DATA!M1080</f>
        <v>20</v>
      </c>
      <c r="N1080">
        <f t="shared" si="32"/>
        <v>0</v>
      </c>
      <c r="O1080" t="str">
        <f xml:space="preserve"> VLOOKUP(A1080, Lookup_Tables!$G$2:$H$6,2,TRUE)</f>
        <v>35-44</v>
      </c>
      <c r="P1080" t="str">
        <f>_xlfn.XLOOKUP(J1080,Lookup_Tables!$J$2:$J$4,Lookup_Tables!$K$2:$K$4, " ",-1)</f>
        <v>High</v>
      </c>
      <c r="Q1080" t="str">
        <f xml:space="preserve"> _xlfn.XLOOKUP(M1080, Lookup_Tables!$M$2:$M$5,Lookup_Tables!$N$2:$N$5," ", -1)</f>
        <v>Veteran (10+)</v>
      </c>
      <c r="R1080" s="4">
        <f t="shared" si="33"/>
        <v>3</v>
      </c>
      <c r="S1080" t="str">
        <f xml:space="preserve"> _xlfn.XLOOKUP( E1080, Lookup_Tables!$A$2:$A$6,Lookup_Tables!$B$2:$B$6," ", -1)</f>
        <v>Bachelor</v>
      </c>
      <c r="T1080" t="str">
        <f>_xlfn.XLOOKUP(G1080,Lookup_Tables!$D$2:$D$5,Lookup_Tables!$E$2:$E$5)</f>
        <v>Very High</v>
      </c>
      <c r="U1080" t="str">
        <f>_xlfn.XLOOKUP(H1080,Lookup_Tables!$D$2:$D$5,Lookup_Tables!$E$2:$E$5)</f>
        <v>Low</v>
      </c>
      <c r="V1080" t="str">
        <f>_xlfn.XLOOKUP(L1080,Lookup_Tables!$D$2:$D$5,Lookup_Tables!$E$2:$E$5)</f>
        <v>Very High</v>
      </c>
    </row>
    <row r="1081" spans="1:22">
      <c r="A1081">
        <f>RAW_DATA!A1081</f>
        <v>39</v>
      </c>
      <c r="B1081" t="str">
        <f>RAW_DATA!B1081</f>
        <v>No</v>
      </c>
      <c r="C1081" t="str">
        <f>RAW_DATA!C1081</f>
        <v>Research &amp; Development</v>
      </c>
      <c r="D1081">
        <f>RAW_DATA!D1081</f>
        <v>6</v>
      </c>
      <c r="E1081">
        <f>RAW_DATA!E1081</f>
        <v>3</v>
      </c>
      <c r="F1081" t="str">
        <f>RAW_DATA!F1081</f>
        <v>Life Sciences</v>
      </c>
      <c r="G1081">
        <f>RAW_DATA!G1081</f>
        <v>2</v>
      </c>
      <c r="H1081">
        <f>RAW_DATA!H1081</f>
        <v>2</v>
      </c>
      <c r="I1081" t="str">
        <f>RAW_DATA!I1081</f>
        <v>Single</v>
      </c>
      <c r="J1081">
        <f>RAW_DATA!J1081</f>
        <v>8376</v>
      </c>
      <c r="K1081">
        <f>RAW_DATA!K1081</f>
        <v>4</v>
      </c>
      <c r="L1081">
        <f>RAW_DATA!L1081</f>
        <v>3</v>
      </c>
      <c r="M1081">
        <f>RAW_DATA!M1081</f>
        <v>2</v>
      </c>
      <c r="N1081">
        <f t="shared" si="32"/>
        <v>0</v>
      </c>
      <c r="O1081" t="str">
        <f xml:space="preserve"> VLOOKUP(A1081, Lookup_Tables!$G$2:$H$6,2,TRUE)</f>
        <v>35-44</v>
      </c>
      <c r="P1081" t="str">
        <f>_xlfn.XLOOKUP(J1081,Lookup_Tables!$J$2:$J$4,Lookup_Tables!$K$2:$K$4, " ",-1)</f>
        <v>High</v>
      </c>
      <c r="Q1081" t="str">
        <f xml:space="preserve"> _xlfn.XLOOKUP(M1081, Lookup_Tables!$M$2:$M$5,Lookup_Tables!$N$2:$N$5," ", -1)</f>
        <v>Early (2-5)</v>
      </c>
      <c r="R1081" s="4">
        <f t="shared" si="33"/>
        <v>2.3333333333333335</v>
      </c>
      <c r="S1081" t="str">
        <f xml:space="preserve"> _xlfn.XLOOKUP( E1081, Lookup_Tables!$A$2:$A$6,Lookup_Tables!$B$2:$B$6," ", -1)</f>
        <v>Bachelor</v>
      </c>
      <c r="T1081" t="str">
        <f>_xlfn.XLOOKUP(G1081,Lookup_Tables!$D$2:$D$5,Lookup_Tables!$E$2:$E$5)</f>
        <v>Medium</v>
      </c>
      <c r="U1081" t="str">
        <f>_xlfn.XLOOKUP(H1081,Lookup_Tables!$D$2:$D$5,Lookup_Tables!$E$2:$E$5)</f>
        <v>Medium</v>
      </c>
      <c r="V1081" t="str">
        <f>_xlfn.XLOOKUP(L1081,Lookup_Tables!$D$2:$D$5,Lookup_Tables!$E$2:$E$5)</f>
        <v>High</v>
      </c>
    </row>
    <row r="1082" spans="1:22">
      <c r="A1082">
        <f>RAW_DATA!A1082</f>
        <v>46</v>
      </c>
      <c r="B1082" t="str">
        <f>RAW_DATA!B1082</f>
        <v>No</v>
      </c>
      <c r="C1082" t="str">
        <f>RAW_DATA!C1082</f>
        <v>Sales</v>
      </c>
      <c r="D1082">
        <f>RAW_DATA!D1082</f>
        <v>3</v>
      </c>
      <c r="E1082">
        <f>RAW_DATA!E1082</f>
        <v>3</v>
      </c>
      <c r="F1082" t="str">
        <f>RAW_DATA!F1082</f>
        <v>Life Sciences</v>
      </c>
      <c r="G1082">
        <f>RAW_DATA!G1082</f>
        <v>3</v>
      </c>
      <c r="H1082">
        <f>RAW_DATA!H1082</f>
        <v>2</v>
      </c>
      <c r="I1082" t="str">
        <f>RAW_DATA!I1082</f>
        <v>Married</v>
      </c>
      <c r="J1082">
        <f>RAW_DATA!J1082</f>
        <v>16606</v>
      </c>
      <c r="K1082">
        <f>RAW_DATA!K1082</f>
        <v>8</v>
      </c>
      <c r="L1082">
        <f>RAW_DATA!L1082</f>
        <v>4</v>
      </c>
      <c r="M1082">
        <f>RAW_DATA!M1082</f>
        <v>13</v>
      </c>
      <c r="N1082">
        <f t="shared" si="32"/>
        <v>0</v>
      </c>
      <c r="O1082" t="str">
        <f xml:space="preserve"> VLOOKUP(A1082, Lookup_Tables!$G$2:$H$6,2,TRUE)</f>
        <v>45-54</v>
      </c>
      <c r="P1082" t="str">
        <f>_xlfn.XLOOKUP(J1082,Lookup_Tables!$J$2:$J$4,Lookup_Tables!$K$2:$K$4, " ",-1)</f>
        <v>High</v>
      </c>
      <c r="Q1082" t="str">
        <f xml:space="preserve"> _xlfn.XLOOKUP(M1082, Lookup_Tables!$M$2:$M$5,Lookup_Tables!$N$2:$N$5," ", -1)</f>
        <v>Veteran (10+)</v>
      </c>
      <c r="R1082" s="4">
        <f t="shared" si="33"/>
        <v>3</v>
      </c>
      <c r="S1082" t="str">
        <f xml:space="preserve"> _xlfn.XLOOKUP( E1082, Lookup_Tables!$A$2:$A$6,Lookup_Tables!$B$2:$B$6," ", -1)</f>
        <v>Bachelor</v>
      </c>
      <c r="T1082" t="str">
        <f>_xlfn.XLOOKUP(G1082,Lookup_Tables!$D$2:$D$5,Lookup_Tables!$E$2:$E$5)</f>
        <v>High</v>
      </c>
      <c r="U1082" t="str">
        <f>_xlfn.XLOOKUP(H1082,Lookup_Tables!$D$2:$D$5,Lookup_Tables!$E$2:$E$5)</f>
        <v>Medium</v>
      </c>
      <c r="V1082" t="str">
        <f>_xlfn.XLOOKUP(L1082,Lookup_Tables!$D$2:$D$5,Lookup_Tables!$E$2:$E$5)</f>
        <v>Very High</v>
      </c>
    </row>
    <row r="1083" spans="1:22">
      <c r="A1083">
        <f>RAW_DATA!A1083</f>
        <v>35</v>
      </c>
      <c r="B1083" t="str">
        <f>RAW_DATA!B1083</f>
        <v>No</v>
      </c>
      <c r="C1083" t="str">
        <f>RAW_DATA!C1083</f>
        <v>Research &amp; Development</v>
      </c>
      <c r="D1083">
        <f>RAW_DATA!D1083</f>
        <v>16</v>
      </c>
      <c r="E1083">
        <f>RAW_DATA!E1083</f>
        <v>3</v>
      </c>
      <c r="F1083" t="str">
        <f>RAW_DATA!F1083</f>
        <v>Life Sciences</v>
      </c>
      <c r="G1083">
        <f>RAW_DATA!G1083</f>
        <v>4</v>
      </c>
      <c r="H1083">
        <f>RAW_DATA!H1083</f>
        <v>2</v>
      </c>
      <c r="I1083" t="str">
        <f>RAW_DATA!I1083</f>
        <v>Single</v>
      </c>
      <c r="J1083">
        <f>RAW_DATA!J1083</f>
        <v>8606</v>
      </c>
      <c r="K1083">
        <f>RAW_DATA!K1083</f>
        <v>1</v>
      </c>
      <c r="L1083">
        <f>RAW_DATA!L1083</f>
        <v>1</v>
      </c>
      <c r="M1083">
        <f>RAW_DATA!M1083</f>
        <v>11</v>
      </c>
      <c r="N1083">
        <f t="shared" si="32"/>
        <v>0</v>
      </c>
      <c r="O1083" t="str">
        <f xml:space="preserve"> VLOOKUP(A1083, Lookup_Tables!$G$2:$H$6,2,TRUE)</f>
        <v>35-44</v>
      </c>
      <c r="P1083" t="str">
        <f>_xlfn.XLOOKUP(J1083,Lookup_Tables!$J$2:$J$4,Lookup_Tables!$K$2:$K$4, " ",-1)</f>
        <v>High</v>
      </c>
      <c r="Q1083" t="str">
        <f xml:space="preserve"> _xlfn.XLOOKUP(M1083, Lookup_Tables!$M$2:$M$5,Lookup_Tables!$N$2:$N$5," ", -1)</f>
        <v>Veteran (10+)</v>
      </c>
      <c r="R1083" s="4">
        <f t="shared" si="33"/>
        <v>2.3333333333333335</v>
      </c>
      <c r="S1083" t="str">
        <f xml:space="preserve"> _xlfn.XLOOKUP( E1083, Lookup_Tables!$A$2:$A$6,Lookup_Tables!$B$2:$B$6," ", -1)</f>
        <v>Bachelor</v>
      </c>
      <c r="T1083" t="str">
        <f>_xlfn.XLOOKUP(G1083,Lookup_Tables!$D$2:$D$5,Lookup_Tables!$E$2:$E$5)</f>
        <v>Very High</v>
      </c>
      <c r="U1083" t="str">
        <f>_xlfn.XLOOKUP(H1083,Lookup_Tables!$D$2:$D$5,Lookup_Tables!$E$2:$E$5)</f>
        <v>Medium</v>
      </c>
      <c r="V1083" t="str">
        <f>_xlfn.XLOOKUP(L1083,Lookup_Tables!$D$2:$D$5,Lookup_Tables!$E$2:$E$5)</f>
        <v>Low</v>
      </c>
    </row>
    <row r="1084" spans="1:22">
      <c r="A1084">
        <f>RAW_DATA!A1084</f>
        <v>23</v>
      </c>
      <c r="B1084" t="str">
        <f>RAW_DATA!B1084</f>
        <v>No</v>
      </c>
      <c r="C1084" t="str">
        <f>RAW_DATA!C1084</f>
        <v>Research &amp; Development</v>
      </c>
      <c r="D1084">
        <f>RAW_DATA!D1084</f>
        <v>20</v>
      </c>
      <c r="E1084">
        <f>RAW_DATA!E1084</f>
        <v>1</v>
      </c>
      <c r="F1084" t="str">
        <f>RAW_DATA!F1084</f>
        <v>Life Sciences</v>
      </c>
      <c r="G1084">
        <f>RAW_DATA!G1084</f>
        <v>1</v>
      </c>
      <c r="H1084">
        <f>RAW_DATA!H1084</f>
        <v>3</v>
      </c>
      <c r="I1084" t="str">
        <f>RAW_DATA!I1084</f>
        <v>Single</v>
      </c>
      <c r="J1084">
        <f>RAW_DATA!J1084</f>
        <v>2272</v>
      </c>
      <c r="K1084">
        <f>RAW_DATA!K1084</f>
        <v>0</v>
      </c>
      <c r="L1084">
        <f>RAW_DATA!L1084</f>
        <v>3</v>
      </c>
      <c r="M1084">
        <f>RAW_DATA!M1084</f>
        <v>4</v>
      </c>
      <c r="N1084">
        <f t="shared" si="32"/>
        <v>0</v>
      </c>
      <c r="O1084" t="str">
        <f xml:space="preserve"> VLOOKUP(A1084, Lookup_Tables!$G$2:$H$6,2,TRUE)</f>
        <v>&lt;25</v>
      </c>
      <c r="P1084" t="str">
        <f>_xlfn.XLOOKUP(J1084,Lookup_Tables!$J$2:$J$4,Lookup_Tables!$K$2:$K$4, " ",-1)</f>
        <v>Low</v>
      </c>
      <c r="Q1084" t="str">
        <f xml:space="preserve"> _xlfn.XLOOKUP(M1084, Lookup_Tables!$M$2:$M$5,Lookup_Tables!$N$2:$N$5," ", -1)</f>
        <v>Early (2-5)</v>
      </c>
      <c r="R1084" s="4">
        <f t="shared" si="33"/>
        <v>2.3333333333333335</v>
      </c>
      <c r="S1084" t="str">
        <f xml:space="preserve"> _xlfn.XLOOKUP( E1084, Lookup_Tables!$A$2:$A$6,Lookup_Tables!$B$2:$B$6," ", -1)</f>
        <v>Below College</v>
      </c>
      <c r="T1084" t="str">
        <f>_xlfn.XLOOKUP(G1084,Lookup_Tables!$D$2:$D$5,Lookup_Tables!$E$2:$E$5)</f>
        <v>Low</v>
      </c>
      <c r="U1084" t="str">
        <f>_xlfn.XLOOKUP(H1084,Lookup_Tables!$D$2:$D$5,Lookup_Tables!$E$2:$E$5)</f>
        <v>High</v>
      </c>
      <c r="V1084" t="str">
        <f>_xlfn.XLOOKUP(L1084,Lookup_Tables!$D$2:$D$5,Lookup_Tables!$E$2:$E$5)</f>
        <v>High</v>
      </c>
    </row>
    <row r="1085" spans="1:22">
      <c r="A1085">
        <f>RAW_DATA!A1085</f>
        <v>40</v>
      </c>
      <c r="B1085" t="str">
        <f>RAW_DATA!B1085</f>
        <v>Yes</v>
      </c>
      <c r="C1085" t="str">
        <f>RAW_DATA!C1085</f>
        <v>Research &amp; Development</v>
      </c>
      <c r="D1085">
        <f>RAW_DATA!D1085</f>
        <v>9</v>
      </c>
      <c r="E1085">
        <f>RAW_DATA!E1085</f>
        <v>4</v>
      </c>
      <c r="F1085" t="str">
        <f>RAW_DATA!F1085</f>
        <v>Life Sciences</v>
      </c>
      <c r="G1085">
        <f>RAW_DATA!G1085</f>
        <v>4</v>
      </c>
      <c r="H1085">
        <f>RAW_DATA!H1085</f>
        <v>1</v>
      </c>
      <c r="I1085" t="str">
        <f>RAW_DATA!I1085</f>
        <v>Single</v>
      </c>
      <c r="J1085">
        <f>RAW_DATA!J1085</f>
        <v>2018</v>
      </c>
      <c r="K1085">
        <f>RAW_DATA!K1085</f>
        <v>3</v>
      </c>
      <c r="L1085">
        <f>RAW_DATA!L1085</f>
        <v>1</v>
      </c>
      <c r="M1085">
        <f>RAW_DATA!M1085</f>
        <v>5</v>
      </c>
      <c r="N1085">
        <f t="shared" si="32"/>
        <v>1</v>
      </c>
      <c r="O1085" t="str">
        <f xml:space="preserve"> VLOOKUP(A1085, Lookup_Tables!$G$2:$H$6,2,TRUE)</f>
        <v>35-44</v>
      </c>
      <c r="P1085" t="str">
        <f>_xlfn.XLOOKUP(J1085,Lookup_Tables!$J$2:$J$4,Lookup_Tables!$K$2:$K$4, " ",-1)</f>
        <v>Low</v>
      </c>
      <c r="Q1085" t="str">
        <f xml:space="preserve"> _xlfn.XLOOKUP(M1085, Lookup_Tables!$M$2:$M$5,Lookup_Tables!$N$2:$N$5," ", -1)</f>
        <v>Established (5-10)</v>
      </c>
      <c r="R1085" s="4">
        <f t="shared" si="33"/>
        <v>2</v>
      </c>
      <c r="S1085" t="str">
        <f xml:space="preserve"> _xlfn.XLOOKUP( E1085, Lookup_Tables!$A$2:$A$6,Lookup_Tables!$B$2:$B$6," ", -1)</f>
        <v>Master</v>
      </c>
      <c r="T1085" t="str">
        <f>_xlfn.XLOOKUP(G1085,Lookup_Tables!$D$2:$D$5,Lookup_Tables!$E$2:$E$5)</f>
        <v>Very High</v>
      </c>
      <c r="U1085" t="str">
        <f>_xlfn.XLOOKUP(H1085,Lookup_Tables!$D$2:$D$5,Lookup_Tables!$E$2:$E$5)</f>
        <v>Low</v>
      </c>
      <c r="V1085" t="str">
        <f>_xlfn.XLOOKUP(L1085,Lookup_Tables!$D$2:$D$5,Lookup_Tables!$E$2:$E$5)</f>
        <v>Low</v>
      </c>
    </row>
    <row r="1086" spans="1:22">
      <c r="A1086">
        <f>RAW_DATA!A1086</f>
        <v>34</v>
      </c>
      <c r="B1086" t="str">
        <f>RAW_DATA!B1086</f>
        <v>No</v>
      </c>
      <c r="C1086" t="str">
        <f>RAW_DATA!C1086</f>
        <v>Sales</v>
      </c>
      <c r="D1086">
        <f>RAW_DATA!D1086</f>
        <v>1</v>
      </c>
      <c r="E1086">
        <f>RAW_DATA!E1086</f>
        <v>3</v>
      </c>
      <c r="F1086" t="str">
        <f>RAW_DATA!F1086</f>
        <v>Technical Degree</v>
      </c>
      <c r="G1086">
        <f>RAW_DATA!G1086</f>
        <v>4</v>
      </c>
      <c r="H1086">
        <f>RAW_DATA!H1086</f>
        <v>3</v>
      </c>
      <c r="I1086" t="str">
        <f>RAW_DATA!I1086</f>
        <v>Married</v>
      </c>
      <c r="J1086">
        <f>RAW_DATA!J1086</f>
        <v>7083</v>
      </c>
      <c r="K1086">
        <f>RAW_DATA!K1086</f>
        <v>1</v>
      </c>
      <c r="L1086">
        <f>RAW_DATA!L1086</f>
        <v>3</v>
      </c>
      <c r="M1086">
        <f>RAW_DATA!M1086</f>
        <v>10</v>
      </c>
      <c r="N1086">
        <f t="shared" si="32"/>
        <v>0</v>
      </c>
      <c r="O1086" t="str">
        <f xml:space="preserve"> VLOOKUP(A1086, Lookup_Tables!$G$2:$H$6,2,TRUE)</f>
        <v>25-34</v>
      </c>
      <c r="P1086" t="str">
        <f>_xlfn.XLOOKUP(J1086,Lookup_Tables!$J$2:$J$4,Lookup_Tables!$K$2:$K$4, " ",-1)</f>
        <v>High</v>
      </c>
      <c r="Q1086" t="str">
        <f xml:space="preserve"> _xlfn.XLOOKUP(M1086, Lookup_Tables!$M$2:$M$5,Lookup_Tables!$N$2:$N$5," ", -1)</f>
        <v>Veteran (10+)</v>
      </c>
      <c r="R1086" s="4">
        <f t="shared" si="33"/>
        <v>3.3333333333333335</v>
      </c>
      <c r="S1086" t="str">
        <f xml:space="preserve"> _xlfn.XLOOKUP( E1086, Lookup_Tables!$A$2:$A$6,Lookup_Tables!$B$2:$B$6," ", -1)</f>
        <v>Bachelor</v>
      </c>
      <c r="T1086" t="str">
        <f>_xlfn.XLOOKUP(G1086,Lookup_Tables!$D$2:$D$5,Lookup_Tables!$E$2:$E$5)</f>
        <v>Very High</v>
      </c>
      <c r="U1086" t="str">
        <f>_xlfn.XLOOKUP(H1086,Lookup_Tables!$D$2:$D$5,Lookup_Tables!$E$2:$E$5)</f>
        <v>High</v>
      </c>
      <c r="V1086" t="str">
        <f>_xlfn.XLOOKUP(L1086,Lookup_Tables!$D$2:$D$5,Lookup_Tables!$E$2:$E$5)</f>
        <v>High</v>
      </c>
    </row>
    <row r="1087" spans="1:22">
      <c r="A1087">
        <f>RAW_DATA!A1087</f>
        <v>31</v>
      </c>
      <c r="B1087" t="str">
        <f>RAW_DATA!B1087</f>
        <v>Yes</v>
      </c>
      <c r="C1087" t="str">
        <f>RAW_DATA!C1087</f>
        <v>Research &amp; Development</v>
      </c>
      <c r="D1087">
        <f>RAW_DATA!D1087</f>
        <v>3</v>
      </c>
      <c r="E1087">
        <f>RAW_DATA!E1087</f>
        <v>3</v>
      </c>
      <c r="F1087" t="str">
        <f>RAW_DATA!F1087</f>
        <v>Life Sciences</v>
      </c>
      <c r="G1087">
        <f>RAW_DATA!G1087</f>
        <v>4</v>
      </c>
      <c r="H1087">
        <f>RAW_DATA!H1087</f>
        <v>3</v>
      </c>
      <c r="I1087" t="str">
        <f>RAW_DATA!I1087</f>
        <v>Single</v>
      </c>
      <c r="J1087">
        <f>RAW_DATA!J1087</f>
        <v>4084</v>
      </c>
      <c r="K1087">
        <f>RAW_DATA!K1087</f>
        <v>1</v>
      </c>
      <c r="L1087">
        <f>RAW_DATA!L1087</f>
        <v>1</v>
      </c>
      <c r="M1087">
        <f>RAW_DATA!M1087</f>
        <v>7</v>
      </c>
      <c r="N1087">
        <f t="shared" si="32"/>
        <v>1</v>
      </c>
      <c r="O1087" t="str">
        <f xml:space="preserve"> VLOOKUP(A1087, Lookup_Tables!$G$2:$H$6,2,TRUE)</f>
        <v>25-34</v>
      </c>
      <c r="P1087" t="str">
        <f>_xlfn.XLOOKUP(J1087,Lookup_Tables!$J$2:$J$4,Lookup_Tables!$K$2:$K$4, " ",-1)</f>
        <v>Medium</v>
      </c>
      <c r="Q1087" t="str">
        <f xml:space="preserve"> _xlfn.XLOOKUP(M1087, Lookup_Tables!$M$2:$M$5,Lookup_Tables!$N$2:$N$5," ", -1)</f>
        <v>Established (5-10)</v>
      </c>
      <c r="R1087" s="4">
        <f t="shared" si="33"/>
        <v>2.6666666666666665</v>
      </c>
      <c r="S1087" t="str">
        <f xml:space="preserve"> _xlfn.XLOOKUP( E1087, Lookup_Tables!$A$2:$A$6,Lookup_Tables!$B$2:$B$6," ", -1)</f>
        <v>Bachelor</v>
      </c>
      <c r="T1087" t="str">
        <f>_xlfn.XLOOKUP(G1087,Lookup_Tables!$D$2:$D$5,Lookup_Tables!$E$2:$E$5)</f>
        <v>Very High</v>
      </c>
      <c r="U1087" t="str">
        <f>_xlfn.XLOOKUP(H1087,Lookup_Tables!$D$2:$D$5,Lookup_Tables!$E$2:$E$5)</f>
        <v>High</v>
      </c>
      <c r="V1087" t="str">
        <f>_xlfn.XLOOKUP(L1087,Lookup_Tables!$D$2:$D$5,Lookup_Tables!$E$2:$E$5)</f>
        <v>Low</v>
      </c>
    </row>
    <row r="1088" spans="1:22">
      <c r="A1088">
        <f>RAW_DATA!A1088</f>
        <v>50</v>
      </c>
      <c r="B1088" t="str">
        <f>RAW_DATA!B1088</f>
        <v>No</v>
      </c>
      <c r="C1088" t="str">
        <f>RAW_DATA!C1088</f>
        <v>Research &amp; Development</v>
      </c>
      <c r="D1088">
        <f>RAW_DATA!D1088</f>
        <v>22</v>
      </c>
      <c r="E1088">
        <f>RAW_DATA!E1088</f>
        <v>5</v>
      </c>
      <c r="F1088" t="str">
        <f>RAW_DATA!F1088</f>
        <v>Medical</v>
      </c>
      <c r="G1088">
        <f>RAW_DATA!G1088</f>
        <v>3</v>
      </c>
      <c r="H1088">
        <f>RAW_DATA!H1088</f>
        <v>4</v>
      </c>
      <c r="I1088" t="str">
        <f>RAW_DATA!I1088</f>
        <v>Single</v>
      </c>
      <c r="J1088">
        <f>RAW_DATA!J1088</f>
        <v>14411</v>
      </c>
      <c r="K1088">
        <f>RAW_DATA!K1088</f>
        <v>1</v>
      </c>
      <c r="L1088">
        <f>RAW_DATA!L1088</f>
        <v>3</v>
      </c>
      <c r="M1088">
        <f>RAW_DATA!M1088</f>
        <v>32</v>
      </c>
      <c r="N1088">
        <f t="shared" si="32"/>
        <v>0</v>
      </c>
      <c r="O1088" t="str">
        <f xml:space="preserve"> VLOOKUP(A1088, Lookup_Tables!$G$2:$H$6,2,TRUE)</f>
        <v>45-54</v>
      </c>
      <c r="P1088" t="str">
        <f>_xlfn.XLOOKUP(J1088,Lookup_Tables!$J$2:$J$4,Lookup_Tables!$K$2:$K$4, " ",-1)</f>
        <v>High</v>
      </c>
      <c r="Q1088" t="str">
        <f xml:space="preserve"> _xlfn.XLOOKUP(M1088, Lookup_Tables!$M$2:$M$5,Lookup_Tables!$N$2:$N$5," ", -1)</f>
        <v>Veteran (10+)</v>
      </c>
      <c r="R1088" s="4">
        <f t="shared" si="33"/>
        <v>3.3333333333333335</v>
      </c>
      <c r="S1088" t="str">
        <f xml:space="preserve"> _xlfn.XLOOKUP( E1088, Lookup_Tables!$A$2:$A$6,Lookup_Tables!$B$2:$B$6," ", -1)</f>
        <v>Doctor</v>
      </c>
      <c r="T1088" t="str">
        <f>_xlfn.XLOOKUP(G1088,Lookup_Tables!$D$2:$D$5,Lookup_Tables!$E$2:$E$5)</f>
        <v>High</v>
      </c>
      <c r="U1088" t="str">
        <f>_xlfn.XLOOKUP(H1088,Lookup_Tables!$D$2:$D$5,Lookup_Tables!$E$2:$E$5)</f>
        <v>Very High</v>
      </c>
      <c r="V1088" t="str">
        <f>_xlfn.XLOOKUP(L1088,Lookup_Tables!$D$2:$D$5,Lookup_Tables!$E$2:$E$5)</f>
        <v>High</v>
      </c>
    </row>
    <row r="1089" spans="1:22">
      <c r="A1089">
        <f>RAW_DATA!A1089</f>
        <v>34</v>
      </c>
      <c r="B1089" t="str">
        <f>RAW_DATA!B1089</f>
        <v>No</v>
      </c>
      <c r="C1089" t="str">
        <f>RAW_DATA!C1089</f>
        <v>Sales</v>
      </c>
      <c r="D1089">
        <f>RAW_DATA!D1089</f>
        <v>7</v>
      </c>
      <c r="E1089">
        <f>RAW_DATA!E1089</f>
        <v>2</v>
      </c>
      <c r="F1089" t="str">
        <f>RAW_DATA!F1089</f>
        <v>Technical Degree</v>
      </c>
      <c r="G1089">
        <f>RAW_DATA!G1089</f>
        <v>2</v>
      </c>
      <c r="H1089">
        <f>RAW_DATA!H1089</f>
        <v>3</v>
      </c>
      <c r="I1089" t="str">
        <f>RAW_DATA!I1089</f>
        <v>Married</v>
      </c>
      <c r="J1089">
        <f>RAW_DATA!J1089</f>
        <v>2308</v>
      </c>
      <c r="K1089">
        <f>RAW_DATA!K1089</f>
        <v>0</v>
      </c>
      <c r="L1089">
        <f>RAW_DATA!L1089</f>
        <v>3</v>
      </c>
      <c r="M1089">
        <f>RAW_DATA!M1089</f>
        <v>11</v>
      </c>
      <c r="N1089">
        <f t="shared" si="32"/>
        <v>0</v>
      </c>
      <c r="O1089" t="str">
        <f xml:space="preserve"> VLOOKUP(A1089, Lookup_Tables!$G$2:$H$6,2,TRUE)</f>
        <v>25-34</v>
      </c>
      <c r="P1089" t="str">
        <f>_xlfn.XLOOKUP(J1089,Lookup_Tables!$J$2:$J$4,Lookup_Tables!$K$2:$K$4, " ",-1)</f>
        <v>Low</v>
      </c>
      <c r="Q1089" t="str">
        <f xml:space="preserve"> _xlfn.XLOOKUP(M1089, Lookup_Tables!$M$2:$M$5,Lookup_Tables!$N$2:$N$5," ", -1)</f>
        <v>Veteran (10+)</v>
      </c>
      <c r="R1089" s="4">
        <f t="shared" si="33"/>
        <v>2.6666666666666665</v>
      </c>
      <c r="S1089" t="str">
        <f xml:space="preserve"> _xlfn.XLOOKUP( E1089, Lookup_Tables!$A$2:$A$6,Lookup_Tables!$B$2:$B$6," ", -1)</f>
        <v>College</v>
      </c>
      <c r="T1089" t="str">
        <f>_xlfn.XLOOKUP(G1089,Lookup_Tables!$D$2:$D$5,Lookup_Tables!$E$2:$E$5)</f>
        <v>Medium</v>
      </c>
      <c r="U1089" t="str">
        <f>_xlfn.XLOOKUP(H1089,Lookup_Tables!$D$2:$D$5,Lookup_Tables!$E$2:$E$5)</f>
        <v>High</v>
      </c>
      <c r="V1089" t="str">
        <f>_xlfn.XLOOKUP(L1089,Lookup_Tables!$D$2:$D$5,Lookup_Tables!$E$2:$E$5)</f>
        <v>High</v>
      </c>
    </row>
    <row r="1090" spans="1:22">
      <c r="A1090">
        <f>RAW_DATA!A1090</f>
        <v>42</v>
      </c>
      <c r="B1090" t="str">
        <f>RAW_DATA!B1090</f>
        <v>No</v>
      </c>
      <c r="C1090" t="str">
        <f>RAW_DATA!C1090</f>
        <v>Research &amp; Development</v>
      </c>
      <c r="D1090">
        <f>RAW_DATA!D1090</f>
        <v>2</v>
      </c>
      <c r="E1090">
        <f>RAW_DATA!E1090</f>
        <v>3</v>
      </c>
      <c r="F1090" t="str">
        <f>RAW_DATA!F1090</f>
        <v>Medical</v>
      </c>
      <c r="G1090">
        <f>RAW_DATA!G1090</f>
        <v>3</v>
      </c>
      <c r="H1090">
        <f>RAW_DATA!H1090</f>
        <v>2</v>
      </c>
      <c r="I1090" t="str">
        <f>RAW_DATA!I1090</f>
        <v>Married</v>
      </c>
      <c r="J1090">
        <f>RAW_DATA!J1090</f>
        <v>4841</v>
      </c>
      <c r="K1090">
        <f>RAW_DATA!K1090</f>
        <v>4</v>
      </c>
      <c r="L1090">
        <f>RAW_DATA!L1090</f>
        <v>3</v>
      </c>
      <c r="M1090">
        <f>RAW_DATA!M1090</f>
        <v>1</v>
      </c>
      <c r="N1090">
        <f t="shared" si="32"/>
        <v>0</v>
      </c>
      <c r="O1090" t="str">
        <f xml:space="preserve"> VLOOKUP(A1090, Lookup_Tables!$G$2:$H$6,2,TRUE)</f>
        <v>35-44</v>
      </c>
      <c r="P1090" t="str">
        <f>_xlfn.XLOOKUP(J1090,Lookup_Tables!$J$2:$J$4,Lookup_Tables!$K$2:$K$4, " ",-1)</f>
        <v>Medium</v>
      </c>
      <c r="Q1090" t="str">
        <f xml:space="preserve"> _xlfn.XLOOKUP(M1090, Lookup_Tables!$M$2:$M$5,Lookup_Tables!$N$2:$N$5," ", -1)</f>
        <v>New (0-2)</v>
      </c>
      <c r="R1090" s="4">
        <f t="shared" si="33"/>
        <v>2.6666666666666665</v>
      </c>
      <c r="S1090" t="str">
        <f xml:space="preserve"> _xlfn.XLOOKUP( E1090, Lookup_Tables!$A$2:$A$6,Lookup_Tables!$B$2:$B$6," ", -1)</f>
        <v>Bachelor</v>
      </c>
      <c r="T1090" t="str">
        <f>_xlfn.XLOOKUP(G1090,Lookup_Tables!$D$2:$D$5,Lookup_Tables!$E$2:$E$5)</f>
        <v>High</v>
      </c>
      <c r="U1090" t="str">
        <f>_xlfn.XLOOKUP(H1090,Lookup_Tables!$D$2:$D$5,Lookup_Tables!$E$2:$E$5)</f>
        <v>Medium</v>
      </c>
      <c r="V1090" t="str">
        <f>_xlfn.XLOOKUP(L1090,Lookup_Tables!$D$2:$D$5,Lookup_Tables!$E$2:$E$5)</f>
        <v>High</v>
      </c>
    </row>
    <row r="1091" spans="1:22">
      <c r="A1091">
        <f>RAW_DATA!A1091</f>
        <v>37</v>
      </c>
      <c r="B1091" t="str">
        <f>RAW_DATA!B1091</f>
        <v>No</v>
      </c>
      <c r="C1091" t="str">
        <f>RAW_DATA!C1091</f>
        <v>Research &amp; Development</v>
      </c>
      <c r="D1091">
        <f>RAW_DATA!D1091</f>
        <v>13</v>
      </c>
      <c r="E1091">
        <f>RAW_DATA!E1091</f>
        <v>3</v>
      </c>
      <c r="F1091" t="str">
        <f>RAW_DATA!F1091</f>
        <v>Medical</v>
      </c>
      <c r="G1091">
        <f>RAW_DATA!G1091</f>
        <v>1</v>
      </c>
      <c r="H1091">
        <f>RAW_DATA!H1091</f>
        <v>4</v>
      </c>
      <c r="I1091" t="str">
        <f>RAW_DATA!I1091</f>
        <v>Married</v>
      </c>
      <c r="J1091">
        <f>RAW_DATA!J1091</f>
        <v>4285</v>
      </c>
      <c r="K1091">
        <f>RAW_DATA!K1091</f>
        <v>1</v>
      </c>
      <c r="L1091">
        <f>RAW_DATA!L1091</f>
        <v>3</v>
      </c>
      <c r="M1091">
        <f>RAW_DATA!M1091</f>
        <v>10</v>
      </c>
      <c r="N1091">
        <f t="shared" ref="N1091:N1154" si="34" xml:space="preserve"> IF(B1091 ="Yes",1,0)</f>
        <v>0</v>
      </c>
      <c r="O1091" t="str">
        <f xml:space="preserve"> VLOOKUP(A1091, Lookup_Tables!$G$2:$H$6,2,TRUE)</f>
        <v>35-44</v>
      </c>
      <c r="P1091" t="str">
        <f>_xlfn.XLOOKUP(J1091,Lookup_Tables!$J$2:$J$4,Lookup_Tables!$K$2:$K$4, " ",-1)</f>
        <v>Medium</v>
      </c>
      <c r="Q1091" t="str">
        <f xml:space="preserve"> _xlfn.XLOOKUP(M1091, Lookup_Tables!$M$2:$M$5,Lookup_Tables!$N$2:$N$5," ", -1)</f>
        <v>Veteran (10+)</v>
      </c>
      <c r="R1091" s="4">
        <f t="shared" ref="R1091:R1154" si="35">AVERAGE(G1091,H1091,L1091)</f>
        <v>2.6666666666666665</v>
      </c>
      <c r="S1091" t="str">
        <f xml:space="preserve"> _xlfn.XLOOKUP( E1091, Lookup_Tables!$A$2:$A$6,Lookup_Tables!$B$2:$B$6," ", -1)</f>
        <v>Bachelor</v>
      </c>
      <c r="T1091" t="str">
        <f>_xlfn.XLOOKUP(G1091,Lookup_Tables!$D$2:$D$5,Lookup_Tables!$E$2:$E$5)</f>
        <v>Low</v>
      </c>
      <c r="U1091" t="str">
        <f>_xlfn.XLOOKUP(H1091,Lookup_Tables!$D$2:$D$5,Lookup_Tables!$E$2:$E$5)</f>
        <v>Very High</v>
      </c>
      <c r="V1091" t="str">
        <f>_xlfn.XLOOKUP(L1091,Lookup_Tables!$D$2:$D$5,Lookup_Tables!$E$2:$E$5)</f>
        <v>High</v>
      </c>
    </row>
    <row r="1092" spans="1:22">
      <c r="A1092">
        <f>RAW_DATA!A1092</f>
        <v>29</v>
      </c>
      <c r="B1092" t="str">
        <f>RAW_DATA!B1092</f>
        <v>No</v>
      </c>
      <c r="C1092" t="str">
        <f>RAW_DATA!C1092</f>
        <v>Research &amp; Development</v>
      </c>
      <c r="D1092">
        <f>RAW_DATA!D1092</f>
        <v>8</v>
      </c>
      <c r="E1092">
        <f>RAW_DATA!E1092</f>
        <v>1</v>
      </c>
      <c r="F1092" t="str">
        <f>RAW_DATA!F1092</f>
        <v>Other</v>
      </c>
      <c r="G1092">
        <f>RAW_DATA!G1092</f>
        <v>3</v>
      </c>
      <c r="H1092">
        <f>RAW_DATA!H1092</f>
        <v>1</v>
      </c>
      <c r="I1092" t="str">
        <f>RAW_DATA!I1092</f>
        <v>Married</v>
      </c>
      <c r="J1092">
        <f>RAW_DATA!J1092</f>
        <v>9715</v>
      </c>
      <c r="K1092">
        <f>RAW_DATA!K1092</f>
        <v>3</v>
      </c>
      <c r="L1092">
        <f>RAW_DATA!L1092</f>
        <v>3</v>
      </c>
      <c r="M1092">
        <f>RAW_DATA!M1092</f>
        <v>7</v>
      </c>
      <c r="N1092">
        <f t="shared" si="34"/>
        <v>0</v>
      </c>
      <c r="O1092" t="str">
        <f xml:space="preserve"> VLOOKUP(A1092, Lookup_Tables!$G$2:$H$6,2,TRUE)</f>
        <v>25-34</v>
      </c>
      <c r="P1092" t="str">
        <f>_xlfn.XLOOKUP(J1092,Lookup_Tables!$J$2:$J$4,Lookup_Tables!$K$2:$K$4, " ",-1)</f>
        <v>High</v>
      </c>
      <c r="Q1092" t="str">
        <f xml:space="preserve"> _xlfn.XLOOKUP(M1092, Lookup_Tables!$M$2:$M$5,Lookup_Tables!$N$2:$N$5," ", -1)</f>
        <v>Established (5-10)</v>
      </c>
      <c r="R1092" s="4">
        <f t="shared" si="35"/>
        <v>2.3333333333333335</v>
      </c>
      <c r="S1092" t="str">
        <f xml:space="preserve"> _xlfn.XLOOKUP( E1092, Lookup_Tables!$A$2:$A$6,Lookup_Tables!$B$2:$B$6," ", -1)</f>
        <v>Below College</v>
      </c>
      <c r="T1092" t="str">
        <f>_xlfn.XLOOKUP(G1092,Lookup_Tables!$D$2:$D$5,Lookup_Tables!$E$2:$E$5)</f>
        <v>High</v>
      </c>
      <c r="U1092" t="str">
        <f>_xlfn.XLOOKUP(H1092,Lookup_Tables!$D$2:$D$5,Lookup_Tables!$E$2:$E$5)</f>
        <v>Low</v>
      </c>
      <c r="V1092" t="str">
        <f>_xlfn.XLOOKUP(L1092,Lookup_Tables!$D$2:$D$5,Lookup_Tables!$E$2:$E$5)</f>
        <v>High</v>
      </c>
    </row>
    <row r="1093" spans="1:22">
      <c r="A1093">
        <f>RAW_DATA!A1093</f>
        <v>33</v>
      </c>
      <c r="B1093" t="str">
        <f>RAW_DATA!B1093</f>
        <v>No</v>
      </c>
      <c r="C1093" t="str">
        <f>RAW_DATA!C1093</f>
        <v>Research &amp; Development</v>
      </c>
      <c r="D1093">
        <f>RAW_DATA!D1093</f>
        <v>25</v>
      </c>
      <c r="E1093">
        <f>RAW_DATA!E1093</f>
        <v>3</v>
      </c>
      <c r="F1093" t="str">
        <f>RAW_DATA!F1093</f>
        <v>Life Sciences</v>
      </c>
      <c r="G1093">
        <f>RAW_DATA!G1093</f>
        <v>4</v>
      </c>
      <c r="H1093">
        <f>RAW_DATA!H1093</f>
        <v>2</v>
      </c>
      <c r="I1093" t="str">
        <f>RAW_DATA!I1093</f>
        <v>Single</v>
      </c>
      <c r="J1093">
        <f>RAW_DATA!J1093</f>
        <v>4320</v>
      </c>
      <c r="K1093">
        <f>RAW_DATA!K1093</f>
        <v>1</v>
      </c>
      <c r="L1093">
        <f>RAW_DATA!L1093</f>
        <v>3</v>
      </c>
      <c r="M1093">
        <f>RAW_DATA!M1093</f>
        <v>5</v>
      </c>
      <c r="N1093">
        <f t="shared" si="34"/>
        <v>0</v>
      </c>
      <c r="O1093" t="str">
        <f xml:space="preserve"> VLOOKUP(A1093, Lookup_Tables!$G$2:$H$6,2,TRUE)</f>
        <v>25-34</v>
      </c>
      <c r="P1093" t="str">
        <f>_xlfn.XLOOKUP(J1093,Lookup_Tables!$J$2:$J$4,Lookup_Tables!$K$2:$K$4, " ",-1)</f>
        <v>Medium</v>
      </c>
      <c r="Q1093" t="str">
        <f xml:space="preserve"> _xlfn.XLOOKUP(M1093, Lookup_Tables!$M$2:$M$5,Lookup_Tables!$N$2:$N$5," ", -1)</f>
        <v>Established (5-10)</v>
      </c>
      <c r="R1093" s="4">
        <f t="shared" si="35"/>
        <v>3</v>
      </c>
      <c r="S1093" t="str">
        <f xml:space="preserve"> _xlfn.XLOOKUP( E1093, Lookup_Tables!$A$2:$A$6,Lookup_Tables!$B$2:$B$6," ", -1)</f>
        <v>Bachelor</v>
      </c>
      <c r="T1093" t="str">
        <f>_xlfn.XLOOKUP(G1093,Lookup_Tables!$D$2:$D$5,Lookup_Tables!$E$2:$E$5)</f>
        <v>Very High</v>
      </c>
      <c r="U1093" t="str">
        <f>_xlfn.XLOOKUP(H1093,Lookup_Tables!$D$2:$D$5,Lookup_Tables!$E$2:$E$5)</f>
        <v>Medium</v>
      </c>
      <c r="V1093" t="str">
        <f>_xlfn.XLOOKUP(L1093,Lookup_Tables!$D$2:$D$5,Lookup_Tables!$E$2:$E$5)</f>
        <v>High</v>
      </c>
    </row>
    <row r="1094" spans="1:22">
      <c r="A1094">
        <f>RAW_DATA!A1094</f>
        <v>45</v>
      </c>
      <c r="B1094" t="str">
        <f>RAW_DATA!B1094</f>
        <v>No</v>
      </c>
      <c r="C1094" t="str">
        <f>RAW_DATA!C1094</f>
        <v>Research &amp; Development</v>
      </c>
      <c r="D1094">
        <f>RAW_DATA!D1094</f>
        <v>28</v>
      </c>
      <c r="E1094">
        <f>RAW_DATA!E1094</f>
        <v>3</v>
      </c>
      <c r="F1094" t="str">
        <f>RAW_DATA!F1094</f>
        <v>Technical Degree</v>
      </c>
      <c r="G1094">
        <f>RAW_DATA!G1094</f>
        <v>4</v>
      </c>
      <c r="H1094">
        <f>RAW_DATA!H1094</f>
        <v>4</v>
      </c>
      <c r="I1094" t="str">
        <f>RAW_DATA!I1094</f>
        <v>Married</v>
      </c>
      <c r="J1094">
        <f>RAW_DATA!J1094</f>
        <v>2132</v>
      </c>
      <c r="K1094">
        <f>RAW_DATA!K1094</f>
        <v>4</v>
      </c>
      <c r="L1094">
        <f>RAW_DATA!L1094</f>
        <v>3</v>
      </c>
      <c r="M1094">
        <f>RAW_DATA!M1094</f>
        <v>5</v>
      </c>
      <c r="N1094">
        <f t="shared" si="34"/>
        <v>0</v>
      </c>
      <c r="O1094" t="str">
        <f xml:space="preserve"> VLOOKUP(A1094, Lookup_Tables!$G$2:$H$6,2,TRUE)</f>
        <v>45-54</v>
      </c>
      <c r="P1094" t="str">
        <f>_xlfn.XLOOKUP(J1094,Lookup_Tables!$J$2:$J$4,Lookup_Tables!$K$2:$K$4, " ",-1)</f>
        <v>Low</v>
      </c>
      <c r="Q1094" t="str">
        <f xml:space="preserve"> _xlfn.XLOOKUP(M1094, Lookup_Tables!$M$2:$M$5,Lookup_Tables!$N$2:$N$5," ", -1)</f>
        <v>Established (5-10)</v>
      </c>
      <c r="R1094" s="4">
        <f t="shared" si="35"/>
        <v>3.6666666666666665</v>
      </c>
      <c r="S1094" t="str">
        <f xml:space="preserve"> _xlfn.XLOOKUP( E1094, Lookup_Tables!$A$2:$A$6,Lookup_Tables!$B$2:$B$6," ", -1)</f>
        <v>Bachelor</v>
      </c>
      <c r="T1094" t="str">
        <f>_xlfn.XLOOKUP(G1094,Lookup_Tables!$D$2:$D$5,Lookup_Tables!$E$2:$E$5)</f>
        <v>Very High</v>
      </c>
      <c r="U1094" t="str">
        <f>_xlfn.XLOOKUP(H1094,Lookup_Tables!$D$2:$D$5,Lookup_Tables!$E$2:$E$5)</f>
        <v>Very High</v>
      </c>
      <c r="V1094" t="str">
        <f>_xlfn.XLOOKUP(L1094,Lookup_Tables!$D$2:$D$5,Lookup_Tables!$E$2:$E$5)</f>
        <v>High</v>
      </c>
    </row>
    <row r="1095" spans="1:22">
      <c r="A1095">
        <f>RAW_DATA!A1095</f>
        <v>42</v>
      </c>
      <c r="B1095" t="str">
        <f>RAW_DATA!B1095</f>
        <v>No</v>
      </c>
      <c r="C1095" t="str">
        <f>RAW_DATA!C1095</f>
        <v>Research &amp; Development</v>
      </c>
      <c r="D1095">
        <f>RAW_DATA!D1095</f>
        <v>2</v>
      </c>
      <c r="E1095">
        <f>RAW_DATA!E1095</f>
        <v>3</v>
      </c>
      <c r="F1095" t="str">
        <f>RAW_DATA!F1095</f>
        <v>Life Sciences</v>
      </c>
      <c r="G1095">
        <f>RAW_DATA!G1095</f>
        <v>4</v>
      </c>
      <c r="H1095">
        <f>RAW_DATA!H1095</f>
        <v>4</v>
      </c>
      <c r="I1095" t="str">
        <f>RAW_DATA!I1095</f>
        <v>Married</v>
      </c>
      <c r="J1095">
        <f>RAW_DATA!J1095</f>
        <v>10124</v>
      </c>
      <c r="K1095">
        <f>RAW_DATA!K1095</f>
        <v>2</v>
      </c>
      <c r="L1095">
        <f>RAW_DATA!L1095</f>
        <v>1</v>
      </c>
      <c r="M1095">
        <f>RAW_DATA!M1095</f>
        <v>20</v>
      </c>
      <c r="N1095">
        <f t="shared" si="34"/>
        <v>0</v>
      </c>
      <c r="O1095" t="str">
        <f xml:space="preserve"> VLOOKUP(A1095, Lookup_Tables!$G$2:$H$6,2,TRUE)</f>
        <v>35-44</v>
      </c>
      <c r="P1095" t="str">
        <f>_xlfn.XLOOKUP(J1095,Lookup_Tables!$J$2:$J$4,Lookup_Tables!$K$2:$K$4, " ",-1)</f>
        <v>High</v>
      </c>
      <c r="Q1095" t="str">
        <f xml:space="preserve"> _xlfn.XLOOKUP(M1095, Lookup_Tables!$M$2:$M$5,Lookup_Tables!$N$2:$N$5," ", -1)</f>
        <v>Veteran (10+)</v>
      </c>
      <c r="R1095" s="4">
        <f t="shared" si="35"/>
        <v>3</v>
      </c>
      <c r="S1095" t="str">
        <f xml:space="preserve"> _xlfn.XLOOKUP( E1095, Lookup_Tables!$A$2:$A$6,Lookup_Tables!$B$2:$B$6," ", -1)</f>
        <v>Bachelor</v>
      </c>
      <c r="T1095" t="str">
        <f>_xlfn.XLOOKUP(G1095,Lookup_Tables!$D$2:$D$5,Lookup_Tables!$E$2:$E$5)</f>
        <v>Very High</v>
      </c>
      <c r="U1095" t="str">
        <f>_xlfn.XLOOKUP(H1095,Lookup_Tables!$D$2:$D$5,Lookup_Tables!$E$2:$E$5)</f>
        <v>Very High</v>
      </c>
      <c r="V1095" t="str">
        <f>_xlfn.XLOOKUP(L1095,Lookup_Tables!$D$2:$D$5,Lookup_Tables!$E$2:$E$5)</f>
        <v>Low</v>
      </c>
    </row>
    <row r="1096" spans="1:22">
      <c r="A1096">
        <f>RAW_DATA!A1096</f>
        <v>40</v>
      </c>
      <c r="B1096" t="str">
        <f>RAW_DATA!B1096</f>
        <v>No</v>
      </c>
      <c r="C1096" t="str">
        <f>RAW_DATA!C1096</f>
        <v>Sales</v>
      </c>
      <c r="D1096">
        <f>RAW_DATA!D1096</f>
        <v>9</v>
      </c>
      <c r="E1096">
        <f>RAW_DATA!E1096</f>
        <v>2</v>
      </c>
      <c r="F1096" t="str">
        <f>RAW_DATA!F1096</f>
        <v>Medical</v>
      </c>
      <c r="G1096">
        <f>RAW_DATA!G1096</f>
        <v>1</v>
      </c>
      <c r="H1096">
        <f>RAW_DATA!H1096</f>
        <v>1</v>
      </c>
      <c r="I1096" t="str">
        <f>RAW_DATA!I1096</f>
        <v>Married</v>
      </c>
      <c r="J1096">
        <f>RAW_DATA!J1096</f>
        <v>5473</v>
      </c>
      <c r="K1096">
        <f>RAW_DATA!K1096</f>
        <v>0</v>
      </c>
      <c r="L1096">
        <f>RAW_DATA!L1096</f>
        <v>4</v>
      </c>
      <c r="M1096">
        <f>RAW_DATA!M1096</f>
        <v>8</v>
      </c>
      <c r="N1096">
        <f t="shared" si="34"/>
        <v>0</v>
      </c>
      <c r="O1096" t="str">
        <f xml:space="preserve"> VLOOKUP(A1096, Lookup_Tables!$G$2:$H$6,2,TRUE)</f>
        <v>35-44</v>
      </c>
      <c r="P1096" t="str">
        <f>_xlfn.XLOOKUP(J1096,Lookup_Tables!$J$2:$J$4,Lookup_Tables!$K$2:$K$4, " ",-1)</f>
        <v>Medium</v>
      </c>
      <c r="Q1096" t="str">
        <f xml:space="preserve"> _xlfn.XLOOKUP(M1096, Lookup_Tables!$M$2:$M$5,Lookup_Tables!$N$2:$N$5," ", -1)</f>
        <v>Established (5-10)</v>
      </c>
      <c r="R1096" s="4">
        <f t="shared" si="35"/>
        <v>2</v>
      </c>
      <c r="S1096" t="str">
        <f xml:space="preserve"> _xlfn.XLOOKUP( E1096, Lookup_Tables!$A$2:$A$6,Lookup_Tables!$B$2:$B$6," ", -1)</f>
        <v>College</v>
      </c>
      <c r="T1096" t="str">
        <f>_xlfn.XLOOKUP(G1096,Lookup_Tables!$D$2:$D$5,Lookup_Tables!$E$2:$E$5)</f>
        <v>Low</v>
      </c>
      <c r="U1096" t="str">
        <f>_xlfn.XLOOKUP(H1096,Lookup_Tables!$D$2:$D$5,Lookup_Tables!$E$2:$E$5)</f>
        <v>Low</v>
      </c>
      <c r="V1096" t="str">
        <f>_xlfn.XLOOKUP(L1096,Lookup_Tables!$D$2:$D$5,Lookup_Tables!$E$2:$E$5)</f>
        <v>Very High</v>
      </c>
    </row>
    <row r="1097" spans="1:22">
      <c r="A1097">
        <f>RAW_DATA!A1097</f>
        <v>33</v>
      </c>
      <c r="B1097" t="str">
        <f>RAW_DATA!B1097</f>
        <v>No</v>
      </c>
      <c r="C1097" t="str">
        <f>RAW_DATA!C1097</f>
        <v>Research &amp; Development</v>
      </c>
      <c r="D1097">
        <f>RAW_DATA!D1097</f>
        <v>28</v>
      </c>
      <c r="E1097">
        <f>RAW_DATA!E1097</f>
        <v>4</v>
      </c>
      <c r="F1097" t="str">
        <f>RAW_DATA!F1097</f>
        <v>Life Sciences</v>
      </c>
      <c r="G1097">
        <f>RAW_DATA!G1097</f>
        <v>2</v>
      </c>
      <c r="H1097">
        <f>RAW_DATA!H1097</f>
        <v>3</v>
      </c>
      <c r="I1097" t="str">
        <f>RAW_DATA!I1097</f>
        <v>Married</v>
      </c>
      <c r="J1097">
        <f>RAW_DATA!J1097</f>
        <v>5207</v>
      </c>
      <c r="K1097">
        <f>RAW_DATA!K1097</f>
        <v>1</v>
      </c>
      <c r="L1097">
        <f>RAW_DATA!L1097</f>
        <v>3</v>
      </c>
      <c r="M1097">
        <f>RAW_DATA!M1097</f>
        <v>15</v>
      </c>
      <c r="N1097">
        <f t="shared" si="34"/>
        <v>0</v>
      </c>
      <c r="O1097" t="str">
        <f xml:space="preserve"> VLOOKUP(A1097, Lookup_Tables!$G$2:$H$6,2,TRUE)</f>
        <v>25-34</v>
      </c>
      <c r="P1097" t="str">
        <f>_xlfn.XLOOKUP(J1097,Lookup_Tables!$J$2:$J$4,Lookup_Tables!$K$2:$K$4, " ",-1)</f>
        <v>Medium</v>
      </c>
      <c r="Q1097" t="str">
        <f xml:space="preserve"> _xlfn.XLOOKUP(M1097, Lookup_Tables!$M$2:$M$5,Lookup_Tables!$N$2:$N$5," ", -1)</f>
        <v>Veteran (10+)</v>
      </c>
      <c r="R1097" s="4">
        <f t="shared" si="35"/>
        <v>2.6666666666666665</v>
      </c>
      <c r="S1097" t="str">
        <f xml:space="preserve"> _xlfn.XLOOKUP( E1097, Lookup_Tables!$A$2:$A$6,Lookup_Tables!$B$2:$B$6," ", -1)</f>
        <v>Master</v>
      </c>
      <c r="T1097" t="str">
        <f>_xlfn.XLOOKUP(G1097,Lookup_Tables!$D$2:$D$5,Lookup_Tables!$E$2:$E$5)</f>
        <v>Medium</v>
      </c>
      <c r="U1097" t="str">
        <f>_xlfn.XLOOKUP(H1097,Lookup_Tables!$D$2:$D$5,Lookup_Tables!$E$2:$E$5)</f>
        <v>High</v>
      </c>
      <c r="V1097" t="str">
        <f>_xlfn.XLOOKUP(L1097,Lookup_Tables!$D$2:$D$5,Lookup_Tables!$E$2:$E$5)</f>
        <v>High</v>
      </c>
    </row>
    <row r="1098" spans="1:22">
      <c r="A1098">
        <f>RAW_DATA!A1098</f>
        <v>40</v>
      </c>
      <c r="B1098" t="str">
        <f>RAW_DATA!B1098</f>
        <v>No</v>
      </c>
      <c r="C1098" t="str">
        <f>RAW_DATA!C1098</f>
        <v>Human Resources</v>
      </c>
      <c r="D1098">
        <f>RAW_DATA!D1098</f>
        <v>6</v>
      </c>
      <c r="E1098">
        <f>RAW_DATA!E1098</f>
        <v>2</v>
      </c>
      <c r="F1098" t="str">
        <f>RAW_DATA!F1098</f>
        <v>Medical</v>
      </c>
      <c r="G1098">
        <f>RAW_DATA!G1098</f>
        <v>3</v>
      </c>
      <c r="H1098">
        <f>RAW_DATA!H1098</f>
        <v>4</v>
      </c>
      <c r="I1098" t="str">
        <f>RAW_DATA!I1098</f>
        <v>Single</v>
      </c>
      <c r="J1098">
        <f>RAW_DATA!J1098</f>
        <v>16437</v>
      </c>
      <c r="K1098">
        <f>RAW_DATA!K1098</f>
        <v>1</v>
      </c>
      <c r="L1098">
        <f>RAW_DATA!L1098</f>
        <v>3</v>
      </c>
      <c r="M1098">
        <f>RAW_DATA!M1098</f>
        <v>21</v>
      </c>
      <c r="N1098">
        <f t="shared" si="34"/>
        <v>0</v>
      </c>
      <c r="O1098" t="str">
        <f xml:space="preserve"> VLOOKUP(A1098, Lookup_Tables!$G$2:$H$6,2,TRUE)</f>
        <v>35-44</v>
      </c>
      <c r="P1098" t="str">
        <f>_xlfn.XLOOKUP(J1098,Lookup_Tables!$J$2:$J$4,Lookup_Tables!$K$2:$K$4, " ",-1)</f>
        <v>High</v>
      </c>
      <c r="Q1098" t="str">
        <f xml:space="preserve"> _xlfn.XLOOKUP(M1098, Lookup_Tables!$M$2:$M$5,Lookup_Tables!$N$2:$N$5," ", -1)</f>
        <v>Veteran (10+)</v>
      </c>
      <c r="R1098" s="4">
        <f t="shared" si="35"/>
        <v>3.3333333333333335</v>
      </c>
      <c r="S1098" t="str">
        <f xml:space="preserve"> _xlfn.XLOOKUP( E1098, Lookup_Tables!$A$2:$A$6,Lookup_Tables!$B$2:$B$6," ", -1)</f>
        <v>College</v>
      </c>
      <c r="T1098" t="str">
        <f>_xlfn.XLOOKUP(G1098,Lookup_Tables!$D$2:$D$5,Lookup_Tables!$E$2:$E$5)</f>
        <v>High</v>
      </c>
      <c r="U1098" t="str">
        <f>_xlfn.XLOOKUP(H1098,Lookup_Tables!$D$2:$D$5,Lookup_Tables!$E$2:$E$5)</f>
        <v>Very High</v>
      </c>
      <c r="V1098" t="str">
        <f>_xlfn.XLOOKUP(L1098,Lookup_Tables!$D$2:$D$5,Lookup_Tables!$E$2:$E$5)</f>
        <v>High</v>
      </c>
    </row>
    <row r="1099" spans="1:22">
      <c r="A1099">
        <f>RAW_DATA!A1099</f>
        <v>24</v>
      </c>
      <c r="B1099" t="str">
        <f>RAW_DATA!B1099</f>
        <v>No</v>
      </c>
      <c r="C1099" t="str">
        <f>RAW_DATA!C1099</f>
        <v>Research &amp; Development</v>
      </c>
      <c r="D1099">
        <f>RAW_DATA!D1099</f>
        <v>21</v>
      </c>
      <c r="E1099">
        <f>RAW_DATA!E1099</f>
        <v>2</v>
      </c>
      <c r="F1099" t="str">
        <f>RAW_DATA!F1099</f>
        <v>Technical Degree</v>
      </c>
      <c r="G1099">
        <f>RAW_DATA!G1099</f>
        <v>3</v>
      </c>
      <c r="H1099">
        <f>RAW_DATA!H1099</f>
        <v>1</v>
      </c>
      <c r="I1099" t="str">
        <f>RAW_DATA!I1099</f>
        <v>Divorced</v>
      </c>
      <c r="J1099">
        <f>RAW_DATA!J1099</f>
        <v>2296</v>
      </c>
      <c r="K1099">
        <f>RAW_DATA!K1099</f>
        <v>0</v>
      </c>
      <c r="L1099">
        <f>RAW_DATA!L1099</f>
        <v>3</v>
      </c>
      <c r="M1099">
        <f>RAW_DATA!M1099</f>
        <v>1</v>
      </c>
      <c r="N1099">
        <f t="shared" si="34"/>
        <v>0</v>
      </c>
      <c r="O1099" t="str">
        <f xml:space="preserve"> VLOOKUP(A1099, Lookup_Tables!$G$2:$H$6,2,TRUE)</f>
        <v>&lt;25</v>
      </c>
      <c r="P1099" t="str">
        <f>_xlfn.XLOOKUP(J1099,Lookup_Tables!$J$2:$J$4,Lookup_Tables!$K$2:$K$4, " ",-1)</f>
        <v>Low</v>
      </c>
      <c r="Q1099" t="str">
        <f xml:space="preserve"> _xlfn.XLOOKUP(M1099, Lookup_Tables!$M$2:$M$5,Lookup_Tables!$N$2:$N$5," ", -1)</f>
        <v>New (0-2)</v>
      </c>
      <c r="R1099" s="4">
        <f t="shared" si="35"/>
        <v>2.3333333333333335</v>
      </c>
      <c r="S1099" t="str">
        <f xml:space="preserve"> _xlfn.XLOOKUP( E1099, Lookup_Tables!$A$2:$A$6,Lookup_Tables!$B$2:$B$6," ", -1)</f>
        <v>College</v>
      </c>
      <c r="T1099" t="str">
        <f>_xlfn.XLOOKUP(G1099,Lookup_Tables!$D$2:$D$5,Lookup_Tables!$E$2:$E$5)</f>
        <v>High</v>
      </c>
      <c r="U1099" t="str">
        <f>_xlfn.XLOOKUP(H1099,Lookup_Tables!$D$2:$D$5,Lookup_Tables!$E$2:$E$5)</f>
        <v>Low</v>
      </c>
      <c r="V1099" t="str">
        <f>_xlfn.XLOOKUP(L1099,Lookup_Tables!$D$2:$D$5,Lookup_Tables!$E$2:$E$5)</f>
        <v>High</v>
      </c>
    </row>
    <row r="1100" spans="1:22">
      <c r="A1100">
        <f>RAW_DATA!A1100</f>
        <v>40</v>
      </c>
      <c r="B1100" t="str">
        <f>RAW_DATA!B1100</f>
        <v>No</v>
      </c>
      <c r="C1100" t="str">
        <f>RAW_DATA!C1100</f>
        <v>Research &amp; Development</v>
      </c>
      <c r="D1100">
        <f>RAW_DATA!D1100</f>
        <v>8</v>
      </c>
      <c r="E1100">
        <f>RAW_DATA!E1100</f>
        <v>2</v>
      </c>
      <c r="F1100" t="str">
        <f>RAW_DATA!F1100</f>
        <v>Life Sciences</v>
      </c>
      <c r="G1100">
        <f>RAW_DATA!G1100</f>
        <v>4</v>
      </c>
      <c r="H1100">
        <f>RAW_DATA!H1100</f>
        <v>4</v>
      </c>
      <c r="I1100" t="str">
        <f>RAW_DATA!I1100</f>
        <v>Divorced</v>
      </c>
      <c r="J1100">
        <f>RAW_DATA!J1100</f>
        <v>4069</v>
      </c>
      <c r="K1100">
        <f>RAW_DATA!K1100</f>
        <v>3</v>
      </c>
      <c r="L1100">
        <f>RAW_DATA!L1100</f>
        <v>3</v>
      </c>
      <c r="M1100">
        <f>RAW_DATA!M1100</f>
        <v>2</v>
      </c>
      <c r="N1100">
        <f t="shared" si="34"/>
        <v>0</v>
      </c>
      <c r="O1100" t="str">
        <f xml:space="preserve"> VLOOKUP(A1100, Lookup_Tables!$G$2:$H$6,2,TRUE)</f>
        <v>35-44</v>
      </c>
      <c r="P1100" t="str">
        <f>_xlfn.XLOOKUP(J1100,Lookup_Tables!$J$2:$J$4,Lookup_Tables!$K$2:$K$4, " ",-1)</f>
        <v>Medium</v>
      </c>
      <c r="Q1100" t="str">
        <f xml:space="preserve"> _xlfn.XLOOKUP(M1100, Lookup_Tables!$M$2:$M$5,Lookup_Tables!$N$2:$N$5," ", -1)</f>
        <v>Early (2-5)</v>
      </c>
      <c r="R1100" s="4">
        <f t="shared" si="35"/>
        <v>3.6666666666666665</v>
      </c>
      <c r="S1100" t="str">
        <f xml:space="preserve"> _xlfn.XLOOKUP( E1100, Lookup_Tables!$A$2:$A$6,Lookup_Tables!$B$2:$B$6," ", -1)</f>
        <v>College</v>
      </c>
      <c r="T1100" t="str">
        <f>_xlfn.XLOOKUP(G1100,Lookup_Tables!$D$2:$D$5,Lookup_Tables!$E$2:$E$5)</f>
        <v>Very High</v>
      </c>
      <c r="U1100" t="str">
        <f>_xlfn.XLOOKUP(H1100,Lookup_Tables!$D$2:$D$5,Lookup_Tables!$E$2:$E$5)</f>
        <v>Very High</v>
      </c>
      <c r="V1100" t="str">
        <f>_xlfn.XLOOKUP(L1100,Lookup_Tables!$D$2:$D$5,Lookup_Tables!$E$2:$E$5)</f>
        <v>High</v>
      </c>
    </row>
    <row r="1101" spans="1:22">
      <c r="A1101">
        <f>RAW_DATA!A1101</f>
        <v>45</v>
      </c>
      <c r="B1101" t="str">
        <f>RAW_DATA!B1101</f>
        <v>No</v>
      </c>
      <c r="C1101" t="str">
        <f>RAW_DATA!C1101</f>
        <v>Research &amp; Development</v>
      </c>
      <c r="D1101">
        <f>RAW_DATA!D1101</f>
        <v>1</v>
      </c>
      <c r="E1101">
        <f>RAW_DATA!E1101</f>
        <v>4</v>
      </c>
      <c r="F1101" t="str">
        <f>RAW_DATA!F1101</f>
        <v>Technical Degree</v>
      </c>
      <c r="G1101">
        <f>RAW_DATA!G1101</f>
        <v>1</v>
      </c>
      <c r="H1101">
        <f>RAW_DATA!H1101</f>
        <v>2</v>
      </c>
      <c r="I1101" t="str">
        <f>RAW_DATA!I1101</f>
        <v>Divorced</v>
      </c>
      <c r="J1101">
        <f>RAW_DATA!J1101</f>
        <v>7441</v>
      </c>
      <c r="K1101">
        <f>RAW_DATA!K1101</f>
        <v>1</v>
      </c>
      <c r="L1101">
        <f>RAW_DATA!L1101</f>
        <v>3</v>
      </c>
      <c r="M1101">
        <f>RAW_DATA!M1101</f>
        <v>10</v>
      </c>
      <c r="N1101">
        <f t="shared" si="34"/>
        <v>0</v>
      </c>
      <c r="O1101" t="str">
        <f xml:space="preserve"> VLOOKUP(A1101, Lookup_Tables!$G$2:$H$6,2,TRUE)</f>
        <v>45-54</v>
      </c>
      <c r="P1101" t="str">
        <f>_xlfn.XLOOKUP(J1101,Lookup_Tables!$J$2:$J$4,Lookup_Tables!$K$2:$K$4, " ",-1)</f>
        <v>High</v>
      </c>
      <c r="Q1101" t="str">
        <f xml:space="preserve"> _xlfn.XLOOKUP(M1101, Lookup_Tables!$M$2:$M$5,Lookup_Tables!$N$2:$N$5," ", -1)</f>
        <v>Veteran (10+)</v>
      </c>
      <c r="R1101" s="4">
        <f t="shared" si="35"/>
        <v>2</v>
      </c>
      <c r="S1101" t="str">
        <f xml:space="preserve"> _xlfn.XLOOKUP( E1101, Lookup_Tables!$A$2:$A$6,Lookup_Tables!$B$2:$B$6," ", -1)</f>
        <v>Master</v>
      </c>
      <c r="T1101" t="str">
        <f>_xlfn.XLOOKUP(G1101,Lookup_Tables!$D$2:$D$5,Lookup_Tables!$E$2:$E$5)</f>
        <v>Low</v>
      </c>
      <c r="U1101" t="str">
        <f>_xlfn.XLOOKUP(H1101,Lookup_Tables!$D$2:$D$5,Lookup_Tables!$E$2:$E$5)</f>
        <v>Medium</v>
      </c>
      <c r="V1101" t="str">
        <f>_xlfn.XLOOKUP(L1101,Lookup_Tables!$D$2:$D$5,Lookup_Tables!$E$2:$E$5)</f>
        <v>High</v>
      </c>
    </row>
    <row r="1102" spans="1:22">
      <c r="A1102">
        <f>RAW_DATA!A1102</f>
        <v>35</v>
      </c>
      <c r="B1102" t="str">
        <f>RAW_DATA!B1102</f>
        <v>No</v>
      </c>
      <c r="C1102" t="str">
        <f>RAW_DATA!C1102</f>
        <v>Sales</v>
      </c>
      <c r="D1102">
        <f>RAW_DATA!D1102</f>
        <v>28</v>
      </c>
      <c r="E1102">
        <f>RAW_DATA!E1102</f>
        <v>4</v>
      </c>
      <c r="F1102" t="str">
        <f>RAW_DATA!F1102</f>
        <v>Life Sciences</v>
      </c>
      <c r="G1102">
        <f>RAW_DATA!G1102</f>
        <v>2</v>
      </c>
      <c r="H1102">
        <f>RAW_DATA!H1102</f>
        <v>3</v>
      </c>
      <c r="I1102" t="str">
        <f>RAW_DATA!I1102</f>
        <v>Married</v>
      </c>
      <c r="J1102">
        <f>RAW_DATA!J1102</f>
        <v>2430</v>
      </c>
      <c r="K1102">
        <f>RAW_DATA!K1102</f>
        <v>0</v>
      </c>
      <c r="L1102">
        <f>RAW_DATA!L1102</f>
        <v>3</v>
      </c>
      <c r="M1102">
        <f>RAW_DATA!M1102</f>
        <v>5</v>
      </c>
      <c r="N1102">
        <f t="shared" si="34"/>
        <v>0</v>
      </c>
      <c r="O1102" t="str">
        <f xml:space="preserve"> VLOOKUP(A1102, Lookup_Tables!$G$2:$H$6,2,TRUE)</f>
        <v>35-44</v>
      </c>
      <c r="P1102" t="str">
        <f>_xlfn.XLOOKUP(J1102,Lookup_Tables!$J$2:$J$4,Lookup_Tables!$K$2:$K$4, " ",-1)</f>
        <v>Low</v>
      </c>
      <c r="Q1102" t="str">
        <f xml:space="preserve"> _xlfn.XLOOKUP(M1102, Lookup_Tables!$M$2:$M$5,Lookup_Tables!$N$2:$N$5," ", -1)</f>
        <v>Established (5-10)</v>
      </c>
      <c r="R1102" s="4">
        <f t="shared" si="35"/>
        <v>2.6666666666666665</v>
      </c>
      <c r="S1102" t="str">
        <f xml:space="preserve"> _xlfn.XLOOKUP( E1102, Lookup_Tables!$A$2:$A$6,Lookup_Tables!$B$2:$B$6," ", -1)</f>
        <v>Master</v>
      </c>
      <c r="T1102" t="str">
        <f>_xlfn.XLOOKUP(G1102,Lookup_Tables!$D$2:$D$5,Lookup_Tables!$E$2:$E$5)</f>
        <v>Medium</v>
      </c>
      <c r="U1102" t="str">
        <f>_xlfn.XLOOKUP(H1102,Lookup_Tables!$D$2:$D$5,Lookup_Tables!$E$2:$E$5)</f>
        <v>High</v>
      </c>
      <c r="V1102" t="str">
        <f>_xlfn.XLOOKUP(L1102,Lookup_Tables!$D$2:$D$5,Lookup_Tables!$E$2:$E$5)</f>
        <v>High</v>
      </c>
    </row>
    <row r="1103" spans="1:22">
      <c r="A1103">
        <f>RAW_DATA!A1103</f>
        <v>32</v>
      </c>
      <c r="B1103" t="str">
        <f>RAW_DATA!B1103</f>
        <v>No</v>
      </c>
      <c r="C1103" t="str">
        <f>RAW_DATA!C1103</f>
        <v>Research &amp; Development</v>
      </c>
      <c r="D1103">
        <f>RAW_DATA!D1103</f>
        <v>5</v>
      </c>
      <c r="E1103">
        <f>RAW_DATA!E1103</f>
        <v>2</v>
      </c>
      <c r="F1103" t="str">
        <f>RAW_DATA!F1103</f>
        <v>Life Sciences</v>
      </c>
      <c r="G1103">
        <f>RAW_DATA!G1103</f>
        <v>4</v>
      </c>
      <c r="H1103">
        <f>RAW_DATA!H1103</f>
        <v>2</v>
      </c>
      <c r="I1103" t="str">
        <f>RAW_DATA!I1103</f>
        <v>Married</v>
      </c>
      <c r="J1103">
        <f>RAW_DATA!J1103</f>
        <v>5878</v>
      </c>
      <c r="K1103">
        <f>RAW_DATA!K1103</f>
        <v>3</v>
      </c>
      <c r="L1103">
        <f>RAW_DATA!L1103</f>
        <v>3</v>
      </c>
      <c r="M1103">
        <f>RAW_DATA!M1103</f>
        <v>7</v>
      </c>
      <c r="N1103">
        <f t="shared" si="34"/>
        <v>0</v>
      </c>
      <c r="O1103" t="str">
        <f xml:space="preserve"> VLOOKUP(A1103, Lookup_Tables!$G$2:$H$6,2,TRUE)</f>
        <v>25-34</v>
      </c>
      <c r="P1103" t="str">
        <f>_xlfn.XLOOKUP(J1103,Lookup_Tables!$J$2:$J$4,Lookup_Tables!$K$2:$K$4, " ",-1)</f>
        <v>Medium</v>
      </c>
      <c r="Q1103" t="str">
        <f xml:space="preserve"> _xlfn.XLOOKUP(M1103, Lookup_Tables!$M$2:$M$5,Lookup_Tables!$N$2:$N$5," ", -1)</f>
        <v>Established (5-10)</v>
      </c>
      <c r="R1103" s="4">
        <f t="shared" si="35"/>
        <v>3</v>
      </c>
      <c r="S1103" t="str">
        <f xml:space="preserve"> _xlfn.XLOOKUP( E1103, Lookup_Tables!$A$2:$A$6,Lookup_Tables!$B$2:$B$6," ", -1)</f>
        <v>College</v>
      </c>
      <c r="T1103" t="str">
        <f>_xlfn.XLOOKUP(G1103,Lookup_Tables!$D$2:$D$5,Lookup_Tables!$E$2:$E$5)</f>
        <v>Very High</v>
      </c>
      <c r="U1103" t="str">
        <f>_xlfn.XLOOKUP(H1103,Lookup_Tables!$D$2:$D$5,Lookup_Tables!$E$2:$E$5)</f>
        <v>Medium</v>
      </c>
      <c r="V1103" t="str">
        <f>_xlfn.XLOOKUP(L1103,Lookup_Tables!$D$2:$D$5,Lookup_Tables!$E$2:$E$5)</f>
        <v>High</v>
      </c>
    </row>
    <row r="1104" spans="1:22">
      <c r="A1104">
        <f>RAW_DATA!A1104</f>
        <v>36</v>
      </c>
      <c r="B1104" t="str">
        <f>RAW_DATA!B1104</f>
        <v>No</v>
      </c>
      <c r="C1104" t="str">
        <f>RAW_DATA!C1104</f>
        <v>Sales</v>
      </c>
      <c r="D1104">
        <f>RAW_DATA!D1104</f>
        <v>2</v>
      </c>
      <c r="E1104">
        <f>RAW_DATA!E1104</f>
        <v>4</v>
      </c>
      <c r="F1104" t="str">
        <f>RAW_DATA!F1104</f>
        <v>Life Sciences</v>
      </c>
      <c r="G1104">
        <f>RAW_DATA!G1104</f>
        <v>3</v>
      </c>
      <c r="H1104">
        <f>RAW_DATA!H1104</f>
        <v>4</v>
      </c>
      <c r="I1104" t="str">
        <f>RAW_DATA!I1104</f>
        <v>Single</v>
      </c>
      <c r="J1104">
        <f>RAW_DATA!J1104</f>
        <v>2644</v>
      </c>
      <c r="K1104">
        <f>RAW_DATA!K1104</f>
        <v>3</v>
      </c>
      <c r="L1104">
        <f>RAW_DATA!L1104</f>
        <v>2</v>
      </c>
      <c r="M1104">
        <f>RAW_DATA!M1104</f>
        <v>3</v>
      </c>
      <c r="N1104">
        <f t="shared" si="34"/>
        <v>0</v>
      </c>
      <c r="O1104" t="str">
        <f xml:space="preserve"> VLOOKUP(A1104, Lookup_Tables!$G$2:$H$6,2,TRUE)</f>
        <v>35-44</v>
      </c>
      <c r="P1104" t="str">
        <f>_xlfn.XLOOKUP(J1104,Lookup_Tables!$J$2:$J$4,Lookup_Tables!$K$2:$K$4, " ",-1)</f>
        <v>Low</v>
      </c>
      <c r="Q1104" t="str">
        <f xml:space="preserve"> _xlfn.XLOOKUP(M1104, Lookup_Tables!$M$2:$M$5,Lookup_Tables!$N$2:$N$5," ", -1)</f>
        <v>Early (2-5)</v>
      </c>
      <c r="R1104" s="4">
        <f t="shared" si="35"/>
        <v>3</v>
      </c>
      <c r="S1104" t="str">
        <f xml:space="preserve"> _xlfn.XLOOKUP( E1104, Lookup_Tables!$A$2:$A$6,Lookup_Tables!$B$2:$B$6," ", -1)</f>
        <v>Master</v>
      </c>
      <c r="T1104" t="str">
        <f>_xlfn.XLOOKUP(G1104,Lookup_Tables!$D$2:$D$5,Lookup_Tables!$E$2:$E$5)</f>
        <v>High</v>
      </c>
      <c r="U1104" t="str">
        <f>_xlfn.XLOOKUP(H1104,Lookup_Tables!$D$2:$D$5,Lookup_Tables!$E$2:$E$5)</f>
        <v>Very High</v>
      </c>
      <c r="V1104" t="str">
        <f>_xlfn.XLOOKUP(L1104,Lookup_Tables!$D$2:$D$5,Lookup_Tables!$E$2:$E$5)</f>
        <v>Medium</v>
      </c>
    </row>
    <row r="1105" spans="1:22">
      <c r="A1105">
        <f>RAW_DATA!A1105</f>
        <v>48</v>
      </c>
      <c r="B1105" t="str">
        <f>RAW_DATA!B1105</f>
        <v>No</v>
      </c>
      <c r="C1105" t="str">
        <f>RAW_DATA!C1105</f>
        <v>Sales</v>
      </c>
      <c r="D1105">
        <f>RAW_DATA!D1105</f>
        <v>16</v>
      </c>
      <c r="E1105">
        <f>RAW_DATA!E1105</f>
        <v>4</v>
      </c>
      <c r="F1105" t="str">
        <f>RAW_DATA!F1105</f>
        <v>Life Sciences</v>
      </c>
      <c r="G1105">
        <f>RAW_DATA!G1105</f>
        <v>3</v>
      </c>
      <c r="H1105">
        <f>RAW_DATA!H1105</f>
        <v>3</v>
      </c>
      <c r="I1105" t="str">
        <f>RAW_DATA!I1105</f>
        <v>Divorced</v>
      </c>
      <c r="J1105">
        <f>RAW_DATA!J1105</f>
        <v>6439</v>
      </c>
      <c r="K1105">
        <f>RAW_DATA!K1105</f>
        <v>8</v>
      </c>
      <c r="L1105">
        <f>RAW_DATA!L1105</f>
        <v>3</v>
      </c>
      <c r="M1105">
        <f>RAW_DATA!M1105</f>
        <v>8</v>
      </c>
      <c r="N1105">
        <f t="shared" si="34"/>
        <v>0</v>
      </c>
      <c r="O1105" t="str">
        <f xml:space="preserve"> VLOOKUP(A1105, Lookup_Tables!$G$2:$H$6,2,TRUE)</f>
        <v>45-54</v>
      </c>
      <c r="P1105" t="str">
        <f>_xlfn.XLOOKUP(J1105,Lookup_Tables!$J$2:$J$4,Lookup_Tables!$K$2:$K$4, " ",-1)</f>
        <v>Medium</v>
      </c>
      <c r="Q1105" t="str">
        <f xml:space="preserve"> _xlfn.XLOOKUP(M1105, Lookup_Tables!$M$2:$M$5,Lookup_Tables!$N$2:$N$5," ", -1)</f>
        <v>Established (5-10)</v>
      </c>
      <c r="R1105" s="4">
        <f t="shared" si="35"/>
        <v>3</v>
      </c>
      <c r="S1105" t="str">
        <f xml:space="preserve"> _xlfn.XLOOKUP( E1105, Lookup_Tables!$A$2:$A$6,Lookup_Tables!$B$2:$B$6," ", -1)</f>
        <v>Master</v>
      </c>
      <c r="T1105" t="str">
        <f>_xlfn.XLOOKUP(G1105,Lookup_Tables!$D$2:$D$5,Lookup_Tables!$E$2:$E$5)</f>
        <v>High</v>
      </c>
      <c r="U1105" t="str">
        <f>_xlfn.XLOOKUP(H1105,Lookup_Tables!$D$2:$D$5,Lookup_Tables!$E$2:$E$5)</f>
        <v>High</v>
      </c>
      <c r="V1105" t="str">
        <f>_xlfn.XLOOKUP(L1105,Lookup_Tables!$D$2:$D$5,Lookup_Tables!$E$2:$E$5)</f>
        <v>High</v>
      </c>
    </row>
    <row r="1106" spans="1:22">
      <c r="A1106">
        <f>RAW_DATA!A1106</f>
        <v>29</v>
      </c>
      <c r="B1106" t="str">
        <f>RAW_DATA!B1106</f>
        <v>No</v>
      </c>
      <c r="C1106" t="str">
        <f>RAW_DATA!C1106</f>
        <v>Research &amp; Development</v>
      </c>
      <c r="D1106">
        <f>RAW_DATA!D1106</f>
        <v>9</v>
      </c>
      <c r="E1106">
        <f>RAW_DATA!E1106</f>
        <v>3</v>
      </c>
      <c r="F1106" t="str">
        <f>RAW_DATA!F1106</f>
        <v>Life Sciences</v>
      </c>
      <c r="G1106">
        <f>RAW_DATA!G1106</f>
        <v>3</v>
      </c>
      <c r="H1106">
        <f>RAW_DATA!H1106</f>
        <v>3</v>
      </c>
      <c r="I1106" t="str">
        <f>RAW_DATA!I1106</f>
        <v>Married</v>
      </c>
      <c r="J1106">
        <f>RAW_DATA!J1106</f>
        <v>2451</v>
      </c>
      <c r="K1106">
        <f>RAW_DATA!K1106</f>
        <v>6</v>
      </c>
      <c r="L1106">
        <f>RAW_DATA!L1106</f>
        <v>2</v>
      </c>
      <c r="M1106">
        <f>RAW_DATA!M1106</f>
        <v>1</v>
      </c>
      <c r="N1106">
        <f t="shared" si="34"/>
        <v>0</v>
      </c>
      <c r="O1106" t="str">
        <f xml:space="preserve"> VLOOKUP(A1106, Lookup_Tables!$G$2:$H$6,2,TRUE)</f>
        <v>25-34</v>
      </c>
      <c r="P1106" t="str">
        <f>_xlfn.XLOOKUP(J1106,Lookup_Tables!$J$2:$J$4,Lookup_Tables!$K$2:$K$4, " ",-1)</f>
        <v>Low</v>
      </c>
      <c r="Q1106" t="str">
        <f xml:space="preserve"> _xlfn.XLOOKUP(M1106, Lookup_Tables!$M$2:$M$5,Lookup_Tables!$N$2:$N$5," ", -1)</f>
        <v>New (0-2)</v>
      </c>
      <c r="R1106" s="4">
        <f t="shared" si="35"/>
        <v>2.6666666666666665</v>
      </c>
      <c r="S1106" t="str">
        <f xml:space="preserve"> _xlfn.XLOOKUP( E1106, Lookup_Tables!$A$2:$A$6,Lookup_Tables!$B$2:$B$6," ", -1)</f>
        <v>Bachelor</v>
      </c>
      <c r="T1106" t="str">
        <f>_xlfn.XLOOKUP(G1106,Lookup_Tables!$D$2:$D$5,Lookup_Tables!$E$2:$E$5)</f>
        <v>High</v>
      </c>
      <c r="U1106" t="str">
        <f>_xlfn.XLOOKUP(H1106,Lookup_Tables!$D$2:$D$5,Lookup_Tables!$E$2:$E$5)</f>
        <v>High</v>
      </c>
      <c r="V1106" t="str">
        <f>_xlfn.XLOOKUP(L1106,Lookup_Tables!$D$2:$D$5,Lookup_Tables!$E$2:$E$5)</f>
        <v>Medium</v>
      </c>
    </row>
    <row r="1107" spans="1:22">
      <c r="A1107">
        <f>RAW_DATA!A1107</f>
        <v>33</v>
      </c>
      <c r="B1107" t="str">
        <f>RAW_DATA!B1107</f>
        <v>No</v>
      </c>
      <c r="C1107" t="str">
        <f>RAW_DATA!C1107</f>
        <v>Sales</v>
      </c>
      <c r="D1107">
        <f>RAW_DATA!D1107</f>
        <v>8</v>
      </c>
      <c r="E1107">
        <f>RAW_DATA!E1107</f>
        <v>4</v>
      </c>
      <c r="F1107" t="str">
        <f>RAW_DATA!F1107</f>
        <v>Life Sciences</v>
      </c>
      <c r="G1107">
        <f>RAW_DATA!G1107</f>
        <v>1</v>
      </c>
      <c r="H1107">
        <f>RAW_DATA!H1107</f>
        <v>1</v>
      </c>
      <c r="I1107" t="str">
        <f>RAW_DATA!I1107</f>
        <v>Married</v>
      </c>
      <c r="J1107">
        <f>RAW_DATA!J1107</f>
        <v>6392</v>
      </c>
      <c r="K1107">
        <f>RAW_DATA!K1107</f>
        <v>2</v>
      </c>
      <c r="L1107">
        <f>RAW_DATA!L1107</f>
        <v>1</v>
      </c>
      <c r="M1107">
        <f>RAW_DATA!M1107</f>
        <v>2</v>
      </c>
      <c r="N1107">
        <f t="shared" si="34"/>
        <v>0</v>
      </c>
      <c r="O1107" t="str">
        <f xml:space="preserve"> VLOOKUP(A1107, Lookup_Tables!$G$2:$H$6,2,TRUE)</f>
        <v>25-34</v>
      </c>
      <c r="P1107" t="str">
        <f>_xlfn.XLOOKUP(J1107,Lookup_Tables!$J$2:$J$4,Lookup_Tables!$K$2:$K$4, " ",-1)</f>
        <v>Medium</v>
      </c>
      <c r="Q1107" t="str">
        <f xml:space="preserve"> _xlfn.XLOOKUP(M1107, Lookup_Tables!$M$2:$M$5,Lookup_Tables!$N$2:$N$5," ", -1)</f>
        <v>Early (2-5)</v>
      </c>
      <c r="R1107" s="4">
        <f t="shared" si="35"/>
        <v>1</v>
      </c>
      <c r="S1107" t="str">
        <f xml:space="preserve"> _xlfn.XLOOKUP( E1107, Lookup_Tables!$A$2:$A$6,Lookup_Tables!$B$2:$B$6," ", -1)</f>
        <v>Master</v>
      </c>
      <c r="T1107" t="str">
        <f>_xlfn.XLOOKUP(G1107,Lookup_Tables!$D$2:$D$5,Lookup_Tables!$E$2:$E$5)</f>
        <v>Low</v>
      </c>
      <c r="U1107" t="str">
        <f>_xlfn.XLOOKUP(H1107,Lookup_Tables!$D$2:$D$5,Lookup_Tables!$E$2:$E$5)</f>
        <v>Low</v>
      </c>
      <c r="V1107" t="str">
        <f>_xlfn.XLOOKUP(L1107,Lookup_Tables!$D$2:$D$5,Lookup_Tables!$E$2:$E$5)</f>
        <v>Low</v>
      </c>
    </row>
    <row r="1108" spans="1:22">
      <c r="A1108">
        <f>RAW_DATA!A1108</f>
        <v>30</v>
      </c>
      <c r="B1108" t="str">
        <f>RAW_DATA!B1108</f>
        <v>Yes</v>
      </c>
      <c r="C1108" t="str">
        <f>RAW_DATA!C1108</f>
        <v>Sales</v>
      </c>
      <c r="D1108">
        <f>RAW_DATA!D1108</f>
        <v>1</v>
      </c>
      <c r="E1108">
        <f>RAW_DATA!E1108</f>
        <v>3</v>
      </c>
      <c r="F1108" t="str">
        <f>RAW_DATA!F1108</f>
        <v>Life Sciences</v>
      </c>
      <c r="G1108">
        <f>RAW_DATA!G1108</f>
        <v>2</v>
      </c>
      <c r="H1108">
        <f>RAW_DATA!H1108</f>
        <v>1</v>
      </c>
      <c r="I1108" t="str">
        <f>RAW_DATA!I1108</f>
        <v>Married</v>
      </c>
      <c r="J1108">
        <f>RAW_DATA!J1108</f>
        <v>9714</v>
      </c>
      <c r="K1108">
        <f>RAW_DATA!K1108</f>
        <v>1</v>
      </c>
      <c r="L1108">
        <f>RAW_DATA!L1108</f>
        <v>3</v>
      </c>
      <c r="M1108">
        <f>RAW_DATA!M1108</f>
        <v>10</v>
      </c>
      <c r="N1108">
        <f t="shared" si="34"/>
        <v>1</v>
      </c>
      <c r="O1108" t="str">
        <f xml:space="preserve"> VLOOKUP(A1108, Lookup_Tables!$G$2:$H$6,2,TRUE)</f>
        <v>25-34</v>
      </c>
      <c r="P1108" t="str">
        <f>_xlfn.XLOOKUP(J1108,Lookup_Tables!$J$2:$J$4,Lookup_Tables!$K$2:$K$4, " ",-1)</f>
        <v>High</v>
      </c>
      <c r="Q1108" t="str">
        <f xml:space="preserve"> _xlfn.XLOOKUP(M1108, Lookup_Tables!$M$2:$M$5,Lookup_Tables!$N$2:$N$5," ", -1)</f>
        <v>Veteran (10+)</v>
      </c>
      <c r="R1108" s="4">
        <f t="shared" si="35"/>
        <v>2</v>
      </c>
      <c r="S1108" t="str">
        <f xml:space="preserve"> _xlfn.XLOOKUP( E1108, Lookup_Tables!$A$2:$A$6,Lookup_Tables!$B$2:$B$6," ", -1)</f>
        <v>Bachelor</v>
      </c>
      <c r="T1108" t="str">
        <f>_xlfn.XLOOKUP(G1108,Lookup_Tables!$D$2:$D$5,Lookup_Tables!$E$2:$E$5)</f>
        <v>Medium</v>
      </c>
      <c r="U1108" t="str">
        <f>_xlfn.XLOOKUP(H1108,Lookup_Tables!$D$2:$D$5,Lookup_Tables!$E$2:$E$5)</f>
        <v>Low</v>
      </c>
      <c r="V1108" t="str">
        <f>_xlfn.XLOOKUP(L1108,Lookup_Tables!$D$2:$D$5,Lookup_Tables!$E$2:$E$5)</f>
        <v>High</v>
      </c>
    </row>
    <row r="1109" spans="1:22">
      <c r="A1109">
        <f>RAW_DATA!A1109</f>
        <v>38</v>
      </c>
      <c r="B1109" t="str">
        <f>RAW_DATA!B1109</f>
        <v>No</v>
      </c>
      <c r="C1109" t="str">
        <f>RAW_DATA!C1109</f>
        <v>Human Resources</v>
      </c>
      <c r="D1109">
        <f>RAW_DATA!D1109</f>
        <v>10</v>
      </c>
      <c r="E1109">
        <f>RAW_DATA!E1109</f>
        <v>4</v>
      </c>
      <c r="F1109" t="str">
        <f>RAW_DATA!F1109</f>
        <v>Human Resources</v>
      </c>
      <c r="G1109">
        <f>RAW_DATA!G1109</f>
        <v>3</v>
      </c>
      <c r="H1109">
        <f>RAW_DATA!H1109</f>
        <v>3</v>
      </c>
      <c r="I1109" t="str">
        <f>RAW_DATA!I1109</f>
        <v>Married</v>
      </c>
      <c r="J1109">
        <f>RAW_DATA!J1109</f>
        <v>6077</v>
      </c>
      <c r="K1109">
        <f>RAW_DATA!K1109</f>
        <v>3</v>
      </c>
      <c r="L1109">
        <f>RAW_DATA!L1109</f>
        <v>3</v>
      </c>
      <c r="M1109">
        <f>RAW_DATA!M1109</f>
        <v>6</v>
      </c>
      <c r="N1109">
        <f t="shared" si="34"/>
        <v>0</v>
      </c>
      <c r="O1109" t="str">
        <f xml:space="preserve"> VLOOKUP(A1109, Lookup_Tables!$G$2:$H$6,2,TRUE)</f>
        <v>35-44</v>
      </c>
      <c r="P1109" t="str">
        <f>_xlfn.XLOOKUP(J1109,Lookup_Tables!$J$2:$J$4,Lookup_Tables!$K$2:$K$4, " ",-1)</f>
        <v>Medium</v>
      </c>
      <c r="Q1109" t="str">
        <f xml:space="preserve"> _xlfn.XLOOKUP(M1109, Lookup_Tables!$M$2:$M$5,Lookup_Tables!$N$2:$N$5," ", -1)</f>
        <v>Established (5-10)</v>
      </c>
      <c r="R1109" s="4">
        <f t="shared" si="35"/>
        <v>3</v>
      </c>
      <c r="S1109" t="str">
        <f xml:space="preserve"> _xlfn.XLOOKUP( E1109, Lookup_Tables!$A$2:$A$6,Lookup_Tables!$B$2:$B$6," ", -1)</f>
        <v>Master</v>
      </c>
      <c r="T1109" t="str">
        <f>_xlfn.XLOOKUP(G1109,Lookup_Tables!$D$2:$D$5,Lookup_Tables!$E$2:$E$5)</f>
        <v>High</v>
      </c>
      <c r="U1109" t="str">
        <f>_xlfn.XLOOKUP(H1109,Lookup_Tables!$D$2:$D$5,Lookup_Tables!$E$2:$E$5)</f>
        <v>High</v>
      </c>
      <c r="V1109" t="str">
        <f>_xlfn.XLOOKUP(L1109,Lookup_Tables!$D$2:$D$5,Lookup_Tables!$E$2:$E$5)</f>
        <v>High</v>
      </c>
    </row>
    <row r="1110" spans="1:22">
      <c r="A1110">
        <f>RAW_DATA!A1110</f>
        <v>35</v>
      </c>
      <c r="B1110" t="str">
        <f>RAW_DATA!B1110</f>
        <v>No</v>
      </c>
      <c r="C1110" t="str">
        <f>RAW_DATA!C1110</f>
        <v>Research &amp; Development</v>
      </c>
      <c r="D1110">
        <f>RAW_DATA!D1110</f>
        <v>1</v>
      </c>
      <c r="E1110">
        <f>RAW_DATA!E1110</f>
        <v>3</v>
      </c>
      <c r="F1110" t="str">
        <f>RAW_DATA!F1110</f>
        <v>Medical</v>
      </c>
      <c r="G1110">
        <f>RAW_DATA!G1110</f>
        <v>4</v>
      </c>
      <c r="H1110">
        <f>RAW_DATA!H1110</f>
        <v>1</v>
      </c>
      <c r="I1110" t="str">
        <f>RAW_DATA!I1110</f>
        <v>Single</v>
      </c>
      <c r="J1110">
        <f>RAW_DATA!J1110</f>
        <v>2450</v>
      </c>
      <c r="K1110">
        <f>RAW_DATA!K1110</f>
        <v>1</v>
      </c>
      <c r="L1110">
        <f>RAW_DATA!L1110</f>
        <v>3</v>
      </c>
      <c r="M1110">
        <f>RAW_DATA!M1110</f>
        <v>3</v>
      </c>
      <c r="N1110">
        <f t="shared" si="34"/>
        <v>0</v>
      </c>
      <c r="O1110" t="str">
        <f xml:space="preserve"> VLOOKUP(A1110, Lookup_Tables!$G$2:$H$6,2,TRUE)</f>
        <v>35-44</v>
      </c>
      <c r="P1110" t="str">
        <f>_xlfn.XLOOKUP(J1110,Lookup_Tables!$J$2:$J$4,Lookup_Tables!$K$2:$K$4, " ",-1)</f>
        <v>Low</v>
      </c>
      <c r="Q1110" t="str">
        <f xml:space="preserve"> _xlfn.XLOOKUP(M1110, Lookup_Tables!$M$2:$M$5,Lookup_Tables!$N$2:$N$5," ", -1)</f>
        <v>Early (2-5)</v>
      </c>
      <c r="R1110" s="4">
        <f t="shared" si="35"/>
        <v>2.6666666666666665</v>
      </c>
      <c r="S1110" t="str">
        <f xml:space="preserve"> _xlfn.XLOOKUP( E1110, Lookup_Tables!$A$2:$A$6,Lookup_Tables!$B$2:$B$6," ", -1)</f>
        <v>Bachelor</v>
      </c>
      <c r="T1110" t="str">
        <f>_xlfn.XLOOKUP(G1110,Lookup_Tables!$D$2:$D$5,Lookup_Tables!$E$2:$E$5)</f>
        <v>Very High</v>
      </c>
      <c r="U1110" t="str">
        <f>_xlfn.XLOOKUP(H1110,Lookup_Tables!$D$2:$D$5,Lookup_Tables!$E$2:$E$5)</f>
        <v>Low</v>
      </c>
      <c r="V1110" t="str">
        <f>_xlfn.XLOOKUP(L1110,Lookup_Tables!$D$2:$D$5,Lookup_Tables!$E$2:$E$5)</f>
        <v>High</v>
      </c>
    </row>
    <row r="1111" spans="1:22">
      <c r="A1111">
        <f>RAW_DATA!A1111</f>
        <v>30</v>
      </c>
      <c r="B1111" t="str">
        <f>RAW_DATA!B1111</f>
        <v>No</v>
      </c>
      <c r="C1111" t="str">
        <f>RAW_DATA!C1111</f>
        <v>Sales</v>
      </c>
      <c r="D1111">
        <f>RAW_DATA!D1111</f>
        <v>29</v>
      </c>
      <c r="E1111">
        <f>RAW_DATA!E1111</f>
        <v>4</v>
      </c>
      <c r="F1111" t="str">
        <f>RAW_DATA!F1111</f>
        <v>Technical Degree</v>
      </c>
      <c r="G1111">
        <f>RAW_DATA!G1111</f>
        <v>3</v>
      </c>
      <c r="H1111">
        <f>RAW_DATA!H1111</f>
        <v>2</v>
      </c>
      <c r="I1111" t="str">
        <f>RAW_DATA!I1111</f>
        <v>Married</v>
      </c>
      <c r="J1111">
        <f>RAW_DATA!J1111</f>
        <v>9250</v>
      </c>
      <c r="K1111">
        <f>RAW_DATA!K1111</f>
        <v>3</v>
      </c>
      <c r="L1111">
        <f>RAW_DATA!L1111</f>
        <v>3</v>
      </c>
      <c r="M1111">
        <f>RAW_DATA!M1111</f>
        <v>4</v>
      </c>
      <c r="N1111">
        <f t="shared" si="34"/>
        <v>0</v>
      </c>
      <c r="O1111" t="str">
        <f xml:space="preserve"> VLOOKUP(A1111, Lookup_Tables!$G$2:$H$6,2,TRUE)</f>
        <v>25-34</v>
      </c>
      <c r="P1111" t="str">
        <f>_xlfn.XLOOKUP(J1111,Lookup_Tables!$J$2:$J$4,Lookup_Tables!$K$2:$K$4, " ",-1)</f>
        <v>High</v>
      </c>
      <c r="Q1111" t="str">
        <f xml:space="preserve"> _xlfn.XLOOKUP(M1111, Lookup_Tables!$M$2:$M$5,Lookup_Tables!$N$2:$N$5," ", -1)</f>
        <v>Early (2-5)</v>
      </c>
      <c r="R1111" s="4">
        <f t="shared" si="35"/>
        <v>2.6666666666666665</v>
      </c>
      <c r="S1111" t="str">
        <f xml:space="preserve"> _xlfn.XLOOKUP( E1111, Lookup_Tables!$A$2:$A$6,Lookup_Tables!$B$2:$B$6," ", -1)</f>
        <v>Master</v>
      </c>
      <c r="T1111" t="str">
        <f>_xlfn.XLOOKUP(G1111,Lookup_Tables!$D$2:$D$5,Lookup_Tables!$E$2:$E$5)</f>
        <v>High</v>
      </c>
      <c r="U1111" t="str">
        <f>_xlfn.XLOOKUP(H1111,Lookup_Tables!$D$2:$D$5,Lookup_Tables!$E$2:$E$5)</f>
        <v>Medium</v>
      </c>
      <c r="V1111" t="str">
        <f>_xlfn.XLOOKUP(L1111,Lookup_Tables!$D$2:$D$5,Lookup_Tables!$E$2:$E$5)</f>
        <v>High</v>
      </c>
    </row>
    <row r="1112" spans="1:22">
      <c r="A1112">
        <f>RAW_DATA!A1112</f>
        <v>35</v>
      </c>
      <c r="B1112" t="str">
        <f>RAW_DATA!B1112</f>
        <v>Yes</v>
      </c>
      <c r="C1112" t="str">
        <f>RAW_DATA!C1112</f>
        <v>Research &amp; Development</v>
      </c>
      <c r="D1112">
        <f>RAW_DATA!D1112</f>
        <v>2</v>
      </c>
      <c r="E1112">
        <f>RAW_DATA!E1112</f>
        <v>3</v>
      </c>
      <c r="F1112" t="str">
        <f>RAW_DATA!F1112</f>
        <v>Life Sciences</v>
      </c>
      <c r="G1112">
        <f>RAW_DATA!G1112</f>
        <v>1</v>
      </c>
      <c r="H1112">
        <f>RAW_DATA!H1112</f>
        <v>1</v>
      </c>
      <c r="I1112" t="str">
        <f>RAW_DATA!I1112</f>
        <v>Divorced</v>
      </c>
      <c r="J1112">
        <f>RAW_DATA!J1112</f>
        <v>2074</v>
      </c>
      <c r="K1112">
        <f>RAW_DATA!K1112</f>
        <v>1</v>
      </c>
      <c r="L1112">
        <f>RAW_DATA!L1112</f>
        <v>3</v>
      </c>
      <c r="M1112">
        <f>RAW_DATA!M1112</f>
        <v>1</v>
      </c>
      <c r="N1112">
        <f t="shared" si="34"/>
        <v>1</v>
      </c>
      <c r="O1112" t="str">
        <f xml:space="preserve"> VLOOKUP(A1112, Lookup_Tables!$G$2:$H$6,2,TRUE)</f>
        <v>35-44</v>
      </c>
      <c r="P1112" t="str">
        <f>_xlfn.XLOOKUP(J1112,Lookup_Tables!$J$2:$J$4,Lookup_Tables!$K$2:$K$4, " ",-1)</f>
        <v>Low</v>
      </c>
      <c r="Q1112" t="str">
        <f xml:space="preserve"> _xlfn.XLOOKUP(M1112, Lookup_Tables!$M$2:$M$5,Lookup_Tables!$N$2:$N$5," ", -1)</f>
        <v>New (0-2)</v>
      </c>
      <c r="R1112" s="4">
        <f t="shared" si="35"/>
        <v>1.6666666666666667</v>
      </c>
      <c r="S1112" t="str">
        <f xml:space="preserve"> _xlfn.XLOOKUP( E1112, Lookup_Tables!$A$2:$A$6,Lookup_Tables!$B$2:$B$6," ", -1)</f>
        <v>Bachelor</v>
      </c>
      <c r="T1112" t="str">
        <f>_xlfn.XLOOKUP(G1112,Lookup_Tables!$D$2:$D$5,Lookup_Tables!$E$2:$E$5)</f>
        <v>Low</v>
      </c>
      <c r="U1112" t="str">
        <f>_xlfn.XLOOKUP(H1112,Lookup_Tables!$D$2:$D$5,Lookup_Tables!$E$2:$E$5)</f>
        <v>Low</v>
      </c>
      <c r="V1112" t="str">
        <f>_xlfn.XLOOKUP(L1112,Lookup_Tables!$D$2:$D$5,Lookup_Tables!$E$2:$E$5)</f>
        <v>High</v>
      </c>
    </row>
    <row r="1113" spans="1:22">
      <c r="A1113">
        <f>RAW_DATA!A1113</f>
        <v>53</v>
      </c>
      <c r="B1113" t="str">
        <f>RAW_DATA!B1113</f>
        <v>Yes</v>
      </c>
      <c r="C1113" t="str">
        <f>RAW_DATA!C1113</f>
        <v>Research &amp; Development</v>
      </c>
      <c r="D1113">
        <f>RAW_DATA!D1113</f>
        <v>2</v>
      </c>
      <c r="E1113">
        <f>RAW_DATA!E1113</f>
        <v>5</v>
      </c>
      <c r="F1113" t="str">
        <f>RAW_DATA!F1113</f>
        <v>Technical Degree</v>
      </c>
      <c r="G1113">
        <f>RAW_DATA!G1113</f>
        <v>3</v>
      </c>
      <c r="H1113">
        <f>RAW_DATA!H1113</f>
        <v>4</v>
      </c>
      <c r="I1113" t="str">
        <f>RAW_DATA!I1113</f>
        <v>Married</v>
      </c>
      <c r="J1113">
        <f>RAW_DATA!J1113</f>
        <v>10169</v>
      </c>
      <c r="K1113">
        <f>RAW_DATA!K1113</f>
        <v>0</v>
      </c>
      <c r="L1113">
        <f>RAW_DATA!L1113</f>
        <v>3</v>
      </c>
      <c r="M1113">
        <f>RAW_DATA!M1113</f>
        <v>33</v>
      </c>
      <c r="N1113">
        <f t="shared" si="34"/>
        <v>1</v>
      </c>
      <c r="O1113" t="str">
        <f xml:space="preserve"> VLOOKUP(A1113, Lookup_Tables!$G$2:$H$6,2,TRUE)</f>
        <v>45-54</v>
      </c>
      <c r="P1113" t="str">
        <f>_xlfn.XLOOKUP(J1113,Lookup_Tables!$J$2:$J$4,Lookup_Tables!$K$2:$K$4, " ",-1)</f>
        <v>High</v>
      </c>
      <c r="Q1113" t="str">
        <f xml:space="preserve"> _xlfn.XLOOKUP(M1113, Lookup_Tables!$M$2:$M$5,Lookup_Tables!$N$2:$N$5," ", -1)</f>
        <v>Veteran (10+)</v>
      </c>
      <c r="R1113" s="4">
        <f t="shared" si="35"/>
        <v>3.3333333333333335</v>
      </c>
      <c r="S1113" t="str">
        <f xml:space="preserve"> _xlfn.XLOOKUP( E1113, Lookup_Tables!$A$2:$A$6,Lookup_Tables!$B$2:$B$6," ", -1)</f>
        <v>Doctor</v>
      </c>
      <c r="T1113" t="str">
        <f>_xlfn.XLOOKUP(G1113,Lookup_Tables!$D$2:$D$5,Lookup_Tables!$E$2:$E$5)</f>
        <v>High</v>
      </c>
      <c r="U1113" t="str">
        <f>_xlfn.XLOOKUP(H1113,Lookup_Tables!$D$2:$D$5,Lookup_Tables!$E$2:$E$5)</f>
        <v>Very High</v>
      </c>
      <c r="V1113" t="str">
        <f>_xlfn.XLOOKUP(L1113,Lookup_Tables!$D$2:$D$5,Lookup_Tables!$E$2:$E$5)</f>
        <v>High</v>
      </c>
    </row>
    <row r="1114" spans="1:22">
      <c r="A1114">
        <f>RAW_DATA!A1114</f>
        <v>38</v>
      </c>
      <c r="B1114" t="str">
        <f>RAW_DATA!B1114</f>
        <v>Yes</v>
      </c>
      <c r="C1114" t="str">
        <f>RAW_DATA!C1114</f>
        <v>Research &amp; Development</v>
      </c>
      <c r="D1114">
        <f>RAW_DATA!D1114</f>
        <v>2</v>
      </c>
      <c r="E1114">
        <f>RAW_DATA!E1114</f>
        <v>3</v>
      </c>
      <c r="F1114" t="str">
        <f>RAW_DATA!F1114</f>
        <v>Medical</v>
      </c>
      <c r="G1114">
        <f>RAW_DATA!G1114</f>
        <v>3</v>
      </c>
      <c r="H1114">
        <f>RAW_DATA!H1114</f>
        <v>2</v>
      </c>
      <c r="I1114" t="str">
        <f>RAW_DATA!I1114</f>
        <v>Married</v>
      </c>
      <c r="J1114">
        <f>RAW_DATA!J1114</f>
        <v>4855</v>
      </c>
      <c r="K1114">
        <f>RAW_DATA!K1114</f>
        <v>4</v>
      </c>
      <c r="L1114">
        <f>RAW_DATA!L1114</f>
        <v>3</v>
      </c>
      <c r="M1114">
        <f>RAW_DATA!M1114</f>
        <v>5</v>
      </c>
      <c r="N1114">
        <f t="shared" si="34"/>
        <v>1</v>
      </c>
      <c r="O1114" t="str">
        <f xml:space="preserve"> VLOOKUP(A1114, Lookup_Tables!$G$2:$H$6,2,TRUE)</f>
        <v>35-44</v>
      </c>
      <c r="P1114" t="str">
        <f>_xlfn.XLOOKUP(J1114,Lookup_Tables!$J$2:$J$4,Lookup_Tables!$K$2:$K$4, " ",-1)</f>
        <v>Medium</v>
      </c>
      <c r="Q1114" t="str">
        <f xml:space="preserve"> _xlfn.XLOOKUP(M1114, Lookup_Tables!$M$2:$M$5,Lookup_Tables!$N$2:$N$5," ", -1)</f>
        <v>Established (5-10)</v>
      </c>
      <c r="R1114" s="4">
        <f t="shared" si="35"/>
        <v>2.6666666666666665</v>
      </c>
      <c r="S1114" t="str">
        <f xml:space="preserve"> _xlfn.XLOOKUP( E1114, Lookup_Tables!$A$2:$A$6,Lookup_Tables!$B$2:$B$6," ", -1)</f>
        <v>Bachelor</v>
      </c>
      <c r="T1114" t="str">
        <f>_xlfn.XLOOKUP(G1114,Lookup_Tables!$D$2:$D$5,Lookup_Tables!$E$2:$E$5)</f>
        <v>High</v>
      </c>
      <c r="U1114" t="str">
        <f>_xlfn.XLOOKUP(H1114,Lookup_Tables!$D$2:$D$5,Lookup_Tables!$E$2:$E$5)</f>
        <v>Medium</v>
      </c>
      <c r="V1114" t="str">
        <f>_xlfn.XLOOKUP(L1114,Lookup_Tables!$D$2:$D$5,Lookup_Tables!$E$2:$E$5)</f>
        <v>High</v>
      </c>
    </row>
    <row r="1115" spans="1:22">
      <c r="A1115">
        <f>RAW_DATA!A1115</f>
        <v>32</v>
      </c>
      <c r="B1115" t="str">
        <f>RAW_DATA!B1115</f>
        <v>No</v>
      </c>
      <c r="C1115" t="str">
        <f>RAW_DATA!C1115</f>
        <v>Research &amp; Development</v>
      </c>
      <c r="D1115">
        <f>RAW_DATA!D1115</f>
        <v>1</v>
      </c>
      <c r="E1115">
        <f>RAW_DATA!E1115</f>
        <v>4</v>
      </c>
      <c r="F1115" t="str">
        <f>RAW_DATA!F1115</f>
        <v>Technical Degree</v>
      </c>
      <c r="G1115">
        <f>RAW_DATA!G1115</f>
        <v>4</v>
      </c>
      <c r="H1115">
        <f>RAW_DATA!H1115</f>
        <v>1</v>
      </c>
      <c r="I1115" t="str">
        <f>RAW_DATA!I1115</f>
        <v>Married</v>
      </c>
      <c r="J1115">
        <f>RAW_DATA!J1115</f>
        <v>4087</v>
      </c>
      <c r="K1115">
        <f>RAW_DATA!K1115</f>
        <v>4</v>
      </c>
      <c r="L1115">
        <f>RAW_DATA!L1115</f>
        <v>2</v>
      </c>
      <c r="M1115">
        <f>RAW_DATA!M1115</f>
        <v>6</v>
      </c>
      <c r="N1115">
        <f t="shared" si="34"/>
        <v>0</v>
      </c>
      <c r="O1115" t="str">
        <f xml:space="preserve"> VLOOKUP(A1115, Lookup_Tables!$G$2:$H$6,2,TRUE)</f>
        <v>25-34</v>
      </c>
      <c r="P1115" t="str">
        <f>_xlfn.XLOOKUP(J1115,Lookup_Tables!$J$2:$J$4,Lookup_Tables!$K$2:$K$4, " ",-1)</f>
        <v>Medium</v>
      </c>
      <c r="Q1115" t="str">
        <f xml:space="preserve"> _xlfn.XLOOKUP(M1115, Lookup_Tables!$M$2:$M$5,Lookup_Tables!$N$2:$N$5," ", -1)</f>
        <v>Established (5-10)</v>
      </c>
      <c r="R1115" s="4">
        <f t="shared" si="35"/>
        <v>2.3333333333333335</v>
      </c>
      <c r="S1115" t="str">
        <f xml:space="preserve"> _xlfn.XLOOKUP( E1115, Lookup_Tables!$A$2:$A$6,Lookup_Tables!$B$2:$B$6," ", -1)</f>
        <v>Master</v>
      </c>
      <c r="T1115" t="str">
        <f>_xlfn.XLOOKUP(G1115,Lookup_Tables!$D$2:$D$5,Lookup_Tables!$E$2:$E$5)</f>
        <v>Very High</v>
      </c>
      <c r="U1115" t="str">
        <f>_xlfn.XLOOKUP(H1115,Lookup_Tables!$D$2:$D$5,Lookup_Tables!$E$2:$E$5)</f>
        <v>Low</v>
      </c>
      <c r="V1115" t="str">
        <f>_xlfn.XLOOKUP(L1115,Lookup_Tables!$D$2:$D$5,Lookup_Tables!$E$2:$E$5)</f>
        <v>Medium</v>
      </c>
    </row>
    <row r="1116" spans="1:22">
      <c r="A1116">
        <f>RAW_DATA!A1116</f>
        <v>48</v>
      </c>
      <c r="B1116" t="str">
        <f>RAW_DATA!B1116</f>
        <v>No</v>
      </c>
      <c r="C1116" t="str">
        <f>RAW_DATA!C1116</f>
        <v>Research &amp; Development</v>
      </c>
      <c r="D1116">
        <f>RAW_DATA!D1116</f>
        <v>15</v>
      </c>
      <c r="E1116">
        <f>RAW_DATA!E1116</f>
        <v>4</v>
      </c>
      <c r="F1116" t="str">
        <f>RAW_DATA!F1116</f>
        <v>Other</v>
      </c>
      <c r="G1116">
        <f>RAW_DATA!G1116</f>
        <v>3</v>
      </c>
      <c r="H1116">
        <f>RAW_DATA!H1116</f>
        <v>1</v>
      </c>
      <c r="I1116" t="str">
        <f>RAW_DATA!I1116</f>
        <v>Married</v>
      </c>
      <c r="J1116">
        <f>RAW_DATA!J1116</f>
        <v>2367</v>
      </c>
      <c r="K1116">
        <f>RAW_DATA!K1116</f>
        <v>8</v>
      </c>
      <c r="L1116">
        <f>RAW_DATA!L1116</f>
        <v>2</v>
      </c>
      <c r="M1116">
        <f>RAW_DATA!M1116</f>
        <v>8</v>
      </c>
      <c r="N1116">
        <f t="shared" si="34"/>
        <v>0</v>
      </c>
      <c r="O1116" t="str">
        <f xml:space="preserve"> VLOOKUP(A1116, Lookup_Tables!$G$2:$H$6,2,TRUE)</f>
        <v>45-54</v>
      </c>
      <c r="P1116" t="str">
        <f>_xlfn.XLOOKUP(J1116,Lookup_Tables!$J$2:$J$4,Lookup_Tables!$K$2:$K$4, " ",-1)</f>
        <v>Low</v>
      </c>
      <c r="Q1116" t="str">
        <f xml:space="preserve"> _xlfn.XLOOKUP(M1116, Lookup_Tables!$M$2:$M$5,Lookup_Tables!$N$2:$N$5," ", -1)</f>
        <v>Established (5-10)</v>
      </c>
      <c r="R1116" s="4">
        <f t="shared" si="35"/>
        <v>2</v>
      </c>
      <c r="S1116" t="str">
        <f xml:space="preserve"> _xlfn.XLOOKUP( E1116, Lookup_Tables!$A$2:$A$6,Lookup_Tables!$B$2:$B$6," ", -1)</f>
        <v>Master</v>
      </c>
      <c r="T1116" t="str">
        <f>_xlfn.XLOOKUP(G1116,Lookup_Tables!$D$2:$D$5,Lookup_Tables!$E$2:$E$5)</f>
        <v>High</v>
      </c>
      <c r="U1116" t="str">
        <f>_xlfn.XLOOKUP(H1116,Lookup_Tables!$D$2:$D$5,Lookup_Tables!$E$2:$E$5)</f>
        <v>Low</v>
      </c>
      <c r="V1116" t="str">
        <f>_xlfn.XLOOKUP(L1116,Lookup_Tables!$D$2:$D$5,Lookup_Tables!$E$2:$E$5)</f>
        <v>Medium</v>
      </c>
    </row>
    <row r="1117" spans="1:22">
      <c r="A1117">
        <f>RAW_DATA!A1117</f>
        <v>34</v>
      </c>
      <c r="B1117" t="str">
        <f>RAW_DATA!B1117</f>
        <v>No</v>
      </c>
      <c r="C1117" t="str">
        <f>RAW_DATA!C1117</f>
        <v>Research &amp; Development</v>
      </c>
      <c r="D1117">
        <f>RAW_DATA!D1117</f>
        <v>7</v>
      </c>
      <c r="E1117">
        <f>RAW_DATA!E1117</f>
        <v>4</v>
      </c>
      <c r="F1117" t="str">
        <f>RAW_DATA!F1117</f>
        <v>Medical</v>
      </c>
      <c r="G1117">
        <f>RAW_DATA!G1117</f>
        <v>1</v>
      </c>
      <c r="H1117">
        <f>RAW_DATA!H1117</f>
        <v>4</v>
      </c>
      <c r="I1117" t="str">
        <f>RAW_DATA!I1117</f>
        <v>Single</v>
      </c>
      <c r="J1117">
        <f>RAW_DATA!J1117</f>
        <v>2972</v>
      </c>
      <c r="K1117">
        <f>RAW_DATA!K1117</f>
        <v>1</v>
      </c>
      <c r="L1117">
        <f>RAW_DATA!L1117</f>
        <v>1</v>
      </c>
      <c r="M1117">
        <f>RAW_DATA!M1117</f>
        <v>1</v>
      </c>
      <c r="N1117">
        <f t="shared" si="34"/>
        <v>0</v>
      </c>
      <c r="O1117" t="str">
        <f xml:space="preserve"> VLOOKUP(A1117, Lookup_Tables!$G$2:$H$6,2,TRUE)</f>
        <v>25-34</v>
      </c>
      <c r="P1117" t="str">
        <f>_xlfn.XLOOKUP(J1117,Lookup_Tables!$J$2:$J$4,Lookup_Tables!$K$2:$K$4, " ",-1)</f>
        <v>Low</v>
      </c>
      <c r="Q1117" t="str">
        <f xml:space="preserve"> _xlfn.XLOOKUP(M1117, Lookup_Tables!$M$2:$M$5,Lookup_Tables!$N$2:$N$5," ", -1)</f>
        <v>New (0-2)</v>
      </c>
      <c r="R1117" s="4">
        <f t="shared" si="35"/>
        <v>2</v>
      </c>
      <c r="S1117" t="str">
        <f xml:space="preserve"> _xlfn.XLOOKUP( E1117, Lookup_Tables!$A$2:$A$6,Lookup_Tables!$B$2:$B$6," ", -1)</f>
        <v>Master</v>
      </c>
      <c r="T1117" t="str">
        <f>_xlfn.XLOOKUP(G1117,Lookup_Tables!$D$2:$D$5,Lookup_Tables!$E$2:$E$5)</f>
        <v>Low</v>
      </c>
      <c r="U1117" t="str">
        <f>_xlfn.XLOOKUP(H1117,Lookup_Tables!$D$2:$D$5,Lookup_Tables!$E$2:$E$5)</f>
        <v>Very High</v>
      </c>
      <c r="V1117" t="str">
        <f>_xlfn.XLOOKUP(L1117,Lookup_Tables!$D$2:$D$5,Lookup_Tables!$E$2:$E$5)</f>
        <v>Low</v>
      </c>
    </row>
    <row r="1118" spans="1:22">
      <c r="A1118">
        <f>RAW_DATA!A1118</f>
        <v>55</v>
      </c>
      <c r="B1118" t="str">
        <f>RAW_DATA!B1118</f>
        <v>No</v>
      </c>
      <c r="C1118" t="str">
        <f>RAW_DATA!C1118</f>
        <v>Sales</v>
      </c>
      <c r="D1118">
        <f>RAW_DATA!D1118</f>
        <v>26</v>
      </c>
      <c r="E1118">
        <f>RAW_DATA!E1118</f>
        <v>5</v>
      </c>
      <c r="F1118" t="str">
        <f>RAW_DATA!F1118</f>
        <v>Marketing</v>
      </c>
      <c r="G1118">
        <f>RAW_DATA!G1118</f>
        <v>3</v>
      </c>
      <c r="H1118">
        <f>RAW_DATA!H1118</f>
        <v>4</v>
      </c>
      <c r="I1118" t="str">
        <f>RAW_DATA!I1118</f>
        <v>Married</v>
      </c>
      <c r="J1118">
        <f>RAW_DATA!J1118</f>
        <v>19586</v>
      </c>
      <c r="K1118">
        <f>RAW_DATA!K1118</f>
        <v>1</v>
      </c>
      <c r="L1118">
        <f>RAW_DATA!L1118</f>
        <v>3</v>
      </c>
      <c r="M1118">
        <f>RAW_DATA!M1118</f>
        <v>36</v>
      </c>
      <c r="N1118">
        <f t="shared" si="34"/>
        <v>0</v>
      </c>
      <c r="O1118" t="str">
        <f xml:space="preserve"> VLOOKUP(A1118, Lookup_Tables!$G$2:$H$6,2,TRUE)</f>
        <v>55+</v>
      </c>
      <c r="P1118" t="str">
        <f>_xlfn.XLOOKUP(J1118,Lookup_Tables!$J$2:$J$4,Lookup_Tables!$K$2:$K$4, " ",-1)</f>
        <v>High</v>
      </c>
      <c r="Q1118" t="str">
        <f xml:space="preserve"> _xlfn.XLOOKUP(M1118, Lookup_Tables!$M$2:$M$5,Lookup_Tables!$N$2:$N$5," ", -1)</f>
        <v>Veteran (10+)</v>
      </c>
      <c r="R1118" s="4">
        <f t="shared" si="35"/>
        <v>3.3333333333333335</v>
      </c>
      <c r="S1118" t="str">
        <f xml:space="preserve"> _xlfn.XLOOKUP( E1118, Lookup_Tables!$A$2:$A$6,Lookup_Tables!$B$2:$B$6," ", -1)</f>
        <v>Doctor</v>
      </c>
      <c r="T1118" t="str">
        <f>_xlfn.XLOOKUP(G1118,Lookup_Tables!$D$2:$D$5,Lookup_Tables!$E$2:$E$5)</f>
        <v>High</v>
      </c>
      <c r="U1118" t="str">
        <f>_xlfn.XLOOKUP(H1118,Lookup_Tables!$D$2:$D$5,Lookup_Tables!$E$2:$E$5)</f>
        <v>Very High</v>
      </c>
      <c r="V1118" t="str">
        <f>_xlfn.XLOOKUP(L1118,Lookup_Tables!$D$2:$D$5,Lookup_Tables!$E$2:$E$5)</f>
        <v>High</v>
      </c>
    </row>
    <row r="1119" spans="1:22">
      <c r="A1119">
        <f>RAW_DATA!A1119</f>
        <v>34</v>
      </c>
      <c r="B1119" t="str">
        <f>RAW_DATA!B1119</f>
        <v>No</v>
      </c>
      <c r="C1119" t="str">
        <f>RAW_DATA!C1119</f>
        <v>Research &amp; Development</v>
      </c>
      <c r="D1119">
        <f>RAW_DATA!D1119</f>
        <v>1</v>
      </c>
      <c r="E1119">
        <f>RAW_DATA!E1119</f>
        <v>4</v>
      </c>
      <c r="F1119" t="str">
        <f>RAW_DATA!F1119</f>
        <v>Life Sciences</v>
      </c>
      <c r="G1119">
        <f>RAW_DATA!G1119</f>
        <v>2</v>
      </c>
      <c r="H1119">
        <f>RAW_DATA!H1119</f>
        <v>4</v>
      </c>
      <c r="I1119" t="str">
        <f>RAW_DATA!I1119</f>
        <v>Married</v>
      </c>
      <c r="J1119">
        <f>RAW_DATA!J1119</f>
        <v>5484</v>
      </c>
      <c r="K1119">
        <f>RAW_DATA!K1119</f>
        <v>9</v>
      </c>
      <c r="L1119">
        <f>RAW_DATA!L1119</f>
        <v>2</v>
      </c>
      <c r="M1119">
        <f>RAW_DATA!M1119</f>
        <v>2</v>
      </c>
      <c r="N1119">
        <f t="shared" si="34"/>
        <v>0</v>
      </c>
      <c r="O1119" t="str">
        <f xml:space="preserve"> VLOOKUP(A1119, Lookup_Tables!$G$2:$H$6,2,TRUE)</f>
        <v>25-34</v>
      </c>
      <c r="P1119" t="str">
        <f>_xlfn.XLOOKUP(J1119,Lookup_Tables!$J$2:$J$4,Lookup_Tables!$K$2:$K$4, " ",-1)</f>
        <v>Medium</v>
      </c>
      <c r="Q1119" t="str">
        <f xml:space="preserve"> _xlfn.XLOOKUP(M1119, Lookup_Tables!$M$2:$M$5,Lookup_Tables!$N$2:$N$5," ", -1)</f>
        <v>Early (2-5)</v>
      </c>
      <c r="R1119" s="4">
        <f t="shared" si="35"/>
        <v>2.6666666666666665</v>
      </c>
      <c r="S1119" t="str">
        <f xml:space="preserve"> _xlfn.XLOOKUP( E1119, Lookup_Tables!$A$2:$A$6,Lookup_Tables!$B$2:$B$6," ", -1)</f>
        <v>Master</v>
      </c>
      <c r="T1119" t="str">
        <f>_xlfn.XLOOKUP(G1119,Lookup_Tables!$D$2:$D$5,Lookup_Tables!$E$2:$E$5)</f>
        <v>Medium</v>
      </c>
      <c r="U1119" t="str">
        <f>_xlfn.XLOOKUP(H1119,Lookup_Tables!$D$2:$D$5,Lookup_Tables!$E$2:$E$5)</f>
        <v>Very High</v>
      </c>
      <c r="V1119" t="str">
        <f>_xlfn.XLOOKUP(L1119,Lookup_Tables!$D$2:$D$5,Lookup_Tables!$E$2:$E$5)</f>
        <v>Medium</v>
      </c>
    </row>
    <row r="1120" spans="1:22">
      <c r="A1120">
        <f>RAW_DATA!A1120</f>
        <v>26</v>
      </c>
      <c r="B1120" t="str">
        <f>RAW_DATA!B1120</f>
        <v>No</v>
      </c>
      <c r="C1120" t="str">
        <f>RAW_DATA!C1120</f>
        <v>Research &amp; Development</v>
      </c>
      <c r="D1120">
        <f>RAW_DATA!D1120</f>
        <v>3</v>
      </c>
      <c r="E1120">
        <f>RAW_DATA!E1120</f>
        <v>3</v>
      </c>
      <c r="F1120" t="str">
        <f>RAW_DATA!F1120</f>
        <v>Life Sciences</v>
      </c>
      <c r="G1120">
        <f>RAW_DATA!G1120</f>
        <v>1</v>
      </c>
      <c r="H1120">
        <f>RAW_DATA!H1120</f>
        <v>4</v>
      </c>
      <c r="I1120" t="str">
        <f>RAW_DATA!I1120</f>
        <v>Married</v>
      </c>
      <c r="J1120">
        <f>RAW_DATA!J1120</f>
        <v>2061</v>
      </c>
      <c r="K1120">
        <f>RAW_DATA!K1120</f>
        <v>1</v>
      </c>
      <c r="L1120">
        <f>RAW_DATA!L1120</f>
        <v>3</v>
      </c>
      <c r="M1120">
        <f>RAW_DATA!M1120</f>
        <v>1</v>
      </c>
      <c r="N1120">
        <f t="shared" si="34"/>
        <v>0</v>
      </c>
      <c r="O1120" t="str">
        <f xml:space="preserve"> VLOOKUP(A1120, Lookup_Tables!$G$2:$H$6,2,TRUE)</f>
        <v>25-34</v>
      </c>
      <c r="P1120" t="str">
        <f>_xlfn.XLOOKUP(J1120,Lookup_Tables!$J$2:$J$4,Lookup_Tables!$K$2:$K$4, " ",-1)</f>
        <v>Low</v>
      </c>
      <c r="Q1120" t="str">
        <f xml:space="preserve"> _xlfn.XLOOKUP(M1120, Lookup_Tables!$M$2:$M$5,Lookup_Tables!$N$2:$N$5," ", -1)</f>
        <v>New (0-2)</v>
      </c>
      <c r="R1120" s="4">
        <f t="shared" si="35"/>
        <v>2.6666666666666665</v>
      </c>
      <c r="S1120" t="str">
        <f xml:space="preserve"> _xlfn.XLOOKUP( E1120, Lookup_Tables!$A$2:$A$6,Lookup_Tables!$B$2:$B$6," ", -1)</f>
        <v>Bachelor</v>
      </c>
      <c r="T1120" t="str">
        <f>_xlfn.XLOOKUP(G1120,Lookup_Tables!$D$2:$D$5,Lookup_Tables!$E$2:$E$5)</f>
        <v>Low</v>
      </c>
      <c r="U1120" t="str">
        <f>_xlfn.XLOOKUP(H1120,Lookup_Tables!$D$2:$D$5,Lookup_Tables!$E$2:$E$5)</f>
        <v>Very High</v>
      </c>
      <c r="V1120" t="str">
        <f>_xlfn.XLOOKUP(L1120,Lookup_Tables!$D$2:$D$5,Lookup_Tables!$E$2:$E$5)</f>
        <v>High</v>
      </c>
    </row>
    <row r="1121" spans="1:22">
      <c r="A1121">
        <f>RAW_DATA!A1121</f>
        <v>38</v>
      </c>
      <c r="B1121" t="str">
        <f>RAW_DATA!B1121</f>
        <v>No</v>
      </c>
      <c r="C1121" t="str">
        <f>RAW_DATA!C1121</f>
        <v>Sales</v>
      </c>
      <c r="D1121">
        <f>RAW_DATA!D1121</f>
        <v>14</v>
      </c>
      <c r="E1121">
        <f>RAW_DATA!E1121</f>
        <v>3</v>
      </c>
      <c r="F1121" t="str">
        <f>RAW_DATA!F1121</f>
        <v>Life Sciences</v>
      </c>
      <c r="G1121">
        <f>RAW_DATA!G1121</f>
        <v>3</v>
      </c>
      <c r="H1121">
        <f>RAW_DATA!H1121</f>
        <v>2</v>
      </c>
      <c r="I1121" t="str">
        <f>RAW_DATA!I1121</f>
        <v>Married</v>
      </c>
      <c r="J1121">
        <f>RAW_DATA!J1121</f>
        <v>9924</v>
      </c>
      <c r="K1121">
        <f>RAW_DATA!K1121</f>
        <v>0</v>
      </c>
      <c r="L1121">
        <f>RAW_DATA!L1121</f>
        <v>3</v>
      </c>
      <c r="M1121">
        <f>RAW_DATA!M1121</f>
        <v>9</v>
      </c>
      <c r="N1121">
        <f t="shared" si="34"/>
        <v>0</v>
      </c>
      <c r="O1121" t="str">
        <f xml:space="preserve"> VLOOKUP(A1121, Lookup_Tables!$G$2:$H$6,2,TRUE)</f>
        <v>35-44</v>
      </c>
      <c r="P1121" t="str">
        <f>_xlfn.XLOOKUP(J1121,Lookup_Tables!$J$2:$J$4,Lookup_Tables!$K$2:$K$4, " ",-1)</f>
        <v>High</v>
      </c>
      <c r="Q1121" t="str">
        <f xml:space="preserve"> _xlfn.XLOOKUP(M1121, Lookup_Tables!$M$2:$M$5,Lookup_Tables!$N$2:$N$5," ", -1)</f>
        <v>Established (5-10)</v>
      </c>
      <c r="R1121" s="4">
        <f t="shared" si="35"/>
        <v>2.6666666666666665</v>
      </c>
      <c r="S1121" t="str">
        <f xml:space="preserve"> _xlfn.XLOOKUP( E1121, Lookup_Tables!$A$2:$A$6,Lookup_Tables!$B$2:$B$6," ", -1)</f>
        <v>Bachelor</v>
      </c>
      <c r="T1121" t="str">
        <f>_xlfn.XLOOKUP(G1121,Lookup_Tables!$D$2:$D$5,Lookup_Tables!$E$2:$E$5)</f>
        <v>High</v>
      </c>
      <c r="U1121" t="str">
        <f>_xlfn.XLOOKUP(H1121,Lookup_Tables!$D$2:$D$5,Lookup_Tables!$E$2:$E$5)</f>
        <v>Medium</v>
      </c>
      <c r="V1121" t="str">
        <f>_xlfn.XLOOKUP(L1121,Lookup_Tables!$D$2:$D$5,Lookup_Tables!$E$2:$E$5)</f>
        <v>High</v>
      </c>
    </row>
    <row r="1122" spans="1:22">
      <c r="A1122">
        <f>RAW_DATA!A1122</f>
        <v>38</v>
      </c>
      <c r="B1122" t="str">
        <f>RAW_DATA!B1122</f>
        <v>No</v>
      </c>
      <c r="C1122" t="str">
        <f>RAW_DATA!C1122</f>
        <v>Sales</v>
      </c>
      <c r="D1122">
        <f>RAW_DATA!D1122</f>
        <v>16</v>
      </c>
      <c r="E1122">
        <f>RAW_DATA!E1122</f>
        <v>3</v>
      </c>
      <c r="F1122" t="str">
        <f>RAW_DATA!F1122</f>
        <v>Life Sciences</v>
      </c>
      <c r="G1122">
        <f>RAW_DATA!G1122</f>
        <v>2</v>
      </c>
      <c r="H1122">
        <f>RAW_DATA!H1122</f>
        <v>2</v>
      </c>
      <c r="I1122" t="str">
        <f>RAW_DATA!I1122</f>
        <v>Single</v>
      </c>
      <c r="J1122">
        <f>RAW_DATA!J1122</f>
        <v>4198</v>
      </c>
      <c r="K1122">
        <f>RAW_DATA!K1122</f>
        <v>2</v>
      </c>
      <c r="L1122">
        <f>RAW_DATA!L1122</f>
        <v>4</v>
      </c>
      <c r="M1122">
        <f>RAW_DATA!M1122</f>
        <v>3</v>
      </c>
      <c r="N1122">
        <f t="shared" si="34"/>
        <v>0</v>
      </c>
      <c r="O1122" t="str">
        <f xml:space="preserve"> VLOOKUP(A1122, Lookup_Tables!$G$2:$H$6,2,TRUE)</f>
        <v>35-44</v>
      </c>
      <c r="P1122" t="str">
        <f>_xlfn.XLOOKUP(J1122,Lookup_Tables!$J$2:$J$4,Lookup_Tables!$K$2:$K$4, " ",-1)</f>
        <v>Medium</v>
      </c>
      <c r="Q1122" t="str">
        <f xml:space="preserve"> _xlfn.XLOOKUP(M1122, Lookup_Tables!$M$2:$M$5,Lookup_Tables!$N$2:$N$5," ", -1)</f>
        <v>Early (2-5)</v>
      </c>
      <c r="R1122" s="4">
        <f t="shared" si="35"/>
        <v>2.6666666666666665</v>
      </c>
      <c r="S1122" t="str">
        <f xml:space="preserve"> _xlfn.XLOOKUP( E1122, Lookup_Tables!$A$2:$A$6,Lookup_Tables!$B$2:$B$6," ", -1)</f>
        <v>Bachelor</v>
      </c>
      <c r="T1122" t="str">
        <f>_xlfn.XLOOKUP(G1122,Lookup_Tables!$D$2:$D$5,Lookup_Tables!$E$2:$E$5)</f>
        <v>Medium</v>
      </c>
      <c r="U1122" t="str">
        <f>_xlfn.XLOOKUP(H1122,Lookup_Tables!$D$2:$D$5,Lookup_Tables!$E$2:$E$5)</f>
        <v>Medium</v>
      </c>
      <c r="V1122" t="str">
        <f>_xlfn.XLOOKUP(L1122,Lookup_Tables!$D$2:$D$5,Lookup_Tables!$E$2:$E$5)</f>
        <v>Very High</v>
      </c>
    </row>
    <row r="1123" spans="1:22">
      <c r="A1123">
        <f>RAW_DATA!A1123</f>
        <v>36</v>
      </c>
      <c r="B1123" t="str">
        <f>RAW_DATA!B1123</f>
        <v>No</v>
      </c>
      <c r="C1123" t="str">
        <f>RAW_DATA!C1123</f>
        <v>Sales</v>
      </c>
      <c r="D1123">
        <f>RAW_DATA!D1123</f>
        <v>1</v>
      </c>
      <c r="E1123">
        <f>RAW_DATA!E1123</f>
        <v>4</v>
      </c>
      <c r="F1123" t="str">
        <f>RAW_DATA!F1123</f>
        <v>Life Sciences</v>
      </c>
      <c r="G1123">
        <f>RAW_DATA!G1123</f>
        <v>2</v>
      </c>
      <c r="H1123">
        <f>RAW_DATA!H1123</f>
        <v>3</v>
      </c>
      <c r="I1123" t="str">
        <f>RAW_DATA!I1123</f>
        <v>Single</v>
      </c>
      <c r="J1123">
        <f>RAW_DATA!J1123</f>
        <v>6815</v>
      </c>
      <c r="K1123">
        <f>RAW_DATA!K1123</f>
        <v>6</v>
      </c>
      <c r="L1123">
        <f>RAW_DATA!L1123</f>
        <v>3</v>
      </c>
      <c r="M1123">
        <f>RAW_DATA!M1123</f>
        <v>1</v>
      </c>
      <c r="N1123">
        <f t="shared" si="34"/>
        <v>0</v>
      </c>
      <c r="O1123" t="str">
        <f xml:space="preserve"> VLOOKUP(A1123, Lookup_Tables!$G$2:$H$6,2,TRUE)</f>
        <v>35-44</v>
      </c>
      <c r="P1123" t="str">
        <f>_xlfn.XLOOKUP(J1123,Lookup_Tables!$J$2:$J$4,Lookup_Tables!$K$2:$K$4, " ",-1)</f>
        <v>Medium</v>
      </c>
      <c r="Q1123" t="str">
        <f xml:space="preserve"> _xlfn.XLOOKUP(M1123, Lookup_Tables!$M$2:$M$5,Lookup_Tables!$N$2:$N$5," ", -1)</f>
        <v>New (0-2)</v>
      </c>
      <c r="R1123" s="4">
        <f t="shared" si="35"/>
        <v>2.6666666666666665</v>
      </c>
      <c r="S1123" t="str">
        <f xml:space="preserve"> _xlfn.XLOOKUP( E1123, Lookup_Tables!$A$2:$A$6,Lookup_Tables!$B$2:$B$6," ", -1)</f>
        <v>Master</v>
      </c>
      <c r="T1123" t="str">
        <f>_xlfn.XLOOKUP(G1123,Lookup_Tables!$D$2:$D$5,Lookup_Tables!$E$2:$E$5)</f>
        <v>Medium</v>
      </c>
      <c r="U1123" t="str">
        <f>_xlfn.XLOOKUP(H1123,Lookup_Tables!$D$2:$D$5,Lookup_Tables!$E$2:$E$5)</f>
        <v>High</v>
      </c>
      <c r="V1123" t="str">
        <f>_xlfn.XLOOKUP(L1123,Lookup_Tables!$D$2:$D$5,Lookup_Tables!$E$2:$E$5)</f>
        <v>High</v>
      </c>
    </row>
    <row r="1124" spans="1:22">
      <c r="A1124">
        <f>RAW_DATA!A1124</f>
        <v>29</v>
      </c>
      <c r="B1124" t="str">
        <f>RAW_DATA!B1124</f>
        <v>No</v>
      </c>
      <c r="C1124" t="str">
        <f>RAW_DATA!C1124</f>
        <v>Research &amp; Development</v>
      </c>
      <c r="D1124">
        <f>RAW_DATA!D1124</f>
        <v>3</v>
      </c>
      <c r="E1124">
        <f>RAW_DATA!E1124</f>
        <v>1</v>
      </c>
      <c r="F1124" t="str">
        <f>RAW_DATA!F1124</f>
        <v>Medical</v>
      </c>
      <c r="G1124">
        <f>RAW_DATA!G1124</f>
        <v>2</v>
      </c>
      <c r="H1124">
        <f>RAW_DATA!H1124</f>
        <v>1</v>
      </c>
      <c r="I1124" t="str">
        <f>RAW_DATA!I1124</f>
        <v>Single</v>
      </c>
      <c r="J1124">
        <f>RAW_DATA!J1124</f>
        <v>4723</v>
      </c>
      <c r="K1124">
        <f>RAW_DATA!K1124</f>
        <v>1</v>
      </c>
      <c r="L1124">
        <f>RAW_DATA!L1124</f>
        <v>3</v>
      </c>
      <c r="M1124">
        <f>RAW_DATA!M1124</f>
        <v>10</v>
      </c>
      <c r="N1124">
        <f t="shared" si="34"/>
        <v>0</v>
      </c>
      <c r="O1124" t="str">
        <f xml:space="preserve"> VLOOKUP(A1124, Lookup_Tables!$G$2:$H$6,2,TRUE)</f>
        <v>25-34</v>
      </c>
      <c r="P1124" t="str">
        <f>_xlfn.XLOOKUP(J1124,Lookup_Tables!$J$2:$J$4,Lookup_Tables!$K$2:$K$4, " ",-1)</f>
        <v>Medium</v>
      </c>
      <c r="Q1124" t="str">
        <f xml:space="preserve"> _xlfn.XLOOKUP(M1124, Lookup_Tables!$M$2:$M$5,Lookup_Tables!$N$2:$N$5," ", -1)</f>
        <v>Veteran (10+)</v>
      </c>
      <c r="R1124" s="4">
        <f t="shared" si="35"/>
        <v>2</v>
      </c>
      <c r="S1124" t="str">
        <f xml:space="preserve"> _xlfn.XLOOKUP( E1124, Lookup_Tables!$A$2:$A$6,Lookup_Tables!$B$2:$B$6," ", -1)</f>
        <v>Below College</v>
      </c>
      <c r="T1124" t="str">
        <f>_xlfn.XLOOKUP(G1124,Lookup_Tables!$D$2:$D$5,Lookup_Tables!$E$2:$E$5)</f>
        <v>Medium</v>
      </c>
      <c r="U1124" t="str">
        <f>_xlfn.XLOOKUP(H1124,Lookup_Tables!$D$2:$D$5,Lookup_Tables!$E$2:$E$5)</f>
        <v>Low</v>
      </c>
      <c r="V1124" t="str">
        <f>_xlfn.XLOOKUP(L1124,Lookup_Tables!$D$2:$D$5,Lookup_Tables!$E$2:$E$5)</f>
        <v>High</v>
      </c>
    </row>
    <row r="1125" spans="1:22">
      <c r="A1125">
        <f>RAW_DATA!A1125</f>
        <v>35</v>
      </c>
      <c r="B1125" t="str">
        <f>RAW_DATA!B1125</f>
        <v>No</v>
      </c>
      <c r="C1125" t="str">
        <f>RAW_DATA!C1125</f>
        <v>Research &amp; Development</v>
      </c>
      <c r="D1125">
        <f>RAW_DATA!D1125</f>
        <v>10</v>
      </c>
      <c r="E1125">
        <f>RAW_DATA!E1125</f>
        <v>4</v>
      </c>
      <c r="F1125" t="str">
        <f>RAW_DATA!F1125</f>
        <v>Medical</v>
      </c>
      <c r="G1125">
        <f>RAW_DATA!G1125</f>
        <v>1</v>
      </c>
      <c r="H1125">
        <f>RAW_DATA!H1125</f>
        <v>3</v>
      </c>
      <c r="I1125" t="str">
        <f>RAW_DATA!I1125</f>
        <v>Single</v>
      </c>
      <c r="J1125">
        <f>RAW_DATA!J1125</f>
        <v>6142</v>
      </c>
      <c r="K1125">
        <f>RAW_DATA!K1125</f>
        <v>3</v>
      </c>
      <c r="L1125">
        <f>RAW_DATA!L1125</f>
        <v>3</v>
      </c>
      <c r="M1125">
        <f>RAW_DATA!M1125</f>
        <v>5</v>
      </c>
      <c r="N1125">
        <f t="shared" si="34"/>
        <v>0</v>
      </c>
      <c r="O1125" t="str">
        <f xml:space="preserve"> VLOOKUP(A1125, Lookup_Tables!$G$2:$H$6,2,TRUE)</f>
        <v>35-44</v>
      </c>
      <c r="P1125" t="str">
        <f>_xlfn.XLOOKUP(J1125,Lookup_Tables!$J$2:$J$4,Lookup_Tables!$K$2:$K$4, " ",-1)</f>
        <v>Medium</v>
      </c>
      <c r="Q1125" t="str">
        <f xml:space="preserve"> _xlfn.XLOOKUP(M1125, Lookup_Tables!$M$2:$M$5,Lookup_Tables!$N$2:$N$5," ", -1)</f>
        <v>Established (5-10)</v>
      </c>
      <c r="R1125" s="4">
        <f t="shared" si="35"/>
        <v>2.3333333333333335</v>
      </c>
      <c r="S1125" t="str">
        <f xml:space="preserve"> _xlfn.XLOOKUP( E1125, Lookup_Tables!$A$2:$A$6,Lookup_Tables!$B$2:$B$6," ", -1)</f>
        <v>Master</v>
      </c>
      <c r="T1125" t="str">
        <f>_xlfn.XLOOKUP(G1125,Lookup_Tables!$D$2:$D$5,Lookup_Tables!$E$2:$E$5)</f>
        <v>Low</v>
      </c>
      <c r="U1125" t="str">
        <f>_xlfn.XLOOKUP(H1125,Lookup_Tables!$D$2:$D$5,Lookup_Tables!$E$2:$E$5)</f>
        <v>High</v>
      </c>
      <c r="V1125" t="str">
        <f>_xlfn.XLOOKUP(L1125,Lookup_Tables!$D$2:$D$5,Lookup_Tables!$E$2:$E$5)</f>
        <v>High</v>
      </c>
    </row>
    <row r="1126" spans="1:22">
      <c r="A1126">
        <f>RAW_DATA!A1126</f>
        <v>39</v>
      </c>
      <c r="B1126" t="str">
        <f>RAW_DATA!B1126</f>
        <v>No</v>
      </c>
      <c r="C1126" t="str">
        <f>RAW_DATA!C1126</f>
        <v>Sales</v>
      </c>
      <c r="D1126">
        <f>RAW_DATA!D1126</f>
        <v>6</v>
      </c>
      <c r="E1126">
        <f>RAW_DATA!E1126</f>
        <v>3</v>
      </c>
      <c r="F1126" t="str">
        <f>RAW_DATA!F1126</f>
        <v>Medical</v>
      </c>
      <c r="G1126">
        <f>RAW_DATA!G1126</f>
        <v>4</v>
      </c>
      <c r="H1126">
        <f>RAW_DATA!H1126</f>
        <v>3</v>
      </c>
      <c r="I1126" t="str">
        <f>RAW_DATA!I1126</f>
        <v>Married</v>
      </c>
      <c r="J1126">
        <f>RAW_DATA!J1126</f>
        <v>8237</v>
      </c>
      <c r="K1126">
        <f>RAW_DATA!K1126</f>
        <v>2</v>
      </c>
      <c r="L1126">
        <f>RAW_DATA!L1126</f>
        <v>3</v>
      </c>
      <c r="M1126">
        <f>RAW_DATA!M1126</f>
        <v>7</v>
      </c>
      <c r="N1126">
        <f t="shared" si="34"/>
        <v>0</v>
      </c>
      <c r="O1126" t="str">
        <f xml:space="preserve"> VLOOKUP(A1126, Lookup_Tables!$G$2:$H$6,2,TRUE)</f>
        <v>35-44</v>
      </c>
      <c r="P1126" t="str">
        <f>_xlfn.XLOOKUP(J1126,Lookup_Tables!$J$2:$J$4,Lookup_Tables!$K$2:$K$4, " ",-1)</f>
        <v>High</v>
      </c>
      <c r="Q1126" t="str">
        <f xml:space="preserve"> _xlfn.XLOOKUP(M1126, Lookup_Tables!$M$2:$M$5,Lookup_Tables!$N$2:$N$5," ", -1)</f>
        <v>Established (5-10)</v>
      </c>
      <c r="R1126" s="4">
        <f t="shared" si="35"/>
        <v>3.3333333333333335</v>
      </c>
      <c r="S1126" t="str">
        <f xml:space="preserve"> _xlfn.XLOOKUP( E1126, Lookup_Tables!$A$2:$A$6,Lookup_Tables!$B$2:$B$6," ", -1)</f>
        <v>Bachelor</v>
      </c>
      <c r="T1126" t="str">
        <f>_xlfn.XLOOKUP(G1126,Lookup_Tables!$D$2:$D$5,Lookup_Tables!$E$2:$E$5)</f>
        <v>Very High</v>
      </c>
      <c r="U1126" t="str">
        <f>_xlfn.XLOOKUP(H1126,Lookup_Tables!$D$2:$D$5,Lookup_Tables!$E$2:$E$5)</f>
        <v>High</v>
      </c>
      <c r="V1126" t="str">
        <f>_xlfn.XLOOKUP(L1126,Lookup_Tables!$D$2:$D$5,Lookup_Tables!$E$2:$E$5)</f>
        <v>High</v>
      </c>
    </row>
    <row r="1127" spans="1:22">
      <c r="A1127">
        <f>RAW_DATA!A1127</f>
        <v>29</v>
      </c>
      <c r="B1127" t="str">
        <f>RAW_DATA!B1127</f>
        <v>No</v>
      </c>
      <c r="C1127" t="str">
        <f>RAW_DATA!C1127</f>
        <v>Research &amp; Development</v>
      </c>
      <c r="D1127">
        <f>RAW_DATA!D1127</f>
        <v>2</v>
      </c>
      <c r="E1127">
        <f>RAW_DATA!E1127</f>
        <v>1</v>
      </c>
      <c r="F1127" t="str">
        <f>RAW_DATA!F1127</f>
        <v>Life Sciences</v>
      </c>
      <c r="G1127">
        <f>RAW_DATA!G1127</f>
        <v>1</v>
      </c>
      <c r="H1127">
        <f>RAW_DATA!H1127</f>
        <v>4</v>
      </c>
      <c r="I1127" t="str">
        <f>RAW_DATA!I1127</f>
        <v>Divorced</v>
      </c>
      <c r="J1127">
        <f>RAW_DATA!J1127</f>
        <v>8853</v>
      </c>
      <c r="K1127">
        <f>RAW_DATA!K1127</f>
        <v>1</v>
      </c>
      <c r="L1127">
        <f>RAW_DATA!L1127</f>
        <v>4</v>
      </c>
      <c r="M1127">
        <f>RAW_DATA!M1127</f>
        <v>6</v>
      </c>
      <c r="N1127">
        <f t="shared" si="34"/>
        <v>0</v>
      </c>
      <c r="O1127" t="str">
        <f xml:space="preserve"> VLOOKUP(A1127, Lookup_Tables!$G$2:$H$6,2,TRUE)</f>
        <v>25-34</v>
      </c>
      <c r="P1127" t="str">
        <f>_xlfn.XLOOKUP(J1127,Lookup_Tables!$J$2:$J$4,Lookup_Tables!$K$2:$K$4, " ",-1)</f>
        <v>High</v>
      </c>
      <c r="Q1127" t="str">
        <f xml:space="preserve"> _xlfn.XLOOKUP(M1127, Lookup_Tables!$M$2:$M$5,Lookup_Tables!$N$2:$N$5," ", -1)</f>
        <v>Established (5-10)</v>
      </c>
      <c r="R1127" s="4">
        <f t="shared" si="35"/>
        <v>3</v>
      </c>
      <c r="S1127" t="str">
        <f xml:space="preserve"> _xlfn.XLOOKUP( E1127, Lookup_Tables!$A$2:$A$6,Lookup_Tables!$B$2:$B$6," ", -1)</f>
        <v>Below College</v>
      </c>
      <c r="T1127" t="str">
        <f>_xlfn.XLOOKUP(G1127,Lookup_Tables!$D$2:$D$5,Lookup_Tables!$E$2:$E$5)</f>
        <v>Low</v>
      </c>
      <c r="U1127" t="str">
        <f>_xlfn.XLOOKUP(H1127,Lookup_Tables!$D$2:$D$5,Lookup_Tables!$E$2:$E$5)</f>
        <v>Very High</v>
      </c>
      <c r="V1127" t="str">
        <f>_xlfn.XLOOKUP(L1127,Lookup_Tables!$D$2:$D$5,Lookup_Tables!$E$2:$E$5)</f>
        <v>Very High</v>
      </c>
    </row>
    <row r="1128" spans="1:22">
      <c r="A1128">
        <f>RAW_DATA!A1128</f>
        <v>50</v>
      </c>
      <c r="B1128" t="str">
        <f>RAW_DATA!B1128</f>
        <v>No</v>
      </c>
      <c r="C1128" t="str">
        <f>RAW_DATA!C1128</f>
        <v>Sales</v>
      </c>
      <c r="D1128">
        <f>RAW_DATA!D1128</f>
        <v>9</v>
      </c>
      <c r="E1128">
        <f>RAW_DATA!E1128</f>
        <v>3</v>
      </c>
      <c r="F1128" t="str">
        <f>RAW_DATA!F1128</f>
        <v>Marketing</v>
      </c>
      <c r="G1128">
        <f>RAW_DATA!G1128</f>
        <v>3</v>
      </c>
      <c r="H1128">
        <f>RAW_DATA!H1128</f>
        <v>3</v>
      </c>
      <c r="I1128" t="str">
        <f>RAW_DATA!I1128</f>
        <v>Married</v>
      </c>
      <c r="J1128">
        <f>RAW_DATA!J1128</f>
        <v>19331</v>
      </c>
      <c r="K1128">
        <f>RAW_DATA!K1128</f>
        <v>4</v>
      </c>
      <c r="L1128">
        <f>RAW_DATA!L1128</f>
        <v>3</v>
      </c>
      <c r="M1128">
        <f>RAW_DATA!M1128</f>
        <v>1</v>
      </c>
      <c r="N1128">
        <f t="shared" si="34"/>
        <v>0</v>
      </c>
      <c r="O1128" t="str">
        <f xml:space="preserve"> VLOOKUP(A1128, Lookup_Tables!$G$2:$H$6,2,TRUE)</f>
        <v>45-54</v>
      </c>
      <c r="P1128" t="str">
        <f>_xlfn.XLOOKUP(J1128,Lookup_Tables!$J$2:$J$4,Lookup_Tables!$K$2:$K$4, " ",-1)</f>
        <v>High</v>
      </c>
      <c r="Q1128" t="str">
        <f xml:space="preserve"> _xlfn.XLOOKUP(M1128, Lookup_Tables!$M$2:$M$5,Lookup_Tables!$N$2:$N$5," ", -1)</f>
        <v>New (0-2)</v>
      </c>
      <c r="R1128" s="4">
        <f t="shared" si="35"/>
        <v>3</v>
      </c>
      <c r="S1128" t="str">
        <f xml:space="preserve"> _xlfn.XLOOKUP( E1128, Lookup_Tables!$A$2:$A$6,Lookup_Tables!$B$2:$B$6," ", -1)</f>
        <v>Bachelor</v>
      </c>
      <c r="T1128" t="str">
        <f>_xlfn.XLOOKUP(G1128,Lookup_Tables!$D$2:$D$5,Lookup_Tables!$E$2:$E$5)</f>
        <v>High</v>
      </c>
      <c r="U1128" t="str">
        <f>_xlfn.XLOOKUP(H1128,Lookup_Tables!$D$2:$D$5,Lookup_Tables!$E$2:$E$5)</f>
        <v>High</v>
      </c>
      <c r="V1128" t="str">
        <f>_xlfn.XLOOKUP(L1128,Lookup_Tables!$D$2:$D$5,Lookup_Tables!$E$2:$E$5)</f>
        <v>High</v>
      </c>
    </row>
    <row r="1129" spans="1:22">
      <c r="A1129">
        <f>RAW_DATA!A1129</f>
        <v>23</v>
      </c>
      <c r="B1129" t="str">
        <f>RAW_DATA!B1129</f>
        <v>No</v>
      </c>
      <c r="C1129" t="str">
        <f>RAW_DATA!C1129</f>
        <v>Research &amp; Development</v>
      </c>
      <c r="D1129">
        <f>RAW_DATA!D1129</f>
        <v>10</v>
      </c>
      <c r="E1129">
        <f>RAW_DATA!E1129</f>
        <v>3</v>
      </c>
      <c r="F1129" t="str">
        <f>RAW_DATA!F1129</f>
        <v>Technical Degree</v>
      </c>
      <c r="G1129">
        <f>RAW_DATA!G1129</f>
        <v>4</v>
      </c>
      <c r="H1129">
        <f>RAW_DATA!H1129</f>
        <v>3</v>
      </c>
      <c r="I1129" t="str">
        <f>RAW_DATA!I1129</f>
        <v>Married</v>
      </c>
      <c r="J1129">
        <f>RAW_DATA!J1129</f>
        <v>2073</v>
      </c>
      <c r="K1129">
        <f>RAW_DATA!K1129</f>
        <v>2</v>
      </c>
      <c r="L1129">
        <f>RAW_DATA!L1129</f>
        <v>3</v>
      </c>
      <c r="M1129">
        <f>RAW_DATA!M1129</f>
        <v>2</v>
      </c>
      <c r="N1129">
        <f t="shared" si="34"/>
        <v>0</v>
      </c>
      <c r="O1129" t="str">
        <f xml:space="preserve"> VLOOKUP(A1129, Lookup_Tables!$G$2:$H$6,2,TRUE)</f>
        <v>&lt;25</v>
      </c>
      <c r="P1129" t="str">
        <f>_xlfn.XLOOKUP(J1129,Lookup_Tables!$J$2:$J$4,Lookup_Tables!$K$2:$K$4, " ",-1)</f>
        <v>Low</v>
      </c>
      <c r="Q1129" t="str">
        <f xml:space="preserve"> _xlfn.XLOOKUP(M1129, Lookup_Tables!$M$2:$M$5,Lookup_Tables!$N$2:$N$5," ", -1)</f>
        <v>Early (2-5)</v>
      </c>
      <c r="R1129" s="4">
        <f t="shared" si="35"/>
        <v>3.3333333333333335</v>
      </c>
      <c r="S1129" t="str">
        <f xml:space="preserve"> _xlfn.XLOOKUP( E1129, Lookup_Tables!$A$2:$A$6,Lookup_Tables!$B$2:$B$6," ", -1)</f>
        <v>Bachelor</v>
      </c>
      <c r="T1129" t="str">
        <f>_xlfn.XLOOKUP(G1129,Lookup_Tables!$D$2:$D$5,Lookup_Tables!$E$2:$E$5)</f>
        <v>Very High</v>
      </c>
      <c r="U1129" t="str">
        <f>_xlfn.XLOOKUP(H1129,Lookup_Tables!$D$2:$D$5,Lookup_Tables!$E$2:$E$5)</f>
        <v>High</v>
      </c>
      <c r="V1129" t="str">
        <f>_xlfn.XLOOKUP(L1129,Lookup_Tables!$D$2:$D$5,Lookup_Tables!$E$2:$E$5)</f>
        <v>High</v>
      </c>
    </row>
    <row r="1130" spans="1:22">
      <c r="A1130">
        <f>RAW_DATA!A1130</f>
        <v>36</v>
      </c>
      <c r="B1130" t="str">
        <f>RAW_DATA!B1130</f>
        <v>No</v>
      </c>
      <c r="C1130" t="str">
        <f>RAW_DATA!C1130</f>
        <v>Research &amp; Development</v>
      </c>
      <c r="D1130">
        <f>RAW_DATA!D1130</f>
        <v>6</v>
      </c>
      <c r="E1130">
        <f>RAW_DATA!E1130</f>
        <v>4</v>
      </c>
      <c r="F1130" t="str">
        <f>RAW_DATA!F1130</f>
        <v>Life Sciences</v>
      </c>
      <c r="G1130">
        <f>RAW_DATA!G1130</f>
        <v>1</v>
      </c>
      <c r="H1130">
        <f>RAW_DATA!H1130</f>
        <v>1</v>
      </c>
      <c r="I1130" t="str">
        <f>RAW_DATA!I1130</f>
        <v>Married</v>
      </c>
      <c r="J1130">
        <f>RAW_DATA!J1130</f>
        <v>5562</v>
      </c>
      <c r="K1130">
        <f>RAW_DATA!K1130</f>
        <v>3</v>
      </c>
      <c r="L1130">
        <f>RAW_DATA!L1130</f>
        <v>3</v>
      </c>
      <c r="M1130">
        <f>RAW_DATA!M1130</f>
        <v>3</v>
      </c>
      <c r="N1130">
        <f t="shared" si="34"/>
        <v>0</v>
      </c>
      <c r="O1130" t="str">
        <f xml:space="preserve"> VLOOKUP(A1130, Lookup_Tables!$G$2:$H$6,2,TRUE)</f>
        <v>35-44</v>
      </c>
      <c r="P1130" t="str">
        <f>_xlfn.XLOOKUP(J1130,Lookup_Tables!$J$2:$J$4,Lookup_Tables!$K$2:$K$4, " ",-1)</f>
        <v>Medium</v>
      </c>
      <c r="Q1130" t="str">
        <f xml:space="preserve"> _xlfn.XLOOKUP(M1130, Lookup_Tables!$M$2:$M$5,Lookup_Tables!$N$2:$N$5," ", -1)</f>
        <v>Early (2-5)</v>
      </c>
      <c r="R1130" s="4">
        <f t="shared" si="35"/>
        <v>1.6666666666666667</v>
      </c>
      <c r="S1130" t="str">
        <f xml:space="preserve"> _xlfn.XLOOKUP( E1130, Lookup_Tables!$A$2:$A$6,Lookup_Tables!$B$2:$B$6," ", -1)</f>
        <v>Master</v>
      </c>
      <c r="T1130" t="str">
        <f>_xlfn.XLOOKUP(G1130,Lookup_Tables!$D$2:$D$5,Lookup_Tables!$E$2:$E$5)</f>
        <v>Low</v>
      </c>
      <c r="U1130" t="str">
        <f>_xlfn.XLOOKUP(H1130,Lookup_Tables!$D$2:$D$5,Lookup_Tables!$E$2:$E$5)</f>
        <v>Low</v>
      </c>
      <c r="V1130" t="str">
        <f>_xlfn.XLOOKUP(L1130,Lookup_Tables!$D$2:$D$5,Lookup_Tables!$E$2:$E$5)</f>
        <v>High</v>
      </c>
    </row>
    <row r="1131" spans="1:22">
      <c r="A1131">
        <f>RAW_DATA!A1131</f>
        <v>42</v>
      </c>
      <c r="B1131" t="str">
        <f>RAW_DATA!B1131</f>
        <v>No</v>
      </c>
      <c r="C1131" t="str">
        <f>RAW_DATA!C1131</f>
        <v>Research &amp; Development</v>
      </c>
      <c r="D1131">
        <f>RAW_DATA!D1131</f>
        <v>9</v>
      </c>
      <c r="E1131">
        <f>RAW_DATA!E1131</f>
        <v>2</v>
      </c>
      <c r="F1131" t="str">
        <f>RAW_DATA!F1131</f>
        <v>Other</v>
      </c>
      <c r="G1131">
        <f>RAW_DATA!G1131</f>
        <v>4</v>
      </c>
      <c r="H1131">
        <f>RAW_DATA!H1131</f>
        <v>4</v>
      </c>
      <c r="I1131" t="str">
        <f>RAW_DATA!I1131</f>
        <v>Single</v>
      </c>
      <c r="J1131">
        <f>RAW_DATA!J1131</f>
        <v>19613</v>
      </c>
      <c r="K1131">
        <f>RAW_DATA!K1131</f>
        <v>8</v>
      </c>
      <c r="L1131">
        <f>RAW_DATA!L1131</f>
        <v>3</v>
      </c>
      <c r="M1131">
        <f>RAW_DATA!M1131</f>
        <v>1</v>
      </c>
      <c r="N1131">
        <f t="shared" si="34"/>
        <v>0</v>
      </c>
      <c r="O1131" t="str">
        <f xml:space="preserve"> VLOOKUP(A1131, Lookup_Tables!$G$2:$H$6,2,TRUE)</f>
        <v>35-44</v>
      </c>
      <c r="P1131" t="str">
        <f>_xlfn.XLOOKUP(J1131,Lookup_Tables!$J$2:$J$4,Lookup_Tables!$K$2:$K$4, " ",-1)</f>
        <v>High</v>
      </c>
      <c r="Q1131" t="str">
        <f xml:space="preserve"> _xlfn.XLOOKUP(M1131, Lookup_Tables!$M$2:$M$5,Lookup_Tables!$N$2:$N$5," ", -1)</f>
        <v>New (0-2)</v>
      </c>
      <c r="R1131" s="4">
        <f t="shared" si="35"/>
        <v>3.6666666666666665</v>
      </c>
      <c r="S1131" t="str">
        <f xml:space="preserve"> _xlfn.XLOOKUP( E1131, Lookup_Tables!$A$2:$A$6,Lookup_Tables!$B$2:$B$6," ", -1)</f>
        <v>College</v>
      </c>
      <c r="T1131" t="str">
        <f>_xlfn.XLOOKUP(G1131,Lookup_Tables!$D$2:$D$5,Lookup_Tables!$E$2:$E$5)</f>
        <v>Very High</v>
      </c>
      <c r="U1131" t="str">
        <f>_xlfn.XLOOKUP(H1131,Lookup_Tables!$D$2:$D$5,Lookup_Tables!$E$2:$E$5)</f>
        <v>Very High</v>
      </c>
      <c r="V1131" t="str">
        <f>_xlfn.XLOOKUP(L1131,Lookup_Tables!$D$2:$D$5,Lookup_Tables!$E$2:$E$5)</f>
        <v>High</v>
      </c>
    </row>
    <row r="1132" spans="1:22">
      <c r="A1132">
        <f>RAW_DATA!A1132</f>
        <v>35</v>
      </c>
      <c r="B1132" t="str">
        <f>RAW_DATA!B1132</f>
        <v>No</v>
      </c>
      <c r="C1132" t="str">
        <f>RAW_DATA!C1132</f>
        <v>Research &amp; Development</v>
      </c>
      <c r="D1132">
        <f>RAW_DATA!D1132</f>
        <v>28</v>
      </c>
      <c r="E1132">
        <f>RAW_DATA!E1132</f>
        <v>3</v>
      </c>
      <c r="F1132" t="str">
        <f>RAW_DATA!F1132</f>
        <v>Life Sciences</v>
      </c>
      <c r="G1132">
        <f>RAW_DATA!G1132</f>
        <v>2</v>
      </c>
      <c r="H1132">
        <f>RAW_DATA!H1132</f>
        <v>3</v>
      </c>
      <c r="I1132" t="str">
        <f>RAW_DATA!I1132</f>
        <v>Married</v>
      </c>
      <c r="J1132">
        <f>RAW_DATA!J1132</f>
        <v>3407</v>
      </c>
      <c r="K1132">
        <f>RAW_DATA!K1132</f>
        <v>1</v>
      </c>
      <c r="L1132">
        <f>RAW_DATA!L1132</f>
        <v>2</v>
      </c>
      <c r="M1132">
        <f>RAW_DATA!M1132</f>
        <v>10</v>
      </c>
      <c r="N1132">
        <f t="shared" si="34"/>
        <v>0</v>
      </c>
      <c r="O1132" t="str">
        <f xml:space="preserve"> VLOOKUP(A1132, Lookup_Tables!$G$2:$H$6,2,TRUE)</f>
        <v>35-44</v>
      </c>
      <c r="P1132" t="str">
        <f>_xlfn.XLOOKUP(J1132,Lookup_Tables!$J$2:$J$4,Lookup_Tables!$K$2:$K$4, " ",-1)</f>
        <v>Medium</v>
      </c>
      <c r="Q1132" t="str">
        <f xml:space="preserve"> _xlfn.XLOOKUP(M1132, Lookup_Tables!$M$2:$M$5,Lookup_Tables!$N$2:$N$5," ", -1)</f>
        <v>Veteran (10+)</v>
      </c>
      <c r="R1132" s="4">
        <f t="shared" si="35"/>
        <v>2.3333333333333335</v>
      </c>
      <c r="S1132" t="str">
        <f xml:space="preserve"> _xlfn.XLOOKUP( E1132, Lookup_Tables!$A$2:$A$6,Lookup_Tables!$B$2:$B$6," ", -1)</f>
        <v>Bachelor</v>
      </c>
      <c r="T1132" t="str">
        <f>_xlfn.XLOOKUP(G1132,Lookup_Tables!$D$2:$D$5,Lookup_Tables!$E$2:$E$5)</f>
        <v>Medium</v>
      </c>
      <c r="U1132" t="str">
        <f>_xlfn.XLOOKUP(H1132,Lookup_Tables!$D$2:$D$5,Lookup_Tables!$E$2:$E$5)</f>
        <v>High</v>
      </c>
      <c r="V1132" t="str">
        <f>_xlfn.XLOOKUP(L1132,Lookup_Tables!$D$2:$D$5,Lookup_Tables!$E$2:$E$5)</f>
        <v>Medium</v>
      </c>
    </row>
    <row r="1133" spans="1:22">
      <c r="A1133">
        <f>RAW_DATA!A1133</f>
        <v>34</v>
      </c>
      <c r="B1133" t="str">
        <f>RAW_DATA!B1133</f>
        <v>No</v>
      </c>
      <c r="C1133" t="str">
        <f>RAW_DATA!C1133</f>
        <v>Research &amp; Development</v>
      </c>
      <c r="D1133">
        <f>RAW_DATA!D1133</f>
        <v>10</v>
      </c>
      <c r="E1133">
        <f>RAW_DATA!E1133</f>
        <v>4</v>
      </c>
      <c r="F1133" t="str">
        <f>RAW_DATA!F1133</f>
        <v>Technical Degree</v>
      </c>
      <c r="G1133">
        <f>RAW_DATA!G1133</f>
        <v>4</v>
      </c>
      <c r="H1133">
        <f>RAW_DATA!H1133</f>
        <v>3</v>
      </c>
      <c r="I1133" t="str">
        <f>RAW_DATA!I1133</f>
        <v>Married</v>
      </c>
      <c r="J1133">
        <f>RAW_DATA!J1133</f>
        <v>5063</v>
      </c>
      <c r="K1133">
        <f>RAW_DATA!K1133</f>
        <v>1</v>
      </c>
      <c r="L1133">
        <f>RAW_DATA!L1133</f>
        <v>2</v>
      </c>
      <c r="M1133">
        <f>RAW_DATA!M1133</f>
        <v>8</v>
      </c>
      <c r="N1133">
        <f t="shared" si="34"/>
        <v>0</v>
      </c>
      <c r="O1133" t="str">
        <f xml:space="preserve"> VLOOKUP(A1133, Lookup_Tables!$G$2:$H$6,2,TRUE)</f>
        <v>25-34</v>
      </c>
      <c r="P1133" t="str">
        <f>_xlfn.XLOOKUP(J1133,Lookup_Tables!$J$2:$J$4,Lookup_Tables!$K$2:$K$4, " ",-1)</f>
        <v>Medium</v>
      </c>
      <c r="Q1133" t="str">
        <f xml:space="preserve"> _xlfn.XLOOKUP(M1133, Lookup_Tables!$M$2:$M$5,Lookup_Tables!$N$2:$N$5," ", -1)</f>
        <v>Established (5-10)</v>
      </c>
      <c r="R1133" s="4">
        <f t="shared" si="35"/>
        <v>3</v>
      </c>
      <c r="S1133" t="str">
        <f xml:space="preserve"> _xlfn.XLOOKUP( E1133, Lookup_Tables!$A$2:$A$6,Lookup_Tables!$B$2:$B$6," ", -1)</f>
        <v>Master</v>
      </c>
      <c r="T1133" t="str">
        <f>_xlfn.XLOOKUP(G1133,Lookup_Tables!$D$2:$D$5,Lookup_Tables!$E$2:$E$5)</f>
        <v>Very High</v>
      </c>
      <c r="U1133" t="str">
        <f>_xlfn.XLOOKUP(H1133,Lookup_Tables!$D$2:$D$5,Lookup_Tables!$E$2:$E$5)</f>
        <v>High</v>
      </c>
      <c r="V1133" t="str">
        <f>_xlfn.XLOOKUP(L1133,Lookup_Tables!$D$2:$D$5,Lookup_Tables!$E$2:$E$5)</f>
        <v>Medium</v>
      </c>
    </row>
    <row r="1134" spans="1:22">
      <c r="A1134">
        <f>RAW_DATA!A1134</f>
        <v>40</v>
      </c>
      <c r="B1134" t="str">
        <f>RAW_DATA!B1134</f>
        <v>No</v>
      </c>
      <c r="C1134" t="str">
        <f>RAW_DATA!C1134</f>
        <v>Sales</v>
      </c>
      <c r="D1134">
        <f>RAW_DATA!D1134</f>
        <v>14</v>
      </c>
      <c r="E1134">
        <f>RAW_DATA!E1134</f>
        <v>2</v>
      </c>
      <c r="F1134" t="str">
        <f>RAW_DATA!F1134</f>
        <v>Life Sciences</v>
      </c>
      <c r="G1134">
        <f>RAW_DATA!G1134</f>
        <v>4</v>
      </c>
      <c r="H1134">
        <f>RAW_DATA!H1134</f>
        <v>1</v>
      </c>
      <c r="I1134" t="str">
        <f>RAW_DATA!I1134</f>
        <v>Married</v>
      </c>
      <c r="J1134">
        <f>RAW_DATA!J1134</f>
        <v>4639</v>
      </c>
      <c r="K1134">
        <f>RAW_DATA!K1134</f>
        <v>1</v>
      </c>
      <c r="L1134">
        <f>RAW_DATA!L1134</f>
        <v>3</v>
      </c>
      <c r="M1134">
        <f>RAW_DATA!M1134</f>
        <v>5</v>
      </c>
      <c r="N1134">
        <f t="shared" si="34"/>
        <v>0</v>
      </c>
      <c r="O1134" t="str">
        <f xml:space="preserve"> VLOOKUP(A1134, Lookup_Tables!$G$2:$H$6,2,TRUE)</f>
        <v>35-44</v>
      </c>
      <c r="P1134" t="str">
        <f>_xlfn.XLOOKUP(J1134,Lookup_Tables!$J$2:$J$4,Lookup_Tables!$K$2:$K$4, " ",-1)</f>
        <v>Medium</v>
      </c>
      <c r="Q1134" t="str">
        <f xml:space="preserve"> _xlfn.XLOOKUP(M1134, Lookup_Tables!$M$2:$M$5,Lookup_Tables!$N$2:$N$5," ", -1)</f>
        <v>Established (5-10)</v>
      </c>
      <c r="R1134" s="4">
        <f t="shared" si="35"/>
        <v>2.6666666666666665</v>
      </c>
      <c r="S1134" t="str">
        <f xml:space="preserve"> _xlfn.XLOOKUP( E1134, Lookup_Tables!$A$2:$A$6,Lookup_Tables!$B$2:$B$6," ", -1)</f>
        <v>College</v>
      </c>
      <c r="T1134" t="str">
        <f>_xlfn.XLOOKUP(G1134,Lookup_Tables!$D$2:$D$5,Lookup_Tables!$E$2:$E$5)</f>
        <v>Very High</v>
      </c>
      <c r="U1134" t="str">
        <f>_xlfn.XLOOKUP(H1134,Lookup_Tables!$D$2:$D$5,Lookup_Tables!$E$2:$E$5)</f>
        <v>Low</v>
      </c>
      <c r="V1134" t="str">
        <f>_xlfn.XLOOKUP(L1134,Lookup_Tables!$D$2:$D$5,Lookup_Tables!$E$2:$E$5)</f>
        <v>High</v>
      </c>
    </row>
    <row r="1135" spans="1:22">
      <c r="A1135">
        <f>RAW_DATA!A1135</f>
        <v>43</v>
      </c>
      <c r="B1135" t="str">
        <f>RAW_DATA!B1135</f>
        <v>No</v>
      </c>
      <c r="C1135" t="str">
        <f>RAW_DATA!C1135</f>
        <v>Research &amp; Development</v>
      </c>
      <c r="D1135">
        <f>RAW_DATA!D1135</f>
        <v>27</v>
      </c>
      <c r="E1135">
        <f>RAW_DATA!E1135</f>
        <v>3</v>
      </c>
      <c r="F1135" t="str">
        <f>RAW_DATA!F1135</f>
        <v>Technical Degree</v>
      </c>
      <c r="G1135">
        <f>RAW_DATA!G1135</f>
        <v>4</v>
      </c>
      <c r="H1135">
        <f>RAW_DATA!H1135</f>
        <v>2</v>
      </c>
      <c r="I1135" t="str">
        <f>RAW_DATA!I1135</f>
        <v>Divorced</v>
      </c>
      <c r="J1135">
        <f>RAW_DATA!J1135</f>
        <v>4876</v>
      </c>
      <c r="K1135">
        <f>RAW_DATA!K1135</f>
        <v>5</v>
      </c>
      <c r="L1135">
        <f>RAW_DATA!L1135</f>
        <v>3</v>
      </c>
      <c r="M1135">
        <f>RAW_DATA!M1135</f>
        <v>6</v>
      </c>
      <c r="N1135">
        <f t="shared" si="34"/>
        <v>0</v>
      </c>
      <c r="O1135" t="str">
        <f xml:space="preserve"> VLOOKUP(A1135, Lookup_Tables!$G$2:$H$6,2,TRUE)</f>
        <v>35-44</v>
      </c>
      <c r="P1135" t="str">
        <f>_xlfn.XLOOKUP(J1135,Lookup_Tables!$J$2:$J$4,Lookup_Tables!$K$2:$K$4, " ",-1)</f>
        <v>Medium</v>
      </c>
      <c r="Q1135" t="str">
        <f xml:space="preserve"> _xlfn.XLOOKUP(M1135, Lookup_Tables!$M$2:$M$5,Lookup_Tables!$N$2:$N$5," ", -1)</f>
        <v>Established (5-10)</v>
      </c>
      <c r="R1135" s="4">
        <f t="shared" si="35"/>
        <v>3</v>
      </c>
      <c r="S1135" t="str">
        <f xml:space="preserve"> _xlfn.XLOOKUP( E1135, Lookup_Tables!$A$2:$A$6,Lookup_Tables!$B$2:$B$6," ", -1)</f>
        <v>Bachelor</v>
      </c>
      <c r="T1135" t="str">
        <f>_xlfn.XLOOKUP(G1135,Lookup_Tables!$D$2:$D$5,Lookup_Tables!$E$2:$E$5)</f>
        <v>Very High</v>
      </c>
      <c r="U1135" t="str">
        <f>_xlfn.XLOOKUP(H1135,Lookup_Tables!$D$2:$D$5,Lookup_Tables!$E$2:$E$5)</f>
        <v>Medium</v>
      </c>
      <c r="V1135" t="str">
        <f>_xlfn.XLOOKUP(L1135,Lookup_Tables!$D$2:$D$5,Lookup_Tables!$E$2:$E$5)</f>
        <v>High</v>
      </c>
    </row>
    <row r="1136" spans="1:22">
      <c r="A1136">
        <f>RAW_DATA!A1136</f>
        <v>35</v>
      </c>
      <c r="B1136" t="str">
        <f>RAW_DATA!B1136</f>
        <v>No</v>
      </c>
      <c r="C1136" t="str">
        <f>RAW_DATA!C1136</f>
        <v>Research &amp; Development</v>
      </c>
      <c r="D1136">
        <f>RAW_DATA!D1136</f>
        <v>7</v>
      </c>
      <c r="E1136">
        <f>RAW_DATA!E1136</f>
        <v>2</v>
      </c>
      <c r="F1136" t="str">
        <f>RAW_DATA!F1136</f>
        <v>Life Sciences</v>
      </c>
      <c r="G1136">
        <f>RAW_DATA!G1136</f>
        <v>3</v>
      </c>
      <c r="H1136">
        <f>RAW_DATA!H1136</f>
        <v>4</v>
      </c>
      <c r="I1136" t="str">
        <f>RAW_DATA!I1136</f>
        <v>Married</v>
      </c>
      <c r="J1136">
        <f>RAW_DATA!J1136</f>
        <v>2690</v>
      </c>
      <c r="K1136">
        <f>RAW_DATA!K1136</f>
        <v>1</v>
      </c>
      <c r="L1136">
        <f>RAW_DATA!L1136</f>
        <v>2</v>
      </c>
      <c r="M1136">
        <f>RAW_DATA!M1136</f>
        <v>1</v>
      </c>
      <c r="N1136">
        <f t="shared" si="34"/>
        <v>0</v>
      </c>
      <c r="O1136" t="str">
        <f xml:space="preserve"> VLOOKUP(A1136, Lookup_Tables!$G$2:$H$6,2,TRUE)</f>
        <v>35-44</v>
      </c>
      <c r="P1136" t="str">
        <f>_xlfn.XLOOKUP(J1136,Lookup_Tables!$J$2:$J$4,Lookup_Tables!$K$2:$K$4, " ",-1)</f>
        <v>Low</v>
      </c>
      <c r="Q1136" t="str">
        <f xml:space="preserve"> _xlfn.XLOOKUP(M1136, Lookup_Tables!$M$2:$M$5,Lookup_Tables!$N$2:$N$5," ", -1)</f>
        <v>New (0-2)</v>
      </c>
      <c r="R1136" s="4">
        <f t="shared" si="35"/>
        <v>3</v>
      </c>
      <c r="S1136" t="str">
        <f xml:space="preserve"> _xlfn.XLOOKUP( E1136, Lookup_Tables!$A$2:$A$6,Lookup_Tables!$B$2:$B$6," ", -1)</f>
        <v>College</v>
      </c>
      <c r="T1136" t="str">
        <f>_xlfn.XLOOKUP(G1136,Lookup_Tables!$D$2:$D$5,Lookup_Tables!$E$2:$E$5)</f>
        <v>High</v>
      </c>
      <c r="U1136" t="str">
        <f>_xlfn.XLOOKUP(H1136,Lookup_Tables!$D$2:$D$5,Lookup_Tables!$E$2:$E$5)</f>
        <v>Very High</v>
      </c>
      <c r="V1136" t="str">
        <f>_xlfn.XLOOKUP(L1136,Lookup_Tables!$D$2:$D$5,Lookup_Tables!$E$2:$E$5)</f>
        <v>Medium</v>
      </c>
    </row>
    <row r="1137" spans="1:22">
      <c r="A1137">
        <f>RAW_DATA!A1137</f>
        <v>46</v>
      </c>
      <c r="B1137" t="str">
        <f>RAW_DATA!B1137</f>
        <v>No</v>
      </c>
      <c r="C1137" t="str">
        <f>RAW_DATA!C1137</f>
        <v>Sales</v>
      </c>
      <c r="D1137">
        <f>RAW_DATA!D1137</f>
        <v>1</v>
      </c>
      <c r="E1137">
        <f>RAW_DATA!E1137</f>
        <v>4</v>
      </c>
      <c r="F1137" t="str">
        <f>RAW_DATA!F1137</f>
        <v>Life Sciences</v>
      </c>
      <c r="G1137">
        <f>RAW_DATA!G1137</f>
        <v>4</v>
      </c>
      <c r="H1137">
        <f>RAW_DATA!H1137</f>
        <v>1</v>
      </c>
      <c r="I1137" t="str">
        <f>RAW_DATA!I1137</f>
        <v>Single</v>
      </c>
      <c r="J1137">
        <f>RAW_DATA!J1137</f>
        <v>17567</v>
      </c>
      <c r="K1137">
        <f>RAW_DATA!K1137</f>
        <v>1</v>
      </c>
      <c r="L1137">
        <f>RAW_DATA!L1137</f>
        <v>1</v>
      </c>
      <c r="M1137">
        <f>RAW_DATA!M1137</f>
        <v>26</v>
      </c>
      <c r="N1137">
        <f t="shared" si="34"/>
        <v>0</v>
      </c>
      <c r="O1137" t="str">
        <f xml:space="preserve"> VLOOKUP(A1137, Lookup_Tables!$G$2:$H$6,2,TRUE)</f>
        <v>45-54</v>
      </c>
      <c r="P1137" t="str">
        <f>_xlfn.XLOOKUP(J1137,Lookup_Tables!$J$2:$J$4,Lookup_Tables!$K$2:$K$4, " ",-1)</f>
        <v>High</v>
      </c>
      <c r="Q1137" t="str">
        <f xml:space="preserve"> _xlfn.XLOOKUP(M1137, Lookup_Tables!$M$2:$M$5,Lookup_Tables!$N$2:$N$5," ", -1)</f>
        <v>Veteran (10+)</v>
      </c>
      <c r="R1137" s="4">
        <f t="shared" si="35"/>
        <v>2</v>
      </c>
      <c r="S1137" t="str">
        <f xml:space="preserve"> _xlfn.XLOOKUP( E1137, Lookup_Tables!$A$2:$A$6,Lookup_Tables!$B$2:$B$6," ", -1)</f>
        <v>Master</v>
      </c>
      <c r="T1137" t="str">
        <f>_xlfn.XLOOKUP(G1137,Lookup_Tables!$D$2:$D$5,Lookup_Tables!$E$2:$E$5)</f>
        <v>Very High</v>
      </c>
      <c r="U1137" t="str">
        <f>_xlfn.XLOOKUP(H1137,Lookup_Tables!$D$2:$D$5,Lookup_Tables!$E$2:$E$5)</f>
        <v>Low</v>
      </c>
      <c r="V1137" t="str">
        <f>_xlfn.XLOOKUP(L1137,Lookup_Tables!$D$2:$D$5,Lookup_Tables!$E$2:$E$5)</f>
        <v>Low</v>
      </c>
    </row>
    <row r="1138" spans="1:22">
      <c r="A1138">
        <f>RAW_DATA!A1138</f>
        <v>28</v>
      </c>
      <c r="B1138" t="str">
        <f>RAW_DATA!B1138</f>
        <v>Yes</v>
      </c>
      <c r="C1138" t="str">
        <f>RAW_DATA!C1138</f>
        <v>Research &amp; Development</v>
      </c>
      <c r="D1138">
        <f>RAW_DATA!D1138</f>
        <v>24</v>
      </c>
      <c r="E1138">
        <f>RAW_DATA!E1138</f>
        <v>3</v>
      </c>
      <c r="F1138" t="str">
        <f>RAW_DATA!F1138</f>
        <v>Medical</v>
      </c>
      <c r="G1138">
        <f>RAW_DATA!G1138</f>
        <v>3</v>
      </c>
      <c r="H1138">
        <f>RAW_DATA!H1138</f>
        <v>2</v>
      </c>
      <c r="I1138" t="str">
        <f>RAW_DATA!I1138</f>
        <v>Married</v>
      </c>
      <c r="J1138">
        <f>RAW_DATA!J1138</f>
        <v>2408</v>
      </c>
      <c r="K1138">
        <f>RAW_DATA!K1138</f>
        <v>1</v>
      </c>
      <c r="L1138">
        <f>RAW_DATA!L1138</f>
        <v>3</v>
      </c>
      <c r="M1138">
        <f>RAW_DATA!M1138</f>
        <v>1</v>
      </c>
      <c r="N1138">
        <f t="shared" si="34"/>
        <v>1</v>
      </c>
      <c r="O1138" t="str">
        <f xml:space="preserve"> VLOOKUP(A1138, Lookup_Tables!$G$2:$H$6,2,TRUE)</f>
        <v>25-34</v>
      </c>
      <c r="P1138" t="str">
        <f>_xlfn.XLOOKUP(J1138,Lookup_Tables!$J$2:$J$4,Lookup_Tables!$K$2:$K$4, " ",-1)</f>
        <v>Low</v>
      </c>
      <c r="Q1138" t="str">
        <f xml:space="preserve"> _xlfn.XLOOKUP(M1138, Lookup_Tables!$M$2:$M$5,Lookup_Tables!$N$2:$N$5," ", -1)</f>
        <v>New (0-2)</v>
      </c>
      <c r="R1138" s="4">
        <f t="shared" si="35"/>
        <v>2.6666666666666665</v>
      </c>
      <c r="S1138" t="str">
        <f xml:space="preserve"> _xlfn.XLOOKUP( E1138, Lookup_Tables!$A$2:$A$6,Lookup_Tables!$B$2:$B$6," ", -1)</f>
        <v>Bachelor</v>
      </c>
      <c r="T1138" t="str">
        <f>_xlfn.XLOOKUP(G1138,Lookup_Tables!$D$2:$D$5,Lookup_Tables!$E$2:$E$5)</f>
        <v>High</v>
      </c>
      <c r="U1138" t="str">
        <f>_xlfn.XLOOKUP(H1138,Lookup_Tables!$D$2:$D$5,Lookup_Tables!$E$2:$E$5)</f>
        <v>Medium</v>
      </c>
      <c r="V1138" t="str">
        <f>_xlfn.XLOOKUP(L1138,Lookup_Tables!$D$2:$D$5,Lookup_Tables!$E$2:$E$5)</f>
        <v>High</v>
      </c>
    </row>
    <row r="1139" spans="1:22">
      <c r="A1139">
        <f>RAW_DATA!A1139</f>
        <v>22</v>
      </c>
      <c r="B1139" t="str">
        <f>RAW_DATA!B1139</f>
        <v>No</v>
      </c>
      <c r="C1139" t="str">
        <f>RAW_DATA!C1139</f>
        <v>Research &amp; Development</v>
      </c>
      <c r="D1139">
        <f>RAW_DATA!D1139</f>
        <v>26</v>
      </c>
      <c r="E1139">
        <f>RAW_DATA!E1139</f>
        <v>2</v>
      </c>
      <c r="F1139" t="str">
        <f>RAW_DATA!F1139</f>
        <v>Other</v>
      </c>
      <c r="G1139">
        <f>RAW_DATA!G1139</f>
        <v>2</v>
      </c>
      <c r="H1139">
        <f>RAW_DATA!H1139</f>
        <v>3</v>
      </c>
      <c r="I1139" t="str">
        <f>RAW_DATA!I1139</f>
        <v>Married</v>
      </c>
      <c r="J1139">
        <f>RAW_DATA!J1139</f>
        <v>2814</v>
      </c>
      <c r="K1139">
        <f>RAW_DATA!K1139</f>
        <v>1</v>
      </c>
      <c r="L1139">
        <f>RAW_DATA!L1139</f>
        <v>2</v>
      </c>
      <c r="M1139">
        <f>RAW_DATA!M1139</f>
        <v>4</v>
      </c>
      <c r="N1139">
        <f t="shared" si="34"/>
        <v>0</v>
      </c>
      <c r="O1139" t="str">
        <f xml:space="preserve"> VLOOKUP(A1139, Lookup_Tables!$G$2:$H$6,2,TRUE)</f>
        <v>&lt;25</v>
      </c>
      <c r="P1139" t="str">
        <f>_xlfn.XLOOKUP(J1139,Lookup_Tables!$J$2:$J$4,Lookup_Tables!$K$2:$K$4, " ",-1)</f>
        <v>Low</v>
      </c>
      <c r="Q1139" t="str">
        <f xml:space="preserve"> _xlfn.XLOOKUP(M1139, Lookup_Tables!$M$2:$M$5,Lookup_Tables!$N$2:$N$5," ", -1)</f>
        <v>Early (2-5)</v>
      </c>
      <c r="R1139" s="4">
        <f t="shared" si="35"/>
        <v>2.3333333333333335</v>
      </c>
      <c r="S1139" t="str">
        <f xml:space="preserve"> _xlfn.XLOOKUP( E1139, Lookup_Tables!$A$2:$A$6,Lookup_Tables!$B$2:$B$6," ", -1)</f>
        <v>College</v>
      </c>
      <c r="T1139" t="str">
        <f>_xlfn.XLOOKUP(G1139,Lookup_Tables!$D$2:$D$5,Lookup_Tables!$E$2:$E$5)</f>
        <v>Medium</v>
      </c>
      <c r="U1139" t="str">
        <f>_xlfn.XLOOKUP(H1139,Lookup_Tables!$D$2:$D$5,Lookup_Tables!$E$2:$E$5)</f>
        <v>High</v>
      </c>
      <c r="V1139" t="str">
        <f>_xlfn.XLOOKUP(L1139,Lookup_Tables!$D$2:$D$5,Lookup_Tables!$E$2:$E$5)</f>
        <v>Medium</v>
      </c>
    </row>
    <row r="1140" spans="1:22">
      <c r="A1140">
        <f>RAW_DATA!A1140</f>
        <v>50</v>
      </c>
      <c r="B1140" t="str">
        <f>RAW_DATA!B1140</f>
        <v>No</v>
      </c>
      <c r="C1140" t="str">
        <f>RAW_DATA!C1140</f>
        <v>Research &amp; Development</v>
      </c>
      <c r="D1140">
        <f>RAW_DATA!D1140</f>
        <v>20</v>
      </c>
      <c r="E1140">
        <f>RAW_DATA!E1140</f>
        <v>5</v>
      </c>
      <c r="F1140" t="str">
        <f>RAW_DATA!F1140</f>
        <v>Medical</v>
      </c>
      <c r="G1140">
        <f>RAW_DATA!G1140</f>
        <v>2</v>
      </c>
      <c r="H1140">
        <f>RAW_DATA!H1140</f>
        <v>3</v>
      </c>
      <c r="I1140" t="str">
        <f>RAW_DATA!I1140</f>
        <v>Married</v>
      </c>
      <c r="J1140">
        <f>RAW_DATA!J1140</f>
        <v>11245</v>
      </c>
      <c r="K1140">
        <f>RAW_DATA!K1140</f>
        <v>2</v>
      </c>
      <c r="L1140">
        <f>RAW_DATA!L1140</f>
        <v>3</v>
      </c>
      <c r="M1140">
        <f>RAW_DATA!M1140</f>
        <v>30</v>
      </c>
      <c r="N1140">
        <f t="shared" si="34"/>
        <v>0</v>
      </c>
      <c r="O1140" t="str">
        <f xml:space="preserve"> VLOOKUP(A1140, Lookup_Tables!$G$2:$H$6,2,TRUE)</f>
        <v>45-54</v>
      </c>
      <c r="P1140" t="str">
        <f>_xlfn.XLOOKUP(J1140,Lookup_Tables!$J$2:$J$4,Lookup_Tables!$K$2:$K$4, " ",-1)</f>
        <v>High</v>
      </c>
      <c r="Q1140" t="str">
        <f xml:space="preserve"> _xlfn.XLOOKUP(M1140, Lookup_Tables!$M$2:$M$5,Lookup_Tables!$N$2:$N$5," ", -1)</f>
        <v>Veteran (10+)</v>
      </c>
      <c r="R1140" s="4">
        <f t="shared" si="35"/>
        <v>2.6666666666666665</v>
      </c>
      <c r="S1140" t="str">
        <f xml:space="preserve"> _xlfn.XLOOKUP( E1140, Lookup_Tables!$A$2:$A$6,Lookup_Tables!$B$2:$B$6," ", -1)</f>
        <v>Doctor</v>
      </c>
      <c r="T1140" t="str">
        <f>_xlfn.XLOOKUP(G1140,Lookup_Tables!$D$2:$D$5,Lookup_Tables!$E$2:$E$5)</f>
        <v>Medium</v>
      </c>
      <c r="U1140" t="str">
        <f>_xlfn.XLOOKUP(H1140,Lookup_Tables!$D$2:$D$5,Lookup_Tables!$E$2:$E$5)</f>
        <v>High</v>
      </c>
      <c r="V1140" t="str">
        <f>_xlfn.XLOOKUP(L1140,Lookup_Tables!$D$2:$D$5,Lookup_Tables!$E$2:$E$5)</f>
        <v>High</v>
      </c>
    </row>
    <row r="1141" spans="1:22">
      <c r="A1141">
        <f>RAW_DATA!A1141</f>
        <v>32</v>
      </c>
      <c r="B1141" t="str">
        <f>RAW_DATA!B1141</f>
        <v>No</v>
      </c>
      <c r="C1141" t="str">
        <f>RAW_DATA!C1141</f>
        <v>Research &amp; Development</v>
      </c>
      <c r="D1141">
        <f>RAW_DATA!D1141</f>
        <v>5</v>
      </c>
      <c r="E1141">
        <f>RAW_DATA!E1141</f>
        <v>4</v>
      </c>
      <c r="F1141" t="str">
        <f>RAW_DATA!F1141</f>
        <v>Other</v>
      </c>
      <c r="G1141">
        <f>RAW_DATA!G1141</f>
        <v>2</v>
      </c>
      <c r="H1141">
        <f>RAW_DATA!H1141</f>
        <v>4</v>
      </c>
      <c r="I1141" t="str">
        <f>RAW_DATA!I1141</f>
        <v>Married</v>
      </c>
      <c r="J1141">
        <f>RAW_DATA!J1141</f>
        <v>3312</v>
      </c>
      <c r="K1141">
        <f>RAW_DATA!K1141</f>
        <v>3</v>
      </c>
      <c r="L1141">
        <f>RAW_DATA!L1141</f>
        <v>3</v>
      </c>
      <c r="M1141">
        <f>RAW_DATA!M1141</f>
        <v>3</v>
      </c>
      <c r="N1141">
        <f t="shared" si="34"/>
        <v>0</v>
      </c>
      <c r="O1141" t="str">
        <f xml:space="preserve"> VLOOKUP(A1141, Lookup_Tables!$G$2:$H$6,2,TRUE)</f>
        <v>25-34</v>
      </c>
      <c r="P1141" t="str">
        <f>_xlfn.XLOOKUP(J1141,Lookup_Tables!$J$2:$J$4,Lookup_Tables!$K$2:$K$4, " ",-1)</f>
        <v>Medium</v>
      </c>
      <c r="Q1141" t="str">
        <f xml:space="preserve"> _xlfn.XLOOKUP(M1141, Lookup_Tables!$M$2:$M$5,Lookup_Tables!$N$2:$N$5," ", -1)</f>
        <v>Early (2-5)</v>
      </c>
      <c r="R1141" s="4">
        <f t="shared" si="35"/>
        <v>3</v>
      </c>
      <c r="S1141" t="str">
        <f xml:space="preserve"> _xlfn.XLOOKUP( E1141, Lookup_Tables!$A$2:$A$6,Lookup_Tables!$B$2:$B$6," ", -1)</f>
        <v>Master</v>
      </c>
      <c r="T1141" t="str">
        <f>_xlfn.XLOOKUP(G1141,Lookup_Tables!$D$2:$D$5,Lookup_Tables!$E$2:$E$5)</f>
        <v>Medium</v>
      </c>
      <c r="U1141" t="str">
        <f>_xlfn.XLOOKUP(H1141,Lookup_Tables!$D$2:$D$5,Lookup_Tables!$E$2:$E$5)</f>
        <v>Very High</v>
      </c>
      <c r="V1141" t="str">
        <f>_xlfn.XLOOKUP(L1141,Lookup_Tables!$D$2:$D$5,Lookup_Tables!$E$2:$E$5)</f>
        <v>High</v>
      </c>
    </row>
    <row r="1142" spans="1:22">
      <c r="A1142">
        <f>RAW_DATA!A1142</f>
        <v>44</v>
      </c>
      <c r="B1142" t="str">
        <f>RAW_DATA!B1142</f>
        <v>No</v>
      </c>
      <c r="C1142" t="str">
        <f>RAW_DATA!C1142</f>
        <v>Research &amp; Development</v>
      </c>
      <c r="D1142">
        <f>RAW_DATA!D1142</f>
        <v>7</v>
      </c>
      <c r="E1142">
        <f>RAW_DATA!E1142</f>
        <v>3</v>
      </c>
      <c r="F1142" t="str">
        <f>RAW_DATA!F1142</f>
        <v>Medical</v>
      </c>
      <c r="G1142">
        <f>RAW_DATA!G1142</f>
        <v>2</v>
      </c>
      <c r="H1142">
        <f>RAW_DATA!H1142</f>
        <v>4</v>
      </c>
      <c r="I1142" t="str">
        <f>RAW_DATA!I1142</f>
        <v>Divorced</v>
      </c>
      <c r="J1142">
        <f>RAW_DATA!J1142</f>
        <v>19049</v>
      </c>
      <c r="K1142">
        <f>RAW_DATA!K1142</f>
        <v>0</v>
      </c>
      <c r="L1142">
        <f>RAW_DATA!L1142</f>
        <v>2</v>
      </c>
      <c r="M1142">
        <f>RAW_DATA!M1142</f>
        <v>22</v>
      </c>
      <c r="N1142">
        <f t="shared" si="34"/>
        <v>0</v>
      </c>
      <c r="O1142" t="str">
        <f xml:space="preserve"> VLOOKUP(A1142, Lookup_Tables!$G$2:$H$6,2,TRUE)</f>
        <v>35-44</v>
      </c>
      <c r="P1142" t="str">
        <f>_xlfn.XLOOKUP(J1142,Lookup_Tables!$J$2:$J$4,Lookup_Tables!$K$2:$K$4, " ",-1)</f>
        <v>High</v>
      </c>
      <c r="Q1142" t="str">
        <f xml:space="preserve"> _xlfn.XLOOKUP(M1142, Lookup_Tables!$M$2:$M$5,Lookup_Tables!$N$2:$N$5," ", -1)</f>
        <v>Veteran (10+)</v>
      </c>
      <c r="R1142" s="4">
        <f t="shared" si="35"/>
        <v>2.6666666666666665</v>
      </c>
      <c r="S1142" t="str">
        <f xml:space="preserve"> _xlfn.XLOOKUP( E1142, Lookup_Tables!$A$2:$A$6,Lookup_Tables!$B$2:$B$6," ", -1)</f>
        <v>Bachelor</v>
      </c>
      <c r="T1142" t="str">
        <f>_xlfn.XLOOKUP(G1142,Lookup_Tables!$D$2:$D$5,Lookup_Tables!$E$2:$E$5)</f>
        <v>Medium</v>
      </c>
      <c r="U1142" t="str">
        <f>_xlfn.XLOOKUP(H1142,Lookup_Tables!$D$2:$D$5,Lookup_Tables!$E$2:$E$5)</f>
        <v>Very High</v>
      </c>
      <c r="V1142" t="str">
        <f>_xlfn.XLOOKUP(L1142,Lookup_Tables!$D$2:$D$5,Lookup_Tables!$E$2:$E$5)</f>
        <v>Medium</v>
      </c>
    </row>
    <row r="1143" spans="1:22">
      <c r="A1143">
        <f>RAW_DATA!A1143</f>
        <v>30</v>
      </c>
      <c r="B1143" t="str">
        <f>RAW_DATA!B1143</f>
        <v>No</v>
      </c>
      <c r="C1143" t="str">
        <f>RAW_DATA!C1143</f>
        <v>Research &amp; Development</v>
      </c>
      <c r="D1143">
        <f>RAW_DATA!D1143</f>
        <v>7</v>
      </c>
      <c r="E1143">
        <f>RAW_DATA!E1143</f>
        <v>3</v>
      </c>
      <c r="F1143" t="str">
        <f>RAW_DATA!F1143</f>
        <v>Medical</v>
      </c>
      <c r="G1143">
        <f>RAW_DATA!G1143</f>
        <v>2</v>
      </c>
      <c r="H1143">
        <f>RAW_DATA!H1143</f>
        <v>2</v>
      </c>
      <c r="I1143" t="str">
        <f>RAW_DATA!I1143</f>
        <v>Married</v>
      </c>
      <c r="J1143">
        <f>RAW_DATA!J1143</f>
        <v>2141</v>
      </c>
      <c r="K1143">
        <f>RAW_DATA!K1143</f>
        <v>1</v>
      </c>
      <c r="L1143">
        <f>RAW_DATA!L1143</f>
        <v>2</v>
      </c>
      <c r="M1143">
        <f>RAW_DATA!M1143</f>
        <v>6</v>
      </c>
      <c r="N1143">
        <f t="shared" si="34"/>
        <v>0</v>
      </c>
      <c r="O1143" t="str">
        <f xml:space="preserve"> VLOOKUP(A1143, Lookup_Tables!$G$2:$H$6,2,TRUE)</f>
        <v>25-34</v>
      </c>
      <c r="P1143" t="str">
        <f>_xlfn.XLOOKUP(J1143,Lookup_Tables!$J$2:$J$4,Lookup_Tables!$K$2:$K$4, " ",-1)</f>
        <v>Low</v>
      </c>
      <c r="Q1143" t="str">
        <f xml:space="preserve"> _xlfn.XLOOKUP(M1143, Lookup_Tables!$M$2:$M$5,Lookup_Tables!$N$2:$N$5," ", -1)</f>
        <v>Established (5-10)</v>
      </c>
      <c r="R1143" s="4">
        <f t="shared" si="35"/>
        <v>2</v>
      </c>
      <c r="S1143" t="str">
        <f xml:space="preserve"> _xlfn.XLOOKUP( E1143, Lookup_Tables!$A$2:$A$6,Lookup_Tables!$B$2:$B$6," ", -1)</f>
        <v>Bachelor</v>
      </c>
      <c r="T1143" t="str">
        <f>_xlfn.XLOOKUP(G1143,Lookup_Tables!$D$2:$D$5,Lookup_Tables!$E$2:$E$5)</f>
        <v>Medium</v>
      </c>
      <c r="U1143" t="str">
        <f>_xlfn.XLOOKUP(H1143,Lookup_Tables!$D$2:$D$5,Lookup_Tables!$E$2:$E$5)</f>
        <v>Medium</v>
      </c>
      <c r="V1143" t="str">
        <f>_xlfn.XLOOKUP(L1143,Lookup_Tables!$D$2:$D$5,Lookup_Tables!$E$2:$E$5)</f>
        <v>Medium</v>
      </c>
    </row>
    <row r="1144" spans="1:22">
      <c r="A1144">
        <f>RAW_DATA!A1144</f>
        <v>45</v>
      </c>
      <c r="B1144" t="str">
        <f>RAW_DATA!B1144</f>
        <v>No</v>
      </c>
      <c r="C1144" t="str">
        <f>RAW_DATA!C1144</f>
        <v>Research &amp; Development</v>
      </c>
      <c r="D1144">
        <f>RAW_DATA!D1144</f>
        <v>5</v>
      </c>
      <c r="E1144">
        <f>RAW_DATA!E1144</f>
        <v>5</v>
      </c>
      <c r="F1144" t="str">
        <f>RAW_DATA!F1144</f>
        <v>Medical</v>
      </c>
      <c r="G1144">
        <f>RAW_DATA!G1144</f>
        <v>3</v>
      </c>
      <c r="H1144">
        <f>RAW_DATA!H1144</f>
        <v>1</v>
      </c>
      <c r="I1144" t="str">
        <f>RAW_DATA!I1144</f>
        <v>Single</v>
      </c>
      <c r="J1144">
        <f>RAW_DATA!J1144</f>
        <v>5769</v>
      </c>
      <c r="K1144">
        <f>RAW_DATA!K1144</f>
        <v>1</v>
      </c>
      <c r="L1144">
        <f>RAW_DATA!L1144</f>
        <v>3</v>
      </c>
      <c r="M1144">
        <f>RAW_DATA!M1144</f>
        <v>10</v>
      </c>
      <c r="N1144">
        <f t="shared" si="34"/>
        <v>0</v>
      </c>
      <c r="O1144" t="str">
        <f xml:space="preserve"> VLOOKUP(A1144, Lookup_Tables!$G$2:$H$6,2,TRUE)</f>
        <v>45-54</v>
      </c>
      <c r="P1144" t="str">
        <f>_xlfn.XLOOKUP(J1144,Lookup_Tables!$J$2:$J$4,Lookup_Tables!$K$2:$K$4, " ",-1)</f>
        <v>Medium</v>
      </c>
      <c r="Q1144" t="str">
        <f xml:space="preserve"> _xlfn.XLOOKUP(M1144, Lookup_Tables!$M$2:$M$5,Lookup_Tables!$N$2:$N$5," ", -1)</f>
        <v>Veteran (10+)</v>
      </c>
      <c r="R1144" s="4">
        <f t="shared" si="35"/>
        <v>2.3333333333333335</v>
      </c>
      <c r="S1144" t="str">
        <f xml:space="preserve"> _xlfn.XLOOKUP( E1144, Lookup_Tables!$A$2:$A$6,Lookup_Tables!$B$2:$B$6," ", -1)</f>
        <v>Doctor</v>
      </c>
      <c r="T1144" t="str">
        <f>_xlfn.XLOOKUP(G1144,Lookup_Tables!$D$2:$D$5,Lookup_Tables!$E$2:$E$5)</f>
        <v>High</v>
      </c>
      <c r="U1144" t="str">
        <f>_xlfn.XLOOKUP(H1144,Lookup_Tables!$D$2:$D$5,Lookup_Tables!$E$2:$E$5)</f>
        <v>Low</v>
      </c>
      <c r="V1144" t="str">
        <f>_xlfn.XLOOKUP(L1144,Lookup_Tables!$D$2:$D$5,Lookup_Tables!$E$2:$E$5)</f>
        <v>High</v>
      </c>
    </row>
    <row r="1145" spans="1:22">
      <c r="A1145">
        <f>RAW_DATA!A1145</f>
        <v>45</v>
      </c>
      <c r="B1145" t="str">
        <f>RAW_DATA!B1145</f>
        <v>No</v>
      </c>
      <c r="C1145" t="str">
        <f>RAW_DATA!C1145</f>
        <v>Sales</v>
      </c>
      <c r="D1145">
        <f>RAW_DATA!D1145</f>
        <v>26</v>
      </c>
      <c r="E1145">
        <f>RAW_DATA!E1145</f>
        <v>3</v>
      </c>
      <c r="F1145" t="str">
        <f>RAW_DATA!F1145</f>
        <v>Marketing</v>
      </c>
      <c r="G1145">
        <f>RAW_DATA!G1145</f>
        <v>1</v>
      </c>
      <c r="H1145">
        <f>RAW_DATA!H1145</f>
        <v>1</v>
      </c>
      <c r="I1145" t="str">
        <f>RAW_DATA!I1145</f>
        <v>Married</v>
      </c>
      <c r="J1145">
        <f>RAW_DATA!J1145</f>
        <v>4385</v>
      </c>
      <c r="K1145">
        <f>RAW_DATA!K1145</f>
        <v>1</v>
      </c>
      <c r="L1145">
        <f>RAW_DATA!L1145</f>
        <v>3</v>
      </c>
      <c r="M1145">
        <f>RAW_DATA!M1145</f>
        <v>10</v>
      </c>
      <c r="N1145">
        <f t="shared" si="34"/>
        <v>0</v>
      </c>
      <c r="O1145" t="str">
        <f xml:space="preserve"> VLOOKUP(A1145, Lookup_Tables!$G$2:$H$6,2,TRUE)</f>
        <v>45-54</v>
      </c>
      <c r="P1145" t="str">
        <f>_xlfn.XLOOKUP(J1145,Lookup_Tables!$J$2:$J$4,Lookup_Tables!$K$2:$K$4, " ",-1)</f>
        <v>Medium</v>
      </c>
      <c r="Q1145" t="str">
        <f xml:space="preserve"> _xlfn.XLOOKUP(M1145, Lookup_Tables!$M$2:$M$5,Lookup_Tables!$N$2:$N$5," ", -1)</f>
        <v>Veteran (10+)</v>
      </c>
      <c r="R1145" s="4">
        <f t="shared" si="35"/>
        <v>1.6666666666666667</v>
      </c>
      <c r="S1145" t="str">
        <f xml:space="preserve"> _xlfn.XLOOKUP( E1145, Lookup_Tables!$A$2:$A$6,Lookup_Tables!$B$2:$B$6," ", -1)</f>
        <v>Bachelor</v>
      </c>
      <c r="T1145" t="str">
        <f>_xlfn.XLOOKUP(G1145,Lookup_Tables!$D$2:$D$5,Lookup_Tables!$E$2:$E$5)</f>
        <v>Low</v>
      </c>
      <c r="U1145" t="str">
        <f>_xlfn.XLOOKUP(H1145,Lookup_Tables!$D$2:$D$5,Lookup_Tables!$E$2:$E$5)</f>
        <v>Low</v>
      </c>
      <c r="V1145" t="str">
        <f>_xlfn.XLOOKUP(L1145,Lookup_Tables!$D$2:$D$5,Lookup_Tables!$E$2:$E$5)</f>
        <v>High</v>
      </c>
    </row>
    <row r="1146" spans="1:22">
      <c r="A1146">
        <f>RAW_DATA!A1146</f>
        <v>31</v>
      </c>
      <c r="B1146" t="str">
        <f>RAW_DATA!B1146</f>
        <v>No</v>
      </c>
      <c r="C1146" t="str">
        <f>RAW_DATA!C1146</f>
        <v>Sales</v>
      </c>
      <c r="D1146">
        <f>RAW_DATA!D1146</f>
        <v>2</v>
      </c>
      <c r="E1146">
        <f>RAW_DATA!E1146</f>
        <v>4</v>
      </c>
      <c r="F1146" t="str">
        <f>RAW_DATA!F1146</f>
        <v>Other</v>
      </c>
      <c r="G1146">
        <f>RAW_DATA!G1146</f>
        <v>4</v>
      </c>
      <c r="H1146">
        <f>RAW_DATA!H1146</f>
        <v>1</v>
      </c>
      <c r="I1146" t="str">
        <f>RAW_DATA!I1146</f>
        <v>Single</v>
      </c>
      <c r="J1146">
        <f>RAW_DATA!J1146</f>
        <v>5332</v>
      </c>
      <c r="K1146">
        <f>RAW_DATA!K1146</f>
        <v>7</v>
      </c>
      <c r="L1146">
        <f>RAW_DATA!L1146</f>
        <v>3</v>
      </c>
      <c r="M1146">
        <f>RAW_DATA!M1146</f>
        <v>5</v>
      </c>
      <c r="N1146">
        <f t="shared" si="34"/>
        <v>0</v>
      </c>
      <c r="O1146" t="str">
        <f xml:space="preserve"> VLOOKUP(A1146, Lookup_Tables!$G$2:$H$6,2,TRUE)</f>
        <v>25-34</v>
      </c>
      <c r="P1146" t="str">
        <f>_xlfn.XLOOKUP(J1146,Lookup_Tables!$J$2:$J$4,Lookup_Tables!$K$2:$K$4, " ",-1)</f>
        <v>Medium</v>
      </c>
      <c r="Q1146" t="str">
        <f xml:space="preserve"> _xlfn.XLOOKUP(M1146, Lookup_Tables!$M$2:$M$5,Lookup_Tables!$N$2:$N$5," ", -1)</f>
        <v>Established (5-10)</v>
      </c>
      <c r="R1146" s="4">
        <f t="shared" si="35"/>
        <v>2.6666666666666665</v>
      </c>
      <c r="S1146" t="str">
        <f xml:space="preserve"> _xlfn.XLOOKUP( E1146, Lookup_Tables!$A$2:$A$6,Lookup_Tables!$B$2:$B$6," ", -1)</f>
        <v>Master</v>
      </c>
      <c r="T1146" t="str">
        <f>_xlfn.XLOOKUP(G1146,Lookup_Tables!$D$2:$D$5,Lookup_Tables!$E$2:$E$5)</f>
        <v>Very High</v>
      </c>
      <c r="U1146" t="str">
        <f>_xlfn.XLOOKUP(H1146,Lookup_Tables!$D$2:$D$5,Lookup_Tables!$E$2:$E$5)</f>
        <v>Low</v>
      </c>
      <c r="V1146" t="str">
        <f>_xlfn.XLOOKUP(L1146,Lookup_Tables!$D$2:$D$5,Lookup_Tables!$E$2:$E$5)</f>
        <v>High</v>
      </c>
    </row>
    <row r="1147" spans="1:22">
      <c r="A1147">
        <f>RAW_DATA!A1147</f>
        <v>36</v>
      </c>
      <c r="B1147" t="str">
        <f>RAW_DATA!B1147</f>
        <v>No</v>
      </c>
      <c r="C1147" t="str">
        <f>RAW_DATA!C1147</f>
        <v>Research &amp; Development</v>
      </c>
      <c r="D1147">
        <f>RAW_DATA!D1147</f>
        <v>12</v>
      </c>
      <c r="E1147">
        <f>RAW_DATA!E1147</f>
        <v>4</v>
      </c>
      <c r="F1147" t="str">
        <f>RAW_DATA!F1147</f>
        <v>Life Sciences</v>
      </c>
      <c r="G1147">
        <f>RAW_DATA!G1147</f>
        <v>3</v>
      </c>
      <c r="H1147">
        <f>RAW_DATA!H1147</f>
        <v>3</v>
      </c>
      <c r="I1147" t="str">
        <f>RAW_DATA!I1147</f>
        <v>Married</v>
      </c>
      <c r="J1147">
        <f>RAW_DATA!J1147</f>
        <v>4663</v>
      </c>
      <c r="K1147">
        <f>RAW_DATA!K1147</f>
        <v>9</v>
      </c>
      <c r="L1147">
        <f>RAW_DATA!L1147</f>
        <v>3</v>
      </c>
      <c r="M1147">
        <f>RAW_DATA!M1147</f>
        <v>3</v>
      </c>
      <c r="N1147">
        <f t="shared" si="34"/>
        <v>0</v>
      </c>
      <c r="O1147" t="str">
        <f xml:space="preserve"> VLOOKUP(A1147, Lookup_Tables!$G$2:$H$6,2,TRUE)</f>
        <v>35-44</v>
      </c>
      <c r="P1147" t="str">
        <f>_xlfn.XLOOKUP(J1147,Lookup_Tables!$J$2:$J$4,Lookup_Tables!$K$2:$K$4, " ",-1)</f>
        <v>Medium</v>
      </c>
      <c r="Q1147" t="str">
        <f xml:space="preserve"> _xlfn.XLOOKUP(M1147, Lookup_Tables!$M$2:$M$5,Lookup_Tables!$N$2:$N$5," ", -1)</f>
        <v>Early (2-5)</v>
      </c>
      <c r="R1147" s="4">
        <f t="shared" si="35"/>
        <v>3</v>
      </c>
      <c r="S1147" t="str">
        <f xml:space="preserve"> _xlfn.XLOOKUP( E1147, Lookup_Tables!$A$2:$A$6,Lookup_Tables!$B$2:$B$6," ", -1)</f>
        <v>Master</v>
      </c>
      <c r="T1147" t="str">
        <f>_xlfn.XLOOKUP(G1147,Lookup_Tables!$D$2:$D$5,Lookup_Tables!$E$2:$E$5)</f>
        <v>High</v>
      </c>
      <c r="U1147" t="str">
        <f>_xlfn.XLOOKUP(H1147,Lookup_Tables!$D$2:$D$5,Lookup_Tables!$E$2:$E$5)</f>
        <v>High</v>
      </c>
      <c r="V1147" t="str">
        <f>_xlfn.XLOOKUP(L1147,Lookup_Tables!$D$2:$D$5,Lookup_Tables!$E$2:$E$5)</f>
        <v>High</v>
      </c>
    </row>
    <row r="1148" spans="1:22">
      <c r="A1148">
        <f>RAW_DATA!A1148</f>
        <v>34</v>
      </c>
      <c r="B1148" t="str">
        <f>RAW_DATA!B1148</f>
        <v>No</v>
      </c>
      <c r="C1148" t="str">
        <f>RAW_DATA!C1148</f>
        <v>Research &amp; Development</v>
      </c>
      <c r="D1148">
        <f>RAW_DATA!D1148</f>
        <v>10</v>
      </c>
      <c r="E1148">
        <f>RAW_DATA!E1148</f>
        <v>4</v>
      </c>
      <c r="F1148" t="str">
        <f>RAW_DATA!F1148</f>
        <v>Life Sciences</v>
      </c>
      <c r="G1148">
        <f>RAW_DATA!G1148</f>
        <v>3</v>
      </c>
      <c r="H1148">
        <f>RAW_DATA!H1148</f>
        <v>4</v>
      </c>
      <c r="I1148" t="str">
        <f>RAW_DATA!I1148</f>
        <v>Divorced</v>
      </c>
      <c r="J1148">
        <f>RAW_DATA!J1148</f>
        <v>4724</v>
      </c>
      <c r="K1148">
        <f>RAW_DATA!K1148</f>
        <v>1</v>
      </c>
      <c r="L1148">
        <f>RAW_DATA!L1148</f>
        <v>3</v>
      </c>
      <c r="M1148">
        <f>RAW_DATA!M1148</f>
        <v>9</v>
      </c>
      <c r="N1148">
        <f t="shared" si="34"/>
        <v>0</v>
      </c>
      <c r="O1148" t="str">
        <f xml:space="preserve"> VLOOKUP(A1148, Lookup_Tables!$G$2:$H$6,2,TRUE)</f>
        <v>25-34</v>
      </c>
      <c r="P1148" t="str">
        <f>_xlfn.XLOOKUP(J1148,Lookup_Tables!$J$2:$J$4,Lookup_Tables!$K$2:$K$4, " ",-1)</f>
        <v>Medium</v>
      </c>
      <c r="Q1148" t="str">
        <f xml:space="preserve"> _xlfn.XLOOKUP(M1148, Lookup_Tables!$M$2:$M$5,Lookup_Tables!$N$2:$N$5," ", -1)</f>
        <v>Established (5-10)</v>
      </c>
      <c r="R1148" s="4">
        <f t="shared" si="35"/>
        <v>3.3333333333333335</v>
      </c>
      <c r="S1148" t="str">
        <f xml:space="preserve"> _xlfn.XLOOKUP( E1148, Lookup_Tables!$A$2:$A$6,Lookup_Tables!$B$2:$B$6," ", -1)</f>
        <v>Master</v>
      </c>
      <c r="T1148" t="str">
        <f>_xlfn.XLOOKUP(G1148,Lookup_Tables!$D$2:$D$5,Lookup_Tables!$E$2:$E$5)</f>
        <v>High</v>
      </c>
      <c r="U1148" t="str">
        <f>_xlfn.XLOOKUP(H1148,Lookup_Tables!$D$2:$D$5,Lookup_Tables!$E$2:$E$5)</f>
        <v>Very High</v>
      </c>
      <c r="V1148" t="str">
        <f>_xlfn.XLOOKUP(L1148,Lookup_Tables!$D$2:$D$5,Lookup_Tables!$E$2:$E$5)</f>
        <v>High</v>
      </c>
    </row>
    <row r="1149" spans="1:22">
      <c r="A1149">
        <f>RAW_DATA!A1149</f>
        <v>49</v>
      </c>
      <c r="B1149" t="str">
        <f>RAW_DATA!B1149</f>
        <v>No</v>
      </c>
      <c r="C1149" t="str">
        <f>RAW_DATA!C1149</f>
        <v>Research &amp; Development</v>
      </c>
      <c r="D1149">
        <f>RAW_DATA!D1149</f>
        <v>25</v>
      </c>
      <c r="E1149">
        <f>RAW_DATA!E1149</f>
        <v>4</v>
      </c>
      <c r="F1149" t="str">
        <f>RAW_DATA!F1149</f>
        <v>Life Sciences</v>
      </c>
      <c r="G1149">
        <f>RAW_DATA!G1149</f>
        <v>3</v>
      </c>
      <c r="H1149">
        <f>RAW_DATA!H1149</f>
        <v>1</v>
      </c>
      <c r="I1149" t="str">
        <f>RAW_DATA!I1149</f>
        <v>Married</v>
      </c>
      <c r="J1149">
        <f>RAW_DATA!J1149</f>
        <v>3211</v>
      </c>
      <c r="K1149">
        <f>RAW_DATA!K1149</f>
        <v>1</v>
      </c>
      <c r="L1149">
        <f>RAW_DATA!L1149</f>
        <v>2</v>
      </c>
      <c r="M1149">
        <f>RAW_DATA!M1149</f>
        <v>9</v>
      </c>
      <c r="N1149">
        <f t="shared" si="34"/>
        <v>0</v>
      </c>
      <c r="O1149" t="str">
        <f xml:space="preserve"> VLOOKUP(A1149, Lookup_Tables!$G$2:$H$6,2,TRUE)</f>
        <v>45-54</v>
      </c>
      <c r="P1149" t="str">
        <f>_xlfn.XLOOKUP(J1149,Lookup_Tables!$J$2:$J$4,Lookup_Tables!$K$2:$K$4, " ",-1)</f>
        <v>Medium</v>
      </c>
      <c r="Q1149" t="str">
        <f xml:space="preserve"> _xlfn.XLOOKUP(M1149, Lookup_Tables!$M$2:$M$5,Lookup_Tables!$N$2:$N$5," ", -1)</f>
        <v>Established (5-10)</v>
      </c>
      <c r="R1149" s="4">
        <f t="shared" si="35"/>
        <v>2</v>
      </c>
      <c r="S1149" t="str">
        <f xml:space="preserve"> _xlfn.XLOOKUP( E1149, Lookup_Tables!$A$2:$A$6,Lookup_Tables!$B$2:$B$6," ", -1)</f>
        <v>Master</v>
      </c>
      <c r="T1149" t="str">
        <f>_xlfn.XLOOKUP(G1149,Lookup_Tables!$D$2:$D$5,Lookup_Tables!$E$2:$E$5)</f>
        <v>High</v>
      </c>
      <c r="U1149" t="str">
        <f>_xlfn.XLOOKUP(H1149,Lookup_Tables!$D$2:$D$5,Lookup_Tables!$E$2:$E$5)</f>
        <v>Low</v>
      </c>
      <c r="V1149" t="str">
        <f>_xlfn.XLOOKUP(L1149,Lookup_Tables!$D$2:$D$5,Lookup_Tables!$E$2:$E$5)</f>
        <v>Medium</v>
      </c>
    </row>
    <row r="1150" spans="1:22">
      <c r="A1150">
        <f>RAW_DATA!A1150</f>
        <v>39</v>
      </c>
      <c r="B1150" t="str">
        <f>RAW_DATA!B1150</f>
        <v>No</v>
      </c>
      <c r="C1150" t="str">
        <f>RAW_DATA!C1150</f>
        <v>Research &amp; Development</v>
      </c>
      <c r="D1150">
        <f>RAW_DATA!D1150</f>
        <v>10</v>
      </c>
      <c r="E1150">
        <f>RAW_DATA!E1150</f>
        <v>5</v>
      </c>
      <c r="F1150" t="str">
        <f>RAW_DATA!F1150</f>
        <v>Medical</v>
      </c>
      <c r="G1150">
        <f>RAW_DATA!G1150</f>
        <v>2</v>
      </c>
      <c r="H1150">
        <f>RAW_DATA!H1150</f>
        <v>1</v>
      </c>
      <c r="I1150" t="str">
        <f>RAW_DATA!I1150</f>
        <v>Married</v>
      </c>
      <c r="J1150">
        <f>RAW_DATA!J1150</f>
        <v>5377</v>
      </c>
      <c r="K1150">
        <f>RAW_DATA!K1150</f>
        <v>2</v>
      </c>
      <c r="L1150">
        <f>RAW_DATA!L1150</f>
        <v>3</v>
      </c>
      <c r="M1150">
        <f>RAW_DATA!M1150</f>
        <v>7</v>
      </c>
      <c r="N1150">
        <f t="shared" si="34"/>
        <v>0</v>
      </c>
      <c r="O1150" t="str">
        <f xml:space="preserve"> VLOOKUP(A1150, Lookup_Tables!$G$2:$H$6,2,TRUE)</f>
        <v>35-44</v>
      </c>
      <c r="P1150" t="str">
        <f>_xlfn.XLOOKUP(J1150,Lookup_Tables!$J$2:$J$4,Lookup_Tables!$K$2:$K$4, " ",-1)</f>
        <v>Medium</v>
      </c>
      <c r="Q1150" t="str">
        <f xml:space="preserve"> _xlfn.XLOOKUP(M1150, Lookup_Tables!$M$2:$M$5,Lookup_Tables!$N$2:$N$5," ", -1)</f>
        <v>Established (5-10)</v>
      </c>
      <c r="R1150" s="4">
        <f t="shared" si="35"/>
        <v>2</v>
      </c>
      <c r="S1150" t="str">
        <f xml:space="preserve"> _xlfn.XLOOKUP( E1150, Lookup_Tables!$A$2:$A$6,Lookup_Tables!$B$2:$B$6," ", -1)</f>
        <v>Doctor</v>
      </c>
      <c r="T1150" t="str">
        <f>_xlfn.XLOOKUP(G1150,Lookup_Tables!$D$2:$D$5,Lookup_Tables!$E$2:$E$5)</f>
        <v>Medium</v>
      </c>
      <c r="U1150" t="str">
        <f>_xlfn.XLOOKUP(H1150,Lookup_Tables!$D$2:$D$5,Lookup_Tables!$E$2:$E$5)</f>
        <v>Low</v>
      </c>
      <c r="V1150" t="str">
        <f>_xlfn.XLOOKUP(L1150,Lookup_Tables!$D$2:$D$5,Lookup_Tables!$E$2:$E$5)</f>
        <v>High</v>
      </c>
    </row>
    <row r="1151" spans="1:22">
      <c r="A1151">
        <f>RAW_DATA!A1151</f>
        <v>27</v>
      </c>
      <c r="B1151" t="str">
        <f>RAW_DATA!B1151</f>
        <v>No</v>
      </c>
      <c r="C1151" t="str">
        <f>RAW_DATA!C1151</f>
        <v>Research &amp; Development</v>
      </c>
      <c r="D1151">
        <f>RAW_DATA!D1151</f>
        <v>19</v>
      </c>
      <c r="E1151">
        <f>RAW_DATA!E1151</f>
        <v>3</v>
      </c>
      <c r="F1151" t="str">
        <f>RAW_DATA!F1151</f>
        <v>Other</v>
      </c>
      <c r="G1151">
        <f>RAW_DATA!G1151</f>
        <v>4</v>
      </c>
      <c r="H1151">
        <f>RAW_DATA!H1151</f>
        <v>1</v>
      </c>
      <c r="I1151" t="str">
        <f>RAW_DATA!I1151</f>
        <v>Divorced</v>
      </c>
      <c r="J1151">
        <f>RAW_DATA!J1151</f>
        <v>4066</v>
      </c>
      <c r="K1151">
        <f>RAW_DATA!K1151</f>
        <v>1</v>
      </c>
      <c r="L1151">
        <f>RAW_DATA!L1151</f>
        <v>3</v>
      </c>
      <c r="M1151">
        <f>RAW_DATA!M1151</f>
        <v>7</v>
      </c>
      <c r="N1151">
        <f t="shared" si="34"/>
        <v>0</v>
      </c>
      <c r="O1151" t="str">
        <f xml:space="preserve"> VLOOKUP(A1151, Lookup_Tables!$G$2:$H$6,2,TRUE)</f>
        <v>25-34</v>
      </c>
      <c r="P1151" t="str">
        <f>_xlfn.XLOOKUP(J1151,Lookup_Tables!$J$2:$J$4,Lookup_Tables!$K$2:$K$4, " ",-1)</f>
        <v>Medium</v>
      </c>
      <c r="Q1151" t="str">
        <f xml:space="preserve"> _xlfn.XLOOKUP(M1151, Lookup_Tables!$M$2:$M$5,Lookup_Tables!$N$2:$N$5," ", -1)</f>
        <v>Established (5-10)</v>
      </c>
      <c r="R1151" s="4">
        <f t="shared" si="35"/>
        <v>2.6666666666666665</v>
      </c>
      <c r="S1151" t="str">
        <f xml:space="preserve"> _xlfn.XLOOKUP( E1151, Lookup_Tables!$A$2:$A$6,Lookup_Tables!$B$2:$B$6," ", -1)</f>
        <v>Bachelor</v>
      </c>
      <c r="T1151" t="str">
        <f>_xlfn.XLOOKUP(G1151,Lookup_Tables!$D$2:$D$5,Lookup_Tables!$E$2:$E$5)</f>
        <v>Very High</v>
      </c>
      <c r="U1151" t="str">
        <f>_xlfn.XLOOKUP(H1151,Lookup_Tables!$D$2:$D$5,Lookup_Tables!$E$2:$E$5)</f>
        <v>Low</v>
      </c>
      <c r="V1151" t="str">
        <f>_xlfn.XLOOKUP(L1151,Lookup_Tables!$D$2:$D$5,Lookup_Tables!$E$2:$E$5)</f>
        <v>High</v>
      </c>
    </row>
    <row r="1152" spans="1:22">
      <c r="A1152">
        <f>RAW_DATA!A1152</f>
        <v>35</v>
      </c>
      <c r="B1152" t="str">
        <f>RAW_DATA!B1152</f>
        <v>No</v>
      </c>
      <c r="C1152" t="str">
        <f>RAW_DATA!C1152</f>
        <v>Research &amp; Development</v>
      </c>
      <c r="D1152">
        <f>RAW_DATA!D1152</f>
        <v>18</v>
      </c>
      <c r="E1152">
        <f>RAW_DATA!E1152</f>
        <v>5</v>
      </c>
      <c r="F1152" t="str">
        <f>RAW_DATA!F1152</f>
        <v>Life Sciences</v>
      </c>
      <c r="G1152">
        <f>RAW_DATA!G1152</f>
        <v>2</v>
      </c>
      <c r="H1152">
        <f>RAW_DATA!H1152</f>
        <v>1</v>
      </c>
      <c r="I1152" t="str">
        <f>RAW_DATA!I1152</f>
        <v>Married</v>
      </c>
      <c r="J1152">
        <f>RAW_DATA!J1152</f>
        <v>5208</v>
      </c>
      <c r="K1152">
        <f>RAW_DATA!K1152</f>
        <v>1</v>
      </c>
      <c r="L1152">
        <f>RAW_DATA!L1152</f>
        <v>3</v>
      </c>
      <c r="M1152">
        <f>RAW_DATA!M1152</f>
        <v>16</v>
      </c>
      <c r="N1152">
        <f t="shared" si="34"/>
        <v>0</v>
      </c>
      <c r="O1152" t="str">
        <f xml:space="preserve"> VLOOKUP(A1152, Lookup_Tables!$G$2:$H$6,2,TRUE)</f>
        <v>35-44</v>
      </c>
      <c r="P1152" t="str">
        <f>_xlfn.XLOOKUP(J1152,Lookup_Tables!$J$2:$J$4,Lookup_Tables!$K$2:$K$4, " ",-1)</f>
        <v>Medium</v>
      </c>
      <c r="Q1152" t="str">
        <f xml:space="preserve"> _xlfn.XLOOKUP(M1152, Lookup_Tables!$M$2:$M$5,Lookup_Tables!$N$2:$N$5," ", -1)</f>
        <v>Veteran (10+)</v>
      </c>
      <c r="R1152" s="4">
        <f t="shared" si="35"/>
        <v>2</v>
      </c>
      <c r="S1152" t="str">
        <f xml:space="preserve"> _xlfn.XLOOKUP( E1152, Lookup_Tables!$A$2:$A$6,Lookup_Tables!$B$2:$B$6," ", -1)</f>
        <v>Doctor</v>
      </c>
      <c r="T1152" t="str">
        <f>_xlfn.XLOOKUP(G1152,Lookup_Tables!$D$2:$D$5,Lookup_Tables!$E$2:$E$5)</f>
        <v>Medium</v>
      </c>
      <c r="U1152" t="str">
        <f>_xlfn.XLOOKUP(H1152,Lookup_Tables!$D$2:$D$5,Lookup_Tables!$E$2:$E$5)</f>
        <v>Low</v>
      </c>
      <c r="V1152" t="str">
        <f>_xlfn.XLOOKUP(L1152,Lookup_Tables!$D$2:$D$5,Lookup_Tables!$E$2:$E$5)</f>
        <v>High</v>
      </c>
    </row>
    <row r="1153" spans="1:22">
      <c r="A1153">
        <f>RAW_DATA!A1153</f>
        <v>28</v>
      </c>
      <c r="B1153" t="str">
        <f>RAW_DATA!B1153</f>
        <v>No</v>
      </c>
      <c r="C1153" t="str">
        <f>RAW_DATA!C1153</f>
        <v>Research &amp; Development</v>
      </c>
      <c r="D1153">
        <f>RAW_DATA!D1153</f>
        <v>27</v>
      </c>
      <c r="E1153">
        <f>RAW_DATA!E1153</f>
        <v>3</v>
      </c>
      <c r="F1153" t="str">
        <f>RAW_DATA!F1153</f>
        <v>Medical</v>
      </c>
      <c r="G1153">
        <f>RAW_DATA!G1153</f>
        <v>2</v>
      </c>
      <c r="H1153">
        <f>RAW_DATA!H1153</f>
        <v>1</v>
      </c>
      <c r="I1153" t="str">
        <f>RAW_DATA!I1153</f>
        <v>Divorced</v>
      </c>
      <c r="J1153">
        <f>RAW_DATA!J1153</f>
        <v>4877</v>
      </c>
      <c r="K1153">
        <f>RAW_DATA!K1153</f>
        <v>0</v>
      </c>
      <c r="L1153">
        <f>RAW_DATA!L1153</f>
        <v>2</v>
      </c>
      <c r="M1153">
        <f>RAW_DATA!M1153</f>
        <v>5</v>
      </c>
      <c r="N1153">
        <f t="shared" si="34"/>
        <v>0</v>
      </c>
      <c r="O1153" t="str">
        <f xml:space="preserve"> VLOOKUP(A1153, Lookup_Tables!$G$2:$H$6,2,TRUE)</f>
        <v>25-34</v>
      </c>
      <c r="P1153" t="str">
        <f>_xlfn.XLOOKUP(J1153,Lookup_Tables!$J$2:$J$4,Lookup_Tables!$K$2:$K$4, " ",-1)</f>
        <v>Medium</v>
      </c>
      <c r="Q1153" t="str">
        <f xml:space="preserve"> _xlfn.XLOOKUP(M1153, Lookup_Tables!$M$2:$M$5,Lookup_Tables!$N$2:$N$5," ", -1)</f>
        <v>Established (5-10)</v>
      </c>
      <c r="R1153" s="4">
        <f t="shared" si="35"/>
        <v>1.6666666666666667</v>
      </c>
      <c r="S1153" t="str">
        <f xml:space="preserve"> _xlfn.XLOOKUP( E1153, Lookup_Tables!$A$2:$A$6,Lookup_Tables!$B$2:$B$6," ", -1)</f>
        <v>Bachelor</v>
      </c>
      <c r="T1153" t="str">
        <f>_xlfn.XLOOKUP(G1153,Lookup_Tables!$D$2:$D$5,Lookup_Tables!$E$2:$E$5)</f>
        <v>Medium</v>
      </c>
      <c r="U1153" t="str">
        <f>_xlfn.XLOOKUP(H1153,Lookup_Tables!$D$2:$D$5,Lookup_Tables!$E$2:$E$5)</f>
        <v>Low</v>
      </c>
      <c r="V1153" t="str">
        <f>_xlfn.XLOOKUP(L1153,Lookup_Tables!$D$2:$D$5,Lookup_Tables!$E$2:$E$5)</f>
        <v>Medium</v>
      </c>
    </row>
    <row r="1154" spans="1:22">
      <c r="A1154">
        <f>RAW_DATA!A1154</f>
        <v>21</v>
      </c>
      <c r="B1154" t="str">
        <f>RAW_DATA!B1154</f>
        <v>No</v>
      </c>
      <c r="C1154" t="str">
        <f>RAW_DATA!C1154</f>
        <v>Research &amp; Development</v>
      </c>
      <c r="D1154">
        <f>RAW_DATA!D1154</f>
        <v>5</v>
      </c>
      <c r="E1154">
        <f>RAW_DATA!E1154</f>
        <v>1</v>
      </c>
      <c r="F1154" t="str">
        <f>RAW_DATA!F1154</f>
        <v>Medical</v>
      </c>
      <c r="G1154">
        <f>RAW_DATA!G1154</f>
        <v>3</v>
      </c>
      <c r="H1154">
        <f>RAW_DATA!H1154</f>
        <v>4</v>
      </c>
      <c r="I1154" t="str">
        <f>RAW_DATA!I1154</f>
        <v>Single</v>
      </c>
      <c r="J1154">
        <f>RAW_DATA!J1154</f>
        <v>3117</v>
      </c>
      <c r="K1154">
        <f>RAW_DATA!K1154</f>
        <v>1</v>
      </c>
      <c r="L1154">
        <f>RAW_DATA!L1154</f>
        <v>3</v>
      </c>
      <c r="M1154">
        <f>RAW_DATA!M1154</f>
        <v>2</v>
      </c>
      <c r="N1154">
        <f t="shared" si="34"/>
        <v>0</v>
      </c>
      <c r="O1154" t="str">
        <f xml:space="preserve"> VLOOKUP(A1154, Lookup_Tables!$G$2:$H$6,2,TRUE)</f>
        <v>&lt;25</v>
      </c>
      <c r="P1154" t="str">
        <f>_xlfn.XLOOKUP(J1154,Lookup_Tables!$J$2:$J$4,Lookup_Tables!$K$2:$K$4, " ",-1)</f>
        <v>Medium</v>
      </c>
      <c r="Q1154" t="str">
        <f xml:space="preserve"> _xlfn.XLOOKUP(M1154, Lookup_Tables!$M$2:$M$5,Lookup_Tables!$N$2:$N$5," ", -1)</f>
        <v>Early (2-5)</v>
      </c>
      <c r="R1154" s="4">
        <f t="shared" si="35"/>
        <v>3.3333333333333335</v>
      </c>
      <c r="S1154" t="str">
        <f xml:space="preserve"> _xlfn.XLOOKUP( E1154, Lookup_Tables!$A$2:$A$6,Lookup_Tables!$B$2:$B$6," ", -1)</f>
        <v>Below College</v>
      </c>
      <c r="T1154" t="str">
        <f>_xlfn.XLOOKUP(G1154,Lookup_Tables!$D$2:$D$5,Lookup_Tables!$E$2:$E$5)</f>
        <v>High</v>
      </c>
      <c r="U1154" t="str">
        <f>_xlfn.XLOOKUP(H1154,Lookup_Tables!$D$2:$D$5,Lookup_Tables!$E$2:$E$5)</f>
        <v>Very High</v>
      </c>
      <c r="V1154" t="str">
        <f>_xlfn.XLOOKUP(L1154,Lookup_Tables!$D$2:$D$5,Lookup_Tables!$E$2:$E$5)</f>
        <v>High</v>
      </c>
    </row>
    <row r="1155" spans="1:22">
      <c r="A1155">
        <f>RAW_DATA!A1155</f>
        <v>18</v>
      </c>
      <c r="B1155" t="str">
        <f>RAW_DATA!B1155</f>
        <v>Yes</v>
      </c>
      <c r="C1155" t="str">
        <f>RAW_DATA!C1155</f>
        <v>Sales</v>
      </c>
      <c r="D1155">
        <f>RAW_DATA!D1155</f>
        <v>3</v>
      </c>
      <c r="E1155">
        <f>RAW_DATA!E1155</f>
        <v>2</v>
      </c>
      <c r="F1155" t="str">
        <f>RAW_DATA!F1155</f>
        <v>Medical</v>
      </c>
      <c r="G1155">
        <f>RAW_DATA!G1155</f>
        <v>2</v>
      </c>
      <c r="H1155">
        <f>RAW_DATA!H1155</f>
        <v>4</v>
      </c>
      <c r="I1155" t="str">
        <f>RAW_DATA!I1155</f>
        <v>Single</v>
      </c>
      <c r="J1155">
        <f>RAW_DATA!J1155</f>
        <v>1569</v>
      </c>
      <c r="K1155">
        <f>RAW_DATA!K1155</f>
        <v>1</v>
      </c>
      <c r="L1155">
        <f>RAW_DATA!L1155</f>
        <v>4</v>
      </c>
      <c r="M1155">
        <f>RAW_DATA!M1155</f>
        <v>0</v>
      </c>
      <c r="N1155">
        <f t="shared" ref="N1155:N1218" si="36" xml:space="preserve"> IF(B1155 ="Yes",1,0)</f>
        <v>1</v>
      </c>
      <c r="O1155" t="str">
        <f xml:space="preserve"> VLOOKUP(A1155, Lookup_Tables!$G$2:$H$6,2,TRUE)</f>
        <v>&lt;25</v>
      </c>
      <c r="P1155" t="str">
        <f>_xlfn.XLOOKUP(J1155,Lookup_Tables!$J$2:$J$4,Lookup_Tables!$K$2:$K$4, " ",-1)</f>
        <v>Low</v>
      </c>
      <c r="Q1155" t="str">
        <f xml:space="preserve"> _xlfn.XLOOKUP(M1155, Lookup_Tables!$M$2:$M$5,Lookup_Tables!$N$2:$N$5," ", -1)</f>
        <v>New (0-2)</v>
      </c>
      <c r="R1155" s="4">
        <f t="shared" ref="R1155:R1218" si="37">AVERAGE(G1155,H1155,L1155)</f>
        <v>3.3333333333333335</v>
      </c>
      <c r="S1155" t="str">
        <f xml:space="preserve"> _xlfn.XLOOKUP( E1155, Lookup_Tables!$A$2:$A$6,Lookup_Tables!$B$2:$B$6," ", -1)</f>
        <v>College</v>
      </c>
      <c r="T1155" t="str">
        <f>_xlfn.XLOOKUP(G1155,Lookup_Tables!$D$2:$D$5,Lookup_Tables!$E$2:$E$5)</f>
        <v>Medium</v>
      </c>
      <c r="U1155" t="str">
        <f>_xlfn.XLOOKUP(H1155,Lookup_Tables!$D$2:$D$5,Lookup_Tables!$E$2:$E$5)</f>
        <v>Very High</v>
      </c>
      <c r="V1155" t="str">
        <f>_xlfn.XLOOKUP(L1155,Lookup_Tables!$D$2:$D$5,Lookup_Tables!$E$2:$E$5)</f>
        <v>Very High</v>
      </c>
    </row>
    <row r="1156" spans="1:22">
      <c r="A1156">
        <f>RAW_DATA!A1156</f>
        <v>47</v>
      </c>
      <c r="B1156" t="str">
        <f>RAW_DATA!B1156</f>
        <v>No</v>
      </c>
      <c r="C1156" t="str">
        <f>RAW_DATA!C1156</f>
        <v>Human Resources</v>
      </c>
      <c r="D1156">
        <f>RAW_DATA!D1156</f>
        <v>26</v>
      </c>
      <c r="E1156">
        <f>RAW_DATA!E1156</f>
        <v>4</v>
      </c>
      <c r="F1156" t="str">
        <f>RAW_DATA!F1156</f>
        <v>Life Sciences</v>
      </c>
      <c r="G1156">
        <f>RAW_DATA!G1156</f>
        <v>4</v>
      </c>
      <c r="H1156">
        <f>RAW_DATA!H1156</f>
        <v>3</v>
      </c>
      <c r="I1156" t="str">
        <f>RAW_DATA!I1156</f>
        <v>Married</v>
      </c>
      <c r="J1156">
        <f>RAW_DATA!J1156</f>
        <v>19658</v>
      </c>
      <c r="K1156">
        <f>RAW_DATA!K1156</f>
        <v>3</v>
      </c>
      <c r="L1156">
        <f>RAW_DATA!L1156</f>
        <v>3</v>
      </c>
      <c r="M1156">
        <f>RAW_DATA!M1156</f>
        <v>5</v>
      </c>
      <c r="N1156">
        <f t="shared" si="36"/>
        <v>0</v>
      </c>
      <c r="O1156" t="str">
        <f xml:space="preserve"> VLOOKUP(A1156, Lookup_Tables!$G$2:$H$6,2,TRUE)</f>
        <v>45-54</v>
      </c>
      <c r="P1156" t="str">
        <f>_xlfn.XLOOKUP(J1156,Lookup_Tables!$J$2:$J$4,Lookup_Tables!$K$2:$K$4, " ",-1)</f>
        <v>High</v>
      </c>
      <c r="Q1156" t="str">
        <f xml:space="preserve"> _xlfn.XLOOKUP(M1156, Lookup_Tables!$M$2:$M$5,Lookup_Tables!$N$2:$N$5," ", -1)</f>
        <v>Established (5-10)</v>
      </c>
      <c r="R1156" s="4">
        <f t="shared" si="37"/>
        <v>3.3333333333333335</v>
      </c>
      <c r="S1156" t="str">
        <f xml:space="preserve"> _xlfn.XLOOKUP( E1156, Lookup_Tables!$A$2:$A$6,Lookup_Tables!$B$2:$B$6," ", -1)</f>
        <v>Master</v>
      </c>
      <c r="T1156" t="str">
        <f>_xlfn.XLOOKUP(G1156,Lookup_Tables!$D$2:$D$5,Lookup_Tables!$E$2:$E$5)</f>
        <v>Very High</v>
      </c>
      <c r="U1156" t="str">
        <f>_xlfn.XLOOKUP(H1156,Lookup_Tables!$D$2:$D$5,Lookup_Tables!$E$2:$E$5)</f>
        <v>High</v>
      </c>
      <c r="V1156" t="str">
        <f>_xlfn.XLOOKUP(L1156,Lookup_Tables!$D$2:$D$5,Lookup_Tables!$E$2:$E$5)</f>
        <v>High</v>
      </c>
    </row>
    <row r="1157" spans="1:22">
      <c r="A1157">
        <f>RAW_DATA!A1157</f>
        <v>39</v>
      </c>
      <c r="B1157" t="str">
        <f>RAW_DATA!B1157</f>
        <v>No</v>
      </c>
      <c r="C1157" t="str">
        <f>RAW_DATA!C1157</f>
        <v>Research &amp; Development</v>
      </c>
      <c r="D1157">
        <f>RAW_DATA!D1157</f>
        <v>3</v>
      </c>
      <c r="E1157">
        <f>RAW_DATA!E1157</f>
        <v>2</v>
      </c>
      <c r="F1157" t="str">
        <f>RAW_DATA!F1157</f>
        <v>Medical</v>
      </c>
      <c r="G1157">
        <f>RAW_DATA!G1157</f>
        <v>3</v>
      </c>
      <c r="H1157">
        <f>RAW_DATA!H1157</f>
        <v>3</v>
      </c>
      <c r="I1157" t="str">
        <f>RAW_DATA!I1157</f>
        <v>Divorced</v>
      </c>
      <c r="J1157">
        <f>RAW_DATA!J1157</f>
        <v>3069</v>
      </c>
      <c r="K1157">
        <f>RAW_DATA!K1157</f>
        <v>0</v>
      </c>
      <c r="L1157">
        <f>RAW_DATA!L1157</f>
        <v>3</v>
      </c>
      <c r="M1157">
        <f>RAW_DATA!M1157</f>
        <v>10</v>
      </c>
      <c r="N1157">
        <f t="shared" si="36"/>
        <v>0</v>
      </c>
      <c r="O1157" t="str">
        <f xml:space="preserve"> VLOOKUP(A1157, Lookup_Tables!$G$2:$H$6,2,TRUE)</f>
        <v>35-44</v>
      </c>
      <c r="P1157" t="str">
        <f>_xlfn.XLOOKUP(J1157,Lookup_Tables!$J$2:$J$4,Lookup_Tables!$K$2:$K$4, " ",-1)</f>
        <v>Medium</v>
      </c>
      <c r="Q1157" t="str">
        <f xml:space="preserve"> _xlfn.XLOOKUP(M1157, Lookup_Tables!$M$2:$M$5,Lookup_Tables!$N$2:$N$5," ", -1)</f>
        <v>Veteran (10+)</v>
      </c>
      <c r="R1157" s="4">
        <f t="shared" si="37"/>
        <v>3</v>
      </c>
      <c r="S1157" t="str">
        <f xml:space="preserve"> _xlfn.XLOOKUP( E1157, Lookup_Tables!$A$2:$A$6,Lookup_Tables!$B$2:$B$6," ", -1)</f>
        <v>College</v>
      </c>
      <c r="T1157" t="str">
        <f>_xlfn.XLOOKUP(G1157,Lookup_Tables!$D$2:$D$5,Lookup_Tables!$E$2:$E$5)</f>
        <v>High</v>
      </c>
      <c r="U1157" t="str">
        <f>_xlfn.XLOOKUP(H1157,Lookup_Tables!$D$2:$D$5,Lookup_Tables!$E$2:$E$5)</f>
        <v>High</v>
      </c>
      <c r="V1157" t="str">
        <f>_xlfn.XLOOKUP(L1157,Lookup_Tables!$D$2:$D$5,Lookup_Tables!$E$2:$E$5)</f>
        <v>High</v>
      </c>
    </row>
    <row r="1158" spans="1:22">
      <c r="A1158">
        <f>RAW_DATA!A1158</f>
        <v>40</v>
      </c>
      <c r="B1158" t="str">
        <f>RAW_DATA!B1158</f>
        <v>No</v>
      </c>
      <c r="C1158" t="str">
        <f>RAW_DATA!C1158</f>
        <v>Research &amp; Development</v>
      </c>
      <c r="D1158">
        <f>RAW_DATA!D1158</f>
        <v>15</v>
      </c>
      <c r="E1158">
        <f>RAW_DATA!E1158</f>
        <v>3</v>
      </c>
      <c r="F1158" t="str">
        <f>RAW_DATA!F1158</f>
        <v>Life Sciences</v>
      </c>
      <c r="G1158">
        <f>RAW_DATA!G1158</f>
        <v>1</v>
      </c>
      <c r="H1158">
        <f>RAW_DATA!H1158</f>
        <v>3</v>
      </c>
      <c r="I1158" t="str">
        <f>RAW_DATA!I1158</f>
        <v>Married</v>
      </c>
      <c r="J1158">
        <f>RAW_DATA!J1158</f>
        <v>10435</v>
      </c>
      <c r="K1158">
        <f>RAW_DATA!K1158</f>
        <v>1</v>
      </c>
      <c r="L1158">
        <f>RAW_DATA!L1158</f>
        <v>3</v>
      </c>
      <c r="M1158">
        <f>RAW_DATA!M1158</f>
        <v>18</v>
      </c>
      <c r="N1158">
        <f t="shared" si="36"/>
        <v>0</v>
      </c>
      <c r="O1158" t="str">
        <f xml:space="preserve"> VLOOKUP(A1158, Lookup_Tables!$G$2:$H$6,2,TRUE)</f>
        <v>35-44</v>
      </c>
      <c r="P1158" t="str">
        <f>_xlfn.XLOOKUP(J1158,Lookup_Tables!$J$2:$J$4,Lookup_Tables!$K$2:$K$4, " ",-1)</f>
        <v>High</v>
      </c>
      <c r="Q1158" t="str">
        <f xml:space="preserve"> _xlfn.XLOOKUP(M1158, Lookup_Tables!$M$2:$M$5,Lookup_Tables!$N$2:$N$5," ", -1)</f>
        <v>Veteran (10+)</v>
      </c>
      <c r="R1158" s="4">
        <f t="shared" si="37"/>
        <v>2.3333333333333335</v>
      </c>
      <c r="S1158" t="str">
        <f xml:space="preserve"> _xlfn.XLOOKUP( E1158, Lookup_Tables!$A$2:$A$6,Lookup_Tables!$B$2:$B$6," ", -1)</f>
        <v>Bachelor</v>
      </c>
      <c r="T1158" t="str">
        <f>_xlfn.XLOOKUP(G1158,Lookup_Tables!$D$2:$D$5,Lookup_Tables!$E$2:$E$5)</f>
        <v>Low</v>
      </c>
      <c r="U1158" t="str">
        <f>_xlfn.XLOOKUP(H1158,Lookup_Tables!$D$2:$D$5,Lookup_Tables!$E$2:$E$5)</f>
        <v>High</v>
      </c>
      <c r="V1158" t="str">
        <f>_xlfn.XLOOKUP(L1158,Lookup_Tables!$D$2:$D$5,Lookup_Tables!$E$2:$E$5)</f>
        <v>High</v>
      </c>
    </row>
    <row r="1159" spans="1:22">
      <c r="A1159">
        <f>RAW_DATA!A1159</f>
        <v>35</v>
      </c>
      <c r="B1159" t="str">
        <f>RAW_DATA!B1159</f>
        <v>No</v>
      </c>
      <c r="C1159" t="str">
        <f>RAW_DATA!C1159</f>
        <v>Research &amp; Development</v>
      </c>
      <c r="D1159">
        <f>RAW_DATA!D1159</f>
        <v>8</v>
      </c>
      <c r="E1159">
        <f>RAW_DATA!E1159</f>
        <v>4</v>
      </c>
      <c r="F1159" t="str">
        <f>RAW_DATA!F1159</f>
        <v>Life Sciences</v>
      </c>
      <c r="G1159">
        <f>RAW_DATA!G1159</f>
        <v>3</v>
      </c>
      <c r="H1159">
        <f>RAW_DATA!H1159</f>
        <v>3</v>
      </c>
      <c r="I1159" t="str">
        <f>RAW_DATA!I1159</f>
        <v>Married</v>
      </c>
      <c r="J1159">
        <f>RAW_DATA!J1159</f>
        <v>4148</v>
      </c>
      <c r="K1159">
        <f>RAW_DATA!K1159</f>
        <v>1</v>
      </c>
      <c r="L1159">
        <f>RAW_DATA!L1159</f>
        <v>3</v>
      </c>
      <c r="M1159">
        <f>RAW_DATA!M1159</f>
        <v>14</v>
      </c>
      <c r="N1159">
        <f t="shared" si="36"/>
        <v>0</v>
      </c>
      <c r="O1159" t="str">
        <f xml:space="preserve"> VLOOKUP(A1159, Lookup_Tables!$G$2:$H$6,2,TRUE)</f>
        <v>35-44</v>
      </c>
      <c r="P1159" t="str">
        <f>_xlfn.XLOOKUP(J1159,Lookup_Tables!$J$2:$J$4,Lookup_Tables!$K$2:$K$4, " ",-1)</f>
        <v>Medium</v>
      </c>
      <c r="Q1159" t="str">
        <f xml:space="preserve"> _xlfn.XLOOKUP(M1159, Lookup_Tables!$M$2:$M$5,Lookup_Tables!$N$2:$N$5," ", -1)</f>
        <v>Veteran (10+)</v>
      </c>
      <c r="R1159" s="4">
        <f t="shared" si="37"/>
        <v>3</v>
      </c>
      <c r="S1159" t="str">
        <f xml:space="preserve"> _xlfn.XLOOKUP( E1159, Lookup_Tables!$A$2:$A$6,Lookup_Tables!$B$2:$B$6," ", -1)</f>
        <v>Master</v>
      </c>
      <c r="T1159" t="str">
        <f>_xlfn.XLOOKUP(G1159,Lookup_Tables!$D$2:$D$5,Lookup_Tables!$E$2:$E$5)</f>
        <v>High</v>
      </c>
      <c r="U1159" t="str">
        <f>_xlfn.XLOOKUP(H1159,Lookup_Tables!$D$2:$D$5,Lookup_Tables!$E$2:$E$5)</f>
        <v>High</v>
      </c>
      <c r="V1159" t="str">
        <f>_xlfn.XLOOKUP(L1159,Lookup_Tables!$D$2:$D$5,Lookup_Tables!$E$2:$E$5)</f>
        <v>High</v>
      </c>
    </row>
    <row r="1160" spans="1:22">
      <c r="A1160">
        <f>RAW_DATA!A1160</f>
        <v>37</v>
      </c>
      <c r="B1160" t="str">
        <f>RAW_DATA!B1160</f>
        <v>No</v>
      </c>
      <c r="C1160" t="str">
        <f>RAW_DATA!C1160</f>
        <v>Research &amp; Development</v>
      </c>
      <c r="D1160">
        <f>RAW_DATA!D1160</f>
        <v>19</v>
      </c>
      <c r="E1160">
        <f>RAW_DATA!E1160</f>
        <v>3</v>
      </c>
      <c r="F1160" t="str">
        <f>RAW_DATA!F1160</f>
        <v>Life Sciences</v>
      </c>
      <c r="G1160">
        <f>RAW_DATA!G1160</f>
        <v>3</v>
      </c>
      <c r="H1160">
        <f>RAW_DATA!H1160</f>
        <v>3</v>
      </c>
      <c r="I1160" t="str">
        <f>RAW_DATA!I1160</f>
        <v>Married</v>
      </c>
      <c r="J1160">
        <f>RAW_DATA!J1160</f>
        <v>5768</v>
      </c>
      <c r="K1160">
        <f>RAW_DATA!K1160</f>
        <v>3</v>
      </c>
      <c r="L1160">
        <f>RAW_DATA!L1160</f>
        <v>2</v>
      </c>
      <c r="M1160">
        <f>RAW_DATA!M1160</f>
        <v>4</v>
      </c>
      <c r="N1160">
        <f t="shared" si="36"/>
        <v>0</v>
      </c>
      <c r="O1160" t="str">
        <f xml:space="preserve"> VLOOKUP(A1160, Lookup_Tables!$G$2:$H$6,2,TRUE)</f>
        <v>35-44</v>
      </c>
      <c r="P1160" t="str">
        <f>_xlfn.XLOOKUP(J1160,Lookup_Tables!$J$2:$J$4,Lookup_Tables!$K$2:$K$4, " ",-1)</f>
        <v>Medium</v>
      </c>
      <c r="Q1160" t="str">
        <f xml:space="preserve"> _xlfn.XLOOKUP(M1160, Lookup_Tables!$M$2:$M$5,Lookup_Tables!$N$2:$N$5," ", -1)</f>
        <v>Early (2-5)</v>
      </c>
      <c r="R1160" s="4">
        <f t="shared" si="37"/>
        <v>2.6666666666666665</v>
      </c>
      <c r="S1160" t="str">
        <f xml:space="preserve"> _xlfn.XLOOKUP( E1160, Lookup_Tables!$A$2:$A$6,Lookup_Tables!$B$2:$B$6," ", -1)</f>
        <v>Bachelor</v>
      </c>
      <c r="T1160" t="str">
        <f>_xlfn.XLOOKUP(G1160,Lookup_Tables!$D$2:$D$5,Lookup_Tables!$E$2:$E$5)</f>
        <v>High</v>
      </c>
      <c r="U1160" t="str">
        <f>_xlfn.XLOOKUP(H1160,Lookup_Tables!$D$2:$D$5,Lookup_Tables!$E$2:$E$5)</f>
        <v>High</v>
      </c>
      <c r="V1160" t="str">
        <f>_xlfn.XLOOKUP(L1160,Lookup_Tables!$D$2:$D$5,Lookup_Tables!$E$2:$E$5)</f>
        <v>Medium</v>
      </c>
    </row>
    <row r="1161" spans="1:22">
      <c r="A1161">
        <f>RAW_DATA!A1161</f>
        <v>39</v>
      </c>
      <c r="B1161" t="str">
        <f>RAW_DATA!B1161</f>
        <v>No</v>
      </c>
      <c r="C1161" t="str">
        <f>RAW_DATA!C1161</f>
        <v>Research &amp; Development</v>
      </c>
      <c r="D1161">
        <f>RAW_DATA!D1161</f>
        <v>4</v>
      </c>
      <c r="E1161">
        <f>RAW_DATA!E1161</f>
        <v>3</v>
      </c>
      <c r="F1161" t="str">
        <f>RAW_DATA!F1161</f>
        <v>Medical</v>
      </c>
      <c r="G1161">
        <f>RAW_DATA!G1161</f>
        <v>1</v>
      </c>
      <c r="H1161">
        <f>RAW_DATA!H1161</f>
        <v>3</v>
      </c>
      <c r="I1161" t="str">
        <f>RAW_DATA!I1161</f>
        <v>Single</v>
      </c>
      <c r="J1161">
        <f>RAW_DATA!J1161</f>
        <v>5042</v>
      </c>
      <c r="K1161">
        <f>RAW_DATA!K1161</f>
        <v>0</v>
      </c>
      <c r="L1161">
        <f>RAW_DATA!L1161</f>
        <v>1</v>
      </c>
      <c r="M1161">
        <f>RAW_DATA!M1161</f>
        <v>9</v>
      </c>
      <c r="N1161">
        <f t="shared" si="36"/>
        <v>0</v>
      </c>
      <c r="O1161" t="str">
        <f xml:space="preserve"> VLOOKUP(A1161, Lookup_Tables!$G$2:$H$6,2,TRUE)</f>
        <v>35-44</v>
      </c>
      <c r="P1161" t="str">
        <f>_xlfn.XLOOKUP(J1161,Lookup_Tables!$J$2:$J$4,Lookup_Tables!$K$2:$K$4, " ",-1)</f>
        <v>Medium</v>
      </c>
      <c r="Q1161" t="str">
        <f xml:space="preserve"> _xlfn.XLOOKUP(M1161, Lookup_Tables!$M$2:$M$5,Lookup_Tables!$N$2:$N$5," ", -1)</f>
        <v>Established (5-10)</v>
      </c>
      <c r="R1161" s="4">
        <f t="shared" si="37"/>
        <v>1.6666666666666667</v>
      </c>
      <c r="S1161" t="str">
        <f xml:space="preserve"> _xlfn.XLOOKUP( E1161, Lookup_Tables!$A$2:$A$6,Lookup_Tables!$B$2:$B$6," ", -1)</f>
        <v>Bachelor</v>
      </c>
      <c r="T1161" t="str">
        <f>_xlfn.XLOOKUP(G1161,Lookup_Tables!$D$2:$D$5,Lookup_Tables!$E$2:$E$5)</f>
        <v>Low</v>
      </c>
      <c r="U1161" t="str">
        <f>_xlfn.XLOOKUP(H1161,Lookup_Tables!$D$2:$D$5,Lookup_Tables!$E$2:$E$5)</f>
        <v>High</v>
      </c>
      <c r="V1161" t="str">
        <f>_xlfn.XLOOKUP(L1161,Lookup_Tables!$D$2:$D$5,Lookup_Tables!$E$2:$E$5)</f>
        <v>Low</v>
      </c>
    </row>
    <row r="1162" spans="1:22">
      <c r="A1162">
        <f>RAW_DATA!A1162</f>
        <v>45</v>
      </c>
      <c r="B1162" t="str">
        <f>RAW_DATA!B1162</f>
        <v>No</v>
      </c>
      <c r="C1162" t="str">
        <f>RAW_DATA!C1162</f>
        <v>Research &amp; Development</v>
      </c>
      <c r="D1162">
        <f>RAW_DATA!D1162</f>
        <v>2</v>
      </c>
      <c r="E1162">
        <f>RAW_DATA!E1162</f>
        <v>2</v>
      </c>
      <c r="F1162" t="str">
        <f>RAW_DATA!F1162</f>
        <v>Other</v>
      </c>
      <c r="G1162">
        <f>RAW_DATA!G1162</f>
        <v>4</v>
      </c>
      <c r="H1162">
        <f>RAW_DATA!H1162</f>
        <v>4</v>
      </c>
      <c r="I1162" t="str">
        <f>RAW_DATA!I1162</f>
        <v>Divorced</v>
      </c>
      <c r="J1162">
        <f>RAW_DATA!J1162</f>
        <v>5770</v>
      </c>
      <c r="K1162">
        <f>RAW_DATA!K1162</f>
        <v>1</v>
      </c>
      <c r="L1162">
        <f>RAW_DATA!L1162</f>
        <v>3</v>
      </c>
      <c r="M1162">
        <f>RAW_DATA!M1162</f>
        <v>10</v>
      </c>
      <c r="N1162">
        <f t="shared" si="36"/>
        <v>0</v>
      </c>
      <c r="O1162" t="str">
        <f xml:space="preserve"> VLOOKUP(A1162, Lookup_Tables!$G$2:$H$6,2,TRUE)</f>
        <v>45-54</v>
      </c>
      <c r="P1162" t="str">
        <f>_xlfn.XLOOKUP(J1162,Lookup_Tables!$J$2:$J$4,Lookup_Tables!$K$2:$K$4, " ",-1)</f>
        <v>Medium</v>
      </c>
      <c r="Q1162" t="str">
        <f xml:space="preserve"> _xlfn.XLOOKUP(M1162, Lookup_Tables!$M$2:$M$5,Lookup_Tables!$N$2:$N$5," ", -1)</f>
        <v>Veteran (10+)</v>
      </c>
      <c r="R1162" s="4">
        <f t="shared" si="37"/>
        <v>3.6666666666666665</v>
      </c>
      <c r="S1162" t="str">
        <f xml:space="preserve"> _xlfn.XLOOKUP( E1162, Lookup_Tables!$A$2:$A$6,Lookup_Tables!$B$2:$B$6," ", -1)</f>
        <v>College</v>
      </c>
      <c r="T1162" t="str">
        <f>_xlfn.XLOOKUP(G1162,Lookup_Tables!$D$2:$D$5,Lookup_Tables!$E$2:$E$5)</f>
        <v>Very High</v>
      </c>
      <c r="U1162" t="str">
        <f>_xlfn.XLOOKUP(H1162,Lookup_Tables!$D$2:$D$5,Lookup_Tables!$E$2:$E$5)</f>
        <v>Very High</v>
      </c>
      <c r="V1162" t="str">
        <f>_xlfn.XLOOKUP(L1162,Lookup_Tables!$D$2:$D$5,Lookup_Tables!$E$2:$E$5)</f>
        <v>High</v>
      </c>
    </row>
    <row r="1163" spans="1:22">
      <c r="A1163">
        <f>RAW_DATA!A1163</f>
        <v>38</v>
      </c>
      <c r="B1163" t="str">
        <f>RAW_DATA!B1163</f>
        <v>No</v>
      </c>
      <c r="C1163" t="str">
        <f>RAW_DATA!C1163</f>
        <v>Research &amp; Development</v>
      </c>
      <c r="D1163">
        <f>RAW_DATA!D1163</f>
        <v>2</v>
      </c>
      <c r="E1163">
        <f>RAW_DATA!E1163</f>
        <v>2</v>
      </c>
      <c r="F1163" t="str">
        <f>RAW_DATA!F1163</f>
        <v>Medical</v>
      </c>
      <c r="G1163">
        <f>RAW_DATA!G1163</f>
        <v>4</v>
      </c>
      <c r="H1163">
        <f>RAW_DATA!H1163</f>
        <v>3</v>
      </c>
      <c r="I1163" t="str">
        <f>RAW_DATA!I1163</f>
        <v>Married</v>
      </c>
      <c r="J1163">
        <f>RAW_DATA!J1163</f>
        <v>7756</v>
      </c>
      <c r="K1163">
        <f>RAW_DATA!K1163</f>
        <v>3</v>
      </c>
      <c r="L1163">
        <f>RAW_DATA!L1163</f>
        <v>4</v>
      </c>
      <c r="M1163">
        <f>RAW_DATA!M1163</f>
        <v>5</v>
      </c>
      <c r="N1163">
        <f t="shared" si="36"/>
        <v>0</v>
      </c>
      <c r="O1163" t="str">
        <f xml:space="preserve"> VLOOKUP(A1163, Lookup_Tables!$G$2:$H$6,2,TRUE)</f>
        <v>35-44</v>
      </c>
      <c r="P1163" t="str">
        <f>_xlfn.XLOOKUP(J1163,Lookup_Tables!$J$2:$J$4,Lookup_Tables!$K$2:$K$4, " ",-1)</f>
        <v>High</v>
      </c>
      <c r="Q1163" t="str">
        <f xml:space="preserve"> _xlfn.XLOOKUP(M1163, Lookup_Tables!$M$2:$M$5,Lookup_Tables!$N$2:$N$5," ", -1)</f>
        <v>Established (5-10)</v>
      </c>
      <c r="R1163" s="4">
        <f t="shared" si="37"/>
        <v>3.6666666666666665</v>
      </c>
      <c r="S1163" t="str">
        <f xml:space="preserve"> _xlfn.XLOOKUP( E1163, Lookup_Tables!$A$2:$A$6,Lookup_Tables!$B$2:$B$6," ", -1)</f>
        <v>College</v>
      </c>
      <c r="T1163" t="str">
        <f>_xlfn.XLOOKUP(G1163,Lookup_Tables!$D$2:$D$5,Lookup_Tables!$E$2:$E$5)</f>
        <v>Very High</v>
      </c>
      <c r="U1163" t="str">
        <f>_xlfn.XLOOKUP(H1163,Lookup_Tables!$D$2:$D$5,Lookup_Tables!$E$2:$E$5)</f>
        <v>High</v>
      </c>
      <c r="V1163" t="str">
        <f>_xlfn.XLOOKUP(L1163,Lookup_Tables!$D$2:$D$5,Lookup_Tables!$E$2:$E$5)</f>
        <v>Very High</v>
      </c>
    </row>
    <row r="1164" spans="1:22">
      <c r="A1164">
        <f>RAW_DATA!A1164</f>
        <v>35</v>
      </c>
      <c r="B1164" t="str">
        <f>RAW_DATA!B1164</f>
        <v>Yes</v>
      </c>
      <c r="C1164" t="str">
        <f>RAW_DATA!C1164</f>
        <v>Sales</v>
      </c>
      <c r="D1164">
        <f>RAW_DATA!D1164</f>
        <v>10</v>
      </c>
      <c r="E1164">
        <f>RAW_DATA!E1164</f>
        <v>3</v>
      </c>
      <c r="F1164" t="str">
        <f>RAW_DATA!F1164</f>
        <v>Medical</v>
      </c>
      <c r="G1164">
        <f>RAW_DATA!G1164</f>
        <v>4</v>
      </c>
      <c r="H1164">
        <f>RAW_DATA!H1164</f>
        <v>1</v>
      </c>
      <c r="I1164" t="str">
        <f>RAW_DATA!I1164</f>
        <v>Married</v>
      </c>
      <c r="J1164">
        <f>RAW_DATA!J1164</f>
        <v>10306</v>
      </c>
      <c r="K1164">
        <f>RAW_DATA!K1164</f>
        <v>9</v>
      </c>
      <c r="L1164">
        <f>RAW_DATA!L1164</f>
        <v>3</v>
      </c>
      <c r="M1164">
        <f>RAW_DATA!M1164</f>
        <v>13</v>
      </c>
      <c r="N1164">
        <f t="shared" si="36"/>
        <v>1</v>
      </c>
      <c r="O1164" t="str">
        <f xml:space="preserve"> VLOOKUP(A1164, Lookup_Tables!$G$2:$H$6,2,TRUE)</f>
        <v>35-44</v>
      </c>
      <c r="P1164" t="str">
        <f>_xlfn.XLOOKUP(J1164,Lookup_Tables!$J$2:$J$4,Lookup_Tables!$K$2:$K$4, " ",-1)</f>
        <v>High</v>
      </c>
      <c r="Q1164" t="str">
        <f xml:space="preserve"> _xlfn.XLOOKUP(M1164, Lookup_Tables!$M$2:$M$5,Lookup_Tables!$N$2:$N$5," ", -1)</f>
        <v>Veteran (10+)</v>
      </c>
      <c r="R1164" s="4">
        <f t="shared" si="37"/>
        <v>2.6666666666666665</v>
      </c>
      <c r="S1164" t="str">
        <f xml:space="preserve"> _xlfn.XLOOKUP( E1164, Lookup_Tables!$A$2:$A$6,Lookup_Tables!$B$2:$B$6," ", -1)</f>
        <v>Bachelor</v>
      </c>
      <c r="T1164" t="str">
        <f>_xlfn.XLOOKUP(G1164,Lookup_Tables!$D$2:$D$5,Lookup_Tables!$E$2:$E$5)</f>
        <v>Very High</v>
      </c>
      <c r="U1164" t="str">
        <f>_xlfn.XLOOKUP(H1164,Lookup_Tables!$D$2:$D$5,Lookup_Tables!$E$2:$E$5)</f>
        <v>Low</v>
      </c>
      <c r="V1164" t="str">
        <f>_xlfn.XLOOKUP(L1164,Lookup_Tables!$D$2:$D$5,Lookup_Tables!$E$2:$E$5)</f>
        <v>High</v>
      </c>
    </row>
    <row r="1165" spans="1:22">
      <c r="A1165">
        <f>RAW_DATA!A1165</f>
        <v>37</v>
      </c>
      <c r="B1165" t="str">
        <f>RAW_DATA!B1165</f>
        <v>No</v>
      </c>
      <c r="C1165" t="str">
        <f>RAW_DATA!C1165</f>
        <v>Research &amp; Development</v>
      </c>
      <c r="D1165">
        <f>RAW_DATA!D1165</f>
        <v>10</v>
      </c>
      <c r="E1165">
        <f>RAW_DATA!E1165</f>
        <v>3</v>
      </c>
      <c r="F1165" t="str">
        <f>RAW_DATA!F1165</f>
        <v>Medical</v>
      </c>
      <c r="G1165">
        <f>RAW_DATA!G1165</f>
        <v>2</v>
      </c>
      <c r="H1165">
        <f>RAW_DATA!H1165</f>
        <v>2</v>
      </c>
      <c r="I1165" t="str">
        <f>RAW_DATA!I1165</f>
        <v>Married</v>
      </c>
      <c r="J1165">
        <f>RAW_DATA!J1165</f>
        <v>3936</v>
      </c>
      <c r="K1165">
        <f>RAW_DATA!K1165</f>
        <v>1</v>
      </c>
      <c r="L1165">
        <f>RAW_DATA!L1165</f>
        <v>1</v>
      </c>
      <c r="M1165">
        <f>RAW_DATA!M1165</f>
        <v>8</v>
      </c>
      <c r="N1165">
        <f t="shared" si="36"/>
        <v>0</v>
      </c>
      <c r="O1165" t="str">
        <f xml:space="preserve"> VLOOKUP(A1165, Lookup_Tables!$G$2:$H$6,2,TRUE)</f>
        <v>35-44</v>
      </c>
      <c r="P1165" t="str">
        <f>_xlfn.XLOOKUP(J1165,Lookup_Tables!$J$2:$J$4,Lookup_Tables!$K$2:$K$4, " ",-1)</f>
        <v>Medium</v>
      </c>
      <c r="Q1165" t="str">
        <f xml:space="preserve"> _xlfn.XLOOKUP(M1165, Lookup_Tables!$M$2:$M$5,Lookup_Tables!$N$2:$N$5," ", -1)</f>
        <v>Established (5-10)</v>
      </c>
      <c r="R1165" s="4">
        <f t="shared" si="37"/>
        <v>1.6666666666666667</v>
      </c>
      <c r="S1165" t="str">
        <f xml:space="preserve"> _xlfn.XLOOKUP( E1165, Lookup_Tables!$A$2:$A$6,Lookup_Tables!$B$2:$B$6," ", -1)</f>
        <v>Bachelor</v>
      </c>
      <c r="T1165" t="str">
        <f>_xlfn.XLOOKUP(G1165,Lookup_Tables!$D$2:$D$5,Lookup_Tables!$E$2:$E$5)</f>
        <v>Medium</v>
      </c>
      <c r="U1165" t="str">
        <f>_xlfn.XLOOKUP(H1165,Lookup_Tables!$D$2:$D$5,Lookup_Tables!$E$2:$E$5)</f>
        <v>Medium</v>
      </c>
      <c r="V1165" t="str">
        <f>_xlfn.XLOOKUP(L1165,Lookup_Tables!$D$2:$D$5,Lookup_Tables!$E$2:$E$5)</f>
        <v>Low</v>
      </c>
    </row>
    <row r="1166" spans="1:22">
      <c r="A1166">
        <f>RAW_DATA!A1166</f>
        <v>40</v>
      </c>
      <c r="B1166" t="str">
        <f>RAW_DATA!B1166</f>
        <v>No</v>
      </c>
      <c r="C1166" t="str">
        <f>RAW_DATA!C1166</f>
        <v>Research &amp; Development</v>
      </c>
      <c r="D1166">
        <f>RAW_DATA!D1166</f>
        <v>16</v>
      </c>
      <c r="E1166">
        <f>RAW_DATA!E1166</f>
        <v>3</v>
      </c>
      <c r="F1166" t="str">
        <f>RAW_DATA!F1166</f>
        <v>Life Sciences</v>
      </c>
      <c r="G1166">
        <f>RAW_DATA!G1166</f>
        <v>3</v>
      </c>
      <c r="H1166">
        <f>RAW_DATA!H1166</f>
        <v>4</v>
      </c>
      <c r="I1166" t="str">
        <f>RAW_DATA!I1166</f>
        <v>Single</v>
      </c>
      <c r="J1166">
        <f>RAW_DATA!J1166</f>
        <v>7945</v>
      </c>
      <c r="K1166">
        <f>RAW_DATA!K1166</f>
        <v>6</v>
      </c>
      <c r="L1166">
        <f>RAW_DATA!L1166</f>
        <v>2</v>
      </c>
      <c r="M1166">
        <f>RAW_DATA!M1166</f>
        <v>4</v>
      </c>
      <c r="N1166">
        <f t="shared" si="36"/>
        <v>0</v>
      </c>
      <c r="O1166" t="str">
        <f xml:space="preserve"> VLOOKUP(A1166, Lookup_Tables!$G$2:$H$6,2,TRUE)</f>
        <v>35-44</v>
      </c>
      <c r="P1166" t="str">
        <f>_xlfn.XLOOKUP(J1166,Lookup_Tables!$J$2:$J$4,Lookup_Tables!$K$2:$K$4, " ",-1)</f>
        <v>High</v>
      </c>
      <c r="Q1166" t="str">
        <f xml:space="preserve"> _xlfn.XLOOKUP(M1166, Lookup_Tables!$M$2:$M$5,Lookup_Tables!$N$2:$N$5," ", -1)</f>
        <v>Early (2-5)</v>
      </c>
      <c r="R1166" s="4">
        <f t="shared" si="37"/>
        <v>3</v>
      </c>
      <c r="S1166" t="str">
        <f xml:space="preserve"> _xlfn.XLOOKUP( E1166, Lookup_Tables!$A$2:$A$6,Lookup_Tables!$B$2:$B$6," ", -1)</f>
        <v>Bachelor</v>
      </c>
      <c r="T1166" t="str">
        <f>_xlfn.XLOOKUP(G1166,Lookup_Tables!$D$2:$D$5,Lookup_Tables!$E$2:$E$5)</f>
        <v>High</v>
      </c>
      <c r="U1166" t="str">
        <f>_xlfn.XLOOKUP(H1166,Lookup_Tables!$D$2:$D$5,Lookup_Tables!$E$2:$E$5)</f>
        <v>Very High</v>
      </c>
      <c r="V1166" t="str">
        <f>_xlfn.XLOOKUP(L1166,Lookup_Tables!$D$2:$D$5,Lookup_Tables!$E$2:$E$5)</f>
        <v>Medium</v>
      </c>
    </row>
    <row r="1167" spans="1:22">
      <c r="A1167">
        <f>RAW_DATA!A1167</f>
        <v>44</v>
      </c>
      <c r="B1167" t="str">
        <f>RAW_DATA!B1167</f>
        <v>No</v>
      </c>
      <c r="C1167" t="str">
        <f>RAW_DATA!C1167</f>
        <v>Human Resources</v>
      </c>
      <c r="D1167">
        <f>RAW_DATA!D1167</f>
        <v>1</v>
      </c>
      <c r="E1167">
        <f>RAW_DATA!E1167</f>
        <v>5</v>
      </c>
      <c r="F1167" t="str">
        <f>RAW_DATA!F1167</f>
        <v>Human Resources</v>
      </c>
      <c r="G1167">
        <f>RAW_DATA!G1167</f>
        <v>1</v>
      </c>
      <c r="H1167">
        <f>RAW_DATA!H1167</f>
        <v>4</v>
      </c>
      <c r="I1167" t="str">
        <f>RAW_DATA!I1167</f>
        <v>Married</v>
      </c>
      <c r="J1167">
        <f>RAW_DATA!J1167</f>
        <v>5743</v>
      </c>
      <c r="K1167">
        <f>RAW_DATA!K1167</f>
        <v>4</v>
      </c>
      <c r="L1167">
        <f>RAW_DATA!L1167</f>
        <v>3</v>
      </c>
      <c r="M1167">
        <f>RAW_DATA!M1167</f>
        <v>10</v>
      </c>
      <c r="N1167">
        <f t="shared" si="36"/>
        <v>0</v>
      </c>
      <c r="O1167" t="str">
        <f xml:space="preserve"> VLOOKUP(A1167, Lookup_Tables!$G$2:$H$6,2,TRUE)</f>
        <v>35-44</v>
      </c>
      <c r="P1167" t="str">
        <f>_xlfn.XLOOKUP(J1167,Lookup_Tables!$J$2:$J$4,Lookup_Tables!$K$2:$K$4, " ",-1)</f>
        <v>Medium</v>
      </c>
      <c r="Q1167" t="str">
        <f xml:space="preserve"> _xlfn.XLOOKUP(M1167, Lookup_Tables!$M$2:$M$5,Lookup_Tables!$N$2:$N$5," ", -1)</f>
        <v>Veteran (10+)</v>
      </c>
      <c r="R1167" s="4">
        <f t="shared" si="37"/>
        <v>2.6666666666666665</v>
      </c>
      <c r="S1167" t="str">
        <f xml:space="preserve"> _xlfn.XLOOKUP( E1167, Lookup_Tables!$A$2:$A$6,Lookup_Tables!$B$2:$B$6," ", -1)</f>
        <v>Doctor</v>
      </c>
      <c r="T1167" t="str">
        <f>_xlfn.XLOOKUP(G1167,Lookup_Tables!$D$2:$D$5,Lookup_Tables!$E$2:$E$5)</f>
        <v>Low</v>
      </c>
      <c r="U1167" t="str">
        <f>_xlfn.XLOOKUP(H1167,Lookup_Tables!$D$2:$D$5,Lookup_Tables!$E$2:$E$5)</f>
        <v>Very High</v>
      </c>
      <c r="V1167" t="str">
        <f>_xlfn.XLOOKUP(L1167,Lookup_Tables!$D$2:$D$5,Lookup_Tables!$E$2:$E$5)</f>
        <v>High</v>
      </c>
    </row>
    <row r="1168" spans="1:22">
      <c r="A1168">
        <f>RAW_DATA!A1168</f>
        <v>48</v>
      </c>
      <c r="B1168" t="str">
        <f>RAW_DATA!B1168</f>
        <v>No</v>
      </c>
      <c r="C1168" t="str">
        <f>RAW_DATA!C1168</f>
        <v>Research &amp; Development</v>
      </c>
      <c r="D1168">
        <f>RAW_DATA!D1168</f>
        <v>4</v>
      </c>
      <c r="E1168">
        <f>RAW_DATA!E1168</f>
        <v>5</v>
      </c>
      <c r="F1168" t="str">
        <f>RAW_DATA!F1168</f>
        <v>Medical</v>
      </c>
      <c r="G1168">
        <f>RAW_DATA!G1168</f>
        <v>3</v>
      </c>
      <c r="H1168">
        <f>RAW_DATA!H1168</f>
        <v>4</v>
      </c>
      <c r="I1168" t="str">
        <f>RAW_DATA!I1168</f>
        <v>Married</v>
      </c>
      <c r="J1168">
        <f>RAW_DATA!J1168</f>
        <v>15202</v>
      </c>
      <c r="K1168">
        <f>RAW_DATA!K1168</f>
        <v>2</v>
      </c>
      <c r="L1168">
        <f>RAW_DATA!L1168</f>
        <v>3</v>
      </c>
      <c r="M1168">
        <f>RAW_DATA!M1168</f>
        <v>2</v>
      </c>
      <c r="N1168">
        <f t="shared" si="36"/>
        <v>0</v>
      </c>
      <c r="O1168" t="str">
        <f xml:space="preserve"> VLOOKUP(A1168, Lookup_Tables!$G$2:$H$6,2,TRUE)</f>
        <v>45-54</v>
      </c>
      <c r="P1168" t="str">
        <f>_xlfn.XLOOKUP(J1168,Lookup_Tables!$J$2:$J$4,Lookup_Tables!$K$2:$K$4, " ",-1)</f>
        <v>High</v>
      </c>
      <c r="Q1168" t="str">
        <f xml:space="preserve"> _xlfn.XLOOKUP(M1168, Lookup_Tables!$M$2:$M$5,Lookup_Tables!$N$2:$N$5," ", -1)</f>
        <v>Early (2-5)</v>
      </c>
      <c r="R1168" s="4">
        <f t="shared" si="37"/>
        <v>3.3333333333333335</v>
      </c>
      <c r="S1168" t="str">
        <f xml:space="preserve"> _xlfn.XLOOKUP( E1168, Lookup_Tables!$A$2:$A$6,Lookup_Tables!$B$2:$B$6," ", -1)</f>
        <v>Doctor</v>
      </c>
      <c r="T1168" t="str">
        <f>_xlfn.XLOOKUP(G1168,Lookup_Tables!$D$2:$D$5,Lookup_Tables!$E$2:$E$5)</f>
        <v>High</v>
      </c>
      <c r="U1168" t="str">
        <f>_xlfn.XLOOKUP(H1168,Lookup_Tables!$D$2:$D$5,Lookup_Tables!$E$2:$E$5)</f>
        <v>Very High</v>
      </c>
      <c r="V1168" t="str">
        <f>_xlfn.XLOOKUP(L1168,Lookup_Tables!$D$2:$D$5,Lookup_Tables!$E$2:$E$5)</f>
        <v>High</v>
      </c>
    </row>
    <row r="1169" spans="1:22">
      <c r="A1169">
        <f>RAW_DATA!A1169</f>
        <v>35</v>
      </c>
      <c r="B1169" t="str">
        <f>RAW_DATA!B1169</f>
        <v>Yes</v>
      </c>
      <c r="C1169" t="str">
        <f>RAW_DATA!C1169</f>
        <v>Sales</v>
      </c>
      <c r="D1169">
        <f>RAW_DATA!D1169</f>
        <v>15</v>
      </c>
      <c r="E1169">
        <f>RAW_DATA!E1169</f>
        <v>2</v>
      </c>
      <c r="F1169" t="str">
        <f>RAW_DATA!F1169</f>
        <v>Medical</v>
      </c>
      <c r="G1169">
        <f>RAW_DATA!G1169</f>
        <v>1</v>
      </c>
      <c r="H1169">
        <f>RAW_DATA!H1169</f>
        <v>4</v>
      </c>
      <c r="I1169" t="str">
        <f>RAW_DATA!I1169</f>
        <v>Divorced</v>
      </c>
      <c r="J1169">
        <f>RAW_DATA!J1169</f>
        <v>5440</v>
      </c>
      <c r="K1169">
        <f>RAW_DATA!K1169</f>
        <v>6</v>
      </c>
      <c r="L1169">
        <f>RAW_DATA!L1169</f>
        <v>2</v>
      </c>
      <c r="M1169">
        <f>RAW_DATA!M1169</f>
        <v>2</v>
      </c>
      <c r="N1169">
        <f t="shared" si="36"/>
        <v>1</v>
      </c>
      <c r="O1169" t="str">
        <f xml:space="preserve"> VLOOKUP(A1169, Lookup_Tables!$G$2:$H$6,2,TRUE)</f>
        <v>35-44</v>
      </c>
      <c r="P1169" t="str">
        <f>_xlfn.XLOOKUP(J1169,Lookup_Tables!$J$2:$J$4,Lookup_Tables!$K$2:$K$4, " ",-1)</f>
        <v>Medium</v>
      </c>
      <c r="Q1169" t="str">
        <f xml:space="preserve"> _xlfn.XLOOKUP(M1169, Lookup_Tables!$M$2:$M$5,Lookup_Tables!$N$2:$N$5," ", -1)</f>
        <v>Early (2-5)</v>
      </c>
      <c r="R1169" s="4">
        <f t="shared" si="37"/>
        <v>2.3333333333333335</v>
      </c>
      <c r="S1169" t="str">
        <f xml:space="preserve"> _xlfn.XLOOKUP( E1169, Lookup_Tables!$A$2:$A$6,Lookup_Tables!$B$2:$B$6," ", -1)</f>
        <v>College</v>
      </c>
      <c r="T1169" t="str">
        <f>_xlfn.XLOOKUP(G1169,Lookup_Tables!$D$2:$D$5,Lookup_Tables!$E$2:$E$5)</f>
        <v>Low</v>
      </c>
      <c r="U1169" t="str">
        <f>_xlfn.XLOOKUP(H1169,Lookup_Tables!$D$2:$D$5,Lookup_Tables!$E$2:$E$5)</f>
        <v>Very High</v>
      </c>
      <c r="V1169" t="str">
        <f>_xlfn.XLOOKUP(L1169,Lookup_Tables!$D$2:$D$5,Lookup_Tables!$E$2:$E$5)</f>
        <v>Medium</v>
      </c>
    </row>
    <row r="1170" spans="1:22">
      <c r="A1170">
        <f>RAW_DATA!A1170</f>
        <v>24</v>
      </c>
      <c r="B1170" t="str">
        <f>RAW_DATA!B1170</f>
        <v>No</v>
      </c>
      <c r="C1170" t="str">
        <f>RAW_DATA!C1170</f>
        <v>Research &amp; Development</v>
      </c>
      <c r="D1170">
        <f>RAW_DATA!D1170</f>
        <v>2</v>
      </c>
      <c r="E1170">
        <f>RAW_DATA!E1170</f>
        <v>1</v>
      </c>
      <c r="F1170" t="str">
        <f>RAW_DATA!F1170</f>
        <v>Technical Degree</v>
      </c>
      <c r="G1170">
        <f>RAW_DATA!G1170</f>
        <v>1</v>
      </c>
      <c r="H1170">
        <f>RAW_DATA!H1170</f>
        <v>4</v>
      </c>
      <c r="I1170" t="str">
        <f>RAW_DATA!I1170</f>
        <v>Single</v>
      </c>
      <c r="J1170">
        <f>RAW_DATA!J1170</f>
        <v>3760</v>
      </c>
      <c r="K1170">
        <f>RAW_DATA!K1170</f>
        <v>1</v>
      </c>
      <c r="L1170">
        <f>RAW_DATA!L1170</f>
        <v>3</v>
      </c>
      <c r="M1170">
        <f>RAW_DATA!M1170</f>
        <v>6</v>
      </c>
      <c r="N1170">
        <f t="shared" si="36"/>
        <v>0</v>
      </c>
      <c r="O1170" t="str">
        <f xml:space="preserve"> VLOOKUP(A1170, Lookup_Tables!$G$2:$H$6,2,TRUE)</f>
        <v>&lt;25</v>
      </c>
      <c r="P1170" t="str">
        <f>_xlfn.XLOOKUP(J1170,Lookup_Tables!$J$2:$J$4,Lookup_Tables!$K$2:$K$4, " ",-1)</f>
        <v>Medium</v>
      </c>
      <c r="Q1170" t="str">
        <f xml:space="preserve"> _xlfn.XLOOKUP(M1170, Lookup_Tables!$M$2:$M$5,Lookup_Tables!$N$2:$N$5," ", -1)</f>
        <v>Established (5-10)</v>
      </c>
      <c r="R1170" s="4">
        <f t="shared" si="37"/>
        <v>2.6666666666666665</v>
      </c>
      <c r="S1170" t="str">
        <f xml:space="preserve"> _xlfn.XLOOKUP( E1170, Lookup_Tables!$A$2:$A$6,Lookup_Tables!$B$2:$B$6," ", -1)</f>
        <v>Below College</v>
      </c>
      <c r="T1170" t="str">
        <f>_xlfn.XLOOKUP(G1170,Lookup_Tables!$D$2:$D$5,Lookup_Tables!$E$2:$E$5)</f>
        <v>Low</v>
      </c>
      <c r="U1170" t="str">
        <f>_xlfn.XLOOKUP(H1170,Lookup_Tables!$D$2:$D$5,Lookup_Tables!$E$2:$E$5)</f>
        <v>Very High</v>
      </c>
      <c r="V1170" t="str">
        <f>_xlfn.XLOOKUP(L1170,Lookup_Tables!$D$2:$D$5,Lookup_Tables!$E$2:$E$5)</f>
        <v>High</v>
      </c>
    </row>
    <row r="1171" spans="1:22">
      <c r="A1171">
        <f>RAW_DATA!A1171</f>
        <v>27</v>
      </c>
      <c r="B1171" t="str">
        <f>RAW_DATA!B1171</f>
        <v>No</v>
      </c>
      <c r="C1171" t="str">
        <f>RAW_DATA!C1171</f>
        <v>Research &amp; Development</v>
      </c>
      <c r="D1171">
        <f>RAW_DATA!D1171</f>
        <v>8</v>
      </c>
      <c r="E1171">
        <f>RAW_DATA!E1171</f>
        <v>3</v>
      </c>
      <c r="F1171" t="str">
        <f>RAW_DATA!F1171</f>
        <v>Medical</v>
      </c>
      <c r="G1171">
        <f>RAW_DATA!G1171</f>
        <v>2</v>
      </c>
      <c r="H1171">
        <f>RAW_DATA!H1171</f>
        <v>3</v>
      </c>
      <c r="I1171" t="str">
        <f>RAW_DATA!I1171</f>
        <v>Married</v>
      </c>
      <c r="J1171">
        <f>RAW_DATA!J1171</f>
        <v>3517</v>
      </c>
      <c r="K1171">
        <f>RAW_DATA!K1171</f>
        <v>7</v>
      </c>
      <c r="L1171">
        <f>RAW_DATA!L1171</f>
        <v>3</v>
      </c>
      <c r="M1171">
        <f>RAW_DATA!M1171</f>
        <v>3</v>
      </c>
      <c r="N1171">
        <f t="shared" si="36"/>
        <v>0</v>
      </c>
      <c r="O1171" t="str">
        <f xml:space="preserve"> VLOOKUP(A1171, Lookup_Tables!$G$2:$H$6,2,TRUE)</f>
        <v>25-34</v>
      </c>
      <c r="P1171" t="str">
        <f>_xlfn.XLOOKUP(J1171,Lookup_Tables!$J$2:$J$4,Lookup_Tables!$K$2:$K$4, " ",-1)</f>
        <v>Medium</v>
      </c>
      <c r="Q1171" t="str">
        <f xml:space="preserve"> _xlfn.XLOOKUP(M1171, Lookup_Tables!$M$2:$M$5,Lookup_Tables!$N$2:$N$5," ", -1)</f>
        <v>Early (2-5)</v>
      </c>
      <c r="R1171" s="4">
        <f t="shared" si="37"/>
        <v>2.6666666666666665</v>
      </c>
      <c r="S1171" t="str">
        <f xml:space="preserve"> _xlfn.XLOOKUP( E1171, Lookup_Tables!$A$2:$A$6,Lookup_Tables!$B$2:$B$6," ", -1)</f>
        <v>Bachelor</v>
      </c>
      <c r="T1171" t="str">
        <f>_xlfn.XLOOKUP(G1171,Lookup_Tables!$D$2:$D$5,Lookup_Tables!$E$2:$E$5)</f>
        <v>Medium</v>
      </c>
      <c r="U1171" t="str">
        <f>_xlfn.XLOOKUP(H1171,Lookup_Tables!$D$2:$D$5,Lookup_Tables!$E$2:$E$5)</f>
        <v>High</v>
      </c>
      <c r="V1171" t="str">
        <f>_xlfn.XLOOKUP(L1171,Lookup_Tables!$D$2:$D$5,Lookup_Tables!$E$2:$E$5)</f>
        <v>High</v>
      </c>
    </row>
    <row r="1172" spans="1:22">
      <c r="A1172">
        <f>RAW_DATA!A1172</f>
        <v>27</v>
      </c>
      <c r="B1172" t="str">
        <f>RAW_DATA!B1172</f>
        <v>No</v>
      </c>
      <c r="C1172" t="str">
        <f>RAW_DATA!C1172</f>
        <v>Research &amp; Development</v>
      </c>
      <c r="D1172">
        <f>RAW_DATA!D1172</f>
        <v>2</v>
      </c>
      <c r="E1172">
        <f>RAW_DATA!E1172</f>
        <v>3</v>
      </c>
      <c r="F1172" t="str">
        <f>RAW_DATA!F1172</f>
        <v>Medical</v>
      </c>
      <c r="G1172">
        <f>RAW_DATA!G1172</f>
        <v>4</v>
      </c>
      <c r="H1172">
        <f>RAW_DATA!H1172</f>
        <v>4</v>
      </c>
      <c r="I1172" t="str">
        <f>RAW_DATA!I1172</f>
        <v>Single</v>
      </c>
      <c r="J1172">
        <f>RAW_DATA!J1172</f>
        <v>2580</v>
      </c>
      <c r="K1172">
        <f>RAW_DATA!K1172</f>
        <v>2</v>
      </c>
      <c r="L1172">
        <f>RAW_DATA!L1172</f>
        <v>2</v>
      </c>
      <c r="M1172">
        <f>RAW_DATA!M1172</f>
        <v>4</v>
      </c>
      <c r="N1172">
        <f t="shared" si="36"/>
        <v>0</v>
      </c>
      <c r="O1172" t="str">
        <f xml:space="preserve"> VLOOKUP(A1172, Lookup_Tables!$G$2:$H$6,2,TRUE)</f>
        <v>25-34</v>
      </c>
      <c r="P1172" t="str">
        <f>_xlfn.XLOOKUP(J1172,Lookup_Tables!$J$2:$J$4,Lookup_Tables!$K$2:$K$4, " ",-1)</f>
        <v>Low</v>
      </c>
      <c r="Q1172" t="str">
        <f xml:space="preserve"> _xlfn.XLOOKUP(M1172, Lookup_Tables!$M$2:$M$5,Lookup_Tables!$N$2:$N$5," ", -1)</f>
        <v>Early (2-5)</v>
      </c>
      <c r="R1172" s="4">
        <f t="shared" si="37"/>
        <v>3.3333333333333335</v>
      </c>
      <c r="S1172" t="str">
        <f xml:space="preserve"> _xlfn.XLOOKUP( E1172, Lookup_Tables!$A$2:$A$6,Lookup_Tables!$B$2:$B$6," ", -1)</f>
        <v>Bachelor</v>
      </c>
      <c r="T1172" t="str">
        <f>_xlfn.XLOOKUP(G1172,Lookup_Tables!$D$2:$D$5,Lookup_Tables!$E$2:$E$5)</f>
        <v>Very High</v>
      </c>
      <c r="U1172" t="str">
        <f>_xlfn.XLOOKUP(H1172,Lookup_Tables!$D$2:$D$5,Lookup_Tables!$E$2:$E$5)</f>
        <v>Very High</v>
      </c>
      <c r="V1172" t="str">
        <f>_xlfn.XLOOKUP(L1172,Lookup_Tables!$D$2:$D$5,Lookup_Tables!$E$2:$E$5)</f>
        <v>Medium</v>
      </c>
    </row>
    <row r="1173" spans="1:22">
      <c r="A1173">
        <f>RAW_DATA!A1173</f>
        <v>40</v>
      </c>
      <c r="B1173" t="str">
        <f>RAW_DATA!B1173</f>
        <v>Yes</v>
      </c>
      <c r="C1173" t="str">
        <f>RAW_DATA!C1173</f>
        <v>Research &amp; Development</v>
      </c>
      <c r="D1173">
        <f>RAW_DATA!D1173</f>
        <v>7</v>
      </c>
      <c r="E1173">
        <f>RAW_DATA!E1173</f>
        <v>3</v>
      </c>
      <c r="F1173" t="str">
        <f>RAW_DATA!F1173</f>
        <v>Life Sciences</v>
      </c>
      <c r="G1173">
        <f>RAW_DATA!G1173</f>
        <v>1</v>
      </c>
      <c r="H1173">
        <f>RAW_DATA!H1173</f>
        <v>1</v>
      </c>
      <c r="I1173" t="str">
        <f>RAW_DATA!I1173</f>
        <v>Single</v>
      </c>
      <c r="J1173">
        <f>RAW_DATA!J1173</f>
        <v>2166</v>
      </c>
      <c r="K1173">
        <f>RAW_DATA!K1173</f>
        <v>3</v>
      </c>
      <c r="L1173">
        <f>RAW_DATA!L1173</f>
        <v>1</v>
      </c>
      <c r="M1173">
        <f>RAW_DATA!M1173</f>
        <v>4</v>
      </c>
      <c r="N1173">
        <f t="shared" si="36"/>
        <v>1</v>
      </c>
      <c r="O1173" t="str">
        <f xml:space="preserve"> VLOOKUP(A1173, Lookup_Tables!$G$2:$H$6,2,TRUE)</f>
        <v>35-44</v>
      </c>
      <c r="P1173" t="str">
        <f>_xlfn.XLOOKUP(J1173,Lookup_Tables!$J$2:$J$4,Lookup_Tables!$K$2:$K$4, " ",-1)</f>
        <v>Low</v>
      </c>
      <c r="Q1173" t="str">
        <f xml:space="preserve"> _xlfn.XLOOKUP(M1173, Lookup_Tables!$M$2:$M$5,Lookup_Tables!$N$2:$N$5," ", -1)</f>
        <v>Early (2-5)</v>
      </c>
      <c r="R1173" s="4">
        <f t="shared" si="37"/>
        <v>1</v>
      </c>
      <c r="S1173" t="str">
        <f xml:space="preserve"> _xlfn.XLOOKUP( E1173, Lookup_Tables!$A$2:$A$6,Lookup_Tables!$B$2:$B$6," ", -1)</f>
        <v>Bachelor</v>
      </c>
      <c r="T1173" t="str">
        <f>_xlfn.XLOOKUP(G1173,Lookup_Tables!$D$2:$D$5,Lookup_Tables!$E$2:$E$5)</f>
        <v>Low</v>
      </c>
      <c r="U1173" t="str">
        <f>_xlfn.XLOOKUP(H1173,Lookup_Tables!$D$2:$D$5,Lookup_Tables!$E$2:$E$5)</f>
        <v>Low</v>
      </c>
      <c r="V1173" t="str">
        <f>_xlfn.XLOOKUP(L1173,Lookup_Tables!$D$2:$D$5,Lookup_Tables!$E$2:$E$5)</f>
        <v>Low</v>
      </c>
    </row>
    <row r="1174" spans="1:22">
      <c r="A1174">
        <f>RAW_DATA!A1174</f>
        <v>29</v>
      </c>
      <c r="B1174" t="str">
        <f>RAW_DATA!B1174</f>
        <v>No</v>
      </c>
      <c r="C1174" t="str">
        <f>RAW_DATA!C1174</f>
        <v>Sales</v>
      </c>
      <c r="D1174">
        <f>RAW_DATA!D1174</f>
        <v>10</v>
      </c>
      <c r="E1174">
        <f>RAW_DATA!E1174</f>
        <v>3</v>
      </c>
      <c r="F1174" t="str">
        <f>RAW_DATA!F1174</f>
        <v>Medical</v>
      </c>
      <c r="G1174">
        <f>RAW_DATA!G1174</f>
        <v>3</v>
      </c>
      <c r="H1174">
        <f>RAW_DATA!H1174</f>
        <v>3</v>
      </c>
      <c r="I1174" t="str">
        <f>RAW_DATA!I1174</f>
        <v>Single</v>
      </c>
      <c r="J1174">
        <f>RAW_DATA!J1174</f>
        <v>5869</v>
      </c>
      <c r="K1174">
        <f>RAW_DATA!K1174</f>
        <v>9</v>
      </c>
      <c r="L1174">
        <f>RAW_DATA!L1174</f>
        <v>3</v>
      </c>
      <c r="M1174">
        <f>RAW_DATA!M1174</f>
        <v>5</v>
      </c>
      <c r="N1174">
        <f t="shared" si="36"/>
        <v>0</v>
      </c>
      <c r="O1174" t="str">
        <f xml:space="preserve"> VLOOKUP(A1174, Lookup_Tables!$G$2:$H$6,2,TRUE)</f>
        <v>25-34</v>
      </c>
      <c r="P1174" t="str">
        <f>_xlfn.XLOOKUP(J1174,Lookup_Tables!$J$2:$J$4,Lookup_Tables!$K$2:$K$4, " ",-1)</f>
        <v>Medium</v>
      </c>
      <c r="Q1174" t="str">
        <f xml:space="preserve"> _xlfn.XLOOKUP(M1174, Lookup_Tables!$M$2:$M$5,Lookup_Tables!$N$2:$N$5," ", -1)</f>
        <v>Established (5-10)</v>
      </c>
      <c r="R1174" s="4">
        <f t="shared" si="37"/>
        <v>3</v>
      </c>
      <c r="S1174" t="str">
        <f xml:space="preserve"> _xlfn.XLOOKUP( E1174, Lookup_Tables!$A$2:$A$6,Lookup_Tables!$B$2:$B$6," ", -1)</f>
        <v>Bachelor</v>
      </c>
      <c r="T1174" t="str">
        <f>_xlfn.XLOOKUP(G1174,Lookup_Tables!$D$2:$D$5,Lookup_Tables!$E$2:$E$5)</f>
        <v>High</v>
      </c>
      <c r="U1174" t="str">
        <f>_xlfn.XLOOKUP(H1174,Lookup_Tables!$D$2:$D$5,Lookup_Tables!$E$2:$E$5)</f>
        <v>High</v>
      </c>
      <c r="V1174" t="str">
        <f>_xlfn.XLOOKUP(L1174,Lookup_Tables!$D$2:$D$5,Lookup_Tables!$E$2:$E$5)</f>
        <v>High</v>
      </c>
    </row>
    <row r="1175" spans="1:22">
      <c r="A1175">
        <f>RAW_DATA!A1175</f>
        <v>36</v>
      </c>
      <c r="B1175" t="str">
        <f>RAW_DATA!B1175</f>
        <v>No</v>
      </c>
      <c r="C1175" t="str">
        <f>RAW_DATA!C1175</f>
        <v>Research &amp; Development</v>
      </c>
      <c r="D1175">
        <f>RAW_DATA!D1175</f>
        <v>5</v>
      </c>
      <c r="E1175">
        <f>RAW_DATA!E1175</f>
        <v>4</v>
      </c>
      <c r="F1175" t="str">
        <f>RAW_DATA!F1175</f>
        <v>Life Sciences</v>
      </c>
      <c r="G1175">
        <f>RAW_DATA!G1175</f>
        <v>2</v>
      </c>
      <c r="H1175">
        <f>RAW_DATA!H1175</f>
        <v>1</v>
      </c>
      <c r="I1175" t="str">
        <f>RAW_DATA!I1175</f>
        <v>Married</v>
      </c>
      <c r="J1175">
        <f>RAW_DATA!J1175</f>
        <v>8008</v>
      </c>
      <c r="K1175">
        <f>RAW_DATA!K1175</f>
        <v>4</v>
      </c>
      <c r="L1175">
        <f>RAW_DATA!L1175</f>
        <v>3</v>
      </c>
      <c r="M1175">
        <f>RAW_DATA!M1175</f>
        <v>3</v>
      </c>
      <c r="N1175">
        <f t="shared" si="36"/>
        <v>0</v>
      </c>
      <c r="O1175" t="str">
        <f xml:space="preserve"> VLOOKUP(A1175, Lookup_Tables!$G$2:$H$6,2,TRUE)</f>
        <v>35-44</v>
      </c>
      <c r="P1175" t="str">
        <f>_xlfn.XLOOKUP(J1175,Lookup_Tables!$J$2:$J$4,Lookup_Tables!$K$2:$K$4, " ",-1)</f>
        <v>High</v>
      </c>
      <c r="Q1175" t="str">
        <f xml:space="preserve"> _xlfn.XLOOKUP(M1175, Lookup_Tables!$M$2:$M$5,Lookup_Tables!$N$2:$N$5," ", -1)</f>
        <v>Early (2-5)</v>
      </c>
      <c r="R1175" s="4">
        <f t="shared" si="37"/>
        <v>2</v>
      </c>
      <c r="S1175" t="str">
        <f xml:space="preserve"> _xlfn.XLOOKUP( E1175, Lookup_Tables!$A$2:$A$6,Lookup_Tables!$B$2:$B$6," ", -1)</f>
        <v>Master</v>
      </c>
      <c r="T1175" t="str">
        <f>_xlfn.XLOOKUP(G1175,Lookup_Tables!$D$2:$D$5,Lookup_Tables!$E$2:$E$5)</f>
        <v>Medium</v>
      </c>
      <c r="U1175" t="str">
        <f>_xlfn.XLOOKUP(H1175,Lookup_Tables!$D$2:$D$5,Lookup_Tables!$E$2:$E$5)</f>
        <v>Low</v>
      </c>
      <c r="V1175" t="str">
        <f>_xlfn.XLOOKUP(L1175,Lookup_Tables!$D$2:$D$5,Lookup_Tables!$E$2:$E$5)</f>
        <v>High</v>
      </c>
    </row>
    <row r="1176" spans="1:22">
      <c r="A1176">
        <f>RAW_DATA!A1176</f>
        <v>25</v>
      </c>
      <c r="B1176" t="str">
        <f>RAW_DATA!B1176</f>
        <v>No</v>
      </c>
      <c r="C1176" t="str">
        <f>RAW_DATA!C1176</f>
        <v>Research &amp; Development</v>
      </c>
      <c r="D1176">
        <f>RAW_DATA!D1176</f>
        <v>2</v>
      </c>
      <c r="E1176">
        <f>RAW_DATA!E1176</f>
        <v>1</v>
      </c>
      <c r="F1176" t="str">
        <f>RAW_DATA!F1176</f>
        <v>Life Sciences</v>
      </c>
      <c r="G1176">
        <f>RAW_DATA!G1176</f>
        <v>4</v>
      </c>
      <c r="H1176">
        <f>RAW_DATA!H1176</f>
        <v>3</v>
      </c>
      <c r="I1176" t="str">
        <f>RAW_DATA!I1176</f>
        <v>Divorced</v>
      </c>
      <c r="J1176">
        <f>RAW_DATA!J1176</f>
        <v>5206</v>
      </c>
      <c r="K1176">
        <f>RAW_DATA!K1176</f>
        <v>1</v>
      </c>
      <c r="L1176">
        <f>RAW_DATA!L1176</f>
        <v>3</v>
      </c>
      <c r="M1176">
        <f>RAW_DATA!M1176</f>
        <v>7</v>
      </c>
      <c r="N1176">
        <f t="shared" si="36"/>
        <v>0</v>
      </c>
      <c r="O1176" t="str">
        <f xml:space="preserve"> VLOOKUP(A1176, Lookup_Tables!$G$2:$H$6,2,TRUE)</f>
        <v>25-34</v>
      </c>
      <c r="P1176" t="str">
        <f>_xlfn.XLOOKUP(J1176,Lookup_Tables!$J$2:$J$4,Lookup_Tables!$K$2:$K$4, " ",-1)</f>
        <v>Medium</v>
      </c>
      <c r="Q1176" t="str">
        <f xml:space="preserve"> _xlfn.XLOOKUP(M1176, Lookup_Tables!$M$2:$M$5,Lookup_Tables!$N$2:$N$5," ", -1)</f>
        <v>Established (5-10)</v>
      </c>
      <c r="R1176" s="4">
        <f t="shared" si="37"/>
        <v>3.3333333333333335</v>
      </c>
      <c r="S1176" t="str">
        <f xml:space="preserve"> _xlfn.XLOOKUP( E1176, Lookup_Tables!$A$2:$A$6,Lookup_Tables!$B$2:$B$6," ", -1)</f>
        <v>Below College</v>
      </c>
      <c r="T1176" t="str">
        <f>_xlfn.XLOOKUP(G1176,Lookup_Tables!$D$2:$D$5,Lookup_Tables!$E$2:$E$5)</f>
        <v>Very High</v>
      </c>
      <c r="U1176" t="str">
        <f>_xlfn.XLOOKUP(H1176,Lookup_Tables!$D$2:$D$5,Lookup_Tables!$E$2:$E$5)</f>
        <v>High</v>
      </c>
      <c r="V1176" t="str">
        <f>_xlfn.XLOOKUP(L1176,Lookup_Tables!$D$2:$D$5,Lookup_Tables!$E$2:$E$5)</f>
        <v>High</v>
      </c>
    </row>
    <row r="1177" spans="1:22">
      <c r="A1177">
        <f>RAW_DATA!A1177</f>
        <v>39</v>
      </c>
      <c r="B1177" t="str">
        <f>RAW_DATA!B1177</f>
        <v>No</v>
      </c>
      <c r="C1177" t="str">
        <f>RAW_DATA!C1177</f>
        <v>Research &amp; Development</v>
      </c>
      <c r="D1177">
        <f>RAW_DATA!D1177</f>
        <v>12</v>
      </c>
      <c r="E1177">
        <f>RAW_DATA!E1177</f>
        <v>3</v>
      </c>
      <c r="F1177" t="str">
        <f>RAW_DATA!F1177</f>
        <v>Medical</v>
      </c>
      <c r="G1177">
        <f>RAW_DATA!G1177</f>
        <v>4</v>
      </c>
      <c r="H1177">
        <f>RAW_DATA!H1177</f>
        <v>2</v>
      </c>
      <c r="I1177" t="str">
        <f>RAW_DATA!I1177</f>
        <v>Married</v>
      </c>
      <c r="J1177">
        <f>RAW_DATA!J1177</f>
        <v>5295</v>
      </c>
      <c r="K1177">
        <f>RAW_DATA!K1177</f>
        <v>4</v>
      </c>
      <c r="L1177">
        <f>RAW_DATA!L1177</f>
        <v>3</v>
      </c>
      <c r="M1177">
        <f>RAW_DATA!M1177</f>
        <v>5</v>
      </c>
      <c r="N1177">
        <f t="shared" si="36"/>
        <v>0</v>
      </c>
      <c r="O1177" t="str">
        <f xml:space="preserve"> VLOOKUP(A1177, Lookup_Tables!$G$2:$H$6,2,TRUE)</f>
        <v>35-44</v>
      </c>
      <c r="P1177" t="str">
        <f>_xlfn.XLOOKUP(J1177,Lookup_Tables!$J$2:$J$4,Lookup_Tables!$K$2:$K$4, " ",-1)</f>
        <v>Medium</v>
      </c>
      <c r="Q1177" t="str">
        <f xml:space="preserve"> _xlfn.XLOOKUP(M1177, Lookup_Tables!$M$2:$M$5,Lookup_Tables!$N$2:$N$5," ", -1)</f>
        <v>Established (5-10)</v>
      </c>
      <c r="R1177" s="4">
        <f t="shared" si="37"/>
        <v>3</v>
      </c>
      <c r="S1177" t="str">
        <f xml:space="preserve"> _xlfn.XLOOKUP( E1177, Lookup_Tables!$A$2:$A$6,Lookup_Tables!$B$2:$B$6," ", -1)</f>
        <v>Bachelor</v>
      </c>
      <c r="T1177" t="str">
        <f>_xlfn.XLOOKUP(G1177,Lookup_Tables!$D$2:$D$5,Lookup_Tables!$E$2:$E$5)</f>
        <v>Very High</v>
      </c>
      <c r="U1177" t="str">
        <f>_xlfn.XLOOKUP(H1177,Lookup_Tables!$D$2:$D$5,Lookup_Tables!$E$2:$E$5)</f>
        <v>Medium</v>
      </c>
      <c r="V1177" t="str">
        <f>_xlfn.XLOOKUP(L1177,Lookup_Tables!$D$2:$D$5,Lookup_Tables!$E$2:$E$5)</f>
        <v>High</v>
      </c>
    </row>
    <row r="1178" spans="1:22">
      <c r="A1178">
        <f>RAW_DATA!A1178</f>
        <v>49</v>
      </c>
      <c r="B1178" t="str">
        <f>RAW_DATA!B1178</f>
        <v>No</v>
      </c>
      <c r="C1178" t="str">
        <f>RAW_DATA!C1178</f>
        <v>Research &amp; Development</v>
      </c>
      <c r="D1178">
        <f>RAW_DATA!D1178</f>
        <v>22</v>
      </c>
      <c r="E1178">
        <f>RAW_DATA!E1178</f>
        <v>4</v>
      </c>
      <c r="F1178" t="str">
        <f>RAW_DATA!F1178</f>
        <v>Other</v>
      </c>
      <c r="G1178">
        <f>RAW_DATA!G1178</f>
        <v>1</v>
      </c>
      <c r="H1178">
        <f>RAW_DATA!H1178</f>
        <v>2</v>
      </c>
      <c r="I1178" t="str">
        <f>RAW_DATA!I1178</f>
        <v>Married</v>
      </c>
      <c r="J1178">
        <f>RAW_DATA!J1178</f>
        <v>16413</v>
      </c>
      <c r="K1178">
        <f>RAW_DATA!K1178</f>
        <v>3</v>
      </c>
      <c r="L1178">
        <f>RAW_DATA!L1178</f>
        <v>3</v>
      </c>
      <c r="M1178">
        <f>RAW_DATA!M1178</f>
        <v>4</v>
      </c>
      <c r="N1178">
        <f t="shared" si="36"/>
        <v>0</v>
      </c>
      <c r="O1178" t="str">
        <f xml:space="preserve"> VLOOKUP(A1178, Lookup_Tables!$G$2:$H$6,2,TRUE)</f>
        <v>45-54</v>
      </c>
      <c r="P1178" t="str">
        <f>_xlfn.XLOOKUP(J1178,Lookup_Tables!$J$2:$J$4,Lookup_Tables!$K$2:$K$4, " ",-1)</f>
        <v>High</v>
      </c>
      <c r="Q1178" t="str">
        <f xml:space="preserve"> _xlfn.XLOOKUP(M1178, Lookup_Tables!$M$2:$M$5,Lookup_Tables!$N$2:$N$5," ", -1)</f>
        <v>Early (2-5)</v>
      </c>
      <c r="R1178" s="4">
        <f t="shared" si="37"/>
        <v>2</v>
      </c>
      <c r="S1178" t="str">
        <f xml:space="preserve"> _xlfn.XLOOKUP( E1178, Lookup_Tables!$A$2:$A$6,Lookup_Tables!$B$2:$B$6," ", -1)</f>
        <v>Master</v>
      </c>
      <c r="T1178" t="str">
        <f>_xlfn.XLOOKUP(G1178,Lookup_Tables!$D$2:$D$5,Lookup_Tables!$E$2:$E$5)</f>
        <v>Low</v>
      </c>
      <c r="U1178" t="str">
        <f>_xlfn.XLOOKUP(H1178,Lookup_Tables!$D$2:$D$5,Lookup_Tables!$E$2:$E$5)</f>
        <v>Medium</v>
      </c>
      <c r="V1178" t="str">
        <f>_xlfn.XLOOKUP(L1178,Lookup_Tables!$D$2:$D$5,Lookup_Tables!$E$2:$E$5)</f>
        <v>High</v>
      </c>
    </row>
    <row r="1179" spans="1:22">
      <c r="A1179">
        <f>RAW_DATA!A1179</f>
        <v>50</v>
      </c>
      <c r="B1179" t="str">
        <f>RAW_DATA!B1179</f>
        <v>No</v>
      </c>
      <c r="C1179" t="str">
        <f>RAW_DATA!C1179</f>
        <v>Research &amp; Development</v>
      </c>
      <c r="D1179">
        <f>RAW_DATA!D1179</f>
        <v>17</v>
      </c>
      <c r="E1179">
        <f>RAW_DATA!E1179</f>
        <v>5</v>
      </c>
      <c r="F1179" t="str">
        <f>RAW_DATA!F1179</f>
        <v>Life Sciences</v>
      </c>
      <c r="G1179">
        <f>RAW_DATA!G1179</f>
        <v>4</v>
      </c>
      <c r="H1179">
        <f>RAW_DATA!H1179</f>
        <v>1</v>
      </c>
      <c r="I1179" t="str">
        <f>RAW_DATA!I1179</f>
        <v>Divorced</v>
      </c>
      <c r="J1179">
        <f>RAW_DATA!J1179</f>
        <v>13269</v>
      </c>
      <c r="K1179">
        <f>RAW_DATA!K1179</f>
        <v>5</v>
      </c>
      <c r="L1179">
        <f>RAW_DATA!L1179</f>
        <v>3</v>
      </c>
      <c r="M1179">
        <f>RAW_DATA!M1179</f>
        <v>14</v>
      </c>
      <c r="N1179">
        <f t="shared" si="36"/>
        <v>0</v>
      </c>
      <c r="O1179" t="str">
        <f xml:space="preserve"> VLOOKUP(A1179, Lookup_Tables!$G$2:$H$6,2,TRUE)</f>
        <v>45-54</v>
      </c>
      <c r="P1179" t="str">
        <f>_xlfn.XLOOKUP(J1179,Lookup_Tables!$J$2:$J$4,Lookup_Tables!$K$2:$K$4, " ",-1)</f>
        <v>High</v>
      </c>
      <c r="Q1179" t="str">
        <f xml:space="preserve"> _xlfn.XLOOKUP(M1179, Lookup_Tables!$M$2:$M$5,Lookup_Tables!$N$2:$N$5," ", -1)</f>
        <v>Veteran (10+)</v>
      </c>
      <c r="R1179" s="4">
        <f t="shared" si="37"/>
        <v>2.6666666666666665</v>
      </c>
      <c r="S1179" t="str">
        <f xml:space="preserve"> _xlfn.XLOOKUP( E1179, Lookup_Tables!$A$2:$A$6,Lookup_Tables!$B$2:$B$6," ", -1)</f>
        <v>Doctor</v>
      </c>
      <c r="T1179" t="str">
        <f>_xlfn.XLOOKUP(G1179,Lookup_Tables!$D$2:$D$5,Lookup_Tables!$E$2:$E$5)</f>
        <v>Very High</v>
      </c>
      <c r="U1179" t="str">
        <f>_xlfn.XLOOKUP(H1179,Lookup_Tables!$D$2:$D$5,Lookup_Tables!$E$2:$E$5)</f>
        <v>Low</v>
      </c>
      <c r="V1179" t="str">
        <f>_xlfn.XLOOKUP(L1179,Lookup_Tables!$D$2:$D$5,Lookup_Tables!$E$2:$E$5)</f>
        <v>High</v>
      </c>
    </row>
    <row r="1180" spans="1:22">
      <c r="A1180">
        <f>RAW_DATA!A1180</f>
        <v>20</v>
      </c>
      <c r="B1180" t="str">
        <f>RAW_DATA!B1180</f>
        <v>No</v>
      </c>
      <c r="C1180" t="str">
        <f>RAW_DATA!C1180</f>
        <v>Sales</v>
      </c>
      <c r="D1180">
        <f>RAW_DATA!D1180</f>
        <v>2</v>
      </c>
      <c r="E1180">
        <f>RAW_DATA!E1180</f>
        <v>3</v>
      </c>
      <c r="F1180" t="str">
        <f>RAW_DATA!F1180</f>
        <v>Medical</v>
      </c>
      <c r="G1180">
        <f>RAW_DATA!G1180</f>
        <v>3</v>
      </c>
      <c r="H1180">
        <f>RAW_DATA!H1180</f>
        <v>3</v>
      </c>
      <c r="I1180" t="str">
        <f>RAW_DATA!I1180</f>
        <v>Single</v>
      </c>
      <c r="J1180">
        <f>RAW_DATA!J1180</f>
        <v>2783</v>
      </c>
      <c r="K1180">
        <f>RAW_DATA!K1180</f>
        <v>1</v>
      </c>
      <c r="L1180">
        <f>RAW_DATA!L1180</f>
        <v>3</v>
      </c>
      <c r="M1180">
        <f>RAW_DATA!M1180</f>
        <v>2</v>
      </c>
      <c r="N1180">
        <f t="shared" si="36"/>
        <v>0</v>
      </c>
      <c r="O1180" t="str">
        <f xml:space="preserve"> VLOOKUP(A1180, Lookup_Tables!$G$2:$H$6,2,TRUE)</f>
        <v>&lt;25</v>
      </c>
      <c r="P1180" t="str">
        <f>_xlfn.XLOOKUP(J1180,Lookup_Tables!$J$2:$J$4,Lookup_Tables!$K$2:$K$4, " ",-1)</f>
        <v>Low</v>
      </c>
      <c r="Q1180" t="str">
        <f xml:space="preserve"> _xlfn.XLOOKUP(M1180, Lookup_Tables!$M$2:$M$5,Lookup_Tables!$N$2:$N$5," ", -1)</f>
        <v>Early (2-5)</v>
      </c>
      <c r="R1180" s="4">
        <f t="shared" si="37"/>
        <v>3</v>
      </c>
      <c r="S1180" t="str">
        <f xml:space="preserve"> _xlfn.XLOOKUP( E1180, Lookup_Tables!$A$2:$A$6,Lookup_Tables!$B$2:$B$6," ", -1)</f>
        <v>Bachelor</v>
      </c>
      <c r="T1180" t="str">
        <f>_xlfn.XLOOKUP(G1180,Lookup_Tables!$D$2:$D$5,Lookup_Tables!$E$2:$E$5)</f>
        <v>High</v>
      </c>
      <c r="U1180" t="str">
        <f>_xlfn.XLOOKUP(H1180,Lookup_Tables!$D$2:$D$5,Lookup_Tables!$E$2:$E$5)</f>
        <v>High</v>
      </c>
      <c r="V1180" t="str">
        <f>_xlfn.XLOOKUP(L1180,Lookup_Tables!$D$2:$D$5,Lookup_Tables!$E$2:$E$5)</f>
        <v>High</v>
      </c>
    </row>
    <row r="1181" spans="1:22">
      <c r="A1181">
        <f>RAW_DATA!A1181</f>
        <v>34</v>
      </c>
      <c r="B1181" t="str">
        <f>RAW_DATA!B1181</f>
        <v>No</v>
      </c>
      <c r="C1181" t="str">
        <f>RAW_DATA!C1181</f>
        <v>Research &amp; Development</v>
      </c>
      <c r="D1181">
        <f>RAW_DATA!D1181</f>
        <v>3</v>
      </c>
      <c r="E1181">
        <f>RAW_DATA!E1181</f>
        <v>3</v>
      </c>
      <c r="F1181" t="str">
        <f>RAW_DATA!F1181</f>
        <v>Life Sciences</v>
      </c>
      <c r="G1181">
        <f>RAW_DATA!G1181</f>
        <v>4</v>
      </c>
      <c r="H1181">
        <f>RAW_DATA!H1181</f>
        <v>2</v>
      </c>
      <c r="I1181" t="str">
        <f>RAW_DATA!I1181</f>
        <v>Divorced</v>
      </c>
      <c r="J1181">
        <f>RAW_DATA!J1181</f>
        <v>5433</v>
      </c>
      <c r="K1181">
        <f>RAW_DATA!K1181</f>
        <v>1</v>
      </c>
      <c r="L1181">
        <f>RAW_DATA!L1181</f>
        <v>3</v>
      </c>
      <c r="M1181">
        <f>RAW_DATA!M1181</f>
        <v>11</v>
      </c>
      <c r="N1181">
        <f t="shared" si="36"/>
        <v>0</v>
      </c>
      <c r="O1181" t="str">
        <f xml:space="preserve"> VLOOKUP(A1181, Lookup_Tables!$G$2:$H$6,2,TRUE)</f>
        <v>25-34</v>
      </c>
      <c r="P1181" t="str">
        <f>_xlfn.XLOOKUP(J1181,Lookup_Tables!$J$2:$J$4,Lookup_Tables!$K$2:$K$4, " ",-1)</f>
        <v>Medium</v>
      </c>
      <c r="Q1181" t="str">
        <f xml:space="preserve"> _xlfn.XLOOKUP(M1181, Lookup_Tables!$M$2:$M$5,Lookup_Tables!$N$2:$N$5," ", -1)</f>
        <v>Veteran (10+)</v>
      </c>
      <c r="R1181" s="4">
        <f t="shared" si="37"/>
        <v>3</v>
      </c>
      <c r="S1181" t="str">
        <f xml:space="preserve"> _xlfn.XLOOKUP( E1181, Lookup_Tables!$A$2:$A$6,Lookup_Tables!$B$2:$B$6," ", -1)</f>
        <v>Bachelor</v>
      </c>
      <c r="T1181" t="str">
        <f>_xlfn.XLOOKUP(G1181,Lookup_Tables!$D$2:$D$5,Lookup_Tables!$E$2:$E$5)</f>
        <v>Very High</v>
      </c>
      <c r="U1181" t="str">
        <f>_xlfn.XLOOKUP(H1181,Lookup_Tables!$D$2:$D$5,Lookup_Tables!$E$2:$E$5)</f>
        <v>Medium</v>
      </c>
      <c r="V1181" t="str">
        <f>_xlfn.XLOOKUP(L1181,Lookup_Tables!$D$2:$D$5,Lookup_Tables!$E$2:$E$5)</f>
        <v>High</v>
      </c>
    </row>
    <row r="1182" spans="1:22">
      <c r="A1182">
        <f>RAW_DATA!A1182</f>
        <v>36</v>
      </c>
      <c r="B1182" t="str">
        <f>RAW_DATA!B1182</f>
        <v>No</v>
      </c>
      <c r="C1182" t="str">
        <f>RAW_DATA!C1182</f>
        <v>Research &amp; Development</v>
      </c>
      <c r="D1182">
        <f>RAW_DATA!D1182</f>
        <v>7</v>
      </c>
      <c r="E1182">
        <f>RAW_DATA!E1182</f>
        <v>3</v>
      </c>
      <c r="F1182" t="str">
        <f>RAW_DATA!F1182</f>
        <v>Life Sciences</v>
      </c>
      <c r="G1182">
        <f>RAW_DATA!G1182</f>
        <v>1</v>
      </c>
      <c r="H1182">
        <f>RAW_DATA!H1182</f>
        <v>2</v>
      </c>
      <c r="I1182" t="str">
        <f>RAW_DATA!I1182</f>
        <v>Single</v>
      </c>
      <c r="J1182">
        <f>RAW_DATA!J1182</f>
        <v>2013</v>
      </c>
      <c r="K1182">
        <f>RAW_DATA!K1182</f>
        <v>2</v>
      </c>
      <c r="L1182">
        <f>RAW_DATA!L1182</f>
        <v>3</v>
      </c>
      <c r="M1182">
        <f>RAW_DATA!M1182</f>
        <v>4</v>
      </c>
      <c r="N1182">
        <f t="shared" si="36"/>
        <v>0</v>
      </c>
      <c r="O1182" t="str">
        <f xml:space="preserve"> VLOOKUP(A1182, Lookup_Tables!$G$2:$H$6,2,TRUE)</f>
        <v>35-44</v>
      </c>
      <c r="P1182" t="str">
        <f>_xlfn.XLOOKUP(J1182,Lookup_Tables!$J$2:$J$4,Lookup_Tables!$K$2:$K$4, " ",-1)</f>
        <v>Low</v>
      </c>
      <c r="Q1182" t="str">
        <f xml:space="preserve"> _xlfn.XLOOKUP(M1182, Lookup_Tables!$M$2:$M$5,Lookup_Tables!$N$2:$N$5," ", -1)</f>
        <v>Early (2-5)</v>
      </c>
      <c r="R1182" s="4">
        <f t="shared" si="37"/>
        <v>2</v>
      </c>
      <c r="S1182" t="str">
        <f xml:space="preserve"> _xlfn.XLOOKUP( E1182, Lookup_Tables!$A$2:$A$6,Lookup_Tables!$B$2:$B$6," ", -1)</f>
        <v>Bachelor</v>
      </c>
      <c r="T1182" t="str">
        <f>_xlfn.XLOOKUP(G1182,Lookup_Tables!$D$2:$D$5,Lookup_Tables!$E$2:$E$5)</f>
        <v>Low</v>
      </c>
      <c r="U1182" t="str">
        <f>_xlfn.XLOOKUP(H1182,Lookup_Tables!$D$2:$D$5,Lookup_Tables!$E$2:$E$5)</f>
        <v>Medium</v>
      </c>
      <c r="V1182" t="str">
        <f>_xlfn.XLOOKUP(L1182,Lookup_Tables!$D$2:$D$5,Lookup_Tables!$E$2:$E$5)</f>
        <v>High</v>
      </c>
    </row>
    <row r="1183" spans="1:22">
      <c r="A1183">
        <f>RAW_DATA!A1183</f>
        <v>49</v>
      </c>
      <c r="B1183" t="str">
        <f>RAW_DATA!B1183</f>
        <v>No</v>
      </c>
      <c r="C1183" t="str">
        <f>RAW_DATA!C1183</f>
        <v>Research &amp; Development</v>
      </c>
      <c r="D1183">
        <f>RAW_DATA!D1183</f>
        <v>6</v>
      </c>
      <c r="E1183">
        <f>RAW_DATA!E1183</f>
        <v>1</v>
      </c>
      <c r="F1183" t="str">
        <f>RAW_DATA!F1183</f>
        <v>Life Sciences</v>
      </c>
      <c r="G1183">
        <f>RAW_DATA!G1183</f>
        <v>3</v>
      </c>
      <c r="H1183">
        <f>RAW_DATA!H1183</f>
        <v>3</v>
      </c>
      <c r="I1183" t="str">
        <f>RAW_DATA!I1183</f>
        <v>Married</v>
      </c>
      <c r="J1183">
        <f>RAW_DATA!J1183</f>
        <v>13966</v>
      </c>
      <c r="K1183">
        <f>RAW_DATA!K1183</f>
        <v>2</v>
      </c>
      <c r="L1183">
        <f>RAW_DATA!L1183</f>
        <v>3</v>
      </c>
      <c r="M1183">
        <f>RAW_DATA!M1183</f>
        <v>15</v>
      </c>
      <c r="N1183">
        <f t="shared" si="36"/>
        <v>0</v>
      </c>
      <c r="O1183" t="str">
        <f xml:space="preserve"> VLOOKUP(A1183, Lookup_Tables!$G$2:$H$6,2,TRUE)</f>
        <v>45-54</v>
      </c>
      <c r="P1183" t="str">
        <f>_xlfn.XLOOKUP(J1183,Lookup_Tables!$J$2:$J$4,Lookup_Tables!$K$2:$K$4, " ",-1)</f>
        <v>High</v>
      </c>
      <c r="Q1183" t="str">
        <f xml:space="preserve"> _xlfn.XLOOKUP(M1183, Lookup_Tables!$M$2:$M$5,Lookup_Tables!$N$2:$N$5," ", -1)</f>
        <v>Veteran (10+)</v>
      </c>
      <c r="R1183" s="4">
        <f t="shared" si="37"/>
        <v>3</v>
      </c>
      <c r="S1183" t="str">
        <f xml:space="preserve"> _xlfn.XLOOKUP( E1183, Lookup_Tables!$A$2:$A$6,Lookup_Tables!$B$2:$B$6," ", -1)</f>
        <v>Below College</v>
      </c>
      <c r="T1183" t="str">
        <f>_xlfn.XLOOKUP(G1183,Lookup_Tables!$D$2:$D$5,Lookup_Tables!$E$2:$E$5)</f>
        <v>High</v>
      </c>
      <c r="U1183" t="str">
        <f>_xlfn.XLOOKUP(H1183,Lookup_Tables!$D$2:$D$5,Lookup_Tables!$E$2:$E$5)</f>
        <v>High</v>
      </c>
      <c r="V1183" t="str">
        <f>_xlfn.XLOOKUP(L1183,Lookup_Tables!$D$2:$D$5,Lookup_Tables!$E$2:$E$5)</f>
        <v>High</v>
      </c>
    </row>
    <row r="1184" spans="1:22">
      <c r="A1184">
        <f>RAW_DATA!A1184</f>
        <v>36</v>
      </c>
      <c r="B1184" t="str">
        <f>RAW_DATA!B1184</f>
        <v>No</v>
      </c>
      <c r="C1184" t="str">
        <f>RAW_DATA!C1184</f>
        <v>Research &amp; Development</v>
      </c>
      <c r="D1184">
        <f>RAW_DATA!D1184</f>
        <v>1</v>
      </c>
      <c r="E1184">
        <f>RAW_DATA!E1184</f>
        <v>4</v>
      </c>
      <c r="F1184" t="str">
        <f>RAW_DATA!F1184</f>
        <v>Medical</v>
      </c>
      <c r="G1184">
        <f>RAW_DATA!G1184</f>
        <v>4</v>
      </c>
      <c r="H1184">
        <f>RAW_DATA!H1184</f>
        <v>3</v>
      </c>
      <c r="I1184" t="str">
        <f>RAW_DATA!I1184</f>
        <v>Married</v>
      </c>
      <c r="J1184">
        <f>RAW_DATA!J1184</f>
        <v>4374</v>
      </c>
      <c r="K1184">
        <f>RAW_DATA!K1184</f>
        <v>0</v>
      </c>
      <c r="L1184">
        <f>RAW_DATA!L1184</f>
        <v>3</v>
      </c>
      <c r="M1184">
        <f>RAW_DATA!M1184</f>
        <v>3</v>
      </c>
      <c r="N1184">
        <f t="shared" si="36"/>
        <v>0</v>
      </c>
      <c r="O1184" t="str">
        <f xml:space="preserve"> VLOOKUP(A1184, Lookup_Tables!$G$2:$H$6,2,TRUE)</f>
        <v>35-44</v>
      </c>
      <c r="P1184" t="str">
        <f>_xlfn.XLOOKUP(J1184,Lookup_Tables!$J$2:$J$4,Lookup_Tables!$K$2:$K$4, " ",-1)</f>
        <v>Medium</v>
      </c>
      <c r="Q1184" t="str">
        <f xml:space="preserve"> _xlfn.XLOOKUP(M1184, Lookup_Tables!$M$2:$M$5,Lookup_Tables!$N$2:$N$5," ", -1)</f>
        <v>Early (2-5)</v>
      </c>
      <c r="R1184" s="4">
        <f t="shared" si="37"/>
        <v>3.3333333333333335</v>
      </c>
      <c r="S1184" t="str">
        <f xml:space="preserve"> _xlfn.XLOOKUP( E1184, Lookup_Tables!$A$2:$A$6,Lookup_Tables!$B$2:$B$6," ", -1)</f>
        <v>Master</v>
      </c>
      <c r="T1184" t="str">
        <f>_xlfn.XLOOKUP(G1184,Lookup_Tables!$D$2:$D$5,Lookup_Tables!$E$2:$E$5)</f>
        <v>Very High</v>
      </c>
      <c r="U1184" t="str">
        <f>_xlfn.XLOOKUP(H1184,Lookup_Tables!$D$2:$D$5,Lookup_Tables!$E$2:$E$5)</f>
        <v>High</v>
      </c>
      <c r="V1184" t="str">
        <f>_xlfn.XLOOKUP(L1184,Lookup_Tables!$D$2:$D$5,Lookup_Tables!$E$2:$E$5)</f>
        <v>High</v>
      </c>
    </row>
    <row r="1185" spans="1:22">
      <c r="A1185">
        <f>RAW_DATA!A1185</f>
        <v>36</v>
      </c>
      <c r="B1185" t="str">
        <f>RAW_DATA!B1185</f>
        <v>No</v>
      </c>
      <c r="C1185" t="str">
        <f>RAW_DATA!C1185</f>
        <v>Research &amp; Development</v>
      </c>
      <c r="D1185">
        <f>RAW_DATA!D1185</f>
        <v>3</v>
      </c>
      <c r="E1185">
        <f>RAW_DATA!E1185</f>
        <v>2</v>
      </c>
      <c r="F1185" t="str">
        <f>RAW_DATA!F1185</f>
        <v>Life Sciences</v>
      </c>
      <c r="G1185">
        <f>RAW_DATA!G1185</f>
        <v>4</v>
      </c>
      <c r="H1185">
        <f>RAW_DATA!H1185</f>
        <v>1</v>
      </c>
      <c r="I1185" t="str">
        <f>RAW_DATA!I1185</f>
        <v>Divorced</v>
      </c>
      <c r="J1185">
        <f>RAW_DATA!J1185</f>
        <v>6842</v>
      </c>
      <c r="K1185">
        <f>RAW_DATA!K1185</f>
        <v>6</v>
      </c>
      <c r="L1185">
        <f>RAW_DATA!L1185</f>
        <v>3</v>
      </c>
      <c r="M1185">
        <f>RAW_DATA!M1185</f>
        <v>5</v>
      </c>
      <c r="N1185">
        <f t="shared" si="36"/>
        <v>0</v>
      </c>
      <c r="O1185" t="str">
        <f xml:space="preserve"> VLOOKUP(A1185, Lookup_Tables!$G$2:$H$6,2,TRUE)</f>
        <v>35-44</v>
      </c>
      <c r="P1185" t="str">
        <f>_xlfn.XLOOKUP(J1185,Lookup_Tables!$J$2:$J$4,Lookup_Tables!$K$2:$K$4, " ",-1)</f>
        <v>Medium</v>
      </c>
      <c r="Q1185" t="str">
        <f xml:space="preserve"> _xlfn.XLOOKUP(M1185, Lookup_Tables!$M$2:$M$5,Lookup_Tables!$N$2:$N$5," ", -1)</f>
        <v>Established (5-10)</v>
      </c>
      <c r="R1185" s="4">
        <f t="shared" si="37"/>
        <v>2.6666666666666665</v>
      </c>
      <c r="S1185" t="str">
        <f xml:space="preserve"> _xlfn.XLOOKUP( E1185, Lookup_Tables!$A$2:$A$6,Lookup_Tables!$B$2:$B$6," ", -1)</f>
        <v>College</v>
      </c>
      <c r="T1185" t="str">
        <f>_xlfn.XLOOKUP(G1185,Lookup_Tables!$D$2:$D$5,Lookup_Tables!$E$2:$E$5)</f>
        <v>Very High</v>
      </c>
      <c r="U1185" t="str">
        <f>_xlfn.XLOOKUP(H1185,Lookup_Tables!$D$2:$D$5,Lookup_Tables!$E$2:$E$5)</f>
        <v>Low</v>
      </c>
      <c r="V1185" t="str">
        <f>_xlfn.XLOOKUP(L1185,Lookup_Tables!$D$2:$D$5,Lookup_Tables!$E$2:$E$5)</f>
        <v>High</v>
      </c>
    </row>
    <row r="1186" spans="1:22">
      <c r="A1186">
        <f>RAW_DATA!A1186</f>
        <v>54</v>
      </c>
      <c r="B1186" t="str">
        <f>RAW_DATA!B1186</f>
        <v>No</v>
      </c>
      <c r="C1186" t="str">
        <f>RAW_DATA!C1186</f>
        <v>Research &amp; Development</v>
      </c>
      <c r="D1186">
        <f>RAW_DATA!D1186</f>
        <v>22</v>
      </c>
      <c r="E1186">
        <f>RAW_DATA!E1186</f>
        <v>5</v>
      </c>
      <c r="F1186" t="str">
        <f>RAW_DATA!F1186</f>
        <v>Medical</v>
      </c>
      <c r="G1186">
        <f>RAW_DATA!G1186</f>
        <v>2</v>
      </c>
      <c r="H1186">
        <f>RAW_DATA!H1186</f>
        <v>3</v>
      </c>
      <c r="I1186" t="str">
        <f>RAW_DATA!I1186</f>
        <v>Married</v>
      </c>
      <c r="J1186">
        <f>RAW_DATA!J1186</f>
        <v>17426</v>
      </c>
      <c r="K1186">
        <f>RAW_DATA!K1186</f>
        <v>3</v>
      </c>
      <c r="L1186">
        <f>RAW_DATA!L1186</f>
        <v>3</v>
      </c>
      <c r="M1186">
        <f>RAW_DATA!M1186</f>
        <v>10</v>
      </c>
      <c r="N1186">
        <f t="shared" si="36"/>
        <v>0</v>
      </c>
      <c r="O1186" t="str">
        <f xml:space="preserve"> VLOOKUP(A1186, Lookup_Tables!$G$2:$H$6,2,TRUE)</f>
        <v>45-54</v>
      </c>
      <c r="P1186" t="str">
        <f>_xlfn.XLOOKUP(J1186,Lookup_Tables!$J$2:$J$4,Lookup_Tables!$K$2:$K$4, " ",-1)</f>
        <v>High</v>
      </c>
      <c r="Q1186" t="str">
        <f xml:space="preserve"> _xlfn.XLOOKUP(M1186, Lookup_Tables!$M$2:$M$5,Lookup_Tables!$N$2:$N$5," ", -1)</f>
        <v>Veteran (10+)</v>
      </c>
      <c r="R1186" s="4">
        <f t="shared" si="37"/>
        <v>2.6666666666666665</v>
      </c>
      <c r="S1186" t="str">
        <f xml:space="preserve"> _xlfn.XLOOKUP( E1186, Lookup_Tables!$A$2:$A$6,Lookup_Tables!$B$2:$B$6," ", -1)</f>
        <v>Doctor</v>
      </c>
      <c r="T1186" t="str">
        <f>_xlfn.XLOOKUP(G1186,Lookup_Tables!$D$2:$D$5,Lookup_Tables!$E$2:$E$5)</f>
        <v>Medium</v>
      </c>
      <c r="U1186" t="str">
        <f>_xlfn.XLOOKUP(H1186,Lookup_Tables!$D$2:$D$5,Lookup_Tables!$E$2:$E$5)</f>
        <v>High</v>
      </c>
      <c r="V1186" t="str">
        <f>_xlfn.XLOOKUP(L1186,Lookup_Tables!$D$2:$D$5,Lookup_Tables!$E$2:$E$5)</f>
        <v>High</v>
      </c>
    </row>
    <row r="1187" spans="1:22">
      <c r="A1187">
        <f>RAW_DATA!A1187</f>
        <v>43</v>
      </c>
      <c r="B1187" t="str">
        <f>RAW_DATA!B1187</f>
        <v>No</v>
      </c>
      <c r="C1187" t="str">
        <f>RAW_DATA!C1187</f>
        <v>Research &amp; Development</v>
      </c>
      <c r="D1187">
        <f>RAW_DATA!D1187</f>
        <v>15</v>
      </c>
      <c r="E1187">
        <f>RAW_DATA!E1187</f>
        <v>2</v>
      </c>
      <c r="F1187" t="str">
        <f>RAW_DATA!F1187</f>
        <v>Life Sciences</v>
      </c>
      <c r="G1187">
        <f>RAW_DATA!G1187</f>
        <v>3</v>
      </c>
      <c r="H1187">
        <f>RAW_DATA!H1187</f>
        <v>3</v>
      </c>
      <c r="I1187" t="str">
        <f>RAW_DATA!I1187</f>
        <v>Married</v>
      </c>
      <c r="J1187">
        <f>RAW_DATA!J1187</f>
        <v>17603</v>
      </c>
      <c r="K1187">
        <f>RAW_DATA!K1187</f>
        <v>1</v>
      </c>
      <c r="L1187">
        <f>RAW_DATA!L1187</f>
        <v>3</v>
      </c>
      <c r="M1187">
        <f>RAW_DATA!M1187</f>
        <v>14</v>
      </c>
      <c r="N1187">
        <f t="shared" si="36"/>
        <v>0</v>
      </c>
      <c r="O1187" t="str">
        <f xml:space="preserve"> VLOOKUP(A1187, Lookup_Tables!$G$2:$H$6,2,TRUE)</f>
        <v>35-44</v>
      </c>
      <c r="P1187" t="str">
        <f>_xlfn.XLOOKUP(J1187,Lookup_Tables!$J$2:$J$4,Lookup_Tables!$K$2:$K$4, " ",-1)</f>
        <v>High</v>
      </c>
      <c r="Q1187" t="str">
        <f xml:space="preserve"> _xlfn.XLOOKUP(M1187, Lookup_Tables!$M$2:$M$5,Lookup_Tables!$N$2:$N$5," ", -1)</f>
        <v>Veteran (10+)</v>
      </c>
      <c r="R1187" s="4">
        <f t="shared" si="37"/>
        <v>3</v>
      </c>
      <c r="S1187" t="str">
        <f xml:space="preserve"> _xlfn.XLOOKUP( E1187, Lookup_Tables!$A$2:$A$6,Lookup_Tables!$B$2:$B$6," ", -1)</f>
        <v>College</v>
      </c>
      <c r="T1187" t="str">
        <f>_xlfn.XLOOKUP(G1187,Lookup_Tables!$D$2:$D$5,Lookup_Tables!$E$2:$E$5)</f>
        <v>High</v>
      </c>
      <c r="U1187" t="str">
        <f>_xlfn.XLOOKUP(H1187,Lookup_Tables!$D$2:$D$5,Lookup_Tables!$E$2:$E$5)</f>
        <v>High</v>
      </c>
      <c r="V1187" t="str">
        <f>_xlfn.XLOOKUP(L1187,Lookup_Tables!$D$2:$D$5,Lookup_Tables!$E$2:$E$5)</f>
        <v>High</v>
      </c>
    </row>
    <row r="1188" spans="1:22">
      <c r="A1188">
        <f>RAW_DATA!A1188</f>
        <v>35</v>
      </c>
      <c r="B1188" t="str">
        <f>RAW_DATA!B1188</f>
        <v>Yes</v>
      </c>
      <c r="C1188" t="str">
        <f>RAW_DATA!C1188</f>
        <v>Sales</v>
      </c>
      <c r="D1188">
        <f>RAW_DATA!D1188</f>
        <v>12</v>
      </c>
      <c r="E1188">
        <f>RAW_DATA!E1188</f>
        <v>4</v>
      </c>
      <c r="F1188" t="str">
        <f>RAW_DATA!F1188</f>
        <v>Other</v>
      </c>
      <c r="G1188">
        <f>RAW_DATA!G1188</f>
        <v>4</v>
      </c>
      <c r="H1188">
        <f>RAW_DATA!H1188</f>
        <v>4</v>
      </c>
      <c r="I1188" t="str">
        <f>RAW_DATA!I1188</f>
        <v>Single</v>
      </c>
      <c r="J1188">
        <f>RAW_DATA!J1188</f>
        <v>4581</v>
      </c>
      <c r="K1188">
        <f>RAW_DATA!K1188</f>
        <v>3</v>
      </c>
      <c r="L1188">
        <f>RAW_DATA!L1188</f>
        <v>4</v>
      </c>
      <c r="M1188">
        <f>RAW_DATA!M1188</f>
        <v>11</v>
      </c>
      <c r="N1188">
        <f t="shared" si="36"/>
        <v>1</v>
      </c>
      <c r="O1188" t="str">
        <f xml:space="preserve"> VLOOKUP(A1188, Lookup_Tables!$G$2:$H$6,2,TRUE)</f>
        <v>35-44</v>
      </c>
      <c r="P1188" t="str">
        <f>_xlfn.XLOOKUP(J1188,Lookup_Tables!$J$2:$J$4,Lookup_Tables!$K$2:$K$4, " ",-1)</f>
        <v>Medium</v>
      </c>
      <c r="Q1188" t="str">
        <f xml:space="preserve"> _xlfn.XLOOKUP(M1188, Lookup_Tables!$M$2:$M$5,Lookup_Tables!$N$2:$N$5," ", -1)</f>
        <v>Veteran (10+)</v>
      </c>
      <c r="R1188" s="4">
        <f t="shared" si="37"/>
        <v>4</v>
      </c>
      <c r="S1188" t="str">
        <f xml:space="preserve"> _xlfn.XLOOKUP( E1188, Lookup_Tables!$A$2:$A$6,Lookup_Tables!$B$2:$B$6," ", -1)</f>
        <v>Master</v>
      </c>
      <c r="T1188" t="str">
        <f>_xlfn.XLOOKUP(G1188,Lookup_Tables!$D$2:$D$5,Lookup_Tables!$E$2:$E$5)</f>
        <v>Very High</v>
      </c>
      <c r="U1188" t="str">
        <f>_xlfn.XLOOKUP(H1188,Lookup_Tables!$D$2:$D$5,Lookup_Tables!$E$2:$E$5)</f>
        <v>Very High</v>
      </c>
      <c r="V1188" t="str">
        <f>_xlfn.XLOOKUP(L1188,Lookup_Tables!$D$2:$D$5,Lookup_Tables!$E$2:$E$5)</f>
        <v>Very High</v>
      </c>
    </row>
    <row r="1189" spans="1:22">
      <c r="A1189">
        <f>RAW_DATA!A1189</f>
        <v>38</v>
      </c>
      <c r="B1189" t="str">
        <f>RAW_DATA!B1189</f>
        <v>No</v>
      </c>
      <c r="C1189" t="str">
        <f>RAW_DATA!C1189</f>
        <v>Research &amp; Development</v>
      </c>
      <c r="D1189">
        <f>RAW_DATA!D1189</f>
        <v>1</v>
      </c>
      <c r="E1189">
        <f>RAW_DATA!E1189</f>
        <v>3</v>
      </c>
      <c r="F1189" t="str">
        <f>RAW_DATA!F1189</f>
        <v>Life Sciences</v>
      </c>
      <c r="G1189">
        <f>RAW_DATA!G1189</f>
        <v>4</v>
      </c>
      <c r="H1189">
        <f>RAW_DATA!H1189</f>
        <v>4</v>
      </c>
      <c r="I1189" t="str">
        <f>RAW_DATA!I1189</f>
        <v>Married</v>
      </c>
      <c r="J1189">
        <f>RAW_DATA!J1189</f>
        <v>4735</v>
      </c>
      <c r="K1189">
        <f>RAW_DATA!K1189</f>
        <v>7</v>
      </c>
      <c r="L1189">
        <f>RAW_DATA!L1189</f>
        <v>4</v>
      </c>
      <c r="M1189">
        <f>RAW_DATA!M1189</f>
        <v>13</v>
      </c>
      <c r="N1189">
        <f t="shared" si="36"/>
        <v>0</v>
      </c>
      <c r="O1189" t="str">
        <f xml:space="preserve"> VLOOKUP(A1189, Lookup_Tables!$G$2:$H$6,2,TRUE)</f>
        <v>35-44</v>
      </c>
      <c r="P1189" t="str">
        <f>_xlfn.XLOOKUP(J1189,Lookup_Tables!$J$2:$J$4,Lookup_Tables!$K$2:$K$4, " ",-1)</f>
        <v>Medium</v>
      </c>
      <c r="Q1189" t="str">
        <f xml:space="preserve"> _xlfn.XLOOKUP(M1189, Lookup_Tables!$M$2:$M$5,Lookup_Tables!$N$2:$N$5," ", -1)</f>
        <v>Veteran (10+)</v>
      </c>
      <c r="R1189" s="4">
        <f t="shared" si="37"/>
        <v>4</v>
      </c>
      <c r="S1189" t="str">
        <f xml:space="preserve"> _xlfn.XLOOKUP( E1189, Lookup_Tables!$A$2:$A$6,Lookup_Tables!$B$2:$B$6," ", -1)</f>
        <v>Bachelor</v>
      </c>
      <c r="T1189" t="str">
        <f>_xlfn.XLOOKUP(G1189,Lookup_Tables!$D$2:$D$5,Lookup_Tables!$E$2:$E$5)</f>
        <v>Very High</v>
      </c>
      <c r="U1189" t="str">
        <f>_xlfn.XLOOKUP(H1189,Lookup_Tables!$D$2:$D$5,Lookup_Tables!$E$2:$E$5)</f>
        <v>Very High</v>
      </c>
      <c r="V1189" t="str">
        <f>_xlfn.XLOOKUP(L1189,Lookup_Tables!$D$2:$D$5,Lookup_Tables!$E$2:$E$5)</f>
        <v>Very High</v>
      </c>
    </row>
    <row r="1190" spans="1:22">
      <c r="A1190">
        <f>RAW_DATA!A1190</f>
        <v>29</v>
      </c>
      <c r="B1190" t="str">
        <f>RAW_DATA!B1190</f>
        <v>No</v>
      </c>
      <c r="C1190" t="str">
        <f>RAW_DATA!C1190</f>
        <v>Sales</v>
      </c>
      <c r="D1190">
        <f>RAW_DATA!D1190</f>
        <v>5</v>
      </c>
      <c r="E1190">
        <f>RAW_DATA!E1190</f>
        <v>3</v>
      </c>
      <c r="F1190" t="str">
        <f>RAW_DATA!F1190</f>
        <v>Medical</v>
      </c>
      <c r="G1190">
        <f>RAW_DATA!G1190</f>
        <v>1</v>
      </c>
      <c r="H1190">
        <f>RAW_DATA!H1190</f>
        <v>2</v>
      </c>
      <c r="I1190" t="str">
        <f>RAW_DATA!I1190</f>
        <v>Divorced</v>
      </c>
      <c r="J1190">
        <f>RAW_DATA!J1190</f>
        <v>4187</v>
      </c>
      <c r="K1190">
        <f>RAW_DATA!K1190</f>
        <v>1</v>
      </c>
      <c r="L1190">
        <f>RAW_DATA!L1190</f>
        <v>2</v>
      </c>
      <c r="M1190">
        <f>RAW_DATA!M1190</f>
        <v>10</v>
      </c>
      <c r="N1190">
        <f t="shared" si="36"/>
        <v>0</v>
      </c>
      <c r="O1190" t="str">
        <f xml:space="preserve"> VLOOKUP(A1190, Lookup_Tables!$G$2:$H$6,2,TRUE)</f>
        <v>25-34</v>
      </c>
      <c r="P1190" t="str">
        <f>_xlfn.XLOOKUP(J1190,Lookup_Tables!$J$2:$J$4,Lookup_Tables!$K$2:$K$4, " ",-1)</f>
        <v>Medium</v>
      </c>
      <c r="Q1190" t="str">
        <f xml:space="preserve"> _xlfn.XLOOKUP(M1190, Lookup_Tables!$M$2:$M$5,Lookup_Tables!$N$2:$N$5," ", -1)</f>
        <v>Veteran (10+)</v>
      </c>
      <c r="R1190" s="4">
        <f t="shared" si="37"/>
        <v>1.6666666666666667</v>
      </c>
      <c r="S1190" t="str">
        <f xml:space="preserve"> _xlfn.XLOOKUP( E1190, Lookup_Tables!$A$2:$A$6,Lookup_Tables!$B$2:$B$6," ", -1)</f>
        <v>Bachelor</v>
      </c>
      <c r="T1190" t="str">
        <f>_xlfn.XLOOKUP(G1190,Lookup_Tables!$D$2:$D$5,Lookup_Tables!$E$2:$E$5)</f>
        <v>Low</v>
      </c>
      <c r="U1190" t="str">
        <f>_xlfn.XLOOKUP(H1190,Lookup_Tables!$D$2:$D$5,Lookup_Tables!$E$2:$E$5)</f>
        <v>Medium</v>
      </c>
      <c r="V1190" t="str">
        <f>_xlfn.XLOOKUP(L1190,Lookup_Tables!$D$2:$D$5,Lookup_Tables!$E$2:$E$5)</f>
        <v>Medium</v>
      </c>
    </row>
    <row r="1191" spans="1:22">
      <c r="A1191">
        <f>RAW_DATA!A1191</f>
        <v>33</v>
      </c>
      <c r="B1191" t="str">
        <f>RAW_DATA!B1191</f>
        <v>No</v>
      </c>
      <c r="C1191" t="str">
        <f>RAW_DATA!C1191</f>
        <v>Sales</v>
      </c>
      <c r="D1191">
        <f>RAW_DATA!D1191</f>
        <v>2</v>
      </c>
      <c r="E1191">
        <f>RAW_DATA!E1191</f>
        <v>4</v>
      </c>
      <c r="F1191" t="str">
        <f>RAW_DATA!F1191</f>
        <v>Medical</v>
      </c>
      <c r="G1191">
        <f>RAW_DATA!G1191</f>
        <v>4</v>
      </c>
      <c r="H1191">
        <f>RAW_DATA!H1191</f>
        <v>4</v>
      </c>
      <c r="I1191" t="str">
        <f>RAW_DATA!I1191</f>
        <v>Divorced</v>
      </c>
      <c r="J1191">
        <f>RAW_DATA!J1191</f>
        <v>5505</v>
      </c>
      <c r="K1191">
        <f>RAW_DATA!K1191</f>
        <v>1</v>
      </c>
      <c r="L1191">
        <f>RAW_DATA!L1191</f>
        <v>3</v>
      </c>
      <c r="M1191">
        <f>RAW_DATA!M1191</f>
        <v>6</v>
      </c>
      <c r="N1191">
        <f t="shared" si="36"/>
        <v>0</v>
      </c>
      <c r="O1191" t="str">
        <f xml:space="preserve"> VLOOKUP(A1191, Lookup_Tables!$G$2:$H$6,2,TRUE)</f>
        <v>25-34</v>
      </c>
      <c r="P1191" t="str">
        <f>_xlfn.XLOOKUP(J1191,Lookup_Tables!$J$2:$J$4,Lookup_Tables!$K$2:$K$4, " ",-1)</f>
        <v>Medium</v>
      </c>
      <c r="Q1191" t="str">
        <f xml:space="preserve"> _xlfn.XLOOKUP(M1191, Lookup_Tables!$M$2:$M$5,Lookup_Tables!$N$2:$N$5," ", -1)</f>
        <v>Established (5-10)</v>
      </c>
      <c r="R1191" s="4">
        <f t="shared" si="37"/>
        <v>3.6666666666666665</v>
      </c>
      <c r="S1191" t="str">
        <f xml:space="preserve"> _xlfn.XLOOKUP( E1191, Lookup_Tables!$A$2:$A$6,Lookup_Tables!$B$2:$B$6," ", -1)</f>
        <v>Master</v>
      </c>
      <c r="T1191" t="str">
        <f>_xlfn.XLOOKUP(G1191,Lookup_Tables!$D$2:$D$5,Lookup_Tables!$E$2:$E$5)</f>
        <v>Very High</v>
      </c>
      <c r="U1191" t="str">
        <f>_xlfn.XLOOKUP(H1191,Lookup_Tables!$D$2:$D$5,Lookup_Tables!$E$2:$E$5)</f>
        <v>Very High</v>
      </c>
      <c r="V1191" t="str">
        <f>_xlfn.XLOOKUP(L1191,Lookup_Tables!$D$2:$D$5,Lookup_Tables!$E$2:$E$5)</f>
        <v>High</v>
      </c>
    </row>
    <row r="1192" spans="1:22">
      <c r="A1192">
        <f>RAW_DATA!A1192</f>
        <v>32</v>
      </c>
      <c r="B1192" t="str">
        <f>RAW_DATA!B1192</f>
        <v>No</v>
      </c>
      <c r="C1192" t="str">
        <f>RAW_DATA!C1192</f>
        <v>Research &amp; Development</v>
      </c>
      <c r="D1192">
        <f>RAW_DATA!D1192</f>
        <v>2</v>
      </c>
      <c r="E1192">
        <f>RAW_DATA!E1192</f>
        <v>3</v>
      </c>
      <c r="F1192" t="str">
        <f>RAW_DATA!F1192</f>
        <v>Medical</v>
      </c>
      <c r="G1192">
        <f>RAW_DATA!G1192</f>
        <v>4</v>
      </c>
      <c r="H1192">
        <f>RAW_DATA!H1192</f>
        <v>2</v>
      </c>
      <c r="I1192" t="str">
        <f>RAW_DATA!I1192</f>
        <v>Divorced</v>
      </c>
      <c r="J1192">
        <f>RAW_DATA!J1192</f>
        <v>5470</v>
      </c>
      <c r="K1192">
        <f>RAW_DATA!K1192</f>
        <v>0</v>
      </c>
      <c r="L1192">
        <f>RAW_DATA!L1192</f>
        <v>2</v>
      </c>
      <c r="M1192">
        <f>RAW_DATA!M1192</f>
        <v>9</v>
      </c>
      <c r="N1192">
        <f t="shared" si="36"/>
        <v>0</v>
      </c>
      <c r="O1192" t="str">
        <f xml:space="preserve"> VLOOKUP(A1192, Lookup_Tables!$G$2:$H$6,2,TRUE)</f>
        <v>25-34</v>
      </c>
      <c r="P1192" t="str">
        <f>_xlfn.XLOOKUP(J1192,Lookup_Tables!$J$2:$J$4,Lookup_Tables!$K$2:$K$4, " ",-1)</f>
        <v>Medium</v>
      </c>
      <c r="Q1192" t="str">
        <f xml:space="preserve"> _xlfn.XLOOKUP(M1192, Lookup_Tables!$M$2:$M$5,Lookup_Tables!$N$2:$N$5," ", -1)</f>
        <v>Established (5-10)</v>
      </c>
      <c r="R1192" s="4">
        <f t="shared" si="37"/>
        <v>2.6666666666666665</v>
      </c>
      <c r="S1192" t="str">
        <f xml:space="preserve"> _xlfn.XLOOKUP( E1192, Lookup_Tables!$A$2:$A$6,Lookup_Tables!$B$2:$B$6," ", -1)</f>
        <v>Bachelor</v>
      </c>
      <c r="T1192" t="str">
        <f>_xlfn.XLOOKUP(G1192,Lookup_Tables!$D$2:$D$5,Lookup_Tables!$E$2:$E$5)</f>
        <v>Very High</v>
      </c>
      <c r="U1192" t="str">
        <f>_xlfn.XLOOKUP(H1192,Lookup_Tables!$D$2:$D$5,Lookup_Tables!$E$2:$E$5)</f>
        <v>Medium</v>
      </c>
      <c r="V1192" t="str">
        <f>_xlfn.XLOOKUP(L1192,Lookup_Tables!$D$2:$D$5,Lookup_Tables!$E$2:$E$5)</f>
        <v>Medium</v>
      </c>
    </row>
    <row r="1193" spans="1:22">
      <c r="A1193">
        <f>RAW_DATA!A1193</f>
        <v>31</v>
      </c>
      <c r="B1193" t="str">
        <f>RAW_DATA!B1193</f>
        <v>No</v>
      </c>
      <c r="C1193" t="str">
        <f>RAW_DATA!C1193</f>
        <v>Sales</v>
      </c>
      <c r="D1193">
        <f>RAW_DATA!D1193</f>
        <v>5</v>
      </c>
      <c r="E1193">
        <f>RAW_DATA!E1193</f>
        <v>4</v>
      </c>
      <c r="F1193" t="str">
        <f>RAW_DATA!F1193</f>
        <v>Life Sciences</v>
      </c>
      <c r="G1193">
        <f>RAW_DATA!G1193</f>
        <v>1</v>
      </c>
      <c r="H1193">
        <f>RAW_DATA!H1193</f>
        <v>4</v>
      </c>
      <c r="I1193" t="str">
        <f>RAW_DATA!I1193</f>
        <v>Married</v>
      </c>
      <c r="J1193">
        <f>RAW_DATA!J1193</f>
        <v>5476</v>
      </c>
      <c r="K1193">
        <f>RAW_DATA!K1193</f>
        <v>1</v>
      </c>
      <c r="L1193">
        <f>RAW_DATA!L1193</f>
        <v>3</v>
      </c>
      <c r="M1193">
        <f>RAW_DATA!M1193</f>
        <v>10</v>
      </c>
      <c r="N1193">
        <f t="shared" si="36"/>
        <v>0</v>
      </c>
      <c r="O1193" t="str">
        <f xml:space="preserve"> VLOOKUP(A1193, Lookup_Tables!$G$2:$H$6,2,TRUE)</f>
        <v>25-34</v>
      </c>
      <c r="P1193" t="str">
        <f>_xlfn.XLOOKUP(J1193,Lookup_Tables!$J$2:$J$4,Lookup_Tables!$K$2:$K$4, " ",-1)</f>
        <v>Medium</v>
      </c>
      <c r="Q1193" t="str">
        <f xml:space="preserve"> _xlfn.XLOOKUP(M1193, Lookup_Tables!$M$2:$M$5,Lookup_Tables!$N$2:$N$5," ", -1)</f>
        <v>Veteran (10+)</v>
      </c>
      <c r="R1193" s="4">
        <f t="shared" si="37"/>
        <v>2.6666666666666665</v>
      </c>
      <c r="S1193" t="str">
        <f xml:space="preserve"> _xlfn.XLOOKUP( E1193, Lookup_Tables!$A$2:$A$6,Lookup_Tables!$B$2:$B$6," ", -1)</f>
        <v>Master</v>
      </c>
      <c r="T1193" t="str">
        <f>_xlfn.XLOOKUP(G1193,Lookup_Tables!$D$2:$D$5,Lookup_Tables!$E$2:$E$5)</f>
        <v>Low</v>
      </c>
      <c r="U1193" t="str">
        <f>_xlfn.XLOOKUP(H1193,Lookup_Tables!$D$2:$D$5,Lookup_Tables!$E$2:$E$5)</f>
        <v>Very High</v>
      </c>
      <c r="V1193" t="str">
        <f>_xlfn.XLOOKUP(L1193,Lookup_Tables!$D$2:$D$5,Lookup_Tables!$E$2:$E$5)</f>
        <v>High</v>
      </c>
    </row>
    <row r="1194" spans="1:22">
      <c r="A1194">
        <f>RAW_DATA!A1194</f>
        <v>49</v>
      </c>
      <c r="B1194" t="str">
        <f>RAW_DATA!B1194</f>
        <v>No</v>
      </c>
      <c r="C1194" t="str">
        <f>RAW_DATA!C1194</f>
        <v>Research &amp; Development</v>
      </c>
      <c r="D1194">
        <f>RAW_DATA!D1194</f>
        <v>16</v>
      </c>
      <c r="E1194">
        <f>RAW_DATA!E1194</f>
        <v>3</v>
      </c>
      <c r="F1194" t="str">
        <f>RAW_DATA!F1194</f>
        <v>Medical</v>
      </c>
      <c r="G1194">
        <f>RAW_DATA!G1194</f>
        <v>4</v>
      </c>
      <c r="H1194">
        <f>RAW_DATA!H1194</f>
        <v>1</v>
      </c>
      <c r="I1194" t="str">
        <f>RAW_DATA!I1194</f>
        <v>Divorced</v>
      </c>
      <c r="J1194">
        <f>RAW_DATA!J1194</f>
        <v>2587</v>
      </c>
      <c r="K1194">
        <f>RAW_DATA!K1194</f>
        <v>4</v>
      </c>
      <c r="L1194">
        <f>RAW_DATA!L1194</f>
        <v>2</v>
      </c>
      <c r="M1194">
        <f>RAW_DATA!M1194</f>
        <v>2</v>
      </c>
      <c r="N1194">
        <f t="shared" si="36"/>
        <v>0</v>
      </c>
      <c r="O1194" t="str">
        <f xml:space="preserve"> VLOOKUP(A1194, Lookup_Tables!$G$2:$H$6,2,TRUE)</f>
        <v>45-54</v>
      </c>
      <c r="P1194" t="str">
        <f>_xlfn.XLOOKUP(J1194,Lookup_Tables!$J$2:$J$4,Lookup_Tables!$K$2:$K$4, " ",-1)</f>
        <v>Low</v>
      </c>
      <c r="Q1194" t="str">
        <f xml:space="preserve"> _xlfn.XLOOKUP(M1194, Lookup_Tables!$M$2:$M$5,Lookup_Tables!$N$2:$N$5," ", -1)</f>
        <v>Early (2-5)</v>
      </c>
      <c r="R1194" s="4">
        <f t="shared" si="37"/>
        <v>2.3333333333333335</v>
      </c>
      <c r="S1194" t="str">
        <f xml:space="preserve"> _xlfn.XLOOKUP( E1194, Lookup_Tables!$A$2:$A$6,Lookup_Tables!$B$2:$B$6," ", -1)</f>
        <v>Bachelor</v>
      </c>
      <c r="T1194" t="str">
        <f>_xlfn.XLOOKUP(G1194,Lookup_Tables!$D$2:$D$5,Lookup_Tables!$E$2:$E$5)</f>
        <v>Very High</v>
      </c>
      <c r="U1194" t="str">
        <f>_xlfn.XLOOKUP(H1194,Lookup_Tables!$D$2:$D$5,Lookup_Tables!$E$2:$E$5)</f>
        <v>Low</v>
      </c>
      <c r="V1194" t="str">
        <f>_xlfn.XLOOKUP(L1194,Lookup_Tables!$D$2:$D$5,Lookup_Tables!$E$2:$E$5)</f>
        <v>Medium</v>
      </c>
    </row>
    <row r="1195" spans="1:22">
      <c r="A1195">
        <f>RAW_DATA!A1195</f>
        <v>38</v>
      </c>
      <c r="B1195" t="str">
        <f>RAW_DATA!B1195</f>
        <v>No</v>
      </c>
      <c r="C1195" t="str">
        <f>RAW_DATA!C1195</f>
        <v>Research &amp; Development</v>
      </c>
      <c r="D1195">
        <f>RAW_DATA!D1195</f>
        <v>2</v>
      </c>
      <c r="E1195">
        <f>RAW_DATA!E1195</f>
        <v>3</v>
      </c>
      <c r="F1195" t="str">
        <f>RAW_DATA!F1195</f>
        <v>Medical</v>
      </c>
      <c r="G1195">
        <f>RAW_DATA!G1195</f>
        <v>4</v>
      </c>
      <c r="H1195">
        <f>RAW_DATA!H1195</f>
        <v>2</v>
      </c>
      <c r="I1195" t="str">
        <f>RAW_DATA!I1195</f>
        <v>Single</v>
      </c>
      <c r="J1195">
        <f>RAW_DATA!J1195</f>
        <v>2440</v>
      </c>
      <c r="K1195">
        <f>RAW_DATA!K1195</f>
        <v>1</v>
      </c>
      <c r="L1195">
        <f>RAW_DATA!L1195</f>
        <v>3</v>
      </c>
      <c r="M1195">
        <f>RAW_DATA!M1195</f>
        <v>4</v>
      </c>
      <c r="N1195">
        <f t="shared" si="36"/>
        <v>0</v>
      </c>
      <c r="O1195" t="str">
        <f xml:space="preserve"> VLOOKUP(A1195, Lookup_Tables!$G$2:$H$6,2,TRUE)</f>
        <v>35-44</v>
      </c>
      <c r="P1195" t="str">
        <f>_xlfn.XLOOKUP(J1195,Lookup_Tables!$J$2:$J$4,Lookup_Tables!$K$2:$K$4, " ",-1)</f>
        <v>Low</v>
      </c>
      <c r="Q1195" t="str">
        <f xml:space="preserve"> _xlfn.XLOOKUP(M1195, Lookup_Tables!$M$2:$M$5,Lookup_Tables!$N$2:$N$5," ", -1)</f>
        <v>Early (2-5)</v>
      </c>
      <c r="R1195" s="4">
        <f t="shared" si="37"/>
        <v>3</v>
      </c>
      <c r="S1195" t="str">
        <f xml:space="preserve"> _xlfn.XLOOKUP( E1195, Lookup_Tables!$A$2:$A$6,Lookup_Tables!$B$2:$B$6," ", -1)</f>
        <v>Bachelor</v>
      </c>
      <c r="T1195" t="str">
        <f>_xlfn.XLOOKUP(G1195,Lookup_Tables!$D$2:$D$5,Lookup_Tables!$E$2:$E$5)</f>
        <v>Very High</v>
      </c>
      <c r="U1195" t="str">
        <f>_xlfn.XLOOKUP(H1195,Lookup_Tables!$D$2:$D$5,Lookup_Tables!$E$2:$E$5)</f>
        <v>Medium</v>
      </c>
      <c r="V1195" t="str">
        <f>_xlfn.XLOOKUP(L1195,Lookup_Tables!$D$2:$D$5,Lookup_Tables!$E$2:$E$5)</f>
        <v>High</v>
      </c>
    </row>
    <row r="1196" spans="1:22">
      <c r="A1196">
        <f>RAW_DATA!A1196</f>
        <v>47</v>
      </c>
      <c r="B1196" t="str">
        <f>RAW_DATA!B1196</f>
        <v>No</v>
      </c>
      <c r="C1196" t="str">
        <f>RAW_DATA!C1196</f>
        <v>Sales</v>
      </c>
      <c r="D1196">
        <f>RAW_DATA!D1196</f>
        <v>2</v>
      </c>
      <c r="E1196">
        <f>RAW_DATA!E1196</f>
        <v>4</v>
      </c>
      <c r="F1196" t="str">
        <f>RAW_DATA!F1196</f>
        <v>Life Sciences</v>
      </c>
      <c r="G1196">
        <f>RAW_DATA!G1196</f>
        <v>2</v>
      </c>
      <c r="H1196">
        <f>RAW_DATA!H1196</f>
        <v>2</v>
      </c>
      <c r="I1196" t="str">
        <f>RAW_DATA!I1196</f>
        <v>Divorced</v>
      </c>
      <c r="J1196">
        <f>RAW_DATA!J1196</f>
        <v>15972</v>
      </c>
      <c r="K1196">
        <f>RAW_DATA!K1196</f>
        <v>6</v>
      </c>
      <c r="L1196">
        <f>RAW_DATA!L1196</f>
        <v>3</v>
      </c>
      <c r="M1196">
        <f>RAW_DATA!M1196</f>
        <v>3</v>
      </c>
      <c r="N1196">
        <f t="shared" si="36"/>
        <v>0</v>
      </c>
      <c r="O1196" t="str">
        <f xml:space="preserve"> VLOOKUP(A1196, Lookup_Tables!$G$2:$H$6,2,TRUE)</f>
        <v>45-54</v>
      </c>
      <c r="P1196" t="str">
        <f>_xlfn.XLOOKUP(J1196,Lookup_Tables!$J$2:$J$4,Lookup_Tables!$K$2:$K$4, " ",-1)</f>
        <v>High</v>
      </c>
      <c r="Q1196" t="str">
        <f xml:space="preserve"> _xlfn.XLOOKUP(M1196, Lookup_Tables!$M$2:$M$5,Lookup_Tables!$N$2:$N$5," ", -1)</f>
        <v>Early (2-5)</v>
      </c>
      <c r="R1196" s="4">
        <f t="shared" si="37"/>
        <v>2.3333333333333335</v>
      </c>
      <c r="S1196" t="str">
        <f xml:space="preserve"> _xlfn.XLOOKUP( E1196, Lookup_Tables!$A$2:$A$6,Lookup_Tables!$B$2:$B$6," ", -1)</f>
        <v>Master</v>
      </c>
      <c r="T1196" t="str">
        <f>_xlfn.XLOOKUP(G1196,Lookup_Tables!$D$2:$D$5,Lookup_Tables!$E$2:$E$5)</f>
        <v>Medium</v>
      </c>
      <c r="U1196" t="str">
        <f>_xlfn.XLOOKUP(H1196,Lookup_Tables!$D$2:$D$5,Lookup_Tables!$E$2:$E$5)</f>
        <v>Medium</v>
      </c>
      <c r="V1196" t="str">
        <f>_xlfn.XLOOKUP(L1196,Lookup_Tables!$D$2:$D$5,Lookup_Tables!$E$2:$E$5)</f>
        <v>High</v>
      </c>
    </row>
    <row r="1197" spans="1:22">
      <c r="A1197">
        <f>RAW_DATA!A1197</f>
        <v>49</v>
      </c>
      <c r="B1197" t="str">
        <f>RAW_DATA!B1197</f>
        <v>No</v>
      </c>
      <c r="C1197" t="str">
        <f>RAW_DATA!C1197</f>
        <v>Research &amp; Development</v>
      </c>
      <c r="D1197">
        <f>RAW_DATA!D1197</f>
        <v>1</v>
      </c>
      <c r="E1197">
        <f>RAW_DATA!E1197</f>
        <v>3</v>
      </c>
      <c r="F1197" t="str">
        <f>RAW_DATA!F1197</f>
        <v>Life Sciences</v>
      </c>
      <c r="G1197">
        <f>RAW_DATA!G1197</f>
        <v>3</v>
      </c>
      <c r="H1197">
        <f>RAW_DATA!H1197</f>
        <v>3</v>
      </c>
      <c r="I1197" t="str">
        <f>RAW_DATA!I1197</f>
        <v>Single</v>
      </c>
      <c r="J1197">
        <f>RAW_DATA!J1197</f>
        <v>15379</v>
      </c>
      <c r="K1197">
        <f>RAW_DATA!K1197</f>
        <v>4</v>
      </c>
      <c r="L1197">
        <f>RAW_DATA!L1197</f>
        <v>3</v>
      </c>
      <c r="M1197">
        <f>RAW_DATA!M1197</f>
        <v>8</v>
      </c>
      <c r="N1197">
        <f t="shared" si="36"/>
        <v>0</v>
      </c>
      <c r="O1197" t="str">
        <f xml:space="preserve"> VLOOKUP(A1197, Lookup_Tables!$G$2:$H$6,2,TRUE)</f>
        <v>45-54</v>
      </c>
      <c r="P1197" t="str">
        <f>_xlfn.XLOOKUP(J1197,Lookup_Tables!$J$2:$J$4,Lookup_Tables!$K$2:$K$4, " ",-1)</f>
        <v>High</v>
      </c>
      <c r="Q1197" t="str">
        <f xml:space="preserve"> _xlfn.XLOOKUP(M1197, Lookup_Tables!$M$2:$M$5,Lookup_Tables!$N$2:$N$5," ", -1)</f>
        <v>Established (5-10)</v>
      </c>
      <c r="R1197" s="4">
        <f t="shared" si="37"/>
        <v>3</v>
      </c>
      <c r="S1197" t="str">
        <f xml:space="preserve"> _xlfn.XLOOKUP( E1197, Lookup_Tables!$A$2:$A$6,Lookup_Tables!$B$2:$B$6," ", -1)</f>
        <v>Bachelor</v>
      </c>
      <c r="T1197" t="str">
        <f>_xlfn.XLOOKUP(G1197,Lookup_Tables!$D$2:$D$5,Lookup_Tables!$E$2:$E$5)</f>
        <v>High</v>
      </c>
      <c r="U1197" t="str">
        <f>_xlfn.XLOOKUP(H1197,Lookup_Tables!$D$2:$D$5,Lookup_Tables!$E$2:$E$5)</f>
        <v>High</v>
      </c>
      <c r="V1197" t="str">
        <f>_xlfn.XLOOKUP(L1197,Lookup_Tables!$D$2:$D$5,Lookup_Tables!$E$2:$E$5)</f>
        <v>High</v>
      </c>
    </row>
    <row r="1198" spans="1:22">
      <c r="A1198">
        <f>RAW_DATA!A1198</f>
        <v>41</v>
      </c>
      <c r="B1198" t="str">
        <f>RAW_DATA!B1198</f>
        <v>No</v>
      </c>
      <c r="C1198" t="str">
        <f>RAW_DATA!C1198</f>
        <v>Sales</v>
      </c>
      <c r="D1198">
        <f>RAW_DATA!D1198</f>
        <v>23</v>
      </c>
      <c r="E1198">
        <f>RAW_DATA!E1198</f>
        <v>2</v>
      </c>
      <c r="F1198" t="str">
        <f>RAW_DATA!F1198</f>
        <v>Life Sciences</v>
      </c>
      <c r="G1198">
        <f>RAW_DATA!G1198</f>
        <v>4</v>
      </c>
      <c r="H1198">
        <f>RAW_DATA!H1198</f>
        <v>3</v>
      </c>
      <c r="I1198" t="str">
        <f>RAW_DATA!I1198</f>
        <v>Single</v>
      </c>
      <c r="J1198">
        <f>RAW_DATA!J1198</f>
        <v>7082</v>
      </c>
      <c r="K1198">
        <f>RAW_DATA!K1198</f>
        <v>3</v>
      </c>
      <c r="L1198">
        <f>RAW_DATA!L1198</f>
        <v>3</v>
      </c>
      <c r="M1198">
        <f>RAW_DATA!M1198</f>
        <v>2</v>
      </c>
      <c r="N1198">
        <f t="shared" si="36"/>
        <v>0</v>
      </c>
      <c r="O1198" t="str">
        <f xml:space="preserve"> VLOOKUP(A1198, Lookup_Tables!$G$2:$H$6,2,TRUE)</f>
        <v>35-44</v>
      </c>
      <c r="P1198" t="str">
        <f>_xlfn.XLOOKUP(J1198,Lookup_Tables!$J$2:$J$4,Lookup_Tables!$K$2:$K$4, " ",-1)</f>
        <v>High</v>
      </c>
      <c r="Q1198" t="str">
        <f xml:space="preserve"> _xlfn.XLOOKUP(M1198, Lookup_Tables!$M$2:$M$5,Lookup_Tables!$N$2:$N$5," ", -1)</f>
        <v>Early (2-5)</v>
      </c>
      <c r="R1198" s="4">
        <f t="shared" si="37"/>
        <v>3.3333333333333335</v>
      </c>
      <c r="S1198" t="str">
        <f xml:space="preserve"> _xlfn.XLOOKUP( E1198, Lookup_Tables!$A$2:$A$6,Lookup_Tables!$B$2:$B$6," ", -1)</f>
        <v>College</v>
      </c>
      <c r="T1198" t="str">
        <f>_xlfn.XLOOKUP(G1198,Lookup_Tables!$D$2:$D$5,Lookup_Tables!$E$2:$E$5)</f>
        <v>Very High</v>
      </c>
      <c r="U1198" t="str">
        <f>_xlfn.XLOOKUP(H1198,Lookup_Tables!$D$2:$D$5,Lookup_Tables!$E$2:$E$5)</f>
        <v>High</v>
      </c>
      <c r="V1198" t="str">
        <f>_xlfn.XLOOKUP(L1198,Lookup_Tables!$D$2:$D$5,Lookup_Tables!$E$2:$E$5)</f>
        <v>High</v>
      </c>
    </row>
    <row r="1199" spans="1:22">
      <c r="A1199">
        <f>RAW_DATA!A1199</f>
        <v>20</v>
      </c>
      <c r="B1199" t="str">
        <f>RAW_DATA!B1199</f>
        <v>No</v>
      </c>
      <c r="C1199" t="str">
        <f>RAW_DATA!C1199</f>
        <v>Sales</v>
      </c>
      <c r="D1199">
        <f>RAW_DATA!D1199</f>
        <v>9</v>
      </c>
      <c r="E1199">
        <f>RAW_DATA!E1199</f>
        <v>1</v>
      </c>
      <c r="F1199" t="str">
        <f>RAW_DATA!F1199</f>
        <v>Life Sciences</v>
      </c>
      <c r="G1199">
        <f>RAW_DATA!G1199</f>
        <v>4</v>
      </c>
      <c r="H1199">
        <f>RAW_DATA!H1199</f>
        <v>1</v>
      </c>
      <c r="I1199" t="str">
        <f>RAW_DATA!I1199</f>
        <v>Single</v>
      </c>
      <c r="J1199">
        <f>RAW_DATA!J1199</f>
        <v>2728</v>
      </c>
      <c r="K1199">
        <f>RAW_DATA!K1199</f>
        <v>1</v>
      </c>
      <c r="L1199">
        <f>RAW_DATA!L1199</f>
        <v>3</v>
      </c>
      <c r="M1199">
        <f>RAW_DATA!M1199</f>
        <v>2</v>
      </c>
      <c r="N1199">
        <f t="shared" si="36"/>
        <v>0</v>
      </c>
      <c r="O1199" t="str">
        <f xml:space="preserve"> VLOOKUP(A1199, Lookup_Tables!$G$2:$H$6,2,TRUE)</f>
        <v>&lt;25</v>
      </c>
      <c r="P1199" t="str">
        <f>_xlfn.XLOOKUP(J1199,Lookup_Tables!$J$2:$J$4,Lookup_Tables!$K$2:$K$4, " ",-1)</f>
        <v>Low</v>
      </c>
      <c r="Q1199" t="str">
        <f xml:space="preserve"> _xlfn.XLOOKUP(M1199, Lookup_Tables!$M$2:$M$5,Lookup_Tables!$N$2:$N$5," ", -1)</f>
        <v>Early (2-5)</v>
      </c>
      <c r="R1199" s="4">
        <f t="shared" si="37"/>
        <v>2.6666666666666665</v>
      </c>
      <c r="S1199" t="str">
        <f xml:space="preserve"> _xlfn.XLOOKUP( E1199, Lookup_Tables!$A$2:$A$6,Lookup_Tables!$B$2:$B$6," ", -1)</f>
        <v>Below College</v>
      </c>
      <c r="T1199" t="str">
        <f>_xlfn.XLOOKUP(G1199,Lookup_Tables!$D$2:$D$5,Lookup_Tables!$E$2:$E$5)</f>
        <v>Very High</v>
      </c>
      <c r="U1199" t="str">
        <f>_xlfn.XLOOKUP(H1199,Lookup_Tables!$D$2:$D$5,Lookup_Tables!$E$2:$E$5)</f>
        <v>Low</v>
      </c>
      <c r="V1199" t="str">
        <f>_xlfn.XLOOKUP(L1199,Lookup_Tables!$D$2:$D$5,Lookup_Tables!$E$2:$E$5)</f>
        <v>High</v>
      </c>
    </row>
    <row r="1200" spans="1:22">
      <c r="A1200">
        <f>RAW_DATA!A1200</f>
        <v>33</v>
      </c>
      <c r="B1200" t="str">
        <f>RAW_DATA!B1200</f>
        <v>No</v>
      </c>
      <c r="C1200" t="str">
        <f>RAW_DATA!C1200</f>
        <v>Sales</v>
      </c>
      <c r="D1200">
        <f>RAW_DATA!D1200</f>
        <v>16</v>
      </c>
      <c r="E1200">
        <f>RAW_DATA!E1200</f>
        <v>3</v>
      </c>
      <c r="F1200" t="str">
        <f>RAW_DATA!F1200</f>
        <v>Life Sciences</v>
      </c>
      <c r="G1200">
        <f>RAW_DATA!G1200</f>
        <v>3</v>
      </c>
      <c r="H1200">
        <f>RAW_DATA!H1200</f>
        <v>4</v>
      </c>
      <c r="I1200" t="str">
        <f>RAW_DATA!I1200</f>
        <v>Divorced</v>
      </c>
      <c r="J1200">
        <f>RAW_DATA!J1200</f>
        <v>5368</v>
      </c>
      <c r="K1200">
        <f>RAW_DATA!K1200</f>
        <v>1</v>
      </c>
      <c r="L1200">
        <f>RAW_DATA!L1200</f>
        <v>3</v>
      </c>
      <c r="M1200">
        <f>RAW_DATA!M1200</f>
        <v>6</v>
      </c>
      <c r="N1200">
        <f t="shared" si="36"/>
        <v>0</v>
      </c>
      <c r="O1200" t="str">
        <f xml:space="preserve"> VLOOKUP(A1200, Lookup_Tables!$G$2:$H$6,2,TRUE)</f>
        <v>25-34</v>
      </c>
      <c r="P1200" t="str">
        <f>_xlfn.XLOOKUP(J1200,Lookup_Tables!$J$2:$J$4,Lookup_Tables!$K$2:$K$4, " ",-1)</f>
        <v>Medium</v>
      </c>
      <c r="Q1200" t="str">
        <f xml:space="preserve"> _xlfn.XLOOKUP(M1200, Lookup_Tables!$M$2:$M$5,Lookup_Tables!$N$2:$N$5," ", -1)</f>
        <v>Established (5-10)</v>
      </c>
      <c r="R1200" s="4">
        <f t="shared" si="37"/>
        <v>3.3333333333333335</v>
      </c>
      <c r="S1200" t="str">
        <f xml:space="preserve"> _xlfn.XLOOKUP( E1200, Lookup_Tables!$A$2:$A$6,Lookup_Tables!$B$2:$B$6," ", -1)</f>
        <v>Bachelor</v>
      </c>
      <c r="T1200" t="str">
        <f>_xlfn.XLOOKUP(G1200,Lookup_Tables!$D$2:$D$5,Lookup_Tables!$E$2:$E$5)</f>
        <v>High</v>
      </c>
      <c r="U1200" t="str">
        <f>_xlfn.XLOOKUP(H1200,Lookup_Tables!$D$2:$D$5,Lookup_Tables!$E$2:$E$5)</f>
        <v>Very High</v>
      </c>
      <c r="V1200" t="str">
        <f>_xlfn.XLOOKUP(L1200,Lookup_Tables!$D$2:$D$5,Lookup_Tables!$E$2:$E$5)</f>
        <v>High</v>
      </c>
    </row>
    <row r="1201" spans="1:22">
      <c r="A1201">
        <f>RAW_DATA!A1201</f>
        <v>36</v>
      </c>
      <c r="B1201" t="str">
        <f>RAW_DATA!B1201</f>
        <v>No</v>
      </c>
      <c r="C1201" t="str">
        <f>RAW_DATA!C1201</f>
        <v>Research &amp; Development</v>
      </c>
      <c r="D1201">
        <f>RAW_DATA!D1201</f>
        <v>26</v>
      </c>
      <c r="E1201">
        <f>RAW_DATA!E1201</f>
        <v>4</v>
      </c>
      <c r="F1201" t="str">
        <f>RAW_DATA!F1201</f>
        <v>Life Sciences</v>
      </c>
      <c r="G1201">
        <f>RAW_DATA!G1201</f>
        <v>1</v>
      </c>
      <c r="H1201">
        <f>RAW_DATA!H1201</f>
        <v>3</v>
      </c>
      <c r="I1201" t="str">
        <f>RAW_DATA!I1201</f>
        <v>Married</v>
      </c>
      <c r="J1201">
        <f>RAW_DATA!J1201</f>
        <v>5347</v>
      </c>
      <c r="K1201">
        <f>RAW_DATA!K1201</f>
        <v>6</v>
      </c>
      <c r="L1201">
        <f>RAW_DATA!L1201</f>
        <v>2</v>
      </c>
      <c r="M1201">
        <f>RAW_DATA!M1201</f>
        <v>3</v>
      </c>
      <c r="N1201">
        <f t="shared" si="36"/>
        <v>0</v>
      </c>
      <c r="O1201" t="str">
        <f xml:space="preserve"> VLOOKUP(A1201, Lookup_Tables!$G$2:$H$6,2,TRUE)</f>
        <v>35-44</v>
      </c>
      <c r="P1201" t="str">
        <f>_xlfn.XLOOKUP(J1201,Lookup_Tables!$J$2:$J$4,Lookup_Tables!$K$2:$K$4, " ",-1)</f>
        <v>Medium</v>
      </c>
      <c r="Q1201" t="str">
        <f xml:space="preserve"> _xlfn.XLOOKUP(M1201, Lookup_Tables!$M$2:$M$5,Lookup_Tables!$N$2:$N$5," ", -1)</f>
        <v>Early (2-5)</v>
      </c>
      <c r="R1201" s="4">
        <f t="shared" si="37"/>
        <v>2</v>
      </c>
      <c r="S1201" t="str">
        <f xml:space="preserve"> _xlfn.XLOOKUP( E1201, Lookup_Tables!$A$2:$A$6,Lookup_Tables!$B$2:$B$6," ", -1)</f>
        <v>Master</v>
      </c>
      <c r="T1201" t="str">
        <f>_xlfn.XLOOKUP(G1201,Lookup_Tables!$D$2:$D$5,Lookup_Tables!$E$2:$E$5)</f>
        <v>Low</v>
      </c>
      <c r="U1201" t="str">
        <f>_xlfn.XLOOKUP(H1201,Lookup_Tables!$D$2:$D$5,Lookup_Tables!$E$2:$E$5)</f>
        <v>High</v>
      </c>
      <c r="V1201" t="str">
        <f>_xlfn.XLOOKUP(L1201,Lookup_Tables!$D$2:$D$5,Lookup_Tables!$E$2:$E$5)</f>
        <v>Medium</v>
      </c>
    </row>
    <row r="1202" spans="1:22">
      <c r="A1202">
        <f>RAW_DATA!A1202</f>
        <v>44</v>
      </c>
      <c r="B1202" t="str">
        <f>RAW_DATA!B1202</f>
        <v>No</v>
      </c>
      <c r="C1202" t="str">
        <f>RAW_DATA!C1202</f>
        <v>Human Resources</v>
      </c>
      <c r="D1202">
        <f>RAW_DATA!D1202</f>
        <v>1</v>
      </c>
      <c r="E1202">
        <f>RAW_DATA!E1202</f>
        <v>3</v>
      </c>
      <c r="F1202" t="str">
        <f>RAW_DATA!F1202</f>
        <v>Life Sciences</v>
      </c>
      <c r="G1202">
        <f>RAW_DATA!G1202</f>
        <v>3</v>
      </c>
      <c r="H1202">
        <f>RAW_DATA!H1202</f>
        <v>4</v>
      </c>
      <c r="I1202" t="str">
        <f>RAW_DATA!I1202</f>
        <v>Divorced</v>
      </c>
      <c r="J1202">
        <f>RAW_DATA!J1202</f>
        <v>3195</v>
      </c>
      <c r="K1202">
        <f>RAW_DATA!K1202</f>
        <v>4</v>
      </c>
      <c r="L1202">
        <f>RAW_DATA!L1202</f>
        <v>3</v>
      </c>
      <c r="M1202">
        <f>RAW_DATA!M1202</f>
        <v>2</v>
      </c>
      <c r="N1202">
        <f t="shared" si="36"/>
        <v>0</v>
      </c>
      <c r="O1202" t="str">
        <f xml:space="preserve"> VLOOKUP(A1202, Lookup_Tables!$G$2:$H$6,2,TRUE)</f>
        <v>35-44</v>
      </c>
      <c r="P1202" t="str">
        <f>_xlfn.XLOOKUP(J1202,Lookup_Tables!$J$2:$J$4,Lookup_Tables!$K$2:$K$4, " ",-1)</f>
        <v>Medium</v>
      </c>
      <c r="Q1202" t="str">
        <f xml:space="preserve"> _xlfn.XLOOKUP(M1202, Lookup_Tables!$M$2:$M$5,Lookup_Tables!$N$2:$N$5," ", -1)</f>
        <v>Early (2-5)</v>
      </c>
      <c r="R1202" s="4">
        <f t="shared" si="37"/>
        <v>3.3333333333333335</v>
      </c>
      <c r="S1202" t="str">
        <f xml:space="preserve"> _xlfn.XLOOKUP( E1202, Lookup_Tables!$A$2:$A$6,Lookup_Tables!$B$2:$B$6," ", -1)</f>
        <v>Bachelor</v>
      </c>
      <c r="T1202" t="str">
        <f>_xlfn.XLOOKUP(G1202,Lookup_Tables!$D$2:$D$5,Lookup_Tables!$E$2:$E$5)</f>
        <v>High</v>
      </c>
      <c r="U1202" t="str">
        <f>_xlfn.XLOOKUP(H1202,Lookup_Tables!$D$2:$D$5,Lookup_Tables!$E$2:$E$5)</f>
        <v>Very High</v>
      </c>
      <c r="V1202" t="str">
        <f>_xlfn.XLOOKUP(L1202,Lookup_Tables!$D$2:$D$5,Lookup_Tables!$E$2:$E$5)</f>
        <v>High</v>
      </c>
    </row>
    <row r="1203" spans="1:22">
      <c r="A1203">
        <f>RAW_DATA!A1203</f>
        <v>23</v>
      </c>
      <c r="B1203" t="str">
        <f>RAW_DATA!B1203</f>
        <v>Yes</v>
      </c>
      <c r="C1203" t="str">
        <f>RAW_DATA!C1203</f>
        <v>Research &amp; Development</v>
      </c>
      <c r="D1203">
        <f>RAW_DATA!D1203</f>
        <v>8</v>
      </c>
      <c r="E1203">
        <f>RAW_DATA!E1203</f>
        <v>1</v>
      </c>
      <c r="F1203" t="str">
        <f>RAW_DATA!F1203</f>
        <v>Medical</v>
      </c>
      <c r="G1203">
        <f>RAW_DATA!G1203</f>
        <v>4</v>
      </c>
      <c r="H1203">
        <f>RAW_DATA!H1203</f>
        <v>3</v>
      </c>
      <c r="I1203" t="str">
        <f>RAW_DATA!I1203</f>
        <v>Single</v>
      </c>
      <c r="J1203">
        <f>RAW_DATA!J1203</f>
        <v>3989</v>
      </c>
      <c r="K1203">
        <f>RAW_DATA!K1203</f>
        <v>1</v>
      </c>
      <c r="L1203">
        <f>RAW_DATA!L1203</f>
        <v>3</v>
      </c>
      <c r="M1203">
        <f>RAW_DATA!M1203</f>
        <v>5</v>
      </c>
      <c r="N1203">
        <f t="shared" si="36"/>
        <v>1</v>
      </c>
      <c r="O1203" t="str">
        <f xml:space="preserve"> VLOOKUP(A1203, Lookup_Tables!$G$2:$H$6,2,TRUE)</f>
        <v>&lt;25</v>
      </c>
      <c r="P1203" t="str">
        <f>_xlfn.XLOOKUP(J1203,Lookup_Tables!$J$2:$J$4,Lookup_Tables!$K$2:$K$4, " ",-1)</f>
        <v>Medium</v>
      </c>
      <c r="Q1203" t="str">
        <f xml:space="preserve"> _xlfn.XLOOKUP(M1203, Lookup_Tables!$M$2:$M$5,Lookup_Tables!$N$2:$N$5," ", -1)</f>
        <v>Established (5-10)</v>
      </c>
      <c r="R1203" s="4">
        <f t="shared" si="37"/>
        <v>3.3333333333333335</v>
      </c>
      <c r="S1203" t="str">
        <f xml:space="preserve"> _xlfn.XLOOKUP( E1203, Lookup_Tables!$A$2:$A$6,Lookup_Tables!$B$2:$B$6," ", -1)</f>
        <v>Below College</v>
      </c>
      <c r="T1203" t="str">
        <f>_xlfn.XLOOKUP(G1203,Lookup_Tables!$D$2:$D$5,Lookup_Tables!$E$2:$E$5)</f>
        <v>Very High</v>
      </c>
      <c r="U1203" t="str">
        <f>_xlfn.XLOOKUP(H1203,Lookup_Tables!$D$2:$D$5,Lookup_Tables!$E$2:$E$5)</f>
        <v>High</v>
      </c>
      <c r="V1203" t="str">
        <f>_xlfn.XLOOKUP(L1203,Lookup_Tables!$D$2:$D$5,Lookup_Tables!$E$2:$E$5)</f>
        <v>High</v>
      </c>
    </row>
    <row r="1204" spans="1:22">
      <c r="A1204">
        <f>RAW_DATA!A1204</f>
        <v>38</v>
      </c>
      <c r="B1204" t="str">
        <f>RAW_DATA!B1204</f>
        <v>No</v>
      </c>
      <c r="C1204" t="str">
        <f>RAW_DATA!C1204</f>
        <v>Research &amp; Development</v>
      </c>
      <c r="D1204">
        <f>RAW_DATA!D1204</f>
        <v>4</v>
      </c>
      <c r="E1204">
        <f>RAW_DATA!E1204</f>
        <v>2</v>
      </c>
      <c r="F1204" t="str">
        <f>RAW_DATA!F1204</f>
        <v>Medical</v>
      </c>
      <c r="G1204">
        <f>RAW_DATA!G1204</f>
        <v>4</v>
      </c>
      <c r="H1204">
        <f>RAW_DATA!H1204</f>
        <v>3</v>
      </c>
      <c r="I1204" t="str">
        <f>RAW_DATA!I1204</f>
        <v>Married</v>
      </c>
      <c r="J1204">
        <f>RAW_DATA!J1204</f>
        <v>3306</v>
      </c>
      <c r="K1204">
        <f>RAW_DATA!K1204</f>
        <v>7</v>
      </c>
      <c r="L1204">
        <f>RAW_DATA!L1204</f>
        <v>2</v>
      </c>
      <c r="M1204">
        <f>RAW_DATA!M1204</f>
        <v>0</v>
      </c>
      <c r="N1204">
        <f t="shared" si="36"/>
        <v>0</v>
      </c>
      <c r="O1204" t="str">
        <f xml:space="preserve"> VLOOKUP(A1204, Lookup_Tables!$G$2:$H$6,2,TRUE)</f>
        <v>35-44</v>
      </c>
      <c r="P1204" t="str">
        <f>_xlfn.XLOOKUP(J1204,Lookup_Tables!$J$2:$J$4,Lookup_Tables!$K$2:$K$4, " ",-1)</f>
        <v>Medium</v>
      </c>
      <c r="Q1204" t="str">
        <f xml:space="preserve"> _xlfn.XLOOKUP(M1204, Lookup_Tables!$M$2:$M$5,Lookup_Tables!$N$2:$N$5," ", -1)</f>
        <v>New (0-2)</v>
      </c>
      <c r="R1204" s="4">
        <f t="shared" si="37"/>
        <v>3</v>
      </c>
      <c r="S1204" t="str">
        <f xml:space="preserve"> _xlfn.XLOOKUP( E1204, Lookup_Tables!$A$2:$A$6,Lookup_Tables!$B$2:$B$6," ", -1)</f>
        <v>College</v>
      </c>
      <c r="T1204" t="str">
        <f>_xlfn.XLOOKUP(G1204,Lookup_Tables!$D$2:$D$5,Lookup_Tables!$E$2:$E$5)</f>
        <v>Very High</v>
      </c>
      <c r="U1204" t="str">
        <f>_xlfn.XLOOKUP(H1204,Lookup_Tables!$D$2:$D$5,Lookup_Tables!$E$2:$E$5)</f>
        <v>High</v>
      </c>
      <c r="V1204" t="str">
        <f>_xlfn.XLOOKUP(L1204,Lookup_Tables!$D$2:$D$5,Lookup_Tables!$E$2:$E$5)</f>
        <v>Medium</v>
      </c>
    </row>
    <row r="1205" spans="1:22">
      <c r="A1205">
        <f>RAW_DATA!A1205</f>
        <v>53</v>
      </c>
      <c r="B1205" t="str">
        <f>RAW_DATA!B1205</f>
        <v>No</v>
      </c>
      <c r="C1205" t="str">
        <f>RAW_DATA!C1205</f>
        <v>Research &amp; Development</v>
      </c>
      <c r="D1205">
        <f>RAW_DATA!D1205</f>
        <v>24</v>
      </c>
      <c r="E1205">
        <f>RAW_DATA!E1205</f>
        <v>4</v>
      </c>
      <c r="F1205" t="str">
        <f>RAW_DATA!F1205</f>
        <v>Medical</v>
      </c>
      <c r="G1205">
        <f>RAW_DATA!G1205</f>
        <v>2</v>
      </c>
      <c r="H1205">
        <f>RAW_DATA!H1205</f>
        <v>4</v>
      </c>
      <c r="I1205" t="str">
        <f>RAW_DATA!I1205</f>
        <v>Married</v>
      </c>
      <c r="J1205">
        <f>RAW_DATA!J1205</f>
        <v>7005</v>
      </c>
      <c r="K1205">
        <f>RAW_DATA!K1205</f>
        <v>3</v>
      </c>
      <c r="L1205">
        <f>RAW_DATA!L1205</f>
        <v>3</v>
      </c>
      <c r="M1205">
        <f>RAW_DATA!M1205</f>
        <v>4</v>
      </c>
      <c r="N1205">
        <f t="shared" si="36"/>
        <v>0</v>
      </c>
      <c r="O1205" t="str">
        <f xml:space="preserve"> VLOOKUP(A1205, Lookup_Tables!$G$2:$H$6,2,TRUE)</f>
        <v>45-54</v>
      </c>
      <c r="P1205" t="str">
        <f>_xlfn.XLOOKUP(J1205,Lookup_Tables!$J$2:$J$4,Lookup_Tables!$K$2:$K$4, " ",-1)</f>
        <v>High</v>
      </c>
      <c r="Q1205" t="str">
        <f xml:space="preserve"> _xlfn.XLOOKUP(M1205, Lookup_Tables!$M$2:$M$5,Lookup_Tables!$N$2:$N$5," ", -1)</f>
        <v>Early (2-5)</v>
      </c>
      <c r="R1205" s="4">
        <f t="shared" si="37"/>
        <v>3</v>
      </c>
      <c r="S1205" t="str">
        <f xml:space="preserve"> _xlfn.XLOOKUP( E1205, Lookup_Tables!$A$2:$A$6,Lookup_Tables!$B$2:$B$6," ", -1)</f>
        <v>Master</v>
      </c>
      <c r="T1205" t="str">
        <f>_xlfn.XLOOKUP(G1205,Lookup_Tables!$D$2:$D$5,Lookup_Tables!$E$2:$E$5)</f>
        <v>Medium</v>
      </c>
      <c r="U1205" t="str">
        <f>_xlfn.XLOOKUP(H1205,Lookup_Tables!$D$2:$D$5,Lookup_Tables!$E$2:$E$5)</f>
        <v>Very High</v>
      </c>
      <c r="V1205" t="str">
        <f>_xlfn.XLOOKUP(L1205,Lookup_Tables!$D$2:$D$5,Lookup_Tables!$E$2:$E$5)</f>
        <v>High</v>
      </c>
    </row>
    <row r="1206" spans="1:22">
      <c r="A1206">
        <f>RAW_DATA!A1206</f>
        <v>48</v>
      </c>
      <c r="B1206" t="str">
        <f>RAW_DATA!B1206</f>
        <v>Yes</v>
      </c>
      <c r="C1206" t="str">
        <f>RAW_DATA!C1206</f>
        <v>Sales</v>
      </c>
      <c r="D1206">
        <f>RAW_DATA!D1206</f>
        <v>7</v>
      </c>
      <c r="E1206">
        <f>RAW_DATA!E1206</f>
        <v>2</v>
      </c>
      <c r="F1206" t="str">
        <f>RAW_DATA!F1206</f>
        <v>Medical</v>
      </c>
      <c r="G1206">
        <f>RAW_DATA!G1206</f>
        <v>4</v>
      </c>
      <c r="H1206">
        <f>RAW_DATA!H1206</f>
        <v>3</v>
      </c>
      <c r="I1206" t="str">
        <f>RAW_DATA!I1206</f>
        <v>Married</v>
      </c>
      <c r="J1206">
        <f>RAW_DATA!J1206</f>
        <v>2655</v>
      </c>
      <c r="K1206">
        <f>RAW_DATA!K1206</f>
        <v>2</v>
      </c>
      <c r="L1206">
        <f>RAW_DATA!L1206</f>
        <v>3</v>
      </c>
      <c r="M1206">
        <f>RAW_DATA!M1206</f>
        <v>9</v>
      </c>
      <c r="N1206">
        <f t="shared" si="36"/>
        <v>1</v>
      </c>
      <c r="O1206" t="str">
        <f xml:space="preserve"> VLOOKUP(A1206, Lookup_Tables!$G$2:$H$6,2,TRUE)</f>
        <v>45-54</v>
      </c>
      <c r="P1206" t="str">
        <f>_xlfn.XLOOKUP(J1206,Lookup_Tables!$J$2:$J$4,Lookup_Tables!$K$2:$K$4, " ",-1)</f>
        <v>Low</v>
      </c>
      <c r="Q1206" t="str">
        <f xml:space="preserve"> _xlfn.XLOOKUP(M1206, Lookup_Tables!$M$2:$M$5,Lookup_Tables!$N$2:$N$5," ", -1)</f>
        <v>Established (5-10)</v>
      </c>
      <c r="R1206" s="4">
        <f t="shared" si="37"/>
        <v>3.3333333333333335</v>
      </c>
      <c r="S1206" t="str">
        <f xml:space="preserve"> _xlfn.XLOOKUP( E1206, Lookup_Tables!$A$2:$A$6,Lookup_Tables!$B$2:$B$6," ", -1)</f>
        <v>College</v>
      </c>
      <c r="T1206" t="str">
        <f>_xlfn.XLOOKUP(G1206,Lookup_Tables!$D$2:$D$5,Lookup_Tables!$E$2:$E$5)</f>
        <v>Very High</v>
      </c>
      <c r="U1206" t="str">
        <f>_xlfn.XLOOKUP(H1206,Lookup_Tables!$D$2:$D$5,Lookup_Tables!$E$2:$E$5)</f>
        <v>High</v>
      </c>
      <c r="V1206" t="str">
        <f>_xlfn.XLOOKUP(L1206,Lookup_Tables!$D$2:$D$5,Lookup_Tables!$E$2:$E$5)</f>
        <v>High</v>
      </c>
    </row>
    <row r="1207" spans="1:22">
      <c r="A1207">
        <f>RAW_DATA!A1207</f>
        <v>32</v>
      </c>
      <c r="B1207" t="str">
        <f>RAW_DATA!B1207</f>
        <v>Yes</v>
      </c>
      <c r="C1207" t="str">
        <f>RAW_DATA!C1207</f>
        <v>Research &amp; Development</v>
      </c>
      <c r="D1207">
        <f>RAW_DATA!D1207</f>
        <v>2</v>
      </c>
      <c r="E1207">
        <f>RAW_DATA!E1207</f>
        <v>4</v>
      </c>
      <c r="F1207" t="str">
        <f>RAW_DATA!F1207</f>
        <v>Life Sciences</v>
      </c>
      <c r="G1207">
        <f>RAW_DATA!G1207</f>
        <v>4</v>
      </c>
      <c r="H1207">
        <f>RAW_DATA!H1207</f>
        <v>2</v>
      </c>
      <c r="I1207" t="str">
        <f>RAW_DATA!I1207</f>
        <v>Single</v>
      </c>
      <c r="J1207">
        <f>RAW_DATA!J1207</f>
        <v>1393</v>
      </c>
      <c r="K1207">
        <f>RAW_DATA!K1207</f>
        <v>1</v>
      </c>
      <c r="L1207">
        <f>RAW_DATA!L1207</f>
        <v>3</v>
      </c>
      <c r="M1207">
        <f>RAW_DATA!M1207</f>
        <v>1</v>
      </c>
      <c r="N1207">
        <f t="shared" si="36"/>
        <v>1</v>
      </c>
      <c r="O1207" t="str">
        <f xml:space="preserve"> VLOOKUP(A1207, Lookup_Tables!$G$2:$H$6,2,TRUE)</f>
        <v>25-34</v>
      </c>
      <c r="P1207" t="str">
        <f>_xlfn.XLOOKUP(J1207,Lookup_Tables!$J$2:$J$4,Lookup_Tables!$K$2:$K$4, " ",-1)</f>
        <v>Low</v>
      </c>
      <c r="Q1207" t="str">
        <f xml:space="preserve"> _xlfn.XLOOKUP(M1207, Lookup_Tables!$M$2:$M$5,Lookup_Tables!$N$2:$N$5," ", -1)</f>
        <v>New (0-2)</v>
      </c>
      <c r="R1207" s="4">
        <f t="shared" si="37"/>
        <v>3</v>
      </c>
      <c r="S1207" t="str">
        <f xml:space="preserve"> _xlfn.XLOOKUP( E1207, Lookup_Tables!$A$2:$A$6,Lookup_Tables!$B$2:$B$6," ", -1)</f>
        <v>Master</v>
      </c>
      <c r="T1207" t="str">
        <f>_xlfn.XLOOKUP(G1207,Lookup_Tables!$D$2:$D$5,Lookup_Tables!$E$2:$E$5)</f>
        <v>Very High</v>
      </c>
      <c r="U1207" t="str">
        <f>_xlfn.XLOOKUP(H1207,Lookup_Tables!$D$2:$D$5,Lookup_Tables!$E$2:$E$5)</f>
        <v>Medium</v>
      </c>
      <c r="V1207" t="str">
        <f>_xlfn.XLOOKUP(L1207,Lookup_Tables!$D$2:$D$5,Lookup_Tables!$E$2:$E$5)</f>
        <v>High</v>
      </c>
    </row>
    <row r="1208" spans="1:22">
      <c r="A1208">
        <f>RAW_DATA!A1208</f>
        <v>26</v>
      </c>
      <c r="B1208" t="str">
        <f>RAW_DATA!B1208</f>
        <v>No</v>
      </c>
      <c r="C1208" t="str">
        <f>RAW_DATA!C1208</f>
        <v>Research &amp; Development</v>
      </c>
      <c r="D1208">
        <f>RAW_DATA!D1208</f>
        <v>7</v>
      </c>
      <c r="E1208">
        <f>RAW_DATA!E1208</f>
        <v>3</v>
      </c>
      <c r="F1208" t="str">
        <f>RAW_DATA!F1208</f>
        <v>Medical</v>
      </c>
      <c r="G1208">
        <f>RAW_DATA!G1208</f>
        <v>4</v>
      </c>
      <c r="H1208">
        <f>RAW_DATA!H1208</f>
        <v>4</v>
      </c>
      <c r="I1208" t="str">
        <f>RAW_DATA!I1208</f>
        <v>Single</v>
      </c>
      <c r="J1208">
        <f>RAW_DATA!J1208</f>
        <v>2570</v>
      </c>
      <c r="K1208">
        <f>RAW_DATA!K1208</f>
        <v>1</v>
      </c>
      <c r="L1208">
        <f>RAW_DATA!L1208</f>
        <v>3</v>
      </c>
      <c r="M1208">
        <f>RAW_DATA!M1208</f>
        <v>7</v>
      </c>
      <c r="N1208">
        <f t="shared" si="36"/>
        <v>0</v>
      </c>
      <c r="O1208" t="str">
        <f xml:space="preserve"> VLOOKUP(A1208, Lookup_Tables!$G$2:$H$6,2,TRUE)</f>
        <v>25-34</v>
      </c>
      <c r="P1208" t="str">
        <f>_xlfn.XLOOKUP(J1208,Lookup_Tables!$J$2:$J$4,Lookup_Tables!$K$2:$K$4, " ",-1)</f>
        <v>Low</v>
      </c>
      <c r="Q1208" t="str">
        <f xml:space="preserve"> _xlfn.XLOOKUP(M1208, Lookup_Tables!$M$2:$M$5,Lookup_Tables!$N$2:$N$5," ", -1)</f>
        <v>Established (5-10)</v>
      </c>
      <c r="R1208" s="4">
        <f t="shared" si="37"/>
        <v>3.6666666666666665</v>
      </c>
      <c r="S1208" t="str">
        <f xml:space="preserve"> _xlfn.XLOOKUP( E1208, Lookup_Tables!$A$2:$A$6,Lookup_Tables!$B$2:$B$6," ", -1)</f>
        <v>Bachelor</v>
      </c>
      <c r="T1208" t="str">
        <f>_xlfn.XLOOKUP(G1208,Lookup_Tables!$D$2:$D$5,Lookup_Tables!$E$2:$E$5)</f>
        <v>Very High</v>
      </c>
      <c r="U1208" t="str">
        <f>_xlfn.XLOOKUP(H1208,Lookup_Tables!$D$2:$D$5,Lookup_Tables!$E$2:$E$5)</f>
        <v>Very High</v>
      </c>
      <c r="V1208" t="str">
        <f>_xlfn.XLOOKUP(L1208,Lookup_Tables!$D$2:$D$5,Lookup_Tables!$E$2:$E$5)</f>
        <v>High</v>
      </c>
    </row>
    <row r="1209" spans="1:22">
      <c r="A1209">
        <f>RAW_DATA!A1209</f>
        <v>55</v>
      </c>
      <c r="B1209" t="str">
        <f>RAW_DATA!B1209</f>
        <v>No</v>
      </c>
      <c r="C1209" t="str">
        <f>RAW_DATA!C1209</f>
        <v>Research &amp; Development</v>
      </c>
      <c r="D1209">
        <f>RAW_DATA!D1209</f>
        <v>22</v>
      </c>
      <c r="E1209">
        <f>RAW_DATA!E1209</f>
        <v>3</v>
      </c>
      <c r="F1209" t="str">
        <f>RAW_DATA!F1209</f>
        <v>Technical Degree</v>
      </c>
      <c r="G1209">
        <f>RAW_DATA!G1209</f>
        <v>1</v>
      </c>
      <c r="H1209">
        <f>RAW_DATA!H1209</f>
        <v>2</v>
      </c>
      <c r="I1209" t="str">
        <f>RAW_DATA!I1209</f>
        <v>Divorced</v>
      </c>
      <c r="J1209">
        <f>RAW_DATA!J1209</f>
        <v>3537</v>
      </c>
      <c r="K1209">
        <f>RAW_DATA!K1209</f>
        <v>5</v>
      </c>
      <c r="L1209">
        <f>RAW_DATA!L1209</f>
        <v>3</v>
      </c>
      <c r="M1209">
        <f>RAW_DATA!M1209</f>
        <v>4</v>
      </c>
      <c r="N1209">
        <f t="shared" si="36"/>
        <v>0</v>
      </c>
      <c r="O1209" t="str">
        <f xml:space="preserve"> VLOOKUP(A1209, Lookup_Tables!$G$2:$H$6,2,TRUE)</f>
        <v>55+</v>
      </c>
      <c r="P1209" t="str">
        <f>_xlfn.XLOOKUP(J1209,Lookup_Tables!$J$2:$J$4,Lookup_Tables!$K$2:$K$4, " ",-1)</f>
        <v>Medium</v>
      </c>
      <c r="Q1209" t="str">
        <f xml:space="preserve"> _xlfn.XLOOKUP(M1209, Lookup_Tables!$M$2:$M$5,Lookup_Tables!$N$2:$N$5," ", -1)</f>
        <v>Early (2-5)</v>
      </c>
      <c r="R1209" s="4">
        <f t="shared" si="37"/>
        <v>2</v>
      </c>
      <c r="S1209" t="str">
        <f xml:space="preserve"> _xlfn.XLOOKUP( E1209, Lookup_Tables!$A$2:$A$6,Lookup_Tables!$B$2:$B$6," ", -1)</f>
        <v>Bachelor</v>
      </c>
      <c r="T1209" t="str">
        <f>_xlfn.XLOOKUP(G1209,Lookup_Tables!$D$2:$D$5,Lookup_Tables!$E$2:$E$5)</f>
        <v>Low</v>
      </c>
      <c r="U1209" t="str">
        <f>_xlfn.XLOOKUP(H1209,Lookup_Tables!$D$2:$D$5,Lookup_Tables!$E$2:$E$5)</f>
        <v>Medium</v>
      </c>
      <c r="V1209" t="str">
        <f>_xlfn.XLOOKUP(L1209,Lookup_Tables!$D$2:$D$5,Lookup_Tables!$E$2:$E$5)</f>
        <v>High</v>
      </c>
    </row>
    <row r="1210" spans="1:22">
      <c r="A1210">
        <f>RAW_DATA!A1210</f>
        <v>34</v>
      </c>
      <c r="B1210" t="str">
        <f>RAW_DATA!B1210</f>
        <v>No</v>
      </c>
      <c r="C1210" t="str">
        <f>RAW_DATA!C1210</f>
        <v>Research &amp; Development</v>
      </c>
      <c r="D1210">
        <f>RAW_DATA!D1210</f>
        <v>5</v>
      </c>
      <c r="E1210">
        <f>RAW_DATA!E1210</f>
        <v>2</v>
      </c>
      <c r="F1210" t="str">
        <f>RAW_DATA!F1210</f>
        <v>Medical</v>
      </c>
      <c r="G1210">
        <f>RAW_DATA!G1210</f>
        <v>2</v>
      </c>
      <c r="H1210">
        <f>RAW_DATA!H1210</f>
        <v>4</v>
      </c>
      <c r="I1210" t="str">
        <f>RAW_DATA!I1210</f>
        <v>Married</v>
      </c>
      <c r="J1210">
        <f>RAW_DATA!J1210</f>
        <v>3986</v>
      </c>
      <c r="K1210">
        <f>RAW_DATA!K1210</f>
        <v>1</v>
      </c>
      <c r="L1210">
        <f>RAW_DATA!L1210</f>
        <v>4</v>
      </c>
      <c r="M1210">
        <f>RAW_DATA!M1210</f>
        <v>15</v>
      </c>
      <c r="N1210">
        <f t="shared" si="36"/>
        <v>0</v>
      </c>
      <c r="O1210" t="str">
        <f xml:space="preserve"> VLOOKUP(A1210, Lookup_Tables!$G$2:$H$6,2,TRUE)</f>
        <v>25-34</v>
      </c>
      <c r="P1210" t="str">
        <f>_xlfn.XLOOKUP(J1210,Lookup_Tables!$J$2:$J$4,Lookup_Tables!$K$2:$K$4, " ",-1)</f>
        <v>Medium</v>
      </c>
      <c r="Q1210" t="str">
        <f xml:space="preserve"> _xlfn.XLOOKUP(M1210, Lookup_Tables!$M$2:$M$5,Lookup_Tables!$N$2:$N$5," ", -1)</f>
        <v>Veteran (10+)</v>
      </c>
      <c r="R1210" s="4">
        <f t="shared" si="37"/>
        <v>3.3333333333333335</v>
      </c>
      <c r="S1210" t="str">
        <f xml:space="preserve"> _xlfn.XLOOKUP( E1210, Lookup_Tables!$A$2:$A$6,Lookup_Tables!$B$2:$B$6," ", -1)</f>
        <v>College</v>
      </c>
      <c r="T1210" t="str">
        <f>_xlfn.XLOOKUP(G1210,Lookup_Tables!$D$2:$D$5,Lookup_Tables!$E$2:$E$5)</f>
        <v>Medium</v>
      </c>
      <c r="U1210" t="str">
        <f>_xlfn.XLOOKUP(H1210,Lookup_Tables!$D$2:$D$5,Lookup_Tables!$E$2:$E$5)</f>
        <v>Very High</v>
      </c>
      <c r="V1210" t="str">
        <f>_xlfn.XLOOKUP(L1210,Lookup_Tables!$D$2:$D$5,Lookup_Tables!$E$2:$E$5)</f>
        <v>Very High</v>
      </c>
    </row>
    <row r="1211" spans="1:22">
      <c r="A1211">
        <f>RAW_DATA!A1211</f>
        <v>60</v>
      </c>
      <c r="B1211" t="str">
        <f>RAW_DATA!B1211</f>
        <v>No</v>
      </c>
      <c r="C1211" t="str">
        <f>RAW_DATA!C1211</f>
        <v>Research &amp; Development</v>
      </c>
      <c r="D1211">
        <f>RAW_DATA!D1211</f>
        <v>1</v>
      </c>
      <c r="E1211">
        <f>RAW_DATA!E1211</f>
        <v>4</v>
      </c>
      <c r="F1211" t="str">
        <f>RAW_DATA!F1211</f>
        <v>Medical</v>
      </c>
      <c r="G1211">
        <f>RAW_DATA!G1211</f>
        <v>3</v>
      </c>
      <c r="H1211">
        <f>RAW_DATA!H1211</f>
        <v>4</v>
      </c>
      <c r="I1211" t="str">
        <f>RAW_DATA!I1211</f>
        <v>Divorced</v>
      </c>
      <c r="J1211">
        <f>RAW_DATA!J1211</f>
        <v>10883</v>
      </c>
      <c r="K1211">
        <f>RAW_DATA!K1211</f>
        <v>3</v>
      </c>
      <c r="L1211">
        <f>RAW_DATA!L1211</f>
        <v>4</v>
      </c>
      <c r="M1211">
        <f>RAW_DATA!M1211</f>
        <v>1</v>
      </c>
      <c r="N1211">
        <f t="shared" si="36"/>
        <v>0</v>
      </c>
      <c r="O1211" t="str">
        <f xml:space="preserve"> VLOOKUP(A1211, Lookup_Tables!$G$2:$H$6,2,TRUE)</f>
        <v>55+</v>
      </c>
      <c r="P1211" t="str">
        <f>_xlfn.XLOOKUP(J1211,Lookup_Tables!$J$2:$J$4,Lookup_Tables!$K$2:$K$4, " ",-1)</f>
        <v>High</v>
      </c>
      <c r="Q1211" t="str">
        <f xml:space="preserve"> _xlfn.XLOOKUP(M1211, Lookup_Tables!$M$2:$M$5,Lookup_Tables!$N$2:$N$5," ", -1)</f>
        <v>New (0-2)</v>
      </c>
      <c r="R1211" s="4">
        <f t="shared" si="37"/>
        <v>3.6666666666666665</v>
      </c>
      <c r="S1211" t="str">
        <f xml:space="preserve"> _xlfn.XLOOKUP( E1211, Lookup_Tables!$A$2:$A$6,Lookup_Tables!$B$2:$B$6," ", -1)</f>
        <v>Master</v>
      </c>
      <c r="T1211" t="str">
        <f>_xlfn.XLOOKUP(G1211,Lookup_Tables!$D$2:$D$5,Lookup_Tables!$E$2:$E$5)</f>
        <v>High</v>
      </c>
      <c r="U1211" t="str">
        <f>_xlfn.XLOOKUP(H1211,Lookup_Tables!$D$2:$D$5,Lookup_Tables!$E$2:$E$5)</f>
        <v>Very High</v>
      </c>
      <c r="V1211" t="str">
        <f>_xlfn.XLOOKUP(L1211,Lookup_Tables!$D$2:$D$5,Lookup_Tables!$E$2:$E$5)</f>
        <v>Very High</v>
      </c>
    </row>
    <row r="1212" spans="1:22">
      <c r="A1212">
        <f>RAW_DATA!A1212</f>
        <v>33</v>
      </c>
      <c r="B1212" t="str">
        <f>RAW_DATA!B1212</f>
        <v>No</v>
      </c>
      <c r="C1212" t="str">
        <f>RAW_DATA!C1212</f>
        <v>Research &amp; Development</v>
      </c>
      <c r="D1212">
        <f>RAW_DATA!D1212</f>
        <v>21</v>
      </c>
      <c r="E1212">
        <f>RAW_DATA!E1212</f>
        <v>3</v>
      </c>
      <c r="F1212" t="str">
        <f>RAW_DATA!F1212</f>
        <v>Medical</v>
      </c>
      <c r="G1212">
        <f>RAW_DATA!G1212</f>
        <v>2</v>
      </c>
      <c r="H1212">
        <f>RAW_DATA!H1212</f>
        <v>2</v>
      </c>
      <c r="I1212" t="str">
        <f>RAW_DATA!I1212</f>
        <v>Married</v>
      </c>
      <c r="J1212">
        <f>RAW_DATA!J1212</f>
        <v>2028</v>
      </c>
      <c r="K1212">
        <f>RAW_DATA!K1212</f>
        <v>1</v>
      </c>
      <c r="L1212">
        <f>RAW_DATA!L1212</f>
        <v>3</v>
      </c>
      <c r="M1212">
        <f>RAW_DATA!M1212</f>
        <v>14</v>
      </c>
      <c r="N1212">
        <f t="shared" si="36"/>
        <v>0</v>
      </c>
      <c r="O1212" t="str">
        <f xml:space="preserve"> VLOOKUP(A1212, Lookup_Tables!$G$2:$H$6,2,TRUE)</f>
        <v>25-34</v>
      </c>
      <c r="P1212" t="str">
        <f>_xlfn.XLOOKUP(J1212,Lookup_Tables!$J$2:$J$4,Lookup_Tables!$K$2:$K$4, " ",-1)</f>
        <v>Low</v>
      </c>
      <c r="Q1212" t="str">
        <f xml:space="preserve"> _xlfn.XLOOKUP(M1212, Lookup_Tables!$M$2:$M$5,Lookup_Tables!$N$2:$N$5," ", -1)</f>
        <v>Veteran (10+)</v>
      </c>
      <c r="R1212" s="4">
        <f t="shared" si="37"/>
        <v>2.3333333333333335</v>
      </c>
      <c r="S1212" t="str">
        <f xml:space="preserve"> _xlfn.XLOOKUP( E1212, Lookup_Tables!$A$2:$A$6,Lookup_Tables!$B$2:$B$6," ", -1)</f>
        <v>Bachelor</v>
      </c>
      <c r="T1212" t="str">
        <f>_xlfn.XLOOKUP(G1212,Lookup_Tables!$D$2:$D$5,Lookup_Tables!$E$2:$E$5)</f>
        <v>Medium</v>
      </c>
      <c r="U1212" t="str">
        <f>_xlfn.XLOOKUP(H1212,Lookup_Tables!$D$2:$D$5,Lookup_Tables!$E$2:$E$5)</f>
        <v>Medium</v>
      </c>
      <c r="V1212" t="str">
        <f>_xlfn.XLOOKUP(L1212,Lookup_Tables!$D$2:$D$5,Lookup_Tables!$E$2:$E$5)</f>
        <v>High</v>
      </c>
    </row>
    <row r="1213" spans="1:22">
      <c r="A1213">
        <f>RAW_DATA!A1213</f>
        <v>37</v>
      </c>
      <c r="B1213" t="str">
        <f>RAW_DATA!B1213</f>
        <v>No</v>
      </c>
      <c r="C1213" t="str">
        <f>RAW_DATA!C1213</f>
        <v>Sales</v>
      </c>
      <c r="D1213">
        <f>RAW_DATA!D1213</f>
        <v>1</v>
      </c>
      <c r="E1213">
        <f>RAW_DATA!E1213</f>
        <v>4</v>
      </c>
      <c r="F1213" t="str">
        <f>RAW_DATA!F1213</f>
        <v>Medical</v>
      </c>
      <c r="G1213">
        <f>RAW_DATA!G1213</f>
        <v>3</v>
      </c>
      <c r="H1213">
        <f>RAW_DATA!H1213</f>
        <v>4</v>
      </c>
      <c r="I1213" t="str">
        <f>RAW_DATA!I1213</f>
        <v>Divorced</v>
      </c>
      <c r="J1213">
        <f>RAW_DATA!J1213</f>
        <v>9525</v>
      </c>
      <c r="K1213">
        <f>RAW_DATA!K1213</f>
        <v>1</v>
      </c>
      <c r="L1213">
        <f>RAW_DATA!L1213</f>
        <v>2</v>
      </c>
      <c r="M1213">
        <f>RAW_DATA!M1213</f>
        <v>6</v>
      </c>
      <c r="N1213">
        <f t="shared" si="36"/>
        <v>0</v>
      </c>
      <c r="O1213" t="str">
        <f xml:space="preserve"> VLOOKUP(A1213, Lookup_Tables!$G$2:$H$6,2,TRUE)</f>
        <v>35-44</v>
      </c>
      <c r="P1213" t="str">
        <f>_xlfn.XLOOKUP(J1213,Lookup_Tables!$J$2:$J$4,Lookup_Tables!$K$2:$K$4, " ",-1)</f>
        <v>High</v>
      </c>
      <c r="Q1213" t="str">
        <f xml:space="preserve"> _xlfn.XLOOKUP(M1213, Lookup_Tables!$M$2:$M$5,Lookup_Tables!$N$2:$N$5," ", -1)</f>
        <v>Established (5-10)</v>
      </c>
      <c r="R1213" s="4">
        <f t="shared" si="37"/>
        <v>3</v>
      </c>
      <c r="S1213" t="str">
        <f xml:space="preserve"> _xlfn.XLOOKUP( E1213, Lookup_Tables!$A$2:$A$6,Lookup_Tables!$B$2:$B$6," ", -1)</f>
        <v>Master</v>
      </c>
      <c r="T1213" t="str">
        <f>_xlfn.XLOOKUP(G1213,Lookup_Tables!$D$2:$D$5,Lookup_Tables!$E$2:$E$5)</f>
        <v>High</v>
      </c>
      <c r="U1213" t="str">
        <f>_xlfn.XLOOKUP(H1213,Lookup_Tables!$D$2:$D$5,Lookup_Tables!$E$2:$E$5)</f>
        <v>Very High</v>
      </c>
      <c r="V1213" t="str">
        <f>_xlfn.XLOOKUP(L1213,Lookup_Tables!$D$2:$D$5,Lookup_Tables!$E$2:$E$5)</f>
        <v>Medium</v>
      </c>
    </row>
    <row r="1214" spans="1:22">
      <c r="A1214">
        <f>RAW_DATA!A1214</f>
        <v>34</v>
      </c>
      <c r="B1214" t="str">
        <f>RAW_DATA!B1214</f>
        <v>No</v>
      </c>
      <c r="C1214" t="str">
        <f>RAW_DATA!C1214</f>
        <v>Research &amp; Development</v>
      </c>
      <c r="D1214">
        <f>RAW_DATA!D1214</f>
        <v>19</v>
      </c>
      <c r="E1214">
        <f>RAW_DATA!E1214</f>
        <v>3</v>
      </c>
      <c r="F1214" t="str">
        <f>RAW_DATA!F1214</f>
        <v>Life Sciences</v>
      </c>
      <c r="G1214">
        <f>RAW_DATA!G1214</f>
        <v>2</v>
      </c>
      <c r="H1214">
        <f>RAW_DATA!H1214</f>
        <v>4</v>
      </c>
      <c r="I1214" t="str">
        <f>RAW_DATA!I1214</f>
        <v>Married</v>
      </c>
      <c r="J1214">
        <f>RAW_DATA!J1214</f>
        <v>2929</v>
      </c>
      <c r="K1214">
        <f>RAW_DATA!K1214</f>
        <v>1</v>
      </c>
      <c r="L1214">
        <f>RAW_DATA!L1214</f>
        <v>3</v>
      </c>
      <c r="M1214">
        <f>RAW_DATA!M1214</f>
        <v>10</v>
      </c>
      <c r="N1214">
        <f t="shared" si="36"/>
        <v>0</v>
      </c>
      <c r="O1214" t="str">
        <f xml:space="preserve"> VLOOKUP(A1214, Lookup_Tables!$G$2:$H$6,2,TRUE)</f>
        <v>25-34</v>
      </c>
      <c r="P1214" t="str">
        <f>_xlfn.XLOOKUP(J1214,Lookup_Tables!$J$2:$J$4,Lookup_Tables!$K$2:$K$4, " ",-1)</f>
        <v>Low</v>
      </c>
      <c r="Q1214" t="str">
        <f xml:space="preserve"> _xlfn.XLOOKUP(M1214, Lookup_Tables!$M$2:$M$5,Lookup_Tables!$N$2:$N$5," ", -1)</f>
        <v>Veteran (10+)</v>
      </c>
      <c r="R1214" s="4">
        <f t="shared" si="37"/>
        <v>3</v>
      </c>
      <c r="S1214" t="str">
        <f xml:space="preserve"> _xlfn.XLOOKUP( E1214, Lookup_Tables!$A$2:$A$6,Lookup_Tables!$B$2:$B$6," ", -1)</f>
        <v>Bachelor</v>
      </c>
      <c r="T1214" t="str">
        <f>_xlfn.XLOOKUP(G1214,Lookup_Tables!$D$2:$D$5,Lookup_Tables!$E$2:$E$5)</f>
        <v>Medium</v>
      </c>
      <c r="U1214" t="str">
        <f>_xlfn.XLOOKUP(H1214,Lookup_Tables!$D$2:$D$5,Lookup_Tables!$E$2:$E$5)</f>
        <v>Very High</v>
      </c>
      <c r="V1214" t="str">
        <f>_xlfn.XLOOKUP(L1214,Lookup_Tables!$D$2:$D$5,Lookup_Tables!$E$2:$E$5)</f>
        <v>High</v>
      </c>
    </row>
    <row r="1215" spans="1:22">
      <c r="A1215">
        <f>RAW_DATA!A1215</f>
        <v>23</v>
      </c>
      <c r="B1215" t="str">
        <f>RAW_DATA!B1215</f>
        <v>Yes</v>
      </c>
      <c r="C1215" t="str">
        <f>RAW_DATA!C1215</f>
        <v>Sales</v>
      </c>
      <c r="D1215">
        <f>RAW_DATA!D1215</f>
        <v>7</v>
      </c>
      <c r="E1215">
        <f>RAW_DATA!E1215</f>
        <v>3</v>
      </c>
      <c r="F1215" t="str">
        <f>RAW_DATA!F1215</f>
        <v>Life Sciences</v>
      </c>
      <c r="G1215">
        <f>RAW_DATA!G1215</f>
        <v>3</v>
      </c>
      <c r="H1215">
        <f>RAW_DATA!H1215</f>
        <v>4</v>
      </c>
      <c r="I1215" t="str">
        <f>RAW_DATA!I1215</f>
        <v>Divorced</v>
      </c>
      <c r="J1215">
        <f>RAW_DATA!J1215</f>
        <v>2275</v>
      </c>
      <c r="K1215">
        <f>RAW_DATA!K1215</f>
        <v>1</v>
      </c>
      <c r="L1215">
        <f>RAW_DATA!L1215</f>
        <v>3</v>
      </c>
      <c r="M1215">
        <f>RAW_DATA!M1215</f>
        <v>3</v>
      </c>
      <c r="N1215">
        <f t="shared" si="36"/>
        <v>1</v>
      </c>
      <c r="O1215" t="str">
        <f xml:space="preserve"> VLOOKUP(A1215, Lookup_Tables!$G$2:$H$6,2,TRUE)</f>
        <v>&lt;25</v>
      </c>
      <c r="P1215" t="str">
        <f>_xlfn.XLOOKUP(J1215,Lookup_Tables!$J$2:$J$4,Lookup_Tables!$K$2:$K$4, " ",-1)</f>
        <v>Low</v>
      </c>
      <c r="Q1215" t="str">
        <f xml:space="preserve"> _xlfn.XLOOKUP(M1215, Lookup_Tables!$M$2:$M$5,Lookup_Tables!$N$2:$N$5," ", -1)</f>
        <v>Early (2-5)</v>
      </c>
      <c r="R1215" s="4">
        <f t="shared" si="37"/>
        <v>3.3333333333333335</v>
      </c>
      <c r="S1215" t="str">
        <f xml:space="preserve"> _xlfn.XLOOKUP( E1215, Lookup_Tables!$A$2:$A$6,Lookup_Tables!$B$2:$B$6," ", -1)</f>
        <v>Bachelor</v>
      </c>
      <c r="T1215" t="str">
        <f>_xlfn.XLOOKUP(G1215,Lookup_Tables!$D$2:$D$5,Lookup_Tables!$E$2:$E$5)</f>
        <v>High</v>
      </c>
      <c r="U1215" t="str">
        <f>_xlfn.XLOOKUP(H1215,Lookup_Tables!$D$2:$D$5,Lookup_Tables!$E$2:$E$5)</f>
        <v>Very High</v>
      </c>
      <c r="V1215" t="str">
        <f>_xlfn.XLOOKUP(L1215,Lookup_Tables!$D$2:$D$5,Lookup_Tables!$E$2:$E$5)</f>
        <v>High</v>
      </c>
    </row>
    <row r="1216" spans="1:22">
      <c r="A1216">
        <f>RAW_DATA!A1216</f>
        <v>44</v>
      </c>
      <c r="B1216" t="str">
        <f>RAW_DATA!B1216</f>
        <v>No</v>
      </c>
      <c r="C1216" t="str">
        <f>RAW_DATA!C1216</f>
        <v>Research &amp; Development</v>
      </c>
      <c r="D1216">
        <f>RAW_DATA!D1216</f>
        <v>2</v>
      </c>
      <c r="E1216">
        <f>RAW_DATA!E1216</f>
        <v>3</v>
      </c>
      <c r="F1216" t="str">
        <f>RAW_DATA!F1216</f>
        <v>Life Sciences</v>
      </c>
      <c r="G1216">
        <f>RAW_DATA!G1216</f>
        <v>3</v>
      </c>
      <c r="H1216">
        <f>RAW_DATA!H1216</f>
        <v>4</v>
      </c>
      <c r="I1216" t="str">
        <f>RAW_DATA!I1216</f>
        <v>Married</v>
      </c>
      <c r="J1216">
        <f>RAW_DATA!J1216</f>
        <v>7879</v>
      </c>
      <c r="K1216">
        <f>RAW_DATA!K1216</f>
        <v>1</v>
      </c>
      <c r="L1216">
        <f>RAW_DATA!L1216</f>
        <v>3</v>
      </c>
      <c r="M1216">
        <f>RAW_DATA!M1216</f>
        <v>8</v>
      </c>
      <c r="N1216">
        <f t="shared" si="36"/>
        <v>0</v>
      </c>
      <c r="O1216" t="str">
        <f xml:space="preserve"> VLOOKUP(A1216, Lookup_Tables!$G$2:$H$6,2,TRUE)</f>
        <v>35-44</v>
      </c>
      <c r="P1216" t="str">
        <f>_xlfn.XLOOKUP(J1216,Lookup_Tables!$J$2:$J$4,Lookup_Tables!$K$2:$K$4, " ",-1)</f>
        <v>High</v>
      </c>
      <c r="Q1216" t="str">
        <f xml:space="preserve"> _xlfn.XLOOKUP(M1216, Lookup_Tables!$M$2:$M$5,Lookup_Tables!$N$2:$N$5," ", -1)</f>
        <v>Established (5-10)</v>
      </c>
      <c r="R1216" s="4">
        <f t="shared" si="37"/>
        <v>3.3333333333333335</v>
      </c>
      <c r="S1216" t="str">
        <f xml:space="preserve"> _xlfn.XLOOKUP( E1216, Lookup_Tables!$A$2:$A$6,Lookup_Tables!$B$2:$B$6," ", -1)</f>
        <v>Bachelor</v>
      </c>
      <c r="T1216" t="str">
        <f>_xlfn.XLOOKUP(G1216,Lookup_Tables!$D$2:$D$5,Lookup_Tables!$E$2:$E$5)</f>
        <v>High</v>
      </c>
      <c r="U1216" t="str">
        <f>_xlfn.XLOOKUP(H1216,Lookup_Tables!$D$2:$D$5,Lookup_Tables!$E$2:$E$5)</f>
        <v>Very High</v>
      </c>
      <c r="V1216" t="str">
        <f>_xlfn.XLOOKUP(L1216,Lookup_Tables!$D$2:$D$5,Lookup_Tables!$E$2:$E$5)</f>
        <v>High</v>
      </c>
    </row>
    <row r="1217" spans="1:22">
      <c r="A1217">
        <f>RAW_DATA!A1217</f>
        <v>35</v>
      </c>
      <c r="B1217" t="str">
        <f>RAW_DATA!B1217</f>
        <v>No</v>
      </c>
      <c r="C1217" t="str">
        <f>RAW_DATA!C1217</f>
        <v>Research &amp; Development</v>
      </c>
      <c r="D1217">
        <f>RAW_DATA!D1217</f>
        <v>2</v>
      </c>
      <c r="E1217">
        <f>RAW_DATA!E1217</f>
        <v>4</v>
      </c>
      <c r="F1217" t="str">
        <f>RAW_DATA!F1217</f>
        <v>Medical</v>
      </c>
      <c r="G1217">
        <f>RAW_DATA!G1217</f>
        <v>1</v>
      </c>
      <c r="H1217">
        <f>RAW_DATA!H1217</f>
        <v>4</v>
      </c>
      <c r="I1217" t="str">
        <f>RAW_DATA!I1217</f>
        <v>Single</v>
      </c>
      <c r="J1217">
        <f>RAW_DATA!J1217</f>
        <v>4930</v>
      </c>
      <c r="K1217">
        <f>RAW_DATA!K1217</f>
        <v>0</v>
      </c>
      <c r="L1217">
        <f>RAW_DATA!L1217</f>
        <v>4</v>
      </c>
      <c r="M1217">
        <f>RAW_DATA!M1217</f>
        <v>5</v>
      </c>
      <c r="N1217">
        <f t="shared" si="36"/>
        <v>0</v>
      </c>
      <c r="O1217" t="str">
        <f xml:space="preserve"> VLOOKUP(A1217, Lookup_Tables!$G$2:$H$6,2,TRUE)</f>
        <v>35-44</v>
      </c>
      <c r="P1217" t="str">
        <f>_xlfn.XLOOKUP(J1217,Lookup_Tables!$J$2:$J$4,Lookup_Tables!$K$2:$K$4, " ",-1)</f>
        <v>Medium</v>
      </c>
      <c r="Q1217" t="str">
        <f xml:space="preserve"> _xlfn.XLOOKUP(M1217, Lookup_Tables!$M$2:$M$5,Lookup_Tables!$N$2:$N$5," ", -1)</f>
        <v>Established (5-10)</v>
      </c>
      <c r="R1217" s="4">
        <f t="shared" si="37"/>
        <v>3</v>
      </c>
      <c r="S1217" t="str">
        <f xml:space="preserve"> _xlfn.XLOOKUP( E1217, Lookup_Tables!$A$2:$A$6,Lookup_Tables!$B$2:$B$6," ", -1)</f>
        <v>Master</v>
      </c>
      <c r="T1217" t="str">
        <f>_xlfn.XLOOKUP(G1217,Lookup_Tables!$D$2:$D$5,Lookup_Tables!$E$2:$E$5)</f>
        <v>Low</v>
      </c>
      <c r="U1217" t="str">
        <f>_xlfn.XLOOKUP(H1217,Lookup_Tables!$D$2:$D$5,Lookup_Tables!$E$2:$E$5)</f>
        <v>Very High</v>
      </c>
      <c r="V1217" t="str">
        <f>_xlfn.XLOOKUP(L1217,Lookup_Tables!$D$2:$D$5,Lookup_Tables!$E$2:$E$5)</f>
        <v>Very High</v>
      </c>
    </row>
    <row r="1218" spans="1:22">
      <c r="A1218">
        <f>RAW_DATA!A1218</f>
        <v>43</v>
      </c>
      <c r="B1218" t="str">
        <f>RAW_DATA!B1218</f>
        <v>No</v>
      </c>
      <c r="C1218" t="str">
        <f>RAW_DATA!C1218</f>
        <v>Sales</v>
      </c>
      <c r="D1218">
        <f>RAW_DATA!D1218</f>
        <v>2</v>
      </c>
      <c r="E1218">
        <f>RAW_DATA!E1218</f>
        <v>3</v>
      </c>
      <c r="F1218" t="str">
        <f>RAW_DATA!F1218</f>
        <v>Medical</v>
      </c>
      <c r="G1218">
        <f>RAW_DATA!G1218</f>
        <v>4</v>
      </c>
      <c r="H1218">
        <f>RAW_DATA!H1218</f>
        <v>4</v>
      </c>
      <c r="I1218" t="str">
        <f>RAW_DATA!I1218</f>
        <v>Married</v>
      </c>
      <c r="J1218">
        <f>RAW_DATA!J1218</f>
        <v>7847</v>
      </c>
      <c r="K1218">
        <f>RAW_DATA!K1218</f>
        <v>1</v>
      </c>
      <c r="L1218">
        <f>RAW_DATA!L1218</f>
        <v>3</v>
      </c>
      <c r="M1218">
        <f>RAW_DATA!M1218</f>
        <v>10</v>
      </c>
      <c r="N1218">
        <f t="shared" si="36"/>
        <v>0</v>
      </c>
      <c r="O1218" t="str">
        <f xml:space="preserve"> VLOOKUP(A1218, Lookup_Tables!$G$2:$H$6,2,TRUE)</f>
        <v>35-44</v>
      </c>
      <c r="P1218" t="str">
        <f>_xlfn.XLOOKUP(J1218,Lookup_Tables!$J$2:$J$4,Lookup_Tables!$K$2:$K$4, " ",-1)</f>
        <v>High</v>
      </c>
      <c r="Q1218" t="str">
        <f xml:space="preserve"> _xlfn.XLOOKUP(M1218, Lookup_Tables!$M$2:$M$5,Lookup_Tables!$N$2:$N$5," ", -1)</f>
        <v>Veteran (10+)</v>
      </c>
      <c r="R1218" s="4">
        <f t="shared" si="37"/>
        <v>3.6666666666666665</v>
      </c>
      <c r="S1218" t="str">
        <f xml:space="preserve"> _xlfn.XLOOKUP( E1218, Lookup_Tables!$A$2:$A$6,Lookup_Tables!$B$2:$B$6," ", -1)</f>
        <v>Bachelor</v>
      </c>
      <c r="T1218" t="str">
        <f>_xlfn.XLOOKUP(G1218,Lookup_Tables!$D$2:$D$5,Lookup_Tables!$E$2:$E$5)</f>
        <v>Very High</v>
      </c>
      <c r="U1218" t="str">
        <f>_xlfn.XLOOKUP(H1218,Lookup_Tables!$D$2:$D$5,Lookup_Tables!$E$2:$E$5)</f>
        <v>Very High</v>
      </c>
      <c r="V1218" t="str">
        <f>_xlfn.XLOOKUP(L1218,Lookup_Tables!$D$2:$D$5,Lookup_Tables!$E$2:$E$5)</f>
        <v>High</v>
      </c>
    </row>
    <row r="1219" spans="1:22">
      <c r="A1219">
        <f>RAW_DATA!A1219</f>
        <v>24</v>
      </c>
      <c r="B1219" t="str">
        <f>RAW_DATA!B1219</f>
        <v>No</v>
      </c>
      <c r="C1219" t="str">
        <f>RAW_DATA!C1219</f>
        <v>Research &amp; Development</v>
      </c>
      <c r="D1219">
        <f>RAW_DATA!D1219</f>
        <v>9</v>
      </c>
      <c r="E1219">
        <f>RAW_DATA!E1219</f>
        <v>3</v>
      </c>
      <c r="F1219" t="str">
        <f>RAW_DATA!F1219</f>
        <v>Medical</v>
      </c>
      <c r="G1219">
        <f>RAW_DATA!G1219</f>
        <v>3</v>
      </c>
      <c r="H1219">
        <f>RAW_DATA!H1219</f>
        <v>3</v>
      </c>
      <c r="I1219" t="str">
        <f>RAW_DATA!I1219</f>
        <v>Married</v>
      </c>
      <c r="J1219">
        <f>RAW_DATA!J1219</f>
        <v>4401</v>
      </c>
      <c r="K1219">
        <f>RAW_DATA!K1219</f>
        <v>1</v>
      </c>
      <c r="L1219">
        <f>RAW_DATA!L1219</f>
        <v>3</v>
      </c>
      <c r="M1219">
        <f>RAW_DATA!M1219</f>
        <v>5</v>
      </c>
      <c r="N1219">
        <f t="shared" ref="N1219:N1282" si="38" xml:space="preserve"> IF(B1219 ="Yes",1,0)</f>
        <v>0</v>
      </c>
      <c r="O1219" t="str">
        <f xml:space="preserve"> VLOOKUP(A1219, Lookup_Tables!$G$2:$H$6,2,TRUE)</f>
        <v>&lt;25</v>
      </c>
      <c r="P1219" t="str">
        <f>_xlfn.XLOOKUP(J1219,Lookup_Tables!$J$2:$J$4,Lookup_Tables!$K$2:$K$4, " ",-1)</f>
        <v>Medium</v>
      </c>
      <c r="Q1219" t="str">
        <f xml:space="preserve"> _xlfn.XLOOKUP(M1219, Lookup_Tables!$M$2:$M$5,Lookup_Tables!$N$2:$N$5," ", -1)</f>
        <v>Established (5-10)</v>
      </c>
      <c r="R1219" s="4">
        <f t="shared" ref="R1219:R1282" si="39">AVERAGE(G1219,H1219,L1219)</f>
        <v>3</v>
      </c>
      <c r="S1219" t="str">
        <f xml:space="preserve"> _xlfn.XLOOKUP( E1219, Lookup_Tables!$A$2:$A$6,Lookup_Tables!$B$2:$B$6," ", -1)</f>
        <v>Bachelor</v>
      </c>
      <c r="T1219" t="str">
        <f>_xlfn.XLOOKUP(G1219,Lookup_Tables!$D$2:$D$5,Lookup_Tables!$E$2:$E$5)</f>
        <v>High</v>
      </c>
      <c r="U1219" t="str">
        <f>_xlfn.XLOOKUP(H1219,Lookup_Tables!$D$2:$D$5,Lookup_Tables!$E$2:$E$5)</f>
        <v>High</v>
      </c>
      <c r="V1219" t="str">
        <f>_xlfn.XLOOKUP(L1219,Lookup_Tables!$D$2:$D$5,Lookup_Tables!$E$2:$E$5)</f>
        <v>High</v>
      </c>
    </row>
    <row r="1220" spans="1:22">
      <c r="A1220">
        <f>RAW_DATA!A1220</f>
        <v>41</v>
      </c>
      <c r="B1220" t="str">
        <f>RAW_DATA!B1220</f>
        <v>No</v>
      </c>
      <c r="C1220" t="str">
        <f>RAW_DATA!C1220</f>
        <v>Sales</v>
      </c>
      <c r="D1220">
        <f>RAW_DATA!D1220</f>
        <v>6</v>
      </c>
      <c r="E1220">
        <f>RAW_DATA!E1220</f>
        <v>3</v>
      </c>
      <c r="F1220" t="str">
        <f>RAW_DATA!F1220</f>
        <v>Marketing</v>
      </c>
      <c r="G1220">
        <f>RAW_DATA!G1220</f>
        <v>4</v>
      </c>
      <c r="H1220">
        <f>RAW_DATA!H1220</f>
        <v>3</v>
      </c>
      <c r="I1220" t="str">
        <f>RAW_DATA!I1220</f>
        <v>Single</v>
      </c>
      <c r="J1220">
        <f>RAW_DATA!J1220</f>
        <v>9241</v>
      </c>
      <c r="K1220">
        <f>RAW_DATA!K1220</f>
        <v>1</v>
      </c>
      <c r="L1220">
        <f>RAW_DATA!L1220</f>
        <v>3</v>
      </c>
      <c r="M1220">
        <f>RAW_DATA!M1220</f>
        <v>10</v>
      </c>
      <c r="N1220">
        <f t="shared" si="38"/>
        <v>0</v>
      </c>
      <c r="O1220" t="str">
        <f xml:space="preserve"> VLOOKUP(A1220, Lookup_Tables!$G$2:$H$6,2,TRUE)</f>
        <v>35-44</v>
      </c>
      <c r="P1220" t="str">
        <f>_xlfn.XLOOKUP(J1220,Lookup_Tables!$J$2:$J$4,Lookup_Tables!$K$2:$K$4, " ",-1)</f>
        <v>High</v>
      </c>
      <c r="Q1220" t="str">
        <f xml:space="preserve"> _xlfn.XLOOKUP(M1220, Lookup_Tables!$M$2:$M$5,Lookup_Tables!$N$2:$N$5," ", -1)</f>
        <v>Veteran (10+)</v>
      </c>
      <c r="R1220" s="4">
        <f t="shared" si="39"/>
        <v>3.3333333333333335</v>
      </c>
      <c r="S1220" t="str">
        <f xml:space="preserve"> _xlfn.XLOOKUP( E1220, Lookup_Tables!$A$2:$A$6,Lookup_Tables!$B$2:$B$6," ", -1)</f>
        <v>Bachelor</v>
      </c>
      <c r="T1220" t="str">
        <f>_xlfn.XLOOKUP(G1220,Lookup_Tables!$D$2:$D$5,Lookup_Tables!$E$2:$E$5)</f>
        <v>Very High</v>
      </c>
      <c r="U1220" t="str">
        <f>_xlfn.XLOOKUP(H1220,Lookup_Tables!$D$2:$D$5,Lookup_Tables!$E$2:$E$5)</f>
        <v>High</v>
      </c>
      <c r="V1220" t="str">
        <f>_xlfn.XLOOKUP(L1220,Lookup_Tables!$D$2:$D$5,Lookup_Tables!$E$2:$E$5)</f>
        <v>High</v>
      </c>
    </row>
    <row r="1221" spans="1:22">
      <c r="A1221">
        <f>RAW_DATA!A1221</f>
        <v>29</v>
      </c>
      <c r="B1221" t="str">
        <f>RAW_DATA!B1221</f>
        <v>No</v>
      </c>
      <c r="C1221" t="str">
        <f>RAW_DATA!C1221</f>
        <v>Research &amp; Development</v>
      </c>
      <c r="D1221">
        <f>RAW_DATA!D1221</f>
        <v>9</v>
      </c>
      <c r="E1221">
        <f>RAW_DATA!E1221</f>
        <v>4</v>
      </c>
      <c r="F1221" t="str">
        <f>RAW_DATA!F1221</f>
        <v>Medical</v>
      </c>
      <c r="G1221">
        <f>RAW_DATA!G1221</f>
        <v>4</v>
      </c>
      <c r="H1221">
        <f>RAW_DATA!H1221</f>
        <v>3</v>
      </c>
      <c r="I1221" t="str">
        <f>RAW_DATA!I1221</f>
        <v>Married</v>
      </c>
      <c r="J1221">
        <f>RAW_DATA!J1221</f>
        <v>2974</v>
      </c>
      <c r="K1221">
        <f>RAW_DATA!K1221</f>
        <v>9</v>
      </c>
      <c r="L1221">
        <f>RAW_DATA!L1221</f>
        <v>3</v>
      </c>
      <c r="M1221">
        <f>RAW_DATA!M1221</f>
        <v>5</v>
      </c>
      <c r="N1221">
        <f t="shared" si="38"/>
        <v>0</v>
      </c>
      <c r="O1221" t="str">
        <f xml:space="preserve"> VLOOKUP(A1221, Lookup_Tables!$G$2:$H$6,2,TRUE)</f>
        <v>25-34</v>
      </c>
      <c r="P1221" t="str">
        <f>_xlfn.XLOOKUP(J1221,Lookup_Tables!$J$2:$J$4,Lookup_Tables!$K$2:$K$4, " ",-1)</f>
        <v>Low</v>
      </c>
      <c r="Q1221" t="str">
        <f xml:space="preserve"> _xlfn.XLOOKUP(M1221, Lookup_Tables!$M$2:$M$5,Lookup_Tables!$N$2:$N$5," ", -1)</f>
        <v>Established (5-10)</v>
      </c>
      <c r="R1221" s="4">
        <f t="shared" si="39"/>
        <v>3.3333333333333335</v>
      </c>
      <c r="S1221" t="str">
        <f xml:space="preserve"> _xlfn.XLOOKUP( E1221, Lookup_Tables!$A$2:$A$6,Lookup_Tables!$B$2:$B$6," ", -1)</f>
        <v>Master</v>
      </c>
      <c r="T1221" t="str">
        <f>_xlfn.XLOOKUP(G1221,Lookup_Tables!$D$2:$D$5,Lookup_Tables!$E$2:$E$5)</f>
        <v>Very High</v>
      </c>
      <c r="U1221" t="str">
        <f>_xlfn.XLOOKUP(H1221,Lookup_Tables!$D$2:$D$5,Lookup_Tables!$E$2:$E$5)</f>
        <v>High</v>
      </c>
      <c r="V1221" t="str">
        <f>_xlfn.XLOOKUP(L1221,Lookup_Tables!$D$2:$D$5,Lookup_Tables!$E$2:$E$5)</f>
        <v>High</v>
      </c>
    </row>
    <row r="1222" spans="1:22">
      <c r="A1222">
        <f>RAW_DATA!A1222</f>
        <v>36</v>
      </c>
      <c r="B1222" t="str">
        <f>RAW_DATA!B1222</f>
        <v>No</v>
      </c>
      <c r="C1222" t="str">
        <f>RAW_DATA!C1222</f>
        <v>Sales</v>
      </c>
      <c r="D1222">
        <f>RAW_DATA!D1222</f>
        <v>2</v>
      </c>
      <c r="E1222">
        <f>RAW_DATA!E1222</f>
        <v>4</v>
      </c>
      <c r="F1222" t="str">
        <f>RAW_DATA!F1222</f>
        <v>Life Sciences</v>
      </c>
      <c r="G1222">
        <f>RAW_DATA!G1222</f>
        <v>3</v>
      </c>
      <c r="H1222">
        <f>RAW_DATA!H1222</f>
        <v>4</v>
      </c>
      <c r="I1222" t="str">
        <f>RAW_DATA!I1222</f>
        <v>Single</v>
      </c>
      <c r="J1222">
        <f>RAW_DATA!J1222</f>
        <v>4502</v>
      </c>
      <c r="K1222">
        <f>RAW_DATA!K1222</f>
        <v>3</v>
      </c>
      <c r="L1222">
        <f>RAW_DATA!L1222</f>
        <v>2</v>
      </c>
      <c r="M1222">
        <f>RAW_DATA!M1222</f>
        <v>13</v>
      </c>
      <c r="N1222">
        <f t="shared" si="38"/>
        <v>0</v>
      </c>
      <c r="O1222" t="str">
        <f xml:space="preserve"> VLOOKUP(A1222, Lookup_Tables!$G$2:$H$6,2,TRUE)</f>
        <v>35-44</v>
      </c>
      <c r="P1222" t="str">
        <f>_xlfn.XLOOKUP(J1222,Lookup_Tables!$J$2:$J$4,Lookup_Tables!$K$2:$K$4, " ",-1)</f>
        <v>Medium</v>
      </c>
      <c r="Q1222" t="str">
        <f xml:space="preserve"> _xlfn.XLOOKUP(M1222, Lookup_Tables!$M$2:$M$5,Lookup_Tables!$N$2:$N$5," ", -1)</f>
        <v>Veteran (10+)</v>
      </c>
      <c r="R1222" s="4">
        <f t="shared" si="39"/>
        <v>3</v>
      </c>
      <c r="S1222" t="str">
        <f xml:space="preserve"> _xlfn.XLOOKUP( E1222, Lookup_Tables!$A$2:$A$6,Lookup_Tables!$B$2:$B$6," ", -1)</f>
        <v>Master</v>
      </c>
      <c r="T1222" t="str">
        <f>_xlfn.XLOOKUP(G1222,Lookup_Tables!$D$2:$D$5,Lookup_Tables!$E$2:$E$5)</f>
        <v>High</v>
      </c>
      <c r="U1222" t="str">
        <f>_xlfn.XLOOKUP(H1222,Lookup_Tables!$D$2:$D$5,Lookup_Tables!$E$2:$E$5)</f>
        <v>Very High</v>
      </c>
      <c r="V1222" t="str">
        <f>_xlfn.XLOOKUP(L1222,Lookup_Tables!$D$2:$D$5,Lookup_Tables!$E$2:$E$5)</f>
        <v>Medium</v>
      </c>
    </row>
    <row r="1223" spans="1:22">
      <c r="A1223">
        <f>RAW_DATA!A1223</f>
        <v>45</v>
      </c>
      <c r="B1223" t="str">
        <f>RAW_DATA!B1223</f>
        <v>No</v>
      </c>
      <c r="C1223" t="str">
        <f>RAW_DATA!C1223</f>
        <v>Research &amp; Development</v>
      </c>
      <c r="D1223">
        <f>RAW_DATA!D1223</f>
        <v>1</v>
      </c>
      <c r="E1223">
        <f>RAW_DATA!E1223</f>
        <v>1</v>
      </c>
      <c r="F1223" t="str">
        <f>RAW_DATA!F1223</f>
        <v>Life Sciences</v>
      </c>
      <c r="G1223">
        <f>RAW_DATA!G1223</f>
        <v>3</v>
      </c>
      <c r="H1223">
        <f>RAW_DATA!H1223</f>
        <v>3</v>
      </c>
      <c r="I1223" t="str">
        <f>RAW_DATA!I1223</f>
        <v>Married</v>
      </c>
      <c r="J1223">
        <f>RAW_DATA!J1223</f>
        <v>10748</v>
      </c>
      <c r="K1223">
        <f>RAW_DATA!K1223</f>
        <v>3</v>
      </c>
      <c r="L1223">
        <f>RAW_DATA!L1223</f>
        <v>2</v>
      </c>
      <c r="M1223">
        <f>RAW_DATA!M1223</f>
        <v>23</v>
      </c>
      <c r="N1223">
        <f t="shared" si="38"/>
        <v>0</v>
      </c>
      <c r="O1223" t="str">
        <f xml:space="preserve"> VLOOKUP(A1223, Lookup_Tables!$G$2:$H$6,2,TRUE)</f>
        <v>45-54</v>
      </c>
      <c r="P1223" t="str">
        <f>_xlfn.XLOOKUP(J1223,Lookup_Tables!$J$2:$J$4,Lookup_Tables!$K$2:$K$4, " ",-1)</f>
        <v>High</v>
      </c>
      <c r="Q1223" t="str">
        <f xml:space="preserve"> _xlfn.XLOOKUP(M1223, Lookup_Tables!$M$2:$M$5,Lookup_Tables!$N$2:$N$5," ", -1)</f>
        <v>Veteran (10+)</v>
      </c>
      <c r="R1223" s="4">
        <f t="shared" si="39"/>
        <v>2.6666666666666665</v>
      </c>
      <c r="S1223" t="str">
        <f xml:space="preserve"> _xlfn.XLOOKUP( E1223, Lookup_Tables!$A$2:$A$6,Lookup_Tables!$B$2:$B$6," ", -1)</f>
        <v>Below College</v>
      </c>
      <c r="T1223" t="str">
        <f>_xlfn.XLOOKUP(G1223,Lookup_Tables!$D$2:$D$5,Lookup_Tables!$E$2:$E$5)</f>
        <v>High</v>
      </c>
      <c r="U1223" t="str">
        <f>_xlfn.XLOOKUP(H1223,Lookup_Tables!$D$2:$D$5,Lookup_Tables!$E$2:$E$5)</f>
        <v>High</v>
      </c>
      <c r="V1223" t="str">
        <f>_xlfn.XLOOKUP(L1223,Lookup_Tables!$D$2:$D$5,Lookup_Tables!$E$2:$E$5)</f>
        <v>Medium</v>
      </c>
    </row>
    <row r="1224" spans="1:22">
      <c r="A1224">
        <f>RAW_DATA!A1224</f>
        <v>24</v>
      </c>
      <c r="B1224" t="str">
        <f>RAW_DATA!B1224</f>
        <v>Yes</v>
      </c>
      <c r="C1224" t="str">
        <f>RAW_DATA!C1224</f>
        <v>Human Resources</v>
      </c>
      <c r="D1224">
        <f>RAW_DATA!D1224</f>
        <v>22</v>
      </c>
      <c r="E1224">
        <f>RAW_DATA!E1224</f>
        <v>1</v>
      </c>
      <c r="F1224" t="str">
        <f>RAW_DATA!F1224</f>
        <v>Human Resources</v>
      </c>
      <c r="G1224">
        <f>RAW_DATA!G1224</f>
        <v>4</v>
      </c>
      <c r="H1224">
        <f>RAW_DATA!H1224</f>
        <v>3</v>
      </c>
      <c r="I1224" t="str">
        <f>RAW_DATA!I1224</f>
        <v>Married</v>
      </c>
      <c r="J1224">
        <f>RAW_DATA!J1224</f>
        <v>1555</v>
      </c>
      <c r="K1224">
        <f>RAW_DATA!K1224</f>
        <v>1</v>
      </c>
      <c r="L1224">
        <f>RAW_DATA!L1224</f>
        <v>3</v>
      </c>
      <c r="M1224">
        <f>RAW_DATA!M1224</f>
        <v>1</v>
      </c>
      <c r="N1224">
        <f t="shared" si="38"/>
        <v>1</v>
      </c>
      <c r="O1224" t="str">
        <f xml:space="preserve"> VLOOKUP(A1224, Lookup_Tables!$G$2:$H$6,2,TRUE)</f>
        <v>&lt;25</v>
      </c>
      <c r="P1224" t="str">
        <f>_xlfn.XLOOKUP(J1224,Lookup_Tables!$J$2:$J$4,Lookup_Tables!$K$2:$K$4, " ",-1)</f>
        <v>Low</v>
      </c>
      <c r="Q1224" t="str">
        <f xml:space="preserve"> _xlfn.XLOOKUP(M1224, Lookup_Tables!$M$2:$M$5,Lookup_Tables!$N$2:$N$5," ", -1)</f>
        <v>New (0-2)</v>
      </c>
      <c r="R1224" s="4">
        <f t="shared" si="39"/>
        <v>3.3333333333333335</v>
      </c>
      <c r="S1224" t="str">
        <f xml:space="preserve"> _xlfn.XLOOKUP( E1224, Lookup_Tables!$A$2:$A$6,Lookup_Tables!$B$2:$B$6," ", -1)</f>
        <v>Below College</v>
      </c>
      <c r="T1224" t="str">
        <f>_xlfn.XLOOKUP(G1224,Lookup_Tables!$D$2:$D$5,Lookup_Tables!$E$2:$E$5)</f>
        <v>Very High</v>
      </c>
      <c r="U1224" t="str">
        <f>_xlfn.XLOOKUP(H1224,Lookup_Tables!$D$2:$D$5,Lookup_Tables!$E$2:$E$5)</f>
        <v>High</v>
      </c>
      <c r="V1224" t="str">
        <f>_xlfn.XLOOKUP(L1224,Lookup_Tables!$D$2:$D$5,Lookup_Tables!$E$2:$E$5)</f>
        <v>High</v>
      </c>
    </row>
    <row r="1225" spans="1:22">
      <c r="A1225">
        <f>RAW_DATA!A1225</f>
        <v>47</v>
      </c>
      <c r="B1225" t="str">
        <f>RAW_DATA!B1225</f>
        <v>Yes</v>
      </c>
      <c r="C1225" t="str">
        <f>RAW_DATA!C1225</f>
        <v>Sales</v>
      </c>
      <c r="D1225">
        <f>RAW_DATA!D1225</f>
        <v>9</v>
      </c>
      <c r="E1225">
        <f>RAW_DATA!E1225</f>
        <v>3</v>
      </c>
      <c r="F1225" t="str">
        <f>RAW_DATA!F1225</f>
        <v>Life Sciences</v>
      </c>
      <c r="G1225">
        <f>RAW_DATA!G1225</f>
        <v>3</v>
      </c>
      <c r="H1225">
        <f>RAW_DATA!H1225</f>
        <v>3</v>
      </c>
      <c r="I1225" t="str">
        <f>RAW_DATA!I1225</f>
        <v>Married</v>
      </c>
      <c r="J1225">
        <f>RAW_DATA!J1225</f>
        <v>12936</v>
      </c>
      <c r="K1225">
        <f>RAW_DATA!K1225</f>
        <v>7</v>
      </c>
      <c r="L1225">
        <f>RAW_DATA!L1225</f>
        <v>1</v>
      </c>
      <c r="M1225">
        <f>RAW_DATA!M1225</f>
        <v>23</v>
      </c>
      <c r="N1225">
        <f t="shared" si="38"/>
        <v>1</v>
      </c>
      <c r="O1225" t="str">
        <f xml:space="preserve"> VLOOKUP(A1225, Lookup_Tables!$G$2:$H$6,2,TRUE)</f>
        <v>45-54</v>
      </c>
      <c r="P1225" t="str">
        <f>_xlfn.XLOOKUP(J1225,Lookup_Tables!$J$2:$J$4,Lookup_Tables!$K$2:$K$4, " ",-1)</f>
        <v>High</v>
      </c>
      <c r="Q1225" t="str">
        <f xml:space="preserve"> _xlfn.XLOOKUP(M1225, Lookup_Tables!$M$2:$M$5,Lookup_Tables!$N$2:$N$5," ", -1)</f>
        <v>Veteran (10+)</v>
      </c>
      <c r="R1225" s="4">
        <f t="shared" si="39"/>
        <v>2.3333333333333335</v>
      </c>
      <c r="S1225" t="str">
        <f xml:space="preserve"> _xlfn.XLOOKUP( E1225, Lookup_Tables!$A$2:$A$6,Lookup_Tables!$B$2:$B$6," ", -1)</f>
        <v>Bachelor</v>
      </c>
      <c r="T1225" t="str">
        <f>_xlfn.XLOOKUP(G1225,Lookup_Tables!$D$2:$D$5,Lookup_Tables!$E$2:$E$5)</f>
        <v>High</v>
      </c>
      <c r="U1225" t="str">
        <f>_xlfn.XLOOKUP(H1225,Lookup_Tables!$D$2:$D$5,Lookup_Tables!$E$2:$E$5)</f>
        <v>High</v>
      </c>
      <c r="V1225" t="str">
        <f>_xlfn.XLOOKUP(L1225,Lookup_Tables!$D$2:$D$5,Lookup_Tables!$E$2:$E$5)</f>
        <v>Low</v>
      </c>
    </row>
    <row r="1226" spans="1:22">
      <c r="A1226">
        <f>RAW_DATA!A1226</f>
        <v>26</v>
      </c>
      <c r="B1226" t="str">
        <f>RAW_DATA!B1226</f>
        <v>No</v>
      </c>
      <c r="C1226" t="str">
        <f>RAW_DATA!C1226</f>
        <v>Research &amp; Development</v>
      </c>
      <c r="D1226">
        <f>RAW_DATA!D1226</f>
        <v>17</v>
      </c>
      <c r="E1226">
        <f>RAW_DATA!E1226</f>
        <v>4</v>
      </c>
      <c r="F1226" t="str">
        <f>RAW_DATA!F1226</f>
        <v>Medical</v>
      </c>
      <c r="G1226">
        <f>RAW_DATA!G1226</f>
        <v>4</v>
      </c>
      <c r="H1226">
        <f>RAW_DATA!H1226</f>
        <v>3</v>
      </c>
      <c r="I1226" t="str">
        <f>RAW_DATA!I1226</f>
        <v>Married</v>
      </c>
      <c r="J1226">
        <f>RAW_DATA!J1226</f>
        <v>2305</v>
      </c>
      <c r="K1226">
        <f>RAW_DATA!K1226</f>
        <v>1</v>
      </c>
      <c r="L1226">
        <f>RAW_DATA!L1226</f>
        <v>4</v>
      </c>
      <c r="M1226">
        <f>RAW_DATA!M1226</f>
        <v>3</v>
      </c>
      <c r="N1226">
        <f t="shared" si="38"/>
        <v>0</v>
      </c>
      <c r="O1226" t="str">
        <f xml:space="preserve"> VLOOKUP(A1226, Lookup_Tables!$G$2:$H$6,2,TRUE)</f>
        <v>25-34</v>
      </c>
      <c r="P1226" t="str">
        <f>_xlfn.XLOOKUP(J1226,Lookup_Tables!$J$2:$J$4,Lookup_Tables!$K$2:$K$4, " ",-1)</f>
        <v>Low</v>
      </c>
      <c r="Q1226" t="str">
        <f xml:space="preserve"> _xlfn.XLOOKUP(M1226, Lookup_Tables!$M$2:$M$5,Lookup_Tables!$N$2:$N$5," ", -1)</f>
        <v>Early (2-5)</v>
      </c>
      <c r="R1226" s="4">
        <f t="shared" si="39"/>
        <v>3.6666666666666665</v>
      </c>
      <c r="S1226" t="str">
        <f xml:space="preserve"> _xlfn.XLOOKUP( E1226, Lookup_Tables!$A$2:$A$6,Lookup_Tables!$B$2:$B$6," ", -1)</f>
        <v>Master</v>
      </c>
      <c r="T1226" t="str">
        <f>_xlfn.XLOOKUP(G1226,Lookup_Tables!$D$2:$D$5,Lookup_Tables!$E$2:$E$5)</f>
        <v>Very High</v>
      </c>
      <c r="U1226" t="str">
        <f>_xlfn.XLOOKUP(H1226,Lookup_Tables!$D$2:$D$5,Lookup_Tables!$E$2:$E$5)</f>
        <v>High</v>
      </c>
      <c r="V1226" t="str">
        <f>_xlfn.XLOOKUP(L1226,Lookup_Tables!$D$2:$D$5,Lookup_Tables!$E$2:$E$5)</f>
        <v>Very High</v>
      </c>
    </row>
    <row r="1227" spans="1:22">
      <c r="A1227">
        <f>RAW_DATA!A1227</f>
        <v>45</v>
      </c>
      <c r="B1227" t="str">
        <f>RAW_DATA!B1227</f>
        <v>No</v>
      </c>
      <c r="C1227" t="str">
        <f>RAW_DATA!C1227</f>
        <v>Research &amp; Development</v>
      </c>
      <c r="D1227">
        <f>RAW_DATA!D1227</f>
        <v>28</v>
      </c>
      <c r="E1227">
        <f>RAW_DATA!E1227</f>
        <v>2</v>
      </c>
      <c r="F1227" t="str">
        <f>RAW_DATA!F1227</f>
        <v>Technical Degree</v>
      </c>
      <c r="G1227">
        <f>RAW_DATA!G1227</f>
        <v>4</v>
      </c>
      <c r="H1227">
        <f>RAW_DATA!H1227</f>
        <v>2</v>
      </c>
      <c r="I1227" t="str">
        <f>RAW_DATA!I1227</f>
        <v>Single</v>
      </c>
      <c r="J1227">
        <f>RAW_DATA!J1227</f>
        <v>16704</v>
      </c>
      <c r="K1227">
        <f>RAW_DATA!K1227</f>
        <v>1</v>
      </c>
      <c r="L1227">
        <f>RAW_DATA!L1227</f>
        <v>3</v>
      </c>
      <c r="M1227">
        <f>RAW_DATA!M1227</f>
        <v>21</v>
      </c>
      <c r="N1227">
        <f t="shared" si="38"/>
        <v>0</v>
      </c>
      <c r="O1227" t="str">
        <f xml:space="preserve"> VLOOKUP(A1227, Lookup_Tables!$G$2:$H$6,2,TRUE)</f>
        <v>45-54</v>
      </c>
      <c r="P1227" t="str">
        <f>_xlfn.XLOOKUP(J1227,Lookup_Tables!$J$2:$J$4,Lookup_Tables!$K$2:$K$4, " ",-1)</f>
        <v>High</v>
      </c>
      <c r="Q1227" t="str">
        <f xml:space="preserve"> _xlfn.XLOOKUP(M1227, Lookup_Tables!$M$2:$M$5,Lookup_Tables!$N$2:$N$5," ", -1)</f>
        <v>Veteran (10+)</v>
      </c>
      <c r="R1227" s="4">
        <f t="shared" si="39"/>
        <v>3</v>
      </c>
      <c r="S1227" t="str">
        <f xml:space="preserve"> _xlfn.XLOOKUP( E1227, Lookup_Tables!$A$2:$A$6,Lookup_Tables!$B$2:$B$6," ", -1)</f>
        <v>College</v>
      </c>
      <c r="T1227" t="str">
        <f>_xlfn.XLOOKUP(G1227,Lookup_Tables!$D$2:$D$5,Lookup_Tables!$E$2:$E$5)</f>
        <v>Very High</v>
      </c>
      <c r="U1227" t="str">
        <f>_xlfn.XLOOKUP(H1227,Lookup_Tables!$D$2:$D$5,Lookup_Tables!$E$2:$E$5)</f>
        <v>Medium</v>
      </c>
      <c r="V1227" t="str">
        <f>_xlfn.XLOOKUP(L1227,Lookup_Tables!$D$2:$D$5,Lookup_Tables!$E$2:$E$5)</f>
        <v>High</v>
      </c>
    </row>
    <row r="1228" spans="1:22">
      <c r="A1228">
        <f>RAW_DATA!A1228</f>
        <v>32</v>
      </c>
      <c r="B1228" t="str">
        <f>RAW_DATA!B1228</f>
        <v>No</v>
      </c>
      <c r="C1228" t="str">
        <f>RAW_DATA!C1228</f>
        <v>Research &amp; Development</v>
      </c>
      <c r="D1228">
        <f>RAW_DATA!D1228</f>
        <v>10</v>
      </c>
      <c r="E1228">
        <f>RAW_DATA!E1228</f>
        <v>3</v>
      </c>
      <c r="F1228" t="str">
        <f>RAW_DATA!F1228</f>
        <v>Life Sciences</v>
      </c>
      <c r="G1228">
        <f>RAW_DATA!G1228</f>
        <v>1</v>
      </c>
      <c r="H1228">
        <f>RAW_DATA!H1228</f>
        <v>3</v>
      </c>
      <c r="I1228" t="str">
        <f>RAW_DATA!I1228</f>
        <v>Married</v>
      </c>
      <c r="J1228">
        <f>RAW_DATA!J1228</f>
        <v>3433</v>
      </c>
      <c r="K1228">
        <f>RAW_DATA!K1228</f>
        <v>6</v>
      </c>
      <c r="L1228">
        <f>RAW_DATA!L1228</f>
        <v>2</v>
      </c>
      <c r="M1228">
        <f>RAW_DATA!M1228</f>
        <v>5</v>
      </c>
      <c r="N1228">
        <f t="shared" si="38"/>
        <v>0</v>
      </c>
      <c r="O1228" t="str">
        <f xml:space="preserve"> VLOOKUP(A1228, Lookup_Tables!$G$2:$H$6,2,TRUE)</f>
        <v>25-34</v>
      </c>
      <c r="P1228" t="str">
        <f>_xlfn.XLOOKUP(J1228,Lookup_Tables!$J$2:$J$4,Lookup_Tables!$K$2:$K$4, " ",-1)</f>
        <v>Medium</v>
      </c>
      <c r="Q1228" t="str">
        <f xml:space="preserve"> _xlfn.XLOOKUP(M1228, Lookup_Tables!$M$2:$M$5,Lookup_Tables!$N$2:$N$5," ", -1)</f>
        <v>Established (5-10)</v>
      </c>
      <c r="R1228" s="4">
        <f t="shared" si="39"/>
        <v>2</v>
      </c>
      <c r="S1228" t="str">
        <f xml:space="preserve"> _xlfn.XLOOKUP( E1228, Lookup_Tables!$A$2:$A$6,Lookup_Tables!$B$2:$B$6," ", -1)</f>
        <v>Bachelor</v>
      </c>
      <c r="T1228" t="str">
        <f>_xlfn.XLOOKUP(G1228,Lookup_Tables!$D$2:$D$5,Lookup_Tables!$E$2:$E$5)</f>
        <v>Low</v>
      </c>
      <c r="U1228" t="str">
        <f>_xlfn.XLOOKUP(H1228,Lookup_Tables!$D$2:$D$5,Lookup_Tables!$E$2:$E$5)</f>
        <v>High</v>
      </c>
      <c r="V1228" t="str">
        <f>_xlfn.XLOOKUP(L1228,Lookup_Tables!$D$2:$D$5,Lookup_Tables!$E$2:$E$5)</f>
        <v>Medium</v>
      </c>
    </row>
    <row r="1229" spans="1:22">
      <c r="A1229">
        <f>RAW_DATA!A1229</f>
        <v>31</v>
      </c>
      <c r="B1229" t="str">
        <f>RAW_DATA!B1229</f>
        <v>No</v>
      </c>
      <c r="C1229" t="str">
        <f>RAW_DATA!C1229</f>
        <v>Research &amp; Development</v>
      </c>
      <c r="D1229">
        <f>RAW_DATA!D1229</f>
        <v>2</v>
      </c>
      <c r="E1229">
        <f>RAW_DATA!E1229</f>
        <v>4</v>
      </c>
      <c r="F1229" t="str">
        <f>RAW_DATA!F1229</f>
        <v>Life Sciences</v>
      </c>
      <c r="G1229">
        <f>RAW_DATA!G1229</f>
        <v>2</v>
      </c>
      <c r="H1229">
        <f>RAW_DATA!H1229</f>
        <v>3</v>
      </c>
      <c r="I1229" t="str">
        <f>RAW_DATA!I1229</f>
        <v>Married</v>
      </c>
      <c r="J1229">
        <f>RAW_DATA!J1229</f>
        <v>3477</v>
      </c>
      <c r="K1229">
        <f>RAW_DATA!K1229</f>
        <v>1</v>
      </c>
      <c r="L1229">
        <f>RAW_DATA!L1229</f>
        <v>4</v>
      </c>
      <c r="M1229">
        <f>RAW_DATA!M1229</f>
        <v>5</v>
      </c>
      <c r="N1229">
        <f t="shared" si="38"/>
        <v>0</v>
      </c>
      <c r="O1229" t="str">
        <f xml:space="preserve"> VLOOKUP(A1229, Lookup_Tables!$G$2:$H$6,2,TRUE)</f>
        <v>25-34</v>
      </c>
      <c r="P1229" t="str">
        <f>_xlfn.XLOOKUP(J1229,Lookup_Tables!$J$2:$J$4,Lookup_Tables!$K$2:$K$4, " ",-1)</f>
        <v>Medium</v>
      </c>
      <c r="Q1229" t="str">
        <f xml:space="preserve"> _xlfn.XLOOKUP(M1229, Lookup_Tables!$M$2:$M$5,Lookup_Tables!$N$2:$N$5," ", -1)</f>
        <v>Established (5-10)</v>
      </c>
      <c r="R1229" s="4">
        <f t="shared" si="39"/>
        <v>3</v>
      </c>
      <c r="S1229" t="str">
        <f xml:space="preserve"> _xlfn.XLOOKUP( E1229, Lookup_Tables!$A$2:$A$6,Lookup_Tables!$B$2:$B$6," ", -1)</f>
        <v>Master</v>
      </c>
      <c r="T1229" t="str">
        <f>_xlfn.XLOOKUP(G1229,Lookup_Tables!$D$2:$D$5,Lookup_Tables!$E$2:$E$5)</f>
        <v>Medium</v>
      </c>
      <c r="U1229" t="str">
        <f>_xlfn.XLOOKUP(H1229,Lookup_Tables!$D$2:$D$5,Lookup_Tables!$E$2:$E$5)</f>
        <v>High</v>
      </c>
      <c r="V1229" t="str">
        <f>_xlfn.XLOOKUP(L1229,Lookup_Tables!$D$2:$D$5,Lookup_Tables!$E$2:$E$5)</f>
        <v>Very High</v>
      </c>
    </row>
    <row r="1230" spans="1:22">
      <c r="A1230">
        <f>RAW_DATA!A1230</f>
        <v>41</v>
      </c>
      <c r="B1230" t="str">
        <f>RAW_DATA!B1230</f>
        <v>No</v>
      </c>
      <c r="C1230" t="str">
        <f>RAW_DATA!C1230</f>
        <v>Human Resources</v>
      </c>
      <c r="D1230">
        <f>RAW_DATA!D1230</f>
        <v>4</v>
      </c>
      <c r="E1230">
        <f>RAW_DATA!E1230</f>
        <v>3</v>
      </c>
      <c r="F1230" t="str">
        <f>RAW_DATA!F1230</f>
        <v>Human Resources</v>
      </c>
      <c r="G1230">
        <f>RAW_DATA!G1230</f>
        <v>3</v>
      </c>
      <c r="H1230">
        <f>RAW_DATA!H1230</f>
        <v>2</v>
      </c>
      <c r="I1230" t="str">
        <f>RAW_DATA!I1230</f>
        <v>Married</v>
      </c>
      <c r="J1230">
        <f>RAW_DATA!J1230</f>
        <v>6430</v>
      </c>
      <c r="K1230">
        <f>RAW_DATA!K1230</f>
        <v>6</v>
      </c>
      <c r="L1230">
        <f>RAW_DATA!L1230</f>
        <v>3</v>
      </c>
      <c r="M1230">
        <f>RAW_DATA!M1230</f>
        <v>3</v>
      </c>
      <c r="N1230">
        <f t="shared" si="38"/>
        <v>0</v>
      </c>
      <c r="O1230" t="str">
        <f xml:space="preserve"> VLOOKUP(A1230, Lookup_Tables!$G$2:$H$6,2,TRUE)</f>
        <v>35-44</v>
      </c>
      <c r="P1230" t="str">
        <f>_xlfn.XLOOKUP(J1230,Lookup_Tables!$J$2:$J$4,Lookup_Tables!$K$2:$K$4, " ",-1)</f>
        <v>Medium</v>
      </c>
      <c r="Q1230" t="str">
        <f xml:space="preserve"> _xlfn.XLOOKUP(M1230, Lookup_Tables!$M$2:$M$5,Lookup_Tables!$N$2:$N$5," ", -1)</f>
        <v>Early (2-5)</v>
      </c>
      <c r="R1230" s="4">
        <f t="shared" si="39"/>
        <v>2.6666666666666665</v>
      </c>
      <c r="S1230" t="str">
        <f xml:space="preserve"> _xlfn.XLOOKUP( E1230, Lookup_Tables!$A$2:$A$6,Lookup_Tables!$B$2:$B$6," ", -1)</f>
        <v>Bachelor</v>
      </c>
      <c r="T1230" t="str">
        <f>_xlfn.XLOOKUP(G1230,Lookup_Tables!$D$2:$D$5,Lookup_Tables!$E$2:$E$5)</f>
        <v>High</v>
      </c>
      <c r="U1230" t="str">
        <f>_xlfn.XLOOKUP(H1230,Lookup_Tables!$D$2:$D$5,Lookup_Tables!$E$2:$E$5)</f>
        <v>Medium</v>
      </c>
      <c r="V1230" t="str">
        <f>_xlfn.XLOOKUP(L1230,Lookup_Tables!$D$2:$D$5,Lookup_Tables!$E$2:$E$5)</f>
        <v>High</v>
      </c>
    </row>
    <row r="1231" spans="1:22">
      <c r="A1231">
        <f>RAW_DATA!A1231</f>
        <v>40</v>
      </c>
      <c r="B1231" t="str">
        <f>RAW_DATA!B1231</f>
        <v>No</v>
      </c>
      <c r="C1231" t="str">
        <f>RAW_DATA!C1231</f>
        <v>Research &amp; Development</v>
      </c>
      <c r="D1231">
        <f>RAW_DATA!D1231</f>
        <v>8</v>
      </c>
      <c r="E1231">
        <f>RAW_DATA!E1231</f>
        <v>2</v>
      </c>
      <c r="F1231" t="str">
        <f>RAW_DATA!F1231</f>
        <v>Life Sciences</v>
      </c>
      <c r="G1231">
        <f>RAW_DATA!G1231</f>
        <v>2</v>
      </c>
      <c r="H1231">
        <f>RAW_DATA!H1231</f>
        <v>1</v>
      </c>
      <c r="I1231" t="str">
        <f>RAW_DATA!I1231</f>
        <v>Married</v>
      </c>
      <c r="J1231">
        <f>RAW_DATA!J1231</f>
        <v>6516</v>
      </c>
      <c r="K1231">
        <f>RAW_DATA!K1231</f>
        <v>2</v>
      </c>
      <c r="L1231">
        <f>RAW_DATA!L1231</f>
        <v>3</v>
      </c>
      <c r="M1231">
        <f>RAW_DATA!M1231</f>
        <v>1</v>
      </c>
      <c r="N1231">
        <f t="shared" si="38"/>
        <v>0</v>
      </c>
      <c r="O1231" t="str">
        <f xml:space="preserve"> VLOOKUP(A1231, Lookup_Tables!$G$2:$H$6,2,TRUE)</f>
        <v>35-44</v>
      </c>
      <c r="P1231" t="str">
        <f>_xlfn.XLOOKUP(J1231,Lookup_Tables!$J$2:$J$4,Lookup_Tables!$K$2:$K$4, " ",-1)</f>
        <v>Medium</v>
      </c>
      <c r="Q1231" t="str">
        <f xml:space="preserve"> _xlfn.XLOOKUP(M1231, Lookup_Tables!$M$2:$M$5,Lookup_Tables!$N$2:$N$5," ", -1)</f>
        <v>New (0-2)</v>
      </c>
      <c r="R1231" s="4">
        <f t="shared" si="39"/>
        <v>2</v>
      </c>
      <c r="S1231" t="str">
        <f xml:space="preserve"> _xlfn.XLOOKUP( E1231, Lookup_Tables!$A$2:$A$6,Lookup_Tables!$B$2:$B$6," ", -1)</f>
        <v>College</v>
      </c>
      <c r="T1231" t="str">
        <f>_xlfn.XLOOKUP(G1231,Lookup_Tables!$D$2:$D$5,Lookup_Tables!$E$2:$E$5)</f>
        <v>Medium</v>
      </c>
      <c r="U1231" t="str">
        <f>_xlfn.XLOOKUP(H1231,Lookup_Tables!$D$2:$D$5,Lookup_Tables!$E$2:$E$5)</f>
        <v>Low</v>
      </c>
      <c r="V1231" t="str">
        <f>_xlfn.XLOOKUP(L1231,Lookup_Tables!$D$2:$D$5,Lookup_Tables!$E$2:$E$5)</f>
        <v>High</v>
      </c>
    </row>
    <row r="1232" spans="1:22">
      <c r="A1232">
        <f>RAW_DATA!A1232</f>
        <v>24</v>
      </c>
      <c r="B1232" t="str">
        <f>RAW_DATA!B1232</f>
        <v>No</v>
      </c>
      <c r="C1232" t="str">
        <f>RAW_DATA!C1232</f>
        <v>Research &amp; Development</v>
      </c>
      <c r="D1232">
        <f>RAW_DATA!D1232</f>
        <v>29</v>
      </c>
      <c r="E1232">
        <f>RAW_DATA!E1232</f>
        <v>1</v>
      </c>
      <c r="F1232" t="str">
        <f>RAW_DATA!F1232</f>
        <v>Medical</v>
      </c>
      <c r="G1232">
        <f>RAW_DATA!G1232</f>
        <v>2</v>
      </c>
      <c r="H1232">
        <f>RAW_DATA!H1232</f>
        <v>1</v>
      </c>
      <c r="I1232" t="str">
        <f>RAW_DATA!I1232</f>
        <v>Divorced</v>
      </c>
      <c r="J1232">
        <f>RAW_DATA!J1232</f>
        <v>3907</v>
      </c>
      <c r="K1232">
        <f>RAW_DATA!K1232</f>
        <v>1</v>
      </c>
      <c r="L1232">
        <f>RAW_DATA!L1232</f>
        <v>4</v>
      </c>
      <c r="M1232">
        <f>RAW_DATA!M1232</f>
        <v>6</v>
      </c>
      <c r="N1232">
        <f t="shared" si="38"/>
        <v>0</v>
      </c>
      <c r="O1232" t="str">
        <f xml:space="preserve"> VLOOKUP(A1232, Lookup_Tables!$G$2:$H$6,2,TRUE)</f>
        <v>&lt;25</v>
      </c>
      <c r="P1232" t="str">
        <f>_xlfn.XLOOKUP(J1232,Lookup_Tables!$J$2:$J$4,Lookup_Tables!$K$2:$K$4, " ",-1)</f>
        <v>Medium</v>
      </c>
      <c r="Q1232" t="str">
        <f xml:space="preserve"> _xlfn.XLOOKUP(M1232, Lookup_Tables!$M$2:$M$5,Lookup_Tables!$N$2:$N$5," ", -1)</f>
        <v>Established (5-10)</v>
      </c>
      <c r="R1232" s="4">
        <f t="shared" si="39"/>
        <v>2.3333333333333335</v>
      </c>
      <c r="S1232" t="str">
        <f xml:space="preserve"> _xlfn.XLOOKUP( E1232, Lookup_Tables!$A$2:$A$6,Lookup_Tables!$B$2:$B$6," ", -1)</f>
        <v>Below College</v>
      </c>
      <c r="T1232" t="str">
        <f>_xlfn.XLOOKUP(G1232,Lookup_Tables!$D$2:$D$5,Lookup_Tables!$E$2:$E$5)</f>
        <v>Medium</v>
      </c>
      <c r="U1232" t="str">
        <f>_xlfn.XLOOKUP(H1232,Lookup_Tables!$D$2:$D$5,Lookup_Tables!$E$2:$E$5)</f>
        <v>Low</v>
      </c>
      <c r="V1232" t="str">
        <f>_xlfn.XLOOKUP(L1232,Lookup_Tables!$D$2:$D$5,Lookup_Tables!$E$2:$E$5)</f>
        <v>Very High</v>
      </c>
    </row>
    <row r="1233" spans="1:22">
      <c r="A1233">
        <f>RAW_DATA!A1233</f>
        <v>46</v>
      </c>
      <c r="B1233" t="str">
        <f>RAW_DATA!B1233</f>
        <v>No</v>
      </c>
      <c r="C1233" t="str">
        <f>RAW_DATA!C1233</f>
        <v>Research &amp; Development</v>
      </c>
      <c r="D1233">
        <f>RAW_DATA!D1233</f>
        <v>13</v>
      </c>
      <c r="E1233">
        <f>RAW_DATA!E1233</f>
        <v>4</v>
      </c>
      <c r="F1233" t="str">
        <f>RAW_DATA!F1233</f>
        <v>Life Sciences</v>
      </c>
      <c r="G1233">
        <f>RAW_DATA!G1233</f>
        <v>3</v>
      </c>
      <c r="H1233">
        <f>RAW_DATA!H1233</f>
        <v>2</v>
      </c>
      <c r="I1233" t="str">
        <f>RAW_DATA!I1233</f>
        <v>Single</v>
      </c>
      <c r="J1233">
        <f>RAW_DATA!J1233</f>
        <v>5562</v>
      </c>
      <c r="K1233">
        <f>RAW_DATA!K1233</f>
        <v>6</v>
      </c>
      <c r="L1233">
        <f>RAW_DATA!L1233</f>
        <v>3</v>
      </c>
      <c r="M1233">
        <f>RAW_DATA!M1233</f>
        <v>10</v>
      </c>
      <c r="N1233">
        <f t="shared" si="38"/>
        <v>0</v>
      </c>
      <c r="O1233" t="str">
        <f xml:space="preserve"> VLOOKUP(A1233, Lookup_Tables!$G$2:$H$6,2,TRUE)</f>
        <v>45-54</v>
      </c>
      <c r="P1233" t="str">
        <f>_xlfn.XLOOKUP(J1233,Lookup_Tables!$J$2:$J$4,Lookup_Tables!$K$2:$K$4, " ",-1)</f>
        <v>Medium</v>
      </c>
      <c r="Q1233" t="str">
        <f xml:space="preserve"> _xlfn.XLOOKUP(M1233, Lookup_Tables!$M$2:$M$5,Lookup_Tables!$N$2:$N$5," ", -1)</f>
        <v>Veteran (10+)</v>
      </c>
      <c r="R1233" s="4">
        <f t="shared" si="39"/>
        <v>2.6666666666666665</v>
      </c>
      <c r="S1233" t="str">
        <f xml:space="preserve"> _xlfn.XLOOKUP( E1233, Lookup_Tables!$A$2:$A$6,Lookup_Tables!$B$2:$B$6," ", -1)</f>
        <v>Master</v>
      </c>
      <c r="T1233" t="str">
        <f>_xlfn.XLOOKUP(G1233,Lookup_Tables!$D$2:$D$5,Lookup_Tables!$E$2:$E$5)</f>
        <v>High</v>
      </c>
      <c r="U1233" t="str">
        <f>_xlfn.XLOOKUP(H1233,Lookup_Tables!$D$2:$D$5,Lookup_Tables!$E$2:$E$5)</f>
        <v>Medium</v>
      </c>
      <c r="V1233" t="str">
        <f>_xlfn.XLOOKUP(L1233,Lookup_Tables!$D$2:$D$5,Lookup_Tables!$E$2:$E$5)</f>
        <v>High</v>
      </c>
    </row>
    <row r="1234" spans="1:22">
      <c r="A1234">
        <f>RAW_DATA!A1234</f>
        <v>35</v>
      </c>
      <c r="B1234" t="str">
        <f>RAW_DATA!B1234</f>
        <v>No</v>
      </c>
      <c r="C1234" t="str">
        <f>RAW_DATA!C1234</f>
        <v>Research &amp; Development</v>
      </c>
      <c r="D1234">
        <f>RAW_DATA!D1234</f>
        <v>27</v>
      </c>
      <c r="E1234">
        <f>RAW_DATA!E1234</f>
        <v>4</v>
      </c>
      <c r="F1234" t="str">
        <f>RAW_DATA!F1234</f>
        <v>Life Sciences</v>
      </c>
      <c r="G1234">
        <f>RAW_DATA!G1234</f>
        <v>4</v>
      </c>
      <c r="H1234">
        <f>RAW_DATA!H1234</f>
        <v>3</v>
      </c>
      <c r="I1234" t="str">
        <f>RAW_DATA!I1234</f>
        <v>Married</v>
      </c>
      <c r="J1234">
        <f>RAW_DATA!J1234</f>
        <v>6883</v>
      </c>
      <c r="K1234">
        <f>RAW_DATA!K1234</f>
        <v>2</v>
      </c>
      <c r="L1234">
        <f>RAW_DATA!L1234</f>
        <v>3</v>
      </c>
      <c r="M1234">
        <f>RAW_DATA!M1234</f>
        <v>7</v>
      </c>
      <c r="N1234">
        <f t="shared" si="38"/>
        <v>0</v>
      </c>
      <c r="O1234" t="str">
        <f xml:space="preserve"> VLOOKUP(A1234, Lookup_Tables!$G$2:$H$6,2,TRUE)</f>
        <v>35-44</v>
      </c>
      <c r="P1234" t="str">
        <f>_xlfn.XLOOKUP(J1234,Lookup_Tables!$J$2:$J$4,Lookup_Tables!$K$2:$K$4, " ",-1)</f>
        <v>Medium</v>
      </c>
      <c r="Q1234" t="str">
        <f xml:space="preserve"> _xlfn.XLOOKUP(M1234, Lookup_Tables!$M$2:$M$5,Lookup_Tables!$N$2:$N$5," ", -1)</f>
        <v>Established (5-10)</v>
      </c>
      <c r="R1234" s="4">
        <f t="shared" si="39"/>
        <v>3.3333333333333335</v>
      </c>
      <c r="S1234" t="str">
        <f xml:space="preserve"> _xlfn.XLOOKUP( E1234, Lookup_Tables!$A$2:$A$6,Lookup_Tables!$B$2:$B$6," ", -1)</f>
        <v>Master</v>
      </c>
      <c r="T1234" t="str">
        <f>_xlfn.XLOOKUP(G1234,Lookup_Tables!$D$2:$D$5,Lookup_Tables!$E$2:$E$5)</f>
        <v>Very High</v>
      </c>
      <c r="U1234" t="str">
        <f>_xlfn.XLOOKUP(H1234,Lookup_Tables!$D$2:$D$5,Lookup_Tables!$E$2:$E$5)</f>
        <v>High</v>
      </c>
      <c r="V1234" t="str">
        <f>_xlfn.XLOOKUP(L1234,Lookup_Tables!$D$2:$D$5,Lookup_Tables!$E$2:$E$5)</f>
        <v>High</v>
      </c>
    </row>
    <row r="1235" spans="1:22">
      <c r="A1235">
        <f>RAW_DATA!A1235</f>
        <v>30</v>
      </c>
      <c r="B1235" t="str">
        <f>RAW_DATA!B1235</f>
        <v>No</v>
      </c>
      <c r="C1235" t="str">
        <f>RAW_DATA!C1235</f>
        <v>Research &amp; Development</v>
      </c>
      <c r="D1235">
        <f>RAW_DATA!D1235</f>
        <v>16</v>
      </c>
      <c r="E1235">
        <f>RAW_DATA!E1235</f>
        <v>1</v>
      </c>
      <c r="F1235" t="str">
        <f>RAW_DATA!F1235</f>
        <v>Life Sciences</v>
      </c>
      <c r="G1235">
        <f>RAW_DATA!G1235</f>
        <v>2</v>
      </c>
      <c r="H1235">
        <f>RAW_DATA!H1235</f>
        <v>4</v>
      </c>
      <c r="I1235" t="str">
        <f>RAW_DATA!I1235</f>
        <v>Married</v>
      </c>
      <c r="J1235">
        <f>RAW_DATA!J1235</f>
        <v>2862</v>
      </c>
      <c r="K1235">
        <f>RAW_DATA!K1235</f>
        <v>1</v>
      </c>
      <c r="L1235">
        <f>RAW_DATA!L1235</f>
        <v>2</v>
      </c>
      <c r="M1235">
        <f>RAW_DATA!M1235</f>
        <v>10</v>
      </c>
      <c r="N1235">
        <f t="shared" si="38"/>
        <v>0</v>
      </c>
      <c r="O1235" t="str">
        <f xml:space="preserve"> VLOOKUP(A1235, Lookup_Tables!$G$2:$H$6,2,TRUE)</f>
        <v>25-34</v>
      </c>
      <c r="P1235" t="str">
        <f>_xlfn.XLOOKUP(J1235,Lookup_Tables!$J$2:$J$4,Lookup_Tables!$K$2:$K$4, " ",-1)</f>
        <v>Low</v>
      </c>
      <c r="Q1235" t="str">
        <f xml:space="preserve"> _xlfn.XLOOKUP(M1235, Lookup_Tables!$M$2:$M$5,Lookup_Tables!$N$2:$N$5," ", -1)</f>
        <v>Veteran (10+)</v>
      </c>
      <c r="R1235" s="4">
        <f t="shared" si="39"/>
        <v>2.6666666666666665</v>
      </c>
      <c r="S1235" t="str">
        <f xml:space="preserve"> _xlfn.XLOOKUP( E1235, Lookup_Tables!$A$2:$A$6,Lookup_Tables!$B$2:$B$6," ", -1)</f>
        <v>Below College</v>
      </c>
      <c r="T1235" t="str">
        <f>_xlfn.XLOOKUP(G1235,Lookup_Tables!$D$2:$D$5,Lookup_Tables!$E$2:$E$5)</f>
        <v>Medium</v>
      </c>
      <c r="U1235" t="str">
        <f>_xlfn.XLOOKUP(H1235,Lookup_Tables!$D$2:$D$5,Lookup_Tables!$E$2:$E$5)</f>
        <v>Very High</v>
      </c>
      <c r="V1235" t="str">
        <f>_xlfn.XLOOKUP(L1235,Lookup_Tables!$D$2:$D$5,Lookup_Tables!$E$2:$E$5)</f>
        <v>Medium</v>
      </c>
    </row>
    <row r="1236" spans="1:22">
      <c r="A1236">
        <f>RAW_DATA!A1236</f>
        <v>47</v>
      </c>
      <c r="B1236" t="str">
        <f>RAW_DATA!B1236</f>
        <v>No</v>
      </c>
      <c r="C1236" t="str">
        <f>RAW_DATA!C1236</f>
        <v>Sales</v>
      </c>
      <c r="D1236">
        <f>RAW_DATA!D1236</f>
        <v>2</v>
      </c>
      <c r="E1236">
        <f>RAW_DATA!E1236</f>
        <v>4</v>
      </c>
      <c r="F1236" t="str">
        <f>RAW_DATA!F1236</f>
        <v>Marketing</v>
      </c>
      <c r="G1236">
        <f>RAW_DATA!G1236</f>
        <v>3</v>
      </c>
      <c r="H1236">
        <f>RAW_DATA!H1236</f>
        <v>2</v>
      </c>
      <c r="I1236" t="str">
        <f>RAW_DATA!I1236</f>
        <v>Married</v>
      </c>
      <c r="J1236">
        <f>RAW_DATA!J1236</f>
        <v>4978</v>
      </c>
      <c r="K1236">
        <f>RAW_DATA!K1236</f>
        <v>7</v>
      </c>
      <c r="L1236">
        <f>RAW_DATA!L1236</f>
        <v>1</v>
      </c>
      <c r="M1236">
        <f>RAW_DATA!M1236</f>
        <v>1</v>
      </c>
      <c r="N1236">
        <f t="shared" si="38"/>
        <v>0</v>
      </c>
      <c r="O1236" t="str">
        <f xml:space="preserve"> VLOOKUP(A1236, Lookup_Tables!$G$2:$H$6,2,TRUE)</f>
        <v>45-54</v>
      </c>
      <c r="P1236" t="str">
        <f>_xlfn.XLOOKUP(J1236,Lookup_Tables!$J$2:$J$4,Lookup_Tables!$K$2:$K$4, " ",-1)</f>
        <v>Medium</v>
      </c>
      <c r="Q1236" t="str">
        <f xml:space="preserve"> _xlfn.XLOOKUP(M1236, Lookup_Tables!$M$2:$M$5,Lookup_Tables!$N$2:$N$5," ", -1)</f>
        <v>New (0-2)</v>
      </c>
      <c r="R1236" s="4">
        <f t="shared" si="39"/>
        <v>2</v>
      </c>
      <c r="S1236" t="str">
        <f xml:space="preserve"> _xlfn.XLOOKUP( E1236, Lookup_Tables!$A$2:$A$6,Lookup_Tables!$B$2:$B$6," ", -1)</f>
        <v>Master</v>
      </c>
      <c r="T1236" t="str">
        <f>_xlfn.XLOOKUP(G1236,Lookup_Tables!$D$2:$D$5,Lookup_Tables!$E$2:$E$5)</f>
        <v>High</v>
      </c>
      <c r="U1236" t="str">
        <f>_xlfn.XLOOKUP(H1236,Lookup_Tables!$D$2:$D$5,Lookup_Tables!$E$2:$E$5)</f>
        <v>Medium</v>
      </c>
      <c r="V1236" t="str">
        <f>_xlfn.XLOOKUP(L1236,Lookup_Tables!$D$2:$D$5,Lookup_Tables!$E$2:$E$5)</f>
        <v>Low</v>
      </c>
    </row>
    <row r="1237" spans="1:22">
      <c r="A1237">
        <f>RAW_DATA!A1237</f>
        <v>46</v>
      </c>
      <c r="B1237" t="str">
        <f>RAW_DATA!B1237</f>
        <v>No</v>
      </c>
      <c r="C1237" t="str">
        <f>RAW_DATA!C1237</f>
        <v>Sales</v>
      </c>
      <c r="D1237">
        <f>RAW_DATA!D1237</f>
        <v>2</v>
      </c>
      <c r="E1237">
        <f>RAW_DATA!E1237</f>
        <v>3</v>
      </c>
      <c r="F1237" t="str">
        <f>RAW_DATA!F1237</f>
        <v>Life Sciences</v>
      </c>
      <c r="G1237">
        <f>RAW_DATA!G1237</f>
        <v>3</v>
      </c>
      <c r="H1237">
        <f>RAW_DATA!H1237</f>
        <v>4</v>
      </c>
      <c r="I1237" t="str">
        <f>RAW_DATA!I1237</f>
        <v>Divorced</v>
      </c>
      <c r="J1237">
        <f>RAW_DATA!J1237</f>
        <v>10368</v>
      </c>
      <c r="K1237">
        <f>RAW_DATA!K1237</f>
        <v>4</v>
      </c>
      <c r="L1237">
        <f>RAW_DATA!L1237</f>
        <v>2</v>
      </c>
      <c r="M1237">
        <f>RAW_DATA!M1237</f>
        <v>10</v>
      </c>
      <c r="N1237">
        <f t="shared" si="38"/>
        <v>0</v>
      </c>
      <c r="O1237" t="str">
        <f xml:space="preserve"> VLOOKUP(A1237, Lookup_Tables!$G$2:$H$6,2,TRUE)</f>
        <v>45-54</v>
      </c>
      <c r="P1237" t="str">
        <f>_xlfn.XLOOKUP(J1237,Lookup_Tables!$J$2:$J$4,Lookup_Tables!$K$2:$K$4, " ",-1)</f>
        <v>High</v>
      </c>
      <c r="Q1237" t="str">
        <f xml:space="preserve"> _xlfn.XLOOKUP(M1237, Lookup_Tables!$M$2:$M$5,Lookup_Tables!$N$2:$N$5," ", -1)</f>
        <v>Veteran (10+)</v>
      </c>
      <c r="R1237" s="4">
        <f t="shared" si="39"/>
        <v>3</v>
      </c>
      <c r="S1237" t="str">
        <f xml:space="preserve"> _xlfn.XLOOKUP( E1237, Lookup_Tables!$A$2:$A$6,Lookup_Tables!$B$2:$B$6," ", -1)</f>
        <v>Bachelor</v>
      </c>
      <c r="T1237" t="str">
        <f>_xlfn.XLOOKUP(G1237,Lookup_Tables!$D$2:$D$5,Lookup_Tables!$E$2:$E$5)</f>
        <v>High</v>
      </c>
      <c r="U1237" t="str">
        <f>_xlfn.XLOOKUP(H1237,Lookup_Tables!$D$2:$D$5,Lookup_Tables!$E$2:$E$5)</f>
        <v>Very High</v>
      </c>
      <c r="V1237" t="str">
        <f>_xlfn.XLOOKUP(L1237,Lookup_Tables!$D$2:$D$5,Lookup_Tables!$E$2:$E$5)</f>
        <v>Medium</v>
      </c>
    </row>
    <row r="1238" spans="1:22">
      <c r="A1238">
        <f>RAW_DATA!A1238</f>
        <v>36</v>
      </c>
      <c r="B1238" t="str">
        <f>RAW_DATA!B1238</f>
        <v>Yes</v>
      </c>
      <c r="C1238" t="str">
        <f>RAW_DATA!C1238</f>
        <v>Sales</v>
      </c>
      <c r="D1238">
        <f>RAW_DATA!D1238</f>
        <v>13</v>
      </c>
      <c r="E1238">
        <f>RAW_DATA!E1238</f>
        <v>5</v>
      </c>
      <c r="F1238" t="str">
        <f>RAW_DATA!F1238</f>
        <v>Marketing</v>
      </c>
      <c r="G1238">
        <f>RAW_DATA!G1238</f>
        <v>2</v>
      </c>
      <c r="H1238">
        <f>RAW_DATA!H1238</f>
        <v>1</v>
      </c>
      <c r="I1238" t="str">
        <f>RAW_DATA!I1238</f>
        <v>Divorced</v>
      </c>
      <c r="J1238">
        <f>RAW_DATA!J1238</f>
        <v>6134</v>
      </c>
      <c r="K1238">
        <f>RAW_DATA!K1238</f>
        <v>5</v>
      </c>
      <c r="L1238">
        <f>RAW_DATA!L1238</f>
        <v>3</v>
      </c>
      <c r="M1238">
        <f>RAW_DATA!M1238</f>
        <v>2</v>
      </c>
      <c r="N1238">
        <f t="shared" si="38"/>
        <v>1</v>
      </c>
      <c r="O1238" t="str">
        <f xml:space="preserve"> VLOOKUP(A1238, Lookup_Tables!$G$2:$H$6,2,TRUE)</f>
        <v>35-44</v>
      </c>
      <c r="P1238" t="str">
        <f>_xlfn.XLOOKUP(J1238,Lookup_Tables!$J$2:$J$4,Lookup_Tables!$K$2:$K$4, " ",-1)</f>
        <v>Medium</v>
      </c>
      <c r="Q1238" t="str">
        <f xml:space="preserve"> _xlfn.XLOOKUP(M1238, Lookup_Tables!$M$2:$M$5,Lookup_Tables!$N$2:$N$5," ", -1)</f>
        <v>Early (2-5)</v>
      </c>
      <c r="R1238" s="4">
        <f t="shared" si="39"/>
        <v>2</v>
      </c>
      <c r="S1238" t="str">
        <f xml:space="preserve"> _xlfn.XLOOKUP( E1238, Lookup_Tables!$A$2:$A$6,Lookup_Tables!$B$2:$B$6," ", -1)</f>
        <v>Doctor</v>
      </c>
      <c r="T1238" t="str">
        <f>_xlfn.XLOOKUP(G1238,Lookup_Tables!$D$2:$D$5,Lookup_Tables!$E$2:$E$5)</f>
        <v>Medium</v>
      </c>
      <c r="U1238" t="str">
        <f>_xlfn.XLOOKUP(H1238,Lookup_Tables!$D$2:$D$5,Lookup_Tables!$E$2:$E$5)</f>
        <v>Low</v>
      </c>
      <c r="V1238" t="str">
        <f>_xlfn.XLOOKUP(L1238,Lookup_Tables!$D$2:$D$5,Lookup_Tables!$E$2:$E$5)</f>
        <v>High</v>
      </c>
    </row>
    <row r="1239" spans="1:22">
      <c r="A1239">
        <f>RAW_DATA!A1239</f>
        <v>32</v>
      </c>
      <c r="B1239" t="str">
        <f>RAW_DATA!B1239</f>
        <v>Yes</v>
      </c>
      <c r="C1239" t="str">
        <f>RAW_DATA!C1239</f>
        <v>Sales</v>
      </c>
      <c r="D1239">
        <f>RAW_DATA!D1239</f>
        <v>1</v>
      </c>
      <c r="E1239">
        <f>RAW_DATA!E1239</f>
        <v>2</v>
      </c>
      <c r="F1239" t="str">
        <f>RAW_DATA!F1239</f>
        <v>Life Sciences</v>
      </c>
      <c r="G1239">
        <f>RAW_DATA!G1239</f>
        <v>1</v>
      </c>
      <c r="H1239">
        <f>RAW_DATA!H1239</f>
        <v>2</v>
      </c>
      <c r="I1239" t="str">
        <f>RAW_DATA!I1239</f>
        <v>Single</v>
      </c>
      <c r="J1239">
        <f>RAW_DATA!J1239</f>
        <v>6735</v>
      </c>
      <c r="K1239">
        <f>RAW_DATA!K1239</f>
        <v>6</v>
      </c>
      <c r="L1239">
        <f>RAW_DATA!L1239</f>
        <v>3</v>
      </c>
      <c r="M1239">
        <f>RAW_DATA!M1239</f>
        <v>0</v>
      </c>
      <c r="N1239">
        <f t="shared" si="38"/>
        <v>1</v>
      </c>
      <c r="O1239" t="str">
        <f xml:space="preserve"> VLOOKUP(A1239, Lookup_Tables!$G$2:$H$6,2,TRUE)</f>
        <v>25-34</v>
      </c>
      <c r="P1239" t="str">
        <f>_xlfn.XLOOKUP(J1239,Lookup_Tables!$J$2:$J$4,Lookup_Tables!$K$2:$K$4, " ",-1)</f>
        <v>Medium</v>
      </c>
      <c r="Q1239" t="str">
        <f xml:space="preserve"> _xlfn.XLOOKUP(M1239, Lookup_Tables!$M$2:$M$5,Lookup_Tables!$N$2:$N$5," ", -1)</f>
        <v>New (0-2)</v>
      </c>
      <c r="R1239" s="4">
        <f t="shared" si="39"/>
        <v>2</v>
      </c>
      <c r="S1239" t="str">
        <f xml:space="preserve"> _xlfn.XLOOKUP( E1239, Lookup_Tables!$A$2:$A$6,Lookup_Tables!$B$2:$B$6," ", -1)</f>
        <v>College</v>
      </c>
      <c r="T1239" t="str">
        <f>_xlfn.XLOOKUP(G1239,Lookup_Tables!$D$2:$D$5,Lookup_Tables!$E$2:$E$5)</f>
        <v>Low</v>
      </c>
      <c r="U1239" t="str">
        <f>_xlfn.XLOOKUP(H1239,Lookup_Tables!$D$2:$D$5,Lookup_Tables!$E$2:$E$5)</f>
        <v>Medium</v>
      </c>
      <c r="V1239" t="str">
        <f>_xlfn.XLOOKUP(L1239,Lookup_Tables!$D$2:$D$5,Lookup_Tables!$E$2:$E$5)</f>
        <v>High</v>
      </c>
    </row>
    <row r="1240" spans="1:22">
      <c r="A1240">
        <f>RAW_DATA!A1240</f>
        <v>23</v>
      </c>
      <c r="B1240" t="str">
        <f>RAW_DATA!B1240</f>
        <v>No</v>
      </c>
      <c r="C1240" t="str">
        <f>RAW_DATA!C1240</f>
        <v>Research &amp; Development</v>
      </c>
      <c r="D1240">
        <f>RAW_DATA!D1240</f>
        <v>4</v>
      </c>
      <c r="E1240">
        <f>RAW_DATA!E1240</f>
        <v>1</v>
      </c>
      <c r="F1240" t="str">
        <f>RAW_DATA!F1240</f>
        <v>Medical</v>
      </c>
      <c r="G1240">
        <f>RAW_DATA!G1240</f>
        <v>3</v>
      </c>
      <c r="H1240">
        <f>RAW_DATA!H1240</f>
        <v>2</v>
      </c>
      <c r="I1240" t="str">
        <f>RAW_DATA!I1240</f>
        <v>Single</v>
      </c>
      <c r="J1240">
        <f>RAW_DATA!J1240</f>
        <v>3295</v>
      </c>
      <c r="K1240">
        <f>RAW_DATA!K1240</f>
        <v>1</v>
      </c>
      <c r="L1240">
        <f>RAW_DATA!L1240</f>
        <v>1</v>
      </c>
      <c r="M1240">
        <f>RAW_DATA!M1240</f>
        <v>3</v>
      </c>
      <c r="N1240">
        <f t="shared" si="38"/>
        <v>0</v>
      </c>
      <c r="O1240" t="str">
        <f xml:space="preserve"> VLOOKUP(A1240, Lookup_Tables!$G$2:$H$6,2,TRUE)</f>
        <v>&lt;25</v>
      </c>
      <c r="P1240" t="str">
        <f>_xlfn.XLOOKUP(J1240,Lookup_Tables!$J$2:$J$4,Lookup_Tables!$K$2:$K$4, " ",-1)</f>
        <v>Medium</v>
      </c>
      <c r="Q1240" t="str">
        <f xml:space="preserve"> _xlfn.XLOOKUP(M1240, Lookup_Tables!$M$2:$M$5,Lookup_Tables!$N$2:$N$5," ", -1)</f>
        <v>Early (2-5)</v>
      </c>
      <c r="R1240" s="4">
        <f t="shared" si="39"/>
        <v>2</v>
      </c>
      <c r="S1240" t="str">
        <f xml:space="preserve"> _xlfn.XLOOKUP( E1240, Lookup_Tables!$A$2:$A$6,Lookup_Tables!$B$2:$B$6," ", -1)</f>
        <v>Below College</v>
      </c>
      <c r="T1240" t="str">
        <f>_xlfn.XLOOKUP(G1240,Lookup_Tables!$D$2:$D$5,Lookup_Tables!$E$2:$E$5)</f>
        <v>High</v>
      </c>
      <c r="U1240" t="str">
        <f>_xlfn.XLOOKUP(H1240,Lookup_Tables!$D$2:$D$5,Lookup_Tables!$E$2:$E$5)</f>
        <v>Medium</v>
      </c>
      <c r="V1240" t="str">
        <f>_xlfn.XLOOKUP(L1240,Lookup_Tables!$D$2:$D$5,Lookup_Tables!$E$2:$E$5)</f>
        <v>Low</v>
      </c>
    </row>
    <row r="1241" spans="1:22">
      <c r="A1241">
        <f>RAW_DATA!A1241</f>
        <v>31</v>
      </c>
      <c r="B1241" t="str">
        <f>RAW_DATA!B1241</f>
        <v>No</v>
      </c>
      <c r="C1241" t="str">
        <f>RAW_DATA!C1241</f>
        <v>Research &amp; Development</v>
      </c>
      <c r="D1241">
        <f>RAW_DATA!D1241</f>
        <v>24</v>
      </c>
      <c r="E1241">
        <f>RAW_DATA!E1241</f>
        <v>1</v>
      </c>
      <c r="F1241" t="str">
        <f>RAW_DATA!F1241</f>
        <v>Technical Degree</v>
      </c>
      <c r="G1241">
        <f>RAW_DATA!G1241</f>
        <v>4</v>
      </c>
      <c r="H1241">
        <f>RAW_DATA!H1241</f>
        <v>4</v>
      </c>
      <c r="I1241" t="str">
        <f>RAW_DATA!I1241</f>
        <v>Single</v>
      </c>
      <c r="J1241">
        <f>RAW_DATA!J1241</f>
        <v>5238</v>
      </c>
      <c r="K1241">
        <f>RAW_DATA!K1241</f>
        <v>2</v>
      </c>
      <c r="L1241">
        <f>RAW_DATA!L1241</f>
        <v>2</v>
      </c>
      <c r="M1241">
        <f>RAW_DATA!M1241</f>
        <v>5</v>
      </c>
      <c r="N1241">
        <f t="shared" si="38"/>
        <v>0</v>
      </c>
      <c r="O1241" t="str">
        <f xml:space="preserve"> VLOOKUP(A1241, Lookup_Tables!$G$2:$H$6,2,TRUE)</f>
        <v>25-34</v>
      </c>
      <c r="P1241" t="str">
        <f>_xlfn.XLOOKUP(J1241,Lookup_Tables!$J$2:$J$4,Lookup_Tables!$K$2:$K$4, " ",-1)</f>
        <v>Medium</v>
      </c>
      <c r="Q1241" t="str">
        <f xml:space="preserve"> _xlfn.XLOOKUP(M1241, Lookup_Tables!$M$2:$M$5,Lookup_Tables!$N$2:$N$5," ", -1)</f>
        <v>Established (5-10)</v>
      </c>
      <c r="R1241" s="4">
        <f t="shared" si="39"/>
        <v>3.3333333333333335</v>
      </c>
      <c r="S1241" t="str">
        <f xml:space="preserve"> _xlfn.XLOOKUP( E1241, Lookup_Tables!$A$2:$A$6,Lookup_Tables!$B$2:$B$6," ", -1)</f>
        <v>Below College</v>
      </c>
      <c r="T1241" t="str">
        <f>_xlfn.XLOOKUP(G1241,Lookup_Tables!$D$2:$D$5,Lookup_Tables!$E$2:$E$5)</f>
        <v>Very High</v>
      </c>
      <c r="U1241" t="str">
        <f>_xlfn.XLOOKUP(H1241,Lookup_Tables!$D$2:$D$5,Lookup_Tables!$E$2:$E$5)</f>
        <v>Very High</v>
      </c>
      <c r="V1241" t="str">
        <f>_xlfn.XLOOKUP(L1241,Lookup_Tables!$D$2:$D$5,Lookup_Tables!$E$2:$E$5)</f>
        <v>Medium</v>
      </c>
    </row>
    <row r="1242" spans="1:22">
      <c r="A1242">
        <f>RAW_DATA!A1242</f>
        <v>39</v>
      </c>
      <c r="B1242" t="str">
        <f>RAW_DATA!B1242</f>
        <v>No</v>
      </c>
      <c r="C1242" t="str">
        <f>RAW_DATA!C1242</f>
        <v>Research &amp; Development</v>
      </c>
      <c r="D1242">
        <f>RAW_DATA!D1242</f>
        <v>1</v>
      </c>
      <c r="E1242">
        <f>RAW_DATA!E1242</f>
        <v>3</v>
      </c>
      <c r="F1242" t="str">
        <f>RAW_DATA!F1242</f>
        <v>Life Sciences</v>
      </c>
      <c r="G1242">
        <f>RAW_DATA!G1242</f>
        <v>4</v>
      </c>
      <c r="H1242">
        <f>RAW_DATA!H1242</f>
        <v>4</v>
      </c>
      <c r="I1242" t="str">
        <f>RAW_DATA!I1242</f>
        <v>Married</v>
      </c>
      <c r="J1242">
        <f>RAW_DATA!J1242</f>
        <v>6472</v>
      </c>
      <c r="K1242">
        <f>RAW_DATA!K1242</f>
        <v>1</v>
      </c>
      <c r="L1242">
        <f>RAW_DATA!L1242</f>
        <v>3</v>
      </c>
      <c r="M1242">
        <f>RAW_DATA!M1242</f>
        <v>9</v>
      </c>
      <c r="N1242">
        <f t="shared" si="38"/>
        <v>0</v>
      </c>
      <c r="O1242" t="str">
        <f xml:space="preserve"> VLOOKUP(A1242, Lookup_Tables!$G$2:$H$6,2,TRUE)</f>
        <v>35-44</v>
      </c>
      <c r="P1242" t="str">
        <f>_xlfn.XLOOKUP(J1242,Lookup_Tables!$J$2:$J$4,Lookup_Tables!$K$2:$K$4, " ",-1)</f>
        <v>Medium</v>
      </c>
      <c r="Q1242" t="str">
        <f xml:space="preserve"> _xlfn.XLOOKUP(M1242, Lookup_Tables!$M$2:$M$5,Lookup_Tables!$N$2:$N$5," ", -1)</f>
        <v>Established (5-10)</v>
      </c>
      <c r="R1242" s="4">
        <f t="shared" si="39"/>
        <v>3.6666666666666665</v>
      </c>
      <c r="S1242" t="str">
        <f xml:space="preserve"> _xlfn.XLOOKUP( E1242, Lookup_Tables!$A$2:$A$6,Lookup_Tables!$B$2:$B$6," ", -1)</f>
        <v>Bachelor</v>
      </c>
      <c r="T1242" t="str">
        <f>_xlfn.XLOOKUP(G1242,Lookup_Tables!$D$2:$D$5,Lookup_Tables!$E$2:$E$5)</f>
        <v>Very High</v>
      </c>
      <c r="U1242" t="str">
        <f>_xlfn.XLOOKUP(H1242,Lookup_Tables!$D$2:$D$5,Lookup_Tables!$E$2:$E$5)</f>
        <v>Very High</v>
      </c>
      <c r="V1242" t="str">
        <f>_xlfn.XLOOKUP(L1242,Lookup_Tables!$D$2:$D$5,Lookup_Tables!$E$2:$E$5)</f>
        <v>High</v>
      </c>
    </row>
    <row r="1243" spans="1:22">
      <c r="A1243">
        <f>RAW_DATA!A1243</f>
        <v>32</v>
      </c>
      <c r="B1243" t="str">
        <f>RAW_DATA!B1243</f>
        <v>No</v>
      </c>
      <c r="C1243" t="str">
        <f>RAW_DATA!C1243</f>
        <v>Sales</v>
      </c>
      <c r="D1243">
        <f>RAW_DATA!D1243</f>
        <v>19</v>
      </c>
      <c r="E1243">
        <f>RAW_DATA!E1243</f>
        <v>3</v>
      </c>
      <c r="F1243" t="str">
        <f>RAW_DATA!F1243</f>
        <v>Life Sciences</v>
      </c>
      <c r="G1243">
        <f>RAW_DATA!G1243</f>
        <v>4</v>
      </c>
      <c r="H1243">
        <f>RAW_DATA!H1243</f>
        <v>3</v>
      </c>
      <c r="I1243" t="str">
        <f>RAW_DATA!I1243</f>
        <v>Married</v>
      </c>
      <c r="J1243">
        <f>RAW_DATA!J1243</f>
        <v>9610</v>
      </c>
      <c r="K1243">
        <f>RAW_DATA!K1243</f>
        <v>3</v>
      </c>
      <c r="L1243">
        <f>RAW_DATA!L1243</f>
        <v>1</v>
      </c>
      <c r="M1243">
        <f>RAW_DATA!M1243</f>
        <v>4</v>
      </c>
      <c r="N1243">
        <f t="shared" si="38"/>
        <v>0</v>
      </c>
      <c r="O1243" t="str">
        <f xml:space="preserve"> VLOOKUP(A1243, Lookup_Tables!$G$2:$H$6,2,TRUE)</f>
        <v>25-34</v>
      </c>
      <c r="P1243" t="str">
        <f>_xlfn.XLOOKUP(J1243,Lookup_Tables!$J$2:$J$4,Lookup_Tables!$K$2:$K$4, " ",-1)</f>
        <v>High</v>
      </c>
      <c r="Q1243" t="str">
        <f xml:space="preserve"> _xlfn.XLOOKUP(M1243, Lookup_Tables!$M$2:$M$5,Lookup_Tables!$N$2:$N$5," ", -1)</f>
        <v>Early (2-5)</v>
      </c>
      <c r="R1243" s="4">
        <f t="shared" si="39"/>
        <v>2.6666666666666665</v>
      </c>
      <c r="S1243" t="str">
        <f xml:space="preserve"> _xlfn.XLOOKUP( E1243, Lookup_Tables!$A$2:$A$6,Lookup_Tables!$B$2:$B$6," ", -1)</f>
        <v>Bachelor</v>
      </c>
      <c r="T1243" t="str">
        <f>_xlfn.XLOOKUP(G1243,Lookup_Tables!$D$2:$D$5,Lookup_Tables!$E$2:$E$5)</f>
        <v>Very High</v>
      </c>
      <c r="U1243" t="str">
        <f>_xlfn.XLOOKUP(H1243,Lookup_Tables!$D$2:$D$5,Lookup_Tables!$E$2:$E$5)</f>
        <v>High</v>
      </c>
      <c r="V1243" t="str">
        <f>_xlfn.XLOOKUP(L1243,Lookup_Tables!$D$2:$D$5,Lookup_Tables!$E$2:$E$5)</f>
        <v>Low</v>
      </c>
    </row>
    <row r="1244" spans="1:22">
      <c r="A1244">
        <f>RAW_DATA!A1244</f>
        <v>40</v>
      </c>
      <c r="B1244" t="str">
        <f>RAW_DATA!B1244</f>
        <v>No</v>
      </c>
      <c r="C1244" t="str">
        <f>RAW_DATA!C1244</f>
        <v>Sales</v>
      </c>
      <c r="D1244">
        <f>RAW_DATA!D1244</f>
        <v>7</v>
      </c>
      <c r="E1244">
        <f>RAW_DATA!E1244</f>
        <v>4</v>
      </c>
      <c r="F1244" t="str">
        <f>RAW_DATA!F1244</f>
        <v>Medical</v>
      </c>
      <c r="G1244">
        <f>RAW_DATA!G1244</f>
        <v>2</v>
      </c>
      <c r="H1244">
        <f>RAW_DATA!H1244</f>
        <v>2</v>
      </c>
      <c r="I1244" t="str">
        <f>RAW_DATA!I1244</f>
        <v>Single</v>
      </c>
      <c r="J1244">
        <f>RAW_DATA!J1244</f>
        <v>19833</v>
      </c>
      <c r="K1244">
        <f>RAW_DATA!K1244</f>
        <v>1</v>
      </c>
      <c r="L1244">
        <f>RAW_DATA!L1244</f>
        <v>2</v>
      </c>
      <c r="M1244">
        <f>RAW_DATA!M1244</f>
        <v>21</v>
      </c>
      <c r="N1244">
        <f t="shared" si="38"/>
        <v>0</v>
      </c>
      <c r="O1244" t="str">
        <f xml:space="preserve"> VLOOKUP(A1244, Lookup_Tables!$G$2:$H$6,2,TRUE)</f>
        <v>35-44</v>
      </c>
      <c r="P1244" t="str">
        <f>_xlfn.XLOOKUP(J1244,Lookup_Tables!$J$2:$J$4,Lookup_Tables!$K$2:$K$4, " ",-1)</f>
        <v>High</v>
      </c>
      <c r="Q1244" t="str">
        <f xml:space="preserve"> _xlfn.XLOOKUP(M1244, Lookup_Tables!$M$2:$M$5,Lookup_Tables!$N$2:$N$5," ", -1)</f>
        <v>Veteran (10+)</v>
      </c>
      <c r="R1244" s="4">
        <f t="shared" si="39"/>
        <v>2</v>
      </c>
      <c r="S1244" t="str">
        <f xml:space="preserve"> _xlfn.XLOOKUP( E1244, Lookup_Tables!$A$2:$A$6,Lookup_Tables!$B$2:$B$6," ", -1)</f>
        <v>Master</v>
      </c>
      <c r="T1244" t="str">
        <f>_xlfn.XLOOKUP(G1244,Lookup_Tables!$D$2:$D$5,Lookup_Tables!$E$2:$E$5)</f>
        <v>Medium</v>
      </c>
      <c r="U1244" t="str">
        <f>_xlfn.XLOOKUP(H1244,Lookup_Tables!$D$2:$D$5,Lookup_Tables!$E$2:$E$5)</f>
        <v>Medium</v>
      </c>
      <c r="V1244" t="str">
        <f>_xlfn.XLOOKUP(L1244,Lookup_Tables!$D$2:$D$5,Lookup_Tables!$E$2:$E$5)</f>
        <v>Medium</v>
      </c>
    </row>
    <row r="1245" spans="1:22">
      <c r="A1245">
        <f>RAW_DATA!A1245</f>
        <v>45</v>
      </c>
      <c r="B1245" t="str">
        <f>RAW_DATA!B1245</f>
        <v>No</v>
      </c>
      <c r="C1245" t="str">
        <f>RAW_DATA!C1245</f>
        <v>Human Resources</v>
      </c>
      <c r="D1245">
        <f>RAW_DATA!D1245</f>
        <v>4</v>
      </c>
      <c r="E1245">
        <f>RAW_DATA!E1245</f>
        <v>3</v>
      </c>
      <c r="F1245" t="str">
        <f>RAW_DATA!F1245</f>
        <v>Life Sciences</v>
      </c>
      <c r="G1245">
        <f>RAW_DATA!G1245</f>
        <v>3</v>
      </c>
      <c r="H1245">
        <f>RAW_DATA!H1245</f>
        <v>3</v>
      </c>
      <c r="I1245" t="str">
        <f>RAW_DATA!I1245</f>
        <v>Married</v>
      </c>
      <c r="J1245">
        <f>RAW_DATA!J1245</f>
        <v>9756</v>
      </c>
      <c r="K1245">
        <f>RAW_DATA!K1245</f>
        <v>4</v>
      </c>
      <c r="L1245">
        <f>RAW_DATA!L1245</f>
        <v>4</v>
      </c>
      <c r="M1245">
        <f>RAW_DATA!M1245</f>
        <v>5</v>
      </c>
      <c r="N1245">
        <f t="shared" si="38"/>
        <v>0</v>
      </c>
      <c r="O1245" t="str">
        <f xml:space="preserve"> VLOOKUP(A1245, Lookup_Tables!$G$2:$H$6,2,TRUE)</f>
        <v>45-54</v>
      </c>
      <c r="P1245" t="str">
        <f>_xlfn.XLOOKUP(J1245,Lookup_Tables!$J$2:$J$4,Lookup_Tables!$K$2:$K$4, " ",-1)</f>
        <v>High</v>
      </c>
      <c r="Q1245" t="str">
        <f xml:space="preserve"> _xlfn.XLOOKUP(M1245, Lookup_Tables!$M$2:$M$5,Lookup_Tables!$N$2:$N$5," ", -1)</f>
        <v>Established (5-10)</v>
      </c>
      <c r="R1245" s="4">
        <f t="shared" si="39"/>
        <v>3.3333333333333335</v>
      </c>
      <c r="S1245" t="str">
        <f xml:space="preserve"> _xlfn.XLOOKUP( E1245, Lookup_Tables!$A$2:$A$6,Lookup_Tables!$B$2:$B$6," ", -1)</f>
        <v>Bachelor</v>
      </c>
      <c r="T1245" t="str">
        <f>_xlfn.XLOOKUP(G1245,Lookup_Tables!$D$2:$D$5,Lookup_Tables!$E$2:$E$5)</f>
        <v>High</v>
      </c>
      <c r="U1245" t="str">
        <f>_xlfn.XLOOKUP(H1245,Lookup_Tables!$D$2:$D$5,Lookup_Tables!$E$2:$E$5)</f>
        <v>High</v>
      </c>
      <c r="V1245" t="str">
        <f>_xlfn.XLOOKUP(L1245,Lookup_Tables!$D$2:$D$5,Lookup_Tables!$E$2:$E$5)</f>
        <v>Very High</v>
      </c>
    </row>
    <row r="1246" spans="1:22">
      <c r="A1246">
        <f>RAW_DATA!A1246</f>
        <v>30</v>
      </c>
      <c r="B1246" t="str">
        <f>RAW_DATA!B1246</f>
        <v>No</v>
      </c>
      <c r="C1246" t="str">
        <f>RAW_DATA!C1246</f>
        <v>Research &amp; Development</v>
      </c>
      <c r="D1246">
        <f>RAW_DATA!D1246</f>
        <v>2</v>
      </c>
      <c r="E1246">
        <f>RAW_DATA!E1246</f>
        <v>4</v>
      </c>
      <c r="F1246" t="str">
        <f>RAW_DATA!F1246</f>
        <v>Technical Degree</v>
      </c>
      <c r="G1246">
        <f>RAW_DATA!G1246</f>
        <v>4</v>
      </c>
      <c r="H1246">
        <f>RAW_DATA!H1246</f>
        <v>1</v>
      </c>
      <c r="I1246" t="str">
        <f>RAW_DATA!I1246</f>
        <v>Single</v>
      </c>
      <c r="J1246">
        <f>RAW_DATA!J1246</f>
        <v>4968</v>
      </c>
      <c r="K1246">
        <f>RAW_DATA!K1246</f>
        <v>0</v>
      </c>
      <c r="L1246">
        <f>RAW_DATA!L1246</f>
        <v>3</v>
      </c>
      <c r="M1246">
        <f>RAW_DATA!M1246</f>
        <v>9</v>
      </c>
      <c r="N1246">
        <f t="shared" si="38"/>
        <v>0</v>
      </c>
      <c r="O1246" t="str">
        <f xml:space="preserve"> VLOOKUP(A1246, Lookup_Tables!$G$2:$H$6,2,TRUE)</f>
        <v>25-34</v>
      </c>
      <c r="P1246" t="str">
        <f>_xlfn.XLOOKUP(J1246,Lookup_Tables!$J$2:$J$4,Lookup_Tables!$K$2:$K$4, " ",-1)</f>
        <v>Medium</v>
      </c>
      <c r="Q1246" t="str">
        <f xml:space="preserve"> _xlfn.XLOOKUP(M1246, Lookup_Tables!$M$2:$M$5,Lookup_Tables!$N$2:$N$5," ", -1)</f>
        <v>Established (5-10)</v>
      </c>
      <c r="R1246" s="4">
        <f t="shared" si="39"/>
        <v>2.6666666666666665</v>
      </c>
      <c r="S1246" t="str">
        <f xml:space="preserve"> _xlfn.XLOOKUP( E1246, Lookup_Tables!$A$2:$A$6,Lookup_Tables!$B$2:$B$6," ", -1)</f>
        <v>Master</v>
      </c>
      <c r="T1246" t="str">
        <f>_xlfn.XLOOKUP(G1246,Lookup_Tables!$D$2:$D$5,Lookup_Tables!$E$2:$E$5)</f>
        <v>Very High</v>
      </c>
      <c r="U1246" t="str">
        <f>_xlfn.XLOOKUP(H1246,Lookup_Tables!$D$2:$D$5,Lookup_Tables!$E$2:$E$5)</f>
        <v>Low</v>
      </c>
      <c r="V1246" t="str">
        <f>_xlfn.XLOOKUP(L1246,Lookup_Tables!$D$2:$D$5,Lookup_Tables!$E$2:$E$5)</f>
        <v>High</v>
      </c>
    </row>
    <row r="1247" spans="1:22">
      <c r="A1247">
        <f>RAW_DATA!A1247</f>
        <v>24</v>
      </c>
      <c r="B1247" t="str">
        <f>RAW_DATA!B1247</f>
        <v>No</v>
      </c>
      <c r="C1247" t="str">
        <f>RAW_DATA!C1247</f>
        <v>Human Resources</v>
      </c>
      <c r="D1247">
        <f>RAW_DATA!D1247</f>
        <v>10</v>
      </c>
      <c r="E1247">
        <f>RAW_DATA!E1247</f>
        <v>3</v>
      </c>
      <c r="F1247" t="str">
        <f>RAW_DATA!F1247</f>
        <v>Medical</v>
      </c>
      <c r="G1247">
        <f>RAW_DATA!G1247</f>
        <v>1</v>
      </c>
      <c r="H1247">
        <f>RAW_DATA!H1247</f>
        <v>4</v>
      </c>
      <c r="I1247" t="str">
        <f>RAW_DATA!I1247</f>
        <v>Married</v>
      </c>
      <c r="J1247">
        <f>RAW_DATA!J1247</f>
        <v>2145</v>
      </c>
      <c r="K1247">
        <f>RAW_DATA!K1247</f>
        <v>0</v>
      </c>
      <c r="L1247">
        <f>RAW_DATA!L1247</f>
        <v>3</v>
      </c>
      <c r="M1247">
        <f>RAW_DATA!M1247</f>
        <v>2</v>
      </c>
      <c r="N1247">
        <f t="shared" si="38"/>
        <v>0</v>
      </c>
      <c r="O1247" t="str">
        <f xml:space="preserve"> VLOOKUP(A1247, Lookup_Tables!$G$2:$H$6,2,TRUE)</f>
        <v>&lt;25</v>
      </c>
      <c r="P1247" t="str">
        <f>_xlfn.XLOOKUP(J1247,Lookup_Tables!$J$2:$J$4,Lookup_Tables!$K$2:$K$4, " ",-1)</f>
        <v>Low</v>
      </c>
      <c r="Q1247" t="str">
        <f xml:space="preserve"> _xlfn.XLOOKUP(M1247, Lookup_Tables!$M$2:$M$5,Lookup_Tables!$N$2:$N$5," ", -1)</f>
        <v>Early (2-5)</v>
      </c>
      <c r="R1247" s="4">
        <f t="shared" si="39"/>
        <v>2.6666666666666665</v>
      </c>
      <c r="S1247" t="str">
        <f xml:space="preserve"> _xlfn.XLOOKUP( E1247, Lookup_Tables!$A$2:$A$6,Lookup_Tables!$B$2:$B$6," ", -1)</f>
        <v>Bachelor</v>
      </c>
      <c r="T1247" t="str">
        <f>_xlfn.XLOOKUP(G1247,Lookup_Tables!$D$2:$D$5,Lookup_Tables!$E$2:$E$5)</f>
        <v>Low</v>
      </c>
      <c r="U1247" t="str">
        <f>_xlfn.XLOOKUP(H1247,Lookup_Tables!$D$2:$D$5,Lookup_Tables!$E$2:$E$5)</f>
        <v>Very High</v>
      </c>
      <c r="V1247" t="str">
        <f>_xlfn.XLOOKUP(L1247,Lookup_Tables!$D$2:$D$5,Lookup_Tables!$E$2:$E$5)</f>
        <v>High</v>
      </c>
    </row>
    <row r="1248" spans="1:22">
      <c r="A1248">
        <f>RAW_DATA!A1248</f>
        <v>30</v>
      </c>
      <c r="B1248" t="str">
        <f>RAW_DATA!B1248</f>
        <v>Yes</v>
      </c>
      <c r="C1248" t="str">
        <f>RAW_DATA!C1248</f>
        <v>Human Resources</v>
      </c>
      <c r="D1248">
        <f>RAW_DATA!D1248</f>
        <v>8</v>
      </c>
      <c r="E1248">
        <f>RAW_DATA!E1248</f>
        <v>3</v>
      </c>
      <c r="F1248" t="str">
        <f>RAW_DATA!F1248</f>
        <v>Human Resources</v>
      </c>
      <c r="G1248">
        <f>RAW_DATA!G1248</f>
        <v>3</v>
      </c>
      <c r="H1248">
        <f>RAW_DATA!H1248</f>
        <v>4</v>
      </c>
      <c r="I1248" t="str">
        <f>RAW_DATA!I1248</f>
        <v>Divorced</v>
      </c>
      <c r="J1248">
        <f>RAW_DATA!J1248</f>
        <v>2180</v>
      </c>
      <c r="K1248">
        <f>RAW_DATA!K1248</f>
        <v>6</v>
      </c>
      <c r="L1248">
        <f>RAW_DATA!L1248</f>
        <v>2</v>
      </c>
      <c r="M1248">
        <f>RAW_DATA!M1248</f>
        <v>4</v>
      </c>
      <c r="N1248">
        <f t="shared" si="38"/>
        <v>1</v>
      </c>
      <c r="O1248" t="str">
        <f xml:space="preserve"> VLOOKUP(A1248, Lookup_Tables!$G$2:$H$6,2,TRUE)</f>
        <v>25-34</v>
      </c>
      <c r="P1248" t="str">
        <f>_xlfn.XLOOKUP(J1248,Lookup_Tables!$J$2:$J$4,Lookup_Tables!$K$2:$K$4, " ",-1)</f>
        <v>Low</v>
      </c>
      <c r="Q1248" t="str">
        <f xml:space="preserve"> _xlfn.XLOOKUP(M1248, Lookup_Tables!$M$2:$M$5,Lookup_Tables!$N$2:$N$5," ", -1)</f>
        <v>Early (2-5)</v>
      </c>
      <c r="R1248" s="4">
        <f t="shared" si="39"/>
        <v>3</v>
      </c>
      <c r="S1248" t="str">
        <f xml:space="preserve"> _xlfn.XLOOKUP( E1248, Lookup_Tables!$A$2:$A$6,Lookup_Tables!$B$2:$B$6," ", -1)</f>
        <v>Bachelor</v>
      </c>
      <c r="T1248" t="str">
        <f>_xlfn.XLOOKUP(G1248,Lookup_Tables!$D$2:$D$5,Lookup_Tables!$E$2:$E$5)</f>
        <v>High</v>
      </c>
      <c r="U1248" t="str">
        <f>_xlfn.XLOOKUP(H1248,Lookup_Tables!$D$2:$D$5,Lookup_Tables!$E$2:$E$5)</f>
        <v>Very High</v>
      </c>
      <c r="V1248" t="str">
        <f>_xlfn.XLOOKUP(L1248,Lookup_Tables!$D$2:$D$5,Lookup_Tables!$E$2:$E$5)</f>
        <v>Medium</v>
      </c>
    </row>
    <row r="1249" spans="1:22">
      <c r="A1249">
        <f>RAW_DATA!A1249</f>
        <v>31</v>
      </c>
      <c r="B1249" t="str">
        <f>RAW_DATA!B1249</f>
        <v>No</v>
      </c>
      <c r="C1249" t="str">
        <f>RAW_DATA!C1249</f>
        <v>Sales</v>
      </c>
      <c r="D1249">
        <f>RAW_DATA!D1249</f>
        <v>5</v>
      </c>
      <c r="E1249">
        <f>RAW_DATA!E1249</f>
        <v>3</v>
      </c>
      <c r="F1249" t="str">
        <f>RAW_DATA!F1249</f>
        <v>Technical Degree</v>
      </c>
      <c r="G1249">
        <f>RAW_DATA!G1249</f>
        <v>1</v>
      </c>
      <c r="H1249">
        <f>RAW_DATA!H1249</f>
        <v>3</v>
      </c>
      <c r="I1249" t="str">
        <f>RAW_DATA!I1249</f>
        <v>Married</v>
      </c>
      <c r="J1249">
        <f>RAW_DATA!J1249</f>
        <v>8346</v>
      </c>
      <c r="K1249">
        <f>RAW_DATA!K1249</f>
        <v>1</v>
      </c>
      <c r="L1249">
        <f>RAW_DATA!L1249</f>
        <v>3</v>
      </c>
      <c r="M1249">
        <f>RAW_DATA!M1249</f>
        <v>5</v>
      </c>
      <c r="N1249">
        <f t="shared" si="38"/>
        <v>0</v>
      </c>
      <c r="O1249" t="str">
        <f xml:space="preserve"> VLOOKUP(A1249, Lookup_Tables!$G$2:$H$6,2,TRUE)</f>
        <v>25-34</v>
      </c>
      <c r="P1249" t="str">
        <f>_xlfn.XLOOKUP(J1249,Lookup_Tables!$J$2:$J$4,Lookup_Tables!$K$2:$K$4, " ",-1)</f>
        <v>High</v>
      </c>
      <c r="Q1249" t="str">
        <f xml:space="preserve"> _xlfn.XLOOKUP(M1249, Lookup_Tables!$M$2:$M$5,Lookup_Tables!$N$2:$N$5," ", -1)</f>
        <v>Established (5-10)</v>
      </c>
      <c r="R1249" s="4">
        <f t="shared" si="39"/>
        <v>2.3333333333333335</v>
      </c>
      <c r="S1249" t="str">
        <f xml:space="preserve"> _xlfn.XLOOKUP( E1249, Lookup_Tables!$A$2:$A$6,Lookup_Tables!$B$2:$B$6," ", -1)</f>
        <v>Bachelor</v>
      </c>
      <c r="T1249" t="str">
        <f>_xlfn.XLOOKUP(G1249,Lookup_Tables!$D$2:$D$5,Lookup_Tables!$E$2:$E$5)</f>
        <v>Low</v>
      </c>
      <c r="U1249" t="str">
        <f>_xlfn.XLOOKUP(H1249,Lookup_Tables!$D$2:$D$5,Lookup_Tables!$E$2:$E$5)</f>
        <v>High</v>
      </c>
      <c r="V1249" t="str">
        <f>_xlfn.XLOOKUP(L1249,Lookup_Tables!$D$2:$D$5,Lookup_Tables!$E$2:$E$5)</f>
        <v>High</v>
      </c>
    </row>
    <row r="1250" spans="1:22">
      <c r="A1250">
        <f>RAW_DATA!A1250</f>
        <v>27</v>
      </c>
      <c r="B1250" t="str">
        <f>RAW_DATA!B1250</f>
        <v>No</v>
      </c>
      <c r="C1250" t="str">
        <f>RAW_DATA!C1250</f>
        <v>Research &amp; Development</v>
      </c>
      <c r="D1250">
        <f>RAW_DATA!D1250</f>
        <v>8</v>
      </c>
      <c r="E1250">
        <f>RAW_DATA!E1250</f>
        <v>3</v>
      </c>
      <c r="F1250" t="str">
        <f>RAW_DATA!F1250</f>
        <v>Medical</v>
      </c>
      <c r="G1250">
        <f>RAW_DATA!G1250</f>
        <v>3</v>
      </c>
      <c r="H1250">
        <f>RAW_DATA!H1250</f>
        <v>4</v>
      </c>
      <c r="I1250" t="str">
        <f>RAW_DATA!I1250</f>
        <v>Single</v>
      </c>
      <c r="J1250">
        <f>RAW_DATA!J1250</f>
        <v>3445</v>
      </c>
      <c r="K1250">
        <f>RAW_DATA!K1250</f>
        <v>1</v>
      </c>
      <c r="L1250">
        <f>RAW_DATA!L1250</f>
        <v>2</v>
      </c>
      <c r="M1250">
        <f>RAW_DATA!M1250</f>
        <v>6</v>
      </c>
      <c r="N1250">
        <f t="shared" si="38"/>
        <v>0</v>
      </c>
      <c r="O1250" t="str">
        <f xml:space="preserve"> VLOOKUP(A1250, Lookup_Tables!$G$2:$H$6,2,TRUE)</f>
        <v>25-34</v>
      </c>
      <c r="P1250" t="str">
        <f>_xlfn.XLOOKUP(J1250,Lookup_Tables!$J$2:$J$4,Lookup_Tables!$K$2:$K$4, " ",-1)</f>
        <v>Medium</v>
      </c>
      <c r="Q1250" t="str">
        <f xml:space="preserve"> _xlfn.XLOOKUP(M1250, Lookup_Tables!$M$2:$M$5,Lookup_Tables!$N$2:$N$5," ", -1)</f>
        <v>Established (5-10)</v>
      </c>
      <c r="R1250" s="4">
        <f t="shared" si="39"/>
        <v>3</v>
      </c>
      <c r="S1250" t="str">
        <f xml:space="preserve"> _xlfn.XLOOKUP( E1250, Lookup_Tables!$A$2:$A$6,Lookup_Tables!$B$2:$B$6," ", -1)</f>
        <v>Bachelor</v>
      </c>
      <c r="T1250" t="str">
        <f>_xlfn.XLOOKUP(G1250,Lookup_Tables!$D$2:$D$5,Lookup_Tables!$E$2:$E$5)</f>
        <v>High</v>
      </c>
      <c r="U1250" t="str">
        <f>_xlfn.XLOOKUP(H1250,Lookup_Tables!$D$2:$D$5,Lookup_Tables!$E$2:$E$5)</f>
        <v>Very High</v>
      </c>
      <c r="V1250" t="str">
        <f>_xlfn.XLOOKUP(L1250,Lookup_Tables!$D$2:$D$5,Lookup_Tables!$E$2:$E$5)</f>
        <v>Medium</v>
      </c>
    </row>
    <row r="1251" spans="1:22">
      <c r="A1251">
        <f>RAW_DATA!A1251</f>
        <v>29</v>
      </c>
      <c r="B1251" t="str">
        <f>RAW_DATA!B1251</f>
        <v>Yes</v>
      </c>
      <c r="C1251" t="str">
        <f>RAW_DATA!C1251</f>
        <v>Sales</v>
      </c>
      <c r="D1251">
        <f>RAW_DATA!D1251</f>
        <v>9</v>
      </c>
      <c r="E1251">
        <f>RAW_DATA!E1251</f>
        <v>3</v>
      </c>
      <c r="F1251" t="str">
        <f>RAW_DATA!F1251</f>
        <v>Marketing</v>
      </c>
      <c r="G1251">
        <f>RAW_DATA!G1251</f>
        <v>2</v>
      </c>
      <c r="H1251">
        <f>RAW_DATA!H1251</f>
        <v>2</v>
      </c>
      <c r="I1251" t="str">
        <f>RAW_DATA!I1251</f>
        <v>Single</v>
      </c>
      <c r="J1251">
        <f>RAW_DATA!J1251</f>
        <v>2760</v>
      </c>
      <c r="K1251">
        <f>RAW_DATA!K1251</f>
        <v>1</v>
      </c>
      <c r="L1251">
        <f>RAW_DATA!L1251</f>
        <v>3</v>
      </c>
      <c r="M1251">
        <f>RAW_DATA!M1251</f>
        <v>2</v>
      </c>
      <c r="N1251">
        <f t="shared" si="38"/>
        <v>1</v>
      </c>
      <c r="O1251" t="str">
        <f xml:space="preserve"> VLOOKUP(A1251, Lookup_Tables!$G$2:$H$6,2,TRUE)</f>
        <v>25-34</v>
      </c>
      <c r="P1251" t="str">
        <f>_xlfn.XLOOKUP(J1251,Lookup_Tables!$J$2:$J$4,Lookup_Tables!$K$2:$K$4, " ",-1)</f>
        <v>Low</v>
      </c>
      <c r="Q1251" t="str">
        <f xml:space="preserve"> _xlfn.XLOOKUP(M1251, Lookup_Tables!$M$2:$M$5,Lookup_Tables!$N$2:$N$5," ", -1)</f>
        <v>Early (2-5)</v>
      </c>
      <c r="R1251" s="4">
        <f t="shared" si="39"/>
        <v>2.3333333333333335</v>
      </c>
      <c r="S1251" t="str">
        <f xml:space="preserve"> _xlfn.XLOOKUP( E1251, Lookup_Tables!$A$2:$A$6,Lookup_Tables!$B$2:$B$6," ", -1)</f>
        <v>Bachelor</v>
      </c>
      <c r="T1251" t="str">
        <f>_xlfn.XLOOKUP(G1251,Lookup_Tables!$D$2:$D$5,Lookup_Tables!$E$2:$E$5)</f>
        <v>Medium</v>
      </c>
      <c r="U1251" t="str">
        <f>_xlfn.XLOOKUP(H1251,Lookup_Tables!$D$2:$D$5,Lookup_Tables!$E$2:$E$5)</f>
        <v>Medium</v>
      </c>
      <c r="V1251" t="str">
        <f>_xlfn.XLOOKUP(L1251,Lookup_Tables!$D$2:$D$5,Lookup_Tables!$E$2:$E$5)</f>
        <v>High</v>
      </c>
    </row>
    <row r="1252" spans="1:22">
      <c r="A1252">
        <f>RAW_DATA!A1252</f>
        <v>29</v>
      </c>
      <c r="B1252" t="str">
        <f>RAW_DATA!B1252</f>
        <v>No</v>
      </c>
      <c r="C1252" t="str">
        <f>RAW_DATA!C1252</f>
        <v>Research &amp; Development</v>
      </c>
      <c r="D1252">
        <f>RAW_DATA!D1252</f>
        <v>1</v>
      </c>
      <c r="E1252">
        <f>RAW_DATA!E1252</f>
        <v>3</v>
      </c>
      <c r="F1252" t="str">
        <f>RAW_DATA!F1252</f>
        <v>Life Sciences</v>
      </c>
      <c r="G1252">
        <f>RAW_DATA!G1252</f>
        <v>4</v>
      </c>
      <c r="H1252">
        <f>RAW_DATA!H1252</f>
        <v>3</v>
      </c>
      <c r="I1252" t="str">
        <f>RAW_DATA!I1252</f>
        <v>Single</v>
      </c>
      <c r="J1252">
        <f>RAW_DATA!J1252</f>
        <v>6294</v>
      </c>
      <c r="K1252">
        <f>RAW_DATA!K1252</f>
        <v>8</v>
      </c>
      <c r="L1252">
        <f>RAW_DATA!L1252</f>
        <v>4</v>
      </c>
      <c r="M1252">
        <f>RAW_DATA!M1252</f>
        <v>3</v>
      </c>
      <c r="N1252">
        <f t="shared" si="38"/>
        <v>0</v>
      </c>
      <c r="O1252" t="str">
        <f xml:space="preserve"> VLOOKUP(A1252, Lookup_Tables!$G$2:$H$6,2,TRUE)</f>
        <v>25-34</v>
      </c>
      <c r="P1252" t="str">
        <f>_xlfn.XLOOKUP(J1252,Lookup_Tables!$J$2:$J$4,Lookup_Tables!$K$2:$K$4, " ",-1)</f>
        <v>Medium</v>
      </c>
      <c r="Q1252" t="str">
        <f xml:space="preserve"> _xlfn.XLOOKUP(M1252, Lookup_Tables!$M$2:$M$5,Lookup_Tables!$N$2:$N$5," ", -1)</f>
        <v>Early (2-5)</v>
      </c>
      <c r="R1252" s="4">
        <f t="shared" si="39"/>
        <v>3.6666666666666665</v>
      </c>
      <c r="S1252" t="str">
        <f xml:space="preserve"> _xlfn.XLOOKUP( E1252, Lookup_Tables!$A$2:$A$6,Lookup_Tables!$B$2:$B$6," ", -1)</f>
        <v>Bachelor</v>
      </c>
      <c r="T1252" t="str">
        <f>_xlfn.XLOOKUP(G1252,Lookup_Tables!$D$2:$D$5,Lookup_Tables!$E$2:$E$5)</f>
        <v>Very High</v>
      </c>
      <c r="U1252" t="str">
        <f>_xlfn.XLOOKUP(H1252,Lookup_Tables!$D$2:$D$5,Lookup_Tables!$E$2:$E$5)</f>
        <v>High</v>
      </c>
      <c r="V1252" t="str">
        <f>_xlfn.XLOOKUP(L1252,Lookup_Tables!$D$2:$D$5,Lookup_Tables!$E$2:$E$5)</f>
        <v>Very High</v>
      </c>
    </row>
    <row r="1253" spans="1:22">
      <c r="A1253">
        <f>RAW_DATA!A1253</f>
        <v>30</v>
      </c>
      <c r="B1253" t="str">
        <f>RAW_DATA!B1253</f>
        <v>No</v>
      </c>
      <c r="C1253" t="str">
        <f>RAW_DATA!C1253</f>
        <v>Sales</v>
      </c>
      <c r="D1253">
        <f>RAW_DATA!D1253</f>
        <v>15</v>
      </c>
      <c r="E1253">
        <f>RAW_DATA!E1253</f>
        <v>2</v>
      </c>
      <c r="F1253" t="str">
        <f>RAW_DATA!F1253</f>
        <v>Marketing</v>
      </c>
      <c r="G1253">
        <f>RAW_DATA!G1253</f>
        <v>3</v>
      </c>
      <c r="H1253">
        <f>RAW_DATA!H1253</f>
        <v>1</v>
      </c>
      <c r="I1253" t="str">
        <f>RAW_DATA!I1253</f>
        <v>Divorced</v>
      </c>
      <c r="J1253">
        <f>RAW_DATA!J1253</f>
        <v>7140</v>
      </c>
      <c r="K1253">
        <f>RAW_DATA!K1253</f>
        <v>2</v>
      </c>
      <c r="L1253">
        <f>RAW_DATA!L1253</f>
        <v>3</v>
      </c>
      <c r="M1253">
        <f>RAW_DATA!M1253</f>
        <v>7</v>
      </c>
      <c r="N1253">
        <f t="shared" si="38"/>
        <v>0</v>
      </c>
      <c r="O1253" t="str">
        <f xml:space="preserve"> VLOOKUP(A1253, Lookup_Tables!$G$2:$H$6,2,TRUE)</f>
        <v>25-34</v>
      </c>
      <c r="P1253" t="str">
        <f>_xlfn.XLOOKUP(J1253,Lookup_Tables!$J$2:$J$4,Lookup_Tables!$K$2:$K$4, " ",-1)</f>
        <v>High</v>
      </c>
      <c r="Q1253" t="str">
        <f xml:space="preserve"> _xlfn.XLOOKUP(M1253, Lookup_Tables!$M$2:$M$5,Lookup_Tables!$N$2:$N$5," ", -1)</f>
        <v>Established (5-10)</v>
      </c>
      <c r="R1253" s="4">
        <f t="shared" si="39"/>
        <v>2.3333333333333335</v>
      </c>
      <c r="S1253" t="str">
        <f xml:space="preserve"> _xlfn.XLOOKUP( E1253, Lookup_Tables!$A$2:$A$6,Lookup_Tables!$B$2:$B$6," ", -1)</f>
        <v>College</v>
      </c>
      <c r="T1253" t="str">
        <f>_xlfn.XLOOKUP(G1253,Lookup_Tables!$D$2:$D$5,Lookup_Tables!$E$2:$E$5)</f>
        <v>High</v>
      </c>
      <c r="U1253" t="str">
        <f>_xlfn.XLOOKUP(H1253,Lookup_Tables!$D$2:$D$5,Lookup_Tables!$E$2:$E$5)</f>
        <v>Low</v>
      </c>
      <c r="V1253" t="str">
        <f>_xlfn.XLOOKUP(L1253,Lookup_Tables!$D$2:$D$5,Lookup_Tables!$E$2:$E$5)</f>
        <v>High</v>
      </c>
    </row>
    <row r="1254" spans="1:22">
      <c r="A1254">
        <f>RAW_DATA!A1254</f>
        <v>34</v>
      </c>
      <c r="B1254" t="str">
        <f>RAW_DATA!B1254</f>
        <v>No</v>
      </c>
      <c r="C1254" t="str">
        <f>RAW_DATA!C1254</f>
        <v>Research &amp; Development</v>
      </c>
      <c r="D1254">
        <f>RAW_DATA!D1254</f>
        <v>2</v>
      </c>
      <c r="E1254">
        <f>RAW_DATA!E1254</f>
        <v>4</v>
      </c>
      <c r="F1254" t="str">
        <f>RAW_DATA!F1254</f>
        <v>Medical</v>
      </c>
      <c r="G1254">
        <f>RAW_DATA!G1254</f>
        <v>4</v>
      </c>
      <c r="H1254">
        <f>RAW_DATA!H1254</f>
        <v>4</v>
      </c>
      <c r="I1254" t="str">
        <f>RAW_DATA!I1254</f>
        <v>Married</v>
      </c>
      <c r="J1254">
        <f>RAW_DATA!J1254</f>
        <v>2932</v>
      </c>
      <c r="K1254">
        <f>RAW_DATA!K1254</f>
        <v>0</v>
      </c>
      <c r="L1254">
        <f>RAW_DATA!L1254</f>
        <v>3</v>
      </c>
      <c r="M1254">
        <f>RAW_DATA!M1254</f>
        <v>5</v>
      </c>
      <c r="N1254">
        <f t="shared" si="38"/>
        <v>0</v>
      </c>
      <c r="O1254" t="str">
        <f xml:space="preserve"> VLOOKUP(A1254, Lookup_Tables!$G$2:$H$6,2,TRUE)</f>
        <v>25-34</v>
      </c>
      <c r="P1254" t="str">
        <f>_xlfn.XLOOKUP(J1254,Lookup_Tables!$J$2:$J$4,Lookup_Tables!$K$2:$K$4, " ",-1)</f>
        <v>Low</v>
      </c>
      <c r="Q1254" t="str">
        <f xml:space="preserve"> _xlfn.XLOOKUP(M1254, Lookup_Tables!$M$2:$M$5,Lookup_Tables!$N$2:$N$5," ", -1)</f>
        <v>Established (5-10)</v>
      </c>
      <c r="R1254" s="4">
        <f t="shared" si="39"/>
        <v>3.6666666666666665</v>
      </c>
      <c r="S1254" t="str">
        <f xml:space="preserve"> _xlfn.XLOOKUP( E1254, Lookup_Tables!$A$2:$A$6,Lookup_Tables!$B$2:$B$6," ", -1)</f>
        <v>Master</v>
      </c>
      <c r="T1254" t="str">
        <f>_xlfn.XLOOKUP(G1254,Lookup_Tables!$D$2:$D$5,Lookup_Tables!$E$2:$E$5)</f>
        <v>Very High</v>
      </c>
      <c r="U1254" t="str">
        <f>_xlfn.XLOOKUP(H1254,Lookup_Tables!$D$2:$D$5,Lookup_Tables!$E$2:$E$5)</f>
        <v>Very High</v>
      </c>
      <c r="V1254" t="str">
        <f>_xlfn.XLOOKUP(L1254,Lookup_Tables!$D$2:$D$5,Lookup_Tables!$E$2:$E$5)</f>
        <v>High</v>
      </c>
    </row>
    <row r="1255" spans="1:22">
      <c r="A1255">
        <f>RAW_DATA!A1255</f>
        <v>33</v>
      </c>
      <c r="B1255" t="str">
        <f>RAW_DATA!B1255</f>
        <v>No</v>
      </c>
      <c r="C1255" t="str">
        <f>RAW_DATA!C1255</f>
        <v>Sales</v>
      </c>
      <c r="D1255">
        <f>RAW_DATA!D1255</f>
        <v>2</v>
      </c>
      <c r="E1255">
        <f>RAW_DATA!E1255</f>
        <v>3</v>
      </c>
      <c r="F1255" t="str">
        <f>RAW_DATA!F1255</f>
        <v>Marketing</v>
      </c>
      <c r="G1255">
        <f>RAW_DATA!G1255</f>
        <v>4</v>
      </c>
      <c r="H1255">
        <f>RAW_DATA!H1255</f>
        <v>2</v>
      </c>
      <c r="I1255" t="str">
        <f>RAW_DATA!I1255</f>
        <v>Single</v>
      </c>
      <c r="J1255">
        <f>RAW_DATA!J1255</f>
        <v>5147</v>
      </c>
      <c r="K1255">
        <f>RAW_DATA!K1255</f>
        <v>8</v>
      </c>
      <c r="L1255">
        <f>RAW_DATA!L1255</f>
        <v>2</v>
      </c>
      <c r="M1255">
        <f>RAW_DATA!M1255</f>
        <v>11</v>
      </c>
      <c r="N1255">
        <f t="shared" si="38"/>
        <v>0</v>
      </c>
      <c r="O1255" t="str">
        <f xml:space="preserve"> VLOOKUP(A1255, Lookup_Tables!$G$2:$H$6,2,TRUE)</f>
        <v>25-34</v>
      </c>
      <c r="P1255" t="str">
        <f>_xlfn.XLOOKUP(J1255,Lookup_Tables!$J$2:$J$4,Lookup_Tables!$K$2:$K$4, " ",-1)</f>
        <v>Medium</v>
      </c>
      <c r="Q1255" t="str">
        <f xml:space="preserve"> _xlfn.XLOOKUP(M1255, Lookup_Tables!$M$2:$M$5,Lookup_Tables!$N$2:$N$5," ", -1)</f>
        <v>Veteran (10+)</v>
      </c>
      <c r="R1255" s="4">
        <f t="shared" si="39"/>
        <v>2.6666666666666665</v>
      </c>
      <c r="S1255" t="str">
        <f xml:space="preserve"> _xlfn.XLOOKUP( E1255, Lookup_Tables!$A$2:$A$6,Lookup_Tables!$B$2:$B$6," ", -1)</f>
        <v>Bachelor</v>
      </c>
      <c r="T1255" t="str">
        <f>_xlfn.XLOOKUP(G1255,Lookup_Tables!$D$2:$D$5,Lookup_Tables!$E$2:$E$5)</f>
        <v>Very High</v>
      </c>
      <c r="U1255" t="str">
        <f>_xlfn.XLOOKUP(H1255,Lookup_Tables!$D$2:$D$5,Lookup_Tables!$E$2:$E$5)</f>
        <v>Medium</v>
      </c>
      <c r="V1255" t="str">
        <f>_xlfn.XLOOKUP(L1255,Lookup_Tables!$D$2:$D$5,Lookup_Tables!$E$2:$E$5)</f>
        <v>Medium</v>
      </c>
    </row>
    <row r="1256" spans="1:22">
      <c r="A1256">
        <f>RAW_DATA!A1256</f>
        <v>49</v>
      </c>
      <c r="B1256" t="str">
        <f>RAW_DATA!B1256</f>
        <v>No</v>
      </c>
      <c r="C1256" t="str">
        <f>RAW_DATA!C1256</f>
        <v>Sales</v>
      </c>
      <c r="D1256">
        <f>RAW_DATA!D1256</f>
        <v>11</v>
      </c>
      <c r="E1256">
        <f>RAW_DATA!E1256</f>
        <v>4</v>
      </c>
      <c r="F1256" t="str">
        <f>RAW_DATA!F1256</f>
        <v>Marketing</v>
      </c>
      <c r="G1256">
        <f>RAW_DATA!G1256</f>
        <v>4</v>
      </c>
      <c r="H1256">
        <f>RAW_DATA!H1256</f>
        <v>4</v>
      </c>
      <c r="I1256" t="str">
        <f>RAW_DATA!I1256</f>
        <v>Single</v>
      </c>
      <c r="J1256">
        <f>RAW_DATA!J1256</f>
        <v>4507</v>
      </c>
      <c r="K1256">
        <f>RAW_DATA!K1256</f>
        <v>3</v>
      </c>
      <c r="L1256">
        <f>RAW_DATA!L1256</f>
        <v>4</v>
      </c>
      <c r="M1256">
        <f>RAW_DATA!M1256</f>
        <v>5</v>
      </c>
      <c r="N1256">
        <f t="shared" si="38"/>
        <v>0</v>
      </c>
      <c r="O1256" t="str">
        <f xml:space="preserve"> VLOOKUP(A1256, Lookup_Tables!$G$2:$H$6,2,TRUE)</f>
        <v>45-54</v>
      </c>
      <c r="P1256" t="str">
        <f>_xlfn.XLOOKUP(J1256,Lookup_Tables!$J$2:$J$4,Lookup_Tables!$K$2:$K$4, " ",-1)</f>
        <v>Medium</v>
      </c>
      <c r="Q1256" t="str">
        <f xml:space="preserve"> _xlfn.XLOOKUP(M1256, Lookup_Tables!$M$2:$M$5,Lookup_Tables!$N$2:$N$5," ", -1)</f>
        <v>Established (5-10)</v>
      </c>
      <c r="R1256" s="4">
        <f t="shared" si="39"/>
        <v>4</v>
      </c>
      <c r="S1256" t="str">
        <f xml:space="preserve"> _xlfn.XLOOKUP( E1256, Lookup_Tables!$A$2:$A$6,Lookup_Tables!$B$2:$B$6," ", -1)</f>
        <v>Master</v>
      </c>
      <c r="T1256" t="str">
        <f>_xlfn.XLOOKUP(G1256,Lookup_Tables!$D$2:$D$5,Lookup_Tables!$E$2:$E$5)</f>
        <v>Very High</v>
      </c>
      <c r="U1256" t="str">
        <f>_xlfn.XLOOKUP(H1256,Lookup_Tables!$D$2:$D$5,Lookup_Tables!$E$2:$E$5)</f>
        <v>Very High</v>
      </c>
      <c r="V1256" t="str">
        <f>_xlfn.XLOOKUP(L1256,Lookup_Tables!$D$2:$D$5,Lookup_Tables!$E$2:$E$5)</f>
        <v>Very High</v>
      </c>
    </row>
    <row r="1257" spans="1:22">
      <c r="A1257">
        <f>RAW_DATA!A1257</f>
        <v>33</v>
      </c>
      <c r="B1257" t="str">
        <f>RAW_DATA!B1257</f>
        <v>Yes</v>
      </c>
      <c r="C1257" t="str">
        <f>RAW_DATA!C1257</f>
        <v>Sales</v>
      </c>
      <c r="D1257">
        <f>RAW_DATA!D1257</f>
        <v>16</v>
      </c>
      <c r="E1257">
        <f>RAW_DATA!E1257</f>
        <v>3</v>
      </c>
      <c r="F1257" t="str">
        <f>RAW_DATA!F1257</f>
        <v>Life Sciences</v>
      </c>
      <c r="G1257">
        <f>RAW_DATA!G1257</f>
        <v>1</v>
      </c>
      <c r="H1257">
        <f>RAW_DATA!H1257</f>
        <v>1</v>
      </c>
      <c r="I1257" t="str">
        <f>RAW_DATA!I1257</f>
        <v>Single</v>
      </c>
      <c r="J1257">
        <f>RAW_DATA!J1257</f>
        <v>8564</v>
      </c>
      <c r="K1257">
        <f>RAW_DATA!K1257</f>
        <v>2</v>
      </c>
      <c r="L1257">
        <f>RAW_DATA!L1257</f>
        <v>2</v>
      </c>
      <c r="M1257">
        <f>RAW_DATA!M1257</f>
        <v>0</v>
      </c>
      <c r="N1257">
        <f t="shared" si="38"/>
        <v>1</v>
      </c>
      <c r="O1257" t="str">
        <f xml:space="preserve"> VLOOKUP(A1257, Lookup_Tables!$G$2:$H$6,2,TRUE)</f>
        <v>25-34</v>
      </c>
      <c r="P1257" t="str">
        <f>_xlfn.XLOOKUP(J1257,Lookup_Tables!$J$2:$J$4,Lookup_Tables!$K$2:$K$4, " ",-1)</f>
        <v>High</v>
      </c>
      <c r="Q1257" t="str">
        <f xml:space="preserve"> _xlfn.XLOOKUP(M1257, Lookup_Tables!$M$2:$M$5,Lookup_Tables!$N$2:$N$5," ", -1)</f>
        <v>New (0-2)</v>
      </c>
      <c r="R1257" s="4">
        <f t="shared" si="39"/>
        <v>1.3333333333333333</v>
      </c>
      <c r="S1257" t="str">
        <f xml:space="preserve"> _xlfn.XLOOKUP( E1257, Lookup_Tables!$A$2:$A$6,Lookup_Tables!$B$2:$B$6," ", -1)</f>
        <v>Bachelor</v>
      </c>
      <c r="T1257" t="str">
        <f>_xlfn.XLOOKUP(G1257,Lookup_Tables!$D$2:$D$5,Lookup_Tables!$E$2:$E$5)</f>
        <v>Low</v>
      </c>
      <c r="U1257" t="str">
        <f>_xlfn.XLOOKUP(H1257,Lookup_Tables!$D$2:$D$5,Lookup_Tables!$E$2:$E$5)</f>
        <v>Low</v>
      </c>
      <c r="V1257" t="str">
        <f>_xlfn.XLOOKUP(L1257,Lookup_Tables!$D$2:$D$5,Lookup_Tables!$E$2:$E$5)</f>
        <v>Medium</v>
      </c>
    </row>
    <row r="1258" spans="1:22">
      <c r="A1258">
        <f>RAW_DATA!A1258</f>
        <v>38</v>
      </c>
      <c r="B1258" t="str">
        <f>RAW_DATA!B1258</f>
        <v>No</v>
      </c>
      <c r="C1258" t="str">
        <f>RAW_DATA!C1258</f>
        <v>Research &amp; Development</v>
      </c>
      <c r="D1258">
        <f>RAW_DATA!D1258</f>
        <v>2</v>
      </c>
      <c r="E1258">
        <f>RAW_DATA!E1258</f>
        <v>2</v>
      </c>
      <c r="F1258" t="str">
        <f>RAW_DATA!F1258</f>
        <v>Medical</v>
      </c>
      <c r="G1258">
        <f>RAW_DATA!G1258</f>
        <v>3</v>
      </c>
      <c r="H1258">
        <f>RAW_DATA!H1258</f>
        <v>2</v>
      </c>
      <c r="I1258" t="str">
        <f>RAW_DATA!I1258</f>
        <v>Married</v>
      </c>
      <c r="J1258">
        <f>RAW_DATA!J1258</f>
        <v>2468</v>
      </c>
      <c r="K1258">
        <f>RAW_DATA!K1258</f>
        <v>4</v>
      </c>
      <c r="L1258">
        <f>RAW_DATA!L1258</f>
        <v>2</v>
      </c>
      <c r="M1258">
        <f>RAW_DATA!M1258</f>
        <v>6</v>
      </c>
      <c r="N1258">
        <f t="shared" si="38"/>
        <v>0</v>
      </c>
      <c r="O1258" t="str">
        <f xml:space="preserve"> VLOOKUP(A1258, Lookup_Tables!$G$2:$H$6,2,TRUE)</f>
        <v>35-44</v>
      </c>
      <c r="P1258" t="str">
        <f>_xlfn.XLOOKUP(J1258,Lookup_Tables!$J$2:$J$4,Lookup_Tables!$K$2:$K$4, " ",-1)</f>
        <v>Low</v>
      </c>
      <c r="Q1258" t="str">
        <f xml:space="preserve"> _xlfn.XLOOKUP(M1258, Lookup_Tables!$M$2:$M$5,Lookup_Tables!$N$2:$N$5," ", -1)</f>
        <v>Established (5-10)</v>
      </c>
      <c r="R1258" s="4">
        <f t="shared" si="39"/>
        <v>2.3333333333333335</v>
      </c>
      <c r="S1258" t="str">
        <f xml:space="preserve"> _xlfn.XLOOKUP( E1258, Lookup_Tables!$A$2:$A$6,Lookup_Tables!$B$2:$B$6," ", -1)</f>
        <v>College</v>
      </c>
      <c r="T1258" t="str">
        <f>_xlfn.XLOOKUP(G1258,Lookup_Tables!$D$2:$D$5,Lookup_Tables!$E$2:$E$5)</f>
        <v>High</v>
      </c>
      <c r="U1258" t="str">
        <f>_xlfn.XLOOKUP(H1258,Lookup_Tables!$D$2:$D$5,Lookup_Tables!$E$2:$E$5)</f>
        <v>Medium</v>
      </c>
      <c r="V1258" t="str">
        <f>_xlfn.XLOOKUP(L1258,Lookup_Tables!$D$2:$D$5,Lookup_Tables!$E$2:$E$5)</f>
        <v>Medium</v>
      </c>
    </row>
    <row r="1259" spans="1:22">
      <c r="A1259">
        <f>RAW_DATA!A1259</f>
        <v>31</v>
      </c>
      <c r="B1259" t="str">
        <f>RAW_DATA!B1259</f>
        <v>Yes</v>
      </c>
      <c r="C1259" t="str">
        <f>RAW_DATA!C1259</f>
        <v>Sales</v>
      </c>
      <c r="D1259">
        <f>RAW_DATA!D1259</f>
        <v>16</v>
      </c>
      <c r="E1259">
        <f>RAW_DATA!E1259</f>
        <v>4</v>
      </c>
      <c r="F1259" t="str">
        <f>RAW_DATA!F1259</f>
        <v>Marketing</v>
      </c>
      <c r="G1259">
        <f>RAW_DATA!G1259</f>
        <v>1</v>
      </c>
      <c r="H1259">
        <f>RAW_DATA!H1259</f>
        <v>3</v>
      </c>
      <c r="I1259" t="str">
        <f>RAW_DATA!I1259</f>
        <v>Married</v>
      </c>
      <c r="J1259">
        <f>RAW_DATA!J1259</f>
        <v>8161</v>
      </c>
      <c r="K1259">
        <f>RAW_DATA!K1259</f>
        <v>2</v>
      </c>
      <c r="L1259">
        <f>RAW_DATA!L1259</f>
        <v>3</v>
      </c>
      <c r="M1259">
        <f>RAW_DATA!M1259</f>
        <v>1</v>
      </c>
      <c r="N1259">
        <f t="shared" si="38"/>
        <v>1</v>
      </c>
      <c r="O1259" t="str">
        <f xml:space="preserve"> VLOOKUP(A1259, Lookup_Tables!$G$2:$H$6,2,TRUE)</f>
        <v>25-34</v>
      </c>
      <c r="P1259" t="str">
        <f>_xlfn.XLOOKUP(J1259,Lookup_Tables!$J$2:$J$4,Lookup_Tables!$K$2:$K$4, " ",-1)</f>
        <v>High</v>
      </c>
      <c r="Q1259" t="str">
        <f xml:space="preserve"> _xlfn.XLOOKUP(M1259, Lookup_Tables!$M$2:$M$5,Lookup_Tables!$N$2:$N$5," ", -1)</f>
        <v>New (0-2)</v>
      </c>
      <c r="R1259" s="4">
        <f t="shared" si="39"/>
        <v>2.3333333333333335</v>
      </c>
      <c r="S1259" t="str">
        <f xml:space="preserve"> _xlfn.XLOOKUP( E1259, Lookup_Tables!$A$2:$A$6,Lookup_Tables!$B$2:$B$6," ", -1)</f>
        <v>Master</v>
      </c>
      <c r="T1259" t="str">
        <f>_xlfn.XLOOKUP(G1259,Lookup_Tables!$D$2:$D$5,Lookup_Tables!$E$2:$E$5)</f>
        <v>Low</v>
      </c>
      <c r="U1259" t="str">
        <f>_xlfn.XLOOKUP(H1259,Lookup_Tables!$D$2:$D$5,Lookup_Tables!$E$2:$E$5)</f>
        <v>High</v>
      </c>
      <c r="V1259" t="str">
        <f>_xlfn.XLOOKUP(L1259,Lookup_Tables!$D$2:$D$5,Lookup_Tables!$E$2:$E$5)</f>
        <v>High</v>
      </c>
    </row>
    <row r="1260" spans="1:22">
      <c r="A1260">
        <f>RAW_DATA!A1260</f>
        <v>29</v>
      </c>
      <c r="B1260" t="str">
        <f>RAW_DATA!B1260</f>
        <v>No</v>
      </c>
      <c r="C1260" t="str">
        <f>RAW_DATA!C1260</f>
        <v>Research &amp; Development</v>
      </c>
      <c r="D1260">
        <f>RAW_DATA!D1260</f>
        <v>4</v>
      </c>
      <c r="E1260">
        <f>RAW_DATA!E1260</f>
        <v>3</v>
      </c>
      <c r="F1260" t="str">
        <f>RAW_DATA!F1260</f>
        <v>Technical Degree</v>
      </c>
      <c r="G1260">
        <f>RAW_DATA!G1260</f>
        <v>4</v>
      </c>
      <c r="H1260">
        <f>RAW_DATA!H1260</f>
        <v>1</v>
      </c>
      <c r="I1260" t="str">
        <f>RAW_DATA!I1260</f>
        <v>Divorced</v>
      </c>
      <c r="J1260">
        <f>RAW_DATA!J1260</f>
        <v>2109</v>
      </c>
      <c r="K1260">
        <f>RAW_DATA!K1260</f>
        <v>1</v>
      </c>
      <c r="L1260">
        <f>RAW_DATA!L1260</f>
        <v>3</v>
      </c>
      <c r="M1260">
        <f>RAW_DATA!M1260</f>
        <v>1</v>
      </c>
      <c r="N1260">
        <f t="shared" si="38"/>
        <v>0</v>
      </c>
      <c r="O1260" t="str">
        <f xml:space="preserve"> VLOOKUP(A1260, Lookup_Tables!$G$2:$H$6,2,TRUE)</f>
        <v>25-34</v>
      </c>
      <c r="P1260" t="str">
        <f>_xlfn.XLOOKUP(J1260,Lookup_Tables!$J$2:$J$4,Lookup_Tables!$K$2:$K$4, " ",-1)</f>
        <v>Low</v>
      </c>
      <c r="Q1260" t="str">
        <f xml:space="preserve"> _xlfn.XLOOKUP(M1260, Lookup_Tables!$M$2:$M$5,Lookup_Tables!$N$2:$N$5," ", -1)</f>
        <v>New (0-2)</v>
      </c>
      <c r="R1260" s="4">
        <f t="shared" si="39"/>
        <v>2.6666666666666665</v>
      </c>
      <c r="S1260" t="str">
        <f xml:space="preserve"> _xlfn.XLOOKUP( E1260, Lookup_Tables!$A$2:$A$6,Lookup_Tables!$B$2:$B$6," ", -1)</f>
        <v>Bachelor</v>
      </c>
      <c r="T1260" t="str">
        <f>_xlfn.XLOOKUP(G1260,Lookup_Tables!$D$2:$D$5,Lookup_Tables!$E$2:$E$5)</f>
        <v>Very High</v>
      </c>
      <c r="U1260" t="str">
        <f>_xlfn.XLOOKUP(H1260,Lookup_Tables!$D$2:$D$5,Lookup_Tables!$E$2:$E$5)</f>
        <v>Low</v>
      </c>
      <c r="V1260" t="str">
        <f>_xlfn.XLOOKUP(L1260,Lookup_Tables!$D$2:$D$5,Lookup_Tables!$E$2:$E$5)</f>
        <v>High</v>
      </c>
    </row>
    <row r="1261" spans="1:22">
      <c r="A1261">
        <f>RAW_DATA!A1261</f>
        <v>30</v>
      </c>
      <c r="B1261" t="str">
        <f>RAW_DATA!B1261</f>
        <v>No</v>
      </c>
      <c r="C1261" t="str">
        <f>RAW_DATA!C1261</f>
        <v>Research &amp; Development</v>
      </c>
      <c r="D1261">
        <f>RAW_DATA!D1261</f>
        <v>16</v>
      </c>
      <c r="E1261">
        <f>RAW_DATA!E1261</f>
        <v>3</v>
      </c>
      <c r="F1261" t="str">
        <f>RAW_DATA!F1261</f>
        <v>Life Sciences</v>
      </c>
      <c r="G1261">
        <f>RAW_DATA!G1261</f>
        <v>3</v>
      </c>
      <c r="H1261">
        <f>RAW_DATA!H1261</f>
        <v>3</v>
      </c>
      <c r="I1261" t="str">
        <f>RAW_DATA!I1261</f>
        <v>Married</v>
      </c>
      <c r="J1261">
        <f>RAW_DATA!J1261</f>
        <v>5294</v>
      </c>
      <c r="K1261">
        <f>RAW_DATA!K1261</f>
        <v>3</v>
      </c>
      <c r="L1261">
        <f>RAW_DATA!L1261</f>
        <v>3</v>
      </c>
      <c r="M1261">
        <f>RAW_DATA!M1261</f>
        <v>7</v>
      </c>
      <c r="N1261">
        <f t="shared" si="38"/>
        <v>0</v>
      </c>
      <c r="O1261" t="str">
        <f xml:space="preserve"> VLOOKUP(A1261, Lookup_Tables!$G$2:$H$6,2,TRUE)</f>
        <v>25-34</v>
      </c>
      <c r="P1261" t="str">
        <f>_xlfn.XLOOKUP(J1261,Lookup_Tables!$J$2:$J$4,Lookup_Tables!$K$2:$K$4, " ",-1)</f>
        <v>Medium</v>
      </c>
      <c r="Q1261" t="str">
        <f xml:space="preserve"> _xlfn.XLOOKUP(M1261, Lookup_Tables!$M$2:$M$5,Lookup_Tables!$N$2:$N$5," ", -1)</f>
        <v>Established (5-10)</v>
      </c>
      <c r="R1261" s="4">
        <f t="shared" si="39"/>
        <v>3</v>
      </c>
      <c r="S1261" t="str">
        <f xml:space="preserve"> _xlfn.XLOOKUP( E1261, Lookup_Tables!$A$2:$A$6,Lookup_Tables!$B$2:$B$6," ", -1)</f>
        <v>Bachelor</v>
      </c>
      <c r="T1261" t="str">
        <f>_xlfn.XLOOKUP(G1261,Lookup_Tables!$D$2:$D$5,Lookup_Tables!$E$2:$E$5)</f>
        <v>High</v>
      </c>
      <c r="U1261" t="str">
        <f>_xlfn.XLOOKUP(H1261,Lookup_Tables!$D$2:$D$5,Lookup_Tables!$E$2:$E$5)</f>
        <v>High</v>
      </c>
      <c r="V1261" t="str">
        <f>_xlfn.XLOOKUP(L1261,Lookup_Tables!$D$2:$D$5,Lookup_Tables!$E$2:$E$5)</f>
        <v>High</v>
      </c>
    </row>
    <row r="1262" spans="1:22">
      <c r="A1262">
        <f>RAW_DATA!A1262</f>
        <v>32</v>
      </c>
      <c r="B1262" t="str">
        <f>RAW_DATA!B1262</f>
        <v>No</v>
      </c>
      <c r="C1262" t="str">
        <f>RAW_DATA!C1262</f>
        <v>Research &amp; Development</v>
      </c>
      <c r="D1262">
        <f>RAW_DATA!D1262</f>
        <v>5</v>
      </c>
      <c r="E1262">
        <f>RAW_DATA!E1262</f>
        <v>4</v>
      </c>
      <c r="F1262" t="str">
        <f>RAW_DATA!F1262</f>
        <v>Technical Degree</v>
      </c>
      <c r="G1262">
        <f>RAW_DATA!G1262</f>
        <v>2</v>
      </c>
      <c r="H1262">
        <f>RAW_DATA!H1262</f>
        <v>2</v>
      </c>
      <c r="I1262" t="str">
        <f>RAW_DATA!I1262</f>
        <v>Single</v>
      </c>
      <c r="J1262">
        <f>RAW_DATA!J1262</f>
        <v>2718</v>
      </c>
      <c r="K1262">
        <f>RAW_DATA!K1262</f>
        <v>2</v>
      </c>
      <c r="L1262">
        <f>RAW_DATA!L1262</f>
        <v>3</v>
      </c>
      <c r="M1262">
        <f>RAW_DATA!M1262</f>
        <v>7</v>
      </c>
      <c r="N1262">
        <f t="shared" si="38"/>
        <v>0</v>
      </c>
      <c r="O1262" t="str">
        <f xml:space="preserve"> VLOOKUP(A1262, Lookup_Tables!$G$2:$H$6,2,TRUE)</f>
        <v>25-34</v>
      </c>
      <c r="P1262" t="str">
        <f>_xlfn.XLOOKUP(J1262,Lookup_Tables!$J$2:$J$4,Lookup_Tables!$K$2:$K$4, " ",-1)</f>
        <v>Low</v>
      </c>
      <c r="Q1262" t="str">
        <f xml:space="preserve"> _xlfn.XLOOKUP(M1262, Lookup_Tables!$M$2:$M$5,Lookup_Tables!$N$2:$N$5," ", -1)</f>
        <v>Established (5-10)</v>
      </c>
      <c r="R1262" s="4">
        <f t="shared" si="39"/>
        <v>2.3333333333333335</v>
      </c>
      <c r="S1262" t="str">
        <f xml:space="preserve"> _xlfn.XLOOKUP( E1262, Lookup_Tables!$A$2:$A$6,Lookup_Tables!$B$2:$B$6," ", -1)</f>
        <v>Master</v>
      </c>
      <c r="T1262" t="str">
        <f>_xlfn.XLOOKUP(G1262,Lookup_Tables!$D$2:$D$5,Lookup_Tables!$E$2:$E$5)</f>
        <v>Medium</v>
      </c>
      <c r="U1262" t="str">
        <f>_xlfn.XLOOKUP(H1262,Lookup_Tables!$D$2:$D$5,Lookup_Tables!$E$2:$E$5)</f>
        <v>Medium</v>
      </c>
      <c r="V1262" t="str">
        <f>_xlfn.XLOOKUP(L1262,Lookup_Tables!$D$2:$D$5,Lookup_Tables!$E$2:$E$5)</f>
        <v>High</v>
      </c>
    </row>
    <row r="1263" spans="1:22">
      <c r="A1263">
        <f>RAW_DATA!A1263</f>
        <v>38</v>
      </c>
      <c r="B1263" t="str">
        <f>RAW_DATA!B1263</f>
        <v>No</v>
      </c>
      <c r="C1263" t="str">
        <f>RAW_DATA!C1263</f>
        <v>Research &amp; Development</v>
      </c>
      <c r="D1263">
        <f>RAW_DATA!D1263</f>
        <v>18</v>
      </c>
      <c r="E1263">
        <f>RAW_DATA!E1263</f>
        <v>3</v>
      </c>
      <c r="F1263" t="str">
        <f>RAW_DATA!F1263</f>
        <v>Medical</v>
      </c>
      <c r="G1263">
        <f>RAW_DATA!G1263</f>
        <v>2</v>
      </c>
      <c r="H1263">
        <f>RAW_DATA!H1263</f>
        <v>4</v>
      </c>
      <c r="I1263" t="str">
        <f>RAW_DATA!I1263</f>
        <v>Married</v>
      </c>
      <c r="J1263">
        <f>RAW_DATA!J1263</f>
        <v>5811</v>
      </c>
      <c r="K1263">
        <f>RAW_DATA!K1263</f>
        <v>3</v>
      </c>
      <c r="L1263">
        <f>RAW_DATA!L1263</f>
        <v>3</v>
      </c>
      <c r="M1263">
        <f>RAW_DATA!M1263</f>
        <v>1</v>
      </c>
      <c r="N1263">
        <f t="shared" si="38"/>
        <v>0</v>
      </c>
      <c r="O1263" t="str">
        <f xml:space="preserve"> VLOOKUP(A1263, Lookup_Tables!$G$2:$H$6,2,TRUE)</f>
        <v>35-44</v>
      </c>
      <c r="P1263" t="str">
        <f>_xlfn.XLOOKUP(J1263,Lookup_Tables!$J$2:$J$4,Lookup_Tables!$K$2:$K$4, " ",-1)</f>
        <v>Medium</v>
      </c>
      <c r="Q1263" t="str">
        <f xml:space="preserve"> _xlfn.XLOOKUP(M1263, Lookup_Tables!$M$2:$M$5,Lookup_Tables!$N$2:$N$5," ", -1)</f>
        <v>New (0-2)</v>
      </c>
      <c r="R1263" s="4">
        <f t="shared" si="39"/>
        <v>3</v>
      </c>
      <c r="S1263" t="str">
        <f xml:space="preserve"> _xlfn.XLOOKUP( E1263, Lookup_Tables!$A$2:$A$6,Lookup_Tables!$B$2:$B$6," ", -1)</f>
        <v>Bachelor</v>
      </c>
      <c r="T1263" t="str">
        <f>_xlfn.XLOOKUP(G1263,Lookup_Tables!$D$2:$D$5,Lookup_Tables!$E$2:$E$5)</f>
        <v>Medium</v>
      </c>
      <c r="U1263" t="str">
        <f>_xlfn.XLOOKUP(H1263,Lookup_Tables!$D$2:$D$5,Lookup_Tables!$E$2:$E$5)</f>
        <v>Very High</v>
      </c>
      <c r="V1263" t="str">
        <f>_xlfn.XLOOKUP(L1263,Lookup_Tables!$D$2:$D$5,Lookup_Tables!$E$2:$E$5)</f>
        <v>High</v>
      </c>
    </row>
    <row r="1264" spans="1:22">
      <c r="A1264">
        <f>RAW_DATA!A1264</f>
        <v>43</v>
      </c>
      <c r="B1264" t="str">
        <f>RAW_DATA!B1264</f>
        <v>Yes</v>
      </c>
      <c r="C1264" t="str">
        <f>RAW_DATA!C1264</f>
        <v>Research &amp; Development</v>
      </c>
      <c r="D1264">
        <f>RAW_DATA!D1264</f>
        <v>17</v>
      </c>
      <c r="E1264">
        <f>RAW_DATA!E1264</f>
        <v>3</v>
      </c>
      <c r="F1264" t="str">
        <f>RAW_DATA!F1264</f>
        <v>Technical Degree</v>
      </c>
      <c r="G1264">
        <f>RAW_DATA!G1264</f>
        <v>3</v>
      </c>
      <c r="H1264">
        <f>RAW_DATA!H1264</f>
        <v>3</v>
      </c>
      <c r="I1264" t="str">
        <f>RAW_DATA!I1264</f>
        <v>Married</v>
      </c>
      <c r="J1264">
        <f>RAW_DATA!J1264</f>
        <v>2437</v>
      </c>
      <c r="K1264">
        <f>RAW_DATA!K1264</f>
        <v>9</v>
      </c>
      <c r="L1264">
        <f>RAW_DATA!L1264</f>
        <v>3</v>
      </c>
      <c r="M1264">
        <f>RAW_DATA!M1264</f>
        <v>1</v>
      </c>
      <c r="N1264">
        <f t="shared" si="38"/>
        <v>1</v>
      </c>
      <c r="O1264" t="str">
        <f xml:space="preserve"> VLOOKUP(A1264, Lookup_Tables!$G$2:$H$6,2,TRUE)</f>
        <v>35-44</v>
      </c>
      <c r="P1264" t="str">
        <f>_xlfn.XLOOKUP(J1264,Lookup_Tables!$J$2:$J$4,Lookup_Tables!$K$2:$K$4, " ",-1)</f>
        <v>Low</v>
      </c>
      <c r="Q1264" t="str">
        <f xml:space="preserve"> _xlfn.XLOOKUP(M1264, Lookup_Tables!$M$2:$M$5,Lookup_Tables!$N$2:$N$5," ", -1)</f>
        <v>New (0-2)</v>
      </c>
      <c r="R1264" s="4">
        <f t="shared" si="39"/>
        <v>3</v>
      </c>
      <c r="S1264" t="str">
        <f xml:space="preserve"> _xlfn.XLOOKUP( E1264, Lookup_Tables!$A$2:$A$6,Lookup_Tables!$B$2:$B$6," ", -1)</f>
        <v>Bachelor</v>
      </c>
      <c r="T1264" t="str">
        <f>_xlfn.XLOOKUP(G1264,Lookup_Tables!$D$2:$D$5,Lookup_Tables!$E$2:$E$5)</f>
        <v>High</v>
      </c>
      <c r="U1264" t="str">
        <f>_xlfn.XLOOKUP(H1264,Lookup_Tables!$D$2:$D$5,Lookup_Tables!$E$2:$E$5)</f>
        <v>High</v>
      </c>
      <c r="V1264" t="str">
        <f>_xlfn.XLOOKUP(L1264,Lookup_Tables!$D$2:$D$5,Lookup_Tables!$E$2:$E$5)</f>
        <v>High</v>
      </c>
    </row>
    <row r="1265" spans="1:22">
      <c r="A1265">
        <f>RAW_DATA!A1265</f>
        <v>42</v>
      </c>
      <c r="B1265" t="str">
        <f>RAW_DATA!B1265</f>
        <v>No</v>
      </c>
      <c r="C1265" t="str">
        <f>RAW_DATA!C1265</f>
        <v>Research &amp; Development</v>
      </c>
      <c r="D1265">
        <f>RAW_DATA!D1265</f>
        <v>12</v>
      </c>
      <c r="E1265">
        <f>RAW_DATA!E1265</f>
        <v>3</v>
      </c>
      <c r="F1265" t="str">
        <f>RAW_DATA!F1265</f>
        <v>Medical</v>
      </c>
      <c r="G1265">
        <f>RAW_DATA!G1265</f>
        <v>2</v>
      </c>
      <c r="H1265">
        <f>RAW_DATA!H1265</f>
        <v>2</v>
      </c>
      <c r="I1265" t="str">
        <f>RAW_DATA!I1265</f>
        <v>Divorced</v>
      </c>
      <c r="J1265">
        <f>RAW_DATA!J1265</f>
        <v>2766</v>
      </c>
      <c r="K1265">
        <f>RAW_DATA!K1265</f>
        <v>8</v>
      </c>
      <c r="L1265">
        <f>RAW_DATA!L1265</f>
        <v>2</v>
      </c>
      <c r="M1265">
        <f>RAW_DATA!M1265</f>
        <v>5</v>
      </c>
      <c r="N1265">
        <f t="shared" si="38"/>
        <v>0</v>
      </c>
      <c r="O1265" t="str">
        <f xml:space="preserve"> VLOOKUP(A1265, Lookup_Tables!$G$2:$H$6,2,TRUE)</f>
        <v>35-44</v>
      </c>
      <c r="P1265" t="str">
        <f>_xlfn.XLOOKUP(J1265,Lookup_Tables!$J$2:$J$4,Lookup_Tables!$K$2:$K$4, " ",-1)</f>
        <v>Low</v>
      </c>
      <c r="Q1265" t="str">
        <f xml:space="preserve"> _xlfn.XLOOKUP(M1265, Lookup_Tables!$M$2:$M$5,Lookup_Tables!$N$2:$N$5," ", -1)</f>
        <v>Established (5-10)</v>
      </c>
      <c r="R1265" s="4">
        <f t="shared" si="39"/>
        <v>2</v>
      </c>
      <c r="S1265" t="str">
        <f xml:space="preserve"> _xlfn.XLOOKUP( E1265, Lookup_Tables!$A$2:$A$6,Lookup_Tables!$B$2:$B$6," ", -1)</f>
        <v>Bachelor</v>
      </c>
      <c r="T1265" t="str">
        <f>_xlfn.XLOOKUP(G1265,Lookup_Tables!$D$2:$D$5,Lookup_Tables!$E$2:$E$5)</f>
        <v>Medium</v>
      </c>
      <c r="U1265" t="str">
        <f>_xlfn.XLOOKUP(H1265,Lookup_Tables!$D$2:$D$5,Lookup_Tables!$E$2:$E$5)</f>
        <v>Medium</v>
      </c>
      <c r="V1265" t="str">
        <f>_xlfn.XLOOKUP(L1265,Lookup_Tables!$D$2:$D$5,Lookup_Tables!$E$2:$E$5)</f>
        <v>Medium</v>
      </c>
    </row>
    <row r="1266" spans="1:22">
      <c r="A1266">
        <f>RAW_DATA!A1266</f>
        <v>55</v>
      </c>
      <c r="B1266" t="str">
        <f>RAW_DATA!B1266</f>
        <v>No</v>
      </c>
      <c r="C1266" t="str">
        <f>RAW_DATA!C1266</f>
        <v>Research &amp; Development</v>
      </c>
      <c r="D1266">
        <f>RAW_DATA!D1266</f>
        <v>2</v>
      </c>
      <c r="E1266">
        <f>RAW_DATA!E1266</f>
        <v>3</v>
      </c>
      <c r="F1266" t="str">
        <f>RAW_DATA!F1266</f>
        <v>Medical</v>
      </c>
      <c r="G1266">
        <f>RAW_DATA!G1266</f>
        <v>3</v>
      </c>
      <c r="H1266">
        <f>RAW_DATA!H1266</f>
        <v>1</v>
      </c>
      <c r="I1266" t="str">
        <f>RAW_DATA!I1266</f>
        <v>Married</v>
      </c>
      <c r="J1266">
        <f>RAW_DATA!J1266</f>
        <v>19038</v>
      </c>
      <c r="K1266">
        <f>RAW_DATA!K1266</f>
        <v>8</v>
      </c>
      <c r="L1266">
        <f>RAW_DATA!L1266</f>
        <v>3</v>
      </c>
      <c r="M1266">
        <f>RAW_DATA!M1266</f>
        <v>1</v>
      </c>
      <c r="N1266">
        <f t="shared" si="38"/>
        <v>0</v>
      </c>
      <c r="O1266" t="str">
        <f xml:space="preserve"> VLOOKUP(A1266, Lookup_Tables!$G$2:$H$6,2,TRUE)</f>
        <v>55+</v>
      </c>
      <c r="P1266" t="str">
        <f>_xlfn.XLOOKUP(J1266,Lookup_Tables!$J$2:$J$4,Lookup_Tables!$K$2:$K$4, " ",-1)</f>
        <v>High</v>
      </c>
      <c r="Q1266" t="str">
        <f xml:space="preserve"> _xlfn.XLOOKUP(M1266, Lookup_Tables!$M$2:$M$5,Lookup_Tables!$N$2:$N$5," ", -1)</f>
        <v>New (0-2)</v>
      </c>
      <c r="R1266" s="4">
        <f t="shared" si="39"/>
        <v>2.3333333333333335</v>
      </c>
      <c r="S1266" t="str">
        <f xml:space="preserve"> _xlfn.XLOOKUP( E1266, Lookup_Tables!$A$2:$A$6,Lookup_Tables!$B$2:$B$6," ", -1)</f>
        <v>Bachelor</v>
      </c>
      <c r="T1266" t="str">
        <f>_xlfn.XLOOKUP(G1266,Lookup_Tables!$D$2:$D$5,Lookup_Tables!$E$2:$E$5)</f>
        <v>High</v>
      </c>
      <c r="U1266" t="str">
        <f>_xlfn.XLOOKUP(H1266,Lookup_Tables!$D$2:$D$5,Lookup_Tables!$E$2:$E$5)</f>
        <v>Low</v>
      </c>
      <c r="V1266" t="str">
        <f>_xlfn.XLOOKUP(L1266,Lookup_Tables!$D$2:$D$5,Lookup_Tables!$E$2:$E$5)</f>
        <v>High</v>
      </c>
    </row>
    <row r="1267" spans="1:22">
      <c r="A1267">
        <f>RAW_DATA!A1267</f>
        <v>33</v>
      </c>
      <c r="B1267" t="str">
        <f>RAW_DATA!B1267</f>
        <v>No</v>
      </c>
      <c r="C1267" t="str">
        <f>RAW_DATA!C1267</f>
        <v>Research &amp; Development</v>
      </c>
      <c r="D1267">
        <f>RAW_DATA!D1267</f>
        <v>4</v>
      </c>
      <c r="E1267">
        <f>RAW_DATA!E1267</f>
        <v>3</v>
      </c>
      <c r="F1267" t="str">
        <f>RAW_DATA!F1267</f>
        <v>Technical Degree</v>
      </c>
      <c r="G1267">
        <f>RAW_DATA!G1267</f>
        <v>4</v>
      </c>
      <c r="H1267">
        <f>RAW_DATA!H1267</f>
        <v>2</v>
      </c>
      <c r="I1267" t="str">
        <f>RAW_DATA!I1267</f>
        <v>Divorced</v>
      </c>
      <c r="J1267">
        <f>RAW_DATA!J1267</f>
        <v>3055</v>
      </c>
      <c r="K1267">
        <f>RAW_DATA!K1267</f>
        <v>5</v>
      </c>
      <c r="L1267">
        <f>RAW_DATA!L1267</f>
        <v>2</v>
      </c>
      <c r="M1267">
        <f>RAW_DATA!M1267</f>
        <v>9</v>
      </c>
      <c r="N1267">
        <f t="shared" si="38"/>
        <v>0</v>
      </c>
      <c r="O1267" t="str">
        <f xml:space="preserve"> VLOOKUP(A1267, Lookup_Tables!$G$2:$H$6,2,TRUE)</f>
        <v>25-34</v>
      </c>
      <c r="P1267" t="str">
        <f>_xlfn.XLOOKUP(J1267,Lookup_Tables!$J$2:$J$4,Lookup_Tables!$K$2:$K$4, " ",-1)</f>
        <v>Medium</v>
      </c>
      <c r="Q1267" t="str">
        <f xml:space="preserve"> _xlfn.XLOOKUP(M1267, Lookup_Tables!$M$2:$M$5,Lookup_Tables!$N$2:$N$5," ", -1)</f>
        <v>Established (5-10)</v>
      </c>
      <c r="R1267" s="4">
        <f t="shared" si="39"/>
        <v>2.6666666666666665</v>
      </c>
      <c r="S1267" t="str">
        <f xml:space="preserve"> _xlfn.XLOOKUP( E1267, Lookup_Tables!$A$2:$A$6,Lookup_Tables!$B$2:$B$6," ", -1)</f>
        <v>Bachelor</v>
      </c>
      <c r="T1267" t="str">
        <f>_xlfn.XLOOKUP(G1267,Lookup_Tables!$D$2:$D$5,Lookup_Tables!$E$2:$E$5)</f>
        <v>Very High</v>
      </c>
      <c r="U1267" t="str">
        <f>_xlfn.XLOOKUP(H1267,Lookup_Tables!$D$2:$D$5,Lookup_Tables!$E$2:$E$5)</f>
        <v>Medium</v>
      </c>
      <c r="V1267" t="str">
        <f>_xlfn.XLOOKUP(L1267,Lookup_Tables!$D$2:$D$5,Lookup_Tables!$E$2:$E$5)</f>
        <v>Medium</v>
      </c>
    </row>
    <row r="1268" spans="1:22">
      <c r="A1268">
        <f>RAW_DATA!A1268</f>
        <v>41</v>
      </c>
      <c r="B1268" t="str">
        <f>RAW_DATA!B1268</f>
        <v>No</v>
      </c>
      <c r="C1268" t="str">
        <f>RAW_DATA!C1268</f>
        <v>Research &amp; Development</v>
      </c>
      <c r="D1268">
        <f>RAW_DATA!D1268</f>
        <v>9</v>
      </c>
      <c r="E1268">
        <f>RAW_DATA!E1268</f>
        <v>4</v>
      </c>
      <c r="F1268" t="str">
        <f>RAW_DATA!F1268</f>
        <v>Life Sciences</v>
      </c>
      <c r="G1268">
        <f>RAW_DATA!G1268</f>
        <v>3</v>
      </c>
      <c r="H1268">
        <f>RAW_DATA!H1268</f>
        <v>1</v>
      </c>
      <c r="I1268" t="str">
        <f>RAW_DATA!I1268</f>
        <v>Divorced</v>
      </c>
      <c r="J1268">
        <f>RAW_DATA!J1268</f>
        <v>2289</v>
      </c>
      <c r="K1268">
        <f>RAW_DATA!K1268</f>
        <v>1</v>
      </c>
      <c r="L1268">
        <f>RAW_DATA!L1268</f>
        <v>3</v>
      </c>
      <c r="M1268">
        <f>RAW_DATA!M1268</f>
        <v>5</v>
      </c>
      <c r="N1268">
        <f t="shared" si="38"/>
        <v>0</v>
      </c>
      <c r="O1268" t="str">
        <f xml:space="preserve"> VLOOKUP(A1268, Lookup_Tables!$G$2:$H$6,2,TRUE)</f>
        <v>35-44</v>
      </c>
      <c r="P1268" t="str">
        <f>_xlfn.XLOOKUP(J1268,Lookup_Tables!$J$2:$J$4,Lookup_Tables!$K$2:$K$4, " ",-1)</f>
        <v>Low</v>
      </c>
      <c r="Q1268" t="str">
        <f xml:space="preserve"> _xlfn.XLOOKUP(M1268, Lookup_Tables!$M$2:$M$5,Lookup_Tables!$N$2:$N$5," ", -1)</f>
        <v>Established (5-10)</v>
      </c>
      <c r="R1268" s="4">
        <f t="shared" si="39"/>
        <v>2.3333333333333335</v>
      </c>
      <c r="S1268" t="str">
        <f xml:space="preserve"> _xlfn.XLOOKUP( E1268, Lookup_Tables!$A$2:$A$6,Lookup_Tables!$B$2:$B$6," ", -1)</f>
        <v>Master</v>
      </c>
      <c r="T1268" t="str">
        <f>_xlfn.XLOOKUP(G1268,Lookup_Tables!$D$2:$D$5,Lookup_Tables!$E$2:$E$5)</f>
        <v>High</v>
      </c>
      <c r="U1268" t="str">
        <f>_xlfn.XLOOKUP(H1268,Lookup_Tables!$D$2:$D$5,Lookup_Tables!$E$2:$E$5)</f>
        <v>Low</v>
      </c>
      <c r="V1268" t="str">
        <f>_xlfn.XLOOKUP(L1268,Lookup_Tables!$D$2:$D$5,Lookup_Tables!$E$2:$E$5)</f>
        <v>High</v>
      </c>
    </row>
    <row r="1269" spans="1:22">
      <c r="A1269">
        <f>RAW_DATA!A1269</f>
        <v>34</v>
      </c>
      <c r="B1269" t="str">
        <f>RAW_DATA!B1269</f>
        <v>No</v>
      </c>
      <c r="C1269" t="str">
        <f>RAW_DATA!C1269</f>
        <v>Sales</v>
      </c>
      <c r="D1269">
        <f>RAW_DATA!D1269</f>
        <v>10</v>
      </c>
      <c r="E1269">
        <f>RAW_DATA!E1269</f>
        <v>3</v>
      </c>
      <c r="F1269" t="str">
        <f>RAW_DATA!F1269</f>
        <v>Life Sciences</v>
      </c>
      <c r="G1269">
        <f>RAW_DATA!G1269</f>
        <v>4</v>
      </c>
      <c r="H1269">
        <f>RAW_DATA!H1269</f>
        <v>3</v>
      </c>
      <c r="I1269" t="str">
        <f>RAW_DATA!I1269</f>
        <v>Divorced</v>
      </c>
      <c r="J1269">
        <f>RAW_DATA!J1269</f>
        <v>4001</v>
      </c>
      <c r="K1269">
        <f>RAW_DATA!K1269</f>
        <v>1</v>
      </c>
      <c r="L1269">
        <f>RAW_DATA!L1269</f>
        <v>3</v>
      </c>
      <c r="M1269">
        <f>RAW_DATA!M1269</f>
        <v>15</v>
      </c>
      <c r="N1269">
        <f t="shared" si="38"/>
        <v>0</v>
      </c>
      <c r="O1269" t="str">
        <f xml:space="preserve"> VLOOKUP(A1269, Lookup_Tables!$G$2:$H$6,2,TRUE)</f>
        <v>25-34</v>
      </c>
      <c r="P1269" t="str">
        <f>_xlfn.XLOOKUP(J1269,Lookup_Tables!$J$2:$J$4,Lookup_Tables!$K$2:$K$4, " ",-1)</f>
        <v>Medium</v>
      </c>
      <c r="Q1269" t="str">
        <f xml:space="preserve"> _xlfn.XLOOKUP(M1269, Lookup_Tables!$M$2:$M$5,Lookup_Tables!$N$2:$N$5," ", -1)</f>
        <v>Veteran (10+)</v>
      </c>
      <c r="R1269" s="4">
        <f t="shared" si="39"/>
        <v>3.3333333333333335</v>
      </c>
      <c r="S1269" t="str">
        <f xml:space="preserve"> _xlfn.XLOOKUP( E1269, Lookup_Tables!$A$2:$A$6,Lookup_Tables!$B$2:$B$6," ", -1)</f>
        <v>Bachelor</v>
      </c>
      <c r="T1269" t="str">
        <f>_xlfn.XLOOKUP(G1269,Lookup_Tables!$D$2:$D$5,Lookup_Tables!$E$2:$E$5)</f>
        <v>Very High</v>
      </c>
      <c r="U1269" t="str">
        <f>_xlfn.XLOOKUP(H1269,Lookup_Tables!$D$2:$D$5,Lookup_Tables!$E$2:$E$5)</f>
        <v>High</v>
      </c>
      <c r="V1269" t="str">
        <f>_xlfn.XLOOKUP(L1269,Lookup_Tables!$D$2:$D$5,Lookup_Tables!$E$2:$E$5)</f>
        <v>High</v>
      </c>
    </row>
    <row r="1270" spans="1:22">
      <c r="A1270">
        <f>RAW_DATA!A1270</f>
        <v>53</v>
      </c>
      <c r="B1270" t="str">
        <f>RAW_DATA!B1270</f>
        <v>No</v>
      </c>
      <c r="C1270" t="str">
        <f>RAW_DATA!C1270</f>
        <v>Research &amp; Development</v>
      </c>
      <c r="D1270">
        <f>RAW_DATA!D1270</f>
        <v>1</v>
      </c>
      <c r="E1270">
        <f>RAW_DATA!E1270</f>
        <v>4</v>
      </c>
      <c r="F1270" t="str">
        <f>RAW_DATA!F1270</f>
        <v>Medical</v>
      </c>
      <c r="G1270">
        <f>RAW_DATA!G1270</f>
        <v>1</v>
      </c>
      <c r="H1270">
        <f>RAW_DATA!H1270</f>
        <v>3</v>
      </c>
      <c r="I1270" t="str">
        <f>RAW_DATA!I1270</f>
        <v>Married</v>
      </c>
      <c r="J1270">
        <f>RAW_DATA!J1270</f>
        <v>12965</v>
      </c>
      <c r="K1270">
        <f>RAW_DATA!K1270</f>
        <v>4</v>
      </c>
      <c r="L1270">
        <f>RAW_DATA!L1270</f>
        <v>2</v>
      </c>
      <c r="M1270">
        <f>RAW_DATA!M1270</f>
        <v>3</v>
      </c>
      <c r="N1270">
        <f t="shared" si="38"/>
        <v>0</v>
      </c>
      <c r="O1270" t="str">
        <f xml:space="preserve"> VLOOKUP(A1270, Lookup_Tables!$G$2:$H$6,2,TRUE)</f>
        <v>45-54</v>
      </c>
      <c r="P1270" t="str">
        <f>_xlfn.XLOOKUP(J1270,Lookup_Tables!$J$2:$J$4,Lookup_Tables!$K$2:$K$4, " ",-1)</f>
        <v>High</v>
      </c>
      <c r="Q1270" t="str">
        <f xml:space="preserve"> _xlfn.XLOOKUP(M1270, Lookup_Tables!$M$2:$M$5,Lookup_Tables!$N$2:$N$5," ", -1)</f>
        <v>Early (2-5)</v>
      </c>
      <c r="R1270" s="4">
        <f t="shared" si="39"/>
        <v>2</v>
      </c>
      <c r="S1270" t="str">
        <f xml:space="preserve"> _xlfn.XLOOKUP( E1270, Lookup_Tables!$A$2:$A$6,Lookup_Tables!$B$2:$B$6," ", -1)</f>
        <v>Master</v>
      </c>
      <c r="T1270" t="str">
        <f>_xlfn.XLOOKUP(G1270,Lookup_Tables!$D$2:$D$5,Lookup_Tables!$E$2:$E$5)</f>
        <v>Low</v>
      </c>
      <c r="U1270" t="str">
        <f>_xlfn.XLOOKUP(H1270,Lookup_Tables!$D$2:$D$5,Lookup_Tables!$E$2:$E$5)</f>
        <v>High</v>
      </c>
      <c r="V1270" t="str">
        <f>_xlfn.XLOOKUP(L1270,Lookup_Tables!$D$2:$D$5,Lookup_Tables!$E$2:$E$5)</f>
        <v>Medium</v>
      </c>
    </row>
    <row r="1271" spans="1:22">
      <c r="A1271">
        <f>RAW_DATA!A1271</f>
        <v>43</v>
      </c>
      <c r="B1271" t="str">
        <f>RAW_DATA!B1271</f>
        <v>No</v>
      </c>
      <c r="C1271" t="str">
        <f>RAW_DATA!C1271</f>
        <v>Human Resources</v>
      </c>
      <c r="D1271">
        <f>RAW_DATA!D1271</f>
        <v>2</v>
      </c>
      <c r="E1271">
        <f>RAW_DATA!E1271</f>
        <v>3</v>
      </c>
      <c r="F1271" t="str">
        <f>RAW_DATA!F1271</f>
        <v>Life Sciences</v>
      </c>
      <c r="G1271">
        <f>RAW_DATA!G1271</f>
        <v>2</v>
      </c>
      <c r="H1271">
        <f>RAW_DATA!H1271</f>
        <v>4</v>
      </c>
      <c r="I1271" t="str">
        <f>RAW_DATA!I1271</f>
        <v>Single</v>
      </c>
      <c r="J1271">
        <f>RAW_DATA!J1271</f>
        <v>3539</v>
      </c>
      <c r="K1271">
        <f>RAW_DATA!K1271</f>
        <v>0</v>
      </c>
      <c r="L1271">
        <f>RAW_DATA!L1271</f>
        <v>3</v>
      </c>
      <c r="M1271">
        <f>RAW_DATA!M1271</f>
        <v>9</v>
      </c>
      <c r="N1271">
        <f t="shared" si="38"/>
        <v>0</v>
      </c>
      <c r="O1271" t="str">
        <f xml:space="preserve"> VLOOKUP(A1271, Lookup_Tables!$G$2:$H$6,2,TRUE)</f>
        <v>35-44</v>
      </c>
      <c r="P1271" t="str">
        <f>_xlfn.XLOOKUP(J1271,Lookup_Tables!$J$2:$J$4,Lookup_Tables!$K$2:$K$4, " ",-1)</f>
        <v>Medium</v>
      </c>
      <c r="Q1271" t="str">
        <f xml:space="preserve"> _xlfn.XLOOKUP(M1271, Lookup_Tables!$M$2:$M$5,Lookup_Tables!$N$2:$N$5," ", -1)</f>
        <v>Established (5-10)</v>
      </c>
      <c r="R1271" s="4">
        <f t="shared" si="39"/>
        <v>3</v>
      </c>
      <c r="S1271" t="str">
        <f xml:space="preserve"> _xlfn.XLOOKUP( E1271, Lookup_Tables!$A$2:$A$6,Lookup_Tables!$B$2:$B$6," ", -1)</f>
        <v>Bachelor</v>
      </c>
      <c r="T1271" t="str">
        <f>_xlfn.XLOOKUP(G1271,Lookup_Tables!$D$2:$D$5,Lookup_Tables!$E$2:$E$5)</f>
        <v>Medium</v>
      </c>
      <c r="U1271" t="str">
        <f>_xlfn.XLOOKUP(H1271,Lookup_Tables!$D$2:$D$5,Lookup_Tables!$E$2:$E$5)</f>
        <v>Very High</v>
      </c>
      <c r="V1271" t="str">
        <f>_xlfn.XLOOKUP(L1271,Lookup_Tables!$D$2:$D$5,Lookup_Tables!$E$2:$E$5)</f>
        <v>High</v>
      </c>
    </row>
    <row r="1272" spans="1:22">
      <c r="A1272">
        <f>RAW_DATA!A1272</f>
        <v>34</v>
      </c>
      <c r="B1272" t="str">
        <f>RAW_DATA!B1272</f>
        <v>No</v>
      </c>
      <c r="C1272" t="str">
        <f>RAW_DATA!C1272</f>
        <v>Sales</v>
      </c>
      <c r="D1272">
        <f>RAW_DATA!D1272</f>
        <v>3</v>
      </c>
      <c r="E1272">
        <f>RAW_DATA!E1272</f>
        <v>2</v>
      </c>
      <c r="F1272" t="str">
        <f>RAW_DATA!F1272</f>
        <v>Life Sciences</v>
      </c>
      <c r="G1272">
        <f>RAW_DATA!G1272</f>
        <v>4</v>
      </c>
      <c r="H1272">
        <f>RAW_DATA!H1272</f>
        <v>4</v>
      </c>
      <c r="I1272" t="str">
        <f>RAW_DATA!I1272</f>
        <v>Single</v>
      </c>
      <c r="J1272">
        <f>RAW_DATA!J1272</f>
        <v>6029</v>
      </c>
      <c r="K1272">
        <f>RAW_DATA!K1272</f>
        <v>5</v>
      </c>
      <c r="L1272">
        <f>RAW_DATA!L1272</f>
        <v>3</v>
      </c>
      <c r="M1272">
        <f>RAW_DATA!M1272</f>
        <v>2</v>
      </c>
      <c r="N1272">
        <f t="shared" si="38"/>
        <v>0</v>
      </c>
      <c r="O1272" t="str">
        <f xml:space="preserve"> VLOOKUP(A1272, Lookup_Tables!$G$2:$H$6,2,TRUE)</f>
        <v>25-34</v>
      </c>
      <c r="P1272" t="str">
        <f>_xlfn.XLOOKUP(J1272,Lookup_Tables!$J$2:$J$4,Lookup_Tables!$K$2:$K$4, " ",-1)</f>
        <v>Medium</v>
      </c>
      <c r="Q1272" t="str">
        <f xml:space="preserve"> _xlfn.XLOOKUP(M1272, Lookup_Tables!$M$2:$M$5,Lookup_Tables!$N$2:$N$5," ", -1)</f>
        <v>Early (2-5)</v>
      </c>
      <c r="R1272" s="4">
        <f t="shared" si="39"/>
        <v>3.6666666666666665</v>
      </c>
      <c r="S1272" t="str">
        <f xml:space="preserve"> _xlfn.XLOOKUP( E1272, Lookup_Tables!$A$2:$A$6,Lookup_Tables!$B$2:$B$6," ", -1)</f>
        <v>College</v>
      </c>
      <c r="T1272" t="str">
        <f>_xlfn.XLOOKUP(G1272,Lookup_Tables!$D$2:$D$5,Lookup_Tables!$E$2:$E$5)</f>
        <v>Very High</v>
      </c>
      <c r="U1272" t="str">
        <f>_xlfn.XLOOKUP(H1272,Lookup_Tables!$D$2:$D$5,Lookup_Tables!$E$2:$E$5)</f>
        <v>Very High</v>
      </c>
      <c r="V1272" t="str">
        <f>_xlfn.XLOOKUP(L1272,Lookup_Tables!$D$2:$D$5,Lookup_Tables!$E$2:$E$5)</f>
        <v>High</v>
      </c>
    </row>
    <row r="1273" spans="1:22">
      <c r="A1273">
        <f>RAW_DATA!A1273</f>
        <v>21</v>
      </c>
      <c r="B1273" t="str">
        <f>RAW_DATA!B1273</f>
        <v>Yes</v>
      </c>
      <c r="C1273" t="str">
        <f>RAW_DATA!C1273</f>
        <v>Sales</v>
      </c>
      <c r="D1273">
        <f>RAW_DATA!D1273</f>
        <v>7</v>
      </c>
      <c r="E1273">
        <f>RAW_DATA!E1273</f>
        <v>1</v>
      </c>
      <c r="F1273" t="str">
        <f>RAW_DATA!F1273</f>
        <v>Marketing</v>
      </c>
      <c r="G1273">
        <f>RAW_DATA!G1273</f>
        <v>2</v>
      </c>
      <c r="H1273">
        <f>RAW_DATA!H1273</f>
        <v>2</v>
      </c>
      <c r="I1273" t="str">
        <f>RAW_DATA!I1273</f>
        <v>Single</v>
      </c>
      <c r="J1273">
        <f>RAW_DATA!J1273</f>
        <v>2679</v>
      </c>
      <c r="K1273">
        <f>RAW_DATA!K1273</f>
        <v>1</v>
      </c>
      <c r="L1273">
        <f>RAW_DATA!L1273</f>
        <v>3</v>
      </c>
      <c r="M1273">
        <f>RAW_DATA!M1273</f>
        <v>1</v>
      </c>
      <c r="N1273">
        <f t="shared" si="38"/>
        <v>1</v>
      </c>
      <c r="O1273" t="str">
        <f xml:space="preserve"> VLOOKUP(A1273, Lookup_Tables!$G$2:$H$6,2,TRUE)</f>
        <v>&lt;25</v>
      </c>
      <c r="P1273" t="str">
        <f>_xlfn.XLOOKUP(J1273,Lookup_Tables!$J$2:$J$4,Lookup_Tables!$K$2:$K$4, " ",-1)</f>
        <v>Low</v>
      </c>
      <c r="Q1273" t="str">
        <f xml:space="preserve"> _xlfn.XLOOKUP(M1273, Lookup_Tables!$M$2:$M$5,Lookup_Tables!$N$2:$N$5," ", -1)</f>
        <v>New (0-2)</v>
      </c>
      <c r="R1273" s="4">
        <f t="shared" si="39"/>
        <v>2.3333333333333335</v>
      </c>
      <c r="S1273" t="str">
        <f xml:space="preserve"> _xlfn.XLOOKUP( E1273, Lookup_Tables!$A$2:$A$6,Lookup_Tables!$B$2:$B$6," ", -1)</f>
        <v>Below College</v>
      </c>
      <c r="T1273" t="str">
        <f>_xlfn.XLOOKUP(G1273,Lookup_Tables!$D$2:$D$5,Lookup_Tables!$E$2:$E$5)</f>
        <v>Medium</v>
      </c>
      <c r="U1273" t="str">
        <f>_xlfn.XLOOKUP(H1273,Lookup_Tables!$D$2:$D$5,Lookup_Tables!$E$2:$E$5)</f>
        <v>Medium</v>
      </c>
      <c r="V1273" t="str">
        <f>_xlfn.XLOOKUP(L1273,Lookup_Tables!$D$2:$D$5,Lookup_Tables!$E$2:$E$5)</f>
        <v>High</v>
      </c>
    </row>
    <row r="1274" spans="1:22">
      <c r="A1274">
        <f>RAW_DATA!A1274</f>
        <v>38</v>
      </c>
      <c r="B1274" t="str">
        <f>RAW_DATA!B1274</f>
        <v>No</v>
      </c>
      <c r="C1274" t="str">
        <f>RAW_DATA!C1274</f>
        <v>Research &amp; Development</v>
      </c>
      <c r="D1274">
        <f>RAW_DATA!D1274</f>
        <v>6</v>
      </c>
      <c r="E1274">
        <f>RAW_DATA!E1274</f>
        <v>2</v>
      </c>
      <c r="F1274" t="str">
        <f>RAW_DATA!F1274</f>
        <v>Other</v>
      </c>
      <c r="G1274">
        <f>RAW_DATA!G1274</f>
        <v>4</v>
      </c>
      <c r="H1274">
        <f>RAW_DATA!H1274</f>
        <v>3</v>
      </c>
      <c r="I1274" t="str">
        <f>RAW_DATA!I1274</f>
        <v>Married</v>
      </c>
      <c r="J1274">
        <f>RAW_DATA!J1274</f>
        <v>3702</v>
      </c>
      <c r="K1274">
        <f>RAW_DATA!K1274</f>
        <v>1</v>
      </c>
      <c r="L1274">
        <f>RAW_DATA!L1274</f>
        <v>3</v>
      </c>
      <c r="M1274">
        <f>RAW_DATA!M1274</f>
        <v>5</v>
      </c>
      <c r="N1274">
        <f t="shared" si="38"/>
        <v>0</v>
      </c>
      <c r="O1274" t="str">
        <f xml:space="preserve"> VLOOKUP(A1274, Lookup_Tables!$G$2:$H$6,2,TRUE)</f>
        <v>35-44</v>
      </c>
      <c r="P1274" t="str">
        <f>_xlfn.XLOOKUP(J1274,Lookup_Tables!$J$2:$J$4,Lookup_Tables!$K$2:$K$4, " ",-1)</f>
        <v>Medium</v>
      </c>
      <c r="Q1274" t="str">
        <f xml:space="preserve"> _xlfn.XLOOKUP(M1274, Lookup_Tables!$M$2:$M$5,Lookup_Tables!$N$2:$N$5," ", -1)</f>
        <v>Established (5-10)</v>
      </c>
      <c r="R1274" s="4">
        <f t="shared" si="39"/>
        <v>3.3333333333333335</v>
      </c>
      <c r="S1274" t="str">
        <f xml:space="preserve"> _xlfn.XLOOKUP( E1274, Lookup_Tables!$A$2:$A$6,Lookup_Tables!$B$2:$B$6," ", -1)</f>
        <v>College</v>
      </c>
      <c r="T1274" t="str">
        <f>_xlfn.XLOOKUP(G1274,Lookup_Tables!$D$2:$D$5,Lookup_Tables!$E$2:$E$5)</f>
        <v>Very High</v>
      </c>
      <c r="U1274" t="str">
        <f>_xlfn.XLOOKUP(H1274,Lookup_Tables!$D$2:$D$5,Lookup_Tables!$E$2:$E$5)</f>
        <v>High</v>
      </c>
      <c r="V1274" t="str">
        <f>_xlfn.XLOOKUP(L1274,Lookup_Tables!$D$2:$D$5,Lookup_Tables!$E$2:$E$5)</f>
        <v>High</v>
      </c>
    </row>
    <row r="1275" spans="1:22">
      <c r="A1275">
        <f>RAW_DATA!A1275</f>
        <v>22</v>
      </c>
      <c r="B1275" t="str">
        <f>RAW_DATA!B1275</f>
        <v>Yes</v>
      </c>
      <c r="C1275" t="str">
        <f>RAW_DATA!C1275</f>
        <v>Research &amp; Development</v>
      </c>
      <c r="D1275">
        <f>RAW_DATA!D1275</f>
        <v>8</v>
      </c>
      <c r="E1275">
        <f>RAW_DATA!E1275</f>
        <v>1</v>
      </c>
      <c r="F1275" t="str">
        <f>RAW_DATA!F1275</f>
        <v>Medical</v>
      </c>
      <c r="G1275">
        <f>RAW_DATA!G1275</f>
        <v>3</v>
      </c>
      <c r="H1275">
        <f>RAW_DATA!H1275</f>
        <v>1</v>
      </c>
      <c r="I1275" t="str">
        <f>RAW_DATA!I1275</f>
        <v>Married</v>
      </c>
      <c r="J1275">
        <f>RAW_DATA!J1275</f>
        <v>2398</v>
      </c>
      <c r="K1275">
        <f>RAW_DATA!K1275</f>
        <v>1</v>
      </c>
      <c r="L1275">
        <f>RAW_DATA!L1275</f>
        <v>3</v>
      </c>
      <c r="M1275">
        <f>RAW_DATA!M1275</f>
        <v>1</v>
      </c>
      <c r="N1275">
        <f t="shared" si="38"/>
        <v>1</v>
      </c>
      <c r="O1275" t="str">
        <f xml:space="preserve"> VLOOKUP(A1275, Lookup_Tables!$G$2:$H$6,2,TRUE)</f>
        <v>&lt;25</v>
      </c>
      <c r="P1275" t="str">
        <f>_xlfn.XLOOKUP(J1275,Lookup_Tables!$J$2:$J$4,Lookup_Tables!$K$2:$K$4, " ",-1)</f>
        <v>Low</v>
      </c>
      <c r="Q1275" t="str">
        <f xml:space="preserve"> _xlfn.XLOOKUP(M1275, Lookup_Tables!$M$2:$M$5,Lookup_Tables!$N$2:$N$5," ", -1)</f>
        <v>New (0-2)</v>
      </c>
      <c r="R1275" s="4">
        <f t="shared" si="39"/>
        <v>2.3333333333333335</v>
      </c>
      <c r="S1275" t="str">
        <f xml:space="preserve"> _xlfn.XLOOKUP( E1275, Lookup_Tables!$A$2:$A$6,Lookup_Tables!$B$2:$B$6," ", -1)</f>
        <v>Below College</v>
      </c>
      <c r="T1275" t="str">
        <f>_xlfn.XLOOKUP(G1275,Lookup_Tables!$D$2:$D$5,Lookup_Tables!$E$2:$E$5)</f>
        <v>High</v>
      </c>
      <c r="U1275" t="str">
        <f>_xlfn.XLOOKUP(H1275,Lookup_Tables!$D$2:$D$5,Lookup_Tables!$E$2:$E$5)</f>
        <v>Low</v>
      </c>
      <c r="V1275" t="str">
        <f>_xlfn.XLOOKUP(L1275,Lookup_Tables!$D$2:$D$5,Lookup_Tables!$E$2:$E$5)</f>
        <v>High</v>
      </c>
    </row>
    <row r="1276" spans="1:22">
      <c r="A1276">
        <f>RAW_DATA!A1276</f>
        <v>31</v>
      </c>
      <c r="B1276" t="str">
        <f>RAW_DATA!B1276</f>
        <v>No</v>
      </c>
      <c r="C1276" t="str">
        <f>RAW_DATA!C1276</f>
        <v>Sales</v>
      </c>
      <c r="D1276">
        <f>RAW_DATA!D1276</f>
        <v>29</v>
      </c>
      <c r="E1276">
        <f>RAW_DATA!E1276</f>
        <v>4</v>
      </c>
      <c r="F1276" t="str">
        <f>RAW_DATA!F1276</f>
        <v>Marketing</v>
      </c>
      <c r="G1276">
        <f>RAW_DATA!G1276</f>
        <v>1</v>
      </c>
      <c r="H1276">
        <f>RAW_DATA!H1276</f>
        <v>4</v>
      </c>
      <c r="I1276" t="str">
        <f>RAW_DATA!I1276</f>
        <v>Married</v>
      </c>
      <c r="J1276">
        <f>RAW_DATA!J1276</f>
        <v>5468</v>
      </c>
      <c r="K1276">
        <f>RAW_DATA!K1276</f>
        <v>1</v>
      </c>
      <c r="L1276">
        <f>RAW_DATA!L1276</f>
        <v>3</v>
      </c>
      <c r="M1276">
        <f>RAW_DATA!M1276</f>
        <v>12</v>
      </c>
      <c r="N1276">
        <f t="shared" si="38"/>
        <v>0</v>
      </c>
      <c r="O1276" t="str">
        <f xml:space="preserve"> VLOOKUP(A1276, Lookup_Tables!$G$2:$H$6,2,TRUE)</f>
        <v>25-34</v>
      </c>
      <c r="P1276" t="str">
        <f>_xlfn.XLOOKUP(J1276,Lookup_Tables!$J$2:$J$4,Lookup_Tables!$K$2:$K$4, " ",-1)</f>
        <v>Medium</v>
      </c>
      <c r="Q1276" t="str">
        <f xml:space="preserve"> _xlfn.XLOOKUP(M1276, Lookup_Tables!$M$2:$M$5,Lookup_Tables!$N$2:$N$5," ", -1)</f>
        <v>Veteran (10+)</v>
      </c>
      <c r="R1276" s="4">
        <f t="shared" si="39"/>
        <v>2.6666666666666665</v>
      </c>
      <c r="S1276" t="str">
        <f xml:space="preserve"> _xlfn.XLOOKUP( E1276, Lookup_Tables!$A$2:$A$6,Lookup_Tables!$B$2:$B$6," ", -1)</f>
        <v>Master</v>
      </c>
      <c r="T1276" t="str">
        <f>_xlfn.XLOOKUP(G1276,Lookup_Tables!$D$2:$D$5,Lookup_Tables!$E$2:$E$5)</f>
        <v>Low</v>
      </c>
      <c r="U1276" t="str">
        <f>_xlfn.XLOOKUP(H1276,Lookup_Tables!$D$2:$D$5,Lookup_Tables!$E$2:$E$5)</f>
        <v>Very High</v>
      </c>
      <c r="V1276" t="str">
        <f>_xlfn.XLOOKUP(L1276,Lookup_Tables!$D$2:$D$5,Lookup_Tables!$E$2:$E$5)</f>
        <v>High</v>
      </c>
    </row>
    <row r="1277" spans="1:22">
      <c r="A1277">
        <f>RAW_DATA!A1277</f>
        <v>51</v>
      </c>
      <c r="B1277" t="str">
        <f>RAW_DATA!B1277</f>
        <v>No</v>
      </c>
      <c r="C1277" t="str">
        <f>RAW_DATA!C1277</f>
        <v>Research &amp; Development</v>
      </c>
      <c r="D1277">
        <f>RAW_DATA!D1277</f>
        <v>3</v>
      </c>
      <c r="E1277">
        <f>RAW_DATA!E1277</f>
        <v>3</v>
      </c>
      <c r="F1277" t="str">
        <f>RAW_DATA!F1277</f>
        <v>Technical Degree</v>
      </c>
      <c r="G1277">
        <f>RAW_DATA!G1277</f>
        <v>1</v>
      </c>
      <c r="H1277">
        <f>RAW_DATA!H1277</f>
        <v>3</v>
      </c>
      <c r="I1277" t="str">
        <f>RAW_DATA!I1277</f>
        <v>Married</v>
      </c>
      <c r="J1277">
        <f>RAW_DATA!J1277</f>
        <v>13116</v>
      </c>
      <c r="K1277">
        <f>RAW_DATA!K1277</f>
        <v>2</v>
      </c>
      <c r="L1277">
        <f>RAW_DATA!L1277</f>
        <v>3</v>
      </c>
      <c r="M1277">
        <f>RAW_DATA!M1277</f>
        <v>2</v>
      </c>
      <c r="N1277">
        <f t="shared" si="38"/>
        <v>0</v>
      </c>
      <c r="O1277" t="str">
        <f xml:space="preserve"> VLOOKUP(A1277, Lookup_Tables!$G$2:$H$6,2,TRUE)</f>
        <v>45-54</v>
      </c>
      <c r="P1277" t="str">
        <f>_xlfn.XLOOKUP(J1277,Lookup_Tables!$J$2:$J$4,Lookup_Tables!$K$2:$K$4, " ",-1)</f>
        <v>High</v>
      </c>
      <c r="Q1277" t="str">
        <f xml:space="preserve"> _xlfn.XLOOKUP(M1277, Lookup_Tables!$M$2:$M$5,Lookup_Tables!$N$2:$N$5," ", -1)</f>
        <v>Early (2-5)</v>
      </c>
      <c r="R1277" s="4">
        <f t="shared" si="39"/>
        <v>2.3333333333333335</v>
      </c>
      <c r="S1277" t="str">
        <f xml:space="preserve"> _xlfn.XLOOKUP( E1277, Lookup_Tables!$A$2:$A$6,Lookup_Tables!$B$2:$B$6," ", -1)</f>
        <v>Bachelor</v>
      </c>
      <c r="T1277" t="str">
        <f>_xlfn.XLOOKUP(G1277,Lookup_Tables!$D$2:$D$5,Lookup_Tables!$E$2:$E$5)</f>
        <v>Low</v>
      </c>
      <c r="U1277" t="str">
        <f>_xlfn.XLOOKUP(H1277,Lookup_Tables!$D$2:$D$5,Lookup_Tables!$E$2:$E$5)</f>
        <v>High</v>
      </c>
      <c r="V1277" t="str">
        <f>_xlfn.XLOOKUP(L1277,Lookup_Tables!$D$2:$D$5,Lookup_Tables!$E$2:$E$5)</f>
        <v>High</v>
      </c>
    </row>
    <row r="1278" spans="1:22">
      <c r="A1278">
        <f>RAW_DATA!A1278</f>
        <v>37</v>
      </c>
      <c r="B1278" t="str">
        <f>RAW_DATA!B1278</f>
        <v>No</v>
      </c>
      <c r="C1278" t="str">
        <f>RAW_DATA!C1278</f>
        <v>Sales</v>
      </c>
      <c r="D1278">
        <f>RAW_DATA!D1278</f>
        <v>9</v>
      </c>
      <c r="E1278">
        <f>RAW_DATA!E1278</f>
        <v>2</v>
      </c>
      <c r="F1278" t="str">
        <f>RAW_DATA!F1278</f>
        <v>Marketing</v>
      </c>
      <c r="G1278">
        <f>RAW_DATA!G1278</f>
        <v>2</v>
      </c>
      <c r="H1278">
        <f>RAW_DATA!H1278</f>
        <v>2</v>
      </c>
      <c r="I1278" t="str">
        <f>RAW_DATA!I1278</f>
        <v>Married</v>
      </c>
      <c r="J1278">
        <f>RAW_DATA!J1278</f>
        <v>4189</v>
      </c>
      <c r="K1278">
        <f>RAW_DATA!K1278</f>
        <v>1</v>
      </c>
      <c r="L1278">
        <f>RAW_DATA!L1278</f>
        <v>3</v>
      </c>
      <c r="M1278">
        <f>RAW_DATA!M1278</f>
        <v>5</v>
      </c>
      <c r="N1278">
        <f t="shared" si="38"/>
        <v>0</v>
      </c>
      <c r="O1278" t="str">
        <f xml:space="preserve"> VLOOKUP(A1278, Lookup_Tables!$G$2:$H$6,2,TRUE)</f>
        <v>35-44</v>
      </c>
      <c r="P1278" t="str">
        <f>_xlfn.XLOOKUP(J1278,Lookup_Tables!$J$2:$J$4,Lookup_Tables!$K$2:$K$4, " ",-1)</f>
        <v>Medium</v>
      </c>
      <c r="Q1278" t="str">
        <f xml:space="preserve"> _xlfn.XLOOKUP(M1278, Lookup_Tables!$M$2:$M$5,Lookup_Tables!$N$2:$N$5," ", -1)</f>
        <v>Established (5-10)</v>
      </c>
      <c r="R1278" s="4">
        <f t="shared" si="39"/>
        <v>2.3333333333333335</v>
      </c>
      <c r="S1278" t="str">
        <f xml:space="preserve"> _xlfn.XLOOKUP( E1278, Lookup_Tables!$A$2:$A$6,Lookup_Tables!$B$2:$B$6," ", -1)</f>
        <v>College</v>
      </c>
      <c r="T1278" t="str">
        <f>_xlfn.XLOOKUP(G1278,Lookup_Tables!$D$2:$D$5,Lookup_Tables!$E$2:$E$5)</f>
        <v>Medium</v>
      </c>
      <c r="U1278" t="str">
        <f>_xlfn.XLOOKUP(H1278,Lookup_Tables!$D$2:$D$5,Lookup_Tables!$E$2:$E$5)</f>
        <v>Medium</v>
      </c>
      <c r="V1278" t="str">
        <f>_xlfn.XLOOKUP(L1278,Lookup_Tables!$D$2:$D$5,Lookup_Tables!$E$2:$E$5)</f>
        <v>High</v>
      </c>
    </row>
    <row r="1279" spans="1:22">
      <c r="A1279">
        <f>RAW_DATA!A1279</f>
        <v>46</v>
      </c>
      <c r="B1279" t="str">
        <f>RAW_DATA!B1279</f>
        <v>No</v>
      </c>
      <c r="C1279" t="str">
        <f>RAW_DATA!C1279</f>
        <v>Research &amp; Development</v>
      </c>
      <c r="D1279">
        <f>RAW_DATA!D1279</f>
        <v>2</v>
      </c>
      <c r="E1279">
        <f>RAW_DATA!E1279</f>
        <v>4</v>
      </c>
      <c r="F1279" t="str">
        <f>RAW_DATA!F1279</f>
        <v>Medical</v>
      </c>
      <c r="G1279">
        <f>RAW_DATA!G1279</f>
        <v>3</v>
      </c>
      <c r="H1279">
        <f>RAW_DATA!H1279</f>
        <v>4</v>
      </c>
      <c r="I1279" t="str">
        <f>RAW_DATA!I1279</f>
        <v>Divorced</v>
      </c>
      <c r="J1279">
        <f>RAW_DATA!J1279</f>
        <v>19328</v>
      </c>
      <c r="K1279">
        <f>RAW_DATA!K1279</f>
        <v>7</v>
      </c>
      <c r="L1279">
        <f>RAW_DATA!L1279</f>
        <v>3</v>
      </c>
      <c r="M1279">
        <f>RAW_DATA!M1279</f>
        <v>2</v>
      </c>
      <c r="N1279">
        <f t="shared" si="38"/>
        <v>0</v>
      </c>
      <c r="O1279" t="str">
        <f xml:space="preserve"> VLOOKUP(A1279, Lookup_Tables!$G$2:$H$6,2,TRUE)</f>
        <v>45-54</v>
      </c>
      <c r="P1279" t="str">
        <f>_xlfn.XLOOKUP(J1279,Lookup_Tables!$J$2:$J$4,Lookup_Tables!$K$2:$K$4, " ",-1)</f>
        <v>High</v>
      </c>
      <c r="Q1279" t="str">
        <f xml:space="preserve"> _xlfn.XLOOKUP(M1279, Lookup_Tables!$M$2:$M$5,Lookup_Tables!$N$2:$N$5," ", -1)</f>
        <v>Early (2-5)</v>
      </c>
      <c r="R1279" s="4">
        <f t="shared" si="39"/>
        <v>3.3333333333333335</v>
      </c>
      <c r="S1279" t="str">
        <f xml:space="preserve"> _xlfn.XLOOKUP( E1279, Lookup_Tables!$A$2:$A$6,Lookup_Tables!$B$2:$B$6," ", -1)</f>
        <v>Master</v>
      </c>
      <c r="T1279" t="str">
        <f>_xlfn.XLOOKUP(G1279,Lookup_Tables!$D$2:$D$5,Lookup_Tables!$E$2:$E$5)</f>
        <v>High</v>
      </c>
      <c r="U1279" t="str">
        <f>_xlfn.XLOOKUP(H1279,Lookup_Tables!$D$2:$D$5,Lookup_Tables!$E$2:$E$5)</f>
        <v>Very High</v>
      </c>
      <c r="V1279" t="str">
        <f>_xlfn.XLOOKUP(L1279,Lookup_Tables!$D$2:$D$5,Lookup_Tables!$E$2:$E$5)</f>
        <v>High</v>
      </c>
    </row>
    <row r="1280" spans="1:22">
      <c r="A1280">
        <f>RAW_DATA!A1280</f>
        <v>36</v>
      </c>
      <c r="B1280" t="str">
        <f>RAW_DATA!B1280</f>
        <v>No</v>
      </c>
      <c r="C1280" t="str">
        <f>RAW_DATA!C1280</f>
        <v>Research &amp; Development</v>
      </c>
      <c r="D1280">
        <f>RAW_DATA!D1280</f>
        <v>10</v>
      </c>
      <c r="E1280">
        <f>RAW_DATA!E1280</f>
        <v>3</v>
      </c>
      <c r="F1280" t="str">
        <f>RAW_DATA!F1280</f>
        <v>Life Sciences</v>
      </c>
      <c r="G1280">
        <f>RAW_DATA!G1280</f>
        <v>4</v>
      </c>
      <c r="H1280">
        <f>RAW_DATA!H1280</f>
        <v>1</v>
      </c>
      <c r="I1280" t="str">
        <f>RAW_DATA!I1280</f>
        <v>Married</v>
      </c>
      <c r="J1280">
        <f>RAW_DATA!J1280</f>
        <v>8321</v>
      </c>
      <c r="K1280">
        <f>RAW_DATA!K1280</f>
        <v>7</v>
      </c>
      <c r="L1280">
        <f>RAW_DATA!L1280</f>
        <v>3</v>
      </c>
      <c r="M1280">
        <f>RAW_DATA!M1280</f>
        <v>12</v>
      </c>
      <c r="N1280">
        <f t="shared" si="38"/>
        <v>0</v>
      </c>
      <c r="O1280" t="str">
        <f xml:space="preserve"> VLOOKUP(A1280, Lookup_Tables!$G$2:$H$6,2,TRUE)</f>
        <v>35-44</v>
      </c>
      <c r="P1280" t="str">
        <f>_xlfn.XLOOKUP(J1280,Lookup_Tables!$J$2:$J$4,Lookup_Tables!$K$2:$K$4, " ",-1)</f>
        <v>High</v>
      </c>
      <c r="Q1280" t="str">
        <f xml:space="preserve"> _xlfn.XLOOKUP(M1280, Lookup_Tables!$M$2:$M$5,Lookup_Tables!$N$2:$N$5," ", -1)</f>
        <v>Veteran (10+)</v>
      </c>
      <c r="R1280" s="4">
        <f t="shared" si="39"/>
        <v>2.6666666666666665</v>
      </c>
      <c r="S1280" t="str">
        <f xml:space="preserve"> _xlfn.XLOOKUP( E1280, Lookup_Tables!$A$2:$A$6,Lookup_Tables!$B$2:$B$6," ", -1)</f>
        <v>Bachelor</v>
      </c>
      <c r="T1280" t="str">
        <f>_xlfn.XLOOKUP(G1280,Lookup_Tables!$D$2:$D$5,Lookup_Tables!$E$2:$E$5)</f>
        <v>Very High</v>
      </c>
      <c r="U1280" t="str">
        <f>_xlfn.XLOOKUP(H1280,Lookup_Tables!$D$2:$D$5,Lookup_Tables!$E$2:$E$5)</f>
        <v>Low</v>
      </c>
      <c r="V1280" t="str">
        <f>_xlfn.XLOOKUP(L1280,Lookup_Tables!$D$2:$D$5,Lookup_Tables!$E$2:$E$5)</f>
        <v>High</v>
      </c>
    </row>
    <row r="1281" spans="1:22">
      <c r="A1281">
        <f>RAW_DATA!A1281</f>
        <v>44</v>
      </c>
      <c r="B1281" t="str">
        <f>RAW_DATA!B1281</f>
        <v>Yes</v>
      </c>
      <c r="C1281" t="str">
        <f>RAW_DATA!C1281</f>
        <v>Research &amp; Development</v>
      </c>
      <c r="D1281">
        <f>RAW_DATA!D1281</f>
        <v>1</v>
      </c>
      <c r="E1281">
        <f>RAW_DATA!E1281</f>
        <v>2</v>
      </c>
      <c r="F1281" t="str">
        <f>RAW_DATA!F1281</f>
        <v>Medical</v>
      </c>
      <c r="G1281">
        <f>RAW_DATA!G1281</f>
        <v>3</v>
      </c>
      <c r="H1281">
        <f>RAW_DATA!H1281</f>
        <v>2</v>
      </c>
      <c r="I1281" t="str">
        <f>RAW_DATA!I1281</f>
        <v>Divorced</v>
      </c>
      <c r="J1281">
        <f>RAW_DATA!J1281</f>
        <v>2342</v>
      </c>
      <c r="K1281">
        <f>RAW_DATA!K1281</f>
        <v>1</v>
      </c>
      <c r="L1281">
        <f>RAW_DATA!L1281</f>
        <v>2</v>
      </c>
      <c r="M1281">
        <f>RAW_DATA!M1281</f>
        <v>5</v>
      </c>
      <c r="N1281">
        <f t="shared" si="38"/>
        <v>1</v>
      </c>
      <c r="O1281" t="str">
        <f xml:space="preserve"> VLOOKUP(A1281, Lookup_Tables!$G$2:$H$6,2,TRUE)</f>
        <v>35-44</v>
      </c>
      <c r="P1281" t="str">
        <f>_xlfn.XLOOKUP(J1281,Lookup_Tables!$J$2:$J$4,Lookup_Tables!$K$2:$K$4, " ",-1)</f>
        <v>Low</v>
      </c>
      <c r="Q1281" t="str">
        <f xml:space="preserve"> _xlfn.XLOOKUP(M1281, Lookup_Tables!$M$2:$M$5,Lookup_Tables!$N$2:$N$5," ", -1)</f>
        <v>Established (5-10)</v>
      </c>
      <c r="R1281" s="4">
        <f t="shared" si="39"/>
        <v>2.3333333333333335</v>
      </c>
      <c r="S1281" t="str">
        <f xml:space="preserve"> _xlfn.XLOOKUP( E1281, Lookup_Tables!$A$2:$A$6,Lookup_Tables!$B$2:$B$6," ", -1)</f>
        <v>College</v>
      </c>
      <c r="T1281" t="str">
        <f>_xlfn.XLOOKUP(G1281,Lookup_Tables!$D$2:$D$5,Lookup_Tables!$E$2:$E$5)</f>
        <v>High</v>
      </c>
      <c r="U1281" t="str">
        <f>_xlfn.XLOOKUP(H1281,Lookup_Tables!$D$2:$D$5,Lookup_Tables!$E$2:$E$5)</f>
        <v>Medium</v>
      </c>
      <c r="V1281" t="str">
        <f>_xlfn.XLOOKUP(L1281,Lookup_Tables!$D$2:$D$5,Lookup_Tables!$E$2:$E$5)</f>
        <v>Medium</v>
      </c>
    </row>
    <row r="1282" spans="1:22">
      <c r="A1282">
        <f>RAW_DATA!A1282</f>
        <v>37</v>
      </c>
      <c r="B1282" t="str">
        <f>RAW_DATA!B1282</f>
        <v>No</v>
      </c>
      <c r="C1282" t="str">
        <f>RAW_DATA!C1282</f>
        <v>Human Resources</v>
      </c>
      <c r="D1282">
        <f>RAW_DATA!D1282</f>
        <v>8</v>
      </c>
      <c r="E1282">
        <f>RAW_DATA!E1282</f>
        <v>2</v>
      </c>
      <c r="F1282" t="str">
        <f>RAW_DATA!F1282</f>
        <v>Other</v>
      </c>
      <c r="G1282">
        <f>RAW_DATA!G1282</f>
        <v>3</v>
      </c>
      <c r="H1282">
        <f>RAW_DATA!H1282</f>
        <v>2</v>
      </c>
      <c r="I1282" t="str">
        <f>RAW_DATA!I1282</f>
        <v>Divorced</v>
      </c>
      <c r="J1282">
        <f>RAW_DATA!J1282</f>
        <v>4071</v>
      </c>
      <c r="K1282">
        <f>RAW_DATA!K1282</f>
        <v>2</v>
      </c>
      <c r="L1282">
        <f>RAW_DATA!L1282</f>
        <v>2</v>
      </c>
      <c r="M1282">
        <f>RAW_DATA!M1282</f>
        <v>10</v>
      </c>
      <c r="N1282">
        <f t="shared" si="38"/>
        <v>0</v>
      </c>
      <c r="O1282" t="str">
        <f xml:space="preserve"> VLOOKUP(A1282, Lookup_Tables!$G$2:$H$6,2,TRUE)</f>
        <v>35-44</v>
      </c>
      <c r="P1282" t="str">
        <f>_xlfn.XLOOKUP(J1282,Lookup_Tables!$J$2:$J$4,Lookup_Tables!$K$2:$K$4, " ",-1)</f>
        <v>Medium</v>
      </c>
      <c r="Q1282" t="str">
        <f xml:space="preserve"> _xlfn.XLOOKUP(M1282, Lookup_Tables!$M$2:$M$5,Lookup_Tables!$N$2:$N$5," ", -1)</f>
        <v>Veteran (10+)</v>
      </c>
      <c r="R1282" s="4">
        <f t="shared" si="39"/>
        <v>2.3333333333333335</v>
      </c>
      <c r="S1282" t="str">
        <f xml:space="preserve"> _xlfn.XLOOKUP( E1282, Lookup_Tables!$A$2:$A$6,Lookup_Tables!$B$2:$B$6," ", -1)</f>
        <v>College</v>
      </c>
      <c r="T1282" t="str">
        <f>_xlfn.XLOOKUP(G1282,Lookup_Tables!$D$2:$D$5,Lookup_Tables!$E$2:$E$5)</f>
        <v>High</v>
      </c>
      <c r="U1282" t="str">
        <f>_xlfn.XLOOKUP(H1282,Lookup_Tables!$D$2:$D$5,Lookup_Tables!$E$2:$E$5)</f>
        <v>Medium</v>
      </c>
      <c r="V1282" t="str">
        <f>_xlfn.XLOOKUP(L1282,Lookup_Tables!$D$2:$D$5,Lookup_Tables!$E$2:$E$5)</f>
        <v>Medium</v>
      </c>
    </row>
    <row r="1283" spans="1:22">
      <c r="A1283">
        <f>RAW_DATA!A1283</f>
        <v>35</v>
      </c>
      <c r="B1283" t="str">
        <f>RAW_DATA!B1283</f>
        <v>Yes</v>
      </c>
      <c r="C1283" t="str">
        <f>RAW_DATA!C1283</f>
        <v>Sales</v>
      </c>
      <c r="D1283">
        <f>RAW_DATA!D1283</f>
        <v>27</v>
      </c>
      <c r="E1283">
        <f>RAW_DATA!E1283</f>
        <v>3</v>
      </c>
      <c r="F1283" t="str">
        <f>RAW_DATA!F1283</f>
        <v>Life Sciences</v>
      </c>
      <c r="G1283">
        <f>RAW_DATA!G1283</f>
        <v>3</v>
      </c>
      <c r="H1283">
        <f>RAW_DATA!H1283</f>
        <v>4</v>
      </c>
      <c r="I1283" t="str">
        <f>RAW_DATA!I1283</f>
        <v>Single</v>
      </c>
      <c r="J1283">
        <f>RAW_DATA!J1283</f>
        <v>5813</v>
      </c>
      <c r="K1283">
        <f>RAW_DATA!K1283</f>
        <v>1</v>
      </c>
      <c r="L1283">
        <f>RAW_DATA!L1283</f>
        <v>3</v>
      </c>
      <c r="M1283">
        <f>RAW_DATA!M1283</f>
        <v>10</v>
      </c>
      <c r="N1283">
        <f t="shared" ref="N1283:N1346" si="40" xml:space="preserve"> IF(B1283 ="Yes",1,0)</f>
        <v>1</v>
      </c>
      <c r="O1283" t="str">
        <f xml:space="preserve"> VLOOKUP(A1283, Lookup_Tables!$G$2:$H$6,2,TRUE)</f>
        <v>35-44</v>
      </c>
      <c r="P1283" t="str">
        <f>_xlfn.XLOOKUP(J1283,Lookup_Tables!$J$2:$J$4,Lookup_Tables!$K$2:$K$4, " ",-1)</f>
        <v>Medium</v>
      </c>
      <c r="Q1283" t="str">
        <f xml:space="preserve"> _xlfn.XLOOKUP(M1283, Lookup_Tables!$M$2:$M$5,Lookup_Tables!$N$2:$N$5," ", -1)</f>
        <v>Veteran (10+)</v>
      </c>
      <c r="R1283" s="4">
        <f t="shared" ref="R1283:R1346" si="41">AVERAGE(G1283,H1283,L1283)</f>
        <v>3.3333333333333335</v>
      </c>
      <c r="S1283" t="str">
        <f xml:space="preserve"> _xlfn.XLOOKUP( E1283, Lookup_Tables!$A$2:$A$6,Lookup_Tables!$B$2:$B$6," ", -1)</f>
        <v>Bachelor</v>
      </c>
      <c r="T1283" t="str">
        <f>_xlfn.XLOOKUP(G1283,Lookup_Tables!$D$2:$D$5,Lookup_Tables!$E$2:$E$5)</f>
        <v>High</v>
      </c>
      <c r="U1283" t="str">
        <f>_xlfn.XLOOKUP(H1283,Lookup_Tables!$D$2:$D$5,Lookup_Tables!$E$2:$E$5)</f>
        <v>Very High</v>
      </c>
      <c r="V1283" t="str">
        <f>_xlfn.XLOOKUP(L1283,Lookup_Tables!$D$2:$D$5,Lookup_Tables!$E$2:$E$5)</f>
        <v>High</v>
      </c>
    </row>
    <row r="1284" spans="1:22">
      <c r="A1284">
        <f>RAW_DATA!A1284</f>
        <v>33</v>
      </c>
      <c r="B1284" t="str">
        <f>RAW_DATA!B1284</f>
        <v>No</v>
      </c>
      <c r="C1284" t="str">
        <f>RAW_DATA!C1284</f>
        <v>Research &amp; Development</v>
      </c>
      <c r="D1284">
        <f>RAW_DATA!D1284</f>
        <v>8</v>
      </c>
      <c r="E1284">
        <f>RAW_DATA!E1284</f>
        <v>4</v>
      </c>
      <c r="F1284" t="str">
        <f>RAW_DATA!F1284</f>
        <v>Life Sciences</v>
      </c>
      <c r="G1284">
        <f>RAW_DATA!G1284</f>
        <v>4</v>
      </c>
      <c r="H1284">
        <f>RAW_DATA!H1284</f>
        <v>1</v>
      </c>
      <c r="I1284" t="str">
        <f>RAW_DATA!I1284</f>
        <v>Married</v>
      </c>
      <c r="J1284">
        <f>RAW_DATA!J1284</f>
        <v>3143</v>
      </c>
      <c r="K1284">
        <f>RAW_DATA!K1284</f>
        <v>6</v>
      </c>
      <c r="L1284">
        <f>RAW_DATA!L1284</f>
        <v>3</v>
      </c>
      <c r="M1284">
        <f>RAW_DATA!M1284</f>
        <v>10</v>
      </c>
      <c r="N1284">
        <f t="shared" si="40"/>
        <v>0</v>
      </c>
      <c r="O1284" t="str">
        <f xml:space="preserve"> VLOOKUP(A1284, Lookup_Tables!$G$2:$H$6,2,TRUE)</f>
        <v>25-34</v>
      </c>
      <c r="P1284" t="str">
        <f>_xlfn.XLOOKUP(J1284,Lookup_Tables!$J$2:$J$4,Lookup_Tables!$K$2:$K$4, " ",-1)</f>
        <v>Medium</v>
      </c>
      <c r="Q1284" t="str">
        <f xml:space="preserve"> _xlfn.XLOOKUP(M1284, Lookup_Tables!$M$2:$M$5,Lookup_Tables!$N$2:$N$5," ", -1)</f>
        <v>Veteran (10+)</v>
      </c>
      <c r="R1284" s="4">
        <f t="shared" si="41"/>
        <v>2.6666666666666665</v>
      </c>
      <c r="S1284" t="str">
        <f xml:space="preserve"> _xlfn.XLOOKUP( E1284, Lookup_Tables!$A$2:$A$6,Lookup_Tables!$B$2:$B$6," ", -1)</f>
        <v>Master</v>
      </c>
      <c r="T1284" t="str">
        <f>_xlfn.XLOOKUP(G1284,Lookup_Tables!$D$2:$D$5,Lookup_Tables!$E$2:$E$5)</f>
        <v>Very High</v>
      </c>
      <c r="U1284" t="str">
        <f>_xlfn.XLOOKUP(H1284,Lookup_Tables!$D$2:$D$5,Lookup_Tables!$E$2:$E$5)</f>
        <v>Low</v>
      </c>
      <c r="V1284" t="str">
        <f>_xlfn.XLOOKUP(L1284,Lookup_Tables!$D$2:$D$5,Lookup_Tables!$E$2:$E$5)</f>
        <v>High</v>
      </c>
    </row>
    <row r="1285" spans="1:22">
      <c r="A1285">
        <f>RAW_DATA!A1285</f>
        <v>28</v>
      </c>
      <c r="B1285" t="str">
        <f>RAW_DATA!B1285</f>
        <v>No</v>
      </c>
      <c r="C1285" t="str">
        <f>RAW_DATA!C1285</f>
        <v>Research &amp; Development</v>
      </c>
      <c r="D1285">
        <f>RAW_DATA!D1285</f>
        <v>1</v>
      </c>
      <c r="E1285">
        <f>RAW_DATA!E1285</f>
        <v>3</v>
      </c>
      <c r="F1285" t="str">
        <f>RAW_DATA!F1285</f>
        <v>Life Sciences</v>
      </c>
      <c r="G1285">
        <f>RAW_DATA!G1285</f>
        <v>3</v>
      </c>
      <c r="H1285">
        <f>RAW_DATA!H1285</f>
        <v>4</v>
      </c>
      <c r="I1285" t="str">
        <f>RAW_DATA!I1285</f>
        <v>Married</v>
      </c>
      <c r="J1285">
        <f>RAW_DATA!J1285</f>
        <v>2044</v>
      </c>
      <c r="K1285">
        <f>RAW_DATA!K1285</f>
        <v>1</v>
      </c>
      <c r="L1285">
        <f>RAW_DATA!L1285</f>
        <v>4</v>
      </c>
      <c r="M1285">
        <f>RAW_DATA!M1285</f>
        <v>5</v>
      </c>
      <c r="N1285">
        <f t="shared" si="40"/>
        <v>0</v>
      </c>
      <c r="O1285" t="str">
        <f xml:space="preserve"> VLOOKUP(A1285, Lookup_Tables!$G$2:$H$6,2,TRUE)</f>
        <v>25-34</v>
      </c>
      <c r="P1285" t="str">
        <f>_xlfn.XLOOKUP(J1285,Lookup_Tables!$J$2:$J$4,Lookup_Tables!$K$2:$K$4, " ",-1)</f>
        <v>Low</v>
      </c>
      <c r="Q1285" t="str">
        <f xml:space="preserve"> _xlfn.XLOOKUP(M1285, Lookup_Tables!$M$2:$M$5,Lookup_Tables!$N$2:$N$5," ", -1)</f>
        <v>Established (5-10)</v>
      </c>
      <c r="R1285" s="4">
        <f t="shared" si="41"/>
        <v>3.6666666666666665</v>
      </c>
      <c r="S1285" t="str">
        <f xml:space="preserve"> _xlfn.XLOOKUP( E1285, Lookup_Tables!$A$2:$A$6,Lookup_Tables!$B$2:$B$6," ", -1)</f>
        <v>Bachelor</v>
      </c>
      <c r="T1285" t="str">
        <f>_xlfn.XLOOKUP(G1285,Lookup_Tables!$D$2:$D$5,Lookup_Tables!$E$2:$E$5)</f>
        <v>High</v>
      </c>
      <c r="U1285" t="str">
        <f>_xlfn.XLOOKUP(H1285,Lookup_Tables!$D$2:$D$5,Lookup_Tables!$E$2:$E$5)</f>
        <v>Very High</v>
      </c>
      <c r="V1285" t="str">
        <f>_xlfn.XLOOKUP(L1285,Lookup_Tables!$D$2:$D$5,Lookup_Tables!$E$2:$E$5)</f>
        <v>Very High</v>
      </c>
    </row>
    <row r="1286" spans="1:22">
      <c r="A1286">
        <f>RAW_DATA!A1286</f>
        <v>39</v>
      </c>
      <c r="B1286" t="str">
        <f>RAW_DATA!B1286</f>
        <v>No</v>
      </c>
      <c r="C1286" t="str">
        <f>RAW_DATA!C1286</f>
        <v>Research &amp; Development</v>
      </c>
      <c r="D1286">
        <f>RAW_DATA!D1286</f>
        <v>10</v>
      </c>
      <c r="E1286">
        <f>RAW_DATA!E1286</f>
        <v>1</v>
      </c>
      <c r="F1286" t="str">
        <f>RAW_DATA!F1286</f>
        <v>Medical</v>
      </c>
      <c r="G1286">
        <f>RAW_DATA!G1286</f>
        <v>3</v>
      </c>
      <c r="H1286">
        <f>RAW_DATA!H1286</f>
        <v>3</v>
      </c>
      <c r="I1286" t="str">
        <f>RAW_DATA!I1286</f>
        <v>Single</v>
      </c>
      <c r="J1286">
        <f>RAW_DATA!J1286</f>
        <v>13464</v>
      </c>
      <c r="K1286">
        <f>RAW_DATA!K1286</f>
        <v>7</v>
      </c>
      <c r="L1286">
        <f>RAW_DATA!L1286</f>
        <v>3</v>
      </c>
      <c r="M1286">
        <f>RAW_DATA!M1286</f>
        <v>4</v>
      </c>
      <c r="N1286">
        <f t="shared" si="40"/>
        <v>0</v>
      </c>
      <c r="O1286" t="str">
        <f xml:space="preserve"> VLOOKUP(A1286, Lookup_Tables!$G$2:$H$6,2,TRUE)</f>
        <v>35-44</v>
      </c>
      <c r="P1286" t="str">
        <f>_xlfn.XLOOKUP(J1286,Lookup_Tables!$J$2:$J$4,Lookup_Tables!$K$2:$K$4, " ",-1)</f>
        <v>High</v>
      </c>
      <c r="Q1286" t="str">
        <f xml:space="preserve"> _xlfn.XLOOKUP(M1286, Lookup_Tables!$M$2:$M$5,Lookup_Tables!$N$2:$N$5," ", -1)</f>
        <v>Early (2-5)</v>
      </c>
      <c r="R1286" s="4">
        <f t="shared" si="41"/>
        <v>3</v>
      </c>
      <c r="S1286" t="str">
        <f xml:space="preserve"> _xlfn.XLOOKUP( E1286, Lookup_Tables!$A$2:$A$6,Lookup_Tables!$B$2:$B$6," ", -1)</f>
        <v>Below College</v>
      </c>
      <c r="T1286" t="str">
        <f>_xlfn.XLOOKUP(G1286,Lookup_Tables!$D$2:$D$5,Lookup_Tables!$E$2:$E$5)</f>
        <v>High</v>
      </c>
      <c r="U1286" t="str">
        <f>_xlfn.XLOOKUP(H1286,Lookup_Tables!$D$2:$D$5,Lookup_Tables!$E$2:$E$5)</f>
        <v>High</v>
      </c>
      <c r="V1286" t="str">
        <f>_xlfn.XLOOKUP(L1286,Lookup_Tables!$D$2:$D$5,Lookup_Tables!$E$2:$E$5)</f>
        <v>High</v>
      </c>
    </row>
    <row r="1287" spans="1:22">
      <c r="A1287">
        <f>RAW_DATA!A1287</f>
        <v>46</v>
      </c>
      <c r="B1287" t="str">
        <f>RAW_DATA!B1287</f>
        <v>No</v>
      </c>
      <c r="C1287" t="str">
        <f>RAW_DATA!C1287</f>
        <v>Sales</v>
      </c>
      <c r="D1287">
        <f>RAW_DATA!D1287</f>
        <v>26</v>
      </c>
      <c r="E1287">
        <f>RAW_DATA!E1287</f>
        <v>2</v>
      </c>
      <c r="F1287" t="str">
        <f>RAW_DATA!F1287</f>
        <v>Life Sciences</v>
      </c>
      <c r="G1287">
        <f>RAW_DATA!G1287</f>
        <v>2</v>
      </c>
      <c r="H1287">
        <f>RAW_DATA!H1287</f>
        <v>2</v>
      </c>
      <c r="I1287" t="str">
        <f>RAW_DATA!I1287</f>
        <v>Single</v>
      </c>
      <c r="J1287">
        <f>RAW_DATA!J1287</f>
        <v>7991</v>
      </c>
      <c r="K1287">
        <f>RAW_DATA!K1287</f>
        <v>8</v>
      </c>
      <c r="L1287">
        <f>RAW_DATA!L1287</f>
        <v>3</v>
      </c>
      <c r="M1287">
        <f>RAW_DATA!M1287</f>
        <v>2</v>
      </c>
      <c r="N1287">
        <f t="shared" si="40"/>
        <v>0</v>
      </c>
      <c r="O1287" t="str">
        <f xml:space="preserve"> VLOOKUP(A1287, Lookup_Tables!$G$2:$H$6,2,TRUE)</f>
        <v>45-54</v>
      </c>
      <c r="P1287" t="str">
        <f>_xlfn.XLOOKUP(J1287,Lookup_Tables!$J$2:$J$4,Lookup_Tables!$K$2:$K$4, " ",-1)</f>
        <v>High</v>
      </c>
      <c r="Q1287" t="str">
        <f xml:space="preserve"> _xlfn.XLOOKUP(M1287, Lookup_Tables!$M$2:$M$5,Lookup_Tables!$N$2:$N$5," ", -1)</f>
        <v>Early (2-5)</v>
      </c>
      <c r="R1287" s="4">
        <f t="shared" si="41"/>
        <v>2.3333333333333335</v>
      </c>
      <c r="S1287" t="str">
        <f xml:space="preserve"> _xlfn.XLOOKUP( E1287, Lookup_Tables!$A$2:$A$6,Lookup_Tables!$B$2:$B$6," ", -1)</f>
        <v>College</v>
      </c>
      <c r="T1287" t="str">
        <f>_xlfn.XLOOKUP(G1287,Lookup_Tables!$D$2:$D$5,Lookup_Tables!$E$2:$E$5)</f>
        <v>Medium</v>
      </c>
      <c r="U1287" t="str">
        <f>_xlfn.XLOOKUP(H1287,Lookup_Tables!$D$2:$D$5,Lookup_Tables!$E$2:$E$5)</f>
        <v>Medium</v>
      </c>
      <c r="V1287" t="str">
        <f>_xlfn.XLOOKUP(L1287,Lookup_Tables!$D$2:$D$5,Lookup_Tables!$E$2:$E$5)</f>
        <v>High</v>
      </c>
    </row>
    <row r="1288" spans="1:22">
      <c r="A1288">
        <f>RAW_DATA!A1288</f>
        <v>40</v>
      </c>
      <c r="B1288" t="str">
        <f>RAW_DATA!B1288</f>
        <v>No</v>
      </c>
      <c r="C1288" t="str">
        <f>RAW_DATA!C1288</f>
        <v>Research &amp; Development</v>
      </c>
      <c r="D1288">
        <f>RAW_DATA!D1288</f>
        <v>2</v>
      </c>
      <c r="E1288">
        <f>RAW_DATA!E1288</f>
        <v>2</v>
      </c>
      <c r="F1288" t="str">
        <f>RAW_DATA!F1288</f>
        <v>Life Sciences</v>
      </c>
      <c r="G1288">
        <f>RAW_DATA!G1288</f>
        <v>3</v>
      </c>
      <c r="H1288">
        <f>RAW_DATA!H1288</f>
        <v>1</v>
      </c>
      <c r="I1288" t="str">
        <f>RAW_DATA!I1288</f>
        <v>Married</v>
      </c>
      <c r="J1288">
        <f>RAW_DATA!J1288</f>
        <v>3377</v>
      </c>
      <c r="K1288">
        <f>RAW_DATA!K1288</f>
        <v>4</v>
      </c>
      <c r="L1288">
        <f>RAW_DATA!L1288</f>
        <v>2</v>
      </c>
      <c r="M1288">
        <f>RAW_DATA!M1288</f>
        <v>4</v>
      </c>
      <c r="N1288">
        <f t="shared" si="40"/>
        <v>0</v>
      </c>
      <c r="O1288" t="str">
        <f xml:space="preserve"> VLOOKUP(A1288, Lookup_Tables!$G$2:$H$6,2,TRUE)</f>
        <v>35-44</v>
      </c>
      <c r="P1288" t="str">
        <f>_xlfn.XLOOKUP(J1288,Lookup_Tables!$J$2:$J$4,Lookup_Tables!$K$2:$K$4, " ",-1)</f>
        <v>Medium</v>
      </c>
      <c r="Q1288" t="str">
        <f xml:space="preserve"> _xlfn.XLOOKUP(M1288, Lookup_Tables!$M$2:$M$5,Lookup_Tables!$N$2:$N$5," ", -1)</f>
        <v>Early (2-5)</v>
      </c>
      <c r="R1288" s="4">
        <f t="shared" si="41"/>
        <v>2</v>
      </c>
      <c r="S1288" t="str">
        <f xml:space="preserve"> _xlfn.XLOOKUP( E1288, Lookup_Tables!$A$2:$A$6,Lookup_Tables!$B$2:$B$6," ", -1)</f>
        <v>College</v>
      </c>
      <c r="T1288" t="str">
        <f>_xlfn.XLOOKUP(G1288,Lookup_Tables!$D$2:$D$5,Lookup_Tables!$E$2:$E$5)</f>
        <v>High</v>
      </c>
      <c r="U1288" t="str">
        <f>_xlfn.XLOOKUP(H1288,Lookup_Tables!$D$2:$D$5,Lookup_Tables!$E$2:$E$5)</f>
        <v>Low</v>
      </c>
      <c r="V1288" t="str">
        <f>_xlfn.XLOOKUP(L1288,Lookup_Tables!$D$2:$D$5,Lookup_Tables!$E$2:$E$5)</f>
        <v>Medium</v>
      </c>
    </row>
    <row r="1289" spans="1:22">
      <c r="A1289">
        <f>RAW_DATA!A1289</f>
        <v>42</v>
      </c>
      <c r="B1289" t="str">
        <f>RAW_DATA!B1289</f>
        <v>No</v>
      </c>
      <c r="C1289" t="str">
        <f>RAW_DATA!C1289</f>
        <v>Research &amp; Development</v>
      </c>
      <c r="D1289">
        <f>RAW_DATA!D1289</f>
        <v>13</v>
      </c>
      <c r="E1289">
        <f>RAW_DATA!E1289</f>
        <v>3</v>
      </c>
      <c r="F1289" t="str">
        <f>RAW_DATA!F1289</f>
        <v>Medical</v>
      </c>
      <c r="G1289">
        <f>RAW_DATA!G1289</f>
        <v>2</v>
      </c>
      <c r="H1289">
        <f>RAW_DATA!H1289</f>
        <v>1</v>
      </c>
      <c r="I1289" t="str">
        <f>RAW_DATA!I1289</f>
        <v>Married</v>
      </c>
      <c r="J1289">
        <f>RAW_DATA!J1289</f>
        <v>5538</v>
      </c>
      <c r="K1289">
        <f>RAW_DATA!K1289</f>
        <v>5</v>
      </c>
      <c r="L1289">
        <f>RAW_DATA!L1289</f>
        <v>2</v>
      </c>
      <c r="M1289">
        <f>RAW_DATA!M1289</f>
        <v>0</v>
      </c>
      <c r="N1289">
        <f t="shared" si="40"/>
        <v>0</v>
      </c>
      <c r="O1289" t="str">
        <f xml:space="preserve"> VLOOKUP(A1289, Lookup_Tables!$G$2:$H$6,2,TRUE)</f>
        <v>35-44</v>
      </c>
      <c r="P1289" t="str">
        <f>_xlfn.XLOOKUP(J1289,Lookup_Tables!$J$2:$J$4,Lookup_Tables!$K$2:$K$4, " ",-1)</f>
        <v>Medium</v>
      </c>
      <c r="Q1289" t="str">
        <f xml:space="preserve"> _xlfn.XLOOKUP(M1289, Lookup_Tables!$M$2:$M$5,Lookup_Tables!$N$2:$N$5," ", -1)</f>
        <v>New (0-2)</v>
      </c>
      <c r="R1289" s="4">
        <f t="shared" si="41"/>
        <v>1.6666666666666667</v>
      </c>
      <c r="S1289" t="str">
        <f xml:space="preserve"> _xlfn.XLOOKUP( E1289, Lookup_Tables!$A$2:$A$6,Lookup_Tables!$B$2:$B$6," ", -1)</f>
        <v>Bachelor</v>
      </c>
      <c r="T1289" t="str">
        <f>_xlfn.XLOOKUP(G1289,Lookup_Tables!$D$2:$D$5,Lookup_Tables!$E$2:$E$5)</f>
        <v>Medium</v>
      </c>
      <c r="U1289" t="str">
        <f>_xlfn.XLOOKUP(H1289,Lookup_Tables!$D$2:$D$5,Lookup_Tables!$E$2:$E$5)</f>
        <v>Low</v>
      </c>
      <c r="V1289" t="str">
        <f>_xlfn.XLOOKUP(L1289,Lookup_Tables!$D$2:$D$5,Lookup_Tables!$E$2:$E$5)</f>
        <v>Medium</v>
      </c>
    </row>
    <row r="1290" spans="1:22">
      <c r="A1290">
        <f>RAW_DATA!A1290</f>
        <v>35</v>
      </c>
      <c r="B1290" t="str">
        <f>RAW_DATA!B1290</f>
        <v>No</v>
      </c>
      <c r="C1290" t="str">
        <f>RAW_DATA!C1290</f>
        <v>Research &amp; Development</v>
      </c>
      <c r="D1290">
        <f>RAW_DATA!D1290</f>
        <v>2</v>
      </c>
      <c r="E1290">
        <f>RAW_DATA!E1290</f>
        <v>2</v>
      </c>
      <c r="F1290" t="str">
        <f>RAW_DATA!F1290</f>
        <v>Medical</v>
      </c>
      <c r="G1290">
        <f>RAW_DATA!G1290</f>
        <v>2</v>
      </c>
      <c r="H1290">
        <f>RAW_DATA!H1290</f>
        <v>4</v>
      </c>
      <c r="I1290" t="str">
        <f>RAW_DATA!I1290</f>
        <v>Divorced</v>
      </c>
      <c r="J1290">
        <f>RAW_DATA!J1290</f>
        <v>5762</v>
      </c>
      <c r="K1290">
        <f>RAW_DATA!K1290</f>
        <v>2</v>
      </c>
      <c r="L1290">
        <f>RAW_DATA!L1290</f>
        <v>3</v>
      </c>
      <c r="M1290">
        <f>RAW_DATA!M1290</f>
        <v>7</v>
      </c>
      <c r="N1290">
        <f t="shared" si="40"/>
        <v>0</v>
      </c>
      <c r="O1290" t="str">
        <f xml:space="preserve"> VLOOKUP(A1290, Lookup_Tables!$G$2:$H$6,2,TRUE)</f>
        <v>35-44</v>
      </c>
      <c r="P1290" t="str">
        <f>_xlfn.XLOOKUP(J1290,Lookup_Tables!$J$2:$J$4,Lookup_Tables!$K$2:$K$4, " ",-1)</f>
        <v>Medium</v>
      </c>
      <c r="Q1290" t="str">
        <f xml:space="preserve"> _xlfn.XLOOKUP(M1290, Lookup_Tables!$M$2:$M$5,Lookup_Tables!$N$2:$N$5," ", -1)</f>
        <v>Established (5-10)</v>
      </c>
      <c r="R1290" s="4">
        <f t="shared" si="41"/>
        <v>3</v>
      </c>
      <c r="S1290" t="str">
        <f xml:space="preserve"> _xlfn.XLOOKUP( E1290, Lookup_Tables!$A$2:$A$6,Lookup_Tables!$B$2:$B$6," ", -1)</f>
        <v>College</v>
      </c>
      <c r="T1290" t="str">
        <f>_xlfn.XLOOKUP(G1290,Lookup_Tables!$D$2:$D$5,Lookup_Tables!$E$2:$E$5)</f>
        <v>Medium</v>
      </c>
      <c r="U1290" t="str">
        <f>_xlfn.XLOOKUP(H1290,Lookup_Tables!$D$2:$D$5,Lookup_Tables!$E$2:$E$5)</f>
        <v>Very High</v>
      </c>
      <c r="V1290" t="str">
        <f>_xlfn.XLOOKUP(L1290,Lookup_Tables!$D$2:$D$5,Lookup_Tables!$E$2:$E$5)</f>
        <v>High</v>
      </c>
    </row>
    <row r="1291" spans="1:22">
      <c r="A1291">
        <f>RAW_DATA!A1291</f>
        <v>38</v>
      </c>
      <c r="B1291" t="str">
        <f>RAW_DATA!B1291</f>
        <v>No</v>
      </c>
      <c r="C1291" t="str">
        <f>RAW_DATA!C1291</f>
        <v>Human Resources</v>
      </c>
      <c r="D1291">
        <f>RAW_DATA!D1291</f>
        <v>2</v>
      </c>
      <c r="E1291">
        <f>RAW_DATA!E1291</f>
        <v>3</v>
      </c>
      <c r="F1291" t="str">
        <f>RAW_DATA!F1291</f>
        <v>Human Resources</v>
      </c>
      <c r="G1291">
        <f>RAW_DATA!G1291</f>
        <v>1</v>
      </c>
      <c r="H1291">
        <f>RAW_DATA!H1291</f>
        <v>2</v>
      </c>
      <c r="I1291" t="str">
        <f>RAW_DATA!I1291</f>
        <v>Divorced</v>
      </c>
      <c r="J1291">
        <f>RAW_DATA!J1291</f>
        <v>2592</v>
      </c>
      <c r="K1291">
        <f>RAW_DATA!K1291</f>
        <v>5</v>
      </c>
      <c r="L1291">
        <f>RAW_DATA!L1291</f>
        <v>3</v>
      </c>
      <c r="M1291">
        <f>RAW_DATA!M1291</f>
        <v>11</v>
      </c>
      <c r="N1291">
        <f t="shared" si="40"/>
        <v>0</v>
      </c>
      <c r="O1291" t="str">
        <f xml:space="preserve"> VLOOKUP(A1291, Lookup_Tables!$G$2:$H$6,2,TRUE)</f>
        <v>35-44</v>
      </c>
      <c r="P1291" t="str">
        <f>_xlfn.XLOOKUP(J1291,Lookup_Tables!$J$2:$J$4,Lookup_Tables!$K$2:$K$4, " ",-1)</f>
        <v>Low</v>
      </c>
      <c r="Q1291" t="str">
        <f xml:space="preserve"> _xlfn.XLOOKUP(M1291, Lookup_Tables!$M$2:$M$5,Lookup_Tables!$N$2:$N$5," ", -1)</f>
        <v>Veteran (10+)</v>
      </c>
      <c r="R1291" s="4">
        <f t="shared" si="41"/>
        <v>2</v>
      </c>
      <c r="S1291" t="str">
        <f xml:space="preserve"> _xlfn.XLOOKUP( E1291, Lookup_Tables!$A$2:$A$6,Lookup_Tables!$B$2:$B$6," ", -1)</f>
        <v>Bachelor</v>
      </c>
      <c r="T1291" t="str">
        <f>_xlfn.XLOOKUP(G1291,Lookup_Tables!$D$2:$D$5,Lookup_Tables!$E$2:$E$5)</f>
        <v>Low</v>
      </c>
      <c r="U1291" t="str">
        <f>_xlfn.XLOOKUP(H1291,Lookup_Tables!$D$2:$D$5,Lookup_Tables!$E$2:$E$5)</f>
        <v>Medium</v>
      </c>
      <c r="V1291" t="str">
        <f>_xlfn.XLOOKUP(L1291,Lookup_Tables!$D$2:$D$5,Lookup_Tables!$E$2:$E$5)</f>
        <v>High</v>
      </c>
    </row>
    <row r="1292" spans="1:22">
      <c r="A1292">
        <f>RAW_DATA!A1292</f>
        <v>34</v>
      </c>
      <c r="B1292" t="str">
        <f>RAW_DATA!B1292</f>
        <v>Yes</v>
      </c>
      <c r="C1292" t="str">
        <f>RAW_DATA!C1292</f>
        <v>Research &amp; Development</v>
      </c>
      <c r="D1292">
        <f>RAW_DATA!D1292</f>
        <v>9</v>
      </c>
      <c r="E1292">
        <f>RAW_DATA!E1292</f>
        <v>4</v>
      </c>
      <c r="F1292" t="str">
        <f>RAW_DATA!F1292</f>
        <v>Life Sciences</v>
      </c>
      <c r="G1292">
        <f>RAW_DATA!G1292</f>
        <v>4</v>
      </c>
      <c r="H1292">
        <f>RAW_DATA!H1292</f>
        <v>1</v>
      </c>
      <c r="I1292" t="str">
        <f>RAW_DATA!I1292</f>
        <v>Married</v>
      </c>
      <c r="J1292">
        <f>RAW_DATA!J1292</f>
        <v>5346</v>
      </c>
      <c r="K1292">
        <f>RAW_DATA!K1292</f>
        <v>4</v>
      </c>
      <c r="L1292">
        <f>RAW_DATA!L1292</f>
        <v>2</v>
      </c>
      <c r="M1292">
        <f>RAW_DATA!M1292</f>
        <v>7</v>
      </c>
      <c r="N1292">
        <f t="shared" si="40"/>
        <v>1</v>
      </c>
      <c r="O1292" t="str">
        <f xml:space="preserve"> VLOOKUP(A1292, Lookup_Tables!$G$2:$H$6,2,TRUE)</f>
        <v>25-34</v>
      </c>
      <c r="P1292" t="str">
        <f>_xlfn.XLOOKUP(J1292,Lookup_Tables!$J$2:$J$4,Lookup_Tables!$K$2:$K$4, " ",-1)</f>
        <v>Medium</v>
      </c>
      <c r="Q1292" t="str">
        <f xml:space="preserve"> _xlfn.XLOOKUP(M1292, Lookup_Tables!$M$2:$M$5,Lookup_Tables!$N$2:$N$5," ", -1)</f>
        <v>Established (5-10)</v>
      </c>
      <c r="R1292" s="4">
        <f t="shared" si="41"/>
        <v>2.3333333333333335</v>
      </c>
      <c r="S1292" t="str">
        <f xml:space="preserve"> _xlfn.XLOOKUP( E1292, Lookup_Tables!$A$2:$A$6,Lookup_Tables!$B$2:$B$6," ", -1)</f>
        <v>Master</v>
      </c>
      <c r="T1292" t="str">
        <f>_xlfn.XLOOKUP(G1292,Lookup_Tables!$D$2:$D$5,Lookup_Tables!$E$2:$E$5)</f>
        <v>Very High</v>
      </c>
      <c r="U1292" t="str">
        <f>_xlfn.XLOOKUP(H1292,Lookup_Tables!$D$2:$D$5,Lookup_Tables!$E$2:$E$5)</f>
        <v>Low</v>
      </c>
      <c r="V1292" t="str">
        <f>_xlfn.XLOOKUP(L1292,Lookup_Tables!$D$2:$D$5,Lookup_Tables!$E$2:$E$5)</f>
        <v>Medium</v>
      </c>
    </row>
    <row r="1293" spans="1:22">
      <c r="A1293">
        <f>RAW_DATA!A1293</f>
        <v>37</v>
      </c>
      <c r="B1293" t="str">
        <f>RAW_DATA!B1293</f>
        <v>Yes</v>
      </c>
      <c r="C1293" t="str">
        <f>RAW_DATA!C1293</f>
        <v>Research &amp; Development</v>
      </c>
      <c r="D1293">
        <f>RAW_DATA!D1293</f>
        <v>10</v>
      </c>
      <c r="E1293">
        <f>RAW_DATA!E1293</f>
        <v>4</v>
      </c>
      <c r="F1293" t="str">
        <f>RAW_DATA!F1293</f>
        <v>Medical</v>
      </c>
      <c r="G1293">
        <f>RAW_DATA!G1293</f>
        <v>4</v>
      </c>
      <c r="H1293">
        <f>RAW_DATA!H1293</f>
        <v>1</v>
      </c>
      <c r="I1293" t="str">
        <f>RAW_DATA!I1293</f>
        <v>Single</v>
      </c>
      <c r="J1293">
        <f>RAW_DATA!J1293</f>
        <v>4213</v>
      </c>
      <c r="K1293">
        <f>RAW_DATA!K1293</f>
        <v>1</v>
      </c>
      <c r="L1293">
        <f>RAW_DATA!L1293</f>
        <v>1</v>
      </c>
      <c r="M1293">
        <f>RAW_DATA!M1293</f>
        <v>10</v>
      </c>
      <c r="N1293">
        <f t="shared" si="40"/>
        <v>1</v>
      </c>
      <c r="O1293" t="str">
        <f xml:space="preserve"> VLOOKUP(A1293, Lookup_Tables!$G$2:$H$6,2,TRUE)</f>
        <v>35-44</v>
      </c>
      <c r="P1293" t="str">
        <f>_xlfn.XLOOKUP(J1293,Lookup_Tables!$J$2:$J$4,Lookup_Tables!$K$2:$K$4, " ",-1)</f>
        <v>Medium</v>
      </c>
      <c r="Q1293" t="str">
        <f xml:space="preserve"> _xlfn.XLOOKUP(M1293, Lookup_Tables!$M$2:$M$5,Lookup_Tables!$N$2:$N$5," ", -1)</f>
        <v>Veteran (10+)</v>
      </c>
      <c r="R1293" s="4">
        <f t="shared" si="41"/>
        <v>2</v>
      </c>
      <c r="S1293" t="str">
        <f xml:space="preserve"> _xlfn.XLOOKUP( E1293, Lookup_Tables!$A$2:$A$6,Lookup_Tables!$B$2:$B$6," ", -1)</f>
        <v>Master</v>
      </c>
      <c r="T1293" t="str">
        <f>_xlfn.XLOOKUP(G1293,Lookup_Tables!$D$2:$D$5,Lookup_Tables!$E$2:$E$5)</f>
        <v>Very High</v>
      </c>
      <c r="U1293" t="str">
        <f>_xlfn.XLOOKUP(H1293,Lookup_Tables!$D$2:$D$5,Lookup_Tables!$E$2:$E$5)</f>
        <v>Low</v>
      </c>
      <c r="V1293" t="str">
        <f>_xlfn.XLOOKUP(L1293,Lookup_Tables!$D$2:$D$5,Lookup_Tables!$E$2:$E$5)</f>
        <v>Low</v>
      </c>
    </row>
    <row r="1294" spans="1:22">
      <c r="A1294">
        <f>RAW_DATA!A1294</f>
        <v>39</v>
      </c>
      <c r="B1294" t="str">
        <f>RAW_DATA!B1294</f>
        <v>No</v>
      </c>
      <c r="C1294" t="str">
        <f>RAW_DATA!C1294</f>
        <v>Sales</v>
      </c>
      <c r="D1294">
        <f>RAW_DATA!D1294</f>
        <v>20</v>
      </c>
      <c r="E1294">
        <f>RAW_DATA!E1294</f>
        <v>3</v>
      </c>
      <c r="F1294" t="str">
        <f>RAW_DATA!F1294</f>
        <v>Life Sciences</v>
      </c>
      <c r="G1294">
        <f>RAW_DATA!G1294</f>
        <v>3</v>
      </c>
      <c r="H1294">
        <f>RAW_DATA!H1294</f>
        <v>4</v>
      </c>
      <c r="I1294" t="str">
        <f>RAW_DATA!I1294</f>
        <v>Divorced</v>
      </c>
      <c r="J1294">
        <f>RAW_DATA!J1294</f>
        <v>4127</v>
      </c>
      <c r="K1294">
        <f>RAW_DATA!K1294</f>
        <v>2</v>
      </c>
      <c r="L1294">
        <f>RAW_DATA!L1294</f>
        <v>3</v>
      </c>
      <c r="M1294">
        <f>RAW_DATA!M1294</f>
        <v>2</v>
      </c>
      <c r="N1294">
        <f t="shared" si="40"/>
        <v>0</v>
      </c>
      <c r="O1294" t="str">
        <f xml:space="preserve"> VLOOKUP(A1294, Lookup_Tables!$G$2:$H$6,2,TRUE)</f>
        <v>35-44</v>
      </c>
      <c r="P1294" t="str">
        <f>_xlfn.XLOOKUP(J1294,Lookup_Tables!$J$2:$J$4,Lookup_Tables!$K$2:$K$4, " ",-1)</f>
        <v>Medium</v>
      </c>
      <c r="Q1294" t="str">
        <f xml:space="preserve"> _xlfn.XLOOKUP(M1294, Lookup_Tables!$M$2:$M$5,Lookup_Tables!$N$2:$N$5," ", -1)</f>
        <v>Early (2-5)</v>
      </c>
      <c r="R1294" s="4">
        <f t="shared" si="41"/>
        <v>3.3333333333333335</v>
      </c>
      <c r="S1294" t="str">
        <f xml:space="preserve"> _xlfn.XLOOKUP( E1294, Lookup_Tables!$A$2:$A$6,Lookup_Tables!$B$2:$B$6," ", -1)</f>
        <v>Bachelor</v>
      </c>
      <c r="T1294" t="str">
        <f>_xlfn.XLOOKUP(G1294,Lookup_Tables!$D$2:$D$5,Lookup_Tables!$E$2:$E$5)</f>
        <v>High</v>
      </c>
      <c r="U1294" t="str">
        <f>_xlfn.XLOOKUP(H1294,Lookup_Tables!$D$2:$D$5,Lookup_Tables!$E$2:$E$5)</f>
        <v>Very High</v>
      </c>
      <c r="V1294" t="str">
        <f>_xlfn.XLOOKUP(L1294,Lookup_Tables!$D$2:$D$5,Lookup_Tables!$E$2:$E$5)</f>
        <v>High</v>
      </c>
    </row>
    <row r="1295" spans="1:22">
      <c r="A1295">
        <f>RAW_DATA!A1295</f>
        <v>43</v>
      </c>
      <c r="B1295" t="str">
        <f>RAW_DATA!B1295</f>
        <v>No</v>
      </c>
      <c r="C1295" t="str">
        <f>RAW_DATA!C1295</f>
        <v>Research &amp; Development</v>
      </c>
      <c r="D1295">
        <f>RAW_DATA!D1295</f>
        <v>9</v>
      </c>
      <c r="E1295">
        <f>RAW_DATA!E1295</f>
        <v>3</v>
      </c>
      <c r="F1295" t="str">
        <f>RAW_DATA!F1295</f>
        <v>Life Sciences</v>
      </c>
      <c r="G1295">
        <f>RAW_DATA!G1295</f>
        <v>1</v>
      </c>
      <c r="H1295">
        <f>RAW_DATA!H1295</f>
        <v>3</v>
      </c>
      <c r="I1295" t="str">
        <f>RAW_DATA!I1295</f>
        <v>Single</v>
      </c>
      <c r="J1295">
        <f>RAW_DATA!J1295</f>
        <v>2438</v>
      </c>
      <c r="K1295">
        <f>RAW_DATA!K1295</f>
        <v>4</v>
      </c>
      <c r="L1295">
        <f>RAW_DATA!L1295</f>
        <v>2</v>
      </c>
      <c r="M1295">
        <f>RAW_DATA!M1295</f>
        <v>3</v>
      </c>
      <c r="N1295">
        <f t="shared" si="40"/>
        <v>0</v>
      </c>
      <c r="O1295" t="str">
        <f xml:space="preserve"> VLOOKUP(A1295, Lookup_Tables!$G$2:$H$6,2,TRUE)</f>
        <v>35-44</v>
      </c>
      <c r="P1295" t="str">
        <f>_xlfn.XLOOKUP(J1295,Lookup_Tables!$J$2:$J$4,Lookup_Tables!$K$2:$K$4, " ",-1)</f>
        <v>Low</v>
      </c>
      <c r="Q1295" t="str">
        <f xml:space="preserve"> _xlfn.XLOOKUP(M1295, Lookup_Tables!$M$2:$M$5,Lookup_Tables!$N$2:$N$5," ", -1)</f>
        <v>Early (2-5)</v>
      </c>
      <c r="R1295" s="4">
        <f t="shared" si="41"/>
        <v>2</v>
      </c>
      <c r="S1295" t="str">
        <f xml:space="preserve"> _xlfn.XLOOKUP( E1295, Lookup_Tables!$A$2:$A$6,Lookup_Tables!$B$2:$B$6," ", -1)</f>
        <v>Bachelor</v>
      </c>
      <c r="T1295" t="str">
        <f>_xlfn.XLOOKUP(G1295,Lookup_Tables!$D$2:$D$5,Lookup_Tables!$E$2:$E$5)</f>
        <v>Low</v>
      </c>
      <c r="U1295" t="str">
        <f>_xlfn.XLOOKUP(H1295,Lookup_Tables!$D$2:$D$5,Lookup_Tables!$E$2:$E$5)</f>
        <v>High</v>
      </c>
      <c r="V1295" t="str">
        <f>_xlfn.XLOOKUP(L1295,Lookup_Tables!$D$2:$D$5,Lookup_Tables!$E$2:$E$5)</f>
        <v>Medium</v>
      </c>
    </row>
    <row r="1296" spans="1:22">
      <c r="A1296">
        <f>RAW_DATA!A1296</f>
        <v>41</v>
      </c>
      <c r="B1296" t="str">
        <f>RAW_DATA!B1296</f>
        <v>No</v>
      </c>
      <c r="C1296" t="str">
        <f>RAW_DATA!C1296</f>
        <v>Research &amp; Development</v>
      </c>
      <c r="D1296">
        <f>RAW_DATA!D1296</f>
        <v>5</v>
      </c>
      <c r="E1296">
        <f>RAW_DATA!E1296</f>
        <v>3</v>
      </c>
      <c r="F1296" t="str">
        <f>RAW_DATA!F1296</f>
        <v>Life Sciences</v>
      </c>
      <c r="G1296">
        <f>RAW_DATA!G1296</f>
        <v>2</v>
      </c>
      <c r="H1296">
        <f>RAW_DATA!H1296</f>
        <v>2</v>
      </c>
      <c r="I1296" t="str">
        <f>RAW_DATA!I1296</f>
        <v>Single</v>
      </c>
      <c r="J1296">
        <f>RAW_DATA!J1296</f>
        <v>6870</v>
      </c>
      <c r="K1296">
        <f>RAW_DATA!K1296</f>
        <v>3</v>
      </c>
      <c r="L1296">
        <f>RAW_DATA!L1296</f>
        <v>1</v>
      </c>
      <c r="M1296">
        <f>RAW_DATA!M1296</f>
        <v>3</v>
      </c>
      <c r="N1296">
        <f t="shared" si="40"/>
        <v>0</v>
      </c>
      <c r="O1296" t="str">
        <f xml:space="preserve"> VLOOKUP(A1296, Lookup_Tables!$G$2:$H$6,2,TRUE)</f>
        <v>35-44</v>
      </c>
      <c r="P1296" t="str">
        <f>_xlfn.XLOOKUP(J1296,Lookup_Tables!$J$2:$J$4,Lookup_Tables!$K$2:$K$4, " ",-1)</f>
        <v>Medium</v>
      </c>
      <c r="Q1296" t="str">
        <f xml:space="preserve"> _xlfn.XLOOKUP(M1296, Lookup_Tables!$M$2:$M$5,Lookup_Tables!$N$2:$N$5," ", -1)</f>
        <v>Early (2-5)</v>
      </c>
      <c r="R1296" s="4">
        <f t="shared" si="41"/>
        <v>1.6666666666666667</v>
      </c>
      <c r="S1296" t="str">
        <f xml:space="preserve"> _xlfn.XLOOKUP( E1296, Lookup_Tables!$A$2:$A$6,Lookup_Tables!$B$2:$B$6," ", -1)</f>
        <v>Bachelor</v>
      </c>
      <c r="T1296" t="str">
        <f>_xlfn.XLOOKUP(G1296,Lookup_Tables!$D$2:$D$5,Lookup_Tables!$E$2:$E$5)</f>
        <v>Medium</v>
      </c>
      <c r="U1296" t="str">
        <f>_xlfn.XLOOKUP(H1296,Lookup_Tables!$D$2:$D$5,Lookup_Tables!$E$2:$E$5)</f>
        <v>Medium</v>
      </c>
      <c r="V1296" t="str">
        <f>_xlfn.XLOOKUP(L1296,Lookup_Tables!$D$2:$D$5,Lookup_Tables!$E$2:$E$5)</f>
        <v>Low</v>
      </c>
    </row>
    <row r="1297" spans="1:22">
      <c r="A1297">
        <f>RAW_DATA!A1297</f>
        <v>41</v>
      </c>
      <c r="B1297" t="str">
        <f>RAW_DATA!B1297</f>
        <v>No</v>
      </c>
      <c r="C1297" t="str">
        <f>RAW_DATA!C1297</f>
        <v>Sales</v>
      </c>
      <c r="D1297">
        <f>RAW_DATA!D1297</f>
        <v>4</v>
      </c>
      <c r="E1297">
        <f>RAW_DATA!E1297</f>
        <v>1</v>
      </c>
      <c r="F1297" t="str">
        <f>RAW_DATA!F1297</f>
        <v>Marketing</v>
      </c>
      <c r="G1297">
        <f>RAW_DATA!G1297</f>
        <v>3</v>
      </c>
      <c r="H1297">
        <f>RAW_DATA!H1297</f>
        <v>3</v>
      </c>
      <c r="I1297" t="str">
        <f>RAW_DATA!I1297</f>
        <v>Divorced</v>
      </c>
      <c r="J1297">
        <f>RAW_DATA!J1297</f>
        <v>10447</v>
      </c>
      <c r="K1297">
        <f>RAW_DATA!K1297</f>
        <v>0</v>
      </c>
      <c r="L1297">
        <f>RAW_DATA!L1297</f>
        <v>4</v>
      </c>
      <c r="M1297">
        <f>RAW_DATA!M1297</f>
        <v>22</v>
      </c>
      <c r="N1297">
        <f t="shared" si="40"/>
        <v>0</v>
      </c>
      <c r="O1297" t="str">
        <f xml:space="preserve"> VLOOKUP(A1297, Lookup_Tables!$G$2:$H$6,2,TRUE)</f>
        <v>35-44</v>
      </c>
      <c r="P1297" t="str">
        <f>_xlfn.XLOOKUP(J1297,Lookup_Tables!$J$2:$J$4,Lookup_Tables!$K$2:$K$4, " ",-1)</f>
        <v>High</v>
      </c>
      <c r="Q1297" t="str">
        <f xml:space="preserve"> _xlfn.XLOOKUP(M1297, Lookup_Tables!$M$2:$M$5,Lookup_Tables!$N$2:$N$5," ", -1)</f>
        <v>Veteran (10+)</v>
      </c>
      <c r="R1297" s="4">
        <f t="shared" si="41"/>
        <v>3.3333333333333335</v>
      </c>
      <c r="S1297" t="str">
        <f xml:space="preserve"> _xlfn.XLOOKUP( E1297, Lookup_Tables!$A$2:$A$6,Lookup_Tables!$B$2:$B$6," ", -1)</f>
        <v>Below College</v>
      </c>
      <c r="T1297" t="str">
        <f>_xlfn.XLOOKUP(G1297,Lookup_Tables!$D$2:$D$5,Lookup_Tables!$E$2:$E$5)</f>
        <v>High</v>
      </c>
      <c r="U1297" t="str">
        <f>_xlfn.XLOOKUP(H1297,Lookup_Tables!$D$2:$D$5,Lookup_Tables!$E$2:$E$5)</f>
        <v>High</v>
      </c>
      <c r="V1297" t="str">
        <f>_xlfn.XLOOKUP(L1297,Lookup_Tables!$D$2:$D$5,Lookup_Tables!$E$2:$E$5)</f>
        <v>Very High</v>
      </c>
    </row>
    <row r="1298" spans="1:22">
      <c r="A1298">
        <f>RAW_DATA!A1298</f>
        <v>30</v>
      </c>
      <c r="B1298" t="str">
        <f>RAW_DATA!B1298</f>
        <v>No</v>
      </c>
      <c r="C1298" t="str">
        <f>RAW_DATA!C1298</f>
        <v>Research &amp; Development</v>
      </c>
      <c r="D1298">
        <f>RAW_DATA!D1298</f>
        <v>10</v>
      </c>
      <c r="E1298">
        <f>RAW_DATA!E1298</f>
        <v>3</v>
      </c>
      <c r="F1298" t="str">
        <f>RAW_DATA!F1298</f>
        <v>Medical</v>
      </c>
      <c r="G1298">
        <f>RAW_DATA!G1298</f>
        <v>1</v>
      </c>
      <c r="H1298">
        <f>RAW_DATA!H1298</f>
        <v>3</v>
      </c>
      <c r="I1298" t="str">
        <f>RAW_DATA!I1298</f>
        <v>Single</v>
      </c>
      <c r="J1298">
        <f>RAW_DATA!J1298</f>
        <v>9667</v>
      </c>
      <c r="K1298">
        <f>RAW_DATA!K1298</f>
        <v>9</v>
      </c>
      <c r="L1298">
        <f>RAW_DATA!L1298</f>
        <v>3</v>
      </c>
      <c r="M1298">
        <f>RAW_DATA!M1298</f>
        <v>7</v>
      </c>
      <c r="N1298">
        <f t="shared" si="40"/>
        <v>0</v>
      </c>
      <c r="O1298" t="str">
        <f xml:space="preserve"> VLOOKUP(A1298, Lookup_Tables!$G$2:$H$6,2,TRUE)</f>
        <v>25-34</v>
      </c>
      <c r="P1298" t="str">
        <f>_xlfn.XLOOKUP(J1298,Lookup_Tables!$J$2:$J$4,Lookup_Tables!$K$2:$K$4, " ",-1)</f>
        <v>High</v>
      </c>
      <c r="Q1298" t="str">
        <f xml:space="preserve"> _xlfn.XLOOKUP(M1298, Lookup_Tables!$M$2:$M$5,Lookup_Tables!$N$2:$N$5," ", -1)</f>
        <v>Established (5-10)</v>
      </c>
      <c r="R1298" s="4">
        <f t="shared" si="41"/>
        <v>2.3333333333333335</v>
      </c>
      <c r="S1298" t="str">
        <f xml:space="preserve"> _xlfn.XLOOKUP( E1298, Lookup_Tables!$A$2:$A$6,Lookup_Tables!$B$2:$B$6," ", -1)</f>
        <v>Bachelor</v>
      </c>
      <c r="T1298" t="str">
        <f>_xlfn.XLOOKUP(G1298,Lookup_Tables!$D$2:$D$5,Lookup_Tables!$E$2:$E$5)</f>
        <v>Low</v>
      </c>
      <c r="U1298" t="str">
        <f>_xlfn.XLOOKUP(H1298,Lookup_Tables!$D$2:$D$5,Lookup_Tables!$E$2:$E$5)</f>
        <v>High</v>
      </c>
      <c r="V1298" t="str">
        <f>_xlfn.XLOOKUP(L1298,Lookup_Tables!$D$2:$D$5,Lookup_Tables!$E$2:$E$5)</f>
        <v>High</v>
      </c>
    </row>
    <row r="1299" spans="1:22">
      <c r="A1299">
        <f>RAW_DATA!A1299</f>
        <v>26</v>
      </c>
      <c r="B1299" t="str">
        <f>RAW_DATA!B1299</f>
        <v>Yes</v>
      </c>
      <c r="C1299" t="str">
        <f>RAW_DATA!C1299</f>
        <v>Human Resources</v>
      </c>
      <c r="D1299">
        <f>RAW_DATA!D1299</f>
        <v>20</v>
      </c>
      <c r="E1299">
        <f>RAW_DATA!E1299</f>
        <v>2</v>
      </c>
      <c r="F1299" t="str">
        <f>RAW_DATA!F1299</f>
        <v>Medical</v>
      </c>
      <c r="G1299">
        <f>RAW_DATA!G1299</f>
        <v>4</v>
      </c>
      <c r="H1299">
        <f>RAW_DATA!H1299</f>
        <v>2</v>
      </c>
      <c r="I1299" t="str">
        <f>RAW_DATA!I1299</f>
        <v>Married</v>
      </c>
      <c r="J1299">
        <f>RAW_DATA!J1299</f>
        <v>2148</v>
      </c>
      <c r="K1299">
        <f>RAW_DATA!K1299</f>
        <v>0</v>
      </c>
      <c r="L1299">
        <f>RAW_DATA!L1299</f>
        <v>3</v>
      </c>
      <c r="M1299">
        <f>RAW_DATA!M1299</f>
        <v>5</v>
      </c>
      <c r="N1299">
        <f t="shared" si="40"/>
        <v>1</v>
      </c>
      <c r="O1299" t="str">
        <f xml:space="preserve"> VLOOKUP(A1299, Lookup_Tables!$G$2:$H$6,2,TRUE)</f>
        <v>25-34</v>
      </c>
      <c r="P1299" t="str">
        <f>_xlfn.XLOOKUP(J1299,Lookup_Tables!$J$2:$J$4,Lookup_Tables!$K$2:$K$4, " ",-1)</f>
        <v>Low</v>
      </c>
      <c r="Q1299" t="str">
        <f xml:space="preserve"> _xlfn.XLOOKUP(M1299, Lookup_Tables!$M$2:$M$5,Lookup_Tables!$N$2:$N$5," ", -1)</f>
        <v>Established (5-10)</v>
      </c>
      <c r="R1299" s="4">
        <f t="shared" si="41"/>
        <v>3</v>
      </c>
      <c r="S1299" t="str">
        <f xml:space="preserve"> _xlfn.XLOOKUP( E1299, Lookup_Tables!$A$2:$A$6,Lookup_Tables!$B$2:$B$6," ", -1)</f>
        <v>College</v>
      </c>
      <c r="T1299" t="str">
        <f>_xlfn.XLOOKUP(G1299,Lookup_Tables!$D$2:$D$5,Lookup_Tables!$E$2:$E$5)</f>
        <v>Very High</v>
      </c>
      <c r="U1299" t="str">
        <f>_xlfn.XLOOKUP(H1299,Lookup_Tables!$D$2:$D$5,Lookup_Tables!$E$2:$E$5)</f>
        <v>Medium</v>
      </c>
      <c r="V1299" t="str">
        <f>_xlfn.XLOOKUP(L1299,Lookup_Tables!$D$2:$D$5,Lookup_Tables!$E$2:$E$5)</f>
        <v>High</v>
      </c>
    </row>
    <row r="1300" spans="1:22">
      <c r="A1300">
        <f>RAW_DATA!A1300</f>
        <v>46</v>
      </c>
      <c r="B1300" t="str">
        <f>RAW_DATA!B1300</f>
        <v>Yes</v>
      </c>
      <c r="C1300" t="str">
        <f>RAW_DATA!C1300</f>
        <v>Research &amp; Development</v>
      </c>
      <c r="D1300">
        <f>RAW_DATA!D1300</f>
        <v>21</v>
      </c>
      <c r="E1300">
        <f>RAW_DATA!E1300</f>
        <v>2</v>
      </c>
      <c r="F1300" t="str">
        <f>RAW_DATA!F1300</f>
        <v>Medical</v>
      </c>
      <c r="G1300">
        <f>RAW_DATA!G1300</f>
        <v>4</v>
      </c>
      <c r="H1300">
        <f>RAW_DATA!H1300</f>
        <v>2</v>
      </c>
      <c r="I1300" t="str">
        <f>RAW_DATA!I1300</f>
        <v>Married</v>
      </c>
      <c r="J1300">
        <f>RAW_DATA!J1300</f>
        <v>8926</v>
      </c>
      <c r="K1300">
        <f>RAW_DATA!K1300</f>
        <v>4</v>
      </c>
      <c r="L1300">
        <f>RAW_DATA!L1300</f>
        <v>4</v>
      </c>
      <c r="M1300">
        <f>RAW_DATA!M1300</f>
        <v>9</v>
      </c>
      <c r="N1300">
        <f t="shared" si="40"/>
        <v>1</v>
      </c>
      <c r="O1300" t="str">
        <f xml:space="preserve"> VLOOKUP(A1300, Lookup_Tables!$G$2:$H$6,2,TRUE)</f>
        <v>45-54</v>
      </c>
      <c r="P1300" t="str">
        <f>_xlfn.XLOOKUP(J1300,Lookup_Tables!$J$2:$J$4,Lookup_Tables!$K$2:$K$4, " ",-1)</f>
        <v>High</v>
      </c>
      <c r="Q1300" t="str">
        <f xml:space="preserve"> _xlfn.XLOOKUP(M1300, Lookup_Tables!$M$2:$M$5,Lookup_Tables!$N$2:$N$5," ", -1)</f>
        <v>Established (5-10)</v>
      </c>
      <c r="R1300" s="4">
        <f t="shared" si="41"/>
        <v>3.3333333333333335</v>
      </c>
      <c r="S1300" t="str">
        <f xml:space="preserve"> _xlfn.XLOOKUP( E1300, Lookup_Tables!$A$2:$A$6,Lookup_Tables!$B$2:$B$6," ", -1)</f>
        <v>College</v>
      </c>
      <c r="T1300" t="str">
        <f>_xlfn.XLOOKUP(G1300,Lookup_Tables!$D$2:$D$5,Lookup_Tables!$E$2:$E$5)</f>
        <v>Very High</v>
      </c>
      <c r="U1300" t="str">
        <f>_xlfn.XLOOKUP(H1300,Lookup_Tables!$D$2:$D$5,Lookup_Tables!$E$2:$E$5)</f>
        <v>Medium</v>
      </c>
      <c r="V1300" t="str">
        <f>_xlfn.XLOOKUP(L1300,Lookup_Tables!$D$2:$D$5,Lookup_Tables!$E$2:$E$5)</f>
        <v>Very High</v>
      </c>
    </row>
    <row r="1301" spans="1:22">
      <c r="A1301">
        <f>RAW_DATA!A1301</f>
        <v>40</v>
      </c>
      <c r="B1301" t="str">
        <f>RAW_DATA!B1301</f>
        <v>No</v>
      </c>
      <c r="C1301" t="str">
        <f>RAW_DATA!C1301</f>
        <v>Research &amp; Development</v>
      </c>
      <c r="D1301">
        <f>RAW_DATA!D1301</f>
        <v>1</v>
      </c>
      <c r="E1301">
        <f>RAW_DATA!E1301</f>
        <v>3</v>
      </c>
      <c r="F1301" t="str">
        <f>RAW_DATA!F1301</f>
        <v>Life Sciences</v>
      </c>
      <c r="G1301">
        <f>RAW_DATA!G1301</f>
        <v>3</v>
      </c>
      <c r="H1301">
        <f>RAW_DATA!H1301</f>
        <v>4</v>
      </c>
      <c r="I1301" t="str">
        <f>RAW_DATA!I1301</f>
        <v>Divorced</v>
      </c>
      <c r="J1301">
        <f>RAW_DATA!J1301</f>
        <v>6513</v>
      </c>
      <c r="K1301">
        <f>RAW_DATA!K1301</f>
        <v>4</v>
      </c>
      <c r="L1301">
        <f>RAW_DATA!L1301</f>
        <v>3</v>
      </c>
      <c r="M1301">
        <f>RAW_DATA!M1301</f>
        <v>5</v>
      </c>
      <c r="N1301">
        <f t="shared" si="40"/>
        <v>0</v>
      </c>
      <c r="O1301" t="str">
        <f xml:space="preserve"> VLOOKUP(A1301, Lookup_Tables!$G$2:$H$6,2,TRUE)</f>
        <v>35-44</v>
      </c>
      <c r="P1301" t="str">
        <f>_xlfn.XLOOKUP(J1301,Lookup_Tables!$J$2:$J$4,Lookup_Tables!$K$2:$K$4, " ",-1)</f>
        <v>Medium</v>
      </c>
      <c r="Q1301" t="str">
        <f xml:space="preserve"> _xlfn.XLOOKUP(M1301, Lookup_Tables!$M$2:$M$5,Lookup_Tables!$N$2:$N$5," ", -1)</f>
        <v>Established (5-10)</v>
      </c>
      <c r="R1301" s="4">
        <f t="shared" si="41"/>
        <v>3.3333333333333335</v>
      </c>
      <c r="S1301" t="str">
        <f xml:space="preserve"> _xlfn.XLOOKUP( E1301, Lookup_Tables!$A$2:$A$6,Lookup_Tables!$B$2:$B$6," ", -1)</f>
        <v>Bachelor</v>
      </c>
      <c r="T1301" t="str">
        <f>_xlfn.XLOOKUP(G1301,Lookup_Tables!$D$2:$D$5,Lookup_Tables!$E$2:$E$5)</f>
        <v>High</v>
      </c>
      <c r="U1301" t="str">
        <f>_xlfn.XLOOKUP(H1301,Lookup_Tables!$D$2:$D$5,Lookup_Tables!$E$2:$E$5)</f>
        <v>Very High</v>
      </c>
      <c r="V1301" t="str">
        <f>_xlfn.XLOOKUP(L1301,Lookup_Tables!$D$2:$D$5,Lookup_Tables!$E$2:$E$5)</f>
        <v>High</v>
      </c>
    </row>
    <row r="1302" spans="1:22">
      <c r="A1302">
        <f>RAW_DATA!A1302</f>
        <v>34</v>
      </c>
      <c r="B1302" t="str">
        <f>RAW_DATA!B1302</f>
        <v>No</v>
      </c>
      <c r="C1302" t="str">
        <f>RAW_DATA!C1302</f>
        <v>Sales</v>
      </c>
      <c r="D1302">
        <f>RAW_DATA!D1302</f>
        <v>8</v>
      </c>
      <c r="E1302">
        <f>RAW_DATA!E1302</f>
        <v>2</v>
      </c>
      <c r="F1302" t="str">
        <f>RAW_DATA!F1302</f>
        <v>Technical Degree</v>
      </c>
      <c r="G1302">
        <f>RAW_DATA!G1302</f>
        <v>2</v>
      </c>
      <c r="H1302">
        <f>RAW_DATA!H1302</f>
        <v>3</v>
      </c>
      <c r="I1302" t="str">
        <f>RAW_DATA!I1302</f>
        <v>Married</v>
      </c>
      <c r="J1302">
        <f>RAW_DATA!J1302</f>
        <v>6799</v>
      </c>
      <c r="K1302">
        <f>RAW_DATA!K1302</f>
        <v>1</v>
      </c>
      <c r="L1302">
        <f>RAW_DATA!L1302</f>
        <v>3</v>
      </c>
      <c r="M1302">
        <f>RAW_DATA!M1302</f>
        <v>10</v>
      </c>
      <c r="N1302">
        <f t="shared" si="40"/>
        <v>0</v>
      </c>
      <c r="O1302" t="str">
        <f xml:space="preserve"> VLOOKUP(A1302, Lookup_Tables!$G$2:$H$6,2,TRUE)</f>
        <v>25-34</v>
      </c>
      <c r="P1302" t="str">
        <f>_xlfn.XLOOKUP(J1302,Lookup_Tables!$J$2:$J$4,Lookup_Tables!$K$2:$K$4, " ",-1)</f>
        <v>Medium</v>
      </c>
      <c r="Q1302" t="str">
        <f xml:space="preserve"> _xlfn.XLOOKUP(M1302, Lookup_Tables!$M$2:$M$5,Lookup_Tables!$N$2:$N$5," ", -1)</f>
        <v>Veteran (10+)</v>
      </c>
      <c r="R1302" s="4">
        <f t="shared" si="41"/>
        <v>2.6666666666666665</v>
      </c>
      <c r="S1302" t="str">
        <f xml:space="preserve"> _xlfn.XLOOKUP( E1302, Lookup_Tables!$A$2:$A$6,Lookup_Tables!$B$2:$B$6," ", -1)</f>
        <v>College</v>
      </c>
      <c r="T1302" t="str">
        <f>_xlfn.XLOOKUP(G1302,Lookup_Tables!$D$2:$D$5,Lookup_Tables!$E$2:$E$5)</f>
        <v>Medium</v>
      </c>
      <c r="U1302" t="str">
        <f>_xlfn.XLOOKUP(H1302,Lookup_Tables!$D$2:$D$5,Lookup_Tables!$E$2:$E$5)</f>
        <v>High</v>
      </c>
      <c r="V1302" t="str">
        <f>_xlfn.XLOOKUP(L1302,Lookup_Tables!$D$2:$D$5,Lookup_Tables!$E$2:$E$5)</f>
        <v>High</v>
      </c>
    </row>
    <row r="1303" spans="1:22">
      <c r="A1303">
        <f>RAW_DATA!A1303</f>
        <v>58</v>
      </c>
      <c r="B1303" t="str">
        <f>RAW_DATA!B1303</f>
        <v>No</v>
      </c>
      <c r="C1303" t="str">
        <f>RAW_DATA!C1303</f>
        <v>Sales</v>
      </c>
      <c r="D1303">
        <f>RAW_DATA!D1303</f>
        <v>2</v>
      </c>
      <c r="E1303">
        <f>RAW_DATA!E1303</f>
        <v>3</v>
      </c>
      <c r="F1303" t="str">
        <f>RAW_DATA!F1303</f>
        <v>Medical</v>
      </c>
      <c r="G1303">
        <f>RAW_DATA!G1303</f>
        <v>2</v>
      </c>
      <c r="H1303">
        <f>RAW_DATA!H1303</f>
        <v>2</v>
      </c>
      <c r="I1303" t="str">
        <f>RAW_DATA!I1303</f>
        <v>Divorced</v>
      </c>
      <c r="J1303">
        <f>RAW_DATA!J1303</f>
        <v>16291</v>
      </c>
      <c r="K1303">
        <f>RAW_DATA!K1303</f>
        <v>4</v>
      </c>
      <c r="L1303">
        <f>RAW_DATA!L1303</f>
        <v>2</v>
      </c>
      <c r="M1303">
        <f>RAW_DATA!M1303</f>
        <v>16</v>
      </c>
      <c r="N1303">
        <f t="shared" si="40"/>
        <v>0</v>
      </c>
      <c r="O1303" t="str">
        <f xml:space="preserve"> VLOOKUP(A1303, Lookup_Tables!$G$2:$H$6,2,TRUE)</f>
        <v>55+</v>
      </c>
      <c r="P1303" t="str">
        <f>_xlfn.XLOOKUP(J1303,Lookup_Tables!$J$2:$J$4,Lookup_Tables!$K$2:$K$4, " ",-1)</f>
        <v>High</v>
      </c>
      <c r="Q1303" t="str">
        <f xml:space="preserve"> _xlfn.XLOOKUP(M1303, Lookup_Tables!$M$2:$M$5,Lookup_Tables!$N$2:$N$5," ", -1)</f>
        <v>Veteran (10+)</v>
      </c>
      <c r="R1303" s="4">
        <f t="shared" si="41"/>
        <v>2</v>
      </c>
      <c r="S1303" t="str">
        <f xml:space="preserve"> _xlfn.XLOOKUP( E1303, Lookup_Tables!$A$2:$A$6,Lookup_Tables!$B$2:$B$6," ", -1)</f>
        <v>Bachelor</v>
      </c>
      <c r="T1303" t="str">
        <f>_xlfn.XLOOKUP(G1303,Lookup_Tables!$D$2:$D$5,Lookup_Tables!$E$2:$E$5)</f>
        <v>Medium</v>
      </c>
      <c r="U1303" t="str">
        <f>_xlfn.XLOOKUP(H1303,Lookup_Tables!$D$2:$D$5,Lookup_Tables!$E$2:$E$5)</f>
        <v>Medium</v>
      </c>
      <c r="V1303" t="str">
        <f>_xlfn.XLOOKUP(L1303,Lookup_Tables!$D$2:$D$5,Lookup_Tables!$E$2:$E$5)</f>
        <v>Medium</v>
      </c>
    </row>
    <row r="1304" spans="1:22">
      <c r="A1304">
        <f>RAW_DATA!A1304</f>
        <v>35</v>
      </c>
      <c r="B1304" t="str">
        <f>RAW_DATA!B1304</f>
        <v>No</v>
      </c>
      <c r="C1304" t="str">
        <f>RAW_DATA!C1304</f>
        <v>Research &amp; Development</v>
      </c>
      <c r="D1304">
        <f>RAW_DATA!D1304</f>
        <v>23</v>
      </c>
      <c r="E1304">
        <f>RAW_DATA!E1304</f>
        <v>4</v>
      </c>
      <c r="F1304" t="str">
        <f>RAW_DATA!F1304</f>
        <v>Medical</v>
      </c>
      <c r="G1304">
        <f>RAW_DATA!G1304</f>
        <v>2</v>
      </c>
      <c r="H1304">
        <f>RAW_DATA!H1304</f>
        <v>3</v>
      </c>
      <c r="I1304" t="str">
        <f>RAW_DATA!I1304</f>
        <v>Married</v>
      </c>
      <c r="J1304">
        <f>RAW_DATA!J1304</f>
        <v>2705</v>
      </c>
      <c r="K1304">
        <f>RAW_DATA!K1304</f>
        <v>0</v>
      </c>
      <c r="L1304">
        <f>RAW_DATA!L1304</f>
        <v>4</v>
      </c>
      <c r="M1304">
        <f>RAW_DATA!M1304</f>
        <v>5</v>
      </c>
      <c r="N1304">
        <f t="shared" si="40"/>
        <v>0</v>
      </c>
      <c r="O1304" t="str">
        <f xml:space="preserve"> VLOOKUP(A1304, Lookup_Tables!$G$2:$H$6,2,TRUE)</f>
        <v>35-44</v>
      </c>
      <c r="P1304" t="str">
        <f>_xlfn.XLOOKUP(J1304,Lookup_Tables!$J$2:$J$4,Lookup_Tables!$K$2:$K$4, " ",-1)</f>
        <v>Low</v>
      </c>
      <c r="Q1304" t="str">
        <f xml:space="preserve"> _xlfn.XLOOKUP(M1304, Lookup_Tables!$M$2:$M$5,Lookup_Tables!$N$2:$N$5," ", -1)</f>
        <v>Established (5-10)</v>
      </c>
      <c r="R1304" s="4">
        <f t="shared" si="41"/>
        <v>3</v>
      </c>
      <c r="S1304" t="str">
        <f xml:space="preserve"> _xlfn.XLOOKUP( E1304, Lookup_Tables!$A$2:$A$6,Lookup_Tables!$B$2:$B$6," ", -1)</f>
        <v>Master</v>
      </c>
      <c r="T1304" t="str">
        <f>_xlfn.XLOOKUP(G1304,Lookup_Tables!$D$2:$D$5,Lookup_Tables!$E$2:$E$5)</f>
        <v>Medium</v>
      </c>
      <c r="U1304" t="str">
        <f>_xlfn.XLOOKUP(H1304,Lookup_Tables!$D$2:$D$5,Lookup_Tables!$E$2:$E$5)</f>
        <v>High</v>
      </c>
      <c r="V1304" t="str">
        <f>_xlfn.XLOOKUP(L1304,Lookup_Tables!$D$2:$D$5,Lookup_Tables!$E$2:$E$5)</f>
        <v>Very High</v>
      </c>
    </row>
    <row r="1305" spans="1:22">
      <c r="A1305">
        <f>RAW_DATA!A1305</f>
        <v>47</v>
      </c>
      <c r="B1305" t="str">
        <f>RAW_DATA!B1305</f>
        <v>No</v>
      </c>
      <c r="C1305" t="str">
        <f>RAW_DATA!C1305</f>
        <v>Research &amp; Development</v>
      </c>
      <c r="D1305">
        <f>RAW_DATA!D1305</f>
        <v>4</v>
      </c>
      <c r="E1305">
        <f>RAW_DATA!E1305</f>
        <v>3</v>
      </c>
      <c r="F1305" t="str">
        <f>RAW_DATA!F1305</f>
        <v>Life Sciences</v>
      </c>
      <c r="G1305">
        <f>RAW_DATA!G1305</f>
        <v>3</v>
      </c>
      <c r="H1305">
        <f>RAW_DATA!H1305</f>
        <v>2</v>
      </c>
      <c r="I1305" t="str">
        <f>RAW_DATA!I1305</f>
        <v>Divorced</v>
      </c>
      <c r="J1305">
        <f>RAW_DATA!J1305</f>
        <v>10333</v>
      </c>
      <c r="K1305">
        <f>RAW_DATA!K1305</f>
        <v>8</v>
      </c>
      <c r="L1305">
        <f>RAW_DATA!L1305</f>
        <v>3</v>
      </c>
      <c r="M1305">
        <f>RAW_DATA!M1305</f>
        <v>22</v>
      </c>
      <c r="N1305">
        <f t="shared" si="40"/>
        <v>0</v>
      </c>
      <c r="O1305" t="str">
        <f xml:space="preserve"> VLOOKUP(A1305, Lookup_Tables!$G$2:$H$6,2,TRUE)</f>
        <v>45-54</v>
      </c>
      <c r="P1305" t="str">
        <f>_xlfn.XLOOKUP(J1305,Lookup_Tables!$J$2:$J$4,Lookup_Tables!$K$2:$K$4, " ",-1)</f>
        <v>High</v>
      </c>
      <c r="Q1305" t="str">
        <f xml:space="preserve"> _xlfn.XLOOKUP(M1305, Lookup_Tables!$M$2:$M$5,Lookup_Tables!$N$2:$N$5," ", -1)</f>
        <v>Veteran (10+)</v>
      </c>
      <c r="R1305" s="4">
        <f t="shared" si="41"/>
        <v>2.6666666666666665</v>
      </c>
      <c r="S1305" t="str">
        <f xml:space="preserve"> _xlfn.XLOOKUP( E1305, Lookup_Tables!$A$2:$A$6,Lookup_Tables!$B$2:$B$6," ", -1)</f>
        <v>Bachelor</v>
      </c>
      <c r="T1305" t="str">
        <f>_xlfn.XLOOKUP(G1305,Lookup_Tables!$D$2:$D$5,Lookup_Tables!$E$2:$E$5)</f>
        <v>High</v>
      </c>
      <c r="U1305" t="str">
        <f>_xlfn.XLOOKUP(H1305,Lookup_Tables!$D$2:$D$5,Lookup_Tables!$E$2:$E$5)</f>
        <v>Medium</v>
      </c>
      <c r="V1305" t="str">
        <f>_xlfn.XLOOKUP(L1305,Lookup_Tables!$D$2:$D$5,Lookup_Tables!$E$2:$E$5)</f>
        <v>High</v>
      </c>
    </row>
    <row r="1306" spans="1:22">
      <c r="A1306">
        <f>RAW_DATA!A1306</f>
        <v>40</v>
      </c>
      <c r="B1306" t="str">
        <f>RAW_DATA!B1306</f>
        <v>No</v>
      </c>
      <c r="C1306" t="str">
        <f>RAW_DATA!C1306</f>
        <v>Research &amp; Development</v>
      </c>
      <c r="D1306">
        <f>RAW_DATA!D1306</f>
        <v>12</v>
      </c>
      <c r="E1306">
        <f>RAW_DATA!E1306</f>
        <v>3</v>
      </c>
      <c r="F1306" t="str">
        <f>RAW_DATA!F1306</f>
        <v>Life Sciences</v>
      </c>
      <c r="G1306">
        <f>RAW_DATA!G1306</f>
        <v>2</v>
      </c>
      <c r="H1306">
        <f>RAW_DATA!H1306</f>
        <v>1</v>
      </c>
      <c r="I1306" t="str">
        <f>RAW_DATA!I1306</f>
        <v>Divorced</v>
      </c>
      <c r="J1306">
        <f>RAW_DATA!J1306</f>
        <v>4448</v>
      </c>
      <c r="K1306">
        <f>RAW_DATA!K1306</f>
        <v>2</v>
      </c>
      <c r="L1306">
        <f>RAW_DATA!L1306</f>
        <v>3</v>
      </c>
      <c r="M1306">
        <f>RAW_DATA!M1306</f>
        <v>7</v>
      </c>
      <c r="N1306">
        <f t="shared" si="40"/>
        <v>0</v>
      </c>
      <c r="O1306" t="str">
        <f xml:space="preserve"> VLOOKUP(A1306, Lookup_Tables!$G$2:$H$6,2,TRUE)</f>
        <v>35-44</v>
      </c>
      <c r="P1306" t="str">
        <f>_xlfn.XLOOKUP(J1306,Lookup_Tables!$J$2:$J$4,Lookup_Tables!$K$2:$K$4, " ",-1)</f>
        <v>Medium</v>
      </c>
      <c r="Q1306" t="str">
        <f xml:space="preserve"> _xlfn.XLOOKUP(M1306, Lookup_Tables!$M$2:$M$5,Lookup_Tables!$N$2:$N$5," ", -1)</f>
        <v>Established (5-10)</v>
      </c>
      <c r="R1306" s="4">
        <f t="shared" si="41"/>
        <v>2</v>
      </c>
      <c r="S1306" t="str">
        <f xml:space="preserve"> _xlfn.XLOOKUP( E1306, Lookup_Tables!$A$2:$A$6,Lookup_Tables!$B$2:$B$6," ", -1)</f>
        <v>Bachelor</v>
      </c>
      <c r="T1306" t="str">
        <f>_xlfn.XLOOKUP(G1306,Lookup_Tables!$D$2:$D$5,Lookup_Tables!$E$2:$E$5)</f>
        <v>Medium</v>
      </c>
      <c r="U1306" t="str">
        <f>_xlfn.XLOOKUP(H1306,Lookup_Tables!$D$2:$D$5,Lookup_Tables!$E$2:$E$5)</f>
        <v>Low</v>
      </c>
      <c r="V1306" t="str">
        <f>_xlfn.XLOOKUP(L1306,Lookup_Tables!$D$2:$D$5,Lookup_Tables!$E$2:$E$5)</f>
        <v>High</v>
      </c>
    </row>
    <row r="1307" spans="1:22">
      <c r="A1307">
        <f>RAW_DATA!A1307</f>
        <v>54</v>
      </c>
      <c r="B1307" t="str">
        <f>RAW_DATA!B1307</f>
        <v>No</v>
      </c>
      <c r="C1307" t="str">
        <f>RAW_DATA!C1307</f>
        <v>Research &amp; Development</v>
      </c>
      <c r="D1307">
        <f>RAW_DATA!D1307</f>
        <v>7</v>
      </c>
      <c r="E1307">
        <f>RAW_DATA!E1307</f>
        <v>4</v>
      </c>
      <c r="F1307" t="str">
        <f>RAW_DATA!F1307</f>
        <v>Medical</v>
      </c>
      <c r="G1307">
        <f>RAW_DATA!G1307</f>
        <v>4</v>
      </c>
      <c r="H1307">
        <f>RAW_DATA!H1307</f>
        <v>4</v>
      </c>
      <c r="I1307" t="str">
        <f>RAW_DATA!I1307</f>
        <v>Married</v>
      </c>
      <c r="J1307">
        <f>RAW_DATA!J1307</f>
        <v>6854</v>
      </c>
      <c r="K1307">
        <f>RAW_DATA!K1307</f>
        <v>4</v>
      </c>
      <c r="L1307">
        <f>RAW_DATA!L1307</f>
        <v>2</v>
      </c>
      <c r="M1307">
        <f>RAW_DATA!M1307</f>
        <v>7</v>
      </c>
      <c r="N1307">
        <f t="shared" si="40"/>
        <v>0</v>
      </c>
      <c r="O1307" t="str">
        <f xml:space="preserve"> VLOOKUP(A1307, Lookup_Tables!$G$2:$H$6,2,TRUE)</f>
        <v>45-54</v>
      </c>
      <c r="P1307" t="str">
        <f>_xlfn.XLOOKUP(J1307,Lookup_Tables!$J$2:$J$4,Lookup_Tables!$K$2:$K$4, " ",-1)</f>
        <v>Medium</v>
      </c>
      <c r="Q1307" t="str">
        <f xml:space="preserve"> _xlfn.XLOOKUP(M1307, Lookup_Tables!$M$2:$M$5,Lookup_Tables!$N$2:$N$5," ", -1)</f>
        <v>Established (5-10)</v>
      </c>
      <c r="R1307" s="4">
        <f t="shared" si="41"/>
        <v>3.3333333333333335</v>
      </c>
      <c r="S1307" t="str">
        <f xml:space="preserve"> _xlfn.XLOOKUP( E1307, Lookup_Tables!$A$2:$A$6,Lookup_Tables!$B$2:$B$6," ", -1)</f>
        <v>Master</v>
      </c>
      <c r="T1307" t="str">
        <f>_xlfn.XLOOKUP(G1307,Lookup_Tables!$D$2:$D$5,Lookup_Tables!$E$2:$E$5)</f>
        <v>Very High</v>
      </c>
      <c r="U1307" t="str">
        <f>_xlfn.XLOOKUP(H1307,Lookup_Tables!$D$2:$D$5,Lookup_Tables!$E$2:$E$5)</f>
        <v>Very High</v>
      </c>
      <c r="V1307" t="str">
        <f>_xlfn.XLOOKUP(L1307,Lookup_Tables!$D$2:$D$5,Lookup_Tables!$E$2:$E$5)</f>
        <v>Medium</v>
      </c>
    </row>
    <row r="1308" spans="1:22">
      <c r="A1308">
        <f>RAW_DATA!A1308</f>
        <v>31</v>
      </c>
      <c r="B1308" t="str">
        <f>RAW_DATA!B1308</f>
        <v>No</v>
      </c>
      <c r="C1308" t="str">
        <f>RAW_DATA!C1308</f>
        <v>Sales</v>
      </c>
      <c r="D1308">
        <f>RAW_DATA!D1308</f>
        <v>7</v>
      </c>
      <c r="E1308">
        <f>RAW_DATA!E1308</f>
        <v>4</v>
      </c>
      <c r="F1308" t="str">
        <f>RAW_DATA!F1308</f>
        <v>Marketing</v>
      </c>
      <c r="G1308">
        <f>RAW_DATA!G1308</f>
        <v>1</v>
      </c>
      <c r="H1308">
        <f>RAW_DATA!H1308</f>
        <v>1</v>
      </c>
      <c r="I1308" t="str">
        <f>RAW_DATA!I1308</f>
        <v>Married</v>
      </c>
      <c r="J1308">
        <f>RAW_DATA!J1308</f>
        <v>9637</v>
      </c>
      <c r="K1308">
        <f>RAW_DATA!K1308</f>
        <v>2</v>
      </c>
      <c r="L1308">
        <f>RAW_DATA!L1308</f>
        <v>3</v>
      </c>
      <c r="M1308">
        <f>RAW_DATA!M1308</f>
        <v>3</v>
      </c>
      <c r="N1308">
        <f t="shared" si="40"/>
        <v>0</v>
      </c>
      <c r="O1308" t="str">
        <f xml:space="preserve"> VLOOKUP(A1308, Lookup_Tables!$G$2:$H$6,2,TRUE)</f>
        <v>25-34</v>
      </c>
      <c r="P1308" t="str">
        <f>_xlfn.XLOOKUP(J1308,Lookup_Tables!$J$2:$J$4,Lookup_Tables!$K$2:$K$4, " ",-1)</f>
        <v>High</v>
      </c>
      <c r="Q1308" t="str">
        <f xml:space="preserve"> _xlfn.XLOOKUP(M1308, Lookup_Tables!$M$2:$M$5,Lookup_Tables!$N$2:$N$5," ", -1)</f>
        <v>Early (2-5)</v>
      </c>
      <c r="R1308" s="4">
        <f t="shared" si="41"/>
        <v>1.6666666666666667</v>
      </c>
      <c r="S1308" t="str">
        <f xml:space="preserve"> _xlfn.XLOOKUP( E1308, Lookup_Tables!$A$2:$A$6,Lookup_Tables!$B$2:$B$6," ", -1)</f>
        <v>Master</v>
      </c>
      <c r="T1308" t="str">
        <f>_xlfn.XLOOKUP(G1308,Lookup_Tables!$D$2:$D$5,Lookup_Tables!$E$2:$E$5)</f>
        <v>Low</v>
      </c>
      <c r="U1308" t="str">
        <f>_xlfn.XLOOKUP(H1308,Lookup_Tables!$D$2:$D$5,Lookup_Tables!$E$2:$E$5)</f>
        <v>Low</v>
      </c>
      <c r="V1308" t="str">
        <f>_xlfn.XLOOKUP(L1308,Lookup_Tables!$D$2:$D$5,Lookup_Tables!$E$2:$E$5)</f>
        <v>High</v>
      </c>
    </row>
    <row r="1309" spans="1:22">
      <c r="A1309">
        <f>RAW_DATA!A1309</f>
        <v>28</v>
      </c>
      <c r="B1309" t="str">
        <f>RAW_DATA!B1309</f>
        <v>No</v>
      </c>
      <c r="C1309" t="str">
        <f>RAW_DATA!C1309</f>
        <v>Research &amp; Development</v>
      </c>
      <c r="D1309">
        <f>RAW_DATA!D1309</f>
        <v>1</v>
      </c>
      <c r="E1309">
        <f>RAW_DATA!E1309</f>
        <v>3</v>
      </c>
      <c r="F1309" t="str">
        <f>RAW_DATA!F1309</f>
        <v>Medical</v>
      </c>
      <c r="G1309">
        <f>RAW_DATA!G1309</f>
        <v>3</v>
      </c>
      <c r="H1309">
        <f>RAW_DATA!H1309</f>
        <v>1</v>
      </c>
      <c r="I1309" t="str">
        <f>RAW_DATA!I1309</f>
        <v>Married</v>
      </c>
      <c r="J1309">
        <f>RAW_DATA!J1309</f>
        <v>3591</v>
      </c>
      <c r="K1309">
        <f>RAW_DATA!K1309</f>
        <v>1</v>
      </c>
      <c r="L1309">
        <f>RAW_DATA!L1309</f>
        <v>3</v>
      </c>
      <c r="M1309">
        <f>RAW_DATA!M1309</f>
        <v>3</v>
      </c>
      <c r="N1309">
        <f t="shared" si="40"/>
        <v>0</v>
      </c>
      <c r="O1309" t="str">
        <f xml:space="preserve"> VLOOKUP(A1309, Lookup_Tables!$G$2:$H$6,2,TRUE)</f>
        <v>25-34</v>
      </c>
      <c r="P1309" t="str">
        <f>_xlfn.XLOOKUP(J1309,Lookup_Tables!$J$2:$J$4,Lookup_Tables!$K$2:$K$4, " ",-1)</f>
        <v>Medium</v>
      </c>
      <c r="Q1309" t="str">
        <f xml:space="preserve"> _xlfn.XLOOKUP(M1309, Lookup_Tables!$M$2:$M$5,Lookup_Tables!$N$2:$N$5," ", -1)</f>
        <v>Early (2-5)</v>
      </c>
      <c r="R1309" s="4">
        <f t="shared" si="41"/>
        <v>2.3333333333333335</v>
      </c>
      <c r="S1309" t="str">
        <f xml:space="preserve"> _xlfn.XLOOKUP( E1309, Lookup_Tables!$A$2:$A$6,Lookup_Tables!$B$2:$B$6," ", -1)</f>
        <v>Bachelor</v>
      </c>
      <c r="T1309" t="str">
        <f>_xlfn.XLOOKUP(G1309,Lookup_Tables!$D$2:$D$5,Lookup_Tables!$E$2:$E$5)</f>
        <v>High</v>
      </c>
      <c r="U1309" t="str">
        <f>_xlfn.XLOOKUP(H1309,Lookup_Tables!$D$2:$D$5,Lookup_Tables!$E$2:$E$5)</f>
        <v>Low</v>
      </c>
      <c r="V1309" t="str">
        <f>_xlfn.XLOOKUP(L1309,Lookup_Tables!$D$2:$D$5,Lookup_Tables!$E$2:$E$5)</f>
        <v>High</v>
      </c>
    </row>
    <row r="1310" spans="1:22">
      <c r="A1310">
        <f>RAW_DATA!A1310</f>
        <v>38</v>
      </c>
      <c r="B1310" t="str">
        <f>RAW_DATA!B1310</f>
        <v>No</v>
      </c>
      <c r="C1310" t="str">
        <f>RAW_DATA!C1310</f>
        <v>Sales</v>
      </c>
      <c r="D1310">
        <f>RAW_DATA!D1310</f>
        <v>2</v>
      </c>
      <c r="E1310">
        <f>RAW_DATA!E1310</f>
        <v>4</v>
      </c>
      <c r="F1310" t="str">
        <f>RAW_DATA!F1310</f>
        <v>Marketing</v>
      </c>
      <c r="G1310">
        <f>RAW_DATA!G1310</f>
        <v>2</v>
      </c>
      <c r="H1310">
        <f>RAW_DATA!H1310</f>
        <v>4</v>
      </c>
      <c r="I1310" t="str">
        <f>RAW_DATA!I1310</f>
        <v>Married</v>
      </c>
      <c r="J1310">
        <f>RAW_DATA!J1310</f>
        <v>5405</v>
      </c>
      <c r="K1310">
        <f>RAW_DATA!K1310</f>
        <v>2</v>
      </c>
      <c r="L1310">
        <f>RAW_DATA!L1310</f>
        <v>2</v>
      </c>
      <c r="M1310">
        <f>RAW_DATA!M1310</f>
        <v>4</v>
      </c>
      <c r="N1310">
        <f t="shared" si="40"/>
        <v>0</v>
      </c>
      <c r="O1310" t="str">
        <f xml:space="preserve"> VLOOKUP(A1310, Lookup_Tables!$G$2:$H$6,2,TRUE)</f>
        <v>35-44</v>
      </c>
      <c r="P1310" t="str">
        <f>_xlfn.XLOOKUP(J1310,Lookup_Tables!$J$2:$J$4,Lookup_Tables!$K$2:$K$4, " ",-1)</f>
        <v>Medium</v>
      </c>
      <c r="Q1310" t="str">
        <f xml:space="preserve"> _xlfn.XLOOKUP(M1310, Lookup_Tables!$M$2:$M$5,Lookup_Tables!$N$2:$N$5," ", -1)</f>
        <v>Early (2-5)</v>
      </c>
      <c r="R1310" s="4">
        <f t="shared" si="41"/>
        <v>2.6666666666666665</v>
      </c>
      <c r="S1310" t="str">
        <f xml:space="preserve"> _xlfn.XLOOKUP( E1310, Lookup_Tables!$A$2:$A$6,Lookup_Tables!$B$2:$B$6," ", -1)</f>
        <v>Master</v>
      </c>
      <c r="T1310" t="str">
        <f>_xlfn.XLOOKUP(G1310,Lookup_Tables!$D$2:$D$5,Lookup_Tables!$E$2:$E$5)</f>
        <v>Medium</v>
      </c>
      <c r="U1310" t="str">
        <f>_xlfn.XLOOKUP(H1310,Lookup_Tables!$D$2:$D$5,Lookup_Tables!$E$2:$E$5)</f>
        <v>Very High</v>
      </c>
      <c r="V1310" t="str">
        <f>_xlfn.XLOOKUP(L1310,Lookup_Tables!$D$2:$D$5,Lookup_Tables!$E$2:$E$5)</f>
        <v>Medium</v>
      </c>
    </row>
    <row r="1311" spans="1:22">
      <c r="A1311">
        <f>RAW_DATA!A1311</f>
        <v>26</v>
      </c>
      <c r="B1311" t="str">
        <f>RAW_DATA!B1311</f>
        <v>No</v>
      </c>
      <c r="C1311" t="str">
        <f>RAW_DATA!C1311</f>
        <v>Sales</v>
      </c>
      <c r="D1311">
        <f>RAW_DATA!D1311</f>
        <v>10</v>
      </c>
      <c r="E1311">
        <f>RAW_DATA!E1311</f>
        <v>3</v>
      </c>
      <c r="F1311" t="str">
        <f>RAW_DATA!F1311</f>
        <v>Medical</v>
      </c>
      <c r="G1311">
        <f>RAW_DATA!G1311</f>
        <v>3</v>
      </c>
      <c r="H1311">
        <f>RAW_DATA!H1311</f>
        <v>4</v>
      </c>
      <c r="I1311" t="str">
        <f>RAW_DATA!I1311</f>
        <v>Single</v>
      </c>
      <c r="J1311">
        <f>RAW_DATA!J1311</f>
        <v>4684</v>
      </c>
      <c r="K1311">
        <f>RAW_DATA!K1311</f>
        <v>1</v>
      </c>
      <c r="L1311">
        <f>RAW_DATA!L1311</f>
        <v>3</v>
      </c>
      <c r="M1311">
        <f>RAW_DATA!M1311</f>
        <v>5</v>
      </c>
      <c r="N1311">
        <f t="shared" si="40"/>
        <v>0</v>
      </c>
      <c r="O1311" t="str">
        <f xml:space="preserve"> VLOOKUP(A1311, Lookup_Tables!$G$2:$H$6,2,TRUE)</f>
        <v>25-34</v>
      </c>
      <c r="P1311" t="str">
        <f>_xlfn.XLOOKUP(J1311,Lookup_Tables!$J$2:$J$4,Lookup_Tables!$K$2:$K$4, " ",-1)</f>
        <v>Medium</v>
      </c>
      <c r="Q1311" t="str">
        <f xml:space="preserve"> _xlfn.XLOOKUP(M1311, Lookup_Tables!$M$2:$M$5,Lookup_Tables!$N$2:$N$5," ", -1)</f>
        <v>Established (5-10)</v>
      </c>
      <c r="R1311" s="4">
        <f t="shared" si="41"/>
        <v>3.3333333333333335</v>
      </c>
      <c r="S1311" t="str">
        <f xml:space="preserve"> _xlfn.XLOOKUP( E1311, Lookup_Tables!$A$2:$A$6,Lookup_Tables!$B$2:$B$6," ", -1)</f>
        <v>Bachelor</v>
      </c>
      <c r="T1311" t="str">
        <f>_xlfn.XLOOKUP(G1311,Lookup_Tables!$D$2:$D$5,Lookup_Tables!$E$2:$E$5)</f>
        <v>High</v>
      </c>
      <c r="U1311" t="str">
        <f>_xlfn.XLOOKUP(H1311,Lookup_Tables!$D$2:$D$5,Lookup_Tables!$E$2:$E$5)</f>
        <v>Very High</v>
      </c>
      <c r="V1311" t="str">
        <f>_xlfn.XLOOKUP(L1311,Lookup_Tables!$D$2:$D$5,Lookup_Tables!$E$2:$E$5)</f>
        <v>High</v>
      </c>
    </row>
    <row r="1312" spans="1:22">
      <c r="A1312">
        <f>RAW_DATA!A1312</f>
        <v>58</v>
      </c>
      <c r="B1312" t="str">
        <f>RAW_DATA!B1312</f>
        <v>No</v>
      </c>
      <c r="C1312" t="str">
        <f>RAW_DATA!C1312</f>
        <v>Research &amp; Development</v>
      </c>
      <c r="D1312">
        <f>RAW_DATA!D1312</f>
        <v>15</v>
      </c>
      <c r="E1312">
        <f>RAW_DATA!E1312</f>
        <v>4</v>
      </c>
      <c r="F1312" t="str">
        <f>RAW_DATA!F1312</f>
        <v>Life Sciences</v>
      </c>
      <c r="G1312">
        <f>RAW_DATA!G1312</f>
        <v>1</v>
      </c>
      <c r="H1312">
        <f>RAW_DATA!H1312</f>
        <v>3</v>
      </c>
      <c r="I1312" t="str">
        <f>RAW_DATA!I1312</f>
        <v>Married</v>
      </c>
      <c r="J1312">
        <f>RAW_DATA!J1312</f>
        <v>15787</v>
      </c>
      <c r="K1312">
        <f>RAW_DATA!K1312</f>
        <v>2</v>
      </c>
      <c r="L1312">
        <f>RAW_DATA!L1312</f>
        <v>3</v>
      </c>
      <c r="M1312">
        <f>RAW_DATA!M1312</f>
        <v>2</v>
      </c>
      <c r="N1312">
        <f t="shared" si="40"/>
        <v>0</v>
      </c>
      <c r="O1312" t="str">
        <f xml:space="preserve"> VLOOKUP(A1312, Lookup_Tables!$G$2:$H$6,2,TRUE)</f>
        <v>55+</v>
      </c>
      <c r="P1312" t="str">
        <f>_xlfn.XLOOKUP(J1312,Lookup_Tables!$J$2:$J$4,Lookup_Tables!$K$2:$K$4, " ",-1)</f>
        <v>High</v>
      </c>
      <c r="Q1312" t="str">
        <f xml:space="preserve"> _xlfn.XLOOKUP(M1312, Lookup_Tables!$M$2:$M$5,Lookup_Tables!$N$2:$N$5," ", -1)</f>
        <v>Early (2-5)</v>
      </c>
      <c r="R1312" s="4">
        <f t="shared" si="41"/>
        <v>2.3333333333333335</v>
      </c>
      <c r="S1312" t="str">
        <f xml:space="preserve"> _xlfn.XLOOKUP( E1312, Lookup_Tables!$A$2:$A$6,Lookup_Tables!$B$2:$B$6," ", -1)</f>
        <v>Master</v>
      </c>
      <c r="T1312" t="str">
        <f>_xlfn.XLOOKUP(G1312,Lookup_Tables!$D$2:$D$5,Lookup_Tables!$E$2:$E$5)</f>
        <v>Low</v>
      </c>
      <c r="U1312" t="str">
        <f>_xlfn.XLOOKUP(H1312,Lookup_Tables!$D$2:$D$5,Lookup_Tables!$E$2:$E$5)</f>
        <v>High</v>
      </c>
      <c r="V1312" t="str">
        <f>_xlfn.XLOOKUP(L1312,Lookup_Tables!$D$2:$D$5,Lookup_Tables!$E$2:$E$5)</f>
        <v>High</v>
      </c>
    </row>
    <row r="1313" spans="1:22">
      <c r="A1313">
        <f>RAW_DATA!A1313</f>
        <v>18</v>
      </c>
      <c r="B1313" t="str">
        <f>RAW_DATA!B1313</f>
        <v>No</v>
      </c>
      <c r="C1313" t="str">
        <f>RAW_DATA!C1313</f>
        <v>Research &amp; Development</v>
      </c>
      <c r="D1313">
        <f>RAW_DATA!D1313</f>
        <v>14</v>
      </c>
      <c r="E1313">
        <f>RAW_DATA!E1313</f>
        <v>3</v>
      </c>
      <c r="F1313" t="str">
        <f>RAW_DATA!F1313</f>
        <v>Medical</v>
      </c>
      <c r="G1313">
        <f>RAW_DATA!G1313</f>
        <v>2</v>
      </c>
      <c r="H1313">
        <f>RAW_DATA!H1313</f>
        <v>3</v>
      </c>
      <c r="I1313" t="str">
        <f>RAW_DATA!I1313</f>
        <v>Single</v>
      </c>
      <c r="J1313">
        <f>RAW_DATA!J1313</f>
        <v>1514</v>
      </c>
      <c r="K1313">
        <f>RAW_DATA!K1313</f>
        <v>1</v>
      </c>
      <c r="L1313">
        <f>RAW_DATA!L1313</f>
        <v>1</v>
      </c>
      <c r="M1313">
        <f>RAW_DATA!M1313</f>
        <v>0</v>
      </c>
      <c r="N1313">
        <f t="shared" si="40"/>
        <v>0</v>
      </c>
      <c r="O1313" t="str">
        <f xml:space="preserve"> VLOOKUP(A1313, Lookup_Tables!$G$2:$H$6,2,TRUE)</f>
        <v>&lt;25</v>
      </c>
      <c r="P1313" t="str">
        <f>_xlfn.XLOOKUP(J1313,Lookup_Tables!$J$2:$J$4,Lookup_Tables!$K$2:$K$4, " ",-1)</f>
        <v>Low</v>
      </c>
      <c r="Q1313" t="str">
        <f xml:space="preserve"> _xlfn.XLOOKUP(M1313, Lookup_Tables!$M$2:$M$5,Lookup_Tables!$N$2:$N$5," ", -1)</f>
        <v>New (0-2)</v>
      </c>
      <c r="R1313" s="4">
        <f t="shared" si="41"/>
        <v>2</v>
      </c>
      <c r="S1313" t="str">
        <f xml:space="preserve"> _xlfn.XLOOKUP( E1313, Lookup_Tables!$A$2:$A$6,Lookup_Tables!$B$2:$B$6," ", -1)</f>
        <v>Bachelor</v>
      </c>
      <c r="T1313" t="str">
        <f>_xlfn.XLOOKUP(G1313,Lookup_Tables!$D$2:$D$5,Lookup_Tables!$E$2:$E$5)</f>
        <v>Medium</v>
      </c>
      <c r="U1313" t="str">
        <f>_xlfn.XLOOKUP(H1313,Lookup_Tables!$D$2:$D$5,Lookup_Tables!$E$2:$E$5)</f>
        <v>High</v>
      </c>
      <c r="V1313" t="str">
        <f>_xlfn.XLOOKUP(L1313,Lookup_Tables!$D$2:$D$5,Lookup_Tables!$E$2:$E$5)</f>
        <v>Low</v>
      </c>
    </row>
    <row r="1314" spans="1:22">
      <c r="A1314">
        <f>RAW_DATA!A1314</f>
        <v>31</v>
      </c>
      <c r="B1314" t="str">
        <f>RAW_DATA!B1314</f>
        <v>Yes</v>
      </c>
      <c r="C1314" t="str">
        <f>RAW_DATA!C1314</f>
        <v>Human Resources</v>
      </c>
      <c r="D1314">
        <f>RAW_DATA!D1314</f>
        <v>18</v>
      </c>
      <c r="E1314">
        <f>RAW_DATA!E1314</f>
        <v>5</v>
      </c>
      <c r="F1314" t="str">
        <f>RAW_DATA!F1314</f>
        <v>Human Resources</v>
      </c>
      <c r="G1314">
        <f>RAW_DATA!G1314</f>
        <v>4</v>
      </c>
      <c r="H1314">
        <f>RAW_DATA!H1314</f>
        <v>1</v>
      </c>
      <c r="I1314" t="str">
        <f>RAW_DATA!I1314</f>
        <v>Married</v>
      </c>
      <c r="J1314">
        <f>RAW_DATA!J1314</f>
        <v>2956</v>
      </c>
      <c r="K1314">
        <f>RAW_DATA!K1314</f>
        <v>0</v>
      </c>
      <c r="L1314">
        <f>RAW_DATA!L1314</f>
        <v>3</v>
      </c>
      <c r="M1314">
        <f>RAW_DATA!M1314</f>
        <v>1</v>
      </c>
      <c r="N1314">
        <f t="shared" si="40"/>
        <v>1</v>
      </c>
      <c r="O1314" t="str">
        <f xml:space="preserve"> VLOOKUP(A1314, Lookup_Tables!$G$2:$H$6,2,TRUE)</f>
        <v>25-34</v>
      </c>
      <c r="P1314" t="str">
        <f>_xlfn.XLOOKUP(J1314,Lookup_Tables!$J$2:$J$4,Lookup_Tables!$K$2:$K$4, " ",-1)</f>
        <v>Low</v>
      </c>
      <c r="Q1314" t="str">
        <f xml:space="preserve"> _xlfn.XLOOKUP(M1314, Lookup_Tables!$M$2:$M$5,Lookup_Tables!$N$2:$N$5," ", -1)</f>
        <v>New (0-2)</v>
      </c>
      <c r="R1314" s="4">
        <f t="shared" si="41"/>
        <v>2.6666666666666665</v>
      </c>
      <c r="S1314" t="str">
        <f xml:space="preserve"> _xlfn.XLOOKUP( E1314, Lookup_Tables!$A$2:$A$6,Lookup_Tables!$B$2:$B$6," ", -1)</f>
        <v>Doctor</v>
      </c>
      <c r="T1314" t="str">
        <f>_xlfn.XLOOKUP(G1314,Lookup_Tables!$D$2:$D$5,Lookup_Tables!$E$2:$E$5)</f>
        <v>Very High</v>
      </c>
      <c r="U1314" t="str">
        <f>_xlfn.XLOOKUP(H1314,Lookup_Tables!$D$2:$D$5,Lookup_Tables!$E$2:$E$5)</f>
        <v>Low</v>
      </c>
      <c r="V1314" t="str">
        <f>_xlfn.XLOOKUP(L1314,Lookup_Tables!$D$2:$D$5,Lookup_Tables!$E$2:$E$5)</f>
        <v>High</v>
      </c>
    </row>
    <row r="1315" spans="1:22">
      <c r="A1315">
        <f>RAW_DATA!A1315</f>
        <v>29</v>
      </c>
      <c r="B1315" t="str">
        <f>RAW_DATA!B1315</f>
        <v>Yes</v>
      </c>
      <c r="C1315" t="str">
        <f>RAW_DATA!C1315</f>
        <v>Human Resources</v>
      </c>
      <c r="D1315">
        <f>RAW_DATA!D1315</f>
        <v>13</v>
      </c>
      <c r="E1315">
        <f>RAW_DATA!E1315</f>
        <v>3</v>
      </c>
      <c r="F1315" t="str">
        <f>RAW_DATA!F1315</f>
        <v>Human Resources</v>
      </c>
      <c r="G1315">
        <f>RAW_DATA!G1315</f>
        <v>1</v>
      </c>
      <c r="H1315">
        <f>RAW_DATA!H1315</f>
        <v>1</v>
      </c>
      <c r="I1315" t="str">
        <f>RAW_DATA!I1315</f>
        <v>Divorced</v>
      </c>
      <c r="J1315">
        <f>RAW_DATA!J1315</f>
        <v>2335</v>
      </c>
      <c r="K1315">
        <f>RAW_DATA!K1315</f>
        <v>4</v>
      </c>
      <c r="L1315">
        <f>RAW_DATA!L1315</f>
        <v>3</v>
      </c>
      <c r="M1315">
        <f>RAW_DATA!M1315</f>
        <v>2</v>
      </c>
      <c r="N1315">
        <f t="shared" si="40"/>
        <v>1</v>
      </c>
      <c r="O1315" t="str">
        <f xml:space="preserve"> VLOOKUP(A1315, Lookup_Tables!$G$2:$H$6,2,TRUE)</f>
        <v>25-34</v>
      </c>
      <c r="P1315" t="str">
        <f>_xlfn.XLOOKUP(J1315,Lookup_Tables!$J$2:$J$4,Lookup_Tables!$K$2:$K$4, " ",-1)</f>
        <v>Low</v>
      </c>
      <c r="Q1315" t="str">
        <f xml:space="preserve"> _xlfn.XLOOKUP(M1315, Lookup_Tables!$M$2:$M$5,Lookup_Tables!$N$2:$N$5," ", -1)</f>
        <v>Early (2-5)</v>
      </c>
      <c r="R1315" s="4">
        <f t="shared" si="41"/>
        <v>1.6666666666666667</v>
      </c>
      <c r="S1315" t="str">
        <f xml:space="preserve"> _xlfn.XLOOKUP( E1315, Lookup_Tables!$A$2:$A$6,Lookup_Tables!$B$2:$B$6," ", -1)</f>
        <v>Bachelor</v>
      </c>
      <c r="T1315" t="str">
        <f>_xlfn.XLOOKUP(G1315,Lookup_Tables!$D$2:$D$5,Lookup_Tables!$E$2:$E$5)</f>
        <v>Low</v>
      </c>
      <c r="U1315" t="str">
        <f>_xlfn.XLOOKUP(H1315,Lookup_Tables!$D$2:$D$5,Lookup_Tables!$E$2:$E$5)</f>
        <v>Low</v>
      </c>
      <c r="V1315" t="str">
        <f>_xlfn.XLOOKUP(L1315,Lookup_Tables!$D$2:$D$5,Lookup_Tables!$E$2:$E$5)</f>
        <v>High</v>
      </c>
    </row>
    <row r="1316" spans="1:22">
      <c r="A1316">
        <f>RAW_DATA!A1316</f>
        <v>45</v>
      </c>
      <c r="B1316" t="str">
        <f>RAW_DATA!B1316</f>
        <v>No</v>
      </c>
      <c r="C1316" t="str">
        <f>RAW_DATA!C1316</f>
        <v>Sales</v>
      </c>
      <c r="D1316">
        <f>RAW_DATA!D1316</f>
        <v>2</v>
      </c>
      <c r="E1316">
        <f>RAW_DATA!E1316</f>
        <v>4</v>
      </c>
      <c r="F1316" t="str">
        <f>RAW_DATA!F1316</f>
        <v>Life Sciences</v>
      </c>
      <c r="G1316">
        <f>RAW_DATA!G1316</f>
        <v>3</v>
      </c>
      <c r="H1316">
        <f>RAW_DATA!H1316</f>
        <v>3</v>
      </c>
      <c r="I1316" t="str">
        <f>RAW_DATA!I1316</f>
        <v>Married</v>
      </c>
      <c r="J1316">
        <f>RAW_DATA!J1316</f>
        <v>5154</v>
      </c>
      <c r="K1316">
        <f>RAW_DATA!K1316</f>
        <v>4</v>
      </c>
      <c r="L1316">
        <f>RAW_DATA!L1316</f>
        <v>4</v>
      </c>
      <c r="M1316">
        <f>RAW_DATA!M1316</f>
        <v>8</v>
      </c>
      <c r="N1316">
        <f t="shared" si="40"/>
        <v>0</v>
      </c>
      <c r="O1316" t="str">
        <f xml:space="preserve"> VLOOKUP(A1316, Lookup_Tables!$G$2:$H$6,2,TRUE)</f>
        <v>45-54</v>
      </c>
      <c r="P1316" t="str">
        <f>_xlfn.XLOOKUP(J1316,Lookup_Tables!$J$2:$J$4,Lookup_Tables!$K$2:$K$4, " ",-1)</f>
        <v>Medium</v>
      </c>
      <c r="Q1316" t="str">
        <f xml:space="preserve"> _xlfn.XLOOKUP(M1316, Lookup_Tables!$M$2:$M$5,Lookup_Tables!$N$2:$N$5," ", -1)</f>
        <v>Established (5-10)</v>
      </c>
      <c r="R1316" s="4">
        <f t="shared" si="41"/>
        <v>3.3333333333333335</v>
      </c>
      <c r="S1316" t="str">
        <f xml:space="preserve"> _xlfn.XLOOKUP( E1316, Lookup_Tables!$A$2:$A$6,Lookup_Tables!$B$2:$B$6," ", -1)</f>
        <v>Master</v>
      </c>
      <c r="T1316" t="str">
        <f>_xlfn.XLOOKUP(G1316,Lookup_Tables!$D$2:$D$5,Lookup_Tables!$E$2:$E$5)</f>
        <v>High</v>
      </c>
      <c r="U1316" t="str">
        <f>_xlfn.XLOOKUP(H1316,Lookup_Tables!$D$2:$D$5,Lookup_Tables!$E$2:$E$5)</f>
        <v>High</v>
      </c>
      <c r="V1316" t="str">
        <f>_xlfn.XLOOKUP(L1316,Lookup_Tables!$D$2:$D$5,Lookup_Tables!$E$2:$E$5)</f>
        <v>Very High</v>
      </c>
    </row>
    <row r="1317" spans="1:22">
      <c r="A1317">
        <f>RAW_DATA!A1317</f>
        <v>36</v>
      </c>
      <c r="B1317" t="str">
        <f>RAW_DATA!B1317</f>
        <v>No</v>
      </c>
      <c r="C1317" t="str">
        <f>RAW_DATA!C1317</f>
        <v>Research &amp; Development</v>
      </c>
      <c r="D1317">
        <f>RAW_DATA!D1317</f>
        <v>2</v>
      </c>
      <c r="E1317">
        <f>RAW_DATA!E1317</f>
        <v>4</v>
      </c>
      <c r="F1317" t="str">
        <f>RAW_DATA!F1317</f>
        <v>Other</v>
      </c>
      <c r="G1317">
        <f>RAW_DATA!G1317</f>
        <v>4</v>
      </c>
      <c r="H1317">
        <f>RAW_DATA!H1317</f>
        <v>2</v>
      </c>
      <c r="I1317" t="str">
        <f>RAW_DATA!I1317</f>
        <v>Married</v>
      </c>
      <c r="J1317">
        <f>RAW_DATA!J1317</f>
        <v>6962</v>
      </c>
      <c r="K1317">
        <f>RAW_DATA!K1317</f>
        <v>4</v>
      </c>
      <c r="L1317">
        <f>RAW_DATA!L1317</f>
        <v>3</v>
      </c>
      <c r="M1317">
        <f>RAW_DATA!M1317</f>
        <v>1</v>
      </c>
      <c r="N1317">
        <f t="shared" si="40"/>
        <v>0</v>
      </c>
      <c r="O1317" t="str">
        <f xml:space="preserve"> VLOOKUP(A1317, Lookup_Tables!$G$2:$H$6,2,TRUE)</f>
        <v>35-44</v>
      </c>
      <c r="P1317" t="str">
        <f>_xlfn.XLOOKUP(J1317,Lookup_Tables!$J$2:$J$4,Lookup_Tables!$K$2:$K$4, " ",-1)</f>
        <v>Medium</v>
      </c>
      <c r="Q1317" t="str">
        <f xml:space="preserve"> _xlfn.XLOOKUP(M1317, Lookup_Tables!$M$2:$M$5,Lookup_Tables!$N$2:$N$5," ", -1)</f>
        <v>New (0-2)</v>
      </c>
      <c r="R1317" s="4">
        <f t="shared" si="41"/>
        <v>3</v>
      </c>
      <c r="S1317" t="str">
        <f xml:space="preserve"> _xlfn.XLOOKUP( E1317, Lookup_Tables!$A$2:$A$6,Lookup_Tables!$B$2:$B$6," ", -1)</f>
        <v>Master</v>
      </c>
      <c r="T1317" t="str">
        <f>_xlfn.XLOOKUP(G1317,Lookup_Tables!$D$2:$D$5,Lookup_Tables!$E$2:$E$5)</f>
        <v>Very High</v>
      </c>
      <c r="U1317" t="str">
        <f>_xlfn.XLOOKUP(H1317,Lookup_Tables!$D$2:$D$5,Lookup_Tables!$E$2:$E$5)</f>
        <v>Medium</v>
      </c>
      <c r="V1317" t="str">
        <f>_xlfn.XLOOKUP(L1317,Lookup_Tables!$D$2:$D$5,Lookup_Tables!$E$2:$E$5)</f>
        <v>High</v>
      </c>
    </row>
    <row r="1318" spans="1:22">
      <c r="A1318">
        <f>RAW_DATA!A1318</f>
        <v>43</v>
      </c>
      <c r="B1318" t="str">
        <f>RAW_DATA!B1318</f>
        <v>No</v>
      </c>
      <c r="C1318" t="str">
        <f>RAW_DATA!C1318</f>
        <v>Sales</v>
      </c>
      <c r="D1318">
        <f>RAW_DATA!D1318</f>
        <v>2</v>
      </c>
      <c r="E1318">
        <f>RAW_DATA!E1318</f>
        <v>4</v>
      </c>
      <c r="F1318" t="str">
        <f>RAW_DATA!F1318</f>
        <v>Life Sciences</v>
      </c>
      <c r="G1318">
        <f>RAW_DATA!G1318</f>
        <v>1</v>
      </c>
      <c r="H1318">
        <f>RAW_DATA!H1318</f>
        <v>4</v>
      </c>
      <c r="I1318" t="str">
        <f>RAW_DATA!I1318</f>
        <v>Married</v>
      </c>
      <c r="J1318">
        <f>RAW_DATA!J1318</f>
        <v>5675</v>
      </c>
      <c r="K1318">
        <f>RAW_DATA!K1318</f>
        <v>1</v>
      </c>
      <c r="L1318">
        <f>RAW_DATA!L1318</f>
        <v>3</v>
      </c>
      <c r="M1318">
        <f>RAW_DATA!M1318</f>
        <v>7</v>
      </c>
      <c r="N1318">
        <f t="shared" si="40"/>
        <v>0</v>
      </c>
      <c r="O1318" t="str">
        <f xml:space="preserve"> VLOOKUP(A1318, Lookup_Tables!$G$2:$H$6,2,TRUE)</f>
        <v>35-44</v>
      </c>
      <c r="P1318" t="str">
        <f>_xlfn.XLOOKUP(J1318,Lookup_Tables!$J$2:$J$4,Lookup_Tables!$K$2:$K$4, " ",-1)</f>
        <v>Medium</v>
      </c>
      <c r="Q1318" t="str">
        <f xml:space="preserve"> _xlfn.XLOOKUP(M1318, Lookup_Tables!$M$2:$M$5,Lookup_Tables!$N$2:$N$5," ", -1)</f>
        <v>Established (5-10)</v>
      </c>
      <c r="R1318" s="4">
        <f t="shared" si="41"/>
        <v>2.6666666666666665</v>
      </c>
      <c r="S1318" t="str">
        <f xml:space="preserve"> _xlfn.XLOOKUP( E1318, Lookup_Tables!$A$2:$A$6,Lookup_Tables!$B$2:$B$6," ", -1)</f>
        <v>Master</v>
      </c>
      <c r="T1318" t="str">
        <f>_xlfn.XLOOKUP(G1318,Lookup_Tables!$D$2:$D$5,Lookup_Tables!$E$2:$E$5)</f>
        <v>Low</v>
      </c>
      <c r="U1318" t="str">
        <f>_xlfn.XLOOKUP(H1318,Lookup_Tables!$D$2:$D$5,Lookup_Tables!$E$2:$E$5)</f>
        <v>Very High</v>
      </c>
      <c r="V1318" t="str">
        <f>_xlfn.XLOOKUP(L1318,Lookup_Tables!$D$2:$D$5,Lookup_Tables!$E$2:$E$5)</f>
        <v>High</v>
      </c>
    </row>
    <row r="1319" spans="1:22">
      <c r="A1319">
        <f>RAW_DATA!A1319</f>
        <v>27</v>
      </c>
      <c r="B1319" t="str">
        <f>RAW_DATA!B1319</f>
        <v>No</v>
      </c>
      <c r="C1319" t="str">
        <f>RAW_DATA!C1319</f>
        <v>Research &amp; Development</v>
      </c>
      <c r="D1319">
        <f>RAW_DATA!D1319</f>
        <v>5</v>
      </c>
      <c r="E1319">
        <f>RAW_DATA!E1319</f>
        <v>2</v>
      </c>
      <c r="F1319" t="str">
        <f>RAW_DATA!F1319</f>
        <v>Life Sciences</v>
      </c>
      <c r="G1319">
        <f>RAW_DATA!G1319</f>
        <v>4</v>
      </c>
      <c r="H1319">
        <f>RAW_DATA!H1319</f>
        <v>4</v>
      </c>
      <c r="I1319" t="str">
        <f>RAW_DATA!I1319</f>
        <v>Single</v>
      </c>
      <c r="J1319">
        <f>RAW_DATA!J1319</f>
        <v>2379</v>
      </c>
      <c r="K1319">
        <f>RAW_DATA!K1319</f>
        <v>0</v>
      </c>
      <c r="L1319">
        <f>RAW_DATA!L1319</f>
        <v>2</v>
      </c>
      <c r="M1319">
        <f>RAW_DATA!M1319</f>
        <v>5</v>
      </c>
      <c r="N1319">
        <f t="shared" si="40"/>
        <v>0</v>
      </c>
      <c r="O1319" t="str">
        <f xml:space="preserve"> VLOOKUP(A1319, Lookup_Tables!$G$2:$H$6,2,TRUE)</f>
        <v>25-34</v>
      </c>
      <c r="P1319" t="str">
        <f>_xlfn.XLOOKUP(J1319,Lookup_Tables!$J$2:$J$4,Lookup_Tables!$K$2:$K$4, " ",-1)</f>
        <v>Low</v>
      </c>
      <c r="Q1319" t="str">
        <f xml:space="preserve"> _xlfn.XLOOKUP(M1319, Lookup_Tables!$M$2:$M$5,Lookup_Tables!$N$2:$N$5," ", -1)</f>
        <v>Established (5-10)</v>
      </c>
      <c r="R1319" s="4">
        <f t="shared" si="41"/>
        <v>3.3333333333333335</v>
      </c>
      <c r="S1319" t="str">
        <f xml:space="preserve"> _xlfn.XLOOKUP( E1319, Lookup_Tables!$A$2:$A$6,Lookup_Tables!$B$2:$B$6," ", -1)</f>
        <v>College</v>
      </c>
      <c r="T1319" t="str">
        <f>_xlfn.XLOOKUP(G1319,Lookup_Tables!$D$2:$D$5,Lookup_Tables!$E$2:$E$5)</f>
        <v>Very High</v>
      </c>
      <c r="U1319" t="str">
        <f>_xlfn.XLOOKUP(H1319,Lookup_Tables!$D$2:$D$5,Lookup_Tables!$E$2:$E$5)</f>
        <v>Very High</v>
      </c>
      <c r="V1319" t="str">
        <f>_xlfn.XLOOKUP(L1319,Lookup_Tables!$D$2:$D$5,Lookup_Tables!$E$2:$E$5)</f>
        <v>Medium</v>
      </c>
    </row>
    <row r="1320" spans="1:22">
      <c r="A1320">
        <f>RAW_DATA!A1320</f>
        <v>29</v>
      </c>
      <c r="B1320" t="str">
        <f>RAW_DATA!B1320</f>
        <v>No</v>
      </c>
      <c r="C1320" t="str">
        <f>RAW_DATA!C1320</f>
        <v>Research &amp; Development</v>
      </c>
      <c r="D1320">
        <f>RAW_DATA!D1320</f>
        <v>20</v>
      </c>
      <c r="E1320">
        <f>RAW_DATA!E1320</f>
        <v>1</v>
      </c>
      <c r="F1320" t="str">
        <f>RAW_DATA!F1320</f>
        <v>Medical</v>
      </c>
      <c r="G1320">
        <f>RAW_DATA!G1320</f>
        <v>4</v>
      </c>
      <c r="H1320">
        <f>RAW_DATA!H1320</f>
        <v>4</v>
      </c>
      <c r="I1320" t="str">
        <f>RAW_DATA!I1320</f>
        <v>Married</v>
      </c>
      <c r="J1320">
        <f>RAW_DATA!J1320</f>
        <v>3812</v>
      </c>
      <c r="K1320">
        <f>RAW_DATA!K1320</f>
        <v>1</v>
      </c>
      <c r="L1320">
        <f>RAW_DATA!L1320</f>
        <v>4</v>
      </c>
      <c r="M1320">
        <f>RAW_DATA!M1320</f>
        <v>11</v>
      </c>
      <c r="N1320">
        <f t="shared" si="40"/>
        <v>0</v>
      </c>
      <c r="O1320" t="str">
        <f xml:space="preserve"> VLOOKUP(A1320, Lookup_Tables!$G$2:$H$6,2,TRUE)</f>
        <v>25-34</v>
      </c>
      <c r="P1320" t="str">
        <f>_xlfn.XLOOKUP(J1320,Lookup_Tables!$J$2:$J$4,Lookup_Tables!$K$2:$K$4, " ",-1)</f>
        <v>Medium</v>
      </c>
      <c r="Q1320" t="str">
        <f xml:space="preserve"> _xlfn.XLOOKUP(M1320, Lookup_Tables!$M$2:$M$5,Lookup_Tables!$N$2:$N$5," ", -1)</f>
        <v>Veteran (10+)</v>
      </c>
      <c r="R1320" s="4">
        <f t="shared" si="41"/>
        <v>4</v>
      </c>
      <c r="S1320" t="str">
        <f xml:space="preserve"> _xlfn.XLOOKUP( E1320, Lookup_Tables!$A$2:$A$6,Lookup_Tables!$B$2:$B$6," ", -1)</f>
        <v>Below College</v>
      </c>
      <c r="T1320" t="str">
        <f>_xlfn.XLOOKUP(G1320,Lookup_Tables!$D$2:$D$5,Lookup_Tables!$E$2:$E$5)</f>
        <v>Very High</v>
      </c>
      <c r="U1320" t="str">
        <f>_xlfn.XLOOKUP(H1320,Lookup_Tables!$D$2:$D$5,Lookup_Tables!$E$2:$E$5)</f>
        <v>Very High</v>
      </c>
      <c r="V1320" t="str">
        <f>_xlfn.XLOOKUP(L1320,Lookup_Tables!$D$2:$D$5,Lookup_Tables!$E$2:$E$5)</f>
        <v>Very High</v>
      </c>
    </row>
    <row r="1321" spans="1:22">
      <c r="A1321">
        <f>RAW_DATA!A1321</f>
        <v>32</v>
      </c>
      <c r="B1321" t="str">
        <f>RAW_DATA!B1321</f>
        <v>No</v>
      </c>
      <c r="C1321" t="str">
        <f>RAW_DATA!C1321</f>
        <v>Sales</v>
      </c>
      <c r="D1321">
        <f>RAW_DATA!D1321</f>
        <v>10</v>
      </c>
      <c r="E1321">
        <f>RAW_DATA!E1321</f>
        <v>4</v>
      </c>
      <c r="F1321" t="str">
        <f>RAW_DATA!F1321</f>
        <v>Marketing</v>
      </c>
      <c r="G1321">
        <f>RAW_DATA!G1321</f>
        <v>4</v>
      </c>
      <c r="H1321">
        <f>RAW_DATA!H1321</f>
        <v>4</v>
      </c>
      <c r="I1321" t="str">
        <f>RAW_DATA!I1321</f>
        <v>Single</v>
      </c>
      <c r="J1321">
        <f>RAW_DATA!J1321</f>
        <v>4648</v>
      </c>
      <c r="K1321">
        <f>RAW_DATA!K1321</f>
        <v>8</v>
      </c>
      <c r="L1321">
        <f>RAW_DATA!L1321</f>
        <v>4</v>
      </c>
      <c r="M1321">
        <f>RAW_DATA!M1321</f>
        <v>0</v>
      </c>
      <c r="N1321">
        <f t="shared" si="40"/>
        <v>0</v>
      </c>
      <c r="O1321" t="str">
        <f xml:space="preserve"> VLOOKUP(A1321, Lookup_Tables!$G$2:$H$6,2,TRUE)</f>
        <v>25-34</v>
      </c>
      <c r="P1321" t="str">
        <f>_xlfn.XLOOKUP(J1321,Lookup_Tables!$J$2:$J$4,Lookup_Tables!$K$2:$K$4, " ",-1)</f>
        <v>Medium</v>
      </c>
      <c r="Q1321" t="str">
        <f xml:space="preserve"> _xlfn.XLOOKUP(M1321, Lookup_Tables!$M$2:$M$5,Lookup_Tables!$N$2:$N$5," ", -1)</f>
        <v>New (0-2)</v>
      </c>
      <c r="R1321" s="4">
        <f t="shared" si="41"/>
        <v>4</v>
      </c>
      <c r="S1321" t="str">
        <f xml:space="preserve"> _xlfn.XLOOKUP( E1321, Lookup_Tables!$A$2:$A$6,Lookup_Tables!$B$2:$B$6," ", -1)</f>
        <v>Master</v>
      </c>
      <c r="T1321" t="str">
        <f>_xlfn.XLOOKUP(G1321,Lookup_Tables!$D$2:$D$5,Lookup_Tables!$E$2:$E$5)</f>
        <v>Very High</v>
      </c>
      <c r="U1321" t="str">
        <f>_xlfn.XLOOKUP(H1321,Lookup_Tables!$D$2:$D$5,Lookup_Tables!$E$2:$E$5)</f>
        <v>Very High</v>
      </c>
      <c r="V1321" t="str">
        <f>_xlfn.XLOOKUP(L1321,Lookup_Tables!$D$2:$D$5,Lookup_Tables!$E$2:$E$5)</f>
        <v>Very High</v>
      </c>
    </row>
    <row r="1322" spans="1:22">
      <c r="A1322">
        <f>RAW_DATA!A1322</f>
        <v>42</v>
      </c>
      <c r="B1322" t="str">
        <f>RAW_DATA!B1322</f>
        <v>No</v>
      </c>
      <c r="C1322" t="str">
        <f>RAW_DATA!C1322</f>
        <v>Research &amp; Development</v>
      </c>
      <c r="D1322">
        <f>RAW_DATA!D1322</f>
        <v>10</v>
      </c>
      <c r="E1322">
        <f>RAW_DATA!E1322</f>
        <v>4</v>
      </c>
      <c r="F1322" t="str">
        <f>RAW_DATA!F1322</f>
        <v>Technical Degree</v>
      </c>
      <c r="G1322">
        <f>RAW_DATA!G1322</f>
        <v>3</v>
      </c>
      <c r="H1322">
        <f>RAW_DATA!H1322</f>
        <v>3</v>
      </c>
      <c r="I1322" t="str">
        <f>RAW_DATA!I1322</f>
        <v>Married</v>
      </c>
      <c r="J1322">
        <f>RAW_DATA!J1322</f>
        <v>2936</v>
      </c>
      <c r="K1322">
        <f>RAW_DATA!K1322</f>
        <v>3</v>
      </c>
      <c r="L1322">
        <f>RAW_DATA!L1322</f>
        <v>2</v>
      </c>
      <c r="M1322">
        <f>RAW_DATA!M1322</f>
        <v>6</v>
      </c>
      <c r="N1322">
        <f t="shared" si="40"/>
        <v>0</v>
      </c>
      <c r="O1322" t="str">
        <f xml:space="preserve"> VLOOKUP(A1322, Lookup_Tables!$G$2:$H$6,2,TRUE)</f>
        <v>35-44</v>
      </c>
      <c r="P1322" t="str">
        <f>_xlfn.XLOOKUP(J1322,Lookup_Tables!$J$2:$J$4,Lookup_Tables!$K$2:$K$4, " ",-1)</f>
        <v>Low</v>
      </c>
      <c r="Q1322" t="str">
        <f xml:space="preserve"> _xlfn.XLOOKUP(M1322, Lookup_Tables!$M$2:$M$5,Lookup_Tables!$N$2:$N$5," ", -1)</f>
        <v>Established (5-10)</v>
      </c>
      <c r="R1322" s="4">
        <f t="shared" si="41"/>
        <v>2.6666666666666665</v>
      </c>
      <c r="S1322" t="str">
        <f xml:space="preserve"> _xlfn.XLOOKUP( E1322, Lookup_Tables!$A$2:$A$6,Lookup_Tables!$B$2:$B$6," ", -1)</f>
        <v>Master</v>
      </c>
      <c r="T1322" t="str">
        <f>_xlfn.XLOOKUP(G1322,Lookup_Tables!$D$2:$D$5,Lookup_Tables!$E$2:$E$5)</f>
        <v>High</v>
      </c>
      <c r="U1322" t="str">
        <f>_xlfn.XLOOKUP(H1322,Lookup_Tables!$D$2:$D$5,Lookup_Tables!$E$2:$E$5)</f>
        <v>High</v>
      </c>
      <c r="V1322" t="str">
        <f>_xlfn.XLOOKUP(L1322,Lookup_Tables!$D$2:$D$5,Lookup_Tables!$E$2:$E$5)</f>
        <v>Medium</v>
      </c>
    </row>
    <row r="1323" spans="1:22">
      <c r="A1323">
        <f>RAW_DATA!A1323</f>
        <v>47</v>
      </c>
      <c r="B1323" t="str">
        <f>RAW_DATA!B1323</f>
        <v>No</v>
      </c>
      <c r="C1323" t="str">
        <f>RAW_DATA!C1323</f>
        <v>Research &amp; Development</v>
      </c>
      <c r="D1323">
        <f>RAW_DATA!D1323</f>
        <v>9</v>
      </c>
      <c r="E1323">
        <f>RAW_DATA!E1323</f>
        <v>4</v>
      </c>
      <c r="F1323" t="str">
        <f>RAW_DATA!F1323</f>
        <v>Life Sciences</v>
      </c>
      <c r="G1323">
        <f>RAW_DATA!G1323</f>
        <v>2</v>
      </c>
      <c r="H1323">
        <f>RAW_DATA!H1323</f>
        <v>3</v>
      </c>
      <c r="I1323" t="str">
        <f>RAW_DATA!I1323</f>
        <v>Single</v>
      </c>
      <c r="J1323">
        <f>RAW_DATA!J1323</f>
        <v>2105</v>
      </c>
      <c r="K1323">
        <f>RAW_DATA!K1323</f>
        <v>4</v>
      </c>
      <c r="L1323">
        <f>RAW_DATA!L1323</f>
        <v>3</v>
      </c>
      <c r="M1323">
        <f>RAW_DATA!M1323</f>
        <v>2</v>
      </c>
      <c r="N1323">
        <f t="shared" si="40"/>
        <v>0</v>
      </c>
      <c r="O1323" t="str">
        <f xml:space="preserve"> VLOOKUP(A1323, Lookup_Tables!$G$2:$H$6,2,TRUE)</f>
        <v>45-54</v>
      </c>
      <c r="P1323" t="str">
        <f>_xlfn.XLOOKUP(J1323,Lookup_Tables!$J$2:$J$4,Lookup_Tables!$K$2:$K$4, " ",-1)</f>
        <v>Low</v>
      </c>
      <c r="Q1323" t="str">
        <f xml:space="preserve"> _xlfn.XLOOKUP(M1323, Lookup_Tables!$M$2:$M$5,Lookup_Tables!$N$2:$N$5," ", -1)</f>
        <v>Early (2-5)</v>
      </c>
      <c r="R1323" s="4">
        <f t="shared" si="41"/>
        <v>2.6666666666666665</v>
      </c>
      <c r="S1323" t="str">
        <f xml:space="preserve"> _xlfn.XLOOKUP( E1323, Lookup_Tables!$A$2:$A$6,Lookup_Tables!$B$2:$B$6," ", -1)</f>
        <v>Master</v>
      </c>
      <c r="T1323" t="str">
        <f>_xlfn.XLOOKUP(G1323,Lookup_Tables!$D$2:$D$5,Lookup_Tables!$E$2:$E$5)</f>
        <v>Medium</v>
      </c>
      <c r="U1323" t="str">
        <f>_xlfn.XLOOKUP(H1323,Lookup_Tables!$D$2:$D$5,Lookup_Tables!$E$2:$E$5)</f>
        <v>High</v>
      </c>
      <c r="V1323" t="str">
        <f>_xlfn.XLOOKUP(L1323,Lookup_Tables!$D$2:$D$5,Lookup_Tables!$E$2:$E$5)</f>
        <v>High</v>
      </c>
    </row>
    <row r="1324" spans="1:22">
      <c r="A1324">
        <f>RAW_DATA!A1324</f>
        <v>46</v>
      </c>
      <c r="B1324" t="str">
        <f>RAW_DATA!B1324</f>
        <v>No</v>
      </c>
      <c r="C1324" t="str">
        <f>RAW_DATA!C1324</f>
        <v>Research &amp; Development</v>
      </c>
      <c r="D1324">
        <f>RAW_DATA!D1324</f>
        <v>2</v>
      </c>
      <c r="E1324">
        <f>RAW_DATA!E1324</f>
        <v>2</v>
      </c>
      <c r="F1324" t="str">
        <f>RAW_DATA!F1324</f>
        <v>Life Sciences</v>
      </c>
      <c r="G1324">
        <f>RAW_DATA!G1324</f>
        <v>4</v>
      </c>
      <c r="H1324">
        <f>RAW_DATA!H1324</f>
        <v>4</v>
      </c>
      <c r="I1324" t="str">
        <f>RAW_DATA!I1324</f>
        <v>Divorced</v>
      </c>
      <c r="J1324">
        <f>RAW_DATA!J1324</f>
        <v>8578</v>
      </c>
      <c r="K1324">
        <f>RAW_DATA!K1324</f>
        <v>3</v>
      </c>
      <c r="L1324">
        <f>RAW_DATA!L1324</f>
        <v>2</v>
      </c>
      <c r="M1324">
        <f>RAW_DATA!M1324</f>
        <v>9</v>
      </c>
      <c r="N1324">
        <f t="shared" si="40"/>
        <v>0</v>
      </c>
      <c r="O1324" t="str">
        <f xml:space="preserve"> VLOOKUP(A1324, Lookup_Tables!$G$2:$H$6,2,TRUE)</f>
        <v>45-54</v>
      </c>
      <c r="P1324" t="str">
        <f>_xlfn.XLOOKUP(J1324,Lookup_Tables!$J$2:$J$4,Lookup_Tables!$K$2:$K$4, " ",-1)</f>
        <v>High</v>
      </c>
      <c r="Q1324" t="str">
        <f xml:space="preserve"> _xlfn.XLOOKUP(M1324, Lookup_Tables!$M$2:$M$5,Lookup_Tables!$N$2:$N$5," ", -1)</f>
        <v>Established (5-10)</v>
      </c>
      <c r="R1324" s="4">
        <f t="shared" si="41"/>
        <v>3.3333333333333335</v>
      </c>
      <c r="S1324" t="str">
        <f xml:space="preserve"> _xlfn.XLOOKUP( E1324, Lookup_Tables!$A$2:$A$6,Lookup_Tables!$B$2:$B$6," ", -1)</f>
        <v>College</v>
      </c>
      <c r="T1324" t="str">
        <f>_xlfn.XLOOKUP(G1324,Lookup_Tables!$D$2:$D$5,Lookup_Tables!$E$2:$E$5)</f>
        <v>Very High</v>
      </c>
      <c r="U1324" t="str">
        <f>_xlfn.XLOOKUP(H1324,Lookup_Tables!$D$2:$D$5,Lookup_Tables!$E$2:$E$5)</f>
        <v>Very High</v>
      </c>
      <c r="V1324" t="str">
        <f>_xlfn.XLOOKUP(L1324,Lookup_Tables!$D$2:$D$5,Lookup_Tables!$E$2:$E$5)</f>
        <v>Medium</v>
      </c>
    </row>
    <row r="1325" spans="1:22">
      <c r="A1325">
        <f>RAW_DATA!A1325</f>
        <v>28</v>
      </c>
      <c r="B1325" t="str">
        <f>RAW_DATA!B1325</f>
        <v>No</v>
      </c>
      <c r="C1325" t="str">
        <f>RAW_DATA!C1325</f>
        <v>Human Resources</v>
      </c>
      <c r="D1325">
        <f>RAW_DATA!D1325</f>
        <v>1</v>
      </c>
      <c r="E1325">
        <f>RAW_DATA!E1325</f>
        <v>2</v>
      </c>
      <c r="F1325" t="str">
        <f>RAW_DATA!F1325</f>
        <v>Life Sciences</v>
      </c>
      <c r="G1325">
        <f>RAW_DATA!G1325</f>
        <v>3</v>
      </c>
      <c r="H1325">
        <f>RAW_DATA!H1325</f>
        <v>4</v>
      </c>
      <c r="I1325" t="str">
        <f>RAW_DATA!I1325</f>
        <v>Divorced</v>
      </c>
      <c r="J1325">
        <f>RAW_DATA!J1325</f>
        <v>2706</v>
      </c>
      <c r="K1325">
        <f>RAW_DATA!K1325</f>
        <v>1</v>
      </c>
      <c r="L1325">
        <f>RAW_DATA!L1325</f>
        <v>3</v>
      </c>
      <c r="M1325">
        <f>RAW_DATA!M1325</f>
        <v>3</v>
      </c>
      <c r="N1325">
        <f t="shared" si="40"/>
        <v>0</v>
      </c>
      <c r="O1325" t="str">
        <f xml:space="preserve"> VLOOKUP(A1325, Lookup_Tables!$G$2:$H$6,2,TRUE)</f>
        <v>25-34</v>
      </c>
      <c r="P1325" t="str">
        <f>_xlfn.XLOOKUP(J1325,Lookup_Tables!$J$2:$J$4,Lookup_Tables!$K$2:$K$4, " ",-1)</f>
        <v>Low</v>
      </c>
      <c r="Q1325" t="str">
        <f xml:space="preserve"> _xlfn.XLOOKUP(M1325, Lookup_Tables!$M$2:$M$5,Lookup_Tables!$N$2:$N$5," ", -1)</f>
        <v>Early (2-5)</v>
      </c>
      <c r="R1325" s="4">
        <f t="shared" si="41"/>
        <v>3.3333333333333335</v>
      </c>
      <c r="S1325" t="str">
        <f xml:space="preserve"> _xlfn.XLOOKUP( E1325, Lookup_Tables!$A$2:$A$6,Lookup_Tables!$B$2:$B$6," ", -1)</f>
        <v>College</v>
      </c>
      <c r="T1325" t="str">
        <f>_xlfn.XLOOKUP(G1325,Lookup_Tables!$D$2:$D$5,Lookup_Tables!$E$2:$E$5)</f>
        <v>High</v>
      </c>
      <c r="U1325" t="str">
        <f>_xlfn.XLOOKUP(H1325,Lookup_Tables!$D$2:$D$5,Lookup_Tables!$E$2:$E$5)</f>
        <v>Very High</v>
      </c>
      <c r="V1325" t="str">
        <f>_xlfn.XLOOKUP(L1325,Lookup_Tables!$D$2:$D$5,Lookup_Tables!$E$2:$E$5)</f>
        <v>High</v>
      </c>
    </row>
    <row r="1326" spans="1:22">
      <c r="A1326">
        <f>RAW_DATA!A1326</f>
        <v>29</v>
      </c>
      <c r="B1326" t="str">
        <f>RAW_DATA!B1326</f>
        <v>No</v>
      </c>
      <c r="C1326" t="str">
        <f>RAW_DATA!C1326</f>
        <v>Research &amp; Development</v>
      </c>
      <c r="D1326">
        <f>RAW_DATA!D1326</f>
        <v>29</v>
      </c>
      <c r="E1326">
        <f>RAW_DATA!E1326</f>
        <v>1</v>
      </c>
      <c r="F1326" t="str">
        <f>RAW_DATA!F1326</f>
        <v>Life Sciences</v>
      </c>
      <c r="G1326">
        <f>RAW_DATA!G1326</f>
        <v>4</v>
      </c>
      <c r="H1326">
        <f>RAW_DATA!H1326</f>
        <v>3</v>
      </c>
      <c r="I1326" t="str">
        <f>RAW_DATA!I1326</f>
        <v>Divorced</v>
      </c>
      <c r="J1326">
        <f>RAW_DATA!J1326</f>
        <v>6384</v>
      </c>
      <c r="K1326">
        <f>RAW_DATA!K1326</f>
        <v>8</v>
      </c>
      <c r="L1326">
        <f>RAW_DATA!L1326</f>
        <v>3</v>
      </c>
      <c r="M1326">
        <f>RAW_DATA!M1326</f>
        <v>7</v>
      </c>
      <c r="N1326">
        <f t="shared" si="40"/>
        <v>0</v>
      </c>
      <c r="O1326" t="str">
        <f xml:space="preserve"> VLOOKUP(A1326, Lookup_Tables!$G$2:$H$6,2,TRUE)</f>
        <v>25-34</v>
      </c>
      <c r="P1326" t="str">
        <f>_xlfn.XLOOKUP(J1326,Lookup_Tables!$J$2:$J$4,Lookup_Tables!$K$2:$K$4, " ",-1)</f>
        <v>Medium</v>
      </c>
      <c r="Q1326" t="str">
        <f xml:space="preserve"> _xlfn.XLOOKUP(M1326, Lookup_Tables!$M$2:$M$5,Lookup_Tables!$N$2:$N$5," ", -1)</f>
        <v>Established (5-10)</v>
      </c>
      <c r="R1326" s="4">
        <f t="shared" si="41"/>
        <v>3.3333333333333335</v>
      </c>
      <c r="S1326" t="str">
        <f xml:space="preserve"> _xlfn.XLOOKUP( E1326, Lookup_Tables!$A$2:$A$6,Lookup_Tables!$B$2:$B$6," ", -1)</f>
        <v>Below College</v>
      </c>
      <c r="T1326" t="str">
        <f>_xlfn.XLOOKUP(G1326,Lookup_Tables!$D$2:$D$5,Lookup_Tables!$E$2:$E$5)</f>
        <v>Very High</v>
      </c>
      <c r="U1326" t="str">
        <f>_xlfn.XLOOKUP(H1326,Lookup_Tables!$D$2:$D$5,Lookup_Tables!$E$2:$E$5)</f>
        <v>High</v>
      </c>
      <c r="V1326" t="str">
        <f>_xlfn.XLOOKUP(L1326,Lookup_Tables!$D$2:$D$5,Lookup_Tables!$E$2:$E$5)</f>
        <v>High</v>
      </c>
    </row>
    <row r="1327" spans="1:22">
      <c r="A1327">
        <f>RAW_DATA!A1327</f>
        <v>42</v>
      </c>
      <c r="B1327" t="str">
        <f>RAW_DATA!B1327</f>
        <v>No</v>
      </c>
      <c r="C1327" t="str">
        <f>RAW_DATA!C1327</f>
        <v>Research &amp; Development</v>
      </c>
      <c r="D1327">
        <f>RAW_DATA!D1327</f>
        <v>8</v>
      </c>
      <c r="E1327">
        <f>RAW_DATA!E1327</f>
        <v>3</v>
      </c>
      <c r="F1327" t="str">
        <f>RAW_DATA!F1327</f>
        <v>Life Sciences</v>
      </c>
      <c r="G1327">
        <f>RAW_DATA!G1327</f>
        <v>4</v>
      </c>
      <c r="H1327">
        <f>RAW_DATA!H1327</f>
        <v>3</v>
      </c>
      <c r="I1327" t="str">
        <f>RAW_DATA!I1327</f>
        <v>Single</v>
      </c>
      <c r="J1327">
        <f>RAW_DATA!J1327</f>
        <v>3968</v>
      </c>
      <c r="K1327">
        <f>RAW_DATA!K1327</f>
        <v>4</v>
      </c>
      <c r="L1327">
        <f>RAW_DATA!L1327</f>
        <v>3</v>
      </c>
      <c r="M1327">
        <f>RAW_DATA!M1327</f>
        <v>0</v>
      </c>
      <c r="N1327">
        <f t="shared" si="40"/>
        <v>0</v>
      </c>
      <c r="O1327" t="str">
        <f xml:space="preserve"> VLOOKUP(A1327, Lookup_Tables!$G$2:$H$6,2,TRUE)</f>
        <v>35-44</v>
      </c>
      <c r="P1327" t="str">
        <f>_xlfn.XLOOKUP(J1327,Lookup_Tables!$J$2:$J$4,Lookup_Tables!$K$2:$K$4, " ",-1)</f>
        <v>Medium</v>
      </c>
      <c r="Q1327" t="str">
        <f xml:space="preserve"> _xlfn.XLOOKUP(M1327, Lookup_Tables!$M$2:$M$5,Lookup_Tables!$N$2:$N$5," ", -1)</f>
        <v>New (0-2)</v>
      </c>
      <c r="R1327" s="4">
        <f t="shared" si="41"/>
        <v>3.3333333333333335</v>
      </c>
      <c r="S1327" t="str">
        <f xml:space="preserve"> _xlfn.XLOOKUP( E1327, Lookup_Tables!$A$2:$A$6,Lookup_Tables!$B$2:$B$6," ", -1)</f>
        <v>Bachelor</v>
      </c>
      <c r="T1327" t="str">
        <f>_xlfn.XLOOKUP(G1327,Lookup_Tables!$D$2:$D$5,Lookup_Tables!$E$2:$E$5)</f>
        <v>Very High</v>
      </c>
      <c r="U1327" t="str">
        <f>_xlfn.XLOOKUP(H1327,Lookup_Tables!$D$2:$D$5,Lookup_Tables!$E$2:$E$5)</f>
        <v>High</v>
      </c>
      <c r="V1327" t="str">
        <f>_xlfn.XLOOKUP(L1327,Lookup_Tables!$D$2:$D$5,Lookup_Tables!$E$2:$E$5)</f>
        <v>High</v>
      </c>
    </row>
    <row r="1328" spans="1:22">
      <c r="A1328">
        <f>RAW_DATA!A1328</f>
        <v>32</v>
      </c>
      <c r="B1328" t="str">
        <f>RAW_DATA!B1328</f>
        <v>Yes</v>
      </c>
      <c r="C1328" t="str">
        <f>RAW_DATA!C1328</f>
        <v>Sales</v>
      </c>
      <c r="D1328">
        <f>RAW_DATA!D1328</f>
        <v>2</v>
      </c>
      <c r="E1328">
        <f>RAW_DATA!E1328</f>
        <v>4</v>
      </c>
      <c r="F1328" t="str">
        <f>RAW_DATA!F1328</f>
        <v>Marketing</v>
      </c>
      <c r="G1328">
        <f>RAW_DATA!G1328</f>
        <v>3</v>
      </c>
      <c r="H1328">
        <f>RAW_DATA!H1328</f>
        <v>2</v>
      </c>
      <c r="I1328" t="str">
        <f>RAW_DATA!I1328</f>
        <v>Single</v>
      </c>
      <c r="J1328">
        <f>RAW_DATA!J1328</f>
        <v>9907</v>
      </c>
      <c r="K1328">
        <f>RAW_DATA!K1328</f>
        <v>7</v>
      </c>
      <c r="L1328">
        <f>RAW_DATA!L1328</f>
        <v>2</v>
      </c>
      <c r="M1328">
        <f>RAW_DATA!M1328</f>
        <v>2</v>
      </c>
      <c r="N1328">
        <f t="shared" si="40"/>
        <v>1</v>
      </c>
      <c r="O1328" t="str">
        <f xml:space="preserve"> VLOOKUP(A1328, Lookup_Tables!$G$2:$H$6,2,TRUE)</f>
        <v>25-34</v>
      </c>
      <c r="P1328" t="str">
        <f>_xlfn.XLOOKUP(J1328,Lookup_Tables!$J$2:$J$4,Lookup_Tables!$K$2:$K$4, " ",-1)</f>
        <v>High</v>
      </c>
      <c r="Q1328" t="str">
        <f xml:space="preserve"> _xlfn.XLOOKUP(M1328, Lookup_Tables!$M$2:$M$5,Lookup_Tables!$N$2:$N$5," ", -1)</f>
        <v>Early (2-5)</v>
      </c>
      <c r="R1328" s="4">
        <f t="shared" si="41"/>
        <v>2.3333333333333335</v>
      </c>
      <c r="S1328" t="str">
        <f xml:space="preserve"> _xlfn.XLOOKUP( E1328, Lookup_Tables!$A$2:$A$6,Lookup_Tables!$B$2:$B$6," ", -1)</f>
        <v>Master</v>
      </c>
      <c r="T1328" t="str">
        <f>_xlfn.XLOOKUP(G1328,Lookup_Tables!$D$2:$D$5,Lookup_Tables!$E$2:$E$5)</f>
        <v>High</v>
      </c>
      <c r="U1328" t="str">
        <f>_xlfn.XLOOKUP(H1328,Lookup_Tables!$D$2:$D$5,Lookup_Tables!$E$2:$E$5)</f>
        <v>Medium</v>
      </c>
      <c r="V1328" t="str">
        <f>_xlfn.XLOOKUP(L1328,Lookup_Tables!$D$2:$D$5,Lookup_Tables!$E$2:$E$5)</f>
        <v>Medium</v>
      </c>
    </row>
    <row r="1329" spans="1:22">
      <c r="A1329">
        <f>RAW_DATA!A1329</f>
        <v>46</v>
      </c>
      <c r="B1329" t="str">
        <f>RAW_DATA!B1329</f>
        <v>No</v>
      </c>
      <c r="C1329" t="str">
        <f>RAW_DATA!C1329</f>
        <v>Sales</v>
      </c>
      <c r="D1329">
        <f>RAW_DATA!D1329</f>
        <v>3</v>
      </c>
      <c r="E1329">
        <f>RAW_DATA!E1329</f>
        <v>3</v>
      </c>
      <c r="F1329" t="str">
        <f>RAW_DATA!F1329</f>
        <v>Technical Degree</v>
      </c>
      <c r="G1329">
        <f>RAW_DATA!G1329</f>
        <v>1</v>
      </c>
      <c r="H1329">
        <f>RAW_DATA!H1329</f>
        <v>1</v>
      </c>
      <c r="I1329" t="str">
        <f>RAW_DATA!I1329</f>
        <v>Divorced</v>
      </c>
      <c r="J1329">
        <f>RAW_DATA!J1329</f>
        <v>13225</v>
      </c>
      <c r="K1329">
        <f>RAW_DATA!K1329</f>
        <v>2</v>
      </c>
      <c r="L1329">
        <f>RAW_DATA!L1329</f>
        <v>3</v>
      </c>
      <c r="M1329">
        <f>RAW_DATA!M1329</f>
        <v>19</v>
      </c>
      <c r="N1329">
        <f t="shared" si="40"/>
        <v>0</v>
      </c>
      <c r="O1329" t="str">
        <f xml:space="preserve"> VLOOKUP(A1329, Lookup_Tables!$G$2:$H$6,2,TRUE)</f>
        <v>45-54</v>
      </c>
      <c r="P1329" t="str">
        <f>_xlfn.XLOOKUP(J1329,Lookup_Tables!$J$2:$J$4,Lookup_Tables!$K$2:$K$4, " ",-1)</f>
        <v>High</v>
      </c>
      <c r="Q1329" t="str">
        <f xml:space="preserve"> _xlfn.XLOOKUP(M1329, Lookup_Tables!$M$2:$M$5,Lookup_Tables!$N$2:$N$5," ", -1)</f>
        <v>Veteran (10+)</v>
      </c>
      <c r="R1329" s="4">
        <f t="shared" si="41"/>
        <v>1.6666666666666667</v>
      </c>
      <c r="S1329" t="str">
        <f xml:space="preserve"> _xlfn.XLOOKUP( E1329, Lookup_Tables!$A$2:$A$6,Lookup_Tables!$B$2:$B$6," ", -1)</f>
        <v>Bachelor</v>
      </c>
      <c r="T1329" t="str">
        <f>_xlfn.XLOOKUP(G1329,Lookup_Tables!$D$2:$D$5,Lookup_Tables!$E$2:$E$5)</f>
        <v>Low</v>
      </c>
      <c r="U1329" t="str">
        <f>_xlfn.XLOOKUP(H1329,Lookup_Tables!$D$2:$D$5,Lookup_Tables!$E$2:$E$5)</f>
        <v>Low</v>
      </c>
      <c r="V1329" t="str">
        <f>_xlfn.XLOOKUP(L1329,Lookup_Tables!$D$2:$D$5,Lookup_Tables!$E$2:$E$5)</f>
        <v>High</v>
      </c>
    </row>
    <row r="1330" spans="1:22">
      <c r="A1330">
        <f>RAW_DATA!A1330</f>
        <v>27</v>
      </c>
      <c r="B1330" t="str">
        <f>RAW_DATA!B1330</f>
        <v>No</v>
      </c>
      <c r="C1330" t="str">
        <f>RAW_DATA!C1330</f>
        <v>Sales</v>
      </c>
      <c r="D1330">
        <f>RAW_DATA!D1330</f>
        <v>23</v>
      </c>
      <c r="E1330">
        <f>RAW_DATA!E1330</f>
        <v>1</v>
      </c>
      <c r="F1330" t="str">
        <f>RAW_DATA!F1330</f>
        <v>Medical</v>
      </c>
      <c r="G1330">
        <f>RAW_DATA!G1330</f>
        <v>2</v>
      </c>
      <c r="H1330">
        <f>RAW_DATA!H1330</f>
        <v>3</v>
      </c>
      <c r="I1330" t="str">
        <f>RAW_DATA!I1330</f>
        <v>Married</v>
      </c>
      <c r="J1330">
        <f>RAW_DATA!J1330</f>
        <v>3540</v>
      </c>
      <c r="K1330">
        <f>RAW_DATA!K1330</f>
        <v>1</v>
      </c>
      <c r="L1330">
        <f>RAW_DATA!L1330</f>
        <v>3</v>
      </c>
      <c r="M1330">
        <f>RAW_DATA!M1330</f>
        <v>9</v>
      </c>
      <c r="N1330">
        <f t="shared" si="40"/>
        <v>0</v>
      </c>
      <c r="O1330" t="str">
        <f xml:space="preserve"> VLOOKUP(A1330, Lookup_Tables!$G$2:$H$6,2,TRUE)</f>
        <v>25-34</v>
      </c>
      <c r="P1330" t="str">
        <f>_xlfn.XLOOKUP(J1330,Lookup_Tables!$J$2:$J$4,Lookup_Tables!$K$2:$K$4, " ",-1)</f>
        <v>Medium</v>
      </c>
      <c r="Q1330" t="str">
        <f xml:space="preserve"> _xlfn.XLOOKUP(M1330, Lookup_Tables!$M$2:$M$5,Lookup_Tables!$N$2:$N$5," ", -1)</f>
        <v>Established (5-10)</v>
      </c>
      <c r="R1330" s="4">
        <f t="shared" si="41"/>
        <v>2.6666666666666665</v>
      </c>
      <c r="S1330" t="str">
        <f xml:space="preserve"> _xlfn.XLOOKUP( E1330, Lookup_Tables!$A$2:$A$6,Lookup_Tables!$B$2:$B$6," ", -1)</f>
        <v>Below College</v>
      </c>
      <c r="T1330" t="str">
        <f>_xlfn.XLOOKUP(G1330,Lookup_Tables!$D$2:$D$5,Lookup_Tables!$E$2:$E$5)</f>
        <v>Medium</v>
      </c>
      <c r="U1330" t="str">
        <f>_xlfn.XLOOKUP(H1330,Lookup_Tables!$D$2:$D$5,Lookup_Tables!$E$2:$E$5)</f>
        <v>High</v>
      </c>
      <c r="V1330" t="str">
        <f>_xlfn.XLOOKUP(L1330,Lookup_Tables!$D$2:$D$5,Lookup_Tables!$E$2:$E$5)</f>
        <v>High</v>
      </c>
    </row>
    <row r="1331" spans="1:22">
      <c r="A1331">
        <f>RAW_DATA!A1331</f>
        <v>29</v>
      </c>
      <c r="B1331" t="str">
        <f>RAW_DATA!B1331</f>
        <v>No</v>
      </c>
      <c r="C1331" t="str">
        <f>RAW_DATA!C1331</f>
        <v>Human Resources</v>
      </c>
      <c r="D1331">
        <f>RAW_DATA!D1331</f>
        <v>6</v>
      </c>
      <c r="E1331">
        <f>RAW_DATA!E1331</f>
        <v>1</v>
      </c>
      <c r="F1331" t="str">
        <f>RAW_DATA!F1331</f>
        <v>Medical</v>
      </c>
      <c r="G1331">
        <f>RAW_DATA!G1331</f>
        <v>4</v>
      </c>
      <c r="H1331">
        <f>RAW_DATA!H1331</f>
        <v>2</v>
      </c>
      <c r="I1331" t="str">
        <f>RAW_DATA!I1331</f>
        <v>Married</v>
      </c>
      <c r="J1331">
        <f>RAW_DATA!J1331</f>
        <v>2804</v>
      </c>
      <c r="K1331">
        <f>RAW_DATA!K1331</f>
        <v>1</v>
      </c>
      <c r="L1331">
        <f>RAW_DATA!L1331</f>
        <v>3</v>
      </c>
      <c r="M1331">
        <f>RAW_DATA!M1331</f>
        <v>1</v>
      </c>
      <c r="N1331">
        <f t="shared" si="40"/>
        <v>0</v>
      </c>
      <c r="O1331" t="str">
        <f xml:space="preserve"> VLOOKUP(A1331, Lookup_Tables!$G$2:$H$6,2,TRUE)</f>
        <v>25-34</v>
      </c>
      <c r="P1331" t="str">
        <f>_xlfn.XLOOKUP(J1331,Lookup_Tables!$J$2:$J$4,Lookup_Tables!$K$2:$K$4, " ",-1)</f>
        <v>Low</v>
      </c>
      <c r="Q1331" t="str">
        <f xml:space="preserve"> _xlfn.XLOOKUP(M1331, Lookup_Tables!$M$2:$M$5,Lookup_Tables!$N$2:$N$5," ", -1)</f>
        <v>New (0-2)</v>
      </c>
      <c r="R1331" s="4">
        <f t="shared" si="41"/>
        <v>3</v>
      </c>
      <c r="S1331" t="str">
        <f xml:space="preserve"> _xlfn.XLOOKUP( E1331, Lookup_Tables!$A$2:$A$6,Lookup_Tables!$B$2:$B$6," ", -1)</f>
        <v>Below College</v>
      </c>
      <c r="T1331" t="str">
        <f>_xlfn.XLOOKUP(G1331,Lookup_Tables!$D$2:$D$5,Lookup_Tables!$E$2:$E$5)</f>
        <v>Very High</v>
      </c>
      <c r="U1331" t="str">
        <f>_xlfn.XLOOKUP(H1331,Lookup_Tables!$D$2:$D$5,Lookup_Tables!$E$2:$E$5)</f>
        <v>Medium</v>
      </c>
      <c r="V1331" t="str">
        <f>_xlfn.XLOOKUP(L1331,Lookup_Tables!$D$2:$D$5,Lookup_Tables!$E$2:$E$5)</f>
        <v>High</v>
      </c>
    </row>
    <row r="1332" spans="1:22">
      <c r="A1332">
        <f>RAW_DATA!A1332</f>
        <v>43</v>
      </c>
      <c r="B1332" t="str">
        <f>RAW_DATA!B1332</f>
        <v>No</v>
      </c>
      <c r="C1332" t="str">
        <f>RAW_DATA!C1332</f>
        <v>Research &amp; Development</v>
      </c>
      <c r="D1332">
        <f>RAW_DATA!D1332</f>
        <v>6</v>
      </c>
      <c r="E1332">
        <f>RAW_DATA!E1332</f>
        <v>3</v>
      </c>
      <c r="F1332" t="str">
        <f>RAW_DATA!F1332</f>
        <v>Medical</v>
      </c>
      <c r="G1332">
        <f>RAW_DATA!G1332</f>
        <v>1</v>
      </c>
      <c r="H1332">
        <f>RAW_DATA!H1332</f>
        <v>3</v>
      </c>
      <c r="I1332" t="str">
        <f>RAW_DATA!I1332</f>
        <v>Married</v>
      </c>
      <c r="J1332">
        <f>RAW_DATA!J1332</f>
        <v>19392</v>
      </c>
      <c r="K1332">
        <f>RAW_DATA!K1332</f>
        <v>7</v>
      </c>
      <c r="L1332">
        <f>RAW_DATA!L1332</f>
        <v>3</v>
      </c>
      <c r="M1332">
        <f>RAW_DATA!M1332</f>
        <v>16</v>
      </c>
      <c r="N1332">
        <f t="shared" si="40"/>
        <v>0</v>
      </c>
      <c r="O1332" t="str">
        <f xml:space="preserve"> VLOOKUP(A1332, Lookup_Tables!$G$2:$H$6,2,TRUE)</f>
        <v>35-44</v>
      </c>
      <c r="P1332" t="str">
        <f>_xlfn.XLOOKUP(J1332,Lookup_Tables!$J$2:$J$4,Lookup_Tables!$K$2:$K$4, " ",-1)</f>
        <v>High</v>
      </c>
      <c r="Q1332" t="str">
        <f xml:space="preserve"> _xlfn.XLOOKUP(M1332, Lookup_Tables!$M$2:$M$5,Lookup_Tables!$N$2:$N$5," ", -1)</f>
        <v>Veteran (10+)</v>
      </c>
      <c r="R1332" s="4">
        <f t="shared" si="41"/>
        <v>2.3333333333333335</v>
      </c>
      <c r="S1332" t="str">
        <f xml:space="preserve"> _xlfn.XLOOKUP( E1332, Lookup_Tables!$A$2:$A$6,Lookup_Tables!$B$2:$B$6," ", -1)</f>
        <v>Bachelor</v>
      </c>
      <c r="T1332" t="str">
        <f>_xlfn.XLOOKUP(G1332,Lookup_Tables!$D$2:$D$5,Lookup_Tables!$E$2:$E$5)</f>
        <v>Low</v>
      </c>
      <c r="U1332" t="str">
        <f>_xlfn.XLOOKUP(H1332,Lookup_Tables!$D$2:$D$5,Lookup_Tables!$E$2:$E$5)</f>
        <v>High</v>
      </c>
      <c r="V1332" t="str">
        <f>_xlfn.XLOOKUP(L1332,Lookup_Tables!$D$2:$D$5,Lookup_Tables!$E$2:$E$5)</f>
        <v>High</v>
      </c>
    </row>
    <row r="1333" spans="1:22">
      <c r="A1333">
        <f>RAW_DATA!A1333</f>
        <v>48</v>
      </c>
      <c r="B1333" t="str">
        <f>RAW_DATA!B1333</f>
        <v>No</v>
      </c>
      <c r="C1333" t="str">
        <f>RAW_DATA!C1333</f>
        <v>Research &amp; Development</v>
      </c>
      <c r="D1333">
        <f>RAW_DATA!D1333</f>
        <v>10</v>
      </c>
      <c r="E1333">
        <f>RAW_DATA!E1333</f>
        <v>3</v>
      </c>
      <c r="F1333" t="str">
        <f>RAW_DATA!F1333</f>
        <v>Life Sciences</v>
      </c>
      <c r="G1333">
        <f>RAW_DATA!G1333</f>
        <v>4</v>
      </c>
      <c r="H1333">
        <f>RAW_DATA!H1333</f>
        <v>2</v>
      </c>
      <c r="I1333" t="str">
        <f>RAW_DATA!I1333</f>
        <v>Married</v>
      </c>
      <c r="J1333">
        <f>RAW_DATA!J1333</f>
        <v>19665</v>
      </c>
      <c r="K1333">
        <f>RAW_DATA!K1333</f>
        <v>4</v>
      </c>
      <c r="L1333">
        <f>RAW_DATA!L1333</f>
        <v>3</v>
      </c>
      <c r="M1333">
        <f>RAW_DATA!M1333</f>
        <v>22</v>
      </c>
      <c r="N1333">
        <f t="shared" si="40"/>
        <v>0</v>
      </c>
      <c r="O1333" t="str">
        <f xml:space="preserve"> VLOOKUP(A1333, Lookup_Tables!$G$2:$H$6,2,TRUE)</f>
        <v>45-54</v>
      </c>
      <c r="P1333" t="str">
        <f>_xlfn.XLOOKUP(J1333,Lookup_Tables!$J$2:$J$4,Lookup_Tables!$K$2:$K$4, " ",-1)</f>
        <v>High</v>
      </c>
      <c r="Q1333" t="str">
        <f xml:space="preserve"> _xlfn.XLOOKUP(M1333, Lookup_Tables!$M$2:$M$5,Lookup_Tables!$N$2:$N$5," ", -1)</f>
        <v>Veteran (10+)</v>
      </c>
      <c r="R1333" s="4">
        <f t="shared" si="41"/>
        <v>3</v>
      </c>
      <c r="S1333" t="str">
        <f xml:space="preserve"> _xlfn.XLOOKUP( E1333, Lookup_Tables!$A$2:$A$6,Lookup_Tables!$B$2:$B$6," ", -1)</f>
        <v>Bachelor</v>
      </c>
      <c r="T1333" t="str">
        <f>_xlfn.XLOOKUP(G1333,Lookup_Tables!$D$2:$D$5,Lookup_Tables!$E$2:$E$5)</f>
        <v>Very High</v>
      </c>
      <c r="U1333" t="str">
        <f>_xlfn.XLOOKUP(H1333,Lookup_Tables!$D$2:$D$5,Lookup_Tables!$E$2:$E$5)</f>
        <v>Medium</v>
      </c>
      <c r="V1333" t="str">
        <f>_xlfn.XLOOKUP(L1333,Lookup_Tables!$D$2:$D$5,Lookup_Tables!$E$2:$E$5)</f>
        <v>High</v>
      </c>
    </row>
    <row r="1334" spans="1:22">
      <c r="A1334">
        <f>RAW_DATA!A1334</f>
        <v>29</v>
      </c>
      <c r="B1334" t="str">
        <f>RAW_DATA!B1334</f>
        <v>Yes</v>
      </c>
      <c r="C1334" t="str">
        <f>RAW_DATA!C1334</f>
        <v>Research &amp; Development</v>
      </c>
      <c r="D1334">
        <f>RAW_DATA!D1334</f>
        <v>24</v>
      </c>
      <c r="E1334">
        <f>RAW_DATA!E1334</f>
        <v>2</v>
      </c>
      <c r="F1334" t="str">
        <f>RAW_DATA!F1334</f>
        <v>Life Sciences</v>
      </c>
      <c r="G1334">
        <f>RAW_DATA!G1334</f>
        <v>4</v>
      </c>
      <c r="H1334">
        <f>RAW_DATA!H1334</f>
        <v>4</v>
      </c>
      <c r="I1334" t="str">
        <f>RAW_DATA!I1334</f>
        <v>Single</v>
      </c>
      <c r="J1334">
        <f>RAW_DATA!J1334</f>
        <v>2439</v>
      </c>
      <c r="K1334">
        <f>RAW_DATA!K1334</f>
        <v>1</v>
      </c>
      <c r="L1334">
        <f>RAW_DATA!L1334</f>
        <v>2</v>
      </c>
      <c r="M1334">
        <f>RAW_DATA!M1334</f>
        <v>1</v>
      </c>
      <c r="N1334">
        <f t="shared" si="40"/>
        <v>1</v>
      </c>
      <c r="O1334" t="str">
        <f xml:space="preserve"> VLOOKUP(A1334, Lookup_Tables!$G$2:$H$6,2,TRUE)</f>
        <v>25-34</v>
      </c>
      <c r="P1334" t="str">
        <f>_xlfn.XLOOKUP(J1334,Lookup_Tables!$J$2:$J$4,Lookup_Tables!$K$2:$K$4, " ",-1)</f>
        <v>Low</v>
      </c>
      <c r="Q1334" t="str">
        <f xml:space="preserve"> _xlfn.XLOOKUP(M1334, Lookup_Tables!$M$2:$M$5,Lookup_Tables!$N$2:$N$5," ", -1)</f>
        <v>New (0-2)</v>
      </c>
      <c r="R1334" s="4">
        <f t="shared" si="41"/>
        <v>3.3333333333333335</v>
      </c>
      <c r="S1334" t="str">
        <f xml:space="preserve"> _xlfn.XLOOKUP( E1334, Lookup_Tables!$A$2:$A$6,Lookup_Tables!$B$2:$B$6," ", -1)</f>
        <v>College</v>
      </c>
      <c r="T1334" t="str">
        <f>_xlfn.XLOOKUP(G1334,Lookup_Tables!$D$2:$D$5,Lookup_Tables!$E$2:$E$5)</f>
        <v>Very High</v>
      </c>
      <c r="U1334" t="str">
        <f>_xlfn.XLOOKUP(H1334,Lookup_Tables!$D$2:$D$5,Lookup_Tables!$E$2:$E$5)</f>
        <v>Very High</v>
      </c>
      <c r="V1334" t="str">
        <f>_xlfn.XLOOKUP(L1334,Lookup_Tables!$D$2:$D$5,Lookup_Tables!$E$2:$E$5)</f>
        <v>Medium</v>
      </c>
    </row>
    <row r="1335" spans="1:22">
      <c r="A1335">
        <f>RAW_DATA!A1335</f>
        <v>46</v>
      </c>
      <c r="B1335" t="str">
        <f>RAW_DATA!B1335</f>
        <v>Yes</v>
      </c>
      <c r="C1335" t="str">
        <f>RAW_DATA!C1335</f>
        <v>Sales</v>
      </c>
      <c r="D1335">
        <f>RAW_DATA!D1335</f>
        <v>10</v>
      </c>
      <c r="E1335">
        <f>RAW_DATA!E1335</f>
        <v>3</v>
      </c>
      <c r="F1335" t="str">
        <f>RAW_DATA!F1335</f>
        <v>Life Sciences</v>
      </c>
      <c r="G1335">
        <f>RAW_DATA!G1335</f>
        <v>3</v>
      </c>
      <c r="H1335">
        <f>RAW_DATA!H1335</f>
        <v>2</v>
      </c>
      <c r="I1335" t="str">
        <f>RAW_DATA!I1335</f>
        <v>Married</v>
      </c>
      <c r="J1335">
        <f>RAW_DATA!J1335</f>
        <v>7314</v>
      </c>
      <c r="K1335">
        <f>RAW_DATA!K1335</f>
        <v>5</v>
      </c>
      <c r="L1335">
        <f>RAW_DATA!L1335</f>
        <v>3</v>
      </c>
      <c r="M1335">
        <f>RAW_DATA!M1335</f>
        <v>8</v>
      </c>
      <c r="N1335">
        <f t="shared" si="40"/>
        <v>1</v>
      </c>
      <c r="O1335" t="str">
        <f xml:space="preserve"> VLOOKUP(A1335, Lookup_Tables!$G$2:$H$6,2,TRUE)</f>
        <v>45-54</v>
      </c>
      <c r="P1335" t="str">
        <f>_xlfn.XLOOKUP(J1335,Lookup_Tables!$J$2:$J$4,Lookup_Tables!$K$2:$K$4, " ",-1)</f>
        <v>High</v>
      </c>
      <c r="Q1335" t="str">
        <f xml:space="preserve"> _xlfn.XLOOKUP(M1335, Lookup_Tables!$M$2:$M$5,Lookup_Tables!$N$2:$N$5," ", -1)</f>
        <v>Established (5-10)</v>
      </c>
      <c r="R1335" s="4">
        <f t="shared" si="41"/>
        <v>2.6666666666666665</v>
      </c>
      <c r="S1335" t="str">
        <f xml:space="preserve"> _xlfn.XLOOKUP( E1335, Lookup_Tables!$A$2:$A$6,Lookup_Tables!$B$2:$B$6," ", -1)</f>
        <v>Bachelor</v>
      </c>
      <c r="T1335" t="str">
        <f>_xlfn.XLOOKUP(G1335,Lookup_Tables!$D$2:$D$5,Lookup_Tables!$E$2:$E$5)</f>
        <v>High</v>
      </c>
      <c r="U1335" t="str">
        <f>_xlfn.XLOOKUP(H1335,Lookup_Tables!$D$2:$D$5,Lookup_Tables!$E$2:$E$5)</f>
        <v>Medium</v>
      </c>
      <c r="V1335" t="str">
        <f>_xlfn.XLOOKUP(L1335,Lookup_Tables!$D$2:$D$5,Lookup_Tables!$E$2:$E$5)</f>
        <v>High</v>
      </c>
    </row>
    <row r="1336" spans="1:22">
      <c r="A1336">
        <f>RAW_DATA!A1336</f>
        <v>27</v>
      </c>
      <c r="B1336" t="str">
        <f>RAW_DATA!B1336</f>
        <v>No</v>
      </c>
      <c r="C1336" t="str">
        <f>RAW_DATA!C1336</f>
        <v>Research &amp; Development</v>
      </c>
      <c r="D1336">
        <f>RAW_DATA!D1336</f>
        <v>15</v>
      </c>
      <c r="E1336">
        <f>RAW_DATA!E1336</f>
        <v>3</v>
      </c>
      <c r="F1336" t="str">
        <f>RAW_DATA!F1336</f>
        <v>Life Sciences</v>
      </c>
      <c r="G1336">
        <f>RAW_DATA!G1336</f>
        <v>4</v>
      </c>
      <c r="H1336">
        <f>RAW_DATA!H1336</f>
        <v>1</v>
      </c>
      <c r="I1336" t="str">
        <f>RAW_DATA!I1336</f>
        <v>Married</v>
      </c>
      <c r="J1336">
        <f>RAW_DATA!J1336</f>
        <v>4774</v>
      </c>
      <c r="K1336">
        <f>RAW_DATA!K1336</f>
        <v>0</v>
      </c>
      <c r="L1336">
        <f>RAW_DATA!L1336</f>
        <v>2</v>
      </c>
      <c r="M1336">
        <f>RAW_DATA!M1336</f>
        <v>7</v>
      </c>
      <c r="N1336">
        <f t="shared" si="40"/>
        <v>0</v>
      </c>
      <c r="O1336" t="str">
        <f xml:space="preserve"> VLOOKUP(A1336, Lookup_Tables!$G$2:$H$6,2,TRUE)</f>
        <v>25-34</v>
      </c>
      <c r="P1336" t="str">
        <f>_xlfn.XLOOKUP(J1336,Lookup_Tables!$J$2:$J$4,Lookup_Tables!$K$2:$K$4, " ",-1)</f>
        <v>Medium</v>
      </c>
      <c r="Q1336" t="str">
        <f xml:space="preserve"> _xlfn.XLOOKUP(M1336, Lookup_Tables!$M$2:$M$5,Lookup_Tables!$N$2:$N$5," ", -1)</f>
        <v>Established (5-10)</v>
      </c>
      <c r="R1336" s="4">
        <f t="shared" si="41"/>
        <v>2.3333333333333335</v>
      </c>
      <c r="S1336" t="str">
        <f xml:space="preserve"> _xlfn.XLOOKUP( E1336, Lookup_Tables!$A$2:$A$6,Lookup_Tables!$B$2:$B$6," ", -1)</f>
        <v>Bachelor</v>
      </c>
      <c r="T1336" t="str">
        <f>_xlfn.XLOOKUP(G1336,Lookup_Tables!$D$2:$D$5,Lookup_Tables!$E$2:$E$5)</f>
        <v>Very High</v>
      </c>
      <c r="U1336" t="str">
        <f>_xlfn.XLOOKUP(H1336,Lookup_Tables!$D$2:$D$5,Lookup_Tables!$E$2:$E$5)</f>
        <v>Low</v>
      </c>
      <c r="V1336" t="str">
        <f>_xlfn.XLOOKUP(L1336,Lookup_Tables!$D$2:$D$5,Lookup_Tables!$E$2:$E$5)</f>
        <v>Medium</v>
      </c>
    </row>
    <row r="1337" spans="1:22">
      <c r="A1337">
        <f>RAW_DATA!A1337</f>
        <v>39</v>
      </c>
      <c r="B1337" t="str">
        <f>RAW_DATA!B1337</f>
        <v>No</v>
      </c>
      <c r="C1337" t="str">
        <f>RAW_DATA!C1337</f>
        <v>Research &amp; Development</v>
      </c>
      <c r="D1337">
        <f>RAW_DATA!D1337</f>
        <v>19</v>
      </c>
      <c r="E1337">
        <f>RAW_DATA!E1337</f>
        <v>4</v>
      </c>
      <c r="F1337" t="str">
        <f>RAW_DATA!F1337</f>
        <v>Other</v>
      </c>
      <c r="G1337">
        <f>RAW_DATA!G1337</f>
        <v>4</v>
      </c>
      <c r="H1337">
        <f>RAW_DATA!H1337</f>
        <v>4</v>
      </c>
      <c r="I1337" t="str">
        <f>RAW_DATA!I1337</f>
        <v>Divorced</v>
      </c>
      <c r="J1337">
        <f>RAW_DATA!J1337</f>
        <v>3902</v>
      </c>
      <c r="K1337">
        <f>RAW_DATA!K1337</f>
        <v>8</v>
      </c>
      <c r="L1337">
        <f>RAW_DATA!L1337</f>
        <v>3</v>
      </c>
      <c r="M1337">
        <f>RAW_DATA!M1337</f>
        <v>2</v>
      </c>
      <c r="N1337">
        <f t="shared" si="40"/>
        <v>0</v>
      </c>
      <c r="O1337" t="str">
        <f xml:space="preserve"> VLOOKUP(A1337, Lookup_Tables!$G$2:$H$6,2,TRUE)</f>
        <v>35-44</v>
      </c>
      <c r="P1337" t="str">
        <f>_xlfn.XLOOKUP(J1337,Lookup_Tables!$J$2:$J$4,Lookup_Tables!$K$2:$K$4, " ",-1)</f>
        <v>Medium</v>
      </c>
      <c r="Q1337" t="str">
        <f xml:space="preserve"> _xlfn.XLOOKUP(M1337, Lookup_Tables!$M$2:$M$5,Lookup_Tables!$N$2:$N$5," ", -1)</f>
        <v>Early (2-5)</v>
      </c>
      <c r="R1337" s="4">
        <f t="shared" si="41"/>
        <v>3.6666666666666665</v>
      </c>
      <c r="S1337" t="str">
        <f xml:space="preserve"> _xlfn.XLOOKUP( E1337, Lookup_Tables!$A$2:$A$6,Lookup_Tables!$B$2:$B$6," ", -1)</f>
        <v>Master</v>
      </c>
      <c r="T1337" t="str">
        <f>_xlfn.XLOOKUP(G1337,Lookup_Tables!$D$2:$D$5,Lookup_Tables!$E$2:$E$5)</f>
        <v>Very High</v>
      </c>
      <c r="U1337" t="str">
        <f>_xlfn.XLOOKUP(H1337,Lookup_Tables!$D$2:$D$5,Lookup_Tables!$E$2:$E$5)</f>
        <v>Very High</v>
      </c>
      <c r="V1337" t="str">
        <f>_xlfn.XLOOKUP(L1337,Lookup_Tables!$D$2:$D$5,Lookup_Tables!$E$2:$E$5)</f>
        <v>High</v>
      </c>
    </row>
    <row r="1338" spans="1:22">
      <c r="A1338">
        <f>RAW_DATA!A1338</f>
        <v>55</v>
      </c>
      <c r="B1338" t="str">
        <f>RAW_DATA!B1338</f>
        <v>No</v>
      </c>
      <c r="C1338" t="str">
        <f>RAW_DATA!C1338</f>
        <v>Research &amp; Development</v>
      </c>
      <c r="D1338">
        <f>RAW_DATA!D1338</f>
        <v>2</v>
      </c>
      <c r="E1338">
        <f>RAW_DATA!E1338</f>
        <v>4</v>
      </c>
      <c r="F1338" t="str">
        <f>RAW_DATA!F1338</f>
        <v>Technical Degree</v>
      </c>
      <c r="G1338">
        <f>RAW_DATA!G1338</f>
        <v>2</v>
      </c>
      <c r="H1338">
        <f>RAW_DATA!H1338</f>
        <v>4</v>
      </c>
      <c r="I1338" t="str">
        <f>RAW_DATA!I1338</f>
        <v>Married</v>
      </c>
      <c r="J1338">
        <f>RAW_DATA!J1338</f>
        <v>2662</v>
      </c>
      <c r="K1338">
        <f>RAW_DATA!K1338</f>
        <v>8</v>
      </c>
      <c r="L1338">
        <f>RAW_DATA!L1338</f>
        <v>4</v>
      </c>
      <c r="M1338">
        <f>RAW_DATA!M1338</f>
        <v>5</v>
      </c>
      <c r="N1338">
        <f t="shared" si="40"/>
        <v>0</v>
      </c>
      <c r="O1338" t="str">
        <f xml:space="preserve"> VLOOKUP(A1338, Lookup_Tables!$G$2:$H$6,2,TRUE)</f>
        <v>55+</v>
      </c>
      <c r="P1338" t="str">
        <f>_xlfn.XLOOKUP(J1338,Lookup_Tables!$J$2:$J$4,Lookup_Tables!$K$2:$K$4, " ",-1)</f>
        <v>Low</v>
      </c>
      <c r="Q1338" t="str">
        <f xml:space="preserve"> _xlfn.XLOOKUP(M1338, Lookup_Tables!$M$2:$M$5,Lookup_Tables!$N$2:$N$5," ", -1)</f>
        <v>Established (5-10)</v>
      </c>
      <c r="R1338" s="4">
        <f t="shared" si="41"/>
        <v>3.3333333333333335</v>
      </c>
      <c r="S1338" t="str">
        <f xml:space="preserve"> _xlfn.XLOOKUP( E1338, Lookup_Tables!$A$2:$A$6,Lookup_Tables!$B$2:$B$6," ", -1)</f>
        <v>Master</v>
      </c>
      <c r="T1338" t="str">
        <f>_xlfn.XLOOKUP(G1338,Lookup_Tables!$D$2:$D$5,Lookup_Tables!$E$2:$E$5)</f>
        <v>Medium</v>
      </c>
      <c r="U1338" t="str">
        <f>_xlfn.XLOOKUP(H1338,Lookup_Tables!$D$2:$D$5,Lookup_Tables!$E$2:$E$5)</f>
        <v>Very High</v>
      </c>
      <c r="V1338" t="str">
        <f>_xlfn.XLOOKUP(L1338,Lookup_Tables!$D$2:$D$5,Lookup_Tables!$E$2:$E$5)</f>
        <v>Very High</v>
      </c>
    </row>
    <row r="1339" spans="1:22">
      <c r="A1339">
        <f>RAW_DATA!A1339</f>
        <v>28</v>
      </c>
      <c r="B1339" t="str">
        <f>RAW_DATA!B1339</f>
        <v>No</v>
      </c>
      <c r="C1339" t="str">
        <f>RAW_DATA!C1339</f>
        <v>Sales</v>
      </c>
      <c r="D1339">
        <f>RAW_DATA!D1339</f>
        <v>3</v>
      </c>
      <c r="E1339">
        <f>RAW_DATA!E1339</f>
        <v>3</v>
      </c>
      <c r="F1339" t="str">
        <f>RAW_DATA!F1339</f>
        <v>Medical</v>
      </c>
      <c r="G1339">
        <f>RAW_DATA!G1339</f>
        <v>2</v>
      </c>
      <c r="H1339">
        <f>RAW_DATA!H1339</f>
        <v>2</v>
      </c>
      <c r="I1339" t="str">
        <f>RAW_DATA!I1339</f>
        <v>Married</v>
      </c>
      <c r="J1339">
        <f>RAW_DATA!J1339</f>
        <v>2856</v>
      </c>
      <c r="K1339">
        <f>RAW_DATA!K1339</f>
        <v>1</v>
      </c>
      <c r="L1339">
        <f>RAW_DATA!L1339</f>
        <v>3</v>
      </c>
      <c r="M1339">
        <f>RAW_DATA!M1339</f>
        <v>1</v>
      </c>
      <c r="N1339">
        <f t="shared" si="40"/>
        <v>0</v>
      </c>
      <c r="O1339" t="str">
        <f xml:space="preserve"> VLOOKUP(A1339, Lookup_Tables!$G$2:$H$6,2,TRUE)</f>
        <v>25-34</v>
      </c>
      <c r="P1339" t="str">
        <f>_xlfn.XLOOKUP(J1339,Lookup_Tables!$J$2:$J$4,Lookup_Tables!$K$2:$K$4, " ",-1)</f>
        <v>Low</v>
      </c>
      <c r="Q1339" t="str">
        <f xml:space="preserve"> _xlfn.XLOOKUP(M1339, Lookup_Tables!$M$2:$M$5,Lookup_Tables!$N$2:$N$5," ", -1)</f>
        <v>New (0-2)</v>
      </c>
      <c r="R1339" s="4">
        <f t="shared" si="41"/>
        <v>2.3333333333333335</v>
      </c>
      <c r="S1339" t="str">
        <f xml:space="preserve"> _xlfn.XLOOKUP( E1339, Lookup_Tables!$A$2:$A$6,Lookup_Tables!$B$2:$B$6," ", -1)</f>
        <v>Bachelor</v>
      </c>
      <c r="T1339" t="str">
        <f>_xlfn.XLOOKUP(G1339,Lookup_Tables!$D$2:$D$5,Lookup_Tables!$E$2:$E$5)</f>
        <v>Medium</v>
      </c>
      <c r="U1339" t="str">
        <f>_xlfn.XLOOKUP(H1339,Lookup_Tables!$D$2:$D$5,Lookup_Tables!$E$2:$E$5)</f>
        <v>Medium</v>
      </c>
      <c r="V1339" t="str">
        <f>_xlfn.XLOOKUP(L1339,Lookup_Tables!$D$2:$D$5,Lookup_Tables!$E$2:$E$5)</f>
        <v>High</v>
      </c>
    </row>
    <row r="1340" spans="1:22">
      <c r="A1340">
        <f>RAW_DATA!A1340</f>
        <v>30</v>
      </c>
      <c r="B1340" t="str">
        <f>RAW_DATA!B1340</f>
        <v>Yes</v>
      </c>
      <c r="C1340" t="str">
        <f>RAW_DATA!C1340</f>
        <v>Sales</v>
      </c>
      <c r="D1340">
        <f>RAW_DATA!D1340</f>
        <v>9</v>
      </c>
      <c r="E1340">
        <f>RAW_DATA!E1340</f>
        <v>3</v>
      </c>
      <c r="F1340" t="str">
        <f>RAW_DATA!F1340</f>
        <v>Medical</v>
      </c>
      <c r="G1340">
        <f>RAW_DATA!G1340</f>
        <v>2</v>
      </c>
      <c r="H1340">
        <f>RAW_DATA!H1340</f>
        <v>4</v>
      </c>
      <c r="I1340" t="str">
        <f>RAW_DATA!I1340</f>
        <v>Single</v>
      </c>
      <c r="J1340">
        <f>RAW_DATA!J1340</f>
        <v>1081</v>
      </c>
      <c r="K1340">
        <f>RAW_DATA!K1340</f>
        <v>1</v>
      </c>
      <c r="L1340">
        <f>RAW_DATA!L1340</f>
        <v>2</v>
      </c>
      <c r="M1340">
        <f>RAW_DATA!M1340</f>
        <v>1</v>
      </c>
      <c r="N1340">
        <f t="shared" si="40"/>
        <v>1</v>
      </c>
      <c r="O1340" t="str">
        <f xml:space="preserve"> VLOOKUP(A1340, Lookup_Tables!$G$2:$H$6,2,TRUE)</f>
        <v>25-34</v>
      </c>
      <c r="P1340" t="str">
        <f>_xlfn.XLOOKUP(J1340,Lookup_Tables!$J$2:$J$4,Lookup_Tables!$K$2:$K$4, " ",-1)</f>
        <v>Low</v>
      </c>
      <c r="Q1340" t="str">
        <f xml:space="preserve"> _xlfn.XLOOKUP(M1340, Lookup_Tables!$M$2:$M$5,Lookup_Tables!$N$2:$N$5," ", -1)</f>
        <v>New (0-2)</v>
      </c>
      <c r="R1340" s="4">
        <f t="shared" si="41"/>
        <v>2.6666666666666665</v>
      </c>
      <c r="S1340" t="str">
        <f xml:space="preserve"> _xlfn.XLOOKUP( E1340, Lookup_Tables!$A$2:$A$6,Lookup_Tables!$B$2:$B$6," ", -1)</f>
        <v>Bachelor</v>
      </c>
      <c r="T1340" t="str">
        <f>_xlfn.XLOOKUP(G1340,Lookup_Tables!$D$2:$D$5,Lookup_Tables!$E$2:$E$5)</f>
        <v>Medium</v>
      </c>
      <c r="U1340" t="str">
        <f>_xlfn.XLOOKUP(H1340,Lookup_Tables!$D$2:$D$5,Lookup_Tables!$E$2:$E$5)</f>
        <v>Very High</v>
      </c>
      <c r="V1340" t="str">
        <f>_xlfn.XLOOKUP(L1340,Lookup_Tables!$D$2:$D$5,Lookup_Tables!$E$2:$E$5)</f>
        <v>Medium</v>
      </c>
    </row>
    <row r="1341" spans="1:22">
      <c r="A1341">
        <f>RAW_DATA!A1341</f>
        <v>22</v>
      </c>
      <c r="B1341" t="str">
        <f>RAW_DATA!B1341</f>
        <v>Yes</v>
      </c>
      <c r="C1341" t="str">
        <f>RAW_DATA!C1341</f>
        <v>Research &amp; Development</v>
      </c>
      <c r="D1341">
        <f>RAW_DATA!D1341</f>
        <v>7</v>
      </c>
      <c r="E1341">
        <f>RAW_DATA!E1341</f>
        <v>1</v>
      </c>
      <c r="F1341" t="str">
        <f>RAW_DATA!F1341</f>
        <v>Life Sciences</v>
      </c>
      <c r="G1341">
        <f>RAW_DATA!G1341</f>
        <v>4</v>
      </c>
      <c r="H1341">
        <f>RAW_DATA!H1341</f>
        <v>2</v>
      </c>
      <c r="I1341" t="str">
        <f>RAW_DATA!I1341</f>
        <v>Single</v>
      </c>
      <c r="J1341">
        <f>RAW_DATA!J1341</f>
        <v>2472</v>
      </c>
      <c r="K1341">
        <f>RAW_DATA!K1341</f>
        <v>1</v>
      </c>
      <c r="L1341">
        <f>RAW_DATA!L1341</f>
        <v>3</v>
      </c>
      <c r="M1341">
        <f>RAW_DATA!M1341</f>
        <v>1</v>
      </c>
      <c r="N1341">
        <f t="shared" si="40"/>
        <v>1</v>
      </c>
      <c r="O1341" t="str">
        <f xml:space="preserve"> VLOOKUP(A1341, Lookup_Tables!$G$2:$H$6,2,TRUE)</f>
        <v>&lt;25</v>
      </c>
      <c r="P1341" t="str">
        <f>_xlfn.XLOOKUP(J1341,Lookup_Tables!$J$2:$J$4,Lookup_Tables!$K$2:$K$4, " ",-1)</f>
        <v>Low</v>
      </c>
      <c r="Q1341" t="str">
        <f xml:space="preserve"> _xlfn.XLOOKUP(M1341, Lookup_Tables!$M$2:$M$5,Lookup_Tables!$N$2:$N$5," ", -1)</f>
        <v>New (0-2)</v>
      </c>
      <c r="R1341" s="4">
        <f t="shared" si="41"/>
        <v>3</v>
      </c>
      <c r="S1341" t="str">
        <f xml:space="preserve"> _xlfn.XLOOKUP( E1341, Lookup_Tables!$A$2:$A$6,Lookup_Tables!$B$2:$B$6," ", -1)</f>
        <v>Below College</v>
      </c>
      <c r="T1341" t="str">
        <f>_xlfn.XLOOKUP(G1341,Lookup_Tables!$D$2:$D$5,Lookup_Tables!$E$2:$E$5)</f>
        <v>Very High</v>
      </c>
      <c r="U1341" t="str">
        <f>_xlfn.XLOOKUP(H1341,Lookup_Tables!$D$2:$D$5,Lookup_Tables!$E$2:$E$5)</f>
        <v>Medium</v>
      </c>
      <c r="V1341" t="str">
        <f>_xlfn.XLOOKUP(L1341,Lookup_Tables!$D$2:$D$5,Lookup_Tables!$E$2:$E$5)</f>
        <v>High</v>
      </c>
    </row>
    <row r="1342" spans="1:22">
      <c r="A1342">
        <f>RAW_DATA!A1342</f>
        <v>36</v>
      </c>
      <c r="B1342" t="str">
        <f>RAW_DATA!B1342</f>
        <v>No</v>
      </c>
      <c r="C1342" t="str">
        <f>RAW_DATA!C1342</f>
        <v>Sales</v>
      </c>
      <c r="D1342">
        <f>RAW_DATA!D1342</f>
        <v>10</v>
      </c>
      <c r="E1342">
        <f>RAW_DATA!E1342</f>
        <v>4</v>
      </c>
      <c r="F1342" t="str">
        <f>RAW_DATA!F1342</f>
        <v>Technical Degree</v>
      </c>
      <c r="G1342">
        <f>RAW_DATA!G1342</f>
        <v>2</v>
      </c>
      <c r="H1342">
        <f>RAW_DATA!H1342</f>
        <v>3</v>
      </c>
      <c r="I1342" t="str">
        <f>RAW_DATA!I1342</f>
        <v>Married</v>
      </c>
      <c r="J1342">
        <f>RAW_DATA!J1342</f>
        <v>5673</v>
      </c>
      <c r="K1342">
        <f>RAW_DATA!K1342</f>
        <v>1</v>
      </c>
      <c r="L1342">
        <f>RAW_DATA!L1342</f>
        <v>3</v>
      </c>
      <c r="M1342">
        <f>RAW_DATA!M1342</f>
        <v>10</v>
      </c>
      <c r="N1342">
        <f t="shared" si="40"/>
        <v>0</v>
      </c>
      <c r="O1342" t="str">
        <f xml:space="preserve"> VLOOKUP(A1342, Lookup_Tables!$G$2:$H$6,2,TRUE)</f>
        <v>35-44</v>
      </c>
      <c r="P1342" t="str">
        <f>_xlfn.XLOOKUP(J1342,Lookup_Tables!$J$2:$J$4,Lookup_Tables!$K$2:$K$4, " ",-1)</f>
        <v>Medium</v>
      </c>
      <c r="Q1342" t="str">
        <f xml:space="preserve"> _xlfn.XLOOKUP(M1342, Lookup_Tables!$M$2:$M$5,Lookup_Tables!$N$2:$N$5," ", -1)</f>
        <v>Veteran (10+)</v>
      </c>
      <c r="R1342" s="4">
        <f t="shared" si="41"/>
        <v>2.6666666666666665</v>
      </c>
      <c r="S1342" t="str">
        <f xml:space="preserve"> _xlfn.XLOOKUP( E1342, Lookup_Tables!$A$2:$A$6,Lookup_Tables!$B$2:$B$6," ", -1)</f>
        <v>Master</v>
      </c>
      <c r="T1342" t="str">
        <f>_xlfn.XLOOKUP(G1342,Lookup_Tables!$D$2:$D$5,Lookup_Tables!$E$2:$E$5)</f>
        <v>Medium</v>
      </c>
      <c r="U1342" t="str">
        <f>_xlfn.XLOOKUP(H1342,Lookup_Tables!$D$2:$D$5,Lookup_Tables!$E$2:$E$5)</f>
        <v>High</v>
      </c>
      <c r="V1342" t="str">
        <f>_xlfn.XLOOKUP(L1342,Lookup_Tables!$D$2:$D$5,Lookup_Tables!$E$2:$E$5)</f>
        <v>High</v>
      </c>
    </row>
    <row r="1343" spans="1:22">
      <c r="A1343">
        <f>RAW_DATA!A1343</f>
        <v>31</v>
      </c>
      <c r="B1343" t="str">
        <f>RAW_DATA!B1343</f>
        <v>No</v>
      </c>
      <c r="C1343" t="str">
        <f>RAW_DATA!C1343</f>
        <v>Research &amp; Development</v>
      </c>
      <c r="D1343">
        <f>RAW_DATA!D1343</f>
        <v>20</v>
      </c>
      <c r="E1343">
        <f>RAW_DATA!E1343</f>
        <v>3</v>
      </c>
      <c r="F1343" t="str">
        <f>RAW_DATA!F1343</f>
        <v>Life Sciences</v>
      </c>
      <c r="G1343">
        <f>RAW_DATA!G1343</f>
        <v>2</v>
      </c>
      <c r="H1343">
        <f>RAW_DATA!H1343</f>
        <v>3</v>
      </c>
      <c r="I1343" t="str">
        <f>RAW_DATA!I1343</f>
        <v>Divorced</v>
      </c>
      <c r="J1343">
        <f>RAW_DATA!J1343</f>
        <v>4197</v>
      </c>
      <c r="K1343">
        <f>RAW_DATA!K1343</f>
        <v>1</v>
      </c>
      <c r="L1343">
        <f>RAW_DATA!L1343</f>
        <v>3</v>
      </c>
      <c r="M1343">
        <f>RAW_DATA!M1343</f>
        <v>10</v>
      </c>
      <c r="N1343">
        <f t="shared" si="40"/>
        <v>0</v>
      </c>
      <c r="O1343" t="str">
        <f xml:space="preserve"> VLOOKUP(A1343, Lookup_Tables!$G$2:$H$6,2,TRUE)</f>
        <v>25-34</v>
      </c>
      <c r="P1343" t="str">
        <f>_xlfn.XLOOKUP(J1343,Lookup_Tables!$J$2:$J$4,Lookup_Tables!$K$2:$K$4, " ",-1)</f>
        <v>Medium</v>
      </c>
      <c r="Q1343" t="str">
        <f xml:space="preserve"> _xlfn.XLOOKUP(M1343, Lookup_Tables!$M$2:$M$5,Lookup_Tables!$N$2:$N$5," ", -1)</f>
        <v>Veteran (10+)</v>
      </c>
      <c r="R1343" s="4">
        <f t="shared" si="41"/>
        <v>2.6666666666666665</v>
      </c>
      <c r="S1343" t="str">
        <f xml:space="preserve"> _xlfn.XLOOKUP( E1343, Lookup_Tables!$A$2:$A$6,Lookup_Tables!$B$2:$B$6," ", -1)</f>
        <v>Bachelor</v>
      </c>
      <c r="T1343" t="str">
        <f>_xlfn.XLOOKUP(G1343,Lookup_Tables!$D$2:$D$5,Lookup_Tables!$E$2:$E$5)</f>
        <v>Medium</v>
      </c>
      <c r="U1343" t="str">
        <f>_xlfn.XLOOKUP(H1343,Lookup_Tables!$D$2:$D$5,Lookup_Tables!$E$2:$E$5)</f>
        <v>High</v>
      </c>
      <c r="V1343" t="str">
        <f>_xlfn.XLOOKUP(L1343,Lookup_Tables!$D$2:$D$5,Lookup_Tables!$E$2:$E$5)</f>
        <v>High</v>
      </c>
    </row>
    <row r="1344" spans="1:22">
      <c r="A1344">
        <f>RAW_DATA!A1344</f>
        <v>34</v>
      </c>
      <c r="B1344" t="str">
        <f>RAW_DATA!B1344</f>
        <v>No</v>
      </c>
      <c r="C1344" t="str">
        <f>RAW_DATA!C1344</f>
        <v>Sales</v>
      </c>
      <c r="D1344">
        <f>RAW_DATA!D1344</f>
        <v>4</v>
      </c>
      <c r="E1344">
        <f>RAW_DATA!E1344</f>
        <v>3</v>
      </c>
      <c r="F1344" t="str">
        <f>RAW_DATA!F1344</f>
        <v>Life Sciences</v>
      </c>
      <c r="G1344">
        <f>RAW_DATA!G1344</f>
        <v>3</v>
      </c>
      <c r="H1344">
        <f>RAW_DATA!H1344</f>
        <v>4</v>
      </c>
      <c r="I1344" t="str">
        <f>RAW_DATA!I1344</f>
        <v>Married</v>
      </c>
      <c r="J1344">
        <f>RAW_DATA!J1344</f>
        <v>9713</v>
      </c>
      <c r="K1344">
        <f>RAW_DATA!K1344</f>
        <v>2</v>
      </c>
      <c r="L1344">
        <f>RAW_DATA!L1344</f>
        <v>3</v>
      </c>
      <c r="M1344">
        <f>RAW_DATA!M1344</f>
        <v>5</v>
      </c>
      <c r="N1344">
        <f t="shared" si="40"/>
        <v>0</v>
      </c>
      <c r="O1344" t="str">
        <f xml:space="preserve"> VLOOKUP(A1344, Lookup_Tables!$G$2:$H$6,2,TRUE)</f>
        <v>25-34</v>
      </c>
      <c r="P1344" t="str">
        <f>_xlfn.XLOOKUP(J1344,Lookup_Tables!$J$2:$J$4,Lookup_Tables!$K$2:$K$4, " ",-1)</f>
        <v>High</v>
      </c>
      <c r="Q1344" t="str">
        <f xml:space="preserve"> _xlfn.XLOOKUP(M1344, Lookup_Tables!$M$2:$M$5,Lookup_Tables!$N$2:$N$5," ", -1)</f>
        <v>Established (5-10)</v>
      </c>
      <c r="R1344" s="4">
        <f t="shared" si="41"/>
        <v>3.3333333333333335</v>
      </c>
      <c r="S1344" t="str">
        <f xml:space="preserve"> _xlfn.XLOOKUP( E1344, Lookup_Tables!$A$2:$A$6,Lookup_Tables!$B$2:$B$6," ", -1)</f>
        <v>Bachelor</v>
      </c>
      <c r="T1344" t="str">
        <f>_xlfn.XLOOKUP(G1344,Lookup_Tables!$D$2:$D$5,Lookup_Tables!$E$2:$E$5)</f>
        <v>High</v>
      </c>
      <c r="U1344" t="str">
        <f>_xlfn.XLOOKUP(H1344,Lookup_Tables!$D$2:$D$5,Lookup_Tables!$E$2:$E$5)</f>
        <v>Very High</v>
      </c>
      <c r="V1344" t="str">
        <f>_xlfn.XLOOKUP(L1344,Lookup_Tables!$D$2:$D$5,Lookup_Tables!$E$2:$E$5)</f>
        <v>High</v>
      </c>
    </row>
    <row r="1345" spans="1:22">
      <c r="A1345">
        <f>RAW_DATA!A1345</f>
        <v>29</v>
      </c>
      <c r="B1345" t="str">
        <f>RAW_DATA!B1345</f>
        <v>No</v>
      </c>
      <c r="C1345" t="str">
        <f>RAW_DATA!C1345</f>
        <v>Research &amp; Development</v>
      </c>
      <c r="D1345">
        <f>RAW_DATA!D1345</f>
        <v>7</v>
      </c>
      <c r="E1345">
        <f>RAW_DATA!E1345</f>
        <v>3</v>
      </c>
      <c r="F1345" t="str">
        <f>RAW_DATA!F1345</f>
        <v>Life Sciences</v>
      </c>
      <c r="G1345">
        <f>RAW_DATA!G1345</f>
        <v>4</v>
      </c>
      <c r="H1345">
        <f>RAW_DATA!H1345</f>
        <v>1</v>
      </c>
      <c r="I1345" t="str">
        <f>RAW_DATA!I1345</f>
        <v>Single</v>
      </c>
      <c r="J1345">
        <f>RAW_DATA!J1345</f>
        <v>2062</v>
      </c>
      <c r="K1345">
        <f>RAW_DATA!K1345</f>
        <v>3</v>
      </c>
      <c r="L1345">
        <f>RAW_DATA!L1345</f>
        <v>3</v>
      </c>
      <c r="M1345">
        <f>RAW_DATA!M1345</f>
        <v>3</v>
      </c>
      <c r="N1345">
        <f t="shared" si="40"/>
        <v>0</v>
      </c>
      <c r="O1345" t="str">
        <f xml:space="preserve"> VLOOKUP(A1345, Lookup_Tables!$G$2:$H$6,2,TRUE)</f>
        <v>25-34</v>
      </c>
      <c r="P1345" t="str">
        <f>_xlfn.XLOOKUP(J1345,Lookup_Tables!$J$2:$J$4,Lookup_Tables!$K$2:$K$4, " ",-1)</f>
        <v>Low</v>
      </c>
      <c r="Q1345" t="str">
        <f xml:space="preserve"> _xlfn.XLOOKUP(M1345, Lookup_Tables!$M$2:$M$5,Lookup_Tables!$N$2:$N$5," ", -1)</f>
        <v>Early (2-5)</v>
      </c>
      <c r="R1345" s="4">
        <f t="shared" si="41"/>
        <v>2.6666666666666665</v>
      </c>
      <c r="S1345" t="str">
        <f xml:space="preserve"> _xlfn.XLOOKUP( E1345, Lookup_Tables!$A$2:$A$6,Lookup_Tables!$B$2:$B$6," ", -1)</f>
        <v>Bachelor</v>
      </c>
      <c r="T1345" t="str">
        <f>_xlfn.XLOOKUP(G1345,Lookup_Tables!$D$2:$D$5,Lookup_Tables!$E$2:$E$5)</f>
        <v>Very High</v>
      </c>
      <c r="U1345" t="str">
        <f>_xlfn.XLOOKUP(H1345,Lookup_Tables!$D$2:$D$5,Lookup_Tables!$E$2:$E$5)</f>
        <v>Low</v>
      </c>
      <c r="V1345" t="str">
        <f>_xlfn.XLOOKUP(L1345,Lookup_Tables!$D$2:$D$5,Lookup_Tables!$E$2:$E$5)</f>
        <v>High</v>
      </c>
    </row>
    <row r="1346" spans="1:22">
      <c r="A1346">
        <f>RAW_DATA!A1346</f>
        <v>37</v>
      </c>
      <c r="B1346" t="str">
        <f>RAW_DATA!B1346</f>
        <v>No</v>
      </c>
      <c r="C1346" t="str">
        <f>RAW_DATA!C1346</f>
        <v>Research &amp; Development</v>
      </c>
      <c r="D1346">
        <f>RAW_DATA!D1346</f>
        <v>7</v>
      </c>
      <c r="E1346">
        <f>RAW_DATA!E1346</f>
        <v>4</v>
      </c>
      <c r="F1346" t="str">
        <f>RAW_DATA!F1346</f>
        <v>Medical</v>
      </c>
      <c r="G1346">
        <f>RAW_DATA!G1346</f>
        <v>4</v>
      </c>
      <c r="H1346">
        <f>RAW_DATA!H1346</f>
        <v>1</v>
      </c>
      <c r="I1346" t="str">
        <f>RAW_DATA!I1346</f>
        <v>Married</v>
      </c>
      <c r="J1346">
        <f>RAW_DATA!J1346</f>
        <v>4284</v>
      </c>
      <c r="K1346">
        <f>RAW_DATA!K1346</f>
        <v>5</v>
      </c>
      <c r="L1346">
        <f>RAW_DATA!L1346</f>
        <v>3</v>
      </c>
      <c r="M1346">
        <f>RAW_DATA!M1346</f>
        <v>5</v>
      </c>
      <c r="N1346">
        <f t="shared" si="40"/>
        <v>0</v>
      </c>
      <c r="O1346" t="str">
        <f xml:space="preserve"> VLOOKUP(A1346, Lookup_Tables!$G$2:$H$6,2,TRUE)</f>
        <v>35-44</v>
      </c>
      <c r="P1346" t="str">
        <f>_xlfn.XLOOKUP(J1346,Lookup_Tables!$J$2:$J$4,Lookup_Tables!$K$2:$K$4, " ",-1)</f>
        <v>Medium</v>
      </c>
      <c r="Q1346" t="str">
        <f xml:space="preserve"> _xlfn.XLOOKUP(M1346, Lookup_Tables!$M$2:$M$5,Lookup_Tables!$N$2:$N$5," ", -1)</f>
        <v>Established (5-10)</v>
      </c>
      <c r="R1346" s="4">
        <f t="shared" si="41"/>
        <v>2.6666666666666665</v>
      </c>
      <c r="S1346" t="str">
        <f xml:space="preserve"> _xlfn.XLOOKUP( E1346, Lookup_Tables!$A$2:$A$6,Lookup_Tables!$B$2:$B$6," ", -1)</f>
        <v>Master</v>
      </c>
      <c r="T1346" t="str">
        <f>_xlfn.XLOOKUP(G1346,Lookup_Tables!$D$2:$D$5,Lookup_Tables!$E$2:$E$5)</f>
        <v>Very High</v>
      </c>
      <c r="U1346" t="str">
        <f>_xlfn.XLOOKUP(H1346,Lookup_Tables!$D$2:$D$5,Lookup_Tables!$E$2:$E$5)</f>
        <v>Low</v>
      </c>
      <c r="V1346" t="str">
        <f>_xlfn.XLOOKUP(L1346,Lookup_Tables!$D$2:$D$5,Lookup_Tables!$E$2:$E$5)</f>
        <v>High</v>
      </c>
    </row>
    <row r="1347" spans="1:22">
      <c r="A1347">
        <f>RAW_DATA!A1347</f>
        <v>35</v>
      </c>
      <c r="B1347" t="str">
        <f>RAW_DATA!B1347</f>
        <v>No</v>
      </c>
      <c r="C1347" t="str">
        <f>RAW_DATA!C1347</f>
        <v>Research &amp; Development</v>
      </c>
      <c r="D1347">
        <f>RAW_DATA!D1347</f>
        <v>16</v>
      </c>
      <c r="E1347">
        <f>RAW_DATA!E1347</f>
        <v>2</v>
      </c>
      <c r="F1347" t="str">
        <f>RAW_DATA!F1347</f>
        <v>Other</v>
      </c>
      <c r="G1347">
        <f>RAW_DATA!G1347</f>
        <v>4</v>
      </c>
      <c r="H1347">
        <f>RAW_DATA!H1347</f>
        <v>2</v>
      </c>
      <c r="I1347" t="str">
        <f>RAW_DATA!I1347</f>
        <v>Married</v>
      </c>
      <c r="J1347">
        <f>RAW_DATA!J1347</f>
        <v>4788</v>
      </c>
      <c r="K1347">
        <f>RAW_DATA!K1347</f>
        <v>0</v>
      </c>
      <c r="L1347">
        <f>RAW_DATA!L1347</f>
        <v>3</v>
      </c>
      <c r="M1347">
        <f>RAW_DATA!M1347</f>
        <v>3</v>
      </c>
      <c r="N1347">
        <f t="shared" ref="N1347:N1410" si="42" xml:space="preserve"> IF(B1347 ="Yes",1,0)</f>
        <v>0</v>
      </c>
      <c r="O1347" t="str">
        <f xml:space="preserve"> VLOOKUP(A1347, Lookup_Tables!$G$2:$H$6,2,TRUE)</f>
        <v>35-44</v>
      </c>
      <c r="P1347" t="str">
        <f>_xlfn.XLOOKUP(J1347,Lookup_Tables!$J$2:$J$4,Lookup_Tables!$K$2:$K$4, " ",-1)</f>
        <v>Medium</v>
      </c>
      <c r="Q1347" t="str">
        <f xml:space="preserve"> _xlfn.XLOOKUP(M1347, Lookup_Tables!$M$2:$M$5,Lookup_Tables!$N$2:$N$5," ", -1)</f>
        <v>Early (2-5)</v>
      </c>
      <c r="R1347" s="4">
        <f t="shared" ref="R1347:R1410" si="43">AVERAGE(G1347,H1347,L1347)</f>
        <v>3</v>
      </c>
      <c r="S1347" t="str">
        <f xml:space="preserve"> _xlfn.XLOOKUP( E1347, Lookup_Tables!$A$2:$A$6,Lookup_Tables!$B$2:$B$6," ", -1)</f>
        <v>College</v>
      </c>
      <c r="T1347" t="str">
        <f>_xlfn.XLOOKUP(G1347,Lookup_Tables!$D$2:$D$5,Lookup_Tables!$E$2:$E$5)</f>
        <v>Very High</v>
      </c>
      <c r="U1347" t="str">
        <f>_xlfn.XLOOKUP(H1347,Lookup_Tables!$D$2:$D$5,Lookup_Tables!$E$2:$E$5)</f>
        <v>Medium</v>
      </c>
      <c r="V1347" t="str">
        <f>_xlfn.XLOOKUP(L1347,Lookup_Tables!$D$2:$D$5,Lookup_Tables!$E$2:$E$5)</f>
        <v>High</v>
      </c>
    </row>
    <row r="1348" spans="1:22">
      <c r="A1348">
        <f>RAW_DATA!A1348</f>
        <v>45</v>
      </c>
      <c r="B1348" t="str">
        <f>RAW_DATA!B1348</f>
        <v>No</v>
      </c>
      <c r="C1348" t="str">
        <f>RAW_DATA!C1348</f>
        <v>Research &amp; Development</v>
      </c>
      <c r="D1348">
        <f>RAW_DATA!D1348</f>
        <v>25</v>
      </c>
      <c r="E1348">
        <f>RAW_DATA!E1348</f>
        <v>2</v>
      </c>
      <c r="F1348" t="str">
        <f>RAW_DATA!F1348</f>
        <v>Life Sciences</v>
      </c>
      <c r="G1348">
        <f>RAW_DATA!G1348</f>
        <v>2</v>
      </c>
      <c r="H1348">
        <f>RAW_DATA!H1348</f>
        <v>4</v>
      </c>
      <c r="I1348" t="str">
        <f>RAW_DATA!I1348</f>
        <v>Married</v>
      </c>
      <c r="J1348">
        <f>RAW_DATA!J1348</f>
        <v>5906</v>
      </c>
      <c r="K1348">
        <f>RAW_DATA!K1348</f>
        <v>0</v>
      </c>
      <c r="L1348">
        <f>RAW_DATA!L1348</f>
        <v>2</v>
      </c>
      <c r="M1348">
        <f>RAW_DATA!M1348</f>
        <v>9</v>
      </c>
      <c r="N1348">
        <f t="shared" si="42"/>
        <v>0</v>
      </c>
      <c r="O1348" t="str">
        <f xml:space="preserve"> VLOOKUP(A1348, Lookup_Tables!$G$2:$H$6,2,TRUE)</f>
        <v>45-54</v>
      </c>
      <c r="P1348" t="str">
        <f>_xlfn.XLOOKUP(J1348,Lookup_Tables!$J$2:$J$4,Lookup_Tables!$K$2:$K$4, " ",-1)</f>
        <v>Medium</v>
      </c>
      <c r="Q1348" t="str">
        <f xml:space="preserve"> _xlfn.XLOOKUP(M1348, Lookup_Tables!$M$2:$M$5,Lookup_Tables!$N$2:$N$5," ", -1)</f>
        <v>Established (5-10)</v>
      </c>
      <c r="R1348" s="4">
        <f t="shared" si="43"/>
        <v>2.6666666666666665</v>
      </c>
      <c r="S1348" t="str">
        <f xml:space="preserve"> _xlfn.XLOOKUP( E1348, Lookup_Tables!$A$2:$A$6,Lookup_Tables!$B$2:$B$6," ", -1)</f>
        <v>College</v>
      </c>
      <c r="T1348" t="str">
        <f>_xlfn.XLOOKUP(G1348,Lookup_Tables!$D$2:$D$5,Lookup_Tables!$E$2:$E$5)</f>
        <v>Medium</v>
      </c>
      <c r="U1348" t="str">
        <f>_xlfn.XLOOKUP(H1348,Lookup_Tables!$D$2:$D$5,Lookup_Tables!$E$2:$E$5)</f>
        <v>Very High</v>
      </c>
      <c r="V1348" t="str">
        <f>_xlfn.XLOOKUP(L1348,Lookup_Tables!$D$2:$D$5,Lookup_Tables!$E$2:$E$5)</f>
        <v>Medium</v>
      </c>
    </row>
    <row r="1349" spans="1:22">
      <c r="A1349">
        <f>RAW_DATA!A1349</f>
        <v>36</v>
      </c>
      <c r="B1349" t="str">
        <f>RAW_DATA!B1349</f>
        <v>No</v>
      </c>
      <c r="C1349" t="str">
        <f>RAW_DATA!C1349</f>
        <v>Human Resources</v>
      </c>
      <c r="D1349">
        <f>RAW_DATA!D1349</f>
        <v>2</v>
      </c>
      <c r="E1349">
        <f>RAW_DATA!E1349</f>
        <v>1</v>
      </c>
      <c r="F1349" t="str">
        <f>RAW_DATA!F1349</f>
        <v>Human Resources</v>
      </c>
      <c r="G1349">
        <f>RAW_DATA!G1349</f>
        <v>2</v>
      </c>
      <c r="H1349">
        <f>RAW_DATA!H1349</f>
        <v>4</v>
      </c>
      <c r="I1349" t="str">
        <f>RAW_DATA!I1349</f>
        <v>Single</v>
      </c>
      <c r="J1349">
        <f>RAW_DATA!J1349</f>
        <v>3886</v>
      </c>
      <c r="K1349">
        <f>RAW_DATA!K1349</f>
        <v>1</v>
      </c>
      <c r="L1349">
        <f>RAW_DATA!L1349</f>
        <v>2</v>
      </c>
      <c r="M1349">
        <f>RAW_DATA!M1349</f>
        <v>10</v>
      </c>
      <c r="N1349">
        <f t="shared" si="42"/>
        <v>0</v>
      </c>
      <c r="O1349" t="str">
        <f xml:space="preserve"> VLOOKUP(A1349, Lookup_Tables!$G$2:$H$6,2,TRUE)</f>
        <v>35-44</v>
      </c>
      <c r="P1349" t="str">
        <f>_xlfn.XLOOKUP(J1349,Lookup_Tables!$J$2:$J$4,Lookup_Tables!$K$2:$K$4, " ",-1)</f>
        <v>Medium</v>
      </c>
      <c r="Q1349" t="str">
        <f xml:space="preserve"> _xlfn.XLOOKUP(M1349, Lookup_Tables!$M$2:$M$5,Lookup_Tables!$N$2:$N$5," ", -1)</f>
        <v>Veteran (10+)</v>
      </c>
      <c r="R1349" s="4">
        <f t="shared" si="43"/>
        <v>2.6666666666666665</v>
      </c>
      <c r="S1349" t="str">
        <f xml:space="preserve"> _xlfn.XLOOKUP( E1349, Lookup_Tables!$A$2:$A$6,Lookup_Tables!$B$2:$B$6," ", -1)</f>
        <v>Below College</v>
      </c>
      <c r="T1349" t="str">
        <f>_xlfn.XLOOKUP(G1349,Lookup_Tables!$D$2:$D$5,Lookup_Tables!$E$2:$E$5)</f>
        <v>Medium</v>
      </c>
      <c r="U1349" t="str">
        <f>_xlfn.XLOOKUP(H1349,Lookup_Tables!$D$2:$D$5,Lookup_Tables!$E$2:$E$5)</f>
        <v>Very High</v>
      </c>
      <c r="V1349" t="str">
        <f>_xlfn.XLOOKUP(L1349,Lookup_Tables!$D$2:$D$5,Lookup_Tables!$E$2:$E$5)</f>
        <v>Medium</v>
      </c>
    </row>
    <row r="1350" spans="1:22">
      <c r="A1350">
        <f>RAW_DATA!A1350</f>
        <v>40</v>
      </c>
      <c r="B1350" t="str">
        <f>RAW_DATA!B1350</f>
        <v>No</v>
      </c>
      <c r="C1350" t="str">
        <f>RAW_DATA!C1350</f>
        <v>Research &amp; Development</v>
      </c>
      <c r="D1350">
        <f>RAW_DATA!D1350</f>
        <v>1</v>
      </c>
      <c r="E1350">
        <f>RAW_DATA!E1350</f>
        <v>4</v>
      </c>
      <c r="F1350" t="str">
        <f>RAW_DATA!F1350</f>
        <v>Life Sciences</v>
      </c>
      <c r="G1350">
        <f>RAW_DATA!G1350</f>
        <v>1</v>
      </c>
      <c r="H1350">
        <f>RAW_DATA!H1350</f>
        <v>1</v>
      </c>
      <c r="I1350" t="str">
        <f>RAW_DATA!I1350</f>
        <v>Divorced</v>
      </c>
      <c r="J1350">
        <f>RAW_DATA!J1350</f>
        <v>16823</v>
      </c>
      <c r="K1350">
        <f>RAW_DATA!K1350</f>
        <v>2</v>
      </c>
      <c r="L1350">
        <f>RAW_DATA!L1350</f>
        <v>3</v>
      </c>
      <c r="M1350">
        <f>RAW_DATA!M1350</f>
        <v>19</v>
      </c>
      <c r="N1350">
        <f t="shared" si="42"/>
        <v>0</v>
      </c>
      <c r="O1350" t="str">
        <f xml:space="preserve"> VLOOKUP(A1350, Lookup_Tables!$G$2:$H$6,2,TRUE)</f>
        <v>35-44</v>
      </c>
      <c r="P1350" t="str">
        <f>_xlfn.XLOOKUP(J1350,Lookup_Tables!$J$2:$J$4,Lookup_Tables!$K$2:$K$4, " ",-1)</f>
        <v>High</v>
      </c>
      <c r="Q1350" t="str">
        <f xml:space="preserve"> _xlfn.XLOOKUP(M1350, Lookup_Tables!$M$2:$M$5,Lookup_Tables!$N$2:$N$5," ", -1)</f>
        <v>Veteran (10+)</v>
      </c>
      <c r="R1350" s="4">
        <f t="shared" si="43"/>
        <v>1.6666666666666667</v>
      </c>
      <c r="S1350" t="str">
        <f xml:space="preserve"> _xlfn.XLOOKUP( E1350, Lookup_Tables!$A$2:$A$6,Lookup_Tables!$B$2:$B$6," ", -1)</f>
        <v>Master</v>
      </c>
      <c r="T1350" t="str">
        <f>_xlfn.XLOOKUP(G1350,Lookup_Tables!$D$2:$D$5,Lookup_Tables!$E$2:$E$5)</f>
        <v>Low</v>
      </c>
      <c r="U1350" t="str">
        <f>_xlfn.XLOOKUP(H1350,Lookup_Tables!$D$2:$D$5,Lookup_Tables!$E$2:$E$5)</f>
        <v>Low</v>
      </c>
      <c r="V1350" t="str">
        <f>_xlfn.XLOOKUP(L1350,Lookup_Tables!$D$2:$D$5,Lookup_Tables!$E$2:$E$5)</f>
        <v>High</v>
      </c>
    </row>
    <row r="1351" spans="1:22">
      <c r="A1351">
        <f>RAW_DATA!A1351</f>
        <v>26</v>
      </c>
      <c r="B1351" t="str">
        <f>RAW_DATA!B1351</f>
        <v>No</v>
      </c>
      <c r="C1351" t="str">
        <f>RAW_DATA!C1351</f>
        <v>Research &amp; Development</v>
      </c>
      <c r="D1351">
        <f>RAW_DATA!D1351</f>
        <v>1</v>
      </c>
      <c r="E1351">
        <f>RAW_DATA!E1351</f>
        <v>2</v>
      </c>
      <c r="F1351" t="str">
        <f>RAW_DATA!F1351</f>
        <v>Life Sciences</v>
      </c>
      <c r="G1351">
        <f>RAW_DATA!G1351</f>
        <v>2</v>
      </c>
      <c r="H1351">
        <f>RAW_DATA!H1351</f>
        <v>3</v>
      </c>
      <c r="I1351" t="str">
        <f>RAW_DATA!I1351</f>
        <v>Married</v>
      </c>
      <c r="J1351">
        <f>RAW_DATA!J1351</f>
        <v>2933</v>
      </c>
      <c r="K1351">
        <f>RAW_DATA!K1351</f>
        <v>1</v>
      </c>
      <c r="L1351">
        <f>RAW_DATA!L1351</f>
        <v>2</v>
      </c>
      <c r="M1351">
        <f>RAW_DATA!M1351</f>
        <v>1</v>
      </c>
      <c r="N1351">
        <f t="shared" si="42"/>
        <v>0</v>
      </c>
      <c r="O1351" t="str">
        <f xml:space="preserve"> VLOOKUP(A1351, Lookup_Tables!$G$2:$H$6,2,TRUE)</f>
        <v>25-34</v>
      </c>
      <c r="P1351" t="str">
        <f>_xlfn.XLOOKUP(J1351,Lookup_Tables!$J$2:$J$4,Lookup_Tables!$K$2:$K$4, " ",-1)</f>
        <v>Low</v>
      </c>
      <c r="Q1351" t="str">
        <f xml:space="preserve"> _xlfn.XLOOKUP(M1351, Lookup_Tables!$M$2:$M$5,Lookup_Tables!$N$2:$N$5," ", -1)</f>
        <v>New (0-2)</v>
      </c>
      <c r="R1351" s="4">
        <f t="shared" si="43"/>
        <v>2.3333333333333335</v>
      </c>
      <c r="S1351" t="str">
        <f xml:space="preserve"> _xlfn.XLOOKUP( E1351, Lookup_Tables!$A$2:$A$6,Lookup_Tables!$B$2:$B$6," ", -1)</f>
        <v>College</v>
      </c>
      <c r="T1351" t="str">
        <f>_xlfn.XLOOKUP(G1351,Lookup_Tables!$D$2:$D$5,Lookup_Tables!$E$2:$E$5)</f>
        <v>Medium</v>
      </c>
      <c r="U1351" t="str">
        <f>_xlfn.XLOOKUP(H1351,Lookup_Tables!$D$2:$D$5,Lookup_Tables!$E$2:$E$5)</f>
        <v>High</v>
      </c>
      <c r="V1351" t="str">
        <f>_xlfn.XLOOKUP(L1351,Lookup_Tables!$D$2:$D$5,Lookup_Tables!$E$2:$E$5)</f>
        <v>Medium</v>
      </c>
    </row>
    <row r="1352" spans="1:22">
      <c r="A1352">
        <f>RAW_DATA!A1352</f>
        <v>27</v>
      </c>
      <c r="B1352" t="str">
        <f>RAW_DATA!B1352</f>
        <v>No</v>
      </c>
      <c r="C1352" t="str">
        <f>RAW_DATA!C1352</f>
        <v>Sales</v>
      </c>
      <c r="D1352">
        <f>RAW_DATA!D1352</f>
        <v>2</v>
      </c>
      <c r="E1352">
        <f>RAW_DATA!E1352</f>
        <v>2</v>
      </c>
      <c r="F1352" t="str">
        <f>RAW_DATA!F1352</f>
        <v>Medical</v>
      </c>
      <c r="G1352">
        <f>RAW_DATA!G1352</f>
        <v>1</v>
      </c>
      <c r="H1352">
        <f>RAW_DATA!H1352</f>
        <v>3</v>
      </c>
      <c r="I1352" t="str">
        <f>RAW_DATA!I1352</f>
        <v>Single</v>
      </c>
      <c r="J1352">
        <f>RAW_DATA!J1352</f>
        <v>6500</v>
      </c>
      <c r="K1352">
        <f>RAW_DATA!K1352</f>
        <v>0</v>
      </c>
      <c r="L1352">
        <f>RAW_DATA!L1352</f>
        <v>2</v>
      </c>
      <c r="M1352">
        <f>RAW_DATA!M1352</f>
        <v>8</v>
      </c>
      <c r="N1352">
        <f t="shared" si="42"/>
        <v>0</v>
      </c>
      <c r="O1352" t="str">
        <f xml:space="preserve"> VLOOKUP(A1352, Lookup_Tables!$G$2:$H$6,2,TRUE)</f>
        <v>25-34</v>
      </c>
      <c r="P1352" t="str">
        <f>_xlfn.XLOOKUP(J1352,Lookup_Tables!$J$2:$J$4,Lookup_Tables!$K$2:$K$4, " ",-1)</f>
        <v>Medium</v>
      </c>
      <c r="Q1352" t="str">
        <f xml:space="preserve"> _xlfn.XLOOKUP(M1352, Lookup_Tables!$M$2:$M$5,Lookup_Tables!$N$2:$N$5," ", -1)</f>
        <v>Established (5-10)</v>
      </c>
      <c r="R1352" s="4">
        <f t="shared" si="43"/>
        <v>2</v>
      </c>
      <c r="S1352" t="str">
        <f xml:space="preserve"> _xlfn.XLOOKUP( E1352, Lookup_Tables!$A$2:$A$6,Lookup_Tables!$B$2:$B$6," ", -1)</f>
        <v>College</v>
      </c>
      <c r="T1352" t="str">
        <f>_xlfn.XLOOKUP(G1352,Lookup_Tables!$D$2:$D$5,Lookup_Tables!$E$2:$E$5)</f>
        <v>Low</v>
      </c>
      <c r="U1352" t="str">
        <f>_xlfn.XLOOKUP(H1352,Lookup_Tables!$D$2:$D$5,Lookup_Tables!$E$2:$E$5)</f>
        <v>High</v>
      </c>
      <c r="V1352" t="str">
        <f>_xlfn.XLOOKUP(L1352,Lookup_Tables!$D$2:$D$5,Lookup_Tables!$E$2:$E$5)</f>
        <v>Medium</v>
      </c>
    </row>
    <row r="1353" spans="1:22">
      <c r="A1353">
        <f>RAW_DATA!A1353</f>
        <v>48</v>
      </c>
      <c r="B1353" t="str">
        <f>RAW_DATA!B1353</f>
        <v>No</v>
      </c>
      <c r="C1353" t="str">
        <f>RAW_DATA!C1353</f>
        <v>Research &amp; Development</v>
      </c>
      <c r="D1353">
        <f>RAW_DATA!D1353</f>
        <v>22</v>
      </c>
      <c r="E1353">
        <f>RAW_DATA!E1353</f>
        <v>3</v>
      </c>
      <c r="F1353" t="str">
        <f>RAW_DATA!F1353</f>
        <v>Medical</v>
      </c>
      <c r="G1353">
        <f>RAW_DATA!G1353</f>
        <v>4</v>
      </c>
      <c r="H1353">
        <f>RAW_DATA!H1353</f>
        <v>4</v>
      </c>
      <c r="I1353" t="str">
        <f>RAW_DATA!I1353</f>
        <v>Divorced</v>
      </c>
      <c r="J1353">
        <f>RAW_DATA!J1353</f>
        <v>17174</v>
      </c>
      <c r="K1353">
        <f>RAW_DATA!K1353</f>
        <v>3</v>
      </c>
      <c r="L1353">
        <f>RAW_DATA!L1353</f>
        <v>3</v>
      </c>
      <c r="M1353">
        <f>RAW_DATA!M1353</f>
        <v>22</v>
      </c>
      <c r="N1353">
        <f t="shared" si="42"/>
        <v>0</v>
      </c>
      <c r="O1353" t="str">
        <f xml:space="preserve"> VLOOKUP(A1353, Lookup_Tables!$G$2:$H$6,2,TRUE)</f>
        <v>45-54</v>
      </c>
      <c r="P1353" t="str">
        <f>_xlfn.XLOOKUP(J1353,Lookup_Tables!$J$2:$J$4,Lookup_Tables!$K$2:$K$4, " ",-1)</f>
        <v>High</v>
      </c>
      <c r="Q1353" t="str">
        <f xml:space="preserve"> _xlfn.XLOOKUP(M1353, Lookup_Tables!$M$2:$M$5,Lookup_Tables!$N$2:$N$5," ", -1)</f>
        <v>Veteran (10+)</v>
      </c>
      <c r="R1353" s="4">
        <f t="shared" si="43"/>
        <v>3.6666666666666665</v>
      </c>
      <c r="S1353" t="str">
        <f xml:space="preserve"> _xlfn.XLOOKUP( E1353, Lookup_Tables!$A$2:$A$6,Lookup_Tables!$B$2:$B$6," ", -1)</f>
        <v>Bachelor</v>
      </c>
      <c r="T1353" t="str">
        <f>_xlfn.XLOOKUP(G1353,Lookup_Tables!$D$2:$D$5,Lookup_Tables!$E$2:$E$5)</f>
        <v>Very High</v>
      </c>
      <c r="U1353" t="str">
        <f>_xlfn.XLOOKUP(H1353,Lookup_Tables!$D$2:$D$5,Lookup_Tables!$E$2:$E$5)</f>
        <v>Very High</v>
      </c>
      <c r="V1353" t="str">
        <f>_xlfn.XLOOKUP(L1353,Lookup_Tables!$D$2:$D$5,Lookup_Tables!$E$2:$E$5)</f>
        <v>High</v>
      </c>
    </row>
    <row r="1354" spans="1:22">
      <c r="A1354">
        <f>RAW_DATA!A1354</f>
        <v>44</v>
      </c>
      <c r="B1354" t="str">
        <f>RAW_DATA!B1354</f>
        <v>No</v>
      </c>
      <c r="C1354" t="str">
        <f>RAW_DATA!C1354</f>
        <v>Research &amp; Development</v>
      </c>
      <c r="D1354">
        <f>RAW_DATA!D1354</f>
        <v>1</v>
      </c>
      <c r="E1354">
        <f>RAW_DATA!E1354</f>
        <v>4</v>
      </c>
      <c r="F1354" t="str">
        <f>RAW_DATA!F1354</f>
        <v>Life Sciences</v>
      </c>
      <c r="G1354">
        <f>RAW_DATA!G1354</f>
        <v>2</v>
      </c>
      <c r="H1354">
        <f>RAW_DATA!H1354</f>
        <v>1</v>
      </c>
      <c r="I1354" t="str">
        <f>RAW_DATA!I1354</f>
        <v>Married</v>
      </c>
      <c r="J1354">
        <f>RAW_DATA!J1354</f>
        <v>5033</v>
      </c>
      <c r="K1354">
        <f>RAW_DATA!K1354</f>
        <v>2</v>
      </c>
      <c r="L1354">
        <f>RAW_DATA!L1354</f>
        <v>3</v>
      </c>
      <c r="M1354">
        <f>RAW_DATA!M1354</f>
        <v>2</v>
      </c>
      <c r="N1354">
        <f t="shared" si="42"/>
        <v>0</v>
      </c>
      <c r="O1354" t="str">
        <f xml:space="preserve"> VLOOKUP(A1354, Lookup_Tables!$G$2:$H$6,2,TRUE)</f>
        <v>35-44</v>
      </c>
      <c r="P1354" t="str">
        <f>_xlfn.XLOOKUP(J1354,Lookup_Tables!$J$2:$J$4,Lookup_Tables!$K$2:$K$4, " ",-1)</f>
        <v>Medium</v>
      </c>
      <c r="Q1354" t="str">
        <f xml:space="preserve"> _xlfn.XLOOKUP(M1354, Lookup_Tables!$M$2:$M$5,Lookup_Tables!$N$2:$N$5," ", -1)</f>
        <v>Early (2-5)</v>
      </c>
      <c r="R1354" s="4">
        <f t="shared" si="43"/>
        <v>2</v>
      </c>
      <c r="S1354" t="str">
        <f xml:space="preserve"> _xlfn.XLOOKUP( E1354, Lookup_Tables!$A$2:$A$6,Lookup_Tables!$B$2:$B$6," ", -1)</f>
        <v>Master</v>
      </c>
      <c r="T1354" t="str">
        <f>_xlfn.XLOOKUP(G1354,Lookup_Tables!$D$2:$D$5,Lookup_Tables!$E$2:$E$5)</f>
        <v>Medium</v>
      </c>
      <c r="U1354" t="str">
        <f>_xlfn.XLOOKUP(H1354,Lookup_Tables!$D$2:$D$5,Lookup_Tables!$E$2:$E$5)</f>
        <v>Low</v>
      </c>
      <c r="V1354" t="str">
        <f>_xlfn.XLOOKUP(L1354,Lookup_Tables!$D$2:$D$5,Lookup_Tables!$E$2:$E$5)</f>
        <v>High</v>
      </c>
    </row>
    <row r="1355" spans="1:22">
      <c r="A1355">
        <f>RAW_DATA!A1355</f>
        <v>34</v>
      </c>
      <c r="B1355" t="str">
        <f>RAW_DATA!B1355</f>
        <v>Yes</v>
      </c>
      <c r="C1355" t="str">
        <f>RAW_DATA!C1355</f>
        <v>Research &amp; Development</v>
      </c>
      <c r="D1355">
        <f>RAW_DATA!D1355</f>
        <v>16</v>
      </c>
      <c r="E1355">
        <f>RAW_DATA!E1355</f>
        <v>4</v>
      </c>
      <c r="F1355" t="str">
        <f>RAW_DATA!F1355</f>
        <v>Technical Degree</v>
      </c>
      <c r="G1355">
        <f>RAW_DATA!G1355</f>
        <v>4</v>
      </c>
      <c r="H1355">
        <f>RAW_DATA!H1355</f>
        <v>1</v>
      </c>
      <c r="I1355" t="str">
        <f>RAW_DATA!I1355</f>
        <v>Married</v>
      </c>
      <c r="J1355">
        <f>RAW_DATA!J1355</f>
        <v>2307</v>
      </c>
      <c r="K1355">
        <f>RAW_DATA!K1355</f>
        <v>1</v>
      </c>
      <c r="L1355">
        <f>RAW_DATA!L1355</f>
        <v>3</v>
      </c>
      <c r="M1355">
        <f>RAW_DATA!M1355</f>
        <v>5</v>
      </c>
      <c r="N1355">
        <f t="shared" si="42"/>
        <v>1</v>
      </c>
      <c r="O1355" t="str">
        <f xml:space="preserve"> VLOOKUP(A1355, Lookup_Tables!$G$2:$H$6,2,TRUE)</f>
        <v>25-34</v>
      </c>
      <c r="P1355" t="str">
        <f>_xlfn.XLOOKUP(J1355,Lookup_Tables!$J$2:$J$4,Lookup_Tables!$K$2:$K$4, " ",-1)</f>
        <v>Low</v>
      </c>
      <c r="Q1355" t="str">
        <f xml:space="preserve"> _xlfn.XLOOKUP(M1355, Lookup_Tables!$M$2:$M$5,Lookup_Tables!$N$2:$N$5," ", -1)</f>
        <v>Established (5-10)</v>
      </c>
      <c r="R1355" s="4">
        <f t="shared" si="43"/>
        <v>2.6666666666666665</v>
      </c>
      <c r="S1355" t="str">
        <f xml:space="preserve"> _xlfn.XLOOKUP( E1355, Lookup_Tables!$A$2:$A$6,Lookup_Tables!$B$2:$B$6," ", -1)</f>
        <v>Master</v>
      </c>
      <c r="T1355" t="str">
        <f>_xlfn.XLOOKUP(G1355,Lookup_Tables!$D$2:$D$5,Lookup_Tables!$E$2:$E$5)</f>
        <v>Very High</v>
      </c>
      <c r="U1355" t="str">
        <f>_xlfn.XLOOKUP(H1355,Lookup_Tables!$D$2:$D$5,Lookup_Tables!$E$2:$E$5)</f>
        <v>Low</v>
      </c>
      <c r="V1355" t="str">
        <f>_xlfn.XLOOKUP(L1355,Lookup_Tables!$D$2:$D$5,Lookup_Tables!$E$2:$E$5)</f>
        <v>High</v>
      </c>
    </row>
    <row r="1356" spans="1:22">
      <c r="A1356">
        <f>RAW_DATA!A1356</f>
        <v>56</v>
      </c>
      <c r="B1356" t="str">
        <f>RAW_DATA!B1356</f>
        <v>Yes</v>
      </c>
      <c r="C1356" t="str">
        <f>RAW_DATA!C1356</f>
        <v>Research &amp; Development</v>
      </c>
      <c r="D1356">
        <f>RAW_DATA!D1356</f>
        <v>24</v>
      </c>
      <c r="E1356">
        <f>RAW_DATA!E1356</f>
        <v>2</v>
      </c>
      <c r="F1356" t="str">
        <f>RAW_DATA!F1356</f>
        <v>Life Sciences</v>
      </c>
      <c r="G1356">
        <f>RAW_DATA!G1356</f>
        <v>1</v>
      </c>
      <c r="H1356">
        <f>RAW_DATA!H1356</f>
        <v>4</v>
      </c>
      <c r="I1356" t="str">
        <f>RAW_DATA!I1356</f>
        <v>Single</v>
      </c>
      <c r="J1356">
        <f>RAW_DATA!J1356</f>
        <v>2587</v>
      </c>
      <c r="K1356">
        <f>RAW_DATA!K1356</f>
        <v>1</v>
      </c>
      <c r="L1356">
        <f>RAW_DATA!L1356</f>
        <v>3</v>
      </c>
      <c r="M1356">
        <f>RAW_DATA!M1356</f>
        <v>4</v>
      </c>
      <c r="N1356">
        <f t="shared" si="42"/>
        <v>1</v>
      </c>
      <c r="O1356" t="str">
        <f xml:space="preserve"> VLOOKUP(A1356, Lookup_Tables!$G$2:$H$6,2,TRUE)</f>
        <v>55+</v>
      </c>
      <c r="P1356" t="str">
        <f>_xlfn.XLOOKUP(J1356,Lookup_Tables!$J$2:$J$4,Lookup_Tables!$K$2:$K$4, " ",-1)</f>
        <v>Low</v>
      </c>
      <c r="Q1356" t="str">
        <f xml:space="preserve"> _xlfn.XLOOKUP(M1356, Lookup_Tables!$M$2:$M$5,Lookup_Tables!$N$2:$N$5," ", -1)</f>
        <v>Early (2-5)</v>
      </c>
      <c r="R1356" s="4">
        <f t="shared" si="43"/>
        <v>2.6666666666666665</v>
      </c>
      <c r="S1356" t="str">
        <f xml:space="preserve"> _xlfn.XLOOKUP( E1356, Lookup_Tables!$A$2:$A$6,Lookup_Tables!$B$2:$B$6," ", -1)</f>
        <v>College</v>
      </c>
      <c r="T1356" t="str">
        <f>_xlfn.XLOOKUP(G1356,Lookup_Tables!$D$2:$D$5,Lookup_Tables!$E$2:$E$5)</f>
        <v>Low</v>
      </c>
      <c r="U1356" t="str">
        <f>_xlfn.XLOOKUP(H1356,Lookup_Tables!$D$2:$D$5,Lookup_Tables!$E$2:$E$5)</f>
        <v>Very High</v>
      </c>
      <c r="V1356" t="str">
        <f>_xlfn.XLOOKUP(L1356,Lookup_Tables!$D$2:$D$5,Lookup_Tables!$E$2:$E$5)</f>
        <v>High</v>
      </c>
    </row>
    <row r="1357" spans="1:22">
      <c r="A1357">
        <f>RAW_DATA!A1357</f>
        <v>36</v>
      </c>
      <c r="B1357" t="str">
        <f>RAW_DATA!B1357</f>
        <v>No</v>
      </c>
      <c r="C1357" t="str">
        <f>RAW_DATA!C1357</f>
        <v>Sales</v>
      </c>
      <c r="D1357">
        <f>RAW_DATA!D1357</f>
        <v>17</v>
      </c>
      <c r="E1357">
        <f>RAW_DATA!E1357</f>
        <v>2</v>
      </c>
      <c r="F1357" t="str">
        <f>RAW_DATA!F1357</f>
        <v>Marketing</v>
      </c>
      <c r="G1357">
        <f>RAW_DATA!G1357</f>
        <v>3</v>
      </c>
      <c r="H1357">
        <f>RAW_DATA!H1357</f>
        <v>2</v>
      </c>
      <c r="I1357" t="str">
        <f>RAW_DATA!I1357</f>
        <v>Married</v>
      </c>
      <c r="J1357">
        <f>RAW_DATA!J1357</f>
        <v>5507</v>
      </c>
      <c r="K1357">
        <f>RAW_DATA!K1357</f>
        <v>2</v>
      </c>
      <c r="L1357">
        <f>RAW_DATA!L1357</f>
        <v>1</v>
      </c>
      <c r="M1357">
        <f>RAW_DATA!M1357</f>
        <v>4</v>
      </c>
      <c r="N1357">
        <f t="shared" si="42"/>
        <v>0</v>
      </c>
      <c r="O1357" t="str">
        <f xml:space="preserve"> VLOOKUP(A1357, Lookup_Tables!$G$2:$H$6,2,TRUE)</f>
        <v>35-44</v>
      </c>
      <c r="P1357" t="str">
        <f>_xlfn.XLOOKUP(J1357,Lookup_Tables!$J$2:$J$4,Lookup_Tables!$K$2:$K$4, " ",-1)</f>
        <v>Medium</v>
      </c>
      <c r="Q1357" t="str">
        <f xml:space="preserve"> _xlfn.XLOOKUP(M1357, Lookup_Tables!$M$2:$M$5,Lookup_Tables!$N$2:$N$5," ", -1)</f>
        <v>Early (2-5)</v>
      </c>
      <c r="R1357" s="4">
        <f t="shared" si="43"/>
        <v>2</v>
      </c>
      <c r="S1357" t="str">
        <f xml:space="preserve"> _xlfn.XLOOKUP( E1357, Lookup_Tables!$A$2:$A$6,Lookup_Tables!$B$2:$B$6," ", -1)</f>
        <v>College</v>
      </c>
      <c r="T1357" t="str">
        <f>_xlfn.XLOOKUP(G1357,Lookup_Tables!$D$2:$D$5,Lookup_Tables!$E$2:$E$5)</f>
        <v>High</v>
      </c>
      <c r="U1357" t="str">
        <f>_xlfn.XLOOKUP(H1357,Lookup_Tables!$D$2:$D$5,Lookup_Tables!$E$2:$E$5)</f>
        <v>Medium</v>
      </c>
      <c r="V1357" t="str">
        <f>_xlfn.XLOOKUP(L1357,Lookup_Tables!$D$2:$D$5,Lookup_Tables!$E$2:$E$5)</f>
        <v>Low</v>
      </c>
    </row>
    <row r="1358" spans="1:22">
      <c r="A1358">
        <f>RAW_DATA!A1358</f>
        <v>41</v>
      </c>
      <c r="B1358" t="str">
        <f>RAW_DATA!B1358</f>
        <v>No</v>
      </c>
      <c r="C1358" t="str">
        <f>RAW_DATA!C1358</f>
        <v>Sales</v>
      </c>
      <c r="D1358">
        <f>RAW_DATA!D1358</f>
        <v>8</v>
      </c>
      <c r="E1358">
        <f>RAW_DATA!E1358</f>
        <v>3</v>
      </c>
      <c r="F1358" t="str">
        <f>RAW_DATA!F1358</f>
        <v>Marketing</v>
      </c>
      <c r="G1358">
        <f>RAW_DATA!G1358</f>
        <v>3</v>
      </c>
      <c r="H1358">
        <f>RAW_DATA!H1358</f>
        <v>2</v>
      </c>
      <c r="I1358" t="str">
        <f>RAW_DATA!I1358</f>
        <v>Married</v>
      </c>
      <c r="J1358">
        <f>RAW_DATA!J1358</f>
        <v>4393</v>
      </c>
      <c r="K1358">
        <f>RAW_DATA!K1358</f>
        <v>5</v>
      </c>
      <c r="L1358">
        <f>RAW_DATA!L1358</f>
        <v>3</v>
      </c>
      <c r="M1358">
        <f>RAW_DATA!M1358</f>
        <v>5</v>
      </c>
      <c r="N1358">
        <f t="shared" si="42"/>
        <v>0</v>
      </c>
      <c r="O1358" t="str">
        <f xml:space="preserve"> VLOOKUP(A1358, Lookup_Tables!$G$2:$H$6,2,TRUE)</f>
        <v>35-44</v>
      </c>
      <c r="P1358" t="str">
        <f>_xlfn.XLOOKUP(J1358,Lookup_Tables!$J$2:$J$4,Lookup_Tables!$K$2:$K$4, " ",-1)</f>
        <v>Medium</v>
      </c>
      <c r="Q1358" t="str">
        <f xml:space="preserve"> _xlfn.XLOOKUP(M1358, Lookup_Tables!$M$2:$M$5,Lookup_Tables!$N$2:$N$5," ", -1)</f>
        <v>Established (5-10)</v>
      </c>
      <c r="R1358" s="4">
        <f t="shared" si="43"/>
        <v>2.6666666666666665</v>
      </c>
      <c r="S1358" t="str">
        <f xml:space="preserve"> _xlfn.XLOOKUP( E1358, Lookup_Tables!$A$2:$A$6,Lookup_Tables!$B$2:$B$6," ", -1)</f>
        <v>Bachelor</v>
      </c>
      <c r="T1358" t="str">
        <f>_xlfn.XLOOKUP(G1358,Lookup_Tables!$D$2:$D$5,Lookup_Tables!$E$2:$E$5)</f>
        <v>High</v>
      </c>
      <c r="U1358" t="str">
        <f>_xlfn.XLOOKUP(H1358,Lookup_Tables!$D$2:$D$5,Lookup_Tables!$E$2:$E$5)</f>
        <v>Medium</v>
      </c>
      <c r="V1358" t="str">
        <f>_xlfn.XLOOKUP(L1358,Lookup_Tables!$D$2:$D$5,Lookup_Tables!$E$2:$E$5)</f>
        <v>High</v>
      </c>
    </row>
    <row r="1359" spans="1:22">
      <c r="A1359">
        <f>RAW_DATA!A1359</f>
        <v>42</v>
      </c>
      <c r="B1359" t="str">
        <f>RAW_DATA!B1359</f>
        <v>No</v>
      </c>
      <c r="C1359" t="str">
        <f>RAW_DATA!C1359</f>
        <v>Research &amp; Development</v>
      </c>
      <c r="D1359">
        <f>RAW_DATA!D1359</f>
        <v>6</v>
      </c>
      <c r="E1359">
        <f>RAW_DATA!E1359</f>
        <v>3</v>
      </c>
      <c r="F1359" t="str">
        <f>RAW_DATA!F1359</f>
        <v>Medical</v>
      </c>
      <c r="G1359">
        <f>RAW_DATA!G1359</f>
        <v>3</v>
      </c>
      <c r="H1359">
        <f>RAW_DATA!H1359</f>
        <v>1</v>
      </c>
      <c r="I1359" t="str">
        <f>RAW_DATA!I1359</f>
        <v>Married</v>
      </c>
      <c r="J1359">
        <f>RAW_DATA!J1359</f>
        <v>13348</v>
      </c>
      <c r="K1359">
        <f>RAW_DATA!K1359</f>
        <v>9</v>
      </c>
      <c r="L1359">
        <f>RAW_DATA!L1359</f>
        <v>4</v>
      </c>
      <c r="M1359">
        <f>RAW_DATA!M1359</f>
        <v>13</v>
      </c>
      <c r="N1359">
        <f t="shared" si="42"/>
        <v>0</v>
      </c>
      <c r="O1359" t="str">
        <f xml:space="preserve"> VLOOKUP(A1359, Lookup_Tables!$G$2:$H$6,2,TRUE)</f>
        <v>35-44</v>
      </c>
      <c r="P1359" t="str">
        <f>_xlfn.XLOOKUP(J1359,Lookup_Tables!$J$2:$J$4,Lookup_Tables!$K$2:$K$4, " ",-1)</f>
        <v>High</v>
      </c>
      <c r="Q1359" t="str">
        <f xml:space="preserve"> _xlfn.XLOOKUP(M1359, Lookup_Tables!$M$2:$M$5,Lookup_Tables!$N$2:$N$5," ", -1)</f>
        <v>Veteran (10+)</v>
      </c>
      <c r="R1359" s="4">
        <f t="shared" si="43"/>
        <v>2.6666666666666665</v>
      </c>
      <c r="S1359" t="str">
        <f xml:space="preserve"> _xlfn.XLOOKUP( E1359, Lookup_Tables!$A$2:$A$6,Lookup_Tables!$B$2:$B$6," ", -1)</f>
        <v>Bachelor</v>
      </c>
      <c r="T1359" t="str">
        <f>_xlfn.XLOOKUP(G1359,Lookup_Tables!$D$2:$D$5,Lookup_Tables!$E$2:$E$5)</f>
        <v>High</v>
      </c>
      <c r="U1359" t="str">
        <f>_xlfn.XLOOKUP(H1359,Lookup_Tables!$D$2:$D$5,Lookup_Tables!$E$2:$E$5)</f>
        <v>Low</v>
      </c>
      <c r="V1359" t="str">
        <f>_xlfn.XLOOKUP(L1359,Lookup_Tables!$D$2:$D$5,Lookup_Tables!$E$2:$E$5)</f>
        <v>Very High</v>
      </c>
    </row>
    <row r="1360" spans="1:22">
      <c r="A1360">
        <f>RAW_DATA!A1360</f>
        <v>31</v>
      </c>
      <c r="B1360" t="str">
        <f>RAW_DATA!B1360</f>
        <v>No</v>
      </c>
      <c r="C1360" t="str">
        <f>RAW_DATA!C1360</f>
        <v>Sales</v>
      </c>
      <c r="D1360">
        <f>RAW_DATA!D1360</f>
        <v>10</v>
      </c>
      <c r="E1360">
        <f>RAW_DATA!E1360</f>
        <v>2</v>
      </c>
      <c r="F1360" t="str">
        <f>RAW_DATA!F1360</f>
        <v>Medical</v>
      </c>
      <c r="G1360">
        <f>RAW_DATA!G1360</f>
        <v>3</v>
      </c>
      <c r="H1360">
        <f>RAW_DATA!H1360</f>
        <v>4</v>
      </c>
      <c r="I1360" t="str">
        <f>RAW_DATA!I1360</f>
        <v>Divorced</v>
      </c>
      <c r="J1360">
        <f>RAW_DATA!J1360</f>
        <v>6583</v>
      </c>
      <c r="K1360">
        <f>RAW_DATA!K1360</f>
        <v>2</v>
      </c>
      <c r="L1360">
        <f>RAW_DATA!L1360</f>
        <v>3</v>
      </c>
      <c r="M1360">
        <f>RAW_DATA!M1360</f>
        <v>5</v>
      </c>
      <c r="N1360">
        <f t="shared" si="42"/>
        <v>0</v>
      </c>
      <c r="O1360" t="str">
        <f xml:space="preserve"> VLOOKUP(A1360, Lookup_Tables!$G$2:$H$6,2,TRUE)</f>
        <v>25-34</v>
      </c>
      <c r="P1360" t="str">
        <f>_xlfn.XLOOKUP(J1360,Lookup_Tables!$J$2:$J$4,Lookup_Tables!$K$2:$K$4, " ",-1)</f>
        <v>Medium</v>
      </c>
      <c r="Q1360" t="str">
        <f xml:space="preserve"> _xlfn.XLOOKUP(M1360, Lookup_Tables!$M$2:$M$5,Lookup_Tables!$N$2:$N$5," ", -1)</f>
        <v>Established (5-10)</v>
      </c>
      <c r="R1360" s="4">
        <f t="shared" si="43"/>
        <v>3.3333333333333335</v>
      </c>
      <c r="S1360" t="str">
        <f xml:space="preserve"> _xlfn.XLOOKUP( E1360, Lookup_Tables!$A$2:$A$6,Lookup_Tables!$B$2:$B$6," ", -1)</f>
        <v>College</v>
      </c>
      <c r="T1360" t="str">
        <f>_xlfn.XLOOKUP(G1360,Lookup_Tables!$D$2:$D$5,Lookup_Tables!$E$2:$E$5)</f>
        <v>High</v>
      </c>
      <c r="U1360" t="str">
        <f>_xlfn.XLOOKUP(H1360,Lookup_Tables!$D$2:$D$5,Lookup_Tables!$E$2:$E$5)</f>
        <v>Very High</v>
      </c>
      <c r="V1360" t="str">
        <f>_xlfn.XLOOKUP(L1360,Lookup_Tables!$D$2:$D$5,Lookup_Tables!$E$2:$E$5)</f>
        <v>High</v>
      </c>
    </row>
    <row r="1361" spans="1:22">
      <c r="A1361">
        <f>RAW_DATA!A1361</f>
        <v>34</v>
      </c>
      <c r="B1361" t="str">
        <f>RAW_DATA!B1361</f>
        <v>No</v>
      </c>
      <c r="C1361" t="str">
        <f>RAW_DATA!C1361</f>
        <v>Sales</v>
      </c>
      <c r="D1361">
        <f>RAW_DATA!D1361</f>
        <v>3</v>
      </c>
      <c r="E1361">
        <f>RAW_DATA!E1361</f>
        <v>1</v>
      </c>
      <c r="F1361" t="str">
        <f>RAW_DATA!F1361</f>
        <v>Medical</v>
      </c>
      <c r="G1361">
        <f>RAW_DATA!G1361</f>
        <v>4</v>
      </c>
      <c r="H1361">
        <f>RAW_DATA!H1361</f>
        <v>4</v>
      </c>
      <c r="I1361" t="str">
        <f>RAW_DATA!I1361</f>
        <v>Married</v>
      </c>
      <c r="J1361">
        <f>RAW_DATA!J1361</f>
        <v>8103</v>
      </c>
      <c r="K1361">
        <f>RAW_DATA!K1361</f>
        <v>3</v>
      </c>
      <c r="L1361">
        <f>RAW_DATA!L1361</f>
        <v>2</v>
      </c>
      <c r="M1361">
        <f>RAW_DATA!M1361</f>
        <v>4</v>
      </c>
      <c r="N1361">
        <f t="shared" si="42"/>
        <v>0</v>
      </c>
      <c r="O1361" t="str">
        <f xml:space="preserve"> VLOOKUP(A1361, Lookup_Tables!$G$2:$H$6,2,TRUE)</f>
        <v>25-34</v>
      </c>
      <c r="P1361" t="str">
        <f>_xlfn.XLOOKUP(J1361,Lookup_Tables!$J$2:$J$4,Lookup_Tables!$K$2:$K$4, " ",-1)</f>
        <v>High</v>
      </c>
      <c r="Q1361" t="str">
        <f xml:space="preserve"> _xlfn.XLOOKUP(M1361, Lookup_Tables!$M$2:$M$5,Lookup_Tables!$N$2:$N$5," ", -1)</f>
        <v>Early (2-5)</v>
      </c>
      <c r="R1361" s="4">
        <f t="shared" si="43"/>
        <v>3.3333333333333335</v>
      </c>
      <c r="S1361" t="str">
        <f xml:space="preserve"> _xlfn.XLOOKUP( E1361, Lookup_Tables!$A$2:$A$6,Lookup_Tables!$B$2:$B$6," ", -1)</f>
        <v>Below College</v>
      </c>
      <c r="T1361" t="str">
        <f>_xlfn.XLOOKUP(G1361,Lookup_Tables!$D$2:$D$5,Lookup_Tables!$E$2:$E$5)</f>
        <v>Very High</v>
      </c>
      <c r="U1361" t="str">
        <f>_xlfn.XLOOKUP(H1361,Lookup_Tables!$D$2:$D$5,Lookup_Tables!$E$2:$E$5)</f>
        <v>Very High</v>
      </c>
      <c r="V1361" t="str">
        <f>_xlfn.XLOOKUP(L1361,Lookup_Tables!$D$2:$D$5,Lookup_Tables!$E$2:$E$5)</f>
        <v>Medium</v>
      </c>
    </row>
    <row r="1362" spans="1:22">
      <c r="A1362">
        <f>RAW_DATA!A1362</f>
        <v>31</v>
      </c>
      <c r="B1362" t="str">
        <f>RAW_DATA!B1362</f>
        <v>No</v>
      </c>
      <c r="C1362" t="str">
        <f>RAW_DATA!C1362</f>
        <v>Research &amp; Development</v>
      </c>
      <c r="D1362">
        <f>RAW_DATA!D1362</f>
        <v>4</v>
      </c>
      <c r="E1362">
        <f>RAW_DATA!E1362</f>
        <v>3</v>
      </c>
      <c r="F1362" t="str">
        <f>RAW_DATA!F1362</f>
        <v>Medical</v>
      </c>
      <c r="G1362">
        <f>RAW_DATA!G1362</f>
        <v>1</v>
      </c>
      <c r="H1362">
        <f>RAW_DATA!H1362</f>
        <v>3</v>
      </c>
      <c r="I1362" t="str">
        <f>RAW_DATA!I1362</f>
        <v>Divorced</v>
      </c>
      <c r="J1362">
        <f>RAW_DATA!J1362</f>
        <v>3978</v>
      </c>
      <c r="K1362">
        <f>RAW_DATA!K1362</f>
        <v>8</v>
      </c>
      <c r="L1362">
        <f>RAW_DATA!L1362</f>
        <v>2</v>
      </c>
      <c r="M1362">
        <f>RAW_DATA!M1362</f>
        <v>2</v>
      </c>
      <c r="N1362">
        <f t="shared" si="42"/>
        <v>0</v>
      </c>
      <c r="O1362" t="str">
        <f xml:space="preserve"> VLOOKUP(A1362, Lookup_Tables!$G$2:$H$6,2,TRUE)</f>
        <v>25-34</v>
      </c>
      <c r="P1362" t="str">
        <f>_xlfn.XLOOKUP(J1362,Lookup_Tables!$J$2:$J$4,Lookup_Tables!$K$2:$K$4, " ",-1)</f>
        <v>Medium</v>
      </c>
      <c r="Q1362" t="str">
        <f xml:space="preserve"> _xlfn.XLOOKUP(M1362, Lookup_Tables!$M$2:$M$5,Lookup_Tables!$N$2:$N$5," ", -1)</f>
        <v>Early (2-5)</v>
      </c>
      <c r="R1362" s="4">
        <f t="shared" si="43"/>
        <v>2</v>
      </c>
      <c r="S1362" t="str">
        <f xml:space="preserve"> _xlfn.XLOOKUP( E1362, Lookup_Tables!$A$2:$A$6,Lookup_Tables!$B$2:$B$6," ", -1)</f>
        <v>Bachelor</v>
      </c>
      <c r="T1362" t="str">
        <f>_xlfn.XLOOKUP(G1362,Lookup_Tables!$D$2:$D$5,Lookup_Tables!$E$2:$E$5)</f>
        <v>Low</v>
      </c>
      <c r="U1362" t="str">
        <f>_xlfn.XLOOKUP(H1362,Lookup_Tables!$D$2:$D$5,Lookup_Tables!$E$2:$E$5)</f>
        <v>High</v>
      </c>
      <c r="V1362" t="str">
        <f>_xlfn.XLOOKUP(L1362,Lookup_Tables!$D$2:$D$5,Lookup_Tables!$E$2:$E$5)</f>
        <v>Medium</v>
      </c>
    </row>
    <row r="1363" spans="1:22">
      <c r="A1363">
        <f>RAW_DATA!A1363</f>
        <v>26</v>
      </c>
      <c r="B1363" t="str">
        <f>RAW_DATA!B1363</f>
        <v>No</v>
      </c>
      <c r="C1363" t="str">
        <f>RAW_DATA!C1363</f>
        <v>Research &amp; Development</v>
      </c>
      <c r="D1363">
        <f>RAW_DATA!D1363</f>
        <v>6</v>
      </c>
      <c r="E1363">
        <f>RAW_DATA!E1363</f>
        <v>3</v>
      </c>
      <c r="F1363" t="str">
        <f>RAW_DATA!F1363</f>
        <v>Other</v>
      </c>
      <c r="G1363">
        <f>RAW_DATA!G1363</f>
        <v>3</v>
      </c>
      <c r="H1363">
        <f>RAW_DATA!H1363</f>
        <v>4</v>
      </c>
      <c r="I1363" t="str">
        <f>RAW_DATA!I1363</f>
        <v>Married</v>
      </c>
      <c r="J1363">
        <f>RAW_DATA!J1363</f>
        <v>2544</v>
      </c>
      <c r="K1363">
        <f>RAW_DATA!K1363</f>
        <v>0</v>
      </c>
      <c r="L1363">
        <f>RAW_DATA!L1363</f>
        <v>3</v>
      </c>
      <c r="M1363">
        <f>RAW_DATA!M1363</f>
        <v>7</v>
      </c>
      <c r="N1363">
        <f t="shared" si="42"/>
        <v>0</v>
      </c>
      <c r="O1363" t="str">
        <f xml:space="preserve"> VLOOKUP(A1363, Lookup_Tables!$G$2:$H$6,2,TRUE)</f>
        <v>25-34</v>
      </c>
      <c r="P1363" t="str">
        <f>_xlfn.XLOOKUP(J1363,Lookup_Tables!$J$2:$J$4,Lookup_Tables!$K$2:$K$4, " ",-1)</f>
        <v>Low</v>
      </c>
      <c r="Q1363" t="str">
        <f xml:space="preserve"> _xlfn.XLOOKUP(M1363, Lookup_Tables!$M$2:$M$5,Lookup_Tables!$N$2:$N$5," ", -1)</f>
        <v>Established (5-10)</v>
      </c>
      <c r="R1363" s="4">
        <f t="shared" si="43"/>
        <v>3.3333333333333335</v>
      </c>
      <c r="S1363" t="str">
        <f xml:space="preserve"> _xlfn.XLOOKUP( E1363, Lookup_Tables!$A$2:$A$6,Lookup_Tables!$B$2:$B$6," ", -1)</f>
        <v>Bachelor</v>
      </c>
      <c r="T1363" t="str">
        <f>_xlfn.XLOOKUP(G1363,Lookup_Tables!$D$2:$D$5,Lookup_Tables!$E$2:$E$5)</f>
        <v>High</v>
      </c>
      <c r="U1363" t="str">
        <f>_xlfn.XLOOKUP(H1363,Lookup_Tables!$D$2:$D$5,Lookup_Tables!$E$2:$E$5)</f>
        <v>Very High</v>
      </c>
      <c r="V1363" t="str">
        <f>_xlfn.XLOOKUP(L1363,Lookup_Tables!$D$2:$D$5,Lookup_Tables!$E$2:$E$5)</f>
        <v>High</v>
      </c>
    </row>
    <row r="1364" spans="1:22">
      <c r="A1364">
        <f>RAW_DATA!A1364</f>
        <v>45</v>
      </c>
      <c r="B1364" t="str">
        <f>RAW_DATA!B1364</f>
        <v>No</v>
      </c>
      <c r="C1364" t="str">
        <f>RAW_DATA!C1364</f>
        <v>Research &amp; Development</v>
      </c>
      <c r="D1364">
        <f>RAW_DATA!D1364</f>
        <v>1</v>
      </c>
      <c r="E1364">
        <f>RAW_DATA!E1364</f>
        <v>4</v>
      </c>
      <c r="F1364" t="str">
        <f>RAW_DATA!F1364</f>
        <v>Medical</v>
      </c>
      <c r="G1364">
        <f>RAW_DATA!G1364</f>
        <v>2</v>
      </c>
      <c r="H1364">
        <f>RAW_DATA!H1364</f>
        <v>3</v>
      </c>
      <c r="I1364" t="str">
        <f>RAW_DATA!I1364</f>
        <v>Single</v>
      </c>
      <c r="J1364">
        <f>RAW_DATA!J1364</f>
        <v>5399</v>
      </c>
      <c r="K1364">
        <f>RAW_DATA!K1364</f>
        <v>4</v>
      </c>
      <c r="L1364">
        <f>RAW_DATA!L1364</f>
        <v>3</v>
      </c>
      <c r="M1364">
        <f>RAW_DATA!M1364</f>
        <v>4</v>
      </c>
      <c r="N1364">
        <f t="shared" si="42"/>
        <v>0</v>
      </c>
      <c r="O1364" t="str">
        <f xml:space="preserve"> VLOOKUP(A1364, Lookup_Tables!$G$2:$H$6,2,TRUE)</f>
        <v>45-54</v>
      </c>
      <c r="P1364" t="str">
        <f>_xlfn.XLOOKUP(J1364,Lookup_Tables!$J$2:$J$4,Lookup_Tables!$K$2:$K$4, " ",-1)</f>
        <v>Medium</v>
      </c>
      <c r="Q1364" t="str">
        <f xml:space="preserve"> _xlfn.XLOOKUP(M1364, Lookup_Tables!$M$2:$M$5,Lookup_Tables!$N$2:$N$5," ", -1)</f>
        <v>Early (2-5)</v>
      </c>
      <c r="R1364" s="4">
        <f t="shared" si="43"/>
        <v>2.6666666666666665</v>
      </c>
      <c r="S1364" t="str">
        <f xml:space="preserve"> _xlfn.XLOOKUP( E1364, Lookup_Tables!$A$2:$A$6,Lookup_Tables!$B$2:$B$6," ", -1)</f>
        <v>Master</v>
      </c>
      <c r="T1364" t="str">
        <f>_xlfn.XLOOKUP(G1364,Lookup_Tables!$D$2:$D$5,Lookup_Tables!$E$2:$E$5)</f>
        <v>Medium</v>
      </c>
      <c r="U1364" t="str">
        <f>_xlfn.XLOOKUP(H1364,Lookup_Tables!$D$2:$D$5,Lookup_Tables!$E$2:$E$5)</f>
        <v>High</v>
      </c>
      <c r="V1364" t="str">
        <f>_xlfn.XLOOKUP(L1364,Lookup_Tables!$D$2:$D$5,Lookup_Tables!$E$2:$E$5)</f>
        <v>High</v>
      </c>
    </row>
    <row r="1365" spans="1:22">
      <c r="A1365">
        <f>RAW_DATA!A1365</f>
        <v>33</v>
      </c>
      <c r="B1365" t="str">
        <f>RAW_DATA!B1365</f>
        <v>No</v>
      </c>
      <c r="C1365" t="str">
        <f>RAW_DATA!C1365</f>
        <v>Sales</v>
      </c>
      <c r="D1365">
        <f>RAW_DATA!D1365</f>
        <v>10</v>
      </c>
      <c r="E1365">
        <f>RAW_DATA!E1365</f>
        <v>4</v>
      </c>
      <c r="F1365" t="str">
        <f>RAW_DATA!F1365</f>
        <v>Marketing</v>
      </c>
      <c r="G1365">
        <f>RAW_DATA!G1365</f>
        <v>2</v>
      </c>
      <c r="H1365">
        <f>RAW_DATA!H1365</f>
        <v>3</v>
      </c>
      <c r="I1365" t="str">
        <f>RAW_DATA!I1365</f>
        <v>Single</v>
      </c>
      <c r="J1365">
        <f>RAW_DATA!J1365</f>
        <v>5487</v>
      </c>
      <c r="K1365">
        <f>RAW_DATA!K1365</f>
        <v>1</v>
      </c>
      <c r="L1365">
        <f>RAW_DATA!L1365</f>
        <v>2</v>
      </c>
      <c r="M1365">
        <f>RAW_DATA!M1365</f>
        <v>10</v>
      </c>
      <c r="N1365">
        <f t="shared" si="42"/>
        <v>0</v>
      </c>
      <c r="O1365" t="str">
        <f xml:space="preserve"> VLOOKUP(A1365, Lookup_Tables!$G$2:$H$6,2,TRUE)</f>
        <v>25-34</v>
      </c>
      <c r="P1365" t="str">
        <f>_xlfn.XLOOKUP(J1365,Lookup_Tables!$J$2:$J$4,Lookup_Tables!$K$2:$K$4, " ",-1)</f>
        <v>Medium</v>
      </c>
      <c r="Q1365" t="str">
        <f xml:space="preserve"> _xlfn.XLOOKUP(M1365, Lookup_Tables!$M$2:$M$5,Lookup_Tables!$N$2:$N$5," ", -1)</f>
        <v>Veteran (10+)</v>
      </c>
      <c r="R1365" s="4">
        <f t="shared" si="43"/>
        <v>2.3333333333333335</v>
      </c>
      <c r="S1365" t="str">
        <f xml:space="preserve"> _xlfn.XLOOKUP( E1365, Lookup_Tables!$A$2:$A$6,Lookup_Tables!$B$2:$B$6," ", -1)</f>
        <v>Master</v>
      </c>
      <c r="T1365" t="str">
        <f>_xlfn.XLOOKUP(G1365,Lookup_Tables!$D$2:$D$5,Lookup_Tables!$E$2:$E$5)</f>
        <v>Medium</v>
      </c>
      <c r="U1365" t="str">
        <f>_xlfn.XLOOKUP(H1365,Lookup_Tables!$D$2:$D$5,Lookup_Tables!$E$2:$E$5)</f>
        <v>High</v>
      </c>
      <c r="V1365" t="str">
        <f>_xlfn.XLOOKUP(L1365,Lookup_Tables!$D$2:$D$5,Lookup_Tables!$E$2:$E$5)</f>
        <v>Medium</v>
      </c>
    </row>
    <row r="1366" spans="1:22">
      <c r="A1366">
        <f>RAW_DATA!A1366</f>
        <v>28</v>
      </c>
      <c r="B1366" t="str">
        <f>RAW_DATA!B1366</f>
        <v>No</v>
      </c>
      <c r="C1366" t="str">
        <f>RAW_DATA!C1366</f>
        <v>Sales</v>
      </c>
      <c r="D1366">
        <f>RAW_DATA!D1366</f>
        <v>1</v>
      </c>
      <c r="E1366">
        <f>RAW_DATA!E1366</f>
        <v>2</v>
      </c>
      <c r="F1366" t="str">
        <f>RAW_DATA!F1366</f>
        <v>Life Sciences</v>
      </c>
      <c r="G1366">
        <f>RAW_DATA!G1366</f>
        <v>3</v>
      </c>
      <c r="H1366">
        <f>RAW_DATA!H1366</f>
        <v>4</v>
      </c>
      <c r="I1366" t="str">
        <f>RAW_DATA!I1366</f>
        <v>Married</v>
      </c>
      <c r="J1366">
        <f>RAW_DATA!J1366</f>
        <v>6834</v>
      </c>
      <c r="K1366">
        <f>RAW_DATA!K1366</f>
        <v>1</v>
      </c>
      <c r="L1366">
        <f>RAW_DATA!L1366</f>
        <v>3</v>
      </c>
      <c r="M1366">
        <f>RAW_DATA!M1366</f>
        <v>7</v>
      </c>
      <c r="N1366">
        <f t="shared" si="42"/>
        <v>0</v>
      </c>
      <c r="O1366" t="str">
        <f xml:space="preserve"> VLOOKUP(A1366, Lookup_Tables!$G$2:$H$6,2,TRUE)</f>
        <v>25-34</v>
      </c>
      <c r="P1366" t="str">
        <f>_xlfn.XLOOKUP(J1366,Lookup_Tables!$J$2:$J$4,Lookup_Tables!$K$2:$K$4, " ",-1)</f>
        <v>Medium</v>
      </c>
      <c r="Q1366" t="str">
        <f xml:space="preserve"> _xlfn.XLOOKUP(M1366, Lookup_Tables!$M$2:$M$5,Lookup_Tables!$N$2:$N$5," ", -1)</f>
        <v>Established (5-10)</v>
      </c>
      <c r="R1366" s="4">
        <f t="shared" si="43"/>
        <v>3.3333333333333335</v>
      </c>
      <c r="S1366" t="str">
        <f xml:space="preserve"> _xlfn.XLOOKUP( E1366, Lookup_Tables!$A$2:$A$6,Lookup_Tables!$B$2:$B$6," ", -1)</f>
        <v>College</v>
      </c>
      <c r="T1366" t="str">
        <f>_xlfn.XLOOKUP(G1366,Lookup_Tables!$D$2:$D$5,Lookup_Tables!$E$2:$E$5)</f>
        <v>High</v>
      </c>
      <c r="U1366" t="str">
        <f>_xlfn.XLOOKUP(H1366,Lookup_Tables!$D$2:$D$5,Lookup_Tables!$E$2:$E$5)</f>
        <v>Very High</v>
      </c>
      <c r="V1366" t="str">
        <f>_xlfn.XLOOKUP(L1366,Lookup_Tables!$D$2:$D$5,Lookup_Tables!$E$2:$E$5)</f>
        <v>High</v>
      </c>
    </row>
    <row r="1367" spans="1:22">
      <c r="A1367">
        <f>RAW_DATA!A1367</f>
        <v>29</v>
      </c>
      <c r="B1367" t="str">
        <f>RAW_DATA!B1367</f>
        <v>Yes</v>
      </c>
      <c r="C1367" t="str">
        <f>RAW_DATA!C1367</f>
        <v>Sales</v>
      </c>
      <c r="D1367">
        <f>RAW_DATA!D1367</f>
        <v>24</v>
      </c>
      <c r="E1367">
        <f>RAW_DATA!E1367</f>
        <v>3</v>
      </c>
      <c r="F1367" t="str">
        <f>RAW_DATA!F1367</f>
        <v>Technical Degree</v>
      </c>
      <c r="G1367">
        <f>RAW_DATA!G1367</f>
        <v>3</v>
      </c>
      <c r="H1367">
        <f>RAW_DATA!H1367</f>
        <v>1</v>
      </c>
      <c r="I1367" t="str">
        <f>RAW_DATA!I1367</f>
        <v>Single</v>
      </c>
      <c r="J1367">
        <f>RAW_DATA!J1367</f>
        <v>1091</v>
      </c>
      <c r="K1367">
        <f>RAW_DATA!K1367</f>
        <v>1</v>
      </c>
      <c r="L1367">
        <f>RAW_DATA!L1367</f>
        <v>3</v>
      </c>
      <c r="M1367">
        <f>RAW_DATA!M1367</f>
        <v>1</v>
      </c>
      <c r="N1367">
        <f t="shared" si="42"/>
        <v>1</v>
      </c>
      <c r="O1367" t="str">
        <f xml:space="preserve"> VLOOKUP(A1367, Lookup_Tables!$G$2:$H$6,2,TRUE)</f>
        <v>25-34</v>
      </c>
      <c r="P1367" t="str">
        <f>_xlfn.XLOOKUP(J1367,Lookup_Tables!$J$2:$J$4,Lookup_Tables!$K$2:$K$4, " ",-1)</f>
        <v>Low</v>
      </c>
      <c r="Q1367" t="str">
        <f xml:space="preserve"> _xlfn.XLOOKUP(M1367, Lookup_Tables!$M$2:$M$5,Lookup_Tables!$N$2:$N$5," ", -1)</f>
        <v>New (0-2)</v>
      </c>
      <c r="R1367" s="4">
        <f t="shared" si="43"/>
        <v>2.3333333333333335</v>
      </c>
      <c r="S1367" t="str">
        <f xml:space="preserve"> _xlfn.XLOOKUP( E1367, Lookup_Tables!$A$2:$A$6,Lookup_Tables!$B$2:$B$6," ", -1)</f>
        <v>Bachelor</v>
      </c>
      <c r="T1367" t="str">
        <f>_xlfn.XLOOKUP(G1367,Lookup_Tables!$D$2:$D$5,Lookup_Tables!$E$2:$E$5)</f>
        <v>High</v>
      </c>
      <c r="U1367" t="str">
        <f>_xlfn.XLOOKUP(H1367,Lookup_Tables!$D$2:$D$5,Lookup_Tables!$E$2:$E$5)</f>
        <v>Low</v>
      </c>
      <c r="V1367" t="str">
        <f>_xlfn.XLOOKUP(L1367,Lookup_Tables!$D$2:$D$5,Lookup_Tables!$E$2:$E$5)</f>
        <v>High</v>
      </c>
    </row>
    <row r="1368" spans="1:22">
      <c r="A1368">
        <f>RAW_DATA!A1368</f>
        <v>39</v>
      </c>
      <c r="B1368" t="str">
        <f>RAW_DATA!B1368</f>
        <v>No</v>
      </c>
      <c r="C1368" t="str">
        <f>RAW_DATA!C1368</f>
        <v>Sales</v>
      </c>
      <c r="D1368">
        <f>RAW_DATA!D1368</f>
        <v>21</v>
      </c>
      <c r="E1368">
        <f>RAW_DATA!E1368</f>
        <v>4</v>
      </c>
      <c r="F1368" t="str">
        <f>RAW_DATA!F1368</f>
        <v>Life Sciences</v>
      </c>
      <c r="G1368">
        <f>RAW_DATA!G1368</f>
        <v>1</v>
      </c>
      <c r="H1368">
        <f>RAW_DATA!H1368</f>
        <v>3</v>
      </c>
      <c r="I1368" t="str">
        <f>RAW_DATA!I1368</f>
        <v>Married</v>
      </c>
      <c r="J1368">
        <f>RAW_DATA!J1368</f>
        <v>5736</v>
      </c>
      <c r="K1368">
        <f>RAW_DATA!K1368</f>
        <v>6</v>
      </c>
      <c r="L1368">
        <f>RAW_DATA!L1368</f>
        <v>3</v>
      </c>
      <c r="M1368">
        <f>RAW_DATA!M1368</f>
        <v>3</v>
      </c>
      <c r="N1368">
        <f t="shared" si="42"/>
        <v>0</v>
      </c>
      <c r="O1368" t="str">
        <f xml:space="preserve"> VLOOKUP(A1368, Lookup_Tables!$G$2:$H$6,2,TRUE)</f>
        <v>35-44</v>
      </c>
      <c r="P1368" t="str">
        <f>_xlfn.XLOOKUP(J1368,Lookup_Tables!$J$2:$J$4,Lookup_Tables!$K$2:$K$4, " ",-1)</f>
        <v>Medium</v>
      </c>
      <c r="Q1368" t="str">
        <f xml:space="preserve"> _xlfn.XLOOKUP(M1368, Lookup_Tables!$M$2:$M$5,Lookup_Tables!$N$2:$N$5," ", -1)</f>
        <v>Early (2-5)</v>
      </c>
      <c r="R1368" s="4">
        <f t="shared" si="43"/>
        <v>2.3333333333333335</v>
      </c>
      <c r="S1368" t="str">
        <f xml:space="preserve"> _xlfn.XLOOKUP( E1368, Lookup_Tables!$A$2:$A$6,Lookup_Tables!$B$2:$B$6," ", -1)</f>
        <v>Master</v>
      </c>
      <c r="T1368" t="str">
        <f>_xlfn.XLOOKUP(G1368,Lookup_Tables!$D$2:$D$5,Lookup_Tables!$E$2:$E$5)</f>
        <v>Low</v>
      </c>
      <c r="U1368" t="str">
        <f>_xlfn.XLOOKUP(H1368,Lookup_Tables!$D$2:$D$5,Lookup_Tables!$E$2:$E$5)</f>
        <v>High</v>
      </c>
      <c r="V1368" t="str">
        <f>_xlfn.XLOOKUP(L1368,Lookup_Tables!$D$2:$D$5,Lookup_Tables!$E$2:$E$5)</f>
        <v>High</v>
      </c>
    </row>
    <row r="1369" spans="1:22">
      <c r="A1369">
        <f>RAW_DATA!A1369</f>
        <v>27</v>
      </c>
      <c r="B1369" t="str">
        <f>RAW_DATA!B1369</f>
        <v>No</v>
      </c>
      <c r="C1369" t="str">
        <f>RAW_DATA!C1369</f>
        <v>Research &amp; Development</v>
      </c>
      <c r="D1369">
        <f>RAW_DATA!D1369</f>
        <v>2</v>
      </c>
      <c r="E1369">
        <f>RAW_DATA!E1369</f>
        <v>4</v>
      </c>
      <c r="F1369" t="str">
        <f>RAW_DATA!F1369</f>
        <v>Technical Degree</v>
      </c>
      <c r="G1369">
        <f>RAW_DATA!G1369</f>
        <v>2</v>
      </c>
      <c r="H1369">
        <f>RAW_DATA!H1369</f>
        <v>2</v>
      </c>
      <c r="I1369" t="str">
        <f>RAW_DATA!I1369</f>
        <v>Married</v>
      </c>
      <c r="J1369">
        <f>RAW_DATA!J1369</f>
        <v>2226</v>
      </c>
      <c r="K1369">
        <f>RAW_DATA!K1369</f>
        <v>1</v>
      </c>
      <c r="L1369">
        <f>RAW_DATA!L1369</f>
        <v>2</v>
      </c>
      <c r="M1369">
        <f>RAW_DATA!M1369</f>
        <v>5</v>
      </c>
      <c r="N1369">
        <f t="shared" si="42"/>
        <v>0</v>
      </c>
      <c r="O1369" t="str">
        <f xml:space="preserve"> VLOOKUP(A1369, Lookup_Tables!$G$2:$H$6,2,TRUE)</f>
        <v>25-34</v>
      </c>
      <c r="P1369" t="str">
        <f>_xlfn.XLOOKUP(J1369,Lookup_Tables!$J$2:$J$4,Lookup_Tables!$K$2:$K$4, " ",-1)</f>
        <v>Low</v>
      </c>
      <c r="Q1369" t="str">
        <f xml:space="preserve"> _xlfn.XLOOKUP(M1369, Lookup_Tables!$M$2:$M$5,Lookup_Tables!$N$2:$N$5," ", -1)</f>
        <v>Established (5-10)</v>
      </c>
      <c r="R1369" s="4">
        <f t="shared" si="43"/>
        <v>2</v>
      </c>
      <c r="S1369" t="str">
        <f xml:space="preserve"> _xlfn.XLOOKUP( E1369, Lookup_Tables!$A$2:$A$6,Lookup_Tables!$B$2:$B$6," ", -1)</f>
        <v>Master</v>
      </c>
      <c r="T1369" t="str">
        <f>_xlfn.XLOOKUP(G1369,Lookup_Tables!$D$2:$D$5,Lookup_Tables!$E$2:$E$5)</f>
        <v>Medium</v>
      </c>
      <c r="U1369" t="str">
        <f>_xlfn.XLOOKUP(H1369,Lookup_Tables!$D$2:$D$5,Lookup_Tables!$E$2:$E$5)</f>
        <v>Medium</v>
      </c>
      <c r="V1369" t="str">
        <f>_xlfn.XLOOKUP(L1369,Lookup_Tables!$D$2:$D$5,Lookup_Tables!$E$2:$E$5)</f>
        <v>Medium</v>
      </c>
    </row>
    <row r="1370" spans="1:22">
      <c r="A1370">
        <f>RAW_DATA!A1370</f>
        <v>34</v>
      </c>
      <c r="B1370" t="str">
        <f>RAW_DATA!B1370</f>
        <v>No</v>
      </c>
      <c r="C1370" t="str">
        <f>RAW_DATA!C1370</f>
        <v>Research &amp; Development</v>
      </c>
      <c r="D1370">
        <f>RAW_DATA!D1370</f>
        <v>22</v>
      </c>
      <c r="E1370">
        <f>RAW_DATA!E1370</f>
        <v>4</v>
      </c>
      <c r="F1370" t="str">
        <f>RAW_DATA!F1370</f>
        <v>Other</v>
      </c>
      <c r="G1370">
        <f>RAW_DATA!G1370</f>
        <v>3</v>
      </c>
      <c r="H1370">
        <f>RAW_DATA!H1370</f>
        <v>4</v>
      </c>
      <c r="I1370" t="str">
        <f>RAW_DATA!I1370</f>
        <v>Married</v>
      </c>
      <c r="J1370">
        <f>RAW_DATA!J1370</f>
        <v>5747</v>
      </c>
      <c r="K1370">
        <f>RAW_DATA!K1370</f>
        <v>1</v>
      </c>
      <c r="L1370">
        <f>RAW_DATA!L1370</f>
        <v>3</v>
      </c>
      <c r="M1370">
        <f>RAW_DATA!M1370</f>
        <v>15</v>
      </c>
      <c r="N1370">
        <f t="shared" si="42"/>
        <v>0</v>
      </c>
      <c r="O1370" t="str">
        <f xml:space="preserve"> VLOOKUP(A1370, Lookup_Tables!$G$2:$H$6,2,TRUE)</f>
        <v>25-34</v>
      </c>
      <c r="P1370" t="str">
        <f>_xlfn.XLOOKUP(J1370,Lookup_Tables!$J$2:$J$4,Lookup_Tables!$K$2:$K$4, " ",-1)</f>
        <v>Medium</v>
      </c>
      <c r="Q1370" t="str">
        <f xml:space="preserve"> _xlfn.XLOOKUP(M1370, Lookup_Tables!$M$2:$M$5,Lookup_Tables!$N$2:$N$5," ", -1)</f>
        <v>Veteran (10+)</v>
      </c>
      <c r="R1370" s="4">
        <f t="shared" si="43"/>
        <v>3.3333333333333335</v>
      </c>
      <c r="S1370" t="str">
        <f xml:space="preserve"> _xlfn.XLOOKUP( E1370, Lookup_Tables!$A$2:$A$6,Lookup_Tables!$B$2:$B$6," ", -1)</f>
        <v>Master</v>
      </c>
      <c r="T1370" t="str">
        <f>_xlfn.XLOOKUP(G1370,Lookup_Tables!$D$2:$D$5,Lookup_Tables!$E$2:$E$5)</f>
        <v>High</v>
      </c>
      <c r="U1370" t="str">
        <f>_xlfn.XLOOKUP(H1370,Lookup_Tables!$D$2:$D$5,Lookup_Tables!$E$2:$E$5)</f>
        <v>Very High</v>
      </c>
      <c r="V1370" t="str">
        <f>_xlfn.XLOOKUP(L1370,Lookup_Tables!$D$2:$D$5,Lookup_Tables!$E$2:$E$5)</f>
        <v>High</v>
      </c>
    </row>
    <row r="1371" spans="1:22">
      <c r="A1371">
        <f>RAW_DATA!A1371</f>
        <v>28</v>
      </c>
      <c r="B1371" t="str">
        <f>RAW_DATA!B1371</f>
        <v>Yes</v>
      </c>
      <c r="C1371" t="str">
        <f>RAW_DATA!C1371</f>
        <v>Sales</v>
      </c>
      <c r="D1371">
        <f>RAW_DATA!D1371</f>
        <v>13</v>
      </c>
      <c r="E1371">
        <f>RAW_DATA!E1371</f>
        <v>2</v>
      </c>
      <c r="F1371" t="str">
        <f>RAW_DATA!F1371</f>
        <v>Marketing</v>
      </c>
      <c r="G1371">
        <f>RAW_DATA!G1371</f>
        <v>4</v>
      </c>
      <c r="H1371">
        <f>RAW_DATA!H1371</f>
        <v>3</v>
      </c>
      <c r="I1371" t="str">
        <f>RAW_DATA!I1371</f>
        <v>Single</v>
      </c>
      <c r="J1371">
        <f>RAW_DATA!J1371</f>
        <v>9854</v>
      </c>
      <c r="K1371">
        <f>RAW_DATA!K1371</f>
        <v>3</v>
      </c>
      <c r="L1371">
        <f>RAW_DATA!L1371</f>
        <v>3</v>
      </c>
      <c r="M1371">
        <f>RAW_DATA!M1371</f>
        <v>2</v>
      </c>
      <c r="N1371">
        <f t="shared" si="42"/>
        <v>1</v>
      </c>
      <c r="O1371" t="str">
        <f xml:space="preserve"> VLOOKUP(A1371, Lookup_Tables!$G$2:$H$6,2,TRUE)</f>
        <v>25-34</v>
      </c>
      <c r="P1371" t="str">
        <f>_xlfn.XLOOKUP(J1371,Lookup_Tables!$J$2:$J$4,Lookup_Tables!$K$2:$K$4, " ",-1)</f>
        <v>High</v>
      </c>
      <c r="Q1371" t="str">
        <f xml:space="preserve"> _xlfn.XLOOKUP(M1371, Lookup_Tables!$M$2:$M$5,Lookup_Tables!$N$2:$N$5," ", -1)</f>
        <v>Early (2-5)</v>
      </c>
      <c r="R1371" s="4">
        <f t="shared" si="43"/>
        <v>3.3333333333333335</v>
      </c>
      <c r="S1371" t="str">
        <f xml:space="preserve"> _xlfn.XLOOKUP( E1371, Lookup_Tables!$A$2:$A$6,Lookup_Tables!$B$2:$B$6," ", -1)</f>
        <v>College</v>
      </c>
      <c r="T1371" t="str">
        <f>_xlfn.XLOOKUP(G1371,Lookup_Tables!$D$2:$D$5,Lookup_Tables!$E$2:$E$5)</f>
        <v>Very High</v>
      </c>
      <c r="U1371" t="str">
        <f>_xlfn.XLOOKUP(H1371,Lookup_Tables!$D$2:$D$5,Lookup_Tables!$E$2:$E$5)</f>
        <v>High</v>
      </c>
      <c r="V1371" t="str">
        <f>_xlfn.XLOOKUP(L1371,Lookup_Tables!$D$2:$D$5,Lookup_Tables!$E$2:$E$5)</f>
        <v>High</v>
      </c>
    </row>
    <row r="1372" spans="1:22">
      <c r="A1372">
        <f>RAW_DATA!A1372</f>
        <v>47</v>
      </c>
      <c r="B1372" t="str">
        <f>RAW_DATA!B1372</f>
        <v>No</v>
      </c>
      <c r="C1372" t="str">
        <f>RAW_DATA!C1372</f>
        <v>Research &amp; Development</v>
      </c>
      <c r="D1372">
        <f>RAW_DATA!D1372</f>
        <v>14</v>
      </c>
      <c r="E1372">
        <f>RAW_DATA!E1372</f>
        <v>4</v>
      </c>
      <c r="F1372" t="str">
        <f>RAW_DATA!F1372</f>
        <v>Technical Degree</v>
      </c>
      <c r="G1372">
        <f>RAW_DATA!G1372</f>
        <v>3</v>
      </c>
      <c r="H1372">
        <f>RAW_DATA!H1372</f>
        <v>2</v>
      </c>
      <c r="I1372" t="str">
        <f>RAW_DATA!I1372</f>
        <v>Married</v>
      </c>
      <c r="J1372">
        <f>RAW_DATA!J1372</f>
        <v>5467</v>
      </c>
      <c r="K1372">
        <f>RAW_DATA!K1372</f>
        <v>8</v>
      </c>
      <c r="L1372">
        <f>RAW_DATA!L1372</f>
        <v>4</v>
      </c>
      <c r="M1372">
        <f>RAW_DATA!M1372</f>
        <v>8</v>
      </c>
      <c r="N1372">
        <f t="shared" si="42"/>
        <v>0</v>
      </c>
      <c r="O1372" t="str">
        <f xml:space="preserve"> VLOOKUP(A1372, Lookup_Tables!$G$2:$H$6,2,TRUE)</f>
        <v>45-54</v>
      </c>
      <c r="P1372" t="str">
        <f>_xlfn.XLOOKUP(J1372,Lookup_Tables!$J$2:$J$4,Lookup_Tables!$K$2:$K$4, " ",-1)</f>
        <v>Medium</v>
      </c>
      <c r="Q1372" t="str">
        <f xml:space="preserve"> _xlfn.XLOOKUP(M1372, Lookup_Tables!$M$2:$M$5,Lookup_Tables!$N$2:$N$5," ", -1)</f>
        <v>Established (5-10)</v>
      </c>
      <c r="R1372" s="4">
        <f t="shared" si="43"/>
        <v>3</v>
      </c>
      <c r="S1372" t="str">
        <f xml:space="preserve"> _xlfn.XLOOKUP( E1372, Lookup_Tables!$A$2:$A$6,Lookup_Tables!$B$2:$B$6," ", -1)</f>
        <v>Master</v>
      </c>
      <c r="T1372" t="str">
        <f>_xlfn.XLOOKUP(G1372,Lookup_Tables!$D$2:$D$5,Lookup_Tables!$E$2:$E$5)</f>
        <v>High</v>
      </c>
      <c r="U1372" t="str">
        <f>_xlfn.XLOOKUP(H1372,Lookup_Tables!$D$2:$D$5,Lookup_Tables!$E$2:$E$5)</f>
        <v>Medium</v>
      </c>
      <c r="V1372" t="str">
        <f>_xlfn.XLOOKUP(L1372,Lookup_Tables!$D$2:$D$5,Lookup_Tables!$E$2:$E$5)</f>
        <v>Very High</v>
      </c>
    </row>
    <row r="1373" spans="1:22">
      <c r="A1373">
        <f>RAW_DATA!A1373</f>
        <v>56</v>
      </c>
      <c r="B1373" t="str">
        <f>RAW_DATA!B1373</f>
        <v>No</v>
      </c>
      <c r="C1373" t="str">
        <f>RAW_DATA!C1373</f>
        <v>Sales</v>
      </c>
      <c r="D1373">
        <f>RAW_DATA!D1373</f>
        <v>11</v>
      </c>
      <c r="E1373">
        <f>RAW_DATA!E1373</f>
        <v>5</v>
      </c>
      <c r="F1373" t="str">
        <f>RAW_DATA!F1373</f>
        <v>Marketing</v>
      </c>
      <c r="G1373">
        <f>RAW_DATA!G1373</f>
        <v>4</v>
      </c>
      <c r="H1373">
        <f>RAW_DATA!H1373</f>
        <v>1</v>
      </c>
      <c r="I1373" t="str">
        <f>RAW_DATA!I1373</f>
        <v>Married</v>
      </c>
      <c r="J1373">
        <f>RAW_DATA!J1373</f>
        <v>5380</v>
      </c>
      <c r="K1373">
        <f>RAW_DATA!K1373</f>
        <v>4</v>
      </c>
      <c r="L1373">
        <f>RAW_DATA!L1373</f>
        <v>3</v>
      </c>
      <c r="M1373">
        <f>RAW_DATA!M1373</f>
        <v>0</v>
      </c>
      <c r="N1373">
        <f t="shared" si="42"/>
        <v>0</v>
      </c>
      <c r="O1373" t="str">
        <f xml:space="preserve"> VLOOKUP(A1373, Lookup_Tables!$G$2:$H$6,2,TRUE)</f>
        <v>55+</v>
      </c>
      <c r="P1373" t="str">
        <f>_xlfn.XLOOKUP(J1373,Lookup_Tables!$J$2:$J$4,Lookup_Tables!$K$2:$K$4, " ",-1)</f>
        <v>Medium</v>
      </c>
      <c r="Q1373" t="str">
        <f xml:space="preserve"> _xlfn.XLOOKUP(M1373, Lookup_Tables!$M$2:$M$5,Lookup_Tables!$N$2:$N$5," ", -1)</f>
        <v>New (0-2)</v>
      </c>
      <c r="R1373" s="4">
        <f t="shared" si="43"/>
        <v>2.6666666666666665</v>
      </c>
      <c r="S1373" t="str">
        <f xml:space="preserve"> _xlfn.XLOOKUP( E1373, Lookup_Tables!$A$2:$A$6,Lookup_Tables!$B$2:$B$6," ", -1)</f>
        <v>Doctor</v>
      </c>
      <c r="T1373" t="str">
        <f>_xlfn.XLOOKUP(G1373,Lookup_Tables!$D$2:$D$5,Lookup_Tables!$E$2:$E$5)</f>
        <v>Very High</v>
      </c>
      <c r="U1373" t="str">
        <f>_xlfn.XLOOKUP(H1373,Lookup_Tables!$D$2:$D$5,Lookup_Tables!$E$2:$E$5)</f>
        <v>Low</v>
      </c>
      <c r="V1373" t="str">
        <f>_xlfn.XLOOKUP(L1373,Lookup_Tables!$D$2:$D$5,Lookup_Tables!$E$2:$E$5)</f>
        <v>High</v>
      </c>
    </row>
    <row r="1374" spans="1:22">
      <c r="A1374">
        <f>RAW_DATA!A1374</f>
        <v>39</v>
      </c>
      <c r="B1374" t="str">
        <f>RAW_DATA!B1374</f>
        <v>No</v>
      </c>
      <c r="C1374" t="str">
        <f>RAW_DATA!C1374</f>
        <v>Research &amp; Development</v>
      </c>
      <c r="D1374">
        <f>RAW_DATA!D1374</f>
        <v>9</v>
      </c>
      <c r="E1374">
        <f>RAW_DATA!E1374</f>
        <v>2</v>
      </c>
      <c r="F1374" t="str">
        <f>RAW_DATA!F1374</f>
        <v>Medical</v>
      </c>
      <c r="G1374">
        <f>RAW_DATA!G1374</f>
        <v>1</v>
      </c>
      <c r="H1374">
        <f>RAW_DATA!H1374</f>
        <v>1</v>
      </c>
      <c r="I1374" t="str">
        <f>RAW_DATA!I1374</f>
        <v>Married</v>
      </c>
      <c r="J1374">
        <f>RAW_DATA!J1374</f>
        <v>5151</v>
      </c>
      <c r="K1374">
        <f>RAW_DATA!K1374</f>
        <v>1</v>
      </c>
      <c r="L1374">
        <f>RAW_DATA!L1374</f>
        <v>3</v>
      </c>
      <c r="M1374">
        <f>RAW_DATA!M1374</f>
        <v>10</v>
      </c>
      <c r="N1374">
        <f t="shared" si="42"/>
        <v>0</v>
      </c>
      <c r="O1374" t="str">
        <f xml:space="preserve"> VLOOKUP(A1374, Lookup_Tables!$G$2:$H$6,2,TRUE)</f>
        <v>35-44</v>
      </c>
      <c r="P1374" t="str">
        <f>_xlfn.XLOOKUP(J1374,Lookup_Tables!$J$2:$J$4,Lookup_Tables!$K$2:$K$4, " ",-1)</f>
        <v>Medium</v>
      </c>
      <c r="Q1374" t="str">
        <f xml:space="preserve"> _xlfn.XLOOKUP(M1374, Lookup_Tables!$M$2:$M$5,Lookup_Tables!$N$2:$N$5," ", -1)</f>
        <v>Veteran (10+)</v>
      </c>
      <c r="R1374" s="4">
        <f t="shared" si="43"/>
        <v>1.6666666666666667</v>
      </c>
      <c r="S1374" t="str">
        <f xml:space="preserve"> _xlfn.XLOOKUP( E1374, Lookup_Tables!$A$2:$A$6,Lookup_Tables!$B$2:$B$6," ", -1)</f>
        <v>College</v>
      </c>
      <c r="T1374" t="str">
        <f>_xlfn.XLOOKUP(G1374,Lookup_Tables!$D$2:$D$5,Lookup_Tables!$E$2:$E$5)</f>
        <v>Low</v>
      </c>
      <c r="U1374" t="str">
        <f>_xlfn.XLOOKUP(H1374,Lookup_Tables!$D$2:$D$5,Lookup_Tables!$E$2:$E$5)</f>
        <v>Low</v>
      </c>
      <c r="V1374" t="str">
        <f>_xlfn.XLOOKUP(L1374,Lookup_Tables!$D$2:$D$5,Lookup_Tables!$E$2:$E$5)</f>
        <v>High</v>
      </c>
    </row>
    <row r="1375" spans="1:22">
      <c r="A1375">
        <f>RAW_DATA!A1375</f>
        <v>38</v>
      </c>
      <c r="B1375" t="str">
        <f>RAW_DATA!B1375</f>
        <v>No</v>
      </c>
      <c r="C1375" t="str">
        <f>RAW_DATA!C1375</f>
        <v>Research &amp; Development</v>
      </c>
      <c r="D1375">
        <f>RAW_DATA!D1375</f>
        <v>8</v>
      </c>
      <c r="E1375">
        <f>RAW_DATA!E1375</f>
        <v>3</v>
      </c>
      <c r="F1375" t="str">
        <f>RAW_DATA!F1375</f>
        <v>Medical</v>
      </c>
      <c r="G1375">
        <f>RAW_DATA!G1375</f>
        <v>4</v>
      </c>
      <c r="H1375">
        <f>RAW_DATA!H1375</f>
        <v>2</v>
      </c>
      <c r="I1375" t="str">
        <f>RAW_DATA!I1375</f>
        <v>Divorced</v>
      </c>
      <c r="J1375">
        <f>RAW_DATA!J1375</f>
        <v>2133</v>
      </c>
      <c r="K1375">
        <f>RAW_DATA!K1375</f>
        <v>1</v>
      </c>
      <c r="L1375">
        <f>RAW_DATA!L1375</f>
        <v>3</v>
      </c>
      <c r="M1375">
        <f>RAW_DATA!M1375</f>
        <v>20</v>
      </c>
      <c r="N1375">
        <f t="shared" si="42"/>
        <v>0</v>
      </c>
      <c r="O1375" t="str">
        <f xml:space="preserve"> VLOOKUP(A1375, Lookup_Tables!$G$2:$H$6,2,TRUE)</f>
        <v>35-44</v>
      </c>
      <c r="P1375" t="str">
        <f>_xlfn.XLOOKUP(J1375,Lookup_Tables!$J$2:$J$4,Lookup_Tables!$K$2:$K$4, " ",-1)</f>
        <v>Low</v>
      </c>
      <c r="Q1375" t="str">
        <f xml:space="preserve"> _xlfn.XLOOKUP(M1375, Lookup_Tables!$M$2:$M$5,Lookup_Tables!$N$2:$N$5," ", -1)</f>
        <v>Veteran (10+)</v>
      </c>
      <c r="R1375" s="4">
        <f t="shared" si="43"/>
        <v>3</v>
      </c>
      <c r="S1375" t="str">
        <f xml:space="preserve"> _xlfn.XLOOKUP( E1375, Lookup_Tables!$A$2:$A$6,Lookup_Tables!$B$2:$B$6," ", -1)</f>
        <v>Bachelor</v>
      </c>
      <c r="T1375" t="str">
        <f>_xlfn.XLOOKUP(G1375,Lookup_Tables!$D$2:$D$5,Lookup_Tables!$E$2:$E$5)</f>
        <v>Very High</v>
      </c>
      <c r="U1375" t="str">
        <f>_xlfn.XLOOKUP(H1375,Lookup_Tables!$D$2:$D$5,Lookup_Tables!$E$2:$E$5)</f>
        <v>Medium</v>
      </c>
      <c r="V1375" t="str">
        <f>_xlfn.XLOOKUP(L1375,Lookup_Tables!$D$2:$D$5,Lookup_Tables!$E$2:$E$5)</f>
        <v>High</v>
      </c>
    </row>
    <row r="1376" spans="1:22">
      <c r="A1376">
        <f>RAW_DATA!A1376</f>
        <v>58</v>
      </c>
      <c r="B1376" t="str">
        <f>RAW_DATA!B1376</f>
        <v>No</v>
      </c>
      <c r="C1376" t="str">
        <f>RAW_DATA!C1376</f>
        <v>Sales</v>
      </c>
      <c r="D1376">
        <f>RAW_DATA!D1376</f>
        <v>21</v>
      </c>
      <c r="E1376">
        <f>RAW_DATA!E1376</f>
        <v>3</v>
      </c>
      <c r="F1376" t="str">
        <f>RAW_DATA!F1376</f>
        <v>Life Sciences</v>
      </c>
      <c r="G1376">
        <f>RAW_DATA!G1376</f>
        <v>4</v>
      </c>
      <c r="H1376">
        <f>RAW_DATA!H1376</f>
        <v>4</v>
      </c>
      <c r="I1376" t="str">
        <f>RAW_DATA!I1376</f>
        <v>Married</v>
      </c>
      <c r="J1376">
        <f>RAW_DATA!J1376</f>
        <v>17875</v>
      </c>
      <c r="K1376">
        <f>RAW_DATA!K1376</f>
        <v>4</v>
      </c>
      <c r="L1376">
        <f>RAW_DATA!L1376</f>
        <v>2</v>
      </c>
      <c r="M1376">
        <f>RAW_DATA!M1376</f>
        <v>1</v>
      </c>
      <c r="N1376">
        <f t="shared" si="42"/>
        <v>0</v>
      </c>
      <c r="O1376" t="str">
        <f xml:space="preserve"> VLOOKUP(A1376, Lookup_Tables!$G$2:$H$6,2,TRUE)</f>
        <v>55+</v>
      </c>
      <c r="P1376" t="str">
        <f>_xlfn.XLOOKUP(J1376,Lookup_Tables!$J$2:$J$4,Lookup_Tables!$K$2:$K$4, " ",-1)</f>
        <v>High</v>
      </c>
      <c r="Q1376" t="str">
        <f xml:space="preserve"> _xlfn.XLOOKUP(M1376, Lookup_Tables!$M$2:$M$5,Lookup_Tables!$N$2:$N$5," ", -1)</f>
        <v>New (0-2)</v>
      </c>
      <c r="R1376" s="4">
        <f t="shared" si="43"/>
        <v>3.3333333333333335</v>
      </c>
      <c r="S1376" t="str">
        <f xml:space="preserve"> _xlfn.XLOOKUP( E1376, Lookup_Tables!$A$2:$A$6,Lookup_Tables!$B$2:$B$6," ", -1)</f>
        <v>Bachelor</v>
      </c>
      <c r="T1376" t="str">
        <f>_xlfn.XLOOKUP(G1376,Lookup_Tables!$D$2:$D$5,Lookup_Tables!$E$2:$E$5)</f>
        <v>Very High</v>
      </c>
      <c r="U1376" t="str">
        <f>_xlfn.XLOOKUP(H1376,Lookup_Tables!$D$2:$D$5,Lookup_Tables!$E$2:$E$5)</f>
        <v>Very High</v>
      </c>
      <c r="V1376" t="str">
        <f>_xlfn.XLOOKUP(L1376,Lookup_Tables!$D$2:$D$5,Lookup_Tables!$E$2:$E$5)</f>
        <v>Medium</v>
      </c>
    </row>
    <row r="1377" spans="1:22">
      <c r="A1377">
        <f>RAW_DATA!A1377</f>
        <v>32</v>
      </c>
      <c r="B1377" t="str">
        <f>RAW_DATA!B1377</f>
        <v>Yes</v>
      </c>
      <c r="C1377" t="str">
        <f>RAW_DATA!C1377</f>
        <v>Research &amp; Development</v>
      </c>
      <c r="D1377">
        <f>RAW_DATA!D1377</f>
        <v>5</v>
      </c>
      <c r="E1377">
        <f>RAW_DATA!E1377</f>
        <v>2</v>
      </c>
      <c r="F1377" t="str">
        <f>RAW_DATA!F1377</f>
        <v>Life Sciences</v>
      </c>
      <c r="G1377">
        <f>RAW_DATA!G1377</f>
        <v>1</v>
      </c>
      <c r="H1377">
        <f>RAW_DATA!H1377</f>
        <v>3</v>
      </c>
      <c r="I1377" t="str">
        <f>RAW_DATA!I1377</f>
        <v>Single</v>
      </c>
      <c r="J1377">
        <f>RAW_DATA!J1377</f>
        <v>2432</v>
      </c>
      <c r="K1377">
        <f>RAW_DATA!K1377</f>
        <v>3</v>
      </c>
      <c r="L1377">
        <f>RAW_DATA!L1377</f>
        <v>3</v>
      </c>
      <c r="M1377">
        <f>RAW_DATA!M1377</f>
        <v>4</v>
      </c>
      <c r="N1377">
        <f t="shared" si="42"/>
        <v>1</v>
      </c>
      <c r="O1377" t="str">
        <f xml:space="preserve"> VLOOKUP(A1377, Lookup_Tables!$G$2:$H$6,2,TRUE)</f>
        <v>25-34</v>
      </c>
      <c r="P1377" t="str">
        <f>_xlfn.XLOOKUP(J1377,Lookup_Tables!$J$2:$J$4,Lookup_Tables!$K$2:$K$4, " ",-1)</f>
        <v>Low</v>
      </c>
      <c r="Q1377" t="str">
        <f xml:space="preserve"> _xlfn.XLOOKUP(M1377, Lookup_Tables!$M$2:$M$5,Lookup_Tables!$N$2:$N$5," ", -1)</f>
        <v>Early (2-5)</v>
      </c>
      <c r="R1377" s="4">
        <f t="shared" si="43"/>
        <v>2.3333333333333335</v>
      </c>
      <c r="S1377" t="str">
        <f xml:space="preserve"> _xlfn.XLOOKUP( E1377, Lookup_Tables!$A$2:$A$6,Lookup_Tables!$B$2:$B$6," ", -1)</f>
        <v>College</v>
      </c>
      <c r="T1377" t="str">
        <f>_xlfn.XLOOKUP(G1377,Lookup_Tables!$D$2:$D$5,Lookup_Tables!$E$2:$E$5)</f>
        <v>Low</v>
      </c>
      <c r="U1377" t="str">
        <f>_xlfn.XLOOKUP(H1377,Lookup_Tables!$D$2:$D$5,Lookup_Tables!$E$2:$E$5)</f>
        <v>High</v>
      </c>
      <c r="V1377" t="str">
        <f>_xlfn.XLOOKUP(L1377,Lookup_Tables!$D$2:$D$5,Lookup_Tables!$E$2:$E$5)</f>
        <v>High</v>
      </c>
    </row>
    <row r="1378" spans="1:22">
      <c r="A1378">
        <f>RAW_DATA!A1378</f>
        <v>38</v>
      </c>
      <c r="B1378" t="str">
        <f>RAW_DATA!B1378</f>
        <v>No</v>
      </c>
      <c r="C1378" t="str">
        <f>RAW_DATA!C1378</f>
        <v>Research &amp; Development</v>
      </c>
      <c r="D1378">
        <f>RAW_DATA!D1378</f>
        <v>9</v>
      </c>
      <c r="E1378">
        <f>RAW_DATA!E1378</f>
        <v>2</v>
      </c>
      <c r="F1378" t="str">
        <f>RAW_DATA!F1378</f>
        <v>Life Sciences</v>
      </c>
      <c r="G1378">
        <f>RAW_DATA!G1378</f>
        <v>2</v>
      </c>
      <c r="H1378">
        <f>RAW_DATA!H1378</f>
        <v>4</v>
      </c>
      <c r="I1378" t="str">
        <f>RAW_DATA!I1378</f>
        <v>Divorced</v>
      </c>
      <c r="J1378">
        <f>RAW_DATA!J1378</f>
        <v>4771</v>
      </c>
      <c r="K1378">
        <f>RAW_DATA!K1378</f>
        <v>2</v>
      </c>
      <c r="L1378">
        <f>RAW_DATA!L1378</f>
        <v>4</v>
      </c>
      <c r="M1378">
        <f>RAW_DATA!M1378</f>
        <v>5</v>
      </c>
      <c r="N1378">
        <f t="shared" si="42"/>
        <v>0</v>
      </c>
      <c r="O1378" t="str">
        <f xml:space="preserve"> VLOOKUP(A1378, Lookup_Tables!$G$2:$H$6,2,TRUE)</f>
        <v>35-44</v>
      </c>
      <c r="P1378" t="str">
        <f>_xlfn.XLOOKUP(J1378,Lookup_Tables!$J$2:$J$4,Lookup_Tables!$K$2:$K$4, " ",-1)</f>
        <v>Medium</v>
      </c>
      <c r="Q1378" t="str">
        <f xml:space="preserve"> _xlfn.XLOOKUP(M1378, Lookup_Tables!$M$2:$M$5,Lookup_Tables!$N$2:$N$5," ", -1)</f>
        <v>Established (5-10)</v>
      </c>
      <c r="R1378" s="4">
        <f t="shared" si="43"/>
        <v>3.3333333333333335</v>
      </c>
      <c r="S1378" t="str">
        <f xml:space="preserve"> _xlfn.XLOOKUP( E1378, Lookup_Tables!$A$2:$A$6,Lookup_Tables!$B$2:$B$6," ", -1)</f>
        <v>College</v>
      </c>
      <c r="T1378" t="str">
        <f>_xlfn.XLOOKUP(G1378,Lookup_Tables!$D$2:$D$5,Lookup_Tables!$E$2:$E$5)</f>
        <v>Medium</v>
      </c>
      <c r="U1378" t="str">
        <f>_xlfn.XLOOKUP(H1378,Lookup_Tables!$D$2:$D$5,Lookup_Tables!$E$2:$E$5)</f>
        <v>Very High</v>
      </c>
      <c r="V1378" t="str">
        <f>_xlfn.XLOOKUP(L1378,Lookup_Tables!$D$2:$D$5,Lookup_Tables!$E$2:$E$5)</f>
        <v>Very High</v>
      </c>
    </row>
    <row r="1379" spans="1:22">
      <c r="A1379">
        <f>RAW_DATA!A1379</f>
        <v>49</v>
      </c>
      <c r="B1379" t="str">
        <f>RAW_DATA!B1379</f>
        <v>No</v>
      </c>
      <c r="C1379" t="str">
        <f>RAW_DATA!C1379</f>
        <v>Research &amp; Development</v>
      </c>
      <c r="D1379">
        <f>RAW_DATA!D1379</f>
        <v>2</v>
      </c>
      <c r="E1379">
        <f>RAW_DATA!E1379</f>
        <v>1</v>
      </c>
      <c r="F1379" t="str">
        <f>RAW_DATA!F1379</f>
        <v>Life Sciences</v>
      </c>
      <c r="G1379">
        <f>RAW_DATA!G1379</f>
        <v>2</v>
      </c>
      <c r="H1379">
        <f>RAW_DATA!H1379</f>
        <v>4</v>
      </c>
      <c r="I1379" t="str">
        <f>RAW_DATA!I1379</f>
        <v>Married</v>
      </c>
      <c r="J1379">
        <f>RAW_DATA!J1379</f>
        <v>19161</v>
      </c>
      <c r="K1379">
        <f>RAW_DATA!K1379</f>
        <v>3</v>
      </c>
      <c r="L1379">
        <f>RAW_DATA!L1379</f>
        <v>3</v>
      </c>
      <c r="M1379">
        <f>RAW_DATA!M1379</f>
        <v>5</v>
      </c>
      <c r="N1379">
        <f t="shared" si="42"/>
        <v>0</v>
      </c>
      <c r="O1379" t="str">
        <f xml:space="preserve"> VLOOKUP(A1379, Lookup_Tables!$G$2:$H$6,2,TRUE)</f>
        <v>45-54</v>
      </c>
      <c r="P1379" t="str">
        <f>_xlfn.XLOOKUP(J1379,Lookup_Tables!$J$2:$J$4,Lookup_Tables!$K$2:$K$4, " ",-1)</f>
        <v>High</v>
      </c>
      <c r="Q1379" t="str">
        <f xml:space="preserve"> _xlfn.XLOOKUP(M1379, Lookup_Tables!$M$2:$M$5,Lookup_Tables!$N$2:$N$5," ", -1)</f>
        <v>Established (5-10)</v>
      </c>
      <c r="R1379" s="4">
        <f t="shared" si="43"/>
        <v>3</v>
      </c>
      <c r="S1379" t="str">
        <f xml:space="preserve"> _xlfn.XLOOKUP( E1379, Lookup_Tables!$A$2:$A$6,Lookup_Tables!$B$2:$B$6," ", -1)</f>
        <v>Below College</v>
      </c>
      <c r="T1379" t="str">
        <f>_xlfn.XLOOKUP(G1379,Lookup_Tables!$D$2:$D$5,Lookup_Tables!$E$2:$E$5)</f>
        <v>Medium</v>
      </c>
      <c r="U1379" t="str">
        <f>_xlfn.XLOOKUP(H1379,Lookup_Tables!$D$2:$D$5,Lookup_Tables!$E$2:$E$5)</f>
        <v>Very High</v>
      </c>
      <c r="V1379" t="str">
        <f>_xlfn.XLOOKUP(L1379,Lookup_Tables!$D$2:$D$5,Lookup_Tables!$E$2:$E$5)</f>
        <v>High</v>
      </c>
    </row>
    <row r="1380" spans="1:22">
      <c r="A1380">
        <f>RAW_DATA!A1380</f>
        <v>42</v>
      </c>
      <c r="B1380" t="str">
        <f>RAW_DATA!B1380</f>
        <v>No</v>
      </c>
      <c r="C1380" t="str">
        <f>RAW_DATA!C1380</f>
        <v>Sales</v>
      </c>
      <c r="D1380">
        <f>RAW_DATA!D1380</f>
        <v>12</v>
      </c>
      <c r="E1380">
        <f>RAW_DATA!E1380</f>
        <v>4</v>
      </c>
      <c r="F1380" t="str">
        <f>RAW_DATA!F1380</f>
        <v>Marketing</v>
      </c>
      <c r="G1380">
        <f>RAW_DATA!G1380</f>
        <v>2</v>
      </c>
      <c r="H1380">
        <f>RAW_DATA!H1380</f>
        <v>4</v>
      </c>
      <c r="I1380" t="str">
        <f>RAW_DATA!I1380</f>
        <v>Divorced</v>
      </c>
      <c r="J1380">
        <f>RAW_DATA!J1380</f>
        <v>5087</v>
      </c>
      <c r="K1380">
        <f>RAW_DATA!K1380</f>
        <v>3</v>
      </c>
      <c r="L1380">
        <f>RAW_DATA!L1380</f>
        <v>3</v>
      </c>
      <c r="M1380">
        <f>RAW_DATA!M1380</f>
        <v>0</v>
      </c>
      <c r="N1380">
        <f t="shared" si="42"/>
        <v>0</v>
      </c>
      <c r="O1380" t="str">
        <f xml:space="preserve"> VLOOKUP(A1380, Lookup_Tables!$G$2:$H$6,2,TRUE)</f>
        <v>35-44</v>
      </c>
      <c r="P1380" t="str">
        <f>_xlfn.XLOOKUP(J1380,Lookup_Tables!$J$2:$J$4,Lookup_Tables!$K$2:$K$4, " ",-1)</f>
        <v>Medium</v>
      </c>
      <c r="Q1380" t="str">
        <f xml:space="preserve"> _xlfn.XLOOKUP(M1380, Lookup_Tables!$M$2:$M$5,Lookup_Tables!$N$2:$N$5," ", -1)</f>
        <v>New (0-2)</v>
      </c>
      <c r="R1380" s="4">
        <f t="shared" si="43"/>
        <v>3</v>
      </c>
      <c r="S1380" t="str">
        <f xml:space="preserve"> _xlfn.XLOOKUP( E1380, Lookup_Tables!$A$2:$A$6,Lookup_Tables!$B$2:$B$6," ", -1)</f>
        <v>Master</v>
      </c>
      <c r="T1380" t="str">
        <f>_xlfn.XLOOKUP(G1380,Lookup_Tables!$D$2:$D$5,Lookup_Tables!$E$2:$E$5)</f>
        <v>Medium</v>
      </c>
      <c r="U1380" t="str">
        <f>_xlfn.XLOOKUP(H1380,Lookup_Tables!$D$2:$D$5,Lookup_Tables!$E$2:$E$5)</f>
        <v>Very High</v>
      </c>
      <c r="V1380" t="str">
        <f>_xlfn.XLOOKUP(L1380,Lookup_Tables!$D$2:$D$5,Lookup_Tables!$E$2:$E$5)</f>
        <v>High</v>
      </c>
    </row>
    <row r="1381" spans="1:22">
      <c r="A1381">
        <f>RAW_DATA!A1381</f>
        <v>27</v>
      </c>
      <c r="B1381" t="str">
        <f>RAW_DATA!B1381</f>
        <v>Yes</v>
      </c>
      <c r="C1381" t="str">
        <f>RAW_DATA!C1381</f>
        <v>Human Resources</v>
      </c>
      <c r="D1381">
        <f>RAW_DATA!D1381</f>
        <v>22</v>
      </c>
      <c r="E1381">
        <f>RAW_DATA!E1381</f>
        <v>3</v>
      </c>
      <c r="F1381" t="str">
        <f>RAW_DATA!F1381</f>
        <v>Human Resources</v>
      </c>
      <c r="G1381">
        <f>RAW_DATA!G1381</f>
        <v>1</v>
      </c>
      <c r="H1381">
        <f>RAW_DATA!H1381</f>
        <v>2</v>
      </c>
      <c r="I1381" t="str">
        <f>RAW_DATA!I1381</f>
        <v>Married</v>
      </c>
      <c r="J1381">
        <f>RAW_DATA!J1381</f>
        <v>2863</v>
      </c>
      <c r="K1381">
        <f>RAW_DATA!K1381</f>
        <v>1</v>
      </c>
      <c r="L1381">
        <f>RAW_DATA!L1381</f>
        <v>3</v>
      </c>
      <c r="M1381">
        <f>RAW_DATA!M1381</f>
        <v>1</v>
      </c>
      <c r="N1381">
        <f t="shared" si="42"/>
        <v>1</v>
      </c>
      <c r="O1381" t="str">
        <f xml:space="preserve"> VLOOKUP(A1381, Lookup_Tables!$G$2:$H$6,2,TRUE)</f>
        <v>25-34</v>
      </c>
      <c r="P1381" t="str">
        <f>_xlfn.XLOOKUP(J1381,Lookup_Tables!$J$2:$J$4,Lookup_Tables!$K$2:$K$4, " ",-1)</f>
        <v>Low</v>
      </c>
      <c r="Q1381" t="str">
        <f xml:space="preserve"> _xlfn.XLOOKUP(M1381, Lookup_Tables!$M$2:$M$5,Lookup_Tables!$N$2:$N$5," ", -1)</f>
        <v>New (0-2)</v>
      </c>
      <c r="R1381" s="4">
        <f t="shared" si="43"/>
        <v>2</v>
      </c>
      <c r="S1381" t="str">
        <f xml:space="preserve"> _xlfn.XLOOKUP( E1381, Lookup_Tables!$A$2:$A$6,Lookup_Tables!$B$2:$B$6," ", -1)</f>
        <v>Bachelor</v>
      </c>
      <c r="T1381" t="str">
        <f>_xlfn.XLOOKUP(G1381,Lookup_Tables!$D$2:$D$5,Lookup_Tables!$E$2:$E$5)</f>
        <v>Low</v>
      </c>
      <c r="U1381" t="str">
        <f>_xlfn.XLOOKUP(H1381,Lookup_Tables!$D$2:$D$5,Lookup_Tables!$E$2:$E$5)</f>
        <v>Medium</v>
      </c>
      <c r="V1381" t="str">
        <f>_xlfn.XLOOKUP(L1381,Lookup_Tables!$D$2:$D$5,Lookup_Tables!$E$2:$E$5)</f>
        <v>High</v>
      </c>
    </row>
    <row r="1382" spans="1:22">
      <c r="A1382">
        <f>RAW_DATA!A1382</f>
        <v>35</v>
      </c>
      <c r="B1382" t="str">
        <f>RAW_DATA!B1382</f>
        <v>No</v>
      </c>
      <c r="C1382" t="str">
        <f>RAW_DATA!C1382</f>
        <v>Sales</v>
      </c>
      <c r="D1382">
        <f>RAW_DATA!D1382</f>
        <v>18</v>
      </c>
      <c r="E1382">
        <f>RAW_DATA!E1382</f>
        <v>4</v>
      </c>
      <c r="F1382" t="str">
        <f>RAW_DATA!F1382</f>
        <v>Medical</v>
      </c>
      <c r="G1382">
        <f>RAW_DATA!G1382</f>
        <v>2</v>
      </c>
      <c r="H1382">
        <f>RAW_DATA!H1382</f>
        <v>1</v>
      </c>
      <c r="I1382" t="str">
        <f>RAW_DATA!I1382</f>
        <v>Married</v>
      </c>
      <c r="J1382">
        <f>RAW_DATA!J1382</f>
        <v>5561</v>
      </c>
      <c r="K1382">
        <f>RAW_DATA!K1382</f>
        <v>0</v>
      </c>
      <c r="L1382">
        <f>RAW_DATA!L1382</f>
        <v>1</v>
      </c>
      <c r="M1382">
        <f>RAW_DATA!M1382</f>
        <v>5</v>
      </c>
      <c r="N1382">
        <f t="shared" si="42"/>
        <v>0</v>
      </c>
      <c r="O1382" t="str">
        <f xml:space="preserve"> VLOOKUP(A1382, Lookup_Tables!$G$2:$H$6,2,TRUE)</f>
        <v>35-44</v>
      </c>
      <c r="P1382" t="str">
        <f>_xlfn.XLOOKUP(J1382,Lookup_Tables!$J$2:$J$4,Lookup_Tables!$K$2:$K$4, " ",-1)</f>
        <v>Medium</v>
      </c>
      <c r="Q1382" t="str">
        <f xml:space="preserve"> _xlfn.XLOOKUP(M1382, Lookup_Tables!$M$2:$M$5,Lookup_Tables!$N$2:$N$5," ", -1)</f>
        <v>Established (5-10)</v>
      </c>
      <c r="R1382" s="4">
        <f t="shared" si="43"/>
        <v>1.3333333333333333</v>
      </c>
      <c r="S1382" t="str">
        <f xml:space="preserve"> _xlfn.XLOOKUP( E1382, Lookup_Tables!$A$2:$A$6,Lookup_Tables!$B$2:$B$6," ", -1)</f>
        <v>Master</v>
      </c>
      <c r="T1382" t="str">
        <f>_xlfn.XLOOKUP(G1382,Lookup_Tables!$D$2:$D$5,Lookup_Tables!$E$2:$E$5)</f>
        <v>Medium</v>
      </c>
      <c r="U1382" t="str">
        <f>_xlfn.XLOOKUP(H1382,Lookup_Tables!$D$2:$D$5,Lookup_Tables!$E$2:$E$5)</f>
        <v>Low</v>
      </c>
      <c r="V1382" t="str">
        <f>_xlfn.XLOOKUP(L1382,Lookup_Tables!$D$2:$D$5,Lookup_Tables!$E$2:$E$5)</f>
        <v>Low</v>
      </c>
    </row>
    <row r="1383" spans="1:22">
      <c r="A1383">
        <f>RAW_DATA!A1383</f>
        <v>28</v>
      </c>
      <c r="B1383" t="str">
        <f>RAW_DATA!B1383</f>
        <v>No</v>
      </c>
      <c r="C1383" t="str">
        <f>RAW_DATA!C1383</f>
        <v>Research &amp; Development</v>
      </c>
      <c r="D1383">
        <f>RAW_DATA!D1383</f>
        <v>16</v>
      </c>
      <c r="E1383">
        <f>RAW_DATA!E1383</f>
        <v>3</v>
      </c>
      <c r="F1383" t="str">
        <f>RAW_DATA!F1383</f>
        <v>Medical</v>
      </c>
      <c r="G1383">
        <f>RAW_DATA!G1383</f>
        <v>3</v>
      </c>
      <c r="H1383">
        <f>RAW_DATA!H1383</f>
        <v>3</v>
      </c>
      <c r="I1383" t="str">
        <f>RAW_DATA!I1383</f>
        <v>Single</v>
      </c>
      <c r="J1383">
        <f>RAW_DATA!J1383</f>
        <v>2144</v>
      </c>
      <c r="K1383">
        <f>RAW_DATA!K1383</f>
        <v>1</v>
      </c>
      <c r="L1383">
        <f>RAW_DATA!L1383</f>
        <v>2</v>
      </c>
      <c r="M1383">
        <f>RAW_DATA!M1383</f>
        <v>5</v>
      </c>
      <c r="N1383">
        <f t="shared" si="42"/>
        <v>0</v>
      </c>
      <c r="O1383" t="str">
        <f xml:space="preserve"> VLOOKUP(A1383, Lookup_Tables!$G$2:$H$6,2,TRUE)</f>
        <v>25-34</v>
      </c>
      <c r="P1383" t="str">
        <f>_xlfn.XLOOKUP(J1383,Lookup_Tables!$J$2:$J$4,Lookup_Tables!$K$2:$K$4, " ",-1)</f>
        <v>Low</v>
      </c>
      <c r="Q1383" t="str">
        <f xml:space="preserve"> _xlfn.XLOOKUP(M1383, Lookup_Tables!$M$2:$M$5,Lookup_Tables!$N$2:$N$5," ", -1)</f>
        <v>Established (5-10)</v>
      </c>
      <c r="R1383" s="4">
        <f t="shared" si="43"/>
        <v>2.6666666666666665</v>
      </c>
      <c r="S1383" t="str">
        <f xml:space="preserve"> _xlfn.XLOOKUP( E1383, Lookup_Tables!$A$2:$A$6,Lookup_Tables!$B$2:$B$6," ", -1)</f>
        <v>Bachelor</v>
      </c>
      <c r="T1383" t="str">
        <f>_xlfn.XLOOKUP(G1383,Lookup_Tables!$D$2:$D$5,Lookup_Tables!$E$2:$E$5)</f>
        <v>High</v>
      </c>
      <c r="U1383" t="str">
        <f>_xlfn.XLOOKUP(H1383,Lookup_Tables!$D$2:$D$5,Lookup_Tables!$E$2:$E$5)</f>
        <v>High</v>
      </c>
      <c r="V1383" t="str">
        <f>_xlfn.XLOOKUP(L1383,Lookup_Tables!$D$2:$D$5,Lookup_Tables!$E$2:$E$5)</f>
        <v>Medium</v>
      </c>
    </row>
    <row r="1384" spans="1:22">
      <c r="A1384">
        <f>RAW_DATA!A1384</f>
        <v>31</v>
      </c>
      <c r="B1384" t="str">
        <f>RAW_DATA!B1384</f>
        <v>No</v>
      </c>
      <c r="C1384" t="str">
        <f>RAW_DATA!C1384</f>
        <v>Research &amp; Development</v>
      </c>
      <c r="D1384">
        <f>RAW_DATA!D1384</f>
        <v>3</v>
      </c>
      <c r="E1384">
        <f>RAW_DATA!E1384</f>
        <v>2</v>
      </c>
      <c r="F1384" t="str">
        <f>RAW_DATA!F1384</f>
        <v>Medical</v>
      </c>
      <c r="G1384">
        <f>RAW_DATA!G1384</f>
        <v>3</v>
      </c>
      <c r="H1384">
        <f>RAW_DATA!H1384</f>
        <v>1</v>
      </c>
      <c r="I1384" t="str">
        <f>RAW_DATA!I1384</f>
        <v>Divorced</v>
      </c>
      <c r="J1384">
        <f>RAW_DATA!J1384</f>
        <v>3065</v>
      </c>
      <c r="K1384">
        <f>RAW_DATA!K1384</f>
        <v>1</v>
      </c>
      <c r="L1384">
        <f>RAW_DATA!L1384</f>
        <v>4</v>
      </c>
      <c r="M1384">
        <f>RAW_DATA!M1384</f>
        <v>4</v>
      </c>
      <c r="N1384">
        <f t="shared" si="42"/>
        <v>0</v>
      </c>
      <c r="O1384" t="str">
        <f xml:space="preserve"> VLOOKUP(A1384, Lookup_Tables!$G$2:$H$6,2,TRUE)</f>
        <v>25-34</v>
      </c>
      <c r="P1384" t="str">
        <f>_xlfn.XLOOKUP(J1384,Lookup_Tables!$J$2:$J$4,Lookup_Tables!$K$2:$K$4, " ",-1)</f>
        <v>Medium</v>
      </c>
      <c r="Q1384" t="str">
        <f xml:space="preserve"> _xlfn.XLOOKUP(M1384, Lookup_Tables!$M$2:$M$5,Lookup_Tables!$N$2:$N$5," ", -1)</f>
        <v>Early (2-5)</v>
      </c>
      <c r="R1384" s="4">
        <f t="shared" si="43"/>
        <v>2.6666666666666665</v>
      </c>
      <c r="S1384" t="str">
        <f xml:space="preserve"> _xlfn.XLOOKUP( E1384, Lookup_Tables!$A$2:$A$6,Lookup_Tables!$B$2:$B$6," ", -1)</f>
        <v>College</v>
      </c>
      <c r="T1384" t="str">
        <f>_xlfn.XLOOKUP(G1384,Lookup_Tables!$D$2:$D$5,Lookup_Tables!$E$2:$E$5)</f>
        <v>High</v>
      </c>
      <c r="U1384" t="str">
        <f>_xlfn.XLOOKUP(H1384,Lookup_Tables!$D$2:$D$5,Lookup_Tables!$E$2:$E$5)</f>
        <v>Low</v>
      </c>
      <c r="V1384" t="str">
        <f>_xlfn.XLOOKUP(L1384,Lookup_Tables!$D$2:$D$5,Lookup_Tables!$E$2:$E$5)</f>
        <v>Very High</v>
      </c>
    </row>
    <row r="1385" spans="1:22">
      <c r="A1385">
        <f>RAW_DATA!A1385</f>
        <v>36</v>
      </c>
      <c r="B1385" t="str">
        <f>RAW_DATA!B1385</f>
        <v>No</v>
      </c>
      <c r="C1385" t="str">
        <f>RAW_DATA!C1385</f>
        <v>Research &amp; Development</v>
      </c>
      <c r="D1385">
        <f>RAW_DATA!D1385</f>
        <v>9</v>
      </c>
      <c r="E1385">
        <f>RAW_DATA!E1385</f>
        <v>4</v>
      </c>
      <c r="F1385" t="str">
        <f>RAW_DATA!F1385</f>
        <v>Life Sciences</v>
      </c>
      <c r="G1385">
        <f>RAW_DATA!G1385</f>
        <v>1</v>
      </c>
      <c r="H1385">
        <f>RAW_DATA!H1385</f>
        <v>2</v>
      </c>
      <c r="I1385" t="str">
        <f>RAW_DATA!I1385</f>
        <v>Married</v>
      </c>
      <c r="J1385">
        <f>RAW_DATA!J1385</f>
        <v>2810</v>
      </c>
      <c r="K1385">
        <f>RAW_DATA!K1385</f>
        <v>1</v>
      </c>
      <c r="L1385">
        <f>RAW_DATA!L1385</f>
        <v>3</v>
      </c>
      <c r="M1385">
        <f>RAW_DATA!M1385</f>
        <v>5</v>
      </c>
      <c r="N1385">
        <f t="shared" si="42"/>
        <v>0</v>
      </c>
      <c r="O1385" t="str">
        <f xml:space="preserve"> VLOOKUP(A1385, Lookup_Tables!$G$2:$H$6,2,TRUE)</f>
        <v>35-44</v>
      </c>
      <c r="P1385" t="str">
        <f>_xlfn.XLOOKUP(J1385,Lookup_Tables!$J$2:$J$4,Lookup_Tables!$K$2:$K$4, " ",-1)</f>
        <v>Low</v>
      </c>
      <c r="Q1385" t="str">
        <f xml:space="preserve"> _xlfn.XLOOKUP(M1385, Lookup_Tables!$M$2:$M$5,Lookup_Tables!$N$2:$N$5," ", -1)</f>
        <v>Established (5-10)</v>
      </c>
      <c r="R1385" s="4">
        <f t="shared" si="43"/>
        <v>2</v>
      </c>
      <c r="S1385" t="str">
        <f xml:space="preserve"> _xlfn.XLOOKUP( E1385, Lookup_Tables!$A$2:$A$6,Lookup_Tables!$B$2:$B$6," ", -1)</f>
        <v>Master</v>
      </c>
      <c r="T1385" t="str">
        <f>_xlfn.XLOOKUP(G1385,Lookup_Tables!$D$2:$D$5,Lookup_Tables!$E$2:$E$5)</f>
        <v>Low</v>
      </c>
      <c r="U1385" t="str">
        <f>_xlfn.XLOOKUP(H1385,Lookup_Tables!$D$2:$D$5,Lookup_Tables!$E$2:$E$5)</f>
        <v>Medium</v>
      </c>
      <c r="V1385" t="str">
        <f>_xlfn.XLOOKUP(L1385,Lookup_Tables!$D$2:$D$5,Lookup_Tables!$E$2:$E$5)</f>
        <v>High</v>
      </c>
    </row>
    <row r="1386" spans="1:22">
      <c r="A1386">
        <f>RAW_DATA!A1386</f>
        <v>34</v>
      </c>
      <c r="B1386" t="str">
        <f>RAW_DATA!B1386</f>
        <v>No</v>
      </c>
      <c r="C1386" t="str">
        <f>RAW_DATA!C1386</f>
        <v>Sales</v>
      </c>
      <c r="D1386">
        <f>RAW_DATA!D1386</f>
        <v>1</v>
      </c>
      <c r="E1386">
        <f>RAW_DATA!E1386</f>
        <v>3</v>
      </c>
      <c r="F1386" t="str">
        <f>RAW_DATA!F1386</f>
        <v>Marketing</v>
      </c>
      <c r="G1386">
        <f>RAW_DATA!G1386</f>
        <v>1</v>
      </c>
      <c r="H1386">
        <f>RAW_DATA!H1386</f>
        <v>4</v>
      </c>
      <c r="I1386" t="str">
        <f>RAW_DATA!I1386</f>
        <v>Single</v>
      </c>
      <c r="J1386">
        <f>RAW_DATA!J1386</f>
        <v>9888</v>
      </c>
      <c r="K1386">
        <f>RAW_DATA!K1386</f>
        <v>1</v>
      </c>
      <c r="L1386">
        <f>RAW_DATA!L1386</f>
        <v>2</v>
      </c>
      <c r="M1386">
        <f>RAW_DATA!M1386</f>
        <v>14</v>
      </c>
      <c r="N1386">
        <f t="shared" si="42"/>
        <v>0</v>
      </c>
      <c r="O1386" t="str">
        <f xml:space="preserve"> VLOOKUP(A1386, Lookup_Tables!$G$2:$H$6,2,TRUE)</f>
        <v>25-34</v>
      </c>
      <c r="P1386" t="str">
        <f>_xlfn.XLOOKUP(J1386,Lookup_Tables!$J$2:$J$4,Lookup_Tables!$K$2:$K$4, " ",-1)</f>
        <v>High</v>
      </c>
      <c r="Q1386" t="str">
        <f xml:space="preserve"> _xlfn.XLOOKUP(M1386, Lookup_Tables!$M$2:$M$5,Lookup_Tables!$N$2:$N$5," ", -1)</f>
        <v>Veteran (10+)</v>
      </c>
      <c r="R1386" s="4">
        <f t="shared" si="43"/>
        <v>2.3333333333333335</v>
      </c>
      <c r="S1386" t="str">
        <f xml:space="preserve"> _xlfn.XLOOKUP( E1386, Lookup_Tables!$A$2:$A$6,Lookup_Tables!$B$2:$B$6," ", -1)</f>
        <v>Bachelor</v>
      </c>
      <c r="T1386" t="str">
        <f>_xlfn.XLOOKUP(G1386,Lookup_Tables!$D$2:$D$5,Lookup_Tables!$E$2:$E$5)</f>
        <v>Low</v>
      </c>
      <c r="U1386" t="str">
        <f>_xlfn.XLOOKUP(H1386,Lookup_Tables!$D$2:$D$5,Lookup_Tables!$E$2:$E$5)</f>
        <v>Very High</v>
      </c>
      <c r="V1386" t="str">
        <f>_xlfn.XLOOKUP(L1386,Lookup_Tables!$D$2:$D$5,Lookup_Tables!$E$2:$E$5)</f>
        <v>Medium</v>
      </c>
    </row>
    <row r="1387" spans="1:22">
      <c r="A1387">
        <f>RAW_DATA!A1387</f>
        <v>34</v>
      </c>
      <c r="B1387" t="str">
        <f>RAW_DATA!B1387</f>
        <v>No</v>
      </c>
      <c r="C1387" t="str">
        <f>RAW_DATA!C1387</f>
        <v>Sales</v>
      </c>
      <c r="D1387">
        <f>RAW_DATA!D1387</f>
        <v>13</v>
      </c>
      <c r="E1387">
        <f>RAW_DATA!E1387</f>
        <v>4</v>
      </c>
      <c r="F1387" t="str">
        <f>RAW_DATA!F1387</f>
        <v>Medical</v>
      </c>
      <c r="G1387">
        <f>RAW_DATA!G1387</f>
        <v>4</v>
      </c>
      <c r="H1387">
        <f>RAW_DATA!H1387</f>
        <v>3</v>
      </c>
      <c r="I1387" t="str">
        <f>RAW_DATA!I1387</f>
        <v>Divorced</v>
      </c>
      <c r="J1387">
        <f>RAW_DATA!J1387</f>
        <v>8628</v>
      </c>
      <c r="K1387">
        <f>RAW_DATA!K1387</f>
        <v>1</v>
      </c>
      <c r="L1387">
        <f>RAW_DATA!L1387</f>
        <v>2</v>
      </c>
      <c r="M1387">
        <f>RAW_DATA!M1387</f>
        <v>8</v>
      </c>
      <c r="N1387">
        <f t="shared" si="42"/>
        <v>0</v>
      </c>
      <c r="O1387" t="str">
        <f xml:space="preserve"> VLOOKUP(A1387, Lookup_Tables!$G$2:$H$6,2,TRUE)</f>
        <v>25-34</v>
      </c>
      <c r="P1387" t="str">
        <f>_xlfn.XLOOKUP(J1387,Lookup_Tables!$J$2:$J$4,Lookup_Tables!$K$2:$K$4, " ",-1)</f>
        <v>High</v>
      </c>
      <c r="Q1387" t="str">
        <f xml:space="preserve"> _xlfn.XLOOKUP(M1387, Lookup_Tables!$M$2:$M$5,Lookup_Tables!$N$2:$N$5," ", -1)</f>
        <v>Established (5-10)</v>
      </c>
      <c r="R1387" s="4">
        <f t="shared" si="43"/>
        <v>3</v>
      </c>
      <c r="S1387" t="str">
        <f xml:space="preserve"> _xlfn.XLOOKUP( E1387, Lookup_Tables!$A$2:$A$6,Lookup_Tables!$B$2:$B$6," ", -1)</f>
        <v>Master</v>
      </c>
      <c r="T1387" t="str">
        <f>_xlfn.XLOOKUP(G1387,Lookup_Tables!$D$2:$D$5,Lookup_Tables!$E$2:$E$5)</f>
        <v>Very High</v>
      </c>
      <c r="U1387" t="str">
        <f>_xlfn.XLOOKUP(H1387,Lookup_Tables!$D$2:$D$5,Lookup_Tables!$E$2:$E$5)</f>
        <v>High</v>
      </c>
      <c r="V1387" t="str">
        <f>_xlfn.XLOOKUP(L1387,Lookup_Tables!$D$2:$D$5,Lookup_Tables!$E$2:$E$5)</f>
        <v>Medium</v>
      </c>
    </row>
    <row r="1388" spans="1:22">
      <c r="A1388">
        <f>RAW_DATA!A1388</f>
        <v>26</v>
      </c>
      <c r="B1388" t="str">
        <f>RAW_DATA!B1388</f>
        <v>No</v>
      </c>
      <c r="C1388" t="str">
        <f>RAW_DATA!C1388</f>
        <v>Research &amp; Development</v>
      </c>
      <c r="D1388">
        <f>RAW_DATA!D1388</f>
        <v>1</v>
      </c>
      <c r="E1388">
        <f>RAW_DATA!E1388</f>
        <v>3</v>
      </c>
      <c r="F1388" t="str">
        <f>RAW_DATA!F1388</f>
        <v>Medical</v>
      </c>
      <c r="G1388">
        <f>RAW_DATA!G1388</f>
        <v>3</v>
      </c>
      <c r="H1388">
        <f>RAW_DATA!H1388</f>
        <v>1</v>
      </c>
      <c r="I1388" t="str">
        <f>RAW_DATA!I1388</f>
        <v>Single</v>
      </c>
      <c r="J1388">
        <f>RAW_DATA!J1388</f>
        <v>2867</v>
      </c>
      <c r="K1388">
        <f>RAW_DATA!K1388</f>
        <v>0</v>
      </c>
      <c r="L1388">
        <f>RAW_DATA!L1388</f>
        <v>2</v>
      </c>
      <c r="M1388">
        <f>RAW_DATA!M1388</f>
        <v>7</v>
      </c>
      <c r="N1388">
        <f t="shared" si="42"/>
        <v>0</v>
      </c>
      <c r="O1388" t="str">
        <f xml:space="preserve"> VLOOKUP(A1388, Lookup_Tables!$G$2:$H$6,2,TRUE)</f>
        <v>25-34</v>
      </c>
      <c r="P1388" t="str">
        <f>_xlfn.XLOOKUP(J1388,Lookup_Tables!$J$2:$J$4,Lookup_Tables!$K$2:$K$4, " ",-1)</f>
        <v>Low</v>
      </c>
      <c r="Q1388" t="str">
        <f xml:space="preserve"> _xlfn.XLOOKUP(M1388, Lookup_Tables!$M$2:$M$5,Lookup_Tables!$N$2:$N$5," ", -1)</f>
        <v>Established (5-10)</v>
      </c>
      <c r="R1388" s="4">
        <f t="shared" si="43"/>
        <v>2</v>
      </c>
      <c r="S1388" t="str">
        <f xml:space="preserve"> _xlfn.XLOOKUP( E1388, Lookup_Tables!$A$2:$A$6,Lookup_Tables!$B$2:$B$6," ", -1)</f>
        <v>Bachelor</v>
      </c>
      <c r="T1388" t="str">
        <f>_xlfn.XLOOKUP(G1388,Lookup_Tables!$D$2:$D$5,Lookup_Tables!$E$2:$E$5)</f>
        <v>High</v>
      </c>
      <c r="U1388" t="str">
        <f>_xlfn.XLOOKUP(H1388,Lookup_Tables!$D$2:$D$5,Lookup_Tables!$E$2:$E$5)</f>
        <v>Low</v>
      </c>
      <c r="V1388" t="str">
        <f>_xlfn.XLOOKUP(L1388,Lookup_Tables!$D$2:$D$5,Lookup_Tables!$E$2:$E$5)</f>
        <v>Medium</v>
      </c>
    </row>
    <row r="1389" spans="1:22">
      <c r="A1389">
        <f>RAW_DATA!A1389</f>
        <v>29</v>
      </c>
      <c r="B1389" t="str">
        <f>RAW_DATA!B1389</f>
        <v>No</v>
      </c>
      <c r="C1389" t="str">
        <f>RAW_DATA!C1389</f>
        <v>Research &amp; Development</v>
      </c>
      <c r="D1389">
        <f>RAW_DATA!D1389</f>
        <v>1</v>
      </c>
      <c r="E1389">
        <f>RAW_DATA!E1389</f>
        <v>3</v>
      </c>
      <c r="F1389" t="str">
        <f>RAW_DATA!F1389</f>
        <v>Life Sciences</v>
      </c>
      <c r="G1389">
        <f>RAW_DATA!G1389</f>
        <v>1</v>
      </c>
      <c r="H1389">
        <f>RAW_DATA!H1389</f>
        <v>1</v>
      </c>
      <c r="I1389" t="str">
        <f>RAW_DATA!I1389</f>
        <v>Married</v>
      </c>
      <c r="J1389">
        <f>RAW_DATA!J1389</f>
        <v>5373</v>
      </c>
      <c r="K1389">
        <f>RAW_DATA!K1389</f>
        <v>0</v>
      </c>
      <c r="L1389">
        <f>RAW_DATA!L1389</f>
        <v>2</v>
      </c>
      <c r="M1389">
        <f>RAW_DATA!M1389</f>
        <v>5</v>
      </c>
      <c r="N1389">
        <f t="shared" si="42"/>
        <v>0</v>
      </c>
      <c r="O1389" t="str">
        <f xml:space="preserve"> VLOOKUP(A1389, Lookup_Tables!$G$2:$H$6,2,TRUE)</f>
        <v>25-34</v>
      </c>
      <c r="P1389" t="str">
        <f>_xlfn.XLOOKUP(J1389,Lookup_Tables!$J$2:$J$4,Lookup_Tables!$K$2:$K$4, " ",-1)</f>
        <v>Medium</v>
      </c>
      <c r="Q1389" t="str">
        <f xml:space="preserve"> _xlfn.XLOOKUP(M1389, Lookup_Tables!$M$2:$M$5,Lookup_Tables!$N$2:$N$5," ", -1)</f>
        <v>Established (5-10)</v>
      </c>
      <c r="R1389" s="4">
        <f t="shared" si="43"/>
        <v>1.3333333333333333</v>
      </c>
      <c r="S1389" t="str">
        <f xml:space="preserve"> _xlfn.XLOOKUP( E1389, Lookup_Tables!$A$2:$A$6,Lookup_Tables!$B$2:$B$6," ", -1)</f>
        <v>Bachelor</v>
      </c>
      <c r="T1389" t="str">
        <f>_xlfn.XLOOKUP(G1389,Lookup_Tables!$D$2:$D$5,Lookup_Tables!$E$2:$E$5)</f>
        <v>Low</v>
      </c>
      <c r="U1389" t="str">
        <f>_xlfn.XLOOKUP(H1389,Lookup_Tables!$D$2:$D$5,Lookup_Tables!$E$2:$E$5)</f>
        <v>Low</v>
      </c>
      <c r="V1389" t="str">
        <f>_xlfn.XLOOKUP(L1389,Lookup_Tables!$D$2:$D$5,Lookup_Tables!$E$2:$E$5)</f>
        <v>Medium</v>
      </c>
    </row>
    <row r="1390" spans="1:22">
      <c r="A1390">
        <f>RAW_DATA!A1390</f>
        <v>32</v>
      </c>
      <c r="B1390" t="str">
        <f>RAW_DATA!B1390</f>
        <v>No</v>
      </c>
      <c r="C1390" t="str">
        <f>RAW_DATA!C1390</f>
        <v>Research &amp; Development</v>
      </c>
      <c r="D1390">
        <f>RAW_DATA!D1390</f>
        <v>15</v>
      </c>
      <c r="E1390">
        <f>RAW_DATA!E1390</f>
        <v>4</v>
      </c>
      <c r="F1390" t="str">
        <f>RAW_DATA!F1390</f>
        <v>Medical</v>
      </c>
      <c r="G1390">
        <f>RAW_DATA!G1390</f>
        <v>3</v>
      </c>
      <c r="H1390">
        <f>RAW_DATA!H1390</f>
        <v>4</v>
      </c>
      <c r="I1390" t="str">
        <f>RAW_DATA!I1390</f>
        <v>Divorced</v>
      </c>
      <c r="J1390">
        <f>RAW_DATA!J1390</f>
        <v>6667</v>
      </c>
      <c r="K1390">
        <f>RAW_DATA!K1390</f>
        <v>5</v>
      </c>
      <c r="L1390">
        <f>RAW_DATA!L1390</f>
        <v>3</v>
      </c>
      <c r="M1390">
        <f>RAW_DATA!M1390</f>
        <v>5</v>
      </c>
      <c r="N1390">
        <f t="shared" si="42"/>
        <v>0</v>
      </c>
      <c r="O1390" t="str">
        <f xml:space="preserve"> VLOOKUP(A1390, Lookup_Tables!$G$2:$H$6,2,TRUE)</f>
        <v>25-34</v>
      </c>
      <c r="P1390" t="str">
        <f>_xlfn.XLOOKUP(J1390,Lookup_Tables!$J$2:$J$4,Lookup_Tables!$K$2:$K$4, " ",-1)</f>
        <v>Medium</v>
      </c>
      <c r="Q1390" t="str">
        <f xml:space="preserve"> _xlfn.XLOOKUP(M1390, Lookup_Tables!$M$2:$M$5,Lookup_Tables!$N$2:$N$5," ", -1)</f>
        <v>Established (5-10)</v>
      </c>
      <c r="R1390" s="4">
        <f t="shared" si="43"/>
        <v>3.3333333333333335</v>
      </c>
      <c r="S1390" t="str">
        <f xml:space="preserve"> _xlfn.XLOOKUP( E1390, Lookup_Tables!$A$2:$A$6,Lookup_Tables!$B$2:$B$6," ", -1)</f>
        <v>Master</v>
      </c>
      <c r="T1390" t="str">
        <f>_xlfn.XLOOKUP(G1390,Lookup_Tables!$D$2:$D$5,Lookup_Tables!$E$2:$E$5)</f>
        <v>High</v>
      </c>
      <c r="U1390" t="str">
        <f>_xlfn.XLOOKUP(H1390,Lookup_Tables!$D$2:$D$5,Lookup_Tables!$E$2:$E$5)</f>
        <v>Very High</v>
      </c>
      <c r="V1390" t="str">
        <f>_xlfn.XLOOKUP(L1390,Lookup_Tables!$D$2:$D$5,Lookup_Tables!$E$2:$E$5)</f>
        <v>High</v>
      </c>
    </row>
    <row r="1391" spans="1:22">
      <c r="A1391">
        <f>RAW_DATA!A1391</f>
        <v>31</v>
      </c>
      <c r="B1391" t="str">
        <f>RAW_DATA!B1391</f>
        <v>No</v>
      </c>
      <c r="C1391" t="str">
        <f>RAW_DATA!C1391</f>
        <v>Research &amp; Development</v>
      </c>
      <c r="D1391">
        <f>RAW_DATA!D1391</f>
        <v>1</v>
      </c>
      <c r="E1391">
        <f>RAW_DATA!E1391</f>
        <v>3</v>
      </c>
      <c r="F1391" t="str">
        <f>RAW_DATA!F1391</f>
        <v>Life Sciences</v>
      </c>
      <c r="G1391">
        <f>RAW_DATA!G1391</f>
        <v>4</v>
      </c>
      <c r="H1391">
        <f>RAW_DATA!H1391</f>
        <v>1</v>
      </c>
      <c r="I1391" t="str">
        <f>RAW_DATA!I1391</f>
        <v>Married</v>
      </c>
      <c r="J1391">
        <f>RAW_DATA!J1391</f>
        <v>5003</v>
      </c>
      <c r="K1391">
        <f>RAW_DATA!K1391</f>
        <v>1</v>
      </c>
      <c r="L1391">
        <f>RAW_DATA!L1391</f>
        <v>3</v>
      </c>
      <c r="M1391">
        <f>RAW_DATA!M1391</f>
        <v>10</v>
      </c>
      <c r="N1391">
        <f t="shared" si="42"/>
        <v>0</v>
      </c>
      <c r="O1391" t="str">
        <f xml:space="preserve"> VLOOKUP(A1391, Lookup_Tables!$G$2:$H$6,2,TRUE)</f>
        <v>25-34</v>
      </c>
      <c r="P1391" t="str">
        <f>_xlfn.XLOOKUP(J1391,Lookup_Tables!$J$2:$J$4,Lookup_Tables!$K$2:$K$4, " ",-1)</f>
        <v>Medium</v>
      </c>
      <c r="Q1391" t="str">
        <f xml:space="preserve"> _xlfn.XLOOKUP(M1391, Lookup_Tables!$M$2:$M$5,Lookup_Tables!$N$2:$N$5," ", -1)</f>
        <v>Veteran (10+)</v>
      </c>
      <c r="R1391" s="4">
        <f t="shared" si="43"/>
        <v>2.6666666666666665</v>
      </c>
      <c r="S1391" t="str">
        <f xml:space="preserve"> _xlfn.XLOOKUP( E1391, Lookup_Tables!$A$2:$A$6,Lookup_Tables!$B$2:$B$6," ", -1)</f>
        <v>Bachelor</v>
      </c>
      <c r="T1391" t="str">
        <f>_xlfn.XLOOKUP(G1391,Lookup_Tables!$D$2:$D$5,Lookup_Tables!$E$2:$E$5)</f>
        <v>Very High</v>
      </c>
      <c r="U1391" t="str">
        <f>_xlfn.XLOOKUP(H1391,Lookup_Tables!$D$2:$D$5,Lookup_Tables!$E$2:$E$5)</f>
        <v>Low</v>
      </c>
      <c r="V1391" t="str">
        <f>_xlfn.XLOOKUP(L1391,Lookup_Tables!$D$2:$D$5,Lookup_Tables!$E$2:$E$5)</f>
        <v>High</v>
      </c>
    </row>
    <row r="1392" spans="1:22">
      <c r="A1392">
        <f>RAW_DATA!A1392</f>
        <v>28</v>
      </c>
      <c r="B1392" t="str">
        <f>RAW_DATA!B1392</f>
        <v>Yes</v>
      </c>
      <c r="C1392" t="str">
        <f>RAW_DATA!C1392</f>
        <v>Research &amp; Development</v>
      </c>
      <c r="D1392">
        <f>RAW_DATA!D1392</f>
        <v>17</v>
      </c>
      <c r="E1392">
        <f>RAW_DATA!E1392</f>
        <v>3</v>
      </c>
      <c r="F1392" t="str">
        <f>RAW_DATA!F1392</f>
        <v>Technical Degree</v>
      </c>
      <c r="G1392">
        <f>RAW_DATA!G1392</f>
        <v>3</v>
      </c>
      <c r="H1392">
        <f>RAW_DATA!H1392</f>
        <v>4</v>
      </c>
      <c r="I1392" t="str">
        <f>RAW_DATA!I1392</f>
        <v>Divorced</v>
      </c>
      <c r="J1392">
        <f>RAW_DATA!J1392</f>
        <v>2367</v>
      </c>
      <c r="K1392">
        <f>RAW_DATA!K1392</f>
        <v>5</v>
      </c>
      <c r="L1392">
        <f>RAW_DATA!L1392</f>
        <v>2</v>
      </c>
      <c r="M1392">
        <f>RAW_DATA!M1392</f>
        <v>4</v>
      </c>
      <c r="N1392">
        <f t="shared" si="42"/>
        <v>1</v>
      </c>
      <c r="O1392" t="str">
        <f xml:space="preserve"> VLOOKUP(A1392, Lookup_Tables!$G$2:$H$6,2,TRUE)</f>
        <v>25-34</v>
      </c>
      <c r="P1392" t="str">
        <f>_xlfn.XLOOKUP(J1392,Lookup_Tables!$J$2:$J$4,Lookup_Tables!$K$2:$K$4, " ",-1)</f>
        <v>Low</v>
      </c>
      <c r="Q1392" t="str">
        <f xml:space="preserve"> _xlfn.XLOOKUP(M1392, Lookup_Tables!$M$2:$M$5,Lookup_Tables!$N$2:$N$5," ", -1)</f>
        <v>Early (2-5)</v>
      </c>
      <c r="R1392" s="4">
        <f t="shared" si="43"/>
        <v>3</v>
      </c>
      <c r="S1392" t="str">
        <f xml:space="preserve"> _xlfn.XLOOKUP( E1392, Lookup_Tables!$A$2:$A$6,Lookup_Tables!$B$2:$B$6," ", -1)</f>
        <v>Bachelor</v>
      </c>
      <c r="T1392" t="str">
        <f>_xlfn.XLOOKUP(G1392,Lookup_Tables!$D$2:$D$5,Lookup_Tables!$E$2:$E$5)</f>
        <v>High</v>
      </c>
      <c r="U1392" t="str">
        <f>_xlfn.XLOOKUP(H1392,Lookup_Tables!$D$2:$D$5,Lookup_Tables!$E$2:$E$5)</f>
        <v>Very High</v>
      </c>
      <c r="V1392" t="str">
        <f>_xlfn.XLOOKUP(L1392,Lookup_Tables!$D$2:$D$5,Lookup_Tables!$E$2:$E$5)</f>
        <v>Medium</v>
      </c>
    </row>
    <row r="1393" spans="1:22">
      <c r="A1393">
        <f>RAW_DATA!A1393</f>
        <v>38</v>
      </c>
      <c r="B1393" t="str">
        <f>RAW_DATA!B1393</f>
        <v>No</v>
      </c>
      <c r="C1393" t="str">
        <f>RAW_DATA!C1393</f>
        <v>Sales</v>
      </c>
      <c r="D1393">
        <f>RAW_DATA!D1393</f>
        <v>1</v>
      </c>
      <c r="E1393">
        <f>RAW_DATA!E1393</f>
        <v>3</v>
      </c>
      <c r="F1393" t="str">
        <f>RAW_DATA!F1393</f>
        <v>Life Sciences</v>
      </c>
      <c r="G1393">
        <f>RAW_DATA!G1393</f>
        <v>1</v>
      </c>
      <c r="H1393">
        <f>RAW_DATA!H1393</f>
        <v>1</v>
      </c>
      <c r="I1393" t="str">
        <f>RAW_DATA!I1393</f>
        <v>Single</v>
      </c>
      <c r="J1393">
        <f>RAW_DATA!J1393</f>
        <v>2858</v>
      </c>
      <c r="K1393">
        <f>RAW_DATA!K1393</f>
        <v>4</v>
      </c>
      <c r="L1393">
        <f>RAW_DATA!L1393</f>
        <v>2</v>
      </c>
      <c r="M1393">
        <f>RAW_DATA!M1393</f>
        <v>1</v>
      </c>
      <c r="N1393">
        <f t="shared" si="42"/>
        <v>0</v>
      </c>
      <c r="O1393" t="str">
        <f xml:space="preserve"> VLOOKUP(A1393, Lookup_Tables!$G$2:$H$6,2,TRUE)</f>
        <v>35-44</v>
      </c>
      <c r="P1393" t="str">
        <f>_xlfn.XLOOKUP(J1393,Lookup_Tables!$J$2:$J$4,Lookup_Tables!$K$2:$K$4, " ",-1)</f>
        <v>Low</v>
      </c>
      <c r="Q1393" t="str">
        <f xml:space="preserve"> _xlfn.XLOOKUP(M1393, Lookup_Tables!$M$2:$M$5,Lookup_Tables!$N$2:$N$5," ", -1)</f>
        <v>New (0-2)</v>
      </c>
      <c r="R1393" s="4">
        <f t="shared" si="43"/>
        <v>1.3333333333333333</v>
      </c>
      <c r="S1393" t="str">
        <f xml:space="preserve"> _xlfn.XLOOKUP( E1393, Lookup_Tables!$A$2:$A$6,Lookup_Tables!$B$2:$B$6," ", -1)</f>
        <v>Bachelor</v>
      </c>
      <c r="T1393" t="str">
        <f>_xlfn.XLOOKUP(G1393,Lookup_Tables!$D$2:$D$5,Lookup_Tables!$E$2:$E$5)</f>
        <v>Low</v>
      </c>
      <c r="U1393" t="str">
        <f>_xlfn.XLOOKUP(H1393,Lookup_Tables!$D$2:$D$5,Lookup_Tables!$E$2:$E$5)</f>
        <v>Low</v>
      </c>
      <c r="V1393" t="str">
        <f>_xlfn.XLOOKUP(L1393,Lookup_Tables!$D$2:$D$5,Lookup_Tables!$E$2:$E$5)</f>
        <v>Medium</v>
      </c>
    </row>
    <row r="1394" spans="1:22">
      <c r="A1394">
        <f>RAW_DATA!A1394</f>
        <v>35</v>
      </c>
      <c r="B1394" t="str">
        <f>RAW_DATA!B1394</f>
        <v>No</v>
      </c>
      <c r="C1394" t="str">
        <f>RAW_DATA!C1394</f>
        <v>Sales</v>
      </c>
      <c r="D1394">
        <f>RAW_DATA!D1394</f>
        <v>7</v>
      </c>
      <c r="E1394">
        <f>RAW_DATA!E1394</f>
        <v>4</v>
      </c>
      <c r="F1394" t="str">
        <f>RAW_DATA!F1394</f>
        <v>Life Sciences</v>
      </c>
      <c r="G1394">
        <f>RAW_DATA!G1394</f>
        <v>3</v>
      </c>
      <c r="H1394">
        <f>RAW_DATA!H1394</f>
        <v>4</v>
      </c>
      <c r="I1394" t="str">
        <f>RAW_DATA!I1394</f>
        <v>Married</v>
      </c>
      <c r="J1394">
        <f>RAW_DATA!J1394</f>
        <v>5204</v>
      </c>
      <c r="K1394">
        <f>RAW_DATA!K1394</f>
        <v>1</v>
      </c>
      <c r="L1394">
        <f>RAW_DATA!L1394</f>
        <v>3</v>
      </c>
      <c r="M1394">
        <f>RAW_DATA!M1394</f>
        <v>10</v>
      </c>
      <c r="N1394">
        <f t="shared" si="42"/>
        <v>0</v>
      </c>
      <c r="O1394" t="str">
        <f xml:space="preserve"> VLOOKUP(A1394, Lookup_Tables!$G$2:$H$6,2,TRUE)</f>
        <v>35-44</v>
      </c>
      <c r="P1394" t="str">
        <f>_xlfn.XLOOKUP(J1394,Lookup_Tables!$J$2:$J$4,Lookup_Tables!$K$2:$K$4, " ",-1)</f>
        <v>Medium</v>
      </c>
      <c r="Q1394" t="str">
        <f xml:space="preserve"> _xlfn.XLOOKUP(M1394, Lookup_Tables!$M$2:$M$5,Lookup_Tables!$N$2:$N$5," ", -1)</f>
        <v>Veteran (10+)</v>
      </c>
      <c r="R1394" s="4">
        <f t="shared" si="43"/>
        <v>3.3333333333333335</v>
      </c>
      <c r="S1394" t="str">
        <f xml:space="preserve"> _xlfn.XLOOKUP( E1394, Lookup_Tables!$A$2:$A$6,Lookup_Tables!$B$2:$B$6," ", -1)</f>
        <v>Master</v>
      </c>
      <c r="T1394" t="str">
        <f>_xlfn.XLOOKUP(G1394,Lookup_Tables!$D$2:$D$5,Lookup_Tables!$E$2:$E$5)</f>
        <v>High</v>
      </c>
      <c r="U1394" t="str">
        <f>_xlfn.XLOOKUP(H1394,Lookup_Tables!$D$2:$D$5,Lookup_Tables!$E$2:$E$5)</f>
        <v>Very High</v>
      </c>
      <c r="V1394" t="str">
        <f>_xlfn.XLOOKUP(L1394,Lookup_Tables!$D$2:$D$5,Lookup_Tables!$E$2:$E$5)</f>
        <v>High</v>
      </c>
    </row>
    <row r="1395" spans="1:22">
      <c r="A1395">
        <f>RAW_DATA!A1395</f>
        <v>27</v>
      </c>
      <c r="B1395" t="str">
        <f>RAW_DATA!B1395</f>
        <v>No</v>
      </c>
      <c r="C1395" t="str">
        <f>RAW_DATA!C1395</f>
        <v>Sales</v>
      </c>
      <c r="D1395">
        <f>RAW_DATA!D1395</f>
        <v>9</v>
      </c>
      <c r="E1395">
        <f>RAW_DATA!E1395</f>
        <v>3</v>
      </c>
      <c r="F1395" t="str">
        <f>RAW_DATA!F1395</f>
        <v>Marketing</v>
      </c>
      <c r="G1395">
        <f>RAW_DATA!G1395</f>
        <v>4</v>
      </c>
      <c r="H1395">
        <f>RAW_DATA!H1395</f>
        <v>4</v>
      </c>
      <c r="I1395" t="str">
        <f>RAW_DATA!I1395</f>
        <v>Single</v>
      </c>
      <c r="J1395">
        <f>RAW_DATA!J1395</f>
        <v>4105</v>
      </c>
      <c r="K1395">
        <f>RAW_DATA!K1395</f>
        <v>1</v>
      </c>
      <c r="L1395">
        <f>RAW_DATA!L1395</f>
        <v>3</v>
      </c>
      <c r="M1395">
        <f>RAW_DATA!M1395</f>
        <v>7</v>
      </c>
      <c r="N1395">
        <f t="shared" si="42"/>
        <v>0</v>
      </c>
      <c r="O1395" t="str">
        <f xml:space="preserve"> VLOOKUP(A1395, Lookup_Tables!$G$2:$H$6,2,TRUE)</f>
        <v>25-34</v>
      </c>
      <c r="P1395" t="str">
        <f>_xlfn.XLOOKUP(J1395,Lookup_Tables!$J$2:$J$4,Lookup_Tables!$K$2:$K$4, " ",-1)</f>
        <v>Medium</v>
      </c>
      <c r="Q1395" t="str">
        <f xml:space="preserve"> _xlfn.XLOOKUP(M1395, Lookup_Tables!$M$2:$M$5,Lookup_Tables!$N$2:$N$5," ", -1)</f>
        <v>Established (5-10)</v>
      </c>
      <c r="R1395" s="4">
        <f t="shared" si="43"/>
        <v>3.6666666666666665</v>
      </c>
      <c r="S1395" t="str">
        <f xml:space="preserve"> _xlfn.XLOOKUP( E1395, Lookup_Tables!$A$2:$A$6,Lookup_Tables!$B$2:$B$6," ", -1)</f>
        <v>Bachelor</v>
      </c>
      <c r="T1395" t="str">
        <f>_xlfn.XLOOKUP(G1395,Lookup_Tables!$D$2:$D$5,Lookup_Tables!$E$2:$E$5)</f>
        <v>Very High</v>
      </c>
      <c r="U1395" t="str">
        <f>_xlfn.XLOOKUP(H1395,Lookup_Tables!$D$2:$D$5,Lookup_Tables!$E$2:$E$5)</f>
        <v>Very High</v>
      </c>
      <c r="V1395" t="str">
        <f>_xlfn.XLOOKUP(L1395,Lookup_Tables!$D$2:$D$5,Lookup_Tables!$E$2:$E$5)</f>
        <v>High</v>
      </c>
    </row>
    <row r="1396" spans="1:22">
      <c r="A1396">
        <f>RAW_DATA!A1396</f>
        <v>32</v>
      </c>
      <c r="B1396" t="str">
        <f>RAW_DATA!B1396</f>
        <v>No</v>
      </c>
      <c r="C1396" t="str">
        <f>RAW_DATA!C1396</f>
        <v>Research &amp; Development</v>
      </c>
      <c r="D1396">
        <f>RAW_DATA!D1396</f>
        <v>5</v>
      </c>
      <c r="E1396">
        <f>RAW_DATA!E1396</f>
        <v>4</v>
      </c>
      <c r="F1396" t="str">
        <f>RAW_DATA!F1396</f>
        <v>Life Sciences</v>
      </c>
      <c r="G1396">
        <f>RAW_DATA!G1396</f>
        <v>4</v>
      </c>
      <c r="H1396">
        <f>RAW_DATA!H1396</f>
        <v>4</v>
      </c>
      <c r="I1396" t="str">
        <f>RAW_DATA!I1396</f>
        <v>Single</v>
      </c>
      <c r="J1396">
        <f>RAW_DATA!J1396</f>
        <v>9679</v>
      </c>
      <c r="K1396">
        <f>RAW_DATA!K1396</f>
        <v>8</v>
      </c>
      <c r="L1396">
        <f>RAW_DATA!L1396</f>
        <v>3</v>
      </c>
      <c r="M1396">
        <f>RAW_DATA!M1396</f>
        <v>1</v>
      </c>
      <c r="N1396">
        <f t="shared" si="42"/>
        <v>0</v>
      </c>
      <c r="O1396" t="str">
        <f xml:space="preserve"> VLOOKUP(A1396, Lookup_Tables!$G$2:$H$6,2,TRUE)</f>
        <v>25-34</v>
      </c>
      <c r="P1396" t="str">
        <f>_xlfn.XLOOKUP(J1396,Lookup_Tables!$J$2:$J$4,Lookup_Tables!$K$2:$K$4, " ",-1)</f>
        <v>High</v>
      </c>
      <c r="Q1396" t="str">
        <f xml:space="preserve"> _xlfn.XLOOKUP(M1396, Lookup_Tables!$M$2:$M$5,Lookup_Tables!$N$2:$N$5," ", -1)</f>
        <v>New (0-2)</v>
      </c>
      <c r="R1396" s="4">
        <f t="shared" si="43"/>
        <v>3.6666666666666665</v>
      </c>
      <c r="S1396" t="str">
        <f xml:space="preserve"> _xlfn.XLOOKUP( E1396, Lookup_Tables!$A$2:$A$6,Lookup_Tables!$B$2:$B$6," ", -1)</f>
        <v>Master</v>
      </c>
      <c r="T1396" t="str">
        <f>_xlfn.XLOOKUP(G1396,Lookup_Tables!$D$2:$D$5,Lookup_Tables!$E$2:$E$5)</f>
        <v>Very High</v>
      </c>
      <c r="U1396" t="str">
        <f>_xlfn.XLOOKUP(H1396,Lookup_Tables!$D$2:$D$5,Lookup_Tables!$E$2:$E$5)</f>
        <v>Very High</v>
      </c>
      <c r="V1396" t="str">
        <f>_xlfn.XLOOKUP(L1396,Lookup_Tables!$D$2:$D$5,Lookup_Tables!$E$2:$E$5)</f>
        <v>High</v>
      </c>
    </row>
    <row r="1397" spans="1:22">
      <c r="A1397">
        <f>RAW_DATA!A1397</f>
        <v>31</v>
      </c>
      <c r="B1397" t="str">
        <f>RAW_DATA!B1397</f>
        <v>Yes</v>
      </c>
      <c r="C1397" t="str">
        <f>RAW_DATA!C1397</f>
        <v>Sales</v>
      </c>
      <c r="D1397">
        <f>RAW_DATA!D1397</f>
        <v>26</v>
      </c>
      <c r="E1397">
        <f>RAW_DATA!E1397</f>
        <v>4</v>
      </c>
      <c r="F1397" t="str">
        <f>RAW_DATA!F1397</f>
        <v>Marketing</v>
      </c>
      <c r="G1397">
        <f>RAW_DATA!G1397</f>
        <v>1</v>
      </c>
      <c r="H1397">
        <f>RAW_DATA!H1397</f>
        <v>4</v>
      </c>
      <c r="I1397" t="str">
        <f>RAW_DATA!I1397</f>
        <v>Married</v>
      </c>
      <c r="J1397">
        <f>RAW_DATA!J1397</f>
        <v>5617</v>
      </c>
      <c r="K1397">
        <f>RAW_DATA!K1397</f>
        <v>1</v>
      </c>
      <c r="L1397">
        <f>RAW_DATA!L1397</f>
        <v>3</v>
      </c>
      <c r="M1397">
        <f>RAW_DATA!M1397</f>
        <v>10</v>
      </c>
      <c r="N1397">
        <f t="shared" si="42"/>
        <v>1</v>
      </c>
      <c r="O1397" t="str">
        <f xml:space="preserve"> VLOOKUP(A1397, Lookup_Tables!$G$2:$H$6,2,TRUE)</f>
        <v>25-34</v>
      </c>
      <c r="P1397" t="str">
        <f>_xlfn.XLOOKUP(J1397,Lookup_Tables!$J$2:$J$4,Lookup_Tables!$K$2:$K$4, " ",-1)</f>
        <v>Medium</v>
      </c>
      <c r="Q1397" t="str">
        <f xml:space="preserve"> _xlfn.XLOOKUP(M1397, Lookup_Tables!$M$2:$M$5,Lookup_Tables!$N$2:$N$5," ", -1)</f>
        <v>Veteran (10+)</v>
      </c>
      <c r="R1397" s="4">
        <f t="shared" si="43"/>
        <v>2.6666666666666665</v>
      </c>
      <c r="S1397" t="str">
        <f xml:space="preserve"> _xlfn.XLOOKUP( E1397, Lookup_Tables!$A$2:$A$6,Lookup_Tables!$B$2:$B$6," ", -1)</f>
        <v>Master</v>
      </c>
      <c r="T1397" t="str">
        <f>_xlfn.XLOOKUP(G1397,Lookup_Tables!$D$2:$D$5,Lookup_Tables!$E$2:$E$5)</f>
        <v>Low</v>
      </c>
      <c r="U1397" t="str">
        <f>_xlfn.XLOOKUP(H1397,Lookup_Tables!$D$2:$D$5,Lookup_Tables!$E$2:$E$5)</f>
        <v>Very High</v>
      </c>
      <c r="V1397" t="str">
        <f>_xlfn.XLOOKUP(L1397,Lookup_Tables!$D$2:$D$5,Lookup_Tables!$E$2:$E$5)</f>
        <v>High</v>
      </c>
    </row>
    <row r="1398" spans="1:22">
      <c r="A1398">
        <f>RAW_DATA!A1398</f>
        <v>53</v>
      </c>
      <c r="B1398" t="str">
        <f>RAW_DATA!B1398</f>
        <v>Yes</v>
      </c>
      <c r="C1398" t="str">
        <f>RAW_DATA!C1398</f>
        <v>Sales</v>
      </c>
      <c r="D1398">
        <f>RAW_DATA!D1398</f>
        <v>24</v>
      </c>
      <c r="E1398">
        <f>RAW_DATA!E1398</f>
        <v>4</v>
      </c>
      <c r="F1398" t="str">
        <f>RAW_DATA!F1398</f>
        <v>Life Sciences</v>
      </c>
      <c r="G1398">
        <f>RAW_DATA!G1398</f>
        <v>1</v>
      </c>
      <c r="H1398">
        <f>RAW_DATA!H1398</f>
        <v>1</v>
      </c>
      <c r="I1398" t="str">
        <f>RAW_DATA!I1398</f>
        <v>Single</v>
      </c>
      <c r="J1398">
        <f>RAW_DATA!J1398</f>
        <v>10448</v>
      </c>
      <c r="K1398">
        <f>RAW_DATA!K1398</f>
        <v>6</v>
      </c>
      <c r="L1398">
        <f>RAW_DATA!L1398</f>
        <v>2</v>
      </c>
      <c r="M1398">
        <f>RAW_DATA!M1398</f>
        <v>2</v>
      </c>
      <c r="N1398">
        <f t="shared" si="42"/>
        <v>1</v>
      </c>
      <c r="O1398" t="str">
        <f xml:space="preserve"> VLOOKUP(A1398, Lookup_Tables!$G$2:$H$6,2,TRUE)</f>
        <v>45-54</v>
      </c>
      <c r="P1398" t="str">
        <f>_xlfn.XLOOKUP(J1398,Lookup_Tables!$J$2:$J$4,Lookup_Tables!$K$2:$K$4, " ",-1)</f>
        <v>High</v>
      </c>
      <c r="Q1398" t="str">
        <f xml:space="preserve"> _xlfn.XLOOKUP(M1398, Lookup_Tables!$M$2:$M$5,Lookup_Tables!$N$2:$N$5," ", -1)</f>
        <v>Early (2-5)</v>
      </c>
      <c r="R1398" s="4">
        <f t="shared" si="43"/>
        <v>1.3333333333333333</v>
      </c>
      <c r="S1398" t="str">
        <f xml:space="preserve"> _xlfn.XLOOKUP( E1398, Lookup_Tables!$A$2:$A$6,Lookup_Tables!$B$2:$B$6," ", -1)</f>
        <v>Master</v>
      </c>
      <c r="T1398" t="str">
        <f>_xlfn.XLOOKUP(G1398,Lookup_Tables!$D$2:$D$5,Lookup_Tables!$E$2:$E$5)</f>
        <v>Low</v>
      </c>
      <c r="U1398" t="str">
        <f>_xlfn.XLOOKUP(H1398,Lookup_Tables!$D$2:$D$5,Lookup_Tables!$E$2:$E$5)</f>
        <v>Low</v>
      </c>
      <c r="V1398" t="str">
        <f>_xlfn.XLOOKUP(L1398,Lookup_Tables!$D$2:$D$5,Lookup_Tables!$E$2:$E$5)</f>
        <v>Medium</v>
      </c>
    </row>
    <row r="1399" spans="1:22">
      <c r="A1399">
        <f>RAW_DATA!A1399</f>
        <v>54</v>
      </c>
      <c r="B1399" t="str">
        <f>RAW_DATA!B1399</f>
        <v>No</v>
      </c>
      <c r="C1399" t="str">
        <f>RAW_DATA!C1399</f>
        <v>Research &amp; Development</v>
      </c>
      <c r="D1399">
        <f>RAW_DATA!D1399</f>
        <v>9</v>
      </c>
      <c r="E1399">
        <f>RAW_DATA!E1399</f>
        <v>2</v>
      </c>
      <c r="F1399" t="str">
        <f>RAW_DATA!F1399</f>
        <v>Life Sciences</v>
      </c>
      <c r="G1399">
        <f>RAW_DATA!G1399</f>
        <v>1</v>
      </c>
      <c r="H1399">
        <f>RAW_DATA!H1399</f>
        <v>3</v>
      </c>
      <c r="I1399" t="str">
        <f>RAW_DATA!I1399</f>
        <v>Married</v>
      </c>
      <c r="J1399">
        <f>RAW_DATA!J1399</f>
        <v>2897</v>
      </c>
      <c r="K1399">
        <f>RAW_DATA!K1399</f>
        <v>3</v>
      </c>
      <c r="L1399">
        <f>RAW_DATA!L1399</f>
        <v>2</v>
      </c>
      <c r="M1399">
        <f>RAW_DATA!M1399</f>
        <v>4</v>
      </c>
      <c r="N1399">
        <f t="shared" si="42"/>
        <v>0</v>
      </c>
      <c r="O1399" t="str">
        <f xml:space="preserve"> VLOOKUP(A1399, Lookup_Tables!$G$2:$H$6,2,TRUE)</f>
        <v>45-54</v>
      </c>
      <c r="P1399" t="str">
        <f>_xlfn.XLOOKUP(J1399,Lookup_Tables!$J$2:$J$4,Lookup_Tables!$K$2:$K$4, " ",-1)</f>
        <v>Low</v>
      </c>
      <c r="Q1399" t="str">
        <f xml:space="preserve"> _xlfn.XLOOKUP(M1399, Lookup_Tables!$M$2:$M$5,Lookup_Tables!$N$2:$N$5," ", -1)</f>
        <v>Early (2-5)</v>
      </c>
      <c r="R1399" s="4">
        <f t="shared" si="43"/>
        <v>2</v>
      </c>
      <c r="S1399" t="str">
        <f xml:space="preserve"> _xlfn.XLOOKUP( E1399, Lookup_Tables!$A$2:$A$6,Lookup_Tables!$B$2:$B$6," ", -1)</f>
        <v>College</v>
      </c>
      <c r="T1399" t="str">
        <f>_xlfn.XLOOKUP(G1399,Lookup_Tables!$D$2:$D$5,Lookup_Tables!$E$2:$E$5)</f>
        <v>Low</v>
      </c>
      <c r="U1399" t="str">
        <f>_xlfn.XLOOKUP(H1399,Lookup_Tables!$D$2:$D$5,Lookup_Tables!$E$2:$E$5)</f>
        <v>High</v>
      </c>
      <c r="V1399" t="str">
        <f>_xlfn.XLOOKUP(L1399,Lookup_Tables!$D$2:$D$5,Lookup_Tables!$E$2:$E$5)</f>
        <v>Medium</v>
      </c>
    </row>
    <row r="1400" spans="1:22">
      <c r="A1400">
        <f>RAW_DATA!A1400</f>
        <v>33</v>
      </c>
      <c r="B1400" t="str">
        <f>RAW_DATA!B1400</f>
        <v>No</v>
      </c>
      <c r="C1400" t="str">
        <f>RAW_DATA!C1400</f>
        <v>Research &amp; Development</v>
      </c>
      <c r="D1400">
        <f>RAW_DATA!D1400</f>
        <v>7</v>
      </c>
      <c r="E1400">
        <f>RAW_DATA!E1400</f>
        <v>2</v>
      </c>
      <c r="F1400" t="str">
        <f>RAW_DATA!F1400</f>
        <v>Life Sciences</v>
      </c>
      <c r="G1400">
        <f>RAW_DATA!G1400</f>
        <v>4</v>
      </c>
      <c r="H1400">
        <f>RAW_DATA!H1400</f>
        <v>3</v>
      </c>
      <c r="I1400" t="str">
        <f>RAW_DATA!I1400</f>
        <v>Divorced</v>
      </c>
      <c r="J1400">
        <f>RAW_DATA!J1400</f>
        <v>5968</v>
      </c>
      <c r="K1400">
        <f>RAW_DATA!K1400</f>
        <v>1</v>
      </c>
      <c r="L1400">
        <f>RAW_DATA!L1400</f>
        <v>3</v>
      </c>
      <c r="M1400">
        <f>RAW_DATA!M1400</f>
        <v>9</v>
      </c>
      <c r="N1400">
        <f t="shared" si="42"/>
        <v>0</v>
      </c>
      <c r="O1400" t="str">
        <f xml:space="preserve"> VLOOKUP(A1400, Lookup_Tables!$G$2:$H$6,2,TRUE)</f>
        <v>25-34</v>
      </c>
      <c r="P1400" t="str">
        <f>_xlfn.XLOOKUP(J1400,Lookup_Tables!$J$2:$J$4,Lookup_Tables!$K$2:$K$4, " ",-1)</f>
        <v>Medium</v>
      </c>
      <c r="Q1400" t="str">
        <f xml:space="preserve"> _xlfn.XLOOKUP(M1400, Lookup_Tables!$M$2:$M$5,Lookup_Tables!$N$2:$N$5," ", -1)</f>
        <v>Established (5-10)</v>
      </c>
      <c r="R1400" s="4">
        <f t="shared" si="43"/>
        <v>3.3333333333333335</v>
      </c>
      <c r="S1400" t="str">
        <f xml:space="preserve"> _xlfn.XLOOKUP( E1400, Lookup_Tables!$A$2:$A$6,Lookup_Tables!$B$2:$B$6," ", -1)</f>
        <v>College</v>
      </c>
      <c r="T1400" t="str">
        <f>_xlfn.XLOOKUP(G1400,Lookup_Tables!$D$2:$D$5,Lookup_Tables!$E$2:$E$5)</f>
        <v>Very High</v>
      </c>
      <c r="U1400" t="str">
        <f>_xlfn.XLOOKUP(H1400,Lookup_Tables!$D$2:$D$5,Lookup_Tables!$E$2:$E$5)</f>
        <v>High</v>
      </c>
      <c r="V1400" t="str">
        <f>_xlfn.XLOOKUP(L1400,Lookup_Tables!$D$2:$D$5,Lookup_Tables!$E$2:$E$5)</f>
        <v>High</v>
      </c>
    </row>
    <row r="1401" spans="1:22">
      <c r="A1401">
        <f>RAW_DATA!A1401</f>
        <v>43</v>
      </c>
      <c r="B1401" t="str">
        <f>RAW_DATA!B1401</f>
        <v>No</v>
      </c>
      <c r="C1401" t="str">
        <f>RAW_DATA!C1401</f>
        <v>Research &amp; Development</v>
      </c>
      <c r="D1401">
        <f>RAW_DATA!D1401</f>
        <v>11</v>
      </c>
      <c r="E1401">
        <f>RAW_DATA!E1401</f>
        <v>3</v>
      </c>
      <c r="F1401" t="str">
        <f>RAW_DATA!F1401</f>
        <v>Life Sciences</v>
      </c>
      <c r="G1401">
        <f>RAW_DATA!G1401</f>
        <v>1</v>
      </c>
      <c r="H1401">
        <f>RAW_DATA!H1401</f>
        <v>3</v>
      </c>
      <c r="I1401" t="str">
        <f>RAW_DATA!I1401</f>
        <v>Married</v>
      </c>
      <c r="J1401">
        <f>RAW_DATA!J1401</f>
        <v>7510</v>
      </c>
      <c r="K1401">
        <f>RAW_DATA!K1401</f>
        <v>1</v>
      </c>
      <c r="L1401">
        <f>RAW_DATA!L1401</f>
        <v>3</v>
      </c>
      <c r="M1401">
        <f>RAW_DATA!M1401</f>
        <v>10</v>
      </c>
      <c r="N1401">
        <f t="shared" si="42"/>
        <v>0</v>
      </c>
      <c r="O1401" t="str">
        <f xml:space="preserve"> VLOOKUP(A1401, Lookup_Tables!$G$2:$H$6,2,TRUE)</f>
        <v>35-44</v>
      </c>
      <c r="P1401" t="str">
        <f>_xlfn.XLOOKUP(J1401,Lookup_Tables!$J$2:$J$4,Lookup_Tables!$K$2:$K$4, " ",-1)</f>
        <v>High</v>
      </c>
      <c r="Q1401" t="str">
        <f xml:space="preserve"> _xlfn.XLOOKUP(M1401, Lookup_Tables!$M$2:$M$5,Lookup_Tables!$N$2:$N$5," ", -1)</f>
        <v>Veteran (10+)</v>
      </c>
      <c r="R1401" s="4">
        <f t="shared" si="43"/>
        <v>2.3333333333333335</v>
      </c>
      <c r="S1401" t="str">
        <f xml:space="preserve"> _xlfn.XLOOKUP( E1401, Lookup_Tables!$A$2:$A$6,Lookup_Tables!$B$2:$B$6," ", -1)</f>
        <v>Bachelor</v>
      </c>
      <c r="T1401" t="str">
        <f>_xlfn.XLOOKUP(G1401,Lookup_Tables!$D$2:$D$5,Lookup_Tables!$E$2:$E$5)</f>
        <v>Low</v>
      </c>
      <c r="U1401" t="str">
        <f>_xlfn.XLOOKUP(H1401,Lookup_Tables!$D$2:$D$5,Lookup_Tables!$E$2:$E$5)</f>
        <v>High</v>
      </c>
      <c r="V1401" t="str">
        <f>_xlfn.XLOOKUP(L1401,Lookup_Tables!$D$2:$D$5,Lookup_Tables!$E$2:$E$5)</f>
        <v>High</v>
      </c>
    </row>
    <row r="1402" spans="1:22">
      <c r="A1402">
        <f>RAW_DATA!A1402</f>
        <v>38</v>
      </c>
      <c r="B1402" t="str">
        <f>RAW_DATA!B1402</f>
        <v>No</v>
      </c>
      <c r="C1402" t="str">
        <f>RAW_DATA!C1402</f>
        <v>Human Resources</v>
      </c>
      <c r="D1402">
        <f>RAW_DATA!D1402</f>
        <v>1</v>
      </c>
      <c r="E1402">
        <f>RAW_DATA!E1402</f>
        <v>4</v>
      </c>
      <c r="F1402" t="str">
        <f>RAW_DATA!F1402</f>
        <v>Other</v>
      </c>
      <c r="G1402">
        <f>RAW_DATA!G1402</f>
        <v>4</v>
      </c>
      <c r="H1402">
        <f>RAW_DATA!H1402</f>
        <v>2</v>
      </c>
      <c r="I1402" t="str">
        <f>RAW_DATA!I1402</f>
        <v>Married</v>
      </c>
      <c r="J1402">
        <f>RAW_DATA!J1402</f>
        <v>2991</v>
      </c>
      <c r="K1402">
        <f>RAW_DATA!K1402</f>
        <v>0</v>
      </c>
      <c r="L1402">
        <f>RAW_DATA!L1402</f>
        <v>3</v>
      </c>
      <c r="M1402">
        <f>RAW_DATA!M1402</f>
        <v>6</v>
      </c>
      <c r="N1402">
        <f t="shared" si="42"/>
        <v>0</v>
      </c>
      <c r="O1402" t="str">
        <f xml:space="preserve"> VLOOKUP(A1402, Lookup_Tables!$G$2:$H$6,2,TRUE)</f>
        <v>35-44</v>
      </c>
      <c r="P1402" t="str">
        <f>_xlfn.XLOOKUP(J1402,Lookup_Tables!$J$2:$J$4,Lookup_Tables!$K$2:$K$4, " ",-1)</f>
        <v>Low</v>
      </c>
      <c r="Q1402" t="str">
        <f xml:space="preserve"> _xlfn.XLOOKUP(M1402, Lookup_Tables!$M$2:$M$5,Lookup_Tables!$N$2:$N$5," ", -1)</f>
        <v>Established (5-10)</v>
      </c>
      <c r="R1402" s="4">
        <f t="shared" si="43"/>
        <v>3</v>
      </c>
      <c r="S1402" t="str">
        <f xml:space="preserve"> _xlfn.XLOOKUP( E1402, Lookup_Tables!$A$2:$A$6,Lookup_Tables!$B$2:$B$6," ", -1)</f>
        <v>Master</v>
      </c>
      <c r="T1402" t="str">
        <f>_xlfn.XLOOKUP(G1402,Lookup_Tables!$D$2:$D$5,Lookup_Tables!$E$2:$E$5)</f>
        <v>Very High</v>
      </c>
      <c r="U1402" t="str">
        <f>_xlfn.XLOOKUP(H1402,Lookup_Tables!$D$2:$D$5,Lookup_Tables!$E$2:$E$5)</f>
        <v>Medium</v>
      </c>
      <c r="V1402" t="str">
        <f>_xlfn.XLOOKUP(L1402,Lookup_Tables!$D$2:$D$5,Lookup_Tables!$E$2:$E$5)</f>
        <v>High</v>
      </c>
    </row>
    <row r="1403" spans="1:22">
      <c r="A1403">
        <f>RAW_DATA!A1403</f>
        <v>55</v>
      </c>
      <c r="B1403" t="str">
        <f>RAW_DATA!B1403</f>
        <v>No</v>
      </c>
      <c r="C1403" t="str">
        <f>RAW_DATA!C1403</f>
        <v>Human Resources</v>
      </c>
      <c r="D1403">
        <f>RAW_DATA!D1403</f>
        <v>26</v>
      </c>
      <c r="E1403">
        <f>RAW_DATA!E1403</f>
        <v>4</v>
      </c>
      <c r="F1403" t="str">
        <f>RAW_DATA!F1403</f>
        <v>Human Resources</v>
      </c>
      <c r="G1403">
        <f>RAW_DATA!G1403</f>
        <v>3</v>
      </c>
      <c r="H1403">
        <f>RAW_DATA!H1403</f>
        <v>2</v>
      </c>
      <c r="I1403" t="str">
        <f>RAW_DATA!I1403</f>
        <v>Married</v>
      </c>
      <c r="J1403">
        <f>RAW_DATA!J1403</f>
        <v>19636</v>
      </c>
      <c r="K1403">
        <f>RAW_DATA!K1403</f>
        <v>4</v>
      </c>
      <c r="L1403">
        <f>RAW_DATA!L1403</f>
        <v>3</v>
      </c>
      <c r="M1403">
        <f>RAW_DATA!M1403</f>
        <v>10</v>
      </c>
      <c r="N1403">
        <f t="shared" si="42"/>
        <v>0</v>
      </c>
      <c r="O1403" t="str">
        <f xml:space="preserve"> VLOOKUP(A1403, Lookup_Tables!$G$2:$H$6,2,TRUE)</f>
        <v>55+</v>
      </c>
      <c r="P1403" t="str">
        <f>_xlfn.XLOOKUP(J1403,Lookup_Tables!$J$2:$J$4,Lookup_Tables!$K$2:$K$4, " ",-1)</f>
        <v>High</v>
      </c>
      <c r="Q1403" t="str">
        <f xml:space="preserve"> _xlfn.XLOOKUP(M1403, Lookup_Tables!$M$2:$M$5,Lookup_Tables!$N$2:$N$5," ", -1)</f>
        <v>Veteran (10+)</v>
      </c>
      <c r="R1403" s="4">
        <f t="shared" si="43"/>
        <v>2.6666666666666665</v>
      </c>
      <c r="S1403" t="str">
        <f xml:space="preserve"> _xlfn.XLOOKUP( E1403, Lookup_Tables!$A$2:$A$6,Lookup_Tables!$B$2:$B$6," ", -1)</f>
        <v>Master</v>
      </c>
      <c r="T1403" t="str">
        <f>_xlfn.XLOOKUP(G1403,Lookup_Tables!$D$2:$D$5,Lookup_Tables!$E$2:$E$5)</f>
        <v>High</v>
      </c>
      <c r="U1403" t="str">
        <f>_xlfn.XLOOKUP(H1403,Lookup_Tables!$D$2:$D$5,Lookup_Tables!$E$2:$E$5)</f>
        <v>Medium</v>
      </c>
      <c r="V1403" t="str">
        <f>_xlfn.XLOOKUP(L1403,Lookup_Tables!$D$2:$D$5,Lookup_Tables!$E$2:$E$5)</f>
        <v>High</v>
      </c>
    </row>
    <row r="1404" spans="1:22">
      <c r="A1404">
        <f>RAW_DATA!A1404</f>
        <v>31</v>
      </c>
      <c r="B1404" t="str">
        <f>RAW_DATA!B1404</f>
        <v>No</v>
      </c>
      <c r="C1404" t="str">
        <f>RAW_DATA!C1404</f>
        <v>Research &amp; Development</v>
      </c>
      <c r="D1404">
        <f>RAW_DATA!D1404</f>
        <v>2</v>
      </c>
      <c r="E1404">
        <f>RAW_DATA!E1404</f>
        <v>1</v>
      </c>
      <c r="F1404" t="str">
        <f>RAW_DATA!F1404</f>
        <v>Medical</v>
      </c>
      <c r="G1404">
        <f>RAW_DATA!G1404</f>
        <v>4</v>
      </c>
      <c r="H1404">
        <f>RAW_DATA!H1404</f>
        <v>4</v>
      </c>
      <c r="I1404" t="str">
        <f>RAW_DATA!I1404</f>
        <v>Divorced</v>
      </c>
      <c r="J1404">
        <f>RAW_DATA!J1404</f>
        <v>1129</v>
      </c>
      <c r="K1404">
        <f>RAW_DATA!K1404</f>
        <v>1</v>
      </c>
      <c r="L1404">
        <f>RAW_DATA!L1404</f>
        <v>3</v>
      </c>
      <c r="M1404">
        <f>RAW_DATA!M1404</f>
        <v>1</v>
      </c>
      <c r="N1404">
        <f t="shared" si="42"/>
        <v>0</v>
      </c>
      <c r="O1404" t="str">
        <f xml:space="preserve"> VLOOKUP(A1404, Lookup_Tables!$G$2:$H$6,2,TRUE)</f>
        <v>25-34</v>
      </c>
      <c r="P1404" t="str">
        <f>_xlfn.XLOOKUP(J1404,Lookup_Tables!$J$2:$J$4,Lookup_Tables!$K$2:$K$4, " ",-1)</f>
        <v>Low</v>
      </c>
      <c r="Q1404" t="str">
        <f xml:space="preserve"> _xlfn.XLOOKUP(M1404, Lookup_Tables!$M$2:$M$5,Lookup_Tables!$N$2:$N$5," ", -1)</f>
        <v>New (0-2)</v>
      </c>
      <c r="R1404" s="4">
        <f t="shared" si="43"/>
        <v>3.6666666666666665</v>
      </c>
      <c r="S1404" t="str">
        <f xml:space="preserve"> _xlfn.XLOOKUP( E1404, Lookup_Tables!$A$2:$A$6,Lookup_Tables!$B$2:$B$6," ", -1)</f>
        <v>Below College</v>
      </c>
      <c r="T1404" t="str">
        <f>_xlfn.XLOOKUP(G1404,Lookup_Tables!$D$2:$D$5,Lookup_Tables!$E$2:$E$5)</f>
        <v>Very High</v>
      </c>
      <c r="U1404" t="str">
        <f>_xlfn.XLOOKUP(H1404,Lookup_Tables!$D$2:$D$5,Lookup_Tables!$E$2:$E$5)</f>
        <v>Very High</v>
      </c>
      <c r="V1404" t="str">
        <f>_xlfn.XLOOKUP(L1404,Lookup_Tables!$D$2:$D$5,Lookup_Tables!$E$2:$E$5)</f>
        <v>High</v>
      </c>
    </row>
    <row r="1405" spans="1:22">
      <c r="A1405">
        <f>RAW_DATA!A1405</f>
        <v>39</v>
      </c>
      <c r="B1405" t="str">
        <f>RAW_DATA!B1405</f>
        <v>No</v>
      </c>
      <c r="C1405" t="str">
        <f>RAW_DATA!C1405</f>
        <v>Sales</v>
      </c>
      <c r="D1405">
        <f>RAW_DATA!D1405</f>
        <v>15</v>
      </c>
      <c r="E1405">
        <f>RAW_DATA!E1405</f>
        <v>4</v>
      </c>
      <c r="F1405" t="str">
        <f>RAW_DATA!F1405</f>
        <v>Marketing</v>
      </c>
      <c r="G1405">
        <f>RAW_DATA!G1405</f>
        <v>2</v>
      </c>
      <c r="H1405">
        <f>RAW_DATA!H1405</f>
        <v>1</v>
      </c>
      <c r="I1405" t="str">
        <f>RAW_DATA!I1405</f>
        <v>Single</v>
      </c>
      <c r="J1405">
        <f>RAW_DATA!J1405</f>
        <v>13341</v>
      </c>
      <c r="K1405">
        <f>RAW_DATA!K1405</f>
        <v>0</v>
      </c>
      <c r="L1405">
        <f>RAW_DATA!L1405</f>
        <v>3</v>
      </c>
      <c r="M1405">
        <f>RAW_DATA!M1405</f>
        <v>20</v>
      </c>
      <c r="N1405">
        <f t="shared" si="42"/>
        <v>0</v>
      </c>
      <c r="O1405" t="str">
        <f xml:space="preserve"> VLOOKUP(A1405, Lookup_Tables!$G$2:$H$6,2,TRUE)</f>
        <v>35-44</v>
      </c>
      <c r="P1405" t="str">
        <f>_xlfn.XLOOKUP(J1405,Lookup_Tables!$J$2:$J$4,Lookup_Tables!$K$2:$K$4, " ",-1)</f>
        <v>High</v>
      </c>
      <c r="Q1405" t="str">
        <f xml:space="preserve"> _xlfn.XLOOKUP(M1405, Lookup_Tables!$M$2:$M$5,Lookup_Tables!$N$2:$N$5," ", -1)</f>
        <v>Veteran (10+)</v>
      </c>
      <c r="R1405" s="4">
        <f t="shared" si="43"/>
        <v>2</v>
      </c>
      <c r="S1405" t="str">
        <f xml:space="preserve"> _xlfn.XLOOKUP( E1405, Lookup_Tables!$A$2:$A$6,Lookup_Tables!$B$2:$B$6," ", -1)</f>
        <v>Master</v>
      </c>
      <c r="T1405" t="str">
        <f>_xlfn.XLOOKUP(G1405,Lookup_Tables!$D$2:$D$5,Lookup_Tables!$E$2:$E$5)</f>
        <v>Medium</v>
      </c>
      <c r="U1405" t="str">
        <f>_xlfn.XLOOKUP(H1405,Lookup_Tables!$D$2:$D$5,Lookup_Tables!$E$2:$E$5)</f>
        <v>Low</v>
      </c>
      <c r="V1405" t="str">
        <f>_xlfn.XLOOKUP(L1405,Lookup_Tables!$D$2:$D$5,Lookup_Tables!$E$2:$E$5)</f>
        <v>High</v>
      </c>
    </row>
    <row r="1406" spans="1:22">
      <c r="A1406">
        <f>RAW_DATA!A1406</f>
        <v>42</v>
      </c>
      <c r="B1406" t="str">
        <f>RAW_DATA!B1406</f>
        <v>No</v>
      </c>
      <c r="C1406" t="str">
        <f>RAW_DATA!C1406</f>
        <v>Research &amp; Development</v>
      </c>
      <c r="D1406">
        <f>RAW_DATA!D1406</f>
        <v>23</v>
      </c>
      <c r="E1406">
        <f>RAW_DATA!E1406</f>
        <v>2</v>
      </c>
      <c r="F1406" t="str">
        <f>RAW_DATA!F1406</f>
        <v>Life Sciences</v>
      </c>
      <c r="G1406">
        <f>RAW_DATA!G1406</f>
        <v>4</v>
      </c>
      <c r="H1406">
        <f>RAW_DATA!H1406</f>
        <v>3</v>
      </c>
      <c r="I1406" t="str">
        <f>RAW_DATA!I1406</f>
        <v>Single</v>
      </c>
      <c r="J1406">
        <f>RAW_DATA!J1406</f>
        <v>4332</v>
      </c>
      <c r="K1406">
        <f>RAW_DATA!K1406</f>
        <v>1</v>
      </c>
      <c r="L1406">
        <f>RAW_DATA!L1406</f>
        <v>3</v>
      </c>
      <c r="M1406">
        <f>RAW_DATA!M1406</f>
        <v>20</v>
      </c>
      <c r="N1406">
        <f t="shared" si="42"/>
        <v>0</v>
      </c>
      <c r="O1406" t="str">
        <f xml:space="preserve"> VLOOKUP(A1406, Lookup_Tables!$G$2:$H$6,2,TRUE)</f>
        <v>35-44</v>
      </c>
      <c r="P1406" t="str">
        <f>_xlfn.XLOOKUP(J1406,Lookup_Tables!$J$2:$J$4,Lookup_Tables!$K$2:$K$4, " ",-1)</f>
        <v>Medium</v>
      </c>
      <c r="Q1406" t="str">
        <f xml:space="preserve"> _xlfn.XLOOKUP(M1406, Lookup_Tables!$M$2:$M$5,Lookup_Tables!$N$2:$N$5," ", -1)</f>
        <v>Veteran (10+)</v>
      </c>
      <c r="R1406" s="4">
        <f t="shared" si="43"/>
        <v>3.3333333333333335</v>
      </c>
      <c r="S1406" t="str">
        <f xml:space="preserve"> _xlfn.XLOOKUP( E1406, Lookup_Tables!$A$2:$A$6,Lookup_Tables!$B$2:$B$6," ", -1)</f>
        <v>College</v>
      </c>
      <c r="T1406" t="str">
        <f>_xlfn.XLOOKUP(G1406,Lookup_Tables!$D$2:$D$5,Lookup_Tables!$E$2:$E$5)</f>
        <v>Very High</v>
      </c>
      <c r="U1406" t="str">
        <f>_xlfn.XLOOKUP(H1406,Lookup_Tables!$D$2:$D$5,Lookup_Tables!$E$2:$E$5)</f>
        <v>High</v>
      </c>
      <c r="V1406" t="str">
        <f>_xlfn.XLOOKUP(L1406,Lookup_Tables!$D$2:$D$5,Lookup_Tables!$E$2:$E$5)</f>
        <v>High</v>
      </c>
    </row>
    <row r="1407" spans="1:22">
      <c r="A1407">
        <f>RAW_DATA!A1407</f>
        <v>31</v>
      </c>
      <c r="B1407" t="str">
        <f>RAW_DATA!B1407</f>
        <v>No</v>
      </c>
      <c r="C1407" t="str">
        <f>RAW_DATA!C1407</f>
        <v>Research &amp; Development</v>
      </c>
      <c r="D1407">
        <f>RAW_DATA!D1407</f>
        <v>10</v>
      </c>
      <c r="E1407">
        <f>RAW_DATA!E1407</f>
        <v>3</v>
      </c>
      <c r="F1407" t="str">
        <f>RAW_DATA!F1407</f>
        <v>Medical</v>
      </c>
      <c r="G1407">
        <f>RAW_DATA!G1407</f>
        <v>3</v>
      </c>
      <c r="H1407">
        <f>RAW_DATA!H1407</f>
        <v>3</v>
      </c>
      <c r="I1407" t="str">
        <f>RAW_DATA!I1407</f>
        <v>Married</v>
      </c>
      <c r="J1407">
        <f>RAW_DATA!J1407</f>
        <v>11031</v>
      </c>
      <c r="K1407">
        <f>RAW_DATA!K1407</f>
        <v>4</v>
      </c>
      <c r="L1407">
        <f>RAW_DATA!L1407</f>
        <v>4</v>
      </c>
      <c r="M1407">
        <f>RAW_DATA!M1407</f>
        <v>11</v>
      </c>
      <c r="N1407">
        <f t="shared" si="42"/>
        <v>0</v>
      </c>
      <c r="O1407" t="str">
        <f xml:space="preserve"> VLOOKUP(A1407, Lookup_Tables!$G$2:$H$6,2,TRUE)</f>
        <v>25-34</v>
      </c>
      <c r="P1407" t="str">
        <f>_xlfn.XLOOKUP(J1407,Lookup_Tables!$J$2:$J$4,Lookup_Tables!$K$2:$K$4, " ",-1)</f>
        <v>High</v>
      </c>
      <c r="Q1407" t="str">
        <f xml:space="preserve"> _xlfn.XLOOKUP(M1407, Lookup_Tables!$M$2:$M$5,Lookup_Tables!$N$2:$N$5," ", -1)</f>
        <v>Veteran (10+)</v>
      </c>
      <c r="R1407" s="4">
        <f t="shared" si="43"/>
        <v>3.3333333333333335</v>
      </c>
      <c r="S1407" t="str">
        <f xml:space="preserve"> _xlfn.XLOOKUP( E1407, Lookup_Tables!$A$2:$A$6,Lookup_Tables!$B$2:$B$6," ", -1)</f>
        <v>Bachelor</v>
      </c>
      <c r="T1407" t="str">
        <f>_xlfn.XLOOKUP(G1407,Lookup_Tables!$D$2:$D$5,Lookup_Tables!$E$2:$E$5)</f>
        <v>High</v>
      </c>
      <c r="U1407" t="str">
        <f>_xlfn.XLOOKUP(H1407,Lookup_Tables!$D$2:$D$5,Lookup_Tables!$E$2:$E$5)</f>
        <v>High</v>
      </c>
      <c r="V1407" t="str">
        <f>_xlfn.XLOOKUP(L1407,Lookup_Tables!$D$2:$D$5,Lookup_Tables!$E$2:$E$5)</f>
        <v>Very High</v>
      </c>
    </row>
    <row r="1408" spans="1:22">
      <c r="A1408">
        <f>RAW_DATA!A1408</f>
        <v>54</v>
      </c>
      <c r="B1408" t="str">
        <f>RAW_DATA!B1408</f>
        <v>No</v>
      </c>
      <c r="C1408" t="str">
        <f>RAW_DATA!C1408</f>
        <v>Research &amp; Development</v>
      </c>
      <c r="D1408">
        <f>RAW_DATA!D1408</f>
        <v>10</v>
      </c>
      <c r="E1408">
        <f>RAW_DATA!E1408</f>
        <v>3</v>
      </c>
      <c r="F1408" t="str">
        <f>RAW_DATA!F1408</f>
        <v>Medical</v>
      </c>
      <c r="G1408">
        <f>RAW_DATA!G1408</f>
        <v>3</v>
      </c>
      <c r="H1408">
        <f>RAW_DATA!H1408</f>
        <v>1</v>
      </c>
      <c r="I1408" t="str">
        <f>RAW_DATA!I1408</f>
        <v>Single</v>
      </c>
      <c r="J1408">
        <f>RAW_DATA!J1408</f>
        <v>4440</v>
      </c>
      <c r="K1408">
        <f>RAW_DATA!K1408</f>
        <v>6</v>
      </c>
      <c r="L1408">
        <f>RAW_DATA!L1408</f>
        <v>3</v>
      </c>
      <c r="M1408">
        <f>RAW_DATA!M1408</f>
        <v>5</v>
      </c>
      <c r="N1408">
        <f t="shared" si="42"/>
        <v>0</v>
      </c>
      <c r="O1408" t="str">
        <f xml:space="preserve"> VLOOKUP(A1408, Lookup_Tables!$G$2:$H$6,2,TRUE)</f>
        <v>45-54</v>
      </c>
      <c r="P1408" t="str">
        <f>_xlfn.XLOOKUP(J1408,Lookup_Tables!$J$2:$J$4,Lookup_Tables!$K$2:$K$4, " ",-1)</f>
        <v>Medium</v>
      </c>
      <c r="Q1408" t="str">
        <f xml:space="preserve"> _xlfn.XLOOKUP(M1408, Lookup_Tables!$M$2:$M$5,Lookup_Tables!$N$2:$N$5," ", -1)</f>
        <v>Established (5-10)</v>
      </c>
      <c r="R1408" s="4">
        <f t="shared" si="43"/>
        <v>2.3333333333333335</v>
      </c>
      <c r="S1408" t="str">
        <f xml:space="preserve"> _xlfn.XLOOKUP( E1408, Lookup_Tables!$A$2:$A$6,Lookup_Tables!$B$2:$B$6," ", -1)</f>
        <v>Bachelor</v>
      </c>
      <c r="T1408" t="str">
        <f>_xlfn.XLOOKUP(G1408,Lookup_Tables!$D$2:$D$5,Lookup_Tables!$E$2:$E$5)</f>
        <v>High</v>
      </c>
      <c r="U1408" t="str">
        <f>_xlfn.XLOOKUP(H1408,Lookup_Tables!$D$2:$D$5,Lookup_Tables!$E$2:$E$5)</f>
        <v>Low</v>
      </c>
      <c r="V1408" t="str">
        <f>_xlfn.XLOOKUP(L1408,Lookup_Tables!$D$2:$D$5,Lookup_Tables!$E$2:$E$5)</f>
        <v>High</v>
      </c>
    </row>
    <row r="1409" spans="1:22">
      <c r="A1409">
        <f>RAW_DATA!A1409</f>
        <v>24</v>
      </c>
      <c r="B1409" t="str">
        <f>RAW_DATA!B1409</f>
        <v>No</v>
      </c>
      <c r="C1409" t="str">
        <f>RAW_DATA!C1409</f>
        <v>Research &amp; Development</v>
      </c>
      <c r="D1409">
        <f>RAW_DATA!D1409</f>
        <v>1</v>
      </c>
      <c r="E1409">
        <f>RAW_DATA!E1409</f>
        <v>2</v>
      </c>
      <c r="F1409" t="str">
        <f>RAW_DATA!F1409</f>
        <v>Life Sciences</v>
      </c>
      <c r="G1409">
        <f>RAW_DATA!G1409</f>
        <v>2</v>
      </c>
      <c r="H1409">
        <f>RAW_DATA!H1409</f>
        <v>3</v>
      </c>
      <c r="I1409" t="str">
        <f>RAW_DATA!I1409</f>
        <v>Single</v>
      </c>
      <c r="J1409">
        <f>RAW_DATA!J1409</f>
        <v>4617</v>
      </c>
      <c r="K1409">
        <f>RAW_DATA!K1409</f>
        <v>1</v>
      </c>
      <c r="L1409">
        <f>RAW_DATA!L1409</f>
        <v>2</v>
      </c>
      <c r="M1409">
        <f>RAW_DATA!M1409</f>
        <v>4</v>
      </c>
      <c r="N1409">
        <f t="shared" si="42"/>
        <v>0</v>
      </c>
      <c r="O1409" t="str">
        <f xml:space="preserve"> VLOOKUP(A1409, Lookup_Tables!$G$2:$H$6,2,TRUE)</f>
        <v>&lt;25</v>
      </c>
      <c r="P1409" t="str">
        <f>_xlfn.XLOOKUP(J1409,Lookup_Tables!$J$2:$J$4,Lookup_Tables!$K$2:$K$4, " ",-1)</f>
        <v>Medium</v>
      </c>
      <c r="Q1409" t="str">
        <f xml:space="preserve"> _xlfn.XLOOKUP(M1409, Lookup_Tables!$M$2:$M$5,Lookup_Tables!$N$2:$N$5," ", -1)</f>
        <v>Early (2-5)</v>
      </c>
      <c r="R1409" s="4">
        <f t="shared" si="43"/>
        <v>2.3333333333333335</v>
      </c>
      <c r="S1409" t="str">
        <f xml:space="preserve"> _xlfn.XLOOKUP( E1409, Lookup_Tables!$A$2:$A$6,Lookup_Tables!$B$2:$B$6," ", -1)</f>
        <v>College</v>
      </c>
      <c r="T1409" t="str">
        <f>_xlfn.XLOOKUP(G1409,Lookup_Tables!$D$2:$D$5,Lookup_Tables!$E$2:$E$5)</f>
        <v>Medium</v>
      </c>
      <c r="U1409" t="str">
        <f>_xlfn.XLOOKUP(H1409,Lookup_Tables!$D$2:$D$5,Lookup_Tables!$E$2:$E$5)</f>
        <v>High</v>
      </c>
      <c r="V1409" t="str">
        <f>_xlfn.XLOOKUP(L1409,Lookup_Tables!$D$2:$D$5,Lookup_Tables!$E$2:$E$5)</f>
        <v>Medium</v>
      </c>
    </row>
    <row r="1410" spans="1:22">
      <c r="A1410">
        <f>RAW_DATA!A1410</f>
        <v>23</v>
      </c>
      <c r="B1410" t="str">
        <f>RAW_DATA!B1410</f>
        <v>No</v>
      </c>
      <c r="C1410" t="str">
        <f>RAW_DATA!C1410</f>
        <v>Research &amp; Development</v>
      </c>
      <c r="D1410">
        <f>RAW_DATA!D1410</f>
        <v>12</v>
      </c>
      <c r="E1410">
        <f>RAW_DATA!E1410</f>
        <v>2</v>
      </c>
      <c r="F1410" t="str">
        <f>RAW_DATA!F1410</f>
        <v>Other</v>
      </c>
      <c r="G1410">
        <f>RAW_DATA!G1410</f>
        <v>4</v>
      </c>
      <c r="H1410">
        <f>RAW_DATA!H1410</f>
        <v>4</v>
      </c>
      <c r="I1410" t="str">
        <f>RAW_DATA!I1410</f>
        <v>Single</v>
      </c>
      <c r="J1410">
        <f>RAW_DATA!J1410</f>
        <v>2647</v>
      </c>
      <c r="K1410">
        <f>RAW_DATA!K1410</f>
        <v>1</v>
      </c>
      <c r="L1410">
        <f>RAW_DATA!L1410</f>
        <v>4</v>
      </c>
      <c r="M1410">
        <f>RAW_DATA!M1410</f>
        <v>5</v>
      </c>
      <c r="N1410">
        <f t="shared" si="42"/>
        <v>0</v>
      </c>
      <c r="O1410" t="str">
        <f xml:space="preserve"> VLOOKUP(A1410, Lookup_Tables!$G$2:$H$6,2,TRUE)</f>
        <v>&lt;25</v>
      </c>
      <c r="P1410" t="str">
        <f>_xlfn.XLOOKUP(J1410,Lookup_Tables!$J$2:$J$4,Lookup_Tables!$K$2:$K$4, " ",-1)</f>
        <v>Low</v>
      </c>
      <c r="Q1410" t="str">
        <f xml:space="preserve"> _xlfn.XLOOKUP(M1410, Lookup_Tables!$M$2:$M$5,Lookup_Tables!$N$2:$N$5," ", -1)</f>
        <v>Established (5-10)</v>
      </c>
      <c r="R1410" s="4">
        <f t="shared" si="43"/>
        <v>4</v>
      </c>
      <c r="S1410" t="str">
        <f xml:space="preserve"> _xlfn.XLOOKUP( E1410, Lookup_Tables!$A$2:$A$6,Lookup_Tables!$B$2:$B$6," ", -1)</f>
        <v>College</v>
      </c>
      <c r="T1410" t="str">
        <f>_xlfn.XLOOKUP(G1410,Lookup_Tables!$D$2:$D$5,Lookup_Tables!$E$2:$E$5)</f>
        <v>Very High</v>
      </c>
      <c r="U1410" t="str">
        <f>_xlfn.XLOOKUP(H1410,Lookup_Tables!$D$2:$D$5,Lookup_Tables!$E$2:$E$5)</f>
        <v>Very High</v>
      </c>
      <c r="V1410" t="str">
        <f>_xlfn.XLOOKUP(L1410,Lookup_Tables!$D$2:$D$5,Lookup_Tables!$E$2:$E$5)</f>
        <v>Very High</v>
      </c>
    </row>
    <row r="1411" spans="1:22">
      <c r="A1411">
        <f>RAW_DATA!A1411</f>
        <v>40</v>
      </c>
      <c r="B1411" t="str">
        <f>RAW_DATA!B1411</f>
        <v>No</v>
      </c>
      <c r="C1411" t="str">
        <f>RAW_DATA!C1411</f>
        <v>Research &amp; Development</v>
      </c>
      <c r="D1411">
        <f>RAW_DATA!D1411</f>
        <v>11</v>
      </c>
      <c r="E1411">
        <f>RAW_DATA!E1411</f>
        <v>3</v>
      </c>
      <c r="F1411" t="str">
        <f>RAW_DATA!F1411</f>
        <v>Technical Degree</v>
      </c>
      <c r="G1411">
        <f>RAW_DATA!G1411</f>
        <v>4</v>
      </c>
      <c r="H1411">
        <f>RAW_DATA!H1411</f>
        <v>3</v>
      </c>
      <c r="I1411" t="str">
        <f>RAW_DATA!I1411</f>
        <v>Married</v>
      </c>
      <c r="J1411">
        <f>RAW_DATA!J1411</f>
        <v>6323</v>
      </c>
      <c r="K1411">
        <f>RAW_DATA!K1411</f>
        <v>1</v>
      </c>
      <c r="L1411">
        <f>RAW_DATA!L1411</f>
        <v>4</v>
      </c>
      <c r="M1411">
        <f>RAW_DATA!M1411</f>
        <v>10</v>
      </c>
      <c r="N1411">
        <f t="shared" ref="N1411:N1471" si="44" xml:space="preserve"> IF(B1411 ="Yes",1,0)</f>
        <v>0</v>
      </c>
      <c r="O1411" t="str">
        <f xml:space="preserve"> VLOOKUP(A1411, Lookup_Tables!$G$2:$H$6,2,TRUE)</f>
        <v>35-44</v>
      </c>
      <c r="P1411" t="str">
        <f>_xlfn.XLOOKUP(J1411,Lookup_Tables!$J$2:$J$4,Lookup_Tables!$K$2:$K$4, " ",-1)</f>
        <v>Medium</v>
      </c>
      <c r="Q1411" t="str">
        <f xml:space="preserve"> _xlfn.XLOOKUP(M1411, Lookup_Tables!$M$2:$M$5,Lookup_Tables!$N$2:$N$5," ", -1)</f>
        <v>Veteran (10+)</v>
      </c>
      <c r="R1411" s="4">
        <f t="shared" ref="R1411:R1471" si="45">AVERAGE(G1411,H1411,L1411)</f>
        <v>3.6666666666666665</v>
      </c>
      <c r="S1411" t="str">
        <f xml:space="preserve"> _xlfn.XLOOKUP( E1411, Lookup_Tables!$A$2:$A$6,Lookup_Tables!$B$2:$B$6," ", -1)</f>
        <v>Bachelor</v>
      </c>
      <c r="T1411" t="str">
        <f>_xlfn.XLOOKUP(G1411,Lookup_Tables!$D$2:$D$5,Lookup_Tables!$E$2:$E$5)</f>
        <v>Very High</v>
      </c>
      <c r="U1411" t="str">
        <f>_xlfn.XLOOKUP(H1411,Lookup_Tables!$D$2:$D$5,Lookup_Tables!$E$2:$E$5)</f>
        <v>High</v>
      </c>
      <c r="V1411" t="str">
        <f>_xlfn.XLOOKUP(L1411,Lookup_Tables!$D$2:$D$5,Lookup_Tables!$E$2:$E$5)</f>
        <v>Very High</v>
      </c>
    </row>
    <row r="1412" spans="1:22">
      <c r="A1412">
        <f>RAW_DATA!A1412</f>
        <v>40</v>
      </c>
      <c r="B1412" t="str">
        <f>RAW_DATA!B1412</f>
        <v>No</v>
      </c>
      <c r="C1412" t="str">
        <f>RAW_DATA!C1412</f>
        <v>Sales</v>
      </c>
      <c r="D1412">
        <f>RAW_DATA!D1412</f>
        <v>2</v>
      </c>
      <c r="E1412">
        <f>RAW_DATA!E1412</f>
        <v>2</v>
      </c>
      <c r="F1412" t="str">
        <f>RAW_DATA!F1412</f>
        <v>Marketing</v>
      </c>
      <c r="G1412">
        <f>RAW_DATA!G1412</f>
        <v>2</v>
      </c>
      <c r="H1412">
        <f>RAW_DATA!H1412</f>
        <v>2</v>
      </c>
      <c r="I1412" t="str">
        <f>RAW_DATA!I1412</f>
        <v>Married</v>
      </c>
      <c r="J1412">
        <f>RAW_DATA!J1412</f>
        <v>5677</v>
      </c>
      <c r="K1412">
        <f>RAW_DATA!K1412</f>
        <v>3</v>
      </c>
      <c r="L1412">
        <f>RAW_DATA!L1412</f>
        <v>3</v>
      </c>
      <c r="M1412">
        <f>RAW_DATA!M1412</f>
        <v>11</v>
      </c>
      <c r="N1412">
        <f t="shared" si="44"/>
        <v>0</v>
      </c>
      <c r="O1412" t="str">
        <f xml:space="preserve"> VLOOKUP(A1412, Lookup_Tables!$G$2:$H$6,2,TRUE)</f>
        <v>35-44</v>
      </c>
      <c r="P1412" t="str">
        <f>_xlfn.XLOOKUP(J1412,Lookup_Tables!$J$2:$J$4,Lookup_Tables!$K$2:$K$4, " ",-1)</f>
        <v>Medium</v>
      </c>
      <c r="Q1412" t="str">
        <f xml:space="preserve"> _xlfn.XLOOKUP(M1412, Lookup_Tables!$M$2:$M$5,Lookup_Tables!$N$2:$N$5," ", -1)</f>
        <v>Veteran (10+)</v>
      </c>
      <c r="R1412" s="4">
        <f t="shared" si="45"/>
        <v>2.3333333333333335</v>
      </c>
      <c r="S1412" t="str">
        <f xml:space="preserve"> _xlfn.XLOOKUP( E1412, Lookup_Tables!$A$2:$A$6,Lookup_Tables!$B$2:$B$6," ", -1)</f>
        <v>College</v>
      </c>
      <c r="T1412" t="str">
        <f>_xlfn.XLOOKUP(G1412,Lookup_Tables!$D$2:$D$5,Lookup_Tables!$E$2:$E$5)</f>
        <v>Medium</v>
      </c>
      <c r="U1412" t="str">
        <f>_xlfn.XLOOKUP(H1412,Lookup_Tables!$D$2:$D$5,Lookup_Tables!$E$2:$E$5)</f>
        <v>Medium</v>
      </c>
      <c r="V1412" t="str">
        <f>_xlfn.XLOOKUP(L1412,Lookup_Tables!$D$2:$D$5,Lookup_Tables!$E$2:$E$5)</f>
        <v>High</v>
      </c>
    </row>
    <row r="1413" spans="1:22">
      <c r="A1413">
        <f>RAW_DATA!A1413</f>
        <v>25</v>
      </c>
      <c r="B1413" t="str">
        <f>RAW_DATA!B1413</f>
        <v>No</v>
      </c>
      <c r="C1413" t="str">
        <f>RAW_DATA!C1413</f>
        <v>Human Resources</v>
      </c>
      <c r="D1413">
        <f>RAW_DATA!D1413</f>
        <v>2</v>
      </c>
      <c r="E1413">
        <f>RAW_DATA!E1413</f>
        <v>3</v>
      </c>
      <c r="F1413" t="str">
        <f>RAW_DATA!F1413</f>
        <v>Human Resources</v>
      </c>
      <c r="G1413">
        <f>RAW_DATA!G1413</f>
        <v>3</v>
      </c>
      <c r="H1413">
        <f>RAW_DATA!H1413</f>
        <v>2</v>
      </c>
      <c r="I1413" t="str">
        <f>RAW_DATA!I1413</f>
        <v>Married</v>
      </c>
      <c r="J1413">
        <f>RAW_DATA!J1413</f>
        <v>2187</v>
      </c>
      <c r="K1413">
        <f>RAW_DATA!K1413</f>
        <v>4</v>
      </c>
      <c r="L1413">
        <f>RAW_DATA!L1413</f>
        <v>3</v>
      </c>
      <c r="M1413">
        <f>RAW_DATA!M1413</f>
        <v>2</v>
      </c>
      <c r="N1413">
        <f t="shared" si="44"/>
        <v>0</v>
      </c>
      <c r="O1413" t="str">
        <f xml:space="preserve"> VLOOKUP(A1413, Lookup_Tables!$G$2:$H$6,2,TRUE)</f>
        <v>25-34</v>
      </c>
      <c r="P1413" t="str">
        <f>_xlfn.XLOOKUP(J1413,Lookup_Tables!$J$2:$J$4,Lookup_Tables!$K$2:$K$4, " ",-1)</f>
        <v>Low</v>
      </c>
      <c r="Q1413" t="str">
        <f xml:space="preserve"> _xlfn.XLOOKUP(M1413, Lookup_Tables!$M$2:$M$5,Lookup_Tables!$N$2:$N$5," ", -1)</f>
        <v>Early (2-5)</v>
      </c>
      <c r="R1413" s="4">
        <f t="shared" si="45"/>
        <v>2.6666666666666665</v>
      </c>
      <c r="S1413" t="str">
        <f xml:space="preserve"> _xlfn.XLOOKUP( E1413, Lookup_Tables!$A$2:$A$6,Lookup_Tables!$B$2:$B$6," ", -1)</f>
        <v>Bachelor</v>
      </c>
      <c r="T1413" t="str">
        <f>_xlfn.XLOOKUP(G1413,Lookup_Tables!$D$2:$D$5,Lookup_Tables!$E$2:$E$5)</f>
        <v>High</v>
      </c>
      <c r="U1413" t="str">
        <f>_xlfn.XLOOKUP(H1413,Lookup_Tables!$D$2:$D$5,Lookup_Tables!$E$2:$E$5)</f>
        <v>Medium</v>
      </c>
      <c r="V1413" t="str">
        <f>_xlfn.XLOOKUP(L1413,Lookup_Tables!$D$2:$D$5,Lookup_Tables!$E$2:$E$5)</f>
        <v>High</v>
      </c>
    </row>
    <row r="1414" spans="1:22">
      <c r="A1414">
        <f>RAW_DATA!A1414</f>
        <v>30</v>
      </c>
      <c r="B1414" t="str">
        <f>RAW_DATA!B1414</f>
        <v>No</v>
      </c>
      <c r="C1414" t="str">
        <f>RAW_DATA!C1414</f>
        <v>Research &amp; Development</v>
      </c>
      <c r="D1414">
        <f>RAW_DATA!D1414</f>
        <v>1</v>
      </c>
      <c r="E1414">
        <f>RAW_DATA!E1414</f>
        <v>2</v>
      </c>
      <c r="F1414" t="str">
        <f>RAW_DATA!F1414</f>
        <v>Medical</v>
      </c>
      <c r="G1414">
        <f>RAW_DATA!G1414</f>
        <v>4</v>
      </c>
      <c r="H1414">
        <f>RAW_DATA!H1414</f>
        <v>2</v>
      </c>
      <c r="I1414" t="str">
        <f>RAW_DATA!I1414</f>
        <v>Married</v>
      </c>
      <c r="J1414">
        <f>RAW_DATA!J1414</f>
        <v>3748</v>
      </c>
      <c r="K1414">
        <f>RAW_DATA!K1414</f>
        <v>1</v>
      </c>
      <c r="L1414">
        <f>RAW_DATA!L1414</f>
        <v>2</v>
      </c>
      <c r="M1414">
        <f>RAW_DATA!M1414</f>
        <v>12</v>
      </c>
      <c r="N1414">
        <f t="shared" si="44"/>
        <v>0</v>
      </c>
      <c r="O1414" t="str">
        <f xml:space="preserve"> VLOOKUP(A1414, Lookup_Tables!$G$2:$H$6,2,TRUE)</f>
        <v>25-34</v>
      </c>
      <c r="P1414" t="str">
        <f>_xlfn.XLOOKUP(J1414,Lookup_Tables!$J$2:$J$4,Lookup_Tables!$K$2:$K$4, " ",-1)</f>
        <v>Medium</v>
      </c>
      <c r="Q1414" t="str">
        <f xml:space="preserve"> _xlfn.XLOOKUP(M1414, Lookup_Tables!$M$2:$M$5,Lookup_Tables!$N$2:$N$5," ", -1)</f>
        <v>Veteran (10+)</v>
      </c>
      <c r="R1414" s="4">
        <f t="shared" si="45"/>
        <v>2.6666666666666665</v>
      </c>
      <c r="S1414" t="str">
        <f xml:space="preserve"> _xlfn.XLOOKUP( E1414, Lookup_Tables!$A$2:$A$6,Lookup_Tables!$B$2:$B$6," ", -1)</f>
        <v>College</v>
      </c>
      <c r="T1414" t="str">
        <f>_xlfn.XLOOKUP(G1414,Lookup_Tables!$D$2:$D$5,Lookup_Tables!$E$2:$E$5)</f>
        <v>Very High</v>
      </c>
      <c r="U1414" t="str">
        <f>_xlfn.XLOOKUP(H1414,Lookup_Tables!$D$2:$D$5,Lookup_Tables!$E$2:$E$5)</f>
        <v>Medium</v>
      </c>
      <c r="V1414" t="str">
        <f>_xlfn.XLOOKUP(L1414,Lookup_Tables!$D$2:$D$5,Lookup_Tables!$E$2:$E$5)</f>
        <v>Medium</v>
      </c>
    </row>
    <row r="1415" spans="1:22">
      <c r="A1415">
        <f>RAW_DATA!A1415</f>
        <v>25</v>
      </c>
      <c r="B1415" t="str">
        <f>RAW_DATA!B1415</f>
        <v>No</v>
      </c>
      <c r="C1415" t="str">
        <f>RAW_DATA!C1415</f>
        <v>Research &amp; Development</v>
      </c>
      <c r="D1415">
        <f>RAW_DATA!D1415</f>
        <v>2</v>
      </c>
      <c r="E1415">
        <f>RAW_DATA!E1415</f>
        <v>1</v>
      </c>
      <c r="F1415" t="str">
        <f>RAW_DATA!F1415</f>
        <v>Other</v>
      </c>
      <c r="G1415">
        <f>RAW_DATA!G1415</f>
        <v>4</v>
      </c>
      <c r="H1415">
        <f>RAW_DATA!H1415</f>
        <v>3</v>
      </c>
      <c r="I1415" t="str">
        <f>RAW_DATA!I1415</f>
        <v>Divorced</v>
      </c>
      <c r="J1415">
        <f>RAW_DATA!J1415</f>
        <v>3977</v>
      </c>
      <c r="K1415">
        <f>RAW_DATA!K1415</f>
        <v>6</v>
      </c>
      <c r="L1415">
        <f>RAW_DATA!L1415</f>
        <v>2</v>
      </c>
      <c r="M1415">
        <f>RAW_DATA!M1415</f>
        <v>2</v>
      </c>
      <c r="N1415">
        <f t="shared" si="44"/>
        <v>0</v>
      </c>
      <c r="O1415" t="str">
        <f xml:space="preserve"> VLOOKUP(A1415, Lookup_Tables!$G$2:$H$6,2,TRUE)</f>
        <v>25-34</v>
      </c>
      <c r="P1415" t="str">
        <f>_xlfn.XLOOKUP(J1415,Lookup_Tables!$J$2:$J$4,Lookup_Tables!$K$2:$K$4, " ",-1)</f>
        <v>Medium</v>
      </c>
      <c r="Q1415" t="str">
        <f xml:space="preserve"> _xlfn.XLOOKUP(M1415, Lookup_Tables!$M$2:$M$5,Lookup_Tables!$N$2:$N$5," ", -1)</f>
        <v>Early (2-5)</v>
      </c>
      <c r="R1415" s="4">
        <f t="shared" si="45"/>
        <v>3</v>
      </c>
      <c r="S1415" t="str">
        <f xml:space="preserve"> _xlfn.XLOOKUP( E1415, Lookup_Tables!$A$2:$A$6,Lookup_Tables!$B$2:$B$6," ", -1)</f>
        <v>Below College</v>
      </c>
      <c r="T1415" t="str">
        <f>_xlfn.XLOOKUP(G1415,Lookup_Tables!$D$2:$D$5,Lookup_Tables!$E$2:$E$5)</f>
        <v>Very High</v>
      </c>
      <c r="U1415" t="str">
        <f>_xlfn.XLOOKUP(H1415,Lookup_Tables!$D$2:$D$5,Lookup_Tables!$E$2:$E$5)</f>
        <v>High</v>
      </c>
      <c r="V1415" t="str">
        <f>_xlfn.XLOOKUP(L1415,Lookup_Tables!$D$2:$D$5,Lookup_Tables!$E$2:$E$5)</f>
        <v>Medium</v>
      </c>
    </row>
    <row r="1416" spans="1:22">
      <c r="A1416">
        <f>RAW_DATA!A1416</f>
        <v>47</v>
      </c>
      <c r="B1416" t="str">
        <f>RAW_DATA!B1416</f>
        <v>No</v>
      </c>
      <c r="C1416" t="str">
        <f>RAW_DATA!C1416</f>
        <v>Research &amp; Development</v>
      </c>
      <c r="D1416">
        <f>RAW_DATA!D1416</f>
        <v>25</v>
      </c>
      <c r="E1416">
        <f>RAW_DATA!E1416</f>
        <v>3</v>
      </c>
      <c r="F1416" t="str">
        <f>RAW_DATA!F1416</f>
        <v>Medical</v>
      </c>
      <c r="G1416">
        <f>RAW_DATA!G1416</f>
        <v>1</v>
      </c>
      <c r="H1416">
        <f>RAW_DATA!H1416</f>
        <v>3</v>
      </c>
      <c r="I1416" t="str">
        <f>RAW_DATA!I1416</f>
        <v>Single</v>
      </c>
      <c r="J1416">
        <f>RAW_DATA!J1416</f>
        <v>8633</v>
      </c>
      <c r="K1416">
        <f>RAW_DATA!K1416</f>
        <v>2</v>
      </c>
      <c r="L1416">
        <f>RAW_DATA!L1416</f>
        <v>3</v>
      </c>
      <c r="M1416">
        <f>RAW_DATA!M1416</f>
        <v>17</v>
      </c>
      <c r="N1416">
        <f t="shared" si="44"/>
        <v>0</v>
      </c>
      <c r="O1416" t="str">
        <f xml:space="preserve"> VLOOKUP(A1416, Lookup_Tables!$G$2:$H$6,2,TRUE)</f>
        <v>45-54</v>
      </c>
      <c r="P1416" t="str">
        <f>_xlfn.XLOOKUP(J1416,Lookup_Tables!$J$2:$J$4,Lookup_Tables!$K$2:$K$4, " ",-1)</f>
        <v>High</v>
      </c>
      <c r="Q1416" t="str">
        <f xml:space="preserve"> _xlfn.XLOOKUP(M1416, Lookup_Tables!$M$2:$M$5,Lookup_Tables!$N$2:$N$5," ", -1)</f>
        <v>Veteran (10+)</v>
      </c>
      <c r="R1416" s="4">
        <f t="shared" si="45"/>
        <v>2.3333333333333335</v>
      </c>
      <c r="S1416" t="str">
        <f xml:space="preserve"> _xlfn.XLOOKUP( E1416, Lookup_Tables!$A$2:$A$6,Lookup_Tables!$B$2:$B$6," ", -1)</f>
        <v>Bachelor</v>
      </c>
      <c r="T1416" t="str">
        <f>_xlfn.XLOOKUP(G1416,Lookup_Tables!$D$2:$D$5,Lookup_Tables!$E$2:$E$5)</f>
        <v>Low</v>
      </c>
      <c r="U1416" t="str">
        <f>_xlfn.XLOOKUP(H1416,Lookup_Tables!$D$2:$D$5,Lookup_Tables!$E$2:$E$5)</f>
        <v>High</v>
      </c>
      <c r="V1416" t="str">
        <f>_xlfn.XLOOKUP(L1416,Lookup_Tables!$D$2:$D$5,Lookup_Tables!$E$2:$E$5)</f>
        <v>High</v>
      </c>
    </row>
    <row r="1417" spans="1:22">
      <c r="A1417">
        <f>RAW_DATA!A1417</f>
        <v>33</v>
      </c>
      <c r="B1417" t="str">
        <f>RAW_DATA!B1417</f>
        <v>No</v>
      </c>
      <c r="C1417" t="str">
        <f>RAW_DATA!C1417</f>
        <v>Research &amp; Development</v>
      </c>
      <c r="D1417">
        <f>RAW_DATA!D1417</f>
        <v>1</v>
      </c>
      <c r="E1417">
        <f>RAW_DATA!E1417</f>
        <v>2</v>
      </c>
      <c r="F1417" t="str">
        <f>RAW_DATA!F1417</f>
        <v>Medical</v>
      </c>
      <c r="G1417">
        <f>RAW_DATA!G1417</f>
        <v>2</v>
      </c>
      <c r="H1417">
        <f>RAW_DATA!H1417</f>
        <v>3</v>
      </c>
      <c r="I1417" t="str">
        <f>RAW_DATA!I1417</f>
        <v>Divorced</v>
      </c>
      <c r="J1417">
        <f>RAW_DATA!J1417</f>
        <v>2008</v>
      </c>
      <c r="K1417">
        <f>RAW_DATA!K1417</f>
        <v>1</v>
      </c>
      <c r="L1417">
        <f>RAW_DATA!L1417</f>
        <v>2</v>
      </c>
      <c r="M1417">
        <f>RAW_DATA!M1417</f>
        <v>1</v>
      </c>
      <c r="N1417">
        <f t="shared" si="44"/>
        <v>0</v>
      </c>
      <c r="O1417" t="str">
        <f xml:space="preserve"> VLOOKUP(A1417, Lookup_Tables!$G$2:$H$6,2,TRUE)</f>
        <v>25-34</v>
      </c>
      <c r="P1417" t="str">
        <f>_xlfn.XLOOKUP(J1417,Lookup_Tables!$J$2:$J$4,Lookup_Tables!$K$2:$K$4, " ",-1)</f>
        <v>Low</v>
      </c>
      <c r="Q1417" t="str">
        <f xml:space="preserve"> _xlfn.XLOOKUP(M1417, Lookup_Tables!$M$2:$M$5,Lookup_Tables!$N$2:$N$5," ", -1)</f>
        <v>New (0-2)</v>
      </c>
      <c r="R1417" s="4">
        <f t="shared" si="45"/>
        <v>2.3333333333333335</v>
      </c>
      <c r="S1417" t="str">
        <f xml:space="preserve"> _xlfn.XLOOKUP( E1417, Lookup_Tables!$A$2:$A$6,Lookup_Tables!$B$2:$B$6," ", -1)</f>
        <v>College</v>
      </c>
      <c r="T1417" t="str">
        <f>_xlfn.XLOOKUP(G1417,Lookup_Tables!$D$2:$D$5,Lookup_Tables!$E$2:$E$5)</f>
        <v>Medium</v>
      </c>
      <c r="U1417" t="str">
        <f>_xlfn.XLOOKUP(H1417,Lookup_Tables!$D$2:$D$5,Lookup_Tables!$E$2:$E$5)</f>
        <v>High</v>
      </c>
      <c r="V1417" t="str">
        <f>_xlfn.XLOOKUP(L1417,Lookup_Tables!$D$2:$D$5,Lookup_Tables!$E$2:$E$5)</f>
        <v>Medium</v>
      </c>
    </row>
    <row r="1418" spans="1:22">
      <c r="A1418">
        <f>RAW_DATA!A1418</f>
        <v>38</v>
      </c>
      <c r="B1418" t="str">
        <f>RAW_DATA!B1418</f>
        <v>No</v>
      </c>
      <c r="C1418" t="str">
        <f>RAW_DATA!C1418</f>
        <v>Sales</v>
      </c>
      <c r="D1418">
        <f>RAW_DATA!D1418</f>
        <v>1</v>
      </c>
      <c r="E1418">
        <f>RAW_DATA!E1418</f>
        <v>4</v>
      </c>
      <c r="F1418" t="str">
        <f>RAW_DATA!F1418</f>
        <v>Life Sciences</v>
      </c>
      <c r="G1418">
        <f>RAW_DATA!G1418</f>
        <v>4</v>
      </c>
      <c r="H1418">
        <f>RAW_DATA!H1418</f>
        <v>2</v>
      </c>
      <c r="I1418" t="str">
        <f>RAW_DATA!I1418</f>
        <v>Married</v>
      </c>
      <c r="J1418">
        <f>RAW_DATA!J1418</f>
        <v>4440</v>
      </c>
      <c r="K1418">
        <f>RAW_DATA!K1418</f>
        <v>0</v>
      </c>
      <c r="L1418">
        <f>RAW_DATA!L1418</f>
        <v>3</v>
      </c>
      <c r="M1418">
        <f>RAW_DATA!M1418</f>
        <v>15</v>
      </c>
      <c r="N1418">
        <f t="shared" si="44"/>
        <v>0</v>
      </c>
      <c r="O1418" t="str">
        <f xml:space="preserve"> VLOOKUP(A1418, Lookup_Tables!$G$2:$H$6,2,TRUE)</f>
        <v>35-44</v>
      </c>
      <c r="P1418" t="str">
        <f>_xlfn.XLOOKUP(J1418,Lookup_Tables!$J$2:$J$4,Lookup_Tables!$K$2:$K$4, " ",-1)</f>
        <v>Medium</v>
      </c>
      <c r="Q1418" t="str">
        <f xml:space="preserve"> _xlfn.XLOOKUP(M1418, Lookup_Tables!$M$2:$M$5,Lookup_Tables!$N$2:$N$5," ", -1)</f>
        <v>Veteran (10+)</v>
      </c>
      <c r="R1418" s="4">
        <f t="shared" si="45"/>
        <v>3</v>
      </c>
      <c r="S1418" t="str">
        <f xml:space="preserve"> _xlfn.XLOOKUP( E1418, Lookup_Tables!$A$2:$A$6,Lookup_Tables!$B$2:$B$6," ", -1)</f>
        <v>Master</v>
      </c>
      <c r="T1418" t="str">
        <f>_xlfn.XLOOKUP(G1418,Lookup_Tables!$D$2:$D$5,Lookup_Tables!$E$2:$E$5)</f>
        <v>Very High</v>
      </c>
      <c r="U1418" t="str">
        <f>_xlfn.XLOOKUP(H1418,Lookup_Tables!$D$2:$D$5,Lookup_Tables!$E$2:$E$5)</f>
        <v>Medium</v>
      </c>
      <c r="V1418" t="str">
        <f>_xlfn.XLOOKUP(L1418,Lookup_Tables!$D$2:$D$5,Lookup_Tables!$E$2:$E$5)</f>
        <v>High</v>
      </c>
    </row>
    <row r="1419" spans="1:22">
      <c r="A1419">
        <f>RAW_DATA!A1419</f>
        <v>31</v>
      </c>
      <c r="B1419" t="str">
        <f>RAW_DATA!B1419</f>
        <v>No</v>
      </c>
      <c r="C1419" t="str">
        <f>RAW_DATA!C1419</f>
        <v>Sales</v>
      </c>
      <c r="D1419">
        <f>RAW_DATA!D1419</f>
        <v>2</v>
      </c>
      <c r="E1419">
        <f>RAW_DATA!E1419</f>
        <v>2</v>
      </c>
      <c r="F1419" t="str">
        <f>RAW_DATA!F1419</f>
        <v>Life Sciences</v>
      </c>
      <c r="G1419">
        <f>RAW_DATA!G1419</f>
        <v>1</v>
      </c>
      <c r="H1419">
        <f>RAW_DATA!H1419</f>
        <v>3</v>
      </c>
      <c r="I1419" t="str">
        <f>RAW_DATA!I1419</f>
        <v>Married</v>
      </c>
      <c r="J1419">
        <f>RAW_DATA!J1419</f>
        <v>3067</v>
      </c>
      <c r="K1419">
        <f>RAW_DATA!K1419</f>
        <v>0</v>
      </c>
      <c r="L1419">
        <f>RAW_DATA!L1419</f>
        <v>3</v>
      </c>
      <c r="M1419">
        <f>RAW_DATA!M1419</f>
        <v>2</v>
      </c>
      <c r="N1419">
        <f t="shared" si="44"/>
        <v>0</v>
      </c>
      <c r="O1419" t="str">
        <f xml:space="preserve"> VLOOKUP(A1419, Lookup_Tables!$G$2:$H$6,2,TRUE)</f>
        <v>25-34</v>
      </c>
      <c r="P1419" t="str">
        <f>_xlfn.XLOOKUP(J1419,Lookup_Tables!$J$2:$J$4,Lookup_Tables!$K$2:$K$4, " ",-1)</f>
        <v>Medium</v>
      </c>
      <c r="Q1419" t="str">
        <f xml:space="preserve"> _xlfn.XLOOKUP(M1419, Lookup_Tables!$M$2:$M$5,Lookup_Tables!$N$2:$N$5," ", -1)</f>
        <v>Early (2-5)</v>
      </c>
      <c r="R1419" s="4">
        <f t="shared" si="45"/>
        <v>2.3333333333333335</v>
      </c>
      <c r="S1419" t="str">
        <f xml:space="preserve"> _xlfn.XLOOKUP( E1419, Lookup_Tables!$A$2:$A$6,Lookup_Tables!$B$2:$B$6," ", -1)</f>
        <v>College</v>
      </c>
      <c r="T1419" t="str">
        <f>_xlfn.XLOOKUP(G1419,Lookup_Tables!$D$2:$D$5,Lookup_Tables!$E$2:$E$5)</f>
        <v>Low</v>
      </c>
      <c r="U1419" t="str">
        <f>_xlfn.XLOOKUP(H1419,Lookup_Tables!$D$2:$D$5,Lookup_Tables!$E$2:$E$5)</f>
        <v>High</v>
      </c>
      <c r="V1419" t="str">
        <f>_xlfn.XLOOKUP(L1419,Lookup_Tables!$D$2:$D$5,Lookup_Tables!$E$2:$E$5)</f>
        <v>High</v>
      </c>
    </row>
    <row r="1420" spans="1:22">
      <c r="A1420">
        <f>RAW_DATA!A1420</f>
        <v>38</v>
      </c>
      <c r="B1420" t="str">
        <f>RAW_DATA!B1420</f>
        <v>No</v>
      </c>
      <c r="C1420" t="str">
        <f>RAW_DATA!C1420</f>
        <v>Research &amp; Development</v>
      </c>
      <c r="D1420">
        <f>RAW_DATA!D1420</f>
        <v>6</v>
      </c>
      <c r="E1420">
        <f>RAW_DATA!E1420</f>
        <v>4</v>
      </c>
      <c r="F1420" t="str">
        <f>RAW_DATA!F1420</f>
        <v>Life Sciences</v>
      </c>
      <c r="G1420">
        <f>RAW_DATA!G1420</f>
        <v>1</v>
      </c>
      <c r="H1420">
        <f>RAW_DATA!H1420</f>
        <v>3</v>
      </c>
      <c r="I1420" t="str">
        <f>RAW_DATA!I1420</f>
        <v>Married</v>
      </c>
      <c r="J1420">
        <f>RAW_DATA!J1420</f>
        <v>5321</v>
      </c>
      <c r="K1420">
        <f>RAW_DATA!K1420</f>
        <v>2</v>
      </c>
      <c r="L1420">
        <f>RAW_DATA!L1420</f>
        <v>3</v>
      </c>
      <c r="M1420">
        <f>RAW_DATA!M1420</f>
        <v>8</v>
      </c>
      <c r="N1420">
        <f t="shared" si="44"/>
        <v>0</v>
      </c>
      <c r="O1420" t="str">
        <f xml:space="preserve"> VLOOKUP(A1420, Lookup_Tables!$G$2:$H$6,2,TRUE)</f>
        <v>35-44</v>
      </c>
      <c r="P1420" t="str">
        <f>_xlfn.XLOOKUP(J1420,Lookup_Tables!$J$2:$J$4,Lookup_Tables!$K$2:$K$4, " ",-1)</f>
        <v>Medium</v>
      </c>
      <c r="Q1420" t="str">
        <f xml:space="preserve"> _xlfn.XLOOKUP(M1420, Lookup_Tables!$M$2:$M$5,Lookup_Tables!$N$2:$N$5," ", -1)</f>
        <v>Established (5-10)</v>
      </c>
      <c r="R1420" s="4">
        <f t="shared" si="45"/>
        <v>2.3333333333333335</v>
      </c>
      <c r="S1420" t="str">
        <f xml:space="preserve"> _xlfn.XLOOKUP( E1420, Lookup_Tables!$A$2:$A$6,Lookup_Tables!$B$2:$B$6," ", -1)</f>
        <v>Master</v>
      </c>
      <c r="T1420" t="str">
        <f>_xlfn.XLOOKUP(G1420,Lookup_Tables!$D$2:$D$5,Lookup_Tables!$E$2:$E$5)</f>
        <v>Low</v>
      </c>
      <c r="U1420" t="str">
        <f>_xlfn.XLOOKUP(H1420,Lookup_Tables!$D$2:$D$5,Lookup_Tables!$E$2:$E$5)</f>
        <v>High</v>
      </c>
      <c r="V1420" t="str">
        <f>_xlfn.XLOOKUP(L1420,Lookup_Tables!$D$2:$D$5,Lookup_Tables!$E$2:$E$5)</f>
        <v>High</v>
      </c>
    </row>
    <row r="1421" spans="1:22">
      <c r="A1421">
        <f>RAW_DATA!A1421</f>
        <v>42</v>
      </c>
      <c r="B1421" t="str">
        <f>RAW_DATA!B1421</f>
        <v>No</v>
      </c>
      <c r="C1421" t="str">
        <f>RAW_DATA!C1421</f>
        <v>Research &amp; Development</v>
      </c>
      <c r="D1421">
        <f>RAW_DATA!D1421</f>
        <v>18</v>
      </c>
      <c r="E1421">
        <f>RAW_DATA!E1421</f>
        <v>4</v>
      </c>
      <c r="F1421" t="str">
        <f>RAW_DATA!F1421</f>
        <v>Life Sciences</v>
      </c>
      <c r="G1421">
        <f>RAW_DATA!G1421</f>
        <v>4</v>
      </c>
      <c r="H1421">
        <f>RAW_DATA!H1421</f>
        <v>1</v>
      </c>
      <c r="I1421" t="str">
        <f>RAW_DATA!I1421</f>
        <v>Divorced</v>
      </c>
      <c r="J1421">
        <f>RAW_DATA!J1421</f>
        <v>5410</v>
      </c>
      <c r="K1421">
        <f>RAW_DATA!K1421</f>
        <v>6</v>
      </c>
      <c r="L1421">
        <f>RAW_DATA!L1421</f>
        <v>2</v>
      </c>
      <c r="M1421">
        <f>RAW_DATA!M1421</f>
        <v>4</v>
      </c>
      <c r="N1421">
        <f t="shared" si="44"/>
        <v>0</v>
      </c>
      <c r="O1421" t="str">
        <f xml:space="preserve"> VLOOKUP(A1421, Lookup_Tables!$G$2:$H$6,2,TRUE)</f>
        <v>35-44</v>
      </c>
      <c r="P1421" t="str">
        <f>_xlfn.XLOOKUP(J1421,Lookup_Tables!$J$2:$J$4,Lookup_Tables!$K$2:$K$4, " ",-1)</f>
        <v>Medium</v>
      </c>
      <c r="Q1421" t="str">
        <f xml:space="preserve"> _xlfn.XLOOKUP(M1421, Lookup_Tables!$M$2:$M$5,Lookup_Tables!$N$2:$N$5," ", -1)</f>
        <v>Early (2-5)</v>
      </c>
      <c r="R1421" s="4">
        <f t="shared" si="45"/>
        <v>2.3333333333333335</v>
      </c>
      <c r="S1421" t="str">
        <f xml:space="preserve"> _xlfn.XLOOKUP( E1421, Lookup_Tables!$A$2:$A$6,Lookup_Tables!$B$2:$B$6," ", -1)</f>
        <v>Master</v>
      </c>
      <c r="T1421" t="str">
        <f>_xlfn.XLOOKUP(G1421,Lookup_Tables!$D$2:$D$5,Lookup_Tables!$E$2:$E$5)</f>
        <v>Very High</v>
      </c>
      <c r="U1421" t="str">
        <f>_xlfn.XLOOKUP(H1421,Lookup_Tables!$D$2:$D$5,Lookup_Tables!$E$2:$E$5)</f>
        <v>Low</v>
      </c>
      <c r="V1421" t="str">
        <f>_xlfn.XLOOKUP(L1421,Lookup_Tables!$D$2:$D$5,Lookup_Tables!$E$2:$E$5)</f>
        <v>Medium</v>
      </c>
    </row>
    <row r="1422" spans="1:22">
      <c r="A1422">
        <f>RAW_DATA!A1422</f>
        <v>41</v>
      </c>
      <c r="B1422" t="str">
        <f>RAW_DATA!B1422</f>
        <v>No</v>
      </c>
      <c r="C1422" t="str">
        <f>RAW_DATA!C1422</f>
        <v>Research &amp; Development</v>
      </c>
      <c r="D1422">
        <f>RAW_DATA!D1422</f>
        <v>1</v>
      </c>
      <c r="E1422">
        <f>RAW_DATA!E1422</f>
        <v>3</v>
      </c>
      <c r="F1422" t="str">
        <f>RAW_DATA!F1422</f>
        <v>Life Sciences</v>
      </c>
      <c r="G1422">
        <f>RAW_DATA!G1422</f>
        <v>4</v>
      </c>
      <c r="H1422">
        <f>RAW_DATA!H1422</f>
        <v>4</v>
      </c>
      <c r="I1422" t="str">
        <f>RAW_DATA!I1422</f>
        <v>Married</v>
      </c>
      <c r="J1422">
        <f>RAW_DATA!J1422</f>
        <v>2782</v>
      </c>
      <c r="K1422">
        <f>RAW_DATA!K1422</f>
        <v>3</v>
      </c>
      <c r="L1422">
        <f>RAW_DATA!L1422</f>
        <v>3</v>
      </c>
      <c r="M1422">
        <f>RAW_DATA!M1422</f>
        <v>5</v>
      </c>
      <c r="N1422">
        <f t="shared" si="44"/>
        <v>0</v>
      </c>
      <c r="O1422" t="str">
        <f xml:space="preserve"> VLOOKUP(A1422, Lookup_Tables!$G$2:$H$6,2,TRUE)</f>
        <v>35-44</v>
      </c>
      <c r="P1422" t="str">
        <f>_xlfn.XLOOKUP(J1422,Lookup_Tables!$J$2:$J$4,Lookup_Tables!$K$2:$K$4, " ",-1)</f>
        <v>Low</v>
      </c>
      <c r="Q1422" t="str">
        <f xml:space="preserve"> _xlfn.XLOOKUP(M1422, Lookup_Tables!$M$2:$M$5,Lookup_Tables!$N$2:$N$5," ", -1)</f>
        <v>Established (5-10)</v>
      </c>
      <c r="R1422" s="4">
        <f t="shared" si="45"/>
        <v>3.6666666666666665</v>
      </c>
      <c r="S1422" t="str">
        <f xml:space="preserve"> _xlfn.XLOOKUP( E1422, Lookup_Tables!$A$2:$A$6,Lookup_Tables!$B$2:$B$6," ", -1)</f>
        <v>Bachelor</v>
      </c>
      <c r="T1422" t="str">
        <f>_xlfn.XLOOKUP(G1422,Lookup_Tables!$D$2:$D$5,Lookup_Tables!$E$2:$E$5)</f>
        <v>Very High</v>
      </c>
      <c r="U1422" t="str">
        <f>_xlfn.XLOOKUP(H1422,Lookup_Tables!$D$2:$D$5,Lookup_Tables!$E$2:$E$5)</f>
        <v>Very High</v>
      </c>
      <c r="V1422" t="str">
        <f>_xlfn.XLOOKUP(L1422,Lookup_Tables!$D$2:$D$5,Lookup_Tables!$E$2:$E$5)</f>
        <v>High</v>
      </c>
    </row>
    <row r="1423" spans="1:22">
      <c r="A1423">
        <f>RAW_DATA!A1423</f>
        <v>47</v>
      </c>
      <c r="B1423" t="str">
        <f>RAW_DATA!B1423</f>
        <v>No</v>
      </c>
      <c r="C1423" t="str">
        <f>RAW_DATA!C1423</f>
        <v>Research &amp; Development</v>
      </c>
      <c r="D1423">
        <f>RAW_DATA!D1423</f>
        <v>1</v>
      </c>
      <c r="E1423">
        <f>RAW_DATA!E1423</f>
        <v>1</v>
      </c>
      <c r="F1423" t="str">
        <f>RAW_DATA!F1423</f>
        <v>Medical</v>
      </c>
      <c r="G1423">
        <f>RAW_DATA!G1423</f>
        <v>3</v>
      </c>
      <c r="H1423">
        <f>RAW_DATA!H1423</f>
        <v>2</v>
      </c>
      <c r="I1423" t="str">
        <f>RAW_DATA!I1423</f>
        <v>Married</v>
      </c>
      <c r="J1423">
        <f>RAW_DATA!J1423</f>
        <v>11957</v>
      </c>
      <c r="K1423">
        <f>RAW_DATA!K1423</f>
        <v>0</v>
      </c>
      <c r="L1423">
        <f>RAW_DATA!L1423</f>
        <v>1</v>
      </c>
      <c r="M1423">
        <f>RAW_DATA!M1423</f>
        <v>13</v>
      </c>
      <c r="N1423">
        <f t="shared" si="44"/>
        <v>0</v>
      </c>
      <c r="O1423" t="str">
        <f xml:space="preserve"> VLOOKUP(A1423, Lookup_Tables!$G$2:$H$6,2,TRUE)</f>
        <v>45-54</v>
      </c>
      <c r="P1423" t="str">
        <f>_xlfn.XLOOKUP(J1423,Lookup_Tables!$J$2:$J$4,Lookup_Tables!$K$2:$K$4, " ",-1)</f>
        <v>High</v>
      </c>
      <c r="Q1423" t="str">
        <f xml:space="preserve"> _xlfn.XLOOKUP(M1423, Lookup_Tables!$M$2:$M$5,Lookup_Tables!$N$2:$N$5," ", -1)</f>
        <v>Veteran (10+)</v>
      </c>
      <c r="R1423" s="4">
        <f t="shared" si="45"/>
        <v>2</v>
      </c>
      <c r="S1423" t="str">
        <f xml:space="preserve"> _xlfn.XLOOKUP( E1423, Lookup_Tables!$A$2:$A$6,Lookup_Tables!$B$2:$B$6," ", -1)</f>
        <v>Below College</v>
      </c>
      <c r="T1423" t="str">
        <f>_xlfn.XLOOKUP(G1423,Lookup_Tables!$D$2:$D$5,Lookup_Tables!$E$2:$E$5)</f>
        <v>High</v>
      </c>
      <c r="U1423" t="str">
        <f>_xlfn.XLOOKUP(H1423,Lookup_Tables!$D$2:$D$5,Lookup_Tables!$E$2:$E$5)</f>
        <v>Medium</v>
      </c>
      <c r="V1423" t="str">
        <f>_xlfn.XLOOKUP(L1423,Lookup_Tables!$D$2:$D$5,Lookup_Tables!$E$2:$E$5)</f>
        <v>Low</v>
      </c>
    </row>
    <row r="1424" spans="1:22">
      <c r="A1424">
        <f>RAW_DATA!A1424</f>
        <v>35</v>
      </c>
      <c r="B1424" t="str">
        <f>RAW_DATA!B1424</f>
        <v>No</v>
      </c>
      <c r="C1424" t="str">
        <f>RAW_DATA!C1424</f>
        <v>Research &amp; Development</v>
      </c>
      <c r="D1424">
        <f>RAW_DATA!D1424</f>
        <v>11</v>
      </c>
      <c r="E1424">
        <f>RAW_DATA!E1424</f>
        <v>4</v>
      </c>
      <c r="F1424" t="str">
        <f>RAW_DATA!F1424</f>
        <v>Medical</v>
      </c>
      <c r="G1424">
        <f>RAW_DATA!G1424</f>
        <v>4</v>
      </c>
      <c r="H1424">
        <f>RAW_DATA!H1424</f>
        <v>3</v>
      </c>
      <c r="I1424" t="str">
        <f>RAW_DATA!I1424</f>
        <v>Married</v>
      </c>
      <c r="J1424">
        <f>RAW_DATA!J1424</f>
        <v>2660</v>
      </c>
      <c r="K1424">
        <f>RAW_DATA!K1424</f>
        <v>7</v>
      </c>
      <c r="L1424">
        <f>RAW_DATA!L1424</f>
        <v>3</v>
      </c>
      <c r="M1424">
        <f>RAW_DATA!M1424</f>
        <v>2</v>
      </c>
      <c r="N1424">
        <f t="shared" si="44"/>
        <v>0</v>
      </c>
      <c r="O1424" t="str">
        <f xml:space="preserve"> VLOOKUP(A1424, Lookup_Tables!$G$2:$H$6,2,TRUE)</f>
        <v>35-44</v>
      </c>
      <c r="P1424" t="str">
        <f>_xlfn.XLOOKUP(J1424,Lookup_Tables!$J$2:$J$4,Lookup_Tables!$K$2:$K$4, " ",-1)</f>
        <v>Low</v>
      </c>
      <c r="Q1424" t="str">
        <f xml:space="preserve"> _xlfn.XLOOKUP(M1424, Lookup_Tables!$M$2:$M$5,Lookup_Tables!$N$2:$N$5," ", -1)</f>
        <v>Early (2-5)</v>
      </c>
      <c r="R1424" s="4">
        <f t="shared" si="45"/>
        <v>3.3333333333333335</v>
      </c>
      <c r="S1424" t="str">
        <f xml:space="preserve"> _xlfn.XLOOKUP( E1424, Lookup_Tables!$A$2:$A$6,Lookup_Tables!$B$2:$B$6," ", -1)</f>
        <v>Master</v>
      </c>
      <c r="T1424" t="str">
        <f>_xlfn.XLOOKUP(G1424,Lookup_Tables!$D$2:$D$5,Lookup_Tables!$E$2:$E$5)</f>
        <v>Very High</v>
      </c>
      <c r="U1424" t="str">
        <f>_xlfn.XLOOKUP(H1424,Lookup_Tables!$D$2:$D$5,Lookup_Tables!$E$2:$E$5)</f>
        <v>High</v>
      </c>
      <c r="V1424" t="str">
        <f>_xlfn.XLOOKUP(L1424,Lookup_Tables!$D$2:$D$5,Lookup_Tables!$E$2:$E$5)</f>
        <v>High</v>
      </c>
    </row>
    <row r="1425" spans="1:22">
      <c r="A1425">
        <f>RAW_DATA!A1425</f>
        <v>22</v>
      </c>
      <c r="B1425" t="str">
        <f>RAW_DATA!B1425</f>
        <v>No</v>
      </c>
      <c r="C1425" t="str">
        <f>RAW_DATA!C1425</f>
        <v>Research &amp; Development</v>
      </c>
      <c r="D1425">
        <f>RAW_DATA!D1425</f>
        <v>1</v>
      </c>
      <c r="E1425">
        <f>RAW_DATA!E1425</f>
        <v>2</v>
      </c>
      <c r="F1425" t="str">
        <f>RAW_DATA!F1425</f>
        <v>Life Sciences</v>
      </c>
      <c r="G1425">
        <f>RAW_DATA!G1425</f>
        <v>4</v>
      </c>
      <c r="H1425">
        <f>RAW_DATA!H1425</f>
        <v>3</v>
      </c>
      <c r="I1425" t="str">
        <f>RAW_DATA!I1425</f>
        <v>Single</v>
      </c>
      <c r="J1425">
        <f>RAW_DATA!J1425</f>
        <v>3375</v>
      </c>
      <c r="K1425">
        <f>RAW_DATA!K1425</f>
        <v>0</v>
      </c>
      <c r="L1425">
        <f>RAW_DATA!L1425</f>
        <v>4</v>
      </c>
      <c r="M1425">
        <f>RAW_DATA!M1425</f>
        <v>3</v>
      </c>
      <c r="N1425">
        <f t="shared" si="44"/>
        <v>0</v>
      </c>
      <c r="O1425" t="str">
        <f xml:space="preserve"> VLOOKUP(A1425, Lookup_Tables!$G$2:$H$6,2,TRUE)</f>
        <v>&lt;25</v>
      </c>
      <c r="P1425" t="str">
        <f>_xlfn.XLOOKUP(J1425,Lookup_Tables!$J$2:$J$4,Lookup_Tables!$K$2:$K$4, " ",-1)</f>
        <v>Medium</v>
      </c>
      <c r="Q1425" t="str">
        <f xml:space="preserve"> _xlfn.XLOOKUP(M1425, Lookup_Tables!$M$2:$M$5,Lookup_Tables!$N$2:$N$5," ", -1)</f>
        <v>Early (2-5)</v>
      </c>
      <c r="R1425" s="4">
        <f t="shared" si="45"/>
        <v>3.6666666666666665</v>
      </c>
      <c r="S1425" t="str">
        <f xml:space="preserve"> _xlfn.XLOOKUP( E1425, Lookup_Tables!$A$2:$A$6,Lookup_Tables!$B$2:$B$6," ", -1)</f>
        <v>College</v>
      </c>
      <c r="T1425" t="str">
        <f>_xlfn.XLOOKUP(G1425,Lookup_Tables!$D$2:$D$5,Lookup_Tables!$E$2:$E$5)</f>
        <v>Very High</v>
      </c>
      <c r="U1425" t="str">
        <f>_xlfn.XLOOKUP(H1425,Lookup_Tables!$D$2:$D$5,Lookup_Tables!$E$2:$E$5)</f>
        <v>High</v>
      </c>
      <c r="V1425" t="str">
        <f>_xlfn.XLOOKUP(L1425,Lookup_Tables!$D$2:$D$5,Lookup_Tables!$E$2:$E$5)</f>
        <v>Very High</v>
      </c>
    </row>
    <row r="1426" spans="1:22">
      <c r="A1426">
        <f>RAW_DATA!A1426</f>
        <v>35</v>
      </c>
      <c r="B1426" t="str">
        <f>RAW_DATA!B1426</f>
        <v>No</v>
      </c>
      <c r="C1426" t="str">
        <f>RAW_DATA!C1426</f>
        <v>Research &amp; Development</v>
      </c>
      <c r="D1426">
        <f>RAW_DATA!D1426</f>
        <v>9</v>
      </c>
      <c r="E1426">
        <f>RAW_DATA!E1426</f>
        <v>4</v>
      </c>
      <c r="F1426" t="str">
        <f>RAW_DATA!F1426</f>
        <v>Medical</v>
      </c>
      <c r="G1426">
        <f>RAW_DATA!G1426</f>
        <v>2</v>
      </c>
      <c r="H1426">
        <f>RAW_DATA!H1426</f>
        <v>3</v>
      </c>
      <c r="I1426" t="str">
        <f>RAW_DATA!I1426</f>
        <v>Single</v>
      </c>
      <c r="J1426">
        <f>RAW_DATA!J1426</f>
        <v>5098</v>
      </c>
      <c r="K1426">
        <f>RAW_DATA!K1426</f>
        <v>1</v>
      </c>
      <c r="L1426">
        <f>RAW_DATA!L1426</f>
        <v>3</v>
      </c>
      <c r="M1426">
        <f>RAW_DATA!M1426</f>
        <v>10</v>
      </c>
      <c r="N1426">
        <f t="shared" si="44"/>
        <v>0</v>
      </c>
      <c r="O1426" t="str">
        <f xml:space="preserve"> VLOOKUP(A1426, Lookup_Tables!$G$2:$H$6,2,TRUE)</f>
        <v>35-44</v>
      </c>
      <c r="P1426" t="str">
        <f>_xlfn.XLOOKUP(J1426,Lookup_Tables!$J$2:$J$4,Lookup_Tables!$K$2:$K$4, " ",-1)</f>
        <v>Medium</v>
      </c>
      <c r="Q1426" t="str">
        <f xml:space="preserve"> _xlfn.XLOOKUP(M1426, Lookup_Tables!$M$2:$M$5,Lookup_Tables!$N$2:$N$5," ", -1)</f>
        <v>Veteran (10+)</v>
      </c>
      <c r="R1426" s="4">
        <f t="shared" si="45"/>
        <v>2.6666666666666665</v>
      </c>
      <c r="S1426" t="str">
        <f xml:space="preserve"> _xlfn.XLOOKUP( E1426, Lookup_Tables!$A$2:$A$6,Lookup_Tables!$B$2:$B$6," ", -1)</f>
        <v>Master</v>
      </c>
      <c r="T1426" t="str">
        <f>_xlfn.XLOOKUP(G1426,Lookup_Tables!$D$2:$D$5,Lookup_Tables!$E$2:$E$5)</f>
        <v>Medium</v>
      </c>
      <c r="U1426" t="str">
        <f>_xlfn.XLOOKUP(H1426,Lookup_Tables!$D$2:$D$5,Lookup_Tables!$E$2:$E$5)</f>
        <v>High</v>
      </c>
      <c r="V1426" t="str">
        <f>_xlfn.XLOOKUP(L1426,Lookup_Tables!$D$2:$D$5,Lookup_Tables!$E$2:$E$5)</f>
        <v>High</v>
      </c>
    </row>
    <row r="1427" spans="1:22">
      <c r="A1427">
        <f>RAW_DATA!A1427</f>
        <v>33</v>
      </c>
      <c r="B1427" t="str">
        <f>RAW_DATA!B1427</f>
        <v>No</v>
      </c>
      <c r="C1427" t="str">
        <f>RAW_DATA!C1427</f>
        <v>Research &amp; Development</v>
      </c>
      <c r="D1427">
        <f>RAW_DATA!D1427</f>
        <v>15</v>
      </c>
      <c r="E1427">
        <f>RAW_DATA!E1427</f>
        <v>2</v>
      </c>
      <c r="F1427" t="str">
        <f>RAW_DATA!F1427</f>
        <v>Medical</v>
      </c>
      <c r="G1427">
        <f>RAW_DATA!G1427</f>
        <v>2</v>
      </c>
      <c r="H1427">
        <f>RAW_DATA!H1427</f>
        <v>4</v>
      </c>
      <c r="I1427" t="str">
        <f>RAW_DATA!I1427</f>
        <v>Married</v>
      </c>
      <c r="J1427">
        <f>RAW_DATA!J1427</f>
        <v>4878</v>
      </c>
      <c r="K1427">
        <f>RAW_DATA!K1427</f>
        <v>0</v>
      </c>
      <c r="L1427">
        <f>RAW_DATA!L1427</f>
        <v>3</v>
      </c>
      <c r="M1427">
        <f>RAW_DATA!M1427</f>
        <v>9</v>
      </c>
      <c r="N1427">
        <f t="shared" si="44"/>
        <v>0</v>
      </c>
      <c r="O1427" t="str">
        <f xml:space="preserve"> VLOOKUP(A1427, Lookup_Tables!$G$2:$H$6,2,TRUE)</f>
        <v>25-34</v>
      </c>
      <c r="P1427" t="str">
        <f>_xlfn.XLOOKUP(J1427,Lookup_Tables!$J$2:$J$4,Lookup_Tables!$K$2:$K$4, " ",-1)</f>
        <v>Medium</v>
      </c>
      <c r="Q1427" t="str">
        <f xml:space="preserve"> _xlfn.XLOOKUP(M1427, Lookup_Tables!$M$2:$M$5,Lookup_Tables!$N$2:$N$5," ", -1)</f>
        <v>Established (5-10)</v>
      </c>
      <c r="R1427" s="4">
        <f t="shared" si="45"/>
        <v>3</v>
      </c>
      <c r="S1427" t="str">
        <f xml:space="preserve"> _xlfn.XLOOKUP( E1427, Lookup_Tables!$A$2:$A$6,Lookup_Tables!$B$2:$B$6," ", -1)</f>
        <v>College</v>
      </c>
      <c r="T1427" t="str">
        <f>_xlfn.XLOOKUP(G1427,Lookup_Tables!$D$2:$D$5,Lookup_Tables!$E$2:$E$5)</f>
        <v>Medium</v>
      </c>
      <c r="U1427" t="str">
        <f>_xlfn.XLOOKUP(H1427,Lookup_Tables!$D$2:$D$5,Lookup_Tables!$E$2:$E$5)</f>
        <v>Very High</v>
      </c>
      <c r="V1427" t="str">
        <f>_xlfn.XLOOKUP(L1427,Lookup_Tables!$D$2:$D$5,Lookup_Tables!$E$2:$E$5)</f>
        <v>High</v>
      </c>
    </row>
    <row r="1428" spans="1:22">
      <c r="A1428">
        <f>RAW_DATA!A1428</f>
        <v>32</v>
      </c>
      <c r="B1428" t="str">
        <f>RAW_DATA!B1428</f>
        <v>No</v>
      </c>
      <c r="C1428" t="str">
        <f>RAW_DATA!C1428</f>
        <v>Research &amp; Development</v>
      </c>
      <c r="D1428">
        <f>RAW_DATA!D1428</f>
        <v>29</v>
      </c>
      <c r="E1428">
        <f>RAW_DATA!E1428</f>
        <v>4</v>
      </c>
      <c r="F1428" t="str">
        <f>RAW_DATA!F1428</f>
        <v>Life Sciences</v>
      </c>
      <c r="G1428">
        <f>RAW_DATA!G1428</f>
        <v>3</v>
      </c>
      <c r="H1428">
        <f>RAW_DATA!H1428</f>
        <v>2</v>
      </c>
      <c r="I1428" t="str">
        <f>RAW_DATA!I1428</f>
        <v>Single</v>
      </c>
      <c r="J1428">
        <f>RAW_DATA!J1428</f>
        <v>2837</v>
      </c>
      <c r="K1428">
        <f>RAW_DATA!K1428</f>
        <v>1</v>
      </c>
      <c r="L1428">
        <f>RAW_DATA!L1428</f>
        <v>3</v>
      </c>
      <c r="M1428">
        <f>RAW_DATA!M1428</f>
        <v>6</v>
      </c>
      <c r="N1428">
        <f t="shared" si="44"/>
        <v>0</v>
      </c>
      <c r="O1428" t="str">
        <f xml:space="preserve"> VLOOKUP(A1428, Lookup_Tables!$G$2:$H$6,2,TRUE)</f>
        <v>25-34</v>
      </c>
      <c r="P1428" t="str">
        <f>_xlfn.XLOOKUP(J1428,Lookup_Tables!$J$2:$J$4,Lookup_Tables!$K$2:$K$4, " ",-1)</f>
        <v>Low</v>
      </c>
      <c r="Q1428" t="str">
        <f xml:space="preserve"> _xlfn.XLOOKUP(M1428, Lookup_Tables!$M$2:$M$5,Lookup_Tables!$N$2:$N$5," ", -1)</f>
        <v>Established (5-10)</v>
      </c>
      <c r="R1428" s="4">
        <f t="shared" si="45"/>
        <v>2.6666666666666665</v>
      </c>
      <c r="S1428" t="str">
        <f xml:space="preserve"> _xlfn.XLOOKUP( E1428, Lookup_Tables!$A$2:$A$6,Lookup_Tables!$B$2:$B$6," ", -1)</f>
        <v>Master</v>
      </c>
      <c r="T1428" t="str">
        <f>_xlfn.XLOOKUP(G1428,Lookup_Tables!$D$2:$D$5,Lookup_Tables!$E$2:$E$5)</f>
        <v>High</v>
      </c>
      <c r="U1428" t="str">
        <f>_xlfn.XLOOKUP(H1428,Lookup_Tables!$D$2:$D$5,Lookup_Tables!$E$2:$E$5)</f>
        <v>Medium</v>
      </c>
      <c r="V1428" t="str">
        <f>_xlfn.XLOOKUP(L1428,Lookup_Tables!$D$2:$D$5,Lookup_Tables!$E$2:$E$5)</f>
        <v>High</v>
      </c>
    </row>
    <row r="1429" spans="1:22">
      <c r="A1429">
        <f>RAW_DATA!A1429</f>
        <v>40</v>
      </c>
      <c r="B1429" t="str">
        <f>RAW_DATA!B1429</f>
        <v>No</v>
      </c>
      <c r="C1429" t="str">
        <f>RAW_DATA!C1429</f>
        <v>Research &amp; Development</v>
      </c>
      <c r="D1429">
        <f>RAW_DATA!D1429</f>
        <v>1</v>
      </c>
      <c r="E1429">
        <f>RAW_DATA!E1429</f>
        <v>4</v>
      </c>
      <c r="F1429" t="str">
        <f>RAW_DATA!F1429</f>
        <v>Life Sciences</v>
      </c>
      <c r="G1429">
        <f>RAW_DATA!G1429</f>
        <v>1</v>
      </c>
      <c r="H1429">
        <f>RAW_DATA!H1429</f>
        <v>4</v>
      </c>
      <c r="I1429" t="str">
        <f>RAW_DATA!I1429</f>
        <v>Married</v>
      </c>
      <c r="J1429">
        <f>RAW_DATA!J1429</f>
        <v>2406</v>
      </c>
      <c r="K1429">
        <f>RAW_DATA!K1429</f>
        <v>8</v>
      </c>
      <c r="L1429">
        <f>RAW_DATA!L1429</f>
        <v>2</v>
      </c>
      <c r="M1429">
        <f>RAW_DATA!M1429</f>
        <v>1</v>
      </c>
      <c r="N1429">
        <f t="shared" si="44"/>
        <v>0</v>
      </c>
      <c r="O1429" t="str">
        <f xml:space="preserve"> VLOOKUP(A1429, Lookup_Tables!$G$2:$H$6,2,TRUE)</f>
        <v>35-44</v>
      </c>
      <c r="P1429" t="str">
        <f>_xlfn.XLOOKUP(J1429,Lookup_Tables!$J$2:$J$4,Lookup_Tables!$K$2:$K$4, " ",-1)</f>
        <v>Low</v>
      </c>
      <c r="Q1429" t="str">
        <f xml:space="preserve"> _xlfn.XLOOKUP(M1429, Lookup_Tables!$M$2:$M$5,Lookup_Tables!$N$2:$N$5," ", -1)</f>
        <v>New (0-2)</v>
      </c>
      <c r="R1429" s="4">
        <f t="shared" si="45"/>
        <v>2.3333333333333335</v>
      </c>
      <c r="S1429" t="str">
        <f xml:space="preserve"> _xlfn.XLOOKUP( E1429, Lookup_Tables!$A$2:$A$6,Lookup_Tables!$B$2:$B$6," ", -1)</f>
        <v>Master</v>
      </c>
      <c r="T1429" t="str">
        <f>_xlfn.XLOOKUP(G1429,Lookup_Tables!$D$2:$D$5,Lookup_Tables!$E$2:$E$5)</f>
        <v>Low</v>
      </c>
      <c r="U1429" t="str">
        <f>_xlfn.XLOOKUP(H1429,Lookup_Tables!$D$2:$D$5,Lookup_Tables!$E$2:$E$5)</f>
        <v>Very High</v>
      </c>
      <c r="V1429" t="str">
        <f>_xlfn.XLOOKUP(L1429,Lookup_Tables!$D$2:$D$5,Lookup_Tables!$E$2:$E$5)</f>
        <v>Medium</v>
      </c>
    </row>
    <row r="1430" spans="1:22">
      <c r="A1430">
        <f>RAW_DATA!A1430</f>
        <v>32</v>
      </c>
      <c r="B1430" t="str">
        <f>RAW_DATA!B1430</f>
        <v>No</v>
      </c>
      <c r="C1430" t="str">
        <f>RAW_DATA!C1430</f>
        <v>Sales</v>
      </c>
      <c r="D1430">
        <f>RAW_DATA!D1430</f>
        <v>1</v>
      </c>
      <c r="E1430">
        <f>RAW_DATA!E1430</f>
        <v>4</v>
      </c>
      <c r="F1430" t="str">
        <f>RAW_DATA!F1430</f>
        <v>Medical</v>
      </c>
      <c r="G1430">
        <f>RAW_DATA!G1430</f>
        <v>2</v>
      </c>
      <c r="H1430">
        <f>RAW_DATA!H1430</f>
        <v>2</v>
      </c>
      <c r="I1430" t="str">
        <f>RAW_DATA!I1430</f>
        <v>Married</v>
      </c>
      <c r="J1430">
        <f>RAW_DATA!J1430</f>
        <v>2269</v>
      </c>
      <c r="K1430">
        <f>RAW_DATA!K1430</f>
        <v>0</v>
      </c>
      <c r="L1430">
        <f>RAW_DATA!L1430</f>
        <v>3</v>
      </c>
      <c r="M1430">
        <f>RAW_DATA!M1430</f>
        <v>2</v>
      </c>
      <c r="N1430">
        <f t="shared" si="44"/>
        <v>0</v>
      </c>
      <c r="O1430" t="str">
        <f xml:space="preserve"> VLOOKUP(A1430, Lookup_Tables!$G$2:$H$6,2,TRUE)</f>
        <v>25-34</v>
      </c>
      <c r="P1430" t="str">
        <f>_xlfn.XLOOKUP(J1430,Lookup_Tables!$J$2:$J$4,Lookup_Tables!$K$2:$K$4, " ",-1)</f>
        <v>Low</v>
      </c>
      <c r="Q1430" t="str">
        <f xml:space="preserve"> _xlfn.XLOOKUP(M1430, Lookup_Tables!$M$2:$M$5,Lookup_Tables!$N$2:$N$5," ", -1)</f>
        <v>Early (2-5)</v>
      </c>
      <c r="R1430" s="4">
        <f t="shared" si="45"/>
        <v>2.3333333333333335</v>
      </c>
      <c r="S1430" t="str">
        <f xml:space="preserve"> _xlfn.XLOOKUP( E1430, Lookup_Tables!$A$2:$A$6,Lookup_Tables!$B$2:$B$6," ", -1)</f>
        <v>Master</v>
      </c>
      <c r="T1430" t="str">
        <f>_xlfn.XLOOKUP(G1430,Lookup_Tables!$D$2:$D$5,Lookup_Tables!$E$2:$E$5)</f>
        <v>Medium</v>
      </c>
      <c r="U1430" t="str">
        <f>_xlfn.XLOOKUP(H1430,Lookup_Tables!$D$2:$D$5,Lookup_Tables!$E$2:$E$5)</f>
        <v>Medium</v>
      </c>
      <c r="V1430" t="str">
        <f>_xlfn.XLOOKUP(L1430,Lookup_Tables!$D$2:$D$5,Lookup_Tables!$E$2:$E$5)</f>
        <v>High</v>
      </c>
    </row>
    <row r="1431" spans="1:22">
      <c r="A1431">
        <f>RAW_DATA!A1431</f>
        <v>39</v>
      </c>
      <c r="B1431" t="str">
        <f>RAW_DATA!B1431</f>
        <v>No</v>
      </c>
      <c r="C1431" t="str">
        <f>RAW_DATA!C1431</f>
        <v>Research &amp; Development</v>
      </c>
      <c r="D1431">
        <f>RAW_DATA!D1431</f>
        <v>24</v>
      </c>
      <c r="E1431">
        <f>RAW_DATA!E1431</f>
        <v>1</v>
      </c>
      <c r="F1431" t="str">
        <f>RAW_DATA!F1431</f>
        <v>Life Sciences</v>
      </c>
      <c r="G1431">
        <f>RAW_DATA!G1431</f>
        <v>1</v>
      </c>
      <c r="H1431">
        <f>RAW_DATA!H1431</f>
        <v>4</v>
      </c>
      <c r="I1431" t="str">
        <f>RAW_DATA!I1431</f>
        <v>Single</v>
      </c>
      <c r="J1431">
        <f>RAW_DATA!J1431</f>
        <v>4108</v>
      </c>
      <c r="K1431">
        <f>RAW_DATA!K1431</f>
        <v>7</v>
      </c>
      <c r="L1431">
        <f>RAW_DATA!L1431</f>
        <v>3</v>
      </c>
      <c r="M1431">
        <f>RAW_DATA!M1431</f>
        <v>7</v>
      </c>
      <c r="N1431">
        <f t="shared" si="44"/>
        <v>0</v>
      </c>
      <c r="O1431" t="str">
        <f xml:space="preserve"> VLOOKUP(A1431, Lookup_Tables!$G$2:$H$6,2,TRUE)</f>
        <v>35-44</v>
      </c>
      <c r="P1431" t="str">
        <f>_xlfn.XLOOKUP(J1431,Lookup_Tables!$J$2:$J$4,Lookup_Tables!$K$2:$K$4, " ",-1)</f>
        <v>Medium</v>
      </c>
      <c r="Q1431" t="str">
        <f xml:space="preserve"> _xlfn.XLOOKUP(M1431, Lookup_Tables!$M$2:$M$5,Lookup_Tables!$N$2:$N$5," ", -1)</f>
        <v>Established (5-10)</v>
      </c>
      <c r="R1431" s="4">
        <f t="shared" si="45"/>
        <v>2.6666666666666665</v>
      </c>
      <c r="S1431" t="str">
        <f xml:space="preserve"> _xlfn.XLOOKUP( E1431, Lookup_Tables!$A$2:$A$6,Lookup_Tables!$B$2:$B$6," ", -1)</f>
        <v>Below College</v>
      </c>
      <c r="T1431" t="str">
        <f>_xlfn.XLOOKUP(G1431,Lookup_Tables!$D$2:$D$5,Lookup_Tables!$E$2:$E$5)</f>
        <v>Low</v>
      </c>
      <c r="U1431" t="str">
        <f>_xlfn.XLOOKUP(H1431,Lookup_Tables!$D$2:$D$5,Lookup_Tables!$E$2:$E$5)</f>
        <v>Very High</v>
      </c>
      <c r="V1431" t="str">
        <f>_xlfn.XLOOKUP(L1431,Lookup_Tables!$D$2:$D$5,Lookup_Tables!$E$2:$E$5)</f>
        <v>High</v>
      </c>
    </row>
    <row r="1432" spans="1:22">
      <c r="A1432">
        <f>RAW_DATA!A1432</f>
        <v>38</v>
      </c>
      <c r="B1432" t="str">
        <f>RAW_DATA!B1432</f>
        <v>No</v>
      </c>
      <c r="C1432" t="str">
        <f>RAW_DATA!C1432</f>
        <v>Research &amp; Development</v>
      </c>
      <c r="D1432">
        <f>RAW_DATA!D1432</f>
        <v>10</v>
      </c>
      <c r="E1432">
        <f>RAW_DATA!E1432</f>
        <v>3</v>
      </c>
      <c r="F1432" t="str">
        <f>RAW_DATA!F1432</f>
        <v>Medical</v>
      </c>
      <c r="G1432">
        <f>RAW_DATA!G1432</f>
        <v>2</v>
      </c>
      <c r="H1432">
        <f>RAW_DATA!H1432</f>
        <v>3</v>
      </c>
      <c r="I1432" t="str">
        <f>RAW_DATA!I1432</f>
        <v>Married</v>
      </c>
      <c r="J1432">
        <f>RAW_DATA!J1432</f>
        <v>13206</v>
      </c>
      <c r="K1432">
        <f>RAW_DATA!K1432</f>
        <v>3</v>
      </c>
      <c r="L1432">
        <f>RAW_DATA!L1432</f>
        <v>3</v>
      </c>
      <c r="M1432">
        <f>RAW_DATA!M1432</f>
        <v>18</v>
      </c>
      <c r="N1432">
        <f t="shared" si="44"/>
        <v>0</v>
      </c>
      <c r="O1432" t="str">
        <f xml:space="preserve"> VLOOKUP(A1432, Lookup_Tables!$G$2:$H$6,2,TRUE)</f>
        <v>35-44</v>
      </c>
      <c r="P1432" t="str">
        <f>_xlfn.XLOOKUP(J1432,Lookup_Tables!$J$2:$J$4,Lookup_Tables!$K$2:$K$4, " ",-1)</f>
        <v>High</v>
      </c>
      <c r="Q1432" t="str">
        <f xml:space="preserve"> _xlfn.XLOOKUP(M1432, Lookup_Tables!$M$2:$M$5,Lookup_Tables!$N$2:$N$5," ", -1)</f>
        <v>Veteran (10+)</v>
      </c>
      <c r="R1432" s="4">
        <f t="shared" si="45"/>
        <v>2.6666666666666665</v>
      </c>
      <c r="S1432" t="str">
        <f xml:space="preserve"> _xlfn.XLOOKUP( E1432, Lookup_Tables!$A$2:$A$6,Lookup_Tables!$B$2:$B$6," ", -1)</f>
        <v>Bachelor</v>
      </c>
      <c r="T1432" t="str">
        <f>_xlfn.XLOOKUP(G1432,Lookup_Tables!$D$2:$D$5,Lookup_Tables!$E$2:$E$5)</f>
        <v>Medium</v>
      </c>
      <c r="U1432" t="str">
        <f>_xlfn.XLOOKUP(H1432,Lookup_Tables!$D$2:$D$5,Lookup_Tables!$E$2:$E$5)</f>
        <v>High</v>
      </c>
      <c r="V1432" t="str">
        <f>_xlfn.XLOOKUP(L1432,Lookup_Tables!$D$2:$D$5,Lookup_Tables!$E$2:$E$5)</f>
        <v>High</v>
      </c>
    </row>
    <row r="1433" spans="1:22">
      <c r="A1433">
        <f>RAW_DATA!A1433</f>
        <v>32</v>
      </c>
      <c r="B1433" t="str">
        <f>RAW_DATA!B1433</f>
        <v>No</v>
      </c>
      <c r="C1433" t="str">
        <f>RAW_DATA!C1433</f>
        <v>Sales</v>
      </c>
      <c r="D1433">
        <f>RAW_DATA!D1433</f>
        <v>1</v>
      </c>
      <c r="E1433">
        <f>RAW_DATA!E1433</f>
        <v>4</v>
      </c>
      <c r="F1433" t="str">
        <f>RAW_DATA!F1433</f>
        <v>Marketing</v>
      </c>
      <c r="G1433">
        <f>RAW_DATA!G1433</f>
        <v>3</v>
      </c>
      <c r="H1433">
        <f>RAW_DATA!H1433</f>
        <v>4</v>
      </c>
      <c r="I1433" t="str">
        <f>RAW_DATA!I1433</f>
        <v>Married</v>
      </c>
      <c r="J1433">
        <f>RAW_DATA!J1433</f>
        <v>10422</v>
      </c>
      <c r="K1433">
        <f>RAW_DATA!K1433</f>
        <v>1</v>
      </c>
      <c r="L1433">
        <f>RAW_DATA!L1433</f>
        <v>3</v>
      </c>
      <c r="M1433">
        <f>RAW_DATA!M1433</f>
        <v>14</v>
      </c>
      <c r="N1433">
        <f t="shared" si="44"/>
        <v>0</v>
      </c>
      <c r="O1433" t="str">
        <f xml:space="preserve"> VLOOKUP(A1433, Lookup_Tables!$G$2:$H$6,2,TRUE)</f>
        <v>25-34</v>
      </c>
      <c r="P1433" t="str">
        <f>_xlfn.XLOOKUP(J1433,Lookup_Tables!$J$2:$J$4,Lookup_Tables!$K$2:$K$4, " ",-1)</f>
        <v>High</v>
      </c>
      <c r="Q1433" t="str">
        <f xml:space="preserve"> _xlfn.XLOOKUP(M1433, Lookup_Tables!$M$2:$M$5,Lookup_Tables!$N$2:$N$5," ", -1)</f>
        <v>Veteran (10+)</v>
      </c>
      <c r="R1433" s="4">
        <f t="shared" si="45"/>
        <v>3.3333333333333335</v>
      </c>
      <c r="S1433" t="str">
        <f xml:space="preserve"> _xlfn.XLOOKUP( E1433, Lookup_Tables!$A$2:$A$6,Lookup_Tables!$B$2:$B$6," ", -1)</f>
        <v>Master</v>
      </c>
      <c r="T1433" t="str">
        <f>_xlfn.XLOOKUP(G1433,Lookup_Tables!$D$2:$D$5,Lookup_Tables!$E$2:$E$5)</f>
        <v>High</v>
      </c>
      <c r="U1433" t="str">
        <f>_xlfn.XLOOKUP(H1433,Lookup_Tables!$D$2:$D$5,Lookup_Tables!$E$2:$E$5)</f>
        <v>Very High</v>
      </c>
      <c r="V1433" t="str">
        <f>_xlfn.XLOOKUP(L1433,Lookup_Tables!$D$2:$D$5,Lookup_Tables!$E$2:$E$5)</f>
        <v>High</v>
      </c>
    </row>
    <row r="1434" spans="1:22">
      <c r="A1434">
        <f>RAW_DATA!A1434</f>
        <v>37</v>
      </c>
      <c r="B1434" t="str">
        <f>RAW_DATA!B1434</f>
        <v>No</v>
      </c>
      <c r="C1434" t="str">
        <f>RAW_DATA!C1434</f>
        <v>Research &amp; Development</v>
      </c>
      <c r="D1434">
        <f>RAW_DATA!D1434</f>
        <v>10</v>
      </c>
      <c r="E1434">
        <f>RAW_DATA!E1434</f>
        <v>3</v>
      </c>
      <c r="F1434" t="str">
        <f>RAW_DATA!F1434</f>
        <v>Life Sciences</v>
      </c>
      <c r="G1434">
        <f>RAW_DATA!G1434</f>
        <v>3</v>
      </c>
      <c r="H1434">
        <f>RAW_DATA!H1434</f>
        <v>4</v>
      </c>
      <c r="I1434" t="str">
        <f>RAW_DATA!I1434</f>
        <v>Married</v>
      </c>
      <c r="J1434">
        <f>RAW_DATA!J1434</f>
        <v>13744</v>
      </c>
      <c r="K1434">
        <f>RAW_DATA!K1434</f>
        <v>1</v>
      </c>
      <c r="L1434">
        <f>RAW_DATA!L1434</f>
        <v>3</v>
      </c>
      <c r="M1434">
        <f>RAW_DATA!M1434</f>
        <v>16</v>
      </c>
      <c r="N1434">
        <f t="shared" si="44"/>
        <v>0</v>
      </c>
      <c r="O1434" t="str">
        <f xml:space="preserve"> VLOOKUP(A1434, Lookup_Tables!$G$2:$H$6,2,TRUE)</f>
        <v>35-44</v>
      </c>
      <c r="P1434" t="str">
        <f>_xlfn.XLOOKUP(J1434,Lookup_Tables!$J$2:$J$4,Lookup_Tables!$K$2:$K$4, " ",-1)</f>
        <v>High</v>
      </c>
      <c r="Q1434" t="str">
        <f xml:space="preserve"> _xlfn.XLOOKUP(M1434, Lookup_Tables!$M$2:$M$5,Lookup_Tables!$N$2:$N$5," ", -1)</f>
        <v>Veteran (10+)</v>
      </c>
      <c r="R1434" s="4">
        <f t="shared" si="45"/>
        <v>3.3333333333333335</v>
      </c>
      <c r="S1434" t="str">
        <f xml:space="preserve"> _xlfn.XLOOKUP( E1434, Lookup_Tables!$A$2:$A$6,Lookup_Tables!$B$2:$B$6," ", -1)</f>
        <v>Bachelor</v>
      </c>
      <c r="T1434" t="str">
        <f>_xlfn.XLOOKUP(G1434,Lookup_Tables!$D$2:$D$5,Lookup_Tables!$E$2:$E$5)</f>
        <v>High</v>
      </c>
      <c r="U1434" t="str">
        <f>_xlfn.XLOOKUP(H1434,Lookup_Tables!$D$2:$D$5,Lookup_Tables!$E$2:$E$5)</f>
        <v>Very High</v>
      </c>
      <c r="V1434" t="str">
        <f>_xlfn.XLOOKUP(L1434,Lookup_Tables!$D$2:$D$5,Lookup_Tables!$E$2:$E$5)</f>
        <v>High</v>
      </c>
    </row>
    <row r="1435" spans="1:22">
      <c r="A1435">
        <f>RAW_DATA!A1435</f>
        <v>25</v>
      </c>
      <c r="B1435" t="str">
        <f>RAW_DATA!B1435</f>
        <v>No</v>
      </c>
      <c r="C1435" t="str">
        <f>RAW_DATA!C1435</f>
        <v>Sales</v>
      </c>
      <c r="D1435">
        <f>RAW_DATA!D1435</f>
        <v>8</v>
      </c>
      <c r="E1435">
        <f>RAW_DATA!E1435</f>
        <v>2</v>
      </c>
      <c r="F1435" t="str">
        <f>RAW_DATA!F1435</f>
        <v>Other</v>
      </c>
      <c r="G1435">
        <f>RAW_DATA!G1435</f>
        <v>1</v>
      </c>
      <c r="H1435">
        <f>RAW_DATA!H1435</f>
        <v>3</v>
      </c>
      <c r="I1435" t="str">
        <f>RAW_DATA!I1435</f>
        <v>Divorced</v>
      </c>
      <c r="J1435">
        <f>RAW_DATA!J1435</f>
        <v>4907</v>
      </c>
      <c r="K1435">
        <f>RAW_DATA!K1435</f>
        <v>0</v>
      </c>
      <c r="L1435">
        <f>RAW_DATA!L1435</f>
        <v>2</v>
      </c>
      <c r="M1435">
        <f>RAW_DATA!M1435</f>
        <v>5</v>
      </c>
      <c r="N1435">
        <f t="shared" si="44"/>
        <v>0</v>
      </c>
      <c r="O1435" t="str">
        <f xml:space="preserve"> VLOOKUP(A1435, Lookup_Tables!$G$2:$H$6,2,TRUE)</f>
        <v>25-34</v>
      </c>
      <c r="P1435" t="str">
        <f>_xlfn.XLOOKUP(J1435,Lookup_Tables!$J$2:$J$4,Lookup_Tables!$K$2:$K$4, " ",-1)</f>
        <v>Medium</v>
      </c>
      <c r="Q1435" t="str">
        <f xml:space="preserve"> _xlfn.XLOOKUP(M1435, Lookup_Tables!$M$2:$M$5,Lookup_Tables!$N$2:$N$5," ", -1)</f>
        <v>Established (5-10)</v>
      </c>
      <c r="R1435" s="4">
        <f t="shared" si="45"/>
        <v>2</v>
      </c>
      <c r="S1435" t="str">
        <f xml:space="preserve"> _xlfn.XLOOKUP( E1435, Lookup_Tables!$A$2:$A$6,Lookup_Tables!$B$2:$B$6," ", -1)</f>
        <v>College</v>
      </c>
      <c r="T1435" t="str">
        <f>_xlfn.XLOOKUP(G1435,Lookup_Tables!$D$2:$D$5,Lookup_Tables!$E$2:$E$5)</f>
        <v>Low</v>
      </c>
      <c r="U1435" t="str">
        <f>_xlfn.XLOOKUP(H1435,Lookup_Tables!$D$2:$D$5,Lookup_Tables!$E$2:$E$5)</f>
        <v>High</v>
      </c>
      <c r="V1435" t="str">
        <f>_xlfn.XLOOKUP(L1435,Lookup_Tables!$D$2:$D$5,Lookup_Tables!$E$2:$E$5)</f>
        <v>Medium</v>
      </c>
    </row>
    <row r="1436" spans="1:22">
      <c r="A1436">
        <f>RAW_DATA!A1436</f>
        <v>52</v>
      </c>
      <c r="B1436" t="str">
        <f>RAW_DATA!B1436</f>
        <v>No</v>
      </c>
      <c r="C1436" t="str">
        <f>RAW_DATA!C1436</f>
        <v>Sales</v>
      </c>
      <c r="D1436">
        <f>RAW_DATA!D1436</f>
        <v>29</v>
      </c>
      <c r="E1436">
        <f>RAW_DATA!E1436</f>
        <v>4</v>
      </c>
      <c r="F1436" t="str">
        <f>RAW_DATA!F1436</f>
        <v>Life Sciences</v>
      </c>
      <c r="G1436">
        <f>RAW_DATA!G1436</f>
        <v>1</v>
      </c>
      <c r="H1436">
        <f>RAW_DATA!H1436</f>
        <v>4</v>
      </c>
      <c r="I1436" t="str">
        <f>RAW_DATA!I1436</f>
        <v>Divorced</v>
      </c>
      <c r="J1436">
        <f>RAW_DATA!J1436</f>
        <v>3482</v>
      </c>
      <c r="K1436">
        <f>RAW_DATA!K1436</f>
        <v>2</v>
      </c>
      <c r="L1436">
        <f>RAW_DATA!L1436</f>
        <v>2</v>
      </c>
      <c r="M1436">
        <f>RAW_DATA!M1436</f>
        <v>9</v>
      </c>
      <c r="N1436">
        <f t="shared" si="44"/>
        <v>0</v>
      </c>
      <c r="O1436" t="str">
        <f xml:space="preserve"> VLOOKUP(A1436, Lookup_Tables!$G$2:$H$6,2,TRUE)</f>
        <v>45-54</v>
      </c>
      <c r="P1436" t="str">
        <f>_xlfn.XLOOKUP(J1436,Lookup_Tables!$J$2:$J$4,Lookup_Tables!$K$2:$K$4, " ",-1)</f>
        <v>Medium</v>
      </c>
      <c r="Q1436" t="str">
        <f xml:space="preserve"> _xlfn.XLOOKUP(M1436, Lookup_Tables!$M$2:$M$5,Lookup_Tables!$N$2:$N$5," ", -1)</f>
        <v>Established (5-10)</v>
      </c>
      <c r="R1436" s="4">
        <f t="shared" si="45"/>
        <v>2.3333333333333335</v>
      </c>
      <c r="S1436" t="str">
        <f xml:space="preserve"> _xlfn.XLOOKUP( E1436, Lookup_Tables!$A$2:$A$6,Lookup_Tables!$B$2:$B$6," ", -1)</f>
        <v>Master</v>
      </c>
      <c r="T1436" t="str">
        <f>_xlfn.XLOOKUP(G1436,Lookup_Tables!$D$2:$D$5,Lookup_Tables!$E$2:$E$5)</f>
        <v>Low</v>
      </c>
      <c r="U1436" t="str">
        <f>_xlfn.XLOOKUP(H1436,Lookup_Tables!$D$2:$D$5,Lookup_Tables!$E$2:$E$5)</f>
        <v>Very High</v>
      </c>
      <c r="V1436" t="str">
        <f>_xlfn.XLOOKUP(L1436,Lookup_Tables!$D$2:$D$5,Lookup_Tables!$E$2:$E$5)</f>
        <v>Medium</v>
      </c>
    </row>
    <row r="1437" spans="1:22">
      <c r="A1437">
        <f>RAW_DATA!A1437</f>
        <v>44</v>
      </c>
      <c r="B1437" t="str">
        <f>RAW_DATA!B1437</f>
        <v>No</v>
      </c>
      <c r="C1437" t="str">
        <f>RAW_DATA!C1437</f>
        <v>Research &amp; Development</v>
      </c>
      <c r="D1437">
        <f>RAW_DATA!D1437</f>
        <v>1</v>
      </c>
      <c r="E1437">
        <f>RAW_DATA!E1437</f>
        <v>3</v>
      </c>
      <c r="F1437" t="str">
        <f>RAW_DATA!F1437</f>
        <v>Medical</v>
      </c>
      <c r="G1437">
        <f>RAW_DATA!G1437</f>
        <v>2</v>
      </c>
      <c r="H1437">
        <f>RAW_DATA!H1437</f>
        <v>4</v>
      </c>
      <c r="I1437" t="str">
        <f>RAW_DATA!I1437</f>
        <v>Single</v>
      </c>
      <c r="J1437">
        <f>RAW_DATA!J1437</f>
        <v>2436</v>
      </c>
      <c r="K1437">
        <f>RAW_DATA!K1437</f>
        <v>6</v>
      </c>
      <c r="L1437">
        <f>RAW_DATA!L1437</f>
        <v>3</v>
      </c>
      <c r="M1437">
        <f>RAW_DATA!M1437</f>
        <v>4</v>
      </c>
      <c r="N1437">
        <f t="shared" si="44"/>
        <v>0</v>
      </c>
      <c r="O1437" t="str">
        <f xml:space="preserve"> VLOOKUP(A1437, Lookup_Tables!$G$2:$H$6,2,TRUE)</f>
        <v>35-44</v>
      </c>
      <c r="P1437" t="str">
        <f>_xlfn.XLOOKUP(J1437,Lookup_Tables!$J$2:$J$4,Lookup_Tables!$K$2:$K$4, " ",-1)</f>
        <v>Low</v>
      </c>
      <c r="Q1437" t="str">
        <f xml:space="preserve"> _xlfn.XLOOKUP(M1437, Lookup_Tables!$M$2:$M$5,Lookup_Tables!$N$2:$N$5," ", -1)</f>
        <v>Early (2-5)</v>
      </c>
      <c r="R1437" s="4">
        <f t="shared" si="45"/>
        <v>3</v>
      </c>
      <c r="S1437" t="str">
        <f xml:space="preserve"> _xlfn.XLOOKUP( E1437, Lookup_Tables!$A$2:$A$6,Lookup_Tables!$B$2:$B$6," ", -1)</f>
        <v>Bachelor</v>
      </c>
      <c r="T1437" t="str">
        <f>_xlfn.XLOOKUP(G1437,Lookup_Tables!$D$2:$D$5,Lookup_Tables!$E$2:$E$5)</f>
        <v>Medium</v>
      </c>
      <c r="U1437" t="str">
        <f>_xlfn.XLOOKUP(H1437,Lookup_Tables!$D$2:$D$5,Lookup_Tables!$E$2:$E$5)</f>
        <v>Very High</v>
      </c>
      <c r="V1437" t="str">
        <f>_xlfn.XLOOKUP(L1437,Lookup_Tables!$D$2:$D$5,Lookup_Tables!$E$2:$E$5)</f>
        <v>High</v>
      </c>
    </row>
    <row r="1438" spans="1:22">
      <c r="A1438">
        <f>RAW_DATA!A1438</f>
        <v>21</v>
      </c>
      <c r="B1438" t="str">
        <f>RAW_DATA!B1438</f>
        <v>No</v>
      </c>
      <c r="C1438" t="str">
        <f>RAW_DATA!C1438</f>
        <v>Sales</v>
      </c>
      <c r="D1438">
        <f>RAW_DATA!D1438</f>
        <v>5</v>
      </c>
      <c r="E1438">
        <f>RAW_DATA!E1438</f>
        <v>1</v>
      </c>
      <c r="F1438" t="str">
        <f>RAW_DATA!F1438</f>
        <v>Medical</v>
      </c>
      <c r="G1438">
        <f>RAW_DATA!G1438</f>
        <v>3</v>
      </c>
      <c r="H1438">
        <f>RAW_DATA!H1438</f>
        <v>1</v>
      </c>
      <c r="I1438" t="str">
        <f>RAW_DATA!I1438</f>
        <v>Single</v>
      </c>
      <c r="J1438">
        <f>RAW_DATA!J1438</f>
        <v>2380</v>
      </c>
      <c r="K1438">
        <f>RAW_DATA!K1438</f>
        <v>1</v>
      </c>
      <c r="L1438">
        <f>RAW_DATA!L1438</f>
        <v>3</v>
      </c>
      <c r="M1438">
        <f>RAW_DATA!M1438</f>
        <v>2</v>
      </c>
      <c r="N1438">
        <f t="shared" si="44"/>
        <v>0</v>
      </c>
      <c r="O1438" t="str">
        <f xml:space="preserve"> VLOOKUP(A1438, Lookup_Tables!$G$2:$H$6,2,TRUE)</f>
        <v>&lt;25</v>
      </c>
      <c r="P1438" t="str">
        <f>_xlfn.XLOOKUP(J1438,Lookup_Tables!$J$2:$J$4,Lookup_Tables!$K$2:$K$4, " ",-1)</f>
        <v>Low</v>
      </c>
      <c r="Q1438" t="str">
        <f xml:space="preserve"> _xlfn.XLOOKUP(M1438, Lookup_Tables!$M$2:$M$5,Lookup_Tables!$N$2:$N$5," ", -1)</f>
        <v>Early (2-5)</v>
      </c>
      <c r="R1438" s="4">
        <f t="shared" si="45"/>
        <v>2.3333333333333335</v>
      </c>
      <c r="S1438" t="str">
        <f xml:space="preserve"> _xlfn.XLOOKUP( E1438, Lookup_Tables!$A$2:$A$6,Lookup_Tables!$B$2:$B$6," ", -1)</f>
        <v>Below College</v>
      </c>
      <c r="T1438" t="str">
        <f>_xlfn.XLOOKUP(G1438,Lookup_Tables!$D$2:$D$5,Lookup_Tables!$E$2:$E$5)</f>
        <v>High</v>
      </c>
      <c r="U1438" t="str">
        <f>_xlfn.XLOOKUP(H1438,Lookup_Tables!$D$2:$D$5,Lookup_Tables!$E$2:$E$5)</f>
        <v>Low</v>
      </c>
      <c r="V1438" t="str">
        <f>_xlfn.XLOOKUP(L1438,Lookup_Tables!$D$2:$D$5,Lookup_Tables!$E$2:$E$5)</f>
        <v>High</v>
      </c>
    </row>
    <row r="1439" spans="1:22">
      <c r="A1439">
        <f>RAW_DATA!A1439</f>
        <v>39</v>
      </c>
      <c r="B1439" t="str">
        <f>RAW_DATA!B1439</f>
        <v>No</v>
      </c>
      <c r="C1439" t="str">
        <f>RAW_DATA!C1439</f>
        <v>Research &amp; Development</v>
      </c>
      <c r="D1439">
        <f>RAW_DATA!D1439</f>
        <v>9</v>
      </c>
      <c r="E1439">
        <f>RAW_DATA!E1439</f>
        <v>3</v>
      </c>
      <c r="F1439" t="str">
        <f>RAW_DATA!F1439</f>
        <v>Life Sciences</v>
      </c>
      <c r="G1439">
        <f>RAW_DATA!G1439</f>
        <v>4</v>
      </c>
      <c r="H1439">
        <f>RAW_DATA!H1439</f>
        <v>4</v>
      </c>
      <c r="I1439" t="str">
        <f>RAW_DATA!I1439</f>
        <v>Single</v>
      </c>
      <c r="J1439">
        <f>RAW_DATA!J1439</f>
        <v>19431</v>
      </c>
      <c r="K1439">
        <f>RAW_DATA!K1439</f>
        <v>2</v>
      </c>
      <c r="L1439">
        <f>RAW_DATA!L1439</f>
        <v>2</v>
      </c>
      <c r="M1439">
        <f>RAW_DATA!M1439</f>
        <v>6</v>
      </c>
      <c r="N1439">
        <f t="shared" si="44"/>
        <v>0</v>
      </c>
      <c r="O1439" t="str">
        <f xml:space="preserve"> VLOOKUP(A1439, Lookup_Tables!$G$2:$H$6,2,TRUE)</f>
        <v>35-44</v>
      </c>
      <c r="P1439" t="str">
        <f>_xlfn.XLOOKUP(J1439,Lookup_Tables!$J$2:$J$4,Lookup_Tables!$K$2:$K$4, " ",-1)</f>
        <v>High</v>
      </c>
      <c r="Q1439" t="str">
        <f xml:space="preserve"> _xlfn.XLOOKUP(M1439, Lookup_Tables!$M$2:$M$5,Lookup_Tables!$N$2:$N$5," ", -1)</f>
        <v>Established (5-10)</v>
      </c>
      <c r="R1439" s="4">
        <f t="shared" si="45"/>
        <v>3.3333333333333335</v>
      </c>
      <c r="S1439" t="str">
        <f xml:space="preserve"> _xlfn.XLOOKUP( E1439, Lookup_Tables!$A$2:$A$6,Lookup_Tables!$B$2:$B$6," ", -1)</f>
        <v>Bachelor</v>
      </c>
      <c r="T1439" t="str">
        <f>_xlfn.XLOOKUP(G1439,Lookup_Tables!$D$2:$D$5,Lookup_Tables!$E$2:$E$5)</f>
        <v>Very High</v>
      </c>
      <c r="U1439" t="str">
        <f>_xlfn.XLOOKUP(H1439,Lookup_Tables!$D$2:$D$5,Lookup_Tables!$E$2:$E$5)</f>
        <v>Very High</v>
      </c>
      <c r="V1439" t="str">
        <f>_xlfn.XLOOKUP(L1439,Lookup_Tables!$D$2:$D$5,Lookup_Tables!$E$2:$E$5)</f>
        <v>Medium</v>
      </c>
    </row>
    <row r="1440" spans="1:22">
      <c r="A1440">
        <f>RAW_DATA!A1440</f>
        <v>23</v>
      </c>
      <c r="B1440" t="str">
        <f>RAW_DATA!B1440</f>
        <v>Yes</v>
      </c>
      <c r="C1440" t="str">
        <f>RAW_DATA!C1440</f>
        <v>Sales</v>
      </c>
      <c r="D1440">
        <f>RAW_DATA!D1440</f>
        <v>9</v>
      </c>
      <c r="E1440">
        <f>RAW_DATA!E1440</f>
        <v>3</v>
      </c>
      <c r="F1440" t="str">
        <f>RAW_DATA!F1440</f>
        <v>Marketing</v>
      </c>
      <c r="G1440">
        <f>RAW_DATA!G1440</f>
        <v>4</v>
      </c>
      <c r="H1440">
        <f>RAW_DATA!H1440</f>
        <v>1</v>
      </c>
      <c r="I1440" t="str">
        <f>RAW_DATA!I1440</f>
        <v>Married</v>
      </c>
      <c r="J1440">
        <f>RAW_DATA!J1440</f>
        <v>1790</v>
      </c>
      <c r="K1440">
        <f>RAW_DATA!K1440</f>
        <v>1</v>
      </c>
      <c r="L1440">
        <f>RAW_DATA!L1440</f>
        <v>2</v>
      </c>
      <c r="M1440">
        <f>RAW_DATA!M1440</f>
        <v>1</v>
      </c>
      <c r="N1440">
        <f t="shared" si="44"/>
        <v>1</v>
      </c>
      <c r="O1440" t="str">
        <f xml:space="preserve"> VLOOKUP(A1440, Lookup_Tables!$G$2:$H$6,2,TRUE)</f>
        <v>&lt;25</v>
      </c>
      <c r="P1440" t="str">
        <f>_xlfn.XLOOKUP(J1440,Lookup_Tables!$J$2:$J$4,Lookup_Tables!$K$2:$K$4, " ",-1)</f>
        <v>Low</v>
      </c>
      <c r="Q1440" t="str">
        <f xml:space="preserve"> _xlfn.XLOOKUP(M1440, Lookup_Tables!$M$2:$M$5,Lookup_Tables!$N$2:$N$5," ", -1)</f>
        <v>New (0-2)</v>
      </c>
      <c r="R1440" s="4">
        <f t="shared" si="45"/>
        <v>2.3333333333333335</v>
      </c>
      <c r="S1440" t="str">
        <f xml:space="preserve"> _xlfn.XLOOKUP( E1440, Lookup_Tables!$A$2:$A$6,Lookup_Tables!$B$2:$B$6," ", -1)</f>
        <v>Bachelor</v>
      </c>
      <c r="T1440" t="str">
        <f>_xlfn.XLOOKUP(G1440,Lookup_Tables!$D$2:$D$5,Lookup_Tables!$E$2:$E$5)</f>
        <v>Very High</v>
      </c>
      <c r="U1440" t="str">
        <f>_xlfn.XLOOKUP(H1440,Lookup_Tables!$D$2:$D$5,Lookup_Tables!$E$2:$E$5)</f>
        <v>Low</v>
      </c>
      <c r="V1440" t="str">
        <f>_xlfn.XLOOKUP(L1440,Lookup_Tables!$D$2:$D$5,Lookup_Tables!$E$2:$E$5)</f>
        <v>Medium</v>
      </c>
    </row>
    <row r="1441" spans="1:22">
      <c r="A1441">
        <f>RAW_DATA!A1441</f>
        <v>36</v>
      </c>
      <c r="B1441" t="str">
        <f>RAW_DATA!B1441</f>
        <v>No</v>
      </c>
      <c r="C1441" t="str">
        <f>RAW_DATA!C1441</f>
        <v>Sales</v>
      </c>
      <c r="D1441">
        <f>RAW_DATA!D1441</f>
        <v>3</v>
      </c>
      <c r="E1441">
        <f>RAW_DATA!E1441</f>
        <v>3</v>
      </c>
      <c r="F1441" t="str">
        <f>RAW_DATA!F1441</f>
        <v>Medical</v>
      </c>
      <c r="G1441">
        <f>RAW_DATA!G1441</f>
        <v>1</v>
      </c>
      <c r="H1441">
        <f>RAW_DATA!H1441</f>
        <v>4</v>
      </c>
      <c r="I1441" t="str">
        <f>RAW_DATA!I1441</f>
        <v>Married</v>
      </c>
      <c r="J1441">
        <f>RAW_DATA!J1441</f>
        <v>7644</v>
      </c>
      <c r="K1441">
        <f>RAW_DATA!K1441</f>
        <v>0</v>
      </c>
      <c r="L1441">
        <f>RAW_DATA!L1441</f>
        <v>3</v>
      </c>
      <c r="M1441">
        <f>RAW_DATA!M1441</f>
        <v>9</v>
      </c>
      <c r="N1441">
        <f t="shared" si="44"/>
        <v>0</v>
      </c>
      <c r="O1441" t="str">
        <f xml:space="preserve"> VLOOKUP(A1441, Lookup_Tables!$G$2:$H$6,2,TRUE)</f>
        <v>35-44</v>
      </c>
      <c r="P1441" t="str">
        <f>_xlfn.XLOOKUP(J1441,Lookup_Tables!$J$2:$J$4,Lookup_Tables!$K$2:$K$4, " ",-1)</f>
        <v>High</v>
      </c>
      <c r="Q1441" t="str">
        <f xml:space="preserve"> _xlfn.XLOOKUP(M1441, Lookup_Tables!$M$2:$M$5,Lookup_Tables!$N$2:$N$5," ", -1)</f>
        <v>Established (5-10)</v>
      </c>
      <c r="R1441" s="4">
        <f t="shared" si="45"/>
        <v>2.6666666666666665</v>
      </c>
      <c r="S1441" t="str">
        <f xml:space="preserve"> _xlfn.XLOOKUP( E1441, Lookup_Tables!$A$2:$A$6,Lookup_Tables!$B$2:$B$6," ", -1)</f>
        <v>Bachelor</v>
      </c>
      <c r="T1441" t="str">
        <f>_xlfn.XLOOKUP(G1441,Lookup_Tables!$D$2:$D$5,Lookup_Tables!$E$2:$E$5)</f>
        <v>Low</v>
      </c>
      <c r="U1441" t="str">
        <f>_xlfn.XLOOKUP(H1441,Lookup_Tables!$D$2:$D$5,Lookup_Tables!$E$2:$E$5)</f>
        <v>Very High</v>
      </c>
      <c r="V1441" t="str">
        <f>_xlfn.XLOOKUP(L1441,Lookup_Tables!$D$2:$D$5,Lookup_Tables!$E$2:$E$5)</f>
        <v>High</v>
      </c>
    </row>
    <row r="1442" spans="1:22">
      <c r="A1442">
        <f>RAW_DATA!A1442</f>
        <v>36</v>
      </c>
      <c r="B1442" t="str">
        <f>RAW_DATA!B1442</f>
        <v>No</v>
      </c>
      <c r="C1442" t="str">
        <f>RAW_DATA!C1442</f>
        <v>Research &amp; Development</v>
      </c>
      <c r="D1442">
        <f>RAW_DATA!D1442</f>
        <v>4</v>
      </c>
      <c r="E1442">
        <f>RAW_DATA!E1442</f>
        <v>2</v>
      </c>
      <c r="F1442" t="str">
        <f>RAW_DATA!F1442</f>
        <v>Life Sciences</v>
      </c>
      <c r="G1442">
        <f>RAW_DATA!G1442</f>
        <v>4</v>
      </c>
      <c r="H1442">
        <f>RAW_DATA!H1442</f>
        <v>2</v>
      </c>
      <c r="I1442" t="str">
        <f>RAW_DATA!I1442</f>
        <v>Divorced</v>
      </c>
      <c r="J1442">
        <f>RAW_DATA!J1442</f>
        <v>5131</v>
      </c>
      <c r="K1442">
        <f>RAW_DATA!K1442</f>
        <v>7</v>
      </c>
      <c r="L1442">
        <f>RAW_DATA!L1442</f>
        <v>3</v>
      </c>
      <c r="M1442">
        <f>RAW_DATA!M1442</f>
        <v>4</v>
      </c>
      <c r="N1442">
        <f t="shared" si="44"/>
        <v>0</v>
      </c>
      <c r="O1442" t="str">
        <f xml:space="preserve"> VLOOKUP(A1442, Lookup_Tables!$G$2:$H$6,2,TRUE)</f>
        <v>35-44</v>
      </c>
      <c r="P1442" t="str">
        <f>_xlfn.XLOOKUP(J1442,Lookup_Tables!$J$2:$J$4,Lookup_Tables!$K$2:$K$4, " ",-1)</f>
        <v>Medium</v>
      </c>
      <c r="Q1442" t="str">
        <f xml:space="preserve"> _xlfn.XLOOKUP(M1442, Lookup_Tables!$M$2:$M$5,Lookup_Tables!$N$2:$N$5," ", -1)</f>
        <v>Early (2-5)</v>
      </c>
      <c r="R1442" s="4">
        <f t="shared" si="45"/>
        <v>3</v>
      </c>
      <c r="S1442" t="str">
        <f xml:space="preserve"> _xlfn.XLOOKUP( E1442, Lookup_Tables!$A$2:$A$6,Lookup_Tables!$B$2:$B$6," ", -1)</f>
        <v>College</v>
      </c>
      <c r="T1442" t="str">
        <f>_xlfn.XLOOKUP(G1442,Lookup_Tables!$D$2:$D$5,Lookup_Tables!$E$2:$E$5)</f>
        <v>Very High</v>
      </c>
      <c r="U1442" t="str">
        <f>_xlfn.XLOOKUP(H1442,Lookup_Tables!$D$2:$D$5,Lookup_Tables!$E$2:$E$5)</f>
        <v>Medium</v>
      </c>
      <c r="V1442" t="str">
        <f>_xlfn.XLOOKUP(L1442,Lookup_Tables!$D$2:$D$5,Lookup_Tables!$E$2:$E$5)</f>
        <v>High</v>
      </c>
    </row>
    <row r="1443" spans="1:22">
      <c r="A1443">
        <f>RAW_DATA!A1443</f>
        <v>56</v>
      </c>
      <c r="B1443" t="str">
        <f>RAW_DATA!B1443</f>
        <v>No</v>
      </c>
      <c r="C1443" t="str">
        <f>RAW_DATA!C1443</f>
        <v>Research &amp; Development</v>
      </c>
      <c r="D1443">
        <f>RAW_DATA!D1443</f>
        <v>1</v>
      </c>
      <c r="E1443">
        <f>RAW_DATA!E1443</f>
        <v>4</v>
      </c>
      <c r="F1443" t="str">
        <f>RAW_DATA!F1443</f>
        <v>Life Sciences</v>
      </c>
      <c r="G1443">
        <f>RAW_DATA!G1443</f>
        <v>3</v>
      </c>
      <c r="H1443">
        <f>RAW_DATA!H1443</f>
        <v>3</v>
      </c>
      <c r="I1443" t="str">
        <f>RAW_DATA!I1443</f>
        <v>Divorced</v>
      </c>
      <c r="J1443">
        <f>RAW_DATA!J1443</f>
        <v>6306</v>
      </c>
      <c r="K1443">
        <f>RAW_DATA!K1443</f>
        <v>1</v>
      </c>
      <c r="L1443">
        <f>RAW_DATA!L1443</f>
        <v>2</v>
      </c>
      <c r="M1443">
        <f>RAW_DATA!M1443</f>
        <v>13</v>
      </c>
      <c r="N1443">
        <f t="shared" si="44"/>
        <v>0</v>
      </c>
      <c r="O1443" t="str">
        <f xml:space="preserve"> VLOOKUP(A1443, Lookup_Tables!$G$2:$H$6,2,TRUE)</f>
        <v>55+</v>
      </c>
      <c r="P1443" t="str">
        <f>_xlfn.XLOOKUP(J1443,Lookup_Tables!$J$2:$J$4,Lookup_Tables!$K$2:$K$4, " ",-1)</f>
        <v>Medium</v>
      </c>
      <c r="Q1443" t="str">
        <f xml:space="preserve"> _xlfn.XLOOKUP(M1443, Lookup_Tables!$M$2:$M$5,Lookup_Tables!$N$2:$N$5," ", -1)</f>
        <v>Veteran (10+)</v>
      </c>
      <c r="R1443" s="4">
        <f t="shared" si="45"/>
        <v>2.6666666666666665</v>
      </c>
      <c r="S1443" t="str">
        <f xml:space="preserve"> _xlfn.XLOOKUP( E1443, Lookup_Tables!$A$2:$A$6,Lookup_Tables!$B$2:$B$6," ", -1)</f>
        <v>Master</v>
      </c>
      <c r="T1443" t="str">
        <f>_xlfn.XLOOKUP(G1443,Lookup_Tables!$D$2:$D$5,Lookup_Tables!$E$2:$E$5)</f>
        <v>High</v>
      </c>
      <c r="U1443" t="str">
        <f>_xlfn.XLOOKUP(H1443,Lookup_Tables!$D$2:$D$5,Lookup_Tables!$E$2:$E$5)</f>
        <v>High</v>
      </c>
      <c r="V1443" t="str">
        <f>_xlfn.XLOOKUP(L1443,Lookup_Tables!$D$2:$D$5,Lookup_Tables!$E$2:$E$5)</f>
        <v>Medium</v>
      </c>
    </row>
    <row r="1444" spans="1:22">
      <c r="A1444">
        <f>RAW_DATA!A1444</f>
        <v>29</v>
      </c>
      <c r="B1444" t="str">
        <f>RAW_DATA!B1444</f>
        <v>Yes</v>
      </c>
      <c r="C1444" t="str">
        <f>RAW_DATA!C1444</f>
        <v>Research &amp; Development</v>
      </c>
      <c r="D1444">
        <f>RAW_DATA!D1444</f>
        <v>1</v>
      </c>
      <c r="E1444">
        <f>RAW_DATA!E1444</f>
        <v>4</v>
      </c>
      <c r="F1444" t="str">
        <f>RAW_DATA!F1444</f>
        <v>Medical</v>
      </c>
      <c r="G1444">
        <f>RAW_DATA!G1444</f>
        <v>1</v>
      </c>
      <c r="H1444">
        <f>RAW_DATA!H1444</f>
        <v>4</v>
      </c>
      <c r="I1444" t="str">
        <f>RAW_DATA!I1444</f>
        <v>Married</v>
      </c>
      <c r="J1444">
        <f>RAW_DATA!J1444</f>
        <v>4787</v>
      </c>
      <c r="K1444">
        <f>RAW_DATA!K1444</f>
        <v>9</v>
      </c>
      <c r="L1444">
        <f>RAW_DATA!L1444</f>
        <v>4</v>
      </c>
      <c r="M1444">
        <f>RAW_DATA!M1444</f>
        <v>2</v>
      </c>
      <c r="N1444">
        <f t="shared" si="44"/>
        <v>1</v>
      </c>
      <c r="O1444" t="str">
        <f xml:space="preserve"> VLOOKUP(A1444, Lookup_Tables!$G$2:$H$6,2,TRUE)</f>
        <v>25-34</v>
      </c>
      <c r="P1444" t="str">
        <f>_xlfn.XLOOKUP(J1444,Lookup_Tables!$J$2:$J$4,Lookup_Tables!$K$2:$K$4, " ",-1)</f>
        <v>Medium</v>
      </c>
      <c r="Q1444" t="str">
        <f xml:space="preserve"> _xlfn.XLOOKUP(M1444, Lookup_Tables!$M$2:$M$5,Lookup_Tables!$N$2:$N$5," ", -1)</f>
        <v>Early (2-5)</v>
      </c>
      <c r="R1444" s="4">
        <f t="shared" si="45"/>
        <v>3</v>
      </c>
      <c r="S1444" t="str">
        <f xml:space="preserve"> _xlfn.XLOOKUP( E1444, Lookup_Tables!$A$2:$A$6,Lookup_Tables!$B$2:$B$6," ", -1)</f>
        <v>Master</v>
      </c>
      <c r="T1444" t="str">
        <f>_xlfn.XLOOKUP(G1444,Lookup_Tables!$D$2:$D$5,Lookup_Tables!$E$2:$E$5)</f>
        <v>Low</v>
      </c>
      <c r="U1444" t="str">
        <f>_xlfn.XLOOKUP(H1444,Lookup_Tables!$D$2:$D$5,Lookup_Tables!$E$2:$E$5)</f>
        <v>Very High</v>
      </c>
      <c r="V1444" t="str">
        <f>_xlfn.XLOOKUP(L1444,Lookup_Tables!$D$2:$D$5,Lookup_Tables!$E$2:$E$5)</f>
        <v>Very High</v>
      </c>
    </row>
    <row r="1445" spans="1:22">
      <c r="A1445">
        <f>RAW_DATA!A1445</f>
        <v>42</v>
      </c>
      <c r="B1445" t="str">
        <f>RAW_DATA!B1445</f>
        <v>No</v>
      </c>
      <c r="C1445" t="str">
        <f>RAW_DATA!C1445</f>
        <v>Research &amp; Development</v>
      </c>
      <c r="D1445">
        <f>RAW_DATA!D1445</f>
        <v>2</v>
      </c>
      <c r="E1445">
        <f>RAW_DATA!E1445</f>
        <v>3</v>
      </c>
      <c r="F1445" t="str">
        <f>RAW_DATA!F1445</f>
        <v>Life Sciences</v>
      </c>
      <c r="G1445">
        <f>RAW_DATA!G1445</f>
        <v>1</v>
      </c>
      <c r="H1445">
        <f>RAW_DATA!H1445</f>
        <v>3</v>
      </c>
      <c r="I1445" t="str">
        <f>RAW_DATA!I1445</f>
        <v>Married</v>
      </c>
      <c r="J1445">
        <f>RAW_DATA!J1445</f>
        <v>18880</v>
      </c>
      <c r="K1445">
        <f>RAW_DATA!K1445</f>
        <v>5</v>
      </c>
      <c r="L1445">
        <f>RAW_DATA!L1445</f>
        <v>2</v>
      </c>
      <c r="M1445">
        <f>RAW_DATA!M1445</f>
        <v>22</v>
      </c>
      <c r="N1445">
        <f t="shared" si="44"/>
        <v>0</v>
      </c>
      <c r="O1445" t="str">
        <f xml:space="preserve"> VLOOKUP(A1445, Lookup_Tables!$G$2:$H$6,2,TRUE)</f>
        <v>35-44</v>
      </c>
      <c r="P1445" t="str">
        <f>_xlfn.XLOOKUP(J1445,Lookup_Tables!$J$2:$J$4,Lookup_Tables!$K$2:$K$4, " ",-1)</f>
        <v>High</v>
      </c>
      <c r="Q1445" t="str">
        <f xml:space="preserve"> _xlfn.XLOOKUP(M1445, Lookup_Tables!$M$2:$M$5,Lookup_Tables!$N$2:$N$5," ", -1)</f>
        <v>Veteran (10+)</v>
      </c>
      <c r="R1445" s="4">
        <f t="shared" si="45"/>
        <v>2</v>
      </c>
      <c r="S1445" t="str">
        <f xml:space="preserve"> _xlfn.XLOOKUP( E1445, Lookup_Tables!$A$2:$A$6,Lookup_Tables!$B$2:$B$6," ", -1)</f>
        <v>Bachelor</v>
      </c>
      <c r="T1445" t="str">
        <f>_xlfn.XLOOKUP(G1445,Lookup_Tables!$D$2:$D$5,Lookup_Tables!$E$2:$E$5)</f>
        <v>Low</v>
      </c>
      <c r="U1445" t="str">
        <f>_xlfn.XLOOKUP(H1445,Lookup_Tables!$D$2:$D$5,Lookup_Tables!$E$2:$E$5)</f>
        <v>High</v>
      </c>
      <c r="V1445" t="str">
        <f>_xlfn.XLOOKUP(L1445,Lookup_Tables!$D$2:$D$5,Lookup_Tables!$E$2:$E$5)</f>
        <v>Medium</v>
      </c>
    </row>
    <row r="1446" spans="1:22">
      <c r="A1446">
        <f>RAW_DATA!A1446</f>
        <v>56</v>
      </c>
      <c r="B1446" t="str">
        <f>RAW_DATA!B1446</f>
        <v>Yes</v>
      </c>
      <c r="C1446" t="str">
        <f>RAW_DATA!C1446</f>
        <v>Research &amp; Development</v>
      </c>
      <c r="D1446">
        <f>RAW_DATA!D1446</f>
        <v>7</v>
      </c>
      <c r="E1446">
        <f>RAW_DATA!E1446</f>
        <v>2</v>
      </c>
      <c r="F1446" t="str">
        <f>RAW_DATA!F1446</f>
        <v>Technical Degree</v>
      </c>
      <c r="G1446">
        <f>RAW_DATA!G1446</f>
        <v>4</v>
      </c>
      <c r="H1446">
        <f>RAW_DATA!H1446</f>
        <v>3</v>
      </c>
      <c r="I1446" t="str">
        <f>RAW_DATA!I1446</f>
        <v>Married</v>
      </c>
      <c r="J1446">
        <f>RAW_DATA!J1446</f>
        <v>2339</v>
      </c>
      <c r="K1446">
        <f>RAW_DATA!K1446</f>
        <v>8</v>
      </c>
      <c r="L1446">
        <f>RAW_DATA!L1446</f>
        <v>1</v>
      </c>
      <c r="M1446">
        <f>RAW_DATA!M1446</f>
        <v>10</v>
      </c>
      <c r="N1446">
        <f t="shared" si="44"/>
        <v>1</v>
      </c>
      <c r="O1446" t="str">
        <f xml:space="preserve"> VLOOKUP(A1446, Lookup_Tables!$G$2:$H$6,2,TRUE)</f>
        <v>55+</v>
      </c>
      <c r="P1446" t="str">
        <f>_xlfn.XLOOKUP(J1446,Lookup_Tables!$J$2:$J$4,Lookup_Tables!$K$2:$K$4, " ",-1)</f>
        <v>Low</v>
      </c>
      <c r="Q1446" t="str">
        <f xml:space="preserve"> _xlfn.XLOOKUP(M1446, Lookup_Tables!$M$2:$M$5,Lookup_Tables!$N$2:$N$5," ", -1)</f>
        <v>Veteran (10+)</v>
      </c>
      <c r="R1446" s="4">
        <f t="shared" si="45"/>
        <v>2.6666666666666665</v>
      </c>
      <c r="S1446" t="str">
        <f xml:space="preserve"> _xlfn.XLOOKUP( E1446, Lookup_Tables!$A$2:$A$6,Lookup_Tables!$B$2:$B$6," ", -1)</f>
        <v>College</v>
      </c>
      <c r="T1446" t="str">
        <f>_xlfn.XLOOKUP(G1446,Lookup_Tables!$D$2:$D$5,Lookup_Tables!$E$2:$E$5)</f>
        <v>Very High</v>
      </c>
      <c r="U1446" t="str">
        <f>_xlfn.XLOOKUP(H1446,Lookup_Tables!$D$2:$D$5,Lookup_Tables!$E$2:$E$5)</f>
        <v>High</v>
      </c>
      <c r="V1446" t="str">
        <f>_xlfn.XLOOKUP(L1446,Lookup_Tables!$D$2:$D$5,Lookup_Tables!$E$2:$E$5)</f>
        <v>Low</v>
      </c>
    </row>
    <row r="1447" spans="1:22">
      <c r="A1447">
        <f>RAW_DATA!A1447</f>
        <v>41</v>
      </c>
      <c r="B1447" t="str">
        <f>RAW_DATA!B1447</f>
        <v>No</v>
      </c>
      <c r="C1447" t="str">
        <f>RAW_DATA!C1447</f>
        <v>Research &amp; Development</v>
      </c>
      <c r="D1447">
        <f>RAW_DATA!D1447</f>
        <v>28</v>
      </c>
      <c r="E1447">
        <f>RAW_DATA!E1447</f>
        <v>4</v>
      </c>
      <c r="F1447" t="str">
        <f>RAW_DATA!F1447</f>
        <v>Life Sciences</v>
      </c>
      <c r="G1447">
        <f>RAW_DATA!G1447</f>
        <v>1</v>
      </c>
      <c r="H1447">
        <f>RAW_DATA!H1447</f>
        <v>2</v>
      </c>
      <c r="I1447" t="str">
        <f>RAW_DATA!I1447</f>
        <v>Married</v>
      </c>
      <c r="J1447">
        <f>RAW_DATA!J1447</f>
        <v>13570</v>
      </c>
      <c r="K1447">
        <f>RAW_DATA!K1447</f>
        <v>0</v>
      </c>
      <c r="L1447">
        <f>RAW_DATA!L1447</f>
        <v>3</v>
      </c>
      <c r="M1447">
        <f>RAW_DATA!M1447</f>
        <v>20</v>
      </c>
      <c r="N1447">
        <f t="shared" si="44"/>
        <v>0</v>
      </c>
      <c r="O1447" t="str">
        <f xml:space="preserve"> VLOOKUP(A1447, Lookup_Tables!$G$2:$H$6,2,TRUE)</f>
        <v>35-44</v>
      </c>
      <c r="P1447" t="str">
        <f>_xlfn.XLOOKUP(J1447,Lookup_Tables!$J$2:$J$4,Lookup_Tables!$K$2:$K$4, " ",-1)</f>
        <v>High</v>
      </c>
      <c r="Q1447" t="str">
        <f xml:space="preserve"> _xlfn.XLOOKUP(M1447, Lookup_Tables!$M$2:$M$5,Lookup_Tables!$N$2:$N$5," ", -1)</f>
        <v>Veteran (10+)</v>
      </c>
      <c r="R1447" s="4">
        <f t="shared" si="45"/>
        <v>2</v>
      </c>
      <c r="S1447" t="str">
        <f xml:space="preserve"> _xlfn.XLOOKUP( E1447, Lookup_Tables!$A$2:$A$6,Lookup_Tables!$B$2:$B$6," ", -1)</f>
        <v>Master</v>
      </c>
      <c r="T1447" t="str">
        <f>_xlfn.XLOOKUP(G1447,Lookup_Tables!$D$2:$D$5,Lookup_Tables!$E$2:$E$5)</f>
        <v>Low</v>
      </c>
      <c r="U1447" t="str">
        <f>_xlfn.XLOOKUP(H1447,Lookup_Tables!$D$2:$D$5,Lookup_Tables!$E$2:$E$5)</f>
        <v>Medium</v>
      </c>
      <c r="V1447" t="str">
        <f>_xlfn.XLOOKUP(L1447,Lookup_Tables!$D$2:$D$5,Lookup_Tables!$E$2:$E$5)</f>
        <v>High</v>
      </c>
    </row>
    <row r="1448" spans="1:22">
      <c r="A1448">
        <f>RAW_DATA!A1448</f>
        <v>34</v>
      </c>
      <c r="B1448" t="str">
        <f>RAW_DATA!B1448</f>
        <v>No</v>
      </c>
      <c r="C1448" t="str">
        <f>RAW_DATA!C1448</f>
        <v>Sales</v>
      </c>
      <c r="D1448">
        <f>RAW_DATA!D1448</f>
        <v>28</v>
      </c>
      <c r="E1448">
        <f>RAW_DATA!E1448</f>
        <v>3</v>
      </c>
      <c r="F1448" t="str">
        <f>RAW_DATA!F1448</f>
        <v>Marketing</v>
      </c>
      <c r="G1448">
        <f>RAW_DATA!G1448</f>
        <v>4</v>
      </c>
      <c r="H1448">
        <f>RAW_DATA!H1448</f>
        <v>3</v>
      </c>
      <c r="I1448" t="str">
        <f>RAW_DATA!I1448</f>
        <v>Married</v>
      </c>
      <c r="J1448">
        <f>RAW_DATA!J1448</f>
        <v>6712</v>
      </c>
      <c r="K1448">
        <f>RAW_DATA!K1448</f>
        <v>1</v>
      </c>
      <c r="L1448">
        <f>RAW_DATA!L1448</f>
        <v>3</v>
      </c>
      <c r="M1448">
        <f>RAW_DATA!M1448</f>
        <v>8</v>
      </c>
      <c r="N1448">
        <f t="shared" si="44"/>
        <v>0</v>
      </c>
      <c r="O1448" t="str">
        <f xml:space="preserve"> VLOOKUP(A1448, Lookup_Tables!$G$2:$H$6,2,TRUE)</f>
        <v>25-34</v>
      </c>
      <c r="P1448" t="str">
        <f>_xlfn.XLOOKUP(J1448,Lookup_Tables!$J$2:$J$4,Lookup_Tables!$K$2:$K$4, " ",-1)</f>
        <v>Medium</v>
      </c>
      <c r="Q1448" t="str">
        <f xml:space="preserve"> _xlfn.XLOOKUP(M1448, Lookup_Tables!$M$2:$M$5,Lookup_Tables!$N$2:$N$5," ", -1)</f>
        <v>Established (5-10)</v>
      </c>
      <c r="R1448" s="4">
        <f t="shared" si="45"/>
        <v>3.3333333333333335</v>
      </c>
      <c r="S1448" t="str">
        <f xml:space="preserve"> _xlfn.XLOOKUP( E1448, Lookup_Tables!$A$2:$A$6,Lookup_Tables!$B$2:$B$6," ", -1)</f>
        <v>Bachelor</v>
      </c>
      <c r="T1448" t="str">
        <f>_xlfn.XLOOKUP(G1448,Lookup_Tables!$D$2:$D$5,Lookup_Tables!$E$2:$E$5)</f>
        <v>Very High</v>
      </c>
      <c r="U1448" t="str">
        <f>_xlfn.XLOOKUP(H1448,Lookup_Tables!$D$2:$D$5,Lookup_Tables!$E$2:$E$5)</f>
        <v>High</v>
      </c>
      <c r="V1448" t="str">
        <f>_xlfn.XLOOKUP(L1448,Lookup_Tables!$D$2:$D$5,Lookup_Tables!$E$2:$E$5)</f>
        <v>High</v>
      </c>
    </row>
    <row r="1449" spans="1:22">
      <c r="A1449">
        <f>RAW_DATA!A1449</f>
        <v>36</v>
      </c>
      <c r="B1449" t="str">
        <f>RAW_DATA!B1449</f>
        <v>No</v>
      </c>
      <c r="C1449" t="str">
        <f>RAW_DATA!C1449</f>
        <v>Sales</v>
      </c>
      <c r="D1449">
        <f>RAW_DATA!D1449</f>
        <v>15</v>
      </c>
      <c r="E1449">
        <f>RAW_DATA!E1449</f>
        <v>4</v>
      </c>
      <c r="F1449" t="str">
        <f>RAW_DATA!F1449</f>
        <v>Marketing</v>
      </c>
      <c r="G1449">
        <f>RAW_DATA!G1449</f>
        <v>4</v>
      </c>
      <c r="H1449">
        <f>RAW_DATA!H1449</f>
        <v>4</v>
      </c>
      <c r="I1449" t="str">
        <f>RAW_DATA!I1449</f>
        <v>Divorced</v>
      </c>
      <c r="J1449">
        <f>RAW_DATA!J1449</f>
        <v>5406</v>
      </c>
      <c r="K1449">
        <f>RAW_DATA!K1449</f>
        <v>1</v>
      </c>
      <c r="L1449">
        <f>RAW_DATA!L1449</f>
        <v>2</v>
      </c>
      <c r="M1449">
        <f>RAW_DATA!M1449</f>
        <v>15</v>
      </c>
      <c r="N1449">
        <f t="shared" si="44"/>
        <v>0</v>
      </c>
      <c r="O1449" t="str">
        <f xml:space="preserve"> VLOOKUP(A1449, Lookup_Tables!$G$2:$H$6,2,TRUE)</f>
        <v>35-44</v>
      </c>
      <c r="P1449" t="str">
        <f>_xlfn.XLOOKUP(J1449,Lookup_Tables!$J$2:$J$4,Lookup_Tables!$K$2:$K$4, " ",-1)</f>
        <v>Medium</v>
      </c>
      <c r="Q1449" t="str">
        <f xml:space="preserve"> _xlfn.XLOOKUP(M1449, Lookup_Tables!$M$2:$M$5,Lookup_Tables!$N$2:$N$5," ", -1)</f>
        <v>Veteran (10+)</v>
      </c>
      <c r="R1449" s="4">
        <f t="shared" si="45"/>
        <v>3.3333333333333335</v>
      </c>
      <c r="S1449" t="str">
        <f xml:space="preserve"> _xlfn.XLOOKUP( E1449, Lookup_Tables!$A$2:$A$6,Lookup_Tables!$B$2:$B$6," ", -1)</f>
        <v>Master</v>
      </c>
      <c r="T1449" t="str">
        <f>_xlfn.XLOOKUP(G1449,Lookup_Tables!$D$2:$D$5,Lookup_Tables!$E$2:$E$5)</f>
        <v>Very High</v>
      </c>
      <c r="U1449" t="str">
        <f>_xlfn.XLOOKUP(H1449,Lookup_Tables!$D$2:$D$5,Lookup_Tables!$E$2:$E$5)</f>
        <v>Very High</v>
      </c>
      <c r="V1449" t="str">
        <f>_xlfn.XLOOKUP(L1449,Lookup_Tables!$D$2:$D$5,Lookup_Tables!$E$2:$E$5)</f>
        <v>Medium</v>
      </c>
    </row>
    <row r="1450" spans="1:22">
      <c r="A1450">
        <f>RAW_DATA!A1450</f>
        <v>41</v>
      </c>
      <c r="B1450" t="str">
        <f>RAW_DATA!B1450</f>
        <v>No</v>
      </c>
      <c r="C1450" t="str">
        <f>RAW_DATA!C1450</f>
        <v>Sales</v>
      </c>
      <c r="D1450">
        <f>RAW_DATA!D1450</f>
        <v>3</v>
      </c>
      <c r="E1450">
        <f>RAW_DATA!E1450</f>
        <v>3</v>
      </c>
      <c r="F1450" t="str">
        <f>RAW_DATA!F1450</f>
        <v>Life Sciences</v>
      </c>
      <c r="G1450">
        <f>RAW_DATA!G1450</f>
        <v>3</v>
      </c>
      <c r="H1450">
        <f>RAW_DATA!H1450</f>
        <v>2</v>
      </c>
      <c r="I1450" t="str">
        <f>RAW_DATA!I1450</f>
        <v>Divorced</v>
      </c>
      <c r="J1450">
        <f>RAW_DATA!J1450</f>
        <v>8938</v>
      </c>
      <c r="K1450">
        <f>RAW_DATA!K1450</f>
        <v>2</v>
      </c>
      <c r="L1450">
        <f>RAW_DATA!L1450</f>
        <v>3</v>
      </c>
      <c r="M1450">
        <f>RAW_DATA!M1450</f>
        <v>5</v>
      </c>
      <c r="N1450">
        <f t="shared" si="44"/>
        <v>0</v>
      </c>
      <c r="O1450" t="str">
        <f xml:space="preserve"> VLOOKUP(A1450, Lookup_Tables!$G$2:$H$6,2,TRUE)</f>
        <v>35-44</v>
      </c>
      <c r="P1450" t="str">
        <f>_xlfn.XLOOKUP(J1450,Lookup_Tables!$J$2:$J$4,Lookup_Tables!$K$2:$K$4, " ",-1)</f>
        <v>High</v>
      </c>
      <c r="Q1450" t="str">
        <f xml:space="preserve"> _xlfn.XLOOKUP(M1450, Lookup_Tables!$M$2:$M$5,Lookup_Tables!$N$2:$N$5," ", -1)</f>
        <v>Established (5-10)</v>
      </c>
      <c r="R1450" s="4">
        <f t="shared" si="45"/>
        <v>2.6666666666666665</v>
      </c>
      <c r="S1450" t="str">
        <f xml:space="preserve"> _xlfn.XLOOKUP( E1450, Lookup_Tables!$A$2:$A$6,Lookup_Tables!$B$2:$B$6," ", -1)</f>
        <v>Bachelor</v>
      </c>
      <c r="T1450" t="str">
        <f>_xlfn.XLOOKUP(G1450,Lookup_Tables!$D$2:$D$5,Lookup_Tables!$E$2:$E$5)</f>
        <v>High</v>
      </c>
      <c r="U1450" t="str">
        <f>_xlfn.XLOOKUP(H1450,Lookup_Tables!$D$2:$D$5,Lookup_Tables!$E$2:$E$5)</f>
        <v>Medium</v>
      </c>
      <c r="V1450" t="str">
        <f>_xlfn.XLOOKUP(L1450,Lookup_Tables!$D$2:$D$5,Lookup_Tables!$E$2:$E$5)</f>
        <v>High</v>
      </c>
    </row>
    <row r="1451" spans="1:22">
      <c r="A1451">
        <f>RAW_DATA!A1451</f>
        <v>32</v>
      </c>
      <c r="B1451" t="str">
        <f>RAW_DATA!B1451</f>
        <v>No</v>
      </c>
      <c r="C1451" t="str">
        <f>RAW_DATA!C1451</f>
        <v>Research &amp; Development</v>
      </c>
      <c r="D1451">
        <f>RAW_DATA!D1451</f>
        <v>2</v>
      </c>
      <c r="E1451">
        <f>RAW_DATA!E1451</f>
        <v>3</v>
      </c>
      <c r="F1451" t="str">
        <f>RAW_DATA!F1451</f>
        <v>Technical Degree</v>
      </c>
      <c r="G1451">
        <f>RAW_DATA!G1451</f>
        <v>4</v>
      </c>
      <c r="H1451">
        <f>RAW_DATA!H1451</f>
        <v>1</v>
      </c>
      <c r="I1451" t="str">
        <f>RAW_DATA!I1451</f>
        <v>Single</v>
      </c>
      <c r="J1451">
        <f>RAW_DATA!J1451</f>
        <v>2439</v>
      </c>
      <c r="K1451">
        <f>RAW_DATA!K1451</f>
        <v>1</v>
      </c>
      <c r="L1451">
        <f>RAW_DATA!L1451</f>
        <v>3</v>
      </c>
      <c r="M1451">
        <f>RAW_DATA!M1451</f>
        <v>4</v>
      </c>
      <c r="N1451">
        <f t="shared" si="44"/>
        <v>0</v>
      </c>
      <c r="O1451" t="str">
        <f xml:space="preserve"> VLOOKUP(A1451, Lookup_Tables!$G$2:$H$6,2,TRUE)</f>
        <v>25-34</v>
      </c>
      <c r="P1451" t="str">
        <f>_xlfn.XLOOKUP(J1451,Lookup_Tables!$J$2:$J$4,Lookup_Tables!$K$2:$K$4, " ",-1)</f>
        <v>Low</v>
      </c>
      <c r="Q1451" t="str">
        <f xml:space="preserve"> _xlfn.XLOOKUP(M1451, Lookup_Tables!$M$2:$M$5,Lookup_Tables!$N$2:$N$5," ", -1)</f>
        <v>Early (2-5)</v>
      </c>
      <c r="R1451" s="4">
        <f t="shared" si="45"/>
        <v>2.6666666666666665</v>
      </c>
      <c r="S1451" t="str">
        <f xml:space="preserve"> _xlfn.XLOOKUP( E1451, Lookup_Tables!$A$2:$A$6,Lookup_Tables!$B$2:$B$6," ", -1)</f>
        <v>Bachelor</v>
      </c>
      <c r="T1451" t="str">
        <f>_xlfn.XLOOKUP(G1451,Lookup_Tables!$D$2:$D$5,Lookup_Tables!$E$2:$E$5)</f>
        <v>Very High</v>
      </c>
      <c r="U1451" t="str">
        <f>_xlfn.XLOOKUP(H1451,Lookup_Tables!$D$2:$D$5,Lookup_Tables!$E$2:$E$5)</f>
        <v>Low</v>
      </c>
      <c r="V1451" t="str">
        <f>_xlfn.XLOOKUP(L1451,Lookup_Tables!$D$2:$D$5,Lookup_Tables!$E$2:$E$5)</f>
        <v>High</v>
      </c>
    </row>
    <row r="1452" spans="1:22">
      <c r="A1452">
        <f>RAW_DATA!A1452</f>
        <v>35</v>
      </c>
      <c r="B1452" t="str">
        <f>RAW_DATA!B1452</f>
        <v>No</v>
      </c>
      <c r="C1452" t="str">
        <f>RAW_DATA!C1452</f>
        <v>Human Resources</v>
      </c>
      <c r="D1452">
        <f>RAW_DATA!D1452</f>
        <v>26</v>
      </c>
      <c r="E1452">
        <f>RAW_DATA!E1452</f>
        <v>4</v>
      </c>
      <c r="F1452" t="str">
        <f>RAW_DATA!F1452</f>
        <v>Life Sciences</v>
      </c>
      <c r="G1452">
        <f>RAW_DATA!G1452</f>
        <v>3</v>
      </c>
      <c r="H1452">
        <f>RAW_DATA!H1452</f>
        <v>4</v>
      </c>
      <c r="I1452" t="str">
        <f>RAW_DATA!I1452</f>
        <v>Single</v>
      </c>
      <c r="J1452">
        <f>RAW_DATA!J1452</f>
        <v>8837</v>
      </c>
      <c r="K1452">
        <f>RAW_DATA!K1452</f>
        <v>1</v>
      </c>
      <c r="L1452">
        <f>RAW_DATA!L1452</f>
        <v>3</v>
      </c>
      <c r="M1452">
        <f>RAW_DATA!M1452</f>
        <v>9</v>
      </c>
      <c r="N1452">
        <f t="shared" si="44"/>
        <v>0</v>
      </c>
      <c r="O1452" t="str">
        <f xml:space="preserve"> VLOOKUP(A1452, Lookup_Tables!$G$2:$H$6,2,TRUE)</f>
        <v>35-44</v>
      </c>
      <c r="P1452" t="str">
        <f>_xlfn.XLOOKUP(J1452,Lookup_Tables!$J$2:$J$4,Lookup_Tables!$K$2:$K$4, " ",-1)</f>
        <v>High</v>
      </c>
      <c r="Q1452" t="str">
        <f xml:space="preserve"> _xlfn.XLOOKUP(M1452, Lookup_Tables!$M$2:$M$5,Lookup_Tables!$N$2:$N$5," ", -1)</f>
        <v>Established (5-10)</v>
      </c>
      <c r="R1452" s="4">
        <f t="shared" si="45"/>
        <v>3.3333333333333335</v>
      </c>
      <c r="S1452" t="str">
        <f xml:space="preserve"> _xlfn.XLOOKUP( E1452, Lookup_Tables!$A$2:$A$6,Lookup_Tables!$B$2:$B$6," ", -1)</f>
        <v>Master</v>
      </c>
      <c r="T1452" t="str">
        <f>_xlfn.XLOOKUP(G1452,Lookup_Tables!$D$2:$D$5,Lookup_Tables!$E$2:$E$5)</f>
        <v>High</v>
      </c>
      <c r="U1452" t="str">
        <f>_xlfn.XLOOKUP(H1452,Lookup_Tables!$D$2:$D$5,Lookup_Tables!$E$2:$E$5)</f>
        <v>Very High</v>
      </c>
      <c r="V1452" t="str">
        <f>_xlfn.XLOOKUP(L1452,Lookup_Tables!$D$2:$D$5,Lookup_Tables!$E$2:$E$5)</f>
        <v>High</v>
      </c>
    </row>
    <row r="1453" spans="1:22">
      <c r="A1453">
        <f>RAW_DATA!A1453</f>
        <v>38</v>
      </c>
      <c r="B1453" t="str">
        <f>RAW_DATA!B1453</f>
        <v>No</v>
      </c>
      <c r="C1453" t="str">
        <f>RAW_DATA!C1453</f>
        <v>Sales</v>
      </c>
      <c r="D1453">
        <f>RAW_DATA!D1453</f>
        <v>10</v>
      </c>
      <c r="E1453">
        <f>RAW_DATA!E1453</f>
        <v>2</v>
      </c>
      <c r="F1453" t="str">
        <f>RAW_DATA!F1453</f>
        <v>Life Sciences</v>
      </c>
      <c r="G1453">
        <f>RAW_DATA!G1453</f>
        <v>1</v>
      </c>
      <c r="H1453">
        <f>RAW_DATA!H1453</f>
        <v>4</v>
      </c>
      <c r="I1453" t="str">
        <f>RAW_DATA!I1453</f>
        <v>Married</v>
      </c>
      <c r="J1453">
        <f>RAW_DATA!J1453</f>
        <v>5343</v>
      </c>
      <c r="K1453">
        <f>RAW_DATA!K1453</f>
        <v>1</v>
      </c>
      <c r="L1453">
        <f>RAW_DATA!L1453</f>
        <v>3</v>
      </c>
      <c r="M1453">
        <f>RAW_DATA!M1453</f>
        <v>10</v>
      </c>
      <c r="N1453">
        <f t="shared" si="44"/>
        <v>0</v>
      </c>
      <c r="O1453" t="str">
        <f xml:space="preserve"> VLOOKUP(A1453, Lookup_Tables!$G$2:$H$6,2,TRUE)</f>
        <v>35-44</v>
      </c>
      <c r="P1453" t="str">
        <f>_xlfn.XLOOKUP(J1453,Lookup_Tables!$J$2:$J$4,Lookup_Tables!$K$2:$K$4, " ",-1)</f>
        <v>Medium</v>
      </c>
      <c r="Q1453" t="str">
        <f xml:space="preserve"> _xlfn.XLOOKUP(M1453, Lookup_Tables!$M$2:$M$5,Lookup_Tables!$N$2:$N$5," ", -1)</f>
        <v>Veteran (10+)</v>
      </c>
      <c r="R1453" s="4">
        <f t="shared" si="45"/>
        <v>2.6666666666666665</v>
      </c>
      <c r="S1453" t="str">
        <f xml:space="preserve"> _xlfn.XLOOKUP( E1453, Lookup_Tables!$A$2:$A$6,Lookup_Tables!$B$2:$B$6," ", -1)</f>
        <v>College</v>
      </c>
      <c r="T1453" t="str">
        <f>_xlfn.XLOOKUP(G1453,Lookup_Tables!$D$2:$D$5,Lookup_Tables!$E$2:$E$5)</f>
        <v>Low</v>
      </c>
      <c r="U1453" t="str">
        <f>_xlfn.XLOOKUP(H1453,Lookup_Tables!$D$2:$D$5,Lookup_Tables!$E$2:$E$5)</f>
        <v>Very High</v>
      </c>
      <c r="V1453" t="str">
        <f>_xlfn.XLOOKUP(L1453,Lookup_Tables!$D$2:$D$5,Lookup_Tables!$E$2:$E$5)</f>
        <v>High</v>
      </c>
    </row>
    <row r="1454" spans="1:22">
      <c r="A1454">
        <f>RAW_DATA!A1454</f>
        <v>50</v>
      </c>
      <c r="B1454" t="str">
        <f>RAW_DATA!B1454</f>
        <v>Yes</v>
      </c>
      <c r="C1454" t="str">
        <f>RAW_DATA!C1454</f>
        <v>Sales</v>
      </c>
      <c r="D1454">
        <f>RAW_DATA!D1454</f>
        <v>1</v>
      </c>
      <c r="E1454">
        <f>RAW_DATA!E1454</f>
        <v>4</v>
      </c>
      <c r="F1454" t="str">
        <f>RAW_DATA!F1454</f>
        <v>Life Sciences</v>
      </c>
      <c r="G1454">
        <f>RAW_DATA!G1454</f>
        <v>2</v>
      </c>
      <c r="H1454">
        <f>RAW_DATA!H1454</f>
        <v>3</v>
      </c>
      <c r="I1454" t="str">
        <f>RAW_DATA!I1454</f>
        <v>Divorced</v>
      </c>
      <c r="J1454">
        <f>RAW_DATA!J1454</f>
        <v>6728</v>
      </c>
      <c r="K1454">
        <f>RAW_DATA!K1454</f>
        <v>7</v>
      </c>
      <c r="L1454">
        <f>RAW_DATA!L1454</f>
        <v>3</v>
      </c>
      <c r="M1454">
        <f>RAW_DATA!M1454</f>
        <v>6</v>
      </c>
      <c r="N1454">
        <f t="shared" si="44"/>
        <v>1</v>
      </c>
      <c r="O1454" t="str">
        <f xml:space="preserve"> VLOOKUP(A1454, Lookup_Tables!$G$2:$H$6,2,TRUE)</f>
        <v>45-54</v>
      </c>
      <c r="P1454" t="str">
        <f>_xlfn.XLOOKUP(J1454,Lookup_Tables!$J$2:$J$4,Lookup_Tables!$K$2:$K$4, " ",-1)</f>
        <v>Medium</v>
      </c>
      <c r="Q1454" t="str">
        <f xml:space="preserve"> _xlfn.XLOOKUP(M1454, Lookup_Tables!$M$2:$M$5,Lookup_Tables!$N$2:$N$5," ", -1)</f>
        <v>Established (5-10)</v>
      </c>
      <c r="R1454" s="4">
        <f t="shared" si="45"/>
        <v>2.6666666666666665</v>
      </c>
      <c r="S1454" t="str">
        <f xml:space="preserve"> _xlfn.XLOOKUP( E1454, Lookup_Tables!$A$2:$A$6,Lookup_Tables!$B$2:$B$6," ", -1)</f>
        <v>Master</v>
      </c>
      <c r="T1454" t="str">
        <f>_xlfn.XLOOKUP(G1454,Lookup_Tables!$D$2:$D$5,Lookup_Tables!$E$2:$E$5)</f>
        <v>Medium</v>
      </c>
      <c r="U1454" t="str">
        <f>_xlfn.XLOOKUP(H1454,Lookup_Tables!$D$2:$D$5,Lookup_Tables!$E$2:$E$5)</f>
        <v>High</v>
      </c>
      <c r="V1454" t="str">
        <f>_xlfn.XLOOKUP(L1454,Lookup_Tables!$D$2:$D$5,Lookup_Tables!$E$2:$E$5)</f>
        <v>High</v>
      </c>
    </row>
    <row r="1455" spans="1:22">
      <c r="A1455">
        <f>RAW_DATA!A1455</f>
        <v>36</v>
      </c>
      <c r="B1455" t="str">
        <f>RAW_DATA!B1455</f>
        <v>No</v>
      </c>
      <c r="C1455" t="str">
        <f>RAW_DATA!C1455</f>
        <v>Sales</v>
      </c>
      <c r="D1455">
        <f>RAW_DATA!D1455</f>
        <v>11</v>
      </c>
      <c r="E1455">
        <f>RAW_DATA!E1455</f>
        <v>4</v>
      </c>
      <c r="F1455" t="str">
        <f>RAW_DATA!F1455</f>
        <v>Marketing</v>
      </c>
      <c r="G1455">
        <f>RAW_DATA!G1455</f>
        <v>2</v>
      </c>
      <c r="H1455">
        <f>RAW_DATA!H1455</f>
        <v>4</v>
      </c>
      <c r="I1455" t="str">
        <f>RAW_DATA!I1455</f>
        <v>Married</v>
      </c>
      <c r="J1455">
        <f>RAW_DATA!J1455</f>
        <v>6652</v>
      </c>
      <c r="K1455">
        <f>RAW_DATA!K1455</f>
        <v>4</v>
      </c>
      <c r="L1455">
        <f>RAW_DATA!L1455</f>
        <v>2</v>
      </c>
      <c r="M1455">
        <f>RAW_DATA!M1455</f>
        <v>6</v>
      </c>
      <c r="N1455">
        <f t="shared" si="44"/>
        <v>0</v>
      </c>
      <c r="O1455" t="str">
        <f xml:space="preserve"> VLOOKUP(A1455, Lookup_Tables!$G$2:$H$6,2,TRUE)</f>
        <v>35-44</v>
      </c>
      <c r="P1455" t="str">
        <f>_xlfn.XLOOKUP(J1455,Lookup_Tables!$J$2:$J$4,Lookup_Tables!$K$2:$K$4, " ",-1)</f>
        <v>Medium</v>
      </c>
      <c r="Q1455" t="str">
        <f xml:space="preserve"> _xlfn.XLOOKUP(M1455, Lookup_Tables!$M$2:$M$5,Lookup_Tables!$N$2:$N$5," ", -1)</f>
        <v>Established (5-10)</v>
      </c>
      <c r="R1455" s="4">
        <f t="shared" si="45"/>
        <v>2.6666666666666665</v>
      </c>
      <c r="S1455" t="str">
        <f xml:space="preserve"> _xlfn.XLOOKUP( E1455, Lookup_Tables!$A$2:$A$6,Lookup_Tables!$B$2:$B$6," ", -1)</f>
        <v>Master</v>
      </c>
      <c r="T1455" t="str">
        <f>_xlfn.XLOOKUP(G1455,Lookup_Tables!$D$2:$D$5,Lookup_Tables!$E$2:$E$5)</f>
        <v>Medium</v>
      </c>
      <c r="U1455" t="str">
        <f>_xlfn.XLOOKUP(H1455,Lookup_Tables!$D$2:$D$5,Lookup_Tables!$E$2:$E$5)</f>
        <v>Very High</v>
      </c>
      <c r="V1455" t="str">
        <f>_xlfn.XLOOKUP(L1455,Lookup_Tables!$D$2:$D$5,Lookup_Tables!$E$2:$E$5)</f>
        <v>Medium</v>
      </c>
    </row>
    <row r="1456" spans="1:22">
      <c r="A1456">
        <f>RAW_DATA!A1456</f>
        <v>45</v>
      </c>
      <c r="B1456" t="str">
        <f>RAW_DATA!B1456</f>
        <v>No</v>
      </c>
      <c r="C1456" t="str">
        <f>RAW_DATA!C1456</f>
        <v>Sales</v>
      </c>
      <c r="D1456">
        <f>RAW_DATA!D1456</f>
        <v>20</v>
      </c>
      <c r="E1456">
        <f>RAW_DATA!E1456</f>
        <v>3</v>
      </c>
      <c r="F1456" t="str">
        <f>RAW_DATA!F1456</f>
        <v>Life Sciences</v>
      </c>
      <c r="G1456">
        <f>RAW_DATA!G1456</f>
        <v>4</v>
      </c>
      <c r="H1456">
        <f>RAW_DATA!H1456</f>
        <v>3</v>
      </c>
      <c r="I1456" t="str">
        <f>RAW_DATA!I1456</f>
        <v>Single</v>
      </c>
      <c r="J1456">
        <f>RAW_DATA!J1456</f>
        <v>4850</v>
      </c>
      <c r="K1456">
        <f>RAW_DATA!K1456</f>
        <v>8</v>
      </c>
      <c r="L1456">
        <f>RAW_DATA!L1456</f>
        <v>3</v>
      </c>
      <c r="M1456">
        <f>RAW_DATA!M1456</f>
        <v>5</v>
      </c>
      <c r="N1456">
        <f t="shared" si="44"/>
        <v>0</v>
      </c>
      <c r="O1456" t="str">
        <f xml:space="preserve"> VLOOKUP(A1456, Lookup_Tables!$G$2:$H$6,2,TRUE)</f>
        <v>45-54</v>
      </c>
      <c r="P1456" t="str">
        <f>_xlfn.XLOOKUP(J1456,Lookup_Tables!$J$2:$J$4,Lookup_Tables!$K$2:$K$4, " ",-1)</f>
        <v>Medium</v>
      </c>
      <c r="Q1456" t="str">
        <f xml:space="preserve"> _xlfn.XLOOKUP(M1456, Lookup_Tables!$M$2:$M$5,Lookup_Tables!$N$2:$N$5," ", -1)</f>
        <v>Established (5-10)</v>
      </c>
      <c r="R1456" s="4">
        <f t="shared" si="45"/>
        <v>3.3333333333333335</v>
      </c>
      <c r="S1456" t="str">
        <f xml:space="preserve"> _xlfn.XLOOKUP( E1456, Lookup_Tables!$A$2:$A$6,Lookup_Tables!$B$2:$B$6," ", -1)</f>
        <v>Bachelor</v>
      </c>
      <c r="T1456" t="str">
        <f>_xlfn.XLOOKUP(G1456,Lookup_Tables!$D$2:$D$5,Lookup_Tables!$E$2:$E$5)</f>
        <v>Very High</v>
      </c>
      <c r="U1456" t="str">
        <f>_xlfn.XLOOKUP(H1456,Lookup_Tables!$D$2:$D$5,Lookup_Tables!$E$2:$E$5)</f>
        <v>High</v>
      </c>
      <c r="V1456" t="str">
        <f>_xlfn.XLOOKUP(L1456,Lookup_Tables!$D$2:$D$5,Lookup_Tables!$E$2:$E$5)</f>
        <v>High</v>
      </c>
    </row>
    <row r="1457" spans="1:22">
      <c r="A1457">
        <f>RAW_DATA!A1457</f>
        <v>40</v>
      </c>
      <c r="B1457" t="str">
        <f>RAW_DATA!B1457</f>
        <v>No</v>
      </c>
      <c r="C1457" t="str">
        <f>RAW_DATA!C1457</f>
        <v>Research &amp; Development</v>
      </c>
      <c r="D1457">
        <f>RAW_DATA!D1457</f>
        <v>2</v>
      </c>
      <c r="E1457">
        <f>RAW_DATA!E1457</f>
        <v>4</v>
      </c>
      <c r="F1457" t="str">
        <f>RAW_DATA!F1457</f>
        <v>Life Sciences</v>
      </c>
      <c r="G1457">
        <f>RAW_DATA!G1457</f>
        <v>3</v>
      </c>
      <c r="H1457">
        <f>RAW_DATA!H1457</f>
        <v>3</v>
      </c>
      <c r="I1457" t="str">
        <f>RAW_DATA!I1457</f>
        <v>Single</v>
      </c>
      <c r="J1457">
        <f>RAW_DATA!J1457</f>
        <v>2809</v>
      </c>
      <c r="K1457">
        <f>RAW_DATA!K1457</f>
        <v>2</v>
      </c>
      <c r="L1457">
        <f>RAW_DATA!L1457</f>
        <v>3</v>
      </c>
      <c r="M1457">
        <f>RAW_DATA!M1457</f>
        <v>2</v>
      </c>
      <c r="N1457">
        <f t="shared" si="44"/>
        <v>0</v>
      </c>
      <c r="O1457" t="str">
        <f xml:space="preserve"> VLOOKUP(A1457, Lookup_Tables!$G$2:$H$6,2,TRUE)</f>
        <v>35-44</v>
      </c>
      <c r="P1457" t="str">
        <f>_xlfn.XLOOKUP(J1457,Lookup_Tables!$J$2:$J$4,Lookup_Tables!$K$2:$K$4, " ",-1)</f>
        <v>Low</v>
      </c>
      <c r="Q1457" t="str">
        <f xml:space="preserve"> _xlfn.XLOOKUP(M1457, Lookup_Tables!$M$2:$M$5,Lookup_Tables!$N$2:$N$5," ", -1)</f>
        <v>Early (2-5)</v>
      </c>
      <c r="R1457" s="4">
        <f t="shared" si="45"/>
        <v>3</v>
      </c>
      <c r="S1457" t="str">
        <f xml:space="preserve"> _xlfn.XLOOKUP( E1457, Lookup_Tables!$A$2:$A$6,Lookup_Tables!$B$2:$B$6," ", -1)</f>
        <v>Master</v>
      </c>
      <c r="T1457" t="str">
        <f>_xlfn.XLOOKUP(G1457,Lookup_Tables!$D$2:$D$5,Lookup_Tables!$E$2:$E$5)</f>
        <v>High</v>
      </c>
      <c r="U1457" t="str">
        <f>_xlfn.XLOOKUP(H1457,Lookup_Tables!$D$2:$D$5,Lookup_Tables!$E$2:$E$5)</f>
        <v>High</v>
      </c>
      <c r="V1457" t="str">
        <f>_xlfn.XLOOKUP(L1457,Lookup_Tables!$D$2:$D$5,Lookup_Tables!$E$2:$E$5)</f>
        <v>High</v>
      </c>
    </row>
    <row r="1458" spans="1:22">
      <c r="A1458">
        <f>RAW_DATA!A1458</f>
        <v>35</v>
      </c>
      <c r="B1458" t="str">
        <f>RAW_DATA!B1458</f>
        <v>No</v>
      </c>
      <c r="C1458" t="str">
        <f>RAW_DATA!C1458</f>
        <v>Research &amp; Development</v>
      </c>
      <c r="D1458">
        <f>RAW_DATA!D1458</f>
        <v>18</v>
      </c>
      <c r="E1458">
        <f>RAW_DATA!E1458</f>
        <v>4</v>
      </c>
      <c r="F1458" t="str">
        <f>RAW_DATA!F1458</f>
        <v>Life Sciences</v>
      </c>
      <c r="G1458">
        <f>RAW_DATA!G1458</f>
        <v>3</v>
      </c>
      <c r="H1458">
        <f>RAW_DATA!H1458</f>
        <v>3</v>
      </c>
      <c r="I1458" t="str">
        <f>RAW_DATA!I1458</f>
        <v>Married</v>
      </c>
      <c r="J1458">
        <f>RAW_DATA!J1458</f>
        <v>5689</v>
      </c>
      <c r="K1458">
        <f>RAW_DATA!K1458</f>
        <v>1</v>
      </c>
      <c r="L1458">
        <f>RAW_DATA!L1458</f>
        <v>4</v>
      </c>
      <c r="M1458">
        <f>RAW_DATA!M1458</f>
        <v>10</v>
      </c>
      <c r="N1458">
        <f t="shared" si="44"/>
        <v>0</v>
      </c>
      <c r="O1458" t="str">
        <f xml:space="preserve"> VLOOKUP(A1458, Lookup_Tables!$G$2:$H$6,2,TRUE)</f>
        <v>35-44</v>
      </c>
      <c r="P1458" t="str">
        <f>_xlfn.XLOOKUP(J1458,Lookup_Tables!$J$2:$J$4,Lookup_Tables!$K$2:$K$4, " ",-1)</f>
        <v>Medium</v>
      </c>
      <c r="Q1458" t="str">
        <f xml:space="preserve"> _xlfn.XLOOKUP(M1458, Lookup_Tables!$M$2:$M$5,Lookup_Tables!$N$2:$N$5," ", -1)</f>
        <v>Veteran (10+)</v>
      </c>
      <c r="R1458" s="4">
        <f t="shared" si="45"/>
        <v>3.3333333333333335</v>
      </c>
      <c r="S1458" t="str">
        <f xml:space="preserve"> _xlfn.XLOOKUP( E1458, Lookup_Tables!$A$2:$A$6,Lookup_Tables!$B$2:$B$6," ", -1)</f>
        <v>Master</v>
      </c>
      <c r="T1458" t="str">
        <f>_xlfn.XLOOKUP(G1458,Lookup_Tables!$D$2:$D$5,Lookup_Tables!$E$2:$E$5)</f>
        <v>High</v>
      </c>
      <c r="U1458" t="str">
        <f>_xlfn.XLOOKUP(H1458,Lookup_Tables!$D$2:$D$5,Lookup_Tables!$E$2:$E$5)</f>
        <v>High</v>
      </c>
      <c r="V1458" t="str">
        <f>_xlfn.XLOOKUP(L1458,Lookup_Tables!$D$2:$D$5,Lookup_Tables!$E$2:$E$5)</f>
        <v>Very High</v>
      </c>
    </row>
    <row r="1459" spans="1:22">
      <c r="A1459">
        <f>RAW_DATA!A1459</f>
        <v>40</v>
      </c>
      <c r="B1459" t="str">
        <f>RAW_DATA!B1459</f>
        <v>No</v>
      </c>
      <c r="C1459" t="str">
        <f>RAW_DATA!C1459</f>
        <v>Research &amp; Development</v>
      </c>
      <c r="D1459">
        <f>RAW_DATA!D1459</f>
        <v>2</v>
      </c>
      <c r="E1459">
        <f>RAW_DATA!E1459</f>
        <v>4</v>
      </c>
      <c r="F1459" t="str">
        <f>RAW_DATA!F1459</f>
        <v>Medical</v>
      </c>
      <c r="G1459">
        <f>RAW_DATA!G1459</f>
        <v>3</v>
      </c>
      <c r="H1459">
        <f>RAW_DATA!H1459</f>
        <v>3</v>
      </c>
      <c r="I1459" t="str">
        <f>RAW_DATA!I1459</f>
        <v>Married</v>
      </c>
      <c r="J1459">
        <f>RAW_DATA!J1459</f>
        <v>2001</v>
      </c>
      <c r="K1459">
        <f>RAW_DATA!K1459</f>
        <v>2</v>
      </c>
      <c r="L1459">
        <f>RAW_DATA!L1459</f>
        <v>3</v>
      </c>
      <c r="M1459">
        <f>RAW_DATA!M1459</f>
        <v>5</v>
      </c>
      <c r="N1459">
        <f t="shared" si="44"/>
        <v>0</v>
      </c>
      <c r="O1459" t="str">
        <f xml:space="preserve"> VLOOKUP(A1459, Lookup_Tables!$G$2:$H$6,2,TRUE)</f>
        <v>35-44</v>
      </c>
      <c r="P1459" t="str">
        <f>_xlfn.XLOOKUP(J1459,Lookup_Tables!$J$2:$J$4,Lookup_Tables!$K$2:$K$4, " ",-1)</f>
        <v>Low</v>
      </c>
      <c r="Q1459" t="str">
        <f xml:space="preserve"> _xlfn.XLOOKUP(M1459, Lookup_Tables!$M$2:$M$5,Lookup_Tables!$N$2:$N$5," ", -1)</f>
        <v>Established (5-10)</v>
      </c>
      <c r="R1459" s="4">
        <f t="shared" si="45"/>
        <v>3</v>
      </c>
      <c r="S1459" t="str">
        <f xml:space="preserve"> _xlfn.XLOOKUP( E1459, Lookup_Tables!$A$2:$A$6,Lookup_Tables!$B$2:$B$6," ", -1)</f>
        <v>Master</v>
      </c>
      <c r="T1459" t="str">
        <f>_xlfn.XLOOKUP(G1459,Lookup_Tables!$D$2:$D$5,Lookup_Tables!$E$2:$E$5)</f>
        <v>High</v>
      </c>
      <c r="U1459" t="str">
        <f>_xlfn.XLOOKUP(H1459,Lookup_Tables!$D$2:$D$5,Lookup_Tables!$E$2:$E$5)</f>
        <v>High</v>
      </c>
      <c r="V1459" t="str">
        <f>_xlfn.XLOOKUP(L1459,Lookup_Tables!$D$2:$D$5,Lookup_Tables!$E$2:$E$5)</f>
        <v>High</v>
      </c>
    </row>
    <row r="1460" spans="1:22">
      <c r="A1460">
        <f>RAW_DATA!A1460</f>
        <v>35</v>
      </c>
      <c r="B1460" t="str">
        <f>RAW_DATA!B1460</f>
        <v>No</v>
      </c>
      <c r="C1460" t="str">
        <f>RAW_DATA!C1460</f>
        <v>Research &amp; Development</v>
      </c>
      <c r="D1460">
        <f>RAW_DATA!D1460</f>
        <v>1</v>
      </c>
      <c r="E1460">
        <f>RAW_DATA!E1460</f>
        <v>4</v>
      </c>
      <c r="F1460" t="str">
        <f>RAW_DATA!F1460</f>
        <v>Life Sciences</v>
      </c>
      <c r="G1460">
        <f>RAW_DATA!G1460</f>
        <v>3</v>
      </c>
      <c r="H1460">
        <f>RAW_DATA!H1460</f>
        <v>4</v>
      </c>
      <c r="I1460" t="str">
        <f>RAW_DATA!I1460</f>
        <v>Married</v>
      </c>
      <c r="J1460">
        <f>RAW_DATA!J1460</f>
        <v>2977</v>
      </c>
      <c r="K1460">
        <f>RAW_DATA!K1460</f>
        <v>1</v>
      </c>
      <c r="L1460">
        <f>RAW_DATA!L1460</f>
        <v>3</v>
      </c>
      <c r="M1460">
        <f>RAW_DATA!M1460</f>
        <v>4</v>
      </c>
      <c r="N1460">
        <f t="shared" si="44"/>
        <v>0</v>
      </c>
      <c r="O1460" t="str">
        <f xml:space="preserve"> VLOOKUP(A1460, Lookup_Tables!$G$2:$H$6,2,TRUE)</f>
        <v>35-44</v>
      </c>
      <c r="P1460" t="str">
        <f>_xlfn.XLOOKUP(J1460,Lookup_Tables!$J$2:$J$4,Lookup_Tables!$K$2:$K$4, " ",-1)</f>
        <v>Low</v>
      </c>
      <c r="Q1460" t="str">
        <f xml:space="preserve"> _xlfn.XLOOKUP(M1460, Lookup_Tables!$M$2:$M$5,Lookup_Tables!$N$2:$N$5," ", -1)</f>
        <v>Early (2-5)</v>
      </c>
      <c r="R1460" s="4">
        <f t="shared" si="45"/>
        <v>3.3333333333333335</v>
      </c>
      <c r="S1460" t="str">
        <f xml:space="preserve"> _xlfn.XLOOKUP( E1460, Lookup_Tables!$A$2:$A$6,Lookup_Tables!$B$2:$B$6," ", -1)</f>
        <v>Master</v>
      </c>
      <c r="T1460" t="str">
        <f>_xlfn.XLOOKUP(G1460,Lookup_Tables!$D$2:$D$5,Lookup_Tables!$E$2:$E$5)</f>
        <v>High</v>
      </c>
      <c r="U1460" t="str">
        <f>_xlfn.XLOOKUP(H1460,Lookup_Tables!$D$2:$D$5,Lookup_Tables!$E$2:$E$5)</f>
        <v>Very High</v>
      </c>
      <c r="V1460" t="str">
        <f>_xlfn.XLOOKUP(L1460,Lookup_Tables!$D$2:$D$5,Lookup_Tables!$E$2:$E$5)</f>
        <v>High</v>
      </c>
    </row>
    <row r="1461" spans="1:22">
      <c r="A1461">
        <f>RAW_DATA!A1461</f>
        <v>29</v>
      </c>
      <c r="B1461" t="str">
        <f>RAW_DATA!B1461</f>
        <v>No</v>
      </c>
      <c r="C1461" t="str">
        <f>RAW_DATA!C1461</f>
        <v>Research &amp; Development</v>
      </c>
      <c r="D1461">
        <f>RAW_DATA!D1461</f>
        <v>13</v>
      </c>
      <c r="E1461">
        <f>RAW_DATA!E1461</f>
        <v>2</v>
      </c>
      <c r="F1461" t="str">
        <f>RAW_DATA!F1461</f>
        <v>Other</v>
      </c>
      <c r="G1461">
        <f>RAW_DATA!G1461</f>
        <v>4</v>
      </c>
      <c r="H1461">
        <f>RAW_DATA!H1461</f>
        <v>2</v>
      </c>
      <c r="I1461" t="str">
        <f>RAW_DATA!I1461</f>
        <v>Married</v>
      </c>
      <c r="J1461">
        <f>RAW_DATA!J1461</f>
        <v>4025</v>
      </c>
      <c r="K1461">
        <f>RAW_DATA!K1461</f>
        <v>4</v>
      </c>
      <c r="L1461">
        <f>RAW_DATA!L1461</f>
        <v>3</v>
      </c>
      <c r="M1461">
        <f>RAW_DATA!M1461</f>
        <v>4</v>
      </c>
      <c r="N1461">
        <f t="shared" si="44"/>
        <v>0</v>
      </c>
      <c r="O1461" t="str">
        <f xml:space="preserve"> VLOOKUP(A1461, Lookup_Tables!$G$2:$H$6,2,TRUE)</f>
        <v>25-34</v>
      </c>
      <c r="P1461" t="str">
        <f>_xlfn.XLOOKUP(J1461,Lookup_Tables!$J$2:$J$4,Lookup_Tables!$K$2:$K$4, " ",-1)</f>
        <v>Medium</v>
      </c>
      <c r="Q1461" t="str">
        <f xml:space="preserve"> _xlfn.XLOOKUP(M1461, Lookup_Tables!$M$2:$M$5,Lookup_Tables!$N$2:$N$5," ", -1)</f>
        <v>Early (2-5)</v>
      </c>
      <c r="R1461" s="4">
        <f t="shared" si="45"/>
        <v>3</v>
      </c>
      <c r="S1461" t="str">
        <f xml:space="preserve"> _xlfn.XLOOKUP( E1461, Lookup_Tables!$A$2:$A$6,Lookup_Tables!$B$2:$B$6," ", -1)</f>
        <v>College</v>
      </c>
      <c r="T1461" t="str">
        <f>_xlfn.XLOOKUP(G1461,Lookup_Tables!$D$2:$D$5,Lookup_Tables!$E$2:$E$5)</f>
        <v>Very High</v>
      </c>
      <c r="U1461" t="str">
        <f>_xlfn.XLOOKUP(H1461,Lookup_Tables!$D$2:$D$5,Lookup_Tables!$E$2:$E$5)</f>
        <v>Medium</v>
      </c>
      <c r="V1461" t="str">
        <f>_xlfn.XLOOKUP(L1461,Lookup_Tables!$D$2:$D$5,Lookup_Tables!$E$2:$E$5)</f>
        <v>High</v>
      </c>
    </row>
    <row r="1462" spans="1:22">
      <c r="A1462">
        <f>RAW_DATA!A1462</f>
        <v>29</v>
      </c>
      <c r="B1462" t="str">
        <f>RAW_DATA!B1462</f>
        <v>No</v>
      </c>
      <c r="C1462" t="str">
        <f>RAW_DATA!C1462</f>
        <v>Research &amp; Development</v>
      </c>
      <c r="D1462">
        <f>RAW_DATA!D1462</f>
        <v>28</v>
      </c>
      <c r="E1462">
        <f>RAW_DATA!E1462</f>
        <v>4</v>
      </c>
      <c r="F1462" t="str">
        <f>RAW_DATA!F1462</f>
        <v>Medical</v>
      </c>
      <c r="G1462">
        <f>RAW_DATA!G1462</f>
        <v>4</v>
      </c>
      <c r="H1462">
        <f>RAW_DATA!H1462</f>
        <v>1</v>
      </c>
      <c r="I1462" t="str">
        <f>RAW_DATA!I1462</f>
        <v>Single</v>
      </c>
      <c r="J1462">
        <f>RAW_DATA!J1462</f>
        <v>3785</v>
      </c>
      <c r="K1462">
        <f>RAW_DATA!K1462</f>
        <v>1</v>
      </c>
      <c r="L1462">
        <f>RAW_DATA!L1462</f>
        <v>1</v>
      </c>
      <c r="M1462">
        <f>RAW_DATA!M1462</f>
        <v>5</v>
      </c>
      <c r="N1462">
        <f t="shared" si="44"/>
        <v>0</v>
      </c>
      <c r="O1462" t="str">
        <f xml:space="preserve"> VLOOKUP(A1462, Lookup_Tables!$G$2:$H$6,2,TRUE)</f>
        <v>25-34</v>
      </c>
      <c r="P1462" t="str">
        <f>_xlfn.XLOOKUP(J1462,Lookup_Tables!$J$2:$J$4,Lookup_Tables!$K$2:$K$4, " ",-1)</f>
        <v>Medium</v>
      </c>
      <c r="Q1462" t="str">
        <f xml:space="preserve"> _xlfn.XLOOKUP(M1462, Lookup_Tables!$M$2:$M$5,Lookup_Tables!$N$2:$N$5," ", -1)</f>
        <v>Established (5-10)</v>
      </c>
      <c r="R1462" s="4">
        <f t="shared" si="45"/>
        <v>2</v>
      </c>
      <c r="S1462" t="str">
        <f xml:space="preserve"> _xlfn.XLOOKUP( E1462, Lookup_Tables!$A$2:$A$6,Lookup_Tables!$B$2:$B$6," ", -1)</f>
        <v>Master</v>
      </c>
      <c r="T1462" t="str">
        <f>_xlfn.XLOOKUP(G1462,Lookup_Tables!$D$2:$D$5,Lookup_Tables!$E$2:$E$5)</f>
        <v>Very High</v>
      </c>
      <c r="U1462" t="str">
        <f>_xlfn.XLOOKUP(H1462,Lookup_Tables!$D$2:$D$5,Lookup_Tables!$E$2:$E$5)</f>
        <v>Low</v>
      </c>
      <c r="V1462" t="str">
        <f>_xlfn.XLOOKUP(L1462,Lookup_Tables!$D$2:$D$5,Lookup_Tables!$E$2:$E$5)</f>
        <v>Low</v>
      </c>
    </row>
    <row r="1463" spans="1:22">
      <c r="A1463">
        <f>RAW_DATA!A1463</f>
        <v>50</v>
      </c>
      <c r="B1463" t="str">
        <f>RAW_DATA!B1463</f>
        <v>Yes</v>
      </c>
      <c r="C1463" t="str">
        <f>RAW_DATA!C1463</f>
        <v>Sales</v>
      </c>
      <c r="D1463">
        <f>RAW_DATA!D1463</f>
        <v>28</v>
      </c>
      <c r="E1463">
        <f>RAW_DATA!E1463</f>
        <v>3</v>
      </c>
      <c r="F1463" t="str">
        <f>RAW_DATA!F1463</f>
        <v>Marketing</v>
      </c>
      <c r="G1463">
        <f>RAW_DATA!G1463</f>
        <v>4</v>
      </c>
      <c r="H1463">
        <f>RAW_DATA!H1463</f>
        <v>1</v>
      </c>
      <c r="I1463" t="str">
        <f>RAW_DATA!I1463</f>
        <v>Divorced</v>
      </c>
      <c r="J1463">
        <f>RAW_DATA!J1463</f>
        <v>10854</v>
      </c>
      <c r="K1463">
        <f>RAW_DATA!K1463</f>
        <v>4</v>
      </c>
      <c r="L1463">
        <f>RAW_DATA!L1463</f>
        <v>3</v>
      </c>
      <c r="M1463">
        <f>RAW_DATA!M1463</f>
        <v>3</v>
      </c>
      <c r="N1463">
        <f t="shared" si="44"/>
        <v>1</v>
      </c>
      <c r="O1463" t="str">
        <f xml:space="preserve"> VLOOKUP(A1463, Lookup_Tables!$G$2:$H$6,2,TRUE)</f>
        <v>45-54</v>
      </c>
      <c r="P1463" t="str">
        <f>_xlfn.XLOOKUP(J1463,Lookup_Tables!$J$2:$J$4,Lookup_Tables!$K$2:$K$4, " ",-1)</f>
        <v>High</v>
      </c>
      <c r="Q1463" t="str">
        <f xml:space="preserve"> _xlfn.XLOOKUP(M1463, Lookup_Tables!$M$2:$M$5,Lookup_Tables!$N$2:$N$5," ", -1)</f>
        <v>Early (2-5)</v>
      </c>
      <c r="R1463" s="4">
        <f t="shared" si="45"/>
        <v>2.6666666666666665</v>
      </c>
      <c r="S1463" t="str">
        <f xml:space="preserve"> _xlfn.XLOOKUP( E1463, Lookup_Tables!$A$2:$A$6,Lookup_Tables!$B$2:$B$6," ", -1)</f>
        <v>Bachelor</v>
      </c>
      <c r="T1463" t="str">
        <f>_xlfn.XLOOKUP(G1463,Lookup_Tables!$D$2:$D$5,Lookup_Tables!$E$2:$E$5)</f>
        <v>Very High</v>
      </c>
      <c r="U1463" t="str">
        <f>_xlfn.XLOOKUP(H1463,Lookup_Tables!$D$2:$D$5,Lookup_Tables!$E$2:$E$5)</f>
        <v>Low</v>
      </c>
      <c r="V1463" t="str">
        <f>_xlfn.XLOOKUP(L1463,Lookup_Tables!$D$2:$D$5,Lookup_Tables!$E$2:$E$5)</f>
        <v>High</v>
      </c>
    </row>
    <row r="1464" spans="1:22">
      <c r="A1464">
        <f>RAW_DATA!A1464</f>
        <v>39</v>
      </c>
      <c r="B1464" t="str">
        <f>RAW_DATA!B1464</f>
        <v>No</v>
      </c>
      <c r="C1464" t="str">
        <f>RAW_DATA!C1464</f>
        <v>Sales</v>
      </c>
      <c r="D1464">
        <f>RAW_DATA!D1464</f>
        <v>24</v>
      </c>
      <c r="E1464">
        <f>RAW_DATA!E1464</f>
        <v>1</v>
      </c>
      <c r="F1464" t="str">
        <f>RAW_DATA!F1464</f>
        <v>Marketing</v>
      </c>
      <c r="G1464">
        <f>RAW_DATA!G1464</f>
        <v>2</v>
      </c>
      <c r="H1464">
        <f>RAW_DATA!H1464</f>
        <v>4</v>
      </c>
      <c r="I1464" t="str">
        <f>RAW_DATA!I1464</f>
        <v>Married</v>
      </c>
      <c r="J1464">
        <f>RAW_DATA!J1464</f>
        <v>12031</v>
      </c>
      <c r="K1464">
        <f>RAW_DATA!K1464</f>
        <v>0</v>
      </c>
      <c r="L1464">
        <f>RAW_DATA!L1464</f>
        <v>2</v>
      </c>
      <c r="M1464">
        <f>RAW_DATA!M1464</f>
        <v>20</v>
      </c>
      <c r="N1464">
        <f t="shared" si="44"/>
        <v>0</v>
      </c>
      <c r="O1464" t="str">
        <f xml:space="preserve"> VLOOKUP(A1464, Lookup_Tables!$G$2:$H$6,2,TRUE)</f>
        <v>35-44</v>
      </c>
      <c r="P1464" t="str">
        <f>_xlfn.XLOOKUP(J1464,Lookup_Tables!$J$2:$J$4,Lookup_Tables!$K$2:$K$4, " ",-1)</f>
        <v>High</v>
      </c>
      <c r="Q1464" t="str">
        <f xml:space="preserve"> _xlfn.XLOOKUP(M1464, Lookup_Tables!$M$2:$M$5,Lookup_Tables!$N$2:$N$5," ", -1)</f>
        <v>Veteran (10+)</v>
      </c>
      <c r="R1464" s="4">
        <f t="shared" si="45"/>
        <v>2.6666666666666665</v>
      </c>
      <c r="S1464" t="str">
        <f xml:space="preserve"> _xlfn.XLOOKUP( E1464, Lookup_Tables!$A$2:$A$6,Lookup_Tables!$B$2:$B$6," ", -1)</f>
        <v>Below College</v>
      </c>
      <c r="T1464" t="str">
        <f>_xlfn.XLOOKUP(G1464,Lookup_Tables!$D$2:$D$5,Lookup_Tables!$E$2:$E$5)</f>
        <v>Medium</v>
      </c>
      <c r="U1464" t="str">
        <f>_xlfn.XLOOKUP(H1464,Lookup_Tables!$D$2:$D$5,Lookup_Tables!$E$2:$E$5)</f>
        <v>Very High</v>
      </c>
      <c r="V1464" t="str">
        <f>_xlfn.XLOOKUP(L1464,Lookup_Tables!$D$2:$D$5,Lookup_Tables!$E$2:$E$5)</f>
        <v>Medium</v>
      </c>
    </row>
    <row r="1465" spans="1:22">
      <c r="A1465">
        <f>RAW_DATA!A1465</f>
        <v>31</v>
      </c>
      <c r="B1465" t="str">
        <f>RAW_DATA!B1465</f>
        <v>No</v>
      </c>
      <c r="C1465" t="str">
        <f>RAW_DATA!C1465</f>
        <v>Research &amp; Development</v>
      </c>
      <c r="D1465">
        <f>RAW_DATA!D1465</f>
        <v>5</v>
      </c>
      <c r="E1465">
        <f>RAW_DATA!E1465</f>
        <v>3</v>
      </c>
      <c r="F1465" t="str">
        <f>RAW_DATA!F1465</f>
        <v>Medical</v>
      </c>
      <c r="G1465">
        <f>RAW_DATA!G1465</f>
        <v>2</v>
      </c>
      <c r="H1465">
        <f>RAW_DATA!H1465</f>
        <v>1</v>
      </c>
      <c r="I1465" t="str">
        <f>RAW_DATA!I1465</f>
        <v>Single</v>
      </c>
      <c r="J1465">
        <f>RAW_DATA!J1465</f>
        <v>9936</v>
      </c>
      <c r="K1465">
        <f>RAW_DATA!K1465</f>
        <v>0</v>
      </c>
      <c r="L1465">
        <f>RAW_DATA!L1465</f>
        <v>3</v>
      </c>
      <c r="M1465">
        <f>RAW_DATA!M1465</f>
        <v>9</v>
      </c>
      <c r="N1465">
        <f t="shared" si="44"/>
        <v>0</v>
      </c>
      <c r="O1465" t="str">
        <f xml:space="preserve"> VLOOKUP(A1465, Lookup_Tables!$G$2:$H$6,2,TRUE)</f>
        <v>25-34</v>
      </c>
      <c r="P1465" t="str">
        <f>_xlfn.XLOOKUP(J1465,Lookup_Tables!$J$2:$J$4,Lookup_Tables!$K$2:$K$4, " ",-1)</f>
        <v>High</v>
      </c>
      <c r="Q1465" t="str">
        <f xml:space="preserve"> _xlfn.XLOOKUP(M1465, Lookup_Tables!$M$2:$M$5,Lookup_Tables!$N$2:$N$5," ", -1)</f>
        <v>Established (5-10)</v>
      </c>
      <c r="R1465" s="4">
        <f t="shared" si="45"/>
        <v>2</v>
      </c>
      <c r="S1465" t="str">
        <f xml:space="preserve"> _xlfn.XLOOKUP( E1465, Lookup_Tables!$A$2:$A$6,Lookup_Tables!$B$2:$B$6," ", -1)</f>
        <v>Bachelor</v>
      </c>
      <c r="T1465" t="str">
        <f>_xlfn.XLOOKUP(G1465,Lookup_Tables!$D$2:$D$5,Lookup_Tables!$E$2:$E$5)</f>
        <v>Medium</v>
      </c>
      <c r="U1465" t="str">
        <f>_xlfn.XLOOKUP(H1465,Lookup_Tables!$D$2:$D$5,Lookup_Tables!$E$2:$E$5)</f>
        <v>Low</v>
      </c>
      <c r="V1465" t="str">
        <f>_xlfn.XLOOKUP(L1465,Lookup_Tables!$D$2:$D$5,Lookup_Tables!$E$2:$E$5)</f>
        <v>High</v>
      </c>
    </row>
    <row r="1466" spans="1:22">
      <c r="A1466">
        <f>RAW_DATA!A1466</f>
        <v>26</v>
      </c>
      <c r="B1466" t="str">
        <f>RAW_DATA!B1466</f>
        <v>No</v>
      </c>
      <c r="C1466" t="str">
        <f>RAW_DATA!C1466</f>
        <v>Sales</v>
      </c>
      <c r="D1466">
        <f>RAW_DATA!D1466</f>
        <v>5</v>
      </c>
      <c r="E1466">
        <f>RAW_DATA!E1466</f>
        <v>3</v>
      </c>
      <c r="F1466" t="str">
        <f>RAW_DATA!F1466</f>
        <v>Other</v>
      </c>
      <c r="G1466">
        <f>RAW_DATA!G1466</f>
        <v>4</v>
      </c>
      <c r="H1466">
        <f>RAW_DATA!H1466</f>
        <v>3</v>
      </c>
      <c r="I1466" t="str">
        <f>RAW_DATA!I1466</f>
        <v>Single</v>
      </c>
      <c r="J1466">
        <f>RAW_DATA!J1466</f>
        <v>2966</v>
      </c>
      <c r="K1466">
        <f>RAW_DATA!K1466</f>
        <v>0</v>
      </c>
      <c r="L1466">
        <f>RAW_DATA!L1466</f>
        <v>3</v>
      </c>
      <c r="M1466">
        <f>RAW_DATA!M1466</f>
        <v>4</v>
      </c>
      <c r="N1466">
        <f t="shared" si="44"/>
        <v>0</v>
      </c>
      <c r="O1466" t="str">
        <f xml:space="preserve"> VLOOKUP(A1466, Lookup_Tables!$G$2:$H$6,2,TRUE)</f>
        <v>25-34</v>
      </c>
      <c r="P1466" t="str">
        <f>_xlfn.XLOOKUP(J1466,Lookup_Tables!$J$2:$J$4,Lookup_Tables!$K$2:$K$4, " ",-1)</f>
        <v>Low</v>
      </c>
      <c r="Q1466" t="str">
        <f xml:space="preserve"> _xlfn.XLOOKUP(M1466, Lookup_Tables!$M$2:$M$5,Lookup_Tables!$N$2:$N$5," ", -1)</f>
        <v>Early (2-5)</v>
      </c>
      <c r="R1466" s="4">
        <f t="shared" si="45"/>
        <v>3.3333333333333335</v>
      </c>
      <c r="S1466" t="str">
        <f xml:space="preserve"> _xlfn.XLOOKUP( E1466, Lookup_Tables!$A$2:$A$6,Lookup_Tables!$B$2:$B$6," ", -1)</f>
        <v>Bachelor</v>
      </c>
      <c r="T1466" t="str">
        <f>_xlfn.XLOOKUP(G1466,Lookup_Tables!$D$2:$D$5,Lookup_Tables!$E$2:$E$5)</f>
        <v>Very High</v>
      </c>
      <c r="U1466" t="str">
        <f>_xlfn.XLOOKUP(H1466,Lookup_Tables!$D$2:$D$5,Lookup_Tables!$E$2:$E$5)</f>
        <v>High</v>
      </c>
      <c r="V1466" t="str">
        <f>_xlfn.XLOOKUP(L1466,Lookup_Tables!$D$2:$D$5,Lookup_Tables!$E$2:$E$5)</f>
        <v>High</v>
      </c>
    </row>
    <row r="1467" spans="1:22">
      <c r="A1467">
        <f>RAW_DATA!A1467</f>
        <v>36</v>
      </c>
      <c r="B1467" t="str">
        <f>RAW_DATA!B1467</f>
        <v>No</v>
      </c>
      <c r="C1467" t="str">
        <f>RAW_DATA!C1467</f>
        <v>Research &amp; Development</v>
      </c>
      <c r="D1467">
        <f>RAW_DATA!D1467</f>
        <v>23</v>
      </c>
      <c r="E1467">
        <f>RAW_DATA!E1467</f>
        <v>2</v>
      </c>
      <c r="F1467" t="str">
        <f>RAW_DATA!F1467</f>
        <v>Medical</v>
      </c>
      <c r="G1467">
        <f>RAW_DATA!G1467</f>
        <v>3</v>
      </c>
      <c r="H1467">
        <f>RAW_DATA!H1467</f>
        <v>4</v>
      </c>
      <c r="I1467" t="str">
        <f>RAW_DATA!I1467</f>
        <v>Married</v>
      </c>
      <c r="J1467">
        <f>RAW_DATA!J1467</f>
        <v>2571</v>
      </c>
      <c r="K1467">
        <f>RAW_DATA!K1467</f>
        <v>4</v>
      </c>
      <c r="L1467">
        <f>RAW_DATA!L1467</f>
        <v>3</v>
      </c>
      <c r="M1467">
        <f>RAW_DATA!M1467</f>
        <v>5</v>
      </c>
      <c r="N1467">
        <f t="shared" si="44"/>
        <v>0</v>
      </c>
      <c r="O1467" t="str">
        <f xml:space="preserve"> VLOOKUP(A1467, Lookup_Tables!$G$2:$H$6,2,TRUE)</f>
        <v>35-44</v>
      </c>
      <c r="P1467" t="str">
        <f>_xlfn.XLOOKUP(J1467,Lookup_Tables!$J$2:$J$4,Lookup_Tables!$K$2:$K$4, " ",-1)</f>
        <v>Low</v>
      </c>
      <c r="Q1467" t="str">
        <f xml:space="preserve"> _xlfn.XLOOKUP(M1467, Lookup_Tables!$M$2:$M$5,Lookup_Tables!$N$2:$N$5," ", -1)</f>
        <v>Established (5-10)</v>
      </c>
      <c r="R1467" s="4">
        <f t="shared" si="45"/>
        <v>3.3333333333333335</v>
      </c>
      <c r="S1467" t="str">
        <f xml:space="preserve"> _xlfn.XLOOKUP( E1467, Lookup_Tables!$A$2:$A$6,Lookup_Tables!$B$2:$B$6," ", -1)</f>
        <v>College</v>
      </c>
      <c r="T1467" t="str">
        <f>_xlfn.XLOOKUP(G1467,Lookup_Tables!$D$2:$D$5,Lookup_Tables!$E$2:$E$5)</f>
        <v>High</v>
      </c>
      <c r="U1467" t="str">
        <f>_xlfn.XLOOKUP(H1467,Lookup_Tables!$D$2:$D$5,Lookup_Tables!$E$2:$E$5)</f>
        <v>Very High</v>
      </c>
      <c r="V1467" t="str">
        <f>_xlfn.XLOOKUP(L1467,Lookup_Tables!$D$2:$D$5,Lookup_Tables!$E$2:$E$5)</f>
        <v>High</v>
      </c>
    </row>
    <row r="1468" spans="1:22">
      <c r="A1468">
        <f>RAW_DATA!A1468</f>
        <v>39</v>
      </c>
      <c r="B1468" t="str">
        <f>RAW_DATA!B1468</f>
        <v>No</v>
      </c>
      <c r="C1468" t="str">
        <f>RAW_DATA!C1468</f>
        <v>Research &amp; Development</v>
      </c>
      <c r="D1468">
        <f>RAW_DATA!D1468</f>
        <v>6</v>
      </c>
      <c r="E1468">
        <f>RAW_DATA!E1468</f>
        <v>1</v>
      </c>
      <c r="F1468" t="str">
        <f>RAW_DATA!F1468</f>
        <v>Medical</v>
      </c>
      <c r="G1468">
        <f>RAW_DATA!G1468</f>
        <v>4</v>
      </c>
      <c r="H1468">
        <f>RAW_DATA!H1468</f>
        <v>1</v>
      </c>
      <c r="I1468" t="str">
        <f>RAW_DATA!I1468</f>
        <v>Married</v>
      </c>
      <c r="J1468">
        <f>RAW_DATA!J1468</f>
        <v>9991</v>
      </c>
      <c r="K1468">
        <f>RAW_DATA!K1468</f>
        <v>4</v>
      </c>
      <c r="L1468">
        <f>RAW_DATA!L1468</f>
        <v>3</v>
      </c>
      <c r="M1468">
        <f>RAW_DATA!M1468</f>
        <v>7</v>
      </c>
      <c r="N1468">
        <f t="shared" si="44"/>
        <v>0</v>
      </c>
      <c r="O1468" t="str">
        <f xml:space="preserve"> VLOOKUP(A1468, Lookup_Tables!$G$2:$H$6,2,TRUE)</f>
        <v>35-44</v>
      </c>
      <c r="P1468" t="str">
        <f>_xlfn.XLOOKUP(J1468,Lookup_Tables!$J$2:$J$4,Lookup_Tables!$K$2:$K$4, " ",-1)</f>
        <v>High</v>
      </c>
      <c r="Q1468" t="str">
        <f xml:space="preserve"> _xlfn.XLOOKUP(M1468, Lookup_Tables!$M$2:$M$5,Lookup_Tables!$N$2:$N$5," ", -1)</f>
        <v>Established (5-10)</v>
      </c>
      <c r="R1468" s="4">
        <f t="shared" si="45"/>
        <v>2.6666666666666665</v>
      </c>
      <c r="S1468" t="str">
        <f xml:space="preserve"> _xlfn.XLOOKUP( E1468, Lookup_Tables!$A$2:$A$6,Lookup_Tables!$B$2:$B$6," ", -1)</f>
        <v>Below College</v>
      </c>
      <c r="T1468" t="str">
        <f>_xlfn.XLOOKUP(G1468,Lookup_Tables!$D$2:$D$5,Lookup_Tables!$E$2:$E$5)</f>
        <v>Very High</v>
      </c>
      <c r="U1468" t="str">
        <f>_xlfn.XLOOKUP(H1468,Lookup_Tables!$D$2:$D$5,Lookup_Tables!$E$2:$E$5)</f>
        <v>Low</v>
      </c>
      <c r="V1468" t="str">
        <f>_xlfn.XLOOKUP(L1468,Lookup_Tables!$D$2:$D$5,Lookup_Tables!$E$2:$E$5)</f>
        <v>High</v>
      </c>
    </row>
    <row r="1469" spans="1:22">
      <c r="A1469">
        <f>RAW_DATA!A1469</f>
        <v>27</v>
      </c>
      <c r="B1469" t="str">
        <f>RAW_DATA!B1469</f>
        <v>No</v>
      </c>
      <c r="C1469" t="str">
        <f>RAW_DATA!C1469</f>
        <v>Research &amp; Development</v>
      </c>
      <c r="D1469">
        <f>RAW_DATA!D1469</f>
        <v>4</v>
      </c>
      <c r="E1469">
        <f>RAW_DATA!E1469</f>
        <v>3</v>
      </c>
      <c r="F1469" t="str">
        <f>RAW_DATA!F1469</f>
        <v>Life Sciences</v>
      </c>
      <c r="G1469">
        <f>RAW_DATA!G1469</f>
        <v>2</v>
      </c>
      <c r="H1469">
        <f>RAW_DATA!H1469</f>
        <v>2</v>
      </c>
      <c r="I1469" t="str">
        <f>RAW_DATA!I1469</f>
        <v>Married</v>
      </c>
      <c r="J1469">
        <f>RAW_DATA!J1469</f>
        <v>6142</v>
      </c>
      <c r="K1469">
        <f>RAW_DATA!K1469</f>
        <v>1</v>
      </c>
      <c r="L1469">
        <f>RAW_DATA!L1469</f>
        <v>3</v>
      </c>
      <c r="M1469">
        <f>RAW_DATA!M1469</f>
        <v>6</v>
      </c>
      <c r="N1469">
        <f t="shared" si="44"/>
        <v>0</v>
      </c>
      <c r="O1469" t="str">
        <f xml:space="preserve"> VLOOKUP(A1469, Lookup_Tables!$G$2:$H$6,2,TRUE)</f>
        <v>25-34</v>
      </c>
      <c r="P1469" t="str">
        <f>_xlfn.XLOOKUP(J1469,Lookup_Tables!$J$2:$J$4,Lookup_Tables!$K$2:$K$4, " ",-1)</f>
        <v>Medium</v>
      </c>
      <c r="Q1469" t="str">
        <f xml:space="preserve"> _xlfn.XLOOKUP(M1469, Lookup_Tables!$M$2:$M$5,Lookup_Tables!$N$2:$N$5," ", -1)</f>
        <v>Established (5-10)</v>
      </c>
      <c r="R1469" s="4">
        <f t="shared" si="45"/>
        <v>2.3333333333333335</v>
      </c>
      <c r="S1469" t="str">
        <f xml:space="preserve"> _xlfn.XLOOKUP( E1469, Lookup_Tables!$A$2:$A$6,Lookup_Tables!$B$2:$B$6," ", -1)</f>
        <v>Bachelor</v>
      </c>
      <c r="T1469" t="str">
        <f>_xlfn.XLOOKUP(G1469,Lookup_Tables!$D$2:$D$5,Lookup_Tables!$E$2:$E$5)</f>
        <v>Medium</v>
      </c>
      <c r="U1469" t="str">
        <f>_xlfn.XLOOKUP(H1469,Lookup_Tables!$D$2:$D$5,Lookup_Tables!$E$2:$E$5)</f>
        <v>Medium</v>
      </c>
      <c r="V1469" t="str">
        <f>_xlfn.XLOOKUP(L1469,Lookup_Tables!$D$2:$D$5,Lookup_Tables!$E$2:$E$5)</f>
        <v>High</v>
      </c>
    </row>
    <row r="1470" spans="1:22">
      <c r="A1470">
        <f>RAW_DATA!A1470</f>
        <v>49</v>
      </c>
      <c r="B1470" t="str">
        <f>RAW_DATA!B1470</f>
        <v>No</v>
      </c>
      <c r="C1470" t="str">
        <f>RAW_DATA!C1470</f>
        <v>Sales</v>
      </c>
      <c r="D1470">
        <f>RAW_DATA!D1470</f>
        <v>2</v>
      </c>
      <c r="E1470">
        <f>RAW_DATA!E1470</f>
        <v>3</v>
      </c>
      <c r="F1470" t="str">
        <f>RAW_DATA!F1470</f>
        <v>Medical</v>
      </c>
      <c r="G1470">
        <f>RAW_DATA!G1470</f>
        <v>4</v>
      </c>
      <c r="H1470">
        <f>RAW_DATA!H1470</f>
        <v>2</v>
      </c>
      <c r="I1470" t="str">
        <f>RAW_DATA!I1470</f>
        <v>Married</v>
      </c>
      <c r="J1470">
        <f>RAW_DATA!J1470</f>
        <v>5390</v>
      </c>
      <c r="K1470">
        <f>RAW_DATA!K1470</f>
        <v>2</v>
      </c>
      <c r="L1470">
        <f>RAW_DATA!L1470</f>
        <v>2</v>
      </c>
      <c r="M1470">
        <f>RAW_DATA!M1470</f>
        <v>9</v>
      </c>
      <c r="N1470">
        <f t="shared" si="44"/>
        <v>0</v>
      </c>
      <c r="O1470" t="str">
        <f xml:space="preserve"> VLOOKUP(A1470, Lookup_Tables!$G$2:$H$6,2,TRUE)</f>
        <v>45-54</v>
      </c>
      <c r="P1470" t="str">
        <f>_xlfn.XLOOKUP(J1470,Lookup_Tables!$J$2:$J$4,Lookup_Tables!$K$2:$K$4, " ",-1)</f>
        <v>Medium</v>
      </c>
      <c r="Q1470" t="str">
        <f xml:space="preserve"> _xlfn.XLOOKUP(M1470, Lookup_Tables!$M$2:$M$5,Lookup_Tables!$N$2:$N$5," ", -1)</f>
        <v>Established (5-10)</v>
      </c>
      <c r="R1470" s="4">
        <f t="shared" si="45"/>
        <v>2.6666666666666665</v>
      </c>
      <c r="S1470" t="str">
        <f xml:space="preserve"> _xlfn.XLOOKUP( E1470, Lookup_Tables!$A$2:$A$6,Lookup_Tables!$B$2:$B$6," ", -1)</f>
        <v>Bachelor</v>
      </c>
      <c r="T1470" t="str">
        <f>_xlfn.XLOOKUP(G1470,Lookup_Tables!$D$2:$D$5,Lookup_Tables!$E$2:$E$5)</f>
        <v>Very High</v>
      </c>
      <c r="U1470" t="str">
        <f>_xlfn.XLOOKUP(H1470,Lookup_Tables!$D$2:$D$5,Lookup_Tables!$E$2:$E$5)</f>
        <v>Medium</v>
      </c>
      <c r="V1470" t="str">
        <f>_xlfn.XLOOKUP(L1470,Lookup_Tables!$D$2:$D$5,Lookup_Tables!$E$2:$E$5)</f>
        <v>Medium</v>
      </c>
    </row>
    <row r="1471" spans="1:22">
      <c r="A1471">
        <f>RAW_DATA!A1471</f>
        <v>34</v>
      </c>
      <c r="B1471" t="str">
        <f>RAW_DATA!B1471</f>
        <v>No</v>
      </c>
      <c r="C1471" t="str">
        <f>RAW_DATA!C1471</f>
        <v>Research &amp; Development</v>
      </c>
      <c r="D1471">
        <f>RAW_DATA!D1471</f>
        <v>8</v>
      </c>
      <c r="E1471">
        <f>RAW_DATA!E1471</f>
        <v>3</v>
      </c>
      <c r="F1471" t="str">
        <f>RAW_DATA!F1471</f>
        <v>Medical</v>
      </c>
      <c r="G1471">
        <f>RAW_DATA!G1471</f>
        <v>2</v>
      </c>
      <c r="H1471">
        <f>RAW_DATA!H1471</f>
        <v>3</v>
      </c>
      <c r="I1471" t="str">
        <f>RAW_DATA!I1471</f>
        <v>Married</v>
      </c>
      <c r="J1471">
        <f>RAW_DATA!J1471</f>
        <v>4404</v>
      </c>
      <c r="K1471">
        <f>RAW_DATA!K1471</f>
        <v>2</v>
      </c>
      <c r="L1471">
        <f>RAW_DATA!L1471</f>
        <v>4</v>
      </c>
      <c r="M1471">
        <f>RAW_DATA!M1471</f>
        <v>4</v>
      </c>
      <c r="N1471">
        <f t="shared" si="44"/>
        <v>0</v>
      </c>
      <c r="O1471" t="str">
        <f xml:space="preserve"> VLOOKUP(A1471, Lookup_Tables!$G$2:$H$6,2,TRUE)</f>
        <v>25-34</v>
      </c>
      <c r="P1471" t="str">
        <f>_xlfn.XLOOKUP(J1471,Lookup_Tables!$J$2:$J$4,Lookup_Tables!$K$2:$K$4, " ",-1)</f>
        <v>Medium</v>
      </c>
      <c r="Q1471" t="str">
        <f xml:space="preserve"> _xlfn.XLOOKUP(M1471, Lookup_Tables!$M$2:$M$5,Lookup_Tables!$N$2:$N$5," ", -1)</f>
        <v>Early (2-5)</v>
      </c>
      <c r="R1471" s="4">
        <f t="shared" si="45"/>
        <v>3</v>
      </c>
      <c r="S1471" t="str">
        <f xml:space="preserve"> _xlfn.XLOOKUP( E1471, Lookup_Tables!$A$2:$A$6,Lookup_Tables!$B$2:$B$6," ", -1)</f>
        <v>Bachelor</v>
      </c>
      <c r="T1471" t="str">
        <f>_xlfn.XLOOKUP(G1471,Lookup_Tables!$D$2:$D$5,Lookup_Tables!$E$2:$E$5)</f>
        <v>Medium</v>
      </c>
      <c r="U1471" t="str">
        <f>_xlfn.XLOOKUP(H1471,Lookup_Tables!$D$2:$D$5,Lookup_Tables!$E$2:$E$5)</f>
        <v>High</v>
      </c>
      <c r="V1471" t="str">
        <f>_xlfn.XLOOKUP(L1471,Lookup_Tables!$D$2:$D$5,Lookup_Tables!$E$2:$E$5)</f>
        <v>Very High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DCEF2-247B-4F1A-A6CC-A0CB5DE615AB}">
  <dimension ref="A1:J12"/>
  <sheetViews>
    <sheetView workbookViewId="0">
      <selection activeCell="G22" sqref="G22"/>
    </sheetView>
  </sheetViews>
  <sheetFormatPr defaultRowHeight="15"/>
  <cols>
    <col min="1" max="1" width="14.85546875" customWidth="1"/>
    <col min="4" max="4" width="6.28515625" bestFit="1" customWidth="1"/>
    <col min="5" max="5" width="15.85546875" customWidth="1"/>
  </cols>
  <sheetData>
    <row r="1" spans="1:10">
      <c r="A1" s="20" t="s">
        <v>35</v>
      </c>
      <c r="B1" s="20"/>
      <c r="C1" s="20"/>
      <c r="D1" s="3" t="s">
        <v>36</v>
      </c>
      <c r="E1" s="20" t="s">
        <v>37</v>
      </c>
      <c r="F1" s="20"/>
      <c r="G1" s="20"/>
      <c r="H1" s="20"/>
      <c r="I1" s="20"/>
      <c r="J1" s="20"/>
    </row>
    <row r="2" spans="1:10">
      <c r="A2" s="22" t="s">
        <v>38</v>
      </c>
      <c r="B2" s="22"/>
      <c r="C2" s="22"/>
      <c r="D2" s="2">
        <v>25</v>
      </c>
      <c r="E2" s="21" t="s">
        <v>39</v>
      </c>
      <c r="F2" s="22"/>
      <c r="G2" s="22"/>
      <c r="H2" s="22"/>
      <c r="I2" s="22"/>
      <c r="J2" s="22"/>
    </row>
    <row r="3" spans="1:10">
      <c r="A3" s="22" t="s">
        <v>40</v>
      </c>
      <c r="B3" s="22"/>
      <c r="C3" s="22"/>
      <c r="D3" s="2">
        <v>34</v>
      </c>
      <c r="E3" s="21" t="s">
        <v>41</v>
      </c>
      <c r="F3" s="22"/>
      <c r="G3" s="22"/>
      <c r="H3" s="22"/>
      <c r="I3" s="22"/>
      <c r="J3" s="22"/>
    </row>
    <row r="4" spans="1:10">
      <c r="A4" s="22" t="s">
        <v>42</v>
      </c>
      <c r="B4" s="22"/>
      <c r="C4" s="22"/>
      <c r="D4" s="2">
        <v>44</v>
      </c>
      <c r="E4" s="21" t="s">
        <v>43</v>
      </c>
      <c r="F4" s="22"/>
      <c r="G4" s="22"/>
      <c r="H4" s="22"/>
      <c r="I4" s="22"/>
      <c r="J4" s="22"/>
    </row>
    <row r="5" spans="1:10">
      <c r="A5" s="22" t="s">
        <v>44</v>
      </c>
      <c r="B5" s="22"/>
      <c r="C5" s="22"/>
      <c r="D5" s="2">
        <v>54</v>
      </c>
      <c r="E5" s="21" t="s">
        <v>45</v>
      </c>
      <c r="F5" s="22"/>
      <c r="G5" s="22"/>
      <c r="H5" s="22"/>
      <c r="I5" s="22"/>
      <c r="J5" s="22"/>
    </row>
    <row r="6" spans="1:10">
      <c r="A6" s="22"/>
      <c r="B6" s="22"/>
      <c r="C6" s="22"/>
    </row>
    <row r="7" spans="1:10">
      <c r="A7" s="22" t="s">
        <v>46</v>
      </c>
      <c r="B7" s="22"/>
      <c r="C7" s="22"/>
      <c r="D7" s="2">
        <v>3000</v>
      </c>
      <c r="E7" s="21" t="s">
        <v>47</v>
      </c>
      <c r="F7" s="21"/>
      <c r="G7" s="21"/>
      <c r="H7" s="21"/>
      <c r="I7" s="21"/>
      <c r="J7" s="21"/>
    </row>
    <row r="8" spans="1:10">
      <c r="A8" s="22" t="s">
        <v>48</v>
      </c>
      <c r="B8" s="22"/>
      <c r="C8" s="22"/>
      <c r="D8" s="2">
        <v>7000</v>
      </c>
      <c r="E8" s="21" t="s">
        <v>49</v>
      </c>
      <c r="F8" s="21"/>
      <c r="G8" s="21"/>
      <c r="H8" s="21"/>
      <c r="I8" s="21"/>
      <c r="J8" s="21"/>
    </row>
    <row r="9" spans="1:10">
      <c r="A9" s="22"/>
      <c r="B9" s="22"/>
      <c r="C9" s="22"/>
    </row>
    <row r="10" spans="1:10">
      <c r="A10" s="22" t="s">
        <v>50</v>
      </c>
      <c r="B10" s="22"/>
      <c r="C10" s="22"/>
      <c r="D10" s="2">
        <v>2</v>
      </c>
      <c r="E10" s="21" t="s">
        <v>51</v>
      </c>
      <c r="F10" s="22"/>
      <c r="G10" s="22"/>
      <c r="H10" s="22"/>
      <c r="I10" s="22"/>
      <c r="J10" s="22"/>
    </row>
    <row r="11" spans="1:10">
      <c r="A11" s="22" t="s">
        <v>52</v>
      </c>
      <c r="B11" s="22"/>
      <c r="C11" s="22"/>
      <c r="D11" s="2">
        <v>5</v>
      </c>
      <c r="E11" s="21" t="s">
        <v>53</v>
      </c>
      <c r="F11" s="22"/>
      <c r="G11" s="22"/>
      <c r="H11" s="22"/>
      <c r="I11" s="22"/>
      <c r="J11" s="22"/>
    </row>
    <row r="12" spans="1:10">
      <c r="A12" s="22" t="s">
        <v>54</v>
      </c>
      <c r="B12" s="22"/>
      <c r="C12" s="22"/>
      <c r="D12" s="2">
        <v>10</v>
      </c>
      <c r="E12" s="21" t="s">
        <v>55</v>
      </c>
      <c r="F12" s="22"/>
      <c r="G12" s="22"/>
      <c r="H12" s="22"/>
      <c r="I12" s="22"/>
      <c r="J12" s="22"/>
    </row>
  </sheetData>
  <mergeCells count="22">
    <mergeCell ref="A1:C1"/>
    <mergeCell ref="A2:C2"/>
    <mergeCell ref="A4:C4"/>
    <mergeCell ref="A3:C3"/>
    <mergeCell ref="A11:C11"/>
    <mergeCell ref="A12:C12"/>
    <mergeCell ref="A5:C5"/>
    <mergeCell ref="A6:C6"/>
    <mergeCell ref="A7:C7"/>
    <mergeCell ref="A8:C8"/>
    <mergeCell ref="A9:C9"/>
    <mergeCell ref="A10:C10"/>
    <mergeCell ref="E12:J12"/>
    <mergeCell ref="E2:J2"/>
    <mergeCell ref="E3:J3"/>
    <mergeCell ref="E4:J4"/>
    <mergeCell ref="E5:J5"/>
    <mergeCell ref="E1:J1"/>
    <mergeCell ref="E7:J7"/>
    <mergeCell ref="E8:J8"/>
    <mergeCell ref="E10:J10"/>
    <mergeCell ref="E11:J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12C5-9F63-48CD-81B5-E546BF39BC81}">
  <dimension ref="A1:S6"/>
  <sheetViews>
    <sheetView workbookViewId="0">
      <selection activeCell="C1" sqref="C1"/>
    </sheetView>
  </sheetViews>
  <sheetFormatPr defaultRowHeight="15"/>
  <cols>
    <col min="1" max="1" width="17" bestFit="1" customWidth="1"/>
    <col min="2" max="2" width="17.28515625" bestFit="1" customWidth="1"/>
    <col min="3" max="3" width="17" bestFit="1" customWidth="1"/>
    <col min="4" max="4" width="18.85546875" bestFit="1" customWidth="1"/>
    <col min="5" max="5" width="19" bestFit="1" customWidth="1"/>
    <col min="7" max="7" width="18.42578125" bestFit="1" customWidth="1"/>
    <col min="8" max="8" width="17.42578125" bestFit="1" customWidth="1"/>
    <col min="10" max="10" width="22" bestFit="1" customWidth="1"/>
    <col min="11" max="11" width="19.85546875" bestFit="1" customWidth="1"/>
    <col min="13" max="13" width="21.7109375" bestFit="1" customWidth="1"/>
    <col min="14" max="14" width="20.5703125" bestFit="1" customWidth="1"/>
  </cols>
  <sheetData>
    <row r="1" spans="1:19">
      <c r="A1" s="7" t="s">
        <v>56</v>
      </c>
      <c r="B1" s="7" t="s">
        <v>31</v>
      </c>
      <c r="C1" s="8"/>
      <c r="D1" s="7" t="s">
        <v>57</v>
      </c>
      <c r="E1" s="7" t="s">
        <v>58</v>
      </c>
      <c r="G1" s="7" t="s">
        <v>59</v>
      </c>
      <c r="H1" s="7" t="s">
        <v>60</v>
      </c>
      <c r="J1" s="7" t="s">
        <v>61</v>
      </c>
      <c r="K1" s="7" t="s">
        <v>62</v>
      </c>
      <c r="M1" s="7" t="s">
        <v>63</v>
      </c>
      <c r="N1" s="7" t="s">
        <v>64</v>
      </c>
    </row>
    <row r="2" spans="1:19">
      <c r="A2" s="5">
        <v>1</v>
      </c>
      <c r="B2" s="6" t="s">
        <v>65</v>
      </c>
      <c r="D2" s="5">
        <v>1</v>
      </c>
      <c r="E2" s="6" t="s">
        <v>66</v>
      </c>
      <c r="G2" s="5">
        <v>0</v>
      </c>
      <c r="H2" s="6" t="s">
        <v>67</v>
      </c>
      <c r="J2" s="5">
        <v>0</v>
      </c>
      <c r="K2" s="6" t="s">
        <v>66</v>
      </c>
      <c r="M2" s="5">
        <v>0</v>
      </c>
      <c r="N2" s="6" t="s">
        <v>68</v>
      </c>
      <c r="S2" t="str">
        <f xml:space="preserve"> _xlfn.XLOOKUP(E2, Lookup_Tables!$A$2:$A$6, Lookup_Tables!$B$2:$B$6, " ",-1)</f>
        <v>Doctor</v>
      </c>
    </row>
    <row r="3" spans="1:19">
      <c r="A3" s="5">
        <v>2</v>
      </c>
      <c r="B3" s="6" t="s">
        <v>69</v>
      </c>
      <c r="D3" s="5">
        <v>2</v>
      </c>
      <c r="E3" s="6" t="s">
        <v>70</v>
      </c>
      <c r="G3" s="5">
        <v>25</v>
      </c>
      <c r="H3" s="6" t="s">
        <v>71</v>
      </c>
      <c r="J3" s="5">
        <v>3000</v>
      </c>
      <c r="K3" s="6" t="s">
        <v>70</v>
      </c>
      <c r="M3" s="5">
        <v>2</v>
      </c>
      <c r="N3" s="6" t="s">
        <v>72</v>
      </c>
    </row>
    <row r="4" spans="1:19">
      <c r="A4" s="5">
        <v>3</v>
      </c>
      <c r="B4" s="6" t="s">
        <v>73</v>
      </c>
      <c r="D4" s="5">
        <v>3</v>
      </c>
      <c r="E4" s="6" t="s">
        <v>74</v>
      </c>
      <c r="G4" s="5">
        <v>35</v>
      </c>
      <c r="H4" s="6" t="s">
        <v>75</v>
      </c>
      <c r="J4" s="5">
        <v>7000</v>
      </c>
      <c r="K4" s="6" t="s">
        <v>74</v>
      </c>
      <c r="M4" s="5">
        <v>5</v>
      </c>
      <c r="N4" s="6" t="s">
        <v>76</v>
      </c>
    </row>
    <row r="5" spans="1:19">
      <c r="A5" s="5">
        <v>4</v>
      </c>
      <c r="B5" s="6" t="s">
        <v>77</v>
      </c>
      <c r="D5" s="5">
        <v>4</v>
      </c>
      <c r="E5" s="6" t="s">
        <v>78</v>
      </c>
      <c r="G5" s="5">
        <v>45</v>
      </c>
      <c r="H5" s="6" t="s">
        <v>79</v>
      </c>
      <c r="M5" s="5">
        <v>10</v>
      </c>
      <c r="N5" s="6" t="s">
        <v>80</v>
      </c>
    </row>
    <row r="6" spans="1:19">
      <c r="A6" s="5">
        <v>5</v>
      </c>
      <c r="B6" s="6" t="s">
        <v>81</v>
      </c>
      <c r="G6" s="5">
        <v>55</v>
      </c>
      <c r="H6" s="6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A276-6BEA-425A-8D41-E79247E5CEEE}">
  <dimension ref="A3:J17"/>
  <sheetViews>
    <sheetView topLeftCell="C1" workbookViewId="0">
      <selection activeCell="G3" sqref="G3"/>
    </sheetView>
  </sheetViews>
  <sheetFormatPr defaultRowHeight="15"/>
  <cols>
    <col min="1" max="1" width="16.85546875" bestFit="1" customWidth="1"/>
    <col min="2" max="2" width="22.85546875" bestFit="1" customWidth="1"/>
    <col min="3" max="3" width="17.140625" customWidth="1"/>
    <col min="4" max="4" width="13.28515625" bestFit="1" customWidth="1"/>
    <col min="5" max="6" width="22.85546875" bestFit="1" customWidth="1"/>
    <col min="7" max="7" width="15.42578125" bestFit="1" customWidth="1"/>
    <col min="8" max="8" width="22.85546875" bestFit="1" customWidth="1"/>
    <col min="9" max="9" width="29.42578125" bestFit="1" customWidth="1"/>
    <col min="10" max="10" width="33.28515625" bestFit="1" customWidth="1"/>
    <col min="11" max="11" width="26" bestFit="1" customWidth="1"/>
  </cols>
  <sheetData>
    <row r="3" spans="1:10">
      <c r="A3" s="9" t="s">
        <v>2</v>
      </c>
      <c r="B3" t="s">
        <v>83</v>
      </c>
      <c r="D3" s="9" t="s">
        <v>27</v>
      </c>
      <c r="E3" t="s">
        <v>83</v>
      </c>
      <c r="G3" s="9" t="s">
        <v>28</v>
      </c>
      <c r="H3" t="s">
        <v>83</v>
      </c>
    </row>
    <row r="4" spans="1:10">
      <c r="A4" t="s">
        <v>14</v>
      </c>
      <c r="B4" s="10">
        <v>0.20627802690582961</v>
      </c>
      <c r="D4" t="s">
        <v>67</v>
      </c>
      <c r="E4" s="10">
        <v>0.39175257731958762</v>
      </c>
      <c r="G4" t="s">
        <v>66</v>
      </c>
      <c r="H4" s="10">
        <v>0.28607594936708863</v>
      </c>
    </row>
    <row r="5" spans="1:10">
      <c r="A5" t="s">
        <v>25</v>
      </c>
      <c r="B5" s="10">
        <v>0.19047619047619047</v>
      </c>
      <c r="D5" t="s">
        <v>71</v>
      </c>
      <c r="E5" s="10">
        <v>0.20216606498194944</v>
      </c>
      <c r="G5" t="s">
        <v>70</v>
      </c>
      <c r="H5" s="10">
        <v>0.1203125</v>
      </c>
    </row>
    <row r="6" spans="1:10">
      <c r="A6" t="s">
        <v>18</v>
      </c>
      <c r="B6" s="10">
        <v>0.13839750260145681</v>
      </c>
      <c r="D6" t="s">
        <v>82</v>
      </c>
      <c r="E6" s="10">
        <v>0.15942028985507245</v>
      </c>
      <c r="G6" t="s">
        <v>74</v>
      </c>
      <c r="H6" s="10">
        <v>0.10804597701149425</v>
      </c>
    </row>
    <row r="7" spans="1:10">
      <c r="A7" t="s">
        <v>84</v>
      </c>
      <c r="B7" s="10">
        <v>0.16122448979591836</v>
      </c>
      <c r="D7" t="s">
        <v>79</v>
      </c>
      <c r="E7" s="10">
        <v>0.10204081632653061</v>
      </c>
      <c r="G7" t="s">
        <v>84</v>
      </c>
      <c r="H7" s="10">
        <v>0.16122448979591836</v>
      </c>
    </row>
    <row r="8" spans="1:10">
      <c r="D8" t="s">
        <v>75</v>
      </c>
      <c r="E8" s="10">
        <v>0.100990099009901</v>
      </c>
    </row>
    <row r="9" spans="1:10">
      <c r="D9" t="s">
        <v>84</v>
      </c>
      <c r="E9" s="10">
        <v>0.16122448979591836</v>
      </c>
    </row>
    <row r="12" spans="1:10">
      <c r="A12" s="9" t="s">
        <v>29</v>
      </c>
      <c r="B12" t="s">
        <v>83</v>
      </c>
      <c r="D12" s="9" t="s">
        <v>8</v>
      </c>
      <c r="E12" t="s">
        <v>83</v>
      </c>
      <c r="G12" s="9" t="s">
        <v>1</v>
      </c>
      <c r="H12" t="s">
        <v>85</v>
      </c>
      <c r="I12" t="s">
        <v>86</v>
      </c>
      <c r="J12" t="s">
        <v>87</v>
      </c>
    </row>
    <row r="13" spans="1:10">
      <c r="A13" t="s">
        <v>68</v>
      </c>
      <c r="B13" s="10">
        <v>0.34883720930232559</v>
      </c>
      <c r="D13" t="s">
        <v>22</v>
      </c>
      <c r="E13" s="11">
        <v>0.10091743119266056</v>
      </c>
      <c r="G13" t="s">
        <v>17</v>
      </c>
      <c r="H13" s="4">
        <v>2.7769667477696687</v>
      </c>
      <c r="I13">
        <v>8.9156528791565286</v>
      </c>
      <c r="J13">
        <v>2.6455798864557987</v>
      </c>
    </row>
    <row r="14" spans="1:10">
      <c r="A14" t="s">
        <v>72</v>
      </c>
      <c r="B14" s="10">
        <v>0.18082191780821918</v>
      </c>
      <c r="D14" t="s">
        <v>19</v>
      </c>
      <c r="E14" s="10">
        <v>0.12481426448736999</v>
      </c>
      <c r="G14" t="s">
        <v>13</v>
      </c>
      <c r="H14" s="4">
        <v>2.5302390998593545</v>
      </c>
      <c r="I14">
        <v>10.632911392405063</v>
      </c>
      <c r="J14">
        <v>2.9409282700421939</v>
      </c>
    </row>
    <row r="15" spans="1:10">
      <c r="A15" t="s">
        <v>76</v>
      </c>
      <c r="B15" s="10">
        <v>0.11068702290076336</v>
      </c>
      <c r="D15" t="s">
        <v>16</v>
      </c>
      <c r="E15" s="10">
        <v>0.25531914893617019</v>
      </c>
      <c r="G15" t="s">
        <v>84</v>
      </c>
      <c r="H15" s="12">
        <v>2.7371882086167818</v>
      </c>
      <c r="I15" s="12">
        <v>9.1925170068027207</v>
      </c>
      <c r="J15" s="12">
        <v>2.6931972789115646</v>
      </c>
    </row>
    <row r="16" spans="1:10">
      <c r="A16" t="s">
        <v>80</v>
      </c>
      <c r="B16" s="10">
        <v>0.10382513661202186</v>
      </c>
      <c r="D16" t="s">
        <v>84</v>
      </c>
      <c r="E16" s="10">
        <v>0.16122448979591836</v>
      </c>
    </row>
    <row r="17" spans="1:2">
      <c r="A17" t="s">
        <v>84</v>
      </c>
      <c r="B17" s="10">
        <v>0.16122448979591836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BC4F-052C-49CE-A6B6-4C224C7F703D}">
  <dimension ref="D1:AA8"/>
  <sheetViews>
    <sheetView showGridLines="0" tabSelected="1" topLeftCell="A25" workbookViewId="0">
      <selection activeCell="Y39" sqref="Y39"/>
    </sheetView>
  </sheetViews>
  <sheetFormatPr defaultRowHeight="15"/>
  <cols>
    <col min="8" max="8" width="1" customWidth="1"/>
    <col min="13" max="13" width="1" customWidth="1"/>
    <col min="18" max="18" width="1" customWidth="1"/>
  </cols>
  <sheetData>
    <row r="1" spans="4:27" ht="15" customHeight="1">
      <c r="D1" s="15" t="s">
        <v>88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4"/>
      <c r="X1" s="14"/>
      <c r="Y1" s="14"/>
      <c r="Z1" s="14"/>
      <c r="AA1" s="14"/>
    </row>
    <row r="2" spans="4:27" ht="15" customHeight="1"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4"/>
      <c r="X2" s="14"/>
      <c r="Y2" s="14"/>
      <c r="Z2" s="14"/>
      <c r="AA2" s="14"/>
    </row>
    <row r="3" spans="4:27" ht="15" customHeight="1"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4"/>
      <c r="X3" s="14"/>
      <c r="Y3" s="14"/>
      <c r="Z3" s="14"/>
      <c r="AA3" s="14"/>
    </row>
    <row r="4" spans="4:27" ht="15" customHeight="1">
      <c r="D4" s="17" t="s">
        <v>89</v>
      </c>
      <c r="E4" s="17"/>
      <c r="F4" s="17"/>
      <c r="G4" s="17"/>
      <c r="H4" s="13"/>
      <c r="I4" s="17" t="s">
        <v>90</v>
      </c>
      <c r="J4" s="17"/>
      <c r="K4" s="17"/>
      <c r="L4" s="17"/>
      <c r="N4" s="17" t="s">
        <v>91</v>
      </c>
      <c r="O4" s="17"/>
      <c r="P4" s="17"/>
      <c r="Q4" s="17"/>
      <c r="S4" s="17" t="s">
        <v>92</v>
      </c>
      <c r="T4" s="17"/>
      <c r="U4" s="17"/>
      <c r="V4" s="17"/>
    </row>
    <row r="5" spans="4:27" ht="15" customHeight="1">
      <c r="D5" s="16">
        <f>COUNTA(Clean_Data!B2:B1471)</f>
        <v>1470</v>
      </c>
      <c r="E5" s="16"/>
      <c r="F5" s="16"/>
      <c r="G5" s="16"/>
      <c r="H5" s="13"/>
      <c r="I5" s="16">
        <f>COUNTIF(Clean_Data!B2:B1471,"Yes")</f>
        <v>237</v>
      </c>
      <c r="J5" s="16"/>
      <c r="K5" s="16"/>
      <c r="L5" s="16"/>
      <c r="N5" s="18">
        <f>AVERAGE(Clean_Data!N2:N1471)</f>
        <v>0.16122448979591836</v>
      </c>
      <c r="O5" s="18"/>
      <c r="P5" s="18"/>
      <c r="Q5" s="18"/>
      <c r="S5" s="19">
        <f>AVERAGE(Clean_Data!R2:R1471)</f>
        <v>2.7371882086167831</v>
      </c>
      <c r="T5" s="19"/>
      <c r="U5" s="19"/>
      <c r="V5" s="19"/>
    </row>
    <row r="6" spans="4:27" ht="15" customHeight="1">
      <c r="D6" s="16"/>
      <c r="E6" s="16"/>
      <c r="F6" s="16"/>
      <c r="G6" s="16"/>
      <c r="I6" s="16"/>
      <c r="J6" s="16"/>
      <c r="K6" s="16"/>
      <c r="L6" s="16"/>
      <c r="N6" s="18"/>
      <c r="O6" s="18"/>
      <c r="P6" s="18"/>
      <c r="Q6" s="18"/>
      <c r="S6" s="19"/>
      <c r="T6" s="19"/>
      <c r="U6" s="19"/>
      <c r="V6" s="19"/>
    </row>
    <row r="7" spans="4:27" ht="15" customHeight="1">
      <c r="D7" s="16"/>
      <c r="E7" s="16"/>
      <c r="F7" s="16"/>
      <c r="G7" s="16"/>
      <c r="I7" s="16"/>
      <c r="J7" s="16"/>
      <c r="K7" s="16"/>
      <c r="L7" s="16"/>
      <c r="N7" s="18"/>
      <c r="O7" s="18"/>
      <c r="P7" s="18"/>
      <c r="Q7" s="18"/>
      <c r="S7" s="19"/>
      <c r="T7" s="19"/>
      <c r="U7" s="19"/>
      <c r="V7" s="19"/>
    </row>
    <row r="8" spans="4:27" ht="15.75" customHeight="1">
      <c r="D8" s="16"/>
      <c r="E8" s="16"/>
      <c r="F8" s="16"/>
      <c r="G8" s="16"/>
      <c r="I8" s="16"/>
      <c r="J8" s="16"/>
      <c r="K8" s="16"/>
      <c r="L8" s="16"/>
      <c r="N8" s="18"/>
      <c r="O8" s="18"/>
      <c r="P8" s="18"/>
      <c r="Q8" s="18"/>
      <c r="S8" s="19"/>
      <c r="T8" s="19"/>
      <c r="U8" s="19"/>
      <c r="V8" s="19"/>
    </row>
  </sheetData>
  <mergeCells count="9">
    <mergeCell ref="D1:V3"/>
    <mergeCell ref="I5:L8"/>
    <mergeCell ref="N4:Q4"/>
    <mergeCell ref="N5:Q8"/>
    <mergeCell ref="S4:V4"/>
    <mergeCell ref="S5:V8"/>
    <mergeCell ref="D4:G4"/>
    <mergeCell ref="D5:G8"/>
    <mergeCell ref="I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2026-06-19T12:36:42Z</dcterms:created>
  <dcterms:modified xsi:type="dcterms:W3CDTF">2026-06-25T01:51:43Z</dcterms:modified>
  <cp:category/>
  <cp:contentStatus/>
</cp:coreProperties>
</file>