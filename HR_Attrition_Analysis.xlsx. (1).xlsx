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B5PEPF0001176C\EXCELCNV\4fd6482d-81d0-4cca-8e63-59fe828499cb\"/>
    </mc:Choice>
  </mc:AlternateContent>
  <xr:revisionPtr revIDLastSave="0" documentId="8_{94A294D8-14B9-419E-878F-AB9D533193C9}" xr6:coauthVersionLast="47" xr6:coauthVersionMax="47" xr10:uidLastSave="{00000000-0000-0000-0000-000000000000}"/>
  <bookViews>
    <workbookView xWindow="-60" yWindow="-60" windowWidth="15480" windowHeight="11640" firstSheet="2" activeTab="2" xr2:uid="{F7C0086C-4189-4507-883C-D718537465C2}"/>
  </bookViews>
  <sheets>
    <sheet name="RAW_DATA" sheetId="1" r:id="rId1"/>
    <sheet name="ASSUMPTIONS" sheetId="2" r:id="rId2"/>
    <sheet name="Clean_Data" sheetId="3" r:id="rId3"/>
  </sheets>
  <definedNames>
    <definedName name="_xlnm._FilterDatabase" localSheetId="0" hidden="1">RAW_DATA!$A$1:$M$1471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3" l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2" i="3"/>
  <c r="P3" i="3" a="1"/>
  <c r="P3" i="3"/>
  <c r="P4" i="3" a="1"/>
  <c r="P4" i="3"/>
  <c r="P5" i="3" a="1"/>
  <c r="P5" i="3"/>
  <c r="P6" i="3" a="1"/>
  <c r="P6" i="3"/>
  <c r="P7" i="3" a="1"/>
  <c r="P7" i="3"/>
  <c r="P8" i="3" a="1"/>
  <c r="P8" i="3"/>
  <c r="P9" i="3" a="1"/>
  <c r="P9" i="3"/>
  <c r="P10" i="3" a="1"/>
  <c r="P10" i="3"/>
  <c r="P11" i="3" a="1"/>
  <c r="P11" i="3"/>
  <c r="P12" i="3" a="1"/>
  <c r="P12" i="3"/>
  <c r="P13" i="3" a="1"/>
  <c r="P13" i="3"/>
  <c r="P14" i="3" a="1"/>
  <c r="P14" i="3"/>
  <c r="P15" i="3" a="1"/>
  <c r="P15" i="3"/>
  <c r="P16" i="3" a="1"/>
  <c r="P16" i="3"/>
  <c r="P17" i="3" a="1"/>
  <c r="P17" i="3"/>
  <c r="P18" i="3" a="1"/>
  <c r="P18" i="3"/>
  <c r="P19" i="3" a="1"/>
  <c r="P19" i="3"/>
  <c r="P20" i="3" a="1"/>
  <c r="P20" i="3"/>
  <c r="P21" i="3" a="1"/>
  <c r="P21" i="3"/>
  <c r="P22" i="3" a="1"/>
  <c r="P22" i="3"/>
  <c r="P23" i="3" a="1"/>
  <c r="P23" i="3"/>
  <c r="P24" i="3" a="1"/>
  <c r="P24" i="3"/>
  <c r="P25" i="3" a="1"/>
  <c r="P25" i="3"/>
  <c r="P26" i="3" a="1"/>
  <c r="P26" i="3"/>
  <c r="P27" i="3" a="1"/>
  <c r="P27" i="3"/>
  <c r="P28" i="3" a="1"/>
  <c r="P28" i="3"/>
  <c r="P29" i="3" a="1"/>
  <c r="P29" i="3"/>
  <c r="P30" i="3" a="1"/>
  <c r="P30" i="3"/>
  <c r="P31" i="3" a="1"/>
  <c r="P31" i="3"/>
  <c r="P32" i="3" a="1"/>
  <c r="P32" i="3"/>
  <c r="P33" i="3" a="1"/>
  <c r="P33" i="3"/>
  <c r="P34" i="3" a="1"/>
  <c r="P34" i="3"/>
  <c r="P35" i="3" a="1"/>
  <c r="P35" i="3"/>
  <c r="P36" i="3" a="1"/>
  <c r="P36" i="3"/>
  <c r="P37" i="3" a="1"/>
  <c r="P37" i="3"/>
  <c r="P38" i="3" a="1"/>
  <c r="P38" i="3"/>
  <c r="P39" i="3" a="1"/>
  <c r="P39" i="3"/>
  <c r="P40" i="3" a="1"/>
  <c r="P40" i="3"/>
  <c r="P41" i="3" a="1"/>
  <c r="P41" i="3"/>
  <c r="P42" i="3" a="1"/>
  <c r="P42" i="3"/>
  <c r="P43" i="3" a="1"/>
  <c r="P43" i="3"/>
  <c r="P44" i="3" a="1"/>
  <c r="P44" i="3"/>
  <c r="P45" i="3" a="1"/>
  <c r="P45" i="3"/>
  <c r="P46" i="3" a="1"/>
  <c r="P46" i="3"/>
  <c r="P47" i="3" a="1"/>
  <c r="P47" i="3"/>
  <c r="P48" i="3" a="1"/>
  <c r="P48" i="3"/>
  <c r="P49" i="3" a="1"/>
  <c r="P49" i="3"/>
  <c r="P50" i="3" a="1"/>
  <c r="P50" i="3"/>
  <c r="P51" i="3" a="1"/>
  <c r="P51" i="3"/>
  <c r="P52" i="3" a="1"/>
  <c r="P52" i="3"/>
  <c r="P53" i="3" a="1"/>
  <c r="P53" i="3"/>
  <c r="P54" i="3" a="1"/>
  <c r="P54" i="3"/>
  <c r="P55" i="3" a="1"/>
  <c r="P55" i="3"/>
  <c r="P56" i="3" a="1"/>
  <c r="P56" i="3"/>
  <c r="P57" i="3" a="1"/>
  <c r="P57" i="3"/>
  <c r="P58" i="3" a="1"/>
  <c r="P58" i="3"/>
  <c r="P59" i="3" a="1"/>
  <c r="P59" i="3"/>
  <c r="P60" i="3" a="1"/>
  <c r="P60" i="3"/>
  <c r="P61" i="3" a="1"/>
  <c r="P61" i="3"/>
  <c r="P62" i="3" a="1"/>
  <c r="P62" i="3"/>
  <c r="P63" i="3" a="1"/>
  <c r="P63" i="3"/>
  <c r="P64" i="3" a="1"/>
  <c r="P64" i="3"/>
  <c r="P65" i="3" a="1"/>
  <c r="P65" i="3"/>
  <c r="P66" i="3" a="1"/>
  <c r="P66" i="3"/>
  <c r="P67" i="3" a="1"/>
  <c r="P67" i="3"/>
  <c r="P68" i="3" a="1"/>
  <c r="P68" i="3"/>
  <c r="P69" i="3" a="1"/>
  <c r="P69" i="3"/>
  <c r="P70" i="3" a="1"/>
  <c r="P70" i="3"/>
  <c r="P71" i="3" a="1"/>
  <c r="P71" i="3"/>
  <c r="P72" i="3" a="1"/>
  <c r="P72" i="3"/>
  <c r="P73" i="3" a="1"/>
  <c r="P73" i="3"/>
  <c r="P74" i="3" a="1"/>
  <c r="P74" i="3"/>
  <c r="P75" i="3" a="1"/>
  <c r="P75" i="3"/>
  <c r="P76" i="3" a="1"/>
  <c r="P76" i="3"/>
  <c r="P77" i="3" a="1"/>
  <c r="P77" i="3"/>
  <c r="P78" i="3" a="1"/>
  <c r="P78" i="3"/>
  <c r="P79" i="3" a="1"/>
  <c r="P79" i="3"/>
  <c r="P80" i="3" a="1"/>
  <c r="P80" i="3"/>
  <c r="P81" i="3" a="1"/>
  <c r="P81" i="3"/>
  <c r="P82" i="3" a="1"/>
  <c r="P82" i="3"/>
  <c r="P83" i="3" a="1"/>
  <c r="P83" i="3"/>
  <c r="P84" i="3" a="1"/>
  <c r="P84" i="3"/>
  <c r="P85" i="3" a="1"/>
  <c r="P85" i="3"/>
  <c r="P86" i="3" a="1"/>
  <c r="P86" i="3"/>
  <c r="P87" i="3" a="1"/>
  <c r="P87" i="3"/>
  <c r="P88" i="3" a="1"/>
  <c r="P88" i="3"/>
  <c r="P89" i="3" a="1"/>
  <c r="P89" i="3"/>
  <c r="P90" i="3" a="1"/>
  <c r="P90" i="3"/>
  <c r="P91" i="3" a="1"/>
  <c r="P91" i="3"/>
  <c r="P92" i="3" a="1"/>
  <c r="P92" i="3"/>
  <c r="P93" i="3" a="1"/>
  <c r="P93" i="3"/>
  <c r="P94" i="3" a="1"/>
  <c r="P94" i="3"/>
  <c r="P95" i="3" a="1"/>
  <c r="P95" i="3"/>
  <c r="P96" i="3" a="1"/>
  <c r="P96" i="3"/>
  <c r="P97" i="3" a="1"/>
  <c r="P97" i="3"/>
  <c r="P98" i="3" a="1"/>
  <c r="P98" i="3"/>
  <c r="P99" i="3" a="1"/>
  <c r="P99" i="3"/>
  <c r="P100" i="3" a="1"/>
  <c r="P100" i="3"/>
  <c r="P101" i="3" a="1"/>
  <c r="P101" i="3"/>
  <c r="P102" i="3" a="1"/>
  <c r="P102" i="3"/>
  <c r="P103" i="3" a="1"/>
  <c r="P103" i="3"/>
  <c r="P104" i="3" a="1"/>
  <c r="P104" i="3"/>
  <c r="P105" i="3" a="1"/>
  <c r="P105" i="3"/>
  <c r="P106" i="3" a="1"/>
  <c r="P106" i="3"/>
  <c r="P107" i="3" a="1"/>
  <c r="P107" i="3"/>
  <c r="P108" i="3" a="1"/>
  <c r="P108" i="3"/>
  <c r="P109" i="3" a="1"/>
  <c r="P109" i="3"/>
  <c r="P110" i="3" a="1"/>
  <c r="P110" i="3"/>
  <c r="P111" i="3" a="1"/>
  <c r="P111" i="3"/>
  <c r="P112" i="3" a="1"/>
  <c r="P112" i="3"/>
  <c r="P113" i="3" a="1"/>
  <c r="P113" i="3"/>
  <c r="P114" i="3" a="1"/>
  <c r="P114" i="3"/>
  <c r="P115" i="3" a="1"/>
  <c r="P115" i="3"/>
  <c r="P116" i="3" a="1"/>
  <c r="P116" i="3"/>
  <c r="P117" i="3" a="1"/>
  <c r="P117" i="3"/>
  <c r="P118" i="3" a="1"/>
  <c r="P118" i="3"/>
  <c r="P119" i="3" a="1"/>
  <c r="P119" i="3"/>
  <c r="P120" i="3" a="1"/>
  <c r="P120" i="3"/>
  <c r="P121" i="3" a="1"/>
  <c r="P121" i="3"/>
  <c r="P122" i="3" a="1"/>
  <c r="P122" i="3"/>
  <c r="P123" i="3" a="1"/>
  <c r="P123" i="3"/>
  <c r="P124" i="3" a="1"/>
  <c r="P124" i="3"/>
  <c r="P125" i="3" a="1"/>
  <c r="P125" i="3"/>
  <c r="P126" i="3" a="1"/>
  <c r="P126" i="3"/>
  <c r="P127" i="3" a="1"/>
  <c r="P127" i="3"/>
  <c r="P128" i="3" a="1"/>
  <c r="P128" i="3"/>
  <c r="P129" i="3" a="1"/>
  <c r="P129" i="3"/>
  <c r="P130" i="3" a="1"/>
  <c r="P130" i="3"/>
  <c r="P131" i="3" a="1"/>
  <c r="P131" i="3"/>
  <c r="P132" i="3" a="1"/>
  <c r="P132" i="3"/>
  <c r="P133" i="3" a="1"/>
  <c r="P133" i="3"/>
  <c r="P134" i="3" a="1"/>
  <c r="P134" i="3"/>
  <c r="P135" i="3" a="1"/>
  <c r="P135" i="3"/>
  <c r="P136" i="3" a="1"/>
  <c r="P136" i="3"/>
  <c r="P137" i="3" a="1"/>
  <c r="P137" i="3"/>
  <c r="P138" i="3" a="1"/>
  <c r="P138" i="3"/>
  <c r="P139" i="3" a="1"/>
  <c r="P139" i="3"/>
  <c r="P140" i="3" a="1"/>
  <c r="P140" i="3"/>
  <c r="P141" i="3" a="1"/>
  <c r="P141" i="3"/>
  <c r="P142" i="3" a="1"/>
  <c r="P142" i="3"/>
  <c r="P143" i="3" a="1"/>
  <c r="P143" i="3"/>
  <c r="P144" i="3" a="1"/>
  <c r="P144" i="3"/>
  <c r="P145" i="3" a="1"/>
  <c r="P145" i="3"/>
  <c r="P146" i="3" a="1"/>
  <c r="P146" i="3"/>
  <c r="P147" i="3" a="1"/>
  <c r="P147" i="3"/>
  <c r="P148" i="3" a="1"/>
  <c r="P148" i="3"/>
  <c r="P149" i="3" a="1"/>
  <c r="P149" i="3"/>
  <c r="P150" i="3" a="1"/>
  <c r="P150" i="3"/>
  <c r="P151" i="3" a="1"/>
  <c r="P151" i="3"/>
  <c r="P152" i="3" a="1"/>
  <c r="P152" i="3"/>
  <c r="P153" i="3" a="1"/>
  <c r="P153" i="3"/>
  <c r="P154" i="3" a="1"/>
  <c r="P154" i="3"/>
  <c r="P155" i="3" a="1"/>
  <c r="P155" i="3"/>
  <c r="P156" i="3" a="1"/>
  <c r="P156" i="3"/>
  <c r="P157" i="3" a="1"/>
  <c r="P157" i="3"/>
  <c r="P158" i="3" a="1"/>
  <c r="P158" i="3"/>
  <c r="P159" i="3" a="1"/>
  <c r="P159" i="3"/>
  <c r="P160" i="3" a="1"/>
  <c r="P160" i="3"/>
  <c r="P161" i="3" a="1"/>
  <c r="P161" i="3"/>
  <c r="P162" i="3" a="1"/>
  <c r="P162" i="3"/>
  <c r="P163" i="3" a="1"/>
  <c r="P163" i="3"/>
  <c r="P164" i="3" a="1"/>
  <c r="P164" i="3"/>
  <c r="P165" i="3" a="1"/>
  <c r="P165" i="3"/>
  <c r="P166" i="3" a="1"/>
  <c r="P166" i="3"/>
  <c r="P167" i="3" a="1"/>
  <c r="P167" i="3"/>
  <c r="P168" i="3" a="1"/>
  <c r="P168" i="3"/>
  <c r="P169" i="3" a="1"/>
  <c r="P169" i="3"/>
  <c r="P170" i="3" a="1"/>
  <c r="P170" i="3"/>
  <c r="P171" i="3" a="1"/>
  <c r="P171" i="3"/>
  <c r="P172" i="3" a="1"/>
  <c r="P172" i="3"/>
  <c r="P173" i="3" a="1"/>
  <c r="P173" i="3"/>
  <c r="P174" i="3" a="1"/>
  <c r="P174" i="3"/>
  <c r="P175" i="3" a="1"/>
  <c r="P175" i="3"/>
  <c r="P176" i="3" a="1"/>
  <c r="P176" i="3"/>
  <c r="P177" i="3" a="1"/>
  <c r="P177" i="3"/>
  <c r="P178" i="3" a="1"/>
  <c r="P178" i="3"/>
  <c r="P179" i="3" a="1"/>
  <c r="P179" i="3"/>
  <c r="P180" i="3" a="1"/>
  <c r="P180" i="3"/>
  <c r="P181" i="3" a="1"/>
  <c r="P181" i="3"/>
  <c r="P182" i="3" a="1"/>
  <c r="P182" i="3"/>
  <c r="P183" i="3" a="1"/>
  <c r="P183" i="3"/>
  <c r="P184" i="3" a="1"/>
  <c r="P184" i="3"/>
  <c r="P185" i="3" a="1"/>
  <c r="P185" i="3"/>
  <c r="P186" i="3" a="1"/>
  <c r="P186" i="3"/>
  <c r="P187" i="3" a="1"/>
  <c r="P187" i="3"/>
  <c r="P188" i="3" a="1"/>
  <c r="P188" i="3"/>
  <c r="P189" i="3" a="1"/>
  <c r="P189" i="3"/>
  <c r="P190" i="3" a="1"/>
  <c r="P190" i="3"/>
  <c r="P191" i="3" a="1"/>
  <c r="P191" i="3"/>
  <c r="P192" i="3" a="1"/>
  <c r="P192" i="3"/>
  <c r="P193" i="3" a="1"/>
  <c r="P193" i="3"/>
  <c r="P194" i="3" a="1"/>
  <c r="P194" i="3"/>
  <c r="P195" i="3" a="1"/>
  <c r="P195" i="3"/>
  <c r="P196" i="3" a="1"/>
  <c r="P196" i="3"/>
  <c r="P197" i="3" a="1"/>
  <c r="P197" i="3"/>
  <c r="P198" i="3" a="1"/>
  <c r="P198" i="3"/>
  <c r="P199" i="3" a="1"/>
  <c r="P199" i="3"/>
  <c r="P200" i="3" a="1"/>
  <c r="P200" i="3"/>
  <c r="P201" i="3" a="1"/>
  <c r="P201" i="3"/>
  <c r="P202" i="3" a="1"/>
  <c r="P202" i="3"/>
  <c r="P203" i="3" a="1"/>
  <c r="P203" i="3"/>
  <c r="P204" i="3" a="1"/>
  <c r="P204" i="3"/>
  <c r="P205" i="3" a="1"/>
  <c r="P205" i="3"/>
  <c r="P206" i="3" a="1"/>
  <c r="P206" i="3"/>
  <c r="P207" i="3" a="1"/>
  <c r="P207" i="3"/>
  <c r="P208" i="3" a="1"/>
  <c r="P208" i="3"/>
  <c r="P209" i="3" a="1"/>
  <c r="P209" i="3"/>
  <c r="P210" i="3" a="1"/>
  <c r="P210" i="3"/>
  <c r="P211" i="3" a="1"/>
  <c r="P211" i="3"/>
  <c r="P212" i="3" a="1"/>
  <c r="P212" i="3"/>
  <c r="P213" i="3" a="1"/>
  <c r="P213" i="3"/>
  <c r="P214" i="3" a="1"/>
  <c r="P214" i="3"/>
  <c r="P215" i="3" a="1"/>
  <c r="P215" i="3"/>
  <c r="P216" i="3" a="1"/>
  <c r="P216" i="3"/>
  <c r="P217" i="3" a="1"/>
  <c r="P217" i="3"/>
  <c r="P218" i="3" a="1"/>
  <c r="P218" i="3"/>
  <c r="P219" i="3" a="1"/>
  <c r="P219" i="3"/>
  <c r="P220" i="3" a="1"/>
  <c r="P220" i="3"/>
  <c r="P221" i="3" a="1"/>
  <c r="P221" i="3"/>
  <c r="P222" i="3" a="1"/>
  <c r="P222" i="3"/>
  <c r="P223" i="3" a="1"/>
  <c r="P223" i="3"/>
  <c r="P224" i="3" a="1"/>
  <c r="P224" i="3"/>
  <c r="P225" i="3" a="1"/>
  <c r="P225" i="3"/>
  <c r="P226" i="3" a="1"/>
  <c r="P226" i="3"/>
  <c r="P227" i="3" a="1"/>
  <c r="P227" i="3"/>
  <c r="P228" i="3" a="1"/>
  <c r="P228" i="3"/>
  <c r="P229" i="3" a="1"/>
  <c r="P229" i="3"/>
  <c r="P230" i="3" a="1"/>
  <c r="P230" i="3"/>
  <c r="P231" i="3" a="1"/>
  <c r="P231" i="3"/>
  <c r="P232" i="3" a="1"/>
  <c r="P232" i="3"/>
  <c r="P233" i="3" a="1"/>
  <c r="P233" i="3"/>
  <c r="P234" i="3" a="1"/>
  <c r="P234" i="3"/>
  <c r="P235" i="3" a="1"/>
  <c r="P235" i="3"/>
  <c r="P236" i="3" a="1"/>
  <c r="P236" i="3"/>
  <c r="P237" i="3" a="1"/>
  <c r="P237" i="3"/>
  <c r="P238" i="3" a="1"/>
  <c r="P238" i="3"/>
  <c r="P239" i="3" a="1"/>
  <c r="P239" i="3"/>
  <c r="P240" i="3" a="1"/>
  <c r="P240" i="3"/>
  <c r="P241" i="3" a="1"/>
  <c r="P241" i="3"/>
  <c r="P242" i="3" a="1"/>
  <c r="P242" i="3"/>
  <c r="P243" i="3" a="1"/>
  <c r="P243" i="3"/>
  <c r="P244" i="3" a="1"/>
  <c r="P244" i="3"/>
  <c r="P245" i="3" a="1"/>
  <c r="P245" i="3"/>
  <c r="P246" i="3" a="1"/>
  <c r="P246" i="3"/>
  <c r="P247" i="3" a="1"/>
  <c r="P247" i="3"/>
  <c r="P248" i="3" a="1"/>
  <c r="P248" i="3"/>
  <c r="P249" i="3" a="1"/>
  <c r="P249" i="3"/>
  <c r="P250" i="3" a="1"/>
  <c r="P250" i="3"/>
  <c r="P251" i="3" a="1"/>
  <c r="P251" i="3"/>
  <c r="P252" i="3" a="1"/>
  <c r="P252" i="3"/>
  <c r="P253" i="3" a="1"/>
  <c r="P253" i="3"/>
  <c r="P254" i="3" a="1"/>
  <c r="P254" i="3"/>
  <c r="P255" i="3" a="1"/>
  <c r="P255" i="3"/>
  <c r="P256" i="3" a="1"/>
  <c r="P256" i="3"/>
  <c r="P257" i="3" a="1"/>
  <c r="P257" i="3"/>
  <c r="P258" i="3" a="1"/>
  <c r="P258" i="3"/>
  <c r="P259" i="3" a="1"/>
  <c r="P259" i="3"/>
  <c r="P260" i="3" a="1"/>
  <c r="P260" i="3"/>
  <c r="P261" i="3" a="1"/>
  <c r="P261" i="3"/>
  <c r="P262" i="3" a="1"/>
  <c r="P262" i="3"/>
  <c r="P263" i="3" a="1"/>
  <c r="P263" i="3"/>
  <c r="P264" i="3" a="1"/>
  <c r="P264" i="3"/>
  <c r="P265" i="3" a="1"/>
  <c r="P265" i="3"/>
  <c r="P266" i="3" a="1"/>
  <c r="P266" i="3"/>
  <c r="P267" i="3" a="1"/>
  <c r="P267" i="3"/>
  <c r="P268" i="3" a="1"/>
  <c r="P268" i="3"/>
  <c r="P269" i="3" a="1"/>
  <c r="P269" i="3"/>
  <c r="P270" i="3" a="1"/>
  <c r="P270" i="3"/>
  <c r="P271" i="3" a="1"/>
  <c r="P271" i="3"/>
  <c r="P272" i="3" a="1"/>
  <c r="P272" i="3"/>
  <c r="P273" i="3" a="1"/>
  <c r="P273" i="3"/>
  <c r="P274" i="3" a="1"/>
  <c r="P274" i="3"/>
  <c r="P275" i="3" a="1"/>
  <c r="P275" i="3"/>
  <c r="P276" i="3" a="1"/>
  <c r="P276" i="3"/>
  <c r="P277" i="3" a="1"/>
  <c r="P277" i="3"/>
  <c r="P278" i="3" a="1"/>
  <c r="P278" i="3"/>
  <c r="P279" i="3" a="1"/>
  <c r="P279" i="3"/>
  <c r="P280" i="3" a="1"/>
  <c r="P280" i="3"/>
  <c r="P281" i="3" a="1"/>
  <c r="P281" i="3"/>
  <c r="P282" i="3" a="1"/>
  <c r="P282" i="3"/>
  <c r="P283" i="3" a="1"/>
  <c r="P283" i="3"/>
  <c r="P284" i="3" a="1"/>
  <c r="P284" i="3"/>
  <c r="P285" i="3" a="1"/>
  <c r="P285" i="3"/>
  <c r="P286" i="3" a="1"/>
  <c r="P286" i="3"/>
  <c r="P287" i="3" a="1"/>
  <c r="P287" i="3"/>
  <c r="P288" i="3" a="1"/>
  <c r="P288" i="3"/>
  <c r="P289" i="3" a="1"/>
  <c r="P289" i="3"/>
  <c r="P290" i="3" a="1"/>
  <c r="P290" i="3"/>
  <c r="P291" i="3" a="1"/>
  <c r="P291" i="3"/>
  <c r="P292" i="3" a="1"/>
  <c r="P292" i="3"/>
  <c r="P293" i="3" a="1"/>
  <c r="P293" i="3"/>
  <c r="P294" i="3" a="1"/>
  <c r="P294" i="3"/>
  <c r="P295" i="3" a="1"/>
  <c r="P295" i="3"/>
  <c r="P296" i="3" a="1"/>
  <c r="P296" i="3"/>
  <c r="P297" i="3" a="1"/>
  <c r="P297" i="3"/>
  <c r="P298" i="3" a="1"/>
  <c r="P298" i="3"/>
  <c r="P299" i="3" a="1"/>
  <c r="P299" i="3"/>
  <c r="P300" i="3" a="1"/>
  <c r="P300" i="3"/>
  <c r="P301" i="3" a="1"/>
  <c r="P301" i="3"/>
  <c r="P302" i="3" a="1"/>
  <c r="P302" i="3"/>
  <c r="P303" i="3" a="1"/>
  <c r="P303" i="3"/>
  <c r="P304" i="3" a="1"/>
  <c r="P304" i="3"/>
  <c r="P305" i="3" a="1"/>
  <c r="P305" i="3"/>
  <c r="P306" i="3" a="1"/>
  <c r="P306" i="3"/>
  <c r="P307" i="3" a="1"/>
  <c r="P307" i="3"/>
  <c r="P308" i="3" a="1"/>
  <c r="P308" i="3"/>
  <c r="P309" i="3" a="1"/>
  <c r="P309" i="3"/>
  <c r="P310" i="3" a="1"/>
  <c r="P310" i="3"/>
  <c r="P311" i="3" a="1"/>
  <c r="P311" i="3"/>
  <c r="P312" i="3" a="1"/>
  <c r="P312" i="3"/>
  <c r="P313" i="3" a="1"/>
  <c r="P313" i="3"/>
  <c r="P314" i="3" a="1"/>
  <c r="P314" i="3"/>
  <c r="P315" i="3" a="1"/>
  <c r="P315" i="3"/>
  <c r="P316" i="3" a="1"/>
  <c r="P316" i="3"/>
  <c r="P317" i="3" a="1"/>
  <c r="P317" i="3"/>
  <c r="P318" i="3" a="1"/>
  <c r="P318" i="3"/>
  <c r="P319" i="3" a="1"/>
  <c r="P319" i="3"/>
  <c r="P320" i="3" a="1"/>
  <c r="P320" i="3"/>
  <c r="P321" i="3" a="1"/>
  <c r="P321" i="3"/>
  <c r="P322" i="3" a="1"/>
  <c r="P322" i="3"/>
  <c r="P323" i="3" a="1"/>
  <c r="P323" i="3"/>
  <c r="P324" i="3" a="1"/>
  <c r="P324" i="3"/>
  <c r="P325" i="3" a="1"/>
  <c r="P325" i="3"/>
  <c r="P326" i="3" a="1"/>
  <c r="P326" i="3"/>
  <c r="P327" i="3" a="1"/>
  <c r="P327" i="3"/>
  <c r="P328" i="3" a="1"/>
  <c r="P328" i="3"/>
  <c r="P329" i="3" a="1"/>
  <c r="P329" i="3"/>
  <c r="P330" i="3" a="1"/>
  <c r="P330" i="3"/>
  <c r="P331" i="3" a="1"/>
  <c r="P331" i="3"/>
  <c r="P332" i="3" a="1"/>
  <c r="P332" i="3"/>
  <c r="P333" i="3" a="1"/>
  <c r="P333" i="3"/>
  <c r="P334" i="3" a="1"/>
  <c r="P334" i="3"/>
  <c r="P335" i="3" a="1"/>
  <c r="P335" i="3"/>
  <c r="P336" i="3" a="1"/>
  <c r="P336" i="3"/>
  <c r="P337" i="3" a="1"/>
  <c r="P337" i="3"/>
  <c r="P338" i="3" a="1"/>
  <c r="P338" i="3"/>
  <c r="P339" i="3" a="1"/>
  <c r="P339" i="3"/>
  <c r="P340" i="3" a="1"/>
  <c r="P340" i="3"/>
  <c r="P341" i="3" a="1"/>
  <c r="P341" i="3"/>
  <c r="P342" i="3" a="1"/>
  <c r="P342" i="3"/>
  <c r="P343" i="3" a="1"/>
  <c r="P343" i="3"/>
  <c r="P344" i="3" a="1"/>
  <c r="P344" i="3"/>
  <c r="P345" i="3" a="1"/>
  <c r="P345" i="3"/>
  <c r="P346" i="3" a="1"/>
  <c r="P346" i="3"/>
  <c r="P347" i="3" a="1"/>
  <c r="P347" i="3"/>
  <c r="P348" i="3" a="1"/>
  <c r="P348" i="3"/>
  <c r="P349" i="3" a="1"/>
  <c r="P349" i="3"/>
  <c r="P350" i="3" a="1"/>
  <c r="P350" i="3"/>
  <c r="P351" i="3" a="1"/>
  <c r="P351" i="3"/>
  <c r="P352" i="3" a="1"/>
  <c r="P352" i="3"/>
  <c r="P353" i="3" a="1"/>
  <c r="P353" i="3"/>
  <c r="P354" i="3" a="1"/>
  <c r="P354" i="3"/>
  <c r="P355" i="3" a="1"/>
  <c r="P355" i="3"/>
  <c r="P356" i="3" a="1"/>
  <c r="P356" i="3"/>
  <c r="P357" i="3" a="1"/>
  <c r="P357" i="3"/>
  <c r="P358" i="3" a="1"/>
  <c r="P358" i="3"/>
  <c r="P359" i="3" a="1"/>
  <c r="P359" i="3"/>
  <c r="P360" i="3" a="1"/>
  <c r="P360" i="3"/>
  <c r="P361" i="3" a="1"/>
  <c r="P361" i="3"/>
  <c r="P362" i="3" a="1"/>
  <c r="P362" i="3"/>
  <c r="P363" i="3" a="1"/>
  <c r="P363" i="3"/>
  <c r="P364" i="3" a="1"/>
  <c r="P364" i="3"/>
  <c r="P365" i="3" a="1"/>
  <c r="P365" i="3"/>
  <c r="P366" i="3" a="1"/>
  <c r="P366" i="3"/>
  <c r="P367" i="3" a="1"/>
  <c r="P367" i="3"/>
  <c r="P368" i="3" a="1"/>
  <c r="P368" i="3"/>
  <c r="P369" i="3" a="1"/>
  <c r="P369" i="3"/>
  <c r="P370" i="3" a="1"/>
  <c r="P370" i="3"/>
  <c r="P371" i="3" a="1"/>
  <c r="P371" i="3"/>
  <c r="P372" i="3" a="1"/>
  <c r="P372" i="3"/>
  <c r="P373" i="3" a="1"/>
  <c r="P373" i="3"/>
  <c r="P374" i="3" a="1"/>
  <c r="P374" i="3"/>
  <c r="P375" i="3" a="1"/>
  <c r="P375" i="3"/>
  <c r="P376" i="3" a="1"/>
  <c r="P376" i="3"/>
  <c r="P377" i="3" a="1"/>
  <c r="P377" i="3"/>
  <c r="P378" i="3" a="1"/>
  <c r="P378" i="3"/>
  <c r="P379" i="3" a="1"/>
  <c r="P379" i="3"/>
  <c r="P380" i="3" a="1"/>
  <c r="P380" i="3"/>
  <c r="P381" i="3" a="1"/>
  <c r="P381" i="3"/>
  <c r="P382" i="3" a="1"/>
  <c r="P382" i="3"/>
  <c r="P383" i="3" a="1"/>
  <c r="P383" i="3"/>
  <c r="P384" i="3" a="1"/>
  <c r="P384" i="3"/>
  <c r="P385" i="3" a="1"/>
  <c r="P385" i="3"/>
  <c r="P386" i="3" a="1"/>
  <c r="P386" i="3"/>
  <c r="P387" i="3" a="1"/>
  <c r="P387" i="3"/>
  <c r="P388" i="3" a="1"/>
  <c r="P388" i="3"/>
  <c r="P389" i="3" a="1"/>
  <c r="P389" i="3"/>
  <c r="P390" i="3" a="1"/>
  <c r="P390" i="3"/>
  <c r="P391" i="3" a="1"/>
  <c r="P391" i="3"/>
  <c r="P392" i="3" a="1"/>
  <c r="P392" i="3"/>
  <c r="P393" i="3" a="1"/>
  <c r="P393" i="3"/>
  <c r="P394" i="3" a="1"/>
  <c r="P394" i="3"/>
  <c r="P395" i="3" a="1"/>
  <c r="P395" i="3"/>
  <c r="P396" i="3" a="1"/>
  <c r="P396" i="3"/>
  <c r="P397" i="3" a="1"/>
  <c r="P397" i="3"/>
  <c r="P398" i="3" a="1"/>
  <c r="P398" i="3"/>
  <c r="P399" i="3" a="1"/>
  <c r="P399" i="3"/>
  <c r="P400" i="3" a="1"/>
  <c r="P400" i="3"/>
  <c r="P401" i="3" a="1"/>
  <c r="P401" i="3"/>
  <c r="P402" i="3" a="1"/>
  <c r="P402" i="3"/>
  <c r="P403" i="3" a="1"/>
  <c r="P403" i="3"/>
  <c r="P404" i="3" a="1"/>
  <c r="P404" i="3"/>
  <c r="P405" i="3" a="1"/>
  <c r="P405" i="3"/>
  <c r="P406" i="3" a="1"/>
  <c r="P406" i="3"/>
  <c r="P407" i="3" a="1"/>
  <c r="P407" i="3"/>
  <c r="P408" i="3" a="1"/>
  <c r="P408" i="3"/>
  <c r="P409" i="3" a="1"/>
  <c r="P409" i="3"/>
  <c r="P410" i="3" a="1"/>
  <c r="P410" i="3"/>
  <c r="P411" i="3" a="1"/>
  <c r="P411" i="3"/>
  <c r="P412" i="3" a="1"/>
  <c r="P412" i="3"/>
  <c r="P413" i="3" a="1"/>
  <c r="P413" i="3"/>
  <c r="P414" i="3" a="1"/>
  <c r="P414" i="3"/>
  <c r="P415" i="3" a="1"/>
  <c r="P415" i="3"/>
  <c r="P416" i="3" a="1"/>
  <c r="P416" i="3"/>
  <c r="P417" i="3" a="1"/>
  <c r="P417" i="3"/>
  <c r="P418" i="3" a="1"/>
  <c r="P418" i="3"/>
  <c r="P419" i="3" a="1"/>
  <c r="P419" i="3"/>
  <c r="P420" i="3" a="1"/>
  <c r="P420" i="3"/>
  <c r="P421" i="3" a="1"/>
  <c r="P421" i="3"/>
  <c r="P422" i="3" a="1"/>
  <c r="P422" i="3"/>
  <c r="P423" i="3" a="1"/>
  <c r="P423" i="3"/>
  <c r="P424" i="3" a="1"/>
  <c r="P424" i="3"/>
  <c r="P425" i="3" a="1"/>
  <c r="P425" i="3"/>
  <c r="P426" i="3" a="1"/>
  <c r="P426" i="3"/>
  <c r="P427" i="3" a="1"/>
  <c r="P427" i="3"/>
  <c r="P428" i="3" a="1"/>
  <c r="P428" i="3"/>
  <c r="P429" i="3" a="1"/>
  <c r="P429" i="3"/>
  <c r="P430" i="3" a="1"/>
  <c r="P430" i="3"/>
  <c r="P431" i="3" a="1"/>
  <c r="P431" i="3"/>
  <c r="P432" i="3" a="1"/>
  <c r="P432" i="3"/>
  <c r="P433" i="3" a="1"/>
  <c r="P433" i="3"/>
  <c r="P434" i="3" a="1"/>
  <c r="P434" i="3"/>
  <c r="P435" i="3" a="1"/>
  <c r="P435" i="3"/>
  <c r="P436" i="3" a="1"/>
  <c r="P436" i="3"/>
  <c r="P437" i="3" a="1"/>
  <c r="P437" i="3"/>
  <c r="P438" i="3" a="1"/>
  <c r="P438" i="3"/>
  <c r="P439" i="3" a="1"/>
  <c r="P439" i="3"/>
  <c r="P440" i="3" a="1"/>
  <c r="P440" i="3"/>
  <c r="P441" i="3" a="1"/>
  <c r="P441" i="3"/>
  <c r="P442" i="3" a="1"/>
  <c r="P442" i="3"/>
  <c r="P443" i="3" a="1"/>
  <c r="P443" i="3"/>
  <c r="P444" i="3" a="1"/>
  <c r="P444" i="3"/>
  <c r="P445" i="3" a="1"/>
  <c r="P445" i="3"/>
  <c r="P446" i="3" a="1"/>
  <c r="P446" i="3"/>
  <c r="P447" i="3" a="1"/>
  <c r="P447" i="3"/>
  <c r="P448" i="3" a="1"/>
  <c r="P448" i="3"/>
  <c r="P449" i="3" a="1"/>
  <c r="P449" i="3"/>
  <c r="P450" i="3" a="1"/>
  <c r="P450" i="3"/>
  <c r="P451" i="3" a="1"/>
  <c r="P451" i="3"/>
  <c r="P452" i="3" a="1"/>
  <c r="P452" i="3"/>
  <c r="P453" i="3" a="1"/>
  <c r="P453" i="3"/>
  <c r="P454" i="3" a="1"/>
  <c r="P454" i="3"/>
  <c r="P455" i="3" a="1"/>
  <c r="P455" i="3"/>
  <c r="P456" i="3" a="1"/>
  <c r="P456" i="3"/>
  <c r="P457" i="3" a="1"/>
  <c r="P457" i="3"/>
  <c r="P458" i="3" a="1"/>
  <c r="P458" i="3"/>
  <c r="P459" i="3" a="1"/>
  <c r="P459" i="3"/>
  <c r="P460" i="3" a="1"/>
  <c r="P460" i="3"/>
  <c r="P461" i="3" a="1"/>
  <c r="P461" i="3"/>
  <c r="P462" i="3" a="1"/>
  <c r="P462" i="3"/>
  <c r="P463" i="3" a="1"/>
  <c r="P463" i="3"/>
  <c r="P464" i="3" a="1"/>
  <c r="P464" i="3"/>
  <c r="P465" i="3" a="1"/>
  <c r="P465" i="3"/>
  <c r="P466" i="3" a="1"/>
  <c r="P466" i="3"/>
  <c r="P467" i="3" a="1"/>
  <c r="P467" i="3"/>
  <c r="P468" i="3" a="1"/>
  <c r="P468" i="3"/>
  <c r="P469" i="3" a="1"/>
  <c r="P469" i="3"/>
  <c r="P470" i="3" a="1"/>
  <c r="P470" i="3"/>
  <c r="P471" i="3" a="1"/>
  <c r="P471" i="3"/>
  <c r="P472" i="3" a="1"/>
  <c r="P472" i="3"/>
  <c r="P473" i="3" a="1"/>
  <c r="P473" i="3"/>
  <c r="P474" i="3" a="1"/>
  <c r="P474" i="3"/>
  <c r="P475" i="3" a="1"/>
  <c r="P475" i="3"/>
  <c r="P476" i="3" a="1"/>
  <c r="P476" i="3"/>
  <c r="P477" i="3" a="1"/>
  <c r="P477" i="3"/>
  <c r="P478" i="3" a="1"/>
  <c r="P478" i="3"/>
  <c r="P479" i="3" a="1"/>
  <c r="P479" i="3"/>
  <c r="P480" i="3" a="1"/>
  <c r="P480" i="3"/>
  <c r="P481" i="3" a="1"/>
  <c r="P481" i="3"/>
  <c r="P482" i="3" a="1"/>
  <c r="P482" i="3"/>
  <c r="P483" i="3" a="1"/>
  <c r="P483" i="3"/>
  <c r="P484" i="3" a="1"/>
  <c r="P484" i="3"/>
  <c r="P485" i="3" a="1"/>
  <c r="P485" i="3"/>
  <c r="P486" i="3" a="1"/>
  <c r="P486" i="3"/>
  <c r="P487" i="3" a="1"/>
  <c r="P487" i="3"/>
  <c r="P488" i="3" a="1"/>
  <c r="P488" i="3"/>
  <c r="P489" i="3" a="1"/>
  <c r="P489" i="3"/>
  <c r="P490" i="3" a="1"/>
  <c r="P490" i="3"/>
  <c r="P491" i="3" a="1"/>
  <c r="P491" i="3"/>
  <c r="P492" i="3" a="1"/>
  <c r="P492" i="3"/>
  <c r="P493" i="3" a="1"/>
  <c r="P493" i="3"/>
  <c r="P494" i="3" a="1"/>
  <c r="P494" i="3"/>
  <c r="P495" i="3" a="1"/>
  <c r="P495" i="3"/>
  <c r="P496" i="3" a="1"/>
  <c r="P496" i="3"/>
  <c r="P497" i="3" a="1"/>
  <c r="P497" i="3"/>
  <c r="P498" i="3" a="1"/>
  <c r="P498" i="3"/>
  <c r="P499" i="3" a="1"/>
  <c r="P499" i="3"/>
  <c r="P500" i="3" a="1"/>
  <c r="P500" i="3"/>
  <c r="P501" i="3" a="1"/>
  <c r="P501" i="3"/>
  <c r="P502" i="3" a="1"/>
  <c r="P502" i="3"/>
  <c r="P503" i="3" a="1"/>
  <c r="P503" i="3"/>
  <c r="P504" i="3" a="1"/>
  <c r="P504" i="3"/>
  <c r="P505" i="3" a="1"/>
  <c r="P505" i="3"/>
  <c r="P506" i="3" a="1"/>
  <c r="P506" i="3"/>
  <c r="P507" i="3" a="1"/>
  <c r="P507" i="3"/>
  <c r="P508" i="3" a="1"/>
  <c r="P508" i="3"/>
  <c r="P509" i="3" a="1"/>
  <c r="P509" i="3"/>
  <c r="P510" i="3" a="1"/>
  <c r="P510" i="3"/>
  <c r="P511" i="3" a="1"/>
  <c r="P511" i="3"/>
  <c r="P512" i="3" a="1"/>
  <c r="P512" i="3"/>
  <c r="P513" i="3" a="1"/>
  <c r="P513" i="3"/>
  <c r="P514" i="3" a="1"/>
  <c r="P514" i="3"/>
  <c r="P515" i="3" a="1"/>
  <c r="P515" i="3"/>
  <c r="P516" i="3" a="1"/>
  <c r="P516" i="3"/>
  <c r="P517" i="3" a="1"/>
  <c r="P517" i="3"/>
  <c r="P518" i="3" a="1"/>
  <c r="P518" i="3"/>
  <c r="P519" i="3" a="1"/>
  <c r="P519" i="3"/>
  <c r="P520" i="3" a="1"/>
  <c r="P520" i="3"/>
  <c r="P521" i="3" a="1"/>
  <c r="P521" i="3"/>
  <c r="P522" i="3" a="1"/>
  <c r="P522" i="3"/>
  <c r="P523" i="3" a="1"/>
  <c r="P523" i="3"/>
  <c r="P524" i="3" a="1"/>
  <c r="P524" i="3"/>
  <c r="P525" i="3" a="1"/>
  <c r="P525" i="3"/>
  <c r="P526" i="3" a="1"/>
  <c r="P526" i="3"/>
  <c r="P527" i="3" a="1"/>
  <c r="P527" i="3"/>
  <c r="P528" i="3" a="1"/>
  <c r="P528" i="3"/>
  <c r="P529" i="3" a="1"/>
  <c r="P529" i="3"/>
  <c r="P530" i="3" a="1"/>
  <c r="P530" i="3"/>
  <c r="P531" i="3" a="1"/>
  <c r="P531" i="3"/>
  <c r="P532" i="3" a="1"/>
  <c r="P532" i="3"/>
  <c r="P533" i="3" a="1"/>
  <c r="P533" i="3"/>
  <c r="P534" i="3" a="1"/>
  <c r="P534" i="3"/>
  <c r="P535" i="3" a="1"/>
  <c r="P535" i="3"/>
  <c r="P536" i="3" a="1"/>
  <c r="P536" i="3"/>
  <c r="P537" i="3" a="1"/>
  <c r="P537" i="3"/>
  <c r="P538" i="3" a="1"/>
  <c r="P538" i="3"/>
  <c r="P539" i="3" a="1"/>
  <c r="P539" i="3"/>
  <c r="P540" i="3" a="1"/>
  <c r="P540" i="3"/>
  <c r="P541" i="3" a="1"/>
  <c r="P541" i="3"/>
  <c r="P542" i="3" a="1"/>
  <c r="P542" i="3"/>
  <c r="P543" i="3" a="1"/>
  <c r="P543" i="3"/>
  <c r="P544" i="3" a="1"/>
  <c r="P544" i="3"/>
  <c r="P545" i="3" a="1"/>
  <c r="P545" i="3"/>
  <c r="P546" i="3" a="1"/>
  <c r="P546" i="3"/>
  <c r="P547" i="3" a="1"/>
  <c r="P547" i="3"/>
  <c r="P548" i="3" a="1"/>
  <c r="P548" i="3"/>
  <c r="P549" i="3" a="1"/>
  <c r="P549" i="3"/>
  <c r="P550" i="3" a="1"/>
  <c r="P550" i="3"/>
  <c r="P551" i="3" a="1"/>
  <c r="P551" i="3"/>
  <c r="P552" i="3" a="1"/>
  <c r="P552" i="3"/>
  <c r="P553" i="3" a="1"/>
  <c r="P553" i="3"/>
  <c r="P554" i="3" a="1"/>
  <c r="P554" i="3"/>
  <c r="P555" i="3" a="1"/>
  <c r="P555" i="3"/>
  <c r="P556" i="3" a="1"/>
  <c r="P556" i="3"/>
  <c r="P557" i="3" a="1"/>
  <c r="P557" i="3"/>
  <c r="P558" i="3" a="1"/>
  <c r="P558" i="3"/>
  <c r="P559" i="3" a="1"/>
  <c r="P559" i="3"/>
  <c r="P560" i="3" a="1"/>
  <c r="P560" i="3"/>
  <c r="P561" i="3" a="1"/>
  <c r="P561" i="3"/>
  <c r="P562" i="3" a="1"/>
  <c r="P562" i="3"/>
  <c r="P563" i="3" a="1"/>
  <c r="P563" i="3"/>
  <c r="P564" i="3" a="1"/>
  <c r="P564" i="3"/>
  <c r="P565" i="3" a="1"/>
  <c r="P565" i="3"/>
  <c r="P566" i="3" a="1"/>
  <c r="P566" i="3"/>
  <c r="P567" i="3" a="1"/>
  <c r="P567" i="3"/>
  <c r="P568" i="3" a="1"/>
  <c r="P568" i="3"/>
  <c r="P569" i="3" a="1"/>
  <c r="P569" i="3"/>
  <c r="P570" i="3" a="1"/>
  <c r="P570" i="3"/>
  <c r="P571" i="3" a="1"/>
  <c r="P571" i="3"/>
  <c r="P572" i="3" a="1"/>
  <c r="P572" i="3"/>
  <c r="P573" i="3" a="1"/>
  <c r="P573" i="3"/>
  <c r="P574" i="3" a="1"/>
  <c r="P574" i="3"/>
  <c r="P575" i="3" a="1"/>
  <c r="P575" i="3"/>
  <c r="P576" i="3" a="1"/>
  <c r="P576" i="3"/>
  <c r="P577" i="3" a="1"/>
  <c r="P577" i="3"/>
  <c r="P578" i="3" a="1"/>
  <c r="P578" i="3"/>
  <c r="P579" i="3" a="1"/>
  <c r="P579" i="3"/>
  <c r="P580" i="3" a="1"/>
  <c r="P580" i="3"/>
  <c r="P581" i="3" a="1"/>
  <c r="P581" i="3"/>
  <c r="P582" i="3" a="1"/>
  <c r="P582" i="3"/>
  <c r="P583" i="3" a="1"/>
  <c r="P583" i="3"/>
  <c r="P584" i="3" a="1"/>
  <c r="P584" i="3"/>
  <c r="P585" i="3" a="1"/>
  <c r="P585" i="3"/>
  <c r="P586" i="3" a="1"/>
  <c r="P586" i="3"/>
  <c r="P587" i="3" a="1"/>
  <c r="P587" i="3"/>
  <c r="P588" i="3" a="1"/>
  <c r="P588" i="3"/>
  <c r="P589" i="3" a="1"/>
  <c r="P589" i="3"/>
  <c r="P590" i="3" a="1"/>
  <c r="P590" i="3"/>
  <c r="P591" i="3" a="1"/>
  <c r="P591" i="3"/>
  <c r="P592" i="3" a="1"/>
  <c r="P592" i="3"/>
  <c r="P593" i="3" a="1"/>
  <c r="P593" i="3"/>
  <c r="P594" i="3" a="1"/>
  <c r="P594" i="3"/>
  <c r="P595" i="3" a="1"/>
  <c r="P595" i="3"/>
  <c r="P596" i="3" a="1"/>
  <c r="P596" i="3"/>
  <c r="P597" i="3" a="1"/>
  <c r="P597" i="3"/>
  <c r="P598" i="3" a="1"/>
  <c r="P598" i="3"/>
  <c r="P599" i="3" a="1"/>
  <c r="P599" i="3"/>
  <c r="P600" i="3" a="1"/>
  <c r="P600" i="3"/>
  <c r="P601" i="3" a="1"/>
  <c r="P601" i="3"/>
  <c r="P602" i="3" a="1"/>
  <c r="P602" i="3"/>
  <c r="P603" i="3" a="1"/>
  <c r="P603" i="3"/>
  <c r="P604" i="3" a="1"/>
  <c r="P604" i="3"/>
  <c r="P605" i="3" a="1"/>
  <c r="P605" i="3"/>
  <c r="P606" i="3" a="1"/>
  <c r="P606" i="3"/>
  <c r="P607" i="3" a="1"/>
  <c r="P607" i="3"/>
  <c r="P608" i="3" a="1"/>
  <c r="P608" i="3"/>
  <c r="P609" i="3" a="1"/>
  <c r="P609" i="3"/>
  <c r="P610" i="3" a="1"/>
  <c r="P610" i="3"/>
  <c r="P611" i="3" a="1"/>
  <c r="P611" i="3"/>
  <c r="P612" i="3" a="1"/>
  <c r="P612" i="3"/>
  <c r="P613" i="3" a="1"/>
  <c r="P613" i="3"/>
  <c r="P614" i="3" a="1"/>
  <c r="P614" i="3"/>
  <c r="P615" i="3" a="1"/>
  <c r="P615" i="3"/>
  <c r="P616" i="3" a="1"/>
  <c r="P616" i="3"/>
  <c r="P617" i="3" a="1"/>
  <c r="P617" i="3"/>
  <c r="P618" i="3" a="1"/>
  <c r="P618" i="3"/>
  <c r="P619" i="3" a="1"/>
  <c r="P619" i="3"/>
  <c r="P620" i="3" a="1"/>
  <c r="P620" i="3"/>
  <c r="P621" i="3" a="1"/>
  <c r="P621" i="3"/>
  <c r="P622" i="3" a="1"/>
  <c r="P622" i="3"/>
  <c r="P623" i="3" a="1"/>
  <c r="P623" i="3"/>
  <c r="P624" i="3" a="1"/>
  <c r="P624" i="3"/>
  <c r="P625" i="3" a="1"/>
  <c r="P625" i="3"/>
  <c r="P626" i="3" a="1"/>
  <c r="P626" i="3"/>
  <c r="P627" i="3" a="1"/>
  <c r="P627" i="3"/>
  <c r="P628" i="3" a="1"/>
  <c r="P628" i="3"/>
  <c r="P629" i="3" a="1"/>
  <c r="P629" i="3"/>
  <c r="P630" i="3" a="1"/>
  <c r="P630" i="3"/>
  <c r="P631" i="3" a="1"/>
  <c r="P631" i="3"/>
  <c r="P632" i="3" a="1"/>
  <c r="P632" i="3"/>
  <c r="P633" i="3" a="1"/>
  <c r="P633" i="3"/>
  <c r="P634" i="3" a="1"/>
  <c r="P634" i="3"/>
  <c r="P635" i="3" a="1"/>
  <c r="P635" i="3"/>
  <c r="P636" i="3" a="1"/>
  <c r="P636" i="3"/>
  <c r="P637" i="3" a="1"/>
  <c r="P637" i="3"/>
  <c r="P638" i="3" a="1"/>
  <c r="P638" i="3"/>
  <c r="P639" i="3" a="1"/>
  <c r="P639" i="3"/>
  <c r="P640" i="3" a="1"/>
  <c r="P640" i="3"/>
  <c r="P641" i="3" a="1"/>
  <c r="P641" i="3"/>
  <c r="P642" i="3" a="1"/>
  <c r="P642" i="3"/>
  <c r="P643" i="3" a="1"/>
  <c r="P643" i="3"/>
  <c r="P644" i="3" a="1"/>
  <c r="P644" i="3"/>
  <c r="P645" i="3" a="1"/>
  <c r="P645" i="3"/>
  <c r="P646" i="3" a="1"/>
  <c r="P646" i="3"/>
  <c r="P647" i="3" a="1"/>
  <c r="P647" i="3"/>
  <c r="P648" i="3" a="1"/>
  <c r="P648" i="3"/>
  <c r="P649" i="3" a="1"/>
  <c r="P649" i="3"/>
  <c r="P650" i="3" a="1"/>
  <c r="P650" i="3"/>
  <c r="P651" i="3" a="1"/>
  <c r="P651" i="3"/>
  <c r="P652" i="3" a="1"/>
  <c r="P652" i="3"/>
  <c r="P653" i="3" a="1"/>
  <c r="P653" i="3"/>
  <c r="P654" i="3" a="1"/>
  <c r="P654" i="3"/>
  <c r="P655" i="3" a="1"/>
  <c r="P655" i="3"/>
  <c r="P656" i="3" a="1"/>
  <c r="P656" i="3"/>
  <c r="P657" i="3" a="1"/>
  <c r="P657" i="3"/>
  <c r="P658" i="3" a="1"/>
  <c r="P658" i="3"/>
  <c r="P659" i="3" a="1"/>
  <c r="P659" i="3"/>
  <c r="P660" i="3" a="1"/>
  <c r="P660" i="3"/>
  <c r="P661" i="3" a="1"/>
  <c r="P661" i="3"/>
  <c r="P662" i="3" a="1"/>
  <c r="P662" i="3"/>
  <c r="P663" i="3" a="1"/>
  <c r="P663" i="3"/>
  <c r="P664" i="3" a="1"/>
  <c r="P664" i="3"/>
  <c r="P665" i="3" a="1"/>
  <c r="P665" i="3"/>
  <c r="P666" i="3" a="1"/>
  <c r="P666" i="3"/>
  <c r="P667" i="3" a="1"/>
  <c r="P667" i="3"/>
  <c r="P668" i="3" a="1"/>
  <c r="P668" i="3"/>
  <c r="P669" i="3" a="1"/>
  <c r="P669" i="3"/>
  <c r="P670" i="3" a="1"/>
  <c r="P670" i="3"/>
  <c r="P671" i="3" a="1"/>
  <c r="P671" i="3"/>
  <c r="P672" i="3" a="1"/>
  <c r="P672" i="3"/>
  <c r="P673" i="3" a="1"/>
  <c r="P673" i="3"/>
  <c r="P674" i="3" a="1"/>
  <c r="P674" i="3"/>
  <c r="P675" i="3" a="1"/>
  <c r="P675" i="3"/>
  <c r="P676" i="3" a="1"/>
  <c r="P676" i="3"/>
  <c r="P677" i="3" a="1"/>
  <c r="P677" i="3"/>
  <c r="P678" i="3" a="1"/>
  <c r="P678" i="3"/>
  <c r="P679" i="3" a="1"/>
  <c r="P679" i="3"/>
  <c r="P680" i="3" a="1"/>
  <c r="P680" i="3"/>
  <c r="P681" i="3" a="1"/>
  <c r="P681" i="3"/>
  <c r="P682" i="3" a="1"/>
  <c r="P682" i="3"/>
  <c r="P683" i="3" a="1"/>
  <c r="P683" i="3"/>
  <c r="P684" i="3" a="1"/>
  <c r="P684" i="3"/>
  <c r="P685" i="3" a="1"/>
  <c r="P685" i="3"/>
  <c r="P686" i="3" a="1"/>
  <c r="P686" i="3"/>
  <c r="P687" i="3" a="1"/>
  <c r="P687" i="3"/>
  <c r="P688" i="3" a="1"/>
  <c r="P688" i="3"/>
  <c r="P689" i="3" a="1"/>
  <c r="P689" i="3"/>
  <c r="P690" i="3" a="1"/>
  <c r="P690" i="3"/>
  <c r="P691" i="3" a="1"/>
  <c r="P691" i="3"/>
  <c r="P692" i="3" a="1"/>
  <c r="P692" i="3"/>
  <c r="P693" i="3" a="1"/>
  <c r="P693" i="3"/>
  <c r="P694" i="3" a="1"/>
  <c r="P694" i="3"/>
  <c r="P695" i="3" a="1"/>
  <c r="P695" i="3"/>
  <c r="P696" i="3" a="1"/>
  <c r="P696" i="3"/>
  <c r="P697" i="3" a="1"/>
  <c r="P697" i="3"/>
  <c r="P698" i="3" a="1"/>
  <c r="P698" i="3"/>
  <c r="P699" i="3" a="1"/>
  <c r="P699" i="3"/>
  <c r="P700" i="3" a="1"/>
  <c r="P700" i="3"/>
  <c r="P701" i="3" a="1"/>
  <c r="P701" i="3"/>
  <c r="P702" i="3" a="1"/>
  <c r="P702" i="3"/>
  <c r="P703" i="3" a="1"/>
  <c r="P703" i="3"/>
  <c r="P704" i="3" a="1"/>
  <c r="P704" i="3"/>
  <c r="P705" i="3" a="1"/>
  <c r="P705" i="3"/>
  <c r="P706" i="3" a="1"/>
  <c r="P706" i="3"/>
  <c r="P707" i="3" a="1"/>
  <c r="P707" i="3"/>
  <c r="P708" i="3" a="1"/>
  <c r="P708" i="3"/>
  <c r="P709" i="3" a="1"/>
  <c r="P709" i="3"/>
  <c r="P710" i="3" a="1"/>
  <c r="P710" i="3"/>
  <c r="P711" i="3" a="1"/>
  <c r="P711" i="3"/>
  <c r="P712" i="3" a="1"/>
  <c r="P712" i="3"/>
  <c r="P713" i="3" a="1"/>
  <c r="P713" i="3"/>
  <c r="P714" i="3" a="1"/>
  <c r="P714" i="3"/>
  <c r="P715" i="3" a="1"/>
  <c r="P715" i="3"/>
  <c r="P716" i="3" a="1"/>
  <c r="P716" i="3"/>
  <c r="P717" i="3" a="1"/>
  <c r="P717" i="3"/>
  <c r="P718" i="3" a="1"/>
  <c r="P718" i="3"/>
  <c r="P719" i="3" a="1"/>
  <c r="P719" i="3"/>
  <c r="P720" i="3" a="1"/>
  <c r="P720" i="3"/>
  <c r="P721" i="3" a="1"/>
  <c r="P721" i="3"/>
  <c r="P722" i="3" a="1"/>
  <c r="P722" i="3"/>
  <c r="P723" i="3" a="1"/>
  <c r="P723" i="3"/>
  <c r="P724" i="3" a="1"/>
  <c r="P724" i="3"/>
  <c r="P725" i="3" a="1"/>
  <c r="P725" i="3"/>
  <c r="P726" i="3" a="1"/>
  <c r="P726" i="3"/>
  <c r="P727" i="3" a="1"/>
  <c r="P727" i="3"/>
  <c r="P728" i="3" a="1"/>
  <c r="P728" i="3"/>
  <c r="P729" i="3" a="1"/>
  <c r="P729" i="3"/>
  <c r="P730" i="3" a="1"/>
  <c r="P730" i="3"/>
  <c r="P731" i="3" a="1"/>
  <c r="P731" i="3"/>
  <c r="P732" i="3" a="1"/>
  <c r="P732" i="3"/>
  <c r="P733" i="3" a="1"/>
  <c r="P733" i="3"/>
  <c r="P734" i="3" a="1"/>
  <c r="P734" i="3"/>
  <c r="P735" i="3" a="1"/>
  <c r="P735" i="3"/>
  <c r="P736" i="3" a="1"/>
  <c r="P736" i="3"/>
  <c r="P737" i="3" a="1"/>
  <c r="P737" i="3"/>
  <c r="P738" i="3" a="1"/>
  <c r="P738" i="3"/>
  <c r="P739" i="3" a="1"/>
  <c r="P739" i="3"/>
  <c r="P740" i="3" a="1"/>
  <c r="P740" i="3"/>
  <c r="P741" i="3" a="1"/>
  <c r="P741" i="3"/>
  <c r="P742" i="3" a="1"/>
  <c r="P742" i="3"/>
  <c r="P743" i="3" a="1"/>
  <c r="P743" i="3"/>
  <c r="P744" i="3" a="1"/>
  <c r="P744" i="3"/>
  <c r="P745" i="3" a="1"/>
  <c r="P745" i="3"/>
  <c r="P746" i="3" a="1"/>
  <c r="P746" i="3"/>
  <c r="P747" i="3" a="1"/>
  <c r="P747" i="3"/>
  <c r="P748" i="3" a="1"/>
  <c r="P748" i="3"/>
  <c r="P749" i="3" a="1"/>
  <c r="P749" i="3"/>
  <c r="P750" i="3" a="1"/>
  <c r="P750" i="3"/>
  <c r="P751" i="3" a="1"/>
  <c r="P751" i="3"/>
  <c r="P752" i="3" a="1"/>
  <c r="P752" i="3"/>
  <c r="P753" i="3" a="1"/>
  <c r="P753" i="3"/>
  <c r="P754" i="3" a="1"/>
  <c r="P754" i="3"/>
  <c r="P755" i="3" a="1"/>
  <c r="P755" i="3"/>
  <c r="P756" i="3" a="1"/>
  <c r="P756" i="3"/>
  <c r="P757" i="3" a="1"/>
  <c r="P757" i="3"/>
  <c r="P758" i="3" a="1"/>
  <c r="P758" i="3"/>
  <c r="P759" i="3" a="1"/>
  <c r="P759" i="3"/>
  <c r="P760" i="3" a="1"/>
  <c r="P760" i="3"/>
  <c r="P761" i="3" a="1"/>
  <c r="P761" i="3"/>
  <c r="P762" i="3" a="1"/>
  <c r="P762" i="3"/>
  <c r="P763" i="3" a="1"/>
  <c r="P763" i="3"/>
  <c r="P764" i="3" a="1"/>
  <c r="P764" i="3"/>
  <c r="P765" i="3" a="1"/>
  <c r="P765" i="3"/>
  <c r="P766" i="3" a="1"/>
  <c r="P766" i="3"/>
  <c r="P767" i="3" a="1"/>
  <c r="P767" i="3"/>
  <c r="P768" i="3" a="1"/>
  <c r="P768" i="3"/>
  <c r="P769" i="3" a="1"/>
  <c r="P769" i="3"/>
  <c r="P770" i="3" a="1"/>
  <c r="P770" i="3"/>
  <c r="P771" i="3" a="1"/>
  <c r="P771" i="3"/>
  <c r="P772" i="3" a="1"/>
  <c r="P772" i="3"/>
  <c r="P773" i="3" a="1"/>
  <c r="P773" i="3"/>
  <c r="P774" i="3" a="1"/>
  <c r="P774" i="3"/>
  <c r="P775" i="3" a="1"/>
  <c r="P775" i="3"/>
  <c r="P776" i="3" a="1"/>
  <c r="P776" i="3"/>
  <c r="P777" i="3" a="1"/>
  <c r="P777" i="3"/>
  <c r="P778" i="3" a="1"/>
  <c r="P778" i="3"/>
  <c r="P779" i="3" a="1"/>
  <c r="P779" i="3"/>
  <c r="P780" i="3" a="1"/>
  <c r="P780" i="3"/>
  <c r="P781" i="3" a="1"/>
  <c r="P781" i="3"/>
  <c r="P782" i="3" a="1"/>
  <c r="P782" i="3"/>
  <c r="P783" i="3" a="1"/>
  <c r="P783" i="3"/>
  <c r="P784" i="3" a="1"/>
  <c r="P784" i="3"/>
  <c r="P785" i="3" a="1"/>
  <c r="P785" i="3"/>
  <c r="P786" i="3" a="1"/>
  <c r="P786" i="3"/>
  <c r="P787" i="3" a="1"/>
  <c r="P787" i="3"/>
  <c r="P788" i="3" a="1"/>
  <c r="P788" i="3"/>
  <c r="P789" i="3" a="1"/>
  <c r="P789" i="3"/>
  <c r="P790" i="3" a="1"/>
  <c r="P790" i="3"/>
  <c r="P791" i="3" a="1"/>
  <c r="P791" i="3"/>
  <c r="P792" i="3" a="1"/>
  <c r="P792" i="3"/>
  <c r="P793" i="3" a="1"/>
  <c r="P793" i="3"/>
  <c r="P794" i="3" a="1"/>
  <c r="P794" i="3"/>
  <c r="P795" i="3" a="1"/>
  <c r="P795" i="3"/>
  <c r="P796" i="3" a="1"/>
  <c r="P796" i="3"/>
  <c r="P797" i="3" a="1"/>
  <c r="P797" i="3"/>
  <c r="P798" i="3" a="1"/>
  <c r="P798" i="3"/>
  <c r="P799" i="3" a="1"/>
  <c r="P799" i="3"/>
  <c r="P800" i="3" a="1"/>
  <c r="P800" i="3"/>
  <c r="P801" i="3" a="1"/>
  <c r="P801" i="3"/>
  <c r="P802" i="3" a="1"/>
  <c r="P802" i="3"/>
  <c r="P803" i="3" a="1"/>
  <c r="P803" i="3"/>
  <c r="P804" i="3" a="1"/>
  <c r="P804" i="3"/>
  <c r="P805" i="3" a="1"/>
  <c r="P805" i="3"/>
  <c r="P806" i="3" a="1"/>
  <c r="P806" i="3"/>
  <c r="P807" i="3" a="1"/>
  <c r="P807" i="3"/>
  <c r="P808" i="3" a="1"/>
  <c r="P808" i="3"/>
  <c r="P809" i="3" a="1"/>
  <c r="P809" i="3"/>
  <c r="P810" i="3" a="1"/>
  <c r="P810" i="3"/>
  <c r="P811" i="3" a="1"/>
  <c r="P811" i="3"/>
  <c r="P812" i="3" a="1"/>
  <c r="P812" i="3"/>
  <c r="P813" i="3" a="1"/>
  <c r="P813" i="3"/>
  <c r="P814" i="3" a="1"/>
  <c r="P814" i="3"/>
  <c r="P815" i="3" a="1"/>
  <c r="P815" i="3"/>
  <c r="P816" i="3" a="1"/>
  <c r="P816" i="3"/>
  <c r="P817" i="3" a="1"/>
  <c r="P817" i="3"/>
  <c r="P818" i="3" a="1"/>
  <c r="P818" i="3"/>
  <c r="P819" i="3" a="1"/>
  <c r="P819" i="3"/>
  <c r="P820" i="3" a="1"/>
  <c r="P820" i="3"/>
  <c r="P821" i="3" a="1"/>
  <c r="P821" i="3"/>
  <c r="P822" i="3" a="1"/>
  <c r="P822" i="3"/>
  <c r="P823" i="3" a="1"/>
  <c r="P823" i="3"/>
  <c r="P824" i="3" a="1"/>
  <c r="P824" i="3"/>
  <c r="P825" i="3" a="1"/>
  <c r="P825" i="3"/>
  <c r="P826" i="3" a="1"/>
  <c r="P826" i="3"/>
  <c r="P827" i="3" a="1"/>
  <c r="P827" i="3"/>
  <c r="P828" i="3" a="1"/>
  <c r="P828" i="3"/>
  <c r="P829" i="3" a="1"/>
  <c r="P829" i="3"/>
  <c r="P830" i="3" a="1"/>
  <c r="P830" i="3"/>
  <c r="P831" i="3" a="1"/>
  <c r="P831" i="3"/>
  <c r="P832" i="3" a="1"/>
  <c r="P832" i="3"/>
  <c r="P833" i="3" a="1"/>
  <c r="P833" i="3"/>
  <c r="P834" i="3" a="1"/>
  <c r="P834" i="3"/>
  <c r="P835" i="3" a="1"/>
  <c r="P835" i="3"/>
  <c r="P836" i="3" a="1"/>
  <c r="P836" i="3"/>
  <c r="P837" i="3" a="1"/>
  <c r="P837" i="3"/>
  <c r="P838" i="3" a="1"/>
  <c r="P838" i="3"/>
  <c r="P839" i="3" a="1"/>
  <c r="P839" i="3"/>
  <c r="P840" i="3" a="1"/>
  <c r="P840" i="3"/>
  <c r="P841" i="3" a="1"/>
  <c r="P841" i="3"/>
  <c r="P842" i="3" a="1"/>
  <c r="P842" i="3"/>
  <c r="P843" i="3" a="1"/>
  <c r="P843" i="3"/>
  <c r="P844" i="3" a="1"/>
  <c r="P844" i="3"/>
  <c r="P845" i="3" a="1"/>
  <c r="P845" i="3"/>
  <c r="P846" i="3" a="1"/>
  <c r="P846" i="3"/>
  <c r="P847" i="3" a="1"/>
  <c r="P847" i="3"/>
  <c r="P848" i="3" a="1"/>
  <c r="P848" i="3"/>
  <c r="P849" i="3" a="1"/>
  <c r="P849" i="3"/>
  <c r="P850" i="3" a="1"/>
  <c r="P850" i="3"/>
  <c r="P851" i="3" a="1"/>
  <c r="P851" i="3"/>
  <c r="P852" i="3" a="1"/>
  <c r="P852" i="3"/>
  <c r="P853" i="3" a="1"/>
  <c r="P853" i="3"/>
  <c r="P854" i="3" a="1"/>
  <c r="P854" i="3"/>
  <c r="P855" i="3" a="1"/>
  <c r="P855" i="3"/>
  <c r="P856" i="3" a="1"/>
  <c r="P856" i="3"/>
  <c r="P857" i="3" a="1"/>
  <c r="P857" i="3"/>
  <c r="P858" i="3" a="1"/>
  <c r="P858" i="3"/>
  <c r="P859" i="3" a="1"/>
  <c r="P859" i="3"/>
  <c r="P860" i="3" a="1"/>
  <c r="P860" i="3"/>
  <c r="P861" i="3" a="1"/>
  <c r="P861" i="3"/>
  <c r="P862" i="3" a="1"/>
  <c r="P862" i="3"/>
  <c r="P863" i="3" a="1"/>
  <c r="P863" i="3"/>
  <c r="P864" i="3" a="1"/>
  <c r="P864" i="3"/>
  <c r="P865" i="3" a="1"/>
  <c r="P865" i="3"/>
  <c r="P866" i="3" a="1"/>
  <c r="P866" i="3"/>
  <c r="P867" i="3" a="1"/>
  <c r="P867" i="3"/>
  <c r="P868" i="3" a="1"/>
  <c r="P868" i="3"/>
  <c r="P869" i="3" a="1"/>
  <c r="P869" i="3"/>
  <c r="P870" i="3" a="1"/>
  <c r="P870" i="3"/>
  <c r="P871" i="3" a="1"/>
  <c r="P871" i="3"/>
  <c r="P872" i="3" a="1"/>
  <c r="P872" i="3"/>
  <c r="P873" i="3" a="1"/>
  <c r="P873" i="3"/>
  <c r="P874" i="3" a="1"/>
  <c r="P874" i="3"/>
  <c r="P875" i="3" a="1"/>
  <c r="P875" i="3"/>
  <c r="P876" i="3" a="1"/>
  <c r="P876" i="3"/>
  <c r="P877" i="3" a="1"/>
  <c r="P877" i="3"/>
  <c r="P878" i="3" a="1"/>
  <c r="P878" i="3"/>
  <c r="P879" i="3" a="1"/>
  <c r="P879" i="3"/>
  <c r="P880" i="3" a="1"/>
  <c r="P880" i="3"/>
  <c r="P881" i="3" a="1"/>
  <c r="P881" i="3"/>
  <c r="P882" i="3" a="1"/>
  <c r="P882" i="3"/>
  <c r="P883" i="3" a="1"/>
  <c r="P883" i="3"/>
  <c r="P884" i="3" a="1"/>
  <c r="P884" i="3"/>
  <c r="P885" i="3" a="1"/>
  <c r="P885" i="3"/>
  <c r="P886" i="3" a="1"/>
  <c r="P886" i="3"/>
  <c r="P887" i="3" a="1"/>
  <c r="P887" i="3"/>
  <c r="P888" i="3" a="1"/>
  <c r="P888" i="3"/>
  <c r="P889" i="3" a="1"/>
  <c r="P889" i="3"/>
  <c r="P890" i="3" a="1"/>
  <c r="P890" i="3"/>
  <c r="P891" i="3" a="1"/>
  <c r="P891" i="3"/>
  <c r="P892" i="3" a="1"/>
  <c r="P892" i="3"/>
  <c r="P893" i="3" a="1"/>
  <c r="P893" i="3"/>
  <c r="P894" i="3" a="1"/>
  <c r="P894" i="3"/>
  <c r="P895" i="3" a="1"/>
  <c r="P895" i="3"/>
  <c r="P896" i="3" a="1"/>
  <c r="P896" i="3"/>
  <c r="P897" i="3" a="1"/>
  <c r="P897" i="3"/>
  <c r="P898" i="3" a="1"/>
  <c r="P898" i="3"/>
  <c r="P899" i="3" a="1"/>
  <c r="P899" i="3"/>
  <c r="P900" i="3" a="1"/>
  <c r="P900" i="3"/>
  <c r="P901" i="3" a="1"/>
  <c r="P901" i="3"/>
  <c r="P902" i="3" a="1"/>
  <c r="P902" i="3"/>
  <c r="P903" i="3" a="1"/>
  <c r="P903" i="3"/>
  <c r="P904" i="3" a="1"/>
  <c r="P904" i="3"/>
  <c r="P905" i="3" a="1"/>
  <c r="P905" i="3"/>
  <c r="P906" i="3" a="1"/>
  <c r="P906" i="3"/>
  <c r="P907" i="3" a="1"/>
  <c r="P907" i="3"/>
  <c r="P908" i="3" a="1"/>
  <c r="P908" i="3"/>
  <c r="P909" i="3" a="1"/>
  <c r="P909" i="3"/>
  <c r="P910" i="3" a="1"/>
  <c r="P910" i="3"/>
  <c r="P911" i="3" a="1"/>
  <c r="P911" i="3"/>
  <c r="P912" i="3" a="1"/>
  <c r="P912" i="3"/>
  <c r="P913" i="3" a="1"/>
  <c r="P913" i="3"/>
  <c r="P914" i="3" a="1"/>
  <c r="P914" i="3"/>
  <c r="P915" i="3" a="1"/>
  <c r="P915" i="3"/>
  <c r="P916" i="3" a="1"/>
  <c r="P916" i="3"/>
  <c r="P917" i="3" a="1"/>
  <c r="P917" i="3"/>
  <c r="P918" i="3" a="1"/>
  <c r="P918" i="3"/>
  <c r="P919" i="3" a="1"/>
  <c r="P919" i="3"/>
  <c r="P920" i="3" a="1"/>
  <c r="P920" i="3"/>
  <c r="P921" i="3" a="1"/>
  <c r="P921" i="3"/>
  <c r="P922" i="3" a="1"/>
  <c r="P922" i="3"/>
  <c r="P923" i="3" a="1"/>
  <c r="P923" i="3"/>
  <c r="P924" i="3" a="1"/>
  <c r="P924" i="3"/>
  <c r="P925" i="3" a="1"/>
  <c r="P925" i="3"/>
  <c r="P926" i="3" a="1"/>
  <c r="P926" i="3"/>
  <c r="P927" i="3" a="1"/>
  <c r="P927" i="3"/>
  <c r="P928" i="3" a="1"/>
  <c r="P928" i="3"/>
  <c r="P929" i="3" a="1"/>
  <c r="P929" i="3"/>
  <c r="P930" i="3" a="1"/>
  <c r="P930" i="3"/>
  <c r="P931" i="3" a="1"/>
  <c r="P931" i="3"/>
  <c r="P932" i="3" a="1"/>
  <c r="P932" i="3"/>
  <c r="P933" i="3" a="1"/>
  <c r="P933" i="3"/>
  <c r="P934" i="3" a="1"/>
  <c r="P934" i="3"/>
  <c r="P935" i="3" a="1"/>
  <c r="P935" i="3"/>
  <c r="P936" i="3" a="1"/>
  <c r="P936" i="3"/>
  <c r="P937" i="3" a="1"/>
  <c r="P937" i="3"/>
  <c r="P938" i="3" a="1"/>
  <c r="P938" i="3"/>
  <c r="P939" i="3" a="1"/>
  <c r="P939" i="3"/>
  <c r="P940" i="3" a="1"/>
  <c r="P940" i="3"/>
  <c r="P941" i="3" a="1"/>
  <c r="P941" i="3"/>
  <c r="P942" i="3" a="1"/>
  <c r="P942" i="3"/>
  <c r="P943" i="3" a="1"/>
  <c r="P943" i="3"/>
  <c r="P944" i="3" a="1"/>
  <c r="P944" i="3"/>
  <c r="P945" i="3" a="1"/>
  <c r="P945" i="3"/>
  <c r="P946" i="3" a="1"/>
  <c r="P946" i="3"/>
  <c r="P947" i="3" a="1"/>
  <c r="P947" i="3"/>
  <c r="P948" i="3" a="1"/>
  <c r="P948" i="3"/>
  <c r="P949" i="3" a="1"/>
  <c r="P949" i="3"/>
  <c r="P950" i="3" a="1"/>
  <c r="P950" i="3"/>
  <c r="P951" i="3" a="1"/>
  <c r="P951" i="3"/>
  <c r="P952" i="3" a="1"/>
  <c r="P952" i="3"/>
  <c r="P953" i="3" a="1"/>
  <c r="P953" i="3"/>
  <c r="P954" i="3" a="1"/>
  <c r="P954" i="3"/>
  <c r="P955" i="3" a="1"/>
  <c r="P955" i="3"/>
  <c r="P956" i="3" a="1"/>
  <c r="P956" i="3"/>
  <c r="P957" i="3" a="1"/>
  <c r="P957" i="3"/>
  <c r="P958" i="3" a="1"/>
  <c r="P958" i="3"/>
  <c r="P959" i="3" a="1"/>
  <c r="P959" i="3"/>
  <c r="P960" i="3" a="1"/>
  <c r="P960" i="3"/>
  <c r="P961" i="3" a="1"/>
  <c r="P961" i="3"/>
  <c r="P962" i="3" a="1"/>
  <c r="P962" i="3"/>
  <c r="P963" i="3" a="1"/>
  <c r="P963" i="3"/>
  <c r="P964" i="3" a="1"/>
  <c r="P964" i="3"/>
  <c r="P965" i="3" a="1"/>
  <c r="P965" i="3"/>
  <c r="P966" i="3" a="1"/>
  <c r="P966" i="3"/>
  <c r="P967" i="3" a="1"/>
  <c r="P967" i="3"/>
  <c r="P968" i="3" a="1"/>
  <c r="P968" i="3"/>
  <c r="P969" i="3" a="1"/>
  <c r="P969" i="3"/>
  <c r="P970" i="3" a="1"/>
  <c r="P970" i="3"/>
  <c r="P971" i="3" a="1"/>
  <c r="P971" i="3"/>
  <c r="P972" i="3" a="1"/>
  <c r="P972" i="3"/>
  <c r="P973" i="3" a="1"/>
  <c r="P973" i="3"/>
  <c r="P974" i="3" a="1"/>
  <c r="P974" i="3"/>
  <c r="P975" i="3" a="1"/>
  <c r="P975" i="3"/>
  <c r="P976" i="3" a="1"/>
  <c r="P976" i="3"/>
  <c r="P977" i="3" a="1"/>
  <c r="P977" i="3"/>
  <c r="P978" i="3" a="1"/>
  <c r="P978" i="3"/>
  <c r="P979" i="3" a="1"/>
  <c r="P979" i="3"/>
  <c r="P980" i="3" a="1"/>
  <c r="P980" i="3"/>
  <c r="P981" i="3" a="1"/>
  <c r="P981" i="3"/>
  <c r="P982" i="3" a="1"/>
  <c r="P982" i="3"/>
  <c r="P983" i="3" a="1"/>
  <c r="P983" i="3"/>
  <c r="P984" i="3" a="1"/>
  <c r="P984" i="3"/>
  <c r="P985" i="3" a="1"/>
  <c r="P985" i="3"/>
  <c r="P986" i="3" a="1"/>
  <c r="P986" i="3"/>
  <c r="P987" i="3" a="1"/>
  <c r="P987" i="3"/>
  <c r="P988" i="3" a="1"/>
  <c r="P988" i="3"/>
  <c r="P989" i="3" a="1"/>
  <c r="P989" i="3"/>
  <c r="P990" i="3" a="1"/>
  <c r="P990" i="3"/>
  <c r="P991" i="3" a="1"/>
  <c r="P991" i="3"/>
  <c r="P992" i="3" a="1"/>
  <c r="P992" i="3"/>
  <c r="P993" i="3" a="1"/>
  <c r="P993" i="3"/>
  <c r="P994" i="3" a="1"/>
  <c r="P994" i="3"/>
  <c r="P995" i="3" a="1"/>
  <c r="P995" i="3"/>
  <c r="P996" i="3" a="1"/>
  <c r="P996" i="3"/>
  <c r="P997" i="3" a="1"/>
  <c r="P997" i="3"/>
  <c r="P998" i="3" a="1"/>
  <c r="P998" i="3"/>
  <c r="P999" i="3" a="1"/>
  <c r="P999" i="3"/>
  <c r="P1000" i="3" a="1"/>
  <c r="P1000" i="3"/>
  <c r="P1001" i="3" a="1"/>
  <c r="P1001" i="3"/>
  <c r="P1002" i="3" a="1"/>
  <c r="P1002" i="3"/>
  <c r="P1003" i="3" a="1"/>
  <c r="P1003" i="3"/>
  <c r="P1004" i="3" a="1"/>
  <c r="P1004" i="3"/>
  <c r="P1005" i="3" a="1"/>
  <c r="P1005" i="3"/>
  <c r="P1006" i="3" a="1"/>
  <c r="P1006" i="3"/>
  <c r="P1007" i="3" a="1"/>
  <c r="P1007" i="3"/>
  <c r="P1008" i="3" a="1"/>
  <c r="P1008" i="3"/>
  <c r="P1009" i="3" a="1"/>
  <c r="P1009" i="3"/>
  <c r="P1010" i="3" a="1"/>
  <c r="P1010" i="3"/>
  <c r="P1011" i="3" a="1"/>
  <c r="P1011" i="3"/>
  <c r="P1012" i="3" a="1"/>
  <c r="P1012" i="3"/>
  <c r="P1013" i="3" a="1"/>
  <c r="P1013" i="3"/>
  <c r="P1014" i="3" a="1"/>
  <c r="P1014" i="3"/>
  <c r="P1015" i="3" a="1"/>
  <c r="P1015" i="3"/>
  <c r="P1016" i="3" a="1"/>
  <c r="P1016" i="3"/>
  <c r="P1017" i="3" a="1"/>
  <c r="P1017" i="3"/>
  <c r="P1018" i="3" a="1"/>
  <c r="P1018" i="3"/>
  <c r="P1019" i="3" a="1"/>
  <c r="P1019" i="3"/>
  <c r="P1020" i="3" a="1"/>
  <c r="P1020" i="3"/>
  <c r="P1021" i="3" a="1"/>
  <c r="P1021" i="3"/>
  <c r="P1022" i="3" a="1"/>
  <c r="P1022" i="3"/>
  <c r="P1023" i="3" a="1"/>
  <c r="P1023" i="3"/>
  <c r="P1024" i="3" a="1"/>
  <c r="P1024" i="3"/>
  <c r="P1025" i="3" a="1"/>
  <c r="P1025" i="3"/>
  <c r="P1026" i="3" a="1"/>
  <c r="P1026" i="3"/>
  <c r="P1027" i="3" a="1"/>
  <c r="P1027" i="3"/>
  <c r="P1028" i="3" a="1"/>
  <c r="P1028" i="3"/>
  <c r="P1029" i="3" a="1"/>
  <c r="P1029" i="3"/>
  <c r="P1030" i="3" a="1"/>
  <c r="P1030" i="3"/>
  <c r="P1031" i="3" a="1"/>
  <c r="P1031" i="3"/>
  <c r="P1032" i="3" a="1"/>
  <c r="P1032" i="3"/>
  <c r="P1033" i="3" a="1"/>
  <c r="P1033" i="3"/>
  <c r="P1034" i="3" a="1"/>
  <c r="P1034" i="3"/>
  <c r="P1035" i="3" a="1"/>
  <c r="P1035" i="3"/>
  <c r="P1036" i="3" a="1"/>
  <c r="P1036" i="3"/>
  <c r="P1037" i="3" a="1"/>
  <c r="P1037" i="3"/>
  <c r="P1038" i="3" a="1"/>
  <c r="P1038" i="3"/>
  <c r="P1039" i="3" a="1"/>
  <c r="P1039" i="3"/>
  <c r="P1040" i="3" a="1"/>
  <c r="P1040" i="3"/>
  <c r="P1041" i="3" a="1"/>
  <c r="P1041" i="3"/>
  <c r="P1042" i="3" a="1"/>
  <c r="P1042" i="3"/>
  <c r="P1043" i="3" a="1"/>
  <c r="P1043" i="3"/>
  <c r="P1044" i="3" a="1"/>
  <c r="P1044" i="3"/>
  <c r="P1045" i="3" a="1"/>
  <c r="P1045" i="3"/>
  <c r="P1046" i="3" a="1"/>
  <c r="P1046" i="3"/>
  <c r="P1047" i="3" a="1"/>
  <c r="P1047" i="3"/>
  <c r="P1048" i="3" a="1"/>
  <c r="P1048" i="3"/>
  <c r="P1049" i="3" a="1"/>
  <c r="P1049" i="3"/>
  <c r="P1050" i="3" a="1"/>
  <c r="P1050" i="3"/>
  <c r="P1051" i="3" a="1"/>
  <c r="P1051" i="3"/>
  <c r="P1052" i="3" a="1"/>
  <c r="P1052" i="3"/>
  <c r="P1053" i="3" a="1"/>
  <c r="P1053" i="3"/>
  <c r="P1054" i="3" a="1"/>
  <c r="P1054" i="3"/>
  <c r="P1055" i="3" a="1"/>
  <c r="P1055" i="3"/>
  <c r="P1056" i="3" a="1"/>
  <c r="P1056" i="3"/>
  <c r="P1057" i="3" a="1"/>
  <c r="P1057" i="3"/>
  <c r="P1058" i="3" a="1"/>
  <c r="P1058" i="3"/>
  <c r="P1059" i="3" a="1"/>
  <c r="P1059" i="3"/>
  <c r="P1060" i="3" a="1"/>
  <c r="P1060" i="3"/>
  <c r="P1061" i="3" a="1"/>
  <c r="P1061" i="3"/>
  <c r="P1062" i="3" a="1"/>
  <c r="P1062" i="3"/>
  <c r="P1063" i="3" a="1"/>
  <c r="P1063" i="3"/>
  <c r="P1064" i="3" a="1"/>
  <c r="P1064" i="3"/>
  <c r="P1065" i="3" a="1"/>
  <c r="P1065" i="3"/>
  <c r="P1066" i="3" a="1"/>
  <c r="P1066" i="3"/>
  <c r="P1067" i="3" a="1"/>
  <c r="P1067" i="3"/>
  <c r="P1068" i="3" a="1"/>
  <c r="P1068" i="3"/>
  <c r="P1069" i="3" a="1"/>
  <c r="P1069" i="3"/>
  <c r="P1070" i="3" a="1"/>
  <c r="P1070" i="3"/>
  <c r="P1071" i="3" a="1"/>
  <c r="P1071" i="3"/>
  <c r="P1072" i="3" a="1"/>
  <c r="P1072" i="3"/>
  <c r="P1073" i="3" a="1"/>
  <c r="P1073" i="3"/>
  <c r="P1074" i="3" a="1"/>
  <c r="P1074" i="3"/>
  <c r="P1075" i="3" a="1"/>
  <c r="P1075" i="3"/>
  <c r="P1076" i="3" a="1"/>
  <c r="P1076" i="3"/>
  <c r="P1077" i="3" a="1"/>
  <c r="P1077" i="3"/>
  <c r="P1078" i="3" a="1"/>
  <c r="P1078" i="3"/>
  <c r="P1079" i="3" a="1"/>
  <c r="P1079" i="3"/>
  <c r="P1080" i="3" a="1"/>
  <c r="P1080" i="3"/>
  <c r="P1081" i="3" a="1"/>
  <c r="P1081" i="3"/>
  <c r="P1082" i="3" a="1"/>
  <c r="P1082" i="3"/>
  <c r="P1083" i="3" a="1"/>
  <c r="P1083" i="3"/>
  <c r="P1084" i="3" a="1"/>
  <c r="P1084" i="3"/>
  <c r="P1085" i="3" a="1"/>
  <c r="P1085" i="3"/>
  <c r="P1086" i="3" a="1"/>
  <c r="P1086" i="3"/>
  <c r="P1087" i="3" a="1"/>
  <c r="P1087" i="3"/>
  <c r="P1088" i="3" a="1"/>
  <c r="P1088" i="3"/>
  <c r="P1089" i="3" a="1"/>
  <c r="P1089" i="3"/>
  <c r="P1090" i="3" a="1"/>
  <c r="P1090" i="3"/>
  <c r="P1091" i="3" a="1"/>
  <c r="P1091" i="3"/>
  <c r="P1092" i="3" a="1"/>
  <c r="P1092" i="3"/>
  <c r="P1093" i="3" a="1"/>
  <c r="P1093" i="3"/>
  <c r="P1094" i="3" a="1"/>
  <c r="P1094" i="3"/>
  <c r="P1095" i="3" a="1"/>
  <c r="P1095" i="3"/>
  <c r="P1096" i="3" a="1"/>
  <c r="P1096" i="3"/>
  <c r="P1097" i="3" a="1"/>
  <c r="P1097" i="3"/>
  <c r="P1098" i="3" a="1"/>
  <c r="P1098" i="3"/>
  <c r="P1099" i="3" a="1"/>
  <c r="P1099" i="3"/>
  <c r="P1100" i="3" a="1"/>
  <c r="P1100" i="3"/>
  <c r="P1101" i="3" a="1"/>
  <c r="P1101" i="3"/>
  <c r="P1102" i="3" a="1"/>
  <c r="P1102" i="3"/>
  <c r="P1103" i="3" a="1"/>
  <c r="P1103" i="3"/>
  <c r="P1104" i="3" a="1"/>
  <c r="P1104" i="3"/>
  <c r="P1105" i="3" a="1"/>
  <c r="P1105" i="3"/>
  <c r="P1106" i="3" a="1"/>
  <c r="P1106" i="3"/>
  <c r="P1107" i="3" a="1"/>
  <c r="P1107" i="3"/>
  <c r="P1108" i="3" a="1"/>
  <c r="P1108" i="3"/>
  <c r="P1109" i="3" a="1"/>
  <c r="P1109" i="3"/>
  <c r="P1110" i="3" a="1"/>
  <c r="P1110" i="3"/>
  <c r="P1111" i="3" a="1"/>
  <c r="P1111" i="3"/>
  <c r="P1112" i="3" a="1"/>
  <c r="P1112" i="3"/>
  <c r="P1113" i="3" a="1"/>
  <c r="P1113" i="3"/>
  <c r="P1114" i="3" a="1"/>
  <c r="P1114" i="3"/>
  <c r="P1115" i="3" a="1"/>
  <c r="P1115" i="3"/>
  <c r="P1116" i="3" a="1"/>
  <c r="P1116" i="3"/>
  <c r="P1117" i="3" a="1"/>
  <c r="P1117" i="3"/>
  <c r="P1118" i="3" a="1"/>
  <c r="P1118" i="3"/>
  <c r="P1119" i="3" a="1"/>
  <c r="P1119" i="3"/>
  <c r="P1120" i="3" a="1"/>
  <c r="P1120" i="3"/>
  <c r="P1121" i="3" a="1"/>
  <c r="P1121" i="3"/>
  <c r="P1122" i="3" a="1"/>
  <c r="P1122" i="3"/>
  <c r="P1123" i="3" a="1"/>
  <c r="P1123" i="3"/>
  <c r="P1124" i="3" a="1"/>
  <c r="P1124" i="3"/>
  <c r="P1125" i="3" a="1"/>
  <c r="P1125" i="3"/>
  <c r="P1126" i="3" a="1"/>
  <c r="P1126" i="3"/>
  <c r="P1127" i="3" a="1"/>
  <c r="P1127" i="3"/>
  <c r="P1128" i="3" a="1"/>
  <c r="P1128" i="3"/>
  <c r="P1129" i="3" a="1"/>
  <c r="P1129" i="3"/>
  <c r="P1130" i="3" a="1"/>
  <c r="P1130" i="3"/>
  <c r="P1131" i="3" a="1"/>
  <c r="P1131" i="3"/>
  <c r="P1132" i="3" a="1"/>
  <c r="P1132" i="3"/>
  <c r="P1133" i="3" a="1"/>
  <c r="P1133" i="3"/>
  <c r="P1134" i="3" a="1"/>
  <c r="P1134" i="3"/>
  <c r="P1135" i="3" a="1"/>
  <c r="P1135" i="3"/>
  <c r="P1136" i="3" a="1"/>
  <c r="P1136" i="3"/>
  <c r="P1137" i="3" a="1"/>
  <c r="P1137" i="3"/>
  <c r="P1138" i="3" a="1"/>
  <c r="P1138" i="3"/>
  <c r="P1139" i="3" a="1"/>
  <c r="P1139" i="3"/>
  <c r="P1140" i="3" a="1"/>
  <c r="P1140" i="3"/>
  <c r="P1141" i="3" a="1"/>
  <c r="P1141" i="3"/>
  <c r="P1142" i="3" a="1"/>
  <c r="P1142" i="3"/>
  <c r="P1143" i="3" a="1"/>
  <c r="P1143" i="3"/>
  <c r="P1144" i="3" a="1"/>
  <c r="P1144" i="3"/>
  <c r="P1145" i="3" a="1"/>
  <c r="P1145" i="3"/>
  <c r="P1146" i="3" a="1"/>
  <c r="P1146" i="3"/>
  <c r="P1147" i="3" a="1"/>
  <c r="P1147" i="3"/>
  <c r="P1148" i="3" a="1"/>
  <c r="P1148" i="3"/>
  <c r="P1149" i="3" a="1"/>
  <c r="P1149" i="3"/>
  <c r="P1150" i="3" a="1"/>
  <c r="P1150" i="3"/>
  <c r="P1151" i="3" a="1"/>
  <c r="P1151" i="3"/>
  <c r="P1152" i="3" a="1"/>
  <c r="P1152" i="3"/>
  <c r="P1153" i="3" a="1"/>
  <c r="P1153" i="3"/>
  <c r="P1154" i="3" a="1"/>
  <c r="P1154" i="3"/>
  <c r="P1155" i="3" a="1"/>
  <c r="P1155" i="3"/>
  <c r="P1156" i="3" a="1"/>
  <c r="P1156" i="3"/>
  <c r="P1157" i="3" a="1"/>
  <c r="P1157" i="3"/>
  <c r="P1158" i="3" a="1"/>
  <c r="P1158" i="3"/>
  <c r="P1159" i="3" a="1"/>
  <c r="P1159" i="3"/>
  <c r="P1160" i="3" a="1"/>
  <c r="P1160" i="3"/>
  <c r="P1161" i="3" a="1"/>
  <c r="P1161" i="3"/>
  <c r="P1162" i="3" a="1"/>
  <c r="P1162" i="3"/>
  <c r="P1163" i="3" a="1"/>
  <c r="P1163" i="3"/>
  <c r="P1164" i="3" a="1"/>
  <c r="P1164" i="3"/>
  <c r="P1165" i="3" a="1"/>
  <c r="P1165" i="3"/>
  <c r="P1166" i="3" a="1"/>
  <c r="P1166" i="3"/>
  <c r="P1167" i="3" a="1"/>
  <c r="P1167" i="3"/>
  <c r="P1168" i="3" a="1"/>
  <c r="P1168" i="3"/>
  <c r="P1169" i="3" a="1"/>
  <c r="P1169" i="3"/>
  <c r="P1170" i="3" a="1"/>
  <c r="P1170" i="3"/>
  <c r="P1171" i="3" a="1"/>
  <c r="P1171" i="3"/>
  <c r="P1172" i="3" a="1"/>
  <c r="P1172" i="3"/>
  <c r="P1173" i="3" a="1"/>
  <c r="P1173" i="3"/>
  <c r="P1174" i="3" a="1"/>
  <c r="P1174" i="3"/>
  <c r="P1175" i="3" a="1"/>
  <c r="P1175" i="3"/>
  <c r="P1176" i="3" a="1"/>
  <c r="P1176" i="3"/>
  <c r="P1177" i="3" a="1"/>
  <c r="P1177" i="3"/>
  <c r="P1178" i="3" a="1"/>
  <c r="P1178" i="3"/>
  <c r="P1179" i="3" a="1"/>
  <c r="P1179" i="3"/>
  <c r="P1180" i="3" a="1"/>
  <c r="P1180" i="3"/>
  <c r="P1181" i="3" a="1"/>
  <c r="P1181" i="3"/>
  <c r="P1182" i="3" a="1"/>
  <c r="P1182" i="3"/>
  <c r="P1183" i="3" a="1"/>
  <c r="P1183" i="3"/>
  <c r="P1184" i="3" a="1"/>
  <c r="P1184" i="3"/>
  <c r="P1185" i="3" a="1"/>
  <c r="P1185" i="3"/>
  <c r="P1186" i="3" a="1"/>
  <c r="P1186" i="3"/>
  <c r="P1187" i="3" a="1"/>
  <c r="P1187" i="3"/>
  <c r="P1188" i="3" a="1"/>
  <c r="P1188" i="3"/>
  <c r="P1189" i="3" a="1"/>
  <c r="P1189" i="3"/>
  <c r="P1190" i="3" a="1"/>
  <c r="P1190" i="3"/>
  <c r="P1191" i="3" a="1"/>
  <c r="P1191" i="3"/>
  <c r="P1192" i="3" a="1"/>
  <c r="P1192" i="3"/>
  <c r="P1193" i="3" a="1"/>
  <c r="P1193" i="3"/>
  <c r="P1194" i="3" a="1"/>
  <c r="P1194" i="3"/>
  <c r="P1195" i="3" a="1"/>
  <c r="P1195" i="3"/>
  <c r="P1196" i="3" a="1"/>
  <c r="P1196" i="3"/>
  <c r="P1197" i="3" a="1"/>
  <c r="P1197" i="3"/>
  <c r="P1198" i="3" a="1"/>
  <c r="P1198" i="3"/>
  <c r="P1199" i="3" a="1"/>
  <c r="P1199" i="3"/>
  <c r="P1200" i="3" a="1"/>
  <c r="P1200" i="3"/>
  <c r="P1201" i="3" a="1"/>
  <c r="P1201" i="3"/>
  <c r="P1202" i="3" a="1"/>
  <c r="P1202" i="3"/>
  <c r="P1203" i="3" a="1"/>
  <c r="P1203" i="3"/>
  <c r="P1204" i="3" a="1"/>
  <c r="P1204" i="3"/>
  <c r="P1205" i="3" a="1"/>
  <c r="P1205" i="3"/>
  <c r="P1206" i="3" a="1"/>
  <c r="P1206" i="3"/>
  <c r="P1207" i="3" a="1"/>
  <c r="P1207" i="3"/>
  <c r="P1208" i="3" a="1"/>
  <c r="P1208" i="3"/>
  <c r="P1209" i="3" a="1"/>
  <c r="P1209" i="3"/>
  <c r="P1210" i="3" a="1"/>
  <c r="P1210" i="3"/>
  <c r="P1211" i="3" a="1"/>
  <c r="P1211" i="3"/>
  <c r="P1212" i="3" a="1"/>
  <c r="P1212" i="3"/>
  <c r="P1213" i="3" a="1"/>
  <c r="P1213" i="3"/>
  <c r="P1214" i="3" a="1"/>
  <c r="P1214" i="3"/>
  <c r="P1215" i="3" a="1"/>
  <c r="P1215" i="3"/>
  <c r="P1216" i="3" a="1"/>
  <c r="P1216" i="3"/>
  <c r="P1217" i="3" a="1"/>
  <c r="P1217" i="3"/>
  <c r="P1218" i="3" a="1"/>
  <c r="P1218" i="3"/>
  <c r="P1219" i="3" a="1"/>
  <c r="P1219" i="3"/>
  <c r="P1220" i="3" a="1"/>
  <c r="P1220" i="3"/>
  <c r="P1221" i="3" a="1"/>
  <c r="P1221" i="3"/>
  <c r="P1222" i="3" a="1"/>
  <c r="P1222" i="3"/>
  <c r="P1223" i="3" a="1"/>
  <c r="P1223" i="3"/>
  <c r="P1224" i="3" a="1"/>
  <c r="P1224" i="3"/>
  <c r="P1225" i="3" a="1"/>
  <c r="P1225" i="3"/>
  <c r="P1226" i="3" a="1"/>
  <c r="P1226" i="3"/>
  <c r="P1227" i="3" a="1"/>
  <c r="P1227" i="3"/>
  <c r="P1228" i="3" a="1"/>
  <c r="P1228" i="3"/>
  <c r="P1229" i="3" a="1"/>
  <c r="P1229" i="3"/>
  <c r="P1230" i="3" a="1"/>
  <c r="P1230" i="3"/>
  <c r="P1231" i="3" a="1"/>
  <c r="P1231" i="3"/>
  <c r="P1232" i="3" a="1"/>
  <c r="P1232" i="3"/>
  <c r="P1233" i="3" a="1"/>
  <c r="P1233" i="3"/>
  <c r="P1234" i="3" a="1"/>
  <c r="P1234" i="3"/>
  <c r="P1235" i="3" a="1"/>
  <c r="P1235" i="3"/>
  <c r="P1236" i="3" a="1"/>
  <c r="P1236" i="3"/>
  <c r="P1237" i="3" a="1"/>
  <c r="P1237" i="3"/>
  <c r="P1238" i="3" a="1"/>
  <c r="P1238" i="3"/>
  <c r="P1239" i="3" a="1"/>
  <c r="P1239" i="3"/>
  <c r="P1240" i="3" a="1"/>
  <c r="P1240" i="3"/>
  <c r="P1241" i="3" a="1"/>
  <c r="P1241" i="3"/>
  <c r="P1242" i="3" a="1"/>
  <c r="P1242" i="3"/>
  <c r="P1243" i="3" a="1"/>
  <c r="P1243" i="3"/>
  <c r="P1244" i="3" a="1"/>
  <c r="P1244" i="3"/>
  <c r="P1245" i="3" a="1"/>
  <c r="P1245" i="3"/>
  <c r="P1246" i="3" a="1"/>
  <c r="P1246" i="3"/>
  <c r="P1247" i="3" a="1"/>
  <c r="P1247" i="3"/>
  <c r="P1248" i="3" a="1"/>
  <c r="P1248" i="3"/>
  <c r="P1249" i="3" a="1"/>
  <c r="P1249" i="3"/>
  <c r="P1250" i="3" a="1"/>
  <c r="P1250" i="3"/>
  <c r="P1251" i="3" a="1"/>
  <c r="P1251" i="3"/>
  <c r="P1252" i="3" a="1"/>
  <c r="P1252" i="3"/>
  <c r="P1253" i="3" a="1"/>
  <c r="P1253" i="3"/>
  <c r="P1254" i="3" a="1"/>
  <c r="P1254" i="3"/>
  <c r="P1255" i="3" a="1"/>
  <c r="P1255" i="3"/>
  <c r="P1256" i="3" a="1"/>
  <c r="P1256" i="3"/>
  <c r="P1257" i="3" a="1"/>
  <c r="P1257" i="3"/>
  <c r="P1258" i="3" a="1"/>
  <c r="P1258" i="3"/>
  <c r="P1259" i="3" a="1"/>
  <c r="P1259" i="3"/>
  <c r="P1260" i="3" a="1"/>
  <c r="P1260" i="3"/>
  <c r="P1261" i="3" a="1"/>
  <c r="P1261" i="3"/>
  <c r="P1262" i="3" a="1"/>
  <c r="P1262" i="3"/>
  <c r="P1263" i="3" a="1"/>
  <c r="P1263" i="3"/>
  <c r="P1264" i="3" a="1"/>
  <c r="P1264" i="3"/>
  <c r="P1265" i="3" a="1"/>
  <c r="P1265" i="3"/>
  <c r="P1266" i="3" a="1"/>
  <c r="P1266" i="3"/>
  <c r="P1267" i="3" a="1"/>
  <c r="P1267" i="3"/>
  <c r="P1268" i="3" a="1"/>
  <c r="P1268" i="3"/>
  <c r="P1269" i="3" a="1"/>
  <c r="P1269" i="3"/>
  <c r="P1270" i="3" a="1"/>
  <c r="P1270" i="3"/>
  <c r="P1271" i="3" a="1"/>
  <c r="P1271" i="3"/>
  <c r="P1272" i="3" a="1"/>
  <c r="P1272" i="3"/>
  <c r="P1273" i="3" a="1"/>
  <c r="P1273" i="3"/>
  <c r="P1274" i="3" a="1"/>
  <c r="P1274" i="3"/>
  <c r="P1275" i="3" a="1"/>
  <c r="P1275" i="3"/>
  <c r="P1276" i="3" a="1"/>
  <c r="P1276" i="3"/>
  <c r="P1277" i="3" a="1"/>
  <c r="P1277" i="3"/>
  <c r="P1278" i="3" a="1"/>
  <c r="P1278" i="3"/>
  <c r="P1279" i="3" a="1"/>
  <c r="P1279" i="3"/>
  <c r="P1280" i="3" a="1"/>
  <c r="P1280" i="3"/>
  <c r="P1281" i="3" a="1"/>
  <c r="P1281" i="3"/>
  <c r="P1282" i="3" a="1"/>
  <c r="P1282" i="3"/>
  <c r="P1283" i="3" a="1"/>
  <c r="P1283" i="3"/>
  <c r="P1284" i="3" a="1"/>
  <c r="P1284" i="3"/>
  <c r="P1285" i="3" a="1"/>
  <c r="P1285" i="3"/>
  <c r="P1286" i="3" a="1"/>
  <c r="P1286" i="3"/>
  <c r="P1287" i="3" a="1"/>
  <c r="P1287" i="3"/>
  <c r="P1288" i="3" a="1"/>
  <c r="P1288" i="3"/>
  <c r="P1289" i="3" a="1"/>
  <c r="P1289" i="3"/>
  <c r="P1290" i="3" a="1"/>
  <c r="P1290" i="3"/>
  <c r="P1291" i="3" a="1"/>
  <c r="P1291" i="3"/>
  <c r="P1292" i="3" a="1"/>
  <c r="P1292" i="3"/>
  <c r="P1293" i="3" a="1"/>
  <c r="P1293" i="3"/>
  <c r="P1294" i="3" a="1"/>
  <c r="P1294" i="3"/>
  <c r="P1295" i="3" a="1"/>
  <c r="P1295" i="3"/>
  <c r="P1296" i="3" a="1"/>
  <c r="P1296" i="3"/>
  <c r="P1297" i="3" a="1"/>
  <c r="P1297" i="3"/>
  <c r="P1298" i="3" a="1"/>
  <c r="P1298" i="3"/>
  <c r="P1299" i="3" a="1"/>
  <c r="P1299" i="3"/>
  <c r="P1300" i="3" a="1"/>
  <c r="P1300" i="3"/>
  <c r="P1301" i="3" a="1"/>
  <c r="P1301" i="3"/>
  <c r="P1302" i="3" a="1"/>
  <c r="P1302" i="3"/>
  <c r="P1303" i="3" a="1"/>
  <c r="P1303" i="3"/>
  <c r="P1304" i="3" a="1"/>
  <c r="P1304" i="3"/>
  <c r="P1305" i="3" a="1"/>
  <c r="P1305" i="3"/>
  <c r="P1306" i="3" a="1"/>
  <c r="P1306" i="3"/>
  <c r="P1307" i="3" a="1"/>
  <c r="P1307" i="3"/>
  <c r="P1308" i="3" a="1"/>
  <c r="P1308" i="3"/>
  <c r="P1309" i="3" a="1"/>
  <c r="P1309" i="3"/>
  <c r="P1310" i="3" a="1"/>
  <c r="P1310" i="3"/>
  <c r="P1311" i="3" a="1"/>
  <c r="P1311" i="3"/>
  <c r="P1312" i="3" a="1"/>
  <c r="P1312" i="3"/>
  <c r="P1313" i="3" a="1"/>
  <c r="P1313" i="3"/>
  <c r="P1314" i="3" a="1"/>
  <c r="P1314" i="3"/>
  <c r="P1315" i="3" a="1"/>
  <c r="P1315" i="3"/>
  <c r="P1316" i="3" a="1"/>
  <c r="P1316" i="3"/>
  <c r="P1317" i="3" a="1"/>
  <c r="P1317" i="3"/>
  <c r="P1318" i="3" a="1"/>
  <c r="P1318" i="3"/>
  <c r="P1319" i="3" a="1"/>
  <c r="P1319" i="3"/>
  <c r="P1320" i="3" a="1"/>
  <c r="P1320" i="3"/>
  <c r="P1321" i="3" a="1"/>
  <c r="P1321" i="3"/>
  <c r="P1322" i="3" a="1"/>
  <c r="P1322" i="3"/>
  <c r="P1323" i="3" a="1"/>
  <c r="P1323" i="3"/>
  <c r="P1324" i="3" a="1"/>
  <c r="P1324" i="3"/>
  <c r="P1325" i="3" a="1"/>
  <c r="P1325" i="3"/>
  <c r="P1326" i="3" a="1"/>
  <c r="P1326" i="3"/>
  <c r="P1327" i="3" a="1"/>
  <c r="P1327" i="3"/>
  <c r="P1328" i="3" a="1"/>
  <c r="P1328" i="3"/>
  <c r="P1329" i="3" a="1"/>
  <c r="P1329" i="3"/>
  <c r="P1330" i="3" a="1"/>
  <c r="P1330" i="3"/>
  <c r="P1331" i="3" a="1"/>
  <c r="P1331" i="3"/>
  <c r="P1332" i="3" a="1"/>
  <c r="P1332" i="3"/>
  <c r="P1333" i="3" a="1"/>
  <c r="P1333" i="3"/>
  <c r="P1334" i="3" a="1"/>
  <c r="P1334" i="3"/>
  <c r="P1335" i="3" a="1"/>
  <c r="P1335" i="3"/>
  <c r="P1336" i="3" a="1"/>
  <c r="P1336" i="3"/>
  <c r="P1337" i="3" a="1"/>
  <c r="P1337" i="3"/>
  <c r="P1338" i="3" a="1"/>
  <c r="P1338" i="3"/>
  <c r="P1339" i="3" a="1"/>
  <c r="P1339" i="3"/>
  <c r="P1340" i="3" a="1"/>
  <c r="P1340" i="3"/>
  <c r="P1341" i="3" a="1"/>
  <c r="P1341" i="3"/>
  <c r="P1342" i="3" a="1"/>
  <c r="P1342" i="3"/>
  <c r="P1343" i="3" a="1"/>
  <c r="P1343" i="3"/>
  <c r="P1344" i="3" a="1"/>
  <c r="P1344" i="3"/>
  <c r="P1345" i="3" a="1"/>
  <c r="P1345" i="3"/>
  <c r="P1346" i="3" a="1"/>
  <c r="P1346" i="3"/>
  <c r="P1347" i="3" a="1"/>
  <c r="P1347" i="3"/>
  <c r="P1348" i="3" a="1"/>
  <c r="P1348" i="3"/>
  <c r="P1349" i="3" a="1"/>
  <c r="P1349" i="3"/>
  <c r="P1350" i="3" a="1"/>
  <c r="P1350" i="3"/>
  <c r="P1351" i="3" a="1"/>
  <c r="P1351" i="3"/>
  <c r="P1352" i="3" a="1"/>
  <c r="P1352" i="3"/>
  <c r="P1353" i="3" a="1"/>
  <c r="P1353" i="3"/>
  <c r="P1354" i="3" a="1"/>
  <c r="P1354" i="3"/>
  <c r="P1355" i="3" a="1"/>
  <c r="P1355" i="3"/>
  <c r="P1356" i="3" a="1"/>
  <c r="P1356" i="3"/>
  <c r="P1357" i="3" a="1"/>
  <c r="P1357" i="3"/>
  <c r="P1358" i="3" a="1"/>
  <c r="P1358" i="3"/>
  <c r="P1359" i="3" a="1"/>
  <c r="P1359" i="3"/>
  <c r="P1360" i="3" a="1"/>
  <c r="P1360" i="3"/>
  <c r="P1361" i="3" a="1"/>
  <c r="P1361" i="3"/>
  <c r="P1362" i="3" a="1"/>
  <c r="P1362" i="3"/>
  <c r="P1363" i="3" a="1"/>
  <c r="P1363" i="3"/>
  <c r="P1364" i="3" a="1"/>
  <c r="P1364" i="3"/>
  <c r="P1365" i="3" a="1"/>
  <c r="P1365" i="3"/>
  <c r="P1366" i="3" a="1"/>
  <c r="P1366" i="3"/>
  <c r="P1367" i="3" a="1"/>
  <c r="P1367" i="3"/>
  <c r="P1368" i="3" a="1"/>
  <c r="P1368" i="3"/>
  <c r="P1369" i="3" a="1"/>
  <c r="P1369" i="3"/>
  <c r="P1370" i="3" a="1"/>
  <c r="P1370" i="3"/>
  <c r="P1371" i="3" a="1"/>
  <c r="P1371" i="3"/>
  <c r="P1372" i="3" a="1"/>
  <c r="P1372" i="3"/>
  <c r="P1373" i="3" a="1"/>
  <c r="P1373" i="3"/>
  <c r="P1374" i="3" a="1"/>
  <c r="P1374" i="3"/>
  <c r="P1375" i="3" a="1"/>
  <c r="P1375" i="3"/>
  <c r="P1376" i="3" a="1"/>
  <c r="P1376" i="3"/>
  <c r="P1377" i="3" a="1"/>
  <c r="P1377" i="3"/>
  <c r="P1378" i="3" a="1"/>
  <c r="P1378" i="3"/>
  <c r="P1379" i="3" a="1"/>
  <c r="P1379" i="3"/>
  <c r="P1380" i="3" a="1"/>
  <c r="P1380" i="3"/>
  <c r="P1381" i="3" a="1"/>
  <c r="P1381" i="3"/>
  <c r="P1382" i="3" a="1"/>
  <c r="P1382" i="3"/>
  <c r="P1383" i="3" a="1"/>
  <c r="P1383" i="3"/>
  <c r="P1384" i="3" a="1"/>
  <c r="P1384" i="3"/>
  <c r="P1385" i="3" a="1"/>
  <c r="P1385" i="3"/>
  <c r="P1386" i="3" a="1"/>
  <c r="P1386" i="3"/>
  <c r="P1387" i="3" a="1"/>
  <c r="P1387" i="3"/>
  <c r="P1388" i="3" a="1"/>
  <c r="P1388" i="3"/>
  <c r="P1389" i="3" a="1"/>
  <c r="P1389" i="3"/>
  <c r="P1390" i="3" a="1"/>
  <c r="P1390" i="3"/>
  <c r="P1391" i="3" a="1"/>
  <c r="P1391" i="3"/>
  <c r="P1392" i="3" a="1"/>
  <c r="P1392" i="3"/>
  <c r="P1393" i="3" a="1"/>
  <c r="P1393" i="3"/>
  <c r="P1394" i="3" a="1"/>
  <c r="P1394" i="3"/>
  <c r="P1395" i="3" a="1"/>
  <c r="P1395" i="3"/>
  <c r="P1396" i="3" a="1"/>
  <c r="P1396" i="3"/>
  <c r="P1397" i="3" a="1"/>
  <c r="P1397" i="3"/>
  <c r="P1398" i="3" a="1"/>
  <c r="P1398" i="3"/>
  <c r="P1399" i="3" a="1"/>
  <c r="P1399" i="3"/>
  <c r="P1400" i="3" a="1"/>
  <c r="P1400" i="3"/>
  <c r="P1401" i="3" a="1"/>
  <c r="P1401" i="3"/>
  <c r="P1402" i="3" a="1"/>
  <c r="P1402" i="3"/>
  <c r="P1403" i="3" a="1"/>
  <c r="P1403" i="3"/>
  <c r="P1404" i="3" a="1"/>
  <c r="P1404" i="3"/>
  <c r="P1405" i="3" a="1"/>
  <c r="P1405" i="3"/>
  <c r="P1406" i="3" a="1"/>
  <c r="P1406" i="3"/>
  <c r="P1407" i="3" a="1"/>
  <c r="P1407" i="3"/>
  <c r="P1408" i="3" a="1"/>
  <c r="P1408" i="3"/>
  <c r="P1409" i="3" a="1"/>
  <c r="P1409" i="3"/>
  <c r="P1410" i="3" a="1"/>
  <c r="P1410" i="3"/>
  <c r="P1411" i="3" a="1"/>
  <c r="P1411" i="3"/>
  <c r="P1412" i="3" a="1"/>
  <c r="P1412" i="3"/>
  <c r="P1413" i="3" a="1"/>
  <c r="P1413" i="3"/>
  <c r="P1414" i="3" a="1"/>
  <c r="P1414" i="3"/>
  <c r="P1415" i="3" a="1"/>
  <c r="P1415" i="3"/>
  <c r="P1416" i="3" a="1"/>
  <c r="P1416" i="3"/>
  <c r="P1417" i="3" a="1"/>
  <c r="P1417" i="3"/>
  <c r="P1418" i="3" a="1"/>
  <c r="P1418" i="3"/>
  <c r="P1419" i="3" a="1"/>
  <c r="P1419" i="3"/>
  <c r="P1420" i="3" a="1"/>
  <c r="P1420" i="3"/>
  <c r="P1421" i="3" a="1"/>
  <c r="P1421" i="3"/>
  <c r="P1422" i="3" a="1"/>
  <c r="P1422" i="3"/>
  <c r="P1423" i="3" a="1"/>
  <c r="P1423" i="3"/>
  <c r="P1424" i="3" a="1"/>
  <c r="P1424" i="3"/>
  <c r="P1425" i="3" a="1"/>
  <c r="P1425" i="3"/>
  <c r="P1426" i="3" a="1"/>
  <c r="P1426" i="3"/>
  <c r="P1427" i="3" a="1"/>
  <c r="P1427" i="3"/>
  <c r="P1428" i="3" a="1"/>
  <c r="P1428" i="3"/>
  <c r="P1429" i="3" a="1"/>
  <c r="P1429" i="3"/>
  <c r="P1430" i="3" a="1"/>
  <c r="P1430" i="3"/>
  <c r="P1431" i="3" a="1"/>
  <c r="P1431" i="3"/>
  <c r="P1432" i="3" a="1"/>
  <c r="P1432" i="3"/>
  <c r="P1433" i="3" a="1"/>
  <c r="P1433" i="3"/>
  <c r="P1434" i="3" a="1"/>
  <c r="P1434" i="3"/>
  <c r="P1435" i="3" a="1"/>
  <c r="P1435" i="3"/>
  <c r="P1436" i="3" a="1"/>
  <c r="P1436" i="3"/>
  <c r="P1437" i="3" a="1"/>
  <c r="P1437" i="3"/>
  <c r="P1438" i="3" a="1"/>
  <c r="P1438" i="3"/>
  <c r="P1439" i="3" a="1"/>
  <c r="P1439" i="3"/>
  <c r="P1440" i="3" a="1"/>
  <c r="P1440" i="3"/>
  <c r="P1441" i="3" a="1"/>
  <c r="P1441" i="3"/>
  <c r="P1442" i="3" a="1"/>
  <c r="P1442" i="3"/>
  <c r="P1443" i="3" a="1"/>
  <c r="P1443" i="3"/>
  <c r="P1444" i="3" a="1"/>
  <c r="P1444" i="3"/>
  <c r="P1445" i="3" a="1"/>
  <c r="P1445" i="3"/>
  <c r="P1446" i="3" a="1"/>
  <c r="P1446" i="3"/>
  <c r="P1447" i="3" a="1"/>
  <c r="P1447" i="3"/>
  <c r="P1448" i="3" a="1"/>
  <c r="P1448" i="3"/>
  <c r="P1449" i="3" a="1"/>
  <c r="P1449" i="3"/>
  <c r="P1450" i="3" a="1"/>
  <c r="P1450" i="3"/>
  <c r="P1451" i="3" a="1"/>
  <c r="P1451" i="3"/>
  <c r="P1452" i="3" a="1"/>
  <c r="P1452" i="3"/>
  <c r="P1453" i="3" a="1"/>
  <c r="P1453" i="3"/>
  <c r="P1454" i="3" a="1"/>
  <c r="P1454" i="3"/>
  <c r="P1455" i="3" a="1"/>
  <c r="P1455" i="3"/>
  <c r="P1456" i="3" a="1"/>
  <c r="P1456" i="3"/>
  <c r="P1457" i="3" a="1"/>
  <c r="P1457" i="3"/>
  <c r="P1458" i="3" a="1"/>
  <c r="P1458" i="3"/>
  <c r="P1459" i="3" a="1"/>
  <c r="P1459" i="3"/>
  <c r="P1460" i="3" a="1"/>
  <c r="P1460" i="3"/>
  <c r="P1461" i="3" a="1"/>
  <c r="P1461" i="3"/>
  <c r="P1462" i="3" a="1"/>
  <c r="P1462" i="3"/>
  <c r="P1463" i="3" a="1"/>
  <c r="P1463" i="3"/>
  <c r="P1464" i="3" a="1"/>
  <c r="P1464" i="3"/>
  <c r="P1465" i="3" a="1"/>
  <c r="P1465" i="3"/>
  <c r="P1466" i="3" a="1"/>
  <c r="P1466" i="3"/>
  <c r="P1467" i="3" a="1"/>
  <c r="P1467" i="3"/>
  <c r="P1468" i="3" a="1"/>
  <c r="P1468" i="3"/>
  <c r="P1469" i="3" a="1"/>
  <c r="P1469" i="3"/>
  <c r="P1470" i="3" a="1"/>
  <c r="P1470" i="3"/>
  <c r="P1471" i="3" a="1"/>
  <c r="P1471" i="3"/>
  <c r="L4" i="3"/>
  <c r="P2" i="3" a="1"/>
  <c r="P2" i="3"/>
  <c r="O3" i="3" a="1"/>
  <c r="O3" i="3"/>
  <c r="O4" i="3" a="1"/>
  <c r="O4" i="3"/>
  <c r="O5" i="3" a="1"/>
  <c r="O5" i="3"/>
  <c r="O6" i="3" a="1"/>
  <c r="O6" i="3"/>
  <c r="O7" i="3" a="1"/>
  <c r="O7" i="3"/>
  <c r="O8" i="3" a="1"/>
  <c r="O8" i="3"/>
  <c r="O9" i="3" a="1"/>
  <c r="O9" i="3"/>
  <c r="O10" i="3" a="1"/>
  <c r="O10" i="3"/>
  <c r="O11" i="3" a="1"/>
  <c r="O11" i="3"/>
  <c r="O12" i="3" a="1"/>
  <c r="O12" i="3"/>
  <c r="O13" i="3" a="1"/>
  <c r="O13" i="3"/>
  <c r="O14" i="3" a="1"/>
  <c r="O14" i="3"/>
  <c r="O15" i="3" a="1"/>
  <c r="O15" i="3"/>
  <c r="O16" i="3" a="1"/>
  <c r="O16" i="3"/>
  <c r="O17" i="3" a="1"/>
  <c r="O17" i="3"/>
  <c r="O18" i="3" a="1"/>
  <c r="O18" i="3"/>
  <c r="O19" i="3" a="1"/>
  <c r="O19" i="3"/>
  <c r="O20" i="3" a="1"/>
  <c r="O20" i="3"/>
  <c r="O21" i="3" a="1"/>
  <c r="O21" i="3"/>
  <c r="O22" i="3" a="1"/>
  <c r="O22" i="3"/>
  <c r="O23" i="3" a="1"/>
  <c r="O23" i="3"/>
  <c r="O24" i="3" a="1"/>
  <c r="O24" i="3"/>
  <c r="O25" i="3" a="1"/>
  <c r="O25" i="3"/>
  <c r="O26" i="3" a="1"/>
  <c r="O26" i="3"/>
  <c r="O27" i="3" a="1"/>
  <c r="O27" i="3"/>
  <c r="O28" i="3" a="1"/>
  <c r="O28" i="3"/>
  <c r="O29" i="3" a="1"/>
  <c r="O29" i="3"/>
  <c r="O30" i="3" a="1"/>
  <c r="O30" i="3"/>
  <c r="O31" i="3" a="1"/>
  <c r="O31" i="3"/>
  <c r="O32" i="3" a="1"/>
  <c r="O32" i="3"/>
  <c r="O33" i="3" a="1"/>
  <c r="O33" i="3"/>
  <c r="O34" i="3" a="1"/>
  <c r="O34" i="3"/>
  <c r="O35" i="3" a="1"/>
  <c r="O35" i="3"/>
  <c r="O36" i="3" a="1"/>
  <c r="O36" i="3"/>
  <c r="O37" i="3" a="1"/>
  <c r="O37" i="3"/>
  <c r="O38" i="3" a="1"/>
  <c r="O38" i="3"/>
  <c r="O39" i="3" a="1"/>
  <c r="O39" i="3"/>
  <c r="O40" i="3" a="1"/>
  <c r="O40" i="3"/>
  <c r="O41" i="3" a="1"/>
  <c r="O41" i="3"/>
  <c r="O42" i="3" a="1"/>
  <c r="O42" i="3"/>
  <c r="O43" i="3" a="1"/>
  <c r="O43" i="3"/>
  <c r="O44" i="3" a="1"/>
  <c r="O44" i="3"/>
  <c r="O45" i="3" a="1"/>
  <c r="O45" i="3"/>
  <c r="O46" i="3" a="1"/>
  <c r="O46" i="3"/>
  <c r="O47" i="3" a="1"/>
  <c r="O47" i="3"/>
  <c r="O48" i="3" a="1"/>
  <c r="O48" i="3"/>
  <c r="O49" i="3" a="1"/>
  <c r="O49" i="3"/>
  <c r="O50" i="3" a="1"/>
  <c r="O50" i="3"/>
  <c r="O51" i="3" a="1"/>
  <c r="O51" i="3"/>
  <c r="O52" i="3" a="1"/>
  <c r="O52" i="3"/>
  <c r="O53" i="3" a="1"/>
  <c r="O53" i="3"/>
  <c r="O54" i="3" a="1"/>
  <c r="O54" i="3"/>
  <c r="O55" i="3" a="1"/>
  <c r="O55" i="3"/>
  <c r="O56" i="3" a="1"/>
  <c r="O56" i="3"/>
  <c r="O57" i="3" a="1"/>
  <c r="O57" i="3"/>
  <c r="O58" i="3" a="1"/>
  <c r="O58" i="3"/>
  <c r="O59" i="3" a="1"/>
  <c r="O59" i="3"/>
  <c r="O60" i="3" a="1"/>
  <c r="O60" i="3"/>
  <c r="O61" i="3" a="1"/>
  <c r="O61" i="3"/>
  <c r="O62" i="3" a="1"/>
  <c r="O62" i="3"/>
  <c r="O63" i="3" a="1"/>
  <c r="O63" i="3"/>
  <c r="O64" i="3" a="1"/>
  <c r="O64" i="3"/>
  <c r="O65" i="3" a="1"/>
  <c r="O65" i="3"/>
  <c r="O66" i="3" a="1"/>
  <c r="O66" i="3"/>
  <c r="O67" i="3" a="1"/>
  <c r="O67" i="3"/>
  <c r="O68" i="3" a="1"/>
  <c r="O68" i="3"/>
  <c r="O69" i="3" a="1"/>
  <c r="O69" i="3"/>
  <c r="O70" i="3" a="1"/>
  <c r="O70" i="3"/>
  <c r="O71" i="3" a="1"/>
  <c r="O71" i="3"/>
  <c r="O72" i="3" a="1"/>
  <c r="O72" i="3"/>
  <c r="O73" i="3" a="1"/>
  <c r="O73" i="3"/>
  <c r="O74" i="3" a="1"/>
  <c r="O74" i="3"/>
  <c r="O75" i="3" a="1"/>
  <c r="O75" i="3"/>
  <c r="O76" i="3" a="1"/>
  <c r="O76" i="3"/>
  <c r="O77" i="3" a="1"/>
  <c r="O77" i="3"/>
  <c r="O78" i="3" a="1"/>
  <c r="O78" i="3"/>
  <c r="O79" i="3" a="1"/>
  <c r="O79" i="3"/>
  <c r="O80" i="3" a="1"/>
  <c r="O80" i="3"/>
  <c r="O81" i="3" a="1"/>
  <c r="O81" i="3"/>
  <c r="O82" i="3" a="1"/>
  <c r="O82" i="3"/>
  <c r="O83" i="3" a="1"/>
  <c r="O83" i="3"/>
  <c r="O84" i="3" a="1"/>
  <c r="O84" i="3"/>
  <c r="O85" i="3" a="1"/>
  <c r="O85" i="3"/>
  <c r="O86" i="3" a="1"/>
  <c r="O86" i="3"/>
  <c r="O87" i="3" a="1"/>
  <c r="O87" i="3"/>
  <c r="O88" i="3" a="1"/>
  <c r="O88" i="3"/>
  <c r="O89" i="3" a="1"/>
  <c r="O89" i="3"/>
  <c r="O90" i="3" a="1"/>
  <c r="O90" i="3"/>
  <c r="O91" i="3" a="1"/>
  <c r="O91" i="3"/>
  <c r="O92" i="3" a="1"/>
  <c r="O92" i="3"/>
  <c r="O93" i="3" a="1"/>
  <c r="O93" i="3"/>
  <c r="O94" i="3" a="1"/>
  <c r="O94" i="3"/>
  <c r="O95" i="3" a="1"/>
  <c r="O95" i="3"/>
  <c r="O96" i="3" a="1"/>
  <c r="O96" i="3"/>
  <c r="O97" i="3" a="1"/>
  <c r="O97" i="3"/>
  <c r="O98" i="3" a="1"/>
  <c r="O98" i="3"/>
  <c r="O99" i="3" a="1"/>
  <c r="O99" i="3"/>
  <c r="O100" i="3" a="1"/>
  <c r="O100" i="3"/>
  <c r="O101" i="3" a="1"/>
  <c r="O101" i="3"/>
  <c r="O102" i="3" a="1"/>
  <c r="O102" i="3"/>
  <c r="O103" i="3" a="1"/>
  <c r="O103" i="3"/>
  <c r="O104" i="3" a="1"/>
  <c r="O104" i="3"/>
  <c r="O105" i="3" a="1"/>
  <c r="O105" i="3"/>
  <c r="O106" i="3" a="1"/>
  <c r="O106" i="3"/>
  <c r="O107" i="3" a="1"/>
  <c r="O107" i="3"/>
  <c r="O108" i="3" a="1"/>
  <c r="O108" i="3"/>
  <c r="O109" i="3" a="1"/>
  <c r="O109" i="3"/>
  <c r="O110" i="3" a="1"/>
  <c r="O110" i="3"/>
  <c r="O111" i="3" a="1"/>
  <c r="O111" i="3"/>
  <c r="O112" i="3" a="1"/>
  <c r="O112" i="3"/>
  <c r="O113" i="3" a="1"/>
  <c r="O113" i="3"/>
  <c r="O114" i="3" a="1"/>
  <c r="O114" i="3"/>
  <c r="O115" i="3" a="1"/>
  <c r="O115" i="3"/>
  <c r="O116" i="3" a="1"/>
  <c r="O116" i="3"/>
  <c r="O117" i="3" a="1"/>
  <c r="O117" i="3"/>
  <c r="O118" i="3" a="1"/>
  <c r="O118" i="3"/>
  <c r="O119" i="3" a="1"/>
  <c r="O119" i="3"/>
  <c r="O120" i="3" a="1"/>
  <c r="O120" i="3"/>
  <c r="O121" i="3" a="1"/>
  <c r="O121" i="3"/>
  <c r="O122" i="3" a="1"/>
  <c r="O122" i="3"/>
  <c r="O123" i="3" a="1"/>
  <c r="O123" i="3"/>
  <c r="O124" i="3" a="1"/>
  <c r="O124" i="3"/>
  <c r="O125" i="3" a="1"/>
  <c r="O125" i="3"/>
  <c r="O126" i="3" a="1"/>
  <c r="O126" i="3"/>
  <c r="O127" i="3" a="1"/>
  <c r="O127" i="3"/>
  <c r="O128" i="3" a="1"/>
  <c r="O128" i="3"/>
  <c r="O129" i="3" a="1"/>
  <c r="O129" i="3"/>
  <c r="O130" i="3" a="1"/>
  <c r="O130" i="3"/>
  <c r="O131" i="3" a="1"/>
  <c r="O131" i="3"/>
  <c r="O132" i="3" a="1"/>
  <c r="O132" i="3"/>
  <c r="O133" i="3" a="1"/>
  <c r="O133" i="3"/>
  <c r="O134" i="3" a="1"/>
  <c r="O134" i="3"/>
  <c r="O135" i="3" a="1"/>
  <c r="O135" i="3"/>
  <c r="O136" i="3" a="1"/>
  <c r="O136" i="3"/>
  <c r="O137" i="3" a="1"/>
  <c r="O137" i="3"/>
  <c r="O138" i="3" a="1"/>
  <c r="O138" i="3"/>
  <c r="O139" i="3" a="1"/>
  <c r="O139" i="3"/>
  <c r="O140" i="3" a="1"/>
  <c r="O140" i="3"/>
  <c r="O141" i="3" a="1"/>
  <c r="O141" i="3"/>
  <c r="O142" i="3" a="1"/>
  <c r="O142" i="3"/>
  <c r="O143" i="3" a="1"/>
  <c r="O143" i="3"/>
  <c r="O144" i="3" a="1"/>
  <c r="O144" i="3"/>
  <c r="O145" i="3" a="1"/>
  <c r="O145" i="3"/>
  <c r="O146" i="3" a="1"/>
  <c r="O146" i="3"/>
  <c r="O147" i="3" a="1"/>
  <c r="O147" i="3"/>
  <c r="O148" i="3" a="1"/>
  <c r="O148" i="3"/>
  <c r="O149" i="3" a="1"/>
  <c r="O149" i="3"/>
  <c r="O150" i="3" a="1"/>
  <c r="O150" i="3"/>
  <c r="O151" i="3" a="1"/>
  <c r="O151" i="3"/>
  <c r="O152" i="3" a="1"/>
  <c r="O152" i="3"/>
  <c r="O153" i="3" a="1"/>
  <c r="O153" i="3"/>
  <c r="O154" i="3" a="1"/>
  <c r="O154" i="3"/>
  <c r="O155" i="3" a="1"/>
  <c r="O155" i="3"/>
  <c r="O156" i="3" a="1"/>
  <c r="O156" i="3"/>
  <c r="O157" i="3" a="1"/>
  <c r="O157" i="3"/>
  <c r="O158" i="3" a="1"/>
  <c r="O158" i="3"/>
  <c r="O159" i="3" a="1"/>
  <c r="O159" i="3"/>
  <c r="O160" i="3" a="1"/>
  <c r="O160" i="3"/>
  <c r="O161" i="3" a="1"/>
  <c r="O161" i="3"/>
  <c r="O162" i="3" a="1"/>
  <c r="O162" i="3"/>
  <c r="O163" i="3" a="1"/>
  <c r="O163" i="3"/>
  <c r="O164" i="3" a="1"/>
  <c r="O164" i="3"/>
  <c r="O165" i="3" a="1"/>
  <c r="O165" i="3"/>
  <c r="O166" i="3" a="1"/>
  <c r="O166" i="3"/>
  <c r="O167" i="3" a="1"/>
  <c r="O167" i="3"/>
  <c r="O168" i="3" a="1"/>
  <c r="O168" i="3"/>
  <c r="O169" i="3" a="1"/>
  <c r="O169" i="3"/>
  <c r="O170" i="3" a="1"/>
  <c r="O170" i="3"/>
  <c r="O171" i="3" a="1"/>
  <c r="O171" i="3"/>
  <c r="O172" i="3" a="1"/>
  <c r="O172" i="3"/>
  <c r="O173" i="3" a="1"/>
  <c r="O173" i="3"/>
  <c r="O174" i="3" a="1"/>
  <c r="O174" i="3"/>
  <c r="O175" i="3" a="1"/>
  <c r="O175" i="3"/>
  <c r="O176" i="3" a="1"/>
  <c r="O176" i="3"/>
  <c r="O177" i="3" a="1"/>
  <c r="O177" i="3"/>
  <c r="O178" i="3" a="1"/>
  <c r="O178" i="3"/>
  <c r="O179" i="3" a="1"/>
  <c r="O179" i="3"/>
  <c r="O180" i="3" a="1"/>
  <c r="O180" i="3"/>
  <c r="O181" i="3" a="1"/>
  <c r="O181" i="3"/>
  <c r="O182" i="3" a="1"/>
  <c r="O182" i="3"/>
  <c r="O183" i="3" a="1"/>
  <c r="O183" i="3"/>
  <c r="O184" i="3" a="1"/>
  <c r="O184" i="3"/>
  <c r="O185" i="3" a="1"/>
  <c r="O185" i="3"/>
  <c r="O186" i="3" a="1"/>
  <c r="O186" i="3"/>
  <c r="O187" i="3" a="1"/>
  <c r="O187" i="3"/>
  <c r="O188" i="3" a="1"/>
  <c r="O188" i="3"/>
  <c r="O189" i="3" a="1"/>
  <c r="O189" i="3"/>
  <c r="O190" i="3" a="1"/>
  <c r="O190" i="3"/>
  <c r="O191" i="3" a="1"/>
  <c r="O191" i="3"/>
  <c r="O192" i="3" a="1"/>
  <c r="O192" i="3"/>
  <c r="O193" i="3" a="1"/>
  <c r="O193" i="3"/>
  <c r="O194" i="3" a="1"/>
  <c r="O194" i="3"/>
  <c r="O195" i="3" a="1"/>
  <c r="O195" i="3"/>
  <c r="O196" i="3" a="1"/>
  <c r="O196" i="3"/>
  <c r="O197" i="3" a="1"/>
  <c r="O197" i="3"/>
  <c r="O198" i="3" a="1"/>
  <c r="O198" i="3"/>
  <c r="O199" i="3" a="1"/>
  <c r="O199" i="3"/>
  <c r="O200" i="3" a="1"/>
  <c r="O200" i="3"/>
  <c r="O201" i="3" a="1"/>
  <c r="O201" i="3"/>
  <c r="O202" i="3" a="1"/>
  <c r="O202" i="3"/>
  <c r="O203" i="3" a="1"/>
  <c r="O203" i="3"/>
  <c r="O204" i="3" a="1"/>
  <c r="O204" i="3"/>
  <c r="O205" i="3" a="1"/>
  <c r="O205" i="3"/>
  <c r="O206" i="3" a="1"/>
  <c r="O206" i="3"/>
  <c r="O207" i="3" a="1"/>
  <c r="O207" i="3"/>
  <c r="O208" i="3" a="1"/>
  <c r="O208" i="3"/>
  <c r="O209" i="3" a="1"/>
  <c r="O209" i="3"/>
  <c r="O210" i="3" a="1"/>
  <c r="O210" i="3"/>
  <c r="O211" i="3" a="1"/>
  <c r="O211" i="3"/>
  <c r="O212" i="3" a="1"/>
  <c r="O212" i="3"/>
  <c r="O213" i="3" a="1"/>
  <c r="O213" i="3"/>
  <c r="O214" i="3" a="1"/>
  <c r="O214" i="3"/>
  <c r="O215" i="3" a="1"/>
  <c r="O215" i="3"/>
  <c r="O216" i="3" a="1"/>
  <c r="O216" i="3"/>
  <c r="O217" i="3" a="1"/>
  <c r="O217" i="3"/>
  <c r="O218" i="3" a="1"/>
  <c r="O218" i="3"/>
  <c r="O219" i="3" a="1"/>
  <c r="O219" i="3"/>
  <c r="O220" i="3" a="1"/>
  <c r="O220" i="3"/>
  <c r="O221" i="3" a="1"/>
  <c r="O221" i="3"/>
  <c r="O222" i="3" a="1"/>
  <c r="O222" i="3"/>
  <c r="O223" i="3" a="1"/>
  <c r="O223" i="3"/>
  <c r="O224" i="3" a="1"/>
  <c r="O224" i="3"/>
  <c r="O225" i="3" a="1"/>
  <c r="O225" i="3"/>
  <c r="O226" i="3" a="1"/>
  <c r="O226" i="3"/>
  <c r="O227" i="3" a="1"/>
  <c r="O227" i="3"/>
  <c r="O228" i="3" a="1"/>
  <c r="O228" i="3"/>
  <c r="O229" i="3" a="1"/>
  <c r="O229" i="3"/>
  <c r="O230" i="3" a="1"/>
  <c r="O230" i="3"/>
  <c r="O231" i="3" a="1"/>
  <c r="O231" i="3"/>
  <c r="O232" i="3" a="1"/>
  <c r="O232" i="3"/>
  <c r="O233" i="3" a="1"/>
  <c r="O233" i="3"/>
  <c r="O234" i="3" a="1"/>
  <c r="O234" i="3"/>
  <c r="O235" i="3" a="1"/>
  <c r="O235" i="3"/>
  <c r="O236" i="3" a="1"/>
  <c r="O236" i="3"/>
  <c r="O237" i="3" a="1"/>
  <c r="O237" i="3"/>
  <c r="O238" i="3" a="1"/>
  <c r="O238" i="3"/>
  <c r="O239" i="3" a="1"/>
  <c r="O239" i="3"/>
  <c r="O240" i="3" a="1"/>
  <c r="O240" i="3"/>
  <c r="O241" i="3" a="1"/>
  <c r="O241" i="3"/>
  <c r="O242" i="3" a="1"/>
  <c r="O242" i="3"/>
  <c r="O243" i="3" a="1"/>
  <c r="O243" i="3"/>
  <c r="O244" i="3" a="1"/>
  <c r="O244" i="3"/>
  <c r="O245" i="3" a="1"/>
  <c r="O245" i="3"/>
  <c r="O246" i="3" a="1"/>
  <c r="O246" i="3"/>
  <c r="O247" i="3" a="1"/>
  <c r="O247" i="3"/>
  <c r="O248" i="3" a="1"/>
  <c r="O248" i="3"/>
  <c r="O249" i="3" a="1"/>
  <c r="O249" i="3"/>
  <c r="O250" i="3" a="1"/>
  <c r="O250" i="3"/>
  <c r="O251" i="3" a="1"/>
  <c r="O251" i="3"/>
  <c r="O252" i="3" a="1"/>
  <c r="O252" i="3"/>
  <c r="O253" i="3" a="1"/>
  <c r="O253" i="3"/>
  <c r="O254" i="3" a="1"/>
  <c r="O254" i="3"/>
  <c r="O255" i="3" a="1"/>
  <c r="O255" i="3"/>
  <c r="O256" i="3" a="1"/>
  <c r="O256" i="3"/>
  <c r="O257" i="3" a="1"/>
  <c r="O257" i="3"/>
  <c r="O258" i="3" a="1"/>
  <c r="O258" i="3"/>
  <c r="O259" i="3" a="1"/>
  <c r="O259" i="3"/>
  <c r="O260" i="3" a="1"/>
  <c r="O260" i="3"/>
  <c r="O261" i="3" a="1"/>
  <c r="O261" i="3"/>
  <c r="O262" i="3" a="1"/>
  <c r="O262" i="3"/>
  <c r="O263" i="3" a="1"/>
  <c r="O263" i="3"/>
  <c r="O264" i="3" a="1"/>
  <c r="O264" i="3"/>
  <c r="O265" i="3" a="1"/>
  <c r="O265" i="3"/>
  <c r="O266" i="3" a="1"/>
  <c r="O266" i="3"/>
  <c r="O267" i="3" a="1"/>
  <c r="O267" i="3"/>
  <c r="O268" i="3" a="1"/>
  <c r="O268" i="3"/>
  <c r="O269" i="3" a="1"/>
  <c r="O269" i="3"/>
  <c r="O270" i="3" a="1"/>
  <c r="O270" i="3"/>
  <c r="O271" i="3" a="1"/>
  <c r="O271" i="3"/>
  <c r="O272" i="3" a="1"/>
  <c r="O272" i="3"/>
  <c r="O273" i="3" a="1"/>
  <c r="O273" i="3"/>
  <c r="O274" i="3" a="1"/>
  <c r="O274" i="3"/>
  <c r="O275" i="3" a="1"/>
  <c r="O275" i="3"/>
  <c r="O276" i="3" a="1"/>
  <c r="O276" i="3"/>
  <c r="O277" i="3" a="1"/>
  <c r="O277" i="3"/>
  <c r="O278" i="3" a="1"/>
  <c r="O278" i="3"/>
  <c r="O279" i="3" a="1"/>
  <c r="O279" i="3"/>
  <c r="O280" i="3" a="1"/>
  <c r="O280" i="3"/>
  <c r="O281" i="3" a="1"/>
  <c r="O281" i="3"/>
  <c r="O282" i="3" a="1"/>
  <c r="O282" i="3"/>
  <c r="O283" i="3" a="1"/>
  <c r="O283" i="3"/>
  <c r="O284" i="3" a="1"/>
  <c r="O284" i="3"/>
  <c r="O285" i="3" a="1"/>
  <c r="O285" i="3"/>
  <c r="O286" i="3" a="1"/>
  <c r="O286" i="3"/>
  <c r="O287" i="3" a="1"/>
  <c r="O287" i="3"/>
  <c r="O288" i="3" a="1"/>
  <c r="O288" i="3"/>
  <c r="O289" i="3" a="1"/>
  <c r="O289" i="3"/>
  <c r="O290" i="3" a="1"/>
  <c r="O290" i="3"/>
  <c r="O291" i="3" a="1"/>
  <c r="O291" i="3"/>
  <c r="O292" i="3" a="1"/>
  <c r="O292" i="3"/>
  <c r="O293" i="3" a="1"/>
  <c r="O293" i="3"/>
  <c r="O294" i="3" a="1"/>
  <c r="O294" i="3"/>
  <c r="O295" i="3" a="1"/>
  <c r="O295" i="3"/>
  <c r="O296" i="3" a="1"/>
  <c r="O296" i="3"/>
  <c r="O297" i="3" a="1"/>
  <c r="O297" i="3"/>
  <c r="O298" i="3" a="1"/>
  <c r="O298" i="3"/>
  <c r="O299" i="3" a="1"/>
  <c r="O299" i="3"/>
  <c r="O300" i="3" a="1"/>
  <c r="O300" i="3"/>
  <c r="O301" i="3" a="1"/>
  <c r="O301" i="3"/>
  <c r="O302" i="3" a="1"/>
  <c r="O302" i="3"/>
  <c r="O303" i="3" a="1"/>
  <c r="O303" i="3"/>
  <c r="O304" i="3" a="1"/>
  <c r="O304" i="3"/>
  <c r="O305" i="3" a="1"/>
  <c r="O305" i="3"/>
  <c r="O306" i="3" a="1"/>
  <c r="O306" i="3"/>
  <c r="O307" i="3" a="1"/>
  <c r="O307" i="3"/>
  <c r="O308" i="3" a="1"/>
  <c r="O308" i="3"/>
  <c r="O309" i="3" a="1"/>
  <c r="O309" i="3"/>
  <c r="O310" i="3" a="1"/>
  <c r="O310" i="3"/>
  <c r="O311" i="3" a="1"/>
  <c r="O311" i="3"/>
  <c r="O312" i="3" a="1"/>
  <c r="O312" i="3"/>
  <c r="O313" i="3" a="1"/>
  <c r="O313" i="3"/>
  <c r="O314" i="3" a="1"/>
  <c r="O314" i="3"/>
  <c r="O315" i="3" a="1"/>
  <c r="O315" i="3"/>
  <c r="O316" i="3" a="1"/>
  <c r="O316" i="3"/>
  <c r="O317" i="3" a="1"/>
  <c r="O317" i="3"/>
  <c r="O318" i="3" a="1"/>
  <c r="O318" i="3"/>
  <c r="O319" i="3" a="1"/>
  <c r="O319" i="3"/>
  <c r="O320" i="3" a="1"/>
  <c r="O320" i="3"/>
  <c r="O321" i="3" a="1"/>
  <c r="O321" i="3"/>
  <c r="O322" i="3" a="1"/>
  <c r="O322" i="3"/>
  <c r="O323" i="3" a="1"/>
  <c r="O323" i="3"/>
  <c r="O324" i="3" a="1"/>
  <c r="O324" i="3"/>
  <c r="O325" i="3" a="1"/>
  <c r="O325" i="3"/>
  <c r="O326" i="3" a="1"/>
  <c r="O326" i="3"/>
  <c r="O327" i="3" a="1"/>
  <c r="O327" i="3"/>
  <c r="O328" i="3" a="1"/>
  <c r="O328" i="3"/>
  <c r="O329" i="3" a="1"/>
  <c r="O329" i="3"/>
  <c r="O330" i="3" a="1"/>
  <c r="O330" i="3"/>
  <c r="O331" i="3" a="1"/>
  <c r="O331" i="3"/>
  <c r="O332" i="3" a="1"/>
  <c r="O332" i="3"/>
  <c r="O333" i="3" a="1"/>
  <c r="O333" i="3"/>
  <c r="O334" i="3" a="1"/>
  <c r="O334" i="3"/>
  <c r="O335" i="3" a="1"/>
  <c r="O335" i="3"/>
  <c r="O336" i="3" a="1"/>
  <c r="O336" i="3"/>
  <c r="O337" i="3" a="1"/>
  <c r="O337" i="3"/>
  <c r="O338" i="3" a="1"/>
  <c r="O338" i="3"/>
  <c r="O339" i="3" a="1"/>
  <c r="O339" i="3"/>
  <c r="O340" i="3" a="1"/>
  <c r="O340" i="3"/>
  <c r="O341" i="3" a="1"/>
  <c r="O341" i="3"/>
  <c r="O342" i="3" a="1"/>
  <c r="O342" i="3"/>
  <c r="O343" i="3" a="1"/>
  <c r="O343" i="3"/>
  <c r="O344" i="3" a="1"/>
  <c r="O344" i="3"/>
  <c r="O345" i="3" a="1"/>
  <c r="O345" i="3"/>
  <c r="O346" i="3" a="1"/>
  <c r="O346" i="3"/>
  <c r="O347" i="3" a="1"/>
  <c r="O347" i="3"/>
  <c r="O348" i="3" a="1"/>
  <c r="O348" i="3"/>
  <c r="O349" i="3" a="1"/>
  <c r="O349" i="3"/>
  <c r="O350" i="3" a="1"/>
  <c r="O350" i="3"/>
  <c r="O351" i="3" a="1"/>
  <c r="O351" i="3"/>
  <c r="O352" i="3" a="1"/>
  <c r="O352" i="3"/>
  <c r="O353" i="3" a="1"/>
  <c r="O353" i="3"/>
  <c r="O354" i="3" a="1"/>
  <c r="O354" i="3"/>
  <c r="O355" i="3" a="1"/>
  <c r="O355" i="3"/>
  <c r="O356" i="3" a="1"/>
  <c r="O356" i="3"/>
  <c r="O357" i="3" a="1"/>
  <c r="O357" i="3"/>
  <c r="O358" i="3" a="1"/>
  <c r="O358" i="3"/>
  <c r="O359" i="3" a="1"/>
  <c r="O359" i="3"/>
  <c r="O360" i="3" a="1"/>
  <c r="O360" i="3"/>
  <c r="O361" i="3" a="1"/>
  <c r="O361" i="3"/>
  <c r="O362" i="3" a="1"/>
  <c r="O362" i="3"/>
  <c r="O363" i="3" a="1"/>
  <c r="O363" i="3"/>
  <c r="O364" i="3" a="1"/>
  <c r="O364" i="3"/>
  <c r="O365" i="3" a="1"/>
  <c r="O365" i="3"/>
  <c r="O366" i="3" a="1"/>
  <c r="O366" i="3"/>
  <c r="O367" i="3" a="1"/>
  <c r="O367" i="3"/>
  <c r="O368" i="3" a="1"/>
  <c r="O368" i="3"/>
  <c r="O369" i="3" a="1"/>
  <c r="O369" i="3"/>
  <c r="O370" i="3" a="1"/>
  <c r="O370" i="3"/>
  <c r="O371" i="3" a="1"/>
  <c r="O371" i="3"/>
  <c r="O372" i="3" a="1"/>
  <c r="O372" i="3"/>
  <c r="O373" i="3" a="1"/>
  <c r="O373" i="3"/>
  <c r="O374" i="3" a="1"/>
  <c r="O374" i="3"/>
  <c r="O375" i="3" a="1"/>
  <c r="O375" i="3"/>
  <c r="O376" i="3" a="1"/>
  <c r="O376" i="3"/>
  <c r="O377" i="3" a="1"/>
  <c r="O377" i="3"/>
  <c r="O378" i="3" a="1"/>
  <c r="O378" i="3"/>
  <c r="O379" i="3" a="1"/>
  <c r="O379" i="3"/>
  <c r="O380" i="3" a="1"/>
  <c r="O380" i="3"/>
  <c r="O381" i="3" a="1"/>
  <c r="O381" i="3"/>
  <c r="O382" i="3" a="1"/>
  <c r="O382" i="3"/>
  <c r="O383" i="3" a="1"/>
  <c r="O383" i="3"/>
  <c r="O384" i="3" a="1"/>
  <c r="O384" i="3"/>
  <c r="O385" i="3" a="1"/>
  <c r="O385" i="3"/>
  <c r="O386" i="3" a="1"/>
  <c r="O386" i="3"/>
  <c r="O387" i="3" a="1"/>
  <c r="O387" i="3"/>
  <c r="O388" i="3" a="1"/>
  <c r="O388" i="3"/>
  <c r="O389" i="3" a="1"/>
  <c r="O389" i="3"/>
  <c r="O390" i="3" a="1"/>
  <c r="O390" i="3"/>
  <c r="O391" i="3" a="1"/>
  <c r="O391" i="3"/>
  <c r="O392" i="3" a="1"/>
  <c r="O392" i="3"/>
  <c r="O393" i="3" a="1"/>
  <c r="O393" i="3"/>
  <c r="O394" i="3" a="1"/>
  <c r="O394" i="3"/>
  <c r="O395" i="3" a="1"/>
  <c r="O395" i="3"/>
  <c r="O396" i="3" a="1"/>
  <c r="O396" i="3"/>
  <c r="O397" i="3" a="1"/>
  <c r="O397" i="3"/>
  <c r="O398" i="3" a="1"/>
  <c r="O398" i="3"/>
  <c r="O399" i="3" a="1"/>
  <c r="O399" i="3"/>
  <c r="O400" i="3" a="1"/>
  <c r="O400" i="3"/>
  <c r="O401" i="3" a="1"/>
  <c r="O401" i="3"/>
  <c r="O402" i="3" a="1"/>
  <c r="O402" i="3"/>
  <c r="O403" i="3" a="1"/>
  <c r="O403" i="3"/>
  <c r="O404" i="3" a="1"/>
  <c r="O404" i="3"/>
  <c r="O405" i="3" a="1"/>
  <c r="O405" i="3"/>
  <c r="O406" i="3" a="1"/>
  <c r="O406" i="3"/>
  <c r="O407" i="3" a="1"/>
  <c r="O407" i="3"/>
  <c r="O408" i="3" a="1"/>
  <c r="O408" i="3"/>
  <c r="O409" i="3" a="1"/>
  <c r="O409" i="3"/>
  <c r="O410" i="3" a="1"/>
  <c r="O410" i="3"/>
  <c r="O411" i="3" a="1"/>
  <c r="O411" i="3"/>
  <c r="O412" i="3" a="1"/>
  <c r="O412" i="3"/>
  <c r="O413" i="3" a="1"/>
  <c r="O413" i="3"/>
  <c r="O414" i="3" a="1"/>
  <c r="O414" i="3"/>
  <c r="O415" i="3" a="1"/>
  <c r="O415" i="3"/>
  <c r="O416" i="3" a="1"/>
  <c r="O416" i="3"/>
  <c r="O417" i="3" a="1"/>
  <c r="O417" i="3"/>
  <c r="O418" i="3" a="1"/>
  <c r="O418" i="3"/>
  <c r="O419" i="3" a="1"/>
  <c r="O419" i="3"/>
  <c r="O420" i="3" a="1"/>
  <c r="O420" i="3"/>
  <c r="O421" i="3" a="1"/>
  <c r="O421" i="3"/>
  <c r="O422" i="3" a="1"/>
  <c r="O422" i="3"/>
  <c r="O423" i="3" a="1"/>
  <c r="O423" i="3"/>
  <c r="O424" i="3" a="1"/>
  <c r="O424" i="3"/>
  <c r="O425" i="3" a="1"/>
  <c r="O425" i="3"/>
  <c r="O426" i="3" a="1"/>
  <c r="O426" i="3"/>
  <c r="O427" i="3" a="1"/>
  <c r="O427" i="3"/>
  <c r="O428" i="3" a="1"/>
  <c r="O428" i="3"/>
  <c r="O429" i="3" a="1"/>
  <c r="O429" i="3"/>
  <c r="O430" i="3" a="1"/>
  <c r="O430" i="3"/>
  <c r="O431" i="3" a="1"/>
  <c r="O431" i="3"/>
  <c r="O432" i="3" a="1"/>
  <c r="O432" i="3"/>
  <c r="O433" i="3" a="1"/>
  <c r="O433" i="3"/>
  <c r="O434" i="3" a="1"/>
  <c r="O434" i="3"/>
  <c r="O435" i="3" a="1"/>
  <c r="O435" i="3"/>
  <c r="O436" i="3" a="1"/>
  <c r="O436" i="3"/>
  <c r="O437" i="3" a="1"/>
  <c r="O437" i="3"/>
  <c r="O438" i="3" a="1"/>
  <c r="O438" i="3"/>
  <c r="O439" i="3" a="1"/>
  <c r="O439" i="3"/>
  <c r="O440" i="3" a="1"/>
  <c r="O440" i="3"/>
  <c r="O441" i="3" a="1"/>
  <c r="O441" i="3"/>
  <c r="O442" i="3" a="1"/>
  <c r="O442" i="3"/>
  <c r="O443" i="3" a="1"/>
  <c r="O443" i="3"/>
  <c r="O444" i="3" a="1"/>
  <c r="O444" i="3"/>
  <c r="O445" i="3" a="1"/>
  <c r="O445" i="3"/>
  <c r="O446" i="3" a="1"/>
  <c r="O446" i="3"/>
  <c r="O447" i="3" a="1"/>
  <c r="O447" i="3"/>
  <c r="O448" i="3" a="1"/>
  <c r="O448" i="3"/>
  <c r="O449" i="3" a="1"/>
  <c r="O449" i="3"/>
  <c r="O450" i="3" a="1"/>
  <c r="O450" i="3"/>
  <c r="O451" i="3" a="1"/>
  <c r="O451" i="3"/>
  <c r="O452" i="3" a="1"/>
  <c r="O452" i="3"/>
  <c r="O453" i="3" a="1"/>
  <c r="O453" i="3"/>
  <c r="O454" i="3" a="1"/>
  <c r="O454" i="3"/>
  <c r="O455" i="3" a="1"/>
  <c r="O455" i="3"/>
  <c r="O456" i="3" a="1"/>
  <c r="O456" i="3"/>
  <c r="O457" i="3" a="1"/>
  <c r="O457" i="3"/>
  <c r="O458" i="3" a="1"/>
  <c r="O458" i="3"/>
  <c r="O459" i="3" a="1"/>
  <c r="O459" i="3"/>
  <c r="O460" i="3" a="1"/>
  <c r="O460" i="3"/>
  <c r="O461" i="3" a="1"/>
  <c r="O461" i="3"/>
  <c r="O462" i="3" a="1"/>
  <c r="O462" i="3"/>
  <c r="O463" i="3" a="1"/>
  <c r="O463" i="3"/>
  <c r="O464" i="3" a="1"/>
  <c r="O464" i="3"/>
  <c r="O465" i="3" a="1"/>
  <c r="O465" i="3"/>
  <c r="O466" i="3" a="1"/>
  <c r="O466" i="3"/>
  <c r="O467" i="3" a="1"/>
  <c r="O467" i="3"/>
  <c r="O468" i="3" a="1"/>
  <c r="O468" i="3"/>
  <c r="O469" i="3" a="1"/>
  <c r="O469" i="3"/>
  <c r="O470" i="3" a="1"/>
  <c r="O470" i="3"/>
  <c r="O471" i="3" a="1"/>
  <c r="O471" i="3"/>
  <c r="O472" i="3" a="1"/>
  <c r="O472" i="3"/>
  <c r="O473" i="3" a="1"/>
  <c r="O473" i="3"/>
  <c r="O474" i="3" a="1"/>
  <c r="O474" i="3"/>
  <c r="O475" i="3" a="1"/>
  <c r="O475" i="3"/>
  <c r="O476" i="3" a="1"/>
  <c r="O476" i="3"/>
  <c r="O477" i="3" a="1"/>
  <c r="O477" i="3"/>
  <c r="O478" i="3" a="1"/>
  <c r="O478" i="3"/>
  <c r="O479" i="3" a="1"/>
  <c r="O479" i="3"/>
  <c r="O480" i="3" a="1"/>
  <c r="O480" i="3"/>
  <c r="O481" i="3" a="1"/>
  <c r="O481" i="3"/>
  <c r="O482" i="3" a="1"/>
  <c r="O482" i="3"/>
  <c r="O483" i="3" a="1"/>
  <c r="O483" i="3"/>
  <c r="O484" i="3" a="1"/>
  <c r="O484" i="3"/>
  <c r="O485" i="3" a="1"/>
  <c r="O485" i="3"/>
  <c r="O486" i="3" a="1"/>
  <c r="O486" i="3"/>
  <c r="O487" i="3" a="1"/>
  <c r="O487" i="3"/>
  <c r="O488" i="3" a="1"/>
  <c r="O488" i="3"/>
  <c r="O489" i="3" a="1"/>
  <c r="O489" i="3"/>
  <c r="O490" i="3" a="1"/>
  <c r="O490" i="3"/>
  <c r="O491" i="3" a="1"/>
  <c r="O491" i="3"/>
  <c r="O492" i="3" a="1"/>
  <c r="O492" i="3"/>
  <c r="O493" i="3" a="1"/>
  <c r="O493" i="3"/>
  <c r="O494" i="3" a="1"/>
  <c r="O494" i="3"/>
  <c r="O495" i="3" a="1"/>
  <c r="O495" i="3"/>
  <c r="O496" i="3" a="1"/>
  <c r="O496" i="3"/>
  <c r="O497" i="3" a="1"/>
  <c r="O497" i="3"/>
  <c r="O498" i="3" a="1"/>
  <c r="O498" i="3"/>
  <c r="O499" i="3" a="1"/>
  <c r="O499" i="3"/>
  <c r="O500" i="3" a="1"/>
  <c r="O500" i="3"/>
  <c r="O501" i="3" a="1"/>
  <c r="O501" i="3"/>
  <c r="O502" i="3" a="1"/>
  <c r="O502" i="3"/>
  <c r="O503" i="3" a="1"/>
  <c r="O503" i="3"/>
  <c r="O504" i="3" a="1"/>
  <c r="O504" i="3"/>
  <c r="O505" i="3" a="1"/>
  <c r="O505" i="3"/>
  <c r="O506" i="3" a="1"/>
  <c r="O506" i="3"/>
  <c r="O507" i="3" a="1"/>
  <c r="O507" i="3"/>
  <c r="O508" i="3" a="1"/>
  <c r="O508" i="3"/>
  <c r="O509" i="3" a="1"/>
  <c r="O509" i="3"/>
  <c r="O510" i="3" a="1"/>
  <c r="O510" i="3"/>
  <c r="O511" i="3" a="1"/>
  <c r="O511" i="3"/>
  <c r="O512" i="3" a="1"/>
  <c r="O512" i="3"/>
  <c r="O513" i="3" a="1"/>
  <c r="O513" i="3"/>
  <c r="O514" i="3" a="1"/>
  <c r="O514" i="3"/>
  <c r="O515" i="3" a="1"/>
  <c r="O515" i="3"/>
  <c r="O516" i="3" a="1"/>
  <c r="O516" i="3"/>
  <c r="O517" i="3" a="1"/>
  <c r="O517" i="3"/>
  <c r="O518" i="3" a="1"/>
  <c r="O518" i="3"/>
  <c r="O519" i="3" a="1"/>
  <c r="O519" i="3"/>
  <c r="O520" i="3" a="1"/>
  <c r="O520" i="3"/>
  <c r="O521" i="3" a="1"/>
  <c r="O521" i="3"/>
  <c r="O522" i="3" a="1"/>
  <c r="O522" i="3"/>
  <c r="O523" i="3" a="1"/>
  <c r="O523" i="3"/>
  <c r="O524" i="3" a="1"/>
  <c r="O524" i="3"/>
  <c r="O525" i="3" a="1"/>
  <c r="O525" i="3"/>
  <c r="O526" i="3" a="1"/>
  <c r="O526" i="3"/>
  <c r="O527" i="3" a="1"/>
  <c r="O527" i="3"/>
  <c r="O528" i="3" a="1"/>
  <c r="O528" i="3"/>
  <c r="O529" i="3" a="1"/>
  <c r="O529" i="3"/>
  <c r="O530" i="3" a="1"/>
  <c r="O530" i="3"/>
  <c r="O531" i="3" a="1"/>
  <c r="O531" i="3"/>
  <c r="O532" i="3" a="1"/>
  <c r="O532" i="3"/>
  <c r="O533" i="3" a="1"/>
  <c r="O533" i="3"/>
  <c r="O534" i="3" a="1"/>
  <c r="O534" i="3"/>
  <c r="O535" i="3" a="1"/>
  <c r="O535" i="3"/>
  <c r="O536" i="3" a="1"/>
  <c r="O536" i="3"/>
  <c r="O537" i="3" a="1"/>
  <c r="O537" i="3"/>
  <c r="O538" i="3" a="1"/>
  <c r="O538" i="3"/>
  <c r="O539" i="3" a="1"/>
  <c r="O539" i="3"/>
  <c r="O540" i="3" a="1"/>
  <c r="O540" i="3"/>
  <c r="O541" i="3" a="1"/>
  <c r="O541" i="3"/>
  <c r="O542" i="3" a="1"/>
  <c r="O542" i="3"/>
  <c r="O543" i="3" a="1"/>
  <c r="O543" i="3"/>
  <c r="O544" i="3" a="1"/>
  <c r="O544" i="3"/>
  <c r="O545" i="3" a="1"/>
  <c r="O545" i="3"/>
  <c r="O546" i="3" a="1"/>
  <c r="O546" i="3"/>
  <c r="O547" i="3" a="1"/>
  <c r="O547" i="3"/>
  <c r="O548" i="3" a="1"/>
  <c r="O548" i="3"/>
  <c r="O549" i="3" a="1"/>
  <c r="O549" i="3"/>
  <c r="O550" i="3" a="1"/>
  <c r="O550" i="3"/>
  <c r="O551" i="3" a="1"/>
  <c r="O551" i="3"/>
  <c r="O552" i="3" a="1"/>
  <c r="O552" i="3"/>
  <c r="O553" i="3" a="1"/>
  <c r="O553" i="3"/>
  <c r="O554" i="3" a="1"/>
  <c r="O554" i="3"/>
  <c r="O555" i="3" a="1"/>
  <c r="O555" i="3"/>
  <c r="O556" i="3" a="1"/>
  <c r="O556" i="3"/>
  <c r="O557" i="3" a="1"/>
  <c r="O557" i="3"/>
  <c r="O558" i="3" a="1"/>
  <c r="O558" i="3"/>
  <c r="O559" i="3" a="1"/>
  <c r="O559" i="3"/>
  <c r="O560" i="3" a="1"/>
  <c r="O560" i="3"/>
  <c r="O561" i="3" a="1"/>
  <c r="O561" i="3"/>
  <c r="O562" i="3" a="1"/>
  <c r="O562" i="3"/>
  <c r="O563" i="3" a="1"/>
  <c r="O563" i="3"/>
  <c r="O564" i="3" a="1"/>
  <c r="O564" i="3"/>
  <c r="O565" i="3" a="1"/>
  <c r="O565" i="3"/>
  <c r="O566" i="3" a="1"/>
  <c r="O566" i="3"/>
  <c r="O567" i="3" a="1"/>
  <c r="O567" i="3"/>
  <c r="O568" i="3" a="1"/>
  <c r="O568" i="3"/>
  <c r="O569" i="3" a="1"/>
  <c r="O569" i="3"/>
  <c r="O570" i="3" a="1"/>
  <c r="O570" i="3"/>
  <c r="O571" i="3" a="1"/>
  <c r="O571" i="3"/>
  <c r="O572" i="3" a="1"/>
  <c r="O572" i="3"/>
  <c r="O573" i="3" a="1"/>
  <c r="O573" i="3"/>
  <c r="O574" i="3" a="1"/>
  <c r="O574" i="3"/>
  <c r="O575" i="3" a="1"/>
  <c r="O575" i="3"/>
  <c r="O576" i="3" a="1"/>
  <c r="O576" i="3"/>
  <c r="O577" i="3" a="1"/>
  <c r="O577" i="3"/>
  <c r="O578" i="3" a="1"/>
  <c r="O578" i="3"/>
  <c r="O579" i="3" a="1"/>
  <c r="O579" i="3"/>
  <c r="O580" i="3" a="1"/>
  <c r="O580" i="3"/>
  <c r="O581" i="3" a="1"/>
  <c r="O581" i="3"/>
  <c r="O582" i="3" a="1"/>
  <c r="O582" i="3"/>
  <c r="O583" i="3" a="1"/>
  <c r="O583" i="3"/>
  <c r="O584" i="3" a="1"/>
  <c r="O584" i="3"/>
  <c r="O585" i="3" a="1"/>
  <c r="O585" i="3"/>
  <c r="O586" i="3" a="1"/>
  <c r="O586" i="3"/>
  <c r="O587" i="3" a="1"/>
  <c r="O587" i="3"/>
  <c r="O588" i="3" a="1"/>
  <c r="O588" i="3"/>
  <c r="O589" i="3" a="1"/>
  <c r="O589" i="3"/>
  <c r="O590" i="3" a="1"/>
  <c r="O590" i="3"/>
  <c r="O591" i="3" a="1"/>
  <c r="O591" i="3"/>
  <c r="O592" i="3" a="1"/>
  <c r="O592" i="3"/>
  <c r="O593" i="3" a="1"/>
  <c r="O593" i="3"/>
  <c r="O594" i="3" a="1"/>
  <c r="O594" i="3"/>
  <c r="O595" i="3" a="1"/>
  <c r="O595" i="3"/>
  <c r="O596" i="3" a="1"/>
  <c r="O596" i="3"/>
  <c r="O597" i="3" a="1"/>
  <c r="O597" i="3"/>
  <c r="O598" i="3" a="1"/>
  <c r="O598" i="3"/>
  <c r="O599" i="3" a="1"/>
  <c r="O599" i="3"/>
  <c r="O600" i="3" a="1"/>
  <c r="O600" i="3"/>
  <c r="O601" i="3" a="1"/>
  <c r="O601" i="3"/>
  <c r="O602" i="3" a="1"/>
  <c r="O602" i="3"/>
  <c r="O603" i="3" a="1"/>
  <c r="O603" i="3"/>
  <c r="O604" i="3" a="1"/>
  <c r="O604" i="3"/>
  <c r="O605" i="3" a="1"/>
  <c r="O605" i="3"/>
  <c r="O606" i="3" a="1"/>
  <c r="O606" i="3"/>
  <c r="O607" i="3" a="1"/>
  <c r="O607" i="3"/>
  <c r="O608" i="3" a="1"/>
  <c r="O608" i="3"/>
  <c r="O609" i="3" a="1"/>
  <c r="O609" i="3"/>
  <c r="O610" i="3" a="1"/>
  <c r="O610" i="3"/>
  <c r="O611" i="3" a="1"/>
  <c r="O611" i="3"/>
  <c r="O612" i="3" a="1"/>
  <c r="O612" i="3"/>
  <c r="O613" i="3" a="1"/>
  <c r="O613" i="3"/>
  <c r="O614" i="3" a="1"/>
  <c r="O614" i="3"/>
  <c r="O615" i="3" a="1"/>
  <c r="O615" i="3"/>
  <c r="O616" i="3" a="1"/>
  <c r="O616" i="3"/>
  <c r="O617" i="3" a="1"/>
  <c r="O617" i="3"/>
  <c r="O618" i="3" a="1"/>
  <c r="O618" i="3"/>
  <c r="O619" i="3" a="1"/>
  <c r="O619" i="3"/>
  <c r="O620" i="3" a="1"/>
  <c r="O620" i="3"/>
  <c r="O621" i="3" a="1"/>
  <c r="O621" i="3"/>
  <c r="O622" i="3" a="1"/>
  <c r="O622" i="3"/>
  <c r="O623" i="3" a="1"/>
  <c r="O623" i="3"/>
  <c r="O624" i="3" a="1"/>
  <c r="O624" i="3"/>
  <c r="O625" i="3" a="1"/>
  <c r="O625" i="3"/>
  <c r="O626" i="3" a="1"/>
  <c r="O626" i="3"/>
  <c r="O627" i="3" a="1"/>
  <c r="O627" i="3"/>
  <c r="O628" i="3" a="1"/>
  <c r="O628" i="3"/>
  <c r="O629" i="3" a="1"/>
  <c r="O629" i="3"/>
  <c r="O630" i="3" a="1"/>
  <c r="O630" i="3"/>
  <c r="O631" i="3" a="1"/>
  <c r="O631" i="3"/>
  <c r="O632" i="3" a="1"/>
  <c r="O632" i="3"/>
  <c r="O633" i="3" a="1"/>
  <c r="O633" i="3"/>
  <c r="O634" i="3" a="1"/>
  <c r="O634" i="3"/>
  <c r="O635" i="3" a="1"/>
  <c r="O635" i="3"/>
  <c r="O636" i="3" a="1"/>
  <c r="O636" i="3"/>
  <c r="O637" i="3" a="1"/>
  <c r="O637" i="3"/>
  <c r="O638" i="3" a="1"/>
  <c r="O638" i="3"/>
  <c r="O639" i="3" a="1"/>
  <c r="O639" i="3"/>
  <c r="O640" i="3" a="1"/>
  <c r="O640" i="3"/>
  <c r="O641" i="3" a="1"/>
  <c r="O641" i="3"/>
  <c r="O642" i="3" a="1"/>
  <c r="O642" i="3"/>
  <c r="O643" i="3" a="1"/>
  <c r="O643" i="3"/>
  <c r="O644" i="3" a="1"/>
  <c r="O644" i="3"/>
  <c r="O645" i="3" a="1"/>
  <c r="O645" i="3"/>
  <c r="O646" i="3" a="1"/>
  <c r="O646" i="3"/>
  <c r="O647" i="3" a="1"/>
  <c r="O647" i="3"/>
  <c r="O648" i="3" a="1"/>
  <c r="O648" i="3"/>
  <c r="O649" i="3" a="1"/>
  <c r="O649" i="3"/>
  <c r="O650" i="3" a="1"/>
  <c r="O650" i="3"/>
  <c r="O651" i="3" a="1"/>
  <c r="O651" i="3"/>
  <c r="O652" i="3" a="1"/>
  <c r="O652" i="3"/>
  <c r="O653" i="3" a="1"/>
  <c r="O653" i="3"/>
  <c r="O654" i="3" a="1"/>
  <c r="O654" i="3"/>
  <c r="O655" i="3" a="1"/>
  <c r="O655" i="3"/>
  <c r="O656" i="3" a="1"/>
  <c r="O656" i="3"/>
  <c r="O657" i="3" a="1"/>
  <c r="O657" i="3"/>
  <c r="O658" i="3" a="1"/>
  <c r="O658" i="3"/>
  <c r="O659" i="3" a="1"/>
  <c r="O659" i="3"/>
  <c r="O660" i="3" a="1"/>
  <c r="O660" i="3"/>
  <c r="O661" i="3" a="1"/>
  <c r="O661" i="3"/>
  <c r="O662" i="3" a="1"/>
  <c r="O662" i="3"/>
  <c r="O663" i="3" a="1"/>
  <c r="O663" i="3"/>
  <c r="O664" i="3" a="1"/>
  <c r="O664" i="3"/>
  <c r="O665" i="3" a="1"/>
  <c r="O665" i="3"/>
  <c r="O666" i="3" a="1"/>
  <c r="O666" i="3"/>
  <c r="O667" i="3" a="1"/>
  <c r="O667" i="3"/>
  <c r="O668" i="3" a="1"/>
  <c r="O668" i="3"/>
  <c r="O669" i="3" a="1"/>
  <c r="O669" i="3"/>
  <c r="O670" i="3" a="1"/>
  <c r="O670" i="3"/>
  <c r="O671" i="3" a="1"/>
  <c r="O671" i="3"/>
  <c r="O672" i="3" a="1"/>
  <c r="O672" i="3"/>
  <c r="O673" i="3" a="1"/>
  <c r="O673" i="3"/>
  <c r="O674" i="3" a="1"/>
  <c r="O674" i="3"/>
  <c r="O675" i="3" a="1"/>
  <c r="O675" i="3"/>
  <c r="O676" i="3" a="1"/>
  <c r="O676" i="3"/>
  <c r="O677" i="3" a="1"/>
  <c r="O677" i="3"/>
  <c r="O678" i="3" a="1"/>
  <c r="O678" i="3"/>
  <c r="O679" i="3" a="1"/>
  <c r="O679" i="3"/>
  <c r="O680" i="3" a="1"/>
  <c r="O680" i="3"/>
  <c r="O681" i="3" a="1"/>
  <c r="O681" i="3"/>
  <c r="O682" i="3" a="1"/>
  <c r="O682" i="3"/>
  <c r="O683" i="3" a="1"/>
  <c r="O683" i="3"/>
  <c r="O684" i="3" a="1"/>
  <c r="O684" i="3"/>
  <c r="O685" i="3" a="1"/>
  <c r="O685" i="3"/>
  <c r="O686" i="3" a="1"/>
  <c r="O686" i="3"/>
  <c r="O687" i="3" a="1"/>
  <c r="O687" i="3"/>
  <c r="O688" i="3" a="1"/>
  <c r="O688" i="3"/>
  <c r="O689" i="3" a="1"/>
  <c r="O689" i="3"/>
  <c r="O690" i="3" a="1"/>
  <c r="O690" i="3"/>
  <c r="O691" i="3" a="1"/>
  <c r="O691" i="3"/>
  <c r="O692" i="3" a="1"/>
  <c r="O692" i="3"/>
  <c r="O693" i="3" a="1"/>
  <c r="O693" i="3"/>
  <c r="O694" i="3" a="1"/>
  <c r="O694" i="3"/>
  <c r="O695" i="3" a="1"/>
  <c r="O695" i="3"/>
  <c r="O696" i="3" a="1"/>
  <c r="O696" i="3"/>
  <c r="O697" i="3" a="1"/>
  <c r="O697" i="3"/>
  <c r="O698" i="3" a="1"/>
  <c r="O698" i="3"/>
  <c r="O699" i="3" a="1"/>
  <c r="O699" i="3"/>
  <c r="O700" i="3" a="1"/>
  <c r="O700" i="3"/>
  <c r="O701" i="3" a="1"/>
  <c r="O701" i="3"/>
  <c r="O702" i="3" a="1"/>
  <c r="O702" i="3"/>
  <c r="O703" i="3" a="1"/>
  <c r="O703" i="3"/>
  <c r="O704" i="3" a="1"/>
  <c r="O704" i="3"/>
  <c r="O705" i="3" a="1"/>
  <c r="O705" i="3"/>
  <c r="O706" i="3" a="1"/>
  <c r="O706" i="3"/>
  <c r="O707" i="3" a="1"/>
  <c r="O707" i="3"/>
  <c r="O708" i="3" a="1"/>
  <c r="O708" i="3"/>
  <c r="O709" i="3" a="1"/>
  <c r="O709" i="3"/>
  <c r="O710" i="3" a="1"/>
  <c r="O710" i="3"/>
  <c r="O711" i="3" a="1"/>
  <c r="O711" i="3"/>
  <c r="O712" i="3" a="1"/>
  <c r="O712" i="3"/>
  <c r="O713" i="3" a="1"/>
  <c r="O713" i="3"/>
  <c r="O714" i="3" a="1"/>
  <c r="O714" i="3"/>
  <c r="O715" i="3" a="1"/>
  <c r="O715" i="3"/>
  <c r="O716" i="3" a="1"/>
  <c r="O716" i="3"/>
  <c r="O717" i="3" a="1"/>
  <c r="O717" i="3"/>
  <c r="O718" i="3" a="1"/>
  <c r="O718" i="3"/>
  <c r="O719" i="3" a="1"/>
  <c r="O719" i="3"/>
  <c r="O720" i="3" a="1"/>
  <c r="O720" i="3"/>
  <c r="O721" i="3" a="1"/>
  <c r="O721" i="3"/>
  <c r="O722" i="3" a="1"/>
  <c r="O722" i="3"/>
  <c r="O723" i="3" a="1"/>
  <c r="O723" i="3"/>
  <c r="O724" i="3" a="1"/>
  <c r="O724" i="3"/>
  <c r="O725" i="3" a="1"/>
  <c r="O725" i="3"/>
  <c r="O726" i="3" a="1"/>
  <c r="O726" i="3"/>
  <c r="O727" i="3" a="1"/>
  <c r="O727" i="3"/>
  <c r="O728" i="3" a="1"/>
  <c r="O728" i="3"/>
  <c r="O729" i="3" a="1"/>
  <c r="O729" i="3"/>
  <c r="O730" i="3" a="1"/>
  <c r="O730" i="3"/>
  <c r="O731" i="3" a="1"/>
  <c r="O731" i="3"/>
  <c r="O732" i="3" a="1"/>
  <c r="O732" i="3"/>
  <c r="O733" i="3" a="1"/>
  <c r="O733" i="3"/>
  <c r="O734" i="3" a="1"/>
  <c r="O734" i="3"/>
  <c r="O735" i="3" a="1"/>
  <c r="O735" i="3"/>
  <c r="O736" i="3" a="1"/>
  <c r="O736" i="3"/>
  <c r="O737" i="3" a="1"/>
  <c r="O737" i="3"/>
  <c r="O738" i="3" a="1"/>
  <c r="O738" i="3"/>
  <c r="O739" i="3" a="1"/>
  <c r="O739" i="3"/>
  <c r="O740" i="3" a="1"/>
  <c r="O740" i="3"/>
  <c r="O741" i="3" a="1"/>
  <c r="O741" i="3"/>
  <c r="O742" i="3" a="1"/>
  <c r="O742" i="3"/>
  <c r="O743" i="3" a="1"/>
  <c r="O743" i="3"/>
  <c r="O744" i="3" a="1"/>
  <c r="O744" i="3"/>
  <c r="O745" i="3" a="1"/>
  <c r="O745" i="3"/>
  <c r="O746" i="3" a="1"/>
  <c r="O746" i="3"/>
  <c r="O747" i="3" a="1"/>
  <c r="O747" i="3"/>
  <c r="O748" i="3" a="1"/>
  <c r="O748" i="3"/>
  <c r="O749" i="3" a="1"/>
  <c r="O749" i="3"/>
  <c r="O750" i="3" a="1"/>
  <c r="O750" i="3"/>
  <c r="O751" i="3" a="1"/>
  <c r="O751" i="3"/>
  <c r="O752" i="3" a="1"/>
  <c r="O752" i="3"/>
  <c r="O753" i="3" a="1"/>
  <c r="O753" i="3"/>
  <c r="O754" i="3" a="1"/>
  <c r="O754" i="3"/>
  <c r="O755" i="3" a="1"/>
  <c r="O755" i="3"/>
  <c r="O756" i="3" a="1"/>
  <c r="O756" i="3"/>
  <c r="O757" i="3" a="1"/>
  <c r="O757" i="3"/>
  <c r="O758" i="3" a="1"/>
  <c r="O758" i="3"/>
  <c r="O759" i="3" a="1"/>
  <c r="O759" i="3"/>
  <c r="O760" i="3" a="1"/>
  <c r="O760" i="3"/>
  <c r="O761" i="3" a="1"/>
  <c r="O761" i="3"/>
  <c r="O762" i="3" a="1"/>
  <c r="O762" i="3"/>
  <c r="O763" i="3" a="1"/>
  <c r="O763" i="3"/>
  <c r="O764" i="3" a="1"/>
  <c r="O764" i="3"/>
  <c r="O765" i="3" a="1"/>
  <c r="O765" i="3"/>
  <c r="O766" i="3" a="1"/>
  <c r="O766" i="3"/>
  <c r="O767" i="3" a="1"/>
  <c r="O767" i="3"/>
  <c r="O768" i="3" a="1"/>
  <c r="O768" i="3"/>
  <c r="O769" i="3" a="1"/>
  <c r="O769" i="3"/>
  <c r="O770" i="3" a="1"/>
  <c r="O770" i="3"/>
  <c r="O771" i="3" a="1"/>
  <c r="O771" i="3"/>
  <c r="O772" i="3" a="1"/>
  <c r="O772" i="3"/>
  <c r="O773" i="3" a="1"/>
  <c r="O773" i="3"/>
  <c r="O774" i="3" a="1"/>
  <c r="O774" i="3"/>
  <c r="O775" i="3" a="1"/>
  <c r="O775" i="3"/>
  <c r="O776" i="3" a="1"/>
  <c r="O776" i="3"/>
  <c r="O777" i="3" a="1"/>
  <c r="O777" i="3"/>
  <c r="O778" i="3" a="1"/>
  <c r="O778" i="3"/>
  <c r="O779" i="3" a="1"/>
  <c r="O779" i="3"/>
  <c r="O780" i="3" a="1"/>
  <c r="O780" i="3"/>
  <c r="O781" i="3" a="1"/>
  <c r="O781" i="3"/>
  <c r="O782" i="3" a="1"/>
  <c r="O782" i="3"/>
  <c r="O783" i="3" a="1"/>
  <c r="O783" i="3"/>
  <c r="O784" i="3" a="1"/>
  <c r="O784" i="3"/>
  <c r="O785" i="3" a="1"/>
  <c r="O785" i="3"/>
  <c r="O786" i="3" a="1"/>
  <c r="O786" i="3"/>
  <c r="O787" i="3" a="1"/>
  <c r="O787" i="3"/>
  <c r="O788" i="3" a="1"/>
  <c r="O788" i="3"/>
  <c r="O789" i="3" a="1"/>
  <c r="O789" i="3"/>
  <c r="O790" i="3" a="1"/>
  <c r="O790" i="3"/>
  <c r="O791" i="3" a="1"/>
  <c r="O791" i="3"/>
  <c r="O792" i="3" a="1"/>
  <c r="O792" i="3"/>
  <c r="O793" i="3" a="1"/>
  <c r="O793" i="3"/>
  <c r="O794" i="3" a="1"/>
  <c r="O794" i="3"/>
  <c r="O795" i="3" a="1"/>
  <c r="O795" i="3"/>
  <c r="O796" i="3" a="1"/>
  <c r="O796" i="3"/>
  <c r="O797" i="3" a="1"/>
  <c r="O797" i="3"/>
  <c r="O798" i="3" a="1"/>
  <c r="O798" i="3"/>
  <c r="O799" i="3" a="1"/>
  <c r="O799" i="3"/>
  <c r="O800" i="3" a="1"/>
  <c r="O800" i="3"/>
  <c r="O801" i="3" a="1"/>
  <c r="O801" i="3"/>
  <c r="O802" i="3" a="1"/>
  <c r="O802" i="3"/>
  <c r="O803" i="3" a="1"/>
  <c r="O803" i="3"/>
  <c r="O804" i="3" a="1"/>
  <c r="O804" i="3"/>
  <c r="O805" i="3" a="1"/>
  <c r="O805" i="3"/>
  <c r="O806" i="3" a="1"/>
  <c r="O806" i="3"/>
  <c r="O807" i="3" a="1"/>
  <c r="O807" i="3"/>
  <c r="O808" i="3" a="1"/>
  <c r="O808" i="3"/>
  <c r="O809" i="3" a="1"/>
  <c r="O809" i="3"/>
  <c r="O810" i="3" a="1"/>
  <c r="O810" i="3"/>
  <c r="O811" i="3" a="1"/>
  <c r="O811" i="3"/>
  <c r="O812" i="3" a="1"/>
  <c r="O812" i="3"/>
  <c r="O813" i="3" a="1"/>
  <c r="O813" i="3"/>
  <c r="O814" i="3" a="1"/>
  <c r="O814" i="3"/>
  <c r="O815" i="3" a="1"/>
  <c r="O815" i="3"/>
  <c r="O816" i="3" a="1"/>
  <c r="O816" i="3"/>
  <c r="O817" i="3" a="1"/>
  <c r="O817" i="3"/>
  <c r="O818" i="3" a="1"/>
  <c r="O818" i="3"/>
  <c r="O819" i="3" a="1"/>
  <c r="O819" i="3"/>
  <c r="O820" i="3" a="1"/>
  <c r="O820" i="3"/>
  <c r="O821" i="3" a="1"/>
  <c r="O821" i="3"/>
  <c r="O822" i="3" a="1"/>
  <c r="O822" i="3"/>
  <c r="O823" i="3" a="1"/>
  <c r="O823" i="3"/>
  <c r="O824" i="3" a="1"/>
  <c r="O824" i="3"/>
  <c r="O825" i="3" a="1"/>
  <c r="O825" i="3"/>
  <c r="O826" i="3" a="1"/>
  <c r="O826" i="3"/>
  <c r="O827" i="3" a="1"/>
  <c r="O827" i="3"/>
  <c r="O828" i="3" a="1"/>
  <c r="O828" i="3"/>
  <c r="O829" i="3" a="1"/>
  <c r="O829" i="3"/>
  <c r="O830" i="3" a="1"/>
  <c r="O830" i="3"/>
  <c r="O831" i="3" a="1"/>
  <c r="O831" i="3"/>
  <c r="O832" i="3" a="1"/>
  <c r="O832" i="3"/>
  <c r="O833" i="3" a="1"/>
  <c r="O833" i="3"/>
  <c r="O834" i="3" a="1"/>
  <c r="O834" i="3"/>
  <c r="O835" i="3" a="1"/>
  <c r="O835" i="3"/>
  <c r="O836" i="3" a="1"/>
  <c r="O836" i="3"/>
  <c r="O837" i="3" a="1"/>
  <c r="O837" i="3"/>
  <c r="O838" i="3" a="1"/>
  <c r="O838" i="3"/>
  <c r="O839" i="3" a="1"/>
  <c r="O839" i="3"/>
  <c r="O840" i="3" a="1"/>
  <c r="O840" i="3"/>
  <c r="O841" i="3" a="1"/>
  <c r="O841" i="3"/>
  <c r="O842" i="3" a="1"/>
  <c r="O842" i="3"/>
  <c r="O843" i="3" a="1"/>
  <c r="O843" i="3"/>
  <c r="O844" i="3" a="1"/>
  <c r="O844" i="3"/>
  <c r="O845" i="3" a="1"/>
  <c r="O845" i="3"/>
  <c r="O846" i="3" a="1"/>
  <c r="O846" i="3"/>
  <c r="O847" i="3" a="1"/>
  <c r="O847" i="3"/>
  <c r="O848" i="3" a="1"/>
  <c r="O848" i="3"/>
  <c r="O849" i="3" a="1"/>
  <c r="O849" i="3"/>
  <c r="O850" i="3" a="1"/>
  <c r="O850" i="3"/>
  <c r="O851" i="3" a="1"/>
  <c r="O851" i="3"/>
  <c r="O852" i="3" a="1"/>
  <c r="O852" i="3"/>
  <c r="O853" i="3" a="1"/>
  <c r="O853" i="3"/>
  <c r="O854" i="3" a="1"/>
  <c r="O854" i="3"/>
  <c r="O855" i="3" a="1"/>
  <c r="O855" i="3"/>
  <c r="O856" i="3" a="1"/>
  <c r="O856" i="3"/>
  <c r="O857" i="3" a="1"/>
  <c r="O857" i="3"/>
  <c r="O858" i="3" a="1"/>
  <c r="O858" i="3"/>
  <c r="O859" i="3" a="1"/>
  <c r="O859" i="3"/>
  <c r="O860" i="3" a="1"/>
  <c r="O860" i="3"/>
  <c r="O861" i="3" a="1"/>
  <c r="O861" i="3"/>
  <c r="O862" i="3" a="1"/>
  <c r="O862" i="3"/>
  <c r="O863" i="3" a="1"/>
  <c r="O863" i="3"/>
  <c r="O864" i="3" a="1"/>
  <c r="O864" i="3"/>
  <c r="O865" i="3" a="1"/>
  <c r="O865" i="3"/>
  <c r="O866" i="3" a="1"/>
  <c r="O866" i="3"/>
  <c r="O867" i="3" a="1"/>
  <c r="O867" i="3"/>
  <c r="O868" i="3" a="1"/>
  <c r="O868" i="3"/>
  <c r="O869" i="3" a="1"/>
  <c r="O869" i="3"/>
  <c r="O870" i="3" a="1"/>
  <c r="O870" i="3"/>
  <c r="O871" i="3" a="1"/>
  <c r="O871" i="3"/>
  <c r="O872" i="3" a="1"/>
  <c r="O872" i="3"/>
  <c r="O873" i="3" a="1"/>
  <c r="O873" i="3"/>
  <c r="O874" i="3" a="1"/>
  <c r="O874" i="3"/>
  <c r="O875" i="3" a="1"/>
  <c r="O875" i="3"/>
  <c r="O876" i="3" a="1"/>
  <c r="O876" i="3"/>
  <c r="O877" i="3" a="1"/>
  <c r="O877" i="3"/>
  <c r="O878" i="3" a="1"/>
  <c r="O878" i="3"/>
  <c r="O879" i="3" a="1"/>
  <c r="O879" i="3"/>
  <c r="O880" i="3" a="1"/>
  <c r="O880" i="3"/>
  <c r="O881" i="3" a="1"/>
  <c r="O881" i="3"/>
  <c r="O882" i="3" a="1"/>
  <c r="O882" i="3"/>
  <c r="O883" i="3" a="1"/>
  <c r="O883" i="3"/>
  <c r="O884" i="3" a="1"/>
  <c r="O884" i="3"/>
  <c r="O885" i="3" a="1"/>
  <c r="O885" i="3"/>
  <c r="O886" i="3" a="1"/>
  <c r="O886" i="3"/>
  <c r="O887" i="3" a="1"/>
  <c r="O887" i="3"/>
  <c r="O888" i="3" a="1"/>
  <c r="O888" i="3"/>
  <c r="O889" i="3" a="1"/>
  <c r="O889" i="3"/>
  <c r="O890" i="3" a="1"/>
  <c r="O890" i="3"/>
  <c r="O891" i="3" a="1"/>
  <c r="O891" i="3"/>
  <c r="O892" i="3" a="1"/>
  <c r="O892" i="3"/>
  <c r="O893" i="3" a="1"/>
  <c r="O893" i="3"/>
  <c r="O894" i="3" a="1"/>
  <c r="O894" i="3"/>
  <c r="O895" i="3" a="1"/>
  <c r="O895" i="3"/>
  <c r="O896" i="3" a="1"/>
  <c r="O896" i="3"/>
  <c r="O897" i="3" a="1"/>
  <c r="O897" i="3"/>
  <c r="O898" i="3" a="1"/>
  <c r="O898" i="3"/>
  <c r="O899" i="3" a="1"/>
  <c r="O899" i="3"/>
  <c r="O900" i="3" a="1"/>
  <c r="O900" i="3"/>
  <c r="O901" i="3" a="1"/>
  <c r="O901" i="3"/>
  <c r="O902" i="3" a="1"/>
  <c r="O902" i="3"/>
  <c r="O903" i="3" a="1"/>
  <c r="O903" i="3"/>
  <c r="O904" i="3" a="1"/>
  <c r="O904" i="3"/>
  <c r="O905" i="3" a="1"/>
  <c r="O905" i="3"/>
  <c r="O906" i="3" a="1"/>
  <c r="O906" i="3"/>
  <c r="O907" i="3" a="1"/>
  <c r="O907" i="3"/>
  <c r="O908" i="3" a="1"/>
  <c r="O908" i="3"/>
  <c r="O909" i="3" a="1"/>
  <c r="O909" i="3"/>
  <c r="O910" i="3" a="1"/>
  <c r="O910" i="3"/>
  <c r="O911" i="3" a="1"/>
  <c r="O911" i="3"/>
  <c r="O912" i="3" a="1"/>
  <c r="O912" i="3"/>
  <c r="O913" i="3" a="1"/>
  <c r="O913" i="3"/>
  <c r="O914" i="3" a="1"/>
  <c r="O914" i="3"/>
  <c r="O915" i="3" a="1"/>
  <c r="O915" i="3"/>
  <c r="O916" i="3" a="1"/>
  <c r="O916" i="3"/>
  <c r="O917" i="3" a="1"/>
  <c r="O917" i="3"/>
  <c r="O918" i="3" a="1"/>
  <c r="O918" i="3"/>
  <c r="O919" i="3" a="1"/>
  <c r="O919" i="3"/>
  <c r="O920" i="3" a="1"/>
  <c r="O920" i="3"/>
  <c r="O921" i="3" a="1"/>
  <c r="O921" i="3"/>
  <c r="O922" i="3" a="1"/>
  <c r="O922" i="3"/>
  <c r="O923" i="3" a="1"/>
  <c r="O923" i="3"/>
  <c r="O924" i="3" a="1"/>
  <c r="O924" i="3"/>
  <c r="O925" i="3" a="1"/>
  <c r="O925" i="3"/>
  <c r="O926" i="3" a="1"/>
  <c r="O926" i="3"/>
  <c r="O927" i="3" a="1"/>
  <c r="O927" i="3"/>
  <c r="O928" i="3" a="1"/>
  <c r="O928" i="3"/>
  <c r="O929" i="3" a="1"/>
  <c r="O929" i="3"/>
  <c r="O930" i="3" a="1"/>
  <c r="O930" i="3"/>
  <c r="O931" i="3" a="1"/>
  <c r="O931" i="3"/>
  <c r="O932" i="3" a="1"/>
  <c r="O932" i="3"/>
  <c r="O933" i="3" a="1"/>
  <c r="O933" i="3"/>
  <c r="O934" i="3" a="1"/>
  <c r="O934" i="3"/>
  <c r="O935" i="3" a="1"/>
  <c r="O935" i="3"/>
  <c r="O936" i="3" a="1"/>
  <c r="O936" i="3"/>
  <c r="O937" i="3" a="1"/>
  <c r="O937" i="3"/>
  <c r="O938" i="3" a="1"/>
  <c r="O938" i="3"/>
  <c r="O939" i="3" a="1"/>
  <c r="O939" i="3"/>
  <c r="O940" i="3" a="1"/>
  <c r="O940" i="3"/>
  <c r="O941" i="3" a="1"/>
  <c r="O941" i="3"/>
  <c r="O942" i="3" a="1"/>
  <c r="O942" i="3"/>
  <c r="O943" i="3" a="1"/>
  <c r="O943" i="3"/>
  <c r="O944" i="3" a="1"/>
  <c r="O944" i="3"/>
  <c r="O945" i="3" a="1"/>
  <c r="O945" i="3"/>
  <c r="O946" i="3" a="1"/>
  <c r="O946" i="3"/>
  <c r="O947" i="3" a="1"/>
  <c r="O947" i="3"/>
  <c r="O948" i="3" a="1"/>
  <c r="O948" i="3"/>
  <c r="O949" i="3" a="1"/>
  <c r="O949" i="3"/>
  <c r="O950" i="3" a="1"/>
  <c r="O950" i="3"/>
  <c r="O951" i="3" a="1"/>
  <c r="O951" i="3"/>
  <c r="O952" i="3" a="1"/>
  <c r="O952" i="3"/>
  <c r="O953" i="3" a="1"/>
  <c r="O953" i="3"/>
  <c r="O954" i="3" a="1"/>
  <c r="O954" i="3"/>
  <c r="O955" i="3" a="1"/>
  <c r="O955" i="3"/>
  <c r="O956" i="3" a="1"/>
  <c r="O956" i="3"/>
  <c r="O957" i="3" a="1"/>
  <c r="O957" i="3"/>
  <c r="O958" i="3" a="1"/>
  <c r="O958" i="3"/>
  <c r="O959" i="3" a="1"/>
  <c r="O959" i="3"/>
  <c r="O960" i="3" a="1"/>
  <c r="O960" i="3"/>
  <c r="O961" i="3" a="1"/>
  <c r="O961" i="3"/>
  <c r="O962" i="3" a="1"/>
  <c r="O962" i="3"/>
  <c r="O963" i="3" a="1"/>
  <c r="O963" i="3"/>
  <c r="O964" i="3" a="1"/>
  <c r="O964" i="3"/>
  <c r="O965" i="3" a="1"/>
  <c r="O965" i="3"/>
  <c r="O966" i="3" a="1"/>
  <c r="O966" i="3"/>
  <c r="O967" i="3" a="1"/>
  <c r="O967" i="3"/>
  <c r="O968" i="3" a="1"/>
  <c r="O968" i="3"/>
  <c r="O969" i="3" a="1"/>
  <c r="O969" i="3"/>
  <c r="O970" i="3" a="1"/>
  <c r="O970" i="3"/>
  <c r="O971" i="3" a="1"/>
  <c r="O971" i="3"/>
  <c r="O972" i="3" a="1"/>
  <c r="O972" i="3"/>
  <c r="O973" i="3" a="1"/>
  <c r="O973" i="3"/>
  <c r="O974" i="3" a="1"/>
  <c r="O974" i="3"/>
  <c r="O975" i="3" a="1"/>
  <c r="O975" i="3"/>
  <c r="O976" i="3" a="1"/>
  <c r="O976" i="3"/>
  <c r="O977" i="3" a="1"/>
  <c r="O977" i="3"/>
  <c r="O978" i="3" a="1"/>
  <c r="O978" i="3"/>
  <c r="O979" i="3" a="1"/>
  <c r="O979" i="3"/>
  <c r="O980" i="3" a="1"/>
  <c r="O980" i="3"/>
  <c r="O981" i="3" a="1"/>
  <c r="O981" i="3"/>
  <c r="O982" i="3" a="1"/>
  <c r="O982" i="3"/>
  <c r="O983" i="3" a="1"/>
  <c r="O983" i="3"/>
  <c r="O984" i="3" a="1"/>
  <c r="O984" i="3"/>
  <c r="O985" i="3" a="1"/>
  <c r="O985" i="3"/>
  <c r="O986" i="3" a="1"/>
  <c r="O986" i="3"/>
  <c r="O987" i="3" a="1"/>
  <c r="O987" i="3"/>
  <c r="O988" i="3" a="1"/>
  <c r="O988" i="3"/>
  <c r="O989" i="3" a="1"/>
  <c r="O989" i="3"/>
  <c r="O990" i="3" a="1"/>
  <c r="O990" i="3"/>
  <c r="O991" i="3" a="1"/>
  <c r="O991" i="3"/>
  <c r="O992" i="3" a="1"/>
  <c r="O992" i="3"/>
  <c r="O993" i="3" a="1"/>
  <c r="O993" i="3"/>
  <c r="O994" i="3" a="1"/>
  <c r="O994" i="3"/>
  <c r="O995" i="3" a="1"/>
  <c r="O995" i="3"/>
  <c r="O996" i="3" a="1"/>
  <c r="O996" i="3"/>
  <c r="O997" i="3" a="1"/>
  <c r="O997" i="3"/>
  <c r="O998" i="3" a="1"/>
  <c r="O998" i="3"/>
  <c r="O999" i="3" a="1"/>
  <c r="O999" i="3"/>
  <c r="O1000" i="3" a="1"/>
  <c r="O1000" i="3"/>
  <c r="O1001" i="3" a="1"/>
  <c r="O1001" i="3"/>
  <c r="O1002" i="3" a="1"/>
  <c r="O1002" i="3"/>
  <c r="O1003" i="3" a="1"/>
  <c r="O1003" i="3"/>
  <c r="O1004" i="3" a="1"/>
  <c r="O1004" i="3"/>
  <c r="O1005" i="3" a="1"/>
  <c r="O1005" i="3"/>
  <c r="O1006" i="3" a="1"/>
  <c r="O1006" i="3"/>
  <c r="O1007" i="3" a="1"/>
  <c r="O1007" i="3"/>
  <c r="O1008" i="3" a="1"/>
  <c r="O1008" i="3"/>
  <c r="O1009" i="3" a="1"/>
  <c r="O1009" i="3"/>
  <c r="O1010" i="3" a="1"/>
  <c r="O1010" i="3"/>
  <c r="O1011" i="3" a="1"/>
  <c r="O1011" i="3"/>
  <c r="O1012" i="3" a="1"/>
  <c r="O1012" i="3"/>
  <c r="O1013" i="3" a="1"/>
  <c r="O1013" i="3"/>
  <c r="O1014" i="3" a="1"/>
  <c r="O1014" i="3"/>
  <c r="O1015" i="3" a="1"/>
  <c r="O1015" i="3"/>
  <c r="O1016" i="3" a="1"/>
  <c r="O1016" i="3"/>
  <c r="O1017" i="3" a="1"/>
  <c r="O1017" i="3"/>
  <c r="O1018" i="3" a="1"/>
  <c r="O1018" i="3"/>
  <c r="O1019" i="3" a="1"/>
  <c r="O1019" i="3"/>
  <c r="O1020" i="3" a="1"/>
  <c r="O1020" i="3"/>
  <c r="O1021" i="3" a="1"/>
  <c r="O1021" i="3"/>
  <c r="O1022" i="3" a="1"/>
  <c r="O1022" i="3"/>
  <c r="O1023" i="3" a="1"/>
  <c r="O1023" i="3"/>
  <c r="O1024" i="3" a="1"/>
  <c r="O1024" i="3"/>
  <c r="O1025" i="3" a="1"/>
  <c r="O1025" i="3"/>
  <c r="O1026" i="3" a="1"/>
  <c r="O1026" i="3"/>
  <c r="O1027" i="3" a="1"/>
  <c r="O1027" i="3"/>
  <c r="O1028" i="3" a="1"/>
  <c r="O1028" i="3"/>
  <c r="O1029" i="3" a="1"/>
  <c r="O1029" i="3"/>
  <c r="O1030" i="3" a="1"/>
  <c r="O1030" i="3"/>
  <c r="O1031" i="3" a="1"/>
  <c r="O1031" i="3"/>
  <c r="O1032" i="3" a="1"/>
  <c r="O1032" i="3"/>
  <c r="O1033" i="3" a="1"/>
  <c r="O1033" i="3"/>
  <c r="O1034" i="3" a="1"/>
  <c r="O1034" i="3"/>
  <c r="O1035" i="3" a="1"/>
  <c r="O1035" i="3"/>
  <c r="O1036" i="3" a="1"/>
  <c r="O1036" i="3"/>
  <c r="O1037" i="3" a="1"/>
  <c r="O1037" i="3"/>
  <c r="O1038" i="3" a="1"/>
  <c r="O1038" i="3"/>
  <c r="O1039" i="3" a="1"/>
  <c r="O1039" i="3"/>
  <c r="O1040" i="3" a="1"/>
  <c r="O1040" i="3"/>
  <c r="O1041" i="3" a="1"/>
  <c r="O1041" i="3"/>
  <c r="O1042" i="3" a="1"/>
  <c r="O1042" i="3"/>
  <c r="O1043" i="3" a="1"/>
  <c r="O1043" i="3"/>
  <c r="O1044" i="3" a="1"/>
  <c r="O1044" i="3"/>
  <c r="O1045" i="3" a="1"/>
  <c r="O1045" i="3"/>
  <c r="O1046" i="3" a="1"/>
  <c r="O1046" i="3"/>
  <c r="O1047" i="3" a="1"/>
  <c r="O1047" i="3"/>
  <c r="O1048" i="3" a="1"/>
  <c r="O1048" i="3"/>
  <c r="O1049" i="3" a="1"/>
  <c r="O1049" i="3"/>
  <c r="O1050" i="3" a="1"/>
  <c r="O1050" i="3"/>
  <c r="O1051" i="3" a="1"/>
  <c r="O1051" i="3"/>
  <c r="O1052" i="3" a="1"/>
  <c r="O1052" i="3"/>
  <c r="O1053" i="3" a="1"/>
  <c r="O1053" i="3"/>
  <c r="O1054" i="3" a="1"/>
  <c r="O1054" i="3"/>
  <c r="O1055" i="3" a="1"/>
  <c r="O1055" i="3"/>
  <c r="O1056" i="3" a="1"/>
  <c r="O1056" i="3"/>
  <c r="O1057" i="3" a="1"/>
  <c r="O1057" i="3"/>
  <c r="O1058" i="3" a="1"/>
  <c r="O1058" i="3"/>
  <c r="O1059" i="3" a="1"/>
  <c r="O1059" i="3"/>
  <c r="O1060" i="3" a="1"/>
  <c r="O1060" i="3"/>
  <c r="O1061" i="3" a="1"/>
  <c r="O1061" i="3"/>
  <c r="O1062" i="3" a="1"/>
  <c r="O1062" i="3"/>
  <c r="O1063" i="3" a="1"/>
  <c r="O1063" i="3"/>
  <c r="O1064" i="3" a="1"/>
  <c r="O1064" i="3"/>
  <c r="O1065" i="3" a="1"/>
  <c r="O1065" i="3"/>
  <c r="O1066" i="3" a="1"/>
  <c r="O1066" i="3"/>
  <c r="O1067" i="3" a="1"/>
  <c r="O1067" i="3"/>
  <c r="O1068" i="3" a="1"/>
  <c r="O1068" i="3"/>
  <c r="O1069" i="3" a="1"/>
  <c r="O1069" i="3"/>
  <c r="O1070" i="3" a="1"/>
  <c r="O1070" i="3"/>
  <c r="O1071" i="3" a="1"/>
  <c r="O1071" i="3"/>
  <c r="O1072" i="3" a="1"/>
  <c r="O1072" i="3"/>
  <c r="O1073" i="3" a="1"/>
  <c r="O1073" i="3"/>
  <c r="O1074" i="3" a="1"/>
  <c r="O1074" i="3"/>
  <c r="O1075" i="3" a="1"/>
  <c r="O1075" i="3"/>
  <c r="O1076" i="3" a="1"/>
  <c r="O1076" i="3"/>
  <c r="O1077" i="3" a="1"/>
  <c r="O1077" i="3"/>
  <c r="O1078" i="3" a="1"/>
  <c r="O1078" i="3"/>
  <c r="O1079" i="3" a="1"/>
  <c r="O1079" i="3"/>
  <c r="O1080" i="3" a="1"/>
  <c r="O1080" i="3"/>
  <c r="O1081" i="3" a="1"/>
  <c r="O1081" i="3"/>
  <c r="O1082" i="3" a="1"/>
  <c r="O1082" i="3"/>
  <c r="O1083" i="3" a="1"/>
  <c r="O1083" i="3"/>
  <c r="O1084" i="3" a="1"/>
  <c r="O1084" i="3"/>
  <c r="O1085" i="3" a="1"/>
  <c r="O1085" i="3"/>
  <c r="O1086" i="3" a="1"/>
  <c r="O1086" i="3"/>
  <c r="O1087" i="3" a="1"/>
  <c r="O1087" i="3"/>
  <c r="O1088" i="3" a="1"/>
  <c r="O1088" i="3"/>
  <c r="O1089" i="3" a="1"/>
  <c r="O1089" i="3"/>
  <c r="O1090" i="3" a="1"/>
  <c r="O1090" i="3"/>
  <c r="O1091" i="3" a="1"/>
  <c r="O1091" i="3"/>
  <c r="O1092" i="3" a="1"/>
  <c r="O1092" i="3"/>
  <c r="O1093" i="3" a="1"/>
  <c r="O1093" i="3"/>
  <c r="O1094" i="3" a="1"/>
  <c r="O1094" i="3"/>
  <c r="O1095" i="3" a="1"/>
  <c r="O1095" i="3"/>
  <c r="O1096" i="3" a="1"/>
  <c r="O1096" i="3"/>
  <c r="O1097" i="3" a="1"/>
  <c r="O1097" i="3"/>
  <c r="O1098" i="3" a="1"/>
  <c r="O1098" i="3"/>
  <c r="O1099" i="3" a="1"/>
  <c r="O1099" i="3"/>
  <c r="O1100" i="3" a="1"/>
  <c r="O1100" i="3"/>
  <c r="O1101" i="3" a="1"/>
  <c r="O1101" i="3"/>
  <c r="O1102" i="3" a="1"/>
  <c r="O1102" i="3"/>
  <c r="O1103" i="3" a="1"/>
  <c r="O1103" i="3"/>
  <c r="O1104" i="3" a="1"/>
  <c r="O1104" i="3"/>
  <c r="O1105" i="3" a="1"/>
  <c r="O1105" i="3"/>
  <c r="O1106" i="3" a="1"/>
  <c r="O1106" i="3"/>
  <c r="O1107" i="3" a="1"/>
  <c r="O1107" i="3"/>
  <c r="O1108" i="3" a="1"/>
  <c r="O1108" i="3"/>
  <c r="O1109" i="3" a="1"/>
  <c r="O1109" i="3"/>
  <c r="O1110" i="3" a="1"/>
  <c r="O1110" i="3"/>
  <c r="O1111" i="3" a="1"/>
  <c r="O1111" i="3"/>
  <c r="O1112" i="3" a="1"/>
  <c r="O1112" i="3"/>
  <c r="O1113" i="3" a="1"/>
  <c r="O1113" i="3"/>
  <c r="O1114" i="3" a="1"/>
  <c r="O1114" i="3"/>
  <c r="O1115" i="3" a="1"/>
  <c r="O1115" i="3"/>
  <c r="O1116" i="3" a="1"/>
  <c r="O1116" i="3"/>
  <c r="O1117" i="3" a="1"/>
  <c r="O1117" i="3"/>
  <c r="O1118" i="3" a="1"/>
  <c r="O1118" i="3"/>
  <c r="O1119" i="3" a="1"/>
  <c r="O1119" i="3"/>
  <c r="O1120" i="3" a="1"/>
  <c r="O1120" i="3"/>
  <c r="O1121" i="3" a="1"/>
  <c r="O1121" i="3"/>
  <c r="O1122" i="3" a="1"/>
  <c r="O1122" i="3"/>
  <c r="O1123" i="3" a="1"/>
  <c r="O1123" i="3"/>
  <c r="O1124" i="3" a="1"/>
  <c r="O1124" i="3"/>
  <c r="O1125" i="3" a="1"/>
  <c r="O1125" i="3"/>
  <c r="O1126" i="3" a="1"/>
  <c r="O1126" i="3"/>
  <c r="O1127" i="3" a="1"/>
  <c r="O1127" i="3"/>
  <c r="O1128" i="3" a="1"/>
  <c r="O1128" i="3"/>
  <c r="O1129" i="3" a="1"/>
  <c r="O1129" i="3"/>
  <c r="O1130" i="3" a="1"/>
  <c r="O1130" i="3"/>
  <c r="O1131" i="3" a="1"/>
  <c r="O1131" i="3"/>
  <c r="O1132" i="3" a="1"/>
  <c r="O1132" i="3"/>
  <c r="O1133" i="3" a="1"/>
  <c r="O1133" i="3"/>
  <c r="O1134" i="3" a="1"/>
  <c r="O1134" i="3"/>
  <c r="O1135" i="3" a="1"/>
  <c r="O1135" i="3"/>
  <c r="O1136" i="3" a="1"/>
  <c r="O1136" i="3"/>
  <c r="O1137" i="3" a="1"/>
  <c r="O1137" i="3"/>
  <c r="O1138" i="3" a="1"/>
  <c r="O1138" i="3"/>
  <c r="O1139" i="3" a="1"/>
  <c r="O1139" i="3"/>
  <c r="O1140" i="3" a="1"/>
  <c r="O1140" i="3"/>
  <c r="O1141" i="3" a="1"/>
  <c r="O1141" i="3"/>
  <c r="O1142" i="3" a="1"/>
  <c r="O1142" i="3"/>
  <c r="O1143" i="3" a="1"/>
  <c r="O1143" i="3"/>
  <c r="O1144" i="3" a="1"/>
  <c r="O1144" i="3"/>
  <c r="O1145" i="3" a="1"/>
  <c r="O1145" i="3"/>
  <c r="O1146" i="3" a="1"/>
  <c r="O1146" i="3"/>
  <c r="O1147" i="3" a="1"/>
  <c r="O1147" i="3"/>
  <c r="O1148" i="3" a="1"/>
  <c r="O1148" i="3"/>
  <c r="O1149" i="3" a="1"/>
  <c r="O1149" i="3"/>
  <c r="O1150" i="3" a="1"/>
  <c r="O1150" i="3"/>
  <c r="O1151" i="3" a="1"/>
  <c r="O1151" i="3"/>
  <c r="O1152" i="3" a="1"/>
  <c r="O1152" i="3"/>
  <c r="O1153" i="3" a="1"/>
  <c r="O1153" i="3"/>
  <c r="O1154" i="3" a="1"/>
  <c r="O1154" i="3"/>
  <c r="O1155" i="3" a="1"/>
  <c r="O1155" i="3"/>
  <c r="O1156" i="3" a="1"/>
  <c r="O1156" i="3"/>
  <c r="O1157" i="3" a="1"/>
  <c r="O1157" i="3"/>
  <c r="O1158" i="3" a="1"/>
  <c r="O1158" i="3"/>
  <c r="O1159" i="3" a="1"/>
  <c r="O1159" i="3"/>
  <c r="O1160" i="3" a="1"/>
  <c r="O1160" i="3"/>
  <c r="O1161" i="3" a="1"/>
  <c r="O1161" i="3"/>
  <c r="O1162" i="3" a="1"/>
  <c r="O1162" i="3"/>
  <c r="O1163" i="3" a="1"/>
  <c r="O1163" i="3"/>
  <c r="O1164" i="3" a="1"/>
  <c r="O1164" i="3"/>
  <c r="O1165" i="3" a="1"/>
  <c r="O1165" i="3"/>
  <c r="O1166" i="3" a="1"/>
  <c r="O1166" i="3"/>
  <c r="O1167" i="3" a="1"/>
  <c r="O1167" i="3"/>
  <c r="O1168" i="3" a="1"/>
  <c r="O1168" i="3"/>
  <c r="O1169" i="3" a="1"/>
  <c r="O1169" i="3"/>
  <c r="O1170" i="3" a="1"/>
  <c r="O1170" i="3"/>
  <c r="O1171" i="3" a="1"/>
  <c r="O1171" i="3"/>
  <c r="O1172" i="3" a="1"/>
  <c r="O1172" i="3"/>
  <c r="O1173" i="3" a="1"/>
  <c r="O1173" i="3"/>
  <c r="O1174" i="3" a="1"/>
  <c r="O1174" i="3"/>
  <c r="O1175" i="3" a="1"/>
  <c r="O1175" i="3"/>
  <c r="O1176" i="3" a="1"/>
  <c r="O1176" i="3"/>
  <c r="O1177" i="3" a="1"/>
  <c r="O1177" i="3"/>
  <c r="O1178" i="3" a="1"/>
  <c r="O1178" i="3"/>
  <c r="O1179" i="3" a="1"/>
  <c r="O1179" i="3"/>
  <c r="O1180" i="3" a="1"/>
  <c r="O1180" i="3"/>
  <c r="O1181" i="3" a="1"/>
  <c r="O1181" i="3"/>
  <c r="O1182" i="3" a="1"/>
  <c r="O1182" i="3"/>
  <c r="O1183" i="3" a="1"/>
  <c r="O1183" i="3"/>
  <c r="O1184" i="3" a="1"/>
  <c r="O1184" i="3"/>
  <c r="O1185" i="3" a="1"/>
  <c r="O1185" i="3"/>
  <c r="O1186" i="3" a="1"/>
  <c r="O1186" i="3"/>
  <c r="O1187" i="3" a="1"/>
  <c r="O1187" i="3"/>
  <c r="O1188" i="3" a="1"/>
  <c r="O1188" i="3"/>
  <c r="O1189" i="3" a="1"/>
  <c r="O1189" i="3"/>
  <c r="O1190" i="3" a="1"/>
  <c r="O1190" i="3"/>
  <c r="O1191" i="3" a="1"/>
  <c r="O1191" i="3"/>
  <c r="O1192" i="3" a="1"/>
  <c r="O1192" i="3"/>
  <c r="O1193" i="3" a="1"/>
  <c r="O1193" i="3"/>
  <c r="O1194" i="3" a="1"/>
  <c r="O1194" i="3"/>
  <c r="O1195" i="3" a="1"/>
  <c r="O1195" i="3"/>
  <c r="O1196" i="3" a="1"/>
  <c r="O1196" i="3"/>
  <c r="O1197" i="3" a="1"/>
  <c r="O1197" i="3"/>
  <c r="O1198" i="3" a="1"/>
  <c r="O1198" i="3"/>
  <c r="O1199" i="3" a="1"/>
  <c r="O1199" i="3"/>
  <c r="O1200" i="3" a="1"/>
  <c r="O1200" i="3"/>
  <c r="O1201" i="3" a="1"/>
  <c r="O1201" i="3"/>
  <c r="O1202" i="3" a="1"/>
  <c r="O1202" i="3"/>
  <c r="O1203" i="3" a="1"/>
  <c r="O1203" i="3"/>
  <c r="O1204" i="3" a="1"/>
  <c r="O1204" i="3"/>
  <c r="O1205" i="3" a="1"/>
  <c r="O1205" i="3"/>
  <c r="O1206" i="3" a="1"/>
  <c r="O1206" i="3"/>
  <c r="O1207" i="3" a="1"/>
  <c r="O1207" i="3"/>
  <c r="O1208" i="3" a="1"/>
  <c r="O1208" i="3"/>
  <c r="O1209" i="3" a="1"/>
  <c r="O1209" i="3"/>
  <c r="O1210" i="3" a="1"/>
  <c r="O1210" i="3"/>
  <c r="O1211" i="3" a="1"/>
  <c r="O1211" i="3"/>
  <c r="O1212" i="3" a="1"/>
  <c r="O1212" i="3"/>
  <c r="O1213" i="3" a="1"/>
  <c r="O1213" i="3"/>
  <c r="O1214" i="3" a="1"/>
  <c r="O1214" i="3"/>
  <c r="O1215" i="3" a="1"/>
  <c r="O1215" i="3"/>
  <c r="O1216" i="3" a="1"/>
  <c r="O1216" i="3"/>
  <c r="O1217" i="3" a="1"/>
  <c r="O1217" i="3"/>
  <c r="O1218" i="3" a="1"/>
  <c r="O1218" i="3"/>
  <c r="O1219" i="3" a="1"/>
  <c r="O1219" i="3"/>
  <c r="O1220" i="3" a="1"/>
  <c r="O1220" i="3"/>
  <c r="O1221" i="3" a="1"/>
  <c r="O1221" i="3"/>
  <c r="O1222" i="3" a="1"/>
  <c r="O1222" i="3"/>
  <c r="O1223" i="3" a="1"/>
  <c r="O1223" i="3"/>
  <c r="O1224" i="3" a="1"/>
  <c r="O1224" i="3"/>
  <c r="O1225" i="3" a="1"/>
  <c r="O1225" i="3"/>
  <c r="O1226" i="3" a="1"/>
  <c r="O1226" i="3"/>
  <c r="O1227" i="3" a="1"/>
  <c r="O1227" i="3"/>
  <c r="O1228" i="3" a="1"/>
  <c r="O1228" i="3"/>
  <c r="O1229" i="3" a="1"/>
  <c r="O1229" i="3"/>
  <c r="O1230" i="3" a="1"/>
  <c r="O1230" i="3"/>
  <c r="O1231" i="3" a="1"/>
  <c r="O1231" i="3"/>
  <c r="O1232" i="3" a="1"/>
  <c r="O1232" i="3"/>
  <c r="O1233" i="3" a="1"/>
  <c r="O1233" i="3"/>
  <c r="O1234" i="3" a="1"/>
  <c r="O1234" i="3"/>
  <c r="O1235" i="3" a="1"/>
  <c r="O1235" i="3"/>
  <c r="O1236" i="3" a="1"/>
  <c r="O1236" i="3"/>
  <c r="O1237" i="3" a="1"/>
  <c r="O1237" i="3"/>
  <c r="O1238" i="3" a="1"/>
  <c r="O1238" i="3"/>
  <c r="O1239" i="3" a="1"/>
  <c r="O1239" i="3"/>
  <c r="O1240" i="3" a="1"/>
  <c r="O1240" i="3"/>
  <c r="O1241" i="3" a="1"/>
  <c r="O1241" i="3"/>
  <c r="O1242" i="3" a="1"/>
  <c r="O1242" i="3"/>
  <c r="O1243" i="3" a="1"/>
  <c r="O1243" i="3"/>
  <c r="O1244" i="3" a="1"/>
  <c r="O1244" i="3"/>
  <c r="O1245" i="3" a="1"/>
  <c r="O1245" i="3"/>
  <c r="O1246" i="3" a="1"/>
  <c r="O1246" i="3"/>
  <c r="O1247" i="3" a="1"/>
  <c r="O1247" i="3"/>
  <c r="O1248" i="3" a="1"/>
  <c r="O1248" i="3"/>
  <c r="O1249" i="3" a="1"/>
  <c r="O1249" i="3"/>
  <c r="O1250" i="3" a="1"/>
  <c r="O1250" i="3"/>
  <c r="O1251" i="3" a="1"/>
  <c r="O1251" i="3"/>
  <c r="O1252" i="3" a="1"/>
  <c r="O1252" i="3"/>
  <c r="O1253" i="3" a="1"/>
  <c r="O1253" i="3"/>
  <c r="O1254" i="3" a="1"/>
  <c r="O1254" i="3"/>
  <c r="O1255" i="3" a="1"/>
  <c r="O1255" i="3"/>
  <c r="O1256" i="3" a="1"/>
  <c r="O1256" i="3"/>
  <c r="O1257" i="3" a="1"/>
  <c r="O1257" i="3"/>
  <c r="O1258" i="3" a="1"/>
  <c r="O1258" i="3"/>
  <c r="O1259" i="3" a="1"/>
  <c r="O1259" i="3"/>
  <c r="O1260" i="3" a="1"/>
  <c r="O1260" i="3"/>
  <c r="O1261" i="3" a="1"/>
  <c r="O1261" i="3"/>
  <c r="O1262" i="3" a="1"/>
  <c r="O1262" i="3"/>
  <c r="O1263" i="3" a="1"/>
  <c r="O1263" i="3"/>
  <c r="O1264" i="3" a="1"/>
  <c r="O1264" i="3"/>
  <c r="O1265" i="3" a="1"/>
  <c r="O1265" i="3"/>
  <c r="O1266" i="3" a="1"/>
  <c r="O1266" i="3"/>
  <c r="O1267" i="3" a="1"/>
  <c r="O1267" i="3"/>
  <c r="O1268" i="3" a="1"/>
  <c r="O1268" i="3"/>
  <c r="O1269" i="3" a="1"/>
  <c r="O1269" i="3"/>
  <c r="O1270" i="3" a="1"/>
  <c r="O1270" i="3"/>
  <c r="O1271" i="3" a="1"/>
  <c r="O1271" i="3"/>
  <c r="O1272" i="3" a="1"/>
  <c r="O1272" i="3"/>
  <c r="O1273" i="3" a="1"/>
  <c r="O1273" i="3"/>
  <c r="O1274" i="3" a="1"/>
  <c r="O1274" i="3"/>
  <c r="O1275" i="3" a="1"/>
  <c r="O1275" i="3"/>
  <c r="O1276" i="3" a="1"/>
  <c r="O1276" i="3"/>
  <c r="O1277" i="3" a="1"/>
  <c r="O1277" i="3"/>
  <c r="O1278" i="3" a="1"/>
  <c r="O1278" i="3"/>
  <c r="O1279" i="3" a="1"/>
  <c r="O1279" i="3"/>
  <c r="O1280" i="3" a="1"/>
  <c r="O1280" i="3"/>
  <c r="O1281" i="3" a="1"/>
  <c r="O1281" i="3"/>
  <c r="O1282" i="3" a="1"/>
  <c r="O1282" i="3"/>
  <c r="O1283" i="3" a="1"/>
  <c r="O1283" i="3"/>
  <c r="O1284" i="3" a="1"/>
  <c r="O1284" i="3"/>
  <c r="O1285" i="3" a="1"/>
  <c r="O1285" i="3"/>
  <c r="O1286" i="3" a="1"/>
  <c r="O1286" i="3"/>
  <c r="O1287" i="3" a="1"/>
  <c r="O1287" i="3"/>
  <c r="O1288" i="3" a="1"/>
  <c r="O1288" i="3"/>
  <c r="O1289" i="3" a="1"/>
  <c r="O1289" i="3"/>
  <c r="O1290" i="3" a="1"/>
  <c r="O1290" i="3"/>
  <c r="O1291" i="3" a="1"/>
  <c r="O1291" i="3"/>
  <c r="O1292" i="3" a="1"/>
  <c r="O1292" i="3"/>
  <c r="O1293" i="3" a="1"/>
  <c r="O1293" i="3"/>
  <c r="O1294" i="3" a="1"/>
  <c r="O1294" i="3"/>
  <c r="O1295" i="3" a="1"/>
  <c r="O1295" i="3"/>
  <c r="O1296" i="3" a="1"/>
  <c r="O1296" i="3"/>
  <c r="O1297" i="3" a="1"/>
  <c r="O1297" i="3"/>
  <c r="O1298" i="3" a="1"/>
  <c r="O1298" i="3"/>
  <c r="O1299" i="3" a="1"/>
  <c r="O1299" i="3"/>
  <c r="O1300" i="3" a="1"/>
  <c r="O1300" i="3"/>
  <c r="O1301" i="3" a="1"/>
  <c r="O1301" i="3"/>
  <c r="O1302" i="3" a="1"/>
  <c r="O1302" i="3"/>
  <c r="O1303" i="3" a="1"/>
  <c r="O1303" i="3"/>
  <c r="O1304" i="3" a="1"/>
  <c r="O1304" i="3"/>
  <c r="O1305" i="3" a="1"/>
  <c r="O1305" i="3"/>
  <c r="O1306" i="3" a="1"/>
  <c r="O1306" i="3"/>
  <c r="O1307" i="3" a="1"/>
  <c r="O1307" i="3"/>
  <c r="O1308" i="3" a="1"/>
  <c r="O1308" i="3"/>
  <c r="O1309" i="3" a="1"/>
  <c r="O1309" i="3"/>
  <c r="O1310" i="3" a="1"/>
  <c r="O1310" i="3"/>
  <c r="O1311" i="3" a="1"/>
  <c r="O1311" i="3"/>
  <c r="O1312" i="3" a="1"/>
  <c r="O1312" i="3"/>
  <c r="O1313" i="3" a="1"/>
  <c r="O1313" i="3"/>
  <c r="O1314" i="3" a="1"/>
  <c r="O1314" i="3"/>
  <c r="O1315" i="3" a="1"/>
  <c r="O1315" i="3"/>
  <c r="O1316" i="3" a="1"/>
  <c r="O1316" i="3"/>
  <c r="O1317" i="3" a="1"/>
  <c r="O1317" i="3"/>
  <c r="O1318" i="3" a="1"/>
  <c r="O1318" i="3"/>
  <c r="O1319" i="3" a="1"/>
  <c r="O1319" i="3"/>
  <c r="O1320" i="3" a="1"/>
  <c r="O1320" i="3"/>
  <c r="O1321" i="3" a="1"/>
  <c r="O1321" i="3"/>
  <c r="O1322" i="3" a="1"/>
  <c r="O1322" i="3"/>
  <c r="O1323" i="3" a="1"/>
  <c r="O1323" i="3"/>
  <c r="O1324" i="3" a="1"/>
  <c r="O1324" i="3"/>
  <c r="O1325" i="3" a="1"/>
  <c r="O1325" i="3"/>
  <c r="O1326" i="3" a="1"/>
  <c r="O1326" i="3"/>
  <c r="O1327" i="3" a="1"/>
  <c r="O1327" i="3"/>
  <c r="O1328" i="3" a="1"/>
  <c r="O1328" i="3"/>
  <c r="O1329" i="3" a="1"/>
  <c r="O1329" i="3"/>
  <c r="O1330" i="3" a="1"/>
  <c r="O1330" i="3"/>
  <c r="O1331" i="3" a="1"/>
  <c r="O1331" i="3"/>
  <c r="O1332" i="3" a="1"/>
  <c r="O1332" i="3"/>
  <c r="O1333" i="3" a="1"/>
  <c r="O1333" i="3"/>
  <c r="O1334" i="3" a="1"/>
  <c r="O1334" i="3"/>
  <c r="O1335" i="3" a="1"/>
  <c r="O1335" i="3"/>
  <c r="O1336" i="3" a="1"/>
  <c r="O1336" i="3"/>
  <c r="O1337" i="3" a="1"/>
  <c r="O1337" i="3"/>
  <c r="O1338" i="3" a="1"/>
  <c r="O1338" i="3"/>
  <c r="O1339" i="3" a="1"/>
  <c r="O1339" i="3"/>
  <c r="O1340" i="3" a="1"/>
  <c r="O1340" i="3"/>
  <c r="O1341" i="3" a="1"/>
  <c r="O1341" i="3"/>
  <c r="O1342" i="3" a="1"/>
  <c r="O1342" i="3"/>
  <c r="O1343" i="3" a="1"/>
  <c r="O1343" i="3"/>
  <c r="O1344" i="3" a="1"/>
  <c r="O1344" i="3"/>
  <c r="O1345" i="3" a="1"/>
  <c r="O1345" i="3"/>
  <c r="O1346" i="3" a="1"/>
  <c r="O1346" i="3"/>
  <c r="O1347" i="3" a="1"/>
  <c r="O1347" i="3"/>
  <c r="O1348" i="3" a="1"/>
  <c r="O1348" i="3"/>
  <c r="O1349" i="3" a="1"/>
  <c r="O1349" i="3"/>
  <c r="O1350" i="3" a="1"/>
  <c r="O1350" i="3"/>
  <c r="O1351" i="3" a="1"/>
  <c r="O1351" i="3"/>
  <c r="O1352" i="3" a="1"/>
  <c r="O1352" i="3"/>
  <c r="O1353" i="3" a="1"/>
  <c r="O1353" i="3"/>
  <c r="O1354" i="3" a="1"/>
  <c r="O1354" i="3"/>
  <c r="O1355" i="3" a="1"/>
  <c r="O1355" i="3"/>
  <c r="O1356" i="3" a="1"/>
  <c r="O1356" i="3"/>
  <c r="O1357" i="3" a="1"/>
  <c r="O1357" i="3"/>
  <c r="O1358" i="3" a="1"/>
  <c r="O1358" i="3"/>
  <c r="O1359" i="3" a="1"/>
  <c r="O1359" i="3"/>
  <c r="O1360" i="3" a="1"/>
  <c r="O1360" i="3"/>
  <c r="O1361" i="3" a="1"/>
  <c r="O1361" i="3"/>
  <c r="O1362" i="3" a="1"/>
  <c r="O1362" i="3"/>
  <c r="O1363" i="3" a="1"/>
  <c r="O1363" i="3"/>
  <c r="O1364" i="3" a="1"/>
  <c r="O1364" i="3"/>
  <c r="O1365" i="3" a="1"/>
  <c r="O1365" i="3"/>
  <c r="O1366" i="3" a="1"/>
  <c r="O1366" i="3"/>
  <c r="O1367" i="3" a="1"/>
  <c r="O1367" i="3"/>
  <c r="O1368" i="3" a="1"/>
  <c r="O1368" i="3"/>
  <c r="O1369" i="3" a="1"/>
  <c r="O1369" i="3"/>
  <c r="O1370" i="3" a="1"/>
  <c r="O1370" i="3"/>
  <c r="O1371" i="3" a="1"/>
  <c r="O1371" i="3"/>
  <c r="O1372" i="3" a="1"/>
  <c r="O1372" i="3"/>
  <c r="O1373" i="3" a="1"/>
  <c r="O1373" i="3"/>
  <c r="O1374" i="3" a="1"/>
  <c r="O1374" i="3"/>
  <c r="O1375" i="3" a="1"/>
  <c r="O1375" i="3"/>
  <c r="O1376" i="3" a="1"/>
  <c r="O1376" i="3"/>
  <c r="O1377" i="3" a="1"/>
  <c r="O1377" i="3"/>
  <c r="O1378" i="3" a="1"/>
  <c r="O1378" i="3"/>
  <c r="O1379" i="3" a="1"/>
  <c r="O1379" i="3"/>
  <c r="O1380" i="3" a="1"/>
  <c r="O1380" i="3"/>
  <c r="O1381" i="3" a="1"/>
  <c r="O1381" i="3"/>
  <c r="O1382" i="3" a="1"/>
  <c r="O1382" i="3"/>
  <c r="O1383" i="3" a="1"/>
  <c r="O1383" i="3"/>
  <c r="O1384" i="3" a="1"/>
  <c r="O1384" i="3"/>
  <c r="O1385" i="3" a="1"/>
  <c r="O1385" i="3"/>
  <c r="O1386" i="3" a="1"/>
  <c r="O1386" i="3"/>
  <c r="O1387" i="3" a="1"/>
  <c r="O1387" i="3"/>
  <c r="O1388" i="3" a="1"/>
  <c r="O1388" i="3"/>
  <c r="O1389" i="3" a="1"/>
  <c r="O1389" i="3"/>
  <c r="O1390" i="3" a="1"/>
  <c r="O1390" i="3"/>
  <c r="O1391" i="3" a="1"/>
  <c r="O1391" i="3"/>
  <c r="O1392" i="3" a="1"/>
  <c r="O1392" i="3"/>
  <c r="O1393" i="3" a="1"/>
  <c r="O1393" i="3"/>
  <c r="O1394" i="3" a="1"/>
  <c r="O1394" i="3"/>
  <c r="O1395" i="3" a="1"/>
  <c r="O1395" i="3"/>
  <c r="O1396" i="3" a="1"/>
  <c r="O1396" i="3"/>
  <c r="O1397" i="3" a="1"/>
  <c r="O1397" i="3"/>
  <c r="O1398" i="3" a="1"/>
  <c r="O1398" i="3"/>
  <c r="O1399" i="3" a="1"/>
  <c r="O1399" i="3"/>
  <c r="O1400" i="3" a="1"/>
  <c r="O1400" i="3"/>
  <c r="O1401" i="3" a="1"/>
  <c r="O1401" i="3"/>
  <c r="O1402" i="3" a="1"/>
  <c r="O1402" i="3"/>
  <c r="O1403" i="3" a="1"/>
  <c r="O1403" i="3"/>
  <c r="O1404" i="3" a="1"/>
  <c r="O1404" i="3"/>
  <c r="O1405" i="3" a="1"/>
  <c r="O1405" i="3"/>
  <c r="O1406" i="3" a="1"/>
  <c r="O1406" i="3"/>
  <c r="O1407" i="3" a="1"/>
  <c r="O1407" i="3"/>
  <c r="O1408" i="3" a="1"/>
  <c r="O1408" i="3"/>
  <c r="O1409" i="3" a="1"/>
  <c r="O1409" i="3"/>
  <c r="O1410" i="3" a="1"/>
  <c r="O1410" i="3"/>
  <c r="O1411" i="3" a="1"/>
  <c r="O1411" i="3"/>
  <c r="O1412" i="3" a="1"/>
  <c r="O1412" i="3"/>
  <c r="O1413" i="3" a="1"/>
  <c r="O1413" i="3"/>
  <c r="O1414" i="3" a="1"/>
  <c r="O1414" i="3"/>
  <c r="O1415" i="3" a="1"/>
  <c r="O1415" i="3"/>
  <c r="O1416" i="3" a="1"/>
  <c r="O1416" i="3"/>
  <c r="O1417" i="3" a="1"/>
  <c r="O1417" i="3"/>
  <c r="O1418" i="3" a="1"/>
  <c r="O1418" i="3"/>
  <c r="O1419" i="3" a="1"/>
  <c r="O1419" i="3"/>
  <c r="O1420" i="3" a="1"/>
  <c r="O1420" i="3"/>
  <c r="O1421" i="3" a="1"/>
  <c r="O1421" i="3"/>
  <c r="O1422" i="3" a="1"/>
  <c r="O1422" i="3"/>
  <c r="O1423" i="3" a="1"/>
  <c r="O1423" i="3"/>
  <c r="O1424" i="3" a="1"/>
  <c r="O1424" i="3"/>
  <c r="O1425" i="3" a="1"/>
  <c r="O1425" i="3"/>
  <c r="O1426" i="3" a="1"/>
  <c r="O1426" i="3"/>
  <c r="O1427" i="3" a="1"/>
  <c r="O1427" i="3"/>
  <c r="O1428" i="3" a="1"/>
  <c r="O1428" i="3"/>
  <c r="O1429" i="3" a="1"/>
  <c r="O1429" i="3"/>
  <c r="O1430" i="3" a="1"/>
  <c r="O1430" i="3"/>
  <c r="O1431" i="3" a="1"/>
  <c r="O1431" i="3"/>
  <c r="O1432" i="3" a="1"/>
  <c r="O1432" i="3"/>
  <c r="O1433" i="3" a="1"/>
  <c r="O1433" i="3"/>
  <c r="O1434" i="3" a="1"/>
  <c r="O1434" i="3"/>
  <c r="O1435" i="3" a="1"/>
  <c r="O1435" i="3"/>
  <c r="O1436" i="3" a="1"/>
  <c r="O1436" i="3"/>
  <c r="O1437" i="3" a="1"/>
  <c r="O1437" i="3"/>
  <c r="O1438" i="3" a="1"/>
  <c r="O1438" i="3"/>
  <c r="O1439" i="3" a="1"/>
  <c r="O1439" i="3"/>
  <c r="O1440" i="3" a="1"/>
  <c r="O1440" i="3"/>
  <c r="O1441" i="3" a="1"/>
  <c r="O1441" i="3"/>
  <c r="O1442" i="3" a="1"/>
  <c r="O1442" i="3"/>
  <c r="O1443" i="3" a="1"/>
  <c r="O1443" i="3"/>
  <c r="O1444" i="3" a="1"/>
  <c r="O1444" i="3"/>
  <c r="O1445" i="3" a="1"/>
  <c r="O1445" i="3"/>
  <c r="O1446" i="3" a="1"/>
  <c r="O1446" i="3"/>
  <c r="O1447" i="3" a="1"/>
  <c r="O1447" i="3"/>
  <c r="O1448" i="3" a="1"/>
  <c r="O1448" i="3"/>
  <c r="O1449" i="3" a="1"/>
  <c r="O1449" i="3"/>
  <c r="O1450" i="3" a="1"/>
  <c r="O1450" i="3"/>
  <c r="O1451" i="3" a="1"/>
  <c r="O1451" i="3"/>
  <c r="O1452" i="3" a="1"/>
  <c r="O1452" i="3"/>
  <c r="O1453" i="3" a="1"/>
  <c r="O1453" i="3"/>
  <c r="O1454" i="3" a="1"/>
  <c r="O1454" i="3"/>
  <c r="O1455" i="3" a="1"/>
  <c r="O1455" i="3"/>
  <c r="O1456" i="3" a="1"/>
  <c r="O1456" i="3"/>
  <c r="O1457" i="3" a="1"/>
  <c r="O1457" i="3"/>
  <c r="O1458" i="3" a="1"/>
  <c r="O1458" i="3"/>
  <c r="O1459" i="3" a="1"/>
  <c r="O1459" i="3"/>
  <c r="O1460" i="3" a="1"/>
  <c r="O1460" i="3"/>
  <c r="O1461" i="3" a="1"/>
  <c r="O1461" i="3"/>
  <c r="O1462" i="3" a="1"/>
  <c r="O1462" i="3"/>
  <c r="O1463" i="3" a="1"/>
  <c r="O1463" i="3"/>
  <c r="O1464" i="3" a="1"/>
  <c r="O1464" i="3"/>
  <c r="O1465" i="3" a="1"/>
  <c r="O1465" i="3"/>
  <c r="O1466" i="3" a="1"/>
  <c r="O1466" i="3"/>
  <c r="O1467" i="3" a="1"/>
  <c r="O1467" i="3"/>
  <c r="O1468" i="3" a="1"/>
  <c r="O1468" i="3"/>
  <c r="O1469" i="3" a="1"/>
  <c r="O1469" i="3"/>
  <c r="O1470" i="3" a="1"/>
  <c r="O1470" i="3"/>
  <c r="O1471" i="3" a="1"/>
  <c r="O1471" i="3"/>
  <c r="O2" i="3" a="1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2" i="3"/>
  <c r="A3" i="3"/>
  <c r="B3" i="3"/>
  <c r="C3" i="3"/>
  <c r="D3" i="3"/>
  <c r="E3" i="3"/>
  <c r="F3" i="3"/>
  <c r="G3" i="3"/>
  <c r="H3" i="3"/>
  <c r="I3" i="3"/>
  <c r="J3" i="3"/>
  <c r="K3" i="3"/>
  <c r="L3" i="3"/>
  <c r="M3" i="3"/>
  <c r="A4" i="3"/>
  <c r="B4" i="3"/>
  <c r="C4" i="3"/>
  <c r="D4" i="3"/>
  <c r="E4" i="3"/>
  <c r="F4" i="3"/>
  <c r="G4" i="3"/>
  <c r="H4" i="3"/>
  <c r="I4" i="3"/>
  <c r="J4" i="3"/>
  <c r="K4" i="3"/>
  <c r="M4" i="3"/>
  <c r="A5" i="3"/>
  <c r="B5" i="3"/>
  <c r="C5" i="3"/>
  <c r="D5" i="3"/>
  <c r="E5" i="3"/>
  <c r="F5" i="3"/>
  <c r="G5" i="3"/>
  <c r="H5" i="3"/>
  <c r="I5" i="3"/>
  <c r="J5" i="3"/>
  <c r="K5" i="3"/>
  <c r="M5" i="3"/>
  <c r="A6" i="3"/>
  <c r="B6" i="3"/>
  <c r="C6" i="3"/>
  <c r="D6" i="3"/>
  <c r="E6" i="3"/>
  <c r="F6" i="3"/>
  <c r="G6" i="3"/>
  <c r="H6" i="3"/>
  <c r="I6" i="3"/>
  <c r="J6" i="3"/>
  <c r="K6" i="3"/>
  <c r="L6" i="3"/>
  <c r="M6" i="3"/>
  <c r="A7" i="3"/>
  <c r="B7" i="3"/>
  <c r="C7" i="3"/>
  <c r="D7" i="3"/>
  <c r="E7" i="3"/>
  <c r="F7" i="3"/>
  <c r="G7" i="3"/>
  <c r="H7" i="3"/>
  <c r="I7" i="3"/>
  <c r="J7" i="3"/>
  <c r="K7" i="3"/>
  <c r="L7" i="3"/>
  <c r="M7" i="3"/>
  <c r="A8" i="3"/>
  <c r="B8" i="3"/>
  <c r="C8" i="3"/>
  <c r="D8" i="3"/>
  <c r="E8" i="3"/>
  <c r="F8" i="3"/>
  <c r="G8" i="3"/>
  <c r="H8" i="3"/>
  <c r="I8" i="3"/>
  <c r="J8" i="3"/>
  <c r="K8" i="3"/>
  <c r="L8" i="3"/>
  <c r="M8" i="3"/>
  <c r="A9" i="3"/>
  <c r="B9" i="3"/>
  <c r="C9" i="3"/>
  <c r="D9" i="3"/>
  <c r="E9" i="3"/>
  <c r="F9" i="3"/>
  <c r="G9" i="3"/>
  <c r="H9" i="3"/>
  <c r="I9" i="3"/>
  <c r="J9" i="3"/>
  <c r="K9" i="3"/>
  <c r="L9" i="3"/>
  <c r="M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A27" i="3"/>
  <c r="B27" i="3"/>
  <c r="C27" i="3"/>
  <c r="D27" i="3"/>
  <c r="E27" i="3"/>
  <c r="F27" i="3"/>
  <c r="G27" i="3"/>
  <c r="H27" i="3"/>
  <c r="I27" i="3"/>
  <c r="J27" i="3"/>
  <c r="K27" i="3"/>
  <c r="L27" i="3"/>
  <c r="M27" i="3"/>
  <c r="A28" i="3"/>
  <c r="B28" i="3"/>
  <c r="C28" i="3"/>
  <c r="D28" i="3"/>
  <c r="E28" i="3"/>
  <c r="F28" i="3"/>
  <c r="G28" i="3"/>
  <c r="H28" i="3"/>
  <c r="I28" i="3"/>
  <c r="J28" i="3"/>
  <c r="K28" i="3"/>
  <c r="L28" i="3"/>
  <c r="M28" i="3"/>
  <c r="A29" i="3"/>
  <c r="B29" i="3"/>
  <c r="C29" i="3"/>
  <c r="D29" i="3"/>
  <c r="E29" i="3"/>
  <c r="F29" i="3"/>
  <c r="G29" i="3"/>
  <c r="H29" i="3"/>
  <c r="I29" i="3"/>
  <c r="J29" i="3"/>
  <c r="K29" i="3"/>
  <c r="L29" i="3"/>
  <c r="M29" i="3"/>
  <c r="A30" i="3"/>
  <c r="B30" i="3"/>
  <c r="C30" i="3"/>
  <c r="D30" i="3"/>
  <c r="E30" i="3"/>
  <c r="F30" i="3"/>
  <c r="G30" i="3"/>
  <c r="H30" i="3"/>
  <c r="I30" i="3"/>
  <c r="J30" i="3"/>
  <c r="K30" i="3"/>
  <c r="L30" i="3"/>
  <c r="M30" i="3"/>
  <c r="A31" i="3"/>
  <c r="B31" i="3"/>
  <c r="C31" i="3"/>
  <c r="D31" i="3"/>
  <c r="E31" i="3"/>
  <c r="F31" i="3"/>
  <c r="G31" i="3"/>
  <c r="H31" i="3"/>
  <c r="I31" i="3"/>
  <c r="J31" i="3"/>
  <c r="K31" i="3"/>
  <c r="L31" i="3"/>
  <c r="M31" i="3"/>
  <c r="A32" i="3"/>
  <c r="B32" i="3"/>
  <c r="C32" i="3"/>
  <c r="D32" i="3"/>
  <c r="E32" i="3"/>
  <c r="F32" i="3"/>
  <c r="G32" i="3"/>
  <c r="H32" i="3"/>
  <c r="I32" i="3"/>
  <c r="J32" i="3"/>
  <c r="K32" i="3"/>
  <c r="L32" i="3"/>
  <c r="M32" i="3"/>
  <c r="A33" i="3"/>
  <c r="B33" i="3"/>
  <c r="C33" i="3"/>
  <c r="D33" i="3"/>
  <c r="E33" i="3"/>
  <c r="F33" i="3"/>
  <c r="G33" i="3"/>
  <c r="H33" i="3"/>
  <c r="I33" i="3"/>
  <c r="J33" i="3"/>
  <c r="K33" i="3"/>
  <c r="L33" i="3"/>
  <c r="M33" i="3"/>
  <c r="A34" i="3"/>
  <c r="B34" i="3"/>
  <c r="C34" i="3"/>
  <c r="D34" i="3"/>
  <c r="E34" i="3"/>
  <c r="F34" i="3"/>
  <c r="G34" i="3"/>
  <c r="H34" i="3"/>
  <c r="I34" i="3"/>
  <c r="J34" i="3"/>
  <c r="K34" i="3"/>
  <c r="L34" i="3"/>
  <c r="M34" i="3"/>
  <c r="A35" i="3"/>
  <c r="B35" i="3"/>
  <c r="C35" i="3"/>
  <c r="D35" i="3"/>
  <c r="E35" i="3"/>
  <c r="F35" i="3"/>
  <c r="G35" i="3"/>
  <c r="H35" i="3"/>
  <c r="I35" i="3"/>
  <c r="J35" i="3"/>
  <c r="K35" i="3"/>
  <c r="L35" i="3"/>
  <c r="M35" i="3"/>
  <c r="A36" i="3"/>
  <c r="B36" i="3"/>
  <c r="C36" i="3"/>
  <c r="D36" i="3"/>
  <c r="E36" i="3"/>
  <c r="F36" i="3"/>
  <c r="G36" i="3"/>
  <c r="H36" i="3"/>
  <c r="I36" i="3"/>
  <c r="J36" i="3"/>
  <c r="K36" i="3"/>
  <c r="L36" i="3"/>
  <c r="M36" i="3"/>
  <c r="A37" i="3"/>
  <c r="B37" i="3"/>
  <c r="C37" i="3"/>
  <c r="D37" i="3"/>
  <c r="E37" i="3"/>
  <c r="F37" i="3"/>
  <c r="G37" i="3"/>
  <c r="H37" i="3"/>
  <c r="I37" i="3"/>
  <c r="J37" i="3"/>
  <c r="K37" i="3"/>
  <c r="L37" i="3"/>
  <c r="M37" i="3"/>
  <c r="A38" i="3"/>
  <c r="B38" i="3"/>
  <c r="C38" i="3"/>
  <c r="D38" i="3"/>
  <c r="E38" i="3"/>
  <c r="F38" i="3"/>
  <c r="G38" i="3"/>
  <c r="H38" i="3"/>
  <c r="I38" i="3"/>
  <c r="J38" i="3"/>
  <c r="K38" i="3"/>
  <c r="L38" i="3"/>
  <c r="M38" i="3"/>
  <c r="A39" i="3"/>
  <c r="B39" i="3"/>
  <c r="C39" i="3"/>
  <c r="D39" i="3"/>
  <c r="E39" i="3"/>
  <c r="F39" i="3"/>
  <c r="G39" i="3"/>
  <c r="H39" i="3"/>
  <c r="I39" i="3"/>
  <c r="J39" i="3"/>
  <c r="K39" i="3"/>
  <c r="L39" i="3"/>
  <c r="M39" i="3"/>
  <c r="A40" i="3"/>
  <c r="B40" i="3"/>
  <c r="C40" i="3"/>
  <c r="D40" i="3"/>
  <c r="E40" i="3"/>
  <c r="F40" i="3"/>
  <c r="G40" i="3"/>
  <c r="H40" i="3"/>
  <c r="I40" i="3"/>
  <c r="J40" i="3"/>
  <c r="K40" i="3"/>
  <c r="L40" i="3"/>
  <c r="M40" i="3"/>
  <c r="A41" i="3"/>
  <c r="B41" i="3"/>
  <c r="C41" i="3"/>
  <c r="D41" i="3"/>
  <c r="E41" i="3"/>
  <c r="F41" i="3"/>
  <c r="G41" i="3"/>
  <c r="H41" i="3"/>
  <c r="I41" i="3"/>
  <c r="J41" i="3"/>
  <c r="K41" i="3"/>
  <c r="L41" i="3"/>
  <c r="M41" i="3"/>
  <c r="A42" i="3"/>
  <c r="B42" i="3"/>
  <c r="C42" i="3"/>
  <c r="D42" i="3"/>
  <c r="E42" i="3"/>
  <c r="F42" i="3"/>
  <c r="G42" i="3"/>
  <c r="H42" i="3"/>
  <c r="I42" i="3"/>
  <c r="J42" i="3"/>
  <c r="K42" i="3"/>
  <c r="L42" i="3"/>
  <c r="M42" i="3"/>
  <c r="A43" i="3"/>
  <c r="B43" i="3"/>
  <c r="C43" i="3"/>
  <c r="D43" i="3"/>
  <c r="E43" i="3"/>
  <c r="F43" i="3"/>
  <c r="G43" i="3"/>
  <c r="H43" i="3"/>
  <c r="I43" i="3"/>
  <c r="J43" i="3"/>
  <c r="K43" i="3"/>
  <c r="L43" i="3"/>
  <c r="M43" i="3"/>
  <c r="A44" i="3"/>
  <c r="B44" i="3"/>
  <c r="C44" i="3"/>
  <c r="D44" i="3"/>
  <c r="E44" i="3"/>
  <c r="F44" i="3"/>
  <c r="G44" i="3"/>
  <c r="H44" i="3"/>
  <c r="I44" i="3"/>
  <c r="J44" i="3"/>
  <c r="K44" i="3"/>
  <c r="L44" i="3"/>
  <c r="M44" i="3"/>
  <c r="A45" i="3"/>
  <c r="B45" i="3"/>
  <c r="C45" i="3"/>
  <c r="D45" i="3"/>
  <c r="E45" i="3"/>
  <c r="F45" i="3"/>
  <c r="G45" i="3"/>
  <c r="H45" i="3"/>
  <c r="I45" i="3"/>
  <c r="J45" i="3"/>
  <c r="K45" i="3"/>
  <c r="L45" i="3"/>
  <c r="M45" i="3"/>
  <c r="A46" i="3"/>
  <c r="B46" i="3"/>
  <c r="C46" i="3"/>
  <c r="D46" i="3"/>
  <c r="E46" i="3"/>
  <c r="F46" i="3"/>
  <c r="G46" i="3"/>
  <c r="H46" i="3"/>
  <c r="I46" i="3"/>
  <c r="J46" i="3"/>
  <c r="K46" i="3"/>
  <c r="L46" i="3"/>
  <c r="M46" i="3"/>
  <c r="A47" i="3"/>
  <c r="B47" i="3"/>
  <c r="C47" i="3"/>
  <c r="D47" i="3"/>
  <c r="E47" i="3"/>
  <c r="F47" i="3"/>
  <c r="G47" i="3"/>
  <c r="H47" i="3"/>
  <c r="I47" i="3"/>
  <c r="J47" i="3"/>
  <c r="K47" i="3"/>
  <c r="L47" i="3"/>
  <c r="M47" i="3"/>
  <c r="A48" i="3"/>
  <c r="B48" i="3"/>
  <c r="C48" i="3"/>
  <c r="D48" i="3"/>
  <c r="E48" i="3"/>
  <c r="F48" i="3"/>
  <c r="G48" i="3"/>
  <c r="H48" i="3"/>
  <c r="I48" i="3"/>
  <c r="J48" i="3"/>
  <c r="K48" i="3"/>
  <c r="L48" i="3"/>
  <c r="M48" i="3"/>
  <c r="A49" i="3"/>
  <c r="B49" i="3"/>
  <c r="C49" i="3"/>
  <c r="D49" i="3"/>
  <c r="E49" i="3"/>
  <c r="F49" i="3"/>
  <c r="G49" i="3"/>
  <c r="H49" i="3"/>
  <c r="I49" i="3"/>
  <c r="J49" i="3"/>
  <c r="K49" i="3"/>
  <c r="L49" i="3"/>
  <c r="M49" i="3"/>
  <c r="A50" i="3"/>
  <c r="B50" i="3"/>
  <c r="C50" i="3"/>
  <c r="D50" i="3"/>
  <c r="E50" i="3"/>
  <c r="F50" i="3"/>
  <c r="G50" i="3"/>
  <c r="H50" i="3"/>
  <c r="I50" i="3"/>
  <c r="J50" i="3"/>
  <c r="K50" i="3"/>
  <c r="L50" i="3"/>
  <c r="M50" i="3"/>
  <c r="A51" i="3"/>
  <c r="B51" i="3"/>
  <c r="C51" i="3"/>
  <c r="D51" i="3"/>
  <c r="E51" i="3"/>
  <c r="F51" i="3"/>
  <c r="G51" i="3"/>
  <c r="H51" i="3"/>
  <c r="I51" i="3"/>
  <c r="J51" i="3"/>
  <c r="K51" i="3"/>
  <c r="L51" i="3"/>
  <c r="M51" i="3"/>
  <c r="A52" i="3"/>
  <c r="B52" i="3"/>
  <c r="C52" i="3"/>
  <c r="D52" i="3"/>
  <c r="E52" i="3"/>
  <c r="F52" i="3"/>
  <c r="G52" i="3"/>
  <c r="H52" i="3"/>
  <c r="I52" i="3"/>
  <c r="J52" i="3"/>
  <c r="K52" i="3"/>
  <c r="L52" i="3"/>
  <c r="M52" i="3"/>
  <c r="A53" i="3"/>
  <c r="B53" i="3"/>
  <c r="C53" i="3"/>
  <c r="D53" i="3"/>
  <c r="E53" i="3"/>
  <c r="F53" i="3"/>
  <c r="G53" i="3"/>
  <c r="H53" i="3"/>
  <c r="I53" i="3"/>
  <c r="J53" i="3"/>
  <c r="K53" i="3"/>
  <c r="L53" i="3"/>
  <c r="M53" i="3"/>
  <c r="A54" i="3"/>
  <c r="B54" i="3"/>
  <c r="C54" i="3"/>
  <c r="D54" i="3"/>
  <c r="E54" i="3"/>
  <c r="F54" i="3"/>
  <c r="G54" i="3"/>
  <c r="H54" i="3"/>
  <c r="I54" i="3"/>
  <c r="J54" i="3"/>
  <c r="K54" i="3"/>
  <c r="L54" i="3"/>
  <c r="M54" i="3"/>
  <c r="A55" i="3"/>
  <c r="B55" i="3"/>
  <c r="C55" i="3"/>
  <c r="D55" i="3"/>
  <c r="E55" i="3"/>
  <c r="F55" i="3"/>
  <c r="G55" i="3"/>
  <c r="H55" i="3"/>
  <c r="I55" i="3"/>
  <c r="J55" i="3"/>
  <c r="K55" i="3"/>
  <c r="L55" i="3"/>
  <c r="M55" i="3"/>
  <c r="A56" i="3"/>
  <c r="B56" i="3"/>
  <c r="C56" i="3"/>
  <c r="D56" i="3"/>
  <c r="E56" i="3"/>
  <c r="F56" i="3"/>
  <c r="G56" i="3"/>
  <c r="H56" i="3"/>
  <c r="I56" i="3"/>
  <c r="J56" i="3"/>
  <c r="K56" i="3"/>
  <c r="L56" i="3"/>
  <c r="M56" i="3"/>
  <c r="A57" i="3"/>
  <c r="B57" i="3"/>
  <c r="C57" i="3"/>
  <c r="D57" i="3"/>
  <c r="E57" i="3"/>
  <c r="F57" i="3"/>
  <c r="G57" i="3"/>
  <c r="H57" i="3"/>
  <c r="I57" i="3"/>
  <c r="J57" i="3"/>
  <c r="K57" i="3"/>
  <c r="L57" i="3"/>
  <c r="M57" i="3"/>
  <c r="A58" i="3"/>
  <c r="B58" i="3"/>
  <c r="C58" i="3"/>
  <c r="D58" i="3"/>
  <c r="E58" i="3"/>
  <c r="F58" i="3"/>
  <c r="G58" i="3"/>
  <c r="H58" i="3"/>
  <c r="I58" i="3"/>
  <c r="J58" i="3"/>
  <c r="K58" i="3"/>
  <c r="L58" i="3"/>
  <c r="M58" i="3"/>
  <c r="A59" i="3"/>
  <c r="B59" i="3"/>
  <c r="C59" i="3"/>
  <c r="D59" i="3"/>
  <c r="E59" i="3"/>
  <c r="F59" i="3"/>
  <c r="G59" i="3"/>
  <c r="H59" i="3"/>
  <c r="I59" i="3"/>
  <c r="J59" i="3"/>
  <c r="K59" i="3"/>
  <c r="L59" i="3"/>
  <c r="M59" i="3"/>
  <c r="A60" i="3"/>
  <c r="B60" i="3"/>
  <c r="C60" i="3"/>
  <c r="D60" i="3"/>
  <c r="E60" i="3"/>
  <c r="F60" i="3"/>
  <c r="G60" i="3"/>
  <c r="H60" i="3"/>
  <c r="I60" i="3"/>
  <c r="J60" i="3"/>
  <c r="K60" i="3"/>
  <c r="L60" i="3"/>
  <c r="M60" i="3"/>
  <c r="A61" i="3"/>
  <c r="B61" i="3"/>
  <c r="C61" i="3"/>
  <c r="D61" i="3"/>
  <c r="E61" i="3"/>
  <c r="F61" i="3"/>
  <c r="G61" i="3"/>
  <c r="H61" i="3"/>
  <c r="I61" i="3"/>
  <c r="J61" i="3"/>
  <c r="K61" i="3"/>
  <c r="L61" i="3"/>
  <c r="M61" i="3"/>
  <c r="A62" i="3"/>
  <c r="B62" i="3"/>
  <c r="C62" i="3"/>
  <c r="D62" i="3"/>
  <c r="E62" i="3"/>
  <c r="F62" i="3"/>
  <c r="G62" i="3"/>
  <c r="H62" i="3"/>
  <c r="I62" i="3"/>
  <c r="J62" i="3"/>
  <c r="K62" i="3"/>
  <c r="L62" i="3"/>
  <c r="M62" i="3"/>
  <c r="A63" i="3"/>
  <c r="B63" i="3"/>
  <c r="C63" i="3"/>
  <c r="D63" i="3"/>
  <c r="E63" i="3"/>
  <c r="F63" i="3"/>
  <c r="G63" i="3"/>
  <c r="H63" i="3"/>
  <c r="I63" i="3"/>
  <c r="J63" i="3"/>
  <c r="K63" i="3"/>
  <c r="L63" i="3"/>
  <c r="M63" i="3"/>
  <c r="A64" i="3"/>
  <c r="B64" i="3"/>
  <c r="C64" i="3"/>
  <c r="D64" i="3"/>
  <c r="E64" i="3"/>
  <c r="F64" i="3"/>
  <c r="G64" i="3"/>
  <c r="H64" i="3"/>
  <c r="I64" i="3"/>
  <c r="J64" i="3"/>
  <c r="K64" i="3"/>
  <c r="L64" i="3"/>
  <c r="M64" i="3"/>
  <c r="A65" i="3"/>
  <c r="B65" i="3"/>
  <c r="C65" i="3"/>
  <c r="D65" i="3"/>
  <c r="E65" i="3"/>
  <c r="F65" i="3"/>
  <c r="G65" i="3"/>
  <c r="H65" i="3"/>
  <c r="I65" i="3"/>
  <c r="J65" i="3"/>
  <c r="K65" i="3"/>
  <c r="L65" i="3"/>
  <c r="M65" i="3"/>
  <c r="A66" i="3"/>
  <c r="B66" i="3"/>
  <c r="C66" i="3"/>
  <c r="D66" i="3"/>
  <c r="E66" i="3"/>
  <c r="F66" i="3"/>
  <c r="G66" i="3"/>
  <c r="H66" i="3"/>
  <c r="I66" i="3"/>
  <c r="J66" i="3"/>
  <c r="K66" i="3"/>
  <c r="L66" i="3"/>
  <c r="M66" i="3"/>
  <c r="A67" i="3"/>
  <c r="B67" i="3"/>
  <c r="C67" i="3"/>
  <c r="D67" i="3"/>
  <c r="E67" i="3"/>
  <c r="F67" i="3"/>
  <c r="G67" i="3"/>
  <c r="H67" i="3"/>
  <c r="I67" i="3"/>
  <c r="J67" i="3"/>
  <c r="K67" i="3"/>
  <c r="L67" i="3"/>
  <c r="M67" i="3"/>
  <c r="A68" i="3"/>
  <c r="B68" i="3"/>
  <c r="C68" i="3"/>
  <c r="D68" i="3"/>
  <c r="E68" i="3"/>
  <c r="F68" i="3"/>
  <c r="G68" i="3"/>
  <c r="H68" i="3"/>
  <c r="I68" i="3"/>
  <c r="J68" i="3"/>
  <c r="K68" i="3"/>
  <c r="L68" i="3"/>
  <c r="M68" i="3"/>
  <c r="A69" i="3"/>
  <c r="B69" i="3"/>
  <c r="C69" i="3"/>
  <c r="D69" i="3"/>
  <c r="E69" i="3"/>
  <c r="F69" i="3"/>
  <c r="G69" i="3"/>
  <c r="H69" i="3"/>
  <c r="I69" i="3"/>
  <c r="J69" i="3"/>
  <c r="K69" i="3"/>
  <c r="L69" i="3"/>
  <c r="M69" i="3"/>
  <c r="A70" i="3"/>
  <c r="B70" i="3"/>
  <c r="C70" i="3"/>
  <c r="D70" i="3"/>
  <c r="E70" i="3"/>
  <c r="F70" i="3"/>
  <c r="G70" i="3"/>
  <c r="H70" i="3"/>
  <c r="I70" i="3"/>
  <c r="J70" i="3"/>
  <c r="K70" i="3"/>
  <c r="L70" i="3"/>
  <c r="M70" i="3"/>
  <c r="A71" i="3"/>
  <c r="B71" i="3"/>
  <c r="C71" i="3"/>
  <c r="D71" i="3"/>
  <c r="E71" i="3"/>
  <c r="F71" i="3"/>
  <c r="G71" i="3"/>
  <c r="H71" i="3"/>
  <c r="I71" i="3"/>
  <c r="J71" i="3"/>
  <c r="K71" i="3"/>
  <c r="L71" i="3"/>
  <c r="M71" i="3"/>
  <c r="A72" i="3"/>
  <c r="B72" i="3"/>
  <c r="C72" i="3"/>
  <c r="D72" i="3"/>
  <c r="E72" i="3"/>
  <c r="F72" i="3"/>
  <c r="G72" i="3"/>
  <c r="H72" i="3"/>
  <c r="I72" i="3"/>
  <c r="J72" i="3"/>
  <c r="K72" i="3"/>
  <c r="L72" i="3"/>
  <c r="M72" i="3"/>
  <c r="A73" i="3"/>
  <c r="B73" i="3"/>
  <c r="C73" i="3"/>
  <c r="D73" i="3"/>
  <c r="E73" i="3"/>
  <c r="F73" i="3"/>
  <c r="G73" i="3"/>
  <c r="H73" i="3"/>
  <c r="I73" i="3"/>
  <c r="J73" i="3"/>
  <c r="K73" i="3"/>
  <c r="L73" i="3"/>
  <c r="M73" i="3"/>
  <c r="A74" i="3"/>
  <c r="B74" i="3"/>
  <c r="C74" i="3"/>
  <c r="D74" i="3"/>
  <c r="E74" i="3"/>
  <c r="F74" i="3"/>
  <c r="G74" i="3"/>
  <c r="H74" i="3"/>
  <c r="I74" i="3"/>
  <c r="J74" i="3"/>
  <c r="K74" i="3"/>
  <c r="L74" i="3"/>
  <c r="M74" i="3"/>
  <c r="A75" i="3"/>
  <c r="B75" i="3"/>
  <c r="C75" i="3"/>
  <c r="D75" i="3"/>
  <c r="E75" i="3"/>
  <c r="F75" i="3"/>
  <c r="G75" i="3"/>
  <c r="H75" i="3"/>
  <c r="I75" i="3"/>
  <c r="J75" i="3"/>
  <c r="K75" i="3"/>
  <c r="L75" i="3"/>
  <c r="M75" i="3"/>
  <c r="A76" i="3"/>
  <c r="B76" i="3"/>
  <c r="C76" i="3"/>
  <c r="D76" i="3"/>
  <c r="E76" i="3"/>
  <c r="F76" i="3"/>
  <c r="G76" i="3"/>
  <c r="H76" i="3"/>
  <c r="I76" i="3"/>
  <c r="J76" i="3"/>
  <c r="K76" i="3"/>
  <c r="L76" i="3"/>
  <c r="M76" i="3"/>
  <c r="A77" i="3"/>
  <c r="B77" i="3"/>
  <c r="C77" i="3"/>
  <c r="D77" i="3"/>
  <c r="E77" i="3"/>
  <c r="F77" i="3"/>
  <c r="G77" i="3"/>
  <c r="H77" i="3"/>
  <c r="I77" i="3"/>
  <c r="J77" i="3"/>
  <c r="K77" i="3"/>
  <c r="L77" i="3"/>
  <c r="M77" i="3"/>
  <c r="A78" i="3"/>
  <c r="B78" i="3"/>
  <c r="C78" i="3"/>
  <c r="D78" i="3"/>
  <c r="E78" i="3"/>
  <c r="F78" i="3"/>
  <c r="G78" i="3"/>
  <c r="H78" i="3"/>
  <c r="I78" i="3"/>
  <c r="J78" i="3"/>
  <c r="K78" i="3"/>
  <c r="L78" i="3"/>
  <c r="M78" i="3"/>
  <c r="A79" i="3"/>
  <c r="B79" i="3"/>
  <c r="C79" i="3"/>
  <c r="D79" i="3"/>
  <c r="E79" i="3"/>
  <c r="F79" i="3"/>
  <c r="G79" i="3"/>
  <c r="H79" i="3"/>
  <c r="I79" i="3"/>
  <c r="J79" i="3"/>
  <c r="K79" i="3"/>
  <c r="L79" i="3"/>
  <c r="M79" i="3"/>
  <c r="A80" i="3"/>
  <c r="B80" i="3"/>
  <c r="C80" i="3"/>
  <c r="D80" i="3"/>
  <c r="E80" i="3"/>
  <c r="F80" i="3"/>
  <c r="G80" i="3"/>
  <c r="H80" i="3"/>
  <c r="I80" i="3"/>
  <c r="J80" i="3"/>
  <c r="K80" i="3"/>
  <c r="L80" i="3"/>
  <c r="M80" i="3"/>
  <c r="A81" i="3"/>
  <c r="B81" i="3"/>
  <c r="C81" i="3"/>
  <c r="D81" i="3"/>
  <c r="E81" i="3"/>
  <c r="F81" i="3"/>
  <c r="G81" i="3"/>
  <c r="H81" i="3"/>
  <c r="I81" i="3"/>
  <c r="J81" i="3"/>
  <c r="K81" i="3"/>
  <c r="L81" i="3"/>
  <c r="M81" i="3"/>
  <c r="A82" i="3"/>
  <c r="B82" i="3"/>
  <c r="C82" i="3"/>
  <c r="D82" i="3"/>
  <c r="E82" i="3"/>
  <c r="F82" i="3"/>
  <c r="G82" i="3"/>
  <c r="H82" i="3"/>
  <c r="I82" i="3"/>
  <c r="J82" i="3"/>
  <c r="K82" i="3"/>
  <c r="L82" i="3"/>
  <c r="M82" i="3"/>
  <c r="A83" i="3"/>
  <c r="B83" i="3"/>
  <c r="C83" i="3"/>
  <c r="D83" i="3"/>
  <c r="E83" i="3"/>
  <c r="F83" i="3"/>
  <c r="G83" i="3"/>
  <c r="H83" i="3"/>
  <c r="I83" i="3"/>
  <c r="J83" i="3"/>
  <c r="K83" i="3"/>
  <c r="L83" i="3"/>
  <c r="M83" i="3"/>
  <c r="A84" i="3"/>
  <c r="B84" i="3"/>
  <c r="C84" i="3"/>
  <c r="D84" i="3"/>
  <c r="E84" i="3"/>
  <c r="F84" i="3"/>
  <c r="G84" i="3"/>
  <c r="H84" i="3"/>
  <c r="I84" i="3"/>
  <c r="J84" i="3"/>
  <c r="K84" i="3"/>
  <c r="L84" i="3"/>
  <c r="M84" i="3"/>
  <c r="A85" i="3"/>
  <c r="B85" i="3"/>
  <c r="C85" i="3"/>
  <c r="D85" i="3"/>
  <c r="E85" i="3"/>
  <c r="F85" i="3"/>
  <c r="G85" i="3"/>
  <c r="H85" i="3"/>
  <c r="I85" i="3"/>
  <c r="J85" i="3"/>
  <c r="K85" i="3"/>
  <c r="L85" i="3"/>
  <c r="M85" i="3"/>
  <c r="A86" i="3"/>
  <c r="B86" i="3"/>
  <c r="C86" i="3"/>
  <c r="D86" i="3"/>
  <c r="E86" i="3"/>
  <c r="F86" i="3"/>
  <c r="G86" i="3"/>
  <c r="H86" i="3"/>
  <c r="I86" i="3"/>
  <c r="J86" i="3"/>
  <c r="K86" i="3"/>
  <c r="L86" i="3"/>
  <c r="M86" i="3"/>
  <c r="A87" i="3"/>
  <c r="B87" i="3"/>
  <c r="C87" i="3"/>
  <c r="D87" i="3"/>
  <c r="E87" i="3"/>
  <c r="F87" i="3"/>
  <c r="G87" i="3"/>
  <c r="H87" i="3"/>
  <c r="I87" i="3"/>
  <c r="J87" i="3"/>
  <c r="K87" i="3"/>
  <c r="L87" i="3"/>
  <c r="M87" i="3"/>
  <c r="A88" i="3"/>
  <c r="B88" i="3"/>
  <c r="C88" i="3"/>
  <c r="D88" i="3"/>
  <c r="E88" i="3"/>
  <c r="F88" i="3"/>
  <c r="G88" i="3"/>
  <c r="H88" i="3"/>
  <c r="I88" i="3"/>
  <c r="J88" i="3"/>
  <c r="K88" i="3"/>
  <c r="L88" i="3"/>
  <c r="M88" i="3"/>
  <c r="A89" i="3"/>
  <c r="B89" i="3"/>
  <c r="C89" i="3"/>
  <c r="D89" i="3"/>
  <c r="E89" i="3"/>
  <c r="F89" i="3"/>
  <c r="G89" i="3"/>
  <c r="H89" i="3"/>
  <c r="I89" i="3"/>
  <c r="J89" i="3"/>
  <c r="K89" i="3"/>
  <c r="L89" i="3"/>
  <c r="M89" i="3"/>
  <c r="A90" i="3"/>
  <c r="B90" i="3"/>
  <c r="C90" i="3"/>
  <c r="D90" i="3"/>
  <c r="E90" i="3"/>
  <c r="F90" i="3"/>
  <c r="G90" i="3"/>
  <c r="H90" i="3"/>
  <c r="I90" i="3"/>
  <c r="J90" i="3"/>
  <c r="K90" i="3"/>
  <c r="L90" i="3"/>
  <c r="M90" i="3"/>
  <c r="A91" i="3"/>
  <c r="B91" i="3"/>
  <c r="C91" i="3"/>
  <c r="D91" i="3"/>
  <c r="E91" i="3"/>
  <c r="F91" i="3"/>
  <c r="G91" i="3"/>
  <c r="H91" i="3"/>
  <c r="I91" i="3"/>
  <c r="J91" i="3"/>
  <c r="K91" i="3"/>
  <c r="L91" i="3"/>
  <c r="M91" i="3"/>
  <c r="A92" i="3"/>
  <c r="B92" i="3"/>
  <c r="C92" i="3"/>
  <c r="D92" i="3"/>
  <c r="E92" i="3"/>
  <c r="F92" i="3"/>
  <c r="G92" i="3"/>
  <c r="H92" i="3"/>
  <c r="I92" i="3"/>
  <c r="J92" i="3"/>
  <c r="K92" i="3"/>
  <c r="L92" i="3"/>
  <c r="M92" i="3"/>
  <c r="A93" i="3"/>
  <c r="B93" i="3"/>
  <c r="C93" i="3"/>
  <c r="D93" i="3"/>
  <c r="E93" i="3"/>
  <c r="F93" i="3"/>
  <c r="G93" i="3"/>
  <c r="H93" i="3"/>
  <c r="I93" i="3"/>
  <c r="J93" i="3"/>
  <c r="K93" i="3"/>
  <c r="L93" i="3"/>
  <c r="M93" i="3"/>
  <c r="A94" i="3"/>
  <c r="B94" i="3"/>
  <c r="C94" i="3"/>
  <c r="D94" i="3"/>
  <c r="E94" i="3"/>
  <c r="F94" i="3"/>
  <c r="G94" i="3"/>
  <c r="H94" i="3"/>
  <c r="I94" i="3"/>
  <c r="J94" i="3"/>
  <c r="K94" i="3"/>
  <c r="L94" i="3"/>
  <c r="M94" i="3"/>
  <c r="A95" i="3"/>
  <c r="B95" i="3"/>
  <c r="C95" i="3"/>
  <c r="D95" i="3"/>
  <c r="E95" i="3"/>
  <c r="F95" i="3"/>
  <c r="G95" i="3"/>
  <c r="H95" i="3"/>
  <c r="I95" i="3"/>
  <c r="J95" i="3"/>
  <c r="K95" i="3"/>
  <c r="L95" i="3"/>
  <c r="M95" i="3"/>
  <c r="A96" i="3"/>
  <c r="B96" i="3"/>
  <c r="C96" i="3"/>
  <c r="D96" i="3"/>
  <c r="E96" i="3"/>
  <c r="F96" i="3"/>
  <c r="G96" i="3"/>
  <c r="H96" i="3"/>
  <c r="I96" i="3"/>
  <c r="J96" i="3"/>
  <c r="K96" i="3"/>
  <c r="L96" i="3"/>
  <c r="M96" i="3"/>
  <c r="A97" i="3"/>
  <c r="B97" i="3"/>
  <c r="C97" i="3"/>
  <c r="D97" i="3"/>
  <c r="E97" i="3"/>
  <c r="F97" i="3"/>
  <c r="G97" i="3"/>
  <c r="H97" i="3"/>
  <c r="I97" i="3"/>
  <c r="J97" i="3"/>
  <c r="K97" i="3"/>
  <c r="L97" i="3"/>
  <c r="M97" i="3"/>
  <c r="A98" i="3"/>
  <c r="B98" i="3"/>
  <c r="C98" i="3"/>
  <c r="D98" i="3"/>
  <c r="E98" i="3"/>
  <c r="F98" i="3"/>
  <c r="G98" i="3"/>
  <c r="H98" i="3"/>
  <c r="I98" i="3"/>
  <c r="J98" i="3"/>
  <c r="K98" i="3"/>
  <c r="L98" i="3"/>
  <c r="M98" i="3"/>
  <c r="A99" i="3"/>
  <c r="B99" i="3"/>
  <c r="C99" i="3"/>
  <c r="D99" i="3"/>
  <c r="E99" i="3"/>
  <c r="F99" i="3"/>
  <c r="G99" i="3"/>
  <c r="H99" i="3"/>
  <c r="I99" i="3"/>
  <c r="J99" i="3"/>
  <c r="K99" i="3"/>
  <c r="L99" i="3"/>
  <c r="M99" i="3"/>
  <c r="A100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A101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A102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A103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A104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A105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A106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A107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A108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A109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A110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A111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A112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A113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A114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A115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A116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A117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A118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A119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A120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A121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A122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A123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A124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A125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A126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A127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A128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A129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A130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A131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A132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A133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A134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A135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A136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A137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A138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A139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A140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A141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A142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A143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A144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A145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A146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A147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A148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A149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A150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A151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A152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A153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A154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A155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A156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A157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A158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A159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A160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A161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A162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A163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A164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A165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A166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A167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A168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A169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A170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A171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A172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A173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A174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A175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A176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A177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A178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A179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A180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A181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A182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A183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A184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A185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A186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A187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A188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A189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A190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A191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A192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A193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A194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A195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A196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A197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A198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A199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A200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A201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A202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A203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A204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A205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A206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A207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A208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A209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A210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A211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A212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A213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A214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A215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A216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A217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A218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A219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A220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A221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A222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A223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A224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A225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A226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A227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A228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A229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A230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A231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A232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A233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A235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A236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A237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A238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A239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A240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A241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A242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A243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A244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A245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A246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A247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A248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A249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A250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A251" i="3"/>
  <c r="B251" i="3"/>
  <c r="C251" i="3"/>
  <c r="D251" i="3"/>
  <c r="E251" i="3"/>
  <c r="F251" i="3"/>
  <c r="G251" i="3"/>
  <c r="H251" i="3"/>
  <c r="I251" i="3"/>
  <c r="J251" i="3"/>
  <c r="K251" i="3"/>
  <c r="L251" i="3"/>
  <c r="M251" i="3"/>
  <c r="A252" i="3"/>
  <c r="B252" i="3"/>
  <c r="C252" i="3"/>
  <c r="D252" i="3"/>
  <c r="E252" i="3"/>
  <c r="F252" i="3"/>
  <c r="G252" i="3"/>
  <c r="H252" i="3"/>
  <c r="I252" i="3"/>
  <c r="J252" i="3"/>
  <c r="K252" i="3"/>
  <c r="L252" i="3"/>
  <c r="M252" i="3"/>
  <c r="A253" i="3"/>
  <c r="B253" i="3"/>
  <c r="C253" i="3"/>
  <c r="D253" i="3"/>
  <c r="E253" i="3"/>
  <c r="F253" i="3"/>
  <c r="G253" i="3"/>
  <c r="H253" i="3"/>
  <c r="I253" i="3"/>
  <c r="J253" i="3"/>
  <c r="K253" i="3"/>
  <c r="L253" i="3"/>
  <c r="M253" i="3"/>
  <c r="A254" i="3"/>
  <c r="B254" i="3"/>
  <c r="C254" i="3"/>
  <c r="D254" i="3"/>
  <c r="E254" i="3"/>
  <c r="F254" i="3"/>
  <c r="G254" i="3"/>
  <c r="H254" i="3"/>
  <c r="I254" i="3"/>
  <c r="J254" i="3"/>
  <c r="K254" i="3"/>
  <c r="L254" i="3"/>
  <c r="M254" i="3"/>
  <c r="A255" i="3"/>
  <c r="B255" i="3"/>
  <c r="C255" i="3"/>
  <c r="D255" i="3"/>
  <c r="E255" i="3"/>
  <c r="F255" i="3"/>
  <c r="G255" i="3"/>
  <c r="H255" i="3"/>
  <c r="I255" i="3"/>
  <c r="J255" i="3"/>
  <c r="K255" i="3"/>
  <c r="L255" i="3"/>
  <c r="M255" i="3"/>
  <c r="A256" i="3"/>
  <c r="B256" i="3"/>
  <c r="C256" i="3"/>
  <c r="D256" i="3"/>
  <c r="E256" i="3"/>
  <c r="F256" i="3"/>
  <c r="G256" i="3"/>
  <c r="H256" i="3"/>
  <c r="I256" i="3"/>
  <c r="J256" i="3"/>
  <c r="K256" i="3"/>
  <c r="L256" i="3"/>
  <c r="M256" i="3"/>
  <c r="A257" i="3"/>
  <c r="B257" i="3"/>
  <c r="C257" i="3"/>
  <c r="D257" i="3"/>
  <c r="E257" i="3"/>
  <c r="F257" i="3"/>
  <c r="G257" i="3"/>
  <c r="H257" i="3"/>
  <c r="I257" i="3"/>
  <c r="J257" i="3"/>
  <c r="K257" i="3"/>
  <c r="L257" i="3"/>
  <c r="M257" i="3"/>
  <c r="A258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A259" i="3"/>
  <c r="B259" i="3"/>
  <c r="C259" i="3"/>
  <c r="D259" i="3"/>
  <c r="E259" i="3"/>
  <c r="F259" i="3"/>
  <c r="G259" i="3"/>
  <c r="H259" i="3"/>
  <c r="I259" i="3"/>
  <c r="J259" i="3"/>
  <c r="K259" i="3"/>
  <c r="L259" i="3"/>
  <c r="M259" i="3"/>
  <c r="A260" i="3"/>
  <c r="B260" i="3"/>
  <c r="C260" i="3"/>
  <c r="D260" i="3"/>
  <c r="E260" i="3"/>
  <c r="F260" i="3"/>
  <c r="G260" i="3"/>
  <c r="H260" i="3"/>
  <c r="I260" i="3"/>
  <c r="J260" i="3"/>
  <c r="K260" i="3"/>
  <c r="L260" i="3"/>
  <c r="M260" i="3"/>
  <c r="A261" i="3"/>
  <c r="B261" i="3"/>
  <c r="C261" i="3"/>
  <c r="D261" i="3"/>
  <c r="E261" i="3"/>
  <c r="F261" i="3"/>
  <c r="G261" i="3"/>
  <c r="H261" i="3"/>
  <c r="I261" i="3"/>
  <c r="J261" i="3"/>
  <c r="K261" i="3"/>
  <c r="L261" i="3"/>
  <c r="M261" i="3"/>
  <c r="A262" i="3"/>
  <c r="B262" i="3"/>
  <c r="C262" i="3"/>
  <c r="D262" i="3"/>
  <c r="E262" i="3"/>
  <c r="F262" i="3"/>
  <c r="G262" i="3"/>
  <c r="H262" i="3"/>
  <c r="I262" i="3"/>
  <c r="J262" i="3"/>
  <c r="K262" i="3"/>
  <c r="L262" i="3"/>
  <c r="M262" i="3"/>
  <c r="A263" i="3"/>
  <c r="B263" i="3"/>
  <c r="C263" i="3"/>
  <c r="D263" i="3"/>
  <c r="E263" i="3"/>
  <c r="F263" i="3"/>
  <c r="G263" i="3"/>
  <c r="H263" i="3"/>
  <c r="I263" i="3"/>
  <c r="J263" i="3"/>
  <c r="K263" i="3"/>
  <c r="L263" i="3"/>
  <c r="M263" i="3"/>
  <c r="A264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A265" i="3"/>
  <c r="B265" i="3"/>
  <c r="C265" i="3"/>
  <c r="D265" i="3"/>
  <c r="E265" i="3"/>
  <c r="F265" i="3"/>
  <c r="G265" i="3"/>
  <c r="H265" i="3"/>
  <c r="I265" i="3"/>
  <c r="J265" i="3"/>
  <c r="K265" i="3"/>
  <c r="L265" i="3"/>
  <c r="M265" i="3"/>
  <c r="A266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A267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A268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A269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A270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A271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A272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A273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A274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A275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A276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A277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A278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A279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A280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A281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A282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A283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A284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A285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A286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A287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A288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A289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A290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A291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A292" i="3"/>
  <c r="B292" i="3"/>
  <c r="C292" i="3"/>
  <c r="D292" i="3"/>
  <c r="E292" i="3"/>
  <c r="F292" i="3"/>
  <c r="G292" i="3"/>
  <c r="H292" i="3"/>
  <c r="I292" i="3"/>
  <c r="J292" i="3"/>
  <c r="K292" i="3"/>
  <c r="L292" i="3"/>
  <c r="M292" i="3"/>
  <c r="A293" i="3"/>
  <c r="B293" i="3"/>
  <c r="C293" i="3"/>
  <c r="D293" i="3"/>
  <c r="E293" i="3"/>
  <c r="F293" i="3"/>
  <c r="G293" i="3"/>
  <c r="H293" i="3"/>
  <c r="I293" i="3"/>
  <c r="J293" i="3"/>
  <c r="K293" i="3"/>
  <c r="L293" i="3"/>
  <c r="M293" i="3"/>
  <c r="A294" i="3"/>
  <c r="B294" i="3"/>
  <c r="C294" i="3"/>
  <c r="D294" i="3"/>
  <c r="E294" i="3"/>
  <c r="F294" i="3"/>
  <c r="G294" i="3"/>
  <c r="H294" i="3"/>
  <c r="I294" i="3"/>
  <c r="J294" i="3"/>
  <c r="K294" i="3"/>
  <c r="L294" i="3"/>
  <c r="M294" i="3"/>
  <c r="A295" i="3"/>
  <c r="B295" i="3"/>
  <c r="C295" i="3"/>
  <c r="D295" i="3"/>
  <c r="E295" i="3"/>
  <c r="F295" i="3"/>
  <c r="G295" i="3"/>
  <c r="H295" i="3"/>
  <c r="I295" i="3"/>
  <c r="J295" i="3"/>
  <c r="K295" i="3"/>
  <c r="L295" i="3"/>
  <c r="M295" i="3"/>
  <c r="A296" i="3"/>
  <c r="B296" i="3"/>
  <c r="C296" i="3"/>
  <c r="D296" i="3"/>
  <c r="E296" i="3"/>
  <c r="F296" i="3"/>
  <c r="G296" i="3"/>
  <c r="H296" i="3"/>
  <c r="I296" i="3"/>
  <c r="J296" i="3"/>
  <c r="K296" i="3"/>
  <c r="L296" i="3"/>
  <c r="M296" i="3"/>
  <c r="A297" i="3"/>
  <c r="B297" i="3"/>
  <c r="C297" i="3"/>
  <c r="D297" i="3"/>
  <c r="E297" i="3"/>
  <c r="F297" i="3"/>
  <c r="G297" i="3"/>
  <c r="H297" i="3"/>
  <c r="I297" i="3"/>
  <c r="J297" i="3"/>
  <c r="K297" i="3"/>
  <c r="L297" i="3"/>
  <c r="M297" i="3"/>
  <c r="A298" i="3"/>
  <c r="B298" i="3"/>
  <c r="C298" i="3"/>
  <c r="D298" i="3"/>
  <c r="E298" i="3"/>
  <c r="F298" i="3"/>
  <c r="G298" i="3"/>
  <c r="H298" i="3"/>
  <c r="I298" i="3"/>
  <c r="J298" i="3"/>
  <c r="K298" i="3"/>
  <c r="L298" i="3"/>
  <c r="M298" i="3"/>
  <c r="A299" i="3"/>
  <c r="B299" i="3"/>
  <c r="C299" i="3"/>
  <c r="D299" i="3"/>
  <c r="E299" i="3"/>
  <c r="F299" i="3"/>
  <c r="G299" i="3"/>
  <c r="H299" i="3"/>
  <c r="I299" i="3"/>
  <c r="J299" i="3"/>
  <c r="K299" i="3"/>
  <c r="L299" i="3"/>
  <c r="M299" i="3"/>
  <c r="A300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A301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A302" i="3"/>
  <c r="B302" i="3"/>
  <c r="C302" i="3"/>
  <c r="D302" i="3"/>
  <c r="E302" i="3"/>
  <c r="F302" i="3"/>
  <c r="G302" i="3"/>
  <c r="H302" i="3"/>
  <c r="I302" i="3"/>
  <c r="J302" i="3"/>
  <c r="K302" i="3"/>
  <c r="L302" i="3"/>
  <c r="M302" i="3"/>
  <c r="A303" i="3"/>
  <c r="B303" i="3"/>
  <c r="C303" i="3"/>
  <c r="D303" i="3"/>
  <c r="E303" i="3"/>
  <c r="F303" i="3"/>
  <c r="G303" i="3"/>
  <c r="H303" i="3"/>
  <c r="I303" i="3"/>
  <c r="J303" i="3"/>
  <c r="K303" i="3"/>
  <c r="L303" i="3"/>
  <c r="M303" i="3"/>
  <c r="A304" i="3"/>
  <c r="B304" i="3"/>
  <c r="C304" i="3"/>
  <c r="D304" i="3"/>
  <c r="E304" i="3"/>
  <c r="F304" i="3"/>
  <c r="G304" i="3"/>
  <c r="H304" i="3"/>
  <c r="I304" i="3"/>
  <c r="J304" i="3"/>
  <c r="K304" i="3"/>
  <c r="L304" i="3"/>
  <c r="M304" i="3"/>
  <c r="A305" i="3"/>
  <c r="B305" i="3"/>
  <c r="C305" i="3"/>
  <c r="D305" i="3"/>
  <c r="E305" i="3"/>
  <c r="F305" i="3"/>
  <c r="G305" i="3"/>
  <c r="H305" i="3"/>
  <c r="I305" i="3"/>
  <c r="J305" i="3"/>
  <c r="K305" i="3"/>
  <c r="L305" i="3"/>
  <c r="M305" i="3"/>
  <c r="A306" i="3"/>
  <c r="B306" i="3"/>
  <c r="C306" i="3"/>
  <c r="D306" i="3"/>
  <c r="E306" i="3"/>
  <c r="F306" i="3"/>
  <c r="G306" i="3"/>
  <c r="H306" i="3"/>
  <c r="I306" i="3"/>
  <c r="J306" i="3"/>
  <c r="K306" i="3"/>
  <c r="L306" i="3"/>
  <c r="M306" i="3"/>
  <c r="A307" i="3"/>
  <c r="B307" i="3"/>
  <c r="C307" i="3"/>
  <c r="D307" i="3"/>
  <c r="E307" i="3"/>
  <c r="F307" i="3"/>
  <c r="G307" i="3"/>
  <c r="H307" i="3"/>
  <c r="I307" i="3"/>
  <c r="J307" i="3"/>
  <c r="K307" i="3"/>
  <c r="L307" i="3"/>
  <c r="M307" i="3"/>
  <c r="A308" i="3"/>
  <c r="B308" i="3"/>
  <c r="C308" i="3"/>
  <c r="D308" i="3"/>
  <c r="E308" i="3"/>
  <c r="F308" i="3"/>
  <c r="G308" i="3"/>
  <c r="H308" i="3"/>
  <c r="I308" i="3"/>
  <c r="J308" i="3"/>
  <c r="K308" i="3"/>
  <c r="L308" i="3"/>
  <c r="M308" i="3"/>
  <c r="A309" i="3"/>
  <c r="B309" i="3"/>
  <c r="C309" i="3"/>
  <c r="D309" i="3"/>
  <c r="E309" i="3"/>
  <c r="F309" i="3"/>
  <c r="G309" i="3"/>
  <c r="H309" i="3"/>
  <c r="I309" i="3"/>
  <c r="J309" i="3"/>
  <c r="K309" i="3"/>
  <c r="L309" i="3"/>
  <c r="M309" i="3"/>
  <c r="A310" i="3"/>
  <c r="B310" i="3"/>
  <c r="C310" i="3"/>
  <c r="D310" i="3"/>
  <c r="E310" i="3"/>
  <c r="F310" i="3"/>
  <c r="G310" i="3"/>
  <c r="H310" i="3"/>
  <c r="I310" i="3"/>
  <c r="J310" i="3"/>
  <c r="K310" i="3"/>
  <c r="L310" i="3"/>
  <c r="M310" i="3"/>
  <c r="A311" i="3"/>
  <c r="B311" i="3"/>
  <c r="C311" i="3"/>
  <c r="D311" i="3"/>
  <c r="E311" i="3"/>
  <c r="F311" i="3"/>
  <c r="G311" i="3"/>
  <c r="H311" i="3"/>
  <c r="I311" i="3"/>
  <c r="J311" i="3"/>
  <c r="K311" i="3"/>
  <c r="L311" i="3"/>
  <c r="M311" i="3"/>
  <c r="A312" i="3"/>
  <c r="B312" i="3"/>
  <c r="C312" i="3"/>
  <c r="D312" i="3"/>
  <c r="E312" i="3"/>
  <c r="F312" i="3"/>
  <c r="G312" i="3"/>
  <c r="H312" i="3"/>
  <c r="I312" i="3"/>
  <c r="J312" i="3"/>
  <c r="K312" i="3"/>
  <c r="L312" i="3"/>
  <c r="M312" i="3"/>
  <c r="A313" i="3"/>
  <c r="B313" i="3"/>
  <c r="C313" i="3"/>
  <c r="D313" i="3"/>
  <c r="E313" i="3"/>
  <c r="F313" i="3"/>
  <c r="G313" i="3"/>
  <c r="H313" i="3"/>
  <c r="I313" i="3"/>
  <c r="J313" i="3"/>
  <c r="K313" i="3"/>
  <c r="L313" i="3"/>
  <c r="M313" i="3"/>
  <c r="A314" i="3"/>
  <c r="B314" i="3"/>
  <c r="C314" i="3"/>
  <c r="D314" i="3"/>
  <c r="E314" i="3"/>
  <c r="F314" i="3"/>
  <c r="G314" i="3"/>
  <c r="H314" i="3"/>
  <c r="I314" i="3"/>
  <c r="J314" i="3"/>
  <c r="K314" i="3"/>
  <c r="L314" i="3"/>
  <c r="M314" i="3"/>
  <c r="A315" i="3"/>
  <c r="B315" i="3"/>
  <c r="C315" i="3"/>
  <c r="D315" i="3"/>
  <c r="E315" i="3"/>
  <c r="F315" i="3"/>
  <c r="G315" i="3"/>
  <c r="H315" i="3"/>
  <c r="I315" i="3"/>
  <c r="J315" i="3"/>
  <c r="K315" i="3"/>
  <c r="L315" i="3"/>
  <c r="M315" i="3"/>
  <c r="A316" i="3"/>
  <c r="B316" i="3"/>
  <c r="C316" i="3"/>
  <c r="D316" i="3"/>
  <c r="E316" i="3"/>
  <c r="F316" i="3"/>
  <c r="G316" i="3"/>
  <c r="H316" i="3"/>
  <c r="I316" i="3"/>
  <c r="J316" i="3"/>
  <c r="K316" i="3"/>
  <c r="L316" i="3"/>
  <c r="M316" i="3"/>
  <c r="A317" i="3"/>
  <c r="B317" i="3"/>
  <c r="C317" i="3"/>
  <c r="D317" i="3"/>
  <c r="E317" i="3"/>
  <c r="F317" i="3"/>
  <c r="G317" i="3"/>
  <c r="H317" i="3"/>
  <c r="I317" i="3"/>
  <c r="J317" i="3"/>
  <c r="K317" i="3"/>
  <c r="L317" i="3"/>
  <c r="M317" i="3"/>
  <c r="A318" i="3"/>
  <c r="B318" i="3"/>
  <c r="C318" i="3"/>
  <c r="D318" i="3"/>
  <c r="E318" i="3"/>
  <c r="F318" i="3"/>
  <c r="G318" i="3"/>
  <c r="H318" i="3"/>
  <c r="I318" i="3"/>
  <c r="J318" i="3"/>
  <c r="K318" i="3"/>
  <c r="L318" i="3"/>
  <c r="M318" i="3"/>
  <c r="A319" i="3"/>
  <c r="B319" i="3"/>
  <c r="C319" i="3"/>
  <c r="D319" i="3"/>
  <c r="E319" i="3"/>
  <c r="F319" i="3"/>
  <c r="G319" i="3"/>
  <c r="H319" i="3"/>
  <c r="I319" i="3"/>
  <c r="J319" i="3"/>
  <c r="K319" i="3"/>
  <c r="L319" i="3"/>
  <c r="M319" i="3"/>
  <c r="A320" i="3"/>
  <c r="B320" i="3"/>
  <c r="C320" i="3"/>
  <c r="D320" i="3"/>
  <c r="E320" i="3"/>
  <c r="F320" i="3"/>
  <c r="G320" i="3"/>
  <c r="H320" i="3"/>
  <c r="I320" i="3"/>
  <c r="J320" i="3"/>
  <c r="K320" i="3"/>
  <c r="L320" i="3"/>
  <c r="M320" i="3"/>
  <c r="A321" i="3"/>
  <c r="B321" i="3"/>
  <c r="C321" i="3"/>
  <c r="D321" i="3"/>
  <c r="E321" i="3"/>
  <c r="F321" i="3"/>
  <c r="G321" i="3"/>
  <c r="H321" i="3"/>
  <c r="I321" i="3"/>
  <c r="J321" i="3"/>
  <c r="K321" i="3"/>
  <c r="L321" i="3"/>
  <c r="M321" i="3"/>
  <c r="A322" i="3"/>
  <c r="B322" i="3"/>
  <c r="C322" i="3"/>
  <c r="D322" i="3"/>
  <c r="E322" i="3"/>
  <c r="F322" i="3"/>
  <c r="G322" i="3"/>
  <c r="H322" i="3"/>
  <c r="I322" i="3"/>
  <c r="J322" i="3"/>
  <c r="K322" i="3"/>
  <c r="L322" i="3"/>
  <c r="M322" i="3"/>
  <c r="A323" i="3"/>
  <c r="B323" i="3"/>
  <c r="C323" i="3"/>
  <c r="D323" i="3"/>
  <c r="E323" i="3"/>
  <c r="F323" i="3"/>
  <c r="G323" i="3"/>
  <c r="H323" i="3"/>
  <c r="I323" i="3"/>
  <c r="J323" i="3"/>
  <c r="K323" i="3"/>
  <c r="L323" i="3"/>
  <c r="M323" i="3"/>
  <c r="A324" i="3"/>
  <c r="B324" i="3"/>
  <c r="C324" i="3"/>
  <c r="D324" i="3"/>
  <c r="E324" i="3"/>
  <c r="F324" i="3"/>
  <c r="G324" i="3"/>
  <c r="H324" i="3"/>
  <c r="I324" i="3"/>
  <c r="J324" i="3"/>
  <c r="K324" i="3"/>
  <c r="L324" i="3"/>
  <c r="M324" i="3"/>
  <c r="A325" i="3"/>
  <c r="B325" i="3"/>
  <c r="C325" i="3"/>
  <c r="D325" i="3"/>
  <c r="E325" i="3"/>
  <c r="F325" i="3"/>
  <c r="G325" i="3"/>
  <c r="H325" i="3"/>
  <c r="I325" i="3"/>
  <c r="J325" i="3"/>
  <c r="K325" i="3"/>
  <c r="L325" i="3"/>
  <c r="M325" i="3"/>
  <c r="A326" i="3"/>
  <c r="B326" i="3"/>
  <c r="C326" i="3"/>
  <c r="D326" i="3"/>
  <c r="E326" i="3"/>
  <c r="F326" i="3"/>
  <c r="G326" i="3"/>
  <c r="H326" i="3"/>
  <c r="I326" i="3"/>
  <c r="J326" i="3"/>
  <c r="K326" i="3"/>
  <c r="L326" i="3"/>
  <c r="M326" i="3"/>
  <c r="A327" i="3"/>
  <c r="B327" i="3"/>
  <c r="C327" i="3"/>
  <c r="D327" i="3"/>
  <c r="E327" i="3"/>
  <c r="F327" i="3"/>
  <c r="G327" i="3"/>
  <c r="H327" i="3"/>
  <c r="I327" i="3"/>
  <c r="J327" i="3"/>
  <c r="K327" i="3"/>
  <c r="L327" i="3"/>
  <c r="M327" i="3"/>
  <c r="A328" i="3"/>
  <c r="B328" i="3"/>
  <c r="C328" i="3"/>
  <c r="D328" i="3"/>
  <c r="E328" i="3"/>
  <c r="F328" i="3"/>
  <c r="G328" i="3"/>
  <c r="H328" i="3"/>
  <c r="I328" i="3"/>
  <c r="J328" i="3"/>
  <c r="K328" i="3"/>
  <c r="L328" i="3"/>
  <c r="M328" i="3"/>
  <c r="A329" i="3"/>
  <c r="B329" i="3"/>
  <c r="C329" i="3"/>
  <c r="D329" i="3"/>
  <c r="E329" i="3"/>
  <c r="F329" i="3"/>
  <c r="G329" i="3"/>
  <c r="H329" i="3"/>
  <c r="I329" i="3"/>
  <c r="J329" i="3"/>
  <c r="K329" i="3"/>
  <c r="L329" i="3"/>
  <c r="M329" i="3"/>
  <c r="A330" i="3"/>
  <c r="B330" i="3"/>
  <c r="C330" i="3"/>
  <c r="D330" i="3"/>
  <c r="E330" i="3"/>
  <c r="F330" i="3"/>
  <c r="G330" i="3"/>
  <c r="H330" i="3"/>
  <c r="I330" i="3"/>
  <c r="J330" i="3"/>
  <c r="K330" i="3"/>
  <c r="L330" i="3"/>
  <c r="M330" i="3"/>
  <c r="A331" i="3"/>
  <c r="B331" i="3"/>
  <c r="C331" i="3"/>
  <c r="D331" i="3"/>
  <c r="E331" i="3"/>
  <c r="F331" i="3"/>
  <c r="G331" i="3"/>
  <c r="H331" i="3"/>
  <c r="I331" i="3"/>
  <c r="J331" i="3"/>
  <c r="K331" i="3"/>
  <c r="L331" i="3"/>
  <c r="M331" i="3"/>
  <c r="A332" i="3"/>
  <c r="B332" i="3"/>
  <c r="C332" i="3"/>
  <c r="D332" i="3"/>
  <c r="E332" i="3"/>
  <c r="F332" i="3"/>
  <c r="G332" i="3"/>
  <c r="H332" i="3"/>
  <c r="I332" i="3"/>
  <c r="J332" i="3"/>
  <c r="K332" i="3"/>
  <c r="L332" i="3"/>
  <c r="M332" i="3"/>
  <c r="A333" i="3"/>
  <c r="B333" i="3"/>
  <c r="C333" i="3"/>
  <c r="D333" i="3"/>
  <c r="E333" i="3"/>
  <c r="F333" i="3"/>
  <c r="G333" i="3"/>
  <c r="H333" i="3"/>
  <c r="I333" i="3"/>
  <c r="J333" i="3"/>
  <c r="K333" i="3"/>
  <c r="L333" i="3"/>
  <c r="M333" i="3"/>
  <c r="A334" i="3"/>
  <c r="B334" i="3"/>
  <c r="C334" i="3"/>
  <c r="D334" i="3"/>
  <c r="E334" i="3"/>
  <c r="F334" i="3"/>
  <c r="G334" i="3"/>
  <c r="H334" i="3"/>
  <c r="I334" i="3"/>
  <c r="J334" i="3"/>
  <c r="K334" i="3"/>
  <c r="L334" i="3"/>
  <c r="M334" i="3"/>
  <c r="A335" i="3"/>
  <c r="B335" i="3"/>
  <c r="C335" i="3"/>
  <c r="D335" i="3"/>
  <c r="E335" i="3"/>
  <c r="F335" i="3"/>
  <c r="G335" i="3"/>
  <c r="H335" i="3"/>
  <c r="I335" i="3"/>
  <c r="J335" i="3"/>
  <c r="K335" i="3"/>
  <c r="L335" i="3"/>
  <c r="M335" i="3"/>
  <c r="A336" i="3"/>
  <c r="B336" i="3"/>
  <c r="C336" i="3"/>
  <c r="D336" i="3"/>
  <c r="E336" i="3"/>
  <c r="F336" i="3"/>
  <c r="G336" i="3"/>
  <c r="H336" i="3"/>
  <c r="I336" i="3"/>
  <c r="J336" i="3"/>
  <c r="K336" i="3"/>
  <c r="L336" i="3"/>
  <c r="M336" i="3"/>
  <c r="A337" i="3"/>
  <c r="B337" i="3"/>
  <c r="C337" i="3"/>
  <c r="D337" i="3"/>
  <c r="E337" i="3"/>
  <c r="F337" i="3"/>
  <c r="G337" i="3"/>
  <c r="H337" i="3"/>
  <c r="I337" i="3"/>
  <c r="J337" i="3"/>
  <c r="K337" i="3"/>
  <c r="L337" i="3"/>
  <c r="M337" i="3"/>
  <c r="A338" i="3"/>
  <c r="B338" i="3"/>
  <c r="C338" i="3"/>
  <c r="D338" i="3"/>
  <c r="E338" i="3"/>
  <c r="F338" i="3"/>
  <c r="G338" i="3"/>
  <c r="H338" i="3"/>
  <c r="I338" i="3"/>
  <c r="J338" i="3"/>
  <c r="K338" i="3"/>
  <c r="L338" i="3"/>
  <c r="M338" i="3"/>
  <c r="A339" i="3"/>
  <c r="B339" i="3"/>
  <c r="C339" i="3"/>
  <c r="D339" i="3"/>
  <c r="E339" i="3"/>
  <c r="F339" i="3"/>
  <c r="G339" i="3"/>
  <c r="H339" i="3"/>
  <c r="I339" i="3"/>
  <c r="J339" i="3"/>
  <c r="K339" i="3"/>
  <c r="L339" i="3"/>
  <c r="M339" i="3"/>
  <c r="A340" i="3"/>
  <c r="B340" i="3"/>
  <c r="C340" i="3"/>
  <c r="D340" i="3"/>
  <c r="E340" i="3"/>
  <c r="F340" i="3"/>
  <c r="G340" i="3"/>
  <c r="H340" i="3"/>
  <c r="I340" i="3"/>
  <c r="J340" i="3"/>
  <c r="K340" i="3"/>
  <c r="L340" i="3"/>
  <c r="M340" i="3"/>
  <c r="A341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A342" i="3"/>
  <c r="B342" i="3"/>
  <c r="C342" i="3"/>
  <c r="D342" i="3"/>
  <c r="E342" i="3"/>
  <c r="F342" i="3"/>
  <c r="G342" i="3"/>
  <c r="H342" i="3"/>
  <c r="I342" i="3"/>
  <c r="J342" i="3"/>
  <c r="K342" i="3"/>
  <c r="L342" i="3"/>
  <c r="M342" i="3"/>
  <c r="A343" i="3"/>
  <c r="B343" i="3"/>
  <c r="C343" i="3"/>
  <c r="D343" i="3"/>
  <c r="E343" i="3"/>
  <c r="F343" i="3"/>
  <c r="G343" i="3"/>
  <c r="H343" i="3"/>
  <c r="I343" i="3"/>
  <c r="J343" i="3"/>
  <c r="K343" i="3"/>
  <c r="L343" i="3"/>
  <c r="M343" i="3"/>
  <c r="A344" i="3"/>
  <c r="B344" i="3"/>
  <c r="C344" i="3"/>
  <c r="D344" i="3"/>
  <c r="E344" i="3"/>
  <c r="F344" i="3"/>
  <c r="G344" i="3"/>
  <c r="H344" i="3"/>
  <c r="I344" i="3"/>
  <c r="J344" i="3"/>
  <c r="K344" i="3"/>
  <c r="L344" i="3"/>
  <c r="M344" i="3"/>
  <c r="A345" i="3"/>
  <c r="B345" i="3"/>
  <c r="C345" i="3"/>
  <c r="D345" i="3"/>
  <c r="E345" i="3"/>
  <c r="F345" i="3"/>
  <c r="G345" i="3"/>
  <c r="H345" i="3"/>
  <c r="I345" i="3"/>
  <c r="J345" i="3"/>
  <c r="K345" i="3"/>
  <c r="L345" i="3"/>
  <c r="M345" i="3"/>
  <c r="A346" i="3"/>
  <c r="B346" i="3"/>
  <c r="C346" i="3"/>
  <c r="D346" i="3"/>
  <c r="E346" i="3"/>
  <c r="F346" i="3"/>
  <c r="G346" i="3"/>
  <c r="H346" i="3"/>
  <c r="I346" i="3"/>
  <c r="J346" i="3"/>
  <c r="K346" i="3"/>
  <c r="L346" i="3"/>
  <c r="M346" i="3"/>
  <c r="A347" i="3"/>
  <c r="B347" i="3"/>
  <c r="C347" i="3"/>
  <c r="D347" i="3"/>
  <c r="E347" i="3"/>
  <c r="F347" i="3"/>
  <c r="G347" i="3"/>
  <c r="H347" i="3"/>
  <c r="I347" i="3"/>
  <c r="J347" i="3"/>
  <c r="K347" i="3"/>
  <c r="L347" i="3"/>
  <c r="M347" i="3"/>
  <c r="A348" i="3"/>
  <c r="B348" i="3"/>
  <c r="C348" i="3"/>
  <c r="D348" i="3"/>
  <c r="E348" i="3"/>
  <c r="F348" i="3"/>
  <c r="G348" i="3"/>
  <c r="H348" i="3"/>
  <c r="I348" i="3"/>
  <c r="J348" i="3"/>
  <c r="K348" i="3"/>
  <c r="L348" i="3"/>
  <c r="M348" i="3"/>
  <c r="A349" i="3"/>
  <c r="B349" i="3"/>
  <c r="C349" i="3"/>
  <c r="D349" i="3"/>
  <c r="E349" i="3"/>
  <c r="F349" i="3"/>
  <c r="G349" i="3"/>
  <c r="H349" i="3"/>
  <c r="I349" i="3"/>
  <c r="J349" i="3"/>
  <c r="K349" i="3"/>
  <c r="L349" i="3"/>
  <c r="M349" i="3"/>
  <c r="A350" i="3"/>
  <c r="B350" i="3"/>
  <c r="C350" i="3"/>
  <c r="D350" i="3"/>
  <c r="E350" i="3"/>
  <c r="F350" i="3"/>
  <c r="G350" i="3"/>
  <c r="H350" i="3"/>
  <c r="I350" i="3"/>
  <c r="J350" i="3"/>
  <c r="K350" i="3"/>
  <c r="L350" i="3"/>
  <c r="M350" i="3"/>
  <c r="A351" i="3"/>
  <c r="B351" i="3"/>
  <c r="C351" i="3"/>
  <c r="D351" i="3"/>
  <c r="E351" i="3"/>
  <c r="F351" i="3"/>
  <c r="G351" i="3"/>
  <c r="H351" i="3"/>
  <c r="I351" i="3"/>
  <c r="J351" i="3"/>
  <c r="K351" i="3"/>
  <c r="L351" i="3"/>
  <c r="M351" i="3"/>
  <c r="A352" i="3"/>
  <c r="B352" i="3"/>
  <c r="C352" i="3"/>
  <c r="D352" i="3"/>
  <c r="E352" i="3"/>
  <c r="F352" i="3"/>
  <c r="G352" i="3"/>
  <c r="H352" i="3"/>
  <c r="I352" i="3"/>
  <c r="J352" i="3"/>
  <c r="K352" i="3"/>
  <c r="L352" i="3"/>
  <c r="M352" i="3"/>
  <c r="A353" i="3"/>
  <c r="B353" i="3"/>
  <c r="C353" i="3"/>
  <c r="D353" i="3"/>
  <c r="E353" i="3"/>
  <c r="F353" i="3"/>
  <c r="G353" i="3"/>
  <c r="H353" i="3"/>
  <c r="I353" i="3"/>
  <c r="J353" i="3"/>
  <c r="K353" i="3"/>
  <c r="L353" i="3"/>
  <c r="M353" i="3"/>
  <c r="A354" i="3"/>
  <c r="B354" i="3"/>
  <c r="C354" i="3"/>
  <c r="D354" i="3"/>
  <c r="E354" i="3"/>
  <c r="F354" i="3"/>
  <c r="G354" i="3"/>
  <c r="H354" i="3"/>
  <c r="I354" i="3"/>
  <c r="J354" i="3"/>
  <c r="K354" i="3"/>
  <c r="L354" i="3"/>
  <c r="M354" i="3"/>
  <c r="A355" i="3"/>
  <c r="B355" i="3"/>
  <c r="C355" i="3"/>
  <c r="D355" i="3"/>
  <c r="E355" i="3"/>
  <c r="F355" i="3"/>
  <c r="G355" i="3"/>
  <c r="H355" i="3"/>
  <c r="I355" i="3"/>
  <c r="J355" i="3"/>
  <c r="K355" i="3"/>
  <c r="L355" i="3"/>
  <c r="M355" i="3"/>
  <c r="A356" i="3"/>
  <c r="B356" i="3"/>
  <c r="C356" i="3"/>
  <c r="D356" i="3"/>
  <c r="E356" i="3"/>
  <c r="F356" i="3"/>
  <c r="G356" i="3"/>
  <c r="H356" i="3"/>
  <c r="I356" i="3"/>
  <c r="J356" i="3"/>
  <c r="K356" i="3"/>
  <c r="L356" i="3"/>
  <c r="M356" i="3"/>
  <c r="A357" i="3"/>
  <c r="B357" i="3"/>
  <c r="C357" i="3"/>
  <c r="D357" i="3"/>
  <c r="E357" i="3"/>
  <c r="F357" i="3"/>
  <c r="G357" i="3"/>
  <c r="H357" i="3"/>
  <c r="I357" i="3"/>
  <c r="J357" i="3"/>
  <c r="K357" i="3"/>
  <c r="L357" i="3"/>
  <c r="M357" i="3"/>
  <c r="A358" i="3"/>
  <c r="B358" i="3"/>
  <c r="C358" i="3"/>
  <c r="D358" i="3"/>
  <c r="E358" i="3"/>
  <c r="F358" i="3"/>
  <c r="G358" i="3"/>
  <c r="H358" i="3"/>
  <c r="I358" i="3"/>
  <c r="J358" i="3"/>
  <c r="K358" i="3"/>
  <c r="L358" i="3"/>
  <c r="M358" i="3"/>
  <c r="A359" i="3"/>
  <c r="B359" i="3"/>
  <c r="C359" i="3"/>
  <c r="D359" i="3"/>
  <c r="E359" i="3"/>
  <c r="F359" i="3"/>
  <c r="G359" i="3"/>
  <c r="H359" i="3"/>
  <c r="I359" i="3"/>
  <c r="J359" i="3"/>
  <c r="K359" i="3"/>
  <c r="L359" i="3"/>
  <c r="M359" i="3"/>
  <c r="A360" i="3"/>
  <c r="B360" i="3"/>
  <c r="C360" i="3"/>
  <c r="D360" i="3"/>
  <c r="E360" i="3"/>
  <c r="F360" i="3"/>
  <c r="G360" i="3"/>
  <c r="H360" i="3"/>
  <c r="I360" i="3"/>
  <c r="J360" i="3"/>
  <c r="K360" i="3"/>
  <c r="L360" i="3"/>
  <c r="M360" i="3"/>
  <c r="A361" i="3"/>
  <c r="B361" i="3"/>
  <c r="C361" i="3"/>
  <c r="D361" i="3"/>
  <c r="E361" i="3"/>
  <c r="F361" i="3"/>
  <c r="G361" i="3"/>
  <c r="H361" i="3"/>
  <c r="I361" i="3"/>
  <c r="J361" i="3"/>
  <c r="K361" i="3"/>
  <c r="L361" i="3"/>
  <c r="M361" i="3"/>
  <c r="A362" i="3"/>
  <c r="B362" i="3"/>
  <c r="C362" i="3"/>
  <c r="D362" i="3"/>
  <c r="E362" i="3"/>
  <c r="F362" i="3"/>
  <c r="G362" i="3"/>
  <c r="H362" i="3"/>
  <c r="I362" i="3"/>
  <c r="J362" i="3"/>
  <c r="K362" i="3"/>
  <c r="L362" i="3"/>
  <c r="M362" i="3"/>
  <c r="A363" i="3"/>
  <c r="B363" i="3"/>
  <c r="C363" i="3"/>
  <c r="D363" i="3"/>
  <c r="E363" i="3"/>
  <c r="F363" i="3"/>
  <c r="G363" i="3"/>
  <c r="H363" i="3"/>
  <c r="I363" i="3"/>
  <c r="J363" i="3"/>
  <c r="K363" i="3"/>
  <c r="L363" i="3"/>
  <c r="M363" i="3"/>
  <c r="A364" i="3"/>
  <c r="B364" i="3"/>
  <c r="C364" i="3"/>
  <c r="D364" i="3"/>
  <c r="E364" i="3"/>
  <c r="F364" i="3"/>
  <c r="G364" i="3"/>
  <c r="H364" i="3"/>
  <c r="I364" i="3"/>
  <c r="J364" i="3"/>
  <c r="K364" i="3"/>
  <c r="L364" i="3"/>
  <c r="M364" i="3"/>
  <c r="A365" i="3"/>
  <c r="B365" i="3"/>
  <c r="C365" i="3"/>
  <c r="D365" i="3"/>
  <c r="E365" i="3"/>
  <c r="F365" i="3"/>
  <c r="G365" i="3"/>
  <c r="H365" i="3"/>
  <c r="I365" i="3"/>
  <c r="J365" i="3"/>
  <c r="K365" i="3"/>
  <c r="L365" i="3"/>
  <c r="M365" i="3"/>
  <c r="A366" i="3"/>
  <c r="B366" i="3"/>
  <c r="C366" i="3"/>
  <c r="D366" i="3"/>
  <c r="E366" i="3"/>
  <c r="F366" i="3"/>
  <c r="G366" i="3"/>
  <c r="H366" i="3"/>
  <c r="I366" i="3"/>
  <c r="J366" i="3"/>
  <c r="K366" i="3"/>
  <c r="L366" i="3"/>
  <c r="M366" i="3"/>
  <c r="A367" i="3"/>
  <c r="B367" i="3"/>
  <c r="C367" i="3"/>
  <c r="D367" i="3"/>
  <c r="E367" i="3"/>
  <c r="F367" i="3"/>
  <c r="G367" i="3"/>
  <c r="H367" i="3"/>
  <c r="I367" i="3"/>
  <c r="J367" i="3"/>
  <c r="K367" i="3"/>
  <c r="L367" i="3"/>
  <c r="M367" i="3"/>
  <c r="A368" i="3"/>
  <c r="B368" i="3"/>
  <c r="C368" i="3"/>
  <c r="D368" i="3"/>
  <c r="E368" i="3"/>
  <c r="F368" i="3"/>
  <c r="G368" i="3"/>
  <c r="H368" i="3"/>
  <c r="I368" i="3"/>
  <c r="J368" i="3"/>
  <c r="K368" i="3"/>
  <c r="L368" i="3"/>
  <c r="M368" i="3"/>
  <c r="A369" i="3"/>
  <c r="B369" i="3"/>
  <c r="C369" i="3"/>
  <c r="D369" i="3"/>
  <c r="E369" i="3"/>
  <c r="F369" i="3"/>
  <c r="G369" i="3"/>
  <c r="H369" i="3"/>
  <c r="I369" i="3"/>
  <c r="J369" i="3"/>
  <c r="K369" i="3"/>
  <c r="L369" i="3"/>
  <c r="M369" i="3"/>
  <c r="A370" i="3"/>
  <c r="B370" i="3"/>
  <c r="C370" i="3"/>
  <c r="D370" i="3"/>
  <c r="E370" i="3"/>
  <c r="F370" i="3"/>
  <c r="G370" i="3"/>
  <c r="H370" i="3"/>
  <c r="I370" i="3"/>
  <c r="J370" i="3"/>
  <c r="K370" i="3"/>
  <c r="L370" i="3"/>
  <c r="M370" i="3"/>
  <c r="A371" i="3"/>
  <c r="B371" i="3"/>
  <c r="C371" i="3"/>
  <c r="D371" i="3"/>
  <c r="E371" i="3"/>
  <c r="F371" i="3"/>
  <c r="G371" i="3"/>
  <c r="H371" i="3"/>
  <c r="I371" i="3"/>
  <c r="J371" i="3"/>
  <c r="K371" i="3"/>
  <c r="L371" i="3"/>
  <c r="M371" i="3"/>
  <c r="A372" i="3"/>
  <c r="B372" i="3"/>
  <c r="C372" i="3"/>
  <c r="D372" i="3"/>
  <c r="E372" i="3"/>
  <c r="F372" i="3"/>
  <c r="G372" i="3"/>
  <c r="H372" i="3"/>
  <c r="I372" i="3"/>
  <c r="J372" i="3"/>
  <c r="K372" i="3"/>
  <c r="L372" i="3"/>
  <c r="M372" i="3"/>
  <c r="A373" i="3"/>
  <c r="B373" i="3"/>
  <c r="C373" i="3"/>
  <c r="D373" i="3"/>
  <c r="E373" i="3"/>
  <c r="F373" i="3"/>
  <c r="G373" i="3"/>
  <c r="H373" i="3"/>
  <c r="I373" i="3"/>
  <c r="J373" i="3"/>
  <c r="K373" i="3"/>
  <c r="L373" i="3"/>
  <c r="M373" i="3"/>
  <c r="A374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A375" i="3"/>
  <c r="B375" i="3"/>
  <c r="C375" i="3"/>
  <c r="D375" i="3"/>
  <c r="E375" i="3"/>
  <c r="F375" i="3"/>
  <c r="G375" i="3"/>
  <c r="H375" i="3"/>
  <c r="I375" i="3"/>
  <c r="J375" i="3"/>
  <c r="K375" i="3"/>
  <c r="L375" i="3"/>
  <c r="M375" i="3"/>
  <c r="A376" i="3"/>
  <c r="B376" i="3"/>
  <c r="C376" i="3"/>
  <c r="D376" i="3"/>
  <c r="E376" i="3"/>
  <c r="F376" i="3"/>
  <c r="G376" i="3"/>
  <c r="H376" i="3"/>
  <c r="I376" i="3"/>
  <c r="J376" i="3"/>
  <c r="K376" i="3"/>
  <c r="L376" i="3"/>
  <c r="M376" i="3"/>
  <c r="A377" i="3"/>
  <c r="B377" i="3"/>
  <c r="C377" i="3"/>
  <c r="D377" i="3"/>
  <c r="E377" i="3"/>
  <c r="F377" i="3"/>
  <c r="G377" i="3"/>
  <c r="H377" i="3"/>
  <c r="I377" i="3"/>
  <c r="J377" i="3"/>
  <c r="K377" i="3"/>
  <c r="L377" i="3"/>
  <c r="M377" i="3"/>
  <c r="A378" i="3"/>
  <c r="B378" i="3"/>
  <c r="C378" i="3"/>
  <c r="D378" i="3"/>
  <c r="E378" i="3"/>
  <c r="F378" i="3"/>
  <c r="G378" i="3"/>
  <c r="H378" i="3"/>
  <c r="I378" i="3"/>
  <c r="J378" i="3"/>
  <c r="K378" i="3"/>
  <c r="L378" i="3"/>
  <c r="M378" i="3"/>
  <c r="A379" i="3"/>
  <c r="B379" i="3"/>
  <c r="C379" i="3"/>
  <c r="D379" i="3"/>
  <c r="E379" i="3"/>
  <c r="F379" i="3"/>
  <c r="G379" i="3"/>
  <c r="H379" i="3"/>
  <c r="I379" i="3"/>
  <c r="J379" i="3"/>
  <c r="K379" i="3"/>
  <c r="L379" i="3"/>
  <c r="M379" i="3"/>
  <c r="A380" i="3"/>
  <c r="B380" i="3"/>
  <c r="C380" i="3"/>
  <c r="D380" i="3"/>
  <c r="E380" i="3"/>
  <c r="F380" i="3"/>
  <c r="G380" i="3"/>
  <c r="H380" i="3"/>
  <c r="I380" i="3"/>
  <c r="J380" i="3"/>
  <c r="K380" i="3"/>
  <c r="L380" i="3"/>
  <c r="M380" i="3"/>
  <c r="A381" i="3"/>
  <c r="B381" i="3"/>
  <c r="C381" i="3"/>
  <c r="D381" i="3"/>
  <c r="E381" i="3"/>
  <c r="F381" i="3"/>
  <c r="G381" i="3"/>
  <c r="H381" i="3"/>
  <c r="I381" i="3"/>
  <c r="J381" i="3"/>
  <c r="K381" i="3"/>
  <c r="L381" i="3"/>
  <c r="M381" i="3"/>
  <c r="A382" i="3"/>
  <c r="B382" i="3"/>
  <c r="C382" i="3"/>
  <c r="D382" i="3"/>
  <c r="E382" i="3"/>
  <c r="F382" i="3"/>
  <c r="G382" i="3"/>
  <c r="H382" i="3"/>
  <c r="I382" i="3"/>
  <c r="J382" i="3"/>
  <c r="K382" i="3"/>
  <c r="L382" i="3"/>
  <c r="M382" i="3"/>
  <c r="A383" i="3"/>
  <c r="B383" i="3"/>
  <c r="C383" i="3"/>
  <c r="D383" i="3"/>
  <c r="E383" i="3"/>
  <c r="F383" i="3"/>
  <c r="G383" i="3"/>
  <c r="H383" i="3"/>
  <c r="I383" i="3"/>
  <c r="J383" i="3"/>
  <c r="K383" i="3"/>
  <c r="L383" i="3"/>
  <c r="M383" i="3"/>
  <c r="A384" i="3"/>
  <c r="B384" i="3"/>
  <c r="C384" i="3"/>
  <c r="D384" i="3"/>
  <c r="E384" i="3"/>
  <c r="F384" i="3"/>
  <c r="G384" i="3"/>
  <c r="H384" i="3"/>
  <c r="I384" i="3"/>
  <c r="J384" i="3"/>
  <c r="K384" i="3"/>
  <c r="L384" i="3"/>
  <c r="M384" i="3"/>
  <c r="A385" i="3"/>
  <c r="B385" i="3"/>
  <c r="C385" i="3"/>
  <c r="D385" i="3"/>
  <c r="E385" i="3"/>
  <c r="F385" i="3"/>
  <c r="G385" i="3"/>
  <c r="H385" i="3"/>
  <c r="I385" i="3"/>
  <c r="J385" i="3"/>
  <c r="K385" i="3"/>
  <c r="L385" i="3"/>
  <c r="M385" i="3"/>
  <c r="A386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A387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A388" i="3"/>
  <c r="B388" i="3"/>
  <c r="C388" i="3"/>
  <c r="D388" i="3"/>
  <c r="E388" i="3"/>
  <c r="F388" i="3"/>
  <c r="G388" i="3"/>
  <c r="H388" i="3"/>
  <c r="I388" i="3"/>
  <c r="J388" i="3"/>
  <c r="K388" i="3"/>
  <c r="L388" i="3"/>
  <c r="M388" i="3"/>
  <c r="A389" i="3"/>
  <c r="B389" i="3"/>
  <c r="C389" i="3"/>
  <c r="D389" i="3"/>
  <c r="E389" i="3"/>
  <c r="F389" i="3"/>
  <c r="G389" i="3"/>
  <c r="H389" i="3"/>
  <c r="I389" i="3"/>
  <c r="J389" i="3"/>
  <c r="K389" i="3"/>
  <c r="L389" i="3"/>
  <c r="M389" i="3"/>
  <c r="A390" i="3"/>
  <c r="B390" i="3"/>
  <c r="C390" i="3"/>
  <c r="D390" i="3"/>
  <c r="E390" i="3"/>
  <c r="F390" i="3"/>
  <c r="G390" i="3"/>
  <c r="H390" i="3"/>
  <c r="I390" i="3"/>
  <c r="J390" i="3"/>
  <c r="K390" i="3"/>
  <c r="L390" i="3"/>
  <c r="M390" i="3"/>
  <c r="A391" i="3"/>
  <c r="B391" i="3"/>
  <c r="C391" i="3"/>
  <c r="D391" i="3"/>
  <c r="E391" i="3"/>
  <c r="F391" i="3"/>
  <c r="G391" i="3"/>
  <c r="H391" i="3"/>
  <c r="I391" i="3"/>
  <c r="J391" i="3"/>
  <c r="K391" i="3"/>
  <c r="L391" i="3"/>
  <c r="M391" i="3"/>
  <c r="A392" i="3"/>
  <c r="B392" i="3"/>
  <c r="C392" i="3"/>
  <c r="D392" i="3"/>
  <c r="E392" i="3"/>
  <c r="F392" i="3"/>
  <c r="G392" i="3"/>
  <c r="H392" i="3"/>
  <c r="I392" i="3"/>
  <c r="J392" i="3"/>
  <c r="K392" i="3"/>
  <c r="L392" i="3"/>
  <c r="M392" i="3"/>
  <c r="A393" i="3"/>
  <c r="B393" i="3"/>
  <c r="C393" i="3"/>
  <c r="D393" i="3"/>
  <c r="E393" i="3"/>
  <c r="F393" i="3"/>
  <c r="G393" i="3"/>
  <c r="H393" i="3"/>
  <c r="I393" i="3"/>
  <c r="J393" i="3"/>
  <c r="K393" i="3"/>
  <c r="L393" i="3"/>
  <c r="M393" i="3"/>
  <c r="A394" i="3"/>
  <c r="B394" i="3"/>
  <c r="C394" i="3"/>
  <c r="D394" i="3"/>
  <c r="E394" i="3"/>
  <c r="F394" i="3"/>
  <c r="G394" i="3"/>
  <c r="H394" i="3"/>
  <c r="I394" i="3"/>
  <c r="J394" i="3"/>
  <c r="K394" i="3"/>
  <c r="L394" i="3"/>
  <c r="M394" i="3"/>
  <c r="A395" i="3"/>
  <c r="B395" i="3"/>
  <c r="C395" i="3"/>
  <c r="D395" i="3"/>
  <c r="E395" i="3"/>
  <c r="F395" i="3"/>
  <c r="G395" i="3"/>
  <c r="H395" i="3"/>
  <c r="I395" i="3"/>
  <c r="J395" i="3"/>
  <c r="K395" i="3"/>
  <c r="L395" i="3"/>
  <c r="M395" i="3"/>
  <c r="A396" i="3"/>
  <c r="B396" i="3"/>
  <c r="C396" i="3"/>
  <c r="D396" i="3"/>
  <c r="E396" i="3"/>
  <c r="F396" i="3"/>
  <c r="G396" i="3"/>
  <c r="H396" i="3"/>
  <c r="I396" i="3"/>
  <c r="J396" i="3"/>
  <c r="K396" i="3"/>
  <c r="L396" i="3"/>
  <c r="M396" i="3"/>
  <c r="A397" i="3"/>
  <c r="B397" i="3"/>
  <c r="C397" i="3"/>
  <c r="D397" i="3"/>
  <c r="E397" i="3"/>
  <c r="F397" i="3"/>
  <c r="G397" i="3"/>
  <c r="H397" i="3"/>
  <c r="I397" i="3"/>
  <c r="J397" i="3"/>
  <c r="K397" i="3"/>
  <c r="L397" i="3"/>
  <c r="M397" i="3"/>
  <c r="A398" i="3"/>
  <c r="B398" i="3"/>
  <c r="C398" i="3"/>
  <c r="D398" i="3"/>
  <c r="E398" i="3"/>
  <c r="F398" i="3"/>
  <c r="G398" i="3"/>
  <c r="H398" i="3"/>
  <c r="I398" i="3"/>
  <c r="J398" i="3"/>
  <c r="K398" i="3"/>
  <c r="L398" i="3"/>
  <c r="M398" i="3"/>
  <c r="A399" i="3"/>
  <c r="B399" i="3"/>
  <c r="C399" i="3"/>
  <c r="D399" i="3"/>
  <c r="E399" i="3"/>
  <c r="F399" i="3"/>
  <c r="G399" i="3"/>
  <c r="H399" i="3"/>
  <c r="I399" i="3"/>
  <c r="J399" i="3"/>
  <c r="K399" i="3"/>
  <c r="L399" i="3"/>
  <c r="M399" i="3"/>
  <c r="A400" i="3"/>
  <c r="B400" i="3"/>
  <c r="C400" i="3"/>
  <c r="D400" i="3"/>
  <c r="E400" i="3"/>
  <c r="F400" i="3"/>
  <c r="G400" i="3"/>
  <c r="H400" i="3"/>
  <c r="I400" i="3"/>
  <c r="J400" i="3"/>
  <c r="K400" i="3"/>
  <c r="L400" i="3"/>
  <c r="M400" i="3"/>
  <c r="A401" i="3"/>
  <c r="B401" i="3"/>
  <c r="C401" i="3"/>
  <c r="D401" i="3"/>
  <c r="E401" i="3"/>
  <c r="F401" i="3"/>
  <c r="G401" i="3"/>
  <c r="H401" i="3"/>
  <c r="I401" i="3"/>
  <c r="J401" i="3"/>
  <c r="K401" i="3"/>
  <c r="L401" i="3"/>
  <c r="M401" i="3"/>
  <c r="A402" i="3"/>
  <c r="B402" i="3"/>
  <c r="C402" i="3"/>
  <c r="D402" i="3"/>
  <c r="E402" i="3"/>
  <c r="F402" i="3"/>
  <c r="G402" i="3"/>
  <c r="H402" i="3"/>
  <c r="I402" i="3"/>
  <c r="J402" i="3"/>
  <c r="K402" i="3"/>
  <c r="L402" i="3"/>
  <c r="M402" i="3"/>
  <c r="A403" i="3"/>
  <c r="B403" i="3"/>
  <c r="C403" i="3"/>
  <c r="D403" i="3"/>
  <c r="E403" i="3"/>
  <c r="F403" i="3"/>
  <c r="G403" i="3"/>
  <c r="H403" i="3"/>
  <c r="I403" i="3"/>
  <c r="J403" i="3"/>
  <c r="K403" i="3"/>
  <c r="L403" i="3"/>
  <c r="M403" i="3"/>
  <c r="A404" i="3"/>
  <c r="B404" i="3"/>
  <c r="C404" i="3"/>
  <c r="D404" i="3"/>
  <c r="E404" i="3"/>
  <c r="F404" i="3"/>
  <c r="G404" i="3"/>
  <c r="H404" i="3"/>
  <c r="I404" i="3"/>
  <c r="J404" i="3"/>
  <c r="K404" i="3"/>
  <c r="L404" i="3"/>
  <c r="M404" i="3"/>
  <c r="A405" i="3"/>
  <c r="B405" i="3"/>
  <c r="C405" i="3"/>
  <c r="D405" i="3"/>
  <c r="E405" i="3"/>
  <c r="F405" i="3"/>
  <c r="G405" i="3"/>
  <c r="H405" i="3"/>
  <c r="I405" i="3"/>
  <c r="J405" i="3"/>
  <c r="K405" i="3"/>
  <c r="L405" i="3"/>
  <c r="M405" i="3"/>
  <c r="A406" i="3"/>
  <c r="B406" i="3"/>
  <c r="C406" i="3"/>
  <c r="D406" i="3"/>
  <c r="E406" i="3"/>
  <c r="F406" i="3"/>
  <c r="G406" i="3"/>
  <c r="H406" i="3"/>
  <c r="I406" i="3"/>
  <c r="J406" i="3"/>
  <c r="K406" i="3"/>
  <c r="L406" i="3"/>
  <c r="M406" i="3"/>
  <c r="A407" i="3"/>
  <c r="B407" i="3"/>
  <c r="C407" i="3"/>
  <c r="D407" i="3"/>
  <c r="E407" i="3"/>
  <c r="F407" i="3"/>
  <c r="G407" i="3"/>
  <c r="H407" i="3"/>
  <c r="I407" i="3"/>
  <c r="J407" i="3"/>
  <c r="K407" i="3"/>
  <c r="L407" i="3"/>
  <c r="M407" i="3"/>
  <c r="A408" i="3"/>
  <c r="B408" i="3"/>
  <c r="C408" i="3"/>
  <c r="D408" i="3"/>
  <c r="E408" i="3"/>
  <c r="F408" i="3"/>
  <c r="G408" i="3"/>
  <c r="H408" i="3"/>
  <c r="I408" i="3"/>
  <c r="J408" i="3"/>
  <c r="K408" i="3"/>
  <c r="L408" i="3"/>
  <c r="M408" i="3"/>
  <c r="A409" i="3"/>
  <c r="B409" i="3"/>
  <c r="C409" i="3"/>
  <c r="D409" i="3"/>
  <c r="E409" i="3"/>
  <c r="F409" i="3"/>
  <c r="G409" i="3"/>
  <c r="H409" i="3"/>
  <c r="I409" i="3"/>
  <c r="J409" i="3"/>
  <c r="K409" i="3"/>
  <c r="L409" i="3"/>
  <c r="M409" i="3"/>
  <c r="A410" i="3"/>
  <c r="B410" i="3"/>
  <c r="C410" i="3"/>
  <c r="D410" i="3"/>
  <c r="E410" i="3"/>
  <c r="F410" i="3"/>
  <c r="G410" i="3"/>
  <c r="H410" i="3"/>
  <c r="I410" i="3"/>
  <c r="J410" i="3"/>
  <c r="K410" i="3"/>
  <c r="L410" i="3"/>
  <c r="M410" i="3"/>
  <c r="A411" i="3"/>
  <c r="B411" i="3"/>
  <c r="C411" i="3"/>
  <c r="D411" i="3"/>
  <c r="E411" i="3"/>
  <c r="F411" i="3"/>
  <c r="G411" i="3"/>
  <c r="H411" i="3"/>
  <c r="I411" i="3"/>
  <c r="J411" i="3"/>
  <c r="K411" i="3"/>
  <c r="L411" i="3"/>
  <c r="M411" i="3"/>
  <c r="A412" i="3"/>
  <c r="B412" i="3"/>
  <c r="C412" i="3"/>
  <c r="D412" i="3"/>
  <c r="E412" i="3"/>
  <c r="F412" i="3"/>
  <c r="G412" i="3"/>
  <c r="H412" i="3"/>
  <c r="I412" i="3"/>
  <c r="J412" i="3"/>
  <c r="K412" i="3"/>
  <c r="L412" i="3"/>
  <c r="M412" i="3"/>
  <c r="A413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A414" i="3"/>
  <c r="B414" i="3"/>
  <c r="C414" i="3"/>
  <c r="D414" i="3"/>
  <c r="E414" i="3"/>
  <c r="F414" i="3"/>
  <c r="G414" i="3"/>
  <c r="H414" i="3"/>
  <c r="I414" i="3"/>
  <c r="J414" i="3"/>
  <c r="K414" i="3"/>
  <c r="L414" i="3"/>
  <c r="M414" i="3"/>
  <c r="A415" i="3"/>
  <c r="B415" i="3"/>
  <c r="C415" i="3"/>
  <c r="D415" i="3"/>
  <c r="E415" i="3"/>
  <c r="F415" i="3"/>
  <c r="G415" i="3"/>
  <c r="H415" i="3"/>
  <c r="I415" i="3"/>
  <c r="J415" i="3"/>
  <c r="K415" i="3"/>
  <c r="L415" i="3"/>
  <c r="M415" i="3"/>
  <c r="A416" i="3"/>
  <c r="B416" i="3"/>
  <c r="C416" i="3"/>
  <c r="D416" i="3"/>
  <c r="E416" i="3"/>
  <c r="F416" i="3"/>
  <c r="G416" i="3"/>
  <c r="H416" i="3"/>
  <c r="I416" i="3"/>
  <c r="J416" i="3"/>
  <c r="K416" i="3"/>
  <c r="L416" i="3"/>
  <c r="M416" i="3"/>
  <c r="A417" i="3"/>
  <c r="B417" i="3"/>
  <c r="C417" i="3"/>
  <c r="D417" i="3"/>
  <c r="E417" i="3"/>
  <c r="F417" i="3"/>
  <c r="G417" i="3"/>
  <c r="H417" i="3"/>
  <c r="I417" i="3"/>
  <c r="J417" i="3"/>
  <c r="K417" i="3"/>
  <c r="L417" i="3"/>
  <c r="M417" i="3"/>
  <c r="A418" i="3"/>
  <c r="B418" i="3"/>
  <c r="C418" i="3"/>
  <c r="D418" i="3"/>
  <c r="E418" i="3"/>
  <c r="F418" i="3"/>
  <c r="G418" i="3"/>
  <c r="H418" i="3"/>
  <c r="I418" i="3"/>
  <c r="J418" i="3"/>
  <c r="K418" i="3"/>
  <c r="L418" i="3"/>
  <c r="M418" i="3"/>
  <c r="A419" i="3"/>
  <c r="B419" i="3"/>
  <c r="C419" i="3"/>
  <c r="D419" i="3"/>
  <c r="E419" i="3"/>
  <c r="F419" i="3"/>
  <c r="G419" i="3"/>
  <c r="H419" i="3"/>
  <c r="I419" i="3"/>
  <c r="J419" i="3"/>
  <c r="K419" i="3"/>
  <c r="L419" i="3"/>
  <c r="M419" i="3"/>
  <c r="A420" i="3"/>
  <c r="B420" i="3"/>
  <c r="C420" i="3"/>
  <c r="D420" i="3"/>
  <c r="E420" i="3"/>
  <c r="F420" i="3"/>
  <c r="G420" i="3"/>
  <c r="H420" i="3"/>
  <c r="I420" i="3"/>
  <c r="J420" i="3"/>
  <c r="K420" i="3"/>
  <c r="L420" i="3"/>
  <c r="M420" i="3"/>
  <c r="A421" i="3"/>
  <c r="B421" i="3"/>
  <c r="C421" i="3"/>
  <c r="D421" i="3"/>
  <c r="E421" i="3"/>
  <c r="F421" i="3"/>
  <c r="G421" i="3"/>
  <c r="H421" i="3"/>
  <c r="I421" i="3"/>
  <c r="J421" i="3"/>
  <c r="K421" i="3"/>
  <c r="L421" i="3"/>
  <c r="M421" i="3"/>
  <c r="A422" i="3"/>
  <c r="B422" i="3"/>
  <c r="C422" i="3"/>
  <c r="D422" i="3"/>
  <c r="E422" i="3"/>
  <c r="F422" i="3"/>
  <c r="G422" i="3"/>
  <c r="H422" i="3"/>
  <c r="I422" i="3"/>
  <c r="J422" i="3"/>
  <c r="K422" i="3"/>
  <c r="L422" i="3"/>
  <c r="M422" i="3"/>
  <c r="A423" i="3"/>
  <c r="B423" i="3"/>
  <c r="C423" i="3"/>
  <c r="D423" i="3"/>
  <c r="E423" i="3"/>
  <c r="F423" i="3"/>
  <c r="G423" i="3"/>
  <c r="H423" i="3"/>
  <c r="I423" i="3"/>
  <c r="J423" i="3"/>
  <c r="K423" i="3"/>
  <c r="L423" i="3"/>
  <c r="M423" i="3"/>
  <c r="A424" i="3"/>
  <c r="B424" i="3"/>
  <c r="C424" i="3"/>
  <c r="D424" i="3"/>
  <c r="E424" i="3"/>
  <c r="F424" i="3"/>
  <c r="G424" i="3"/>
  <c r="H424" i="3"/>
  <c r="I424" i="3"/>
  <c r="J424" i="3"/>
  <c r="K424" i="3"/>
  <c r="L424" i="3"/>
  <c r="M424" i="3"/>
  <c r="A425" i="3"/>
  <c r="B425" i="3"/>
  <c r="C425" i="3"/>
  <c r="D425" i="3"/>
  <c r="E425" i="3"/>
  <c r="F425" i="3"/>
  <c r="G425" i="3"/>
  <c r="H425" i="3"/>
  <c r="I425" i="3"/>
  <c r="J425" i="3"/>
  <c r="K425" i="3"/>
  <c r="L425" i="3"/>
  <c r="M425" i="3"/>
  <c r="A426" i="3"/>
  <c r="B426" i="3"/>
  <c r="C426" i="3"/>
  <c r="D426" i="3"/>
  <c r="E426" i="3"/>
  <c r="F426" i="3"/>
  <c r="G426" i="3"/>
  <c r="H426" i="3"/>
  <c r="I426" i="3"/>
  <c r="J426" i="3"/>
  <c r="K426" i="3"/>
  <c r="L426" i="3"/>
  <c r="M426" i="3"/>
  <c r="A427" i="3"/>
  <c r="B427" i="3"/>
  <c r="C427" i="3"/>
  <c r="D427" i="3"/>
  <c r="E427" i="3"/>
  <c r="F427" i="3"/>
  <c r="G427" i="3"/>
  <c r="H427" i="3"/>
  <c r="I427" i="3"/>
  <c r="J427" i="3"/>
  <c r="K427" i="3"/>
  <c r="L427" i="3"/>
  <c r="M427" i="3"/>
  <c r="A428" i="3"/>
  <c r="B428" i="3"/>
  <c r="C428" i="3"/>
  <c r="D428" i="3"/>
  <c r="E428" i="3"/>
  <c r="F428" i="3"/>
  <c r="G428" i="3"/>
  <c r="H428" i="3"/>
  <c r="I428" i="3"/>
  <c r="J428" i="3"/>
  <c r="K428" i="3"/>
  <c r="L428" i="3"/>
  <c r="M428" i="3"/>
  <c r="A429" i="3"/>
  <c r="B429" i="3"/>
  <c r="C429" i="3"/>
  <c r="D429" i="3"/>
  <c r="E429" i="3"/>
  <c r="F429" i="3"/>
  <c r="G429" i="3"/>
  <c r="H429" i="3"/>
  <c r="I429" i="3"/>
  <c r="J429" i="3"/>
  <c r="K429" i="3"/>
  <c r="L429" i="3"/>
  <c r="M429" i="3"/>
  <c r="A430" i="3"/>
  <c r="B430" i="3"/>
  <c r="C430" i="3"/>
  <c r="D430" i="3"/>
  <c r="E430" i="3"/>
  <c r="F430" i="3"/>
  <c r="G430" i="3"/>
  <c r="H430" i="3"/>
  <c r="I430" i="3"/>
  <c r="J430" i="3"/>
  <c r="K430" i="3"/>
  <c r="L430" i="3"/>
  <c r="M430" i="3"/>
  <c r="A431" i="3"/>
  <c r="B431" i="3"/>
  <c r="C431" i="3"/>
  <c r="D431" i="3"/>
  <c r="E431" i="3"/>
  <c r="F431" i="3"/>
  <c r="G431" i="3"/>
  <c r="H431" i="3"/>
  <c r="I431" i="3"/>
  <c r="J431" i="3"/>
  <c r="K431" i="3"/>
  <c r="L431" i="3"/>
  <c r="M431" i="3"/>
  <c r="A432" i="3"/>
  <c r="B432" i="3"/>
  <c r="C432" i="3"/>
  <c r="D432" i="3"/>
  <c r="E432" i="3"/>
  <c r="F432" i="3"/>
  <c r="G432" i="3"/>
  <c r="H432" i="3"/>
  <c r="I432" i="3"/>
  <c r="J432" i="3"/>
  <c r="K432" i="3"/>
  <c r="L432" i="3"/>
  <c r="M432" i="3"/>
  <c r="A433" i="3"/>
  <c r="B433" i="3"/>
  <c r="C433" i="3"/>
  <c r="D433" i="3"/>
  <c r="E433" i="3"/>
  <c r="F433" i="3"/>
  <c r="G433" i="3"/>
  <c r="H433" i="3"/>
  <c r="I433" i="3"/>
  <c r="J433" i="3"/>
  <c r="K433" i="3"/>
  <c r="L433" i="3"/>
  <c r="M433" i="3"/>
  <c r="A434" i="3"/>
  <c r="B434" i="3"/>
  <c r="C434" i="3"/>
  <c r="D434" i="3"/>
  <c r="E434" i="3"/>
  <c r="F434" i="3"/>
  <c r="G434" i="3"/>
  <c r="H434" i="3"/>
  <c r="I434" i="3"/>
  <c r="J434" i="3"/>
  <c r="K434" i="3"/>
  <c r="L434" i="3"/>
  <c r="M434" i="3"/>
  <c r="A435" i="3"/>
  <c r="B435" i="3"/>
  <c r="C435" i="3"/>
  <c r="D435" i="3"/>
  <c r="E435" i="3"/>
  <c r="F435" i="3"/>
  <c r="G435" i="3"/>
  <c r="H435" i="3"/>
  <c r="I435" i="3"/>
  <c r="J435" i="3"/>
  <c r="K435" i="3"/>
  <c r="L435" i="3"/>
  <c r="M435" i="3"/>
  <c r="A436" i="3"/>
  <c r="B436" i="3"/>
  <c r="C436" i="3"/>
  <c r="D436" i="3"/>
  <c r="E436" i="3"/>
  <c r="F436" i="3"/>
  <c r="G436" i="3"/>
  <c r="H436" i="3"/>
  <c r="I436" i="3"/>
  <c r="J436" i="3"/>
  <c r="K436" i="3"/>
  <c r="L436" i="3"/>
  <c r="M436" i="3"/>
  <c r="A437" i="3"/>
  <c r="B437" i="3"/>
  <c r="C437" i="3"/>
  <c r="D437" i="3"/>
  <c r="E437" i="3"/>
  <c r="F437" i="3"/>
  <c r="G437" i="3"/>
  <c r="H437" i="3"/>
  <c r="I437" i="3"/>
  <c r="J437" i="3"/>
  <c r="K437" i="3"/>
  <c r="L437" i="3"/>
  <c r="M437" i="3"/>
  <c r="A438" i="3"/>
  <c r="B438" i="3"/>
  <c r="C438" i="3"/>
  <c r="D438" i="3"/>
  <c r="E438" i="3"/>
  <c r="F438" i="3"/>
  <c r="G438" i="3"/>
  <c r="H438" i="3"/>
  <c r="I438" i="3"/>
  <c r="J438" i="3"/>
  <c r="K438" i="3"/>
  <c r="L438" i="3"/>
  <c r="M438" i="3"/>
  <c r="A439" i="3"/>
  <c r="B439" i="3"/>
  <c r="C439" i="3"/>
  <c r="D439" i="3"/>
  <c r="E439" i="3"/>
  <c r="F439" i="3"/>
  <c r="G439" i="3"/>
  <c r="H439" i="3"/>
  <c r="I439" i="3"/>
  <c r="J439" i="3"/>
  <c r="K439" i="3"/>
  <c r="L439" i="3"/>
  <c r="M439" i="3"/>
  <c r="A440" i="3"/>
  <c r="B440" i="3"/>
  <c r="C440" i="3"/>
  <c r="D440" i="3"/>
  <c r="E440" i="3"/>
  <c r="F440" i="3"/>
  <c r="G440" i="3"/>
  <c r="H440" i="3"/>
  <c r="I440" i="3"/>
  <c r="J440" i="3"/>
  <c r="K440" i="3"/>
  <c r="L440" i="3"/>
  <c r="M440" i="3"/>
  <c r="A441" i="3"/>
  <c r="B441" i="3"/>
  <c r="C441" i="3"/>
  <c r="D441" i="3"/>
  <c r="E441" i="3"/>
  <c r="F441" i="3"/>
  <c r="G441" i="3"/>
  <c r="H441" i="3"/>
  <c r="I441" i="3"/>
  <c r="J441" i="3"/>
  <c r="K441" i="3"/>
  <c r="L441" i="3"/>
  <c r="M441" i="3"/>
  <c r="A442" i="3"/>
  <c r="B442" i="3"/>
  <c r="C442" i="3"/>
  <c r="D442" i="3"/>
  <c r="E442" i="3"/>
  <c r="F442" i="3"/>
  <c r="G442" i="3"/>
  <c r="H442" i="3"/>
  <c r="I442" i="3"/>
  <c r="J442" i="3"/>
  <c r="K442" i="3"/>
  <c r="L442" i="3"/>
  <c r="M442" i="3"/>
  <c r="A443" i="3"/>
  <c r="B443" i="3"/>
  <c r="C443" i="3"/>
  <c r="D443" i="3"/>
  <c r="E443" i="3"/>
  <c r="F443" i="3"/>
  <c r="G443" i="3"/>
  <c r="H443" i="3"/>
  <c r="I443" i="3"/>
  <c r="J443" i="3"/>
  <c r="K443" i="3"/>
  <c r="L443" i="3"/>
  <c r="M443" i="3"/>
  <c r="A444" i="3"/>
  <c r="B444" i="3"/>
  <c r="C444" i="3"/>
  <c r="D444" i="3"/>
  <c r="E444" i="3"/>
  <c r="F444" i="3"/>
  <c r="G444" i="3"/>
  <c r="H444" i="3"/>
  <c r="I444" i="3"/>
  <c r="J444" i="3"/>
  <c r="K444" i="3"/>
  <c r="L444" i="3"/>
  <c r="M444" i="3"/>
  <c r="A445" i="3"/>
  <c r="B445" i="3"/>
  <c r="C445" i="3"/>
  <c r="D445" i="3"/>
  <c r="E445" i="3"/>
  <c r="F445" i="3"/>
  <c r="G445" i="3"/>
  <c r="H445" i="3"/>
  <c r="I445" i="3"/>
  <c r="J445" i="3"/>
  <c r="K445" i="3"/>
  <c r="L445" i="3"/>
  <c r="M445" i="3"/>
  <c r="A446" i="3"/>
  <c r="B446" i="3"/>
  <c r="C446" i="3"/>
  <c r="D446" i="3"/>
  <c r="E446" i="3"/>
  <c r="F446" i="3"/>
  <c r="G446" i="3"/>
  <c r="H446" i="3"/>
  <c r="I446" i="3"/>
  <c r="J446" i="3"/>
  <c r="K446" i="3"/>
  <c r="L446" i="3"/>
  <c r="M446" i="3"/>
  <c r="A447" i="3"/>
  <c r="B447" i="3"/>
  <c r="C447" i="3"/>
  <c r="D447" i="3"/>
  <c r="E447" i="3"/>
  <c r="F447" i="3"/>
  <c r="G447" i="3"/>
  <c r="H447" i="3"/>
  <c r="I447" i="3"/>
  <c r="J447" i="3"/>
  <c r="K447" i="3"/>
  <c r="L447" i="3"/>
  <c r="M447" i="3"/>
  <c r="A448" i="3"/>
  <c r="B448" i="3"/>
  <c r="C448" i="3"/>
  <c r="D448" i="3"/>
  <c r="E448" i="3"/>
  <c r="F448" i="3"/>
  <c r="G448" i="3"/>
  <c r="H448" i="3"/>
  <c r="I448" i="3"/>
  <c r="J448" i="3"/>
  <c r="K448" i="3"/>
  <c r="L448" i="3"/>
  <c r="M448" i="3"/>
  <c r="A449" i="3"/>
  <c r="B449" i="3"/>
  <c r="C449" i="3"/>
  <c r="D449" i="3"/>
  <c r="E449" i="3"/>
  <c r="F449" i="3"/>
  <c r="G449" i="3"/>
  <c r="H449" i="3"/>
  <c r="I449" i="3"/>
  <c r="J449" i="3"/>
  <c r="K449" i="3"/>
  <c r="L449" i="3"/>
  <c r="M449" i="3"/>
  <c r="A450" i="3"/>
  <c r="B450" i="3"/>
  <c r="C450" i="3"/>
  <c r="D450" i="3"/>
  <c r="E450" i="3"/>
  <c r="F450" i="3"/>
  <c r="G450" i="3"/>
  <c r="H450" i="3"/>
  <c r="I450" i="3"/>
  <c r="J450" i="3"/>
  <c r="K450" i="3"/>
  <c r="L450" i="3"/>
  <c r="M450" i="3"/>
  <c r="A451" i="3"/>
  <c r="B451" i="3"/>
  <c r="C451" i="3"/>
  <c r="D451" i="3"/>
  <c r="E451" i="3"/>
  <c r="F451" i="3"/>
  <c r="G451" i="3"/>
  <c r="H451" i="3"/>
  <c r="I451" i="3"/>
  <c r="J451" i="3"/>
  <c r="K451" i="3"/>
  <c r="L451" i="3"/>
  <c r="M451" i="3"/>
  <c r="A452" i="3"/>
  <c r="B452" i="3"/>
  <c r="C452" i="3"/>
  <c r="D452" i="3"/>
  <c r="E452" i="3"/>
  <c r="F452" i="3"/>
  <c r="G452" i="3"/>
  <c r="H452" i="3"/>
  <c r="I452" i="3"/>
  <c r="J452" i="3"/>
  <c r="K452" i="3"/>
  <c r="L452" i="3"/>
  <c r="M452" i="3"/>
  <c r="A453" i="3"/>
  <c r="B453" i="3"/>
  <c r="C453" i="3"/>
  <c r="D453" i="3"/>
  <c r="E453" i="3"/>
  <c r="F453" i="3"/>
  <c r="G453" i="3"/>
  <c r="H453" i="3"/>
  <c r="I453" i="3"/>
  <c r="J453" i="3"/>
  <c r="K453" i="3"/>
  <c r="L453" i="3"/>
  <c r="M453" i="3"/>
  <c r="A454" i="3"/>
  <c r="B454" i="3"/>
  <c r="C454" i="3"/>
  <c r="D454" i="3"/>
  <c r="E454" i="3"/>
  <c r="F454" i="3"/>
  <c r="G454" i="3"/>
  <c r="H454" i="3"/>
  <c r="I454" i="3"/>
  <c r="J454" i="3"/>
  <c r="K454" i="3"/>
  <c r="L454" i="3"/>
  <c r="M454" i="3"/>
  <c r="A455" i="3"/>
  <c r="B455" i="3"/>
  <c r="C455" i="3"/>
  <c r="D455" i="3"/>
  <c r="E455" i="3"/>
  <c r="F455" i="3"/>
  <c r="G455" i="3"/>
  <c r="H455" i="3"/>
  <c r="I455" i="3"/>
  <c r="J455" i="3"/>
  <c r="K455" i="3"/>
  <c r="L455" i="3"/>
  <c r="M455" i="3"/>
  <c r="A456" i="3"/>
  <c r="B456" i="3"/>
  <c r="C456" i="3"/>
  <c r="D456" i="3"/>
  <c r="E456" i="3"/>
  <c r="F456" i="3"/>
  <c r="G456" i="3"/>
  <c r="H456" i="3"/>
  <c r="I456" i="3"/>
  <c r="J456" i="3"/>
  <c r="K456" i="3"/>
  <c r="L456" i="3"/>
  <c r="M456" i="3"/>
  <c r="A457" i="3"/>
  <c r="B457" i="3"/>
  <c r="C457" i="3"/>
  <c r="D457" i="3"/>
  <c r="E457" i="3"/>
  <c r="F457" i="3"/>
  <c r="G457" i="3"/>
  <c r="H457" i="3"/>
  <c r="I457" i="3"/>
  <c r="J457" i="3"/>
  <c r="K457" i="3"/>
  <c r="L457" i="3"/>
  <c r="M457" i="3"/>
  <c r="A458" i="3"/>
  <c r="B458" i="3"/>
  <c r="C458" i="3"/>
  <c r="D458" i="3"/>
  <c r="E458" i="3"/>
  <c r="F458" i="3"/>
  <c r="G458" i="3"/>
  <c r="H458" i="3"/>
  <c r="I458" i="3"/>
  <c r="J458" i="3"/>
  <c r="K458" i="3"/>
  <c r="L458" i="3"/>
  <c r="M458" i="3"/>
  <c r="A459" i="3"/>
  <c r="B459" i="3"/>
  <c r="C459" i="3"/>
  <c r="D459" i="3"/>
  <c r="E459" i="3"/>
  <c r="F459" i="3"/>
  <c r="G459" i="3"/>
  <c r="H459" i="3"/>
  <c r="I459" i="3"/>
  <c r="J459" i="3"/>
  <c r="K459" i="3"/>
  <c r="L459" i="3"/>
  <c r="M459" i="3"/>
  <c r="A460" i="3"/>
  <c r="B460" i="3"/>
  <c r="C460" i="3"/>
  <c r="D460" i="3"/>
  <c r="E460" i="3"/>
  <c r="F460" i="3"/>
  <c r="G460" i="3"/>
  <c r="H460" i="3"/>
  <c r="I460" i="3"/>
  <c r="J460" i="3"/>
  <c r="K460" i="3"/>
  <c r="L460" i="3"/>
  <c r="M460" i="3"/>
  <c r="A461" i="3"/>
  <c r="B461" i="3"/>
  <c r="C461" i="3"/>
  <c r="D461" i="3"/>
  <c r="E461" i="3"/>
  <c r="F461" i="3"/>
  <c r="G461" i="3"/>
  <c r="H461" i="3"/>
  <c r="I461" i="3"/>
  <c r="J461" i="3"/>
  <c r="K461" i="3"/>
  <c r="L461" i="3"/>
  <c r="M461" i="3"/>
  <c r="A462" i="3"/>
  <c r="B462" i="3"/>
  <c r="C462" i="3"/>
  <c r="D462" i="3"/>
  <c r="E462" i="3"/>
  <c r="F462" i="3"/>
  <c r="G462" i="3"/>
  <c r="H462" i="3"/>
  <c r="I462" i="3"/>
  <c r="J462" i="3"/>
  <c r="K462" i="3"/>
  <c r="L462" i="3"/>
  <c r="M462" i="3"/>
  <c r="A463" i="3"/>
  <c r="B463" i="3"/>
  <c r="C463" i="3"/>
  <c r="D463" i="3"/>
  <c r="E463" i="3"/>
  <c r="F463" i="3"/>
  <c r="G463" i="3"/>
  <c r="H463" i="3"/>
  <c r="I463" i="3"/>
  <c r="J463" i="3"/>
  <c r="K463" i="3"/>
  <c r="L463" i="3"/>
  <c r="M463" i="3"/>
  <c r="A464" i="3"/>
  <c r="B464" i="3"/>
  <c r="C464" i="3"/>
  <c r="D464" i="3"/>
  <c r="E464" i="3"/>
  <c r="F464" i="3"/>
  <c r="G464" i="3"/>
  <c r="H464" i="3"/>
  <c r="I464" i="3"/>
  <c r="J464" i="3"/>
  <c r="K464" i="3"/>
  <c r="L464" i="3"/>
  <c r="M464" i="3"/>
  <c r="A465" i="3"/>
  <c r="B465" i="3"/>
  <c r="C465" i="3"/>
  <c r="D465" i="3"/>
  <c r="E465" i="3"/>
  <c r="F465" i="3"/>
  <c r="G465" i="3"/>
  <c r="H465" i="3"/>
  <c r="I465" i="3"/>
  <c r="J465" i="3"/>
  <c r="K465" i="3"/>
  <c r="L465" i="3"/>
  <c r="M465" i="3"/>
  <c r="A466" i="3"/>
  <c r="B466" i="3"/>
  <c r="C466" i="3"/>
  <c r="D466" i="3"/>
  <c r="E466" i="3"/>
  <c r="F466" i="3"/>
  <c r="G466" i="3"/>
  <c r="H466" i="3"/>
  <c r="I466" i="3"/>
  <c r="J466" i="3"/>
  <c r="K466" i="3"/>
  <c r="L466" i="3"/>
  <c r="M466" i="3"/>
  <c r="A467" i="3"/>
  <c r="B467" i="3"/>
  <c r="C467" i="3"/>
  <c r="D467" i="3"/>
  <c r="E467" i="3"/>
  <c r="F467" i="3"/>
  <c r="G467" i="3"/>
  <c r="H467" i="3"/>
  <c r="I467" i="3"/>
  <c r="J467" i="3"/>
  <c r="K467" i="3"/>
  <c r="L467" i="3"/>
  <c r="M467" i="3"/>
  <c r="A468" i="3"/>
  <c r="B468" i="3"/>
  <c r="C468" i="3"/>
  <c r="D468" i="3"/>
  <c r="E468" i="3"/>
  <c r="F468" i="3"/>
  <c r="G468" i="3"/>
  <c r="H468" i="3"/>
  <c r="I468" i="3"/>
  <c r="J468" i="3"/>
  <c r="K468" i="3"/>
  <c r="L468" i="3"/>
  <c r="M468" i="3"/>
  <c r="A469" i="3"/>
  <c r="B469" i="3"/>
  <c r="C469" i="3"/>
  <c r="D469" i="3"/>
  <c r="E469" i="3"/>
  <c r="F469" i="3"/>
  <c r="G469" i="3"/>
  <c r="H469" i="3"/>
  <c r="I469" i="3"/>
  <c r="J469" i="3"/>
  <c r="K469" i="3"/>
  <c r="L469" i="3"/>
  <c r="M469" i="3"/>
  <c r="A470" i="3"/>
  <c r="B470" i="3"/>
  <c r="C470" i="3"/>
  <c r="D470" i="3"/>
  <c r="E470" i="3"/>
  <c r="F470" i="3"/>
  <c r="G470" i="3"/>
  <c r="H470" i="3"/>
  <c r="I470" i="3"/>
  <c r="J470" i="3"/>
  <c r="K470" i="3"/>
  <c r="L470" i="3"/>
  <c r="M470" i="3"/>
  <c r="A471" i="3"/>
  <c r="B471" i="3"/>
  <c r="C471" i="3"/>
  <c r="D471" i="3"/>
  <c r="E471" i="3"/>
  <c r="F471" i="3"/>
  <c r="G471" i="3"/>
  <c r="H471" i="3"/>
  <c r="I471" i="3"/>
  <c r="J471" i="3"/>
  <c r="K471" i="3"/>
  <c r="L471" i="3"/>
  <c r="M471" i="3"/>
  <c r="A472" i="3"/>
  <c r="B472" i="3"/>
  <c r="C472" i="3"/>
  <c r="D472" i="3"/>
  <c r="E472" i="3"/>
  <c r="F472" i="3"/>
  <c r="G472" i="3"/>
  <c r="H472" i="3"/>
  <c r="I472" i="3"/>
  <c r="J472" i="3"/>
  <c r="K472" i="3"/>
  <c r="L472" i="3"/>
  <c r="M472" i="3"/>
  <c r="A473" i="3"/>
  <c r="B473" i="3"/>
  <c r="C473" i="3"/>
  <c r="D473" i="3"/>
  <c r="E473" i="3"/>
  <c r="F473" i="3"/>
  <c r="G473" i="3"/>
  <c r="H473" i="3"/>
  <c r="I473" i="3"/>
  <c r="J473" i="3"/>
  <c r="K473" i="3"/>
  <c r="L473" i="3"/>
  <c r="M473" i="3"/>
  <c r="A474" i="3"/>
  <c r="B474" i="3"/>
  <c r="C474" i="3"/>
  <c r="D474" i="3"/>
  <c r="E474" i="3"/>
  <c r="F474" i="3"/>
  <c r="G474" i="3"/>
  <c r="H474" i="3"/>
  <c r="I474" i="3"/>
  <c r="J474" i="3"/>
  <c r="K474" i="3"/>
  <c r="L474" i="3"/>
  <c r="M474" i="3"/>
  <c r="A475" i="3"/>
  <c r="B475" i="3"/>
  <c r="C475" i="3"/>
  <c r="D475" i="3"/>
  <c r="E475" i="3"/>
  <c r="F475" i="3"/>
  <c r="G475" i="3"/>
  <c r="H475" i="3"/>
  <c r="I475" i="3"/>
  <c r="J475" i="3"/>
  <c r="K475" i="3"/>
  <c r="L475" i="3"/>
  <c r="M475" i="3"/>
  <c r="A476" i="3"/>
  <c r="B476" i="3"/>
  <c r="C476" i="3"/>
  <c r="D476" i="3"/>
  <c r="E476" i="3"/>
  <c r="F476" i="3"/>
  <c r="G476" i="3"/>
  <c r="H476" i="3"/>
  <c r="I476" i="3"/>
  <c r="J476" i="3"/>
  <c r="K476" i="3"/>
  <c r="L476" i="3"/>
  <c r="M476" i="3"/>
  <c r="A477" i="3"/>
  <c r="B477" i="3"/>
  <c r="C477" i="3"/>
  <c r="D477" i="3"/>
  <c r="E477" i="3"/>
  <c r="F477" i="3"/>
  <c r="G477" i="3"/>
  <c r="H477" i="3"/>
  <c r="I477" i="3"/>
  <c r="J477" i="3"/>
  <c r="K477" i="3"/>
  <c r="L477" i="3"/>
  <c r="M477" i="3"/>
  <c r="A478" i="3"/>
  <c r="B478" i="3"/>
  <c r="C478" i="3"/>
  <c r="D478" i="3"/>
  <c r="E478" i="3"/>
  <c r="F478" i="3"/>
  <c r="G478" i="3"/>
  <c r="H478" i="3"/>
  <c r="I478" i="3"/>
  <c r="J478" i="3"/>
  <c r="K478" i="3"/>
  <c r="L478" i="3"/>
  <c r="M478" i="3"/>
  <c r="A479" i="3"/>
  <c r="B479" i="3"/>
  <c r="C479" i="3"/>
  <c r="D479" i="3"/>
  <c r="E479" i="3"/>
  <c r="F479" i="3"/>
  <c r="G479" i="3"/>
  <c r="H479" i="3"/>
  <c r="I479" i="3"/>
  <c r="J479" i="3"/>
  <c r="K479" i="3"/>
  <c r="L479" i="3"/>
  <c r="M479" i="3"/>
  <c r="A480" i="3"/>
  <c r="B480" i="3"/>
  <c r="C480" i="3"/>
  <c r="D480" i="3"/>
  <c r="E480" i="3"/>
  <c r="F480" i="3"/>
  <c r="G480" i="3"/>
  <c r="H480" i="3"/>
  <c r="I480" i="3"/>
  <c r="J480" i="3"/>
  <c r="K480" i="3"/>
  <c r="L480" i="3"/>
  <c r="M480" i="3"/>
  <c r="A481" i="3"/>
  <c r="B481" i="3"/>
  <c r="C481" i="3"/>
  <c r="D481" i="3"/>
  <c r="E481" i="3"/>
  <c r="F481" i="3"/>
  <c r="G481" i="3"/>
  <c r="H481" i="3"/>
  <c r="I481" i="3"/>
  <c r="J481" i="3"/>
  <c r="K481" i="3"/>
  <c r="L481" i="3"/>
  <c r="M481" i="3"/>
  <c r="A482" i="3"/>
  <c r="B482" i="3"/>
  <c r="C482" i="3"/>
  <c r="D482" i="3"/>
  <c r="E482" i="3"/>
  <c r="F482" i="3"/>
  <c r="G482" i="3"/>
  <c r="H482" i="3"/>
  <c r="I482" i="3"/>
  <c r="J482" i="3"/>
  <c r="K482" i="3"/>
  <c r="L482" i="3"/>
  <c r="M482" i="3"/>
  <c r="A483" i="3"/>
  <c r="B483" i="3"/>
  <c r="C483" i="3"/>
  <c r="D483" i="3"/>
  <c r="E483" i="3"/>
  <c r="F483" i="3"/>
  <c r="G483" i="3"/>
  <c r="H483" i="3"/>
  <c r="I483" i="3"/>
  <c r="J483" i="3"/>
  <c r="K483" i="3"/>
  <c r="L483" i="3"/>
  <c r="M483" i="3"/>
  <c r="A484" i="3"/>
  <c r="B484" i="3"/>
  <c r="C484" i="3"/>
  <c r="D484" i="3"/>
  <c r="E484" i="3"/>
  <c r="F484" i="3"/>
  <c r="G484" i="3"/>
  <c r="H484" i="3"/>
  <c r="I484" i="3"/>
  <c r="J484" i="3"/>
  <c r="K484" i="3"/>
  <c r="L484" i="3"/>
  <c r="M484" i="3"/>
  <c r="A485" i="3"/>
  <c r="B485" i="3"/>
  <c r="C485" i="3"/>
  <c r="D485" i="3"/>
  <c r="E485" i="3"/>
  <c r="F485" i="3"/>
  <c r="G485" i="3"/>
  <c r="H485" i="3"/>
  <c r="I485" i="3"/>
  <c r="J485" i="3"/>
  <c r="K485" i="3"/>
  <c r="L485" i="3"/>
  <c r="M485" i="3"/>
  <c r="A486" i="3"/>
  <c r="B486" i="3"/>
  <c r="C486" i="3"/>
  <c r="D486" i="3"/>
  <c r="E486" i="3"/>
  <c r="F486" i="3"/>
  <c r="G486" i="3"/>
  <c r="H486" i="3"/>
  <c r="I486" i="3"/>
  <c r="J486" i="3"/>
  <c r="K486" i="3"/>
  <c r="L486" i="3"/>
  <c r="M486" i="3"/>
  <c r="A487" i="3"/>
  <c r="B487" i="3"/>
  <c r="C487" i="3"/>
  <c r="D487" i="3"/>
  <c r="E487" i="3"/>
  <c r="F487" i="3"/>
  <c r="G487" i="3"/>
  <c r="H487" i="3"/>
  <c r="I487" i="3"/>
  <c r="J487" i="3"/>
  <c r="K487" i="3"/>
  <c r="L487" i="3"/>
  <c r="M487" i="3"/>
  <c r="A488" i="3"/>
  <c r="B488" i="3"/>
  <c r="C488" i="3"/>
  <c r="D488" i="3"/>
  <c r="E488" i="3"/>
  <c r="F488" i="3"/>
  <c r="G488" i="3"/>
  <c r="H488" i="3"/>
  <c r="I488" i="3"/>
  <c r="J488" i="3"/>
  <c r="K488" i="3"/>
  <c r="L488" i="3"/>
  <c r="M488" i="3"/>
  <c r="A489" i="3"/>
  <c r="B489" i="3"/>
  <c r="C489" i="3"/>
  <c r="D489" i="3"/>
  <c r="E489" i="3"/>
  <c r="F489" i="3"/>
  <c r="G489" i="3"/>
  <c r="H489" i="3"/>
  <c r="I489" i="3"/>
  <c r="J489" i="3"/>
  <c r="K489" i="3"/>
  <c r="L489" i="3"/>
  <c r="M489" i="3"/>
  <c r="A490" i="3"/>
  <c r="B490" i="3"/>
  <c r="C490" i="3"/>
  <c r="D490" i="3"/>
  <c r="E490" i="3"/>
  <c r="F490" i="3"/>
  <c r="G490" i="3"/>
  <c r="H490" i="3"/>
  <c r="I490" i="3"/>
  <c r="J490" i="3"/>
  <c r="K490" i="3"/>
  <c r="L490" i="3"/>
  <c r="M490" i="3"/>
  <c r="A491" i="3"/>
  <c r="B491" i="3"/>
  <c r="C491" i="3"/>
  <c r="D491" i="3"/>
  <c r="E491" i="3"/>
  <c r="F491" i="3"/>
  <c r="G491" i="3"/>
  <c r="H491" i="3"/>
  <c r="I491" i="3"/>
  <c r="J491" i="3"/>
  <c r="K491" i="3"/>
  <c r="L491" i="3"/>
  <c r="M491" i="3"/>
  <c r="A492" i="3"/>
  <c r="B492" i="3"/>
  <c r="C492" i="3"/>
  <c r="D492" i="3"/>
  <c r="E492" i="3"/>
  <c r="F492" i="3"/>
  <c r="G492" i="3"/>
  <c r="H492" i="3"/>
  <c r="I492" i="3"/>
  <c r="J492" i="3"/>
  <c r="K492" i="3"/>
  <c r="L492" i="3"/>
  <c r="M492" i="3"/>
  <c r="A493" i="3"/>
  <c r="B493" i="3"/>
  <c r="C493" i="3"/>
  <c r="D493" i="3"/>
  <c r="E493" i="3"/>
  <c r="F493" i="3"/>
  <c r="G493" i="3"/>
  <c r="H493" i="3"/>
  <c r="I493" i="3"/>
  <c r="J493" i="3"/>
  <c r="K493" i="3"/>
  <c r="L493" i="3"/>
  <c r="M493" i="3"/>
  <c r="A494" i="3"/>
  <c r="B494" i="3"/>
  <c r="C494" i="3"/>
  <c r="D494" i="3"/>
  <c r="E494" i="3"/>
  <c r="F494" i="3"/>
  <c r="G494" i="3"/>
  <c r="H494" i="3"/>
  <c r="I494" i="3"/>
  <c r="J494" i="3"/>
  <c r="K494" i="3"/>
  <c r="L494" i="3"/>
  <c r="M494" i="3"/>
  <c r="A495" i="3"/>
  <c r="B495" i="3"/>
  <c r="C495" i="3"/>
  <c r="D495" i="3"/>
  <c r="E495" i="3"/>
  <c r="F495" i="3"/>
  <c r="G495" i="3"/>
  <c r="H495" i="3"/>
  <c r="I495" i="3"/>
  <c r="J495" i="3"/>
  <c r="K495" i="3"/>
  <c r="L495" i="3"/>
  <c r="M495" i="3"/>
  <c r="A496" i="3"/>
  <c r="B496" i="3"/>
  <c r="C496" i="3"/>
  <c r="D496" i="3"/>
  <c r="E496" i="3"/>
  <c r="F496" i="3"/>
  <c r="G496" i="3"/>
  <c r="H496" i="3"/>
  <c r="I496" i="3"/>
  <c r="J496" i="3"/>
  <c r="K496" i="3"/>
  <c r="L496" i="3"/>
  <c r="M496" i="3"/>
  <c r="A497" i="3"/>
  <c r="B497" i="3"/>
  <c r="C497" i="3"/>
  <c r="D497" i="3"/>
  <c r="E497" i="3"/>
  <c r="F497" i="3"/>
  <c r="G497" i="3"/>
  <c r="H497" i="3"/>
  <c r="I497" i="3"/>
  <c r="J497" i="3"/>
  <c r="K497" i="3"/>
  <c r="L497" i="3"/>
  <c r="M497" i="3"/>
  <c r="A498" i="3"/>
  <c r="B498" i="3"/>
  <c r="C498" i="3"/>
  <c r="D498" i="3"/>
  <c r="E498" i="3"/>
  <c r="F498" i="3"/>
  <c r="G498" i="3"/>
  <c r="H498" i="3"/>
  <c r="I498" i="3"/>
  <c r="J498" i="3"/>
  <c r="K498" i="3"/>
  <c r="L498" i="3"/>
  <c r="M498" i="3"/>
  <c r="A499" i="3"/>
  <c r="B499" i="3"/>
  <c r="C499" i="3"/>
  <c r="D499" i="3"/>
  <c r="E499" i="3"/>
  <c r="F499" i="3"/>
  <c r="G499" i="3"/>
  <c r="H499" i="3"/>
  <c r="I499" i="3"/>
  <c r="J499" i="3"/>
  <c r="K499" i="3"/>
  <c r="L499" i="3"/>
  <c r="M499" i="3"/>
  <c r="A500" i="3"/>
  <c r="B500" i="3"/>
  <c r="C500" i="3"/>
  <c r="D500" i="3"/>
  <c r="E500" i="3"/>
  <c r="F500" i="3"/>
  <c r="G500" i="3"/>
  <c r="H500" i="3"/>
  <c r="I500" i="3"/>
  <c r="J500" i="3"/>
  <c r="K500" i="3"/>
  <c r="L500" i="3"/>
  <c r="M500" i="3"/>
  <c r="A501" i="3"/>
  <c r="B501" i="3"/>
  <c r="C501" i="3"/>
  <c r="D501" i="3"/>
  <c r="E501" i="3"/>
  <c r="F501" i="3"/>
  <c r="G501" i="3"/>
  <c r="H501" i="3"/>
  <c r="I501" i="3"/>
  <c r="J501" i="3"/>
  <c r="K501" i="3"/>
  <c r="L501" i="3"/>
  <c r="M501" i="3"/>
  <c r="A502" i="3"/>
  <c r="B502" i="3"/>
  <c r="C502" i="3"/>
  <c r="D502" i="3"/>
  <c r="E502" i="3"/>
  <c r="F502" i="3"/>
  <c r="G502" i="3"/>
  <c r="H502" i="3"/>
  <c r="I502" i="3"/>
  <c r="J502" i="3"/>
  <c r="K502" i="3"/>
  <c r="L502" i="3"/>
  <c r="M502" i="3"/>
  <c r="A503" i="3"/>
  <c r="B503" i="3"/>
  <c r="C503" i="3"/>
  <c r="D503" i="3"/>
  <c r="E503" i="3"/>
  <c r="F503" i="3"/>
  <c r="G503" i="3"/>
  <c r="H503" i="3"/>
  <c r="I503" i="3"/>
  <c r="J503" i="3"/>
  <c r="K503" i="3"/>
  <c r="L503" i="3"/>
  <c r="M503" i="3"/>
  <c r="A504" i="3"/>
  <c r="B504" i="3"/>
  <c r="C504" i="3"/>
  <c r="D504" i="3"/>
  <c r="E504" i="3"/>
  <c r="F504" i="3"/>
  <c r="G504" i="3"/>
  <c r="H504" i="3"/>
  <c r="I504" i="3"/>
  <c r="J504" i="3"/>
  <c r="K504" i="3"/>
  <c r="L504" i="3"/>
  <c r="M504" i="3"/>
  <c r="A505" i="3"/>
  <c r="B505" i="3"/>
  <c r="C505" i="3"/>
  <c r="D505" i="3"/>
  <c r="E505" i="3"/>
  <c r="F505" i="3"/>
  <c r="G505" i="3"/>
  <c r="H505" i="3"/>
  <c r="I505" i="3"/>
  <c r="J505" i="3"/>
  <c r="K505" i="3"/>
  <c r="L505" i="3"/>
  <c r="M505" i="3"/>
  <c r="A506" i="3"/>
  <c r="B506" i="3"/>
  <c r="C506" i="3"/>
  <c r="D506" i="3"/>
  <c r="E506" i="3"/>
  <c r="F506" i="3"/>
  <c r="G506" i="3"/>
  <c r="H506" i="3"/>
  <c r="I506" i="3"/>
  <c r="J506" i="3"/>
  <c r="K506" i="3"/>
  <c r="L506" i="3"/>
  <c r="M506" i="3"/>
  <c r="A507" i="3"/>
  <c r="B507" i="3"/>
  <c r="C507" i="3"/>
  <c r="D507" i="3"/>
  <c r="E507" i="3"/>
  <c r="F507" i="3"/>
  <c r="G507" i="3"/>
  <c r="H507" i="3"/>
  <c r="I507" i="3"/>
  <c r="J507" i="3"/>
  <c r="K507" i="3"/>
  <c r="L507" i="3"/>
  <c r="M507" i="3"/>
  <c r="A508" i="3"/>
  <c r="B508" i="3"/>
  <c r="C508" i="3"/>
  <c r="D508" i="3"/>
  <c r="E508" i="3"/>
  <c r="F508" i="3"/>
  <c r="G508" i="3"/>
  <c r="H508" i="3"/>
  <c r="I508" i="3"/>
  <c r="J508" i="3"/>
  <c r="K508" i="3"/>
  <c r="L508" i="3"/>
  <c r="M508" i="3"/>
  <c r="A509" i="3"/>
  <c r="B509" i="3"/>
  <c r="C509" i="3"/>
  <c r="D509" i="3"/>
  <c r="E509" i="3"/>
  <c r="F509" i="3"/>
  <c r="G509" i="3"/>
  <c r="H509" i="3"/>
  <c r="I509" i="3"/>
  <c r="J509" i="3"/>
  <c r="K509" i="3"/>
  <c r="L509" i="3"/>
  <c r="M509" i="3"/>
  <c r="A510" i="3"/>
  <c r="B510" i="3"/>
  <c r="C510" i="3"/>
  <c r="D510" i="3"/>
  <c r="E510" i="3"/>
  <c r="F510" i="3"/>
  <c r="G510" i="3"/>
  <c r="H510" i="3"/>
  <c r="I510" i="3"/>
  <c r="J510" i="3"/>
  <c r="K510" i="3"/>
  <c r="L510" i="3"/>
  <c r="M510" i="3"/>
  <c r="A511" i="3"/>
  <c r="B511" i="3"/>
  <c r="C511" i="3"/>
  <c r="D511" i="3"/>
  <c r="E511" i="3"/>
  <c r="F511" i="3"/>
  <c r="G511" i="3"/>
  <c r="H511" i="3"/>
  <c r="I511" i="3"/>
  <c r="J511" i="3"/>
  <c r="K511" i="3"/>
  <c r="L511" i="3"/>
  <c r="M511" i="3"/>
  <c r="A512" i="3"/>
  <c r="B512" i="3"/>
  <c r="C512" i="3"/>
  <c r="D512" i="3"/>
  <c r="E512" i="3"/>
  <c r="F512" i="3"/>
  <c r="G512" i="3"/>
  <c r="H512" i="3"/>
  <c r="I512" i="3"/>
  <c r="J512" i="3"/>
  <c r="K512" i="3"/>
  <c r="L512" i="3"/>
  <c r="M512" i="3"/>
  <c r="A513" i="3"/>
  <c r="B513" i="3"/>
  <c r="C513" i="3"/>
  <c r="D513" i="3"/>
  <c r="E513" i="3"/>
  <c r="F513" i="3"/>
  <c r="G513" i="3"/>
  <c r="H513" i="3"/>
  <c r="I513" i="3"/>
  <c r="J513" i="3"/>
  <c r="K513" i="3"/>
  <c r="L513" i="3"/>
  <c r="M513" i="3"/>
  <c r="A514" i="3"/>
  <c r="B514" i="3"/>
  <c r="C514" i="3"/>
  <c r="D514" i="3"/>
  <c r="E514" i="3"/>
  <c r="F514" i="3"/>
  <c r="G514" i="3"/>
  <c r="H514" i="3"/>
  <c r="I514" i="3"/>
  <c r="J514" i="3"/>
  <c r="K514" i="3"/>
  <c r="L514" i="3"/>
  <c r="M514" i="3"/>
  <c r="A515" i="3"/>
  <c r="B515" i="3"/>
  <c r="C515" i="3"/>
  <c r="D515" i="3"/>
  <c r="E515" i="3"/>
  <c r="F515" i="3"/>
  <c r="G515" i="3"/>
  <c r="H515" i="3"/>
  <c r="I515" i="3"/>
  <c r="J515" i="3"/>
  <c r="K515" i="3"/>
  <c r="L515" i="3"/>
  <c r="M515" i="3"/>
  <c r="A516" i="3"/>
  <c r="B516" i="3"/>
  <c r="C516" i="3"/>
  <c r="D516" i="3"/>
  <c r="E516" i="3"/>
  <c r="F516" i="3"/>
  <c r="G516" i="3"/>
  <c r="H516" i="3"/>
  <c r="I516" i="3"/>
  <c r="J516" i="3"/>
  <c r="K516" i="3"/>
  <c r="L516" i="3"/>
  <c r="M516" i="3"/>
  <c r="A517" i="3"/>
  <c r="B517" i="3"/>
  <c r="C517" i="3"/>
  <c r="D517" i="3"/>
  <c r="E517" i="3"/>
  <c r="F517" i="3"/>
  <c r="G517" i="3"/>
  <c r="H517" i="3"/>
  <c r="I517" i="3"/>
  <c r="J517" i="3"/>
  <c r="K517" i="3"/>
  <c r="L517" i="3"/>
  <c r="M517" i="3"/>
  <c r="A518" i="3"/>
  <c r="B518" i="3"/>
  <c r="C518" i="3"/>
  <c r="D518" i="3"/>
  <c r="E518" i="3"/>
  <c r="F518" i="3"/>
  <c r="G518" i="3"/>
  <c r="H518" i="3"/>
  <c r="I518" i="3"/>
  <c r="J518" i="3"/>
  <c r="K518" i="3"/>
  <c r="L518" i="3"/>
  <c r="M518" i="3"/>
  <c r="A519" i="3"/>
  <c r="B519" i="3"/>
  <c r="C519" i="3"/>
  <c r="D519" i="3"/>
  <c r="E519" i="3"/>
  <c r="F519" i="3"/>
  <c r="G519" i="3"/>
  <c r="H519" i="3"/>
  <c r="I519" i="3"/>
  <c r="J519" i="3"/>
  <c r="K519" i="3"/>
  <c r="L519" i="3"/>
  <c r="M519" i="3"/>
  <c r="A520" i="3"/>
  <c r="B520" i="3"/>
  <c r="C520" i="3"/>
  <c r="D520" i="3"/>
  <c r="E520" i="3"/>
  <c r="F520" i="3"/>
  <c r="G520" i="3"/>
  <c r="H520" i="3"/>
  <c r="I520" i="3"/>
  <c r="J520" i="3"/>
  <c r="K520" i="3"/>
  <c r="L520" i="3"/>
  <c r="M520" i="3"/>
  <c r="A521" i="3"/>
  <c r="B521" i="3"/>
  <c r="C521" i="3"/>
  <c r="D521" i="3"/>
  <c r="E521" i="3"/>
  <c r="F521" i="3"/>
  <c r="G521" i="3"/>
  <c r="H521" i="3"/>
  <c r="I521" i="3"/>
  <c r="J521" i="3"/>
  <c r="K521" i="3"/>
  <c r="L521" i="3"/>
  <c r="M521" i="3"/>
  <c r="A522" i="3"/>
  <c r="B522" i="3"/>
  <c r="C522" i="3"/>
  <c r="D522" i="3"/>
  <c r="E522" i="3"/>
  <c r="F522" i="3"/>
  <c r="G522" i="3"/>
  <c r="H522" i="3"/>
  <c r="I522" i="3"/>
  <c r="J522" i="3"/>
  <c r="K522" i="3"/>
  <c r="L522" i="3"/>
  <c r="M522" i="3"/>
  <c r="A523" i="3"/>
  <c r="B523" i="3"/>
  <c r="C523" i="3"/>
  <c r="D523" i="3"/>
  <c r="E523" i="3"/>
  <c r="F523" i="3"/>
  <c r="G523" i="3"/>
  <c r="H523" i="3"/>
  <c r="I523" i="3"/>
  <c r="J523" i="3"/>
  <c r="K523" i="3"/>
  <c r="L523" i="3"/>
  <c r="M523" i="3"/>
  <c r="A524" i="3"/>
  <c r="B524" i="3"/>
  <c r="C524" i="3"/>
  <c r="D524" i="3"/>
  <c r="E524" i="3"/>
  <c r="F524" i="3"/>
  <c r="G524" i="3"/>
  <c r="H524" i="3"/>
  <c r="I524" i="3"/>
  <c r="J524" i="3"/>
  <c r="K524" i="3"/>
  <c r="L524" i="3"/>
  <c r="M524" i="3"/>
  <c r="A525" i="3"/>
  <c r="B525" i="3"/>
  <c r="C525" i="3"/>
  <c r="D525" i="3"/>
  <c r="E525" i="3"/>
  <c r="F525" i="3"/>
  <c r="G525" i="3"/>
  <c r="H525" i="3"/>
  <c r="I525" i="3"/>
  <c r="J525" i="3"/>
  <c r="K525" i="3"/>
  <c r="L525" i="3"/>
  <c r="M525" i="3"/>
  <c r="A526" i="3"/>
  <c r="B526" i="3"/>
  <c r="C526" i="3"/>
  <c r="D526" i="3"/>
  <c r="E526" i="3"/>
  <c r="F526" i="3"/>
  <c r="G526" i="3"/>
  <c r="H526" i="3"/>
  <c r="I526" i="3"/>
  <c r="J526" i="3"/>
  <c r="K526" i="3"/>
  <c r="L526" i="3"/>
  <c r="M526" i="3"/>
  <c r="A527" i="3"/>
  <c r="B527" i="3"/>
  <c r="C527" i="3"/>
  <c r="D527" i="3"/>
  <c r="E527" i="3"/>
  <c r="F527" i="3"/>
  <c r="G527" i="3"/>
  <c r="H527" i="3"/>
  <c r="I527" i="3"/>
  <c r="J527" i="3"/>
  <c r="K527" i="3"/>
  <c r="L527" i="3"/>
  <c r="M527" i="3"/>
  <c r="A528" i="3"/>
  <c r="B528" i="3"/>
  <c r="C528" i="3"/>
  <c r="D528" i="3"/>
  <c r="E528" i="3"/>
  <c r="F528" i="3"/>
  <c r="G528" i="3"/>
  <c r="H528" i="3"/>
  <c r="I528" i="3"/>
  <c r="J528" i="3"/>
  <c r="K528" i="3"/>
  <c r="L528" i="3"/>
  <c r="M528" i="3"/>
  <c r="A529" i="3"/>
  <c r="B529" i="3"/>
  <c r="C529" i="3"/>
  <c r="D529" i="3"/>
  <c r="E529" i="3"/>
  <c r="F529" i="3"/>
  <c r="G529" i="3"/>
  <c r="H529" i="3"/>
  <c r="I529" i="3"/>
  <c r="J529" i="3"/>
  <c r="K529" i="3"/>
  <c r="L529" i="3"/>
  <c r="M529" i="3"/>
  <c r="A530" i="3"/>
  <c r="B530" i="3"/>
  <c r="C530" i="3"/>
  <c r="D530" i="3"/>
  <c r="E530" i="3"/>
  <c r="F530" i="3"/>
  <c r="G530" i="3"/>
  <c r="H530" i="3"/>
  <c r="I530" i="3"/>
  <c r="J530" i="3"/>
  <c r="K530" i="3"/>
  <c r="L530" i="3"/>
  <c r="M530" i="3"/>
  <c r="A531" i="3"/>
  <c r="B531" i="3"/>
  <c r="C531" i="3"/>
  <c r="D531" i="3"/>
  <c r="E531" i="3"/>
  <c r="F531" i="3"/>
  <c r="G531" i="3"/>
  <c r="H531" i="3"/>
  <c r="I531" i="3"/>
  <c r="J531" i="3"/>
  <c r="K531" i="3"/>
  <c r="L531" i="3"/>
  <c r="M531" i="3"/>
  <c r="A532" i="3"/>
  <c r="B532" i="3"/>
  <c r="C532" i="3"/>
  <c r="D532" i="3"/>
  <c r="E532" i="3"/>
  <c r="F532" i="3"/>
  <c r="G532" i="3"/>
  <c r="H532" i="3"/>
  <c r="I532" i="3"/>
  <c r="J532" i="3"/>
  <c r="K532" i="3"/>
  <c r="L532" i="3"/>
  <c r="M532" i="3"/>
  <c r="A533" i="3"/>
  <c r="B533" i="3"/>
  <c r="C533" i="3"/>
  <c r="D533" i="3"/>
  <c r="E533" i="3"/>
  <c r="F533" i="3"/>
  <c r="G533" i="3"/>
  <c r="H533" i="3"/>
  <c r="I533" i="3"/>
  <c r="J533" i="3"/>
  <c r="K533" i="3"/>
  <c r="L533" i="3"/>
  <c r="M533" i="3"/>
  <c r="A534" i="3"/>
  <c r="B534" i="3"/>
  <c r="C534" i="3"/>
  <c r="D534" i="3"/>
  <c r="E534" i="3"/>
  <c r="F534" i="3"/>
  <c r="G534" i="3"/>
  <c r="H534" i="3"/>
  <c r="I534" i="3"/>
  <c r="J534" i="3"/>
  <c r="K534" i="3"/>
  <c r="L534" i="3"/>
  <c r="M534" i="3"/>
  <c r="A535" i="3"/>
  <c r="B535" i="3"/>
  <c r="C535" i="3"/>
  <c r="D535" i="3"/>
  <c r="E535" i="3"/>
  <c r="F535" i="3"/>
  <c r="G535" i="3"/>
  <c r="H535" i="3"/>
  <c r="I535" i="3"/>
  <c r="J535" i="3"/>
  <c r="K535" i="3"/>
  <c r="L535" i="3"/>
  <c r="M535" i="3"/>
  <c r="A536" i="3"/>
  <c r="B536" i="3"/>
  <c r="C536" i="3"/>
  <c r="D536" i="3"/>
  <c r="E536" i="3"/>
  <c r="F536" i="3"/>
  <c r="G536" i="3"/>
  <c r="H536" i="3"/>
  <c r="I536" i="3"/>
  <c r="J536" i="3"/>
  <c r="K536" i="3"/>
  <c r="L536" i="3"/>
  <c r="M536" i="3"/>
  <c r="A537" i="3"/>
  <c r="B537" i="3"/>
  <c r="C537" i="3"/>
  <c r="D537" i="3"/>
  <c r="E537" i="3"/>
  <c r="F537" i="3"/>
  <c r="G537" i="3"/>
  <c r="H537" i="3"/>
  <c r="I537" i="3"/>
  <c r="J537" i="3"/>
  <c r="K537" i="3"/>
  <c r="L537" i="3"/>
  <c r="M537" i="3"/>
  <c r="A538" i="3"/>
  <c r="B538" i="3"/>
  <c r="C538" i="3"/>
  <c r="D538" i="3"/>
  <c r="E538" i="3"/>
  <c r="F538" i="3"/>
  <c r="G538" i="3"/>
  <c r="H538" i="3"/>
  <c r="I538" i="3"/>
  <c r="J538" i="3"/>
  <c r="K538" i="3"/>
  <c r="L538" i="3"/>
  <c r="M538" i="3"/>
  <c r="A539" i="3"/>
  <c r="B539" i="3"/>
  <c r="C539" i="3"/>
  <c r="D539" i="3"/>
  <c r="E539" i="3"/>
  <c r="F539" i="3"/>
  <c r="G539" i="3"/>
  <c r="H539" i="3"/>
  <c r="I539" i="3"/>
  <c r="J539" i="3"/>
  <c r="K539" i="3"/>
  <c r="L539" i="3"/>
  <c r="M539" i="3"/>
  <c r="A540" i="3"/>
  <c r="B540" i="3"/>
  <c r="C540" i="3"/>
  <c r="D540" i="3"/>
  <c r="E540" i="3"/>
  <c r="F540" i="3"/>
  <c r="G540" i="3"/>
  <c r="H540" i="3"/>
  <c r="I540" i="3"/>
  <c r="J540" i="3"/>
  <c r="K540" i="3"/>
  <c r="L540" i="3"/>
  <c r="M540" i="3"/>
  <c r="A541" i="3"/>
  <c r="B541" i="3"/>
  <c r="C541" i="3"/>
  <c r="D541" i="3"/>
  <c r="E541" i="3"/>
  <c r="F541" i="3"/>
  <c r="G541" i="3"/>
  <c r="H541" i="3"/>
  <c r="I541" i="3"/>
  <c r="J541" i="3"/>
  <c r="K541" i="3"/>
  <c r="L541" i="3"/>
  <c r="M541" i="3"/>
  <c r="A542" i="3"/>
  <c r="B542" i="3"/>
  <c r="C542" i="3"/>
  <c r="D542" i="3"/>
  <c r="E542" i="3"/>
  <c r="F542" i="3"/>
  <c r="G542" i="3"/>
  <c r="H542" i="3"/>
  <c r="I542" i="3"/>
  <c r="J542" i="3"/>
  <c r="K542" i="3"/>
  <c r="L542" i="3"/>
  <c r="M542" i="3"/>
  <c r="A543" i="3"/>
  <c r="B543" i="3"/>
  <c r="C543" i="3"/>
  <c r="D543" i="3"/>
  <c r="E543" i="3"/>
  <c r="F543" i="3"/>
  <c r="G543" i="3"/>
  <c r="H543" i="3"/>
  <c r="I543" i="3"/>
  <c r="J543" i="3"/>
  <c r="K543" i="3"/>
  <c r="L543" i="3"/>
  <c r="M543" i="3"/>
  <c r="A544" i="3"/>
  <c r="B544" i="3"/>
  <c r="C544" i="3"/>
  <c r="D544" i="3"/>
  <c r="E544" i="3"/>
  <c r="F544" i="3"/>
  <c r="G544" i="3"/>
  <c r="H544" i="3"/>
  <c r="I544" i="3"/>
  <c r="J544" i="3"/>
  <c r="K544" i="3"/>
  <c r="L544" i="3"/>
  <c r="M544" i="3"/>
  <c r="A545" i="3"/>
  <c r="B545" i="3"/>
  <c r="C545" i="3"/>
  <c r="D545" i="3"/>
  <c r="E545" i="3"/>
  <c r="F545" i="3"/>
  <c r="G545" i="3"/>
  <c r="H545" i="3"/>
  <c r="I545" i="3"/>
  <c r="J545" i="3"/>
  <c r="K545" i="3"/>
  <c r="L545" i="3"/>
  <c r="M545" i="3"/>
  <c r="A546" i="3"/>
  <c r="B546" i="3"/>
  <c r="C546" i="3"/>
  <c r="D546" i="3"/>
  <c r="E546" i="3"/>
  <c r="F546" i="3"/>
  <c r="G546" i="3"/>
  <c r="H546" i="3"/>
  <c r="I546" i="3"/>
  <c r="J546" i="3"/>
  <c r="K546" i="3"/>
  <c r="L546" i="3"/>
  <c r="M546" i="3"/>
  <c r="A547" i="3"/>
  <c r="B547" i="3"/>
  <c r="C547" i="3"/>
  <c r="D547" i="3"/>
  <c r="E547" i="3"/>
  <c r="F547" i="3"/>
  <c r="G547" i="3"/>
  <c r="H547" i="3"/>
  <c r="I547" i="3"/>
  <c r="J547" i="3"/>
  <c r="K547" i="3"/>
  <c r="L547" i="3"/>
  <c r="M547" i="3"/>
  <c r="A548" i="3"/>
  <c r="B548" i="3"/>
  <c r="C548" i="3"/>
  <c r="D548" i="3"/>
  <c r="E548" i="3"/>
  <c r="F548" i="3"/>
  <c r="G548" i="3"/>
  <c r="H548" i="3"/>
  <c r="I548" i="3"/>
  <c r="J548" i="3"/>
  <c r="K548" i="3"/>
  <c r="L548" i="3"/>
  <c r="M548" i="3"/>
  <c r="A549" i="3"/>
  <c r="B549" i="3"/>
  <c r="C549" i="3"/>
  <c r="D549" i="3"/>
  <c r="E549" i="3"/>
  <c r="F549" i="3"/>
  <c r="G549" i="3"/>
  <c r="H549" i="3"/>
  <c r="I549" i="3"/>
  <c r="J549" i="3"/>
  <c r="K549" i="3"/>
  <c r="L549" i="3"/>
  <c r="M549" i="3"/>
  <c r="A550" i="3"/>
  <c r="B550" i="3"/>
  <c r="C550" i="3"/>
  <c r="D550" i="3"/>
  <c r="E550" i="3"/>
  <c r="F550" i="3"/>
  <c r="G550" i="3"/>
  <c r="H550" i="3"/>
  <c r="I550" i="3"/>
  <c r="J550" i="3"/>
  <c r="K550" i="3"/>
  <c r="L550" i="3"/>
  <c r="M550" i="3"/>
  <c r="A551" i="3"/>
  <c r="B551" i="3"/>
  <c r="C551" i="3"/>
  <c r="D551" i="3"/>
  <c r="E551" i="3"/>
  <c r="F551" i="3"/>
  <c r="G551" i="3"/>
  <c r="H551" i="3"/>
  <c r="I551" i="3"/>
  <c r="J551" i="3"/>
  <c r="K551" i="3"/>
  <c r="L551" i="3"/>
  <c r="M551" i="3"/>
  <c r="A552" i="3"/>
  <c r="B552" i="3"/>
  <c r="C552" i="3"/>
  <c r="D552" i="3"/>
  <c r="E552" i="3"/>
  <c r="F552" i="3"/>
  <c r="G552" i="3"/>
  <c r="H552" i="3"/>
  <c r="I552" i="3"/>
  <c r="J552" i="3"/>
  <c r="K552" i="3"/>
  <c r="L552" i="3"/>
  <c r="M552" i="3"/>
  <c r="A553" i="3"/>
  <c r="B553" i="3"/>
  <c r="C553" i="3"/>
  <c r="D553" i="3"/>
  <c r="E553" i="3"/>
  <c r="F553" i="3"/>
  <c r="G553" i="3"/>
  <c r="H553" i="3"/>
  <c r="I553" i="3"/>
  <c r="J553" i="3"/>
  <c r="K553" i="3"/>
  <c r="L553" i="3"/>
  <c r="M553" i="3"/>
  <c r="A554" i="3"/>
  <c r="B554" i="3"/>
  <c r="C554" i="3"/>
  <c r="D554" i="3"/>
  <c r="E554" i="3"/>
  <c r="F554" i="3"/>
  <c r="G554" i="3"/>
  <c r="H554" i="3"/>
  <c r="I554" i="3"/>
  <c r="J554" i="3"/>
  <c r="K554" i="3"/>
  <c r="L554" i="3"/>
  <c r="M554" i="3"/>
  <c r="A555" i="3"/>
  <c r="B555" i="3"/>
  <c r="C555" i="3"/>
  <c r="D555" i="3"/>
  <c r="E555" i="3"/>
  <c r="F555" i="3"/>
  <c r="G555" i="3"/>
  <c r="H555" i="3"/>
  <c r="I555" i="3"/>
  <c r="J555" i="3"/>
  <c r="K555" i="3"/>
  <c r="L555" i="3"/>
  <c r="M555" i="3"/>
  <c r="A556" i="3"/>
  <c r="B556" i="3"/>
  <c r="C556" i="3"/>
  <c r="D556" i="3"/>
  <c r="E556" i="3"/>
  <c r="F556" i="3"/>
  <c r="G556" i="3"/>
  <c r="H556" i="3"/>
  <c r="I556" i="3"/>
  <c r="J556" i="3"/>
  <c r="K556" i="3"/>
  <c r="L556" i="3"/>
  <c r="M556" i="3"/>
  <c r="A557" i="3"/>
  <c r="B557" i="3"/>
  <c r="C557" i="3"/>
  <c r="D557" i="3"/>
  <c r="E557" i="3"/>
  <c r="F557" i="3"/>
  <c r="G557" i="3"/>
  <c r="H557" i="3"/>
  <c r="I557" i="3"/>
  <c r="J557" i="3"/>
  <c r="K557" i="3"/>
  <c r="L557" i="3"/>
  <c r="M557" i="3"/>
  <c r="A558" i="3"/>
  <c r="B558" i="3"/>
  <c r="C558" i="3"/>
  <c r="D558" i="3"/>
  <c r="E558" i="3"/>
  <c r="F558" i="3"/>
  <c r="G558" i="3"/>
  <c r="H558" i="3"/>
  <c r="I558" i="3"/>
  <c r="J558" i="3"/>
  <c r="K558" i="3"/>
  <c r="L558" i="3"/>
  <c r="M558" i="3"/>
  <c r="A559" i="3"/>
  <c r="B559" i="3"/>
  <c r="C559" i="3"/>
  <c r="D559" i="3"/>
  <c r="E559" i="3"/>
  <c r="F559" i="3"/>
  <c r="G559" i="3"/>
  <c r="H559" i="3"/>
  <c r="I559" i="3"/>
  <c r="J559" i="3"/>
  <c r="K559" i="3"/>
  <c r="L559" i="3"/>
  <c r="M559" i="3"/>
  <c r="A560" i="3"/>
  <c r="B560" i="3"/>
  <c r="C560" i="3"/>
  <c r="D560" i="3"/>
  <c r="E560" i="3"/>
  <c r="F560" i="3"/>
  <c r="G560" i="3"/>
  <c r="H560" i="3"/>
  <c r="I560" i="3"/>
  <c r="J560" i="3"/>
  <c r="K560" i="3"/>
  <c r="L560" i="3"/>
  <c r="M560" i="3"/>
  <c r="A561" i="3"/>
  <c r="B561" i="3"/>
  <c r="C561" i="3"/>
  <c r="D561" i="3"/>
  <c r="E561" i="3"/>
  <c r="F561" i="3"/>
  <c r="G561" i="3"/>
  <c r="H561" i="3"/>
  <c r="I561" i="3"/>
  <c r="J561" i="3"/>
  <c r="K561" i="3"/>
  <c r="L561" i="3"/>
  <c r="M561" i="3"/>
  <c r="A562" i="3"/>
  <c r="B562" i="3"/>
  <c r="C562" i="3"/>
  <c r="D562" i="3"/>
  <c r="E562" i="3"/>
  <c r="F562" i="3"/>
  <c r="G562" i="3"/>
  <c r="H562" i="3"/>
  <c r="I562" i="3"/>
  <c r="J562" i="3"/>
  <c r="K562" i="3"/>
  <c r="L562" i="3"/>
  <c r="M562" i="3"/>
  <c r="A563" i="3"/>
  <c r="B563" i="3"/>
  <c r="C563" i="3"/>
  <c r="D563" i="3"/>
  <c r="E563" i="3"/>
  <c r="F563" i="3"/>
  <c r="G563" i="3"/>
  <c r="H563" i="3"/>
  <c r="I563" i="3"/>
  <c r="J563" i="3"/>
  <c r="K563" i="3"/>
  <c r="L563" i="3"/>
  <c r="M563" i="3"/>
  <c r="A564" i="3"/>
  <c r="B564" i="3"/>
  <c r="C564" i="3"/>
  <c r="D564" i="3"/>
  <c r="E564" i="3"/>
  <c r="F564" i="3"/>
  <c r="G564" i="3"/>
  <c r="H564" i="3"/>
  <c r="I564" i="3"/>
  <c r="J564" i="3"/>
  <c r="K564" i="3"/>
  <c r="L564" i="3"/>
  <c r="M564" i="3"/>
  <c r="A565" i="3"/>
  <c r="B565" i="3"/>
  <c r="C565" i="3"/>
  <c r="D565" i="3"/>
  <c r="E565" i="3"/>
  <c r="F565" i="3"/>
  <c r="G565" i="3"/>
  <c r="H565" i="3"/>
  <c r="I565" i="3"/>
  <c r="J565" i="3"/>
  <c r="K565" i="3"/>
  <c r="L565" i="3"/>
  <c r="M565" i="3"/>
  <c r="A566" i="3"/>
  <c r="B566" i="3"/>
  <c r="C566" i="3"/>
  <c r="D566" i="3"/>
  <c r="E566" i="3"/>
  <c r="F566" i="3"/>
  <c r="G566" i="3"/>
  <c r="H566" i="3"/>
  <c r="I566" i="3"/>
  <c r="J566" i="3"/>
  <c r="K566" i="3"/>
  <c r="L566" i="3"/>
  <c r="M566" i="3"/>
  <c r="A567" i="3"/>
  <c r="B567" i="3"/>
  <c r="C567" i="3"/>
  <c r="D567" i="3"/>
  <c r="E567" i="3"/>
  <c r="F567" i="3"/>
  <c r="G567" i="3"/>
  <c r="H567" i="3"/>
  <c r="I567" i="3"/>
  <c r="J567" i="3"/>
  <c r="K567" i="3"/>
  <c r="L567" i="3"/>
  <c r="M567" i="3"/>
  <c r="A568" i="3"/>
  <c r="B568" i="3"/>
  <c r="C568" i="3"/>
  <c r="D568" i="3"/>
  <c r="E568" i="3"/>
  <c r="F568" i="3"/>
  <c r="G568" i="3"/>
  <c r="H568" i="3"/>
  <c r="I568" i="3"/>
  <c r="J568" i="3"/>
  <c r="K568" i="3"/>
  <c r="L568" i="3"/>
  <c r="M568" i="3"/>
  <c r="A569" i="3"/>
  <c r="B569" i="3"/>
  <c r="C569" i="3"/>
  <c r="D569" i="3"/>
  <c r="E569" i="3"/>
  <c r="F569" i="3"/>
  <c r="G569" i="3"/>
  <c r="H569" i="3"/>
  <c r="I569" i="3"/>
  <c r="J569" i="3"/>
  <c r="K569" i="3"/>
  <c r="L569" i="3"/>
  <c r="M569" i="3"/>
  <c r="A570" i="3"/>
  <c r="B570" i="3"/>
  <c r="C570" i="3"/>
  <c r="D570" i="3"/>
  <c r="E570" i="3"/>
  <c r="F570" i="3"/>
  <c r="G570" i="3"/>
  <c r="H570" i="3"/>
  <c r="I570" i="3"/>
  <c r="J570" i="3"/>
  <c r="K570" i="3"/>
  <c r="L570" i="3"/>
  <c r="M570" i="3"/>
  <c r="A571" i="3"/>
  <c r="B571" i="3"/>
  <c r="C571" i="3"/>
  <c r="D571" i="3"/>
  <c r="E571" i="3"/>
  <c r="F571" i="3"/>
  <c r="G571" i="3"/>
  <c r="H571" i="3"/>
  <c r="I571" i="3"/>
  <c r="J571" i="3"/>
  <c r="K571" i="3"/>
  <c r="L571" i="3"/>
  <c r="M571" i="3"/>
  <c r="A572" i="3"/>
  <c r="B572" i="3"/>
  <c r="C572" i="3"/>
  <c r="D572" i="3"/>
  <c r="E572" i="3"/>
  <c r="F572" i="3"/>
  <c r="G572" i="3"/>
  <c r="H572" i="3"/>
  <c r="I572" i="3"/>
  <c r="J572" i="3"/>
  <c r="K572" i="3"/>
  <c r="L572" i="3"/>
  <c r="M572" i="3"/>
  <c r="A573" i="3"/>
  <c r="B573" i="3"/>
  <c r="C573" i="3"/>
  <c r="D573" i="3"/>
  <c r="E573" i="3"/>
  <c r="F573" i="3"/>
  <c r="G573" i="3"/>
  <c r="H573" i="3"/>
  <c r="I573" i="3"/>
  <c r="J573" i="3"/>
  <c r="K573" i="3"/>
  <c r="L573" i="3"/>
  <c r="M573" i="3"/>
  <c r="A574" i="3"/>
  <c r="B574" i="3"/>
  <c r="C574" i="3"/>
  <c r="D574" i="3"/>
  <c r="E574" i="3"/>
  <c r="F574" i="3"/>
  <c r="G574" i="3"/>
  <c r="H574" i="3"/>
  <c r="I574" i="3"/>
  <c r="J574" i="3"/>
  <c r="K574" i="3"/>
  <c r="L574" i="3"/>
  <c r="M574" i="3"/>
  <c r="A575" i="3"/>
  <c r="B575" i="3"/>
  <c r="C575" i="3"/>
  <c r="D575" i="3"/>
  <c r="E575" i="3"/>
  <c r="F575" i="3"/>
  <c r="G575" i="3"/>
  <c r="H575" i="3"/>
  <c r="I575" i="3"/>
  <c r="J575" i="3"/>
  <c r="K575" i="3"/>
  <c r="L575" i="3"/>
  <c r="M575" i="3"/>
  <c r="A576" i="3"/>
  <c r="B576" i="3"/>
  <c r="C576" i="3"/>
  <c r="D576" i="3"/>
  <c r="E576" i="3"/>
  <c r="F576" i="3"/>
  <c r="G576" i="3"/>
  <c r="H576" i="3"/>
  <c r="I576" i="3"/>
  <c r="J576" i="3"/>
  <c r="K576" i="3"/>
  <c r="L576" i="3"/>
  <c r="M576" i="3"/>
  <c r="A577" i="3"/>
  <c r="B577" i="3"/>
  <c r="C577" i="3"/>
  <c r="D577" i="3"/>
  <c r="E577" i="3"/>
  <c r="F577" i="3"/>
  <c r="G577" i="3"/>
  <c r="H577" i="3"/>
  <c r="I577" i="3"/>
  <c r="J577" i="3"/>
  <c r="K577" i="3"/>
  <c r="L577" i="3"/>
  <c r="M577" i="3"/>
  <c r="A578" i="3"/>
  <c r="B578" i="3"/>
  <c r="C578" i="3"/>
  <c r="D578" i="3"/>
  <c r="E578" i="3"/>
  <c r="F578" i="3"/>
  <c r="G578" i="3"/>
  <c r="H578" i="3"/>
  <c r="I578" i="3"/>
  <c r="J578" i="3"/>
  <c r="K578" i="3"/>
  <c r="L578" i="3"/>
  <c r="M578" i="3"/>
  <c r="A579" i="3"/>
  <c r="B579" i="3"/>
  <c r="C579" i="3"/>
  <c r="D579" i="3"/>
  <c r="E579" i="3"/>
  <c r="F579" i="3"/>
  <c r="G579" i="3"/>
  <c r="H579" i="3"/>
  <c r="I579" i="3"/>
  <c r="J579" i="3"/>
  <c r="K579" i="3"/>
  <c r="L579" i="3"/>
  <c r="M579" i="3"/>
  <c r="A580" i="3"/>
  <c r="B580" i="3"/>
  <c r="C580" i="3"/>
  <c r="D580" i="3"/>
  <c r="E580" i="3"/>
  <c r="F580" i="3"/>
  <c r="G580" i="3"/>
  <c r="H580" i="3"/>
  <c r="I580" i="3"/>
  <c r="J580" i="3"/>
  <c r="K580" i="3"/>
  <c r="L580" i="3"/>
  <c r="M580" i="3"/>
  <c r="A581" i="3"/>
  <c r="B581" i="3"/>
  <c r="C581" i="3"/>
  <c r="D581" i="3"/>
  <c r="E581" i="3"/>
  <c r="F581" i="3"/>
  <c r="G581" i="3"/>
  <c r="H581" i="3"/>
  <c r="I581" i="3"/>
  <c r="J581" i="3"/>
  <c r="K581" i="3"/>
  <c r="L581" i="3"/>
  <c r="M581" i="3"/>
  <c r="A582" i="3"/>
  <c r="B582" i="3"/>
  <c r="C582" i="3"/>
  <c r="D582" i="3"/>
  <c r="E582" i="3"/>
  <c r="F582" i="3"/>
  <c r="G582" i="3"/>
  <c r="H582" i="3"/>
  <c r="I582" i="3"/>
  <c r="J582" i="3"/>
  <c r="K582" i="3"/>
  <c r="L582" i="3"/>
  <c r="M582" i="3"/>
  <c r="A583" i="3"/>
  <c r="B583" i="3"/>
  <c r="C583" i="3"/>
  <c r="D583" i="3"/>
  <c r="E583" i="3"/>
  <c r="F583" i="3"/>
  <c r="G583" i="3"/>
  <c r="H583" i="3"/>
  <c r="I583" i="3"/>
  <c r="J583" i="3"/>
  <c r="K583" i="3"/>
  <c r="L583" i="3"/>
  <c r="M583" i="3"/>
  <c r="A584" i="3"/>
  <c r="B584" i="3"/>
  <c r="C584" i="3"/>
  <c r="D584" i="3"/>
  <c r="E584" i="3"/>
  <c r="F584" i="3"/>
  <c r="G584" i="3"/>
  <c r="H584" i="3"/>
  <c r="I584" i="3"/>
  <c r="J584" i="3"/>
  <c r="K584" i="3"/>
  <c r="L584" i="3"/>
  <c r="M584" i="3"/>
  <c r="A585" i="3"/>
  <c r="B585" i="3"/>
  <c r="C585" i="3"/>
  <c r="D585" i="3"/>
  <c r="E585" i="3"/>
  <c r="F585" i="3"/>
  <c r="G585" i="3"/>
  <c r="H585" i="3"/>
  <c r="I585" i="3"/>
  <c r="J585" i="3"/>
  <c r="K585" i="3"/>
  <c r="L585" i="3"/>
  <c r="M585" i="3"/>
  <c r="A586" i="3"/>
  <c r="B586" i="3"/>
  <c r="C586" i="3"/>
  <c r="D586" i="3"/>
  <c r="E586" i="3"/>
  <c r="F586" i="3"/>
  <c r="G586" i="3"/>
  <c r="H586" i="3"/>
  <c r="I586" i="3"/>
  <c r="J586" i="3"/>
  <c r="K586" i="3"/>
  <c r="L586" i="3"/>
  <c r="M586" i="3"/>
  <c r="A587" i="3"/>
  <c r="B587" i="3"/>
  <c r="C587" i="3"/>
  <c r="D587" i="3"/>
  <c r="E587" i="3"/>
  <c r="F587" i="3"/>
  <c r="G587" i="3"/>
  <c r="H587" i="3"/>
  <c r="I587" i="3"/>
  <c r="J587" i="3"/>
  <c r="K587" i="3"/>
  <c r="L587" i="3"/>
  <c r="M587" i="3"/>
  <c r="A588" i="3"/>
  <c r="B588" i="3"/>
  <c r="C588" i="3"/>
  <c r="D588" i="3"/>
  <c r="E588" i="3"/>
  <c r="F588" i="3"/>
  <c r="G588" i="3"/>
  <c r="H588" i="3"/>
  <c r="I588" i="3"/>
  <c r="J588" i="3"/>
  <c r="K588" i="3"/>
  <c r="L588" i="3"/>
  <c r="M588" i="3"/>
  <c r="A589" i="3"/>
  <c r="B589" i="3"/>
  <c r="C589" i="3"/>
  <c r="D589" i="3"/>
  <c r="E589" i="3"/>
  <c r="F589" i="3"/>
  <c r="G589" i="3"/>
  <c r="H589" i="3"/>
  <c r="I589" i="3"/>
  <c r="J589" i="3"/>
  <c r="K589" i="3"/>
  <c r="L589" i="3"/>
  <c r="M589" i="3"/>
  <c r="A590" i="3"/>
  <c r="B590" i="3"/>
  <c r="C590" i="3"/>
  <c r="D590" i="3"/>
  <c r="E590" i="3"/>
  <c r="F590" i="3"/>
  <c r="G590" i="3"/>
  <c r="H590" i="3"/>
  <c r="I590" i="3"/>
  <c r="J590" i="3"/>
  <c r="K590" i="3"/>
  <c r="L590" i="3"/>
  <c r="M590" i="3"/>
  <c r="A591" i="3"/>
  <c r="B591" i="3"/>
  <c r="C591" i="3"/>
  <c r="D591" i="3"/>
  <c r="E591" i="3"/>
  <c r="F591" i="3"/>
  <c r="G591" i="3"/>
  <c r="H591" i="3"/>
  <c r="I591" i="3"/>
  <c r="J591" i="3"/>
  <c r="K591" i="3"/>
  <c r="L591" i="3"/>
  <c r="M591" i="3"/>
  <c r="A592" i="3"/>
  <c r="B592" i="3"/>
  <c r="C592" i="3"/>
  <c r="D592" i="3"/>
  <c r="E592" i="3"/>
  <c r="F592" i="3"/>
  <c r="G592" i="3"/>
  <c r="H592" i="3"/>
  <c r="I592" i="3"/>
  <c r="J592" i="3"/>
  <c r="K592" i="3"/>
  <c r="L592" i="3"/>
  <c r="M592" i="3"/>
  <c r="A593" i="3"/>
  <c r="B593" i="3"/>
  <c r="C593" i="3"/>
  <c r="D593" i="3"/>
  <c r="E593" i="3"/>
  <c r="F593" i="3"/>
  <c r="G593" i="3"/>
  <c r="H593" i="3"/>
  <c r="I593" i="3"/>
  <c r="J593" i="3"/>
  <c r="K593" i="3"/>
  <c r="L593" i="3"/>
  <c r="M593" i="3"/>
  <c r="A594" i="3"/>
  <c r="B594" i="3"/>
  <c r="C594" i="3"/>
  <c r="D594" i="3"/>
  <c r="E594" i="3"/>
  <c r="F594" i="3"/>
  <c r="G594" i="3"/>
  <c r="H594" i="3"/>
  <c r="I594" i="3"/>
  <c r="J594" i="3"/>
  <c r="K594" i="3"/>
  <c r="L594" i="3"/>
  <c r="M594" i="3"/>
  <c r="A595" i="3"/>
  <c r="B595" i="3"/>
  <c r="C595" i="3"/>
  <c r="D595" i="3"/>
  <c r="E595" i="3"/>
  <c r="F595" i="3"/>
  <c r="G595" i="3"/>
  <c r="H595" i="3"/>
  <c r="I595" i="3"/>
  <c r="J595" i="3"/>
  <c r="K595" i="3"/>
  <c r="L595" i="3"/>
  <c r="M595" i="3"/>
  <c r="A596" i="3"/>
  <c r="B596" i="3"/>
  <c r="C596" i="3"/>
  <c r="D596" i="3"/>
  <c r="E596" i="3"/>
  <c r="F596" i="3"/>
  <c r="G596" i="3"/>
  <c r="H596" i="3"/>
  <c r="I596" i="3"/>
  <c r="J596" i="3"/>
  <c r="K596" i="3"/>
  <c r="L596" i="3"/>
  <c r="M596" i="3"/>
  <c r="A597" i="3"/>
  <c r="B597" i="3"/>
  <c r="C597" i="3"/>
  <c r="D597" i="3"/>
  <c r="E597" i="3"/>
  <c r="F597" i="3"/>
  <c r="G597" i="3"/>
  <c r="H597" i="3"/>
  <c r="I597" i="3"/>
  <c r="J597" i="3"/>
  <c r="K597" i="3"/>
  <c r="L597" i="3"/>
  <c r="M597" i="3"/>
  <c r="A598" i="3"/>
  <c r="B598" i="3"/>
  <c r="C598" i="3"/>
  <c r="D598" i="3"/>
  <c r="E598" i="3"/>
  <c r="F598" i="3"/>
  <c r="G598" i="3"/>
  <c r="H598" i="3"/>
  <c r="I598" i="3"/>
  <c r="J598" i="3"/>
  <c r="K598" i="3"/>
  <c r="L598" i="3"/>
  <c r="M598" i="3"/>
  <c r="A599" i="3"/>
  <c r="B599" i="3"/>
  <c r="C599" i="3"/>
  <c r="D599" i="3"/>
  <c r="E599" i="3"/>
  <c r="F599" i="3"/>
  <c r="G599" i="3"/>
  <c r="H599" i="3"/>
  <c r="I599" i="3"/>
  <c r="J599" i="3"/>
  <c r="K599" i="3"/>
  <c r="L599" i="3"/>
  <c r="M599" i="3"/>
  <c r="A600" i="3"/>
  <c r="B600" i="3"/>
  <c r="C600" i="3"/>
  <c r="D600" i="3"/>
  <c r="E600" i="3"/>
  <c r="F600" i="3"/>
  <c r="G600" i="3"/>
  <c r="H600" i="3"/>
  <c r="I600" i="3"/>
  <c r="J600" i="3"/>
  <c r="K600" i="3"/>
  <c r="L600" i="3"/>
  <c r="M600" i="3"/>
  <c r="A601" i="3"/>
  <c r="B601" i="3"/>
  <c r="C601" i="3"/>
  <c r="D601" i="3"/>
  <c r="E601" i="3"/>
  <c r="F601" i="3"/>
  <c r="G601" i="3"/>
  <c r="H601" i="3"/>
  <c r="I601" i="3"/>
  <c r="J601" i="3"/>
  <c r="K601" i="3"/>
  <c r="L601" i="3"/>
  <c r="M601" i="3"/>
  <c r="A602" i="3"/>
  <c r="B602" i="3"/>
  <c r="C602" i="3"/>
  <c r="D602" i="3"/>
  <c r="E602" i="3"/>
  <c r="F602" i="3"/>
  <c r="G602" i="3"/>
  <c r="H602" i="3"/>
  <c r="I602" i="3"/>
  <c r="J602" i="3"/>
  <c r="K602" i="3"/>
  <c r="L602" i="3"/>
  <c r="M602" i="3"/>
  <c r="A603" i="3"/>
  <c r="B603" i="3"/>
  <c r="C603" i="3"/>
  <c r="D603" i="3"/>
  <c r="E603" i="3"/>
  <c r="F603" i="3"/>
  <c r="G603" i="3"/>
  <c r="H603" i="3"/>
  <c r="I603" i="3"/>
  <c r="J603" i="3"/>
  <c r="K603" i="3"/>
  <c r="L603" i="3"/>
  <c r="M603" i="3"/>
  <c r="A604" i="3"/>
  <c r="B604" i="3"/>
  <c r="C604" i="3"/>
  <c r="D604" i="3"/>
  <c r="E604" i="3"/>
  <c r="F604" i="3"/>
  <c r="G604" i="3"/>
  <c r="H604" i="3"/>
  <c r="I604" i="3"/>
  <c r="J604" i="3"/>
  <c r="K604" i="3"/>
  <c r="L604" i="3"/>
  <c r="M604" i="3"/>
  <c r="A605" i="3"/>
  <c r="B605" i="3"/>
  <c r="C605" i="3"/>
  <c r="D605" i="3"/>
  <c r="E605" i="3"/>
  <c r="F605" i="3"/>
  <c r="G605" i="3"/>
  <c r="H605" i="3"/>
  <c r="I605" i="3"/>
  <c r="J605" i="3"/>
  <c r="K605" i="3"/>
  <c r="L605" i="3"/>
  <c r="M605" i="3"/>
  <c r="A606" i="3"/>
  <c r="B606" i="3"/>
  <c r="C606" i="3"/>
  <c r="D606" i="3"/>
  <c r="E606" i="3"/>
  <c r="F606" i="3"/>
  <c r="G606" i="3"/>
  <c r="H606" i="3"/>
  <c r="I606" i="3"/>
  <c r="J606" i="3"/>
  <c r="K606" i="3"/>
  <c r="L606" i="3"/>
  <c r="M606" i="3"/>
  <c r="A607" i="3"/>
  <c r="B607" i="3"/>
  <c r="C607" i="3"/>
  <c r="D607" i="3"/>
  <c r="E607" i="3"/>
  <c r="F607" i="3"/>
  <c r="G607" i="3"/>
  <c r="H607" i="3"/>
  <c r="I607" i="3"/>
  <c r="J607" i="3"/>
  <c r="K607" i="3"/>
  <c r="L607" i="3"/>
  <c r="M607" i="3"/>
  <c r="A608" i="3"/>
  <c r="B608" i="3"/>
  <c r="C608" i="3"/>
  <c r="D608" i="3"/>
  <c r="E608" i="3"/>
  <c r="F608" i="3"/>
  <c r="G608" i="3"/>
  <c r="H608" i="3"/>
  <c r="I608" i="3"/>
  <c r="J608" i="3"/>
  <c r="K608" i="3"/>
  <c r="L608" i="3"/>
  <c r="M608" i="3"/>
  <c r="A609" i="3"/>
  <c r="B609" i="3"/>
  <c r="C609" i="3"/>
  <c r="D609" i="3"/>
  <c r="E609" i="3"/>
  <c r="F609" i="3"/>
  <c r="G609" i="3"/>
  <c r="H609" i="3"/>
  <c r="I609" i="3"/>
  <c r="J609" i="3"/>
  <c r="K609" i="3"/>
  <c r="L609" i="3"/>
  <c r="M609" i="3"/>
  <c r="A610" i="3"/>
  <c r="B610" i="3"/>
  <c r="C610" i="3"/>
  <c r="D610" i="3"/>
  <c r="E610" i="3"/>
  <c r="F610" i="3"/>
  <c r="G610" i="3"/>
  <c r="H610" i="3"/>
  <c r="I610" i="3"/>
  <c r="J610" i="3"/>
  <c r="K610" i="3"/>
  <c r="L610" i="3"/>
  <c r="M610" i="3"/>
  <c r="A611" i="3"/>
  <c r="B611" i="3"/>
  <c r="C611" i="3"/>
  <c r="D611" i="3"/>
  <c r="E611" i="3"/>
  <c r="F611" i="3"/>
  <c r="G611" i="3"/>
  <c r="H611" i="3"/>
  <c r="I611" i="3"/>
  <c r="J611" i="3"/>
  <c r="K611" i="3"/>
  <c r="L611" i="3"/>
  <c r="M611" i="3"/>
  <c r="A612" i="3"/>
  <c r="B612" i="3"/>
  <c r="C612" i="3"/>
  <c r="D612" i="3"/>
  <c r="E612" i="3"/>
  <c r="F612" i="3"/>
  <c r="G612" i="3"/>
  <c r="H612" i="3"/>
  <c r="I612" i="3"/>
  <c r="J612" i="3"/>
  <c r="K612" i="3"/>
  <c r="L612" i="3"/>
  <c r="M612" i="3"/>
  <c r="A613" i="3"/>
  <c r="B613" i="3"/>
  <c r="C613" i="3"/>
  <c r="D613" i="3"/>
  <c r="E613" i="3"/>
  <c r="F613" i="3"/>
  <c r="G613" i="3"/>
  <c r="H613" i="3"/>
  <c r="I613" i="3"/>
  <c r="J613" i="3"/>
  <c r="K613" i="3"/>
  <c r="L613" i="3"/>
  <c r="M613" i="3"/>
  <c r="A614" i="3"/>
  <c r="B614" i="3"/>
  <c r="C614" i="3"/>
  <c r="D614" i="3"/>
  <c r="E614" i="3"/>
  <c r="F614" i="3"/>
  <c r="G614" i="3"/>
  <c r="H614" i="3"/>
  <c r="I614" i="3"/>
  <c r="J614" i="3"/>
  <c r="K614" i="3"/>
  <c r="L614" i="3"/>
  <c r="M614" i="3"/>
  <c r="A615" i="3"/>
  <c r="B615" i="3"/>
  <c r="C615" i="3"/>
  <c r="D615" i="3"/>
  <c r="E615" i="3"/>
  <c r="F615" i="3"/>
  <c r="G615" i="3"/>
  <c r="H615" i="3"/>
  <c r="I615" i="3"/>
  <c r="J615" i="3"/>
  <c r="K615" i="3"/>
  <c r="L615" i="3"/>
  <c r="M615" i="3"/>
  <c r="A616" i="3"/>
  <c r="B616" i="3"/>
  <c r="C616" i="3"/>
  <c r="D616" i="3"/>
  <c r="E616" i="3"/>
  <c r="F616" i="3"/>
  <c r="G616" i="3"/>
  <c r="H616" i="3"/>
  <c r="I616" i="3"/>
  <c r="J616" i="3"/>
  <c r="K616" i="3"/>
  <c r="L616" i="3"/>
  <c r="M616" i="3"/>
  <c r="A617" i="3"/>
  <c r="B617" i="3"/>
  <c r="C617" i="3"/>
  <c r="D617" i="3"/>
  <c r="E617" i="3"/>
  <c r="F617" i="3"/>
  <c r="G617" i="3"/>
  <c r="H617" i="3"/>
  <c r="I617" i="3"/>
  <c r="J617" i="3"/>
  <c r="K617" i="3"/>
  <c r="L617" i="3"/>
  <c r="M617" i="3"/>
  <c r="A618" i="3"/>
  <c r="B618" i="3"/>
  <c r="C618" i="3"/>
  <c r="D618" i="3"/>
  <c r="E618" i="3"/>
  <c r="F618" i="3"/>
  <c r="G618" i="3"/>
  <c r="H618" i="3"/>
  <c r="I618" i="3"/>
  <c r="J618" i="3"/>
  <c r="K618" i="3"/>
  <c r="L618" i="3"/>
  <c r="M618" i="3"/>
  <c r="A619" i="3"/>
  <c r="B619" i="3"/>
  <c r="C619" i="3"/>
  <c r="D619" i="3"/>
  <c r="E619" i="3"/>
  <c r="F619" i="3"/>
  <c r="G619" i="3"/>
  <c r="H619" i="3"/>
  <c r="I619" i="3"/>
  <c r="J619" i="3"/>
  <c r="K619" i="3"/>
  <c r="L619" i="3"/>
  <c r="M619" i="3"/>
  <c r="A620" i="3"/>
  <c r="B620" i="3"/>
  <c r="C620" i="3"/>
  <c r="D620" i="3"/>
  <c r="E620" i="3"/>
  <c r="F620" i="3"/>
  <c r="G620" i="3"/>
  <c r="H620" i="3"/>
  <c r="I620" i="3"/>
  <c r="J620" i="3"/>
  <c r="K620" i="3"/>
  <c r="L620" i="3"/>
  <c r="M620" i="3"/>
  <c r="A621" i="3"/>
  <c r="B621" i="3"/>
  <c r="C621" i="3"/>
  <c r="D621" i="3"/>
  <c r="E621" i="3"/>
  <c r="F621" i="3"/>
  <c r="G621" i="3"/>
  <c r="H621" i="3"/>
  <c r="I621" i="3"/>
  <c r="J621" i="3"/>
  <c r="K621" i="3"/>
  <c r="L621" i="3"/>
  <c r="M621" i="3"/>
  <c r="A622" i="3"/>
  <c r="B622" i="3"/>
  <c r="C622" i="3"/>
  <c r="D622" i="3"/>
  <c r="E622" i="3"/>
  <c r="F622" i="3"/>
  <c r="G622" i="3"/>
  <c r="H622" i="3"/>
  <c r="I622" i="3"/>
  <c r="J622" i="3"/>
  <c r="K622" i="3"/>
  <c r="L622" i="3"/>
  <c r="M622" i="3"/>
  <c r="A623" i="3"/>
  <c r="B623" i="3"/>
  <c r="C623" i="3"/>
  <c r="D623" i="3"/>
  <c r="E623" i="3"/>
  <c r="F623" i="3"/>
  <c r="G623" i="3"/>
  <c r="H623" i="3"/>
  <c r="I623" i="3"/>
  <c r="J623" i="3"/>
  <c r="K623" i="3"/>
  <c r="L623" i="3"/>
  <c r="M623" i="3"/>
  <c r="A624" i="3"/>
  <c r="B624" i="3"/>
  <c r="C624" i="3"/>
  <c r="D624" i="3"/>
  <c r="E624" i="3"/>
  <c r="F624" i="3"/>
  <c r="G624" i="3"/>
  <c r="H624" i="3"/>
  <c r="I624" i="3"/>
  <c r="J624" i="3"/>
  <c r="K624" i="3"/>
  <c r="L624" i="3"/>
  <c r="M624" i="3"/>
  <c r="A625" i="3"/>
  <c r="B625" i="3"/>
  <c r="C625" i="3"/>
  <c r="D625" i="3"/>
  <c r="E625" i="3"/>
  <c r="F625" i="3"/>
  <c r="G625" i="3"/>
  <c r="H625" i="3"/>
  <c r="I625" i="3"/>
  <c r="J625" i="3"/>
  <c r="K625" i="3"/>
  <c r="L625" i="3"/>
  <c r="M625" i="3"/>
  <c r="A626" i="3"/>
  <c r="B626" i="3"/>
  <c r="C626" i="3"/>
  <c r="D626" i="3"/>
  <c r="E626" i="3"/>
  <c r="F626" i="3"/>
  <c r="G626" i="3"/>
  <c r="H626" i="3"/>
  <c r="I626" i="3"/>
  <c r="J626" i="3"/>
  <c r="K626" i="3"/>
  <c r="L626" i="3"/>
  <c r="M626" i="3"/>
  <c r="A627" i="3"/>
  <c r="B627" i="3"/>
  <c r="C627" i="3"/>
  <c r="D627" i="3"/>
  <c r="E627" i="3"/>
  <c r="F627" i="3"/>
  <c r="G627" i="3"/>
  <c r="H627" i="3"/>
  <c r="I627" i="3"/>
  <c r="J627" i="3"/>
  <c r="K627" i="3"/>
  <c r="L627" i="3"/>
  <c r="M627" i="3"/>
  <c r="A628" i="3"/>
  <c r="B628" i="3"/>
  <c r="C628" i="3"/>
  <c r="D628" i="3"/>
  <c r="E628" i="3"/>
  <c r="F628" i="3"/>
  <c r="G628" i="3"/>
  <c r="H628" i="3"/>
  <c r="I628" i="3"/>
  <c r="J628" i="3"/>
  <c r="K628" i="3"/>
  <c r="L628" i="3"/>
  <c r="M628" i="3"/>
  <c r="A629" i="3"/>
  <c r="B629" i="3"/>
  <c r="C629" i="3"/>
  <c r="D629" i="3"/>
  <c r="E629" i="3"/>
  <c r="F629" i="3"/>
  <c r="G629" i="3"/>
  <c r="H629" i="3"/>
  <c r="I629" i="3"/>
  <c r="J629" i="3"/>
  <c r="K629" i="3"/>
  <c r="L629" i="3"/>
  <c r="M629" i="3"/>
  <c r="A630" i="3"/>
  <c r="B630" i="3"/>
  <c r="C630" i="3"/>
  <c r="D630" i="3"/>
  <c r="E630" i="3"/>
  <c r="F630" i="3"/>
  <c r="G630" i="3"/>
  <c r="H630" i="3"/>
  <c r="I630" i="3"/>
  <c r="J630" i="3"/>
  <c r="K630" i="3"/>
  <c r="L630" i="3"/>
  <c r="M630" i="3"/>
  <c r="A631" i="3"/>
  <c r="B631" i="3"/>
  <c r="C631" i="3"/>
  <c r="D631" i="3"/>
  <c r="E631" i="3"/>
  <c r="F631" i="3"/>
  <c r="G631" i="3"/>
  <c r="H631" i="3"/>
  <c r="I631" i="3"/>
  <c r="J631" i="3"/>
  <c r="K631" i="3"/>
  <c r="L631" i="3"/>
  <c r="M631" i="3"/>
  <c r="A632" i="3"/>
  <c r="B632" i="3"/>
  <c r="C632" i="3"/>
  <c r="D632" i="3"/>
  <c r="E632" i="3"/>
  <c r="F632" i="3"/>
  <c r="G632" i="3"/>
  <c r="H632" i="3"/>
  <c r="I632" i="3"/>
  <c r="J632" i="3"/>
  <c r="K632" i="3"/>
  <c r="L632" i="3"/>
  <c r="M632" i="3"/>
  <c r="A633" i="3"/>
  <c r="B633" i="3"/>
  <c r="C633" i="3"/>
  <c r="D633" i="3"/>
  <c r="E633" i="3"/>
  <c r="F633" i="3"/>
  <c r="G633" i="3"/>
  <c r="H633" i="3"/>
  <c r="I633" i="3"/>
  <c r="J633" i="3"/>
  <c r="K633" i="3"/>
  <c r="L633" i="3"/>
  <c r="M633" i="3"/>
  <c r="A634" i="3"/>
  <c r="B634" i="3"/>
  <c r="C634" i="3"/>
  <c r="D634" i="3"/>
  <c r="E634" i="3"/>
  <c r="F634" i="3"/>
  <c r="G634" i="3"/>
  <c r="H634" i="3"/>
  <c r="I634" i="3"/>
  <c r="J634" i="3"/>
  <c r="K634" i="3"/>
  <c r="L634" i="3"/>
  <c r="M634" i="3"/>
  <c r="A635" i="3"/>
  <c r="B635" i="3"/>
  <c r="C635" i="3"/>
  <c r="D635" i="3"/>
  <c r="E635" i="3"/>
  <c r="F635" i="3"/>
  <c r="G635" i="3"/>
  <c r="H635" i="3"/>
  <c r="I635" i="3"/>
  <c r="J635" i="3"/>
  <c r="K635" i="3"/>
  <c r="L635" i="3"/>
  <c r="M635" i="3"/>
  <c r="A636" i="3"/>
  <c r="B636" i="3"/>
  <c r="C636" i="3"/>
  <c r="D636" i="3"/>
  <c r="E636" i="3"/>
  <c r="F636" i="3"/>
  <c r="G636" i="3"/>
  <c r="H636" i="3"/>
  <c r="I636" i="3"/>
  <c r="J636" i="3"/>
  <c r="K636" i="3"/>
  <c r="L636" i="3"/>
  <c r="M636" i="3"/>
  <c r="A637" i="3"/>
  <c r="B637" i="3"/>
  <c r="C637" i="3"/>
  <c r="D637" i="3"/>
  <c r="E637" i="3"/>
  <c r="F637" i="3"/>
  <c r="G637" i="3"/>
  <c r="H637" i="3"/>
  <c r="I637" i="3"/>
  <c r="J637" i="3"/>
  <c r="K637" i="3"/>
  <c r="L637" i="3"/>
  <c r="M637" i="3"/>
  <c r="A638" i="3"/>
  <c r="B638" i="3"/>
  <c r="C638" i="3"/>
  <c r="D638" i="3"/>
  <c r="E638" i="3"/>
  <c r="F638" i="3"/>
  <c r="G638" i="3"/>
  <c r="H638" i="3"/>
  <c r="I638" i="3"/>
  <c r="J638" i="3"/>
  <c r="K638" i="3"/>
  <c r="L638" i="3"/>
  <c r="M638" i="3"/>
  <c r="A639" i="3"/>
  <c r="B639" i="3"/>
  <c r="C639" i="3"/>
  <c r="D639" i="3"/>
  <c r="E639" i="3"/>
  <c r="F639" i="3"/>
  <c r="G639" i="3"/>
  <c r="H639" i="3"/>
  <c r="I639" i="3"/>
  <c r="J639" i="3"/>
  <c r="K639" i="3"/>
  <c r="L639" i="3"/>
  <c r="M639" i="3"/>
  <c r="A640" i="3"/>
  <c r="B640" i="3"/>
  <c r="C640" i="3"/>
  <c r="D640" i="3"/>
  <c r="E640" i="3"/>
  <c r="F640" i="3"/>
  <c r="G640" i="3"/>
  <c r="H640" i="3"/>
  <c r="I640" i="3"/>
  <c r="J640" i="3"/>
  <c r="K640" i="3"/>
  <c r="L640" i="3"/>
  <c r="M640" i="3"/>
  <c r="A641" i="3"/>
  <c r="B641" i="3"/>
  <c r="C641" i="3"/>
  <c r="D641" i="3"/>
  <c r="E641" i="3"/>
  <c r="F641" i="3"/>
  <c r="G641" i="3"/>
  <c r="H641" i="3"/>
  <c r="I641" i="3"/>
  <c r="J641" i="3"/>
  <c r="K641" i="3"/>
  <c r="L641" i="3"/>
  <c r="M641" i="3"/>
  <c r="A642" i="3"/>
  <c r="B642" i="3"/>
  <c r="C642" i="3"/>
  <c r="D642" i="3"/>
  <c r="E642" i="3"/>
  <c r="F642" i="3"/>
  <c r="G642" i="3"/>
  <c r="H642" i="3"/>
  <c r="I642" i="3"/>
  <c r="J642" i="3"/>
  <c r="K642" i="3"/>
  <c r="L642" i="3"/>
  <c r="M642" i="3"/>
  <c r="A643" i="3"/>
  <c r="B643" i="3"/>
  <c r="C643" i="3"/>
  <c r="D643" i="3"/>
  <c r="E643" i="3"/>
  <c r="F643" i="3"/>
  <c r="G643" i="3"/>
  <c r="H643" i="3"/>
  <c r="I643" i="3"/>
  <c r="J643" i="3"/>
  <c r="K643" i="3"/>
  <c r="L643" i="3"/>
  <c r="M643" i="3"/>
  <c r="A644" i="3"/>
  <c r="B644" i="3"/>
  <c r="C644" i="3"/>
  <c r="D644" i="3"/>
  <c r="E644" i="3"/>
  <c r="F644" i="3"/>
  <c r="G644" i="3"/>
  <c r="H644" i="3"/>
  <c r="I644" i="3"/>
  <c r="J644" i="3"/>
  <c r="K644" i="3"/>
  <c r="L644" i="3"/>
  <c r="M644" i="3"/>
  <c r="A645" i="3"/>
  <c r="B645" i="3"/>
  <c r="C645" i="3"/>
  <c r="D645" i="3"/>
  <c r="E645" i="3"/>
  <c r="F645" i="3"/>
  <c r="G645" i="3"/>
  <c r="H645" i="3"/>
  <c r="I645" i="3"/>
  <c r="J645" i="3"/>
  <c r="K645" i="3"/>
  <c r="L645" i="3"/>
  <c r="M645" i="3"/>
  <c r="A646" i="3"/>
  <c r="B646" i="3"/>
  <c r="C646" i="3"/>
  <c r="D646" i="3"/>
  <c r="E646" i="3"/>
  <c r="F646" i="3"/>
  <c r="G646" i="3"/>
  <c r="H646" i="3"/>
  <c r="I646" i="3"/>
  <c r="J646" i="3"/>
  <c r="K646" i="3"/>
  <c r="L646" i="3"/>
  <c r="M646" i="3"/>
  <c r="A647" i="3"/>
  <c r="B647" i="3"/>
  <c r="C647" i="3"/>
  <c r="D647" i="3"/>
  <c r="E647" i="3"/>
  <c r="F647" i="3"/>
  <c r="G647" i="3"/>
  <c r="H647" i="3"/>
  <c r="I647" i="3"/>
  <c r="J647" i="3"/>
  <c r="K647" i="3"/>
  <c r="L647" i="3"/>
  <c r="M647" i="3"/>
  <c r="A648" i="3"/>
  <c r="B648" i="3"/>
  <c r="C648" i="3"/>
  <c r="D648" i="3"/>
  <c r="E648" i="3"/>
  <c r="F648" i="3"/>
  <c r="G648" i="3"/>
  <c r="H648" i="3"/>
  <c r="I648" i="3"/>
  <c r="J648" i="3"/>
  <c r="K648" i="3"/>
  <c r="L648" i="3"/>
  <c r="M648" i="3"/>
  <c r="A649" i="3"/>
  <c r="B649" i="3"/>
  <c r="C649" i="3"/>
  <c r="D649" i="3"/>
  <c r="E649" i="3"/>
  <c r="F649" i="3"/>
  <c r="G649" i="3"/>
  <c r="H649" i="3"/>
  <c r="I649" i="3"/>
  <c r="J649" i="3"/>
  <c r="K649" i="3"/>
  <c r="L649" i="3"/>
  <c r="M649" i="3"/>
  <c r="A650" i="3"/>
  <c r="B650" i="3"/>
  <c r="C650" i="3"/>
  <c r="D650" i="3"/>
  <c r="E650" i="3"/>
  <c r="F650" i="3"/>
  <c r="G650" i="3"/>
  <c r="H650" i="3"/>
  <c r="I650" i="3"/>
  <c r="J650" i="3"/>
  <c r="K650" i="3"/>
  <c r="L650" i="3"/>
  <c r="M650" i="3"/>
  <c r="A651" i="3"/>
  <c r="B651" i="3"/>
  <c r="C651" i="3"/>
  <c r="D651" i="3"/>
  <c r="E651" i="3"/>
  <c r="F651" i="3"/>
  <c r="G651" i="3"/>
  <c r="H651" i="3"/>
  <c r="I651" i="3"/>
  <c r="J651" i="3"/>
  <c r="K651" i="3"/>
  <c r="L651" i="3"/>
  <c r="M651" i="3"/>
  <c r="A652" i="3"/>
  <c r="B652" i="3"/>
  <c r="C652" i="3"/>
  <c r="D652" i="3"/>
  <c r="E652" i="3"/>
  <c r="F652" i="3"/>
  <c r="G652" i="3"/>
  <c r="H652" i="3"/>
  <c r="I652" i="3"/>
  <c r="J652" i="3"/>
  <c r="K652" i="3"/>
  <c r="L652" i="3"/>
  <c r="M652" i="3"/>
  <c r="A653" i="3"/>
  <c r="B653" i="3"/>
  <c r="C653" i="3"/>
  <c r="D653" i="3"/>
  <c r="E653" i="3"/>
  <c r="F653" i="3"/>
  <c r="G653" i="3"/>
  <c r="H653" i="3"/>
  <c r="I653" i="3"/>
  <c r="J653" i="3"/>
  <c r="K653" i="3"/>
  <c r="L653" i="3"/>
  <c r="M653" i="3"/>
  <c r="A654" i="3"/>
  <c r="B654" i="3"/>
  <c r="C654" i="3"/>
  <c r="D654" i="3"/>
  <c r="E654" i="3"/>
  <c r="F654" i="3"/>
  <c r="G654" i="3"/>
  <c r="H654" i="3"/>
  <c r="I654" i="3"/>
  <c r="J654" i="3"/>
  <c r="K654" i="3"/>
  <c r="L654" i="3"/>
  <c r="M654" i="3"/>
  <c r="A655" i="3"/>
  <c r="B655" i="3"/>
  <c r="C655" i="3"/>
  <c r="D655" i="3"/>
  <c r="E655" i="3"/>
  <c r="F655" i="3"/>
  <c r="G655" i="3"/>
  <c r="H655" i="3"/>
  <c r="I655" i="3"/>
  <c r="J655" i="3"/>
  <c r="K655" i="3"/>
  <c r="L655" i="3"/>
  <c r="M655" i="3"/>
  <c r="A656" i="3"/>
  <c r="B656" i="3"/>
  <c r="C656" i="3"/>
  <c r="D656" i="3"/>
  <c r="E656" i="3"/>
  <c r="F656" i="3"/>
  <c r="G656" i="3"/>
  <c r="H656" i="3"/>
  <c r="I656" i="3"/>
  <c r="J656" i="3"/>
  <c r="K656" i="3"/>
  <c r="L656" i="3"/>
  <c r="M656" i="3"/>
  <c r="A657" i="3"/>
  <c r="B657" i="3"/>
  <c r="C657" i="3"/>
  <c r="D657" i="3"/>
  <c r="E657" i="3"/>
  <c r="F657" i="3"/>
  <c r="G657" i="3"/>
  <c r="H657" i="3"/>
  <c r="I657" i="3"/>
  <c r="J657" i="3"/>
  <c r="K657" i="3"/>
  <c r="L657" i="3"/>
  <c r="M657" i="3"/>
  <c r="A658" i="3"/>
  <c r="B658" i="3"/>
  <c r="C658" i="3"/>
  <c r="D658" i="3"/>
  <c r="E658" i="3"/>
  <c r="F658" i="3"/>
  <c r="G658" i="3"/>
  <c r="H658" i="3"/>
  <c r="I658" i="3"/>
  <c r="J658" i="3"/>
  <c r="K658" i="3"/>
  <c r="L658" i="3"/>
  <c r="M658" i="3"/>
  <c r="A659" i="3"/>
  <c r="B659" i="3"/>
  <c r="C659" i="3"/>
  <c r="D659" i="3"/>
  <c r="E659" i="3"/>
  <c r="F659" i="3"/>
  <c r="G659" i="3"/>
  <c r="H659" i="3"/>
  <c r="I659" i="3"/>
  <c r="J659" i="3"/>
  <c r="K659" i="3"/>
  <c r="L659" i="3"/>
  <c r="M659" i="3"/>
  <c r="A660" i="3"/>
  <c r="B660" i="3"/>
  <c r="C660" i="3"/>
  <c r="D660" i="3"/>
  <c r="E660" i="3"/>
  <c r="F660" i="3"/>
  <c r="G660" i="3"/>
  <c r="H660" i="3"/>
  <c r="I660" i="3"/>
  <c r="J660" i="3"/>
  <c r="K660" i="3"/>
  <c r="L660" i="3"/>
  <c r="M660" i="3"/>
  <c r="A661" i="3"/>
  <c r="B661" i="3"/>
  <c r="C661" i="3"/>
  <c r="D661" i="3"/>
  <c r="E661" i="3"/>
  <c r="F661" i="3"/>
  <c r="G661" i="3"/>
  <c r="H661" i="3"/>
  <c r="I661" i="3"/>
  <c r="J661" i="3"/>
  <c r="K661" i="3"/>
  <c r="L661" i="3"/>
  <c r="M661" i="3"/>
  <c r="A662" i="3"/>
  <c r="B662" i="3"/>
  <c r="C662" i="3"/>
  <c r="D662" i="3"/>
  <c r="E662" i="3"/>
  <c r="F662" i="3"/>
  <c r="G662" i="3"/>
  <c r="H662" i="3"/>
  <c r="I662" i="3"/>
  <c r="J662" i="3"/>
  <c r="K662" i="3"/>
  <c r="L662" i="3"/>
  <c r="M662" i="3"/>
  <c r="A663" i="3"/>
  <c r="B663" i="3"/>
  <c r="C663" i="3"/>
  <c r="D663" i="3"/>
  <c r="E663" i="3"/>
  <c r="F663" i="3"/>
  <c r="G663" i="3"/>
  <c r="H663" i="3"/>
  <c r="I663" i="3"/>
  <c r="J663" i="3"/>
  <c r="K663" i="3"/>
  <c r="L663" i="3"/>
  <c r="M663" i="3"/>
  <c r="A664" i="3"/>
  <c r="B664" i="3"/>
  <c r="C664" i="3"/>
  <c r="D664" i="3"/>
  <c r="E664" i="3"/>
  <c r="F664" i="3"/>
  <c r="G664" i="3"/>
  <c r="H664" i="3"/>
  <c r="I664" i="3"/>
  <c r="J664" i="3"/>
  <c r="K664" i="3"/>
  <c r="L664" i="3"/>
  <c r="M664" i="3"/>
  <c r="A665" i="3"/>
  <c r="B665" i="3"/>
  <c r="C665" i="3"/>
  <c r="D665" i="3"/>
  <c r="E665" i="3"/>
  <c r="F665" i="3"/>
  <c r="G665" i="3"/>
  <c r="H665" i="3"/>
  <c r="I665" i="3"/>
  <c r="J665" i="3"/>
  <c r="K665" i="3"/>
  <c r="L665" i="3"/>
  <c r="M665" i="3"/>
  <c r="A666" i="3"/>
  <c r="B666" i="3"/>
  <c r="C666" i="3"/>
  <c r="D666" i="3"/>
  <c r="E666" i="3"/>
  <c r="F666" i="3"/>
  <c r="G666" i="3"/>
  <c r="H666" i="3"/>
  <c r="I666" i="3"/>
  <c r="J666" i="3"/>
  <c r="K666" i="3"/>
  <c r="L666" i="3"/>
  <c r="M666" i="3"/>
  <c r="A667" i="3"/>
  <c r="B667" i="3"/>
  <c r="C667" i="3"/>
  <c r="D667" i="3"/>
  <c r="E667" i="3"/>
  <c r="F667" i="3"/>
  <c r="G667" i="3"/>
  <c r="H667" i="3"/>
  <c r="I667" i="3"/>
  <c r="J667" i="3"/>
  <c r="K667" i="3"/>
  <c r="L667" i="3"/>
  <c r="M667" i="3"/>
  <c r="A668" i="3"/>
  <c r="B668" i="3"/>
  <c r="C668" i="3"/>
  <c r="D668" i="3"/>
  <c r="E668" i="3"/>
  <c r="F668" i="3"/>
  <c r="G668" i="3"/>
  <c r="H668" i="3"/>
  <c r="I668" i="3"/>
  <c r="J668" i="3"/>
  <c r="K668" i="3"/>
  <c r="L668" i="3"/>
  <c r="M668" i="3"/>
  <c r="A669" i="3"/>
  <c r="B669" i="3"/>
  <c r="C669" i="3"/>
  <c r="D669" i="3"/>
  <c r="E669" i="3"/>
  <c r="F669" i="3"/>
  <c r="G669" i="3"/>
  <c r="H669" i="3"/>
  <c r="I669" i="3"/>
  <c r="J669" i="3"/>
  <c r="K669" i="3"/>
  <c r="L669" i="3"/>
  <c r="M669" i="3"/>
  <c r="A670" i="3"/>
  <c r="B670" i="3"/>
  <c r="C670" i="3"/>
  <c r="D670" i="3"/>
  <c r="E670" i="3"/>
  <c r="F670" i="3"/>
  <c r="G670" i="3"/>
  <c r="H670" i="3"/>
  <c r="I670" i="3"/>
  <c r="J670" i="3"/>
  <c r="K670" i="3"/>
  <c r="L670" i="3"/>
  <c r="M670" i="3"/>
  <c r="A671" i="3"/>
  <c r="B671" i="3"/>
  <c r="C671" i="3"/>
  <c r="D671" i="3"/>
  <c r="E671" i="3"/>
  <c r="F671" i="3"/>
  <c r="G671" i="3"/>
  <c r="H671" i="3"/>
  <c r="I671" i="3"/>
  <c r="J671" i="3"/>
  <c r="K671" i="3"/>
  <c r="L671" i="3"/>
  <c r="M671" i="3"/>
  <c r="A672" i="3"/>
  <c r="B672" i="3"/>
  <c r="C672" i="3"/>
  <c r="D672" i="3"/>
  <c r="E672" i="3"/>
  <c r="F672" i="3"/>
  <c r="G672" i="3"/>
  <c r="H672" i="3"/>
  <c r="I672" i="3"/>
  <c r="J672" i="3"/>
  <c r="K672" i="3"/>
  <c r="L672" i="3"/>
  <c r="M672" i="3"/>
  <c r="A673" i="3"/>
  <c r="B673" i="3"/>
  <c r="C673" i="3"/>
  <c r="D673" i="3"/>
  <c r="E673" i="3"/>
  <c r="F673" i="3"/>
  <c r="G673" i="3"/>
  <c r="H673" i="3"/>
  <c r="I673" i="3"/>
  <c r="J673" i="3"/>
  <c r="K673" i="3"/>
  <c r="L673" i="3"/>
  <c r="M673" i="3"/>
  <c r="A674" i="3"/>
  <c r="B674" i="3"/>
  <c r="C674" i="3"/>
  <c r="D674" i="3"/>
  <c r="E674" i="3"/>
  <c r="F674" i="3"/>
  <c r="G674" i="3"/>
  <c r="H674" i="3"/>
  <c r="I674" i="3"/>
  <c r="J674" i="3"/>
  <c r="K674" i="3"/>
  <c r="L674" i="3"/>
  <c r="M674" i="3"/>
  <c r="A675" i="3"/>
  <c r="B675" i="3"/>
  <c r="C675" i="3"/>
  <c r="D675" i="3"/>
  <c r="E675" i="3"/>
  <c r="F675" i="3"/>
  <c r="G675" i="3"/>
  <c r="H675" i="3"/>
  <c r="I675" i="3"/>
  <c r="J675" i="3"/>
  <c r="K675" i="3"/>
  <c r="L675" i="3"/>
  <c r="M675" i="3"/>
  <c r="A676" i="3"/>
  <c r="B676" i="3"/>
  <c r="C676" i="3"/>
  <c r="D676" i="3"/>
  <c r="E676" i="3"/>
  <c r="F676" i="3"/>
  <c r="G676" i="3"/>
  <c r="H676" i="3"/>
  <c r="I676" i="3"/>
  <c r="J676" i="3"/>
  <c r="K676" i="3"/>
  <c r="L676" i="3"/>
  <c r="M676" i="3"/>
  <c r="A677" i="3"/>
  <c r="B677" i="3"/>
  <c r="C677" i="3"/>
  <c r="D677" i="3"/>
  <c r="E677" i="3"/>
  <c r="F677" i="3"/>
  <c r="G677" i="3"/>
  <c r="H677" i="3"/>
  <c r="I677" i="3"/>
  <c r="J677" i="3"/>
  <c r="K677" i="3"/>
  <c r="L677" i="3"/>
  <c r="M677" i="3"/>
  <c r="A678" i="3"/>
  <c r="B678" i="3"/>
  <c r="C678" i="3"/>
  <c r="D678" i="3"/>
  <c r="E678" i="3"/>
  <c r="F678" i="3"/>
  <c r="G678" i="3"/>
  <c r="H678" i="3"/>
  <c r="I678" i="3"/>
  <c r="J678" i="3"/>
  <c r="K678" i="3"/>
  <c r="L678" i="3"/>
  <c r="M678" i="3"/>
  <c r="A679" i="3"/>
  <c r="B679" i="3"/>
  <c r="C679" i="3"/>
  <c r="D679" i="3"/>
  <c r="E679" i="3"/>
  <c r="F679" i="3"/>
  <c r="G679" i="3"/>
  <c r="H679" i="3"/>
  <c r="I679" i="3"/>
  <c r="J679" i="3"/>
  <c r="K679" i="3"/>
  <c r="L679" i="3"/>
  <c r="M679" i="3"/>
  <c r="A680" i="3"/>
  <c r="B680" i="3"/>
  <c r="C680" i="3"/>
  <c r="D680" i="3"/>
  <c r="E680" i="3"/>
  <c r="F680" i="3"/>
  <c r="G680" i="3"/>
  <c r="H680" i="3"/>
  <c r="I680" i="3"/>
  <c r="J680" i="3"/>
  <c r="K680" i="3"/>
  <c r="L680" i="3"/>
  <c r="M680" i="3"/>
  <c r="A681" i="3"/>
  <c r="B681" i="3"/>
  <c r="C681" i="3"/>
  <c r="D681" i="3"/>
  <c r="E681" i="3"/>
  <c r="F681" i="3"/>
  <c r="G681" i="3"/>
  <c r="H681" i="3"/>
  <c r="I681" i="3"/>
  <c r="J681" i="3"/>
  <c r="K681" i="3"/>
  <c r="L681" i="3"/>
  <c r="M681" i="3"/>
  <c r="A682" i="3"/>
  <c r="B682" i="3"/>
  <c r="C682" i="3"/>
  <c r="D682" i="3"/>
  <c r="E682" i="3"/>
  <c r="F682" i="3"/>
  <c r="G682" i="3"/>
  <c r="H682" i="3"/>
  <c r="I682" i="3"/>
  <c r="J682" i="3"/>
  <c r="K682" i="3"/>
  <c r="L682" i="3"/>
  <c r="M682" i="3"/>
  <c r="A683" i="3"/>
  <c r="B683" i="3"/>
  <c r="C683" i="3"/>
  <c r="D683" i="3"/>
  <c r="E683" i="3"/>
  <c r="F683" i="3"/>
  <c r="G683" i="3"/>
  <c r="H683" i="3"/>
  <c r="I683" i="3"/>
  <c r="J683" i="3"/>
  <c r="K683" i="3"/>
  <c r="L683" i="3"/>
  <c r="M683" i="3"/>
  <c r="A684" i="3"/>
  <c r="B684" i="3"/>
  <c r="C684" i="3"/>
  <c r="D684" i="3"/>
  <c r="E684" i="3"/>
  <c r="F684" i="3"/>
  <c r="G684" i="3"/>
  <c r="H684" i="3"/>
  <c r="I684" i="3"/>
  <c r="J684" i="3"/>
  <c r="K684" i="3"/>
  <c r="L684" i="3"/>
  <c r="M684" i="3"/>
  <c r="A685" i="3"/>
  <c r="B685" i="3"/>
  <c r="C685" i="3"/>
  <c r="D685" i="3"/>
  <c r="E685" i="3"/>
  <c r="F685" i="3"/>
  <c r="G685" i="3"/>
  <c r="H685" i="3"/>
  <c r="I685" i="3"/>
  <c r="J685" i="3"/>
  <c r="K685" i="3"/>
  <c r="L685" i="3"/>
  <c r="M685" i="3"/>
  <c r="A686" i="3"/>
  <c r="B686" i="3"/>
  <c r="C686" i="3"/>
  <c r="D686" i="3"/>
  <c r="E686" i="3"/>
  <c r="F686" i="3"/>
  <c r="G686" i="3"/>
  <c r="H686" i="3"/>
  <c r="I686" i="3"/>
  <c r="J686" i="3"/>
  <c r="K686" i="3"/>
  <c r="L686" i="3"/>
  <c r="M686" i="3"/>
  <c r="A687" i="3"/>
  <c r="B687" i="3"/>
  <c r="C687" i="3"/>
  <c r="D687" i="3"/>
  <c r="E687" i="3"/>
  <c r="F687" i="3"/>
  <c r="G687" i="3"/>
  <c r="H687" i="3"/>
  <c r="I687" i="3"/>
  <c r="J687" i="3"/>
  <c r="K687" i="3"/>
  <c r="L687" i="3"/>
  <c r="M687" i="3"/>
  <c r="A688" i="3"/>
  <c r="B688" i="3"/>
  <c r="C688" i="3"/>
  <c r="D688" i="3"/>
  <c r="E688" i="3"/>
  <c r="F688" i="3"/>
  <c r="G688" i="3"/>
  <c r="H688" i="3"/>
  <c r="I688" i="3"/>
  <c r="J688" i="3"/>
  <c r="K688" i="3"/>
  <c r="L688" i="3"/>
  <c r="M688" i="3"/>
  <c r="A689" i="3"/>
  <c r="B689" i="3"/>
  <c r="C689" i="3"/>
  <c r="D689" i="3"/>
  <c r="E689" i="3"/>
  <c r="F689" i="3"/>
  <c r="G689" i="3"/>
  <c r="H689" i="3"/>
  <c r="I689" i="3"/>
  <c r="J689" i="3"/>
  <c r="K689" i="3"/>
  <c r="L689" i="3"/>
  <c r="M689" i="3"/>
  <c r="A690" i="3"/>
  <c r="B690" i="3"/>
  <c r="C690" i="3"/>
  <c r="D690" i="3"/>
  <c r="E690" i="3"/>
  <c r="F690" i="3"/>
  <c r="G690" i="3"/>
  <c r="H690" i="3"/>
  <c r="I690" i="3"/>
  <c r="J690" i="3"/>
  <c r="K690" i="3"/>
  <c r="L690" i="3"/>
  <c r="M690" i="3"/>
  <c r="A691" i="3"/>
  <c r="B691" i="3"/>
  <c r="C691" i="3"/>
  <c r="D691" i="3"/>
  <c r="E691" i="3"/>
  <c r="F691" i="3"/>
  <c r="G691" i="3"/>
  <c r="H691" i="3"/>
  <c r="I691" i="3"/>
  <c r="J691" i="3"/>
  <c r="K691" i="3"/>
  <c r="L691" i="3"/>
  <c r="M691" i="3"/>
  <c r="A692" i="3"/>
  <c r="B692" i="3"/>
  <c r="C692" i="3"/>
  <c r="D692" i="3"/>
  <c r="E692" i="3"/>
  <c r="F692" i="3"/>
  <c r="G692" i="3"/>
  <c r="H692" i="3"/>
  <c r="I692" i="3"/>
  <c r="J692" i="3"/>
  <c r="K692" i="3"/>
  <c r="L692" i="3"/>
  <c r="M692" i="3"/>
  <c r="A693" i="3"/>
  <c r="B693" i="3"/>
  <c r="C693" i="3"/>
  <c r="D693" i="3"/>
  <c r="E693" i="3"/>
  <c r="F693" i="3"/>
  <c r="G693" i="3"/>
  <c r="H693" i="3"/>
  <c r="I693" i="3"/>
  <c r="J693" i="3"/>
  <c r="K693" i="3"/>
  <c r="L693" i="3"/>
  <c r="M693" i="3"/>
  <c r="A694" i="3"/>
  <c r="B694" i="3"/>
  <c r="C694" i="3"/>
  <c r="D694" i="3"/>
  <c r="E694" i="3"/>
  <c r="F694" i="3"/>
  <c r="G694" i="3"/>
  <c r="H694" i="3"/>
  <c r="I694" i="3"/>
  <c r="J694" i="3"/>
  <c r="K694" i="3"/>
  <c r="L694" i="3"/>
  <c r="M694" i="3"/>
  <c r="A695" i="3"/>
  <c r="B695" i="3"/>
  <c r="C695" i="3"/>
  <c r="D695" i="3"/>
  <c r="E695" i="3"/>
  <c r="F695" i="3"/>
  <c r="G695" i="3"/>
  <c r="H695" i="3"/>
  <c r="I695" i="3"/>
  <c r="J695" i="3"/>
  <c r="K695" i="3"/>
  <c r="L695" i="3"/>
  <c r="M695" i="3"/>
  <c r="A696" i="3"/>
  <c r="B696" i="3"/>
  <c r="C696" i="3"/>
  <c r="D696" i="3"/>
  <c r="E696" i="3"/>
  <c r="F696" i="3"/>
  <c r="G696" i="3"/>
  <c r="H696" i="3"/>
  <c r="I696" i="3"/>
  <c r="J696" i="3"/>
  <c r="K696" i="3"/>
  <c r="L696" i="3"/>
  <c r="M696" i="3"/>
  <c r="A697" i="3"/>
  <c r="B697" i="3"/>
  <c r="C697" i="3"/>
  <c r="D697" i="3"/>
  <c r="E697" i="3"/>
  <c r="F697" i="3"/>
  <c r="G697" i="3"/>
  <c r="H697" i="3"/>
  <c r="I697" i="3"/>
  <c r="J697" i="3"/>
  <c r="K697" i="3"/>
  <c r="L697" i="3"/>
  <c r="M697" i="3"/>
  <c r="A698" i="3"/>
  <c r="B698" i="3"/>
  <c r="C698" i="3"/>
  <c r="D698" i="3"/>
  <c r="E698" i="3"/>
  <c r="F698" i="3"/>
  <c r="G698" i="3"/>
  <c r="H698" i="3"/>
  <c r="I698" i="3"/>
  <c r="J698" i="3"/>
  <c r="K698" i="3"/>
  <c r="L698" i="3"/>
  <c r="M698" i="3"/>
  <c r="A699" i="3"/>
  <c r="B699" i="3"/>
  <c r="C699" i="3"/>
  <c r="D699" i="3"/>
  <c r="E699" i="3"/>
  <c r="F699" i="3"/>
  <c r="G699" i="3"/>
  <c r="H699" i="3"/>
  <c r="I699" i="3"/>
  <c r="J699" i="3"/>
  <c r="K699" i="3"/>
  <c r="L699" i="3"/>
  <c r="M699" i="3"/>
  <c r="A700" i="3"/>
  <c r="B700" i="3"/>
  <c r="C700" i="3"/>
  <c r="D700" i="3"/>
  <c r="E700" i="3"/>
  <c r="F700" i="3"/>
  <c r="G700" i="3"/>
  <c r="H700" i="3"/>
  <c r="I700" i="3"/>
  <c r="J700" i="3"/>
  <c r="K700" i="3"/>
  <c r="L700" i="3"/>
  <c r="M700" i="3"/>
  <c r="A701" i="3"/>
  <c r="B701" i="3"/>
  <c r="C701" i="3"/>
  <c r="D701" i="3"/>
  <c r="E701" i="3"/>
  <c r="F701" i="3"/>
  <c r="G701" i="3"/>
  <c r="H701" i="3"/>
  <c r="I701" i="3"/>
  <c r="J701" i="3"/>
  <c r="K701" i="3"/>
  <c r="L701" i="3"/>
  <c r="M701" i="3"/>
  <c r="A702" i="3"/>
  <c r="B702" i="3"/>
  <c r="C702" i="3"/>
  <c r="D702" i="3"/>
  <c r="E702" i="3"/>
  <c r="F702" i="3"/>
  <c r="G702" i="3"/>
  <c r="H702" i="3"/>
  <c r="I702" i="3"/>
  <c r="J702" i="3"/>
  <c r="K702" i="3"/>
  <c r="L702" i="3"/>
  <c r="M702" i="3"/>
  <c r="A703" i="3"/>
  <c r="B703" i="3"/>
  <c r="C703" i="3"/>
  <c r="D703" i="3"/>
  <c r="E703" i="3"/>
  <c r="F703" i="3"/>
  <c r="G703" i="3"/>
  <c r="H703" i="3"/>
  <c r="I703" i="3"/>
  <c r="J703" i="3"/>
  <c r="K703" i="3"/>
  <c r="L703" i="3"/>
  <c r="M703" i="3"/>
  <c r="A704" i="3"/>
  <c r="B704" i="3"/>
  <c r="C704" i="3"/>
  <c r="D704" i="3"/>
  <c r="E704" i="3"/>
  <c r="F704" i="3"/>
  <c r="G704" i="3"/>
  <c r="H704" i="3"/>
  <c r="I704" i="3"/>
  <c r="J704" i="3"/>
  <c r="K704" i="3"/>
  <c r="L704" i="3"/>
  <c r="M704" i="3"/>
  <c r="A705" i="3"/>
  <c r="B705" i="3"/>
  <c r="C705" i="3"/>
  <c r="D705" i="3"/>
  <c r="E705" i="3"/>
  <c r="F705" i="3"/>
  <c r="G705" i="3"/>
  <c r="H705" i="3"/>
  <c r="I705" i="3"/>
  <c r="J705" i="3"/>
  <c r="K705" i="3"/>
  <c r="L705" i="3"/>
  <c r="M705" i="3"/>
  <c r="A706" i="3"/>
  <c r="B706" i="3"/>
  <c r="C706" i="3"/>
  <c r="D706" i="3"/>
  <c r="E706" i="3"/>
  <c r="F706" i="3"/>
  <c r="G706" i="3"/>
  <c r="H706" i="3"/>
  <c r="I706" i="3"/>
  <c r="J706" i="3"/>
  <c r="K706" i="3"/>
  <c r="L706" i="3"/>
  <c r="M706" i="3"/>
  <c r="A707" i="3"/>
  <c r="B707" i="3"/>
  <c r="C707" i="3"/>
  <c r="D707" i="3"/>
  <c r="E707" i="3"/>
  <c r="F707" i="3"/>
  <c r="G707" i="3"/>
  <c r="H707" i="3"/>
  <c r="I707" i="3"/>
  <c r="J707" i="3"/>
  <c r="K707" i="3"/>
  <c r="L707" i="3"/>
  <c r="M707" i="3"/>
  <c r="A708" i="3"/>
  <c r="B708" i="3"/>
  <c r="C708" i="3"/>
  <c r="D708" i="3"/>
  <c r="E708" i="3"/>
  <c r="F708" i="3"/>
  <c r="G708" i="3"/>
  <c r="H708" i="3"/>
  <c r="I708" i="3"/>
  <c r="J708" i="3"/>
  <c r="K708" i="3"/>
  <c r="L708" i="3"/>
  <c r="M708" i="3"/>
  <c r="A709" i="3"/>
  <c r="B709" i="3"/>
  <c r="C709" i="3"/>
  <c r="D709" i="3"/>
  <c r="E709" i="3"/>
  <c r="F709" i="3"/>
  <c r="G709" i="3"/>
  <c r="H709" i="3"/>
  <c r="I709" i="3"/>
  <c r="J709" i="3"/>
  <c r="K709" i="3"/>
  <c r="L709" i="3"/>
  <c r="M709" i="3"/>
  <c r="A710" i="3"/>
  <c r="B710" i="3"/>
  <c r="C710" i="3"/>
  <c r="D710" i="3"/>
  <c r="E710" i="3"/>
  <c r="F710" i="3"/>
  <c r="G710" i="3"/>
  <c r="H710" i="3"/>
  <c r="I710" i="3"/>
  <c r="J710" i="3"/>
  <c r="K710" i="3"/>
  <c r="L710" i="3"/>
  <c r="M710" i="3"/>
  <c r="A711" i="3"/>
  <c r="B711" i="3"/>
  <c r="C711" i="3"/>
  <c r="D711" i="3"/>
  <c r="E711" i="3"/>
  <c r="F711" i="3"/>
  <c r="G711" i="3"/>
  <c r="H711" i="3"/>
  <c r="I711" i="3"/>
  <c r="J711" i="3"/>
  <c r="K711" i="3"/>
  <c r="L711" i="3"/>
  <c r="M711" i="3"/>
  <c r="A712" i="3"/>
  <c r="B712" i="3"/>
  <c r="C712" i="3"/>
  <c r="D712" i="3"/>
  <c r="E712" i="3"/>
  <c r="F712" i="3"/>
  <c r="G712" i="3"/>
  <c r="H712" i="3"/>
  <c r="I712" i="3"/>
  <c r="J712" i="3"/>
  <c r="K712" i="3"/>
  <c r="L712" i="3"/>
  <c r="M712" i="3"/>
  <c r="A713" i="3"/>
  <c r="B713" i="3"/>
  <c r="C713" i="3"/>
  <c r="D713" i="3"/>
  <c r="E713" i="3"/>
  <c r="F713" i="3"/>
  <c r="G713" i="3"/>
  <c r="H713" i="3"/>
  <c r="I713" i="3"/>
  <c r="J713" i="3"/>
  <c r="K713" i="3"/>
  <c r="L713" i="3"/>
  <c r="M713" i="3"/>
  <c r="A714" i="3"/>
  <c r="B714" i="3"/>
  <c r="C714" i="3"/>
  <c r="D714" i="3"/>
  <c r="E714" i="3"/>
  <c r="F714" i="3"/>
  <c r="G714" i="3"/>
  <c r="H714" i="3"/>
  <c r="I714" i="3"/>
  <c r="J714" i="3"/>
  <c r="K714" i="3"/>
  <c r="L714" i="3"/>
  <c r="M714" i="3"/>
  <c r="A715" i="3"/>
  <c r="B715" i="3"/>
  <c r="C715" i="3"/>
  <c r="D715" i="3"/>
  <c r="E715" i="3"/>
  <c r="F715" i="3"/>
  <c r="G715" i="3"/>
  <c r="H715" i="3"/>
  <c r="I715" i="3"/>
  <c r="J715" i="3"/>
  <c r="K715" i="3"/>
  <c r="L715" i="3"/>
  <c r="M715" i="3"/>
  <c r="A716" i="3"/>
  <c r="B716" i="3"/>
  <c r="C716" i="3"/>
  <c r="D716" i="3"/>
  <c r="E716" i="3"/>
  <c r="F716" i="3"/>
  <c r="G716" i="3"/>
  <c r="H716" i="3"/>
  <c r="I716" i="3"/>
  <c r="J716" i="3"/>
  <c r="K716" i="3"/>
  <c r="L716" i="3"/>
  <c r="M716" i="3"/>
  <c r="A717" i="3"/>
  <c r="B717" i="3"/>
  <c r="C717" i="3"/>
  <c r="D717" i="3"/>
  <c r="E717" i="3"/>
  <c r="F717" i="3"/>
  <c r="G717" i="3"/>
  <c r="H717" i="3"/>
  <c r="I717" i="3"/>
  <c r="J717" i="3"/>
  <c r="K717" i="3"/>
  <c r="L717" i="3"/>
  <c r="M717" i="3"/>
  <c r="A718" i="3"/>
  <c r="B718" i="3"/>
  <c r="C718" i="3"/>
  <c r="D718" i="3"/>
  <c r="E718" i="3"/>
  <c r="F718" i="3"/>
  <c r="G718" i="3"/>
  <c r="H718" i="3"/>
  <c r="I718" i="3"/>
  <c r="J718" i="3"/>
  <c r="K718" i="3"/>
  <c r="L718" i="3"/>
  <c r="M718" i="3"/>
  <c r="A719" i="3"/>
  <c r="B719" i="3"/>
  <c r="C719" i="3"/>
  <c r="D719" i="3"/>
  <c r="E719" i="3"/>
  <c r="F719" i="3"/>
  <c r="G719" i="3"/>
  <c r="H719" i="3"/>
  <c r="I719" i="3"/>
  <c r="J719" i="3"/>
  <c r="K719" i="3"/>
  <c r="L719" i="3"/>
  <c r="M719" i="3"/>
  <c r="A720" i="3"/>
  <c r="B720" i="3"/>
  <c r="C720" i="3"/>
  <c r="D720" i="3"/>
  <c r="E720" i="3"/>
  <c r="F720" i="3"/>
  <c r="G720" i="3"/>
  <c r="H720" i="3"/>
  <c r="I720" i="3"/>
  <c r="J720" i="3"/>
  <c r="K720" i="3"/>
  <c r="L720" i="3"/>
  <c r="M720" i="3"/>
  <c r="A721" i="3"/>
  <c r="B721" i="3"/>
  <c r="C721" i="3"/>
  <c r="D721" i="3"/>
  <c r="E721" i="3"/>
  <c r="F721" i="3"/>
  <c r="G721" i="3"/>
  <c r="H721" i="3"/>
  <c r="I721" i="3"/>
  <c r="J721" i="3"/>
  <c r="K721" i="3"/>
  <c r="L721" i="3"/>
  <c r="M721" i="3"/>
  <c r="A722" i="3"/>
  <c r="B722" i="3"/>
  <c r="C722" i="3"/>
  <c r="D722" i="3"/>
  <c r="E722" i="3"/>
  <c r="F722" i="3"/>
  <c r="G722" i="3"/>
  <c r="H722" i="3"/>
  <c r="I722" i="3"/>
  <c r="J722" i="3"/>
  <c r="K722" i="3"/>
  <c r="L722" i="3"/>
  <c r="M722" i="3"/>
  <c r="A723" i="3"/>
  <c r="B723" i="3"/>
  <c r="C723" i="3"/>
  <c r="D723" i="3"/>
  <c r="E723" i="3"/>
  <c r="F723" i="3"/>
  <c r="G723" i="3"/>
  <c r="H723" i="3"/>
  <c r="I723" i="3"/>
  <c r="J723" i="3"/>
  <c r="K723" i="3"/>
  <c r="L723" i="3"/>
  <c r="M723" i="3"/>
  <c r="A724" i="3"/>
  <c r="B724" i="3"/>
  <c r="C724" i="3"/>
  <c r="D724" i="3"/>
  <c r="E724" i="3"/>
  <c r="F724" i="3"/>
  <c r="G724" i="3"/>
  <c r="H724" i="3"/>
  <c r="I724" i="3"/>
  <c r="J724" i="3"/>
  <c r="K724" i="3"/>
  <c r="L724" i="3"/>
  <c r="M724" i="3"/>
  <c r="A725" i="3"/>
  <c r="B725" i="3"/>
  <c r="C725" i="3"/>
  <c r="D725" i="3"/>
  <c r="E725" i="3"/>
  <c r="F725" i="3"/>
  <c r="G725" i="3"/>
  <c r="H725" i="3"/>
  <c r="I725" i="3"/>
  <c r="J725" i="3"/>
  <c r="K725" i="3"/>
  <c r="L725" i="3"/>
  <c r="M725" i="3"/>
  <c r="A726" i="3"/>
  <c r="B726" i="3"/>
  <c r="C726" i="3"/>
  <c r="D726" i="3"/>
  <c r="E726" i="3"/>
  <c r="F726" i="3"/>
  <c r="G726" i="3"/>
  <c r="H726" i="3"/>
  <c r="I726" i="3"/>
  <c r="J726" i="3"/>
  <c r="K726" i="3"/>
  <c r="L726" i="3"/>
  <c r="M726" i="3"/>
  <c r="A727" i="3"/>
  <c r="B727" i="3"/>
  <c r="C727" i="3"/>
  <c r="D727" i="3"/>
  <c r="E727" i="3"/>
  <c r="F727" i="3"/>
  <c r="G727" i="3"/>
  <c r="H727" i="3"/>
  <c r="I727" i="3"/>
  <c r="J727" i="3"/>
  <c r="K727" i="3"/>
  <c r="L727" i="3"/>
  <c r="M727" i="3"/>
  <c r="A728" i="3"/>
  <c r="B728" i="3"/>
  <c r="C728" i="3"/>
  <c r="D728" i="3"/>
  <c r="E728" i="3"/>
  <c r="F728" i="3"/>
  <c r="G728" i="3"/>
  <c r="H728" i="3"/>
  <c r="I728" i="3"/>
  <c r="J728" i="3"/>
  <c r="K728" i="3"/>
  <c r="L728" i="3"/>
  <c r="M728" i="3"/>
  <c r="A729" i="3"/>
  <c r="B729" i="3"/>
  <c r="C729" i="3"/>
  <c r="D729" i="3"/>
  <c r="E729" i="3"/>
  <c r="F729" i="3"/>
  <c r="G729" i="3"/>
  <c r="H729" i="3"/>
  <c r="I729" i="3"/>
  <c r="J729" i="3"/>
  <c r="K729" i="3"/>
  <c r="L729" i="3"/>
  <c r="M729" i="3"/>
  <c r="A730" i="3"/>
  <c r="B730" i="3"/>
  <c r="C730" i="3"/>
  <c r="D730" i="3"/>
  <c r="E730" i="3"/>
  <c r="F730" i="3"/>
  <c r="G730" i="3"/>
  <c r="H730" i="3"/>
  <c r="I730" i="3"/>
  <c r="J730" i="3"/>
  <c r="K730" i="3"/>
  <c r="L730" i="3"/>
  <c r="M730" i="3"/>
  <c r="A731" i="3"/>
  <c r="B731" i="3"/>
  <c r="C731" i="3"/>
  <c r="D731" i="3"/>
  <c r="E731" i="3"/>
  <c r="F731" i="3"/>
  <c r="G731" i="3"/>
  <c r="H731" i="3"/>
  <c r="I731" i="3"/>
  <c r="J731" i="3"/>
  <c r="K731" i="3"/>
  <c r="L731" i="3"/>
  <c r="M731" i="3"/>
  <c r="A732" i="3"/>
  <c r="B732" i="3"/>
  <c r="C732" i="3"/>
  <c r="D732" i="3"/>
  <c r="E732" i="3"/>
  <c r="F732" i="3"/>
  <c r="G732" i="3"/>
  <c r="H732" i="3"/>
  <c r="I732" i="3"/>
  <c r="J732" i="3"/>
  <c r="K732" i="3"/>
  <c r="L732" i="3"/>
  <c r="M732" i="3"/>
  <c r="A733" i="3"/>
  <c r="B733" i="3"/>
  <c r="C733" i="3"/>
  <c r="D733" i="3"/>
  <c r="E733" i="3"/>
  <c r="F733" i="3"/>
  <c r="G733" i="3"/>
  <c r="H733" i="3"/>
  <c r="I733" i="3"/>
  <c r="J733" i="3"/>
  <c r="K733" i="3"/>
  <c r="L733" i="3"/>
  <c r="M733" i="3"/>
  <c r="A734" i="3"/>
  <c r="B734" i="3"/>
  <c r="C734" i="3"/>
  <c r="D734" i="3"/>
  <c r="E734" i="3"/>
  <c r="F734" i="3"/>
  <c r="G734" i="3"/>
  <c r="H734" i="3"/>
  <c r="I734" i="3"/>
  <c r="J734" i="3"/>
  <c r="K734" i="3"/>
  <c r="L734" i="3"/>
  <c r="M734" i="3"/>
  <c r="A735" i="3"/>
  <c r="B735" i="3"/>
  <c r="C735" i="3"/>
  <c r="D735" i="3"/>
  <c r="E735" i="3"/>
  <c r="F735" i="3"/>
  <c r="G735" i="3"/>
  <c r="H735" i="3"/>
  <c r="I735" i="3"/>
  <c r="J735" i="3"/>
  <c r="K735" i="3"/>
  <c r="L735" i="3"/>
  <c r="M735" i="3"/>
  <c r="A736" i="3"/>
  <c r="B736" i="3"/>
  <c r="C736" i="3"/>
  <c r="D736" i="3"/>
  <c r="E736" i="3"/>
  <c r="F736" i="3"/>
  <c r="G736" i="3"/>
  <c r="H736" i="3"/>
  <c r="I736" i="3"/>
  <c r="J736" i="3"/>
  <c r="K736" i="3"/>
  <c r="L736" i="3"/>
  <c r="M736" i="3"/>
  <c r="A737" i="3"/>
  <c r="B737" i="3"/>
  <c r="C737" i="3"/>
  <c r="D737" i="3"/>
  <c r="E737" i="3"/>
  <c r="F737" i="3"/>
  <c r="G737" i="3"/>
  <c r="H737" i="3"/>
  <c r="I737" i="3"/>
  <c r="J737" i="3"/>
  <c r="K737" i="3"/>
  <c r="L737" i="3"/>
  <c r="M737" i="3"/>
  <c r="A738" i="3"/>
  <c r="B738" i="3"/>
  <c r="C738" i="3"/>
  <c r="D738" i="3"/>
  <c r="E738" i="3"/>
  <c r="F738" i="3"/>
  <c r="G738" i="3"/>
  <c r="H738" i="3"/>
  <c r="I738" i="3"/>
  <c r="J738" i="3"/>
  <c r="K738" i="3"/>
  <c r="L738" i="3"/>
  <c r="M738" i="3"/>
  <c r="A739" i="3"/>
  <c r="B739" i="3"/>
  <c r="C739" i="3"/>
  <c r="D739" i="3"/>
  <c r="E739" i="3"/>
  <c r="F739" i="3"/>
  <c r="G739" i="3"/>
  <c r="H739" i="3"/>
  <c r="I739" i="3"/>
  <c r="J739" i="3"/>
  <c r="K739" i="3"/>
  <c r="L739" i="3"/>
  <c r="M739" i="3"/>
  <c r="A740" i="3"/>
  <c r="B740" i="3"/>
  <c r="C740" i="3"/>
  <c r="D740" i="3"/>
  <c r="E740" i="3"/>
  <c r="F740" i="3"/>
  <c r="G740" i="3"/>
  <c r="H740" i="3"/>
  <c r="I740" i="3"/>
  <c r="J740" i="3"/>
  <c r="K740" i="3"/>
  <c r="L740" i="3"/>
  <c r="M740" i="3"/>
  <c r="A741" i="3"/>
  <c r="B741" i="3"/>
  <c r="C741" i="3"/>
  <c r="D741" i="3"/>
  <c r="E741" i="3"/>
  <c r="F741" i="3"/>
  <c r="G741" i="3"/>
  <c r="H741" i="3"/>
  <c r="I741" i="3"/>
  <c r="J741" i="3"/>
  <c r="K741" i="3"/>
  <c r="L741" i="3"/>
  <c r="M741" i="3"/>
  <c r="A742" i="3"/>
  <c r="B742" i="3"/>
  <c r="C742" i="3"/>
  <c r="D742" i="3"/>
  <c r="E742" i="3"/>
  <c r="F742" i="3"/>
  <c r="G742" i="3"/>
  <c r="H742" i="3"/>
  <c r="I742" i="3"/>
  <c r="J742" i="3"/>
  <c r="K742" i="3"/>
  <c r="L742" i="3"/>
  <c r="M742" i="3"/>
  <c r="A743" i="3"/>
  <c r="B743" i="3"/>
  <c r="C743" i="3"/>
  <c r="D743" i="3"/>
  <c r="E743" i="3"/>
  <c r="F743" i="3"/>
  <c r="G743" i="3"/>
  <c r="H743" i="3"/>
  <c r="I743" i="3"/>
  <c r="J743" i="3"/>
  <c r="K743" i="3"/>
  <c r="L743" i="3"/>
  <c r="M743" i="3"/>
  <c r="A744" i="3"/>
  <c r="B744" i="3"/>
  <c r="C744" i="3"/>
  <c r="D744" i="3"/>
  <c r="E744" i="3"/>
  <c r="F744" i="3"/>
  <c r="G744" i="3"/>
  <c r="H744" i="3"/>
  <c r="I744" i="3"/>
  <c r="J744" i="3"/>
  <c r="K744" i="3"/>
  <c r="L744" i="3"/>
  <c r="M744" i="3"/>
  <c r="A745" i="3"/>
  <c r="B745" i="3"/>
  <c r="C745" i="3"/>
  <c r="D745" i="3"/>
  <c r="E745" i="3"/>
  <c r="F745" i="3"/>
  <c r="G745" i="3"/>
  <c r="H745" i="3"/>
  <c r="I745" i="3"/>
  <c r="J745" i="3"/>
  <c r="K745" i="3"/>
  <c r="L745" i="3"/>
  <c r="M745" i="3"/>
  <c r="A746" i="3"/>
  <c r="B746" i="3"/>
  <c r="C746" i="3"/>
  <c r="D746" i="3"/>
  <c r="E746" i="3"/>
  <c r="F746" i="3"/>
  <c r="G746" i="3"/>
  <c r="H746" i="3"/>
  <c r="I746" i="3"/>
  <c r="J746" i="3"/>
  <c r="K746" i="3"/>
  <c r="L746" i="3"/>
  <c r="M746" i="3"/>
  <c r="A747" i="3"/>
  <c r="B747" i="3"/>
  <c r="C747" i="3"/>
  <c r="D747" i="3"/>
  <c r="E747" i="3"/>
  <c r="F747" i="3"/>
  <c r="G747" i="3"/>
  <c r="H747" i="3"/>
  <c r="I747" i="3"/>
  <c r="J747" i="3"/>
  <c r="K747" i="3"/>
  <c r="L747" i="3"/>
  <c r="M747" i="3"/>
  <c r="A748" i="3"/>
  <c r="B748" i="3"/>
  <c r="C748" i="3"/>
  <c r="D748" i="3"/>
  <c r="E748" i="3"/>
  <c r="F748" i="3"/>
  <c r="G748" i="3"/>
  <c r="H748" i="3"/>
  <c r="I748" i="3"/>
  <c r="J748" i="3"/>
  <c r="K748" i="3"/>
  <c r="L748" i="3"/>
  <c r="M748" i="3"/>
  <c r="A749" i="3"/>
  <c r="B749" i="3"/>
  <c r="C749" i="3"/>
  <c r="D749" i="3"/>
  <c r="E749" i="3"/>
  <c r="F749" i="3"/>
  <c r="G749" i="3"/>
  <c r="H749" i="3"/>
  <c r="I749" i="3"/>
  <c r="J749" i="3"/>
  <c r="K749" i="3"/>
  <c r="L749" i="3"/>
  <c r="M749" i="3"/>
  <c r="A750" i="3"/>
  <c r="B750" i="3"/>
  <c r="C750" i="3"/>
  <c r="D750" i="3"/>
  <c r="E750" i="3"/>
  <c r="F750" i="3"/>
  <c r="G750" i="3"/>
  <c r="H750" i="3"/>
  <c r="I750" i="3"/>
  <c r="J750" i="3"/>
  <c r="K750" i="3"/>
  <c r="L750" i="3"/>
  <c r="M750" i="3"/>
  <c r="A751" i="3"/>
  <c r="B751" i="3"/>
  <c r="C751" i="3"/>
  <c r="D751" i="3"/>
  <c r="E751" i="3"/>
  <c r="F751" i="3"/>
  <c r="G751" i="3"/>
  <c r="H751" i="3"/>
  <c r="I751" i="3"/>
  <c r="J751" i="3"/>
  <c r="K751" i="3"/>
  <c r="L751" i="3"/>
  <c r="M751" i="3"/>
  <c r="A752" i="3"/>
  <c r="B752" i="3"/>
  <c r="C752" i="3"/>
  <c r="D752" i="3"/>
  <c r="E752" i="3"/>
  <c r="F752" i="3"/>
  <c r="G752" i="3"/>
  <c r="H752" i="3"/>
  <c r="I752" i="3"/>
  <c r="J752" i="3"/>
  <c r="K752" i="3"/>
  <c r="L752" i="3"/>
  <c r="M752" i="3"/>
  <c r="A753" i="3"/>
  <c r="B753" i="3"/>
  <c r="C753" i="3"/>
  <c r="D753" i="3"/>
  <c r="E753" i="3"/>
  <c r="F753" i="3"/>
  <c r="G753" i="3"/>
  <c r="H753" i="3"/>
  <c r="I753" i="3"/>
  <c r="J753" i="3"/>
  <c r="K753" i="3"/>
  <c r="L753" i="3"/>
  <c r="M753" i="3"/>
  <c r="A754" i="3"/>
  <c r="B754" i="3"/>
  <c r="C754" i="3"/>
  <c r="D754" i="3"/>
  <c r="E754" i="3"/>
  <c r="F754" i="3"/>
  <c r="G754" i="3"/>
  <c r="H754" i="3"/>
  <c r="I754" i="3"/>
  <c r="J754" i="3"/>
  <c r="K754" i="3"/>
  <c r="L754" i="3"/>
  <c r="M754" i="3"/>
  <c r="A755" i="3"/>
  <c r="B755" i="3"/>
  <c r="C755" i="3"/>
  <c r="D755" i="3"/>
  <c r="E755" i="3"/>
  <c r="F755" i="3"/>
  <c r="G755" i="3"/>
  <c r="H755" i="3"/>
  <c r="I755" i="3"/>
  <c r="J755" i="3"/>
  <c r="K755" i="3"/>
  <c r="L755" i="3"/>
  <c r="M755" i="3"/>
  <c r="A756" i="3"/>
  <c r="B756" i="3"/>
  <c r="C756" i="3"/>
  <c r="D756" i="3"/>
  <c r="E756" i="3"/>
  <c r="F756" i="3"/>
  <c r="G756" i="3"/>
  <c r="H756" i="3"/>
  <c r="I756" i="3"/>
  <c r="J756" i="3"/>
  <c r="K756" i="3"/>
  <c r="L756" i="3"/>
  <c r="M756" i="3"/>
  <c r="A757" i="3"/>
  <c r="B757" i="3"/>
  <c r="C757" i="3"/>
  <c r="D757" i="3"/>
  <c r="E757" i="3"/>
  <c r="F757" i="3"/>
  <c r="G757" i="3"/>
  <c r="H757" i="3"/>
  <c r="I757" i="3"/>
  <c r="J757" i="3"/>
  <c r="K757" i="3"/>
  <c r="L757" i="3"/>
  <c r="M757" i="3"/>
  <c r="A758" i="3"/>
  <c r="B758" i="3"/>
  <c r="C758" i="3"/>
  <c r="D758" i="3"/>
  <c r="E758" i="3"/>
  <c r="F758" i="3"/>
  <c r="G758" i="3"/>
  <c r="H758" i="3"/>
  <c r="I758" i="3"/>
  <c r="J758" i="3"/>
  <c r="K758" i="3"/>
  <c r="L758" i="3"/>
  <c r="M758" i="3"/>
  <c r="A759" i="3"/>
  <c r="B759" i="3"/>
  <c r="C759" i="3"/>
  <c r="D759" i="3"/>
  <c r="E759" i="3"/>
  <c r="F759" i="3"/>
  <c r="G759" i="3"/>
  <c r="H759" i="3"/>
  <c r="I759" i="3"/>
  <c r="J759" i="3"/>
  <c r="K759" i="3"/>
  <c r="L759" i="3"/>
  <c r="M759" i="3"/>
  <c r="A760" i="3"/>
  <c r="B760" i="3"/>
  <c r="C760" i="3"/>
  <c r="D760" i="3"/>
  <c r="E760" i="3"/>
  <c r="F760" i="3"/>
  <c r="G760" i="3"/>
  <c r="H760" i="3"/>
  <c r="I760" i="3"/>
  <c r="J760" i="3"/>
  <c r="K760" i="3"/>
  <c r="L760" i="3"/>
  <c r="M760" i="3"/>
  <c r="A761" i="3"/>
  <c r="B761" i="3"/>
  <c r="C761" i="3"/>
  <c r="D761" i="3"/>
  <c r="E761" i="3"/>
  <c r="F761" i="3"/>
  <c r="G761" i="3"/>
  <c r="H761" i="3"/>
  <c r="I761" i="3"/>
  <c r="J761" i="3"/>
  <c r="K761" i="3"/>
  <c r="L761" i="3"/>
  <c r="M761" i="3"/>
  <c r="A762" i="3"/>
  <c r="B762" i="3"/>
  <c r="C762" i="3"/>
  <c r="D762" i="3"/>
  <c r="E762" i="3"/>
  <c r="F762" i="3"/>
  <c r="G762" i="3"/>
  <c r="H762" i="3"/>
  <c r="I762" i="3"/>
  <c r="J762" i="3"/>
  <c r="K762" i="3"/>
  <c r="L762" i="3"/>
  <c r="M762" i="3"/>
  <c r="A763" i="3"/>
  <c r="B763" i="3"/>
  <c r="C763" i="3"/>
  <c r="D763" i="3"/>
  <c r="E763" i="3"/>
  <c r="F763" i="3"/>
  <c r="G763" i="3"/>
  <c r="H763" i="3"/>
  <c r="I763" i="3"/>
  <c r="J763" i="3"/>
  <c r="K763" i="3"/>
  <c r="L763" i="3"/>
  <c r="M763" i="3"/>
  <c r="A764" i="3"/>
  <c r="B764" i="3"/>
  <c r="C764" i="3"/>
  <c r="D764" i="3"/>
  <c r="E764" i="3"/>
  <c r="F764" i="3"/>
  <c r="G764" i="3"/>
  <c r="H764" i="3"/>
  <c r="I764" i="3"/>
  <c r="J764" i="3"/>
  <c r="K764" i="3"/>
  <c r="L764" i="3"/>
  <c r="M764" i="3"/>
  <c r="A765" i="3"/>
  <c r="B765" i="3"/>
  <c r="C765" i="3"/>
  <c r="D765" i="3"/>
  <c r="E765" i="3"/>
  <c r="F765" i="3"/>
  <c r="G765" i="3"/>
  <c r="H765" i="3"/>
  <c r="I765" i="3"/>
  <c r="J765" i="3"/>
  <c r="K765" i="3"/>
  <c r="L765" i="3"/>
  <c r="M765" i="3"/>
  <c r="A766" i="3"/>
  <c r="B766" i="3"/>
  <c r="C766" i="3"/>
  <c r="D766" i="3"/>
  <c r="E766" i="3"/>
  <c r="F766" i="3"/>
  <c r="G766" i="3"/>
  <c r="H766" i="3"/>
  <c r="I766" i="3"/>
  <c r="J766" i="3"/>
  <c r="K766" i="3"/>
  <c r="L766" i="3"/>
  <c r="M766" i="3"/>
  <c r="A767" i="3"/>
  <c r="B767" i="3"/>
  <c r="C767" i="3"/>
  <c r="D767" i="3"/>
  <c r="E767" i="3"/>
  <c r="F767" i="3"/>
  <c r="G767" i="3"/>
  <c r="H767" i="3"/>
  <c r="I767" i="3"/>
  <c r="J767" i="3"/>
  <c r="K767" i="3"/>
  <c r="L767" i="3"/>
  <c r="M767" i="3"/>
  <c r="A768" i="3"/>
  <c r="B768" i="3"/>
  <c r="C768" i="3"/>
  <c r="D768" i="3"/>
  <c r="E768" i="3"/>
  <c r="F768" i="3"/>
  <c r="G768" i="3"/>
  <c r="H768" i="3"/>
  <c r="I768" i="3"/>
  <c r="J768" i="3"/>
  <c r="K768" i="3"/>
  <c r="L768" i="3"/>
  <c r="M768" i="3"/>
  <c r="A769" i="3"/>
  <c r="B769" i="3"/>
  <c r="C769" i="3"/>
  <c r="D769" i="3"/>
  <c r="E769" i="3"/>
  <c r="F769" i="3"/>
  <c r="G769" i="3"/>
  <c r="H769" i="3"/>
  <c r="I769" i="3"/>
  <c r="J769" i="3"/>
  <c r="K769" i="3"/>
  <c r="L769" i="3"/>
  <c r="M769" i="3"/>
  <c r="A770" i="3"/>
  <c r="B770" i="3"/>
  <c r="C770" i="3"/>
  <c r="D770" i="3"/>
  <c r="E770" i="3"/>
  <c r="F770" i="3"/>
  <c r="G770" i="3"/>
  <c r="H770" i="3"/>
  <c r="I770" i="3"/>
  <c r="J770" i="3"/>
  <c r="K770" i="3"/>
  <c r="L770" i="3"/>
  <c r="M770" i="3"/>
  <c r="A771" i="3"/>
  <c r="B771" i="3"/>
  <c r="C771" i="3"/>
  <c r="D771" i="3"/>
  <c r="E771" i="3"/>
  <c r="F771" i="3"/>
  <c r="G771" i="3"/>
  <c r="H771" i="3"/>
  <c r="I771" i="3"/>
  <c r="J771" i="3"/>
  <c r="K771" i="3"/>
  <c r="L771" i="3"/>
  <c r="M771" i="3"/>
  <c r="A772" i="3"/>
  <c r="B772" i="3"/>
  <c r="C772" i="3"/>
  <c r="D772" i="3"/>
  <c r="E772" i="3"/>
  <c r="F772" i="3"/>
  <c r="G772" i="3"/>
  <c r="H772" i="3"/>
  <c r="I772" i="3"/>
  <c r="J772" i="3"/>
  <c r="K772" i="3"/>
  <c r="L772" i="3"/>
  <c r="M772" i="3"/>
  <c r="A773" i="3"/>
  <c r="B773" i="3"/>
  <c r="C773" i="3"/>
  <c r="D773" i="3"/>
  <c r="E773" i="3"/>
  <c r="F773" i="3"/>
  <c r="G773" i="3"/>
  <c r="H773" i="3"/>
  <c r="I773" i="3"/>
  <c r="J773" i="3"/>
  <c r="K773" i="3"/>
  <c r="L773" i="3"/>
  <c r="M773" i="3"/>
  <c r="A774" i="3"/>
  <c r="B774" i="3"/>
  <c r="C774" i="3"/>
  <c r="D774" i="3"/>
  <c r="E774" i="3"/>
  <c r="F774" i="3"/>
  <c r="G774" i="3"/>
  <c r="H774" i="3"/>
  <c r="I774" i="3"/>
  <c r="J774" i="3"/>
  <c r="K774" i="3"/>
  <c r="L774" i="3"/>
  <c r="M774" i="3"/>
  <c r="A775" i="3"/>
  <c r="B775" i="3"/>
  <c r="C775" i="3"/>
  <c r="D775" i="3"/>
  <c r="E775" i="3"/>
  <c r="F775" i="3"/>
  <c r="G775" i="3"/>
  <c r="H775" i="3"/>
  <c r="I775" i="3"/>
  <c r="J775" i="3"/>
  <c r="K775" i="3"/>
  <c r="L775" i="3"/>
  <c r="M775" i="3"/>
  <c r="A776" i="3"/>
  <c r="B776" i="3"/>
  <c r="C776" i="3"/>
  <c r="D776" i="3"/>
  <c r="E776" i="3"/>
  <c r="F776" i="3"/>
  <c r="G776" i="3"/>
  <c r="H776" i="3"/>
  <c r="I776" i="3"/>
  <c r="J776" i="3"/>
  <c r="K776" i="3"/>
  <c r="L776" i="3"/>
  <c r="M776" i="3"/>
  <c r="A777" i="3"/>
  <c r="B777" i="3"/>
  <c r="C777" i="3"/>
  <c r="D777" i="3"/>
  <c r="E777" i="3"/>
  <c r="F777" i="3"/>
  <c r="G777" i="3"/>
  <c r="H777" i="3"/>
  <c r="I777" i="3"/>
  <c r="J777" i="3"/>
  <c r="K777" i="3"/>
  <c r="L777" i="3"/>
  <c r="M777" i="3"/>
  <c r="A778" i="3"/>
  <c r="B778" i="3"/>
  <c r="C778" i="3"/>
  <c r="D778" i="3"/>
  <c r="E778" i="3"/>
  <c r="F778" i="3"/>
  <c r="G778" i="3"/>
  <c r="H778" i="3"/>
  <c r="I778" i="3"/>
  <c r="J778" i="3"/>
  <c r="K778" i="3"/>
  <c r="L778" i="3"/>
  <c r="M778" i="3"/>
  <c r="A779" i="3"/>
  <c r="B779" i="3"/>
  <c r="C779" i="3"/>
  <c r="D779" i="3"/>
  <c r="E779" i="3"/>
  <c r="F779" i="3"/>
  <c r="G779" i="3"/>
  <c r="H779" i="3"/>
  <c r="I779" i="3"/>
  <c r="J779" i="3"/>
  <c r="K779" i="3"/>
  <c r="L779" i="3"/>
  <c r="M779" i="3"/>
  <c r="A780" i="3"/>
  <c r="B780" i="3"/>
  <c r="C780" i="3"/>
  <c r="D780" i="3"/>
  <c r="E780" i="3"/>
  <c r="F780" i="3"/>
  <c r="G780" i="3"/>
  <c r="H780" i="3"/>
  <c r="I780" i="3"/>
  <c r="J780" i="3"/>
  <c r="K780" i="3"/>
  <c r="L780" i="3"/>
  <c r="M780" i="3"/>
  <c r="A781" i="3"/>
  <c r="B781" i="3"/>
  <c r="C781" i="3"/>
  <c r="D781" i="3"/>
  <c r="E781" i="3"/>
  <c r="F781" i="3"/>
  <c r="G781" i="3"/>
  <c r="H781" i="3"/>
  <c r="I781" i="3"/>
  <c r="J781" i="3"/>
  <c r="K781" i="3"/>
  <c r="L781" i="3"/>
  <c r="M781" i="3"/>
  <c r="A782" i="3"/>
  <c r="B782" i="3"/>
  <c r="C782" i="3"/>
  <c r="D782" i="3"/>
  <c r="E782" i="3"/>
  <c r="F782" i="3"/>
  <c r="G782" i="3"/>
  <c r="H782" i="3"/>
  <c r="I782" i="3"/>
  <c r="J782" i="3"/>
  <c r="K782" i="3"/>
  <c r="L782" i="3"/>
  <c r="M782" i="3"/>
  <c r="A783" i="3"/>
  <c r="B783" i="3"/>
  <c r="C783" i="3"/>
  <c r="D783" i="3"/>
  <c r="E783" i="3"/>
  <c r="F783" i="3"/>
  <c r="G783" i="3"/>
  <c r="H783" i="3"/>
  <c r="I783" i="3"/>
  <c r="J783" i="3"/>
  <c r="K783" i="3"/>
  <c r="L783" i="3"/>
  <c r="M783" i="3"/>
  <c r="A784" i="3"/>
  <c r="B784" i="3"/>
  <c r="C784" i="3"/>
  <c r="D784" i="3"/>
  <c r="E784" i="3"/>
  <c r="F784" i="3"/>
  <c r="G784" i="3"/>
  <c r="H784" i="3"/>
  <c r="I784" i="3"/>
  <c r="J784" i="3"/>
  <c r="K784" i="3"/>
  <c r="L784" i="3"/>
  <c r="M784" i="3"/>
  <c r="A785" i="3"/>
  <c r="B785" i="3"/>
  <c r="C785" i="3"/>
  <c r="D785" i="3"/>
  <c r="E785" i="3"/>
  <c r="F785" i="3"/>
  <c r="G785" i="3"/>
  <c r="H785" i="3"/>
  <c r="I785" i="3"/>
  <c r="J785" i="3"/>
  <c r="K785" i="3"/>
  <c r="L785" i="3"/>
  <c r="M785" i="3"/>
  <c r="A786" i="3"/>
  <c r="B786" i="3"/>
  <c r="C786" i="3"/>
  <c r="D786" i="3"/>
  <c r="E786" i="3"/>
  <c r="F786" i="3"/>
  <c r="G786" i="3"/>
  <c r="H786" i="3"/>
  <c r="I786" i="3"/>
  <c r="J786" i="3"/>
  <c r="K786" i="3"/>
  <c r="L786" i="3"/>
  <c r="M786" i="3"/>
  <c r="A787" i="3"/>
  <c r="B787" i="3"/>
  <c r="C787" i="3"/>
  <c r="D787" i="3"/>
  <c r="E787" i="3"/>
  <c r="F787" i="3"/>
  <c r="G787" i="3"/>
  <c r="H787" i="3"/>
  <c r="I787" i="3"/>
  <c r="J787" i="3"/>
  <c r="K787" i="3"/>
  <c r="L787" i="3"/>
  <c r="M787" i="3"/>
  <c r="A788" i="3"/>
  <c r="B788" i="3"/>
  <c r="C788" i="3"/>
  <c r="D788" i="3"/>
  <c r="E788" i="3"/>
  <c r="F788" i="3"/>
  <c r="G788" i="3"/>
  <c r="H788" i="3"/>
  <c r="I788" i="3"/>
  <c r="J788" i="3"/>
  <c r="K788" i="3"/>
  <c r="L788" i="3"/>
  <c r="M788" i="3"/>
  <c r="A789" i="3"/>
  <c r="B789" i="3"/>
  <c r="C789" i="3"/>
  <c r="D789" i="3"/>
  <c r="E789" i="3"/>
  <c r="F789" i="3"/>
  <c r="G789" i="3"/>
  <c r="H789" i="3"/>
  <c r="I789" i="3"/>
  <c r="J789" i="3"/>
  <c r="K789" i="3"/>
  <c r="L789" i="3"/>
  <c r="M789" i="3"/>
  <c r="A790" i="3"/>
  <c r="B790" i="3"/>
  <c r="C790" i="3"/>
  <c r="D790" i="3"/>
  <c r="E790" i="3"/>
  <c r="F790" i="3"/>
  <c r="G790" i="3"/>
  <c r="H790" i="3"/>
  <c r="I790" i="3"/>
  <c r="J790" i="3"/>
  <c r="K790" i="3"/>
  <c r="L790" i="3"/>
  <c r="M790" i="3"/>
  <c r="A791" i="3"/>
  <c r="B791" i="3"/>
  <c r="C791" i="3"/>
  <c r="D791" i="3"/>
  <c r="E791" i="3"/>
  <c r="F791" i="3"/>
  <c r="G791" i="3"/>
  <c r="H791" i="3"/>
  <c r="I791" i="3"/>
  <c r="J791" i="3"/>
  <c r="K791" i="3"/>
  <c r="L791" i="3"/>
  <c r="M791" i="3"/>
  <c r="A792" i="3"/>
  <c r="B792" i="3"/>
  <c r="C792" i="3"/>
  <c r="D792" i="3"/>
  <c r="E792" i="3"/>
  <c r="F792" i="3"/>
  <c r="G792" i="3"/>
  <c r="H792" i="3"/>
  <c r="I792" i="3"/>
  <c r="J792" i="3"/>
  <c r="K792" i="3"/>
  <c r="L792" i="3"/>
  <c r="M792" i="3"/>
  <c r="A793" i="3"/>
  <c r="B793" i="3"/>
  <c r="C793" i="3"/>
  <c r="D793" i="3"/>
  <c r="E793" i="3"/>
  <c r="F793" i="3"/>
  <c r="G793" i="3"/>
  <c r="H793" i="3"/>
  <c r="I793" i="3"/>
  <c r="J793" i="3"/>
  <c r="K793" i="3"/>
  <c r="L793" i="3"/>
  <c r="M793" i="3"/>
  <c r="A794" i="3"/>
  <c r="B794" i="3"/>
  <c r="C794" i="3"/>
  <c r="D794" i="3"/>
  <c r="E794" i="3"/>
  <c r="F794" i="3"/>
  <c r="G794" i="3"/>
  <c r="H794" i="3"/>
  <c r="I794" i="3"/>
  <c r="J794" i="3"/>
  <c r="K794" i="3"/>
  <c r="L794" i="3"/>
  <c r="M794" i="3"/>
  <c r="A795" i="3"/>
  <c r="B795" i="3"/>
  <c r="C795" i="3"/>
  <c r="D795" i="3"/>
  <c r="E795" i="3"/>
  <c r="F795" i="3"/>
  <c r="G795" i="3"/>
  <c r="H795" i="3"/>
  <c r="I795" i="3"/>
  <c r="J795" i="3"/>
  <c r="K795" i="3"/>
  <c r="L795" i="3"/>
  <c r="M795" i="3"/>
  <c r="A796" i="3"/>
  <c r="B796" i="3"/>
  <c r="C796" i="3"/>
  <c r="D796" i="3"/>
  <c r="E796" i="3"/>
  <c r="F796" i="3"/>
  <c r="G796" i="3"/>
  <c r="H796" i="3"/>
  <c r="I796" i="3"/>
  <c r="J796" i="3"/>
  <c r="K796" i="3"/>
  <c r="L796" i="3"/>
  <c r="M796" i="3"/>
  <c r="A797" i="3"/>
  <c r="B797" i="3"/>
  <c r="C797" i="3"/>
  <c r="D797" i="3"/>
  <c r="E797" i="3"/>
  <c r="F797" i="3"/>
  <c r="G797" i="3"/>
  <c r="H797" i="3"/>
  <c r="I797" i="3"/>
  <c r="J797" i="3"/>
  <c r="K797" i="3"/>
  <c r="L797" i="3"/>
  <c r="M797" i="3"/>
  <c r="A798" i="3"/>
  <c r="B798" i="3"/>
  <c r="C798" i="3"/>
  <c r="D798" i="3"/>
  <c r="E798" i="3"/>
  <c r="F798" i="3"/>
  <c r="G798" i="3"/>
  <c r="H798" i="3"/>
  <c r="I798" i="3"/>
  <c r="J798" i="3"/>
  <c r="K798" i="3"/>
  <c r="L798" i="3"/>
  <c r="M798" i="3"/>
  <c r="A799" i="3"/>
  <c r="B799" i="3"/>
  <c r="C799" i="3"/>
  <c r="D799" i="3"/>
  <c r="E799" i="3"/>
  <c r="F799" i="3"/>
  <c r="G799" i="3"/>
  <c r="H799" i="3"/>
  <c r="I799" i="3"/>
  <c r="J799" i="3"/>
  <c r="K799" i="3"/>
  <c r="L799" i="3"/>
  <c r="M799" i="3"/>
  <c r="A800" i="3"/>
  <c r="B800" i="3"/>
  <c r="C800" i="3"/>
  <c r="D800" i="3"/>
  <c r="E800" i="3"/>
  <c r="F800" i="3"/>
  <c r="G800" i="3"/>
  <c r="H800" i="3"/>
  <c r="I800" i="3"/>
  <c r="J800" i="3"/>
  <c r="K800" i="3"/>
  <c r="L800" i="3"/>
  <c r="M800" i="3"/>
  <c r="A801" i="3"/>
  <c r="B801" i="3"/>
  <c r="C801" i="3"/>
  <c r="D801" i="3"/>
  <c r="E801" i="3"/>
  <c r="F801" i="3"/>
  <c r="G801" i="3"/>
  <c r="H801" i="3"/>
  <c r="I801" i="3"/>
  <c r="J801" i="3"/>
  <c r="K801" i="3"/>
  <c r="L801" i="3"/>
  <c r="M801" i="3"/>
  <c r="A802" i="3"/>
  <c r="B802" i="3"/>
  <c r="C802" i="3"/>
  <c r="D802" i="3"/>
  <c r="E802" i="3"/>
  <c r="F802" i="3"/>
  <c r="G802" i="3"/>
  <c r="H802" i="3"/>
  <c r="I802" i="3"/>
  <c r="J802" i="3"/>
  <c r="K802" i="3"/>
  <c r="L802" i="3"/>
  <c r="M802" i="3"/>
  <c r="A803" i="3"/>
  <c r="B803" i="3"/>
  <c r="C803" i="3"/>
  <c r="D803" i="3"/>
  <c r="E803" i="3"/>
  <c r="F803" i="3"/>
  <c r="G803" i="3"/>
  <c r="H803" i="3"/>
  <c r="I803" i="3"/>
  <c r="J803" i="3"/>
  <c r="K803" i="3"/>
  <c r="L803" i="3"/>
  <c r="M803" i="3"/>
  <c r="A804" i="3"/>
  <c r="B804" i="3"/>
  <c r="C804" i="3"/>
  <c r="D804" i="3"/>
  <c r="E804" i="3"/>
  <c r="F804" i="3"/>
  <c r="G804" i="3"/>
  <c r="H804" i="3"/>
  <c r="I804" i="3"/>
  <c r="J804" i="3"/>
  <c r="K804" i="3"/>
  <c r="L804" i="3"/>
  <c r="M804" i="3"/>
  <c r="A805" i="3"/>
  <c r="B805" i="3"/>
  <c r="C805" i="3"/>
  <c r="D805" i="3"/>
  <c r="E805" i="3"/>
  <c r="F805" i="3"/>
  <c r="G805" i="3"/>
  <c r="H805" i="3"/>
  <c r="I805" i="3"/>
  <c r="J805" i="3"/>
  <c r="K805" i="3"/>
  <c r="L805" i="3"/>
  <c r="M805" i="3"/>
  <c r="A806" i="3"/>
  <c r="B806" i="3"/>
  <c r="C806" i="3"/>
  <c r="D806" i="3"/>
  <c r="E806" i="3"/>
  <c r="F806" i="3"/>
  <c r="G806" i="3"/>
  <c r="H806" i="3"/>
  <c r="I806" i="3"/>
  <c r="J806" i="3"/>
  <c r="K806" i="3"/>
  <c r="L806" i="3"/>
  <c r="M806" i="3"/>
  <c r="A807" i="3"/>
  <c r="B807" i="3"/>
  <c r="C807" i="3"/>
  <c r="D807" i="3"/>
  <c r="E807" i="3"/>
  <c r="F807" i="3"/>
  <c r="G807" i="3"/>
  <c r="H807" i="3"/>
  <c r="I807" i="3"/>
  <c r="J807" i="3"/>
  <c r="K807" i="3"/>
  <c r="L807" i="3"/>
  <c r="M807" i="3"/>
  <c r="A808" i="3"/>
  <c r="B808" i="3"/>
  <c r="C808" i="3"/>
  <c r="D808" i="3"/>
  <c r="E808" i="3"/>
  <c r="F808" i="3"/>
  <c r="G808" i="3"/>
  <c r="H808" i="3"/>
  <c r="I808" i="3"/>
  <c r="J808" i="3"/>
  <c r="K808" i="3"/>
  <c r="L808" i="3"/>
  <c r="M808" i="3"/>
  <c r="A809" i="3"/>
  <c r="B809" i="3"/>
  <c r="C809" i="3"/>
  <c r="D809" i="3"/>
  <c r="E809" i="3"/>
  <c r="F809" i="3"/>
  <c r="G809" i="3"/>
  <c r="H809" i="3"/>
  <c r="I809" i="3"/>
  <c r="J809" i="3"/>
  <c r="K809" i="3"/>
  <c r="L809" i="3"/>
  <c r="M809" i="3"/>
  <c r="A810" i="3"/>
  <c r="B810" i="3"/>
  <c r="C810" i="3"/>
  <c r="D810" i="3"/>
  <c r="E810" i="3"/>
  <c r="F810" i="3"/>
  <c r="G810" i="3"/>
  <c r="H810" i="3"/>
  <c r="I810" i="3"/>
  <c r="J810" i="3"/>
  <c r="K810" i="3"/>
  <c r="L810" i="3"/>
  <c r="M810" i="3"/>
  <c r="A811" i="3"/>
  <c r="B811" i="3"/>
  <c r="C811" i="3"/>
  <c r="D811" i="3"/>
  <c r="E811" i="3"/>
  <c r="F811" i="3"/>
  <c r="G811" i="3"/>
  <c r="H811" i="3"/>
  <c r="I811" i="3"/>
  <c r="J811" i="3"/>
  <c r="K811" i="3"/>
  <c r="L811" i="3"/>
  <c r="M811" i="3"/>
  <c r="A812" i="3"/>
  <c r="B812" i="3"/>
  <c r="C812" i="3"/>
  <c r="D812" i="3"/>
  <c r="E812" i="3"/>
  <c r="F812" i="3"/>
  <c r="G812" i="3"/>
  <c r="H812" i="3"/>
  <c r="I812" i="3"/>
  <c r="J812" i="3"/>
  <c r="K812" i="3"/>
  <c r="L812" i="3"/>
  <c r="M812" i="3"/>
  <c r="A813" i="3"/>
  <c r="B813" i="3"/>
  <c r="C813" i="3"/>
  <c r="D813" i="3"/>
  <c r="E813" i="3"/>
  <c r="F813" i="3"/>
  <c r="G813" i="3"/>
  <c r="H813" i="3"/>
  <c r="I813" i="3"/>
  <c r="J813" i="3"/>
  <c r="K813" i="3"/>
  <c r="L813" i="3"/>
  <c r="M813" i="3"/>
  <c r="A814" i="3"/>
  <c r="B814" i="3"/>
  <c r="C814" i="3"/>
  <c r="D814" i="3"/>
  <c r="E814" i="3"/>
  <c r="F814" i="3"/>
  <c r="G814" i="3"/>
  <c r="H814" i="3"/>
  <c r="I814" i="3"/>
  <c r="J814" i="3"/>
  <c r="K814" i="3"/>
  <c r="L814" i="3"/>
  <c r="M814" i="3"/>
  <c r="A815" i="3"/>
  <c r="B815" i="3"/>
  <c r="C815" i="3"/>
  <c r="D815" i="3"/>
  <c r="E815" i="3"/>
  <c r="F815" i="3"/>
  <c r="G815" i="3"/>
  <c r="H815" i="3"/>
  <c r="I815" i="3"/>
  <c r="J815" i="3"/>
  <c r="K815" i="3"/>
  <c r="L815" i="3"/>
  <c r="M815" i="3"/>
  <c r="A816" i="3"/>
  <c r="B816" i="3"/>
  <c r="C816" i="3"/>
  <c r="D816" i="3"/>
  <c r="E816" i="3"/>
  <c r="F816" i="3"/>
  <c r="G816" i="3"/>
  <c r="H816" i="3"/>
  <c r="I816" i="3"/>
  <c r="J816" i="3"/>
  <c r="K816" i="3"/>
  <c r="L816" i="3"/>
  <c r="M816" i="3"/>
  <c r="A817" i="3"/>
  <c r="B817" i="3"/>
  <c r="C817" i="3"/>
  <c r="D817" i="3"/>
  <c r="E817" i="3"/>
  <c r="F817" i="3"/>
  <c r="G817" i="3"/>
  <c r="H817" i="3"/>
  <c r="I817" i="3"/>
  <c r="J817" i="3"/>
  <c r="K817" i="3"/>
  <c r="L817" i="3"/>
  <c r="M817" i="3"/>
  <c r="A818" i="3"/>
  <c r="B818" i="3"/>
  <c r="C818" i="3"/>
  <c r="D818" i="3"/>
  <c r="E818" i="3"/>
  <c r="F818" i="3"/>
  <c r="G818" i="3"/>
  <c r="H818" i="3"/>
  <c r="I818" i="3"/>
  <c r="J818" i="3"/>
  <c r="K818" i="3"/>
  <c r="L818" i="3"/>
  <c r="M818" i="3"/>
  <c r="A819" i="3"/>
  <c r="B819" i="3"/>
  <c r="C819" i="3"/>
  <c r="D819" i="3"/>
  <c r="E819" i="3"/>
  <c r="F819" i="3"/>
  <c r="G819" i="3"/>
  <c r="H819" i="3"/>
  <c r="I819" i="3"/>
  <c r="J819" i="3"/>
  <c r="K819" i="3"/>
  <c r="L819" i="3"/>
  <c r="M819" i="3"/>
  <c r="A820" i="3"/>
  <c r="B820" i="3"/>
  <c r="C820" i="3"/>
  <c r="D820" i="3"/>
  <c r="E820" i="3"/>
  <c r="F820" i="3"/>
  <c r="G820" i="3"/>
  <c r="H820" i="3"/>
  <c r="I820" i="3"/>
  <c r="J820" i="3"/>
  <c r="K820" i="3"/>
  <c r="L820" i="3"/>
  <c r="M820" i="3"/>
  <c r="A821" i="3"/>
  <c r="B821" i="3"/>
  <c r="C821" i="3"/>
  <c r="D821" i="3"/>
  <c r="E821" i="3"/>
  <c r="F821" i="3"/>
  <c r="G821" i="3"/>
  <c r="H821" i="3"/>
  <c r="I821" i="3"/>
  <c r="J821" i="3"/>
  <c r="K821" i="3"/>
  <c r="L821" i="3"/>
  <c r="M821" i="3"/>
  <c r="A822" i="3"/>
  <c r="B822" i="3"/>
  <c r="C822" i="3"/>
  <c r="D822" i="3"/>
  <c r="E822" i="3"/>
  <c r="F822" i="3"/>
  <c r="G822" i="3"/>
  <c r="H822" i="3"/>
  <c r="I822" i="3"/>
  <c r="J822" i="3"/>
  <c r="K822" i="3"/>
  <c r="L822" i="3"/>
  <c r="M822" i="3"/>
  <c r="A823" i="3"/>
  <c r="B823" i="3"/>
  <c r="C823" i="3"/>
  <c r="D823" i="3"/>
  <c r="E823" i="3"/>
  <c r="F823" i="3"/>
  <c r="G823" i="3"/>
  <c r="H823" i="3"/>
  <c r="I823" i="3"/>
  <c r="J823" i="3"/>
  <c r="K823" i="3"/>
  <c r="L823" i="3"/>
  <c r="M823" i="3"/>
  <c r="A824" i="3"/>
  <c r="B824" i="3"/>
  <c r="C824" i="3"/>
  <c r="D824" i="3"/>
  <c r="E824" i="3"/>
  <c r="F824" i="3"/>
  <c r="G824" i="3"/>
  <c r="H824" i="3"/>
  <c r="I824" i="3"/>
  <c r="J824" i="3"/>
  <c r="K824" i="3"/>
  <c r="L824" i="3"/>
  <c r="M824" i="3"/>
  <c r="A825" i="3"/>
  <c r="B825" i="3"/>
  <c r="C825" i="3"/>
  <c r="D825" i="3"/>
  <c r="E825" i="3"/>
  <c r="F825" i="3"/>
  <c r="G825" i="3"/>
  <c r="H825" i="3"/>
  <c r="I825" i="3"/>
  <c r="J825" i="3"/>
  <c r="K825" i="3"/>
  <c r="L825" i="3"/>
  <c r="M825" i="3"/>
  <c r="A826" i="3"/>
  <c r="B826" i="3"/>
  <c r="C826" i="3"/>
  <c r="D826" i="3"/>
  <c r="E826" i="3"/>
  <c r="F826" i="3"/>
  <c r="G826" i="3"/>
  <c r="H826" i="3"/>
  <c r="I826" i="3"/>
  <c r="J826" i="3"/>
  <c r="K826" i="3"/>
  <c r="L826" i="3"/>
  <c r="M826" i="3"/>
  <c r="A827" i="3"/>
  <c r="B827" i="3"/>
  <c r="C827" i="3"/>
  <c r="D827" i="3"/>
  <c r="E827" i="3"/>
  <c r="F827" i="3"/>
  <c r="G827" i="3"/>
  <c r="H827" i="3"/>
  <c r="I827" i="3"/>
  <c r="J827" i="3"/>
  <c r="K827" i="3"/>
  <c r="L827" i="3"/>
  <c r="M827" i="3"/>
  <c r="A828" i="3"/>
  <c r="B828" i="3"/>
  <c r="C828" i="3"/>
  <c r="D828" i="3"/>
  <c r="E828" i="3"/>
  <c r="F828" i="3"/>
  <c r="G828" i="3"/>
  <c r="H828" i="3"/>
  <c r="I828" i="3"/>
  <c r="J828" i="3"/>
  <c r="K828" i="3"/>
  <c r="L828" i="3"/>
  <c r="M828" i="3"/>
  <c r="A829" i="3"/>
  <c r="B829" i="3"/>
  <c r="C829" i="3"/>
  <c r="D829" i="3"/>
  <c r="E829" i="3"/>
  <c r="F829" i="3"/>
  <c r="G829" i="3"/>
  <c r="H829" i="3"/>
  <c r="I829" i="3"/>
  <c r="J829" i="3"/>
  <c r="K829" i="3"/>
  <c r="L829" i="3"/>
  <c r="M829" i="3"/>
  <c r="A830" i="3"/>
  <c r="B830" i="3"/>
  <c r="C830" i="3"/>
  <c r="D830" i="3"/>
  <c r="E830" i="3"/>
  <c r="F830" i="3"/>
  <c r="G830" i="3"/>
  <c r="H830" i="3"/>
  <c r="I830" i="3"/>
  <c r="J830" i="3"/>
  <c r="K830" i="3"/>
  <c r="L830" i="3"/>
  <c r="M830" i="3"/>
  <c r="A831" i="3"/>
  <c r="B831" i="3"/>
  <c r="C831" i="3"/>
  <c r="D831" i="3"/>
  <c r="E831" i="3"/>
  <c r="F831" i="3"/>
  <c r="G831" i="3"/>
  <c r="H831" i="3"/>
  <c r="I831" i="3"/>
  <c r="J831" i="3"/>
  <c r="K831" i="3"/>
  <c r="L831" i="3"/>
  <c r="M831" i="3"/>
  <c r="A832" i="3"/>
  <c r="B832" i="3"/>
  <c r="C832" i="3"/>
  <c r="D832" i="3"/>
  <c r="E832" i="3"/>
  <c r="F832" i="3"/>
  <c r="G832" i="3"/>
  <c r="H832" i="3"/>
  <c r="I832" i="3"/>
  <c r="J832" i="3"/>
  <c r="K832" i="3"/>
  <c r="L832" i="3"/>
  <c r="M832" i="3"/>
  <c r="A833" i="3"/>
  <c r="B833" i="3"/>
  <c r="C833" i="3"/>
  <c r="D833" i="3"/>
  <c r="E833" i="3"/>
  <c r="F833" i="3"/>
  <c r="G833" i="3"/>
  <c r="H833" i="3"/>
  <c r="I833" i="3"/>
  <c r="J833" i="3"/>
  <c r="K833" i="3"/>
  <c r="L833" i="3"/>
  <c r="M833" i="3"/>
  <c r="A834" i="3"/>
  <c r="B834" i="3"/>
  <c r="C834" i="3"/>
  <c r="D834" i="3"/>
  <c r="E834" i="3"/>
  <c r="F834" i="3"/>
  <c r="G834" i="3"/>
  <c r="H834" i="3"/>
  <c r="I834" i="3"/>
  <c r="J834" i="3"/>
  <c r="K834" i="3"/>
  <c r="L834" i="3"/>
  <c r="M834" i="3"/>
  <c r="A835" i="3"/>
  <c r="B835" i="3"/>
  <c r="C835" i="3"/>
  <c r="D835" i="3"/>
  <c r="E835" i="3"/>
  <c r="F835" i="3"/>
  <c r="G835" i="3"/>
  <c r="H835" i="3"/>
  <c r="I835" i="3"/>
  <c r="J835" i="3"/>
  <c r="K835" i="3"/>
  <c r="L835" i="3"/>
  <c r="M835" i="3"/>
  <c r="A836" i="3"/>
  <c r="B836" i="3"/>
  <c r="C836" i="3"/>
  <c r="D836" i="3"/>
  <c r="E836" i="3"/>
  <c r="F836" i="3"/>
  <c r="G836" i="3"/>
  <c r="H836" i="3"/>
  <c r="I836" i="3"/>
  <c r="J836" i="3"/>
  <c r="K836" i="3"/>
  <c r="L836" i="3"/>
  <c r="M836" i="3"/>
  <c r="A837" i="3"/>
  <c r="B837" i="3"/>
  <c r="C837" i="3"/>
  <c r="D837" i="3"/>
  <c r="E837" i="3"/>
  <c r="F837" i="3"/>
  <c r="G837" i="3"/>
  <c r="H837" i="3"/>
  <c r="I837" i="3"/>
  <c r="J837" i="3"/>
  <c r="K837" i="3"/>
  <c r="L837" i="3"/>
  <c r="M837" i="3"/>
  <c r="A838" i="3"/>
  <c r="B838" i="3"/>
  <c r="C838" i="3"/>
  <c r="D838" i="3"/>
  <c r="E838" i="3"/>
  <c r="F838" i="3"/>
  <c r="G838" i="3"/>
  <c r="H838" i="3"/>
  <c r="I838" i="3"/>
  <c r="J838" i="3"/>
  <c r="K838" i="3"/>
  <c r="L838" i="3"/>
  <c r="M838" i="3"/>
  <c r="A839" i="3"/>
  <c r="B839" i="3"/>
  <c r="C839" i="3"/>
  <c r="D839" i="3"/>
  <c r="E839" i="3"/>
  <c r="F839" i="3"/>
  <c r="G839" i="3"/>
  <c r="H839" i="3"/>
  <c r="I839" i="3"/>
  <c r="J839" i="3"/>
  <c r="K839" i="3"/>
  <c r="L839" i="3"/>
  <c r="M839" i="3"/>
  <c r="A840" i="3"/>
  <c r="B840" i="3"/>
  <c r="C840" i="3"/>
  <c r="D840" i="3"/>
  <c r="E840" i="3"/>
  <c r="F840" i="3"/>
  <c r="G840" i="3"/>
  <c r="H840" i="3"/>
  <c r="I840" i="3"/>
  <c r="J840" i="3"/>
  <c r="K840" i="3"/>
  <c r="L840" i="3"/>
  <c r="M840" i="3"/>
  <c r="A841" i="3"/>
  <c r="B841" i="3"/>
  <c r="C841" i="3"/>
  <c r="D841" i="3"/>
  <c r="E841" i="3"/>
  <c r="F841" i="3"/>
  <c r="G841" i="3"/>
  <c r="H841" i="3"/>
  <c r="I841" i="3"/>
  <c r="J841" i="3"/>
  <c r="K841" i="3"/>
  <c r="L841" i="3"/>
  <c r="M841" i="3"/>
  <c r="A842" i="3"/>
  <c r="B842" i="3"/>
  <c r="C842" i="3"/>
  <c r="D842" i="3"/>
  <c r="E842" i="3"/>
  <c r="F842" i="3"/>
  <c r="G842" i="3"/>
  <c r="H842" i="3"/>
  <c r="I842" i="3"/>
  <c r="J842" i="3"/>
  <c r="K842" i="3"/>
  <c r="L842" i="3"/>
  <c r="M842" i="3"/>
  <c r="A843" i="3"/>
  <c r="B843" i="3"/>
  <c r="C843" i="3"/>
  <c r="D843" i="3"/>
  <c r="E843" i="3"/>
  <c r="F843" i="3"/>
  <c r="G843" i="3"/>
  <c r="H843" i="3"/>
  <c r="I843" i="3"/>
  <c r="J843" i="3"/>
  <c r="K843" i="3"/>
  <c r="L843" i="3"/>
  <c r="M843" i="3"/>
  <c r="A844" i="3"/>
  <c r="B844" i="3"/>
  <c r="C844" i="3"/>
  <c r="D844" i="3"/>
  <c r="E844" i="3"/>
  <c r="F844" i="3"/>
  <c r="G844" i="3"/>
  <c r="H844" i="3"/>
  <c r="I844" i="3"/>
  <c r="J844" i="3"/>
  <c r="K844" i="3"/>
  <c r="L844" i="3"/>
  <c r="M844" i="3"/>
  <c r="A845" i="3"/>
  <c r="B845" i="3"/>
  <c r="C845" i="3"/>
  <c r="D845" i="3"/>
  <c r="E845" i="3"/>
  <c r="F845" i="3"/>
  <c r="G845" i="3"/>
  <c r="H845" i="3"/>
  <c r="I845" i="3"/>
  <c r="J845" i="3"/>
  <c r="K845" i="3"/>
  <c r="L845" i="3"/>
  <c r="M845" i="3"/>
  <c r="A846" i="3"/>
  <c r="B846" i="3"/>
  <c r="C846" i="3"/>
  <c r="D846" i="3"/>
  <c r="E846" i="3"/>
  <c r="F846" i="3"/>
  <c r="G846" i="3"/>
  <c r="H846" i="3"/>
  <c r="I846" i="3"/>
  <c r="J846" i="3"/>
  <c r="K846" i="3"/>
  <c r="L846" i="3"/>
  <c r="M846" i="3"/>
  <c r="A847" i="3"/>
  <c r="B847" i="3"/>
  <c r="C847" i="3"/>
  <c r="D847" i="3"/>
  <c r="E847" i="3"/>
  <c r="F847" i="3"/>
  <c r="G847" i="3"/>
  <c r="H847" i="3"/>
  <c r="I847" i="3"/>
  <c r="J847" i="3"/>
  <c r="K847" i="3"/>
  <c r="L847" i="3"/>
  <c r="M847" i="3"/>
  <c r="A848" i="3"/>
  <c r="B848" i="3"/>
  <c r="C848" i="3"/>
  <c r="D848" i="3"/>
  <c r="E848" i="3"/>
  <c r="F848" i="3"/>
  <c r="G848" i="3"/>
  <c r="H848" i="3"/>
  <c r="I848" i="3"/>
  <c r="J848" i="3"/>
  <c r="K848" i="3"/>
  <c r="L848" i="3"/>
  <c r="M848" i="3"/>
  <c r="A849" i="3"/>
  <c r="B849" i="3"/>
  <c r="C849" i="3"/>
  <c r="D849" i="3"/>
  <c r="E849" i="3"/>
  <c r="F849" i="3"/>
  <c r="G849" i="3"/>
  <c r="H849" i="3"/>
  <c r="I849" i="3"/>
  <c r="J849" i="3"/>
  <c r="K849" i="3"/>
  <c r="L849" i="3"/>
  <c r="M849" i="3"/>
  <c r="A850" i="3"/>
  <c r="B850" i="3"/>
  <c r="C850" i="3"/>
  <c r="D850" i="3"/>
  <c r="E850" i="3"/>
  <c r="F850" i="3"/>
  <c r="G850" i="3"/>
  <c r="H850" i="3"/>
  <c r="I850" i="3"/>
  <c r="J850" i="3"/>
  <c r="K850" i="3"/>
  <c r="L850" i="3"/>
  <c r="M850" i="3"/>
  <c r="A851" i="3"/>
  <c r="B851" i="3"/>
  <c r="C851" i="3"/>
  <c r="D851" i="3"/>
  <c r="E851" i="3"/>
  <c r="F851" i="3"/>
  <c r="G851" i="3"/>
  <c r="H851" i="3"/>
  <c r="I851" i="3"/>
  <c r="J851" i="3"/>
  <c r="K851" i="3"/>
  <c r="L851" i="3"/>
  <c r="M851" i="3"/>
  <c r="A852" i="3"/>
  <c r="B852" i="3"/>
  <c r="C852" i="3"/>
  <c r="D852" i="3"/>
  <c r="E852" i="3"/>
  <c r="F852" i="3"/>
  <c r="G852" i="3"/>
  <c r="H852" i="3"/>
  <c r="I852" i="3"/>
  <c r="J852" i="3"/>
  <c r="K852" i="3"/>
  <c r="L852" i="3"/>
  <c r="M852" i="3"/>
  <c r="A853" i="3"/>
  <c r="B853" i="3"/>
  <c r="C853" i="3"/>
  <c r="D853" i="3"/>
  <c r="E853" i="3"/>
  <c r="F853" i="3"/>
  <c r="G853" i="3"/>
  <c r="H853" i="3"/>
  <c r="I853" i="3"/>
  <c r="J853" i="3"/>
  <c r="K853" i="3"/>
  <c r="L853" i="3"/>
  <c r="M853" i="3"/>
  <c r="A854" i="3"/>
  <c r="B854" i="3"/>
  <c r="C854" i="3"/>
  <c r="D854" i="3"/>
  <c r="E854" i="3"/>
  <c r="F854" i="3"/>
  <c r="G854" i="3"/>
  <c r="H854" i="3"/>
  <c r="I854" i="3"/>
  <c r="J854" i="3"/>
  <c r="K854" i="3"/>
  <c r="L854" i="3"/>
  <c r="M854" i="3"/>
  <c r="A855" i="3"/>
  <c r="B855" i="3"/>
  <c r="C855" i="3"/>
  <c r="D855" i="3"/>
  <c r="E855" i="3"/>
  <c r="F855" i="3"/>
  <c r="G855" i="3"/>
  <c r="H855" i="3"/>
  <c r="I855" i="3"/>
  <c r="J855" i="3"/>
  <c r="K855" i="3"/>
  <c r="L855" i="3"/>
  <c r="M855" i="3"/>
  <c r="A856" i="3"/>
  <c r="B856" i="3"/>
  <c r="C856" i="3"/>
  <c r="D856" i="3"/>
  <c r="E856" i="3"/>
  <c r="F856" i="3"/>
  <c r="G856" i="3"/>
  <c r="H856" i="3"/>
  <c r="I856" i="3"/>
  <c r="J856" i="3"/>
  <c r="K856" i="3"/>
  <c r="L856" i="3"/>
  <c r="M856" i="3"/>
  <c r="A857" i="3"/>
  <c r="B857" i="3"/>
  <c r="C857" i="3"/>
  <c r="D857" i="3"/>
  <c r="E857" i="3"/>
  <c r="F857" i="3"/>
  <c r="G857" i="3"/>
  <c r="H857" i="3"/>
  <c r="I857" i="3"/>
  <c r="J857" i="3"/>
  <c r="K857" i="3"/>
  <c r="L857" i="3"/>
  <c r="M857" i="3"/>
  <c r="A858" i="3"/>
  <c r="B858" i="3"/>
  <c r="C858" i="3"/>
  <c r="D858" i="3"/>
  <c r="E858" i="3"/>
  <c r="F858" i="3"/>
  <c r="G858" i="3"/>
  <c r="H858" i="3"/>
  <c r="I858" i="3"/>
  <c r="J858" i="3"/>
  <c r="K858" i="3"/>
  <c r="L858" i="3"/>
  <c r="M858" i="3"/>
  <c r="A859" i="3"/>
  <c r="B859" i="3"/>
  <c r="C859" i="3"/>
  <c r="D859" i="3"/>
  <c r="E859" i="3"/>
  <c r="F859" i="3"/>
  <c r="G859" i="3"/>
  <c r="H859" i="3"/>
  <c r="I859" i="3"/>
  <c r="J859" i="3"/>
  <c r="K859" i="3"/>
  <c r="L859" i="3"/>
  <c r="M859" i="3"/>
  <c r="A860" i="3"/>
  <c r="B860" i="3"/>
  <c r="C860" i="3"/>
  <c r="D860" i="3"/>
  <c r="E860" i="3"/>
  <c r="F860" i="3"/>
  <c r="G860" i="3"/>
  <c r="H860" i="3"/>
  <c r="I860" i="3"/>
  <c r="J860" i="3"/>
  <c r="K860" i="3"/>
  <c r="L860" i="3"/>
  <c r="M860" i="3"/>
  <c r="A861" i="3"/>
  <c r="B861" i="3"/>
  <c r="C861" i="3"/>
  <c r="D861" i="3"/>
  <c r="E861" i="3"/>
  <c r="F861" i="3"/>
  <c r="G861" i="3"/>
  <c r="H861" i="3"/>
  <c r="I861" i="3"/>
  <c r="J861" i="3"/>
  <c r="K861" i="3"/>
  <c r="L861" i="3"/>
  <c r="M861" i="3"/>
  <c r="A862" i="3"/>
  <c r="B862" i="3"/>
  <c r="C862" i="3"/>
  <c r="D862" i="3"/>
  <c r="E862" i="3"/>
  <c r="F862" i="3"/>
  <c r="G862" i="3"/>
  <c r="H862" i="3"/>
  <c r="I862" i="3"/>
  <c r="J862" i="3"/>
  <c r="K862" i="3"/>
  <c r="L862" i="3"/>
  <c r="M862" i="3"/>
  <c r="A863" i="3"/>
  <c r="B863" i="3"/>
  <c r="C863" i="3"/>
  <c r="D863" i="3"/>
  <c r="E863" i="3"/>
  <c r="F863" i="3"/>
  <c r="G863" i="3"/>
  <c r="H863" i="3"/>
  <c r="I863" i="3"/>
  <c r="J863" i="3"/>
  <c r="K863" i="3"/>
  <c r="L863" i="3"/>
  <c r="M863" i="3"/>
  <c r="A864" i="3"/>
  <c r="B864" i="3"/>
  <c r="C864" i="3"/>
  <c r="D864" i="3"/>
  <c r="E864" i="3"/>
  <c r="F864" i="3"/>
  <c r="G864" i="3"/>
  <c r="H864" i="3"/>
  <c r="I864" i="3"/>
  <c r="J864" i="3"/>
  <c r="K864" i="3"/>
  <c r="L864" i="3"/>
  <c r="M864" i="3"/>
  <c r="A865" i="3"/>
  <c r="B865" i="3"/>
  <c r="C865" i="3"/>
  <c r="D865" i="3"/>
  <c r="E865" i="3"/>
  <c r="F865" i="3"/>
  <c r="G865" i="3"/>
  <c r="H865" i="3"/>
  <c r="I865" i="3"/>
  <c r="J865" i="3"/>
  <c r="K865" i="3"/>
  <c r="L865" i="3"/>
  <c r="M865" i="3"/>
  <c r="A866" i="3"/>
  <c r="B866" i="3"/>
  <c r="C866" i="3"/>
  <c r="D866" i="3"/>
  <c r="E866" i="3"/>
  <c r="F866" i="3"/>
  <c r="G866" i="3"/>
  <c r="H866" i="3"/>
  <c r="I866" i="3"/>
  <c r="J866" i="3"/>
  <c r="K866" i="3"/>
  <c r="L866" i="3"/>
  <c r="M866" i="3"/>
  <c r="A867" i="3"/>
  <c r="B867" i="3"/>
  <c r="C867" i="3"/>
  <c r="D867" i="3"/>
  <c r="E867" i="3"/>
  <c r="F867" i="3"/>
  <c r="G867" i="3"/>
  <c r="H867" i="3"/>
  <c r="I867" i="3"/>
  <c r="J867" i="3"/>
  <c r="K867" i="3"/>
  <c r="L867" i="3"/>
  <c r="M867" i="3"/>
  <c r="A868" i="3"/>
  <c r="B868" i="3"/>
  <c r="C868" i="3"/>
  <c r="D868" i="3"/>
  <c r="E868" i="3"/>
  <c r="F868" i="3"/>
  <c r="G868" i="3"/>
  <c r="H868" i="3"/>
  <c r="I868" i="3"/>
  <c r="J868" i="3"/>
  <c r="K868" i="3"/>
  <c r="L868" i="3"/>
  <c r="M868" i="3"/>
  <c r="A869" i="3"/>
  <c r="B869" i="3"/>
  <c r="C869" i="3"/>
  <c r="D869" i="3"/>
  <c r="E869" i="3"/>
  <c r="F869" i="3"/>
  <c r="G869" i="3"/>
  <c r="H869" i="3"/>
  <c r="I869" i="3"/>
  <c r="J869" i="3"/>
  <c r="K869" i="3"/>
  <c r="L869" i="3"/>
  <c r="M869" i="3"/>
  <c r="A870" i="3"/>
  <c r="B870" i="3"/>
  <c r="C870" i="3"/>
  <c r="D870" i="3"/>
  <c r="E870" i="3"/>
  <c r="F870" i="3"/>
  <c r="G870" i="3"/>
  <c r="H870" i="3"/>
  <c r="I870" i="3"/>
  <c r="J870" i="3"/>
  <c r="K870" i="3"/>
  <c r="L870" i="3"/>
  <c r="M870" i="3"/>
  <c r="A871" i="3"/>
  <c r="B871" i="3"/>
  <c r="C871" i="3"/>
  <c r="D871" i="3"/>
  <c r="E871" i="3"/>
  <c r="F871" i="3"/>
  <c r="G871" i="3"/>
  <c r="H871" i="3"/>
  <c r="I871" i="3"/>
  <c r="J871" i="3"/>
  <c r="K871" i="3"/>
  <c r="L871" i="3"/>
  <c r="M871" i="3"/>
  <c r="A872" i="3"/>
  <c r="B872" i="3"/>
  <c r="C872" i="3"/>
  <c r="D872" i="3"/>
  <c r="E872" i="3"/>
  <c r="F872" i="3"/>
  <c r="G872" i="3"/>
  <c r="H872" i="3"/>
  <c r="I872" i="3"/>
  <c r="J872" i="3"/>
  <c r="K872" i="3"/>
  <c r="L872" i="3"/>
  <c r="M872" i="3"/>
  <c r="A873" i="3"/>
  <c r="B873" i="3"/>
  <c r="C873" i="3"/>
  <c r="D873" i="3"/>
  <c r="E873" i="3"/>
  <c r="F873" i="3"/>
  <c r="G873" i="3"/>
  <c r="H873" i="3"/>
  <c r="I873" i="3"/>
  <c r="J873" i="3"/>
  <c r="K873" i="3"/>
  <c r="L873" i="3"/>
  <c r="M873" i="3"/>
  <c r="A874" i="3"/>
  <c r="B874" i="3"/>
  <c r="C874" i="3"/>
  <c r="D874" i="3"/>
  <c r="E874" i="3"/>
  <c r="F874" i="3"/>
  <c r="G874" i="3"/>
  <c r="H874" i="3"/>
  <c r="I874" i="3"/>
  <c r="J874" i="3"/>
  <c r="K874" i="3"/>
  <c r="L874" i="3"/>
  <c r="M874" i="3"/>
  <c r="A875" i="3"/>
  <c r="B875" i="3"/>
  <c r="C875" i="3"/>
  <c r="D875" i="3"/>
  <c r="E875" i="3"/>
  <c r="F875" i="3"/>
  <c r="G875" i="3"/>
  <c r="H875" i="3"/>
  <c r="I875" i="3"/>
  <c r="J875" i="3"/>
  <c r="K875" i="3"/>
  <c r="L875" i="3"/>
  <c r="M875" i="3"/>
  <c r="A876" i="3"/>
  <c r="B876" i="3"/>
  <c r="C876" i="3"/>
  <c r="D876" i="3"/>
  <c r="E876" i="3"/>
  <c r="F876" i="3"/>
  <c r="G876" i="3"/>
  <c r="H876" i="3"/>
  <c r="I876" i="3"/>
  <c r="J876" i="3"/>
  <c r="K876" i="3"/>
  <c r="L876" i="3"/>
  <c r="M876" i="3"/>
  <c r="A877" i="3"/>
  <c r="B877" i="3"/>
  <c r="C877" i="3"/>
  <c r="D877" i="3"/>
  <c r="E877" i="3"/>
  <c r="F877" i="3"/>
  <c r="G877" i="3"/>
  <c r="H877" i="3"/>
  <c r="I877" i="3"/>
  <c r="J877" i="3"/>
  <c r="K877" i="3"/>
  <c r="L877" i="3"/>
  <c r="M877" i="3"/>
  <c r="A878" i="3"/>
  <c r="B878" i="3"/>
  <c r="C878" i="3"/>
  <c r="D878" i="3"/>
  <c r="E878" i="3"/>
  <c r="F878" i="3"/>
  <c r="G878" i="3"/>
  <c r="H878" i="3"/>
  <c r="I878" i="3"/>
  <c r="J878" i="3"/>
  <c r="K878" i="3"/>
  <c r="L878" i="3"/>
  <c r="M878" i="3"/>
  <c r="A879" i="3"/>
  <c r="B879" i="3"/>
  <c r="C879" i="3"/>
  <c r="D879" i="3"/>
  <c r="E879" i="3"/>
  <c r="F879" i="3"/>
  <c r="G879" i="3"/>
  <c r="H879" i="3"/>
  <c r="I879" i="3"/>
  <c r="J879" i="3"/>
  <c r="K879" i="3"/>
  <c r="L879" i="3"/>
  <c r="M879" i="3"/>
  <c r="A880" i="3"/>
  <c r="B880" i="3"/>
  <c r="C880" i="3"/>
  <c r="D880" i="3"/>
  <c r="E880" i="3"/>
  <c r="F880" i="3"/>
  <c r="G880" i="3"/>
  <c r="H880" i="3"/>
  <c r="I880" i="3"/>
  <c r="J880" i="3"/>
  <c r="K880" i="3"/>
  <c r="L880" i="3"/>
  <c r="M880" i="3"/>
  <c r="A881" i="3"/>
  <c r="B881" i="3"/>
  <c r="C881" i="3"/>
  <c r="D881" i="3"/>
  <c r="E881" i="3"/>
  <c r="F881" i="3"/>
  <c r="G881" i="3"/>
  <c r="H881" i="3"/>
  <c r="I881" i="3"/>
  <c r="J881" i="3"/>
  <c r="K881" i="3"/>
  <c r="L881" i="3"/>
  <c r="M881" i="3"/>
  <c r="A882" i="3"/>
  <c r="B882" i="3"/>
  <c r="C882" i="3"/>
  <c r="D882" i="3"/>
  <c r="E882" i="3"/>
  <c r="F882" i="3"/>
  <c r="G882" i="3"/>
  <c r="H882" i="3"/>
  <c r="I882" i="3"/>
  <c r="J882" i="3"/>
  <c r="K882" i="3"/>
  <c r="L882" i="3"/>
  <c r="M882" i="3"/>
  <c r="A883" i="3"/>
  <c r="B883" i="3"/>
  <c r="C883" i="3"/>
  <c r="D883" i="3"/>
  <c r="E883" i="3"/>
  <c r="F883" i="3"/>
  <c r="G883" i="3"/>
  <c r="H883" i="3"/>
  <c r="I883" i="3"/>
  <c r="J883" i="3"/>
  <c r="K883" i="3"/>
  <c r="L883" i="3"/>
  <c r="M883" i="3"/>
  <c r="A884" i="3"/>
  <c r="B884" i="3"/>
  <c r="C884" i="3"/>
  <c r="D884" i="3"/>
  <c r="E884" i="3"/>
  <c r="F884" i="3"/>
  <c r="G884" i="3"/>
  <c r="H884" i="3"/>
  <c r="I884" i="3"/>
  <c r="J884" i="3"/>
  <c r="K884" i="3"/>
  <c r="L884" i="3"/>
  <c r="M884" i="3"/>
  <c r="A885" i="3"/>
  <c r="B885" i="3"/>
  <c r="C885" i="3"/>
  <c r="D885" i="3"/>
  <c r="E885" i="3"/>
  <c r="F885" i="3"/>
  <c r="G885" i="3"/>
  <c r="H885" i="3"/>
  <c r="I885" i="3"/>
  <c r="J885" i="3"/>
  <c r="K885" i="3"/>
  <c r="L885" i="3"/>
  <c r="M885" i="3"/>
  <c r="A886" i="3"/>
  <c r="B886" i="3"/>
  <c r="C886" i="3"/>
  <c r="D886" i="3"/>
  <c r="E886" i="3"/>
  <c r="F886" i="3"/>
  <c r="G886" i="3"/>
  <c r="H886" i="3"/>
  <c r="I886" i="3"/>
  <c r="J886" i="3"/>
  <c r="K886" i="3"/>
  <c r="L886" i="3"/>
  <c r="M886" i="3"/>
  <c r="A887" i="3"/>
  <c r="B887" i="3"/>
  <c r="C887" i="3"/>
  <c r="D887" i="3"/>
  <c r="E887" i="3"/>
  <c r="F887" i="3"/>
  <c r="G887" i="3"/>
  <c r="H887" i="3"/>
  <c r="I887" i="3"/>
  <c r="J887" i="3"/>
  <c r="K887" i="3"/>
  <c r="L887" i="3"/>
  <c r="M887" i="3"/>
  <c r="A888" i="3"/>
  <c r="B888" i="3"/>
  <c r="C888" i="3"/>
  <c r="D888" i="3"/>
  <c r="E888" i="3"/>
  <c r="F888" i="3"/>
  <c r="G888" i="3"/>
  <c r="H888" i="3"/>
  <c r="I888" i="3"/>
  <c r="J888" i="3"/>
  <c r="K888" i="3"/>
  <c r="L888" i="3"/>
  <c r="M888" i="3"/>
  <c r="A889" i="3"/>
  <c r="B889" i="3"/>
  <c r="C889" i="3"/>
  <c r="D889" i="3"/>
  <c r="E889" i="3"/>
  <c r="F889" i="3"/>
  <c r="G889" i="3"/>
  <c r="H889" i="3"/>
  <c r="I889" i="3"/>
  <c r="J889" i="3"/>
  <c r="K889" i="3"/>
  <c r="L889" i="3"/>
  <c r="M889" i="3"/>
  <c r="A890" i="3"/>
  <c r="B890" i="3"/>
  <c r="C890" i="3"/>
  <c r="D890" i="3"/>
  <c r="E890" i="3"/>
  <c r="F890" i="3"/>
  <c r="G890" i="3"/>
  <c r="H890" i="3"/>
  <c r="I890" i="3"/>
  <c r="J890" i="3"/>
  <c r="K890" i="3"/>
  <c r="L890" i="3"/>
  <c r="M890" i="3"/>
  <c r="A891" i="3"/>
  <c r="B891" i="3"/>
  <c r="C891" i="3"/>
  <c r="D891" i="3"/>
  <c r="E891" i="3"/>
  <c r="F891" i="3"/>
  <c r="G891" i="3"/>
  <c r="H891" i="3"/>
  <c r="I891" i="3"/>
  <c r="J891" i="3"/>
  <c r="K891" i="3"/>
  <c r="L891" i="3"/>
  <c r="M891" i="3"/>
  <c r="A892" i="3"/>
  <c r="B892" i="3"/>
  <c r="C892" i="3"/>
  <c r="D892" i="3"/>
  <c r="E892" i="3"/>
  <c r="F892" i="3"/>
  <c r="G892" i="3"/>
  <c r="H892" i="3"/>
  <c r="I892" i="3"/>
  <c r="J892" i="3"/>
  <c r="K892" i="3"/>
  <c r="L892" i="3"/>
  <c r="M892" i="3"/>
  <c r="A893" i="3"/>
  <c r="B893" i="3"/>
  <c r="C893" i="3"/>
  <c r="D893" i="3"/>
  <c r="E893" i="3"/>
  <c r="F893" i="3"/>
  <c r="G893" i="3"/>
  <c r="H893" i="3"/>
  <c r="I893" i="3"/>
  <c r="J893" i="3"/>
  <c r="K893" i="3"/>
  <c r="L893" i="3"/>
  <c r="M893" i="3"/>
  <c r="A894" i="3"/>
  <c r="B894" i="3"/>
  <c r="C894" i="3"/>
  <c r="D894" i="3"/>
  <c r="E894" i="3"/>
  <c r="F894" i="3"/>
  <c r="G894" i="3"/>
  <c r="H894" i="3"/>
  <c r="I894" i="3"/>
  <c r="J894" i="3"/>
  <c r="K894" i="3"/>
  <c r="L894" i="3"/>
  <c r="M894" i="3"/>
  <c r="A895" i="3"/>
  <c r="B895" i="3"/>
  <c r="C895" i="3"/>
  <c r="D895" i="3"/>
  <c r="E895" i="3"/>
  <c r="F895" i="3"/>
  <c r="G895" i="3"/>
  <c r="H895" i="3"/>
  <c r="I895" i="3"/>
  <c r="J895" i="3"/>
  <c r="K895" i="3"/>
  <c r="L895" i="3"/>
  <c r="M895" i="3"/>
  <c r="A896" i="3"/>
  <c r="B896" i="3"/>
  <c r="C896" i="3"/>
  <c r="D896" i="3"/>
  <c r="E896" i="3"/>
  <c r="F896" i="3"/>
  <c r="G896" i="3"/>
  <c r="H896" i="3"/>
  <c r="I896" i="3"/>
  <c r="J896" i="3"/>
  <c r="K896" i="3"/>
  <c r="L896" i="3"/>
  <c r="M896" i="3"/>
  <c r="A897" i="3"/>
  <c r="B897" i="3"/>
  <c r="C897" i="3"/>
  <c r="D897" i="3"/>
  <c r="E897" i="3"/>
  <c r="F897" i="3"/>
  <c r="G897" i="3"/>
  <c r="H897" i="3"/>
  <c r="I897" i="3"/>
  <c r="J897" i="3"/>
  <c r="K897" i="3"/>
  <c r="L897" i="3"/>
  <c r="M897" i="3"/>
  <c r="A898" i="3"/>
  <c r="B898" i="3"/>
  <c r="C898" i="3"/>
  <c r="D898" i="3"/>
  <c r="E898" i="3"/>
  <c r="F898" i="3"/>
  <c r="G898" i="3"/>
  <c r="H898" i="3"/>
  <c r="I898" i="3"/>
  <c r="J898" i="3"/>
  <c r="K898" i="3"/>
  <c r="L898" i="3"/>
  <c r="M898" i="3"/>
  <c r="A899" i="3"/>
  <c r="B899" i="3"/>
  <c r="C899" i="3"/>
  <c r="D899" i="3"/>
  <c r="E899" i="3"/>
  <c r="F899" i="3"/>
  <c r="G899" i="3"/>
  <c r="H899" i="3"/>
  <c r="I899" i="3"/>
  <c r="J899" i="3"/>
  <c r="K899" i="3"/>
  <c r="L899" i="3"/>
  <c r="M899" i="3"/>
  <c r="A900" i="3"/>
  <c r="B900" i="3"/>
  <c r="C900" i="3"/>
  <c r="D900" i="3"/>
  <c r="E900" i="3"/>
  <c r="F900" i="3"/>
  <c r="G900" i="3"/>
  <c r="H900" i="3"/>
  <c r="I900" i="3"/>
  <c r="J900" i="3"/>
  <c r="K900" i="3"/>
  <c r="L900" i="3"/>
  <c r="M900" i="3"/>
  <c r="A901" i="3"/>
  <c r="B901" i="3"/>
  <c r="C901" i="3"/>
  <c r="D901" i="3"/>
  <c r="E901" i="3"/>
  <c r="F901" i="3"/>
  <c r="G901" i="3"/>
  <c r="H901" i="3"/>
  <c r="I901" i="3"/>
  <c r="J901" i="3"/>
  <c r="K901" i="3"/>
  <c r="L901" i="3"/>
  <c r="M901" i="3"/>
  <c r="A902" i="3"/>
  <c r="B902" i="3"/>
  <c r="C902" i="3"/>
  <c r="D902" i="3"/>
  <c r="E902" i="3"/>
  <c r="F902" i="3"/>
  <c r="G902" i="3"/>
  <c r="H902" i="3"/>
  <c r="I902" i="3"/>
  <c r="J902" i="3"/>
  <c r="K902" i="3"/>
  <c r="L902" i="3"/>
  <c r="M902" i="3"/>
  <c r="A903" i="3"/>
  <c r="B903" i="3"/>
  <c r="C903" i="3"/>
  <c r="D903" i="3"/>
  <c r="E903" i="3"/>
  <c r="F903" i="3"/>
  <c r="G903" i="3"/>
  <c r="H903" i="3"/>
  <c r="I903" i="3"/>
  <c r="J903" i="3"/>
  <c r="K903" i="3"/>
  <c r="L903" i="3"/>
  <c r="M903" i="3"/>
  <c r="A904" i="3"/>
  <c r="B904" i="3"/>
  <c r="C904" i="3"/>
  <c r="D904" i="3"/>
  <c r="E904" i="3"/>
  <c r="F904" i="3"/>
  <c r="G904" i="3"/>
  <c r="H904" i="3"/>
  <c r="I904" i="3"/>
  <c r="J904" i="3"/>
  <c r="K904" i="3"/>
  <c r="L904" i="3"/>
  <c r="M904" i="3"/>
  <c r="A905" i="3"/>
  <c r="B905" i="3"/>
  <c r="C905" i="3"/>
  <c r="D905" i="3"/>
  <c r="E905" i="3"/>
  <c r="F905" i="3"/>
  <c r="G905" i="3"/>
  <c r="H905" i="3"/>
  <c r="I905" i="3"/>
  <c r="J905" i="3"/>
  <c r="K905" i="3"/>
  <c r="L905" i="3"/>
  <c r="M905" i="3"/>
  <c r="A906" i="3"/>
  <c r="B906" i="3"/>
  <c r="C906" i="3"/>
  <c r="D906" i="3"/>
  <c r="E906" i="3"/>
  <c r="F906" i="3"/>
  <c r="G906" i="3"/>
  <c r="H906" i="3"/>
  <c r="I906" i="3"/>
  <c r="J906" i="3"/>
  <c r="K906" i="3"/>
  <c r="L906" i="3"/>
  <c r="M906" i="3"/>
  <c r="A907" i="3"/>
  <c r="B907" i="3"/>
  <c r="C907" i="3"/>
  <c r="D907" i="3"/>
  <c r="E907" i="3"/>
  <c r="F907" i="3"/>
  <c r="G907" i="3"/>
  <c r="H907" i="3"/>
  <c r="I907" i="3"/>
  <c r="J907" i="3"/>
  <c r="K907" i="3"/>
  <c r="L907" i="3"/>
  <c r="M907" i="3"/>
  <c r="A908" i="3"/>
  <c r="B908" i="3"/>
  <c r="C908" i="3"/>
  <c r="D908" i="3"/>
  <c r="E908" i="3"/>
  <c r="F908" i="3"/>
  <c r="G908" i="3"/>
  <c r="H908" i="3"/>
  <c r="I908" i="3"/>
  <c r="J908" i="3"/>
  <c r="K908" i="3"/>
  <c r="L908" i="3"/>
  <c r="M908" i="3"/>
  <c r="A909" i="3"/>
  <c r="B909" i="3"/>
  <c r="C909" i="3"/>
  <c r="D909" i="3"/>
  <c r="E909" i="3"/>
  <c r="F909" i="3"/>
  <c r="G909" i="3"/>
  <c r="H909" i="3"/>
  <c r="I909" i="3"/>
  <c r="J909" i="3"/>
  <c r="K909" i="3"/>
  <c r="L909" i="3"/>
  <c r="M909" i="3"/>
  <c r="A910" i="3"/>
  <c r="B910" i="3"/>
  <c r="C910" i="3"/>
  <c r="D910" i="3"/>
  <c r="E910" i="3"/>
  <c r="F910" i="3"/>
  <c r="G910" i="3"/>
  <c r="H910" i="3"/>
  <c r="I910" i="3"/>
  <c r="J910" i="3"/>
  <c r="K910" i="3"/>
  <c r="L910" i="3"/>
  <c r="M910" i="3"/>
  <c r="A911" i="3"/>
  <c r="B911" i="3"/>
  <c r="C911" i="3"/>
  <c r="D911" i="3"/>
  <c r="E911" i="3"/>
  <c r="F911" i="3"/>
  <c r="G911" i="3"/>
  <c r="H911" i="3"/>
  <c r="I911" i="3"/>
  <c r="J911" i="3"/>
  <c r="K911" i="3"/>
  <c r="L911" i="3"/>
  <c r="M911" i="3"/>
  <c r="A912" i="3"/>
  <c r="B912" i="3"/>
  <c r="C912" i="3"/>
  <c r="D912" i="3"/>
  <c r="E912" i="3"/>
  <c r="F912" i="3"/>
  <c r="G912" i="3"/>
  <c r="H912" i="3"/>
  <c r="I912" i="3"/>
  <c r="J912" i="3"/>
  <c r="K912" i="3"/>
  <c r="L912" i="3"/>
  <c r="M912" i="3"/>
  <c r="A913" i="3"/>
  <c r="B913" i="3"/>
  <c r="C913" i="3"/>
  <c r="D913" i="3"/>
  <c r="E913" i="3"/>
  <c r="F913" i="3"/>
  <c r="G913" i="3"/>
  <c r="H913" i="3"/>
  <c r="I913" i="3"/>
  <c r="J913" i="3"/>
  <c r="K913" i="3"/>
  <c r="L913" i="3"/>
  <c r="M913" i="3"/>
  <c r="A914" i="3"/>
  <c r="B914" i="3"/>
  <c r="C914" i="3"/>
  <c r="D914" i="3"/>
  <c r="E914" i="3"/>
  <c r="F914" i="3"/>
  <c r="G914" i="3"/>
  <c r="H914" i="3"/>
  <c r="I914" i="3"/>
  <c r="J914" i="3"/>
  <c r="K914" i="3"/>
  <c r="L914" i="3"/>
  <c r="M914" i="3"/>
  <c r="A915" i="3"/>
  <c r="B915" i="3"/>
  <c r="C915" i="3"/>
  <c r="D915" i="3"/>
  <c r="E915" i="3"/>
  <c r="F915" i="3"/>
  <c r="G915" i="3"/>
  <c r="H915" i="3"/>
  <c r="I915" i="3"/>
  <c r="J915" i="3"/>
  <c r="K915" i="3"/>
  <c r="L915" i="3"/>
  <c r="M915" i="3"/>
  <c r="A916" i="3"/>
  <c r="B916" i="3"/>
  <c r="C916" i="3"/>
  <c r="D916" i="3"/>
  <c r="E916" i="3"/>
  <c r="F916" i="3"/>
  <c r="G916" i="3"/>
  <c r="H916" i="3"/>
  <c r="I916" i="3"/>
  <c r="J916" i="3"/>
  <c r="K916" i="3"/>
  <c r="L916" i="3"/>
  <c r="M916" i="3"/>
  <c r="A917" i="3"/>
  <c r="B917" i="3"/>
  <c r="C917" i="3"/>
  <c r="D917" i="3"/>
  <c r="E917" i="3"/>
  <c r="F917" i="3"/>
  <c r="G917" i="3"/>
  <c r="H917" i="3"/>
  <c r="I917" i="3"/>
  <c r="J917" i="3"/>
  <c r="K917" i="3"/>
  <c r="L917" i="3"/>
  <c r="M917" i="3"/>
  <c r="A918" i="3"/>
  <c r="B918" i="3"/>
  <c r="C918" i="3"/>
  <c r="D918" i="3"/>
  <c r="E918" i="3"/>
  <c r="F918" i="3"/>
  <c r="G918" i="3"/>
  <c r="H918" i="3"/>
  <c r="I918" i="3"/>
  <c r="J918" i="3"/>
  <c r="K918" i="3"/>
  <c r="L918" i="3"/>
  <c r="M918" i="3"/>
  <c r="A919" i="3"/>
  <c r="B919" i="3"/>
  <c r="C919" i="3"/>
  <c r="D919" i="3"/>
  <c r="E919" i="3"/>
  <c r="F919" i="3"/>
  <c r="G919" i="3"/>
  <c r="H919" i="3"/>
  <c r="I919" i="3"/>
  <c r="J919" i="3"/>
  <c r="K919" i="3"/>
  <c r="L919" i="3"/>
  <c r="M919" i="3"/>
  <c r="A920" i="3"/>
  <c r="B920" i="3"/>
  <c r="C920" i="3"/>
  <c r="D920" i="3"/>
  <c r="E920" i="3"/>
  <c r="F920" i="3"/>
  <c r="G920" i="3"/>
  <c r="H920" i="3"/>
  <c r="I920" i="3"/>
  <c r="J920" i="3"/>
  <c r="K920" i="3"/>
  <c r="L920" i="3"/>
  <c r="M920" i="3"/>
  <c r="A921" i="3"/>
  <c r="B921" i="3"/>
  <c r="C921" i="3"/>
  <c r="D921" i="3"/>
  <c r="E921" i="3"/>
  <c r="F921" i="3"/>
  <c r="G921" i="3"/>
  <c r="H921" i="3"/>
  <c r="I921" i="3"/>
  <c r="J921" i="3"/>
  <c r="K921" i="3"/>
  <c r="L921" i="3"/>
  <c r="M921" i="3"/>
  <c r="A922" i="3"/>
  <c r="B922" i="3"/>
  <c r="C922" i="3"/>
  <c r="D922" i="3"/>
  <c r="E922" i="3"/>
  <c r="F922" i="3"/>
  <c r="G922" i="3"/>
  <c r="H922" i="3"/>
  <c r="I922" i="3"/>
  <c r="J922" i="3"/>
  <c r="K922" i="3"/>
  <c r="L922" i="3"/>
  <c r="M922" i="3"/>
  <c r="A923" i="3"/>
  <c r="B923" i="3"/>
  <c r="C923" i="3"/>
  <c r="D923" i="3"/>
  <c r="E923" i="3"/>
  <c r="F923" i="3"/>
  <c r="G923" i="3"/>
  <c r="H923" i="3"/>
  <c r="I923" i="3"/>
  <c r="J923" i="3"/>
  <c r="K923" i="3"/>
  <c r="L923" i="3"/>
  <c r="M923" i="3"/>
  <c r="A924" i="3"/>
  <c r="B924" i="3"/>
  <c r="C924" i="3"/>
  <c r="D924" i="3"/>
  <c r="E924" i="3"/>
  <c r="F924" i="3"/>
  <c r="G924" i="3"/>
  <c r="H924" i="3"/>
  <c r="I924" i="3"/>
  <c r="J924" i="3"/>
  <c r="K924" i="3"/>
  <c r="L924" i="3"/>
  <c r="M924" i="3"/>
  <c r="A925" i="3"/>
  <c r="B925" i="3"/>
  <c r="C925" i="3"/>
  <c r="D925" i="3"/>
  <c r="E925" i="3"/>
  <c r="F925" i="3"/>
  <c r="G925" i="3"/>
  <c r="H925" i="3"/>
  <c r="I925" i="3"/>
  <c r="J925" i="3"/>
  <c r="K925" i="3"/>
  <c r="L925" i="3"/>
  <c r="M925" i="3"/>
  <c r="A926" i="3"/>
  <c r="B926" i="3"/>
  <c r="C926" i="3"/>
  <c r="D926" i="3"/>
  <c r="E926" i="3"/>
  <c r="F926" i="3"/>
  <c r="G926" i="3"/>
  <c r="H926" i="3"/>
  <c r="I926" i="3"/>
  <c r="J926" i="3"/>
  <c r="K926" i="3"/>
  <c r="L926" i="3"/>
  <c r="M926" i="3"/>
  <c r="A927" i="3"/>
  <c r="B927" i="3"/>
  <c r="C927" i="3"/>
  <c r="D927" i="3"/>
  <c r="E927" i="3"/>
  <c r="F927" i="3"/>
  <c r="G927" i="3"/>
  <c r="H927" i="3"/>
  <c r="I927" i="3"/>
  <c r="J927" i="3"/>
  <c r="K927" i="3"/>
  <c r="L927" i="3"/>
  <c r="M927" i="3"/>
  <c r="A928" i="3"/>
  <c r="B928" i="3"/>
  <c r="C928" i="3"/>
  <c r="D928" i="3"/>
  <c r="E928" i="3"/>
  <c r="F928" i="3"/>
  <c r="G928" i="3"/>
  <c r="H928" i="3"/>
  <c r="I928" i="3"/>
  <c r="J928" i="3"/>
  <c r="K928" i="3"/>
  <c r="L928" i="3"/>
  <c r="M928" i="3"/>
  <c r="A929" i="3"/>
  <c r="B929" i="3"/>
  <c r="C929" i="3"/>
  <c r="D929" i="3"/>
  <c r="E929" i="3"/>
  <c r="F929" i="3"/>
  <c r="G929" i="3"/>
  <c r="H929" i="3"/>
  <c r="I929" i="3"/>
  <c r="J929" i="3"/>
  <c r="K929" i="3"/>
  <c r="L929" i="3"/>
  <c r="M929" i="3"/>
  <c r="A930" i="3"/>
  <c r="B930" i="3"/>
  <c r="C930" i="3"/>
  <c r="D930" i="3"/>
  <c r="E930" i="3"/>
  <c r="F930" i="3"/>
  <c r="G930" i="3"/>
  <c r="H930" i="3"/>
  <c r="I930" i="3"/>
  <c r="J930" i="3"/>
  <c r="K930" i="3"/>
  <c r="L930" i="3"/>
  <c r="M930" i="3"/>
  <c r="A931" i="3"/>
  <c r="B931" i="3"/>
  <c r="C931" i="3"/>
  <c r="D931" i="3"/>
  <c r="E931" i="3"/>
  <c r="F931" i="3"/>
  <c r="G931" i="3"/>
  <c r="H931" i="3"/>
  <c r="I931" i="3"/>
  <c r="J931" i="3"/>
  <c r="K931" i="3"/>
  <c r="L931" i="3"/>
  <c r="M931" i="3"/>
  <c r="A932" i="3"/>
  <c r="B932" i="3"/>
  <c r="C932" i="3"/>
  <c r="D932" i="3"/>
  <c r="E932" i="3"/>
  <c r="F932" i="3"/>
  <c r="G932" i="3"/>
  <c r="H932" i="3"/>
  <c r="I932" i="3"/>
  <c r="J932" i="3"/>
  <c r="K932" i="3"/>
  <c r="L932" i="3"/>
  <c r="M932" i="3"/>
  <c r="A933" i="3"/>
  <c r="B933" i="3"/>
  <c r="C933" i="3"/>
  <c r="D933" i="3"/>
  <c r="E933" i="3"/>
  <c r="F933" i="3"/>
  <c r="G933" i="3"/>
  <c r="H933" i="3"/>
  <c r="I933" i="3"/>
  <c r="J933" i="3"/>
  <c r="K933" i="3"/>
  <c r="L933" i="3"/>
  <c r="M933" i="3"/>
  <c r="A934" i="3"/>
  <c r="B934" i="3"/>
  <c r="C934" i="3"/>
  <c r="D934" i="3"/>
  <c r="E934" i="3"/>
  <c r="F934" i="3"/>
  <c r="G934" i="3"/>
  <c r="H934" i="3"/>
  <c r="I934" i="3"/>
  <c r="J934" i="3"/>
  <c r="K934" i="3"/>
  <c r="L934" i="3"/>
  <c r="M934" i="3"/>
  <c r="A935" i="3"/>
  <c r="B935" i="3"/>
  <c r="C935" i="3"/>
  <c r="D935" i="3"/>
  <c r="E935" i="3"/>
  <c r="F935" i="3"/>
  <c r="G935" i="3"/>
  <c r="H935" i="3"/>
  <c r="I935" i="3"/>
  <c r="J935" i="3"/>
  <c r="K935" i="3"/>
  <c r="L935" i="3"/>
  <c r="M935" i="3"/>
  <c r="A936" i="3"/>
  <c r="B936" i="3"/>
  <c r="C936" i="3"/>
  <c r="D936" i="3"/>
  <c r="E936" i="3"/>
  <c r="F936" i="3"/>
  <c r="G936" i="3"/>
  <c r="H936" i="3"/>
  <c r="I936" i="3"/>
  <c r="J936" i="3"/>
  <c r="K936" i="3"/>
  <c r="L936" i="3"/>
  <c r="M936" i="3"/>
  <c r="A937" i="3"/>
  <c r="B937" i="3"/>
  <c r="C937" i="3"/>
  <c r="D937" i="3"/>
  <c r="E937" i="3"/>
  <c r="F937" i="3"/>
  <c r="G937" i="3"/>
  <c r="H937" i="3"/>
  <c r="I937" i="3"/>
  <c r="J937" i="3"/>
  <c r="K937" i="3"/>
  <c r="L937" i="3"/>
  <c r="M937" i="3"/>
  <c r="A938" i="3"/>
  <c r="B938" i="3"/>
  <c r="C938" i="3"/>
  <c r="D938" i="3"/>
  <c r="E938" i="3"/>
  <c r="F938" i="3"/>
  <c r="G938" i="3"/>
  <c r="H938" i="3"/>
  <c r="I938" i="3"/>
  <c r="J938" i="3"/>
  <c r="K938" i="3"/>
  <c r="L938" i="3"/>
  <c r="M938" i="3"/>
  <c r="A939" i="3"/>
  <c r="B939" i="3"/>
  <c r="C939" i="3"/>
  <c r="D939" i="3"/>
  <c r="E939" i="3"/>
  <c r="F939" i="3"/>
  <c r="G939" i="3"/>
  <c r="H939" i="3"/>
  <c r="I939" i="3"/>
  <c r="J939" i="3"/>
  <c r="K939" i="3"/>
  <c r="L939" i="3"/>
  <c r="M939" i="3"/>
  <c r="A940" i="3"/>
  <c r="B940" i="3"/>
  <c r="C940" i="3"/>
  <c r="D940" i="3"/>
  <c r="E940" i="3"/>
  <c r="F940" i="3"/>
  <c r="G940" i="3"/>
  <c r="H940" i="3"/>
  <c r="I940" i="3"/>
  <c r="J940" i="3"/>
  <c r="K940" i="3"/>
  <c r="L940" i="3"/>
  <c r="M940" i="3"/>
  <c r="A941" i="3"/>
  <c r="B941" i="3"/>
  <c r="C941" i="3"/>
  <c r="D941" i="3"/>
  <c r="E941" i="3"/>
  <c r="F941" i="3"/>
  <c r="G941" i="3"/>
  <c r="H941" i="3"/>
  <c r="I941" i="3"/>
  <c r="J941" i="3"/>
  <c r="K941" i="3"/>
  <c r="L941" i="3"/>
  <c r="M941" i="3"/>
  <c r="A942" i="3"/>
  <c r="B942" i="3"/>
  <c r="C942" i="3"/>
  <c r="D942" i="3"/>
  <c r="E942" i="3"/>
  <c r="F942" i="3"/>
  <c r="G942" i="3"/>
  <c r="H942" i="3"/>
  <c r="I942" i="3"/>
  <c r="J942" i="3"/>
  <c r="K942" i="3"/>
  <c r="L942" i="3"/>
  <c r="M942" i="3"/>
  <c r="A943" i="3"/>
  <c r="B943" i="3"/>
  <c r="C943" i="3"/>
  <c r="D943" i="3"/>
  <c r="E943" i="3"/>
  <c r="F943" i="3"/>
  <c r="G943" i="3"/>
  <c r="H943" i="3"/>
  <c r="I943" i="3"/>
  <c r="J943" i="3"/>
  <c r="K943" i="3"/>
  <c r="L943" i="3"/>
  <c r="M943" i="3"/>
  <c r="A944" i="3"/>
  <c r="B944" i="3"/>
  <c r="C944" i="3"/>
  <c r="D944" i="3"/>
  <c r="E944" i="3"/>
  <c r="F944" i="3"/>
  <c r="G944" i="3"/>
  <c r="H944" i="3"/>
  <c r="I944" i="3"/>
  <c r="J944" i="3"/>
  <c r="K944" i="3"/>
  <c r="L944" i="3"/>
  <c r="M944" i="3"/>
  <c r="A945" i="3"/>
  <c r="B945" i="3"/>
  <c r="C945" i="3"/>
  <c r="D945" i="3"/>
  <c r="E945" i="3"/>
  <c r="F945" i="3"/>
  <c r="G945" i="3"/>
  <c r="H945" i="3"/>
  <c r="I945" i="3"/>
  <c r="J945" i="3"/>
  <c r="K945" i="3"/>
  <c r="L945" i="3"/>
  <c r="M945" i="3"/>
  <c r="A946" i="3"/>
  <c r="B946" i="3"/>
  <c r="C946" i="3"/>
  <c r="D946" i="3"/>
  <c r="E946" i="3"/>
  <c r="F946" i="3"/>
  <c r="G946" i="3"/>
  <c r="H946" i="3"/>
  <c r="I946" i="3"/>
  <c r="J946" i="3"/>
  <c r="K946" i="3"/>
  <c r="L946" i="3"/>
  <c r="M946" i="3"/>
  <c r="A947" i="3"/>
  <c r="B947" i="3"/>
  <c r="C947" i="3"/>
  <c r="D947" i="3"/>
  <c r="E947" i="3"/>
  <c r="F947" i="3"/>
  <c r="G947" i="3"/>
  <c r="H947" i="3"/>
  <c r="I947" i="3"/>
  <c r="J947" i="3"/>
  <c r="K947" i="3"/>
  <c r="L947" i="3"/>
  <c r="M947" i="3"/>
  <c r="A948" i="3"/>
  <c r="B948" i="3"/>
  <c r="C948" i="3"/>
  <c r="D948" i="3"/>
  <c r="E948" i="3"/>
  <c r="F948" i="3"/>
  <c r="G948" i="3"/>
  <c r="H948" i="3"/>
  <c r="I948" i="3"/>
  <c r="J948" i="3"/>
  <c r="K948" i="3"/>
  <c r="L948" i="3"/>
  <c r="M948" i="3"/>
  <c r="A949" i="3"/>
  <c r="B949" i="3"/>
  <c r="C949" i="3"/>
  <c r="D949" i="3"/>
  <c r="E949" i="3"/>
  <c r="F949" i="3"/>
  <c r="G949" i="3"/>
  <c r="H949" i="3"/>
  <c r="I949" i="3"/>
  <c r="J949" i="3"/>
  <c r="K949" i="3"/>
  <c r="L949" i="3"/>
  <c r="M949" i="3"/>
  <c r="A950" i="3"/>
  <c r="B950" i="3"/>
  <c r="C950" i="3"/>
  <c r="D950" i="3"/>
  <c r="E950" i="3"/>
  <c r="F950" i="3"/>
  <c r="G950" i="3"/>
  <c r="H950" i="3"/>
  <c r="I950" i="3"/>
  <c r="J950" i="3"/>
  <c r="K950" i="3"/>
  <c r="L950" i="3"/>
  <c r="M950" i="3"/>
  <c r="A951" i="3"/>
  <c r="B951" i="3"/>
  <c r="C951" i="3"/>
  <c r="D951" i="3"/>
  <c r="E951" i="3"/>
  <c r="F951" i="3"/>
  <c r="G951" i="3"/>
  <c r="H951" i="3"/>
  <c r="I951" i="3"/>
  <c r="J951" i="3"/>
  <c r="K951" i="3"/>
  <c r="L951" i="3"/>
  <c r="M951" i="3"/>
  <c r="A952" i="3"/>
  <c r="B952" i="3"/>
  <c r="C952" i="3"/>
  <c r="D952" i="3"/>
  <c r="E952" i="3"/>
  <c r="F952" i="3"/>
  <c r="G952" i="3"/>
  <c r="H952" i="3"/>
  <c r="I952" i="3"/>
  <c r="J952" i="3"/>
  <c r="K952" i="3"/>
  <c r="L952" i="3"/>
  <c r="M952" i="3"/>
  <c r="A953" i="3"/>
  <c r="B953" i="3"/>
  <c r="C953" i="3"/>
  <c r="D953" i="3"/>
  <c r="E953" i="3"/>
  <c r="F953" i="3"/>
  <c r="G953" i="3"/>
  <c r="H953" i="3"/>
  <c r="I953" i="3"/>
  <c r="J953" i="3"/>
  <c r="K953" i="3"/>
  <c r="L953" i="3"/>
  <c r="M953" i="3"/>
  <c r="A954" i="3"/>
  <c r="B954" i="3"/>
  <c r="C954" i="3"/>
  <c r="D954" i="3"/>
  <c r="E954" i="3"/>
  <c r="F954" i="3"/>
  <c r="G954" i="3"/>
  <c r="H954" i="3"/>
  <c r="I954" i="3"/>
  <c r="J954" i="3"/>
  <c r="K954" i="3"/>
  <c r="L954" i="3"/>
  <c r="M954" i="3"/>
  <c r="A955" i="3"/>
  <c r="B955" i="3"/>
  <c r="C955" i="3"/>
  <c r="D955" i="3"/>
  <c r="E955" i="3"/>
  <c r="F955" i="3"/>
  <c r="G955" i="3"/>
  <c r="H955" i="3"/>
  <c r="I955" i="3"/>
  <c r="J955" i="3"/>
  <c r="K955" i="3"/>
  <c r="L955" i="3"/>
  <c r="M955" i="3"/>
  <c r="A956" i="3"/>
  <c r="B956" i="3"/>
  <c r="C956" i="3"/>
  <c r="D956" i="3"/>
  <c r="E956" i="3"/>
  <c r="F956" i="3"/>
  <c r="G956" i="3"/>
  <c r="H956" i="3"/>
  <c r="I956" i="3"/>
  <c r="J956" i="3"/>
  <c r="K956" i="3"/>
  <c r="L956" i="3"/>
  <c r="M956" i="3"/>
  <c r="A957" i="3"/>
  <c r="B957" i="3"/>
  <c r="C957" i="3"/>
  <c r="D957" i="3"/>
  <c r="E957" i="3"/>
  <c r="F957" i="3"/>
  <c r="G957" i="3"/>
  <c r="H957" i="3"/>
  <c r="I957" i="3"/>
  <c r="J957" i="3"/>
  <c r="K957" i="3"/>
  <c r="L957" i="3"/>
  <c r="M957" i="3"/>
  <c r="A958" i="3"/>
  <c r="B958" i="3"/>
  <c r="C958" i="3"/>
  <c r="D958" i="3"/>
  <c r="E958" i="3"/>
  <c r="F958" i="3"/>
  <c r="G958" i="3"/>
  <c r="H958" i="3"/>
  <c r="I958" i="3"/>
  <c r="J958" i="3"/>
  <c r="K958" i="3"/>
  <c r="L958" i="3"/>
  <c r="M958" i="3"/>
  <c r="A959" i="3"/>
  <c r="B959" i="3"/>
  <c r="C959" i="3"/>
  <c r="D959" i="3"/>
  <c r="E959" i="3"/>
  <c r="F959" i="3"/>
  <c r="G959" i="3"/>
  <c r="H959" i="3"/>
  <c r="I959" i="3"/>
  <c r="J959" i="3"/>
  <c r="K959" i="3"/>
  <c r="L959" i="3"/>
  <c r="M959" i="3"/>
  <c r="A960" i="3"/>
  <c r="B960" i="3"/>
  <c r="C960" i="3"/>
  <c r="D960" i="3"/>
  <c r="E960" i="3"/>
  <c r="F960" i="3"/>
  <c r="G960" i="3"/>
  <c r="H960" i="3"/>
  <c r="I960" i="3"/>
  <c r="J960" i="3"/>
  <c r="K960" i="3"/>
  <c r="L960" i="3"/>
  <c r="M960" i="3"/>
  <c r="A961" i="3"/>
  <c r="B961" i="3"/>
  <c r="C961" i="3"/>
  <c r="D961" i="3"/>
  <c r="E961" i="3"/>
  <c r="F961" i="3"/>
  <c r="G961" i="3"/>
  <c r="H961" i="3"/>
  <c r="I961" i="3"/>
  <c r="J961" i="3"/>
  <c r="K961" i="3"/>
  <c r="L961" i="3"/>
  <c r="M961" i="3"/>
  <c r="A962" i="3"/>
  <c r="B962" i="3"/>
  <c r="C962" i="3"/>
  <c r="D962" i="3"/>
  <c r="E962" i="3"/>
  <c r="F962" i="3"/>
  <c r="G962" i="3"/>
  <c r="H962" i="3"/>
  <c r="I962" i="3"/>
  <c r="J962" i="3"/>
  <c r="K962" i="3"/>
  <c r="L962" i="3"/>
  <c r="M962" i="3"/>
  <c r="A963" i="3"/>
  <c r="B963" i="3"/>
  <c r="C963" i="3"/>
  <c r="D963" i="3"/>
  <c r="E963" i="3"/>
  <c r="F963" i="3"/>
  <c r="G963" i="3"/>
  <c r="H963" i="3"/>
  <c r="I963" i="3"/>
  <c r="J963" i="3"/>
  <c r="K963" i="3"/>
  <c r="L963" i="3"/>
  <c r="M963" i="3"/>
  <c r="A964" i="3"/>
  <c r="B964" i="3"/>
  <c r="C964" i="3"/>
  <c r="D964" i="3"/>
  <c r="E964" i="3"/>
  <c r="F964" i="3"/>
  <c r="G964" i="3"/>
  <c r="H964" i="3"/>
  <c r="I964" i="3"/>
  <c r="J964" i="3"/>
  <c r="K964" i="3"/>
  <c r="L964" i="3"/>
  <c r="M964" i="3"/>
  <c r="A965" i="3"/>
  <c r="B965" i="3"/>
  <c r="C965" i="3"/>
  <c r="D965" i="3"/>
  <c r="E965" i="3"/>
  <c r="F965" i="3"/>
  <c r="G965" i="3"/>
  <c r="H965" i="3"/>
  <c r="I965" i="3"/>
  <c r="J965" i="3"/>
  <c r="K965" i="3"/>
  <c r="L965" i="3"/>
  <c r="M965" i="3"/>
  <c r="A966" i="3"/>
  <c r="B966" i="3"/>
  <c r="C966" i="3"/>
  <c r="D966" i="3"/>
  <c r="E966" i="3"/>
  <c r="F966" i="3"/>
  <c r="G966" i="3"/>
  <c r="H966" i="3"/>
  <c r="I966" i="3"/>
  <c r="J966" i="3"/>
  <c r="K966" i="3"/>
  <c r="L966" i="3"/>
  <c r="M966" i="3"/>
  <c r="A967" i="3"/>
  <c r="B967" i="3"/>
  <c r="C967" i="3"/>
  <c r="D967" i="3"/>
  <c r="E967" i="3"/>
  <c r="F967" i="3"/>
  <c r="G967" i="3"/>
  <c r="H967" i="3"/>
  <c r="I967" i="3"/>
  <c r="J967" i="3"/>
  <c r="K967" i="3"/>
  <c r="L967" i="3"/>
  <c r="M967" i="3"/>
  <c r="A968" i="3"/>
  <c r="B968" i="3"/>
  <c r="C968" i="3"/>
  <c r="D968" i="3"/>
  <c r="E968" i="3"/>
  <c r="F968" i="3"/>
  <c r="G968" i="3"/>
  <c r="H968" i="3"/>
  <c r="I968" i="3"/>
  <c r="J968" i="3"/>
  <c r="K968" i="3"/>
  <c r="L968" i="3"/>
  <c r="M968" i="3"/>
  <c r="A969" i="3"/>
  <c r="B969" i="3"/>
  <c r="C969" i="3"/>
  <c r="D969" i="3"/>
  <c r="E969" i="3"/>
  <c r="F969" i="3"/>
  <c r="G969" i="3"/>
  <c r="H969" i="3"/>
  <c r="I969" i="3"/>
  <c r="J969" i="3"/>
  <c r="K969" i="3"/>
  <c r="L969" i="3"/>
  <c r="M969" i="3"/>
  <c r="A970" i="3"/>
  <c r="B970" i="3"/>
  <c r="C970" i="3"/>
  <c r="D970" i="3"/>
  <c r="E970" i="3"/>
  <c r="F970" i="3"/>
  <c r="G970" i="3"/>
  <c r="H970" i="3"/>
  <c r="I970" i="3"/>
  <c r="J970" i="3"/>
  <c r="K970" i="3"/>
  <c r="L970" i="3"/>
  <c r="M970" i="3"/>
  <c r="A971" i="3"/>
  <c r="B971" i="3"/>
  <c r="C971" i="3"/>
  <c r="D971" i="3"/>
  <c r="E971" i="3"/>
  <c r="F971" i="3"/>
  <c r="G971" i="3"/>
  <c r="H971" i="3"/>
  <c r="I971" i="3"/>
  <c r="J971" i="3"/>
  <c r="K971" i="3"/>
  <c r="L971" i="3"/>
  <c r="M971" i="3"/>
  <c r="A972" i="3"/>
  <c r="B972" i="3"/>
  <c r="C972" i="3"/>
  <c r="D972" i="3"/>
  <c r="E972" i="3"/>
  <c r="F972" i="3"/>
  <c r="G972" i="3"/>
  <c r="H972" i="3"/>
  <c r="I972" i="3"/>
  <c r="J972" i="3"/>
  <c r="K972" i="3"/>
  <c r="L972" i="3"/>
  <c r="M972" i="3"/>
  <c r="A973" i="3"/>
  <c r="B973" i="3"/>
  <c r="C973" i="3"/>
  <c r="D973" i="3"/>
  <c r="E973" i="3"/>
  <c r="F973" i="3"/>
  <c r="G973" i="3"/>
  <c r="H973" i="3"/>
  <c r="I973" i="3"/>
  <c r="J973" i="3"/>
  <c r="K973" i="3"/>
  <c r="L973" i="3"/>
  <c r="M973" i="3"/>
  <c r="A974" i="3"/>
  <c r="B974" i="3"/>
  <c r="C974" i="3"/>
  <c r="D974" i="3"/>
  <c r="E974" i="3"/>
  <c r="F974" i="3"/>
  <c r="G974" i="3"/>
  <c r="H974" i="3"/>
  <c r="I974" i="3"/>
  <c r="J974" i="3"/>
  <c r="K974" i="3"/>
  <c r="L974" i="3"/>
  <c r="M974" i="3"/>
  <c r="A975" i="3"/>
  <c r="B975" i="3"/>
  <c r="C975" i="3"/>
  <c r="D975" i="3"/>
  <c r="E975" i="3"/>
  <c r="F975" i="3"/>
  <c r="G975" i="3"/>
  <c r="H975" i="3"/>
  <c r="I975" i="3"/>
  <c r="J975" i="3"/>
  <c r="K975" i="3"/>
  <c r="L975" i="3"/>
  <c r="M975" i="3"/>
  <c r="A976" i="3"/>
  <c r="B976" i="3"/>
  <c r="C976" i="3"/>
  <c r="D976" i="3"/>
  <c r="E976" i="3"/>
  <c r="F976" i="3"/>
  <c r="G976" i="3"/>
  <c r="H976" i="3"/>
  <c r="I976" i="3"/>
  <c r="J976" i="3"/>
  <c r="K976" i="3"/>
  <c r="L976" i="3"/>
  <c r="M976" i="3"/>
  <c r="A977" i="3"/>
  <c r="B977" i="3"/>
  <c r="C977" i="3"/>
  <c r="D977" i="3"/>
  <c r="E977" i="3"/>
  <c r="F977" i="3"/>
  <c r="G977" i="3"/>
  <c r="H977" i="3"/>
  <c r="I977" i="3"/>
  <c r="J977" i="3"/>
  <c r="K977" i="3"/>
  <c r="L977" i="3"/>
  <c r="M977" i="3"/>
  <c r="A978" i="3"/>
  <c r="B978" i="3"/>
  <c r="C978" i="3"/>
  <c r="D978" i="3"/>
  <c r="E978" i="3"/>
  <c r="F978" i="3"/>
  <c r="G978" i="3"/>
  <c r="H978" i="3"/>
  <c r="I978" i="3"/>
  <c r="J978" i="3"/>
  <c r="K978" i="3"/>
  <c r="L978" i="3"/>
  <c r="M978" i="3"/>
  <c r="A979" i="3"/>
  <c r="B979" i="3"/>
  <c r="C979" i="3"/>
  <c r="D979" i="3"/>
  <c r="E979" i="3"/>
  <c r="F979" i="3"/>
  <c r="G979" i="3"/>
  <c r="H979" i="3"/>
  <c r="I979" i="3"/>
  <c r="J979" i="3"/>
  <c r="K979" i="3"/>
  <c r="L979" i="3"/>
  <c r="M979" i="3"/>
  <c r="A980" i="3"/>
  <c r="B980" i="3"/>
  <c r="C980" i="3"/>
  <c r="D980" i="3"/>
  <c r="E980" i="3"/>
  <c r="F980" i="3"/>
  <c r="G980" i="3"/>
  <c r="H980" i="3"/>
  <c r="I980" i="3"/>
  <c r="J980" i="3"/>
  <c r="K980" i="3"/>
  <c r="L980" i="3"/>
  <c r="M980" i="3"/>
  <c r="A981" i="3"/>
  <c r="B981" i="3"/>
  <c r="C981" i="3"/>
  <c r="D981" i="3"/>
  <c r="E981" i="3"/>
  <c r="F981" i="3"/>
  <c r="G981" i="3"/>
  <c r="H981" i="3"/>
  <c r="I981" i="3"/>
  <c r="J981" i="3"/>
  <c r="K981" i="3"/>
  <c r="L981" i="3"/>
  <c r="M981" i="3"/>
  <c r="A982" i="3"/>
  <c r="B982" i="3"/>
  <c r="C982" i="3"/>
  <c r="D982" i="3"/>
  <c r="E982" i="3"/>
  <c r="F982" i="3"/>
  <c r="G982" i="3"/>
  <c r="H982" i="3"/>
  <c r="I982" i="3"/>
  <c r="J982" i="3"/>
  <c r="K982" i="3"/>
  <c r="L982" i="3"/>
  <c r="M982" i="3"/>
  <c r="A983" i="3"/>
  <c r="B983" i="3"/>
  <c r="C983" i="3"/>
  <c r="D983" i="3"/>
  <c r="E983" i="3"/>
  <c r="F983" i="3"/>
  <c r="G983" i="3"/>
  <c r="H983" i="3"/>
  <c r="I983" i="3"/>
  <c r="J983" i="3"/>
  <c r="K983" i="3"/>
  <c r="L983" i="3"/>
  <c r="M983" i="3"/>
  <c r="A984" i="3"/>
  <c r="B984" i="3"/>
  <c r="C984" i="3"/>
  <c r="D984" i="3"/>
  <c r="E984" i="3"/>
  <c r="F984" i="3"/>
  <c r="G984" i="3"/>
  <c r="H984" i="3"/>
  <c r="I984" i="3"/>
  <c r="J984" i="3"/>
  <c r="K984" i="3"/>
  <c r="L984" i="3"/>
  <c r="M984" i="3"/>
  <c r="A985" i="3"/>
  <c r="B985" i="3"/>
  <c r="C985" i="3"/>
  <c r="D985" i="3"/>
  <c r="E985" i="3"/>
  <c r="F985" i="3"/>
  <c r="G985" i="3"/>
  <c r="H985" i="3"/>
  <c r="I985" i="3"/>
  <c r="J985" i="3"/>
  <c r="K985" i="3"/>
  <c r="L985" i="3"/>
  <c r="M985" i="3"/>
  <c r="A986" i="3"/>
  <c r="B986" i="3"/>
  <c r="C986" i="3"/>
  <c r="D986" i="3"/>
  <c r="E986" i="3"/>
  <c r="F986" i="3"/>
  <c r="G986" i="3"/>
  <c r="H986" i="3"/>
  <c r="I986" i="3"/>
  <c r="J986" i="3"/>
  <c r="K986" i="3"/>
  <c r="L986" i="3"/>
  <c r="M986" i="3"/>
  <c r="A987" i="3"/>
  <c r="B987" i="3"/>
  <c r="C987" i="3"/>
  <c r="D987" i="3"/>
  <c r="E987" i="3"/>
  <c r="F987" i="3"/>
  <c r="G987" i="3"/>
  <c r="H987" i="3"/>
  <c r="I987" i="3"/>
  <c r="J987" i="3"/>
  <c r="K987" i="3"/>
  <c r="L987" i="3"/>
  <c r="M987" i="3"/>
  <c r="A988" i="3"/>
  <c r="B988" i="3"/>
  <c r="C988" i="3"/>
  <c r="D988" i="3"/>
  <c r="E988" i="3"/>
  <c r="F988" i="3"/>
  <c r="G988" i="3"/>
  <c r="H988" i="3"/>
  <c r="I988" i="3"/>
  <c r="J988" i="3"/>
  <c r="K988" i="3"/>
  <c r="L988" i="3"/>
  <c r="M988" i="3"/>
  <c r="A989" i="3"/>
  <c r="B989" i="3"/>
  <c r="C989" i="3"/>
  <c r="D989" i="3"/>
  <c r="E989" i="3"/>
  <c r="F989" i="3"/>
  <c r="G989" i="3"/>
  <c r="H989" i="3"/>
  <c r="I989" i="3"/>
  <c r="J989" i="3"/>
  <c r="K989" i="3"/>
  <c r="L989" i="3"/>
  <c r="M989" i="3"/>
  <c r="A990" i="3"/>
  <c r="B990" i="3"/>
  <c r="C990" i="3"/>
  <c r="D990" i="3"/>
  <c r="E990" i="3"/>
  <c r="F990" i="3"/>
  <c r="G990" i="3"/>
  <c r="H990" i="3"/>
  <c r="I990" i="3"/>
  <c r="J990" i="3"/>
  <c r="K990" i="3"/>
  <c r="L990" i="3"/>
  <c r="M990" i="3"/>
  <c r="A991" i="3"/>
  <c r="B991" i="3"/>
  <c r="C991" i="3"/>
  <c r="D991" i="3"/>
  <c r="E991" i="3"/>
  <c r="F991" i="3"/>
  <c r="G991" i="3"/>
  <c r="H991" i="3"/>
  <c r="I991" i="3"/>
  <c r="J991" i="3"/>
  <c r="K991" i="3"/>
  <c r="L991" i="3"/>
  <c r="M991" i="3"/>
  <c r="A992" i="3"/>
  <c r="B992" i="3"/>
  <c r="C992" i="3"/>
  <c r="D992" i="3"/>
  <c r="E992" i="3"/>
  <c r="F992" i="3"/>
  <c r="G992" i="3"/>
  <c r="H992" i="3"/>
  <c r="I992" i="3"/>
  <c r="J992" i="3"/>
  <c r="K992" i="3"/>
  <c r="L992" i="3"/>
  <c r="M992" i="3"/>
  <c r="A993" i="3"/>
  <c r="B993" i="3"/>
  <c r="C993" i="3"/>
  <c r="D993" i="3"/>
  <c r="E993" i="3"/>
  <c r="F993" i="3"/>
  <c r="G993" i="3"/>
  <c r="H993" i="3"/>
  <c r="I993" i="3"/>
  <c r="J993" i="3"/>
  <c r="K993" i="3"/>
  <c r="L993" i="3"/>
  <c r="M993" i="3"/>
  <c r="A994" i="3"/>
  <c r="B994" i="3"/>
  <c r="C994" i="3"/>
  <c r="D994" i="3"/>
  <c r="E994" i="3"/>
  <c r="F994" i="3"/>
  <c r="G994" i="3"/>
  <c r="H994" i="3"/>
  <c r="I994" i="3"/>
  <c r="J994" i="3"/>
  <c r="K994" i="3"/>
  <c r="L994" i="3"/>
  <c r="M994" i="3"/>
  <c r="A995" i="3"/>
  <c r="B995" i="3"/>
  <c r="C995" i="3"/>
  <c r="D995" i="3"/>
  <c r="E995" i="3"/>
  <c r="F995" i="3"/>
  <c r="G995" i="3"/>
  <c r="H995" i="3"/>
  <c r="I995" i="3"/>
  <c r="J995" i="3"/>
  <c r="K995" i="3"/>
  <c r="L995" i="3"/>
  <c r="M995" i="3"/>
  <c r="A996" i="3"/>
  <c r="B996" i="3"/>
  <c r="C996" i="3"/>
  <c r="D996" i="3"/>
  <c r="E996" i="3"/>
  <c r="F996" i="3"/>
  <c r="G996" i="3"/>
  <c r="H996" i="3"/>
  <c r="I996" i="3"/>
  <c r="J996" i="3"/>
  <c r="K996" i="3"/>
  <c r="L996" i="3"/>
  <c r="M996" i="3"/>
  <c r="A997" i="3"/>
  <c r="B997" i="3"/>
  <c r="C997" i="3"/>
  <c r="D997" i="3"/>
  <c r="E997" i="3"/>
  <c r="F997" i="3"/>
  <c r="G997" i="3"/>
  <c r="H997" i="3"/>
  <c r="I997" i="3"/>
  <c r="J997" i="3"/>
  <c r="K997" i="3"/>
  <c r="L997" i="3"/>
  <c r="M997" i="3"/>
  <c r="A998" i="3"/>
  <c r="B998" i="3"/>
  <c r="C998" i="3"/>
  <c r="D998" i="3"/>
  <c r="E998" i="3"/>
  <c r="F998" i="3"/>
  <c r="G998" i="3"/>
  <c r="H998" i="3"/>
  <c r="I998" i="3"/>
  <c r="J998" i="3"/>
  <c r="K998" i="3"/>
  <c r="L998" i="3"/>
  <c r="M998" i="3"/>
  <c r="A999" i="3"/>
  <c r="B999" i="3"/>
  <c r="C999" i="3"/>
  <c r="D999" i="3"/>
  <c r="E999" i="3"/>
  <c r="F999" i="3"/>
  <c r="G999" i="3"/>
  <c r="H999" i="3"/>
  <c r="I999" i="3"/>
  <c r="J999" i="3"/>
  <c r="K999" i="3"/>
  <c r="L999" i="3"/>
  <c r="M999" i="3"/>
  <c r="A1000" i="3"/>
  <c r="B1000" i="3"/>
  <c r="C1000" i="3"/>
  <c r="D1000" i="3"/>
  <c r="E1000" i="3"/>
  <c r="F1000" i="3"/>
  <c r="G1000" i="3"/>
  <c r="H1000" i="3"/>
  <c r="I1000" i="3"/>
  <c r="J1000" i="3"/>
  <c r="K1000" i="3"/>
  <c r="L1000" i="3"/>
  <c r="M1000" i="3"/>
  <c r="A1001" i="3"/>
  <c r="B1001" i="3"/>
  <c r="C1001" i="3"/>
  <c r="D1001" i="3"/>
  <c r="E1001" i="3"/>
  <c r="F1001" i="3"/>
  <c r="G1001" i="3"/>
  <c r="H1001" i="3"/>
  <c r="I1001" i="3"/>
  <c r="J1001" i="3"/>
  <c r="K1001" i="3"/>
  <c r="L1001" i="3"/>
  <c r="M1001" i="3"/>
  <c r="A1002" i="3"/>
  <c r="B1002" i="3"/>
  <c r="C1002" i="3"/>
  <c r="D1002" i="3"/>
  <c r="E1002" i="3"/>
  <c r="F1002" i="3"/>
  <c r="G1002" i="3"/>
  <c r="H1002" i="3"/>
  <c r="I1002" i="3"/>
  <c r="J1002" i="3"/>
  <c r="K1002" i="3"/>
  <c r="L1002" i="3"/>
  <c r="M1002" i="3"/>
  <c r="A1003" i="3"/>
  <c r="B1003" i="3"/>
  <c r="C1003" i="3"/>
  <c r="D1003" i="3"/>
  <c r="E1003" i="3"/>
  <c r="F1003" i="3"/>
  <c r="G1003" i="3"/>
  <c r="H1003" i="3"/>
  <c r="I1003" i="3"/>
  <c r="J1003" i="3"/>
  <c r="K1003" i="3"/>
  <c r="L1003" i="3"/>
  <c r="M1003" i="3"/>
  <c r="A1004" i="3"/>
  <c r="B1004" i="3"/>
  <c r="C1004" i="3"/>
  <c r="D1004" i="3"/>
  <c r="E1004" i="3"/>
  <c r="F1004" i="3"/>
  <c r="G1004" i="3"/>
  <c r="H1004" i="3"/>
  <c r="I1004" i="3"/>
  <c r="J1004" i="3"/>
  <c r="K1004" i="3"/>
  <c r="L1004" i="3"/>
  <c r="M1004" i="3"/>
  <c r="A1005" i="3"/>
  <c r="B1005" i="3"/>
  <c r="C1005" i="3"/>
  <c r="D1005" i="3"/>
  <c r="E1005" i="3"/>
  <c r="F1005" i="3"/>
  <c r="G1005" i="3"/>
  <c r="H1005" i="3"/>
  <c r="I1005" i="3"/>
  <c r="J1005" i="3"/>
  <c r="K1005" i="3"/>
  <c r="L1005" i="3"/>
  <c r="M1005" i="3"/>
  <c r="A1006" i="3"/>
  <c r="B1006" i="3"/>
  <c r="C1006" i="3"/>
  <c r="D1006" i="3"/>
  <c r="E1006" i="3"/>
  <c r="F1006" i="3"/>
  <c r="G1006" i="3"/>
  <c r="H1006" i="3"/>
  <c r="I1006" i="3"/>
  <c r="J1006" i="3"/>
  <c r="K1006" i="3"/>
  <c r="L1006" i="3"/>
  <c r="M1006" i="3"/>
  <c r="A1007" i="3"/>
  <c r="B1007" i="3"/>
  <c r="C1007" i="3"/>
  <c r="D1007" i="3"/>
  <c r="E1007" i="3"/>
  <c r="F1007" i="3"/>
  <c r="G1007" i="3"/>
  <c r="H1007" i="3"/>
  <c r="I1007" i="3"/>
  <c r="J1007" i="3"/>
  <c r="K1007" i="3"/>
  <c r="L1007" i="3"/>
  <c r="M1007" i="3"/>
  <c r="A1008" i="3"/>
  <c r="B1008" i="3"/>
  <c r="C1008" i="3"/>
  <c r="D1008" i="3"/>
  <c r="E1008" i="3"/>
  <c r="F1008" i="3"/>
  <c r="G1008" i="3"/>
  <c r="H1008" i="3"/>
  <c r="I1008" i="3"/>
  <c r="J1008" i="3"/>
  <c r="K1008" i="3"/>
  <c r="L1008" i="3"/>
  <c r="M1008" i="3"/>
  <c r="A1009" i="3"/>
  <c r="B1009" i="3"/>
  <c r="C1009" i="3"/>
  <c r="D1009" i="3"/>
  <c r="E1009" i="3"/>
  <c r="F1009" i="3"/>
  <c r="G1009" i="3"/>
  <c r="H1009" i="3"/>
  <c r="I1009" i="3"/>
  <c r="J1009" i="3"/>
  <c r="K1009" i="3"/>
  <c r="L1009" i="3"/>
  <c r="M1009" i="3"/>
  <c r="A1010" i="3"/>
  <c r="B1010" i="3"/>
  <c r="C1010" i="3"/>
  <c r="D1010" i="3"/>
  <c r="E1010" i="3"/>
  <c r="F1010" i="3"/>
  <c r="G1010" i="3"/>
  <c r="H1010" i="3"/>
  <c r="I1010" i="3"/>
  <c r="J1010" i="3"/>
  <c r="K1010" i="3"/>
  <c r="L1010" i="3"/>
  <c r="M1010" i="3"/>
  <c r="A1011" i="3"/>
  <c r="B1011" i="3"/>
  <c r="C1011" i="3"/>
  <c r="D1011" i="3"/>
  <c r="E1011" i="3"/>
  <c r="F1011" i="3"/>
  <c r="G1011" i="3"/>
  <c r="H1011" i="3"/>
  <c r="I1011" i="3"/>
  <c r="J1011" i="3"/>
  <c r="K1011" i="3"/>
  <c r="L1011" i="3"/>
  <c r="M1011" i="3"/>
  <c r="A1012" i="3"/>
  <c r="B1012" i="3"/>
  <c r="C1012" i="3"/>
  <c r="D1012" i="3"/>
  <c r="E1012" i="3"/>
  <c r="F1012" i="3"/>
  <c r="G1012" i="3"/>
  <c r="H1012" i="3"/>
  <c r="I1012" i="3"/>
  <c r="J1012" i="3"/>
  <c r="K1012" i="3"/>
  <c r="L1012" i="3"/>
  <c r="M1012" i="3"/>
  <c r="A1013" i="3"/>
  <c r="B1013" i="3"/>
  <c r="C1013" i="3"/>
  <c r="D1013" i="3"/>
  <c r="E1013" i="3"/>
  <c r="F1013" i="3"/>
  <c r="G1013" i="3"/>
  <c r="H1013" i="3"/>
  <c r="I1013" i="3"/>
  <c r="J1013" i="3"/>
  <c r="K1013" i="3"/>
  <c r="L1013" i="3"/>
  <c r="M1013" i="3"/>
  <c r="A1014" i="3"/>
  <c r="B1014" i="3"/>
  <c r="C1014" i="3"/>
  <c r="D1014" i="3"/>
  <c r="E1014" i="3"/>
  <c r="F1014" i="3"/>
  <c r="G1014" i="3"/>
  <c r="H1014" i="3"/>
  <c r="I1014" i="3"/>
  <c r="J1014" i="3"/>
  <c r="K1014" i="3"/>
  <c r="L1014" i="3"/>
  <c r="M1014" i="3"/>
  <c r="A1015" i="3"/>
  <c r="B1015" i="3"/>
  <c r="C1015" i="3"/>
  <c r="D1015" i="3"/>
  <c r="E1015" i="3"/>
  <c r="F1015" i="3"/>
  <c r="G1015" i="3"/>
  <c r="H1015" i="3"/>
  <c r="I1015" i="3"/>
  <c r="J1015" i="3"/>
  <c r="K1015" i="3"/>
  <c r="L1015" i="3"/>
  <c r="M1015" i="3"/>
  <c r="A1016" i="3"/>
  <c r="B1016" i="3"/>
  <c r="C1016" i="3"/>
  <c r="D1016" i="3"/>
  <c r="E1016" i="3"/>
  <c r="F1016" i="3"/>
  <c r="G1016" i="3"/>
  <c r="H1016" i="3"/>
  <c r="I1016" i="3"/>
  <c r="J1016" i="3"/>
  <c r="K1016" i="3"/>
  <c r="L1016" i="3"/>
  <c r="M1016" i="3"/>
  <c r="A1017" i="3"/>
  <c r="B1017" i="3"/>
  <c r="C1017" i="3"/>
  <c r="D1017" i="3"/>
  <c r="E1017" i="3"/>
  <c r="F1017" i="3"/>
  <c r="G1017" i="3"/>
  <c r="H1017" i="3"/>
  <c r="I1017" i="3"/>
  <c r="J1017" i="3"/>
  <c r="K1017" i="3"/>
  <c r="L1017" i="3"/>
  <c r="M1017" i="3"/>
  <c r="A1018" i="3"/>
  <c r="B1018" i="3"/>
  <c r="C1018" i="3"/>
  <c r="D1018" i="3"/>
  <c r="E1018" i="3"/>
  <c r="F1018" i="3"/>
  <c r="G1018" i="3"/>
  <c r="H1018" i="3"/>
  <c r="I1018" i="3"/>
  <c r="J1018" i="3"/>
  <c r="K1018" i="3"/>
  <c r="L1018" i="3"/>
  <c r="M1018" i="3"/>
  <c r="A1019" i="3"/>
  <c r="B1019" i="3"/>
  <c r="C1019" i="3"/>
  <c r="D1019" i="3"/>
  <c r="E1019" i="3"/>
  <c r="F1019" i="3"/>
  <c r="G1019" i="3"/>
  <c r="H1019" i="3"/>
  <c r="I1019" i="3"/>
  <c r="J1019" i="3"/>
  <c r="K1019" i="3"/>
  <c r="L1019" i="3"/>
  <c r="M1019" i="3"/>
  <c r="A1020" i="3"/>
  <c r="B1020" i="3"/>
  <c r="C1020" i="3"/>
  <c r="D1020" i="3"/>
  <c r="E1020" i="3"/>
  <c r="F1020" i="3"/>
  <c r="G1020" i="3"/>
  <c r="H1020" i="3"/>
  <c r="I1020" i="3"/>
  <c r="J1020" i="3"/>
  <c r="K1020" i="3"/>
  <c r="L1020" i="3"/>
  <c r="M1020" i="3"/>
  <c r="A1021" i="3"/>
  <c r="B1021" i="3"/>
  <c r="C1021" i="3"/>
  <c r="D1021" i="3"/>
  <c r="E1021" i="3"/>
  <c r="F1021" i="3"/>
  <c r="G1021" i="3"/>
  <c r="H1021" i="3"/>
  <c r="I1021" i="3"/>
  <c r="J1021" i="3"/>
  <c r="K1021" i="3"/>
  <c r="L1021" i="3"/>
  <c r="M1021" i="3"/>
  <c r="A1022" i="3"/>
  <c r="B1022" i="3"/>
  <c r="C1022" i="3"/>
  <c r="D1022" i="3"/>
  <c r="E1022" i="3"/>
  <c r="F1022" i="3"/>
  <c r="G1022" i="3"/>
  <c r="H1022" i="3"/>
  <c r="I1022" i="3"/>
  <c r="J1022" i="3"/>
  <c r="K1022" i="3"/>
  <c r="L1022" i="3"/>
  <c r="M1022" i="3"/>
  <c r="A1023" i="3"/>
  <c r="B1023" i="3"/>
  <c r="C1023" i="3"/>
  <c r="D1023" i="3"/>
  <c r="E1023" i="3"/>
  <c r="F1023" i="3"/>
  <c r="G1023" i="3"/>
  <c r="H1023" i="3"/>
  <c r="I1023" i="3"/>
  <c r="J1023" i="3"/>
  <c r="K1023" i="3"/>
  <c r="L1023" i="3"/>
  <c r="M1023" i="3"/>
  <c r="A1024" i="3"/>
  <c r="B1024" i="3"/>
  <c r="C1024" i="3"/>
  <c r="D1024" i="3"/>
  <c r="E1024" i="3"/>
  <c r="F1024" i="3"/>
  <c r="G1024" i="3"/>
  <c r="H1024" i="3"/>
  <c r="I1024" i="3"/>
  <c r="J1024" i="3"/>
  <c r="K1024" i="3"/>
  <c r="L1024" i="3"/>
  <c r="M1024" i="3"/>
  <c r="A1025" i="3"/>
  <c r="B1025" i="3"/>
  <c r="C1025" i="3"/>
  <c r="D1025" i="3"/>
  <c r="E1025" i="3"/>
  <c r="F1025" i="3"/>
  <c r="G1025" i="3"/>
  <c r="H1025" i="3"/>
  <c r="I1025" i="3"/>
  <c r="J1025" i="3"/>
  <c r="K1025" i="3"/>
  <c r="L1025" i="3"/>
  <c r="M1025" i="3"/>
  <c r="A1026" i="3"/>
  <c r="B1026" i="3"/>
  <c r="C1026" i="3"/>
  <c r="D1026" i="3"/>
  <c r="E1026" i="3"/>
  <c r="F1026" i="3"/>
  <c r="G1026" i="3"/>
  <c r="H1026" i="3"/>
  <c r="I1026" i="3"/>
  <c r="J1026" i="3"/>
  <c r="K1026" i="3"/>
  <c r="L1026" i="3"/>
  <c r="M1026" i="3"/>
  <c r="A1027" i="3"/>
  <c r="B1027" i="3"/>
  <c r="C1027" i="3"/>
  <c r="D1027" i="3"/>
  <c r="E1027" i="3"/>
  <c r="F1027" i="3"/>
  <c r="G1027" i="3"/>
  <c r="H1027" i="3"/>
  <c r="I1027" i="3"/>
  <c r="J1027" i="3"/>
  <c r="K1027" i="3"/>
  <c r="L1027" i="3"/>
  <c r="M1027" i="3"/>
  <c r="A1028" i="3"/>
  <c r="B1028" i="3"/>
  <c r="C1028" i="3"/>
  <c r="D1028" i="3"/>
  <c r="E1028" i="3"/>
  <c r="F1028" i="3"/>
  <c r="G1028" i="3"/>
  <c r="H1028" i="3"/>
  <c r="I1028" i="3"/>
  <c r="J1028" i="3"/>
  <c r="K1028" i="3"/>
  <c r="L1028" i="3"/>
  <c r="M1028" i="3"/>
  <c r="A1029" i="3"/>
  <c r="B1029" i="3"/>
  <c r="C1029" i="3"/>
  <c r="D1029" i="3"/>
  <c r="E1029" i="3"/>
  <c r="F1029" i="3"/>
  <c r="G1029" i="3"/>
  <c r="H1029" i="3"/>
  <c r="I1029" i="3"/>
  <c r="J1029" i="3"/>
  <c r="K1029" i="3"/>
  <c r="L1029" i="3"/>
  <c r="M1029" i="3"/>
  <c r="A1030" i="3"/>
  <c r="B1030" i="3"/>
  <c r="C1030" i="3"/>
  <c r="D1030" i="3"/>
  <c r="E1030" i="3"/>
  <c r="F1030" i="3"/>
  <c r="G1030" i="3"/>
  <c r="H1030" i="3"/>
  <c r="I1030" i="3"/>
  <c r="J1030" i="3"/>
  <c r="K1030" i="3"/>
  <c r="L1030" i="3"/>
  <c r="M1030" i="3"/>
  <c r="A1031" i="3"/>
  <c r="B1031" i="3"/>
  <c r="C1031" i="3"/>
  <c r="D1031" i="3"/>
  <c r="E1031" i="3"/>
  <c r="F1031" i="3"/>
  <c r="G1031" i="3"/>
  <c r="H1031" i="3"/>
  <c r="I1031" i="3"/>
  <c r="J1031" i="3"/>
  <c r="K1031" i="3"/>
  <c r="L1031" i="3"/>
  <c r="M1031" i="3"/>
  <c r="A1032" i="3"/>
  <c r="B1032" i="3"/>
  <c r="C1032" i="3"/>
  <c r="D1032" i="3"/>
  <c r="E1032" i="3"/>
  <c r="F1032" i="3"/>
  <c r="G1032" i="3"/>
  <c r="H1032" i="3"/>
  <c r="I1032" i="3"/>
  <c r="J1032" i="3"/>
  <c r="K1032" i="3"/>
  <c r="L1032" i="3"/>
  <c r="M1032" i="3"/>
  <c r="A1033" i="3"/>
  <c r="B1033" i="3"/>
  <c r="C1033" i="3"/>
  <c r="D1033" i="3"/>
  <c r="E1033" i="3"/>
  <c r="F1033" i="3"/>
  <c r="G1033" i="3"/>
  <c r="H1033" i="3"/>
  <c r="I1033" i="3"/>
  <c r="J1033" i="3"/>
  <c r="K1033" i="3"/>
  <c r="L1033" i="3"/>
  <c r="M1033" i="3"/>
  <c r="A1034" i="3"/>
  <c r="B1034" i="3"/>
  <c r="C1034" i="3"/>
  <c r="D1034" i="3"/>
  <c r="E1034" i="3"/>
  <c r="F1034" i="3"/>
  <c r="G1034" i="3"/>
  <c r="H1034" i="3"/>
  <c r="I1034" i="3"/>
  <c r="J1034" i="3"/>
  <c r="K1034" i="3"/>
  <c r="L1034" i="3"/>
  <c r="M1034" i="3"/>
  <c r="A1035" i="3"/>
  <c r="B1035" i="3"/>
  <c r="C1035" i="3"/>
  <c r="D1035" i="3"/>
  <c r="E1035" i="3"/>
  <c r="F1035" i="3"/>
  <c r="G1035" i="3"/>
  <c r="H1035" i="3"/>
  <c r="I1035" i="3"/>
  <c r="J1035" i="3"/>
  <c r="K1035" i="3"/>
  <c r="L1035" i="3"/>
  <c r="M1035" i="3"/>
  <c r="A1036" i="3"/>
  <c r="B1036" i="3"/>
  <c r="C1036" i="3"/>
  <c r="D1036" i="3"/>
  <c r="E1036" i="3"/>
  <c r="F1036" i="3"/>
  <c r="G1036" i="3"/>
  <c r="H1036" i="3"/>
  <c r="I1036" i="3"/>
  <c r="J1036" i="3"/>
  <c r="K1036" i="3"/>
  <c r="L1036" i="3"/>
  <c r="M1036" i="3"/>
  <c r="A1037" i="3"/>
  <c r="B1037" i="3"/>
  <c r="C1037" i="3"/>
  <c r="D1037" i="3"/>
  <c r="E1037" i="3"/>
  <c r="F1037" i="3"/>
  <c r="G1037" i="3"/>
  <c r="H1037" i="3"/>
  <c r="I1037" i="3"/>
  <c r="J1037" i="3"/>
  <c r="K1037" i="3"/>
  <c r="L1037" i="3"/>
  <c r="M1037" i="3"/>
  <c r="A1038" i="3"/>
  <c r="B1038" i="3"/>
  <c r="C1038" i="3"/>
  <c r="D1038" i="3"/>
  <c r="E1038" i="3"/>
  <c r="F1038" i="3"/>
  <c r="G1038" i="3"/>
  <c r="H1038" i="3"/>
  <c r="I1038" i="3"/>
  <c r="J1038" i="3"/>
  <c r="K1038" i="3"/>
  <c r="L1038" i="3"/>
  <c r="M1038" i="3"/>
  <c r="A1039" i="3"/>
  <c r="B1039" i="3"/>
  <c r="C1039" i="3"/>
  <c r="D1039" i="3"/>
  <c r="E1039" i="3"/>
  <c r="F1039" i="3"/>
  <c r="G1039" i="3"/>
  <c r="H1039" i="3"/>
  <c r="I1039" i="3"/>
  <c r="J1039" i="3"/>
  <c r="K1039" i="3"/>
  <c r="L1039" i="3"/>
  <c r="M1039" i="3"/>
  <c r="A1040" i="3"/>
  <c r="B1040" i="3"/>
  <c r="C1040" i="3"/>
  <c r="D1040" i="3"/>
  <c r="E1040" i="3"/>
  <c r="F1040" i="3"/>
  <c r="G1040" i="3"/>
  <c r="H1040" i="3"/>
  <c r="I1040" i="3"/>
  <c r="J1040" i="3"/>
  <c r="K1040" i="3"/>
  <c r="L1040" i="3"/>
  <c r="M1040" i="3"/>
  <c r="A1041" i="3"/>
  <c r="B1041" i="3"/>
  <c r="C1041" i="3"/>
  <c r="D1041" i="3"/>
  <c r="E1041" i="3"/>
  <c r="F1041" i="3"/>
  <c r="G1041" i="3"/>
  <c r="H1041" i="3"/>
  <c r="I1041" i="3"/>
  <c r="J1041" i="3"/>
  <c r="K1041" i="3"/>
  <c r="L1041" i="3"/>
  <c r="M1041" i="3"/>
  <c r="A1042" i="3"/>
  <c r="B1042" i="3"/>
  <c r="C1042" i="3"/>
  <c r="D1042" i="3"/>
  <c r="E1042" i="3"/>
  <c r="F1042" i="3"/>
  <c r="G1042" i="3"/>
  <c r="H1042" i="3"/>
  <c r="I1042" i="3"/>
  <c r="J1042" i="3"/>
  <c r="K1042" i="3"/>
  <c r="L1042" i="3"/>
  <c r="M1042" i="3"/>
  <c r="A1043" i="3"/>
  <c r="B1043" i="3"/>
  <c r="C1043" i="3"/>
  <c r="D1043" i="3"/>
  <c r="E1043" i="3"/>
  <c r="F1043" i="3"/>
  <c r="G1043" i="3"/>
  <c r="H1043" i="3"/>
  <c r="I1043" i="3"/>
  <c r="J1043" i="3"/>
  <c r="K1043" i="3"/>
  <c r="L1043" i="3"/>
  <c r="M1043" i="3"/>
  <c r="A1044" i="3"/>
  <c r="B1044" i="3"/>
  <c r="C1044" i="3"/>
  <c r="D1044" i="3"/>
  <c r="E1044" i="3"/>
  <c r="F1044" i="3"/>
  <c r="G1044" i="3"/>
  <c r="H1044" i="3"/>
  <c r="I1044" i="3"/>
  <c r="J1044" i="3"/>
  <c r="K1044" i="3"/>
  <c r="L1044" i="3"/>
  <c r="M1044" i="3"/>
  <c r="A1045" i="3"/>
  <c r="B1045" i="3"/>
  <c r="C1045" i="3"/>
  <c r="D1045" i="3"/>
  <c r="E1045" i="3"/>
  <c r="F1045" i="3"/>
  <c r="G1045" i="3"/>
  <c r="H1045" i="3"/>
  <c r="I1045" i="3"/>
  <c r="J1045" i="3"/>
  <c r="K1045" i="3"/>
  <c r="L1045" i="3"/>
  <c r="M1045" i="3"/>
  <c r="A1046" i="3"/>
  <c r="B1046" i="3"/>
  <c r="C1046" i="3"/>
  <c r="D1046" i="3"/>
  <c r="E1046" i="3"/>
  <c r="F1046" i="3"/>
  <c r="G1046" i="3"/>
  <c r="H1046" i="3"/>
  <c r="I1046" i="3"/>
  <c r="J1046" i="3"/>
  <c r="K1046" i="3"/>
  <c r="L1046" i="3"/>
  <c r="M1046" i="3"/>
  <c r="A1047" i="3"/>
  <c r="B1047" i="3"/>
  <c r="C1047" i="3"/>
  <c r="D1047" i="3"/>
  <c r="E1047" i="3"/>
  <c r="F1047" i="3"/>
  <c r="G1047" i="3"/>
  <c r="H1047" i="3"/>
  <c r="I1047" i="3"/>
  <c r="J1047" i="3"/>
  <c r="K1047" i="3"/>
  <c r="L1047" i="3"/>
  <c r="M1047" i="3"/>
  <c r="A1048" i="3"/>
  <c r="B1048" i="3"/>
  <c r="C1048" i="3"/>
  <c r="D1048" i="3"/>
  <c r="E1048" i="3"/>
  <c r="F1048" i="3"/>
  <c r="G1048" i="3"/>
  <c r="H1048" i="3"/>
  <c r="I1048" i="3"/>
  <c r="J1048" i="3"/>
  <c r="K1048" i="3"/>
  <c r="L1048" i="3"/>
  <c r="M1048" i="3"/>
  <c r="A1049" i="3"/>
  <c r="B1049" i="3"/>
  <c r="C1049" i="3"/>
  <c r="D1049" i="3"/>
  <c r="E1049" i="3"/>
  <c r="F1049" i="3"/>
  <c r="G1049" i="3"/>
  <c r="H1049" i="3"/>
  <c r="I1049" i="3"/>
  <c r="J1049" i="3"/>
  <c r="K1049" i="3"/>
  <c r="L1049" i="3"/>
  <c r="M1049" i="3"/>
  <c r="A1050" i="3"/>
  <c r="B1050" i="3"/>
  <c r="C1050" i="3"/>
  <c r="D1050" i="3"/>
  <c r="E1050" i="3"/>
  <c r="F1050" i="3"/>
  <c r="G1050" i="3"/>
  <c r="H1050" i="3"/>
  <c r="I1050" i="3"/>
  <c r="J1050" i="3"/>
  <c r="K1050" i="3"/>
  <c r="L1050" i="3"/>
  <c r="M1050" i="3"/>
  <c r="A1051" i="3"/>
  <c r="B1051" i="3"/>
  <c r="C1051" i="3"/>
  <c r="D1051" i="3"/>
  <c r="E1051" i="3"/>
  <c r="F1051" i="3"/>
  <c r="G1051" i="3"/>
  <c r="H1051" i="3"/>
  <c r="I1051" i="3"/>
  <c r="J1051" i="3"/>
  <c r="K1051" i="3"/>
  <c r="L1051" i="3"/>
  <c r="M1051" i="3"/>
  <c r="A1052" i="3"/>
  <c r="B1052" i="3"/>
  <c r="C1052" i="3"/>
  <c r="D1052" i="3"/>
  <c r="E1052" i="3"/>
  <c r="F1052" i="3"/>
  <c r="G1052" i="3"/>
  <c r="H1052" i="3"/>
  <c r="I1052" i="3"/>
  <c r="J1052" i="3"/>
  <c r="K1052" i="3"/>
  <c r="L1052" i="3"/>
  <c r="M1052" i="3"/>
  <c r="A1053" i="3"/>
  <c r="B1053" i="3"/>
  <c r="C1053" i="3"/>
  <c r="D1053" i="3"/>
  <c r="E1053" i="3"/>
  <c r="F1053" i="3"/>
  <c r="G1053" i="3"/>
  <c r="H1053" i="3"/>
  <c r="I1053" i="3"/>
  <c r="J1053" i="3"/>
  <c r="K1053" i="3"/>
  <c r="L1053" i="3"/>
  <c r="M1053" i="3"/>
  <c r="A1054" i="3"/>
  <c r="B1054" i="3"/>
  <c r="C1054" i="3"/>
  <c r="D1054" i="3"/>
  <c r="E1054" i="3"/>
  <c r="F1054" i="3"/>
  <c r="G1054" i="3"/>
  <c r="H1054" i="3"/>
  <c r="I1054" i="3"/>
  <c r="J1054" i="3"/>
  <c r="K1054" i="3"/>
  <c r="L1054" i="3"/>
  <c r="M1054" i="3"/>
  <c r="A1055" i="3"/>
  <c r="B1055" i="3"/>
  <c r="C1055" i="3"/>
  <c r="D1055" i="3"/>
  <c r="E1055" i="3"/>
  <c r="F1055" i="3"/>
  <c r="G1055" i="3"/>
  <c r="H1055" i="3"/>
  <c r="I1055" i="3"/>
  <c r="J1055" i="3"/>
  <c r="K1055" i="3"/>
  <c r="L1055" i="3"/>
  <c r="M1055" i="3"/>
  <c r="A1056" i="3"/>
  <c r="B1056" i="3"/>
  <c r="C1056" i="3"/>
  <c r="D1056" i="3"/>
  <c r="E1056" i="3"/>
  <c r="F1056" i="3"/>
  <c r="G1056" i="3"/>
  <c r="H1056" i="3"/>
  <c r="I1056" i="3"/>
  <c r="J1056" i="3"/>
  <c r="K1056" i="3"/>
  <c r="L1056" i="3"/>
  <c r="M1056" i="3"/>
  <c r="A1057" i="3"/>
  <c r="B1057" i="3"/>
  <c r="C1057" i="3"/>
  <c r="D1057" i="3"/>
  <c r="E1057" i="3"/>
  <c r="F1057" i="3"/>
  <c r="G1057" i="3"/>
  <c r="H1057" i="3"/>
  <c r="I1057" i="3"/>
  <c r="J1057" i="3"/>
  <c r="K1057" i="3"/>
  <c r="L1057" i="3"/>
  <c r="M1057" i="3"/>
  <c r="A1058" i="3"/>
  <c r="B1058" i="3"/>
  <c r="C1058" i="3"/>
  <c r="D1058" i="3"/>
  <c r="E1058" i="3"/>
  <c r="F1058" i="3"/>
  <c r="G1058" i="3"/>
  <c r="H1058" i="3"/>
  <c r="I1058" i="3"/>
  <c r="J1058" i="3"/>
  <c r="K1058" i="3"/>
  <c r="L1058" i="3"/>
  <c r="M1058" i="3"/>
  <c r="A1059" i="3"/>
  <c r="B1059" i="3"/>
  <c r="C1059" i="3"/>
  <c r="D1059" i="3"/>
  <c r="E1059" i="3"/>
  <c r="F1059" i="3"/>
  <c r="G1059" i="3"/>
  <c r="H1059" i="3"/>
  <c r="I1059" i="3"/>
  <c r="J1059" i="3"/>
  <c r="K1059" i="3"/>
  <c r="L1059" i="3"/>
  <c r="M1059" i="3"/>
  <c r="A1060" i="3"/>
  <c r="B1060" i="3"/>
  <c r="C1060" i="3"/>
  <c r="D1060" i="3"/>
  <c r="E1060" i="3"/>
  <c r="F1060" i="3"/>
  <c r="G1060" i="3"/>
  <c r="H1060" i="3"/>
  <c r="I1060" i="3"/>
  <c r="J1060" i="3"/>
  <c r="K1060" i="3"/>
  <c r="L1060" i="3"/>
  <c r="M1060" i="3"/>
  <c r="A1061" i="3"/>
  <c r="B1061" i="3"/>
  <c r="C1061" i="3"/>
  <c r="D1061" i="3"/>
  <c r="E1061" i="3"/>
  <c r="F1061" i="3"/>
  <c r="G1061" i="3"/>
  <c r="H1061" i="3"/>
  <c r="I1061" i="3"/>
  <c r="J1061" i="3"/>
  <c r="K1061" i="3"/>
  <c r="L1061" i="3"/>
  <c r="M1061" i="3"/>
  <c r="A1062" i="3"/>
  <c r="B1062" i="3"/>
  <c r="C1062" i="3"/>
  <c r="D1062" i="3"/>
  <c r="E1062" i="3"/>
  <c r="F1062" i="3"/>
  <c r="G1062" i="3"/>
  <c r="H1062" i="3"/>
  <c r="I1062" i="3"/>
  <c r="J1062" i="3"/>
  <c r="K1062" i="3"/>
  <c r="L1062" i="3"/>
  <c r="M1062" i="3"/>
  <c r="A1063" i="3"/>
  <c r="B1063" i="3"/>
  <c r="C1063" i="3"/>
  <c r="D1063" i="3"/>
  <c r="E1063" i="3"/>
  <c r="F1063" i="3"/>
  <c r="G1063" i="3"/>
  <c r="H1063" i="3"/>
  <c r="I1063" i="3"/>
  <c r="J1063" i="3"/>
  <c r="K1063" i="3"/>
  <c r="L1063" i="3"/>
  <c r="M1063" i="3"/>
  <c r="A1064" i="3"/>
  <c r="B1064" i="3"/>
  <c r="C1064" i="3"/>
  <c r="D1064" i="3"/>
  <c r="E1064" i="3"/>
  <c r="F1064" i="3"/>
  <c r="G1064" i="3"/>
  <c r="H1064" i="3"/>
  <c r="I1064" i="3"/>
  <c r="J1064" i="3"/>
  <c r="K1064" i="3"/>
  <c r="L1064" i="3"/>
  <c r="M1064" i="3"/>
  <c r="A1065" i="3"/>
  <c r="B1065" i="3"/>
  <c r="C1065" i="3"/>
  <c r="D1065" i="3"/>
  <c r="E1065" i="3"/>
  <c r="F1065" i="3"/>
  <c r="G1065" i="3"/>
  <c r="H1065" i="3"/>
  <c r="I1065" i="3"/>
  <c r="J1065" i="3"/>
  <c r="K1065" i="3"/>
  <c r="L1065" i="3"/>
  <c r="M1065" i="3"/>
  <c r="A1066" i="3"/>
  <c r="B1066" i="3"/>
  <c r="C1066" i="3"/>
  <c r="D1066" i="3"/>
  <c r="E1066" i="3"/>
  <c r="F1066" i="3"/>
  <c r="G1066" i="3"/>
  <c r="H1066" i="3"/>
  <c r="I1066" i="3"/>
  <c r="J1066" i="3"/>
  <c r="K1066" i="3"/>
  <c r="L1066" i="3"/>
  <c r="M1066" i="3"/>
  <c r="A1067" i="3"/>
  <c r="B1067" i="3"/>
  <c r="C1067" i="3"/>
  <c r="D1067" i="3"/>
  <c r="E1067" i="3"/>
  <c r="F1067" i="3"/>
  <c r="G1067" i="3"/>
  <c r="H1067" i="3"/>
  <c r="I1067" i="3"/>
  <c r="J1067" i="3"/>
  <c r="K1067" i="3"/>
  <c r="L1067" i="3"/>
  <c r="M1067" i="3"/>
  <c r="A1068" i="3"/>
  <c r="B1068" i="3"/>
  <c r="C1068" i="3"/>
  <c r="D1068" i="3"/>
  <c r="E1068" i="3"/>
  <c r="F1068" i="3"/>
  <c r="G1068" i="3"/>
  <c r="H1068" i="3"/>
  <c r="I1068" i="3"/>
  <c r="J1068" i="3"/>
  <c r="K1068" i="3"/>
  <c r="L1068" i="3"/>
  <c r="M1068" i="3"/>
  <c r="A1069" i="3"/>
  <c r="B1069" i="3"/>
  <c r="C1069" i="3"/>
  <c r="D1069" i="3"/>
  <c r="E1069" i="3"/>
  <c r="F1069" i="3"/>
  <c r="G1069" i="3"/>
  <c r="H1069" i="3"/>
  <c r="I1069" i="3"/>
  <c r="J1069" i="3"/>
  <c r="K1069" i="3"/>
  <c r="L1069" i="3"/>
  <c r="M1069" i="3"/>
  <c r="A1070" i="3"/>
  <c r="B1070" i="3"/>
  <c r="C1070" i="3"/>
  <c r="D1070" i="3"/>
  <c r="E1070" i="3"/>
  <c r="F1070" i="3"/>
  <c r="G1070" i="3"/>
  <c r="H1070" i="3"/>
  <c r="I1070" i="3"/>
  <c r="J1070" i="3"/>
  <c r="K1070" i="3"/>
  <c r="L1070" i="3"/>
  <c r="M1070" i="3"/>
  <c r="A1071" i="3"/>
  <c r="B1071" i="3"/>
  <c r="C1071" i="3"/>
  <c r="D1071" i="3"/>
  <c r="E1071" i="3"/>
  <c r="F1071" i="3"/>
  <c r="G1071" i="3"/>
  <c r="H1071" i="3"/>
  <c r="I1071" i="3"/>
  <c r="J1071" i="3"/>
  <c r="K1071" i="3"/>
  <c r="L1071" i="3"/>
  <c r="M1071" i="3"/>
  <c r="A1072" i="3"/>
  <c r="B1072" i="3"/>
  <c r="C1072" i="3"/>
  <c r="D1072" i="3"/>
  <c r="E1072" i="3"/>
  <c r="F1072" i="3"/>
  <c r="G1072" i="3"/>
  <c r="H1072" i="3"/>
  <c r="I1072" i="3"/>
  <c r="J1072" i="3"/>
  <c r="K1072" i="3"/>
  <c r="L1072" i="3"/>
  <c r="M1072" i="3"/>
  <c r="A1073" i="3"/>
  <c r="B1073" i="3"/>
  <c r="C1073" i="3"/>
  <c r="D1073" i="3"/>
  <c r="E1073" i="3"/>
  <c r="F1073" i="3"/>
  <c r="G1073" i="3"/>
  <c r="H1073" i="3"/>
  <c r="I1073" i="3"/>
  <c r="J1073" i="3"/>
  <c r="K1073" i="3"/>
  <c r="L1073" i="3"/>
  <c r="M1073" i="3"/>
  <c r="A1074" i="3"/>
  <c r="B1074" i="3"/>
  <c r="C1074" i="3"/>
  <c r="D1074" i="3"/>
  <c r="E1074" i="3"/>
  <c r="F1074" i="3"/>
  <c r="G1074" i="3"/>
  <c r="H1074" i="3"/>
  <c r="I1074" i="3"/>
  <c r="J1074" i="3"/>
  <c r="K1074" i="3"/>
  <c r="L1074" i="3"/>
  <c r="M1074" i="3"/>
  <c r="A1075" i="3"/>
  <c r="B1075" i="3"/>
  <c r="C1075" i="3"/>
  <c r="D1075" i="3"/>
  <c r="E1075" i="3"/>
  <c r="F1075" i="3"/>
  <c r="G1075" i="3"/>
  <c r="H1075" i="3"/>
  <c r="I1075" i="3"/>
  <c r="J1075" i="3"/>
  <c r="K1075" i="3"/>
  <c r="L1075" i="3"/>
  <c r="M1075" i="3"/>
  <c r="A1076" i="3"/>
  <c r="B1076" i="3"/>
  <c r="C1076" i="3"/>
  <c r="D1076" i="3"/>
  <c r="E1076" i="3"/>
  <c r="F1076" i="3"/>
  <c r="G1076" i="3"/>
  <c r="H1076" i="3"/>
  <c r="I1076" i="3"/>
  <c r="J1076" i="3"/>
  <c r="K1076" i="3"/>
  <c r="L1076" i="3"/>
  <c r="M1076" i="3"/>
  <c r="A1077" i="3"/>
  <c r="B1077" i="3"/>
  <c r="C1077" i="3"/>
  <c r="D1077" i="3"/>
  <c r="E1077" i="3"/>
  <c r="F1077" i="3"/>
  <c r="G1077" i="3"/>
  <c r="H1077" i="3"/>
  <c r="I1077" i="3"/>
  <c r="J1077" i="3"/>
  <c r="K1077" i="3"/>
  <c r="L1077" i="3"/>
  <c r="M1077" i="3"/>
  <c r="A1078" i="3"/>
  <c r="B1078" i="3"/>
  <c r="C1078" i="3"/>
  <c r="D1078" i="3"/>
  <c r="E1078" i="3"/>
  <c r="F1078" i="3"/>
  <c r="G1078" i="3"/>
  <c r="H1078" i="3"/>
  <c r="I1078" i="3"/>
  <c r="J1078" i="3"/>
  <c r="K1078" i="3"/>
  <c r="L1078" i="3"/>
  <c r="M1078" i="3"/>
  <c r="A1079" i="3"/>
  <c r="B1079" i="3"/>
  <c r="C1079" i="3"/>
  <c r="D1079" i="3"/>
  <c r="E1079" i="3"/>
  <c r="F1079" i="3"/>
  <c r="G1079" i="3"/>
  <c r="H1079" i="3"/>
  <c r="I1079" i="3"/>
  <c r="J1079" i="3"/>
  <c r="K1079" i="3"/>
  <c r="L1079" i="3"/>
  <c r="M1079" i="3"/>
  <c r="A1080" i="3"/>
  <c r="B1080" i="3"/>
  <c r="C1080" i="3"/>
  <c r="D1080" i="3"/>
  <c r="E1080" i="3"/>
  <c r="F1080" i="3"/>
  <c r="G1080" i="3"/>
  <c r="H1080" i="3"/>
  <c r="I1080" i="3"/>
  <c r="J1080" i="3"/>
  <c r="K1080" i="3"/>
  <c r="L1080" i="3"/>
  <c r="M1080" i="3"/>
  <c r="A1081" i="3"/>
  <c r="B1081" i="3"/>
  <c r="C1081" i="3"/>
  <c r="D1081" i="3"/>
  <c r="E1081" i="3"/>
  <c r="F1081" i="3"/>
  <c r="G1081" i="3"/>
  <c r="H1081" i="3"/>
  <c r="I1081" i="3"/>
  <c r="J1081" i="3"/>
  <c r="K1081" i="3"/>
  <c r="L1081" i="3"/>
  <c r="M1081" i="3"/>
  <c r="A1082" i="3"/>
  <c r="B1082" i="3"/>
  <c r="C1082" i="3"/>
  <c r="D1082" i="3"/>
  <c r="E1082" i="3"/>
  <c r="F1082" i="3"/>
  <c r="G1082" i="3"/>
  <c r="H1082" i="3"/>
  <c r="I1082" i="3"/>
  <c r="J1082" i="3"/>
  <c r="K1082" i="3"/>
  <c r="L1082" i="3"/>
  <c r="M1082" i="3"/>
  <c r="A1083" i="3"/>
  <c r="B1083" i="3"/>
  <c r="C1083" i="3"/>
  <c r="D1083" i="3"/>
  <c r="E1083" i="3"/>
  <c r="F1083" i="3"/>
  <c r="G1083" i="3"/>
  <c r="H1083" i="3"/>
  <c r="I1083" i="3"/>
  <c r="J1083" i="3"/>
  <c r="K1083" i="3"/>
  <c r="L1083" i="3"/>
  <c r="M1083" i="3"/>
  <c r="A1084" i="3"/>
  <c r="B1084" i="3"/>
  <c r="C1084" i="3"/>
  <c r="D1084" i="3"/>
  <c r="E1084" i="3"/>
  <c r="F1084" i="3"/>
  <c r="G1084" i="3"/>
  <c r="H1084" i="3"/>
  <c r="I1084" i="3"/>
  <c r="J1084" i="3"/>
  <c r="K1084" i="3"/>
  <c r="L1084" i="3"/>
  <c r="M1084" i="3"/>
  <c r="A1085" i="3"/>
  <c r="B1085" i="3"/>
  <c r="C1085" i="3"/>
  <c r="D1085" i="3"/>
  <c r="E1085" i="3"/>
  <c r="F1085" i="3"/>
  <c r="G1085" i="3"/>
  <c r="H1085" i="3"/>
  <c r="I1085" i="3"/>
  <c r="J1085" i="3"/>
  <c r="K1085" i="3"/>
  <c r="L1085" i="3"/>
  <c r="M1085" i="3"/>
  <c r="A1086" i="3"/>
  <c r="B1086" i="3"/>
  <c r="C1086" i="3"/>
  <c r="D1086" i="3"/>
  <c r="E1086" i="3"/>
  <c r="F1086" i="3"/>
  <c r="G1086" i="3"/>
  <c r="H1086" i="3"/>
  <c r="I1086" i="3"/>
  <c r="J1086" i="3"/>
  <c r="K1086" i="3"/>
  <c r="L1086" i="3"/>
  <c r="M1086" i="3"/>
  <c r="A1087" i="3"/>
  <c r="B1087" i="3"/>
  <c r="C1087" i="3"/>
  <c r="D1087" i="3"/>
  <c r="E1087" i="3"/>
  <c r="F1087" i="3"/>
  <c r="G1087" i="3"/>
  <c r="H1087" i="3"/>
  <c r="I1087" i="3"/>
  <c r="J1087" i="3"/>
  <c r="K1087" i="3"/>
  <c r="L1087" i="3"/>
  <c r="M1087" i="3"/>
  <c r="A1088" i="3"/>
  <c r="B1088" i="3"/>
  <c r="C1088" i="3"/>
  <c r="D1088" i="3"/>
  <c r="E1088" i="3"/>
  <c r="F1088" i="3"/>
  <c r="G1088" i="3"/>
  <c r="H1088" i="3"/>
  <c r="I1088" i="3"/>
  <c r="J1088" i="3"/>
  <c r="K1088" i="3"/>
  <c r="L1088" i="3"/>
  <c r="M1088" i="3"/>
  <c r="A1089" i="3"/>
  <c r="B1089" i="3"/>
  <c r="C1089" i="3"/>
  <c r="D1089" i="3"/>
  <c r="E1089" i="3"/>
  <c r="F1089" i="3"/>
  <c r="G1089" i="3"/>
  <c r="H1089" i="3"/>
  <c r="I1089" i="3"/>
  <c r="J1089" i="3"/>
  <c r="K1089" i="3"/>
  <c r="L1089" i="3"/>
  <c r="M1089" i="3"/>
  <c r="A1090" i="3"/>
  <c r="B1090" i="3"/>
  <c r="C1090" i="3"/>
  <c r="D1090" i="3"/>
  <c r="E1090" i="3"/>
  <c r="F1090" i="3"/>
  <c r="G1090" i="3"/>
  <c r="H1090" i="3"/>
  <c r="I1090" i="3"/>
  <c r="J1090" i="3"/>
  <c r="K1090" i="3"/>
  <c r="L1090" i="3"/>
  <c r="M1090" i="3"/>
  <c r="A1091" i="3"/>
  <c r="B1091" i="3"/>
  <c r="C1091" i="3"/>
  <c r="D1091" i="3"/>
  <c r="E1091" i="3"/>
  <c r="F1091" i="3"/>
  <c r="G1091" i="3"/>
  <c r="H1091" i="3"/>
  <c r="I1091" i="3"/>
  <c r="J1091" i="3"/>
  <c r="K1091" i="3"/>
  <c r="L1091" i="3"/>
  <c r="M1091" i="3"/>
  <c r="A1092" i="3"/>
  <c r="B1092" i="3"/>
  <c r="C1092" i="3"/>
  <c r="D1092" i="3"/>
  <c r="E1092" i="3"/>
  <c r="F1092" i="3"/>
  <c r="G1092" i="3"/>
  <c r="H1092" i="3"/>
  <c r="I1092" i="3"/>
  <c r="J1092" i="3"/>
  <c r="K1092" i="3"/>
  <c r="L1092" i="3"/>
  <c r="M1092" i="3"/>
  <c r="A1093" i="3"/>
  <c r="B1093" i="3"/>
  <c r="C1093" i="3"/>
  <c r="D1093" i="3"/>
  <c r="E1093" i="3"/>
  <c r="F1093" i="3"/>
  <c r="G1093" i="3"/>
  <c r="H1093" i="3"/>
  <c r="I1093" i="3"/>
  <c r="J1093" i="3"/>
  <c r="K1093" i="3"/>
  <c r="L1093" i="3"/>
  <c r="M1093" i="3"/>
  <c r="A1094" i="3"/>
  <c r="B1094" i="3"/>
  <c r="C1094" i="3"/>
  <c r="D1094" i="3"/>
  <c r="E1094" i="3"/>
  <c r="F1094" i="3"/>
  <c r="G1094" i="3"/>
  <c r="H1094" i="3"/>
  <c r="I1094" i="3"/>
  <c r="J1094" i="3"/>
  <c r="K1094" i="3"/>
  <c r="L1094" i="3"/>
  <c r="M1094" i="3"/>
  <c r="A1095" i="3"/>
  <c r="B1095" i="3"/>
  <c r="C1095" i="3"/>
  <c r="D1095" i="3"/>
  <c r="E1095" i="3"/>
  <c r="F1095" i="3"/>
  <c r="G1095" i="3"/>
  <c r="H1095" i="3"/>
  <c r="I1095" i="3"/>
  <c r="J1095" i="3"/>
  <c r="K1095" i="3"/>
  <c r="L1095" i="3"/>
  <c r="M1095" i="3"/>
  <c r="A1096" i="3"/>
  <c r="B1096" i="3"/>
  <c r="C1096" i="3"/>
  <c r="D1096" i="3"/>
  <c r="E1096" i="3"/>
  <c r="F1096" i="3"/>
  <c r="G1096" i="3"/>
  <c r="H1096" i="3"/>
  <c r="I1096" i="3"/>
  <c r="J1096" i="3"/>
  <c r="K1096" i="3"/>
  <c r="L1096" i="3"/>
  <c r="M1096" i="3"/>
  <c r="A1097" i="3"/>
  <c r="B1097" i="3"/>
  <c r="C1097" i="3"/>
  <c r="D1097" i="3"/>
  <c r="E1097" i="3"/>
  <c r="F1097" i="3"/>
  <c r="G1097" i="3"/>
  <c r="H1097" i="3"/>
  <c r="I1097" i="3"/>
  <c r="J1097" i="3"/>
  <c r="K1097" i="3"/>
  <c r="L1097" i="3"/>
  <c r="M1097" i="3"/>
  <c r="A1098" i="3"/>
  <c r="B1098" i="3"/>
  <c r="C1098" i="3"/>
  <c r="D1098" i="3"/>
  <c r="E1098" i="3"/>
  <c r="F1098" i="3"/>
  <c r="G1098" i="3"/>
  <c r="H1098" i="3"/>
  <c r="I1098" i="3"/>
  <c r="J1098" i="3"/>
  <c r="K1098" i="3"/>
  <c r="L1098" i="3"/>
  <c r="M1098" i="3"/>
  <c r="A1099" i="3"/>
  <c r="B1099" i="3"/>
  <c r="C1099" i="3"/>
  <c r="D1099" i="3"/>
  <c r="E1099" i="3"/>
  <c r="F1099" i="3"/>
  <c r="G1099" i="3"/>
  <c r="H1099" i="3"/>
  <c r="I1099" i="3"/>
  <c r="J1099" i="3"/>
  <c r="K1099" i="3"/>
  <c r="L1099" i="3"/>
  <c r="M1099" i="3"/>
  <c r="A1100" i="3"/>
  <c r="B1100" i="3"/>
  <c r="C1100" i="3"/>
  <c r="D1100" i="3"/>
  <c r="E1100" i="3"/>
  <c r="F1100" i="3"/>
  <c r="G1100" i="3"/>
  <c r="H1100" i="3"/>
  <c r="I1100" i="3"/>
  <c r="J1100" i="3"/>
  <c r="K1100" i="3"/>
  <c r="L1100" i="3"/>
  <c r="M1100" i="3"/>
  <c r="A1101" i="3"/>
  <c r="B1101" i="3"/>
  <c r="C1101" i="3"/>
  <c r="D1101" i="3"/>
  <c r="E1101" i="3"/>
  <c r="F1101" i="3"/>
  <c r="G1101" i="3"/>
  <c r="H1101" i="3"/>
  <c r="I1101" i="3"/>
  <c r="J1101" i="3"/>
  <c r="K1101" i="3"/>
  <c r="L1101" i="3"/>
  <c r="M1101" i="3"/>
  <c r="A1102" i="3"/>
  <c r="B1102" i="3"/>
  <c r="C1102" i="3"/>
  <c r="D1102" i="3"/>
  <c r="E1102" i="3"/>
  <c r="F1102" i="3"/>
  <c r="G1102" i="3"/>
  <c r="H1102" i="3"/>
  <c r="I1102" i="3"/>
  <c r="J1102" i="3"/>
  <c r="K1102" i="3"/>
  <c r="L1102" i="3"/>
  <c r="M1102" i="3"/>
  <c r="A1103" i="3"/>
  <c r="B1103" i="3"/>
  <c r="C1103" i="3"/>
  <c r="D1103" i="3"/>
  <c r="E1103" i="3"/>
  <c r="F1103" i="3"/>
  <c r="G1103" i="3"/>
  <c r="H1103" i="3"/>
  <c r="I1103" i="3"/>
  <c r="J1103" i="3"/>
  <c r="K1103" i="3"/>
  <c r="L1103" i="3"/>
  <c r="M1103" i="3"/>
  <c r="A1104" i="3"/>
  <c r="B1104" i="3"/>
  <c r="C1104" i="3"/>
  <c r="D1104" i="3"/>
  <c r="E1104" i="3"/>
  <c r="F1104" i="3"/>
  <c r="G1104" i="3"/>
  <c r="H1104" i="3"/>
  <c r="I1104" i="3"/>
  <c r="J1104" i="3"/>
  <c r="K1104" i="3"/>
  <c r="L1104" i="3"/>
  <c r="M1104" i="3"/>
  <c r="A1105" i="3"/>
  <c r="B1105" i="3"/>
  <c r="C1105" i="3"/>
  <c r="D1105" i="3"/>
  <c r="E1105" i="3"/>
  <c r="F1105" i="3"/>
  <c r="G1105" i="3"/>
  <c r="H1105" i="3"/>
  <c r="I1105" i="3"/>
  <c r="J1105" i="3"/>
  <c r="K1105" i="3"/>
  <c r="L1105" i="3"/>
  <c r="M1105" i="3"/>
  <c r="A1106" i="3"/>
  <c r="B1106" i="3"/>
  <c r="C1106" i="3"/>
  <c r="D1106" i="3"/>
  <c r="E1106" i="3"/>
  <c r="F1106" i="3"/>
  <c r="G1106" i="3"/>
  <c r="H1106" i="3"/>
  <c r="I1106" i="3"/>
  <c r="J1106" i="3"/>
  <c r="K1106" i="3"/>
  <c r="L1106" i="3"/>
  <c r="M1106" i="3"/>
  <c r="A1107" i="3"/>
  <c r="B1107" i="3"/>
  <c r="C1107" i="3"/>
  <c r="D1107" i="3"/>
  <c r="E1107" i="3"/>
  <c r="F1107" i="3"/>
  <c r="G1107" i="3"/>
  <c r="H1107" i="3"/>
  <c r="I1107" i="3"/>
  <c r="J1107" i="3"/>
  <c r="K1107" i="3"/>
  <c r="L1107" i="3"/>
  <c r="M1107" i="3"/>
  <c r="A1108" i="3"/>
  <c r="B1108" i="3"/>
  <c r="C1108" i="3"/>
  <c r="D1108" i="3"/>
  <c r="E1108" i="3"/>
  <c r="F1108" i="3"/>
  <c r="G1108" i="3"/>
  <c r="H1108" i="3"/>
  <c r="I1108" i="3"/>
  <c r="J1108" i="3"/>
  <c r="K1108" i="3"/>
  <c r="L1108" i="3"/>
  <c r="M1108" i="3"/>
  <c r="A1109" i="3"/>
  <c r="B1109" i="3"/>
  <c r="C1109" i="3"/>
  <c r="D1109" i="3"/>
  <c r="E1109" i="3"/>
  <c r="F1109" i="3"/>
  <c r="G1109" i="3"/>
  <c r="H1109" i="3"/>
  <c r="I1109" i="3"/>
  <c r="J1109" i="3"/>
  <c r="K1109" i="3"/>
  <c r="L1109" i="3"/>
  <c r="M1109" i="3"/>
  <c r="A1110" i="3"/>
  <c r="B1110" i="3"/>
  <c r="C1110" i="3"/>
  <c r="D1110" i="3"/>
  <c r="E1110" i="3"/>
  <c r="F1110" i="3"/>
  <c r="G1110" i="3"/>
  <c r="H1110" i="3"/>
  <c r="I1110" i="3"/>
  <c r="J1110" i="3"/>
  <c r="K1110" i="3"/>
  <c r="L1110" i="3"/>
  <c r="M1110" i="3"/>
  <c r="A1111" i="3"/>
  <c r="B1111" i="3"/>
  <c r="C1111" i="3"/>
  <c r="D1111" i="3"/>
  <c r="E1111" i="3"/>
  <c r="F1111" i="3"/>
  <c r="G1111" i="3"/>
  <c r="H1111" i="3"/>
  <c r="I1111" i="3"/>
  <c r="J1111" i="3"/>
  <c r="K1111" i="3"/>
  <c r="L1111" i="3"/>
  <c r="M1111" i="3"/>
  <c r="A1112" i="3"/>
  <c r="B1112" i="3"/>
  <c r="C1112" i="3"/>
  <c r="D1112" i="3"/>
  <c r="E1112" i="3"/>
  <c r="F1112" i="3"/>
  <c r="G1112" i="3"/>
  <c r="H1112" i="3"/>
  <c r="I1112" i="3"/>
  <c r="J1112" i="3"/>
  <c r="K1112" i="3"/>
  <c r="L1112" i="3"/>
  <c r="M1112" i="3"/>
  <c r="A1113" i="3"/>
  <c r="B1113" i="3"/>
  <c r="C1113" i="3"/>
  <c r="D1113" i="3"/>
  <c r="E1113" i="3"/>
  <c r="F1113" i="3"/>
  <c r="G1113" i="3"/>
  <c r="H1113" i="3"/>
  <c r="I1113" i="3"/>
  <c r="J1113" i="3"/>
  <c r="K1113" i="3"/>
  <c r="L1113" i="3"/>
  <c r="M1113" i="3"/>
  <c r="A1114" i="3"/>
  <c r="B1114" i="3"/>
  <c r="C1114" i="3"/>
  <c r="D1114" i="3"/>
  <c r="E1114" i="3"/>
  <c r="F1114" i="3"/>
  <c r="G1114" i="3"/>
  <c r="H1114" i="3"/>
  <c r="I1114" i="3"/>
  <c r="J1114" i="3"/>
  <c r="K1114" i="3"/>
  <c r="L1114" i="3"/>
  <c r="M1114" i="3"/>
  <c r="A1115" i="3"/>
  <c r="B1115" i="3"/>
  <c r="C1115" i="3"/>
  <c r="D1115" i="3"/>
  <c r="E1115" i="3"/>
  <c r="F1115" i="3"/>
  <c r="G1115" i="3"/>
  <c r="H1115" i="3"/>
  <c r="I1115" i="3"/>
  <c r="J1115" i="3"/>
  <c r="K1115" i="3"/>
  <c r="L1115" i="3"/>
  <c r="M1115" i="3"/>
  <c r="A1116" i="3"/>
  <c r="B1116" i="3"/>
  <c r="C1116" i="3"/>
  <c r="D1116" i="3"/>
  <c r="E1116" i="3"/>
  <c r="F1116" i="3"/>
  <c r="G1116" i="3"/>
  <c r="H1116" i="3"/>
  <c r="I1116" i="3"/>
  <c r="J1116" i="3"/>
  <c r="K1116" i="3"/>
  <c r="L1116" i="3"/>
  <c r="M1116" i="3"/>
  <c r="A1117" i="3"/>
  <c r="B1117" i="3"/>
  <c r="C1117" i="3"/>
  <c r="D1117" i="3"/>
  <c r="E1117" i="3"/>
  <c r="F1117" i="3"/>
  <c r="G1117" i="3"/>
  <c r="H1117" i="3"/>
  <c r="I1117" i="3"/>
  <c r="J1117" i="3"/>
  <c r="K1117" i="3"/>
  <c r="L1117" i="3"/>
  <c r="M1117" i="3"/>
  <c r="A1118" i="3"/>
  <c r="B1118" i="3"/>
  <c r="C1118" i="3"/>
  <c r="D1118" i="3"/>
  <c r="E1118" i="3"/>
  <c r="F1118" i="3"/>
  <c r="G1118" i="3"/>
  <c r="H1118" i="3"/>
  <c r="I1118" i="3"/>
  <c r="J1118" i="3"/>
  <c r="K1118" i="3"/>
  <c r="L1118" i="3"/>
  <c r="M1118" i="3"/>
  <c r="A1119" i="3"/>
  <c r="B1119" i="3"/>
  <c r="C1119" i="3"/>
  <c r="D1119" i="3"/>
  <c r="E1119" i="3"/>
  <c r="F1119" i="3"/>
  <c r="G1119" i="3"/>
  <c r="H1119" i="3"/>
  <c r="I1119" i="3"/>
  <c r="J1119" i="3"/>
  <c r="K1119" i="3"/>
  <c r="L1119" i="3"/>
  <c r="M1119" i="3"/>
  <c r="A1120" i="3"/>
  <c r="B1120" i="3"/>
  <c r="C1120" i="3"/>
  <c r="D1120" i="3"/>
  <c r="E1120" i="3"/>
  <c r="F1120" i="3"/>
  <c r="G1120" i="3"/>
  <c r="H1120" i="3"/>
  <c r="I1120" i="3"/>
  <c r="J1120" i="3"/>
  <c r="K1120" i="3"/>
  <c r="L1120" i="3"/>
  <c r="M1120" i="3"/>
  <c r="A1121" i="3"/>
  <c r="B1121" i="3"/>
  <c r="C1121" i="3"/>
  <c r="D1121" i="3"/>
  <c r="E1121" i="3"/>
  <c r="F1121" i="3"/>
  <c r="G1121" i="3"/>
  <c r="H1121" i="3"/>
  <c r="I1121" i="3"/>
  <c r="J1121" i="3"/>
  <c r="K1121" i="3"/>
  <c r="L1121" i="3"/>
  <c r="M1121" i="3"/>
  <c r="A1122" i="3"/>
  <c r="B1122" i="3"/>
  <c r="C1122" i="3"/>
  <c r="D1122" i="3"/>
  <c r="E1122" i="3"/>
  <c r="F1122" i="3"/>
  <c r="G1122" i="3"/>
  <c r="H1122" i="3"/>
  <c r="I1122" i="3"/>
  <c r="J1122" i="3"/>
  <c r="K1122" i="3"/>
  <c r="L1122" i="3"/>
  <c r="M1122" i="3"/>
  <c r="A1123" i="3"/>
  <c r="B1123" i="3"/>
  <c r="C1123" i="3"/>
  <c r="D1123" i="3"/>
  <c r="E1123" i="3"/>
  <c r="F1123" i="3"/>
  <c r="G1123" i="3"/>
  <c r="H1123" i="3"/>
  <c r="I1123" i="3"/>
  <c r="J1123" i="3"/>
  <c r="K1123" i="3"/>
  <c r="L1123" i="3"/>
  <c r="M1123" i="3"/>
  <c r="A1124" i="3"/>
  <c r="B1124" i="3"/>
  <c r="C1124" i="3"/>
  <c r="D1124" i="3"/>
  <c r="E1124" i="3"/>
  <c r="F1124" i="3"/>
  <c r="G1124" i="3"/>
  <c r="H1124" i="3"/>
  <c r="I1124" i="3"/>
  <c r="J1124" i="3"/>
  <c r="K1124" i="3"/>
  <c r="L1124" i="3"/>
  <c r="M1124" i="3"/>
  <c r="A1125" i="3"/>
  <c r="B1125" i="3"/>
  <c r="C1125" i="3"/>
  <c r="D1125" i="3"/>
  <c r="E1125" i="3"/>
  <c r="F1125" i="3"/>
  <c r="G1125" i="3"/>
  <c r="H1125" i="3"/>
  <c r="I1125" i="3"/>
  <c r="J1125" i="3"/>
  <c r="K1125" i="3"/>
  <c r="L1125" i="3"/>
  <c r="M1125" i="3"/>
  <c r="A1126" i="3"/>
  <c r="B1126" i="3"/>
  <c r="C1126" i="3"/>
  <c r="D1126" i="3"/>
  <c r="E1126" i="3"/>
  <c r="F1126" i="3"/>
  <c r="G1126" i="3"/>
  <c r="H1126" i="3"/>
  <c r="I1126" i="3"/>
  <c r="J1126" i="3"/>
  <c r="K1126" i="3"/>
  <c r="L1126" i="3"/>
  <c r="M1126" i="3"/>
  <c r="A1127" i="3"/>
  <c r="B1127" i="3"/>
  <c r="C1127" i="3"/>
  <c r="D1127" i="3"/>
  <c r="E1127" i="3"/>
  <c r="F1127" i="3"/>
  <c r="G1127" i="3"/>
  <c r="H1127" i="3"/>
  <c r="I1127" i="3"/>
  <c r="J1127" i="3"/>
  <c r="K1127" i="3"/>
  <c r="L1127" i="3"/>
  <c r="M1127" i="3"/>
  <c r="A1128" i="3"/>
  <c r="B1128" i="3"/>
  <c r="C1128" i="3"/>
  <c r="D1128" i="3"/>
  <c r="E1128" i="3"/>
  <c r="F1128" i="3"/>
  <c r="G1128" i="3"/>
  <c r="H1128" i="3"/>
  <c r="I1128" i="3"/>
  <c r="J1128" i="3"/>
  <c r="K1128" i="3"/>
  <c r="L1128" i="3"/>
  <c r="M1128" i="3"/>
  <c r="A1129" i="3"/>
  <c r="B1129" i="3"/>
  <c r="C1129" i="3"/>
  <c r="D1129" i="3"/>
  <c r="E1129" i="3"/>
  <c r="F1129" i="3"/>
  <c r="G1129" i="3"/>
  <c r="H1129" i="3"/>
  <c r="I1129" i="3"/>
  <c r="J1129" i="3"/>
  <c r="K1129" i="3"/>
  <c r="L1129" i="3"/>
  <c r="M1129" i="3"/>
  <c r="A1130" i="3"/>
  <c r="B1130" i="3"/>
  <c r="C1130" i="3"/>
  <c r="D1130" i="3"/>
  <c r="E1130" i="3"/>
  <c r="F1130" i="3"/>
  <c r="G1130" i="3"/>
  <c r="H1130" i="3"/>
  <c r="I1130" i="3"/>
  <c r="J1130" i="3"/>
  <c r="K1130" i="3"/>
  <c r="L1130" i="3"/>
  <c r="M1130" i="3"/>
  <c r="A1131" i="3"/>
  <c r="B1131" i="3"/>
  <c r="C1131" i="3"/>
  <c r="D1131" i="3"/>
  <c r="E1131" i="3"/>
  <c r="F1131" i="3"/>
  <c r="G1131" i="3"/>
  <c r="H1131" i="3"/>
  <c r="I1131" i="3"/>
  <c r="J1131" i="3"/>
  <c r="K1131" i="3"/>
  <c r="L1131" i="3"/>
  <c r="M1131" i="3"/>
  <c r="A1132" i="3"/>
  <c r="B1132" i="3"/>
  <c r="C1132" i="3"/>
  <c r="D1132" i="3"/>
  <c r="E1132" i="3"/>
  <c r="F1132" i="3"/>
  <c r="G1132" i="3"/>
  <c r="H1132" i="3"/>
  <c r="I1132" i="3"/>
  <c r="J1132" i="3"/>
  <c r="K1132" i="3"/>
  <c r="L1132" i="3"/>
  <c r="M1132" i="3"/>
  <c r="A1133" i="3"/>
  <c r="B1133" i="3"/>
  <c r="C1133" i="3"/>
  <c r="D1133" i="3"/>
  <c r="E1133" i="3"/>
  <c r="F1133" i="3"/>
  <c r="G1133" i="3"/>
  <c r="H1133" i="3"/>
  <c r="I1133" i="3"/>
  <c r="J1133" i="3"/>
  <c r="K1133" i="3"/>
  <c r="L1133" i="3"/>
  <c r="M1133" i="3"/>
  <c r="A1134" i="3"/>
  <c r="B1134" i="3"/>
  <c r="C1134" i="3"/>
  <c r="D1134" i="3"/>
  <c r="E1134" i="3"/>
  <c r="F1134" i="3"/>
  <c r="G1134" i="3"/>
  <c r="H1134" i="3"/>
  <c r="I1134" i="3"/>
  <c r="J1134" i="3"/>
  <c r="K1134" i="3"/>
  <c r="L1134" i="3"/>
  <c r="M1134" i="3"/>
  <c r="A1135" i="3"/>
  <c r="B1135" i="3"/>
  <c r="C1135" i="3"/>
  <c r="D1135" i="3"/>
  <c r="E1135" i="3"/>
  <c r="F1135" i="3"/>
  <c r="G1135" i="3"/>
  <c r="H1135" i="3"/>
  <c r="I1135" i="3"/>
  <c r="J1135" i="3"/>
  <c r="K1135" i="3"/>
  <c r="L1135" i="3"/>
  <c r="M1135" i="3"/>
  <c r="A1136" i="3"/>
  <c r="B1136" i="3"/>
  <c r="C1136" i="3"/>
  <c r="D1136" i="3"/>
  <c r="E1136" i="3"/>
  <c r="F1136" i="3"/>
  <c r="G1136" i="3"/>
  <c r="H1136" i="3"/>
  <c r="I1136" i="3"/>
  <c r="J1136" i="3"/>
  <c r="K1136" i="3"/>
  <c r="L1136" i="3"/>
  <c r="M1136" i="3"/>
  <c r="A1137" i="3"/>
  <c r="B1137" i="3"/>
  <c r="C1137" i="3"/>
  <c r="D1137" i="3"/>
  <c r="E1137" i="3"/>
  <c r="F1137" i="3"/>
  <c r="G1137" i="3"/>
  <c r="H1137" i="3"/>
  <c r="I1137" i="3"/>
  <c r="J1137" i="3"/>
  <c r="K1137" i="3"/>
  <c r="L1137" i="3"/>
  <c r="M1137" i="3"/>
  <c r="A1138" i="3"/>
  <c r="B1138" i="3"/>
  <c r="C1138" i="3"/>
  <c r="D1138" i="3"/>
  <c r="E1138" i="3"/>
  <c r="F1138" i="3"/>
  <c r="G1138" i="3"/>
  <c r="H1138" i="3"/>
  <c r="I1138" i="3"/>
  <c r="J1138" i="3"/>
  <c r="K1138" i="3"/>
  <c r="L1138" i="3"/>
  <c r="M1138" i="3"/>
  <c r="A1139" i="3"/>
  <c r="B1139" i="3"/>
  <c r="C1139" i="3"/>
  <c r="D1139" i="3"/>
  <c r="E1139" i="3"/>
  <c r="F1139" i="3"/>
  <c r="G1139" i="3"/>
  <c r="H1139" i="3"/>
  <c r="I1139" i="3"/>
  <c r="J1139" i="3"/>
  <c r="K1139" i="3"/>
  <c r="L1139" i="3"/>
  <c r="M1139" i="3"/>
  <c r="A1140" i="3"/>
  <c r="B1140" i="3"/>
  <c r="C1140" i="3"/>
  <c r="D1140" i="3"/>
  <c r="E1140" i="3"/>
  <c r="F1140" i="3"/>
  <c r="G1140" i="3"/>
  <c r="H1140" i="3"/>
  <c r="I1140" i="3"/>
  <c r="J1140" i="3"/>
  <c r="K1140" i="3"/>
  <c r="L1140" i="3"/>
  <c r="M1140" i="3"/>
  <c r="A1141" i="3"/>
  <c r="B1141" i="3"/>
  <c r="C1141" i="3"/>
  <c r="D1141" i="3"/>
  <c r="E1141" i="3"/>
  <c r="F1141" i="3"/>
  <c r="G1141" i="3"/>
  <c r="H1141" i="3"/>
  <c r="I1141" i="3"/>
  <c r="J1141" i="3"/>
  <c r="K1141" i="3"/>
  <c r="L1141" i="3"/>
  <c r="M1141" i="3"/>
  <c r="A1142" i="3"/>
  <c r="B1142" i="3"/>
  <c r="C1142" i="3"/>
  <c r="D1142" i="3"/>
  <c r="E1142" i="3"/>
  <c r="F1142" i="3"/>
  <c r="G1142" i="3"/>
  <c r="H1142" i="3"/>
  <c r="I1142" i="3"/>
  <c r="J1142" i="3"/>
  <c r="K1142" i="3"/>
  <c r="L1142" i="3"/>
  <c r="M1142" i="3"/>
  <c r="A1143" i="3"/>
  <c r="B1143" i="3"/>
  <c r="C1143" i="3"/>
  <c r="D1143" i="3"/>
  <c r="E1143" i="3"/>
  <c r="F1143" i="3"/>
  <c r="G1143" i="3"/>
  <c r="H1143" i="3"/>
  <c r="I1143" i="3"/>
  <c r="J1143" i="3"/>
  <c r="K1143" i="3"/>
  <c r="L1143" i="3"/>
  <c r="M1143" i="3"/>
  <c r="A1144" i="3"/>
  <c r="B1144" i="3"/>
  <c r="C1144" i="3"/>
  <c r="D1144" i="3"/>
  <c r="E1144" i="3"/>
  <c r="F1144" i="3"/>
  <c r="G1144" i="3"/>
  <c r="H1144" i="3"/>
  <c r="I1144" i="3"/>
  <c r="J1144" i="3"/>
  <c r="K1144" i="3"/>
  <c r="L1144" i="3"/>
  <c r="M1144" i="3"/>
  <c r="A1145" i="3"/>
  <c r="B1145" i="3"/>
  <c r="C1145" i="3"/>
  <c r="D1145" i="3"/>
  <c r="E1145" i="3"/>
  <c r="F1145" i="3"/>
  <c r="G1145" i="3"/>
  <c r="H1145" i="3"/>
  <c r="I1145" i="3"/>
  <c r="J1145" i="3"/>
  <c r="K1145" i="3"/>
  <c r="L1145" i="3"/>
  <c r="M1145" i="3"/>
  <c r="A1146" i="3"/>
  <c r="B1146" i="3"/>
  <c r="C1146" i="3"/>
  <c r="D1146" i="3"/>
  <c r="E1146" i="3"/>
  <c r="F1146" i="3"/>
  <c r="G1146" i="3"/>
  <c r="H1146" i="3"/>
  <c r="I1146" i="3"/>
  <c r="J1146" i="3"/>
  <c r="K1146" i="3"/>
  <c r="L1146" i="3"/>
  <c r="M1146" i="3"/>
  <c r="A1147" i="3"/>
  <c r="B1147" i="3"/>
  <c r="C1147" i="3"/>
  <c r="D1147" i="3"/>
  <c r="E1147" i="3"/>
  <c r="F1147" i="3"/>
  <c r="G1147" i="3"/>
  <c r="H1147" i="3"/>
  <c r="I1147" i="3"/>
  <c r="J1147" i="3"/>
  <c r="K1147" i="3"/>
  <c r="L1147" i="3"/>
  <c r="M1147" i="3"/>
  <c r="A1148" i="3"/>
  <c r="B1148" i="3"/>
  <c r="C1148" i="3"/>
  <c r="D1148" i="3"/>
  <c r="E1148" i="3"/>
  <c r="F1148" i="3"/>
  <c r="G1148" i="3"/>
  <c r="H1148" i="3"/>
  <c r="I1148" i="3"/>
  <c r="J1148" i="3"/>
  <c r="K1148" i="3"/>
  <c r="L1148" i="3"/>
  <c r="M1148" i="3"/>
  <c r="A1149" i="3"/>
  <c r="B1149" i="3"/>
  <c r="C1149" i="3"/>
  <c r="D1149" i="3"/>
  <c r="E1149" i="3"/>
  <c r="F1149" i="3"/>
  <c r="G1149" i="3"/>
  <c r="H1149" i="3"/>
  <c r="I1149" i="3"/>
  <c r="J1149" i="3"/>
  <c r="K1149" i="3"/>
  <c r="L1149" i="3"/>
  <c r="M1149" i="3"/>
  <c r="A1150" i="3"/>
  <c r="B1150" i="3"/>
  <c r="C1150" i="3"/>
  <c r="D1150" i="3"/>
  <c r="E1150" i="3"/>
  <c r="F1150" i="3"/>
  <c r="G1150" i="3"/>
  <c r="H1150" i="3"/>
  <c r="I1150" i="3"/>
  <c r="J1150" i="3"/>
  <c r="K1150" i="3"/>
  <c r="L1150" i="3"/>
  <c r="M1150" i="3"/>
  <c r="A1151" i="3"/>
  <c r="B1151" i="3"/>
  <c r="C1151" i="3"/>
  <c r="D1151" i="3"/>
  <c r="E1151" i="3"/>
  <c r="F1151" i="3"/>
  <c r="G1151" i="3"/>
  <c r="H1151" i="3"/>
  <c r="I1151" i="3"/>
  <c r="J1151" i="3"/>
  <c r="K1151" i="3"/>
  <c r="L1151" i="3"/>
  <c r="M1151" i="3"/>
  <c r="A1152" i="3"/>
  <c r="B1152" i="3"/>
  <c r="C1152" i="3"/>
  <c r="D1152" i="3"/>
  <c r="E1152" i="3"/>
  <c r="F1152" i="3"/>
  <c r="G1152" i="3"/>
  <c r="H1152" i="3"/>
  <c r="I1152" i="3"/>
  <c r="J1152" i="3"/>
  <c r="K1152" i="3"/>
  <c r="L1152" i="3"/>
  <c r="M1152" i="3"/>
  <c r="A1153" i="3"/>
  <c r="B1153" i="3"/>
  <c r="C1153" i="3"/>
  <c r="D1153" i="3"/>
  <c r="E1153" i="3"/>
  <c r="F1153" i="3"/>
  <c r="G1153" i="3"/>
  <c r="H1153" i="3"/>
  <c r="I1153" i="3"/>
  <c r="J1153" i="3"/>
  <c r="K1153" i="3"/>
  <c r="L1153" i="3"/>
  <c r="M1153" i="3"/>
  <c r="A1154" i="3"/>
  <c r="B1154" i="3"/>
  <c r="C1154" i="3"/>
  <c r="D1154" i="3"/>
  <c r="E1154" i="3"/>
  <c r="F1154" i="3"/>
  <c r="G1154" i="3"/>
  <c r="H1154" i="3"/>
  <c r="I1154" i="3"/>
  <c r="J1154" i="3"/>
  <c r="K1154" i="3"/>
  <c r="L1154" i="3"/>
  <c r="M1154" i="3"/>
  <c r="A1155" i="3"/>
  <c r="B1155" i="3"/>
  <c r="C1155" i="3"/>
  <c r="D1155" i="3"/>
  <c r="E1155" i="3"/>
  <c r="F1155" i="3"/>
  <c r="G1155" i="3"/>
  <c r="H1155" i="3"/>
  <c r="I1155" i="3"/>
  <c r="J1155" i="3"/>
  <c r="K1155" i="3"/>
  <c r="L1155" i="3"/>
  <c r="M1155" i="3"/>
  <c r="A1156" i="3"/>
  <c r="B1156" i="3"/>
  <c r="C1156" i="3"/>
  <c r="D1156" i="3"/>
  <c r="E1156" i="3"/>
  <c r="F1156" i="3"/>
  <c r="G1156" i="3"/>
  <c r="H1156" i="3"/>
  <c r="I1156" i="3"/>
  <c r="J1156" i="3"/>
  <c r="K1156" i="3"/>
  <c r="L1156" i="3"/>
  <c r="M1156" i="3"/>
  <c r="A1157" i="3"/>
  <c r="B1157" i="3"/>
  <c r="C1157" i="3"/>
  <c r="D1157" i="3"/>
  <c r="E1157" i="3"/>
  <c r="F1157" i="3"/>
  <c r="G1157" i="3"/>
  <c r="H1157" i="3"/>
  <c r="I1157" i="3"/>
  <c r="J1157" i="3"/>
  <c r="K1157" i="3"/>
  <c r="L1157" i="3"/>
  <c r="M1157" i="3"/>
  <c r="A1158" i="3"/>
  <c r="B1158" i="3"/>
  <c r="C1158" i="3"/>
  <c r="D1158" i="3"/>
  <c r="E1158" i="3"/>
  <c r="F1158" i="3"/>
  <c r="G1158" i="3"/>
  <c r="H1158" i="3"/>
  <c r="I1158" i="3"/>
  <c r="J1158" i="3"/>
  <c r="K1158" i="3"/>
  <c r="L1158" i="3"/>
  <c r="M1158" i="3"/>
  <c r="A1159" i="3"/>
  <c r="B1159" i="3"/>
  <c r="C1159" i="3"/>
  <c r="D1159" i="3"/>
  <c r="E1159" i="3"/>
  <c r="F1159" i="3"/>
  <c r="G1159" i="3"/>
  <c r="H1159" i="3"/>
  <c r="I1159" i="3"/>
  <c r="J1159" i="3"/>
  <c r="K1159" i="3"/>
  <c r="L1159" i="3"/>
  <c r="M1159" i="3"/>
  <c r="A1160" i="3"/>
  <c r="B1160" i="3"/>
  <c r="C1160" i="3"/>
  <c r="D1160" i="3"/>
  <c r="E1160" i="3"/>
  <c r="F1160" i="3"/>
  <c r="G1160" i="3"/>
  <c r="H1160" i="3"/>
  <c r="I1160" i="3"/>
  <c r="J1160" i="3"/>
  <c r="K1160" i="3"/>
  <c r="L1160" i="3"/>
  <c r="M1160" i="3"/>
  <c r="A1161" i="3"/>
  <c r="B1161" i="3"/>
  <c r="C1161" i="3"/>
  <c r="D1161" i="3"/>
  <c r="E1161" i="3"/>
  <c r="F1161" i="3"/>
  <c r="G1161" i="3"/>
  <c r="H1161" i="3"/>
  <c r="I1161" i="3"/>
  <c r="J1161" i="3"/>
  <c r="K1161" i="3"/>
  <c r="L1161" i="3"/>
  <c r="M1161" i="3"/>
  <c r="A1162" i="3"/>
  <c r="B1162" i="3"/>
  <c r="C1162" i="3"/>
  <c r="D1162" i="3"/>
  <c r="E1162" i="3"/>
  <c r="F1162" i="3"/>
  <c r="G1162" i="3"/>
  <c r="H1162" i="3"/>
  <c r="I1162" i="3"/>
  <c r="J1162" i="3"/>
  <c r="K1162" i="3"/>
  <c r="L1162" i="3"/>
  <c r="M1162" i="3"/>
  <c r="A1163" i="3"/>
  <c r="B1163" i="3"/>
  <c r="C1163" i="3"/>
  <c r="D1163" i="3"/>
  <c r="E1163" i="3"/>
  <c r="F1163" i="3"/>
  <c r="G1163" i="3"/>
  <c r="H1163" i="3"/>
  <c r="I1163" i="3"/>
  <c r="J1163" i="3"/>
  <c r="K1163" i="3"/>
  <c r="L1163" i="3"/>
  <c r="M1163" i="3"/>
  <c r="A1164" i="3"/>
  <c r="B1164" i="3"/>
  <c r="C1164" i="3"/>
  <c r="D1164" i="3"/>
  <c r="E1164" i="3"/>
  <c r="F1164" i="3"/>
  <c r="G1164" i="3"/>
  <c r="H1164" i="3"/>
  <c r="I1164" i="3"/>
  <c r="J1164" i="3"/>
  <c r="K1164" i="3"/>
  <c r="L1164" i="3"/>
  <c r="M1164" i="3"/>
  <c r="A1165" i="3"/>
  <c r="B1165" i="3"/>
  <c r="C1165" i="3"/>
  <c r="D1165" i="3"/>
  <c r="E1165" i="3"/>
  <c r="F1165" i="3"/>
  <c r="G1165" i="3"/>
  <c r="H1165" i="3"/>
  <c r="I1165" i="3"/>
  <c r="J1165" i="3"/>
  <c r="K1165" i="3"/>
  <c r="L1165" i="3"/>
  <c r="M1165" i="3"/>
  <c r="A1166" i="3"/>
  <c r="B1166" i="3"/>
  <c r="C1166" i="3"/>
  <c r="D1166" i="3"/>
  <c r="E1166" i="3"/>
  <c r="F1166" i="3"/>
  <c r="G1166" i="3"/>
  <c r="H1166" i="3"/>
  <c r="I1166" i="3"/>
  <c r="J1166" i="3"/>
  <c r="K1166" i="3"/>
  <c r="L1166" i="3"/>
  <c r="M1166" i="3"/>
  <c r="A1167" i="3"/>
  <c r="B1167" i="3"/>
  <c r="C1167" i="3"/>
  <c r="D1167" i="3"/>
  <c r="E1167" i="3"/>
  <c r="F1167" i="3"/>
  <c r="G1167" i="3"/>
  <c r="H1167" i="3"/>
  <c r="I1167" i="3"/>
  <c r="J1167" i="3"/>
  <c r="K1167" i="3"/>
  <c r="L1167" i="3"/>
  <c r="M1167" i="3"/>
  <c r="A1168" i="3"/>
  <c r="B1168" i="3"/>
  <c r="C1168" i="3"/>
  <c r="D1168" i="3"/>
  <c r="E1168" i="3"/>
  <c r="F1168" i="3"/>
  <c r="G1168" i="3"/>
  <c r="H1168" i="3"/>
  <c r="I1168" i="3"/>
  <c r="J1168" i="3"/>
  <c r="K1168" i="3"/>
  <c r="L1168" i="3"/>
  <c r="M1168" i="3"/>
  <c r="A1169" i="3"/>
  <c r="B1169" i="3"/>
  <c r="C1169" i="3"/>
  <c r="D1169" i="3"/>
  <c r="E1169" i="3"/>
  <c r="F1169" i="3"/>
  <c r="G1169" i="3"/>
  <c r="H1169" i="3"/>
  <c r="I1169" i="3"/>
  <c r="J1169" i="3"/>
  <c r="K1169" i="3"/>
  <c r="L1169" i="3"/>
  <c r="M1169" i="3"/>
  <c r="A1170" i="3"/>
  <c r="B1170" i="3"/>
  <c r="C1170" i="3"/>
  <c r="D1170" i="3"/>
  <c r="E1170" i="3"/>
  <c r="F1170" i="3"/>
  <c r="G1170" i="3"/>
  <c r="H1170" i="3"/>
  <c r="I1170" i="3"/>
  <c r="J1170" i="3"/>
  <c r="K1170" i="3"/>
  <c r="L1170" i="3"/>
  <c r="M1170" i="3"/>
  <c r="A1171" i="3"/>
  <c r="B1171" i="3"/>
  <c r="C1171" i="3"/>
  <c r="D1171" i="3"/>
  <c r="E1171" i="3"/>
  <c r="F1171" i="3"/>
  <c r="G1171" i="3"/>
  <c r="H1171" i="3"/>
  <c r="I1171" i="3"/>
  <c r="J1171" i="3"/>
  <c r="K1171" i="3"/>
  <c r="L1171" i="3"/>
  <c r="M1171" i="3"/>
  <c r="A1172" i="3"/>
  <c r="B1172" i="3"/>
  <c r="C1172" i="3"/>
  <c r="D1172" i="3"/>
  <c r="E1172" i="3"/>
  <c r="F1172" i="3"/>
  <c r="G1172" i="3"/>
  <c r="H1172" i="3"/>
  <c r="I1172" i="3"/>
  <c r="J1172" i="3"/>
  <c r="K1172" i="3"/>
  <c r="L1172" i="3"/>
  <c r="M1172" i="3"/>
  <c r="A1173" i="3"/>
  <c r="B1173" i="3"/>
  <c r="C1173" i="3"/>
  <c r="D1173" i="3"/>
  <c r="E1173" i="3"/>
  <c r="F1173" i="3"/>
  <c r="G1173" i="3"/>
  <c r="H1173" i="3"/>
  <c r="I1173" i="3"/>
  <c r="J1173" i="3"/>
  <c r="K1173" i="3"/>
  <c r="L1173" i="3"/>
  <c r="M1173" i="3"/>
  <c r="A1174" i="3"/>
  <c r="B1174" i="3"/>
  <c r="C1174" i="3"/>
  <c r="D1174" i="3"/>
  <c r="E1174" i="3"/>
  <c r="F1174" i="3"/>
  <c r="G1174" i="3"/>
  <c r="H1174" i="3"/>
  <c r="I1174" i="3"/>
  <c r="J1174" i="3"/>
  <c r="K1174" i="3"/>
  <c r="L1174" i="3"/>
  <c r="M1174" i="3"/>
  <c r="A1175" i="3"/>
  <c r="B1175" i="3"/>
  <c r="C1175" i="3"/>
  <c r="D1175" i="3"/>
  <c r="E1175" i="3"/>
  <c r="F1175" i="3"/>
  <c r="G1175" i="3"/>
  <c r="H1175" i="3"/>
  <c r="I1175" i="3"/>
  <c r="J1175" i="3"/>
  <c r="K1175" i="3"/>
  <c r="L1175" i="3"/>
  <c r="M1175" i="3"/>
  <c r="A1176" i="3"/>
  <c r="B1176" i="3"/>
  <c r="C1176" i="3"/>
  <c r="D1176" i="3"/>
  <c r="E1176" i="3"/>
  <c r="F1176" i="3"/>
  <c r="G1176" i="3"/>
  <c r="H1176" i="3"/>
  <c r="I1176" i="3"/>
  <c r="J1176" i="3"/>
  <c r="K1176" i="3"/>
  <c r="L1176" i="3"/>
  <c r="M1176" i="3"/>
  <c r="A1177" i="3"/>
  <c r="B1177" i="3"/>
  <c r="C1177" i="3"/>
  <c r="D1177" i="3"/>
  <c r="E1177" i="3"/>
  <c r="F1177" i="3"/>
  <c r="G1177" i="3"/>
  <c r="H1177" i="3"/>
  <c r="I1177" i="3"/>
  <c r="J1177" i="3"/>
  <c r="K1177" i="3"/>
  <c r="L1177" i="3"/>
  <c r="M1177" i="3"/>
  <c r="A1178" i="3"/>
  <c r="B1178" i="3"/>
  <c r="C1178" i="3"/>
  <c r="D1178" i="3"/>
  <c r="E1178" i="3"/>
  <c r="F1178" i="3"/>
  <c r="G1178" i="3"/>
  <c r="H1178" i="3"/>
  <c r="I1178" i="3"/>
  <c r="J1178" i="3"/>
  <c r="K1178" i="3"/>
  <c r="L1178" i="3"/>
  <c r="M1178" i="3"/>
  <c r="A1179" i="3"/>
  <c r="B1179" i="3"/>
  <c r="C1179" i="3"/>
  <c r="D1179" i="3"/>
  <c r="E1179" i="3"/>
  <c r="F1179" i="3"/>
  <c r="G1179" i="3"/>
  <c r="H1179" i="3"/>
  <c r="I1179" i="3"/>
  <c r="J1179" i="3"/>
  <c r="K1179" i="3"/>
  <c r="L1179" i="3"/>
  <c r="M1179" i="3"/>
  <c r="A1180" i="3"/>
  <c r="B1180" i="3"/>
  <c r="C1180" i="3"/>
  <c r="D1180" i="3"/>
  <c r="E1180" i="3"/>
  <c r="F1180" i="3"/>
  <c r="G1180" i="3"/>
  <c r="H1180" i="3"/>
  <c r="I1180" i="3"/>
  <c r="J1180" i="3"/>
  <c r="K1180" i="3"/>
  <c r="L1180" i="3"/>
  <c r="M1180" i="3"/>
  <c r="A1181" i="3"/>
  <c r="B1181" i="3"/>
  <c r="C1181" i="3"/>
  <c r="D1181" i="3"/>
  <c r="E1181" i="3"/>
  <c r="F1181" i="3"/>
  <c r="G1181" i="3"/>
  <c r="H1181" i="3"/>
  <c r="I1181" i="3"/>
  <c r="J1181" i="3"/>
  <c r="K1181" i="3"/>
  <c r="L1181" i="3"/>
  <c r="M1181" i="3"/>
  <c r="A1182" i="3"/>
  <c r="B1182" i="3"/>
  <c r="C1182" i="3"/>
  <c r="D1182" i="3"/>
  <c r="E1182" i="3"/>
  <c r="F1182" i="3"/>
  <c r="G1182" i="3"/>
  <c r="H1182" i="3"/>
  <c r="I1182" i="3"/>
  <c r="J1182" i="3"/>
  <c r="K1182" i="3"/>
  <c r="L1182" i="3"/>
  <c r="M1182" i="3"/>
  <c r="A1183" i="3"/>
  <c r="B1183" i="3"/>
  <c r="C1183" i="3"/>
  <c r="D1183" i="3"/>
  <c r="E1183" i="3"/>
  <c r="F1183" i="3"/>
  <c r="G1183" i="3"/>
  <c r="H1183" i="3"/>
  <c r="I1183" i="3"/>
  <c r="J1183" i="3"/>
  <c r="K1183" i="3"/>
  <c r="L1183" i="3"/>
  <c r="M1183" i="3"/>
  <c r="A1184" i="3"/>
  <c r="B1184" i="3"/>
  <c r="C1184" i="3"/>
  <c r="D1184" i="3"/>
  <c r="E1184" i="3"/>
  <c r="F1184" i="3"/>
  <c r="G1184" i="3"/>
  <c r="H1184" i="3"/>
  <c r="I1184" i="3"/>
  <c r="J1184" i="3"/>
  <c r="K1184" i="3"/>
  <c r="L1184" i="3"/>
  <c r="M1184" i="3"/>
  <c r="A1185" i="3"/>
  <c r="B1185" i="3"/>
  <c r="C1185" i="3"/>
  <c r="D1185" i="3"/>
  <c r="E1185" i="3"/>
  <c r="F1185" i="3"/>
  <c r="G1185" i="3"/>
  <c r="H1185" i="3"/>
  <c r="I1185" i="3"/>
  <c r="J1185" i="3"/>
  <c r="K1185" i="3"/>
  <c r="L1185" i="3"/>
  <c r="M1185" i="3"/>
  <c r="A1186" i="3"/>
  <c r="B1186" i="3"/>
  <c r="C1186" i="3"/>
  <c r="D1186" i="3"/>
  <c r="E1186" i="3"/>
  <c r="F1186" i="3"/>
  <c r="G1186" i="3"/>
  <c r="H1186" i="3"/>
  <c r="I1186" i="3"/>
  <c r="J1186" i="3"/>
  <c r="K1186" i="3"/>
  <c r="L1186" i="3"/>
  <c r="M1186" i="3"/>
  <c r="A1187" i="3"/>
  <c r="B1187" i="3"/>
  <c r="C1187" i="3"/>
  <c r="D1187" i="3"/>
  <c r="E1187" i="3"/>
  <c r="F1187" i="3"/>
  <c r="G1187" i="3"/>
  <c r="H1187" i="3"/>
  <c r="I1187" i="3"/>
  <c r="J1187" i="3"/>
  <c r="K1187" i="3"/>
  <c r="L1187" i="3"/>
  <c r="M1187" i="3"/>
  <c r="A1188" i="3"/>
  <c r="B1188" i="3"/>
  <c r="C1188" i="3"/>
  <c r="D1188" i="3"/>
  <c r="E1188" i="3"/>
  <c r="F1188" i="3"/>
  <c r="G1188" i="3"/>
  <c r="H1188" i="3"/>
  <c r="I1188" i="3"/>
  <c r="J1188" i="3"/>
  <c r="K1188" i="3"/>
  <c r="L1188" i="3"/>
  <c r="M1188" i="3"/>
  <c r="A1189" i="3"/>
  <c r="B1189" i="3"/>
  <c r="C1189" i="3"/>
  <c r="D1189" i="3"/>
  <c r="E1189" i="3"/>
  <c r="F1189" i="3"/>
  <c r="G1189" i="3"/>
  <c r="H1189" i="3"/>
  <c r="I1189" i="3"/>
  <c r="J1189" i="3"/>
  <c r="K1189" i="3"/>
  <c r="L1189" i="3"/>
  <c r="M1189" i="3"/>
  <c r="A1190" i="3"/>
  <c r="B1190" i="3"/>
  <c r="C1190" i="3"/>
  <c r="D1190" i="3"/>
  <c r="E1190" i="3"/>
  <c r="F1190" i="3"/>
  <c r="G1190" i="3"/>
  <c r="H1190" i="3"/>
  <c r="I1190" i="3"/>
  <c r="J1190" i="3"/>
  <c r="K1190" i="3"/>
  <c r="L1190" i="3"/>
  <c r="M1190" i="3"/>
  <c r="A1191" i="3"/>
  <c r="B1191" i="3"/>
  <c r="C1191" i="3"/>
  <c r="D1191" i="3"/>
  <c r="E1191" i="3"/>
  <c r="F1191" i="3"/>
  <c r="G1191" i="3"/>
  <c r="H1191" i="3"/>
  <c r="I1191" i="3"/>
  <c r="J1191" i="3"/>
  <c r="K1191" i="3"/>
  <c r="L1191" i="3"/>
  <c r="M1191" i="3"/>
  <c r="A1192" i="3"/>
  <c r="B1192" i="3"/>
  <c r="C1192" i="3"/>
  <c r="D1192" i="3"/>
  <c r="E1192" i="3"/>
  <c r="F1192" i="3"/>
  <c r="G1192" i="3"/>
  <c r="H1192" i="3"/>
  <c r="I1192" i="3"/>
  <c r="J1192" i="3"/>
  <c r="K1192" i="3"/>
  <c r="L1192" i="3"/>
  <c r="M1192" i="3"/>
  <c r="A1193" i="3"/>
  <c r="B1193" i="3"/>
  <c r="C1193" i="3"/>
  <c r="D1193" i="3"/>
  <c r="E1193" i="3"/>
  <c r="F1193" i="3"/>
  <c r="G1193" i="3"/>
  <c r="H1193" i="3"/>
  <c r="I1193" i="3"/>
  <c r="J1193" i="3"/>
  <c r="K1193" i="3"/>
  <c r="L1193" i="3"/>
  <c r="M1193" i="3"/>
  <c r="A1194" i="3"/>
  <c r="B1194" i="3"/>
  <c r="C1194" i="3"/>
  <c r="D1194" i="3"/>
  <c r="E1194" i="3"/>
  <c r="F1194" i="3"/>
  <c r="G1194" i="3"/>
  <c r="H1194" i="3"/>
  <c r="I1194" i="3"/>
  <c r="J1194" i="3"/>
  <c r="K1194" i="3"/>
  <c r="L1194" i="3"/>
  <c r="M1194" i="3"/>
  <c r="A1195" i="3"/>
  <c r="B1195" i="3"/>
  <c r="C1195" i="3"/>
  <c r="D1195" i="3"/>
  <c r="E1195" i="3"/>
  <c r="F1195" i="3"/>
  <c r="G1195" i="3"/>
  <c r="H1195" i="3"/>
  <c r="I1195" i="3"/>
  <c r="J1195" i="3"/>
  <c r="K1195" i="3"/>
  <c r="L1195" i="3"/>
  <c r="M1195" i="3"/>
  <c r="A1196" i="3"/>
  <c r="B1196" i="3"/>
  <c r="C1196" i="3"/>
  <c r="D1196" i="3"/>
  <c r="E1196" i="3"/>
  <c r="F1196" i="3"/>
  <c r="G1196" i="3"/>
  <c r="H1196" i="3"/>
  <c r="I1196" i="3"/>
  <c r="J1196" i="3"/>
  <c r="K1196" i="3"/>
  <c r="L1196" i="3"/>
  <c r="M1196" i="3"/>
  <c r="A1197" i="3"/>
  <c r="B1197" i="3"/>
  <c r="C1197" i="3"/>
  <c r="D1197" i="3"/>
  <c r="E1197" i="3"/>
  <c r="F1197" i="3"/>
  <c r="G1197" i="3"/>
  <c r="H1197" i="3"/>
  <c r="I1197" i="3"/>
  <c r="J1197" i="3"/>
  <c r="K1197" i="3"/>
  <c r="L1197" i="3"/>
  <c r="M1197" i="3"/>
  <c r="A1198" i="3"/>
  <c r="B1198" i="3"/>
  <c r="C1198" i="3"/>
  <c r="D1198" i="3"/>
  <c r="E1198" i="3"/>
  <c r="F1198" i="3"/>
  <c r="G1198" i="3"/>
  <c r="H1198" i="3"/>
  <c r="I1198" i="3"/>
  <c r="J1198" i="3"/>
  <c r="K1198" i="3"/>
  <c r="L1198" i="3"/>
  <c r="M1198" i="3"/>
  <c r="A1199" i="3"/>
  <c r="B1199" i="3"/>
  <c r="C1199" i="3"/>
  <c r="D1199" i="3"/>
  <c r="E1199" i="3"/>
  <c r="F1199" i="3"/>
  <c r="G1199" i="3"/>
  <c r="H1199" i="3"/>
  <c r="I1199" i="3"/>
  <c r="J1199" i="3"/>
  <c r="K1199" i="3"/>
  <c r="L1199" i="3"/>
  <c r="M1199" i="3"/>
  <c r="A1200" i="3"/>
  <c r="B1200" i="3"/>
  <c r="C1200" i="3"/>
  <c r="D1200" i="3"/>
  <c r="E1200" i="3"/>
  <c r="F1200" i="3"/>
  <c r="G1200" i="3"/>
  <c r="H1200" i="3"/>
  <c r="I1200" i="3"/>
  <c r="J1200" i="3"/>
  <c r="K1200" i="3"/>
  <c r="L1200" i="3"/>
  <c r="M1200" i="3"/>
  <c r="A1201" i="3"/>
  <c r="B1201" i="3"/>
  <c r="C1201" i="3"/>
  <c r="D1201" i="3"/>
  <c r="E1201" i="3"/>
  <c r="F1201" i="3"/>
  <c r="G1201" i="3"/>
  <c r="H1201" i="3"/>
  <c r="I1201" i="3"/>
  <c r="J1201" i="3"/>
  <c r="K1201" i="3"/>
  <c r="L1201" i="3"/>
  <c r="M1201" i="3"/>
  <c r="A1202" i="3"/>
  <c r="B1202" i="3"/>
  <c r="C1202" i="3"/>
  <c r="D1202" i="3"/>
  <c r="E1202" i="3"/>
  <c r="F1202" i="3"/>
  <c r="G1202" i="3"/>
  <c r="H1202" i="3"/>
  <c r="I1202" i="3"/>
  <c r="J1202" i="3"/>
  <c r="K1202" i="3"/>
  <c r="L1202" i="3"/>
  <c r="M1202" i="3"/>
  <c r="A1203" i="3"/>
  <c r="B1203" i="3"/>
  <c r="C1203" i="3"/>
  <c r="D1203" i="3"/>
  <c r="E1203" i="3"/>
  <c r="F1203" i="3"/>
  <c r="G1203" i="3"/>
  <c r="H1203" i="3"/>
  <c r="I1203" i="3"/>
  <c r="J1203" i="3"/>
  <c r="K1203" i="3"/>
  <c r="L1203" i="3"/>
  <c r="M1203" i="3"/>
  <c r="A1204" i="3"/>
  <c r="B1204" i="3"/>
  <c r="C1204" i="3"/>
  <c r="D1204" i="3"/>
  <c r="E1204" i="3"/>
  <c r="F1204" i="3"/>
  <c r="G1204" i="3"/>
  <c r="H1204" i="3"/>
  <c r="I1204" i="3"/>
  <c r="J1204" i="3"/>
  <c r="K1204" i="3"/>
  <c r="L1204" i="3"/>
  <c r="M1204" i="3"/>
  <c r="A1205" i="3"/>
  <c r="B1205" i="3"/>
  <c r="C1205" i="3"/>
  <c r="D1205" i="3"/>
  <c r="E1205" i="3"/>
  <c r="F1205" i="3"/>
  <c r="G1205" i="3"/>
  <c r="H1205" i="3"/>
  <c r="I1205" i="3"/>
  <c r="J1205" i="3"/>
  <c r="K1205" i="3"/>
  <c r="L1205" i="3"/>
  <c r="M1205" i="3"/>
  <c r="A1206" i="3"/>
  <c r="B1206" i="3"/>
  <c r="C1206" i="3"/>
  <c r="D1206" i="3"/>
  <c r="E1206" i="3"/>
  <c r="F1206" i="3"/>
  <c r="G1206" i="3"/>
  <c r="H1206" i="3"/>
  <c r="I1206" i="3"/>
  <c r="J1206" i="3"/>
  <c r="K1206" i="3"/>
  <c r="L1206" i="3"/>
  <c r="M1206" i="3"/>
  <c r="A1207" i="3"/>
  <c r="B1207" i="3"/>
  <c r="C1207" i="3"/>
  <c r="D1207" i="3"/>
  <c r="E1207" i="3"/>
  <c r="F1207" i="3"/>
  <c r="G1207" i="3"/>
  <c r="H1207" i="3"/>
  <c r="I1207" i="3"/>
  <c r="J1207" i="3"/>
  <c r="K1207" i="3"/>
  <c r="L1207" i="3"/>
  <c r="M1207" i="3"/>
  <c r="A1208" i="3"/>
  <c r="B1208" i="3"/>
  <c r="C1208" i="3"/>
  <c r="D1208" i="3"/>
  <c r="E1208" i="3"/>
  <c r="F1208" i="3"/>
  <c r="G1208" i="3"/>
  <c r="H1208" i="3"/>
  <c r="I1208" i="3"/>
  <c r="J1208" i="3"/>
  <c r="K1208" i="3"/>
  <c r="L1208" i="3"/>
  <c r="M1208" i="3"/>
  <c r="A1209" i="3"/>
  <c r="B1209" i="3"/>
  <c r="C1209" i="3"/>
  <c r="D1209" i="3"/>
  <c r="E1209" i="3"/>
  <c r="F1209" i="3"/>
  <c r="G1209" i="3"/>
  <c r="H1209" i="3"/>
  <c r="I1209" i="3"/>
  <c r="J1209" i="3"/>
  <c r="K1209" i="3"/>
  <c r="L1209" i="3"/>
  <c r="M1209" i="3"/>
  <c r="A1210" i="3"/>
  <c r="B1210" i="3"/>
  <c r="C1210" i="3"/>
  <c r="D1210" i="3"/>
  <c r="E1210" i="3"/>
  <c r="F1210" i="3"/>
  <c r="G1210" i="3"/>
  <c r="H1210" i="3"/>
  <c r="I1210" i="3"/>
  <c r="J1210" i="3"/>
  <c r="K1210" i="3"/>
  <c r="L1210" i="3"/>
  <c r="M1210" i="3"/>
  <c r="A1211" i="3"/>
  <c r="B1211" i="3"/>
  <c r="C1211" i="3"/>
  <c r="D1211" i="3"/>
  <c r="E1211" i="3"/>
  <c r="F1211" i="3"/>
  <c r="G1211" i="3"/>
  <c r="H1211" i="3"/>
  <c r="I1211" i="3"/>
  <c r="J1211" i="3"/>
  <c r="K1211" i="3"/>
  <c r="L1211" i="3"/>
  <c r="M1211" i="3"/>
  <c r="A1212" i="3"/>
  <c r="B1212" i="3"/>
  <c r="C1212" i="3"/>
  <c r="D1212" i="3"/>
  <c r="E1212" i="3"/>
  <c r="F1212" i="3"/>
  <c r="G1212" i="3"/>
  <c r="H1212" i="3"/>
  <c r="I1212" i="3"/>
  <c r="J1212" i="3"/>
  <c r="K1212" i="3"/>
  <c r="L1212" i="3"/>
  <c r="M1212" i="3"/>
  <c r="A1213" i="3"/>
  <c r="B1213" i="3"/>
  <c r="C1213" i="3"/>
  <c r="D1213" i="3"/>
  <c r="E1213" i="3"/>
  <c r="F1213" i="3"/>
  <c r="G1213" i="3"/>
  <c r="H1213" i="3"/>
  <c r="I1213" i="3"/>
  <c r="J1213" i="3"/>
  <c r="K1213" i="3"/>
  <c r="L1213" i="3"/>
  <c r="M1213" i="3"/>
  <c r="A1214" i="3"/>
  <c r="B1214" i="3"/>
  <c r="C1214" i="3"/>
  <c r="D1214" i="3"/>
  <c r="E1214" i="3"/>
  <c r="F1214" i="3"/>
  <c r="G1214" i="3"/>
  <c r="H1214" i="3"/>
  <c r="I1214" i="3"/>
  <c r="J1214" i="3"/>
  <c r="K1214" i="3"/>
  <c r="L1214" i="3"/>
  <c r="M1214" i="3"/>
  <c r="A1215" i="3"/>
  <c r="B1215" i="3"/>
  <c r="C1215" i="3"/>
  <c r="D1215" i="3"/>
  <c r="E1215" i="3"/>
  <c r="F1215" i="3"/>
  <c r="G1215" i="3"/>
  <c r="H1215" i="3"/>
  <c r="I1215" i="3"/>
  <c r="J1215" i="3"/>
  <c r="K1215" i="3"/>
  <c r="L1215" i="3"/>
  <c r="M1215" i="3"/>
  <c r="A1216" i="3"/>
  <c r="B1216" i="3"/>
  <c r="C1216" i="3"/>
  <c r="D1216" i="3"/>
  <c r="E1216" i="3"/>
  <c r="F1216" i="3"/>
  <c r="G1216" i="3"/>
  <c r="H1216" i="3"/>
  <c r="I1216" i="3"/>
  <c r="J1216" i="3"/>
  <c r="K1216" i="3"/>
  <c r="L1216" i="3"/>
  <c r="M1216" i="3"/>
  <c r="A1217" i="3"/>
  <c r="B1217" i="3"/>
  <c r="C1217" i="3"/>
  <c r="D1217" i="3"/>
  <c r="E1217" i="3"/>
  <c r="F1217" i="3"/>
  <c r="G1217" i="3"/>
  <c r="H1217" i="3"/>
  <c r="I1217" i="3"/>
  <c r="J1217" i="3"/>
  <c r="K1217" i="3"/>
  <c r="L1217" i="3"/>
  <c r="M1217" i="3"/>
  <c r="A1218" i="3"/>
  <c r="B1218" i="3"/>
  <c r="C1218" i="3"/>
  <c r="D1218" i="3"/>
  <c r="E1218" i="3"/>
  <c r="F1218" i="3"/>
  <c r="G1218" i="3"/>
  <c r="H1218" i="3"/>
  <c r="I1218" i="3"/>
  <c r="J1218" i="3"/>
  <c r="K1218" i="3"/>
  <c r="L1218" i="3"/>
  <c r="M1218" i="3"/>
  <c r="A1219" i="3"/>
  <c r="B1219" i="3"/>
  <c r="C1219" i="3"/>
  <c r="D1219" i="3"/>
  <c r="E1219" i="3"/>
  <c r="F1219" i="3"/>
  <c r="G1219" i="3"/>
  <c r="H1219" i="3"/>
  <c r="I1219" i="3"/>
  <c r="J1219" i="3"/>
  <c r="K1219" i="3"/>
  <c r="L1219" i="3"/>
  <c r="M1219" i="3"/>
  <c r="A1220" i="3"/>
  <c r="B1220" i="3"/>
  <c r="C1220" i="3"/>
  <c r="D1220" i="3"/>
  <c r="E1220" i="3"/>
  <c r="F1220" i="3"/>
  <c r="G1220" i="3"/>
  <c r="H1220" i="3"/>
  <c r="I1220" i="3"/>
  <c r="J1220" i="3"/>
  <c r="K1220" i="3"/>
  <c r="L1220" i="3"/>
  <c r="M1220" i="3"/>
  <c r="A1221" i="3"/>
  <c r="B1221" i="3"/>
  <c r="C1221" i="3"/>
  <c r="D1221" i="3"/>
  <c r="E1221" i="3"/>
  <c r="F1221" i="3"/>
  <c r="G1221" i="3"/>
  <c r="H1221" i="3"/>
  <c r="I1221" i="3"/>
  <c r="J1221" i="3"/>
  <c r="K1221" i="3"/>
  <c r="L1221" i="3"/>
  <c r="M1221" i="3"/>
  <c r="A1222" i="3"/>
  <c r="B1222" i="3"/>
  <c r="C1222" i="3"/>
  <c r="D1222" i="3"/>
  <c r="E1222" i="3"/>
  <c r="F1222" i="3"/>
  <c r="G1222" i="3"/>
  <c r="H1222" i="3"/>
  <c r="I1222" i="3"/>
  <c r="J1222" i="3"/>
  <c r="K1222" i="3"/>
  <c r="L1222" i="3"/>
  <c r="M1222" i="3"/>
  <c r="A1223" i="3"/>
  <c r="B1223" i="3"/>
  <c r="C1223" i="3"/>
  <c r="D1223" i="3"/>
  <c r="E1223" i="3"/>
  <c r="F1223" i="3"/>
  <c r="G1223" i="3"/>
  <c r="H1223" i="3"/>
  <c r="I1223" i="3"/>
  <c r="J1223" i="3"/>
  <c r="K1223" i="3"/>
  <c r="L1223" i="3"/>
  <c r="M1223" i="3"/>
  <c r="A1224" i="3"/>
  <c r="B1224" i="3"/>
  <c r="C1224" i="3"/>
  <c r="D1224" i="3"/>
  <c r="E1224" i="3"/>
  <c r="F1224" i="3"/>
  <c r="G1224" i="3"/>
  <c r="H1224" i="3"/>
  <c r="I1224" i="3"/>
  <c r="J1224" i="3"/>
  <c r="K1224" i="3"/>
  <c r="L1224" i="3"/>
  <c r="M1224" i="3"/>
  <c r="A1225" i="3"/>
  <c r="B1225" i="3"/>
  <c r="C1225" i="3"/>
  <c r="D1225" i="3"/>
  <c r="E1225" i="3"/>
  <c r="F1225" i="3"/>
  <c r="G1225" i="3"/>
  <c r="H1225" i="3"/>
  <c r="I1225" i="3"/>
  <c r="J1225" i="3"/>
  <c r="K1225" i="3"/>
  <c r="L1225" i="3"/>
  <c r="M1225" i="3"/>
  <c r="A1226" i="3"/>
  <c r="B1226" i="3"/>
  <c r="C1226" i="3"/>
  <c r="D1226" i="3"/>
  <c r="E1226" i="3"/>
  <c r="F1226" i="3"/>
  <c r="G1226" i="3"/>
  <c r="H1226" i="3"/>
  <c r="I1226" i="3"/>
  <c r="J1226" i="3"/>
  <c r="K1226" i="3"/>
  <c r="L1226" i="3"/>
  <c r="M1226" i="3"/>
  <c r="A1227" i="3"/>
  <c r="B1227" i="3"/>
  <c r="C1227" i="3"/>
  <c r="D1227" i="3"/>
  <c r="E1227" i="3"/>
  <c r="F1227" i="3"/>
  <c r="G1227" i="3"/>
  <c r="H1227" i="3"/>
  <c r="I1227" i="3"/>
  <c r="J1227" i="3"/>
  <c r="K1227" i="3"/>
  <c r="L1227" i="3"/>
  <c r="M1227" i="3"/>
  <c r="A1228" i="3"/>
  <c r="B1228" i="3"/>
  <c r="C1228" i="3"/>
  <c r="D1228" i="3"/>
  <c r="E1228" i="3"/>
  <c r="F1228" i="3"/>
  <c r="G1228" i="3"/>
  <c r="H1228" i="3"/>
  <c r="I1228" i="3"/>
  <c r="J1228" i="3"/>
  <c r="K1228" i="3"/>
  <c r="L1228" i="3"/>
  <c r="M1228" i="3"/>
  <c r="A1229" i="3"/>
  <c r="B1229" i="3"/>
  <c r="C1229" i="3"/>
  <c r="D1229" i="3"/>
  <c r="E1229" i="3"/>
  <c r="F1229" i="3"/>
  <c r="G1229" i="3"/>
  <c r="H1229" i="3"/>
  <c r="I1229" i="3"/>
  <c r="J1229" i="3"/>
  <c r="K1229" i="3"/>
  <c r="L1229" i="3"/>
  <c r="M1229" i="3"/>
  <c r="A1230" i="3"/>
  <c r="B1230" i="3"/>
  <c r="C1230" i="3"/>
  <c r="D1230" i="3"/>
  <c r="E1230" i="3"/>
  <c r="F1230" i="3"/>
  <c r="G1230" i="3"/>
  <c r="H1230" i="3"/>
  <c r="I1230" i="3"/>
  <c r="J1230" i="3"/>
  <c r="K1230" i="3"/>
  <c r="L1230" i="3"/>
  <c r="M1230" i="3"/>
  <c r="A1231" i="3"/>
  <c r="B1231" i="3"/>
  <c r="C1231" i="3"/>
  <c r="D1231" i="3"/>
  <c r="E1231" i="3"/>
  <c r="F1231" i="3"/>
  <c r="G1231" i="3"/>
  <c r="H1231" i="3"/>
  <c r="I1231" i="3"/>
  <c r="J1231" i="3"/>
  <c r="K1231" i="3"/>
  <c r="L1231" i="3"/>
  <c r="M1231" i="3"/>
  <c r="A1232" i="3"/>
  <c r="B1232" i="3"/>
  <c r="C1232" i="3"/>
  <c r="D1232" i="3"/>
  <c r="E1232" i="3"/>
  <c r="F1232" i="3"/>
  <c r="G1232" i="3"/>
  <c r="H1232" i="3"/>
  <c r="I1232" i="3"/>
  <c r="J1232" i="3"/>
  <c r="K1232" i="3"/>
  <c r="L1232" i="3"/>
  <c r="M1232" i="3"/>
  <c r="A1233" i="3"/>
  <c r="B1233" i="3"/>
  <c r="C1233" i="3"/>
  <c r="D1233" i="3"/>
  <c r="E1233" i="3"/>
  <c r="F1233" i="3"/>
  <c r="G1233" i="3"/>
  <c r="H1233" i="3"/>
  <c r="I1233" i="3"/>
  <c r="J1233" i="3"/>
  <c r="K1233" i="3"/>
  <c r="L1233" i="3"/>
  <c r="M1233" i="3"/>
  <c r="A1234" i="3"/>
  <c r="B1234" i="3"/>
  <c r="C1234" i="3"/>
  <c r="D1234" i="3"/>
  <c r="E1234" i="3"/>
  <c r="F1234" i="3"/>
  <c r="G1234" i="3"/>
  <c r="H1234" i="3"/>
  <c r="I1234" i="3"/>
  <c r="J1234" i="3"/>
  <c r="K1234" i="3"/>
  <c r="L1234" i="3"/>
  <c r="M1234" i="3"/>
  <c r="A1235" i="3"/>
  <c r="B1235" i="3"/>
  <c r="C1235" i="3"/>
  <c r="D1235" i="3"/>
  <c r="E1235" i="3"/>
  <c r="F1235" i="3"/>
  <c r="G1235" i="3"/>
  <c r="H1235" i="3"/>
  <c r="I1235" i="3"/>
  <c r="J1235" i="3"/>
  <c r="K1235" i="3"/>
  <c r="L1235" i="3"/>
  <c r="M1235" i="3"/>
  <c r="A1236" i="3"/>
  <c r="B1236" i="3"/>
  <c r="C1236" i="3"/>
  <c r="D1236" i="3"/>
  <c r="E1236" i="3"/>
  <c r="F1236" i="3"/>
  <c r="G1236" i="3"/>
  <c r="H1236" i="3"/>
  <c r="I1236" i="3"/>
  <c r="J1236" i="3"/>
  <c r="K1236" i="3"/>
  <c r="L1236" i="3"/>
  <c r="M1236" i="3"/>
  <c r="A1237" i="3"/>
  <c r="B1237" i="3"/>
  <c r="C1237" i="3"/>
  <c r="D1237" i="3"/>
  <c r="E1237" i="3"/>
  <c r="F1237" i="3"/>
  <c r="G1237" i="3"/>
  <c r="H1237" i="3"/>
  <c r="I1237" i="3"/>
  <c r="J1237" i="3"/>
  <c r="K1237" i="3"/>
  <c r="L1237" i="3"/>
  <c r="M1237" i="3"/>
  <c r="A1238" i="3"/>
  <c r="B1238" i="3"/>
  <c r="C1238" i="3"/>
  <c r="D1238" i="3"/>
  <c r="E1238" i="3"/>
  <c r="F1238" i="3"/>
  <c r="G1238" i="3"/>
  <c r="H1238" i="3"/>
  <c r="I1238" i="3"/>
  <c r="J1238" i="3"/>
  <c r="K1238" i="3"/>
  <c r="L1238" i="3"/>
  <c r="M1238" i="3"/>
  <c r="A1239" i="3"/>
  <c r="B1239" i="3"/>
  <c r="C1239" i="3"/>
  <c r="D1239" i="3"/>
  <c r="E1239" i="3"/>
  <c r="F1239" i="3"/>
  <c r="G1239" i="3"/>
  <c r="H1239" i="3"/>
  <c r="I1239" i="3"/>
  <c r="J1239" i="3"/>
  <c r="K1239" i="3"/>
  <c r="L1239" i="3"/>
  <c r="M1239" i="3"/>
  <c r="A1240" i="3"/>
  <c r="B1240" i="3"/>
  <c r="C1240" i="3"/>
  <c r="D1240" i="3"/>
  <c r="E1240" i="3"/>
  <c r="F1240" i="3"/>
  <c r="G1240" i="3"/>
  <c r="H1240" i="3"/>
  <c r="I1240" i="3"/>
  <c r="J1240" i="3"/>
  <c r="K1240" i="3"/>
  <c r="L1240" i="3"/>
  <c r="M1240" i="3"/>
  <c r="A1241" i="3"/>
  <c r="B1241" i="3"/>
  <c r="C1241" i="3"/>
  <c r="D1241" i="3"/>
  <c r="E1241" i="3"/>
  <c r="F1241" i="3"/>
  <c r="G1241" i="3"/>
  <c r="H1241" i="3"/>
  <c r="I1241" i="3"/>
  <c r="J1241" i="3"/>
  <c r="K1241" i="3"/>
  <c r="L1241" i="3"/>
  <c r="M1241" i="3"/>
  <c r="A1242" i="3"/>
  <c r="B1242" i="3"/>
  <c r="C1242" i="3"/>
  <c r="D1242" i="3"/>
  <c r="E1242" i="3"/>
  <c r="F1242" i="3"/>
  <c r="G1242" i="3"/>
  <c r="H1242" i="3"/>
  <c r="I1242" i="3"/>
  <c r="J1242" i="3"/>
  <c r="K1242" i="3"/>
  <c r="L1242" i="3"/>
  <c r="M1242" i="3"/>
  <c r="A1243" i="3"/>
  <c r="B1243" i="3"/>
  <c r="C1243" i="3"/>
  <c r="D1243" i="3"/>
  <c r="E1243" i="3"/>
  <c r="F1243" i="3"/>
  <c r="G1243" i="3"/>
  <c r="H1243" i="3"/>
  <c r="I1243" i="3"/>
  <c r="J1243" i="3"/>
  <c r="K1243" i="3"/>
  <c r="L1243" i="3"/>
  <c r="M1243" i="3"/>
  <c r="A1244" i="3"/>
  <c r="B1244" i="3"/>
  <c r="C1244" i="3"/>
  <c r="D1244" i="3"/>
  <c r="E1244" i="3"/>
  <c r="F1244" i="3"/>
  <c r="G1244" i="3"/>
  <c r="H1244" i="3"/>
  <c r="I1244" i="3"/>
  <c r="J1244" i="3"/>
  <c r="K1244" i="3"/>
  <c r="L1244" i="3"/>
  <c r="M1244" i="3"/>
  <c r="A1245" i="3"/>
  <c r="B1245" i="3"/>
  <c r="C1245" i="3"/>
  <c r="D1245" i="3"/>
  <c r="E1245" i="3"/>
  <c r="F1245" i="3"/>
  <c r="G1245" i="3"/>
  <c r="H1245" i="3"/>
  <c r="I1245" i="3"/>
  <c r="J1245" i="3"/>
  <c r="K1245" i="3"/>
  <c r="L1245" i="3"/>
  <c r="M1245" i="3"/>
  <c r="A1246" i="3"/>
  <c r="B1246" i="3"/>
  <c r="C1246" i="3"/>
  <c r="D1246" i="3"/>
  <c r="E1246" i="3"/>
  <c r="F1246" i="3"/>
  <c r="G1246" i="3"/>
  <c r="H1246" i="3"/>
  <c r="I1246" i="3"/>
  <c r="J1246" i="3"/>
  <c r="K1246" i="3"/>
  <c r="L1246" i="3"/>
  <c r="M1246" i="3"/>
  <c r="A1247" i="3"/>
  <c r="B1247" i="3"/>
  <c r="C1247" i="3"/>
  <c r="D1247" i="3"/>
  <c r="E1247" i="3"/>
  <c r="F1247" i="3"/>
  <c r="G1247" i="3"/>
  <c r="H1247" i="3"/>
  <c r="I1247" i="3"/>
  <c r="J1247" i="3"/>
  <c r="K1247" i="3"/>
  <c r="L1247" i="3"/>
  <c r="M1247" i="3"/>
  <c r="A1248" i="3"/>
  <c r="B1248" i="3"/>
  <c r="C1248" i="3"/>
  <c r="D1248" i="3"/>
  <c r="E1248" i="3"/>
  <c r="F1248" i="3"/>
  <c r="G1248" i="3"/>
  <c r="H1248" i="3"/>
  <c r="I1248" i="3"/>
  <c r="J1248" i="3"/>
  <c r="K1248" i="3"/>
  <c r="L1248" i="3"/>
  <c r="M1248" i="3"/>
  <c r="A1249" i="3"/>
  <c r="B1249" i="3"/>
  <c r="C1249" i="3"/>
  <c r="D1249" i="3"/>
  <c r="E1249" i="3"/>
  <c r="F1249" i="3"/>
  <c r="G1249" i="3"/>
  <c r="H1249" i="3"/>
  <c r="I1249" i="3"/>
  <c r="J1249" i="3"/>
  <c r="K1249" i="3"/>
  <c r="L1249" i="3"/>
  <c r="M1249" i="3"/>
  <c r="A1250" i="3"/>
  <c r="B1250" i="3"/>
  <c r="C1250" i="3"/>
  <c r="D1250" i="3"/>
  <c r="E1250" i="3"/>
  <c r="F1250" i="3"/>
  <c r="G1250" i="3"/>
  <c r="H1250" i="3"/>
  <c r="I1250" i="3"/>
  <c r="J1250" i="3"/>
  <c r="K1250" i="3"/>
  <c r="L1250" i="3"/>
  <c r="M1250" i="3"/>
  <c r="A1251" i="3"/>
  <c r="B1251" i="3"/>
  <c r="C1251" i="3"/>
  <c r="D1251" i="3"/>
  <c r="E1251" i="3"/>
  <c r="F1251" i="3"/>
  <c r="G1251" i="3"/>
  <c r="H1251" i="3"/>
  <c r="I1251" i="3"/>
  <c r="J1251" i="3"/>
  <c r="K1251" i="3"/>
  <c r="L1251" i="3"/>
  <c r="M1251" i="3"/>
  <c r="A1252" i="3"/>
  <c r="B1252" i="3"/>
  <c r="C1252" i="3"/>
  <c r="D1252" i="3"/>
  <c r="E1252" i="3"/>
  <c r="F1252" i="3"/>
  <c r="G1252" i="3"/>
  <c r="H1252" i="3"/>
  <c r="I1252" i="3"/>
  <c r="J1252" i="3"/>
  <c r="K1252" i="3"/>
  <c r="L1252" i="3"/>
  <c r="M1252" i="3"/>
  <c r="A1253" i="3"/>
  <c r="B1253" i="3"/>
  <c r="C1253" i="3"/>
  <c r="D1253" i="3"/>
  <c r="E1253" i="3"/>
  <c r="F1253" i="3"/>
  <c r="G1253" i="3"/>
  <c r="H1253" i="3"/>
  <c r="I1253" i="3"/>
  <c r="J1253" i="3"/>
  <c r="K1253" i="3"/>
  <c r="L1253" i="3"/>
  <c r="M1253" i="3"/>
  <c r="A1254" i="3"/>
  <c r="B1254" i="3"/>
  <c r="C1254" i="3"/>
  <c r="D1254" i="3"/>
  <c r="E1254" i="3"/>
  <c r="F1254" i="3"/>
  <c r="G1254" i="3"/>
  <c r="H1254" i="3"/>
  <c r="I1254" i="3"/>
  <c r="J1254" i="3"/>
  <c r="K1254" i="3"/>
  <c r="L1254" i="3"/>
  <c r="M1254" i="3"/>
  <c r="A1255" i="3"/>
  <c r="B1255" i="3"/>
  <c r="C1255" i="3"/>
  <c r="D1255" i="3"/>
  <c r="E1255" i="3"/>
  <c r="F1255" i="3"/>
  <c r="G1255" i="3"/>
  <c r="H1255" i="3"/>
  <c r="I1255" i="3"/>
  <c r="J1255" i="3"/>
  <c r="K1255" i="3"/>
  <c r="L1255" i="3"/>
  <c r="M1255" i="3"/>
  <c r="A1256" i="3"/>
  <c r="B1256" i="3"/>
  <c r="C1256" i="3"/>
  <c r="D1256" i="3"/>
  <c r="E1256" i="3"/>
  <c r="F1256" i="3"/>
  <c r="G1256" i="3"/>
  <c r="H1256" i="3"/>
  <c r="I1256" i="3"/>
  <c r="J1256" i="3"/>
  <c r="K1256" i="3"/>
  <c r="L1256" i="3"/>
  <c r="M1256" i="3"/>
  <c r="A1257" i="3"/>
  <c r="B1257" i="3"/>
  <c r="C1257" i="3"/>
  <c r="D1257" i="3"/>
  <c r="E1257" i="3"/>
  <c r="F1257" i="3"/>
  <c r="G1257" i="3"/>
  <c r="H1257" i="3"/>
  <c r="I1257" i="3"/>
  <c r="J1257" i="3"/>
  <c r="K1257" i="3"/>
  <c r="L1257" i="3"/>
  <c r="M1257" i="3"/>
  <c r="A1258" i="3"/>
  <c r="B1258" i="3"/>
  <c r="C1258" i="3"/>
  <c r="D1258" i="3"/>
  <c r="E1258" i="3"/>
  <c r="F1258" i="3"/>
  <c r="G1258" i="3"/>
  <c r="H1258" i="3"/>
  <c r="I1258" i="3"/>
  <c r="J1258" i="3"/>
  <c r="K1258" i="3"/>
  <c r="L1258" i="3"/>
  <c r="M1258" i="3"/>
  <c r="A1259" i="3"/>
  <c r="B1259" i="3"/>
  <c r="C1259" i="3"/>
  <c r="D1259" i="3"/>
  <c r="E1259" i="3"/>
  <c r="F1259" i="3"/>
  <c r="G1259" i="3"/>
  <c r="H1259" i="3"/>
  <c r="I1259" i="3"/>
  <c r="J1259" i="3"/>
  <c r="K1259" i="3"/>
  <c r="L1259" i="3"/>
  <c r="M1259" i="3"/>
  <c r="A1260" i="3"/>
  <c r="B1260" i="3"/>
  <c r="C1260" i="3"/>
  <c r="D1260" i="3"/>
  <c r="E1260" i="3"/>
  <c r="F1260" i="3"/>
  <c r="G1260" i="3"/>
  <c r="H1260" i="3"/>
  <c r="I1260" i="3"/>
  <c r="J1260" i="3"/>
  <c r="K1260" i="3"/>
  <c r="L1260" i="3"/>
  <c r="M1260" i="3"/>
  <c r="A1261" i="3"/>
  <c r="B1261" i="3"/>
  <c r="C1261" i="3"/>
  <c r="D1261" i="3"/>
  <c r="E1261" i="3"/>
  <c r="F1261" i="3"/>
  <c r="G1261" i="3"/>
  <c r="H1261" i="3"/>
  <c r="I1261" i="3"/>
  <c r="J1261" i="3"/>
  <c r="K1261" i="3"/>
  <c r="L1261" i="3"/>
  <c r="M1261" i="3"/>
  <c r="A1262" i="3"/>
  <c r="B1262" i="3"/>
  <c r="C1262" i="3"/>
  <c r="D1262" i="3"/>
  <c r="E1262" i="3"/>
  <c r="F1262" i="3"/>
  <c r="G1262" i="3"/>
  <c r="H1262" i="3"/>
  <c r="I1262" i="3"/>
  <c r="J1262" i="3"/>
  <c r="K1262" i="3"/>
  <c r="L1262" i="3"/>
  <c r="M1262" i="3"/>
  <c r="A1263" i="3"/>
  <c r="B1263" i="3"/>
  <c r="C1263" i="3"/>
  <c r="D1263" i="3"/>
  <c r="E1263" i="3"/>
  <c r="F1263" i="3"/>
  <c r="G1263" i="3"/>
  <c r="H1263" i="3"/>
  <c r="I1263" i="3"/>
  <c r="J1263" i="3"/>
  <c r="K1263" i="3"/>
  <c r="L1263" i="3"/>
  <c r="M1263" i="3"/>
  <c r="A1264" i="3"/>
  <c r="B1264" i="3"/>
  <c r="C1264" i="3"/>
  <c r="D1264" i="3"/>
  <c r="E1264" i="3"/>
  <c r="F1264" i="3"/>
  <c r="G1264" i="3"/>
  <c r="H1264" i="3"/>
  <c r="I1264" i="3"/>
  <c r="J1264" i="3"/>
  <c r="K1264" i="3"/>
  <c r="L1264" i="3"/>
  <c r="M1264" i="3"/>
  <c r="A1265" i="3"/>
  <c r="B1265" i="3"/>
  <c r="C1265" i="3"/>
  <c r="D1265" i="3"/>
  <c r="E1265" i="3"/>
  <c r="F1265" i="3"/>
  <c r="G1265" i="3"/>
  <c r="H1265" i="3"/>
  <c r="I1265" i="3"/>
  <c r="J1265" i="3"/>
  <c r="K1265" i="3"/>
  <c r="L1265" i="3"/>
  <c r="M1265" i="3"/>
  <c r="A1266" i="3"/>
  <c r="B1266" i="3"/>
  <c r="C1266" i="3"/>
  <c r="D1266" i="3"/>
  <c r="E1266" i="3"/>
  <c r="F1266" i="3"/>
  <c r="G1266" i="3"/>
  <c r="H1266" i="3"/>
  <c r="I1266" i="3"/>
  <c r="J1266" i="3"/>
  <c r="K1266" i="3"/>
  <c r="L1266" i="3"/>
  <c r="M1266" i="3"/>
  <c r="A1267" i="3"/>
  <c r="B1267" i="3"/>
  <c r="C1267" i="3"/>
  <c r="D1267" i="3"/>
  <c r="E1267" i="3"/>
  <c r="F1267" i="3"/>
  <c r="G1267" i="3"/>
  <c r="H1267" i="3"/>
  <c r="I1267" i="3"/>
  <c r="J1267" i="3"/>
  <c r="K1267" i="3"/>
  <c r="L1267" i="3"/>
  <c r="M1267" i="3"/>
  <c r="A1268" i="3"/>
  <c r="B1268" i="3"/>
  <c r="C1268" i="3"/>
  <c r="D1268" i="3"/>
  <c r="E1268" i="3"/>
  <c r="F1268" i="3"/>
  <c r="G1268" i="3"/>
  <c r="H1268" i="3"/>
  <c r="I1268" i="3"/>
  <c r="J1268" i="3"/>
  <c r="K1268" i="3"/>
  <c r="L1268" i="3"/>
  <c r="M1268" i="3"/>
  <c r="A1269" i="3"/>
  <c r="B1269" i="3"/>
  <c r="C1269" i="3"/>
  <c r="D1269" i="3"/>
  <c r="E1269" i="3"/>
  <c r="F1269" i="3"/>
  <c r="G1269" i="3"/>
  <c r="H1269" i="3"/>
  <c r="I1269" i="3"/>
  <c r="J1269" i="3"/>
  <c r="K1269" i="3"/>
  <c r="L1269" i="3"/>
  <c r="M1269" i="3"/>
  <c r="A1270" i="3"/>
  <c r="B1270" i="3"/>
  <c r="C1270" i="3"/>
  <c r="D1270" i="3"/>
  <c r="E1270" i="3"/>
  <c r="F1270" i="3"/>
  <c r="G1270" i="3"/>
  <c r="H1270" i="3"/>
  <c r="I1270" i="3"/>
  <c r="J1270" i="3"/>
  <c r="K1270" i="3"/>
  <c r="L1270" i="3"/>
  <c r="M1270" i="3"/>
  <c r="A1271" i="3"/>
  <c r="B1271" i="3"/>
  <c r="C1271" i="3"/>
  <c r="D1271" i="3"/>
  <c r="E1271" i="3"/>
  <c r="F1271" i="3"/>
  <c r="G1271" i="3"/>
  <c r="H1271" i="3"/>
  <c r="I1271" i="3"/>
  <c r="J1271" i="3"/>
  <c r="K1271" i="3"/>
  <c r="L1271" i="3"/>
  <c r="M1271" i="3"/>
  <c r="A1272" i="3"/>
  <c r="B1272" i="3"/>
  <c r="C1272" i="3"/>
  <c r="D1272" i="3"/>
  <c r="E1272" i="3"/>
  <c r="F1272" i="3"/>
  <c r="G1272" i="3"/>
  <c r="H1272" i="3"/>
  <c r="I1272" i="3"/>
  <c r="J1272" i="3"/>
  <c r="K1272" i="3"/>
  <c r="L1272" i="3"/>
  <c r="M1272" i="3"/>
  <c r="A1273" i="3"/>
  <c r="B1273" i="3"/>
  <c r="C1273" i="3"/>
  <c r="D1273" i="3"/>
  <c r="E1273" i="3"/>
  <c r="F1273" i="3"/>
  <c r="G1273" i="3"/>
  <c r="H1273" i="3"/>
  <c r="I1273" i="3"/>
  <c r="J1273" i="3"/>
  <c r="K1273" i="3"/>
  <c r="L1273" i="3"/>
  <c r="M1273" i="3"/>
  <c r="A1274" i="3"/>
  <c r="B1274" i="3"/>
  <c r="C1274" i="3"/>
  <c r="D1274" i="3"/>
  <c r="E1274" i="3"/>
  <c r="F1274" i="3"/>
  <c r="G1274" i="3"/>
  <c r="H1274" i="3"/>
  <c r="I1274" i="3"/>
  <c r="J1274" i="3"/>
  <c r="K1274" i="3"/>
  <c r="L1274" i="3"/>
  <c r="M1274" i="3"/>
  <c r="A1275" i="3"/>
  <c r="B1275" i="3"/>
  <c r="C1275" i="3"/>
  <c r="D1275" i="3"/>
  <c r="E1275" i="3"/>
  <c r="F1275" i="3"/>
  <c r="G1275" i="3"/>
  <c r="H1275" i="3"/>
  <c r="I1275" i="3"/>
  <c r="J1275" i="3"/>
  <c r="K1275" i="3"/>
  <c r="L1275" i="3"/>
  <c r="M1275" i="3"/>
  <c r="A1276" i="3"/>
  <c r="B1276" i="3"/>
  <c r="C1276" i="3"/>
  <c r="D1276" i="3"/>
  <c r="E1276" i="3"/>
  <c r="F1276" i="3"/>
  <c r="G1276" i="3"/>
  <c r="H1276" i="3"/>
  <c r="I1276" i="3"/>
  <c r="J1276" i="3"/>
  <c r="K1276" i="3"/>
  <c r="L1276" i="3"/>
  <c r="M1276" i="3"/>
  <c r="A1277" i="3"/>
  <c r="B1277" i="3"/>
  <c r="C1277" i="3"/>
  <c r="D1277" i="3"/>
  <c r="E1277" i="3"/>
  <c r="F1277" i="3"/>
  <c r="G1277" i="3"/>
  <c r="H1277" i="3"/>
  <c r="I1277" i="3"/>
  <c r="J1277" i="3"/>
  <c r="K1277" i="3"/>
  <c r="L1277" i="3"/>
  <c r="M1277" i="3"/>
  <c r="A1278" i="3"/>
  <c r="B1278" i="3"/>
  <c r="C1278" i="3"/>
  <c r="D1278" i="3"/>
  <c r="E1278" i="3"/>
  <c r="F1278" i="3"/>
  <c r="G1278" i="3"/>
  <c r="H1278" i="3"/>
  <c r="I1278" i="3"/>
  <c r="J1278" i="3"/>
  <c r="K1278" i="3"/>
  <c r="L1278" i="3"/>
  <c r="M1278" i="3"/>
  <c r="A1279" i="3"/>
  <c r="B1279" i="3"/>
  <c r="C1279" i="3"/>
  <c r="D1279" i="3"/>
  <c r="E1279" i="3"/>
  <c r="F1279" i="3"/>
  <c r="G1279" i="3"/>
  <c r="H1279" i="3"/>
  <c r="I1279" i="3"/>
  <c r="J1279" i="3"/>
  <c r="K1279" i="3"/>
  <c r="L1279" i="3"/>
  <c r="M1279" i="3"/>
  <c r="A1280" i="3"/>
  <c r="B1280" i="3"/>
  <c r="C1280" i="3"/>
  <c r="D1280" i="3"/>
  <c r="E1280" i="3"/>
  <c r="F1280" i="3"/>
  <c r="G1280" i="3"/>
  <c r="H1280" i="3"/>
  <c r="I1280" i="3"/>
  <c r="J1280" i="3"/>
  <c r="K1280" i="3"/>
  <c r="L1280" i="3"/>
  <c r="M1280" i="3"/>
  <c r="A1281" i="3"/>
  <c r="B1281" i="3"/>
  <c r="C1281" i="3"/>
  <c r="D1281" i="3"/>
  <c r="E1281" i="3"/>
  <c r="F1281" i="3"/>
  <c r="G1281" i="3"/>
  <c r="H1281" i="3"/>
  <c r="I1281" i="3"/>
  <c r="J1281" i="3"/>
  <c r="K1281" i="3"/>
  <c r="L1281" i="3"/>
  <c r="M1281" i="3"/>
  <c r="A1282" i="3"/>
  <c r="B1282" i="3"/>
  <c r="C1282" i="3"/>
  <c r="D1282" i="3"/>
  <c r="E1282" i="3"/>
  <c r="F1282" i="3"/>
  <c r="G1282" i="3"/>
  <c r="H1282" i="3"/>
  <c r="I1282" i="3"/>
  <c r="J1282" i="3"/>
  <c r="K1282" i="3"/>
  <c r="L1282" i="3"/>
  <c r="M1282" i="3"/>
  <c r="A1283" i="3"/>
  <c r="B1283" i="3"/>
  <c r="C1283" i="3"/>
  <c r="D1283" i="3"/>
  <c r="E1283" i="3"/>
  <c r="F1283" i="3"/>
  <c r="G1283" i="3"/>
  <c r="H1283" i="3"/>
  <c r="I1283" i="3"/>
  <c r="J1283" i="3"/>
  <c r="K1283" i="3"/>
  <c r="L1283" i="3"/>
  <c r="M1283" i="3"/>
  <c r="A1284" i="3"/>
  <c r="B1284" i="3"/>
  <c r="C1284" i="3"/>
  <c r="D1284" i="3"/>
  <c r="E1284" i="3"/>
  <c r="F1284" i="3"/>
  <c r="G1284" i="3"/>
  <c r="H1284" i="3"/>
  <c r="I1284" i="3"/>
  <c r="J1284" i="3"/>
  <c r="K1284" i="3"/>
  <c r="L1284" i="3"/>
  <c r="M1284" i="3"/>
  <c r="A1285" i="3"/>
  <c r="B1285" i="3"/>
  <c r="C1285" i="3"/>
  <c r="D1285" i="3"/>
  <c r="E1285" i="3"/>
  <c r="F1285" i="3"/>
  <c r="G1285" i="3"/>
  <c r="H1285" i="3"/>
  <c r="I1285" i="3"/>
  <c r="J1285" i="3"/>
  <c r="K1285" i="3"/>
  <c r="L1285" i="3"/>
  <c r="M1285" i="3"/>
  <c r="A1286" i="3"/>
  <c r="B1286" i="3"/>
  <c r="C1286" i="3"/>
  <c r="D1286" i="3"/>
  <c r="E1286" i="3"/>
  <c r="F1286" i="3"/>
  <c r="G1286" i="3"/>
  <c r="H1286" i="3"/>
  <c r="I1286" i="3"/>
  <c r="J1286" i="3"/>
  <c r="K1286" i="3"/>
  <c r="L1286" i="3"/>
  <c r="M1286" i="3"/>
  <c r="A1287" i="3"/>
  <c r="B1287" i="3"/>
  <c r="C1287" i="3"/>
  <c r="D1287" i="3"/>
  <c r="E1287" i="3"/>
  <c r="F1287" i="3"/>
  <c r="G1287" i="3"/>
  <c r="H1287" i="3"/>
  <c r="I1287" i="3"/>
  <c r="J1287" i="3"/>
  <c r="K1287" i="3"/>
  <c r="L1287" i="3"/>
  <c r="M1287" i="3"/>
  <c r="A1288" i="3"/>
  <c r="B1288" i="3"/>
  <c r="C1288" i="3"/>
  <c r="D1288" i="3"/>
  <c r="E1288" i="3"/>
  <c r="F1288" i="3"/>
  <c r="G1288" i="3"/>
  <c r="H1288" i="3"/>
  <c r="I1288" i="3"/>
  <c r="J1288" i="3"/>
  <c r="K1288" i="3"/>
  <c r="L1288" i="3"/>
  <c r="M1288" i="3"/>
  <c r="A1289" i="3"/>
  <c r="B1289" i="3"/>
  <c r="C1289" i="3"/>
  <c r="D1289" i="3"/>
  <c r="E1289" i="3"/>
  <c r="F1289" i="3"/>
  <c r="G1289" i="3"/>
  <c r="H1289" i="3"/>
  <c r="I1289" i="3"/>
  <c r="J1289" i="3"/>
  <c r="K1289" i="3"/>
  <c r="L1289" i="3"/>
  <c r="M1289" i="3"/>
  <c r="A1290" i="3"/>
  <c r="B1290" i="3"/>
  <c r="C1290" i="3"/>
  <c r="D1290" i="3"/>
  <c r="E1290" i="3"/>
  <c r="F1290" i="3"/>
  <c r="G1290" i="3"/>
  <c r="H1290" i="3"/>
  <c r="I1290" i="3"/>
  <c r="J1290" i="3"/>
  <c r="K1290" i="3"/>
  <c r="L1290" i="3"/>
  <c r="M1290" i="3"/>
  <c r="A1291" i="3"/>
  <c r="B1291" i="3"/>
  <c r="C1291" i="3"/>
  <c r="D1291" i="3"/>
  <c r="E1291" i="3"/>
  <c r="F1291" i="3"/>
  <c r="G1291" i="3"/>
  <c r="H1291" i="3"/>
  <c r="I1291" i="3"/>
  <c r="J1291" i="3"/>
  <c r="K1291" i="3"/>
  <c r="L1291" i="3"/>
  <c r="M1291" i="3"/>
  <c r="A1292" i="3"/>
  <c r="B1292" i="3"/>
  <c r="C1292" i="3"/>
  <c r="D1292" i="3"/>
  <c r="E1292" i="3"/>
  <c r="F1292" i="3"/>
  <c r="G1292" i="3"/>
  <c r="H1292" i="3"/>
  <c r="I1292" i="3"/>
  <c r="J1292" i="3"/>
  <c r="K1292" i="3"/>
  <c r="L1292" i="3"/>
  <c r="M1292" i="3"/>
  <c r="A1293" i="3"/>
  <c r="B1293" i="3"/>
  <c r="C1293" i="3"/>
  <c r="D1293" i="3"/>
  <c r="E1293" i="3"/>
  <c r="F1293" i="3"/>
  <c r="G1293" i="3"/>
  <c r="H1293" i="3"/>
  <c r="I1293" i="3"/>
  <c r="J1293" i="3"/>
  <c r="K1293" i="3"/>
  <c r="L1293" i="3"/>
  <c r="M1293" i="3"/>
  <c r="A1294" i="3"/>
  <c r="B1294" i="3"/>
  <c r="C1294" i="3"/>
  <c r="D1294" i="3"/>
  <c r="E1294" i="3"/>
  <c r="F1294" i="3"/>
  <c r="G1294" i="3"/>
  <c r="H1294" i="3"/>
  <c r="I1294" i="3"/>
  <c r="J1294" i="3"/>
  <c r="K1294" i="3"/>
  <c r="L1294" i="3"/>
  <c r="M1294" i="3"/>
  <c r="A1295" i="3"/>
  <c r="B1295" i="3"/>
  <c r="C1295" i="3"/>
  <c r="D1295" i="3"/>
  <c r="E1295" i="3"/>
  <c r="F1295" i="3"/>
  <c r="G1295" i="3"/>
  <c r="H1295" i="3"/>
  <c r="I1295" i="3"/>
  <c r="J1295" i="3"/>
  <c r="K1295" i="3"/>
  <c r="L1295" i="3"/>
  <c r="M1295" i="3"/>
  <c r="A1296" i="3"/>
  <c r="B1296" i="3"/>
  <c r="C1296" i="3"/>
  <c r="D1296" i="3"/>
  <c r="E1296" i="3"/>
  <c r="F1296" i="3"/>
  <c r="G1296" i="3"/>
  <c r="H1296" i="3"/>
  <c r="I1296" i="3"/>
  <c r="J1296" i="3"/>
  <c r="K1296" i="3"/>
  <c r="L1296" i="3"/>
  <c r="M1296" i="3"/>
  <c r="A1297" i="3"/>
  <c r="B1297" i="3"/>
  <c r="C1297" i="3"/>
  <c r="D1297" i="3"/>
  <c r="E1297" i="3"/>
  <c r="F1297" i="3"/>
  <c r="G1297" i="3"/>
  <c r="H1297" i="3"/>
  <c r="I1297" i="3"/>
  <c r="J1297" i="3"/>
  <c r="K1297" i="3"/>
  <c r="L1297" i="3"/>
  <c r="M1297" i="3"/>
  <c r="A1298" i="3"/>
  <c r="B1298" i="3"/>
  <c r="C1298" i="3"/>
  <c r="D1298" i="3"/>
  <c r="E1298" i="3"/>
  <c r="F1298" i="3"/>
  <c r="G1298" i="3"/>
  <c r="H1298" i="3"/>
  <c r="I1298" i="3"/>
  <c r="J1298" i="3"/>
  <c r="K1298" i="3"/>
  <c r="L1298" i="3"/>
  <c r="M1298" i="3"/>
  <c r="A1299" i="3"/>
  <c r="B1299" i="3"/>
  <c r="C1299" i="3"/>
  <c r="D1299" i="3"/>
  <c r="E1299" i="3"/>
  <c r="F1299" i="3"/>
  <c r="G1299" i="3"/>
  <c r="H1299" i="3"/>
  <c r="I1299" i="3"/>
  <c r="J1299" i="3"/>
  <c r="K1299" i="3"/>
  <c r="L1299" i="3"/>
  <c r="M1299" i="3"/>
  <c r="A1300" i="3"/>
  <c r="B1300" i="3"/>
  <c r="C1300" i="3"/>
  <c r="D1300" i="3"/>
  <c r="E1300" i="3"/>
  <c r="F1300" i="3"/>
  <c r="G1300" i="3"/>
  <c r="H1300" i="3"/>
  <c r="I1300" i="3"/>
  <c r="J1300" i="3"/>
  <c r="K1300" i="3"/>
  <c r="L1300" i="3"/>
  <c r="M1300" i="3"/>
  <c r="A1301" i="3"/>
  <c r="B1301" i="3"/>
  <c r="C1301" i="3"/>
  <c r="D1301" i="3"/>
  <c r="E1301" i="3"/>
  <c r="F1301" i="3"/>
  <c r="G1301" i="3"/>
  <c r="H1301" i="3"/>
  <c r="I1301" i="3"/>
  <c r="J1301" i="3"/>
  <c r="K1301" i="3"/>
  <c r="L1301" i="3"/>
  <c r="M1301" i="3"/>
  <c r="A1302" i="3"/>
  <c r="B1302" i="3"/>
  <c r="C1302" i="3"/>
  <c r="D1302" i="3"/>
  <c r="E1302" i="3"/>
  <c r="F1302" i="3"/>
  <c r="G1302" i="3"/>
  <c r="H1302" i="3"/>
  <c r="I1302" i="3"/>
  <c r="J1302" i="3"/>
  <c r="K1302" i="3"/>
  <c r="L1302" i="3"/>
  <c r="M1302" i="3"/>
  <c r="A1303" i="3"/>
  <c r="B1303" i="3"/>
  <c r="C1303" i="3"/>
  <c r="D1303" i="3"/>
  <c r="E1303" i="3"/>
  <c r="F1303" i="3"/>
  <c r="G1303" i="3"/>
  <c r="H1303" i="3"/>
  <c r="I1303" i="3"/>
  <c r="J1303" i="3"/>
  <c r="K1303" i="3"/>
  <c r="L1303" i="3"/>
  <c r="M1303" i="3"/>
  <c r="A1304" i="3"/>
  <c r="B1304" i="3"/>
  <c r="C1304" i="3"/>
  <c r="D1304" i="3"/>
  <c r="E1304" i="3"/>
  <c r="F1304" i="3"/>
  <c r="G1304" i="3"/>
  <c r="H1304" i="3"/>
  <c r="I1304" i="3"/>
  <c r="J1304" i="3"/>
  <c r="K1304" i="3"/>
  <c r="L1304" i="3"/>
  <c r="M1304" i="3"/>
  <c r="A1305" i="3"/>
  <c r="B1305" i="3"/>
  <c r="C1305" i="3"/>
  <c r="D1305" i="3"/>
  <c r="E1305" i="3"/>
  <c r="F1305" i="3"/>
  <c r="G1305" i="3"/>
  <c r="H1305" i="3"/>
  <c r="I1305" i="3"/>
  <c r="J1305" i="3"/>
  <c r="K1305" i="3"/>
  <c r="L1305" i="3"/>
  <c r="M1305" i="3"/>
  <c r="A1306" i="3"/>
  <c r="B1306" i="3"/>
  <c r="C1306" i="3"/>
  <c r="D1306" i="3"/>
  <c r="E1306" i="3"/>
  <c r="F1306" i="3"/>
  <c r="G1306" i="3"/>
  <c r="H1306" i="3"/>
  <c r="I1306" i="3"/>
  <c r="J1306" i="3"/>
  <c r="K1306" i="3"/>
  <c r="L1306" i="3"/>
  <c r="M1306" i="3"/>
  <c r="A1307" i="3"/>
  <c r="B1307" i="3"/>
  <c r="C1307" i="3"/>
  <c r="D1307" i="3"/>
  <c r="E1307" i="3"/>
  <c r="F1307" i="3"/>
  <c r="G1307" i="3"/>
  <c r="H1307" i="3"/>
  <c r="I1307" i="3"/>
  <c r="J1307" i="3"/>
  <c r="K1307" i="3"/>
  <c r="L1307" i="3"/>
  <c r="M1307" i="3"/>
  <c r="A1308" i="3"/>
  <c r="B1308" i="3"/>
  <c r="C1308" i="3"/>
  <c r="D1308" i="3"/>
  <c r="E1308" i="3"/>
  <c r="F1308" i="3"/>
  <c r="G1308" i="3"/>
  <c r="H1308" i="3"/>
  <c r="I1308" i="3"/>
  <c r="J1308" i="3"/>
  <c r="K1308" i="3"/>
  <c r="L1308" i="3"/>
  <c r="M1308" i="3"/>
  <c r="A1309" i="3"/>
  <c r="B1309" i="3"/>
  <c r="C1309" i="3"/>
  <c r="D1309" i="3"/>
  <c r="E1309" i="3"/>
  <c r="F1309" i="3"/>
  <c r="G1309" i="3"/>
  <c r="H1309" i="3"/>
  <c r="I1309" i="3"/>
  <c r="J1309" i="3"/>
  <c r="K1309" i="3"/>
  <c r="L1309" i="3"/>
  <c r="M1309" i="3"/>
  <c r="A1310" i="3"/>
  <c r="B1310" i="3"/>
  <c r="C1310" i="3"/>
  <c r="D1310" i="3"/>
  <c r="E1310" i="3"/>
  <c r="F1310" i="3"/>
  <c r="G1310" i="3"/>
  <c r="H1310" i="3"/>
  <c r="I1310" i="3"/>
  <c r="J1310" i="3"/>
  <c r="K1310" i="3"/>
  <c r="L1310" i="3"/>
  <c r="M1310" i="3"/>
  <c r="A1311" i="3"/>
  <c r="B1311" i="3"/>
  <c r="C1311" i="3"/>
  <c r="D1311" i="3"/>
  <c r="E1311" i="3"/>
  <c r="F1311" i="3"/>
  <c r="G1311" i="3"/>
  <c r="H1311" i="3"/>
  <c r="I1311" i="3"/>
  <c r="J1311" i="3"/>
  <c r="K1311" i="3"/>
  <c r="L1311" i="3"/>
  <c r="M1311" i="3"/>
  <c r="A1312" i="3"/>
  <c r="B1312" i="3"/>
  <c r="C1312" i="3"/>
  <c r="D1312" i="3"/>
  <c r="E1312" i="3"/>
  <c r="F1312" i="3"/>
  <c r="G1312" i="3"/>
  <c r="H1312" i="3"/>
  <c r="I1312" i="3"/>
  <c r="J1312" i="3"/>
  <c r="K1312" i="3"/>
  <c r="L1312" i="3"/>
  <c r="M1312" i="3"/>
  <c r="A1313" i="3"/>
  <c r="B1313" i="3"/>
  <c r="C1313" i="3"/>
  <c r="D1313" i="3"/>
  <c r="E1313" i="3"/>
  <c r="F1313" i="3"/>
  <c r="G1313" i="3"/>
  <c r="H1313" i="3"/>
  <c r="I1313" i="3"/>
  <c r="J1313" i="3"/>
  <c r="K1313" i="3"/>
  <c r="L1313" i="3"/>
  <c r="M1313" i="3"/>
  <c r="A1314" i="3"/>
  <c r="B1314" i="3"/>
  <c r="C1314" i="3"/>
  <c r="D1314" i="3"/>
  <c r="E1314" i="3"/>
  <c r="F1314" i="3"/>
  <c r="G1314" i="3"/>
  <c r="H1314" i="3"/>
  <c r="I1314" i="3"/>
  <c r="J1314" i="3"/>
  <c r="K1314" i="3"/>
  <c r="L1314" i="3"/>
  <c r="M1314" i="3"/>
  <c r="A1315" i="3"/>
  <c r="B1315" i="3"/>
  <c r="C1315" i="3"/>
  <c r="D1315" i="3"/>
  <c r="E1315" i="3"/>
  <c r="F1315" i="3"/>
  <c r="G1315" i="3"/>
  <c r="H1315" i="3"/>
  <c r="I1315" i="3"/>
  <c r="J1315" i="3"/>
  <c r="K1315" i="3"/>
  <c r="L1315" i="3"/>
  <c r="M1315" i="3"/>
  <c r="A1316" i="3"/>
  <c r="B1316" i="3"/>
  <c r="C1316" i="3"/>
  <c r="D1316" i="3"/>
  <c r="E1316" i="3"/>
  <c r="F1316" i="3"/>
  <c r="G1316" i="3"/>
  <c r="H1316" i="3"/>
  <c r="I1316" i="3"/>
  <c r="J1316" i="3"/>
  <c r="K1316" i="3"/>
  <c r="L1316" i="3"/>
  <c r="M1316" i="3"/>
  <c r="A1317" i="3"/>
  <c r="B1317" i="3"/>
  <c r="C1317" i="3"/>
  <c r="D1317" i="3"/>
  <c r="E1317" i="3"/>
  <c r="F1317" i="3"/>
  <c r="G1317" i="3"/>
  <c r="H1317" i="3"/>
  <c r="I1317" i="3"/>
  <c r="J1317" i="3"/>
  <c r="K1317" i="3"/>
  <c r="L1317" i="3"/>
  <c r="M1317" i="3"/>
  <c r="A1318" i="3"/>
  <c r="B1318" i="3"/>
  <c r="C1318" i="3"/>
  <c r="D1318" i="3"/>
  <c r="E1318" i="3"/>
  <c r="F1318" i="3"/>
  <c r="G1318" i="3"/>
  <c r="H1318" i="3"/>
  <c r="I1318" i="3"/>
  <c r="J1318" i="3"/>
  <c r="K1318" i="3"/>
  <c r="L1318" i="3"/>
  <c r="M1318" i="3"/>
  <c r="A1319" i="3"/>
  <c r="B1319" i="3"/>
  <c r="C1319" i="3"/>
  <c r="D1319" i="3"/>
  <c r="E1319" i="3"/>
  <c r="F1319" i="3"/>
  <c r="G1319" i="3"/>
  <c r="H1319" i="3"/>
  <c r="I1319" i="3"/>
  <c r="J1319" i="3"/>
  <c r="K1319" i="3"/>
  <c r="L1319" i="3"/>
  <c r="M1319" i="3"/>
  <c r="A1320" i="3"/>
  <c r="B1320" i="3"/>
  <c r="C1320" i="3"/>
  <c r="D1320" i="3"/>
  <c r="E1320" i="3"/>
  <c r="F1320" i="3"/>
  <c r="G1320" i="3"/>
  <c r="H1320" i="3"/>
  <c r="I1320" i="3"/>
  <c r="J1320" i="3"/>
  <c r="K1320" i="3"/>
  <c r="L1320" i="3"/>
  <c r="M1320" i="3"/>
  <c r="A1321" i="3"/>
  <c r="B1321" i="3"/>
  <c r="C1321" i="3"/>
  <c r="D1321" i="3"/>
  <c r="E1321" i="3"/>
  <c r="F1321" i="3"/>
  <c r="G1321" i="3"/>
  <c r="H1321" i="3"/>
  <c r="I1321" i="3"/>
  <c r="J1321" i="3"/>
  <c r="K1321" i="3"/>
  <c r="L1321" i="3"/>
  <c r="M1321" i="3"/>
  <c r="A1322" i="3"/>
  <c r="B1322" i="3"/>
  <c r="C1322" i="3"/>
  <c r="D1322" i="3"/>
  <c r="E1322" i="3"/>
  <c r="F1322" i="3"/>
  <c r="G1322" i="3"/>
  <c r="H1322" i="3"/>
  <c r="I1322" i="3"/>
  <c r="J1322" i="3"/>
  <c r="K1322" i="3"/>
  <c r="L1322" i="3"/>
  <c r="M1322" i="3"/>
  <c r="A1323" i="3"/>
  <c r="B1323" i="3"/>
  <c r="C1323" i="3"/>
  <c r="D1323" i="3"/>
  <c r="E1323" i="3"/>
  <c r="F1323" i="3"/>
  <c r="G1323" i="3"/>
  <c r="H1323" i="3"/>
  <c r="I1323" i="3"/>
  <c r="J1323" i="3"/>
  <c r="K1323" i="3"/>
  <c r="L1323" i="3"/>
  <c r="M1323" i="3"/>
  <c r="A1324" i="3"/>
  <c r="B1324" i="3"/>
  <c r="C1324" i="3"/>
  <c r="D1324" i="3"/>
  <c r="E1324" i="3"/>
  <c r="F1324" i="3"/>
  <c r="G1324" i="3"/>
  <c r="H1324" i="3"/>
  <c r="I1324" i="3"/>
  <c r="J1324" i="3"/>
  <c r="K1324" i="3"/>
  <c r="L1324" i="3"/>
  <c r="M1324" i="3"/>
  <c r="A1325" i="3"/>
  <c r="B1325" i="3"/>
  <c r="C1325" i="3"/>
  <c r="D1325" i="3"/>
  <c r="E1325" i="3"/>
  <c r="F1325" i="3"/>
  <c r="G1325" i="3"/>
  <c r="H1325" i="3"/>
  <c r="I1325" i="3"/>
  <c r="J1325" i="3"/>
  <c r="K1325" i="3"/>
  <c r="L1325" i="3"/>
  <c r="M1325" i="3"/>
  <c r="A1326" i="3"/>
  <c r="B1326" i="3"/>
  <c r="C1326" i="3"/>
  <c r="D1326" i="3"/>
  <c r="E1326" i="3"/>
  <c r="F1326" i="3"/>
  <c r="G1326" i="3"/>
  <c r="H1326" i="3"/>
  <c r="I1326" i="3"/>
  <c r="J1326" i="3"/>
  <c r="K1326" i="3"/>
  <c r="L1326" i="3"/>
  <c r="M1326" i="3"/>
  <c r="A1327" i="3"/>
  <c r="B1327" i="3"/>
  <c r="C1327" i="3"/>
  <c r="D1327" i="3"/>
  <c r="E1327" i="3"/>
  <c r="F1327" i="3"/>
  <c r="G1327" i="3"/>
  <c r="H1327" i="3"/>
  <c r="I1327" i="3"/>
  <c r="J1327" i="3"/>
  <c r="K1327" i="3"/>
  <c r="L1327" i="3"/>
  <c r="M1327" i="3"/>
  <c r="A1328" i="3"/>
  <c r="B1328" i="3"/>
  <c r="C1328" i="3"/>
  <c r="D1328" i="3"/>
  <c r="E1328" i="3"/>
  <c r="F1328" i="3"/>
  <c r="G1328" i="3"/>
  <c r="H1328" i="3"/>
  <c r="I1328" i="3"/>
  <c r="J1328" i="3"/>
  <c r="K1328" i="3"/>
  <c r="L1328" i="3"/>
  <c r="M1328" i="3"/>
  <c r="A1329" i="3"/>
  <c r="B1329" i="3"/>
  <c r="C1329" i="3"/>
  <c r="D1329" i="3"/>
  <c r="E1329" i="3"/>
  <c r="F1329" i="3"/>
  <c r="G1329" i="3"/>
  <c r="H1329" i="3"/>
  <c r="I1329" i="3"/>
  <c r="J1329" i="3"/>
  <c r="K1329" i="3"/>
  <c r="L1329" i="3"/>
  <c r="M1329" i="3"/>
  <c r="A1330" i="3"/>
  <c r="B1330" i="3"/>
  <c r="C1330" i="3"/>
  <c r="D1330" i="3"/>
  <c r="E1330" i="3"/>
  <c r="F1330" i="3"/>
  <c r="G1330" i="3"/>
  <c r="H1330" i="3"/>
  <c r="I1330" i="3"/>
  <c r="J1330" i="3"/>
  <c r="K1330" i="3"/>
  <c r="L1330" i="3"/>
  <c r="M1330" i="3"/>
  <c r="A1331" i="3"/>
  <c r="B1331" i="3"/>
  <c r="C1331" i="3"/>
  <c r="D1331" i="3"/>
  <c r="E1331" i="3"/>
  <c r="F1331" i="3"/>
  <c r="G1331" i="3"/>
  <c r="H1331" i="3"/>
  <c r="I1331" i="3"/>
  <c r="J1331" i="3"/>
  <c r="K1331" i="3"/>
  <c r="L1331" i="3"/>
  <c r="M1331" i="3"/>
  <c r="A1332" i="3"/>
  <c r="B1332" i="3"/>
  <c r="C1332" i="3"/>
  <c r="D1332" i="3"/>
  <c r="E1332" i="3"/>
  <c r="F1332" i="3"/>
  <c r="G1332" i="3"/>
  <c r="H1332" i="3"/>
  <c r="I1332" i="3"/>
  <c r="J1332" i="3"/>
  <c r="K1332" i="3"/>
  <c r="L1332" i="3"/>
  <c r="M1332" i="3"/>
  <c r="A1333" i="3"/>
  <c r="B1333" i="3"/>
  <c r="C1333" i="3"/>
  <c r="D1333" i="3"/>
  <c r="E1333" i="3"/>
  <c r="F1333" i="3"/>
  <c r="G1333" i="3"/>
  <c r="H1333" i="3"/>
  <c r="I1333" i="3"/>
  <c r="J1333" i="3"/>
  <c r="K1333" i="3"/>
  <c r="L1333" i="3"/>
  <c r="M1333" i="3"/>
  <c r="A1334" i="3"/>
  <c r="B1334" i="3"/>
  <c r="C1334" i="3"/>
  <c r="D1334" i="3"/>
  <c r="E1334" i="3"/>
  <c r="F1334" i="3"/>
  <c r="G1334" i="3"/>
  <c r="H1334" i="3"/>
  <c r="I1334" i="3"/>
  <c r="J1334" i="3"/>
  <c r="K1334" i="3"/>
  <c r="L1334" i="3"/>
  <c r="M1334" i="3"/>
  <c r="A1335" i="3"/>
  <c r="B1335" i="3"/>
  <c r="C1335" i="3"/>
  <c r="D1335" i="3"/>
  <c r="E1335" i="3"/>
  <c r="F1335" i="3"/>
  <c r="G1335" i="3"/>
  <c r="H1335" i="3"/>
  <c r="I1335" i="3"/>
  <c r="J1335" i="3"/>
  <c r="K1335" i="3"/>
  <c r="L1335" i="3"/>
  <c r="M1335" i="3"/>
  <c r="A1336" i="3"/>
  <c r="B1336" i="3"/>
  <c r="C1336" i="3"/>
  <c r="D1336" i="3"/>
  <c r="E1336" i="3"/>
  <c r="F1336" i="3"/>
  <c r="G1336" i="3"/>
  <c r="H1336" i="3"/>
  <c r="I1336" i="3"/>
  <c r="J1336" i="3"/>
  <c r="K1336" i="3"/>
  <c r="L1336" i="3"/>
  <c r="M1336" i="3"/>
  <c r="A1337" i="3"/>
  <c r="B1337" i="3"/>
  <c r="C1337" i="3"/>
  <c r="D1337" i="3"/>
  <c r="E1337" i="3"/>
  <c r="F1337" i="3"/>
  <c r="G1337" i="3"/>
  <c r="H1337" i="3"/>
  <c r="I1337" i="3"/>
  <c r="J1337" i="3"/>
  <c r="K1337" i="3"/>
  <c r="L1337" i="3"/>
  <c r="M1337" i="3"/>
  <c r="A1338" i="3"/>
  <c r="B1338" i="3"/>
  <c r="C1338" i="3"/>
  <c r="D1338" i="3"/>
  <c r="E1338" i="3"/>
  <c r="F1338" i="3"/>
  <c r="G1338" i="3"/>
  <c r="H1338" i="3"/>
  <c r="I1338" i="3"/>
  <c r="J1338" i="3"/>
  <c r="K1338" i="3"/>
  <c r="L1338" i="3"/>
  <c r="M1338" i="3"/>
  <c r="A1339" i="3"/>
  <c r="B1339" i="3"/>
  <c r="C1339" i="3"/>
  <c r="D1339" i="3"/>
  <c r="E1339" i="3"/>
  <c r="F1339" i="3"/>
  <c r="G1339" i="3"/>
  <c r="H1339" i="3"/>
  <c r="I1339" i="3"/>
  <c r="J1339" i="3"/>
  <c r="K1339" i="3"/>
  <c r="L1339" i="3"/>
  <c r="M1339" i="3"/>
  <c r="A1340" i="3"/>
  <c r="B1340" i="3"/>
  <c r="C1340" i="3"/>
  <c r="D1340" i="3"/>
  <c r="E1340" i="3"/>
  <c r="F1340" i="3"/>
  <c r="G1340" i="3"/>
  <c r="H1340" i="3"/>
  <c r="I1340" i="3"/>
  <c r="J1340" i="3"/>
  <c r="K1340" i="3"/>
  <c r="L1340" i="3"/>
  <c r="M1340" i="3"/>
  <c r="A1341" i="3"/>
  <c r="B1341" i="3"/>
  <c r="C1341" i="3"/>
  <c r="D1341" i="3"/>
  <c r="E1341" i="3"/>
  <c r="F1341" i="3"/>
  <c r="G1341" i="3"/>
  <c r="H1341" i="3"/>
  <c r="I1341" i="3"/>
  <c r="J1341" i="3"/>
  <c r="K1341" i="3"/>
  <c r="L1341" i="3"/>
  <c r="M1341" i="3"/>
  <c r="A1342" i="3"/>
  <c r="B1342" i="3"/>
  <c r="C1342" i="3"/>
  <c r="D1342" i="3"/>
  <c r="E1342" i="3"/>
  <c r="F1342" i="3"/>
  <c r="G1342" i="3"/>
  <c r="H1342" i="3"/>
  <c r="I1342" i="3"/>
  <c r="J1342" i="3"/>
  <c r="K1342" i="3"/>
  <c r="L1342" i="3"/>
  <c r="M1342" i="3"/>
  <c r="A1343" i="3"/>
  <c r="B1343" i="3"/>
  <c r="C1343" i="3"/>
  <c r="D1343" i="3"/>
  <c r="E1343" i="3"/>
  <c r="F1343" i="3"/>
  <c r="G1343" i="3"/>
  <c r="H1343" i="3"/>
  <c r="I1343" i="3"/>
  <c r="J1343" i="3"/>
  <c r="K1343" i="3"/>
  <c r="L1343" i="3"/>
  <c r="M1343" i="3"/>
  <c r="A1344" i="3"/>
  <c r="B1344" i="3"/>
  <c r="C1344" i="3"/>
  <c r="D1344" i="3"/>
  <c r="E1344" i="3"/>
  <c r="F1344" i="3"/>
  <c r="G1344" i="3"/>
  <c r="H1344" i="3"/>
  <c r="I1344" i="3"/>
  <c r="J1344" i="3"/>
  <c r="K1344" i="3"/>
  <c r="L1344" i="3"/>
  <c r="M1344" i="3"/>
  <c r="A1345" i="3"/>
  <c r="B1345" i="3"/>
  <c r="C1345" i="3"/>
  <c r="D1345" i="3"/>
  <c r="E1345" i="3"/>
  <c r="F1345" i="3"/>
  <c r="G1345" i="3"/>
  <c r="H1345" i="3"/>
  <c r="I1345" i="3"/>
  <c r="J1345" i="3"/>
  <c r="K1345" i="3"/>
  <c r="L1345" i="3"/>
  <c r="M1345" i="3"/>
  <c r="A1346" i="3"/>
  <c r="B1346" i="3"/>
  <c r="C1346" i="3"/>
  <c r="D1346" i="3"/>
  <c r="E1346" i="3"/>
  <c r="F1346" i="3"/>
  <c r="G1346" i="3"/>
  <c r="H1346" i="3"/>
  <c r="I1346" i="3"/>
  <c r="J1346" i="3"/>
  <c r="K1346" i="3"/>
  <c r="L1346" i="3"/>
  <c r="M1346" i="3"/>
  <c r="A1347" i="3"/>
  <c r="B1347" i="3"/>
  <c r="C1347" i="3"/>
  <c r="D1347" i="3"/>
  <c r="E1347" i="3"/>
  <c r="F1347" i="3"/>
  <c r="G1347" i="3"/>
  <c r="H1347" i="3"/>
  <c r="I1347" i="3"/>
  <c r="J1347" i="3"/>
  <c r="K1347" i="3"/>
  <c r="L1347" i="3"/>
  <c r="M1347" i="3"/>
  <c r="A1348" i="3"/>
  <c r="B1348" i="3"/>
  <c r="C1348" i="3"/>
  <c r="D1348" i="3"/>
  <c r="E1348" i="3"/>
  <c r="F1348" i="3"/>
  <c r="G1348" i="3"/>
  <c r="H1348" i="3"/>
  <c r="I1348" i="3"/>
  <c r="J1348" i="3"/>
  <c r="K1348" i="3"/>
  <c r="L1348" i="3"/>
  <c r="M1348" i="3"/>
  <c r="A1349" i="3"/>
  <c r="B1349" i="3"/>
  <c r="C1349" i="3"/>
  <c r="D1349" i="3"/>
  <c r="E1349" i="3"/>
  <c r="F1349" i="3"/>
  <c r="G1349" i="3"/>
  <c r="H1349" i="3"/>
  <c r="I1349" i="3"/>
  <c r="J1349" i="3"/>
  <c r="K1349" i="3"/>
  <c r="L1349" i="3"/>
  <c r="M1349" i="3"/>
  <c r="A1350" i="3"/>
  <c r="B1350" i="3"/>
  <c r="C1350" i="3"/>
  <c r="D1350" i="3"/>
  <c r="E1350" i="3"/>
  <c r="F1350" i="3"/>
  <c r="G1350" i="3"/>
  <c r="H1350" i="3"/>
  <c r="I1350" i="3"/>
  <c r="J1350" i="3"/>
  <c r="K1350" i="3"/>
  <c r="L1350" i="3"/>
  <c r="M1350" i="3"/>
  <c r="A1351" i="3"/>
  <c r="B1351" i="3"/>
  <c r="C1351" i="3"/>
  <c r="D1351" i="3"/>
  <c r="E1351" i="3"/>
  <c r="F1351" i="3"/>
  <c r="G1351" i="3"/>
  <c r="H1351" i="3"/>
  <c r="I1351" i="3"/>
  <c r="J1351" i="3"/>
  <c r="K1351" i="3"/>
  <c r="L1351" i="3"/>
  <c r="M1351" i="3"/>
  <c r="A1352" i="3"/>
  <c r="B1352" i="3"/>
  <c r="C1352" i="3"/>
  <c r="D1352" i="3"/>
  <c r="E1352" i="3"/>
  <c r="F1352" i="3"/>
  <c r="G1352" i="3"/>
  <c r="H1352" i="3"/>
  <c r="I1352" i="3"/>
  <c r="J1352" i="3"/>
  <c r="K1352" i="3"/>
  <c r="L1352" i="3"/>
  <c r="M1352" i="3"/>
  <c r="A1353" i="3"/>
  <c r="B1353" i="3"/>
  <c r="C1353" i="3"/>
  <c r="D1353" i="3"/>
  <c r="E1353" i="3"/>
  <c r="F1353" i="3"/>
  <c r="G1353" i="3"/>
  <c r="H1353" i="3"/>
  <c r="I1353" i="3"/>
  <c r="J1353" i="3"/>
  <c r="K1353" i="3"/>
  <c r="L1353" i="3"/>
  <c r="M1353" i="3"/>
  <c r="A1354" i="3"/>
  <c r="B1354" i="3"/>
  <c r="C1354" i="3"/>
  <c r="D1354" i="3"/>
  <c r="E1354" i="3"/>
  <c r="F1354" i="3"/>
  <c r="G1354" i="3"/>
  <c r="H1354" i="3"/>
  <c r="I1354" i="3"/>
  <c r="J1354" i="3"/>
  <c r="K1354" i="3"/>
  <c r="L1354" i="3"/>
  <c r="M1354" i="3"/>
  <c r="A1355" i="3"/>
  <c r="B1355" i="3"/>
  <c r="C1355" i="3"/>
  <c r="D1355" i="3"/>
  <c r="E1355" i="3"/>
  <c r="F1355" i="3"/>
  <c r="G1355" i="3"/>
  <c r="H1355" i="3"/>
  <c r="I1355" i="3"/>
  <c r="J1355" i="3"/>
  <c r="K1355" i="3"/>
  <c r="L1355" i="3"/>
  <c r="M1355" i="3"/>
  <c r="A1356" i="3"/>
  <c r="B1356" i="3"/>
  <c r="C1356" i="3"/>
  <c r="D1356" i="3"/>
  <c r="E1356" i="3"/>
  <c r="F1356" i="3"/>
  <c r="G1356" i="3"/>
  <c r="H1356" i="3"/>
  <c r="I1356" i="3"/>
  <c r="J1356" i="3"/>
  <c r="K1356" i="3"/>
  <c r="L1356" i="3"/>
  <c r="M1356" i="3"/>
  <c r="A1357" i="3"/>
  <c r="B1357" i="3"/>
  <c r="C1357" i="3"/>
  <c r="D1357" i="3"/>
  <c r="E1357" i="3"/>
  <c r="F1357" i="3"/>
  <c r="G1357" i="3"/>
  <c r="H1357" i="3"/>
  <c r="I1357" i="3"/>
  <c r="J1357" i="3"/>
  <c r="K1357" i="3"/>
  <c r="L1357" i="3"/>
  <c r="M1357" i="3"/>
  <c r="A1358" i="3"/>
  <c r="B1358" i="3"/>
  <c r="C1358" i="3"/>
  <c r="D1358" i="3"/>
  <c r="E1358" i="3"/>
  <c r="F1358" i="3"/>
  <c r="G1358" i="3"/>
  <c r="H1358" i="3"/>
  <c r="I1358" i="3"/>
  <c r="J1358" i="3"/>
  <c r="K1358" i="3"/>
  <c r="L1358" i="3"/>
  <c r="M1358" i="3"/>
  <c r="A1359" i="3"/>
  <c r="B1359" i="3"/>
  <c r="C1359" i="3"/>
  <c r="D1359" i="3"/>
  <c r="E1359" i="3"/>
  <c r="F1359" i="3"/>
  <c r="G1359" i="3"/>
  <c r="H1359" i="3"/>
  <c r="I1359" i="3"/>
  <c r="J1359" i="3"/>
  <c r="K1359" i="3"/>
  <c r="L1359" i="3"/>
  <c r="M1359" i="3"/>
  <c r="A1360" i="3"/>
  <c r="B1360" i="3"/>
  <c r="C1360" i="3"/>
  <c r="D1360" i="3"/>
  <c r="E1360" i="3"/>
  <c r="F1360" i="3"/>
  <c r="G1360" i="3"/>
  <c r="H1360" i="3"/>
  <c r="I1360" i="3"/>
  <c r="J1360" i="3"/>
  <c r="K1360" i="3"/>
  <c r="L1360" i="3"/>
  <c r="M1360" i="3"/>
  <c r="A1361" i="3"/>
  <c r="B1361" i="3"/>
  <c r="C1361" i="3"/>
  <c r="D1361" i="3"/>
  <c r="E1361" i="3"/>
  <c r="F1361" i="3"/>
  <c r="G1361" i="3"/>
  <c r="H1361" i="3"/>
  <c r="I1361" i="3"/>
  <c r="J1361" i="3"/>
  <c r="K1361" i="3"/>
  <c r="L1361" i="3"/>
  <c r="M1361" i="3"/>
  <c r="A1362" i="3"/>
  <c r="B1362" i="3"/>
  <c r="C1362" i="3"/>
  <c r="D1362" i="3"/>
  <c r="E1362" i="3"/>
  <c r="F1362" i="3"/>
  <c r="G1362" i="3"/>
  <c r="H1362" i="3"/>
  <c r="I1362" i="3"/>
  <c r="J1362" i="3"/>
  <c r="K1362" i="3"/>
  <c r="L1362" i="3"/>
  <c r="M1362" i="3"/>
  <c r="A1363" i="3"/>
  <c r="B1363" i="3"/>
  <c r="C1363" i="3"/>
  <c r="D1363" i="3"/>
  <c r="E1363" i="3"/>
  <c r="F1363" i="3"/>
  <c r="G1363" i="3"/>
  <c r="H1363" i="3"/>
  <c r="I1363" i="3"/>
  <c r="J1363" i="3"/>
  <c r="K1363" i="3"/>
  <c r="L1363" i="3"/>
  <c r="M1363" i="3"/>
  <c r="A1364" i="3"/>
  <c r="B1364" i="3"/>
  <c r="C1364" i="3"/>
  <c r="D1364" i="3"/>
  <c r="E1364" i="3"/>
  <c r="F1364" i="3"/>
  <c r="G1364" i="3"/>
  <c r="H1364" i="3"/>
  <c r="I1364" i="3"/>
  <c r="J1364" i="3"/>
  <c r="K1364" i="3"/>
  <c r="L1364" i="3"/>
  <c r="M1364" i="3"/>
  <c r="A1365" i="3"/>
  <c r="B1365" i="3"/>
  <c r="C1365" i="3"/>
  <c r="D1365" i="3"/>
  <c r="E1365" i="3"/>
  <c r="F1365" i="3"/>
  <c r="G1365" i="3"/>
  <c r="H1365" i="3"/>
  <c r="I1365" i="3"/>
  <c r="J1365" i="3"/>
  <c r="K1365" i="3"/>
  <c r="L1365" i="3"/>
  <c r="M1365" i="3"/>
  <c r="A1366" i="3"/>
  <c r="B1366" i="3"/>
  <c r="C1366" i="3"/>
  <c r="D1366" i="3"/>
  <c r="E1366" i="3"/>
  <c r="F1366" i="3"/>
  <c r="G1366" i="3"/>
  <c r="H1366" i="3"/>
  <c r="I1366" i="3"/>
  <c r="J1366" i="3"/>
  <c r="K1366" i="3"/>
  <c r="L1366" i="3"/>
  <c r="M1366" i="3"/>
  <c r="A1367" i="3"/>
  <c r="B1367" i="3"/>
  <c r="C1367" i="3"/>
  <c r="D1367" i="3"/>
  <c r="E1367" i="3"/>
  <c r="F1367" i="3"/>
  <c r="G1367" i="3"/>
  <c r="H1367" i="3"/>
  <c r="I1367" i="3"/>
  <c r="J1367" i="3"/>
  <c r="K1367" i="3"/>
  <c r="L1367" i="3"/>
  <c r="M1367" i="3"/>
  <c r="A1368" i="3"/>
  <c r="B1368" i="3"/>
  <c r="C1368" i="3"/>
  <c r="D1368" i="3"/>
  <c r="E1368" i="3"/>
  <c r="F1368" i="3"/>
  <c r="G1368" i="3"/>
  <c r="H1368" i="3"/>
  <c r="I1368" i="3"/>
  <c r="J1368" i="3"/>
  <c r="K1368" i="3"/>
  <c r="L1368" i="3"/>
  <c r="M1368" i="3"/>
  <c r="A1369" i="3"/>
  <c r="B1369" i="3"/>
  <c r="C1369" i="3"/>
  <c r="D1369" i="3"/>
  <c r="E1369" i="3"/>
  <c r="F1369" i="3"/>
  <c r="G1369" i="3"/>
  <c r="H1369" i="3"/>
  <c r="I1369" i="3"/>
  <c r="J1369" i="3"/>
  <c r="K1369" i="3"/>
  <c r="L1369" i="3"/>
  <c r="M1369" i="3"/>
  <c r="A1370" i="3"/>
  <c r="B1370" i="3"/>
  <c r="C1370" i="3"/>
  <c r="D1370" i="3"/>
  <c r="E1370" i="3"/>
  <c r="F1370" i="3"/>
  <c r="G1370" i="3"/>
  <c r="H1370" i="3"/>
  <c r="I1370" i="3"/>
  <c r="J1370" i="3"/>
  <c r="K1370" i="3"/>
  <c r="L1370" i="3"/>
  <c r="M1370" i="3"/>
  <c r="A1371" i="3"/>
  <c r="B1371" i="3"/>
  <c r="C1371" i="3"/>
  <c r="D1371" i="3"/>
  <c r="E1371" i="3"/>
  <c r="F1371" i="3"/>
  <c r="G1371" i="3"/>
  <c r="H1371" i="3"/>
  <c r="I1371" i="3"/>
  <c r="J1371" i="3"/>
  <c r="K1371" i="3"/>
  <c r="L1371" i="3"/>
  <c r="M1371" i="3"/>
  <c r="A1372" i="3"/>
  <c r="B1372" i="3"/>
  <c r="C1372" i="3"/>
  <c r="D1372" i="3"/>
  <c r="E1372" i="3"/>
  <c r="F1372" i="3"/>
  <c r="G1372" i="3"/>
  <c r="H1372" i="3"/>
  <c r="I1372" i="3"/>
  <c r="J1372" i="3"/>
  <c r="K1372" i="3"/>
  <c r="L1372" i="3"/>
  <c r="M1372" i="3"/>
  <c r="A1373" i="3"/>
  <c r="B1373" i="3"/>
  <c r="C1373" i="3"/>
  <c r="D1373" i="3"/>
  <c r="E1373" i="3"/>
  <c r="F1373" i="3"/>
  <c r="G1373" i="3"/>
  <c r="H1373" i="3"/>
  <c r="I1373" i="3"/>
  <c r="J1373" i="3"/>
  <c r="K1373" i="3"/>
  <c r="L1373" i="3"/>
  <c r="M1373" i="3"/>
  <c r="A1374" i="3"/>
  <c r="B1374" i="3"/>
  <c r="C1374" i="3"/>
  <c r="D1374" i="3"/>
  <c r="E1374" i="3"/>
  <c r="F1374" i="3"/>
  <c r="G1374" i="3"/>
  <c r="H1374" i="3"/>
  <c r="I1374" i="3"/>
  <c r="J1374" i="3"/>
  <c r="K1374" i="3"/>
  <c r="L1374" i="3"/>
  <c r="M1374" i="3"/>
  <c r="A1375" i="3"/>
  <c r="B1375" i="3"/>
  <c r="C1375" i="3"/>
  <c r="D1375" i="3"/>
  <c r="E1375" i="3"/>
  <c r="F1375" i="3"/>
  <c r="G1375" i="3"/>
  <c r="H1375" i="3"/>
  <c r="I1375" i="3"/>
  <c r="J1375" i="3"/>
  <c r="K1375" i="3"/>
  <c r="L1375" i="3"/>
  <c r="M1375" i="3"/>
  <c r="A1376" i="3"/>
  <c r="B1376" i="3"/>
  <c r="C1376" i="3"/>
  <c r="D1376" i="3"/>
  <c r="E1376" i="3"/>
  <c r="F1376" i="3"/>
  <c r="G1376" i="3"/>
  <c r="H1376" i="3"/>
  <c r="I1376" i="3"/>
  <c r="J1376" i="3"/>
  <c r="K1376" i="3"/>
  <c r="L1376" i="3"/>
  <c r="M1376" i="3"/>
  <c r="A1377" i="3"/>
  <c r="B1377" i="3"/>
  <c r="C1377" i="3"/>
  <c r="D1377" i="3"/>
  <c r="E1377" i="3"/>
  <c r="F1377" i="3"/>
  <c r="G1377" i="3"/>
  <c r="H1377" i="3"/>
  <c r="I1377" i="3"/>
  <c r="J1377" i="3"/>
  <c r="K1377" i="3"/>
  <c r="L1377" i="3"/>
  <c r="M1377" i="3"/>
  <c r="A1378" i="3"/>
  <c r="B1378" i="3"/>
  <c r="C1378" i="3"/>
  <c r="D1378" i="3"/>
  <c r="E1378" i="3"/>
  <c r="F1378" i="3"/>
  <c r="G1378" i="3"/>
  <c r="H1378" i="3"/>
  <c r="I1378" i="3"/>
  <c r="J1378" i="3"/>
  <c r="K1378" i="3"/>
  <c r="L1378" i="3"/>
  <c r="M1378" i="3"/>
  <c r="A1379" i="3"/>
  <c r="B1379" i="3"/>
  <c r="C1379" i="3"/>
  <c r="D1379" i="3"/>
  <c r="E1379" i="3"/>
  <c r="F1379" i="3"/>
  <c r="G1379" i="3"/>
  <c r="H1379" i="3"/>
  <c r="I1379" i="3"/>
  <c r="J1379" i="3"/>
  <c r="K1379" i="3"/>
  <c r="L1379" i="3"/>
  <c r="M1379" i="3"/>
  <c r="A1380" i="3"/>
  <c r="B1380" i="3"/>
  <c r="C1380" i="3"/>
  <c r="D1380" i="3"/>
  <c r="E1380" i="3"/>
  <c r="F1380" i="3"/>
  <c r="G1380" i="3"/>
  <c r="H1380" i="3"/>
  <c r="I1380" i="3"/>
  <c r="J1380" i="3"/>
  <c r="K1380" i="3"/>
  <c r="L1380" i="3"/>
  <c r="M1380" i="3"/>
  <c r="A1381" i="3"/>
  <c r="B1381" i="3"/>
  <c r="C1381" i="3"/>
  <c r="D1381" i="3"/>
  <c r="E1381" i="3"/>
  <c r="F1381" i="3"/>
  <c r="G1381" i="3"/>
  <c r="H1381" i="3"/>
  <c r="I1381" i="3"/>
  <c r="J1381" i="3"/>
  <c r="K1381" i="3"/>
  <c r="L1381" i="3"/>
  <c r="M1381" i="3"/>
  <c r="A1382" i="3"/>
  <c r="B1382" i="3"/>
  <c r="C1382" i="3"/>
  <c r="D1382" i="3"/>
  <c r="E1382" i="3"/>
  <c r="F1382" i="3"/>
  <c r="G1382" i="3"/>
  <c r="H1382" i="3"/>
  <c r="I1382" i="3"/>
  <c r="J1382" i="3"/>
  <c r="K1382" i="3"/>
  <c r="L1382" i="3"/>
  <c r="M1382" i="3"/>
  <c r="A1383" i="3"/>
  <c r="B1383" i="3"/>
  <c r="C1383" i="3"/>
  <c r="D1383" i="3"/>
  <c r="E1383" i="3"/>
  <c r="F1383" i="3"/>
  <c r="G1383" i="3"/>
  <c r="H1383" i="3"/>
  <c r="I1383" i="3"/>
  <c r="J1383" i="3"/>
  <c r="K1383" i="3"/>
  <c r="L1383" i="3"/>
  <c r="M1383" i="3"/>
  <c r="A1384" i="3"/>
  <c r="B1384" i="3"/>
  <c r="C1384" i="3"/>
  <c r="D1384" i="3"/>
  <c r="E1384" i="3"/>
  <c r="F1384" i="3"/>
  <c r="G1384" i="3"/>
  <c r="H1384" i="3"/>
  <c r="I1384" i="3"/>
  <c r="J1384" i="3"/>
  <c r="K1384" i="3"/>
  <c r="L1384" i="3"/>
  <c r="M1384" i="3"/>
  <c r="A1385" i="3"/>
  <c r="B1385" i="3"/>
  <c r="C1385" i="3"/>
  <c r="D1385" i="3"/>
  <c r="E1385" i="3"/>
  <c r="F1385" i="3"/>
  <c r="G1385" i="3"/>
  <c r="H1385" i="3"/>
  <c r="I1385" i="3"/>
  <c r="J1385" i="3"/>
  <c r="K1385" i="3"/>
  <c r="L1385" i="3"/>
  <c r="M1385" i="3"/>
  <c r="A1386" i="3"/>
  <c r="B1386" i="3"/>
  <c r="C1386" i="3"/>
  <c r="D1386" i="3"/>
  <c r="E1386" i="3"/>
  <c r="F1386" i="3"/>
  <c r="G1386" i="3"/>
  <c r="H1386" i="3"/>
  <c r="I1386" i="3"/>
  <c r="J1386" i="3"/>
  <c r="K1386" i="3"/>
  <c r="L1386" i="3"/>
  <c r="M1386" i="3"/>
  <c r="A1387" i="3"/>
  <c r="B1387" i="3"/>
  <c r="C1387" i="3"/>
  <c r="D1387" i="3"/>
  <c r="E1387" i="3"/>
  <c r="F1387" i="3"/>
  <c r="G1387" i="3"/>
  <c r="H1387" i="3"/>
  <c r="I1387" i="3"/>
  <c r="J1387" i="3"/>
  <c r="K1387" i="3"/>
  <c r="L1387" i="3"/>
  <c r="M1387" i="3"/>
  <c r="A1388" i="3"/>
  <c r="B1388" i="3"/>
  <c r="C1388" i="3"/>
  <c r="D1388" i="3"/>
  <c r="E1388" i="3"/>
  <c r="F1388" i="3"/>
  <c r="G1388" i="3"/>
  <c r="H1388" i="3"/>
  <c r="I1388" i="3"/>
  <c r="J1388" i="3"/>
  <c r="K1388" i="3"/>
  <c r="L1388" i="3"/>
  <c r="M1388" i="3"/>
  <c r="A1389" i="3"/>
  <c r="B1389" i="3"/>
  <c r="C1389" i="3"/>
  <c r="D1389" i="3"/>
  <c r="E1389" i="3"/>
  <c r="F1389" i="3"/>
  <c r="G1389" i="3"/>
  <c r="H1389" i="3"/>
  <c r="I1389" i="3"/>
  <c r="J1389" i="3"/>
  <c r="K1389" i="3"/>
  <c r="L1389" i="3"/>
  <c r="M1389" i="3"/>
  <c r="A1390" i="3"/>
  <c r="B1390" i="3"/>
  <c r="C1390" i="3"/>
  <c r="D1390" i="3"/>
  <c r="E1390" i="3"/>
  <c r="F1390" i="3"/>
  <c r="G1390" i="3"/>
  <c r="H1390" i="3"/>
  <c r="I1390" i="3"/>
  <c r="J1390" i="3"/>
  <c r="K1390" i="3"/>
  <c r="L1390" i="3"/>
  <c r="M1390" i="3"/>
  <c r="A1391" i="3"/>
  <c r="B1391" i="3"/>
  <c r="C1391" i="3"/>
  <c r="D1391" i="3"/>
  <c r="E1391" i="3"/>
  <c r="F1391" i="3"/>
  <c r="G1391" i="3"/>
  <c r="H1391" i="3"/>
  <c r="I1391" i="3"/>
  <c r="J1391" i="3"/>
  <c r="K1391" i="3"/>
  <c r="L1391" i="3"/>
  <c r="M1391" i="3"/>
  <c r="A1392" i="3"/>
  <c r="B1392" i="3"/>
  <c r="C1392" i="3"/>
  <c r="D1392" i="3"/>
  <c r="E1392" i="3"/>
  <c r="F1392" i="3"/>
  <c r="G1392" i="3"/>
  <c r="H1392" i="3"/>
  <c r="I1392" i="3"/>
  <c r="J1392" i="3"/>
  <c r="K1392" i="3"/>
  <c r="L1392" i="3"/>
  <c r="M1392" i="3"/>
  <c r="A1393" i="3"/>
  <c r="B1393" i="3"/>
  <c r="C1393" i="3"/>
  <c r="D1393" i="3"/>
  <c r="E1393" i="3"/>
  <c r="F1393" i="3"/>
  <c r="G1393" i="3"/>
  <c r="H1393" i="3"/>
  <c r="I1393" i="3"/>
  <c r="J1393" i="3"/>
  <c r="K1393" i="3"/>
  <c r="L1393" i="3"/>
  <c r="M1393" i="3"/>
  <c r="A1394" i="3"/>
  <c r="B1394" i="3"/>
  <c r="C1394" i="3"/>
  <c r="D1394" i="3"/>
  <c r="E1394" i="3"/>
  <c r="F1394" i="3"/>
  <c r="G1394" i="3"/>
  <c r="H1394" i="3"/>
  <c r="I1394" i="3"/>
  <c r="J1394" i="3"/>
  <c r="K1394" i="3"/>
  <c r="L1394" i="3"/>
  <c r="M1394" i="3"/>
  <c r="A1395" i="3"/>
  <c r="B1395" i="3"/>
  <c r="C1395" i="3"/>
  <c r="D1395" i="3"/>
  <c r="E1395" i="3"/>
  <c r="F1395" i="3"/>
  <c r="G1395" i="3"/>
  <c r="H1395" i="3"/>
  <c r="I1395" i="3"/>
  <c r="J1395" i="3"/>
  <c r="K1395" i="3"/>
  <c r="L1395" i="3"/>
  <c r="M1395" i="3"/>
  <c r="A1396" i="3"/>
  <c r="B1396" i="3"/>
  <c r="C1396" i="3"/>
  <c r="D1396" i="3"/>
  <c r="E1396" i="3"/>
  <c r="F1396" i="3"/>
  <c r="G1396" i="3"/>
  <c r="H1396" i="3"/>
  <c r="I1396" i="3"/>
  <c r="J1396" i="3"/>
  <c r="K1396" i="3"/>
  <c r="L1396" i="3"/>
  <c r="M1396" i="3"/>
  <c r="A1397" i="3"/>
  <c r="B1397" i="3"/>
  <c r="C1397" i="3"/>
  <c r="D1397" i="3"/>
  <c r="E1397" i="3"/>
  <c r="F1397" i="3"/>
  <c r="G1397" i="3"/>
  <c r="H1397" i="3"/>
  <c r="I1397" i="3"/>
  <c r="J1397" i="3"/>
  <c r="K1397" i="3"/>
  <c r="L1397" i="3"/>
  <c r="M1397" i="3"/>
  <c r="A1398" i="3"/>
  <c r="B1398" i="3"/>
  <c r="C1398" i="3"/>
  <c r="D1398" i="3"/>
  <c r="E1398" i="3"/>
  <c r="F1398" i="3"/>
  <c r="G1398" i="3"/>
  <c r="H1398" i="3"/>
  <c r="I1398" i="3"/>
  <c r="J1398" i="3"/>
  <c r="K1398" i="3"/>
  <c r="L1398" i="3"/>
  <c r="M1398" i="3"/>
  <c r="A1399" i="3"/>
  <c r="B1399" i="3"/>
  <c r="C1399" i="3"/>
  <c r="D1399" i="3"/>
  <c r="E1399" i="3"/>
  <c r="F1399" i="3"/>
  <c r="G1399" i="3"/>
  <c r="H1399" i="3"/>
  <c r="I1399" i="3"/>
  <c r="J1399" i="3"/>
  <c r="K1399" i="3"/>
  <c r="L1399" i="3"/>
  <c r="M1399" i="3"/>
  <c r="A1400" i="3"/>
  <c r="B1400" i="3"/>
  <c r="C1400" i="3"/>
  <c r="D1400" i="3"/>
  <c r="E1400" i="3"/>
  <c r="F1400" i="3"/>
  <c r="G1400" i="3"/>
  <c r="H1400" i="3"/>
  <c r="I1400" i="3"/>
  <c r="J1400" i="3"/>
  <c r="K1400" i="3"/>
  <c r="L1400" i="3"/>
  <c r="M1400" i="3"/>
  <c r="A1401" i="3"/>
  <c r="B1401" i="3"/>
  <c r="C1401" i="3"/>
  <c r="D1401" i="3"/>
  <c r="E1401" i="3"/>
  <c r="F1401" i="3"/>
  <c r="G1401" i="3"/>
  <c r="H1401" i="3"/>
  <c r="I1401" i="3"/>
  <c r="J1401" i="3"/>
  <c r="K1401" i="3"/>
  <c r="L1401" i="3"/>
  <c r="M1401" i="3"/>
  <c r="A1402" i="3"/>
  <c r="B1402" i="3"/>
  <c r="C1402" i="3"/>
  <c r="D1402" i="3"/>
  <c r="E1402" i="3"/>
  <c r="F1402" i="3"/>
  <c r="G1402" i="3"/>
  <c r="H1402" i="3"/>
  <c r="I1402" i="3"/>
  <c r="J1402" i="3"/>
  <c r="K1402" i="3"/>
  <c r="L1402" i="3"/>
  <c r="M1402" i="3"/>
  <c r="A1403" i="3"/>
  <c r="B1403" i="3"/>
  <c r="C1403" i="3"/>
  <c r="D1403" i="3"/>
  <c r="E1403" i="3"/>
  <c r="F1403" i="3"/>
  <c r="G1403" i="3"/>
  <c r="H1403" i="3"/>
  <c r="I1403" i="3"/>
  <c r="J1403" i="3"/>
  <c r="K1403" i="3"/>
  <c r="L1403" i="3"/>
  <c r="M1403" i="3"/>
  <c r="A1404" i="3"/>
  <c r="B1404" i="3"/>
  <c r="C1404" i="3"/>
  <c r="D1404" i="3"/>
  <c r="E1404" i="3"/>
  <c r="F1404" i="3"/>
  <c r="G1404" i="3"/>
  <c r="H1404" i="3"/>
  <c r="I1404" i="3"/>
  <c r="J1404" i="3"/>
  <c r="K1404" i="3"/>
  <c r="L1404" i="3"/>
  <c r="M1404" i="3"/>
  <c r="A1405" i="3"/>
  <c r="B1405" i="3"/>
  <c r="C1405" i="3"/>
  <c r="D1405" i="3"/>
  <c r="E1405" i="3"/>
  <c r="F1405" i="3"/>
  <c r="G1405" i="3"/>
  <c r="H1405" i="3"/>
  <c r="I1405" i="3"/>
  <c r="J1405" i="3"/>
  <c r="K1405" i="3"/>
  <c r="L1405" i="3"/>
  <c r="M1405" i="3"/>
  <c r="A1406" i="3"/>
  <c r="B1406" i="3"/>
  <c r="C1406" i="3"/>
  <c r="D1406" i="3"/>
  <c r="E1406" i="3"/>
  <c r="F1406" i="3"/>
  <c r="G1406" i="3"/>
  <c r="H1406" i="3"/>
  <c r="I1406" i="3"/>
  <c r="J1406" i="3"/>
  <c r="K1406" i="3"/>
  <c r="L1406" i="3"/>
  <c r="M1406" i="3"/>
  <c r="A1407" i="3"/>
  <c r="B1407" i="3"/>
  <c r="C1407" i="3"/>
  <c r="D1407" i="3"/>
  <c r="E1407" i="3"/>
  <c r="F1407" i="3"/>
  <c r="G1407" i="3"/>
  <c r="H1407" i="3"/>
  <c r="I1407" i="3"/>
  <c r="J1407" i="3"/>
  <c r="K1407" i="3"/>
  <c r="L1407" i="3"/>
  <c r="M1407" i="3"/>
  <c r="A1408" i="3"/>
  <c r="B1408" i="3"/>
  <c r="C1408" i="3"/>
  <c r="D1408" i="3"/>
  <c r="E1408" i="3"/>
  <c r="F1408" i="3"/>
  <c r="G1408" i="3"/>
  <c r="H1408" i="3"/>
  <c r="I1408" i="3"/>
  <c r="J1408" i="3"/>
  <c r="K1408" i="3"/>
  <c r="L1408" i="3"/>
  <c r="M1408" i="3"/>
  <c r="A1409" i="3"/>
  <c r="B1409" i="3"/>
  <c r="C1409" i="3"/>
  <c r="D1409" i="3"/>
  <c r="E1409" i="3"/>
  <c r="F1409" i="3"/>
  <c r="G1409" i="3"/>
  <c r="H1409" i="3"/>
  <c r="I1409" i="3"/>
  <c r="J1409" i="3"/>
  <c r="K1409" i="3"/>
  <c r="L1409" i="3"/>
  <c r="M1409" i="3"/>
  <c r="A1410" i="3"/>
  <c r="B1410" i="3"/>
  <c r="C1410" i="3"/>
  <c r="D1410" i="3"/>
  <c r="E1410" i="3"/>
  <c r="F1410" i="3"/>
  <c r="G1410" i="3"/>
  <c r="H1410" i="3"/>
  <c r="I1410" i="3"/>
  <c r="J1410" i="3"/>
  <c r="K1410" i="3"/>
  <c r="L1410" i="3"/>
  <c r="M1410" i="3"/>
  <c r="A1411" i="3"/>
  <c r="B1411" i="3"/>
  <c r="C1411" i="3"/>
  <c r="D1411" i="3"/>
  <c r="E1411" i="3"/>
  <c r="F1411" i="3"/>
  <c r="G1411" i="3"/>
  <c r="H1411" i="3"/>
  <c r="I1411" i="3"/>
  <c r="J1411" i="3"/>
  <c r="K1411" i="3"/>
  <c r="L1411" i="3"/>
  <c r="M1411" i="3"/>
  <c r="A1412" i="3"/>
  <c r="B1412" i="3"/>
  <c r="C1412" i="3"/>
  <c r="D1412" i="3"/>
  <c r="E1412" i="3"/>
  <c r="F1412" i="3"/>
  <c r="G1412" i="3"/>
  <c r="H1412" i="3"/>
  <c r="I1412" i="3"/>
  <c r="J1412" i="3"/>
  <c r="K1412" i="3"/>
  <c r="L1412" i="3"/>
  <c r="M1412" i="3"/>
  <c r="A1413" i="3"/>
  <c r="B1413" i="3"/>
  <c r="C1413" i="3"/>
  <c r="D1413" i="3"/>
  <c r="E1413" i="3"/>
  <c r="F1413" i="3"/>
  <c r="G1413" i="3"/>
  <c r="H1413" i="3"/>
  <c r="I1413" i="3"/>
  <c r="J1413" i="3"/>
  <c r="K1413" i="3"/>
  <c r="L1413" i="3"/>
  <c r="M1413" i="3"/>
  <c r="A1414" i="3"/>
  <c r="B1414" i="3"/>
  <c r="C1414" i="3"/>
  <c r="D1414" i="3"/>
  <c r="E1414" i="3"/>
  <c r="F1414" i="3"/>
  <c r="G1414" i="3"/>
  <c r="H1414" i="3"/>
  <c r="I1414" i="3"/>
  <c r="J1414" i="3"/>
  <c r="K1414" i="3"/>
  <c r="L1414" i="3"/>
  <c r="M1414" i="3"/>
  <c r="A1415" i="3"/>
  <c r="B1415" i="3"/>
  <c r="C1415" i="3"/>
  <c r="D1415" i="3"/>
  <c r="E1415" i="3"/>
  <c r="F1415" i="3"/>
  <c r="G1415" i="3"/>
  <c r="H1415" i="3"/>
  <c r="I1415" i="3"/>
  <c r="J1415" i="3"/>
  <c r="K1415" i="3"/>
  <c r="L1415" i="3"/>
  <c r="M1415" i="3"/>
  <c r="A1416" i="3"/>
  <c r="B1416" i="3"/>
  <c r="C1416" i="3"/>
  <c r="D1416" i="3"/>
  <c r="E1416" i="3"/>
  <c r="F1416" i="3"/>
  <c r="G1416" i="3"/>
  <c r="H1416" i="3"/>
  <c r="I1416" i="3"/>
  <c r="J1416" i="3"/>
  <c r="K1416" i="3"/>
  <c r="L1416" i="3"/>
  <c r="M1416" i="3"/>
  <c r="A1417" i="3"/>
  <c r="B1417" i="3"/>
  <c r="C1417" i="3"/>
  <c r="D1417" i="3"/>
  <c r="E1417" i="3"/>
  <c r="F1417" i="3"/>
  <c r="G1417" i="3"/>
  <c r="H1417" i="3"/>
  <c r="I1417" i="3"/>
  <c r="J1417" i="3"/>
  <c r="K1417" i="3"/>
  <c r="L1417" i="3"/>
  <c r="M1417" i="3"/>
  <c r="A1418" i="3"/>
  <c r="B1418" i="3"/>
  <c r="C1418" i="3"/>
  <c r="D1418" i="3"/>
  <c r="E1418" i="3"/>
  <c r="F1418" i="3"/>
  <c r="G1418" i="3"/>
  <c r="H1418" i="3"/>
  <c r="I1418" i="3"/>
  <c r="J1418" i="3"/>
  <c r="K1418" i="3"/>
  <c r="L1418" i="3"/>
  <c r="M1418" i="3"/>
  <c r="A1419" i="3"/>
  <c r="B1419" i="3"/>
  <c r="C1419" i="3"/>
  <c r="D1419" i="3"/>
  <c r="E1419" i="3"/>
  <c r="F1419" i="3"/>
  <c r="G1419" i="3"/>
  <c r="H1419" i="3"/>
  <c r="I1419" i="3"/>
  <c r="J1419" i="3"/>
  <c r="K1419" i="3"/>
  <c r="L1419" i="3"/>
  <c r="M1419" i="3"/>
  <c r="A1420" i="3"/>
  <c r="B1420" i="3"/>
  <c r="C1420" i="3"/>
  <c r="D1420" i="3"/>
  <c r="E1420" i="3"/>
  <c r="F1420" i="3"/>
  <c r="G1420" i="3"/>
  <c r="H1420" i="3"/>
  <c r="I1420" i="3"/>
  <c r="J1420" i="3"/>
  <c r="K1420" i="3"/>
  <c r="L1420" i="3"/>
  <c r="M1420" i="3"/>
  <c r="A1421" i="3"/>
  <c r="B1421" i="3"/>
  <c r="C1421" i="3"/>
  <c r="D1421" i="3"/>
  <c r="E1421" i="3"/>
  <c r="F1421" i="3"/>
  <c r="G1421" i="3"/>
  <c r="H1421" i="3"/>
  <c r="I1421" i="3"/>
  <c r="J1421" i="3"/>
  <c r="K1421" i="3"/>
  <c r="L1421" i="3"/>
  <c r="M1421" i="3"/>
  <c r="A1422" i="3"/>
  <c r="B1422" i="3"/>
  <c r="C1422" i="3"/>
  <c r="D1422" i="3"/>
  <c r="E1422" i="3"/>
  <c r="F1422" i="3"/>
  <c r="G1422" i="3"/>
  <c r="H1422" i="3"/>
  <c r="I1422" i="3"/>
  <c r="J1422" i="3"/>
  <c r="K1422" i="3"/>
  <c r="L1422" i="3"/>
  <c r="M1422" i="3"/>
  <c r="A1423" i="3"/>
  <c r="B1423" i="3"/>
  <c r="C1423" i="3"/>
  <c r="D1423" i="3"/>
  <c r="E1423" i="3"/>
  <c r="F1423" i="3"/>
  <c r="G1423" i="3"/>
  <c r="H1423" i="3"/>
  <c r="I1423" i="3"/>
  <c r="J1423" i="3"/>
  <c r="K1423" i="3"/>
  <c r="L1423" i="3"/>
  <c r="M1423" i="3"/>
  <c r="A1424" i="3"/>
  <c r="B1424" i="3"/>
  <c r="C1424" i="3"/>
  <c r="D1424" i="3"/>
  <c r="E1424" i="3"/>
  <c r="F1424" i="3"/>
  <c r="G1424" i="3"/>
  <c r="H1424" i="3"/>
  <c r="I1424" i="3"/>
  <c r="J1424" i="3"/>
  <c r="K1424" i="3"/>
  <c r="L1424" i="3"/>
  <c r="M1424" i="3"/>
  <c r="A1425" i="3"/>
  <c r="B1425" i="3"/>
  <c r="C1425" i="3"/>
  <c r="D1425" i="3"/>
  <c r="E1425" i="3"/>
  <c r="F1425" i="3"/>
  <c r="G1425" i="3"/>
  <c r="H1425" i="3"/>
  <c r="I1425" i="3"/>
  <c r="J1425" i="3"/>
  <c r="K1425" i="3"/>
  <c r="L1425" i="3"/>
  <c r="M1425" i="3"/>
  <c r="A1426" i="3"/>
  <c r="B1426" i="3"/>
  <c r="C1426" i="3"/>
  <c r="D1426" i="3"/>
  <c r="E1426" i="3"/>
  <c r="F1426" i="3"/>
  <c r="G1426" i="3"/>
  <c r="H1426" i="3"/>
  <c r="I1426" i="3"/>
  <c r="J1426" i="3"/>
  <c r="K1426" i="3"/>
  <c r="L1426" i="3"/>
  <c r="M1426" i="3"/>
  <c r="A1427" i="3"/>
  <c r="B1427" i="3"/>
  <c r="C1427" i="3"/>
  <c r="D1427" i="3"/>
  <c r="E1427" i="3"/>
  <c r="F1427" i="3"/>
  <c r="G1427" i="3"/>
  <c r="H1427" i="3"/>
  <c r="I1427" i="3"/>
  <c r="J1427" i="3"/>
  <c r="K1427" i="3"/>
  <c r="L1427" i="3"/>
  <c r="M1427" i="3"/>
  <c r="A1428" i="3"/>
  <c r="B1428" i="3"/>
  <c r="C1428" i="3"/>
  <c r="D1428" i="3"/>
  <c r="E1428" i="3"/>
  <c r="F1428" i="3"/>
  <c r="G1428" i="3"/>
  <c r="H1428" i="3"/>
  <c r="I1428" i="3"/>
  <c r="J1428" i="3"/>
  <c r="K1428" i="3"/>
  <c r="L1428" i="3"/>
  <c r="M1428" i="3"/>
  <c r="A1429" i="3"/>
  <c r="B1429" i="3"/>
  <c r="C1429" i="3"/>
  <c r="D1429" i="3"/>
  <c r="E1429" i="3"/>
  <c r="F1429" i="3"/>
  <c r="G1429" i="3"/>
  <c r="H1429" i="3"/>
  <c r="I1429" i="3"/>
  <c r="J1429" i="3"/>
  <c r="K1429" i="3"/>
  <c r="L1429" i="3"/>
  <c r="M1429" i="3"/>
  <c r="A1430" i="3"/>
  <c r="B1430" i="3"/>
  <c r="C1430" i="3"/>
  <c r="D1430" i="3"/>
  <c r="E1430" i="3"/>
  <c r="F1430" i="3"/>
  <c r="G1430" i="3"/>
  <c r="H1430" i="3"/>
  <c r="I1430" i="3"/>
  <c r="J1430" i="3"/>
  <c r="K1430" i="3"/>
  <c r="L1430" i="3"/>
  <c r="M1430" i="3"/>
  <c r="A1431" i="3"/>
  <c r="B1431" i="3"/>
  <c r="C1431" i="3"/>
  <c r="D1431" i="3"/>
  <c r="E1431" i="3"/>
  <c r="F1431" i="3"/>
  <c r="G1431" i="3"/>
  <c r="H1431" i="3"/>
  <c r="I1431" i="3"/>
  <c r="J1431" i="3"/>
  <c r="K1431" i="3"/>
  <c r="L1431" i="3"/>
  <c r="M1431" i="3"/>
  <c r="A1432" i="3"/>
  <c r="B1432" i="3"/>
  <c r="C1432" i="3"/>
  <c r="D1432" i="3"/>
  <c r="E1432" i="3"/>
  <c r="F1432" i="3"/>
  <c r="G1432" i="3"/>
  <c r="H1432" i="3"/>
  <c r="I1432" i="3"/>
  <c r="J1432" i="3"/>
  <c r="K1432" i="3"/>
  <c r="L1432" i="3"/>
  <c r="M1432" i="3"/>
  <c r="A1433" i="3"/>
  <c r="B1433" i="3"/>
  <c r="C1433" i="3"/>
  <c r="D1433" i="3"/>
  <c r="E1433" i="3"/>
  <c r="F1433" i="3"/>
  <c r="G1433" i="3"/>
  <c r="H1433" i="3"/>
  <c r="I1433" i="3"/>
  <c r="J1433" i="3"/>
  <c r="K1433" i="3"/>
  <c r="L1433" i="3"/>
  <c r="M1433" i="3"/>
  <c r="A1434" i="3"/>
  <c r="B1434" i="3"/>
  <c r="C1434" i="3"/>
  <c r="D1434" i="3"/>
  <c r="E1434" i="3"/>
  <c r="F1434" i="3"/>
  <c r="G1434" i="3"/>
  <c r="H1434" i="3"/>
  <c r="I1434" i="3"/>
  <c r="J1434" i="3"/>
  <c r="K1434" i="3"/>
  <c r="L1434" i="3"/>
  <c r="M1434" i="3"/>
  <c r="A1435" i="3"/>
  <c r="B1435" i="3"/>
  <c r="C1435" i="3"/>
  <c r="D1435" i="3"/>
  <c r="E1435" i="3"/>
  <c r="F1435" i="3"/>
  <c r="G1435" i="3"/>
  <c r="H1435" i="3"/>
  <c r="I1435" i="3"/>
  <c r="J1435" i="3"/>
  <c r="K1435" i="3"/>
  <c r="L1435" i="3"/>
  <c r="M1435" i="3"/>
  <c r="A1436" i="3"/>
  <c r="B1436" i="3"/>
  <c r="C1436" i="3"/>
  <c r="D1436" i="3"/>
  <c r="E1436" i="3"/>
  <c r="F1436" i="3"/>
  <c r="G1436" i="3"/>
  <c r="H1436" i="3"/>
  <c r="I1436" i="3"/>
  <c r="J1436" i="3"/>
  <c r="K1436" i="3"/>
  <c r="L1436" i="3"/>
  <c r="M1436" i="3"/>
  <c r="A1437" i="3"/>
  <c r="B1437" i="3"/>
  <c r="C1437" i="3"/>
  <c r="D1437" i="3"/>
  <c r="E1437" i="3"/>
  <c r="F1437" i="3"/>
  <c r="G1437" i="3"/>
  <c r="H1437" i="3"/>
  <c r="I1437" i="3"/>
  <c r="J1437" i="3"/>
  <c r="K1437" i="3"/>
  <c r="L1437" i="3"/>
  <c r="M1437" i="3"/>
  <c r="A1438" i="3"/>
  <c r="B1438" i="3"/>
  <c r="C1438" i="3"/>
  <c r="D1438" i="3"/>
  <c r="E1438" i="3"/>
  <c r="F1438" i="3"/>
  <c r="G1438" i="3"/>
  <c r="H1438" i="3"/>
  <c r="I1438" i="3"/>
  <c r="J1438" i="3"/>
  <c r="K1438" i="3"/>
  <c r="L1438" i="3"/>
  <c r="M1438" i="3"/>
  <c r="A1439" i="3"/>
  <c r="B1439" i="3"/>
  <c r="C1439" i="3"/>
  <c r="D1439" i="3"/>
  <c r="E1439" i="3"/>
  <c r="F1439" i="3"/>
  <c r="G1439" i="3"/>
  <c r="H1439" i="3"/>
  <c r="I1439" i="3"/>
  <c r="J1439" i="3"/>
  <c r="K1439" i="3"/>
  <c r="L1439" i="3"/>
  <c r="M1439" i="3"/>
  <c r="A1440" i="3"/>
  <c r="B1440" i="3"/>
  <c r="C1440" i="3"/>
  <c r="D1440" i="3"/>
  <c r="E1440" i="3"/>
  <c r="F1440" i="3"/>
  <c r="G1440" i="3"/>
  <c r="H1440" i="3"/>
  <c r="I1440" i="3"/>
  <c r="J1440" i="3"/>
  <c r="K1440" i="3"/>
  <c r="L1440" i="3"/>
  <c r="M1440" i="3"/>
  <c r="A1441" i="3"/>
  <c r="B1441" i="3"/>
  <c r="C1441" i="3"/>
  <c r="D1441" i="3"/>
  <c r="E1441" i="3"/>
  <c r="F1441" i="3"/>
  <c r="G1441" i="3"/>
  <c r="H1441" i="3"/>
  <c r="I1441" i="3"/>
  <c r="J1441" i="3"/>
  <c r="K1441" i="3"/>
  <c r="L1441" i="3"/>
  <c r="M1441" i="3"/>
  <c r="A1442" i="3"/>
  <c r="B1442" i="3"/>
  <c r="C1442" i="3"/>
  <c r="D1442" i="3"/>
  <c r="E1442" i="3"/>
  <c r="F1442" i="3"/>
  <c r="G1442" i="3"/>
  <c r="H1442" i="3"/>
  <c r="I1442" i="3"/>
  <c r="J1442" i="3"/>
  <c r="K1442" i="3"/>
  <c r="L1442" i="3"/>
  <c r="M1442" i="3"/>
  <c r="A1443" i="3"/>
  <c r="B1443" i="3"/>
  <c r="C1443" i="3"/>
  <c r="D1443" i="3"/>
  <c r="E1443" i="3"/>
  <c r="F1443" i="3"/>
  <c r="G1443" i="3"/>
  <c r="H1443" i="3"/>
  <c r="I1443" i="3"/>
  <c r="J1443" i="3"/>
  <c r="K1443" i="3"/>
  <c r="L1443" i="3"/>
  <c r="M1443" i="3"/>
  <c r="A1444" i="3"/>
  <c r="B1444" i="3"/>
  <c r="C1444" i="3"/>
  <c r="D1444" i="3"/>
  <c r="E1444" i="3"/>
  <c r="F1444" i="3"/>
  <c r="G1444" i="3"/>
  <c r="H1444" i="3"/>
  <c r="I1444" i="3"/>
  <c r="J1444" i="3"/>
  <c r="K1444" i="3"/>
  <c r="L1444" i="3"/>
  <c r="M1444" i="3"/>
  <c r="A1445" i="3"/>
  <c r="B1445" i="3"/>
  <c r="C1445" i="3"/>
  <c r="D1445" i="3"/>
  <c r="E1445" i="3"/>
  <c r="F1445" i="3"/>
  <c r="G1445" i="3"/>
  <c r="H1445" i="3"/>
  <c r="I1445" i="3"/>
  <c r="J1445" i="3"/>
  <c r="K1445" i="3"/>
  <c r="L1445" i="3"/>
  <c r="M1445" i="3"/>
  <c r="A1446" i="3"/>
  <c r="B1446" i="3"/>
  <c r="C1446" i="3"/>
  <c r="D1446" i="3"/>
  <c r="E1446" i="3"/>
  <c r="F1446" i="3"/>
  <c r="G1446" i="3"/>
  <c r="H1446" i="3"/>
  <c r="I1446" i="3"/>
  <c r="J1446" i="3"/>
  <c r="K1446" i="3"/>
  <c r="L1446" i="3"/>
  <c r="M1446" i="3"/>
  <c r="A1447" i="3"/>
  <c r="B1447" i="3"/>
  <c r="C1447" i="3"/>
  <c r="D1447" i="3"/>
  <c r="E1447" i="3"/>
  <c r="F1447" i="3"/>
  <c r="G1447" i="3"/>
  <c r="H1447" i="3"/>
  <c r="I1447" i="3"/>
  <c r="J1447" i="3"/>
  <c r="K1447" i="3"/>
  <c r="L1447" i="3"/>
  <c r="M1447" i="3"/>
  <c r="A1448" i="3"/>
  <c r="B1448" i="3"/>
  <c r="C1448" i="3"/>
  <c r="D1448" i="3"/>
  <c r="E1448" i="3"/>
  <c r="F1448" i="3"/>
  <c r="G1448" i="3"/>
  <c r="H1448" i="3"/>
  <c r="I1448" i="3"/>
  <c r="J1448" i="3"/>
  <c r="K1448" i="3"/>
  <c r="L1448" i="3"/>
  <c r="M1448" i="3"/>
  <c r="A1449" i="3"/>
  <c r="B1449" i="3"/>
  <c r="C1449" i="3"/>
  <c r="D1449" i="3"/>
  <c r="E1449" i="3"/>
  <c r="F1449" i="3"/>
  <c r="G1449" i="3"/>
  <c r="H1449" i="3"/>
  <c r="I1449" i="3"/>
  <c r="J1449" i="3"/>
  <c r="K1449" i="3"/>
  <c r="L1449" i="3"/>
  <c r="M1449" i="3"/>
  <c r="A1450" i="3"/>
  <c r="B1450" i="3"/>
  <c r="C1450" i="3"/>
  <c r="D1450" i="3"/>
  <c r="E1450" i="3"/>
  <c r="F1450" i="3"/>
  <c r="G1450" i="3"/>
  <c r="H1450" i="3"/>
  <c r="I1450" i="3"/>
  <c r="J1450" i="3"/>
  <c r="K1450" i="3"/>
  <c r="L1450" i="3"/>
  <c r="M1450" i="3"/>
  <c r="A1451" i="3"/>
  <c r="B1451" i="3"/>
  <c r="C1451" i="3"/>
  <c r="D1451" i="3"/>
  <c r="E1451" i="3"/>
  <c r="F1451" i="3"/>
  <c r="G1451" i="3"/>
  <c r="H1451" i="3"/>
  <c r="I1451" i="3"/>
  <c r="J1451" i="3"/>
  <c r="K1451" i="3"/>
  <c r="L1451" i="3"/>
  <c r="M1451" i="3"/>
  <c r="A1452" i="3"/>
  <c r="B1452" i="3"/>
  <c r="C1452" i="3"/>
  <c r="D1452" i="3"/>
  <c r="E1452" i="3"/>
  <c r="F1452" i="3"/>
  <c r="G1452" i="3"/>
  <c r="H1452" i="3"/>
  <c r="I1452" i="3"/>
  <c r="J1452" i="3"/>
  <c r="K1452" i="3"/>
  <c r="L1452" i="3"/>
  <c r="M1452" i="3"/>
  <c r="A1453" i="3"/>
  <c r="B1453" i="3"/>
  <c r="C1453" i="3"/>
  <c r="D1453" i="3"/>
  <c r="E1453" i="3"/>
  <c r="F1453" i="3"/>
  <c r="G1453" i="3"/>
  <c r="H1453" i="3"/>
  <c r="I1453" i="3"/>
  <c r="J1453" i="3"/>
  <c r="K1453" i="3"/>
  <c r="L1453" i="3"/>
  <c r="M1453" i="3"/>
  <c r="A1454" i="3"/>
  <c r="B1454" i="3"/>
  <c r="C1454" i="3"/>
  <c r="D1454" i="3"/>
  <c r="E1454" i="3"/>
  <c r="F1454" i="3"/>
  <c r="G1454" i="3"/>
  <c r="H1454" i="3"/>
  <c r="I1454" i="3"/>
  <c r="J1454" i="3"/>
  <c r="K1454" i="3"/>
  <c r="L1454" i="3"/>
  <c r="M1454" i="3"/>
  <c r="A1455" i="3"/>
  <c r="B1455" i="3"/>
  <c r="C1455" i="3"/>
  <c r="D1455" i="3"/>
  <c r="E1455" i="3"/>
  <c r="F1455" i="3"/>
  <c r="G1455" i="3"/>
  <c r="H1455" i="3"/>
  <c r="I1455" i="3"/>
  <c r="J1455" i="3"/>
  <c r="K1455" i="3"/>
  <c r="L1455" i="3"/>
  <c r="M1455" i="3"/>
  <c r="A1456" i="3"/>
  <c r="B1456" i="3"/>
  <c r="C1456" i="3"/>
  <c r="D1456" i="3"/>
  <c r="E1456" i="3"/>
  <c r="F1456" i="3"/>
  <c r="G1456" i="3"/>
  <c r="H1456" i="3"/>
  <c r="I1456" i="3"/>
  <c r="J1456" i="3"/>
  <c r="K1456" i="3"/>
  <c r="L1456" i="3"/>
  <c r="M1456" i="3"/>
  <c r="A1457" i="3"/>
  <c r="B1457" i="3"/>
  <c r="C1457" i="3"/>
  <c r="D1457" i="3"/>
  <c r="E1457" i="3"/>
  <c r="F1457" i="3"/>
  <c r="G1457" i="3"/>
  <c r="H1457" i="3"/>
  <c r="I1457" i="3"/>
  <c r="J1457" i="3"/>
  <c r="K1457" i="3"/>
  <c r="L1457" i="3"/>
  <c r="M1457" i="3"/>
  <c r="A1458" i="3"/>
  <c r="B1458" i="3"/>
  <c r="C1458" i="3"/>
  <c r="D1458" i="3"/>
  <c r="E1458" i="3"/>
  <c r="F1458" i="3"/>
  <c r="G1458" i="3"/>
  <c r="H1458" i="3"/>
  <c r="I1458" i="3"/>
  <c r="J1458" i="3"/>
  <c r="K1458" i="3"/>
  <c r="L1458" i="3"/>
  <c r="M1458" i="3"/>
  <c r="A1459" i="3"/>
  <c r="B1459" i="3"/>
  <c r="C1459" i="3"/>
  <c r="D1459" i="3"/>
  <c r="E1459" i="3"/>
  <c r="F1459" i="3"/>
  <c r="G1459" i="3"/>
  <c r="H1459" i="3"/>
  <c r="I1459" i="3"/>
  <c r="J1459" i="3"/>
  <c r="K1459" i="3"/>
  <c r="L1459" i="3"/>
  <c r="M1459" i="3"/>
  <c r="A1460" i="3"/>
  <c r="B1460" i="3"/>
  <c r="C1460" i="3"/>
  <c r="D1460" i="3"/>
  <c r="E1460" i="3"/>
  <c r="F1460" i="3"/>
  <c r="G1460" i="3"/>
  <c r="H1460" i="3"/>
  <c r="I1460" i="3"/>
  <c r="J1460" i="3"/>
  <c r="K1460" i="3"/>
  <c r="L1460" i="3"/>
  <c r="M1460" i="3"/>
  <c r="A1461" i="3"/>
  <c r="B1461" i="3"/>
  <c r="C1461" i="3"/>
  <c r="D1461" i="3"/>
  <c r="E1461" i="3"/>
  <c r="F1461" i="3"/>
  <c r="G1461" i="3"/>
  <c r="H1461" i="3"/>
  <c r="I1461" i="3"/>
  <c r="J1461" i="3"/>
  <c r="K1461" i="3"/>
  <c r="L1461" i="3"/>
  <c r="M1461" i="3"/>
  <c r="A1462" i="3"/>
  <c r="B1462" i="3"/>
  <c r="C1462" i="3"/>
  <c r="D1462" i="3"/>
  <c r="E1462" i="3"/>
  <c r="F1462" i="3"/>
  <c r="G1462" i="3"/>
  <c r="H1462" i="3"/>
  <c r="I1462" i="3"/>
  <c r="J1462" i="3"/>
  <c r="K1462" i="3"/>
  <c r="L1462" i="3"/>
  <c r="M1462" i="3"/>
  <c r="A1463" i="3"/>
  <c r="B1463" i="3"/>
  <c r="C1463" i="3"/>
  <c r="D1463" i="3"/>
  <c r="E1463" i="3"/>
  <c r="F1463" i="3"/>
  <c r="G1463" i="3"/>
  <c r="H1463" i="3"/>
  <c r="I1463" i="3"/>
  <c r="J1463" i="3"/>
  <c r="K1463" i="3"/>
  <c r="L1463" i="3"/>
  <c r="M1463" i="3"/>
  <c r="A1464" i="3"/>
  <c r="B1464" i="3"/>
  <c r="C1464" i="3"/>
  <c r="D1464" i="3"/>
  <c r="E1464" i="3"/>
  <c r="F1464" i="3"/>
  <c r="G1464" i="3"/>
  <c r="H1464" i="3"/>
  <c r="I1464" i="3"/>
  <c r="J1464" i="3"/>
  <c r="K1464" i="3"/>
  <c r="L1464" i="3"/>
  <c r="M1464" i="3"/>
  <c r="A1465" i="3"/>
  <c r="B1465" i="3"/>
  <c r="C1465" i="3"/>
  <c r="D1465" i="3"/>
  <c r="E1465" i="3"/>
  <c r="F1465" i="3"/>
  <c r="G1465" i="3"/>
  <c r="H1465" i="3"/>
  <c r="I1465" i="3"/>
  <c r="J1465" i="3"/>
  <c r="K1465" i="3"/>
  <c r="L1465" i="3"/>
  <c r="M1465" i="3"/>
  <c r="A1466" i="3"/>
  <c r="B1466" i="3"/>
  <c r="C1466" i="3"/>
  <c r="D1466" i="3"/>
  <c r="E1466" i="3"/>
  <c r="F1466" i="3"/>
  <c r="G1466" i="3"/>
  <c r="H1466" i="3"/>
  <c r="I1466" i="3"/>
  <c r="J1466" i="3"/>
  <c r="K1466" i="3"/>
  <c r="L1466" i="3"/>
  <c r="M1466" i="3"/>
  <c r="A1467" i="3"/>
  <c r="B1467" i="3"/>
  <c r="C1467" i="3"/>
  <c r="D1467" i="3"/>
  <c r="E1467" i="3"/>
  <c r="F1467" i="3"/>
  <c r="G1467" i="3"/>
  <c r="H1467" i="3"/>
  <c r="I1467" i="3"/>
  <c r="J1467" i="3"/>
  <c r="K1467" i="3"/>
  <c r="L1467" i="3"/>
  <c r="M1467" i="3"/>
  <c r="A1468" i="3"/>
  <c r="B1468" i="3"/>
  <c r="C1468" i="3"/>
  <c r="D1468" i="3"/>
  <c r="E1468" i="3"/>
  <c r="F1468" i="3"/>
  <c r="G1468" i="3"/>
  <c r="H1468" i="3"/>
  <c r="I1468" i="3"/>
  <c r="J1468" i="3"/>
  <c r="K1468" i="3"/>
  <c r="L1468" i="3"/>
  <c r="M1468" i="3"/>
  <c r="A1469" i="3"/>
  <c r="B1469" i="3"/>
  <c r="C1469" i="3"/>
  <c r="D1469" i="3"/>
  <c r="E1469" i="3"/>
  <c r="F1469" i="3"/>
  <c r="G1469" i="3"/>
  <c r="H1469" i="3"/>
  <c r="I1469" i="3"/>
  <c r="J1469" i="3"/>
  <c r="K1469" i="3"/>
  <c r="L1469" i="3"/>
  <c r="M1469" i="3"/>
  <c r="A1470" i="3"/>
  <c r="B1470" i="3"/>
  <c r="C1470" i="3"/>
  <c r="D1470" i="3"/>
  <c r="E1470" i="3"/>
  <c r="F1470" i="3"/>
  <c r="G1470" i="3"/>
  <c r="H1470" i="3"/>
  <c r="I1470" i="3"/>
  <c r="J1470" i="3"/>
  <c r="K1470" i="3"/>
  <c r="L1470" i="3"/>
  <c r="M1470" i="3"/>
  <c r="A1471" i="3"/>
  <c r="B1471" i="3"/>
  <c r="C1471" i="3"/>
  <c r="D1471" i="3"/>
  <c r="E1471" i="3"/>
  <c r="F1471" i="3"/>
  <c r="G1471" i="3"/>
  <c r="H1471" i="3"/>
  <c r="I1471" i="3"/>
  <c r="J1471" i="3"/>
  <c r="K1471" i="3"/>
  <c r="L1471" i="3"/>
  <c r="M1471" i="3"/>
  <c r="B2" i="3"/>
  <c r="C2" i="3"/>
  <c r="D2" i="3"/>
  <c r="E2" i="3"/>
  <c r="F2" i="3"/>
  <c r="G2" i="3"/>
  <c r="H2" i="3"/>
  <c r="I2" i="3"/>
  <c r="J2" i="3"/>
  <c r="K2" i="3"/>
  <c r="L2" i="3"/>
  <c r="M2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<sst xmlns="http://schemas.openxmlformats.org/spreadsheetml/2006/main" count="5932" uniqueCount="52">
  <si>
    <t>Age</t>
  </si>
  <si>
    <t>Attrition</t>
  </si>
  <si>
    <t>Department</t>
  </si>
  <si>
    <t>DistanceFromHome</t>
  </si>
  <si>
    <t>Education</t>
  </si>
  <si>
    <t>EducationField</t>
  </si>
  <si>
    <t>EnvironmentSatisfaction</t>
  </si>
  <si>
    <t>JobSatisfaction</t>
  </si>
  <si>
    <t>MaritalStatus</t>
  </si>
  <si>
    <t>MonthlyIncome</t>
  </si>
  <si>
    <t>NumCompaniesWorked</t>
  </si>
  <si>
    <t>WorkLifeBalance</t>
  </si>
  <si>
    <t>YearsAtCompany</t>
  </si>
  <si>
    <t>Yes</t>
  </si>
  <si>
    <t>Sales</t>
  </si>
  <si>
    <t>Life Sciences</t>
  </si>
  <si>
    <t>Single</t>
  </si>
  <si>
    <t>No</t>
  </si>
  <si>
    <t>Research &amp; Development</t>
  </si>
  <si>
    <t>Married</t>
  </si>
  <si>
    <t>Other</t>
  </si>
  <si>
    <t>Medical</t>
  </si>
  <si>
    <t>Divorced</t>
  </si>
  <si>
    <t>Marketing</t>
  </si>
  <si>
    <t>Technical Degree</t>
  </si>
  <si>
    <t>Human Resources</t>
  </si>
  <si>
    <t>Assumption</t>
  </si>
  <si>
    <t>Value</t>
  </si>
  <si>
    <t>Note</t>
  </si>
  <si>
    <t>Age band 1 max (Exclusive)</t>
  </si>
  <si>
    <t>Age &lt; this = "&lt;25"</t>
  </si>
  <si>
    <t>Age band 2 max (Inclusive)</t>
  </si>
  <si>
    <t>Age &lt;= this = "25-34"</t>
  </si>
  <si>
    <t>Age band 3 max (Inclusive)</t>
  </si>
  <si>
    <t>Age &lt;= this = "35-44"</t>
  </si>
  <si>
    <t>Age band 4 max (Inclusive)</t>
  </si>
  <si>
    <t>Age &lt;= this = "45-54"; above = "55+"</t>
  </si>
  <si>
    <t>Income low max (Exclusive)</t>
  </si>
  <si>
    <t>MonthlyIncome &lt; this = "Low"</t>
  </si>
  <si>
    <t>Income medium max (Inclusive)</t>
  </si>
  <si>
    <t>MonthlyIncome &lt;= this = "Medium"; above = "High"</t>
  </si>
  <si>
    <t>Tenure new max (Exclusive)</t>
  </si>
  <si>
    <t>YearsAtCompany &lt; this = "New (0-2)"</t>
  </si>
  <si>
    <t>Tenure early max (Inxclusive)</t>
  </si>
  <si>
    <t>YearsAtCompany &lt;= this = "Early (2-5)"</t>
  </si>
  <si>
    <t>Tenure established  max (Inxclusive)</t>
  </si>
  <si>
    <t>YearsAtCompany &lt;= this = "Established (5-10)"; above = "Veteran (10+)"</t>
  </si>
  <si>
    <t>AttritionFlag</t>
  </si>
  <si>
    <t>AgeGroup</t>
  </si>
  <si>
    <t>IncomeBand</t>
  </si>
  <si>
    <t>TenureGroup</t>
  </si>
  <si>
    <t>SatisfactionAvg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</si>
</sst>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33" borderId="0" xfId="0" applyFont="1" applyFill="1"/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  <xf numFmtId="164" fontId="0" fillId="0" borderId="0" xfId="0" applyNumberFormat="1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A86A-95E6-4818-A2A5-17162309ABE7}">
  <dimension ref="A1:M1471"/>
  <sheetViews>
    <sheetView topLeftCell="C1" workbookViewId="0">
      <selection activeCell="L5" sqref="L5"/>
    </sheetView>
  </sheetViews>
  <sheetFormatPr defaultRowHeight="15"/>
  <cols>
    <col min="1" max="1" width="6.85546875" bestFit="1" customWidth="1"/>
    <col min="2" max="2" width="11.140625" bestFit="1" customWidth="1"/>
    <col min="3" max="3" width="23.7109375" bestFit="1" customWidth="1"/>
    <col min="4" max="4" width="21.28515625" bestFit="1" customWidth="1"/>
    <col min="5" max="5" width="12.28515625" bestFit="1" customWidth="1"/>
    <col min="6" max="6" width="17" bestFit="1" customWidth="1"/>
    <col min="7" max="7" width="25.7109375" bestFit="1" customWidth="1"/>
    <col min="8" max="8" width="17" bestFit="1" customWidth="1"/>
    <col min="9" max="9" width="15.7109375" bestFit="1" customWidth="1"/>
    <col min="10" max="10" width="17.7109375" bestFit="1" customWidth="1"/>
    <col min="11" max="11" width="25.140625" bestFit="1" customWidth="1"/>
    <col min="12" max="12" width="18.5703125" bestFit="1" customWidth="1"/>
    <col min="13" max="13" width="16.140625" bestFit="1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41</v>
      </c>
      <c r="B2" t="s">
        <v>13</v>
      </c>
      <c r="C2" t="s">
        <v>14</v>
      </c>
      <c r="D2">
        <v>1</v>
      </c>
      <c r="E2">
        <v>2</v>
      </c>
      <c r="F2" t="s">
        <v>15</v>
      </c>
      <c r="G2">
        <v>2</v>
      </c>
      <c r="H2">
        <v>4</v>
      </c>
      <c r="I2" t="s">
        <v>16</v>
      </c>
      <c r="J2">
        <v>5993</v>
      </c>
      <c r="K2">
        <v>8</v>
      </c>
      <c r="L2">
        <v>1</v>
      </c>
      <c r="M2">
        <v>6</v>
      </c>
    </row>
    <row r="3" spans="1:13">
      <c r="A3">
        <v>49</v>
      </c>
      <c r="B3" t="s">
        <v>17</v>
      </c>
      <c r="C3" t="s">
        <v>18</v>
      </c>
      <c r="D3">
        <v>8</v>
      </c>
      <c r="E3">
        <v>1</v>
      </c>
      <c r="F3" t="s">
        <v>15</v>
      </c>
      <c r="G3">
        <v>3</v>
      </c>
      <c r="H3">
        <v>2</v>
      </c>
      <c r="I3" t="s">
        <v>19</v>
      </c>
      <c r="J3">
        <v>5130</v>
      </c>
      <c r="K3">
        <v>1</v>
      </c>
      <c r="L3">
        <v>3</v>
      </c>
      <c r="M3">
        <v>10</v>
      </c>
    </row>
    <row r="4" spans="1:13">
      <c r="A4">
        <v>37</v>
      </c>
      <c r="B4" t="s">
        <v>13</v>
      </c>
      <c r="C4" t="s">
        <v>18</v>
      </c>
      <c r="D4">
        <v>2</v>
      </c>
      <c r="E4">
        <v>2</v>
      </c>
      <c r="F4" t="s">
        <v>20</v>
      </c>
      <c r="G4">
        <v>4</v>
      </c>
      <c r="H4">
        <v>3</v>
      </c>
      <c r="I4" t="s">
        <v>16</v>
      </c>
      <c r="J4">
        <v>2090</v>
      </c>
      <c r="K4">
        <v>6</v>
      </c>
      <c r="L4">
        <v>3</v>
      </c>
      <c r="M4">
        <v>0</v>
      </c>
    </row>
    <row r="5" spans="1:13">
      <c r="A5">
        <v>33</v>
      </c>
      <c r="B5" t="s">
        <v>17</v>
      </c>
      <c r="C5" t="s">
        <v>18</v>
      </c>
      <c r="D5">
        <v>3</v>
      </c>
      <c r="E5">
        <v>4</v>
      </c>
      <c r="F5" t="s">
        <v>15</v>
      </c>
      <c r="G5">
        <v>4</v>
      </c>
      <c r="H5">
        <v>3</v>
      </c>
      <c r="I5" t="s">
        <v>19</v>
      </c>
      <c r="J5">
        <v>2909</v>
      </c>
      <c r="K5">
        <v>1</v>
      </c>
      <c r="L5">
        <v>3</v>
      </c>
      <c r="M5">
        <v>8</v>
      </c>
    </row>
    <row r="6" spans="1:13">
      <c r="A6">
        <v>27</v>
      </c>
      <c r="B6" t="s">
        <v>17</v>
      </c>
      <c r="C6" t="s">
        <v>18</v>
      </c>
      <c r="D6">
        <v>2</v>
      </c>
      <c r="E6">
        <v>1</v>
      </c>
      <c r="F6" t="s">
        <v>21</v>
      </c>
      <c r="G6">
        <v>1</v>
      </c>
      <c r="H6">
        <v>2</v>
      </c>
      <c r="I6" t="s">
        <v>19</v>
      </c>
      <c r="J6">
        <v>3468</v>
      </c>
      <c r="K6">
        <v>9</v>
      </c>
      <c r="L6">
        <v>3</v>
      </c>
      <c r="M6">
        <v>2</v>
      </c>
    </row>
    <row r="7" spans="1:13">
      <c r="A7">
        <v>32</v>
      </c>
      <c r="B7" t="s">
        <v>17</v>
      </c>
      <c r="C7" t="s">
        <v>18</v>
      </c>
      <c r="D7">
        <v>2</v>
      </c>
      <c r="E7">
        <v>2</v>
      </c>
      <c r="F7" t="s">
        <v>15</v>
      </c>
      <c r="G7">
        <v>4</v>
      </c>
      <c r="H7">
        <v>4</v>
      </c>
      <c r="I7" t="s">
        <v>16</v>
      </c>
      <c r="J7">
        <v>3068</v>
      </c>
      <c r="K7">
        <v>0</v>
      </c>
      <c r="L7">
        <v>2</v>
      </c>
      <c r="M7">
        <v>7</v>
      </c>
    </row>
    <row r="8" spans="1:13">
      <c r="A8">
        <v>59</v>
      </c>
      <c r="B8" t="s">
        <v>17</v>
      </c>
      <c r="C8" t="s">
        <v>18</v>
      </c>
      <c r="D8">
        <v>3</v>
      </c>
      <c r="E8">
        <v>3</v>
      </c>
      <c r="F8" t="s">
        <v>21</v>
      </c>
      <c r="G8">
        <v>3</v>
      </c>
      <c r="H8">
        <v>1</v>
      </c>
      <c r="I8" t="s">
        <v>19</v>
      </c>
      <c r="J8">
        <v>2670</v>
      </c>
      <c r="K8">
        <v>4</v>
      </c>
      <c r="L8">
        <v>2</v>
      </c>
      <c r="M8">
        <v>1</v>
      </c>
    </row>
    <row r="9" spans="1:13">
      <c r="A9">
        <v>30</v>
      </c>
      <c r="B9" t="s">
        <v>17</v>
      </c>
      <c r="C9" t="s">
        <v>18</v>
      </c>
      <c r="D9">
        <v>24</v>
      </c>
      <c r="E9">
        <v>1</v>
      </c>
      <c r="F9" t="s">
        <v>15</v>
      </c>
      <c r="G9">
        <v>4</v>
      </c>
      <c r="H9">
        <v>3</v>
      </c>
      <c r="I9" t="s">
        <v>22</v>
      </c>
      <c r="J9">
        <v>2693</v>
      </c>
      <c r="K9">
        <v>1</v>
      </c>
      <c r="L9">
        <v>3</v>
      </c>
      <c r="M9">
        <v>1</v>
      </c>
    </row>
    <row r="10" spans="1:13">
      <c r="A10">
        <v>38</v>
      </c>
      <c r="B10" t="s">
        <v>17</v>
      </c>
      <c r="C10" t="s">
        <v>18</v>
      </c>
      <c r="D10">
        <v>23</v>
      </c>
      <c r="E10">
        <v>3</v>
      </c>
      <c r="F10" t="s">
        <v>15</v>
      </c>
      <c r="G10">
        <v>4</v>
      </c>
      <c r="H10">
        <v>3</v>
      </c>
      <c r="I10" t="s">
        <v>16</v>
      </c>
      <c r="J10">
        <v>9526</v>
      </c>
      <c r="K10">
        <v>0</v>
      </c>
      <c r="L10">
        <v>3</v>
      </c>
      <c r="M10">
        <v>9</v>
      </c>
    </row>
    <row r="11" spans="1:13">
      <c r="A11">
        <v>36</v>
      </c>
      <c r="B11" t="s">
        <v>17</v>
      </c>
      <c r="C11" t="s">
        <v>18</v>
      </c>
      <c r="D11">
        <v>27</v>
      </c>
      <c r="E11">
        <v>3</v>
      </c>
      <c r="F11" t="s">
        <v>21</v>
      </c>
      <c r="G11">
        <v>3</v>
      </c>
      <c r="H11">
        <v>3</v>
      </c>
      <c r="I11" t="s">
        <v>19</v>
      </c>
      <c r="J11">
        <v>5237</v>
      </c>
      <c r="K11">
        <v>6</v>
      </c>
      <c r="L11">
        <v>2</v>
      </c>
      <c r="M11">
        <v>7</v>
      </c>
    </row>
    <row r="12" spans="1:13">
      <c r="A12">
        <v>35</v>
      </c>
      <c r="B12" t="s">
        <v>17</v>
      </c>
      <c r="C12" t="s">
        <v>18</v>
      </c>
      <c r="D12">
        <v>16</v>
      </c>
      <c r="E12">
        <v>3</v>
      </c>
      <c r="F12" t="s">
        <v>21</v>
      </c>
      <c r="G12">
        <v>1</v>
      </c>
      <c r="H12">
        <v>2</v>
      </c>
      <c r="I12" t="s">
        <v>19</v>
      </c>
      <c r="J12">
        <v>2426</v>
      </c>
      <c r="K12">
        <v>0</v>
      </c>
      <c r="L12">
        <v>3</v>
      </c>
      <c r="M12">
        <v>5</v>
      </c>
    </row>
    <row r="13" spans="1:13">
      <c r="A13">
        <v>29</v>
      </c>
      <c r="B13" t="s">
        <v>17</v>
      </c>
      <c r="C13" t="s">
        <v>18</v>
      </c>
      <c r="D13">
        <v>15</v>
      </c>
      <c r="E13">
        <v>2</v>
      </c>
      <c r="F13" t="s">
        <v>15</v>
      </c>
      <c r="G13">
        <v>4</v>
      </c>
      <c r="H13">
        <v>3</v>
      </c>
      <c r="I13" t="s">
        <v>16</v>
      </c>
      <c r="J13">
        <v>4193</v>
      </c>
      <c r="K13">
        <v>0</v>
      </c>
      <c r="L13">
        <v>3</v>
      </c>
      <c r="M13">
        <v>9</v>
      </c>
    </row>
    <row r="14" spans="1:13">
      <c r="A14">
        <v>31</v>
      </c>
      <c r="B14" t="s">
        <v>17</v>
      </c>
      <c r="C14" t="s">
        <v>18</v>
      </c>
      <c r="D14">
        <v>26</v>
      </c>
      <c r="E14">
        <v>1</v>
      </c>
      <c r="F14" t="s">
        <v>15</v>
      </c>
      <c r="G14">
        <v>1</v>
      </c>
      <c r="H14">
        <v>3</v>
      </c>
      <c r="I14" t="s">
        <v>22</v>
      </c>
      <c r="J14">
        <v>2911</v>
      </c>
      <c r="K14">
        <v>1</v>
      </c>
      <c r="L14">
        <v>2</v>
      </c>
      <c r="M14">
        <v>5</v>
      </c>
    </row>
    <row r="15" spans="1:13">
      <c r="A15">
        <v>34</v>
      </c>
      <c r="B15" t="s">
        <v>17</v>
      </c>
      <c r="C15" t="s">
        <v>18</v>
      </c>
      <c r="D15">
        <v>19</v>
      </c>
      <c r="E15">
        <v>2</v>
      </c>
      <c r="F15" t="s">
        <v>21</v>
      </c>
      <c r="G15">
        <v>2</v>
      </c>
      <c r="H15">
        <v>4</v>
      </c>
      <c r="I15" t="s">
        <v>22</v>
      </c>
      <c r="J15">
        <v>2661</v>
      </c>
      <c r="K15">
        <v>0</v>
      </c>
      <c r="L15">
        <v>3</v>
      </c>
      <c r="M15">
        <v>2</v>
      </c>
    </row>
    <row r="16" spans="1:13">
      <c r="A16">
        <v>28</v>
      </c>
      <c r="B16" t="s">
        <v>13</v>
      </c>
      <c r="C16" t="s">
        <v>18</v>
      </c>
      <c r="D16">
        <v>24</v>
      </c>
      <c r="E16">
        <v>3</v>
      </c>
      <c r="F16" t="s">
        <v>15</v>
      </c>
      <c r="G16">
        <v>3</v>
      </c>
      <c r="H16">
        <v>3</v>
      </c>
      <c r="I16" t="s">
        <v>16</v>
      </c>
      <c r="J16">
        <v>2028</v>
      </c>
      <c r="K16">
        <v>5</v>
      </c>
      <c r="L16">
        <v>3</v>
      </c>
      <c r="M16">
        <v>4</v>
      </c>
    </row>
    <row r="17" spans="1:13">
      <c r="A17">
        <v>29</v>
      </c>
      <c r="B17" t="s">
        <v>17</v>
      </c>
      <c r="C17" t="s">
        <v>18</v>
      </c>
      <c r="D17">
        <v>21</v>
      </c>
      <c r="E17">
        <v>4</v>
      </c>
      <c r="F17" t="s">
        <v>15</v>
      </c>
      <c r="G17">
        <v>2</v>
      </c>
      <c r="H17">
        <v>1</v>
      </c>
      <c r="I17" t="s">
        <v>22</v>
      </c>
      <c r="J17">
        <v>9980</v>
      </c>
      <c r="K17">
        <v>1</v>
      </c>
      <c r="L17">
        <v>3</v>
      </c>
      <c r="M17">
        <v>10</v>
      </c>
    </row>
    <row r="18" spans="1:13">
      <c r="A18">
        <v>32</v>
      </c>
      <c r="B18" t="s">
        <v>17</v>
      </c>
      <c r="C18" t="s">
        <v>18</v>
      </c>
      <c r="D18">
        <v>5</v>
      </c>
      <c r="E18">
        <v>2</v>
      </c>
      <c r="F18" t="s">
        <v>15</v>
      </c>
      <c r="G18">
        <v>1</v>
      </c>
      <c r="H18">
        <v>2</v>
      </c>
      <c r="I18" t="s">
        <v>22</v>
      </c>
      <c r="J18">
        <v>3298</v>
      </c>
      <c r="K18">
        <v>0</v>
      </c>
      <c r="L18">
        <v>2</v>
      </c>
      <c r="M18">
        <v>6</v>
      </c>
    </row>
    <row r="19" spans="1:13">
      <c r="A19">
        <v>22</v>
      </c>
      <c r="B19" t="s">
        <v>17</v>
      </c>
      <c r="C19" t="s">
        <v>18</v>
      </c>
      <c r="D19">
        <v>16</v>
      </c>
      <c r="E19">
        <v>2</v>
      </c>
      <c r="F19" t="s">
        <v>21</v>
      </c>
      <c r="G19">
        <v>4</v>
      </c>
      <c r="H19">
        <v>4</v>
      </c>
      <c r="I19" t="s">
        <v>22</v>
      </c>
      <c r="J19">
        <v>2935</v>
      </c>
      <c r="K19">
        <v>1</v>
      </c>
      <c r="L19">
        <v>2</v>
      </c>
      <c r="M19">
        <v>1</v>
      </c>
    </row>
    <row r="20" spans="1:13">
      <c r="A20">
        <v>53</v>
      </c>
      <c r="B20" t="s">
        <v>17</v>
      </c>
      <c r="C20" t="s">
        <v>14</v>
      </c>
      <c r="D20">
        <v>2</v>
      </c>
      <c r="E20">
        <v>4</v>
      </c>
      <c r="F20" t="s">
        <v>15</v>
      </c>
      <c r="G20">
        <v>1</v>
      </c>
      <c r="H20">
        <v>4</v>
      </c>
      <c r="I20" t="s">
        <v>19</v>
      </c>
      <c r="J20">
        <v>15427</v>
      </c>
      <c r="K20">
        <v>2</v>
      </c>
      <c r="L20">
        <v>3</v>
      </c>
      <c r="M20">
        <v>25</v>
      </c>
    </row>
    <row r="21" spans="1:13">
      <c r="A21">
        <v>38</v>
      </c>
      <c r="B21" t="s">
        <v>17</v>
      </c>
      <c r="C21" t="s">
        <v>18</v>
      </c>
      <c r="D21">
        <v>2</v>
      </c>
      <c r="E21">
        <v>3</v>
      </c>
      <c r="F21" t="s">
        <v>15</v>
      </c>
      <c r="G21">
        <v>4</v>
      </c>
      <c r="H21">
        <v>4</v>
      </c>
      <c r="I21" t="s">
        <v>16</v>
      </c>
      <c r="J21">
        <v>3944</v>
      </c>
      <c r="K21">
        <v>5</v>
      </c>
      <c r="L21">
        <v>3</v>
      </c>
      <c r="M21">
        <v>3</v>
      </c>
    </row>
    <row r="22" spans="1:13">
      <c r="A22">
        <v>24</v>
      </c>
      <c r="B22" t="s">
        <v>17</v>
      </c>
      <c r="C22" t="s">
        <v>18</v>
      </c>
      <c r="D22">
        <v>11</v>
      </c>
      <c r="E22">
        <v>2</v>
      </c>
      <c r="F22" t="s">
        <v>20</v>
      </c>
      <c r="G22">
        <v>1</v>
      </c>
      <c r="H22">
        <v>3</v>
      </c>
      <c r="I22" t="s">
        <v>22</v>
      </c>
      <c r="J22">
        <v>4011</v>
      </c>
      <c r="K22">
        <v>0</v>
      </c>
      <c r="L22">
        <v>2</v>
      </c>
      <c r="M22">
        <v>4</v>
      </c>
    </row>
    <row r="23" spans="1:13">
      <c r="A23">
        <v>36</v>
      </c>
      <c r="B23" t="s">
        <v>13</v>
      </c>
      <c r="C23" t="s">
        <v>14</v>
      </c>
      <c r="D23">
        <v>9</v>
      </c>
      <c r="E23">
        <v>4</v>
      </c>
      <c r="F23" t="s">
        <v>15</v>
      </c>
      <c r="G23">
        <v>3</v>
      </c>
      <c r="H23">
        <v>1</v>
      </c>
      <c r="I23" t="s">
        <v>16</v>
      </c>
      <c r="J23">
        <v>3407</v>
      </c>
      <c r="K23">
        <v>7</v>
      </c>
      <c r="L23">
        <v>3</v>
      </c>
      <c r="M23">
        <v>5</v>
      </c>
    </row>
    <row r="24" spans="1:13">
      <c r="A24">
        <v>34</v>
      </c>
      <c r="B24" t="s">
        <v>17</v>
      </c>
      <c r="C24" t="s">
        <v>18</v>
      </c>
      <c r="D24">
        <v>7</v>
      </c>
      <c r="E24">
        <v>4</v>
      </c>
      <c r="F24" t="s">
        <v>15</v>
      </c>
      <c r="G24">
        <v>1</v>
      </c>
      <c r="H24">
        <v>2</v>
      </c>
      <c r="I24" t="s">
        <v>16</v>
      </c>
      <c r="J24">
        <v>11994</v>
      </c>
      <c r="K24">
        <v>0</v>
      </c>
      <c r="L24">
        <v>3</v>
      </c>
      <c r="M24">
        <v>12</v>
      </c>
    </row>
    <row r="25" spans="1:13">
      <c r="A25">
        <v>21</v>
      </c>
      <c r="B25" t="s">
        <v>17</v>
      </c>
      <c r="C25" t="s">
        <v>18</v>
      </c>
      <c r="D25">
        <v>15</v>
      </c>
      <c r="E25">
        <v>2</v>
      </c>
      <c r="F25" t="s">
        <v>15</v>
      </c>
      <c r="G25">
        <v>3</v>
      </c>
      <c r="H25">
        <v>4</v>
      </c>
      <c r="I25" t="s">
        <v>16</v>
      </c>
      <c r="J25">
        <v>1232</v>
      </c>
      <c r="K25">
        <v>1</v>
      </c>
      <c r="L25">
        <v>3</v>
      </c>
      <c r="M25">
        <v>0</v>
      </c>
    </row>
    <row r="26" spans="1:13">
      <c r="A26">
        <v>34</v>
      </c>
      <c r="B26" t="s">
        <v>13</v>
      </c>
      <c r="C26" t="s">
        <v>18</v>
      </c>
      <c r="D26">
        <v>6</v>
      </c>
      <c r="E26">
        <v>1</v>
      </c>
      <c r="F26" t="s">
        <v>21</v>
      </c>
      <c r="G26">
        <v>2</v>
      </c>
      <c r="H26">
        <v>1</v>
      </c>
      <c r="I26" t="s">
        <v>16</v>
      </c>
      <c r="J26">
        <v>2960</v>
      </c>
      <c r="K26">
        <v>2</v>
      </c>
      <c r="L26">
        <v>3</v>
      </c>
      <c r="M26">
        <v>4</v>
      </c>
    </row>
    <row r="27" spans="1:13">
      <c r="A27">
        <v>53</v>
      </c>
      <c r="B27" t="s">
        <v>17</v>
      </c>
      <c r="C27" t="s">
        <v>18</v>
      </c>
      <c r="D27">
        <v>5</v>
      </c>
      <c r="E27">
        <v>3</v>
      </c>
      <c r="F27" t="s">
        <v>20</v>
      </c>
      <c r="G27">
        <v>3</v>
      </c>
      <c r="H27">
        <v>3</v>
      </c>
      <c r="I27" t="s">
        <v>22</v>
      </c>
      <c r="J27">
        <v>19094</v>
      </c>
      <c r="K27">
        <v>4</v>
      </c>
      <c r="L27">
        <v>2</v>
      </c>
      <c r="M27">
        <v>14</v>
      </c>
    </row>
    <row r="28" spans="1:13">
      <c r="A28">
        <v>32</v>
      </c>
      <c r="B28" t="s">
        <v>13</v>
      </c>
      <c r="C28" t="s">
        <v>18</v>
      </c>
      <c r="D28">
        <v>16</v>
      </c>
      <c r="E28">
        <v>1</v>
      </c>
      <c r="F28" t="s">
        <v>15</v>
      </c>
      <c r="G28">
        <v>2</v>
      </c>
      <c r="H28">
        <v>1</v>
      </c>
      <c r="I28" t="s">
        <v>16</v>
      </c>
      <c r="J28">
        <v>3919</v>
      </c>
      <c r="K28">
        <v>1</v>
      </c>
      <c r="L28">
        <v>3</v>
      </c>
      <c r="M28">
        <v>10</v>
      </c>
    </row>
    <row r="29" spans="1:13">
      <c r="A29">
        <v>42</v>
      </c>
      <c r="B29" t="s">
        <v>17</v>
      </c>
      <c r="C29" t="s">
        <v>14</v>
      </c>
      <c r="D29">
        <v>8</v>
      </c>
      <c r="E29">
        <v>4</v>
      </c>
      <c r="F29" t="s">
        <v>23</v>
      </c>
      <c r="G29">
        <v>3</v>
      </c>
      <c r="H29">
        <v>2</v>
      </c>
      <c r="I29" t="s">
        <v>19</v>
      </c>
      <c r="J29">
        <v>6825</v>
      </c>
      <c r="K29">
        <v>0</v>
      </c>
      <c r="L29">
        <v>3</v>
      </c>
      <c r="M29">
        <v>9</v>
      </c>
    </row>
    <row r="30" spans="1:13">
      <c r="A30">
        <v>44</v>
      </c>
      <c r="B30" t="s">
        <v>17</v>
      </c>
      <c r="C30" t="s">
        <v>18</v>
      </c>
      <c r="D30">
        <v>7</v>
      </c>
      <c r="E30">
        <v>4</v>
      </c>
      <c r="F30" t="s">
        <v>21</v>
      </c>
      <c r="G30">
        <v>1</v>
      </c>
      <c r="H30">
        <v>4</v>
      </c>
      <c r="I30" t="s">
        <v>19</v>
      </c>
      <c r="J30">
        <v>10248</v>
      </c>
      <c r="K30">
        <v>3</v>
      </c>
      <c r="L30">
        <v>3</v>
      </c>
      <c r="M30">
        <v>22</v>
      </c>
    </row>
    <row r="31" spans="1:13">
      <c r="A31">
        <v>46</v>
      </c>
      <c r="B31" t="s">
        <v>17</v>
      </c>
      <c r="C31" t="s">
        <v>14</v>
      </c>
      <c r="D31">
        <v>2</v>
      </c>
      <c r="E31">
        <v>4</v>
      </c>
      <c r="F31" t="s">
        <v>23</v>
      </c>
      <c r="G31">
        <v>2</v>
      </c>
      <c r="H31">
        <v>1</v>
      </c>
      <c r="I31" t="s">
        <v>16</v>
      </c>
      <c r="J31">
        <v>18947</v>
      </c>
      <c r="K31">
        <v>3</v>
      </c>
      <c r="L31">
        <v>2</v>
      </c>
      <c r="M31">
        <v>2</v>
      </c>
    </row>
    <row r="32" spans="1:13">
      <c r="A32">
        <v>33</v>
      </c>
      <c r="B32" t="s">
        <v>17</v>
      </c>
      <c r="C32" t="s">
        <v>18</v>
      </c>
      <c r="D32">
        <v>2</v>
      </c>
      <c r="E32">
        <v>3</v>
      </c>
      <c r="F32" t="s">
        <v>21</v>
      </c>
      <c r="G32">
        <v>3</v>
      </c>
      <c r="H32">
        <v>4</v>
      </c>
      <c r="I32" t="s">
        <v>16</v>
      </c>
      <c r="J32">
        <v>2496</v>
      </c>
      <c r="K32">
        <v>4</v>
      </c>
      <c r="L32">
        <v>3</v>
      </c>
      <c r="M32">
        <v>1</v>
      </c>
    </row>
    <row r="33" spans="1:13">
      <c r="A33">
        <v>44</v>
      </c>
      <c r="B33" t="s">
        <v>17</v>
      </c>
      <c r="C33" t="s">
        <v>18</v>
      </c>
      <c r="D33">
        <v>10</v>
      </c>
      <c r="E33">
        <v>4</v>
      </c>
      <c r="F33" t="s">
        <v>20</v>
      </c>
      <c r="G33">
        <v>4</v>
      </c>
      <c r="H33">
        <v>4</v>
      </c>
      <c r="I33" t="s">
        <v>19</v>
      </c>
      <c r="J33">
        <v>6465</v>
      </c>
      <c r="K33">
        <v>2</v>
      </c>
      <c r="L33">
        <v>4</v>
      </c>
      <c r="M33">
        <v>4</v>
      </c>
    </row>
    <row r="34" spans="1:13">
      <c r="A34">
        <v>30</v>
      </c>
      <c r="B34" t="s">
        <v>17</v>
      </c>
      <c r="C34" t="s">
        <v>18</v>
      </c>
      <c r="D34">
        <v>9</v>
      </c>
      <c r="E34">
        <v>2</v>
      </c>
      <c r="F34" t="s">
        <v>21</v>
      </c>
      <c r="G34">
        <v>4</v>
      </c>
      <c r="H34">
        <v>3</v>
      </c>
      <c r="I34" t="s">
        <v>16</v>
      </c>
      <c r="J34">
        <v>2206</v>
      </c>
      <c r="K34">
        <v>1</v>
      </c>
      <c r="L34">
        <v>3</v>
      </c>
      <c r="M34">
        <v>10</v>
      </c>
    </row>
    <row r="35" spans="1:13">
      <c r="A35">
        <v>39</v>
      </c>
      <c r="B35" t="s">
        <v>13</v>
      </c>
      <c r="C35" t="s">
        <v>14</v>
      </c>
      <c r="D35">
        <v>5</v>
      </c>
      <c r="E35">
        <v>3</v>
      </c>
      <c r="F35" t="s">
        <v>24</v>
      </c>
      <c r="G35">
        <v>4</v>
      </c>
      <c r="H35">
        <v>4</v>
      </c>
      <c r="I35" t="s">
        <v>19</v>
      </c>
      <c r="J35">
        <v>2086</v>
      </c>
      <c r="K35">
        <v>3</v>
      </c>
      <c r="L35">
        <v>4</v>
      </c>
      <c r="M35">
        <v>1</v>
      </c>
    </row>
    <row r="36" spans="1:13">
      <c r="A36">
        <v>24</v>
      </c>
      <c r="B36" t="s">
        <v>13</v>
      </c>
      <c r="C36" t="s">
        <v>18</v>
      </c>
      <c r="D36">
        <v>1</v>
      </c>
      <c r="E36">
        <v>3</v>
      </c>
      <c r="F36" t="s">
        <v>21</v>
      </c>
      <c r="G36">
        <v>2</v>
      </c>
      <c r="H36">
        <v>4</v>
      </c>
      <c r="I36" t="s">
        <v>19</v>
      </c>
      <c r="J36">
        <v>2293</v>
      </c>
      <c r="K36">
        <v>2</v>
      </c>
      <c r="L36">
        <v>2</v>
      </c>
      <c r="M36">
        <v>2</v>
      </c>
    </row>
    <row r="37" spans="1:13">
      <c r="A37">
        <v>43</v>
      </c>
      <c r="B37" t="s">
        <v>17</v>
      </c>
      <c r="C37" t="s">
        <v>18</v>
      </c>
      <c r="D37">
        <v>2</v>
      </c>
      <c r="E37">
        <v>2</v>
      </c>
      <c r="F37" t="s">
        <v>21</v>
      </c>
      <c r="G37">
        <v>4</v>
      </c>
      <c r="H37">
        <v>3</v>
      </c>
      <c r="I37" t="s">
        <v>22</v>
      </c>
      <c r="J37">
        <v>2645</v>
      </c>
      <c r="K37">
        <v>1</v>
      </c>
      <c r="L37">
        <v>2</v>
      </c>
      <c r="M37">
        <v>5</v>
      </c>
    </row>
    <row r="38" spans="1:13">
      <c r="A38">
        <v>50</v>
      </c>
      <c r="B38" t="s">
        <v>13</v>
      </c>
      <c r="C38" t="s">
        <v>14</v>
      </c>
      <c r="D38">
        <v>3</v>
      </c>
      <c r="E38">
        <v>2</v>
      </c>
      <c r="F38" t="s">
        <v>23</v>
      </c>
      <c r="G38">
        <v>1</v>
      </c>
      <c r="H38">
        <v>3</v>
      </c>
      <c r="I38" t="s">
        <v>19</v>
      </c>
      <c r="J38">
        <v>2683</v>
      </c>
      <c r="K38">
        <v>1</v>
      </c>
      <c r="L38">
        <v>3</v>
      </c>
      <c r="M38">
        <v>3</v>
      </c>
    </row>
    <row r="39" spans="1:13">
      <c r="A39">
        <v>35</v>
      </c>
      <c r="B39" t="s">
        <v>17</v>
      </c>
      <c r="C39" t="s">
        <v>14</v>
      </c>
      <c r="D39">
        <v>2</v>
      </c>
      <c r="E39">
        <v>3</v>
      </c>
      <c r="F39" t="s">
        <v>23</v>
      </c>
      <c r="G39">
        <v>4</v>
      </c>
      <c r="H39">
        <v>4</v>
      </c>
      <c r="I39" t="s">
        <v>19</v>
      </c>
      <c r="J39">
        <v>2014</v>
      </c>
      <c r="K39">
        <v>1</v>
      </c>
      <c r="L39">
        <v>3</v>
      </c>
      <c r="M39">
        <v>2</v>
      </c>
    </row>
    <row r="40" spans="1:13">
      <c r="A40">
        <v>36</v>
      </c>
      <c r="B40" t="s">
        <v>17</v>
      </c>
      <c r="C40" t="s">
        <v>18</v>
      </c>
      <c r="D40">
        <v>5</v>
      </c>
      <c r="E40">
        <v>4</v>
      </c>
      <c r="F40" t="s">
        <v>15</v>
      </c>
      <c r="G40">
        <v>2</v>
      </c>
      <c r="H40">
        <v>1</v>
      </c>
      <c r="I40" t="s">
        <v>19</v>
      </c>
      <c r="J40">
        <v>3419</v>
      </c>
      <c r="K40">
        <v>9</v>
      </c>
      <c r="L40">
        <v>4</v>
      </c>
      <c r="M40">
        <v>1</v>
      </c>
    </row>
    <row r="41" spans="1:13">
      <c r="A41">
        <v>33</v>
      </c>
      <c r="B41" t="s">
        <v>17</v>
      </c>
      <c r="C41" t="s">
        <v>14</v>
      </c>
      <c r="D41">
        <v>1</v>
      </c>
      <c r="E41">
        <v>3</v>
      </c>
      <c r="F41" t="s">
        <v>15</v>
      </c>
      <c r="G41">
        <v>3</v>
      </c>
      <c r="H41">
        <v>1</v>
      </c>
      <c r="I41" t="s">
        <v>19</v>
      </c>
      <c r="J41">
        <v>5376</v>
      </c>
      <c r="K41">
        <v>2</v>
      </c>
      <c r="L41">
        <v>3</v>
      </c>
      <c r="M41">
        <v>5</v>
      </c>
    </row>
    <row r="42" spans="1:13">
      <c r="A42">
        <v>35</v>
      </c>
      <c r="B42" t="s">
        <v>17</v>
      </c>
      <c r="C42" t="s">
        <v>18</v>
      </c>
      <c r="D42">
        <v>4</v>
      </c>
      <c r="E42">
        <v>2</v>
      </c>
      <c r="F42" t="s">
        <v>20</v>
      </c>
      <c r="G42">
        <v>3</v>
      </c>
      <c r="H42">
        <v>4</v>
      </c>
      <c r="I42" t="s">
        <v>22</v>
      </c>
      <c r="J42">
        <v>1951</v>
      </c>
      <c r="K42">
        <v>1</v>
      </c>
      <c r="L42">
        <v>3</v>
      </c>
      <c r="M42">
        <v>1</v>
      </c>
    </row>
    <row r="43" spans="1:13">
      <c r="A43">
        <v>27</v>
      </c>
      <c r="B43" t="s">
        <v>17</v>
      </c>
      <c r="C43" t="s">
        <v>18</v>
      </c>
      <c r="D43">
        <v>2</v>
      </c>
      <c r="E43">
        <v>4</v>
      </c>
      <c r="F43" t="s">
        <v>15</v>
      </c>
      <c r="G43">
        <v>4</v>
      </c>
      <c r="H43">
        <v>1</v>
      </c>
      <c r="I43" t="s">
        <v>22</v>
      </c>
      <c r="J43">
        <v>2341</v>
      </c>
      <c r="K43">
        <v>1</v>
      </c>
      <c r="L43">
        <v>3</v>
      </c>
      <c r="M43">
        <v>1</v>
      </c>
    </row>
    <row r="44" spans="1:13">
      <c r="A44">
        <v>26</v>
      </c>
      <c r="B44" t="s">
        <v>13</v>
      </c>
      <c r="C44" t="s">
        <v>18</v>
      </c>
      <c r="D44">
        <v>25</v>
      </c>
      <c r="E44">
        <v>3</v>
      </c>
      <c r="F44" t="s">
        <v>15</v>
      </c>
      <c r="G44">
        <v>1</v>
      </c>
      <c r="H44">
        <v>3</v>
      </c>
      <c r="I44" t="s">
        <v>16</v>
      </c>
      <c r="J44">
        <v>2293</v>
      </c>
      <c r="K44">
        <v>1</v>
      </c>
      <c r="L44">
        <v>2</v>
      </c>
      <c r="M44">
        <v>1</v>
      </c>
    </row>
    <row r="45" spans="1:13">
      <c r="A45">
        <v>27</v>
      </c>
      <c r="B45" t="s">
        <v>17</v>
      </c>
      <c r="C45" t="s">
        <v>14</v>
      </c>
      <c r="D45">
        <v>8</v>
      </c>
      <c r="E45">
        <v>3</v>
      </c>
      <c r="F45" t="s">
        <v>15</v>
      </c>
      <c r="G45">
        <v>4</v>
      </c>
      <c r="H45">
        <v>3</v>
      </c>
      <c r="I45" t="s">
        <v>16</v>
      </c>
      <c r="J45">
        <v>8726</v>
      </c>
      <c r="K45">
        <v>1</v>
      </c>
      <c r="L45">
        <v>3</v>
      </c>
      <c r="M45">
        <v>9</v>
      </c>
    </row>
    <row r="46" spans="1:13">
      <c r="A46">
        <v>30</v>
      </c>
      <c r="B46" t="s">
        <v>17</v>
      </c>
      <c r="C46" t="s">
        <v>18</v>
      </c>
      <c r="D46">
        <v>1</v>
      </c>
      <c r="E46">
        <v>2</v>
      </c>
      <c r="F46" t="s">
        <v>21</v>
      </c>
      <c r="G46">
        <v>3</v>
      </c>
      <c r="H46">
        <v>4</v>
      </c>
      <c r="I46" t="s">
        <v>16</v>
      </c>
      <c r="J46">
        <v>4011</v>
      </c>
      <c r="K46">
        <v>1</v>
      </c>
      <c r="L46">
        <v>3</v>
      </c>
      <c r="M46">
        <v>12</v>
      </c>
    </row>
    <row r="47" spans="1:13">
      <c r="A47">
        <v>41</v>
      </c>
      <c r="B47" t="s">
        <v>13</v>
      </c>
      <c r="C47" t="s">
        <v>18</v>
      </c>
      <c r="D47">
        <v>12</v>
      </c>
      <c r="E47">
        <v>3</v>
      </c>
      <c r="F47" t="s">
        <v>24</v>
      </c>
      <c r="G47">
        <v>2</v>
      </c>
      <c r="H47">
        <v>3</v>
      </c>
      <c r="I47" t="s">
        <v>19</v>
      </c>
      <c r="J47">
        <v>19545</v>
      </c>
      <c r="K47">
        <v>1</v>
      </c>
      <c r="L47">
        <v>3</v>
      </c>
      <c r="M47">
        <v>22</v>
      </c>
    </row>
    <row r="48" spans="1:13">
      <c r="A48">
        <v>34</v>
      </c>
      <c r="B48" t="s">
        <v>17</v>
      </c>
      <c r="C48" t="s">
        <v>14</v>
      </c>
      <c r="D48">
        <v>23</v>
      </c>
      <c r="E48">
        <v>4</v>
      </c>
      <c r="F48" t="s">
        <v>23</v>
      </c>
      <c r="G48">
        <v>2</v>
      </c>
      <c r="H48">
        <v>3</v>
      </c>
      <c r="I48" t="s">
        <v>16</v>
      </c>
      <c r="J48">
        <v>4568</v>
      </c>
      <c r="K48">
        <v>0</v>
      </c>
      <c r="L48">
        <v>3</v>
      </c>
      <c r="M48">
        <v>9</v>
      </c>
    </row>
    <row r="49" spans="1:13">
      <c r="A49">
        <v>37</v>
      </c>
      <c r="B49" t="s">
        <v>17</v>
      </c>
      <c r="C49" t="s">
        <v>18</v>
      </c>
      <c r="D49">
        <v>19</v>
      </c>
      <c r="E49">
        <v>2</v>
      </c>
      <c r="F49" t="s">
        <v>15</v>
      </c>
      <c r="G49">
        <v>2</v>
      </c>
      <c r="H49">
        <v>2</v>
      </c>
      <c r="I49" t="s">
        <v>19</v>
      </c>
      <c r="J49">
        <v>3022</v>
      </c>
      <c r="K49">
        <v>4</v>
      </c>
      <c r="L49">
        <v>3</v>
      </c>
      <c r="M49">
        <v>1</v>
      </c>
    </row>
    <row r="50" spans="1:13">
      <c r="A50">
        <v>46</v>
      </c>
      <c r="B50" t="s">
        <v>17</v>
      </c>
      <c r="C50" t="s">
        <v>14</v>
      </c>
      <c r="D50">
        <v>5</v>
      </c>
      <c r="E50">
        <v>4</v>
      </c>
      <c r="F50" t="s">
        <v>23</v>
      </c>
      <c r="G50">
        <v>1</v>
      </c>
      <c r="H50">
        <v>4</v>
      </c>
      <c r="I50" t="s">
        <v>16</v>
      </c>
      <c r="J50">
        <v>5772</v>
      </c>
      <c r="K50">
        <v>4</v>
      </c>
      <c r="L50">
        <v>3</v>
      </c>
      <c r="M50">
        <v>9</v>
      </c>
    </row>
    <row r="51" spans="1:13">
      <c r="A51">
        <v>35</v>
      </c>
      <c r="B51" t="s">
        <v>17</v>
      </c>
      <c r="C51" t="s">
        <v>18</v>
      </c>
      <c r="D51">
        <v>8</v>
      </c>
      <c r="E51">
        <v>1</v>
      </c>
      <c r="F51" t="s">
        <v>15</v>
      </c>
      <c r="G51">
        <v>4</v>
      </c>
      <c r="H51">
        <v>4</v>
      </c>
      <c r="I51" t="s">
        <v>19</v>
      </c>
      <c r="J51">
        <v>2269</v>
      </c>
      <c r="K51">
        <v>1</v>
      </c>
      <c r="L51">
        <v>3</v>
      </c>
      <c r="M51">
        <v>1</v>
      </c>
    </row>
    <row r="52" spans="1:13">
      <c r="A52">
        <v>48</v>
      </c>
      <c r="B52" t="s">
        <v>13</v>
      </c>
      <c r="C52" t="s">
        <v>18</v>
      </c>
      <c r="D52">
        <v>1</v>
      </c>
      <c r="E52">
        <v>2</v>
      </c>
      <c r="F52" t="s">
        <v>15</v>
      </c>
      <c r="G52">
        <v>1</v>
      </c>
      <c r="H52">
        <v>3</v>
      </c>
      <c r="I52" t="s">
        <v>16</v>
      </c>
      <c r="J52">
        <v>5381</v>
      </c>
      <c r="K52">
        <v>9</v>
      </c>
      <c r="L52">
        <v>3</v>
      </c>
      <c r="M52">
        <v>1</v>
      </c>
    </row>
    <row r="53" spans="1:13">
      <c r="A53">
        <v>28</v>
      </c>
      <c r="B53" t="s">
        <v>13</v>
      </c>
      <c r="C53" t="s">
        <v>18</v>
      </c>
      <c r="D53">
        <v>5</v>
      </c>
      <c r="E53">
        <v>4</v>
      </c>
      <c r="F53" t="s">
        <v>24</v>
      </c>
      <c r="G53">
        <v>3</v>
      </c>
      <c r="H53">
        <v>3</v>
      </c>
      <c r="I53" t="s">
        <v>16</v>
      </c>
      <c r="J53">
        <v>3441</v>
      </c>
      <c r="K53">
        <v>1</v>
      </c>
      <c r="L53">
        <v>2</v>
      </c>
      <c r="M53">
        <v>2</v>
      </c>
    </row>
    <row r="54" spans="1:13">
      <c r="A54">
        <v>44</v>
      </c>
      <c r="B54" t="s">
        <v>17</v>
      </c>
      <c r="C54" t="s">
        <v>14</v>
      </c>
      <c r="D54">
        <v>1</v>
      </c>
      <c r="E54">
        <v>5</v>
      </c>
      <c r="F54" t="s">
        <v>23</v>
      </c>
      <c r="G54">
        <v>2</v>
      </c>
      <c r="H54">
        <v>1</v>
      </c>
      <c r="I54" t="s">
        <v>22</v>
      </c>
      <c r="J54">
        <v>5454</v>
      </c>
      <c r="K54">
        <v>5</v>
      </c>
      <c r="L54">
        <v>2</v>
      </c>
      <c r="M54">
        <v>4</v>
      </c>
    </row>
    <row r="55" spans="1:13">
      <c r="A55">
        <v>35</v>
      </c>
      <c r="B55" t="s">
        <v>17</v>
      </c>
      <c r="C55" t="s">
        <v>18</v>
      </c>
      <c r="D55">
        <v>11</v>
      </c>
      <c r="E55">
        <v>2</v>
      </c>
      <c r="F55" t="s">
        <v>21</v>
      </c>
      <c r="G55">
        <v>3</v>
      </c>
      <c r="H55">
        <v>1</v>
      </c>
      <c r="I55" t="s">
        <v>19</v>
      </c>
      <c r="J55">
        <v>9884</v>
      </c>
      <c r="K55">
        <v>2</v>
      </c>
      <c r="L55">
        <v>3</v>
      </c>
      <c r="M55">
        <v>4</v>
      </c>
    </row>
    <row r="56" spans="1:13">
      <c r="A56">
        <v>26</v>
      </c>
      <c r="B56" t="s">
        <v>17</v>
      </c>
      <c r="C56" t="s">
        <v>14</v>
      </c>
      <c r="D56">
        <v>23</v>
      </c>
      <c r="E56">
        <v>3</v>
      </c>
      <c r="F56" t="s">
        <v>23</v>
      </c>
      <c r="G56">
        <v>3</v>
      </c>
      <c r="H56">
        <v>4</v>
      </c>
      <c r="I56" t="s">
        <v>19</v>
      </c>
      <c r="J56">
        <v>4157</v>
      </c>
      <c r="K56">
        <v>7</v>
      </c>
      <c r="L56">
        <v>2</v>
      </c>
      <c r="M56">
        <v>2</v>
      </c>
    </row>
    <row r="57" spans="1:13">
      <c r="A57">
        <v>33</v>
      </c>
      <c r="B57" t="s">
        <v>17</v>
      </c>
      <c r="C57" t="s">
        <v>18</v>
      </c>
      <c r="D57">
        <v>1</v>
      </c>
      <c r="E57">
        <v>2</v>
      </c>
      <c r="F57" t="s">
        <v>15</v>
      </c>
      <c r="G57">
        <v>1</v>
      </c>
      <c r="H57">
        <v>4</v>
      </c>
      <c r="I57" t="s">
        <v>16</v>
      </c>
      <c r="J57">
        <v>13458</v>
      </c>
      <c r="K57">
        <v>1</v>
      </c>
      <c r="L57">
        <v>3</v>
      </c>
      <c r="M57">
        <v>15</v>
      </c>
    </row>
    <row r="58" spans="1:13">
      <c r="A58">
        <v>35</v>
      </c>
      <c r="B58" t="s">
        <v>17</v>
      </c>
      <c r="C58" t="s">
        <v>14</v>
      </c>
      <c r="D58">
        <v>18</v>
      </c>
      <c r="E58">
        <v>5</v>
      </c>
      <c r="F58" t="s">
        <v>15</v>
      </c>
      <c r="G58">
        <v>2</v>
      </c>
      <c r="H58">
        <v>1</v>
      </c>
      <c r="I58" t="s">
        <v>19</v>
      </c>
      <c r="J58">
        <v>9069</v>
      </c>
      <c r="K58">
        <v>1</v>
      </c>
      <c r="L58">
        <v>2</v>
      </c>
      <c r="M58">
        <v>9</v>
      </c>
    </row>
    <row r="59" spans="1:13">
      <c r="A59">
        <v>35</v>
      </c>
      <c r="B59" t="s">
        <v>17</v>
      </c>
      <c r="C59" t="s">
        <v>18</v>
      </c>
      <c r="D59">
        <v>23</v>
      </c>
      <c r="E59">
        <v>4</v>
      </c>
      <c r="F59" t="s">
        <v>21</v>
      </c>
      <c r="G59">
        <v>3</v>
      </c>
      <c r="H59">
        <v>1</v>
      </c>
      <c r="I59" t="s">
        <v>19</v>
      </c>
      <c r="J59">
        <v>4014</v>
      </c>
      <c r="K59">
        <v>3</v>
      </c>
      <c r="L59">
        <v>3</v>
      </c>
      <c r="M59">
        <v>2</v>
      </c>
    </row>
    <row r="60" spans="1:13">
      <c r="A60">
        <v>31</v>
      </c>
      <c r="B60" t="s">
        <v>17</v>
      </c>
      <c r="C60" t="s">
        <v>18</v>
      </c>
      <c r="D60">
        <v>7</v>
      </c>
      <c r="E60">
        <v>4</v>
      </c>
      <c r="F60" t="s">
        <v>15</v>
      </c>
      <c r="G60">
        <v>4</v>
      </c>
      <c r="H60">
        <v>4</v>
      </c>
      <c r="I60" t="s">
        <v>22</v>
      </c>
      <c r="J60">
        <v>5915</v>
      </c>
      <c r="K60">
        <v>3</v>
      </c>
      <c r="L60">
        <v>2</v>
      </c>
      <c r="M60">
        <v>7</v>
      </c>
    </row>
    <row r="61" spans="1:13">
      <c r="A61">
        <v>37</v>
      </c>
      <c r="B61" t="s">
        <v>17</v>
      </c>
      <c r="C61" t="s">
        <v>18</v>
      </c>
      <c r="D61">
        <v>1</v>
      </c>
      <c r="E61">
        <v>4</v>
      </c>
      <c r="F61" t="s">
        <v>15</v>
      </c>
      <c r="G61">
        <v>1</v>
      </c>
      <c r="H61">
        <v>3</v>
      </c>
      <c r="I61" t="s">
        <v>22</v>
      </c>
      <c r="J61">
        <v>5993</v>
      </c>
      <c r="K61">
        <v>1</v>
      </c>
      <c r="L61">
        <v>4</v>
      </c>
      <c r="M61">
        <v>7</v>
      </c>
    </row>
    <row r="62" spans="1:13">
      <c r="A62">
        <v>32</v>
      </c>
      <c r="B62" t="s">
        <v>17</v>
      </c>
      <c r="C62" t="s">
        <v>18</v>
      </c>
      <c r="D62">
        <v>1</v>
      </c>
      <c r="E62">
        <v>3</v>
      </c>
      <c r="F62" t="s">
        <v>21</v>
      </c>
      <c r="G62">
        <v>1</v>
      </c>
      <c r="H62">
        <v>4</v>
      </c>
      <c r="I62" t="s">
        <v>19</v>
      </c>
      <c r="J62">
        <v>6162</v>
      </c>
      <c r="K62">
        <v>1</v>
      </c>
      <c r="L62">
        <v>3</v>
      </c>
      <c r="M62">
        <v>9</v>
      </c>
    </row>
    <row r="63" spans="1:13">
      <c r="A63">
        <v>38</v>
      </c>
      <c r="B63" t="s">
        <v>17</v>
      </c>
      <c r="C63" t="s">
        <v>18</v>
      </c>
      <c r="D63">
        <v>29</v>
      </c>
      <c r="E63">
        <v>5</v>
      </c>
      <c r="F63" t="s">
        <v>15</v>
      </c>
      <c r="G63">
        <v>4</v>
      </c>
      <c r="H63">
        <v>4</v>
      </c>
      <c r="I63" t="s">
        <v>16</v>
      </c>
      <c r="J63">
        <v>2406</v>
      </c>
      <c r="K63">
        <v>1</v>
      </c>
      <c r="L63">
        <v>3</v>
      </c>
      <c r="M63">
        <v>10</v>
      </c>
    </row>
    <row r="64" spans="1:13">
      <c r="A64">
        <v>50</v>
      </c>
      <c r="B64" t="s">
        <v>17</v>
      </c>
      <c r="C64" t="s">
        <v>18</v>
      </c>
      <c r="D64">
        <v>7</v>
      </c>
      <c r="E64">
        <v>2</v>
      </c>
      <c r="F64" t="s">
        <v>21</v>
      </c>
      <c r="G64">
        <v>2</v>
      </c>
      <c r="H64">
        <v>3</v>
      </c>
      <c r="I64" t="s">
        <v>22</v>
      </c>
      <c r="J64">
        <v>18740</v>
      </c>
      <c r="K64">
        <v>5</v>
      </c>
      <c r="L64">
        <v>2</v>
      </c>
      <c r="M64">
        <v>27</v>
      </c>
    </row>
    <row r="65" spans="1:13">
      <c r="A65">
        <v>59</v>
      </c>
      <c r="B65" t="s">
        <v>17</v>
      </c>
      <c r="C65" t="s">
        <v>14</v>
      </c>
      <c r="D65">
        <v>25</v>
      </c>
      <c r="E65">
        <v>3</v>
      </c>
      <c r="F65" t="s">
        <v>15</v>
      </c>
      <c r="G65">
        <v>1</v>
      </c>
      <c r="H65">
        <v>1</v>
      </c>
      <c r="I65" t="s">
        <v>16</v>
      </c>
      <c r="J65">
        <v>7637</v>
      </c>
      <c r="K65">
        <v>7</v>
      </c>
      <c r="L65">
        <v>2</v>
      </c>
      <c r="M65">
        <v>21</v>
      </c>
    </row>
    <row r="66" spans="1:13">
      <c r="A66">
        <v>36</v>
      </c>
      <c r="B66" t="s">
        <v>17</v>
      </c>
      <c r="C66" t="s">
        <v>18</v>
      </c>
      <c r="D66">
        <v>8</v>
      </c>
      <c r="E66">
        <v>3</v>
      </c>
      <c r="F66" t="s">
        <v>24</v>
      </c>
      <c r="G66">
        <v>3</v>
      </c>
      <c r="H66">
        <v>3</v>
      </c>
      <c r="I66" t="s">
        <v>22</v>
      </c>
      <c r="J66">
        <v>10096</v>
      </c>
      <c r="K66">
        <v>1</v>
      </c>
      <c r="L66">
        <v>3</v>
      </c>
      <c r="M66">
        <v>17</v>
      </c>
    </row>
    <row r="67" spans="1:13">
      <c r="A67">
        <v>55</v>
      </c>
      <c r="B67" t="s">
        <v>17</v>
      </c>
      <c r="C67" t="s">
        <v>18</v>
      </c>
      <c r="D67">
        <v>8</v>
      </c>
      <c r="E67">
        <v>3</v>
      </c>
      <c r="F67" t="s">
        <v>21</v>
      </c>
      <c r="G67">
        <v>4</v>
      </c>
      <c r="H67">
        <v>3</v>
      </c>
      <c r="I67" t="s">
        <v>22</v>
      </c>
      <c r="J67">
        <v>14756</v>
      </c>
      <c r="K67">
        <v>2</v>
      </c>
      <c r="L67">
        <v>3</v>
      </c>
      <c r="M67">
        <v>5</v>
      </c>
    </row>
    <row r="68" spans="1:13">
      <c r="A68">
        <v>36</v>
      </c>
      <c r="B68" t="s">
        <v>17</v>
      </c>
      <c r="C68" t="s">
        <v>18</v>
      </c>
      <c r="D68">
        <v>11</v>
      </c>
      <c r="E68">
        <v>3</v>
      </c>
      <c r="F68" t="s">
        <v>15</v>
      </c>
      <c r="G68">
        <v>2</v>
      </c>
      <c r="H68">
        <v>2</v>
      </c>
      <c r="I68" t="s">
        <v>16</v>
      </c>
      <c r="J68">
        <v>6499</v>
      </c>
      <c r="K68">
        <v>1</v>
      </c>
      <c r="L68">
        <v>3</v>
      </c>
      <c r="M68">
        <v>6</v>
      </c>
    </row>
    <row r="69" spans="1:13">
      <c r="A69">
        <v>45</v>
      </c>
      <c r="B69" t="s">
        <v>17</v>
      </c>
      <c r="C69" t="s">
        <v>18</v>
      </c>
      <c r="D69">
        <v>7</v>
      </c>
      <c r="E69">
        <v>3</v>
      </c>
      <c r="F69" t="s">
        <v>15</v>
      </c>
      <c r="G69">
        <v>2</v>
      </c>
      <c r="H69">
        <v>1</v>
      </c>
      <c r="I69" t="s">
        <v>22</v>
      </c>
      <c r="J69">
        <v>9724</v>
      </c>
      <c r="K69">
        <v>2</v>
      </c>
      <c r="L69">
        <v>3</v>
      </c>
      <c r="M69">
        <v>1</v>
      </c>
    </row>
    <row r="70" spans="1:13">
      <c r="A70">
        <v>35</v>
      </c>
      <c r="B70" t="s">
        <v>17</v>
      </c>
      <c r="C70" t="s">
        <v>18</v>
      </c>
      <c r="D70">
        <v>1</v>
      </c>
      <c r="E70">
        <v>3</v>
      </c>
      <c r="F70" t="s">
        <v>21</v>
      </c>
      <c r="G70">
        <v>2</v>
      </c>
      <c r="H70">
        <v>1</v>
      </c>
      <c r="I70" t="s">
        <v>19</v>
      </c>
      <c r="J70">
        <v>2194</v>
      </c>
      <c r="K70">
        <v>4</v>
      </c>
      <c r="L70">
        <v>2</v>
      </c>
      <c r="M70">
        <v>3</v>
      </c>
    </row>
    <row r="71" spans="1:13">
      <c r="A71">
        <v>36</v>
      </c>
      <c r="B71" t="s">
        <v>13</v>
      </c>
      <c r="C71" t="s">
        <v>18</v>
      </c>
      <c r="D71">
        <v>9</v>
      </c>
      <c r="E71">
        <v>3</v>
      </c>
      <c r="F71" t="s">
        <v>21</v>
      </c>
      <c r="G71">
        <v>4</v>
      </c>
      <c r="H71">
        <v>3</v>
      </c>
      <c r="I71" t="s">
        <v>19</v>
      </c>
      <c r="J71">
        <v>3388</v>
      </c>
      <c r="K71">
        <v>0</v>
      </c>
      <c r="L71">
        <v>2</v>
      </c>
      <c r="M71">
        <v>1</v>
      </c>
    </row>
    <row r="72" spans="1:13">
      <c r="A72">
        <v>59</v>
      </c>
      <c r="B72" t="s">
        <v>17</v>
      </c>
      <c r="C72" t="s">
        <v>14</v>
      </c>
      <c r="D72">
        <v>1</v>
      </c>
      <c r="E72">
        <v>1</v>
      </c>
      <c r="F72" t="s">
        <v>15</v>
      </c>
      <c r="G72">
        <v>1</v>
      </c>
      <c r="H72">
        <v>3</v>
      </c>
      <c r="I72" t="s">
        <v>16</v>
      </c>
      <c r="J72">
        <v>5473</v>
      </c>
      <c r="K72">
        <v>7</v>
      </c>
      <c r="L72">
        <v>2</v>
      </c>
      <c r="M72">
        <v>4</v>
      </c>
    </row>
    <row r="73" spans="1:13">
      <c r="A73">
        <v>29</v>
      </c>
      <c r="B73" t="s">
        <v>17</v>
      </c>
      <c r="C73" t="s">
        <v>18</v>
      </c>
      <c r="D73">
        <v>2</v>
      </c>
      <c r="E73">
        <v>3</v>
      </c>
      <c r="F73" t="s">
        <v>15</v>
      </c>
      <c r="G73">
        <v>3</v>
      </c>
      <c r="H73">
        <v>2</v>
      </c>
      <c r="I73" t="s">
        <v>19</v>
      </c>
      <c r="J73">
        <v>2703</v>
      </c>
      <c r="K73">
        <v>0</v>
      </c>
      <c r="L73">
        <v>3</v>
      </c>
      <c r="M73">
        <v>5</v>
      </c>
    </row>
    <row r="74" spans="1:13">
      <c r="A74">
        <v>31</v>
      </c>
      <c r="B74" t="s">
        <v>17</v>
      </c>
      <c r="C74" t="s">
        <v>18</v>
      </c>
      <c r="D74">
        <v>1</v>
      </c>
      <c r="E74">
        <v>4</v>
      </c>
      <c r="F74" t="s">
        <v>21</v>
      </c>
      <c r="G74">
        <v>3</v>
      </c>
      <c r="H74">
        <v>2</v>
      </c>
      <c r="I74" t="s">
        <v>16</v>
      </c>
      <c r="J74">
        <v>2501</v>
      </c>
      <c r="K74">
        <v>1</v>
      </c>
      <c r="L74">
        <v>3</v>
      </c>
      <c r="M74">
        <v>1</v>
      </c>
    </row>
    <row r="75" spans="1:13">
      <c r="A75">
        <v>32</v>
      </c>
      <c r="B75" t="s">
        <v>17</v>
      </c>
      <c r="C75" t="s">
        <v>18</v>
      </c>
      <c r="D75">
        <v>1</v>
      </c>
      <c r="E75">
        <v>3</v>
      </c>
      <c r="F75" t="s">
        <v>15</v>
      </c>
      <c r="G75">
        <v>2</v>
      </c>
      <c r="H75">
        <v>2</v>
      </c>
      <c r="I75" t="s">
        <v>19</v>
      </c>
      <c r="J75">
        <v>6220</v>
      </c>
      <c r="K75">
        <v>1</v>
      </c>
      <c r="L75">
        <v>3</v>
      </c>
      <c r="M75">
        <v>10</v>
      </c>
    </row>
    <row r="76" spans="1:13">
      <c r="A76">
        <v>36</v>
      </c>
      <c r="B76" t="s">
        <v>17</v>
      </c>
      <c r="C76" t="s">
        <v>18</v>
      </c>
      <c r="D76">
        <v>6</v>
      </c>
      <c r="E76">
        <v>3</v>
      </c>
      <c r="F76" t="s">
        <v>15</v>
      </c>
      <c r="G76">
        <v>2</v>
      </c>
      <c r="H76">
        <v>4</v>
      </c>
      <c r="I76" t="s">
        <v>19</v>
      </c>
      <c r="J76">
        <v>3038</v>
      </c>
      <c r="K76">
        <v>3</v>
      </c>
      <c r="L76">
        <v>3</v>
      </c>
      <c r="M76">
        <v>1</v>
      </c>
    </row>
    <row r="77" spans="1:13">
      <c r="A77">
        <v>31</v>
      </c>
      <c r="B77" t="s">
        <v>17</v>
      </c>
      <c r="C77" t="s">
        <v>18</v>
      </c>
      <c r="D77">
        <v>8</v>
      </c>
      <c r="E77">
        <v>4</v>
      </c>
      <c r="F77" t="s">
        <v>15</v>
      </c>
      <c r="G77">
        <v>3</v>
      </c>
      <c r="H77">
        <v>4</v>
      </c>
      <c r="I77" t="s">
        <v>16</v>
      </c>
      <c r="J77">
        <v>4424</v>
      </c>
      <c r="K77">
        <v>1</v>
      </c>
      <c r="L77">
        <v>3</v>
      </c>
      <c r="M77">
        <v>11</v>
      </c>
    </row>
    <row r="78" spans="1:13">
      <c r="A78">
        <v>35</v>
      </c>
      <c r="B78" t="s">
        <v>17</v>
      </c>
      <c r="C78" t="s">
        <v>14</v>
      </c>
      <c r="D78">
        <v>1</v>
      </c>
      <c r="E78">
        <v>4</v>
      </c>
      <c r="F78" t="s">
        <v>23</v>
      </c>
      <c r="G78">
        <v>3</v>
      </c>
      <c r="H78">
        <v>1</v>
      </c>
      <c r="I78" t="s">
        <v>16</v>
      </c>
      <c r="J78">
        <v>4312</v>
      </c>
      <c r="K78">
        <v>0</v>
      </c>
      <c r="L78">
        <v>3</v>
      </c>
      <c r="M78">
        <v>15</v>
      </c>
    </row>
    <row r="79" spans="1:13">
      <c r="A79">
        <v>45</v>
      </c>
      <c r="B79" t="s">
        <v>17</v>
      </c>
      <c r="C79" t="s">
        <v>18</v>
      </c>
      <c r="D79">
        <v>6</v>
      </c>
      <c r="E79">
        <v>4</v>
      </c>
      <c r="F79" t="s">
        <v>20</v>
      </c>
      <c r="G79">
        <v>4</v>
      </c>
      <c r="H79">
        <v>1</v>
      </c>
      <c r="I79" t="s">
        <v>19</v>
      </c>
      <c r="J79">
        <v>13245</v>
      </c>
      <c r="K79">
        <v>4</v>
      </c>
      <c r="L79">
        <v>4</v>
      </c>
      <c r="M79">
        <v>0</v>
      </c>
    </row>
    <row r="80" spans="1:13">
      <c r="A80">
        <v>37</v>
      </c>
      <c r="B80" t="s">
        <v>17</v>
      </c>
      <c r="C80" t="s">
        <v>18</v>
      </c>
      <c r="D80">
        <v>7</v>
      </c>
      <c r="E80">
        <v>4</v>
      </c>
      <c r="F80" t="s">
        <v>21</v>
      </c>
      <c r="G80">
        <v>1</v>
      </c>
      <c r="H80">
        <v>3</v>
      </c>
      <c r="I80" t="s">
        <v>16</v>
      </c>
      <c r="J80">
        <v>13664</v>
      </c>
      <c r="K80">
        <v>4</v>
      </c>
      <c r="L80">
        <v>4</v>
      </c>
      <c r="M80">
        <v>5</v>
      </c>
    </row>
    <row r="81" spans="1:13">
      <c r="A81">
        <v>46</v>
      </c>
      <c r="B81" t="s">
        <v>17</v>
      </c>
      <c r="C81" t="s">
        <v>25</v>
      </c>
      <c r="D81">
        <v>5</v>
      </c>
      <c r="E81">
        <v>2</v>
      </c>
      <c r="F81" t="s">
        <v>21</v>
      </c>
      <c r="G81">
        <v>2</v>
      </c>
      <c r="H81">
        <v>2</v>
      </c>
      <c r="I81" t="s">
        <v>22</v>
      </c>
      <c r="J81">
        <v>5021</v>
      </c>
      <c r="K81">
        <v>8</v>
      </c>
      <c r="L81">
        <v>3</v>
      </c>
      <c r="M81">
        <v>4</v>
      </c>
    </row>
    <row r="82" spans="1:13">
      <c r="A82">
        <v>30</v>
      </c>
      <c r="B82" t="s">
        <v>17</v>
      </c>
      <c r="C82" t="s">
        <v>18</v>
      </c>
      <c r="D82">
        <v>1</v>
      </c>
      <c r="E82">
        <v>1</v>
      </c>
      <c r="F82" t="s">
        <v>15</v>
      </c>
      <c r="G82">
        <v>4</v>
      </c>
      <c r="H82">
        <v>4</v>
      </c>
      <c r="I82" t="s">
        <v>19</v>
      </c>
      <c r="J82">
        <v>5126</v>
      </c>
      <c r="K82">
        <v>1</v>
      </c>
      <c r="L82">
        <v>2</v>
      </c>
      <c r="M82">
        <v>10</v>
      </c>
    </row>
    <row r="83" spans="1:13">
      <c r="A83">
        <v>35</v>
      </c>
      <c r="B83" t="s">
        <v>17</v>
      </c>
      <c r="C83" t="s">
        <v>18</v>
      </c>
      <c r="D83">
        <v>1</v>
      </c>
      <c r="E83">
        <v>3</v>
      </c>
      <c r="F83" t="s">
        <v>21</v>
      </c>
      <c r="G83">
        <v>2</v>
      </c>
      <c r="H83">
        <v>3</v>
      </c>
      <c r="I83" t="s">
        <v>16</v>
      </c>
      <c r="J83">
        <v>2859</v>
      </c>
      <c r="K83">
        <v>1</v>
      </c>
      <c r="L83">
        <v>3</v>
      </c>
      <c r="M83">
        <v>6</v>
      </c>
    </row>
    <row r="84" spans="1:13">
      <c r="A84">
        <v>55</v>
      </c>
      <c r="B84" t="s">
        <v>17</v>
      </c>
      <c r="C84" t="s">
        <v>14</v>
      </c>
      <c r="D84">
        <v>1</v>
      </c>
      <c r="E84">
        <v>2</v>
      </c>
      <c r="F84" t="s">
        <v>15</v>
      </c>
      <c r="G84">
        <v>1</v>
      </c>
      <c r="H84">
        <v>4</v>
      </c>
      <c r="I84" t="s">
        <v>19</v>
      </c>
      <c r="J84">
        <v>10239</v>
      </c>
      <c r="K84">
        <v>3</v>
      </c>
      <c r="L84">
        <v>3</v>
      </c>
      <c r="M84">
        <v>1</v>
      </c>
    </row>
    <row r="85" spans="1:13">
      <c r="A85">
        <v>38</v>
      </c>
      <c r="B85" t="s">
        <v>17</v>
      </c>
      <c r="C85" t="s">
        <v>18</v>
      </c>
      <c r="D85">
        <v>6</v>
      </c>
      <c r="E85">
        <v>3</v>
      </c>
      <c r="F85" t="s">
        <v>21</v>
      </c>
      <c r="G85">
        <v>2</v>
      </c>
      <c r="H85">
        <v>4</v>
      </c>
      <c r="I85" t="s">
        <v>22</v>
      </c>
      <c r="J85">
        <v>5329</v>
      </c>
      <c r="K85">
        <v>7</v>
      </c>
      <c r="L85">
        <v>3</v>
      </c>
      <c r="M85">
        <v>13</v>
      </c>
    </row>
    <row r="86" spans="1:13">
      <c r="A86">
        <v>34</v>
      </c>
      <c r="B86" t="s">
        <v>17</v>
      </c>
      <c r="C86" t="s">
        <v>18</v>
      </c>
      <c r="D86">
        <v>1</v>
      </c>
      <c r="E86">
        <v>2</v>
      </c>
      <c r="F86" t="s">
        <v>21</v>
      </c>
      <c r="G86">
        <v>1</v>
      </c>
      <c r="H86">
        <v>2</v>
      </c>
      <c r="I86" t="s">
        <v>19</v>
      </c>
      <c r="J86">
        <v>4325</v>
      </c>
      <c r="K86">
        <v>1</v>
      </c>
      <c r="L86">
        <v>3</v>
      </c>
      <c r="M86">
        <v>5</v>
      </c>
    </row>
    <row r="87" spans="1:13">
      <c r="A87">
        <v>56</v>
      </c>
      <c r="B87" t="s">
        <v>17</v>
      </c>
      <c r="C87" t="s">
        <v>18</v>
      </c>
      <c r="D87">
        <v>7</v>
      </c>
      <c r="E87">
        <v>3</v>
      </c>
      <c r="F87" t="s">
        <v>15</v>
      </c>
      <c r="G87">
        <v>4</v>
      </c>
      <c r="H87">
        <v>4</v>
      </c>
      <c r="I87" t="s">
        <v>16</v>
      </c>
      <c r="J87">
        <v>7260</v>
      </c>
      <c r="K87">
        <v>4</v>
      </c>
      <c r="L87">
        <v>2</v>
      </c>
      <c r="M87">
        <v>6</v>
      </c>
    </row>
    <row r="88" spans="1:13">
      <c r="A88">
        <v>23</v>
      </c>
      <c r="B88" t="s">
        <v>17</v>
      </c>
      <c r="C88" t="s">
        <v>14</v>
      </c>
      <c r="D88">
        <v>2</v>
      </c>
      <c r="E88">
        <v>1</v>
      </c>
      <c r="F88" t="s">
        <v>24</v>
      </c>
      <c r="G88">
        <v>3</v>
      </c>
      <c r="H88">
        <v>1</v>
      </c>
      <c r="I88" t="s">
        <v>22</v>
      </c>
      <c r="J88">
        <v>2322</v>
      </c>
      <c r="K88">
        <v>3</v>
      </c>
      <c r="L88">
        <v>3</v>
      </c>
      <c r="M88">
        <v>0</v>
      </c>
    </row>
    <row r="89" spans="1:13">
      <c r="A89">
        <v>51</v>
      </c>
      <c r="B89" t="s">
        <v>17</v>
      </c>
      <c r="C89" t="s">
        <v>18</v>
      </c>
      <c r="D89">
        <v>9</v>
      </c>
      <c r="E89">
        <v>4</v>
      </c>
      <c r="F89" t="s">
        <v>15</v>
      </c>
      <c r="G89">
        <v>4</v>
      </c>
      <c r="H89">
        <v>4</v>
      </c>
      <c r="I89" t="s">
        <v>19</v>
      </c>
      <c r="J89">
        <v>2075</v>
      </c>
      <c r="K89">
        <v>3</v>
      </c>
      <c r="L89">
        <v>3</v>
      </c>
      <c r="M89">
        <v>4</v>
      </c>
    </row>
    <row r="90" spans="1:13">
      <c r="A90">
        <v>30</v>
      </c>
      <c r="B90" t="s">
        <v>17</v>
      </c>
      <c r="C90" t="s">
        <v>18</v>
      </c>
      <c r="D90">
        <v>2</v>
      </c>
      <c r="E90">
        <v>3</v>
      </c>
      <c r="F90" t="s">
        <v>15</v>
      </c>
      <c r="G90">
        <v>3</v>
      </c>
      <c r="H90">
        <v>4</v>
      </c>
      <c r="I90" t="s">
        <v>19</v>
      </c>
      <c r="J90">
        <v>4152</v>
      </c>
      <c r="K90">
        <v>1</v>
      </c>
      <c r="L90">
        <v>3</v>
      </c>
      <c r="M90">
        <v>11</v>
      </c>
    </row>
    <row r="91" spans="1:13">
      <c r="A91">
        <v>46</v>
      </c>
      <c r="B91" t="s">
        <v>13</v>
      </c>
      <c r="C91" t="s">
        <v>14</v>
      </c>
      <c r="D91">
        <v>9</v>
      </c>
      <c r="E91">
        <v>2</v>
      </c>
      <c r="F91" t="s">
        <v>21</v>
      </c>
      <c r="G91">
        <v>3</v>
      </c>
      <c r="H91">
        <v>4</v>
      </c>
      <c r="I91" t="s">
        <v>16</v>
      </c>
      <c r="J91">
        <v>9619</v>
      </c>
      <c r="K91">
        <v>1</v>
      </c>
      <c r="L91">
        <v>3</v>
      </c>
      <c r="M91">
        <v>9</v>
      </c>
    </row>
    <row r="92" spans="1:13">
      <c r="A92">
        <v>40</v>
      </c>
      <c r="B92" t="s">
        <v>17</v>
      </c>
      <c r="C92" t="s">
        <v>18</v>
      </c>
      <c r="D92">
        <v>1</v>
      </c>
      <c r="E92">
        <v>4</v>
      </c>
      <c r="F92" t="s">
        <v>15</v>
      </c>
      <c r="G92">
        <v>3</v>
      </c>
      <c r="H92">
        <v>2</v>
      </c>
      <c r="I92" t="s">
        <v>19</v>
      </c>
      <c r="J92">
        <v>13503</v>
      </c>
      <c r="K92">
        <v>1</v>
      </c>
      <c r="L92">
        <v>2</v>
      </c>
      <c r="M92">
        <v>22</v>
      </c>
    </row>
    <row r="93" spans="1:13">
      <c r="A93">
        <v>51</v>
      </c>
      <c r="B93" t="s">
        <v>17</v>
      </c>
      <c r="C93" t="s">
        <v>14</v>
      </c>
      <c r="D93">
        <v>21</v>
      </c>
      <c r="E93">
        <v>4</v>
      </c>
      <c r="F93" t="s">
        <v>23</v>
      </c>
      <c r="G93">
        <v>3</v>
      </c>
      <c r="H93">
        <v>4</v>
      </c>
      <c r="I93" t="s">
        <v>16</v>
      </c>
      <c r="J93">
        <v>5441</v>
      </c>
      <c r="K93">
        <v>0</v>
      </c>
      <c r="L93">
        <v>1</v>
      </c>
      <c r="M93">
        <v>10</v>
      </c>
    </row>
    <row r="94" spans="1:13">
      <c r="A94">
        <v>30</v>
      </c>
      <c r="B94" t="s">
        <v>17</v>
      </c>
      <c r="C94" t="s">
        <v>14</v>
      </c>
      <c r="D94">
        <v>4</v>
      </c>
      <c r="E94">
        <v>2</v>
      </c>
      <c r="F94" t="s">
        <v>21</v>
      </c>
      <c r="G94">
        <v>3</v>
      </c>
      <c r="H94">
        <v>2</v>
      </c>
      <c r="I94" t="s">
        <v>22</v>
      </c>
      <c r="J94">
        <v>5209</v>
      </c>
      <c r="K94">
        <v>1</v>
      </c>
      <c r="L94">
        <v>2</v>
      </c>
      <c r="M94">
        <v>11</v>
      </c>
    </row>
    <row r="95" spans="1:13">
      <c r="A95">
        <v>46</v>
      </c>
      <c r="B95" t="s">
        <v>17</v>
      </c>
      <c r="C95" t="s">
        <v>18</v>
      </c>
      <c r="D95">
        <v>1</v>
      </c>
      <c r="E95">
        <v>3</v>
      </c>
      <c r="F95" t="s">
        <v>21</v>
      </c>
      <c r="G95">
        <v>3</v>
      </c>
      <c r="H95">
        <v>1</v>
      </c>
      <c r="I95" t="s">
        <v>19</v>
      </c>
      <c r="J95">
        <v>10673</v>
      </c>
      <c r="K95">
        <v>2</v>
      </c>
      <c r="L95">
        <v>2</v>
      </c>
      <c r="M95">
        <v>10</v>
      </c>
    </row>
    <row r="96" spans="1:13">
      <c r="A96">
        <v>32</v>
      </c>
      <c r="B96" t="s">
        <v>17</v>
      </c>
      <c r="C96" t="s">
        <v>14</v>
      </c>
      <c r="D96">
        <v>6</v>
      </c>
      <c r="E96">
        <v>4</v>
      </c>
      <c r="F96" t="s">
        <v>21</v>
      </c>
      <c r="G96">
        <v>2</v>
      </c>
      <c r="H96">
        <v>3</v>
      </c>
      <c r="I96" t="s">
        <v>16</v>
      </c>
      <c r="J96">
        <v>5010</v>
      </c>
      <c r="K96">
        <v>1</v>
      </c>
      <c r="L96">
        <v>3</v>
      </c>
      <c r="M96">
        <v>11</v>
      </c>
    </row>
    <row r="97" spans="1:13">
      <c r="A97">
        <v>54</v>
      </c>
      <c r="B97" t="s">
        <v>17</v>
      </c>
      <c r="C97" t="s">
        <v>18</v>
      </c>
      <c r="D97">
        <v>2</v>
      </c>
      <c r="E97">
        <v>4</v>
      </c>
      <c r="F97" t="s">
        <v>24</v>
      </c>
      <c r="G97">
        <v>1</v>
      </c>
      <c r="H97">
        <v>3</v>
      </c>
      <c r="I97" t="s">
        <v>19</v>
      </c>
      <c r="J97">
        <v>13549</v>
      </c>
      <c r="K97">
        <v>9</v>
      </c>
      <c r="L97">
        <v>1</v>
      </c>
      <c r="M97">
        <v>4</v>
      </c>
    </row>
    <row r="98" spans="1:13">
      <c r="A98">
        <v>24</v>
      </c>
      <c r="B98" t="s">
        <v>17</v>
      </c>
      <c r="C98" t="s">
        <v>14</v>
      </c>
      <c r="D98">
        <v>3</v>
      </c>
      <c r="E98">
        <v>2</v>
      </c>
      <c r="F98" t="s">
        <v>20</v>
      </c>
      <c r="G98">
        <v>1</v>
      </c>
      <c r="H98">
        <v>3</v>
      </c>
      <c r="I98" t="s">
        <v>19</v>
      </c>
      <c r="J98">
        <v>4999</v>
      </c>
      <c r="K98">
        <v>0</v>
      </c>
      <c r="L98">
        <v>2</v>
      </c>
      <c r="M98">
        <v>3</v>
      </c>
    </row>
    <row r="99" spans="1:13">
      <c r="A99">
        <v>28</v>
      </c>
      <c r="B99" t="s">
        <v>17</v>
      </c>
      <c r="C99" t="s">
        <v>14</v>
      </c>
      <c r="D99">
        <v>4</v>
      </c>
      <c r="E99">
        <v>3</v>
      </c>
      <c r="F99" t="s">
        <v>21</v>
      </c>
      <c r="G99">
        <v>2</v>
      </c>
      <c r="H99">
        <v>3</v>
      </c>
      <c r="I99" t="s">
        <v>19</v>
      </c>
      <c r="J99">
        <v>4221</v>
      </c>
      <c r="K99">
        <v>1</v>
      </c>
      <c r="L99">
        <v>4</v>
      </c>
      <c r="M99">
        <v>5</v>
      </c>
    </row>
    <row r="100" spans="1:13">
      <c r="A100">
        <v>58</v>
      </c>
      <c r="B100" t="s">
        <v>17</v>
      </c>
      <c r="C100" t="s">
        <v>14</v>
      </c>
      <c r="D100">
        <v>10</v>
      </c>
      <c r="E100">
        <v>4</v>
      </c>
      <c r="F100" t="s">
        <v>21</v>
      </c>
      <c r="G100">
        <v>4</v>
      </c>
      <c r="H100">
        <v>3</v>
      </c>
      <c r="I100" t="s">
        <v>16</v>
      </c>
      <c r="J100">
        <v>13872</v>
      </c>
      <c r="K100">
        <v>0</v>
      </c>
      <c r="L100">
        <v>2</v>
      </c>
      <c r="M100">
        <v>37</v>
      </c>
    </row>
    <row r="101" spans="1:13">
      <c r="A101">
        <v>44</v>
      </c>
      <c r="B101" t="s">
        <v>17</v>
      </c>
      <c r="C101" t="s">
        <v>18</v>
      </c>
      <c r="D101">
        <v>23</v>
      </c>
      <c r="E101">
        <v>3</v>
      </c>
      <c r="F101" t="s">
        <v>21</v>
      </c>
      <c r="G101">
        <v>2</v>
      </c>
      <c r="H101">
        <v>2</v>
      </c>
      <c r="I101" t="s">
        <v>19</v>
      </c>
      <c r="J101">
        <v>2042</v>
      </c>
      <c r="K101">
        <v>4</v>
      </c>
      <c r="L101">
        <v>4</v>
      </c>
      <c r="M101">
        <v>3</v>
      </c>
    </row>
    <row r="102" spans="1:13">
      <c r="A102">
        <v>37</v>
      </c>
      <c r="B102" t="s">
        <v>13</v>
      </c>
      <c r="C102" t="s">
        <v>25</v>
      </c>
      <c r="D102">
        <v>6</v>
      </c>
      <c r="E102">
        <v>4</v>
      </c>
      <c r="F102" t="s">
        <v>25</v>
      </c>
      <c r="G102">
        <v>3</v>
      </c>
      <c r="H102">
        <v>1</v>
      </c>
      <c r="I102" t="s">
        <v>22</v>
      </c>
      <c r="J102">
        <v>2073</v>
      </c>
      <c r="K102">
        <v>4</v>
      </c>
      <c r="L102">
        <v>3</v>
      </c>
      <c r="M102">
        <v>3</v>
      </c>
    </row>
    <row r="103" spans="1:13">
      <c r="A103">
        <v>32</v>
      </c>
      <c r="B103" t="s">
        <v>17</v>
      </c>
      <c r="C103" t="s">
        <v>18</v>
      </c>
      <c r="D103">
        <v>1</v>
      </c>
      <c r="E103">
        <v>1</v>
      </c>
      <c r="F103" t="s">
        <v>15</v>
      </c>
      <c r="G103">
        <v>4</v>
      </c>
      <c r="H103">
        <v>1</v>
      </c>
      <c r="I103" t="s">
        <v>16</v>
      </c>
      <c r="J103">
        <v>2956</v>
      </c>
      <c r="K103">
        <v>1</v>
      </c>
      <c r="L103">
        <v>3</v>
      </c>
      <c r="M103">
        <v>1</v>
      </c>
    </row>
    <row r="104" spans="1:13">
      <c r="A104">
        <v>20</v>
      </c>
      <c r="B104" t="s">
        <v>13</v>
      </c>
      <c r="C104" t="s">
        <v>18</v>
      </c>
      <c r="D104">
        <v>6</v>
      </c>
      <c r="E104">
        <v>3</v>
      </c>
      <c r="F104" t="s">
        <v>15</v>
      </c>
      <c r="G104">
        <v>4</v>
      </c>
      <c r="H104">
        <v>4</v>
      </c>
      <c r="I104" t="s">
        <v>16</v>
      </c>
      <c r="J104">
        <v>2926</v>
      </c>
      <c r="K104">
        <v>1</v>
      </c>
      <c r="L104">
        <v>3</v>
      </c>
      <c r="M104">
        <v>1</v>
      </c>
    </row>
    <row r="105" spans="1:13">
      <c r="A105">
        <v>34</v>
      </c>
      <c r="B105" t="s">
        <v>17</v>
      </c>
      <c r="C105" t="s">
        <v>18</v>
      </c>
      <c r="D105">
        <v>6</v>
      </c>
      <c r="E105">
        <v>4</v>
      </c>
      <c r="F105" t="s">
        <v>20</v>
      </c>
      <c r="G105">
        <v>1</v>
      </c>
      <c r="H105">
        <v>3</v>
      </c>
      <c r="I105" t="s">
        <v>16</v>
      </c>
      <c r="J105">
        <v>4809</v>
      </c>
      <c r="K105">
        <v>1</v>
      </c>
      <c r="L105">
        <v>3</v>
      </c>
      <c r="M105">
        <v>16</v>
      </c>
    </row>
    <row r="106" spans="1:13">
      <c r="A106">
        <v>37</v>
      </c>
      <c r="B106" t="s">
        <v>17</v>
      </c>
      <c r="C106" t="s">
        <v>18</v>
      </c>
      <c r="D106">
        <v>2</v>
      </c>
      <c r="E106">
        <v>2</v>
      </c>
      <c r="F106" t="s">
        <v>15</v>
      </c>
      <c r="G106">
        <v>3</v>
      </c>
      <c r="H106">
        <v>4</v>
      </c>
      <c r="I106" t="s">
        <v>22</v>
      </c>
      <c r="J106">
        <v>5163</v>
      </c>
      <c r="K106">
        <v>5</v>
      </c>
      <c r="L106">
        <v>4</v>
      </c>
      <c r="M106">
        <v>1</v>
      </c>
    </row>
    <row r="107" spans="1:13">
      <c r="A107">
        <v>59</v>
      </c>
      <c r="B107" t="s">
        <v>17</v>
      </c>
      <c r="C107" t="s">
        <v>25</v>
      </c>
      <c r="D107">
        <v>2</v>
      </c>
      <c r="E107">
        <v>4</v>
      </c>
      <c r="F107" t="s">
        <v>25</v>
      </c>
      <c r="G107">
        <v>3</v>
      </c>
      <c r="H107">
        <v>4</v>
      </c>
      <c r="I107" t="s">
        <v>19</v>
      </c>
      <c r="J107">
        <v>18844</v>
      </c>
      <c r="K107">
        <v>9</v>
      </c>
      <c r="L107">
        <v>3</v>
      </c>
      <c r="M107">
        <v>3</v>
      </c>
    </row>
    <row r="108" spans="1:13">
      <c r="A108">
        <v>50</v>
      </c>
      <c r="B108" t="s">
        <v>17</v>
      </c>
      <c r="C108" t="s">
        <v>18</v>
      </c>
      <c r="D108">
        <v>1</v>
      </c>
      <c r="E108">
        <v>3</v>
      </c>
      <c r="F108" t="s">
        <v>15</v>
      </c>
      <c r="G108">
        <v>1</v>
      </c>
      <c r="H108">
        <v>2</v>
      </c>
      <c r="I108" t="s">
        <v>19</v>
      </c>
      <c r="J108">
        <v>18172</v>
      </c>
      <c r="K108">
        <v>3</v>
      </c>
      <c r="L108">
        <v>2</v>
      </c>
      <c r="M108">
        <v>8</v>
      </c>
    </row>
    <row r="109" spans="1:13">
      <c r="A109">
        <v>25</v>
      </c>
      <c r="B109" t="s">
        <v>13</v>
      </c>
      <c r="C109" t="s">
        <v>14</v>
      </c>
      <c r="D109">
        <v>5</v>
      </c>
      <c r="E109">
        <v>3</v>
      </c>
      <c r="F109" t="s">
        <v>23</v>
      </c>
      <c r="G109">
        <v>3</v>
      </c>
      <c r="H109">
        <v>3</v>
      </c>
      <c r="I109" t="s">
        <v>16</v>
      </c>
      <c r="J109">
        <v>5744</v>
      </c>
      <c r="K109">
        <v>1</v>
      </c>
      <c r="L109">
        <v>3</v>
      </c>
      <c r="M109">
        <v>6</v>
      </c>
    </row>
    <row r="110" spans="1:13">
      <c r="A110">
        <v>25</v>
      </c>
      <c r="B110" t="s">
        <v>17</v>
      </c>
      <c r="C110" t="s">
        <v>18</v>
      </c>
      <c r="D110">
        <v>7</v>
      </c>
      <c r="E110">
        <v>1</v>
      </c>
      <c r="F110" t="s">
        <v>21</v>
      </c>
      <c r="G110">
        <v>4</v>
      </c>
      <c r="H110">
        <v>4</v>
      </c>
      <c r="I110" t="s">
        <v>19</v>
      </c>
      <c r="J110">
        <v>2889</v>
      </c>
      <c r="K110">
        <v>1</v>
      </c>
      <c r="L110">
        <v>3</v>
      </c>
      <c r="M110">
        <v>2</v>
      </c>
    </row>
    <row r="111" spans="1:13">
      <c r="A111">
        <v>22</v>
      </c>
      <c r="B111" t="s">
        <v>17</v>
      </c>
      <c r="C111" t="s">
        <v>18</v>
      </c>
      <c r="D111">
        <v>15</v>
      </c>
      <c r="E111">
        <v>3</v>
      </c>
      <c r="F111" t="s">
        <v>21</v>
      </c>
      <c r="G111">
        <v>2</v>
      </c>
      <c r="H111">
        <v>4</v>
      </c>
      <c r="I111" t="s">
        <v>16</v>
      </c>
      <c r="J111">
        <v>2871</v>
      </c>
      <c r="K111">
        <v>1</v>
      </c>
      <c r="L111">
        <v>3</v>
      </c>
      <c r="M111">
        <v>0</v>
      </c>
    </row>
    <row r="112" spans="1:13">
      <c r="A112">
        <v>51</v>
      </c>
      <c r="B112" t="s">
        <v>17</v>
      </c>
      <c r="C112" t="s">
        <v>18</v>
      </c>
      <c r="D112">
        <v>1</v>
      </c>
      <c r="E112">
        <v>4</v>
      </c>
      <c r="F112" t="s">
        <v>21</v>
      </c>
      <c r="G112">
        <v>1</v>
      </c>
      <c r="H112">
        <v>1</v>
      </c>
      <c r="I112" t="s">
        <v>16</v>
      </c>
      <c r="J112">
        <v>7484</v>
      </c>
      <c r="K112">
        <v>3</v>
      </c>
      <c r="L112">
        <v>2</v>
      </c>
      <c r="M112">
        <v>13</v>
      </c>
    </row>
    <row r="113" spans="1:13">
      <c r="A113">
        <v>34</v>
      </c>
      <c r="B113" t="s">
        <v>13</v>
      </c>
      <c r="C113" t="s">
        <v>18</v>
      </c>
      <c r="D113">
        <v>7</v>
      </c>
      <c r="E113">
        <v>3</v>
      </c>
      <c r="F113" t="s">
        <v>15</v>
      </c>
      <c r="G113">
        <v>1</v>
      </c>
      <c r="H113">
        <v>3</v>
      </c>
      <c r="I113" t="s">
        <v>16</v>
      </c>
      <c r="J113">
        <v>6074</v>
      </c>
      <c r="K113">
        <v>1</v>
      </c>
      <c r="L113">
        <v>3</v>
      </c>
      <c r="M113">
        <v>9</v>
      </c>
    </row>
    <row r="114" spans="1:13">
      <c r="A114">
        <v>54</v>
      </c>
      <c r="B114" t="s">
        <v>17</v>
      </c>
      <c r="C114" t="s">
        <v>25</v>
      </c>
      <c r="D114">
        <v>26</v>
      </c>
      <c r="E114">
        <v>3</v>
      </c>
      <c r="F114" t="s">
        <v>25</v>
      </c>
      <c r="G114">
        <v>4</v>
      </c>
      <c r="H114">
        <v>4</v>
      </c>
      <c r="I114" t="s">
        <v>16</v>
      </c>
      <c r="J114">
        <v>17328</v>
      </c>
      <c r="K114">
        <v>2</v>
      </c>
      <c r="L114">
        <v>3</v>
      </c>
      <c r="M114">
        <v>5</v>
      </c>
    </row>
    <row r="115" spans="1:13">
      <c r="A115">
        <v>24</v>
      </c>
      <c r="B115" t="s">
        <v>17</v>
      </c>
      <c r="C115" t="s">
        <v>18</v>
      </c>
      <c r="D115">
        <v>18</v>
      </c>
      <c r="E115">
        <v>1</v>
      </c>
      <c r="F115" t="s">
        <v>15</v>
      </c>
      <c r="G115">
        <v>2</v>
      </c>
      <c r="H115">
        <v>3</v>
      </c>
      <c r="I115" t="s">
        <v>19</v>
      </c>
      <c r="J115">
        <v>2774</v>
      </c>
      <c r="K115">
        <v>0</v>
      </c>
      <c r="L115">
        <v>3</v>
      </c>
      <c r="M115">
        <v>5</v>
      </c>
    </row>
    <row r="116" spans="1:13">
      <c r="A116">
        <v>34</v>
      </c>
      <c r="B116" t="s">
        <v>17</v>
      </c>
      <c r="C116" t="s">
        <v>18</v>
      </c>
      <c r="D116">
        <v>6</v>
      </c>
      <c r="E116">
        <v>4</v>
      </c>
      <c r="F116" t="s">
        <v>15</v>
      </c>
      <c r="G116">
        <v>3</v>
      </c>
      <c r="H116">
        <v>2</v>
      </c>
      <c r="I116" t="s">
        <v>22</v>
      </c>
      <c r="J116">
        <v>4505</v>
      </c>
      <c r="K116">
        <v>6</v>
      </c>
      <c r="L116">
        <v>3</v>
      </c>
      <c r="M116">
        <v>1</v>
      </c>
    </row>
    <row r="117" spans="1:13">
      <c r="A117">
        <v>37</v>
      </c>
      <c r="B117" t="s">
        <v>17</v>
      </c>
      <c r="C117" t="s">
        <v>14</v>
      </c>
      <c r="D117">
        <v>3</v>
      </c>
      <c r="E117">
        <v>3</v>
      </c>
      <c r="F117" t="s">
        <v>15</v>
      </c>
      <c r="G117">
        <v>3</v>
      </c>
      <c r="H117">
        <v>4</v>
      </c>
      <c r="I117" t="s">
        <v>16</v>
      </c>
      <c r="J117">
        <v>7428</v>
      </c>
      <c r="K117">
        <v>2</v>
      </c>
      <c r="L117">
        <v>3</v>
      </c>
      <c r="M117">
        <v>5</v>
      </c>
    </row>
    <row r="118" spans="1:13">
      <c r="A118">
        <v>34</v>
      </c>
      <c r="B118" t="s">
        <v>17</v>
      </c>
      <c r="C118" t="s">
        <v>18</v>
      </c>
      <c r="D118">
        <v>5</v>
      </c>
      <c r="E118">
        <v>3</v>
      </c>
      <c r="F118" t="s">
        <v>21</v>
      </c>
      <c r="G118">
        <v>3</v>
      </c>
      <c r="H118">
        <v>1</v>
      </c>
      <c r="I118" t="s">
        <v>16</v>
      </c>
      <c r="J118">
        <v>11631</v>
      </c>
      <c r="K118">
        <v>2</v>
      </c>
      <c r="L118">
        <v>3</v>
      </c>
      <c r="M118">
        <v>11</v>
      </c>
    </row>
    <row r="119" spans="1:13">
      <c r="A119">
        <v>36</v>
      </c>
      <c r="B119" t="s">
        <v>17</v>
      </c>
      <c r="C119" t="s">
        <v>14</v>
      </c>
      <c r="D119">
        <v>11</v>
      </c>
      <c r="E119">
        <v>2</v>
      </c>
      <c r="F119" t="s">
        <v>24</v>
      </c>
      <c r="G119">
        <v>2</v>
      </c>
      <c r="H119">
        <v>4</v>
      </c>
      <c r="I119" t="s">
        <v>19</v>
      </c>
      <c r="J119">
        <v>9738</v>
      </c>
      <c r="K119">
        <v>0</v>
      </c>
      <c r="L119">
        <v>3</v>
      </c>
      <c r="M119">
        <v>9</v>
      </c>
    </row>
    <row r="120" spans="1:13">
      <c r="A120">
        <v>36</v>
      </c>
      <c r="B120" t="s">
        <v>17</v>
      </c>
      <c r="C120" t="s">
        <v>18</v>
      </c>
      <c r="D120">
        <v>3</v>
      </c>
      <c r="E120">
        <v>2</v>
      </c>
      <c r="F120" t="s">
        <v>15</v>
      </c>
      <c r="G120">
        <v>1</v>
      </c>
      <c r="H120">
        <v>4</v>
      </c>
      <c r="I120" t="s">
        <v>22</v>
      </c>
      <c r="J120">
        <v>2835</v>
      </c>
      <c r="K120">
        <v>5</v>
      </c>
      <c r="L120">
        <v>3</v>
      </c>
      <c r="M120">
        <v>1</v>
      </c>
    </row>
    <row r="121" spans="1:13">
      <c r="A121">
        <v>43</v>
      </c>
      <c r="B121" t="s">
        <v>17</v>
      </c>
      <c r="C121" t="s">
        <v>14</v>
      </c>
      <c r="D121">
        <v>26</v>
      </c>
      <c r="E121">
        <v>2</v>
      </c>
      <c r="F121" t="s">
        <v>15</v>
      </c>
      <c r="G121">
        <v>3</v>
      </c>
      <c r="H121">
        <v>4</v>
      </c>
      <c r="I121" t="s">
        <v>19</v>
      </c>
      <c r="J121">
        <v>16959</v>
      </c>
      <c r="K121">
        <v>1</v>
      </c>
      <c r="L121">
        <v>4</v>
      </c>
      <c r="M121">
        <v>25</v>
      </c>
    </row>
    <row r="122" spans="1:13">
      <c r="A122">
        <v>30</v>
      </c>
      <c r="B122" t="s">
        <v>17</v>
      </c>
      <c r="C122" t="s">
        <v>18</v>
      </c>
      <c r="D122">
        <v>23</v>
      </c>
      <c r="E122">
        <v>3</v>
      </c>
      <c r="F122" t="s">
        <v>15</v>
      </c>
      <c r="G122">
        <v>1</v>
      </c>
      <c r="H122">
        <v>3</v>
      </c>
      <c r="I122" t="s">
        <v>22</v>
      </c>
      <c r="J122">
        <v>2613</v>
      </c>
      <c r="K122">
        <v>1</v>
      </c>
      <c r="L122">
        <v>2</v>
      </c>
      <c r="M122">
        <v>10</v>
      </c>
    </row>
    <row r="123" spans="1:13">
      <c r="A123">
        <v>33</v>
      </c>
      <c r="B123" t="s">
        <v>17</v>
      </c>
      <c r="C123" t="s">
        <v>14</v>
      </c>
      <c r="D123">
        <v>22</v>
      </c>
      <c r="E123">
        <v>2</v>
      </c>
      <c r="F123" t="s">
        <v>23</v>
      </c>
      <c r="G123">
        <v>3</v>
      </c>
      <c r="H123">
        <v>2</v>
      </c>
      <c r="I123" t="s">
        <v>19</v>
      </c>
      <c r="J123">
        <v>6146</v>
      </c>
      <c r="K123">
        <v>0</v>
      </c>
      <c r="L123">
        <v>4</v>
      </c>
      <c r="M123">
        <v>7</v>
      </c>
    </row>
    <row r="124" spans="1:13">
      <c r="A124">
        <v>56</v>
      </c>
      <c r="B124" t="s">
        <v>13</v>
      </c>
      <c r="C124" t="s">
        <v>18</v>
      </c>
      <c r="D124">
        <v>14</v>
      </c>
      <c r="E124">
        <v>4</v>
      </c>
      <c r="F124" t="s">
        <v>15</v>
      </c>
      <c r="G124">
        <v>2</v>
      </c>
      <c r="H124">
        <v>2</v>
      </c>
      <c r="I124" t="s">
        <v>19</v>
      </c>
      <c r="J124">
        <v>4963</v>
      </c>
      <c r="K124">
        <v>9</v>
      </c>
      <c r="L124">
        <v>3</v>
      </c>
      <c r="M124">
        <v>5</v>
      </c>
    </row>
    <row r="125" spans="1:13">
      <c r="A125">
        <v>51</v>
      </c>
      <c r="B125" t="s">
        <v>17</v>
      </c>
      <c r="C125" t="s">
        <v>18</v>
      </c>
      <c r="D125">
        <v>6</v>
      </c>
      <c r="E125">
        <v>3</v>
      </c>
      <c r="F125" t="s">
        <v>15</v>
      </c>
      <c r="G125">
        <v>1</v>
      </c>
      <c r="H125">
        <v>3</v>
      </c>
      <c r="I125" t="s">
        <v>16</v>
      </c>
      <c r="J125">
        <v>19537</v>
      </c>
      <c r="K125">
        <v>7</v>
      </c>
      <c r="L125">
        <v>3</v>
      </c>
      <c r="M125">
        <v>20</v>
      </c>
    </row>
    <row r="126" spans="1:13">
      <c r="A126">
        <v>31</v>
      </c>
      <c r="B126" t="s">
        <v>13</v>
      </c>
      <c r="C126" t="s">
        <v>14</v>
      </c>
      <c r="D126">
        <v>6</v>
      </c>
      <c r="E126">
        <v>4</v>
      </c>
      <c r="F126" t="s">
        <v>15</v>
      </c>
      <c r="G126">
        <v>2</v>
      </c>
      <c r="H126">
        <v>3</v>
      </c>
      <c r="I126" t="s">
        <v>19</v>
      </c>
      <c r="J126">
        <v>6172</v>
      </c>
      <c r="K126">
        <v>4</v>
      </c>
      <c r="L126">
        <v>2</v>
      </c>
      <c r="M126">
        <v>7</v>
      </c>
    </row>
    <row r="127" spans="1:13">
      <c r="A127">
        <v>26</v>
      </c>
      <c r="B127" t="s">
        <v>17</v>
      </c>
      <c r="C127" t="s">
        <v>18</v>
      </c>
      <c r="D127">
        <v>6</v>
      </c>
      <c r="E127">
        <v>3</v>
      </c>
      <c r="F127" t="s">
        <v>20</v>
      </c>
      <c r="G127">
        <v>3</v>
      </c>
      <c r="H127">
        <v>2</v>
      </c>
      <c r="I127" t="s">
        <v>19</v>
      </c>
      <c r="J127">
        <v>2368</v>
      </c>
      <c r="K127">
        <v>1</v>
      </c>
      <c r="L127">
        <v>2</v>
      </c>
      <c r="M127">
        <v>5</v>
      </c>
    </row>
    <row r="128" spans="1:13">
      <c r="A128">
        <v>58</v>
      </c>
      <c r="B128" t="s">
        <v>13</v>
      </c>
      <c r="C128" t="s">
        <v>18</v>
      </c>
      <c r="D128">
        <v>23</v>
      </c>
      <c r="E128">
        <v>4</v>
      </c>
      <c r="F128" t="s">
        <v>21</v>
      </c>
      <c r="G128">
        <v>4</v>
      </c>
      <c r="H128">
        <v>4</v>
      </c>
      <c r="I128" t="s">
        <v>19</v>
      </c>
      <c r="J128">
        <v>10312</v>
      </c>
      <c r="K128">
        <v>1</v>
      </c>
      <c r="L128">
        <v>2</v>
      </c>
      <c r="M128">
        <v>40</v>
      </c>
    </row>
    <row r="129" spans="1:13">
      <c r="A129">
        <v>19</v>
      </c>
      <c r="B129" t="s">
        <v>13</v>
      </c>
      <c r="C129" t="s">
        <v>14</v>
      </c>
      <c r="D129">
        <v>22</v>
      </c>
      <c r="E129">
        <v>1</v>
      </c>
      <c r="F129" t="s">
        <v>23</v>
      </c>
      <c r="G129">
        <v>4</v>
      </c>
      <c r="H129">
        <v>3</v>
      </c>
      <c r="I129" t="s">
        <v>16</v>
      </c>
      <c r="J129">
        <v>1675</v>
      </c>
      <c r="K129">
        <v>1</v>
      </c>
      <c r="L129">
        <v>2</v>
      </c>
      <c r="M129">
        <v>0</v>
      </c>
    </row>
    <row r="130" spans="1:13">
      <c r="A130">
        <v>22</v>
      </c>
      <c r="B130" t="s">
        <v>17</v>
      </c>
      <c r="C130" t="s">
        <v>18</v>
      </c>
      <c r="D130">
        <v>2</v>
      </c>
      <c r="E130">
        <v>1</v>
      </c>
      <c r="F130" t="s">
        <v>24</v>
      </c>
      <c r="G130">
        <v>3</v>
      </c>
      <c r="H130">
        <v>4</v>
      </c>
      <c r="I130" t="s">
        <v>19</v>
      </c>
      <c r="J130">
        <v>2523</v>
      </c>
      <c r="K130">
        <v>0</v>
      </c>
      <c r="L130">
        <v>3</v>
      </c>
      <c r="M130">
        <v>2</v>
      </c>
    </row>
    <row r="131" spans="1:13">
      <c r="A131">
        <v>49</v>
      </c>
      <c r="B131" t="s">
        <v>17</v>
      </c>
      <c r="C131" t="s">
        <v>18</v>
      </c>
      <c r="D131">
        <v>20</v>
      </c>
      <c r="E131">
        <v>4</v>
      </c>
      <c r="F131" t="s">
        <v>21</v>
      </c>
      <c r="G131">
        <v>3</v>
      </c>
      <c r="H131">
        <v>1</v>
      </c>
      <c r="I131" t="s">
        <v>19</v>
      </c>
      <c r="J131">
        <v>6567</v>
      </c>
      <c r="K131">
        <v>1</v>
      </c>
      <c r="L131">
        <v>2</v>
      </c>
      <c r="M131">
        <v>15</v>
      </c>
    </row>
    <row r="132" spans="1:13">
      <c r="A132">
        <v>43</v>
      </c>
      <c r="B132" t="s">
        <v>17</v>
      </c>
      <c r="C132" t="s">
        <v>18</v>
      </c>
      <c r="D132">
        <v>28</v>
      </c>
      <c r="E132">
        <v>3</v>
      </c>
      <c r="F132" t="s">
        <v>21</v>
      </c>
      <c r="G132">
        <v>2</v>
      </c>
      <c r="H132">
        <v>3</v>
      </c>
      <c r="I132" t="s">
        <v>16</v>
      </c>
      <c r="J132">
        <v>4739</v>
      </c>
      <c r="K132">
        <v>4</v>
      </c>
      <c r="L132">
        <v>3</v>
      </c>
      <c r="M132">
        <v>3</v>
      </c>
    </row>
    <row r="133" spans="1:13">
      <c r="A133">
        <v>50</v>
      </c>
      <c r="B133" t="s">
        <v>17</v>
      </c>
      <c r="C133" t="s">
        <v>14</v>
      </c>
      <c r="D133">
        <v>12</v>
      </c>
      <c r="E133">
        <v>3</v>
      </c>
      <c r="F133" t="s">
        <v>23</v>
      </c>
      <c r="G133">
        <v>3</v>
      </c>
      <c r="H133">
        <v>4</v>
      </c>
      <c r="I133" t="s">
        <v>16</v>
      </c>
      <c r="J133">
        <v>9208</v>
      </c>
      <c r="K133">
        <v>4</v>
      </c>
      <c r="L133">
        <v>3</v>
      </c>
      <c r="M133">
        <v>2</v>
      </c>
    </row>
    <row r="134" spans="1:13">
      <c r="A134">
        <v>31</v>
      </c>
      <c r="B134" t="s">
        <v>13</v>
      </c>
      <c r="C134" t="s">
        <v>14</v>
      </c>
      <c r="D134">
        <v>20</v>
      </c>
      <c r="E134">
        <v>3</v>
      </c>
      <c r="F134" t="s">
        <v>15</v>
      </c>
      <c r="G134">
        <v>2</v>
      </c>
      <c r="H134">
        <v>3</v>
      </c>
      <c r="I134" t="s">
        <v>19</v>
      </c>
      <c r="J134">
        <v>4559</v>
      </c>
      <c r="K134">
        <v>3</v>
      </c>
      <c r="L134">
        <v>3</v>
      </c>
      <c r="M134">
        <v>2</v>
      </c>
    </row>
    <row r="135" spans="1:13">
      <c r="A135">
        <v>41</v>
      </c>
      <c r="B135" t="s">
        <v>17</v>
      </c>
      <c r="C135" t="s">
        <v>14</v>
      </c>
      <c r="D135">
        <v>9</v>
      </c>
      <c r="E135">
        <v>1</v>
      </c>
      <c r="F135" t="s">
        <v>15</v>
      </c>
      <c r="G135">
        <v>3</v>
      </c>
      <c r="H135">
        <v>3</v>
      </c>
      <c r="I135" t="s">
        <v>22</v>
      </c>
      <c r="J135">
        <v>8189</v>
      </c>
      <c r="K135">
        <v>3</v>
      </c>
      <c r="L135">
        <v>3</v>
      </c>
      <c r="M135">
        <v>9</v>
      </c>
    </row>
    <row r="136" spans="1:13">
      <c r="A136">
        <v>26</v>
      </c>
      <c r="B136" t="s">
        <v>17</v>
      </c>
      <c r="C136" t="s">
        <v>25</v>
      </c>
      <c r="D136">
        <v>25</v>
      </c>
      <c r="E136">
        <v>1</v>
      </c>
      <c r="F136" t="s">
        <v>15</v>
      </c>
      <c r="G136">
        <v>3</v>
      </c>
      <c r="H136">
        <v>3</v>
      </c>
      <c r="I136" t="s">
        <v>19</v>
      </c>
      <c r="J136">
        <v>2942</v>
      </c>
      <c r="K136">
        <v>1</v>
      </c>
      <c r="L136">
        <v>3</v>
      </c>
      <c r="M136">
        <v>8</v>
      </c>
    </row>
    <row r="137" spans="1:13">
      <c r="A137">
        <v>36</v>
      </c>
      <c r="B137" t="s">
        <v>17</v>
      </c>
      <c r="C137" t="s">
        <v>18</v>
      </c>
      <c r="D137">
        <v>6</v>
      </c>
      <c r="E137">
        <v>2</v>
      </c>
      <c r="F137" t="s">
        <v>21</v>
      </c>
      <c r="G137">
        <v>2</v>
      </c>
      <c r="H137">
        <v>2</v>
      </c>
      <c r="I137" t="s">
        <v>22</v>
      </c>
      <c r="J137">
        <v>4941</v>
      </c>
      <c r="K137">
        <v>6</v>
      </c>
      <c r="L137">
        <v>3</v>
      </c>
      <c r="M137">
        <v>3</v>
      </c>
    </row>
    <row r="138" spans="1:13">
      <c r="A138">
        <v>51</v>
      </c>
      <c r="B138" t="s">
        <v>13</v>
      </c>
      <c r="C138" t="s">
        <v>18</v>
      </c>
      <c r="D138">
        <v>8</v>
      </c>
      <c r="E138">
        <v>4</v>
      </c>
      <c r="F138" t="s">
        <v>15</v>
      </c>
      <c r="G138">
        <v>1</v>
      </c>
      <c r="H138">
        <v>4</v>
      </c>
      <c r="I138" t="s">
        <v>16</v>
      </c>
      <c r="J138">
        <v>10650</v>
      </c>
      <c r="K138">
        <v>2</v>
      </c>
      <c r="L138">
        <v>3</v>
      </c>
      <c r="M138">
        <v>4</v>
      </c>
    </row>
    <row r="139" spans="1:13">
      <c r="A139">
        <v>39</v>
      </c>
      <c r="B139" t="s">
        <v>17</v>
      </c>
      <c r="C139" t="s">
        <v>14</v>
      </c>
      <c r="D139">
        <v>4</v>
      </c>
      <c r="E139">
        <v>4</v>
      </c>
      <c r="F139" t="s">
        <v>15</v>
      </c>
      <c r="G139">
        <v>4</v>
      </c>
      <c r="H139">
        <v>3</v>
      </c>
      <c r="I139" t="s">
        <v>19</v>
      </c>
      <c r="J139">
        <v>5902</v>
      </c>
      <c r="K139">
        <v>4</v>
      </c>
      <c r="L139">
        <v>4</v>
      </c>
      <c r="M139">
        <v>15</v>
      </c>
    </row>
    <row r="140" spans="1:13">
      <c r="A140">
        <v>25</v>
      </c>
      <c r="B140" t="s">
        <v>17</v>
      </c>
      <c r="C140" t="s">
        <v>14</v>
      </c>
      <c r="D140">
        <v>28</v>
      </c>
      <c r="E140">
        <v>3</v>
      </c>
      <c r="F140" t="s">
        <v>15</v>
      </c>
      <c r="G140">
        <v>1</v>
      </c>
      <c r="H140">
        <v>3</v>
      </c>
      <c r="I140" t="s">
        <v>19</v>
      </c>
      <c r="J140">
        <v>8639</v>
      </c>
      <c r="K140">
        <v>2</v>
      </c>
      <c r="L140">
        <v>3</v>
      </c>
      <c r="M140">
        <v>2</v>
      </c>
    </row>
    <row r="141" spans="1:13">
      <c r="A141">
        <v>30</v>
      </c>
      <c r="B141" t="s">
        <v>17</v>
      </c>
      <c r="C141" t="s">
        <v>25</v>
      </c>
      <c r="D141">
        <v>9</v>
      </c>
      <c r="E141">
        <v>3</v>
      </c>
      <c r="F141" t="s">
        <v>25</v>
      </c>
      <c r="G141">
        <v>3</v>
      </c>
      <c r="H141">
        <v>4</v>
      </c>
      <c r="I141" t="s">
        <v>19</v>
      </c>
      <c r="J141">
        <v>6347</v>
      </c>
      <c r="K141">
        <v>0</v>
      </c>
      <c r="L141">
        <v>1</v>
      </c>
      <c r="M141">
        <v>11</v>
      </c>
    </row>
    <row r="142" spans="1:13">
      <c r="A142">
        <v>32</v>
      </c>
      <c r="B142" t="s">
        <v>13</v>
      </c>
      <c r="C142" t="s">
        <v>18</v>
      </c>
      <c r="D142">
        <v>9</v>
      </c>
      <c r="E142">
        <v>3</v>
      </c>
      <c r="F142" t="s">
        <v>21</v>
      </c>
      <c r="G142">
        <v>1</v>
      </c>
      <c r="H142">
        <v>1</v>
      </c>
      <c r="I142" t="s">
        <v>16</v>
      </c>
      <c r="J142">
        <v>4200</v>
      </c>
      <c r="K142">
        <v>7</v>
      </c>
      <c r="L142">
        <v>4</v>
      </c>
      <c r="M142">
        <v>5</v>
      </c>
    </row>
    <row r="143" spans="1:13">
      <c r="A143">
        <v>45</v>
      </c>
      <c r="B143" t="s">
        <v>17</v>
      </c>
      <c r="C143" t="s">
        <v>18</v>
      </c>
      <c r="D143">
        <v>29</v>
      </c>
      <c r="E143">
        <v>3</v>
      </c>
      <c r="F143" t="s">
        <v>21</v>
      </c>
      <c r="G143">
        <v>3</v>
      </c>
      <c r="H143">
        <v>4</v>
      </c>
      <c r="I143" t="s">
        <v>16</v>
      </c>
      <c r="J143">
        <v>3452</v>
      </c>
      <c r="K143">
        <v>5</v>
      </c>
      <c r="L143">
        <v>2</v>
      </c>
      <c r="M143">
        <v>6</v>
      </c>
    </row>
    <row r="144" spans="1:13">
      <c r="A144">
        <v>38</v>
      </c>
      <c r="B144" t="s">
        <v>17</v>
      </c>
      <c r="C144" t="s">
        <v>18</v>
      </c>
      <c r="D144">
        <v>3</v>
      </c>
      <c r="E144">
        <v>5</v>
      </c>
      <c r="F144" t="s">
        <v>24</v>
      </c>
      <c r="G144">
        <v>4</v>
      </c>
      <c r="H144">
        <v>3</v>
      </c>
      <c r="I144" t="s">
        <v>16</v>
      </c>
      <c r="J144">
        <v>4317</v>
      </c>
      <c r="K144">
        <v>3</v>
      </c>
      <c r="L144">
        <v>3</v>
      </c>
      <c r="M144">
        <v>3</v>
      </c>
    </row>
    <row r="145" spans="1:13">
      <c r="A145">
        <v>30</v>
      </c>
      <c r="B145" t="s">
        <v>17</v>
      </c>
      <c r="C145" t="s">
        <v>18</v>
      </c>
      <c r="D145">
        <v>18</v>
      </c>
      <c r="E145">
        <v>3</v>
      </c>
      <c r="F145" t="s">
        <v>15</v>
      </c>
      <c r="G145">
        <v>1</v>
      </c>
      <c r="H145">
        <v>3</v>
      </c>
      <c r="I145" t="s">
        <v>16</v>
      </c>
      <c r="J145">
        <v>2632</v>
      </c>
      <c r="K145">
        <v>1</v>
      </c>
      <c r="L145">
        <v>2</v>
      </c>
      <c r="M145">
        <v>5</v>
      </c>
    </row>
    <row r="146" spans="1:13">
      <c r="A146">
        <v>32</v>
      </c>
      <c r="B146" t="s">
        <v>17</v>
      </c>
      <c r="C146" t="s">
        <v>14</v>
      </c>
      <c r="D146">
        <v>9</v>
      </c>
      <c r="E146">
        <v>2</v>
      </c>
      <c r="F146" t="s">
        <v>21</v>
      </c>
      <c r="G146">
        <v>4</v>
      </c>
      <c r="H146">
        <v>4</v>
      </c>
      <c r="I146" t="s">
        <v>22</v>
      </c>
      <c r="J146">
        <v>4668</v>
      </c>
      <c r="K146">
        <v>0</v>
      </c>
      <c r="L146">
        <v>4</v>
      </c>
      <c r="M146">
        <v>8</v>
      </c>
    </row>
    <row r="147" spans="1:13">
      <c r="A147">
        <v>30</v>
      </c>
      <c r="B147" t="s">
        <v>17</v>
      </c>
      <c r="C147" t="s">
        <v>18</v>
      </c>
      <c r="D147">
        <v>5</v>
      </c>
      <c r="E147">
        <v>3</v>
      </c>
      <c r="F147" t="s">
        <v>24</v>
      </c>
      <c r="G147">
        <v>4</v>
      </c>
      <c r="H147">
        <v>1</v>
      </c>
      <c r="I147" t="s">
        <v>22</v>
      </c>
      <c r="J147">
        <v>3204</v>
      </c>
      <c r="K147">
        <v>5</v>
      </c>
      <c r="L147">
        <v>3</v>
      </c>
      <c r="M147">
        <v>3</v>
      </c>
    </row>
    <row r="148" spans="1:13">
      <c r="A148">
        <v>30</v>
      </c>
      <c r="B148" t="s">
        <v>17</v>
      </c>
      <c r="C148" t="s">
        <v>18</v>
      </c>
      <c r="D148">
        <v>2</v>
      </c>
      <c r="E148">
        <v>1</v>
      </c>
      <c r="F148" t="s">
        <v>21</v>
      </c>
      <c r="G148">
        <v>2</v>
      </c>
      <c r="H148">
        <v>4</v>
      </c>
      <c r="I148" t="s">
        <v>16</v>
      </c>
      <c r="J148">
        <v>2720</v>
      </c>
      <c r="K148">
        <v>0</v>
      </c>
      <c r="L148">
        <v>3</v>
      </c>
      <c r="M148">
        <v>5</v>
      </c>
    </row>
    <row r="149" spans="1:13">
      <c r="A149">
        <v>41</v>
      </c>
      <c r="B149" t="s">
        <v>17</v>
      </c>
      <c r="C149" t="s">
        <v>18</v>
      </c>
      <c r="D149">
        <v>10</v>
      </c>
      <c r="E149">
        <v>3</v>
      </c>
      <c r="F149" t="s">
        <v>15</v>
      </c>
      <c r="G149">
        <v>4</v>
      </c>
      <c r="H149">
        <v>1</v>
      </c>
      <c r="I149" t="s">
        <v>22</v>
      </c>
      <c r="J149">
        <v>17181</v>
      </c>
      <c r="K149">
        <v>4</v>
      </c>
      <c r="L149">
        <v>2</v>
      </c>
      <c r="M149">
        <v>7</v>
      </c>
    </row>
    <row r="150" spans="1:13">
      <c r="A150">
        <v>41</v>
      </c>
      <c r="B150" t="s">
        <v>17</v>
      </c>
      <c r="C150" t="s">
        <v>18</v>
      </c>
      <c r="D150">
        <v>9</v>
      </c>
      <c r="E150">
        <v>4</v>
      </c>
      <c r="F150" t="s">
        <v>15</v>
      </c>
      <c r="G150">
        <v>3</v>
      </c>
      <c r="H150">
        <v>1</v>
      </c>
      <c r="I150" t="s">
        <v>19</v>
      </c>
      <c r="J150">
        <v>2238</v>
      </c>
      <c r="K150">
        <v>2</v>
      </c>
      <c r="L150">
        <v>3</v>
      </c>
      <c r="M150">
        <v>5</v>
      </c>
    </row>
    <row r="151" spans="1:13">
      <c r="A151">
        <v>19</v>
      </c>
      <c r="B151" t="s">
        <v>17</v>
      </c>
      <c r="C151" t="s">
        <v>18</v>
      </c>
      <c r="D151">
        <v>3</v>
      </c>
      <c r="E151">
        <v>1</v>
      </c>
      <c r="F151" t="s">
        <v>21</v>
      </c>
      <c r="G151">
        <v>2</v>
      </c>
      <c r="H151">
        <v>2</v>
      </c>
      <c r="I151" t="s">
        <v>16</v>
      </c>
      <c r="J151">
        <v>1483</v>
      </c>
      <c r="K151">
        <v>1</v>
      </c>
      <c r="L151">
        <v>3</v>
      </c>
      <c r="M151">
        <v>1</v>
      </c>
    </row>
    <row r="152" spans="1:13">
      <c r="A152">
        <v>40</v>
      </c>
      <c r="B152" t="s">
        <v>17</v>
      </c>
      <c r="C152" t="s">
        <v>18</v>
      </c>
      <c r="D152">
        <v>26</v>
      </c>
      <c r="E152">
        <v>3</v>
      </c>
      <c r="F152" t="s">
        <v>21</v>
      </c>
      <c r="G152">
        <v>2</v>
      </c>
      <c r="H152">
        <v>2</v>
      </c>
      <c r="I152" t="s">
        <v>22</v>
      </c>
      <c r="J152">
        <v>5605</v>
      </c>
      <c r="K152">
        <v>1</v>
      </c>
      <c r="L152">
        <v>3</v>
      </c>
      <c r="M152">
        <v>20</v>
      </c>
    </row>
    <row r="153" spans="1:13">
      <c r="A153">
        <v>35</v>
      </c>
      <c r="B153" t="s">
        <v>17</v>
      </c>
      <c r="C153" t="s">
        <v>14</v>
      </c>
      <c r="D153">
        <v>1</v>
      </c>
      <c r="E153">
        <v>5</v>
      </c>
      <c r="F153" t="s">
        <v>23</v>
      </c>
      <c r="G153">
        <v>3</v>
      </c>
      <c r="H153">
        <v>2</v>
      </c>
      <c r="I153" t="s">
        <v>19</v>
      </c>
      <c r="J153">
        <v>7295</v>
      </c>
      <c r="K153">
        <v>1</v>
      </c>
      <c r="L153">
        <v>3</v>
      </c>
      <c r="M153">
        <v>10</v>
      </c>
    </row>
    <row r="154" spans="1:13">
      <c r="A154">
        <v>53</v>
      </c>
      <c r="B154" t="s">
        <v>17</v>
      </c>
      <c r="C154" t="s">
        <v>14</v>
      </c>
      <c r="D154">
        <v>6</v>
      </c>
      <c r="E154">
        <v>2</v>
      </c>
      <c r="F154" t="s">
        <v>23</v>
      </c>
      <c r="G154">
        <v>2</v>
      </c>
      <c r="H154">
        <v>3</v>
      </c>
      <c r="I154" t="s">
        <v>19</v>
      </c>
      <c r="J154">
        <v>2306</v>
      </c>
      <c r="K154">
        <v>2</v>
      </c>
      <c r="L154">
        <v>1</v>
      </c>
      <c r="M154">
        <v>7</v>
      </c>
    </row>
    <row r="155" spans="1:13">
      <c r="A155">
        <v>45</v>
      </c>
      <c r="B155" t="s">
        <v>17</v>
      </c>
      <c r="C155" t="s">
        <v>18</v>
      </c>
      <c r="D155">
        <v>9</v>
      </c>
      <c r="E155">
        <v>3</v>
      </c>
      <c r="F155" t="s">
        <v>15</v>
      </c>
      <c r="G155">
        <v>2</v>
      </c>
      <c r="H155">
        <v>2</v>
      </c>
      <c r="I155" t="s">
        <v>22</v>
      </c>
      <c r="J155">
        <v>2348</v>
      </c>
      <c r="K155">
        <v>8</v>
      </c>
      <c r="L155">
        <v>1</v>
      </c>
      <c r="M155">
        <v>17</v>
      </c>
    </row>
    <row r="156" spans="1:13">
      <c r="A156">
        <v>32</v>
      </c>
      <c r="B156" t="s">
        <v>17</v>
      </c>
      <c r="C156" t="s">
        <v>14</v>
      </c>
      <c r="D156">
        <v>8</v>
      </c>
      <c r="E156">
        <v>3</v>
      </c>
      <c r="F156" t="s">
        <v>23</v>
      </c>
      <c r="G156">
        <v>2</v>
      </c>
      <c r="H156">
        <v>4</v>
      </c>
      <c r="I156" t="s">
        <v>16</v>
      </c>
      <c r="J156">
        <v>8998</v>
      </c>
      <c r="K156">
        <v>1</v>
      </c>
      <c r="L156">
        <v>3</v>
      </c>
      <c r="M156">
        <v>9</v>
      </c>
    </row>
    <row r="157" spans="1:13">
      <c r="A157">
        <v>29</v>
      </c>
      <c r="B157" t="s">
        <v>17</v>
      </c>
      <c r="C157" t="s">
        <v>18</v>
      </c>
      <c r="D157">
        <v>1</v>
      </c>
      <c r="E157">
        <v>1</v>
      </c>
      <c r="F157" t="s">
        <v>24</v>
      </c>
      <c r="G157">
        <v>4</v>
      </c>
      <c r="H157">
        <v>3</v>
      </c>
      <c r="I157" t="s">
        <v>19</v>
      </c>
      <c r="J157">
        <v>4319</v>
      </c>
      <c r="K157">
        <v>1</v>
      </c>
      <c r="L157">
        <v>3</v>
      </c>
      <c r="M157">
        <v>10</v>
      </c>
    </row>
    <row r="158" spans="1:13">
      <c r="A158">
        <v>51</v>
      </c>
      <c r="B158" t="s">
        <v>17</v>
      </c>
      <c r="C158" t="s">
        <v>18</v>
      </c>
      <c r="D158">
        <v>7</v>
      </c>
      <c r="E158">
        <v>4</v>
      </c>
      <c r="F158" t="s">
        <v>21</v>
      </c>
      <c r="G158">
        <v>2</v>
      </c>
      <c r="H158">
        <v>3</v>
      </c>
      <c r="I158" t="s">
        <v>19</v>
      </c>
      <c r="J158">
        <v>6132</v>
      </c>
      <c r="K158">
        <v>2</v>
      </c>
      <c r="L158">
        <v>3</v>
      </c>
      <c r="M158">
        <v>1</v>
      </c>
    </row>
    <row r="159" spans="1:13">
      <c r="A159">
        <v>58</v>
      </c>
      <c r="B159" t="s">
        <v>17</v>
      </c>
      <c r="C159" t="s">
        <v>18</v>
      </c>
      <c r="D159">
        <v>9</v>
      </c>
      <c r="E159">
        <v>3</v>
      </c>
      <c r="F159" t="s">
        <v>21</v>
      </c>
      <c r="G159">
        <v>2</v>
      </c>
      <c r="H159">
        <v>2</v>
      </c>
      <c r="I159" t="s">
        <v>19</v>
      </c>
      <c r="J159">
        <v>3346</v>
      </c>
      <c r="K159">
        <v>4</v>
      </c>
      <c r="L159">
        <v>2</v>
      </c>
      <c r="M159">
        <v>1</v>
      </c>
    </row>
    <row r="160" spans="1:13">
      <c r="A160">
        <v>40</v>
      </c>
      <c r="B160" t="s">
        <v>17</v>
      </c>
      <c r="C160" t="s">
        <v>14</v>
      </c>
      <c r="D160">
        <v>4</v>
      </c>
      <c r="E160">
        <v>4</v>
      </c>
      <c r="F160" t="s">
        <v>23</v>
      </c>
      <c r="G160">
        <v>3</v>
      </c>
      <c r="H160">
        <v>4</v>
      </c>
      <c r="I160" t="s">
        <v>19</v>
      </c>
      <c r="J160">
        <v>10855</v>
      </c>
      <c r="K160">
        <v>7</v>
      </c>
      <c r="L160">
        <v>2</v>
      </c>
      <c r="M160">
        <v>12</v>
      </c>
    </row>
    <row r="161" spans="1:13">
      <c r="A161">
        <v>34</v>
      </c>
      <c r="B161" t="s">
        <v>17</v>
      </c>
      <c r="C161" t="s">
        <v>14</v>
      </c>
      <c r="D161">
        <v>2</v>
      </c>
      <c r="E161">
        <v>4</v>
      </c>
      <c r="F161" t="s">
        <v>23</v>
      </c>
      <c r="G161">
        <v>3</v>
      </c>
      <c r="H161">
        <v>3</v>
      </c>
      <c r="I161" t="s">
        <v>19</v>
      </c>
      <c r="J161">
        <v>2231</v>
      </c>
      <c r="K161">
        <v>6</v>
      </c>
      <c r="L161">
        <v>3</v>
      </c>
      <c r="M161">
        <v>4</v>
      </c>
    </row>
    <row r="162" spans="1:13">
      <c r="A162">
        <v>22</v>
      </c>
      <c r="B162" t="s">
        <v>17</v>
      </c>
      <c r="C162" t="s">
        <v>18</v>
      </c>
      <c r="D162">
        <v>19</v>
      </c>
      <c r="E162">
        <v>1</v>
      </c>
      <c r="F162" t="s">
        <v>21</v>
      </c>
      <c r="G162">
        <v>3</v>
      </c>
      <c r="H162">
        <v>4</v>
      </c>
      <c r="I162" t="s">
        <v>19</v>
      </c>
      <c r="J162">
        <v>2323</v>
      </c>
      <c r="K162">
        <v>1</v>
      </c>
      <c r="L162">
        <v>3</v>
      </c>
      <c r="M162">
        <v>2</v>
      </c>
    </row>
    <row r="163" spans="1:13">
      <c r="A163">
        <v>27</v>
      </c>
      <c r="B163" t="s">
        <v>17</v>
      </c>
      <c r="C163" t="s">
        <v>18</v>
      </c>
      <c r="D163">
        <v>9</v>
      </c>
      <c r="E163">
        <v>3</v>
      </c>
      <c r="F163" t="s">
        <v>21</v>
      </c>
      <c r="G163">
        <v>4</v>
      </c>
      <c r="H163">
        <v>2</v>
      </c>
      <c r="I163" t="s">
        <v>22</v>
      </c>
      <c r="J163">
        <v>2024</v>
      </c>
      <c r="K163">
        <v>6</v>
      </c>
      <c r="L163">
        <v>1</v>
      </c>
      <c r="M163">
        <v>2</v>
      </c>
    </row>
    <row r="164" spans="1:13">
      <c r="A164">
        <v>28</v>
      </c>
      <c r="B164" t="s">
        <v>17</v>
      </c>
      <c r="C164" t="s">
        <v>18</v>
      </c>
      <c r="D164">
        <v>21</v>
      </c>
      <c r="E164">
        <v>3</v>
      </c>
      <c r="F164" t="s">
        <v>21</v>
      </c>
      <c r="G164">
        <v>3</v>
      </c>
      <c r="H164">
        <v>4</v>
      </c>
      <c r="I164" t="s">
        <v>19</v>
      </c>
      <c r="J164">
        <v>2713</v>
      </c>
      <c r="K164">
        <v>1</v>
      </c>
      <c r="L164">
        <v>1</v>
      </c>
      <c r="M164">
        <v>5</v>
      </c>
    </row>
    <row r="165" spans="1:13">
      <c r="A165">
        <v>57</v>
      </c>
      <c r="B165" t="s">
        <v>17</v>
      </c>
      <c r="C165" t="s">
        <v>18</v>
      </c>
      <c r="D165">
        <v>24</v>
      </c>
      <c r="E165">
        <v>2</v>
      </c>
      <c r="F165" t="s">
        <v>15</v>
      </c>
      <c r="G165">
        <v>3</v>
      </c>
      <c r="H165">
        <v>4</v>
      </c>
      <c r="I165" t="s">
        <v>22</v>
      </c>
      <c r="J165">
        <v>9439</v>
      </c>
      <c r="K165">
        <v>3</v>
      </c>
      <c r="L165">
        <v>1</v>
      </c>
      <c r="M165">
        <v>5</v>
      </c>
    </row>
    <row r="166" spans="1:13">
      <c r="A166">
        <v>27</v>
      </c>
      <c r="B166" t="s">
        <v>17</v>
      </c>
      <c r="C166" t="s">
        <v>18</v>
      </c>
      <c r="D166">
        <v>3</v>
      </c>
      <c r="E166">
        <v>3</v>
      </c>
      <c r="F166" t="s">
        <v>21</v>
      </c>
      <c r="G166">
        <v>3</v>
      </c>
      <c r="H166">
        <v>3</v>
      </c>
      <c r="I166" t="s">
        <v>22</v>
      </c>
      <c r="J166">
        <v>2566</v>
      </c>
      <c r="K166">
        <v>1</v>
      </c>
      <c r="L166">
        <v>2</v>
      </c>
      <c r="M166">
        <v>1</v>
      </c>
    </row>
    <row r="167" spans="1:13">
      <c r="A167">
        <v>50</v>
      </c>
      <c r="B167" t="s">
        <v>17</v>
      </c>
      <c r="C167" t="s">
        <v>18</v>
      </c>
      <c r="D167">
        <v>11</v>
      </c>
      <c r="E167">
        <v>3</v>
      </c>
      <c r="F167" t="s">
        <v>15</v>
      </c>
      <c r="G167">
        <v>3</v>
      </c>
      <c r="H167">
        <v>2</v>
      </c>
      <c r="I167" t="s">
        <v>16</v>
      </c>
      <c r="J167">
        <v>19926</v>
      </c>
      <c r="K167">
        <v>3</v>
      </c>
      <c r="L167">
        <v>3</v>
      </c>
      <c r="M167">
        <v>5</v>
      </c>
    </row>
    <row r="168" spans="1:13">
      <c r="A168">
        <v>41</v>
      </c>
      <c r="B168" t="s">
        <v>17</v>
      </c>
      <c r="C168" t="s">
        <v>18</v>
      </c>
      <c r="D168">
        <v>14</v>
      </c>
      <c r="E168">
        <v>3</v>
      </c>
      <c r="F168" t="s">
        <v>15</v>
      </c>
      <c r="G168">
        <v>1</v>
      </c>
      <c r="H168">
        <v>3</v>
      </c>
      <c r="I168" t="s">
        <v>22</v>
      </c>
      <c r="J168">
        <v>2451</v>
      </c>
      <c r="K168">
        <v>4</v>
      </c>
      <c r="L168">
        <v>3</v>
      </c>
      <c r="M168">
        <v>9</v>
      </c>
    </row>
    <row r="169" spans="1:13">
      <c r="A169">
        <v>30</v>
      </c>
      <c r="B169" t="s">
        <v>17</v>
      </c>
      <c r="C169" t="s">
        <v>14</v>
      </c>
      <c r="D169">
        <v>5</v>
      </c>
      <c r="E169">
        <v>3</v>
      </c>
      <c r="F169" t="s">
        <v>15</v>
      </c>
      <c r="G169">
        <v>2</v>
      </c>
      <c r="H169">
        <v>4</v>
      </c>
      <c r="I169" t="s">
        <v>19</v>
      </c>
      <c r="J169">
        <v>9419</v>
      </c>
      <c r="K169">
        <v>2</v>
      </c>
      <c r="L169">
        <v>3</v>
      </c>
      <c r="M169">
        <v>10</v>
      </c>
    </row>
    <row r="170" spans="1:13">
      <c r="A170">
        <v>38</v>
      </c>
      <c r="B170" t="s">
        <v>17</v>
      </c>
      <c r="C170" t="s">
        <v>14</v>
      </c>
      <c r="D170">
        <v>1</v>
      </c>
      <c r="E170">
        <v>4</v>
      </c>
      <c r="F170" t="s">
        <v>15</v>
      </c>
      <c r="G170">
        <v>1</v>
      </c>
      <c r="H170">
        <v>4</v>
      </c>
      <c r="I170" t="s">
        <v>16</v>
      </c>
      <c r="J170">
        <v>8686</v>
      </c>
      <c r="K170">
        <v>4</v>
      </c>
      <c r="L170">
        <v>4</v>
      </c>
      <c r="M170">
        <v>8</v>
      </c>
    </row>
    <row r="171" spans="1:13">
      <c r="A171">
        <v>32</v>
      </c>
      <c r="B171" t="s">
        <v>17</v>
      </c>
      <c r="C171" t="s">
        <v>18</v>
      </c>
      <c r="D171">
        <v>6</v>
      </c>
      <c r="E171">
        <v>5</v>
      </c>
      <c r="F171" t="s">
        <v>15</v>
      </c>
      <c r="G171">
        <v>3</v>
      </c>
      <c r="H171">
        <v>3</v>
      </c>
      <c r="I171" t="s">
        <v>16</v>
      </c>
      <c r="J171">
        <v>3038</v>
      </c>
      <c r="K171">
        <v>3</v>
      </c>
      <c r="L171">
        <v>3</v>
      </c>
      <c r="M171">
        <v>5</v>
      </c>
    </row>
    <row r="172" spans="1:13">
      <c r="A172">
        <v>27</v>
      </c>
      <c r="B172" t="s">
        <v>17</v>
      </c>
      <c r="C172" t="s">
        <v>18</v>
      </c>
      <c r="D172">
        <v>17</v>
      </c>
      <c r="E172">
        <v>3</v>
      </c>
      <c r="F172" t="s">
        <v>24</v>
      </c>
      <c r="G172">
        <v>3</v>
      </c>
      <c r="H172">
        <v>2</v>
      </c>
      <c r="I172" t="s">
        <v>19</v>
      </c>
      <c r="J172">
        <v>3058</v>
      </c>
      <c r="K172">
        <v>0</v>
      </c>
      <c r="L172">
        <v>2</v>
      </c>
      <c r="M172">
        <v>5</v>
      </c>
    </row>
    <row r="173" spans="1:13">
      <c r="A173">
        <v>19</v>
      </c>
      <c r="B173" t="s">
        <v>13</v>
      </c>
      <c r="C173" t="s">
        <v>14</v>
      </c>
      <c r="D173">
        <v>1</v>
      </c>
      <c r="E173">
        <v>1</v>
      </c>
      <c r="F173" t="s">
        <v>24</v>
      </c>
      <c r="G173">
        <v>3</v>
      </c>
      <c r="H173">
        <v>1</v>
      </c>
      <c r="I173" t="s">
        <v>16</v>
      </c>
      <c r="J173">
        <v>2325</v>
      </c>
      <c r="K173">
        <v>0</v>
      </c>
      <c r="L173">
        <v>4</v>
      </c>
      <c r="M173">
        <v>0</v>
      </c>
    </row>
    <row r="174" spans="1:13">
      <c r="A174">
        <v>36</v>
      </c>
      <c r="B174" t="s">
        <v>17</v>
      </c>
      <c r="C174" t="s">
        <v>18</v>
      </c>
      <c r="D174">
        <v>3</v>
      </c>
      <c r="E174">
        <v>2</v>
      </c>
      <c r="F174" t="s">
        <v>21</v>
      </c>
      <c r="G174">
        <v>4</v>
      </c>
      <c r="H174">
        <v>2</v>
      </c>
      <c r="I174" t="s">
        <v>16</v>
      </c>
      <c r="J174">
        <v>2088</v>
      </c>
      <c r="K174">
        <v>4</v>
      </c>
      <c r="L174">
        <v>2</v>
      </c>
      <c r="M174">
        <v>8</v>
      </c>
    </row>
    <row r="175" spans="1:13">
      <c r="A175">
        <v>30</v>
      </c>
      <c r="B175" t="s">
        <v>17</v>
      </c>
      <c r="C175" t="s">
        <v>18</v>
      </c>
      <c r="D175">
        <v>9</v>
      </c>
      <c r="E175">
        <v>3</v>
      </c>
      <c r="F175" t="s">
        <v>21</v>
      </c>
      <c r="G175">
        <v>3</v>
      </c>
      <c r="H175">
        <v>1</v>
      </c>
      <c r="I175" t="s">
        <v>22</v>
      </c>
      <c r="J175">
        <v>3072</v>
      </c>
      <c r="K175">
        <v>1</v>
      </c>
      <c r="L175">
        <v>3</v>
      </c>
      <c r="M175">
        <v>12</v>
      </c>
    </row>
    <row r="176" spans="1:13">
      <c r="A176">
        <v>45</v>
      </c>
      <c r="B176" t="s">
        <v>17</v>
      </c>
      <c r="C176" t="s">
        <v>14</v>
      </c>
      <c r="D176">
        <v>4</v>
      </c>
      <c r="E176">
        <v>2</v>
      </c>
      <c r="F176" t="s">
        <v>15</v>
      </c>
      <c r="G176">
        <v>3</v>
      </c>
      <c r="H176">
        <v>1</v>
      </c>
      <c r="I176" t="s">
        <v>22</v>
      </c>
      <c r="J176">
        <v>5006</v>
      </c>
      <c r="K176">
        <v>4</v>
      </c>
      <c r="L176">
        <v>4</v>
      </c>
      <c r="M176">
        <v>5</v>
      </c>
    </row>
    <row r="177" spans="1:13">
      <c r="A177">
        <v>56</v>
      </c>
      <c r="B177" t="s">
        <v>17</v>
      </c>
      <c r="C177" t="s">
        <v>18</v>
      </c>
      <c r="D177">
        <v>8</v>
      </c>
      <c r="E177">
        <v>3</v>
      </c>
      <c r="F177" t="s">
        <v>15</v>
      </c>
      <c r="G177">
        <v>3</v>
      </c>
      <c r="H177">
        <v>1</v>
      </c>
      <c r="I177" t="s">
        <v>22</v>
      </c>
      <c r="J177">
        <v>4257</v>
      </c>
      <c r="K177">
        <v>4</v>
      </c>
      <c r="L177">
        <v>3</v>
      </c>
      <c r="M177">
        <v>2</v>
      </c>
    </row>
    <row r="178" spans="1:13">
      <c r="A178">
        <v>33</v>
      </c>
      <c r="B178" t="s">
        <v>17</v>
      </c>
      <c r="C178" t="s">
        <v>18</v>
      </c>
      <c r="D178">
        <v>2</v>
      </c>
      <c r="E178">
        <v>3</v>
      </c>
      <c r="F178" t="s">
        <v>15</v>
      </c>
      <c r="G178">
        <v>3</v>
      </c>
      <c r="H178">
        <v>4</v>
      </c>
      <c r="I178" t="s">
        <v>16</v>
      </c>
      <c r="J178">
        <v>2500</v>
      </c>
      <c r="K178">
        <v>0</v>
      </c>
      <c r="L178">
        <v>4</v>
      </c>
      <c r="M178">
        <v>3</v>
      </c>
    </row>
    <row r="179" spans="1:13">
      <c r="A179">
        <v>19</v>
      </c>
      <c r="B179" t="s">
        <v>13</v>
      </c>
      <c r="C179" t="s">
        <v>18</v>
      </c>
      <c r="D179">
        <v>2</v>
      </c>
      <c r="E179">
        <v>3</v>
      </c>
      <c r="F179" t="s">
        <v>15</v>
      </c>
      <c r="G179">
        <v>2</v>
      </c>
      <c r="H179">
        <v>4</v>
      </c>
      <c r="I179" t="s">
        <v>16</v>
      </c>
      <c r="J179">
        <v>1102</v>
      </c>
      <c r="K179">
        <v>1</v>
      </c>
      <c r="L179">
        <v>2</v>
      </c>
      <c r="M179">
        <v>1</v>
      </c>
    </row>
    <row r="180" spans="1:13">
      <c r="A180">
        <v>46</v>
      </c>
      <c r="B180" t="s">
        <v>17</v>
      </c>
      <c r="C180" t="s">
        <v>14</v>
      </c>
      <c r="D180">
        <v>1</v>
      </c>
      <c r="E180">
        <v>2</v>
      </c>
      <c r="F180" t="s">
        <v>23</v>
      </c>
      <c r="G180">
        <v>2</v>
      </c>
      <c r="H180">
        <v>1</v>
      </c>
      <c r="I180" t="s">
        <v>22</v>
      </c>
      <c r="J180">
        <v>10453</v>
      </c>
      <c r="K180">
        <v>1</v>
      </c>
      <c r="L180">
        <v>3</v>
      </c>
      <c r="M180">
        <v>24</v>
      </c>
    </row>
    <row r="181" spans="1:13">
      <c r="A181">
        <v>38</v>
      </c>
      <c r="B181" t="s">
        <v>17</v>
      </c>
      <c r="C181" t="s">
        <v>18</v>
      </c>
      <c r="D181">
        <v>9</v>
      </c>
      <c r="E181">
        <v>2</v>
      </c>
      <c r="F181" t="s">
        <v>15</v>
      </c>
      <c r="G181">
        <v>3</v>
      </c>
      <c r="H181">
        <v>4</v>
      </c>
      <c r="I181" t="s">
        <v>16</v>
      </c>
      <c r="J181">
        <v>2288</v>
      </c>
      <c r="K181">
        <v>1</v>
      </c>
      <c r="L181">
        <v>3</v>
      </c>
      <c r="M181">
        <v>2</v>
      </c>
    </row>
    <row r="182" spans="1:13">
      <c r="A182">
        <v>31</v>
      </c>
      <c r="B182" t="s">
        <v>17</v>
      </c>
      <c r="C182" t="s">
        <v>18</v>
      </c>
      <c r="D182">
        <v>12</v>
      </c>
      <c r="E182">
        <v>1</v>
      </c>
      <c r="F182" t="s">
        <v>21</v>
      </c>
      <c r="G182">
        <v>3</v>
      </c>
      <c r="H182">
        <v>4</v>
      </c>
      <c r="I182" t="s">
        <v>19</v>
      </c>
      <c r="J182">
        <v>3929</v>
      </c>
      <c r="K182">
        <v>8</v>
      </c>
      <c r="L182">
        <v>3</v>
      </c>
      <c r="M182">
        <v>4</v>
      </c>
    </row>
    <row r="183" spans="1:13">
      <c r="A183">
        <v>34</v>
      </c>
      <c r="B183" t="s">
        <v>17</v>
      </c>
      <c r="C183" t="s">
        <v>18</v>
      </c>
      <c r="D183">
        <v>27</v>
      </c>
      <c r="E183">
        <v>2</v>
      </c>
      <c r="F183" t="s">
        <v>21</v>
      </c>
      <c r="G183">
        <v>4</v>
      </c>
      <c r="H183">
        <v>2</v>
      </c>
      <c r="I183" t="s">
        <v>16</v>
      </c>
      <c r="J183">
        <v>2311</v>
      </c>
      <c r="K183">
        <v>2</v>
      </c>
      <c r="L183">
        <v>3</v>
      </c>
      <c r="M183">
        <v>3</v>
      </c>
    </row>
    <row r="184" spans="1:13">
      <c r="A184">
        <v>41</v>
      </c>
      <c r="B184" t="s">
        <v>13</v>
      </c>
      <c r="C184" t="s">
        <v>14</v>
      </c>
      <c r="D184">
        <v>20</v>
      </c>
      <c r="E184">
        <v>2</v>
      </c>
      <c r="F184" t="s">
        <v>23</v>
      </c>
      <c r="G184">
        <v>2</v>
      </c>
      <c r="H184">
        <v>2</v>
      </c>
      <c r="I184" t="s">
        <v>16</v>
      </c>
      <c r="J184">
        <v>3140</v>
      </c>
      <c r="K184">
        <v>1</v>
      </c>
      <c r="L184">
        <v>2</v>
      </c>
      <c r="M184">
        <v>4</v>
      </c>
    </row>
    <row r="185" spans="1:13">
      <c r="A185">
        <v>50</v>
      </c>
      <c r="B185" t="s">
        <v>17</v>
      </c>
      <c r="C185" t="s">
        <v>18</v>
      </c>
      <c r="D185">
        <v>1</v>
      </c>
      <c r="E185">
        <v>3</v>
      </c>
      <c r="F185" t="s">
        <v>21</v>
      </c>
      <c r="G185">
        <v>3</v>
      </c>
      <c r="H185">
        <v>3</v>
      </c>
      <c r="I185" t="s">
        <v>19</v>
      </c>
      <c r="J185">
        <v>3690</v>
      </c>
      <c r="K185">
        <v>2</v>
      </c>
      <c r="L185">
        <v>2</v>
      </c>
      <c r="M185">
        <v>3</v>
      </c>
    </row>
    <row r="186" spans="1:13">
      <c r="A186">
        <v>53</v>
      </c>
      <c r="B186" t="s">
        <v>17</v>
      </c>
      <c r="C186" t="s">
        <v>18</v>
      </c>
      <c r="D186">
        <v>13</v>
      </c>
      <c r="E186">
        <v>2</v>
      </c>
      <c r="F186" t="s">
        <v>21</v>
      </c>
      <c r="G186">
        <v>4</v>
      </c>
      <c r="H186">
        <v>1</v>
      </c>
      <c r="I186" t="s">
        <v>22</v>
      </c>
      <c r="J186">
        <v>4450</v>
      </c>
      <c r="K186">
        <v>1</v>
      </c>
      <c r="L186">
        <v>3</v>
      </c>
      <c r="M186">
        <v>4</v>
      </c>
    </row>
    <row r="187" spans="1:13">
      <c r="A187">
        <v>33</v>
      </c>
      <c r="B187" t="s">
        <v>17</v>
      </c>
      <c r="C187" t="s">
        <v>18</v>
      </c>
      <c r="D187">
        <v>14</v>
      </c>
      <c r="E187">
        <v>3</v>
      </c>
      <c r="F187" t="s">
        <v>21</v>
      </c>
      <c r="G187">
        <v>4</v>
      </c>
      <c r="H187">
        <v>2</v>
      </c>
      <c r="I187" t="s">
        <v>19</v>
      </c>
      <c r="J187">
        <v>2756</v>
      </c>
      <c r="K187">
        <v>1</v>
      </c>
      <c r="L187">
        <v>3</v>
      </c>
      <c r="M187">
        <v>8</v>
      </c>
    </row>
    <row r="188" spans="1:13">
      <c r="A188">
        <v>40</v>
      </c>
      <c r="B188" t="s">
        <v>17</v>
      </c>
      <c r="C188" t="s">
        <v>18</v>
      </c>
      <c r="D188">
        <v>4</v>
      </c>
      <c r="E188">
        <v>1</v>
      </c>
      <c r="F188" t="s">
        <v>21</v>
      </c>
      <c r="G188">
        <v>4</v>
      </c>
      <c r="H188">
        <v>3</v>
      </c>
      <c r="I188" t="s">
        <v>19</v>
      </c>
      <c r="J188">
        <v>19033</v>
      </c>
      <c r="K188">
        <v>1</v>
      </c>
      <c r="L188">
        <v>3</v>
      </c>
      <c r="M188">
        <v>20</v>
      </c>
    </row>
    <row r="189" spans="1:13">
      <c r="A189">
        <v>55</v>
      </c>
      <c r="B189" t="s">
        <v>17</v>
      </c>
      <c r="C189" t="s">
        <v>18</v>
      </c>
      <c r="D189">
        <v>14</v>
      </c>
      <c r="E189">
        <v>4</v>
      </c>
      <c r="F189" t="s">
        <v>21</v>
      </c>
      <c r="G189">
        <v>3</v>
      </c>
      <c r="H189">
        <v>2</v>
      </c>
      <c r="I189" t="s">
        <v>16</v>
      </c>
      <c r="J189">
        <v>18722</v>
      </c>
      <c r="K189">
        <v>8</v>
      </c>
      <c r="L189">
        <v>3</v>
      </c>
      <c r="M189">
        <v>24</v>
      </c>
    </row>
    <row r="190" spans="1:13">
      <c r="A190">
        <v>34</v>
      </c>
      <c r="B190" t="s">
        <v>17</v>
      </c>
      <c r="C190" t="s">
        <v>18</v>
      </c>
      <c r="D190">
        <v>2</v>
      </c>
      <c r="E190">
        <v>1</v>
      </c>
      <c r="F190" t="s">
        <v>15</v>
      </c>
      <c r="G190">
        <v>4</v>
      </c>
      <c r="H190">
        <v>3</v>
      </c>
      <c r="I190" t="s">
        <v>19</v>
      </c>
      <c r="J190">
        <v>9547</v>
      </c>
      <c r="K190">
        <v>1</v>
      </c>
      <c r="L190">
        <v>2</v>
      </c>
      <c r="M190">
        <v>10</v>
      </c>
    </row>
    <row r="191" spans="1:13">
      <c r="A191">
        <v>51</v>
      </c>
      <c r="B191" t="s">
        <v>17</v>
      </c>
      <c r="C191" t="s">
        <v>18</v>
      </c>
      <c r="D191">
        <v>3</v>
      </c>
      <c r="E191">
        <v>3</v>
      </c>
      <c r="F191" t="s">
        <v>21</v>
      </c>
      <c r="G191">
        <v>4</v>
      </c>
      <c r="H191">
        <v>2</v>
      </c>
      <c r="I191" t="s">
        <v>16</v>
      </c>
      <c r="J191">
        <v>13734</v>
      </c>
      <c r="K191">
        <v>3</v>
      </c>
      <c r="L191">
        <v>3</v>
      </c>
      <c r="M191">
        <v>7</v>
      </c>
    </row>
    <row r="192" spans="1:13">
      <c r="A192">
        <v>52</v>
      </c>
      <c r="B192" t="s">
        <v>17</v>
      </c>
      <c r="C192" t="s">
        <v>18</v>
      </c>
      <c r="D192">
        <v>1</v>
      </c>
      <c r="E192">
        <v>4</v>
      </c>
      <c r="F192" t="s">
        <v>15</v>
      </c>
      <c r="G192">
        <v>3</v>
      </c>
      <c r="H192">
        <v>3</v>
      </c>
      <c r="I192" t="s">
        <v>19</v>
      </c>
      <c r="J192">
        <v>19999</v>
      </c>
      <c r="K192">
        <v>0</v>
      </c>
      <c r="L192">
        <v>3</v>
      </c>
      <c r="M192">
        <v>33</v>
      </c>
    </row>
    <row r="193" spans="1:13">
      <c r="A193">
        <v>27</v>
      </c>
      <c r="B193" t="s">
        <v>17</v>
      </c>
      <c r="C193" t="s">
        <v>18</v>
      </c>
      <c r="D193">
        <v>9</v>
      </c>
      <c r="E193">
        <v>3</v>
      </c>
      <c r="F193" t="s">
        <v>21</v>
      </c>
      <c r="G193">
        <v>4</v>
      </c>
      <c r="H193">
        <v>2</v>
      </c>
      <c r="I193" t="s">
        <v>16</v>
      </c>
      <c r="J193">
        <v>2279</v>
      </c>
      <c r="K193">
        <v>1</v>
      </c>
      <c r="L193">
        <v>2</v>
      </c>
      <c r="M193">
        <v>7</v>
      </c>
    </row>
    <row r="194" spans="1:13">
      <c r="A194">
        <v>35</v>
      </c>
      <c r="B194" t="s">
        <v>13</v>
      </c>
      <c r="C194" t="s">
        <v>18</v>
      </c>
      <c r="D194">
        <v>23</v>
      </c>
      <c r="E194">
        <v>2</v>
      </c>
      <c r="F194" t="s">
        <v>15</v>
      </c>
      <c r="G194">
        <v>2</v>
      </c>
      <c r="H194">
        <v>3</v>
      </c>
      <c r="I194" t="s">
        <v>19</v>
      </c>
      <c r="J194">
        <v>5916</v>
      </c>
      <c r="K194">
        <v>3</v>
      </c>
      <c r="L194">
        <v>3</v>
      </c>
      <c r="M194">
        <v>1</v>
      </c>
    </row>
    <row r="195" spans="1:13">
      <c r="A195">
        <v>43</v>
      </c>
      <c r="B195" t="s">
        <v>17</v>
      </c>
      <c r="C195" t="s">
        <v>18</v>
      </c>
      <c r="D195">
        <v>7</v>
      </c>
      <c r="E195">
        <v>3</v>
      </c>
      <c r="F195" t="s">
        <v>21</v>
      </c>
      <c r="G195">
        <v>4</v>
      </c>
      <c r="H195">
        <v>4</v>
      </c>
      <c r="I195" t="s">
        <v>22</v>
      </c>
      <c r="J195">
        <v>2089</v>
      </c>
      <c r="K195">
        <v>4</v>
      </c>
      <c r="L195">
        <v>4</v>
      </c>
      <c r="M195">
        <v>5</v>
      </c>
    </row>
    <row r="196" spans="1:13">
      <c r="A196">
        <v>45</v>
      </c>
      <c r="B196" t="s">
        <v>17</v>
      </c>
      <c r="C196" t="s">
        <v>18</v>
      </c>
      <c r="D196">
        <v>2</v>
      </c>
      <c r="E196">
        <v>2</v>
      </c>
      <c r="F196" t="s">
        <v>21</v>
      </c>
      <c r="G196">
        <v>1</v>
      </c>
      <c r="H196">
        <v>4</v>
      </c>
      <c r="I196" t="s">
        <v>19</v>
      </c>
      <c r="J196">
        <v>16792</v>
      </c>
      <c r="K196">
        <v>9</v>
      </c>
      <c r="L196">
        <v>3</v>
      </c>
      <c r="M196">
        <v>20</v>
      </c>
    </row>
    <row r="197" spans="1:13">
      <c r="A197">
        <v>37</v>
      </c>
      <c r="B197" t="s">
        <v>17</v>
      </c>
      <c r="C197" t="s">
        <v>18</v>
      </c>
      <c r="D197">
        <v>21</v>
      </c>
      <c r="E197">
        <v>3</v>
      </c>
      <c r="F197" t="s">
        <v>15</v>
      </c>
      <c r="G197">
        <v>2</v>
      </c>
      <c r="H197">
        <v>1</v>
      </c>
      <c r="I197" t="s">
        <v>19</v>
      </c>
      <c r="J197">
        <v>3564</v>
      </c>
      <c r="K197">
        <v>1</v>
      </c>
      <c r="L197">
        <v>2</v>
      </c>
      <c r="M197">
        <v>8</v>
      </c>
    </row>
    <row r="198" spans="1:13">
      <c r="A198">
        <v>35</v>
      </c>
      <c r="B198" t="s">
        <v>17</v>
      </c>
      <c r="C198" t="s">
        <v>18</v>
      </c>
      <c r="D198">
        <v>2</v>
      </c>
      <c r="E198">
        <v>3</v>
      </c>
      <c r="F198" t="s">
        <v>21</v>
      </c>
      <c r="G198">
        <v>2</v>
      </c>
      <c r="H198">
        <v>2</v>
      </c>
      <c r="I198" t="s">
        <v>16</v>
      </c>
      <c r="J198">
        <v>4425</v>
      </c>
      <c r="K198">
        <v>5</v>
      </c>
      <c r="L198">
        <v>3</v>
      </c>
      <c r="M198">
        <v>6</v>
      </c>
    </row>
    <row r="199" spans="1:13">
      <c r="A199">
        <v>42</v>
      </c>
      <c r="B199" t="s">
        <v>17</v>
      </c>
      <c r="C199" t="s">
        <v>18</v>
      </c>
      <c r="D199">
        <v>21</v>
      </c>
      <c r="E199">
        <v>2</v>
      </c>
      <c r="F199" t="s">
        <v>21</v>
      </c>
      <c r="G199">
        <v>3</v>
      </c>
      <c r="H199">
        <v>3</v>
      </c>
      <c r="I199" t="s">
        <v>22</v>
      </c>
      <c r="J199">
        <v>5265</v>
      </c>
      <c r="K199">
        <v>2</v>
      </c>
      <c r="L199">
        <v>3</v>
      </c>
      <c r="M199">
        <v>5</v>
      </c>
    </row>
    <row r="200" spans="1:13">
      <c r="A200">
        <v>38</v>
      </c>
      <c r="B200" t="s">
        <v>17</v>
      </c>
      <c r="C200" t="s">
        <v>18</v>
      </c>
      <c r="D200">
        <v>2</v>
      </c>
      <c r="E200">
        <v>4</v>
      </c>
      <c r="F200" t="s">
        <v>15</v>
      </c>
      <c r="G200">
        <v>4</v>
      </c>
      <c r="H200">
        <v>3</v>
      </c>
      <c r="I200" t="s">
        <v>19</v>
      </c>
      <c r="J200">
        <v>6553</v>
      </c>
      <c r="K200">
        <v>9</v>
      </c>
      <c r="L200">
        <v>3</v>
      </c>
      <c r="M200">
        <v>1</v>
      </c>
    </row>
    <row r="201" spans="1:13">
      <c r="A201">
        <v>38</v>
      </c>
      <c r="B201" t="s">
        <v>17</v>
      </c>
      <c r="C201" t="s">
        <v>18</v>
      </c>
      <c r="D201">
        <v>29</v>
      </c>
      <c r="E201">
        <v>3</v>
      </c>
      <c r="F201" t="s">
        <v>24</v>
      </c>
      <c r="G201">
        <v>4</v>
      </c>
      <c r="H201">
        <v>4</v>
      </c>
      <c r="I201" t="s">
        <v>19</v>
      </c>
      <c r="J201">
        <v>6261</v>
      </c>
      <c r="K201">
        <v>3</v>
      </c>
      <c r="L201">
        <v>1</v>
      </c>
      <c r="M201">
        <v>7</v>
      </c>
    </row>
    <row r="202" spans="1:13">
      <c r="A202">
        <v>27</v>
      </c>
      <c r="B202" t="s">
        <v>17</v>
      </c>
      <c r="C202" t="s">
        <v>18</v>
      </c>
      <c r="D202">
        <v>1</v>
      </c>
      <c r="E202">
        <v>1</v>
      </c>
      <c r="F202" t="s">
        <v>24</v>
      </c>
      <c r="G202">
        <v>3</v>
      </c>
      <c r="H202">
        <v>1</v>
      </c>
      <c r="I202" t="s">
        <v>19</v>
      </c>
      <c r="J202">
        <v>4298</v>
      </c>
      <c r="K202">
        <v>5</v>
      </c>
      <c r="L202">
        <v>3</v>
      </c>
      <c r="M202">
        <v>2</v>
      </c>
    </row>
    <row r="203" spans="1:13">
      <c r="A203">
        <v>49</v>
      </c>
      <c r="B203" t="s">
        <v>17</v>
      </c>
      <c r="C203" t="s">
        <v>18</v>
      </c>
      <c r="D203">
        <v>18</v>
      </c>
      <c r="E203">
        <v>4</v>
      </c>
      <c r="F203" t="s">
        <v>15</v>
      </c>
      <c r="G203">
        <v>4</v>
      </c>
      <c r="H203">
        <v>4</v>
      </c>
      <c r="I203" t="s">
        <v>22</v>
      </c>
      <c r="J203">
        <v>6804</v>
      </c>
      <c r="K203">
        <v>1</v>
      </c>
      <c r="L203">
        <v>3</v>
      </c>
      <c r="M203">
        <v>7</v>
      </c>
    </row>
    <row r="204" spans="1:13">
      <c r="A204">
        <v>34</v>
      </c>
      <c r="B204" t="s">
        <v>17</v>
      </c>
      <c r="C204" t="s">
        <v>18</v>
      </c>
      <c r="D204">
        <v>10</v>
      </c>
      <c r="E204">
        <v>4</v>
      </c>
      <c r="F204" t="s">
        <v>21</v>
      </c>
      <c r="G204">
        <v>4</v>
      </c>
      <c r="H204">
        <v>3</v>
      </c>
      <c r="I204" t="s">
        <v>22</v>
      </c>
      <c r="J204">
        <v>3815</v>
      </c>
      <c r="K204">
        <v>1</v>
      </c>
      <c r="L204">
        <v>4</v>
      </c>
      <c r="M204">
        <v>5</v>
      </c>
    </row>
    <row r="205" spans="1:13">
      <c r="A205">
        <v>40</v>
      </c>
      <c r="B205" t="s">
        <v>17</v>
      </c>
      <c r="C205" t="s">
        <v>18</v>
      </c>
      <c r="D205">
        <v>19</v>
      </c>
      <c r="E205">
        <v>2</v>
      </c>
      <c r="F205" t="s">
        <v>21</v>
      </c>
      <c r="G205">
        <v>3</v>
      </c>
      <c r="H205">
        <v>4</v>
      </c>
      <c r="I205" t="s">
        <v>19</v>
      </c>
      <c r="J205">
        <v>2741</v>
      </c>
      <c r="K205">
        <v>8</v>
      </c>
      <c r="L205">
        <v>4</v>
      </c>
      <c r="M205">
        <v>7</v>
      </c>
    </row>
    <row r="206" spans="1:13">
      <c r="A206">
        <v>38</v>
      </c>
      <c r="B206" t="s">
        <v>13</v>
      </c>
      <c r="C206" t="s">
        <v>18</v>
      </c>
      <c r="D206">
        <v>29</v>
      </c>
      <c r="E206">
        <v>1</v>
      </c>
      <c r="F206" t="s">
        <v>21</v>
      </c>
      <c r="G206">
        <v>2</v>
      </c>
      <c r="H206">
        <v>1</v>
      </c>
      <c r="I206" t="s">
        <v>19</v>
      </c>
      <c r="J206">
        <v>6673</v>
      </c>
      <c r="K206">
        <v>7</v>
      </c>
      <c r="L206">
        <v>3</v>
      </c>
      <c r="M206">
        <v>1</v>
      </c>
    </row>
    <row r="207" spans="1:13">
      <c r="A207">
        <v>29</v>
      </c>
      <c r="B207" t="s">
        <v>13</v>
      </c>
      <c r="C207" t="s">
        <v>14</v>
      </c>
      <c r="D207">
        <v>27</v>
      </c>
      <c r="E207">
        <v>3</v>
      </c>
      <c r="F207" t="s">
        <v>23</v>
      </c>
      <c r="G207">
        <v>2</v>
      </c>
      <c r="H207">
        <v>4</v>
      </c>
      <c r="I207" t="s">
        <v>19</v>
      </c>
      <c r="J207">
        <v>7639</v>
      </c>
      <c r="K207">
        <v>1</v>
      </c>
      <c r="L207">
        <v>2</v>
      </c>
      <c r="M207">
        <v>10</v>
      </c>
    </row>
    <row r="208" spans="1:13">
      <c r="A208">
        <v>22</v>
      </c>
      <c r="B208" t="s">
        <v>17</v>
      </c>
      <c r="C208" t="s">
        <v>18</v>
      </c>
      <c r="D208">
        <v>5</v>
      </c>
      <c r="E208">
        <v>3</v>
      </c>
      <c r="F208" t="s">
        <v>15</v>
      </c>
      <c r="G208">
        <v>4</v>
      </c>
      <c r="H208">
        <v>2</v>
      </c>
      <c r="I208" t="s">
        <v>22</v>
      </c>
      <c r="J208">
        <v>2328</v>
      </c>
      <c r="K208">
        <v>1</v>
      </c>
      <c r="L208">
        <v>2</v>
      </c>
      <c r="M208">
        <v>4</v>
      </c>
    </row>
    <row r="209" spans="1:13">
      <c r="A209">
        <v>36</v>
      </c>
      <c r="B209" t="s">
        <v>17</v>
      </c>
      <c r="C209" t="s">
        <v>18</v>
      </c>
      <c r="D209">
        <v>18</v>
      </c>
      <c r="E209">
        <v>1</v>
      </c>
      <c r="F209" t="s">
        <v>21</v>
      </c>
      <c r="G209">
        <v>2</v>
      </c>
      <c r="H209">
        <v>4</v>
      </c>
      <c r="I209" t="s">
        <v>16</v>
      </c>
      <c r="J209">
        <v>2153</v>
      </c>
      <c r="K209">
        <v>1</v>
      </c>
      <c r="L209">
        <v>3</v>
      </c>
      <c r="M209">
        <v>8</v>
      </c>
    </row>
    <row r="210" spans="1:13">
      <c r="A210">
        <v>40</v>
      </c>
      <c r="B210" t="s">
        <v>17</v>
      </c>
      <c r="C210" t="s">
        <v>18</v>
      </c>
      <c r="D210">
        <v>9</v>
      </c>
      <c r="E210">
        <v>5</v>
      </c>
      <c r="F210" t="s">
        <v>15</v>
      </c>
      <c r="G210">
        <v>4</v>
      </c>
      <c r="H210">
        <v>4</v>
      </c>
      <c r="I210" t="s">
        <v>19</v>
      </c>
      <c r="J210">
        <v>4876</v>
      </c>
      <c r="K210">
        <v>9</v>
      </c>
      <c r="L210">
        <v>1</v>
      </c>
      <c r="M210">
        <v>3</v>
      </c>
    </row>
    <row r="211" spans="1:13">
      <c r="A211">
        <v>46</v>
      </c>
      <c r="B211" t="s">
        <v>17</v>
      </c>
      <c r="C211" t="s">
        <v>18</v>
      </c>
      <c r="D211">
        <v>1</v>
      </c>
      <c r="E211">
        <v>4</v>
      </c>
      <c r="F211" t="s">
        <v>21</v>
      </c>
      <c r="G211">
        <v>4</v>
      </c>
      <c r="H211">
        <v>1</v>
      </c>
      <c r="I211" t="s">
        <v>22</v>
      </c>
      <c r="J211">
        <v>9396</v>
      </c>
      <c r="K211">
        <v>7</v>
      </c>
      <c r="L211">
        <v>3</v>
      </c>
      <c r="M211">
        <v>4</v>
      </c>
    </row>
    <row r="212" spans="1:13">
      <c r="A212">
        <v>32</v>
      </c>
      <c r="B212" t="s">
        <v>13</v>
      </c>
      <c r="C212" t="s">
        <v>14</v>
      </c>
      <c r="D212">
        <v>4</v>
      </c>
      <c r="E212">
        <v>4</v>
      </c>
      <c r="F212" t="s">
        <v>21</v>
      </c>
      <c r="G212">
        <v>4</v>
      </c>
      <c r="H212">
        <v>4</v>
      </c>
      <c r="I212" t="s">
        <v>19</v>
      </c>
      <c r="J212">
        <v>10400</v>
      </c>
      <c r="K212">
        <v>1</v>
      </c>
      <c r="L212">
        <v>2</v>
      </c>
      <c r="M212">
        <v>14</v>
      </c>
    </row>
    <row r="213" spans="1:13">
      <c r="A213">
        <v>30</v>
      </c>
      <c r="B213" t="s">
        <v>17</v>
      </c>
      <c r="C213" t="s">
        <v>18</v>
      </c>
      <c r="D213">
        <v>1</v>
      </c>
      <c r="E213">
        <v>1</v>
      </c>
      <c r="F213" t="s">
        <v>15</v>
      </c>
      <c r="G213">
        <v>3</v>
      </c>
      <c r="H213">
        <v>3</v>
      </c>
      <c r="I213" t="s">
        <v>16</v>
      </c>
      <c r="J213">
        <v>8474</v>
      </c>
      <c r="K213">
        <v>1</v>
      </c>
      <c r="L213">
        <v>3</v>
      </c>
      <c r="M213">
        <v>11</v>
      </c>
    </row>
    <row r="214" spans="1:13">
      <c r="A214">
        <v>27</v>
      </c>
      <c r="B214" t="s">
        <v>17</v>
      </c>
      <c r="C214" t="s">
        <v>14</v>
      </c>
      <c r="D214">
        <v>20</v>
      </c>
      <c r="E214">
        <v>3</v>
      </c>
      <c r="F214" t="s">
        <v>15</v>
      </c>
      <c r="G214">
        <v>4</v>
      </c>
      <c r="H214">
        <v>3</v>
      </c>
      <c r="I214" t="s">
        <v>16</v>
      </c>
      <c r="J214">
        <v>9981</v>
      </c>
      <c r="K214">
        <v>1</v>
      </c>
      <c r="L214">
        <v>3</v>
      </c>
      <c r="M214">
        <v>7</v>
      </c>
    </row>
    <row r="215" spans="1:13">
      <c r="A215">
        <v>51</v>
      </c>
      <c r="B215" t="s">
        <v>17</v>
      </c>
      <c r="C215" t="s">
        <v>18</v>
      </c>
      <c r="D215">
        <v>8</v>
      </c>
      <c r="E215">
        <v>4</v>
      </c>
      <c r="F215" t="s">
        <v>15</v>
      </c>
      <c r="G215">
        <v>2</v>
      </c>
      <c r="H215">
        <v>2</v>
      </c>
      <c r="I215" t="s">
        <v>19</v>
      </c>
      <c r="J215">
        <v>12490</v>
      </c>
      <c r="K215">
        <v>5</v>
      </c>
      <c r="L215">
        <v>1</v>
      </c>
      <c r="M215">
        <v>10</v>
      </c>
    </row>
    <row r="216" spans="1:13">
      <c r="A216">
        <v>30</v>
      </c>
      <c r="B216" t="s">
        <v>13</v>
      </c>
      <c r="C216" t="s">
        <v>18</v>
      </c>
      <c r="D216">
        <v>3</v>
      </c>
      <c r="E216">
        <v>3</v>
      </c>
      <c r="F216" t="s">
        <v>24</v>
      </c>
      <c r="G216">
        <v>4</v>
      </c>
      <c r="H216">
        <v>1</v>
      </c>
      <c r="I216" t="s">
        <v>16</v>
      </c>
      <c r="J216">
        <v>2657</v>
      </c>
      <c r="K216">
        <v>5</v>
      </c>
      <c r="L216">
        <v>3</v>
      </c>
      <c r="M216">
        <v>5</v>
      </c>
    </row>
    <row r="217" spans="1:13">
      <c r="A217">
        <v>41</v>
      </c>
      <c r="B217" t="s">
        <v>17</v>
      </c>
      <c r="C217" t="s">
        <v>14</v>
      </c>
      <c r="D217">
        <v>6</v>
      </c>
      <c r="E217">
        <v>3</v>
      </c>
      <c r="F217" t="s">
        <v>15</v>
      </c>
      <c r="G217">
        <v>4</v>
      </c>
      <c r="H217">
        <v>4</v>
      </c>
      <c r="I217" t="s">
        <v>16</v>
      </c>
      <c r="J217">
        <v>13591</v>
      </c>
      <c r="K217">
        <v>3</v>
      </c>
      <c r="L217">
        <v>3</v>
      </c>
      <c r="M217">
        <v>1</v>
      </c>
    </row>
    <row r="218" spans="1:13">
      <c r="A218">
        <v>30</v>
      </c>
      <c r="B218" t="s">
        <v>13</v>
      </c>
      <c r="C218" t="s">
        <v>14</v>
      </c>
      <c r="D218">
        <v>26</v>
      </c>
      <c r="E218">
        <v>4</v>
      </c>
      <c r="F218" t="s">
        <v>23</v>
      </c>
      <c r="G218">
        <v>3</v>
      </c>
      <c r="H218">
        <v>1</v>
      </c>
      <c r="I218" t="s">
        <v>16</v>
      </c>
      <c r="J218">
        <v>6696</v>
      </c>
      <c r="K218">
        <v>5</v>
      </c>
      <c r="L218">
        <v>2</v>
      </c>
      <c r="M218">
        <v>6</v>
      </c>
    </row>
    <row r="219" spans="1:13">
      <c r="A219">
        <v>29</v>
      </c>
      <c r="B219" t="s">
        <v>13</v>
      </c>
      <c r="C219" t="s">
        <v>18</v>
      </c>
      <c r="D219">
        <v>1</v>
      </c>
      <c r="E219">
        <v>3</v>
      </c>
      <c r="F219" t="s">
        <v>24</v>
      </c>
      <c r="G219">
        <v>3</v>
      </c>
      <c r="H219">
        <v>3</v>
      </c>
      <c r="I219" t="s">
        <v>16</v>
      </c>
      <c r="J219">
        <v>2058</v>
      </c>
      <c r="K219">
        <v>0</v>
      </c>
      <c r="L219">
        <v>2</v>
      </c>
      <c r="M219">
        <v>6</v>
      </c>
    </row>
    <row r="220" spans="1:13">
      <c r="A220">
        <v>45</v>
      </c>
      <c r="B220" t="s">
        <v>17</v>
      </c>
      <c r="C220" t="s">
        <v>14</v>
      </c>
      <c r="D220">
        <v>6</v>
      </c>
      <c r="E220">
        <v>3</v>
      </c>
      <c r="F220" t="s">
        <v>21</v>
      </c>
      <c r="G220">
        <v>4</v>
      </c>
      <c r="H220">
        <v>4</v>
      </c>
      <c r="I220" t="s">
        <v>16</v>
      </c>
      <c r="J220">
        <v>8865</v>
      </c>
      <c r="K220">
        <v>6</v>
      </c>
      <c r="L220">
        <v>3</v>
      </c>
      <c r="M220">
        <v>19</v>
      </c>
    </row>
    <row r="221" spans="1:13">
      <c r="A221">
        <v>54</v>
      </c>
      <c r="B221" t="s">
        <v>17</v>
      </c>
      <c r="C221" t="s">
        <v>14</v>
      </c>
      <c r="D221">
        <v>3</v>
      </c>
      <c r="E221">
        <v>3</v>
      </c>
      <c r="F221" t="s">
        <v>23</v>
      </c>
      <c r="G221">
        <v>4</v>
      </c>
      <c r="H221">
        <v>1</v>
      </c>
      <c r="I221" t="s">
        <v>19</v>
      </c>
      <c r="J221">
        <v>5940</v>
      </c>
      <c r="K221">
        <v>2</v>
      </c>
      <c r="L221">
        <v>3</v>
      </c>
      <c r="M221">
        <v>6</v>
      </c>
    </row>
    <row r="222" spans="1:13">
      <c r="A222">
        <v>36</v>
      </c>
      <c r="B222" t="s">
        <v>17</v>
      </c>
      <c r="C222" t="s">
        <v>18</v>
      </c>
      <c r="D222">
        <v>5</v>
      </c>
      <c r="E222">
        <v>2</v>
      </c>
      <c r="F222" t="s">
        <v>15</v>
      </c>
      <c r="G222">
        <v>4</v>
      </c>
      <c r="H222">
        <v>2</v>
      </c>
      <c r="I222" t="s">
        <v>16</v>
      </c>
      <c r="J222">
        <v>5914</v>
      </c>
      <c r="K222">
        <v>8</v>
      </c>
      <c r="L222">
        <v>4</v>
      </c>
      <c r="M222">
        <v>13</v>
      </c>
    </row>
    <row r="223" spans="1:13">
      <c r="A223">
        <v>33</v>
      </c>
      <c r="B223" t="s">
        <v>17</v>
      </c>
      <c r="C223" t="s">
        <v>18</v>
      </c>
      <c r="D223">
        <v>4</v>
      </c>
      <c r="E223">
        <v>4</v>
      </c>
      <c r="F223" t="s">
        <v>21</v>
      </c>
      <c r="G223">
        <v>3</v>
      </c>
      <c r="H223">
        <v>2</v>
      </c>
      <c r="I223" t="s">
        <v>19</v>
      </c>
      <c r="J223">
        <v>2622</v>
      </c>
      <c r="K223">
        <v>6</v>
      </c>
      <c r="L223">
        <v>3</v>
      </c>
      <c r="M223">
        <v>3</v>
      </c>
    </row>
    <row r="224" spans="1:13">
      <c r="A224">
        <v>37</v>
      </c>
      <c r="B224" t="s">
        <v>17</v>
      </c>
      <c r="C224" t="s">
        <v>18</v>
      </c>
      <c r="D224">
        <v>11</v>
      </c>
      <c r="E224">
        <v>3</v>
      </c>
      <c r="F224" t="s">
        <v>20</v>
      </c>
      <c r="G224">
        <v>2</v>
      </c>
      <c r="H224">
        <v>4</v>
      </c>
      <c r="I224" t="s">
        <v>22</v>
      </c>
      <c r="J224">
        <v>12185</v>
      </c>
      <c r="K224">
        <v>1</v>
      </c>
      <c r="L224">
        <v>3</v>
      </c>
      <c r="M224">
        <v>10</v>
      </c>
    </row>
    <row r="225" spans="1:13">
      <c r="A225">
        <v>38</v>
      </c>
      <c r="B225" t="s">
        <v>17</v>
      </c>
      <c r="C225" t="s">
        <v>14</v>
      </c>
      <c r="D225">
        <v>3</v>
      </c>
      <c r="E225">
        <v>3</v>
      </c>
      <c r="F225" t="s">
        <v>15</v>
      </c>
      <c r="G225">
        <v>1</v>
      </c>
      <c r="H225">
        <v>3</v>
      </c>
      <c r="I225" t="s">
        <v>22</v>
      </c>
      <c r="J225">
        <v>10609</v>
      </c>
      <c r="K225">
        <v>0</v>
      </c>
      <c r="L225">
        <v>2</v>
      </c>
      <c r="M225">
        <v>16</v>
      </c>
    </row>
    <row r="226" spans="1:13">
      <c r="A226">
        <v>31</v>
      </c>
      <c r="B226" t="s">
        <v>17</v>
      </c>
      <c r="C226" t="s">
        <v>18</v>
      </c>
      <c r="D226">
        <v>1</v>
      </c>
      <c r="E226">
        <v>4</v>
      </c>
      <c r="F226" t="s">
        <v>21</v>
      </c>
      <c r="G226">
        <v>3</v>
      </c>
      <c r="H226">
        <v>3</v>
      </c>
      <c r="I226" t="s">
        <v>19</v>
      </c>
      <c r="J226">
        <v>4345</v>
      </c>
      <c r="K226">
        <v>0</v>
      </c>
      <c r="L226">
        <v>3</v>
      </c>
      <c r="M226">
        <v>5</v>
      </c>
    </row>
    <row r="227" spans="1:13">
      <c r="A227">
        <v>59</v>
      </c>
      <c r="B227" t="s">
        <v>17</v>
      </c>
      <c r="C227" t="s">
        <v>18</v>
      </c>
      <c r="D227">
        <v>3</v>
      </c>
      <c r="E227">
        <v>3</v>
      </c>
      <c r="F227" t="s">
        <v>15</v>
      </c>
      <c r="G227">
        <v>3</v>
      </c>
      <c r="H227">
        <v>4</v>
      </c>
      <c r="I227" t="s">
        <v>19</v>
      </c>
      <c r="J227">
        <v>2177</v>
      </c>
      <c r="K227">
        <v>3</v>
      </c>
      <c r="L227">
        <v>3</v>
      </c>
      <c r="M227">
        <v>1</v>
      </c>
    </row>
    <row r="228" spans="1:13">
      <c r="A228">
        <v>37</v>
      </c>
      <c r="B228" t="s">
        <v>17</v>
      </c>
      <c r="C228" t="s">
        <v>14</v>
      </c>
      <c r="D228">
        <v>4</v>
      </c>
      <c r="E228">
        <v>4</v>
      </c>
      <c r="F228" t="s">
        <v>23</v>
      </c>
      <c r="G228">
        <v>1</v>
      </c>
      <c r="H228">
        <v>4</v>
      </c>
      <c r="I228" t="s">
        <v>22</v>
      </c>
      <c r="J228">
        <v>2793</v>
      </c>
      <c r="K228">
        <v>4</v>
      </c>
      <c r="L228">
        <v>3</v>
      </c>
      <c r="M228">
        <v>9</v>
      </c>
    </row>
    <row r="229" spans="1:13">
      <c r="A229">
        <v>29</v>
      </c>
      <c r="B229" t="s">
        <v>17</v>
      </c>
      <c r="C229" t="s">
        <v>14</v>
      </c>
      <c r="D229">
        <v>1</v>
      </c>
      <c r="E229">
        <v>1</v>
      </c>
      <c r="F229" t="s">
        <v>21</v>
      </c>
      <c r="G229">
        <v>2</v>
      </c>
      <c r="H229">
        <v>4</v>
      </c>
      <c r="I229" t="s">
        <v>19</v>
      </c>
      <c r="J229">
        <v>7918</v>
      </c>
      <c r="K229">
        <v>1</v>
      </c>
      <c r="L229">
        <v>3</v>
      </c>
      <c r="M229">
        <v>11</v>
      </c>
    </row>
    <row r="230" spans="1:13">
      <c r="A230">
        <v>35</v>
      </c>
      <c r="B230" t="s">
        <v>17</v>
      </c>
      <c r="C230" t="s">
        <v>14</v>
      </c>
      <c r="D230">
        <v>1</v>
      </c>
      <c r="E230">
        <v>3</v>
      </c>
      <c r="F230" t="s">
        <v>23</v>
      </c>
      <c r="G230">
        <v>3</v>
      </c>
      <c r="H230">
        <v>3</v>
      </c>
      <c r="I230" t="s">
        <v>16</v>
      </c>
      <c r="J230">
        <v>8789</v>
      </c>
      <c r="K230">
        <v>1</v>
      </c>
      <c r="L230">
        <v>4</v>
      </c>
      <c r="M230">
        <v>10</v>
      </c>
    </row>
    <row r="231" spans="1:13">
      <c r="A231">
        <v>29</v>
      </c>
      <c r="B231" t="s">
        <v>13</v>
      </c>
      <c r="C231" t="s">
        <v>18</v>
      </c>
      <c r="D231">
        <v>18</v>
      </c>
      <c r="E231">
        <v>1</v>
      </c>
      <c r="F231" t="s">
        <v>21</v>
      </c>
      <c r="G231">
        <v>3</v>
      </c>
      <c r="H231">
        <v>4</v>
      </c>
      <c r="I231" t="s">
        <v>16</v>
      </c>
      <c r="J231">
        <v>2389</v>
      </c>
      <c r="K231">
        <v>1</v>
      </c>
      <c r="L231">
        <v>2</v>
      </c>
      <c r="M231">
        <v>4</v>
      </c>
    </row>
    <row r="232" spans="1:13">
      <c r="A232">
        <v>52</v>
      </c>
      <c r="B232" t="s">
        <v>17</v>
      </c>
      <c r="C232" t="s">
        <v>18</v>
      </c>
      <c r="D232">
        <v>2</v>
      </c>
      <c r="E232">
        <v>3</v>
      </c>
      <c r="F232" t="s">
        <v>15</v>
      </c>
      <c r="G232">
        <v>3</v>
      </c>
      <c r="H232">
        <v>4</v>
      </c>
      <c r="I232" t="s">
        <v>16</v>
      </c>
      <c r="J232">
        <v>3212</v>
      </c>
      <c r="K232">
        <v>7</v>
      </c>
      <c r="L232">
        <v>2</v>
      </c>
      <c r="M232">
        <v>2</v>
      </c>
    </row>
    <row r="233" spans="1:13">
      <c r="A233">
        <v>42</v>
      </c>
      <c r="B233" t="s">
        <v>17</v>
      </c>
      <c r="C233" t="s">
        <v>18</v>
      </c>
      <c r="D233">
        <v>4</v>
      </c>
      <c r="E233">
        <v>2</v>
      </c>
      <c r="F233" t="s">
        <v>24</v>
      </c>
      <c r="G233">
        <v>3</v>
      </c>
      <c r="H233">
        <v>4</v>
      </c>
      <c r="I233" t="s">
        <v>19</v>
      </c>
      <c r="J233">
        <v>19232</v>
      </c>
      <c r="K233">
        <v>1</v>
      </c>
      <c r="L233">
        <v>3</v>
      </c>
      <c r="M233">
        <v>22</v>
      </c>
    </row>
    <row r="234" spans="1:13">
      <c r="A234">
        <v>59</v>
      </c>
      <c r="B234" t="s">
        <v>17</v>
      </c>
      <c r="C234" t="s">
        <v>25</v>
      </c>
      <c r="D234">
        <v>6</v>
      </c>
      <c r="E234">
        <v>2</v>
      </c>
      <c r="F234" t="s">
        <v>21</v>
      </c>
      <c r="G234">
        <v>2</v>
      </c>
      <c r="H234">
        <v>3</v>
      </c>
      <c r="I234" t="s">
        <v>19</v>
      </c>
      <c r="J234">
        <v>2267</v>
      </c>
      <c r="K234">
        <v>8</v>
      </c>
      <c r="L234">
        <v>2</v>
      </c>
      <c r="M234">
        <v>2</v>
      </c>
    </row>
    <row r="235" spans="1:13">
      <c r="A235">
        <v>50</v>
      </c>
      <c r="B235" t="s">
        <v>17</v>
      </c>
      <c r="C235" t="s">
        <v>14</v>
      </c>
      <c r="D235">
        <v>1</v>
      </c>
      <c r="E235">
        <v>4</v>
      </c>
      <c r="F235" t="s">
        <v>21</v>
      </c>
      <c r="G235">
        <v>4</v>
      </c>
      <c r="H235">
        <v>4</v>
      </c>
      <c r="I235" t="s">
        <v>22</v>
      </c>
      <c r="J235">
        <v>19517</v>
      </c>
      <c r="K235">
        <v>3</v>
      </c>
      <c r="L235">
        <v>2</v>
      </c>
      <c r="M235">
        <v>7</v>
      </c>
    </row>
    <row r="236" spans="1:13">
      <c r="A236">
        <v>33</v>
      </c>
      <c r="B236" t="s">
        <v>13</v>
      </c>
      <c r="C236" t="s">
        <v>18</v>
      </c>
      <c r="D236">
        <v>14</v>
      </c>
      <c r="E236">
        <v>3</v>
      </c>
      <c r="F236" t="s">
        <v>21</v>
      </c>
      <c r="G236">
        <v>3</v>
      </c>
      <c r="H236">
        <v>4</v>
      </c>
      <c r="I236" t="s">
        <v>19</v>
      </c>
      <c r="J236">
        <v>2436</v>
      </c>
      <c r="K236">
        <v>5</v>
      </c>
      <c r="L236">
        <v>1</v>
      </c>
      <c r="M236">
        <v>5</v>
      </c>
    </row>
    <row r="237" spans="1:13">
      <c r="A237">
        <v>43</v>
      </c>
      <c r="B237" t="s">
        <v>17</v>
      </c>
      <c r="C237" t="s">
        <v>14</v>
      </c>
      <c r="D237">
        <v>16</v>
      </c>
      <c r="E237">
        <v>3</v>
      </c>
      <c r="F237" t="s">
        <v>23</v>
      </c>
      <c r="G237">
        <v>4</v>
      </c>
      <c r="H237">
        <v>4</v>
      </c>
      <c r="I237" t="s">
        <v>19</v>
      </c>
      <c r="J237">
        <v>16064</v>
      </c>
      <c r="K237">
        <v>5</v>
      </c>
      <c r="L237">
        <v>3</v>
      </c>
      <c r="M237">
        <v>17</v>
      </c>
    </row>
    <row r="238" spans="1:13">
      <c r="A238">
        <v>33</v>
      </c>
      <c r="B238" t="s">
        <v>13</v>
      </c>
      <c r="C238" t="s">
        <v>18</v>
      </c>
      <c r="D238">
        <v>2</v>
      </c>
      <c r="E238">
        <v>2</v>
      </c>
      <c r="F238" t="s">
        <v>15</v>
      </c>
      <c r="G238">
        <v>1</v>
      </c>
      <c r="H238">
        <v>1</v>
      </c>
      <c r="I238" t="s">
        <v>19</v>
      </c>
      <c r="J238">
        <v>2707</v>
      </c>
      <c r="K238">
        <v>7</v>
      </c>
      <c r="L238">
        <v>4</v>
      </c>
      <c r="M238">
        <v>9</v>
      </c>
    </row>
    <row r="239" spans="1:13">
      <c r="A239">
        <v>52</v>
      </c>
      <c r="B239" t="s">
        <v>17</v>
      </c>
      <c r="C239" t="s">
        <v>14</v>
      </c>
      <c r="D239">
        <v>2</v>
      </c>
      <c r="E239">
        <v>4</v>
      </c>
      <c r="F239" t="s">
        <v>15</v>
      </c>
      <c r="G239">
        <v>1</v>
      </c>
      <c r="H239">
        <v>3</v>
      </c>
      <c r="I239" t="s">
        <v>16</v>
      </c>
      <c r="J239">
        <v>19068</v>
      </c>
      <c r="K239">
        <v>1</v>
      </c>
      <c r="L239">
        <v>4</v>
      </c>
      <c r="M239">
        <v>33</v>
      </c>
    </row>
    <row r="240" spans="1:13">
      <c r="A240">
        <v>32</v>
      </c>
      <c r="B240" t="s">
        <v>17</v>
      </c>
      <c r="C240" t="s">
        <v>14</v>
      </c>
      <c r="D240">
        <v>4</v>
      </c>
      <c r="E240">
        <v>2</v>
      </c>
      <c r="F240" t="s">
        <v>15</v>
      </c>
      <c r="G240">
        <v>3</v>
      </c>
      <c r="H240">
        <v>2</v>
      </c>
      <c r="I240" t="s">
        <v>19</v>
      </c>
      <c r="J240">
        <v>3931</v>
      </c>
      <c r="K240">
        <v>2</v>
      </c>
      <c r="L240">
        <v>3</v>
      </c>
      <c r="M240">
        <v>4</v>
      </c>
    </row>
    <row r="241" spans="1:13">
      <c r="A241">
        <v>32</v>
      </c>
      <c r="B241" t="s">
        <v>13</v>
      </c>
      <c r="C241" t="s">
        <v>18</v>
      </c>
      <c r="D241">
        <v>1</v>
      </c>
      <c r="E241">
        <v>3</v>
      </c>
      <c r="F241" t="s">
        <v>15</v>
      </c>
      <c r="G241">
        <v>4</v>
      </c>
      <c r="H241">
        <v>3</v>
      </c>
      <c r="I241" t="s">
        <v>16</v>
      </c>
      <c r="J241">
        <v>3730</v>
      </c>
      <c r="K241">
        <v>0</v>
      </c>
      <c r="L241">
        <v>1</v>
      </c>
      <c r="M241">
        <v>3</v>
      </c>
    </row>
    <row r="242" spans="1:13">
      <c r="A242">
        <v>39</v>
      </c>
      <c r="B242" t="s">
        <v>17</v>
      </c>
      <c r="C242" t="s">
        <v>18</v>
      </c>
      <c r="D242">
        <v>1</v>
      </c>
      <c r="E242">
        <v>4</v>
      </c>
      <c r="F242" t="s">
        <v>21</v>
      </c>
      <c r="G242">
        <v>3</v>
      </c>
      <c r="H242">
        <v>3</v>
      </c>
      <c r="I242" t="s">
        <v>22</v>
      </c>
      <c r="J242">
        <v>2232</v>
      </c>
      <c r="K242">
        <v>7</v>
      </c>
      <c r="L242">
        <v>3</v>
      </c>
      <c r="M242">
        <v>3</v>
      </c>
    </row>
    <row r="243" spans="1:13">
      <c r="A243">
        <v>32</v>
      </c>
      <c r="B243" t="s">
        <v>17</v>
      </c>
      <c r="C243" t="s">
        <v>14</v>
      </c>
      <c r="D243">
        <v>26</v>
      </c>
      <c r="E243">
        <v>4</v>
      </c>
      <c r="F243" t="s">
        <v>23</v>
      </c>
      <c r="G243">
        <v>3</v>
      </c>
      <c r="H243">
        <v>4</v>
      </c>
      <c r="I243" t="s">
        <v>19</v>
      </c>
      <c r="J243">
        <v>4465</v>
      </c>
      <c r="K243">
        <v>0</v>
      </c>
      <c r="L243">
        <v>3</v>
      </c>
      <c r="M243">
        <v>3</v>
      </c>
    </row>
    <row r="244" spans="1:13">
      <c r="A244">
        <v>41</v>
      </c>
      <c r="B244" t="s">
        <v>17</v>
      </c>
      <c r="C244" t="s">
        <v>18</v>
      </c>
      <c r="D244">
        <v>19</v>
      </c>
      <c r="E244">
        <v>2</v>
      </c>
      <c r="F244" t="s">
        <v>15</v>
      </c>
      <c r="G244">
        <v>3</v>
      </c>
      <c r="H244">
        <v>1</v>
      </c>
      <c r="I244" t="s">
        <v>22</v>
      </c>
      <c r="J244">
        <v>3072</v>
      </c>
      <c r="K244">
        <v>2</v>
      </c>
      <c r="L244">
        <v>2</v>
      </c>
      <c r="M244">
        <v>1</v>
      </c>
    </row>
    <row r="245" spans="1:13">
      <c r="A245">
        <v>40</v>
      </c>
      <c r="B245" t="s">
        <v>17</v>
      </c>
      <c r="C245" t="s">
        <v>18</v>
      </c>
      <c r="D245">
        <v>24</v>
      </c>
      <c r="E245">
        <v>2</v>
      </c>
      <c r="F245" t="s">
        <v>24</v>
      </c>
      <c r="G245">
        <v>1</v>
      </c>
      <c r="H245">
        <v>4</v>
      </c>
      <c r="I245" t="s">
        <v>22</v>
      </c>
      <c r="J245">
        <v>3319</v>
      </c>
      <c r="K245">
        <v>1</v>
      </c>
      <c r="L245">
        <v>3</v>
      </c>
      <c r="M245">
        <v>9</v>
      </c>
    </row>
    <row r="246" spans="1:13">
      <c r="A246">
        <v>45</v>
      </c>
      <c r="B246" t="s">
        <v>17</v>
      </c>
      <c r="C246" t="s">
        <v>18</v>
      </c>
      <c r="D246">
        <v>1</v>
      </c>
      <c r="E246">
        <v>3</v>
      </c>
      <c r="F246" t="s">
        <v>20</v>
      </c>
      <c r="G246">
        <v>3</v>
      </c>
      <c r="H246">
        <v>4</v>
      </c>
      <c r="I246" t="s">
        <v>19</v>
      </c>
      <c r="J246">
        <v>19202</v>
      </c>
      <c r="K246">
        <v>0</v>
      </c>
      <c r="L246">
        <v>3</v>
      </c>
      <c r="M246">
        <v>24</v>
      </c>
    </row>
    <row r="247" spans="1:13">
      <c r="A247">
        <v>31</v>
      </c>
      <c r="B247" t="s">
        <v>17</v>
      </c>
      <c r="C247" t="s">
        <v>18</v>
      </c>
      <c r="D247">
        <v>3</v>
      </c>
      <c r="E247">
        <v>4</v>
      </c>
      <c r="F247" t="s">
        <v>21</v>
      </c>
      <c r="G247">
        <v>2</v>
      </c>
      <c r="H247">
        <v>3</v>
      </c>
      <c r="I247" t="s">
        <v>22</v>
      </c>
      <c r="J247">
        <v>13675</v>
      </c>
      <c r="K247">
        <v>9</v>
      </c>
      <c r="L247">
        <v>3</v>
      </c>
      <c r="M247">
        <v>2</v>
      </c>
    </row>
    <row r="248" spans="1:13">
      <c r="A248">
        <v>33</v>
      </c>
      <c r="B248" t="s">
        <v>17</v>
      </c>
      <c r="C248" t="s">
        <v>18</v>
      </c>
      <c r="D248">
        <v>5</v>
      </c>
      <c r="E248">
        <v>4</v>
      </c>
      <c r="F248" t="s">
        <v>15</v>
      </c>
      <c r="G248">
        <v>3</v>
      </c>
      <c r="H248">
        <v>4</v>
      </c>
      <c r="I248" t="s">
        <v>19</v>
      </c>
      <c r="J248">
        <v>2911</v>
      </c>
      <c r="K248">
        <v>1</v>
      </c>
      <c r="L248">
        <v>2</v>
      </c>
      <c r="M248">
        <v>2</v>
      </c>
    </row>
    <row r="249" spans="1:13">
      <c r="A249">
        <v>34</v>
      </c>
      <c r="B249" t="s">
        <v>17</v>
      </c>
      <c r="C249" t="s">
        <v>18</v>
      </c>
      <c r="D249">
        <v>2</v>
      </c>
      <c r="E249">
        <v>4</v>
      </c>
      <c r="F249" t="s">
        <v>15</v>
      </c>
      <c r="G249">
        <v>4</v>
      </c>
      <c r="H249">
        <v>1</v>
      </c>
      <c r="I249" t="s">
        <v>19</v>
      </c>
      <c r="J249">
        <v>5957</v>
      </c>
      <c r="K249">
        <v>6</v>
      </c>
      <c r="L249">
        <v>3</v>
      </c>
      <c r="M249">
        <v>11</v>
      </c>
    </row>
    <row r="250" spans="1:13">
      <c r="A250">
        <v>37</v>
      </c>
      <c r="B250" t="s">
        <v>17</v>
      </c>
      <c r="C250" t="s">
        <v>18</v>
      </c>
      <c r="D250">
        <v>1</v>
      </c>
      <c r="E250">
        <v>2</v>
      </c>
      <c r="F250" t="s">
        <v>21</v>
      </c>
      <c r="G250">
        <v>3</v>
      </c>
      <c r="H250">
        <v>1</v>
      </c>
      <c r="I250" t="s">
        <v>19</v>
      </c>
      <c r="J250">
        <v>3920</v>
      </c>
      <c r="K250">
        <v>2</v>
      </c>
      <c r="L250">
        <v>2</v>
      </c>
      <c r="M250">
        <v>3</v>
      </c>
    </row>
    <row r="251" spans="1:13">
      <c r="A251">
        <v>45</v>
      </c>
      <c r="B251" t="s">
        <v>17</v>
      </c>
      <c r="C251" t="s">
        <v>18</v>
      </c>
      <c r="D251">
        <v>7</v>
      </c>
      <c r="E251">
        <v>4</v>
      </c>
      <c r="F251" t="s">
        <v>15</v>
      </c>
      <c r="G251">
        <v>1</v>
      </c>
      <c r="H251">
        <v>3</v>
      </c>
      <c r="I251" t="s">
        <v>19</v>
      </c>
      <c r="J251">
        <v>6434</v>
      </c>
      <c r="K251">
        <v>4</v>
      </c>
      <c r="L251">
        <v>3</v>
      </c>
      <c r="M251">
        <v>3</v>
      </c>
    </row>
    <row r="252" spans="1:13">
      <c r="A252">
        <v>37</v>
      </c>
      <c r="B252" t="s">
        <v>13</v>
      </c>
      <c r="C252" t="s">
        <v>18</v>
      </c>
      <c r="D252">
        <v>10</v>
      </c>
      <c r="E252">
        <v>3</v>
      </c>
      <c r="F252" t="s">
        <v>21</v>
      </c>
      <c r="G252">
        <v>1</v>
      </c>
      <c r="H252">
        <v>3</v>
      </c>
      <c r="I252" t="s">
        <v>22</v>
      </c>
      <c r="J252">
        <v>10048</v>
      </c>
      <c r="K252">
        <v>6</v>
      </c>
      <c r="L252">
        <v>3</v>
      </c>
      <c r="M252">
        <v>1</v>
      </c>
    </row>
    <row r="253" spans="1:13">
      <c r="A253">
        <v>39</v>
      </c>
      <c r="B253" t="s">
        <v>17</v>
      </c>
      <c r="C253" t="s">
        <v>18</v>
      </c>
      <c r="D253">
        <v>2</v>
      </c>
      <c r="E253">
        <v>4</v>
      </c>
      <c r="F253" t="s">
        <v>24</v>
      </c>
      <c r="G253">
        <v>3</v>
      </c>
      <c r="H253">
        <v>3</v>
      </c>
      <c r="I253" t="s">
        <v>16</v>
      </c>
      <c r="J253">
        <v>10938</v>
      </c>
      <c r="K253">
        <v>0</v>
      </c>
      <c r="L253">
        <v>3</v>
      </c>
      <c r="M253">
        <v>19</v>
      </c>
    </row>
    <row r="254" spans="1:13">
      <c r="A254">
        <v>29</v>
      </c>
      <c r="B254" t="s">
        <v>17</v>
      </c>
      <c r="C254" t="s">
        <v>18</v>
      </c>
      <c r="D254">
        <v>15</v>
      </c>
      <c r="E254">
        <v>3</v>
      </c>
      <c r="F254" t="s">
        <v>15</v>
      </c>
      <c r="G254">
        <v>3</v>
      </c>
      <c r="H254">
        <v>4</v>
      </c>
      <c r="I254" t="s">
        <v>16</v>
      </c>
      <c r="J254">
        <v>2340</v>
      </c>
      <c r="K254">
        <v>1</v>
      </c>
      <c r="L254">
        <v>3</v>
      </c>
      <c r="M254">
        <v>6</v>
      </c>
    </row>
    <row r="255" spans="1:13">
      <c r="A255">
        <v>42</v>
      </c>
      <c r="B255" t="s">
        <v>17</v>
      </c>
      <c r="C255" t="s">
        <v>18</v>
      </c>
      <c r="D255">
        <v>17</v>
      </c>
      <c r="E255">
        <v>2</v>
      </c>
      <c r="F255" t="s">
        <v>15</v>
      </c>
      <c r="G255">
        <v>4</v>
      </c>
      <c r="H255">
        <v>1</v>
      </c>
      <c r="I255" t="s">
        <v>16</v>
      </c>
      <c r="J255">
        <v>6545</v>
      </c>
      <c r="K255">
        <v>3</v>
      </c>
      <c r="L255">
        <v>3</v>
      </c>
      <c r="M255">
        <v>3</v>
      </c>
    </row>
    <row r="256" spans="1:13">
      <c r="A256">
        <v>29</v>
      </c>
      <c r="B256" t="s">
        <v>17</v>
      </c>
      <c r="C256" t="s">
        <v>14</v>
      </c>
      <c r="D256">
        <v>20</v>
      </c>
      <c r="E256">
        <v>2</v>
      </c>
      <c r="F256" t="s">
        <v>23</v>
      </c>
      <c r="G256">
        <v>4</v>
      </c>
      <c r="H256">
        <v>4</v>
      </c>
      <c r="I256" t="s">
        <v>22</v>
      </c>
      <c r="J256">
        <v>6931</v>
      </c>
      <c r="K256">
        <v>2</v>
      </c>
      <c r="L256">
        <v>3</v>
      </c>
      <c r="M256">
        <v>3</v>
      </c>
    </row>
    <row r="257" spans="1:13">
      <c r="A257">
        <v>25</v>
      </c>
      <c r="B257" t="s">
        <v>17</v>
      </c>
      <c r="C257" t="s">
        <v>18</v>
      </c>
      <c r="D257">
        <v>1</v>
      </c>
      <c r="E257">
        <v>3</v>
      </c>
      <c r="F257" t="s">
        <v>15</v>
      </c>
      <c r="G257">
        <v>1</v>
      </c>
      <c r="H257">
        <v>3</v>
      </c>
      <c r="I257" t="s">
        <v>19</v>
      </c>
      <c r="J257">
        <v>4898</v>
      </c>
      <c r="K257">
        <v>0</v>
      </c>
      <c r="L257">
        <v>3</v>
      </c>
      <c r="M257">
        <v>4</v>
      </c>
    </row>
    <row r="258" spans="1:13">
      <c r="A258">
        <v>42</v>
      </c>
      <c r="B258" t="s">
        <v>17</v>
      </c>
      <c r="C258" t="s">
        <v>18</v>
      </c>
      <c r="D258">
        <v>2</v>
      </c>
      <c r="E258">
        <v>3</v>
      </c>
      <c r="F258" t="s">
        <v>21</v>
      </c>
      <c r="G258">
        <v>4</v>
      </c>
      <c r="H258">
        <v>1</v>
      </c>
      <c r="I258" t="s">
        <v>22</v>
      </c>
      <c r="J258">
        <v>2593</v>
      </c>
      <c r="K258">
        <v>0</v>
      </c>
      <c r="L258">
        <v>3</v>
      </c>
      <c r="M258">
        <v>9</v>
      </c>
    </row>
    <row r="259" spans="1:13">
      <c r="A259">
        <v>40</v>
      </c>
      <c r="B259" t="s">
        <v>17</v>
      </c>
      <c r="C259" t="s">
        <v>18</v>
      </c>
      <c r="D259">
        <v>2</v>
      </c>
      <c r="E259">
        <v>2</v>
      </c>
      <c r="F259" t="s">
        <v>21</v>
      </c>
      <c r="G259">
        <v>1</v>
      </c>
      <c r="H259">
        <v>3</v>
      </c>
      <c r="I259" t="s">
        <v>22</v>
      </c>
      <c r="J259">
        <v>19436</v>
      </c>
      <c r="K259">
        <v>0</v>
      </c>
      <c r="L259">
        <v>3</v>
      </c>
      <c r="M259">
        <v>21</v>
      </c>
    </row>
    <row r="260" spans="1:13">
      <c r="A260">
        <v>51</v>
      </c>
      <c r="B260" t="s">
        <v>17</v>
      </c>
      <c r="C260" t="s">
        <v>18</v>
      </c>
      <c r="D260">
        <v>1</v>
      </c>
      <c r="E260">
        <v>3</v>
      </c>
      <c r="F260" t="s">
        <v>15</v>
      </c>
      <c r="G260">
        <v>3</v>
      </c>
      <c r="H260">
        <v>4</v>
      </c>
      <c r="I260" t="s">
        <v>19</v>
      </c>
      <c r="J260">
        <v>2723</v>
      </c>
      <c r="K260">
        <v>1</v>
      </c>
      <c r="L260">
        <v>2</v>
      </c>
      <c r="M260">
        <v>1</v>
      </c>
    </row>
    <row r="261" spans="1:13">
      <c r="A261">
        <v>31</v>
      </c>
      <c r="B261" t="s">
        <v>13</v>
      </c>
      <c r="C261" t="s">
        <v>18</v>
      </c>
      <c r="D261">
        <v>29</v>
      </c>
      <c r="E261">
        <v>2</v>
      </c>
      <c r="F261" t="s">
        <v>21</v>
      </c>
      <c r="G261">
        <v>3</v>
      </c>
      <c r="H261">
        <v>2</v>
      </c>
      <c r="I261" t="s">
        <v>16</v>
      </c>
      <c r="J261">
        <v>3479</v>
      </c>
      <c r="K261">
        <v>0</v>
      </c>
      <c r="L261">
        <v>4</v>
      </c>
      <c r="M261">
        <v>5</v>
      </c>
    </row>
    <row r="262" spans="1:13">
      <c r="A262">
        <v>32</v>
      </c>
      <c r="B262" t="s">
        <v>17</v>
      </c>
      <c r="C262" t="s">
        <v>18</v>
      </c>
      <c r="D262">
        <v>7</v>
      </c>
      <c r="E262">
        <v>3</v>
      </c>
      <c r="F262" t="s">
        <v>15</v>
      </c>
      <c r="G262">
        <v>2</v>
      </c>
      <c r="H262">
        <v>2</v>
      </c>
      <c r="I262" t="s">
        <v>19</v>
      </c>
      <c r="J262">
        <v>2794</v>
      </c>
      <c r="K262">
        <v>1</v>
      </c>
      <c r="L262">
        <v>1</v>
      </c>
      <c r="M262">
        <v>5</v>
      </c>
    </row>
    <row r="263" spans="1:13">
      <c r="A263">
        <v>38</v>
      </c>
      <c r="B263" t="s">
        <v>17</v>
      </c>
      <c r="C263" t="s">
        <v>14</v>
      </c>
      <c r="D263">
        <v>2</v>
      </c>
      <c r="E263">
        <v>2</v>
      </c>
      <c r="F263" t="s">
        <v>15</v>
      </c>
      <c r="G263">
        <v>4</v>
      </c>
      <c r="H263">
        <v>4</v>
      </c>
      <c r="I263" t="s">
        <v>19</v>
      </c>
      <c r="J263">
        <v>5249</v>
      </c>
      <c r="K263">
        <v>3</v>
      </c>
      <c r="L263">
        <v>3</v>
      </c>
      <c r="M263">
        <v>8</v>
      </c>
    </row>
    <row r="264" spans="1:13">
      <c r="A264">
        <v>32</v>
      </c>
      <c r="B264" t="s">
        <v>17</v>
      </c>
      <c r="C264" t="s">
        <v>18</v>
      </c>
      <c r="D264">
        <v>2</v>
      </c>
      <c r="E264">
        <v>1</v>
      </c>
      <c r="F264" t="s">
        <v>24</v>
      </c>
      <c r="G264">
        <v>4</v>
      </c>
      <c r="H264">
        <v>1</v>
      </c>
      <c r="I264" t="s">
        <v>16</v>
      </c>
      <c r="J264">
        <v>2176</v>
      </c>
      <c r="K264">
        <v>4</v>
      </c>
      <c r="L264">
        <v>3</v>
      </c>
      <c r="M264">
        <v>6</v>
      </c>
    </row>
    <row r="265" spans="1:13">
      <c r="A265">
        <v>46</v>
      </c>
      <c r="B265" t="s">
        <v>17</v>
      </c>
      <c r="C265" t="s">
        <v>14</v>
      </c>
      <c r="D265">
        <v>2</v>
      </c>
      <c r="E265">
        <v>3</v>
      </c>
      <c r="F265" t="s">
        <v>24</v>
      </c>
      <c r="G265">
        <v>3</v>
      </c>
      <c r="H265">
        <v>2</v>
      </c>
      <c r="I265" t="s">
        <v>19</v>
      </c>
      <c r="J265">
        <v>16872</v>
      </c>
      <c r="K265">
        <v>3</v>
      </c>
      <c r="L265">
        <v>2</v>
      </c>
      <c r="M265">
        <v>7</v>
      </c>
    </row>
    <row r="266" spans="1:13">
      <c r="A266">
        <v>28</v>
      </c>
      <c r="B266" t="s">
        <v>13</v>
      </c>
      <c r="C266" t="s">
        <v>18</v>
      </c>
      <c r="D266">
        <v>2</v>
      </c>
      <c r="E266">
        <v>4</v>
      </c>
      <c r="F266" t="s">
        <v>15</v>
      </c>
      <c r="G266">
        <v>1</v>
      </c>
      <c r="H266">
        <v>3</v>
      </c>
      <c r="I266" t="s">
        <v>16</v>
      </c>
      <c r="J266">
        <v>3485</v>
      </c>
      <c r="K266">
        <v>2</v>
      </c>
      <c r="L266">
        <v>1</v>
      </c>
      <c r="M266">
        <v>0</v>
      </c>
    </row>
    <row r="267" spans="1:13">
      <c r="A267">
        <v>29</v>
      </c>
      <c r="B267" t="s">
        <v>17</v>
      </c>
      <c r="C267" t="s">
        <v>14</v>
      </c>
      <c r="D267">
        <v>2</v>
      </c>
      <c r="E267">
        <v>3</v>
      </c>
      <c r="F267" t="s">
        <v>21</v>
      </c>
      <c r="G267">
        <v>1</v>
      </c>
      <c r="H267">
        <v>2</v>
      </c>
      <c r="I267" t="s">
        <v>19</v>
      </c>
      <c r="J267">
        <v>6644</v>
      </c>
      <c r="K267">
        <v>2</v>
      </c>
      <c r="L267">
        <v>3</v>
      </c>
      <c r="M267">
        <v>0</v>
      </c>
    </row>
    <row r="268" spans="1:13">
      <c r="A268">
        <v>31</v>
      </c>
      <c r="B268" t="s">
        <v>17</v>
      </c>
      <c r="C268" t="s">
        <v>18</v>
      </c>
      <c r="D268">
        <v>23</v>
      </c>
      <c r="E268">
        <v>3</v>
      </c>
      <c r="F268" t="s">
        <v>21</v>
      </c>
      <c r="G268">
        <v>2</v>
      </c>
      <c r="H268">
        <v>4</v>
      </c>
      <c r="I268" t="s">
        <v>19</v>
      </c>
      <c r="J268">
        <v>5582</v>
      </c>
      <c r="K268">
        <v>0</v>
      </c>
      <c r="L268">
        <v>3</v>
      </c>
      <c r="M268">
        <v>9</v>
      </c>
    </row>
    <row r="269" spans="1:13">
      <c r="A269">
        <v>25</v>
      </c>
      <c r="B269" t="s">
        <v>17</v>
      </c>
      <c r="C269" t="s">
        <v>18</v>
      </c>
      <c r="D269">
        <v>5</v>
      </c>
      <c r="E269">
        <v>2</v>
      </c>
      <c r="F269" t="s">
        <v>15</v>
      </c>
      <c r="G269">
        <v>2</v>
      </c>
      <c r="H269">
        <v>1</v>
      </c>
      <c r="I269" t="s">
        <v>22</v>
      </c>
      <c r="J269">
        <v>4000</v>
      </c>
      <c r="K269">
        <v>1</v>
      </c>
      <c r="L269">
        <v>3</v>
      </c>
      <c r="M269">
        <v>6</v>
      </c>
    </row>
    <row r="270" spans="1:13">
      <c r="A270">
        <v>45</v>
      </c>
      <c r="B270" t="s">
        <v>17</v>
      </c>
      <c r="C270" t="s">
        <v>18</v>
      </c>
      <c r="D270">
        <v>20</v>
      </c>
      <c r="E270">
        <v>2</v>
      </c>
      <c r="F270" t="s">
        <v>21</v>
      </c>
      <c r="G270">
        <v>3</v>
      </c>
      <c r="H270">
        <v>4</v>
      </c>
      <c r="I270" t="s">
        <v>19</v>
      </c>
      <c r="J270">
        <v>13496</v>
      </c>
      <c r="K270">
        <v>0</v>
      </c>
      <c r="L270">
        <v>3</v>
      </c>
      <c r="M270">
        <v>20</v>
      </c>
    </row>
    <row r="271" spans="1:13">
      <c r="A271">
        <v>36</v>
      </c>
      <c r="B271" t="s">
        <v>17</v>
      </c>
      <c r="C271" t="s">
        <v>18</v>
      </c>
      <c r="D271">
        <v>6</v>
      </c>
      <c r="E271">
        <v>3</v>
      </c>
      <c r="F271" t="s">
        <v>15</v>
      </c>
      <c r="G271">
        <v>4</v>
      </c>
      <c r="H271">
        <v>4</v>
      </c>
      <c r="I271" t="s">
        <v>19</v>
      </c>
      <c r="J271">
        <v>3210</v>
      </c>
      <c r="K271">
        <v>0</v>
      </c>
      <c r="L271">
        <v>3</v>
      </c>
      <c r="M271">
        <v>15</v>
      </c>
    </row>
    <row r="272" spans="1:13">
      <c r="A272">
        <v>55</v>
      </c>
      <c r="B272" t="s">
        <v>17</v>
      </c>
      <c r="C272" t="s">
        <v>18</v>
      </c>
      <c r="D272">
        <v>1</v>
      </c>
      <c r="E272">
        <v>3</v>
      </c>
      <c r="F272" t="s">
        <v>21</v>
      </c>
      <c r="G272">
        <v>4</v>
      </c>
      <c r="H272">
        <v>1</v>
      </c>
      <c r="I272" t="s">
        <v>16</v>
      </c>
      <c r="J272">
        <v>19045</v>
      </c>
      <c r="K272">
        <v>0</v>
      </c>
      <c r="L272">
        <v>3</v>
      </c>
      <c r="M272">
        <v>36</v>
      </c>
    </row>
    <row r="273" spans="1:13">
      <c r="A273">
        <v>47</v>
      </c>
      <c r="B273" t="s">
        <v>13</v>
      </c>
      <c r="C273" t="s">
        <v>18</v>
      </c>
      <c r="D273">
        <v>29</v>
      </c>
      <c r="E273">
        <v>4</v>
      </c>
      <c r="F273" t="s">
        <v>15</v>
      </c>
      <c r="G273">
        <v>1</v>
      </c>
      <c r="H273">
        <v>2</v>
      </c>
      <c r="I273" t="s">
        <v>19</v>
      </c>
      <c r="J273">
        <v>11849</v>
      </c>
      <c r="K273">
        <v>1</v>
      </c>
      <c r="L273">
        <v>2</v>
      </c>
      <c r="M273">
        <v>10</v>
      </c>
    </row>
    <row r="274" spans="1:13">
      <c r="A274">
        <v>28</v>
      </c>
      <c r="B274" t="s">
        <v>17</v>
      </c>
      <c r="C274" t="s">
        <v>18</v>
      </c>
      <c r="D274">
        <v>9</v>
      </c>
      <c r="E274">
        <v>3</v>
      </c>
      <c r="F274" t="s">
        <v>21</v>
      </c>
      <c r="G274">
        <v>4</v>
      </c>
      <c r="H274">
        <v>4</v>
      </c>
      <c r="I274" t="s">
        <v>19</v>
      </c>
      <c r="J274">
        <v>2070</v>
      </c>
      <c r="K274">
        <v>1</v>
      </c>
      <c r="L274">
        <v>2</v>
      </c>
      <c r="M274">
        <v>5</v>
      </c>
    </row>
    <row r="275" spans="1:13">
      <c r="A275">
        <v>37</v>
      </c>
      <c r="B275" t="s">
        <v>17</v>
      </c>
      <c r="C275" t="s">
        <v>14</v>
      </c>
      <c r="D275">
        <v>6</v>
      </c>
      <c r="E275">
        <v>4</v>
      </c>
      <c r="F275" t="s">
        <v>21</v>
      </c>
      <c r="G275">
        <v>3</v>
      </c>
      <c r="H275">
        <v>4</v>
      </c>
      <c r="I275" t="s">
        <v>19</v>
      </c>
      <c r="J275">
        <v>6502</v>
      </c>
      <c r="K275">
        <v>4</v>
      </c>
      <c r="L275">
        <v>4</v>
      </c>
      <c r="M275">
        <v>5</v>
      </c>
    </row>
    <row r="276" spans="1:13">
      <c r="A276">
        <v>21</v>
      </c>
      <c r="B276" t="s">
        <v>17</v>
      </c>
      <c r="C276" t="s">
        <v>18</v>
      </c>
      <c r="D276">
        <v>3</v>
      </c>
      <c r="E276">
        <v>2</v>
      </c>
      <c r="F276" t="s">
        <v>21</v>
      </c>
      <c r="G276">
        <v>4</v>
      </c>
      <c r="H276">
        <v>3</v>
      </c>
      <c r="I276" t="s">
        <v>16</v>
      </c>
      <c r="J276">
        <v>3230</v>
      </c>
      <c r="K276">
        <v>1</v>
      </c>
      <c r="L276">
        <v>4</v>
      </c>
      <c r="M276">
        <v>3</v>
      </c>
    </row>
    <row r="277" spans="1:13">
      <c r="A277">
        <v>37</v>
      </c>
      <c r="B277" t="s">
        <v>17</v>
      </c>
      <c r="C277" t="s">
        <v>18</v>
      </c>
      <c r="D277">
        <v>1</v>
      </c>
      <c r="E277">
        <v>4</v>
      </c>
      <c r="F277" t="s">
        <v>21</v>
      </c>
      <c r="G277">
        <v>1</v>
      </c>
      <c r="H277">
        <v>4</v>
      </c>
      <c r="I277" t="s">
        <v>22</v>
      </c>
      <c r="J277">
        <v>13603</v>
      </c>
      <c r="K277">
        <v>2</v>
      </c>
      <c r="L277">
        <v>3</v>
      </c>
      <c r="M277">
        <v>5</v>
      </c>
    </row>
    <row r="278" spans="1:13">
      <c r="A278">
        <v>35</v>
      </c>
      <c r="B278" t="s">
        <v>17</v>
      </c>
      <c r="C278" t="s">
        <v>18</v>
      </c>
      <c r="D278">
        <v>22</v>
      </c>
      <c r="E278">
        <v>3</v>
      </c>
      <c r="F278" t="s">
        <v>15</v>
      </c>
      <c r="G278">
        <v>2</v>
      </c>
      <c r="H278">
        <v>2</v>
      </c>
      <c r="I278" t="s">
        <v>22</v>
      </c>
      <c r="J278">
        <v>11996</v>
      </c>
      <c r="K278">
        <v>7</v>
      </c>
      <c r="L278">
        <v>2</v>
      </c>
      <c r="M278">
        <v>7</v>
      </c>
    </row>
    <row r="279" spans="1:13">
      <c r="A279">
        <v>38</v>
      </c>
      <c r="B279" t="s">
        <v>17</v>
      </c>
      <c r="C279" t="s">
        <v>14</v>
      </c>
      <c r="D279">
        <v>7</v>
      </c>
      <c r="E279">
        <v>2</v>
      </c>
      <c r="F279" t="s">
        <v>21</v>
      </c>
      <c r="G279">
        <v>1</v>
      </c>
      <c r="H279">
        <v>1</v>
      </c>
      <c r="I279" t="s">
        <v>22</v>
      </c>
      <c r="J279">
        <v>5605</v>
      </c>
      <c r="K279">
        <v>1</v>
      </c>
      <c r="L279">
        <v>3</v>
      </c>
      <c r="M279">
        <v>8</v>
      </c>
    </row>
    <row r="280" spans="1:13">
      <c r="A280">
        <v>26</v>
      </c>
      <c r="B280" t="s">
        <v>17</v>
      </c>
      <c r="C280" t="s">
        <v>18</v>
      </c>
      <c r="D280">
        <v>1</v>
      </c>
      <c r="E280">
        <v>3</v>
      </c>
      <c r="F280" t="s">
        <v>15</v>
      </c>
      <c r="G280">
        <v>3</v>
      </c>
      <c r="H280">
        <v>2</v>
      </c>
      <c r="I280" t="s">
        <v>22</v>
      </c>
      <c r="J280">
        <v>6397</v>
      </c>
      <c r="K280">
        <v>1</v>
      </c>
      <c r="L280">
        <v>1</v>
      </c>
      <c r="M280">
        <v>6</v>
      </c>
    </row>
    <row r="281" spans="1:13">
      <c r="A281">
        <v>50</v>
      </c>
      <c r="B281" t="s">
        <v>17</v>
      </c>
      <c r="C281" t="s">
        <v>18</v>
      </c>
      <c r="D281">
        <v>4</v>
      </c>
      <c r="E281">
        <v>1</v>
      </c>
      <c r="F281" t="s">
        <v>15</v>
      </c>
      <c r="G281">
        <v>1</v>
      </c>
      <c r="H281">
        <v>2</v>
      </c>
      <c r="I281" t="s">
        <v>22</v>
      </c>
      <c r="J281">
        <v>19144</v>
      </c>
      <c r="K281">
        <v>3</v>
      </c>
      <c r="L281">
        <v>2</v>
      </c>
      <c r="M281">
        <v>10</v>
      </c>
    </row>
    <row r="282" spans="1:13">
      <c r="A282">
        <v>53</v>
      </c>
      <c r="B282" t="s">
        <v>17</v>
      </c>
      <c r="C282" t="s">
        <v>18</v>
      </c>
      <c r="D282">
        <v>3</v>
      </c>
      <c r="E282">
        <v>4</v>
      </c>
      <c r="F282" t="s">
        <v>21</v>
      </c>
      <c r="G282">
        <v>3</v>
      </c>
      <c r="H282">
        <v>3</v>
      </c>
      <c r="I282" t="s">
        <v>19</v>
      </c>
      <c r="J282">
        <v>17584</v>
      </c>
      <c r="K282">
        <v>3</v>
      </c>
      <c r="L282">
        <v>2</v>
      </c>
      <c r="M282">
        <v>5</v>
      </c>
    </row>
    <row r="283" spans="1:13">
      <c r="A283">
        <v>42</v>
      </c>
      <c r="B283" t="s">
        <v>17</v>
      </c>
      <c r="C283" t="s">
        <v>14</v>
      </c>
      <c r="D283">
        <v>1</v>
      </c>
      <c r="E283">
        <v>1</v>
      </c>
      <c r="F283" t="s">
        <v>15</v>
      </c>
      <c r="G283">
        <v>2</v>
      </c>
      <c r="H283">
        <v>3</v>
      </c>
      <c r="I283" t="s">
        <v>19</v>
      </c>
      <c r="J283">
        <v>4907</v>
      </c>
      <c r="K283">
        <v>1</v>
      </c>
      <c r="L283">
        <v>3</v>
      </c>
      <c r="M283">
        <v>20</v>
      </c>
    </row>
    <row r="284" spans="1:13">
      <c r="A284">
        <v>29</v>
      </c>
      <c r="B284" t="s">
        <v>17</v>
      </c>
      <c r="C284" t="s">
        <v>14</v>
      </c>
      <c r="D284">
        <v>2</v>
      </c>
      <c r="E284">
        <v>2</v>
      </c>
      <c r="F284" t="s">
        <v>15</v>
      </c>
      <c r="G284">
        <v>2</v>
      </c>
      <c r="H284">
        <v>4</v>
      </c>
      <c r="I284" t="s">
        <v>16</v>
      </c>
      <c r="J284">
        <v>4554</v>
      </c>
      <c r="K284">
        <v>1</v>
      </c>
      <c r="L284">
        <v>2</v>
      </c>
      <c r="M284">
        <v>10</v>
      </c>
    </row>
    <row r="285" spans="1:13">
      <c r="A285">
        <v>55</v>
      </c>
      <c r="B285" t="s">
        <v>17</v>
      </c>
      <c r="C285" t="s">
        <v>18</v>
      </c>
      <c r="D285">
        <v>20</v>
      </c>
      <c r="E285">
        <v>2</v>
      </c>
      <c r="F285" t="s">
        <v>24</v>
      </c>
      <c r="G285">
        <v>2</v>
      </c>
      <c r="H285">
        <v>4</v>
      </c>
      <c r="I285" t="s">
        <v>19</v>
      </c>
      <c r="J285">
        <v>5415</v>
      </c>
      <c r="K285">
        <v>3</v>
      </c>
      <c r="L285">
        <v>3</v>
      </c>
      <c r="M285">
        <v>10</v>
      </c>
    </row>
    <row r="286" spans="1:13">
      <c r="A286">
        <v>26</v>
      </c>
      <c r="B286" t="s">
        <v>17</v>
      </c>
      <c r="C286" t="s">
        <v>18</v>
      </c>
      <c r="D286">
        <v>11</v>
      </c>
      <c r="E286">
        <v>2</v>
      </c>
      <c r="F286" t="s">
        <v>21</v>
      </c>
      <c r="G286">
        <v>1</v>
      </c>
      <c r="H286">
        <v>1</v>
      </c>
      <c r="I286" t="s">
        <v>19</v>
      </c>
      <c r="J286">
        <v>4741</v>
      </c>
      <c r="K286">
        <v>1</v>
      </c>
      <c r="L286">
        <v>3</v>
      </c>
      <c r="M286">
        <v>5</v>
      </c>
    </row>
    <row r="287" spans="1:13">
      <c r="A287">
        <v>37</v>
      </c>
      <c r="B287" t="s">
        <v>17</v>
      </c>
      <c r="C287" t="s">
        <v>18</v>
      </c>
      <c r="D287">
        <v>1</v>
      </c>
      <c r="E287">
        <v>3</v>
      </c>
      <c r="F287" t="s">
        <v>15</v>
      </c>
      <c r="G287">
        <v>4</v>
      </c>
      <c r="H287">
        <v>4</v>
      </c>
      <c r="I287" t="s">
        <v>16</v>
      </c>
      <c r="J287">
        <v>2115</v>
      </c>
      <c r="K287">
        <v>1</v>
      </c>
      <c r="L287">
        <v>3</v>
      </c>
      <c r="M287">
        <v>17</v>
      </c>
    </row>
    <row r="288" spans="1:13">
      <c r="A288">
        <v>44</v>
      </c>
      <c r="B288" t="s">
        <v>13</v>
      </c>
      <c r="C288" t="s">
        <v>18</v>
      </c>
      <c r="D288">
        <v>24</v>
      </c>
      <c r="E288">
        <v>3</v>
      </c>
      <c r="F288" t="s">
        <v>15</v>
      </c>
      <c r="G288">
        <v>4</v>
      </c>
      <c r="H288">
        <v>3</v>
      </c>
      <c r="I288" t="s">
        <v>22</v>
      </c>
      <c r="J288">
        <v>3161</v>
      </c>
      <c r="K288">
        <v>3</v>
      </c>
      <c r="L288">
        <v>1</v>
      </c>
      <c r="M288">
        <v>1</v>
      </c>
    </row>
    <row r="289" spans="1:13">
      <c r="A289">
        <v>38</v>
      </c>
      <c r="B289" t="s">
        <v>17</v>
      </c>
      <c r="C289" t="s">
        <v>18</v>
      </c>
      <c r="D289">
        <v>23</v>
      </c>
      <c r="E289">
        <v>4</v>
      </c>
      <c r="F289" t="s">
        <v>15</v>
      </c>
      <c r="G289">
        <v>4</v>
      </c>
      <c r="H289">
        <v>4</v>
      </c>
      <c r="I289" t="s">
        <v>22</v>
      </c>
      <c r="J289">
        <v>5745</v>
      </c>
      <c r="K289">
        <v>9</v>
      </c>
      <c r="L289">
        <v>3</v>
      </c>
      <c r="M289">
        <v>2</v>
      </c>
    </row>
    <row r="290" spans="1:13">
      <c r="A290">
        <v>26</v>
      </c>
      <c r="B290" t="s">
        <v>13</v>
      </c>
      <c r="C290" t="s">
        <v>18</v>
      </c>
      <c r="D290">
        <v>16</v>
      </c>
      <c r="E290">
        <v>4</v>
      </c>
      <c r="F290" t="s">
        <v>21</v>
      </c>
      <c r="G290">
        <v>1</v>
      </c>
      <c r="H290">
        <v>2</v>
      </c>
      <c r="I290" t="s">
        <v>22</v>
      </c>
      <c r="J290">
        <v>2373</v>
      </c>
      <c r="K290">
        <v>2</v>
      </c>
      <c r="L290">
        <v>3</v>
      </c>
      <c r="M290">
        <v>3</v>
      </c>
    </row>
    <row r="291" spans="1:13">
      <c r="A291">
        <v>28</v>
      </c>
      <c r="B291" t="s">
        <v>17</v>
      </c>
      <c r="C291" t="s">
        <v>18</v>
      </c>
      <c r="D291">
        <v>8</v>
      </c>
      <c r="E291">
        <v>2</v>
      </c>
      <c r="F291" t="s">
        <v>15</v>
      </c>
      <c r="G291">
        <v>4</v>
      </c>
      <c r="H291">
        <v>4</v>
      </c>
      <c r="I291" t="s">
        <v>16</v>
      </c>
      <c r="J291">
        <v>3310</v>
      </c>
      <c r="K291">
        <v>1</v>
      </c>
      <c r="L291">
        <v>3</v>
      </c>
      <c r="M291">
        <v>5</v>
      </c>
    </row>
    <row r="292" spans="1:13">
      <c r="A292">
        <v>49</v>
      </c>
      <c r="B292" t="s">
        <v>17</v>
      </c>
      <c r="C292" t="s">
        <v>18</v>
      </c>
      <c r="D292">
        <v>10</v>
      </c>
      <c r="E292">
        <v>4</v>
      </c>
      <c r="F292" t="s">
        <v>15</v>
      </c>
      <c r="G292">
        <v>3</v>
      </c>
      <c r="H292">
        <v>1</v>
      </c>
      <c r="I292" t="s">
        <v>16</v>
      </c>
      <c r="J292">
        <v>18665</v>
      </c>
      <c r="K292">
        <v>9</v>
      </c>
      <c r="L292">
        <v>3</v>
      </c>
      <c r="M292">
        <v>3</v>
      </c>
    </row>
    <row r="293" spans="1:13">
      <c r="A293">
        <v>36</v>
      </c>
      <c r="B293" t="s">
        <v>17</v>
      </c>
      <c r="C293" t="s">
        <v>18</v>
      </c>
      <c r="D293">
        <v>3</v>
      </c>
      <c r="E293">
        <v>3</v>
      </c>
      <c r="F293" t="s">
        <v>24</v>
      </c>
      <c r="G293">
        <v>3</v>
      </c>
      <c r="H293">
        <v>2</v>
      </c>
      <c r="I293" t="s">
        <v>16</v>
      </c>
      <c r="J293">
        <v>4485</v>
      </c>
      <c r="K293">
        <v>4</v>
      </c>
      <c r="L293">
        <v>3</v>
      </c>
      <c r="M293">
        <v>8</v>
      </c>
    </row>
    <row r="294" spans="1:13">
      <c r="A294">
        <v>31</v>
      </c>
      <c r="B294" t="s">
        <v>17</v>
      </c>
      <c r="C294" t="s">
        <v>14</v>
      </c>
      <c r="D294">
        <v>5</v>
      </c>
      <c r="E294">
        <v>3</v>
      </c>
      <c r="F294" t="s">
        <v>23</v>
      </c>
      <c r="G294">
        <v>4</v>
      </c>
      <c r="H294">
        <v>2</v>
      </c>
      <c r="I294" t="s">
        <v>22</v>
      </c>
      <c r="J294">
        <v>2789</v>
      </c>
      <c r="K294">
        <v>1</v>
      </c>
      <c r="L294">
        <v>2</v>
      </c>
      <c r="M294">
        <v>2</v>
      </c>
    </row>
    <row r="295" spans="1:13">
      <c r="A295">
        <v>26</v>
      </c>
      <c r="B295" t="s">
        <v>13</v>
      </c>
      <c r="C295" t="s">
        <v>14</v>
      </c>
      <c r="D295">
        <v>4</v>
      </c>
      <c r="E295">
        <v>4</v>
      </c>
      <c r="F295" t="s">
        <v>23</v>
      </c>
      <c r="G295">
        <v>4</v>
      </c>
      <c r="H295">
        <v>4</v>
      </c>
      <c r="I295" t="s">
        <v>16</v>
      </c>
      <c r="J295">
        <v>5828</v>
      </c>
      <c r="K295">
        <v>1</v>
      </c>
      <c r="L295">
        <v>3</v>
      </c>
      <c r="M295">
        <v>8</v>
      </c>
    </row>
    <row r="296" spans="1:13">
      <c r="A296">
        <v>37</v>
      </c>
      <c r="B296" t="s">
        <v>17</v>
      </c>
      <c r="C296" t="s">
        <v>18</v>
      </c>
      <c r="D296">
        <v>9</v>
      </c>
      <c r="E296">
        <v>3</v>
      </c>
      <c r="F296" t="s">
        <v>21</v>
      </c>
      <c r="G296">
        <v>2</v>
      </c>
      <c r="H296">
        <v>4</v>
      </c>
      <c r="I296" t="s">
        <v>19</v>
      </c>
      <c r="J296">
        <v>2326</v>
      </c>
      <c r="K296">
        <v>1</v>
      </c>
      <c r="L296">
        <v>2</v>
      </c>
      <c r="M296">
        <v>4</v>
      </c>
    </row>
    <row r="297" spans="1:13">
      <c r="A297">
        <v>42</v>
      </c>
      <c r="B297" t="s">
        <v>17</v>
      </c>
      <c r="C297" t="s">
        <v>14</v>
      </c>
      <c r="D297">
        <v>26</v>
      </c>
      <c r="E297">
        <v>3</v>
      </c>
      <c r="F297" t="s">
        <v>23</v>
      </c>
      <c r="G297">
        <v>3</v>
      </c>
      <c r="H297">
        <v>2</v>
      </c>
      <c r="I297" t="s">
        <v>19</v>
      </c>
      <c r="J297">
        <v>13525</v>
      </c>
      <c r="K297">
        <v>5</v>
      </c>
      <c r="L297">
        <v>4</v>
      </c>
      <c r="M297">
        <v>20</v>
      </c>
    </row>
    <row r="298" spans="1:13">
      <c r="A298">
        <v>18</v>
      </c>
      <c r="B298" t="s">
        <v>13</v>
      </c>
      <c r="C298" t="s">
        <v>18</v>
      </c>
      <c r="D298">
        <v>3</v>
      </c>
      <c r="E298">
        <v>3</v>
      </c>
      <c r="F298" t="s">
        <v>15</v>
      </c>
      <c r="G298">
        <v>3</v>
      </c>
      <c r="H298">
        <v>3</v>
      </c>
      <c r="I298" t="s">
        <v>16</v>
      </c>
      <c r="J298">
        <v>1420</v>
      </c>
      <c r="K298">
        <v>1</v>
      </c>
      <c r="L298">
        <v>3</v>
      </c>
      <c r="M298">
        <v>0</v>
      </c>
    </row>
    <row r="299" spans="1:13">
      <c r="A299">
        <v>35</v>
      </c>
      <c r="B299" t="s">
        <v>17</v>
      </c>
      <c r="C299" t="s">
        <v>14</v>
      </c>
      <c r="D299">
        <v>16</v>
      </c>
      <c r="E299">
        <v>3</v>
      </c>
      <c r="F299" t="s">
        <v>23</v>
      </c>
      <c r="G299">
        <v>3</v>
      </c>
      <c r="H299">
        <v>2</v>
      </c>
      <c r="I299" t="s">
        <v>19</v>
      </c>
      <c r="J299">
        <v>8020</v>
      </c>
      <c r="K299">
        <v>0</v>
      </c>
      <c r="L299">
        <v>2</v>
      </c>
      <c r="M299">
        <v>11</v>
      </c>
    </row>
    <row r="300" spans="1:13">
      <c r="A300">
        <v>36</v>
      </c>
      <c r="B300" t="s">
        <v>17</v>
      </c>
      <c r="C300" t="s">
        <v>18</v>
      </c>
      <c r="D300">
        <v>18</v>
      </c>
      <c r="E300">
        <v>4</v>
      </c>
      <c r="F300" t="s">
        <v>15</v>
      </c>
      <c r="G300">
        <v>3</v>
      </c>
      <c r="H300">
        <v>4</v>
      </c>
      <c r="I300" t="s">
        <v>19</v>
      </c>
      <c r="J300">
        <v>3688</v>
      </c>
      <c r="K300">
        <v>4</v>
      </c>
      <c r="L300">
        <v>3</v>
      </c>
      <c r="M300">
        <v>1</v>
      </c>
    </row>
    <row r="301" spans="1:13">
      <c r="A301">
        <v>51</v>
      </c>
      <c r="B301" t="s">
        <v>17</v>
      </c>
      <c r="C301" t="s">
        <v>18</v>
      </c>
      <c r="D301">
        <v>2</v>
      </c>
      <c r="E301">
        <v>3</v>
      </c>
      <c r="F301" t="s">
        <v>21</v>
      </c>
      <c r="G301">
        <v>4</v>
      </c>
      <c r="H301">
        <v>2</v>
      </c>
      <c r="I301" t="s">
        <v>22</v>
      </c>
      <c r="J301">
        <v>5482</v>
      </c>
      <c r="K301">
        <v>5</v>
      </c>
      <c r="L301">
        <v>3</v>
      </c>
      <c r="M301">
        <v>4</v>
      </c>
    </row>
    <row r="302" spans="1:13">
      <c r="A302">
        <v>41</v>
      </c>
      <c r="B302" t="s">
        <v>17</v>
      </c>
      <c r="C302" t="s">
        <v>14</v>
      </c>
      <c r="D302">
        <v>2</v>
      </c>
      <c r="E302">
        <v>4</v>
      </c>
      <c r="F302" t="s">
        <v>15</v>
      </c>
      <c r="G302">
        <v>4</v>
      </c>
      <c r="H302">
        <v>2</v>
      </c>
      <c r="I302" t="s">
        <v>16</v>
      </c>
      <c r="J302">
        <v>16015</v>
      </c>
      <c r="K302">
        <v>1</v>
      </c>
      <c r="L302">
        <v>3</v>
      </c>
      <c r="M302">
        <v>22</v>
      </c>
    </row>
    <row r="303" spans="1:13">
      <c r="A303">
        <v>18</v>
      </c>
      <c r="B303" t="s">
        <v>17</v>
      </c>
      <c r="C303" t="s">
        <v>14</v>
      </c>
      <c r="D303">
        <v>10</v>
      </c>
      <c r="E303">
        <v>3</v>
      </c>
      <c r="F303" t="s">
        <v>21</v>
      </c>
      <c r="G303">
        <v>4</v>
      </c>
      <c r="H303">
        <v>3</v>
      </c>
      <c r="I303" t="s">
        <v>16</v>
      </c>
      <c r="J303">
        <v>1200</v>
      </c>
      <c r="K303">
        <v>1</v>
      </c>
      <c r="L303">
        <v>3</v>
      </c>
      <c r="M303">
        <v>0</v>
      </c>
    </row>
    <row r="304" spans="1:13">
      <c r="A304">
        <v>28</v>
      </c>
      <c r="B304" t="s">
        <v>17</v>
      </c>
      <c r="C304" t="s">
        <v>18</v>
      </c>
      <c r="D304">
        <v>16</v>
      </c>
      <c r="E304">
        <v>2</v>
      </c>
      <c r="F304" t="s">
        <v>21</v>
      </c>
      <c r="G304">
        <v>2</v>
      </c>
      <c r="H304">
        <v>1</v>
      </c>
      <c r="I304" t="s">
        <v>16</v>
      </c>
      <c r="J304">
        <v>5661</v>
      </c>
      <c r="K304">
        <v>0</v>
      </c>
      <c r="L304">
        <v>3</v>
      </c>
      <c r="M304">
        <v>8</v>
      </c>
    </row>
    <row r="305" spans="1:13">
      <c r="A305">
        <v>31</v>
      </c>
      <c r="B305" t="s">
        <v>17</v>
      </c>
      <c r="C305" t="s">
        <v>14</v>
      </c>
      <c r="D305">
        <v>7</v>
      </c>
      <c r="E305">
        <v>3</v>
      </c>
      <c r="F305" t="s">
        <v>24</v>
      </c>
      <c r="G305">
        <v>2</v>
      </c>
      <c r="H305">
        <v>4</v>
      </c>
      <c r="I305" t="s">
        <v>19</v>
      </c>
      <c r="J305">
        <v>6929</v>
      </c>
      <c r="K305">
        <v>4</v>
      </c>
      <c r="L305">
        <v>2</v>
      </c>
      <c r="M305">
        <v>8</v>
      </c>
    </row>
    <row r="306" spans="1:13">
      <c r="A306">
        <v>39</v>
      </c>
      <c r="B306" t="s">
        <v>17</v>
      </c>
      <c r="C306" t="s">
        <v>18</v>
      </c>
      <c r="D306">
        <v>1</v>
      </c>
      <c r="E306">
        <v>3</v>
      </c>
      <c r="F306" t="s">
        <v>21</v>
      </c>
      <c r="G306">
        <v>3</v>
      </c>
      <c r="H306">
        <v>4</v>
      </c>
      <c r="I306" t="s">
        <v>22</v>
      </c>
      <c r="J306">
        <v>9613</v>
      </c>
      <c r="K306">
        <v>0</v>
      </c>
      <c r="L306">
        <v>2</v>
      </c>
      <c r="M306">
        <v>18</v>
      </c>
    </row>
    <row r="307" spans="1:13">
      <c r="A307">
        <v>36</v>
      </c>
      <c r="B307" t="s">
        <v>17</v>
      </c>
      <c r="C307" t="s">
        <v>18</v>
      </c>
      <c r="D307">
        <v>24</v>
      </c>
      <c r="E307">
        <v>4</v>
      </c>
      <c r="F307" t="s">
        <v>15</v>
      </c>
      <c r="G307">
        <v>2</v>
      </c>
      <c r="H307">
        <v>2</v>
      </c>
      <c r="I307" t="s">
        <v>19</v>
      </c>
      <c r="J307">
        <v>5674</v>
      </c>
      <c r="K307">
        <v>7</v>
      </c>
      <c r="L307">
        <v>3</v>
      </c>
      <c r="M307">
        <v>9</v>
      </c>
    </row>
    <row r="308" spans="1:13">
      <c r="A308">
        <v>32</v>
      </c>
      <c r="B308" t="s">
        <v>17</v>
      </c>
      <c r="C308" t="s">
        <v>14</v>
      </c>
      <c r="D308">
        <v>7</v>
      </c>
      <c r="E308">
        <v>3</v>
      </c>
      <c r="F308" t="s">
        <v>15</v>
      </c>
      <c r="G308">
        <v>4</v>
      </c>
      <c r="H308">
        <v>3</v>
      </c>
      <c r="I308" t="s">
        <v>19</v>
      </c>
      <c r="J308">
        <v>5484</v>
      </c>
      <c r="K308">
        <v>1</v>
      </c>
      <c r="L308">
        <v>2</v>
      </c>
      <c r="M308">
        <v>13</v>
      </c>
    </row>
    <row r="309" spans="1:13">
      <c r="A309">
        <v>38</v>
      </c>
      <c r="B309" t="s">
        <v>17</v>
      </c>
      <c r="C309" t="s">
        <v>18</v>
      </c>
      <c r="D309">
        <v>25</v>
      </c>
      <c r="E309">
        <v>2</v>
      </c>
      <c r="F309" t="s">
        <v>15</v>
      </c>
      <c r="G309">
        <v>1</v>
      </c>
      <c r="H309">
        <v>2</v>
      </c>
      <c r="I309" t="s">
        <v>19</v>
      </c>
      <c r="J309">
        <v>12061</v>
      </c>
      <c r="K309">
        <v>3</v>
      </c>
      <c r="L309">
        <v>3</v>
      </c>
      <c r="M309">
        <v>10</v>
      </c>
    </row>
    <row r="310" spans="1:13">
      <c r="A310">
        <v>58</v>
      </c>
      <c r="B310" t="s">
        <v>17</v>
      </c>
      <c r="C310" t="s">
        <v>18</v>
      </c>
      <c r="D310">
        <v>1</v>
      </c>
      <c r="E310">
        <v>4</v>
      </c>
      <c r="F310" t="s">
        <v>15</v>
      </c>
      <c r="G310">
        <v>4</v>
      </c>
      <c r="H310">
        <v>3</v>
      </c>
      <c r="I310" t="s">
        <v>22</v>
      </c>
      <c r="J310">
        <v>5660</v>
      </c>
      <c r="K310">
        <v>2</v>
      </c>
      <c r="L310">
        <v>3</v>
      </c>
      <c r="M310">
        <v>5</v>
      </c>
    </row>
    <row r="311" spans="1:13">
      <c r="A311">
        <v>31</v>
      </c>
      <c r="B311" t="s">
        <v>17</v>
      </c>
      <c r="C311" t="s">
        <v>18</v>
      </c>
      <c r="D311">
        <v>5</v>
      </c>
      <c r="E311">
        <v>4</v>
      </c>
      <c r="F311" t="s">
        <v>24</v>
      </c>
      <c r="G311">
        <v>3</v>
      </c>
      <c r="H311">
        <v>4</v>
      </c>
      <c r="I311" t="s">
        <v>19</v>
      </c>
      <c r="J311">
        <v>4821</v>
      </c>
      <c r="K311">
        <v>0</v>
      </c>
      <c r="L311">
        <v>3</v>
      </c>
      <c r="M311">
        <v>5</v>
      </c>
    </row>
    <row r="312" spans="1:13">
      <c r="A312">
        <v>31</v>
      </c>
      <c r="B312" t="s">
        <v>17</v>
      </c>
      <c r="C312" t="s">
        <v>25</v>
      </c>
      <c r="D312">
        <v>2</v>
      </c>
      <c r="E312">
        <v>3</v>
      </c>
      <c r="F312" t="s">
        <v>25</v>
      </c>
      <c r="G312">
        <v>1</v>
      </c>
      <c r="H312">
        <v>1</v>
      </c>
      <c r="I312" t="s">
        <v>19</v>
      </c>
      <c r="J312">
        <v>6410</v>
      </c>
      <c r="K312">
        <v>3</v>
      </c>
      <c r="L312">
        <v>3</v>
      </c>
      <c r="M312">
        <v>2</v>
      </c>
    </row>
    <row r="313" spans="1:13">
      <c r="A313">
        <v>45</v>
      </c>
      <c r="B313" t="s">
        <v>17</v>
      </c>
      <c r="C313" t="s">
        <v>18</v>
      </c>
      <c r="D313">
        <v>7</v>
      </c>
      <c r="E313">
        <v>3</v>
      </c>
      <c r="F313" t="s">
        <v>15</v>
      </c>
      <c r="G313">
        <v>1</v>
      </c>
      <c r="H313">
        <v>1</v>
      </c>
      <c r="I313" t="s">
        <v>22</v>
      </c>
      <c r="J313">
        <v>5210</v>
      </c>
      <c r="K313">
        <v>1</v>
      </c>
      <c r="L313">
        <v>3</v>
      </c>
      <c r="M313">
        <v>24</v>
      </c>
    </row>
    <row r="314" spans="1:13">
      <c r="A314">
        <v>31</v>
      </c>
      <c r="B314" t="s">
        <v>17</v>
      </c>
      <c r="C314" t="s">
        <v>18</v>
      </c>
      <c r="D314">
        <v>2</v>
      </c>
      <c r="E314">
        <v>4</v>
      </c>
      <c r="F314" t="s">
        <v>15</v>
      </c>
      <c r="G314">
        <v>3</v>
      </c>
      <c r="H314">
        <v>4</v>
      </c>
      <c r="I314" t="s">
        <v>22</v>
      </c>
      <c r="J314">
        <v>2695</v>
      </c>
      <c r="K314">
        <v>0</v>
      </c>
      <c r="L314">
        <v>1</v>
      </c>
      <c r="M314">
        <v>2</v>
      </c>
    </row>
    <row r="315" spans="1:13">
      <c r="A315">
        <v>33</v>
      </c>
      <c r="B315" t="s">
        <v>17</v>
      </c>
      <c r="C315" t="s">
        <v>18</v>
      </c>
      <c r="D315">
        <v>5</v>
      </c>
      <c r="E315">
        <v>4</v>
      </c>
      <c r="F315" t="s">
        <v>15</v>
      </c>
      <c r="G315">
        <v>4</v>
      </c>
      <c r="H315">
        <v>2</v>
      </c>
      <c r="I315" t="s">
        <v>19</v>
      </c>
      <c r="J315">
        <v>11878</v>
      </c>
      <c r="K315">
        <v>6</v>
      </c>
      <c r="L315">
        <v>3</v>
      </c>
      <c r="M315">
        <v>10</v>
      </c>
    </row>
    <row r="316" spans="1:13">
      <c r="A316">
        <v>39</v>
      </c>
      <c r="B316" t="s">
        <v>17</v>
      </c>
      <c r="C316" t="s">
        <v>18</v>
      </c>
      <c r="D316">
        <v>10</v>
      </c>
      <c r="E316">
        <v>1</v>
      </c>
      <c r="F316" t="s">
        <v>21</v>
      </c>
      <c r="G316">
        <v>3</v>
      </c>
      <c r="H316">
        <v>1</v>
      </c>
      <c r="I316" t="s">
        <v>19</v>
      </c>
      <c r="J316">
        <v>17068</v>
      </c>
      <c r="K316">
        <v>1</v>
      </c>
      <c r="L316">
        <v>3</v>
      </c>
      <c r="M316">
        <v>21</v>
      </c>
    </row>
    <row r="317" spans="1:13">
      <c r="A317">
        <v>43</v>
      </c>
      <c r="B317" t="s">
        <v>17</v>
      </c>
      <c r="C317" t="s">
        <v>18</v>
      </c>
      <c r="D317">
        <v>10</v>
      </c>
      <c r="E317">
        <v>4</v>
      </c>
      <c r="F317" t="s">
        <v>15</v>
      </c>
      <c r="G317">
        <v>3</v>
      </c>
      <c r="H317">
        <v>4</v>
      </c>
      <c r="I317" t="s">
        <v>16</v>
      </c>
      <c r="J317">
        <v>2455</v>
      </c>
      <c r="K317">
        <v>0</v>
      </c>
      <c r="L317">
        <v>3</v>
      </c>
      <c r="M317">
        <v>8</v>
      </c>
    </row>
    <row r="318" spans="1:13">
      <c r="A318">
        <v>49</v>
      </c>
      <c r="B318" t="s">
        <v>17</v>
      </c>
      <c r="C318" t="s">
        <v>18</v>
      </c>
      <c r="D318">
        <v>1</v>
      </c>
      <c r="E318">
        <v>2</v>
      </c>
      <c r="F318" t="s">
        <v>24</v>
      </c>
      <c r="G318">
        <v>3</v>
      </c>
      <c r="H318">
        <v>3</v>
      </c>
      <c r="I318" t="s">
        <v>16</v>
      </c>
      <c r="J318">
        <v>13964</v>
      </c>
      <c r="K318">
        <v>7</v>
      </c>
      <c r="L318">
        <v>3</v>
      </c>
      <c r="M318">
        <v>7</v>
      </c>
    </row>
    <row r="319" spans="1:13">
      <c r="A319">
        <v>52</v>
      </c>
      <c r="B319" t="s">
        <v>13</v>
      </c>
      <c r="C319" t="s">
        <v>18</v>
      </c>
      <c r="D319">
        <v>8</v>
      </c>
      <c r="E319">
        <v>4</v>
      </c>
      <c r="F319" t="s">
        <v>21</v>
      </c>
      <c r="G319">
        <v>3</v>
      </c>
      <c r="H319">
        <v>2</v>
      </c>
      <c r="I319" t="s">
        <v>19</v>
      </c>
      <c r="J319">
        <v>4941</v>
      </c>
      <c r="K319">
        <v>2</v>
      </c>
      <c r="L319">
        <v>2</v>
      </c>
      <c r="M319">
        <v>8</v>
      </c>
    </row>
    <row r="320" spans="1:13">
      <c r="A320">
        <v>27</v>
      </c>
      <c r="B320" t="s">
        <v>17</v>
      </c>
      <c r="C320" t="s">
        <v>18</v>
      </c>
      <c r="D320">
        <v>5</v>
      </c>
      <c r="E320">
        <v>3</v>
      </c>
      <c r="F320" t="s">
        <v>15</v>
      </c>
      <c r="G320">
        <v>3</v>
      </c>
      <c r="H320">
        <v>2</v>
      </c>
      <c r="I320" t="s">
        <v>16</v>
      </c>
      <c r="J320">
        <v>2478</v>
      </c>
      <c r="K320">
        <v>1</v>
      </c>
      <c r="L320">
        <v>2</v>
      </c>
      <c r="M320">
        <v>4</v>
      </c>
    </row>
    <row r="321" spans="1:13">
      <c r="A321">
        <v>32</v>
      </c>
      <c r="B321" t="s">
        <v>17</v>
      </c>
      <c r="C321" t="s">
        <v>14</v>
      </c>
      <c r="D321">
        <v>8</v>
      </c>
      <c r="E321">
        <v>2</v>
      </c>
      <c r="F321" t="s">
        <v>24</v>
      </c>
      <c r="G321">
        <v>3</v>
      </c>
      <c r="H321">
        <v>2</v>
      </c>
      <c r="I321" t="s">
        <v>19</v>
      </c>
      <c r="J321">
        <v>5228</v>
      </c>
      <c r="K321">
        <v>1</v>
      </c>
      <c r="L321">
        <v>3</v>
      </c>
      <c r="M321">
        <v>13</v>
      </c>
    </row>
    <row r="322" spans="1:13">
      <c r="A322">
        <v>27</v>
      </c>
      <c r="B322" t="s">
        <v>17</v>
      </c>
      <c r="C322" t="s">
        <v>14</v>
      </c>
      <c r="D322">
        <v>2</v>
      </c>
      <c r="E322">
        <v>3</v>
      </c>
      <c r="F322" t="s">
        <v>15</v>
      </c>
      <c r="G322">
        <v>4</v>
      </c>
      <c r="H322">
        <v>3</v>
      </c>
      <c r="I322" t="s">
        <v>16</v>
      </c>
      <c r="J322">
        <v>4478</v>
      </c>
      <c r="K322">
        <v>1</v>
      </c>
      <c r="L322">
        <v>3</v>
      </c>
      <c r="M322">
        <v>5</v>
      </c>
    </row>
    <row r="323" spans="1:13">
      <c r="A323">
        <v>31</v>
      </c>
      <c r="B323" t="s">
        <v>17</v>
      </c>
      <c r="C323" t="s">
        <v>14</v>
      </c>
      <c r="D323">
        <v>7</v>
      </c>
      <c r="E323">
        <v>3</v>
      </c>
      <c r="F323" t="s">
        <v>23</v>
      </c>
      <c r="G323">
        <v>4</v>
      </c>
      <c r="H323">
        <v>4</v>
      </c>
      <c r="I323" t="s">
        <v>22</v>
      </c>
      <c r="J323">
        <v>7547</v>
      </c>
      <c r="K323">
        <v>4</v>
      </c>
      <c r="L323">
        <v>3</v>
      </c>
      <c r="M323">
        <v>7</v>
      </c>
    </row>
    <row r="324" spans="1:13">
      <c r="A324">
        <v>32</v>
      </c>
      <c r="B324" t="s">
        <v>17</v>
      </c>
      <c r="C324" t="s">
        <v>18</v>
      </c>
      <c r="D324">
        <v>2</v>
      </c>
      <c r="E324">
        <v>4</v>
      </c>
      <c r="F324" t="s">
        <v>21</v>
      </c>
      <c r="G324">
        <v>1</v>
      </c>
      <c r="H324">
        <v>4</v>
      </c>
      <c r="I324" t="s">
        <v>16</v>
      </c>
      <c r="J324">
        <v>5055</v>
      </c>
      <c r="K324">
        <v>7</v>
      </c>
      <c r="L324">
        <v>2</v>
      </c>
      <c r="M324">
        <v>7</v>
      </c>
    </row>
    <row r="325" spans="1:13">
      <c r="A325">
        <v>28</v>
      </c>
      <c r="B325" t="s">
        <v>13</v>
      </c>
      <c r="C325" t="s">
        <v>18</v>
      </c>
      <c r="D325">
        <v>2</v>
      </c>
      <c r="E325">
        <v>4</v>
      </c>
      <c r="F325" t="s">
        <v>21</v>
      </c>
      <c r="G325">
        <v>1</v>
      </c>
      <c r="H325">
        <v>4</v>
      </c>
      <c r="I325" t="s">
        <v>19</v>
      </c>
      <c r="J325">
        <v>3464</v>
      </c>
      <c r="K325">
        <v>5</v>
      </c>
      <c r="L325">
        <v>2</v>
      </c>
      <c r="M325">
        <v>3</v>
      </c>
    </row>
    <row r="326" spans="1:13">
      <c r="A326">
        <v>30</v>
      </c>
      <c r="B326" t="s">
        <v>17</v>
      </c>
      <c r="C326" t="s">
        <v>18</v>
      </c>
      <c r="D326">
        <v>28</v>
      </c>
      <c r="E326">
        <v>2</v>
      </c>
      <c r="F326" t="s">
        <v>21</v>
      </c>
      <c r="G326">
        <v>4</v>
      </c>
      <c r="H326">
        <v>4</v>
      </c>
      <c r="I326" t="s">
        <v>19</v>
      </c>
      <c r="J326">
        <v>5775</v>
      </c>
      <c r="K326">
        <v>1</v>
      </c>
      <c r="L326">
        <v>3</v>
      </c>
      <c r="M326">
        <v>10</v>
      </c>
    </row>
    <row r="327" spans="1:13">
      <c r="A327">
        <v>31</v>
      </c>
      <c r="B327" t="s">
        <v>17</v>
      </c>
      <c r="C327" t="s">
        <v>18</v>
      </c>
      <c r="D327">
        <v>7</v>
      </c>
      <c r="E327">
        <v>2</v>
      </c>
      <c r="F327" t="s">
        <v>15</v>
      </c>
      <c r="G327">
        <v>3</v>
      </c>
      <c r="H327">
        <v>3</v>
      </c>
      <c r="I327" t="s">
        <v>19</v>
      </c>
      <c r="J327">
        <v>8943</v>
      </c>
      <c r="K327">
        <v>1</v>
      </c>
      <c r="L327">
        <v>3</v>
      </c>
      <c r="M327">
        <v>10</v>
      </c>
    </row>
    <row r="328" spans="1:13">
      <c r="A328">
        <v>39</v>
      </c>
      <c r="B328" t="s">
        <v>17</v>
      </c>
      <c r="C328" t="s">
        <v>18</v>
      </c>
      <c r="D328">
        <v>7</v>
      </c>
      <c r="E328">
        <v>2</v>
      </c>
      <c r="F328" t="s">
        <v>21</v>
      </c>
      <c r="G328">
        <v>3</v>
      </c>
      <c r="H328">
        <v>4</v>
      </c>
      <c r="I328" t="s">
        <v>19</v>
      </c>
      <c r="J328">
        <v>19272</v>
      </c>
      <c r="K328">
        <v>1</v>
      </c>
      <c r="L328">
        <v>3</v>
      </c>
      <c r="M328">
        <v>21</v>
      </c>
    </row>
    <row r="329" spans="1:13">
      <c r="A329">
        <v>39</v>
      </c>
      <c r="B329" t="s">
        <v>13</v>
      </c>
      <c r="C329" t="s">
        <v>14</v>
      </c>
      <c r="D329">
        <v>3</v>
      </c>
      <c r="E329">
        <v>2</v>
      </c>
      <c r="F329" t="s">
        <v>21</v>
      </c>
      <c r="G329">
        <v>4</v>
      </c>
      <c r="H329">
        <v>3</v>
      </c>
      <c r="I329" t="s">
        <v>19</v>
      </c>
      <c r="J329">
        <v>5238</v>
      </c>
      <c r="K329">
        <v>4</v>
      </c>
      <c r="L329">
        <v>2</v>
      </c>
      <c r="M329">
        <v>1</v>
      </c>
    </row>
    <row r="330" spans="1:13">
      <c r="A330">
        <v>33</v>
      </c>
      <c r="B330" t="s">
        <v>17</v>
      </c>
      <c r="C330" t="s">
        <v>14</v>
      </c>
      <c r="D330">
        <v>10</v>
      </c>
      <c r="E330">
        <v>3</v>
      </c>
      <c r="F330" t="s">
        <v>23</v>
      </c>
      <c r="G330">
        <v>2</v>
      </c>
      <c r="H330">
        <v>4</v>
      </c>
      <c r="I330" t="s">
        <v>16</v>
      </c>
      <c r="J330">
        <v>4682</v>
      </c>
      <c r="K330">
        <v>3</v>
      </c>
      <c r="L330">
        <v>2</v>
      </c>
      <c r="M330">
        <v>7</v>
      </c>
    </row>
    <row r="331" spans="1:13">
      <c r="A331">
        <v>47</v>
      </c>
      <c r="B331" t="s">
        <v>17</v>
      </c>
      <c r="C331" t="s">
        <v>18</v>
      </c>
      <c r="D331">
        <v>5</v>
      </c>
      <c r="E331">
        <v>5</v>
      </c>
      <c r="F331" t="s">
        <v>15</v>
      </c>
      <c r="G331">
        <v>4</v>
      </c>
      <c r="H331">
        <v>3</v>
      </c>
      <c r="I331" t="s">
        <v>19</v>
      </c>
      <c r="J331">
        <v>18300</v>
      </c>
      <c r="K331">
        <v>4</v>
      </c>
      <c r="L331">
        <v>3</v>
      </c>
      <c r="M331">
        <v>3</v>
      </c>
    </row>
    <row r="332" spans="1:13">
      <c r="A332">
        <v>43</v>
      </c>
      <c r="B332" t="s">
        <v>17</v>
      </c>
      <c r="C332" t="s">
        <v>18</v>
      </c>
      <c r="D332">
        <v>10</v>
      </c>
      <c r="E332">
        <v>4</v>
      </c>
      <c r="F332" t="s">
        <v>15</v>
      </c>
      <c r="G332">
        <v>3</v>
      </c>
      <c r="H332">
        <v>3</v>
      </c>
      <c r="I332" t="s">
        <v>22</v>
      </c>
      <c r="J332">
        <v>5257</v>
      </c>
      <c r="K332">
        <v>1</v>
      </c>
      <c r="L332">
        <v>4</v>
      </c>
      <c r="M332">
        <v>9</v>
      </c>
    </row>
    <row r="333" spans="1:13">
      <c r="A333">
        <v>27</v>
      </c>
      <c r="B333" t="s">
        <v>17</v>
      </c>
      <c r="C333" t="s">
        <v>14</v>
      </c>
      <c r="D333">
        <v>1</v>
      </c>
      <c r="E333">
        <v>1</v>
      </c>
      <c r="F333" t="s">
        <v>23</v>
      </c>
      <c r="G333">
        <v>3</v>
      </c>
      <c r="H333">
        <v>2</v>
      </c>
      <c r="I333" t="s">
        <v>19</v>
      </c>
      <c r="J333">
        <v>6349</v>
      </c>
      <c r="K333">
        <v>0</v>
      </c>
      <c r="L333">
        <v>3</v>
      </c>
      <c r="M333">
        <v>5</v>
      </c>
    </row>
    <row r="334" spans="1:13">
      <c r="A334">
        <v>54</v>
      </c>
      <c r="B334" t="s">
        <v>17</v>
      </c>
      <c r="C334" t="s">
        <v>18</v>
      </c>
      <c r="D334">
        <v>20</v>
      </c>
      <c r="E334">
        <v>4</v>
      </c>
      <c r="F334" t="s">
        <v>15</v>
      </c>
      <c r="G334">
        <v>4</v>
      </c>
      <c r="H334">
        <v>3</v>
      </c>
      <c r="I334" t="s">
        <v>16</v>
      </c>
      <c r="J334">
        <v>4869</v>
      </c>
      <c r="K334">
        <v>3</v>
      </c>
      <c r="L334">
        <v>2</v>
      </c>
      <c r="M334">
        <v>4</v>
      </c>
    </row>
    <row r="335" spans="1:13">
      <c r="A335">
        <v>43</v>
      </c>
      <c r="B335" t="s">
        <v>17</v>
      </c>
      <c r="C335" t="s">
        <v>18</v>
      </c>
      <c r="D335">
        <v>7</v>
      </c>
      <c r="E335">
        <v>3</v>
      </c>
      <c r="F335" t="s">
        <v>15</v>
      </c>
      <c r="G335">
        <v>3</v>
      </c>
      <c r="H335">
        <v>1</v>
      </c>
      <c r="I335" t="s">
        <v>19</v>
      </c>
      <c r="J335">
        <v>9985</v>
      </c>
      <c r="K335">
        <v>8</v>
      </c>
      <c r="L335">
        <v>2</v>
      </c>
      <c r="M335">
        <v>1</v>
      </c>
    </row>
    <row r="336" spans="1:13">
      <c r="A336">
        <v>45</v>
      </c>
      <c r="B336" t="s">
        <v>17</v>
      </c>
      <c r="C336" t="s">
        <v>18</v>
      </c>
      <c r="D336">
        <v>8</v>
      </c>
      <c r="E336">
        <v>4</v>
      </c>
      <c r="F336" t="s">
        <v>20</v>
      </c>
      <c r="G336">
        <v>4</v>
      </c>
      <c r="H336">
        <v>4</v>
      </c>
      <c r="I336" t="s">
        <v>19</v>
      </c>
      <c r="J336">
        <v>3697</v>
      </c>
      <c r="K336">
        <v>9</v>
      </c>
      <c r="L336">
        <v>3</v>
      </c>
      <c r="M336">
        <v>10</v>
      </c>
    </row>
    <row r="337" spans="1:13">
      <c r="A337">
        <v>40</v>
      </c>
      <c r="B337" t="s">
        <v>17</v>
      </c>
      <c r="C337" t="s">
        <v>14</v>
      </c>
      <c r="D337">
        <v>1</v>
      </c>
      <c r="E337">
        <v>2</v>
      </c>
      <c r="F337" t="s">
        <v>21</v>
      </c>
      <c r="G337">
        <v>2</v>
      </c>
      <c r="H337">
        <v>4</v>
      </c>
      <c r="I337" t="s">
        <v>19</v>
      </c>
      <c r="J337">
        <v>7457</v>
      </c>
      <c r="K337">
        <v>2</v>
      </c>
      <c r="L337">
        <v>2</v>
      </c>
      <c r="M337">
        <v>4</v>
      </c>
    </row>
    <row r="338" spans="1:13">
      <c r="A338">
        <v>29</v>
      </c>
      <c r="B338" t="s">
        <v>13</v>
      </c>
      <c r="C338" t="s">
        <v>18</v>
      </c>
      <c r="D338">
        <v>8</v>
      </c>
      <c r="E338">
        <v>4</v>
      </c>
      <c r="F338" t="s">
        <v>20</v>
      </c>
      <c r="G338">
        <v>2</v>
      </c>
      <c r="H338">
        <v>1</v>
      </c>
      <c r="I338" t="s">
        <v>19</v>
      </c>
      <c r="J338">
        <v>2119</v>
      </c>
      <c r="K338">
        <v>1</v>
      </c>
      <c r="L338">
        <v>2</v>
      </c>
      <c r="M338">
        <v>7</v>
      </c>
    </row>
    <row r="339" spans="1:13">
      <c r="A339">
        <v>29</v>
      </c>
      <c r="B339" t="s">
        <v>17</v>
      </c>
      <c r="C339" t="s">
        <v>18</v>
      </c>
      <c r="D339">
        <v>9</v>
      </c>
      <c r="E339">
        <v>5</v>
      </c>
      <c r="F339" t="s">
        <v>20</v>
      </c>
      <c r="G339">
        <v>2</v>
      </c>
      <c r="H339">
        <v>4</v>
      </c>
      <c r="I339" t="s">
        <v>16</v>
      </c>
      <c r="J339">
        <v>3983</v>
      </c>
      <c r="K339">
        <v>0</v>
      </c>
      <c r="L339">
        <v>3</v>
      </c>
      <c r="M339">
        <v>3</v>
      </c>
    </row>
    <row r="340" spans="1:13">
      <c r="A340">
        <v>30</v>
      </c>
      <c r="B340" t="s">
        <v>17</v>
      </c>
      <c r="C340" t="s">
        <v>14</v>
      </c>
      <c r="D340">
        <v>5</v>
      </c>
      <c r="E340">
        <v>3</v>
      </c>
      <c r="F340" t="s">
        <v>23</v>
      </c>
      <c r="G340">
        <v>4</v>
      </c>
      <c r="H340">
        <v>3</v>
      </c>
      <c r="I340" t="s">
        <v>22</v>
      </c>
      <c r="J340">
        <v>6118</v>
      </c>
      <c r="K340">
        <v>1</v>
      </c>
      <c r="L340">
        <v>3</v>
      </c>
      <c r="M340">
        <v>10</v>
      </c>
    </row>
    <row r="341" spans="1:13">
      <c r="A341">
        <v>27</v>
      </c>
      <c r="B341" t="s">
        <v>17</v>
      </c>
      <c r="C341" t="s">
        <v>14</v>
      </c>
      <c r="D341">
        <v>8</v>
      </c>
      <c r="E341">
        <v>4</v>
      </c>
      <c r="F341" t="s">
        <v>23</v>
      </c>
      <c r="G341">
        <v>2</v>
      </c>
      <c r="H341">
        <v>2</v>
      </c>
      <c r="I341" t="s">
        <v>19</v>
      </c>
      <c r="J341">
        <v>6214</v>
      </c>
      <c r="K341">
        <v>1</v>
      </c>
      <c r="L341">
        <v>3</v>
      </c>
      <c r="M341">
        <v>8</v>
      </c>
    </row>
    <row r="342" spans="1:13">
      <c r="A342">
        <v>37</v>
      </c>
      <c r="B342" t="s">
        <v>17</v>
      </c>
      <c r="C342" t="s">
        <v>18</v>
      </c>
      <c r="D342">
        <v>5</v>
      </c>
      <c r="E342">
        <v>2</v>
      </c>
      <c r="F342" t="s">
        <v>21</v>
      </c>
      <c r="G342">
        <v>4</v>
      </c>
      <c r="H342">
        <v>4</v>
      </c>
      <c r="I342" t="s">
        <v>22</v>
      </c>
      <c r="J342">
        <v>6347</v>
      </c>
      <c r="K342">
        <v>7</v>
      </c>
      <c r="L342">
        <v>2</v>
      </c>
      <c r="M342">
        <v>6</v>
      </c>
    </row>
    <row r="343" spans="1:13">
      <c r="A343">
        <v>38</v>
      </c>
      <c r="B343" t="s">
        <v>17</v>
      </c>
      <c r="C343" t="s">
        <v>18</v>
      </c>
      <c r="D343">
        <v>15</v>
      </c>
      <c r="E343">
        <v>2</v>
      </c>
      <c r="F343" t="s">
        <v>15</v>
      </c>
      <c r="G343">
        <v>3</v>
      </c>
      <c r="H343">
        <v>4</v>
      </c>
      <c r="I343" t="s">
        <v>22</v>
      </c>
      <c r="J343">
        <v>11510</v>
      </c>
      <c r="K343">
        <v>0</v>
      </c>
      <c r="L343">
        <v>3</v>
      </c>
      <c r="M343">
        <v>11</v>
      </c>
    </row>
    <row r="344" spans="1:13">
      <c r="A344">
        <v>31</v>
      </c>
      <c r="B344" t="s">
        <v>17</v>
      </c>
      <c r="C344" t="s">
        <v>18</v>
      </c>
      <c r="D344">
        <v>7</v>
      </c>
      <c r="E344">
        <v>4</v>
      </c>
      <c r="F344" t="s">
        <v>21</v>
      </c>
      <c r="G344">
        <v>3</v>
      </c>
      <c r="H344">
        <v>4</v>
      </c>
      <c r="I344" t="s">
        <v>16</v>
      </c>
      <c r="J344">
        <v>7143</v>
      </c>
      <c r="K344">
        <v>1</v>
      </c>
      <c r="L344">
        <v>2</v>
      </c>
      <c r="M344">
        <v>11</v>
      </c>
    </row>
    <row r="345" spans="1:13">
      <c r="A345">
        <v>29</v>
      </c>
      <c r="B345" t="s">
        <v>17</v>
      </c>
      <c r="C345" t="s">
        <v>14</v>
      </c>
      <c r="D345">
        <v>10</v>
      </c>
      <c r="E345">
        <v>1</v>
      </c>
      <c r="F345" t="s">
        <v>23</v>
      </c>
      <c r="G345">
        <v>4</v>
      </c>
      <c r="H345">
        <v>2</v>
      </c>
      <c r="I345" t="s">
        <v>22</v>
      </c>
      <c r="J345">
        <v>8268</v>
      </c>
      <c r="K345">
        <v>1</v>
      </c>
      <c r="L345">
        <v>3</v>
      </c>
      <c r="M345">
        <v>7</v>
      </c>
    </row>
    <row r="346" spans="1:13">
      <c r="A346">
        <v>35</v>
      </c>
      <c r="B346" t="s">
        <v>17</v>
      </c>
      <c r="C346" t="s">
        <v>18</v>
      </c>
      <c r="D346">
        <v>5</v>
      </c>
      <c r="E346">
        <v>4</v>
      </c>
      <c r="F346" t="s">
        <v>24</v>
      </c>
      <c r="G346">
        <v>3</v>
      </c>
      <c r="H346">
        <v>2</v>
      </c>
      <c r="I346" t="s">
        <v>16</v>
      </c>
      <c r="J346">
        <v>8095</v>
      </c>
      <c r="K346">
        <v>0</v>
      </c>
      <c r="L346">
        <v>3</v>
      </c>
      <c r="M346">
        <v>16</v>
      </c>
    </row>
    <row r="347" spans="1:13">
      <c r="A347">
        <v>23</v>
      </c>
      <c r="B347" t="s">
        <v>17</v>
      </c>
      <c r="C347" t="s">
        <v>18</v>
      </c>
      <c r="D347">
        <v>26</v>
      </c>
      <c r="E347">
        <v>1</v>
      </c>
      <c r="F347" t="s">
        <v>15</v>
      </c>
      <c r="G347">
        <v>3</v>
      </c>
      <c r="H347">
        <v>4</v>
      </c>
      <c r="I347" t="s">
        <v>22</v>
      </c>
      <c r="J347">
        <v>2904</v>
      </c>
      <c r="K347">
        <v>1</v>
      </c>
      <c r="L347">
        <v>2</v>
      </c>
      <c r="M347">
        <v>4</v>
      </c>
    </row>
    <row r="348" spans="1:13">
      <c r="A348">
        <v>41</v>
      </c>
      <c r="B348" t="s">
        <v>17</v>
      </c>
      <c r="C348" t="s">
        <v>18</v>
      </c>
      <c r="D348">
        <v>6</v>
      </c>
      <c r="E348">
        <v>3</v>
      </c>
      <c r="F348" t="s">
        <v>21</v>
      </c>
      <c r="G348">
        <v>4</v>
      </c>
      <c r="H348">
        <v>2</v>
      </c>
      <c r="I348" t="s">
        <v>16</v>
      </c>
      <c r="J348">
        <v>6032</v>
      </c>
      <c r="K348">
        <v>6</v>
      </c>
      <c r="L348">
        <v>3</v>
      </c>
      <c r="M348">
        <v>5</v>
      </c>
    </row>
    <row r="349" spans="1:13">
      <c r="A349">
        <v>47</v>
      </c>
      <c r="B349" t="s">
        <v>17</v>
      </c>
      <c r="C349" t="s">
        <v>14</v>
      </c>
      <c r="D349">
        <v>4</v>
      </c>
      <c r="E349">
        <v>1</v>
      </c>
      <c r="F349" t="s">
        <v>21</v>
      </c>
      <c r="G349">
        <v>2</v>
      </c>
      <c r="H349">
        <v>3</v>
      </c>
      <c r="I349" t="s">
        <v>16</v>
      </c>
      <c r="J349">
        <v>2976</v>
      </c>
      <c r="K349">
        <v>3</v>
      </c>
      <c r="L349">
        <v>3</v>
      </c>
      <c r="M349">
        <v>0</v>
      </c>
    </row>
    <row r="350" spans="1:13">
      <c r="A350">
        <v>42</v>
      </c>
      <c r="B350" t="s">
        <v>17</v>
      </c>
      <c r="C350" t="s">
        <v>18</v>
      </c>
      <c r="D350">
        <v>23</v>
      </c>
      <c r="E350">
        <v>5</v>
      </c>
      <c r="F350" t="s">
        <v>15</v>
      </c>
      <c r="G350">
        <v>1</v>
      </c>
      <c r="H350">
        <v>4</v>
      </c>
      <c r="I350" t="s">
        <v>16</v>
      </c>
      <c r="J350">
        <v>15992</v>
      </c>
      <c r="K350">
        <v>2</v>
      </c>
      <c r="L350">
        <v>3</v>
      </c>
      <c r="M350">
        <v>1</v>
      </c>
    </row>
    <row r="351" spans="1:13">
      <c r="A351">
        <v>29</v>
      </c>
      <c r="B351" t="s">
        <v>17</v>
      </c>
      <c r="C351" t="s">
        <v>14</v>
      </c>
      <c r="D351">
        <v>2</v>
      </c>
      <c r="E351">
        <v>3</v>
      </c>
      <c r="F351" t="s">
        <v>15</v>
      </c>
      <c r="G351">
        <v>4</v>
      </c>
      <c r="H351">
        <v>3</v>
      </c>
      <c r="I351" t="s">
        <v>19</v>
      </c>
      <c r="J351">
        <v>4649</v>
      </c>
      <c r="K351">
        <v>1</v>
      </c>
      <c r="L351">
        <v>2</v>
      </c>
      <c r="M351">
        <v>4</v>
      </c>
    </row>
    <row r="352" spans="1:13">
      <c r="A352">
        <v>42</v>
      </c>
      <c r="B352" t="s">
        <v>17</v>
      </c>
      <c r="C352" t="s">
        <v>25</v>
      </c>
      <c r="D352">
        <v>2</v>
      </c>
      <c r="E352">
        <v>1</v>
      </c>
      <c r="F352" t="s">
        <v>24</v>
      </c>
      <c r="G352">
        <v>3</v>
      </c>
      <c r="H352">
        <v>3</v>
      </c>
      <c r="I352" t="s">
        <v>22</v>
      </c>
      <c r="J352">
        <v>2696</v>
      </c>
      <c r="K352">
        <v>0</v>
      </c>
      <c r="L352">
        <v>3</v>
      </c>
      <c r="M352">
        <v>3</v>
      </c>
    </row>
    <row r="353" spans="1:13">
      <c r="A353">
        <v>32</v>
      </c>
      <c r="B353" t="s">
        <v>17</v>
      </c>
      <c r="C353" t="s">
        <v>18</v>
      </c>
      <c r="D353">
        <v>2</v>
      </c>
      <c r="E353">
        <v>3</v>
      </c>
      <c r="F353" t="s">
        <v>21</v>
      </c>
      <c r="G353">
        <v>3</v>
      </c>
      <c r="H353">
        <v>2</v>
      </c>
      <c r="I353" t="s">
        <v>19</v>
      </c>
      <c r="J353">
        <v>2370</v>
      </c>
      <c r="K353">
        <v>1</v>
      </c>
      <c r="L353">
        <v>3</v>
      </c>
      <c r="M353">
        <v>8</v>
      </c>
    </row>
    <row r="354" spans="1:13">
      <c r="A354">
        <v>48</v>
      </c>
      <c r="B354" t="s">
        <v>17</v>
      </c>
      <c r="C354" t="s">
        <v>14</v>
      </c>
      <c r="D354">
        <v>29</v>
      </c>
      <c r="E354">
        <v>1</v>
      </c>
      <c r="F354" t="s">
        <v>21</v>
      </c>
      <c r="G354">
        <v>1</v>
      </c>
      <c r="H354">
        <v>3</v>
      </c>
      <c r="I354" t="s">
        <v>19</v>
      </c>
      <c r="J354">
        <v>12504</v>
      </c>
      <c r="K354">
        <v>3</v>
      </c>
      <c r="L354">
        <v>1</v>
      </c>
      <c r="M354">
        <v>0</v>
      </c>
    </row>
    <row r="355" spans="1:13">
      <c r="A355">
        <v>37</v>
      </c>
      <c r="B355" t="s">
        <v>17</v>
      </c>
      <c r="C355" t="s">
        <v>18</v>
      </c>
      <c r="D355">
        <v>6</v>
      </c>
      <c r="E355">
        <v>3</v>
      </c>
      <c r="F355" t="s">
        <v>21</v>
      </c>
      <c r="G355">
        <v>3</v>
      </c>
      <c r="H355">
        <v>1</v>
      </c>
      <c r="I355" t="s">
        <v>22</v>
      </c>
      <c r="J355">
        <v>5974</v>
      </c>
      <c r="K355">
        <v>4</v>
      </c>
      <c r="L355">
        <v>3</v>
      </c>
      <c r="M355">
        <v>7</v>
      </c>
    </row>
    <row r="356" spans="1:13">
      <c r="A356">
        <v>30</v>
      </c>
      <c r="B356" t="s">
        <v>17</v>
      </c>
      <c r="C356" t="s">
        <v>14</v>
      </c>
      <c r="D356">
        <v>25</v>
      </c>
      <c r="E356">
        <v>2</v>
      </c>
      <c r="F356" t="s">
        <v>24</v>
      </c>
      <c r="G356">
        <v>4</v>
      </c>
      <c r="H356">
        <v>3</v>
      </c>
      <c r="I356" t="s">
        <v>19</v>
      </c>
      <c r="J356">
        <v>4736</v>
      </c>
      <c r="K356">
        <v>7</v>
      </c>
      <c r="L356">
        <v>4</v>
      </c>
      <c r="M356">
        <v>2</v>
      </c>
    </row>
    <row r="357" spans="1:13">
      <c r="A357">
        <v>26</v>
      </c>
      <c r="B357" t="s">
        <v>17</v>
      </c>
      <c r="C357" t="s">
        <v>14</v>
      </c>
      <c r="D357">
        <v>1</v>
      </c>
      <c r="E357">
        <v>3</v>
      </c>
      <c r="F357" t="s">
        <v>15</v>
      </c>
      <c r="G357">
        <v>3</v>
      </c>
      <c r="H357">
        <v>3</v>
      </c>
      <c r="I357" t="s">
        <v>19</v>
      </c>
      <c r="J357">
        <v>5296</v>
      </c>
      <c r="K357">
        <v>1</v>
      </c>
      <c r="L357">
        <v>3</v>
      </c>
      <c r="M357">
        <v>8</v>
      </c>
    </row>
    <row r="358" spans="1:13">
      <c r="A358">
        <v>42</v>
      </c>
      <c r="B358" t="s">
        <v>17</v>
      </c>
      <c r="C358" t="s">
        <v>18</v>
      </c>
      <c r="D358">
        <v>2</v>
      </c>
      <c r="E358">
        <v>4</v>
      </c>
      <c r="F358" t="s">
        <v>20</v>
      </c>
      <c r="G358">
        <v>1</v>
      </c>
      <c r="H358">
        <v>4</v>
      </c>
      <c r="I358" t="s">
        <v>16</v>
      </c>
      <c r="J358">
        <v>6781</v>
      </c>
      <c r="K358">
        <v>3</v>
      </c>
      <c r="L358">
        <v>3</v>
      </c>
      <c r="M358">
        <v>1</v>
      </c>
    </row>
    <row r="359" spans="1:13">
      <c r="A359">
        <v>21</v>
      </c>
      <c r="B359" t="s">
        <v>13</v>
      </c>
      <c r="C359" t="s">
        <v>14</v>
      </c>
      <c r="D359">
        <v>1</v>
      </c>
      <c r="E359">
        <v>1</v>
      </c>
      <c r="F359" t="s">
        <v>24</v>
      </c>
      <c r="G359">
        <v>1</v>
      </c>
      <c r="H359">
        <v>2</v>
      </c>
      <c r="I359" t="s">
        <v>16</v>
      </c>
      <c r="J359">
        <v>2174</v>
      </c>
      <c r="K359">
        <v>1</v>
      </c>
      <c r="L359">
        <v>3</v>
      </c>
      <c r="M359">
        <v>3</v>
      </c>
    </row>
    <row r="360" spans="1:13">
      <c r="A360">
        <v>36</v>
      </c>
      <c r="B360" t="s">
        <v>17</v>
      </c>
      <c r="C360" t="s">
        <v>14</v>
      </c>
      <c r="D360">
        <v>1</v>
      </c>
      <c r="E360">
        <v>5</v>
      </c>
      <c r="F360" t="s">
        <v>21</v>
      </c>
      <c r="G360">
        <v>4</v>
      </c>
      <c r="H360">
        <v>4</v>
      </c>
      <c r="I360" t="s">
        <v>16</v>
      </c>
      <c r="J360">
        <v>6653</v>
      </c>
      <c r="K360">
        <v>4</v>
      </c>
      <c r="L360">
        <v>3</v>
      </c>
      <c r="M360">
        <v>1</v>
      </c>
    </row>
    <row r="361" spans="1:13">
      <c r="A361">
        <v>36</v>
      </c>
      <c r="B361" t="s">
        <v>17</v>
      </c>
      <c r="C361" t="s">
        <v>14</v>
      </c>
      <c r="D361">
        <v>3</v>
      </c>
      <c r="E361">
        <v>4</v>
      </c>
      <c r="F361" t="s">
        <v>21</v>
      </c>
      <c r="G361">
        <v>1</v>
      </c>
      <c r="H361">
        <v>4</v>
      </c>
      <c r="I361" t="s">
        <v>19</v>
      </c>
      <c r="J361">
        <v>9699</v>
      </c>
      <c r="K361">
        <v>4</v>
      </c>
      <c r="L361">
        <v>3</v>
      </c>
      <c r="M361">
        <v>13</v>
      </c>
    </row>
    <row r="362" spans="1:13">
      <c r="A362">
        <v>57</v>
      </c>
      <c r="B362" t="s">
        <v>17</v>
      </c>
      <c r="C362" t="s">
        <v>18</v>
      </c>
      <c r="D362">
        <v>1</v>
      </c>
      <c r="E362">
        <v>4</v>
      </c>
      <c r="F362" t="s">
        <v>21</v>
      </c>
      <c r="G362">
        <v>4</v>
      </c>
      <c r="H362">
        <v>3</v>
      </c>
      <c r="I362" t="s">
        <v>19</v>
      </c>
      <c r="J362">
        <v>6755</v>
      </c>
      <c r="K362">
        <v>2</v>
      </c>
      <c r="L362">
        <v>3</v>
      </c>
      <c r="M362">
        <v>3</v>
      </c>
    </row>
    <row r="363" spans="1:13">
      <c r="A363">
        <v>40</v>
      </c>
      <c r="B363" t="s">
        <v>17</v>
      </c>
      <c r="C363" t="s">
        <v>18</v>
      </c>
      <c r="D363">
        <v>10</v>
      </c>
      <c r="E363">
        <v>4</v>
      </c>
      <c r="F363" t="s">
        <v>15</v>
      </c>
      <c r="G363">
        <v>4</v>
      </c>
      <c r="H363">
        <v>3</v>
      </c>
      <c r="I363" t="s">
        <v>19</v>
      </c>
      <c r="J363">
        <v>2213</v>
      </c>
      <c r="K363">
        <v>3</v>
      </c>
      <c r="L363">
        <v>3</v>
      </c>
      <c r="M363">
        <v>7</v>
      </c>
    </row>
    <row r="364" spans="1:13">
      <c r="A364">
        <v>21</v>
      </c>
      <c r="B364" t="s">
        <v>17</v>
      </c>
      <c r="C364" t="s">
        <v>14</v>
      </c>
      <c r="D364">
        <v>9</v>
      </c>
      <c r="E364">
        <v>2</v>
      </c>
      <c r="F364" t="s">
        <v>21</v>
      </c>
      <c r="G364">
        <v>1</v>
      </c>
      <c r="H364">
        <v>4</v>
      </c>
      <c r="I364" t="s">
        <v>16</v>
      </c>
      <c r="J364">
        <v>2610</v>
      </c>
      <c r="K364">
        <v>1</v>
      </c>
      <c r="L364">
        <v>2</v>
      </c>
      <c r="M364">
        <v>3</v>
      </c>
    </row>
    <row r="365" spans="1:13">
      <c r="A365">
        <v>33</v>
      </c>
      <c r="B365" t="s">
        <v>13</v>
      </c>
      <c r="C365" t="s">
        <v>14</v>
      </c>
      <c r="D365">
        <v>5</v>
      </c>
      <c r="E365">
        <v>3</v>
      </c>
      <c r="F365" t="s">
        <v>23</v>
      </c>
      <c r="G365">
        <v>4</v>
      </c>
      <c r="H365">
        <v>3</v>
      </c>
      <c r="I365" t="s">
        <v>16</v>
      </c>
      <c r="J365">
        <v>2851</v>
      </c>
      <c r="K365">
        <v>1</v>
      </c>
      <c r="L365">
        <v>3</v>
      </c>
      <c r="M365">
        <v>1</v>
      </c>
    </row>
    <row r="366" spans="1:13">
      <c r="A366">
        <v>37</v>
      </c>
      <c r="B366" t="s">
        <v>17</v>
      </c>
      <c r="C366" t="s">
        <v>18</v>
      </c>
      <c r="D366">
        <v>10</v>
      </c>
      <c r="E366">
        <v>3</v>
      </c>
      <c r="F366" t="s">
        <v>21</v>
      </c>
      <c r="G366">
        <v>3</v>
      </c>
      <c r="H366">
        <v>1</v>
      </c>
      <c r="I366" t="s">
        <v>19</v>
      </c>
      <c r="J366">
        <v>3452</v>
      </c>
      <c r="K366">
        <v>6</v>
      </c>
      <c r="L366">
        <v>3</v>
      </c>
      <c r="M366">
        <v>5</v>
      </c>
    </row>
    <row r="367" spans="1:13">
      <c r="A367">
        <v>46</v>
      </c>
      <c r="B367" t="s">
        <v>17</v>
      </c>
      <c r="C367" t="s">
        <v>18</v>
      </c>
      <c r="D367">
        <v>7</v>
      </c>
      <c r="E367">
        <v>4</v>
      </c>
      <c r="F367" t="s">
        <v>21</v>
      </c>
      <c r="G367">
        <v>3</v>
      </c>
      <c r="H367">
        <v>3</v>
      </c>
      <c r="I367" t="s">
        <v>19</v>
      </c>
      <c r="J367">
        <v>5258</v>
      </c>
      <c r="K367">
        <v>2</v>
      </c>
      <c r="L367">
        <v>4</v>
      </c>
      <c r="M367">
        <v>1</v>
      </c>
    </row>
    <row r="368" spans="1:13">
      <c r="A368">
        <v>41</v>
      </c>
      <c r="B368" t="s">
        <v>13</v>
      </c>
      <c r="C368" t="s">
        <v>14</v>
      </c>
      <c r="D368">
        <v>4</v>
      </c>
      <c r="E368">
        <v>3</v>
      </c>
      <c r="F368" t="s">
        <v>23</v>
      </c>
      <c r="G368">
        <v>1</v>
      </c>
      <c r="H368">
        <v>2</v>
      </c>
      <c r="I368" t="s">
        <v>16</v>
      </c>
      <c r="J368">
        <v>9355</v>
      </c>
      <c r="K368">
        <v>1</v>
      </c>
      <c r="L368">
        <v>3</v>
      </c>
      <c r="M368">
        <v>8</v>
      </c>
    </row>
    <row r="369" spans="1:13">
      <c r="A369">
        <v>50</v>
      </c>
      <c r="B369" t="s">
        <v>17</v>
      </c>
      <c r="C369" t="s">
        <v>18</v>
      </c>
      <c r="D369">
        <v>10</v>
      </c>
      <c r="E369">
        <v>3</v>
      </c>
      <c r="F369" t="s">
        <v>24</v>
      </c>
      <c r="G369">
        <v>4</v>
      </c>
      <c r="H369">
        <v>4</v>
      </c>
      <c r="I369" t="s">
        <v>16</v>
      </c>
      <c r="J369">
        <v>10496</v>
      </c>
      <c r="K369">
        <v>6</v>
      </c>
      <c r="L369">
        <v>3</v>
      </c>
      <c r="M369">
        <v>4</v>
      </c>
    </row>
    <row r="370" spans="1:13">
      <c r="A370">
        <v>40</v>
      </c>
      <c r="B370" t="s">
        <v>13</v>
      </c>
      <c r="C370" t="s">
        <v>14</v>
      </c>
      <c r="D370">
        <v>22</v>
      </c>
      <c r="E370">
        <v>2</v>
      </c>
      <c r="F370" t="s">
        <v>23</v>
      </c>
      <c r="G370">
        <v>3</v>
      </c>
      <c r="H370">
        <v>3</v>
      </c>
      <c r="I370" t="s">
        <v>19</v>
      </c>
      <c r="J370">
        <v>6380</v>
      </c>
      <c r="K370">
        <v>2</v>
      </c>
      <c r="L370">
        <v>3</v>
      </c>
      <c r="M370">
        <v>6</v>
      </c>
    </row>
    <row r="371" spans="1:13">
      <c r="A371">
        <v>31</v>
      </c>
      <c r="B371" t="s">
        <v>17</v>
      </c>
      <c r="C371" t="s">
        <v>18</v>
      </c>
      <c r="D371">
        <v>9</v>
      </c>
      <c r="E371">
        <v>4</v>
      </c>
      <c r="F371" t="s">
        <v>15</v>
      </c>
      <c r="G371">
        <v>3</v>
      </c>
      <c r="H371">
        <v>2</v>
      </c>
      <c r="I371" t="s">
        <v>16</v>
      </c>
      <c r="J371">
        <v>2657</v>
      </c>
      <c r="K371">
        <v>0</v>
      </c>
      <c r="L371">
        <v>3</v>
      </c>
      <c r="M371">
        <v>2</v>
      </c>
    </row>
    <row r="372" spans="1:13">
      <c r="A372">
        <v>21</v>
      </c>
      <c r="B372" t="s">
        <v>13</v>
      </c>
      <c r="C372" t="s">
        <v>14</v>
      </c>
      <c r="D372">
        <v>12</v>
      </c>
      <c r="E372">
        <v>3</v>
      </c>
      <c r="F372" t="s">
        <v>15</v>
      </c>
      <c r="G372">
        <v>3</v>
      </c>
      <c r="H372">
        <v>2</v>
      </c>
      <c r="I372" t="s">
        <v>16</v>
      </c>
      <c r="J372">
        <v>2716</v>
      </c>
      <c r="K372">
        <v>1</v>
      </c>
      <c r="L372">
        <v>3</v>
      </c>
      <c r="M372">
        <v>1</v>
      </c>
    </row>
    <row r="373" spans="1:13">
      <c r="A373">
        <v>29</v>
      </c>
      <c r="B373" t="s">
        <v>17</v>
      </c>
      <c r="C373" t="s">
        <v>18</v>
      </c>
      <c r="D373">
        <v>23</v>
      </c>
      <c r="E373">
        <v>3</v>
      </c>
      <c r="F373" t="s">
        <v>15</v>
      </c>
      <c r="G373">
        <v>4</v>
      </c>
      <c r="H373">
        <v>4</v>
      </c>
      <c r="I373" t="s">
        <v>16</v>
      </c>
      <c r="J373">
        <v>2201</v>
      </c>
      <c r="K373">
        <v>9</v>
      </c>
      <c r="L373">
        <v>3</v>
      </c>
      <c r="M373">
        <v>3</v>
      </c>
    </row>
    <row r="374" spans="1:13">
      <c r="A374">
        <v>35</v>
      </c>
      <c r="B374" t="s">
        <v>17</v>
      </c>
      <c r="C374" t="s">
        <v>18</v>
      </c>
      <c r="D374">
        <v>9</v>
      </c>
      <c r="E374">
        <v>4</v>
      </c>
      <c r="F374" t="s">
        <v>15</v>
      </c>
      <c r="G374">
        <v>3</v>
      </c>
      <c r="H374">
        <v>2</v>
      </c>
      <c r="I374" t="s">
        <v>16</v>
      </c>
      <c r="J374">
        <v>6540</v>
      </c>
      <c r="K374">
        <v>9</v>
      </c>
      <c r="L374">
        <v>3</v>
      </c>
      <c r="M374">
        <v>1</v>
      </c>
    </row>
    <row r="375" spans="1:13">
      <c r="A375">
        <v>27</v>
      </c>
      <c r="B375" t="s">
        <v>17</v>
      </c>
      <c r="C375" t="s">
        <v>18</v>
      </c>
      <c r="D375">
        <v>1</v>
      </c>
      <c r="E375">
        <v>2</v>
      </c>
      <c r="F375" t="s">
        <v>21</v>
      </c>
      <c r="G375">
        <v>4</v>
      </c>
      <c r="H375">
        <v>2</v>
      </c>
      <c r="I375" t="s">
        <v>22</v>
      </c>
      <c r="J375">
        <v>3816</v>
      </c>
      <c r="K375">
        <v>1</v>
      </c>
      <c r="L375">
        <v>3</v>
      </c>
      <c r="M375">
        <v>5</v>
      </c>
    </row>
    <row r="376" spans="1:13">
      <c r="A376">
        <v>28</v>
      </c>
      <c r="B376" t="s">
        <v>17</v>
      </c>
      <c r="C376" t="s">
        <v>14</v>
      </c>
      <c r="D376">
        <v>9</v>
      </c>
      <c r="E376">
        <v>4</v>
      </c>
      <c r="F376" t="s">
        <v>15</v>
      </c>
      <c r="G376">
        <v>2</v>
      </c>
      <c r="H376">
        <v>4</v>
      </c>
      <c r="I376" t="s">
        <v>16</v>
      </c>
      <c r="J376">
        <v>5253</v>
      </c>
      <c r="K376">
        <v>1</v>
      </c>
      <c r="L376">
        <v>3</v>
      </c>
      <c r="M376">
        <v>7</v>
      </c>
    </row>
    <row r="377" spans="1:13">
      <c r="A377">
        <v>49</v>
      </c>
      <c r="B377" t="s">
        <v>17</v>
      </c>
      <c r="C377" t="s">
        <v>18</v>
      </c>
      <c r="D377">
        <v>7</v>
      </c>
      <c r="E377">
        <v>3</v>
      </c>
      <c r="F377" t="s">
        <v>20</v>
      </c>
      <c r="G377">
        <v>2</v>
      </c>
      <c r="H377">
        <v>3</v>
      </c>
      <c r="I377" t="s">
        <v>16</v>
      </c>
      <c r="J377">
        <v>10965</v>
      </c>
      <c r="K377">
        <v>8</v>
      </c>
      <c r="L377">
        <v>3</v>
      </c>
      <c r="M377">
        <v>5</v>
      </c>
    </row>
    <row r="378" spans="1:13">
      <c r="A378">
        <v>51</v>
      </c>
      <c r="B378" t="s">
        <v>17</v>
      </c>
      <c r="C378" t="s">
        <v>14</v>
      </c>
      <c r="D378">
        <v>14</v>
      </c>
      <c r="E378">
        <v>2</v>
      </c>
      <c r="F378" t="s">
        <v>15</v>
      </c>
      <c r="G378">
        <v>3</v>
      </c>
      <c r="H378">
        <v>4</v>
      </c>
      <c r="I378" t="s">
        <v>19</v>
      </c>
      <c r="J378">
        <v>4936</v>
      </c>
      <c r="K378">
        <v>4</v>
      </c>
      <c r="L378">
        <v>2</v>
      </c>
      <c r="M378">
        <v>7</v>
      </c>
    </row>
    <row r="379" spans="1:13">
      <c r="A379">
        <v>36</v>
      </c>
      <c r="B379" t="s">
        <v>17</v>
      </c>
      <c r="C379" t="s">
        <v>18</v>
      </c>
      <c r="D379">
        <v>2</v>
      </c>
      <c r="E379">
        <v>3</v>
      </c>
      <c r="F379" t="s">
        <v>15</v>
      </c>
      <c r="G379">
        <v>4</v>
      </c>
      <c r="H379">
        <v>3</v>
      </c>
      <c r="I379" t="s">
        <v>19</v>
      </c>
      <c r="J379">
        <v>2543</v>
      </c>
      <c r="K379">
        <v>4</v>
      </c>
      <c r="L379">
        <v>3</v>
      </c>
      <c r="M379">
        <v>2</v>
      </c>
    </row>
    <row r="380" spans="1:13">
      <c r="A380">
        <v>34</v>
      </c>
      <c r="B380" t="s">
        <v>13</v>
      </c>
      <c r="C380" t="s">
        <v>14</v>
      </c>
      <c r="D380">
        <v>19</v>
      </c>
      <c r="E380">
        <v>3</v>
      </c>
      <c r="F380" t="s">
        <v>23</v>
      </c>
      <c r="G380">
        <v>1</v>
      </c>
      <c r="H380">
        <v>4</v>
      </c>
      <c r="I380" t="s">
        <v>16</v>
      </c>
      <c r="J380">
        <v>5304</v>
      </c>
      <c r="K380">
        <v>8</v>
      </c>
      <c r="L380">
        <v>2</v>
      </c>
      <c r="M380">
        <v>5</v>
      </c>
    </row>
    <row r="381" spans="1:13">
      <c r="A381">
        <v>55</v>
      </c>
      <c r="B381" t="s">
        <v>17</v>
      </c>
      <c r="C381" t="s">
        <v>18</v>
      </c>
      <c r="D381">
        <v>2</v>
      </c>
      <c r="E381">
        <v>3</v>
      </c>
      <c r="F381" t="s">
        <v>15</v>
      </c>
      <c r="G381">
        <v>3</v>
      </c>
      <c r="H381">
        <v>4</v>
      </c>
      <c r="I381" t="s">
        <v>16</v>
      </c>
      <c r="J381">
        <v>16659</v>
      </c>
      <c r="K381">
        <v>2</v>
      </c>
      <c r="L381">
        <v>3</v>
      </c>
      <c r="M381">
        <v>5</v>
      </c>
    </row>
    <row r="382" spans="1:13">
      <c r="A382">
        <v>24</v>
      </c>
      <c r="B382" t="s">
        <v>17</v>
      </c>
      <c r="C382" t="s">
        <v>14</v>
      </c>
      <c r="D382">
        <v>10</v>
      </c>
      <c r="E382">
        <v>4</v>
      </c>
      <c r="F382" t="s">
        <v>23</v>
      </c>
      <c r="G382">
        <v>4</v>
      </c>
      <c r="H382">
        <v>3</v>
      </c>
      <c r="I382" t="s">
        <v>22</v>
      </c>
      <c r="J382">
        <v>4260</v>
      </c>
      <c r="K382">
        <v>1</v>
      </c>
      <c r="L382">
        <v>4</v>
      </c>
      <c r="M382">
        <v>5</v>
      </c>
    </row>
    <row r="383" spans="1:13">
      <c r="A383">
        <v>30</v>
      </c>
      <c r="B383" t="s">
        <v>17</v>
      </c>
      <c r="C383" t="s">
        <v>14</v>
      </c>
      <c r="D383">
        <v>2</v>
      </c>
      <c r="E383">
        <v>1</v>
      </c>
      <c r="F383" t="s">
        <v>24</v>
      </c>
      <c r="G383">
        <v>3</v>
      </c>
      <c r="H383">
        <v>2</v>
      </c>
      <c r="I383" t="s">
        <v>19</v>
      </c>
      <c r="J383">
        <v>2476</v>
      </c>
      <c r="K383">
        <v>1</v>
      </c>
      <c r="L383">
        <v>3</v>
      </c>
      <c r="M383">
        <v>1</v>
      </c>
    </row>
    <row r="384" spans="1:13">
      <c r="A384">
        <v>26</v>
      </c>
      <c r="B384" t="s">
        <v>13</v>
      </c>
      <c r="C384" t="s">
        <v>18</v>
      </c>
      <c r="D384">
        <v>3</v>
      </c>
      <c r="E384">
        <v>1</v>
      </c>
      <c r="F384" t="s">
        <v>24</v>
      </c>
      <c r="G384">
        <v>3</v>
      </c>
      <c r="H384">
        <v>1</v>
      </c>
      <c r="I384" t="s">
        <v>16</v>
      </c>
      <c r="J384">
        <v>3102</v>
      </c>
      <c r="K384">
        <v>0</v>
      </c>
      <c r="L384">
        <v>3</v>
      </c>
      <c r="M384">
        <v>6</v>
      </c>
    </row>
    <row r="385" spans="1:13">
      <c r="A385">
        <v>22</v>
      </c>
      <c r="B385" t="s">
        <v>17</v>
      </c>
      <c r="C385" t="s">
        <v>18</v>
      </c>
      <c r="D385">
        <v>11</v>
      </c>
      <c r="E385">
        <v>3</v>
      </c>
      <c r="F385" t="s">
        <v>21</v>
      </c>
      <c r="G385">
        <v>1</v>
      </c>
      <c r="H385">
        <v>2</v>
      </c>
      <c r="I385" t="s">
        <v>19</v>
      </c>
      <c r="J385">
        <v>2244</v>
      </c>
      <c r="K385">
        <v>1</v>
      </c>
      <c r="L385">
        <v>3</v>
      </c>
      <c r="M385">
        <v>2</v>
      </c>
    </row>
    <row r="386" spans="1:13">
      <c r="A386">
        <v>36</v>
      </c>
      <c r="B386" t="s">
        <v>17</v>
      </c>
      <c r="C386" t="s">
        <v>14</v>
      </c>
      <c r="D386">
        <v>2</v>
      </c>
      <c r="E386">
        <v>2</v>
      </c>
      <c r="F386" t="s">
        <v>21</v>
      </c>
      <c r="G386">
        <v>2</v>
      </c>
      <c r="H386">
        <v>3</v>
      </c>
      <c r="I386" t="s">
        <v>19</v>
      </c>
      <c r="J386">
        <v>7596</v>
      </c>
      <c r="K386">
        <v>1</v>
      </c>
      <c r="L386">
        <v>3</v>
      </c>
      <c r="M386">
        <v>10</v>
      </c>
    </row>
    <row r="387" spans="1:13">
      <c r="A387">
        <v>30</v>
      </c>
      <c r="B387" t="s">
        <v>13</v>
      </c>
      <c r="C387" t="s">
        <v>18</v>
      </c>
      <c r="D387">
        <v>4</v>
      </c>
      <c r="E387">
        <v>3</v>
      </c>
      <c r="F387" t="s">
        <v>24</v>
      </c>
      <c r="G387">
        <v>3</v>
      </c>
      <c r="H387">
        <v>4</v>
      </c>
      <c r="I387" t="s">
        <v>16</v>
      </c>
      <c r="J387">
        <v>2285</v>
      </c>
      <c r="K387">
        <v>9</v>
      </c>
      <c r="L387">
        <v>3</v>
      </c>
      <c r="M387">
        <v>1</v>
      </c>
    </row>
    <row r="388" spans="1:13">
      <c r="A388">
        <v>37</v>
      </c>
      <c r="B388" t="s">
        <v>17</v>
      </c>
      <c r="C388" t="s">
        <v>18</v>
      </c>
      <c r="D388">
        <v>14</v>
      </c>
      <c r="E388">
        <v>3</v>
      </c>
      <c r="F388" t="s">
        <v>15</v>
      </c>
      <c r="G388">
        <v>4</v>
      </c>
      <c r="H388">
        <v>1</v>
      </c>
      <c r="I388" t="s">
        <v>22</v>
      </c>
      <c r="J388">
        <v>3034</v>
      </c>
      <c r="K388">
        <v>1</v>
      </c>
      <c r="L388">
        <v>2</v>
      </c>
      <c r="M388">
        <v>18</v>
      </c>
    </row>
    <row r="389" spans="1:13">
      <c r="A389">
        <v>40</v>
      </c>
      <c r="B389" t="s">
        <v>17</v>
      </c>
      <c r="C389" t="s">
        <v>14</v>
      </c>
      <c r="D389">
        <v>2</v>
      </c>
      <c r="E389">
        <v>2</v>
      </c>
      <c r="F389" t="s">
        <v>23</v>
      </c>
      <c r="G389">
        <v>4</v>
      </c>
      <c r="H389">
        <v>2</v>
      </c>
      <c r="I389" t="s">
        <v>22</v>
      </c>
      <c r="J389">
        <v>5715</v>
      </c>
      <c r="K389">
        <v>7</v>
      </c>
      <c r="L389">
        <v>3</v>
      </c>
      <c r="M389">
        <v>5</v>
      </c>
    </row>
    <row r="390" spans="1:13">
      <c r="A390">
        <v>42</v>
      </c>
      <c r="B390" t="s">
        <v>17</v>
      </c>
      <c r="C390" t="s">
        <v>18</v>
      </c>
      <c r="D390">
        <v>1</v>
      </c>
      <c r="E390">
        <v>4</v>
      </c>
      <c r="F390" t="s">
        <v>15</v>
      </c>
      <c r="G390">
        <v>2</v>
      </c>
      <c r="H390">
        <v>1</v>
      </c>
      <c r="I390" t="s">
        <v>22</v>
      </c>
      <c r="J390">
        <v>2576</v>
      </c>
      <c r="K390">
        <v>3</v>
      </c>
      <c r="L390">
        <v>3</v>
      </c>
      <c r="M390">
        <v>5</v>
      </c>
    </row>
    <row r="391" spans="1:13">
      <c r="A391">
        <v>37</v>
      </c>
      <c r="B391" t="s">
        <v>17</v>
      </c>
      <c r="C391" t="s">
        <v>18</v>
      </c>
      <c r="D391">
        <v>10</v>
      </c>
      <c r="E391">
        <v>4</v>
      </c>
      <c r="F391" t="s">
        <v>15</v>
      </c>
      <c r="G391">
        <v>3</v>
      </c>
      <c r="H391">
        <v>2</v>
      </c>
      <c r="I391" t="s">
        <v>16</v>
      </c>
      <c r="J391">
        <v>4197</v>
      </c>
      <c r="K391">
        <v>2</v>
      </c>
      <c r="L391">
        <v>2</v>
      </c>
      <c r="M391">
        <v>1</v>
      </c>
    </row>
    <row r="392" spans="1:13">
      <c r="A392">
        <v>43</v>
      </c>
      <c r="B392" t="s">
        <v>17</v>
      </c>
      <c r="C392" t="s">
        <v>18</v>
      </c>
      <c r="D392">
        <v>12</v>
      </c>
      <c r="E392">
        <v>3</v>
      </c>
      <c r="F392" t="s">
        <v>15</v>
      </c>
      <c r="G392">
        <v>1</v>
      </c>
      <c r="H392">
        <v>2</v>
      </c>
      <c r="I392" t="s">
        <v>22</v>
      </c>
      <c r="J392">
        <v>14336</v>
      </c>
      <c r="K392">
        <v>1</v>
      </c>
      <c r="L392">
        <v>3</v>
      </c>
      <c r="M392">
        <v>25</v>
      </c>
    </row>
    <row r="393" spans="1:13">
      <c r="A393">
        <v>40</v>
      </c>
      <c r="B393" t="s">
        <v>17</v>
      </c>
      <c r="C393" t="s">
        <v>18</v>
      </c>
      <c r="D393">
        <v>2</v>
      </c>
      <c r="E393">
        <v>3</v>
      </c>
      <c r="F393" t="s">
        <v>21</v>
      </c>
      <c r="G393">
        <v>2</v>
      </c>
      <c r="H393">
        <v>3</v>
      </c>
      <c r="I393" t="s">
        <v>19</v>
      </c>
      <c r="J393">
        <v>3448</v>
      </c>
      <c r="K393">
        <v>6</v>
      </c>
      <c r="L393">
        <v>3</v>
      </c>
      <c r="M393">
        <v>1</v>
      </c>
    </row>
    <row r="394" spans="1:13">
      <c r="A394">
        <v>54</v>
      </c>
      <c r="B394" t="s">
        <v>17</v>
      </c>
      <c r="C394" t="s">
        <v>18</v>
      </c>
      <c r="D394">
        <v>5</v>
      </c>
      <c r="E394">
        <v>2</v>
      </c>
      <c r="F394" t="s">
        <v>21</v>
      </c>
      <c r="G394">
        <v>1</v>
      </c>
      <c r="H394">
        <v>1</v>
      </c>
      <c r="I394" t="s">
        <v>19</v>
      </c>
      <c r="J394">
        <v>19406</v>
      </c>
      <c r="K394">
        <v>4</v>
      </c>
      <c r="L394">
        <v>2</v>
      </c>
      <c r="M394">
        <v>4</v>
      </c>
    </row>
    <row r="395" spans="1:13">
      <c r="A395">
        <v>34</v>
      </c>
      <c r="B395" t="s">
        <v>17</v>
      </c>
      <c r="C395" t="s">
        <v>14</v>
      </c>
      <c r="D395">
        <v>4</v>
      </c>
      <c r="E395">
        <v>4</v>
      </c>
      <c r="F395" t="s">
        <v>23</v>
      </c>
      <c r="G395">
        <v>3</v>
      </c>
      <c r="H395">
        <v>3</v>
      </c>
      <c r="I395" t="s">
        <v>19</v>
      </c>
      <c r="J395">
        <v>6538</v>
      </c>
      <c r="K395">
        <v>9</v>
      </c>
      <c r="L395">
        <v>3</v>
      </c>
      <c r="M395">
        <v>3</v>
      </c>
    </row>
    <row r="396" spans="1:13">
      <c r="A396">
        <v>31</v>
      </c>
      <c r="B396" t="s">
        <v>17</v>
      </c>
      <c r="C396" t="s">
        <v>18</v>
      </c>
      <c r="D396">
        <v>7</v>
      </c>
      <c r="E396">
        <v>2</v>
      </c>
      <c r="F396" t="s">
        <v>21</v>
      </c>
      <c r="G396">
        <v>2</v>
      </c>
      <c r="H396">
        <v>1</v>
      </c>
      <c r="I396" t="s">
        <v>19</v>
      </c>
      <c r="J396">
        <v>4306</v>
      </c>
      <c r="K396">
        <v>1</v>
      </c>
      <c r="L396">
        <v>1</v>
      </c>
      <c r="M396">
        <v>13</v>
      </c>
    </row>
    <row r="397" spans="1:13">
      <c r="A397">
        <v>43</v>
      </c>
      <c r="B397" t="s">
        <v>17</v>
      </c>
      <c r="C397" t="s">
        <v>18</v>
      </c>
      <c r="D397">
        <v>21</v>
      </c>
      <c r="E397">
        <v>3</v>
      </c>
      <c r="F397" t="s">
        <v>21</v>
      </c>
      <c r="G397">
        <v>4</v>
      </c>
      <c r="H397">
        <v>4</v>
      </c>
      <c r="I397" t="s">
        <v>19</v>
      </c>
      <c r="J397">
        <v>2258</v>
      </c>
      <c r="K397">
        <v>7</v>
      </c>
      <c r="L397">
        <v>3</v>
      </c>
      <c r="M397">
        <v>3</v>
      </c>
    </row>
    <row r="398" spans="1:13">
      <c r="A398">
        <v>43</v>
      </c>
      <c r="B398" t="s">
        <v>17</v>
      </c>
      <c r="C398" t="s">
        <v>18</v>
      </c>
      <c r="D398">
        <v>8</v>
      </c>
      <c r="E398">
        <v>4</v>
      </c>
      <c r="F398" t="s">
        <v>20</v>
      </c>
      <c r="G398">
        <v>3</v>
      </c>
      <c r="H398">
        <v>3</v>
      </c>
      <c r="I398" t="s">
        <v>22</v>
      </c>
      <c r="J398">
        <v>4522</v>
      </c>
      <c r="K398">
        <v>4</v>
      </c>
      <c r="L398">
        <v>3</v>
      </c>
      <c r="M398">
        <v>5</v>
      </c>
    </row>
    <row r="399" spans="1:13">
      <c r="A399">
        <v>25</v>
      </c>
      <c r="B399" t="s">
        <v>17</v>
      </c>
      <c r="C399" t="s">
        <v>14</v>
      </c>
      <c r="D399">
        <v>4</v>
      </c>
      <c r="E399">
        <v>2</v>
      </c>
      <c r="F399" t="s">
        <v>15</v>
      </c>
      <c r="G399">
        <v>2</v>
      </c>
      <c r="H399">
        <v>4</v>
      </c>
      <c r="I399" t="s">
        <v>16</v>
      </c>
      <c r="J399">
        <v>4487</v>
      </c>
      <c r="K399">
        <v>1</v>
      </c>
      <c r="L399">
        <v>3</v>
      </c>
      <c r="M399">
        <v>5</v>
      </c>
    </row>
    <row r="400" spans="1:13">
      <c r="A400">
        <v>37</v>
      </c>
      <c r="B400" t="s">
        <v>17</v>
      </c>
      <c r="C400" t="s">
        <v>18</v>
      </c>
      <c r="D400">
        <v>25</v>
      </c>
      <c r="E400">
        <v>5</v>
      </c>
      <c r="F400" t="s">
        <v>21</v>
      </c>
      <c r="G400">
        <v>2</v>
      </c>
      <c r="H400">
        <v>3</v>
      </c>
      <c r="I400" t="s">
        <v>19</v>
      </c>
      <c r="J400">
        <v>4449</v>
      </c>
      <c r="K400">
        <v>3</v>
      </c>
      <c r="L400">
        <v>3</v>
      </c>
      <c r="M400">
        <v>13</v>
      </c>
    </row>
    <row r="401" spans="1:13">
      <c r="A401">
        <v>31</v>
      </c>
      <c r="B401" t="s">
        <v>17</v>
      </c>
      <c r="C401" t="s">
        <v>18</v>
      </c>
      <c r="D401">
        <v>1</v>
      </c>
      <c r="E401">
        <v>2</v>
      </c>
      <c r="F401" t="s">
        <v>15</v>
      </c>
      <c r="G401">
        <v>4</v>
      </c>
      <c r="H401">
        <v>1</v>
      </c>
      <c r="I401" t="s">
        <v>19</v>
      </c>
      <c r="J401">
        <v>2218</v>
      </c>
      <c r="K401">
        <v>1</v>
      </c>
      <c r="L401">
        <v>3</v>
      </c>
      <c r="M401">
        <v>4</v>
      </c>
    </row>
    <row r="402" spans="1:13">
      <c r="A402">
        <v>39</v>
      </c>
      <c r="B402" t="s">
        <v>17</v>
      </c>
      <c r="C402" t="s">
        <v>18</v>
      </c>
      <c r="D402">
        <v>1</v>
      </c>
      <c r="E402">
        <v>1</v>
      </c>
      <c r="F402" t="s">
        <v>15</v>
      </c>
      <c r="G402">
        <v>2</v>
      </c>
      <c r="H402">
        <v>3</v>
      </c>
      <c r="I402" t="s">
        <v>22</v>
      </c>
      <c r="J402">
        <v>19197</v>
      </c>
      <c r="K402">
        <v>1</v>
      </c>
      <c r="L402">
        <v>3</v>
      </c>
      <c r="M402">
        <v>21</v>
      </c>
    </row>
    <row r="403" spans="1:13">
      <c r="A403">
        <v>56</v>
      </c>
      <c r="B403" t="s">
        <v>17</v>
      </c>
      <c r="C403" t="s">
        <v>14</v>
      </c>
      <c r="D403">
        <v>6</v>
      </c>
      <c r="E403">
        <v>3</v>
      </c>
      <c r="F403" t="s">
        <v>15</v>
      </c>
      <c r="G403">
        <v>3</v>
      </c>
      <c r="H403">
        <v>1</v>
      </c>
      <c r="I403" t="s">
        <v>19</v>
      </c>
      <c r="J403">
        <v>13212</v>
      </c>
      <c r="K403">
        <v>9</v>
      </c>
      <c r="L403">
        <v>2</v>
      </c>
      <c r="M403">
        <v>7</v>
      </c>
    </row>
    <row r="404" spans="1:13">
      <c r="A404">
        <v>30</v>
      </c>
      <c r="B404" t="s">
        <v>17</v>
      </c>
      <c r="C404" t="s">
        <v>14</v>
      </c>
      <c r="D404">
        <v>12</v>
      </c>
      <c r="E404">
        <v>3</v>
      </c>
      <c r="F404" t="s">
        <v>24</v>
      </c>
      <c r="G404">
        <v>2</v>
      </c>
      <c r="H404">
        <v>3</v>
      </c>
      <c r="I404" t="s">
        <v>16</v>
      </c>
      <c r="J404">
        <v>6577</v>
      </c>
      <c r="K404">
        <v>0</v>
      </c>
      <c r="L404">
        <v>3</v>
      </c>
      <c r="M404">
        <v>5</v>
      </c>
    </row>
    <row r="405" spans="1:13">
      <c r="A405">
        <v>41</v>
      </c>
      <c r="B405" t="s">
        <v>17</v>
      </c>
      <c r="C405" t="s">
        <v>14</v>
      </c>
      <c r="D405">
        <v>1</v>
      </c>
      <c r="E405">
        <v>3</v>
      </c>
      <c r="F405" t="s">
        <v>23</v>
      </c>
      <c r="G405">
        <v>2</v>
      </c>
      <c r="H405">
        <v>1</v>
      </c>
      <c r="I405" t="s">
        <v>19</v>
      </c>
      <c r="J405">
        <v>8392</v>
      </c>
      <c r="K405">
        <v>1</v>
      </c>
      <c r="L405">
        <v>3</v>
      </c>
      <c r="M405">
        <v>10</v>
      </c>
    </row>
    <row r="406" spans="1:13">
      <c r="A406">
        <v>28</v>
      </c>
      <c r="B406" t="s">
        <v>17</v>
      </c>
      <c r="C406" t="s">
        <v>18</v>
      </c>
      <c r="D406">
        <v>17</v>
      </c>
      <c r="E406">
        <v>2</v>
      </c>
      <c r="F406" t="s">
        <v>21</v>
      </c>
      <c r="G406">
        <v>3</v>
      </c>
      <c r="H406">
        <v>1</v>
      </c>
      <c r="I406" t="s">
        <v>22</v>
      </c>
      <c r="J406">
        <v>4558</v>
      </c>
      <c r="K406">
        <v>1</v>
      </c>
      <c r="L406">
        <v>3</v>
      </c>
      <c r="M406">
        <v>10</v>
      </c>
    </row>
    <row r="407" spans="1:13">
      <c r="A407">
        <v>25</v>
      </c>
      <c r="B407" t="s">
        <v>13</v>
      </c>
      <c r="C407" t="s">
        <v>18</v>
      </c>
      <c r="D407">
        <v>3</v>
      </c>
      <c r="E407">
        <v>3</v>
      </c>
      <c r="F407" t="s">
        <v>21</v>
      </c>
      <c r="G407">
        <v>1</v>
      </c>
      <c r="H407">
        <v>1</v>
      </c>
      <c r="I407" t="s">
        <v>19</v>
      </c>
      <c r="J407">
        <v>4031</v>
      </c>
      <c r="K407">
        <v>5</v>
      </c>
      <c r="L407">
        <v>3</v>
      </c>
      <c r="M407">
        <v>2</v>
      </c>
    </row>
    <row r="408" spans="1:13">
      <c r="A408">
        <v>52</v>
      </c>
      <c r="B408" t="s">
        <v>17</v>
      </c>
      <c r="C408" t="s">
        <v>18</v>
      </c>
      <c r="D408">
        <v>3</v>
      </c>
      <c r="E408">
        <v>3</v>
      </c>
      <c r="F408" t="s">
        <v>21</v>
      </c>
      <c r="G408">
        <v>4</v>
      </c>
      <c r="H408">
        <v>3</v>
      </c>
      <c r="I408" t="s">
        <v>19</v>
      </c>
      <c r="J408">
        <v>7969</v>
      </c>
      <c r="K408">
        <v>2</v>
      </c>
      <c r="L408">
        <v>3</v>
      </c>
      <c r="M408">
        <v>5</v>
      </c>
    </row>
    <row r="409" spans="1:13">
      <c r="A409">
        <v>45</v>
      </c>
      <c r="B409" t="s">
        <v>17</v>
      </c>
      <c r="C409" t="s">
        <v>18</v>
      </c>
      <c r="D409">
        <v>10</v>
      </c>
      <c r="E409">
        <v>2</v>
      </c>
      <c r="F409" t="s">
        <v>15</v>
      </c>
      <c r="G409">
        <v>1</v>
      </c>
      <c r="H409">
        <v>4</v>
      </c>
      <c r="I409" t="s">
        <v>19</v>
      </c>
      <c r="J409">
        <v>2654</v>
      </c>
      <c r="K409">
        <v>3</v>
      </c>
      <c r="L409">
        <v>2</v>
      </c>
      <c r="M409">
        <v>2</v>
      </c>
    </row>
    <row r="410" spans="1:13">
      <c r="A410">
        <v>52</v>
      </c>
      <c r="B410" t="s">
        <v>17</v>
      </c>
      <c r="C410" t="s">
        <v>18</v>
      </c>
      <c r="D410">
        <v>4</v>
      </c>
      <c r="E410">
        <v>2</v>
      </c>
      <c r="F410" t="s">
        <v>15</v>
      </c>
      <c r="G410">
        <v>4</v>
      </c>
      <c r="H410">
        <v>4</v>
      </c>
      <c r="I410" t="s">
        <v>19</v>
      </c>
      <c r="J410">
        <v>16555</v>
      </c>
      <c r="K410">
        <v>2</v>
      </c>
      <c r="L410">
        <v>1</v>
      </c>
      <c r="M410">
        <v>5</v>
      </c>
    </row>
    <row r="411" spans="1:13">
      <c r="A411">
        <v>42</v>
      </c>
      <c r="B411" t="s">
        <v>17</v>
      </c>
      <c r="C411" t="s">
        <v>18</v>
      </c>
      <c r="D411">
        <v>29</v>
      </c>
      <c r="E411">
        <v>2</v>
      </c>
      <c r="F411" t="s">
        <v>15</v>
      </c>
      <c r="G411">
        <v>1</v>
      </c>
      <c r="H411">
        <v>3</v>
      </c>
      <c r="I411" t="s">
        <v>22</v>
      </c>
      <c r="J411">
        <v>4556</v>
      </c>
      <c r="K411">
        <v>2</v>
      </c>
      <c r="L411">
        <v>3</v>
      </c>
      <c r="M411">
        <v>5</v>
      </c>
    </row>
    <row r="412" spans="1:13">
      <c r="A412">
        <v>30</v>
      </c>
      <c r="B412" t="s">
        <v>17</v>
      </c>
      <c r="C412" t="s">
        <v>18</v>
      </c>
      <c r="D412">
        <v>2</v>
      </c>
      <c r="E412">
        <v>3</v>
      </c>
      <c r="F412" t="s">
        <v>15</v>
      </c>
      <c r="G412">
        <v>3</v>
      </c>
      <c r="H412">
        <v>4</v>
      </c>
      <c r="I412" t="s">
        <v>16</v>
      </c>
      <c r="J412">
        <v>6091</v>
      </c>
      <c r="K412">
        <v>2</v>
      </c>
      <c r="L412">
        <v>3</v>
      </c>
      <c r="M412">
        <v>5</v>
      </c>
    </row>
    <row r="413" spans="1:13">
      <c r="A413">
        <v>60</v>
      </c>
      <c r="B413" t="s">
        <v>17</v>
      </c>
      <c r="C413" t="s">
        <v>18</v>
      </c>
      <c r="D413">
        <v>7</v>
      </c>
      <c r="E413">
        <v>3</v>
      </c>
      <c r="F413" t="s">
        <v>15</v>
      </c>
      <c r="G413">
        <v>1</v>
      </c>
      <c r="H413">
        <v>1</v>
      </c>
      <c r="I413" t="s">
        <v>19</v>
      </c>
      <c r="J413">
        <v>19566</v>
      </c>
      <c r="K413">
        <v>5</v>
      </c>
      <c r="L413">
        <v>1</v>
      </c>
      <c r="M413">
        <v>29</v>
      </c>
    </row>
    <row r="414" spans="1:13">
      <c r="A414">
        <v>46</v>
      </c>
      <c r="B414" t="s">
        <v>17</v>
      </c>
      <c r="C414" t="s">
        <v>18</v>
      </c>
      <c r="D414">
        <v>18</v>
      </c>
      <c r="E414">
        <v>3</v>
      </c>
      <c r="F414" t="s">
        <v>21</v>
      </c>
      <c r="G414">
        <v>3</v>
      </c>
      <c r="H414">
        <v>3</v>
      </c>
      <c r="I414" t="s">
        <v>22</v>
      </c>
      <c r="J414">
        <v>4810</v>
      </c>
      <c r="K414">
        <v>2</v>
      </c>
      <c r="L414">
        <v>2</v>
      </c>
      <c r="M414">
        <v>10</v>
      </c>
    </row>
    <row r="415" spans="1:13">
      <c r="A415">
        <v>42</v>
      </c>
      <c r="B415" t="s">
        <v>17</v>
      </c>
      <c r="C415" t="s">
        <v>18</v>
      </c>
      <c r="D415">
        <v>28</v>
      </c>
      <c r="E415">
        <v>4</v>
      </c>
      <c r="F415" t="s">
        <v>24</v>
      </c>
      <c r="G415">
        <v>4</v>
      </c>
      <c r="H415">
        <v>4</v>
      </c>
      <c r="I415" t="s">
        <v>19</v>
      </c>
      <c r="J415">
        <v>4523</v>
      </c>
      <c r="K415">
        <v>0</v>
      </c>
      <c r="L415">
        <v>4</v>
      </c>
      <c r="M415">
        <v>6</v>
      </c>
    </row>
    <row r="416" spans="1:13">
      <c r="A416">
        <v>24</v>
      </c>
      <c r="B416" t="s">
        <v>13</v>
      </c>
      <c r="C416" t="s">
        <v>14</v>
      </c>
      <c r="D416">
        <v>1</v>
      </c>
      <c r="E416">
        <v>1</v>
      </c>
      <c r="F416" t="s">
        <v>24</v>
      </c>
      <c r="G416">
        <v>1</v>
      </c>
      <c r="H416">
        <v>2</v>
      </c>
      <c r="I416" t="s">
        <v>16</v>
      </c>
      <c r="J416">
        <v>3202</v>
      </c>
      <c r="K416">
        <v>1</v>
      </c>
      <c r="L416">
        <v>3</v>
      </c>
      <c r="M416">
        <v>5</v>
      </c>
    </row>
    <row r="417" spans="1:13">
      <c r="A417">
        <v>34</v>
      </c>
      <c r="B417" t="s">
        <v>13</v>
      </c>
      <c r="C417" t="s">
        <v>14</v>
      </c>
      <c r="D417">
        <v>6</v>
      </c>
      <c r="E417">
        <v>2</v>
      </c>
      <c r="F417" t="s">
        <v>23</v>
      </c>
      <c r="G417">
        <v>4</v>
      </c>
      <c r="H417">
        <v>3</v>
      </c>
      <c r="I417" t="s">
        <v>22</v>
      </c>
      <c r="J417">
        <v>2351</v>
      </c>
      <c r="K417">
        <v>0</v>
      </c>
      <c r="L417">
        <v>2</v>
      </c>
      <c r="M417">
        <v>2</v>
      </c>
    </row>
    <row r="418" spans="1:13">
      <c r="A418">
        <v>38</v>
      </c>
      <c r="B418" t="s">
        <v>17</v>
      </c>
      <c r="C418" t="s">
        <v>18</v>
      </c>
      <c r="D418">
        <v>2</v>
      </c>
      <c r="E418">
        <v>2</v>
      </c>
      <c r="F418" t="s">
        <v>15</v>
      </c>
      <c r="G418">
        <v>4</v>
      </c>
      <c r="H418">
        <v>4</v>
      </c>
      <c r="I418" t="s">
        <v>19</v>
      </c>
      <c r="J418">
        <v>1702</v>
      </c>
      <c r="K418">
        <v>1</v>
      </c>
      <c r="L418">
        <v>3</v>
      </c>
      <c r="M418">
        <v>1</v>
      </c>
    </row>
    <row r="419" spans="1:13">
      <c r="A419">
        <v>40</v>
      </c>
      <c r="B419" t="s">
        <v>17</v>
      </c>
      <c r="C419" t="s">
        <v>14</v>
      </c>
      <c r="D419">
        <v>2</v>
      </c>
      <c r="E419">
        <v>4</v>
      </c>
      <c r="F419" t="s">
        <v>15</v>
      </c>
      <c r="G419">
        <v>3</v>
      </c>
      <c r="H419">
        <v>3</v>
      </c>
      <c r="I419" t="s">
        <v>19</v>
      </c>
      <c r="J419">
        <v>18041</v>
      </c>
      <c r="K419">
        <v>0</v>
      </c>
      <c r="L419">
        <v>3</v>
      </c>
      <c r="M419">
        <v>20</v>
      </c>
    </row>
    <row r="420" spans="1:13">
      <c r="A420">
        <v>26</v>
      </c>
      <c r="B420" t="s">
        <v>17</v>
      </c>
      <c r="C420" t="s">
        <v>18</v>
      </c>
      <c r="D420">
        <v>23</v>
      </c>
      <c r="E420">
        <v>3</v>
      </c>
      <c r="F420" t="s">
        <v>15</v>
      </c>
      <c r="G420">
        <v>1</v>
      </c>
      <c r="H420">
        <v>4</v>
      </c>
      <c r="I420" t="s">
        <v>22</v>
      </c>
      <c r="J420">
        <v>2886</v>
      </c>
      <c r="K420">
        <v>1</v>
      </c>
      <c r="L420">
        <v>1</v>
      </c>
      <c r="M420">
        <v>3</v>
      </c>
    </row>
    <row r="421" spans="1:13">
      <c r="A421">
        <v>30</v>
      </c>
      <c r="B421" t="s">
        <v>17</v>
      </c>
      <c r="C421" t="s">
        <v>18</v>
      </c>
      <c r="D421">
        <v>3</v>
      </c>
      <c r="E421">
        <v>3</v>
      </c>
      <c r="F421" t="s">
        <v>15</v>
      </c>
      <c r="G421">
        <v>3</v>
      </c>
      <c r="H421">
        <v>4</v>
      </c>
      <c r="I421" t="s">
        <v>19</v>
      </c>
      <c r="J421">
        <v>2097</v>
      </c>
      <c r="K421">
        <v>4</v>
      </c>
      <c r="L421">
        <v>1</v>
      </c>
      <c r="M421">
        <v>5</v>
      </c>
    </row>
    <row r="422" spans="1:13">
      <c r="A422">
        <v>29</v>
      </c>
      <c r="B422" t="s">
        <v>17</v>
      </c>
      <c r="C422" t="s">
        <v>18</v>
      </c>
      <c r="D422">
        <v>3</v>
      </c>
      <c r="E422">
        <v>4</v>
      </c>
      <c r="F422" t="s">
        <v>21</v>
      </c>
      <c r="G422">
        <v>2</v>
      </c>
      <c r="H422">
        <v>3</v>
      </c>
      <c r="I422" t="s">
        <v>19</v>
      </c>
      <c r="J422">
        <v>11935</v>
      </c>
      <c r="K422">
        <v>1</v>
      </c>
      <c r="L422">
        <v>3</v>
      </c>
      <c r="M422">
        <v>10</v>
      </c>
    </row>
    <row r="423" spans="1:13">
      <c r="A423">
        <v>29</v>
      </c>
      <c r="B423" t="s">
        <v>13</v>
      </c>
      <c r="C423" t="s">
        <v>18</v>
      </c>
      <c r="D423">
        <v>25</v>
      </c>
      <c r="E423">
        <v>5</v>
      </c>
      <c r="F423" t="s">
        <v>24</v>
      </c>
      <c r="G423">
        <v>3</v>
      </c>
      <c r="H423">
        <v>2</v>
      </c>
      <c r="I423" t="s">
        <v>19</v>
      </c>
      <c r="J423">
        <v>2546</v>
      </c>
      <c r="K423">
        <v>5</v>
      </c>
      <c r="L423">
        <v>4</v>
      </c>
      <c r="M423">
        <v>2</v>
      </c>
    </row>
    <row r="424" spans="1:13">
      <c r="A424">
        <v>19</v>
      </c>
      <c r="B424" t="s">
        <v>13</v>
      </c>
      <c r="C424" t="s">
        <v>25</v>
      </c>
      <c r="D424">
        <v>2</v>
      </c>
      <c r="E424">
        <v>2</v>
      </c>
      <c r="F424" t="s">
        <v>24</v>
      </c>
      <c r="G424">
        <v>1</v>
      </c>
      <c r="H424">
        <v>4</v>
      </c>
      <c r="I424" t="s">
        <v>16</v>
      </c>
      <c r="J424">
        <v>2564</v>
      </c>
      <c r="K424">
        <v>1</v>
      </c>
      <c r="L424">
        <v>4</v>
      </c>
      <c r="M424">
        <v>1</v>
      </c>
    </row>
    <row r="425" spans="1:13">
      <c r="A425">
        <v>30</v>
      </c>
      <c r="B425" t="s">
        <v>17</v>
      </c>
      <c r="C425" t="s">
        <v>14</v>
      </c>
      <c r="D425">
        <v>22</v>
      </c>
      <c r="E425">
        <v>4</v>
      </c>
      <c r="F425" t="s">
        <v>20</v>
      </c>
      <c r="G425">
        <v>3</v>
      </c>
      <c r="H425">
        <v>1</v>
      </c>
      <c r="I425" t="s">
        <v>19</v>
      </c>
      <c r="J425">
        <v>8412</v>
      </c>
      <c r="K425">
        <v>0</v>
      </c>
      <c r="L425">
        <v>3</v>
      </c>
      <c r="M425">
        <v>9</v>
      </c>
    </row>
    <row r="426" spans="1:13">
      <c r="A426">
        <v>57</v>
      </c>
      <c r="B426" t="s">
        <v>17</v>
      </c>
      <c r="C426" t="s">
        <v>14</v>
      </c>
      <c r="D426">
        <v>29</v>
      </c>
      <c r="E426">
        <v>3</v>
      </c>
      <c r="F426" t="s">
        <v>23</v>
      </c>
      <c r="G426">
        <v>1</v>
      </c>
      <c r="H426">
        <v>4</v>
      </c>
      <c r="I426" t="s">
        <v>22</v>
      </c>
      <c r="J426">
        <v>14118</v>
      </c>
      <c r="K426">
        <v>3</v>
      </c>
      <c r="L426">
        <v>2</v>
      </c>
      <c r="M426">
        <v>1</v>
      </c>
    </row>
    <row r="427" spans="1:13">
      <c r="A427">
        <v>50</v>
      </c>
      <c r="B427" t="s">
        <v>17</v>
      </c>
      <c r="C427" t="s">
        <v>18</v>
      </c>
      <c r="D427">
        <v>29</v>
      </c>
      <c r="E427">
        <v>4</v>
      </c>
      <c r="F427" t="s">
        <v>15</v>
      </c>
      <c r="G427">
        <v>2</v>
      </c>
      <c r="H427">
        <v>3</v>
      </c>
      <c r="I427" t="s">
        <v>19</v>
      </c>
      <c r="J427">
        <v>17046</v>
      </c>
      <c r="K427">
        <v>0</v>
      </c>
      <c r="L427">
        <v>3</v>
      </c>
      <c r="M427">
        <v>27</v>
      </c>
    </row>
    <row r="428" spans="1:13">
      <c r="A428">
        <v>30</v>
      </c>
      <c r="B428" t="s">
        <v>17</v>
      </c>
      <c r="C428" t="s">
        <v>18</v>
      </c>
      <c r="D428">
        <v>2</v>
      </c>
      <c r="E428">
        <v>3</v>
      </c>
      <c r="F428" t="s">
        <v>21</v>
      </c>
      <c r="G428">
        <v>3</v>
      </c>
      <c r="H428">
        <v>4</v>
      </c>
      <c r="I428" t="s">
        <v>16</v>
      </c>
      <c r="J428">
        <v>2564</v>
      </c>
      <c r="K428">
        <v>0</v>
      </c>
      <c r="L428">
        <v>2</v>
      </c>
      <c r="M428">
        <v>11</v>
      </c>
    </row>
    <row r="429" spans="1:13">
      <c r="A429">
        <v>60</v>
      </c>
      <c r="B429" t="s">
        <v>17</v>
      </c>
      <c r="C429" t="s">
        <v>14</v>
      </c>
      <c r="D429">
        <v>28</v>
      </c>
      <c r="E429">
        <v>3</v>
      </c>
      <c r="F429" t="s">
        <v>23</v>
      </c>
      <c r="G429">
        <v>3</v>
      </c>
      <c r="H429">
        <v>1</v>
      </c>
      <c r="I429" t="s">
        <v>19</v>
      </c>
      <c r="J429">
        <v>10266</v>
      </c>
      <c r="K429">
        <v>4</v>
      </c>
      <c r="L429">
        <v>4</v>
      </c>
      <c r="M429">
        <v>18</v>
      </c>
    </row>
    <row r="430" spans="1:13">
      <c r="A430">
        <v>47</v>
      </c>
      <c r="B430" t="s">
        <v>17</v>
      </c>
      <c r="C430" t="s">
        <v>18</v>
      </c>
      <c r="D430">
        <v>2</v>
      </c>
      <c r="E430">
        <v>2</v>
      </c>
      <c r="F430" t="s">
        <v>21</v>
      </c>
      <c r="G430">
        <v>1</v>
      </c>
      <c r="H430">
        <v>4</v>
      </c>
      <c r="I430" t="s">
        <v>22</v>
      </c>
      <c r="J430">
        <v>5070</v>
      </c>
      <c r="K430">
        <v>5</v>
      </c>
      <c r="L430">
        <v>3</v>
      </c>
      <c r="M430">
        <v>5</v>
      </c>
    </row>
    <row r="431" spans="1:13">
      <c r="A431">
        <v>46</v>
      </c>
      <c r="B431" t="s">
        <v>17</v>
      </c>
      <c r="C431" t="s">
        <v>18</v>
      </c>
      <c r="D431">
        <v>2</v>
      </c>
      <c r="E431">
        <v>3</v>
      </c>
      <c r="F431" t="s">
        <v>15</v>
      </c>
      <c r="G431">
        <v>1</v>
      </c>
      <c r="H431">
        <v>3</v>
      </c>
      <c r="I431" t="s">
        <v>19</v>
      </c>
      <c r="J431">
        <v>17861</v>
      </c>
      <c r="K431">
        <v>6</v>
      </c>
      <c r="L431">
        <v>1</v>
      </c>
      <c r="M431">
        <v>3</v>
      </c>
    </row>
    <row r="432" spans="1:13">
      <c r="A432">
        <v>35</v>
      </c>
      <c r="B432" t="s">
        <v>17</v>
      </c>
      <c r="C432" t="s">
        <v>18</v>
      </c>
      <c r="D432">
        <v>22</v>
      </c>
      <c r="E432">
        <v>3</v>
      </c>
      <c r="F432" t="s">
        <v>15</v>
      </c>
      <c r="G432">
        <v>4</v>
      </c>
      <c r="H432">
        <v>3</v>
      </c>
      <c r="I432" t="s">
        <v>16</v>
      </c>
      <c r="J432">
        <v>4230</v>
      </c>
      <c r="K432">
        <v>0</v>
      </c>
      <c r="L432">
        <v>3</v>
      </c>
      <c r="M432">
        <v>5</v>
      </c>
    </row>
    <row r="433" spans="1:13">
      <c r="A433">
        <v>54</v>
      </c>
      <c r="B433" t="s">
        <v>17</v>
      </c>
      <c r="C433" t="s">
        <v>18</v>
      </c>
      <c r="D433">
        <v>8</v>
      </c>
      <c r="E433">
        <v>4</v>
      </c>
      <c r="F433" t="s">
        <v>15</v>
      </c>
      <c r="G433">
        <v>3</v>
      </c>
      <c r="H433">
        <v>3</v>
      </c>
      <c r="I433" t="s">
        <v>16</v>
      </c>
      <c r="J433">
        <v>3780</v>
      </c>
      <c r="K433">
        <v>7</v>
      </c>
      <c r="L433">
        <v>3</v>
      </c>
      <c r="M433">
        <v>1</v>
      </c>
    </row>
    <row r="434" spans="1:13">
      <c r="A434">
        <v>34</v>
      </c>
      <c r="B434" t="s">
        <v>17</v>
      </c>
      <c r="C434" t="s">
        <v>18</v>
      </c>
      <c r="D434">
        <v>2</v>
      </c>
      <c r="E434">
        <v>4</v>
      </c>
      <c r="F434" t="s">
        <v>15</v>
      </c>
      <c r="G434">
        <v>4</v>
      </c>
      <c r="H434">
        <v>3</v>
      </c>
      <c r="I434" t="s">
        <v>22</v>
      </c>
      <c r="J434">
        <v>2768</v>
      </c>
      <c r="K434">
        <v>3</v>
      </c>
      <c r="L434">
        <v>3</v>
      </c>
      <c r="M434">
        <v>7</v>
      </c>
    </row>
    <row r="435" spans="1:13">
      <c r="A435">
        <v>46</v>
      </c>
      <c r="B435" t="s">
        <v>17</v>
      </c>
      <c r="C435" t="s">
        <v>14</v>
      </c>
      <c r="D435">
        <v>10</v>
      </c>
      <c r="E435">
        <v>3</v>
      </c>
      <c r="F435" t="s">
        <v>23</v>
      </c>
      <c r="G435">
        <v>3</v>
      </c>
      <c r="H435">
        <v>4</v>
      </c>
      <c r="I435" t="s">
        <v>19</v>
      </c>
      <c r="J435">
        <v>9071</v>
      </c>
      <c r="K435">
        <v>2</v>
      </c>
      <c r="L435">
        <v>3</v>
      </c>
      <c r="M435">
        <v>3</v>
      </c>
    </row>
    <row r="436" spans="1:13">
      <c r="A436">
        <v>31</v>
      </c>
      <c r="B436" t="s">
        <v>17</v>
      </c>
      <c r="C436" t="s">
        <v>18</v>
      </c>
      <c r="D436">
        <v>9</v>
      </c>
      <c r="E436">
        <v>1</v>
      </c>
      <c r="F436" t="s">
        <v>15</v>
      </c>
      <c r="G436">
        <v>3</v>
      </c>
      <c r="H436">
        <v>2</v>
      </c>
      <c r="I436" t="s">
        <v>22</v>
      </c>
      <c r="J436">
        <v>10648</v>
      </c>
      <c r="K436">
        <v>1</v>
      </c>
      <c r="L436">
        <v>4</v>
      </c>
      <c r="M436">
        <v>13</v>
      </c>
    </row>
    <row r="437" spans="1:13">
      <c r="A437">
        <v>33</v>
      </c>
      <c r="B437" t="s">
        <v>13</v>
      </c>
      <c r="C437" t="s">
        <v>18</v>
      </c>
      <c r="D437">
        <v>15</v>
      </c>
      <c r="E437">
        <v>1</v>
      </c>
      <c r="F437" t="s">
        <v>21</v>
      </c>
      <c r="G437">
        <v>2</v>
      </c>
      <c r="H437">
        <v>3</v>
      </c>
      <c r="I437" t="s">
        <v>19</v>
      </c>
      <c r="J437">
        <v>13610</v>
      </c>
      <c r="K437">
        <v>7</v>
      </c>
      <c r="L437">
        <v>4</v>
      </c>
      <c r="M437">
        <v>7</v>
      </c>
    </row>
    <row r="438" spans="1:13">
      <c r="A438">
        <v>33</v>
      </c>
      <c r="B438" t="s">
        <v>13</v>
      </c>
      <c r="C438" t="s">
        <v>18</v>
      </c>
      <c r="D438">
        <v>10</v>
      </c>
      <c r="E438">
        <v>1</v>
      </c>
      <c r="F438" t="s">
        <v>21</v>
      </c>
      <c r="G438">
        <v>1</v>
      </c>
      <c r="H438">
        <v>4</v>
      </c>
      <c r="I438" t="s">
        <v>22</v>
      </c>
      <c r="J438">
        <v>3408</v>
      </c>
      <c r="K438">
        <v>7</v>
      </c>
      <c r="L438">
        <v>3</v>
      </c>
      <c r="M438">
        <v>4</v>
      </c>
    </row>
    <row r="439" spans="1:13">
      <c r="A439">
        <v>30</v>
      </c>
      <c r="B439" t="s">
        <v>17</v>
      </c>
      <c r="C439" t="s">
        <v>14</v>
      </c>
      <c r="D439">
        <v>7</v>
      </c>
      <c r="E439">
        <v>1</v>
      </c>
      <c r="F439" t="s">
        <v>23</v>
      </c>
      <c r="G439">
        <v>4</v>
      </c>
      <c r="H439">
        <v>2</v>
      </c>
      <c r="I439" t="s">
        <v>16</v>
      </c>
      <c r="J439">
        <v>2983</v>
      </c>
      <c r="K439">
        <v>0</v>
      </c>
      <c r="L439">
        <v>3</v>
      </c>
      <c r="M439">
        <v>3</v>
      </c>
    </row>
    <row r="440" spans="1:13">
      <c r="A440">
        <v>35</v>
      </c>
      <c r="B440" t="s">
        <v>17</v>
      </c>
      <c r="C440" t="s">
        <v>18</v>
      </c>
      <c r="D440">
        <v>16</v>
      </c>
      <c r="E440">
        <v>3</v>
      </c>
      <c r="F440" t="s">
        <v>15</v>
      </c>
      <c r="G440">
        <v>4</v>
      </c>
      <c r="H440">
        <v>3</v>
      </c>
      <c r="I440" t="s">
        <v>19</v>
      </c>
      <c r="J440">
        <v>7632</v>
      </c>
      <c r="K440">
        <v>4</v>
      </c>
      <c r="L440">
        <v>3</v>
      </c>
      <c r="M440">
        <v>8</v>
      </c>
    </row>
    <row r="441" spans="1:13">
      <c r="A441">
        <v>31</v>
      </c>
      <c r="B441" t="s">
        <v>13</v>
      </c>
      <c r="C441" t="s">
        <v>18</v>
      </c>
      <c r="D441">
        <v>20</v>
      </c>
      <c r="E441">
        <v>3</v>
      </c>
      <c r="F441" t="s">
        <v>15</v>
      </c>
      <c r="G441">
        <v>1</v>
      </c>
      <c r="H441">
        <v>3</v>
      </c>
      <c r="I441" t="s">
        <v>19</v>
      </c>
      <c r="J441">
        <v>9824</v>
      </c>
      <c r="K441">
        <v>3</v>
      </c>
      <c r="L441">
        <v>3</v>
      </c>
      <c r="M441">
        <v>1</v>
      </c>
    </row>
    <row r="442" spans="1:13">
      <c r="A442">
        <v>34</v>
      </c>
      <c r="B442" t="s">
        <v>13</v>
      </c>
      <c r="C442" t="s">
        <v>25</v>
      </c>
      <c r="D442">
        <v>23</v>
      </c>
      <c r="E442">
        <v>3</v>
      </c>
      <c r="F442" t="s">
        <v>25</v>
      </c>
      <c r="G442">
        <v>2</v>
      </c>
      <c r="H442">
        <v>1</v>
      </c>
      <c r="I442" t="s">
        <v>22</v>
      </c>
      <c r="J442">
        <v>9950</v>
      </c>
      <c r="K442">
        <v>9</v>
      </c>
      <c r="L442">
        <v>3</v>
      </c>
      <c r="M442">
        <v>3</v>
      </c>
    </row>
    <row r="443" spans="1:13">
      <c r="A443">
        <v>42</v>
      </c>
      <c r="B443" t="s">
        <v>17</v>
      </c>
      <c r="C443" t="s">
        <v>18</v>
      </c>
      <c r="D443">
        <v>5</v>
      </c>
      <c r="E443">
        <v>2</v>
      </c>
      <c r="F443" t="s">
        <v>20</v>
      </c>
      <c r="G443">
        <v>2</v>
      </c>
      <c r="H443">
        <v>3</v>
      </c>
      <c r="I443" t="s">
        <v>19</v>
      </c>
      <c r="J443">
        <v>2093</v>
      </c>
      <c r="K443">
        <v>4</v>
      </c>
      <c r="L443">
        <v>3</v>
      </c>
      <c r="M443">
        <v>2</v>
      </c>
    </row>
    <row r="444" spans="1:13">
      <c r="A444">
        <v>36</v>
      </c>
      <c r="B444" t="s">
        <v>17</v>
      </c>
      <c r="C444" t="s">
        <v>14</v>
      </c>
      <c r="D444">
        <v>10</v>
      </c>
      <c r="E444">
        <v>4</v>
      </c>
      <c r="F444" t="s">
        <v>21</v>
      </c>
      <c r="G444">
        <v>2</v>
      </c>
      <c r="H444">
        <v>4</v>
      </c>
      <c r="I444" t="s">
        <v>16</v>
      </c>
      <c r="J444">
        <v>9980</v>
      </c>
      <c r="K444">
        <v>1</v>
      </c>
      <c r="L444">
        <v>2</v>
      </c>
      <c r="M444">
        <v>10</v>
      </c>
    </row>
    <row r="445" spans="1:13">
      <c r="A445">
        <v>22</v>
      </c>
      <c r="B445" t="s">
        <v>13</v>
      </c>
      <c r="C445" t="s">
        <v>18</v>
      </c>
      <c r="D445">
        <v>4</v>
      </c>
      <c r="E445">
        <v>1</v>
      </c>
      <c r="F445" t="s">
        <v>24</v>
      </c>
      <c r="G445">
        <v>3</v>
      </c>
      <c r="H445">
        <v>3</v>
      </c>
      <c r="I445" t="s">
        <v>16</v>
      </c>
      <c r="J445">
        <v>3894</v>
      </c>
      <c r="K445">
        <v>5</v>
      </c>
      <c r="L445">
        <v>3</v>
      </c>
      <c r="M445">
        <v>2</v>
      </c>
    </row>
    <row r="446" spans="1:13">
      <c r="A446">
        <v>48</v>
      </c>
      <c r="B446" t="s">
        <v>17</v>
      </c>
      <c r="C446" t="s">
        <v>14</v>
      </c>
      <c r="D446">
        <v>2</v>
      </c>
      <c r="E446">
        <v>5</v>
      </c>
      <c r="F446" t="s">
        <v>23</v>
      </c>
      <c r="G446">
        <v>2</v>
      </c>
      <c r="H446">
        <v>4</v>
      </c>
      <c r="I446" t="s">
        <v>19</v>
      </c>
      <c r="J446">
        <v>4051</v>
      </c>
      <c r="K446">
        <v>2</v>
      </c>
      <c r="L446">
        <v>3</v>
      </c>
      <c r="M446">
        <v>9</v>
      </c>
    </row>
    <row r="447" spans="1:13">
      <c r="A447">
        <v>55</v>
      </c>
      <c r="B447" t="s">
        <v>17</v>
      </c>
      <c r="C447" t="s">
        <v>14</v>
      </c>
      <c r="D447">
        <v>18</v>
      </c>
      <c r="E447">
        <v>5</v>
      </c>
      <c r="F447" t="s">
        <v>15</v>
      </c>
      <c r="G447">
        <v>1</v>
      </c>
      <c r="H447">
        <v>2</v>
      </c>
      <c r="I447" t="s">
        <v>16</v>
      </c>
      <c r="J447">
        <v>16835</v>
      </c>
      <c r="K447">
        <v>3</v>
      </c>
      <c r="L447">
        <v>3</v>
      </c>
      <c r="M447">
        <v>10</v>
      </c>
    </row>
    <row r="448" spans="1:13">
      <c r="A448">
        <v>41</v>
      </c>
      <c r="B448" t="s">
        <v>17</v>
      </c>
      <c r="C448" t="s">
        <v>14</v>
      </c>
      <c r="D448">
        <v>10</v>
      </c>
      <c r="E448">
        <v>2</v>
      </c>
      <c r="F448" t="s">
        <v>15</v>
      </c>
      <c r="G448">
        <v>4</v>
      </c>
      <c r="H448">
        <v>4</v>
      </c>
      <c r="I448" t="s">
        <v>16</v>
      </c>
      <c r="J448">
        <v>6230</v>
      </c>
      <c r="K448">
        <v>7</v>
      </c>
      <c r="L448">
        <v>3</v>
      </c>
      <c r="M448">
        <v>14</v>
      </c>
    </row>
    <row r="449" spans="1:13">
      <c r="A449">
        <v>35</v>
      </c>
      <c r="B449" t="s">
        <v>17</v>
      </c>
      <c r="C449" t="s">
        <v>14</v>
      </c>
      <c r="D449">
        <v>1</v>
      </c>
      <c r="E449">
        <v>3</v>
      </c>
      <c r="F449" t="s">
        <v>23</v>
      </c>
      <c r="G449">
        <v>2</v>
      </c>
      <c r="H449">
        <v>3</v>
      </c>
      <c r="I449" t="s">
        <v>19</v>
      </c>
      <c r="J449">
        <v>4717</v>
      </c>
      <c r="K449">
        <v>9</v>
      </c>
      <c r="L449">
        <v>3</v>
      </c>
      <c r="M449">
        <v>11</v>
      </c>
    </row>
    <row r="450" spans="1:13">
      <c r="A450">
        <v>40</v>
      </c>
      <c r="B450" t="s">
        <v>17</v>
      </c>
      <c r="C450" t="s">
        <v>18</v>
      </c>
      <c r="D450">
        <v>6</v>
      </c>
      <c r="E450">
        <v>3</v>
      </c>
      <c r="F450" t="s">
        <v>15</v>
      </c>
      <c r="G450">
        <v>2</v>
      </c>
      <c r="H450">
        <v>3</v>
      </c>
      <c r="I450" t="s">
        <v>16</v>
      </c>
      <c r="J450">
        <v>13237</v>
      </c>
      <c r="K450">
        <v>7</v>
      </c>
      <c r="L450">
        <v>3</v>
      </c>
      <c r="M450">
        <v>20</v>
      </c>
    </row>
    <row r="451" spans="1:13">
      <c r="A451">
        <v>39</v>
      </c>
      <c r="B451" t="s">
        <v>17</v>
      </c>
      <c r="C451" t="s">
        <v>18</v>
      </c>
      <c r="D451">
        <v>8</v>
      </c>
      <c r="E451">
        <v>1</v>
      </c>
      <c r="F451" t="s">
        <v>15</v>
      </c>
      <c r="G451">
        <v>3</v>
      </c>
      <c r="H451">
        <v>3</v>
      </c>
      <c r="I451" t="s">
        <v>19</v>
      </c>
      <c r="J451">
        <v>3755</v>
      </c>
      <c r="K451">
        <v>1</v>
      </c>
      <c r="L451">
        <v>3</v>
      </c>
      <c r="M451">
        <v>8</v>
      </c>
    </row>
    <row r="452" spans="1:13">
      <c r="A452">
        <v>31</v>
      </c>
      <c r="B452" t="s">
        <v>17</v>
      </c>
      <c r="C452" t="s">
        <v>14</v>
      </c>
      <c r="D452">
        <v>2</v>
      </c>
      <c r="E452">
        <v>1</v>
      </c>
      <c r="F452" t="s">
        <v>15</v>
      </c>
      <c r="G452">
        <v>2</v>
      </c>
      <c r="H452">
        <v>4</v>
      </c>
      <c r="I452" t="s">
        <v>16</v>
      </c>
      <c r="J452">
        <v>6582</v>
      </c>
      <c r="K452">
        <v>4</v>
      </c>
      <c r="L452">
        <v>4</v>
      </c>
      <c r="M452">
        <v>6</v>
      </c>
    </row>
    <row r="453" spans="1:13">
      <c r="A453">
        <v>42</v>
      </c>
      <c r="B453" t="s">
        <v>17</v>
      </c>
      <c r="C453" t="s">
        <v>18</v>
      </c>
      <c r="D453">
        <v>24</v>
      </c>
      <c r="E453">
        <v>3</v>
      </c>
      <c r="F453" t="s">
        <v>21</v>
      </c>
      <c r="G453">
        <v>4</v>
      </c>
      <c r="H453">
        <v>1</v>
      </c>
      <c r="I453" t="s">
        <v>19</v>
      </c>
      <c r="J453">
        <v>7406</v>
      </c>
      <c r="K453">
        <v>1</v>
      </c>
      <c r="L453">
        <v>2</v>
      </c>
      <c r="M453">
        <v>10</v>
      </c>
    </row>
    <row r="454" spans="1:13">
      <c r="A454">
        <v>45</v>
      </c>
      <c r="B454" t="s">
        <v>17</v>
      </c>
      <c r="C454" t="s">
        <v>14</v>
      </c>
      <c r="D454">
        <v>2</v>
      </c>
      <c r="E454">
        <v>3</v>
      </c>
      <c r="F454" t="s">
        <v>20</v>
      </c>
      <c r="G454">
        <v>4</v>
      </c>
      <c r="H454">
        <v>2</v>
      </c>
      <c r="I454" t="s">
        <v>19</v>
      </c>
      <c r="J454">
        <v>4805</v>
      </c>
      <c r="K454">
        <v>0</v>
      </c>
      <c r="L454">
        <v>4</v>
      </c>
      <c r="M454">
        <v>8</v>
      </c>
    </row>
    <row r="455" spans="1:13">
      <c r="A455">
        <v>26</v>
      </c>
      <c r="B455" t="s">
        <v>13</v>
      </c>
      <c r="C455" t="s">
        <v>25</v>
      </c>
      <c r="D455">
        <v>17</v>
      </c>
      <c r="E455">
        <v>4</v>
      </c>
      <c r="F455" t="s">
        <v>15</v>
      </c>
      <c r="G455">
        <v>2</v>
      </c>
      <c r="H455">
        <v>3</v>
      </c>
      <c r="I455" t="s">
        <v>22</v>
      </c>
      <c r="J455">
        <v>2741</v>
      </c>
      <c r="K455">
        <v>0</v>
      </c>
      <c r="L455">
        <v>2</v>
      </c>
      <c r="M455">
        <v>7</v>
      </c>
    </row>
    <row r="456" spans="1:13">
      <c r="A456">
        <v>29</v>
      </c>
      <c r="B456" t="s">
        <v>17</v>
      </c>
      <c r="C456" t="s">
        <v>18</v>
      </c>
      <c r="D456">
        <v>19</v>
      </c>
      <c r="E456">
        <v>3</v>
      </c>
      <c r="F456" t="s">
        <v>24</v>
      </c>
      <c r="G456">
        <v>4</v>
      </c>
      <c r="H456">
        <v>4</v>
      </c>
      <c r="I456" t="s">
        <v>22</v>
      </c>
      <c r="J456">
        <v>4262</v>
      </c>
      <c r="K456">
        <v>4</v>
      </c>
      <c r="L456">
        <v>4</v>
      </c>
      <c r="M456">
        <v>3</v>
      </c>
    </row>
    <row r="457" spans="1:13">
      <c r="A457">
        <v>33</v>
      </c>
      <c r="B457" t="s">
        <v>17</v>
      </c>
      <c r="C457" t="s">
        <v>18</v>
      </c>
      <c r="D457">
        <v>1</v>
      </c>
      <c r="E457">
        <v>5</v>
      </c>
      <c r="F457" t="s">
        <v>21</v>
      </c>
      <c r="G457">
        <v>1</v>
      </c>
      <c r="H457">
        <v>3</v>
      </c>
      <c r="I457" t="s">
        <v>22</v>
      </c>
      <c r="J457">
        <v>16184</v>
      </c>
      <c r="K457">
        <v>4</v>
      </c>
      <c r="L457">
        <v>3</v>
      </c>
      <c r="M457">
        <v>6</v>
      </c>
    </row>
    <row r="458" spans="1:13">
      <c r="A458">
        <v>31</v>
      </c>
      <c r="B458" t="s">
        <v>17</v>
      </c>
      <c r="C458" t="s">
        <v>14</v>
      </c>
      <c r="D458">
        <v>7</v>
      </c>
      <c r="E458">
        <v>3</v>
      </c>
      <c r="F458" t="s">
        <v>15</v>
      </c>
      <c r="G458">
        <v>3</v>
      </c>
      <c r="H458">
        <v>4</v>
      </c>
      <c r="I458" t="s">
        <v>22</v>
      </c>
      <c r="J458">
        <v>11557</v>
      </c>
      <c r="K458">
        <v>9</v>
      </c>
      <c r="L458">
        <v>2</v>
      </c>
      <c r="M458">
        <v>5</v>
      </c>
    </row>
    <row r="459" spans="1:13">
      <c r="A459">
        <v>18</v>
      </c>
      <c r="B459" t="s">
        <v>13</v>
      </c>
      <c r="C459" t="s">
        <v>14</v>
      </c>
      <c r="D459">
        <v>5</v>
      </c>
      <c r="E459">
        <v>3</v>
      </c>
      <c r="F459" t="s">
        <v>23</v>
      </c>
      <c r="G459">
        <v>2</v>
      </c>
      <c r="H459">
        <v>2</v>
      </c>
      <c r="I459" t="s">
        <v>16</v>
      </c>
      <c r="J459">
        <v>1878</v>
      </c>
      <c r="K459">
        <v>1</v>
      </c>
      <c r="L459">
        <v>3</v>
      </c>
      <c r="M459">
        <v>0</v>
      </c>
    </row>
    <row r="460" spans="1:13">
      <c r="A460">
        <v>40</v>
      </c>
      <c r="B460" t="s">
        <v>17</v>
      </c>
      <c r="C460" t="s">
        <v>14</v>
      </c>
      <c r="D460">
        <v>28</v>
      </c>
      <c r="E460">
        <v>3</v>
      </c>
      <c r="F460" t="s">
        <v>20</v>
      </c>
      <c r="G460">
        <v>3</v>
      </c>
      <c r="H460">
        <v>1</v>
      </c>
      <c r="I460" t="s">
        <v>22</v>
      </c>
      <c r="J460">
        <v>10932</v>
      </c>
      <c r="K460">
        <v>3</v>
      </c>
      <c r="L460">
        <v>3</v>
      </c>
      <c r="M460">
        <v>1</v>
      </c>
    </row>
    <row r="461" spans="1:13">
      <c r="A461">
        <v>41</v>
      </c>
      <c r="B461" t="s">
        <v>17</v>
      </c>
      <c r="C461" t="s">
        <v>18</v>
      </c>
      <c r="D461">
        <v>2</v>
      </c>
      <c r="E461">
        <v>4</v>
      </c>
      <c r="F461" t="s">
        <v>20</v>
      </c>
      <c r="G461">
        <v>1</v>
      </c>
      <c r="H461">
        <v>3</v>
      </c>
      <c r="I461" t="s">
        <v>16</v>
      </c>
      <c r="J461">
        <v>6811</v>
      </c>
      <c r="K461">
        <v>2</v>
      </c>
      <c r="L461">
        <v>3</v>
      </c>
      <c r="M461">
        <v>8</v>
      </c>
    </row>
    <row r="462" spans="1:13">
      <c r="A462">
        <v>26</v>
      </c>
      <c r="B462" t="s">
        <v>17</v>
      </c>
      <c r="C462" t="s">
        <v>14</v>
      </c>
      <c r="D462">
        <v>29</v>
      </c>
      <c r="E462">
        <v>2</v>
      </c>
      <c r="F462" t="s">
        <v>21</v>
      </c>
      <c r="G462">
        <v>1</v>
      </c>
      <c r="H462">
        <v>3</v>
      </c>
      <c r="I462" t="s">
        <v>22</v>
      </c>
      <c r="J462">
        <v>4306</v>
      </c>
      <c r="K462">
        <v>5</v>
      </c>
      <c r="L462">
        <v>3</v>
      </c>
      <c r="M462">
        <v>0</v>
      </c>
    </row>
    <row r="463" spans="1:13">
      <c r="A463">
        <v>35</v>
      </c>
      <c r="B463" t="s">
        <v>17</v>
      </c>
      <c r="C463" t="s">
        <v>14</v>
      </c>
      <c r="D463">
        <v>1</v>
      </c>
      <c r="E463">
        <v>3</v>
      </c>
      <c r="F463" t="s">
        <v>21</v>
      </c>
      <c r="G463">
        <v>1</v>
      </c>
      <c r="H463">
        <v>3</v>
      </c>
      <c r="I463" t="s">
        <v>16</v>
      </c>
      <c r="J463">
        <v>4859</v>
      </c>
      <c r="K463">
        <v>1</v>
      </c>
      <c r="L463">
        <v>3</v>
      </c>
      <c r="M463">
        <v>5</v>
      </c>
    </row>
    <row r="464" spans="1:13">
      <c r="A464">
        <v>34</v>
      </c>
      <c r="B464" t="s">
        <v>17</v>
      </c>
      <c r="C464" t="s">
        <v>14</v>
      </c>
      <c r="D464">
        <v>21</v>
      </c>
      <c r="E464">
        <v>4</v>
      </c>
      <c r="F464" t="s">
        <v>15</v>
      </c>
      <c r="G464">
        <v>4</v>
      </c>
      <c r="H464">
        <v>4</v>
      </c>
      <c r="I464" t="s">
        <v>16</v>
      </c>
      <c r="J464">
        <v>5337</v>
      </c>
      <c r="K464">
        <v>1</v>
      </c>
      <c r="L464">
        <v>3</v>
      </c>
      <c r="M464">
        <v>10</v>
      </c>
    </row>
    <row r="465" spans="1:13">
      <c r="A465">
        <v>26</v>
      </c>
      <c r="B465" t="s">
        <v>13</v>
      </c>
      <c r="C465" t="s">
        <v>18</v>
      </c>
      <c r="D465">
        <v>24</v>
      </c>
      <c r="E465">
        <v>3</v>
      </c>
      <c r="F465" t="s">
        <v>24</v>
      </c>
      <c r="G465">
        <v>3</v>
      </c>
      <c r="H465">
        <v>4</v>
      </c>
      <c r="I465" t="s">
        <v>16</v>
      </c>
      <c r="J465">
        <v>2340</v>
      </c>
      <c r="K465">
        <v>1</v>
      </c>
      <c r="L465">
        <v>1</v>
      </c>
      <c r="M465">
        <v>1</v>
      </c>
    </row>
    <row r="466" spans="1:13">
      <c r="A466">
        <v>37</v>
      </c>
      <c r="B466" t="s">
        <v>17</v>
      </c>
      <c r="C466" t="s">
        <v>18</v>
      </c>
      <c r="D466">
        <v>1</v>
      </c>
      <c r="E466">
        <v>3</v>
      </c>
      <c r="F466" t="s">
        <v>24</v>
      </c>
      <c r="G466">
        <v>2</v>
      </c>
      <c r="H466">
        <v>4</v>
      </c>
      <c r="I466" t="s">
        <v>16</v>
      </c>
      <c r="J466">
        <v>7491</v>
      </c>
      <c r="K466">
        <v>4</v>
      </c>
      <c r="L466">
        <v>4</v>
      </c>
      <c r="M466">
        <v>6</v>
      </c>
    </row>
    <row r="467" spans="1:13">
      <c r="A467">
        <v>46</v>
      </c>
      <c r="B467" t="s">
        <v>17</v>
      </c>
      <c r="C467" t="s">
        <v>18</v>
      </c>
      <c r="D467">
        <v>18</v>
      </c>
      <c r="E467">
        <v>1</v>
      </c>
      <c r="F467" t="s">
        <v>21</v>
      </c>
      <c r="G467">
        <v>1</v>
      </c>
      <c r="H467">
        <v>3</v>
      </c>
      <c r="I467" t="s">
        <v>19</v>
      </c>
      <c r="J467">
        <v>10527</v>
      </c>
      <c r="K467">
        <v>5</v>
      </c>
      <c r="L467">
        <v>2</v>
      </c>
      <c r="M467">
        <v>2</v>
      </c>
    </row>
    <row r="468" spans="1:13">
      <c r="A468">
        <v>41</v>
      </c>
      <c r="B468" t="s">
        <v>17</v>
      </c>
      <c r="C468" t="s">
        <v>14</v>
      </c>
      <c r="D468">
        <v>2</v>
      </c>
      <c r="E468">
        <v>5</v>
      </c>
      <c r="F468" t="s">
        <v>15</v>
      </c>
      <c r="G468">
        <v>2</v>
      </c>
      <c r="H468">
        <v>1</v>
      </c>
      <c r="I468" t="s">
        <v>19</v>
      </c>
      <c r="J468">
        <v>16595</v>
      </c>
      <c r="K468">
        <v>7</v>
      </c>
      <c r="L468">
        <v>3</v>
      </c>
      <c r="M468">
        <v>18</v>
      </c>
    </row>
    <row r="469" spans="1:13">
      <c r="A469">
        <v>37</v>
      </c>
      <c r="B469" t="s">
        <v>17</v>
      </c>
      <c r="C469" t="s">
        <v>14</v>
      </c>
      <c r="D469">
        <v>9</v>
      </c>
      <c r="E469">
        <v>4</v>
      </c>
      <c r="F469" t="s">
        <v>21</v>
      </c>
      <c r="G469">
        <v>1</v>
      </c>
      <c r="H469">
        <v>2</v>
      </c>
      <c r="I469" t="s">
        <v>22</v>
      </c>
      <c r="J469">
        <v>8834</v>
      </c>
      <c r="K469">
        <v>1</v>
      </c>
      <c r="L469">
        <v>3</v>
      </c>
      <c r="M469">
        <v>9</v>
      </c>
    </row>
    <row r="470" spans="1:13">
      <c r="A470">
        <v>52</v>
      </c>
      <c r="B470" t="s">
        <v>17</v>
      </c>
      <c r="C470" t="s">
        <v>18</v>
      </c>
      <c r="D470">
        <v>6</v>
      </c>
      <c r="E470">
        <v>2</v>
      </c>
      <c r="F470" t="s">
        <v>24</v>
      </c>
      <c r="G470">
        <v>4</v>
      </c>
      <c r="H470">
        <v>1</v>
      </c>
      <c r="I470" t="s">
        <v>22</v>
      </c>
      <c r="J470">
        <v>5577</v>
      </c>
      <c r="K470">
        <v>3</v>
      </c>
      <c r="L470">
        <v>3</v>
      </c>
      <c r="M470">
        <v>10</v>
      </c>
    </row>
    <row r="471" spans="1:13">
      <c r="A471">
        <v>32</v>
      </c>
      <c r="B471" t="s">
        <v>13</v>
      </c>
      <c r="C471" t="s">
        <v>14</v>
      </c>
      <c r="D471">
        <v>11</v>
      </c>
      <c r="E471">
        <v>4</v>
      </c>
      <c r="F471" t="s">
        <v>20</v>
      </c>
      <c r="G471">
        <v>4</v>
      </c>
      <c r="H471">
        <v>3</v>
      </c>
      <c r="I471" t="s">
        <v>19</v>
      </c>
      <c r="J471">
        <v>4707</v>
      </c>
      <c r="K471">
        <v>8</v>
      </c>
      <c r="L471">
        <v>3</v>
      </c>
      <c r="M471">
        <v>4</v>
      </c>
    </row>
    <row r="472" spans="1:13">
      <c r="A472">
        <v>24</v>
      </c>
      <c r="B472" t="s">
        <v>17</v>
      </c>
      <c r="C472" t="s">
        <v>14</v>
      </c>
      <c r="D472">
        <v>24</v>
      </c>
      <c r="E472">
        <v>3</v>
      </c>
      <c r="F472" t="s">
        <v>21</v>
      </c>
      <c r="G472">
        <v>4</v>
      </c>
      <c r="H472">
        <v>4</v>
      </c>
      <c r="I472" t="s">
        <v>19</v>
      </c>
      <c r="J472">
        <v>2400</v>
      </c>
      <c r="K472">
        <v>0</v>
      </c>
      <c r="L472">
        <v>3</v>
      </c>
      <c r="M472">
        <v>2</v>
      </c>
    </row>
    <row r="473" spans="1:13">
      <c r="A473">
        <v>38</v>
      </c>
      <c r="B473" t="s">
        <v>17</v>
      </c>
      <c r="C473" t="s">
        <v>18</v>
      </c>
      <c r="D473">
        <v>10</v>
      </c>
      <c r="E473">
        <v>3</v>
      </c>
      <c r="F473" t="s">
        <v>21</v>
      </c>
      <c r="G473">
        <v>3</v>
      </c>
      <c r="H473">
        <v>3</v>
      </c>
      <c r="I473" t="s">
        <v>19</v>
      </c>
      <c r="J473">
        <v>9824</v>
      </c>
      <c r="K473">
        <v>3</v>
      </c>
      <c r="L473">
        <v>3</v>
      </c>
      <c r="M473">
        <v>1</v>
      </c>
    </row>
    <row r="474" spans="1:13">
      <c r="A474">
        <v>37</v>
      </c>
      <c r="B474" t="s">
        <v>17</v>
      </c>
      <c r="C474" t="s">
        <v>18</v>
      </c>
      <c r="D474">
        <v>1</v>
      </c>
      <c r="E474">
        <v>4</v>
      </c>
      <c r="F474" t="s">
        <v>15</v>
      </c>
      <c r="G474">
        <v>2</v>
      </c>
      <c r="H474">
        <v>2</v>
      </c>
      <c r="I474" t="s">
        <v>19</v>
      </c>
      <c r="J474">
        <v>6447</v>
      </c>
      <c r="K474">
        <v>6</v>
      </c>
      <c r="L474">
        <v>2</v>
      </c>
      <c r="M474">
        <v>6</v>
      </c>
    </row>
    <row r="475" spans="1:13">
      <c r="A475">
        <v>49</v>
      </c>
      <c r="B475" t="s">
        <v>17</v>
      </c>
      <c r="C475" t="s">
        <v>18</v>
      </c>
      <c r="D475">
        <v>18</v>
      </c>
      <c r="E475">
        <v>4</v>
      </c>
      <c r="F475" t="s">
        <v>15</v>
      </c>
      <c r="G475">
        <v>4</v>
      </c>
      <c r="H475">
        <v>3</v>
      </c>
      <c r="I475" t="s">
        <v>22</v>
      </c>
      <c r="J475">
        <v>19502</v>
      </c>
      <c r="K475">
        <v>1</v>
      </c>
      <c r="L475">
        <v>3</v>
      </c>
      <c r="M475">
        <v>31</v>
      </c>
    </row>
    <row r="476" spans="1:13">
      <c r="A476">
        <v>24</v>
      </c>
      <c r="B476" t="s">
        <v>17</v>
      </c>
      <c r="C476" t="s">
        <v>18</v>
      </c>
      <c r="D476">
        <v>23</v>
      </c>
      <c r="E476">
        <v>3</v>
      </c>
      <c r="F476" t="s">
        <v>21</v>
      </c>
      <c r="G476">
        <v>2</v>
      </c>
      <c r="H476">
        <v>4</v>
      </c>
      <c r="I476" t="s">
        <v>19</v>
      </c>
      <c r="J476">
        <v>2725</v>
      </c>
      <c r="K476">
        <v>1</v>
      </c>
      <c r="L476">
        <v>3</v>
      </c>
      <c r="M476">
        <v>6</v>
      </c>
    </row>
    <row r="477" spans="1:13">
      <c r="A477">
        <v>26</v>
      </c>
      <c r="B477" t="s">
        <v>17</v>
      </c>
      <c r="C477" t="s">
        <v>14</v>
      </c>
      <c r="D477">
        <v>28</v>
      </c>
      <c r="E477">
        <v>2</v>
      </c>
      <c r="F477" t="s">
        <v>23</v>
      </c>
      <c r="G477">
        <v>1</v>
      </c>
      <c r="H477">
        <v>2</v>
      </c>
      <c r="I477" t="s">
        <v>19</v>
      </c>
      <c r="J477">
        <v>6272</v>
      </c>
      <c r="K477">
        <v>1</v>
      </c>
      <c r="L477">
        <v>4</v>
      </c>
      <c r="M477">
        <v>5</v>
      </c>
    </row>
    <row r="478" spans="1:13">
      <c r="A478">
        <v>24</v>
      </c>
      <c r="B478" t="s">
        <v>17</v>
      </c>
      <c r="C478" t="s">
        <v>18</v>
      </c>
      <c r="D478">
        <v>17</v>
      </c>
      <c r="E478">
        <v>2</v>
      </c>
      <c r="F478" t="s">
        <v>20</v>
      </c>
      <c r="G478">
        <v>4</v>
      </c>
      <c r="H478">
        <v>2</v>
      </c>
      <c r="I478" t="s">
        <v>19</v>
      </c>
      <c r="J478">
        <v>2127</v>
      </c>
      <c r="K478">
        <v>1</v>
      </c>
      <c r="L478">
        <v>3</v>
      </c>
      <c r="M478">
        <v>1</v>
      </c>
    </row>
    <row r="479" spans="1:13">
      <c r="A479">
        <v>50</v>
      </c>
      <c r="B479" t="s">
        <v>17</v>
      </c>
      <c r="C479" t="s">
        <v>25</v>
      </c>
      <c r="D479">
        <v>3</v>
      </c>
      <c r="E479">
        <v>3</v>
      </c>
      <c r="F479" t="s">
        <v>21</v>
      </c>
      <c r="G479">
        <v>1</v>
      </c>
      <c r="H479">
        <v>2</v>
      </c>
      <c r="I479" t="s">
        <v>19</v>
      </c>
      <c r="J479">
        <v>18200</v>
      </c>
      <c r="K479">
        <v>1</v>
      </c>
      <c r="L479">
        <v>3</v>
      </c>
      <c r="M479">
        <v>32</v>
      </c>
    </row>
    <row r="480" spans="1:13">
      <c r="A480">
        <v>25</v>
      </c>
      <c r="B480" t="s">
        <v>17</v>
      </c>
      <c r="C480" t="s">
        <v>14</v>
      </c>
      <c r="D480">
        <v>13</v>
      </c>
      <c r="E480">
        <v>1</v>
      </c>
      <c r="F480" t="s">
        <v>21</v>
      </c>
      <c r="G480">
        <v>2</v>
      </c>
      <c r="H480">
        <v>3</v>
      </c>
      <c r="I480" t="s">
        <v>19</v>
      </c>
      <c r="J480">
        <v>2096</v>
      </c>
      <c r="K480">
        <v>1</v>
      </c>
      <c r="L480">
        <v>3</v>
      </c>
      <c r="M480">
        <v>7</v>
      </c>
    </row>
    <row r="481" spans="1:13">
      <c r="A481">
        <v>24</v>
      </c>
      <c r="B481" t="s">
        <v>13</v>
      </c>
      <c r="C481" t="s">
        <v>18</v>
      </c>
      <c r="D481">
        <v>7</v>
      </c>
      <c r="E481">
        <v>3</v>
      </c>
      <c r="F481" t="s">
        <v>15</v>
      </c>
      <c r="G481">
        <v>1</v>
      </c>
      <c r="H481">
        <v>3</v>
      </c>
      <c r="I481" t="s">
        <v>19</v>
      </c>
      <c r="J481">
        <v>2886</v>
      </c>
      <c r="K481">
        <v>1</v>
      </c>
      <c r="L481">
        <v>3</v>
      </c>
      <c r="M481">
        <v>6</v>
      </c>
    </row>
    <row r="482" spans="1:13">
      <c r="A482">
        <v>30</v>
      </c>
      <c r="B482" t="s">
        <v>13</v>
      </c>
      <c r="C482" t="s">
        <v>14</v>
      </c>
      <c r="D482">
        <v>12</v>
      </c>
      <c r="E482">
        <v>4</v>
      </c>
      <c r="F482" t="s">
        <v>15</v>
      </c>
      <c r="G482">
        <v>2</v>
      </c>
      <c r="H482">
        <v>1</v>
      </c>
      <c r="I482" t="s">
        <v>19</v>
      </c>
      <c r="J482">
        <v>2033</v>
      </c>
      <c r="K482">
        <v>1</v>
      </c>
      <c r="L482">
        <v>4</v>
      </c>
      <c r="M482">
        <v>1</v>
      </c>
    </row>
    <row r="483" spans="1:13">
      <c r="A483">
        <v>34</v>
      </c>
      <c r="B483" t="s">
        <v>17</v>
      </c>
      <c r="C483" t="s">
        <v>18</v>
      </c>
      <c r="D483">
        <v>1</v>
      </c>
      <c r="E483">
        <v>2</v>
      </c>
      <c r="F483" t="s">
        <v>15</v>
      </c>
      <c r="G483">
        <v>2</v>
      </c>
      <c r="H483">
        <v>4</v>
      </c>
      <c r="I483" t="s">
        <v>19</v>
      </c>
      <c r="J483">
        <v>3622</v>
      </c>
      <c r="K483">
        <v>1</v>
      </c>
      <c r="L483">
        <v>3</v>
      </c>
      <c r="M483">
        <v>6</v>
      </c>
    </row>
    <row r="484" spans="1:13">
      <c r="A484">
        <v>31</v>
      </c>
      <c r="B484" t="s">
        <v>13</v>
      </c>
      <c r="C484" t="s">
        <v>14</v>
      </c>
      <c r="D484">
        <v>13</v>
      </c>
      <c r="E484">
        <v>4</v>
      </c>
      <c r="F484" t="s">
        <v>21</v>
      </c>
      <c r="G484">
        <v>2</v>
      </c>
      <c r="H484">
        <v>1</v>
      </c>
      <c r="I484" t="s">
        <v>22</v>
      </c>
      <c r="J484">
        <v>4233</v>
      </c>
      <c r="K484">
        <v>2</v>
      </c>
      <c r="L484">
        <v>1</v>
      </c>
      <c r="M484">
        <v>3</v>
      </c>
    </row>
    <row r="485" spans="1:13">
      <c r="A485">
        <v>35</v>
      </c>
      <c r="B485" t="s">
        <v>17</v>
      </c>
      <c r="C485" t="s">
        <v>18</v>
      </c>
      <c r="D485">
        <v>25</v>
      </c>
      <c r="E485">
        <v>2</v>
      </c>
      <c r="F485" t="s">
        <v>20</v>
      </c>
      <c r="G485">
        <v>1</v>
      </c>
      <c r="H485">
        <v>4</v>
      </c>
      <c r="I485" t="s">
        <v>16</v>
      </c>
      <c r="J485">
        <v>3681</v>
      </c>
      <c r="K485">
        <v>4</v>
      </c>
      <c r="L485">
        <v>3</v>
      </c>
      <c r="M485">
        <v>3</v>
      </c>
    </row>
    <row r="486" spans="1:13">
      <c r="A486">
        <v>31</v>
      </c>
      <c r="B486" t="s">
        <v>17</v>
      </c>
      <c r="C486" t="s">
        <v>14</v>
      </c>
      <c r="D486">
        <v>6</v>
      </c>
      <c r="E486">
        <v>4</v>
      </c>
      <c r="F486" t="s">
        <v>21</v>
      </c>
      <c r="G486">
        <v>1</v>
      </c>
      <c r="H486">
        <v>4</v>
      </c>
      <c r="I486" t="s">
        <v>22</v>
      </c>
      <c r="J486">
        <v>5460</v>
      </c>
      <c r="K486">
        <v>4</v>
      </c>
      <c r="L486">
        <v>4</v>
      </c>
      <c r="M486">
        <v>7</v>
      </c>
    </row>
    <row r="487" spans="1:13">
      <c r="A487">
        <v>27</v>
      </c>
      <c r="B487" t="s">
        <v>17</v>
      </c>
      <c r="C487" t="s">
        <v>18</v>
      </c>
      <c r="D487">
        <v>6</v>
      </c>
      <c r="E487">
        <v>4</v>
      </c>
      <c r="F487" t="s">
        <v>21</v>
      </c>
      <c r="G487">
        <v>1</v>
      </c>
      <c r="H487">
        <v>3</v>
      </c>
      <c r="I487" t="s">
        <v>22</v>
      </c>
      <c r="J487">
        <v>2187</v>
      </c>
      <c r="K487">
        <v>0</v>
      </c>
      <c r="L487">
        <v>2</v>
      </c>
      <c r="M487">
        <v>5</v>
      </c>
    </row>
    <row r="488" spans="1:13">
      <c r="A488">
        <v>37</v>
      </c>
      <c r="B488" t="s">
        <v>17</v>
      </c>
      <c r="C488" t="s">
        <v>14</v>
      </c>
      <c r="D488">
        <v>2</v>
      </c>
      <c r="E488">
        <v>3</v>
      </c>
      <c r="F488" t="s">
        <v>23</v>
      </c>
      <c r="G488">
        <v>4</v>
      </c>
      <c r="H488">
        <v>3</v>
      </c>
      <c r="I488" t="s">
        <v>19</v>
      </c>
      <c r="J488">
        <v>9602</v>
      </c>
      <c r="K488">
        <v>4</v>
      </c>
      <c r="L488">
        <v>2</v>
      </c>
      <c r="M488">
        <v>3</v>
      </c>
    </row>
    <row r="489" spans="1:13">
      <c r="A489">
        <v>20</v>
      </c>
      <c r="B489" t="s">
        <v>17</v>
      </c>
      <c r="C489" t="s">
        <v>18</v>
      </c>
      <c r="D489">
        <v>1</v>
      </c>
      <c r="E489">
        <v>3</v>
      </c>
      <c r="F489" t="s">
        <v>15</v>
      </c>
      <c r="G489">
        <v>4</v>
      </c>
      <c r="H489">
        <v>2</v>
      </c>
      <c r="I489" t="s">
        <v>16</v>
      </c>
      <c r="J489">
        <v>2836</v>
      </c>
      <c r="K489">
        <v>1</v>
      </c>
      <c r="L489">
        <v>4</v>
      </c>
      <c r="M489">
        <v>1</v>
      </c>
    </row>
    <row r="490" spans="1:13">
      <c r="A490">
        <v>42</v>
      </c>
      <c r="B490" t="s">
        <v>17</v>
      </c>
      <c r="C490" t="s">
        <v>18</v>
      </c>
      <c r="D490">
        <v>2</v>
      </c>
      <c r="E490">
        <v>4</v>
      </c>
      <c r="F490" t="s">
        <v>15</v>
      </c>
      <c r="G490">
        <v>3</v>
      </c>
      <c r="H490">
        <v>4</v>
      </c>
      <c r="I490" t="s">
        <v>19</v>
      </c>
      <c r="J490">
        <v>4089</v>
      </c>
      <c r="K490">
        <v>1</v>
      </c>
      <c r="L490">
        <v>3</v>
      </c>
      <c r="M490">
        <v>10</v>
      </c>
    </row>
    <row r="491" spans="1:13">
      <c r="A491">
        <v>43</v>
      </c>
      <c r="B491" t="s">
        <v>17</v>
      </c>
      <c r="C491" t="s">
        <v>18</v>
      </c>
      <c r="D491">
        <v>6</v>
      </c>
      <c r="E491">
        <v>4</v>
      </c>
      <c r="F491" t="s">
        <v>20</v>
      </c>
      <c r="G491">
        <v>2</v>
      </c>
      <c r="H491">
        <v>4</v>
      </c>
      <c r="I491" t="s">
        <v>22</v>
      </c>
      <c r="J491">
        <v>16627</v>
      </c>
      <c r="K491">
        <v>4</v>
      </c>
      <c r="L491">
        <v>2</v>
      </c>
      <c r="M491">
        <v>1</v>
      </c>
    </row>
    <row r="492" spans="1:13">
      <c r="A492">
        <v>38</v>
      </c>
      <c r="B492" t="s">
        <v>17</v>
      </c>
      <c r="C492" t="s">
        <v>18</v>
      </c>
      <c r="D492">
        <v>1</v>
      </c>
      <c r="E492">
        <v>1</v>
      </c>
      <c r="F492" t="s">
        <v>15</v>
      </c>
      <c r="G492">
        <v>3</v>
      </c>
      <c r="H492">
        <v>1</v>
      </c>
      <c r="I492" t="s">
        <v>16</v>
      </c>
      <c r="J492">
        <v>2619</v>
      </c>
      <c r="K492">
        <v>3</v>
      </c>
      <c r="L492">
        <v>2</v>
      </c>
      <c r="M492">
        <v>0</v>
      </c>
    </row>
    <row r="493" spans="1:13">
      <c r="A493">
        <v>43</v>
      </c>
      <c r="B493" t="s">
        <v>17</v>
      </c>
      <c r="C493" t="s">
        <v>18</v>
      </c>
      <c r="D493">
        <v>9</v>
      </c>
      <c r="E493">
        <v>5</v>
      </c>
      <c r="F493" t="s">
        <v>21</v>
      </c>
      <c r="G493">
        <v>4</v>
      </c>
      <c r="H493">
        <v>3</v>
      </c>
      <c r="I493" t="s">
        <v>22</v>
      </c>
      <c r="J493">
        <v>5679</v>
      </c>
      <c r="K493">
        <v>3</v>
      </c>
      <c r="L493">
        <v>3</v>
      </c>
      <c r="M493">
        <v>8</v>
      </c>
    </row>
    <row r="494" spans="1:13">
      <c r="A494">
        <v>48</v>
      </c>
      <c r="B494" t="s">
        <v>17</v>
      </c>
      <c r="C494" t="s">
        <v>18</v>
      </c>
      <c r="D494">
        <v>1</v>
      </c>
      <c r="E494">
        <v>4</v>
      </c>
      <c r="F494" t="s">
        <v>15</v>
      </c>
      <c r="G494">
        <v>4</v>
      </c>
      <c r="H494">
        <v>1</v>
      </c>
      <c r="I494" t="s">
        <v>19</v>
      </c>
      <c r="J494">
        <v>15402</v>
      </c>
      <c r="K494">
        <v>7</v>
      </c>
      <c r="L494">
        <v>1</v>
      </c>
      <c r="M494">
        <v>3</v>
      </c>
    </row>
    <row r="495" spans="1:13">
      <c r="A495">
        <v>44</v>
      </c>
      <c r="B495" t="s">
        <v>17</v>
      </c>
      <c r="C495" t="s">
        <v>25</v>
      </c>
      <c r="D495">
        <v>1</v>
      </c>
      <c r="E495">
        <v>4</v>
      </c>
      <c r="F495" t="s">
        <v>15</v>
      </c>
      <c r="G495">
        <v>1</v>
      </c>
      <c r="H495">
        <v>3</v>
      </c>
      <c r="I495" t="s">
        <v>16</v>
      </c>
      <c r="J495">
        <v>5985</v>
      </c>
      <c r="K495">
        <v>4</v>
      </c>
      <c r="L495">
        <v>4</v>
      </c>
      <c r="M495">
        <v>2</v>
      </c>
    </row>
    <row r="496" spans="1:13">
      <c r="A496">
        <v>34</v>
      </c>
      <c r="B496" t="s">
        <v>17</v>
      </c>
      <c r="C496" t="s">
        <v>14</v>
      </c>
      <c r="D496">
        <v>14</v>
      </c>
      <c r="E496">
        <v>3</v>
      </c>
      <c r="F496" t="s">
        <v>24</v>
      </c>
      <c r="G496">
        <v>3</v>
      </c>
      <c r="H496">
        <v>3</v>
      </c>
      <c r="I496" t="s">
        <v>22</v>
      </c>
      <c r="J496">
        <v>2579</v>
      </c>
      <c r="K496">
        <v>1</v>
      </c>
      <c r="L496">
        <v>3</v>
      </c>
      <c r="M496">
        <v>8</v>
      </c>
    </row>
    <row r="497" spans="1:13">
      <c r="A497">
        <v>27</v>
      </c>
      <c r="B497" t="s">
        <v>13</v>
      </c>
      <c r="C497" t="s">
        <v>14</v>
      </c>
      <c r="D497">
        <v>2</v>
      </c>
      <c r="E497">
        <v>1</v>
      </c>
      <c r="F497" t="s">
        <v>23</v>
      </c>
      <c r="G497">
        <v>3</v>
      </c>
      <c r="H497">
        <v>1</v>
      </c>
      <c r="I497" t="s">
        <v>22</v>
      </c>
      <c r="J497">
        <v>3041</v>
      </c>
      <c r="K497">
        <v>0</v>
      </c>
      <c r="L497">
        <v>3</v>
      </c>
      <c r="M497">
        <v>4</v>
      </c>
    </row>
    <row r="498" spans="1:13">
      <c r="A498">
        <v>21</v>
      </c>
      <c r="B498" t="s">
        <v>17</v>
      </c>
      <c r="C498" t="s">
        <v>14</v>
      </c>
      <c r="D498">
        <v>22</v>
      </c>
      <c r="E498">
        <v>1</v>
      </c>
      <c r="F498" t="s">
        <v>24</v>
      </c>
      <c r="G498">
        <v>3</v>
      </c>
      <c r="H498">
        <v>3</v>
      </c>
      <c r="I498" t="s">
        <v>16</v>
      </c>
      <c r="J498">
        <v>3447</v>
      </c>
      <c r="K498">
        <v>1</v>
      </c>
      <c r="L498">
        <v>3</v>
      </c>
      <c r="M498">
        <v>3</v>
      </c>
    </row>
    <row r="499" spans="1:13">
      <c r="A499">
        <v>44</v>
      </c>
      <c r="B499" t="s">
        <v>17</v>
      </c>
      <c r="C499" t="s">
        <v>18</v>
      </c>
      <c r="D499">
        <v>3</v>
      </c>
      <c r="E499">
        <v>4</v>
      </c>
      <c r="F499" t="s">
        <v>20</v>
      </c>
      <c r="G499">
        <v>4</v>
      </c>
      <c r="H499">
        <v>4</v>
      </c>
      <c r="I499" t="s">
        <v>19</v>
      </c>
      <c r="J499">
        <v>19513</v>
      </c>
      <c r="K499">
        <v>4</v>
      </c>
      <c r="L499">
        <v>4</v>
      </c>
      <c r="M499">
        <v>2</v>
      </c>
    </row>
    <row r="500" spans="1:13">
      <c r="A500">
        <v>22</v>
      </c>
      <c r="B500" t="s">
        <v>17</v>
      </c>
      <c r="C500" t="s">
        <v>18</v>
      </c>
      <c r="D500">
        <v>6</v>
      </c>
      <c r="E500">
        <v>1</v>
      </c>
      <c r="F500" t="s">
        <v>21</v>
      </c>
      <c r="G500">
        <v>1</v>
      </c>
      <c r="H500">
        <v>3</v>
      </c>
      <c r="I500" t="s">
        <v>19</v>
      </c>
      <c r="J500">
        <v>2773</v>
      </c>
      <c r="K500">
        <v>0</v>
      </c>
      <c r="L500">
        <v>3</v>
      </c>
      <c r="M500">
        <v>2</v>
      </c>
    </row>
    <row r="501" spans="1:13">
      <c r="A501">
        <v>33</v>
      </c>
      <c r="B501" t="s">
        <v>17</v>
      </c>
      <c r="C501" t="s">
        <v>14</v>
      </c>
      <c r="D501">
        <v>8</v>
      </c>
      <c r="E501">
        <v>4</v>
      </c>
      <c r="F501" t="s">
        <v>23</v>
      </c>
      <c r="G501">
        <v>3</v>
      </c>
      <c r="H501">
        <v>3</v>
      </c>
      <c r="I501" t="s">
        <v>22</v>
      </c>
      <c r="J501">
        <v>7104</v>
      </c>
      <c r="K501">
        <v>0</v>
      </c>
      <c r="L501">
        <v>3</v>
      </c>
      <c r="M501">
        <v>5</v>
      </c>
    </row>
    <row r="502" spans="1:13">
      <c r="A502">
        <v>32</v>
      </c>
      <c r="B502" t="s">
        <v>17</v>
      </c>
      <c r="C502" t="s">
        <v>18</v>
      </c>
      <c r="D502">
        <v>9</v>
      </c>
      <c r="E502">
        <v>4</v>
      </c>
      <c r="F502" t="s">
        <v>15</v>
      </c>
      <c r="G502">
        <v>1</v>
      </c>
      <c r="H502">
        <v>4</v>
      </c>
      <c r="I502" t="s">
        <v>19</v>
      </c>
      <c r="J502">
        <v>6322</v>
      </c>
      <c r="K502">
        <v>1</v>
      </c>
      <c r="L502">
        <v>2</v>
      </c>
      <c r="M502">
        <v>6</v>
      </c>
    </row>
    <row r="503" spans="1:13">
      <c r="A503">
        <v>30</v>
      </c>
      <c r="B503" t="s">
        <v>17</v>
      </c>
      <c r="C503" t="s">
        <v>18</v>
      </c>
      <c r="D503">
        <v>3</v>
      </c>
      <c r="E503">
        <v>3</v>
      </c>
      <c r="F503" t="s">
        <v>21</v>
      </c>
      <c r="G503">
        <v>3</v>
      </c>
      <c r="H503">
        <v>3</v>
      </c>
      <c r="I503" t="s">
        <v>22</v>
      </c>
      <c r="J503">
        <v>2083</v>
      </c>
      <c r="K503">
        <v>1</v>
      </c>
      <c r="L503">
        <v>3</v>
      </c>
      <c r="M503">
        <v>1</v>
      </c>
    </row>
    <row r="504" spans="1:13">
      <c r="A504">
        <v>53</v>
      </c>
      <c r="B504" t="s">
        <v>17</v>
      </c>
      <c r="C504" t="s">
        <v>14</v>
      </c>
      <c r="D504">
        <v>1</v>
      </c>
      <c r="E504">
        <v>1</v>
      </c>
      <c r="F504" t="s">
        <v>21</v>
      </c>
      <c r="G504">
        <v>4</v>
      </c>
      <c r="H504">
        <v>1</v>
      </c>
      <c r="I504" t="s">
        <v>16</v>
      </c>
      <c r="J504">
        <v>8381</v>
      </c>
      <c r="K504">
        <v>7</v>
      </c>
      <c r="L504">
        <v>4</v>
      </c>
      <c r="M504">
        <v>14</v>
      </c>
    </row>
    <row r="505" spans="1:13">
      <c r="A505">
        <v>34</v>
      </c>
      <c r="B505" t="s">
        <v>17</v>
      </c>
      <c r="C505" t="s">
        <v>18</v>
      </c>
      <c r="D505">
        <v>1</v>
      </c>
      <c r="E505">
        <v>5</v>
      </c>
      <c r="F505" t="s">
        <v>15</v>
      </c>
      <c r="G505">
        <v>2</v>
      </c>
      <c r="H505">
        <v>4</v>
      </c>
      <c r="I505" t="s">
        <v>19</v>
      </c>
      <c r="J505">
        <v>2691</v>
      </c>
      <c r="K505">
        <v>1</v>
      </c>
      <c r="L505">
        <v>2</v>
      </c>
      <c r="M505">
        <v>10</v>
      </c>
    </row>
    <row r="506" spans="1:13">
      <c r="A506">
        <v>45</v>
      </c>
      <c r="B506" t="s">
        <v>13</v>
      </c>
      <c r="C506" t="s">
        <v>14</v>
      </c>
      <c r="D506">
        <v>26</v>
      </c>
      <c r="E506">
        <v>4</v>
      </c>
      <c r="F506" t="s">
        <v>15</v>
      </c>
      <c r="G506">
        <v>1</v>
      </c>
      <c r="H506">
        <v>1</v>
      </c>
      <c r="I506" t="s">
        <v>19</v>
      </c>
      <c r="J506">
        <v>4286</v>
      </c>
      <c r="K506">
        <v>2</v>
      </c>
      <c r="L506">
        <v>3</v>
      </c>
      <c r="M506">
        <v>1</v>
      </c>
    </row>
    <row r="507" spans="1:13">
      <c r="A507">
        <v>26</v>
      </c>
      <c r="B507" t="s">
        <v>17</v>
      </c>
      <c r="C507" t="s">
        <v>18</v>
      </c>
      <c r="D507">
        <v>6</v>
      </c>
      <c r="E507">
        <v>3</v>
      </c>
      <c r="F507" t="s">
        <v>15</v>
      </c>
      <c r="G507">
        <v>3</v>
      </c>
      <c r="H507">
        <v>4</v>
      </c>
      <c r="I507" t="s">
        <v>19</v>
      </c>
      <c r="J507">
        <v>2659</v>
      </c>
      <c r="K507">
        <v>1</v>
      </c>
      <c r="L507">
        <v>3</v>
      </c>
      <c r="M507">
        <v>3</v>
      </c>
    </row>
    <row r="508" spans="1:13">
      <c r="A508">
        <v>37</v>
      </c>
      <c r="B508" t="s">
        <v>17</v>
      </c>
      <c r="C508" t="s">
        <v>18</v>
      </c>
      <c r="D508">
        <v>3</v>
      </c>
      <c r="E508">
        <v>3</v>
      </c>
      <c r="F508" t="s">
        <v>20</v>
      </c>
      <c r="G508">
        <v>3</v>
      </c>
      <c r="H508">
        <v>3</v>
      </c>
      <c r="I508" t="s">
        <v>19</v>
      </c>
      <c r="J508">
        <v>9434</v>
      </c>
      <c r="K508">
        <v>1</v>
      </c>
      <c r="L508">
        <v>3</v>
      </c>
      <c r="M508">
        <v>10</v>
      </c>
    </row>
    <row r="509" spans="1:13">
      <c r="A509">
        <v>29</v>
      </c>
      <c r="B509" t="s">
        <v>17</v>
      </c>
      <c r="C509" t="s">
        <v>14</v>
      </c>
      <c r="D509">
        <v>3</v>
      </c>
      <c r="E509">
        <v>2</v>
      </c>
      <c r="F509" t="s">
        <v>21</v>
      </c>
      <c r="G509">
        <v>2</v>
      </c>
      <c r="H509">
        <v>3</v>
      </c>
      <c r="I509" t="s">
        <v>19</v>
      </c>
      <c r="J509">
        <v>5561</v>
      </c>
      <c r="K509">
        <v>1</v>
      </c>
      <c r="L509">
        <v>2</v>
      </c>
      <c r="M509">
        <v>6</v>
      </c>
    </row>
    <row r="510" spans="1:13">
      <c r="A510">
        <v>35</v>
      </c>
      <c r="B510" t="s">
        <v>17</v>
      </c>
      <c r="C510" t="s">
        <v>18</v>
      </c>
      <c r="D510">
        <v>6</v>
      </c>
      <c r="E510">
        <v>4</v>
      </c>
      <c r="F510" t="s">
        <v>15</v>
      </c>
      <c r="G510">
        <v>2</v>
      </c>
      <c r="H510">
        <v>4</v>
      </c>
      <c r="I510" t="s">
        <v>16</v>
      </c>
      <c r="J510">
        <v>6646</v>
      </c>
      <c r="K510">
        <v>1</v>
      </c>
      <c r="L510">
        <v>3</v>
      </c>
      <c r="M510">
        <v>17</v>
      </c>
    </row>
    <row r="511" spans="1:13">
      <c r="A511">
        <v>33</v>
      </c>
      <c r="B511" t="s">
        <v>17</v>
      </c>
      <c r="C511" t="s">
        <v>18</v>
      </c>
      <c r="D511">
        <v>6</v>
      </c>
      <c r="E511">
        <v>3</v>
      </c>
      <c r="F511" t="s">
        <v>15</v>
      </c>
      <c r="G511">
        <v>3</v>
      </c>
      <c r="H511">
        <v>4</v>
      </c>
      <c r="I511" t="s">
        <v>22</v>
      </c>
      <c r="J511">
        <v>7725</v>
      </c>
      <c r="K511">
        <v>3</v>
      </c>
      <c r="L511">
        <v>1</v>
      </c>
      <c r="M511">
        <v>13</v>
      </c>
    </row>
    <row r="512" spans="1:13">
      <c r="A512">
        <v>54</v>
      </c>
      <c r="B512" t="s">
        <v>17</v>
      </c>
      <c r="C512" t="s">
        <v>25</v>
      </c>
      <c r="D512">
        <v>19</v>
      </c>
      <c r="E512">
        <v>4</v>
      </c>
      <c r="F512" t="s">
        <v>21</v>
      </c>
      <c r="G512">
        <v>3</v>
      </c>
      <c r="H512">
        <v>2</v>
      </c>
      <c r="I512" t="s">
        <v>19</v>
      </c>
      <c r="J512">
        <v>10725</v>
      </c>
      <c r="K512">
        <v>2</v>
      </c>
      <c r="L512">
        <v>4</v>
      </c>
      <c r="M512">
        <v>9</v>
      </c>
    </row>
    <row r="513" spans="1:13">
      <c r="A513">
        <v>36</v>
      </c>
      <c r="B513" t="s">
        <v>17</v>
      </c>
      <c r="C513" t="s">
        <v>18</v>
      </c>
      <c r="D513">
        <v>9</v>
      </c>
      <c r="E513">
        <v>2</v>
      </c>
      <c r="F513" t="s">
        <v>21</v>
      </c>
      <c r="G513">
        <v>2</v>
      </c>
      <c r="H513">
        <v>2</v>
      </c>
      <c r="I513" t="s">
        <v>22</v>
      </c>
      <c r="J513">
        <v>8847</v>
      </c>
      <c r="K513">
        <v>2</v>
      </c>
      <c r="L513">
        <v>3</v>
      </c>
      <c r="M513">
        <v>3</v>
      </c>
    </row>
    <row r="514" spans="1:13">
      <c r="A514">
        <v>27</v>
      </c>
      <c r="B514" t="s">
        <v>17</v>
      </c>
      <c r="C514" t="s">
        <v>18</v>
      </c>
      <c r="D514">
        <v>3</v>
      </c>
      <c r="E514">
        <v>4</v>
      </c>
      <c r="F514" t="s">
        <v>21</v>
      </c>
      <c r="G514">
        <v>1</v>
      </c>
      <c r="H514">
        <v>4</v>
      </c>
      <c r="I514" t="s">
        <v>16</v>
      </c>
      <c r="J514">
        <v>2045</v>
      </c>
      <c r="K514">
        <v>0</v>
      </c>
      <c r="L514">
        <v>3</v>
      </c>
      <c r="M514">
        <v>4</v>
      </c>
    </row>
    <row r="515" spans="1:13">
      <c r="A515">
        <v>20</v>
      </c>
      <c r="B515" t="s">
        <v>13</v>
      </c>
      <c r="C515" t="s">
        <v>18</v>
      </c>
      <c r="D515">
        <v>10</v>
      </c>
      <c r="E515">
        <v>1</v>
      </c>
      <c r="F515" t="s">
        <v>21</v>
      </c>
      <c r="G515">
        <v>4</v>
      </c>
      <c r="H515">
        <v>3</v>
      </c>
      <c r="I515" t="s">
        <v>16</v>
      </c>
      <c r="J515">
        <v>1009</v>
      </c>
      <c r="K515">
        <v>1</v>
      </c>
      <c r="L515">
        <v>3</v>
      </c>
      <c r="M515">
        <v>1</v>
      </c>
    </row>
    <row r="516" spans="1:13">
      <c r="A516">
        <v>33</v>
      </c>
      <c r="B516" t="s">
        <v>13</v>
      </c>
      <c r="C516" t="s">
        <v>18</v>
      </c>
      <c r="D516">
        <v>3</v>
      </c>
      <c r="E516">
        <v>3</v>
      </c>
      <c r="F516" t="s">
        <v>15</v>
      </c>
      <c r="G516">
        <v>1</v>
      </c>
      <c r="H516">
        <v>1</v>
      </c>
      <c r="I516" t="s">
        <v>16</v>
      </c>
      <c r="J516">
        <v>3348</v>
      </c>
      <c r="K516">
        <v>1</v>
      </c>
      <c r="L516">
        <v>3</v>
      </c>
      <c r="M516">
        <v>10</v>
      </c>
    </row>
    <row r="517" spans="1:13">
      <c r="A517">
        <v>35</v>
      </c>
      <c r="B517" t="s">
        <v>17</v>
      </c>
      <c r="C517" t="s">
        <v>18</v>
      </c>
      <c r="D517">
        <v>3</v>
      </c>
      <c r="E517">
        <v>3</v>
      </c>
      <c r="F517" t="s">
        <v>15</v>
      </c>
      <c r="G517">
        <v>3</v>
      </c>
      <c r="H517">
        <v>3</v>
      </c>
      <c r="I517" t="s">
        <v>19</v>
      </c>
      <c r="J517">
        <v>1281</v>
      </c>
      <c r="K517">
        <v>1</v>
      </c>
      <c r="L517">
        <v>3</v>
      </c>
      <c r="M517">
        <v>1</v>
      </c>
    </row>
    <row r="518" spans="1:13">
      <c r="A518">
        <v>23</v>
      </c>
      <c r="B518" t="s">
        <v>17</v>
      </c>
      <c r="C518" t="s">
        <v>18</v>
      </c>
      <c r="D518">
        <v>4</v>
      </c>
      <c r="E518">
        <v>3</v>
      </c>
      <c r="F518" t="s">
        <v>21</v>
      </c>
      <c r="G518">
        <v>1</v>
      </c>
      <c r="H518">
        <v>1</v>
      </c>
      <c r="I518" t="s">
        <v>19</v>
      </c>
      <c r="J518">
        <v>2819</v>
      </c>
      <c r="K518">
        <v>2</v>
      </c>
      <c r="L518">
        <v>4</v>
      </c>
      <c r="M518">
        <v>3</v>
      </c>
    </row>
    <row r="519" spans="1:13">
      <c r="A519">
        <v>25</v>
      </c>
      <c r="B519" t="s">
        <v>17</v>
      </c>
      <c r="C519" t="s">
        <v>14</v>
      </c>
      <c r="D519">
        <v>8</v>
      </c>
      <c r="E519">
        <v>3</v>
      </c>
      <c r="F519" t="s">
        <v>15</v>
      </c>
      <c r="G519">
        <v>4</v>
      </c>
      <c r="H519">
        <v>2</v>
      </c>
      <c r="I519" t="s">
        <v>19</v>
      </c>
      <c r="J519">
        <v>4851</v>
      </c>
      <c r="K519">
        <v>0</v>
      </c>
      <c r="L519">
        <v>3</v>
      </c>
      <c r="M519">
        <v>3</v>
      </c>
    </row>
    <row r="520" spans="1:13">
      <c r="A520">
        <v>38</v>
      </c>
      <c r="B520" t="s">
        <v>17</v>
      </c>
      <c r="C520" t="s">
        <v>14</v>
      </c>
      <c r="D520">
        <v>7</v>
      </c>
      <c r="E520">
        <v>4</v>
      </c>
      <c r="F520" t="s">
        <v>23</v>
      </c>
      <c r="G520">
        <v>4</v>
      </c>
      <c r="H520">
        <v>4</v>
      </c>
      <c r="I520" t="s">
        <v>16</v>
      </c>
      <c r="J520">
        <v>4028</v>
      </c>
      <c r="K520">
        <v>0</v>
      </c>
      <c r="L520">
        <v>3</v>
      </c>
      <c r="M520">
        <v>7</v>
      </c>
    </row>
    <row r="521" spans="1:13">
      <c r="A521">
        <v>29</v>
      </c>
      <c r="B521" t="s">
        <v>17</v>
      </c>
      <c r="C521" t="s">
        <v>18</v>
      </c>
      <c r="D521">
        <v>1</v>
      </c>
      <c r="E521">
        <v>4</v>
      </c>
      <c r="F521" t="s">
        <v>15</v>
      </c>
      <c r="G521">
        <v>2</v>
      </c>
      <c r="H521">
        <v>4</v>
      </c>
      <c r="I521" t="s">
        <v>22</v>
      </c>
      <c r="J521">
        <v>2720</v>
      </c>
      <c r="K521">
        <v>1</v>
      </c>
      <c r="L521">
        <v>3</v>
      </c>
      <c r="M521">
        <v>10</v>
      </c>
    </row>
    <row r="522" spans="1:13">
      <c r="A522">
        <v>48</v>
      </c>
      <c r="B522" t="s">
        <v>17</v>
      </c>
      <c r="C522" t="s">
        <v>14</v>
      </c>
      <c r="D522">
        <v>2</v>
      </c>
      <c r="E522">
        <v>1</v>
      </c>
      <c r="F522" t="s">
        <v>23</v>
      </c>
      <c r="G522">
        <v>2</v>
      </c>
      <c r="H522">
        <v>2</v>
      </c>
      <c r="I522" t="s">
        <v>19</v>
      </c>
      <c r="J522">
        <v>8120</v>
      </c>
      <c r="K522">
        <v>3</v>
      </c>
      <c r="L522">
        <v>3</v>
      </c>
      <c r="M522">
        <v>2</v>
      </c>
    </row>
    <row r="523" spans="1:13">
      <c r="A523">
        <v>27</v>
      </c>
      <c r="B523" t="s">
        <v>17</v>
      </c>
      <c r="C523" t="s">
        <v>14</v>
      </c>
      <c r="D523">
        <v>3</v>
      </c>
      <c r="E523">
        <v>1</v>
      </c>
      <c r="F523" t="s">
        <v>21</v>
      </c>
      <c r="G523">
        <v>4</v>
      </c>
      <c r="H523">
        <v>4</v>
      </c>
      <c r="I523" t="s">
        <v>22</v>
      </c>
      <c r="J523">
        <v>4647</v>
      </c>
      <c r="K523">
        <v>1</v>
      </c>
      <c r="L523">
        <v>3</v>
      </c>
      <c r="M523">
        <v>6</v>
      </c>
    </row>
    <row r="524" spans="1:13">
      <c r="A524">
        <v>37</v>
      </c>
      <c r="B524" t="s">
        <v>17</v>
      </c>
      <c r="C524" t="s">
        <v>18</v>
      </c>
      <c r="D524">
        <v>10</v>
      </c>
      <c r="E524">
        <v>2</v>
      </c>
      <c r="F524" t="s">
        <v>15</v>
      </c>
      <c r="G524">
        <v>4</v>
      </c>
      <c r="H524">
        <v>4</v>
      </c>
      <c r="I524" t="s">
        <v>16</v>
      </c>
      <c r="J524">
        <v>4680</v>
      </c>
      <c r="K524">
        <v>3</v>
      </c>
      <c r="L524">
        <v>3</v>
      </c>
      <c r="M524">
        <v>1</v>
      </c>
    </row>
    <row r="525" spans="1:13">
      <c r="A525">
        <v>50</v>
      </c>
      <c r="B525" t="s">
        <v>17</v>
      </c>
      <c r="C525" t="s">
        <v>18</v>
      </c>
      <c r="D525">
        <v>28</v>
      </c>
      <c r="E525">
        <v>1</v>
      </c>
      <c r="F525" t="s">
        <v>21</v>
      </c>
      <c r="G525">
        <v>4</v>
      </c>
      <c r="H525">
        <v>3</v>
      </c>
      <c r="I525" t="s">
        <v>19</v>
      </c>
      <c r="J525">
        <v>3221</v>
      </c>
      <c r="K525">
        <v>1</v>
      </c>
      <c r="L525">
        <v>3</v>
      </c>
      <c r="M525">
        <v>20</v>
      </c>
    </row>
    <row r="526" spans="1:13">
      <c r="A526">
        <v>34</v>
      </c>
      <c r="B526" t="s">
        <v>17</v>
      </c>
      <c r="C526" t="s">
        <v>18</v>
      </c>
      <c r="D526">
        <v>9</v>
      </c>
      <c r="E526">
        <v>3</v>
      </c>
      <c r="F526" t="s">
        <v>21</v>
      </c>
      <c r="G526">
        <v>4</v>
      </c>
      <c r="H526">
        <v>2</v>
      </c>
      <c r="I526" t="s">
        <v>16</v>
      </c>
      <c r="J526">
        <v>8621</v>
      </c>
      <c r="K526">
        <v>1</v>
      </c>
      <c r="L526">
        <v>4</v>
      </c>
      <c r="M526">
        <v>8</v>
      </c>
    </row>
    <row r="527" spans="1:13">
      <c r="A527">
        <v>24</v>
      </c>
      <c r="B527" t="s">
        <v>13</v>
      </c>
      <c r="C527" t="s">
        <v>14</v>
      </c>
      <c r="D527">
        <v>3</v>
      </c>
      <c r="E527">
        <v>2</v>
      </c>
      <c r="F527" t="s">
        <v>15</v>
      </c>
      <c r="G527">
        <v>1</v>
      </c>
      <c r="H527">
        <v>3</v>
      </c>
      <c r="I527" t="s">
        <v>16</v>
      </c>
      <c r="J527">
        <v>4577</v>
      </c>
      <c r="K527">
        <v>9</v>
      </c>
      <c r="L527">
        <v>3</v>
      </c>
      <c r="M527">
        <v>2</v>
      </c>
    </row>
    <row r="528" spans="1:13">
      <c r="A528">
        <v>39</v>
      </c>
      <c r="B528" t="s">
        <v>17</v>
      </c>
      <c r="C528" t="s">
        <v>18</v>
      </c>
      <c r="D528">
        <v>2</v>
      </c>
      <c r="E528">
        <v>4</v>
      </c>
      <c r="F528" t="s">
        <v>24</v>
      </c>
      <c r="G528">
        <v>4</v>
      </c>
      <c r="H528">
        <v>3</v>
      </c>
      <c r="I528" t="s">
        <v>16</v>
      </c>
      <c r="J528">
        <v>4553</v>
      </c>
      <c r="K528">
        <v>1</v>
      </c>
      <c r="L528">
        <v>3</v>
      </c>
      <c r="M528">
        <v>20</v>
      </c>
    </row>
    <row r="529" spans="1:13">
      <c r="A529">
        <v>32</v>
      </c>
      <c r="B529" t="s">
        <v>17</v>
      </c>
      <c r="C529" t="s">
        <v>14</v>
      </c>
      <c r="D529">
        <v>10</v>
      </c>
      <c r="E529">
        <v>3</v>
      </c>
      <c r="F529" t="s">
        <v>23</v>
      </c>
      <c r="G529">
        <v>4</v>
      </c>
      <c r="H529">
        <v>4</v>
      </c>
      <c r="I529" t="s">
        <v>16</v>
      </c>
      <c r="J529">
        <v>5396</v>
      </c>
      <c r="K529">
        <v>1</v>
      </c>
      <c r="L529">
        <v>2</v>
      </c>
      <c r="M529">
        <v>10</v>
      </c>
    </row>
    <row r="530" spans="1:13">
      <c r="A530">
        <v>50</v>
      </c>
      <c r="B530" t="s">
        <v>13</v>
      </c>
      <c r="C530" t="s">
        <v>14</v>
      </c>
      <c r="D530">
        <v>8</v>
      </c>
      <c r="E530">
        <v>2</v>
      </c>
      <c r="F530" t="s">
        <v>24</v>
      </c>
      <c r="G530">
        <v>2</v>
      </c>
      <c r="H530">
        <v>3</v>
      </c>
      <c r="I530" t="s">
        <v>19</v>
      </c>
      <c r="J530">
        <v>6796</v>
      </c>
      <c r="K530">
        <v>3</v>
      </c>
      <c r="L530">
        <v>3</v>
      </c>
      <c r="M530">
        <v>4</v>
      </c>
    </row>
    <row r="531" spans="1:13">
      <c r="A531">
        <v>38</v>
      </c>
      <c r="B531" t="s">
        <v>17</v>
      </c>
      <c r="C531" t="s">
        <v>18</v>
      </c>
      <c r="D531">
        <v>1</v>
      </c>
      <c r="E531">
        <v>4</v>
      </c>
      <c r="F531" t="s">
        <v>15</v>
      </c>
      <c r="G531">
        <v>2</v>
      </c>
      <c r="H531">
        <v>4</v>
      </c>
      <c r="I531" t="s">
        <v>16</v>
      </c>
      <c r="J531">
        <v>7625</v>
      </c>
      <c r="K531">
        <v>0</v>
      </c>
      <c r="L531">
        <v>2</v>
      </c>
      <c r="M531">
        <v>9</v>
      </c>
    </row>
    <row r="532" spans="1:13">
      <c r="A532">
        <v>27</v>
      </c>
      <c r="B532" t="s">
        <v>17</v>
      </c>
      <c r="C532" t="s">
        <v>18</v>
      </c>
      <c r="D532">
        <v>1</v>
      </c>
      <c r="E532">
        <v>2</v>
      </c>
      <c r="F532" t="s">
        <v>15</v>
      </c>
      <c r="G532">
        <v>3</v>
      </c>
      <c r="H532">
        <v>1</v>
      </c>
      <c r="I532" t="s">
        <v>19</v>
      </c>
      <c r="J532">
        <v>7412</v>
      </c>
      <c r="K532">
        <v>1</v>
      </c>
      <c r="L532">
        <v>3</v>
      </c>
      <c r="M532">
        <v>9</v>
      </c>
    </row>
    <row r="533" spans="1:13">
      <c r="A533">
        <v>32</v>
      </c>
      <c r="B533" t="s">
        <v>17</v>
      </c>
      <c r="C533" t="s">
        <v>18</v>
      </c>
      <c r="D533">
        <v>3</v>
      </c>
      <c r="E533">
        <v>2</v>
      </c>
      <c r="F533" t="s">
        <v>15</v>
      </c>
      <c r="G533">
        <v>3</v>
      </c>
      <c r="H533">
        <v>4</v>
      </c>
      <c r="I533" t="s">
        <v>16</v>
      </c>
      <c r="J533">
        <v>11159</v>
      </c>
      <c r="K533">
        <v>3</v>
      </c>
      <c r="L533">
        <v>3</v>
      </c>
      <c r="M533">
        <v>7</v>
      </c>
    </row>
    <row r="534" spans="1:13">
      <c r="A534">
        <v>47</v>
      </c>
      <c r="B534" t="s">
        <v>17</v>
      </c>
      <c r="C534" t="s">
        <v>14</v>
      </c>
      <c r="D534">
        <v>14</v>
      </c>
      <c r="E534">
        <v>4</v>
      </c>
      <c r="F534" t="s">
        <v>23</v>
      </c>
      <c r="G534">
        <v>4</v>
      </c>
      <c r="H534">
        <v>1</v>
      </c>
      <c r="I534" t="s">
        <v>16</v>
      </c>
      <c r="J534">
        <v>4960</v>
      </c>
      <c r="K534">
        <v>2</v>
      </c>
      <c r="L534">
        <v>3</v>
      </c>
      <c r="M534">
        <v>7</v>
      </c>
    </row>
    <row r="535" spans="1:13">
      <c r="A535">
        <v>40</v>
      </c>
      <c r="B535" t="s">
        <v>17</v>
      </c>
      <c r="C535" t="s">
        <v>14</v>
      </c>
      <c r="D535">
        <v>5</v>
      </c>
      <c r="E535">
        <v>4</v>
      </c>
      <c r="F535" t="s">
        <v>15</v>
      </c>
      <c r="G535">
        <v>4</v>
      </c>
      <c r="H535">
        <v>1</v>
      </c>
      <c r="I535" t="s">
        <v>19</v>
      </c>
      <c r="J535">
        <v>10475</v>
      </c>
      <c r="K535">
        <v>5</v>
      </c>
      <c r="L535">
        <v>3</v>
      </c>
      <c r="M535">
        <v>18</v>
      </c>
    </row>
    <row r="536" spans="1:13">
      <c r="A536">
        <v>53</v>
      </c>
      <c r="B536" t="s">
        <v>17</v>
      </c>
      <c r="C536" t="s">
        <v>18</v>
      </c>
      <c r="D536">
        <v>7</v>
      </c>
      <c r="E536">
        <v>3</v>
      </c>
      <c r="F536" t="s">
        <v>15</v>
      </c>
      <c r="G536">
        <v>3</v>
      </c>
      <c r="H536">
        <v>3</v>
      </c>
      <c r="I536" t="s">
        <v>19</v>
      </c>
      <c r="J536">
        <v>14814</v>
      </c>
      <c r="K536">
        <v>3</v>
      </c>
      <c r="L536">
        <v>3</v>
      </c>
      <c r="M536">
        <v>5</v>
      </c>
    </row>
    <row r="537" spans="1:13">
      <c r="A537">
        <v>41</v>
      </c>
      <c r="B537" t="s">
        <v>17</v>
      </c>
      <c r="C537" t="s">
        <v>25</v>
      </c>
      <c r="D537">
        <v>10</v>
      </c>
      <c r="E537">
        <v>4</v>
      </c>
      <c r="F537" t="s">
        <v>25</v>
      </c>
      <c r="G537">
        <v>2</v>
      </c>
      <c r="H537">
        <v>4</v>
      </c>
      <c r="I537" t="s">
        <v>22</v>
      </c>
      <c r="J537">
        <v>19141</v>
      </c>
      <c r="K537">
        <v>3</v>
      </c>
      <c r="L537">
        <v>2</v>
      </c>
      <c r="M537">
        <v>21</v>
      </c>
    </row>
    <row r="538" spans="1:13">
      <c r="A538">
        <v>60</v>
      </c>
      <c r="B538" t="s">
        <v>17</v>
      </c>
      <c r="C538" t="s">
        <v>14</v>
      </c>
      <c r="D538">
        <v>16</v>
      </c>
      <c r="E538">
        <v>4</v>
      </c>
      <c r="F538" t="s">
        <v>23</v>
      </c>
      <c r="G538">
        <v>1</v>
      </c>
      <c r="H538">
        <v>1</v>
      </c>
      <c r="I538" t="s">
        <v>16</v>
      </c>
      <c r="J538">
        <v>5405</v>
      </c>
      <c r="K538">
        <v>8</v>
      </c>
      <c r="L538">
        <v>3</v>
      </c>
      <c r="M538">
        <v>2</v>
      </c>
    </row>
    <row r="539" spans="1:13">
      <c r="A539">
        <v>27</v>
      </c>
      <c r="B539" t="s">
        <v>17</v>
      </c>
      <c r="C539" t="s">
        <v>18</v>
      </c>
      <c r="D539">
        <v>10</v>
      </c>
      <c r="E539">
        <v>2</v>
      </c>
      <c r="F539" t="s">
        <v>15</v>
      </c>
      <c r="G539">
        <v>4</v>
      </c>
      <c r="H539">
        <v>1</v>
      </c>
      <c r="I539" t="s">
        <v>22</v>
      </c>
      <c r="J539">
        <v>8793</v>
      </c>
      <c r="K539">
        <v>1</v>
      </c>
      <c r="L539">
        <v>2</v>
      </c>
      <c r="M539">
        <v>9</v>
      </c>
    </row>
    <row r="540" spans="1:13">
      <c r="A540">
        <v>41</v>
      </c>
      <c r="B540" t="s">
        <v>17</v>
      </c>
      <c r="C540" t="s">
        <v>25</v>
      </c>
      <c r="D540">
        <v>1</v>
      </c>
      <c r="E540">
        <v>3</v>
      </c>
      <c r="F540" t="s">
        <v>25</v>
      </c>
      <c r="G540">
        <v>4</v>
      </c>
      <c r="H540">
        <v>3</v>
      </c>
      <c r="I540" t="s">
        <v>19</v>
      </c>
      <c r="J540">
        <v>19189</v>
      </c>
      <c r="K540">
        <v>1</v>
      </c>
      <c r="L540">
        <v>3</v>
      </c>
      <c r="M540">
        <v>22</v>
      </c>
    </row>
    <row r="541" spans="1:13">
      <c r="A541">
        <v>50</v>
      </c>
      <c r="B541" t="s">
        <v>17</v>
      </c>
      <c r="C541" t="s">
        <v>14</v>
      </c>
      <c r="D541">
        <v>8</v>
      </c>
      <c r="E541">
        <v>4</v>
      </c>
      <c r="F541" t="s">
        <v>23</v>
      </c>
      <c r="G541">
        <v>4</v>
      </c>
      <c r="H541">
        <v>2</v>
      </c>
      <c r="I541" t="s">
        <v>19</v>
      </c>
      <c r="J541">
        <v>3875</v>
      </c>
      <c r="K541">
        <v>7</v>
      </c>
      <c r="L541">
        <v>3</v>
      </c>
      <c r="M541">
        <v>2</v>
      </c>
    </row>
    <row r="542" spans="1:13">
      <c r="A542">
        <v>28</v>
      </c>
      <c r="B542" t="s">
        <v>13</v>
      </c>
      <c r="C542" t="s">
        <v>18</v>
      </c>
      <c r="D542">
        <v>1</v>
      </c>
      <c r="E542">
        <v>2</v>
      </c>
      <c r="F542" t="s">
        <v>15</v>
      </c>
      <c r="G542">
        <v>1</v>
      </c>
      <c r="H542">
        <v>2</v>
      </c>
      <c r="I542" t="s">
        <v>16</v>
      </c>
      <c r="J542">
        <v>2216</v>
      </c>
      <c r="K542">
        <v>7</v>
      </c>
      <c r="L542">
        <v>3</v>
      </c>
      <c r="M542">
        <v>7</v>
      </c>
    </row>
    <row r="543" spans="1:13">
      <c r="A543">
        <v>36</v>
      </c>
      <c r="B543" t="s">
        <v>17</v>
      </c>
      <c r="C543" t="s">
        <v>18</v>
      </c>
      <c r="D543">
        <v>8</v>
      </c>
      <c r="E543">
        <v>3</v>
      </c>
      <c r="F543" t="s">
        <v>15</v>
      </c>
      <c r="G543">
        <v>1</v>
      </c>
      <c r="H543">
        <v>1</v>
      </c>
      <c r="I543" t="s">
        <v>19</v>
      </c>
      <c r="J543">
        <v>11713</v>
      </c>
      <c r="K543">
        <v>9</v>
      </c>
      <c r="L543">
        <v>3</v>
      </c>
      <c r="M543">
        <v>8</v>
      </c>
    </row>
    <row r="544" spans="1:13">
      <c r="A544">
        <v>38</v>
      </c>
      <c r="B544" t="s">
        <v>17</v>
      </c>
      <c r="C544" t="s">
        <v>18</v>
      </c>
      <c r="D544">
        <v>1</v>
      </c>
      <c r="E544">
        <v>3</v>
      </c>
      <c r="F544" t="s">
        <v>15</v>
      </c>
      <c r="G544">
        <v>3</v>
      </c>
      <c r="H544">
        <v>3</v>
      </c>
      <c r="I544" t="s">
        <v>16</v>
      </c>
      <c r="J544">
        <v>7861</v>
      </c>
      <c r="K544">
        <v>4</v>
      </c>
      <c r="L544">
        <v>4</v>
      </c>
      <c r="M544">
        <v>1</v>
      </c>
    </row>
    <row r="545" spans="1:13">
      <c r="A545">
        <v>44</v>
      </c>
      <c r="B545" t="s">
        <v>17</v>
      </c>
      <c r="C545" t="s">
        <v>18</v>
      </c>
      <c r="D545">
        <v>24</v>
      </c>
      <c r="E545">
        <v>3</v>
      </c>
      <c r="F545" t="s">
        <v>21</v>
      </c>
      <c r="G545">
        <v>1</v>
      </c>
      <c r="H545">
        <v>3</v>
      </c>
      <c r="I545" t="s">
        <v>16</v>
      </c>
      <c r="J545">
        <v>3708</v>
      </c>
      <c r="K545">
        <v>2</v>
      </c>
      <c r="L545">
        <v>3</v>
      </c>
      <c r="M545">
        <v>5</v>
      </c>
    </row>
    <row r="546" spans="1:13">
      <c r="A546">
        <v>47</v>
      </c>
      <c r="B546" t="s">
        <v>17</v>
      </c>
      <c r="C546" t="s">
        <v>14</v>
      </c>
      <c r="D546">
        <v>3</v>
      </c>
      <c r="E546">
        <v>3</v>
      </c>
      <c r="F546" t="s">
        <v>21</v>
      </c>
      <c r="G546">
        <v>4</v>
      </c>
      <c r="H546">
        <v>3</v>
      </c>
      <c r="I546" t="s">
        <v>22</v>
      </c>
      <c r="J546">
        <v>13770</v>
      </c>
      <c r="K546">
        <v>9</v>
      </c>
      <c r="L546">
        <v>2</v>
      </c>
      <c r="M546">
        <v>22</v>
      </c>
    </row>
    <row r="547" spans="1:13">
      <c r="A547">
        <v>30</v>
      </c>
      <c r="B547" t="s">
        <v>17</v>
      </c>
      <c r="C547" t="s">
        <v>14</v>
      </c>
      <c r="D547">
        <v>27</v>
      </c>
      <c r="E547">
        <v>5</v>
      </c>
      <c r="F547" t="s">
        <v>23</v>
      </c>
      <c r="G547">
        <v>3</v>
      </c>
      <c r="H547">
        <v>4</v>
      </c>
      <c r="I547" t="s">
        <v>22</v>
      </c>
      <c r="J547">
        <v>5304</v>
      </c>
      <c r="K547">
        <v>7</v>
      </c>
      <c r="L547">
        <v>2</v>
      </c>
      <c r="M547">
        <v>8</v>
      </c>
    </row>
    <row r="548" spans="1:13">
      <c r="A548">
        <v>29</v>
      </c>
      <c r="B548" t="s">
        <v>17</v>
      </c>
      <c r="C548" t="s">
        <v>14</v>
      </c>
      <c r="D548">
        <v>10</v>
      </c>
      <c r="E548">
        <v>3</v>
      </c>
      <c r="F548" t="s">
        <v>15</v>
      </c>
      <c r="G548">
        <v>3</v>
      </c>
      <c r="H548">
        <v>3</v>
      </c>
      <c r="I548" t="s">
        <v>16</v>
      </c>
      <c r="J548">
        <v>2642</v>
      </c>
      <c r="K548">
        <v>1</v>
      </c>
      <c r="L548">
        <v>3</v>
      </c>
      <c r="M548">
        <v>1</v>
      </c>
    </row>
    <row r="549" spans="1:13">
      <c r="A549">
        <v>42</v>
      </c>
      <c r="B549" t="s">
        <v>13</v>
      </c>
      <c r="C549" t="s">
        <v>18</v>
      </c>
      <c r="D549">
        <v>19</v>
      </c>
      <c r="E549">
        <v>3</v>
      </c>
      <c r="F549" t="s">
        <v>21</v>
      </c>
      <c r="G549">
        <v>3</v>
      </c>
      <c r="H549">
        <v>3</v>
      </c>
      <c r="I549" t="s">
        <v>22</v>
      </c>
      <c r="J549">
        <v>2759</v>
      </c>
      <c r="K549">
        <v>6</v>
      </c>
      <c r="L549">
        <v>3</v>
      </c>
      <c r="M549">
        <v>2</v>
      </c>
    </row>
    <row r="550" spans="1:13">
      <c r="A550">
        <v>43</v>
      </c>
      <c r="B550" t="s">
        <v>17</v>
      </c>
      <c r="C550" t="s">
        <v>14</v>
      </c>
      <c r="D550">
        <v>15</v>
      </c>
      <c r="E550">
        <v>3</v>
      </c>
      <c r="F550" t="s">
        <v>15</v>
      </c>
      <c r="G550">
        <v>4</v>
      </c>
      <c r="H550">
        <v>4</v>
      </c>
      <c r="I550" t="s">
        <v>19</v>
      </c>
      <c r="J550">
        <v>6804</v>
      </c>
      <c r="K550">
        <v>3</v>
      </c>
      <c r="L550">
        <v>3</v>
      </c>
      <c r="M550">
        <v>2</v>
      </c>
    </row>
    <row r="551" spans="1:13">
      <c r="A551">
        <v>34</v>
      </c>
      <c r="B551" t="s">
        <v>17</v>
      </c>
      <c r="C551" t="s">
        <v>18</v>
      </c>
      <c r="D551">
        <v>8</v>
      </c>
      <c r="E551">
        <v>2</v>
      </c>
      <c r="F551" t="s">
        <v>21</v>
      </c>
      <c r="G551">
        <v>2</v>
      </c>
      <c r="H551">
        <v>3</v>
      </c>
      <c r="I551" t="s">
        <v>16</v>
      </c>
      <c r="J551">
        <v>6142</v>
      </c>
      <c r="K551">
        <v>3</v>
      </c>
      <c r="L551">
        <v>3</v>
      </c>
      <c r="M551">
        <v>5</v>
      </c>
    </row>
    <row r="552" spans="1:13">
      <c r="A552">
        <v>23</v>
      </c>
      <c r="B552" t="s">
        <v>17</v>
      </c>
      <c r="C552" t="s">
        <v>18</v>
      </c>
      <c r="D552">
        <v>9</v>
      </c>
      <c r="E552">
        <v>1</v>
      </c>
      <c r="F552" t="s">
        <v>21</v>
      </c>
      <c r="G552">
        <v>2</v>
      </c>
      <c r="H552">
        <v>1</v>
      </c>
      <c r="I552" t="s">
        <v>19</v>
      </c>
      <c r="J552">
        <v>2500</v>
      </c>
      <c r="K552">
        <v>1</v>
      </c>
      <c r="L552">
        <v>4</v>
      </c>
      <c r="M552">
        <v>4</v>
      </c>
    </row>
    <row r="553" spans="1:13">
      <c r="A553">
        <v>39</v>
      </c>
      <c r="B553" t="s">
        <v>17</v>
      </c>
      <c r="C553" t="s">
        <v>25</v>
      </c>
      <c r="D553">
        <v>3</v>
      </c>
      <c r="E553">
        <v>3</v>
      </c>
      <c r="F553" t="s">
        <v>25</v>
      </c>
      <c r="G553">
        <v>3</v>
      </c>
      <c r="H553">
        <v>2</v>
      </c>
      <c r="I553" t="s">
        <v>19</v>
      </c>
      <c r="J553">
        <v>6389</v>
      </c>
      <c r="K553">
        <v>9</v>
      </c>
      <c r="L553">
        <v>1</v>
      </c>
      <c r="M553">
        <v>8</v>
      </c>
    </row>
    <row r="554" spans="1:13">
      <c r="A554">
        <v>56</v>
      </c>
      <c r="B554" t="s">
        <v>17</v>
      </c>
      <c r="C554" t="s">
        <v>18</v>
      </c>
      <c r="D554">
        <v>9</v>
      </c>
      <c r="E554">
        <v>3</v>
      </c>
      <c r="F554" t="s">
        <v>21</v>
      </c>
      <c r="G554">
        <v>3</v>
      </c>
      <c r="H554">
        <v>4</v>
      </c>
      <c r="I554" t="s">
        <v>19</v>
      </c>
      <c r="J554">
        <v>11103</v>
      </c>
      <c r="K554">
        <v>7</v>
      </c>
      <c r="L554">
        <v>2</v>
      </c>
      <c r="M554">
        <v>10</v>
      </c>
    </row>
    <row r="555" spans="1:13">
      <c r="A555">
        <v>40</v>
      </c>
      <c r="B555" t="s">
        <v>17</v>
      </c>
      <c r="C555" t="s">
        <v>18</v>
      </c>
      <c r="D555">
        <v>2</v>
      </c>
      <c r="E555">
        <v>1</v>
      </c>
      <c r="F555" t="s">
        <v>21</v>
      </c>
      <c r="G555">
        <v>4</v>
      </c>
      <c r="H555">
        <v>4</v>
      </c>
      <c r="I555" t="s">
        <v>16</v>
      </c>
      <c r="J555">
        <v>2342</v>
      </c>
      <c r="K555">
        <v>0</v>
      </c>
      <c r="L555">
        <v>2</v>
      </c>
      <c r="M555">
        <v>4</v>
      </c>
    </row>
    <row r="556" spans="1:13">
      <c r="A556">
        <v>27</v>
      </c>
      <c r="B556" t="s">
        <v>17</v>
      </c>
      <c r="C556" t="s">
        <v>18</v>
      </c>
      <c r="D556">
        <v>7</v>
      </c>
      <c r="E556">
        <v>3</v>
      </c>
      <c r="F556" t="s">
        <v>21</v>
      </c>
      <c r="G556">
        <v>4</v>
      </c>
      <c r="H556">
        <v>1</v>
      </c>
      <c r="I556" t="s">
        <v>16</v>
      </c>
      <c r="J556">
        <v>6811</v>
      </c>
      <c r="K556">
        <v>8</v>
      </c>
      <c r="L556">
        <v>1</v>
      </c>
      <c r="M556">
        <v>7</v>
      </c>
    </row>
    <row r="557" spans="1:13">
      <c r="A557">
        <v>29</v>
      </c>
      <c r="B557" t="s">
        <v>17</v>
      </c>
      <c r="C557" t="s">
        <v>14</v>
      </c>
      <c r="D557">
        <v>10</v>
      </c>
      <c r="E557">
        <v>3</v>
      </c>
      <c r="F557" t="s">
        <v>23</v>
      </c>
      <c r="G557">
        <v>4</v>
      </c>
      <c r="H557">
        <v>2</v>
      </c>
      <c r="I557" t="s">
        <v>22</v>
      </c>
      <c r="J557">
        <v>2297</v>
      </c>
      <c r="K557">
        <v>1</v>
      </c>
      <c r="L557">
        <v>3</v>
      </c>
      <c r="M557">
        <v>2</v>
      </c>
    </row>
    <row r="558" spans="1:13">
      <c r="A558">
        <v>53</v>
      </c>
      <c r="B558" t="s">
        <v>17</v>
      </c>
      <c r="C558" t="s">
        <v>18</v>
      </c>
      <c r="D558">
        <v>6</v>
      </c>
      <c r="E558">
        <v>3</v>
      </c>
      <c r="F558" t="s">
        <v>15</v>
      </c>
      <c r="G558">
        <v>4</v>
      </c>
      <c r="H558">
        <v>4</v>
      </c>
      <c r="I558" t="s">
        <v>16</v>
      </c>
      <c r="J558">
        <v>2450</v>
      </c>
      <c r="K558">
        <v>2</v>
      </c>
      <c r="L558">
        <v>3</v>
      </c>
      <c r="M558">
        <v>2</v>
      </c>
    </row>
    <row r="559" spans="1:13">
      <c r="A559">
        <v>35</v>
      </c>
      <c r="B559" t="s">
        <v>17</v>
      </c>
      <c r="C559" t="s">
        <v>18</v>
      </c>
      <c r="D559">
        <v>2</v>
      </c>
      <c r="E559">
        <v>4</v>
      </c>
      <c r="F559" t="s">
        <v>15</v>
      </c>
      <c r="G559">
        <v>4</v>
      </c>
      <c r="H559">
        <v>1</v>
      </c>
      <c r="I559" t="s">
        <v>22</v>
      </c>
      <c r="J559">
        <v>5093</v>
      </c>
      <c r="K559">
        <v>2</v>
      </c>
      <c r="L559">
        <v>4</v>
      </c>
      <c r="M559">
        <v>1</v>
      </c>
    </row>
    <row r="560" spans="1:13">
      <c r="A560">
        <v>32</v>
      </c>
      <c r="B560" t="s">
        <v>17</v>
      </c>
      <c r="C560" t="s">
        <v>18</v>
      </c>
      <c r="D560">
        <v>24</v>
      </c>
      <c r="E560">
        <v>4</v>
      </c>
      <c r="F560" t="s">
        <v>15</v>
      </c>
      <c r="G560">
        <v>1</v>
      </c>
      <c r="H560">
        <v>4</v>
      </c>
      <c r="I560" t="s">
        <v>19</v>
      </c>
      <c r="J560">
        <v>5309</v>
      </c>
      <c r="K560">
        <v>1</v>
      </c>
      <c r="L560">
        <v>3</v>
      </c>
      <c r="M560">
        <v>10</v>
      </c>
    </row>
    <row r="561" spans="1:13">
      <c r="A561">
        <v>38</v>
      </c>
      <c r="B561" t="s">
        <v>17</v>
      </c>
      <c r="C561" t="s">
        <v>18</v>
      </c>
      <c r="D561">
        <v>2</v>
      </c>
      <c r="E561">
        <v>5</v>
      </c>
      <c r="F561" t="s">
        <v>21</v>
      </c>
      <c r="G561">
        <v>4</v>
      </c>
      <c r="H561">
        <v>3</v>
      </c>
      <c r="I561" t="s">
        <v>19</v>
      </c>
      <c r="J561">
        <v>3057</v>
      </c>
      <c r="K561">
        <v>6</v>
      </c>
      <c r="L561">
        <v>1</v>
      </c>
      <c r="M561">
        <v>1</v>
      </c>
    </row>
    <row r="562" spans="1:13">
      <c r="A562">
        <v>34</v>
      </c>
      <c r="B562" t="s">
        <v>17</v>
      </c>
      <c r="C562" t="s">
        <v>18</v>
      </c>
      <c r="D562">
        <v>8</v>
      </c>
      <c r="E562">
        <v>5</v>
      </c>
      <c r="F562" t="s">
        <v>15</v>
      </c>
      <c r="G562">
        <v>2</v>
      </c>
      <c r="H562">
        <v>1</v>
      </c>
      <c r="I562" t="s">
        <v>22</v>
      </c>
      <c r="J562">
        <v>5121</v>
      </c>
      <c r="K562">
        <v>3</v>
      </c>
      <c r="L562">
        <v>3</v>
      </c>
      <c r="M562">
        <v>0</v>
      </c>
    </row>
    <row r="563" spans="1:13">
      <c r="A563">
        <v>52</v>
      </c>
      <c r="B563" t="s">
        <v>17</v>
      </c>
      <c r="C563" t="s">
        <v>14</v>
      </c>
      <c r="D563">
        <v>3</v>
      </c>
      <c r="E563">
        <v>4</v>
      </c>
      <c r="F563" t="s">
        <v>23</v>
      </c>
      <c r="G563">
        <v>3</v>
      </c>
      <c r="H563">
        <v>1</v>
      </c>
      <c r="I563" t="s">
        <v>19</v>
      </c>
      <c r="J563">
        <v>16856</v>
      </c>
      <c r="K563">
        <v>1</v>
      </c>
      <c r="L563">
        <v>4</v>
      </c>
      <c r="M563">
        <v>34</v>
      </c>
    </row>
    <row r="564" spans="1:13">
      <c r="A564">
        <v>33</v>
      </c>
      <c r="B564" t="s">
        <v>13</v>
      </c>
      <c r="C564" t="s">
        <v>18</v>
      </c>
      <c r="D564">
        <v>1</v>
      </c>
      <c r="E564">
        <v>4</v>
      </c>
      <c r="F564" t="s">
        <v>20</v>
      </c>
      <c r="G564">
        <v>4</v>
      </c>
      <c r="H564">
        <v>4</v>
      </c>
      <c r="I564" t="s">
        <v>16</v>
      </c>
      <c r="J564">
        <v>2686</v>
      </c>
      <c r="K564">
        <v>1</v>
      </c>
      <c r="L564">
        <v>2</v>
      </c>
      <c r="M564">
        <v>10</v>
      </c>
    </row>
    <row r="565" spans="1:13">
      <c r="A565">
        <v>25</v>
      </c>
      <c r="B565" t="s">
        <v>17</v>
      </c>
      <c r="C565" t="s">
        <v>14</v>
      </c>
      <c r="D565">
        <v>26</v>
      </c>
      <c r="E565">
        <v>1</v>
      </c>
      <c r="F565" t="s">
        <v>21</v>
      </c>
      <c r="G565">
        <v>3</v>
      </c>
      <c r="H565">
        <v>4</v>
      </c>
      <c r="I565" t="s">
        <v>16</v>
      </c>
      <c r="J565">
        <v>6180</v>
      </c>
      <c r="K565">
        <v>1</v>
      </c>
      <c r="L565">
        <v>2</v>
      </c>
      <c r="M565">
        <v>6</v>
      </c>
    </row>
    <row r="566" spans="1:13">
      <c r="A566">
        <v>45</v>
      </c>
      <c r="B566" t="s">
        <v>17</v>
      </c>
      <c r="C566" t="s">
        <v>14</v>
      </c>
      <c r="D566">
        <v>2</v>
      </c>
      <c r="E566">
        <v>2</v>
      </c>
      <c r="F566" t="s">
        <v>24</v>
      </c>
      <c r="G566">
        <v>2</v>
      </c>
      <c r="H566">
        <v>3</v>
      </c>
      <c r="I566" t="s">
        <v>16</v>
      </c>
      <c r="J566">
        <v>6632</v>
      </c>
      <c r="K566">
        <v>0</v>
      </c>
      <c r="L566">
        <v>3</v>
      </c>
      <c r="M566">
        <v>8</v>
      </c>
    </row>
    <row r="567" spans="1:13">
      <c r="A567">
        <v>23</v>
      </c>
      <c r="B567" t="s">
        <v>17</v>
      </c>
      <c r="C567" t="s">
        <v>18</v>
      </c>
      <c r="D567">
        <v>10</v>
      </c>
      <c r="E567">
        <v>1</v>
      </c>
      <c r="F567" t="s">
        <v>21</v>
      </c>
      <c r="G567">
        <v>1</v>
      </c>
      <c r="H567">
        <v>3</v>
      </c>
      <c r="I567" t="s">
        <v>16</v>
      </c>
      <c r="J567">
        <v>3505</v>
      </c>
      <c r="K567">
        <v>1</v>
      </c>
      <c r="L567">
        <v>3</v>
      </c>
      <c r="M567">
        <v>2</v>
      </c>
    </row>
    <row r="568" spans="1:13">
      <c r="A568">
        <v>47</v>
      </c>
      <c r="B568" t="s">
        <v>13</v>
      </c>
      <c r="C568" t="s">
        <v>14</v>
      </c>
      <c r="D568">
        <v>27</v>
      </c>
      <c r="E568">
        <v>2</v>
      </c>
      <c r="F568" t="s">
        <v>15</v>
      </c>
      <c r="G568">
        <v>2</v>
      </c>
      <c r="H568">
        <v>3</v>
      </c>
      <c r="I568" t="s">
        <v>16</v>
      </c>
      <c r="J568">
        <v>6397</v>
      </c>
      <c r="K568">
        <v>4</v>
      </c>
      <c r="L568">
        <v>3</v>
      </c>
      <c r="M568">
        <v>5</v>
      </c>
    </row>
    <row r="569" spans="1:13">
      <c r="A569">
        <v>34</v>
      </c>
      <c r="B569" t="s">
        <v>17</v>
      </c>
      <c r="C569" t="s">
        <v>14</v>
      </c>
      <c r="D569">
        <v>2</v>
      </c>
      <c r="E569">
        <v>3</v>
      </c>
      <c r="F569" t="s">
        <v>20</v>
      </c>
      <c r="G569">
        <v>4</v>
      </c>
      <c r="H569">
        <v>4</v>
      </c>
      <c r="I569" t="s">
        <v>16</v>
      </c>
      <c r="J569">
        <v>6274</v>
      </c>
      <c r="K569">
        <v>1</v>
      </c>
      <c r="L569">
        <v>3</v>
      </c>
      <c r="M569">
        <v>6</v>
      </c>
    </row>
    <row r="570" spans="1:13">
      <c r="A570">
        <v>55</v>
      </c>
      <c r="B570" t="s">
        <v>13</v>
      </c>
      <c r="C570" t="s">
        <v>18</v>
      </c>
      <c r="D570">
        <v>2</v>
      </c>
      <c r="E570">
        <v>3</v>
      </c>
      <c r="F570" t="s">
        <v>21</v>
      </c>
      <c r="G570">
        <v>4</v>
      </c>
      <c r="H570">
        <v>1</v>
      </c>
      <c r="I570" t="s">
        <v>19</v>
      </c>
      <c r="J570">
        <v>19859</v>
      </c>
      <c r="K570">
        <v>5</v>
      </c>
      <c r="L570">
        <v>3</v>
      </c>
      <c r="M570">
        <v>5</v>
      </c>
    </row>
    <row r="571" spans="1:13">
      <c r="A571">
        <v>36</v>
      </c>
      <c r="B571" t="s">
        <v>17</v>
      </c>
      <c r="C571" t="s">
        <v>14</v>
      </c>
      <c r="D571">
        <v>8</v>
      </c>
      <c r="E571">
        <v>4</v>
      </c>
      <c r="F571" t="s">
        <v>15</v>
      </c>
      <c r="G571">
        <v>1</v>
      </c>
      <c r="H571">
        <v>1</v>
      </c>
      <c r="I571" t="s">
        <v>16</v>
      </c>
      <c r="J571">
        <v>7587</v>
      </c>
      <c r="K571">
        <v>1</v>
      </c>
      <c r="L571">
        <v>3</v>
      </c>
      <c r="M571">
        <v>10</v>
      </c>
    </row>
    <row r="572" spans="1:13">
      <c r="A572">
        <v>52</v>
      </c>
      <c r="B572" t="s">
        <v>17</v>
      </c>
      <c r="C572" t="s">
        <v>18</v>
      </c>
      <c r="D572">
        <v>19</v>
      </c>
      <c r="E572">
        <v>4</v>
      </c>
      <c r="F572" t="s">
        <v>21</v>
      </c>
      <c r="G572">
        <v>4</v>
      </c>
      <c r="H572">
        <v>4</v>
      </c>
      <c r="I572" t="s">
        <v>19</v>
      </c>
      <c r="J572">
        <v>4258</v>
      </c>
      <c r="K572">
        <v>0</v>
      </c>
      <c r="L572">
        <v>3</v>
      </c>
      <c r="M572">
        <v>4</v>
      </c>
    </row>
    <row r="573" spans="1:13">
      <c r="A573">
        <v>26</v>
      </c>
      <c r="B573" t="s">
        <v>17</v>
      </c>
      <c r="C573" t="s">
        <v>18</v>
      </c>
      <c r="D573">
        <v>1</v>
      </c>
      <c r="E573">
        <v>2</v>
      </c>
      <c r="F573" t="s">
        <v>15</v>
      </c>
      <c r="G573">
        <v>1</v>
      </c>
      <c r="H573">
        <v>4</v>
      </c>
      <c r="I573" t="s">
        <v>22</v>
      </c>
      <c r="J573">
        <v>4364</v>
      </c>
      <c r="K573">
        <v>3</v>
      </c>
      <c r="L573">
        <v>3</v>
      </c>
      <c r="M573">
        <v>2</v>
      </c>
    </row>
    <row r="574" spans="1:13">
      <c r="A574">
        <v>29</v>
      </c>
      <c r="B574" t="s">
        <v>17</v>
      </c>
      <c r="C574" t="s">
        <v>18</v>
      </c>
      <c r="D574">
        <v>27</v>
      </c>
      <c r="E574">
        <v>3</v>
      </c>
      <c r="F574" t="s">
        <v>21</v>
      </c>
      <c r="G574">
        <v>2</v>
      </c>
      <c r="H574">
        <v>3</v>
      </c>
      <c r="I574" t="s">
        <v>19</v>
      </c>
      <c r="J574">
        <v>4335</v>
      </c>
      <c r="K574">
        <v>4</v>
      </c>
      <c r="L574">
        <v>2</v>
      </c>
      <c r="M574">
        <v>8</v>
      </c>
    </row>
    <row r="575" spans="1:13">
      <c r="A575">
        <v>26</v>
      </c>
      <c r="B575" t="s">
        <v>13</v>
      </c>
      <c r="C575" t="s">
        <v>14</v>
      </c>
      <c r="D575">
        <v>8</v>
      </c>
      <c r="E575">
        <v>3</v>
      </c>
      <c r="F575" t="s">
        <v>24</v>
      </c>
      <c r="G575">
        <v>4</v>
      </c>
      <c r="H575">
        <v>1</v>
      </c>
      <c r="I575" t="s">
        <v>16</v>
      </c>
      <c r="J575">
        <v>5326</v>
      </c>
      <c r="K575">
        <v>6</v>
      </c>
      <c r="L575">
        <v>2</v>
      </c>
      <c r="M575">
        <v>4</v>
      </c>
    </row>
    <row r="576" spans="1:13">
      <c r="A576">
        <v>34</v>
      </c>
      <c r="B576" t="s">
        <v>17</v>
      </c>
      <c r="C576" t="s">
        <v>18</v>
      </c>
      <c r="D576">
        <v>1</v>
      </c>
      <c r="E576">
        <v>4</v>
      </c>
      <c r="F576" t="s">
        <v>15</v>
      </c>
      <c r="G576">
        <v>2</v>
      </c>
      <c r="H576">
        <v>4</v>
      </c>
      <c r="I576" t="s">
        <v>16</v>
      </c>
      <c r="J576">
        <v>3280</v>
      </c>
      <c r="K576">
        <v>2</v>
      </c>
      <c r="L576">
        <v>3</v>
      </c>
      <c r="M576">
        <v>4</v>
      </c>
    </row>
    <row r="577" spans="1:13">
      <c r="A577">
        <v>54</v>
      </c>
      <c r="B577" t="s">
        <v>17</v>
      </c>
      <c r="C577" t="s">
        <v>18</v>
      </c>
      <c r="D577">
        <v>19</v>
      </c>
      <c r="E577">
        <v>4</v>
      </c>
      <c r="F577" t="s">
        <v>21</v>
      </c>
      <c r="G577">
        <v>4</v>
      </c>
      <c r="H577">
        <v>1</v>
      </c>
      <c r="I577" t="s">
        <v>22</v>
      </c>
      <c r="J577">
        <v>5485</v>
      </c>
      <c r="K577">
        <v>9</v>
      </c>
      <c r="L577">
        <v>3</v>
      </c>
      <c r="M577">
        <v>5</v>
      </c>
    </row>
    <row r="578" spans="1:13">
      <c r="A578">
        <v>27</v>
      </c>
      <c r="B578" t="s">
        <v>17</v>
      </c>
      <c r="C578" t="s">
        <v>14</v>
      </c>
      <c r="D578">
        <v>8</v>
      </c>
      <c r="E578">
        <v>1</v>
      </c>
      <c r="F578" t="s">
        <v>23</v>
      </c>
      <c r="G578">
        <v>3</v>
      </c>
      <c r="H578">
        <v>4</v>
      </c>
      <c r="I578" t="s">
        <v>19</v>
      </c>
      <c r="J578">
        <v>4342</v>
      </c>
      <c r="K578">
        <v>0</v>
      </c>
      <c r="L578">
        <v>3</v>
      </c>
      <c r="M578">
        <v>4</v>
      </c>
    </row>
    <row r="579" spans="1:13">
      <c r="A579">
        <v>37</v>
      </c>
      <c r="B579" t="s">
        <v>17</v>
      </c>
      <c r="C579" t="s">
        <v>18</v>
      </c>
      <c r="D579">
        <v>10</v>
      </c>
      <c r="E579">
        <v>1</v>
      </c>
      <c r="F579" t="s">
        <v>15</v>
      </c>
      <c r="G579">
        <v>4</v>
      </c>
      <c r="H579">
        <v>1</v>
      </c>
      <c r="I579" t="s">
        <v>22</v>
      </c>
      <c r="J579">
        <v>2782</v>
      </c>
      <c r="K579">
        <v>0</v>
      </c>
      <c r="L579">
        <v>2</v>
      </c>
      <c r="M579">
        <v>5</v>
      </c>
    </row>
    <row r="580" spans="1:13">
      <c r="A580">
        <v>38</v>
      </c>
      <c r="B580" t="s">
        <v>17</v>
      </c>
      <c r="C580" t="s">
        <v>18</v>
      </c>
      <c r="D580">
        <v>2</v>
      </c>
      <c r="E580">
        <v>4</v>
      </c>
      <c r="F580" t="s">
        <v>15</v>
      </c>
      <c r="G580">
        <v>1</v>
      </c>
      <c r="H580">
        <v>1</v>
      </c>
      <c r="I580" t="s">
        <v>16</v>
      </c>
      <c r="J580">
        <v>5980</v>
      </c>
      <c r="K580">
        <v>6</v>
      </c>
      <c r="L580">
        <v>3</v>
      </c>
      <c r="M580">
        <v>15</v>
      </c>
    </row>
    <row r="581" spans="1:13">
      <c r="A581">
        <v>34</v>
      </c>
      <c r="B581" t="s">
        <v>17</v>
      </c>
      <c r="C581" t="s">
        <v>18</v>
      </c>
      <c r="D581">
        <v>2</v>
      </c>
      <c r="E581">
        <v>4</v>
      </c>
      <c r="F581" t="s">
        <v>21</v>
      </c>
      <c r="G581">
        <v>3</v>
      </c>
      <c r="H581">
        <v>1</v>
      </c>
      <c r="I581" t="s">
        <v>16</v>
      </c>
      <c r="J581">
        <v>4381</v>
      </c>
      <c r="K581">
        <v>1</v>
      </c>
      <c r="L581">
        <v>3</v>
      </c>
      <c r="M581">
        <v>6</v>
      </c>
    </row>
    <row r="582" spans="1:13">
      <c r="A582">
        <v>35</v>
      </c>
      <c r="B582" t="s">
        <v>17</v>
      </c>
      <c r="C582" t="s">
        <v>14</v>
      </c>
      <c r="D582">
        <v>8</v>
      </c>
      <c r="E582">
        <v>4</v>
      </c>
      <c r="F582" t="s">
        <v>15</v>
      </c>
      <c r="G582">
        <v>1</v>
      </c>
      <c r="H582">
        <v>4</v>
      </c>
      <c r="I582" t="s">
        <v>19</v>
      </c>
      <c r="J582">
        <v>2572</v>
      </c>
      <c r="K582">
        <v>1</v>
      </c>
      <c r="L582">
        <v>2</v>
      </c>
      <c r="M582">
        <v>3</v>
      </c>
    </row>
    <row r="583" spans="1:13">
      <c r="A583">
        <v>30</v>
      </c>
      <c r="B583" t="s">
        <v>17</v>
      </c>
      <c r="C583" t="s">
        <v>18</v>
      </c>
      <c r="D583">
        <v>1</v>
      </c>
      <c r="E583">
        <v>3</v>
      </c>
      <c r="F583" t="s">
        <v>15</v>
      </c>
      <c r="G583">
        <v>4</v>
      </c>
      <c r="H583">
        <v>3</v>
      </c>
      <c r="I583" t="s">
        <v>19</v>
      </c>
      <c r="J583">
        <v>3833</v>
      </c>
      <c r="K583">
        <v>3</v>
      </c>
      <c r="L583">
        <v>3</v>
      </c>
      <c r="M583">
        <v>2</v>
      </c>
    </row>
    <row r="584" spans="1:13">
      <c r="A584">
        <v>40</v>
      </c>
      <c r="B584" t="s">
        <v>17</v>
      </c>
      <c r="C584" t="s">
        <v>18</v>
      </c>
      <c r="D584">
        <v>2</v>
      </c>
      <c r="E584">
        <v>2</v>
      </c>
      <c r="F584" t="s">
        <v>21</v>
      </c>
      <c r="G584">
        <v>3</v>
      </c>
      <c r="H584">
        <v>2</v>
      </c>
      <c r="I584" t="s">
        <v>19</v>
      </c>
      <c r="J584">
        <v>4244</v>
      </c>
      <c r="K584">
        <v>1</v>
      </c>
      <c r="L584">
        <v>3</v>
      </c>
      <c r="M584">
        <v>8</v>
      </c>
    </row>
    <row r="585" spans="1:13">
      <c r="A585">
        <v>34</v>
      </c>
      <c r="B585" t="s">
        <v>17</v>
      </c>
      <c r="C585" t="s">
        <v>14</v>
      </c>
      <c r="D585">
        <v>8</v>
      </c>
      <c r="E585">
        <v>2</v>
      </c>
      <c r="F585" t="s">
        <v>15</v>
      </c>
      <c r="G585">
        <v>3</v>
      </c>
      <c r="H585">
        <v>1</v>
      </c>
      <c r="I585" t="s">
        <v>19</v>
      </c>
      <c r="J585">
        <v>6500</v>
      </c>
      <c r="K585">
        <v>5</v>
      </c>
      <c r="L585">
        <v>3</v>
      </c>
      <c r="M585">
        <v>3</v>
      </c>
    </row>
    <row r="586" spans="1:13">
      <c r="A586">
        <v>42</v>
      </c>
      <c r="B586" t="s">
        <v>17</v>
      </c>
      <c r="C586" t="s">
        <v>18</v>
      </c>
      <c r="D586">
        <v>8</v>
      </c>
      <c r="E586">
        <v>3</v>
      </c>
      <c r="F586" t="s">
        <v>15</v>
      </c>
      <c r="G586">
        <v>2</v>
      </c>
      <c r="H586">
        <v>4</v>
      </c>
      <c r="I586" t="s">
        <v>22</v>
      </c>
      <c r="J586">
        <v>18430</v>
      </c>
      <c r="K586">
        <v>1</v>
      </c>
      <c r="L586">
        <v>2</v>
      </c>
      <c r="M586">
        <v>24</v>
      </c>
    </row>
    <row r="587" spans="1:13">
      <c r="A587">
        <v>23</v>
      </c>
      <c r="B587" t="s">
        <v>13</v>
      </c>
      <c r="C587" t="s">
        <v>18</v>
      </c>
      <c r="D587">
        <v>6</v>
      </c>
      <c r="E587">
        <v>3</v>
      </c>
      <c r="F587" t="s">
        <v>15</v>
      </c>
      <c r="G587">
        <v>3</v>
      </c>
      <c r="H587">
        <v>1</v>
      </c>
      <c r="I587" t="s">
        <v>19</v>
      </c>
      <c r="J587">
        <v>1601</v>
      </c>
      <c r="K587">
        <v>1</v>
      </c>
      <c r="L587">
        <v>3</v>
      </c>
      <c r="M587">
        <v>0</v>
      </c>
    </row>
    <row r="588" spans="1:13">
      <c r="A588">
        <v>24</v>
      </c>
      <c r="B588" t="s">
        <v>17</v>
      </c>
      <c r="C588" t="s">
        <v>18</v>
      </c>
      <c r="D588">
        <v>9</v>
      </c>
      <c r="E588">
        <v>3</v>
      </c>
      <c r="F588" t="s">
        <v>15</v>
      </c>
      <c r="G588">
        <v>3</v>
      </c>
      <c r="H588">
        <v>2</v>
      </c>
      <c r="I588" t="s">
        <v>22</v>
      </c>
      <c r="J588">
        <v>2694</v>
      </c>
      <c r="K588">
        <v>1</v>
      </c>
      <c r="L588">
        <v>3</v>
      </c>
      <c r="M588">
        <v>1</v>
      </c>
    </row>
    <row r="589" spans="1:13">
      <c r="A589">
        <v>52</v>
      </c>
      <c r="B589" t="s">
        <v>17</v>
      </c>
      <c r="C589" t="s">
        <v>18</v>
      </c>
      <c r="D589">
        <v>11</v>
      </c>
      <c r="E589">
        <v>4</v>
      </c>
      <c r="F589" t="s">
        <v>15</v>
      </c>
      <c r="G589">
        <v>4</v>
      </c>
      <c r="H589">
        <v>3</v>
      </c>
      <c r="I589" t="s">
        <v>19</v>
      </c>
      <c r="J589">
        <v>3149</v>
      </c>
      <c r="K589">
        <v>8</v>
      </c>
      <c r="L589">
        <v>3</v>
      </c>
      <c r="M589">
        <v>5</v>
      </c>
    </row>
    <row r="590" spans="1:13">
      <c r="A590">
        <v>50</v>
      </c>
      <c r="B590" t="s">
        <v>17</v>
      </c>
      <c r="C590" t="s">
        <v>18</v>
      </c>
      <c r="D590">
        <v>2</v>
      </c>
      <c r="E590">
        <v>3</v>
      </c>
      <c r="F590" t="s">
        <v>21</v>
      </c>
      <c r="G590">
        <v>3</v>
      </c>
      <c r="H590">
        <v>3</v>
      </c>
      <c r="I590" t="s">
        <v>19</v>
      </c>
      <c r="J590">
        <v>17639</v>
      </c>
      <c r="K590">
        <v>5</v>
      </c>
      <c r="L590">
        <v>3</v>
      </c>
      <c r="M590">
        <v>4</v>
      </c>
    </row>
    <row r="591" spans="1:13">
      <c r="A591">
        <v>29</v>
      </c>
      <c r="B591" t="s">
        <v>13</v>
      </c>
      <c r="C591" t="s">
        <v>18</v>
      </c>
      <c r="D591">
        <v>1</v>
      </c>
      <c r="E591">
        <v>2</v>
      </c>
      <c r="F591" t="s">
        <v>15</v>
      </c>
      <c r="G591">
        <v>2</v>
      </c>
      <c r="H591">
        <v>1</v>
      </c>
      <c r="I591" t="s">
        <v>19</v>
      </c>
      <c r="J591">
        <v>2319</v>
      </c>
      <c r="K591">
        <v>1</v>
      </c>
      <c r="L591">
        <v>3</v>
      </c>
      <c r="M591">
        <v>1</v>
      </c>
    </row>
    <row r="592" spans="1:13">
      <c r="A592">
        <v>33</v>
      </c>
      <c r="B592" t="s">
        <v>17</v>
      </c>
      <c r="C592" t="s">
        <v>18</v>
      </c>
      <c r="D592">
        <v>7</v>
      </c>
      <c r="E592">
        <v>3</v>
      </c>
      <c r="F592" t="s">
        <v>21</v>
      </c>
      <c r="G592">
        <v>3</v>
      </c>
      <c r="H592">
        <v>3</v>
      </c>
      <c r="I592" t="s">
        <v>19</v>
      </c>
      <c r="J592">
        <v>11691</v>
      </c>
      <c r="K592">
        <v>0</v>
      </c>
      <c r="L592">
        <v>4</v>
      </c>
      <c r="M592">
        <v>13</v>
      </c>
    </row>
    <row r="593" spans="1:13">
      <c r="A593">
        <v>33</v>
      </c>
      <c r="B593" t="s">
        <v>13</v>
      </c>
      <c r="C593" t="s">
        <v>14</v>
      </c>
      <c r="D593">
        <v>16</v>
      </c>
      <c r="E593">
        <v>3</v>
      </c>
      <c r="F593" t="s">
        <v>23</v>
      </c>
      <c r="G593">
        <v>1</v>
      </c>
      <c r="H593">
        <v>1</v>
      </c>
      <c r="I593" t="s">
        <v>16</v>
      </c>
      <c r="J593">
        <v>5324</v>
      </c>
      <c r="K593">
        <v>5</v>
      </c>
      <c r="L593">
        <v>3</v>
      </c>
      <c r="M593">
        <v>3</v>
      </c>
    </row>
    <row r="594" spans="1:13">
      <c r="A594">
        <v>47</v>
      </c>
      <c r="B594" t="s">
        <v>17</v>
      </c>
      <c r="C594" t="s">
        <v>18</v>
      </c>
      <c r="D594">
        <v>2</v>
      </c>
      <c r="E594">
        <v>2</v>
      </c>
      <c r="F594" t="s">
        <v>20</v>
      </c>
      <c r="G594">
        <v>3</v>
      </c>
      <c r="H594">
        <v>4</v>
      </c>
      <c r="I594" t="s">
        <v>19</v>
      </c>
      <c r="J594">
        <v>16752</v>
      </c>
      <c r="K594">
        <v>1</v>
      </c>
      <c r="L594">
        <v>2</v>
      </c>
      <c r="M594">
        <v>26</v>
      </c>
    </row>
    <row r="595" spans="1:13">
      <c r="A595">
        <v>36</v>
      </c>
      <c r="B595" t="s">
        <v>17</v>
      </c>
      <c r="C595" t="s">
        <v>18</v>
      </c>
      <c r="D595">
        <v>1</v>
      </c>
      <c r="E595">
        <v>3</v>
      </c>
      <c r="F595" t="s">
        <v>20</v>
      </c>
      <c r="G595">
        <v>3</v>
      </c>
      <c r="H595">
        <v>2</v>
      </c>
      <c r="I595" t="s">
        <v>19</v>
      </c>
      <c r="J595">
        <v>5228</v>
      </c>
      <c r="K595">
        <v>0</v>
      </c>
      <c r="L595">
        <v>3</v>
      </c>
      <c r="M595">
        <v>9</v>
      </c>
    </row>
    <row r="596" spans="1:13">
      <c r="A596">
        <v>29</v>
      </c>
      <c r="B596" t="s">
        <v>17</v>
      </c>
      <c r="C596" t="s">
        <v>18</v>
      </c>
      <c r="D596">
        <v>23</v>
      </c>
      <c r="E596">
        <v>2</v>
      </c>
      <c r="F596" t="s">
        <v>15</v>
      </c>
      <c r="G596">
        <v>3</v>
      </c>
      <c r="H596">
        <v>3</v>
      </c>
      <c r="I596" t="s">
        <v>19</v>
      </c>
      <c r="J596">
        <v>2700</v>
      </c>
      <c r="K596">
        <v>1</v>
      </c>
      <c r="L596">
        <v>3</v>
      </c>
      <c r="M596">
        <v>10</v>
      </c>
    </row>
    <row r="597" spans="1:13">
      <c r="A597">
        <v>58</v>
      </c>
      <c r="B597" t="s">
        <v>13</v>
      </c>
      <c r="C597" t="s">
        <v>18</v>
      </c>
      <c r="D597">
        <v>2</v>
      </c>
      <c r="E597">
        <v>4</v>
      </c>
      <c r="F597" t="s">
        <v>15</v>
      </c>
      <c r="G597">
        <v>4</v>
      </c>
      <c r="H597">
        <v>2</v>
      </c>
      <c r="I597" t="s">
        <v>16</v>
      </c>
      <c r="J597">
        <v>19246</v>
      </c>
      <c r="K597">
        <v>7</v>
      </c>
      <c r="L597">
        <v>3</v>
      </c>
      <c r="M597">
        <v>31</v>
      </c>
    </row>
    <row r="598" spans="1:13">
      <c r="A598">
        <v>35</v>
      </c>
      <c r="B598" t="s">
        <v>17</v>
      </c>
      <c r="C598" t="s">
        <v>18</v>
      </c>
      <c r="D598">
        <v>1</v>
      </c>
      <c r="E598">
        <v>4</v>
      </c>
      <c r="F598" t="s">
        <v>15</v>
      </c>
      <c r="G598">
        <v>4</v>
      </c>
      <c r="H598">
        <v>3</v>
      </c>
      <c r="I598" t="s">
        <v>16</v>
      </c>
      <c r="J598">
        <v>2506</v>
      </c>
      <c r="K598">
        <v>3</v>
      </c>
      <c r="L598">
        <v>3</v>
      </c>
      <c r="M598">
        <v>2</v>
      </c>
    </row>
    <row r="599" spans="1:13">
      <c r="A599">
        <v>42</v>
      </c>
      <c r="B599" t="s">
        <v>17</v>
      </c>
      <c r="C599" t="s">
        <v>18</v>
      </c>
      <c r="D599">
        <v>1</v>
      </c>
      <c r="E599">
        <v>2</v>
      </c>
      <c r="F599" t="s">
        <v>15</v>
      </c>
      <c r="G599">
        <v>4</v>
      </c>
      <c r="H599">
        <v>4</v>
      </c>
      <c r="I599" t="s">
        <v>19</v>
      </c>
      <c r="J599">
        <v>6062</v>
      </c>
      <c r="K599">
        <v>9</v>
      </c>
      <c r="L599">
        <v>3</v>
      </c>
      <c r="M599">
        <v>4</v>
      </c>
    </row>
    <row r="600" spans="1:13">
      <c r="A600">
        <v>28</v>
      </c>
      <c r="B600" t="s">
        <v>13</v>
      </c>
      <c r="C600" t="s">
        <v>18</v>
      </c>
      <c r="D600">
        <v>2</v>
      </c>
      <c r="E600">
        <v>4</v>
      </c>
      <c r="F600" t="s">
        <v>21</v>
      </c>
      <c r="G600">
        <v>3</v>
      </c>
      <c r="H600">
        <v>3</v>
      </c>
      <c r="I600" t="s">
        <v>16</v>
      </c>
      <c r="J600">
        <v>4382</v>
      </c>
      <c r="K600">
        <v>6</v>
      </c>
      <c r="L600">
        <v>2</v>
      </c>
      <c r="M600">
        <v>2</v>
      </c>
    </row>
    <row r="601" spans="1:13">
      <c r="A601">
        <v>36</v>
      </c>
      <c r="B601" t="s">
        <v>17</v>
      </c>
      <c r="C601" t="s">
        <v>25</v>
      </c>
      <c r="D601">
        <v>13</v>
      </c>
      <c r="E601">
        <v>3</v>
      </c>
      <c r="F601" t="s">
        <v>25</v>
      </c>
      <c r="G601">
        <v>3</v>
      </c>
      <c r="H601">
        <v>2</v>
      </c>
      <c r="I601" t="s">
        <v>19</v>
      </c>
      <c r="J601">
        <v>2143</v>
      </c>
      <c r="K601">
        <v>4</v>
      </c>
      <c r="L601">
        <v>3</v>
      </c>
      <c r="M601">
        <v>5</v>
      </c>
    </row>
    <row r="602" spans="1:13">
      <c r="A602">
        <v>32</v>
      </c>
      <c r="B602" t="s">
        <v>17</v>
      </c>
      <c r="C602" t="s">
        <v>18</v>
      </c>
      <c r="D602">
        <v>4</v>
      </c>
      <c r="E602">
        <v>3</v>
      </c>
      <c r="F602" t="s">
        <v>15</v>
      </c>
      <c r="G602">
        <v>3</v>
      </c>
      <c r="H602">
        <v>3</v>
      </c>
      <c r="I602" t="s">
        <v>19</v>
      </c>
      <c r="J602">
        <v>6162</v>
      </c>
      <c r="K602">
        <v>1</v>
      </c>
      <c r="L602">
        <v>3</v>
      </c>
      <c r="M602">
        <v>14</v>
      </c>
    </row>
    <row r="603" spans="1:13">
      <c r="A603">
        <v>40</v>
      </c>
      <c r="B603" t="s">
        <v>17</v>
      </c>
      <c r="C603" t="s">
        <v>18</v>
      </c>
      <c r="D603">
        <v>16</v>
      </c>
      <c r="E603">
        <v>4</v>
      </c>
      <c r="F603" t="s">
        <v>21</v>
      </c>
      <c r="G603">
        <v>1</v>
      </c>
      <c r="H603">
        <v>3</v>
      </c>
      <c r="I603" t="s">
        <v>16</v>
      </c>
      <c r="J603">
        <v>5094</v>
      </c>
      <c r="K603">
        <v>6</v>
      </c>
      <c r="L603">
        <v>3</v>
      </c>
      <c r="M603">
        <v>1</v>
      </c>
    </row>
    <row r="604" spans="1:13">
      <c r="A604">
        <v>30</v>
      </c>
      <c r="B604" t="s">
        <v>17</v>
      </c>
      <c r="C604" t="s">
        <v>18</v>
      </c>
      <c r="D604">
        <v>2</v>
      </c>
      <c r="E604">
        <v>3</v>
      </c>
      <c r="F604" t="s">
        <v>21</v>
      </c>
      <c r="G604">
        <v>3</v>
      </c>
      <c r="H604">
        <v>4</v>
      </c>
      <c r="I604" t="s">
        <v>16</v>
      </c>
      <c r="J604">
        <v>6877</v>
      </c>
      <c r="K604">
        <v>5</v>
      </c>
      <c r="L604">
        <v>2</v>
      </c>
      <c r="M604">
        <v>0</v>
      </c>
    </row>
    <row r="605" spans="1:13">
      <c r="A605">
        <v>45</v>
      </c>
      <c r="B605" t="s">
        <v>17</v>
      </c>
      <c r="C605" t="s">
        <v>18</v>
      </c>
      <c r="D605">
        <v>2</v>
      </c>
      <c r="E605">
        <v>3</v>
      </c>
      <c r="F605" t="s">
        <v>15</v>
      </c>
      <c r="G605">
        <v>2</v>
      </c>
      <c r="H605">
        <v>3</v>
      </c>
      <c r="I605" t="s">
        <v>16</v>
      </c>
      <c r="J605">
        <v>2274</v>
      </c>
      <c r="K605">
        <v>1</v>
      </c>
      <c r="L605">
        <v>3</v>
      </c>
      <c r="M605">
        <v>1</v>
      </c>
    </row>
    <row r="606" spans="1:13">
      <c r="A606">
        <v>42</v>
      </c>
      <c r="B606" t="s">
        <v>17</v>
      </c>
      <c r="C606" t="s">
        <v>18</v>
      </c>
      <c r="D606">
        <v>29</v>
      </c>
      <c r="E606">
        <v>3</v>
      </c>
      <c r="F606" t="s">
        <v>15</v>
      </c>
      <c r="G606">
        <v>2</v>
      </c>
      <c r="H606">
        <v>2</v>
      </c>
      <c r="I606" t="s">
        <v>19</v>
      </c>
      <c r="J606">
        <v>4434</v>
      </c>
      <c r="K606">
        <v>1</v>
      </c>
      <c r="L606">
        <v>2</v>
      </c>
      <c r="M606">
        <v>9</v>
      </c>
    </row>
    <row r="607" spans="1:13">
      <c r="A607">
        <v>38</v>
      </c>
      <c r="B607" t="s">
        <v>17</v>
      </c>
      <c r="C607" t="s">
        <v>18</v>
      </c>
      <c r="D607">
        <v>12</v>
      </c>
      <c r="E607">
        <v>3</v>
      </c>
      <c r="F607" t="s">
        <v>15</v>
      </c>
      <c r="G607">
        <v>1</v>
      </c>
      <c r="H607">
        <v>1</v>
      </c>
      <c r="I607" t="s">
        <v>22</v>
      </c>
      <c r="J607">
        <v>6288</v>
      </c>
      <c r="K607">
        <v>2</v>
      </c>
      <c r="L607">
        <v>2</v>
      </c>
      <c r="M607">
        <v>4</v>
      </c>
    </row>
    <row r="608" spans="1:13">
      <c r="A608">
        <v>34</v>
      </c>
      <c r="B608" t="s">
        <v>17</v>
      </c>
      <c r="C608" t="s">
        <v>18</v>
      </c>
      <c r="D608">
        <v>16</v>
      </c>
      <c r="E608">
        <v>4</v>
      </c>
      <c r="F608" t="s">
        <v>15</v>
      </c>
      <c r="G608">
        <v>3</v>
      </c>
      <c r="H608">
        <v>4</v>
      </c>
      <c r="I608" t="s">
        <v>16</v>
      </c>
      <c r="J608">
        <v>2553</v>
      </c>
      <c r="K608">
        <v>1</v>
      </c>
      <c r="L608">
        <v>3</v>
      </c>
      <c r="M608">
        <v>5</v>
      </c>
    </row>
    <row r="609" spans="1:13">
      <c r="A609">
        <v>49</v>
      </c>
      <c r="B609" t="s">
        <v>13</v>
      </c>
      <c r="C609" t="s">
        <v>14</v>
      </c>
      <c r="D609">
        <v>11</v>
      </c>
      <c r="E609">
        <v>3</v>
      </c>
      <c r="F609" t="s">
        <v>23</v>
      </c>
      <c r="G609">
        <v>3</v>
      </c>
      <c r="H609">
        <v>4</v>
      </c>
      <c r="I609" t="s">
        <v>19</v>
      </c>
      <c r="J609">
        <v>7654</v>
      </c>
      <c r="K609">
        <v>1</v>
      </c>
      <c r="L609">
        <v>4</v>
      </c>
      <c r="M609">
        <v>9</v>
      </c>
    </row>
    <row r="610" spans="1:13">
      <c r="A610">
        <v>55</v>
      </c>
      <c r="B610" t="s">
        <v>13</v>
      </c>
      <c r="C610" t="s">
        <v>14</v>
      </c>
      <c r="D610">
        <v>2</v>
      </c>
      <c r="E610">
        <v>1</v>
      </c>
      <c r="F610" t="s">
        <v>21</v>
      </c>
      <c r="G610">
        <v>3</v>
      </c>
      <c r="H610">
        <v>4</v>
      </c>
      <c r="I610" t="s">
        <v>16</v>
      </c>
      <c r="J610">
        <v>5160</v>
      </c>
      <c r="K610">
        <v>4</v>
      </c>
      <c r="L610">
        <v>2</v>
      </c>
      <c r="M610">
        <v>9</v>
      </c>
    </row>
    <row r="611" spans="1:13">
      <c r="A611">
        <v>43</v>
      </c>
      <c r="B611" t="s">
        <v>17</v>
      </c>
      <c r="C611" t="s">
        <v>18</v>
      </c>
      <c r="D611">
        <v>14</v>
      </c>
      <c r="E611">
        <v>2</v>
      </c>
      <c r="F611" t="s">
        <v>15</v>
      </c>
      <c r="G611">
        <v>2</v>
      </c>
      <c r="H611">
        <v>1</v>
      </c>
      <c r="I611" t="s">
        <v>19</v>
      </c>
      <c r="J611">
        <v>17159</v>
      </c>
      <c r="K611">
        <v>6</v>
      </c>
      <c r="L611">
        <v>3</v>
      </c>
      <c r="M611">
        <v>4</v>
      </c>
    </row>
    <row r="612" spans="1:13">
      <c r="A612">
        <v>27</v>
      </c>
      <c r="B612" t="s">
        <v>17</v>
      </c>
      <c r="C612" t="s">
        <v>18</v>
      </c>
      <c r="D612">
        <v>5</v>
      </c>
      <c r="E612">
        <v>1</v>
      </c>
      <c r="F612" t="s">
        <v>24</v>
      </c>
      <c r="G612">
        <v>3</v>
      </c>
      <c r="H612">
        <v>4</v>
      </c>
      <c r="I612" t="s">
        <v>22</v>
      </c>
      <c r="J612">
        <v>12808</v>
      </c>
      <c r="K612">
        <v>1</v>
      </c>
      <c r="L612">
        <v>3</v>
      </c>
      <c r="M612">
        <v>9</v>
      </c>
    </row>
    <row r="613" spans="1:13">
      <c r="A613">
        <v>35</v>
      </c>
      <c r="B613" t="s">
        <v>17</v>
      </c>
      <c r="C613" t="s">
        <v>18</v>
      </c>
      <c r="D613">
        <v>7</v>
      </c>
      <c r="E613">
        <v>3</v>
      </c>
      <c r="F613" t="s">
        <v>20</v>
      </c>
      <c r="G613">
        <v>3</v>
      </c>
      <c r="H613">
        <v>3</v>
      </c>
      <c r="I613" t="s">
        <v>16</v>
      </c>
      <c r="J613">
        <v>10221</v>
      </c>
      <c r="K613">
        <v>3</v>
      </c>
      <c r="L613">
        <v>4</v>
      </c>
      <c r="M613">
        <v>8</v>
      </c>
    </row>
    <row r="614" spans="1:13">
      <c r="A614">
        <v>28</v>
      </c>
      <c r="B614" t="s">
        <v>17</v>
      </c>
      <c r="C614" t="s">
        <v>14</v>
      </c>
      <c r="D614">
        <v>2</v>
      </c>
      <c r="E614">
        <v>4</v>
      </c>
      <c r="F614" t="s">
        <v>23</v>
      </c>
      <c r="G614">
        <v>2</v>
      </c>
      <c r="H614">
        <v>2</v>
      </c>
      <c r="I614" t="s">
        <v>19</v>
      </c>
      <c r="J614">
        <v>4779</v>
      </c>
      <c r="K614">
        <v>1</v>
      </c>
      <c r="L614">
        <v>3</v>
      </c>
      <c r="M614">
        <v>8</v>
      </c>
    </row>
    <row r="615" spans="1:13">
      <c r="A615">
        <v>34</v>
      </c>
      <c r="B615" t="s">
        <v>17</v>
      </c>
      <c r="C615" t="s">
        <v>25</v>
      </c>
      <c r="D615">
        <v>3</v>
      </c>
      <c r="E615">
        <v>2</v>
      </c>
      <c r="F615" t="s">
        <v>25</v>
      </c>
      <c r="G615">
        <v>3</v>
      </c>
      <c r="H615">
        <v>4</v>
      </c>
      <c r="I615" t="s">
        <v>19</v>
      </c>
      <c r="J615">
        <v>3737</v>
      </c>
      <c r="K615">
        <v>0</v>
      </c>
      <c r="L615">
        <v>1</v>
      </c>
      <c r="M615">
        <v>3</v>
      </c>
    </row>
    <row r="616" spans="1:13">
      <c r="A616">
        <v>26</v>
      </c>
      <c r="B616" t="s">
        <v>13</v>
      </c>
      <c r="C616" t="s">
        <v>18</v>
      </c>
      <c r="D616">
        <v>5</v>
      </c>
      <c r="E616">
        <v>2</v>
      </c>
      <c r="F616" t="s">
        <v>21</v>
      </c>
      <c r="G616">
        <v>3</v>
      </c>
      <c r="H616">
        <v>3</v>
      </c>
      <c r="I616" t="s">
        <v>19</v>
      </c>
      <c r="J616">
        <v>2366</v>
      </c>
      <c r="K616">
        <v>1</v>
      </c>
      <c r="L616">
        <v>3</v>
      </c>
      <c r="M616">
        <v>8</v>
      </c>
    </row>
    <row r="617" spans="1:13">
      <c r="A617">
        <v>27</v>
      </c>
      <c r="B617" t="s">
        <v>17</v>
      </c>
      <c r="C617" t="s">
        <v>18</v>
      </c>
      <c r="D617">
        <v>3</v>
      </c>
      <c r="E617">
        <v>3</v>
      </c>
      <c r="F617" t="s">
        <v>21</v>
      </c>
      <c r="G617">
        <v>4</v>
      </c>
      <c r="H617">
        <v>4</v>
      </c>
      <c r="I617" t="s">
        <v>19</v>
      </c>
      <c r="J617">
        <v>1706</v>
      </c>
      <c r="K617">
        <v>1</v>
      </c>
      <c r="L617">
        <v>2</v>
      </c>
      <c r="M617">
        <v>0</v>
      </c>
    </row>
    <row r="618" spans="1:13">
      <c r="A618">
        <v>51</v>
      </c>
      <c r="B618" t="s">
        <v>17</v>
      </c>
      <c r="C618" t="s">
        <v>14</v>
      </c>
      <c r="D618">
        <v>26</v>
      </c>
      <c r="E618">
        <v>4</v>
      </c>
      <c r="F618" t="s">
        <v>23</v>
      </c>
      <c r="G618">
        <v>1</v>
      </c>
      <c r="H618">
        <v>3</v>
      </c>
      <c r="I618" t="s">
        <v>19</v>
      </c>
      <c r="J618">
        <v>16307</v>
      </c>
      <c r="K618">
        <v>2</v>
      </c>
      <c r="L618">
        <v>2</v>
      </c>
      <c r="M618">
        <v>20</v>
      </c>
    </row>
    <row r="619" spans="1:13">
      <c r="A619">
        <v>44</v>
      </c>
      <c r="B619" t="s">
        <v>17</v>
      </c>
      <c r="C619" t="s">
        <v>18</v>
      </c>
      <c r="D619">
        <v>4</v>
      </c>
      <c r="E619">
        <v>3</v>
      </c>
      <c r="F619" t="s">
        <v>21</v>
      </c>
      <c r="G619">
        <v>4</v>
      </c>
      <c r="H619">
        <v>2</v>
      </c>
      <c r="I619" t="s">
        <v>16</v>
      </c>
      <c r="J619">
        <v>5933</v>
      </c>
      <c r="K619">
        <v>9</v>
      </c>
      <c r="L619">
        <v>2</v>
      </c>
      <c r="M619">
        <v>5</v>
      </c>
    </row>
    <row r="620" spans="1:13">
      <c r="A620">
        <v>25</v>
      </c>
      <c r="B620" t="s">
        <v>17</v>
      </c>
      <c r="C620" t="s">
        <v>18</v>
      </c>
      <c r="D620">
        <v>2</v>
      </c>
      <c r="E620">
        <v>1</v>
      </c>
      <c r="F620" t="s">
        <v>21</v>
      </c>
      <c r="G620">
        <v>1</v>
      </c>
      <c r="H620">
        <v>1</v>
      </c>
      <c r="I620" t="s">
        <v>16</v>
      </c>
      <c r="J620">
        <v>3424</v>
      </c>
      <c r="K620">
        <v>7</v>
      </c>
      <c r="L620">
        <v>2</v>
      </c>
      <c r="M620">
        <v>4</v>
      </c>
    </row>
    <row r="621" spans="1:13">
      <c r="A621">
        <v>33</v>
      </c>
      <c r="B621" t="s">
        <v>17</v>
      </c>
      <c r="C621" t="s">
        <v>14</v>
      </c>
      <c r="D621">
        <v>1</v>
      </c>
      <c r="E621">
        <v>3</v>
      </c>
      <c r="F621" t="s">
        <v>21</v>
      </c>
      <c r="G621">
        <v>1</v>
      </c>
      <c r="H621">
        <v>1</v>
      </c>
      <c r="I621" t="s">
        <v>22</v>
      </c>
      <c r="J621">
        <v>4037</v>
      </c>
      <c r="K621">
        <v>1</v>
      </c>
      <c r="L621">
        <v>3</v>
      </c>
      <c r="M621">
        <v>9</v>
      </c>
    </row>
    <row r="622" spans="1:13">
      <c r="A622">
        <v>35</v>
      </c>
      <c r="B622" t="s">
        <v>17</v>
      </c>
      <c r="C622" t="s">
        <v>18</v>
      </c>
      <c r="D622">
        <v>27</v>
      </c>
      <c r="E622">
        <v>1</v>
      </c>
      <c r="F622" t="s">
        <v>21</v>
      </c>
      <c r="G622">
        <v>3</v>
      </c>
      <c r="H622">
        <v>1</v>
      </c>
      <c r="I622" t="s">
        <v>16</v>
      </c>
      <c r="J622">
        <v>2559</v>
      </c>
      <c r="K622">
        <v>1</v>
      </c>
      <c r="L622">
        <v>2</v>
      </c>
      <c r="M622">
        <v>6</v>
      </c>
    </row>
    <row r="623" spans="1:13">
      <c r="A623">
        <v>36</v>
      </c>
      <c r="B623" t="s">
        <v>17</v>
      </c>
      <c r="C623" t="s">
        <v>14</v>
      </c>
      <c r="D623">
        <v>1</v>
      </c>
      <c r="E623">
        <v>2</v>
      </c>
      <c r="F623" t="s">
        <v>15</v>
      </c>
      <c r="G623">
        <v>2</v>
      </c>
      <c r="H623">
        <v>4</v>
      </c>
      <c r="I623" t="s">
        <v>19</v>
      </c>
      <c r="J623">
        <v>6201</v>
      </c>
      <c r="K623">
        <v>1</v>
      </c>
      <c r="L623">
        <v>2</v>
      </c>
      <c r="M623">
        <v>18</v>
      </c>
    </row>
    <row r="624" spans="1:13">
      <c r="A624">
        <v>32</v>
      </c>
      <c r="B624" t="s">
        <v>17</v>
      </c>
      <c r="C624" t="s">
        <v>14</v>
      </c>
      <c r="D624">
        <v>13</v>
      </c>
      <c r="E624">
        <v>4</v>
      </c>
      <c r="F624" t="s">
        <v>15</v>
      </c>
      <c r="G624">
        <v>2</v>
      </c>
      <c r="H624">
        <v>4</v>
      </c>
      <c r="I624" t="s">
        <v>22</v>
      </c>
      <c r="J624">
        <v>4403</v>
      </c>
      <c r="K624">
        <v>2</v>
      </c>
      <c r="L624">
        <v>2</v>
      </c>
      <c r="M624">
        <v>5</v>
      </c>
    </row>
    <row r="625" spans="1:13">
      <c r="A625">
        <v>30</v>
      </c>
      <c r="B625" t="s">
        <v>17</v>
      </c>
      <c r="C625" t="s">
        <v>18</v>
      </c>
      <c r="D625">
        <v>5</v>
      </c>
      <c r="E625">
        <v>4</v>
      </c>
      <c r="F625" t="s">
        <v>15</v>
      </c>
      <c r="G625">
        <v>2</v>
      </c>
      <c r="H625">
        <v>4</v>
      </c>
      <c r="I625" t="s">
        <v>22</v>
      </c>
      <c r="J625">
        <v>3761</v>
      </c>
      <c r="K625">
        <v>9</v>
      </c>
      <c r="L625">
        <v>2</v>
      </c>
      <c r="M625">
        <v>5</v>
      </c>
    </row>
    <row r="626" spans="1:13">
      <c r="A626">
        <v>53</v>
      </c>
      <c r="B626" t="s">
        <v>17</v>
      </c>
      <c r="C626" t="s">
        <v>14</v>
      </c>
      <c r="D626">
        <v>7</v>
      </c>
      <c r="E626">
        <v>2</v>
      </c>
      <c r="F626" t="s">
        <v>23</v>
      </c>
      <c r="G626">
        <v>1</v>
      </c>
      <c r="H626">
        <v>4</v>
      </c>
      <c r="I626" t="s">
        <v>19</v>
      </c>
      <c r="J626">
        <v>10934</v>
      </c>
      <c r="K626">
        <v>7</v>
      </c>
      <c r="L626">
        <v>3</v>
      </c>
      <c r="M626">
        <v>5</v>
      </c>
    </row>
    <row r="627" spans="1:13">
      <c r="A627">
        <v>45</v>
      </c>
      <c r="B627" t="s">
        <v>17</v>
      </c>
      <c r="C627" t="s">
        <v>14</v>
      </c>
      <c r="D627">
        <v>9</v>
      </c>
      <c r="E627">
        <v>3</v>
      </c>
      <c r="F627" t="s">
        <v>23</v>
      </c>
      <c r="G627">
        <v>4</v>
      </c>
      <c r="H627">
        <v>1</v>
      </c>
      <c r="I627" t="s">
        <v>22</v>
      </c>
      <c r="J627">
        <v>10761</v>
      </c>
      <c r="K627">
        <v>4</v>
      </c>
      <c r="L627">
        <v>3</v>
      </c>
      <c r="M627">
        <v>5</v>
      </c>
    </row>
    <row r="628" spans="1:13">
      <c r="A628">
        <v>32</v>
      </c>
      <c r="B628" t="s">
        <v>17</v>
      </c>
      <c r="C628" t="s">
        <v>18</v>
      </c>
      <c r="D628">
        <v>8</v>
      </c>
      <c r="E628">
        <v>2</v>
      </c>
      <c r="F628" t="s">
        <v>21</v>
      </c>
      <c r="G628">
        <v>3</v>
      </c>
      <c r="H628">
        <v>3</v>
      </c>
      <c r="I628" t="s">
        <v>19</v>
      </c>
      <c r="J628">
        <v>5175</v>
      </c>
      <c r="K628">
        <v>5</v>
      </c>
      <c r="L628">
        <v>2</v>
      </c>
      <c r="M628">
        <v>5</v>
      </c>
    </row>
    <row r="629" spans="1:13">
      <c r="A629">
        <v>52</v>
      </c>
      <c r="B629" t="s">
        <v>17</v>
      </c>
      <c r="C629" t="s">
        <v>18</v>
      </c>
      <c r="D629">
        <v>25</v>
      </c>
      <c r="E629">
        <v>4</v>
      </c>
      <c r="F629" t="s">
        <v>21</v>
      </c>
      <c r="G629">
        <v>3</v>
      </c>
      <c r="H629">
        <v>4</v>
      </c>
      <c r="I629" t="s">
        <v>19</v>
      </c>
      <c r="J629">
        <v>13826</v>
      </c>
      <c r="K629">
        <v>3</v>
      </c>
      <c r="L629">
        <v>3</v>
      </c>
      <c r="M629">
        <v>9</v>
      </c>
    </row>
    <row r="630" spans="1:13">
      <c r="A630">
        <v>37</v>
      </c>
      <c r="B630" t="s">
        <v>17</v>
      </c>
      <c r="C630" t="s">
        <v>14</v>
      </c>
      <c r="D630">
        <v>16</v>
      </c>
      <c r="E630">
        <v>4</v>
      </c>
      <c r="F630" t="s">
        <v>23</v>
      </c>
      <c r="G630">
        <v>4</v>
      </c>
      <c r="H630">
        <v>3</v>
      </c>
      <c r="I630" t="s">
        <v>22</v>
      </c>
      <c r="J630">
        <v>6334</v>
      </c>
      <c r="K630">
        <v>4</v>
      </c>
      <c r="L630">
        <v>3</v>
      </c>
      <c r="M630">
        <v>1</v>
      </c>
    </row>
    <row r="631" spans="1:13">
      <c r="A631">
        <v>28</v>
      </c>
      <c r="B631" t="s">
        <v>17</v>
      </c>
      <c r="C631" t="s">
        <v>25</v>
      </c>
      <c r="D631">
        <v>8</v>
      </c>
      <c r="E631">
        <v>2</v>
      </c>
      <c r="F631" t="s">
        <v>21</v>
      </c>
      <c r="G631">
        <v>2</v>
      </c>
      <c r="H631">
        <v>4</v>
      </c>
      <c r="I631" t="s">
        <v>22</v>
      </c>
      <c r="J631">
        <v>4936</v>
      </c>
      <c r="K631">
        <v>1</v>
      </c>
      <c r="L631">
        <v>3</v>
      </c>
      <c r="M631">
        <v>5</v>
      </c>
    </row>
    <row r="632" spans="1:13">
      <c r="A632">
        <v>22</v>
      </c>
      <c r="B632" t="s">
        <v>17</v>
      </c>
      <c r="C632" t="s">
        <v>18</v>
      </c>
      <c r="D632">
        <v>1</v>
      </c>
      <c r="E632">
        <v>2</v>
      </c>
      <c r="F632" t="s">
        <v>15</v>
      </c>
      <c r="G632">
        <v>4</v>
      </c>
      <c r="H632">
        <v>4</v>
      </c>
      <c r="I632" t="s">
        <v>19</v>
      </c>
      <c r="J632">
        <v>4775</v>
      </c>
      <c r="K632">
        <v>6</v>
      </c>
      <c r="L632">
        <v>1</v>
      </c>
      <c r="M632">
        <v>2</v>
      </c>
    </row>
    <row r="633" spans="1:13">
      <c r="A633">
        <v>44</v>
      </c>
      <c r="B633" t="s">
        <v>17</v>
      </c>
      <c r="C633" t="s">
        <v>18</v>
      </c>
      <c r="D633">
        <v>8</v>
      </c>
      <c r="E633">
        <v>4</v>
      </c>
      <c r="F633" t="s">
        <v>15</v>
      </c>
      <c r="G633">
        <v>1</v>
      </c>
      <c r="H633">
        <v>4</v>
      </c>
      <c r="I633" t="s">
        <v>19</v>
      </c>
      <c r="J633">
        <v>2818</v>
      </c>
      <c r="K633">
        <v>2</v>
      </c>
      <c r="L633">
        <v>2</v>
      </c>
      <c r="M633">
        <v>3</v>
      </c>
    </row>
    <row r="634" spans="1:13">
      <c r="A634">
        <v>42</v>
      </c>
      <c r="B634" t="s">
        <v>17</v>
      </c>
      <c r="C634" t="s">
        <v>18</v>
      </c>
      <c r="D634">
        <v>2</v>
      </c>
      <c r="E634">
        <v>1</v>
      </c>
      <c r="F634" t="s">
        <v>21</v>
      </c>
      <c r="G634">
        <v>2</v>
      </c>
      <c r="H634">
        <v>4</v>
      </c>
      <c r="I634" t="s">
        <v>16</v>
      </c>
      <c r="J634">
        <v>2515</v>
      </c>
      <c r="K634">
        <v>5</v>
      </c>
      <c r="L634">
        <v>3</v>
      </c>
      <c r="M634">
        <v>2</v>
      </c>
    </row>
    <row r="635" spans="1:13">
      <c r="A635">
        <v>36</v>
      </c>
      <c r="B635" t="s">
        <v>17</v>
      </c>
      <c r="C635" t="s">
        <v>25</v>
      </c>
      <c r="D635">
        <v>8</v>
      </c>
      <c r="E635">
        <v>3</v>
      </c>
      <c r="F635" t="s">
        <v>15</v>
      </c>
      <c r="G635">
        <v>1</v>
      </c>
      <c r="H635">
        <v>1</v>
      </c>
      <c r="I635" t="s">
        <v>19</v>
      </c>
      <c r="J635">
        <v>2342</v>
      </c>
      <c r="K635">
        <v>0</v>
      </c>
      <c r="L635">
        <v>3</v>
      </c>
      <c r="M635">
        <v>5</v>
      </c>
    </row>
    <row r="636" spans="1:13">
      <c r="A636">
        <v>25</v>
      </c>
      <c r="B636" t="s">
        <v>17</v>
      </c>
      <c r="C636" t="s">
        <v>14</v>
      </c>
      <c r="D636">
        <v>3</v>
      </c>
      <c r="E636">
        <v>1</v>
      </c>
      <c r="F636" t="s">
        <v>20</v>
      </c>
      <c r="G636">
        <v>3</v>
      </c>
      <c r="H636">
        <v>1</v>
      </c>
      <c r="I636" t="s">
        <v>19</v>
      </c>
      <c r="J636">
        <v>4194</v>
      </c>
      <c r="K636">
        <v>1</v>
      </c>
      <c r="L636">
        <v>3</v>
      </c>
      <c r="M636">
        <v>5</v>
      </c>
    </row>
    <row r="637" spans="1:13">
      <c r="A637">
        <v>35</v>
      </c>
      <c r="B637" t="s">
        <v>17</v>
      </c>
      <c r="C637" t="s">
        <v>18</v>
      </c>
      <c r="D637">
        <v>9</v>
      </c>
      <c r="E637">
        <v>3</v>
      </c>
      <c r="F637" t="s">
        <v>15</v>
      </c>
      <c r="G637">
        <v>4</v>
      </c>
      <c r="H637">
        <v>3</v>
      </c>
      <c r="I637" t="s">
        <v>19</v>
      </c>
      <c r="J637">
        <v>10685</v>
      </c>
      <c r="K637">
        <v>1</v>
      </c>
      <c r="L637">
        <v>3</v>
      </c>
      <c r="M637">
        <v>17</v>
      </c>
    </row>
    <row r="638" spans="1:13">
      <c r="A638">
        <v>35</v>
      </c>
      <c r="B638" t="s">
        <v>13</v>
      </c>
      <c r="C638" t="s">
        <v>18</v>
      </c>
      <c r="D638">
        <v>25</v>
      </c>
      <c r="E638">
        <v>4</v>
      </c>
      <c r="F638" t="s">
        <v>15</v>
      </c>
      <c r="G638">
        <v>4</v>
      </c>
      <c r="H638">
        <v>2</v>
      </c>
      <c r="I638" t="s">
        <v>22</v>
      </c>
      <c r="J638">
        <v>2022</v>
      </c>
      <c r="K638">
        <v>1</v>
      </c>
      <c r="L638">
        <v>2</v>
      </c>
      <c r="M638">
        <v>10</v>
      </c>
    </row>
    <row r="639" spans="1:13">
      <c r="A639">
        <v>32</v>
      </c>
      <c r="B639" t="s">
        <v>17</v>
      </c>
      <c r="C639" t="s">
        <v>18</v>
      </c>
      <c r="D639">
        <v>1</v>
      </c>
      <c r="E639">
        <v>3</v>
      </c>
      <c r="F639" t="s">
        <v>15</v>
      </c>
      <c r="G639">
        <v>4</v>
      </c>
      <c r="H639">
        <v>4</v>
      </c>
      <c r="I639" t="s">
        <v>22</v>
      </c>
      <c r="J639">
        <v>2314</v>
      </c>
      <c r="K639">
        <v>0</v>
      </c>
      <c r="L639">
        <v>3</v>
      </c>
      <c r="M639">
        <v>3</v>
      </c>
    </row>
    <row r="640" spans="1:13">
      <c r="A640">
        <v>25</v>
      </c>
      <c r="B640" t="s">
        <v>17</v>
      </c>
      <c r="C640" t="s">
        <v>14</v>
      </c>
      <c r="D640">
        <v>4</v>
      </c>
      <c r="E640">
        <v>1</v>
      </c>
      <c r="F640" t="s">
        <v>23</v>
      </c>
      <c r="G640">
        <v>3</v>
      </c>
      <c r="H640">
        <v>1</v>
      </c>
      <c r="I640" t="s">
        <v>19</v>
      </c>
      <c r="J640">
        <v>4256</v>
      </c>
      <c r="K640">
        <v>1</v>
      </c>
      <c r="L640">
        <v>4</v>
      </c>
      <c r="M640">
        <v>5</v>
      </c>
    </row>
    <row r="641" spans="1:13">
      <c r="A641">
        <v>49</v>
      </c>
      <c r="B641" t="s">
        <v>17</v>
      </c>
      <c r="C641" t="s">
        <v>18</v>
      </c>
      <c r="D641">
        <v>1</v>
      </c>
      <c r="E641">
        <v>3</v>
      </c>
      <c r="F641" t="s">
        <v>24</v>
      </c>
      <c r="G641">
        <v>3</v>
      </c>
      <c r="H641">
        <v>1</v>
      </c>
      <c r="I641" t="s">
        <v>19</v>
      </c>
      <c r="J641">
        <v>3580</v>
      </c>
      <c r="K641">
        <v>2</v>
      </c>
      <c r="L641">
        <v>3</v>
      </c>
      <c r="M641">
        <v>4</v>
      </c>
    </row>
    <row r="642" spans="1:13">
      <c r="A642">
        <v>24</v>
      </c>
      <c r="B642" t="s">
        <v>17</v>
      </c>
      <c r="C642" t="s">
        <v>18</v>
      </c>
      <c r="D642">
        <v>4</v>
      </c>
      <c r="E642">
        <v>1</v>
      </c>
      <c r="F642" t="s">
        <v>15</v>
      </c>
      <c r="G642">
        <v>1</v>
      </c>
      <c r="H642">
        <v>4</v>
      </c>
      <c r="I642" t="s">
        <v>19</v>
      </c>
      <c r="J642">
        <v>3162</v>
      </c>
      <c r="K642">
        <v>0</v>
      </c>
      <c r="L642">
        <v>2</v>
      </c>
      <c r="M642">
        <v>5</v>
      </c>
    </row>
    <row r="643" spans="1:13">
      <c r="A643">
        <v>32</v>
      </c>
      <c r="B643" t="s">
        <v>17</v>
      </c>
      <c r="C643" t="s">
        <v>14</v>
      </c>
      <c r="D643">
        <v>5</v>
      </c>
      <c r="E643">
        <v>2</v>
      </c>
      <c r="F643" t="s">
        <v>15</v>
      </c>
      <c r="G643">
        <v>2</v>
      </c>
      <c r="H643">
        <v>2</v>
      </c>
      <c r="I643" t="s">
        <v>19</v>
      </c>
      <c r="J643">
        <v>6524</v>
      </c>
      <c r="K643">
        <v>1</v>
      </c>
      <c r="L643">
        <v>3</v>
      </c>
      <c r="M643">
        <v>10</v>
      </c>
    </row>
    <row r="644" spans="1:13">
      <c r="A644">
        <v>38</v>
      </c>
      <c r="B644" t="s">
        <v>17</v>
      </c>
      <c r="C644" t="s">
        <v>14</v>
      </c>
      <c r="D644">
        <v>9</v>
      </c>
      <c r="E644">
        <v>3</v>
      </c>
      <c r="F644" t="s">
        <v>23</v>
      </c>
      <c r="G644">
        <v>2</v>
      </c>
      <c r="H644">
        <v>2</v>
      </c>
      <c r="I644" t="s">
        <v>19</v>
      </c>
      <c r="J644">
        <v>2899</v>
      </c>
      <c r="K644">
        <v>0</v>
      </c>
      <c r="L644">
        <v>3</v>
      </c>
      <c r="M644">
        <v>2</v>
      </c>
    </row>
    <row r="645" spans="1:13">
      <c r="A645">
        <v>42</v>
      </c>
      <c r="B645" t="s">
        <v>17</v>
      </c>
      <c r="C645" t="s">
        <v>18</v>
      </c>
      <c r="D645">
        <v>3</v>
      </c>
      <c r="E645">
        <v>3</v>
      </c>
      <c r="F645" t="s">
        <v>15</v>
      </c>
      <c r="G645">
        <v>3</v>
      </c>
      <c r="H645">
        <v>4</v>
      </c>
      <c r="I645" t="s">
        <v>19</v>
      </c>
      <c r="J645">
        <v>5231</v>
      </c>
      <c r="K645">
        <v>2</v>
      </c>
      <c r="L645">
        <v>2</v>
      </c>
      <c r="M645">
        <v>5</v>
      </c>
    </row>
    <row r="646" spans="1:13">
      <c r="A646">
        <v>31</v>
      </c>
      <c r="B646" t="s">
        <v>17</v>
      </c>
      <c r="C646" t="s">
        <v>18</v>
      </c>
      <c r="D646">
        <v>11</v>
      </c>
      <c r="E646">
        <v>4</v>
      </c>
      <c r="F646" t="s">
        <v>15</v>
      </c>
      <c r="G646">
        <v>4</v>
      </c>
      <c r="H646">
        <v>4</v>
      </c>
      <c r="I646" t="s">
        <v>19</v>
      </c>
      <c r="J646">
        <v>2356</v>
      </c>
      <c r="K646">
        <v>3</v>
      </c>
      <c r="L646">
        <v>3</v>
      </c>
      <c r="M646">
        <v>6</v>
      </c>
    </row>
    <row r="647" spans="1:13">
      <c r="A647">
        <v>29</v>
      </c>
      <c r="B647" t="s">
        <v>13</v>
      </c>
      <c r="C647" t="s">
        <v>14</v>
      </c>
      <c r="D647">
        <v>1</v>
      </c>
      <c r="E647">
        <v>3</v>
      </c>
      <c r="F647" t="s">
        <v>21</v>
      </c>
      <c r="G647">
        <v>2</v>
      </c>
      <c r="H647">
        <v>3</v>
      </c>
      <c r="I647" t="s">
        <v>22</v>
      </c>
      <c r="J647">
        <v>2800</v>
      </c>
      <c r="K647">
        <v>6</v>
      </c>
      <c r="L647">
        <v>3</v>
      </c>
      <c r="M647">
        <v>3</v>
      </c>
    </row>
    <row r="648" spans="1:13">
      <c r="A648">
        <v>53</v>
      </c>
      <c r="B648" t="s">
        <v>17</v>
      </c>
      <c r="C648" t="s">
        <v>14</v>
      </c>
      <c r="D648">
        <v>8</v>
      </c>
      <c r="E648">
        <v>3</v>
      </c>
      <c r="F648" t="s">
        <v>23</v>
      </c>
      <c r="G648">
        <v>1</v>
      </c>
      <c r="H648">
        <v>4</v>
      </c>
      <c r="I648" t="s">
        <v>19</v>
      </c>
      <c r="J648">
        <v>11836</v>
      </c>
      <c r="K648">
        <v>5</v>
      </c>
      <c r="L648">
        <v>3</v>
      </c>
      <c r="M648">
        <v>2</v>
      </c>
    </row>
    <row r="649" spans="1:13">
      <c r="A649">
        <v>35</v>
      </c>
      <c r="B649" t="s">
        <v>17</v>
      </c>
      <c r="C649" t="s">
        <v>18</v>
      </c>
      <c r="D649">
        <v>25</v>
      </c>
      <c r="E649">
        <v>3</v>
      </c>
      <c r="F649" t="s">
        <v>24</v>
      </c>
      <c r="G649">
        <v>4</v>
      </c>
      <c r="H649">
        <v>2</v>
      </c>
      <c r="I649" t="s">
        <v>19</v>
      </c>
      <c r="J649">
        <v>10903</v>
      </c>
      <c r="K649">
        <v>3</v>
      </c>
      <c r="L649">
        <v>3</v>
      </c>
      <c r="M649">
        <v>13</v>
      </c>
    </row>
    <row r="650" spans="1:13">
      <c r="A650">
        <v>37</v>
      </c>
      <c r="B650" t="s">
        <v>17</v>
      </c>
      <c r="C650" t="s">
        <v>14</v>
      </c>
      <c r="D650">
        <v>21</v>
      </c>
      <c r="E650">
        <v>2</v>
      </c>
      <c r="F650" t="s">
        <v>21</v>
      </c>
      <c r="G650">
        <v>3</v>
      </c>
      <c r="H650">
        <v>4</v>
      </c>
      <c r="I650" t="s">
        <v>19</v>
      </c>
      <c r="J650">
        <v>2973</v>
      </c>
      <c r="K650">
        <v>5</v>
      </c>
      <c r="L650">
        <v>3</v>
      </c>
      <c r="M650">
        <v>5</v>
      </c>
    </row>
    <row r="651" spans="1:13">
      <c r="A651">
        <v>53</v>
      </c>
      <c r="B651" t="s">
        <v>17</v>
      </c>
      <c r="C651" t="s">
        <v>18</v>
      </c>
      <c r="D651">
        <v>23</v>
      </c>
      <c r="E651">
        <v>4</v>
      </c>
      <c r="F651" t="s">
        <v>15</v>
      </c>
      <c r="G651">
        <v>4</v>
      </c>
      <c r="H651">
        <v>4</v>
      </c>
      <c r="I651" t="s">
        <v>16</v>
      </c>
      <c r="J651">
        <v>14275</v>
      </c>
      <c r="K651">
        <v>6</v>
      </c>
      <c r="L651">
        <v>3</v>
      </c>
      <c r="M651">
        <v>12</v>
      </c>
    </row>
    <row r="652" spans="1:13">
      <c r="A652">
        <v>43</v>
      </c>
      <c r="B652" t="s">
        <v>17</v>
      </c>
      <c r="C652" t="s">
        <v>18</v>
      </c>
      <c r="D652">
        <v>1</v>
      </c>
      <c r="E652">
        <v>3</v>
      </c>
      <c r="F652" t="s">
        <v>15</v>
      </c>
      <c r="G652">
        <v>4</v>
      </c>
      <c r="H652">
        <v>4</v>
      </c>
      <c r="I652" t="s">
        <v>19</v>
      </c>
      <c r="J652">
        <v>5562</v>
      </c>
      <c r="K652">
        <v>4</v>
      </c>
      <c r="L652">
        <v>2</v>
      </c>
      <c r="M652">
        <v>5</v>
      </c>
    </row>
    <row r="653" spans="1:13">
      <c r="A653">
        <v>47</v>
      </c>
      <c r="B653" t="s">
        <v>17</v>
      </c>
      <c r="C653" t="s">
        <v>14</v>
      </c>
      <c r="D653">
        <v>2</v>
      </c>
      <c r="E653">
        <v>2</v>
      </c>
      <c r="F653" t="s">
        <v>23</v>
      </c>
      <c r="G653">
        <v>3</v>
      </c>
      <c r="H653">
        <v>4</v>
      </c>
      <c r="I653" t="s">
        <v>19</v>
      </c>
      <c r="J653">
        <v>4537</v>
      </c>
      <c r="K653">
        <v>0</v>
      </c>
      <c r="L653">
        <v>3</v>
      </c>
      <c r="M653">
        <v>7</v>
      </c>
    </row>
    <row r="654" spans="1:13">
      <c r="A654">
        <v>37</v>
      </c>
      <c r="B654" t="s">
        <v>17</v>
      </c>
      <c r="C654" t="s">
        <v>14</v>
      </c>
      <c r="D654">
        <v>19</v>
      </c>
      <c r="E654">
        <v>2</v>
      </c>
      <c r="F654" t="s">
        <v>21</v>
      </c>
      <c r="G654">
        <v>1</v>
      </c>
      <c r="H654">
        <v>2</v>
      </c>
      <c r="I654" t="s">
        <v>16</v>
      </c>
      <c r="J654">
        <v>7642</v>
      </c>
      <c r="K654">
        <v>1</v>
      </c>
      <c r="L654">
        <v>3</v>
      </c>
      <c r="M654">
        <v>10</v>
      </c>
    </row>
    <row r="655" spans="1:13">
      <c r="A655">
        <v>50</v>
      </c>
      <c r="B655" t="s">
        <v>17</v>
      </c>
      <c r="C655" t="s">
        <v>18</v>
      </c>
      <c r="D655">
        <v>2</v>
      </c>
      <c r="E655">
        <v>4</v>
      </c>
      <c r="F655" t="s">
        <v>15</v>
      </c>
      <c r="G655">
        <v>1</v>
      </c>
      <c r="H655">
        <v>1</v>
      </c>
      <c r="I655" t="s">
        <v>22</v>
      </c>
      <c r="J655">
        <v>17924</v>
      </c>
      <c r="K655">
        <v>1</v>
      </c>
      <c r="L655">
        <v>3</v>
      </c>
      <c r="M655">
        <v>31</v>
      </c>
    </row>
    <row r="656" spans="1:13">
      <c r="A656">
        <v>39</v>
      </c>
      <c r="B656" t="s">
        <v>17</v>
      </c>
      <c r="C656" t="s">
        <v>25</v>
      </c>
      <c r="D656">
        <v>2</v>
      </c>
      <c r="E656">
        <v>3</v>
      </c>
      <c r="F656" t="s">
        <v>15</v>
      </c>
      <c r="G656">
        <v>4</v>
      </c>
      <c r="H656">
        <v>4</v>
      </c>
      <c r="I656" t="s">
        <v>19</v>
      </c>
      <c r="J656">
        <v>5204</v>
      </c>
      <c r="K656">
        <v>8</v>
      </c>
      <c r="L656">
        <v>3</v>
      </c>
      <c r="M656">
        <v>5</v>
      </c>
    </row>
    <row r="657" spans="1:13">
      <c r="A657">
        <v>33</v>
      </c>
      <c r="B657" t="s">
        <v>17</v>
      </c>
      <c r="C657" t="s">
        <v>25</v>
      </c>
      <c r="D657">
        <v>3</v>
      </c>
      <c r="E657">
        <v>2</v>
      </c>
      <c r="F657" t="s">
        <v>25</v>
      </c>
      <c r="G657">
        <v>4</v>
      </c>
      <c r="H657">
        <v>2</v>
      </c>
      <c r="I657" t="s">
        <v>22</v>
      </c>
      <c r="J657">
        <v>2277</v>
      </c>
      <c r="K657">
        <v>3</v>
      </c>
      <c r="L657">
        <v>4</v>
      </c>
      <c r="M657">
        <v>4</v>
      </c>
    </row>
    <row r="658" spans="1:13">
      <c r="A658">
        <v>32</v>
      </c>
      <c r="B658" t="s">
        <v>13</v>
      </c>
      <c r="C658" t="s">
        <v>18</v>
      </c>
      <c r="D658">
        <v>25</v>
      </c>
      <c r="E658">
        <v>4</v>
      </c>
      <c r="F658" t="s">
        <v>15</v>
      </c>
      <c r="G658">
        <v>1</v>
      </c>
      <c r="H658">
        <v>4</v>
      </c>
      <c r="I658" t="s">
        <v>16</v>
      </c>
      <c r="J658">
        <v>2795</v>
      </c>
      <c r="K658">
        <v>1</v>
      </c>
      <c r="L658">
        <v>1</v>
      </c>
      <c r="M658">
        <v>1</v>
      </c>
    </row>
    <row r="659" spans="1:13">
      <c r="A659">
        <v>29</v>
      </c>
      <c r="B659" t="s">
        <v>17</v>
      </c>
      <c r="C659" t="s">
        <v>18</v>
      </c>
      <c r="D659">
        <v>7</v>
      </c>
      <c r="E659">
        <v>1</v>
      </c>
      <c r="F659" t="s">
        <v>21</v>
      </c>
      <c r="G659">
        <v>1</v>
      </c>
      <c r="H659">
        <v>4</v>
      </c>
      <c r="I659" t="s">
        <v>22</v>
      </c>
      <c r="J659">
        <v>2532</v>
      </c>
      <c r="K659">
        <v>6</v>
      </c>
      <c r="L659">
        <v>3</v>
      </c>
      <c r="M659">
        <v>4</v>
      </c>
    </row>
    <row r="660" spans="1:13">
      <c r="A660">
        <v>44</v>
      </c>
      <c r="B660" t="s">
        <v>17</v>
      </c>
      <c r="C660" t="s">
        <v>18</v>
      </c>
      <c r="D660">
        <v>9</v>
      </c>
      <c r="E660">
        <v>2</v>
      </c>
      <c r="F660" t="s">
        <v>15</v>
      </c>
      <c r="G660">
        <v>2</v>
      </c>
      <c r="H660">
        <v>1</v>
      </c>
      <c r="I660" t="s">
        <v>19</v>
      </c>
      <c r="J660">
        <v>2559</v>
      </c>
      <c r="K660">
        <v>1</v>
      </c>
      <c r="L660">
        <v>3</v>
      </c>
      <c r="M660">
        <v>8</v>
      </c>
    </row>
    <row r="661" spans="1:13">
      <c r="A661">
        <v>28</v>
      </c>
      <c r="B661" t="s">
        <v>17</v>
      </c>
      <c r="C661" t="s">
        <v>14</v>
      </c>
      <c r="D661">
        <v>5</v>
      </c>
      <c r="E661">
        <v>4</v>
      </c>
      <c r="F661" t="s">
        <v>21</v>
      </c>
      <c r="G661">
        <v>1</v>
      </c>
      <c r="H661">
        <v>4</v>
      </c>
      <c r="I661" t="s">
        <v>16</v>
      </c>
      <c r="J661">
        <v>4908</v>
      </c>
      <c r="K661">
        <v>1</v>
      </c>
      <c r="L661">
        <v>3</v>
      </c>
      <c r="M661">
        <v>4</v>
      </c>
    </row>
    <row r="662" spans="1:13">
      <c r="A662">
        <v>58</v>
      </c>
      <c r="B662" t="s">
        <v>13</v>
      </c>
      <c r="C662" t="s">
        <v>18</v>
      </c>
      <c r="D662">
        <v>2</v>
      </c>
      <c r="E662">
        <v>1</v>
      </c>
      <c r="F662" t="s">
        <v>15</v>
      </c>
      <c r="G662">
        <v>4</v>
      </c>
      <c r="H662">
        <v>4</v>
      </c>
      <c r="I662" t="s">
        <v>22</v>
      </c>
      <c r="J662">
        <v>2380</v>
      </c>
      <c r="K662">
        <v>9</v>
      </c>
      <c r="L662">
        <v>2</v>
      </c>
      <c r="M662">
        <v>1</v>
      </c>
    </row>
    <row r="663" spans="1:13">
      <c r="A663">
        <v>43</v>
      </c>
      <c r="B663" t="s">
        <v>17</v>
      </c>
      <c r="C663" t="s">
        <v>18</v>
      </c>
      <c r="D663">
        <v>8</v>
      </c>
      <c r="E663">
        <v>3</v>
      </c>
      <c r="F663" t="s">
        <v>15</v>
      </c>
      <c r="G663">
        <v>1</v>
      </c>
      <c r="H663">
        <v>2</v>
      </c>
      <c r="I663" t="s">
        <v>22</v>
      </c>
      <c r="J663">
        <v>4765</v>
      </c>
      <c r="K663">
        <v>4</v>
      </c>
      <c r="L663">
        <v>4</v>
      </c>
      <c r="M663">
        <v>1</v>
      </c>
    </row>
    <row r="664" spans="1:13">
      <c r="A664">
        <v>20</v>
      </c>
      <c r="B664" t="s">
        <v>13</v>
      </c>
      <c r="C664" t="s">
        <v>14</v>
      </c>
      <c r="D664">
        <v>2</v>
      </c>
      <c r="E664">
        <v>3</v>
      </c>
      <c r="F664" t="s">
        <v>21</v>
      </c>
      <c r="G664">
        <v>3</v>
      </c>
      <c r="H664">
        <v>3</v>
      </c>
      <c r="I664" t="s">
        <v>16</v>
      </c>
      <c r="J664">
        <v>2044</v>
      </c>
      <c r="K664">
        <v>1</v>
      </c>
      <c r="L664">
        <v>2</v>
      </c>
      <c r="M664">
        <v>2</v>
      </c>
    </row>
    <row r="665" spans="1:13">
      <c r="A665">
        <v>21</v>
      </c>
      <c r="B665" t="s">
        <v>13</v>
      </c>
      <c r="C665" t="s">
        <v>18</v>
      </c>
      <c r="D665">
        <v>18</v>
      </c>
      <c r="E665">
        <v>1</v>
      </c>
      <c r="F665" t="s">
        <v>20</v>
      </c>
      <c r="G665">
        <v>4</v>
      </c>
      <c r="H665">
        <v>4</v>
      </c>
      <c r="I665" t="s">
        <v>16</v>
      </c>
      <c r="J665">
        <v>2693</v>
      </c>
      <c r="K665">
        <v>1</v>
      </c>
      <c r="L665">
        <v>2</v>
      </c>
      <c r="M665">
        <v>1</v>
      </c>
    </row>
    <row r="666" spans="1:13">
      <c r="A666">
        <v>36</v>
      </c>
      <c r="B666" t="s">
        <v>17</v>
      </c>
      <c r="C666" t="s">
        <v>18</v>
      </c>
      <c r="D666">
        <v>14</v>
      </c>
      <c r="E666">
        <v>1</v>
      </c>
      <c r="F666" t="s">
        <v>15</v>
      </c>
      <c r="G666">
        <v>3</v>
      </c>
      <c r="H666">
        <v>4</v>
      </c>
      <c r="I666" t="s">
        <v>19</v>
      </c>
      <c r="J666">
        <v>6586</v>
      </c>
      <c r="K666">
        <v>0</v>
      </c>
      <c r="L666">
        <v>2</v>
      </c>
      <c r="M666">
        <v>16</v>
      </c>
    </row>
    <row r="667" spans="1:13">
      <c r="A667">
        <v>47</v>
      </c>
      <c r="B667" t="s">
        <v>17</v>
      </c>
      <c r="C667" t="s">
        <v>14</v>
      </c>
      <c r="D667">
        <v>2</v>
      </c>
      <c r="E667">
        <v>4</v>
      </c>
      <c r="F667" t="s">
        <v>15</v>
      </c>
      <c r="G667">
        <v>4</v>
      </c>
      <c r="H667">
        <v>4</v>
      </c>
      <c r="I667" t="s">
        <v>16</v>
      </c>
      <c r="J667">
        <v>3294</v>
      </c>
      <c r="K667">
        <v>1</v>
      </c>
      <c r="L667">
        <v>2</v>
      </c>
      <c r="M667">
        <v>3</v>
      </c>
    </row>
    <row r="668" spans="1:13">
      <c r="A668">
        <v>22</v>
      </c>
      <c r="B668" t="s">
        <v>13</v>
      </c>
      <c r="C668" t="s">
        <v>18</v>
      </c>
      <c r="D668">
        <v>3</v>
      </c>
      <c r="E668">
        <v>1</v>
      </c>
      <c r="F668" t="s">
        <v>15</v>
      </c>
      <c r="G668">
        <v>2</v>
      </c>
      <c r="H668">
        <v>3</v>
      </c>
      <c r="I668" t="s">
        <v>19</v>
      </c>
      <c r="J668">
        <v>4171</v>
      </c>
      <c r="K668">
        <v>0</v>
      </c>
      <c r="L668">
        <v>4</v>
      </c>
      <c r="M668">
        <v>3</v>
      </c>
    </row>
    <row r="669" spans="1:13">
      <c r="A669">
        <v>41</v>
      </c>
      <c r="B669" t="s">
        <v>13</v>
      </c>
      <c r="C669" t="s">
        <v>18</v>
      </c>
      <c r="D669">
        <v>2</v>
      </c>
      <c r="E669">
        <v>4</v>
      </c>
      <c r="F669" t="s">
        <v>15</v>
      </c>
      <c r="G669">
        <v>2</v>
      </c>
      <c r="H669">
        <v>4</v>
      </c>
      <c r="I669" t="s">
        <v>22</v>
      </c>
      <c r="J669">
        <v>2778</v>
      </c>
      <c r="K669">
        <v>4</v>
      </c>
      <c r="L669">
        <v>2</v>
      </c>
      <c r="M669">
        <v>7</v>
      </c>
    </row>
    <row r="670" spans="1:13">
      <c r="A670">
        <v>28</v>
      </c>
      <c r="B670" t="s">
        <v>17</v>
      </c>
      <c r="C670" t="s">
        <v>18</v>
      </c>
      <c r="D670">
        <v>9</v>
      </c>
      <c r="E670">
        <v>3</v>
      </c>
      <c r="F670" t="s">
        <v>21</v>
      </c>
      <c r="G670">
        <v>3</v>
      </c>
      <c r="H670">
        <v>3</v>
      </c>
      <c r="I670" t="s">
        <v>22</v>
      </c>
      <c r="J670">
        <v>2377</v>
      </c>
      <c r="K670">
        <v>5</v>
      </c>
      <c r="L670">
        <v>3</v>
      </c>
      <c r="M670">
        <v>2</v>
      </c>
    </row>
    <row r="671" spans="1:13">
      <c r="A671">
        <v>39</v>
      </c>
      <c r="B671" t="s">
        <v>13</v>
      </c>
      <c r="C671" t="s">
        <v>18</v>
      </c>
      <c r="D671">
        <v>6</v>
      </c>
      <c r="E671">
        <v>3</v>
      </c>
      <c r="F671" t="s">
        <v>21</v>
      </c>
      <c r="G671">
        <v>4</v>
      </c>
      <c r="H671">
        <v>1</v>
      </c>
      <c r="I671" t="s">
        <v>19</v>
      </c>
      <c r="J671">
        <v>2404</v>
      </c>
      <c r="K671">
        <v>7</v>
      </c>
      <c r="L671">
        <v>1</v>
      </c>
      <c r="M671">
        <v>2</v>
      </c>
    </row>
    <row r="672" spans="1:13">
      <c r="A672">
        <v>27</v>
      </c>
      <c r="B672" t="s">
        <v>17</v>
      </c>
      <c r="C672" t="s">
        <v>18</v>
      </c>
      <c r="D672">
        <v>4</v>
      </c>
      <c r="E672">
        <v>3</v>
      </c>
      <c r="F672" t="s">
        <v>15</v>
      </c>
      <c r="G672">
        <v>2</v>
      </c>
      <c r="H672">
        <v>3</v>
      </c>
      <c r="I672" t="s">
        <v>16</v>
      </c>
      <c r="J672">
        <v>2318</v>
      </c>
      <c r="K672">
        <v>1</v>
      </c>
      <c r="L672">
        <v>3</v>
      </c>
      <c r="M672">
        <v>1</v>
      </c>
    </row>
    <row r="673" spans="1:13">
      <c r="A673">
        <v>34</v>
      </c>
      <c r="B673" t="s">
        <v>17</v>
      </c>
      <c r="C673" t="s">
        <v>18</v>
      </c>
      <c r="D673">
        <v>10</v>
      </c>
      <c r="E673">
        <v>3</v>
      </c>
      <c r="F673" t="s">
        <v>15</v>
      </c>
      <c r="G673">
        <v>2</v>
      </c>
      <c r="H673">
        <v>2</v>
      </c>
      <c r="I673" t="s">
        <v>22</v>
      </c>
      <c r="J673">
        <v>2008</v>
      </c>
      <c r="K673">
        <v>1</v>
      </c>
      <c r="L673">
        <v>3</v>
      </c>
      <c r="M673">
        <v>1</v>
      </c>
    </row>
    <row r="674" spans="1:13">
      <c r="A674">
        <v>42</v>
      </c>
      <c r="B674" t="s">
        <v>17</v>
      </c>
      <c r="C674" t="s">
        <v>14</v>
      </c>
      <c r="D674">
        <v>14</v>
      </c>
      <c r="E674">
        <v>2</v>
      </c>
      <c r="F674" t="s">
        <v>21</v>
      </c>
      <c r="G674">
        <v>3</v>
      </c>
      <c r="H674">
        <v>3</v>
      </c>
      <c r="I674" t="s">
        <v>16</v>
      </c>
      <c r="J674">
        <v>6244</v>
      </c>
      <c r="K674">
        <v>7</v>
      </c>
      <c r="L674">
        <v>3</v>
      </c>
      <c r="M674">
        <v>5</v>
      </c>
    </row>
    <row r="675" spans="1:13">
      <c r="A675">
        <v>33</v>
      </c>
      <c r="B675" t="s">
        <v>17</v>
      </c>
      <c r="C675" t="s">
        <v>18</v>
      </c>
      <c r="D675">
        <v>1</v>
      </c>
      <c r="E675">
        <v>4</v>
      </c>
      <c r="F675" t="s">
        <v>20</v>
      </c>
      <c r="G675">
        <v>3</v>
      </c>
      <c r="H675">
        <v>1</v>
      </c>
      <c r="I675" t="s">
        <v>16</v>
      </c>
      <c r="J675">
        <v>2799</v>
      </c>
      <c r="K675">
        <v>3</v>
      </c>
      <c r="L675">
        <v>3</v>
      </c>
      <c r="M675">
        <v>3</v>
      </c>
    </row>
    <row r="676" spans="1:13">
      <c r="A676">
        <v>58</v>
      </c>
      <c r="B676" t="s">
        <v>17</v>
      </c>
      <c r="C676" t="s">
        <v>18</v>
      </c>
      <c r="D676">
        <v>5</v>
      </c>
      <c r="E676">
        <v>3</v>
      </c>
      <c r="F676" t="s">
        <v>24</v>
      </c>
      <c r="G676">
        <v>3</v>
      </c>
      <c r="H676">
        <v>2</v>
      </c>
      <c r="I676" t="s">
        <v>22</v>
      </c>
      <c r="J676">
        <v>10552</v>
      </c>
      <c r="K676">
        <v>2</v>
      </c>
      <c r="L676">
        <v>3</v>
      </c>
      <c r="M676">
        <v>6</v>
      </c>
    </row>
    <row r="677" spans="1:13">
      <c r="A677">
        <v>31</v>
      </c>
      <c r="B677" t="s">
        <v>17</v>
      </c>
      <c r="C677" t="s">
        <v>14</v>
      </c>
      <c r="D677">
        <v>7</v>
      </c>
      <c r="E677">
        <v>4</v>
      </c>
      <c r="F677" t="s">
        <v>15</v>
      </c>
      <c r="G677">
        <v>2</v>
      </c>
      <c r="H677">
        <v>3</v>
      </c>
      <c r="I677" t="s">
        <v>19</v>
      </c>
      <c r="J677">
        <v>2329</v>
      </c>
      <c r="K677">
        <v>3</v>
      </c>
      <c r="L677">
        <v>4</v>
      </c>
      <c r="M677">
        <v>7</v>
      </c>
    </row>
    <row r="678" spans="1:13">
      <c r="A678">
        <v>35</v>
      </c>
      <c r="B678" t="s">
        <v>17</v>
      </c>
      <c r="C678" t="s">
        <v>18</v>
      </c>
      <c r="D678">
        <v>21</v>
      </c>
      <c r="E678">
        <v>1</v>
      </c>
      <c r="F678" t="s">
        <v>15</v>
      </c>
      <c r="G678">
        <v>4</v>
      </c>
      <c r="H678">
        <v>4</v>
      </c>
      <c r="I678" t="s">
        <v>19</v>
      </c>
      <c r="J678">
        <v>4014</v>
      </c>
      <c r="K678">
        <v>1</v>
      </c>
      <c r="L678">
        <v>1</v>
      </c>
      <c r="M678">
        <v>10</v>
      </c>
    </row>
    <row r="679" spans="1:13">
      <c r="A679">
        <v>49</v>
      </c>
      <c r="B679" t="s">
        <v>17</v>
      </c>
      <c r="C679" t="s">
        <v>18</v>
      </c>
      <c r="D679">
        <v>8</v>
      </c>
      <c r="E679">
        <v>2</v>
      </c>
      <c r="F679" t="s">
        <v>20</v>
      </c>
      <c r="G679">
        <v>1</v>
      </c>
      <c r="H679">
        <v>2</v>
      </c>
      <c r="I679" t="s">
        <v>19</v>
      </c>
      <c r="J679">
        <v>7403</v>
      </c>
      <c r="K679">
        <v>4</v>
      </c>
      <c r="L679">
        <v>2</v>
      </c>
      <c r="M679">
        <v>26</v>
      </c>
    </row>
    <row r="680" spans="1:13">
      <c r="A680">
        <v>48</v>
      </c>
      <c r="B680" t="s">
        <v>17</v>
      </c>
      <c r="C680" t="s">
        <v>18</v>
      </c>
      <c r="D680">
        <v>20</v>
      </c>
      <c r="E680">
        <v>4</v>
      </c>
      <c r="F680" t="s">
        <v>21</v>
      </c>
      <c r="G680">
        <v>4</v>
      </c>
      <c r="H680">
        <v>3</v>
      </c>
      <c r="I680" t="s">
        <v>19</v>
      </c>
      <c r="J680">
        <v>2259</v>
      </c>
      <c r="K680">
        <v>4</v>
      </c>
      <c r="L680">
        <v>2</v>
      </c>
      <c r="M680">
        <v>0</v>
      </c>
    </row>
    <row r="681" spans="1:13">
      <c r="A681">
        <v>31</v>
      </c>
      <c r="B681" t="s">
        <v>17</v>
      </c>
      <c r="C681" t="s">
        <v>14</v>
      </c>
      <c r="D681">
        <v>20</v>
      </c>
      <c r="E681">
        <v>2</v>
      </c>
      <c r="F681" t="s">
        <v>23</v>
      </c>
      <c r="G681">
        <v>4</v>
      </c>
      <c r="H681">
        <v>3</v>
      </c>
      <c r="I681" t="s">
        <v>19</v>
      </c>
      <c r="J681">
        <v>6932</v>
      </c>
      <c r="K681">
        <v>1</v>
      </c>
      <c r="L681">
        <v>2</v>
      </c>
      <c r="M681">
        <v>9</v>
      </c>
    </row>
    <row r="682" spans="1:13">
      <c r="A682">
        <v>36</v>
      </c>
      <c r="B682" t="s">
        <v>17</v>
      </c>
      <c r="C682" t="s">
        <v>18</v>
      </c>
      <c r="D682">
        <v>7</v>
      </c>
      <c r="E682">
        <v>4</v>
      </c>
      <c r="F682" t="s">
        <v>20</v>
      </c>
      <c r="G682">
        <v>2</v>
      </c>
      <c r="H682">
        <v>4</v>
      </c>
      <c r="I682" t="s">
        <v>16</v>
      </c>
      <c r="J682">
        <v>4678</v>
      </c>
      <c r="K682">
        <v>2</v>
      </c>
      <c r="L682">
        <v>3</v>
      </c>
      <c r="M682">
        <v>6</v>
      </c>
    </row>
    <row r="683" spans="1:13">
      <c r="A683">
        <v>38</v>
      </c>
      <c r="B683" t="s">
        <v>17</v>
      </c>
      <c r="C683" t="s">
        <v>18</v>
      </c>
      <c r="D683">
        <v>1</v>
      </c>
      <c r="E683">
        <v>3</v>
      </c>
      <c r="F683" t="s">
        <v>24</v>
      </c>
      <c r="G683">
        <v>4</v>
      </c>
      <c r="H683">
        <v>1</v>
      </c>
      <c r="I683" t="s">
        <v>19</v>
      </c>
      <c r="J683">
        <v>13582</v>
      </c>
      <c r="K683">
        <v>1</v>
      </c>
      <c r="L683">
        <v>3</v>
      </c>
      <c r="M683">
        <v>15</v>
      </c>
    </row>
    <row r="684" spans="1:13">
      <c r="A684">
        <v>32</v>
      </c>
      <c r="B684" t="s">
        <v>17</v>
      </c>
      <c r="C684" t="s">
        <v>18</v>
      </c>
      <c r="D684">
        <v>1</v>
      </c>
      <c r="E684">
        <v>3</v>
      </c>
      <c r="F684" t="s">
        <v>15</v>
      </c>
      <c r="G684">
        <v>3</v>
      </c>
      <c r="H684">
        <v>2</v>
      </c>
      <c r="I684" t="s">
        <v>19</v>
      </c>
      <c r="J684">
        <v>2332</v>
      </c>
      <c r="K684">
        <v>6</v>
      </c>
      <c r="L684">
        <v>3</v>
      </c>
      <c r="M684">
        <v>3</v>
      </c>
    </row>
    <row r="685" spans="1:13">
      <c r="A685">
        <v>25</v>
      </c>
      <c r="B685" t="s">
        <v>13</v>
      </c>
      <c r="C685" t="s">
        <v>14</v>
      </c>
      <c r="D685">
        <v>19</v>
      </c>
      <c r="E685">
        <v>2</v>
      </c>
      <c r="F685" t="s">
        <v>23</v>
      </c>
      <c r="G685">
        <v>3</v>
      </c>
      <c r="H685">
        <v>2</v>
      </c>
      <c r="I685" t="s">
        <v>19</v>
      </c>
      <c r="J685">
        <v>2413</v>
      </c>
      <c r="K685">
        <v>1</v>
      </c>
      <c r="L685">
        <v>3</v>
      </c>
      <c r="M685">
        <v>1</v>
      </c>
    </row>
    <row r="686" spans="1:13">
      <c r="A686">
        <v>40</v>
      </c>
      <c r="B686" t="s">
        <v>17</v>
      </c>
      <c r="C686" t="s">
        <v>14</v>
      </c>
      <c r="D686">
        <v>10</v>
      </c>
      <c r="E686">
        <v>4</v>
      </c>
      <c r="F686" t="s">
        <v>23</v>
      </c>
      <c r="G686">
        <v>1</v>
      </c>
      <c r="H686">
        <v>2</v>
      </c>
      <c r="I686" t="s">
        <v>22</v>
      </c>
      <c r="J686">
        <v>9705</v>
      </c>
      <c r="K686">
        <v>2</v>
      </c>
      <c r="L686">
        <v>2</v>
      </c>
      <c r="M686">
        <v>1</v>
      </c>
    </row>
    <row r="687" spans="1:13">
      <c r="A687">
        <v>26</v>
      </c>
      <c r="B687" t="s">
        <v>17</v>
      </c>
      <c r="C687" t="s">
        <v>14</v>
      </c>
      <c r="D687">
        <v>1</v>
      </c>
      <c r="E687">
        <v>3</v>
      </c>
      <c r="F687" t="s">
        <v>21</v>
      </c>
      <c r="G687">
        <v>3</v>
      </c>
      <c r="H687">
        <v>1</v>
      </c>
      <c r="I687" t="s">
        <v>16</v>
      </c>
      <c r="J687">
        <v>4294</v>
      </c>
      <c r="K687">
        <v>1</v>
      </c>
      <c r="L687">
        <v>3</v>
      </c>
      <c r="M687">
        <v>7</v>
      </c>
    </row>
    <row r="688" spans="1:13">
      <c r="A688">
        <v>41</v>
      </c>
      <c r="B688" t="s">
        <v>17</v>
      </c>
      <c r="C688" t="s">
        <v>18</v>
      </c>
      <c r="D688">
        <v>6</v>
      </c>
      <c r="E688">
        <v>3</v>
      </c>
      <c r="F688" t="s">
        <v>21</v>
      </c>
      <c r="G688">
        <v>4</v>
      </c>
      <c r="H688">
        <v>1</v>
      </c>
      <c r="I688" t="s">
        <v>16</v>
      </c>
      <c r="J688">
        <v>4721</v>
      </c>
      <c r="K688">
        <v>2</v>
      </c>
      <c r="L688">
        <v>3</v>
      </c>
      <c r="M688">
        <v>18</v>
      </c>
    </row>
    <row r="689" spans="1:13">
      <c r="A689">
        <v>36</v>
      </c>
      <c r="B689" t="s">
        <v>17</v>
      </c>
      <c r="C689" t="s">
        <v>18</v>
      </c>
      <c r="D689">
        <v>2</v>
      </c>
      <c r="E689">
        <v>4</v>
      </c>
      <c r="F689" t="s">
        <v>21</v>
      </c>
      <c r="G689">
        <v>3</v>
      </c>
      <c r="H689">
        <v>3</v>
      </c>
      <c r="I689" t="s">
        <v>16</v>
      </c>
      <c r="J689">
        <v>2519</v>
      </c>
      <c r="K689">
        <v>4</v>
      </c>
      <c r="L689">
        <v>3</v>
      </c>
      <c r="M689">
        <v>11</v>
      </c>
    </row>
    <row r="690" spans="1:13">
      <c r="A690">
        <v>19</v>
      </c>
      <c r="B690" t="s">
        <v>13</v>
      </c>
      <c r="C690" t="s">
        <v>14</v>
      </c>
      <c r="D690">
        <v>21</v>
      </c>
      <c r="E690">
        <v>3</v>
      </c>
      <c r="F690" t="s">
        <v>20</v>
      </c>
      <c r="G690">
        <v>4</v>
      </c>
      <c r="H690">
        <v>2</v>
      </c>
      <c r="I690" t="s">
        <v>16</v>
      </c>
      <c r="J690">
        <v>2121</v>
      </c>
      <c r="K690">
        <v>1</v>
      </c>
      <c r="L690">
        <v>4</v>
      </c>
      <c r="M690">
        <v>1</v>
      </c>
    </row>
    <row r="691" spans="1:13">
      <c r="A691">
        <v>20</v>
      </c>
      <c r="B691" t="s">
        <v>13</v>
      </c>
      <c r="C691" t="s">
        <v>18</v>
      </c>
      <c r="D691">
        <v>4</v>
      </c>
      <c r="E691">
        <v>3</v>
      </c>
      <c r="F691" t="s">
        <v>24</v>
      </c>
      <c r="G691">
        <v>1</v>
      </c>
      <c r="H691">
        <v>1</v>
      </c>
      <c r="I691" t="s">
        <v>16</v>
      </c>
      <c r="J691">
        <v>2973</v>
      </c>
      <c r="K691">
        <v>1</v>
      </c>
      <c r="L691">
        <v>3</v>
      </c>
      <c r="M691">
        <v>1</v>
      </c>
    </row>
    <row r="692" spans="1:13">
      <c r="A692">
        <v>31</v>
      </c>
      <c r="B692" t="s">
        <v>17</v>
      </c>
      <c r="C692" t="s">
        <v>18</v>
      </c>
      <c r="D692">
        <v>12</v>
      </c>
      <c r="E692">
        <v>3</v>
      </c>
      <c r="F692" t="s">
        <v>21</v>
      </c>
      <c r="G692">
        <v>4</v>
      </c>
      <c r="H692">
        <v>4</v>
      </c>
      <c r="I692" t="s">
        <v>19</v>
      </c>
      <c r="J692">
        <v>5855</v>
      </c>
      <c r="K692">
        <v>0</v>
      </c>
      <c r="L692">
        <v>1</v>
      </c>
      <c r="M692">
        <v>9</v>
      </c>
    </row>
    <row r="693" spans="1:13">
      <c r="A693">
        <v>40</v>
      </c>
      <c r="B693" t="s">
        <v>17</v>
      </c>
      <c r="C693" t="s">
        <v>18</v>
      </c>
      <c r="D693">
        <v>9</v>
      </c>
      <c r="E693">
        <v>4</v>
      </c>
      <c r="F693" t="s">
        <v>21</v>
      </c>
      <c r="G693">
        <v>4</v>
      </c>
      <c r="H693">
        <v>2</v>
      </c>
      <c r="I693" t="s">
        <v>22</v>
      </c>
      <c r="J693">
        <v>3617</v>
      </c>
      <c r="K693">
        <v>8</v>
      </c>
      <c r="L693">
        <v>3</v>
      </c>
      <c r="M693">
        <v>1</v>
      </c>
    </row>
    <row r="694" spans="1:13">
      <c r="A694">
        <v>32</v>
      </c>
      <c r="B694" t="s">
        <v>17</v>
      </c>
      <c r="C694" t="s">
        <v>18</v>
      </c>
      <c r="D694">
        <v>3</v>
      </c>
      <c r="E694">
        <v>4</v>
      </c>
      <c r="F694" t="s">
        <v>21</v>
      </c>
      <c r="G694">
        <v>3</v>
      </c>
      <c r="H694">
        <v>1</v>
      </c>
      <c r="I694" t="s">
        <v>19</v>
      </c>
      <c r="J694">
        <v>6725</v>
      </c>
      <c r="K694">
        <v>1</v>
      </c>
      <c r="L694">
        <v>4</v>
      </c>
      <c r="M694">
        <v>8</v>
      </c>
    </row>
    <row r="695" spans="1:13">
      <c r="A695">
        <v>36</v>
      </c>
      <c r="B695" t="s">
        <v>13</v>
      </c>
      <c r="C695" t="s">
        <v>14</v>
      </c>
      <c r="D695">
        <v>3</v>
      </c>
      <c r="E695">
        <v>1</v>
      </c>
      <c r="F695" t="s">
        <v>15</v>
      </c>
      <c r="G695">
        <v>3</v>
      </c>
      <c r="H695">
        <v>4</v>
      </c>
      <c r="I695" t="s">
        <v>19</v>
      </c>
      <c r="J695">
        <v>10325</v>
      </c>
      <c r="K695">
        <v>1</v>
      </c>
      <c r="L695">
        <v>3</v>
      </c>
      <c r="M695">
        <v>16</v>
      </c>
    </row>
    <row r="696" spans="1:13">
      <c r="A696">
        <v>33</v>
      </c>
      <c r="B696" t="s">
        <v>17</v>
      </c>
      <c r="C696" t="s">
        <v>18</v>
      </c>
      <c r="D696">
        <v>1</v>
      </c>
      <c r="E696">
        <v>3</v>
      </c>
      <c r="F696" t="s">
        <v>15</v>
      </c>
      <c r="G696">
        <v>2</v>
      </c>
      <c r="H696">
        <v>4</v>
      </c>
      <c r="I696" t="s">
        <v>16</v>
      </c>
      <c r="J696">
        <v>6949</v>
      </c>
      <c r="K696">
        <v>0</v>
      </c>
      <c r="L696">
        <v>3</v>
      </c>
      <c r="M696">
        <v>5</v>
      </c>
    </row>
    <row r="697" spans="1:13">
      <c r="A697">
        <v>37</v>
      </c>
      <c r="B697" t="s">
        <v>13</v>
      </c>
      <c r="C697" t="s">
        <v>14</v>
      </c>
      <c r="D697">
        <v>1</v>
      </c>
      <c r="E697">
        <v>4</v>
      </c>
      <c r="F697" t="s">
        <v>15</v>
      </c>
      <c r="G697">
        <v>1</v>
      </c>
      <c r="H697">
        <v>3</v>
      </c>
      <c r="I697" t="s">
        <v>19</v>
      </c>
      <c r="J697">
        <v>10609</v>
      </c>
      <c r="K697">
        <v>5</v>
      </c>
      <c r="L697">
        <v>1</v>
      </c>
      <c r="M697">
        <v>14</v>
      </c>
    </row>
    <row r="698" spans="1:13">
      <c r="A698">
        <v>45</v>
      </c>
      <c r="B698" t="s">
        <v>17</v>
      </c>
      <c r="C698" t="s">
        <v>18</v>
      </c>
      <c r="D698">
        <v>4</v>
      </c>
      <c r="E698">
        <v>2</v>
      </c>
      <c r="F698" t="s">
        <v>15</v>
      </c>
      <c r="G698">
        <v>3</v>
      </c>
      <c r="H698">
        <v>2</v>
      </c>
      <c r="I698" t="s">
        <v>19</v>
      </c>
      <c r="J698">
        <v>4447</v>
      </c>
      <c r="K698">
        <v>1</v>
      </c>
      <c r="L698">
        <v>2</v>
      </c>
      <c r="M698">
        <v>9</v>
      </c>
    </row>
    <row r="699" spans="1:13">
      <c r="A699">
        <v>29</v>
      </c>
      <c r="B699" t="s">
        <v>17</v>
      </c>
      <c r="C699" t="s">
        <v>14</v>
      </c>
      <c r="D699">
        <v>20</v>
      </c>
      <c r="E699">
        <v>3</v>
      </c>
      <c r="F699" t="s">
        <v>24</v>
      </c>
      <c r="G699">
        <v>3</v>
      </c>
      <c r="H699">
        <v>4</v>
      </c>
      <c r="I699" t="s">
        <v>19</v>
      </c>
      <c r="J699">
        <v>2157</v>
      </c>
      <c r="K699">
        <v>1</v>
      </c>
      <c r="L699">
        <v>3</v>
      </c>
      <c r="M699">
        <v>3</v>
      </c>
    </row>
    <row r="700" spans="1:13">
      <c r="A700">
        <v>35</v>
      </c>
      <c r="B700" t="s">
        <v>17</v>
      </c>
      <c r="C700" t="s">
        <v>14</v>
      </c>
      <c r="D700">
        <v>18</v>
      </c>
      <c r="E700">
        <v>3</v>
      </c>
      <c r="F700" t="s">
        <v>21</v>
      </c>
      <c r="G700">
        <v>3</v>
      </c>
      <c r="H700">
        <v>3</v>
      </c>
      <c r="I700" t="s">
        <v>19</v>
      </c>
      <c r="J700">
        <v>4601</v>
      </c>
      <c r="K700">
        <v>1</v>
      </c>
      <c r="L700">
        <v>3</v>
      </c>
      <c r="M700">
        <v>5</v>
      </c>
    </row>
    <row r="701" spans="1:13">
      <c r="A701">
        <v>52</v>
      </c>
      <c r="B701" t="s">
        <v>17</v>
      </c>
      <c r="C701" t="s">
        <v>18</v>
      </c>
      <c r="D701">
        <v>1</v>
      </c>
      <c r="E701">
        <v>2</v>
      </c>
      <c r="F701" t="s">
        <v>15</v>
      </c>
      <c r="G701">
        <v>4</v>
      </c>
      <c r="H701">
        <v>4</v>
      </c>
      <c r="I701" t="s">
        <v>19</v>
      </c>
      <c r="J701">
        <v>17099</v>
      </c>
      <c r="K701">
        <v>2</v>
      </c>
      <c r="L701">
        <v>2</v>
      </c>
      <c r="M701">
        <v>9</v>
      </c>
    </row>
    <row r="702" spans="1:13">
      <c r="A702">
        <v>58</v>
      </c>
      <c r="B702" t="s">
        <v>13</v>
      </c>
      <c r="C702" t="s">
        <v>18</v>
      </c>
      <c r="D702">
        <v>2</v>
      </c>
      <c r="E702">
        <v>3</v>
      </c>
      <c r="F702" t="s">
        <v>24</v>
      </c>
      <c r="G702">
        <v>4</v>
      </c>
      <c r="H702">
        <v>3</v>
      </c>
      <c r="I702" t="s">
        <v>16</v>
      </c>
      <c r="J702">
        <v>2479</v>
      </c>
      <c r="K702">
        <v>4</v>
      </c>
      <c r="L702">
        <v>3</v>
      </c>
      <c r="M702">
        <v>1</v>
      </c>
    </row>
    <row r="703" spans="1:13">
      <c r="A703">
        <v>53</v>
      </c>
      <c r="B703" t="s">
        <v>17</v>
      </c>
      <c r="C703" t="s">
        <v>14</v>
      </c>
      <c r="D703">
        <v>2</v>
      </c>
      <c r="E703">
        <v>2</v>
      </c>
      <c r="F703" t="s">
        <v>21</v>
      </c>
      <c r="G703">
        <v>3</v>
      </c>
      <c r="H703">
        <v>3</v>
      </c>
      <c r="I703" t="s">
        <v>22</v>
      </c>
      <c r="J703">
        <v>14852</v>
      </c>
      <c r="K703">
        <v>6</v>
      </c>
      <c r="L703">
        <v>4</v>
      </c>
      <c r="M703">
        <v>17</v>
      </c>
    </row>
    <row r="704" spans="1:13">
      <c r="A704">
        <v>30</v>
      </c>
      <c r="B704" t="s">
        <v>17</v>
      </c>
      <c r="C704" t="s">
        <v>14</v>
      </c>
      <c r="D704">
        <v>8</v>
      </c>
      <c r="E704">
        <v>2</v>
      </c>
      <c r="F704" t="s">
        <v>20</v>
      </c>
      <c r="G704">
        <v>3</v>
      </c>
      <c r="H704">
        <v>3</v>
      </c>
      <c r="I704" t="s">
        <v>22</v>
      </c>
      <c r="J704">
        <v>7264</v>
      </c>
      <c r="K704">
        <v>5</v>
      </c>
      <c r="L704">
        <v>4</v>
      </c>
      <c r="M704">
        <v>8</v>
      </c>
    </row>
    <row r="705" spans="1:13">
      <c r="A705">
        <v>38</v>
      </c>
      <c r="B705" t="s">
        <v>17</v>
      </c>
      <c r="C705" t="s">
        <v>14</v>
      </c>
      <c r="D705">
        <v>10</v>
      </c>
      <c r="E705">
        <v>3</v>
      </c>
      <c r="F705" t="s">
        <v>24</v>
      </c>
      <c r="G705">
        <v>3</v>
      </c>
      <c r="H705">
        <v>4</v>
      </c>
      <c r="I705" t="s">
        <v>16</v>
      </c>
      <c r="J705">
        <v>5666</v>
      </c>
      <c r="K705">
        <v>1</v>
      </c>
      <c r="L705">
        <v>3</v>
      </c>
      <c r="M705">
        <v>5</v>
      </c>
    </row>
    <row r="706" spans="1:13">
      <c r="A706">
        <v>35</v>
      </c>
      <c r="B706" t="s">
        <v>17</v>
      </c>
      <c r="C706" t="s">
        <v>14</v>
      </c>
      <c r="D706">
        <v>3</v>
      </c>
      <c r="E706">
        <v>4</v>
      </c>
      <c r="F706" t="s">
        <v>15</v>
      </c>
      <c r="G706">
        <v>4</v>
      </c>
      <c r="H706">
        <v>4</v>
      </c>
      <c r="I706" t="s">
        <v>22</v>
      </c>
      <c r="J706">
        <v>7823</v>
      </c>
      <c r="K706">
        <v>6</v>
      </c>
      <c r="L706">
        <v>3</v>
      </c>
      <c r="M706">
        <v>10</v>
      </c>
    </row>
    <row r="707" spans="1:13">
      <c r="A707">
        <v>39</v>
      </c>
      <c r="B707" t="s">
        <v>17</v>
      </c>
      <c r="C707" t="s">
        <v>14</v>
      </c>
      <c r="D707">
        <v>2</v>
      </c>
      <c r="E707">
        <v>5</v>
      </c>
      <c r="F707" t="s">
        <v>15</v>
      </c>
      <c r="G707">
        <v>1</v>
      </c>
      <c r="H707">
        <v>3</v>
      </c>
      <c r="I707" t="s">
        <v>16</v>
      </c>
      <c r="J707">
        <v>7880</v>
      </c>
      <c r="K707">
        <v>0</v>
      </c>
      <c r="L707">
        <v>3</v>
      </c>
      <c r="M707">
        <v>8</v>
      </c>
    </row>
    <row r="708" spans="1:13">
      <c r="A708">
        <v>40</v>
      </c>
      <c r="B708" t="s">
        <v>13</v>
      </c>
      <c r="C708" t="s">
        <v>14</v>
      </c>
      <c r="D708">
        <v>24</v>
      </c>
      <c r="E708">
        <v>3</v>
      </c>
      <c r="F708" t="s">
        <v>15</v>
      </c>
      <c r="G708">
        <v>2</v>
      </c>
      <c r="H708">
        <v>2</v>
      </c>
      <c r="I708" t="s">
        <v>16</v>
      </c>
      <c r="J708">
        <v>13194</v>
      </c>
      <c r="K708">
        <v>4</v>
      </c>
      <c r="L708">
        <v>2</v>
      </c>
      <c r="M708">
        <v>1</v>
      </c>
    </row>
    <row r="709" spans="1:13">
      <c r="A709">
        <v>47</v>
      </c>
      <c r="B709" t="s">
        <v>17</v>
      </c>
      <c r="C709" t="s">
        <v>18</v>
      </c>
      <c r="D709">
        <v>16</v>
      </c>
      <c r="E709">
        <v>4</v>
      </c>
      <c r="F709" t="s">
        <v>21</v>
      </c>
      <c r="G709">
        <v>3</v>
      </c>
      <c r="H709">
        <v>3</v>
      </c>
      <c r="I709" t="s">
        <v>22</v>
      </c>
      <c r="J709">
        <v>5067</v>
      </c>
      <c r="K709">
        <v>1</v>
      </c>
      <c r="L709">
        <v>4</v>
      </c>
      <c r="M709">
        <v>19</v>
      </c>
    </row>
    <row r="710" spans="1:13">
      <c r="A710">
        <v>36</v>
      </c>
      <c r="B710" t="s">
        <v>17</v>
      </c>
      <c r="C710" t="s">
        <v>14</v>
      </c>
      <c r="D710">
        <v>8</v>
      </c>
      <c r="E710">
        <v>4</v>
      </c>
      <c r="F710" t="s">
        <v>24</v>
      </c>
      <c r="G710">
        <v>1</v>
      </c>
      <c r="H710">
        <v>4</v>
      </c>
      <c r="I710" t="s">
        <v>22</v>
      </c>
      <c r="J710">
        <v>5079</v>
      </c>
      <c r="K710">
        <v>4</v>
      </c>
      <c r="L710">
        <v>3</v>
      </c>
      <c r="M710">
        <v>7</v>
      </c>
    </row>
    <row r="711" spans="1:13">
      <c r="A711">
        <v>31</v>
      </c>
      <c r="B711" t="s">
        <v>13</v>
      </c>
      <c r="C711" t="s">
        <v>18</v>
      </c>
      <c r="D711">
        <v>9</v>
      </c>
      <c r="E711">
        <v>2</v>
      </c>
      <c r="F711" t="s">
        <v>21</v>
      </c>
      <c r="G711">
        <v>3</v>
      </c>
      <c r="H711">
        <v>1</v>
      </c>
      <c r="I711" t="s">
        <v>16</v>
      </c>
      <c r="J711">
        <v>2321</v>
      </c>
      <c r="K711">
        <v>0</v>
      </c>
      <c r="L711">
        <v>3</v>
      </c>
      <c r="M711">
        <v>3</v>
      </c>
    </row>
    <row r="712" spans="1:13">
      <c r="A712">
        <v>33</v>
      </c>
      <c r="B712" t="s">
        <v>17</v>
      </c>
      <c r="C712" t="s">
        <v>14</v>
      </c>
      <c r="D712">
        <v>17</v>
      </c>
      <c r="E712">
        <v>3</v>
      </c>
      <c r="F712" t="s">
        <v>15</v>
      </c>
      <c r="G712">
        <v>4</v>
      </c>
      <c r="H712">
        <v>3</v>
      </c>
      <c r="I712" t="s">
        <v>16</v>
      </c>
      <c r="J712">
        <v>17444</v>
      </c>
      <c r="K712">
        <v>1</v>
      </c>
      <c r="L712">
        <v>3</v>
      </c>
      <c r="M712">
        <v>10</v>
      </c>
    </row>
    <row r="713" spans="1:13">
      <c r="A713">
        <v>29</v>
      </c>
      <c r="B713" t="s">
        <v>13</v>
      </c>
      <c r="C713" t="s">
        <v>18</v>
      </c>
      <c r="D713">
        <v>10</v>
      </c>
      <c r="E713">
        <v>3</v>
      </c>
      <c r="F713" t="s">
        <v>15</v>
      </c>
      <c r="G713">
        <v>4</v>
      </c>
      <c r="H713">
        <v>1</v>
      </c>
      <c r="I713" t="s">
        <v>16</v>
      </c>
      <c r="J713">
        <v>2404</v>
      </c>
      <c r="K713">
        <v>6</v>
      </c>
      <c r="L713">
        <v>3</v>
      </c>
      <c r="M713">
        <v>0</v>
      </c>
    </row>
    <row r="714" spans="1:13">
      <c r="A714">
        <v>33</v>
      </c>
      <c r="B714" t="s">
        <v>17</v>
      </c>
      <c r="C714" t="s">
        <v>18</v>
      </c>
      <c r="D714">
        <v>13</v>
      </c>
      <c r="E714">
        <v>1</v>
      </c>
      <c r="F714" t="s">
        <v>15</v>
      </c>
      <c r="G714">
        <v>2</v>
      </c>
      <c r="H714">
        <v>4</v>
      </c>
      <c r="I714" t="s">
        <v>16</v>
      </c>
      <c r="J714">
        <v>3452</v>
      </c>
      <c r="K714">
        <v>3</v>
      </c>
      <c r="L714">
        <v>3</v>
      </c>
      <c r="M714">
        <v>3</v>
      </c>
    </row>
    <row r="715" spans="1:13">
      <c r="A715">
        <v>45</v>
      </c>
      <c r="B715" t="s">
        <v>17</v>
      </c>
      <c r="C715" t="s">
        <v>18</v>
      </c>
      <c r="D715">
        <v>1</v>
      </c>
      <c r="E715">
        <v>4</v>
      </c>
      <c r="F715" t="s">
        <v>21</v>
      </c>
      <c r="G715">
        <v>4</v>
      </c>
      <c r="H715">
        <v>4</v>
      </c>
      <c r="I715" t="s">
        <v>22</v>
      </c>
      <c r="J715">
        <v>2270</v>
      </c>
      <c r="K715">
        <v>3</v>
      </c>
      <c r="L715">
        <v>3</v>
      </c>
      <c r="M715">
        <v>5</v>
      </c>
    </row>
    <row r="716" spans="1:13">
      <c r="A716">
        <v>50</v>
      </c>
      <c r="B716" t="s">
        <v>17</v>
      </c>
      <c r="C716" t="s">
        <v>18</v>
      </c>
      <c r="D716">
        <v>1</v>
      </c>
      <c r="E716">
        <v>2</v>
      </c>
      <c r="F716" t="s">
        <v>21</v>
      </c>
      <c r="G716">
        <v>4</v>
      </c>
      <c r="H716">
        <v>4</v>
      </c>
      <c r="I716" t="s">
        <v>22</v>
      </c>
      <c r="J716">
        <v>17399</v>
      </c>
      <c r="K716">
        <v>9</v>
      </c>
      <c r="L716">
        <v>2</v>
      </c>
      <c r="M716">
        <v>5</v>
      </c>
    </row>
    <row r="717" spans="1:13">
      <c r="A717">
        <v>33</v>
      </c>
      <c r="B717" t="s">
        <v>17</v>
      </c>
      <c r="C717" t="s">
        <v>18</v>
      </c>
      <c r="D717">
        <v>1</v>
      </c>
      <c r="E717">
        <v>4</v>
      </c>
      <c r="F717" t="s">
        <v>20</v>
      </c>
      <c r="G717">
        <v>3</v>
      </c>
      <c r="H717">
        <v>2</v>
      </c>
      <c r="I717" t="s">
        <v>19</v>
      </c>
      <c r="J717">
        <v>5488</v>
      </c>
      <c r="K717">
        <v>1</v>
      </c>
      <c r="L717">
        <v>3</v>
      </c>
      <c r="M717">
        <v>6</v>
      </c>
    </row>
    <row r="718" spans="1:13">
      <c r="A718">
        <v>41</v>
      </c>
      <c r="B718" t="s">
        <v>17</v>
      </c>
      <c r="C718" t="s">
        <v>18</v>
      </c>
      <c r="D718">
        <v>9</v>
      </c>
      <c r="E718">
        <v>3</v>
      </c>
      <c r="F718" t="s">
        <v>21</v>
      </c>
      <c r="G718">
        <v>1</v>
      </c>
      <c r="H718">
        <v>3</v>
      </c>
      <c r="I718" t="s">
        <v>22</v>
      </c>
      <c r="J718">
        <v>19419</v>
      </c>
      <c r="K718">
        <v>2</v>
      </c>
      <c r="L718">
        <v>4</v>
      </c>
      <c r="M718">
        <v>18</v>
      </c>
    </row>
    <row r="719" spans="1:13">
      <c r="A719">
        <v>27</v>
      </c>
      <c r="B719" t="s">
        <v>17</v>
      </c>
      <c r="C719" t="s">
        <v>18</v>
      </c>
      <c r="D719">
        <v>16</v>
      </c>
      <c r="E719">
        <v>4</v>
      </c>
      <c r="F719" t="s">
        <v>24</v>
      </c>
      <c r="G719">
        <v>3</v>
      </c>
      <c r="H719">
        <v>2</v>
      </c>
      <c r="I719" t="s">
        <v>19</v>
      </c>
      <c r="J719">
        <v>2811</v>
      </c>
      <c r="K719">
        <v>9</v>
      </c>
      <c r="L719">
        <v>3</v>
      </c>
      <c r="M719">
        <v>2</v>
      </c>
    </row>
    <row r="720" spans="1:13">
      <c r="A720">
        <v>45</v>
      </c>
      <c r="B720" t="s">
        <v>17</v>
      </c>
      <c r="C720" t="s">
        <v>18</v>
      </c>
      <c r="D720">
        <v>23</v>
      </c>
      <c r="E720">
        <v>2</v>
      </c>
      <c r="F720" t="s">
        <v>15</v>
      </c>
      <c r="G720">
        <v>4</v>
      </c>
      <c r="H720">
        <v>1</v>
      </c>
      <c r="I720" t="s">
        <v>19</v>
      </c>
      <c r="J720">
        <v>3633</v>
      </c>
      <c r="K720">
        <v>1</v>
      </c>
      <c r="L720">
        <v>3</v>
      </c>
      <c r="M720">
        <v>9</v>
      </c>
    </row>
    <row r="721" spans="1:13">
      <c r="A721">
        <v>47</v>
      </c>
      <c r="B721" t="s">
        <v>17</v>
      </c>
      <c r="C721" t="s">
        <v>14</v>
      </c>
      <c r="D721">
        <v>4</v>
      </c>
      <c r="E721">
        <v>2</v>
      </c>
      <c r="F721" t="s">
        <v>15</v>
      </c>
      <c r="G721">
        <v>4</v>
      </c>
      <c r="H721">
        <v>4</v>
      </c>
      <c r="I721" t="s">
        <v>16</v>
      </c>
      <c r="J721">
        <v>4163</v>
      </c>
      <c r="K721">
        <v>1</v>
      </c>
      <c r="L721">
        <v>3</v>
      </c>
      <c r="M721">
        <v>9</v>
      </c>
    </row>
    <row r="722" spans="1:13">
      <c r="A722">
        <v>30</v>
      </c>
      <c r="B722" t="s">
        <v>13</v>
      </c>
      <c r="C722" t="s">
        <v>18</v>
      </c>
      <c r="D722">
        <v>22</v>
      </c>
      <c r="E722">
        <v>3</v>
      </c>
      <c r="F722" t="s">
        <v>15</v>
      </c>
      <c r="G722">
        <v>1</v>
      </c>
      <c r="H722">
        <v>3</v>
      </c>
      <c r="I722" t="s">
        <v>19</v>
      </c>
      <c r="J722">
        <v>2132</v>
      </c>
      <c r="K722">
        <v>4</v>
      </c>
      <c r="L722">
        <v>3</v>
      </c>
      <c r="M722">
        <v>5</v>
      </c>
    </row>
    <row r="723" spans="1:13">
      <c r="A723">
        <v>50</v>
      </c>
      <c r="B723" t="s">
        <v>17</v>
      </c>
      <c r="C723" t="s">
        <v>18</v>
      </c>
      <c r="D723">
        <v>24</v>
      </c>
      <c r="E723">
        <v>3</v>
      </c>
      <c r="F723" t="s">
        <v>15</v>
      </c>
      <c r="G723">
        <v>4</v>
      </c>
      <c r="H723">
        <v>3</v>
      </c>
      <c r="I723" t="s">
        <v>19</v>
      </c>
      <c r="J723">
        <v>13973</v>
      </c>
      <c r="K723">
        <v>3</v>
      </c>
      <c r="L723">
        <v>3</v>
      </c>
      <c r="M723">
        <v>12</v>
      </c>
    </row>
    <row r="724" spans="1:13">
      <c r="A724">
        <v>38</v>
      </c>
      <c r="B724" t="s">
        <v>17</v>
      </c>
      <c r="C724" t="s">
        <v>18</v>
      </c>
      <c r="D724">
        <v>10</v>
      </c>
      <c r="E724">
        <v>1</v>
      </c>
      <c r="F724" t="s">
        <v>21</v>
      </c>
      <c r="G724">
        <v>3</v>
      </c>
      <c r="H724">
        <v>3</v>
      </c>
      <c r="I724" t="s">
        <v>19</v>
      </c>
      <c r="J724">
        <v>2684</v>
      </c>
      <c r="K724">
        <v>0</v>
      </c>
      <c r="L724">
        <v>2</v>
      </c>
      <c r="M724">
        <v>2</v>
      </c>
    </row>
    <row r="725" spans="1:13">
      <c r="A725">
        <v>46</v>
      </c>
      <c r="B725" t="s">
        <v>17</v>
      </c>
      <c r="C725" t="s">
        <v>18</v>
      </c>
      <c r="D725">
        <v>7</v>
      </c>
      <c r="E725">
        <v>2</v>
      </c>
      <c r="F725" t="s">
        <v>21</v>
      </c>
      <c r="G725">
        <v>4</v>
      </c>
      <c r="H725">
        <v>3</v>
      </c>
      <c r="I725" t="s">
        <v>22</v>
      </c>
      <c r="J725">
        <v>10845</v>
      </c>
      <c r="K725">
        <v>6</v>
      </c>
      <c r="L725">
        <v>3</v>
      </c>
      <c r="M725">
        <v>8</v>
      </c>
    </row>
    <row r="726" spans="1:13">
      <c r="A726">
        <v>24</v>
      </c>
      <c r="B726" t="s">
        <v>17</v>
      </c>
      <c r="C726" t="s">
        <v>18</v>
      </c>
      <c r="D726">
        <v>17</v>
      </c>
      <c r="E726">
        <v>1</v>
      </c>
      <c r="F726" t="s">
        <v>21</v>
      </c>
      <c r="G726">
        <v>4</v>
      </c>
      <c r="H726">
        <v>3</v>
      </c>
      <c r="I726" t="s">
        <v>22</v>
      </c>
      <c r="J726">
        <v>4377</v>
      </c>
      <c r="K726">
        <v>1</v>
      </c>
      <c r="L726">
        <v>3</v>
      </c>
      <c r="M726">
        <v>4</v>
      </c>
    </row>
    <row r="727" spans="1:13">
      <c r="A727">
        <v>35</v>
      </c>
      <c r="B727" t="s">
        <v>13</v>
      </c>
      <c r="C727" t="s">
        <v>18</v>
      </c>
      <c r="D727">
        <v>14</v>
      </c>
      <c r="E727">
        <v>4</v>
      </c>
      <c r="F727" t="s">
        <v>20</v>
      </c>
      <c r="G727">
        <v>3</v>
      </c>
      <c r="H727">
        <v>2</v>
      </c>
      <c r="I727" t="s">
        <v>22</v>
      </c>
      <c r="J727">
        <v>3743</v>
      </c>
      <c r="K727">
        <v>1</v>
      </c>
      <c r="L727">
        <v>1</v>
      </c>
      <c r="M727">
        <v>4</v>
      </c>
    </row>
    <row r="728" spans="1:13">
      <c r="A728">
        <v>31</v>
      </c>
      <c r="B728" t="s">
        <v>17</v>
      </c>
      <c r="C728" t="s">
        <v>18</v>
      </c>
      <c r="D728">
        <v>1</v>
      </c>
      <c r="E728">
        <v>1</v>
      </c>
      <c r="F728" t="s">
        <v>15</v>
      </c>
      <c r="G728">
        <v>3</v>
      </c>
      <c r="H728">
        <v>1</v>
      </c>
      <c r="I728" t="s">
        <v>19</v>
      </c>
      <c r="J728">
        <v>4148</v>
      </c>
      <c r="K728">
        <v>1</v>
      </c>
      <c r="L728">
        <v>3</v>
      </c>
      <c r="M728">
        <v>4</v>
      </c>
    </row>
    <row r="729" spans="1:13">
      <c r="A729">
        <v>18</v>
      </c>
      <c r="B729" t="s">
        <v>17</v>
      </c>
      <c r="C729" t="s">
        <v>18</v>
      </c>
      <c r="D729">
        <v>5</v>
      </c>
      <c r="E729">
        <v>2</v>
      </c>
      <c r="F729" t="s">
        <v>15</v>
      </c>
      <c r="G729">
        <v>2</v>
      </c>
      <c r="H729">
        <v>4</v>
      </c>
      <c r="I729" t="s">
        <v>16</v>
      </c>
      <c r="J729">
        <v>1051</v>
      </c>
      <c r="K729">
        <v>1</v>
      </c>
      <c r="L729">
        <v>3</v>
      </c>
      <c r="M729">
        <v>0</v>
      </c>
    </row>
    <row r="730" spans="1:13">
      <c r="A730">
        <v>54</v>
      </c>
      <c r="B730" t="s">
        <v>17</v>
      </c>
      <c r="C730" t="s">
        <v>18</v>
      </c>
      <c r="D730">
        <v>17</v>
      </c>
      <c r="E730">
        <v>3</v>
      </c>
      <c r="F730" t="s">
        <v>24</v>
      </c>
      <c r="G730">
        <v>3</v>
      </c>
      <c r="H730">
        <v>3</v>
      </c>
      <c r="I730" t="s">
        <v>19</v>
      </c>
      <c r="J730">
        <v>10739</v>
      </c>
      <c r="K730">
        <v>8</v>
      </c>
      <c r="L730">
        <v>3</v>
      </c>
      <c r="M730">
        <v>10</v>
      </c>
    </row>
    <row r="731" spans="1:13">
      <c r="A731">
        <v>35</v>
      </c>
      <c r="B731" t="s">
        <v>17</v>
      </c>
      <c r="C731" t="s">
        <v>18</v>
      </c>
      <c r="D731">
        <v>25</v>
      </c>
      <c r="E731">
        <v>4</v>
      </c>
      <c r="F731" t="s">
        <v>21</v>
      </c>
      <c r="G731">
        <v>3</v>
      </c>
      <c r="H731">
        <v>3</v>
      </c>
      <c r="I731" t="s">
        <v>22</v>
      </c>
      <c r="J731">
        <v>10388</v>
      </c>
      <c r="K731">
        <v>1</v>
      </c>
      <c r="L731">
        <v>2</v>
      </c>
      <c r="M731">
        <v>16</v>
      </c>
    </row>
    <row r="732" spans="1:13">
      <c r="A732">
        <v>30</v>
      </c>
      <c r="B732" t="s">
        <v>17</v>
      </c>
      <c r="C732" t="s">
        <v>18</v>
      </c>
      <c r="D732">
        <v>8</v>
      </c>
      <c r="E732">
        <v>2</v>
      </c>
      <c r="F732" t="s">
        <v>15</v>
      </c>
      <c r="G732">
        <v>2</v>
      </c>
      <c r="H732">
        <v>1</v>
      </c>
      <c r="I732" t="s">
        <v>19</v>
      </c>
      <c r="J732">
        <v>11416</v>
      </c>
      <c r="K732">
        <v>0</v>
      </c>
      <c r="L732">
        <v>2</v>
      </c>
      <c r="M732">
        <v>8</v>
      </c>
    </row>
    <row r="733" spans="1:13">
      <c r="A733">
        <v>20</v>
      </c>
      <c r="B733" t="s">
        <v>13</v>
      </c>
      <c r="C733" t="s">
        <v>18</v>
      </c>
      <c r="D733">
        <v>11</v>
      </c>
      <c r="E733">
        <v>3</v>
      </c>
      <c r="F733" t="s">
        <v>21</v>
      </c>
      <c r="G733">
        <v>4</v>
      </c>
      <c r="H733">
        <v>1</v>
      </c>
      <c r="I733" t="s">
        <v>16</v>
      </c>
      <c r="J733">
        <v>2600</v>
      </c>
      <c r="K733">
        <v>1</v>
      </c>
      <c r="L733">
        <v>3</v>
      </c>
      <c r="M733">
        <v>1</v>
      </c>
    </row>
    <row r="734" spans="1:13">
      <c r="A734">
        <v>30</v>
      </c>
      <c r="B734" t="s">
        <v>13</v>
      </c>
      <c r="C734" t="s">
        <v>18</v>
      </c>
      <c r="D734">
        <v>5</v>
      </c>
      <c r="E734">
        <v>3</v>
      </c>
      <c r="F734" t="s">
        <v>21</v>
      </c>
      <c r="G734">
        <v>2</v>
      </c>
      <c r="H734">
        <v>2</v>
      </c>
      <c r="I734" t="s">
        <v>16</v>
      </c>
      <c r="J734">
        <v>2422</v>
      </c>
      <c r="K734">
        <v>0</v>
      </c>
      <c r="L734">
        <v>3</v>
      </c>
      <c r="M734">
        <v>3</v>
      </c>
    </row>
    <row r="735" spans="1:13">
      <c r="A735">
        <v>26</v>
      </c>
      <c r="B735" t="s">
        <v>17</v>
      </c>
      <c r="C735" t="s">
        <v>18</v>
      </c>
      <c r="D735">
        <v>2</v>
      </c>
      <c r="E735">
        <v>2</v>
      </c>
      <c r="F735" t="s">
        <v>21</v>
      </c>
      <c r="G735">
        <v>4</v>
      </c>
      <c r="H735">
        <v>4</v>
      </c>
      <c r="I735" t="s">
        <v>19</v>
      </c>
      <c r="J735">
        <v>5472</v>
      </c>
      <c r="K735">
        <v>1</v>
      </c>
      <c r="L735">
        <v>3</v>
      </c>
      <c r="M735">
        <v>8</v>
      </c>
    </row>
    <row r="736" spans="1:13">
      <c r="A736">
        <v>22</v>
      </c>
      <c r="B736" t="s">
        <v>17</v>
      </c>
      <c r="C736" t="s">
        <v>18</v>
      </c>
      <c r="D736">
        <v>8</v>
      </c>
      <c r="E736">
        <v>1</v>
      </c>
      <c r="F736" t="s">
        <v>15</v>
      </c>
      <c r="G736">
        <v>2</v>
      </c>
      <c r="H736">
        <v>1</v>
      </c>
      <c r="I736" t="s">
        <v>19</v>
      </c>
      <c r="J736">
        <v>2451</v>
      </c>
      <c r="K736">
        <v>1</v>
      </c>
      <c r="L736">
        <v>2</v>
      </c>
      <c r="M736">
        <v>4</v>
      </c>
    </row>
    <row r="737" spans="1:13">
      <c r="A737">
        <v>48</v>
      </c>
      <c r="B737" t="s">
        <v>17</v>
      </c>
      <c r="C737" t="s">
        <v>18</v>
      </c>
      <c r="D737">
        <v>6</v>
      </c>
      <c r="E737">
        <v>3</v>
      </c>
      <c r="F737" t="s">
        <v>15</v>
      </c>
      <c r="G737">
        <v>1</v>
      </c>
      <c r="H737">
        <v>3</v>
      </c>
      <c r="I737" t="s">
        <v>16</v>
      </c>
      <c r="J737">
        <v>4240</v>
      </c>
      <c r="K737">
        <v>2</v>
      </c>
      <c r="L737">
        <v>3</v>
      </c>
      <c r="M737">
        <v>2</v>
      </c>
    </row>
    <row r="738" spans="1:13">
      <c r="A738">
        <v>48</v>
      </c>
      <c r="B738" t="s">
        <v>17</v>
      </c>
      <c r="C738" t="s">
        <v>18</v>
      </c>
      <c r="D738">
        <v>4</v>
      </c>
      <c r="E738">
        <v>4</v>
      </c>
      <c r="F738" t="s">
        <v>15</v>
      </c>
      <c r="G738">
        <v>3</v>
      </c>
      <c r="H738">
        <v>3</v>
      </c>
      <c r="I738" t="s">
        <v>16</v>
      </c>
      <c r="J738">
        <v>10999</v>
      </c>
      <c r="K738">
        <v>7</v>
      </c>
      <c r="L738">
        <v>3</v>
      </c>
      <c r="M738">
        <v>15</v>
      </c>
    </row>
    <row r="739" spans="1:13">
      <c r="A739">
        <v>41</v>
      </c>
      <c r="B739" t="s">
        <v>17</v>
      </c>
      <c r="C739" t="s">
        <v>18</v>
      </c>
      <c r="D739">
        <v>7</v>
      </c>
      <c r="E739">
        <v>2</v>
      </c>
      <c r="F739" t="s">
        <v>21</v>
      </c>
      <c r="G739">
        <v>4</v>
      </c>
      <c r="H739">
        <v>3</v>
      </c>
      <c r="I739" t="s">
        <v>16</v>
      </c>
      <c r="J739">
        <v>5003</v>
      </c>
      <c r="K739">
        <v>6</v>
      </c>
      <c r="L739">
        <v>3</v>
      </c>
      <c r="M739">
        <v>2</v>
      </c>
    </row>
    <row r="740" spans="1:13">
      <c r="A740">
        <v>39</v>
      </c>
      <c r="B740" t="s">
        <v>17</v>
      </c>
      <c r="C740" t="s">
        <v>18</v>
      </c>
      <c r="D740">
        <v>1</v>
      </c>
      <c r="E740">
        <v>1</v>
      </c>
      <c r="F740" t="s">
        <v>15</v>
      </c>
      <c r="G740">
        <v>4</v>
      </c>
      <c r="H740">
        <v>4</v>
      </c>
      <c r="I740" t="s">
        <v>19</v>
      </c>
      <c r="J740">
        <v>12742</v>
      </c>
      <c r="K740">
        <v>1</v>
      </c>
      <c r="L740">
        <v>3</v>
      </c>
      <c r="M740">
        <v>21</v>
      </c>
    </row>
    <row r="741" spans="1:13">
      <c r="A741">
        <v>27</v>
      </c>
      <c r="B741" t="s">
        <v>17</v>
      </c>
      <c r="C741" t="s">
        <v>18</v>
      </c>
      <c r="D741">
        <v>2</v>
      </c>
      <c r="E741">
        <v>4</v>
      </c>
      <c r="F741" t="s">
        <v>15</v>
      </c>
      <c r="G741">
        <v>1</v>
      </c>
      <c r="H741">
        <v>4</v>
      </c>
      <c r="I741" t="s">
        <v>19</v>
      </c>
      <c r="J741">
        <v>4227</v>
      </c>
      <c r="K741">
        <v>0</v>
      </c>
      <c r="L741">
        <v>3</v>
      </c>
      <c r="M741">
        <v>3</v>
      </c>
    </row>
    <row r="742" spans="1:13">
      <c r="A742">
        <v>35</v>
      </c>
      <c r="B742" t="s">
        <v>17</v>
      </c>
      <c r="C742" t="s">
        <v>18</v>
      </c>
      <c r="D742">
        <v>10</v>
      </c>
      <c r="E742">
        <v>3</v>
      </c>
      <c r="F742" t="s">
        <v>20</v>
      </c>
      <c r="G742">
        <v>2</v>
      </c>
      <c r="H742">
        <v>4</v>
      </c>
      <c r="I742" t="s">
        <v>22</v>
      </c>
      <c r="J742">
        <v>3917</v>
      </c>
      <c r="K742">
        <v>1</v>
      </c>
      <c r="L742">
        <v>2</v>
      </c>
      <c r="M742">
        <v>3</v>
      </c>
    </row>
    <row r="743" spans="1:13">
      <c r="A743">
        <v>42</v>
      </c>
      <c r="B743" t="s">
        <v>17</v>
      </c>
      <c r="C743" t="s">
        <v>14</v>
      </c>
      <c r="D743">
        <v>5</v>
      </c>
      <c r="E743">
        <v>2</v>
      </c>
      <c r="F743" t="s">
        <v>23</v>
      </c>
      <c r="G743">
        <v>4</v>
      </c>
      <c r="H743">
        <v>3</v>
      </c>
      <c r="I743" t="s">
        <v>19</v>
      </c>
      <c r="J743">
        <v>18303</v>
      </c>
      <c r="K743">
        <v>6</v>
      </c>
      <c r="L743">
        <v>4</v>
      </c>
      <c r="M743">
        <v>1</v>
      </c>
    </row>
    <row r="744" spans="1:13">
      <c r="A744">
        <v>50</v>
      </c>
      <c r="B744" t="s">
        <v>17</v>
      </c>
      <c r="C744" t="s">
        <v>18</v>
      </c>
      <c r="D744">
        <v>9</v>
      </c>
      <c r="E744">
        <v>3</v>
      </c>
      <c r="F744" t="s">
        <v>15</v>
      </c>
      <c r="G744">
        <v>1</v>
      </c>
      <c r="H744">
        <v>4</v>
      </c>
      <c r="I744" t="s">
        <v>19</v>
      </c>
      <c r="J744">
        <v>2380</v>
      </c>
      <c r="K744">
        <v>4</v>
      </c>
      <c r="L744">
        <v>3</v>
      </c>
      <c r="M744">
        <v>1</v>
      </c>
    </row>
    <row r="745" spans="1:13">
      <c r="A745">
        <v>59</v>
      </c>
      <c r="B745" t="s">
        <v>17</v>
      </c>
      <c r="C745" t="s">
        <v>18</v>
      </c>
      <c r="D745">
        <v>2</v>
      </c>
      <c r="E745">
        <v>3</v>
      </c>
      <c r="F745" t="s">
        <v>15</v>
      </c>
      <c r="G745">
        <v>3</v>
      </c>
      <c r="H745">
        <v>4</v>
      </c>
      <c r="I745" t="s">
        <v>16</v>
      </c>
      <c r="J745">
        <v>13726</v>
      </c>
      <c r="K745">
        <v>3</v>
      </c>
      <c r="L745">
        <v>3</v>
      </c>
      <c r="M745">
        <v>5</v>
      </c>
    </row>
    <row r="746" spans="1:13">
      <c r="A746">
        <v>37</v>
      </c>
      <c r="B746" t="s">
        <v>13</v>
      </c>
      <c r="C746" t="s">
        <v>18</v>
      </c>
      <c r="D746">
        <v>11</v>
      </c>
      <c r="E746">
        <v>2</v>
      </c>
      <c r="F746" t="s">
        <v>21</v>
      </c>
      <c r="G746">
        <v>1</v>
      </c>
      <c r="H746">
        <v>2</v>
      </c>
      <c r="I746" t="s">
        <v>19</v>
      </c>
      <c r="J746">
        <v>4777</v>
      </c>
      <c r="K746">
        <v>5</v>
      </c>
      <c r="L746">
        <v>1</v>
      </c>
      <c r="M746">
        <v>1</v>
      </c>
    </row>
    <row r="747" spans="1:13">
      <c r="A747">
        <v>55</v>
      </c>
      <c r="B747" t="s">
        <v>17</v>
      </c>
      <c r="C747" t="s">
        <v>18</v>
      </c>
      <c r="D747">
        <v>18</v>
      </c>
      <c r="E747">
        <v>4</v>
      </c>
      <c r="F747" t="s">
        <v>21</v>
      </c>
      <c r="G747">
        <v>3</v>
      </c>
      <c r="H747">
        <v>2</v>
      </c>
      <c r="I747" t="s">
        <v>19</v>
      </c>
      <c r="J747">
        <v>6385</v>
      </c>
      <c r="K747">
        <v>3</v>
      </c>
      <c r="L747">
        <v>3</v>
      </c>
      <c r="M747">
        <v>8</v>
      </c>
    </row>
    <row r="748" spans="1:13">
      <c r="A748">
        <v>41</v>
      </c>
      <c r="B748" t="s">
        <v>17</v>
      </c>
      <c r="C748" t="s">
        <v>18</v>
      </c>
      <c r="D748">
        <v>7</v>
      </c>
      <c r="E748">
        <v>1</v>
      </c>
      <c r="F748" t="s">
        <v>15</v>
      </c>
      <c r="G748">
        <v>2</v>
      </c>
      <c r="H748">
        <v>3</v>
      </c>
      <c r="I748" t="s">
        <v>22</v>
      </c>
      <c r="J748">
        <v>19973</v>
      </c>
      <c r="K748">
        <v>1</v>
      </c>
      <c r="L748">
        <v>3</v>
      </c>
      <c r="M748">
        <v>21</v>
      </c>
    </row>
    <row r="749" spans="1:13">
      <c r="A749">
        <v>38</v>
      </c>
      <c r="B749" t="s">
        <v>17</v>
      </c>
      <c r="C749" t="s">
        <v>14</v>
      </c>
      <c r="D749">
        <v>3</v>
      </c>
      <c r="E749">
        <v>4</v>
      </c>
      <c r="F749" t="s">
        <v>15</v>
      </c>
      <c r="G749">
        <v>2</v>
      </c>
      <c r="H749">
        <v>4</v>
      </c>
      <c r="I749" t="s">
        <v>16</v>
      </c>
      <c r="J749">
        <v>6861</v>
      </c>
      <c r="K749">
        <v>8</v>
      </c>
      <c r="L749">
        <v>3</v>
      </c>
      <c r="M749">
        <v>1</v>
      </c>
    </row>
    <row r="750" spans="1:13">
      <c r="A750">
        <v>26</v>
      </c>
      <c r="B750" t="s">
        <v>13</v>
      </c>
      <c r="C750" t="s">
        <v>14</v>
      </c>
      <c r="D750">
        <v>29</v>
      </c>
      <c r="E750">
        <v>2</v>
      </c>
      <c r="F750" t="s">
        <v>21</v>
      </c>
      <c r="G750">
        <v>2</v>
      </c>
      <c r="H750">
        <v>1</v>
      </c>
      <c r="I750" t="s">
        <v>16</v>
      </c>
      <c r="J750">
        <v>4969</v>
      </c>
      <c r="K750">
        <v>8</v>
      </c>
      <c r="L750">
        <v>3</v>
      </c>
      <c r="M750">
        <v>2</v>
      </c>
    </row>
    <row r="751" spans="1:13">
      <c r="A751">
        <v>52</v>
      </c>
      <c r="B751" t="s">
        <v>13</v>
      </c>
      <c r="C751" t="s">
        <v>14</v>
      </c>
      <c r="D751">
        <v>2</v>
      </c>
      <c r="E751">
        <v>1</v>
      </c>
      <c r="F751" t="s">
        <v>23</v>
      </c>
      <c r="G751">
        <v>1</v>
      </c>
      <c r="H751">
        <v>4</v>
      </c>
      <c r="I751" t="s">
        <v>19</v>
      </c>
      <c r="J751">
        <v>19845</v>
      </c>
      <c r="K751">
        <v>1</v>
      </c>
      <c r="L751">
        <v>3</v>
      </c>
      <c r="M751">
        <v>32</v>
      </c>
    </row>
    <row r="752" spans="1:13">
      <c r="A752">
        <v>44</v>
      </c>
      <c r="B752" t="s">
        <v>17</v>
      </c>
      <c r="C752" t="s">
        <v>14</v>
      </c>
      <c r="D752">
        <v>28</v>
      </c>
      <c r="E752">
        <v>3</v>
      </c>
      <c r="F752" t="s">
        <v>21</v>
      </c>
      <c r="G752">
        <v>4</v>
      </c>
      <c r="H752">
        <v>4</v>
      </c>
      <c r="I752" t="s">
        <v>19</v>
      </c>
      <c r="J752">
        <v>13320</v>
      </c>
      <c r="K752">
        <v>3</v>
      </c>
      <c r="L752">
        <v>3</v>
      </c>
      <c r="M752">
        <v>12</v>
      </c>
    </row>
    <row r="753" spans="1:13">
      <c r="A753">
        <v>50</v>
      </c>
      <c r="B753" t="s">
        <v>17</v>
      </c>
      <c r="C753" t="s">
        <v>14</v>
      </c>
      <c r="D753">
        <v>1</v>
      </c>
      <c r="E753">
        <v>3</v>
      </c>
      <c r="F753" t="s">
        <v>15</v>
      </c>
      <c r="G753">
        <v>4</v>
      </c>
      <c r="H753">
        <v>3</v>
      </c>
      <c r="I753" t="s">
        <v>19</v>
      </c>
      <c r="J753">
        <v>6347</v>
      </c>
      <c r="K753">
        <v>0</v>
      </c>
      <c r="L753">
        <v>3</v>
      </c>
      <c r="M753">
        <v>18</v>
      </c>
    </row>
    <row r="754" spans="1:13">
      <c r="A754">
        <v>36</v>
      </c>
      <c r="B754" t="s">
        <v>13</v>
      </c>
      <c r="C754" t="s">
        <v>18</v>
      </c>
      <c r="D754">
        <v>16</v>
      </c>
      <c r="E754">
        <v>4</v>
      </c>
      <c r="F754" t="s">
        <v>15</v>
      </c>
      <c r="G754">
        <v>3</v>
      </c>
      <c r="H754">
        <v>1</v>
      </c>
      <c r="I754" t="s">
        <v>16</v>
      </c>
      <c r="J754">
        <v>2743</v>
      </c>
      <c r="K754">
        <v>1</v>
      </c>
      <c r="L754">
        <v>3</v>
      </c>
      <c r="M754">
        <v>17</v>
      </c>
    </row>
    <row r="755" spans="1:13">
      <c r="A755">
        <v>39</v>
      </c>
      <c r="B755" t="s">
        <v>17</v>
      </c>
      <c r="C755" t="s">
        <v>18</v>
      </c>
      <c r="D755">
        <v>22</v>
      </c>
      <c r="E755">
        <v>3</v>
      </c>
      <c r="F755" t="s">
        <v>21</v>
      </c>
      <c r="G755">
        <v>4</v>
      </c>
      <c r="H755">
        <v>1</v>
      </c>
      <c r="I755" t="s">
        <v>16</v>
      </c>
      <c r="J755">
        <v>10880</v>
      </c>
      <c r="K755">
        <v>1</v>
      </c>
      <c r="L755">
        <v>3</v>
      </c>
      <c r="M755">
        <v>21</v>
      </c>
    </row>
    <row r="756" spans="1:13">
      <c r="A756">
        <v>33</v>
      </c>
      <c r="B756" t="s">
        <v>17</v>
      </c>
      <c r="C756" t="s">
        <v>14</v>
      </c>
      <c r="D756">
        <v>8</v>
      </c>
      <c r="E756">
        <v>1</v>
      </c>
      <c r="F756" t="s">
        <v>15</v>
      </c>
      <c r="G756">
        <v>2</v>
      </c>
      <c r="H756">
        <v>4</v>
      </c>
      <c r="I756" t="s">
        <v>16</v>
      </c>
      <c r="J756">
        <v>2342</v>
      </c>
      <c r="K756">
        <v>0</v>
      </c>
      <c r="L756">
        <v>2</v>
      </c>
      <c r="M756">
        <v>2</v>
      </c>
    </row>
    <row r="757" spans="1:13">
      <c r="A757">
        <v>45</v>
      </c>
      <c r="B757" t="s">
        <v>17</v>
      </c>
      <c r="C757" t="s">
        <v>14</v>
      </c>
      <c r="D757">
        <v>11</v>
      </c>
      <c r="E757">
        <v>2</v>
      </c>
      <c r="F757" t="s">
        <v>15</v>
      </c>
      <c r="G757">
        <v>4</v>
      </c>
      <c r="H757">
        <v>4</v>
      </c>
      <c r="I757" t="s">
        <v>19</v>
      </c>
      <c r="J757">
        <v>17650</v>
      </c>
      <c r="K757">
        <v>3</v>
      </c>
      <c r="L757">
        <v>4</v>
      </c>
      <c r="M757">
        <v>9</v>
      </c>
    </row>
    <row r="758" spans="1:13">
      <c r="A758">
        <v>32</v>
      </c>
      <c r="B758" t="s">
        <v>17</v>
      </c>
      <c r="C758" t="s">
        <v>18</v>
      </c>
      <c r="D758">
        <v>29</v>
      </c>
      <c r="E758">
        <v>4</v>
      </c>
      <c r="F758" t="s">
        <v>21</v>
      </c>
      <c r="G758">
        <v>4</v>
      </c>
      <c r="H758">
        <v>3</v>
      </c>
      <c r="I758" t="s">
        <v>16</v>
      </c>
      <c r="J758">
        <v>4025</v>
      </c>
      <c r="K758">
        <v>9</v>
      </c>
      <c r="L758">
        <v>3</v>
      </c>
      <c r="M758">
        <v>8</v>
      </c>
    </row>
    <row r="759" spans="1:13">
      <c r="A759">
        <v>34</v>
      </c>
      <c r="B759" t="s">
        <v>17</v>
      </c>
      <c r="C759" t="s">
        <v>14</v>
      </c>
      <c r="D759">
        <v>1</v>
      </c>
      <c r="E759">
        <v>4</v>
      </c>
      <c r="F759" t="s">
        <v>23</v>
      </c>
      <c r="G759">
        <v>2</v>
      </c>
      <c r="H759">
        <v>4</v>
      </c>
      <c r="I759" t="s">
        <v>22</v>
      </c>
      <c r="J759">
        <v>9725</v>
      </c>
      <c r="K759">
        <v>0</v>
      </c>
      <c r="L759">
        <v>2</v>
      </c>
      <c r="M759">
        <v>15</v>
      </c>
    </row>
    <row r="760" spans="1:13">
      <c r="A760">
        <v>59</v>
      </c>
      <c r="B760" t="s">
        <v>17</v>
      </c>
      <c r="C760" t="s">
        <v>14</v>
      </c>
      <c r="D760">
        <v>1</v>
      </c>
      <c r="E760">
        <v>2</v>
      </c>
      <c r="F760" t="s">
        <v>24</v>
      </c>
      <c r="G760">
        <v>2</v>
      </c>
      <c r="H760">
        <v>4</v>
      </c>
      <c r="I760" t="s">
        <v>19</v>
      </c>
      <c r="J760">
        <v>11904</v>
      </c>
      <c r="K760">
        <v>3</v>
      </c>
      <c r="L760">
        <v>1</v>
      </c>
      <c r="M760">
        <v>6</v>
      </c>
    </row>
    <row r="761" spans="1:13">
      <c r="A761">
        <v>45</v>
      </c>
      <c r="B761" t="s">
        <v>17</v>
      </c>
      <c r="C761" t="s">
        <v>25</v>
      </c>
      <c r="D761">
        <v>24</v>
      </c>
      <c r="E761">
        <v>4</v>
      </c>
      <c r="F761" t="s">
        <v>21</v>
      </c>
      <c r="G761">
        <v>2</v>
      </c>
      <c r="H761">
        <v>2</v>
      </c>
      <c r="I761" t="s">
        <v>16</v>
      </c>
      <c r="J761">
        <v>2177</v>
      </c>
      <c r="K761">
        <v>1</v>
      </c>
      <c r="L761">
        <v>3</v>
      </c>
      <c r="M761">
        <v>6</v>
      </c>
    </row>
    <row r="762" spans="1:13">
      <c r="A762">
        <v>53</v>
      </c>
      <c r="B762" t="s">
        <v>17</v>
      </c>
      <c r="C762" t="s">
        <v>14</v>
      </c>
      <c r="D762">
        <v>2</v>
      </c>
      <c r="E762">
        <v>3</v>
      </c>
      <c r="F762" t="s">
        <v>23</v>
      </c>
      <c r="G762">
        <v>3</v>
      </c>
      <c r="H762">
        <v>2</v>
      </c>
      <c r="I762" t="s">
        <v>19</v>
      </c>
      <c r="J762">
        <v>7525</v>
      </c>
      <c r="K762">
        <v>2</v>
      </c>
      <c r="L762">
        <v>3</v>
      </c>
      <c r="M762">
        <v>15</v>
      </c>
    </row>
    <row r="763" spans="1:13">
      <c r="A763">
        <v>36</v>
      </c>
      <c r="B763" t="s">
        <v>13</v>
      </c>
      <c r="C763" t="s">
        <v>18</v>
      </c>
      <c r="D763">
        <v>15</v>
      </c>
      <c r="E763">
        <v>3</v>
      </c>
      <c r="F763" t="s">
        <v>20</v>
      </c>
      <c r="G763">
        <v>1</v>
      </c>
      <c r="H763">
        <v>3</v>
      </c>
      <c r="I763" t="s">
        <v>22</v>
      </c>
      <c r="J763">
        <v>4834</v>
      </c>
      <c r="K763">
        <v>7</v>
      </c>
      <c r="L763">
        <v>2</v>
      </c>
      <c r="M763">
        <v>1</v>
      </c>
    </row>
    <row r="764" spans="1:13">
      <c r="A764">
        <v>26</v>
      </c>
      <c r="B764" t="s">
        <v>13</v>
      </c>
      <c r="C764" t="s">
        <v>18</v>
      </c>
      <c r="D764">
        <v>2</v>
      </c>
      <c r="E764">
        <v>3</v>
      </c>
      <c r="F764" t="s">
        <v>15</v>
      </c>
      <c r="G764">
        <v>1</v>
      </c>
      <c r="H764">
        <v>1</v>
      </c>
      <c r="I764" t="s">
        <v>19</v>
      </c>
      <c r="J764">
        <v>2042</v>
      </c>
      <c r="K764">
        <v>6</v>
      </c>
      <c r="L764">
        <v>3</v>
      </c>
      <c r="M764">
        <v>3</v>
      </c>
    </row>
    <row r="765" spans="1:13">
      <c r="A765">
        <v>34</v>
      </c>
      <c r="B765" t="s">
        <v>17</v>
      </c>
      <c r="C765" t="s">
        <v>14</v>
      </c>
      <c r="D765">
        <v>10</v>
      </c>
      <c r="E765">
        <v>4</v>
      </c>
      <c r="F765" t="s">
        <v>15</v>
      </c>
      <c r="G765">
        <v>3</v>
      </c>
      <c r="H765">
        <v>3</v>
      </c>
      <c r="I765" t="s">
        <v>19</v>
      </c>
      <c r="J765">
        <v>2220</v>
      </c>
      <c r="K765">
        <v>1</v>
      </c>
      <c r="L765">
        <v>3</v>
      </c>
      <c r="M765">
        <v>1</v>
      </c>
    </row>
    <row r="766" spans="1:13">
      <c r="A766">
        <v>28</v>
      </c>
      <c r="B766" t="s">
        <v>17</v>
      </c>
      <c r="C766" t="s">
        <v>14</v>
      </c>
      <c r="D766">
        <v>10</v>
      </c>
      <c r="E766">
        <v>1</v>
      </c>
      <c r="F766" t="s">
        <v>21</v>
      </c>
      <c r="G766">
        <v>4</v>
      </c>
      <c r="H766">
        <v>2</v>
      </c>
      <c r="I766" t="s">
        <v>19</v>
      </c>
      <c r="J766">
        <v>1052</v>
      </c>
      <c r="K766">
        <v>1</v>
      </c>
      <c r="L766">
        <v>3</v>
      </c>
      <c r="M766">
        <v>1</v>
      </c>
    </row>
    <row r="767" spans="1:13">
      <c r="A767">
        <v>38</v>
      </c>
      <c r="B767" t="s">
        <v>17</v>
      </c>
      <c r="C767" t="s">
        <v>18</v>
      </c>
      <c r="D767">
        <v>3</v>
      </c>
      <c r="E767">
        <v>4</v>
      </c>
      <c r="F767" t="s">
        <v>20</v>
      </c>
      <c r="G767">
        <v>3</v>
      </c>
      <c r="H767">
        <v>3</v>
      </c>
      <c r="I767" t="s">
        <v>19</v>
      </c>
      <c r="J767">
        <v>2821</v>
      </c>
      <c r="K767">
        <v>3</v>
      </c>
      <c r="L767">
        <v>3</v>
      </c>
      <c r="M767">
        <v>2</v>
      </c>
    </row>
    <row r="768" spans="1:13">
      <c r="A768">
        <v>50</v>
      </c>
      <c r="B768" t="s">
        <v>17</v>
      </c>
      <c r="C768" t="s">
        <v>18</v>
      </c>
      <c r="D768">
        <v>2</v>
      </c>
      <c r="E768">
        <v>4</v>
      </c>
      <c r="F768" t="s">
        <v>21</v>
      </c>
      <c r="G768">
        <v>2</v>
      </c>
      <c r="H768">
        <v>3</v>
      </c>
      <c r="I768" t="s">
        <v>19</v>
      </c>
      <c r="J768">
        <v>19237</v>
      </c>
      <c r="K768">
        <v>2</v>
      </c>
      <c r="L768">
        <v>2</v>
      </c>
      <c r="M768">
        <v>8</v>
      </c>
    </row>
    <row r="769" spans="1:13">
      <c r="A769">
        <v>37</v>
      </c>
      <c r="B769" t="s">
        <v>17</v>
      </c>
      <c r="C769" t="s">
        <v>18</v>
      </c>
      <c r="D769">
        <v>3</v>
      </c>
      <c r="E769">
        <v>3</v>
      </c>
      <c r="F769" t="s">
        <v>20</v>
      </c>
      <c r="G769">
        <v>4</v>
      </c>
      <c r="H769">
        <v>2</v>
      </c>
      <c r="I769" t="s">
        <v>16</v>
      </c>
      <c r="J769">
        <v>4107</v>
      </c>
      <c r="K769">
        <v>3</v>
      </c>
      <c r="L769">
        <v>2</v>
      </c>
      <c r="M769">
        <v>4</v>
      </c>
    </row>
    <row r="770" spans="1:13">
      <c r="A770">
        <v>40</v>
      </c>
      <c r="B770" t="s">
        <v>17</v>
      </c>
      <c r="C770" t="s">
        <v>14</v>
      </c>
      <c r="D770">
        <v>26</v>
      </c>
      <c r="E770">
        <v>3</v>
      </c>
      <c r="F770" t="s">
        <v>23</v>
      </c>
      <c r="G770">
        <v>3</v>
      </c>
      <c r="H770">
        <v>1</v>
      </c>
      <c r="I770" t="s">
        <v>19</v>
      </c>
      <c r="J770">
        <v>8396</v>
      </c>
      <c r="K770">
        <v>1</v>
      </c>
      <c r="L770">
        <v>2</v>
      </c>
      <c r="M770">
        <v>7</v>
      </c>
    </row>
    <row r="771" spans="1:13">
      <c r="A771">
        <v>26</v>
      </c>
      <c r="B771" t="s">
        <v>17</v>
      </c>
      <c r="C771" t="s">
        <v>18</v>
      </c>
      <c r="D771">
        <v>1</v>
      </c>
      <c r="E771">
        <v>1</v>
      </c>
      <c r="F771" t="s">
        <v>21</v>
      </c>
      <c r="G771">
        <v>1</v>
      </c>
      <c r="H771">
        <v>3</v>
      </c>
      <c r="I771" t="s">
        <v>22</v>
      </c>
      <c r="J771">
        <v>2007</v>
      </c>
      <c r="K771">
        <v>1</v>
      </c>
      <c r="L771">
        <v>3</v>
      </c>
      <c r="M771">
        <v>5</v>
      </c>
    </row>
    <row r="772" spans="1:13">
      <c r="A772">
        <v>46</v>
      </c>
      <c r="B772" t="s">
        <v>17</v>
      </c>
      <c r="C772" t="s">
        <v>18</v>
      </c>
      <c r="D772">
        <v>1</v>
      </c>
      <c r="E772">
        <v>4</v>
      </c>
      <c r="F772" t="s">
        <v>21</v>
      </c>
      <c r="G772">
        <v>4</v>
      </c>
      <c r="H772">
        <v>4</v>
      </c>
      <c r="I772" t="s">
        <v>22</v>
      </c>
      <c r="J772">
        <v>19627</v>
      </c>
      <c r="K772">
        <v>9</v>
      </c>
      <c r="L772">
        <v>3</v>
      </c>
      <c r="M772">
        <v>2</v>
      </c>
    </row>
    <row r="773" spans="1:13">
      <c r="A773">
        <v>54</v>
      </c>
      <c r="B773" t="s">
        <v>17</v>
      </c>
      <c r="C773" t="s">
        <v>14</v>
      </c>
      <c r="D773">
        <v>2</v>
      </c>
      <c r="E773">
        <v>4</v>
      </c>
      <c r="F773" t="s">
        <v>15</v>
      </c>
      <c r="G773">
        <v>3</v>
      </c>
      <c r="H773">
        <v>3</v>
      </c>
      <c r="I773" t="s">
        <v>19</v>
      </c>
      <c r="J773">
        <v>10686</v>
      </c>
      <c r="K773">
        <v>6</v>
      </c>
      <c r="L773">
        <v>3</v>
      </c>
      <c r="M773">
        <v>9</v>
      </c>
    </row>
    <row r="774" spans="1:13">
      <c r="A774">
        <v>56</v>
      </c>
      <c r="B774" t="s">
        <v>17</v>
      </c>
      <c r="C774" t="s">
        <v>18</v>
      </c>
      <c r="D774">
        <v>9</v>
      </c>
      <c r="E774">
        <v>3</v>
      </c>
      <c r="F774" t="s">
        <v>21</v>
      </c>
      <c r="G774">
        <v>1</v>
      </c>
      <c r="H774">
        <v>3</v>
      </c>
      <c r="I774" t="s">
        <v>19</v>
      </c>
      <c r="J774">
        <v>2942</v>
      </c>
      <c r="K774">
        <v>2</v>
      </c>
      <c r="L774">
        <v>3</v>
      </c>
      <c r="M774">
        <v>5</v>
      </c>
    </row>
    <row r="775" spans="1:13">
      <c r="A775">
        <v>36</v>
      </c>
      <c r="B775" t="s">
        <v>17</v>
      </c>
      <c r="C775" t="s">
        <v>18</v>
      </c>
      <c r="D775">
        <v>12</v>
      </c>
      <c r="E775">
        <v>5</v>
      </c>
      <c r="F775" t="s">
        <v>21</v>
      </c>
      <c r="G775">
        <v>4</v>
      </c>
      <c r="H775">
        <v>4</v>
      </c>
      <c r="I775" t="s">
        <v>16</v>
      </c>
      <c r="J775">
        <v>8858</v>
      </c>
      <c r="K775">
        <v>0</v>
      </c>
      <c r="L775">
        <v>2</v>
      </c>
      <c r="M775">
        <v>14</v>
      </c>
    </row>
    <row r="776" spans="1:13">
      <c r="A776">
        <v>55</v>
      </c>
      <c r="B776" t="s">
        <v>17</v>
      </c>
      <c r="C776" t="s">
        <v>18</v>
      </c>
      <c r="D776">
        <v>2</v>
      </c>
      <c r="E776">
        <v>1</v>
      </c>
      <c r="F776" t="s">
        <v>21</v>
      </c>
      <c r="G776">
        <v>3</v>
      </c>
      <c r="H776">
        <v>1</v>
      </c>
      <c r="I776" t="s">
        <v>16</v>
      </c>
      <c r="J776">
        <v>16756</v>
      </c>
      <c r="K776">
        <v>7</v>
      </c>
      <c r="L776">
        <v>4</v>
      </c>
      <c r="M776">
        <v>9</v>
      </c>
    </row>
    <row r="777" spans="1:13">
      <c r="A777">
        <v>43</v>
      </c>
      <c r="B777" t="s">
        <v>17</v>
      </c>
      <c r="C777" t="s">
        <v>14</v>
      </c>
      <c r="D777">
        <v>25</v>
      </c>
      <c r="E777">
        <v>3</v>
      </c>
      <c r="F777" t="s">
        <v>21</v>
      </c>
      <c r="G777">
        <v>3</v>
      </c>
      <c r="H777">
        <v>4</v>
      </c>
      <c r="I777" t="s">
        <v>22</v>
      </c>
      <c r="J777">
        <v>10798</v>
      </c>
      <c r="K777">
        <v>5</v>
      </c>
      <c r="L777">
        <v>3</v>
      </c>
      <c r="M777">
        <v>1</v>
      </c>
    </row>
    <row r="778" spans="1:13">
      <c r="A778">
        <v>20</v>
      </c>
      <c r="B778" t="s">
        <v>13</v>
      </c>
      <c r="C778" t="s">
        <v>14</v>
      </c>
      <c r="D778">
        <v>9</v>
      </c>
      <c r="E778">
        <v>3</v>
      </c>
      <c r="F778" t="s">
        <v>23</v>
      </c>
      <c r="G778">
        <v>4</v>
      </c>
      <c r="H778">
        <v>4</v>
      </c>
      <c r="I778" t="s">
        <v>16</v>
      </c>
      <c r="J778">
        <v>2323</v>
      </c>
      <c r="K778">
        <v>1</v>
      </c>
      <c r="L778">
        <v>3</v>
      </c>
      <c r="M778">
        <v>2</v>
      </c>
    </row>
    <row r="779" spans="1:13">
      <c r="A779">
        <v>21</v>
      </c>
      <c r="B779" t="s">
        <v>13</v>
      </c>
      <c r="C779" t="s">
        <v>18</v>
      </c>
      <c r="D779">
        <v>10</v>
      </c>
      <c r="E779">
        <v>3</v>
      </c>
      <c r="F779" t="s">
        <v>15</v>
      </c>
      <c r="G779">
        <v>3</v>
      </c>
      <c r="H779">
        <v>1</v>
      </c>
      <c r="I779" t="s">
        <v>16</v>
      </c>
      <c r="J779">
        <v>1416</v>
      </c>
      <c r="K779">
        <v>1</v>
      </c>
      <c r="L779">
        <v>2</v>
      </c>
      <c r="M779">
        <v>1</v>
      </c>
    </row>
    <row r="780" spans="1:13">
      <c r="A780">
        <v>46</v>
      </c>
      <c r="B780" t="s">
        <v>17</v>
      </c>
      <c r="C780" t="s">
        <v>18</v>
      </c>
      <c r="D780">
        <v>8</v>
      </c>
      <c r="E780">
        <v>4</v>
      </c>
      <c r="F780" t="s">
        <v>15</v>
      </c>
      <c r="G780">
        <v>4</v>
      </c>
      <c r="H780">
        <v>1</v>
      </c>
      <c r="I780" t="s">
        <v>22</v>
      </c>
      <c r="J780">
        <v>4615</v>
      </c>
      <c r="K780">
        <v>8</v>
      </c>
      <c r="L780">
        <v>3</v>
      </c>
      <c r="M780">
        <v>16</v>
      </c>
    </row>
    <row r="781" spans="1:13">
      <c r="A781">
        <v>51</v>
      </c>
      <c r="B781" t="s">
        <v>13</v>
      </c>
      <c r="C781" t="s">
        <v>18</v>
      </c>
      <c r="D781">
        <v>4</v>
      </c>
      <c r="E781">
        <v>4</v>
      </c>
      <c r="F781" t="s">
        <v>15</v>
      </c>
      <c r="G781">
        <v>1</v>
      </c>
      <c r="H781">
        <v>3</v>
      </c>
      <c r="I781" t="s">
        <v>19</v>
      </c>
      <c r="J781">
        <v>2461</v>
      </c>
      <c r="K781">
        <v>9</v>
      </c>
      <c r="L781">
        <v>4</v>
      </c>
      <c r="M781">
        <v>10</v>
      </c>
    </row>
    <row r="782" spans="1:13">
      <c r="A782">
        <v>28</v>
      </c>
      <c r="B782" t="s">
        <v>13</v>
      </c>
      <c r="C782" t="s">
        <v>18</v>
      </c>
      <c r="D782">
        <v>24</v>
      </c>
      <c r="E782">
        <v>2</v>
      </c>
      <c r="F782" t="s">
        <v>24</v>
      </c>
      <c r="G782">
        <v>2</v>
      </c>
      <c r="H782">
        <v>1</v>
      </c>
      <c r="I782" t="s">
        <v>16</v>
      </c>
      <c r="J782">
        <v>8722</v>
      </c>
      <c r="K782">
        <v>1</v>
      </c>
      <c r="L782">
        <v>2</v>
      </c>
      <c r="M782">
        <v>10</v>
      </c>
    </row>
    <row r="783" spans="1:13">
      <c r="A783">
        <v>26</v>
      </c>
      <c r="B783" t="s">
        <v>17</v>
      </c>
      <c r="C783" t="s">
        <v>18</v>
      </c>
      <c r="D783">
        <v>1</v>
      </c>
      <c r="E783">
        <v>2</v>
      </c>
      <c r="F783" t="s">
        <v>21</v>
      </c>
      <c r="G783">
        <v>1</v>
      </c>
      <c r="H783">
        <v>1</v>
      </c>
      <c r="I783" t="s">
        <v>19</v>
      </c>
      <c r="J783">
        <v>3955</v>
      </c>
      <c r="K783">
        <v>1</v>
      </c>
      <c r="L783">
        <v>3</v>
      </c>
      <c r="M783">
        <v>5</v>
      </c>
    </row>
    <row r="784" spans="1:13">
      <c r="A784">
        <v>30</v>
      </c>
      <c r="B784" t="s">
        <v>17</v>
      </c>
      <c r="C784" t="s">
        <v>18</v>
      </c>
      <c r="D784">
        <v>20</v>
      </c>
      <c r="E784">
        <v>3</v>
      </c>
      <c r="F784" t="s">
        <v>20</v>
      </c>
      <c r="G784">
        <v>3</v>
      </c>
      <c r="H784">
        <v>1</v>
      </c>
      <c r="I784" t="s">
        <v>19</v>
      </c>
      <c r="J784">
        <v>9957</v>
      </c>
      <c r="K784">
        <v>0</v>
      </c>
      <c r="L784">
        <v>2</v>
      </c>
      <c r="M784">
        <v>6</v>
      </c>
    </row>
    <row r="785" spans="1:13">
      <c r="A785">
        <v>41</v>
      </c>
      <c r="B785" t="s">
        <v>17</v>
      </c>
      <c r="C785" t="s">
        <v>18</v>
      </c>
      <c r="D785">
        <v>7</v>
      </c>
      <c r="E785">
        <v>2</v>
      </c>
      <c r="F785" t="s">
        <v>24</v>
      </c>
      <c r="G785">
        <v>2</v>
      </c>
      <c r="H785">
        <v>3</v>
      </c>
      <c r="I785" t="s">
        <v>19</v>
      </c>
      <c r="J785">
        <v>3376</v>
      </c>
      <c r="K785">
        <v>1</v>
      </c>
      <c r="L785">
        <v>3</v>
      </c>
      <c r="M785">
        <v>10</v>
      </c>
    </row>
    <row r="786" spans="1:13">
      <c r="A786">
        <v>38</v>
      </c>
      <c r="B786" t="s">
        <v>17</v>
      </c>
      <c r="C786" t="s">
        <v>18</v>
      </c>
      <c r="D786">
        <v>17</v>
      </c>
      <c r="E786">
        <v>1</v>
      </c>
      <c r="F786" t="s">
        <v>15</v>
      </c>
      <c r="G786">
        <v>3</v>
      </c>
      <c r="H786">
        <v>3</v>
      </c>
      <c r="I786" t="s">
        <v>19</v>
      </c>
      <c r="J786">
        <v>8823</v>
      </c>
      <c r="K786">
        <v>0</v>
      </c>
      <c r="L786">
        <v>2</v>
      </c>
      <c r="M786">
        <v>19</v>
      </c>
    </row>
    <row r="787" spans="1:13">
      <c r="A787">
        <v>40</v>
      </c>
      <c r="B787" t="s">
        <v>17</v>
      </c>
      <c r="C787" t="s">
        <v>18</v>
      </c>
      <c r="D787">
        <v>20</v>
      </c>
      <c r="E787">
        <v>4</v>
      </c>
      <c r="F787" t="s">
        <v>24</v>
      </c>
      <c r="G787">
        <v>1</v>
      </c>
      <c r="H787">
        <v>4</v>
      </c>
      <c r="I787" t="s">
        <v>19</v>
      </c>
      <c r="J787">
        <v>10322</v>
      </c>
      <c r="K787">
        <v>4</v>
      </c>
      <c r="L787">
        <v>3</v>
      </c>
      <c r="M787">
        <v>11</v>
      </c>
    </row>
    <row r="788" spans="1:13">
      <c r="A788">
        <v>27</v>
      </c>
      <c r="B788" t="s">
        <v>17</v>
      </c>
      <c r="C788" t="s">
        <v>18</v>
      </c>
      <c r="D788">
        <v>8</v>
      </c>
      <c r="E788">
        <v>5</v>
      </c>
      <c r="F788" t="s">
        <v>15</v>
      </c>
      <c r="G788">
        <v>1</v>
      </c>
      <c r="H788">
        <v>3</v>
      </c>
      <c r="I788" t="s">
        <v>19</v>
      </c>
      <c r="J788">
        <v>4621</v>
      </c>
      <c r="K788">
        <v>1</v>
      </c>
      <c r="L788">
        <v>3</v>
      </c>
      <c r="M788">
        <v>3</v>
      </c>
    </row>
    <row r="789" spans="1:13">
      <c r="A789">
        <v>55</v>
      </c>
      <c r="B789" t="s">
        <v>17</v>
      </c>
      <c r="C789" t="s">
        <v>18</v>
      </c>
      <c r="D789">
        <v>2</v>
      </c>
      <c r="E789">
        <v>1</v>
      </c>
      <c r="F789" t="s">
        <v>15</v>
      </c>
      <c r="G789">
        <v>4</v>
      </c>
      <c r="H789">
        <v>2</v>
      </c>
      <c r="I789" t="s">
        <v>19</v>
      </c>
      <c r="J789">
        <v>10976</v>
      </c>
      <c r="K789">
        <v>3</v>
      </c>
      <c r="L789">
        <v>3</v>
      </c>
      <c r="M789">
        <v>3</v>
      </c>
    </row>
    <row r="790" spans="1:13">
      <c r="A790">
        <v>28</v>
      </c>
      <c r="B790" t="s">
        <v>17</v>
      </c>
      <c r="C790" t="s">
        <v>18</v>
      </c>
      <c r="D790">
        <v>10</v>
      </c>
      <c r="E790">
        <v>3</v>
      </c>
      <c r="F790" t="s">
        <v>20</v>
      </c>
      <c r="G790">
        <v>3</v>
      </c>
      <c r="H790">
        <v>3</v>
      </c>
      <c r="I790" t="s">
        <v>16</v>
      </c>
      <c r="J790">
        <v>3660</v>
      </c>
      <c r="K790">
        <v>3</v>
      </c>
      <c r="L790">
        <v>4</v>
      </c>
      <c r="M790">
        <v>8</v>
      </c>
    </row>
    <row r="791" spans="1:13">
      <c r="A791">
        <v>44</v>
      </c>
      <c r="B791" t="s">
        <v>13</v>
      </c>
      <c r="C791" t="s">
        <v>25</v>
      </c>
      <c r="D791">
        <v>1</v>
      </c>
      <c r="E791">
        <v>2</v>
      </c>
      <c r="F791" t="s">
        <v>21</v>
      </c>
      <c r="G791">
        <v>2</v>
      </c>
      <c r="H791">
        <v>1</v>
      </c>
      <c r="I791" t="s">
        <v>19</v>
      </c>
      <c r="J791">
        <v>10482</v>
      </c>
      <c r="K791">
        <v>9</v>
      </c>
      <c r="L791">
        <v>3</v>
      </c>
      <c r="M791">
        <v>20</v>
      </c>
    </row>
    <row r="792" spans="1:13">
      <c r="A792">
        <v>33</v>
      </c>
      <c r="B792" t="s">
        <v>17</v>
      </c>
      <c r="C792" t="s">
        <v>18</v>
      </c>
      <c r="D792">
        <v>5</v>
      </c>
      <c r="E792">
        <v>3</v>
      </c>
      <c r="F792" t="s">
        <v>15</v>
      </c>
      <c r="G792">
        <v>4</v>
      </c>
      <c r="H792">
        <v>4</v>
      </c>
      <c r="I792" t="s">
        <v>22</v>
      </c>
      <c r="J792">
        <v>7119</v>
      </c>
      <c r="K792">
        <v>4</v>
      </c>
      <c r="L792">
        <v>3</v>
      </c>
      <c r="M792">
        <v>3</v>
      </c>
    </row>
    <row r="793" spans="1:13">
      <c r="A793">
        <v>35</v>
      </c>
      <c r="B793" t="s">
        <v>13</v>
      </c>
      <c r="C793" t="s">
        <v>14</v>
      </c>
      <c r="D793">
        <v>4</v>
      </c>
      <c r="E793">
        <v>3</v>
      </c>
      <c r="F793" t="s">
        <v>24</v>
      </c>
      <c r="G793">
        <v>4</v>
      </c>
      <c r="H793">
        <v>1</v>
      </c>
      <c r="I793" t="s">
        <v>16</v>
      </c>
      <c r="J793">
        <v>9582</v>
      </c>
      <c r="K793">
        <v>0</v>
      </c>
      <c r="L793">
        <v>3</v>
      </c>
      <c r="M793">
        <v>8</v>
      </c>
    </row>
    <row r="794" spans="1:13">
      <c r="A794">
        <v>33</v>
      </c>
      <c r="B794" t="s">
        <v>13</v>
      </c>
      <c r="C794" t="s">
        <v>18</v>
      </c>
      <c r="D794">
        <v>29</v>
      </c>
      <c r="E794">
        <v>4</v>
      </c>
      <c r="F794" t="s">
        <v>21</v>
      </c>
      <c r="G794">
        <v>1</v>
      </c>
      <c r="H794">
        <v>3</v>
      </c>
      <c r="I794" t="s">
        <v>16</v>
      </c>
      <c r="J794">
        <v>4508</v>
      </c>
      <c r="K794">
        <v>1</v>
      </c>
      <c r="L794">
        <v>3</v>
      </c>
      <c r="M794">
        <v>13</v>
      </c>
    </row>
    <row r="795" spans="1:13">
      <c r="A795">
        <v>28</v>
      </c>
      <c r="B795" t="s">
        <v>17</v>
      </c>
      <c r="C795" t="s">
        <v>18</v>
      </c>
      <c r="D795">
        <v>15</v>
      </c>
      <c r="E795">
        <v>2</v>
      </c>
      <c r="F795" t="s">
        <v>15</v>
      </c>
      <c r="G795">
        <v>1</v>
      </c>
      <c r="H795">
        <v>3</v>
      </c>
      <c r="I795" t="s">
        <v>22</v>
      </c>
      <c r="J795">
        <v>2207</v>
      </c>
      <c r="K795">
        <v>1</v>
      </c>
      <c r="L795">
        <v>2</v>
      </c>
      <c r="M795">
        <v>4</v>
      </c>
    </row>
    <row r="796" spans="1:13">
      <c r="A796">
        <v>34</v>
      </c>
      <c r="B796" t="s">
        <v>17</v>
      </c>
      <c r="C796" t="s">
        <v>18</v>
      </c>
      <c r="D796">
        <v>3</v>
      </c>
      <c r="E796">
        <v>1</v>
      </c>
      <c r="F796" t="s">
        <v>15</v>
      </c>
      <c r="G796">
        <v>1</v>
      </c>
      <c r="H796">
        <v>4</v>
      </c>
      <c r="I796" t="s">
        <v>16</v>
      </c>
      <c r="J796">
        <v>7756</v>
      </c>
      <c r="K796">
        <v>0</v>
      </c>
      <c r="L796">
        <v>2</v>
      </c>
      <c r="M796">
        <v>6</v>
      </c>
    </row>
    <row r="797" spans="1:13">
      <c r="A797">
        <v>37</v>
      </c>
      <c r="B797" t="s">
        <v>17</v>
      </c>
      <c r="C797" t="s">
        <v>14</v>
      </c>
      <c r="D797">
        <v>10</v>
      </c>
      <c r="E797">
        <v>4</v>
      </c>
      <c r="F797" t="s">
        <v>15</v>
      </c>
      <c r="G797">
        <v>4</v>
      </c>
      <c r="H797">
        <v>4</v>
      </c>
      <c r="I797" t="s">
        <v>22</v>
      </c>
      <c r="J797">
        <v>6694</v>
      </c>
      <c r="K797">
        <v>2</v>
      </c>
      <c r="L797">
        <v>3</v>
      </c>
      <c r="M797">
        <v>1</v>
      </c>
    </row>
    <row r="798" spans="1:13">
      <c r="A798">
        <v>25</v>
      </c>
      <c r="B798" t="s">
        <v>13</v>
      </c>
      <c r="C798" t="s">
        <v>18</v>
      </c>
      <c r="D798">
        <v>4</v>
      </c>
      <c r="E798">
        <v>1</v>
      </c>
      <c r="F798" t="s">
        <v>24</v>
      </c>
      <c r="G798">
        <v>4</v>
      </c>
      <c r="H798">
        <v>4</v>
      </c>
      <c r="I798" t="s">
        <v>19</v>
      </c>
      <c r="J798">
        <v>3691</v>
      </c>
      <c r="K798">
        <v>1</v>
      </c>
      <c r="L798">
        <v>4</v>
      </c>
      <c r="M798">
        <v>7</v>
      </c>
    </row>
    <row r="799" spans="1:13">
      <c r="A799">
        <v>26</v>
      </c>
      <c r="B799" t="s">
        <v>13</v>
      </c>
      <c r="C799" t="s">
        <v>18</v>
      </c>
      <c r="D799">
        <v>21</v>
      </c>
      <c r="E799">
        <v>3</v>
      </c>
      <c r="F799" t="s">
        <v>21</v>
      </c>
      <c r="G799">
        <v>1</v>
      </c>
      <c r="H799">
        <v>3</v>
      </c>
      <c r="I799" t="s">
        <v>22</v>
      </c>
      <c r="J799">
        <v>2377</v>
      </c>
      <c r="K799">
        <v>1</v>
      </c>
      <c r="L799">
        <v>2</v>
      </c>
      <c r="M799">
        <v>1</v>
      </c>
    </row>
    <row r="800" spans="1:13">
      <c r="A800">
        <v>33</v>
      </c>
      <c r="B800" t="s">
        <v>13</v>
      </c>
      <c r="C800" t="s">
        <v>18</v>
      </c>
      <c r="D800">
        <v>25</v>
      </c>
      <c r="E800">
        <v>3</v>
      </c>
      <c r="F800" t="s">
        <v>21</v>
      </c>
      <c r="G800">
        <v>1</v>
      </c>
      <c r="H800">
        <v>2</v>
      </c>
      <c r="I800" t="s">
        <v>16</v>
      </c>
      <c r="J800">
        <v>2313</v>
      </c>
      <c r="K800">
        <v>4</v>
      </c>
      <c r="L800">
        <v>3</v>
      </c>
      <c r="M800">
        <v>2</v>
      </c>
    </row>
    <row r="801" spans="1:13">
      <c r="A801">
        <v>42</v>
      </c>
      <c r="B801" t="s">
        <v>17</v>
      </c>
      <c r="C801" t="s">
        <v>18</v>
      </c>
      <c r="D801">
        <v>2</v>
      </c>
      <c r="E801">
        <v>2</v>
      </c>
      <c r="F801" t="s">
        <v>21</v>
      </c>
      <c r="G801">
        <v>4</v>
      </c>
      <c r="H801">
        <v>1</v>
      </c>
      <c r="I801" t="s">
        <v>19</v>
      </c>
      <c r="J801">
        <v>17665</v>
      </c>
      <c r="K801">
        <v>0</v>
      </c>
      <c r="L801">
        <v>3</v>
      </c>
      <c r="M801">
        <v>22</v>
      </c>
    </row>
    <row r="802" spans="1:13">
      <c r="A802">
        <v>28</v>
      </c>
      <c r="B802" t="s">
        <v>13</v>
      </c>
      <c r="C802" t="s">
        <v>18</v>
      </c>
      <c r="D802">
        <v>1</v>
      </c>
      <c r="E802">
        <v>3</v>
      </c>
      <c r="F802" t="s">
        <v>21</v>
      </c>
      <c r="G802">
        <v>1</v>
      </c>
      <c r="H802">
        <v>2</v>
      </c>
      <c r="I802" t="s">
        <v>22</v>
      </c>
      <c r="J802">
        <v>2596</v>
      </c>
      <c r="K802">
        <v>1</v>
      </c>
      <c r="L802">
        <v>3</v>
      </c>
      <c r="M802">
        <v>1</v>
      </c>
    </row>
    <row r="803" spans="1:13">
      <c r="A803">
        <v>50</v>
      </c>
      <c r="B803" t="s">
        <v>13</v>
      </c>
      <c r="C803" t="s">
        <v>14</v>
      </c>
      <c r="D803">
        <v>1</v>
      </c>
      <c r="E803">
        <v>4</v>
      </c>
      <c r="F803" t="s">
        <v>20</v>
      </c>
      <c r="G803">
        <v>4</v>
      </c>
      <c r="H803">
        <v>3</v>
      </c>
      <c r="I803" t="s">
        <v>16</v>
      </c>
      <c r="J803">
        <v>4728</v>
      </c>
      <c r="K803">
        <v>3</v>
      </c>
      <c r="L803">
        <v>3</v>
      </c>
      <c r="M803">
        <v>0</v>
      </c>
    </row>
    <row r="804" spans="1:13">
      <c r="A804">
        <v>33</v>
      </c>
      <c r="B804" t="s">
        <v>17</v>
      </c>
      <c r="C804" t="s">
        <v>14</v>
      </c>
      <c r="D804">
        <v>7</v>
      </c>
      <c r="E804">
        <v>3</v>
      </c>
      <c r="F804" t="s">
        <v>15</v>
      </c>
      <c r="G804">
        <v>4</v>
      </c>
      <c r="H804">
        <v>2</v>
      </c>
      <c r="I804" t="s">
        <v>19</v>
      </c>
      <c r="J804">
        <v>4302</v>
      </c>
      <c r="K804">
        <v>0</v>
      </c>
      <c r="L804">
        <v>3</v>
      </c>
      <c r="M804">
        <v>3</v>
      </c>
    </row>
    <row r="805" spans="1:13">
      <c r="A805">
        <v>34</v>
      </c>
      <c r="B805" t="s">
        <v>17</v>
      </c>
      <c r="C805" t="s">
        <v>18</v>
      </c>
      <c r="D805">
        <v>3</v>
      </c>
      <c r="E805">
        <v>4</v>
      </c>
      <c r="F805" t="s">
        <v>15</v>
      </c>
      <c r="G805">
        <v>3</v>
      </c>
      <c r="H805">
        <v>4</v>
      </c>
      <c r="I805" t="s">
        <v>19</v>
      </c>
      <c r="J805">
        <v>2979</v>
      </c>
      <c r="K805">
        <v>3</v>
      </c>
      <c r="L805">
        <v>3</v>
      </c>
      <c r="M805">
        <v>0</v>
      </c>
    </row>
    <row r="806" spans="1:13">
      <c r="A806">
        <v>48</v>
      </c>
      <c r="B806" t="s">
        <v>17</v>
      </c>
      <c r="C806" t="s">
        <v>18</v>
      </c>
      <c r="D806">
        <v>1</v>
      </c>
      <c r="E806">
        <v>4</v>
      </c>
      <c r="F806" t="s">
        <v>21</v>
      </c>
      <c r="G806">
        <v>1</v>
      </c>
      <c r="H806">
        <v>4</v>
      </c>
      <c r="I806" t="s">
        <v>16</v>
      </c>
      <c r="J806">
        <v>16885</v>
      </c>
      <c r="K806">
        <v>2</v>
      </c>
      <c r="L806">
        <v>2</v>
      </c>
      <c r="M806">
        <v>5</v>
      </c>
    </row>
    <row r="807" spans="1:13">
      <c r="A807">
        <v>45</v>
      </c>
      <c r="B807" t="s">
        <v>17</v>
      </c>
      <c r="C807" t="s">
        <v>14</v>
      </c>
      <c r="D807">
        <v>9</v>
      </c>
      <c r="E807">
        <v>4</v>
      </c>
      <c r="F807" t="s">
        <v>15</v>
      </c>
      <c r="G807">
        <v>2</v>
      </c>
      <c r="H807">
        <v>3</v>
      </c>
      <c r="I807" t="s">
        <v>19</v>
      </c>
      <c r="J807">
        <v>5593</v>
      </c>
      <c r="K807">
        <v>1</v>
      </c>
      <c r="L807">
        <v>3</v>
      </c>
      <c r="M807">
        <v>15</v>
      </c>
    </row>
    <row r="808" spans="1:13">
      <c r="A808">
        <v>52</v>
      </c>
      <c r="B808" t="s">
        <v>17</v>
      </c>
      <c r="C808" t="s">
        <v>18</v>
      </c>
      <c r="D808">
        <v>7</v>
      </c>
      <c r="E808">
        <v>4</v>
      </c>
      <c r="F808" t="s">
        <v>15</v>
      </c>
      <c r="G808">
        <v>2</v>
      </c>
      <c r="H808">
        <v>2</v>
      </c>
      <c r="I808" t="s">
        <v>16</v>
      </c>
      <c r="J808">
        <v>10445</v>
      </c>
      <c r="K808">
        <v>7</v>
      </c>
      <c r="L808">
        <v>3</v>
      </c>
      <c r="M808">
        <v>8</v>
      </c>
    </row>
    <row r="809" spans="1:13">
      <c r="A809">
        <v>38</v>
      </c>
      <c r="B809" t="s">
        <v>17</v>
      </c>
      <c r="C809" t="s">
        <v>14</v>
      </c>
      <c r="D809">
        <v>10</v>
      </c>
      <c r="E809">
        <v>4</v>
      </c>
      <c r="F809" t="s">
        <v>23</v>
      </c>
      <c r="G809">
        <v>3</v>
      </c>
      <c r="H809">
        <v>3</v>
      </c>
      <c r="I809" t="s">
        <v>22</v>
      </c>
      <c r="J809">
        <v>8740</v>
      </c>
      <c r="K809">
        <v>0</v>
      </c>
      <c r="L809">
        <v>3</v>
      </c>
      <c r="M809">
        <v>8</v>
      </c>
    </row>
    <row r="810" spans="1:13">
      <c r="A810">
        <v>29</v>
      </c>
      <c r="B810" t="s">
        <v>17</v>
      </c>
      <c r="C810" t="s">
        <v>18</v>
      </c>
      <c r="D810">
        <v>28</v>
      </c>
      <c r="E810">
        <v>4</v>
      </c>
      <c r="F810" t="s">
        <v>15</v>
      </c>
      <c r="G810">
        <v>3</v>
      </c>
      <c r="H810">
        <v>4</v>
      </c>
      <c r="I810" t="s">
        <v>22</v>
      </c>
      <c r="J810">
        <v>2514</v>
      </c>
      <c r="K810">
        <v>4</v>
      </c>
      <c r="L810">
        <v>3</v>
      </c>
      <c r="M810">
        <v>7</v>
      </c>
    </row>
    <row r="811" spans="1:13">
      <c r="A811">
        <v>28</v>
      </c>
      <c r="B811" t="s">
        <v>17</v>
      </c>
      <c r="C811" t="s">
        <v>18</v>
      </c>
      <c r="D811">
        <v>3</v>
      </c>
      <c r="E811">
        <v>3</v>
      </c>
      <c r="F811" t="s">
        <v>21</v>
      </c>
      <c r="G811">
        <v>4</v>
      </c>
      <c r="H811">
        <v>2</v>
      </c>
      <c r="I811" t="s">
        <v>22</v>
      </c>
      <c r="J811">
        <v>7655</v>
      </c>
      <c r="K811">
        <v>0</v>
      </c>
      <c r="L811">
        <v>2</v>
      </c>
      <c r="M811">
        <v>9</v>
      </c>
    </row>
    <row r="812" spans="1:13">
      <c r="A812">
        <v>46</v>
      </c>
      <c r="B812" t="s">
        <v>17</v>
      </c>
      <c r="C812" t="s">
        <v>14</v>
      </c>
      <c r="D812">
        <v>3</v>
      </c>
      <c r="E812">
        <v>1</v>
      </c>
      <c r="F812" t="s">
        <v>23</v>
      </c>
      <c r="G812">
        <v>1</v>
      </c>
      <c r="H812">
        <v>3</v>
      </c>
      <c r="I812" t="s">
        <v>19</v>
      </c>
      <c r="J812">
        <v>17465</v>
      </c>
      <c r="K812">
        <v>3</v>
      </c>
      <c r="L812">
        <v>3</v>
      </c>
      <c r="M812">
        <v>12</v>
      </c>
    </row>
    <row r="813" spans="1:13">
      <c r="A813">
        <v>38</v>
      </c>
      <c r="B813" t="s">
        <v>17</v>
      </c>
      <c r="C813" t="s">
        <v>14</v>
      </c>
      <c r="D813">
        <v>2</v>
      </c>
      <c r="E813">
        <v>2</v>
      </c>
      <c r="F813" t="s">
        <v>23</v>
      </c>
      <c r="G813">
        <v>4</v>
      </c>
      <c r="H813">
        <v>2</v>
      </c>
      <c r="I813" t="s">
        <v>16</v>
      </c>
      <c r="J813">
        <v>7351</v>
      </c>
      <c r="K813">
        <v>7</v>
      </c>
      <c r="L813">
        <v>3</v>
      </c>
      <c r="M813">
        <v>1</v>
      </c>
    </row>
    <row r="814" spans="1:13">
      <c r="A814">
        <v>43</v>
      </c>
      <c r="B814" t="s">
        <v>17</v>
      </c>
      <c r="C814" t="s">
        <v>18</v>
      </c>
      <c r="D814">
        <v>27</v>
      </c>
      <c r="E814">
        <v>3</v>
      </c>
      <c r="F814" t="s">
        <v>15</v>
      </c>
      <c r="G814">
        <v>3</v>
      </c>
      <c r="H814">
        <v>1</v>
      </c>
      <c r="I814" t="s">
        <v>19</v>
      </c>
      <c r="J814">
        <v>10820</v>
      </c>
      <c r="K814">
        <v>8</v>
      </c>
      <c r="L814">
        <v>3</v>
      </c>
      <c r="M814">
        <v>8</v>
      </c>
    </row>
    <row r="815" spans="1:13">
      <c r="A815">
        <v>39</v>
      </c>
      <c r="B815" t="s">
        <v>13</v>
      </c>
      <c r="C815" t="s">
        <v>18</v>
      </c>
      <c r="D815">
        <v>2</v>
      </c>
      <c r="E815">
        <v>3</v>
      </c>
      <c r="F815" t="s">
        <v>15</v>
      </c>
      <c r="G815">
        <v>1</v>
      </c>
      <c r="H815">
        <v>4</v>
      </c>
      <c r="I815" t="s">
        <v>22</v>
      </c>
      <c r="J815">
        <v>12169</v>
      </c>
      <c r="K815">
        <v>7</v>
      </c>
      <c r="L815">
        <v>3</v>
      </c>
      <c r="M815">
        <v>18</v>
      </c>
    </row>
    <row r="816" spans="1:13">
      <c r="A816">
        <v>40</v>
      </c>
      <c r="B816" t="s">
        <v>17</v>
      </c>
      <c r="C816" t="s">
        <v>18</v>
      </c>
      <c r="D816">
        <v>14</v>
      </c>
      <c r="E816">
        <v>3</v>
      </c>
      <c r="F816" t="s">
        <v>21</v>
      </c>
      <c r="G816">
        <v>3</v>
      </c>
      <c r="H816">
        <v>3</v>
      </c>
      <c r="I816" t="s">
        <v>16</v>
      </c>
      <c r="J816">
        <v>19626</v>
      </c>
      <c r="K816">
        <v>1</v>
      </c>
      <c r="L816">
        <v>4</v>
      </c>
      <c r="M816">
        <v>20</v>
      </c>
    </row>
    <row r="817" spans="1:13">
      <c r="A817">
        <v>21</v>
      </c>
      <c r="B817" t="s">
        <v>17</v>
      </c>
      <c r="C817" t="s">
        <v>18</v>
      </c>
      <c r="D817">
        <v>1</v>
      </c>
      <c r="E817">
        <v>1</v>
      </c>
      <c r="F817" t="s">
        <v>24</v>
      </c>
      <c r="G817">
        <v>4</v>
      </c>
      <c r="H817">
        <v>2</v>
      </c>
      <c r="I817" t="s">
        <v>16</v>
      </c>
      <c r="J817">
        <v>2070</v>
      </c>
      <c r="K817">
        <v>1</v>
      </c>
      <c r="L817">
        <v>4</v>
      </c>
      <c r="M817">
        <v>2</v>
      </c>
    </row>
    <row r="818" spans="1:13">
      <c r="A818">
        <v>39</v>
      </c>
      <c r="B818" t="s">
        <v>17</v>
      </c>
      <c r="C818" t="s">
        <v>18</v>
      </c>
      <c r="D818">
        <v>9</v>
      </c>
      <c r="E818">
        <v>3</v>
      </c>
      <c r="F818" t="s">
        <v>15</v>
      </c>
      <c r="G818">
        <v>3</v>
      </c>
      <c r="H818">
        <v>2</v>
      </c>
      <c r="I818" t="s">
        <v>16</v>
      </c>
      <c r="J818">
        <v>6782</v>
      </c>
      <c r="K818">
        <v>9</v>
      </c>
      <c r="L818">
        <v>2</v>
      </c>
      <c r="M818">
        <v>5</v>
      </c>
    </row>
    <row r="819" spans="1:13">
      <c r="A819">
        <v>36</v>
      </c>
      <c r="B819" t="s">
        <v>17</v>
      </c>
      <c r="C819" t="s">
        <v>18</v>
      </c>
      <c r="D819">
        <v>18</v>
      </c>
      <c r="E819">
        <v>4</v>
      </c>
      <c r="F819" t="s">
        <v>15</v>
      </c>
      <c r="G819">
        <v>1</v>
      </c>
      <c r="H819">
        <v>4</v>
      </c>
      <c r="I819" t="s">
        <v>16</v>
      </c>
      <c r="J819">
        <v>7779</v>
      </c>
      <c r="K819">
        <v>2</v>
      </c>
      <c r="L819">
        <v>3</v>
      </c>
      <c r="M819">
        <v>11</v>
      </c>
    </row>
    <row r="820" spans="1:13">
      <c r="A820">
        <v>31</v>
      </c>
      <c r="B820" t="s">
        <v>17</v>
      </c>
      <c r="C820" t="s">
        <v>14</v>
      </c>
      <c r="D820">
        <v>20</v>
      </c>
      <c r="E820">
        <v>3</v>
      </c>
      <c r="F820" t="s">
        <v>15</v>
      </c>
      <c r="G820">
        <v>3</v>
      </c>
      <c r="H820">
        <v>4</v>
      </c>
      <c r="I820" t="s">
        <v>19</v>
      </c>
      <c r="J820">
        <v>2791</v>
      </c>
      <c r="K820">
        <v>0</v>
      </c>
      <c r="L820">
        <v>3</v>
      </c>
      <c r="M820">
        <v>2</v>
      </c>
    </row>
    <row r="821" spans="1:13">
      <c r="A821">
        <v>28</v>
      </c>
      <c r="B821" t="s">
        <v>17</v>
      </c>
      <c r="C821" t="s">
        <v>18</v>
      </c>
      <c r="D821">
        <v>2</v>
      </c>
      <c r="E821">
        <v>1</v>
      </c>
      <c r="F821" t="s">
        <v>15</v>
      </c>
      <c r="G821">
        <v>1</v>
      </c>
      <c r="H821">
        <v>2</v>
      </c>
      <c r="I821" t="s">
        <v>19</v>
      </c>
      <c r="J821">
        <v>3201</v>
      </c>
      <c r="K821">
        <v>0</v>
      </c>
      <c r="L821">
        <v>1</v>
      </c>
      <c r="M821">
        <v>5</v>
      </c>
    </row>
    <row r="822" spans="1:13">
      <c r="A822">
        <v>35</v>
      </c>
      <c r="B822" t="s">
        <v>17</v>
      </c>
      <c r="C822" t="s">
        <v>14</v>
      </c>
      <c r="D822">
        <v>11</v>
      </c>
      <c r="E822">
        <v>2</v>
      </c>
      <c r="F822" t="s">
        <v>23</v>
      </c>
      <c r="G822">
        <v>4</v>
      </c>
      <c r="H822">
        <v>4</v>
      </c>
      <c r="I822" t="s">
        <v>22</v>
      </c>
      <c r="J822">
        <v>4968</v>
      </c>
      <c r="K822">
        <v>1</v>
      </c>
      <c r="L822">
        <v>3</v>
      </c>
      <c r="M822">
        <v>5</v>
      </c>
    </row>
    <row r="823" spans="1:13">
      <c r="A823">
        <v>49</v>
      </c>
      <c r="B823" t="s">
        <v>17</v>
      </c>
      <c r="C823" t="s">
        <v>14</v>
      </c>
      <c r="D823">
        <v>8</v>
      </c>
      <c r="E823">
        <v>4</v>
      </c>
      <c r="F823" t="s">
        <v>24</v>
      </c>
      <c r="G823">
        <v>4</v>
      </c>
      <c r="H823">
        <v>2</v>
      </c>
      <c r="I823" t="s">
        <v>19</v>
      </c>
      <c r="J823">
        <v>13120</v>
      </c>
      <c r="K823">
        <v>6</v>
      </c>
      <c r="L823">
        <v>3</v>
      </c>
      <c r="M823">
        <v>9</v>
      </c>
    </row>
    <row r="824" spans="1:13">
      <c r="A824">
        <v>34</v>
      </c>
      <c r="B824" t="s">
        <v>17</v>
      </c>
      <c r="C824" t="s">
        <v>18</v>
      </c>
      <c r="D824">
        <v>2</v>
      </c>
      <c r="E824">
        <v>2</v>
      </c>
      <c r="F824" t="s">
        <v>15</v>
      </c>
      <c r="G824">
        <v>4</v>
      </c>
      <c r="H824">
        <v>3</v>
      </c>
      <c r="I824" t="s">
        <v>16</v>
      </c>
      <c r="J824">
        <v>4033</v>
      </c>
      <c r="K824">
        <v>2</v>
      </c>
      <c r="L824">
        <v>2</v>
      </c>
      <c r="M824">
        <v>3</v>
      </c>
    </row>
    <row r="825" spans="1:13">
      <c r="A825">
        <v>29</v>
      </c>
      <c r="B825" t="s">
        <v>17</v>
      </c>
      <c r="C825" t="s">
        <v>18</v>
      </c>
      <c r="D825">
        <v>10</v>
      </c>
      <c r="E825">
        <v>3</v>
      </c>
      <c r="F825" t="s">
        <v>15</v>
      </c>
      <c r="G825">
        <v>4</v>
      </c>
      <c r="H825">
        <v>2</v>
      </c>
      <c r="I825" t="s">
        <v>22</v>
      </c>
      <c r="J825">
        <v>3291</v>
      </c>
      <c r="K825">
        <v>0</v>
      </c>
      <c r="L825">
        <v>2</v>
      </c>
      <c r="M825">
        <v>7</v>
      </c>
    </row>
    <row r="826" spans="1:13">
      <c r="A826">
        <v>42</v>
      </c>
      <c r="B826" t="s">
        <v>17</v>
      </c>
      <c r="C826" t="s">
        <v>18</v>
      </c>
      <c r="D826">
        <v>29</v>
      </c>
      <c r="E826">
        <v>3</v>
      </c>
      <c r="F826" t="s">
        <v>21</v>
      </c>
      <c r="G826">
        <v>2</v>
      </c>
      <c r="H826">
        <v>4</v>
      </c>
      <c r="I826" t="s">
        <v>16</v>
      </c>
      <c r="J826">
        <v>4272</v>
      </c>
      <c r="K826">
        <v>4</v>
      </c>
      <c r="L826">
        <v>3</v>
      </c>
      <c r="M826">
        <v>1</v>
      </c>
    </row>
    <row r="827" spans="1:13">
      <c r="A827">
        <v>29</v>
      </c>
      <c r="B827" t="s">
        <v>17</v>
      </c>
      <c r="C827" t="s">
        <v>18</v>
      </c>
      <c r="D827">
        <v>8</v>
      </c>
      <c r="E827">
        <v>1</v>
      </c>
      <c r="F827" t="s">
        <v>21</v>
      </c>
      <c r="G827">
        <v>2</v>
      </c>
      <c r="H827">
        <v>4</v>
      </c>
      <c r="I827" t="s">
        <v>19</v>
      </c>
      <c r="J827">
        <v>5056</v>
      </c>
      <c r="K827">
        <v>1</v>
      </c>
      <c r="L827">
        <v>2</v>
      </c>
      <c r="M827">
        <v>10</v>
      </c>
    </row>
    <row r="828" spans="1:13">
      <c r="A828">
        <v>38</v>
      </c>
      <c r="B828" t="s">
        <v>17</v>
      </c>
      <c r="C828" t="s">
        <v>25</v>
      </c>
      <c r="D828">
        <v>1</v>
      </c>
      <c r="E828">
        <v>3</v>
      </c>
      <c r="F828" t="s">
        <v>25</v>
      </c>
      <c r="G828">
        <v>3</v>
      </c>
      <c r="H828">
        <v>3</v>
      </c>
      <c r="I828" t="s">
        <v>19</v>
      </c>
      <c r="J828">
        <v>2844</v>
      </c>
      <c r="K828">
        <v>1</v>
      </c>
      <c r="L828">
        <v>4</v>
      </c>
      <c r="M828">
        <v>7</v>
      </c>
    </row>
    <row r="829" spans="1:13">
      <c r="A829">
        <v>28</v>
      </c>
      <c r="B829" t="s">
        <v>17</v>
      </c>
      <c r="C829" t="s">
        <v>18</v>
      </c>
      <c r="D829">
        <v>6</v>
      </c>
      <c r="E829">
        <v>3</v>
      </c>
      <c r="F829" t="s">
        <v>15</v>
      </c>
      <c r="G829">
        <v>3</v>
      </c>
      <c r="H829">
        <v>3</v>
      </c>
      <c r="I829" t="s">
        <v>22</v>
      </c>
      <c r="J829">
        <v>2703</v>
      </c>
      <c r="K829">
        <v>1</v>
      </c>
      <c r="L829">
        <v>3</v>
      </c>
      <c r="M829">
        <v>3</v>
      </c>
    </row>
    <row r="830" spans="1:13">
      <c r="A830">
        <v>18</v>
      </c>
      <c r="B830" t="s">
        <v>13</v>
      </c>
      <c r="C830" t="s">
        <v>18</v>
      </c>
      <c r="D830">
        <v>8</v>
      </c>
      <c r="E830">
        <v>1</v>
      </c>
      <c r="F830" t="s">
        <v>21</v>
      </c>
      <c r="G830">
        <v>3</v>
      </c>
      <c r="H830">
        <v>3</v>
      </c>
      <c r="I830" t="s">
        <v>16</v>
      </c>
      <c r="J830">
        <v>1904</v>
      </c>
      <c r="K830">
        <v>1</v>
      </c>
      <c r="L830">
        <v>3</v>
      </c>
      <c r="M830">
        <v>0</v>
      </c>
    </row>
    <row r="831" spans="1:13">
      <c r="A831">
        <v>33</v>
      </c>
      <c r="B831" t="s">
        <v>13</v>
      </c>
      <c r="C831" t="s">
        <v>14</v>
      </c>
      <c r="D831">
        <v>9</v>
      </c>
      <c r="E831">
        <v>4</v>
      </c>
      <c r="F831" t="s">
        <v>23</v>
      </c>
      <c r="G831">
        <v>1</v>
      </c>
      <c r="H831">
        <v>1</v>
      </c>
      <c r="I831" t="s">
        <v>16</v>
      </c>
      <c r="J831">
        <v>8224</v>
      </c>
      <c r="K831">
        <v>0</v>
      </c>
      <c r="L831">
        <v>3</v>
      </c>
      <c r="M831">
        <v>5</v>
      </c>
    </row>
    <row r="832" spans="1:13">
      <c r="A832">
        <v>41</v>
      </c>
      <c r="B832" t="s">
        <v>17</v>
      </c>
      <c r="C832" t="s">
        <v>18</v>
      </c>
      <c r="D832">
        <v>12</v>
      </c>
      <c r="E832">
        <v>4</v>
      </c>
      <c r="F832" t="s">
        <v>15</v>
      </c>
      <c r="G832">
        <v>2</v>
      </c>
      <c r="H832">
        <v>4</v>
      </c>
      <c r="I832" t="s">
        <v>19</v>
      </c>
      <c r="J832">
        <v>4766</v>
      </c>
      <c r="K832">
        <v>3</v>
      </c>
      <c r="L832">
        <v>3</v>
      </c>
      <c r="M832">
        <v>1</v>
      </c>
    </row>
    <row r="833" spans="1:13">
      <c r="A833">
        <v>31</v>
      </c>
      <c r="B833" t="s">
        <v>13</v>
      </c>
      <c r="C833" t="s">
        <v>18</v>
      </c>
      <c r="D833">
        <v>15</v>
      </c>
      <c r="E833">
        <v>3</v>
      </c>
      <c r="F833" t="s">
        <v>21</v>
      </c>
      <c r="G833">
        <v>3</v>
      </c>
      <c r="H833">
        <v>3</v>
      </c>
      <c r="I833" t="s">
        <v>19</v>
      </c>
      <c r="J833">
        <v>2610</v>
      </c>
      <c r="K833">
        <v>1</v>
      </c>
      <c r="L833">
        <v>2</v>
      </c>
      <c r="M833">
        <v>2</v>
      </c>
    </row>
    <row r="834" spans="1:13">
      <c r="A834">
        <v>37</v>
      </c>
      <c r="B834" t="s">
        <v>17</v>
      </c>
      <c r="C834" t="s">
        <v>18</v>
      </c>
      <c r="D834">
        <v>25</v>
      </c>
      <c r="E834">
        <v>2</v>
      </c>
      <c r="F834" t="s">
        <v>21</v>
      </c>
      <c r="G834">
        <v>3</v>
      </c>
      <c r="H834">
        <v>4</v>
      </c>
      <c r="I834" t="s">
        <v>22</v>
      </c>
      <c r="J834">
        <v>5731</v>
      </c>
      <c r="K834">
        <v>7</v>
      </c>
      <c r="L834">
        <v>3</v>
      </c>
      <c r="M834">
        <v>6</v>
      </c>
    </row>
    <row r="835" spans="1:13">
      <c r="A835">
        <v>27</v>
      </c>
      <c r="B835" t="s">
        <v>17</v>
      </c>
      <c r="C835" t="s">
        <v>18</v>
      </c>
      <c r="D835">
        <v>6</v>
      </c>
      <c r="E835">
        <v>3</v>
      </c>
      <c r="F835" t="s">
        <v>15</v>
      </c>
      <c r="G835">
        <v>4</v>
      </c>
      <c r="H835">
        <v>3</v>
      </c>
      <c r="I835" t="s">
        <v>19</v>
      </c>
      <c r="J835">
        <v>2539</v>
      </c>
      <c r="K835">
        <v>1</v>
      </c>
      <c r="L835">
        <v>3</v>
      </c>
      <c r="M835">
        <v>4</v>
      </c>
    </row>
    <row r="836" spans="1:13">
      <c r="A836">
        <v>34</v>
      </c>
      <c r="B836" t="s">
        <v>17</v>
      </c>
      <c r="C836" t="s">
        <v>14</v>
      </c>
      <c r="D836">
        <v>9</v>
      </c>
      <c r="E836">
        <v>1</v>
      </c>
      <c r="F836" t="s">
        <v>15</v>
      </c>
      <c r="G836">
        <v>2</v>
      </c>
      <c r="H836">
        <v>3</v>
      </c>
      <c r="I836" t="s">
        <v>19</v>
      </c>
      <c r="J836">
        <v>5714</v>
      </c>
      <c r="K836">
        <v>1</v>
      </c>
      <c r="L836">
        <v>2</v>
      </c>
      <c r="M836">
        <v>6</v>
      </c>
    </row>
    <row r="837" spans="1:13">
      <c r="A837">
        <v>35</v>
      </c>
      <c r="B837" t="s">
        <v>17</v>
      </c>
      <c r="C837" t="s">
        <v>25</v>
      </c>
      <c r="D837">
        <v>8</v>
      </c>
      <c r="E837">
        <v>4</v>
      </c>
      <c r="F837" t="s">
        <v>24</v>
      </c>
      <c r="G837">
        <v>3</v>
      </c>
      <c r="H837">
        <v>3</v>
      </c>
      <c r="I837" t="s">
        <v>16</v>
      </c>
      <c r="J837">
        <v>4323</v>
      </c>
      <c r="K837">
        <v>1</v>
      </c>
      <c r="L837">
        <v>1</v>
      </c>
      <c r="M837">
        <v>5</v>
      </c>
    </row>
    <row r="838" spans="1:13">
      <c r="A838">
        <v>29</v>
      </c>
      <c r="B838" t="s">
        <v>13</v>
      </c>
      <c r="C838" t="s">
        <v>14</v>
      </c>
      <c r="D838">
        <v>23</v>
      </c>
      <c r="E838">
        <v>1</v>
      </c>
      <c r="F838" t="s">
        <v>15</v>
      </c>
      <c r="G838">
        <v>4</v>
      </c>
      <c r="H838">
        <v>1</v>
      </c>
      <c r="I838" t="s">
        <v>19</v>
      </c>
      <c r="J838">
        <v>7336</v>
      </c>
      <c r="K838">
        <v>1</v>
      </c>
      <c r="L838">
        <v>1</v>
      </c>
      <c r="M838">
        <v>11</v>
      </c>
    </row>
    <row r="839" spans="1:13">
      <c r="A839">
        <v>40</v>
      </c>
      <c r="B839" t="s">
        <v>17</v>
      </c>
      <c r="C839" t="s">
        <v>18</v>
      </c>
      <c r="D839">
        <v>9</v>
      </c>
      <c r="E839">
        <v>4</v>
      </c>
      <c r="F839" t="s">
        <v>21</v>
      </c>
      <c r="G839">
        <v>2</v>
      </c>
      <c r="H839">
        <v>3</v>
      </c>
      <c r="I839" t="s">
        <v>16</v>
      </c>
      <c r="J839">
        <v>13499</v>
      </c>
      <c r="K839">
        <v>9</v>
      </c>
      <c r="L839">
        <v>2</v>
      </c>
      <c r="M839">
        <v>18</v>
      </c>
    </row>
    <row r="840" spans="1:13">
      <c r="A840">
        <v>42</v>
      </c>
      <c r="B840" t="s">
        <v>13</v>
      </c>
      <c r="C840" t="s">
        <v>14</v>
      </c>
      <c r="D840">
        <v>12</v>
      </c>
      <c r="E840">
        <v>3</v>
      </c>
      <c r="F840" t="s">
        <v>15</v>
      </c>
      <c r="G840">
        <v>3</v>
      </c>
      <c r="H840">
        <v>1</v>
      </c>
      <c r="I840" t="s">
        <v>16</v>
      </c>
      <c r="J840">
        <v>13758</v>
      </c>
      <c r="K840">
        <v>0</v>
      </c>
      <c r="L840">
        <v>2</v>
      </c>
      <c r="M840">
        <v>21</v>
      </c>
    </row>
    <row r="841" spans="1:13">
      <c r="A841">
        <v>42</v>
      </c>
      <c r="B841" t="s">
        <v>17</v>
      </c>
      <c r="C841" t="s">
        <v>14</v>
      </c>
      <c r="D841">
        <v>4</v>
      </c>
      <c r="E841">
        <v>4</v>
      </c>
      <c r="F841" t="s">
        <v>23</v>
      </c>
      <c r="G841">
        <v>2</v>
      </c>
      <c r="H841">
        <v>1</v>
      </c>
      <c r="I841" t="s">
        <v>16</v>
      </c>
      <c r="J841">
        <v>5155</v>
      </c>
      <c r="K841">
        <v>7</v>
      </c>
      <c r="L841">
        <v>4</v>
      </c>
      <c r="M841">
        <v>6</v>
      </c>
    </row>
    <row r="842" spans="1:13">
      <c r="A842">
        <v>35</v>
      </c>
      <c r="B842" t="s">
        <v>17</v>
      </c>
      <c r="C842" t="s">
        <v>18</v>
      </c>
      <c r="D842">
        <v>1</v>
      </c>
      <c r="E842">
        <v>4</v>
      </c>
      <c r="F842" t="s">
        <v>21</v>
      </c>
      <c r="G842">
        <v>4</v>
      </c>
      <c r="H842">
        <v>3</v>
      </c>
      <c r="I842" t="s">
        <v>19</v>
      </c>
      <c r="J842">
        <v>2258</v>
      </c>
      <c r="K842">
        <v>6</v>
      </c>
      <c r="L842">
        <v>3</v>
      </c>
      <c r="M842">
        <v>8</v>
      </c>
    </row>
    <row r="843" spans="1:13">
      <c r="A843">
        <v>24</v>
      </c>
      <c r="B843" t="s">
        <v>17</v>
      </c>
      <c r="C843" t="s">
        <v>18</v>
      </c>
      <c r="D843">
        <v>24</v>
      </c>
      <c r="E843">
        <v>3</v>
      </c>
      <c r="F843" t="s">
        <v>21</v>
      </c>
      <c r="G843">
        <v>4</v>
      </c>
      <c r="H843">
        <v>2</v>
      </c>
      <c r="I843" t="s">
        <v>16</v>
      </c>
      <c r="J843">
        <v>3597</v>
      </c>
      <c r="K843">
        <v>8</v>
      </c>
      <c r="L843">
        <v>3</v>
      </c>
      <c r="M843">
        <v>4</v>
      </c>
    </row>
    <row r="844" spans="1:13">
      <c r="A844">
        <v>28</v>
      </c>
      <c r="B844" t="s">
        <v>13</v>
      </c>
      <c r="C844" t="s">
        <v>18</v>
      </c>
      <c r="D844">
        <v>12</v>
      </c>
      <c r="E844">
        <v>1</v>
      </c>
      <c r="F844" t="s">
        <v>15</v>
      </c>
      <c r="G844">
        <v>3</v>
      </c>
      <c r="H844">
        <v>4</v>
      </c>
      <c r="I844" t="s">
        <v>19</v>
      </c>
      <c r="J844">
        <v>2515</v>
      </c>
      <c r="K844">
        <v>1</v>
      </c>
      <c r="L844">
        <v>2</v>
      </c>
      <c r="M844">
        <v>1</v>
      </c>
    </row>
    <row r="845" spans="1:13">
      <c r="A845">
        <v>26</v>
      </c>
      <c r="B845" t="s">
        <v>17</v>
      </c>
      <c r="C845" t="s">
        <v>18</v>
      </c>
      <c r="D845">
        <v>3</v>
      </c>
      <c r="E845">
        <v>4</v>
      </c>
      <c r="F845" t="s">
        <v>21</v>
      </c>
      <c r="G845">
        <v>1</v>
      </c>
      <c r="H845">
        <v>4</v>
      </c>
      <c r="I845" t="s">
        <v>19</v>
      </c>
      <c r="J845">
        <v>4420</v>
      </c>
      <c r="K845">
        <v>1</v>
      </c>
      <c r="L845">
        <v>3</v>
      </c>
      <c r="M845">
        <v>8</v>
      </c>
    </row>
    <row r="846" spans="1:13">
      <c r="A846">
        <v>30</v>
      </c>
      <c r="B846" t="s">
        <v>17</v>
      </c>
      <c r="C846" t="s">
        <v>14</v>
      </c>
      <c r="D846">
        <v>10</v>
      </c>
      <c r="E846">
        <v>3</v>
      </c>
      <c r="F846" t="s">
        <v>23</v>
      </c>
      <c r="G846">
        <v>3</v>
      </c>
      <c r="H846">
        <v>3</v>
      </c>
      <c r="I846" t="s">
        <v>19</v>
      </c>
      <c r="J846">
        <v>6578</v>
      </c>
      <c r="K846">
        <v>1</v>
      </c>
      <c r="L846">
        <v>3</v>
      </c>
      <c r="M846">
        <v>10</v>
      </c>
    </row>
    <row r="847" spans="1:13">
      <c r="A847">
        <v>40</v>
      </c>
      <c r="B847" t="s">
        <v>17</v>
      </c>
      <c r="C847" t="s">
        <v>18</v>
      </c>
      <c r="D847">
        <v>26</v>
      </c>
      <c r="E847">
        <v>2</v>
      </c>
      <c r="F847" t="s">
        <v>21</v>
      </c>
      <c r="G847">
        <v>3</v>
      </c>
      <c r="H847">
        <v>4</v>
      </c>
      <c r="I847" t="s">
        <v>19</v>
      </c>
      <c r="J847">
        <v>4422</v>
      </c>
      <c r="K847">
        <v>3</v>
      </c>
      <c r="L847">
        <v>1</v>
      </c>
      <c r="M847">
        <v>1</v>
      </c>
    </row>
    <row r="848" spans="1:13">
      <c r="A848">
        <v>35</v>
      </c>
      <c r="B848" t="s">
        <v>17</v>
      </c>
      <c r="C848" t="s">
        <v>18</v>
      </c>
      <c r="D848">
        <v>2</v>
      </c>
      <c r="E848">
        <v>3</v>
      </c>
      <c r="F848" t="s">
        <v>15</v>
      </c>
      <c r="G848">
        <v>3</v>
      </c>
      <c r="H848">
        <v>2</v>
      </c>
      <c r="I848" t="s">
        <v>22</v>
      </c>
      <c r="J848">
        <v>10274</v>
      </c>
      <c r="K848">
        <v>2</v>
      </c>
      <c r="L848">
        <v>4</v>
      </c>
      <c r="M848">
        <v>7</v>
      </c>
    </row>
    <row r="849" spans="1:13">
      <c r="A849">
        <v>34</v>
      </c>
      <c r="B849" t="s">
        <v>17</v>
      </c>
      <c r="C849" t="s">
        <v>18</v>
      </c>
      <c r="D849">
        <v>1</v>
      </c>
      <c r="E849">
        <v>3</v>
      </c>
      <c r="F849" t="s">
        <v>21</v>
      </c>
      <c r="G849">
        <v>4</v>
      </c>
      <c r="H849">
        <v>1</v>
      </c>
      <c r="I849" t="s">
        <v>16</v>
      </c>
      <c r="J849">
        <v>5343</v>
      </c>
      <c r="K849">
        <v>0</v>
      </c>
      <c r="L849">
        <v>3</v>
      </c>
      <c r="M849">
        <v>13</v>
      </c>
    </row>
    <row r="850" spans="1:13">
      <c r="A850">
        <v>35</v>
      </c>
      <c r="B850" t="s">
        <v>17</v>
      </c>
      <c r="C850" t="s">
        <v>18</v>
      </c>
      <c r="D850">
        <v>4</v>
      </c>
      <c r="E850">
        <v>4</v>
      </c>
      <c r="F850" t="s">
        <v>20</v>
      </c>
      <c r="G850">
        <v>4</v>
      </c>
      <c r="H850">
        <v>4</v>
      </c>
      <c r="I850" t="s">
        <v>19</v>
      </c>
      <c r="J850">
        <v>2376</v>
      </c>
      <c r="K850">
        <v>1</v>
      </c>
      <c r="L850">
        <v>4</v>
      </c>
      <c r="M850">
        <v>2</v>
      </c>
    </row>
    <row r="851" spans="1:13">
      <c r="A851">
        <v>43</v>
      </c>
      <c r="B851" t="s">
        <v>13</v>
      </c>
      <c r="C851" t="s">
        <v>14</v>
      </c>
      <c r="D851">
        <v>9</v>
      </c>
      <c r="E851">
        <v>3</v>
      </c>
      <c r="F851" t="s">
        <v>23</v>
      </c>
      <c r="G851">
        <v>1</v>
      </c>
      <c r="H851">
        <v>3</v>
      </c>
      <c r="I851" t="s">
        <v>16</v>
      </c>
      <c r="J851">
        <v>5346</v>
      </c>
      <c r="K851">
        <v>8</v>
      </c>
      <c r="L851">
        <v>2</v>
      </c>
      <c r="M851">
        <v>4</v>
      </c>
    </row>
    <row r="852" spans="1:13">
      <c r="A852">
        <v>32</v>
      </c>
      <c r="B852" t="s">
        <v>17</v>
      </c>
      <c r="C852" t="s">
        <v>14</v>
      </c>
      <c r="D852">
        <v>2</v>
      </c>
      <c r="E852">
        <v>1</v>
      </c>
      <c r="F852" t="s">
        <v>15</v>
      </c>
      <c r="G852">
        <v>3</v>
      </c>
      <c r="H852">
        <v>1</v>
      </c>
      <c r="I852" t="s">
        <v>22</v>
      </c>
      <c r="J852">
        <v>2827</v>
      </c>
      <c r="K852">
        <v>1</v>
      </c>
      <c r="L852">
        <v>3</v>
      </c>
      <c r="M852">
        <v>1</v>
      </c>
    </row>
    <row r="853" spans="1:13">
      <c r="A853">
        <v>56</v>
      </c>
      <c r="B853" t="s">
        <v>17</v>
      </c>
      <c r="C853" t="s">
        <v>18</v>
      </c>
      <c r="D853">
        <v>4</v>
      </c>
      <c r="E853">
        <v>4</v>
      </c>
      <c r="F853" t="s">
        <v>24</v>
      </c>
      <c r="G853">
        <v>4</v>
      </c>
      <c r="H853">
        <v>1</v>
      </c>
      <c r="I853" t="s">
        <v>22</v>
      </c>
      <c r="J853">
        <v>19943</v>
      </c>
      <c r="K853">
        <v>4</v>
      </c>
      <c r="L853">
        <v>3</v>
      </c>
      <c r="M853">
        <v>5</v>
      </c>
    </row>
    <row r="854" spans="1:13">
      <c r="A854">
        <v>29</v>
      </c>
      <c r="B854" t="s">
        <v>17</v>
      </c>
      <c r="C854" t="s">
        <v>18</v>
      </c>
      <c r="D854">
        <v>6</v>
      </c>
      <c r="E854">
        <v>1</v>
      </c>
      <c r="F854" t="s">
        <v>21</v>
      </c>
      <c r="G854">
        <v>2</v>
      </c>
      <c r="H854">
        <v>4</v>
      </c>
      <c r="I854" t="s">
        <v>19</v>
      </c>
      <c r="J854">
        <v>3131</v>
      </c>
      <c r="K854">
        <v>1</v>
      </c>
      <c r="L854">
        <v>3</v>
      </c>
      <c r="M854">
        <v>10</v>
      </c>
    </row>
    <row r="855" spans="1:13">
      <c r="A855">
        <v>19</v>
      </c>
      <c r="B855" t="s">
        <v>17</v>
      </c>
      <c r="C855" t="s">
        <v>18</v>
      </c>
      <c r="D855">
        <v>9</v>
      </c>
      <c r="E855">
        <v>2</v>
      </c>
      <c r="F855" t="s">
        <v>15</v>
      </c>
      <c r="G855">
        <v>3</v>
      </c>
      <c r="H855">
        <v>1</v>
      </c>
      <c r="I855" t="s">
        <v>16</v>
      </c>
      <c r="J855">
        <v>2552</v>
      </c>
      <c r="K855">
        <v>1</v>
      </c>
      <c r="L855">
        <v>3</v>
      </c>
      <c r="M855">
        <v>1</v>
      </c>
    </row>
    <row r="856" spans="1:13">
      <c r="A856">
        <v>45</v>
      </c>
      <c r="B856" t="s">
        <v>17</v>
      </c>
      <c r="C856" t="s">
        <v>18</v>
      </c>
      <c r="D856">
        <v>7</v>
      </c>
      <c r="E856">
        <v>3</v>
      </c>
      <c r="F856" t="s">
        <v>21</v>
      </c>
      <c r="G856">
        <v>1</v>
      </c>
      <c r="H856">
        <v>3</v>
      </c>
      <c r="I856" t="s">
        <v>19</v>
      </c>
      <c r="J856">
        <v>4477</v>
      </c>
      <c r="K856">
        <v>4</v>
      </c>
      <c r="L856">
        <v>2</v>
      </c>
      <c r="M856">
        <v>3</v>
      </c>
    </row>
    <row r="857" spans="1:13">
      <c r="A857">
        <v>37</v>
      </c>
      <c r="B857" t="s">
        <v>17</v>
      </c>
      <c r="C857" t="s">
        <v>18</v>
      </c>
      <c r="D857">
        <v>1</v>
      </c>
      <c r="E857">
        <v>3</v>
      </c>
      <c r="F857" t="s">
        <v>15</v>
      </c>
      <c r="G857">
        <v>4</v>
      </c>
      <c r="H857">
        <v>4</v>
      </c>
      <c r="I857" t="s">
        <v>19</v>
      </c>
      <c r="J857">
        <v>6474</v>
      </c>
      <c r="K857">
        <v>1</v>
      </c>
      <c r="L857">
        <v>2</v>
      </c>
      <c r="M857">
        <v>14</v>
      </c>
    </row>
    <row r="858" spans="1:13">
      <c r="A858">
        <v>20</v>
      </c>
      <c r="B858" t="s">
        <v>17</v>
      </c>
      <c r="C858" t="s">
        <v>18</v>
      </c>
      <c r="D858">
        <v>3</v>
      </c>
      <c r="E858">
        <v>3</v>
      </c>
      <c r="F858" t="s">
        <v>15</v>
      </c>
      <c r="G858">
        <v>1</v>
      </c>
      <c r="H858">
        <v>3</v>
      </c>
      <c r="I858" t="s">
        <v>16</v>
      </c>
      <c r="J858">
        <v>3033</v>
      </c>
      <c r="K858">
        <v>1</v>
      </c>
      <c r="L858">
        <v>2</v>
      </c>
      <c r="M858">
        <v>2</v>
      </c>
    </row>
    <row r="859" spans="1:13">
      <c r="A859">
        <v>44</v>
      </c>
      <c r="B859" t="s">
        <v>13</v>
      </c>
      <c r="C859" t="s">
        <v>18</v>
      </c>
      <c r="D859">
        <v>10</v>
      </c>
      <c r="E859">
        <v>4</v>
      </c>
      <c r="F859" t="s">
        <v>15</v>
      </c>
      <c r="G859">
        <v>3</v>
      </c>
      <c r="H859">
        <v>3</v>
      </c>
      <c r="I859" t="s">
        <v>16</v>
      </c>
      <c r="J859">
        <v>2936</v>
      </c>
      <c r="K859">
        <v>1</v>
      </c>
      <c r="L859">
        <v>3</v>
      </c>
      <c r="M859">
        <v>6</v>
      </c>
    </row>
    <row r="860" spans="1:13">
      <c r="A860">
        <v>53</v>
      </c>
      <c r="B860" t="s">
        <v>17</v>
      </c>
      <c r="C860" t="s">
        <v>18</v>
      </c>
      <c r="D860">
        <v>7</v>
      </c>
      <c r="E860">
        <v>2</v>
      </c>
      <c r="F860" t="s">
        <v>21</v>
      </c>
      <c r="G860">
        <v>4</v>
      </c>
      <c r="H860">
        <v>3</v>
      </c>
      <c r="I860" t="s">
        <v>22</v>
      </c>
      <c r="J860">
        <v>18606</v>
      </c>
      <c r="K860">
        <v>3</v>
      </c>
      <c r="L860">
        <v>3</v>
      </c>
      <c r="M860">
        <v>7</v>
      </c>
    </row>
    <row r="861" spans="1:13">
      <c r="A861">
        <v>29</v>
      </c>
      <c r="B861" t="s">
        <v>17</v>
      </c>
      <c r="C861" t="s">
        <v>18</v>
      </c>
      <c r="D861">
        <v>15</v>
      </c>
      <c r="E861">
        <v>1</v>
      </c>
      <c r="F861" t="s">
        <v>15</v>
      </c>
      <c r="G861">
        <v>2</v>
      </c>
      <c r="H861">
        <v>4</v>
      </c>
      <c r="I861" t="s">
        <v>19</v>
      </c>
      <c r="J861">
        <v>2168</v>
      </c>
      <c r="K861">
        <v>0</v>
      </c>
      <c r="L861">
        <v>2</v>
      </c>
      <c r="M861">
        <v>5</v>
      </c>
    </row>
    <row r="862" spans="1:13">
      <c r="A862">
        <v>22</v>
      </c>
      <c r="B862" t="s">
        <v>13</v>
      </c>
      <c r="C862" t="s">
        <v>18</v>
      </c>
      <c r="D862">
        <v>3</v>
      </c>
      <c r="E862">
        <v>4</v>
      </c>
      <c r="F862" t="s">
        <v>15</v>
      </c>
      <c r="G862">
        <v>3</v>
      </c>
      <c r="H862">
        <v>4</v>
      </c>
      <c r="I862" t="s">
        <v>19</v>
      </c>
      <c r="J862">
        <v>2853</v>
      </c>
      <c r="K862">
        <v>0</v>
      </c>
      <c r="L862">
        <v>3</v>
      </c>
      <c r="M862">
        <v>0</v>
      </c>
    </row>
    <row r="863" spans="1:13">
      <c r="A863">
        <v>46</v>
      </c>
      <c r="B863" t="s">
        <v>17</v>
      </c>
      <c r="C863" t="s">
        <v>14</v>
      </c>
      <c r="D863">
        <v>2</v>
      </c>
      <c r="E863">
        <v>3</v>
      </c>
      <c r="F863" t="s">
        <v>23</v>
      </c>
      <c r="G863">
        <v>3</v>
      </c>
      <c r="H863">
        <v>1</v>
      </c>
      <c r="I863" t="s">
        <v>19</v>
      </c>
      <c r="J863">
        <v>17048</v>
      </c>
      <c r="K863">
        <v>8</v>
      </c>
      <c r="L863">
        <v>3</v>
      </c>
      <c r="M863">
        <v>26</v>
      </c>
    </row>
    <row r="864" spans="1:13">
      <c r="A864">
        <v>44</v>
      </c>
      <c r="B864" t="s">
        <v>17</v>
      </c>
      <c r="C864" t="s">
        <v>18</v>
      </c>
      <c r="D864">
        <v>17</v>
      </c>
      <c r="E864">
        <v>3</v>
      </c>
      <c r="F864" t="s">
        <v>15</v>
      </c>
      <c r="G864">
        <v>4</v>
      </c>
      <c r="H864">
        <v>3</v>
      </c>
      <c r="I864" t="s">
        <v>16</v>
      </c>
      <c r="J864">
        <v>2290</v>
      </c>
      <c r="K864">
        <v>2</v>
      </c>
      <c r="L864">
        <v>3</v>
      </c>
      <c r="M864">
        <v>0</v>
      </c>
    </row>
    <row r="865" spans="1:13">
      <c r="A865">
        <v>33</v>
      </c>
      <c r="B865" t="s">
        <v>17</v>
      </c>
      <c r="C865" t="s">
        <v>25</v>
      </c>
      <c r="D865">
        <v>2</v>
      </c>
      <c r="E865">
        <v>3</v>
      </c>
      <c r="F865" t="s">
        <v>25</v>
      </c>
      <c r="G865">
        <v>2</v>
      </c>
      <c r="H865">
        <v>3</v>
      </c>
      <c r="I865" t="s">
        <v>19</v>
      </c>
      <c r="J865">
        <v>3600</v>
      </c>
      <c r="K865">
        <v>1</v>
      </c>
      <c r="L865">
        <v>3</v>
      </c>
      <c r="M865">
        <v>5</v>
      </c>
    </row>
    <row r="866" spans="1:13">
      <c r="A866">
        <v>41</v>
      </c>
      <c r="B866" t="s">
        <v>13</v>
      </c>
      <c r="C866" t="s">
        <v>18</v>
      </c>
      <c r="D866">
        <v>5</v>
      </c>
      <c r="E866">
        <v>2</v>
      </c>
      <c r="F866" t="s">
        <v>15</v>
      </c>
      <c r="G866">
        <v>1</v>
      </c>
      <c r="H866">
        <v>1</v>
      </c>
      <c r="I866" t="s">
        <v>22</v>
      </c>
      <c r="J866">
        <v>2107</v>
      </c>
      <c r="K866">
        <v>6</v>
      </c>
      <c r="L866">
        <v>1</v>
      </c>
      <c r="M866">
        <v>1</v>
      </c>
    </row>
    <row r="867" spans="1:13">
      <c r="A867">
        <v>30</v>
      </c>
      <c r="B867" t="s">
        <v>17</v>
      </c>
      <c r="C867" t="s">
        <v>14</v>
      </c>
      <c r="D867">
        <v>29</v>
      </c>
      <c r="E867">
        <v>4</v>
      </c>
      <c r="F867" t="s">
        <v>15</v>
      </c>
      <c r="G867">
        <v>3</v>
      </c>
      <c r="H867">
        <v>1</v>
      </c>
      <c r="I867" t="s">
        <v>22</v>
      </c>
      <c r="J867">
        <v>4115</v>
      </c>
      <c r="K867">
        <v>8</v>
      </c>
      <c r="L867">
        <v>3</v>
      </c>
      <c r="M867">
        <v>4</v>
      </c>
    </row>
    <row r="868" spans="1:13">
      <c r="A868">
        <v>40</v>
      </c>
      <c r="B868" t="s">
        <v>17</v>
      </c>
      <c r="C868" t="s">
        <v>14</v>
      </c>
      <c r="D868">
        <v>2</v>
      </c>
      <c r="E868">
        <v>4</v>
      </c>
      <c r="F868" t="s">
        <v>21</v>
      </c>
      <c r="G868">
        <v>2</v>
      </c>
      <c r="H868">
        <v>2</v>
      </c>
      <c r="I868" t="s">
        <v>19</v>
      </c>
      <c r="J868">
        <v>4327</v>
      </c>
      <c r="K868">
        <v>5</v>
      </c>
      <c r="L868">
        <v>3</v>
      </c>
      <c r="M868">
        <v>0</v>
      </c>
    </row>
    <row r="869" spans="1:13">
      <c r="A869">
        <v>50</v>
      </c>
      <c r="B869" t="s">
        <v>17</v>
      </c>
      <c r="C869" t="s">
        <v>18</v>
      </c>
      <c r="D869">
        <v>2</v>
      </c>
      <c r="E869">
        <v>3</v>
      </c>
      <c r="F869" t="s">
        <v>21</v>
      </c>
      <c r="G869">
        <v>4</v>
      </c>
      <c r="H869">
        <v>1</v>
      </c>
      <c r="I869" t="s">
        <v>19</v>
      </c>
      <c r="J869">
        <v>17856</v>
      </c>
      <c r="K869">
        <v>2</v>
      </c>
      <c r="L869">
        <v>3</v>
      </c>
      <c r="M869">
        <v>2</v>
      </c>
    </row>
    <row r="870" spans="1:13">
      <c r="A870">
        <v>28</v>
      </c>
      <c r="B870" t="s">
        <v>17</v>
      </c>
      <c r="C870" t="s">
        <v>18</v>
      </c>
      <c r="D870">
        <v>19</v>
      </c>
      <c r="E870">
        <v>4</v>
      </c>
      <c r="F870" t="s">
        <v>21</v>
      </c>
      <c r="G870">
        <v>4</v>
      </c>
      <c r="H870">
        <v>1</v>
      </c>
      <c r="I870" t="s">
        <v>19</v>
      </c>
      <c r="J870">
        <v>3196</v>
      </c>
      <c r="K870">
        <v>1</v>
      </c>
      <c r="L870">
        <v>3</v>
      </c>
      <c r="M870">
        <v>6</v>
      </c>
    </row>
    <row r="871" spans="1:13">
      <c r="A871">
        <v>46</v>
      </c>
      <c r="B871" t="s">
        <v>17</v>
      </c>
      <c r="C871" t="s">
        <v>18</v>
      </c>
      <c r="D871">
        <v>15</v>
      </c>
      <c r="E871">
        <v>2</v>
      </c>
      <c r="F871" t="s">
        <v>15</v>
      </c>
      <c r="G871">
        <v>4</v>
      </c>
      <c r="H871">
        <v>2</v>
      </c>
      <c r="I871" t="s">
        <v>19</v>
      </c>
      <c r="J871">
        <v>19081</v>
      </c>
      <c r="K871">
        <v>5</v>
      </c>
      <c r="L871">
        <v>3</v>
      </c>
      <c r="M871">
        <v>4</v>
      </c>
    </row>
    <row r="872" spans="1:13">
      <c r="A872">
        <v>35</v>
      </c>
      <c r="B872" t="s">
        <v>17</v>
      </c>
      <c r="C872" t="s">
        <v>14</v>
      </c>
      <c r="D872">
        <v>17</v>
      </c>
      <c r="E872">
        <v>4</v>
      </c>
      <c r="F872" t="s">
        <v>15</v>
      </c>
      <c r="G872">
        <v>3</v>
      </c>
      <c r="H872">
        <v>1</v>
      </c>
      <c r="I872" t="s">
        <v>19</v>
      </c>
      <c r="J872">
        <v>8966</v>
      </c>
      <c r="K872">
        <v>3</v>
      </c>
      <c r="L872">
        <v>3</v>
      </c>
      <c r="M872">
        <v>7</v>
      </c>
    </row>
    <row r="873" spans="1:13">
      <c r="A873">
        <v>24</v>
      </c>
      <c r="B873" t="s">
        <v>13</v>
      </c>
      <c r="C873" t="s">
        <v>18</v>
      </c>
      <c r="D873">
        <v>17</v>
      </c>
      <c r="E873">
        <v>2</v>
      </c>
      <c r="F873" t="s">
        <v>15</v>
      </c>
      <c r="G873">
        <v>4</v>
      </c>
      <c r="H873">
        <v>2</v>
      </c>
      <c r="I873" t="s">
        <v>19</v>
      </c>
      <c r="J873">
        <v>2210</v>
      </c>
      <c r="K873">
        <v>1</v>
      </c>
      <c r="L873">
        <v>1</v>
      </c>
      <c r="M873">
        <v>1</v>
      </c>
    </row>
    <row r="874" spans="1:13">
      <c r="A874">
        <v>33</v>
      </c>
      <c r="B874" t="s">
        <v>17</v>
      </c>
      <c r="C874" t="s">
        <v>14</v>
      </c>
      <c r="D874">
        <v>25</v>
      </c>
      <c r="E874">
        <v>3</v>
      </c>
      <c r="F874" t="s">
        <v>21</v>
      </c>
      <c r="G874">
        <v>2</v>
      </c>
      <c r="H874">
        <v>3</v>
      </c>
      <c r="I874" t="s">
        <v>19</v>
      </c>
      <c r="J874">
        <v>4539</v>
      </c>
      <c r="K874">
        <v>1</v>
      </c>
      <c r="L874">
        <v>2</v>
      </c>
      <c r="M874">
        <v>10</v>
      </c>
    </row>
    <row r="875" spans="1:13">
      <c r="A875">
        <v>36</v>
      </c>
      <c r="B875" t="s">
        <v>17</v>
      </c>
      <c r="C875" t="s">
        <v>18</v>
      </c>
      <c r="D875">
        <v>6</v>
      </c>
      <c r="E875">
        <v>4</v>
      </c>
      <c r="F875" t="s">
        <v>15</v>
      </c>
      <c r="G875">
        <v>3</v>
      </c>
      <c r="H875">
        <v>3</v>
      </c>
      <c r="I875" t="s">
        <v>22</v>
      </c>
      <c r="J875">
        <v>2741</v>
      </c>
      <c r="K875">
        <v>1</v>
      </c>
      <c r="L875">
        <v>3</v>
      </c>
      <c r="M875">
        <v>7</v>
      </c>
    </row>
    <row r="876" spans="1:13">
      <c r="A876">
        <v>30</v>
      </c>
      <c r="B876" t="s">
        <v>17</v>
      </c>
      <c r="C876" t="s">
        <v>18</v>
      </c>
      <c r="D876">
        <v>7</v>
      </c>
      <c r="E876">
        <v>4</v>
      </c>
      <c r="F876" t="s">
        <v>15</v>
      </c>
      <c r="G876">
        <v>3</v>
      </c>
      <c r="H876">
        <v>3</v>
      </c>
      <c r="I876" t="s">
        <v>22</v>
      </c>
      <c r="J876">
        <v>3491</v>
      </c>
      <c r="K876">
        <v>1</v>
      </c>
      <c r="L876">
        <v>2</v>
      </c>
      <c r="M876">
        <v>10</v>
      </c>
    </row>
    <row r="877" spans="1:13">
      <c r="A877">
        <v>44</v>
      </c>
      <c r="B877" t="s">
        <v>17</v>
      </c>
      <c r="C877" t="s">
        <v>18</v>
      </c>
      <c r="D877">
        <v>29</v>
      </c>
      <c r="E877">
        <v>4</v>
      </c>
      <c r="F877" t="s">
        <v>20</v>
      </c>
      <c r="G877">
        <v>4</v>
      </c>
      <c r="H877">
        <v>4</v>
      </c>
      <c r="I877" t="s">
        <v>16</v>
      </c>
      <c r="J877">
        <v>4541</v>
      </c>
      <c r="K877">
        <v>1</v>
      </c>
      <c r="L877">
        <v>3</v>
      </c>
      <c r="M877">
        <v>20</v>
      </c>
    </row>
    <row r="878" spans="1:13">
      <c r="A878">
        <v>20</v>
      </c>
      <c r="B878" t="s">
        <v>17</v>
      </c>
      <c r="C878" t="s">
        <v>14</v>
      </c>
      <c r="D878">
        <v>21</v>
      </c>
      <c r="E878">
        <v>3</v>
      </c>
      <c r="F878" t="s">
        <v>23</v>
      </c>
      <c r="G878">
        <v>3</v>
      </c>
      <c r="H878">
        <v>4</v>
      </c>
      <c r="I878" t="s">
        <v>16</v>
      </c>
      <c r="J878">
        <v>2678</v>
      </c>
      <c r="K878">
        <v>1</v>
      </c>
      <c r="L878">
        <v>3</v>
      </c>
      <c r="M878">
        <v>2</v>
      </c>
    </row>
    <row r="879" spans="1:13">
      <c r="A879">
        <v>46</v>
      </c>
      <c r="B879" t="s">
        <v>17</v>
      </c>
      <c r="C879" t="s">
        <v>18</v>
      </c>
      <c r="D879">
        <v>2</v>
      </c>
      <c r="E879">
        <v>4</v>
      </c>
      <c r="F879" t="s">
        <v>24</v>
      </c>
      <c r="G879">
        <v>4</v>
      </c>
      <c r="H879">
        <v>4</v>
      </c>
      <c r="I879" t="s">
        <v>22</v>
      </c>
      <c r="J879">
        <v>7379</v>
      </c>
      <c r="K879">
        <v>2</v>
      </c>
      <c r="L879">
        <v>2</v>
      </c>
      <c r="M879">
        <v>6</v>
      </c>
    </row>
    <row r="880" spans="1:13">
      <c r="A880">
        <v>42</v>
      </c>
      <c r="B880" t="s">
        <v>17</v>
      </c>
      <c r="C880" t="s">
        <v>25</v>
      </c>
      <c r="D880">
        <v>2</v>
      </c>
      <c r="E880">
        <v>5</v>
      </c>
      <c r="F880" t="s">
        <v>21</v>
      </c>
      <c r="G880">
        <v>4</v>
      </c>
      <c r="H880">
        <v>1</v>
      </c>
      <c r="I880" t="s">
        <v>19</v>
      </c>
      <c r="J880">
        <v>6272</v>
      </c>
      <c r="K880">
        <v>7</v>
      </c>
      <c r="L880">
        <v>4</v>
      </c>
      <c r="M880">
        <v>4</v>
      </c>
    </row>
    <row r="881" spans="1:13">
      <c r="A881">
        <v>60</v>
      </c>
      <c r="B881" t="s">
        <v>17</v>
      </c>
      <c r="C881" t="s">
        <v>14</v>
      </c>
      <c r="D881">
        <v>7</v>
      </c>
      <c r="E881">
        <v>4</v>
      </c>
      <c r="F881" t="s">
        <v>23</v>
      </c>
      <c r="G881">
        <v>2</v>
      </c>
      <c r="H881">
        <v>4</v>
      </c>
      <c r="I881" t="s">
        <v>22</v>
      </c>
      <c r="J881">
        <v>5220</v>
      </c>
      <c r="K881">
        <v>0</v>
      </c>
      <c r="L881">
        <v>3</v>
      </c>
      <c r="M881">
        <v>11</v>
      </c>
    </row>
    <row r="882" spans="1:13">
      <c r="A882">
        <v>32</v>
      </c>
      <c r="B882" t="s">
        <v>17</v>
      </c>
      <c r="C882" t="s">
        <v>18</v>
      </c>
      <c r="D882">
        <v>13</v>
      </c>
      <c r="E882">
        <v>3</v>
      </c>
      <c r="F882" t="s">
        <v>20</v>
      </c>
      <c r="G882">
        <v>3</v>
      </c>
      <c r="H882">
        <v>2</v>
      </c>
      <c r="I882" t="s">
        <v>19</v>
      </c>
      <c r="J882">
        <v>2743</v>
      </c>
      <c r="K882">
        <v>1</v>
      </c>
      <c r="L882">
        <v>3</v>
      </c>
      <c r="M882">
        <v>2</v>
      </c>
    </row>
    <row r="883" spans="1:13">
      <c r="A883">
        <v>32</v>
      </c>
      <c r="B883" t="s">
        <v>17</v>
      </c>
      <c r="C883" t="s">
        <v>18</v>
      </c>
      <c r="D883">
        <v>2</v>
      </c>
      <c r="E883">
        <v>2</v>
      </c>
      <c r="F883" t="s">
        <v>15</v>
      </c>
      <c r="G883">
        <v>4</v>
      </c>
      <c r="H883">
        <v>3</v>
      </c>
      <c r="I883" t="s">
        <v>16</v>
      </c>
      <c r="J883">
        <v>4998</v>
      </c>
      <c r="K883">
        <v>4</v>
      </c>
      <c r="L883">
        <v>3</v>
      </c>
      <c r="M883">
        <v>8</v>
      </c>
    </row>
    <row r="884" spans="1:13">
      <c r="A884">
        <v>36</v>
      </c>
      <c r="B884" t="s">
        <v>17</v>
      </c>
      <c r="C884" t="s">
        <v>18</v>
      </c>
      <c r="D884">
        <v>1</v>
      </c>
      <c r="E884">
        <v>3</v>
      </c>
      <c r="F884" t="s">
        <v>24</v>
      </c>
      <c r="G884">
        <v>3</v>
      </c>
      <c r="H884">
        <v>1</v>
      </c>
      <c r="I884" t="s">
        <v>22</v>
      </c>
      <c r="J884">
        <v>10252</v>
      </c>
      <c r="K884">
        <v>2</v>
      </c>
      <c r="L884">
        <v>3</v>
      </c>
      <c r="M884">
        <v>7</v>
      </c>
    </row>
    <row r="885" spans="1:13">
      <c r="A885">
        <v>33</v>
      </c>
      <c r="B885" t="s">
        <v>17</v>
      </c>
      <c r="C885" t="s">
        <v>18</v>
      </c>
      <c r="D885">
        <v>9</v>
      </c>
      <c r="E885">
        <v>3</v>
      </c>
      <c r="F885" t="s">
        <v>21</v>
      </c>
      <c r="G885">
        <v>1</v>
      </c>
      <c r="H885">
        <v>4</v>
      </c>
      <c r="I885" t="s">
        <v>19</v>
      </c>
      <c r="J885">
        <v>2781</v>
      </c>
      <c r="K885">
        <v>0</v>
      </c>
      <c r="L885">
        <v>3</v>
      </c>
      <c r="M885">
        <v>14</v>
      </c>
    </row>
    <row r="886" spans="1:13">
      <c r="A886">
        <v>40</v>
      </c>
      <c r="B886" t="s">
        <v>17</v>
      </c>
      <c r="C886" t="s">
        <v>14</v>
      </c>
      <c r="D886">
        <v>10</v>
      </c>
      <c r="E886">
        <v>3</v>
      </c>
      <c r="F886" t="s">
        <v>24</v>
      </c>
      <c r="G886">
        <v>2</v>
      </c>
      <c r="H886">
        <v>2</v>
      </c>
      <c r="I886" t="s">
        <v>22</v>
      </c>
      <c r="J886">
        <v>6852</v>
      </c>
      <c r="K886">
        <v>7</v>
      </c>
      <c r="L886">
        <v>4</v>
      </c>
      <c r="M886">
        <v>5</v>
      </c>
    </row>
    <row r="887" spans="1:13">
      <c r="A887">
        <v>25</v>
      </c>
      <c r="B887" t="s">
        <v>17</v>
      </c>
      <c r="C887" t="s">
        <v>14</v>
      </c>
      <c r="D887">
        <v>10</v>
      </c>
      <c r="E887">
        <v>4</v>
      </c>
      <c r="F887" t="s">
        <v>15</v>
      </c>
      <c r="G887">
        <v>3</v>
      </c>
      <c r="H887">
        <v>4</v>
      </c>
      <c r="I887" t="s">
        <v>16</v>
      </c>
      <c r="J887">
        <v>4950</v>
      </c>
      <c r="K887">
        <v>0</v>
      </c>
      <c r="L887">
        <v>3</v>
      </c>
      <c r="M887">
        <v>4</v>
      </c>
    </row>
    <row r="888" spans="1:13">
      <c r="A888">
        <v>30</v>
      </c>
      <c r="B888" t="s">
        <v>17</v>
      </c>
      <c r="C888" t="s">
        <v>18</v>
      </c>
      <c r="D888">
        <v>1</v>
      </c>
      <c r="E888">
        <v>3</v>
      </c>
      <c r="F888" t="s">
        <v>21</v>
      </c>
      <c r="G888">
        <v>4</v>
      </c>
      <c r="H888">
        <v>2</v>
      </c>
      <c r="I888" t="s">
        <v>19</v>
      </c>
      <c r="J888">
        <v>3579</v>
      </c>
      <c r="K888">
        <v>0</v>
      </c>
      <c r="L888">
        <v>3</v>
      </c>
      <c r="M888">
        <v>11</v>
      </c>
    </row>
    <row r="889" spans="1:13">
      <c r="A889">
        <v>42</v>
      </c>
      <c r="B889" t="s">
        <v>17</v>
      </c>
      <c r="C889" t="s">
        <v>18</v>
      </c>
      <c r="D889">
        <v>26</v>
      </c>
      <c r="E889">
        <v>5</v>
      </c>
      <c r="F889" t="s">
        <v>21</v>
      </c>
      <c r="G889">
        <v>1</v>
      </c>
      <c r="H889">
        <v>1</v>
      </c>
      <c r="I889" t="s">
        <v>19</v>
      </c>
      <c r="J889">
        <v>13191</v>
      </c>
      <c r="K889">
        <v>3</v>
      </c>
      <c r="L889">
        <v>3</v>
      </c>
      <c r="M889">
        <v>1</v>
      </c>
    </row>
    <row r="890" spans="1:13">
      <c r="A890">
        <v>35</v>
      </c>
      <c r="B890" t="s">
        <v>17</v>
      </c>
      <c r="C890" t="s">
        <v>14</v>
      </c>
      <c r="D890">
        <v>8</v>
      </c>
      <c r="E890">
        <v>2</v>
      </c>
      <c r="F890" t="s">
        <v>23</v>
      </c>
      <c r="G890">
        <v>3</v>
      </c>
      <c r="H890">
        <v>4</v>
      </c>
      <c r="I890" t="s">
        <v>19</v>
      </c>
      <c r="J890">
        <v>10377</v>
      </c>
      <c r="K890">
        <v>4</v>
      </c>
      <c r="L890">
        <v>2</v>
      </c>
      <c r="M890">
        <v>13</v>
      </c>
    </row>
    <row r="891" spans="1:13">
      <c r="A891">
        <v>27</v>
      </c>
      <c r="B891" t="s">
        <v>17</v>
      </c>
      <c r="C891" t="s">
        <v>18</v>
      </c>
      <c r="D891">
        <v>14</v>
      </c>
      <c r="E891">
        <v>3</v>
      </c>
      <c r="F891" t="s">
        <v>15</v>
      </c>
      <c r="G891">
        <v>1</v>
      </c>
      <c r="H891">
        <v>1</v>
      </c>
      <c r="I891" t="s">
        <v>19</v>
      </c>
      <c r="J891">
        <v>2235</v>
      </c>
      <c r="K891">
        <v>1</v>
      </c>
      <c r="L891">
        <v>2</v>
      </c>
      <c r="M891">
        <v>9</v>
      </c>
    </row>
    <row r="892" spans="1:13">
      <c r="A892">
        <v>54</v>
      </c>
      <c r="B892" t="s">
        <v>17</v>
      </c>
      <c r="C892" t="s">
        <v>18</v>
      </c>
      <c r="D892">
        <v>1</v>
      </c>
      <c r="E892">
        <v>4</v>
      </c>
      <c r="F892" t="s">
        <v>15</v>
      </c>
      <c r="G892">
        <v>4</v>
      </c>
      <c r="H892">
        <v>3</v>
      </c>
      <c r="I892" t="s">
        <v>22</v>
      </c>
      <c r="J892">
        <v>10502</v>
      </c>
      <c r="K892">
        <v>7</v>
      </c>
      <c r="L892">
        <v>1</v>
      </c>
      <c r="M892">
        <v>5</v>
      </c>
    </row>
    <row r="893" spans="1:13">
      <c r="A893">
        <v>44</v>
      </c>
      <c r="B893" t="s">
        <v>17</v>
      </c>
      <c r="C893" t="s">
        <v>18</v>
      </c>
      <c r="D893">
        <v>2</v>
      </c>
      <c r="E893">
        <v>1</v>
      </c>
      <c r="F893" t="s">
        <v>15</v>
      </c>
      <c r="G893">
        <v>1</v>
      </c>
      <c r="H893">
        <v>4</v>
      </c>
      <c r="I893" t="s">
        <v>19</v>
      </c>
      <c r="J893">
        <v>2011</v>
      </c>
      <c r="K893">
        <v>1</v>
      </c>
      <c r="L893">
        <v>3</v>
      </c>
      <c r="M893">
        <v>10</v>
      </c>
    </row>
    <row r="894" spans="1:13">
      <c r="A894">
        <v>19</v>
      </c>
      <c r="B894" t="s">
        <v>13</v>
      </c>
      <c r="C894" t="s">
        <v>18</v>
      </c>
      <c r="D894">
        <v>10</v>
      </c>
      <c r="E894">
        <v>3</v>
      </c>
      <c r="F894" t="s">
        <v>21</v>
      </c>
      <c r="G894">
        <v>1</v>
      </c>
      <c r="H894">
        <v>2</v>
      </c>
      <c r="I894" t="s">
        <v>16</v>
      </c>
      <c r="J894">
        <v>1859</v>
      </c>
      <c r="K894">
        <v>1</v>
      </c>
      <c r="L894">
        <v>4</v>
      </c>
      <c r="M894">
        <v>1</v>
      </c>
    </row>
    <row r="895" spans="1:13">
      <c r="A895">
        <v>29</v>
      </c>
      <c r="B895" t="s">
        <v>17</v>
      </c>
      <c r="C895" t="s">
        <v>18</v>
      </c>
      <c r="D895">
        <v>1</v>
      </c>
      <c r="E895">
        <v>3</v>
      </c>
      <c r="F895" t="s">
        <v>15</v>
      </c>
      <c r="G895">
        <v>1</v>
      </c>
      <c r="H895">
        <v>4</v>
      </c>
      <c r="I895" t="s">
        <v>22</v>
      </c>
      <c r="J895">
        <v>3760</v>
      </c>
      <c r="K895">
        <v>1</v>
      </c>
      <c r="L895">
        <v>3</v>
      </c>
      <c r="M895">
        <v>3</v>
      </c>
    </row>
    <row r="896" spans="1:13">
      <c r="A896">
        <v>54</v>
      </c>
      <c r="B896" t="s">
        <v>17</v>
      </c>
      <c r="C896" t="s">
        <v>18</v>
      </c>
      <c r="D896">
        <v>3</v>
      </c>
      <c r="E896">
        <v>3</v>
      </c>
      <c r="F896" t="s">
        <v>15</v>
      </c>
      <c r="G896">
        <v>4</v>
      </c>
      <c r="H896">
        <v>4</v>
      </c>
      <c r="I896" t="s">
        <v>19</v>
      </c>
      <c r="J896">
        <v>17779</v>
      </c>
      <c r="K896">
        <v>3</v>
      </c>
      <c r="L896">
        <v>3</v>
      </c>
      <c r="M896">
        <v>10</v>
      </c>
    </row>
    <row r="897" spans="1:13">
      <c r="A897">
        <v>31</v>
      </c>
      <c r="B897" t="s">
        <v>17</v>
      </c>
      <c r="C897" t="s">
        <v>18</v>
      </c>
      <c r="D897">
        <v>11</v>
      </c>
      <c r="E897">
        <v>2</v>
      </c>
      <c r="F897" t="s">
        <v>21</v>
      </c>
      <c r="G897">
        <v>3</v>
      </c>
      <c r="H897">
        <v>1</v>
      </c>
      <c r="I897" t="s">
        <v>19</v>
      </c>
      <c r="J897">
        <v>6833</v>
      </c>
      <c r="K897">
        <v>1</v>
      </c>
      <c r="L897">
        <v>2</v>
      </c>
      <c r="M897">
        <v>6</v>
      </c>
    </row>
    <row r="898" spans="1:13">
      <c r="A898">
        <v>31</v>
      </c>
      <c r="B898" t="s">
        <v>17</v>
      </c>
      <c r="C898" t="s">
        <v>18</v>
      </c>
      <c r="D898">
        <v>24</v>
      </c>
      <c r="E898">
        <v>3</v>
      </c>
      <c r="F898" t="s">
        <v>21</v>
      </c>
      <c r="G898">
        <v>3</v>
      </c>
      <c r="H898">
        <v>1</v>
      </c>
      <c r="I898" t="s">
        <v>16</v>
      </c>
      <c r="J898">
        <v>6812</v>
      </c>
      <c r="K898">
        <v>1</v>
      </c>
      <c r="L898">
        <v>3</v>
      </c>
      <c r="M898">
        <v>10</v>
      </c>
    </row>
    <row r="899" spans="1:13">
      <c r="A899">
        <v>59</v>
      </c>
      <c r="B899" t="s">
        <v>17</v>
      </c>
      <c r="C899" t="s">
        <v>14</v>
      </c>
      <c r="D899">
        <v>3</v>
      </c>
      <c r="E899">
        <v>3</v>
      </c>
      <c r="F899" t="s">
        <v>15</v>
      </c>
      <c r="G899">
        <v>3</v>
      </c>
      <c r="H899">
        <v>4</v>
      </c>
      <c r="I899" t="s">
        <v>16</v>
      </c>
      <c r="J899">
        <v>5171</v>
      </c>
      <c r="K899">
        <v>5</v>
      </c>
      <c r="L899">
        <v>3</v>
      </c>
      <c r="M899">
        <v>6</v>
      </c>
    </row>
    <row r="900" spans="1:13">
      <c r="A900">
        <v>43</v>
      </c>
      <c r="B900" t="s">
        <v>17</v>
      </c>
      <c r="C900" t="s">
        <v>18</v>
      </c>
      <c r="D900">
        <v>3</v>
      </c>
      <c r="E900">
        <v>3</v>
      </c>
      <c r="F900" t="s">
        <v>15</v>
      </c>
      <c r="G900">
        <v>3</v>
      </c>
      <c r="H900">
        <v>4</v>
      </c>
      <c r="I900" t="s">
        <v>19</v>
      </c>
      <c r="J900">
        <v>19740</v>
      </c>
      <c r="K900">
        <v>3</v>
      </c>
      <c r="L900">
        <v>3</v>
      </c>
      <c r="M900">
        <v>8</v>
      </c>
    </row>
    <row r="901" spans="1:13">
      <c r="A901">
        <v>49</v>
      </c>
      <c r="B901" t="s">
        <v>17</v>
      </c>
      <c r="C901" t="s">
        <v>18</v>
      </c>
      <c r="D901">
        <v>4</v>
      </c>
      <c r="E901">
        <v>2</v>
      </c>
      <c r="F901" t="s">
        <v>21</v>
      </c>
      <c r="G901">
        <v>1</v>
      </c>
      <c r="H901">
        <v>3</v>
      </c>
      <c r="I901" t="s">
        <v>19</v>
      </c>
      <c r="J901">
        <v>18711</v>
      </c>
      <c r="K901">
        <v>2</v>
      </c>
      <c r="L901">
        <v>4</v>
      </c>
      <c r="M901">
        <v>1</v>
      </c>
    </row>
    <row r="902" spans="1:13">
      <c r="A902">
        <v>36</v>
      </c>
      <c r="B902" t="s">
        <v>17</v>
      </c>
      <c r="C902" t="s">
        <v>18</v>
      </c>
      <c r="D902">
        <v>3</v>
      </c>
      <c r="E902">
        <v>3</v>
      </c>
      <c r="F902" t="s">
        <v>24</v>
      </c>
      <c r="G902">
        <v>3</v>
      </c>
      <c r="H902">
        <v>2</v>
      </c>
      <c r="I902" t="s">
        <v>19</v>
      </c>
      <c r="J902">
        <v>3692</v>
      </c>
      <c r="K902">
        <v>1</v>
      </c>
      <c r="L902">
        <v>2</v>
      </c>
      <c r="M902">
        <v>11</v>
      </c>
    </row>
    <row r="903" spans="1:13">
      <c r="A903">
        <v>48</v>
      </c>
      <c r="B903" t="s">
        <v>17</v>
      </c>
      <c r="C903" t="s">
        <v>18</v>
      </c>
      <c r="D903">
        <v>2</v>
      </c>
      <c r="E903">
        <v>2</v>
      </c>
      <c r="F903" t="s">
        <v>24</v>
      </c>
      <c r="G903">
        <v>4</v>
      </c>
      <c r="H903">
        <v>2</v>
      </c>
      <c r="I903" t="s">
        <v>16</v>
      </c>
      <c r="J903">
        <v>2559</v>
      </c>
      <c r="K903">
        <v>5</v>
      </c>
      <c r="L903">
        <v>2</v>
      </c>
      <c r="M903">
        <v>1</v>
      </c>
    </row>
    <row r="904" spans="1:13">
      <c r="A904">
        <v>27</v>
      </c>
      <c r="B904" t="s">
        <v>17</v>
      </c>
      <c r="C904" t="s">
        <v>18</v>
      </c>
      <c r="D904">
        <v>4</v>
      </c>
      <c r="E904">
        <v>2</v>
      </c>
      <c r="F904" t="s">
        <v>15</v>
      </c>
      <c r="G904">
        <v>1</v>
      </c>
      <c r="H904">
        <v>3</v>
      </c>
      <c r="I904" t="s">
        <v>22</v>
      </c>
      <c r="J904">
        <v>2517</v>
      </c>
      <c r="K904">
        <v>1</v>
      </c>
      <c r="L904">
        <v>3</v>
      </c>
      <c r="M904">
        <v>5</v>
      </c>
    </row>
    <row r="905" spans="1:13">
      <c r="A905">
        <v>29</v>
      </c>
      <c r="B905" t="s">
        <v>17</v>
      </c>
      <c r="C905" t="s">
        <v>18</v>
      </c>
      <c r="D905">
        <v>7</v>
      </c>
      <c r="E905">
        <v>3</v>
      </c>
      <c r="F905" t="s">
        <v>15</v>
      </c>
      <c r="G905">
        <v>3</v>
      </c>
      <c r="H905">
        <v>4</v>
      </c>
      <c r="I905" t="s">
        <v>22</v>
      </c>
      <c r="J905">
        <v>6623</v>
      </c>
      <c r="K905">
        <v>1</v>
      </c>
      <c r="L905">
        <v>3</v>
      </c>
      <c r="M905">
        <v>6</v>
      </c>
    </row>
    <row r="906" spans="1:13">
      <c r="A906">
        <v>48</v>
      </c>
      <c r="B906" t="s">
        <v>17</v>
      </c>
      <c r="C906" t="s">
        <v>18</v>
      </c>
      <c r="D906">
        <v>1</v>
      </c>
      <c r="E906">
        <v>3</v>
      </c>
      <c r="F906" t="s">
        <v>15</v>
      </c>
      <c r="G906">
        <v>4</v>
      </c>
      <c r="H906">
        <v>4</v>
      </c>
      <c r="I906" t="s">
        <v>16</v>
      </c>
      <c r="J906">
        <v>18265</v>
      </c>
      <c r="K906">
        <v>6</v>
      </c>
      <c r="L906">
        <v>4</v>
      </c>
      <c r="M906">
        <v>1</v>
      </c>
    </row>
    <row r="907" spans="1:13">
      <c r="A907">
        <v>29</v>
      </c>
      <c r="B907" t="s">
        <v>17</v>
      </c>
      <c r="C907" t="s">
        <v>18</v>
      </c>
      <c r="D907">
        <v>1</v>
      </c>
      <c r="E907">
        <v>3</v>
      </c>
      <c r="F907" t="s">
        <v>15</v>
      </c>
      <c r="G907">
        <v>4</v>
      </c>
      <c r="H907">
        <v>4</v>
      </c>
      <c r="I907" t="s">
        <v>22</v>
      </c>
      <c r="J907">
        <v>16124</v>
      </c>
      <c r="K907">
        <v>3</v>
      </c>
      <c r="L907">
        <v>2</v>
      </c>
      <c r="M907">
        <v>7</v>
      </c>
    </row>
    <row r="908" spans="1:13">
      <c r="A908">
        <v>34</v>
      </c>
      <c r="B908" t="s">
        <v>17</v>
      </c>
      <c r="C908" t="s">
        <v>18</v>
      </c>
      <c r="D908">
        <v>20</v>
      </c>
      <c r="E908">
        <v>3</v>
      </c>
      <c r="F908" t="s">
        <v>24</v>
      </c>
      <c r="G908">
        <v>3</v>
      </c>
      <c r="H908">
        <v>3</v>
      </c>
      <c r="I908" t="s">
        <v>19</v>
      </c>
      <c r="J908">
        <v>2585</v>
      </c>
      <c r="K908">
        <v>0</v>
      </c>
      <c r="L908">
        <v>2</v>
      </c>
      <c r="M908">
        <v>1</v>
      </c>
    </row>
    <row r="909" spans="1:13">
      <c r="A909">
        <v>44</v>
      </c>
      <c r="B909" t="s">
        <v>17</v>
      </c>
      <c r="C909" t="s">
        <v>14</v>
      </c>
      <c r="D909">
        <v>5</v>
      </c>
      <c r="E909">
        <v>3</v>
      </c>
      <c r="F909" t="s">
        <v>23</v>
      </c>
      <c r="G909">
        <v>2</v>
      </c>
      <c r="H909">
        <v>2</v>
      </c>
      <c r="I909" t="s">
        <v>19</v>
      </c>
      <c r="J909">
        <v>18213</v>
      </c>
      <c r="K909">
        <v>7</v>
      </c>
      <c r="L909">
        <v>3</v>
      </c>
      <c r="M909">
        <v>22</v>
      </c>
    </row>
    <row r="910" spans="1:13">
      <c r="A910">
        <v>33</v>
      </c>
      <c r="B910" t="s">
        <v>17</v>
      </c>
      <c r="C910" t="s">
        <v>14</v>
      </c>
      <c r="D910">
        <v>10</v>
      </c>
      <c r="E910">
        <v>5</v>
      </c>
      <c r="F910" t="s">
        <v>23</v>
      </c>
      <c r="G910">
        <v>4</v>
      </c>
      <c r="H910">
        <v>3</v>
      </c>
      <c r="I910" t="s">
        <v>22</v>
      </c>
      <c r="J910">
        <v>8380</v>
      </c>
      <c r="K910">
        <v>0</v>
      </c>
      <c r="L910">
        <v>3</v>
      </c>
      <c r="M910">
        <v>9</v>
      </c>
    </row>
    <row r="911" spans="1:13">
      <c r="A911">
        <v>19</v>
      </c>
      <c r="B911" t="s">
        <v>17</v>
      </c>
      <c r="C911" t="s">
        <v>18</v>
      </c>
      <c r="D911">
        <v>25</v>
      </c>
      <c r="E911">
        <v>3</v>
      </c>
      <c r="F911" t="s">
        <v>15</v>
      </c>
      <c r="G911">
        <v>2</v>
      </c>
      <c r="H911">
        <v>4</v>
      </c>
      <c r="I911" t="s">
        <v>16</v>
      </c>
      <c r="J911">
        <v>2994</v>
      </c>
      <c r="K911">
        <v>1</v>
      </c>
      <c r="L911">
        <v>3</v>
      </c>
      <c r="M911">
        <v>1</v>
      </c>
    </row>
    <row r="912" spans="1:13">
      <c r="A912">
        <v>23</v>
      </c>
      <c r="B912" t="s">
        <v>17</v>
      </c>
      <c r="C912" t="s">
        <v>18</v>
      </c>
      <c r="D912">
        <v>1</v>
      </c>
      <c r="E912">
        <v>2</v>
      </c>
      <c r="F912" t="s">
        <v>15</v>
      </c>
      <c r="G912">
        <v>4</v>
      </c>
      <c r="H912">
        <v>3</v>
      </c>
      <c r="I912" t="s">
        <v>19</v>
      </c>
      <c r="J912">
        <v>1223</v>
      </c>
      <c r="K912">
        <v>1</v>
      </c>
      <c r="L912">
        <v>3</v>
      </c>
      <c r="M912">
        <v>1</v>
      </c>
    </row>
    <row r="913" spans="1:13">
      <c r="A913">
        <v>25</v>
      </c>
      <c r="B913" t="s">
        <v>13</v>
      </c>
      <c r="C913" t="s">
        <v>14</v>
      </c>
      <c r="D913">
        <v>24</v>
      </c>
      <c r="E913">
        <v>1</v>
      </c>
      <c r="F913" t="s">
        <v>15</v>
      </c>
      <c r="G913">
        <v>3</v>
      </c>
      <c r="H913">
        <v>4</v>
      </c>
      <c r="I913" t="s">
        <v>16</v>
      </c>
      <c r="J913">
        <v>1118</v>
      </c>
      <c r="K913">
        <v>1</v>
      </c>
      <c r="L913">
        <v>3</v>
      </c>
      <c r="M913">
        <v>1</v>
      </c>
    </row>
    <row r="914" spans="1:13">
      <c r="A914">
        <v>26</v>
      </c>
      <c r="B914" t="s">
        <v>17</v>
      </c>
      <c r="C914" t="s">
        <v>18</v>
      </c>
      <c r="D914">
        <v>4</v>
      </c>
      <c r="E914">
        <v>2</v>
      </c>
      <c r="F914" t="s">
        <v>15</v>
      </c>
      <c r="G914">
        <v>3</v>
      </c>
      <c r="H914">
        <v>4</v>
      </c>
      <c r="I914" t="s">
        <v>16</v>
      </c>
      <c r="J914">
        <v>2875</v>
      </c>
      <c r="K914">
        <v>1</v>
      </c>
      <c r="L914">
        <v>2</v>
      </c>
      <c r="M914">
        <v>8</v>
      </c>
    </row>
    <row r="915" spans="1:13">
      <c r="A915">
        <v>45</v>
      </c>
      <c r="B915" t="s">
        <v>13</v>
      </c>
      <c r="C915" t="s">
        <v>14</v>
      </c>
      <c r="D915">
        <v>2</v>
      </c>
      <c r="E915">
        <v>3</v>
      </c>
      <c r="F915" t="s">
        <v>23</v>
      </c>
      <c r="G915">
        <v>1</v>
      </c>
      <c r="H915">
        <v>2</v>
      </c>
      <c r="I915" t="s">
        <v>16</v>
      </c>
      <c r="J915">
        <v>18824</v>
      </c>
      <c r="K915">
        <v>2</v>
      </c>
      <c r="L915">
        <v>3</v>
      </c>
      <c r="M915">
        <v>24</v>
      </c>
    </row>
    <row r="916" spans="1:13">
      <c r="A916">
        <v>55</v>
      </c>
      <c r="B916" t="s">
        <v>17</v>
      </c>
      <c r="C916" t="s">
        <v>18</v>
      </c>
      <c r="D916">
        <v>8</v>
      </c>
      <c r="E916">
        <v>1</v>
      </c>
      <c r="F916" t="s">
        <v>21</v>
      </c>
      <c r="G916">
        <v>4</v>
      </c>
      <c r="H916">
        <v>2</v>
      </c>
      <c r="I916" t="s">
        <v>22</v>
      </c>
      <c r="J916">
        <v>13577</v>
      </c>
      <c r="K916">
        <v>1</v>
      </c>
      <c r="L916">
        <v>3</v>
      </c>
      <c r="M916">
        <v>33</v>
      </c>
    </row>
    <row r="917" spans="1:13">
      <c r="A917">
        <v>21</v>
      </c>
      <c r="B917" t="s">
        <v>13</v>
      </c>
      <c r="C917" t="s">
        <v>18</v>
      </c>
      <c r="D917">
        <v>10</v>
      </c>
      <c r="E917">
        <v>2</v>
      </c>
      <c r="F917" t="s">
        <v>15</v>
      </c>
      <c r="G917">
        <v>1</v>
      </c>
      <c r="H917">
        <v>3</v>
      </c>
      <c r="I917" t="s">
        <v>16</v>
      </c>
      <c r="J917">
        <v>2625</v>
      </c>
      <c r="K917">
        <v>1</v>
      </c>
      <c r="L917">
        <v>1</v>
      </c>
      <c r="M917">
        <v>2</v>
      </c>
    </row>
    <row r="918" spans="1:13">
      <c r="A918">
        <v>46</v>
      </c>
      <c r="B918" t="s">
        <v>17</v>
      </c>
      <c r="C918" t="s">
        <v>14</v>
      </c>
      <c r="D918">
        <v>4</v>
      </c>
      <c r="E918">
        <v>2</v>
      </c>
      <c r="F918" t="s">
        <v>23</v>
      </c>
      <c r="G918">
        <v>4</v>
      </c>
      <c r="H918">
        <v>2</v>
      </c>
      <c r="I918" t="s">
        <v>19</v>
      </c>
      <c r="J918">
        <v>18789</v>
      </c>
      <c r="K918">
        <v>2</v>
      </c>
      <c r="L918">
        <v>3</v>
      </c>
      <c r="M918">
        <v>11</v>
      </c>
    </row>
    <row r="919" spans="1:13">
      <c r="A919">
        <v>34</v>
      </c>
      <c r="B919" t="s">
        <v>17</v>
      </c>
      <c r="C919" t="s">
        <v>14</v>
      </c>
      <c r="D919">
        <v>2</v>
      </c>
      <c r="E919">
        <v>3</v>
      </c>
      <c r="F919" t="s">
        <v>23</v>
      </c>
      <c r="G919">
        <v>3</v>
      </c>
      <c r="H919">
        <v>1</v>
      </c>
      <c r="I919" t="s">
        <v>16</v>
      </c>
      <c r="J919">
        <v>4538</v>
      </c>
      <c r="K919">
        <v>0</v>
      </c>
      <c r="L919">
        <v>3</v>
      </c>
      <c r="M919">
        <v>3</v>
      </c>
    </row>
    <row r="920" spans="1:13">
      <c r="A920">
        <v>51</v>
      </c>
      <c r="B920" t="s">
        <v>17</v>
      </c>
      <c r="C920" t="s">
        <v>14</v>
      </c>
      <c r="D920">
        <v>9</v>
      </c>
      <c r="E920">
        <v>3</v>
      </c>
      <c r="F920" t="s">
        <v>15</v>
      </c>
      <c r="G920">
        <v>4</v>
      </c>
      <c r="H920">
        <v>2</v>
      </c>
      <c r="I920" t="s">
        <v>22</v>
      </c>
      <c r="J920">
        <v>19847</v>
      </c>
      <c r="K920">
        <v>4</v>
      </c>
      <c r="L920">
        <v>2</v>
      </c>
      <c r="M920">
        <v>29</v>
      </c>
    </row>
    <row r="921" spans="1:13">
      <c r="A921">
        <v>59</v>
      </c>
      <c r="B921" t="s">
        <v>17</v>
      </c>
      <c r="C921" t="s">
        <v>18</v>
      </c>
      <c r="D921">
        <v>18</v>
      </c>
      <c r="E921">
        <v>4</v>
      </c>
      <c r="F921" t="s">
        <v>21</v>
      </c>
      <c r="G921">
        <v>4</v>
      </c>
      <c r="H921">
        <v>4</v>
      </c>
      <c r="I921" t="s">
        <v>16</v>
      </c>
      <c r="J921">
        <v>10512</v>
      </c>
      <c r="K921">
        <v>6</v>
      </c>
      <c r="L921">
        <v>2</v>
      </c>
      <c r="M921">
        <v>9</v>
      </c>
    </row>
    <row r="922" spans="1:13">
      <c r="A922">
        <v>34</v>
      </c>
      <c r="B922" t="s">
        <v>17</v>
      </c>
      <c r="C922" t="s">
        <v>18</v>
      </c>
      <c r="D922">
        <v>19</v>
      </c>
      <c r="E922">
        <v>3</v>
      </c>
      <c r="F922" t="s">
        <v>21</v>
      </c>
      <c r="G922">
        <v>3</v>
      </c>
      <c r="H922">
        <v>2</v>
      </c>
      <c r="I922" t="s">
        <v>22</v>
      </c>
      <c r="J922">
        <v>4444</v>
      </c>
      <c r="K922">
        <v>4</v>
      </c>
      <c r="L922">
        <v>4</v>
      </c>
      <c r="M922">
        <v>11</v>
      </c>
    </row>
    <row r="923" spans="1:13">
      <c r="A923">
        <v>28</v>
      </c>
      <c r="B923" t="s">
        <v>17</v>
      </c>
      <c r="C923" t="s">
        <v>18</v>
      </c>
      <c r="D923">
        <v>1</v>
      </c>
      <c r="E923">
        <v>4</v>
      </c>
      <c r="F923" t="s">
        <v>21</v>
      </c>
      <c r="G923">
        <v>4</v>
      </c>
      <c r="H923">
        <v>3</v>
      </c>
      <c r="I923" t="s">
        <v>16</v>
      </c>
      <c r="J923">
        <v>2154</v>
      </c>
      <c r="K923">
        <v>0</v>
      </c>
      <c r="L923">
        <v>2</v>
      </c>
      <c r="M923">
        <v>4</v>
      </c>
    </row>
    <row r="924" spans="1:13">
      <c r="A924">
        <v>44</v>
      </c>
      <c r="B924" t="s">
        <v>17</v>
      </c>
      <c r="C924" t="s">
        <v>18</v>
      </c>
      <c r="D924">
        <v>4</v>
      </c>
      <c r="E924">
        <v>2</v>
      </c>
      <c r="F924" t="s">
        <v>15</v>
      </c>
      <c r="G924">
        <v>3</v>
      </c>
      <c r="H924">
        <v>1</v>
      </c>
      <c r="I924" t="s">
        <v>22</v>
      </c>
      <c r="J924">
        <v>19190</v>
      </c>
      <c r="K924">
        <v>1</v>
      </c>
      <c r="L924">
        <v>2</v>
      </c>
      <c r="M924">
        <v>25</v>
      </c>
    </row>
    <row r="925" spans="1:13">
      <c r="A925">
        <v>34</v>
      </c>
      <c r="B925" t="s">
        <v>17</v>
      </c>
      <c r="C925" t="s">
        <v>25</v>
      </c>
      <c r="D925">
        <v>11</v>
      </c>
      <c r="E925">
        <v>3</v>
      </c>
      <c r="F925" t="s">
        <v>15</v>
      </c>
      <c r="G925">
        <v>3</v>
      </c>
      <c r="H925">
        <v>2</v>
      </c>
      <c r="I925" t="s">
        <v>19</v>
      </c>
      <c r="J925">
        <v>4490</v>
      </c>
      <c r="K925">
        <v>4</v>
      </c>
      <c r="L925">
        <v>4</v>
      </c>
      <c r="M925">
        <v>10</v>
      </c>
    </row>
    <row r="926" spans="1:13">
      <c r="A926">
        <v>35</v>
      </c>
      <c r="B926" t="s">
        <v>17</v>
      </c>
      <c r="C926" t="s">
        <v>18</v>
      </c>
      <c r="D926">
        <v>6</v>
      </c>
      <c r="E926">
        <v>1</v>
      </c>
      <c r="F926" t="s">
        <v>15</v>
      </c>
      <c r="G926">
        <v>3</v>
      </c>
      <c r="H926">
        <v>3</v>
      </c>
      <c r="I926" t="s">
        <v>19</v>
      </c>
      <c r="J926">
        <v>3506</v>
      </c>
      <c r="K926">
        <v>0</v>
      </c>
      <c r="L926">
        <v>3</v>
      </c>
      <c r="M926">
        <v>3</v>
      </c>
    </row>
    <row r="927" spans="1:13">
      <c r="A927">
        <v>42</v>
      </c>
      <c r="B927" t="s">
        <v>17</v>
      </c>
      <c r="C927" t="s">
        <v>18</v>
      </c>
      <c r="D927">
        <v>7</v>
      </c>
      <c r="E927">
        <v>4</v>
      </c>
      <c r="F927" t="s">
        <v>21</v>
      </c>
      <c r="G927">
        <v>2</v>
      </c>
      <c r="H927">
        <v>2</v>
      </c>
      <c r="I927" t="s">
        <v>19</v>
      </c>
      <c r="J927">
        <v>2372</v>
      </c>
      <c r="K927">
        <v>6</v>
      </c>
      <c r="L927">
        <v>3</v>
      </c>
      <c r="M927">
        <v>1</v>
      </c>
    </row>
    <row r="928" spans="1:13">
      <c r="A928">
        <v>43</v>
      </c>
      <c r="B928" t="s">
        <v>17</v>
      </c>
      <c r="C928" t="s">
        <v>14</v>
      </c>
      <c r="D928">
        <v>4</v>
      </c>
      <c r="E928">
        <v>4</v>
      </c>
      <c r="F928" t="s">
        <v>23</v>
      </c>
      <c r="G928">
        <v>4</v>
      </c>
      <c r="H928">
        <v>4</v>
      </c>
      <c r="I928" t="s">
        <v>16</v>
      </c>
      <c r="J928">
        <v>10231</v>
      </c>
      <c r="K928">
        <v>3</v>
      </c>
      <c r="L928">
        <v>4</v>
      </c>
      <c r="M928">
        <v>21</v>
      </c>
    </row>
    <row r="929" spans="1:13">
      <c r="A929">
        <v>36</v>
      </c>
      <c r="B929" t="s">
        <v>17</v>
      </c>
      <c r="C929" t="s">
        <v>18</v>
      </c>
      <c r="D929">
        <v>2</v>
      </c>
      <c r="E929">
        <v>4</v>
      </c>
      <c r="F929" t="s">
        <v>15</v>
      </c>
      <c r="G929">
        <v>3</v>
      </c>
      <c r="H929">
        <v>2</v>
      </c>
      <c r="I929" t="s">
        <v>16</v>
      </c>
      <c r="J929">
        <v>5410</v>
      </c>
      <c r="K929">
        <v>9</v>
      </c>
      <c r="L929">
        <v>3</v>
      </c>
      <c r="M929">
        <v>16</v>
      </c>
    </row>
    <row r="930" spans="1:13">
      <c r="A930">
        <v>44</v>
      </c>
      <c r="B930" t="s">
        <v>13</v>
      </c>
      <c r="C930" t="s">
        <v>18</v>
      </c>
      <c r="D930">
        <v>15</v>
      </c>
      <c r="E930">
        <v>3</v>
      </c>
      <c r="F930" t="s">
        <v>21</v>
      </c>
      <c r="G930">
        <v>1</v>
      </c>
      <c r="H930">
        <v>4</v>
      </c>
      <c r="I930" t="s">
        <v>19</v>
      </c>
      <c r="J930">
        <v>7978</v>
      </c>
      <c r="K930">
        <v>1</v>
      </c>
      <c r="L930">
        <v>3</v>
      </c>
      <c r="M930">
        <v>10</v>
      </c>
    </row>
    <row r="931" spans="1:13">
      <c r="A931">
        <v>28</v>
      </c>
      <c r="B931" t="s">
        <v>17</v>
      </c>
      <c r="C931" t="s">
        <v>18</v>
      </c>
      <c r="D931">
        <v>2</v>
      </c>
      <c r="E931">
        <v>3</v>
      </c>
      <c r="F931" t="s">
        <v>15</v>
      </c>
      <c r="G931">
        <v>4</v>
      </c>
      <c r="H931">
        <v>4</v>
      </c>
      <c r="I931" t="s">
        <v>19</v>
      </c>
      <c r="J931">
        <v>3867</v>
      </c>
      <c r="K931">
        <v>1</v>
      </c>
      <c r="L931">
        <v>3</v>
      </c>
      <c r="M931">
        <v>2</v>
      </c>
    </row>
    <row r="932" spans="1:13">
      <c r="A932">
        <v>51</v>
      </c>
      <c r="B932" t="s">
        <v>17</v>
      </c>
      <c r="C932" t="s">
        <v>18</v>
      </c>
      <c r="D932">
        <v>6</v>
      </c>
      <c r="E932">
        <v>2</v>
      </c>
      <c r="F932" t="s">
        <v>21</v>
      </c>
      <c r="G932">
        <v>2</v>
      </c>
      <c r="H932">
        <v>3</v>
      </c>
      <c r="I932" t="s">
        <v>16</v>
      </c>
      <c r="J932">
        <v>2838</v>
      </c>
      <c r="K932">
        <v>0</v>
      </c>
      <c r="L932">
        <v>2</v>
      </c>
      <c r="M932">
        <v>7</v>
      </c>
    </row>
    <row r="933" spans="1:13">
      <c r="A933">
        <v>30</v>
      </c>
      <c r="B933" t="s">
        <v>17</v>
      </c>
      <c r="C933" t="s">
        <v>18</v>
      </c>
      <c r="D933">
        <v>9</v>
      </c>
      <c r="E933">
        <v>2</v>
      </c>
      <c r="F933" t="s">
        <v>21</v>
      </c>
      <c r="G933">
        <v>3</v>
      </c>
      <c r="H933">
        <v>3</v>
      </c>
      <c r="I933" t="s">
        <v>16</v>
      </c>
      <c r="J933">
        <v>4695</v>
      </c>
      <c r="K933">
        <v>7</v>
      </c>
      <c r="L933">
        <v>3</v>
      </c>
      <c r="M933">
        <v>8</v>
      </c>
    </row>
    <row r="934" spans="1:13">
      <c r="A934">
        <v>29</v>
      </c>
      <c r="B934" t="s">
        <v>13</v>
      </c>
      <c r="C934" t="s">
        <v>18</v>
      </c>
      <c r="D934">
        <v>7</v>
      </c>
      <c r="E934">
        <v>3</v>
      </c>
      <c r="F934" t="s">
        <v>24</v>
      </c>
      <c r="G934">
        <v>2</v>
      </c>
      <c r="H934">
        <v>3</v>
      </c>
      <c r="I934" t="s">
        <v>22</v>
      </c>
      <c r="J934">
        <v>3339</v>
      </c>
      <c r="K934">
        <v>3</v>
      </c>
      <c r="L934">
        <v>3</v>
      </c>
      <c r="M934">
        <v>7</v>
      </c>
    </row>
    <row r="935" spans="1:13">
      <c r="A935">
        <v>28</v>
      </c>
      <c r="B935" t="s">
        <v>17</v>
      </c>
      <c r="C935" t="s">
        <v>18</v>
      </c>
      <c r="D935">
        <v>1</v>
      </c>
      <c r="E935">
        <v>3</v>
      </c>
      <c r="F935" t="s">
        <v>24</v>
      </c>
      <c r="G935">
        <v>4</v>
      </c>
      <c r="H935">
        <v>1</v>
      </c>
      <c r="I935" t="s">
        <v>16</v>
      </c>
      <c r="J935">
        <v>2080</v>
      </c>
      <c r="K935">
        <v>2</v>
      </c>
      <c r="L935">
        <v>2</v>
      </c>
      <c r="M935">
        <v>3</v>
      </c>
    </row>
    <row r="936" spans="1:13">
      <c r="A936">
        <v>25</v>
      </c>
      <c r="B936" t="s">
        <v>17</v>
      </c>
      <c r="C936" t="s">
        <v>18</v>
      </c>
      <c r="D936">
        <v>1</v>
      </c>
      <c r="E936">
        <v>3</v>
      </c>
      <c r="F936" t="s">
        <v>21</v>
      </c>
      <c r="G936">
        <v>4</v>
      </c>
      <c r="H936">
        <v>2</v>
      </c>
      <c r="I936" t="s">
        <v>16</v>
      </c>
      <c r="J936">
        <v>2096</v>
      </c>
      <c r="K936">
        <v>1</v>
      </c>
      <c r="L936">
        <v>2</v>
      </c>
      <c r="M936">
        <v>2</v>
      </c>
    </row>
    <row r="937" spans="1:13">
      <c r="A937">
        <v>32</v>
      </c>
      <c r="B937" t="s">
        <v>17</v>
      </c>
      <c r="C937" t="s">
        <v>14</v>
      </c>
      <c r="D937">
        <v>8</v>
      </c>
      <c r="E937">
        <v>3</v>
      </c>
      <c r="F937" t="s">
        <v>21</v>
      </c>
      <c r="G937">
        <v>3</v>
      </c>
      <c r="H937">
        <v>4</v>
      </c>
      <c r="I937" t="s">
        <v>19</v>
      </c>
      <c r="J937">
        <v>6209</v>
      </c>
      <c r="K937">
        <v>1</v>
      </c>
      <c r="L937">
        <v>4</v>
      </c>
      <c r="M937">
        <v>10</v>
      </c>
    </row>
    <row r="938" spans="1:13">
      <c r="A938">
        <v>45</v>
      </c>
      <c r="B938" t="s">
        <v>17</v>
      </c>
      <c r="C938" t="s">
        <v>18</v>
      </c>
      <c r="D938">
        <v>25</v>
      </c>
      <c r="E938">
        <v>3</v>
      </c>
      <c r="F938" t="s">
        <v>21</v>
      </c>
      <c r="G938">
        <v>2</v>
      </c>
      <c r="H938">
        <v>2</v>
      </c>
      <c r="I938" t="s">
        <v>16</v>
      </c>
      <c r="J938">
        <v>18061</v>
      </c>
      <c r="K938">
        <v>3</v>
      </c>
      <c r="L938">
        <v>3</v>
      </c>
      <c r="M938">
        <v>0</v>
      </c>
    </row>
    <row r="939" spans="1:13">
      <c r="A939">
        <v>39</v>
      </c>
      <c r="B939" t="s">
        <v>17</v>
      </c>
      <c r="C939" t="s">
        <v>18</v>
      </c>
      <c r="D939">
        <v>13</v>
      </c>
      <c r="E939">
        <v>4</v>
      </c>
      <c r="F939" t="s">
        <v>21</v>
      </c>
      <c r="G939">
        <v>3</v>
      </c>
      <c r="H939">
        <v>2</v>
      </c>
      <c r="I939" t="s">
        <v>22</v>
      </c>
      <c r="J939">
        <v>17123</v>
      </c>
      <c r="K939">
        <v>6</v>
      </c>
      <c r="L939">
        <v>3</v>
      </c>
      <c r="M939">
        <v>19</v>
      </c>
    </row>
    <row r="940" spans="1:13">
      <c r="A940">
        <v>58</v>
      </c>
      <c r="B940" t="s">
        <v>17</v>
      </c>
      <c r="C940" t="s">
        <v>18</v>
      </c>
      <c r="D940">
        <v>23</v>
      </c>
      <c r="E940">
        <v>4</v>
      </c>
      <c r="F940" t="s">
        <v>15</v>
      </c>
      <c r="G940">
        <v>1</v>
      </c>
      <c r="H940">
        <v>3</v>
      </c>
      <c r="I940" t="s">
        <v>22</v>
      </c>
      <c r="J940">
        <v>2372</v>
      </c>
      <c r="K940">
        <v>1</v>
      </c>
      <c r="L940">
        <v>3</v>
      </c>
      <c r="M940">
        <v>2</v>
      </c>
    </row>
    <row r="941" spans="1:13">
      <c r="A941">
        <v>32</v>
      </c>
      <c r="B941" t="s">
        <v>13</v>
      </c>
      <c r="C941" t="s">
        <v>18</v>
      </c>
      <c r="D941">
        <v>7</v>
      </c>
      <c r="E941">
        <v>2</v>
      </c>
      <c r="F941" t="s">
        <v>15</v>
      </c>
      <c r="G941">
        <v>4</v>
      </c>
      <c r="H941">
        <v>3</v>
      </c>
      <c r="I941" t="s">
        <v>19</v>
      </c>
      <c r="J941">
        <v>4883</v>
      </c>
      <c r="K941">
        <v>1</v>
      </c>
      <c r="L941">
        <v>3</v>
      </c>
      <c r="M941">
        <v>10</v>
      </c>
    </row>
    <row r="942" spans="1:13">
      <c r="A942">
        <v>39</v>
      </c>
      <c r="B942" t="s">
        <v>13</v>
      </c>
      <c r="C942" t="s">
        <v>18</v>
      </c>
      <c r="D942">
        <v>23</v>
      </c>
      <c r="E942">
        <v>3</v>
      </c>
      <c r="F942" t="s">
        <v>21</v>
      </c>
      <c r="G942">
        <v>3</v>
      </c>
      <c r="H942">
        <v>1</v>
      </c>
      <c r="I942" t="s">
        <v>16</v>
      </c>
      <c r="J942">
        <v>3904</v>
      </c>
      <c r="K942">
        <v>0</v>
      </c>
      <c r="L942">
        <v>3</v>
      </c>
      <c r="M942">
        <v>5</v>
      </c>
    </row>
    <row r="943" spans="1:13">
      <c r="A943">
        <v>30</v>
      </c>
      <c r="B943" t="s">
        <v>17</v>
      </c>
      <c r="C943" t="s">
        <v>18</v>
      </c>
      <c r="D943">
        <v>6</v>
      </c>
      <c r="E943">
        <v>3</v>
      </c>
      <c r="F943" t="s">
        <v>24</v>
      </c>
      <c r="G943">
        <v>1</v>
      </c>
      <c r="H943">
        <v>4</v>
      </c>
      <c r="I943" t="s">
        <v>19</v>
      </c>
      <c r="J943">
        <v>4627</v>
      </c>
      <c r="K943">
        <v>0</v>
      </c>
      <c r="L943">
        <v>3</v>
      </c>
      <c r="M943">
        <v>9</v>
      </c>
    </row>
    <row r="944" spans="1:13">
      <c r="A944">
        <v>36</v>
      </c>
      <c r="B944" t="s">
        <v>17</v>
      </c>
      <c r="C944" t="s">
        <v>18</v>
      </c>
      <c r="D944">
        <v>10</v>
      </c>
      <c r="E944">
        <v>4</v>
      </c>
      <c r="F944" t="s">
        <v>24</v>
      </c>
      <c r="G944">
        <v>4</v>
      </c>
      <c r="H944">
        <v>3</v>
      </c>
      <c r="I944" t="s">
        <v>19</v>
      </c>
      <c r="J944">
        <v>7094</v>
      </c>
      <c r="K944">
        <v>3</v>
      </c>
      <c r="L944">
        <v>3</v>
      </c>
      <c r="M944">
        <v>7</v>
      </c>
    </row>
    <row r="945" spans="1:13">
      <c r="A945">
        <v>46</v>
      </c>
      <c r="B945" t="s">
        <v>17</v>
      </c>
      <c r="C945" t="s">
        <v>25</v>
      </c>
      <c r="D945">
        <v>1</v>
      </c>
      <c r="E945">
        <v>2</v>
      </c>
      <c r="F945" t="s">
        <v>15</v>
      </c>
      <c r="G945">
        <v>4</v>
      </c>
      <c r="H945">
        <v>1</v>
      </c>
      <c r="I945" t="s">
        <v>16</v>
      </c>
      <c r="J945">
        <v>3423</v>
      </c>
      <c r="K945">
        <v>6</v>
      </c>
      <c r="L945">
        <v>4</v>
      </c>
      <c r="M945">
        <v>7</v>
      </c>
    </row>
    <row r="946" spans="1:13">
      <c r="A946">
        <v>28</v>
      </c>
      <c r="B946" t="s">
        <v>17</v>
      </c>
      <c r="C946" t="s">
        <v>18</v>
      </c>
      <c r="D946">
        <v>1</v>
      </c>
      <c r="E946">
        <v>3</v>
      </c>
      <c r="F946" t="s">
        <v>15</v>
      </c>
      <c r="G946">
        <v>3</v>
      </c>
      <c r="H946">
        <v>4</v>
      </c>
      <c r="I946" t="s">
        <v>19</v>
      </c>
      <c r="J946">
        <v>6674</v>
      </c>
      <c r="K946">
        <v>0</v>
      </c>
      <c r="L946">
        <v>3</v>
      </c>
      <c r="M946">
        <v>9</v>
      </c>
    </row>
    <row r="947" spans="1:13">
      <c r="A947">
        <v>50</v>
      </c>
      <c r="B947" t="s">
        <v>17</v>
      </c>
      <c r="C947" t="s">
        <v>18</v>
      </c>
      <c r="D947">
        <v>28</v>
      </c>
      <c r="E947">
        <v>3</v>
      </c>
      <c r="F947" t="s">
        <v>15</v>
      </c>
      <c r="G947">
        <v>4</v>
      </c>
      <c r="H947">
        <v>1</v>
      </c>
      <c r="I947" t="s">
        <v>19</v>
      </c>
      <c r="J947">
        <v>16880</v>
      </c>
      <c r="K947">
        <v>4</v>
      </c>
      <c r="L947">
        <v>3</v>
      </c>
      <c r="M947">
        <v>3</v>
      </c>
    </row>
    <row r="948" spans="1:13">
      <c r="A948">
        <v>40</v>
      </c>
      <c r="B948" t="s">
        <v>13</v>
      </c>
      <c r="C948" t="s">
        <v>14</v>
      </c>
      <c r="D948">
        <v>25</v>
      </c>
      <c r="E948">
        <v>4</v>
      </c>
      <c r="F948" t="s">
        <v>23</v>
      </c>
      <c r="G948">
        <v>4</v>
      </c>
      <c r="H948">
        <v>2</v>
      </c>
      <c r="I948" t="s">
        <v>16</v>
      </c>
      <c r="J948">
        <v>9094</v>
      </c>
      <c r="K948">
        <v>2</v>
      </c>
      <c r="L948">
        <v>3</v>
      </c>
      <c r="M948">
        <v>5</v>
      </c>
    </row>
    <row r="949" spans="1:13">
      <c r="A949">
        <v>52</v>
      </c>
      <c r="B949" t="s">
        <v>13</v>
      </c>
      <c r="C949" t="s">
        <v>14</v>
      </c>
      <c r="D949">
        <v>5</v>
      </c>
      <c r="E949">
        <v>3</v>
      </c>
      <c r="F949" t="s">
        <v>15</v>
      </c>
      <c r="G949">
        <v>2</v>
      </c>
      <c r="H949">
        <v>2</v>
      </c>
      <c r="I949" t="s">
        <v>16</v>
      </c>
      <c r="J949">
        <v>8446</v>
      </c>
      <c r="K949">
        <v>9</v>
      </c>
      <c r="L949">
        <v>2</v>
      </c>
      <c r="M949">
        <v>8</v>
      </c>
    </row>
    <row r="950" spans="1:13">
      <c r="A950">
        <v>30</v>
      </c>
      <c r="B950" t="s">
        <v>17</v>
      </c>
      <c r="C950" t="s">
        <v>18</v>
      </c>
      <c r="D950">
        <v>17</v>
      </c>
      <c r="E950">
        <v>4</v>
      </c>
      <c r="F950" t="s">
        <v>21</v>
      </c>
      <c r="G950">
        <v>2</v>
      </c>
      <c r="H950">
        <v>1</v>
      </c>
      <c r="I950" t="s">
        <v>19</v>
      </c>
      <c r="J950">
        <v>11916</v>
      </c>
      <c r="K950">
        <v>1</v>
      </c>
      <c r="L950">
        <v>3</v>
      </c>
      <c r="M950">
        <v>9</v>
      </c>
    </row>
    <row r="951" spans="1:13">
      <c r="A951">
        <v>39</v>
      </c>
      <c r="B951" t="s">
        <v>17</v>
      </c>
      <c r="C951" t="s">
        <v>18</v>
      </c>
      <c r="D951">
        <v>18</v>
      </c>
      <c r="E951">
        <v>2</v>
      </c>
      <c r="F951" t="s">
        <v>15</v>
      </c>
      <c r="G951">
        <v>1</v>
      </c>
      <c r="H951">
        <v>3</v>
      </c>
      <c r="I951" t="s">
        <v>16</v>
      </c>
      <c r="J951">
        <v>4534</v>
      </c>
      <c r="K951">
        <v>0</v>
      </c>
      <c r="L951">
        <v>3</v>
      </c>
      <c r="M951">
        <v>8</v>
      </c>
    </row>
    <row r="952" spans="1:13">
      <c r="A952">
        <v>31</v>
      </c>
      <c r="B952" t="s">
        <v>17</v>
      </c>
      <c r="C952" t="s">
        <v>14</v>
      </c>
      <c r="D952">
        <v>2</v>
      </c>
      <c r="E952">
        <v>4</v>
      </c>
      <c r="F952" t="s">
        <v>15</v>
      </c>
      <c r="G952">
        <v>4</v>
      </c>
      <c r="H952">
        <v>3</v>
      </c>
      <c r="I952" t="s">
        <v>22</v>
      </c>
      <c r="J952">
        <v>9852</v>
      </c>
      <c r="K952">
        <v>1</v>
      </c>
      <c r="L952">
        <v>2</v>
      </c>
      <c r="M952">
        <v>10</v>
      </c>
    </row>
    <row r="953" spans="1:13">
      <c r="A953">
        <v>41</v>
      </c>
      <c r="B953" t="s">
        <v>17</v>
      </c>
      <c r="C953" t="s">
        <v>14</v>
      </c>
      <c r="D953">
        <v>10</v>
      </c>
      <c r="E953">
        <v>2</v>
      </c>
      <c r="F953" t="s">
        <v>21</v>
      </c>
      <c r="G953">
        <v>3</v>
      </c>
      <c r="H953">
        <v>2</v>
      </c>
      <c r="I953" t="s">
        <v>16</v>
      </c>
      <c r="J953">
        <v>6151</v>
      </c>
      <c r="K953">
        <v>1</v>
      </c>
      <c r="L953">
        <v>3</v>
      </c>
      <c r="M953">
        <v>19</v>
      </c>
    </row>
    <row r="954" spans="1:13">
      <c r="A954">
        <v>31</v>
      </c>
      <c r="B954" t="s">
        <v>13</v>
      </c>
      <c r="C954" t="s">
        <v>14</v>
      </c>
      <c r="D954">
        <v>1</v>
      </c>
      <c r="E954">
        <v>3</v>
      </c>
      <c r="F954" t="s">
        <v>15</v>
      </c>
      <c r="G954">
        <v>4</v>
      </c>
      <c r="H954">
        <v>2</v>
      </c>
      <c r="I954" t="s">
        <v>16</v>
      </c>
      <c r="J954">
        <v>2302</v>
      </c>
      <c r="K954">
        <v>1</v>
      </c>
      <c r="L954">
        <v>4</v>
      </c>
      <c r="M954">
        <v>3</v>
      </c>
    </row>
    <row r="955" spans="1:13">
      <c r="A955">
        <v>44</v>
      </c>
      <c r="B955" t="s">
        <v>13</v>
      </c>
      <c r="C955" t="s">
        <v>18</v>
      </c>
      <c r="D955">
        <v>3</v>
      </c>
      <c r="E955">
        <v>3</v>
      </c>
      <c r="F955" t="s">
        <v>15</v>
      </c>
      <c r="G955">
        <v>1</v>
      </c>
      <c r="H955">
        <v>1</v>
      </c>
      <c r="I955" t="s">
        <v>19</v>
      </c>
      <c r="J955">
        <v>2362</v>
      </c>
      <c r="K955">
        <v>4</v>
      </c>
      <c r="L955">
        <v>4</v>
      </c>
      <c r="M955">
        <v>3</v>
      </c>
    </row>
    <row r="956" spans="1:13">
      <c r="A956">
        <v>42</v>
      </c>
      <c r="B956" t="s">
        <v>17</v>
      </c>
      <c r="C956" t="s">
        <v>18</v>
      </c>
      <c r="D956">
        <v>2</v>
      </c>
      <c r="E956">
        <v>1</v>
      </c>
      <c r="F956" t="s">
        <v>15</v>
      </c>
      <c r="G956">
        <v>3</v>
      </c>
      <c r="H956">
        <v>3</v>
      </c>
      <c r="I956" t="s">
        <v>19</v>
      </c>
      <c r="J956">
        <v>17861</v>
      </c>
      <c r="K956">
        <v>0</v>
      </c>
      <c r="L956">
        <v>2</v>
      </c>
      <c r="M956">
        <v>20</v>
      </c>
    </row>
    <row r="957" spans="1:13">
      <c r="A957">
        <v>55</v>
      </c>
      <c r="B957" t="s">
        <v>17</v>
      </c>
      <c r="C957" t="s">
        <v>18</v>
      </c>
      <c r="D957">
        <v>2</v>
      </c>
      <c r="E957">
        <v>2</v>
      </c>
      <c r="F957" t="s">
        <v>21</v>
      </c>
      <c r="G957">
        <v>4</v>
      </c>
      <c r="H957">
        <v>3</v>
      </c>
      <c r="I957" t="s">
        <v>19</v>
      </c>
      <c r="J957">
        <v>19187</v>
      </c>
      <c r="K957">
        <v>4</v>
      </c>
      <c r="L957">
        <v>3</v>
      </c>
      <c r="M957">
        <v>19</v>
      </c>
    </row>
    <row r="958" spans="1:13">
      <c r="A958">
        <v>56</v>
      </c>
      <c r="B958" t="s">
        <v>17</v>
      </c>
      <c r="C958" t="s">
        <v>25</v>
      </c>
      <c r="D958">
        <v>8</v>
      </c>
      <c r="E958">
        <v>4</v>
      </c>
      <c r="F958" t="s">
        <v>15</v>
      </c>
      <c r="G958">
        <v>4</v>
      </c>
      <c r="H958">
        <v>2</v>
      </c>
      <c r="I958" t="s">
        <v>16</v>
      </c>
      <c r="J958">
        <v>19717</v>
      </c>
      <c r="K958">
        <v>6</v>
      </c>
      <c r="L958">
        <v>3</v>
      </c>
      <c r="M958">
        <v>7</v>
      </c>
    </row>
    <row r="959" spans="1:13">
      <c r="A959">
        <v>40</v>
      </c>
      <c r="B959" t="s">
        <v>17</v>
      </c>
      <c r="C959" t="s">
        <v>18</v>
      </c>
      <c r="D959">
        <v>16</v>
      </c>
      <c r="E959">
        <v>2</v>
      </c>
      <c r="F959" t="s">
        <v>15</v>
      </c>
      <c r="G959">
        <v>3</v>
      </c>
      <c r="H959">
        <v>3</v>
      </c>
      <c r="I959" t="s">
        <v>22</v>
      </c>
      <c r="J959">
        <v>3544</v>
      </c>
      <c r="K959">
        <v>9</v>
      </c>
      <c r="L959">
        <v>3</v>
      </c>
      <c r="M959">
        <v>4</v>
      </c>
    </row>
    <row r="960" spans="1:13">
      <c r="A960">
        <v>34</v>
      </c>
      <c r="B960" t="s">
        <v>17</v>
      </c>
      <c r="C960" t="s">
        <v>18</v>
      </c>
      <c r="D960">
        <v>9</v>
      </c>
      <c r="E960">
        <v>3</v>
      </c>
      <c r="F960" t="s">
        <v>15</v>
      </c>
      <c r="G960">
        <v>4</v>
      </c>
      <c r="H960">
        <v>4</v>
      </c>
      <c r="I960" t="s">
        <v>22</v>
      </c>
      <c r="J960">
        <v>8500</v>
      </c>
      <c r="K960">
        <v>0</v>
      </c>
      <c r="L960">
        <v>2</v>
      </c>
      <c r="M960">
        <v>9</v>
      </c>
    </row>
    <row r="961" spans="1:13">
      <c r="A961">
        <v>40</v>
      </c>
      <c r="B961" t="s">
        <v>17</v>
      </c>
      <c r="C961" t="s">
        <v>18</v>
      </c>
      <c r="D961">
        <v>2</v>
      </c>
      <c r="E961">
        <v>3</v>
      </c>
      <c r="F961" t="s">
        <v>15</v>
      </c>
      <c r="G961">
        <v>3</v>
      </c>
      <c r="H961">
        <v>4</v>
      </c>
      <c r="I961" t="s">
        <v>16</v>
      </c>
      <c r="J961">
        <v>4661</v>
      </c>
      <c r="K961">
        <v>1</v>
      </c>
      <c r="L961">
        <v>3</v>
      </c>
      <c r="M961">
        <v>9</v>
      </c>
    </row>
    <row r="962" spans="1:13">
      <c r="A962">
        <v>41</v>
      </c>
      <c r="B962" t="s">
        <v>17</v>
      </c>
      <c r="C962" t="s">
        <v>14</v>
      </c>
      <c r="D962">
        <v>1</v>
      </c>
      <c r="E962">
        <v>3</v>
      </c>
      <c r="F962" t="s">
        <v>23</v>
      </c>
      <c r="G962">
        <v>3</v>
      </c>
      <c r="H962">
        <v>1</v>
      </c>
      <c r="I962" t="s">
        <v>22</v>
      </c>
      <c r="J962">
        <v>4103</v>
      </c>
      <c r="K962">
        <v>0</v>
      </c>
      <c r="L962">
        <v>3</v>
      </c>
      <c r="M962">
        <v>9</v>
      </c>
    </row>
    <row r="963" spans="1:13">
      <c r="A963">
        <v>35</v>
      </c>
      <c r="B963" t="s">
        <v>17</v>
      </c>
      <c r="C963" t="s">
        <v>18</v>
      </c>
      <c r="D963">
        <v>4</v>
      </c>
      <c r="E963">
        <v>4</v>
      </c>
      <c r="F963" t="s">
        <v>15</v>
      </c>
      <c r="G963">
        <v>3</v>
      </c>
      <c r="H963">
        <v>3</v>
      </c>
      <c r="I963" t="s">
        <v>16</v>
      </c>
      <c r="J963">
        <v>4249</v>
      </c>
      <c r="K963">
        <v>1</v>
      </c>
      <c r="L963">
        <v>3</v>
      </c>
      <c r="M963">
        <v>9</v>
      </c>
    </row>
    <row r="964" spans="1:13">
      <c r="A964">
        <v>51</v>
      </c>
      <c r="B964" t="s">
        <v>17</v>
      </c>
      <c r="C964" t="s">
        <v>25</v>
      </c>
      <c r="D964">
        <v>5</v>
      </c>
      <c r="E964">
        <v>3</v>
      </c>
      <c r="F964" t="s">
        <v>15</v>
      </c>
      <c r="G964">
        <v>3</v>
      </c>
      <c r="H964">
        <v>2</v>
      </c>
      <c r="I964" t="s">
        <v>22</v>
      </c>
      <c r="J964">
        <v>14026</v>
      </c>
      <c r="K964">
        <v>1</v>
      </c>
      <c r="L964">
        <v>3</v>
      </c>
      <c r="M964">
        <v>33</v>
      </c>
    </row>
    <row r="965" spans="1:13">
      <c r="A965">
        <v>38</v>
      </c>
      <c r="B965" t="s">
        <v>17</v>
      </c>
      <c r="C965" t="s">
        <v>14</v>
      </c>
      <c r="D965">
        <v>2</v>
      </c>
      <c r="E965">
        <v>2</v>
      </c>
      <c r="F965" t="s">
        <v>15</v>
      </c>
      <c r="G965">
        <v>2</v>
      </c>
      <c r="H965">
        <v>1</v>
      </c>
      <c r="I965" t="s">
        <v>22</v>
      </c>
      <c r="J965">
        <v>6893</v>
      </c>
      <c r="K965">
        <v>3</v>
      </c>
      <c r="L965">
        <v>3</v>
      </c>
      <c r="M965">
        <v>7</v>
      </c>
    </row>
    <row r="966" spans="1:13">
      <c r="A966">
        <v>34</v>
      </c>
      <c r="B966" t="s">
        <v>17</v>
      </c>
      <c r="C966" t="s">
        <v>14</v>
      </c>
      <c r="D966">
        <v>15</v>
      </c>
      <c r="E966">
        <v>2</v>
      </c>
      <c r="F966" t="s">
        <v>21</v>
      </c>
      <c r="G966">
        <v>3</v>
      </c>
      <c r="H966">
        <v>1</v>
      </c>
      <c r="I966" t="s">
        <v>16</v>
      </c>
      <c r="J966">
        <v>6125</v>
      </c>
      <c r="K966">
        <v>1</v>
      </c>
      <c r="L966">
        <v>4</v>
      </c>
      <c r="M966">
        <v>10</v>
      </c>
    </row>
    <row r="967" spans="1:13">
      <c r="A967">
        <v>25</v>
      </c>
      <c r="B967" t="s">
        <v>17</v>
      </c>
      <c r="C967" t="s">
        <v>18</v>
      </c>
      <c r="D967">
        <v>19</v>
      </c>
      <c r="E967">
        <v>1</v>
      </c>
      <c r="F967" t="s">
        <v>21</v>
      </c>
      <c r="G967">
        <v>4</v>
      </c>
      <c r="H967">
        <v>4</v>
      </c>
      <c r="I967" t="s">
        <v>19</v>
      </c>
      <c r="J967">
        <v>3669</v>
      </c>
      <c r="K967">
        <v>3</v>
      </c>
      <c r="L967">
        <v>2</v>
      </c>
      <c r="M967">
        <v>3</v>
      </c>
    </row>
    <row r="968" spans="1:13">
      <c r="A968">
        <v>58</v>
      </c>
      <c r="B968" t="s">
        <v>13</v>
      </c>
      <c r="C968" t="s">
        <v>18</v>
      </c>
      <c r="D968">
        <v>7</v>
      </c>
      <c r="E968">
        <v>4</v>
      </c>
      <c r="F968" t="s">
        <v>21</v>
      </c>
      <c r="G968">
        <v>3</v>
      </c>
      <c r="H968">
        <v>1</v>
      </c>
      <c r="I968" t="s">
        <v>19</v>
      </c>
      <c r="J968">
        <v>10008</v>
      </c>
      <c r="K968">
        <v>7</v>
      </c>
      <c r="L968">
        <v>2</v>
      </c>
      <c r="M968">
        <v>10</v>
      </c>
    </row>
    <row r="969" spans="1:13">
      <c r="A969">
        <v>40</v>
      </c>
      <c r="B969" t="s">
        <v>17</v>
      </c>
      <c r="C969" t="s">
        <v>18</v>
      </c>
      <c r="D969">
        <v>1</v>
      </c>
      <c r="E969">
        <v>4</v>
      </c>
      <c r="F969" t="s">
        <v>15</v>
      </c>
      <c r="G969">
        <v>2</v>
      </c>
      <c r="H969">
        <v>2</v>
      </c>
      <c r="I969" t="s">
        <v>19</v>
      </c>
      <c r="J969">
        <v>2387</v>
      </c>
      <c r="K969">
        <v>3</v>
      </c>
      <c r="L969">
        <v>3</v>
      </c>
      <c r="M969">
        <v>4</v>
      </c>
    </row>
    <row r="970" spans="1:13">
      <c r="A970">
        <v>36</v>
      </c>
      <c r="B970" t="s">
        <v>17</v>
      </c>
      <c r="C970" t="s">
        <v>14</v>
      </c>
      <c r="D970">
        <v>7</v>
      </c>
      <c r="E970">
        <v>3</v>
      </c>
      <c r="F970" t="s">
        <v>23</v>
      </c>
      <c r="G970">
        <v>1</v>
      </c>
      <c r="H970">
        <v>1</v>
      </c>
      <c r="I970" t="s">
        <v>19</v>
      </c>
      <c r="J970">
        <v>4639</v>
      </c>
      <c r="K970">
        <v>2</v>
      </c>
      <c r="L970">
        <v>2</v>
      </c>
      <c r="M970">
        <v>15</v>
      </c>
    </row>
    <row r="971" spans="1:13">
      <c r="A971">
        <v>48</v>
      </c>
      <c r="B971" t="s">
        <v>17</v>
      </c>
      <c r="C971" t="s">
        <v>18</v>
      </c>
      <c r="D971">
        <v>4</v>
      </c>
      <c r="E971">
        <v>3</v>
      </c>
      <c r="F971" t="s">
        <v>15</v>
      </c>
      <c r="G971">
        <v>4</v>
      </c>
      <c r="H971">
        <v>4</v>
      </c>
      <c r="I971" t="s">
        <v>16</v>
      </c>
      <c r="J971">
        <v>7898</v>
      </c>
      <c r="K971">
        <v>1</v>
      </c>
      <c r="L971">
        <v>3</v>
      </c>
      <c r="M971">
        <v>10</v>
      </c>
    </row>
    <row r="972" spans="1:13">
      <c r="A972">
        <v>27</v>
      </c>
      <c r="B972" t="s">
        <v>17</v>
      </c>
      <c r="C972" t="s">
        <v>14</v>
      </c>
      <c r="D972">
        <v>11</v>
      </c>
      <c r="E972">
        <v>3</v>
      </c>
      <c r="F972" t="s">
        <v>21</v>
      </c>
      <c r="G972">
        <v>3</v>
      </c>
      <c r="H972">
        <v>4</v>
      </c>
      <c r="I972" t="s">
        <v>19</v>
      </c>
      <c r="J972">
        <v>2534</v>
      </c>
      <c r="K972">
        <v>8</v>
      </c>
      <c r="L972">
        <v>3</v>
      </c>
      <c r="M972">
        <v>1</v>
      </c>
    </row>
    <row r="973" spans="1:13">
      <c r="A973">
        <v>51</v>
      </c>
      <c r="B973" t="s">
        <v>17</v>
      </c>
      <c r="C973" t="s">
        <v>18</v>
      </c>
      <c r="D973">
        <v>11</v>
      </c>
      <c r="E973">
        <v>2</v>
      </c>
      <c r="F973" t="s">
        <v>24</v>
      </c>
      <c r="G973">
        <v>4</v>
      </c>
      <c r="H973">
        <v>2</v>
      </c>
      <c r="I973" t="s">
        <v>16</v>
      </c>
      <c r="J973">
        <v>13142</v>
      </c>
      <c r="K973">
        <v>3</v>
      </c>
      <c r="L973">
        <v>2</v>
      </c>
      <c r="M973">
        <v>5</v>
      </c>
    </row>
    <row r="974" spans="1:13">
      <c r="A974">
        <v>18</v>
      </c>
      <c r="B974" t="s">
        <v>17</v>
      </c>
      <c r="C974" t="s">
        <v>18</v>
      </c>
      <c r="D974">
        <v>1</v>
      </c>
      <c r="E974">
        <v>3</v>
      </c>
      <c r="F974" t="s">
        <v>15</v>
      </c>
      <c r="G974">
        <v>4</v>
      </c>
      <c r="H974">
        <v>4</v>
      </c>
      <c r="I974" t="s">
        <v>16</v>
      </c>
      <c r="J974">
        <v>1611</v>
      </c>
      <c r="K974">
        <v>1</v>
      </c>
      <c r="L974">
        <v>4</v>
      </c>
      <c r="M974">
        <v>0</v>
      </c>
    </row>
    <row r="975" spans="1:13">
      <c r="A975">
        <v>35</v>
      </c>
      <c r="B975" t="s">
        <v>17</v>
      </c>
      <c r="C975" t="s">
        <v>18</v>
      </c>
      <c r="D975">
        <v>1</v>
      </c>
      <c r="E975">
        <v>3</v>
      </c>
      <c r="F975" t="s">
        <v>21</v>
      </c>
      <c r="G975">
        <v>4</v>
      </c>
      <c r="H975">
        <v>4</v>
      </c>
      <c r="I975" t="s">
        <v>19</v>
      </c>
      <c r="J975">
        <v>5363</v>
      </c>
      <c r="K975">
        <v>0</v>
      </c>
      <c r="L975">
        <v>3</v>
      </c>
      <c r="M975">
        <v>9</v>
      </c>
    </row>
    <row r="976" spans="1:13">
      <c r="A976">
        <v>27</v>
      </c>
      <c r="B976" t="s">
        <v>17</v>
      </c>
      <c r="C976" t="s">
        <v>14</v>
      </c>
      <c r="D976">
        <v>2</v>
      </c>
      <c r="E976">
        <v>1</v>
      </c>
      <c r="F976" t="s">
        <v>15</v>
      </c>
      <c r="G976">
        <v>4</v>
      </c>
      <c r="H976">
        <v>4</v>
      </c>
      <c r="I976" t="s">
        <v>16</v>
      </c>
      <c r="J976">
        <v>5071</v>
      </c>
      <c r="K976">
        <v>3</v>
      </c>
      <c r="L976">
        <v>3</v>
      </c>
      <c r="M976">
        <v>6</v>
      </c>
    </row>
    <row r="977" spans="1:13">
      <c r="A977">
        <v>55</v>
      </c>
      <c r="B977" t="s">
        <v>13</v>
      </c>
      <c r="C977" t="s">
        <v>14</v>
      </c>
      <c r="D977">
        <v>13</v>
      </c>
      <c r="E977">
        <v>4</v>
      </c>
      <c r="F977" t="s">
        <v>23</v>
      </c>
      <c r="G977">
        <v>1</v>
      </c>
      <c r="H977">
        <v>3</v>
      </c>
      <c r="I977" t="s">
        <v>16</v>
      </c>
      <c r="J977">
        <v>13695</v>
      </c>
      <c r="K977">
        <v>6</v>
      </c>
      <c r="L977">
        <v>2</v>
      </c>
      <c r="M977">
        <v>19</v>
      </c>
    </row>
    <row r="978" spans="1:13">
      <c r="A978">
        <v>56</v>
      </c>
      <c r="B978" t="s">
        <v>17</v>
      </c>
      <c r="C978" t="s">
        <v>18</v>
      </c>
      <c r="D978">
        <v>23</v>
      </c>
      <c r="E978">
        <v>3</v>
      </c>
      <c r="F978" t="s">
        <v>15</v>
      </c>
      <c r="G978">
        <v>4</v>
      </c>
      <c r="H978">
        <v>2</v>
      </c>
      <c r="I978" t="s">
        <v>19</v>
      </c>
      <c r="J978">
        <v>13402</v>
      </c>
      <c r="K978">
        <v>4</v>
      </c>
      <c r="L978">
        <v>3</v>
      </c>
      <c r="M978">
        <v>19</v>
      </c>
    </row>
    <row r="979" spans="1:13">
      <c r="A979">
        <v>34</v>
      </c>
      <c r="B979" t="s">
        <v>17</v>
      </c>
      <c r="C979" t="s">
        <v>18</v>
      </c>
      <c r="D979">
        <v>26</v>
      </c>
      <c r="E979">
        <v>1</v>
      </c>
      <c r="F979" t="s">
        <v>24</v>
      </c>
      <c r="G979">
        <v>1</v>
      </c>
      <c r="H979">
        <v>3</v>
      </c>
      <c r="I979" t="s">
        <v>22</v>
      </c>
      <c r="J979">
        <v>2029</v>
      </c>
      <c r="K979">
        <v>1</v>
      </c>
      <c r="L979">
        <v>3</v>
      </c>
      <c r="M979">
        <v>5</v>
      </c>
    </row>
    <row r="980" spans="1:13">
      <c r="A980">
        <v>40</v>
      </c>
      <c r="B980" t="s">
        <v>17</v>
      </c>
      <c r="C980" t="s">
        <v>18</v>
      </c>
      <c r="D980">
        <v>2</v>
      </c>
      <c r="E980">
        <v>1</v>
      </c>
      <c r="F980" t="s">
        <v>21</v>
      </c>
      <c r="G980">
        <v>2</v>
      </c>
      <c r="H980">
        <v>3</v>
      </c>
      <c r="I980" t="s">
        <v>22</v>
      </c>
      <c r="J980">
        <v>6377</v>
      </c>
      <c r="K980">
        <v>5</v>
      </c>
      <c r="L980">
        <v>3</v>
      </c>
      <c r="M980">
        <v>12</v>
      </c>
    </row>
    <row r="981" spans="1:13">
      <c r="A981">
        <v>34</v>
      </c>
      <c r="B981" t="s">
        <v>17</v>
      </c>
      <c r="C981" t="s">
        <v>18</v>
      </c>
      <c r="D981">
        <v>29</v>
      </c>
      <c r="E981">
        <v>3</v>
      </c>
      <c r="F981" t="s">
        <v>21</v>
      </c>
      <c r="G981">
        <v>2</v>
      </c>
      <c r="H981">
        <v>3</v>
      </c>
      <c r="I981" t="s">
        <v>19</v>
      </c>
      <c r="J981">
        <v>5429</v>
      </c>
      <c r="K981">
        <v>4</v>
      </c>
      <c r="L981">
        <v>3</v>
      </c>
      <c r="M981">
        <v>8</v>
      </c>
    </row>
    <row r="982" spans="1:13">
      <c r="A982">
        <v>31</v>
      </c>
      <c r="B982" t="s">
        <v>13</v>
      </c>
      <c r="C982" t="s">
        <v>14</v>
      </c>
      <c r="D982">
        <v>2</v>
      </c>
      <c r="E982">
        <v>3</v>
      </c>
      <c r="F982" t="s">
        <v>15</v>
      </c>
      <c r="G982">
        <v>3</v>
      </c>
      <c r="H982">
        <v>4</v>
      </c>
      <c r="I982" t="s">
        <v>16</v>
      </c>
      <c r="J982">
        <v>2785</v>
      </c>
      <c r="K982">
        <v>7</v>
      </c>
      <c r="L982">
        <v>4</v>
      </c>
      <c r="M982">
        <v>1</v>
      </c>
    </row>
    <row r="983" spans="1:13">
      <c r="A983">
        <v>35</v>
      </c>
      <c r="B983" t="s">
        <v>13</v>
      </c>
      <c r="C983" t="s">
        <v>14</v>
      </c>
      <c r="D983">
        <v>18</v>
      </c>
      <c r="E983">
        <v>4</v>
      </c>
      <c r="F983" t="s">
        <v>23</v>
      </c>
      <c r="G983">
        <v>4</v>
      </c>
      <c r="H983">
        <v>3</v>
      </c>
      <c r="I983" t="s">
        <v>19</v>
      </c>
      <c r="J983">
        <v>4614</v>
      </c>
      <c r="K983">
        <v>0</v>
      </c>
      <c r="L983">
        <v>2</v>
      </c>
      <c r="M983">
        <v>4</v>
      </c>
    </row>
    <row r="984" spans="1:13">
      <c r="A984">
        <v>38</v>
      </c>
      <c r="B984" t="s">
        <v>17</v>
      </c>
      <c r="C984" t="s">
        <v>18</v>
      </c>
      <c r="D984">
        <v>7</v>
      </c>
      <c r="E984">
        <v>3</v>
      </c>
      <c r="F984" t="s">
        <v>15</v>
      </c>
      <c r="G984">
        <v>4</v>
      </c>
      <c r="H984">
        <v>3</v>
      </c>
      <c r="I984" t="s">
        <v>22</v>
      </c>
      <c r="J984">
        <v>2610</v>
      </c>
      <c r="K984">
        <v>1</v>
      </c>
      <c r="L984">
        <v>3</v>
      </c>
      <c r="M984">
        <v>4</v>
      </c>
    </row>
    <row r="985" spans="1:13">
      <c r="A985">
        <v>34</v>
      </c>
      <c r="B985" t="s">
        <v>17</v>
      </c>
      <c r="C985" t="s">
        <v>18</v>
      </c>
      <c r="D985">
        <v>2</v>
      </c>
      <c r="E985">
        <v>4</v>
      </c>
      <c r="F985" t="s">
        <v>24</v>
      </c>
      <c r="G985">
        <v>3</v>
      </c>
      <c r="H985">
        <v>4</v>
      </c>
      <c r="I985" t="s">
        <v>16</v>
      </c>
      <c r="J985">
        <v>6687</v>
      </c>
      <c r="K985">
        <v>1</v>
      </c>
      <c r="L985">
        <v>4</v>
      </c>
      <c r="M985">
        <v>14</v>
      </c>
    </row>
    <row r="986" spans="1:13">
      <c r="A986">
        <v>28</v>
      </c>
      <c r="B986" t="s">
        <v>17</v>
      </c>
      <c r="C986" t="s">
        <v>14</v>
      </c>
      <c r="D986">
        <v>26</v>
      </c>
      <c r="E986">
        <v>3</v>
      </c>
      <c r="F986" t="s">
        <v>15</v>
      </c>
      <c r="G986">
        <v>3</v>
      </c>
      <c r="H986">
        <v>1</v>
      </c>
      <c r="I986" t="s">
        <v>19</v>
      </c>
      <c r="J986">
        <v>4724</v>
      </c>
      <c r="K986">
        <v>1</v>
      </c>
      <c r="L986">
        <v>3</v>
      </c>
      <c r="M986">
        <v>5</v>
      </c>
    </row>
    <row r="987" spans="1:13">
      <c r="A987">
        <v>31</v>
      </c>
      <c r="B987" t="s">
        <v>13</v>
      </c>
      <c r="C987" t="s">
        <v>18</v>
      </c>
      <c r="D987">
        <v>22</v>
      </c>
      <c r="E987">
        <v>4</v>
      </c>
      <c r="F987" t="s">
        <v>21</v>
      </c>
      <c r="G987">
        <v>4</v>
      </c>
      <c r="H987">
        <v>3</v>
      </c>
      <c r="I987" t="s">
        <v>19</v>
      </c>
      <c r="J987">
        <v>6179</v>
      </c>
      <c r="K987">
        <v>1</v>
      </c>
      <c r="L987">
        <v>2</v>
      </c>
      <c r="M987">
        <v>10</v>
      </c>
    </row>
    <row r="988" spans="1:13">
      <c r="A988">
        <v>39</v>
      </c>
      <c r="B988" t="s">
        <v>17</v>
      </c>
      <c r="C988" t="s">
        <v>14</v>
      </c>
      <c r="D988">
        <v>21</v>
      </c>
      <c r="E988">
        <v>4</v>
      </c>
      <c r="F988" t="s">
        <v>15</v>
      </c>
      <c r="G988">
        <v>1</v>
      </c>
      <c r="H988">
        <v>4</v>
      </c>
      <c r="I988" t="s">
        <v>19</v>
      </c>
      <c r="J988">
        <v>6120</v>
      </c>
      <c r="K988">
        <v>3</v>
      </c>
      <c r="L988">
        <v>4</v>
      </c>
      <c r="M988">
        <v>5</v>
      </c>
    </row>
    <row r="989" spans="1:13">
      <c r="A989">
        <v>51</v>
      </c>
      <c r="B989" t="s">
        <v>17</v>
      </c>
      <c r="C989" t="s">
        <v>14</v>
      </c>
      <c r="D989">
        <v>2</v>
      </c>
      <c r="E989">
        <v>3</v>
      </c>
      <c r="F989" t="s">
        <v>23</v>
      </c>
      <c r="G989">
        <v>2</v>
      </c>
      <c r="H989">
        <v>2</v>
      </c>
      <c r="I989" t="s">
        <v>19</v>
      </c>
      <c r="J989">
        <v>10596</v>
      </c>
      <c r="K989">
        <v>2</v>
      </c>
      <c r="L989">
        <v>3</v>
      </c>
      <c r="M989">
        <v>4</v>
      </c>
    </row>
    <row r="990" spans="1:13">
      <c r="A990">
        <v>41</v>
      </c>
      <c r="B990" t="s">
        <v>17</v>
      </c>
      <c r="C990" t="s">
        <v>18</v>
      </c>
      <c r="D990">
        <v>22</v>
      </c>
      <c r="E990">
        <v>3</v>
      </c>
      <c r="F990" t="s">
        <v>15</v>
      </c>
      <c r="G990">
        <v>4</v>
      </c>
      <c r="H990">
        <v>4</v>
      </c>
      <c r="I990" t="s">
        <v>22</v>
      </c>
      <c r="J990">
        <v>5467</v>
      </c>
      <c r="K990">
        <v>3</v>
      </c>
      <c r="L990">
        <v>2</v>
      </c>
      <c r="M990">
        <v>6</v>
      </c>
    </row>
    <row r="991" spans="1:13">
      <c r="A991">
        <v>37</v>
      </c>
      <c r="B991" t="s">
        <v>17</v>
      </c>
      <c r="C991" t="s">
        <v>18</v>
      </c>
      <c r="D991">
        <v>4</v>
      </c>
      <c r="E991">
        <v>1</v>
      </c>
      <c r="F991" t="s">
        <v>15</v>
      </c>
      <c r="G991">
        <v>3</v>
      </c>
      <c r="H991">
        <v>3</v>
      </c>
      <c r="I991" t="s">
        <v>19</v>
      </c>
      <c r="J991">
        <v>2996</v>
      </c>
      <c r="K991">
        <v>7</v>
      </c>
      <c r="L991">
        <v>3</v>
      </c>
      <c r="M991">
        <v>6</v>
      </c>
    </row>
    <row r="992" spans="1:13">
      <c r="A992">
        <v>33</v>
      </c>
      <c r="B992" t="s">
        <v>17</v>
      </c>
      <c r="C992" t="s">
        <v>14</v>
      </c>
      <c r="D992">
        <v>5</v>
      </c>
      <c r="E992">
        <v>1</v>
      </c>
      <c r="F992" t="s">
        <v>15</v>
      </c>
      <c r="G992">
        <v>2</v>
      </c>
      <c r="H992">
        <v>4</v>
      </c>
      <c r="I992" t="s">
        <v>19</v>
      </c>
      <c r="J992">
        <v>9998</v>
      </c>
      <c r="K992">
        <v>6</v>
      </c>
      <c r="L992">
        <v>4</v>
      </c>
      <c r="M992">
        <v>5</v>
      </c>
    </row>
    <row r="993" spans="1:13">
      <c r="A993">
        <v>32</v>
      </c>
      <c r="B993" t="s">
        <v>17</v>
      </c>
      <c r="C993" t="s">
        <v>14</v>
      </c>
      <c r="D993">
        <v>2</v>
      </c>
      <c r="E993">
        <v>1</v>
      </c>
      <c r="F993" t="s">
        <v>23</v>
      </c>
      <c r="G993">
        <v>3</v>
      </c>
      <c r="H993">
        <v>2</v>
      </c>
      <c r="I993" t="s">
        <v>19</v>
      </c>
      <c r="J993">
        <v>4078</v>
      </c>
      <c r="K993">
        <v>0</v>
      </c>
      <c r="L993">
        <v>2</v>
      </c>
      <c r="M993">
        <v>3</v>
      </c>
    </row>
    <row r="994" spans="1:13">
      <c r="A994">
        <v>39</v>
      </c>
      <c r="B994" t="s">
        <v>17</v>
      </c>
      <c r="C994" t="s">
        <v>18</v>
      </c>
      <c r="D994">
        <v>25</v>
      </c>
      <c r="E994">
        <v>2</v>
      </c>
      <c r="F994" t="s">
        <v>15</v>
      </c>
      <c r="G994">
        <v>3</v>
      </c>
      <c r="H994">
        <v>3</v>
      </c>
      <c r="I994" t="s">
        <v>19</v>
      </c>
      <c r="J994">
        <v>10920</v>
      </c>
      <c r="K994">
        <v>3</v>
      </c>
      <c r="L994">
        <v>3</v>
      </c>
      <c r="M994">
        <v>6</v>
      </c>
    </row>
    <row r="995" spans="1:13">
      <c r="A995">
        <v>25</v>
      </c>
      <c r="B995" t="s">
        <v>17</v>
      </c>
      <c r="C995" t="s">
        <v>14</v>
      </c>
      <c r="D995">
        <v>18</v>
      </c>
      <c r="E995">
        <v>1</v>
      </c>
      <c r="F995" t="s">
        <v>15</v>
      </c>
      <c r="G995">
        <v>1</v>
      </c>
      <c r="H995">
        <v>3</v>
      </c>
      <c r="I995" t="s">
        <v>19</v>
      </c>
      <c r="J995">
        <v>6232</v>
      </c>
      <c r="K995">
        <v>2</v>
      </c>
      <c r="L995">
        <v>2</v>
      </c>
      <c r="M995">
        <v>3</v>
      </c>
    </row>
    <row r="996" spans="1:13">
      <c r="A996">
        <v>52</v>
      </c>
      <c r="B996" t="s">
        <v>17</v>
      </c>
      <c r="C996" t="s">
        <v>18</v>
      </c>
      <c r="D996">
        <v>28</v>
      </c>
      <c r="E996">
        <v>2</v>
      </c>
      <c r="F996" t="s">
        <v>21</v>
      </c>
      <c r="G996">
        <v>4</v>
      </c>
      <c r="H996">
        <v>3</v>
      </c>
      <c r="I996" t="s">
        <v>19</v>
      </c>
      <c r="J996">
        <v>13247</v>
      </c>
      <c r="K996">
        <v>2</v>
      </c>
      <c r="L996">
        <v>2</v>
      </c>
      <c r="M996">
        <v>5</v>
      </c>
    </row>
    <row r="997" spans="1:13">
      <c r="A997">
        <v>43</v>
      </c>
      <c r="B997" t="s">
        <v>17</v>
      </c>
      <c r="C997" t="s">
        <v>18</v>
      </c>
      <c r="D997">
        <v>6</v>
      </c>
      <c r="E997">
        <v>3</v>
      </c>
      <c r="F997" t="s">
        <v>21</v>
      </c>
      <c r="G997">
        <v>1</v>
      </c>
      <c r="H997">
        <v>3</v>
      </c>
      <c r="I997" t="s">
        <v>16</v>
      </c>
      <c r="J997">
        <v>4081</v>
      </c>
      <c r="K997">
        <v>1</v>
      </c>
      <c r="L997">
        <v>1</v>
      </c>
      <c r="M997">
        <v>20</v>
      </c>
    </row>
    <row r="998" spans="1:13">
      <c r="A998">
        <v>27</v>
      </c>
      <c r="B998" t="s">
        <v>17</v>
      </c>
      <c r="C998" t="s">
        <v>14</v>
      </c>
      <c r="D998">
        <v>10</v>
      </c>
      <c r="E998">
        <v>3</v>
      </c>
      <c r="F998" t="s">
        <v>23</v>
      </c>
      <c r="G998">
        <v>4</v>
      </c>
      <c r="H998">
        <v>4</v>
      </c>
      <c r="I998" t="s">
        <v>19</v>
      </c>
      <c r="J998">
        <v>5769</v>
      </c>
      <c r="K998">
        <v>1</v>
      </c>
      <c r="L998">
        <v>3</v>
      </c>
      <c r="M998">
        <v>6</v>
      </c>
    </row>
    <row r="999" spans="1:13">
      <c r="A999">
        <v>27</v>
      </c>
      <c r="B999" t="s">
        <v>13</v>
      </c>
      <c r="C999" t="s">
        <v>18</v>
      </c>
      <c r="D999">
        <v>17</v>
      </c>
      <c r="E999">
        <v>4</v>
      </c>
      <c r="F999" t="s">
        <v>15</v>
      </c>
      <c r="G999">
        <v>4</v>
      </c>
      <c r="H999">
        <v>3</v>
      </c>
      <c r="I999" t="s">
        <v>16</v>
      </c>
      <c r="J999">
        <v>2394</v>
      </c>
      <c r="K999">
        <v>1</v>
      </c>
      <c r="L999">
        <v>3</v>
      </c>
      <c r="M999">
        <v>8</v>
      </c>
    </row>
    <row r="1000" spans="1:13">
      <c r="A1000">
        <v>26</v>
      </c>
      <c r="B1000" t="s">
        <v>17</v>
      </c>
      <c r="C1000" t="s">
        <v>18</v>
      </c>
      <c r="D1000">
        <v>2</v>
      </c>
      <c r="E1000">
        <v>1</v>
      </c>
      <c r="F1000" t="s">
        <v>21</v>
      </c>
      <c r="G1000">
        <v>1</v>
      </c>
      <c r="H1000">
        <v>4</v>
      </c>
      <c r="I1000" t="s">
        <v>16</v>
      </c>
      <c r="J1000">
        <v>3904</v>
      </c>
      <c r="K1000">
        <v>0</v>
      </c>
      <c r="L1000">
        <v>3</v>
      </c>
      <c r="M1000">
        <v>4</v>
      </c>
    </row>
    <row r="1001" spans="1:13">
      <c r="A1001">
        <v>42</v>
      </c>
      <c r="B1001" t="s">
        <v>17</v>
      </c>
      <c r="C1001" t="s">
        <v>25</v>
      </c>
      <c r="D1001">
        <v>10</v>
      </c>
      <c r="E1001">
        <v>3</v>
      </c>
      <c r="F1001" t="s">
        <v>25</v>
      </c>
      <c r="G1001">
        <v>3</v>
      </c>
      <c r="H1001">
        <v>1</v>
      </c>
      <c r="I1001" t="s">
        <v>19</v>
      </c>
      <c r="J1001">
        <v>16799</v>
      </c>
      <c r="K1001">
        <v>0</v>
      </c>
      <c r="L1001">
        <v>3</v>
      </c>
      <c r="M1001">
        <v>20</v>
      </c>
    </row>
    <row r="1002" spans="1:13">
      <c r="A1002">
        <v>52</v>
      </c>
      <c r="B1002" t="s">
        <v>17</v>
      </c>
      <c r="C1002" t="s">
        <v>18</v>
      </c>
      <c r="D1002">
        <v>8</v>
      </c>
      <c r="E1002">
        <v>4</v>
      </c>
      <c r="F1002" t="s">
        <v>20</v>
      </c>
      <c r="G1002">
        <v>3</v>
      </c>
      <c r="H1002">
        <v>1</v>
      </c>
      <c r="I1002" t="s">
        <v>19</v>
      </c>
      <c r="J1002">
        <v>2950</v>
      </c>
      <c r="K1002">
        <v>9</v>
      </c>
      <c r="L1002">
        <v>1</v>
      </c>
      <c r="M1002">
        <v>5</v>
      </c>
    </row>
    <row r="1003" spans="1:13">
      <c r="A1003">
        <v>37</v>
      </c>
      <c r="B1003" t="s">
        <v>17</v>
      </c>
      <c r="C1003" t="s">
        <v>18</v>
      </c>
      <c r="D1003">
        <v>11</v>
      </c>
      <c r="E1003">
        <v>3</v>
      </c>
      <c r="F1003" t="s">
        <v>21</v>
      </c>
      <c r="G1003">
        <v>1</v>
      </c>
      <c r="H1003">
        <v>3</v>
      </c>
      <c r="I1003" t="s">
        <v>16</v>
      </c>
      <c r="J1003">
        <v>3629</v>
      </c>
      <c r="K1003">
        <v>4</v>
      </c>
      <c r="L1003">
        <v>3</v>
      </c>
      <c r="M1003">
        <v>3</v>
      </c>
    </row>
    <row r="1004" spans="1:13">
      <c r="A1004">
        <v>35</v>
      </c>
      <c r="B1004" t="s">
        <v>17</v>
      </c>
      <c r="C1004" t="s">
        <v>18</v>
      </c>
      <c r="D1004">
        <v>18</v>
      </c>
      <c r="E1004">
        <v>2</v>
      </c>
      <c r="F1004" t="s">
        <v>15</v>
      </c>
      <c r="G1004">
        <v>3</v>
      </c>
      <c r="H1004">
        <v>4</v>
      </c>
      <c r="I1004" t="s">
        <v>16</v>
      </c>
      <c r="J1004">
        <v>9362</v>
      </c>
      <c r="K1004">
        <v>2</v>
      </c>
      <c r="L1004">
        <v>3</v>
      </c>
      <c r="M1004">
        <v>2</v>
      </c>
    </row>
    <row r="1005" spans="1:13">
      <c r="A1005">
        <v>25</v>
      </c>
      <c r="B1005" t="s">
        <v>17</v>
      </c>
      <c r="C1005" t="s">
        <v>18</v>
      </c>
      <c r="D1005">
        <v>1</v>
      </c>
      <c r="E1005">
        <v>3</v>
      </c>
      <c r="F1005" t="s">
        <v>24</v>
      </c>
      <c r="G1005">
        <v>1</v>
      </c>
      <c r="H1005">
        <v>4</v>
      </c>
      <c r="I1005" t="s">
        <v>19</v>
      </c>
      <c r="J1005">
        <v>3229</v>
      </c>
      <c r="K1005">
        <v>4</v>
      </c>
      <c r="L1005">
        <v>2</v>
      </c>
      <c r="M1005">
        <v>3</v>
      </c>
    </row>
    <row r="1006" spans="1:13">
      <c r="A1006">
        <v>26</v>
      </c>
      <c r="B1006" t="s">
        <v>17</v>
      </c>
      <c r="C1006" t="s">
        <v>18</v>
      </c>
      <c r="D1006">
        <v>7</v>
      </c>
      <c r="E1006">
        <v>3</v>
      </c>
      <c r="F1006" t="s">
        <v>20</v>
      </c>
      <c r="G1006">
        <v>3</v>
      </c>
      <c r="H1006">
        <v>1</v>
      </c>
      <c r="I1006" t="s">
        <v>16</v>
      </c>
      <c r="J1006">
        <v>3578</v>
      </c>
      <c r="K1006">
        <v>0</v>
      </c>
      <c r="L1006">
        <v>3</v>
      </c>
      <c r="M1006">
        <v>7</v>
      </c>
    </row>
    <row r="1007" spans="1:13">
      <c r="A1007">
        <v>29</v>
      </c>
      <c r="B1007" t="s">
        <v>17</v>
      </c>
      <c r="C1007" t="s">
        <v>25</v>
      </c>
      <c r="D1007">
        <v>17</v>
      </c>
      <c r="E1007">
        <v>3</v>
      </c>
      <c r="F1007" t="s">
        <v>20</v>
      </c>
      <c r="G1007">
        <v>2</v>
      </c>
      <c r="H1007">
        <v>1</v>
      </c>
      <c r="I1007" t="s">
        <v>16</v>
      </c>
      <c r="J1007">
        <v>7988</v>
      </c>
      <c r="K1007">
        <v>1</v>
      </c>
      <c r="L1007">
        <v>2</v>
      </c>
      <c r="M1007">
        <v>10</v>
      </c>
    </row>
    <row r="1008" spans="1:13">
      <c r="A1008">
        <v>49</v>
      </c>
      <c r="B1008" t="s">
        <v>13</v>
      </c>
      <c r="C1008" t="s">
        <v>18</v>
      </c>
      <c r="D1008">
        <v>28</v>
      </c>
      <c r="E1008">
        <v>2</v>
      </c>
      <c r="F1008" t="s">
        <v>15</v>
      </c>
      <c r="G1008">
        <v>1</v>
      </c>
      <c r="H1008">
        <v>1</v>
      </c>
      <c r="I1008" t="s">
        <v>16</v>
      </c>
      <c r="J1008">
        <v>4284</v>
      </c>
      <c r="K1008">
        <v>3</v>
      </c>
      <c r="L1008">
        <v>3</v>
      </c>
      <c r="M1008">
        <v>4</v>
      </c>
    </row>
    <row r="1009" spans="1:13">
      <c r="A1009">
        <v>29</v>
      </c>
      <c r="B1009" t="s">
        <v>13</v>
      </c>
      <c r="C1009" t="s">
        <v>18</v>
      </c>
      <c r="D1009">
        <v>14</v>
      </c>
      <c r="E1009">
        <v>1</v>
      </c>
      <c r="F1009" t="s">
        <v>20</v>
      </c>
      <c r="G1009">
        <v>3</v>
      </c>
      <c r="H1009">
        <v>4</v>
      </c>
      <c r="I1009" t="s">
        <v>16</v>
      </c>
      <c r="J1009">
        <v>7553</v>
      </c>
      <c r="K1009">
        <v>0</v>
      </c>
      <c r="L1009">
        <v>3</v>
      </c>
      <c r="M1009">
        <v>8</v>
      </c>
    </row>
    <row r="1010" spans="1:13">
      <c r="A1010">
        <v>54</v>
      </c>
      <c r="B1010" t="s">
        <v>17</v>
      </c>
      <c r="C1010" t="s">
        <v>18</v>
      </c>
      <c r="D1010">
        <v>1</v>
      </c>
      <c r="E1010">
        <v>3</v>
      </c>
      <c r="F1010" t="s">
        <v>21</v>
      </c>
      <c r="G1010">
        <v>4</v>
      </c>
      <c r="H1010">
        <v>4</v>
      </c>
      <c r="I1010" t="s">
        <v>16</v>
      </c>
      <c r="J1010">
        <v>17328</v>
      </c>
      <c r="K1010">
        <v>6</v>
      </c>
      <c r="L1010">
        <v>2</v>
      </c>
      <c r="M1010">
        <v>20</v>
      </c>
    </row>
    <row r="1011" spans="1:13">
      <c r="A1011">
        <v>58</v>
      </c>
      <c r="B1011" t="s">
        <v>17</v>
      </c>
      <c r="C1011" t="s">
        <v>18</v>
      </c>
      <c r="D1011">
        <v>1</v>
      </c>
      <c r="E1011">
        <v>3</v>
      </c>
      <c r="F1011" t="s">
        <v>21</v>
      </c>
      <c r="G1011">
        <v>4</v>
      </c>
      <c r="H1011">
        <v>1</v>
      </c>
      <c r="I1011" t="s">
        <v>19</v>
      </c>
      <c r="J1011">
        <v>19701</v>
      </c>
      <c r="K1011">
        <v>3</v>
      </c>
      <c r="L1011">
        <v>3</v>
      </c>
      <c r="M1011">
        <v>9</v>
      </c>
    </row>
    <row r="1012" spans="1:13">
      <c r="A1012">
        <v>55</v>
      </c>
      <c r="B1012" t="s">
        <v>17</v>
      </c>
      <c r="C1012" t="s">
        <v>18</v>
      </c>
      <c r="D1012">
        <v>1</v>
      </c>
      <c r="E1012">
        <v>4</v>
      </c>
      <c r="F1012" t="s">
        <v>21</v>
      </c>
      <c r="G1012">
        <v>2</v>
      </c>
      <c r="H1012">
        <v>4</v>
      </c>
      <c r="I1012" t="s">
        <v>22</v>
      </c>
      <c r="J1012">
        <v>14732</v>
      </c>
      <c r="K1012">
        <v>2</v>
      </c>
      <c r="L1012">
        <v>4</v>
      </c>
      <c r="M1012">
        <v>7</v>
      </c>
    </row>
    <row r="1013" spans="1:13">
      <c r="A1013">
        <v>36</v>
      </c>
      <c r="B1013" t="s">
        <v>17</v>
      </c>
      <c r="C1013" t="s">
        <v>14</v>
      </c>
      <c r="D1013">
        <v>3</v>
      </c>
      <c r="E1013">
        <v>4</v>
      </c>
      <c r="F1013" t="s">
        <v>23</v>
      </c>
      <c r="G1013">
        <v>1</v>
      </c>
      <c r="H1013">
        <v>2</v>
      </c>
      <c r="I1013" t="s">
        <v>16</v>
      </c>
      <c r="J1013">
        <v>9278</v>
      </c>
      <c r="K1013">
        <v>3</v>
      </c>
      <c r="L1013">
        <v>3</v>
      </c>
      <c r="M1013">
        <v>5</v>
      </c>
    </row>
    <row r="1014" spans="1:13">
      <c r="A1014">
        <v>31</v>
      </c>
      <c r="B1014" t="s">
        <v>13</v>
      </c>
      <c r="C1014" t="s">
        <v>14</v>
      </c>
      <c r="D1014">
        <v>1</v>
      </c>
      <c r="E1014">
        <v>4</v>
      </c>
      <c r="F1014" t="s">
        <v>15</v>
      </c>
      <c r="G1014">
        <v>2</v>
      </c>
      <c r="H1014">
        <v>3</v>
      </c>
      <c r="I1014" t="s">
        <v>16</v>
      </c>
      <c r="J1014">
        <v>1359</v>
      </c>
      <c r="K1014">
        <v>1</v>
      </c>
      <c r="L1014">
        <v>3</v>
      </c>
      <c r="M1014">
        <v>1</v>
      </c>
    </row>
    <row r="1015" spans="1:13">
      <c r="A1015">
        <v>30</v>
      </c>
      <c r="B1015" t="s">
        <v>17</v>
      </c>
      <c r="C1015" t="s">
        <v>14</v>
      </c>
      <c r="D1015">
        <v>7</v>
      </c>
      <c r="E1015">
        <v>4</v>
      </c>
      <c r="F1015" t="s">
        <v>23</v>
      </c>
      <c r="G1015">
        <v>4</v>
      </c>
      <c r="H1015">
        <v>1</v>
      </c>
      <c r="I1015" t="s">
        <v>22</v>
      </c>
      <c r="J1015">
        <v>4779</v>
      </c>
      <c r="K1015">
        <v>7</v>
      </c>
      <c r="L1015">
        <v>3</v>
      </c>
      <c r="M1015">
        <v>3</v>
      </c>
    </row>
    <row r="1016" spans="1:13">
      <c r="A1016">
        <v>31</v>
      </c>
      <c r="B1016" t="s">
        <v>17</v>
      </c>
      <c r="C1016" t="s">
        <v>18</v>
      </c>
      <c r="D1016">
        <v>8</v>
      </c>
      <c r="E1016">
        <v>5</v>
      </c>
      <c r="F1016" t="s">
        <v>15</v>
      </c>
      <c r="G1016">
        <v>1</v>
      </c>
      <c r="H1016">
        <v>2</v>
      </c>
      <c r="I1016" t="s">
        <v>16</v>
      </c>
      <c r="J1016">
        <v>16422</v>
      </c>
      <c r="K1016">
        <v>3</v>
      </c>
      <c r="L1016">
        <v>4</v>
      </c>
      <c r="M1016">
        <v>3</v>
      </c>
    </row>
    <row r="1017" spans="1:13">
      <c r="A1017">
        <v>34</v>
      </c>
      <c r="B1017" t="s">
        <v>17</v>
      </c>
      <c r="C1017" t="s">
        <v>18</v>
      </c>
      <c r="D1017">
        <v>1</v>
      </c>
      <c r="E1017">
        <v>4</v>
      </c>
      <c r="F1017" t="s">
        <v>20</v>
      </c>
      <c r="G1017">
        <v>4</v>
      </c>
      <c r="H1017">
        <v>1</v>
      </c>
      <c r="I1017" t="s">
        <v>22</v>
      </c>
      <c r="J1017">
        <v>2996</v>
      </c>
      <c r="K1017">
        <v>5</v>
      </c>
      <c r="L1017">
        <v>3</v>
      </c>
      <c r="M1017">
        <v>4</v>
      </c>
    </row>
    <row r="1018" spans="1:13">
      <c r="A1018">
        <v>31</v>
      </c>
      <c r="B1018" t="s">
        <v>13</v>
      </c>
      <c r="C1018" t="s">
        <v>18</v>
      </c>
      <c r="D1018">
        <v>8</v>
      </c>
      <c r="E1018">
        <v>3</v>
      </c>
      <c r="F1018" t="s">
        <v>15</v>
      </c>
      <c r="G1018">
        <v>1</v>
      </c>
      <c r="H1018">
        <v>2</v>
      </c>
      <c r="I1018" t="s">
        <v>16</v>
      </c>
      <c r="J1018">
        <v>1261</v>
      </c>
      <c r="K1018">
        <v>1</v>
      </c>
      <c r="L1018">
        <v>4</v>
      </c>
      <c r="M1018">
        <v>1</v>
      </c>
    </row>
    <row r="1019" spans="1:13">
      <c r="A1019">
        <v>27</v>
      </c>
      <c r="B1019" t="s">
        <v>17</v>
      </c>
      <c r="C1019" t="s">
        <v>18</v>
      </c>
      <c r="D1019">
        <v>11</v>
      </c>
      <c r="E1019">
        <v>1</v>
      </c>
      <c r="F1019" t="s">
        <v>15</v>
      </c>
      <c r="G1019">
        <v>2</v>
      </c>
      <c r="H1019">
        <v>1</v>
      </c>
      <c r="I1019" t="s">
        <v>19</v>
      </c>
      <c r="J1019">
        <v>2099</v>
      </c>
      <c r="K1019">
        <v>0</v>
      </c>
      <c r="L1019">
        <v>4</v>
      </c>
      <c r="M1019">
        <v>5</v>
      </c>
    </row>
    <row r="1020" spans="1:13">
      <c r="A1020">
        <v>36</v>
      </c>
      <c r="B1020" t="s">
        <v>17</v>
      </c>
      <c r="C1020" t="s">
        <v>18</v>
      </c>
      <c r="D1020">
        <v>4</v>
      </c>
      <c r="E1020">
        <v>4</v>
      </c>
      <c r="F1020" t="s">
        <v>15</v>
      </c>
      <c r="G1020">
        <v>1</v>
      </c>
      <c r="H1020">
        <v>4</v>
      </c>
      <c r="I1020" t="s">
        <v>16</v>
      </c>
      <c r="J1020">
        <v>5810</v>
      </c>
      <c r="K1020">
        <v>1</v>
      </c>
      <c r="L1020">
        <v>2</v>
      </c>
      <c r="M1020">
        <v>10</v>
      </c>
    </row>
    <row r="1021" spans="1:13">
      <c r="A1021">
        <v>36</v>
      </c>
      <c r="B1021" t="s">
        <v>17</v>
      </c>
      <c r="C1021" t="s">
        <v>14</v>
      </c>
      <c r="D1021">
        <v>16</v>
      </c>
      <c r="E1021">
        <v>4</v>
      </c>
      <c r="F1021" t="s">
        <v>23</v>
      </c>
      <c r="G1021">
        <v>3</v>
      </c>
      <c r="H1021">
        <v>1</v>
      </c>
      <c r="I1021" t="s">
        <v>19</v>
      </c>
      <c r="J1021">
        <v>5647</v>
      </c>
      <c r="K1021">
        <v>4</v>
      </c>
      <c r="L1021">
        <v>2</v>
      </c>
      <c r="M1021">
        <v>3</v>
      </c>
    </row>
    <row r="1022" spans="1:13">
      <c r="A1022">
        <v>47</v>
      </c>
      <c r="B1022" t="s">
        <v>17</v>
      </c>
      <c r="C1022" t="s">
        <v>18</v>
      </c>
      <c r="D1022">
        <v>1</v>
      </c>
      <c r="E1022">
        <v>3</v>
      </c>
      <c r="F1022" t="s">
        <v>24</v>
      </c>
      <c r="G1022">
        <v>1</v>
      </c>
      <c r="H1022">
        <v>4</v>
      </c>
      <c r="I1022" t="s">
        <v>19</v>
      </c>
      <c r="J1022">
        <v>3420</v>
      </c>
      <c r="K1022">
        <v>7</v>
      </c>
      <c r="L1022">
        <v>2</v>
      </c>
      <c r="M1022">
        <v>6</v>
      </c>
    </row>
    <row r="1023" spans="1:13">
      <c r="A1023">
        <v>25</v>
      </c>
      <c r="B1023" t="s">
        <v>13</v>
      </c>
      <c r="C1023" t="s">
        <v>14</v>
      </c>
      <c r="D1023">
        <v>9</v>
      </c>
      <c r="E1023">
        <v>2</v>
      </c>
      <c r="F1023" t="s">
        <v>15</v>
      </c>
      <c r="G1023">
        <v>1</v>
      </c>
      <c r="H1023">
        <v>1</v>
      </c>
      <c r="I1023" t="s">
        <v>19</v>
      </c>
      <c r="J1023">
        <v>4400</v>
      </c>
      <c r="K1023">
        <v>3</v>
      </c>
      <c r="L1023">
        <v>3</v>
      </c>
      <c r="M1023">
        <v>3</v>
      </c>
    </row>
    <row r="1024" spans="1:13">
      <c r="A1024">
        <v>37</v>
      </c>
      <c r="B1024" t="s">
        <v>17</v>
      </c>
      <c r="C1024" t="s">
        <v>18</v>
      </c>
      <c r="D1024">
        <v>5</v>
      </c>
      <c r="E1024">
        <v>2</v>
      </c>
      <c r="F1024" t="s">
        <v>24</v>
      </c>
      <c r="G1024">
        <v>3</v>
      </c>
      <c r="H1024">
        <v>3</v>
      </c>
      <c r="I1024" t="s">
        <v>16</v>
      </c>
      <c r="J1024">
        <v>3500</v>
      </c>
      <c r="K1024">
        <v>0</v>
      </c>
      <c r="L1024">
        <v>1</v>
      </c>
      <c r="M1024">
        <v>6</v>
      </c>
    </row>
    <row r="1025" spans="1:13">
      <c r="A1025">
        <v>56</v>
      </c>
      <c r="B1025" t="s">
        <v>17</v>
      </c>
      <c r="C1025" t="s">
        <v>18</v>
      </c>
      <c r="D1025">
        <v>1</v>
      </c>
      <c r="E1025">
        <v>2</v>
      </c>
      <c r="F1025" t="s">
        <v>15</v>
      </c>
      <c r="G1025">
        <v>1</v>
      </c>
      <c r="H1025">
        <v>1</v>
      </c>
      <c r="I1025" t="s">
        <v>19</v>
      </c>
      <c r="J1025">
        <v>2066</v>
      </c>
      <c r="K1025">
        <v>2</v>
      </c>
      <c r="L1025">
        <v>4</v>
      </c>
      <c r="M1025">
        <v>3</v>
      </c>
    </row>
    <row r="1026" spans="1:13">
      <c r="A1026">
        <v>47</v>
      </c>
      <c r="B1026" t="s">
        <v>17</v>
      </c>
      <c r="C1026" t="s">
        <v>18</v>
      </c>
      <c r="D1026">
        <v>2</v>
      </c>
      <c r="E1026">
        <v>4</v>
      </c>
      <c r="F1026" t="s">
        <v>21</v>
      </c>
      <c r="G1026">
        <v>1</v>
      </c>
      <c r="H1026">
        <v>3</v>
      </c>
      <c r="I1026" t="s">
        <v>19</v>
      </c>
      <c r="J1026">
        <v>17169</v>
      </c>
      <c r="K1026">
        <v>3</v>
      </c>
      <c r="L1026">
        <v>4</v>
      </c>
      <c r="M1026">
        <v>20</v>
      </c>
    </row>
    <row r="1027" spans="1:13">
      <c r="A1027">
        <v>24</v>
      </c>
      <c r="B1027" t="s">
        <v>17</v>
      </c>
      <c r="C1027" t="s">
        <v>14</v>
      </c>
      <c r="D1027">
        <v>4</v>
      </c>
      <c r="E1027">
        <v>1</v>
      </c>
      <c r="F1027" t="s">
        <v>21</v>
      </c>
      <c r="G1027">
        <v>4</v>
      </c>
      <c r="H1027">
        <v>3</v>
      </c>
      <c r="I1027" t="s">
        <v>19</v>
      </c>
      <c r="J1027">
        <v>4162</v>
      </c>
      <c r="K1027">
        <v>1</v>
      </c>
      <c r="L1027">
        <v>3</v>
      </c>
      <c r="M1027">
        <v>5</v>
      </c>
    </row>
    <row r="1028" spans="1:13">
      <c r="A1028">
        <v>32</v>
      </c>
      <c r="B1028" t="s">
        <v>17</v>
      </c>
      <c r="C1028" t="s">
        <v>14</v>
      </c>
      <c r="D1028">
        <v>7</v>
      </c>
      <c r="E1028">
        <v>5</v>
      </c>
      <c r="F1028" t="s">
        <v>23</v>
      </c>
      <c r="G1028">
        <v>4</v>
      </c>
      <c r="H1028">
        <v>4</v>
      </c>
      <c r="I1028" t="s">
        <v>19</v>
      </c>
      <c r="J1028">
        <v>9204</v>
      </c>
      <c r="K1028">
        <v>4</v>
      </c>
      <c r="L1028">
        <v>2</v>
      </c>
      <c r="M1028">
        <v>4</v>
      </c>
    </row>
    <row r="1029" spans="1:13">
      <c r="A1029">
        <v>34</v>
      </c>
      <c r="B1029" t="s">
        <v>17</v>
      </c>
      <c r="C1029" t="s">
        <v>18</v>
      </c>
      <c r="D1029">
        <v>1</v>
      </c>
      <c r="E1029">
        <v>3</v>
      </c>
      <c r="F1029" t="s">
        <v>15</v>
      </c>
      <c r="G1029">
        <v>4</v>
      </c>
      <c r="H1029">
        <v>2</v>
      </c>
      <c r="I1029" t="s">
        <v>19</v>
      </c>
      <c r="J1029">
        <v>3294</v>
      </c>
      <c r="K1029">
        <v>5</v>
      </c>
      <c r="L1029">
        <v>2</v>
      </c>
      <c r="M1029">
        <v>5</v>
      </c>
    </row>
    <row r="1030" spans="1:13">
      <c r="A1030">
        <v>41</v>
      </c>
      <c r="B1030" t="s">
        <v>17</v>
      </c>
      <c r="C1030" t="s">
        <v>18</v>
      </c>
      <c r="D1030">
        <v>5</v>
      </c>
      <c r="E1030">
        <v>5</v>
      </c>
      <c r="F1030" t="s">
        <v>21</v>
      </c>
      <c r="G1030">
        <v>2</v>
      </c>
      <c r="H1030">
        <v>3</v>
      </c>
      <c r="I1030" t="s">
        <v>19</v>
      </c>
      <c r="J1030">
        <v>2127</v>
      </c>
      <c r="K1030">
        <v>2</v>
      </c>
      <c r="L1030">
        <v>2</v>
      </c>
      <c r="M1030">
        <v>4</v>
      </c>
    </row>
    <row r="1031" spans="1:13">
      <c r="A1031">
        <v>40</v>
      </c>
      <c r="B1031" t="s">
        <v>17</v>
      </c>
      <c r="C1031" t="s">
        <v>18</v>
      </c>
      <c r="D1031">
        <v>9</v>
      </c>
      <c r="E1031">
        <v>4</v>
      </c>
      <c r="F1031" t="s">
        <v>20</v>
      </c>
      <c r="G1031">
        <v>3</v>
      </c>
      <c r="H1031">
        <v>3</v>
      </c>
      <c r="I1031" t="s">
        <v>22</v>
      </c>
      <c r="J1031">
        <v>3975</v>
      </c>
      <c r="K1031">
        <v>3</v>
      </c>
      <c r="L1031">
        <v>4</v>
      </c>
      <c r="M1031">
        <v>8</v>
      </c>
    </row>
    <row r="1032" spans="1:13">
      <c r="A1032">
        <v>31</v>
      </c>
      <c r="B1032" t="s">
        <v>17</v>
      </c>
      <c r="C1032" t="s">
        <v>14</v>
      </c>
      <c r="D1032">
        <v>8</v>
      </c>
      <c r="E1032">
        <v>2</v>
      </c>
      <c r="F1032" t="s">
        <v>15</v>
      </c>
      <c r="G1032">
        <v>1</v>
      </c>
      <c r="H1032">
        <v>4</v>
      </c>
      <c r="I1032" t="s">
        <v>22</v>
      </c>
      <c r="J1032">
        <v>10793</v>
      </c>
      <c r="K1032">
        <v>1</v>
      </c>
      <c r="L1032">
        <v>3</v>
      </c>
      <c r="M1032">
        <v>13</v>
      </c>
    </row>
    <row r="1033" spans="1:13">
      <c r="A1033">
        <v>46</v>
      </c>
      <c r="B1033" t="s">
        <v>13</v>
      </c>
      <c r="C1033" t="s">
        <v>14</v>
      </c>
      <c r="D1033">
        <v>9</v>
      </c>
      <c r="E1033">
        <v>3</v>
      </c>
      <c r="F1033" t="s">
        <v>23</v>
      </c>
      <c r="G1033">
        <v>1</v>
      </c>
      <c r="H1033">
        <v>4</v>
      </c>
      <c r="I1033" t="s">
        <v>22</v>
      </c>
      <c r="J1033">
        <v>10096</v>
      </c>
      <c r="K1033">
        <v>4</v>
      </c>
      <c r="L1033">
        <v>4</v>
      </c>
      <c r="M1033">
        <v>7</v>
      </c>
    </row>
    <row r="1034" spans="1:13">
      <c r="A1034">
        <v>39</v>
      </c>
      <c r="B1034" t="s">
        <v>13</v>
      </c>
      <c r="C1034" t="s">
        <v>18</v>
      </c>
      <c r="D1034">
        <v>2</v>
      </c>
      <c r="E1034">
        <v>3</v>
      </c>
      <c r="F1034" t="s">
        <v>15</v>
      </c>
      <c r="G1034">
        <v>1</v>
      </c>
      <c r="H1034">
        <v>1</v>
      </c>
      <c r="I1034" t="s">
        <v>16</v>
      </c>
      <c r="J1034">
        <v>3646</v>
      </c>
      <c r="K1034">
        <v>2</v>
      </c>
      <c r="L1034">
        <v>4</v>
      </c>
      <c r="M1034">
        <v>1</v>
      </c>
    </row>
    <row r="1035" spans="1:13">
      <c r="A1035">
        <v>31</v>
      </c>
      <c r="B1035" t="s">
        <v>13</v>
      </c>
      <c r="C1035" t="s">
        <v>18</v>
      </c>
      <c r="D1035">
        <v>1</v>
      </c>
      <c r="E1035">
        <v>5</v>
      </c>
      <c r="F1035" t="s">
        <v>15</v>
      </c>
      <c r="G1035">
        <v>3</v>
      </c>
      <c r="H1035">
        <v>2</v>
      </c>
      <c r="I1035" t="s">
        <v>16</v>
      </c>
      <c r="J1035">
        <v>7446</v>
      </c>
      <c r="K1035">
        <v>1</v>
      </c>
      <c r="L1035">
        <v>3</v>
      </c>
      <c r="M1035">
        <v>10</v>
      </c>
    </row>
    <row r="1036" spans="1:13">
      <c r="A1036">
        <v>45</v>
      </c>
      <c r="B1036" t="s">
        <v>17</v>
      </c>
      <c r="C1036" t="s">
        <v>18</v>
      </c>
      <c r="D1036">
        <v>20</v>
      </c>
      <c r="E1036">
        <v>3</v>
      </c>
      <c r="F1036" t="s">
        <v>21</v>
      </c>
      <c r="G1036">
        <v>2</v>
      </c>
      <c r="H1036">
        <v>1</v>
      </c>
      <c r="I1036" t="s">
        <v>22</v>
      </c>
      <c r="J1036">
        <v>10851</v>
      </c>
      <c r="K1036">
        <v>2</v>
      </c>
      <c r="L1036">
        <v>3</v>
      </c>
      <c r="M1036">
        <v>7</v>
      </c>
    </row>
    <row r="1037" spans="1:13">
      <c r="A1037">
        <v>31</v>
      </c>
      <c r="B1037" t="s">
        <v>17</v>
      </c>
      <c r="C1037" t="s">
        <v>25</v>
      </c>
      <c r="D1037">
        <v>8</v>
      </c>
      <c r="E1037">
        <v>2</v>
      </c>
      <c r="F1037" t="s">
        <v>21</v>
      </c>
      <c r="G1037">
        <v>4</v>
      </c>
      <c r="H1037">
        <v>2</v>
      </c>
      <c r="I1037" t="s">
        <v>16</v>
      </c>
      <c r="J1037">
        <v>2109</v>
      </c>
      <c r="K1037">
        <v>9</v>
      </c>
      <c r="L1037">
        <v>3</v>
      </c>
      <c r="M1037">
        <v>3</v>
      </c>
    </row>
    <row r="1038" spans="1:13">
      <c r="A1038">
        <v>31</v>
      </c>
      <c r="B1038" t="s">
        <v>13</v>
      </c>
      <c r="C1038" t="s">
        <v>18</v>
      </c>
      <c r="D1038">
        <v>2</v>
      </c>
      <c r="E1038">
        <v>3</v>
      </c>
      <c r="F1038" t="s">
        <v>15</v>
      </c>
      <c r="G1038">
        <v>2</v>
      </c>
      <c r="H1038">
        <v>4</v>
      </c>
      <c r="I1038" t="s">
        <v>19</v>
      </c>
      <c r="J1038">
        <v>3722</v>
      </c>
      <c r="K1038">
        <v>6</v>
      </c>
      <c r="L1038">
        <v>1</v>
      </c>
      <c r="M1038">
        <v>2</v>
      </c>
    </row>
    <row r="1039" spans="1:13">
      <c r="A1039">
        <v>45</v>
      </c>
      <c r="B1039" t="s">
        <v>17</v>
      </c>
      <c r="C1039" t="s">
        <v>18</v>
      </c>
      <c r="D1039">
        <v>29</v>
      </c>
      <c r="E1039">
        <v>3</v>
      </c>
      <c r="F1039" t="s">
        <v>24</v>
      </c>
      <c r="G1039">
        <v>2</v>
      </c>
      <c r="H1039">
        <v>4</v>
      </c>
      <c r="I1039" t="s">
        <v>19</v>
      </c>
      <c r="J1039">
        <v>9380</v>
      </c>
      <c r="K1039">
        <v>4</v>
      </c>
      <c r="L1039">
        <v>4</v>
      </c>
      <c r="M1039">
        <v>3</v>
      </c>
    </row>
    <row r="1040" spans="1:13">
      <c r="A1040">
        <v>48</v>
      </c>
      <c r="B1040" t="s">
        <v>17</v>
      </c>
      <c r="C1040" t="s">
        <v>14</v>
      </c>
      <c r="D1040">
        <v>7</v>
      </c>
      <c r="E1040">
        <v>3</v>
      </c>
      <c r="F1040" t="s">
        <v>23</v>
      </c>
      <c r="G1040">
        <v>3</v>
      </c>
      <c r="H1040">
        <v>1</v>
      </c>
      <c r="I1040" t="s">
        <v>22</v>
      </c>
      <c r="J1040">
        <v>5486</v>
      </c>
      <c r="K1040">
        <v>4</v>
      </c>
      <c r="L1040">
        <v>3</v>
      </c>
      <c r="M1040">
        <v>2</v>
      </c>
    </row>
    <row r="1041" spans="1:13">
      <c r="A1041">
        <v>34</v>
      </c>
      <c r="B1041" t="s">
        <v>13</v>
      </c>
      <c r="C1041" t="s">
        <v>25</v>
      </c>
      <c r="D1041">
        <v>9</v>
      </c>
      <c r="E1041">
        <v>4</v>
      </c>
      <c r="F1041" t="s">
        <v>24</v>
      </c>
      <c r="G1041">
        <v>1</v>
      </c>
      <c r="H1041">
        <v>3</v>
      </c>
      <c r="I1041" t="s">
        <v>19</v>
      </c>
      <c r="J1041">
        <v>2742</v>
      </c>
      <c r="K1041">
        <v>1</v>
      </c>
      <c r="L1041">
        <v>3</v>
      </c>
      <c r="M1041">
        <v>2</v>
      </c>
    </row>
    <row r="1042" spans="1:13">
      <c r="A1042">
        <v>40</v>
      </c>
      <c r="B1042" t="s">
        <v>17</v>
      </c>
      <c r="C1042" t="s">
        <v>18</v>
      </c>
      <c r="D1042">
        <v>8</v>
      </c>
      <c r="E1042">
        <v>1</v>
      </c>
      <c r="F1042" t="s">
        <v>21</v>
      </c>
      <c r="G1042">
        <v>4</v>
      </c>
      <c r="H1042">
        <v>2</v>
      </c>
      <c r="I1042" t="s">
        <v>22</v>
      </c>
      <c r="J1042">
        <v>13757</v>
      </c>
      <c r="K1042">
        <v>2</v>
      </c>
      <c r="L1042">
        <v>3</v>
      </c>
      <c r="M1042">
        <v>9</v>
      </c>
    </row>
    <row r="1043" spans="1:13">
      <c r="A1043">
        <v>28</v>
      </c>
      <c r="B1043" t="s">
        <v>17</v>
      </c>
      <c r="C1043" t="s">
        <v>14</v>
      </c>
      <c r="D1043">
        <v>5</v>
      </c>
      <c r="E1043">
        <v>3</v>
      </c>
      <c r="F1043" t="s">
        <v>21</v>
      </c>
      <c r="G1043">
        <v>4</v>
      </c>
      <c r="H1043">
        <v>1</v>
      </c>
      <c r="I1043" t="s">
        <v>16</v>
      </c>
      <c r="J1043">
        <v>8463</v>
      </c>
      <c r="K1043">
        <v>0</v>
      </c>
      <c r="L1043">
        <v>3</v>
      </c>
      <c r="M1043">
        <v>5</v>
      </c>
    </row>
    <row r="1044" spans="1:13">
      <c r="A1044">
        <v>44</v>
      </c>
      <c r="B1044" t="s">
        <v>17</v>
      </c>
      <c r="C1044" t="s">
        <v>18</v>
      </c>
      <c r="D1044">
        <v>5</v>
      </c>
      <c r="E1044">
        <v>3</v>
      </c>
      <c r="F1044" t="s">
        <v>15</v>
      </c>
      <c r="G1044">
        <v>3</v>
      </c>
      <c r="H1044">
        <v>3</v>
      </c>
      <c r="I1044" t="s">
        <v>16</v>
      </c>
      <c r="J1044">
        <v>3162</v>
      </c>
      <c r="K1044">
        <v>3</v>
      </c>
      <c r="L1044">
        <v>3</v>
      </c>
      <c r="M1044">
        <v>5</v>
      </c>
    </row>
    <row r="1045" spans="1:13">
      <c r="A1045">
        <v>53</v>
      </c>
      <c r="B1045" t="s">
        <v>17</v>
      </c>
      <c r="C1045" t="s">
        <v>18</v>
      </c>
      <c r="D1045">
        <v>2</v>
      </c>
      <c r="E1045">
        <v>3</v>
      </c>
      <c r="F1045" t="s">
        <v>21</v>
      </c>
      <c r="G1045">
        <v>4</v>
      </c>
      <c r="H1045">
        <v>2</v>
      </c>
      <c r="I1045" t="s">
        <v>16</v>
      </c>
      <c r="J1045">
        <v>16598</v>
      </c>
      <c r="K1045">
        <v>4</v>
      </c>
      <c r="L1045">
        <v>2</v>
      </c>
      <c r="M1045">
        <v>9</v>
      </c>
    </row>
    <row r="1046" spans="1:13">
      <c r="A1046">
        <v>49</v>
      </c>
      <c r="B1046" t="s">
        <v>17</v>
      </c>
      <c r="C1046" t="s">
        <v>18</v>
      </c>
      <c r="D1046">
        <v>5</v>
      </c>
      <c r="E1046">
        <v>4</v>
      </c>
      <c r="F1046" t="s">
        <v>24</v>
      </c>
      <c r="G1046">
        <v>1</v>
      </c>
      <c r="H1046">
        <v>3</v>
      </c>
      <c r="I1046" t="s">
        <v>19</v>
      </c>
      <c r="J1046">
        <v>6651</v>
      </c>
      <c r="K1046">
        <v>2</v>
      </c>
      <c r="L1046">
        <v>2</v>
      </c>
      <c r="M1046">
        <v>3</v>
      </c>
    </row>
    <row r="1047" spans="1:13">
      <c r="A1047">
        <v>40</v>
      </c>
      <c r="B1047" t="s">
        <v>17</v>
      </c>
      <c r="C1047" t="s">
        <v>18</v>
      </c>
      <c r="D1047">
        <v>2</v>
      </c>
      <c r="E1047">
        <v>3</v>
      </c>
      <c r="F1047" t="s">
        <v>21</v>
      </c>
      <c r="G1047">
        <v>3</v>
      </c>
      <c r="H1047">
        <v>3</v>
      </c>
      <c r="I1047" t="s">
        <v>22</v>
      </c>
      <c r="J1047">
        <v>2345</v>
      </c>
      <c r="K1047">
        <v>2</v>
      </c>
      <c r="L1047">
        <v>4</v>
      </c>
      <c r="M1047">
        <v>3</v>
      </c>
    </row>
    <row r="1048" spans="1:13">
      <c r="A1048">
        <v>44</v>
      </c>
      <c r="B1048" t="s">
        <v>17</v>
      </c>
      <c r="C1048" t="s">
        <v>18</v>
      </c>
      <c r="D1048">
        <v>20</v>
      </c>
      <c r="E1048">
        <v>3</v>
      </c>
      <c r="F1048" t="s">
        <v>15</v>
      </c>
      <c r="G1048">
        <v>4</v>
      </c>
      <c r="H1048">
        <v>2</v>
      </c>
      <c r="I1048" t="s">
        <v>16</v>
      </c>
      <c r="J1048">
        <v>3420</v>
      </c>
      <c r="K1048">
        <v>1</v>
      </c>
      <c r="L1048">
        <v>2</v>
      </c>
      <c r="M1048">
        <v>5</v>
      </c>
    </row>
    <row r="1049" spans="1:13">
      <c r="A1049">
        <v>33</v>
      </c>
      <c r="B1049" t="s">
        <v>17</v>
      </c>
      <c r="C1049" t="s">
        <v>14</v>
      </c>
      <c r="D1049">
        <v>7</v>
      </c>
      <c r="E1049">
        <v>3</v>
      </c>
      <c r="F1049" t="s">
        <v>21</v>
      </c>
      <c r="G1049">
        <v>4</v>
      </c>
      <c r="H1049">
        <v>1</v>
      </c>
      <c r="I1049" t="s">
        <v>19</v>
      </c>
      <c r="J1049">
        <v>4373</v>
      </c>
      <c r="K1049">
        <v>0</v>
      </c>
      <c r="L1049">
        <v>3</v>
      </c>
      <c r="M1049">
        <v>4</v>
      </c>
    </row>
    <row r="1050" spans="1:13">
      <c r="A1050">
        <v>34</v>
      </c>
      <c r="B1050" t="s">
        <v>17</v>
      </c>
      <c r="C1050" t="s">
        <v>14</v>
      </c>
      <c r="D1050">
        <v>3</v>
      </c>
      <c r="E1050">
        <v>3</v>
      </c>
      <c r="F1050" t="s">
        <v>20</v>
      </c>
      <c r="G1050">
        <v>4</v>
      </c>
      <c r="H1050">
        <v>1</v>
      </c>
      <c r="I1050" t="s">
        <v>16</v>
      </c>
      <c r="J1050">
        <v>4759</v>
      </c>
      <c r="K1050">
        <v>3</v>
      </c>
      <c r="L1050">
        <v>3</v>
      </c>
      <c r="M1050">
        <v>13</v>
      </c>
    </row>
    <row r="1051" spans="1:13">
      <c r="A1051">
        <v>30</v>
      </c>
      <c r="B1051" t="s">
        <v>17</v>
      </c>
      <c r="C1051" t="s">
        <v>14</v>
      </c>
      <c r="D1051">
        <v>16</v>
      </c>
      <c r="E1051">
        <v>1</v>
      </c>
      <c r="F1051" t="s">
        <v>15</v>
      </c>
      <c r="G1051">
        <v>4</v>
      </c>
      <c r="H1051">
        <v>3</v>
      </c>
      <c r="I1051" t="s">
        <v>19</v>
      </c>
      <c r="J1051">
        <v>5301</v>
      </c>
      <c r="K1051">
        <v>8</v>
      </c>
      <c r="L1051">
        <v>2</v>
      </c>
      <c r="M1051">
        <v>2</v>
      </c>
    </row>
    <row r="1052" spans="1:13">
      <c r="A1052">
        <v>42</v>
      </c>
      <c r="B1052" t="s">
        <v>17</v>
      </c>
      <c r="C1052" t="s">
        <v>18</v>
      </c>
      <c r="D1052">
        <v>9</v>
      </c>
      <c r="E1052">
        <v>2</v>
      </c>
      <c r="F1052" t="s">
        <v>21</v>
      </c>
      <c r="G1052">
        <v>1</v>
      </c>
      <c r="H1052">
        <v>4</v>
      </c>
      <c r="I1052" t="s">
        <v>16</v>
      </c>
      <c r="J1052">
        <v>3673</v>
      </c>
      <c r="K1052">
        <v>1</v>
      </c>
      <c r="L1052">
        <v>3</v>
      </c>
      <c r="M1052">
        <v>12</v>
      </c>
    </row>
    <row r="1053" spans="1:13">
      <c r="A1053">
        <v>44</v>
      </c>
      <c r="B1053" t="s">
        <v>17</v>
      </c>
      <c r="C1053" t="s">
        <v>14</v>
      </c>
      <c r="D1053">
        <v>1</v>
      </c>
      <c r="E1053">
        <v>5</v>
      </c>
      <c r="F1053" t="s">
        <v>23</v>
      </c>
      <c r="G1053">
        <v>1</v>
      </c>
      <c r="H1053">
        <v>3</v>
      </c>
      <c r="I1053" t="s">
        <v>19</v>
      </c>
      <c r="J1053">
        <v>4768</v>
      </c>
      <c r="K1053">
        <v>7</v>
      </c>
      <c r="L1053">
        <v>2</v>
      </c>
      <c r="M1053">
        <v>1</v>
      </c>
    </row>
    <row r="1054" spans="1:13">
      <c r="A1054">
        <v>30</v>
      </c>
      <c r="B1054" t="s">
        <v>17</v>
      </c>
      <c r="C1054" t="s">
        <v>18</v>
      </c>
      <c r="D1054">
        <v>7</v>
      </c>
      <c r="E1054">
        <v>3</v>
      </c>
      <c r="F1054" t="s">
        <v>24</v>
      </c>
      <c r="G1054">
        <v>3</v>
      </c>
      <c r="H1054">
        <v>3</v>
      </c>
      <c r="I1054" t="s">
        <v>22</v>
      </c>
      <c r="J1054">
        <v>1274</v>
      </c>
      <c r="K1054">
        <v>1</v>
      </c>
      <c r="L1054">
        <v>2</v>
      </c>
      <c r="M1054">
        <v>1</v>
      </c>
    </row>
    <row r="1055" spans="1:13">
      <c r="A1055">
        <v>57</v>
      </c>
      <c r="B1055" t="s">
        <v>17</v>
      </c>
      <c r="C1055" t="s">
        <v>18</v>
      </c>
      <c r="D1055">
        <v>1</v>
      </c>
      <c r="E1055">
        <v>2</v>
      </c>
      <c r="F1055" t="s">
        <v>15</v>
      </c>
      <c r="G1055">
        <v>2</v>
      </c>
      <c r="H1055">
        <v>3</v>
      </c>
      <c r="I1055" t="s">
        <v>19</v>
      </c>
      <c r="J1055">
        <v>4900</v>
      </c>
      <c r="K1055">
        <v>0</v>
      </c>
      <c r="L1055">
        <v>2</v>
      </c>
      <c r="M1055">
        <v>12</v>
      </c>
    </row>
    <row r="1056" spans="1:13">
      <c r="A1056">
        <v>49</v>
      </c>
      <c r="B1056" t="s">
        <v>17</v>
      </c>
      <c r="C1056" t="s">
        <v>18</v>
      </c>
      <c r="D1056">
        <v>7</v>
      </c>
      <c r="E1056">
        <v>4</v>
      </c>
      <c r="F1056" t="s">
        <v>15</v>
      </c>
      <c r="G1056">
        <v>3</v>
      </c>
      <c r="H1056">
        <v>2</v>
      </c>
      <c r="I1056" t="s">
        <v>22</v>
      </c>
      <c r="J1056">
        <v>10466</v>
      </c>
      <c r="K1056">
        <v>3</v>
      </c>
      <c r="L1056">
        <v>3</v>
      </c>
      <c r="M1056">
        <v>8</v>
      </c>
    </row>
    <row r="1057" spans="1:13">
      <c r="A1057">
        <v>34</v>
      </c>
      <c r="B1057" t="s">
        <v>17</v>
      </c>
      <c r="C1057" t="s">
        <v>18</v>
      </c>
      <c r="D1057">
        <v>15</v>
      </c>
      <c r="E1057">
        <v>3</v>
      </c>
      <c r="F1057" t="s">
        <v>21</v>
      </c>
      <c r="G1057">
        <v>2</v>
      </c>
      <c r="H1057">
        <v>1</v>
      </c>
      <c r="I1057" t="s">
        <v>22</v>
      </c>
      <c r="J1057">
        <v>17007</v>
      </c>
      <c r="K1057">
        <v>7</v>
      </c>
      <c r="L1057">
        <v>2</v>
      </c>
      <c r="M1057">
        <v>14</v>
      </c>
    </row>
    <row r="1058" spans="1:13">
      <c r="A1058">
        <v>28</v>
      </c>
      <c r="B1058" t="s">
        <v>13</v>
      </c>
      <c r="C1058" t="s">
        <v>14</v>
      </c>
      <c r="D1058">
        <v>1</v>
      </c>
      <c r="E1058">
        <v>3</v>
      </c>
      <c r="F1058" t="s">
        <v>24</v>
      </c>
      <c r="G1058">
        <v>1</v>
      </c>
      <c r="H1058">
        <v>3</v>
      </c>
      <c r="I1058" t="s">
        <v>19</v>
      </c>
      <c r="J1058">
        <v>2909</v>
      </c>
      <c r="K1058">
        <v>3</v>
      </c>
      <c r="L1058">
        <v>4</v>
      </c>
      <c r="M1058">
        <v>3</v>
      </c>
    </row>
    <row r="1059" spans="1:13">
      <c r="A1059">
        <v>29</v>
      </c>
      <c r="B1059" t="s">
        <v>13</v>
      </c>
      <c r="C1059" t="s">
        <v>14</v>
      </c>
      <c r="D1059">
        <v>13</v>
      </c>
      <c r="E1059">
        <v>3</v>
      </c>
      <c r="F1059" t="s">
        <v>24</v>
      </c>
      <c r="G1059">
        <v>1</v>
      </c>
      <c r="H1059">
        <v>2</v>
      </c>
      <c r="I1059" t="s">
        <v>16</v>
      </c>
      <c r="J1059">
        <v>5765</v>
      </c>
      <c r="K1059">
        <v>5</v>
      </c>
      <c r="L1059">
        <v>1</v>
      </c>
      <c r="M1059">
        <v>5</v>
      </c>
    </row>
    <row r="1060" spans="1:13">
      <c r="A1060">
        <v>34</v>
      </c>
      <c r="B1060" t="s">
        <v>13</v>
      </c>
      <c r="C1060" t="s">
        <v>14</v>
      </c>
      <c r="D1060">
        <v>24</v>
      </c>
      <c r="E1060">
        <v>4</v>
      </c>
      <c r="F1060" t="s">
        <v>21</v>
      </c>
      <c r="G1060">
        <v>1</v>
      </c>
      <c r="H1060">
        <v>2</v>
      </c>
      <c r="I1060" t="s">
        <v>16</v>
      </c>
      <c r="J1060">
        <v>4599</v>
      </c>
      <c r="K1060">
        <v>0</v>
      </c>
      <c r="L1060">
        <v>4</v>
      </c>
      <c r="M1060">
        <v>15</v>
      </c>
    </row>
    <row r="1061" spans="1:13">
      <c r="A1061">
        <v>35</v>
      </c>
      <c r="B1061" t="s">
        <v>17</v>
      </c>
      <c r="C1061" t="s">
        <v>14</v>
      </c>
      <c r="D1061">
        <v>7</v>
      </c>
      <c r="E1061">
        <v>1</v>
      </c>
      <c r="F1061" t="s">
        <v>15</v>
      </c>
      <c r="G1061">
        <v>4</v>
      </c>
      <c r="H1061">
        <v>3</v>
      </c>
      <c r="I1061" t="s">
        <v>19</v>
      </c>
      <c r="J1061">
        <v>2404</v>
      </c>
      <c r="K1061">
        <v>1</v>
      </c>
      <c r="L1061">
        <v>3</v>
      </c>
      <c r="M1061">
        <v>1</v>
      </c>
    </row>
    <row r="1062" spans="1:13">
      <c r="A1062">
        <v>24</v>
      </c>
      <c r="B1062" t="s">
        <v>13</v>
      </c>
      <c r="C1062" t="s">
        <v>18</v>
      </c>
      <c r="D1062">
        <v>9</v>
      </c>
      <c r="E1062">
        <v>3</v>
      </c>
      <c r="F1062" t="s">
        <v>21</v>
      </c>
      <c r="G1062">
        <v>2</v>
      </c>
      <c r="H1062">
        <v>1</v>
      </c>
      <c r="I1062" t="s">
        <v>16</v>
      </c>
      <c r="J1062">
        <v>3172</v>
      </c>
      <c r="K1062">
        <v>2</v>
      </c>
      <c r="L1062">
        <v>2</v>
      </c>
      <c r="M1062">
        <v>0</v>
      </c>
    </row>
    <row r="1063" spans="1:13">
      <c r="A1063">
        <v>24</v>
      </c>
      <c r="B1063" t="s">
        <v>17</v>
      </c>
      <c r="C1063" t="s">
        <v>14</v>
      </c>
      <c r="D1063">
        <v>13</v>
      </c>
      <c r="E1063">
        <v>2</v>
      </c>
      <c r="F1063" t="s">
        <v>15</v>
      </c>
      <c r="G1063">
        <v>4</v>
      </c>
      <c r="H1063">
        <v>2</v>
      </c>
      <c r="I1063" t="s">
        <v>19</v>
      </c>
      <c r="J1063">
        <v>2033</v>
      </c>
      <c r="K1063">
        <v>1</v>
      </c>
      <c r="L1063">
        <v>3</v>
      </c>
      <c r="M1063">
        <v>1</v>
      </c>
    </row>
    <row r="1064" spans="1:13">
      <c r="A1064">
        <v>44</v>
      </c>
      <c r="B1064" t="s">
        <v>17</v>
      </c>
      <c r="C1064" t="s">
        <v>18</v>
      </c>
      <c r="D1064">
        <v>2</v>
      </c>
      <c r="E1064">
        <v>1</v>
      </c>
      <c r="F1064" t="s">
        <v>21</v>
      </c>
      <c r="G1064">
        <v>2</v>
      </c>
      <c r="H1064">
        <v>3</v>
      </c>
      <c r="I1064" t="s">
        <v>16</v>
      </c>
      <c r="J1064">
        <v>10209</v>
      </c>
      <c r="K1064">
        <v>5</v>
      </c>
      <c r="L1064">
        <v>2</v>
      </c>
      <c r="M1064">
        <v>2</v>
      </c>
    </row>
    <row r="1065" spans="1:13">
      <c r="A1065">
        <v>29</v>
      </c>
      <c r="B1065" t="s">
        <v>17</v>
      </c>
      <c r="C1065" t="s">
        <v>14</v>
      </c>
      <c r="D1065">
        <v>19</v>
      </c>
      <c r="E1065">
        <v>3</v>
      </c>
      <c r="F1065" t="s">
        <v>15</v>
      </c>
      <c r="G1065">
        <v>3</v>
      </c>
      <c r="H1065">
        <v>3</v>
      </c>
      <c r="I1065" t="s">
        <v>22</v>
      </c>
      <c r="J1065">
        <v>8620</v>
      </c>
      <c r="K1065">
        <v>1</v>
      </c>
      <c r="L1065">
        <v>3</v>
      </c>
      <c r="M1065">
        <v>10</v>
      </c>
    </row>
    <row r="1066" spans="1:13">
      <c r="A1066">
        <v>30</v>
      </c>
      <c r="B1066" t="s">
        <v>17</v>
      </c>
      <c r="C1066" t="s">
        <v>25</v>
      </c>
      <c r="D1066">
        <v>1</v>
      </c>
      <c r="E1066">
        <v>3</v>
      </c>
      <c r="F1066" t="s">
        <v>15</v>
      </c>
      <c r="G1066">
        <v>3</v>
      </c>
      <c r="H1066">
        <v>3</v>
      </c>
      <c r="I1066" t="s">
        <v>22</v>
      </c>
      <c r="J1066">
        <v>2064</v>
      </c>
      <c r="K1066">
        <v>0</v>
      </c>
      <c r="L1066">
        <v>4</v>
      </c>
      <c r="M1066">
        <v>5</v>
      </c>
    </row>
    <row r="1067" spans="1:13">
      <c r="A1067">
        <v>55</v>
      </c>
      <c r="B1067" t="s">
        <v>17</v>
      </c>
      <c r="C1067" t="s">
        <v>18</v>
      </c>
      <c r="D1067">
        <v>4</v>
      </c>
      <c r="E1067">
        <v>4</v>
      </c>
      <c r="F1067" t="s">
        <v>15</v>
      </c>
      <c r="G1067">
        <v>4</v>
      </c>
      <c r="H1067">
        <v>3</v>
      </c>
      <c r="I1067" t="s">
        <v>19</v>
      </c>
      <c r="J1067">
        <v>4035</v>
      </c>
      <c r="K1067">
        <v>0</v>
      </c>
      <c r="L1067">
        <v>3</v>
      </c>
      <c r="M1067">
        <v>3</v>
      </c>
    </row>
    <row r="1068" spans="1:13">
      <c r="A1068">
        <v>33</v>
      </c>
      <c r="B1068" t="s">
        <v>17</v>
      </c>
      <c r="C1068" t="s">
        <v>18</v>
      </c>
      <c r="D1068">
        <v>4</v>
      </c>
      <c r="E1068">
        <v>4</v>
      </c>
      <c r="F1068" t="s">
        <v>21</v>
      </c>
      <c r="G1068">
        <v>1</v>
      </c>
      <c r="H1068">
        <v>2</v>
      </c>
      <c r="I1068" t="s">
        <v>19</v>
      </c>
      <c r="J1068">
        <v>3838</v>
      </c>
      <c r="K1068">
        <v>8</v>
      </c>
      <c r="L1068">
        <v>3</v>
      </c>
      <c r="M1068">
        <v>5</v>
      </c>
    </row>
    <row r="1069" spans="1:13">
      <c r="A1069">
        <v>47</v>
      </c>
      <c r="B1069" t="s">
        <v>17</v>
      </c>
      <c r="C1069" t="s">
        <v>14</v>
      </c>
      <c r="D1069">
        <v>14</v>
      </c>
      <c r="E1069">
        <v>3</v>
      </c>
      <c r="F1069" t="s">
        <v>21</v>
      </c>
      <c r="G1069">
        <v>3</v>
      </c>
      <c r="H1069">
        <v>3</v>
      </c>
      <c r="I1069" t="s">
        <v>19</v>
      </c>
      <c r="J1069">
        <v>4591</v>
      </c>
      <c r="K1069">
        <v>3</v>
      </c>
      <c r="L1069">
        <v>2</v>
      </c>
      <c r="M1069">
        <v>5</v>
      </c>
    </row>
    <row r="1070" spans="1:13">
      <c r="A1070">
        <v>28</v>
      </c>
      <c r="B1070" t="s">
        <v>13</v>
      </c>
      <c r="C1070" t="s">
        <v>18</v>
      </c>
      <c r="D1070">
        <v>2</v>
      </c>
      <c r="E1070">
        <v>2</v>
      </c>
      <c r="F1070" t="s">
        <v>21</v>
      </c>
      <c r="G1070">
        <v>3</v>
      </c>
      <c r="H1070">
        <v>1</v>
      </c>
      <c r="I1070" t="s">
        <v>16</v>
      </c>
      <c r="J1070">
        <v>2561</v>
      </c>
      <c r="K1070">
        <v>7</v>
      </c>
      <c r="L1070">
        <v>2</v>
      </c>
      <c r="M1070">
        <v>0</v>
      </c>
    </row>
    <row r="1071" spans="1:13">
      <c r="A1071">
        <v>28</v>
      </c>
      <c r="B1071" t="s">
        <v>17</v>
      </c>
      <c r="C1071" t="s">
        <v>18</v>
      </c>
      <c r="D1071">
        <v>1</v>
      </c>
      <c r="E1071">
        <v>3</v>
      </c>
      <c r="F1071" t="s">
        <v>15</v>
      </c>
      <c r="G1071">
        <v>1</v>
      </c>
      <c r="H1071">
        <v>3</v>
      </c>
      <c r="I1071" t="s">
        <v>22</v>
      </c>
      <c r="J1071">
        <v>1563</v>
      </c>
      <c r="K1071">
        <v>1</v>
      </c>
      <c r="L1071">
        <v>1</v>
      </c>
      <c r="M1071">
        <v>1</v>
      </c>
    </row>
    <row r="1072" spans="1:13">
      <c r="A1072">
        <v>28</v>
      </c>
      <c r="B1072" t="s">
        <v>17</v>
      </c>
      <c r="C1072" t="s">
        <v>14</v>
      </c>
      <c r="D1072">
        <v>7</v>
      </c>
      <c r="E1072">
        <v>3</v>
      </c>
      <c r="F1072" t="s">
        <v>15</v>
      </c>
      <c r="G1072">
        <v>3</v>
      </c>
      <c r="H1072">
        <v>1</v>
      </c>
      <c r="I1072" t="s">
        <v>16</v>
      </c>
      <c r="J1072">
        <v>4898</v>
      </c>
      <c r="K1072">
        <v>0</v>
      </c>
      <c r="L1072">
        <v>3</v>
      </c>
      <c r="M1072">
        <v>4</v>
      </c>
    </row>
    <row r="1073" spans="1:13">
      <c r="A1073">
        <v>49</v>
      </c>
      <c r="B1073" t="s">
        <v>17</v>
      </c>
      <c r="C1073" t="s">
        <v>18</v>
      </c>
      <c r="D1073">
        <v>3</v>
      </c>
      <c r="E1073">
        <v>2</v>
      </c>
      <c r="F1073" t="s">
        <v>21</v>
      </c>
      <c r="G1073">
        <v>3</v>
      </c>
      <c r="H1073">
        <v>1</v>
      </c>
      <c r="I1073" t="s">
        <v>19</v>
      </c>
      <c r="J1073">
        <v>4789</v>
      </c>
      <c r="K1073">
        <v>4</v>
      </c>
      <c r="L1073">
        <v>3</v>
      </c>
      <c r="M1073">
        <v>3</v>
      </c>
    </row>
    <row r="1074" spans="1:13">
      <c r="A1074">
        <v>29</v>
      </c>
      <c r="B1074" t="s">
        <v>17</v>
      </c>
      <c r="C1074" t="s">
        <v>18</v>
      </c>
      <c r="D1074">
        <v>2</v>
      </c>
      <c r="E1074">
        <v>1</v>
      </c>
      <c r="F1074" t="s">
        <v>15</v>
      </c>
      <c r="G1074">
        <v>4</v>
      </c>
      <c r="H1074">
        <v>2</v>
      </c>
      <c r="I1074" t="s">
        <v>19</v>
      </c>
      <c r="J1074">
        <v>3180</v>
      </c>
      <c r="K1074">
        <v>0</v>
      </c>
      <c r="L1074">
        <v>3</v>
      </c>
      <c r="M1074">
        <v>3</v>
      </c>
    </row>
    <row r="1075" spans="1:13">
      <c r="A1075">
        <v>28</v>
      </c>
      <c r="B1075" t="s">
        <v>17</v>
      </c>
      <c r="C1075" t="s">
        <v>18</v>
      </c>
      <c r="D1075">
        <v>29</v>
      </c>
      <c r="E1075">
        <v>1</v>
      </c>
      <c r="F1075" t="s">
        <v>15</v>
      </c>
      <c r="G1075">
        <v>3</v>
      </c>
      <c r="H1075">
        <v>2</v>
      </c>
      <c r="I1075" t="s">
        <v>19</v>
      </c>
      <c r="J1075">
        <v>6549</v>
      </c>
      <c r="K1075">
        <v>1</v>
      </c>
      <c r="L1075">
        <v>2</v>
      </c>
      <c r="M1075">
        <v>8</v>
      </c>
    </row>
    <row r="1076" spans="1:13">
      <c r="A1076">
        <v>33</v>
      </c>
      <c r="B1076" t="s">
        <v>17</v>
      </c>
      <c r="C1076" t="s">
        <v>18</v>
      </c>
      <c r="D1076">
        <v>8</v>
      </c>
      <c r="E1076">
        <v>5</v>
      </c>
      <c r="F1076" t="s">
        <v>15</v>
      </c>
      <c r="G1076">
        <v>4</v>
      </c>
      <c r="H1076">
        <v>3</v>
      </c>
      <c r="I1076" t="s">
        <v>16</v>
      </c>
      <c r="J1076">
        <v>6388</v>
      </c>
      <c r="K1076">
        <v>2</v>
      </c>
      <c r="L1076">
        <v>3</v>
      </c>
      <c r="M1076">
        <v>0</v>
      </c>
    </row>
    <row r="1077" spans="1:13">
      <c r="A1077">
        <v>32</v>
      </c>
      <c r="B1077" t="s">
        <v>17</v>
      </c>
      <c r="C1077" t="s">
        <v>18</v>
      </c>
      <c r="D1077">
        <v>10</v>
      </c>
      <c r="E1077">
        <v>3</v>
      </c>
      <c r="F1077" t="s">
        <v>21</v>
      </c>
      <c r="G1077">
        <v>3</v>
      </c>
      <c r="H1077">
        <v>4</v>
      </c>
      <c r="I1077" t="s">
        <v>16</v>
      </c>
      <c r="J1077">
        <v>11244</v>
      </c>
      <c r="K1077">
        <v>2</v>
      </c>
      <c r="L1077">
        <v>4</v>
      </c>
      <c r="M1077">
        <v>5</v>
      </c>
    </row>
    <row r="1078" spans="1:13">
      <c r="A1078">
        <v>54</v>
      </c>
      <c r="B1078" t="s">
        <v>17</v>
      </c>
      <c r="C1078" t="s">
        <v>18</v>
      </c>
      <c r="D1078">
        <v>11</v>
      </c>
      <c r="E1078">
        <v>4</v>
      </c>
      <c r="F1078" t="s">
        <v>21</v>
      </c>
      <c r="G1078">
        <v>2</v>
      </c>
      <c r="H1078">
        <v>4</v>
      </c>
      <c r="I1078" t="s">
        <v>22</v>
      </c>
      <c r="J1078">
        <v>16032</v>
      </c>
      <c r="K1078">
        <v>3</v>
      </c>
      <c r="L1078">
        <v>3</v>
      </c>
      <c r="M1078">
        <v>14</v>
      </c>
    </row>
    <row r="1079" spans="1:13">
      <c r="A1079">
        <v>29</v>
      </c>
      <c r="B1079" t="s">
        <v>13</v>
      </c>
      <c r="C1079" t="s">
        <v>18</v>
      </c>
      <c r="D1079">
        <v>1</v>
      </c>
      <c r="E1079">
        <v>4</v>
      </c>
      <c r="F1079" t="s">
        <v>24</v>
      </c>
      <c r="G1079">
        <v>1</v>
      </c>
      <c r="H1079">
        <v>1</v>
      </c>
      <c r="I1079" t="s">
        <v>16</v>
      </c>
      <c r="J1079">
        <v>2362</v>
      </c>
      <c r="K1079">
        <v>6</v>
      </c>
      <c r="L1079">
        <v>1</v>
      </c>
      <c r="M1079">
        <v>9</v>
      </c>
    </row>
    <row r="1080" spans="1:13">
      <c r="A1080">
        <v>44</v>
      </c>
      <c r="B1080" t="s">
        <v>17</v>
      </c>
      <c r="C1080" t="s">
        <v>18</v>
      </c>
      <c r="D1080">
        <v>28</v>
      </c>
      <c r="E1080">
        <v>3</v>
      </c>
      <c r="F1080" t="s">
        <v>15</v>
      </c>
      <c r="G1080">
        <v>4</v>
      </c>
      <c r="H1080">
        <v>1</v>
      </c>
      <c r="I1080" t="s">
        <v>19</v>
      </c>
      <c r="J1080">
        <v>16328</v>
      </c>
      <c r="K1080">
        <v>3</v>
      </c>
      <c r="L1080">
        <v>4</v>
      </c>
      <c r="M1080">
        <v>20</v>
      </c>
    </row>
    <row r="1081" spans="1:13">
      <c r="A1081">
        <v>39</v>
      </c>
      <c r="B1081" t="s">
        <v>17</v>
      </c>
      <c r="C1081" t="s">
        <v>18</v>
      </c>
      <c r="D1081">
        <v>6</v>
      </c>
      <c r="E1081">
        <v>3</v>
      </c>
      <c r="F1081" t="s">
        <v>15</v>
      </c>
      <c r="G1081">
        <v>2</v>
      </c>
      <c r="H1081">
        <v>2</v>
      </c>
      <c r="I1081" t="s">
        <v>16</v>
      </c>
      <c r="J1081">
        <v>8376</v>
      </c>
      <c r="K1081">
        <v>4</v>
      </c>
      <c r="L1081">
        <v>3</v>
      </c>
      <c r="M1081">
        <v>2</v>
      </c>
    </row>
    <row r="1082" spans="1:13">
      <c r="A1082">
        <v>46</v>
      </c>
      <c r="B1082" t="s">
        <v>17</v>
      </c>
      <c r="C1082" t="s">
        <v>14</v>
      </c>
      <c r="D1082">
        <v>3</v>
      </c>
      <c r="E1082">
        <v>3</v>
      </c>
      <c r="F1082" t="s">
        <v>15</v>
      </c>
      <c r="G1082">
        <v>3</v>
      </c>
      <c r="H1082">
        <v>2</v>
      </c>
      <c r="I1082" t="s">
        <v>19</v>
      </c>
      <c r="J1082">
        <v>16606</v>
      </c>
      <c r="K1082">
        <v>8</v>
      </c>
      <c r="L1082">
        <v>4</v>
      </c>
      <c r="M1082">
        <v>13</v>
      </c>
    </row>
    <row r="1083" spans="1:13">
      <c r="A1083">
        <v>35</v>
      </c>
      <c r="B1083" t="s">
        <v>17</v>
      </c>
      <c r="C1083" t="s">
        <v>18</v>
      </c>
      <c r="D1083">
        <v>16</v>
      </c>
      <c r="E1083">
        <v>3</v>
      </c>
      <c r="F1083" t="s">
        <v>15</v>
      </c>
      <c r="G1083">
        <v>4</v>
      </c>
      <c r="H1083">
        <v>2</v>
      </c>
      <c r="I1083" t="s">
        <v>16</v>
      </c>
      <c r="J1083">
        <v>8606</v>
      </c>
      <c r="K1083">
        <v>1</v>
      </c>
      <c r="L1083">
        <v>1</v>
      </c>
      <c r="M1083">
        <v>11</v>
      </c>
    </row>
    <row r="1084" spans="1:13">
      <c r="A1084">
        <v>23</v>
      </c>
      <c r="B1084" t="s">
        <v>17</v>
      </c>
      <c r="C1084" t="s">
        <v>18</v>
      </c>
      <c r="D1084">
        <v>20</v>
      </c>
      <c r="E1084">
        <v>1</v>
      </c>
      <c r="F1084" t="s">
        <v>15</v>
      </c>
      <c r="G1084">
        <v>1</v>
      </c>
      <c r="H1084">
        <v>3</v>
      </c>
      <c r="I1084" t="s">
        <v>16</v>
      </c>
      <c r="J1084">
        <v>2272</v>
      </c>
      <c r="K1084">
        <v>0</v>
      </c>
      <c r="L1084">
        <v>3</v>
      </c>
      <c r="M1084">
        <v>4</v>
      </c>
    </row>
    <row r="1085" spans="1:13">
      <c r="A1085">
        <v>40</v>
      </c>
      <c r="B1085" t="s">
        <v>13</v>
      </c>
      <c r="C1085" t="s">
        <v>18</v>
      </c>
      <c r="D1085">
        <v>9</v>
      </c>
      <c r="E1085">
        <v>4</v>
      </c>
      <c r="F1085" t="s">
        <v>15</v>
      </c>
      <c r="G1085">
        <v>4</v>
      </c>
      <c r="H1085">
        <v>1</v>
      </c>
      <c r="I1085" t="s">
        <v>16</v>
      </c>
      <c r="J1085">
        <v>2018</v>
      </c>
      <c r="K1085">
        <v>3</v>
      </c>
      <c r="L1085">
        <v>1</v>
      </c>
      <c r="M1085">
        <v>5</v>
      </c>
    </row>
    <row r="1086" spans="1:13">
      <c r="A1086">
        <v>34</v>
      </c>
      <c r="B1086" t="s">
        <v>17</v>
      </c>
      <c r="C1086" t="s">
        <v>14</v>
      </c>
      <c r="D1086">
        <v>1</v>
      </c>
      <c r="E1086">
        <v>3</v>
      </c>
      <c r="F1086" t="s">
        <v>24</v>
      </c>
      <c r="G1086">
        <v>4</v>
      </c>
      <c r="H1086">
        <v>3</v>
      </c>
      <c r="I1086" t="s">
        <v>19</v>
      </c>
      <c r="J1086">
        <v>7083</v>
      </c>
      <c r="K1086">
        <v>1</v>
      </c>
      <c r="L1086">
        <v>3</v>
      </c>
      <c r="M1086">
        <v>10</v>
      </c>
    </row>
    <row r="1087" spans="1:13">
      <c r="A1087">
        <v>31</v>
      </c>
      <c r="B1087" t="s">
        <v>13</v>
      </c>
      <c r="C1087" t="s">
        <v>18</v>
      </c>
      <c r="D1087">
        <v>3</v>
      </c>
      <c r="E1087">
        <v>3</v>
      </c>
      <c r="F1087" t="s">
        <v>15</v>
      </c>
      <c r="G1087">
        <v>4</v>
      </c>
      <c r="H1087">
        <v>3</v>
      </c>
      <c r="I1087" t="s">
        <v>16</v>
      </c>
      <c r="J1087">
        <v>4084</v>
      </c>
      <c r="K1087">
        <v>1</v>
      </c>
      <c r="L1087">
        <v>1</v>
      </c>
      <c r="M1087">
        <v>7</v>
      </c>
    </row>
    <row r="1088" spans="1:13">
      <c r="A1088">
        <v>50</v>
      </c>
      <c r="B1088" t="s">
        <v>17</v>
      </c>
      <c r="C1088" t="s">
        <v>18</v>
      </c>
      <c r="D1088">
        <v>22</v>
      </c>
      <c r="E1088">
        <v>5</v>
      </c>
      <c r="F1088" t="s">
        <v>21</v>
      </c>
      <c r="G1088">
        <v>3</v>
      </c>
      <c r="H1088">
        <v>4</v>
      </c>
      <c r="I1088" t="s">
        <v>16</v>
      </c>
      <c r="J1088">
        <v>14411</v>
      </c>
      <c r="K1088">
        <v>1</v>
      </c>
      <c r="L1088">
        <v>3</v>
      </c>
      <c r="M1088">
        <v>32</v>
      </c>
    </row>
    <row r="1089" spans="1:13">
      <c r="A1089">
        <v>34</v>
      </c>
      <c r="B1089" t="s">
        <v>17</v>
      </c>
      <c r="C1089" t="s">
        <v>14</v>
      </c>
      <c r="D1089">
        <v>7</v>
      </c>
      <c r="E1089">
        <v>2</v>
      </c>
      <c r="F1089" t="s">
        <v>24</v>
      </c>
      <c r="G1089">
        <v>2</v>
      </c>
      <c r="H1089">
        <v>3</v>
      </c>
      <c r="I1089" t="s">
        <v>19</v>
      </c>
      <c r="J1089">
        <v>2308</v>
      </c>
      <c r="K1089">
        <v>0</v>
      </c>
      <c r="L1089">
        <v>3</v>
      </c>
      <c r="M1089">
        <v>11</v>
      </c>
    </row>
    <row r="1090" spans="1:13">
      <c r="A1090">
        <v>42</v>
      </c>
      <c r="B1090" t="s">
        <v>17</v>
      </c>
      <c r="C1090" t="s">
        <v>18</v>
      </c>
      <c r="D1090">
        <v>2</v>
      </c>
      <c r="E1090">
        <v>3</v>
      </c>
      <c r="F1090" t="s">
        <v>21</v>
      </c>
      <c r="G1090">
        <v>3</v>
      </c>
      <c r="H1090">
        <v>2</v>
      </c>
      <c r="I1090" t="s">
        <v>19</v>
      </c>
      <c r="J1090">
        <v>4841</v>
      </c>
      <c r="K1090">
        <v>4</v>
      </c>
      <c r="L1090">
        <v>3</v>
      </c>
      <c r="M1090">
        <v>1</v>
      </c>
    </row>
    <row r="1091" spans="1:13">
      <c r="A1091">
        <v>37</v>
      </c>
      <c r="B1091" t="s">
        <v>17</v>
      </c>
      <c r="C1091" t="s">
        <v>18</v>
      </c>
      <c r="D1091">
        <v>13</v>
      </c>
      <c r="E1091">
        <v>3</v>
      </c>
      <c r="F1091" t="s">
        <v>21</v>
      </c>
      <c r="G1091">
        <v>1</v>
      </c>
      <c r="H1091">
        <v>4</v>
      </c>
      <c r="I1091" t="s">
        <v>19</v>
      </c>
      <c r="J1091">
        <v>4285</v>
      </c>
      <c r="K1091">
        <v>1</v>
      </c>
      <c r="L1091">
        <v>3</v>
      </c>
      <c r="M1091">
        <v>10</v>
      </c>
    </row>
    <row r="1092" spans="1:13">
      <c r="A1092">
        <v>29</v>
      </c>
      <c r="B1092" t="s">
        <v>17</v>
      </c>
      <c r="C1092" t="s">
        <v>18</v>
      </c>
      <c r="D1092">
        <v>8</v>
      </c>
      <c r="E1092">
        <v>1</v>
      </c>
      <c r="F1092" t="s">
        <v>20</v>
      </c>
      <c r="G1092">
        <v>3</v>
      </c>
      <c r="H1092">
        <v>1</v>
      </c>
      <c r="I1092" t="s">
        <v>19</v>
      </c>
      <c r="J1092">
        <v>9715</v>
      </c>
      <c r="K1092">
        <v>3</v>
      </c>
      <c r="L1092">
        <v>3</v>
      </c>
      <c r="M1092">
        <v>7</v>
      </c>
    </row>
    <row r="1093" spans="1:13">
      <c r="A1093">
        <v>33</v>
      </c>
      <c r="B1093" t="s">
        <v>17</v>
      </c>
      <c r="C1093" t="s">
        <v>18</v>
      </c>
      <c r="D1093">
        <v>25</v>
      </c>
      <c r="E1093">
        <v>3</v>
      </c>
      <c r="F1093" t="s">
        <v>15</v>
      </c>
      <c r="G1093">
        <v>4</v>
      </c>
      <c r="H1093">
        <v>2</v>
      </c>
      <c r="I1093" t="s">
        <v>16</v>
      </c>
      <c r="J1093">
        <v>4320</v>
      </c>
      <c r="K1093">
        <v>1</v>
      </c>
      <c r="L1093">
        <v>3</v>
      </c>
      <c r="M1093">
        <v>5</v>
      </c>
    </row>
    <row r="1094" spans="1:13">
      <c r="A1094">
        <v>45</v>
      </c>
      <c r="B1094" t="s">
        <v>17</v>
      </c>
      <c r="C1094" t="s">
        <v>18</v>
      </c>
      <c r="D1094">
        <v>28</v>
      </c>
      <c r="E1094">
        <v>3</v>
      </c>
      <c r="F1094" t="s">
        <v>24</v>
      </c>
      <c r="G1094">
        <v>4</v>
      </c>
      <c r="H1094">
        <v>4</v>
      </c>
      <c r="I1094" t="s">
        <v>19</v>
      </c>
      <c r="J1094">
        <v>2132</v>
      </c>
      <c r="K1094">
        <v>4</v>
      </c>
      <c r="L1094">
        <v>3</v>
      </c>
      <c r="M1094">
        <v>5</v>
      </c>
    </row>
    <row r="1095" spans="1:13">
      <c r="A1095">
        <v>42</v>
      </c>
      <c r="B1095" t="s">
        <v>17</v>
      </c>
      <c r="C1095" t="s">
        <v>18</v>
      </c>
      <c r="D1095">
        <v>2</v>
      </c>
      <c r="E1095">
        <v>3</v>
      </c>
      <c r="F1095" t="s">
        <v>15</v>
      </c>
      <c r="G1095">
        <v>4</v>
      </c>
      <c r="H1095">
        <v>4</v>
      </c>
      <c r="I1095" t="s">
        <v>19</v>
      </c>
      <c r="J1095">
        <v>10124</v>
      </c>
      <c r="K1095">
        <v>2</v>
      </c>
      <c r="L1095">
        <v>1</v>
      </c>
      <c r="M1095">
        <v>20</v>
      </c>
    </row>
    <row r="1096" spans="1:13">
      <c r="A1096">
        <v>40</v>
      </c>
      <c r="B1096" t="s">
        <v>17</v>
      </c>
      <c r="C1096" t="s">
        <v>14</v>
      </c>
      <c r="D1096">
        <v>9</v>
      </c>
      <c r="E1096">
        <v>2</v>
      </c>
      <c r="F1096" t="s">
        <v>21</v>
      </c>
      <c r="G1096">
        <v>1</v>
      </c>
      <c r="H1096">
        <v>1</v>
      </c>
      <c r="I1096" t="s">
        <v>19</v>
      </c>
      <c r="J1096">
        <v>5473</v>
      </c>
      <c r="K1096">
        <v>0</v>
      </c>
      <c r="L1096">
        <v>4</v>
      </c>
      <c r="M1096">
        <v>8</v>
      </c>
    </row>
    <row r="1097" spans="1:13">
      <c r="A1097">
        <v>33</v>
      </c>
      <c r="B1097" t="s">
        <v>17</v>
      </c>
      <c r="C1097" t="s">
        <v>18</v>
      </c>
      <c r="D1097">
        <v>28</v>
      </c>
      <c r="E1097">
        <v>4</v>
      </c>
      <c r="F1097" t="s">
        <v>15</v>
      </c>
      <c r="G1097">
        <v>2</v>
      </c>
      <c r="H1097">
        <v>3</v>
      </c>
      <c r="I1097" t="s">
        <v>19</v>
      </c>
      <c r="J1097">
        <v>5207</v>
      </c>
      <c r="K1097">
        <v>1</v>
      </c>
      <c r="L1097">
        <v>3</v>
      </c>
      <c r="M1097">
        <v>15</v>
      </c>
    </row>
    <row r="1098" spans="1:13">
      <c r="A1098">
        <v>40</v>
      </c>
      <c r="B1098" t="s">
        <v>17</v>
      </c>
      <c r="C1098" t="s">
        <v>25</v>
      </c>
      <c r="D1098">
        <v>6</v>
      </c>
      <c r="E1098">
        <v>2</v>
      </c>
      <c r="F1098" t="s">
        <v>21</v>
      </c>
      <c r="G1098">
        <v>3</v>
      </c>
      <c r="H1098">
        <v>4</v>
      </c>
      <c r="I1098" t="s">
        <v>16</v>
      </c>
      <c r="J1098">
        <v>16437</v>
      </c>
      <c r="K1098">
        <v>1</v>
      </c>
      <c r="L1098">
        <v>3</v>
      </c>
      <c r="M1098">
        <v>21</v>
      </c>
    </row>
    <row r="1099" spans="1:13">
      <c r="A1099">
        <v>24</v>
      </c>
      <c r="B1099" t="s">
        <v>17</v>
      </c>
      <c r="C1099" t="s">
        <v>18</v>
      </c>
      <c r="D1099">
        <v>21</v>
      </c>
      <c r="E1099">
        <v>2</v>
      </c>
      <c r="F1099" t="s">
        <v>24</v>
      </c>
      <c r="G1099">
        <v>3</v>
      </c>
      <c r="H1099">
        <v>1</v>
      </c>
      <c r="I1099" t="s">
        <v>22</v>
      </c>
      <c r="J1099">
        <v>2296</v>
      </c>
      <c r="K1099">
        <v>0</v>
      </c>
      <c r="L1099">
        <v>3</v>
      </c>
      <c r="M1099">
        <v>1</v>
      </c>
    </row>
    <row r="1100" spans="1:13">
      <c r="A1100">
        <v>40</v>
      </c>
      <c r="B1100" t="s">
        <v>17</v>
      </c>
      <c r="C1100" t="s">
        <v>18</v>
      </c>
      <c r="D1100">
        <v>8</v>
      </c>
      <c r="E1100">
        <v>2</v>
      </c>
      <c r="F1100" t="s">
        <v>15</v>
      </c>
      <c r="G1100">
        <v>4</v>
      </c>
      <c r="H1100">
        <v>4</v>
      </c>
      <c r="I1100" t="s">
        <v>22</v>
      </c>
      <c r="J1100">
        <v>4069</v>
      </c>
      <c r="K1100">
        <v>3</v>
      </c>
      <c r="L1100">
        <v>3</v>
      </c>
      <c r="M1100">
        <v>2</v>
      </c>
    </row>
    <row r="1101" spans="1:13">
      <c r="A1101">
        <v>45</v>
      </c>
      <c r="B1101" t="s">
        <v>17</v>
      </c>
      <c r="C1101" t="s">
        <v>18</v>
      </c>
      <c r="D1101">
        <v>1</v>
      </c>
      <c r="E1101">
        <v>4</v>
      </c>
      <c r="F1101" t="s">
        <v>24</v>
      </c>
      <c r="G1101">
        <v>1</v>
      </c>
      <c r="H1101">
        <v>2</v>
      </c>
      <c r="I1101" t="s">
        <v>22</v>
      </c>
      <c r="J1101">
        <v>7441</v>
      </c>
      <c r="K1101">
        <v>1</v>
      </c>
      <c r="L1101">
        <v>3</v>
      </c>
      <c r="M1101">
        <v>10</v>
      </c>
    </row>
    <row r="1102" spans="1:13">
      <c r="A1102">
        <v>35</v>
      </c>
      <c r="B1102" t="s">
        <v>17</v>
      </c>
      <c r="C1102" t="s">
        <v>14</v>
      </c>
      <c r="D1102">
        <v>28</v>
      </c>
      <c r="E1102">
        <v>4</v>
      </c>
      <c r="F1102" t="s">
        <v>15</v>
      </c>
      <c r="G1102">
        <v>2</v>
      </c>
      <c r="H1102">
        <v>3</v>
      </c>
      <c r="I1102" t="s">
        <v>19</v>
      </c>
      <c r="J1102">
        <v>2430</v>
      </c>
      <c r="K1102">
        <v>0</v>
      </c>
      <c r="L1102">
        <v>3</v>
      </c>
      <c r="M1102">
        <v>5</v>
      </c>
    </row>
    <row r="1103" spans="1:13">
      <c r="A1103">
        <v>32</v>
      </c>
      <c r="B1103" t="s">
        <v>17</v>
      </c>
      <c r="C1103" t="s">
        <v>18</v>
      </c>
      <c r="D1103">
        <v>5</v>
      </c>
      <c r="E1103">
        <v>2</v>
      </c>
      <c r="F1103" t="s">
        <v>15</v>
      </c>
      <c r="G1103">
        <v>4</v>
      </c>
      <c r="H1103">
        <v>2</v>
      </c>
      <c r="I1103" t="s">
        <v>19</v>
      </c>
      <c r="J1103">
        <v>5878</v>
      </c>
      <c r="K1103">
        <v>3</v>
      </c>
      <c r="L1103">
        <v>3</v>
      </c>
      <c r="M1103">
        <v>7</v>
      </c>
    </row>
    <row r="1104" spans="1:13">
      <c r="A1104">
        <v>36</v>
      </c>
      <c r="B1104" t="s">
        <v>17</v>
      </c>
      <c r="C1104" t="s">
        <v>14</v>
      </c>
      <c r="D1104">
        <v>2</v>
      </c>
      <c r="E1104">
        <v>4</v>
      </c>
      <c r="F1104" t="s">
        <v>15</v>
      </c>
      <c r="G1104">
        <v>3</v>
      </c>
      <c r="H1104">
        <v>4</v>
      </c>
      <c r="I1104" t="s">
        <v>16</v>
      </c>
      <c r="J1104">
        <v>2644</v>
      </c>
      <c r="K1104">
        <v>3</v>
      </c>
      <c r="L1104">
        <v>2</v>
      </c>
      <c r="M1104">
        <v>3</v>
      </c>
    </row>
    <row r="1105" spans="1:13">
      <c r="A1105">
        <v>48</v>
      </c>
      <c r="B1105" t="s">
        <v>17</v>
      </c>
      <c r="C1105" t="s">
        <v>14</v>
      </c>
      <c r="D1105">
        <v>16</v>
      </c>
      <c r="E1105">
        <v>4</v>
      </c>
      <c r="F1105" t="s">
        <v>15</v>
      </c>
      <c r="G1105">
        <v>3</v>
      </c>
      <c r="H1105">
        <v>3</v>
      </c>
      <c r="I1105" t="s">
        <v>22</v>
      </c>
      <c r="J1105">
        <v>6439</v>
      </c>
      <c r="K1105">
        <v>8</v>
      </c>
      <c r="L1105">
        <v>3</v>
      </c>
      <c r="M1105">
        <v>8</v>
      </c>
    </row>
    <row r="1106" spans="1:13">
      <c r="A1106">
        <v>29</v>
      </c>
      <c r="B1106" t="s">
        <v>17</v>
      </c>
      <c r="C1106" t="s">
        <v>18</v>
      </c>
      <c r="D1106">
        <v>9</v>
      </c>
      <c r="E1106">
        <v>3</v>
      </c>
      <c r="F1106" t="s">
        <v>15</v>
      </c>
      <c r="G1106">
        <v>3</v>
      </c>
      <c r="H1106">
        <v>3</v>
      </c>
      <c r="I1106" t="s">
        <v>19</v>
      </c>
      <c r="J1106">
        <v>2451</v>
      </c>
      <c r="K1106">
        <v>6</v>
      </c>
      <c r="L1106">
        <v>2</v>
      </c>
      <c r="M1106">
        <v>1</v>
      </c>
    </row>
    <row r="1107" spans="1:13">
      <c r="A1107">
        <v>33</v>
      </c>
      <c r="B1107" t="s">
        <v>17</v>
      </c>
      <c r="C1107" t="s">
        <v>14</v>
      </c>
      <c r="D1107">
        <v>8</v>
      </c>
      <c r="E1107">
        <v>4</v>
      </c>
      <c r="F1107" t="s">
        <v>15</v>
      </c>
      <c r="G1107">
        <v>1</v>
      </c>
      <c r="H1107">
        <v>1</v>
      </c>
      <c r="I1107" t="s">
        <v>19</v>
      </c>
      <c r="J1107">
        <v>6392</v>
      </c>
      <c r="K1107">
        <v>2</v>
      </c>
      <c r="L1107">
        <v>1</v>
      </c>
      <c r="M1107">
        <v>2</v>
      </c>
    </row>
    <row r="1108" spans="1:13">
      <c r="A1108">
        <v>30</v>
      </c>
      <c r="B1108" t="s">
        <v>13</v>
      </c>
      <c r="C1108" t="s">
        <v>14</v>
      </c>
      <c r="D1108">
        <v>1</v>
      </c>
      <c r="E1108">
        <v>3</v>
      </c>
      <c r="F1108" t="s">
        <v>15</v>
      </c>
      <c r="G1108">
        <v>2</v>
      </c>
      <c r="H1108">
        <v>1</v>
      </c>
      <c r="I1108" t="s">
        <v>19</v>
      </c>
      <c r="J1108">
        <v>9714</v>
      </c>
      <c r="K1108">
        <v>1</v>
      </c>
      <c r="L1108">
        <v>3</v>
      </c>
      <c r="M1108">
        <v>10</v>
      </c>
    </row>
    <row r="1109" spans="1:13">
      <c r="A1109">
        <v>38</v>
      </c>
      <c r="B1109" t="s">
        <v>17</v>
      </c>
      <c r="C1109" t="s">
        <v>25</v>
      </c>
      <c r="D1109">
        <v>10</v>
      </c>
      <c r="E1109">
        <v>4</v>
      </c>
      <c r="F1109" t="s">
        <v>25</v>
      </c>
      <c r="G1109">
        <v>3</v>
      </c>
      <c r="H1109">
        <v>3</v>
      </c>
      <c r="I1109" t="s">
        <v>19</v>
      </c>
      <c r="J1109">
        <v>6077</v>
      </c>
      <c r="K1109">
        <v>3</v>
      </c>
      <c r="L1109">
        <v>3</v>
      </c>
      <c r="M1109">
        <v>6</v>
      </c>
    </row>
    <row r="1110" spans="1:13">
      <c r="A1110">
        <v>35</v>
      </c>
      <c r="B1110" t="s">
        <v>17</v>
      </c>
      <c r="C1110" t="s">
        <v>18</v>
      </c>
      <c r="D1110">
        <v>1</v>
      </c>
      <c r="E1110">
        <v>3</v>
      </c>
      <c r="F1110" t="s">
        <v>21</v>
      </c>
      <c r="G1110">
        <v>4</v>
      </c>
      <c r="H1110">
        <v>1</v>
      </c>
      <c r="I1110" t="s">
        <v>16</v>
      </c>
      <c r="J1110">
        <v>2450</v>
      </c>
      <c r="K1110">
        <v>1</v>
      </c>
      <c r="L1110">
        <v>3</v>
      </c>
      <c r="M1110">
        <v>3</v>
      </c>
    </row>
    <row r="1111" spans="1:13">
      <c r="A1111">
        <v>30</v>
      </c>
      <c r="B1111" t="s">
        <v>17</v>
      </c>
      <c r="C1111" t="s">
        <v>14</v>
      </c>
      <c r="D1111">
        <v>29</v>
      </c>
      <c r="E1111">
        <v>4</v>
      </c>
      <c r="F1111" t="s">
        <v>24</v>
      </c>
      <c r="G1111">
        <v>3</v>
      </c>
      <c r="H1111">
        <v>2</v>
      </c>
      <c r="I1111" t="s">
        <v>19</v>
      </c>
      <c r="J1111">
        <v>9250</v>
      </c>
      <c r="K1111">
        <v>3</v>
      </c>
      <c r="L1111">
        <v>3</v>
      </c>
      <c r="M1111">
        <v>4</v>
      </c>
    </row>
    <row r="1112" spans="1:13">
      <c r="A1112">
        <v>35</v>
      </c>
      <c r="B1112" t="s">
        <v>13</v>
      </c>
      <c r="C1112" t="s">
        <v>18</v>
      </c>
      <c r="D1112">
        <v>2</v>
      </c>
      <c r="E1112">
        <v>3</v>
      </c>
      <c r="F1112" t="s">
        <v>15</v>
      </c>
      <c r="G1112">
        <v>1</v>
      </c>
      <c r="H1112">
        <v>1</v>
      </c>
      <c r="I1112" t="s">
        <v>22</v>
      </c>
      <c r="J1112">
        <v>2074</v>
      </c>
      <c r="K1112">
        <v>1</v>
      </c>
      <c r="L1112">
        <v>3</v>
      </c>
      <c r="M1112">
        <v>1</v>
      </c>
    </row>
    <row r="1113" spans="1:13">
      <c r="A1113">
        <v>53</v>
      </c>
      <c r="B1113" t="s">
        <v>13</v>
      </c>
      <c r="C1113" t="s">
        <v>18</v>
      </c>
      <c r="D1113">
        <v>2</v>
      </c>
      <c r="E1113">
        <v>5</v>
      </c>
      <c r="F1113" t="s">
        <v>24</v>
      </c>
      <c r="G1113">
        <v>3</v>
      </c>
      <c r="H1113">
        <v>4</v>
      </c>
      <c r="I1113" t="s">
        <v>19</v>
      </c>
      <c r="J1113">
        <v>10169</v>
      </c>
      <c r="K1113">
        <v>0</v>
      </c>
      <c r="L1113">
        <v>3</v>
      </c>
      <c r="M1113">
        <v>33</v>
      </c>
    </row>
    <row r="1114" spans="1:13">
      <c r="A1114">
        <v>38</v>
      </c>
      <c r="B1114" t="s">
        <v>13</v>
      </c>
      <c r="C1114" t="s">
        <v>18</v>
      </c>
      <c r="D1114">
        <v>2</v>
      </c>
      <c r="E1114">
        <v>3</v>
      </c>
      <c r="F1114" t="s">
        <v>21</v>
      </c>
      <c r="G1114">
        <v>3</v>
      </c>
      <c r="H1114">
        <v>2</v>
      </c>
      <c r="I1114" t="s">
        <v>19</v>
      </c>
      <c r="J1114">
        <v>4855</v>
      </c>
      <c r="K1114">
        <v>4</v>
      </c>
      <c r="L1114">
        <v>3</v>
      </c>
      <c r="M1114">
        <v>5</v>
      </c>
    </row>
    <row r="1115" spans="1:13">
      <c r="A1115">
        <v>32</v>
      </c>
      <c r="B1115" t="s">
        <v>17</v>
      </c>
      <c r="C1115" t="s">
        <v>18</v>
      </c>
      <c r="D1115">
        <v>1</v>
      </c>
      <c r="E1115">
        <v>4</v>
      </c>
      <c r="F1115" t="s">
        <v>24</v>
      </c>
      <c r="G1115">
        <v>4</v>
      </c>
      <c r="H1115">
        <v>1</v>
      </c>
      <c r="I1115" t="s">
        <v>19</v>
      </c>
      <c r="J1115">
        <v>4087</v>
      </c>
      <c r="K1115">
        <v>4</v>
      </c>
      <c r="L1115">
        <v>2</v>
      </c>
      <c r="M1115">
        <v>6</v>
      </c>
    </row>
    <row r="1116" spans="1:13">
      <c r="A1116">
        <v>48</v>
      </c>
      <c r="B1116" t="s">
        <v>17</v>
      </c>
      <c r="C1116" t="s">
        <v>18</v>
      </c>
      <c r="D1116">
        <v>15</v>
      </c>
      <c r="E1116">
        <v>4</v>
      </c>
      <c r="F1116" t="s">
        <v>20</v>
      </c>
      <c r="G1116">
        <v>3</v>
      </c>
      <c r="H1116">
        <v>1</v>
      </c>
      <c r="I1116" t="s">
        <v>19</v>
      </c>
      <c r="J1116">
        <v>2367</v>
      </c>
      <c r="K1116">
        <v>8</v>
      </c>
      <c r="L1116">
        <v>2</v>
      </c>
      <c r="M1116">
        <v>8</v>
      </c>
    </row>
    <row r="1117" spans="1:13">
      <c r="A1117">
        <v>34</v>
      </c>
      <c r="B1117" t="s">
        <v>17</v>
      </c>
      <c r="C1117" t="s">
        <v>18</v>
      </c>
      <c r="D1117">
        <v>7</v>
      </c>
      <c r="E1117">
        <v>4</v>
      </c>
      <c r="F1117" t="s">
        <v>21</v>
      </c>
      <c r="G1117">
        <v>1</v>
      </c>
      <c r="H1117">
        <v>4</v>
      </c>
      <c r="I1117" t="s">
        <v>16</v>
      </c>
      <c r="J1117">
        <v>2972</v>
      </c>
      <c r="K1117">
        <v>1</v>
      </c>
      <c r="L1117">
        <v>1</v>
      </c>
      <c r="M1117">
        <v>1</v>
      </c>
    </row>
    <row r="1118" spans="1:13">
      <c r="A1118">
        <v>55</v>
      </c>
      <c r="B1118" t="s">
        <v>17</v>
      </c>
      <c r="C1118" t="s">
        <v>14</v>
      </c>
      <c r="D1118">
        <v>26</v>
      </c>
      <c r="E1118">
        <v>5</v>
      </c>
      <c r="F1118" t="s">
        <v>23</v>
      </c>
      <c r="G1118">
        <v>3</v>
      </c>
      <c r="H1118">
        <v>4</v>
      </c>
      <c r="I1118" t="s">
        <v>19</v>
      </c>
      <c r="J1118">
        <v>19586</v>
      </c>
      <c r="K1118">
        <v>1</v>
      </c>
      <c r="L1118">
        <v>3</v>
      </c>
      <c r="M1118">
        <v>36</v>
      </c>
    </row>
    <row r="1119" spans="1:13">
      <c r="A1119">
        <v>34</v>
      </c>
      <c r="B1119" t="s">
        <v>17</v>
      </c>
      <c r="C1119" t="s">
        <v>18</v>
      </c>
      <c r="D1119">
        <v>1</v>
      </c>
      <c r="E1119">
        <v>4</v>
      </c>
      <c r="F1119" t="s">
        <v>15</v>
      </c>
      <c r="G1119">
        <v>2</v>
      </c>
      <c r="H1119">
        <v>4</v>
      </c>
      <c r="I1119" t="s">
        <v>19</v>
      </c>
      <c r="J1119">
        <v>5484</v>
      </c>
      <c r="K1119">
        <v>9</v>
      </c>
      <c r="L1119">
        <v>2</v>
      </c>
      <c r="M1119">
        <v>2</v>
      </c>
    </row>
    <row r="1120" spans="1:13">
      <c r="A1120">
        <v>26</v>
      </c>
      <c r="B1120" t="s">
        <v>17</v>
      </c>
      <c r="C1120" t="s">
        <v>18</v>
      </c>
      <c r="D1120">
        <v>3</v>
      </c>
      <c r="E1120">
        <v>3</v>
      </c>
      <c r="F1120" t="s">
        <v>15</v>
      </c>
      <c r="G1120">
        <v>1</v>
      </c>
      <c r="H1120">
        <v>4</v>
      </c>
      <c r="I1120" t="s">
        <v>19</v>
      </c>
      <c r="J1120">
        <v>2061</v>
      </c>
      <c r="K1120">
        <v>1</v>
      </c>
      <c r="L1120">
        <v>3</v>
      </c>
      <c r="M1120">
        <v>1</v>
      </c>
    </row>
    <row r="1121" spans="1:13">
      <c r="A1121">
        <v>38</v>
      </c>
      <c r="B1121" t="s">
        <v>17</v>
      </c>
      <c r="C1121" t="s">
        <v>14</v>
      </c>
      <c r="D1121">
        <v>14</v>
      </c>
      <c r="E1121">
        <v>3</v>
      </c>
      <c r="F1121" t="s">
        <v>15</v>
      </c>
      <c r="G1121">
        <v>3</v>
      </c>
      <c r="H1121">
        <v>2</v>
      </c>
      <c r="I1121" t="s">
        <v>19</v>
      </c>
      <c r="J1121">
        <v>9924</v>
      </c>
      <c r="K1121">
        <v>0</v>
      </c>
      <c r="L1121">
        <v>3</v>
      </c>
      <c r="M1121">
        <v>9</v>
      </c>
    </row>
    <row r="1122" spans="1:13">
      <c r="A1122">
        <v>38</v>
      </c>
      <c r="B1122" t="s">
        <v>17</v>
      </c>
      <c r="C1122" t="s">
        <v>14</v>
      </c>
      <c r="D1122">
        <v>16</v>
      </c>
      <c r="E1122">
        <v>3</v>
      </c>
      <c r="F1122" t="s">
        <v>15</v>
      </c>
      <c r="G1122">
        <v>2</v>
      </c>
      <c r="H1122">
        <v>2</v>
      </c>
      <c r="I1122" t="s">
        <v>16</v>
      </c>
      <c r="J1122">
        <v>4198</v>
      </c>
      <c r="K1122">
        <v>2</v>
      </c>
      <c r="L1122">
        <v>4</v>
      </c>
      <c r="M1122">
        <v>3</v>
      </c>
    </row>
    <row r="1123" spans="1:13">
      <c r="A1123">
        <v>36</v>
      </c>
      <c r="B1123" t="s">
        <v>17</v>
      </c>
      <c r="C1123" t="s">
        <v>14</v>
      </c>
      <c r="D1123">
        <v>1</v>
      </c>
      <c r="E1123">
        <v>4</v>
      </c>
      <c r="F1123" t="s">
        <v>15</v>
      </c>
      <c r="G1123">
        <v>2</v>
      </c>
      <c r="H1123">
        <v>3</v>
      </c>
      <c r="I1123" t="s">
        <v>16</v>
      </c>
      <c r="J1123">
        <v>6815</v>
      </c>
      <c r="K1123">
        <v>6</v>
      </c>
      <c r="L1123">
        <v>3</v>
      </c>
      <c r="M1123">
        <v>1</v>
      </c>
    </row>
    <row r="1124" spans="1:13">
      <c r="A1124">
        <v>29</v>
      </c>
      <c r="B1124" t="s">
        <v>17</v>
      </c>
      <c r="C1124" t="s">
        <v>18</v>
      </c>
      <c r="D1124">
        <v>3</v>
      </c>
      <c r="E1124">
        <v>1</v>
      </c>
      <c r="F1124" t="s">
        <v>21</v>
      </c>
      <c r="G1124">
        <v>2</v>
      </c>
      <c r="H1124">
        <v>1</v>
      </c>
      <c r="I1124" t="s">
        <v>16</v>
      </c>
      <c r="J1124">
        <v>4723</v>
      </c>
      <c r="K1124">
        <v>1</v>
      </c>
      <c r="L1124">
        <v>3</v>
      </c>
      <c r="M1124">
        <v>10</v>
      </c>
    </row>
    <row r="1125" spans="1:13">
      <c r="A1125">
        <v>35</v>
      </c>
      <c r="B1125" t="s">
        <v>17</v>
      </c>
      <c r="C1125" t="s">
        <v>18</v>
      </c>
      <c r="D1125">
        <v>10</v>
      </c>
      <c r="E1125">
        <v>4</v>
      </c>
      <c r="F1125" t="s">
        <v>21</v>
      </c>
      <c r="G1125">
        <v>1</v>
      </c>
      <c r="H1125">
        <v>3</v>
      </c>
      <c r="I1125" t="s">
        <v>16</v>
      </c>
      <c r="J1125">
        <v>6142</v>
      </c>
      <c r="K1125">
        <v>3</v>
      </c>
      <c r="L1125">
        <v>3</v>
      </c>
      <c r="M1125">
        <v>5</v>
      </c>
    </row>
    <row r="1126" spans="1:13">
      <c r="A1126">
        <v>39</v>
      </c>
      <c r="B1126" t="s">
        <v>17</v>
      </c>
      <c r="C1126" t="s">
        <v>14</v>
      </c>
      <c r="D1126">
        <v>6</v>
      </c>
      <c r="E1126">
        <v>3</v>
      </c>
      <c r="F1126" t="s">
        <v>21</v>
      </c>
      <c r="G1126">
        <v>4</v>
      </c>
      <c r="H1126">
        <v>3</v>
      </c>
      <c r="I1126" t="s">
        <v>19</v>
      </c>
      <c r="J1126">
        <v>8237</v>
      </c>
      <c r="K1126">
        <v>2</v>
      </c>
      <c r="L1126">
        <v>3</v>
      </c>
      <c r="M1126">
        <v>7</v>
      </c>
    </row>
    <row r="1127" spans="1:13">
      <c r="A1127">
        <v>29</v>
      </c>
      <c r="B1127" t="s">
        <v>17</v>
      </c>
      <c r="C1127" t="s">
        <v>18</v>
      </c>
      <c r="D1127">
        <v>2</v>
      </c>
      <c r="E1127">
        <v>1</v>
      </c>
      <c r="F1127" t="s">
        <v>15</v>
      </c>
      <c r="G1127">
        <v>1</v>
      </c>
      <c r="H1127">
        <v>4</v>
      </c>
      <c r="I1127" t="s">
        <v>22</v>
      </c>
      <c r="J1127">
        <v>8853</v>
      </c>
      <c r="K1127">
        <v>1</v>
      </c>
      <c r="L1127">
        <v>4</v>
      </c>
      <c r="M1127">
        <v>6</v>
      </c>
    </row>
    <row r="1128" spans="1:13">
      <c r="A1128">
        <v>50</v>
      </c>
      <c r="B1128" t="s">
        <v>17</v>
      </c>
      <c r="C1128" t="s">
        <v>14</v>
      </c>
      <c r="D1128">
        <v>9</v>
      </c>
      <c r="E1128">
        <v>3</v>
      </c>
      <c r="F1128" t="s">
        <v>23</v>
      </c>
      <c r="G1128">
        <v>3</v>
      </c>
      <c r="H1128">
        <v>3</v>
      </c>
      <c r="I1128" t="s">
        <v>19</v>
      </c>
      <c r="J1128">
        <v>19331</v>
      </c>
      <c r="K1128">
        <v>4</v>
      </c>
      <c r="L1128">
        <v>3</v>
      </c>
      <c r="M1128">
        <v>1</v>
      </c>
    </row>
    <row r="1129" spans="1:13">
      <c r="A1129">
        <v>23</v>
      </c>
      <c r="B1129" t="s">
        <v>17</v>
      </c>
      <c r="C1129" t="s">
        <v>18</v>
      </c>
      <c r="D1129">
        <v>10</v>
      </c>
      <c r="E1129">
        <v>3</v>
      </c>
      <c r="F1129" t="s">
        <v>24</v>
      </c>
      <c r="G1129">
        <v>4</v>
      </c>
      <c r="H1129">
        <v>3</v>
      </c>
      <c r="I1129" t="s">
        <v>19</v>
      </c>
      <c r="J1129">
        <v>2073</v>
      </c>
      <c r="K1129">
        <v>2</v>
      </c>
      <c r="L1129">
        <v>3</v>
      </c>
      <c r="M1129">
        <v>2</v>
      </c>
    </row>
    <row r="1130" spans="1:13">
      <c r="A1130">
        <v>36</v>
      </c>
      <c r="B1130" t="s">
        <v>17</v>
      </c>
      <c r="C1130" t="s">
        <v>18</v>
      </c>
      <c r="D1130">
        <v>6</v>
      </c>
      <c r="E1130">
        <v>4</v>
      </c>
      <c r="F1130" t="s">
        <v>15</v>
      </c>
      <c r="G1130">
        <v>1</v>
      </c>
      <c r="H1130">
        <v>1</v>
      </c>
      <c r="I1130" t="s">
        <v>19</v>
      </c>
      <c r="J1130">
        <v>5562</v>
      </c>
      <c r="K1130">
        <v>3</v>
      </c>
      <c r="L1130">
        <v>3</v>
      </c>
      <c r="M1130">
        <v>3</v>
      </c>
    </row>
    <row r="1131" spans="1:13">
      <c r="A1131">
        <v>42</v>
      </c>
      <c r="B1131" t="s">
        <v>17</v>
      </c>
      <c r="C1131" t="s">
        <v>18</v>
      </c>
      <c r="D1131">
        <v>9</v>
      </c>
      <c r="E1131">
        <v>2</v>
      </c>
      <c r="F1131" t="s">
        <v>20</v>
      </c>
      <c r="G1131">
        <v>4</v>
      </c>
      <c r="H1131">
        <v>4</v>
      </c>
      <c r="I1131" t="s">
        <v>16</v>
      </c>
      <c r="J1131">
        <v>19613</v>
      </c>
      <c r="K1131">
        <v>8</v>
      </c>
      <c r="L1131">
        <v>3</v>
      </c>
      <c r="M1131">
        <v>1</v>
      </c>
    </row>
    <row r="1132" spans="1:13">
      <c r="A1132">
        <v>35</v>
      </c>
      <c r="B1132" t="s">
        <v>17</v>
      </c>
      <c r="C1132" t="s">
        <v>18</v>
      </c>
      <c r="D1132">
        <v>28</v>
      </c>
      <c r="E1132">
        <v>3</v>
      </c>
      <c r="F1132" t="s">
        <v>15</v>
      </c>
      <c r="G1132">
        <v>2</v>
      </c>
      <c r="H1132">
        <v>3</v>
      </c>
      <c r="I1132" t="s">
        <v>19</v>
      </c>
      <c r="J1132">
        <v>3407</v>
      </c>
      <c r="K1132">
        <v>1</v>
      </c>
      <c r="L1132">
        <v>2</v>
      </c>
      <c r="M1132">
        <v>10</v>
      </c>
    </row>
    <row r="1133" spans="1:13">
      <c r="A1133">
        <v>34</v>
      </c>
      <c r="B1133" t="s">
        <v>17</v>
      </c>
      <c r="C1133" t="s">
        <v>18</v>
      </c>
      <c r="D1133">
        <v>10</v>
      </c>
      <c r="E1133">
        <v>4</v>
      </c>
      <c r="F1133" t="s">
        <v>24</v>
      </c>
      <c r="G1133">
        <v>4</v>
      </c>
      <c r="H1133">
        <v>3</v>
      </c>
      <c r="I1133" t="s">
        <v>19</v>
      </c>
      <c r="J1133">
        <v>5063</v>
      </c>
      <c r="K1133">
        <v>1</v>
      </c>
      <c r="L1133">
        <v>2</v>
      </c>
      <c r="M1133">
        <v>8</v>
      </c>
    </row>
    <row r="1134" spans="1:13">
      <c r="A1134">
        <v>40</v>
      </c>
      <c r="B1134" t="s">
        <v>17</v>
      </c>
      <c r="C1134" t="s">
        <v>14</v>
      </c>
      <c r="D1134">
        <v>14</v>
      </c>
      <c r="E1134">
        <v>2</v>
      </c>
      <c r="F1134" t="s">
        <v>15</v>
      </c>
      <c r="G1134">
        <v>4</v>
      </c>
      <c r="H1134">
        <v>1</v>
      </c>
      <c r="I1134" t="s">
        <v>19</v>
      </c>
      <c r="J1134">
        <v>4639</v>
      </c>
      <c r="K1134">
        <v>1</v>
      </c>
      <c r="L1134">
        <v>3</v>
      </c>
      <c r="M1134">
        <v>5</v>
      </c>
    </row>
    <row r="1135" spans="1:13">
      <c r="A1135">
        <v>43</v>
      </c>
      <c r="B1135" t="s">
        <v>17</v>
      </c>
      <c r="C1135" t="s">
        <v>18</v>
      </c>
      <c r="D1135">
        <v>27</v>
      </c>
      <c r="E1135">
        <v>3</v>
      </c>
      <c r="F1135" t="s">
        <v>24</v>
      </c>
      <c r="G1135">
        <v>4</v>
      </c>
      <c r="H1135">
        <v>2</v>
      </c>
      <c r="I1135" t="s">
        <v>22</v>
      </c>
      <c r="J1135">
        <v>4876</v>
      </c>
      <c r="K1135">
        <v>5</v>
      </c>
      <c r="L1135">
        <v>3</v>
      </c>
      <c r="M1135">
        <v>6</v>
      </c>
    </row>
    <row r="1136" spans="1:13">
      <c r="A1136">
        <v>35</v>
      </c>
      <c r="B1136" t="s">
        <v>17</v>
      </c>
      <c r="C1136" t="s">
        <v>18</v>
      </c>
      <c r="D1136">
        <v>7</v>
      </c>
      <c r="E1136">
        <v>2</v>
      </c>
      <c r="F1136" t="s">
        <v>15</v>
      </c>
      <c r="G1136">
        <v>3</v>
      </c>
      <c r="H1136">
        <v>4</v>
      </c>
      <c r="I1136" t="s">
        <v>19</v>
      </c>
      <c r="J1136">
        <v>2690</v>
      </c>
      <c r="K1136">
        <v>1</v>
      </c>
      <c r="L1136">
        <v>2</v>
      </c>
      <c r="M1136">
        <v>1</v>
      </c>
    </row>
    <row r="1137" spans="1:13">
      <c r="A1137">
        <v>46</v>
      </c>
      <c r="B1137" t="s">
        <v>17</v>
      </c>
      <c r="C1137" t="s">
        <v>14</v>
      </c>
      <c r="D1137">
        <v>1</v>
      </c>
      <c r="E1137">
        <v>4</v>
      </c>
      <c r="F1137" t="s">
        <v>15</v>
      </c>
      <c r="G1137">
        <v>4</v>
      </c>
      <c r="H1137">
        <v>1</v>
      </c>
      <c r="I1137" t="s">
        <v>16</v>
      </c>
      <c r="J1137">
        <v>17567</v>
      </c>
      <c r="K1137">
        <v>1</v>
      </c>
      <c r="L1137">
        <v>1</v>
      </c>
      <c r="M1137">
        <v>26</v>
      </c>
    </row>
    <row r="1138" spans="1:13">
      <c r="A1138">
        <v>28</v>
      </c>
      <c r="B1138" t="s">
        <v>13</v>
      </c>
      <c r="C1138" t="s">
        <v>18</v>
      </c>
      <c r="D1138">
        <v>24</v>
      </c>
      <c r="E1138">
        <v>3</v>
      </c>
      <c r="F1138" t="s">
        <v>21</v>
      </c>
      <c r="G1138">
        <v>3</v>
      </c>
      <c r="H1138">
        <v>2</v>
      </c>
      <c r="I1138" t="s">
        <v>19</v>
      </c>
      <c r="J1138">
        <v>2408</v>
      </c>
      <c r="K1138">
        <v>1</v>
      </c>
      <c r="L1138">
        <v>3</v>
      </c>
      <c r="M1138">
        <v>1</v>
      </c>
    </row>
    <row r="1139" spans="1:13">
      <c r="A1139">
        <v>22</v>
      </c>
      <c r="B1139" t="s">
        <v>17</v>
      </c>
      <c r="C1139" t="s">
        <v>18</v>
      </c>
      <c r="D1139">
        <v>26</v>
      </c>
      <c r="E1139">
        <v>2</v>
      </c>
      <c r="F1139" t="s">
        <v>20</v>
      </c>
      <c r="G1139">
        <v>2</v>
      </c>
      <c r="H1139">
        <v>3</v>
      </c>
      <c r="I1139" t="s">
        <v>19</v>
      </c>
      <c r="J1139">
        <v>2814</v>
      </c>
      <c r="K1139">
        <v>1</v>
      </c>
      <c r="L1139">
        <v>2</v>
      </c>
      <c r="M1139">
        <v>4</v>
      </c>
    </row>
    <row r="1140" spans="1:13">
      <c r="A1140">
        <v>50</v>
      </c>
      <c r="B1140" t="s">
        <v>17</v>
      </c>
      <c r="C1140" t="s">
        <v>18</v>
      </c>
      <c r="D1140">
        <v>20</v>
      </c>
      <c r="E1140">
        <v>5</v>
      </c>
      <c r="F1140" t="s">
        <v>21</v>
      </c>
      <c r="G1140">
        <v>2</v>
      </c>
      <c r="H1140">
        <v>3</v>
      </c>
      <c r="I1140" t="s">
        <v>19</v>
      </c>
      <c r="J1140">
        <v>11245</v>
      </c>
      <c r="K1140">
        <v>2</v>
      </c>
      <c r="L1140">
        <v>3</v>
      </c>
      <c r="M1140">
        <v>30</v>
      </c>
    </row>
    <row r="1141" spans="1:13">
      <c r="A1141">
        <v>32</v>
      </c>
      <c r="B1141" t="s">
        <v>17</v>
      </c>
      <c r="C1141" t="s">
        <v>18</v>
      </c>
      <c r="D1141">
        <v>5</v>
      </c>
      <c r="E1141">
        <v>4</v>
      </c>
      <c r="F1141" t="s">
        <v>20</v>
      </c>
      <c r="G1141">
        <v>2</v>
      </c>
      <c r="H1141">
        <v>4</v>
      </c>
      <c r="I1141" t="s">
        <v>19</v>
      </c>
      <c r="J1141">
        <v>3312</v>
      </c>
      <c r="K1141">
        <v>3</v>
      </c>
      <c r="L1141">
        <v>3</v>
      </c>
      <c r="M1141">
        <v>3</v>
      </c>
    </row>
    <row r="1142" spans="1:13">
      <c r="A1142">
        <v>44</v>
      </c>
      <c r="B1142" t="s">
        <v>17</v>
      </c>
      <c r="C1142" t="s">
        <v>18</v>
      </c>
      <c r="D1142">
        <v>7</v>
      </c>
      <c r="E1142">
        <v>3</v>
      </c>
      <c r="F1142" t="s">
        <v>21</v>
      </c>
      <c r="G1142">
        <v>2</v>
      </c>
      <c r="H1142">
        <v>4</v>
      </c>
      <c r="I1142" t="s">
        <v>22</v>
      </c>
      <c r="J1142">
        <v>19049</v>
      </c>
      <c r="K1142">
        <v>0</v>
      </c>
      <c r="L1142">
        <v>2</v>
      </c>
      <c r="M1142">
        <v>22</v>
      </c>
    </row>
    <row r="1143" spans="1:13">
      <c r="A1143">
        <v>30</v>
      </c>
      <c r="B1143" t="s">
        <v>17</v>
      </c>
      <c r="C1143" t="s">
        <v>18</v>
      </c>
      <c r="D1143">
        <v>7</v>
      </c>
      <c r="E1143">
        <v>3</v>
      </c>
      <c r="F1143" t="s">
        <v>21</v>
      </c>
      <c r="G1143">
        <v>2</v>
      </c>
      <c r="H1143">
        <v>2</v>
      </c>
      <c r="I1143" t="s">
        <v>19</v>
      </c>
      <c r="J1143">
        <v>2141</v>
      </c>
      <c r="K1143">
        <v>1</v>
      </c>
      <c r="L1143">
        <v>2</v>
      </c>
      <c r="M1143">
        <v>6</v>
      </c>
    </row>
    <row r="1144" spans="1:13">
      <c r="A1144">
        <v>45</v>
      </c>
      <c r="B1144" t="s">
        <v>17</v>
      </c>
      <c r="C1144" t="s">
        <v>18</v>
      </c>
      <c r="D1144">
        <v>5</v>
      </c>
      <c r="E1144">
        <v>5</v>
      </c>
      <c r="F1144" t="s">
        <v>21</v>
      </c>
      <c r="G1144">
        <v>3</v>
      </c>
      <c r="H1144">
        <v>1</v>
      </c>
      <c r="I1144" t="s">
        <v>16</v>
      </c>
      <c r="J1144">
        <v>5769</v>
      </c>
      <c r="K1144">
        <v>1</v>
      </c>
      <c r="L1144">
        <v>3</v>
      </c>
      <c r="M1144">
        <v>10</v>
      </c>
    </row>
    <row r="1145" spans="1:13">
      <c r="A1145">
        <v>45</v>
      </c>
      <c r="B1145" t="s">
        <v>17</v>
      </c>
      <c r="C1145" t="s">
        <v>14</v>
      </c>
      <c r="D1145">
        <v>26</v>
      </c>
      <c r="E1145">
        <v>3</v>
      </c>
      <c r="F1145" t="s">
        <v>23</v>
      </c>
      <c r="G1145">
        <v>1</v>
      </c>
      <c r="H1145">
        <v>1</v>
      </c>
      <c r="I1145" t="s">
        <v>19</v>
      </c>
      <c r="J1145">
        <v>4385</v>
      </c>
      <c r="K1145">
        <v>1</v>
      </c>
      <c r="L1145">
        <v>3</v>
      </c>
      <c r="M1145">
        <v>10</v>
      </c>
    </row>
    <row r="1146" spans="1:13">
      <c r="A1146">
        <v>31</v>
      </c>
      <c r="B1146" t="s">
        <v>17</v>
      </c>
      <c r="C1146" t="s">
        <v>14</v>
      </c>
      <c r="D1146">
        <v>2</v>
      </c>
      <c r="E1146">
        <v>4</v>
      </c>
      <c r="F1146" t="s">
        <v>20</v>
      </c>
      <c r="G1146">
        <v>4</v>
      </c>
      <c r="H1146">
        <v>1</v>
      </c>
      <c r="I1146" t="s">
        <v>16</v>
      </c>
      <c r="J1146">
        <v>5332</v>
      </c>
      <c r="K1146">
        <v>7</v>
      </c>
      <c r="L1146">
        <v>3</v>
      </c>
      <c r="M1146">
        <v>5</v>
      </c>
    </row>
    <row r="1147" spans="1:13">
      <c r="A1147">
        <v>36</v>
      </c>
      <c r="B1147" t="s">
        <v>17</v>
      </c>
      <c r="C1147" t="s">
        <v>18</v>
      </c>
      <c r="D1147">
        <v>12</v>
      </c>
      <c r="E1147">
        <v>4</v>
      </c>
      <c r="F1147" t="s">
        <v>15</v>
      </c>
      <c r="G1147">
        <v>3</v>
      </c>
      <c r="H1147">
        <v>3</v>
      </c>
      <c r="I1147" t="s">
        <v>19</v>
      </c>
      <c r="J1147">
        <v>4663</v>
      </c>
      <c r="K1147">
        <v>9</v>
      </c>
      <c r="L1147">
        <v>3</v>
      </c>
      <c r="M1147">
        <v>3</v>
      </c>
    </row>
    <row r="1148" spans="1:13">
      <c r="A1148">
        <v>34</v>
      </c>
      <c r="B1148" t="s">
        <v>17</v>
      </c>
      <c r="C1148" t="s">
        <v>18</v>
      </c>
      <c r="D1148">
        <v>10</v>
      </c>
      <c r="E1148">
        <v>4</v>
      </c>
      <c r="F1148" t="s">
        <v>15</v>
      </c>
      <c r="G1148">
        <v>3</v>
      </c>
      <c r="H1148">
        <v>4</v>
      </c>
      <c r="I1148" t="s">
        <v>22</v>
      </c>
      <c r="J1148">
        <v>4724</v>
      </c>
      <c r="K1148">
        <v>1</v>
      </c>
      <c r="L1148">
        <v>3</v>
      </c>
      <c r="M1148">
        <v>9</v>
      </c>
    </row>
    <row r="1149" spans="1:13">
      <c r="A1149">
        <v>49</v>
      </c>
      <c r="B1149" t="s">
        <v>17</v>
      </c>
      <c r="C1149" t="s">
        <v>18</v>
      </c>
      <c r="D1149">
        <v>25</v>
      </c>
      <c r="E1149">
        <v>4</v>
      </c>
      <c r="F1149" t="s">
        <v>15</v>
      </c>
      <c r="G1149">
        <v>3</v>
      </c>
      <c r="H1149">
        <v>1</v>
      </c>
      <c r="I1149" t="s">
        <v>19</v>
      </c>
      <c r="J1149">
        <v>3211</v>
      </c>
      <c r="K1149">
        <v>1</v>
      </c>
      <c r="L1149">
        <v>2</v>
      </c>
      <c r="M1149">
        <v>9</v>
      </c>
    </row>
    <row r="1150" spans="1:13">
      <c r="A1150">
        <v>39</v>
      </c>
      <c r="B1150" t="s">
        <v>17</v>
      </c>
      <c r="C1150" t="s">
        <v>18</v>
      </c>
      <c r="D1150">
        <v>10</v>
      </c>
      <c r="E1150">
        <v>5</v>
      </c>
      <c r="F1150" t="s">
        <v>21</v>
      </c>
      <c r="G1150">
        <v>2</v>
      </c>
      <c r="H1150">
        <v>1</v>
      </c>
      <c r="I1150" t="s">
        <v>19</v>
      </c>
      <c r="J1150">
        <v>5377</v>
      </c>
      <c r="K1150">
        <v>2</v>
      </c>
      <c r="L1150">
        <v>3</v>
      </c>
      <c r="M1150">
        <v>7</v>
      </c>
    </row>
    <row r="1151" spans="1:13">
      <c r="A1151">
        <v>27</v>
      </c>
      <c r="B1151" t="s">
        <v>17</v>
      </c>
      <c r="C1151" t="s">
        <v>18</v>
      </c>
      <c r="D1151">
        <v>19</v>
      </c>
      <c r="E1151">
        <v>3</v>
      </c>
      <c r="F1151" t="s">
        <v>20</v>
      </c>
      <c r="G1151">
        <v>4</v>
      </c>
      <c r="H1151">
        <v>1</v>
      </c>
      <c r="I1151" t="s">
        <v>22</v>
      </c>
      <c r="J1151">
        <v>4066</v>
      </c>
      <c r="K1151">
        <v>1</v>
      </c>
      <c r="L1151">
        <v>3</v>
      </c>
      <c r="M1151">
        <v>7</v>
      </c>
    </row>
    <row r="1152" spans="1:13">
      <c r="A1152">
        <v>35</v>
      </c>
      <c r="B1152" t="s">
        <v>17</v>
      </c>
      <c r="C1152" t="s">
        <v>18</v>
      </c>
      <c r="D1152">
        <v>18</v>
      </c>
      <c r="E1152">
        <v>5</v>
      </c>
      <c r="F1152" t="s">
        <v>15</v>
      </c>
      <c r="G1152">
        <v>2</v>
      </c>
      <c r="H1152">
        <v>1</v>
      </c>
      <c r="I1152" t="s">
        <v>19</v>
      </c>
      <c r="J1152">
        <v>5208</v>
      </c>
      <c r="K1152">
        <v>1</v>
      </c>
      <c r="L1152">
        <v>3</v>
      </c>
      <c r="M1152">
        <v>16</v>
      </c>
    </row>
    <row r="1153" spans="1:13">
      <c r="A1153">
        <v>28</v>
      </c>
      <c r="B1153" t="s">
        <v>17</v>
      </c>
      <c r="C1153" t="s">
        <v>18</v>
      </c>
      <c r="D1153">
        <v>27</v>
      </c>
      <c r="E1153">
        <v>3</v>
      </c>
      <c r="F1153" t="s">
        <v>21</v>
      </c>
      <c r="G1153">
        <v>2</v>
      </c>
      <c r="H1153">
        <v>1</v>
      </c>
      <c r="I1153" t="s">
        <v>22</v>
      </c>
      <c r="J1153">
        <v>4877</v>
      </c>
      <c r="K1153">
        <v>0</v>
      </c>
      <c r="L1153">
        <v>2</v>
      </c>
      <c r="M1153">
        <v>5</v>
      </c>
    </row>
    <row r="1154" spans="1:13">
      <c r="A1154">
        <v>21</v>
      </c>
      <c r="B1154" t="s">
        <v>17</v>
      </c>
      <c r="C1154" t="s">
        <v>18</v>
      </c>
      <c r="D1154">
        <v>5</v>
      </c>
      <c r="E1154">
        <v>1</v>
      </c>
      <c r="F1154" t="s">
        <v>21</v>
      </c>
      <c r="G1154">
        <v>3</v>
      </c>
      <c r="H1154">
        <v>4</v>
      </c>
      <c r="I1154" t="s">
        <v>16</v>
      </c>
      <c r="J1154">
        <v>3117</v>
      </c>
      <c r="K1154">
        <v>1</v>
      </c>
      <c r="L1154">
        <v>3</v>
      </c>
      <c r="M1154">
        <v>2</v>
      </c>
    </row>
    <row r="1155" spans="1:13">
      <c r="A1155">
        <v>18</v>
      </c>
      <c r="B1155" t="s">
        <v>13</v>
      </c>
      <c r="C1155" t="s">
        <v>14</v>
      </c>
      <c r="D1155">
        <v>3</v>
      </c>
      <c r="E1155">
        <v>2</v>
      </c>
      <c r="F1155" t="s">
        <v>21</v>
      </c>
      <c r="G1155">
        <v>2</v>
      </c>
      <c r="H1155">
        <v>4</v>
      </c>
      <c r="I1155" t="s">
        <v>16</v>
      </c>
      <c r="J1155">
        <v>1569</v>
      </c>
      <c r="K1155">
        <v>1</v>
      </c>
      <c r="L1155">
        <v>4</v>
      </c>
      <c r="M1155">
        <v>0</v>
      </c>
    </row>
    <row r="1156" spans="1:13">
      <c r="A1156">
        <v>47</v>
      </c>
      <c r="B1156" t="s">
        <v>17</v>
      </c>
      <c r="C1156" t="s">
        <v>25</v>
      </c>
      <c r="D1156">
        <v>26</v>
      </c>
      <c r="E1156">
        <v>4</v>
      </c>
      <c r="F1156" t="s">
        <v>15</v>
      </c>
      <c r="G1156">
        <v>4</v>
      </c>
      <c r="H1156">
        <v>3</v>
      </c>
      <c r="I1156" t="s">
        <v>19</v>
      </c>
      <c r="J1156">
        <v>19658</v>
      </c>
      <c r="K1156">
        <v>3</v>
      </c>
      <c r="L1156">
        <v>3</v>
      </c>
      <c r="M1156">
        <v>5</v>
      </c>
    </row>
    <row r="1157" spans="1:13">
      <c r="A1157">
        <v>39</v>
      </c>
      <c r="B1157" t="s">
        <v>17</v>
      </c>
      <c r="C1157" t="s">
        <v>18</v>
      </c>
      <c r="D1157">
        <v>3</v>
      </c>
      <c r="E1157">
        <v>2</v>
      </c>
      <c r="F1157" t="s">
        <v>21</v>
      </c>
      <c r="G1157">
        <v>3</v>
      </c>
      <c r="H1157">
        <v>3</v>
      </c>
      <c r="I1157" t="s">
        <v>22</v>
      </c>
      <c r="J1157">
        <v>3069</v>
      </c>
      <c r="K1157">
        <v>0</v>
      </c>
      <c r="L1157">
        <v>3</v>
      </c>
      <c r="M1157">
        <v>10</v>
      </c>
    </row>
    <row r="1158" spans="1:13">
      <c r="A1158">
        <v>40</v>
      </c>
      <c r="B1158" t="s">
        <v>17</v>
      </c>
      <c r="C1158" t="s">
        <v>18</v>
      </c>
      <c r="D1158">
        <v>15</v>
      </c>
      <c r="E1158">
        <v>3</v>
      </c>
      <c r="F1158" t="s">
        <v>15</v>
      </c>
      <c r="G1158">
        <v>1</v>
      </c>
      <c r="H1158">
        <v>3</v>
      </c>
      <c r="I1158" t="s">
        <v>19</v>
      </c>
      <c r="J1158">
        <v>10435</v>
      </c>
      <c r="K1158">
        <v>1</v>
      </c>
      <c r="L1158">
        <v>3</v>
      </c>
      <c r="M1158">
        <v>18</v>
      </c>
    </row>
    <row r="1159" spans="1:13">
      <c r="A1159">
        <v>35</v>
      </c>
      <c r="B1159" t="s">
        <v>17</v>
      </c>
      <c r="C1159" t="s">
        <v>18</v>
      </c>
      <c r="D1159">
        <v>8</v>
      </c>
      <c r="E1159">
        <v>4</v>
      </c>
      <c r="F1159" t="s">
        <v>15</v>
      </c>
      <c r="G1159">
        <v>3</v>
      </c>
      <c r="H1159">
        <v>3</v>
      </c>
      <c r="I1159" t="s">
        <v>19</v>
      </c>
      <c r="J1159">
        <v>4148</v>
      </c>
      <c r="K1159">
        <v>1</v>
      </c>
      <c r="L1159">
        <v>3</v>
      </c>
      <c r="M1159">
        <v>14</v>
      </c>
    </row>
    <row r="1160" spans="1:13">
      <c r="A1160">
        <v>37</v>
      </c>
      <c r="B1160" t="s">
        <v>17</v>
      </c>
      <c r="C1160" t="s">
        <v>18</v>
      </c>
      <c r="D1160">
        <v>19</v>
      </c>
      <c r="E1160">
        <v>3</v>
      </c>
      <c r="F1160" t="s">
        <v>15</v>
      </c>
      <c r="G1160">
        <v>3</v>
      </c>
      <c r="H1160">
        <v>3</v>
      </c>
      <c r="I1160" t="s">
        <v>19</v>
      </c>
      <c r="J1160">
        <v>5768</v>
      </c>
      <c r="K1160">
        <v>3</v>
      </c>
      <c r="L1160">
        <v>2</v>
      </c>
      <c r="M1160">
        <v>4</v>
      </c>
    </row>
    <row r="1161" spans="1:13">
      <c r="A1161">
        <v>39</v>
      </c>
      <c r="B1161" t="s">
        <v>17</v>
      </c>
      <c r="C1161" t="s">
        <v>18</v>
      </c>
      <c r="D1161">
        <v>4</v>
      </c>
      <c r="E1161">
        <v>3</v>
      </c>
      <c r="F1161" t="s">
        <v>21</v>
      </c>
      <c r="G1161">
        <v>1</v>
      </c>
      <c r="H1161">
        <v>3</v>
      </c>
      <c r="I1161" t="s">
        <v>16</v>
      </c>
      <c r="J1161">
        <v>5042</v>
      </c>
      <c r="K1161">
        <v>0</v>
      </c>
      <c r="L1161">
        <v>1</v>
      </c>
      <c r="M1161">
        <v>9</v>
      </c>
    </row>
    <row r="1162" spans="1:13">
      <c r="A1162">
        <v>45</v>
      </c>
      <c r="B1162" t="s">
        <v>17</v>
      </c>
      <c r="C1162" t="s">
        <v>18</v>
      </c>
      <c r="D1162">
        <v>2</v>
      </c>
      <c r="E1162">
        <v>2</v>
      </c>
      <c r="F1162" t="s">
        <v>20</v>
      </c>
      <c r="G1162">
        <v>4</v>
      </c>
      <c r="H1162">
        <v>4</v>
      </c>
      <c r="I1162" t="s">
        <v>22</v>
      </c>
      <c r="J1162">
        <v>5770</v>
      </c>
      <c r="K1162">
        <v>1</v>
      </c>
      <c r="L1162">
        <v>3</v>
      </c>
      <c r="M1162">
        <v>10</v>
      </c>
    </row>
    <row r="1163" spans="1:13">
      <c r="A1163">
        <v>38</v>
      </c>
      <c r="B1163" t="s">
        <v>17</v>
      </c>
      <c r="C1163" t="s">
        <v>18</v>
      </c>
      <c r="D1163">
        <v>2</v>
      </c>
      <c r="E1163">
        <v>2</v>
      </c>
      <c r="F1163" t="s">
        <v>21</v>
      </c>
      <c r="G1163">
        <v>4</v>
      </c>
      <c r="H1163">
        <v>3</v>
      </c>
      <c r="I1163" t="s">
        <v>19</v>
      </c>
      <c r="J1163">
        <v>7756</v>
      </c>
      <c r="K1163">
        <v>3</v>
      </c>
      <c r="L1163">
        <v>4</v>
      </c>
      <c r="M1163">
        <v>5</v>
      </c>
    </row>
    <row r="1164" spans="1:13">
      <c r="A1164">
        <v>35</v>
      </c>
      <c r="B1164" t="s">
        <v>13</v>
      </c>
      <c r="C1164" t="s">
        <v>14</v>
      </c>
      <c r="D1164">
        <v>10</v>
      </c>
      <c r="E1164">
        <v>3</v>
      </c>
      <c r="F1164" t="s">
        <v>21</v>
      </c>
      <c r="G1164">
        <v>4</v>
      </c>
      <c r="H1164">
        <v>1</v>
      </c>
      <c r="I1164" t="s">
        <v>19</v>
      </c>
      <c r="J1164">
        <v>10306</v>
      </c>
      <c r="K1164">
        <v>9</v>
      </c>
      <c r="L1164">
        <v>3</v>
      </c>
      <c r="M1164">
        <v>13</v>
      </c>
    </row>
    <row r="1165" spans="1:13">
      <c r="A1165">
        <v>37</v>
      </c>
      <c r="B1165" t="s">
        <v>17</v>
      </c>
      <c r="C1165" t="s">
        <v>18</v>
      </c>
      <c r="D1165">
        <v>10</v>
      </c>
      <c r="E1165">
        <v>3</v>
      </c>
      <c r="F1165" t="s">
        <v>21</v>
      </c>
      <c r="G1165">
        <v>2</v>
      </c>
      <c r="H1165">
        <v>2</v>
      </c>
      <c r="I1165" t="s">
        <v>19</v>
      </c>
      <c r="J1165">
        <v>3936</v>
      </c>
      <c r="K1165">
        <v>1</v>
      </c>
      <c r="L1165">
        <v>1</v>
      </c>
      <c r="M1165">
        <v>8</v>
      </c>
    </row>
    <row r="1166" spans="1:13">
      <c r="A1166">
        <v>40</v>
      </c>
      <c r="B1166" t="s">
        <v>17</v>
      </c>
      <c r="C1166" t="s">
        <v>18</v>
      </c>
      <c r="D1166">
        <v>16</v>
      </c>
      <c r="E1166">
        <v>3</v>
      </c>
      <c r="F1166" t="s">
        <v>15</v>
      </c>
      <c r="G1166">
        <v>3</v>
      </c>
      <c r="H1166">
        <v>4</v>
      </c>
      <c r="I1166" t="s">
        <v>16</v>
      </c>
      <c r="J1166">
        <v>7945</v>
      </c>
      <c r="K1166">
        <v>6</v>
      </c>
      <c r="L1166">
        <v>2</v>
      </c>
      <c r="M1166">
        <v>4</v>
      </c>
    </row>
    <row r="1167" spans="1:13">
      <c r="A1167">
        <v>44</v>
      </c>
      <c r="B1167" t="s">
        <v>17</v>
      </c>
      <c r="C1167" t="s">
        <v>25</v>
      </c>
      <c r="D1167">
        <v>1</v>
      </c>
      <c r="E1167">
        <v>5</v>
      </c>
      <c r="F1167" t="s">
        <v>25</v>
      </c>
      <c r="G1167">
        <v>1</v>
      </c>
      <c r="H1167">
        <v>4</v>
      </c>
      <c r="I1167" t="s">
        <v>19</v>
      </c>
      <c r="J1167">
        <v>5743</v>
      </c>
      <c r="K1167">
        <v>4</v>
      </c>
      <c r="L1167">
        <v>3</v>
      </c>
      <c r="M1167">
        <v>10</v>
      </c>
    </row>
    <row r="1168" spans="1:13">
      <c r="A1168">
        <v>48</v>
      </c>
      <c r="B1168" t="s">
        <v>17</v>
      </c>
      <c r="C1168" t="s">
        <v>18</v>
      </c>
      <c r="D1168">
        <v>4</v>
      </c>
      <c r="E1168">
        <v>5</v>
      </c>
      <c r="F1168" t="s">
        <v>21</v>
      </c>
      <c r="G1168">
        <v>3</v>
      </c>
      <c r="H1168">
        <v>4</v>
      </c>
      <c r="I1168" t="s">
        <v>19</v>
      </c>
      <c r="J1168">
        <v>15202</v>
      </c>
      <c r="K1168">
        <v>2</v>
      </c>
      <c r="L1168">
        <v>3</v>
      </c>
      <c r="M1168">
        <v>2</v>
      </c>
    </row>
    <row r="1169" spans="1:13">
      <c r="A1169">
        <v>35</v>
      </c>
      <c r="B1169" t="s">
        <v>13</v>
      </c>
      <c r="C1169" t="s">
        <v>14</v>
      </c>
      <c r="D1169">
        <v>15</v>
      </c>
      <c r="E1169">
        <v>2</v>
      </c>
      <c r="F1169" t="s">
        <v>21</v>
      </c>
      <c r="G1169">
        <v>1</v>
      </c>
      <c r="H1169">
        <v>4</v>
      </c>
      <c r="I1169" t="s">
        <v>22</v>
      </c>
      <c r="J1169">
        <v>5440</v>
      </c>
      <c r="K1169">
        <v>6</v>
      </c>
      <c r="L1169">
        <v>2</v>
      </c>
      <c r="M1169">
        <v>2</v>
      </c>
    </row>
    <row r="1170" spans="1:13">
      <c r="A1170">
        <v>24</v>
      </c>
      <c r="B1170" t="s">
        <v>17</v>
      </c>
      <c r="C1170" t="s">
        <v>18</v>
      </c>
      <c r="D1170">
        <v>2</v>
      </c>
      <c r="E1170">
        <v>1</v>
      </c>
      <c r="F1170" t="s">
        <v>24</v>
      </c>
      <c r="G1170">
        <v>1</v>
      </c>
      <c r="H1170">
        <v>4</v>
      </c>
      <c r="I1170" t="s">
        <v>16</v>
      </c>
      <c r="J1170">
        <v>3760</v>
      </c>
      <c r="K1170">
        <v>1</v>
      </c>
      <c r="L1170">
        <v>3</v>
      </c>
      <c r="M1170">
        <v>6</v>
      </c>
    </row>
    <row r="1171" spans="1:13">
      <c r="A1171">
        <v>27</v>
      </c>
      <c r="B1171" t="s">
        <v>17</v>
      </c>
      <c r="C1171" t="s">
        <v>18</v>
      </c>
      <c r="D1171">
        <v>8</v>
      </c>
      <c r="E1171">
        <v>3</v>
      </c>
      <c r="F1171" t="s">
        <v>21</v>
      </c>
      <c r="G1171">
        <v>2</v>
      </c>
      <c r="H1171">
        <v>3</v>
      </c>
      <c r="I1171" t="s">
        <v>19</v>
      </c>
      <c r="J1171">
        <v>3517</v>
      </c>
      <c r="K1171">
        <v>7</v>
      </c>
      <c r="L1171">
        <v>3</v>
      </c>
      <c r="M1171">
        <v>3</v>
      </c>
    </row>
    <row r="1172" spans="1:13">
      <c r="A1172">
        <v>27</v>
      </c>
      <c r="B1172" t="s">
        <v>17</v>
      </c>
      <c r="C1172" t="s">
        <v>18</v>
      </c>
      <c r="D1172">
        <v>2</v>
      </c>
      <c r="E1172">
        <v>3</v>
      </c>
      <c r="F1172" t="s">
        <v>21</v>
      </c>
      <c r="G1172">
        <v>4</v>
      </c>
      <c r="H1172">
        <v>4</v>
      </c>
      <c r="I1172" t="s">
        <v>16</v>
      </c>
      <c r="J1172">
        <v>2580</v>
      </c>
      <c r="K1172">
        <v>2</v>
      </c>
      <c r="L1172">
        <v>2</v>
      </c>
      <c r="M1172">
        <v>4</v>
      </c>
    </row>
    <row r="1173" spans="1:13">
      <c r="A1173">
        <v>40</v>
      </c>
      <c r="B1173" t="s">
        <v>13</v>
      </c>
      <c r="C1173" t="s">
        <v>18</v>
      </c>
      <c r="D1173">
        <v>7</v>
      </c>
      <c r="E1173">
        <v>3</v>
      </c>
      <c r="F1173" t="s">
        <v>15</v>
      </c>
      <c r="G1173">
        <v>1</v>
      </c>
      <c r="H1173">
        <v>1</v>
      </c>
      <c r="I1173" t="s">
        <v>16</v>
      </c>
      <c r="J1173">
        <v>2166</v>
      </c>
      <c r="K1173">
        <v>3</v>
      </c>
      <c r="L1173">
        <v>1</v>
      </c>
      <c r="M1173">
        <v>4</v>
      </c>
    </row>
    <row r="1174" spans="1:13">
      <c r="A1174">
        <v>29</v>
      </c>
      <c r="B1174" t="s">
        <v>17</v>
      </c>
      <c r="C1174" t="s">
        <v>14</v>
      </c>
      <c r="D1174">
        <v>10</v>
      </c>
      <c r="E1174">
        <v>3</v>
      </c>
      <c r="F1174" t="s">
        <v>21</v>
      </c>
      <c r="G1174">
        <v>3</v>
      </c>
      <c r="H1174">
        <v>3</v>
      </c>
      <c r="I1174" t="s">
        <v>16</v>
      </c>
      <c r="J1174">
        <v>5869</v>
      </c>
      <c r="K1174">
        <v>9</v>
      </c>
      <c r="L1174">
        <v>3</v>
      </c>
      <c r="M1174">
        <v>5</v>
      </c>
    </row>
    <row r="1175" spans="1:13">
      <c r="A1175">
        <v>36</v>
      </c>
      <c r="B1175" t="s">
        <v>17</v>
      </c>
      <c r="C1175" t="s">
        <v>18</v>
      </c>
      <c r="D1175">
        <v>5</v>
      </c>
      <c r="E1175">
        <v>4</v>
      </c>
      <c r="F1175" t="s">
        <v>15</v>
      </c>
      <c r="G1175">
        <v>2</v>
      </c>
      <c r="H1175">
        <v>1</v>
      </c>
      <c r="I1175" t="s">
        <v>19</v>
      </c>
      <c r="J1175">
        <v>8008</v>
      </c>
      <c r="K1175">
        <v>4</v>
      </c>
      <c r="L1175">
        <v>3</v>
      </c>
      <c r="M1175">
        <v>3</v>
      </c>
    </row>
    <row r="1176" spans="1:13">
      <c r="A1176">
        <v>25</v>
      </c>
      <c r="B1176" t="s">
        <v>17</v>
      </c>
      <c r="C1176" t="s">
        <v>18</v>
      </c>
      <c r="D1176">
        <v>2</v>
      </c>
      <c r="E1176">
        <v>1</v>
      </c>
      <c r="F1176" t="s">
        <v>15</v>
      </c>
      <c r="G1176">
        <v>4</v>
      </c>
      <c r="H1176">
        <v>3</v>
      </c>
      <c r="I1176" t="s">
        <v>22</v>
      </c>
      <c r="J1176">
        <v>5206</v>
      </c>
      <c r="K1176">
        <v>1</v>
      </c>
      <c r="L1176">
        <v>3</v>
      </c>
      <c r="M1176">
        <v>7</v>
      </c>
    </row>
    <row r="1177" spans="1:13">
      <c r="A1177">
        <v>39</v>
      </c>
      <c r="B1177" t="s">
        <v>17</v>
      </c>
      <c r="C1177" t="s">
        <v>18</v>
      </c>
      <c r="D1177">
        <v>12</v>
      </c>
      <c r="E1177">
        <v>3</v>
      </c>
      <c r="F1177" t="s">
        <v>21</v>
      </c>
      <c r="G1177">
        <v>4</v>
      </c>
      <c r="H1177">
        <v>2</v>
      </c>
      <c r="I1177" t="s">
        <v>19</v>
      </c>
      <c r="J1177">
        <v>5295</v>
      </c>
      <c r="K1177">
        <v>4</v>
      </c>
      <c r="L1177">
        <v>3</v>
      </c>
      <c r="M1177">
        <v>5</v>
      </c>
    </row>
    <row r="1178" spans="1:13">
      <c r="A1178">
        <v>49</v>
      </c>
      <c r="B1178" t="s">
        <v>17</v>
      </c>
      <c r="C1178" t="s">
        <v>18</v>
      </c>
      <c r="D1178">
        <v>22</v>
      </c>
      <c r="E1178">
        <v>4</v>
      </c>
      <c r="F1178" t="s">
        <v>20</v>
      </c>
      <c r="G1178">
        <v>1</v>
      </c>
      <c r="H1178">
        <v>2</v>
      </c>
      <c r="I1178" t="s">
        <v>19</v>
      </c>
      <c r="J1178">
        <v>16413</v>
      </c>
      <c r="K1178">
        <v>3</v>
      </c>
      <c r="L1178">
        <v>3</v>
      </c>
      <c r="M1178">
        <v>4</v>
      </c>
    </row>
    <row r="1179" spans="1:13">
      <c r="A1179">
        <v>50</v>
      </c>
      <c r="B1179" t="s">
        <v>17</v>
      </c>
      <c r="C1179" t="s">
        <v>18</v>
      </c>
      <c r="D1179">
        <v>17</v>
      </c>
      <c r="E1179">
        <v>5</v>
      </c>
      <c r="F1179" t="s">
        <v>15</v>
      </c>
      <c r="G1179">
        <v>4</v>
      </c>
      <c r="H1179">
        <v>1</v>
      </c>
      <c r="I1179" t="s">
        <v>22</v>
      </c>
      <c r="J1179">
        <v>13269</v>
      </c>
      <c r="K1179">
        <v>5</v>
      </c>
      <c r="L1179">
        <v>3</v>
      </c>
      <c r="M1179">
        <v>14</v>
      </c>
    </row>
    <row r="1180" spans="1:13">
      <c r="A1180">
        <v>20</v>
      </c>
      <c r="B1180" t="s">
        <v>17</v>
      </c>
      <c r="C1180" t="s">
        <v>14</v>
      </c>
      <c r="D1180">
        <v>2</v>
      </c>
      <c r="E1180">
        <v>3</v>
      </c>
      <c r="F1180" t="s">
        <v>21</v>
      </c>
      <c r="G1180">
        <v>3</v>
      </c>
      <c r="H1180">
        <v>3</v>
      </c>
      <c r="I1180" t="s">
        <v>16</v>
      </c>
      <c r="J1180">
        <v>2783</v>
      </c>
      <c r="K1180">
        <v>1</v>
      </c>
      <c r="L1180">
        <v>3</v>
      </c>
      <c r="M1180">
        <v>2</v>
      </c>
    </row>
    <row r="1181" spans="1:13">
      <c r="A1181">
        <v>34</v>
      </c>
      <c r="B1181" t="s">
        <v>17</v>
      </c>
      <c r="C1181" t="s">
        <v>18</v>
      </c>
      <c r="D1181">
        <v>3</v>
      </c>
      <c r="E1181">
        <v>3</v>
      </c>
      <c r="F1181" t="s">
        <v>15</v>
      </c>
      <c r="G1181">
        <v>4</v>
      </c>
      <c r="H1181">
        <v>2</v>
      </c>
      <c r="I1181" t="s">
        <v>22</v>
      </c>
      <c r="J1181">
        <v>5433</v>
      </c>
      <c r="K1181">
        <v>1</v>
      </c>
      <c r="L1181">
        <v>3</v>
      </c>
      <c r="M1181">
        <v>11</v>
      </c>
    </row>
    <row r="1182" spans="1:13">
      <c r="A1182">
        <v>36</v>
      </c>
      <c r="B1182" t="s">
        <v>17</v>
      </c>
      <c r="C1182" t="s">
        <v>18</v>
      </c>
      <c r="D1182">
        <v>7</v>
      </c>
      <c r="E1182">
        <v>3</v>
      </c>
      <c r="F1182" t="s">
        <v>15</v>
      </c>
      <c r="G1182">
        <v>1</v>
      </c>
      <c r="H1182">
        <v>2</v>
      </c>
      <c r="I1182" t="s">
        <v>16</v>
      </c>
      <c r="J1182">
        <v>2013</v>
      </c>
      <c r="K1182">
        <v>2</v>
      </c>
      <c r="L1182">
        <v>3</v>
      </c>
      <c r="M1182">
        <v>4</v>
      </c>
    </row>
    <row r="1183" spans="1:13">
      <c r="A1183">
        <v>49</v>
      </c>
      <c r="B1183" t="s">
        <v>17</v>
      </c>
      <c r="C1183" t="s">
        <v>18</v>
      </c>
      <c r="D1183">
        <v>6</v>
      </c>
      <c r="E1183">
        <v>1</v>
      </c>
      <c r="F1183" t="s">
        <v>15</v>
      </c>
      <c r="G1183">
        <v>3</v>
      </c>
      <c r="H1183">
        <v>3</v>
      </c>
      <c r="I1183" t="s">
        <v>19</v>
      </c>
      <c r="J1183">
        <v>13966</v>
      </c>
      <c r="K1183">
        <v>2</v>
      </c>
      <c r="L1183">
        <v>3</v>
      </c>
      <c r="M1183">
        <v>15</v>
      </c>
    </row>
    <row r="1184" spans="1:13">
      <c r="A1184">
        <v>36</v>
      </c>
      <c r="B1184" t="s">
        <v>17</v>
      </c>
      <c r="C1184" t="s">
        <v>18</v>
      </c>
      <c r="D1184">
        <v>1</v>
      </c>
      <c r="E1184">
        <v>4</v>
      </c>
      <c r="F1184" t="s">
        <v>21</v>
      </c>
      <c r="G1184">
        <v>4</v>
      </c>
      <c r="H1184">
        <v>3</v>
      </c>
      <c r="I1184" t="s">
        <v>19</v>
      </c>
      <c r="J1184">
        <v>4374</v>
      </c>
      <c r="K1184">
        <v>0</v>
      </c>
      <c r="L1184">
        <v>3</v>
      </c>
      <c r="M1184">
        <v>3</v>
      </c>
    </row>
    <row r="1185" spans="1:13">
      <c r="A1185">
        <v>36</v>
      </c>
      <c r="B1185" t="s">
        <v>17</v>
      </c>
      <c r="C1185" t="s">
        <v>18</v>
      </c>
      <c r="D1185">
        <v>3</v>
      </c>
      <c r="E1185">
        <v>2</v>
      </c>
      <c r="F1185" t="s">
        <v>15</v>
      </c>
      <c r="G1185">
        <v>4</v>
      </c>
      <c r="H1185">
        <v>1</v>
      </c>
      <c r="I1185" t="s">
        <v>22</v>
      </c>
      <c r="J1185">
        <v>6842</v>
      </c>
      <c r="K1185">
        <v>6</v>
      </c>
      <c r="L1185">
        <v>3</v>
      </c>
      <c r="M1185">
        <v>5</v>
      </c>
    </row>
    <row r="1186" spans="1:13">
      <c r="A1186">
        <v>54</v>
      </c>
      <c r="B1186" t="s">
        <v>17</v>
      </c>
      <c r="C1186" t="s">
        <v>18</v>
      </c>
      <c r="D1186">
        <v>22</v>
      </c>
      <c r="E1186">
        <v>5</v>
      </c>
      <c r="F1186" t="s">
        <v>21</v>
      </c>
      <c r="G1186">
        <v>2</v>
      </c>
      <c r="H1186">
        <v>3</v>
      </c>
      <c r="I1186" t="s">
        <v>19</v>
      </c>
      <c r="J1186">
        <v>17426</v>
      </c>
      <c r="K1186">
        <v>3</v>
      </c>
      <c r="L1186">
        <v>3</v>
      </c>
      <c r="M1186">
        <v>10</v>
      </c>
    </row>
    <row r="1187" spans="1:13">
      <c r="A1187">
        <v>43</v>
      </c>
      <c r="B1187" t="s">
        <v>17</v>
      </c>
      <c r="C1187" t="s">
        <v>18</v>
      </c>
      <c r="D1187">
        <v>15</v>
      </c>
      <c r="E1187">
        <v>2</v>
      </c>
      <c r="F1187" t="s">
        <v>15</v>
      </c>
      <c r="G1187">
        <v>3</v>
      </c>
      <c r="H1187">
        <v>3</v>
      </c>
      <c r="I1187" t="s">
        <v>19</v>
      </c>
      <c r="J1187">
        <v>17603</v>
      </c>
      <c r="K1187">
        <v>1</v>
      </c>
      <c r="L1187">
        <v>3</v>
      </c>
      <c r="M1187">
        <v>14</v>
      </c>
    </row>
    <row r="1188" spans="1:13">
      <c r="A1188">
        <v>35</v>
      </c>
      <c r="B1188" t="s">
        <v>13</v>
      </c>
      <c r="C1188" t="s">
        <v>14</v>
      </c>
      <c r="D1188">
        <v>12</v>
      </c>
      <c r="E1188">
        <v>4</v>
      </c>
      <c r="F1188" t="s">
        <v>20</v>
      </c>
      <c r="G1188">
        <v>4</v>
      </c>
      <c r="H1188">
        <v>4</v>
      </c>
      <c r="I1188" t="s">
        <v>16</v>
      </c>
      <c r="J1188">
        <v>4581</v>
      </c>
      <c r="K1188">
        <v>3</v>
      </c>
      <c r="L1188">
        <v>4</v>
      </c>
      <c r="M1188">
        <v>11</v>
      </c>
    </row>
    <row r="1189" spans="1:13">
      <c r="A1189">
        <v>38</v>
      </c>
      <c r="B1189" t="s">
        <v>17</v>
      </c>
      <c r="C1189" t="s">
        <v>18</v>
      </c>
      <c r="D1189">
        <v>1</v>
      </c>
      <c r="E1189">
        <v>3</v>
      </c>
      <c r="F1189" t="s">
        <v>15</v>
      </c>
      <c r="G1189">
        <v>4</v>
      </c>
      <c r="H1189">
        <v>4</v>
      </c>
      <c r="I1189" t="s">
        <v>19</v>
      </c>
      <c r="J1189">
        <v>4735</v>
      </c>
      <c r="K1189">
        <v>7</v>
      </c>
      <c r="L1189">
        <v>4</v>
      </c>
      <c r="M1189">
        <v>13</v>
      </c>
    </row>
    <row r="1190" spans="1:13">
      <c r="A1190">
        <v>29</v>
      </c>
      <c r="B1190" t="s">
        <v>17</v>
      </c>
      <c r="C1190" t="s">
        <v>14</v>
      </c>
      <c r="D1190">
        <v>5</v>
      </c>
      <c r="E1190">
        <v>3</v>
      </c>
      <c r="F1190" t="s">
        <v>21</v>
      </c>
      <c r="G1190">
        <v>1</v>
      </c>
      <c r="H1190">
        <v>2</v>
      </c>
      <c r="I1190" t="s">
        <v>22</v>
      </c>
      <c r="J1190">
        <v>4187</v>
      </c>
      <c r="K1190">
        <v>1</v>
      </c>
      <c r="L1190">
        <v>2</v>
      </c>
      <c r="M1190">
        <v>10</v>
      </c>
    </row>
    <row r="1191" spans="1:13">
      <c r="A1191">
        <v>33</v>
      </c>
      <c r="B1191" t="s">
        <v>17</v>
      </c>
      <c r="C1191" t="s">
        <v>14</v>
      </c>
      <c r="D1191">
        <v>2</v>
      </c>
      <c r="E1191">
        <v>4</v>
      </c>
      <c r="F1191" t="s">
        <v>21</v>
      </c>
      <c r="G1191">
        <v>4</v>
      </c>
      <c r="H1191">
        <v>4</v>
      </c>
      <c r="I1191" t="s">
        <v>22</v>
      </c>
      <c r="J1191">
        <v>5505</v>
      </c>
      <c r="K1191">
        <v>1</v>
      </c>
      <c r="L1191">
        <v>3</v>
      </c>
      <c r="M1191">
        <v>6</v>
      </c>
    </row>
    <row r="1192" spans="1:13">
      <c r="A1192">
        <v>32</v>
      </c>
      <c r="B1192" t="s">
        <v>17</v>
      </c>
      <c r="C1192" t="s">
        <v>18</v>
      </c>
      <c r="D1192">
        <v>2</v>
      </c>
      <c r="E1192">
        <v>3</v>
      </c>
      <c r="F1192" t="s">
        <v>21</v>
      </c>
      <c r="G1192">
        <v>4</v>
      </c>
      <c r="H1192">
        <v>2</v>
      </c>
      <c r="I1192" t="s">
        <v>22</v>
      </c>
      <c r="J1192">
        <v>5470</v>
      </c>
      <c r="K1192">
        <v>0</v>
      </c>
      <c r="L1192">
        <v>2</v>
      </c>
      <c r="M1192">
        <v>9</v>
      </c>
    </row>
    <row r="1193" spans="1:13">
      <c r="A1193">
        <v>31</v>
      </c>
      <c r="B1193" t="s">
        <v>17</v>
      </c>
      <c r="C1193" t="s">
        <v>14</v>
      </c>
      <c r="D1193">
        <v>5</v>
      </c>
      <c r="E1193">
        <v>4</v>
      </c>
      <c r="F1193" t="s">
        <v>15</v>
      </c>
      <c r="G1193">
        <v>1</v>
      </c>
      <c r="H1193">
        <v>4</v>
      </c>
      <c r="I1193" t="s">
        <v>19</v>
      </c>
      <c r="J1193">
        <v>5476</v>
      </c>
      <c r="K1193">
        <v>1</v>
      </c>
      <c r="L1193">
        <v>3</v>
      </c>
      <c r="M1193">
        <v>10</v>
      </c>
    </row>
    <row r="1194" spans="1:13">
      <c r="A1194">
        <v>49</v>
      </c>
      <c r="B1194" t="s">
        <v>17</v>
      </c>
      <c r="C1194" t="s">
        <v>18</v>
      </c>
      <c r="D1194">
        <v>16</v>
      </c>
      <c r="E1194">
        <v>3</v>
      </c>
      <c r="F1194" t="s">
        <v>21</v>
      </c>
      <c r="G1194">
        <v>4</v>
      </c>
      <c r="H1194">
        <v>1</v>
      </c>
      <c r="I1194" t="s">
        <v>22</v>
      </c>
      <c r="J1194">
        <v>2587</v>
      </c>
      <c r="K1194">
        <v>4</v>
      </c>
      <c r="L1194">
        <v>2</v>
      </c>
      <c r="M1194">
        <v>2</v>
      </c>
    </row>
    <row r="1195" spans="1:13">
      <c r="A1195">
        <v>38</v>
      </c>
      <c r="B1195" t="s">
        <v>17</v>
      </c>
      <c r="C1195" t="s">
        <v>18</v>
      </c>
      <c r="D1195">
        <v>2</v>
      </c>
      <c r="E1195">
        <v>3</v>
      </c>
      <c r="F1195" t="s">
        <v>21</v>
      </c>
      <c r="G1195">
        <v>4</v>
      </c>
      <c r="H1195">
        <v>2</v>
      </c>
      <c r="I1195" t="s">
        <v>16</v>
      </c>
      <c r="J1195">
        <v>2440</v>
      </c>
      <c r="K1195">
        <v>1</v>
      </c>
      <c r="L1195">
        <v>3</v>
      </c>
      <c r="M1195">
        <v>4</v>
      </c>
    </row>
    <row r="1196" spans="1:13">
      <c r="A1196">
        <v>47</v>
      </c>
      <c r="B1196" t="s">
        <v>17</v>
      </c>
      <c r="C1196" t="s">
        <v>14</v>
      </c>
      <c r="D1196">
        <v>2</v>
      </c>
      <c r="E1196">
        <v>4</v>
      </c>
      <c r="F1196" t="s">
        <v>15</v>
      </c>
      <c r="G1196">
        <v>2</v>
      </c>
      <c r="H1196">
        <v>2</v>
      </c>
      <c r="I1196" t="s">
        <v>22</v>
      </c>
      <c r="J1196">
        <v>15972</v>
      </c>
      <c r="K1196">
        <v>6</v>
      </c>
      <c r="L1196">
        <v>3</v>
      </c>
      <c r="M1196">
        <v>3</v>
      </c>
    </row>
    <row r="1197" spans="1:13">
      <c r="A1197">
        <v>49</v>
      </c>
      <c r="B1197" t="s">
        <v>17</v>
      </c>
      <c r="C1197" t="s">
        <v>18</v>
      </c>
      <c r="D1197">
        <v>1</v>
      </c>
      <c r="E1197">
        <v>3</v>
      </c>
      <c r="F1197" t="s">
        <v>15</v>
      </c>
      <c r="G1197">
        <v>3</v>
      </c>
      <c r="H1197">
        <v>3</v>
      </c>
      <c r="I1197" t="s">
        <v>16</v>
      </c>
      <c r="J1197">
        <v>15379</v>
      </c>
      <c r="K1197">
        <v>4</v>
      </c>
      <c r="L1197">
        <v>3</v>
      </c>
      <c r="M1197">
        <v>8</v>
      </c>
    </row>
    <row r="1198" spans="1:13">
      <c r="A1198">
        <v>41</v>
      </c>
      <c r="B1198" t="s">
        <v>17</v>
      </c>
      <c r="C1198" t="s">
        <v>14</v>
      </c>
      <c r="D1198">
        <v>23</v>
      </c>
      <c r="E1198">
        <v>2</v>
      </c>
      <c r="F1198" t="s">
        <v>15</v>
      </c>
      <c r="G1198">
        <v>4</v>
      </c>
      <c r="H1198">
        <v>3</v>
      </c>
      <c r="I1198" t="s">
        <v>16</v>
      </c>
      <c r="J1198">
        <v>7082</v>
      </c>
      <c r="K1198">
        <v>3</v>
      </c>
      <c r="L1198">
        <v>3</v>
      </c>
      <c r="M1198">
        <v>2</v>
      </c>
    </row>
    <row r="1199" spans="1:13">
      <c r="A1199">
        <v>20</v>
      </c>
      <c r="B1199" t="s">
        <v>17</v>
      </c>
      <c r="C1199" t="s">
        <v>14</v>
      </c>
      <c r="D1199">
        <v>9</v>
      </c>
      <c r="E1199">
        <v>1</v>
      </c>
      <c r="F1199" t="s">
        <v>15</v>
      </c>
      <c r="G1199">
        <v>4</v>
      </c>
      <c r="H1199">
        <v>1</v>
      </c>
      <c r="I1199" t="s">
        <v>16</v>
      </c>
      <c r="J1199">
        <v>2728</v>
      </c>
      <c r="K1199">
        <v>1</v>
      </c>
      <c r="L1199">
        <v>3</v>
      </c>
      <c r="M1199">
        <v>2</v>
      </c>
    </row>
    <row r="1200" spans="1:13">
      <c r="A1200">
        <v>33</v>
      </c>
      <c r="B1200" t="s">
        <v>17</v>
      </c>
      <c r="C1200" t="s">
        <v>14</v>
      </c>
      <c r="D1200">
        <v>16</v>
      </c>
      <c r="E1200">
        <v>3</v>
      </c>
      <c r="F1200" t="s">
        <v>15</v>
      </c>
      <c r="G1200">
        <v>3</v>
      </c>
      <c r="H1200">
        <v>4</v>
      </c>
      <c r="I1200" t="s">
        <v>22</v>
      </c>
      <c r="J1200">
        <v>5368</v>
      </c>
      <c r="K1200">
        <v>1</v>
      </c>
      <c r="L1200">
        <v>3</v>
      </c>
      <c r="M1200">
        <v>6</v>
      </c>
    </row>
    <row r="1201" spans="1:13">
      <c r="A1201">
        <v>36</v>
      </c>
      <c r="B1201" t="s">
        <v>17</v>
      </c>
      <c r="C1201" t="s">
        <v>18</v>
      </c>
      <c r="D1201">
        <v>26</v>
      </c>
      <c r="E1201">
        <v>4</v>
      </c>
      <c r="F1201" t="s">
        <v>15</v>
      </c>
      <c r="G1201">
        <v>1</v>
      </c>
      <c r="H1201">
        <v>3</v>
      </c>
      <c r="I1201" t="s">
        <v>19</v>
      </c>
      <c r="J1201">
        <v>5347</v>
      </c>
      <c r="K1201">
        <v>6</v>
      </c>
      <c r="L1201">
        <v>2</v>
      </c>
      <c r="M1201">
        <v>3</v>
      </c>
    </row>
    <row r="1202" spans="1:13">
      <c r="A1202">
        <v>44</v>
      </c>
      <c r="B1202" t="s">
        <v>17</v>
      </c>
      <c r="C1202" t="s">
        <v>25</v>
      </c>
      <c r="D1202">
        <v>1</v>
      </c>
      <c r="E1202">
        <v>3</v>
      </c>
      <c r="F1202" t="s">
        <v>15</v>
      </c>
      <c r="G1202">
        <v>3</v>
      </c>
      <c r="H1202">
        <v>4</v>
      </c>
      <c r="I1202" t="s">
        <v>22</v>
      </c>
      <c r="J1202">
        <v>3195</v>
      </c>
      <c r="K1202">
        <v>4</v>
      </c>
      <c r="L1202">
        <v>3</v>
      </c>
      <c r="M1202">
        <v>2</v>
      </c>
    </row>
    <row r="1203" spans="1:13">
      <c r="A1203">
        <v>23</v>
      </c>
      <c r="B1203" t="s">
        <v>13</v>
      </c>
      <c r="C1203" t="s">
        <v>18</v>
      </c>
      <c r="D1203">
        <v>8</v>
      </c>
      <c r="E1203">
        <v>1</v>
      </c>
      <c r="F1203" t="s">
        <v>21</v>
      </c>
      <c r="G1203">
        <v>4</v>
      </c>
      <c r="H1203">
        <v>3</v>
      </c>
      <c r="I1203" t="s">
        <v>16</v>
      </c>
      <c r="J1203">
        <v>3989</v>
      </c>
      <c r="K1203">
        <v>1</v>
      </c>
      <c r="L1203">
        <v>3</v>
      </c>
      <c r="M1203">
        <v>5</v>
      </c>
    </row>
    <row r="1204" spans="1:13">
      <c r="A1204">
        <v>38</v>
      </c>
      <c r="B1204" t="s">
        <v>17</v>
      </c>
      <c r="C1204" t="s">
        <v>18</v>
      </c>
      <c r="D1204">
        <v>4</v>
      </c>
      <c r="E1204">
        <v>2</v>
      </c>
      <c r="F1204" t="s">
        <v>21</v>
      </c>
      <c r="G1204">
        <v>4</v>
      </c>
      <c r="H1204">
        <v>3</v>
      </c>
      <c r="I1204" t="s">
        <v>19</v>
      </c>
      <c r="J1204">
        <v>3306</v>
      </c>
      <c r="K1204">
        <v>7</v>
      </c>
      <c r="L1204">
        <v>2</v>
      </c>
      <c r="M1204">
        <v>0</v>
      </c>
    </row>
    <row r="1205" spans="1:13">
      <c r="A1205">
        <v>53</v>
      </c>
      <c r="B1205" t="s">
        <v>17</v>
      </c>
      <c r="C1205" t="s">
        <v>18</v>
      </c>
      <c r="D1205">
        <v>24</v>
      </c>
      <c r="E1205">
        <v>4</v>
      </c>
      <c r="F1205" t="s">
        <v>21</v>
      </c>
      <c r="G1205">
        <v>2</v>
      </c>
      <c r="H1205">
        <v>4</v>
      </c>
      <c r="I1205" t="s">
        <v>19</v>
      </c>
      <c r="J1205">
        <v>7005</v>
      </c>
      <c r="K1205">
        <v>3</v>
      </c>
      <c r="L1205">
        <v>3</v>
      </c>
      <c r="M1205">
        <v>4</v>
      </c>
    </row>
    <row r="1206" spans="1:13">
      <c r="A1206">
        <v>48</v>
      </c>
      <c r="B1206" t="s">
        <v>13</v>
      </c>
      <c r="C1206" t="s">
        <v>14</v>
      </c>
      <c r="D1206">
        <v>7</v>
      </c>
      <c r="E1206">
        <v>2</v>
      </c>
      <c r="F1206" t="s">
        <v>21</v>
      </c>
      <c r="G1206">
        <v>4</v>
      </c>
      <c r="H1206">
        <v>3</v>
      </c>
      <c r="I1206" t="s">
        <v>19</v>
      </c>
      <c r="J1206">
        <v>2655</v>
      </c>
      <c r="K1206">
        <v>2</v>
      </c>
      <c r="L1206">
        <v>3</v>
      </c>
      <c r="M1206">
        <v>9</v>
      </c>
    </row>
    <row r="1207" spans="1:13">
      <c r="A1207">
        <v>32</v>
      </c>
      <c r="B1207" t="s">
        <v>13</v>
      </c>
      <c r="C1207" t="s">
        <v>18</v>
      </c>
      <c r="D1207">
        <v>2</v>
      </c>
      <c r="E1207">
        <v>4</v>
      </c>
      <c r="F1207" t="s">
        <v>15</v>
      </c>
      <c r="G1207">
        <v>4</v>
      </c>
      <c r="H1207">
        <v>2</v>
      </c>
      <c r="I1207" t="s">
        <v>16</v>
      </c>
      <c r="J1207">
        <v>1393</v>
      </c>
      <c r="K1207">
        <v>1</v>
      </c>
      <c r="L1207">
        <v>3</v>
      </c>
      <c r="M1207">
        <v>1</v>
      </c>
    </row>
    <row r="1208" spans="1:13">
      <c r="A1208">
        <v>26</v>
      </c>
      <c r="B1208" t="s">
        <v>17</v>
      </c>
      <c r="C1208" t="s">
        <v>18</v>
      </c>
      <c r="D1208">
        <v>7</v>
      </c>
      <c r="E1208">
        <v>3</v>
      </c>
      <c r="F1208" t="s">
        <v>21</v>
      </c>
      <c r="G1208">
        <v>4</v>
      </c>
      <c r="H1208">
        <v>4</v>
      </c>
      <c r="I1208" t="s">
        <v>16</v>
      </c>
      <c r="J1208">
        <v>2570</v>
      </c>
      <c r="K1208">
        <v>1</v>
      </c>
      <c r="L1208">
        <v>3</v>
      </c>
      <c r="M1208">
        <v>7</v>
      </c>
    </row>
    <row r="1209" spans="1:13">
      <c r="A1209">
        <v>55</v>
      </c>
      <c r="B1209" t="s">
        <v>17</v>
      </c>
      <c r="C1209" t="s">
        <v>18</v>
      </c>
      <c r="D1209">
        <v>22</v>
      </c>
      <c r="E1209">
        <v>3</v>
      </c>
      <c r="F1209" t="s">
        <v>24</v>
      </c>
      <c r="G1209">
        <v>1</v>
      </c>
      <c r="H1209">
        <v>2</v>
      </c>
      <c r="I1209" t="s">
        <v>22</v>
      </c>
      <c r="J1209">
        <v>3537</v>
      </c>
      <c r="K1209">
        <v>5</v>
      </c>
      <c r="L1209">
        <v>3</v>
      </c>
      <c r="M1209">
        <v>4</v>
      </c>
    </row>
    <row r="1210" spans="1:13">
      <c r="A1210">
        <v>34</v>
      </c>
      <c r="B1210" t="s">
        <v>17</v>
      </c>
      <c r="C1210" t="s">
        <v>18</v>
      </c>
      <c r="D1210">
        <v>5</v>
      </c>
      <c r="E1210">
        <v>2</v>
      </c>
      <c r="F1210" t="s">
        <v>21</v>
      </c>
      <c r="G1210">
        <v>2</v>
      </c>
      <c r="H1210">
        <v>4</v>
      </c>
      <c r="I1210" t="s">
        <v>19</v>
      </c>
      <c r="J1210">
        <v>3986</v>
      </c>
      <c r="K1210">
        <v>1</v>
      </c>
      <c r="L1210">
        <v>4</v>
      </c>
      <c r="M1210">
        <v>15</v>
      </c>
    </row>
    <row r="1211" spans="1:13">
      <c r="A1211">
        <v>60</v>
      </c>
      <c r="B1211" t="s">
        <v>17</v>
      </c>
      <c r="C1211" t="s">
        <v>18</v>
      </c>
      <c r="D1211">
        <v>1</v>
      </c>
      <c r="E1211">
        <v>4</v>
      </c>
      <c r="F1211" t="s">
        <v>21</v>
      </c>
      <c r="G1211">
        <v>3</v>
      </c>
      <c r="H1211">
        <v>4</v>
      </c>
      <c r="I1211" t="s">
        <v>22</v>
      </c>
      <c r="J1211">
        <v>10883</v>
      </c>
      <c r="K1211">
        <v>3</v>
      </c>
      <c r="L1211">
        <v>4</v>
      </c>
      <c r="M1211">
        <v>1</v>
      </c>
    </row>
    <row r="1212" spans="1:13">
      <c r="A1212">
        <v>33</v>
      </c>
      <c r="B1212" t="s">
        <v>17</v>
      </c>
      <c r="C1212" t="s">
        <v>18</v>
      </c>
      <c r="D1212">
        <v>21</v>
      </c>
      <c r="E1212">
        <v>3</v>
      </c>
      <c r="F1212" t="s">
        <v>21</v>
      </c>
      <c r="G1212">
        <v>2</v>
      </c>
      <c r="H1212">
        <v>2</v>
      </c>
      <c r="I1212" t="s">
        <v>19</v>
      </c>
      <c r="J1212">
        <v>2028</v>
      </c>
      <c r="K1212">
        <v>1</v>
      </c>
      <c r="L1212">
        <v>3</v>
      </c>
      <c r="M1212">
        <v>14</v>
      </c>
    </row>
    <row r="1213" spans="1:13">
      <c r="A1213">
        <v>37</v>
      </c>
      <c r="B1213" t="s">
        <v>17</v>
      </c>
      <c r="C1213" t="s">
        <v>14</v>
      </c>
      <c r="D1213">
        <v>1</v>
      </c>
      <c r="E1213">
        <v>4</v>
      </c>
      <c r="F1213" t="s">
        <v>21</v>
      </c>
      <c r="G1213">
        <v>3</v>
      </c>
      <c r="H1213">
        <v>4</v>
      </c>
      <c r="I1213" t="s">
        <v>22</v>
      </c>
      <c r="J1213">
        <v>9525</v>
      </c>
      <c r="K1213">
        <v>1</v>
      </c>
      <c r="L1213">
        <v>2</v>
      </c>
      <c r="M1213">
        <v>6</v>
      </c>
    </row>
    <row r="1214" spans="1:13">
      <c r="A1214">
        <v>34</v>
      </c>
      <c r="B1214" t="s">
        <v>17</v>
      </c>
      <c r="C1214" t="s">
        <v>18</v>
      </c>
      <c r="D1214">
        <v>19</v>
      </c>
      <c r="E1214">
        <v>3</v>
      </c>
      <c r="F1214" t="s">
        <v>15</v>
      </c>
      <c r="G1214">
        <v>2</v>
      </c>
      <c r="H1214">
        <v>4</v>
      </c>
      <c r="I1214" t="s">
        <v>19</v>
      </c>
      <c r="J1214">
        <v>2929</v>
      </c>
      <c r="K1214">
        <v>1</v>
      </c>
      <c r="L1214">
        <v>3</v>
      </c>
      <c r="M1214">
        <v>10</v>
      </c>
    </row>
    <row r="1215" spans="1:13">
      <c r="A1215">
        <v>23</v>
      </c>
      <c r="B1215" t="s">
        <v>13</v>
      </c>
      <c r="C1215" t="s">
        <v>14</v>
      </c>
      <c r="D1215">
        <v>7</v>
      </c>
      <c r="E1215">
        <v>3</v>
      </c>
      <c r="F1215" t="s">
        <v>15</v>
      </c>
      <c r="G1215">
        <v>3</v>
      </c>
      <c r="H1215">
        <v>4</v>
      </c>
      <c r="I1215" t="s">
        <v>22</v>
      </c>
      <c r="J1215">
        <v>2275</v>
      </c>
      <c r="K1215">
        <v>1</v>
      </c>
      <c r="L1215">
        <v>3</v>
      </c>
      <c r="M1215">
        <v>3</v>
      </c>
    </row>
    <row r="1216" spans="1:13">
      <c r="A1216">
        <v>44</v>
      </c>
      <c r="B1216" t="s">
        <v>17</v>
      </c>
      <c r="C1216" t="s">
        <v>18</v>
      </c>
      <c r="D1216">
        <v>2</v>
      </c>
      <c r="E1216">
        <v>3</v>
      </c>
      <c r="F1216" t="s">
        <v>15</v>
      </c>
      <c r="G1216">
        <v>3</v>
      </c>
      <c r="H1216">
        <v>4</v>
      </c>
      <c r="I1216" t="s">
        <v>19</v>
      </c>
      <c r="J1216">
        <v>7879</v>
      </c>
      <c r="K1216">
        <v>1</v>
      </c>
      <c r="L1216">
        <v>3</v>
      </c>
      <c r="M1216">
        <v>8</v>
      </c>
    </row>
    <row r="1217" spans="1:13">
      <c r="A1217">
        <v>35</v>
      </c>
      <c r="B1217" t="s">
        <v>17</v>
      </c>
      <c r="C1217" t="s">
        <v>18</v>
      </c>
      <c r="D1217">
        <v>2</v>
      </c>
      <c r="E1217">
        <v>4</v>
      </c>
      <c r="F1217" t="s">
        <v>21</v>
      </c>
      <c r="G1217">
        <v>1</v>
      </c>
      <c r="H1217">
        <v>4</v>
      </c>
      <c r="I1217" t="s">
        <v>16</v>
      </c>
      <c r="J1217">
        <v>4930</v>
      </c>
      <c r="K1217">
        <v>0</v>
      </c>
      <c r="L1217">
        <v>4</v>
      </c>
      <c r="M1217">
        <v>5</v>
      </c>
    </row>
    <row r="1218" spans="1:13">
      <c r="A1218">
        <v>43</v>
      </c>
      <c r="B1218" t="s">
        <v>17</v>
      </c>
      <c r="C1218" t="s">
        <v>14</v>
      </c>
      <c r="D1218">
        <v>2</v>
      </c>
      <c r="E1218">
        <v>3</v>
      </c>
      <c r="F1218" t="s">
        <v>21</v>
      </c>
      <c r="G1218">
        <v>4</v>
      </c>
      <c r="H1218">
        <v>4</v>
      </c>
      <c r="I1218" t="s">
        <v>19</v>
      </c>
      <c r="J1218">
        <v>7847</v>
      </c>
      <c r="K1218">
        <v>1</v>
      </c>
      <c r="L1218">
        <v>3</v>
      </c>
      <c r="M1218">
        <v>10</v>
      </c>
    </row>
    <row r="1219" spans="1:13">
      <c r="A1219">
        <v>24</v>
      </c>
      <c r="B1219" t="s">
        <v>17</v>
      </c>
      <c r="C1219" t="s">
        <v>18</v>
      </c>
      <c r="D1219">
        <v>9</v>
      </c>
      <c r="E1219">
        <v>3</v>
      </c>
      <c r="F1219" t="s">
        <v>21</v>
      </c>
      <c r="G1219">
        <v>3</v>
      </c>
      <c r="H1219">
        <v>3</v>
      </c>
      <c r="I1219" t="s">
        <v>19</v>
      </c>
      <c r="J1219">
        <v>4401</v>
      </c>
      <c r="K1219">
        <v>1</v>
      </c>
      <c r="L1219">
        <v>3</v>
      </c>
      <c r="M1219">
        <v>5</v>
      </c>
    </row>
    <row r="1220" spans="1:13">
      <c r="A1220">
        <v>41</v>
      </c>
      <c r="B1220" t="s">
        <v>17</v>
      </c>
      <c r="C1220" t="s">
        <v>14</v>
      </c>
      <c r="D1220">
        <v>6</v>
      </c>
      <c r="E1220">
        <v>3</v>
      </c>
      <c r="F1220" t="s">
        <v>23</v>
      </c>
      <c r="G1220">
        <v>4</v>
      </c>
      <c r="H1220">
        <v>3</v>
      </c>
      <c r="I1220" t="s">
        <v>16</v>
      </c>
      <c r="J1220">
        <v>9241</v>
      </c>
      <c r="K1220">
        <v>1</v>
      </c>
      <c r="L1220">
        <v>3</v>
      </c>
      <c r="M1220">
        <v>10</v>
      </c>
    </row>
    <row r="1221" spans="1:13">
      <c r="A1221">
        <v>29</v>
      </c>
      <c r="B1221" t="s">
        <v>17</v>
      </c>
      <c r="C1221" t="s">
        <v>18</v>
      </c>
      <c r="D1221">
        <v>9</v>
      </c>
      <c r="E1221">
        <v>4</v>
      </c>
      <c r="F1221" t="s">
        <v>21</v>
      </c>
      <c r="G1221">
        <v>4</v>
      </c>
      <c r="H1221">
        <v>3</v>
      </c>
      <c r="I1221" t="s">
        <v>19</v>
      </c>
      <c r="J1221">
        <v>2974</v>
      </c>
      <c r="K1221">
        <v>9</v>
      </c>
      <c r="L1221">
        <v>3</v>
      </c>
      <c r="M1221">
        <v>5</v>
      </c>
    </row>
    <row r="1222" spans="1:13">
      <c r="A1222">
        <v>36</v>
      </c>
      <c r="B1222" t="s">
        <v>17</v>
      </c>
      <c r="C1222" t="s">
        <v>14</v>
      </c>
      <c r="D1222">
        <v>2</v>
      </c>
      <c r="E1222">
        <v>4</v>
      </c>
      <c r="F1222" t="s">
        <v>15</v>
      </c>
      <c r="G1222">
        <v>3</v>
      </c>
      <c r="H1222">
        <v>4</v>
      </c>
      <c r="I1222" t="s">
        <v>16</v>
      </c>
      <c r="J1222">
        <v>4502</v>
      </c>
      <c r="K1222">
        <v>3</v>
      </c>
      <c r="L1222">
        <v>2</v>
      </c>
      <c r="M1222">
        <v>13</v>
      </c>
    </row>
    <row r="1223" spans="1:13">
      <c r="A1223">
        <v>45</v>
      </c>
      <c r="B1223" t="s">
        <v>17</v>
      </c>
      <c r="C1223" t="s">
        <v>18</v>
      </c>
      <c r="D1223">
        <v>1</v>
      </c>
      <c r="E1223">
        <v>1</v>
      </c>
      <c r="F1223" t="s">
        <v>15</v>
      </c>
      <c r="G1223">
        <v>3</v>
      </c>
      <c r="H1223">
        <v>3</v>
      </c>
      <c r="I1223" t="s">
        <v>19</v>
      </c>
      <c r="J1223">
        <v>10748</v>
      </c>
      <c r="K1223">
        <v>3</v>
      </c>
      <c r="L1223">
        <v>2</v>
      </c>
      <c r="M1223">
        <v>23</v>
      </c>
    </row>
    <row r="1224" spans="1:13">
      <c r="A1224">
        <v>24</v>
      </c>
      <c r="B1224" t="s">
        <v>13</v>
      </c>
      <c r="C1224" t="s">
        <v>25</v>
      </c>
      <c r="D1224">
        <v>22</v>
      </c>
      <c r="E1224">
        <v>1</v>
      </c>
      <c r="F1224" t="s">
        <v>25</v>
      </c>
      <c r="G1224">
        <v>4</v>
      </c>
      <c r="H1224">
        <v>3</v>
      </c>
      <c r="I1224" t="s">
        <v>19</v>
      </c>
      <c r="J1224">
        <v>1555</v>
      </c>
      <c r="K1224">
        <v>1</v>
      </c>
      <c r="L1224">
        <v>3</v>
      </c>
      <c r="M1224">
        <v>1</v>
      </c>
    </row>
    <row r="1225" spans="1:13">
      <c r="A1225">
        <v>47</v>
      </c>
      <c r="B1225" t="s">
        <v>13</v>
      </c>
      <c r="C1225" t="s">
        <v>14</v>
      </c>
      <c r="D1225">
        <v>9</v>
      </c>
      <c r="E1225">
        <v>3</v>
      </c>
      <c r="F1225" t="s">
        <v>15</v>
      </c>
      <c r="G1225">
        <v>3</v>
      </c>
      <c r="H1225">
        <v>3</v>
      </c>
      <c r="I1225" t="s">
        <v>19</v>
      </c>
      <c r="J1225">
        <v>12936</v>
      </c>
      <c r="K1225">
        <v>7</v>
      </c>
      <c r="L1225">
        <v>1</v>
      </c>
      <c r="M1225">
        <v>23</v>
      </c>
    </row>
    <row r="1226" spans="1:13">
      <c r="A1226">
        <v>26</v>
      </c>
      <c r="B1226" t="s">
        <v>17</v>
      </c>
      <c r="C1226" t="s">
        <v>18</v>
      </c>
      <c r="D1226">
        <v>17</v>
      </c>
      <c r="E1226">
        <v>4</v>
      </c>
      <c r="F1226" t="s">
        <v>21</v>
      </c>
      <c r="G1226">
        <v>4</v>
      </c>
      <c r="H1226">
        <v>3</v>
      </c>
      <c r="I1226" t="s">
        <v>19</v>
      </c>
      <c r="J1226">
        <v>2305</v>
      </c>
      <c r="K1226">
        <v>1</v>
      </c>
      <c r="L1226">
        <v>4</v>
      </c>
      <c r="M1226">
        <v>3</v>
      </c>
    </row>
    <row r="1227" spans="1:13">
      <c r="A1227">
        <v>45</v>
      </c>
      <c r="B1227" t="s">
        <v>17</v>
      </c>
      <c r="C1227" t="s">
        <v>18</v>
      </c>
      <c r="D1227">
        <v>28</v>
      </c>
      <c r="E1227">
        <v>2</v>
      </c>
      <c r="F1227" t="s">
        <v>24</v>
      </c>
      <c r="G1227">
        <v>4</v>
      </c>
      <c r="H1227">
        <v>2</v>
      </c>
      <c r="I1227" t="s">
        <v>16</v>
      </c>
      <c r="J1227">
        <v>16704</v>
      </c>
      <c r="K1227">
        <v>1</v>
      </c>
      <c r="L1227">
        <v>3</v>
      </c>
      <c r="M1227">
        <v>21</v>
      </c>
    </row>
    <row r="1228" spans="1:13">
      <c r="A1228">
        <v>32</v>
      </c>
      <c r="B1228" t="s">
        <v>17</v>
      </c>
      <c r="C1228" t="s">
        <v>18</v>
      </c>
      <c r="D1228">
        <v>10</v>
      </c>
      <c r="E1228">
        <v>3</v>
      </c>
      <c r="F1228" t="s">
        <v>15</v>
      </c>
      <c r="G1228">
        <v>1</v>
      </c>
      <c r="H1228">
        <v>3</v>
      </c>
      <c r="I1228" t="s">
        <v>19</v>
      </c>
      <c r="J1228">
        <v>3433</v>
      </c>
      <c r="K1228">
        <v>6</v>
      </c>
      <c r="L1228">
        <v>2</v>
      </c>
      <c r="M1228">
        <v>5</v>
      </c>
    </row>
    <row r="1229" spans="1:13">
      <c r="A1229">
        <v>31</v>
      </c>
      <c r="B1229" t="s">
        <v>17</v>
      </c>
      <c r="C1229" t="s">
        <v>18</v>
      </c>
      <c r="D1229">
        <v>2</v>
      </c>
      <c r="E1229">
        <v>4</v>
      </c>
      <c r="F1229" t="s">
        <v>15</v>
      </c>
      <c r="G1229">
        <v>2</v>
      </c>
      <c r="H1229">
        <v>3</v>
      </c>
      <c r="I1229" t="s">
        <v>19</v>
      </c>
      <c r="J1229">
        <v>3477</v>
      </c>
      <c r="K1229">
        <v>1</v>
      </c>
      <c r="L1229">
        <v>4</v>
      </c>
      <c r="M1229">
        <v>5</v>
      </c>
    </row>
    <row r="1230" spans="1:13">
      <c r="A1230">
        <v>41</v>
      </c>
      <c r="B1230" t="s">
        <v>17</v>
      </c>
      <c r="C1230" t="s">
        <v>25</v>
      </c>
      <c r="D1230">
        <v>4</v>
      </c>
      <c r="E1230">
        <v>3</v>
      </c>
      <c r="F1230" t="s">
        <v>25</v>
      </c>
      <c r="G1230">
        <v>3</v>
      </c>
      <c r="H1230">
        <v>2</v>
      </c>
      <c r="I1230" t="s">
        <v>19</v>
      </c>
      <c r="J1230">
        <v>6430</v>
      </c>
      <c r="K1230">
        <v>6</v>
      </c>
      <c r="L1230">
        <v>3</v>
      </c>
      <c r="M1230">
        <v>3</v>
      </c>
    </row>
    <row r="1231" spans="1:13">
      <c r="A1231">
        <v>40</v>
      </c>
      <c r="B1231" t="s">
        <v>17</v>
      </c>
      <c r="C1231" t="s">
        <v>18</v>
      </c>
      <c r="D1231">
        <v>8</v>
      </c>
      <c r="E1231">
        <v>2</v>
      </c>
      <c r="F1231" t="s">
        <v>15</v>
      </c>
      <c r="G1231">
        <v>2</v>
      </c>
      <c r="H1231">
        <v>1</v>
      </c>
      <c r="I1231" t="s">
        <v>19</v>
      </c>
      <c r="J1231">
        <v>6516</v>
      </c>
      <c r="K1231">
        <v>2</v>
      </c>
      <c r="L1231">
        <v>3</v>
      </c>
      <c r="M1231">
        <v>1</v>
      </c>
    </row>
    <row r="1232" spans="1:13">
      <c r="A1232">
        <v>24</v>
      </c>
      <c r="B1232" t="s">
        <v>17</v>
      </c>
      <c r="C1232" t="s">
        <v>18</v>
      </c>
      <c r="D1232">
        <v>29</v>
      </c>
      <c r="E1232">
        <v>1</v>
      </c>
      <c r="F1232" t="s">
        <v>21</v>
      </c>
      <c r="G1232">
        <v>2</v>
      </c>
      <c r="H1232">
        <v>1</v>
      </c>
      <c r="I1232" t="s">
        <v>22</v>
      </c>
      <c r="J1232">
        <v>3907</v>
      </c>
      <c r="K1232">
        <v>1</v>
      </c>
      <c r="L1232">
        <v>4</v>
      </c>
      <c r="M1232">
        <v>6</v>
      </c>
    </row>
    <row r="1233" spans="1:13">
      <c r="A1233">
        <v>46</v>
      </c>
      <c r="B1233" t="s">
        <v>17</v>
      </c>
      <c r="C1233" t="s">
        <v>18</v>
      </c>
      <c r="D1233">
        <v>13</v>
      </c>
      <c r="E1233">
        <v>4</v>
      </c>
      <c r="F1233" t="s">
        <v>15</v>
      </c>
      <c r="G1233">
        <v>3</v>
      </c>
      <c r="H1233">
        <v>2</v>
      </c>
      <c r="I1233" t="s">
        <v>16</v>
      </c>
      <c r="J1233">
        <v>5562</v>
      </c>
      <c r="K1233">
        <v>6</v>
      </c>
      <c r="L1233">
        <v>3</v>
      </c>
      <c r="M1233">
        <v>10</v>
      </c>
    </row>
    <row r="1234" spans="1:13">
      <c r="A1234">
        <v>35</v>
      </c>
      <c r="B1234" t="s">
        <v>17</v>
      </c>
      <c r="C1234" t="s">
        <v>18</v>
      </c>
      <c r="D1234">
        <v>27</v>
      </c>
      <c r="E1234">
        <v>4</v>
      </c>
      <c r="F1234" t="s">
        <v>15</v>
      </c>
      <c r="G1234">
        <v>4</v>
      </c>
      <c r="H1234">
        <v>3</v>
      </c>
      <c r="I1234" t="s">
        <v>19</v>
      </c>
      <c r="J1234">
        <v>6883</v>
      </c>
      <c r="K1234">
        <v>2</v>
      </c>
      <c r="L1234">
        <v>3</v>
      </c>
      <c r="M1234">
        <v>7</v>
      </c>
    </row>
    <row r="1235" spans="1:13">
      <c r="A1235">
        <v>30</v>
      </c>
      <c r="B1235" t="s">
        <v>17</v>
      </c>
      <c r="C1235" t="s">
        <v>18</v>
      </c>
      <c r="D1235">
        <v>16</v>
      </c>
      <c r="E1235">
        <v>1</v>
      </c>
      <c r="F1235" t="s">
        <v>15</v>
      </c>
      <c r="G1235">
        <v>2</v>
      </c>
      <c r="H1235">
        <v>4</v>
      </c>
      <c r="I1235" t="s">
        <v>19</v>
      </c>
      <c r="J1235">
        <v>2862</v>
      </c>
      <c r="K1235">
        <v>1</v>
      </c>
      <c r="L1235">
        <v>2</v>
      </c>
      <c r="M1235">
        <v>10</v>
      </c>
    </row>
    <row r="1236" spans="1:13">
      <c r="A1236">
        <v>47</v>
      </c>
      <c r="B1236" t="s">
        <v>17</v>
      </c>
      <c r="C1236" t="s">
        <v>14</v>
      </c>
      <c r="D1236">
        <v>2</v>
      </c>
      <c r="E1236">
        <v>4</v>
      </c>
      <c r="F1236" t="s">
        <v>23</v>
      </c>
      <c r="G1236">
        <v>3</v>
      </c>
      <c r="H1236">
        <v>2</v>
      </c>
      <c r="I1236" t="s">
        <v>19</v>
      </c>
      <c r="J1236">
        <v>4978</v>
      </c>
      <c r="K1236">
        <v>7</v>
      </c>
      <c r="L1236">
        <v>1</v>
      </c>
      <c r="M1236">
        <v>1</v>
      </c>
    </row>
    <row r="1237" spans="1:13">
      <c r="A1237">
        <v>46</v>
      </c>
      <c r="B1237" t="s">
        <v>17</v>
      </c>
      <c r="C1237" t="s">
        <v>14</v>
      </c>
      <c r="D1237">
        <v>2</v>
      </c>
      <c r="E1237">
        <v>3</v>
      </c>
      <c r="F1237" t="s">
        <v>15</v>
      </c>
      <c r="G1237">
        <v>3</v>
      </c>
      <c r="H1237">
        <v>4</v>
      </c>
      <c r="I1237" t="s">
        <v>22</v>
      </c>
      <c r="J1237">
        <v>10368</v>
      </c>
      <c r="K1237">
        <v>4</v>
      </c>
      <c r="L1237">
        <v>2</v>
      </c>
      <c r="M1237">
        <v>10</v>
      </c>
    </row>
    <row r="1238" spans="1:13">
      <c r="A1238">
        <v>36</v>
      </c>
      <c r="B1238" t="s">
        <v>13</v>
      </c>
      <c r="C1238" t="s">
        <v>14</v>
      </c>
      <c r="D1238">
        <v>13</v>
      </c>
      <c r="E1238">
        <v>5</v>
      </c>
      <c r="F1238" t="s">
        <v>23</v>
      </c>
      <c r="G1238">
        <v>2</v>
      </c>
      <c r="H1238">
        <v>1</v>
      </c>
      <c r="I1238" t="s">
        <v>22</v>
      </c>
      <c r="J1238">
        <v>6134</v>
      </c>
      <c r="K1238">
        <v>5</v>
      </c>
      <c r="L1238">
        <v>3</v>
      </c>
      <c r="M1238">
        <v>2</v>
      </c>
    </row>
    <row r="1239" spans="1:13">
      <c r="A1239">
        <v>32</v>
      </c>
      <c r="B1239" t="s">
        <v>13</v>
      </c>
      <c r="C1239" t="s">
        <v>14</v>
      </c>
      <c r="D1239">
        <v>1</v>
      </c>
      <c r="E1239">
        <v>2</v>
      </c>
      <c r="F1239" t="s">
        <v>15</v>
      </c>
      <c r="G1239">
        <v>1</v>
      </c>
      <c r="H1239">
        <v>2</v>
      </c>
      <c r="I1239" t="s">
        <v>16</v>
      </c>
      <c r="J1239">
        <v>6735</v>
      </c>
      <c r="K1239">
        <v>6</v>
      </c>
      <c r="L1239">
        <v>3</v>
      </c>
      <c r="M1239">
        <v>0</v>
      </c>
    </row>
    <row r="1240" spans="1:13">
      <c r="A1240">
        <v>23</v>
      </c>
      <c r="B1240" t="s">
        <v>17</v>
      </c>
      <c r="C1240" t="s">
        <v>18</v>
      </c>
      <c r="D1240">
        <v>4</v>
      </c>
      <c r="E1240">
        <v>1</v>
      </c>
      <c r="F1240" t="s">
        <v>21</v>
      </c>
      <c r="G1240">
        <v>3</v>
      </c>
      <c r="H1240">
        <v>2</v>
      </c>
      <c r="I1240" t="s">
        <v>16</v>
      </c>
      <c r="J1240">
        <v>3295</v>
      </c>
      <c r="K1240">
        <v>1</v>
      </c>
      <c r="L1240">
        <v>1</v>
      </c>
      <c r="M1240">
        <v>3</v>
      </c>
    </row>
    <row r="1241" spans="1:13">
      <c r="A1241">
        <v>31</v>
      </c>
      <c r="B1241" t="s">
        <v>17</v>
      </c>
      <c r="C1241" t="s">
        <v>18</v>
      </c>
      <c r="D1241">
        <v>24</v>
      </c>
      <c r="E1241">
        <v>1</v>
      </c>
      <c r="F1241" t="s">
        <v>24</v>
      </c>
      <c r="G1241">
        <v>4</v>
      </c>
      <c r="H1241">
        <v>4</v>
      </c>
      <c r="I1241" t="s">
        <v>16</v>
      </c>
      <c r="J1241">
        <v>5238</v>
      </c>
      <c r="K1241">
        <v>2</v>
      </c>
      <c r="L1241">
        <v>2</v>
      </c>
      <c r="M1241">
        <v>5</v>
      </c>
    </row>
    <row r="1242" spans="1:13">
      <c r="A1242">
        <v>39</v>
      </c>
      <c r="B1242" t="s">
        <v>17</v>
      </c>
      <c r="C1242" t="s">
        <v>18</v>
      </c>
      <c r="D1242">
        <v>1</v>
      </c>
      <c r="E1242">
        <v>3</v>
      </c>
      <c r="F1242" t="s">
        <v>15</v>
      </c>
      <c r="G1242">
        <v>4</v>
      </c>
      <c r="H1242">
        <v>4</v>
      </c>
      <c r="I1242" t="s">
        <v>19</v>
      </c>
      <c r="J1242">
        <v>6472</v>
      </c>
      <c r="K1242">
        <v>1</v>
      </c>
      <c r="L1242">
        <v>3</v>
      </c>
      <c r="M1242">
        <v>9</v>
      </c>
    </row>
    <row r="1243" spans="1:13">
      <c r="A1243">
        <v>32</v>
      </c>
      <c r="B1243" t="s">
        <v>17</v>
      </c>
      <c r="C1243" t="s">
        <v>14</v>
      </c>
      <c r="D1243">
        <v>19</v>
      </c>
      <c r="E1243">
        <v>3</v>
      </c>
      <c r="F1243" t="s">
        <v>15</v>
      </c>
      <c r="G1243">
        <v>4</v>
      </c>
      <c r="H1243">
        <v>3</v>
      </c>
      <c r="I1243" t="s">
        <v>19</v>
      </c>
      <c r="J1243">
        <v>9610</v>
      </c>
      <c r="K1243">
        <v>3</v>
      </c>
      <c r="L1243">
        <v>1</v>
      </c>
      <c r="M1243">
        <v>4</v>
      </c>
    </row>
    <row r="1244" spans="1:13">
      <c r="A1244">
        <v>40</v>
      </c>
      <c r="B1244" t="s">
        <v>17</v>
      </c>
      <c r="C1244" t="s">
        <v>14</v>
      </c>
      <c r="D1244">
        <v>7</v>
      </c>
      <c r="E1244">
        <v>4</v>
      </c>
      <c r="F1244" t="s">
        <v>21</v>
      </c>
      <c r="G1244">
        <v>2</v>
      </c>
      <c r="H1244">
        <v>2</v>
      </c>
      <c r="I1244" t="s">
        <v>16</v>
      </c>
      <c r="J1244">
        <v>19833</v>
      </c>
      <c r="K1244">
        <v>1</v>
      </c>
      <c r="L1244">
        <v>2</v>
      </c>
      <c r="M1244">
        <v>21</v>
      </c>
    </row>
    <row r="1245" spans="1:13">
      <c r="A1245">
        <v>45</v>
      </c>
      <c r="B1245" t="s">
        <v>17</v>
      </c>
      <c r="C1245" t="s">
        <v>25</v>
      </c>
      <c r="D1245">
        <v>4</v>
      </c>
      <c r="E1245">
        <v>3</v>
      </c>
      <c r="F1245" t="s">
        <v>15</v>
      </c>
      <c r="G1245">
        <v>3</v>
      </c>
      <c r="H1245">
        <v>3</v>
      </c>
      <c r="I1245" t="s">
        <v>19</v>
      </c>
      <c r="J1245">
        <v>9756</v>
      </c>
      <c r="K1245">
        <v>4</v>
      </c>
      <c r="L1245">
        <v>4</v>
      </c>
      <c r="M1245">
        <v>5</v>
      </c>
    </row>
    <row r="1246" spans="1:13">
      <c r="A1246">
        <v>30</v>
      </c>
      <c r="B1246" t="s">
        <v>17</v>
      </c>
      <c r="C1246" t="s">
        <v>18</v>
      </c>
      <c r="D1246">
        <v>2</v>
      </c>
      <c r="E1246">
        <v>4</v>
      </c>
      <c r="F1246" t="s">
        <v>24</v>
      </c>
      <c r="G1246">
        <v>4</v>
      </c>
      <c r="H1246">
        <v>1</v>
      </c>
      <c r="I1246" t="s">
        <v>16</v>
      </c>
      <c r="J1246">
        <v>4968</v>
      </c>
      <c r="K1246">
        <v>0</v>
      </c>
      <c r="L1246">
        <v>3</v>
      </c>
      <c r="M1246">
        <v>9</v>
      </c>
    </row>
    <row r="1247" spans="1:13">
      <c r="A1247">
        <v>24</v>
      </c>
      <c r="B1247" t="s">
        <v>17</v>
      </c>
      <c r="C1247" t="s">
        <v>25</v>
      </c>
      <c r="D1247">
        <v>10</v>
      </c>
      <c r="E1247">
        <v>3</v>
      </c>
      <c r="F1247" t="s">
        <v>21</v>
      </c>
      <c r="G1247">
        <v>1</v>
      </c>
      <c r="H1247">
        <v>4</v>
      </c>
      <c r="I1247" t="s">
        <v>19</v>
      </c>
      <c r="J1247">
        <v>2145</v>
      </c>
      <c r="K1247">
        <v>0</v>
      </c>
      <c r="L1247">
        <v>3</v>
      </c>
      <c r="M1247">
        <v>2</v>
      </c>
    </row>
    <row r="1248" spans="1:13">
      <c r="A1248">
        <v>30</v>
      </c>
      <c r="B1248" t="s">
        <v>13</v>
      </c>
      <c r="C1248" t="s">
        <v>25</v>
      </c>
      <c r="D1248">
        <v>8</v>
      </c>
      <c r="E1248">
        <v>3</v>
      </c>
      <c r="F1248" t="s">
        <v>25</v>
      </c>
      <c r="G1248">
        <v>3</v>
      </c>
      <c r="H1248">
        <v>4</v>
      </c>
      <c r="I1248" t="s">
        <v>22</v>
      </c>
      <c r="J1248">
        <v>2180</v>
      </c>
      <c r="K1248">
        <v>6</v>
      </c>
      <c r="L1248">
        <v>2</v>
      </c>
      <c r="M1248">
        <v>4</v>
      </c>
    </row>
    <row r="1249" spans="1:13">
      <c r="A1249">
        <v>31</v>
      </c>
      <c r="B1249" t="s">
        <v>17</v>
      </c>
      <c r="C1249" t="s">
        <v>14</v>
      </c>
      <c r="D1249">
        <v>5</v>
      </c>
      <c r="E1249">
        <v>3</v>
      </c>
      <c r="F1249" t="s">
        <v>24</v>
      </c>
      <c r="G1249">
        <v>1</v>
      </c>
      <c r="H1249">
        <v>3</v>
      </c>
      <c r="I1249" t="s">
        <v>19</v>
      </c>
      <c r="J1249">
        <v>8346</v>
      </c>
      <c r="K1249">
        <v>1</v>
      </c>
      <c r="L1249">
        <v>3</v>
      </c>
      <c r="M1249">
        <v>5</v>
      </c>
    </row>
    <row r="1250" spans="1:13">
      <c r="A1250">
        <v>27</v>
      </c>
      <c r="B1250" t="s">
        <v>17</v>
      </c>
      <c r="C1250" t="s">
        <v>18</v>
      </c>
      <c r="D1250">
        <v>8</v>
      </c>
      <c r="E1250">
        <v>3</v>
      </c>
      <c r="F1250" t="s">
        <v>21</v>
      </c>
      <c r="G1250">
        <v>3</v>
      </c>
      <c r="H1250">
        <v>4</v>
      </c>
      <c r="I1250" t="s">
        <v>16</v>
      </c>
      <c r="J1250">
        <v>3445</v>
      </c>
      <c r="K1250">
        <v>1</v>
      </c>
      <c r="L1250">
        <v>2</v>
      </c>
      <c r="M1250">
        <v>6</v>
      </c>
    </row>
    <row r="1251" spans="1:13">
      <c r="A1251">
        <v>29</v>
      </c>
      <c r="B1251" t="s">
        <v>13</v>
      </c>
      <c r="C1251" t="s">
        <v>14</v>
      </c>
      <c r="D1251">
        <v>9</v>
      </c>
      <c r="E1251">
        <v>3</v>
      </c>
      <c r="F1251" t="s">
        <v>23</v>
      </c>
      <c r="G1251">
        <v>2</v>
      </c>
      <c r="H1251">
        <v>2</v>
      </c>
      <c r="I1251" t="s">
        <v>16</v>
      </c>
      <c r="J1251">
        <v>2760</v>
      </c>
      <c r="K1251">
        <v>1</v>
      </c>
      <c r="L1251">
        <v>3</v>
      </c>
      <c r="M1251">
        <v>2</v>
      </c>
    </row>
    <row r="1252" spans="1:13">
      <c r="A1252">
        <v>29</v>
      </c>
      <c r="B1252" t="s">
        <v>17</v>
      </c>
      <c r="C1252" t="s">
        <v>18</v>
      </c>
      <c r="D1252">
        <v>1</v>
      </c>
      <c r="E1252">
        <v>3</v>
      </c>
      <c r="F1252" t="s">
        <v>15</v>
      </c>
      <c r="G1252">
        <v>4</v>
      </c>
      <c r="H1252">
        <v>3</v>
      </c>
      <c r="I1252" t="s">
        <v>16</v>
      </c>
      <c r="J1252">
        <v>6294</v>
      </c>
      <c r="K1252">
        <v>8</v>
      </c>
      <c r="L1252">
        <v>4</v>
      </c>
      <c r="M1252">
        <v>3</v>
      </c>
    </row>
    <row r="1253" spans="1:13">
      <c r="A1253">
        <v>30</v>
      </c>
      <c r="B1253" t="s">
        <v>17</v>
      </c>
      <c r="C1253" t="s">
        <v>14</v>
      </c>
      <c r="D1253">
        <v>15</v>
      </c>
      <c r="E1253">
        <v>2</v>
      </c>
      <c r="F1253" t="s">
        <v>23</v>
      </c>
      <c r="G1253">
        <v>3</v>
      </c>
      <c r="H1253">
        <v>1</v>
      </c>
      <c r="I1253" t="s">
        <v>22</v>
      </c>
      <c r="J1253">
        <v>7140</v>
      </c>
      <c r="K1253">
        <v>2</v>
      </c>
      <c r="L1253">
        <v>3</v>
      </c>
      <c r="M1253">
        <v>7</v>
      </c>
    </row>
    <row r="1254" spans="1:13">
      <c r="A1254">
        <v>34</v>
      </c>
      <c r="B1254" t="s">
        <v>17</v>
      </c>
      <c r="C1254" t="s">
        <v>18</v>
      </c>
      <c r="D1254">
        <v>2</v>
      </c>
      <c r="E1254">
        <v>4</v>
      </c>
      <c r="F1254" t="s">
        <v>21</v>
      </c>
      <c r="G1254">
        <v>4</v>
      </c>
      <c r="H1254">
        <v>4</v>
      </c>
      <c r="I1254" t="s">
        <v>19</v>
      </c>
      <c r="J1254">
        <v>2932</v>
      </c>
      <c r="K1254">
        <v>0</v>
      </c>
      <c r="L1254">
        <v>3</v>
      </c>
      <c r="M1254">
        <v>5</v>
      </c>
    </row>
    <row r="1255" spans="1:13">
      <c r="A1255">
        <v>33</v>
      </c>
      <c r="B1255" t="s">
        <v>17</v>
      </c>
      <c r="C1255" t="s">
        <v>14</v>
      </c>
      <c r="D1255">
        <v>2</v>
      </c>
      <c r="E1255">
        <v>3</v>
      </c>
      <c r="F1255" t="s">
        <v>23</v>
      </c>
      <c r="G1255">
        <v>4</v>
      </c>
      <c r="H1255">
        <v>2</v>
      </c>
      <c r="I1255" t="s">
        <v>16</v>
      </c>
      <c r="J1255">
        <v>5147</v>
      </c>
      <c r="K1255">
        <v>8</v>
      </c>
      <c r="L1255">
        <v>2</v>
      </c>
      <c r="M1255">
        <v>11</v>
      </c>
    </row>
    <row r="1256" spans="1:13">
      <c r="A1256">
        <v>49</v>
      </c>
      <c r="B1256" t="s">
        <v>17</v>
      </c>
      <c r="C1256" t="s">
        <v>14</v>
      </c>
      <c r="D1256">
        <v>11</v>
      </c>
      <c r="E1256">
        <v>4</v>
      </c>
      <c r="F1256" t="s">
        <v>23</v>
      </c>
      <c r="G1256">
        <v>4</v>
      </c>
      <c r="H1256">
        <v>4</v>
      </c>
      <c r="I1256" t="s">
        <v>16</v>
      </c>
      <c r="J1256">
        <v>4507</v>
      </c>
      <c r="K1256">
        <v>3</v>
      </c>
      <c r="L1256">
        <v>4</v>
      </c>
      <c r="M1256">
        <v>5</v>
      </c>
    </row>
    <row r="1257" spans="1:13">
      <c r="A1257">
        <v>33</v>
      </c>
      <c r="B1257" t="s">
        <v>13</v>
      </c>
      <c r="C1257" t="s">
        <v>14</v>
      </c>
      <c r="D1257">
        <v>16</v>
      </c>
      <c r="E1257">
        <v>3</v>
      </c>
      <c r="F1257" t="s">
        <v>15</v>
      </c>
      <c r="G1257">
        <v>1</v>
      </c>
      <c r="H1257">
        <v>1</v>
      </c>
      <c r="I1257" t="s">
        <v>16</v>
      </c>
      <c r="J1257">
        <v>8564</v>
      </c>
      <c r="K1257">
        <v>2</v>
      </c>
      <c r="L1257">
        <v>2</v>
      </c>
      <c r="M1257">
        <v>0</v>
      </c>
    </row>
    <row r="1258" spans="1:13">
      <c r="A1258">
        <v>38</v>
      </c>
      <c r="B1258" t="s">
        <v>17</v>
      </c>
      <c r="C1258" t="s">
        <v>18</v>
      </c>
      <c r="D1258">
        <v>2</v>
      </c>
      <c r="E1258">
        <v>2</v>
      </c>
      <c r="F1258" t="s">
        <v>21</v>
      </c>
      <c r="G1258">
        <v>3</v>
      </c>
      <c r="H1258">
        <v>2</v>
      </c>
      <c r="I1258" t="s">
        <v>19</v>
      </c>
      <c r="J1258">
        <v>2468</v>
      </c>
      <c r="K1258">
        <v>4</v>
      </c>
      <c r="L1258">
        <v>2</v>
      </c>
      <c r="M1258">
        <v>6</v>
      </c>
    </row>
    <row r="1259" spans="1:13">
      <c r="A1259">
        <v>31</v>
      </c>
      <c r="B1259" t="s">
        <v>13</v>
      </c>
      <c r="C1259" t="s">
        <v>14</v>
      </c>
      <c r="D1259">
        <v>16</v>
      </c>
      <c r="E1259">
        <v>4</v>
      </c>
      <c r="F1259" t="s">
        <v>23</v>
      </c>
      <c r="G1259">
        <v>1</v>
      </c>
      <c r="H1259">
        <v>3</v>
      </c>
      <c r="I1259" t="s">
        <v>19</v>
      </c>
      <c r="J1259">
        <v>8161</v>
      </c>
      <c r="K1259">
        <v>2</v>
      </c>
      <c r="L1259">
        <v>3</v>
      </c>
      <c r="M1259">
        <v>1</v>
      </c>
    </row>
    <row r="1260" spans="1:13">
      <c r="A1260">
        <v>29</v>
      </c>
      <c r="B1260" t="s">
        <v>17</v>
      </c>
      <c r="C1260" t="s">
        <v>18</v>
      </c>
      <c r="D1260">
        <v>4</v>
      </c>
      <c r="E1260">
        <v>3</v>
      </c>
      <c r="F1260" t="s">
        <v>24</v>
      </c>
      <c r="G1260">
        <v>4</v>
      </c>
      <c r="H1260">
        <v>1</v>
      </c>
      <c r="I1260" t="s">
        <v>22</v>
      </c>
      <c r="J1260">
        <v>2109</v>
      </c>
      <c r="K1260">
        <v>1</v>
      </c>
      <c r="L1260">
        <v>3</v>
      </c>
      <c r="M1260">
        <v>1</v>
      </c>
    </row>
    <row r="1261" spans="1:13">
      <c r="A1261">
        <v>30</v>
      </c>
      <c r="B1261" t="s">
        <v>17</v>
      </c>
      <c r="C1261" t="s">
        <v>18</v>
      </c>
      <c r="D1261">
        <v>16</v>
      </c>
      <c r="E1261">
        <v>3</v>
      </c>
      <c r="F1261" t="s">
        <v>15</v>
      </c>
      <c r="G1261">
        <v>3</v>
      </c>
      <c r="H1261">
        <v>3</v>
      </c>
      <c r="I1261" t="s">
        <v>19</v>
      </c>
      <c r="J1261">
        <v>5294</v>
      </c>
      <c r="K1261">
        <v>3</v>
      </c>
      <c r="L1261">
        <v>3</v>
      </c>
      <c r="M1261">
        <v>7</v>
      </c>
    </row>
    <row r="1262" spans="1:13">
      <c r="A1262">
        <v>32</v>
      </c>
      <c r="B1262" t="s">
        <v>17</v>
      </c>
      <c r="C1262" t="s">
        <v>18</v>
      </c>
      <c r="D1262">
        <v>5</v>
      </c>
      <c r="E1262">
        <v>4</v>
      </c>
      <c r="F1262" t="s">
        <v>24</v>
      </c>
      <c r="G1262">
        <v>2</v>
      </c>
      <c r="H1262">
        <v>2</v>
      </c>
      <c r="I1262" t="s">
        <v>16</v>
      </c>
      <c r="J1262">
        <v>2718</v>
      </c>
      <c r="K1262">
        <v>2</v>
      </c>
      <c r="L1262">
        <v>3</v>
      </c>
      <c r="M1262">
        <v>7</v>
      </c>
    </row>
    <row r="1263" spans="1:13">
      <c r="A1263">
        <v>38</v>
      </c>
      <c r="B1263" t="s">
        <v>17</v>
      </c>
      <c r="C1263" t="s">
        <v>18</v>
      </c>
      <c r="D1263">
        <v>18</v>
      </c>
      <c r="E1263">
        <v>3</v>
      </c>
      <c r="F1263" t="s">
        <v>21</v>
      </c>
      <c r="G1263">
        <v>2</v>
      </c>
      <c r="H1263">
        <v>4</v>
      </c>
      <c r="I1263" t="s">
        <v>19</v>
      </c>
      <c r="J1263">
        <v>5811</v>
      </c>
      <c r="K1263">
        <v>3</v>
      </c>
      <c r="L1263">
        <v>3</v>
      </c>
      <c r="M1263">
        <v>1</v>
      </c>
    </row>
    <row r="1264" spans="1:13">
      <c r="A1264">
        <v>43</v>
      </c>
      <c r="B1264" t="s">
        <v>13</v>
      </c>
      <c r="C1264" t="s">
        <v>18</v>
      </c>
      <c r="D1264">
        <v>17</v>
      </c>
      <c r="E1264">
        <v>3</v>
      </c>
      <c r="F1264" t="s">
        <v>24</v>
      </c>
      <c r="G1264">
        <v>3</v>
      </c>
      <c r="H1264">
        <v>3</v>
      </c>
      <c r="I1264" t="s">
        <v>19</v>
      </c>
      <c r="J1264">
        <v>2437</v>
      </c>
      <c r="K1264">
        <v>9</v>
      </c>
      <c r="L1264">
        <v>3</v>
      </c>
      <c r="M1264">
        <v>1</v>
      </c>
    </row>
    <row r="1265" spans="1:13">
      <c r="A1265">
        <v>42</v>
      </c>
      <c r="B1265" t="s">
        <v>17</v>
      </c>
      <c r="C1265" t="s">
        <v>18</v>
      </c>
      <c r="D1265">
        <v>12</v>
      </c>
      <c r="E1265">
        <v>3</v>
      </c>
      <c r="F1265" t="s">
        <v>21</v>
      </c>
      <c r="G1265">
        <v>2</v>
      </c>
      <c r="H1265">
        <v>2</v>
      </c>
      <c r="I1265" t="s">
        <v>22</v>
      </c>
      <c r="J1265">
        <v>2766</v>
      </c>
      <c r="K1265">
        <v>8</v>
      </c>
      <c r="L1265">
        <v>2</v>
      </c>
      <c r="M1265">
        <v>5</v>
      </c>
    </row>
    <row r="1266" spans="1:13">
      <c r="A1266">
        <v>55</v>
      </c>
      <c r="B1266" t="s">
        <v>17</v>
      </c>
      <c r="C1266" t="s">
        <v>18</v>
      </c>
      <c r="D1266">
        <v>2</v>
      </c>
      <c r="E1266">
        <v>3</v>
      </c>
      <c r="F1266" t="s">
        <v>21</v>
      </c>
      <c r="G1266">
        <v>3</v>
      </c>
      <c r="H1266">
        <v>1</v>
      </c>
      <c r="I1266" t="s">
        <v>19</v>
      </c>
      <c r="J1266">
        <v>19038</v>
      </c>
      <c r="K1266">
        <v>8</v>
      </c>
      <c r="L1266">
        <v>3</v>
      </c>
      <c r="M1266">
        <v>1</v>
      </c>
    </row>
    <row r="1267" spans="1:13">
      <c r="A1267">
        <v>33</v>
      </c>
      <c r="B1267" t="s">
        <v>17</v>
      </c>
      <c r="C1267" t="s">
        <v>18</v>
      </c>
      <c r="D1267">
        <v>4</v>
      </c>
      <c r="E1267">
        <v>3</v>
      </c>
      <c r="F1267" t="s">
        <v>24</v>
      </c>
      <c r="G1267">
        <v>4</v>
      </c>
      <c r="H1267">
        <v>2</v>
      </c>
      <c r="I1267" t="s">
        <v>22</v>
      </c>
      <c r="J1267">
        <v>3055</v>
      </c>
      <c r="K1267">
        <v>5</v>
      </c>
      <c r="L1267">
        <v>2</v>
      </c>
      <c r="M1267">
        <v>9</v>
      </c>
    </row>
    <row r="1268" spans="1:13">
      <c r="A1268">
        <v>41</v>
      </c>
      <c r="B1268" t="s">
        <v>17</v>
      </c>
      <c r="C1268" t="s">
        <v>18</v>
      </c>
      <c r="D1268">
        <v>9</v>
      </c>
      <c r="E1268">
        <v>4</v>
      </c>
      <c r="F1268" t="s">
        <v>15</v>
      </c>
      <c r="G1268">
        <v>3</v>
      </c>
      <c r="H1268">
        <v>1</v>
      </c>
      <c r="I1268" t="s">
        <v>22</v>
      </c>
      <c r="J1268">
        <v>2289</v>
      </c>
      <c r="K1268">
        <v>1</v>
      </c>
      <c r="L1268">
        <v>3</v>
      </c>
      <c r="M1268">
        <v>5</v>
      </c>
    </row>
    <row r="1269" spans="1:13">
      <c r="A1269">
        <v>34</v>
      </c>
      <c r="B1269" t="s">
        <v>17</v>
      </c>
      <c r="C1269" t="s">
        <v>14</v>
      </c>
      <c r="D1269">
        <v>10</v>
      </c>
      <c r="E1269">
        <v>3</v>
      </c>
      <c r="F1269" t="s">
        <v>15</v>
      </c>
      <c r="G1269">
        <v>4</v>
      </c>
      <c r="H1269">
        <v>3</v>
      </c>
      <c r="I1269" t="s">
        <v>22</v>
      </c>
      <c r="J1269">
        <v>4001</v>
      </c>
      <c r="K1269">
        <v>1</v>
      </c>
      <c r="L1269">
        <v>3</v>
      </c>
      <c r="M1269">
        <v>15</v>
      </c>
    </row>
    <row r="1270" spans="1:13">
      <c r="A1270">
        <v>53</v>
      </c>
      <c r="B1270" t="s">
        <v>17</v>
      </c>
      <c r="C1270" t="s">
        <v>18</v>
      </c>
      <c r="D1270">
        <v>1</v>
      </c>
      <c r="E1270">
        <v>4</v>
      </c>
      <c r="F1270" t="s">
        <v>21</v>
      </c>
      <c r="G1270">
        <v>1</v>
      </c>
      <c r="H1270">
        <v>3</v>
      </c>
      <c r="I1270" t="s">
        <v>19</v>
      </c>
      <c r="J1270">
        <v>12965</v>
      </c>
      <c r="K1270">
        <v>4</v>
      </c>
      <c r="L1270">
        <v>2</v>
      </c>
      <c r="M1270">
        <v>3</v>
      </c>
    </row>
    <row r="1271" spans="1:13">
      <c r="A1271">
        <v>43</v>
      </c>
      <c r="B1271" t="s">
        <v>17</v>
      </c>
      <c r="C1271" t="s">
        <v>25</v>
      </c>
      <c r="D1271">
        <v>2</v>
      </c>
      <c r="E1271">
        <v>3</v>
      </c>
      <c r="F1271" t="s">
        <v>15</v>
      </c>
      <c r="G1271">
        <v>2</v>
      </c>
      <c r="H1271">
        <v>4</v>
      </c>
      <c r="I1271" t="s">
        <v>16</v>
      </c>
      <c r="J1271">
        <v>3539</v>
      </c>
      <c r="K1271">
        <v>0</v>
      </c>
      <c r="L1271">
        <v>3</v>
      </c>
      <c r="M1271">
        <v>9</v>
      </c>
    </row>
    <row r="1272" spans="1:13">
      <c r="A1272">
        <v>34</v>
      </c>
      <c r="B1272" t="s">
        <v>17</v>
      </c>
      <c r="C1272" t="s">
        <v>14</v>
      </c>
      <c r="D1272">
        <v>3</v>
      </c>
      <c r="E1272">
        <v>2</v>
      </c>
      <c r="F1272" t="s">
        <v>15</v>
      </c>
      <c r="G1272">
        <v>4</v>
      </c>
      <c r="H1272">
        <v>4</v>
      </c>
      <c r="I1272" t="s">
        <v>16</v>
      </c>
      <c r="J1272">
        <v>6029</v>
      </c>
      <c r="K1272">
        <v>5</v>
      </c>
      <c r="L1272">
        <v>3</v>
      </c>
      <c r="M1272">
        <v>2</v>
      </c>
    </row>
    <row r="1273" spans="1:13">
      <c r="A1273">
        <v>21</v>
      </c>
      <c r="B1273" t="s">
        <v>13</v>
      </c>
      <c r="C1273" t="s">
        <v>14</v>
      </c>
      <c r="D1273">
        <v>7</v>
      </c>
      <c r="E1273">
        <v>1</v>
      </c>
      <c r="F1273" t="s">
        <v>23</v>
      </c>
      <c r="G1273">
        <v>2</v>
      </c>
      <c r="H1273">
        <v>2</v>
      </c>
      <c r="I1273" t="s">
        <v>16</v>
      </c>
      <c r="J1273">
        <v>2679</v>
      </c>
      <c r="K1273">
        <v>1</v>
      </c>
      <c r="L1273">
        <v>3</v>
      </c>
      <c r="M1273">
        <v>1</v>
      </c>
    </row>
    <row r="1274" spans="1:13">
      <c r="A1274">
        <v>38</v>
      </c>
      <c r="B1274" t="s">
        <v>17</v>
      </c>
      <c r="C1274" t="s">
        <v>18</v>
      </c>
      <c r="D1274">
        <v>6</v>
      </c>
      <c r="E1274">
        <v>2</v>
      </c>
      <c r="F1274" t="s">
        <v>20</v>
      </c>
      <c r="G1274">
        <v>4</v>
      </c>
      <c r="H1274">
        <v>3</v>
      </c>
      <c r="I1274" t="s">
        <v>19</v>
      </c>
      <c r="J1274">
        <v>3702</v>
      </c>
      <c r="K1274">
        <v>1</v>
      </c>
      <c r="L1274">
        <v>3</v>
      </c>
      <c r="M1274">
        <v>5</v>
      </c>
    </row>
    <row r="1275" spans="1:13">
      <c r="A1275">
        <v>22</v>
      </c>
      <c r="B1275" t="s">
        <v>13</v>
      </c>
      <c r="C1275" t="s">
        <v>18</v>
      </c>
      <c r="D1275">
        <v>8</v>
      </c>
      <c r="E1275">
        <v>1</v>
      </c>
      <c r="F1275" t="s">
        <v>21</v>
      </c>
      <c r="G1275">
        <v>3</v>
      </c>
      <c r="H1275">
        <v>1</v>
      </c>
      <c r="I1275" t="s">
        <v>19</v>
      </c>
      <c r="J1275">
        <v>2398</v>
      </c>
      <c r="K1275">
        <v>1</v>
      </c>
      <c r="L1275">
        <v>3</v>
      </c>
      <c r="M1275">
        <v>1</v>
      </c>
    </row>
    <row r="1276" spans="1:13">
      <c r="A1276">
        <v>31</v>
      </c>
      <c r="B1276" t="s">
        <v>17</v>
      </c>
      <c r="C1276" t="s">
        <v>14</v>
      </c>
      <c r="D1276">
        <v>29</v>
      </c>
      <c r="E1276">
        <v>4</v>
      </c>
      <c r="F1276" t="s">
        <v>23</v>
      </c>
      <c r="G1276">
        <v>1</v>
      </c>
      <c r="H1276">
        <v>4</v>
      </c>
      <c r="I1276" t="s">
        <v>19</v>
      </c>
      <c r="J1276">
        <v>5468</v>
      </c>
      <c r="K1276">
        <v>1</v>
      </c>
      <c r="L1276">
        <v>3</v>
      </c>
      <c r="M1276">
        <v>12</v>
      </c>
    </row>
    <row r="1277" spans="1:13">
      <c r="A1277">
        <v>51</v>
      </c>
      <c r="B1277" t="s">
        <v>17</v>
      </c>
      <c r="C1277" t="s">
        <v>18</v>
      </c>
      <c r="D1277">
        <v>3</v>
      </c>
      <c r="E1277">
        <v>3</v>
      </c>
      <c r="F1277" t="s">
        <v>24</v>
      </c>
      <c r="G1277">
        <v>1</v>
      </c>
      <c r="H1277">
        <v>3</v>
      </c>
      <c r="I1277" t="s">
        <v>19</v>
      </c>
      <c r="J1277">
        <v>13116</v>
      </c>
      <c r="K1277">
        <v>2</v>
      </c>
      <c r="L1277">
        <v>3</v>
      </c>
      <c r="M1277">
        <v>2</v>
      </c>
    </row>
    <row r="1278" spans="1:13">
      <c r="A1278">
        <v>37</v>
      </c>
      <c r="B1278" t="s">
        <v>17</v>
      </c>
      <c r="C1278" t="s">
        <v>14</v>
      </c>
      <c r="D1278">
        <v>9</v>
      </c>
      <c r="E1278">
        <v>2</v>
      </c>
      <c r="F1278" t="s">
        <v>23</v>
      </c>
      <c r="G1278">
        <v>2</v>
      </c>
      <c r="H1278">
        <v>2</v>
      </c>
      <c r="I1278" t="s">
        <v>19</v>
      </c>
      <c r="J1278">
        <v>4189</v>
      </c>
      <c r="K1278">
        <v>1</v>
      </c>
      <c r="L1278">
        <v>3</v>
      </c>
      <c r="M1278">
        <v>5</v>
      </c>
    </row>
    <row r="1279" spans="1:13">
      <c r="A1279">
        <v>46</v>
      </c>
      <c r="B1279" t="s">
        <v>17</v>
      </c>
      <c r="C1279" t="s">
        <v>18</v>
      </c>
      <c r="D1279">
        <v>2</v>
      </c>
      <c r="E1279">
        <v>4</v>
      </c>
      <c r="F1279" t="s">
        <v>21</v>
      </c>
      <c r="G1279">
        <v>3</v>
      </c>
      <c r="H1279">
        <v>4</v>
      </c>
      <c r="I1279" t="s">
        <v>22</v>
      </c>
      <c r="J1279">
        <v>19328</v>
      </c>
      <c r="K1279">
        <v>7</v>
      </c>
      <c r="L1279">
        <v>3</v>
      </c>
      <c r="M1279">
        <v>2</v>
      </c>
    </row>
    <row r="1280" spans="1:13">
      <c r="A1280">
        <v>36</v>
      </c>
      <c r="B1280" t="s">
        <v>17</v>
      </c>
      <c r="C1280" t="s">
        <v>18</v>
      </c>
      <c r="D1280">
        <v>10</v>
      </c>
      <c r="E1280">
        <v>3</v>
      </c>
      <c r="F1280" t="s">
        <v>15</v>
      </c>
      <c r="G1280">
        <v>4</v>
      </c>
      <c r="H1280">
        <v>1</v>
      </c>
      <c r="I1280" t="s">
        <v>19</v>
      </c>
      <c r="J1280">
        <v>8321</v>
      </c>
      <c r="K1280">
        <v>7</v>
      </c>
      <c r="L1280">
        <v>3</v>
      </c>
      <c r="M1280">
        <v>12</v>
      </c>
    </row>
    <row r="1281" spans="1:13">
      <c r="A1281">
        <v>44</v>
      </c>
      <c r="B1281" t="s">
        <v>13</v>
      </c>
      <c r="C1281" t="s">
        <v>18</v>
      </c>
      <c r="D1281">
        <v>1</v>
      </c>
      <c r="E1281">
        <v>2</v>
      </c>
      <c r="F1281" t="s">
        <v>21</v>
      </c>
      <c r="G1281">
        <v>3</v>
      </c>
      <c r="H1281">
        <v>2</v>
      </c>
      <c r="I1281" t="s">
        <v>22</v>
      </c>
      <c r="J1281">
        <v>2342</v>
      </c>
      <c r="K1281">
        <v>1</v>
      </c>
      <c r="L1281">
        <v>2</v>
      </c>
      <c r="M1281">
        <v>5</v>
      </c>
    </row>
    <row r="1282" spans="1:13">
      <c r="A1282">
        <v>37</v>
      </c>
      <c r="B1282" t="s">
        <v>17</v>
      </c>
      <c r="C1282" t="s">
        <v>25</v>
      </c>
      <c r="D1282">
        <v>8</v>
      </c>
      <c r="E1282">
        <v>2</v>
      </c>
      <c r="F1282" t="s">
        <v>20</v>
      </c>
      <c r="G1282">
        <v>3</v>
      </c>
      <c r="H1282">
        <v>2</v>
      </c>
      <c r="I1282" t="s">
        <v>22</v>
      </c>
      <c r="J1282">
        <v>4071</v>
      </c>
      <c r="K1282">
        <v>2</v>
      </c>
      <c r="L1282">
        <v>2</v>
      </c>
      <c r="M1282">
        <v>10</v>
      </c>
    </row>
    <row r="1283" spans="1:13">
      <c r="A1283">
        <v>35</v>
      </c>
      <c r="B1283" t="s">
        <v>13</v>
      </c>
      <c r="C1283" t="s">
        <v>14</v>
      </c>
      <c r="D1283">
        <v>27</v>
      </c>
      <c r="E1283">
        <v>3</v>
      </c>
      <c r="F1283" t="s">
        <v>15</v>
      </c>
      <c r="G1283">
        <v>3</v>
      </c>
      <c r="H1283">
        <v>4</v>
      </c>
      <c r="I1283" t="s">
        <v>16</v>
      </c>
      <c r="J1283">
        <v>5813</v>
      </c>
      <c r="K1283">
        <v>1</v>
      </c>
      <c r="L1283">
        <v>3</v>
      </c>
      <c r="M1283">
        <v>10</v>
      </c>
    </row>
    <row r="1284" spans="1:13">
      <c r="A1284">
        <v>33</v>
      </c>
      <c r="B1284" t="s">
        <v>17</v>
      </c>
      <c r="C1284" t="s">
        <v>18</v>
      </c>
      <c r="D1284">
        <v>8</v>
      </c>
      <c r="E1284">
        <v>4</v>
      </c>
      <c r="F1284" t="s">
        <v>15</v>
      </c>
      <c r="G1284">
        <v>4</v>
      </c>
      <c r="H1284">
        <v>1</v>
      </c>
      <c r="I1284" t="s">
        <v>19</v>
      </c>
      <c r="J1284">
        <v>3143</v>
      </c>
      <c r="K1284">
        <v>6</v>
      </c>
      <c r="L1284">
        <v>3</v>
      </c>
      <c r="M1284">
        <v>10</v>
      </c>
    </row>
    <row r="1285" spans="1:13">
      <c r="A1285">
        <v>28</v>
      </c>
      <c r="B1285" t="s">
        <v>17</v>
      </c>
      <c r="C1285" t="s">
        <v>18</v>
      </c>
      <c r="D1285">
        <v>1</v>
      </c>
      <c r="E1285">
        <v>3</v>
      </c>
      <c r="F1285" t="s">
        <v>15</v>
      </c>
      <c r="G1285">
        <v>3</v>
      </c>
      <c r="H1285">
        <v>4</v>
      </c>
      <c r="I1285" t="s">
        <v>19</v>
      </c>
      <c r="J1285">
        <v>2044</v>
      </c>
      <c r="K1285">
        <v>1</v>
      </c>
      <c r="L1285">
        <v>4</v>
      </c>
      <c r="M1285">
        <v>5</v>
      </c>
    </row>
    <row r="1286" spans="1:13">
      <c r="A1286">
        <v>39</v>
      </c>
      <c r="B1286" t="s">
        <v>17</v>
      </c>
      <c r="C1286" t="s">
        <v>18</v>
      </c>
      <c r="D1286">
        <v>10</v>
      </c>
      <c r="E1286">
        <v>1</v>
      </c>
      <c r="F1286" t="s">
        <v>21</v>
      </c>
      <c r="G1286">
        <v>3</v>
      </c>
      <c r="H1286">
        <v>3</v>
      </c>
      <c r="I1286" t="s">
        <v>16</v>
      </c>
      <c r="J1286">
        <v>13464</v>
      </c>
      <c r="K1286">
        <v>7</v>
      </c>
      <c r="L1286">
        <v>3</v>
      </c>
      <c r="M1286">
        <v>4</v>
      </c>
    </row>
    <row r="1287" spans="1:13">
      <c r="A1287">
        <v>46</v>
      </c>
      <c r="B1287" t="s">
        <v>17</v>
      </c>
      <c r="C1287" t="s">
        <v>14</v>
      </c>
      <c r="D1287">
        <v>26</v>
      </c>
      <c r="E1287">
        <v>2</v>
      </c>
      <c r="F1287" t="s">
        <v>15</v>
      </c>
      <c r="G1287">
        <v>2</v>
      </c>
      <c r="H1287">
        <v>2</v>
      </c>
      <c r="I1287" t="s">
        <v>16</v>
      </c>
      <c r="J1287">
        <v>7991</v>
      </c>
      <c r="K1287">
        <v>8</v>
      </c>
      <c r="L1287">
        <v>3</v>
      </c>
      <c r="M1287">
        <v>2</v>
      </c>
    </row>
    <row r="1288" spans="1:13">
      <c r="A1288">
        <v>40</v>
      </c>
      <c r="B1288" t="s">
        <v>17</v>
      </c>
      <c r="C1288" t="s">
        <v>18</v>
      </c>
      <c r="D1288">
        <v>2</v>
      </c>
      <c r="E1288">
        <v>2</v>
      </c>
      <c r="F1288" t="s">
        <v>15</v>
      </c>
      <c r="G1288">
        <v>3</v>
      </c>
      <c r="H1288">
        <v>1</v>
      </c>
      <c r="I1288" t="s">
        <v>19</v>
      </c>
      <c r="J1288">
        <v>3377</v>
      </c>
      <c r="K1288">
        <v>4</v>
      </c>
      <c r="L1288">
        <v>2</v>
      </c>
      <c r="M1288">
        <v>4</v>
      </c>
    </row>
    <row r="1289" spans="1:13">
      <c r="A1289">
        <v>42</v>
      </c>
      <c r="B1289" t="s">
        <v>17</v>
      </c>
      <c r="C1289" t="s">
        <v>18</v>
      </c>
      <c r="D1289">
        <v>13</v>
      </c>
      <c r="E1289">
        <v>3</v>
      </c>
      <c r="F1289" t="s">
        <v>21</v>
      </c>
      <c r="G1289">
        <v>2</v>
      </c>
      <c r="H1289">
        <v>1</v>
      </c>
      <c r="I1289" t="s">
        <v>19</v>
      </c>
      <c r="J1289">
        <v>5538</v>
      </c>
      <c r="K1289">
        <v>5</v>
      </c>
      <c r="L1289">
        <v>2</v>
      </c>
      <c r="M1289">
        <v>0</v>
      </c>
    </row>
    <row r="1290" spans="1:13">
      <c r="A1290">
        <v>35</v>
      </c>
      <c r="B1290" t="s">
        <v>17</v>
      </c>
      <c r="C1290" t="s">
        <v>18</v>
      </c>
      <c r="D1290">
        <v>2</v>
      </c>
      <c r="E1290">
        <v>2</v>
      </c>
      <c r="F1290" t="s">
        <v>21</v>
      </c>
      <c r="G1290">
        <v>2</v>
      </c>
      <c r="H1290">
        <v>4</v>
      </c>
      <c r="I1290" t="s">
        <v>22</v>
      </c>
      <c r="J1290">
        <v>5762</v>
      </c>
      <c r="K1290">
        <v>2</v>
      </c>
      <c r="L1290">
        <v>3</v>
      </c>
      <c r="M1290">
        <v>7</v>
      </c>
    </row>
    <row r="1291" spans="1:13">
      <c r="A1291">
        <v>38</v>
      </c>
      <c r="B1291" t="s">
        <v>17</v>
      </c>
      <c r="C1291" t="s">
        <v>25</v>
      </c>
      <c r="D1291">
        <v>2</v>
      </c>
      <c r="E1291">
        <v>3</v>
      </c>
      <c r="F1291" t="s">
        <v>25</v>
      </c>
      <c r="G1291">
        <v>1</v>
      </c>
      <c r="H1291">
        <v>2</v>
      </c>
      <c r="I1291" t="s">
        <v>22</v>
      </c>
      <c r="J1291">
        <v>2592</v>
      </c>
      <c r="K1291">
        <v>5</v>
      </c>
      <c r="L1291">
        <v>3</v>
      </c>
      <c r="M1291">
        <v>11</v>
      </c>
    </row>
    <row r="1292" spans="1:13">
      <c r="A1292">
        <v>34</v>
      </c>
      <c r="B1292" t="s">
        <v>13</v>
      </c>
      <c r="C1292" t="s">
        <v>18</v>
      </c>
      <c r="D1292">
        <v>9</v>
      </c>
      <c r="E1292">
        <v>4</v>
      </c>
      <c r="F1292" t="s">
        <v>15</v>
      </c>
      <c r="G1292">
        <v>4</v>
      </c>
      <c r="H1292">
        <v>1</v>
      </c>
      <c r="I1292" t="s">
        <v>19</v>
      </c>
      <c r="J1292">
        <v>5346</v>
      </c>
      <c r="K1292">
        <v>4</v>
      </c>
      <c r="L1292">
        <v>2</v>
      </c>
      <c r="M1292">
        <v>7</v>
      </c>
    </row>
    <row r="1293" spans="1:13">
      <c r="A1293">
        <v>37</v>
      </c>
      <c r="B1293" t="s">
        <v>13</v>
      </c>
      <c r="C1293" t="s">
        <v>18</v>
      </c>
      <c r="D1293">
        <v>10</v>
      </c>
      <c r="E1293">
        <v>4</v>
      </c>
      <c r="F1293" t="s">
        <v>21</v>
      </c>
      <c r="G1293">
        <v>4</v>
      </c>
      <c r="H1293">
        <v>1</v>
      </c>
      <c r="I1293" t="s">
        <v>16</v>
      </c>
      <c r="J1293">
        <v>4213</v>
      </c>
      <c r="K1293">
        <v>1</v>
      </c>
      <c r="L1293">
        <v>1</v>
      </c>
      <c r="M1293">
        <v>10</v>
      </c>
    </row>
    <row r="1294" spans="1:13">
      <c r="A1294">
        <v>39</v>
      </c>
      <c r="B1294" t="s">
        <v>17</v>
      </c>
      <c r="C1294" t="s">
        <v>14</v>
      </c>
      <c r="D1294">
        <v>20</v>
      </c>
      <c r="E1294">
        <v>3</v>
      </c>
      <c r="F1294" t="s">
        <v>15</v>
      </c>
      <c r="G1294">
        <v>3</v>
      </c>
      <c r="H1294">
        <v>4</v>
      </c>
      <c r="I1294" t="s">
        <v>22</v>
      </c>
      <c r="J1294">
        <v>4127</v>
      </c>
      <c r="K1294">
        <v>2</v>
      </c>
      <c r="L1294">
        <v>3</v>
      </c>
      <c r="M1294">
        <v>2</v>
      </c>
    </row>
    <row r="1295" spans="1:13">
      <c r="A1295">
        <v>43</v>
      </c>
      <c r="B1295" t="s">
        <v>17</v>
      </c>
      <c r="C1295" t="s">
        <v>18</v>
      </c>
      <c r="D1295">
        <v>9</v>
      </c>
      <c r="E1295">
        <v>3</v>
      </c>
      <c r="F1295" t="s">
        <v>15</v>
      </c>
      <c r="G1295">
        <v>1</v>
      </c>
      <c r="H1295">
        <v>3</v>
      </c>
      <c r="I1295" t="s">
        <v>16</v>
      </c>
      <c r="J1295">
        <v>2438</v>
      </c>
      <c r="K1295">
        <v>4</v>
      </c>
      <c r="L1295">
        <v>2</v>
      </c>
      <c r="M1295">
        <v>3</v>
      </c>
    </row>
    <row r="1296" spans="1:13">
      <c r="A1296">
        <v>41</v>
      </c>
      <c r="B1296" t="s">
        <v>17</v>
      </c>
      <c r="C1296" t="s">
        <v>18</v>
      </c>
      <c r="D1296">
        <v>5</v>
      </c>
      <c r="E1296">
        <v>3</v>
      </c>
      <c r="F1296" t="s">
        <v>15</v>
      </c>
      <c r="G1296">
        <v>2</v>
      </c>
      <c r="H1296">
        <v>2</v>
      </c>
      <c r="I1296" t="s">
        <v>16</v>
      </c>
      <c r="J1296">
        <v>6870</v>
      </c>
      <c r="K1296">
        <v>3</v>
      </c>
      <c r="L1296">
        <v>1</v>
      </c>
      <c r="M1296">
        <v>3</v>
      </c>
    </row>
    <row r="1297" spans="1:13">
      <c r="A1297">
        <v>41</v>
      </c>
      <c r="B1297" t="s">
        <v>17</v>
      </c>
      <c r="C1297" t="s">
        <v>14</v>
      </c>
      <c r="D1297">
        <v>4</v>
      </c>
      <c r="E1297">
        <v>1</v>
      </c>
      <c r="F1297" t="s">
        <v>23</v>
      </c>
      <c r="G1297">
        <v>3</v>
      </c>
      <c r="H1297">
        <v>3</v>
      </c>
      <c r="I1297" t="s">
        <v>22</v>
      </c>
      <c r="J1297">
        <v>10447</v>
      </c>
      <c r="K1297">
        <v>0</v>
      </c>
      <c r="L1297">
        <v>4</v>
      </c>
      <c r="M1297">
        <v>22</v>
      </c>
    </row>
    <row r="1298" spans="1:13">
      <c r="A1298">
        <v>30</v>
      </c>
      <c r="B1298" t="s">
        <v>17</v>
      </c>
      <c r="C1298" t="s">
        <v>18</v>
      </c>
      <c r="D1298">
        <v>10</v>
      </c>
      <c r="E1298">
        <v>3</v>
      </c>
      <c r="F1298" t="s">
        <v>21</v>
      </c>
      <c r="G1298">
        <v>1</v>
      </c>
      <c r="H1298">
        <v>3</v>
      </c>
      <c r="I1298" t="s">
        <v>16</v>
      </c>
      <c r="J1298">
        <v>9667</v>
      </c>
      <c r="K1298">
        <v>9</v>
      </c>
      <c r="L1298">
        <v>3</v>
      </c>
      <c r="M1298">
        <v>7</v>
      </c>
    </row>
    <row r="1299" spans="1:13">
      <c r="A1299">
        <v>26</v>
      </c>
      <c r="B1299" t="s">
        <v>13</v>
      </c>
      <c r="C1299" t="s">
        <v>25</v>
      </c>
      <c r="D1299">
        <v>20</v>
      </c>
      <c r="E1299">
        <v>2</v>
      </c>
      <c r="F1299" t="s">
        <v>21</v>
      </c>
      <c r="G1299">
        <v>4</v>
      </c>
      <c r="H1299">
        <v>2</v>
      </c>
      <c r="I1299" t="s">
        <v>19</v>
      </c>
      <c r="J1299">
        <v>2148</v>
      </c>
      <c r="K1299">
        <v>0</v>
      </c>
      <c r="L1299">
        <v>3</v>
      </c>
      <c r="M1299">
        <v>5</v>
      </c>
    </row>
    <row r="1300" spans="1:13">
      <c r="A1300">
        <v>46</v>
      </c>
      <c r="B1300" t="s">
        <v>13</v>
      </c>
      <c r="C1300" t="s">
        <v>18</v>
      </c>
      <c r="D1300">
        <v>21</v>
      </c>
      <c r="E1300">
        <v>2</v>
      </c>
      <c r="F1300" t="s">
        <v>21</v>
      </c>
      <c r="G1300">
        <v>4</v>
      </c>
      <c r="H1300">
        <v>2</v>
      </c>
      <c r="I1300" t="s">
        <v>19</v>
      </c>
      <c r="J1300">
        <v>8926</v>
      </c>
      <c r="K1300">
        <v>4</v>
      </c>
      <c r="L1300">
        <v>4</v>
      </c>
      <c r="M1300">
        <v>9</v>
      </c>
    </row>
    <row r="1301" spans="1:13">
      <c r="A1301">
        <v>40</v>
      </c>
      <c r="B1301" t="s">
        <v>17</v>
      </c>
      <c r="C1301" t="s">
        <v>18</v>
      </c>
      <c r="D1301">
        <v>1</v>
      </c>
      <c r="E1301">
        <v>3</v>
      </c>
      <c r="F1301" t="s">
        <v>15</v>
      </c>
      <c r="G1301">
        <v>3</v>
      </c>
      <c r="H1301">
        <v>4</v>
      </c>
      <c r="I1301" t="s">
        <v>22</v>
      </c>
      <c r="J1301">
        <v>6513</v>
      </c>
      <c r="K1301">
        <v>4</v>
      </c>
      <c r="L1301">
        <v>3</v>
      </c>
      <c r="M1301">
        <v>5</v>
      </c>
    </row>
    <row r="1302" spans="1:13">
      <c r="A1302">
        <v>34</v>
      </c>
      <c r="B1302" t="s">
        <v>17</v>
      </c>
      <c r="C1302" t="s">
        <v>14</v>
      </c>
      <c r="D1302">
        <v>8</v>
      </c>
      <c r="E1302">
        <v>2</v>
      </c>
      <c r="F1302" t="s">
        <v>24</v>
      </c>
      <c r="G1302">
        <v>2</v>
      </c>
      <c r="H1302">
        <v>3</v>
      </c>
      <c r="I1302" t="s">
        <v>19</v>
      </c>
      <c r="J1302">
        <v>6799</v>
      </c>
      <c r="K1302">
        <v>1</v>
      </c>
      <c r="L1302">
        <v>3</v>
      </c>
      <c r="M1302">
        <v>10</v>
      </c>
    </row>
    <row r="1303" spans="1:13">
      <c r="A1303">
        <v>58</v>
      </c>
      <c r="B1303" t="s">
        <v>17</v>
      </c>
      <c r="C1303" t="s">
        <v>14</v>
      </c>
      <c r="D1303">
        <v>2</v>
      </c>
      <c r="E1303">
        <v>3</v>
      </c>
      <c r="F1303" t="s">
        <v>21</v>
      </c>
      <c r="G1303">
        <v>2</v>
      </c>
      <c r="H1303">
        <v>2</v>
      </c>
      <c r="I1303" t="s">
        <v>22</v>
      </c>
      <c r="J1303">
        <v>16291</v>
      </c>
      <c r="K1303">
        <v>4</v>
      </c>
      <c r="L1303">
        <v>2</v>
      </c>
      <c r="M1303">
        <v>16</v>
      </c>
    </row>
    <row r="1304" spans="1:13">
      <c r="A1304">
        <v>35</v>
      </c>
      <c r="B1304" t="s">
        <v>17</v>
      </c>
      <c r="C1304" t="s">
        <v>18</v>
      </c>
      <c r="D1304">
        <v>23</v>
      </c>
      <c r="E1304">
        <v>4</v>
      </c>
      <c r="F1304" t="s">
        <v>21</v>
      </c>
      <c r="G1304">
        <v>2</v>
      </c>
      <c r="H1304">
        <v>3</v>
      </c>
      <c r="I1304" t="s">
        <v>19</v>
      </c>
      <c r="J1304">
        <v>2705</v>
      </c>
      <c r="K1304">
        <v>0</v>
      </c>
      <c r="L1304">
        <v>4</v>
      </c>
      <c r="M1304">
        <v>5</v>
      </c>
    </row>
    <row r="1305" spans="1:13">
      <c r="A1305">
        <v>47</v>
      </c>
      <c r="B1305" t="s">
        <v>17</v>
      </c>
      <c r="C1305" t="s">
        <v>18</v>
      </c>
      <c r="D1305">
        <v>4</v>
      </c>
      <c r="E1305">
        <v>3</v>
      </c>
      <c r="F1305" t="s">
        <v>15</v>
      </c>
      <c r="G1305">
        <v>3</v>
      </c>
      <c r="H1305">
        <v>2</v>
      </c>
      <c r="I1305" t="s">
        <v>22</v>
      </c>
      <c r="J1305">
        <v>10333</v>
      </c>
      <c r="K1305">
        <v>8</v>
      </c>
      <c r="L1305">
        <v>3</v>
      </c>
      <c r="M1305">
        <v>22</v>
      </c>
    </row>
    <row r="1306" spans="1:13">
      <c r="A1306">
        <v>40</v>
      </c>
      <c r="B1306" t="s">
        <v>17</v>
      </c>
      <c r="C1306" t="s">
        <v>18</v>
      </c>
      <c r="D1306">
        <v>12</v>
      </c>
      <c r="E1306">
        <v>3</v>
      </c>
      <c r="F1306" t="s">
        <v>15</v>
      </c>
      <c r="G1306">
        <v>2</v>
      </c>
      <c r="H1306">
        <v>1</v>
      </c>
      <c r="I1306" t="s">
        <v>22</v>
      </c>
      <c r="J1306">
        <v>4448</v>
      </c>
      <c r="K1306">
        <v>2</v>
      </c>
      <c r="L1306">
        <v>3</v>
      </c>
      <c r="M1306">
        <v>7</v>
      </c>
    </row>
    <row r="1307" spans="1:13">
      <c r="A1307">
        <v>54</v>
      </c>
      <c r="B1307" t="s">
        <v>17</v>
      </c>
      <c r="C1307" t="s">
        <v>18</v>
      </c>
      <c r="D1307">
        <v>7</v>
      </c>
      <c r="E1307">
        <v>4</v>
      </c>
      <c r="F1307" t="s">
        <v>21</v>
      </c>
      <c r="G1307">
        <v>4</v>
      </c>
      <c r="H1307">
        <v>4</v>
      </c>
      <c r="I1307" t="s">
        <v>19</v>
      </c>
      <c r="J1307">
        <v>6854</v>
      </c>
      <c r="K1307">
        <v>4</v>
      </c>
      <c r="L1307">
        <v>2</v>
      </c>
      <c r="M1307">
        <v>7</v>
      </c>
    </row>
    <row r="1308" spans="1:13">
      <c r="A1308">
        <v>31</v>
      </c>
      <c r="B1308" t="s">
        <v>17</v>
      </c>
      <c r="C1308" t="s">
        <v>14</v>
      </c>
      <c r="D1308">
        <v>7</v>
      </c>
      <c r="E1308">
        <v>4</v>
      </c>
      <c r="F1308" t="s">
        <v>23</v>
      </c>
      <c r="G1308">
        <v>1</v>
      </c>
      <c r="H1308">
        <v>1</v>
      </c>
      <c r="I1308" t="s">
        <v>19</v>
      </c>
      <c r="J1308">
        <v>9637</v>
      </c>
      <c r="K1308">
        <v>2</v>
      </c>
      <c r="L1308">
        <v>3</v>
      </c>
      <c r="M1308">
        <v>3</v>
      </c>
    </row>
    <row r="1309" spans="1:13">
      <c r="A1309">
        <v>28</v>
      </c>
      <c r="B1309" t="s">
        <v>17</v>
      </c>
      <c r="C1309" t="s">
        <v>18</v>
      </c>
      <c r="D1309">
        <v>1</v>
      </c>
      <c r="E1309">
        <v>3</v>
      </c>
      <c r="F1309" t="s">
        <v>21</v>
      </c>
      <c r="G1309">
        <v>3</v>
      </c>
      <c r="H1309">
        <v>1</v>
      </c>
      <c r="I1309" t="s">
        <v>19</v>
      </c>
      <c r="J1309">
        <v>3591</v>
      </c>
      <c r="K1309">
        <v>1</v>
      </c>
      <c r="L1309">
        <v>3</v>
      </c>
      <c r="M1309">
        <v>3</v>
      </c>
    </row>
    <row r="1310" spans="1:13">
      <c r="A1310">
        <v>38</v>
      </c>
      <c r="B1310" t="s">
        <v>17</v>
      </c>
      <c r="C1310" t="s">
        <v>14</v>
      </c>
      <c r="D1310">
        <v>2</v>
      </c>
      <c r="E1310">
        <v>4</v>
      </c>
      <c r="F1310" t="s">
        <v>23</v>
      </c>
      <c r="G1310">
        <v>2</v>
      </c>
      <c r="H1310">
        <v>4</v>
      </c>
      <c r="I1310" t="s">
        <v>19</v>
      </c>
      <c r="J1310">
        <v>5405</v>
      </c>
      <c r="K1310">
        <v>2</v>
      </c>
      <c r="L1310">
        <v>2</v>
      </c>
      <c r="M1310">
        <v>4</v>
      </c>
    </row>
    <row r="1311" spans="1:13">
      <c r="A1311">
        <v>26</v>
      </c>
      <c r="B1311" t="s">
        <v>17</v>
      </c>
      <c r="C1311" t="s">
        <v>14</v>
      </c>
      <c r="D1311">
        <v>10</v>
      </c>
      <c r="E1311">
        <v>3</v>
      </c>
      <c r="F1311" t="s">
        <v>21</v>
      </c>
      <c r="G1311">
        <v>3</v>
      </c>
      <c r="H1311">
        <v>4</v>
      </c>
      <c r="I1311" t="s">
        <v>16</v>
      </c>
      <c r="J1311">
        <v>4684</v>
      </c>
      <c r="K1311">
        <v>1</v>
      </c>
      <c r="L1311">
        <v>3</v>
      </c>
      <c r="M1311">
        <v>5</v>
      </c>
    </row>
    <row r="1312" spans="1:13">
      <c r="A1312">
        <v>58</v>
      </c>
      <c r="B1312" t="s">
        <v>17</v>
      </c>
      <c r="C1312" t="s">
        <v>18</v>
      </c>
      <c r="D1312">
        <v>15</v>
      </c>
      <c r="E1312">
        <v>4</v>
      </c>
      <c r="F1312" t="s">
        <v>15</v>
      </c>
      <c r="G1312">
        <v>1</v>
      </c>
      <c r="H1312">
        <v>3</v>
      </c>
      <c r="I1312" t="s">
        <v>19</v>
      </c>
      <c r="J1312">
        <v>15787</v>
      </c>
      <c r="K1312">
        <v>2</v>
      </c>
      <c r="L1312">
        <v>3</v>
      </c>
      <c r="M1312">
        <v>2</v>
      </c>
    </row>
    <row r="1313" spans="1:13">
      <c r="A1313">
        <v>18</v>
      </c>
      <c r="B1313" t="s">
        <v>17</v>
      </c>
      <c r="C1313" t="s">
        <v>18</v>
      </c>
      <c r="D1313">
        <v>14</v>
      </c>
      <c r="E1313">
        <v>3</v>
      </c>
      <c r="F1313" t="s">
        <v>21</v>
      </c>
      <c r="G1313">
        <v>2</v>
      </c>
      <c r="H1313">
        <v>3</v>
      </c>
      <c r="I1313" t="s">
        <v>16</v>
      </c>
      <c r="J1313">
        <v>1514</v>
      </c>
      <c r="K1313">
        <v>1</v>
      </c>
      <c r="L1313">
        <v>1</v>
      </c>
      <c r="M1313">
        <v>0</v>
      </c>
    </row>
    <row r="1314" spans="1:13">
      <c r="A1314">
        <v>31</v>
      </c>
      <c r="B1314" t="s">
        <v>13</v>
      </c>
      <c r="C1314" t="s">
        <v>25</v>
      </c>
      <c r="D1314">
        <v>18</v>
      </c>
      <c r="E1314">
        <v>5</v>
      </c>
      <c r="F1314" t="s">
        <v>25</v>
      </c>
      <c r="G1314">
        <v>4</v>
      </c>
      <c r="H1314">
        <v>1</v>
      </c>
      <c r="I1314" t="s">
        <v>19</v>
      </c>
      <c r="J1314">
        <v>2956</v>
      </c>
      <c r="K1314">
        <v>0</v>
      </c>
      <c r="L1314">
        <v>3</v>
      </c>
      <c r="M1314">
        <v>1</v>
      </c>
    </row>
    <row r="1315" spans="1:13">
      <c r="A1315">
        <v>29</v>
      </c>
      <c r="B1315" t="s">
        <v>13</v>
      </c>
      <c r="C1315" t="s">
        <v>25</v>
      </c>
      <c r="D1315">
        <v>13</v>
      </c>
      <c r="E1315">
        <v>3</v>
      </c>
      <c r="F1315" t="s">
        <v>25</v>
      </c>
      <c r="G1315">
        <v>1</v>
      </c>
      <c r="H1315">
        <v>1</v>
      </c>
      <c r="I1315" t="s">
        <v>22</v>
      </c>
      <c r="J1315">
        <v>2335</v>
      </c>
      <c r="K1315">
        <v>4</v>
      </c>
      <c r="L1315">
        <v>3</v>
      </c>
      <c r="M1315">
        <v>2</v>
      </c>
    </row>
    <row r="1316" spans="1:13">
      <c r="A1316">
        <v>45</v>
      </c>
      <c r="B1316" t="s">
        <v>17</v>
      </c>
      <c r="C1316" t="s">
        <v>14</v>
      </c>
      <c r="D1316">
        <v>2</v>
      </c>
      <c r="E1316">
        <v>4</v>
      </c>
      <c r="F1316" t="s">
        <v>15</v>
      </c>
      <c r="G1316">
        <v>3</v>
      </c>
      <c r="H1316">
        <v>3</v>
      </c>
      <c r="I1316" t="s">
        <v>19</v>
      </c>
      <c r="J1316">
        <v>5154</v>
      </c>
      <c r="K1316">
        <v>4</v>
      </c>
      <c r="L1316">
        <v>4</v>
      </c>
      <c r="M1316">
        <v>8</v>
      </c>
    </row>
    <row r="1317" spans="1:13">
      <c r="A1317">
        <v>36</v>
      </c>
      <c r="B1317" t="s">
        <v>17</v>
      </c>
      <c r="C1317" t="s">
        <v>18</v>
      </c>
      <c r="D1317">
        <v>2</v>
      </c>
      <c r="E1317">
        <v>4</v>
      </c>
      <c r="F1317" t="s">
        <v>20</v>
      </c>
      <c r="G1317">
        <v>4</v>
      </c>
      <c r="H1317">
        <v>2</v>
      </c>
      <c r="I1317" t="s">
        <v>19</v>
      </c>
      <c r="J1317">
        <v>6962</v>
      </c>
      <c r="K1317">
        <v>4</v>
      </c>
      <c r="L1317">
        <v>3</v>
      </c>
      <c r="M1317">
        <v>1</v>
      </c>
    </row>
    <row r="1318" spans="1:13">
      <c r="A1318">
        <v>43</v>
      </c>
      <c r="B1318" t="s">
        <v>17</v>
      </c>
      <c r="C1318" t="s">
        <v>14</v>
      </c>
      <c r="D1318">
        <v>2</v>
      </c>
      <c r="E1318">
        <v>4</v>
      </c>
      <c r="F1318" t="s">
        <v>15</v>
      </c>
      <c r="G1318">
        <v>1</v>
      </c>
      <c r="H1318">
        <v>4</v>
      </c>
      <c r="I1318" t="s">
        <v>19</v>
      </c>
      <c r="J1318">
        <v>5675</v>
      </c>
      <c r="K1318">
        <v>1</v>
      </c>
      <c r="L1318">
        <v>3</v>
      </c>
      <c r="M1318">
        <v>7</v>
      </c>
    </row>
    <row r="1319" spans="1:13">
      <c r="A1319">
        <v>27</v>
      </c>
      <c r="B1319" t="s">
        <v>17</v>
      </c>
      <c r="C1319" t="s">
        <v>18</v>
      </c>
      <c r="D1319">
        <v>5</v>
      </c>
      <c r="E1319">
        <v>2</v>
      </c>
      <c r="F1319" t="s">
        <v>15</v>
      </c>
      <c r="G1319">
        <v>4</v>
      </c>
      <c r="H1319">
        <v>4</v>
      </c>
      <c r="I1319" t="s">
        <v>16</v>
      </c>
      <c r="J1319">
        <v>2379</v>
      </c>
      <c r="K1319">
        <v>0</v>
      </c>
      <c r="L1319">
        <v>2</v>
      </c>
      <c r="M1319">
        <v>5</v>
      </c>
    </row>
    <row r="1320" spans="1:13">
      <c r="A1320">
        <v>29</v>
      </c>
      <c r="B1320" t="s">
        <v>17</v>
      </c>
      <c r="C1320" t="s">
        <v>18</v>
      </c>
      <c r="D1320">
        <v>20</v>
      </c>
      <c r="E1320">
        <v>1</v>
      </c>
      <c r="F1320" t="s">
        <v>21</v>
      </c>
      <c r="G1320">
        <v>4</v>
      </c>
      <c r="H1320">
        <v>4</v>
      </c>
      <c r="I1320" t="s">
        <v>19</v>
      </c>
      <c r="J1320">
        <v>3812</v>
      </c>
      <c r="K1320">
        <v>1</v>
      </c>
      <c r="L1320">
        <v>4</v>
      </c>
      <c r="M1320">
        <v>11</v>
      </c>
    </row>
    <row r="1321" spans="1:13">
      <c r="A1321">
        <v>32</v>
      </c>
      <c r="B1321" t="s">
        <v>17</v>
      </c>
      <c r="C1321" t="s">
        <v>14</v>
      </c>
      <c r="D1321">
        <v>10</v>
      </c>
      <c r="E1321">
        <v>4</v>
      </c>
      <c r="F1321" t="s">
        <v>23</v>
      </c>
      <c r="G1321">
        <v>4</v>
      </c>
      <c r="H1321">
        <v>4</v>
      </c>
      <c r="I1321" t="s">
        <v>16</v>
      </c>
      <c r="J1321">
        <v>4648</v>
      </c>
      <c r="K1321">
        <v>8</v>
      </c>
      <c r="L1321">
        <v>4</v>
      </c>
      <c r="M1321">
        <v>0</v>
      </c>
    </row>
    <row r="1322" spans="1:13">
      <c r="A1322">
        <v>42</v>
      </c>
      <c r="B1322" t="s">
        <v>17</v>
      </c>
      <c r="C1322" t="s">
        <v>18</v>
      </c>
      <c r="D1322">
        <v>10</v>
      </c>
      <c r="E1322">
        <v>4</v>
      </c>
      <c r="F1322" t="s">
        <v>24</v>
      </c>
      <c r="G1322">
        <v>3</v>
      </c>
      <c r="H1322">
        <v>3</v>
      </c>
      <c r="I1322" t="s">
        <v>19</v>
      </c>
      <c r="J1322">
        <v>2936</v>
      </c>
      <c r="K1322">
        <v>3</v>
      </c>
      <c r="L1322">
        <v>2</v>
      </c>
      <c r="M1322">
        <v>6</v>
      </c>
    </row>
    <row r="1323" spans="1:13">
      <c r="A1323">
        <v>47</v>
      </c>
      <c r="B1323" t="s">
        <v>17</v>
      </c>
      <c r="C1323" t="s">
        <v>18</v>
      </c>
      <c r="D1323">
        <v>9</v>
      </c>
      <c r="E1323">
        <v>4</v>
      </c>
      <c r="F1323" t="s">
        <v>15</v>
      </c>
      <c r="G1323">
        <v>2</v>
      </c>
      <c r="H1323">
        <v>3</v>
      </c>
      <c r="I1323" t="s">
        <v>16</v>
      </c>
      <c r="J1323">
        <v>2105</v>
      </c>
      <c r="K1323">
        <v>4</v>
      </c>
      <c r="L1323">
        <v>3</v>
      </c>
      <c r="M1323">
        <v>2</v>
      </c>
    </row>
    <row r="1324" spans="1:13">
      <c r="A1324">
        <v>46</v>
      </c>
      <c r="B1324" t="s">
        <v>17</v>
      </c>
      <c r="C1324" t="s">
        <v>18</v>
      </c>
      <c r="D1324">
        <v>2</v>
      </c>
      <c r="E1324">
        <v>2</v>
      </c>
      <c r="F1324" t="s">
        <v>15</v>
      </c>
      <c r="G1324">
        <v>4</v>
      </c>
      <c r="H1324">
        <v>4</v>
      </c>
      <c r="I1324" t="s">
        <v>22</v>
      </c>
      <c r="J1324">
        <v>8578</v>
      </c>
      <c r="K1324">
        <v>3</v>
      </c>
      <c r="L1324">
        <v>2</v>
      </c>
      <c r="M1324">
        <v>9</v>
      </c>
    </row>
    <row r="1325" spans="1:13">
      <c r="A1325">
        <v>28</v>
      </c>
      <c r="B1325" t="s">
        <v>17</v>
      </c>
      <c r="C1325" t="s">
        <v>25</v>
      </c>
      <c r="D1325">
        <v>1</v>
      </c>
      <c r="E1325">
        <v>2</v>
      </c>
      <c r="F1325" t="s">
        <v>15</v>
      </c>
      <c r="G1325">
        <v>3</v>
      </c>
      <c r="H1325">
        <v>4</v>
      </c>
      <c r="I1325" t="s">
        <v>22</v>
      </c>
      <c r="J1325">
        <v>2706</v>
      </c>
      <c r="K1325">
        <v>1</v>
      </c>
      <c r="L1325">
        <v>3</v>
      </c>
      <c r="M1325">
        <v>3</v>
      </c>
    </row>
    <row r="1326" spans="1:13">
      <c r="A1326">
        <v>29</v>
      </c>
      <c r="B1326" t="s">
        <v>17</v>
      </c>
      <c r="C1326" t="s">
        <v>18</v>
      </c>
      <c r="D1326">
        <v>29</v>
      </c>
      <c r="E1326">
        <v>1</v>
      </c>
      <c r="F1326" t="s">
        <v>15</v>
      </c>
      <c r="G1326">
        <v>4</v>
      </c>
      <c r="H1326">
        <v>3</v>
      </c>
      <c r="I1326" t="s">
        <v>22</v>
      </c>
      <c r="J1326">
        <v>6384</v>
      </c>
      <c r="K1326">
        <v>8</v>
      </c>
      <c r="L1326">
        <v>3</v>
      </c>
      <c r="M1326">
        <v>7</v>
      </c>
    </row>
    <row r="1327" spans="1:13">
      <c r="A1327">
        <v>42</v>
      </c>
      <c r="B1327" t="s">
        <v>17</v>
      </c>
      <c r="C1327" t="s">
        <v>18</v>
      </c>
      <c r="D1327">
        <v>8</v>
      </c>
      <c r="E1327">
        <v>3</v>
      </c>
      <c r="F1327" t="s">
        <v>15</v>
      </c>
      <c r="G1327">
        <v>4</v>
      </c>
      <c r="H1327">
        <v>3</v>
      </c>
      <c r="I1327" t="s">
        <v>16</v>
      </c>
      <c r="J1327">
        <v>3968</v>
      </c>
      <c r="K1327">
        <v>4</v>
      </c>
      <c r="L1327">
        <v>3</v>
      </c>
      <c r="M1327">
        <v>0</v>
      </c>
    </row>
    <row r="1328" spans="1:13">
      <c r="A1328">
        <v>32</v>
      </c>
      <c r="B1328" t="s">
        <v>13</v>
      </c>
      <c r="C1328" t="s">
        <v>14</v>
      </c>
      <c r="D1328">
        <v>2</v>
      </c>
      <c r="E1328">
        <v>4</v>
      </c>
      <c r="F1328" t="s">
        <v>23</v>
      </c>
      <c r="G1328">
        <v>3</v>
      </c>
      <c r="H1328">
        <v>2</v>
      </c>
      <c r="I1328" t="s">
        <v>16</v>
      </c>
      <c r="J1328">
        <v>9907</v>
      </c>
      <c r="K1328">
        <v>7</v>
      </c>
      <c r="L1328">
        <v>2</v>
      </c>
      <c r="M1328">
        <v>2</v>
      </c>
    </row>
    <row r="1329" spans="1:13">
      <c r="A1329">
        <v>46</v>
      </c>
      <c r="B1329" t="s">
        <v>17</v>
      </c>
      <c r="C1329" t="s">
        <v>14</v>
      </c>
      <c r="D1329">
        <v>3</v>
      </c>
      <c r="E1329">
        <v>3</v>
      </c>
      <c r="F1329" t="s">
        <v>24</v>
      </c>
      <c r="G1329">
        <v>1</v>
      </c>
      <c r="H1329">
        <v>1</v>
      </c>
      <c r="I1329" t="s">
        <v>22</v>
      </c>
      <c r="J1329">
        <v>13225</v>
      </c>
      <c r="K1329">
        <v>2</v>
      </c>
      <c r="L1329">
        <v>3</v>
      </c>
      <c r="M1329">
        <v>19</v>
      </c>
    </row>
    <row r="1330" spans="1:13">
      <c r="A1330">
        <v>27</v>
      </c>
      <c r="B1330" t="s">
        <v>17</v>
      </c>
      <c r="C1330" t="s">
        <v>14</v>
      </c>
      <c r="D1330">
        <v>23</v>
      </c>
      <c r="E1330">
        <v>1</v>
      </c>
      <c r="F1330" t="s">
        <v>21</v>
      </c>
      <c r="G1330">
        <v>2</v>
      </c>
      <c r="H1330">
        <v>3</v>
      </c>
      <c r="I1330" t="s">
        <v>19</v>
      </c>
      <c r="J1330">
        <v>3540</v>
      </c>
      <c r="K1330">
        <v>1</v>
      </c>
      <c r="L1330">
        <v>3</v>
      </c>
      <c r="M1330">
        <v>9</v>
      </c>
    </row>
    <row r="1331" spans="1:13">
      <c r="A1331">
        <v>29</v>
      </c>
      <c r="B1331" t="s">
        <v>17</v>
      </c>
      <c r="C1331" t="s">
        <v>25</v>
      </c>
      <c r="D1331">
        <v>6</v>
      </c>
      <c r="E1331">
        <v>1</v>
      </c>
      <c r="F1331" t="s">
        <v>21</v>
      </c>
      <c r="G1331">
        <v>4</v>
      </c>
      <c r="H1331">
        <v>2</v>
      </c>
      <c r="I1331" t="s">
        <v>19</v>
      </c>
      <c r="J1331">
        <v>2804</v>
      </c>
      <c r="K1331">
        <v>1</v>
      </c>
      <c r="L1331">
        <v>3</v>
      </c>
      <c r="M1331">
        <v>1</v>
      </c>
    </row>
    <row r="1332" spans="1:13">
      <c r="A1332">
        <v>43</v>
      </c>
      <c r="B1332" t="s">
        <v>17</v>
      </c>
      <c r="C1332" t="s">
        <v>18</v>
      </c>
      <c r="D1332">
        <v>6</v>
      </c>
      <c r="E1332">
        <v>3</v>
      </c>
      <c r="F1332" t="s">
        <v>21</v>
      </c>
      <c r="G1332">
        <v>1</v>
      </c>
      <c r="H1332">
        <v>3</v>
      </c>
      <c r="I1332" t="s">
        <v>19</v>
      </c>
      <c r="J1332">
        <v>19392</v>
      </c>
      <c r="K1332">
        <v>7</v>
      </c>
      <c r="L1332">
        <v>3</v>
      </c>
      <c r="M1332">
        <v>16</v>
      </c>
    </row>
    <row r="1333" spans="1:13">
      <c r="A1333">
        <v>48</v>
      </c>
      <c r="B1333" t="s">
        <v>17</v>
      </c>
      <c r="C1333" t="s">
        <v>18</v>
      </c>
      <c r="D1333">
        <v>10</v>
      </c>
      <c r="E1333">
        <v>3</v>
      </c>
      <c r="F1333" t="s">
        <v>15</v>
      </c>
      <c r="G1333">
        <v>4</v>
      </c>
      <c r="H1333">
        <v>2</v>
      </c>
      <c r="I1333" t="s">
        <v>19</v>
      </c>
      <c r="J1333">
        <v>19665</v>
      </c>
      <c r="K1333">
        <v>4</v>
      </c>
      <c r="L1333">
        <v>3</v>
      </c>
      <c r="M1333">
        <v>22</v>
      </c>
    </row>
    <row r="1334" spans="1:13">
      <c r="A1334">
        <v>29</v>
      </c>
      <c r="B1334" t="s">
        <v>13</v>
      </c>
      <c r="C1334" t="s">
        <v>18</v>
      </c>
      <c r="D1334">
        <v>24</v>
      </c>
      <c r="E1334">
        <v>2</v>
      </c>
      <c r="F1334" t="s">
        <v>15</v>
      </c>
      <c r="G1334">
        <v>4</v>
      </c>
      <c r="H1334">
        <v>4</v>
      </c>
      <c r="I1334" t="s">
        <v>16</v>
      </c>
      <c r="J1334">
        <v>2439</v>
      </c>
      <c r="K1334">
        <v>1</v>
      </c>
      <c r="L1334">
        <v>2</v>
      </c>
      <c r="M1334">
        <v>1</v>
      </c>
    </row>
    <row r="1335" spans="1:13">
      <c r="A1335">
        <v>46</v>
      </c>
      <c r="B1335" t="s">
        <v>13</v>
      </c>
      <c r="C1335" t="s">
        <v>14</v>
      </c>
      <c r="D1335">
        <v>10</v>
      </c>
      <c r="E1335">
        <v>3</v>
      </c>
      <c r="F1335" t="s">
        <v>15</v>
      </c>
      <c r="G1335">
        <v>3</v>
      </c>
      <c r="H1335">
        <v>2</v>
      </c>
      <c r="I1335" t="s">
        <v>19</v>
      </c>
      <c r="J1335">
        <v>7314</v>
      </c>
      <c r="K1335">
        <v>5</v>
      </c>
      <c r="L1335">
        <v>3</v>
      </c>
      <c r="M1335">
        <v>8</v>
      </c>
    </row>
    <row r="1336" spans="1:13">
      <c r="A1336">
        <v>27</v>
      </c>
      <c r="B1336" t="s">
        <v>17</v>
      </c>
      <c r="C1336" t="s">
        <v>18</v>
      </c>
      <c r="D1336">
        <v>15</v>
      </c>
      <c r="E1336">
        <v>3</v>
      </c>
      <c r="F1336" t="s">
        <v>15</v>
      </c>
      <c r="G1336">
        <v>4</v>
      </c>
      <c r="H1336">
        <v>1</v>
      </c>
      <c r="I1336" t="s">
        <v>19</v>
      </c>
      <c r="J1336">
        <v>4774</v>
      </c>
      <c r="K1336">
        <v>0</v>
      </c>
      <c r="L1336">
        <v>2</v>
      </c>
      <c r="M1336">
        <v>7</v>
      </c>
    </row>
    <row r="1337" spans="1:13">
      <c r="A1337">
        <v>39</v>
      </c>
      <c r="B1337" t="s">
        <v>17</v>
      </c>
      <c r="C1337" t="s">
        <v>18</v>
      </c>
      <c r="D1337">
        <v>19</v>
      </c>
      <c r="E1337">
        <v>4</v>
      </c>
      <c r="F1337" t="s">
        <v>20</v>
      </c>
      <c r="G1337">
        <v>4</v>
      </c>
      <c r="H1337">
        <v>4</v>
      </c>
      <c r="I1337" t="s">
        <v>22</v>
      </c>
      <c r="J1337">
        <v>3902</v>
      </c>
      <c r="K1337">
        <v>8</v>
      </c>
      <c r="L1337">
        <v>3</v>
      </c>
      <c r="M1337">
        <v>2</v>
      </c>
    </row>
    <row r="1338" spans="1:13">
      <c r="A1338">
        <v>55</v>
      </c>
      <c r="B1338" t="s">
        <v>17</v>
      </c>
      <c r="C1338" t="s">
        <v>18</v>
      </c>
      <c r="D1338">
        <v>2</v>
      </c>
      <c r="E1338">
        <v>4</v>
      </c>
      <c r="F1338" t="s">
        <v>24</v>
      </c>
      <c r="G1338">
        <v>2</v>
      </c>
      <c r="H1338">
        <v>4</v>
      </c>
      <c r="I1338" t="s">
        <v>19</v>
      </c>
      <c r="J1338">
        <v>2662</v>
      </c>
      <c r="K1338">
        <v>8</v>
      </c>
      <c r="L1338">
        <v>4</v>
      </c>
      <c r="M1338">
        <v>5</v>
      </c>
    </row>
    <row r="1339" spans="1:13">
      <c r="A1339">
        <v>28</v>
      </c>
      <c r="B1339" t="s">
        <v>17</v>
      </c>
      <c r="C1339" t="s">
        <v>14</v>
      </c>
      <c r="D1339">
        <v>3</v>
      </c>
      <c r="E1339">
        <v>3</v>
      </c>
      <c r="F1339" t="s">
        <v>21</v>
      </c>
      <c r="G1339">
        <v>2</v>
      </c>
      <c r="H1339">
        <v>2</v>
      </c>
      <c r="I1339" t="s">
        <v>19</v>
      </c>
      <c r="J1339">
        <v>2856</v>
      </c>
      <c r="K1339">
        <v>1</v>
      </c>
      <c r="L1339">
        <v>3</v>
      </c>
      <c r="M1339">
        <v>1</v>
      </c>
    </row>
    <row r="1340" spans="1:13">
      <c r="A1340">
        <v>30</v>
      </c>
      <c r="B1340" t="s">
        <v>13</v>
      </c>
      <c r="C1340" t="s">
        <v>14</v>
      </c>
      <c r="D1340">
        <v>9</v>
      </c>
      <c r="E1340">
        <v>3</v>
      </c>
      <c r="F1340" t="s">
        <v>21</v>
      </c>
      <c r="G1340">
        <v>2</v>
      </c>
      <c r="H1340">
        <v>4</v>
      </c>
      <c r="I1340" t="s">
        <v>16</v>
      </c>
      <c r="J1340">
        <v>1081</v>
      </c>
      <c r="K1340">
        <v>1</v>
      </c>
      <c r="L1340">
        <v>2</v>
      </c>
      <c r="M1340">
        <v>1</v>
      </c>
    </row>
    <row r="1341" spans="1:13">
      <c r="A1341">
        <v>22</v>
      </c>
      <c r="B1341" t="s">
        <v>13</v>
      </c>
      <c r="C1341" t="s">
        <v>18</v>
      </c>
      <c r="D1341">
        <v>7</v>
      </c>
      <c r="E1341">
        <v>1</v>
      </c>
      <c r="F1341" t="s">
        <v>15</v>
      </c>
      <c r="G1341">
        <v>4</v>
      </c>
      <c r="H1341">
        <v>2</v>
      </c>
      <c r="I1341" t="s">
        <v>16</v>
      </c>
      <c r="J1341">
        <v>2472</v>
      </c>
      <c r="K1341">
        <v>1</v>
      </c>
      <c r="L1341">
        <v>3</v>
      </c>
      <c r="M1341">
        <v>1</v>
      </c>
    </row>
    <row r="1342" spans="1:13">
      <c r="A1342">
        <v>36</v>
      </c>
      <c r="B1342" t="s">
        <v>17</v>
      </c>
      <c r="C1342" t="s">
        <v>14</v>
      </c>
      <c r="D1342">
        <v>10</v>
      </c>
      <c r="E1342">
        <v>4</v>
      </c>
      <c r="F1342" t="s">
        <v>24</v>
      </c>
      <c r="G1342">
        <v>2</v>
      </c>
      <c r="H1342">
        <v>3</v>
      </c>
      <c r="I1342" t="s">
        <v>19</v>
      </c>
      <c r="J1342">
        <v>5673</v>
      </c>
      <c r="K1342">
        <v>1</v>
      </c>
      <c r="L1342">
        <v>3</v>
      </c>
      <c r="M1342">
        <v>10</v>
      </c>
    </row>
    <row r="1343" spans="1:13">
      <c r="A1343">
        <v>31</v>
      </c>
      <c r="B1343" t="s">
        <v>17</v>
      </c>
      <c r="C1343" t="s">
        <v>18</v>
      </c>
      <c r="D1343">
        <v>20</v>
      </c>
      <c r="E1343">
        <v>3</v>
      </c>
      <c r="F1343" t="s">
        <v>15</v>
      </c>
      <c r="G1343">
        <v>2</v>
      </c>
      <c r="H1343">
        <v>3</v>
      </c>
      <c r="I1343" t="s">
        <v>22</v>
      </c>
      <c r="J1343">
        <v>4197</v>
      </c>
      <c r="K1343">
        <v>1</v>
      </c>
      <c r="L1343">
        <v>3</v>
      </c>
      <c r="M1343">
        <v>10</v>
      </c>
    </row>
    <row r="1344" spans="1:13">
      <c r="A1344">
        <v>34</v>
      </c>
      <c r="B1344" t="s">
        <v>17</v>
      </c>
      <c r="C1344" t="s">
        <v>14</v>
      </c>
      <c r="D1344">
        <v>4</v>
      </c>
      <c r="E1344">
        <v>3</v>
      </c>
      <c r="F1344" t="s">
        <v>15</v>
      </c>
      <c r="G1344">
        <v>3</v>
      </c>
      <c r="H1344">
        <v>4</v>
      </c>
      <c r="I1344" t="s">
        <v>19</v>
      </c>
      <c r="J1344">
        <v>9713</v>
      </c>
      <c r="K1344">
        <v>2</v>
      </c>
      <c r="L1344">
        <v>3</v>
      </c>
      <c r="M1344">
        <v>5</v>
      </c>
    </row>
    <row r="1345" spans="1:13">
      <c r="A1345">
        <v>29</v>
      </c>
      <c r="B1345" t="s">
        <v>17</v>
      </c>
      <c r="C1345" t="s">
        <v>18</v>
      </c>
      <c r="D1345">
        <v>7</v>
      </c>
      <c r="E1345">
        <v>3</v>
      </c>
      <c r="F1345" t="s">
        <v>15</v>
      </c>
      <c r="G1345">
        <v>4</v>
      </c>
      <c r="H1345">
        <v>1</v>
      </c>
      <c r="I1345" t="s">
        <v>16</v>
      </c>
      <c r="J1345">
        <v>2062</v>
      </c>
      <c r="K1345">
        <v>3</v>
      </c>
      <c r="L1345">
        <v>3</v>
      </c>
      <c r="M1345">
        <v>3</v>
      </c>
    </row>
    <row r="1346" spans="1:13">
      <c r="A1346">
        <v>37</v>
      </c>
      <c r="B1346" t="s">
        <v>17</v>
      </c>
      <c r="C1346" t="s">
        <v>18</v>
      </c>
      <c r="D1346">
        <v>7</v>
      </c>
      <c r="E1346">
        <v>4</v>
      </c>
      <c r="F1346" t="s">
        <v>21</v>
      </c>
      <c r="G1346">
        <v>4</v>
      </c>
      <c r="H1346">
        <v>1</v>
      </c>
      <c r="I1346" t="s">
        <v>19</v>
      </c>
      <c r="J1346">
        <v>4284</v>
      </c>
      <c r="K1346">
        <v>5</v>
      </c>
      <c r="L1346">
        <v>3</v>
      </c>
      <c r="M1346">
        <v>5</v>
      </c>
    </row>
    <row r="1347" spans="1:13">
      <c r="A1347">
        <v>35</v>
      </c>
      <c r="B1347" t="s">
        <v>17</v>
      </c>
      <c r="C1347" t="s">
        <v>18</v>
      </c>
      <c r="D1347">
        <v>16</v>
      </c>
      <c r="E1347">
        <v>2</v>
      </c>
      <c r="F1347" t="s">
        <v>20</v>
      </c>
      <c r="G1347">
        <v>4</v>
      </c>
      <c r="H1347">
        <v>2</v>
      </c>
      <c r="I1347" t="s">
        <v>19</v>
      </c>
      <c r="J1347">
        <v>4788</v>
      </c>
      <c r="K1347">
        <v>0</v>
      </c>
      <c r="L1347">
        <v>3</v>
      </c>
      <c r="M1347">
        <v>3</v>
      </c>
    </row>
    <row r="1348" spans="1:13">
      <c r="A1348">
        <v>45</v>
      </c>
      <c r="B1348" t="s">
        <v>17</v>
      </c>
      <c r="C1348" t="s">
        <v>18</v>
      </c>
      <c r="D1348">
        <v>25</v>
      </c>
      <c r="E1348">
        <v>2</v>
      </c>
      <c r="F1348" t="s">
        <v>15</v>
      </c>
      <c r="G1348">
        <v>2</v>
      </c>
      <c r="H1348">
        <v>4</v>
      </c>
      <c r="I1348" t="s">
        <v>19</v>
      </c>
      <c r="J1348">
        <v>5906</v>
      </c>
      <c r="K1348">
        <v>0</v>
      </c>
      <c r="L1348">
        <v>2</v>
      </c>
      <c r="M1348">
        <v>9</v>
      </c>
    </row>
    <row r="1349" spans="1:13">
      <c r="A1349">
        <v>36</v>
      </c>
      <c r="B1349" t="s">
        <v>17</v>
      </c>
      <c r="C1349" t="s">
        <v>25</v>
      </c>
      <c r="D1349">
        <v>2</v>
      </c>
      <c r="E1349">
        <v>1</v>
      </c>
      <c r="F1349" t="s">
        <v>25</v>
      </c>
      <c r="G1349">
        <v>2</v>
      </c>
      <c r="H1349">
        <v>4</v>
      </c>
      <c r="I1349" t="s">
        <v>16</v>
      </c>
      <c r="J1349">
        <v>3886</v>
      </c>
      <c r="K1349">
        <v>1</v>
      </c>
      <c r="L1349">
        <v>2</v>
      </c>
      <c r="M1349">
        <v>10</v>
      </c>
    </row>
    <row r="1350" spans="1:13">
      <c r="A1350">
        <v>40</v>
      </c>
      <c r="B1350" t="s">
        <v>17</v>
      </c>
      <c r="C1350" t="s">
        <v>18</v>
      </c>
      <c r="D1350">
        <v>1</v>
      </c>
      <c r="E1350">
        <v>4</v>
      </c>
      <c r="F1350" t="s">
        <v>15</v>
      </c>
      <c r="G1350">
        <v>1</v>
      </c>
      <c r="H1350">
        <v>1</v>
      </c>
      <c r="I1350" t="s">
        <v>22</v>
      </c>
      <c r="J1350">
        <v>16823</v>
      </c>
      <c r="K1350">
        <v>2</v>
      </c>
      <c r="L1350">
        <v>3</v>
      </c>
      <c r="M1350">
        <v>19</v>
      </c>
    </row>
    <row r="1351" spans="1:13">
      <c r="A1351">
        <v>26</v>
      </c>
      <c r="B1351" t="s">
        <v>17</v>
      </c>
      <c r="C1351" t="s">
        <v>18</v>
      </c>
      <c r="D1351">
        <v>1</v>
      </c>
      <c r="E1351">
        <v>2</v>
      </c>
      <c r="F1351" t="s">
        <v>15</v>
      </c>
      <c r="G1351">
        <v>2</v>
      </c>
      <c r="H1351">
        <v>3</v>
      </c>
      <c r="I1351" t="s">
        <v>19</v>
      </c>
      <c r="J1351">
        <v>2933</v>
      </c>
      <c r="K1351">
        <v>1</v>
      </c>
      <c r="L1351">
        <v>2</v>
      </c>
      <c r="M1351">
        <v>1</v>
      </c>
    </row>
    <row r="1352" spans="1:13">
      <c r="A1352">
        <v>27</v>
      </c>
      <c r="B1352" t="s">
        <v>17</v>
      </c>
      <c r="C1352" t="s">
        <v>14</v>
      </c>
      <c r="D1352">
        <v>2</v>
      </c>
      <c r="E1352">
        <v>2</v>
      </c>
      <c r="F1352" t="s">
        <v>21</v>
      </c>
      <c r="G1352">
        <v>1</v>
      </c>
      <c r="H1352">
        <v>3</v>
      </c>
      <c r="I1352" t="s">
        <v>16</v>
      </c>
      <c r="J1352">
        <v>6500</v>
      </c>
      <c r="K1352">
        <v>0</v>
      </c>
      <c r="L1352">
        <v>2</v>
      </c>
      <c r="M1352">
        <v>8</v>
      </c>
    </row>
    <row r="1353" spans="1:13">
      <c r="A1353">
        <v>48</v>
      </c>
      <c r="B1353" t="s">
        <v>17</v>
      </c>
      <c r="C1353" t="s">
        <v>18</v>
      </c>
      <c r="D1353">
        <v>22</v>
      </c>
      <c r="E1353">
        <v>3</v>
      </c>
      <c r="F1353" t="s">
        <v>21</v>
      </c>
      <c r="G1353">
        <v>4</v>
      </c>
      <c r="H1353">
        <v>4</v>
      </c>
      <c r="I1353" t="s">
        <v>22</v>
      </c>
      <c r="J1353">
        <v>17174</v>
      </c>
      <c r="K1353">
        <v>3</v>
      </c>
      <c r="L1353">
        <v>3</v>
      </c>
      <c r="M1353">
        <v>22</v>
      </c>
    </row>
    <row r="1354" spans="1:13">
      <c r="A1354">
        <v>44</v>
      </c>
      <c r="B1354" t="s">
        <v>17</v>
      </c>
      <c r="C1354" t="s">
        <v>18</v>
      </c>
      <c r="D1354">
        <v>1</v>
      </c>
      <c r="E1354">
        <v>4</v>
      </c>
      <c r="F1354" t="s">
        <v>15</v>
      </c>
      <c r="G1354">
        <v>2</v>
      </c>
      <c r="H1354">
        <v>1</v>
      </c>
      <c r="I1354" t="s">
        <v>19</v>
      </c>
      <c r="J1354">
        <v>5033</v>
      </c>
      <c r="K1354">
        <v>2</v>
      </c>
      <c r="L1354">
        <v>3</v>
      </c>
      <c r="M1354">
        <v>2</v>
      </c>
    </row>
    <row r="1355" spans="1:13">
      <c r="A1355">
        <v>34</v>
      </c>
      <c r="B1355" t="s">
        <v>13</v>
      </c>
      <c r="C1355" t="s">
        <v>18</v>
      </c>
      <c r="D1355">
        <v>16</v>
      </c>
      <c r="E1355">
        <v>4</v>
      </c>
      <c r="F1355" t="s">
        <v>24</v>
      </c>
      <c r="G1355">
        <v>4</v>
      </c>
      <c r="H1355">
        <v>1</v>
      </c>
      <c r="I1355" t="s">
        <v>19</v>
      </c>
      <c r="J1355">
        <v>2307</v>
      </c>
      <c r="K1355">
        <v>1</v>
      </c>
      <c r="L1355">
        <v>3</v>
      </c>
      <c r="M1355">
        <v>5</v>
      </c>
    </row>
    <row r="1356" spans="1:13">
      <c r="A1356">
        <v>56</v>
      </c>
      <c r="B1356" t="s">
        <v>13</v>
      </c>
      <c r="C1356" t="s">
        <v>18</v>
      </c>
      <c r="D1356">
        <v>24</v>
      </c>
      <c r="E1356">
        <v>2</v>
      </c>
      <c r="F1356" t="s">
        <v>15</v>
      </c>
      <c r="G1356">
        <v>1</v>
      </c>
      <c r="H1356">
        <v>4</v>
      </c>
      <c r="I1356" t="s">
        <v>16</v>
      </c>
      <c r="J1356">
        <v>2587</v>
      </c>
      <c r="K1356">
        <v>1</v>
      </c>
      <c r="L1356">
        <v>3</v>
      </c>
      <c r="M1356">
        <v>4</v>
      </c>
    </row>
    <row r="1357" spans="1:13">
      <c r="A1357">
        <v>36</v>
      </c>
      <c r="B1357" t="s">
        <v>17</v>
      </c>
      <c r="C1357" t="s">
        <v>14</v>
      </c>
      <c r="D1357">
        <v>17</v>
      </c>
      <c r="E1357">
        <v>2</v>
      </c>
      <c r="F1357" t="s">
        <v>23</v>
      </c>
      <c r="G1357">
        <v>3</v>
      </c>
      <c r="H1357">
        <v>2</v>
      </c>
      <c r="I1357" t="s">
        <v>19</v>
      </c>
      <c r="J1357">
        <v>5507</v>
      </c>
      <c r="K1357">
        <v>2</v>
      </c>
      <c r="L1357">
        <v>1</v>
      </c>
      <c r="M1357">
        <v>4</v>
      </c>
    </row>
    <row r="1358" spans="1:13">
      <c r="A1358">
        <v>41</v>
      </c>
      <c r="B1358" t="s">
        <v>17</v>
      </c>
      <c r="C1358" t="s">
        <v>14</v>
      </c>
      <c r="D1358">
        <v>8</v>
      </c>
      <c r="E1358">
        <v>3</v>
      </c>
      <c r="F1358" t="s">
        <v>23</v>
      </c>
      <c r="G1358">
        <v>3</v>
      </c>
      <c r="H1358">
        <v>2</v>
      </c>
      <c r="I1358" t="s">
        <v>19</v>
      </c>
      <c r="J1358">
        <v>4393</v>
      </c>
      <c r="K1358">
        <v>5</v>
      </c>
      <c r="L1358">
        <v>3</v>
      </c>
      <c r="M1358">
        <v>5</v>
      </c>
    </row>
    <row r="1359" spans="1:13">
      <c r="A1359">
        <v>42</v>
      </c>
      <c r="B1359" t="s">
        <v>17</v>
      </c>
      <c r="C1359" t="s">
        <v>18</v>
      </c>
      <c r="D1359">
        <v>6</v>
      </c>
      <c r="E1359">
        <v>3</v>
      </c>
      <c r="F1359" t="s">
        <v>21</v>
      </c>
      <c r="G1359">
        <v>3</v>
      </c>
      <c r="H1359">
        <v>1</v>
      </c>
      <c r="I1359" t="s">
        <v>19</v>
      </c>
      <c r="J1359">
        <v>13348</v>
      </c>
      <c r="K1359">
        <v>9</v>
      </c>
      <c r="L1359">
        <v>4</v>
      </c>
      <c r="M1359">
        <v>13</v>
      </c>
    </row>
    <row r="1360" spans="1:13">
      <c r="A1360">
        <v>31</v>
      </c>
      <c r="B1360" t="s">
        <v>17</v>
      </c>
      <c r="C1360" t="s">
        <v>14</v>
      </c>
      <c r="D1360">
        <v>10</v>
      </c>
      <c r="E1360">
        <v>2</v>
      </c>
      <c r="F1360" t="s">
        <v>21</v>
      </c>
      <c r="G1360">
        <v>3</v>
      </c>
      <c r="H1360">
        <v>4</v>
      </c>
      <c r="I1360" t="s">
        <v>22</v>
      </c>
      <c r="J1360">
        <v>6583</v>
      </c>
      <c r="K1360">
        <v>2</v>
      </c>
      <c r="L1360">
        <v>3</v>
      </c>
      <c r="M1360">
        <v>5</v>
      </c>
    </row>
    <row r="1361" spans="1:13">
      <c r="A1361">
        <v>34</v>
      </c>
      <c r="B1361" t="s">
        <v>17</v>
      </c>
      <c r="C1361" t="s">
        <v>14</v>
      </c>
      <c r="D1361">
        <v>3</v>
      </c>
      <c r="E1361">
        <v>1</v>
      </c>
      <c r="F1361" t="s">
        <v>21</v>
      </c>
      <c r="G1361">
        <v>4</v>
      </c>
      <c r="H1361">
        <v>4</v>
      </c>
      <c r="I1361" t="s">
        <v>19</v>
      </c>
      <c r="J1361">
        <v>8103</v>
      </c>
      <c r="K1361">
        <v>3</v>
      </c>
      <c r="L1361">
        <v>2</v>
      </c>
      <c r="M1361">
        <v>4</v>
      </c>
    </row>
    <row r="1362" spans="1:13">
      <c r="A1362">
        <v>31</v>
      </c>
      <c r="B1362" t="s">
        <v>17</v>
      </c>
      <c r="C1362" t="s">
        <v>18</v>
      </c>
      <c r="D1362">
        <v>4</v>
      </c>
      <c r="E1362">
        <v>3</v>
      </c>
      <c r="F1362" t="s">
        <v>21</v>
      </c>
      <c r="G1362">
        <v>1</v>
      </c>
      <c r="H1362">
        <v>3</v>
      </c>
      <c r="I1362" t="s">
        <v>22</v>
      </c>
      <c r="J1362">
        <v>3978</v>
      </c>
      <c r="K1362">
        <v>8</v>
      </c>
      <c r="L1362">
        <v>2</v>
      </c>
      <c r="M1362">
        <v>2</v>
      </c>
    </row>
    <row r="1363" spans="1:13">
      <c r="A1363">
        <v>26</v>
      </c>
      <c r="B1363" t="s">
        <v>17</v>
      </c>
      <c r="C1363" t="s">
        <v>18</v>
      </c>
      <c r="D1363">
        <v>6</v>
      </c>
      <c r="E1363">
        <v>3</v>
      </c>
      <c r="F1363" t="s">
        <v>20</v>
      </c>
      <c r="G1363">
        <v>3</v>
      </c>
      <c r="H1363">
        <v>4</v>
      </c>
      <c r="I1363" t="s">
        <v>19</v>
      </c>
      <c r="J1363">
        <v>2544</v>
      </c>
      <c r="K1363">
        <v>0</v>
      </c>
      <c r="L1363">
        <v>3</v>
      </c>
      <c r="M1363">
        <v>7</v>
      </c>
    </row>
    <row r="1364" spans="1:13">
      <c r="A1364">
        <v>45</v>
      </c>
      <c r="B1364" t="s">
        <v>17</v>
      </c>
      <c r="C1364" t="s">
        <v>18</v>
      </c>
      <c r="D1364">
        <v>1</v>
      </c>
      <c r="E1364">
        <v>4</v>
      </c>
      <c r="F1364" t="s">
        <v>21</v>
      </c>
      <c r="G1364">
        <v>2</v>
      </c>
      <c r="H1364">
        <v>3</v>
      </c>
      <c r="I1364" t="s">
        <v>16</v>
      </c>
      <c r="J1364">
        <v>5399</v>
      </c>
      <c r="K1364">
        <v>4</v>
      </c>
      <c r="L1364">
        <v>3</v>
      </c>
      <c r="M1364">
        <v>4</v>
      </c>
    </row>
    <row r="1365" spans="1:13">
      <c r="A1365">
        <v>33</v>
      </c>
      <c r="B1365" t="s">
        <v>17</v>
      </c>
      <c r="C1365" t="s">
        <v>14</v>
      </c>
      <c r="D1365">
        <v>10</v>
      </c>
      <c r="E1365">
        <v>4</v>
      </c>
      <c r="F1365" t="s">
        <v>23</v>
      </c>
      <c r="G1365">
        <v>2</v>
      </c>
      <c r="H1365">
        <v>3</v>
      </c>
      <c r="I1365" t="s">
        <v>16</v>
      </c>
      <c r="J1365">
        <v>5487</v>
      </c>
      <c r="K1365">
        <v>1</v>
      </c>
      <c r="L1365">
        <v>2</v>
      </c>
      <c r="M1365">
        <v>10</v>
      </c>
    </row>
    <row r="1366" spans="1:13">
      <c r="A1366">
        <v>28</v>
      </c>
      <c r="B1366" t="s">
        <v>17</v>
      </c>
      <c r="C1366" t="s">
        <v>14</v>
      </c>
      <c r="D1366">
        <v>1</v>
      </c>
      <c r="E1366">
        <v>2</v>
      </c>
      <c r="F1366" t="s">
        <v>15</v>
      </c>
      <c r="G1366">
        <v>3</v>
      </c>
      <c r="H1366">
        <v>4</v>
      </c>
      <c r="I1366" t="s">
        <v>19</v>
      </c>
      <c r="J1366">
        <v>6834</v>
      </c>
      <c r="K1366">
        <v>1</v>
      </c>
      <c r="L1366">
        <v>3</v>
      </c>
      <c r="M1366">
        <v>7</v>
      </c>
    </row>
    <row r="1367" spans="1:13">
      <c r="A1367">
        <v>29</v>
      </c>
      <c r="B1367" t="s">
        <v>13</v>
      </c>
      <c r="C1367" t="s">
        <v>14</v>
      </c>
      <c r="D1367">
        <v>24</v>
      </c>
      <c r="E1367">
        <v>3</v>
      </c>
      <c r="F1367" t="s">
        <v>24</v>
      </c>
      <c r="G1367">
        <v>3</v>
      </c>
      <c r="H1367">
        <v>1</v>
      </c>
      <c r="I1367" t="s">
        <v>16</v>
      </c>
      <c r="J1367">
        <v>1091</v>
      </c>
      <c r="K1367">
        <v>1</v>
      </c>
      <c r="L1367">
        <v>3</v>
      </c>
      <c r="M1367">
        <v>1</v>
      </c>
    </row>
    <row r="1368" spans="1:13">
      <c r="A1368">
        <v>39</v>
      </c>
      <c r="B1368" t="s">
        <v>17</v>
      </c>
      <c r="C1368" t="s">
        <v>14</v>
      </c>
      <c r="D1368">
        <v>21</v>
      </c>
      <c r="E1368">
        <v>4</v>
      </c>
      <c r="F1368" t="s">
        <v>15</v>
      </c>
      <c r="G1368">
        <v>1</v>
      </c>
      <c r="H1368">
        <v>3</v>
      </c>
      <c r="I1368" t="s">
        <v>19</v>
      </c>
      <c r="J1368">
        <v>5736</v>
      </c>
      <c r="K1368">
        <v>6</v>
      </c>
      <c r="L1368">
        <v>3</v>
      </c>
      <c r="M1368">
        <v>3</v>
      </c>
    </row>
    <row r="1369" spans="1:13">
      <c r="A1369">
        <v>27</v>
      </c>
      <c r="B1369" t="s">
        <v>17</v>
      </c>
      <c r="C1369" t="s">
        <v>18</v>
      </c>
      <c r="D1369">
        <v>2</v>
      </c>
      <c r="E1369">
        <v>4</v>
      </c>
      <c r="F1369" t="s">
        <v>24</v>
      </c>
      <c r="G1369">
        <v>2</v>
      </c>
      <c r="H1369">
        <v>2</v>
      </c>
      <c r="I1369" t="s">
        <v>19</v>
      </c>
      <c r="J1369">
        <v>2226</v>
      </c>
      <c r="K1369">
        <v>1</v>
      </c>
      <c r="L1369">
        <v>2</v>
      </c>
      <c r="M1369">
        <v>5</v>
      </c>
    </row>
    <row r="1370" spans="1:13">
      <c r="A1370">
        <v>34</v>
      </c>
      <c r="B1370" t="s">
        <v>17</v>
      </c>
      <c r="C1370" t="s">
        <v>18</v>
      </c>
      <c r="D1370">
        <v>22</v>
      </c>
      <c r="E1370">
        <v>4</v>
      </c>
      <c r="F1370" t="s">
        <v>20</v>
      </c>
      <c r="G1370">
        <v>3</v>
      </c>
      <c r="H1370">
        <v>4</v>
      </c>
      <c r="I1370" t="s">
        <v>19</v>
      </c>
      <c r="J1370">
        <v>5747</v>
      </c>
      <c r="K1370">
        <v>1</v>
      </c>
      <c r="L1370">
        <v>3</v>
      </c>
      <c r="M1370">
        <v>15</v>
      </c>
    </row>
    <row r="1371" spans="1:13">
      <c r="A1371">
        <v>28</v>
      </c>
      <c r="B1371" t="s">
        <v>13</v>
      </c>
      <c r="C1371" t="s">
        <v>14</v>
      </c>
      <c r="D1371">
        <v>13</v>
      </c>
      <c r="E1371">
        <v>2</v>
      </c>
      <c r="F1371" t="s">
        <v>23</v>
      </c>
      <c r="G1371">
        <v>4</v>
      </c>
      <c r="H1371">
        <v>3</v>
      </c>
      <c r="I1371" t="s">
        <v>16</v>
      </c>
      <c r="J1371">
        <v>9854</v>
      </c>
      <c r="K1371">
        <v>3</v>
      </c>
      <c r="L1371">
        <v>3</v>
      </c>
      <c r="M1371">
        <v>2</v>
      </c>
    </row>
    <row r="1372" spans="1:13">
      <c r="A1372">
        <v>47</v>
      </c>
      <c r="B1372" t="s">
        <v>17</v>
      </c>
      <c r="C1372" t="s">
        <v>18</v>
      </c>
      <c r="D1372">
        <v>14</v>
      </c>
      <c r="E1372">
        <v>4</v>
      </c>
      <c r="F1372" t="s">
        <v>24</v>
      </c>
      <c r="G1372">
        <v>3</v>
      </c>
      <c r="H1372">
        <v>2</v>
      </c>
      <c r="I1372" t="s">
        <v>19</v>
      </c>
      <c r="J1372">
        <v>5467</v>
      </c>
      <c r="K1372">
        <v>8</v>
      </c>
      <c r="L1372">
        <v>4</v>
      </c>
      <c r="M1372">
        <v>8</v>
      </c>
    </row>
    <row r="1373" spans="1:13">
      <c r="A1373">
        <v>56</v>
      </c>
      <c r="B1373" t="s">
        <v>17</v>
      </c>
      <c r="C1373" t="s">
        <v>14</v>
      </c>
      <c r="D1373">
        <v>11</v>
      </c>
      <c r="E1373">
        <v>5</v>
      </c>
      <c r="F1373" t="s">
        <v>23</v>
      </c>
      <c r="G1373">
        <v>4</v>
      </c>
      <c r="H1373">
        <v>1</v>
      </c>
      <c r="I1373" t="s">
        <v>19</v>
      </c>
      <c r="J1373">
        <v>5380</v>
      </c>
      <c r="K1373">
        <v>4</v>
      </c>
      <c r="L1373">
        <v>3</v>
      </c>
      <c r="M1373">
        <v>0</v>
      </c>
    </row>
    <row r="1374" spans="1:13">
      <c r="A1374">
        <v>39</v>
      </c>
      <c r="B1374" t="s">
        <v>17</v>
      </c>
      <c r="C1374" t="s">
        <v>18</v>
      </c>
      <c r="D1374">
        <v>9</v>
      </c>
      <c r="E1374">
        <v>2</v>
      </c>
      <c r="F1374" t="s">
        <v>21</v>
      </c>
      <c r="G1374">
        <v>1</v>
      </c>
      <c r="H1374">
        <v>1</v>
      </c>
      <c r="I1374" t="s">
        <v>19</v>
      </c>
      <c r="J1374">
        <v>5151</v>
      </c>
      <c r="K1374">
        <v>1</v>
      </c>
      <c r="L1374">
        <v>3</v>
      </c>
      <c r="M1374">
        <v>10</v>
      </c>
    </row>
    <row r="1375" spans="1:13">
      <c r="A1375">
        <v>38</v>
      </c>
      <c r="B1375" t="s">
        <v>17</v>
      </c>
      <c r="C1375" t="s">
        <v>18</v>
      </c>
      <c r="D1375">
        <v>8</v>
      </c>
      <c r="E1375">
        <v>3</v>
      </c>
      <c r="F1375" t="s">
        <v>21</v>
      </c>
      <c r="G1375">
        <v>4</v>
      </c>
      <c r="H1375">
        <v>2</v>
      </c>
      <c r="I1375" t="s">
        <v>22</v>
      </c>
      <c r="J1375">
        <v>2133</v>
      </c>
      <c r="K1375">
        <v>1</v>
      </c>
      <c r="L1375">
        <v>3</v>
      </c>
      <c r="M1375">
        <v>20</v>
      </c>
    </row>
    <row r="1376" spans="1:13">
      <c r="A1376">
        <v>58</v>
      </c>
      <c r="B1376" t="s">
        <v>17</v>
      </c>
      <c r="C1376" t="s">
        <v>14</v>
      </c>
      <c r="D1376">
        <v>21</v>
      </c>
      <c r="E1376">
        <v>3</v>
      </c>
      <c r="F1376" t="s">
        <v>15</v>
      </c>
      <c r="G1376">
        <v>4</v>
      </c>
      <c r="H1376">
        <v>4</v>
      </c>
      <c r="I1376" t="s">
        <v>19</v>
      </c>
      <c r="J1376">
        <v>17875</v>
      </c>
      <c r="K1376">
        <v>4</v>
      </c>
      <c r="L1376">
        <v>2</v>
      </c>
      <c r="M1376">
        <v>1</v>
      </c>
    </row>
    <row r="1377" spans="1:13">
      <c r="A1377">
        <v>32</v>
      </c>
      <c r="B1377" t="s">
        <v>13</v>
      </c>
      <c r="C1377" t="s">
        <v>18</v>
      </c>
      <c r="D1377">
        <v>5</v>
      </c>
      <c r="E1377">
        <v>2</v>
      </c>
      <c r="F1377" t="s">
        <v>15</v>
      </c>
      <c r="G1377">
        <v>1</v>
      </c>
      <c r="H1377">
        <v>3</v>
      </c>
      <c r="I1377" t="s">
        <v>16</v>
      </c>
      <c r="J1377">
        <v>2432</v>
      </c>
      <c r="K1377">
        <v>3</v>
      </c>
      <c r="L1377">
        <v>3</v>
      </c>
      <c r="M1377">
        <v>4</v>
      </c>
    </row>
    <row r="1378" spans="1:13">
      <c r="A1378">
        <v>38</v>
      </c>
      <c r="B1378" t="s">
        <v>17</v>
      </c>
      <c r="C1378" t="s">
        <v>18</v>
      </c>
      <c r="D1378">
        <v>9</v>
      </c>
      <c r="E1378">
        <v>2</v>
      </c>
      <c r="F1378" t="s">
        <v>15</v>
      </c>
      <c r="G1378">
        <v>2</v>
      </c>
      <c r="H1378">
        <v>4</v>
      </c>
      <c r="I1378" t="s">
        <v>22</v>
      </c>
      <c r="J1378">
        <v>4771</v>
      </c>
      <c r="K1378">
        <v>2</v>
      </c>
      <c r="L1378">
        <v>4</v>
      </c>
      <c r="M1378">
        <v>5</v>
      </c>
    </row>
    <row r="1379" spans="1:13">
      <c r="A1379">
        <v>49</v>
      </c>
      <c r="B1379" t="s">
        <v>17</v>
      </c>
      <c r="C1379" t="s">
        <v>18</v>
      </c>
      <c r="D1379">
        <v>2</v>
      </c>
      <c r="E1379">
        <v>1</v>
      </c>
      <c r="F1379" t="s">
        <v>15</v>
      </c>
      <c r="G1379">
        <v>2</v>
      </c>
      <c r="H1379">
        <v>4</v>
      </c>
      <c r="I1379" t="s">
        <v>19</v>
      </c>
      <c r="J1379">
        <v>19161</v>
      </c>
      <c r="K1379">
        <v>3</v>
      </c>
      <c r="L1379">
        <v>3</v>
      </c>
      <c r="M1379">
        <v>5</v>
      </c>
    </row>
    <row r="1380" spans="1:13">
      <c r="A1380">
        <v>42</v>
      </c>
      <c r="B1380" t="s">
        <v>17</v>
      </c>
      <c r="C1380" t="s">
        <v>14</v>
      </c>
      <c r="D1380">
        <v>12</v>
      </c>
      <c r="E1380">
        <v>4</v>
      </c>
      <c r="F1380" t="s">
        <v>23</v>
      </c>
      <c r="G1380">
        <v>2</v>
      </c>
      <c r="H1380">
        <v>4</v>
      </c>
      <c r="I1380" t="s">
        <v>22</v>
      </c>
      <c r="J1380">
        <v>5087</v>
      </c>
      <c r="K1380">
        <v>3</v>
      </c>
      <c r="L1380">
        <v>3</v>
      </c>
      <c r="M1380">
        <v>0</v>
      </c>
    </row>
    <row r="1381" spans="1:13">
      <c r="A1381">
        <v>27</v>
      </c>
      <c r="B1381" t="s">
        <v>13</v>
      </c>
      <c r="C1381" t="s">
        <v>25</v>
      </c>
      <c r="D1381">
        <v>22</v>
      </c>
      <c r="E1381">
        <v>3</v>
      </c>
      <c r="F1381" t="s">
        <v>25</v>
      </c>
      <c r="G1381">
        <v>1</v>
      </c>
      <c r="H1381">
        <v>2</v>
      </c>
      <c r="I1381" t="s">
        <v>19</v>
      </c>
      <c r="J1381">
        <v>2863</v>
      </c>
      <c r="K1381">
        <v>1</v>
      </c>
      <c r="L1381">
        <v>3</v>
      </c>
      <c r="M1381">
        <v>1</v>
      </c>
    </row>
    <row r="1382" spans="1:13">
      <c r="A1382">
        <v>35</v>
      </c>
      <c r="B1382" t="s">
        <v>17</v>
      </c>
      <c r="C1382" t="s">
        <v>14</v>
      </c>
      <c r="D1382">
        <v>18</v>
      </c>
      <c r="E1382">
        <v>4</v>
      </c>
      <c r="F1382" t="s">
        <v>21</v>
      </c>
      <c r="G1382">
        <v>2</v>
      </c>
      <c r="H1382">
        <v>1</v>
      </c>
      <c r="I1382" t="s">
        <v>19</v>
      </c>
      <c r="J1382">
        <v>5561</v>
      </c>
      <c r="K1382">
        <v>0</v>
      </c>
      <c r="L1382">
        <v>1</v>
      </c>
      <c r="M1382">
        <v>5</v>
      </c>
    </row>
    <row r="1383" spans="1:13">
      <c r="A1383">
        <v>28</v>
      </c>
      <c r="B1383" t="s">
        <v>17</v>
      </c>
      <c r="C1383" t="s">
        <v>18</v>
      </c>
      <c r="D1383">
        <v>16</v>
      </c>
      <c r="E1383">
        <v>3</v>
      </c>
      <c r="F1383" t="s">
        <v>21</v>
      </c>
      <c r="G1383">
        <v>3</v>
      </c>
      <c r="H1383">
        <v>3</v>
      </c>
      <c r="I1383" t="s">
        <v>16</v>
      </c>
      <c r="J1383">
        <v>2144</v>
      </c>
      <c r="K1383">
        <v>1</v>
      </c>
      <c r="L1383">
        <v>2</v>
      </c>
      <c r="M1383">
        <v>5</v>
      </c>
    </row>
    <row r="1384" spans="1:13">
      <c r="A1384">
        <v>31</v>
      </c>
      <c r="B1384" t="s">
        <v>17</v>
      </c>
      <c r="C1384" t="s">
        <v>18</v>
      </c>
      <c r="D1384">
        <v>3</v>
      </c>
      <c r="E1384">
        <v>2</v>
      </c>
      <c r="F1384" t="s">
        <v>21</v>
      </c>
      <c r="G1384">
        <v>3</v>
      </c>
      <c r="H1384">
        <v>1</v>
      </c>
      <c r="I1384" t="s">
        <v>22</v>
      </c>
      <c r="J1384">
        <v>3065</v>
      </c>
      <c r="K1384">
        <v>1</v>
      </c>
      <c r="L1384">
        <v>4</v>
      </c>
      <c r="M1384">
        <v>4</v>
      </c>
    </row>
    <row r="1385" spans="1:13">
      <c r="A1385">
        <v>36</v>
      </c>
      <c r="B1385" t="s">
        <v>17</v>
      </c>
      <c r="C1385" t="s">
        <v>18</v>
      </c>
      <c r="D1385">
        <v>9</v>
      </c>
      <c r="E1385">
        <v>4</v>
      </c>
      <c r="F1385" t="s">
        <v>15</v>
      </c>
      <c r="G1385">
        <v>1</v>
      </c>
      <c r="H1385">
        <v>2</v>
      </c>
      <c r="I1385" t="s">
        <v>19</v>
      </c>
      <c r="J1385">
        <v>2810</v>
      </c>
      <c r="K1385">
        <v>1</v>
      </c>
      <c r="L1385">
        <v>3</v>
      </c>
      <c r="M1385">
        <v>5</v>
      </c>
    </row>
    <row r="1386" spans="1:13">
      <c r="A1386">
        <v>34</v>
      </c>
      <c r="B1386" t="s">
        <v>17</v>
      </c>
      <c r="C1386" t="s">
        <v>14</v>
      </c>
      <c r="D1386">
        <v>1</v>
      </c>
      <c r="E1386">
        <v>3</v>
      </c>
      <c r="F1386" t="s">
        <v>23</v>
      </c>
      <c r="G1386">
        <v>1</v>
      </c>
      <c r="H1386">
        <v>4</v>
      </c>
      <c r="I1386" t="s">
        <v>16</v>
      </c>
      <c r="J1386">
        <v>9888</v>
      </c>
      <c r="K1386">
        <v>1</v>
      </c>
      <c r="L1386">
        <v>2</v>
      </c>
      <c r="M1386">
        <v>14</v>
      </c>
    </row>
    <row r="1387" spans="1:13">
      <c r="A1387">
        <v>34</v>
      </c>
      <c r="B1387" t="s">
        <v>17</v>
      </c>
      <c r="C1387" t="s">
        <v>14</v>
      </c>
      <c r="D1387">
        <v>13</v>
      </c>
      <c r="E1387">
        <v>4</v>
      </c>
      <c r="F1387" t="s">
        <v>21</v>
      </c>
      <c r="G1387">
        <v>4</v>
      </c>
      <c r="H1387">
        <v>3</v>
      </c>
      <c r="I1387" t="s">
        <v>22</v>
      </c>
      <c r="J1387">
        <v>8628</v>
      </c>
      <c r="K1387">
        <v>1</v>
      </c>
      <c r="L1387">
        <v>2</v>
      </c>
      <c r="M1387">
        <v>8</v>
      </c>
    </row>
    <row r="1388" spans="1:13">
      <c r="A1388">
        <v>26</v>
      </c>
      <c r="B1388" t="s">
        <v>17</v>
      </c>
      <c r="C1388" t="s">
        <v>18</v>
      </c>
      <c r="D1388">
        <v>1</v>
      </c>
      <c r="E1388">
        <v>3</v>
      </c>
      <c r="F1388" t="s">
        <v>21</v>
      </c>
      <c r="G1388">
        <v>3</v>
      </c>
      <c r="H1388">
        <v>1</v>
      </c>
      <c r="I1388" t="s">
        <v>16</v>
      </c>
      <c r="J1388">
        <v>2867</v>
      </c>
      <c r="K1388">
        <v>0</v>
      </c>
      <c r="L1388">
        <v>2</v>
      </c>
      <c r="M1388">
        <v>7</v>
      </c>
    </row>
    <row r="1389" spans="1:13">
      <c r="A1389">
        <v>29</v>
      </c>
      <c r="B1389" t="s">
        <v>17</v>
      </c>
      <c r="C1389" t="s">
        <v>18</v>
      </c>
      <c r="D1389">
        <v>1</v>
      </c>
      <c r="E1389">
        <v>3</v>
      </c>
      <c r="F1389" t="s">
        <v>15</v>
      </c>
      <c r="G1389">
        <v>1</v>
      </c>
      <c r="H1389">
        <v>1</v>
      </c>
      <c r="I1389" t="s">
        <v>19</v>
      </c>
      <c r="J1389">
        <v>5373</v>
      </c>
      <c r="K1389">
        <v>0</v>
      </c>
      <c r="L1389">
        <v>2</v>
      </c>
      <c r="M1389">
        <v>5</v>
      </c>
    </row>
    <row r="1390" spans="1:13">
      <c r="A1390">
        <v>32</v>
      </c>
      <c r="B1390" t="s">
        <v>17</v>
      </c>
      <c r="C1390" t="s">
        <v>18</v>
      </c>
      <c r="D1390">
        <v>15</v>
      </c>
      <c r="E1390">
        <v>4</v>
      </c>
      <c r="F1390" t="s">
        <v>21</v>
      </c>
      <c r="G1390">
        <v>3</v>
      </c>
      <c r="H1390">
        <v>4</v>
      </c>
      <c r="I1390" t="s">
        <v>22</v>
      </c>
      <c r="J1390">
        <v>6667</v>
      </c>
      <c r="K1390">
        <v>5</v>
      </c>
      <c r="L1390">
        <v>3</v>
      </c>
      <c r="M1390">
        <v>5</v>
      </c>
    </row>
    <row r="1391" spans="1:13">
      <c r="A1391">
        <v>31</v>
      </c>
      <c r="B1391" t="s">
        <v>17</v>
      </c>
      <c r="C1391" t="s">
        <v>18</v>
      </c>
      <c r="D1391">
        <v>1</v>
      </c>
      <c r="E1391">
        <v>3</v>
      </c>
      <c r="F1391" t="s">
        <v>15</v>
      </c>
      <c r="G1391">
        <v>4</v>
      </c>
      <c r="H1391">
        <v>1</v>
      </c>
      <c r="I1391" t="s">
        <v>19</v>
      </c>
      <c r="J1391">
        <v>5003</v>
      </c>
      <c r="K1391">
        <v>1</v>
      </c>
      <c r="L1391">
        <v>3</v>
      </c>
      <c r="M1391">
        <v>10</v>
      </c>
    </row>
    <row r="1392" spans="1:13">
      <c r="A1392">
        <v>28</v>
      </c>
      <c r="B1392" t="s">
        <v>13</v>
      </c>
      <c r="C1392" t="s">
        <v>18</v>
      </c>
      <c r="D1392">
        <v>17</v>
      </c>
      <c r="E1392">
        <v>3</v>
      </c>
      <c r="F1392" t="s">
        <v>24</v>
      </c>
      <c r="G1392">
        <v>3</v>
      </c>
      <c r="H1392">
        <v>4</v>
      </c>
      <c r="I1392" t="s">
        <v>22</v>
      </c>
      <c r="J1392">
        <v>2367</v>
      </c>
      <c r="K1392">
        <v>5</v>
      </c>
      <c r="L1392">
        <v>2</v>
      </c>
      <c r="M1392">
        <v>4</v>
      </c>
    </row>
    <row r="1393" spans="1:13">
      <c r="A1393">
        <v>38</v>
      </c>
      <c r="B1393" t="s">
        <v>17</v>
      </c>
      <c r="C1393" t="s">
        <v>14</v>
      </c>
      <c r="D1393">
        <v>1</v>
      </c>
      <c r="E1393">
        <v>3</v>
      </c>
      <c r="F1393" t="s">
        <v>15</v>
      </c>
      <c r="G1393">
        <v>1</v>
      </c>
      <c r="H1393">
        <v>1</v>
      </c>
      <c r="I1393" t="s">
        <v>16</v>
      </c>
      <c r="J1393">
        <v>2858</v>
      </c>
      <c r="K1393">
        <v>4</v>
      </c>
      <c r="L1393">
        <v>2</v>
      </c>
      <c r="M1393">
        <v>1</v>
      </c>
    </row>
    <row r="1394" spans="1:13">
      <c r="A1394">
        <v>35</v>
      </c>
      <c r="B1394" t="s">
        <v>17</v>
      </c>
      <c r="C1394" t="s">
        <v>14</v>
      </c>
      <c r="D1394">
        <v>7</v>
      </c>
      <c r="E1394">
        <v>4</v>
      </c>
      <c r="F1394" t="s">
        <v>15</v>
      </c>
      <c r="G1394">
        <v>3</v>
      </c>
      <c r="H1394">
        <v>4</v>
      </c>
      <c r="I1394" t="s">
        <v>19</v>
      </c>
      <c r="J1394">
        <v>5204</v>
      </c>
      <c r="K1394">
        <v>1</v>
      </c>
      <c r="L1394">
        <v>3</v>
      </c>
      <c r="M1394">
        <v>10</v>
      </c>
    </row>
    <row r="1395" spans="1:13">
      <c r="A1395">
        <v>27</v>
      </c>
      <c r="B1395" t="s">
        <v>17</v>
      </c>
      <c r="C1395" t="s">
        <v>14</v>
      </c>
      <c r="D1395">
        <v>9</v>
      </c>
      <c r="E1395">
        <v>3</v>
      </c>
      <c r="F1395" t="s">
        <v>23</v>
      </c>
      <c r="G1395">
        <v>4</v>
      </c>
      <c r="H1395">
        <v>4</v>
      </c>
      <c r="I1395" t="s">
        <v>16</v>
      </c>
      <c r="J1395">
        <v>4105</v>
      </c>
      <c r="K1395">
        <v>1</v>
      </c>
      <c r="L1395">
        <v>3</v>
      </c>
      <c r="M1395">
        <v>7</v>
      </c>
    </row>
    <row r="1396" spans="1:13">
      <c r="A1396">
        <v>32</v>
      </c>
      <c r="B1396" t="s">
        <v>17</v>
      </c>
      <c r="C1396" t="s">
        <v>18</v>
      </c>
      <c r="D1396">
        <v>5</v>
      </c>
      <c r="E1396">
        <v>4</v>
      </c>
      <c r="F1396" t="s">
        <v>15</v>
      </c>
      <c r="G1396">
        <v>4</v>
      </c>
      <c r="H1396">
        <v>4</v>
      </c>
      <c r="I1396" t="s">
        <v>16</v>
      </c>
      <c r="J1396">
        <v>9679</v>
      </c>
      <c r="K1396">
        <v>8</v>
      </c>
      <c r="L1396">
        <v>3</v>
      </c>
      <c r="M1396">
        <v>1</v>
      </c>
    </row>
    <row r="1397" spans="1:13">
      <c r="A1397">
        <v>31</v>
      </c>
      <c r="B1397" t="s">
        <v>13</v>
      </c>
      <c r="C1397" t="s">
        <v>14</v>
      </c>
      <c r="D1397">
        <v>26</v>
      </c>
      <c r="E1397">
        <v>4</v>
      </c>
      <c r="F1397" t="s">
        <v>23</v>
      </c>
      <c r="G1397">
        <v>1</v>
      </c>
      <c r="H1397">
        <v>4</v>
      </c>
      <c r="I1397" t="s">
        <v>19</v>
      </c>
      <c r="J1397">
        <v>5617</v>
      </c>
      <c r="K1397">
        <v>1</v>
      </c>
      <c r="L1397">
        <v>3</v>
      </c>
      <c r="M1397">
        <v>10</v>
      </c>
    </row>
    <row r="1398" spans="1:13">
      <c r="A1398">
        <v>53</v>
      </c>
      <c r="B1398" t="s">
        <v>13</v>
      </c>
      <c r="C1398" t="s">
        <v>14</v>
      </c>
      <c r="D1398">
        <v>24</v>
      </c>
      <c r="E1398">
        <v>4</v>
      </c>
      <c r="F1398" t="s">
        <v>15</v>
      </c>
      <c r="G1398">
        <v>1</v>
      </c>
      <c r="H1398">
        <v>1</v>
      </c>
      <c r="I1398" t="s">
        <v>16</v>
      </c>
      <c r="J1398">
        <v>10448</v>
      </c>
      <c r="K1398">
        <v>6</v>
      </c>
      <c r="L1398">
        <v>2</v>
      </c>
      <c r="M1398">
        <v>2</v>
      </c>
    </row>
    <row r="1399" spans="1:13">
      <c r="A1399">
        <v>54</v>
      </c>
      <c r="B1399" t="s">
        <v>17</v>
      </c>
      <c r="C1399" t="s">
        <v>18</v>
      </c>
      <c r="D1399">
        <v>9</v>
      </c>
      <c r="E1399">
        <v>2</v>
      </c>
      <c r="F1399" t="s">
        <v>15</v>
      </c>
      <c r="G1399">
        <v>1</v>
      </c>
      <c r="H1399">
        <v>3</v>
      </c>
      <c r="I1399" t="s">
        <v>19</v>
      </c>
      <c r="J1399">
        <v>2897</v>
      </c>
      <c r="K1399">
        <v>3</v>
      </c>
      <c r="L1399">
        <v>2</v>
      </c>
      <c r="M1399">
        <v>4</v>
      </c>
    </row>
    <row r="1400" spans="1:13">
      <c r="A1400">
        <v>33</v>
      </c>
      <c r="B1400" t="s">
        <v>17</v>
      </c>
      <c r="C1400" t="s">
        <v>18</v>
      </c>
      <c r="D1400">
        <v>7</v>
      </c>
      <c r="E1400">
        <v>2</v>
      </c>
      <c r="F1400" t="s">
        <v>15</v>
      </c>
      <c r="G1400">
        <v>4</v>
      </c>
      <c r="H1400">
        <v>3</v>
      </c>
      <c r="I1400" t="s">
        <v>22</v>
      </c>
      <c r="J1400">
        <v>5968</v>
      </c>
      <c r="K1400">
        <v>1</v>
      </c>
      <c r="L1400">
        <v>3</v>
      </c>
      <c r="M1400">
        <v>9</v>
      </c>
    </row>
    <row r="1401" spans="1:13">
      <c r="A1401">
        <v>43</v>
      </c>
      <c r="B1401" t="s">
        <v>17</v>
      </c>
      <c r="C1401" t="s">
        <v>18</v>
      </c>
      <c r="D1401">
        <v>11</v>
      </c>
      <c r="E1401">
        <v>3</v>
      </c>
      <c r="F1401" t="s">
        <v>15</v>
      </c>
      <c r="G1401">
        <v>1</v>
      </c>
      <c r="H1401">
        <v>3</v>
      </c>
      <c r="I1401" t="s">
        <v>19</v>
      </c>
      <c r="J1401">
        <v>7510</v>
      </c>
      <c r="K1401">
        <v>1</v>
      </c>
      <c r="L1401">
        <v>3</v>
      </c>
      <c r="M1401">
        <v>10</v>
      </c>
    </row>
    <row r="1402" spans="1:13">
      <c r="A1402">
        <v>38</v>
      </c>
      <c r="B1402" t="s">
        <v>17</v>
      </c>
      <c r="C1402" t="s">
        <v>25</v>
      </c>
      <c r="D1402">
        <v>1</v>
      </c>
      <c r="E1402">
        <v>4</v>
      </c>
      <c r="F1402" t="s">
        <v>20</v>
      </c>
      <c r="G1402">
        <v>4</v>
      </c>
      <c r="H1402">
        <v>2</v>
      </c>
      <c r="I1402" t="s">
        <v>19</v>
      </c>
      <c r="J1402">
        <v>2991</v>
      </c>
      <c r="K1402">
        <v>0</v>
      </c>
      <c r="L1402">
        <v>3</v>
      </c>
      <c r="M1402">
        <v>6</v>
      </c>
    </row>
    <row r="1403" spans="1:13">
      <c r="A1403">
        <v>55</v>
      </c>
      <c r="B1403" t="s">
        <v>17</v>
      </c>
      <c r="C1403" t="s">
        <v>25</v>
      </c>
      <c r="D1403">
        <v>26</v>
      </c>
      <c r="E1403">
        <v>4</v>
      </c>
      <c r="F1403" t="s">
        <v>25</v>
      </c>
      <c r="G1403">
        <v>3</v>
      </c>
      <c r="H1403">
        <v>2</v>
      </c>
      <c r="I1403" t="s">
        <v>19</v>
      </c>
      <c r="J1403">
        <v>19636</v>
      </c>
      <c r="K1403">
        <v>4</v>
      </c>
      <c r="L1403">
        <v>3</v>
      </c>
      <c r="M1403">
        <v>10</v>
      </c>
    </row>
    <row r="1404" spans="1:13">
      <c r="A1404">
        <v>31</v>
      </c>
      <c r="B1404" t="s">
        <v>17</v>
      </c>
      <c r="C1404" t="s">
        <v>18</v>
      </c>
      <c r="D1404">
        <v>2</v>
      </c>
      <c r="E1404">
        <v>1</v>
      </c>
      <c r="F1404" t="s">
        <v>21</v>
      </c>
      <c r="G1404">
        <v>4</v>
      </c>
      <c r="H1404">
        <v>4</v>
      </c>
      <c r="I1404" t="s">
        <v>22</v>
      </c>
      <c r="J1404">
        <v>1129</v>
      </c>
      <c r="K1404">
        <v>1</v>
      </c>
      <c r="L1404">
        <v>3</v>
      </c>
      <c r="M1404">
        <v>1</v>
      </c>
    </row>
    <row r="1405" spans="1:13">
      <c r="A1405">
        <v>39</v>
      </c>
      <c r="B1405" t="s">
        <v>17</v>
      </c>
      <c r="C1405" t="s">
        <v>14</v>
      </c>
      <c r="D1405">
        <v>15</v>
      </c>
      <c r="E1405">
        <v>4</v>
      </c>
      <c r="F1405" t="s">
        <v>23</v>
      </c>
      <c r="G1405">
        <v>2</v>
      </c>
      <c r="H1405">
        <v>1</v>
      </c>
      <c r="I1405" t="s">
        <v>16</v>
      </c>
      <c r="J1405">
        <v>13341</v>
      </c>
      <c r="K1405">
        <v>0</v>
      </c>
      <c r="L1405">
        <v>3</v>
      </c>
      <c r="M1405">
        <v>20</v>
      </c>
    </row>
    <row r="1406" spans="1:13">
      <c r="A1406">
        <v>42</v>
      </c>
      <c r="B1406" t="s">
        <v>17</v>
      </c>
      <c r="C1406" t="s">
        <v>18</v>
      </c>
      <c r="D1406">
        <v>23</v>
      </c>
      <c r="E1406">
        <v>2</v>
      </c>
      <c r="F1406" t="s">
        <v>15</v>
      </c>
      <c r="G1406">
        <v>4</v>
      </c>
      <c r="H1406">
        <v>3</v>
      </c>
      <c r="I1406" t="s">
        <v>16</v>
      </c>
      <c r="J1406">
        <v>4332</v>
      </c>
      <c r="K1406">
        <v>1</v>
      </c>
      <c r="L1406">
        <v>3</v>
      </c>
      <c r="M1406">
        <v>20</v>
      </c>
    </row>
    <row r="1407" spans="1:13">
      <c r="A1407">
        <v>31</v>
      </c>
      <c r="B1407" t="s">
        <v>17</v>
      </c>
      <c r="C1407" t="s">
        <v>18</v>
      </c>
      <c r="D1407">
        <v>10</v>
      </c>
      <c r="E1407">
        <v>3</v>
      </c>
      <c r="F1407" t="s">
        <v>21</v>
      </c>
      <c r="G1407">
        <v>3</v>
      </c>
      <c r="H1407">
        <v>3</v>
      </c>
      <c r="I1407" t="s">
        <v>19</v>
      </c>
      <c r="J1407">
        <v>11031</v>
      </c>
      <c r="K1407">
        <v>4</v>
      </c>
      <c r="L1407">
        <v>4</v>
      </c>
      <c r="M1407">
        <v>11</v>
      </c>
    </row>
    <row r="1408" spans="1:13">
      <c r="A1408">
        <v>54</v>
      </c>
      <c r="B1408" t="s">
        <v>17</v>
      </c>
      <c r="C1408" t="s">
        <v>18</v>
      </c>
      <c r="D1408">
        <v>10</v>
      </c>
      <c r="E1408">
        <v>3</v>
      </c>
      <c r="F1408" t="s">
        <v>21</v>
      </c>
      <c r="G1408">
        <v>3</v>
      </c>
      <c r="H1408">
        <v>1</v>
      </c>
      <c r="I1408" t="s">
        <v>16</v>
      </c>
      <c r="J1408">
        <v>4440</v>
      </c>
      <c r="K1408">
        <v>6</v>
      </c>
      <c r="L1408">
        <v>3</v>
      </c>
      <c r="M1408">
        <v>5</v>
      </c>
    </row>
    <row r="1409" spans="1:13">
      <c r="A1409">
        <v>24</v>
      </c>
      <c r="B1409" t="s">
        <v>17</v>
      </c>
      <c r="C1409" t="s">
        <v>18</v>
      </c>
      <c r="D1409">
        <v>1</v>
      </c>
      <c r="E1409">
        <v>2</v>
      </c>
      <c r="F1409" t="s">
        <v>15</v>
      </c>
      <c r="G1409">
        <v>2</v>
      </c>
      <c r="H1409">
        <v>3</v>
      </c>
      <c r="I1409" t="s">
        <v>16</v>
      </c>
      <c r="J1409">
        <v>4617</v>
      </c>
      <c r="K1409">
        <v>1</v>
      </c>
      <c r="L1409">
        <v>2</v>
      </c>
      <c r="M1409">
        <v>4</v>
      </c>
    </row>
    <row r="1410" spans="1:13">
      <c r="A1410">
        <v>23</v>
      </c>
      <c r="B1410" t="s">
        <v>17</v>
      </c>
      <c r="C1410" t="s">
        <v>18</v>
      </c>
      <c r="D1410">
        <v>12</v>
      </c>
      <c r="E1410">
        <v>2</v>
      </c>
      <c r="F1410" t="s">
        <v>20</v>
      </c>
      <c r="G1410">
        <v>4</v>
      </c>
      <c r="H1410">
        <v>4</v>
      </c>
      <c r="I1410" t="s">
        <v>16</v>
      </c>
      <c r="J1410">
        <v>2647</v>
      </c>
      <c r="K1410">
        <v>1</v>
      </c>
      <c r="L1410">
        <v>4</v>
      </c>
      <c r="M1410">
        <v>5</v>
      </c>
    </row>
    <row r="1411" spans="1:13">
      <c r="A1411">
        <v>40</v>
      </c>
      <c r="B1411" t="s">
        <v>17</v>
      </c>
      <c r="C1411" t="s">
        <v>18</v>
      </c>
      <c r="D1411">
        <v>11</v>
      </c>
      <c r="E1411">
        <v>3</v>
      </c>
      <c r="F1411" t="s">
        <v>24</v>
      </c>
      <c r="G1411">
        <v>4</v>
      </c>
      <c r="H1411">
        <v>3</v>
      </c>
      <c r="I1411" t="s">
        <v>19</v>
      </c>
      <c r="J1411">
        <v>6323</v>
      </c>
      <c r="K1411">
        <v>1</v>
      </c>
      <c r="L1411">
        <v>4</v>
      </c>
      <c r="M1411">
        <v>10</v>
      </c>
    </row>
    <row r="1412" spans="1:13">
      <c r="A1412">
        <v>40</v>
      </c>
      <c r="B1412" t="s">
        <v>17</v>
      </c>
      <c r="C1412" t="s">
        <v>14</v>
      </c>
      <c r="D1412">
        <v>2</v>
      </c>
      <c r="E1412">
        <v>2</v>
      </c>
      <c r="F1412" t="s">
        <v>23</v>
      </c>
      <c r="G1412">
        <v>2</v>
      </c>
      <c r="H1412">
        <v>2</v>
      </c>
      <c r="I1412" t="s">
        <v>19</v>
      </c>
      <c r="J1412">
        <v>5677</v>
      </c>
      <c r="K1412">
        <v>3</v>
      </c>
      <c r="L1412">
        <v>3</v>
      </c>
      <c r="M1412">
        <v>11</v>
      </c>
    </row>
    <row r="1413" spans="1:13">
      <c r="A1413">
        <v>25</v>
      </c>
      <c r="B1413" t="s">
        <v>17</v>
      </c>
      <c r="C1413" t="s">
        <v>25</v>
      </c>
      <c r="D1413">
        <v>2</v>
      </c>
      <c r="E1413">
        <v>3</v>
      </c>
      <c r="F1413" t="s">
        <v>25</v>
      </c>
      <c r="G1413">
        <v>3</v>
      </c>
      <c r="H1413">
        <v>2</v>
      </c>
      <c r="I1413" t="s">
        <v>19</v>
      </c>
      <c r="J1413">
        <v>2187</v>
      </c>
      <c r="K1413">
        <v>4</v>
      </c>
      <c r="L1413">
        <v>3</v>
      </c>
      <c r="M1413">
        <v>2</v>
      </c>
    </row>
    <row r="1414" spans="1:13">
      <c r="A1414">
        <v>30</v>
      </c>
      <c r="B1414" t="s">
        <v>17</v>
      </c>
      <c r="C1414" t="s">
        <v>18</v>
      </c>
      <c r="D1414">
        <v>1</v>
      </c>
      <c r="E1414">
        <v>2</v>
      </c>
      <c r="F1414" t="s">
        <v>21</v>
      </c>
      <c r="G1414">
        <v>4</v>
      </c>
      <c r="H1414">
        <v>2</v>
      </c>
      <c r="I1414" t="s">
        <v>19</v>
      </c>
      <c r="J1414">
        <v>3748</v>
      </c>
      <c r="K1414">
        <v>1</v>
      </c>
      <c r="L1414">
        <v>2</v>
      </c>
      <c r="M1414">
        <v>12</v>
      </c>
    </row>
    <row r="1415" spans="1:13">
      <c r="A1415">
        <v>25</v>
      </c>
      <c r="B1415" t="s">
        <v>17</v>
      </c>
      <c r="C1415" t="s">
        <v>18</v>
      </c>
      <c r="D1415">
        <v>2</v>
      </c>
      <c r="E1415">
        <v>1</v>
      </c>
      <c r="F1415" t="s">
        <v>20</v>
      </c>
      <c r="G1415">
        <v>4</v>
      </c>
      <c r="H1415">
        <v>3</v>
      </c>
      <c r="I1415" t="s">
        <v>22</v>
      </c>
      <c r="J1415">
        <v>3977</v>
      </c>
      <c r="K1415">
        <v>6</v>
      </c>
      <c r="L1415">
        <v>2</v>
      </c>
      <c r="M1415">
        <v>2</v>
      </c>
    </row>
    <row r="1416" spans="1:13">
      <c r="A1416">
        <v>47</v>
      </c>
      <c r="B1416" t="s">
        <v>17</v>
      </c>
      <c r="C1416" t="s">
        <v>18</v>
      </c>
      <c r="D1416">
        <v>25</v>
      </c>
      <c r="E1416">
        <v>3</v>
      </c>
      <c r="F1416" t="s">
        <v>21</v>
      </c>
      <c r="G1416">
        <v>1</v>
      </c>
      <c r="H1416">
        <v>3</v>
      </c>
      <c r="I1416" t="s">
        <v>16</v>
      </c>
      <c r="J1416">
        <v>8633</v>
      </c>
      <c r="K1416">
        <v>2</v>
      </c>
      <c r="L1416">
        <v>3</v>
      </c>
      <c r="M1416">
        <v>17</v>
      </c>
    </row>
    <row r="1417" spans="1:13">
      <c r="A1417">
        <v>33</v>
      </c>
      <c r="B1417" t="s">
        <v>17</v>
      </c>
      <c r="C1417" t="s">
        <v>18</v>
      </c>
      <c r="D1417">
        <v>1</v>
      </c>
      <c r="E1417">
        <v>2</v>
      </c>
      <c r="F1417" t="s">
        <v>21</v>
      </c>
      <c r="G1417">
        <v>2</v>
      </c>
      <c r="H1417">
        <v>3</v>
      </c>
      <c r="I1417" t="s">
        <v>22</v>
      </c>
      <c r="J1417">
        <v>2008</v>
      </c>
      <c r="K1417">
        <v>1</v>
      </c>
      <c r="L1417">
        <v>2</v>
      </c>
      <c r="M1417">
        <v>1</v>
      </c>
    </row>
    <row r="1418" spans="1:13">
      <c r="A1418">
        <v>38</v>
      </c>
      <c r="B1418" t="s">
        <v>17</v>
      </c>
      <c r="C1418" t="s">
        <v>14</v>
      </c>
      <c r="D1418">
        <v>1</v>
      </c>
      <c r="E1418">
        <v>4</v>
      </c>
      <c r="F1418" t="s">
        <v>15</v>
      </c>
      <c r="G1418">
        <v>4</v>
      </c>
      <c r="H1418">
        <v>2</v>
      </c>
      <c r="I1418" t="s">
        <v>19</v>
      </c>
      <c r="J1418">
        <v>4440</v>
      </c>
      <c r="K1418">
        <v>0</v>
      </c>
      <c r="L1418">
        <v>3</v>
      </c>
      <c r="M1418">
        <v>15</v>
      </c>
    </row>
    <row r="1419" spans="1:13">
      <c r="A1419">
        <v>31</v>
      </c>
      <c r="B1419" t="s">
        <v>17</v>
      </c>
      <c r="C1419" t="s">
        <v>14</v>
      </c>
      <c r="D1419">
        <v>2</v>
      </c>
      <c r="E1419">
        <v>2</v>
      </c>
      <c r="F1419" t="s">
        <v>15</v>
      </c>
      <c r="G1419">
        <v>1</v>
      </c>
      <c r="H1419">
        <v>3</v>
      </c>
      <c r="I1419" t="s">
        <v>19</v>
      </c>
      <c r="J1419">
        <v>3067</v>
      </c>
      <c r="K1419">
        <v>0</v>
      </c>
      <c r="L1419">
        <v>3</v>
      </c>
      <c r="M1419">
        <v>2</v>
      </c>
    </row>
    <row r="1420" spans="1:13">
      <c r="A1420">
        <v>38</v>
      </c>
      <c r="B1420" t="s">
        <v>17</v>
      </c>
      <c r="C1420" t="s">
        <v>18</v>
      </c>
      <c r="D1420">
        <v>6</v>
      </c>
      <c r="E1420">
        <v>4</v>
      </c>
      <c r="F1420" t="s">
        <v>15</v>
      </c>
      <c r="G1420">
        <v>1</v>
      </c>
      <c r="H1420">
        <v>3</v>
      </c>
      <c r="I1420" t="s">
        <v>19</v>
      </c>
      <c r="J1420">
        <v>5321</v>
      </c>
      <c r="K1420">
        <v>2</v>
      </c>
      <c r="L1420">
        <v>3</v>
      </c>
      <c r="M1420">
        <v>8</v>
      </c>
    </row>
    <row r="1421" spans="1:13">
      <c r="A1421">
        <v>42</v>
      </c>
      <c r="B1421" t="s">
        <v>17</v>
      </c>
      <c r="C1421" t="s">
        <v>18</v>
      </c>
      <c r="D1421">
        <v>18</v>
      </c>
      <c r="E1421">
        <v>4</v>
      </c>
      <c r="F1421" t="s">
        <v>15</v>
      </c>
      <c r="G1421">
        <v>4</v>
      </c>
      <c r="H1421">
        <v>1</v>
      </c>
      <c r="I1421" t="s">
        <v>22</v>
      </c>
      <c r="J1421">
        <v>5410</v>
      </c>
      <c r="K1421">
        <v>6</v>
      </c>
      <c r="L1421">
        <v>2</v>
      </c>
      <c r="M1421">
        <v>4</v>
      </c>
    </row>
    <row r="1422" spans="1:13">
      <c r="A1422">
        <v>41</v>
      </c>
      <c r="B1422" t="s">
        <v>17</v>
      </c>
      <c r="C1422" t="s">
        <v>18</v>
      </c>
      <c r="D1422">
        <v>1</v>
      </c>
      <c r="E1422">
        <v>3</v>
      </c>
      <c r="F1422" t="s">
        <v>15</v>
      </c>
      <c r="G1422">
        <v>4</v>
      </c>
      <c r="H1422">
        <v>4</v>
      </c>
      <c r="I1422" t="s">
        <v>19</v>
      </c>
      <c r="J1422">
        <v>2782</v>
      </c>
      <c r="K1422">
        <v>3</v>
      </c>
      <c r="L1422">
        <v>3</v>
      </c>
      <c r="M1422">
        <v>5</v>
      </c>
    </row>
    <row r="1423" spans="1:13">
      <c r="A1423">
        <v>47</v>
      </c>
      <c r="B1423" t="s">
        <v>17</v>
      </c>
      <c r="C1423" t="s">
        <v>18</v>
      </c>
      <c r="D1423">
        <v>1</v>
      </c>
      <c r="E1423">
        <v>1</v>
      </c>
      <c r="F1423" t="s">
        <v>21</v>
      </c>
      <c r="G1423">
        <v>3</v>
      </c>
      <c r="H1423">
        <v>2</v>
      </c>
      <c r="I1423" t="s">
        <v>19</v>
      </c>
      <c r="J1423">
        <v>11957</v>
      </c>
      <c r="K1423">
        <v>0</v>
      </c>
      <c r="L1423">
        <v>1</v>
      </c>
      <c r="M1423">
        <v>13</v>
      </c>
    </row>
    <row r="1424" spans="1:13">
      <c r="A1424">
        <v>35</v>
      </c>
      <c r="B1424" t="s">
        <v>17</v>
      </c>
      <c r="C1424" t="s">
        <v>18</v>
      </c>
      <c r="D1424">
        <v>11</v>
      </c>
      <c r="E1424">
        <v>4</v>
      </c>
      <c r="F1424" t="s">
        <v>21</v>
      </c>
      <c r="G1424">
        <v>4</v>
      </c>
      <c r="H1424">
        <v>3</v>
      </c>
      <c r="I1424" t="s">
        <v>19</v>
      </c>
      <c r="J1424">
        <v>2660</v>
      </c>
      <c r="K1424">
        <v>7</v>
      </c>
      <c r="L1424">
        <v>3</v>
      </c>
      <c r="M1424">
        <v>2</v>
      </c>
    </row>
    <row r="1425" spans="1:13">
      <c r="A1425">
        <v>22</v>
      </c>
      <c r="B1425" t="s">
        <v>17</v>
      </c>
      <c r="C1425" t="s">
        <v>18</v>
      </c>
      <c r="D1425">
        <v>1</v>
      </c>
      <c r="E1425">
        <v>2</v>
      </c>
      <c r="F1425" t="s">
        <v>15</v>
      </c>
      <c r="G1425">
        <v>4</v>
      </c>
      <c r="H1425">
        <v>3</v>
      </c>
      <c r="I1425" t="s">
        <v>16</v>
      </c>
      <c r="J1425">
        <v>3375</v>
      </c>
      <c r="K1425">
        <v>0</v>
      </c>
      <c r="L1425">
        <v>4</v>
      </c>
      <c r="M1425">
        <v>3</v>
      </c>
    </row>
    <row r="1426" spans="1:13">
      <c r="A1426">
        <v>35</v>
      </c>
      <c r="B1426" t="s">
        <v>17</v>
      </c>
      <c r="C1426" t="s">
        <v>18</v>
      </c>
      <c r="D1426">
        <v>9</v>
      </c>
      <c r="E1426">
        <v>4</v>
      </c>
      <c r="F1426" t="s">
        <v>21</v>
      </c>
      <c r="G1426">
        <v>2</v>
      </c>
      <c r="H1426">
        <v>3</v>
      </c>
      <c r="I1426" t="s">
        <v>16</v>
      </c>
      <c r="J1426">
        <v>5098</v>
      </c>
      <c r="K1426">
        <v>1</v>
      </c>
      <c r="L1426">
        <v>3</v>
      </c>
      <c r="M1426">
        <v>10</v>
      </c>
    </row>
    <row r="1427" spans="1:13">
      <c r="A1427">
        <v>33</v>
      </c>
      <c r="B1427" t="s">
        <v>17</v>
      </c>
      <c r="C1427" t="s">
        <v>18</v>
      </c>
      <c r="D1427">
        <v>15</v>
      </c>
      <c r="E1427">
        <v>2</v>
      </c>
      <c r="F1427" t="s">
        <v>21</v>
      </c>
      <c r="G1427">
        <v>2</v>
      </c>
      <c r="H1427">
        <v>4</v>
      </c>
      <c r="I1427" t="s">
        <v>19</v>
      </c>
      <c r="J1427">
        <v>4878</v>
      </c>
      <c r="K1427">
        <v>0</v>
      </c>
      <c r="L1427">
        <v>3</v>
      </c>
      <c r="M1427">
        <v>9</v>
      </c>
    </row>
    <row r="1428" spans="1:13">
      <c r="A1428">
        <v>32</v>
      </c>
      <c r="B1428" t="s">
        <v>17</v>
      </c>
      <c r="C1428" t="s">
        <v>18</v>
      </c>
      <c r="D1428">
        <v>29</v>
      </c>
      <c r="E1428">
        <v>4</v>
      </c>
      <c r="F1428" t="s">
        <v>15</v>
      </c>
      <c r="G1428">
        <v>3</v>
      </c>
      <c r="H1428">
        <v>2</v>
      </c>
      <c r="I1428" t="s">
        <v>16</v>
      </c>
      <c r="J1428">
        <v>2837</v>
      </c>
      <c r="K1428">
        <v>1</v>
      </c>
      <c r="L1428">
        <v>3</v>
      </c>
      <c r="M1428">
        <v>6</v>
      </c>
    </row>
    <row r="1429" spans="1:13">
      <c r="A1429">
        <v>40</v>
      </c>
      <c r="B1429" t="s">
        <v>17</v>
      </c>
      <c r="C1429" t="s">
        <v>18</v>
      </c>
      <c r="D1429">
        <v>1</v>
      </c>
      <c r="E1429">
        <v>4</v>
      </c>
      <c r="F1429" t="s">
        <v>15</v>
      </c>
      <c r="G1429">
        <v>1</v>
      </c>
      <c r="H1429">
        <v>4</v>
      </c>
      <c r="I1429" t="s">
        <v>19</v>
      </c>
      <c r="J1429">
        <v>2406</v>
      </c>
      <c r="K1429">
        <v>8</v>
      </c>
      <c r="L1429">
        <v>2</v>
      </c>
      <c r="M1429">
        <v>1</v>
      </c>
    </row>
    <row r="1430" spans="1:13">
      <c r="A1430">
        <v>32</v>
      </c>
      <c r="B1430" t="s">
        <v>17</v>
      </c>
      <c r="C1430" t="s">
        <v>14</v>
      </c>
      <c r="D1430">
        <v>1</v>
      </c>
      <c r="E1430">
        <v>4</v>
      </c>
      <c r="F1430" t="s">
        <v>21</v>
      </c>
      <c r="G1430">
        <v>2</v>
      </c>
      <c r="H1430">
        <v>2</v>
      </c>
      <c r="I1430" t="s">
        <v>19</v>
      </c>
      <c r="J1430">
        <v>2269</v>
      </c>
      <c r="K1430">
        <v>0</v>
      </c>
      <c r="L1430">
        <v>3</v>
      </c>
      <c r="M1430">
        <v>2</v>
      </c>
    </row>
    <row r="1431" spans="1:13">
      <c r="A1431">
        <v>39</v>
      </c>
      <c r="B1431" t="s">
        <v>17</v>
      </c>
      <c r="C1431" t="s">
        <v>18</v>
      </c>
      <c r="D1431">
        <v>24</v>
      </c>
      <c r="E1431">
        <v>1</v>
      </c>
      <c r="F1431" t="s">
        <v>15</v>
      </c>
      <c r="G1431">
        <v>1</v>
      </c>
      <c r="H1431">
        <v>4</v>
      </c>
      <c r="I1431" t="s">
        <v>16</v>
      </c>
      <c r="J1431">
        <v>4108</v>
      </c>
      <c r="K1431">
        <v>7</v>
      </c>
      <c r="L1431">
        <v>3</v>
      </c>
      <c r="M1431">
        <v>7</v>
      </c>
    </row>
    <row r="1432" spans="1:13">
      <c r="A1432">
        <v>38</v>
      </c>
      <c r="B1432" t="s">
        <v>17</v>
      </c>
      <c r="C1432" t="s">
        <v>18</v>
      </c>
      <c r="D1432">
        <v>10</v>
      </c>
      <c r="E1432">
        <v>3</v>
      </c>
      <c r="F1432" t="s">
        <v>21</v>
      </c>
      <c r="G1432">
        <v>2</v>
      </c>
      <c r="H1432">
        <v>3</v>
      </c>
      <c r="I1432" t="s">
        <v>19</v>
      </c>
      <c r="J1432">
        <v>13206</v>
      </c>
      <c r="K1432">
        <v>3</v>
      </c>
      <c r="L1432">
        <v>3</v>
      </c>
      <c r="M1432">
        <v>18</v>
      </c>
    </row>
    <row r="1433" spans="1:13">
      <c r="A1433">
        <v>32</v>
      </c>
      <c r="B1433" t="s">
        <v>17</v>
      </c>
      <c r="C1433" t="s">
        <v>14</v>
      </c>
      <c r="D1433">
        <v>1</v>
      </c>
      <c r="E1433">
        <v>4</v>
      </c>
      <c r="F1433" t="s">
        <v>23</v>
      </c>
      <c r="G1433">
        <v>3</v>
      </c>
      <c r="H1433">
        <v>4</v>
      </c>
      <c r="I1433" t="s">
        <v>19</v>
      </c>
      <c r="J1433">
        <v>10422</v>
      </c>
      <c r="K1433">
        <v>1</v>
      </c>
      <c r="L1433">
        <v>3</v>
      </c>
      <c r="M1433">
        <v>14</v>
      </c>
    </row>
    <row r="1434" spans="1:13">
      <c r="A1434">
        <v>37</v>
      </c>
      <c r="B1434" t="s">
        <v>17</v>
      </c>
      <c r="C1434" t="s">
        <v>18</v>
      </c>
      <c r="D1434">
        <v>10</v>
      </c>
      <c r="E1434">
        <v>3</v>
      </c>
      <c r="F1434" t="s">
        <v>15</v>
      </c>
      <c r="G1434">
        <v>3</v>
      </c>
      <c r="H1434">
        <v>4</v>
      </c>
      <c r="I1434" t="s">
        <v>19</v>
      </c>
      <c r="J1434">
        <v>13744</v>
      </c>
      <c r="K1434">
        <v>1</v>
      </c>
      <c r="L1434">
        <v>3</v>
      </c>
      <c r="M1434">
        <v>16</v>
      </c>
    </row>
    <row r="1435" spans="1:13">
      <c r="A1435">
        <v>25</v>
      </c>
      <c r="B1435" t="s">
        <v>17</v>
      </c>
      <c r="C1435" t="s">
        <v>14</v>
      </c>
      <c r="D1435">
        <v>8</v>
      </c>
      <c r="E1435">
        <v>2</v>
      </c>
      <c r="F1435" t="s">
        <v>20</v>
      </c>
      <c r="G1435">
        <v>1</v>
      </c>
      <c r="H1435">
        <v>3</v>
      </c>
      <c r="I1435" t="s">
        <v>22</v>
      </c>
      <c r="J1435">
        <v>4907</v>
      </c>
      <c r="K1435">
        <v>0</v>
      </c>
      <c r="L1435">
        <v>2</v>
      </c>
      <c r="M1435">
        <v>5</v>
      </c>
    </row>
    <row r="1436" spans="1:13">
      <c r="A1436">
        <v>52</v>
      </c>
      <c r="B1436" t="s">
        <v>17</v>
      </c>
      <c r="C1436" t="s">
        <v>14</v>
      </c>
      <c r="D1436">
        <v>29</v>
      </c>
      <c r="E1436">
        <v>4</v>
      </c>
      <c r="F1436" t="s">
        <v>15</v>
      </c>
      <c r="G1436">
        <v>1</v>
      </c>
      <c r="H1436">
        <v>4</v>
      </c>
      <c r="I1436" t="s">
        <v>22</v>
      </c>
      <c r="J1436">
        <v>3482</v>
      </c>
      <c r="K1436">
        <v>2</v>
      </c>
      <c r="L1436">
        <v>2</v>
      </c>
      <c r="M1436">
        <v>9</v>
      </c>
    </row>
    <row r="1437" spans="1:13">
      <c r="A1437">
        <v>44</v>
      </c>
      <c r="B1437" t="s">
        <v>17</v>
      </c>
      <c r="C1437" t="s">
        <v>18</v>
      </c>
      <c r="D1437">
        <v>1</v>
      </c>
      <c r="E1437">
        <v>3</v>
      </c>
      <c r="F1437" t="s">
        <v>21</v>
      </c>
      <c r="G1437">
        <v>2</v>
      </c>
      <c r="H1437">
        <v>4</v>
      </c>
      <c r="I1437" t="s">
        <v>16</v>
      </c>
      <c r="J1437">
        <v>2436</v>
      </c>
      <c r="K1437">
        <v>6</v>
      </c>
      <c r="L1437">
        <v>3</v>
      </c>
      <c r="M1437">
        <v>4</v>
      </c>
    </row>
    <row r="1438" spans="1:13">
      <c r="A1438">
        <v>21</v>
      </c>
      <c r="B1438" t="s">
        <v>17</v>
      </c>
      <c r="C1438" t="s">
        <v>14</v>
      </c>
      <c r="D1438">
        <v>5</v>
      </c>
      <c r="E1438">
        <v>1</v>
      </c>
      <c r="F1438" t="s">
        <v>21</v>
      </c>
      <c r="G1438">
        <v>3</v>
      </c>
      <c r="H1438">
        <v>1</v>
      </c>
      <c r="I1438" t="s">
        <v>16</v>
      </c>
      <c r="J1438">
        <v>2380</v>
      </c>
      <c r="K1438">
        <v>1</v>
      </c>
      <c r="L1438">
        <v>3</v>
      </c>
      <c r="M1438">
        <v>2</v>
      </c>
    </row>
    <row r="1439" spans="1:13">
      <c r="A1439">
        <v>39</v>
      </c>
      <c r="B1439" t="s">
        <v>17</v>
      </c>
      <c r="C1439" t="s">
        <v>18</v>
      </c>
      <c r="D1439">
        <v>9</v>
      </c>
      <c r="E1439">
        <v>3</v>
      </c>
      <c r="F1439" t="s">
        <v>15</v>
      </c>
      <c r="G1439">
        <v>4</v>
      </c>
      <c r="H1439">
        <v>4</v>
      </c>
      <c r="I1439" t="s">
        <v>16</v>
      </c>
      <c r="J1439">
        <v>19431</v>
      </c>
      <c r="K1439">
        <v>2</v>
      </c>
      <c r="L1439">
        <v>2</v>
      </c>
      <c r="M1439">
        <v>6</v>
      </c>
    </row>
    <row r="1440" spans="1:13">
      <c r="A1440">
        <v>23</v>
      </c>
      <c r="B1440" t="s">
        <v>13</v>
      </c>
      <c r="C1440" t="s">
        <v>14</v>
      </c>
      <c r="D1440">
        <v>9</v>
      </c>
      <c r="E1440">
        <v>3</v>
      </c>
      <c r="F1440" t="s">
        <v>23</v>
      </c>
      <c r="G1440">
        <v>4</v>
      </c>
      <c r="H1440">
        <v>1</v>
      </c>
      <c r="I1440" t="s">
        <v>19</v>
      </c>
      <c r="J1440">
        <v>1790</v>
      </c>
      <c r="K1440">
        <v>1</v>
      </c>
      <c r="L1440">
        <v>2</v>
      </c>
      <c r="M1440">
        <v>1</v>
      </c>
    </row>
    <row r="1441" spans="1:13">
      <c r="A1441">
        <v>36</v>
      </c>
      <c r="B1441" t="s">
        <v>17</v>
      </c>
      <c r="C1441" t="s">
        <v>14</v>
      </c>
      <c r="D1441">
        <v>3</v>
      </c>
      <c r="E1441">
        <v>3</v>
      </c>
      <c r="F1441" t="s">
        <v>21</v>
      </c>
      <c r="G1441">
        <v>1</v>
      </c>
      <c r="H1441">
        <v>4</v>
      </c>
      <c r="I1441" t="s">
        <v>19</v>
      </c>
      <c r="J1441">
        <v>7644</v>
      </c>
      <c r="K1441">
        <v>0</v>
      </c>
      <c r="L1441">
        <v>3</v>
      </c>
      <c r="M1441">
        <v>9</v>
      </c>
    </row>
    <row r="1442" spans="1:13">
      <c r="A1442">
        <v>36</v>
      </c>
      <c r="B1442" t="s">
        <v>17</v>
      </c>
      <c r="C1442" t="s">
        <v>18</v>
      </c>
      <c r="D1442">
        <v>4</v>
      </c>
      <c r="E1442">
        <v>2</v>
      </c>
      <c r="F1442" t="s">
        <v>15</v>
      </c>
      <c r="G1442">
        <v>4</v>
      </c>
      <c r="H1442">
        <v>2</v>
      </c>
      <c r="I1442" t="s">
        <v>22</v>
      </c>
      <c r="J1442">
        <v>5131</v>
      </c>
      <c r="K1442">
        <v>7</v>
      </c>
      <c r="L1442">
        <v>3</v>
      </c>
      <c r="M1442">
        <v>4</v>
      </c>
    </row>
    <row r="1443" spans="1:13">
      <c r="A1443">
        <v>56</v>
      </c>
      <c r="B1443" t="s">
        <v>17</v>
      </c>
      <c r="C1443" t="s">
        <v>18</v>
      </c>
      <c r="D1443">
        <v>1</v>
      </c>
      <c r="E1443">
        <v>4</v>
      </c>
      <c r="F1443" t="s">
        <v>15</v>
      </c>
      <c r="G1443">
        <v>3</v>
      </c>
      <c r="H1443">
        <v>3</v>
      </c>
      <c r="I1443" t="s">
        <v>22</v>
      </c>
      <c r="J1443">
        <v>6306</v>
      </c>
      <c r="K1443">
        <v>1</v>
      </c>
      <c r="L1443">
        <v>2</v>
      </c>
      <c r="M1443">
        <v>13</v>
      </c>
    </row>
    <row r="1444" spans="1:13">
      <c r="A1444">
        <v>29</v>
      </c>
      <c r="B1444" t="s">
        <v>13</v>
      </c>
      <c r="C1444" t="s">
        <v>18</v>
      </c>
      <c r="D1444">
        <v>1</v>
      </c>
      <c r="E1444">
        <v>4</v>
      </c>
      <c r="F1444" t="s">
        <v>21</v>
      </c>
      <c r="G1444">
        <v>1</v>
      </c>
      <c r="H1444">
        <v>4</v>
      </c>
      <c r="I1444" t="s">
        <v>19</v>
      </c>
      <c r="J1444">
        <v>4787</v>
      </c>
      <c r="K1444">
        <v>9</v>
      </c>
      <c r="L1444">
        <v>4</v>
      </c>
      <c r="M1444">
        <v>2</v>
      </c>
    </row>
    <row r="1445" spans="1:13">
      <c r="A1445">
        <v>42</v>
      </c>
      <c r="B1445" t="s">
        <v>17</v>
      </c>
      <c r="C1445" t="s">
        <v>18</v>
      </c>
      <c r="D1445">
        <v>2</v>
      </c>
      <c r="E1445">
        <v>3</v>
      </c>
      <c r="F1445" t="s">
        <v>15</v>
      </c>
      <c r="G1445">
        <v>1</v>
      </c>
      <c r="H1445">
        <v>3</v>
      </c>
      <c r="I1445" t="s">
        <v>19</v>
      </c>
      <c r="J1445">
        <v>18880</v>
      </c>
      <c r="K1445">
        <v>5</v>
      </c>
      <c r="L1445">
        <v>2</v>
      </c>
      <c r="M1445">
        <v>22</v>
      </c>
    </row>
    <row r="1446" spans="1:13">
      <c r="A1446">
        <v>56</v>
      </c>
      <c r="B1446" t="s">
        <v>13</v>
      </c>
      <c r="C1446" t="s">
        <v>18</v>
      </c>
      <c r="D1446">
        <v>7</v>
      </c>
      <c r="E1446">
        <v>2</v>
      </c>
      <c r="F1446" t="s">
        <v>24</v>
      </c>
      <c r="G1446">
        <v>4</v>
      </c>
      <c r="H1446">
        <v>3</v>
      </c>
      <c r="I1446" t="s">
        <v>19</v>
      </c>
      <c r="J1446">
        <v>2339</v>
      </c>
      <c r="K1446">
        <v>8</v>
      </c>
      <c r="L1446">
        <v>1</v>
      </c>
      <c r="M1446">
        <v>10</v>
      </c>
    </row>
    <row r="1447" spans="1:13">
      <c r="A1447">
        <v>41</v>
      </c>
      <c r="B1447" t="s">
        <v>17</v>
      </c>
      <c r="C1447" t="s">
        <v>18</v>
      </c>
      <c r="D1447">
        <v>28</v>
      </c>
      <c r="E1447">
        <v>4</v>
      </c>
      <c r="F1447" t="s">
        <v>15</v>
      </c>
      <c r="G1447">
        <v>1</v>
      </c>
      <c r="H1447">
        <v>2</v>
      </c>
      <c r="I1447" t="s">
        <v>19</v>
      </c>
      <c r="J1447">
        <v>13570</v>
      </c>
      <c r="K1447">
        <v>0</v>
      </c>
      <c r="L1447">
        <v>3</v>
      </c>
      <c r="M1447">
        <v>20</v>
      </c>
    </row>
    <row r="1448" spans="1:13">
      <c r="A1448">
        <v>34</v>
      </c>
      <c r="B1448" t="s">
        <v>17</v>
      </c>
      <c r="C1448" t="s">
        <v>14</v>
      </c>
      <c r="D1448">
        <v>28</v>
      </c>
      <c r="E1448">
        <v>3</v>
      </c>
      <c r="F1448" t="s">
        <v>23</v>
      </c>
      <c r="G1448">
        <v>4</v>
      </c>
      <c r="H1448">
        <v>3</v>
      </c>
      <c r="I1448" t="s">
        <v>19</v>
      </c>
      <c r="J1448">
        <v>6712</v>
      </c>
      <c r="K1448">
        <v>1</v>
      </c>
      <c r="L1448">
        <v>3</v>
      </c>
      <c r="M1448">
        <v>8</v>
      </c>
    </row>
    <row r="1449" spans="1:13">
      <c r="A1449">
        <v>36</v>
      </c>
      <c r="B1449" t="s">
        <v>17</v>
      </c>
      <c r="C1449" t="s">
        <v>14</v>
      </c>
      <c r="D1449">
        <v>15</v>
      </c>
      <c r="E1449">
        <v>4</v>
      </c>
      <c r="F1449" t="s">
        <v>23</v>
      </c>
      <c r="G1449">
        <v>4</v>
      </c>
      <c r="H1449">
        <v>4</v>
      </c>
      <c r="I1449" t="s">
        <v>22</v>
      </c>
      <c r="J1449">
        <v>5406</v>
      </c>
      <c r="K1449">
        <v>1</v>
      </c>
      <c r="L1449">
        <v>2</v>
      </c>
      <c r="M1449">
        <v>15</v>
      </c>
    </row>
    <row r="1450" spans="1:13">
      <c r="A1450">
        <v>41</v>
      </c>
      <c r="B1450" t="s">
        <v>17</v>
      </c>
      <c r="C1450" t="s">
        <v>14</v>
      </c>
      <c r="D1450">
        <v>3</v>
      </c>
      <c r="E1450">
        <v>3</v>
      </c>
      <c r="F1450" t="s">
        <v>15</v>
      </c>
      <c r="G1450">
        <v>3</v>
      </c>
      <c r="H1450">
        <v>2</v>
      </c>
      <c r="I1450" t="s">
        <v>22</v>
      </c>
      <c r="J1450">
        <v>8938</v>
      </c>
      <c r="K1450">
        <v>2</v>
      </c>
      <c r="L1450">
        <v>3</v>
      </c>
      <c r="M1450">
        <v>5</v>
      </c>
    </row>
    <row r="1451" spans="1:13">
      <c r="A1451">
        <v>32</v>
      </c>
      <c r="B1451" t="s">
        <v>17</v>
      </c>
      <c r="C1451" t="s">
        <v>18</v>
      </c>
      <c r="D1451">
        <v>2</v>
      </c>
      <c r="E1451">
        <v>3</v>
      </c>
      <c r="F1451" t="s">
        <v>24</v>
      </c>
      <c r="G1451">
        <v>4</v>
      </c>
      <c r="H1451">
        <v>1</v>
      </c>
      <c r="I1451" t="s">
        <v>16</v>
      </c>
      <c r="J1451">
        <v>2439</v>
      </c>
      <c r="K1451">
        <v>1</v>
      </c>
      <c r="L1451">
        <v>3</v>
      </c>
      <c r="M1451">
        <v>4</v>
      </c>
    </row>
    <row r="1452" spans="1:13">
      <c r="A1452">
        <v>35</v>
      </c>
      <c r="B1452" t="s">
        <v>17</v>
      </c>
      <c r="C1452" t="s">
        <v>25</v>
      </c>
      <c r="D1452">
        <v>26</v>
      </c>
      <c r="E1452">
        <v>4</v>
      </c>
      <c r="F1452" t="s">
        <v>15</v>
      </c>
      <c r="G1452">
        <v>3</v>
      </c>
      <c r="H1452">
        <v>4</v>
      </c>
      <c r="I1452" t="s">
        <v>16</v>
      </c>
      <c r="J1452">
        <v>8837</v>
      </c>
      <c r="K1452">
        <v>1</v>
      </c>
      <c r="L1452">
        <v>3</v>
      </c>
      <c r="M1452">
        <v>9</v>
      </c>
    </row>
    <row r="1453" spans="1:13">
      <c r="A1453">
        <v>38</v>
      </c>
      <c r="B1453" t="s">
        <v>17</v>
      </c>
      <c r="C1453" t="s">
        <v>14</v>
      </c>
      <c r="D1453">
        <v>10</v>
      </c>
      <c r="E1453">
        <v>2</v>
      </c>
      <c r="F1453" t="s">
        <v>15</v>
      </c>
      <c r="G1453">
        <v>1</v>
      </c>
      <c r="H1453">
        <v>4</v>
      </c>
      <c r="I1453" t="s">
        <v>19</v>
      </c>
      <c r="J1453">
        <v>5343</v>
      </c>
      <c r="K1453">
        <v>1</v>
      </c>
      <c r="L1453">
        <v>3</v>
      </c>
      <c r="M1453">
        <v>10</v>
      </c>
    </row>
    <row r="1454" spans="1:13">
      <c r="A1454">
        <v>50</v>
      </c>
      <c r="B1454" t="s">
        <v>13</v>
      </c>
      <c r="C1454" t="s">
        <v>14</v>
      </c>
      <c r="D1454">
        <v>1</v>
      </c>
      <c r="E1454">
        <v>4</v>
      </c>
      <c r="F1454" t="s">
        <v>15</v>
      </c>
      <c r="G1454">
        <v>2</v>
      </c>
      <c r="H1454">
        <v>3</v>
      </c>
      <c r="I1454" t="s">
        <v>22</v>
      </c>
      <c r="J1454">
        <v>6728</v>
      </c>
      <c r="K1454">
        <v>7</v>
      </c>
      <c r="L1454">
        <v>3</v>
      </c>
      <c r="M1454">
        <v>6</v>
      </c>
    </row>
    <row r="1455" spans="1:13">
      <c r="A1455">
        <v>36</v>
      </c>
      <c r="B1455" t="s">
        <v>17</v>
      </c>
      <c r="C1455" t="s">
        <v>14</v>
      </c>
      <c r="D1455">
        <v>11</v>
      </c>
      <c r="E1455">
        <v>4</v>
      </c>
      <c r="F1455" t="s">
        <v>23</v>
      </c>
      <c r="G1455">
        <v>2</v>
      </c>
      <c r="H1455">
        <v>4</v>
      </c>
      <c r="I1455" t="s">
        <v>19</v>
      </c>
      <c r="J1455">
        <v>6652</v>
      </c>
      <c r="K1455">
        <v>4</v>
      </c>
      <c r="L1455">
        <v>2</v>
      </c>
      <c r="M1455">
        <v>6</v>
      </c>
    </row>
    <row r="1456" spans="1:13">
      <c r="A1456">
        <v>45</v>
      </c>
      <c r="B1456" t="s">
        <v>17</v>
      </c>
      <c r="C1456" t="s">
        <v>14</v>
      </c>
      <c r="D1456">
        <v>20</v>
      </c>
      <c r="E1456">
        <v>3</v>
      </c>
      <c r="F1456" t="s">
        <v>15</v>
      </c>
      <c r="G1456">
        <v>4</v>
      </c>
      <c r="H1456">
        <v>3</v>
      </c>
      <c r="I1456" t="s">
        <v>16</v>
      </c>
      <c r="J1456">
        <v>4850</v>
      </c>
      <c r="K1456">
        <v>8</v>
      </c>
      <c r="L1456">
        <v>3</v>
      </c>
      <c r="M1456">
        <v>5</v>
      </c>
    </row>
    <row r="1457" spans="1:13">
      <c r="A1457">
        <v>40</v>
      </c>
      <c r="B1457" t="s">
        <v>17</v>
      </c>
      <c r="C1457" t="s">
        <v>18</v>
      </c>
      <c r="D1457">
        <v>2</v>
      </c>
      <c r="E1457">
        <v>4</v>
      </c>
      <c r="F1457" t="s">
        <v>15</v>
      </c>
      <c r="G1457">
        <v>3</v>
      </c>
      <c r="H1457">
        <v>3</v>
      </c>
      <c r="I1457" t="s">
        <v>16</v>
      </c>
      <c r="J1457">
        <v>2809</v>
      </c>
      <c r="K1457">
        <v>2</v>
      </c>
      <c r="L1457">
        <v>3</v>
      </c>
      <c r="M1457">
        <v>2</v>
      </c>
    </row>
    <row r="1458" spans="1:13">
      <c r="A1458">
        <v>35</v>
      </c>
      <c r="B1458" t="s">
        <v>17</v>
      </c>
      <c r="C1458" t="s">
        <v>18</v>
      </c>
      <c r="D1458">
        <v>18</v>
      </c>
      <c r="E1458">
        <v>4</v>
      </c>
      <c r="F1458" t="s">
        <v>15</v>
      </c>
      <c r="G1458">
        <v>3</v>
      </c>
      <c r="H1458">
        <v>3</v>
      </c>
      <c r="I1458" t="s">
        <v>19</v>
      </c>
      <c r="J1458">
        <v>5689</v>
      </c>
      <c r="K1458">
        <v>1</v>
      </c>
      <c r="L1458">
        <v>4</v>
      </c>
      <c r="M1458">
        <v>10</v>
      </c>
    </row>
    <row r="1459" spans="1:13">
      <c r="A1459">
        <v>40</v>
      </c>
      <c r="B1459" t="s">
        <v>17</v>
      </c>
      <c r="C1459" t="s">
        <v>18</v>
      </c>
      <c r="D1459">
        <v>2</v>
      </c>
      <c r="E1459">
        <v>4</v>
      </c>
      <c r="F1459" t="s">
        <v>21</v>
      </c>
      <c r="G1459">
        <v>3</v>
      </c>
      <c r="H1459">
        <v>3</v>
      </c>
      <c r="I1459" t="s">
        <v>19</v>
      </c>
      <c r="J1459">
        <v>2001</v>
      </c>
      <c r="K1459">
        <v>2</v>
      </c>
      <c r="L1459">
        <v>3</v>
      </c>
      <c r="M1459">
        <v>5</v>
      </c>
    </row>
    <row r="1460" spans="1:13">
      <c r="A1460">
        <v>35</v>
      </c>
      <c r="B1460" t="s">
        <v>17</v>
      </c>
      <c r="C1460" t="s">
        <v>18</v>
      </c>
      <c r="D1460">
        <v>1</v>
      </c>
      <c r="E1460">
        <v>4</v>
      </c>
      <c r="F1460" t="s">
        <v>15</v>
      </c>
      <c r="G1460">
        <v>3</v>
      </c>
      <c r="H1460">
        <v>4</v>
      </c>
      <c r="I1460" t="s">
        <v>19</v>
      </c>
      <c r="J1460">
        <v>2977</v>
      </c>
      <c r="K1460">
        <v>1</v>
      </c>
      <c r="L1460">
        <v>3</v>
      </c>
      <c r="M1460">
        <v>4</v>
      </c>
    </row>
    <row r="1461" spans="1:13">
      <c r="A1461">
        <v>29</v>
      </c>
      <c r="B1461" t="s">
        <v>17</v>
      </c>
      <c r="C1461" t="s">
        <v>18</v>
      </c>
      <c r="D1461">
        <v>13</v>
      </c>
      <c r="E1461">
        <v>2</v>
      </c>
      <c r="F1461" t="s">
        <v>20</v>
      </c>
      <c r="G1461">
        <v>4</v>
      </c>
      <c r="H1461">
        <v>2</v>
      </c>
      <c r="I1461" t="s">
        <v>19</v>
      </c>
      <c r="J1461">
        <v>4025</v>
      </c>
      <c r="K1461">
        <v>4</v>
      </c>
      <c r="L1461">
        <v>3</v>
      </c>
      <c r="M1461">
        <v>4</v>
      </c>
    </row>
    <row r="1462" spans="1:13">
      <c r="A1462">
        <v>29</v>
      </c>
      <c r="B1462" t="s">
        <v>17</v>
      </c>
      <c r="C1462" t="s">
        <v>18</v>
      </c>
      <c r="D1462">
        <v>28</v>
      </c>
      <c r="E1462">
        <v>4</v>
      </c>
      <c r="F1462" t="s">
        <v>21</v>
      </c>
      <c r="G1462">
        <v>4</v>
      </c>
      <c r="H1462">
        <v>1</v>
      </c>
      <c r="I1462" t="s">
        <v>16</v>
      </c>
      <c r="J1462">
        <v>3785</v>
      </c>
      <c r="K1462">
        <v>1</v>
      </c>
      <c r="L1462">
        <v>1</v>
      </c>
      <c r="M1462">
        <v>5</v>
      </c>
    </row>
    <row r="1463" spans="1:13">
      <c r="A1463">
        <v>50</v>
      </c>
      <c r="B1463" t="s">
        <v>13</v>
      </c>
      <c r="C1463" t="s">
        <v>14</v>
      </c>
      <c r="D1463">
        <v>28</v>
      </c>
      <c r="E1463">
        <v>3</v>
      </c>
      <c r="F1463" t="s">
        <v>23</v>
      </c>
      <c r="G1463">
        <v>4</v>
      </c>
      <c r="H1463">
        <v>1</v>
      </c>
      <c r="I1463" t="s">
        <v>22</v>
      </c>
      <c r="J1463">
        <v>10854</v>
      </c>
      <c r="K1463">
        <v>4</v>
      </c>
      <c r="L1463">
        <v>3</v>
      </c>
      <c r="M1463">
        <v>3</v>
      </c>
    </row>
    <row r="1464" spans="1:13">
      <c r="A1464">
        <v>39</v>
      </c>
      <c r="B1464" t="s">
        <v>17</v>
      </c>
      <c r="C1464" t="s">
        <v>14</v>
      </c>
      <c r="D1464">
        <v>24</v>
      </c>
      <c r="E1464">
        <v>1</v>
      </c>
      <c r="F1464" t="s">
        <v>23</v>
      </c>
      <c r="G1464">
        <v>2</v>
      </c>
      <c r="H1464">
        <v>4</v>
      </c>
      <c r="I1464" t="s">
        <v>19</v>
      </c>
      <c r="J1464">
        <v>12031</v>
      </c>
      <c r="K1464">
        <v>0</v>
      </c>
      <c r="L1464">
        <v>2</v>
      </c>
      <c r="M1464">
        <v>20</v>
      </c>
    </row>
    <row r="1465" spans="1:13">
      <c r="A1465">
        <v>31</v>
      </c>
      <c r="B1465" t="s">
        <v>17</v>
      </c>
      <c r="C1465" t="s">
        <v>18</v>
      </c>
      <c r="D1465">
        <v>5</v>
      </c>
      <c r="E1465">
        <v>3</v>
      </c>
      <c r="F1465" t="s">
        <v>21</v>
      </c>
      <c r="G1465">
        <v>2</v>
      </c>
      <c r="H1465">
        <v>1</v>
      </c>
      <c r="I1465" t="s">
        <v>16</v>
      </c>
      <c r="J1465">
        <v>9936</v>
      </c>
      <c r="K1465">
        <v>0</v>
      </c>
      <c r="L1465">
        <v>3</v>
      </c>
      <c r="M1465">
        <v>9</v>
      </c>
    </row>
    <row r="1466" spans="1:13">
      <c r="A1466">
        <v>26</v>
      </c>
      <c r="B1466" t="s">
        <v>17</v>
      </c>
      <c r="C1466" t="s">
        <v>14</v>
      </c>
      <c r="D1466">
        <v>5</v>
      </c>
      <c r="E1466">
        <v>3</v>
      </c>
      <c r="F1466" t="s">
        <v>20</v>
      </c>
      <c r="G1466">
        <v>4</v>
      </c>
      <c r="H1466">
        <v>3</v>
      </c>
      <c r="I1466" t="s">
        <v>16</v>
      </c>
      <c r="J1466">
        <v>2966</v>
      </c>
      <c r="K1466">
        <v>0</v>
      </c>
      <c r="L1466">
        <v>3</v>
      </c>
      <c r="M1466">
        <v>4</v>
      </c>
    </row>
    <row r="1467" spans="1:13">
      <c r="A1467">
        <v>36</v>
      </c>
      <c r="B1467" t="s">
        <v>17</v>
      </c>
      <c r="C1467" t="s">
        <v>18</v>
      </c>
      <c r="D1467">
        <v>23</v>
      </c>
      <c r="E1467">
        <v>2</v>
      </c>
      <c r="F1467" t="s">
        <v>21</v>
      </c>
      <c r="G1467">
        <v>3</v>
      </c>
      <c r="H1467">
        <v>4</v>
      </c>
      <c r="I1467" t="s">
        <v>19</v>
      </c>
      <c r="J1467">
        <v>2571</v>
      </c>
      <c r="K1467">
        <v>4</v>
      </c>
      <c r="L1467">
        <v>3</v>
      </c>
      <c r="M1467">
        <v>5</v>
      </c>
    </row>
    <row r="1468" spans="1:13">
      <c r="A1468">
        <v>39</v>
      </c>
      <c r="B1468" t="s">
        <v>17</v>
      </c>
      <c r="C1468" t="s">
        <v>18</v>
      </c>
      <c r="D1468">
        <v>6</v>
      </c>
      <c r="E1468">
        <v>1</v>
      </c>
      <c r="F1468" t="s">
        <v>21</v>
      </c>
      <c r="G1468">
        <v>4</v>
      </c>
      <c r="H1468">
        <v>1</v>
      </c>
      <c r="I1468" t="s">
        <v>19</v>
      </c>
      <c r="J1468">
        <v>9991</v>
      </c>
      <c r="K1468">
        <v>4</v>
      </c>
      <c r="L1468">
        <v>3</v>
      </c>
      <c r="M1468">
        <v>7</v>
      </c>
    </row>
    <row r="1469" spans="1:13">
      <c r="A1469">
        <v>27</v>
      </c>
      <c r="B1469" t="s">
        <v>17</v>
      </c>
      <c r="C1469" t="s">
        <v>18</v>
      </c>
      <c r="D1469">
        <v>4</v>
      </c>
      <c r="E1469">
        <v>3</v>
      </c>
      <c r="F1469" t="s">
        <v>15</v>
      </c>
      <c r="G1469">
        <v>2</v>
      </c>
      <c r="H1469">
        <v>2</v>
      </c>
      <c r="I1469" t="s">
        <v>19</v>
      </c>
      <c r="J1469">
        <v>6142</v>
      </c>
      <c r="K1469">
        <v>1</v>
      </c>
      <c r="L1469">
        <v>3</v>
      </c>
      <c r="M1469">
        <v>6</v>
      </c>
    </row>
    <row r="1470" spans="1:13">
      <c r="A1470">
        <v>49</v>
      </c>
      <c r="B1470" t="s">
        <v>17</v>
      </c>
      <c r="C1470" t="s">
        <v>14</v>
      </c>
      <c r="D1470">
        <v>2</v>
      </c>
      <c r="E1470">
        <v>3</v>
      </c>
      <c r="F1470" t="s">
        <v>21</v>
      </c>
      <c r="G1470">
        <v>4</v>
      </c>
      <c r="H1470">
        <v>2</v>
      </c>
      <c r="I1470" t="s">
        <v>19</v>
      </c>
      <c r="J1470">
        <v>5390</v>
      </c>
      <c r="K1470">
        <v>2</v>
      </c>
      <c r="L1470">
        <v>2</v>
      </c>
      <c r="M1470">
        <v>9</v>
      </c>
    </row>
    <row r="1471" spans="1:13">
      <c r="A1471">
        <v>34</v>
      </c>
      <c r="B1471" t="s">
        <v>17</v>
      </c>
      <c r="C1471" t="s">
        <v>18</v>
      </c>
      <c r="D1471">
        <v>8</v>
      </c>
      <c r="E1471">
        <v>3</v>
      </c>
      <c r="F1471" t="s">
        <v>21</v>
      </c>
      <c r="G1471">
        <v>2</v>
      </c>
      <c r="H1471">
        <v>3</v>
      </c>
      <c r="I1471" t="s">
        <v>19</v>
      </c>
      <c r="J1471">
        <v>4404</v>
      </c>
      <c r="K1471">
        <v>2</v>
      </c>
      <c r="L1471">
        <v>4</v>
      </c>
      <c r="M1471">
        <v>4</v>
      </c>
    </row>
  </sheetData>
  <autoFilter ref="A1:M1471" xr:uid="{7784A86A-95E6-4818-A2A5-17162309ABE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DCEF2-247B-4F1A-A6CC-A0CB5DE615AB}">
  <dimension ref="A1:J12"/>
  <sheetViews>
    <sheetView workbookViewId="0"/>
  </sheetViews>
  <sheetFormatPr defaultRowHeight="15"/>
  <cols>
    <col min="1" max="1" width="14.85546875" customWidth="1"/>
    <col min="4" max="4" width="6.28515625" bestFit="1" customWidth="1"/>
    <col min="5" max="5" width="15.85546875" customWidth="1"/>
  </cols>
  <sheetData>
    <row r="1" spans="1:10">
      <c r="A1" s="5" t="s">
        <v>26</v>
      </c>
      <c r="B1" s="5"/>
      <c r="C1" s="5"/>
      <c r="D1" s="3" t="s">
        <v>27</v>
      </c>
      <c r="E1" s="5" t="s">
        <v>28</v>
      </c>
      <c r="F1" s="5"/>
      <c r="G1" s="5"/>
      <c r="H1" s="5"/>
      <c r="I1" s="5"/>
      <c r="J1" s="5"/>
    </row>
    <row r="2" spans="1:10">
      <c r="A2" s="6" t="s">
        <v>29</v>
      </c>
      <c r="B2" s="6"/>
      <c r="C2" s="6"/>
      <c r="D2" s="2">
        <v>25</v>
      </c>
      <c r="E2" s="7" t="s">
        <v>30</v>
      </c>
      <c r="F2" s="6"/>
      <c r="G2" s="6"/>
      <c r="H2" s="6"/>
      <c r="I2" s="6"/>
      <c r="J2" s="6"/>
    </row>
    <row r="3" spans="1:10">
      <c r="A3" s="6" t="s">
        <v>31</v>
      </c>
      <c r="B3" s="6"/>
      <c r="C3" s="6"/>
      <c r="D3" s="2">
        <v>34</v>
      </c>
      <c r="E3" s="7" t="s">
        <v>32</v>
      </c>
      <c r="F3" s="6"/>
      <c r="G3" s="6"/>
      <c r="H3" s="6"/>
      <c r="I3" s="6"/>
      <c r="J3" s="6"/>
    </row>
    <row r="4" spans="1:10">
      <c r="A4" s="6" t="s">
        <v>33</v>
      </c>
      <c r="B4" s="6"/>
      <c r="C4" s="6"/>
      <c r="D4" s="2">
        <v>44</v>
      </c>
      <c r="E4" s="7" t="s">
        <v>34</v>
      </c>
      <c r="F4" s="6"/>
      <c r="G4" s="6"/>
      <c r="H4" s="6"/>
      <c r="I4" s="6"/>
      <c r="J4" s="6"/>
    </row>
    <row r="5" spans="1:10">
      <c r="A5" s="6" t="s">
        <v>35</v>
      </c>
      <c r="B5" s="6"/>
      <c r="C5" s="6"/>
      <c r="D5" s="2">
        <v>54</v>
      </c>
      <c r="E5" s="7" t="s">
        <v>36</v>
      </c>
      <c r="F5" s="6"/>
      <c r="G5" s="6"/>
      <c r="H5" s="6"/>
      <c r="I5" s="6"/>
      <c r="J5" s="6"/>
    </row>
    <row r="6" spans="1:10">
      <c r="A6" s="6"/>
      <c r="B6" s="6"/>
      <c r="C6" s="6"/>
    </row>
    <row r="7" spans="1:10">
      <c r="A7" s="6" t="s">
        <v>37</v>
      </c>
      <c r="B7" s="6"/>
      <c r="C7" s="6"/>
      <c r="D7" s="2">
        <v>3000</v>
      </c>
      <c r="E7" s="7" t="s">
        <v>38</v>
      </c>
      <c r="F7" s="7"/>
      <c r="G7" s="7"/>
      <c r="H7" s="7"/>
      <c r="I7" s="7"/>
      <c r="J7" s="7"/>
    </row>
    <row r="8" spans="1:10">
      <c r="A8" s="6" t="s">
        <v>39</v>
      </c>
      <c r="B8" s="6"/>
      <c r="C8" s="6"/>
      <c r="D8" s="2">
        <v>7000</v>
      </c>
      <c r="E8" s="7" t="s">
        <v>40</v>
      </c>
      <c r="F8" s="7"/>
      <c r="G8" s="7"/>
      <c r="H8" s="7"/>
      <c r="I8" s="7"/>
      <c r="J8" s="7"/>
    </row>
    <row r="9" spans="1:10">
      <c r="A9" s="6"/>
      <c r="B9" s="6"/>
      <c r="C9" s="6"/>
    </row>
    <row r="10" spans="1:10">
      <c r="A10" s="6" t="s">
        <v>41</v>
      </c>
      <c r="B10" s="6"/>
      <c r="C10" s="6"/>
      <c r="D10" s="2">
        <v>2</v>
      </c>
      <c r="E10" s="7" t="s">
        <v>42</v>
      </c>
      <c r="F10" s="6"/>
      <c r="G10" s="6"/>
      <c r="H10" s="6"/>
      <c r="I10" s="6"/>
      <c r="J10" s="6"/>
    </row>
    <row r="11" spans="1:10">
      <c r="A11" s="6" t="s">
        <v>43</v>
      </c>
      <c r="B11" s="6"/>
      <c r="C11" s="6"/>
      <c r="D11" s="2">
        <v>5</v>
      </c>
      <c r="E11" s="7" t="s">
        <v>44</v>
      </c>
      <c r="F11" s="6"/>
      <c r="G11" s="6"/>
      <c r="H11" s="6"/>
      <c r="I11" s="6"/>
      <c r="J11" s="6"/>
    </row>
    <row r="12" spans="1:10">
      <c r="A12" s="6" t="s">
        <v>45</v>
      </c>
      <c r="B12" s="6"/>
      <c r="C12" s="6"/>
      <c r="D12" s="2">
        <v>10</v>
      </c>
      <c r="E12" s="7" t="s">
        <v>46</v>
      </c>
      <c r="F12" s="6"/>
      <c r="G12" s="6"/>
      <c r="H12" s="6"/>
      <c r="I12" s="6"/>
      <c r="J12" s="6"/>
    </row>
  </sheetData>
  <mergeCells count="22">
    <mergeCell ref="E1:J1"/>
    <mergeCell ref="E7:J7"/>
    <mergeCell ref="E8:J8"/>
    <mergeCell ref="E10:J10"/>
    <mergeCell ref="E11:J11"/>
    <mergeCell ref="E12:J12"/>
    <mergeCell ref="E2:J2"/>
    <mergeCell ref="E3:J3"/>
    <mergeCell ref="E4:J4"/>
    <mergeCell ref="E5:J5"/>
    <mergeCell ref="A12:C12"/>
    <mergeCell ref="A5:C5"/>
    <mergeCell ref="A6:C6"/>
    <mergeCell ref="A7:C7"/>
    <mergeCell ref="A8:C8"/>
    <mergeCell ref="A9:C9"/>
    <mergeCell ref="A10:C10"/>
    <mergeCell ref="A1:C1"/>
    <mergeCell ref="A2:C2"/>
    <mergeCell ref="A4:C4"/>
    <mergeCell ref="A3:C3"/>
    <mergeCell ref="A11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86BF-B24C-42D4-AB36-29804830206F}">
  <dimension ref="A1:R1471"/>
  <sheetViews>
    <sheetView tabSelected="1" topLeftCell="F1" workbookViewId="0">
      <selection activeCell="R2" sqref="R2"/>
    </sheetView>
  </sheetViews>
  <sheetFormatPr defaultRowHeight="15"/>
  <cols>
    <col min="1" max="1" width="14.5703125" bestFit="1" customWidth="1"/>
    <col min="2" max="2" width="8.85546875" bestFit="1" customWidth="1"/>
    <col min="3" max="3" width="23.7109375" bestFit="1" customWidth="1"/>
    <col min="4" max="4" width="19" bestFit="1" customWidth="1"/>
    <col min="5" max="5" width="10" bestFit="1" customWidth="1"/>
    <col min="6" max="6" width="17" bestFit="1" customWidth="1"/>
    <col min="7" max="7" width="23.42578125" bestFit="1" customWidth="1"/>
    <col min="8" max="8" width="14.7109375" bestFit="1" customWidth="1"/>
    <col min="9" max="9" width="13.42578125" bestFit="1" customWidth="1"/>
    <col min="10" max="10" width="15.42578125" bestFit="1" customWidth="1"/>
    <col min="11" max="11" width="22.85546875" bestFit="1" customWidth="1"/>
    <col min="12" max="12" width="16.28515625" bestFit="1" customWidth="1"/>
    <col min="13" max="13" width="16.5703125" bestFit="1" customWidth="1"/>
    <col min="14" max="14" width="12.42578125" bestFit="1" customWidth="1"/>
    <col min="15" max="15" width="10.140625" bestFit="1" customWidth="1"/>
    <col min="16" max="16" width="12.28515625" bestFit="1" customWidth="1"/>
    <col min="17" max="17" width="16.85546875" bestFit="1" customWidth="1"/>
    <col min="18" max="18" width="1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</row>
    <row r="2" spans="1:18">
      <c r="A2">
        <f>RAW_DATA!A2</f>
        <v>41</v>
      </c>
      <c r="B2" t="str">
        <f>RAW_DATA!B2</f>
        <v>Yes</v>
      </c>
      <c r="C2" t="str">
        <f>RAW_DATA!C2</f>
        <v>Sales</v>
      </c>
      <c r="D2">
        <f>RAW_DATA!D2</f>
        <v>1</v>
      </c>
      <c r="E2">
        <f>RAW_DATA!E2</f>
        <v>2</v>
      </c>
      <c r="F2" t="str">
        <f>RAW_DATA!F2</f>
        <v>Life Sciences</v>
      </c>
      <c r="G2">
        <f>RAW_DATA!G2</f>
        <v>2</v>
      </c>
      <c r="H2">
        <f>RAW_DATA!H2</f>
        <v>4</v>
      </c>
      <c r="I2" t="str">
        <f>RAW_DATA!I2</f>
        <v>Single</v>
      </c>
      <c r="J2">
        <f>RAW_DATA!J2</f>
        <v>5993</v>
      </c>
      <c r="K2">
        <f>RAW_DATA!K2</f>
        <v>8</v>
      </c>
      <c r="L2">
        <f>RAW_DATA!L2</f>
        <v>1</v>
      </c>
      <c r="M2">
        <f>RAW_DATA!M2</f>
        <v>6</v>
      </c>
      <c r="N2">
        <f xml:space="preserve"> IF(B2 ="Yes",1,0)</f>
        <v>1</v>
      </c>
      <c r="O2" t="str" cm="1">
        <f t="array" ref="O2" xml:space="preserve"> _xlfn.IFS(A2 &lt;ASSUMPTIONS!$D$2,"25",A2 &lt;= ASSUMPTIONS!$D$3,"25-34",A2 &lt;= ASSUMPTIONS!$D$4, "35-44",A2 &lt;= ASSUMPTIONS!$D$5,"45-54",TRUE,"55+")</f>
        <v>35-44</v>
      </c>
      <c r="P2" t="str" cm="1">
        <f t="array" ref="P2">_xlfn.IFS( J2 &lt;ASSUMPTIONS!$D$7,"LOW",J2 &lt;= ASSUMPTIONS!$D$8,"MEDIUM",TRUE, "HIGH")</f>
        <v>MEDIUM</v>
      </c>
      <c r="Q2" t="str">
        <f>IF(M2&lt;ASSUMPTIONS!$D$10,"New (0-2)",IF(M2&lt;=ASSUMPTIONS!$D$11,"Early (2-5)",IF(M2&lt;=ASSUMPTIONS!$D$12,"Established (5-10)","Veteran (10+)")))</f>
        <v>Established (5-10)</v>
      </c>
      <c r="R2" s="4">
        <f>AVERAGE(G2,H2,L2)</f>
        <v>2.3333333333333335</v>
      </c>
    </row>
    <row r="3" spans="1:18">
      <c r="A3">
        <f>RAW_DATA!A3</f>
        <v>49</v>
      </c>
      <c r="B3" t="str">
        <f>RAW_DATA!B3</f>
        <v>No</v>
      </c>
      <c r="C3" t="str">
        <f>RAW_DATA!C3</f>
        <v>Research &amp; Development</v>
      </c>
      <c r="D3">
        <f>RAW_DATA!D3</f>
        <v>8</v>
      </c>
      <c r="E3">
        <f>RAW_DATA!E3</f>
        <v>1</v>
      </c>
      <c r="F3" t="str">
        <f>RAW_DATA!F3</f>
        <v>Life Sciences</v>
      </c>
      <c r="G3">
        <f>RAW_DATA!G3</f>
        <v>3</v>
      </c>
      <c r="H3">
        <f>RAW_DATA!H3</f>
        <v>2</v>
      </c>
      <c r="I3" t="str">
        <f>RAW_DATA!I3</f>
        <v>Married</v>
      </c>
      <c r="J3">
        <f>RAW_DATA!J3</f>
        <v>5130</v>
      </c>
      <c r="K3">
        <f>RAW_DATA!K3</f>
        <v>1</v>
      </c>
      <c r="L3">
        <f>RAW_DATA!L3</f>
        <v>3</v>
      </c>
      <c r="M3">
        <f>RAW_DATA!M3</f>
        <v>10</v>
      </c>
      <c r="N3">
        <f t="shared" ref="N3:N66" si="0" xml:space="preserve"> IF(B3 ="Yes",1,0)</f>
        <v>0</v>
      </c>
      <c r="O3" t="str" cm="1">
        <f t="array" ref="O3" xml:space="preserve"> _xlfn.IFS(A3 &lt;ASSUMPTIONS!$D$2,"25",A3 &lt;= ASSUMPTIONS!$D$3,"25-34",A3 &lt;= ASSUMPTIONS!$D$4, "35-44",A3 &lt;= ASSUMPTIONS!$D$5,"45-54",TRUE,"55+")</f>
        <v>45-54</v>
      </c>
      <c r="P3" t="str" cm="1">
        <f t="array" ref="P3">_xlfn.IFS( J3 &lt;ASSUMPTIONS!$D$7,"LOW",J3 &lt;= ASSUMPTIONS!$D$8,"MEDIUM",TRUE, "HIGH")</f>
        <v>MEDIUM</v>
      </c>
      <c r="Q3" t="str">
        <f>IF(M3&lt;ASSUMPTIONS!$D$10,"New (0-2)",IF(M3&lt;=ASSUMPTIONS!$D$11,"Early (2-5)",IF(M3&lt;=ASSUMPTIONS!$D$12,"Established (5-10)","Veteran (10+)")))</f>
        <v>Established (5-10)</v>
      </c>
      <c r="R3" s="4">
        <f t="shared" ref="R3:R66" si="1">AVERAGE(G3,H3,L3)</f>
        <v>2.6666666666666665</v>
      </c>
    </row>
    <row r="4" spans="1:18">
      <c r="A4">
        <f>RAW_DATA!A4</f>
        <v>37</v>
      </c>
      <c r="B4" t="str">
        <f>RAW_DATA!B4</f>
        <v>Yes</v>
      </c>
      <c r="C4" t="str">
        <f>RAW_DATA!C4</f>
        <v>Research &amp; Development</v>
      </c>
      <c r="D4">
        <f>RAW_DATA!D4</f>
        <v>2</v>
      </c>
      <c r="E4">
        <f>RAW_DATA!E4</f>
        <v>2</v>
      </c>
      <c r="F4" t="str">
        <f>RAW_DATA!F4</f>
        <v>Other</v>
      </c>
      <c r="G4">
        <f>RAW_DATA!G4</f>
        <v>4</v>
      </c>
      <c r="H4">
        <f>RAW_DATA!H4</f>
        <v>3</v>
      </c>
      <c r="I4" t="str">
        <f>RAW_DATA!I4</f>
        <v>Single</v>
      </c>
      <c r="J4">
        <f>RAW_DATA!J4</f>
        <v>2090</v>
      </c>
      <c r="K4">
        <f>RAW_DATA!K4</f>
        <v>6</v>
      </c>
      <c r="L4">
        <f>RAW_DATA!L4</f>
        <v>3</v>
      </c>
      <c r="M4">
        <f>RAW_DATA!M4</f>
        <v>0</v>
      </c>
      <c r="N4">
        <f t="shared" si="0"/>
        <v>1</v>
      </c>
      <c r="O4" t="str" cm="1">
        <f t="array" ref="O4" xml:space="preserve"> _xlfn.IFS(A4 &lt;ASSUMPTIONS!$D$2,"25",A4 &lt;= ASSUMPTIONS!$D$3,"25-34",A4 &lt;= ASSUMPTIONS!$D$4, "35-44",A4 &lt;= ASSUMPTIONS!$D$5,"45-54",TRUE,"55+")</f>
        <v>35-44</v>
      </c>
      <c r="P4" t="str" cm="1">
        <f t="array" ref="P4">_xlfn.IFS( J4 &lt;ASSUMPTIONS!$D$7,"LOW",J4 &lt;= ASSUMPTIONS!$D$8,"MEDIUM",TRUE, "HIGH")</f>
        <v>LOW</v>
      </c>
      <c r="Q4" t="str">
        <f>IF(M4&lt;ASSUMPTIONS!$D$10,"New (0-2)",IF(M4&lt;=ASSUMPTIONS!$D$11,"Early (2-5)",IF(M4&lt;=ASSUMPTIONS!$D$12,"Established (5-10)","Veteran (10+)")))</f>
        <v>New (0-2)</v>
      </c>
      <c r="R4" s="4">
        <f t="shared" si="1"/>
        <v>3.3333333333333335</v>
      </c>
    </row>
    <row r="5" spans="1:18">
      <c r="A5">
        <f>RAW_DATA!A5</f>
        <v>33</v>
      </c>
      <c r="B5" t="str">
        <f>RAW_DATA!B5</f>
        <v>No</v>
      </c>
      <c r="C5" t="str">
        <f>RAW_DATA!C5</f>
        <v>Research &amp; Development</v>
      </c>
      <c r="D5">
        <f>RAW_DATA!D5</f>
        <v>3</v>
      </c>
      <c r="E5">
        <f>RAW_DATA!E5</f>
        <v>4</v>
      </c>
      <c r="F5" t="str">
        <f>RAW_DATA!F5</f>
        <v>Life Sciences</v>
      </c>
      <c r="G5">
        <f>RAW_DATA!G5</f>
        <v>4</v>
      </c>
      <c r="H5">
        <f>RAW_DATA!H5</f>
        <v>3</v>
      </c>
      <c r="I5" t="str">
        <f>RAW_DATA!I5</f>
        <v>Married</v>
      </c>
      <c r="J5">
        <f>RAW_DATA!J5</f>
        <v>2909</v>
      </c>
      <c r="K5">
        <f>RAW_DATA!K5</f>
        <v>1</v>
      </c>
      <c r="L5">
        <v>3</v>
      </c>
      <c r="M5">
        <f>RAW_DATA!M5</f>
        <v>8</v>
      </c>
      <c r="N5">
        <f t="shared" si="0"/>
        <v>0</v>
      </c>
      <c r="O5" t="str" cm="1">
        <f t="array" ref="O5" xml:space="preserve"> _xlfn.IFS(A5 &lt;ASSUMPTIONS!$D$2,"25",A5 &lt;= ASSUMPTIONS!$D$3,"25-34",A5 &lt;= ASSUMPTIONS!$D$4, "35-44",A5 &lt;= ASSUMPTIONS!$D$5,"45-54",TRUE,"55+")</f>
        <v>25-34</v>
      </c>
      <c r="P5" t="str" cm="1">
        <f t="array" ref="P5">_xlfn.IFS( J5 &lt;ASSUMPTIONS!$D$7,"LOW",J5 &lt;= ASSUMPTIONS!$D$8,"MEDIUM",TRUE, "HIGH")</f>
        <v>LOW</v>
      </c>
      <c r="Q5" t="str">
        <f>IF(M5&lt;ASSUMPTIONS!$D$10,"New (0-2)",IF(M5&lt;=ASSUMPTIONS!$D$11,"Early (2-5)",IF(M5&lt;=ASSUMPTIONS!$D$12,"Established (5-10)","Veteran (10+)")))</f>
        <v>Established (5-10)</v>
      </c>
      <c r="R5" s="4">
        <f t="shared" si="1"/>
        <v>3.3333333333333335</v>
      </c>
    </row>
    <row r="6" spans="1:18">
      <c r="A6">
        <f>RAW_DATA!A6</f>
        <v>27</v>
      </c>
      <c r="B6" t="str">
        <f>RAW_DATA!B6</f>
        <v>No</v>
      </c>
      <c r="C6" t="str">
        <f>RAW_DATA!C6</f>
        <v>Research &amp; Development</v>
      </c>
      <c r="D6">
        <f>RAW_DATA!D6</f>
        <v>2</v>
      </c>
      <c r="E6">
        <f>RAW_DATA!E6</f>
        <v>1</v>
      </c>
      <c r="F6" t="str">
        <f>RAW_DATA!F6</f>
        <v>Medical</v>
      </c>
      <c r="G6">
        <f>RAW_DATA!G6</f>
        <v>1</v>
      </c>
      <c r="H6">
        <f>RAW_DATA!H6</f>
        <v>2</v>
      </c>
      <c r="I6" t="str">
        <f>RAW_DATA!I6</f>
        <v>Married</v>
      </c>
      <c r="J6">
        <f>RAW_DATA!J6</f>
        <v>3468</v>
      </c>
      <c r="K6">
        <f>RAW_DATA!K6</f>
        <v>9</v>
      </c>
      <c r="L6">
        <f>RAW_DATA!L6</f>
        <v>3</v>
      </c>
      <c r="M6">
        <f>RAW_DATA!M6</f>
        <v>2</v>
      </c>
      <c r="N6">
        <f t="shared" si="0"/>
        <v>0</v>
      </c>
      <c r="O6" t="str" cm="1">
        <f t="array" ref="O6" xml:space="preserve"> _xlfn.IFS(A6 &lt;ASSUMPTIONS!$D$2,"25",A6 &lt;= ASSUMPTIONS!$D$3,"25-34",A6 &lt;= ASSUMPTIONS!$D$4, "35-44",A6 &lt;= ASSUMPTIONS!$D$5,"45-54",TRUE,"55+")</f>
        <v>25-34</v>
      </c>
      <c r="P6" t="str" cm="1">
        <f t="array" ref="P6">_xlfn.IFS( J6 &lt;ASSUMPTIONS!$D$7,"LOW",J6 &lt;= ASSUMPTIONS!$D$8,"MEDIUM",TRUE, "HIGH")</f>
        <v>MEDIUM</v>
      </c>
      <c r="Q6" t="str">
        <f>IF(M6&lt;ASSUMPTIONS!$D$10,"New (0-2)",IF(M6&lt;=ASSUMPTIONS!$D$11,"Early (2-5)",IF(M6&lt;=ASSUMPTIONS!$D$12,"Established (5-10)","Veteran (10+)")))</f>
        <v>Early (2-5)</v>
      </c>
      <c r="R6" s="4">
        <f t="shared" si="1"/>
        <v>2</v>
      </c>
    </row>
    <row r="7" spans="1:18">
      <c r="A7">
        <f>RAW_DATA!A7</f>
        <v>32</v>
      </c>
      <c r="B7" t="str">
        <f>RAW_DATA!B7</f>
        <v>No</v>
      </c>
      <c r="C7" t="str">
        <f>RAW_DATA!C7</f>
        <v>Research &amp; Development</v>
      </c>
      <c r="D7">
        <f>RAW_DATA!D7</f>
        <v>2</v>
      </c>
      <c r="E7">
        <f>RAW_DATA!E7</f>
        <v>2</v>
      </c>
      <c r="F7" t="str">
        <f>RAW_DATA!F7</f>
        <v>Life Sciences</v>
      </c>
      <c r="G7">
        <f>RAW_DATA!G7</f>
        <v>4</v>
      </c>
      <c r="H7">
        <f>RAW_DATA!H7</f>
        <v>4</v>
      </c>
      <c r="I7" t="str">
        <f>RAW_DATA!I7</f>
        <v>Single</v>
      </c>
      <c r="J7">
        <f>RAW_DATA!J7</f>
        <v>3068</v>
      </c>
      <c r="K7">
        <f>RAW_DATA!K7</f>
        <v>0</v>
      </c>
      <c r="L7">
        <f>RAW_DATA!L7</f>
        <v>2</v>
      </c>
      <c r="M7">
        <f>RAW_DATA!M7</f>
        <v>7</v>
      </c>
      <c r="N7">
        <f t="shared" si="0"/>
        <v>0</v>
      </c>
      <c r="O7" t="str" cm="1">
        <f t="array" ref="O7" xml:space="preserve"> _xlfn.IFS(A7 &lt;ASSUMPTIONS!$D$2,"25",A7 &lt;= ASSUMPTIONS!$D$3,"25-34",A7 &lt;= ASSUMPTIONS!$D$4, "35-44",A7 &lt;= ASSUMPTIONS!$D$5,"45-54",TRUE,"55+")</f>
        <v>25-34</v>
      </c>
      <c r="P7" t="str" cm="1">
        <f t="array" ref="P7">_xlfn.IFS( J7 &lt;ASSUMPTIONS!$D$7,"LOW",J7 &lt;= ASSUMPTIONS!$D$8,"MEDIUM",TRUE, "HIGH")</f>
        <v>MEDIUM</v>
      </c>
      <c r="Q7" t="str">
        <f>IF(M7&lt;ASSUMPTIONS!$D$10,"New (0-2)",IF(M7&lt;=ASSUMPTIONS!$D$11,"Early (2-5)",IF(M7&lt;=ASSUMPTIONS!$D$12,"Established (5-10)","Veteran (10+)")))</f>
        <v>Established (5-10)</v>
      </c>
      <c r="R7" s="4">
        <f t="shared" si="1"/>
        <v>3.3333333333333335</v>
      </c>
    </row>
    <row r="8" spans="1:18">
      <c r="A8">
        <f>RAW_DATA!A8</f>
        <v>59</v>
      </c>
      <c r="B8" t="str">
        <f>RAW_DATA!B8</f>
        <v>No</v>
      </c>
      <c r="C8" t="str">
        <f>RAW_DATA!C8</f>
        <v>Research &amp; Development</v>
      </c>
      <c r="D8">
        <f>RAW_DATA!D8</f>
        <v>3</v>
      </c>
      <c r="E8">
        <f>RAW_DATA!E8</f>
        <v>3</v>
      </c>
      <c r="F8" t="str">
        <f>RAW_DATA!F8</f>
        <v>Medical</v>
      </c>
      <c r="G8">
        <f>RAW_DATA!G8</f>
        <v>3</v>
      </c>
      <c r="H8">
        <f>RAW_DATA!H8</f>
        <v>1</v>
      </c>
      <c r="I8" t="str">
        <f>RAW_DATA!I8</f>
        <v>Married</v>
      </c>
      <c r="J8">
        <f>RAW_DATA!J8</f>
        <v>2670</v>
      </c>
      <c r="K8">
        <f>RAW_DATA!K8</f>
        <v>4</v>
      </c>
      <c r="L8">
        <f>RAW_DATA!L8</f>
        <v>2</v>
      </c>
      <c r="M8">
        <f>RAW_DATA!M8</f>
        <v>1</v>
      </c>
      <c r="N8">
        <f t="shared" si="0"/>
        <v>0</v>
      </c>
      <c r="O8" t="str" cm="1">
        <f t="array" ref="O8" xml:space="preserve"> _xlfn.IFS(A8 &lt;ASSUMPTIONS!$D$2,"25",A8 &lt;= ASSUMPTIONS!$D$3,"25-34",A8 &lt;= ASSUMPTIONS!$D$4, "35-44",A8 &lt;= ASSUMPTIONS!$D$5,"45-54",TRUE,"55+")</f>
        <v>55+</v>
      </c>
      <c r="P8" t="str" cm="1">
        <f t="array" ref="P8">_xlfn.IFS( J8 &lt;ASSUMPTIONS!$D$7,"LOW",J8 &lt;= ASSUMPTIONS!$D$8,"MEDIUM",TRUE, "HIGH")</f>
        <v>LOW</v>
      </c>
      <c r="Q8" t="str">
        <f>IF(M8&lt;ASSUMPTIONS!$D$10,"New (0-2)",IF(M8&lt;=ASSUMPTIONS!$D$11,"Early (2-5)",IF(M8&lt;=ASSUMPTIONS!$D$12,"Established (5-10)","Veteran (10+)")))</f>
        <v>New (0-2)</v>
      </c>
      <c r="R8" s="4">
        <f t="shared" si="1"/>
        <v>2</v>
      </c>
    </row>
    <row r="9" spans="1:18">
      <c r="A9">
        <f>RAW_DATA!A9</f>
        <v>30</v>
      </c>
      <c r="B9" t="str">
        <f>RAW_DATA!B9</f>
        <v>No</v>
      </c>
      <c r="C9" t="str">
        <f>RAW_DATA!C9</f>
        <v>Research &amp; Development</v>
      </c>
      <c r="D9">
        <f>RAW_DATA!D9</f>
        <v>24</v>
      </c>
      <c r="E9">
        <f>RAW_DATA!E9</f>
        <v>1</v>
      </c>
      <c r="F9" t="str">
        <f>RAW_DATA!F9</f>
        <v>Life Sciences</v>
      </c>
      <c r="G9">
        <f>RAW_DATA!G9</f>
        <v>4</v>
      </c>
      <c r="H9">
        <f>RAW_DATA!H9</f>
        <v>3</v>
      </c>
      <c r="I9" t="str">
        <f>RAW_DATA!I9</f>
        <v>Divorced</v>
      </c>
      <c r="J9">
        <f>RAW_DATA!J9</f>
        <v>2693</v>
      </c>
      <c r="K9">
        <f>RAW_DATA!K9</f>
        <v>1</v>
      </c>
      <c r="L9">
        <f>RAW_DATA!L9</f>
        <v>3</v>
      </c>
      <c r="M9">
        <f>RAW_DATA!M9</f>
        <v>1</v>
      </c>
      <c r="N9">
        <f t="shared" si="0"/>
        <v>0</v>
      </c>
      <c r="O9" t="str" cm="1">
        <f t="array" ref="O9" xml:space="preserve"> _xlfn.IFS(A9 &lt;ASSUMPTIONS!$D$2,"25",A9 &lt;= ASSUMPTIONS!$D$3,"25-34",A9 &lt;= ASSUMPTIONS!$D$4, "35-44",A9 &lt;= ASSUMPTIONS!$D$5,"45-54",TRUE,"55+")</f>
        <v>25-34</v>
      </c>
      <c r="P9" t="str" cm="1">
        <f t="array" ref="P9">_xlfn.IFS( J9 &lt;ASSUMPTIONS!$D$7,"LOW",J9 &lt;= ASSUMPTIONS!$D$8,"MEDIUM",TRUE, "HIGH")</f>
        <v>LOW</v>
      </c>
      <c r="Q9" t="str">
        <f>IF(M9&lt;ASSUMPTIONS!$D$10,"New (0-2)",IF(M9&lt;=ASSUMPTIONS!$D$11,"Early (2-5)",IF(M9&lt;=ASSUMPTIONS!$D$12,"Established (5-10)","Veteran (10+)")))</f>
        <v>New (0-2)</v>
      </c>
      <c r="R9" s="4">
        <f t="shared" si="1"/>
        <v>3.3333333333333335</v>
      </c>
    </row>
    <row r="10" spans="1:18">
      <c r="A10">
        <f>RAW_DATA!A10</f>
        <v>38</v>
      </c>
      <c r="B10" t="str">
        <f>RAW_DATA!B10</f>
        <v>No</v>
      </c>
      <c r="C10" t="str">
        <f>RAW_DATA!C10</f>
        <v>Research &amp; Development</v>
      </c>
      <c r="D10">
        <f>RAW_DATA!D10</f>
        <v>23</v>
      </c>
      <c r="E10">
        <f>RAW_DATA!E10</f>
        <v>3</v>
      </c>
      <c r="F10" t="str">
        <f>RAW_DATA!F10</f>
        <v>Life Sciences</v>
      </c>
      <c r="G10">
        <f>RAW_DATA!G10</f>
        <v>4</v>
      </c>
      <c r="H10">
        <f>RAW_DATA!H10</f>
        <v>3</v>
      </c>
      <c r="I10" t="str">
        <f>RAW_DATA!I10</f>
        <v>Single</v>
      </c>
      <c r="J10">
        <f>RAW_DATA!J10</f>
        <v>9526</v>
      </c>
      <c r="K10">
        <f>RAW_DATA!K10</f>
        <v>0</v>
      </c>
      <c r="L10">
        <f>RAW_DATA!L10</f>
        <v>3</v>
      </c>
      <c r="M10">
        <f>RAW_DATA!M10</f>
        <v>9</v>
      </c>
      <c r="N10">
        <f t="shared" si="0"/>
        <v>0</v>
      </c>
      <c r="O10" t="str" cm="1">
        <f t="array" ref="O10" xml:space="preserve"> _xlfn.IFS(A10 &lt;ASSUMPTIONS!$D$2,"25",A10 &lt;= ASSUMPTIONS!$D$3,"25-34",A10 &lt;= ASSUMPTIONS!$D$4, "35-44",A10 &lt;= ASSUMPTIONS!$D$5,"45-54",TRUE,"55+")</f>
        <v>35-44</v>
      </c>
      <c r="P10" t="str" cm="1">
        <f t="array" ref="P10">_xlfn.IFS( J10 &lt;ASSUMPTIONS!$D$7,"LOW",J10 &lt;= ASSUMPTIONS!$D$8,"MEDIUM",TRUE, "HIGH")</f>
        <v>HIGH</v>
      </c>
      <c r="Q10" t="str">
        <f>IF(M10&lt;ASSUMPTIONS!$D$10,"New (0-2)",IF(M10&lt;=ASSUMPTIONS!$D$11,"Early (2-5)",IF(M10&lt;=ASSUMPTIONS!$D$12,"Established (5-10)","Veteran (10+)")))</f>
        <v>Established (5-10)</v>
      </c>
      <c r="R10" s="4">
        <f t="shared" si="1"/>
        <v>3.3333333333333335</v>
      </c>
    </row>
    <row r="11" spans="1:18">
      <c r="A11">
        <f>RAW_DATA!A11</f>
        <v>36</v>
      </c>
      <c r="B11" t="str">
        <f>RAW_DATA!B11</f>
        <v>No</v>
      </c>
      <c r="C11" t="str">
        <f>RAW_DATA!C11</f>
        <v>Research &amp; Development</v>
      </c>
      <c r="D11">
        <f>RAW_DATA!D11</f>
        <v>27</v>
      </c>
      <c r="E11">
        <f>RAW_DATA!E11</f>
        <v>3</v>
      </c>
      <c r="F11" t="str">
        <f>RAW_DATA!F11</f>
        <v>Medical</v>
      </c>
      <c r="G11">
        <f>RAW_DATA!G11</f>
        <v>3</v>
      </c>
      <c r="H11">
        <f>RAW_DATA!H11</f>
        <v>3</v>
      </c>
      <c r="I11" t="str">
        <f>RAW_DATA!I11</f>
        <v>Married</v>
      </c>
      <c r="J11">
        <f>RAW_DATA!J11</f>
        <v>5237</v>
      </c>
      <c r="K11">
        <f>RAW_DATA!K11</f>
        <v>6</v>
      </c>
      <c r="L11">
        <f>RAW_DATA!L11</f>
        <v>2</v>
      </c>
      <c r="M11">
        <f>RAW_DATA!M11</f>
        <v>7</v>
      </c>
      <c r="N11">
        <f t="shared" si="0"/>
        <v>0</v>
      </c>
      <c r="O11" t="str" cm="1">
        <f t="array" ref="O11" xml:space="preserve"> _xlfn.IFS(A11 &lt;ASSUMPTIONS!$D$2,"25",A11 &lt;= ASSUMPTIONS!$D$3,"25-34",A11 &lt;= ASSUMPTIONS!$D$4, "35-44",A11 &lt;= ASSUMPTIONS!$D$5,"45-54",TRUE,"55+")</f>
        <v>35-44</v>
      </c>
      <c r="P11" t="str" cm="1">
        <f t="array" ref="P11">_xlfn.IFS( J11 &lt;ASSUMPTIONS!$D$7,"LOW",J11 &lt;= ASSUMPTIONS!$D$8,"MEDIUM",TRUE, "HIGH")</f>
        <v>MEDIUM</v>
      </c>
      <c r="Q11" t="str">
        <f>IF(M11&lt;ASSUMPTIONS!$D$10,"New (0-2)",IF(M11&lt;=ASSUMPTIONS!$D$11,"Early (2-5)",IF(M11&lt;=ASSUMPTIONS!$D$12,"Established (5-10)","Veteran (10+)")))</f>
        <v>Established (5-10)</v>
      </c>
      <c r="R11" s="4">
        <f t="shared" si="1"/>
        <v>2.6666666666666665</v>
      </c>
    </row>
    <row r="12" spans="1:18">
      <c r="A12">
        <f>RAW_DATA!A12</f>
        <v>35</v>
      </c>
      <c r="B12" t="str">
        <f>RAW_DATA!B12</f>
        <v>No</v>
      </c>
      <c r="C12" t="str">
        <f>RAW_DATA!C12</f>
        <v>Research &amp; Development</v>
      </c>
      <c r="D12">
        <f>RAW_DATA!D12</f>
        <v>16</v>
      </c>
      <c r="E12">
        <f>RAW_DATA!E12</f>
        <v>3</v>
      </c>
      <c r="F12" t="str">
        <f>RAW_DATA!F12</f>
        <v>Medical</v>
      </c>
      <c r="G12">
        <f>RAW_DATA!G12</f>
        <v>1</v>
      </c>
      <c r="H12">
        <f>RAW_DATA!H12</f>
        <v>2</v>
      </c>
      <c r="I12" t="str">
        <f>RAW_DATA!I12</f>
        <v>Married</v>
      </c>
      <c r="J12">
        <f>RAW_DATA!J12</f>
        <v>2426</v>
      </c>
      <c r="K12">
        <f>RAW_DATA!K12</f>
        <v>0</v>
      </c>
      <c r="L12">
        <f>RAW_DATA!L12</f>
        <v>3</v>
      </c>
      <c r="M12">
        <f>RAW_DATA!M12</f>
        <v>5</v>
      </c>
      <c r="N12">
        <f t="shared" si="0"/>
        <v>0</v>
      </c>
      <c r="O12" t="str" cm="1">
        <f t="array" ref="O12" xml:space="preserve"> _xlfn.IFS(A12 &lt;ASSUMPTIONS!$D$2,"25",A12 &lt;= ASSUMPTIONS!$D$3,"25-34",A12 &lt;= ASSUMPTIONS!$D$4, "35-44",A12 &lt;= ASSUMPTIONS!$D$5,"45-54",TRUE,"55+")</f>
        <v>35-44</v>
      </c>
      <c r="P12" t="str" cm="1">
        <f t="array" ref="P12">_xlfn.IFS( J12 &lt;ASSUMPTIONS!$D$7,"LOW",J12 &lt;= ASSUMPTIONS!$D$8,"MEDIUM",TRUE, "HIGH")</f>
        <v>LOW</v>
      </c>
      <c r="Q12" t="str">
        <f>IF(M12&lt;ASSUMPTIONS!$D$10,"New (0-2)",IF(M12&lt;=ASSUMPTIONS!$D$11,"Early (2-5)",IF(M12&lt;=ASSUMPTIONS!$D$12,"Established (5-10)","Veteran (10+)")))</f>
        <v>Early (2-5)</v>
      </c>
      <c r="R12" s="4">
        <f t="shared" si="1"/>
        <v>2</v>
      </c>
    </row>
    <row r="13" spans="1:18">
      <c r="A13">
        <f>RAW_DATA!A13</f>
        <v>29</v>
      </c>
      <c r="B13" t="str">
        <f>RAW_DATA!B13</f>
        <v>No</v>
      </c>
      <c r="C13" t="str">
        <f>RAW_DATA!C13</f>
        <v>Research &amp; Development</v>
      </c>
      <c r="D13">
        <f>RAW_DATA!D13</f>
        <v>15</v>
      </c>
      <c r="E13">
        <f>RAW_DATA!E13</f>
        <v>2</v>
      </c>
      <c r="F13" t="str">
        <f>RAW_DATA!F13</f>
        <v>Life Sciences</v>
      </c>
      <c r="G13">
        <f>RAW_DATA!G13</f>
        <v>4</v>
      </c>
      <c r="H13">
        <f>RAW_DATA!H13</f>
        <v>3</v>
      </c>
      <c r="I13" t="str">
        <f>RAW_DATA!I13</f>
        <v>Single</v>
      </c>
      <c r="J13">
        <f>RAW_DATA!J13</f>
        <v>4193</v>
      </c>
      <c r="K13">
        <f>RAW_DATA!K13</f>
        <v>0</v>
      </c>
      <c r="L13">
        <f>RAW_DATA!L13</f>
        <v>3</v>
      </c>
      <c r="M13">
        <f>RAW_DATA!M13</f>
        <v>9</v>
      </c>
      <c r="N13">
        <f t="shared" si="0"/>
        <v>0</v>
      </c>
      <c r="O13" t="str" cm="1">
        <f t="array" ref="O13" xml:space="preserve"> _xlfn.IFS(A13 &lt;ASSUMPTIONS!$D$2,"25",A13 &lt;= ASSUMPTIONS!$D$3,"25-34",A13 &lt;= ASSUMPTIONS!$D$4, "35-44",A13 &lt;= ASSUMPTIONS!$D$5,"45-54",TRUE,"55+")</f>
        <v>25-34</v>
      </c>
      <c r="P13" t="str" cm="1">
        <f t="array" ref="P13">_xlfn.IFS( J13 &lt;ASSUMPTIONS!$D$7,"LOW",J13 &lt;= ASSUMPTIONS!$D$8,"MEDIUM",TRUE, "HIGH")</f>
        <v>MEDIUM</v>
      </c>
      <c r="Q13" t="str">
        <f>IF(M13&lt;ASSUMPTIONS!$D$10,"New (0-2)",IF(M13&lt;=ASSUMPTIONS!$D$11,"Early (2-5)",IF(M13&lt;=ASSUMPTIONS!$D$12,"Established (5-10)","Veteran (10+)")))</f>
        <v>Established (5-10)</v>
      </c>
      <c r="R13" s="4">
        <f t="shared" si="1"/>
        <v>3.3333333333333335</v>
      </c>
    </row>
    <row r="14" spans="1:18">
      <c r="A14">
        <f>RAW_DATA!A14</f>
        <v>31</v>
      </c>
      <c r="B14" t="str">
        <f>RAW_DATA!B14</f>
        <v>No</v>
      </c>
      <c r="C14" t="str">
        <f>RAW_DATA!C14</f>
        <v>Research &amp; Development</v>
      </c>
      <c r="D14">
        <f>RAW_DATA!D14</f>
        <v>26</v>
      </c>
      <c r="E14">
        <f>RAW_DATA!E14</f>
        <v>1</v>
      </c>
      <c r="F14" t="str">
        <f>RAW_DATA!F14</f>
        <v>Life Sciences</v>
      </c>
      <c r="G14">
        <f>RAW_DATA!G14</f>
        <v>1</v>
      </c>
      <c r="H14">
        <f>RAW_DATA!H14</f>
        <v>3</v>
      </c>
      <c r="I14" t="str">
        <f>RAW_DATA!I14</f>
        <v>Divorced</v>
      </c>
      <c r="J14">
        <f>RAW_DATA!J14</f>
        <v>2911</v>
      </c>
      <c r="K14">
        <f>RAW_DATA!K14</f>
        <v>1</v>
      </c>
      <c r="L14">
        <f>RAW_DATA!L14</f>
        <v>2</v>
      </c>
      <c r="M14">
        <f>RAW_DATA!M14</f>
        <v>5</v>
      </c>
      <c r="N14">
        <f t="shared" si="0"/>
        <v>0</v>
      </c>
      <c r="O14" t="str" cm="1">
        <f t="array" ref="O14" xml:space="preserve"> _xlfn.IFS(A14 &lt;ASSUMPTIONS!$D$2,"25",A14 &lt;= ASSUMPTIONS!$D$3,"25-34",A14 &lt;= ASSUMPTIONS!$D$4, "35-44",A14 &lt;= ASSUMPTIONS!$D$5,"45-54",TRUE,"55+")</f>
        <v>25-34</v>
      </c>
      <c r="P14" t="str" cm="1">
        <f t="array" ref="P14">_xlfn.IFS( J14 &lt;ASSUMPTIONS!$D$7,"LOW",J14 &lt;= ASSUMPTIONS!$D$8,"MEDIUM",TRUE, "HIGH")</f>
        <v>LOW</v>
      </c>
      <c r="Q14" t="str">
        <f>IF(M14&lt;ASSUMPTIONS!$D$10,"New (0-2)",IF(M14&lt;=ASSUMPTIONS!$D$11,"Early (2-5)",IF(M14&lt;=ASSUMPTIONS!$D$12,"Established (5-10)","Veteran (10+)")))</f>
        <v>Early (2-5)</v>
      </c>
      <c r="R14" s="4">
        <f t="shared" si="1"/>
        <v>2</v>
      </c>
    </row>
    <row r="15" spans="1:18">
      <c r="A15">
        <f>RAW_DATA!A15</f>
        <v>34</v>
      </c>
      <c r="B15" t="str">
        <f>RAW_DATA!B15</f>
        <v>No</v>
      </c>
      <c r="C15" t="str">
        <f>RAW_DATA!C15</f>
        <v>Research &amp; Development</v>
      </c>
      <c r="D15">
        <f>RAW_DATA!D15</f>
        <v>19</v>
      </c>
      <c r="E15">
        <f>RAW_DATA!E15</f>
        <v>2</v>
      </c>
      <c r="F15" t="str">
        <f>RAW_DATA!F15</f>
        <v>Medical</v>
      </c>
      <c r="G15">
        <f>RAW_DATA!G15</f>
        <v>2</v>
      </c>
      <c r="H15">
        <f>RAW_DATA!H15</f>
        <v>4</v>
      </c>
      <c r="I15" t="str">
        <f>RAW_DATA!I15</f>
        <v>Divorced</v>
      </c>
      <c r="J15">
        <f>RAW_DATA!J15</f>
        <v>2661</v>
      </c>
      <c r="K15">
        <f>RAW_DATA!K15</f>
        <v>0</v>
      </c>
      <c r="L15">
        <f>RAW_DATA!L15</f>
        <v>3</v>
      </c>
      <c r="M15">
        <f>RAW_DATA!M15</f>
        <v>2</v>
      </c>
      <c r="N15">
        <f t="shared" si="0"/>
        <v>0</v>
      </c>
      <c r="O15" t="str" cm="1">
        <f t="array" ref="O15" xml:space="preserve"> _xlfn.IFS(A15 &lt;ASSUMPTIONS!$D$2,"25",A15 &lt;= ASSUMPTIONS!$D$3,"25-34",A15 &lt;= ASSUMPTIONS!$D$4, "35-44",A15 &lt;= ASSUMPTIONS!$D$5,"45-54",TRUE,"55+")</f>
        <v>25-34</v>
      </c>
      <c r="P15" t="str" cm="1">
        <f t="array" ref="P15">_xlfn.IFS( J15 &lt;ASSUMPTIONS!$D$7,"LOW",J15 &lt;= ASSUMPTIONS!$D$8,"MEDIUM",TRUE, "HIGH")</f>
        <v>LOW</v>
      </c>
      <c r="Q15" t="str">
        <f>IF(M15&lt;ASSUMPTIONS!$D$10,"New (0-2)",IF(M15&lt;=ASSUMPTIONS!$D$11,"Early (2-5)",IF(M15&lt;=ASSUMPTIONS!$D$12,"Established (5-10)","Veteran (10+)")))</f>
        <v>Early (2-5)</v>
      </c>
      <c r="R15" s="4">
        <f t="shared" si="1"/>
        <v>3</v>
      </c>
    </row>
    <row r="16" spans="1:18">
      <c r="A16">
        <f>RAW_DATA!A16</f>
        <v>28</v>
      </c>
      <c r="B16" t="str">
        <f>RAW_DATA!B16</f>
        <v>Yes</v>
      </c>
      <c r="C16" t="str">
        <f>RAW_DATA!C16</f>
        <v>Research &amp; Development</v>
      </c>
      <c r="D16">
        <f>RAW_DATA!D16</f>
        <v>24</v>
      </c>
      <c r="E16">
        <f>RAW_DATA!E16</f>
        <v>3</v>
      </c>
      <c r="F16" t="str">
        <f>RAW_DATA!F16</f>
        <v>Life Sciences</v>
      </c>
      <c r="G16">
        <f>RAW_DATA!G16</f>
        <v>3</v>
      </c>
      <c r="H16">
        <f>RAW_DATA!H16</f>
        <v>3</v>
      </c>
      <c r="I16" t="str">
        <f>RAW_DATA!I16</f>
        <v>Single</v>
      </c>
      <c r="J16">
        <f>RAW_DATA!J16</f>
        <v>2028</v>
      </c>
      <c r="K16">
        <f>RAW_DATA!K16</f>
        <v>5</v>
      </c>
      <c r="L16">
        <f>RAW_DATA!L16</f>
        <v>3</v>
      </c>
      <c r="M16">
        <f>RAW_DATA!M16</f>
        <v>4</v>
      </c>
      <c r="N16">
        <f t="shared" si="0"/>
        <v>1</v>
      </c>
      <c r="O16" t="str" cm="1">
        <f t="array" ref="O16" xml:space="preserve"> _xlfn.IFS(A16 &lt;ASSUMPTIONS!$D$2,"25",A16 &lt;= ASSUMPTIONS!$D$3,"25-34",A16 &lt;= ASSUMPTIONS!$D$4, "35-44",A16 &lt;= ASSUMPTIONS!$D$5,"45-54",TRUE,"55+")</f>
        <v>25-34</v>
      </c>
      <c r="P16" t="str" cm="1">
        <f t="array" ref="P16">_xlfn.IFS( J16 &lt;ASSUMPTIONS!$D$7,"LOW",J16 &lt;= ASSUMPTIONS!$D$8,"MEDIUM",TRUE, "HIGH")</f>
        <v>LOW</v>
      </c>
      <c r="Q16" t="str">
        <f>IF(M16&lt;ASSUMPTIONS!$D$10,"New (0-2)",IF(M16&lt;=ASSUMPTIONS!$D$11,"Early (2-5)",IF(M16&lt;=ASSUMPTIONS!$D$12,"Established (5-10)","Veteran (10+)")))</f>
        <v>Early (2-5)</v>
      </c>
      <c r="R16" s="4">
        <f t="shared" si="1"/>
        <v>3</v>
      </c>
    </row>
    <row r="17" spans="1:18">
      <c r="A17">
        <f>RAW_DATA!A17</f>
        <v>29</v>
      </c>
      <c r="B17" t="str">
        <f>RAW_DATA!B17</f>
        <v>No</v>
      </c>
      <c r="C17" t="str">
        <f>RAW_DATA!C17</f>
        <v>Research &amp; Development</v>
      </c>
      <c r="D17">
        <f>RAW_DATA!D17</f>
        <v>21</v>
      </c>
      <c r="E17">
        <f>RAW_DATA!E17</f>
        <v>4</v>
      </c>
      <c r="F17" t="str">
        <f>RAW_DATA!F17</f>
        <v>Life Sciences</v>
      </c>
      <c r="G17">
        <f>RAW_DATA!G17</f>
        <v>2</v>
      </c>
      <c r="H17">
        <f>RAW_DATA!H17</f>
        <v>1</v>
      </c>
      <c r="I17" t="str">
        <f>RAW_DATA!I17</f>
        <v>Divorced</v>
      </c>
      <c r="J17">
        <f>RAW_DATA!J17</f>
        <v>9980</v>
      </c>
      <c r="K17">
        <f>RAW_DATA!K17</f>
        <v>1</v>
      </c>
      <c r="L17">
        <f>RAW_DATA!L17</f>
        <v>3</v>
      </c>
      <c r="M17">
        <f>RAW_DATA!M17</f>
        <v>10</v>
      </c>
      <c r="N17">
        <f t="shared" si="0"/>
        <v>0</v>
      </c>
      <c r="O17" t="str" cm="1">
        <f t="array" ref="O17" xml:space="preserve"> _xlfn.IFS(A17 &lt;ASSUMPTIONS!$D$2,"25",A17 &lt;= ASSUMPTIONS!$D$3,"25-34",A17 &lt;= ASSUMPTIONS!$D$4, "35-44",A17 &lt;= ASSUMPTIONS!$D$5,"45-54",TRUE,"55+")</f>
        <v>25-34</v>
      </c>
      <c r="P17" t="str" cm="1">
        <f t="array" ref="P17">_xlfn.IFS( J17 &lt;ASSUMPTIONS!$D$7,"LOW",J17 &lt;= ASSUMPTIONS!$D$8,"MEDIUM",TRUE, "HIGH")</f>
        <v>HIGH</v>
      </c>
      <c r="Q17" t="str">
        <f>IF(M17&lt;ASSUMPTIONS!$D$10,"New (0-2)",IF(M17&lt;=ASSUMPTIONS!$D$11,"Early (2-5)",IF(M17&lt;=ASSUMPTIONS!$D$12,"Established (5-10)","Veteran (10+)")))</f>
        <v>Established (5-10)</v>
      </c>
      <c r="R17" s="4">
        <f t="shared" si="1"/>
        <v>2</v>
      </c>
    </row>
    <row r="18" spans="1:18">
      <c r="A18">
        <f>RAW_DATA!A18</f>
        <v>32</v>
      </c>
      <c r="B18" t="str">
        <f>RAW_DATA!B18</f>
        <v>No</v>
      </c>
      <c r="C18" t="str">
        <f>RAW_DATA!C18</f>
        <v>Research &amp; Development</v>
      </c>
      <c r="D18">
        <f>RAW_DATA!D18</f>
        <v>5</v>
      </c>
      <c r="E18">
        <f>RAW_DATA!E18</f>
        <v>2</v>
      </c>
      <c r="F18" t="str">
        <f>RAW_DATA!F18</f>
        <v>Life Sciences</v>
      </c>
      <c r="G18">
        <f>RAW_DATA!G18</f>
        <v>1</v>
      </c>
      <c r="H18">
        <f>RAW_DATA!H18</f>
        <v>2</v>
      </c>
      <c r="I18" t="str">
        <f>RAW_DATA!I18</f>
        <v>Divorced</v>
      </c>
      <c r="J18">
        <f>RAW_DATA!J18</f>
        <v>3298</v>
      </c>
      <c r="K18">
        <f>RAW_DATA!K18</f>
        <v>0</v>
      </c>
      <c r="L18">
        <f>RAW_DATA!L18</f>
        <v>2</v>
      </c>
      <c r="M18">
        <f>RAW_DATA!M18</f>
        <v>6</v>
      </c>
      <c r="N18">
        <f t="shared" si="0"/>
        <v>0</v>
      </c>
      <c r="O18" t="str" cm="1">
        <f t="array" ref="O18" xml:space="preserve"> _xlfn.IFS(A18 &lt;ASSUMPTIONS!$D$2,"25",A18 &lt;= ASSUMPTIONS!$D$3,"25-34",A18 &lt;= ASSUMPTIONS!$D$4, "35-44",A18 &lt;= ASSUMPTIONS!$D$5,"45-54",TRUE,"55+")</f>
        <v>25-34</v>
      </c>
      <c r="P18" t="str" cm="1">
        <f t="array" ref="P18">_xlfn.IFS( J18 &lt;ASSUMPTIONS!$D$7,"LOW",J18 &lt;= ASSUMPTIONS!$D$8,"MEDIUM",TRUE, "HIGH")</f>
        <v>MEDIUM</v>
      </c>
      <c r="Q18" t="str">
        <f>IF(M18&lt;ASSUMPTIONS!$D$10,"New (0-2)",IF(M18&lt;=ASSUMPTIONS!$D$11,"Early (2-5)",IF(M18&lt;=ASSUMPTIONS!$D$12,"Established (5-10)","Veteran (10+)")))</f>
        <v>Established (5-10)</v>
      </c>
      <c r="R18" s="4">
        <f t="shared" si="1"/>
        <v>1.6666666666666667</v>
      </c>
    </row>
    <row r="19" spans="1:18">
      <c r="A19">
        <f>RAW_DATA!A19</f>
        <v>22</v>
      </c>
      <c r="B19" t="str">
        <f>RAW_DATA!B19</f>
        <v>No</v>
      </c>
      <c r="C19" t="str">
        <f>RAW_DATA!C19</f>
        <v>Research &amp; Development</v>
      </c>
      <c r="D19">
        <f>RAW_DATA!D19</f>
        <v>16</v>
      </c>
      <c r="E19">
        <f>RAW_DATA!E19</f>
        <v>2</v>
      </c>
      <c r="F19" t="str">
        <f>RAW_DATA!F19</f>
        <v>Medical</v>
      </c>
      <c r="G19">
        <f>RAW_DATA!G19</f>
        <v>4</v>
      </c>
      <c r="H19">
        <f>RAW_DATA!H19</f>
        <v>4</v>
      </c>
      <c r="I19" t="str">
        <f>RAW_DATA!I19</f>
        <v>Divorced</v>
      </c>
      <c r="J19">
        <f>RAW_DATA!J19</f>
        <v>2935</v>
      </c>
      <c r="K19">
        <f>RAW_DATA!K19</f>
        <v>1</v>
      </c>
      <c r="L19">
        <f>RAW_DATA!L19</f>
        <v>2</v>
      </c>
      <c r="M19">
        <f>RAW_DATA!M19</f>
        <v>1</v>
      </c>
      <c r="N19">
        <f t="shared" si="0"/>
        <v>0</v>
      </c>
      <c r="O19" t="str" cm="1">
        <f t="array" ref="O19" xml:space="preserve"> _xlfn.IFS(A19 &lt;ASSUMPTIONS!$D$2,"25",A19 &lt;= ASSUMPTIONS!$D$3,"25-34",A19 &lt;= ASSUMPTIONS!$D$4, "35-44",A19 &lt;= ASSUMPTIONS!$D$5,"45-54",TRUE,"55+")</f>
        <v>25</v>
      </c>
      <c r="P19" t="str" cm="1">
        <f t="array" ref="P19">_xlfn.IFS( J19 &lt;ASSUMPTIONS!$D$7,"LOW",J19 &lt;= ASSUMPTIONS!$D$8,"MEDIUM",TRUE, "HIGH")</f>
        <v>LOW</v>
      </c>
      <c r="Q19" t="str">
        <f>IF(M19&lt;ASSUMPTIONS!$D$10,"New (0-2)",IF(M19&lt;=ASSUMPTIONS!$D$11,"Early (2-5)",IF(M19&lt;=ASSUMPTIONS!$D$12,"Established (5-10)","Veteran (10+)")))</f>
        <v>New (0-2)</v>
      </c>
      <c r="R19" s="4">
        <f t="shared" si="1"/>
        <v>3.3333333333333335</v>
      </c>
    </row>
    <row r="20" spans="1:18">
      <c r="A20">
        <f>RAW_DATA!A20</f>
        <v>53</v>
      </c>
      <c r="B20" t="str">
        <f>RAW_DATA!B20</f>
        <v>No</v>
      </c>
      <c r="C20" t="str">
        <f>RAW_DATA!C20</f>
        <v>Sales</v>
      </c>
      <c r="D20">
        <f>RAW_DATA!D20</f>
        <v>2</v>
      </c>
      <c r="E20">
        <f>RAW_DATA!E20</f>
        <v>4</v>
      </c>
      <c r="F20" t="str">
        <f>RAW_DATA!F20</f>
        <v>Life Sciences</v>
      </c>
      <c r="G20">
        <f>RAW_DATA!G20</f>
        <v>1</v>
      </c>
      <c r="H20">
        <f>RAW_DATA!H20</f>
        <v>4</v>
      </c>
      <c r="I20" t="str">
        <f>RAW_DATA!I20</f>
        <v>Married</v>
      </c>
      <c r="J20">
        <f>RAW_DATA!J20</f>
        <v>15427</v>
      </c>
      <c r="K20">
        <f>RAW_DATA!K20</f>
        <v>2</v>
      </c>
      <c r="L20">
        <f>RAW_DATA!L20</f>
        <v>3</v>
      </c>
      <c r="M20">
        <f>RAW_DATA!M20</f>
        <v>25</v>
      </c>
      <c r="N20">
        <f t="shared" si="0"/>
        <v>0</v>
      </c>
      <c r="O20" t="str" cm="1">
        <f t="array" ref="O20" xml:space="preserve"> _xlfn.IFS(A20 &lt;ASSUMPTIONS!$D$2,"25",A20 &lt;= ASSUMPTIONS!$D$3,"25-34",A20 &lt;= ASSUMPTIONS!$D$4, "35-44",A20 &lt;= ASSUMPTIONS!$D$5,"45-54",TRUE,"55+")</f>
        <v>45-54</v>
      </c>
      <c r="P20" t="str" cm="1">
        <f t="array" ref="P20">_xlfn.IFS( J20 &lt;ASSUMPTIONS!$D$7,"LOW",J20 &lt;= ASSUMPTIONS!$D$8,"MEDIUM",TRUE, "HIGH")</f>
        <v>HIGH</v>
      </c>
      <c r="Q20" t="str">
        <f>IF(M20&lt;ASSUMPTIONS!$D$10,"New (0-2)",IF(M20&lt;=ASSUMPTIONS!$D$11,"Early (2-5)",IF(M20&lt;=ASSUMPTIONS!$D$12,"Established (5-10)","Veteran (10+)")))</f>
        <v>Veteran (10+)</v>
      </c>
      <c r="R20" s="4">
        <f t="shared" si="1"/>
        <v>2.6666666666666665</v>
      </c>
    </row>
    <row r="21" spans="1:18">
      <c r="A21">
        <f>RAW_DATA!A21</f>
        <v>38</v>
      </c>
      <c r="B21" t="str">
        <f>RAW_DATA!B21</f>
        <v>No</v>
      </c>
      <c r="C21" t="str">
        <f>RAW_DATA!C21</f>
        <v>Research &amp; Development</v>
      </c>
      <c r="D21">
        <f>RAW_DATA!D21</f>
        <v>2</v>
      </c>
      <c r="E21">
        <f>RAW_DATA!E21</f>
        <v>3</v>
      </c>
      <c r="F21" t="str">
        <f>RAW_DATA!F21</f>
        <v>Life Sciences</v>
      </c>
      <c r="G21">
        <f>RAW_DATA!G21</f>
        <v>4</v>
      </c>
      <c r="H21">
        <f>RAW_DATA!H21</f>
        <v>4</v>
      </c>
      <c r="I21" t="str">
        <f>RAW_DATA!I21</f>
        <v>Single</v>
      </c>
      <c r="J21">
        <f>RAW_DATA!J21</f>
        <v>3944</v>
      </c>
      <c r="K21">
        <f>RAW_DATA!K21</f>
        <v>5</v>
      </c>
      <c r="L21">
        <f>RAW_DATA!L21</f>
        <v>3</v>
      </c>
      <c r="M21">
        <f>RAW_DATA!M21</f>
        <v>3</v>
      </c>
      <c r="N21">
        <f t="shared" si="0"/>
        <v>0</v>
      </c>
      <c r="O21" t="str" cm="1">
        <f t="array" ref="O21" xml:space="preserve"> _xlfn.IFS(A21 &lt;ASSUMPTIONS!$D$2,"25",A21 &lt;= ASSUMPTIONS!$D$3,"25-34",A21 &lt;= ASSUMPTIONS!$D$4, "35-44",A21 &lt;= ASSUMPTIONS!$D$5,"45-54",TRUE,"55+")</f>
        <v>35-44</v>
      </c>
      <c r="P21" t="str" cm="1">
        <f t="array" ref="P21">_xlfn.IFS( J21 &lt;ASSUMPTIONS!$D$7,"LOW",J21 &lt;= ASSUMPTIONS!$D$8,"MEDIUM",TRUE, "HIGH")</f>
        <v>MEDIUM</v>
      </c>
      <c r="Q21" t="str">
        <f>IF(M21&lt;ASSUMPTIONS!$D$10,"New (0-2)",IF(M21&lt;=ASSUMPTIONS!$D$11,"Early (2-5)",IF(M21&lt;=ASSUMPTIONS!$D$12,"Established (5-10)","Veteran (10+)")))</f>
        <v>Early (2-5)</v>
      </c>
      <c r="R21" s="4">
        <f t="shared" si="1"/>
        <v>3.6666666666666665</v>
      </c>
    </row>
    <row r="22" spans="1:18">
      <c r="A22">
        <f>RAW_DATA!A22</f>
        <v>24</v>
      </c>
      <c r="B22" t="str">
        <f>RAW_DATA!B22</f>
        <v>No</v>
      </c>
      <c r="C22" t="str">
        <f>RAW_DATA!C22</f>
        <v>Research &amp; Development</v>
      </c>
      <c r="D22">
        <f>RAW_DATA!D22</f>
        <v>11</v>
      </c>
      <c r="E22">
        <f>RAW_DATA!E22</f>
        <v>2</v>
      </c>
      <c r="F22" t="str">
        <f>RAW_DATA!F22</f>
        <v>Other</v>
      </c>
      <c r="G22">
        <f>RAW_DATA!G22</f>
        <v>1</v>
      </c>
      <c r="H22">
        <f>RAW_DATA!H22</f>
        <v>3</v>
      </c>
      <c r="I22" t="str">
        <f>RAW_DATA!I22</f>
        <v>Divorced</v>
      </c>
      <c r="J22">
        <f>RAW_DATA!J22</f>
        <v>4011</v>
      </c>
      <c r="K22">
        <f>RAW_DATA!K22</f>
        <v>0</v>
      </c>
      <c r="L22">
        <f>RAW_DATA!L22</f>
        <v>2</v>
      </c>
      <c r="M22">
        <f>RAW_DATA!M22</f>
        <v>4</v>
      </c>
      <c r="N22">
        <f t="shared" si="0"/>
        <v>0</v>
      </c>
      <c r="O22" t="str" cm="1">
        <f t="array" ref="O22" xml:space="preserve"> _xlfn.IFS(A22 &lt;ASSUMPTIONS!$D$2,"25",A22 &lt;= ASSUMPTIONS!$D$3,"25-34",A22 &lt;= ASSUMPTIONS!$D$4, "35-44",A22 &lt;= ASSUMPTIONS!$D$5,"45-54",TRUE,"55+")</f>
        <v>25</v>
      </c>
      <c r="P22" t="str" cm="1">
        <f t="array" ref="P22">_xlfn.IFS( J22 &lt;ASSUMPTIONS!$D$7,"LOW",J22 &lt;= ASSUMPTIONS!$D$8,"MEDIUM",TRUE, "HIGH")</f>
        <v>MEDIUM</v>
      </c>
      <c r="Q22" t="str">
        <f>IF(M22&lt;ASSUMPTIONS!$D$10,"New (0-2)",IF(M22&lt;=ASSUMPTIONS!$D$11,"Early (2-5)",IF(M22&lt;=ASSUMPTIONS!$D$12,"Established (5-10)","Veteran (10+)")))</f>
        <v>Early (2-5)</v>
      </c>
      <c r="R22" s="4">
        <f t="shared" si="1"/>
        <v>2</v>
      </c>
    </row>
    <row r="23" spans="1:18">
      <c r="A23">
        <f>RAW_DATA!A23</f>
        <v>36</v>
      </c>
      <c r="B23" t="str">
        <f>RAW_DATA!B23</f>
        <v>Yes</v>
      </c>
      <c r="C23" t="str">
        <f>RAW_DATA!C23</f>
        <v>Sales</v>
      </c>
      <c r="D23">
        <f>RAW_DATA!D23</f>
        <v>9</v>
      </c>
      <c r="E23">
        <f>RAW_DATA!E23</f>
        <v>4</v>
      </c>
      <c r="F23" t="str">
        <f>RAW_DATA!F23</f>
        <v>Life Sciences</v>
      </c>
      <c r="G23">
        <f>RAW_DATA!G23</f>
        <v>3</v>
      </c>
      <c r="H23">
        <f>RAW_DATA!H23</f>
        <v>1</v>
      </c>
      <c r="I23" t="str">
        <f>RAW_DATA!I23</f>
        <v>Single</v>
      </c>
      <c r="J23">
        <f>RAW_DATA!J23</f>
        <v>3407</v>
      </c>
      <c r="K23">
        <f>RAW_DATA!K23</f>
        <v>7</v>
      </c>
      <c r="L23">
        <f>RAW_DATA!L23</f>
        <v>3</v>
      </c>
      <c r="M23">
        <f>RAW_DATA!M23</f>
        <v>5</v>
      </c>
      <c r="N23">
        <f t="shared" si="0"/>
        <v>1</v>
      </c>
      <c r="O23" t="str" cm="1">
        <f t="array" ref="O23" xml:space="preserve"> _xlfn.IFS(A23 &lt;ASSUMPTIONS!$D$2,"25",A23 &lt;= ASSUMPTIONS!$D$3,"25-34",A23 &lt;= ASSUMPTIONS!$D$4, "35-44",A23 &lt;= ASSUMPTIONS!$D$5,"45-54",TRUE,"55+")</f>
        <v>35-44</v>
      </c>
      <c r="P23" t="str" cm="1">
        <f t="array" ref="P23">_xlfn.IFS( J23 &lt;ASSUMPTIONS!$D$7,"LOW",J23 &lt;= ASSUMPTIONS!$D$8,"MEDIUM",TRUE, "HIGH")</f>
        <v>MEDIUM</v>
      </c>
      <c r="Q23" t="str">
        <f>IF(M23&lt;ASSUMPTIONS!$D$10,"New (0-2)",IF(M23&lt;=ASSUMPTIONS!$D$11,"Early (2-5)",IF(M23&lt;=ASSUMPTIONS!$D$12,"Established (5-10)","Veteran (10+)")))</f>
        <v>Early (2-5)</v>
      </c>
      <c r="R23" s="4">
        <f t="shared" si="1"/>
        <v>2.3333333333333335</v>
      </c>
    </row>
    <row r="24" spans="1:18">
      <c r="A24">
        <f>RAW_DATA!A24</f>
        <v>34</v>
      </c>
      <c r="B24" t="str">
        <f>RAW_DATA!B24</f>
        <v>No</v>
      </c>
      <c r="C24" t="str">
        <f>RAW_DATA!C24</f>
        <v>Research &amp; Development</v>
      </c>
      <c r="D24">
        <f>RAW_DATA!D24</f>
        <v>7</v>
      </c>
      <c r="E24">
        <f>RAW_DATA!E24</f>
        <v>4</v>
      </c>
      <c r="F24" t="str">
        <f>RAW_DATA!F24</f>
        <v>Life Sciences</v>
      </c>
      <c r="G24">
        <f>RAW_DATA!G24</f>
        <v>1</v>
      </c>
      <c r="H24">
        <f>RAW_DATA!H24</f>
        <v>2</v>
      </c>
      <c r="I24" t="str">
        <f>RAW_DATA!I24</f>
        <v>Single</v>
      </c>
      <c r="J24">
        <f>RAW_DATA!J24</f>
        <v>11994</v>
      </c>
      <c r="K24">
        <f>RAW_DATA!K24</f>
        <v>0</v>
      </c>
      <c r="L24">
        <f>RAW_DATA!L24</f>
        <v>3</v>
      </c>
      <c r="M24">
        <f>RAW_DATA!M24</f>
        <v>12</v>
      </c>
      <c r="N24">
        <f t="shared" si="0"/>
        <v>0</v>
      </c>
      <c r="O24" t="str" cm="1">
        <f t="array" ref="O24" xml:space="preserve"> _xlfn.IFS(A24 &lt;ASSUMPTIONS!$D$2,"25",A24 &lt;= ASSUMPTIONS!$D$3,"25-34",A24 &lt;= ASSUMPTIONS!$D$4, "35-44",A24 &lt;= ASSUMPTIONS!$D$5,"45-54",TRUE,"55+")</f>
        <v>25-34</v>
      </c>
      <c r="P24" t="str" cm="1">
        <f t="array" ref="P24">_xlfn.IFS( J24 &lt;ASSUMPTIONS!$D$7,"LOW",J24 &lt;= ASSUMPTIONS!$D$8,"MEDIUM",TRUE, "HIGH")</f>
        <v>HIGH</v>
      </c>
      <c r="Q24" t="str">
        <f>IF(M24&lt;ASSUMPTIONS!$D$10,"New (0-2)",IF(M24&lt;=ASSUMPTIONS!$D$11,"Early (2-5)",IF(M24&lt;=ASSUMPTIONS!$D$12,"Established (5-10)","Veteran (10+)")))</f>
        <v>Veteran (10+)</v>
      </c>
      <c r="R24" s="4">
        <f t="shared" si="1"/>
        <v>2</v>
      </c>
    </row>
    <row r="25" spans="1:18">
      <c r="A25">
        <f>RAW_DATA!A25</f>
        <v>21</v>
      </c>
      <c r="B25" t="str">
        <f>RAW_DATA!B25</f>
        <v>No</v>
      </c>
      <c r="C25" t="str">
        <f>RAW_DATA!C25</f>
        <v>Research &amp; Development</v>
      </c>
      <c r="D25">
        <f>RAW_DATA!D25</f>
        <v>15</v>
      </c>
      <c r="E25">
        <f>RAW_DATA!E25</f>
        <v>2</v>
      </c>
      <c r="F25" t="str">
        <f>RAW_DATA!F25</f>
        <v>Life Sciences</v>
      </c>
      <c r="G25">
        <f>RAW_DATA!G25</f>
        <v>3</v>
      </c>
      <c r="H25">
        <f>RAW_DATA!H25</f>
        <v>4</v>
      </c>
      <c r="I25" t="str">
        <f>RAW_DATA!I25</f>
        <v>Single</v>
      </c>
      <c r="J25">
        <f>RAW_DATA!J25</f>
        <v>1232</v>
      </c>
      <c r="K25">
        <f>RAW_DATA!K25</f>
        <v>1</v>
      </c>
      <c r="L25">
        <f>RAW_DATA!L25</f>
        <v>3</v>
      </c>
      <c r="M25">
        <f>RAW_DATA!M25</f>
        <v>0</v>
      </c>
      <c r="N25">
        <f t="shared" si="0"/>
        <v>0</v>
      </c>
      <c r="O25" t="str" cm="1">
        <f t="array" ref="O25" xml:space="preserve"> _xlfn.IFS(A25 &lt;ASSUMPTIONS!$D$2,"25",A25 &lt;= ASSUMPTIONS!$D$3,"25-34",A25 &lt;= ASSUMPTIONS!$D$4, "35-44",A25 &lt;= ASSUMPTIONS!$D$5,"45-54",TRUE,"55+")</f>
        <v>25</v>
      </c>
      <c r="P25" t="str" cm="1">
        <f t="array" ref="P25">_xlfn.IFS( J25 &lt;ASSUMPTIONS!$D$7,"LOW",J25 &lt;= ASSUMPTIONS!$D$8,"MEDIUM",TRUE, "HIGH")</f>
        <v>LOW</v>
      </c>
      <c r="Q25" t="str">
        <f>IF(M25&lt;ASSUMPTIONS!$D$10,"New (0-2)",IF(M25&lt;=ASSUMPTIONS!$D$11,"Early (2-5)",IF(M25&lt;=ASSUMPTIONS!$D$12,"Established (5-10)","Veteran (10+)")))</f>
        <v>New (0-2)</v>
      </c>
      <c r="R25" s="4">
        <f t="shared" si="1"/>
        <v>3.3333333333333335</v>
      </c>
    </row>
    <row r="26" spans="1:18">
      <c r="A26">
        <f>RAW_DATA!A26</f>
        <v>34</v>
      </c>
      <c r="B26" t="str">
        <f>RAW_DATA!B26</f>
        <v>Yes</v>
      </c>
      <c r="C26" t="str">
        <f>RAW_DATA!C26</f>
        <v>Research &amp; Development</v>
      </c>
      <c r="D26">
        <f>RAW_DATA!D26</f>
        <v>6</v>
      </c>
      <c r="E26">
        <f>RAW_DATA!E26</f>
        <v>1</v>
      </c>
      <c r="F26" t="str">
        <f>RAW_DATA!F26</f>
        <v>Medical</v>
      </c>
      <c r="G26">
        <f>RAW_DATA!G26</f>
        <v>2</v>
      </c>
      <c r="H26">
        <f>RAW_DATA!H26</f>
        <v>1</v>
      </c>
      <c r="I26" t="str">
        <f>RAW_DATA!I26</f>
        <v>Single</v>
      </c>
      <c r="J26">
        <f>RAW_DATA!J26</f>
        <v>2960</v>
      </c>
      <c r="K26">
        <f>RAW_DATA!K26</f>
        <v>2</v>
      </c>
      <c r="L26">
        <f>RAW_DATA!L26</f>
        <v>3</v>
      </c>
      <c r="M26">
        <f>RAW_DATA!M26</f>
        <v>4</v>
      </c>
      <c r="N26">
        <f t="shared" si="0"/>
        <v>1</v>
      </c>
      <c r="O26" t="str" cm="1">
        <f t="array" ref="O26" xml:space="preserve"> _xlfn.IFS(A26 &lt;ASSUMPTIONS!$D$2,"25",A26 &lt;= ASSUMPTIONS!$D$3,"25-34",A26 &lt;= ASSUMPTIONS!$D$4, "35-44",A26 &lt;= ASSUMPTIONS!$D$5,"45-54",TRUE,"55+")</f>
        <v>25-34</v>
      </c>
      <c r="P26" t="str" cm="1">
        <f t="array" ref="P26">_xlfn.IFS( J26 &lt;ASSUMPTIONS!$D$7,"LOW",J26 &lt;= ASSUMPTIONS!$D$8,"MEDIUM",TRUE, "HIGH")</f>
        <v>LOW</v>
      </c>
      <c r="Q26" t="str">
        <f>IF(M26&lt;ASSUMPTIONS!$D$10,"New (0-2)",IF(M26&lt;=ASSUMPTIONS!$D$11,"Early (2-5)",IF(M26&lt;=ASSUMPTIONS!$D$12,"Established (5-10)","Veteran (10+)")))</f>
        <v>Early (2-5)</v>
      </c>
      <c r="R26" s="4">
        <f t="shared" si="1"/>
        <v>2</v>
      </c>
    </row>
    <row r="27" spans="1:18">
      <c r="A27">
        <f>RAW_DATA!A27</f>
        <v>53</v>
      </c>
      <c r="B27" t="str">
        <f>RAW_DATA!B27</f>
        <v>No</v>
      </c>
      <c r="C27" t="str">
        <f>RAW_DATA!C27</f>
        <v>Research &amp; Development</v>
      </c>
      <c r="D27">
        <f>RAW_DATA!D27</f>
        <v>5</v>
      </c>
      <c r="E27">
        <f>RAW_DATA!E27</f>
        <v>3</v>
      </c>
      <c r="F27" t="str">
        <f>RAW_DATA!F27</f>
        <v>Other</v>
      </c>
      <c r="G27">
        <f>RAW_DATA!G27</f>
        <v>3</v>
      </c>
      <c r="H27">
        <f>RAW_DATA!H27</f>
        <v>3</v>
      </c>
      <c r="I27" t="str">
        <f>RAW_DATA!I27</f>
        <v>Divorced</v>
      </c>
      <c r="J27">
        <f>RAW_DATA!J27</f>
        <v>19094</v>
      </c>
      <c r="K27">
        <f>RAW_DATA!K27</f>
        <v>4</v>
      </c>
      <c r="L27">
        <f>RAW_DATA!L27</f>
        <v>2</v>
      </c>
      <c r="M27">
        <f>RAW_DATA!M27</f>
        <v>14</v>
      </c>
      <c r="N27">
        <f t="shared" si="0"/>
        <v>0</v>
      </c>
      <c r="O27" t="str" cm="1">
        <f t="array" ref="O27" xml:space="preserve"> _xlfn.IFS(A27 &lt;ASSUMPTIONS!$D$2,"25",A27 &lt;= ASSUMPTIONS!$D$3,"25-34",A27 &lt;= ASSUMPTIONS!$D$4, "35-44",A27 &lt;= ASSUMPTIONS!$D$5,"45-54",TRUE,"55+")</f>
        <v>45-54</v>
      </c>
      <c r="P27" t="str" cm="1">
        <f t="array" ref="P27">_xlfn.IFS( J27 &lt;ASSUMPTIONS!$D$7,"LOW",J27 &lt;= ASSUMPTIONS!$D$8,"MEDIUM",TRUE, "HIGH")</f>
        <v>HIGH</v>
      </c>
      <c r="Q27" t="str">
        <f>IF(M27&lt;ASSUMPTIONS!$D$10,"New (0-2)",IF(M27&lt;=ASSUMPTIONS!$D$11,"Early (2-5)",IF(M27&lt;=ASSUMPTIONS!$D$12,"Established (5-10)","Veteran (10+)")))</f>
        <v>Veteran (10+)</v>
      </c>
      <c r="R27" s="4">
        <f t="shared" si="1"/>
        <v>2.6666666666666665</v>
      </c>
    </row>
    <row r="28" spans="1:18">
      <c r="A28">
        <f>RAW_DATA!A28</f>
        <v>32</v>
      </c>
      <c r="B28" t="str">
        <f>RAW_DATA!B28</f>
        <v>Yes</v>
      </c>
      <c r="C28" t="str">
        <f>RAW_DATA!C28</f>
        <v>Research &amp; Development</v>
      </c>
      <c r="D28">
        <f>RAW_DATA!D28</f>
        <v>16</v>
      </c>
      <c r="E28">
        <f>RAW_DATA!E28</f>
        <v>1</v>
      </c>
      <c r="F28" t="str">
        <f>RAW_DATA!F28</f>
        <v>Life Sciences</v>
      </c>
      <c r="G28">
        <f>RAW_DATA!G28</f>
        <v>2</v>
      </c>
      <c r="H28">
        <f>RAW_DATA!H28</f>
        <v>1</v>
      </c>
      <c r="I28" t="str">
        <f>RAW_DATA!I28</f>
        <v>Single</v>
      </c>
      <c r="J28">
        <f>RAW_DATA!J28</f>
        <v>3919</v>
      </c>
      <c r="K28">
        <f>RAW_DATA!K28</f>
        <v>1</v>
      </c>
      <c r="L28">
        <f>RAW_DATA!L28</f>
        <v>3</v>
      </c>
      <c r="M28">
        <f>RAW_DATA!M28</f>
        <v>10</v>
      </c>
      <c r="N28">
        <f t="shared" si="0"/>
        <v>1</v>
      </c>
      <c r="O28" t="str" cm="1">
        <f t="array" ref="O28" xml:space="preserve"> _xlfn.IFS(A28 &lt;ASSUMPTIONS!$D$2,"25",A28 &lt;= ASSUMPTIONS!$D$3,"25-34",A28 &lt;= ASSUMPTIONS!$D$4, "35-44",A28 &lt;= ASSUMPTIONS!$D$5,"45-54",TRUE,"55+")</f>
        <v>25-34</v>
      </c>
      <c r="P28" t="str" cm="1">
        <f t="array" ref="P28">_xlfn.IFS( J28 &lt;ASSUMPTIONS!$D$7,"LOW",J28 &lt;= ASSUMPTIONS!$D$8,"MEDIUM",TRUE, "HIGH")</f>
        <v>MEDIUM</v>
      </c>
      <c r="Q28" t="str">
        <f>IF(M28&lt;ASSUMPTIONS!$D$10,"New (0-2)",IF(M28&lt;=ASSUMPTIONS!$D$11,"Early (2-5)",IF(M28&lt;=ASSUMPTIONS!$D$12,"Established (5-10)","Veteran (10+)")))</f>
        <v>Established (5-10)</v>
      </c>
      <c r="R28" s="4">
        <f t="shared" si="1"/>
        <v>2</v>
      </c>
    </row>
    <row r="29" spans="1:18">
      <c r="A29">
        <f>RAW_DATA!A29</f>
        <v>42</v>
      </c>
      <c r="B29" t="str">
        <f>RAW_DATA!B29</f>
        <v>No</v>
      </c>
      <c r="C29" t="str">
        <f>RAW_DATA!C29</f>
        <v>Sales</v>
      </c>
      <c r="D29">
        <f>RAW_DATA!D29</f>
        <v>8</v>
      </c>
      <c r="E29">
        <f>RAW_DATA!E29</f>
        <v>4</v>
      </c>
      <c r="F29" t="str">
        <f>RAW_DATA!F29</f>
        <v>Marketing</v>
      </c>
      <c r="G29">
        <f>RAW_DATA!G29</f>
        <v>3</v>
      </c>
      <c r="H29">
        <f>RAW_DATA!H29</f>
        <v>2</v>
      </c>
      <c r="I29" t="str">
        <f>RAW_DATA!I29</f>
        <v>Married</v>
      </c>
      <c r="J29">
        <f>RAW_DATA!J29</f>
        <v>6825</v>
      </c>
      <c r="K29">
        <f>RAW_DATA!K29</f>
        <v>0</v>
      </c>
      <c r="L29">
        <f>RAW_DATA!L29</f>
        <v>3</v>
      </c>
      <c r="M29">
        <f>RAW_DATA!M29</f>
        <v>9</v>
      </c>
      <c r="N29">
        <f t="shared" si="0"/>
        <v>0</v>
      </c>
      <c r="O29" t="str" cm="1">
        <f t="array" ref="O29" xml:space="preserve"> _xlfn.IFS(A29 &lt;ASSUMPTIONS!$D$2,"25",A29 &lt;= ASSUMPTIONS!$D$3,"25-34",A29 &lt;= ASSUMPTIONS!$D$4, "35-44",A29 &lt;= ASSUMPTIONS!$D$5,"45-54",TRUE,"55+")</f>
        <v>35-44</v>
      </c>
      <c r="P29" t="str" cm="1">
        <f t="array" ref="P29">_xlfn.IFS( J29 &lt;ASSUMPTIONS!$D$7,"LOW",J29 &lt;= ASSUMPTIONS!$D$8,"MEDIUM",TRUE, "HIGH")</f>
        <v>MEDIUM</v>
      </c>
      <c r="Q29" t="str">
        <f>IF(M29&lt;ASSUMPTIONS!$D$10,"New (0-2)",IF(M29&lt;=ASSUMPTIONS!$D$11,"Early (2-5)",IF(M29&lt;=ASSUMPTIONS!$D$12,"Established (5-10)","Veteran (10+)")))</f>
        <v>Established (5-10)</v>
      </c>
      <c r="R29" s="4">
        <f t="shared" si="1"/>
        <v>2.6666666666666665</v>
      </c>
    </row>
    <row r="30" spans="1:18">
      <c r="A30">
        <f>RAW_DATA!A30</f>
        <v>44</v>
      </c>
      <c r="B30" t="str">
        <f>RAW_DATA!B30</f>
        <v>No</v>
      </c>
      <c r="C30" t="str">
        <f>RAW_DATA!C30</f>
        <v>Research &amp; Development</v>
      </c>
      <c r="D30">
        <f>RAW_DATA!D30</f>
        <v>7</v>
      </c>
      <c r="E30">
        <f>RAW_DATA!E30</f>
        <v>4</v>
      </c>
      <c r="F30" t="str">
        <f>RAW_DATA!F30</f>
        <v>Medical</v>
      </c>
      <c r="G30">
        <f>RAW_DATA!G30</f>
        <v>1</v>
      </c>
      <c r="H30">
        <f>RAW_DATA!H30</f>
        <v>4</v>
      </c>
      <c r="I30" t="str">
        <f>RAW_DATA!I30</f>
        <v>Married</v>
      </c>
      <c r="J30">
        <f>RAW_DATA!J30</f>
        <v>10248</v>
      </c>
      <c r="K30">
        <f>RAW_DATA!K30</f>
        <v>3</v>
      </c>
      <c r="L30">
        <f>RAW_DATA!L30</f>
        <v>3</v>
      </c>
      <c r="M30">
        <f>RAW_DATA!M30</f>
        <v>22</v>
      </c>
      <c r="N30">
        <f t="shared" si="0"/>
        <v>0</v>
      </c>
      <c r="O30" t="str" cm="1">
        <f t="array" ref="O30" xml:space="preserve"> _xlfn.IFS(A30 &lt;ASSUMPTIONS!$D$2,"25",A30 &lt;= ASSUMPTIONS!$D$3,"25-34",A30 &lt;= ASSUMPTIONS!$D$4, "35-44",A30 &lt;= ASSUMPTIONS!$D$5,"45-54",TRUE,"55+")</f>
        <v>35-44</v>
      </c>
      <c r="P30" t="str" cm="1">
        <f t="array" ref="P30">_xlfn.IFS( J30 &lt;ASSUMPTIONS!$D$7,"LOW",J30 &lt;= ASSUMPTIONS!$D$8,"MEDIUM",TRUE, "HIGH")</f>
        <v>HIGH</v>
      </c>
      <c r="Q30" t="str">
        <f>IF(M30&lt;ASSUMPTIONS!$D$10,"New (0-2)",IF(M30&lt;=ASSUMPTIONS!$D$11,"Early (2-5)",IF(M30&lt;=ASSUMPTIONS!$D$12,"Established (5-10)","Veteran (10+)")))</f>
        <v>Veteran (10+)</v>
      </c>
      <c r="R30" s="4">
        <f t="shared" si="1"/>
        <v>2.6666666666666665</v>
      </c>
    </row>
    <row r="31" spans="1:18">
      <c r="A31">
        <f>RAW_DATA!A31</f>
        <v>46</v>
      </c>
      <c r="B31" t="str">
        <f>RAW_DATA!B31</f>
        <v>No</v>
      </c>
      <c r="C31" t="str">
        <f>RAW_DATA!C31</f>
        <v>Sales</v>
      </c>
      <c r="D31">
        <f>RAW_DATA!D31</f>
        <v>2</v>
      </c>
      <c r="E31">
        <f>RAW_DATA!E31</f>
        <v>4</v>
      </c>
      <c r="F31" t="str">
        <f>RAW_DATA!F31</f>
        <v>Marketing</v>
      </c>
      <c r="G31">
        <f>RAW_DATA!G31</f>
        <v>2</v>
      </c>
      <c r="H31">
        <f>RAW_DATA!H31</f>
        <v>1</v>
      </c>
      <c r="I31" t="str">
        <f>RAW_DATA!I31</f>
        <v>Single</v>
      </c>
      <c r="J31">
        <f>RAW_DATA!J31</f>
        <v>18947</v>
      </c>
      <c r="K31">
        <f>RAW_DATA!K31</f>
        <v>3</v>
      </c>
      <c r="L31">
        <f>RAW_DATA!L31</f>
        <v>2</v>
      </c>
      <c r="M31">
        <f>RAW_DATA!M31</f>
        <v>2</v>
      </c>
      <c r="N31">
        <f t="shared" si="0"/>
        <v>0</v>
      </c>
      <c r="O31" t="str" cm="1">
        <f t="array" ref="O31" xml:space="preserve"> _xlfn.IFS(A31 &lt;ASSUMPTIONS!$D$2,"25",A31 &lt;= ASSUMPTIONS!$D$3,"25-34",A31 &lt;= ASSUMPTIONS!$D$4, "35-44",A31 &lt;= ASSUMPTIONS!$D$5,"45-54",TRUE,"55+")</f>
        <v>45-54</v>
      </c>
      <c r="P31" t="str" cm="1">
        <f t="array" ref="P31">_xlfn.IFS( J31 &lt;ASSUMPTIONS!$D$7,"LOW",J31 &lt;= ASSUMPTIONS!$D$8,"MEDIUM",TRUE, "HIGH")</f>
        <v>HIGH</v>
      </c>
      <c r="Q31" t="str">
        <f>IF(M31&lt;ASSUMPTIONS!$D$10,"New (0-2)",IF(M31&lt;=ASSUMPTIONS!$D$11,"Early (2-5)",IF(M31&lt;=ASSUMPTIONS!$D$12,"Established (5-10)","Veteran (10+)")))</f>
        <v>Early (2-5)</v>
      </c>
      <c r="R31" s="4">
        <f t="shared" si="1"/>
        <v>1.6666666666666667</v>
      </c>
    </row>
    <row r="32" spans="1:18">
      <c r="A32">
        <f>RAW_DATA!A32</f>
        <v>33</v>
      </c>
      <c r="B32" t="str">
        <f>RAW_DATA!B32</f>
        <v>No</v>
      </c>
      <c r="C32" t="str">
        <f>RAW_DATA!C32</f>
        <v>Research &amp; Development</v>
      </c>
      <c r="D32">
        <f>RAW_DATA!D32</f>
        <v>2</v>
      </c>
      <c r="E32">
        <f>RAW_DATA!E32</f>
        <v>3</v>
      </c>
      <c r="F32" t="str">
        <f>RAW_DATA!F32</f>
        <v>Medical</v>
      </c>
      <c r="G32">
        <f>RAW_DATA!G32</f>
        <v>3</v>
      </c>
      <c r="H32">
        <f>RAW_DATA!H32</f>
        <v>4</v>
      </c>
      <c r="I32" t="str">
        <f>RAW_DATA!I32</f>
        <v>Single</v>
      </c>
      <c r="J32">
        <f>RAW_DATA!J32</f>
        <v>2496</v>
      </c>
      <c r="K32">
        <f>RAW_DATA!K32</f>
        <v>4</v>
      </c>
      <c r="L32">
        <f>RAW_DATA!L32</f>
        <v>3</v>
      </c>
      <c r="M32">
        <f>RAW_DATA!M32</f>
        <v>1</v>
      </c>
      <c r="N32">
        <f t="shared" si="0"/>
        <v>0</v>
      </c>
      <c r="O32" t="str" cm="1">
        <f t="array" ref="O32" xml:space="preserve"> _xlfn.IFS(A32 &lt;ASSUMPTIONS!$D$2,"25",A32 &lt;= ASSUMPTIONS!$D$3,"25-34",A32 &lt;= ASSUMPTIONS!$D$4, "35-44",A32 &lt;= ASSUMPTIONS!$D$5,"45-54",TRUE,"55+")</f>
        <v>25-34</v>
      </c>
      <c r="P32" t="str" cm="1">
        <f t="array" ref="P32">_xlfn.IFS( J32 &lt;ASSUMPTIONS!$D$7,"LOW",J32 &lt;= ASSUMPTIONS!$D$8,"MEDIUM",TRUE, "HIGH")</f>
        <v>LOW</v>
      </c>
      <c r="Q32" t="str">
        <f>IF(M32&lt;ASSUMPTIONS!$D$10,"New (0-2)",IF(M32&lt;=ASSUMPTIONS!$D$11,"Early (2-5)",IF(M32&lt;=ASSUMPTIONS!$D$12,"Established (5-10)","Veteran (10+)")))</f>
        <v>New (0-2)</v>
      </c>
      <c r="R32" s="4">
        <f t="shared" si="1"/>
        <v>3.3333333333333335</v>
      </c>
    </row>
    <row r="33" spans="1:18">
      <c r="A33">
        <f>RAW_DATA!A33</f>
        <v>44</v>
      </c>
      <c r="B33" t="str">
        <f>RAW_DATA!B33</f>
        <v>No</v>
      </c>
      <c r="C33" t="str">
        <f>RAW_DATA!C33</f>
        <v>Research &amp; Development</v>
      </c>
      <c r="D33">
        <f>RAW_DATA!D33</f>
        <v>10</v>
      </c>
      <c r="E33">
        <f>RAW_DATA!E33</f>
        <v>4</v>
      </c>
      <c r="F33" t="str">
        <f>RAW_DATA!F33</f>
        <v>Other</v>
      </c>
      <c r="G33">
        <f>RAW_DATA!G33</f>
        <v>4</v>
      </c>
      <c r="H33">
        <f>RAW_DATA!H33</f>
        <v>4</v>
      </c>
      <c r="I33" t="str">
        <f>RAW_DATA!I33</f>
        <v>Married</v>
      </c>
      <c r="J33">
        <f>RAW_DATA!J33</f>
        <v>6465</v>
      </c>
      <c r="K33">
        <f>RAW_DATA!K33</f>
        <v>2</v>
      </c>
      <c r="L33">
        <f>RAW_DATA!L33</f>
        <v>4</v>
      </c>
      <c r="M33">
        <f>RAW_DATA!M33</f>
        <v>4</v>
      </c>
      <c r="N33">
        <f t="shared" si="0"/>
        <v>0</v>
      </c>
      <c r="O33" t="str" cm="1">
        <f t="array" ref="O33" xml:space="preserve"> _xlfn.IFS(A33 &lt;ASSUMPTIONS!$D$2,"25",A33 &lt;= ASSUMPTIONS!$D$3,"25-34",A33 &lt;= ASSUMPTIONS!$D$4, "35-44",A33 &lt;= ASSUMPTIONS!$D$5,"45-54",TRUE,"55+")</f>
        <v>35-44</v>
      </c>
      <c r="P33" t="str" cm="1">
        <f t="array" ref="P33">_xlfn.IFS( J33 &lt;ASSUMPTIONS!$D$7,"LOW",J33 &lt;= ASSUMPTIONS!$D$8,"MEDIUM",TRUE, "HIGH")</f>
        <v>MEDIUM</v>
      </c>
      <c r="Q33" t="str">
        <f>IF(M33&lt;ASSUMPTIONS!$D$10,"New (0-2)",IF(M33&lt;=ASSUMPTIONS!$D$11,"Early (2-5)",IF(M33&lt;=ASSUMPTIONS!$D$12,"Established (5-10)","Veteran (10+)")))</f>
        <v>Early (2-5)</v>
      </c>
      <c r="R33" s="4">
        <f t="shared" si="1"/>
        <v>4</v>
      </c>
    </row>
    <row r="34" spans="1:18">
      <c r="A34">
        <f>RAW_DATA!A34</f>
        <v>30</v>
      </c>
      <c r="B34" t="str">
        <f>RAW_DATA!B34</f>
        <v>No</v>
      </c>
      <c r="C34" t="str">
        <f>RAW_DATA!C34</f>
        <v>Research &amp; Development</v>
      </c>
      <c r="D34">
        <f>RAW_DATA!D34</f>
        <v>9</v>
      </c>
      <c r="E34">
        <f>RAW_DATA!E34</f>
        <v>2</v>
      </c>
      <c r="F34" t="str">
        <f>RAW_DATA!F34</f>
        <v>Medical</v>
      </c>
      <c r="G34">
        <f>RAW_DATA!G34</f>
        <v>4</v>
      </c>
      <c r="H34">
        <f>RAW_DATA!H34</f>
        <v>3</v>
      </c>
      <c r="I34" t="str">
        <f>RAW_DATA!I34</f>
        <v>Single</v>
      </c>
      <c r="J34">
        <f>RAW_DATA!J34</f>
        <v>2206</v>
      </c>
      <c r="K34">
        <f>RAW_DATA!K34</f>
        <v>1</v>
      </c>
      <c r="L34">
        <f>RAW_DATA!L34</f>
        <v>3</v>
      </c>
      <c r="M34">
        <f>RAW_DATA!M34</f>
        <v>10</v>
      </c>
      <c r="N34">
        <f t="shared" si="0"/>
        <v>0</v>
      </c>
      <c r="O34" t="str" cm="1">
        <f t="array" ref="O34" xml:space="preserve"> _xlfn.IFS(A34 &lt;ASSUMPTIONS!$D$2,"25",A34 &lt;= ASSUMPTIONS!$D$3,"25-34",A34 &lt;= ASSUMPTIONS!$D$4, "35-44",A34 &lt;= ASSUMPTIONS!$D$5,"45-54",TRUE,"55+")</f>
        <v>25-34</v>
      </c>
      <c r="P34" t="str" cm="1">
        <f t="array" ref="P34">_xlfn.IFS( J34 &lt;ASSUMPTIONS!$D$7,"LOW",J34 &lt;= ASSUMPTIONS!$D$8,"MEDIUM",TRUE, "HIGH")</f>
        <v>LOW</v>
      </c>
      <c r="Q34" t="str">
        <f>IF(M34&lt;ASSUMPTIONS!$D$10,"New (0-2)",IF(M34&lt;=ASSUMPTIONS!$D$11,"Early (2-5)",IF(M34&lt;=ASSUMPTIONS!$D$12,"Established (5-10)","Veteran (10+)")))</f>
        <v>Established (5-10)</v>
      </c>
      <c r="R34" s="4">
        <f t="shared" si="1"/>
        <v>3.3333333333333335</v>
      </c>
    </row>
    <row r="35" spans="1:18">
      <c r="A35">
        <f>RAW_DATA!A35</f>
        <v>39</v>
      </c>
      <c r="B35" t="str">
        <f>RAW_DATA!B35</f>
        <v>Yes</v>
      </c>
      <c r="C35" t="str">
        <f>RAW_DATA!C35</f>
        <v>Sales</v>
      </c>
      <c r="D35">
        <f>RAW_DATA!D35</f>
        <v>5</v>
      </c>
      <c r="E35">
        <f>RAW_DATA!E35</f>
        <v>3</v>
      </c>
      <c r="F35" t="str">
        <f>RAW_DATA!F35</f>
        <v>Technical Degree</v>
      </c>
      <c r="G35">
        <f>RAW_DATA!G35</f>
        <v>4</v>
      </c>
      <c r="H35">
        <f>RAW_DATA!H35</f>
        <v>4</v>
      </c>
      <c r="I35" t="str">
        <f>RAW_DATA!I35</f>
        <v>Married</v>
      </c>
      <c r="J35">
        <f>RAW_DATA!J35</f>
        <v>2086</v>
      </c>
      <c r="K35">
        <f>RAW_DATA!K35</f>
        <v>3</v>
      </c>
      <c r="L35">
        <f>RAW_DATA!L35</f>
        <v>4</v>
      </c>
      <c r="M35">
        <f>RAW_DATA!M35</f>
        <v>1</v>
      </c>
      <c r="N35">
        <f t="shared" si="0"/>
        <v>1</v>
      </c>
      <c r="O35" t="str" cm="1">
        <f t="array" ref="O35" xml:space="preserve"> _xlfn.IFS(A35 &lt;ASSUMPTIONS!$D$2,"25",A35 &lt;= ASSUMPTIONS!$D$3,"25-34",A35 &lt;= ASSUMPTIONS!$D$4, "35-44",A35 &lt;= ASSUMPTIONS!$D$5,"45-54",TRUE,"55+")</f>
        <v>35-44</v>
      </c>
      <c r="P35" t="str" cm="1">
        <f t="array" ref="P35">_xlfn.IFS( J35 &lt;ASSUMPTIONS!$D$7,"LOW",J35 &lt;= ASSUMPTIONS!$D$8,"MEDIUM",TRUE, "HIGH")</f>
        <v>LOW</v>
      </c>
      <c r="Q35" t="str">
        <f>IF(M35&lt;ASSUMPTIONS!$D$10,"New (0-2)",IF(M35&lt;=ASSUMPTIONS!$D$11,"Early (2-5)",IF(M35&lt;=ASSUMPTIONS!$D$12,"Established (5-10)","Veteran (10+)")))</f>
        <v>New (0-2)</v>
      </c>
      <c r="R35" s="4">
        <f t="shared" si="1"/>
        <v>4</v>
      </c>
    </row>
    <row r="36" spans="1:18">
      <c r="A36">
        <f>RAW_DATA!A36</f>
        <v>24</v>
      </c>
      <c r="B36" t="str">
        <f>RAW_DATA!B36</f>
        <v>Yes</v>
      </c>
      <c r="C36" t="str">
        <f>RAW_DATA!C36</f>
        <v>Research &amp; Development</v>
      </c>
      <c r="D36">
        <f>RAW_DATA!D36</f>
        <v>1</v>
      </c>
      <c r="E36">
        <f>RAW_DATA!E36</f>
        <v>3</v>
      </c>
      <c r="F36" t="str">
        <f>RAW_DATA!F36</f>
        <v>Medical</v>
      </c>
      <c r="G36">
        <f>RAW_DATA!G36</f>
        <v>2</v>
      </c>
      <c r="H36">
        <f>RAW_DATA!H36</f>
        <v>4</v>
      </c>
      <c r="I36" t="str">
        <f>RAW_DATA!I36</f>
        <v>Married</v>
      </c>
      <c r="J36">
        <f>RAW_DATA!J36</f>
        <v>2293</v>
      </c>
      <c r="K36">
        <f>RAW_DATA!K36</f>
        <v>2</v>
      </c>
      <c r="L36">
        <f>RAW_DATA!L36</f>
        <v>2</v>
      </c>
      <c r="M36">
        <f>RAW_DATA!M36</f>
        <v>2</v>
      </c>
      <c r="N36">
        <f t="shared" si="0"/>
        <v>1</v>
      </c>
      <c r="O36" t="str" cm="1">
        <f t="array" ref="O36" xml:space="preserve"> _xlfn.IFS(A36 &lt;ASSUMPTIONS!$D$2,"25",A36 &lt;= ASSUMPTIONS!$D$3,"25-34",A36 &lt;= ASSUMPTIONS!$D$4, "35-44",A36 &lt;= ASSUMPTIONS!$D$5,"45-54",TRUE,"55+")</f>
        <v>25</v>
      </c>
      <c r="P36" t="str" cm="1">
        <f t="array" ref="P36">_xlfn.IFS( J36 &lt;ASSUMPTIONS!$D$7,"LOW",J36 &lt;= ASSUMPTIONS!$D$8,"MEDIUM",TRUE, "HIGH")</f>
        <v>LOW</v>
      </c>
      <c r="Q36" t="str">
        <f>IF(M36&lt;ASSUMPTIONS!$D$10,"New (0-2)",IF(M36&lt;=ASSUMPTIONS!$D$11,"Early (2-5)",IF(M36&lt;=ASSUMPTIONS!$D$12,"Established (5-10)","Veteran (10+)")))</f>
        <v>Early (2-5)</v>
      </c>
      <c r="R36" s="4">
        <f t="shared" si="1"/>
        <v>2.6666666666666665</v>
      </c>
    </row>
    <row r="37" spans="1:18">
      <c r="A37">
        <f>RAW_DATA!A37</f>
        <v>43</v>
      </c>
      <c r="B37" t="str">
        <f>RAW_DATA!B37</f>
        <v>No</v>
      </c>
      <c r="C37" t="str">
        <f>RAW_DATA!C37</f>
        <v>Research &amp; Development</v>
      </c>
      <c r="D37">
        <f>RAW_DATA!D37</f>
        <v>2</v>
      </c>
      <c r="E37">
        <f>RAW_DATA!E37</f>
        <v>2</v>
      </c>
      <c r="F37" t="str">
        <f>RAW_DATA!F37</f>
        <v>Medical</v>
      </c>
      <c r="G37">
        <f>RAW_DATA!G37</f>
        <v>4</v>
      </c>
      <c r="H37">
        <f>RAW_DATA!H37</f>
        <v>3</v>
      </c>
      <c r="I37" t="str">
        <f>RAW_DATA!I37</f>
        <v>Divorced</v>
      </c>
      <c r="J37">
        <f>RAW_DATA!J37</f>
        <v>2645</v>
      </c>
      <c r="K37">
        <f>RAW_DATA!K37</f>
        <v>1</v>
      </c>
      <c r="L37">
        <f>RAW_DATA!L37</f>
        <v>2</v>
      </c>
      <c r="M37">
        <f>RAW_DATA!M37</f>
        <v>5</v>
      </c>
      <c r="N37">
        <f t="shared" si="0"/>
        <v>0</v>
      </c>
      <c r="O37" t="str" cm="1">
        <f t="array" ref="O37" xml:space="preserve"> _xlfn.IFS(A37 &lt;ASSUMPTIONS!$D$2,"25",A37 &lt;= ASSUMPTIONS!$D$3,"25-34",A37 &lt;= ASSUMPTIONS!$D$4, "35-44",A37 &lt;= ASSUMPTIONS!$D$5,"45-54",TRUE,"55+")</f>
        <v>35-44</v>
      </c>
      <c r="P37" t="str" cm="1">
        <f t="array" ref="P37">_xlfn.IFS( J37 &lt;ASSUMPTIONS!$D$7,"LOW",J37 &lt;= ASSUMPTIONS!$D$8,"MEDIUM",TRUE, "HIGH")</f>
        <v>LOW</v>
      </c>
      <c r="Q37" t="str">
        <f>IF(M37&lt;ASSUMPTIONS!$D$10,"New (0-2)",IF(M37&lt;=ASSUMPTIONS!$D$11,"Early (2-5)",IF(M37&lt;=ASSUMPTIONS!$D$12,"Established (5-10)","Veteran (10+)")))</f>
        <v>Early (2-5)</v>
      </c>
      <c r="R37" s="4">
        <f t="shared" si="1"/>
        <v>3</v>
      </c>
    </row>
    <row r="38" spans="1:18">
      <c r="A38">
        <f>RAW_DATA!A38</f>
        <v>50</v>
      </c>
      <c r="B38" t="str">
        <f>RAW_DATA!B38</f>
        <v>Yes</v>
      </c>
      <c r="C38" t="str">
        <f>RAW_DATA!C38</f>
        <v>Sales</v>
      </c>
      <c r="D38">
        <f>RAW_DATA!D38</f>
        <v>3</v>
      </c>
      <c r="E38">
        <f>RAW_DATA!E38</f>
        <v>2</v>
      </c>
      <c r="F38" t="str">
        <f>RAW_DATA!F38</f>
        <v>Marketing</v>
      </c>
      <c r="G38">
        <f>RAW_DATA!G38</f>
        <v>1</v>
      </c>
      <c r="H38">
        <f>RAW_DATA!H38</f>
        <v>3</v>
      </c>
      <c r="I38" t="str">
        <f>RAW_DATA!I38</f>
        <v>Married</v>
      </c>
      <c r="J38">
        <f>RAW_DATA!J38</f>
        <v>2683</v>
      </c>
      <c r="K38">
        <f>RAW_DATA!K38</f>
        <v>1</v>
      </c>
      <c r="L38">
        <f>RAW_DATA!L38</f>
        <v>3</v>
      </c>
      <c r="M38">
        <f>RAW_DATA!M38</f>
        <v>3</v>
      </c>
      <c r="N38">
        <f t="shared" si="0"/>
        <v>1</v>
      </c>
      <c r="O38" t="str" cm="1">
        <f t="array" ref="O38" xml:space="preserve"> _xlfn.IFS(A38 &lt;ASSUMPTIONS!$D$2,"25",A38 &lt;= ASSUMPTIONS!$D$3,"25-34",A38 &lt;= ASSUMPTIONS!$D$4, "35-44",A38 &lt;= ASSUMPTIONS!$D$5,"45-54",TRUE,"55+")</f>
        <v>45-54</v>
      </c>
      <c r="P38" t="str" cm="1">
        <f t="array" ref="P38">_xlfn.IFS( J38 &lt;ASSUMPTIONS!$D$7,"LOW",J38 &lt;= ASSUMPTIONS!$D$8,"MEDIUM",TRUE, "HIGH")</f>
        <v>LOW</v>
      </c>
      <c r="Q38" t="str">
        <f>IF(M38&lt;ASSUMPTIONS!$D$10,"New (0-2)",IF(M38&lt;=ASSUMPTIONS!$D$11,"Early (2-5)",IF(M38&lt;=ASSUMPTIONS!$D$12,"Established (5-10)","Veteran (10+)")))</f>
        <v>Early (2-5)</v>
      </c>
      <c r="R38" s="4">
        <f t="shared" si="1"/>
        <v>2.3333333333333335</v>
      </c>
    </row>
    <row r="39" spans="1:18">
      <c r="A39">
        <f>RAW_DATA!A39</f>
        <v>35</v>
      </c>
      <c r="B39" t="str">
        <f>RAW_DATA!B39</f>
        <v>No</v>
      </c>
      <c r="C39" t="str">
        <f>RAW_DATA!C39</f>
        <v>Sales</v>
      </c>
      <c r="D39">
        <f>RAW_DATA!D39</f>
        <v>2</v>
      </c>
      <c r="E39">
        <f>RAW_DATA!E39</f>
        <v>3</v>
      </c>
      <c r="F39" t="str">
        <f>RAW_DATA!F39</f>
        <v>Marketing</v>
      </c>
      <c r="G39">
        <f>RAW_DATA!G39</f>
        <v>4</v>
      </c>
      <c r="H39">
        <f>RAW_DATA!H39</f>
        <v>4</v>
      </c>
      <c r="I39" t="str">
        <f>RAW_DATA!I39</f>
        <v>Married</v>
      </c>
      <c r="J39">
        <f>RAW_DATA!J39</f>
        <v>2014</v>
      </c>
      <c r="K39">
        <f>RAW_DATA!K39</f>
        <v>1</v>
      </c>
      <c r="L39">
        <f>RAW_DATA!L39</f>
        <v>3</v>
      </c>
      <c r="M39">
        <f>RAW_DATA!M39</f>
        <v>2</v>
      </c>
      <c r="N39">
        <f t="shared" si="0"/>
        <v>0</v>
      </c>
      <c r="O39" t="str" cm="1">
        <f t="array" ref="O39" xml:space="preserve"> _xlfn.IFS(A39 &lt;ASSUMPTIONS!$D$2,"25",A39 &lt;= ASSUMPTIONS!$D$3,"25-34",A39 &lt;= ASSUMPTIONS!$D$4, "35-44",A39 &lt;= ASSUMPTIONS!$D$5,"45-54",TRUE,"55+")</f>
        <v>35-44</v>
      </c>
      <c r="P39" t="str" cm="1">
        <f t="array" ref="P39">_xlfn.IFS( J39 &lt;ASSUMPTIONS!$D$7,"LOW",J39 &lt;= ASSUMPTIONS!$D$8,"MEDIUM",TRUE, "HIGH")</f>
        <v>LOW</v>
      </c>
      <c r="Q39" t="str">
        <f>IF(M39&lt;ASSUMPTIONS!$D$10,"New (0-2)",IF(M39&lt;=ASSUMPTIONS!$D$11,"Early (2-5)",IF(M39&lt;=ASSUMPTIONS!$D$12,"Established (5-10)","Veteran (10+)")))</f>
        <v>Early (2-5)</v>
      </c>
      <c r="R39" s="4">
        <f t="shared" si="1"/>
        <v>3.6666666666666665</v>
      </c>
    </row>
    <row r="40" spans="1:18">
      <c r="A40">
        <f>RAW_DATA!A40</f>
        <v>36</v>
      </c>
      <c r="B40" t="str">
        <f>RAW_DATA!B40</f>
        <v>No</v>
      </c>
      <c r="C40" t="str">
        <f>RAW_DATA!C40</f>
        <v>Research &amp; Development</v>
      </c>
      <c r="D40">
        <f>RAW_DATA!D40</f>
        <v>5</v>
      </c>
      <c r="E40">
        <f>RAW_DATA!E40</f>
        <v>4</v>
      </c>
      <c r="F40" t="str">
        <f>RAW_DATA!F40</f>
        <v>Life Sciences</v>
      </c>
      <c r="G40">
        <f>RAW_DATA!G40</f>
        <v>2</v>
      </c>
      <c r="H40">
        <f>RAW_DATA!H40</f>
        <v>1</v>
      </c>
      <c r="I40" t="str">
        <f>RAW_DATA!I40</f>
        <v>Married</v>
      </c>
      <c r="J40">
        <f>RAW_DATA!J40</f>
        <v>3419</v>
      </c>
      <c r="K40">
        <f>RAW_DATA!K40</f>
        <v>9</v>
      </c>
      <c r="L40">
        <f>RAW_DATA!L40</f>
        <v>4</v>
      </c>
      <c r="M40">
        <f>RAW_DATA!M40</f>
        <v>1</v>
      </c>
      <c r="N40">
        <f t="shared" si="0"/>
        <v>0</v>
      </c>
      <c r="O40" t="str" cm="1">
        <f t="array" ref="O40" xml:space="preserve"> _xlfn.IFS(A40 &lt;ASSUMPTIONS!$D$2,"25",A40 &lt;= ASSUMPTIONS!$D$3,"25-34",A40 &lt;= ASSUMPTIONS!$D$4, "35-44",A40 &lt;= ASSUMPTIONS!$D$5,"45-54",TRUE,"55+")</f>
        <v>35-44</v>
      </c>
      <c r="P40" t="str" cm="1">
        <f t="array" ref="P40">_xlfn.IFS( J40 &lt;ASSUMPTIONS!$D$7,"LOW",J40 &lt;= ASSUMPTIONS!$D$8,"MEDIUM",TRUE, "HIGH")</f>
        <v>MEDIUM</v>
      </c>
      <c r="Q40" t="str">
        <f>IF(M40&lt;ASSUMPTIONS!$D$10,"New (0-2)",IF(M40&lt;=ASSUMPTIONS!$D$11,"Early (2-5)",IF(M40&lt;=ASSUMPTIONS!$D$12,"Established (5-10)","Veteran (10+)")))</f>
        <v>New (0-2)</v>
      </c>
      <c r="R40" s="4">
        <f t="shared" si="1"/>
        <v>2.3333333333333335</v>
      </c>
    </row>
    <row r="41" spans="1:18">
      <c r="A41">
        <f>RAW_DATA!A41</f>
        <v>33</v>
      </c>
      <c r="B41" t="str">
        <f>RAW_DATA!B41</f>
        <v>No</v>
      </c>
      <c r="C41" t="str">
        <f>RAW_DATA!C41</f>
        <v>Sales</v>
      </c>
      <c r="D41">
        <f>RAW_DATA!D41</f>
        <v>1</v>
      </c>
      <c r="E41">
        <f>RAW_DATA!E41</f>
        <v>3</v>
      </c>
      <c r="F41" t="str">
        <f>RAW_DATA!F41</f>
        <v>Life Sciences</v>
      </c>
      <c r="G41">
        <f>RAW_DATA!G41</f>
        <v>3</v>
      </c>
      <c r="H41">
        <f>RAW_DATA!H41</f>
        <v>1</v>
      </c>
      <c r="I41" t="str">
        <f>RAW_DATA!I41</f>
        <v>Married</v>
      </c>
      <c r="J41">
        <f>RAW_DATA!J41</f>
        <v>5376</v>
      </c>
      <c r="K41">
        <f>RAW_DATA!K41</f>
        <v>2</v>
      </c>
      <c r="L41">
        <f>RAW_DATA!L41</f>
        <v>3</v>
      </c>
      <c r="M41">
        <f>RAW_DATA!M41</f>
        <v>5</v>
      </c>
      <c r="N41">
        <f t="shared" si="0"/>
        <v>0</v>
      </c>
      <c r="O41" t="str" cm="1">
        <f t="array" ref="O41" xml:space="preserve"> _xlfn.IFS(A41 &lt;ASSUMPTIONS!$D$2,"25",A41 &lt;= ASSUMPTIONS!$D$3,"25-34",A41 &lt;= ASSUMPTIONS!$D$4, "35-44",A41 &lt;= ASSUMPTIONS!$D$5,"45-54",TRUE,"55+")</f>
        <v>25-34</v>
      </c>
      <c r="P41" t="str" cm="1">
        <f t="array" ref="P41">_xlfn.IFS( J41 &lt;ASSUMPTIONS!$D$7,"LOW",J41 &lt;= ASSUMPTIONS!$D$8,"MEDIUM",TRUE, "HIGH")</f>
        <v>MEDIUM</v>
      </c>
      <c r="Q41" t="str">
        <f>IF(M41&lt;ASSUMPTIONS!$D$10,"New (0-2)",IF(M41&lt;=ASSUMPTIONS!$D$11,"Early (2-5)",IF(M41&lt;=ASSUMPTIONS!$D$12,"Established (5-10)","Veteran (10+)")))</f>
        <v>Early (2-5)</v>
      </c>
      <c r="R41" s="4">
        <f t="shared" si="1"/>
        <v>2.3333333333333335</v>
      </c>
    </row>
    <row r="42" spans="1:18">
      <c r="A42">
        <f>RAW_DATA!A42</f>
        <v>35</v>
      </c>
      <c r="B42" t="str">
        <f>RAW_DATA!B42</f>
        <v>No</v>
      </c>
      <c r="C42" t="str">
        <f>RAW_DATA!C42</f>
        <v>Research &amp; Development</v>
      </c>
      <c r="D42">
        <f>RAW_DATA!D42</f>
        <v>4</v>
      </c>
      <c r="E42">
        <f>RAW_DATA!E42</f>
        <v>2</v>
      </c>
      <c r="F42" t="str">
        <f>RAW_DATA!F42</f>
        <v>Other</v>
      </c>
      <c r="G42">
        <f>RAW_DATA!G42</f>
        <v>3</v>
      </c>
      <c r="H42">
        <f>RAW_DATA!H42</f>
        <v>4</v>
      </c>
      <c r="I42" t="str">
        <f>RAW_DATA!I42</f>
        <v>Divorced</v>
      </c>
      <c r="J42">
        <f>RAW_DATA!J42</f>
        <v>1951</v>
      </c>
      <c r="K42">
        <f>RAW_DATA!K42</f>
        <v>1</v>
      </c>
      <c r="L42">
        <f>RAW_DATA!L42</f>
        <v>3</v>
      </c>
      <c r="M42">
        <f>RAW_DATA!M42</f>
        <v>1</v>
      </c>
      <c r="N42">
        <f t="shared" si="0"/>
        <v>0</v>
      </c>
      <c r="O42" t="str" cm="1">
        <f t="array" ref="O42" xml:space="preserve"> _xlfn.IFS(A42 &lt;ASSUMPTIONS!$D$2,"25",A42 &lt;= ASSUMPTIONS!$D$3,"25-34",A42 &lt;= ASSUMPTIONS!$D$4, "35-44",A42 &lt;= ASSUMPTIONS!$D$5,"45-54",TRUE,"55+")</f>
        <v>35-44</v>
      </c>
      <c r="P42" t="str" cm="1">
        <f t="array" ref="P42">_xlfn.IFS( J42 &lt;ASSUMPTIONS!$D$7,"LOW",J42 &lt;= ASSUMPTIONS!$D$8,"MEDIUM",TRUE, "HIGH")</f>
        <v>LOW</v>
      </c>
      <c r="Q42" t="str">
        <f>IF(M42&lt;ASSUMPTIONS!$D$10,"New (0-2)",IF(M42&lt;=ASSUMPTIONS!$D$11,"Early (2-5)",IF(M42&lt;=ASSUMPTIONS!$D$12,"Established (5-10)","Veteran (10+)")))</f>
        <v>New (0-2)</v>
      </c>
      <c r="R42" s="4">
        <f t="shared" si="1"/>
        <v>3.3333333333333335</v>
      </c>
    </row>
    <row r="43" spans="1:18">
      <c r="A43">
        <f>RAW_DATA!A43</f>
        <v>27</v>
      </c>
      <c r="B43" t="str">
        <f>RAW_DATA!B43</f>
        <v>No</v>
      </c>
      <c r="C43" t="str">
        <f>RAW_DATA!C43</f>
        <v>Research &amp; Development</v>
      </c>
      <c r="D43">
        <f>RAW_DATA!D43</f>
        <v>2</v>
      </c>
      <c r="E43">
        <f>RAW_DATA!E43</f>
        <v>4</v>
      </c>
      <c r="F43" t="str">
        <f>RAW_DATA!F43</f>
        <v>Life Sciences</v>
      </c>
      <c r="G43">
        <f>RAW_DATA!G43</f>
        <v>4</v>
      </c>
      <c r="H43">
        <f>RAW_DATA!H43</f>
        <v>1</v>
      </c>
      <c r="I43" t="str">
        <f>RAW_DATA!I43</f>
        <v>Divorced</v>
      </c>
      <c r="J43">
        <f>RAW_DATA!J43</f>
        <v>2341</v>
      </c>
      <c r="K43">
        <f>RAW_DATA!K43</f>
        <v>1</v>
      </c>
      <c r="L43">
        <f>RAW_DATA!L43</f>
        <v>3</v>
      </c>
      <c r="M43">
        <f>RAW_DATA!M43</f>
        <v>1</v>
      </c>
      <c r="N43">
        <f t="shared" si="0"/>
        <v>0</v>
      </c>
      <c r="O43" t="str" cm="1">
        <f t="array" ref="O43" xml:space="preserve"> _xlfn.IFS(A43 &lt;ASSUMPTIONS!$D$2,"25",A43 &lt;= ASSUMPTIONS!$D$3,"25-34",A43 &lt;= ASSUMPTIONS!$D$4, "35-44",A43 &lt;= ASSUMPTIONS!$D$5,"45-54",TRUE,"55+")</f>
        <v>25-34</v>
      </c>
      <c r="P43" t="str" cm="1">
        <f t="array" ref="P43">_xlfn.IFS( J43 &lt;ASSUMPTIONS!$D$7,"LOW",J43 &lt;= ASSUMPTIONS!$D$8,"MEDIUM",TRUE, "HIGH")</f>
        <v>LOW</v>
      </c>
      <c r="Q43" t="str">
        <f>IF(M43&lt;ASSUMPTIONS!$D$10,"New (0-2)",IF(M43&lt;=ASSUMPTIONS!$D$11,"Early (2-5)",IF(M43&lt;=ASSUMPTIONS!$D$12,"Established (5-10)","Veteran (10+)")))</f>
        <v>New (0-2)</v>
      </c>
      <c r="R43" s="4">
        <f t="shared" si="1"/>
        <v>2.6666666666666665</v>
      </c>
    </row>
    <row r="44" spans="1:18">
      <c r="A44">
        <f>RAW_DATA!A44</f>
        <v>26</v>
      </c>
      <c r="B44" t="str">
        <f>RAW_DATA!B44</f>
        <v>Yes</v>
      </c>
      <c r="C44" t="str">
        <f>RAW_DATA!C44</f>
        <v>Research &amp; Development</v>
      </c>
      <c r="D44">
        <f>RAW_DATA!D44</f>
        <v>25</v>
      </c>
      <c r="E44">
        <f>RAW_DATA!E44</f>
        <v>3</v>
      </c>
      <c r="F44" t="str">
        <f>RAW_DATA!F44</f>
        <v>Life Sciences</v>
      </c>
      <c r="G44">
        <f>RAW_DATA!G44</f>
        <v>1</v>
      </c>
      <c r="H44">
        <f>RAW_DATA!H44</f>
        <v>3</v>
      </c>
      <c r="I44" t="str">
        <f>RAW_DATA!I44</f>
        <v>Single</v>
      </c>
      <c r="J44">
        <f>RAW_DATA!J44</f>
        <v>2293</v>
      </c>
      <c r="K44">
        <f>RAW_DATA!K44</f>
        <v>1</v>
      </c>
      <c r="L44">
        <f>RAW_DATA!L44</f>
        <v>2</v>
      </c>
      <c r="M44">
        <f>RAW_DATA!M44</f>
        <v>1</v>
      </c>
      <c r="N44">
        <f t="shared" si="0"/>
        <v>1</v>
      </c>
      <c r="O44" t="str" cm="1">
        <f t="array" ref="O44" xml:space="preserve"> _xlfn.IFS(A44 &lt;ASSUMPTIONS!$D$2,"25",A44 &lt;= ASSUMPTIONS!$D$3,"25-34",A44 &lt;= ASSUMPTIONS!$D$4, "35-44",A44 &lt;= ASSUMPTIONS!$D$5,"45-54",TRUE,"55+")</f>
        <v>25-34</v>
      </c>
      <c r="P44" t="str" cm="1">
        <f t="array" ref="P44">_xlfn.IFS( J44 &lt;ASSUMPTIONS!$D$7,"LOW",J44 &lt;= ASSUMPTIONS!$D$8,"MEDIUM",TRUE, "HIGH")</f>
        <v>LOW</v>
      </c>
      <c r="Q44" t="str">
        <f>IF(M44&lt;ASSUMPTIONS!$D$10,"New (0-2)",IF(M44&lt;=ASSUMPTIONS!$D$11,"Early (2-5)",IF(M44&lt;=ASSUMPTIONS!$D$12,"Established (5-10)","Veteran (10+)")))</f>
        <v>New (0-2)</v>
      </c>
      <c r="R44" s="4">
        <f t="shared" si="1"/>
        <v>2</v>
      </c>
    </row>
    <row r="45" spans="1:18">
      <c r="A45">
        <f>RAW_DATA!A45</f>
        <v>27</v>
      </c>
      <c r="B45" t="str">
        <f>RAW_DATA!B45</f>
        <v>No</v>
      </c>
      <c r="C45" t="str">
        <f>RAW_DATA!C45</f>
        <v>Sales</v>
      </c>
      <c r="D45">
        <f>RAW_DATA!D45</f>
        <v>8</v>
      </c>
      <c r="E45">
        <f>RAW_DATA!E45</f>
        <v>3</v>
      </c>
      <c r="F45" t="str">
        <f>RAW_DATA!F45</f>
        <v>Life Sciences</v>
      </c>
      <c r="G45">
        <f>RAW_DATA!G45</f>
        <v>4</v>
      </c>
      <c r="H45">
        <f>RAW_DATA!H45</f>
        <v>3</v>
      </c>
      <c r="I45" t="str">
        <f>RAW_DATA!I45</f>
        <v>Single</v>
      </c>
      <c r="J45">
        <f>RAW_DATA!J45</f>
        <v>8726</v>
      </c>
      <c r="K45">
        <f>RAW_DATA!K45</f>
        <v>1</v>
      </c>
      <c r="L45">
        <f>RAW_DATA!L45</f>
        <v>3</v>
      </c>
      <c r="M45">
        <f>RAW_DATA!M45</f>
        <v>9</v>
      </c>
      <c r="N45">
        <f t="shared" si="0"/>
        <v>0</v>
      </c>
      <c r="O45" t="str" cm="1">
        <f t="array" ref="O45" xml:space="preserve"> _xlfn.IFS(A45 &lt;ASSUMPTIONS!$D$2,"25",A45 &lt;= ASSUMPTIONS!$D$3,"25-34",A45 &lt;= ASSUMPTIONS!$D$4, "35-44",A45 &lt;= ASSUMPTIONS!$D$5,"45-54",TRUE,"55+")</f>
        <v>25-34</v>
      </c>
      <c r="P45" t="str" cm="1">
        <f t="array" ref="P45">_xlfn.IFS( J45 &lt;ASSUMPTIONS!$D$7,"LOW",J45 &lt;= ASSUMPTIONS!$D$8,"MEDIUM",TRUE, "HIGH")</f>
        <v>HIGH</v>
      </c>
      <c r="Q45" t="str">
        <f>IF(M45&lt;ASSUMPTIONS!$D$10,"New (0-2)",IF(M45&lt;=ASSUMPTIONS!$D$11,"Early (2-5)",IF(M45&lt;=ASSUMPTIONS!$D$12,"Established (5-10)","Veteran (10+)")))</f>
        <v>Established (5-10)</v>
      </c>
      <c r="R45" s="4">
        <f t="shared" si="1"/>
        <v>3.3333333333333335</v>
      </c>
    </row>
    <row r="46" spans="1:18">
      <c r="A46">
        <f>RAW_DATA!A46</f>
        <v>30</v>
      </c>
      <c r="B46" t="str">
        <f>RAW_DATA!B46</f>
        <v>No</v>
      </c>
      <c r="C46" t="str">
        <f>RAW_DATA!C46</f>
        <v>Research &amp; Development</v>
      </c>
      <c r="D46">
        <f>RAW_DATA!D46</f>
        <v>1</v>
      </c>
      <c r="E46">
        <f>RAW_DATA!E46</f>
        <v>2</v>
      </c>
      <c r="F46" t="str">
        <f>RAW_DATA!F46</f>
        <v>Medical</v>
      </c>
      <c r="G46">
        <f>RAW_DATA!G46</f>
        <v>3</v>
      </c>
      <c r="H46">
        <f>RAW_DATA!H46</f>
        <v>4</v>
      </c>
      <c r="I46" t="str">
        <f>RAW_DATA!I46</f>
        <v>Single</v>
      </c>
      <c r="J46">
        <f>RAW_DATA!J46</f>
        <v>4011</v>
      </c>
      <c r="K46">
        <f>RAW_DATA!K46</f>
        <v>1</v>
      </c>
      <c r="L46">
        <f>RAW_DATA!L46</f>
        <v>3</v>
      </c>
      <c r="M46">
        <f>RAW_DATA!M46</f>
        <v>12</v>
      </c>
      <c r="N46">
        <f t="shared" si="0"/>
        <v>0</v>
      </c>
      <c r="O46" t="str" cm="1">
        <f t="array" ref="O46" xml:space="preserve"> _xlfn.IFS(A46 &lt;ASSUMPTIONS!$D$2,"25",A46 &lt;= ASSUMPTIONS!$D$3,"25-34",A46 &lt;= ASSUMPTIONS!$D$4, "35-44",A46 &lt;= ASSUMPTIONS!$D$5,"45-54",TRUE,"55+")</f>
        <v>25-34</v>
      </c>
      <c r="P46" t="str" cm="1">
        <f t="array" ref="P46">_xlfn.IFS( J46 &lt;ASSUMPTIONS!$D$7,"LOW",J46 &lt;= ASSUMPTIONS!$D$8,"MEDIUM",TRUE, "HIGH")</f>
        <v>MEDIUM</v>
      </c>
      <c r="Q46" t="str">
        <f>IF(M46&lt;ASSUMPTIONS!$D$10,"New (0-2)",IF(M46&lt;=ASSUMPTIONS!$D$11,"Early (2-5)",IF(M46&lt;=ASSUMPTIONS!$D$12,"Established (5-10)","Veteran (10+)")))</f>
        <v>Veteran (10+)</v>
      </c>
      <c r="R46" s="4">
        <f t="shared" si="1"/>
        <v>3.3333333333333335</v>
      </c>
    </row>
    <row r="47" spans="1:18">
      <c r="A47">
        <f>RAW_DATA!A47</f>
        <v>41</v>
      </c>
      <c r="B47" t="str">
        <f>RAW_DATA!B47</f>
        <v>Yes</v>
      </c>
      <c r="C47" t="str">
        <f>RAW_DATA!C47</f>
        <v>Research &amp; Development</v>
      </c>
      <c r="D47">
        <f>RAW_DATA!D47</f>
        <v>12</v>
      </c>
      <c r="E47">
        <f>RAW_DATA!E47</f>
        <v>3</v>
      </c>
      <c r="F47" t="str">
        <f>RAW_DATA!F47</f>
        <v>Technical Degree</v>
      </c>
      <c r="G47">
        <f>RAW_DATA!G47</f>
        <v>2</v>
      </c>
      <c r="H47">
        <f>RAW_DATA!H47</f>
        <v>3</v>
      </c>
      <c r="I47" t="str">
        <f>RAW_DATA!I47</f>
        <v>Married</v>
      </c>
      <c r="J47">
        <f>RAW_DATA!J47</f>
        <v>19545</v>
      </c>
      <c r="K47">
        <f>RAW_DATA!K47</f>
        <v>1</v>
      </c>
      <c r="L47">
        <f>RAW_DATA!L47</f>
        <v>3</v>
      </c>
      <c r="M47">
        <f>RAW_DATA!M47</f>
        <v>22</v>
      </c>
      <c r="N47">
        <f t="shared" si="0"/>
        <v>1</v>
      </c>
      <c r="O47" t="str" cm="1">
        <f t="array" ref="O47" xml:space="preserve"> _xlfn.IFS(A47 &lt;ASSUMPTIONS!$D$2,"25",A47 &lt;= ASSUMPTIONS!$D$3,"25-34",A47 &lt;= ASSUMPTIONS!$D$4, "35-44",A47 &lt;= ASSUMPTIONS!$D$5,"45-54",TRUE,"55+")</f>
        <v>35-44</v>
      </c>
      <c r="P47" t="str" cm="1">
        <f t="array" ref="P47">_xlfn.IFS( J47 &lt;ASSUMPTIONS!$D$7,"LOW",J47 &lt;= ASSUMPTIONS!$D$8,"MEDIUM",TRUE, "HIGH")</f>
        <v>HIGH</v>
      </c>
      <c r="Q47" t="str">
        <f>IF(M47&lt;ASSUMPTIONS!$D$10,"New (0-2)",IF(M47&lt;=ASSUMPTIONS!$D$11,"Early (2-5)",IF(M47&lt;=ASSUMPTIONS!$D$12,"Established (5-10)","Veteran (10+)")))</f>
        <v>Veteran (10+)</v>
      </c>
      <c r="R47" s="4">
        <f t="shared" si="1"/>
        <v>2.6666666666666665</v>
      </c>
    </row>
    <row r="48" spans="1:18">
      <c r="A48">
        <f>RAW_DATA!A48</f>
        <v>34</v>
      </c>
      <c r="B48" t="str">
        <f>RAW_DATA!B48</f>
        <v>No</v>
      </c>
      <c r="C48" t="str">
        <f>RAW_DATA!C48</f>
        <v>Sales</v>
      </c>
      <c r="D48">
        <f>RAW_DATA!D48</f>
        <v>23</v>
      </c>
      <c r="E48">
        <f>RAW_DATA!E48</f>
        <v>4</v>
      </c>
      <c r="F48" t="str">
        <f>RAW_DATA!F48</f>
        <v>Marketing</v>
      </c>
      <c r="G48">
        <f>RAW_DATA!G48</f>
        <v>2</v>
      </c>
      <c r="H48">
        <f>RAW_DATA!H48</f>
        <v>3</v>
      </c>
      <c r="I48" t="str">
        <f>RAW_DATA!I48</f>
        <v>Single</v>
      </c>
      <c r="J48">
        <f>RAW_DATA!J48</f>
        <v>4568</v>
      </c>
      <c r="K48">
        <f>RAW_DATA!K48</f>
        <v>0</v>
      </c>
      <c r="L48">
        <f>RAW_DATA!L48</f>
        <v>3</v>
      </c>
      <c r="M48">
        <f>RAW_DATA!M48</f>
        <v>9</v>
      </c>
      <c r="N48">
        <f t="shared" si="0"/>
        <v>0</v>
      </c>
      <c r="O48" t="str" cm="1">
        <f t="array" ref="O48" xml:space="preserve"> _xlfn.IFS(A48 &lt;ASSUMPTIONS!$D$2,"25",A48 &lt;= ASSUMPTIONS!$D$3,"25-34",A48 &lt;= ASSUMPTIONS!$D$4, "35-44",A48 &lt;= ASSUMPTIONS!$D$5,"45-54",TRUE,"55+")</f>
        <v>25-34</v>
      </c>
      <c r="P48" t="str" cm="1">
        <f t="array" ref="P48">_xlfn.IFS( J48 &lt;ASSUMPTIONS!$D$7,"LOW",J48 &lt;= ASSUMPTIONS!$D$8,"MEDIUM",TRUE, "HIGH")</f>
        <v>MEDIUM</v>
      </c>
      <c r="Q48" t="str">
        <f>IF(M48&lt;ASSUMPTIONS!$D$10,"New (0-2)",IF(M48&lt;=ASSUMPTIONS!$D$11,"Early (2-5)",IF(M48&lt;=ASSUMPTIONS!$D$12,"Established (5-10)","Veteran (10+)")))</f>
        <v>Established (5-10)</v>
      </c>
      <c r="R48" s="4">
        <f t="shared" si="1"/>
        <v>2.6666666666666665</v>
      </c>
    </row>
    <row r="49" spans="1:18">
      <c r="A49">
        <f>RAW_DATA!A49</f>
        <v>37</v>
      </c>
      <c r="B49" t="str">
        <f>RAW_DATA!B49</f>
        <v>No</v>
      </c>
      <c r="C49" t="str">
        <f>RAW_DATA!C49</f>
        <v>Research &amp; Development</v>
      </c>
      <c r="D49">
        <f>RAW_DATA!D49</f>
        <v>19</v>
      </c>
      <c r="E49">
        <f>RAW_DATA!E49</f>
        <v>2</v>
      </c>
      <c r="F49" t="str">
        <f>RAW_DATA!F49</f>
        <v>Life Sciences</v>
      </c>
      <c r="G49">
        <f>RAW_DATA!G49</f>
        <v>2</v>
      </c>
      <c r="H49">
        <f>RAW_DATA!H49</f>
        <v>2</v>
      </c>
      <c r="I49" t="str">
        <f>RAW_DATA!I49</f>
        <v>Married</v>
      </c>
      <c r="J49">
        <f>RAW_DATA!J49</f>
        <v>3022</v>
      </c>
      <c r="K49">
        <f>RAW_DATA!K49</f>
        <v>4</v>
      </c>
      <c r="L49">
        <f>RAW_DATA!L49</f>
        <v>3</v>
      </c>
      <c r="M49">
        <f>RAW_DATA!M49</f>
        <v>1</v>
      </c>
      <c r="N49">
        <f t="shared" si="0"/>
        <v>0</v>
      </c>
      <c r="O49" t="str" cm="1">
        <f t="array" ref="O49" xml:space="preserve"> _xlfn.IFS(A49 &lt;ASSUMPTIONS!$D$2,"25",A49 &lt;= ASSUMPTIONS!$D$3,"25-34",A49 &lt;= ASSUMPTIONS!$D$4, "35-44",A49 &lt;= ASSUMPTIONS!$D$5,"45-54",TRUE,"55+")</f>
        <v>35-44</v>
      </c>
      <c r="P49" t="str" cm="1">
        <f t="array" ref="P49">_xlfn.IFS( J49 &lt;ASSUMPTIONS!$D$7,"LOW",J49 &lt;= ASSUMPTIONS!$D$8,"MEDIUM",TRUE, "HIGH")</f>
        <v>MEDIUM</v>
      </c>
      <c r="Q49" t="str">
        <f>IF(M49&lt;ASSUMPTIONS!$D$10,"New (0-2)",IF(M49&lt;=ASSUMPTIONS!$D$11,"Early (2-5)",IF(M49&lt;=ASSUMPTIONS!$D$12,"Established (5-10)","Veteran (10+)")))</f>
        <v>New (0-2)</v>
      </c>
      <c r="R49" s="4">
        <f t="shared" si="1"/>
        <v>2.3333333333333335</v>
      </c>
    </row>
    <row r="50" spans="1:18">
      <c r="A50">
        <f>RAW_DATA!A50</f>
        <v>46</v>
      </c>
      <c r="B50" t="str">
        <f>RAW_DATA!B50</f>
        <v>No</v>
      </c>
      <c r="C50" t="str">
        <f>RAW_DATA!C50</f>
        <v>Sales</v>
      </c>
      <c r="D50">
        <f>RAW_DATA!D50</f>
        <v>5</v>
      </c>
      <c r="E50">
        <f>RAW_DATA!E50</f>
        <v>4</v>
      </c>
      <c r="F50" t="str">
        <f>RAW_DATA!F50</f>
        <v>Marketing</v>
      </c>
      <c r="G50">
        <f>RAW_DATA!G50</f>
        <v>1</v>
      </c>
      <c r="H50">
        <f>RAW_DATA!H50</f>
        <v>4</v>
      </c>
      <c r="I50" t="str">
        <f>RAW_DATA!I50</f>
        <v>Single</v>
      </c>
      <c r="J50">
        <f>RAW_DATA!J50</f>
        <v>5772</v>
      </c>
      <c r="K50">
        <f>RAW_DATA!K50</f>
        <v>4</v>
      </c>
      <c r="L50">
        <f>RAW_DATA!L50</f>
        <v>3</v>
      </c>
      <c r="M50">
        <f>RAW_DATA!M50</f>
        <v>9</v>
      </c>
      <c r="N50">
        <f t="shared" si="0"/>
        <v>0</v>
      </c>
      <c r="O50" t="str" cm="1">
        <f t="array" ref="O50" xml:space="preserve"> _xlfn.IFS(A50 &lt;ASSUMPTIONS!$D$2,"25",A50 &lt;= ASSUMPTIONS!$D$3,"25-34",A50 &lt;= ASSUMPTIONS!$D$4, "35-44",A50 &lt;= ASSUMPTIONS!$D$5,"45-54",TRUE,"55+")</f>
        <v>45-54</v>
      </c>
      <c r="P50" t="str" cm="1">
        <f t="array" ref="P50">_xlfn.IFS( J50 &lt;ASSUMPTIONS!$D$7,"LOW",J50 &lt;= ASSUMPTIONS!$D$8,"MEDIUM",TRUE, "HIGH")</f>
        <v>MEDIUM</v>
      </c>
      <c r="Q50" t="str">
        <f>IF(M50&lt;ASSUMPTIONS!$D$10,"New (0-2)",IF(M50&lt;=ASSUMPTIONS!$D$11,"Early (2-5)",IF(M50&lt;=ASSUMPTIONS!$D$12,"Established (5-10)","Veteran (10+)")))</f>
        <v>Established (5-10)</v>
      </c>
      <c r="R50" s="4">
        <f t="shared" si="1"/>
        <v>2.6666666666666665</v>
      </c>
    </row>
    <row r="51" spans="1:18">
      <c r="A51">
        <f>RAW_DATA!A51</f>
        <v>35</v>
      </c>
      <c r="B51" t="str">
        <f>RAW_DATA!B51</f>
        <v>No</v>
      </c>
      <c r="C51" t="str">
        <f>RAW_DATA!C51</f>
        <v>Research &amp; Development</v>
      </c>
      <c r="D51">
        <f>RAW_DATA!D51</f>
        <v>8</v>
      </c>
      <c r="E51">
        <f>RAW_DATA!E51</f>
        <v>1</v>
      </c>
      <c r="F51" t="str">
        <f>RAW_DATA!F51</f>
        <v>Life Sciences</v>
      </c>
      <c r="G51">
        <f>RAW_DATA!G51</f>
        <v>4</v>
      </c>
      <c r="H51">
        <f>RAW_DATA!H51</f>
        <v>4</v>
      </c>
      <c r="I51" t="str">
        <f>RAW_DATA!I51</f>
        <v>Married</v>
      </c>
      <c r="J51">
        <f>RAW_DATA!J51</f>
        <v>2269</v>
      </c>
      <c r="K51">
        <f>RAW_DATA!K51</f>
        <v>1</v>
      </c>
      <c r="L51">
        <f>RAW_DATA!L51</f>
        <v>3</v>
      </c>
      <c r="M51">
        <f>RAW_DATA!M51</f>
        <v>1</v>
      </c>
      <c r="N51">
        <f t="shared" si="0"/>
        <v>0</v>
      </c>
      <c r="O51" t="str" cm="1">
        <f t="array" ref="O51" xml:space="preserve"> _xlfn.IFS(A51 &lt;ASSUMPTIONS!$D$2,"25",A51 &lt;= ASSUMPTIONS!$D$3,"25-34",A51 &lt;= ASSUMPTIONS!$D$4, "35-44",A51 &lt;= ASSUMPTIONS!$D$5,"45-54",TRUE,"55+")</f>
        <v>35-44</v>
      </c>
      <c r="P51" t="str" cm="1">
        <f t="array" ref="P51">_xlfn.IFS( J51 &lt;ASSUMPTIONS!$D$7,"LOW",J51 &lt;= ASSUMPTIONS!$D$8,"MEDIUM",TRUE, "HIGH")</f>
        <v>LOW</v>
      </c>
      <c r="Q51" t="str">
        <f>IF(M51&lt;ASSUMPTIONS!$D$10,"New (0-2)",IF(M51&lt;=ASSUMPTIONS!$D$11,"Early (2-5)",IF(M51&lt;=ASSUMPTIONS!$D$12,"Established (5-10)","Veteran (10+)")))</f>
        <v>New (0-2)</v>
      </c>
      <c r="R51" s="4">
        <f t="shared" si="1"/>
        <v>3.6666666666666665</v>
      </c>
    </row>
    <row r="52" spans="1:18">
      <c r="A52">
        <f>RAW_DATA!A52</f>
        <v>48</v>
      </c>
      <c r="B52" t="str">
        <f>RAW_DATA!B52</f>
        <v>Yes</v>
      </c>
      <c r="C52" t="str">
        <f>RAW_DATA!C52</f>
        <v>Research &amp; Development</v>
      </c>
      <c r="D52">
        <f>RAW_DATA!D52</f>
        <v>1</v>
      </c>
      <c r="E52">
        <f>RAW_DATA!E52</f>
        <v>2</v>
      </c>
      <c r="F52" t="str">
        <f>RAW_DATA!F52</f>
        <v>Life Sciences</v>
      </c>
      <c r="G52">
        <f>RAW_DATA!G52</f>
        <v>1</v>
      </c>
      <c r="H52">
        <f>RAW_DATA!H52</f>
        <v>3</v>
      </c>
      <c r="I52" t="str">
        <f>RAW_DATA!I52</f>
        <v>Single</v>
      </c>
      <c r="J52">
        <f>RAW_DATA!J52</f>
        <v>5381</v>
      </c>
      <c r="K52">
        <f>RAW_DATA!K52</f>
        <v>9</v>
      </c>
      <c r="L52">
        <f>RAW_DATA!L52</f>
        <v>3</v>
      </c>
      <c r="M52">
        <f>RAW_DATA!M52</f>
        <v>1</v>
      </c>
      <c r="N52">
        <f t="shared" si="0"/>
        <v>1</v>
      </c>
      <c r="O52" t="str" cm="1">
        <f t="array" ref="O52" xml:space="preserve"> _xlfn.IFS(A52 &lt;ASSUMPTIONS!$D$2,"25",A52 &lt;= ASSUMPTIONS!$D$3,"25-34",A52 &lt;= ASSUMPTIONS!$D$4, "35-44",A52 &lt;= ASSUMPTIONS!$D$5,"45-54",TRUE,"55+")</f>
        <v>45-54</v>
      </c>
      <c r="P52" t="str" cm="1">
        <f t="array" ref="P52">_xlfn.IFS( J52 &lt;ASSUMPTIONS!$D$7,"LOW",J52 &lt;= ASSUMPTIONS!$D$8,"MEDIUM",TRUE, "HIGH")</f>
        <v>MEDIUM</v>
      </c>
      <c r="Q52" t="str">
        <f>IF(M52&lt;ASSUMPTIONS!$D$10,"New (0-2)",IF(M52&lt;=ASSUMPTIONS!$D$11,"Early (2-5)",IF(M52&lt;=ASSUMPTIONS!$D$12,"Established (5-10)","Veteran (10+)")))</f>
        <v>New (0-2)</v>
      </c>
      <c r="R52" s="4">
        <f t="shared" si="1"/>
        <v>2.3333333333333335</v>
      </c>
    </row>
    <row r="53" spans="1:18">
      <c r="A53">
        <f>RAW_DATA!A53</f>
        <v>28</v>
      </c>
      <c r="B53" t="str">
        <f>RAW_DATA!B53</f>
        <v>Yes</v>
      </c>
      <c r="C53" t="str">
        <f>RAW_DATA!C53</f>
        <v>Research &amp; Development</v>
      </c>
      <c r="D53">
        <f>RAW_DATA!D53</f>
        <v>5</v>
      </c>
      <c r="E53">
        <f>RAW_DATA!E53</f>
        <v>4</v>
      </c>
      <c r="F53" t="str">
        <f>RAW_DATA!F53</f>
        <v>Technical Degree</v>
      </c>
      <c r="G53">
        <f>RAW_DATA!G53</f>
        <v>3</v>
      </c>
      <c r="H53">
        <f>RAW_DATA!H53</f>
        <v>3</v>
      </c>
      <c r="I53" t="str">
        <f>RAW_DATA!I53</f>
        <v>Single</v>
      </c>
      <c r="J53">
        <f>RAW_DATA!J53</f>
        <v>3441</v>
      </c>
      <c r="K53">
        <f>RAW_DATA!K53</f>
        <v>1</v>
      </c>
      <c r="L53">
        <f>RAW_DATA!L53</f>
        <v>2</v>
      </c>
      <c r="M53">
        <f>RAW_DATA!M53</f>
        <v>2</v>
      </c>
      <c r="N53">
        <f t="shared" si="0"/>
        <v>1</v>
      </c>
      <c r="O53" t="str" cm="1">
        <f t="array" ref="O53" xml:space="preserve"> _xlfn.IFS(A53 &lt;ASSUMPTIONS!$D$2,"25",A53 &lt;= ASSUMPTIONS!$D$3,"25-34",A53 &lt;= ASSUMPTIONS!$D$4, "35-44",A53 &lt;= ASSUMPTIONS!$D$5,"45-54",TRUE,"55+")</f>
        <v>25-34</v>
      </c>
      <c r="P53" t="str" cm="1">
        <f t="array" ref="P53">_xlfn.IFS( J53 &lt;ASSUMPTIONS!$D$7,"LOW",J53 &lt;= ASSUMPTIONS!$D$8,"MEDIUM",TRUE, "HIGH")</f>
        <v>MEDIUM</v>
      </c>
      <c r="Q53" t="str">
        <f>IF(M53&lt;ASSUMPTIONS!$D$10,"New (0-2)",IF(M53&lt;=ASSUMPTIONS!$D$11,"Early (2-5)",IF(M53&lt;=ASSUMPTIONS!$D$12,"Established (5-10)","Veteran (10+)")))</f>
        <v>Early (2-5)</v>
      </c>
      <c r="R53" s="4">
        <f t="shared" si="1"/>
        <v>2.6666666666666665</v>
      </c>
    </row>
    <row r="54" spans="1:18">
      <c r="A54">
        <f>RAW_DATA!A54</f>
        <v>44</v>
      </c>
      <c r="B54" t="str">
        <f>RAW_DATA!B54</f>
        <v>No</v>
      </c>
      <c r="C54" t="str">
        <f>RAW_DATA!C54</f>
        <v>Sales</v>
      </c>
      <c r="D54">
        <f>RAW_DATA!D54</f>
        <v>1</v>
      </c>
      <c r="E54">
        <f>RAW_DATA!E54</f>
        <v>5</v>
      </c>
      <c r="F54" t="str">
        <f>RAW_DATA!F54</f>
        <v>Marketing</v>
      </c>
      <c r="G54">
        <f>RAW_DATA!G54</f>
        <v>2</v>
      </c>
      <c r="H54">
        <f>RAW_DATA!H54</f>
        <v>1</v>
      </c>
      <c r="I54" t="str">
        <f>RAW_DATA!I54</f>
        <v>Divorced</v>
      </c>
      <c r="J54">
        <f>RAW_DATA!J54</f>
        <v>5454</v>
      </c>
      <c r="K54">
        <f>RAW_DATA!K54</f>
        <v>5</v>
      </c>
      <c r="L54">
        <f>RAW_DATA!L54</f>
        <v>2</v>
      </c>
      <c r="M54">
        <f>RAW_DATA!M54</f>
        <v>4</v>
      </c>
      <c r="N54">
        <f t="shared" si="0"/>
        <v>0</v>
      </c>
      <c r="O54" t="str" cm="1">
        <f t="array" ref="O54" xml:space="preserve"> _xlfn.IFS(A54 &lt;ASSUMPTIONS!$D$2,"25",A54 &lt;= ASSUMPTIONS!$D$3,"25-34",A54 &lt;= ASSUMPTIONS!$D$4, "35-44",A54 &lt;= ASSUMPTIONS!$D$5,"45-54",TRUE,"55+")</f>
        <v>35-44</v>
      </c>
      <c r="P54" t="str" cm="1">
        <f t="array" ref="P54">_xlfn.IFS( J54 &lt;ASSUMPTIONS!$D$7,"LOW",J54 &lt;= ASSUMPTIONS!$D$8,"MEDIUM",TRUE, "HIGH")</f>
        <v>MEDIUM</v>
      </c>
      <c r="Q54" t="str">
        <f>IF(M54&lt;ASSUMPTIONS!$D$10,"New (0-2)",IF(M54&lt;=ASSUMPTIONS!$D$11,"Early (2-5)",IF(M54&lt;=ASSUMPTIONS!$D$12,"Established (5-10)","Veteran (10+)")))</f>
        <v>Early (2-5)</v>
      </c>
      <c r="R54" s="4">
        <f t="shared" si="1"/>
        <v>1.6666666666666667</v>
      </c>
    </row>
    <row r="55" spans="1:18">
      <c r="A55">
        <f>RAW_DATA!A55</f>
        <v>35</v>
      </c>
      <c r="B55" t="str">
        <f>RAW_DATA!B55</f>
        <v>No</v>
      </c>
      <c r="C55" t="str">
        <f>RAW_DATA!C55</f>
        <v>Research &amp; Development</v>
      </c>
      <c r="D55">
        <f>RAW_DATA!D55</f>
        <v>11</v>
      </c>
      <c r="E55">
        <f>RAW_DATA!E55</f>
        <v>2</v>
      </c>
      <c r="F55" t="str">
        <f>RAW_DATA!F55</f>
        <v>Medical</v>
      </c>
      <c r="G55">
        <f>RAW_DATA!G55</f>
        <v>3</v>
      </c>
      <c r="H55">
        <f>RAW_DATA!H55</f>
        <v>1</v>
      </c>
      <c r="I55" t="str">
        <f>RAW_DATA!I55</f>
        <v>Married</v>
      </c>
      <c r="J55">
        <f>RAW_DATA!J55</f>
        <v>9884</v>
      </c>
      <c r="K55">
        <f>RAW_DATA!K55</f>
        <v>2</v>
      </c>
      <c r="L55">
        <f>RAW_DATA!L55</f>
        <v>3</v>
      </c>
      <c r="M55">
        <f>RAW_DATA!M55</f>
        <v>4</v>
      </c>
      <c r="N55">
        <f t="shared" si="0"/>
        <v>0</v>
      </c>
      <c r="O55" t="str" cm="1">
        <f t="array" ref="O55" xml:space="preserve"> _xlfn.IFS(A55 &lt;ASSUMPTIONS!$D$2,"25",A55 &lt;= ASSUMPTIONS!$D$3,"25-34",A55 &lt;= ASSUMPTIONS!$D$4, "35-44",A55 &lt;= ASSUMPTIONS!$D$5,"45-54",TRUE,"55+")</f>
        <v>35-44</v>
      </c>
      <c r="P55" t="str" cm="1">
        <f t="array" ref="P55">_xlfn.IFS( J55 &lt;ASSUMPTIONS!$D$7,"LOW",J55 &lt;= ASSUMPTIONS!$D$8,"MEDIUM",TRUE, "HIGH")</f>
        <v>HIGH</v>
      </c>
      <c r="Q55" t="str">
        <f>IF(M55&lt;ASSUMPTIONS!$D$10,"New (0-2)",IF(M55&lt;=ASSUMPTIONS!$D$11,"Early (2-5)",IF(M55&lt;=ASSUMPTIONS!$D$12,"Established (5-10)","Veteran (10+)")))</f>
        <v>Early (2-5)</v>
      </c>
      <c r="R55" s="4">
        <f t="shared" si="1"/>
        <v>2.3333333333333335</v>
      </c>
    </row>
    <row r="56" spans="1:18">
      <c r="A56">
        <f>RAW_DATA!A56</f>
        <v>26</v>
      </c>
      <c r="B56" t="str">
        <f>RAW_DATA!B56</f>
        <v>No</v>
      </c>
      <c r="C56" t="str">
        <f>RAW_DATA!C56</f>
        <v>Sales</v>
      </c>
      <c r="D56">
        <f>RAW_DATA!D56</f>
        <v>23</v>
      </c>
      <c r="E56">
        <f>RAW_DATA!E56</f>
        <v>3</v>
      </c>
      <c r="F56" t="str">
        <f>RAW_DATA!F56</f>
        <v>Marketing</v>
      </c>
      <c r="G56">
        <f>RAW_DATA!G56</f>
        <v>3</v>
      </c>
      <c r="H56">
        <f>RAW_DATA!H56</f>
        <v>4</v>
      </c>
      <c r="I56" t="str">
        <f>RAW_DATA!I56</f>
        <v>Married</v>
      </c>
      <c r="J56">
        <f>RAW_DATA!J56</f>
        <v>4157</v>
      </c>
      <c r="K56">
        <f>RAW_DATA!K56</f>
        <v>7</v>
      </c>
      <c r="L56">
        <f>RAW_DATA!L56</f>
        <v>2</v>
      </c>
      <c r="M56">
        <f>RAW_DATA!M56</f>
        <v>2</v>
      </c>
      <c r="N56">
        <f t="shared" si="0"/>
        <v>0</v>
      </c>
      <c r="O56" t="str" cm="1">
        <f t="array" ref="O56" xml:space="preserve"> _xlfn.IFS(A56 &lt;ASSUMPTIONS!$D$2,"25",A56 &lt;= ASSUMPTIONS!$D$3,"25-34",A56 &lt;= ASSUMPTIONS!$D$4, "35-44",A56 &lt;= ASSUMPTIONS!$D$5,"45-54",TRUE,"55+")</f>
        <v>25-34</v>
      </c>
      <c r="P56" t="str" cm="1">
        <f t="array" ref="P56">_xlfn.IFS( J56 &lt;ASSUMPTIONS!$D$7,"LOW",J56 &lt;= ASSUMPTIONS!$D$8,"MEDIUM",TRUE, "HIGH")</f>
        <v>MEDIUM</v>
      </c>
      <c r="Q56" t="str">
        <f>IF(M56&lt;ASSUMPTIONS!$D$10,"New (0-2)",IF(M56&lt;=ASSUMPTIONS!$D$11,"Early (2-5)",IF(M56&lt;=ASSUMPTIONS!$D$12,"Established (5-10)","Veteran (10+)")))</f>
        <v>Early (2-5)</v>
      </c>
      <c r="R56" s="4">
        <f t="shared" si="1"/>
        <v>3</v>
      </c>
    </row>
    <row r="57" spans="1:18">
      <c r="A57">
        <f>RAW_DATA!A57</f>
        <v>33</v>
      </c>
      <c r="B57" t="str">
        <f>RAW_DATA!B57</f>
        <v>No</v>
      </c>
      <c r="C57" t="str">
        <f>RAW_DATA!C57</f>
        <v>Research &amp; Development</v>
      </c>
      <c r="D57">
        <f>RAW_DATA!D57</f>
        <v>1</v>
      </c>
      <c r="E57">
        <f>RAW_DATA!E57</f>
        <v>2</v>
      </c>
      <c r="F57" t="str">
        <f>RAW_DATA!F57</f>
        <v>Life Sciences</v>
      </c>
      <c r="G57">
        <f>RAW_DATA!G57</f>
        <v>1</v>
      </c>
      <c r="H57">
        <f>RAW_DATA!H57</f>
        <v>4</v>
      </c>
      <c r="I57" t="str">
        <f>RAW_DATA!I57</f>
        <v>Single</v>
      </c>
      <c r="J57">
        <f>RAW_DATA!J57</f>
        <v>13458</v>
      </c>
      <c r="K57">
        <f>RAW_DATA!K57</f>
        <v>1</v>
      </c>
      <c r="L57">
        <f>RAW_DATA!L57</f>
        <v>3</v>
      </c>
      <c r="M57">
        <f>RAW_DATA!M57</f>
        <v>15</v>
      </c>
      <c r="N57">
        <f t="shared" si="0"/>
        <v>0</v>
      </c>
      <c r="O57" t="str" cm="1">
        <f t="array" ref="O57" xml:space="preserve"> _xlfn.IFS(A57 &lt;ASSUMPTIONS!$D$2,"25",A57 &lt;= ASSUMPTIONS!$D$3,"25-34",A57 &lt;= ASSUMPTIONS!$D$4, "35-44",A57 &lt;= ASSUMPTIONS!$D$5,"45-54",TRUE,"55+")</f>
        <v>25-34</v>
      </c>
      <c r="P57" t="str" cm="1">
        <f t="array" ref="P57">_xlfn.IFS( J57 &lt;ASSUMPTIONS!$D$7,"LOW",J57 &lt;= ASSUMPTIONS!$D$8,"MEDIUM",TRUE, "HIGH")</f>
        <v>HIGH</v>
      </c>
      <c r="Q57" t="str">
        <f>IF(M57&lt;ASSUMPTIONS!$D$10,"New (0-2)",IF(M57&lt;=ASSUMPTIONS!$D$11,"Early (2-5)",IF(M57&lt;=ASSUMPTIONS!$D$12,"Established (5-10)","Veteran (10+)")))</f>
        <v>Veteran (10+)</v>
      </c>
      <c r="R57" s="4">
        <f t="shared" si="1"/>
        <v>2.6666666666666665</v>
      </c>
    </row>
    <row r="58" spans="1:18">
      <c r="A58">
        <f>RAW_DATA!A58</f>
        <v>35</v>
      </c>
      <c r="B58" t="str">
        <f>RAW_DATA!B58</f>
        <v>No</v>
      </c>
      <c r="C58" t="str">
        <f>RAW_DATA!C58</f>
        <v>Sales</v>
      </c>
      <c r="D58">
        <f>RAW_DATA!D58</f>
        <v>18</v>
      </c>
      <c r="E58">
        <f>RAW_DATA!E58</f>
        <v>5</v>
      </c>
      <c r="F58" t="str">
        <f>RAW_DATA!F58</f>
        <v>Life Sciences</v>
      </c>
      <c r="G58">
        <f>RAW_DATA!G58</f>
        <v>2</v>
      </c>
      <c r="H58">
        <f>RAW_DATA!H58</f>
        <v>1</v>
      </c>
      <c r="I58" t="str">
        <f>RAW_DATA!I58</f>
        <v>Married</v>
      </c>
      <c r="J58">
        <f>RAW_DATA!J58</f>
        <v>9069</v>
      </c>
      <c r="K58">
        <f>RAW_DATA!K58</f>
        <v>1</v>
      </c>
      <c r="L58">
        <f>RAW_DATA!L58</f>
        <v>2</v>
      </c>
      <c r="M58">
        <f>RAW_DATA!M58</f>
        <v>9</v>
      </c>
      <c r="N58">
        <f t="shared" si="0"/>
        <v>0</v>
      </c>
      <c r="O58" t="str" cm="1">
        <f t="array" ref="O58" xml:space="preserve"> _xlfn.IFS(A58 &lt;ASSUMPTIONS!$D$2,"25",A58 &lt;= ASSUMPTIONS!$D$3,"25-34",A58 &lt;= ASSUMPTIONS!$D$4, "35-44",A58 &lt;= ASSUMPTIONS!$D$5,"45-54",TRUE,"55+")</f>
        <v>35-44</v>
      </c>
      <c r="P58" t="str" cm="1">
        <f t="array" ref="P58">_xlfn.IFS( J58 &lt;ASSUMPTIONS!$D$7,"LOW",J58 &lt;= ASSUMPTIONS!$D$8,"MEDIUM",TRUE, "HIGH")</f>
        <v>HIGH</v>
      </c>
      <c r="Q58" t="str">
        <f>IF(M58&lt;ASSUMPTIONS!$D$10,"New (0-2)",IF(M58&lt;=ASSUMPTIONS!$D$11,"Early (2-5)",IF(M58&lt;=ASSUMPTIONS!$D$12,"Established (5-10)","Veteran (10+)")))</f>
        <v>Established (5-10)</v>
      </c>
      <c r="R58" s="4">
        <f t="shared" si="1"/>
        <v>1.6666666666666667</v>
      </c>
    </row>
    <row r="59" spans="1:18">
      <c r="A59">
        <f>RAW_DATA!A59</f>
        <v>35</v>
      </c>
      <c r="B59" t="str">
        <f>RAW_DATA!B59</f>
        <v>No</v>
      </c>
      <c r="C59" t="str">
        <f>RAW_DATA!C59</f>
        <v>Research &amp; Development</v>
      </c>
      <c r="D59">
        <f>RAW_DATA!D59</f>
        <v>23</v>
      </c>
      <c r="E59">
        <f>RAW_DATA!E59</f>
        <v>4</v>
      </c>
      <c r="F59" t="str">
        <f>RAW_DATA!F59</f>
        <v>Medical</v>
      </c>
      <c r="G59">
        <f>RAW_DATA!G59</f>
        <v>3</v>
      </c>
      <c r="H59">
        <f>RAW_DATA!H59</f>
        <v>1</v>
      </c>
      <c r="I59" t="str">
        <f>RAW_DATA!I59</f>
        <v>Married</v>
      </c>
      <c r="J59">
        <f>RAW_DATA!J59</f>
        <v>4014</v>
      </c>
      <c r="K59">
        <f>RAW_DATA!K59</f>
        <v>3</v>
      </c>
      <c r="L59">
        <f>RAW_DATA!L59</f>
        <v>3</v>
      </c>
      <c r="M59">
        <f>RAW_DATA!M59</f>
        <v>2</v>
      </c>
      <c r="N59">
        <f t="shared" si="0"/>
        <v>0</v>
      </c>
      <c r="O59" t="str" cm="1">
        <f t="array" ref="O59" xml:space="preserve"> _xlfn.IFS(A59 &lt;ASSUMPTIONS!$D$2,"25",A59 &lt;= ASSUMPTIONS!$D$3,"25-34",A59 &lt;= ASSUMPTIONS!$D$4, "35-44",A59 &lt;= ASSUMPTIONS!$D$5,"45-54",TRUE,"55+")</f>
        <v>35-44</v>
      </c>
      <c r="P59" t="str" cm="1">
        <f t="array" ref="P59">_xlfn.IFS( J59 &lt;ASSUMPTIONS!$D$7,"LOW",J59 &lt;= ASSUMPTIONS!$D$8,"MEDIUM",TRUE, "HIGH")</f>
        <v>MEDIUM</v>
      </c>
      <c r="Q59" t="str">
        <f>IF(M59&lt;ASSUMPTIONS!$D$10,"New (0-2)",IF(M59&lt;=ASSUMPTIONS!$D$11,"Early (2-5)",IF(M59&lt;=ASSUMPTIONS!$D$12,"Established (5-10)","Veteran (10+)")))</f>
        <v>Early (2-5)</v>
      </c>
      <c r="R59" s="4">
        <f t="shared" si="1"/>
        <v>2.3333333333333335</v>
      </c>
    </row>
    <row r="60" spans="1:18">
      <c r="A60">
        <f>RAW_DATA!A60</f>
        <v>31</v>
      </c>
      <c r="B60" t="str">
        <f>RAW_DATA!B60</f>
        <v>No</v>
      </c>
      <c r="C60" t="str">
        <f>RAW_DATA!C60</f>
        <v>Research &amp; Development</v>
      </c>
      <c r="D60">
        <f>RAW_DATA!D60</f>
        <v>7</v>
      </c>
      <c r="E60">
        <f>RAW_DATA!E60</f>
        <v>4</v>
      </c>
      <c r="F60" t="str">
        <f>RAW_DATA!F60</f>
        <v>Life Sciences</v>
      </c>
      <c r="G60">
        <f>RAW_DATA!G60</f>
        <v>4</v>
      </c>
      <c r="H60">
        <f>RAW_DATA!H60</f>
        <v>4</v>
      </c>
      <c r="I60" t="str">
        <f>RAW_DATA!I60</f>
        <v>Divorced</v>
      </c>
      <c r="J60">
        <f>RAW_DATA!J60</f>
        <v>5915</v>
      </c>
      <c r="K60">
        <f>RAW_DATA!K60</f>
        <v>3</v>
      </c>
      <c r="L60">
        <f>RAW_DATA!L60</f>
        <v>2</v>
      </c>
      <c r="M60">
        <f>RAW_DATA!M60</f>
        <v>7</v>
      </c>
      <c r="N60">
        <f t="shared" si="0"/>
        <v>0</v>
      </c>
      <c r="O60" t="str" cm="1">
        <f t="array" ref="O60" xml:space="preserve"> _xlfn.IFS(A60 &lt;ASSUMPTIONS!$D$2,"25",A60 &lt;= ASSUMPTIONS!$D$3,"25-34",A60 &lt;= ASSUMPTIONS!$D$4, "35-44",A60 &lt;= ASSUMPTIONS!$D$5,"45-54",TRUE,"55+")</f>
        <v>25-34</v>
      </c>
      <c r="P60" t="str" cm="1">
        <f t="array" ref="P60">_xlfn.IFS( J60 &lt;ASSUMPTIONS!$D$7,"LOW",J60 &lt;= ASSUMPTIONS!$D$8,"MEDIUM",TRUE, "HIGH")</f>
        <v>MEDIUM</v>
      </c>
      <c r="Q60" t="str">
        <f>IF(M60&lt;ASSUMPTIONS!$D$10,"New (0-2)",IF(M60&lt;=ASSUMPTIONS!$D$11,"Early (2-5)",IF(M60&lt;=ASSUMPTIONS!$D$12,"Established (5-10)","Veteran (10+)")))</f>
        <v>Established (5-10)</v>
      </c>
      <c r="R60" s="4">
        <f t="shared" si="1"/>
        <v>3.3333333333333335</v>
      </c>
    </row>
    <row r="61" spans="1:18">
      <c r="A61">
        <f>RAW_DATA!A61</f>
        <v>37</v>
      </c>
      <c r="B61" t="str">
        <f>RAW_DATA!B61</f>
        <v>No</v>
      </c>
      <c r="C61" t="str">
        <f>RAW_DATA!C61</f>
        <v>Research &amp; Development</v>
      </c>
      <c r="D61">
        <f>RAW_DATA!D61</f>
        <v>1</v>
      </c>
      <c r="E61">
        <f>RAW_DATA!E61</f>
        <v>4</v>
      </c>
      <c r="F61" t="str">
        <f>RAW_DATA!F61</f>
        <v>Life Sciences</v>
      </c>
      <c r="G61">
        <f>RAW_DATA!G61</f>
        <v>1</v>
      </c>
      <c r="H61">
        <f>RAW_DATA!H61</f>
        <v>3</v>
      </c>
      <c r="I61" t="str">
        <f>RAW_DATA!I61</f>
        <v>Divorced</v>
      </c>
      <c r="J61">
        <f>RAW_DATA!J61</f>
        <v>5993</v>
      </c>
      <c r="K61">
        <f>RAW_DATA!K61</f>
        <v>1</v>
      </c>
      <c r="L61">
        <f>RAW_DATA!L61</f>
        <v>4</v>
      </c>
      <c r="M61">
        <f>RAW_DATA!M61</f>
        <v>7</v>
      </c>
      <c r="N61">
        <f t="shared" si="0"/>
        <v>0</v>
      </c>
      <c r="O61" t="str" cm="1">
        <f t="array" ref="O61" xml:space="preserve"> _xlfn.IFS(A61 &lt;ASSUMPTIONS!$D$2,"25",A61 &lt;= ASSUMPTIONS!$D$3,"25-34",A61 &lt;= ASSUMPTIONS!$D$4, "35-44",A61 &lt;= ASSUMPTIONS!$D$5,"45-54",TRUE,"55+")</f>
        <v>35-44</v>
      </c>
      <c r="P61" t="str" cm="1">
        <f t="array" ref="P61">_xlfn.IFS( J61 &lt;ASSUMPTIONS!$D$7,"LOW",J61 &lt;= ASSUMPTIONS!$D$8,"MEDIUM",TRUE, "HIGH")</f>
        <v>MEDIUM</v>
      </c>
      <c r="Q61" t="str">
        <f>IF(M61&lt;ASSUMPTIONS!$D$10,"New (0-2)",IF(M61&lt;=ASSUMPTIONS!$D$11,"Early (2-5)",IF(M61&lt;=ASSUMPTIONS!$D$12,"Established (5-10)","Veteran (10+)")))</f>
        <v>Established (5-10)</v>
      </c>
      <c r="R61" s="4">
        <f t="shared" si="1"/>
        <v>2.6666666666666665</v>
      </c>
    </row>
    <row r="62" spans="1:18">
      <c r="A62">
        <f>RAW_DATA!A62</f>
        <v>32</v>
      </c>
      <c r="B62" t="str">
        <f>RAW_DATA!B62</f>
        <v>No</v>
      </c>
      <c r="C62" t="str">
        <f>RAW_DATA!C62</f>
        <v>Research &amp; Development</v>
      </c>
      <c r="D62">
        <f>RAW_DATA!D62</f>
        <v>1</v>
      </c>
      <c r="E62">
        <f>RAW_DATA!E62</f>
        <v>3</v>
      </c>
      <c r="F62" t="str">
        <f>RAW_DATA!F62</f>
        <v>Medical</v>
      </c>
      <c r="G62">
        <f>RAW_DATA!G62</f>
        <v>1</v>
      </c>
      <c r="H62">
        <f>RAW_DATA!H62</f>
        <v>4</v>
      </c>
      <c r="I62" t="str">
        <f>RAW_DATA!I62</f>
        <v>Married</v>
      </c>
      <c r="J62">
        <f>RAW_DATA!J62</f>
        <v>6162</v>
      </c>
      <c r="K62">
        <f>RAW_DATA!K62</f>
        <v>1</v>
      </c>
      <c r="L62">
        <f>RAW_DATA!L62</f>
        <v>3</v>
      </c>
      <c r="M62">
        <f>RAW_DATA!M62</f>
        <v>9</v>
      </c>
      <c r="N62">
        <f t="shared" si="0"/>
        <v>0</v>
      </c>
      <c r="O62" t="str" cm="1">
        <f t="array" ref="O62" xml:space="preserve"> _xlfn.IFS(A62 &lt;ASSUMPTIONS!$D$2,"25",A62 &lt;= ASSUMPTIONS!$D$3,"25-34",A62 &lt;= ASSUMPTIONS!$D$4, "35-44",A62 &lt;= ASSUMPTIONS!$D$5,"45-54",TRUE,"55+")</f>
        <v>25-34</v>
      </c>
      <c r="P62" t="str" cm="1">
        <f t="array" ref="P62">_xlfn.IFS( J62 &lt;ASSUMPTIONS!$D$7,"LOW",J62 &lt;= ASSUMPTIONS!$D$8,"MEDIUM",TRUE, "HIGH")</f>
        <v>MEDIUM</v>
      </c>
      <c r="Q62" t="str">
        <f>IF(M62&lt;ASSUMPTIONS!$D$10,"New (0-2)",IF(M62&lt;=ASSUMPTIONS!$D$11,"Early (2-5)",IF(M62&lt;=ASSUMPTIONS!$D$12,"Established (5-10)","Veteran (10+)")))</f>
        <v>Established (5-10)</v>
      </c>
      <c r="R62" s="4">
        <f t="shared" si="1"/>
        <v>2.6666666666666665</v>
      </c>
    </row>
    <row r="63" spans="1:18">
      <c r="A63">
        <f>RAW_DATA!A63</f>
        <v>38</v>
      </c>
      <c r="B63" t="str">
        <f>RAW_DATA!B63</f>
        <v>No</v>
      </c>
      <c r="C63" t="str">
        <f>RAW_DATA!C63</f>
        <v>Research &amp; Development</v>
      </c>
      <c r="D63">
        <f>RAW_DATA!D63</f>
        <v>29</v>
      </c>
      <c r="E63">
        <f>RAW_DATA!E63</f>
        <v>5</v>
      </c>
      <c r="F63" t="str">
        <f>RAW_DATA!F63</f>
        <v>Life Sciences</v>
      </c>
      <c r="G63">
        <f>RAW_DATA!G63</f>
        <v>4</v>
      </c>
      <c r="H63">
        <f>RAW_DATA!H63</f>
        <v>4</v>
      </c>
      <c r="I63" t="str">
        <f>RAW_DATA!I63</f>
        <v>Single</v>
      </c>
      <c r="J63">
        <f>RAW_DATA!J63</f>
        <v>2406</v>
      </c>
      <c r="K63">
        <f>RAW_DATA!K63</f>
        <v>1</v>
      </c>
      <c r="L63">
        <f>RAW_DATA!L63</f>
        <v>3</v>
      </c>
      <c r="M63">
        <f>RAW_DATA!M63</f>
        <v>10</v>
      </c>
      <c r="N63">
        <f t="shared" si="0"/>
        <v>0</v>
      </c>
      <c r="O63" t="str" cm="1">
        <f t="array" ref="O63" xml:space="preserve"> _xlfn.IFS(A63 &lt;ASSUMPTIONS!$D$2,"25",A63 &lt;= ASSUMPTIONS!$D$3,"25-34",A63 &lt;= ASSUMPTIONS!$D$4, "35-44",A63 &lt;= ASSUMPTIONS!$D$5,"45-54",TRUE,"55+")</f>
        <v>35-44</v>
      </c>
      <c r="P63" t="str" cm="1">
        <f t="array" ref="P63">_xlfn.IFS( J63 &lt;ASSUMPTIONS!$D$7,"LOW",J63 &lt;= ASSUMPTIONS!$D$8,"MEDIUM",TRUE, "HIGH")</f>
        <v>LOW</v>
      </c>
      <c r="Q63" t="str">
        <f>IF(M63&lt;ASSUMPTIONS!$D$10,"New (0-2)",IF(M63&lt;=ASSUMPTIONS!$D$11,"Early (2-5)",IF(M63&lt;=ASSUMPTIONS!$D$12,"Established (5-10)","Veteran (10+)")))</f>
        <v>Established (5-10)</v>
      </c>
      <c r="R63" s="4">
        <f t="shared" si="1"/>
        <v>3.6666666666666665</v>
      </c>
    </row>
    <row r="64" spans="1:18">
      <c r="A64">
        <f>RAW_DATA!A64</f>
        <v>50</v>
      </c>
      <c r="B64" t="str">
        <f>RAW_DATA!B64</f>
        <v>No</v>
      </c>
      <c r="C64" t="str">
        <f>RAW_DATA!C64</f>
        <v>Research &amp; Development</v>
      </c>
      <c r="D64">
        <f>RAW_DATA!D64</f>
        <v>7</v>
      </c>
      <c r="E64">
        <f>RAW_DATA!E64</f>
        <v>2</v>
      </c>
      <c r="F64" t="str">
        <f>RAW_DATA!F64</f>
        <v>Medical</v>
      </c>
      <c r="G64">
        <f>RAW_DATA!G64</f>
        <v>2</v>
      </c>
      <c r="H64">
        <f>RAW_DATA!H64</f>
        <v>3</v>
      </c>
      <c r="I64" t="str">
        <f>RAW_DATA!I64</f>
        <v>Divorced</v>
      </c>
      <c r="J64">
        <f>RAW_DATA!J64</f>
        <v>18740</v>
      </c>
      <c r="K64">
        <f>RAW_DATA!K64</f>
        <v>5</v>
      </c>
      <c r="L64">
        <f>RAW_DATA!L64</f>
        <v>2</v>
      </c>
      <c r="M64">
        <f>RAW_DATA!M64</f>
        <v>27</v>
      </c>
      <c r="N64">
        <f t="shared" si="0"/>
        <v>0</v>
      </c>
      <c r="O64" t="str" cm="1">
        <f t="array" ref="O64" xml:space="preserve"> _xlfn.IFS(A64 &lt;ASSUMPTIONS!$D$2,"25",A64 &lt;= ASSUMPTIONS!$D$3,"25-34",A64 &lt;= ASSUMPTIONS!$D$4, "35-44",A64 &lt;= ASSUMPTIONS!$D$5,"45-54",TRUE,"55+")</f>
        <v>45-54</v>
      </c>
      <c r="P64" t="str" cm="1">
        <f t="array" ref="P64">_xlfn.IFS( J64 &lt;ASSUMPTIONS!$D$7,"LOW",J64 &lt;= ASSUMPTIONS!$D$8,"MEDIUM",TRUE, "HIGH")</f>
        <v>HIGH</v>
      </c>
      <c r="Q64" t="str">
        <f>IF(M64&lt;ASSUMPTIONS!$D$10,"New (0-2)",IF(M64&lt;=ASSUMPTIONS!$D$11,"Early (2-5)",IF(M64&lt;=ASSUMPTIONS!$D$12,"Established (5-10)","Veteran (10+)")))</f>
        <v>Veteran (10+)</v>
      </c>
      <c r="R64" s="4">
        <f t="shared" si="1"/>
        <v>2.3333333333333335</v>
      </c>
    </row>
    <row r="65" spans="1:18">
      <c r="A65">
        <f>RAW_DATA!A65</f>
        <v>59</v>
      </c>
      <c r="B65" t="str">
        <f>RAW_DATA!B65</f>
        <v>No</v>
      </c>
      <c r="C65" t="str">
        <f>RAW_DATA!C65</f>
        <v>Sales</v>
      </c>
      <c r="D65">
        <f>RAW_DATA!D65</f>
        <v>25</v>
      </c>
      <c r="E65">
        <f>RAW_DATA!E65</f>
        <v>3</v>
      </c>
      <c r="F65" t="str">
        <f>RAW_DATA!F65</f>
        <v>Life Sciences</v>
      </c>
      <c r="G65">
        <f>RAW_DATA!G65</f>
        <v>1</v>
      </c>
      <c r="H65">
        <f>RAW_DATA!H65</f>
        <v>1</v>
      </c>
      <c r="I65" t="str">
        <f>RAW_DATA!I65</f>
        <v>Single</v>
      </c>
      <c r="J65">
        <f>RAW_DATA!J65</f>
        <v>7637</v>
      </c>
      <c r="K65">
        <f>RAW_DATA!K65</f>
        <v>7</v>
      </c>
      <c r="L65">
        <f>RAW_DATA!L65</f>
        <v>2</v>
      </c>
      <c r="M65">
        <f>RAW_DATA!M65</f>
        <v>21</v>
      </c>
      <c r="N65">
        <f t="shared" si="0"/>
        <v>0</v>
      </c>
      <c r="O65" t="str" cm="1">
        <f t="array" ref="O65" xml:space="preserve"> _xlfn.IFS(A65 &lt;ASSUMPTIONS!$D$2,"25",A65 &lt;= ASSUMPTIONS!$D$3,"25-34",A65 &lt;= ASSUMPTIONS!$D$4, "35-44",A65 &lt;= ASSUMPTIONS!$D$5,"45-54",TRUE,"55+")</f>
        <v>55+</v>
      </c>
      <c r="P65" t="str" cm="1">
        <f t="array" ref="P65">_xlfn.IFS( J65 &lt;ASSUMPTIONS!$D$7,"LOW",J65 &lt;= ASSUMPTIONS!$D$8,"MEDIUM",TRUE, "HIGH")</f>
        <v>HIGH</v>
      </c>
      <c r="Q65" t="str">
        <f>IF(M65&lt;ASSUMPTIONS!$D$10,"New (0-2)",IF(M65&lt;=ASSUMPTIONS!$D$11,"Early (2-5)",IF(M65&lt;=ASSUMPTIONS!$D$12,"Established (5-10)","Veteran (10+)")))</f>
        <v>Veteran (10+)</v>
      </c>
      <c r="R65" s="4">
        <f t="shared" si="1"/>
        <v>1.3333333333333333</v>
      </c>
    </row>
    <row r="66" spans="1:18">
      <c r="A66">
        <f>RAW_DATA!A66</f>
        <v>36</v>
      </c>
      <c r="B66" t="str">
        <f>RAW_DATA!B66</f>
        <v>No</v>
      </c>
      <c r="C66" t="str">
        <f>RAW_DATA!C66</f>
        <v>Research &amp; Development</v>
      </c>
      <c r="D66">
        <f>RAW_DATA!D66</f>
        <v>8</v>
      </c>
      <c r="E66">
        <f>RAW_DATA!E66</f>
        <v>3</v>
      </c>
      <c r="F66" t="str">
        <f>RAW_DATA!F66</f>
        <v>Technical Degree</v>
      </c>
      <c r="G66">
        <f>RAW_DATA!G66</f>
        <v>3</v>
      </c>
      <c r="H66">
        <f>RAW_DATA!H66</f>
        <v>3</v>
      </c>
      <c r="I66" t="str">
        <f>RAW_DATA!I66</f>
        <v>Divorced</v>
      </c>
      <c r="J66">
        <f>RAW_DATA!J66</f>
        <v>10096</v>
      </c>
      <c r="K66">
        <f>RAW_DATA!K66</f>
        <v>1</v>
      </c>
      <c r="L66">
        <f>RAW_DATA!L66</f>
        <v>3</v>
      </c>
      <c r="M66">
        <f>RAW_DATA!M66</f>
        <v>17</v>
      </c>
      <c r="N66">
        <f t="shared" si="0"/>
        <v>0</v>
      </c>
      <c r="O66" t="str" cm="1">
        <f t="array" ref="O66" xml:space="preserve"> _xlfn.IFS(A66 &lt;ASSUMPTIONS!$D$2,"25",A66 &lt;= ASSUMPTIONS!$D$3,"25-34",A66 &lt;= ASSUMPTIONS!$D$4, "35-44",A66 &lt;= ASSUMPTIONS!$D$5,"45-54",TRUE,"55+")</f>
        <v>35-44</v>
      </c>
      <c r="P66" t="str" cm="1">
        <f t="array" ref="P66">_xlfn.IFS( J66 &lt;ASSUMPTIONS!$D$7,"LOW",J66 &lt;= ASSUMPTIONS!$D$8,"MEDIUM",TRUE, "HIGH")</f>
        <v>HIGH</v>
      </c>
      <c r="Q66" t="str">
        <f>IF(M66&lt;ASSUMPTIONS!$D$10,"New (0-2)",IF(M66&lt;=ASSUMPTIONS!$D$11,"Early (2-5)",IF(M66&lt;=ASSUMPTIONS!$D$12,"Established (5-10)","Veteran (10+)")))</f>
        <v>Veteran (10+)</v>
      </c>
      <c r="R66" s="4">
        <f t="shared" si="1"/>
        <v>3</v>
      </c>
    </row>
    <row r="67" spans="1:18">
      <c r="A67">
        <f>RAW_DATA!A67</f>
        <v>55</v>
      </c>
      <c r="B67" t="str">
        <f>RAW_DATA!B67</f>
        <v>No</v>
      </c>
      <c r="C67" t="str">
        <f>RAW_DATA!C67</f>
        <v>Research &amp; Development</v>
      </c>
      <c r="D67">
        <f>RAW_DATA!D67</f>
        <v>8</v>
      </c>
      <c r="E67">
        <f>RAW_DATA!E67</f>
        <v>3</v>
      </c>
      <c r="F67" t="str">
        <f>RAW_DATA!F67</f>
        <v>Medical</v>
      </c>
      <c r="G67">
        <f>RAW_DATA!G67</f>
        <v>4</v>
      </c>
      <c r="H67">
        <f>RAW_DATA!H67</f>
        <v>3</v>
      </c>
      <c r="I67" t="str">
        <f>RAW_DATA!I67</f>
        <v>Divorced</v>
      </c>
      <c r="J67">
        <f>RAW_DATA!J67</f>
        <v>14756</v>
      </c>
      <c r="K67">
        <f>RAW_DATA!K67</f>
        <v>2</v>
      </c>
      <c r="L67">
        <f>RAW_DATA!L67</f>
        <v>3</v>
      </c>
      <c r="M67">
        <f>RAW_DATA!M67</f>
        <v>5</v>
      </c>
      <c r="N67">
        <f t="shared" ref="N67:N130" si="2" xml:space="preserve"> IF(B67 ="Yes",1,0)</f>
        <v>0</v>
      </c>
      <c r="O67" t="str" cm="1">
        <f t="array" ref="O67" xml:space="preserve"> _xlfn.IFS(A67 &lt;ASSUMPTIONS!$D$2,"25",A67 &lt;= ASSUMPTIONS!$D$3,"25-34",A67 &lt;= ASSUMPTIONS!$D$4, "35-44",A67 &lt;= ASSUMPTIONS!$D$5,"45-54",TRUE,"55+")</f>
        <v>55+</v>
      </c>
      <c r="P67" t="str" cm="1">
        <f t="array" ref="P67">_xlfn.IFS( J67 &lt;ASSUMPTIONS!$D$7,"LOW",J67 &lt;= ASSUMPTIONS!$D$8,"MEDIUM",TRUE, "HIGH")</f>
        <v>HIGH</v>
      </c>
      <c r="Q67" t="str">
        <f>IF(M67&lt;ASSUMPTIONS!$D$10,"New (0-2)",IF(M67&lt;=ASSUMPTIONS!$D$11,"Early (2-5)",IF(M67&lt;=ASSUMPTIONS!$D$12,"Established (5-10)","Veteran (10+)")))</f>
        <v>Early (2-5)</v>
      </c>
      <c r="R67" s="4">
        <f t="shared" ref="R67:R130" si="3">AVERAGE(G67,H67,L67)</f>
        <v>3.3333333333333335</v>
      </c>
    </row>
    <row r="68" spans="1:18">
      <c r="A68">
        <f>RAW_DATA!A68</f>
        <v>36</v>
      </c>
      <c r="B68" t="str">
        <f>RAW_DATA!B68</f>
        <v>No</v>
      </c>
      <c r="C68" t="str">
        <f>RAW_DATA!C68</f>
        <v>Research &amp; Development</v>
      </c>
      <c r="D68">
        <f>RAW_DATA!D68</f>
        <v>11</v>
      </c>
      <c r="E68">
        <f>RAW_DATA!E68</f>
        <v>3</v>
      </c>
      <c r="F68" t="str">
        <f>RAW_DATA!F68</f>
        <v>Life Sciences</v>
      </c>
      <c r="G68">
        <f>RAW_DATA!G68</f>
        <v>2</v>
      </c>
      <c r="H68">
        <f>RAW_DATA!H68</f>
        <v>2</v>
      </c>
      <c r="I68" t="str">
        <f>RAW_DATA!I68</f>
        <v>Single</v>
      </c>
      <c r="J68">
        <f>RAW_DATA!J68</f>
        <v>6499</v>
      </c>
      <c r="K68">
        <f>RAW_DATA!K68</f>
        <v>1</v>
      </c>
      <c r="L68">
        <f>RAW_DATA!L68</f>
        <v>3</v>
      </c>
      <c r="M68">
        <f>RAW_DATA!M68</f>
        <v>6</v>
      </c>
      <c r="N68">
        <f t="shared" si="2"/>
        <v>0</v>
      </c>
      <c r="O68" t="str" cm="1">
        <f t="array" ref="O68" xml:space="preserve"> _xlfn.IFS(A68 &lt;ASSUMPTIONS!$D$2,"25",A68 &lt;= ASSUMPTIONS!$D$3,"25-34",A68 &lt;= ASSUMPTIONS!$D$4, "35-44",A68 &lt;= ASSUMPTIONS!$D$5,"45-54",TRUE,"55+")</f>
        <v>35-44</v>
      </c>
      <c r="P68" t="str" cm="1">
        <f t="array" ref="P68">_xlfn.IFS( J68 &lt;ASSUMPTIONS!$D$7,"LOW",J68 &lt;= ASSUMPTIONS!$D$8,"MEDIUM",TRUE, "HIGH")</f>
        <v>MEDIUM</v>
      </c>
      <c r="Q68" t="str">
        <f>IF(M68&lt;ASSUMPTIONS!$D$10,"New (0-2)",IF(M68&lt;=ASSUMPTIONS!$D$11,"Early (2-5)",IF(M68&lt;=ASSUMPTIONS!$D$12,"Established (5-10)","Veteran (10+)")))</f>
        <v>Established (5-10)</v>
      </c>
      <c r="R68" s="4">
        <f t="shared" si="3"/>
        <v>2.3333333333333335</v>
      </c>
    </row>
    <row r="69" spans="1:18">
      <c r="A69">
        <f>RAW_DATA!A69</f>
        <v>45</v>
      </c>
      <c r="B69" t="str">
        <f>RAW_DATA!B69</f>
        <v>No</v>
      </c>
      <c r="C69" t="str">
        <f>RAW_DATA!C69</f>
        <v>Research &amp; Development</v>
      </c>
      <c r="D69">
        <f>RAW_DATA!D69</f>
        <v>7</v>
      </c>
      <c r="E69">
        <f>RAW_DATA!E69</f>
        <v>3</v>
      </c>
      <c r="F69" t="str">
        <f>RAW_DATA!F69</f>
        <v>Life Sciences</v>
      </c>
      <c r="G69">
        <f>RAW_DATA!G69</f>
        <v>2</v>
      </c>
      <c r="H69">
        <f>RAW_DATA!H69</f>
        <v>1</v>
      </c>
      <c r="I69" t="str">
        <f>RAW_DATA!I69</f>
        <v>Divorced</v>
      </c>
      <c r="J69">
        <f>RAW_DATA!J69</f>
        <v>9724</v>
      </c>
      <c r="K69">
        <f>RAW_DATA!K69</f>
        <v>2</v>
      </c>
      <c r="L69">
        <f>RAW_DATA!L69</f>
        <v>3</v>
      </c>
      <c r="M69">
        <f>RAW_DATA!M69</f>
        <v>1</v>
      </c>
      <c r="N69">
        <f t="shared" si="2"/>
        <v>0</v>
      </c>
      <c r="O69" t="str" cm="1">
        <f t="array" ref="O69" xml:space="preserve"> _xlfn.IFS(A69 &lt;ASSUMPTIONS!$D$2,"25",A69 &lt;= ASSUMPTIONS!$D$3,"25-34",A69 &lt;= ASSUMPTIONS!$D$4, "35-44",A69 &lt;= ASSUMPTIONS!$D$5,"45-54",TRUE,"55+")</f>
        <v>45-54</v>
      </c>
      <c r="P69" t="str" cm="1">
        <f t="array" ref="P69">_xlfn.IFS( J69 &lt;ASSUMPTIONS!$D$7,"LOW",J69 &lt;= ASSUMPTIONS!$D$8,"MEDIUM",TRUE, "HIGH")</f>
        <v>HIGH</v>
      </c>
      <c r="Q69" t="str">
        <f>IF(M69&lt;ASSUMPTIONS!$D$10,"New (0-2)",IF(M69&lt;=ASSUMPTIONS!$D$11,"Early (2-5)",IF(M69&lt;=ASSUMPTIONS!$D$12,"Established (5-10)","Veteran (10+)")))</f>
        <v>New (0-2)</v>
      </c>
      <c r="R69" s="4">
        <f t="shared" si="3"/>
        <v>2</v>
      </c>
    </row>
    <row r="70" spans="1:18">
      <c r="A70">
        <f>RAW_DATA!A70</f>
        <v>35</v>
      </c>
      <c r="B70" t="str">
        <f>RAW_DATA!B70</f>
        <v>No</v>
      </c>
      <c r="C70" t="str">
        <f>RAW_DATA!C70</f>
        <v>Research &amp; Development</v>
      </c>
      <c r="D70">
        <f>RAW_DATA!D70</f>
        <v>1</v>
      </c>
      <c r="E70">
        <f>RAW_DATA!E70</f>
        <v>3</v>
      </c>
      <c r="F70" t="str">
        <f>RAW_DATA!F70</f>
        <v>Medical</v>
      </c>
      <c r="G70">
        <f>RAW_DATA!G70</f>
        <v>2</v>
      </c>
      <c r="H70">
        <f>RAW_DATA!H70</f>
        <v>1</v>
      </c>
      <c r="I70" t="str">
        <f>RAW_DATA!I70</f>
        <v>Married</v>
      </c>
      <c r="J70">
        <f>RAW_DATA!J70</f>
        <v>2194</v>
      </c>
      <c r="K70">
        <f>RAW_DATA!K70</f>
        <v>4</v>
      </c>
      <c r="L70">
        <f>RAW_DATA!L70</f>
        <v>2</v>
      </c>
      <c r="M70">
        <f>RAW_DATA!M70</f>
        <v>3</v>
      </c>
      <c r="N70">
        <f t="shared" si="2"/>
        <v>0</v>
      </c>
      <c r="O70" t="str" cm="1">
        <f t="array" ref="O70" xml:space="preserve"> _xlfn.IFS(A70 &lt;ASSUMPTIONS!$D$2,"25",A70 &lt;= ASSUMPTIONS!$D$3,"25-34",A70 &lt;= ASSUMPTIONS!$D$4, "35-44",A70 &lt;= ASSUMPTIONS!$D$5,"45-54",TRUE,"55+")</f>
        <v>35-44</v>
      </c>
      <c r="P70" t="str" cm="1">
        <f t="array" ref="P70">_xlfn.IFS( J70 &lt;ASSUMPTIONS!$D$7,"LOW",J70 &lt;= ASSUMPTIONS!$D$8,"MEDIUM",TRUE, "HIGH")</f>
        <v>LOW</v>
      </c>
      <c r="Q70" t="str">
        <f>IF(M70&lt;ASSUMPTIONS!$D$10,"New (0-2)",IF(M70&lt;=ASSUMPTIONS!$D$11,"Early (2-5)",IF(M70&lt;=ASSUMPTIONS!$D$12,"Established (5-10)","Veteran (10+)")))</f>
        <v>Early (2-5)</v>
      </c>
      <c r="R70" s="4">
        <f t="shared" si="3"/>
        <v>1.6666666666666667</v>
      </c>
    </row>
    <row r="71" spans="1:18">
      <c r="A71">
        <f>RAW_DATA!A71</f>
        <v>36</v>
      </c>
      <c r="B71" t="str">
        <f>RAW_DATA!B71</f>
        <v>Yes</v>
      </c>
      <c r="C71" t="str">
        <f>RAW_DATA!C71</f>
        <v>Research &amp; Development</v>
      </c>
      <c r="D71">
        <f>RAW_DATA!D71</f>
        <v>9</v>
      </c>
      <c r="E71">
        <f>RAW_DATA!E71</f>
        <v>3</v>
      </c>
      <c r="F71" t="str">
        <f>RAW_DATA!F71</f>
        <v>Medical</v>
      </c>
      <c r="G71">
        <f>RAW_DATA!G71</f>
        <v>4</v>
      </c>
      <c r="H71">
        <f>RAW_DATA!H71</f>
        <v>3</v>
      </c>
      <c r="I71" t="str">
        <f>RAW_DATA!I71</f>
        <v>Married</v>
      </c>
      <c r="J71">
        <f>RAW_DATA!J71</f>
        <v>3388</v>
      </c>
      <c r="K71">
        <f>RAW_DATA!K71</f>
        <v>0</v>
      </c>
      <c r="L71">
        <f>RAW_DATA!L71</f>
        <v>2</v>
      </c>
      <c r="M71">
        <f>RAW_DATA!M71</f>
        <v>1</v>
      </c>
      <c r="N71">
        <f t="shared" si="2"/>
        <v>1</v>
      </c>
      <c r="O71" t="str" cm="1">
        <f t="array" ref="O71" xml:space="preserve"> _xlfn.IFS(A71 &lt;ASSUMPTIONS!$D$2,"25",A71 &lt;= ASSUMPTIONS!$D$3,"25-34",A71 &lt;= ASSUMPTIONS!$D$4, "35-44",A71 &lt;= ASSUMPTIONS!$D$5,"45-54",TRUE,"55+")</f>
        <v>35-44</v>
      </c>
      <c r="P71" t="str" cm="1">
        <f t="array" ref="P71">_xlfn.IFS( J71 &lt;ASSUMPTIONS!$D$7,"LOW",J71 &lt;= ASSUMPTIONS!$D$8,"MEDIUM",TRUE, "HIGH")</f>
        <v>MEDIUM</v>
      </c>
      <c r="Q71" t="str">
        <f>IF(M71&lt;ASSUMPTIONS!$D$10,"New (0-2)",IF(M71&lt;=ASSUMPTIONS!$D$11,"Early (2-5)",IF(M71&lt;=ASSUMPTIONS!$D$12,"Established (5-10)","Veteran (10+)")))</f>
        <v>New (0-2)</v>
      </c>
      <c r="R71" s="4">
        <f t="shared" si="3"/>
        <v>3</v>
      </c>
    </row>
    <row r="72" spans="1:18">
      <c r="A72">
        <f>RAW_DATA!A72</f>
        <v>59</v>
      </c>
      <c r="B72" t="str">
        <f>RAW_DATA!B72</f>
        <v>No</v>
      </c>
      <c r="C72" t="str">
        <f>RAW_DATA!C72</f>
        <v>Sales</v>
      </c>
      <c r="D72">
        <f>RAW_DATA!D72</f>
        <v>1</v>
      </c>
      <c r="E72">
        <f>RAW_DATA!E72</f>
        <v>1</v>
      </c>
      <c r="F72" t="str">
        <f>RAW_DATA!F72</f>
        <v>Life Sciences</v>
      </c>
      <c r="G72">
        <f>RAW_DATA!G72</f>
        <v>1</v>
      </c>
      <c r="H72">
        <f>RAW_DATA!H72</f>
        <v>3</v>
      </c>
      <c r="I72" t="str">
        <f>RAW_DATA!I72</f>
        <v>Single</v>
      </c>
      <c r="J72">
        <f>RAW_DATA!J72</f>
        <v>5473</v>
      </c>
      <c r="K72">
        <f>RAW_DATA!K72</f>
        <v>7</v>
      </c>
      <c r="L72">
        <f>RAW_DATA!L72</f>
        <v>2</v>
      </c>
      <c r="M72">
        <f>RAW_DATA!M72</f>
        <v>4</v>
      </c>
      <c r="N72">
        <f t="shared" si="2"/>
        <v>0</v>
      </c>
      <c r="O72" t="str" cm="1">
        <f t="array" ref="O72" xml:space="preserve"> _xlfn.IFS(A72 &lt;ASSUMPTIONS!$D$2,"25",A72 &lt;= ASSUMPTIONS!$D$3,"25-34",A72 &lt;= ASSUMPTIONS!$D$4, "35-44",A72 &lt;= ASSUMPTIONS!$D$5,"45-54",TRUE,"55+")</f>
        <v>55+</v>
      </c>
      <c r="P72" t="str" cm="1">
        <f t="array" ref="P72">_xlfn.IFS( J72 &lt;ASSUMPTIONS!$D$7,"LOW",J72 &lt;= ASSUMPTIONS!$D$8,"MEDIUM",TRUE, "HIGH")</f>
        <v>MEDIUM</v>
      </c>
      <c r="Q72" t="str">
        <f>IF(M72&lt;ASSUMPTIONS!$D$10,"New (0-2)",IF(M72&lt;=ASSUMPTIONS!$D$11,"Early (2-5)",IF(M72&lt;=ASSUMPTIONS!$D$12,"Established (5-10)","Veteran (10+)")))</f>
        <v>Early (2-5)</v>
      </c>
      <c r="R72" s="4">
        <f t="shared" si="3"/>
        <v>2</v>
      </c>
    </row>
    <row r="73" spans="1:18">
      <c r="A73">
        <f>RAW_DATA!A73</f>
        <v>29</v>
      </c>
      <c r="B73" t="str">
        <f>RAW_DATA!B73</f>
        <v>No</v>
      </c>
      <c r="C73" t="str">
        <f>RAW_DATA!C73</f>
        <v>Research &amp; Development</v>
      </c>
      <c r="D73">
        <f>RAW_DATA!D73</f>
        <v>2</v>
      </c>
      <c r="E73">
        <f>RAW_DATA!E73</f>
        <v>3</v>
      </c>
      <c r="F73" t="str">
        <f>RAW_DATA!F73</f>
        <v>Life Sciences</v>
      </c>
      <c r="G73">
        <f>RAW_DATA!G73</f>
        <v>3</v>
      </c>
      <c r="H73">
        <f>RAW_DATA!H73</f>
        <v>2</v>
      </c>
      <c r="I73" t="str">
        <f>RAW_DATA!I73</f>
        <v>Married</v>
      </c>
      <c r="J73">
        <f>RAW_DATA!J73</f>
        <v>2703</v>
      </c>
      <c r="K73">
        <f>RAW_DATA!K73</f>
        <v>0</v>
      </c>
      <c r="L73">
        <f>RAW_DATA!L73</f>
        <v>3</v>
      </c>
      <c r="M73">
        <f>RAW_DATA!M73</f>
        <v>5</v>
      </c>
      <c r="N73">
        <f t="shared" si="2"/>
        <v>0</v>
      </c>
      <c r="O73" t="str" cm="1">
        <f t="array" ref="O73" xml:space="preserve"> _xlfn.IFS(A73 &lt;ASSUMPTIONS!$D$2,"25",A73 &lt;= ASSUMPTIONS!$D$3,"25-34",A73 &lt;= ASSUMPTIONS!$D$4, "35-44",A73 &lt;= ASSUMPTIONS!$D$5,"45-54",TRUE,"55+")</f>
        <v>25-34</v>
      </c>
      <c r="P73" t="str" cm="1">
        <f t="array" ref="P73">_xlfn.IFS( J73 &lt;ASSUMPTIONS!$D$7,"LOW",J73 &lt;= ASSUMPTIONS!$D$8,"MEDIUM",TRUE, "HIGH")</f>
        <v>LOW</v>
      </c>
      <c r="Q73" t="str">
        <f>IF(M73&lt;ASSUMPTIONS!$D$10,"New (0-2)",IF(M73&lt;=ASSUMPTIONS!$D$11,"Early (2-5)",IF(M73&lt;=ASSUMPTIONS!$D$12,"Established (5-10)","Veteran (10+)")))</f>
        <v>Early (2-5)</v>
      </c>
      <c r="R73" s="4">
        <f t="shared" si="3"/>
        <v>2.6666666666666665</v>
      </c>
    </row>
    <row r="74" spans="1:18">
      <c r="A74">
        <f>RAW_DATA!A74</f>
        <v>31</v>
      </c>
      <c r="B74" t="str">
        <f>RAW_DATA!B74</f>
        <v>No</v>
      </c>
      <c r="C74" t="str">
        <f>RAW_DATA!C74</f>
        <v>Research &amp; Development</v>
      </c>
      <c r="D74">
        <f>RAW_DATA!D74</f>
        <v>1</v>
      </c>
      <c r="E74">
        <f>RAW_DATA!E74</f>
        <v>4</v>
      </c>
      <c r="F74" t="str">
        <f>RAW_DATA!F74</f>
        <v>Medical</v>
      </c>
      <c r="G74">
        <f>RAW_DATA!G74</f>
        <v>3</v>
      </c>
      <c r="H74">
        <f>RAW_DATA!H74</f>
        <v>2</v>
      </c>
      <c r="I74" t="str">
        <f>RAW_DATA!I74</f>
        <v>Single</v>
      </c>
      <c r="J74">
        <f>RAW_DATA!J74</f>
        <v>2501</v>
      </c>
      <c r="K74">
        <f>RAW_DATA!K74</f>
        <v>1</v>
      </c>
      <c r="L74">
        <f>RAW_DATA!L74</f>
        <v>3</v>
      </c>
      <c r="M74">
        <f>RAW_DATA!M74</f>
        <v>1</v>
      </c>
      <c r="N74">
        <f t="shared" si="2"/>
        <v>0</v>
      </c>
      <c r="O74" t="str" cm="1">
        <f t="array" ref="O74" xml:space="preserve"> _xlfn.IFS(A74 &lt;ASSUMPTIONS!$D$2,"25",A74 &lt;= ASSUMPTIONS!$D$3,"25-34",A74 &lt;= ASSUMPTIONS!$D$4, "35-44",A74 &lt;= ASSUMPTIONS!$D$5,"45-54",TRUE,"55+")</f>
        <v>25-34</v>
      </c>
      <c r="P74" t="str" cm="1">
        <f t="array" ref="P74">_xlfn.IFS( J74 &lt;ASSUMPTIONS!$D$7,"LOW",J74 &lt;= ASSUMPTIONS!$D$8,"MEDIUM",TRUE, "HIGH")</f>
        <v>LOW</v>
      </c>
      <c r="Q74" t="str">
        <f>IF(M74&lt;ASSUMPTIONS!$D$10,"New (0-2)",IF(M74&lt;=ASSUMPTIONS!$D$11,"Early (2-5)",IF(M74&lt;=ASSUMPTIONS!$D$12,"Established (5-10)","Veteran (10+)")))</f>
        <v>New (0-2)</v>
      </c>
      <c r="R74" s="4">
        <f t="shared" si="3"/>
        <v>2.6666666666666665</v>
      </c>
    </row>
    <row r="75" spans="1:18">
      <c r="A75">
        <f>RAW_DATA!A75</f>
        <v>32</v>
      </c>
      <c r="B75" t="str">
        <f>RAW_DATA!B75</f>
        <v>No</v>
      </c>
      <c r="C75" t="str">
        <f>RAW_DATA!C75</f>
        <v>Research &amp; Development</v>
      </c>
      <c r="D75">
        <f>RAW_DATA!D75</f>
        <v>1</v>
      </c>
      <c r="E75">
        <f>RAW_DATA!E75</f>
        <v>3</v>
      </c>
      <c r="F75" t="str">
        <f>RAW_DATA!F75</f>
        <v>Life Sciences</v>
      </c>
      <c r="G75">
        <f>RAW_DATA!G75</f>
        <v>2</v>
      </c>
      <c r="H75">
        <f>RAW_DATA!H75</f>
        <v>2</v>
      </c>
      <c r="I75" t="str">
        <f>RAW_DATA!I75</f>
        <v>Married</v>
      </c>
      <c r="J75">
        <f>RAW_DATA!J75</f>
        <v>6220</v>
      </c>
      <c r="K75">
        <f>RAW_DATA!K75</f>
        <v>1</v>
      </c>
      <c r="L75">
        <f>RAW_DATA!L75</f>
        <v>3</v>
      </c>
      <c r="M75">
        <f>RAW_DATA!M75</f>
        <v>10</v>
      </c>
      <c r="N75">
        <f t="shared" si="2"/>
        <v>0</v>
      </c>
      <c r="O75" t="str" cm="1">
        <f t="array" ref="O75" xml:space="preserve"> _xlfn.IFS(A75 &lt;ASSUMPTIONS!$D$2,"25",A75 &lt;= ASSUMPTIONS!$D$3,"25-34",A75 &lt;= ASSUMPTIONS!$D$4, "35-44",A75 &lt;= ASSUMPTIONS!$D$5,"45-54",TRUE,"55+")</f>
        <v>25-34</v>
      </c>
      <c r="P75" t="str" cm="1">
        <f t="array" ref="P75">_xlfn.IFS( J75 &lt;ASSUMPTIONS!$D$7,"LOW",J75 &lt;= ASSUMPTIONS!$D$8,"MEDIUM",TRUE, "HIGH")</f>
        <v>MEDIUM</v>
      </c>
      <c r="Q75" t="str">
        <f>IF(M75&lt;ASSUMPTIONS!$D$10,"New (0-2)",IF(M75&lt;=ASSUMPTIONS!$D$11,"Early (2-5)",IF(M75&lt;=ASSUMPTIONS!$D$12,"Established (5-10)","Veteran (10+)")))</f>
        <v>Established (5-10)</v>
      </c>
      <c r="R75" s="4">
        <f t="shared" si="3"/>
        <v>2.3333333333333335</v>
      </c>
    </row>
    <row r="76" spans="1:18">
      <c r="A76">
        <f>RAW_DATA!A76</f>
        <v>36</v>
      </c>
      <c r="B76" t="str">
        <f>RAW_DATA!B76</f>
        <v>No</v>
      </c>
      <c r="C76" t="str">
        <f>RAW_DATA!C76</f>
        <v>Research &amp; Development</v>
      </c>
      <c r="D76">
        <f>RAW_DATA!D76</f>
        <v>6</v>
      </c>
      <c r="E76">
        <f>RAW_DATA!E76</f>
        <v>3</v>
      </c>
      <c r="F76" t="str">
        <f>RAW_DATA!F76</f>
        <v>Life Sciences</v>
      </c>
      <c r="G76">
        <f>RAW_DATA!G76</f>
        <v>2</v>
      </c>
      <c r="H76">
        <f>RAW_DATA!H76</f>
        <v>4</v>
      </c>
      <c r="I76" t="str">
        <f>RAW_DATA!I76</f>
        <v>Married</v>
      </c>
      <c r="J76">
        <f>RAW_DATA!J76</f>
        <v>3038</v>
      </c>
      <c r="K76">
        <f>RAW_DATA!K76</f>
        <v>3</v>
      </c>
      <c r="L76">
        <f>RAW_DATA!L76</f>
        <v>3</v>
      </c>
      <c r="M76">
        <f>RAW_DATA!M76</f>
        <v>1</v>
      </c>
      <c r="N76">
        <f t="shared" si="2"/>
        <v>0</v>
      </c>
      <c r="O76" t="str" cm="1">
        <f t="array" ref="O76" xml:space="preserve"> _xlfn.IFS(A76 &lt;ASSUMPTIONS!$D$2,"25",A76 &lt;= ASSUMPTIONS!$D$3,"25-34",A76 &lt;= ASSUMPTIONS!$D$4, "35-44",A76 &lt;= ASSUMPTIONS!$D$5,"45-54",TRUE,"55+")</f>
        <v>35-44</v>
      </c>
      <c r="P76" t="str" cm="1">
        <f t="array" ref="P76">_xlfn.IFS( J76 &lt;ASSUMPTIONS!$D$7,"LOW",J76 &lt;= ASSUMPTIONS!$D$8,"MEDIUM",TRUE, "HIGH")</f>
        <v>MEDIUM</v>
      </c>
      <c r="Q76" t="str">
        <f>IF(M76&lt;ASSUMPTIONS!$D$10,"New (0-2)",IF(M76&lt;=ASSUMPTIONS!$D$11,"Early (2-5)",IF(M76&lt;=ASSUMPTIONS!$D$12,"Established (5-10)","Veteran (10+)")))</f>
        <v>New (0-2)</v>
      </c>
      <c r="R76" s="4">
        <f t="shared" si="3"/>
        <v>3</v>
      </c>
    </row>
    <row r="77" spans="1:18">
      <c r="A77">
        <f>RAW_DATA!A77</f>
        <v>31</v>
      </c>
      <c r="B77" t="str">
        <f>RAW_DATA!B77</f>
        <v>No</v>
      </c>
      <c r="C77" t="str">
        <f>RAW_DATA!C77</f>
        <v>Research &amp; Development</v>
      </c>
      <c r="D77">
        <f>RAW_DATA!D77</f>
        <v>8</v>
      </c>
      <c r="E77">
        <f>RAW_DATA!E77</f>
        <v>4</v>
      </c>
      <c r="F77" t="str">
        <f>RAW_DATA!F77</f>
        <v>Life Sciences</v>
      </c>
      <c r="G77">
        <f>RAW_DATA!G77</f>
        <v>3</v>
      </c>
      <c r="H77">
        <f>RAW_DATA!H77</f>
        <v>4</v>
      </c>
      <c r="I77" t="str">
        <f>RAW_DATA!I77</f>
        <v>Single</v>
      </c>
      <c r="J77">
        <f>RAW_DATA!J77</f>
        <v>4424</v>
      </c>
      <c r="K77">
        <f>RAW_DATA!K77</f>
        <v>1</v>
      </c>
      <c r="L77">
        <f>RAW_DATA!L77</f>
        <v>3</v>
      </c>
      <c r="M77">
        <f>RAW_DATA!M77</f>
        <v>11</v>
      </c>
      <c r="N77">
        <f t="shared" si="2"/>
        <v>0</v>
      </c>
      <c r="O77" t="str" cm="1">
        <f t="array" ref="O77" xml:space="preserve"> _xlfn.IFS(A77 &lt;ASSUMPTIONS!$D$2,"25",A77 &lt;= ASSUMPTIONS!$D$3,"25-34",A77 &lt;= ASSUMPTIONS!$D$4, "35-44",A77 &lt;= ASSUMPTIONS!$D$5,"45-54",TRUE,"55+")</f>
        <v>25-34</v>
      </c>
      <c r="P77" t="str" cm="1">
        <f t="array" ref="P77">_xlfn.IFS( J77 &lt;ASSUMPTIONS!$D$7,"LOW",J77 &lt;= ASSUMPTIONS!$D$8,"MEDIUM",TRUE, "HIGH")</f>
        <v>MEDIUM</v>
      </c>
      <c r="Q77" t="str">
        <f>IF(M77&lt;ASSUMPTIONS!$D$10,"New (0-2)",IF(M77&lt;=ASSUMPTIONS!$D$11,"Early (2-5)",IF(M77&lt;=ASSUMPTIONS!$D$12,"Established (5-10)","Veteran (10+)")))</f>
        <v>Veteran (10+)</v>
      </c>
      <c r="R77" s="4">
        <f t="shared" si="3"/>
        <v>3.3333333333333335</v>
      </c>
    </row>
    <row r="78" spans="1:18">
      <c r="A78">
        <f>RAW_DATA!A78</f>
        <v>35</v>
      </c>
      <c r="B78" t="str">
        <f>RAW_DATA!B78</f>
        <v>No</v>
      </c>
      <c r="C78" t="str">
        <f>RAW_DATA!C78</f>
        <v>Sales</v>
      </c>
      <c r="D78">
        <f>RAW_DATA!D78</f>
        <v>1</v>
      </c>
      <c r="E78">
        <f>RAW_DATA!E78</f>
        <v>4</v>
      </c>
      <c r="F78" t="str">
        <f>RAW_DATA!F78</f>
        <v>Marketing</v>
      </c>
      <c r="G78">
        <f>RAW_DATA!G78</f>
        <v>3</v>
      </c>
      <c r="H78">
        <f>RAW_DATA!H78</f>
        <v>1</v>
      </c>
      <c r="I78" t="str">
        <f>RAW_DATA!I78</f>
        <v>Single</v>
      </c>
      <c r="J78">
        <f>RAW_DATA!J78</f>
        <v>4312</v>
      </c>
      <c r="K78">
        <f>RAW_DATA!K78</f>
        <v>0</v>
      </c>
      <c r="L78">
        <f>RAW_DATA!L78</f>
        <v>3</v>
      </c>
      <c r="M78">
        <f>RAW_DATA!M78</f>
        <v>15</v>
      </c>
      <c r="N78">
        <f t="shared" si="2"/>
        <v>0</v>
      </c>
      <c r="O78" t="str" cm="1">
        <f t="array" ref="O78" xml:space="preserve"> _xlfn.IFS(A78 &lt;ASSUMPTIONS!$D$2,"25",A78 &lt;= ASSUMPTIONS!$D$3,"25-34",A78 &lt;= ASSUMPTIONS!$D$4, "35-44",A78 &lt;= ASSUMPTIONS!$D$5,"45-54",TRUE,"55+")</f>
        <v>35-44</v>
      </c>
      <c r="P78" t="str" cm="1">
        <f t="array" ref="P78">_xlfn.IFS( J78 &lt;ASSUMPTIONS!$D$7,"LOW",J78 &lt;= ASSUMPTIONS!$D$8,"MEDIUM",TRUE, "HIGH")</f>
        <v>MEDIUM</v>
      </c>
      <c r="Q78" t="str">
        <f>IF(M78&lt;ASSUMPTIONS!$D$10,"New (0-2)",IF(M78&lt;=ASSUMPTIONS!$D$11,"Early (2-5)",IF(M78&lt;=ASSUMPTIONS!$D$12,"Established (5-10)","Veteran (10+)")))</f>
        <v>Veteran (10+)</v>
      </c>
      <c r="R78" s="4">
        <f t="shared" si="3"/>
        <v>2.3333333333333335</v>
      </c>
    </row>
    <row r="79" spans="1:18">
      <c r="A79">
        <f>RAW_DATA!A79</f>
        <v>45</v>
      </c>
      <c r="B79" t="str">
        <f>RAW_DATA!B79</f>
        <v>No</v>
      </c>
      <c r="C79" t="str">
        <f>RAW_DATA!C79</f>
        <v>Research &amp; Development</v>
      </c>
      <c r="D79">
        <f>RAW_DATA!D79</f>
        <v>6</v>
      </c>
      <c r="E79">
        <f>RAW_DATA!E79</f>
        <v>4</v>
      </c>
      <c r="F79" t="str">
        <f>RAW_DATA!F79</f>
        <v>Other</v>
      </c>
      <c r="G79">
        <f>RAW_DATA!G79</f>
        <v>4</v>
      </c>
      <c r="H79">
        <f>RAW_DATA!H79</f>
        <v>1</v>
      </c>
      <c r="I79" t="str">
        <f>RAW_DATA!I79</f>
        <v>Married</v>
      </c>
      <c r="J79">
        <f>RAW_DATA!J79</f>
        <v>13245</v>
      </c>
      <c r="K79">
        <f>RAW_DATA!K79</f>
        <v>4</v>
      </c>
      <c r="L79">
        <f>RAW_DATA!L79</f>
        <v>4</v>
      </c>
      <c r="M79">
        <f>RAW_DATA!M79</f>
        <v>0</v>
      </c>
      <c r="N79">
        <f t="shared" si="2"/>
        <v>0</v>
      </c>
      <c r="O79" t="str" cm="1">
        <f t="array" ref="O79" xml:space="preserve"> _xlfn.IFS(A79 &lt;ASSUMPTIONS!$D$2,"25",A79 &lt;= ASSUMPTIONS!$D$3,"25-34",A79 &lt;= ASSUMPTIONS!$D$4, "35-44",A79 &lt;= ASSUMPTIONS!$D$5,"45-54",TRUE,"55+")</f>
        <v>45-54</v>
      </c>
      <c r="P79" t="str" cm="1">
        <f t="array" ref="P79">_xlfn.IFS( J79 &lt;ASSUMPTIONS!$D$7,"LOW",J79 &lt;= ASSUMPTIONS!$D$8,"MEDIUM",TRUE, "HIGH")</f>
        <v>HIGH</v>
      </c>
      <c r="Q79" t="str">
        <f>IF(M79&lt;ASSUMPTIONS!$D$10,"New (0-2)",IF(M79&lt;=ASSUMPTIONS!$D$11,"Early (2-5)",IF(M79&lt;=ASSUMPTIONS!$D$12,"Established (5-10)","Veteran (10+)")))</f>
        <v>New (0-2)</v>
      </c>
      <c r="R79" s="4">
        <f t="shared" si="3"/>
        <v>3</v>
      </c>
    </row>
    <row r="80" spans="1:18">
      <c r="A80">
        <f>RAW_DATA!A80</f>
        <v>37</v>
      </c>
      <c r="B80" t="str">
        <f>RAW_DATA!B80</f>
        <v>No</v>
      </c>
      <c r="C80" t="str">
        <f>RAW_DATA!C80</f>
        <v>Research &amp; Development</v>
      </c>
      <c r="D80">
        <f>RAW_DATA!D80</f>
        <v>7</v>
      </c>
      <c r="E80">
        <f>RAW_DATA!E80</f>
        <v>4</v>
      </c>
      <c r="F80" t="str">
        <f>RAW_DATA!F80</f>
        <v>Medical</v>
      </c>
      <c r="G80">
        <f>RAW_DATA!G80</f>
        <v>1</v>
      </c>
      <c r="H80">
        <f>RAW_DATA!H80</f>
        <v>3</v>
      </c>
      <c r="I80" t="str">
        <f>RAW_DATA!I80</f>
        <v>Single</v>
      </c>
      <c r="J80">
        <f>RAW_DATA!J80</f>
        <v>13664</v>
      </c>
      <c r="K80">
        <f>RAW_DATA!K80</f>
        <v>4</v>
      </c>
      <c r="L80">
        <f>RAW_DATA!L80</f>
        <v>4</v>
      </c>
      <c r="M80">
        <f>RAW_DATA!M80</f>
        <v>5</v>
      </c>
      <c r="N80">
        <f t="shared" si="2"/>
        <v>0</v>
      </c>
      <c r="O80" t="str" cm="1">
        <f t="array" ref="O80" xml:space="preserve"> _xlfn.IFS(A80 &lt;ASSUMPTIONS!$D$2,"25",A80 &lt;= ASSUMPTIONS!$D$3,"25-34",A80 &lt;= ASSUMPTIONS!$D$4, "35-44",A80 &lt;= ASSUMPTIONS!$D$5,"45-54",TRUE,"55+")</f>
        <v>35-44</v>
      </c>
      <c r="P80" t="str" cm="1">
        <f t="array" ref="P80">_xlfn.IFS( J80 &lt;ASSUMPTIONS!$D$7,"LOW",J80 &lt;= ASSUMPTIONS!$D$8,"MEDIUM",TRUE, "HIGH")</f>
        <v>HIGH</v>
      </c>
      <c r="Q80" t="str">
        <f>IF(M80&lt;ASSUMPTIONS!$D$10,"New (0-2)",IF(M80&lt;=ASSUMPTIONS!$D$11,"Early (2-5)",IF(M80&lt;=ASSUMPTIONS!$D$12,"Established (5-10)","Veteran (10+)")))</f>
        <v>Early (2-5)</v>
      </c>
      <c r="R80" s="4">
        <f t="shared" si="3"/>
        <v>2.6666666666666665</v>
      </c>
    </row>
    <row r="81" spans="1:18">
      <c r="A81">
        <f>RAW_DATA!A81</f>
        <v>46</v>
      </c>
      <c r="B81" t="str">
        <f>RAW_DATA!B81</f>
        <v>No</v>
      </c>
      <c r="C81" t="str">
        <f>RAW_DATA!C81</f>
        <v>Human Resources</v>
      </c>
      <c r="D81">
        <f>RAW_DATA!D81</f>
        <v>5</v>
      </c>
      <c r="E81">
        <f>RAW_DATA!E81</f>
        <v>2</v>
      </c>
      <c r="F81" t="str">
        <f>RAW_DATA!F81</f>
        <v>Medical</v>
      </c>
      <c r="G81">
        <f>RAW_DATA!G81</f>
        <v>2</v>
      </c>
      <c r="H81">
        <f>RAW_DATA!H81</f>
        <v>2</v>
      </c>
      <c r="I81" t="str">
        <f>RAW_DATA!I81</f>
        <v>Divorced</v>
      </c>
      <c r="J81">
        <f>RAW_DATA!J81</f>
        <v>5021</v>
      </c>
      <c r="K81">
        <f>RAW_DATA!K81</f>
        <v>8</v>
      </c>
      <c r="L81">
        <f>RAW_DATA!L81</f>
        <v>3</v>
      </c>
      <c r="M81">
        <f>RAW_DATA!M81</f>
        <v>4</v>
      </c>
      <c r="N81">
        <f t="shared" si="2"/>
        <v>0</v>
      </c>
      <c r="O81" t="str" cm="1">
        <f t="array" ref="O81" xml:space="preserve"> _xlfn.IFS(A81 &lt;ASSUMPTIONS!$D$2,"25",A81 &lt;= ASSUMPTIONS!$D$3,"25-34",A81 &lt;= ASSUMPTIONS!$D$4, "35-44",A81 &lt;= ASSUMPTIONS!$D$5,"45-54",TRUE,"55+")</f>
        <v>45-54</v>
      </c>
      <c r="P81" t="str" cm="1">
        <f t="array" ref="P81">_xlfn.IFS( J81 &lt;ASSUMPTIONS!$D$7,"LOW",J81 &lt;= ASSUMPTIONS!$D$8,"MEDIUM",TRUE, "HIGH")</f>
        <v>MEDIUM</v>
      </c>
      <c r="Q81" t="str">
        <f>IF(M81&lt;ASSUMPTIONS!$D$10,"New (0-2)",IF(M81&lt;=ASSUMPTIONS!$D$11,"Early (2-5)",IF(M81&lt;=ASSUMPTIONS!$D$12,"Established (5-10)","Veteran (10+)")))</f>
        <v>Early (2-5)</v>
      </c>
      <c r="R81" s="4">
        <f t="shared" si="3"/>
        <v>2.3333333333333335</v>
      </c>
    </row>
    <row r="82" spans="1:18">
      <c r="A82">
        <f>RAW_DATA!A82</f>
        <v>30</v>
      </c>
      <c r="B82" t="str">
        <f>RAW_DATA!B82</f>
        <v>No</v>
      </c>
      <c r="C82" t="str">
        <f>RAW_DATA!C82</f>
        <v>Research &amp; Development</v>
      </c>
      <c r="D82">
        <f>RAW_DATA!D82</f>
        <v>1</v>
      </c>
      <c r="E82">
        <f>RAW_DATA!E82</f>
        <v>1</v>
      </c>
      <c r="F82" t="str">
        <f>RAW_DATA!F82</f>
        <v>Life Sciences</v>
      </c>
      <c r="G82">
        <f>RAW_DATA!G82</f>
        <v>4</v>
      </c>
      <c r="H82">
        <f>RAW_DATA!H82</f>
        <v>4</v>
      </c>
      <c r="I82" t="str">
        <f>RAW_DATA!I82</f>
        <v>Married</v>
      </c>
      <c r="J82">
        <f>RAW_DATA!J82</f>
        <v>5126</v>
      </c>
      <c r="K82">
        <f>RAW_DATA!K82</f>
        <v>1</v>
      </c>
      <c r="L82">
        <f>RAW_DATA!L82</f>
        <v>2</v>
      </c>
      <c r="M82">
        <f>RAW_DATA!M82</f>
        <v>10</v>
      </c>
      <c r="N82">
        <f t="shared" si="2"/>
        <v>0</v>
      </c>
      <c r="O82" t="str" cm="1">
        <f t="array" ref="O82" xml:space="preserve"> _xlfn.IFS(A82 &lt;ASSUMPTIONS!$D$2,"25",A82 &lt;= ASSUMPTIONS!$D$3,"25-34",A82 &lt;= ASSUMPTIONS!$D$4, "35-44",A82 &lt;= ASSUMPTIONS!$D$5,"45-54",TRUE,"55+")</f>
        <v>25-34</v>
      </c>
      <c r="P82" t="str" cm="1">
        <f t="array" ref="P82">_xlfn.IFS( J82 &lt;ASSUMPTIONS!$D$7,"LOW",J82 &lt;= ASSUMPTIONS!$D$8,"MEDIUM",TRUE, "HIGH")</f>
        <v>MEDIUM</v>
      </c>
      <c r="Q82" t="str">
        <f>IF(M82&lt;ASSUMPTIONS!$D$10,"New (0-2)",IF(M82&lt;=ASSUMPTIONS!$D$11,"Early (2-5)",IF(M82&lt;=ASSUMPTIONS!$D$12,"Established (5-10)","Veteran (10+)")))</f>
        <v>Established (5-10)</v>
      </c>
      <c r="R82" s="4">
        <f t="shared" si="3"/>
        <v>3.3333333333333335</v>
      </c>
    </row>
    <row r="83" spans="1:18">
      <c r="A83">
        <f>RAW_DATA!A83</f>
        <v>35</v>
      </c>
      <c r="B83" t="str">
        <f>RAW_DATA!B83</f>
        <v>No</v>
      </c>
      <c r="C83" t="str">
        <f>RAW_DATA!C83</f>
        <v>Research &amp; Development</v>
      </c>
      <c r="D83">
        <f>RAW_DATA!D83</f>
        <v>1</v>
      </c>
      <c r="E83">
        <f>RAW_DATA!E83</f>
        <v>3</v>
      </c>
      <c r="F83" t="str">
        <f>RAW_DATA!F83</f>
        <v>Medical</v>
      </c>
      <c r="G83">
        <f>RAW_DATA!G83</f>
        <v>2</v>
      </c>
      <c r="H83">
        <f>RAW_DATA!H83</f>
        <v>3</v>
      </c>
      <c r="I83" t="str">
        <f>RAW_DATA!I83</f>
        <v>Single</v>
      </c>
      <c r="J83">
        <f>RAW_DATA!J83</f>
        <v>2859</v>
      </c>
      <c r="K83">
        <f>RAW_DATA!K83</f>
        <v>1</v>
      </c>
      <c r="L83">
        <f>RAW_DATA!L83</f>
        <v>3</v>
      </c>
      <c r="M83">
        <f>RAW_DATA!M83</f>
        <v>6</v>
      </c>
      <c r="N83">
        <f t="shared" si="2"/>
        <v>0</v>
      </c>
      <c r="O83" t="str" cm="1">
        <f t="array" ref="O83" xml:space="preserve"> _xlfn.IFS(A83 &lt;ASSUMPTIONS!$D$2,"25",A83 &lt;= ASSUMPTIONS!$D$3,"25-34",A83 &lt;= ASSUMPTIONS!$D$4, "35-44",A83 &lt;= ASSUMPTIONS!$D$5,"45-54",TRUE,"55+")</f>
        <v>35-44</v>
      </c>
      <c r="P83" t="str" cm="1">
        <f t="array" ref="P83">_xlfn.IFS( J83 &lt;ASSUMPTIONS!$D$7,"LOW",J83 &lt;= ASSUMPTIONS!$D$8,"MEDIUM",TRUE, "HIGH")</f>
        <v>LOW</v>
      </c>
      <c r="Q83" t="str">
        <f>IF(M83&lt;ASSUMPTIONS!$D$10,"New (0-2)",IF(M83&lt;=ASSUMPTIONS!$D$11,"Early (2-5)",IF(M83&lt;=ASSUMPTIONS!$D$12,"Established (5-10)","Veteran (10+)")))</f>
        <v>Established (5-10)</v>
      </c>
      <c r="R83" s="4">
        <f t="shared" si="3"/>
        <v>2.6666666666666665</v>
      </c>
    </row>
    <row r="84" spans="1:18">
      <c r="A84">
        <f>RAW_DATA!A84</f>
        <v>55</v>
      </c>
      <c r="B84" t="str">
        <f>RAW_DATA!B84</f>
        <v>No</v>
      </c>
      <c r="C84" t="str">
        <f>RAW_DATA!C84</f>
        <v>Sales</v>
      </c>
      <c r="D84">
        <f>RAW_DATA!D84</f>
        <v>1</v>
      </c>
      <c r="E84">
        <f>RAW_DATA!E84</f>
        <v>2</v>
      </c>
      <c r="F84" t="str">
        <f>RAW_DATA!F84</f>
        <v>Life Sciences</v>
      </c>
      <c r="G84">
        <f>RAW_DATA!G84</f>
        <v>1</v>
      </c>
      <c r="H84">
        <f>RAW_DATA!H84</f>
        <v>4</v>
      </c>
      <c r="I84" t="str">
        <f>RAW_DATA!I84</f>
        <v>Married</v>
      </c>
      <c r="J84">
        <f>RAW_DATA!J84</f>
        <v>10239</v>
      </c>
      <c r="K84">
        <f>RAW_DATA!K84</f>
        <v>3</v>
      </c>
      <c r="L84">
        <f>RAW_DATA!L84</f>
        <v>3</v>
      </c>
      <c r="M84">
        <f>RAW_DATA!M84</f>
        <v>1</v>
      </c>
      <c r="N84">
        <f t="shared" si="2"/>
        <v>0</v>
      </c>
      <c r="O84" t="str" cm="1">
        <f t="array" ref="O84" xml:space="preserve"> _xlfn.IFS(A84 &lt;ASSUMPTIONS!$D$2,"25",A84 &lt;= ASSUMPTIONS!$D$3,"25-34",A84 &lt;= ASSUMPTIONS!$D$4, "35-44",A84 &lt;= ASSUMPTIONS!$D$5,"45-54",TRUE,"55+")</f>
        <v>55+</v>
      </c>
      <c r="P84" t="str" cm="1">
        <f t="array" ref="P84">_xlfn.IFS( J84 &lt;ASSUMPTIONS!$D$7,"LOW",J84 &lt;= ASSUMPTIONS!$D$8,"MEDIUM",TRUE, "HIGH")</f>
        <v>HIGH</v>
      </c>
      <c r="Q84" t="str">
        <f>IF(M84&lt;ASSUMPTIONS!$D$10,"New (0-2)",IF(M84&lt;=ASSUMPTIONS!$D$11,"Early (2-5)",IF(M84&lt;=ASSUMPTIONS!$D$12,"Established (5-10)","Veteran (10+)")))</f>
        <v>New (0-2)</v>
      </c>
      <c r="R84" s="4">
        <f t="shared" si="3"/>
        <v>2.6666666666666665</v>
      </c>
    </row>
    <row r="85" spans="1:18">
      <c r="A85">
        <f>RAW_DATA!A85</f>
        <v>38</v>
      </c>
      <c r="B85" t="str">
        <f>RAW_DATA!B85</f>
        <v>No</v>
      </c>
      <c r="C85" t="str">
        <f>RAW_DATA!C85</f>
        <v>Research &amp; Development</v>
      </c>
      <c r="D85">
        <f>RAW_DATA!D85</f>
        <v>6</v>
      </c>
      <c r="E85">
        <f>RAW_DATA!E85</f>
        <v>3</v>
      </c>
      <c r="F85" t="str">
        <f>RAW_DATA!F85</f>
        <v>Medical</v>
      </c>
      <c r="G85">
        <f>RAW_DATA!G85</f>
        <v>2</v>
      </c>
      <c r="H85">
        <f>RAW_DATA!H85</f>
        <v>4</v>
      </c>
      <c r="I85" t="str">
        <f>RAW_DATA!I85</f>
        <v>Divorced</v>
      </c>
      <c r="J85">
        <f>RAW_DATA!J85</f>
        <v>5329</v>
      </c>
      <c r="K85">
        <f>RAW_DATA!K85</f>
        <v>7</v>
      </c>
      <c r="L85">
        <f>RAW_DATA!L85</f>
        <v>3</v>
      </c>
      <c r="M85">
        <f>RAW_DATA!M85</f>
        <v>13</v>
      </c>
      <c r="N85">
        <f t="shared" si="2"/>
        <v>0</v>
      </c>
      <c r="O85" t="str" cm="1">
        <f t="array" ref="O85" xml:space="preserve"> _xlfn.IFS(A85 &lt;ASSUMPTIONS!$D$2,"25",A85 &lt;= ASSUMPTIONS!$D$3,"25-34",A85 &lt;= ASSUMPTIONS!$D$4, "35-44",A85 &lt;= ASSUMPTIONS!$D$5,"45-54",TRUE,"55+")</f>
        <v>35-44</v>
      </c>
      <c r="P85" t="str" cm="1">
        <f t="array" ref="P85">_xlfn.IFS( J85 &lt;ASSUMPTIONS!$D$7,"LOW",J85 &lt;= ASSUMPTIONS!$D$8,"MEDIUM",TRUE, "HIGH")</f>
        <v>MEDIUM</v>
      </c>
      <c r="Q85" t="str">
        <f>IF(M85&lt;ASSUMPTIONS!$D$10,"New (0-2)",IF(M85&lt;=ASSUMPTIONS!$D$11,"Early (2-5)",IF(M85&lt;=ASSUMPTIONS!$D$12,"Established (5-10)","Veteran (10+)")))</f>
        <v>Veteran (10+)</v>
      </c>
      <c r="R85" s="4">
        <f t="shared" si="3"/>
        <v>3</v>
      </c>
    </row>
    <row r="86" spans="1:18">
      <c r="A86">
        <f>RAW_DATA!A86</f>
        <v>34</v>
      </c>
      <c r="B86" t="str">
        <f>RAW_DATA!B86</f>
        <v>No</v>
      </c>
      <c r="C86" t="str">
        <f>RAW_DATA!C86</f>
        <v>Research &amp; Development</v>
      </c>
      <c r="D86">
        <f>RAW_DATA!D86</f>
        <v>1</v>
      </c>
      <c r="E86">
        <f>RAW_DATA!E86</f>
        <v>2</v>
      </c>
      <c r="F86" t="str">
        <f>RAW_DATA!F86</f>
        <v>Medical</v>
      </c>
      <c r="G86">
        <f>RAW_DATA!G86</f>
        <v>1</v>
      </c>
      <c r="H86">
        <f>RAW_DATA!H86</f>
        <v>2</v>
      </c>
      <c r="I86" t="str">
        <f>RAW_DATA!I86</f>
        <v>Married</v>
      </c>
      <c r="J86">
        <f>RAW_DATA!J86</f>
        <v>4325</v>
      </c>
      <c r="K86">
        <f>RAW_DATA!K86</f>
        <v>1</v>
      </c>
      <c r="L86">
        <f>RAW_DATA!L86</f>
        <v>3</v>
      </c>
      <c r="M86">
        <f>RAW_DATA!M86</f>
        <v>5</v>
      </c>
      <c r="N86">
        <f t="shared" si="2"/>
        <v>0</v>
      </c>
      <c r="O86" t="str" cm="1">
        <f t="array" ref="O86" xml:space="preserve"> _xlfn.IFS(A86 &lt;ASSUMPTIONS!$D$2,"25",A86 &lt;= ASSUMPTIONS!$D$3,"25-34",A86 &lt;= ASSUMPTIONS!$D$4, "35-44",A86 &lt;= ASSUMPTIONS!$D$5,"45-54",TRUE,"55+")</f>
        <v>25-34</v>
      </c>
      <c r="P86" t="str" cm="1">
        <f t="array" ref="P86">_xlfn.IFS( J86 &lt;ASSUMPTIONS!$D$7,"LOW",J86 &lt;= ASSUMPTIONS!$D$8,"MEDIUM",TRUE, "HIGH")</f>
        <v>MEDIUM</v>
      </c>
      <c r="Q86" t="str">
        <f>IF(M86&lt;ASSUMPTIONS!$D$10,"New (0-2)",IF(M86&lt;=ASSUMPTIONS!$D$11,"Early (2-5)",IF(M86&lt;=ASSUMPTIONS!$D$12,"Established (5-10)","Veteran (10+)")))</f>
        <v>Early (2-5)</v>
      </c>
      <c r="R86" s="4">
        <f t="shared" si="3"/>
        <v>2</v>
      </c>
    </row>
    <row r="87" spans="1:18">
      <c r="A87">
        <f>RAW_DATA!A87</f>
        <v>56</v>
      </c>
      <c r="B87" t="str">
        <f>RAW_DATA!B87</f>
        <v>No</v>
      </c>
      <c r="C87" t="str">
        <f>RAW_DATA!C87</f>
        <v>Research &amp; Development</v>
      </c>
      <c r="D87">
        <f>RAW_DATA!D87</f>
        <v>7</v>
      </c>
      <c r="E87">
        <f>RAW_DATA!E87</f>
        <v>3</v>
      </c>
      <c r="F87" t="str">
        <f>RAW_DATA!F87</f>
        <v>Life Sciences</v>
      </c>
      <c r="G87">
        <f>RAW_DATA!G87</f>
        <v>4</v>
      </c>
      <c r="H87">
        <f>RAW_DATA!H87</f>
        <v>4</v>
      </c>
      <c r="I87" t="str">
        <f>RAW_DATA!I87</f>
        <v>Single</v>
      </c>
      <c r="J87">
        <f>RAW_DATA!J87</f>
        <v>7260</v>
      </c>
      <c r="K87">
        <f>RAW_DATA!K87</f>
        <v>4</v>
      </c>
      <c r="L87">
        <f>RAW_DATA!L87</f>
        <v>2</v>
      </c>
      <c r="M87">
        <f>RAW_DATA!M87</f>
        <v>6</v>
      </c>
      <c r="N87">
        <f t="shared" si="2"/>
        <v>0</v>
      </c>
      <c r="O87" t="str" cm="1">
        <f t="array" ref="O87" xml:space="preserve"> _xlfn.IFS(A87 &lt;ASSUMPTIONS!$D$2,"25",A87 &lt;= ASSUMPTIONS!$D$3,"25-34",A87 &lt;= ASSUMPTIONS!$D$4, "35-44",A87 &lt;= ASSUMPTIONS!$D$5,"45-54",TRUE,"55+")</f>
        <v>55+</v>
      </c>
      <c r="P87" t="str" cm="1">
        <f t="array" ref="P87">_xlfn.IFS( J87 &lt;ASSUMPTIONS!$D$7,"LOW",J87 &lt;= ASSUMPTIONS!$D$8,"MEDIUM",TRUE, "HIGH")</f>
        <v>HIGH</v>
      </c>
      <c r="Q87" t="str">
        <f>IF(M87&lt;ASSUMPTIONS!$D$10,"New (0-2)",IF(M87&lt;=ASSUMPTIONS!$D$11,"Early (2-5)",IF(M87&lt;=ASSUMPTIONS!$D$12,"Established (5-10)","Veteran (10+)")))</f>
        <v>Established (5-10)</v>
      </c>
      <c r="R87" s="4">
        <f t="shared" si="3"/>
        <v>3.3333333333333335</v>
      </c>
    </row>
    <row r="88" spans="1:18">
      <c r="A88">
        <f>RAW_DATA!A88</f>
        <v>23</v>
      </c>
      <c r="B88" t="str">
        <f>RAW_DATA!B88</f>
        <v>No</v>
      </c>
      <c r="C88" t="str">
        <f>RAW_DATA!C88</f>
        <v>Sales</v>
      </c>
      <c r="D88">
        <f>RAW_DATA!D88</f>
        <v>2</v>
      </c>
      <c r="E88">
        <f>RAW_DATA!E88</f>
        <v>1</v>
      </c>
      <c r="F88" t="str">
        <f>RAW_DATA!F88</f>
        <v>Technical Degree</v>
      </c>
      <c r="G88">
        <f>RAW_DATA!G88</f>
        <v>3</v>
      </c>
      <c r="H88">
        <f>RAW_DATA!H88</f>
        <v>1</v>
      </c>
      <c r="I88" t="str">
        <f>RAW_DATA!I88</f>
        <v>Divorced</v>
      </c>
      <c r="J88">
        <f>RAW_DATA!J88</f>
        <v>2322</v>
      </c>
      <c r="K88">
        <f>RAW_DATA!K88</f>
        <v>3</v>
      </c>
      <c r="L88">
        <f>RAW_DATA!L88</f>
        <v>3</v>
      </c>
      <c r="M88">
        <f>RAW_DATA!M88</f>
        <v>0</v>
      </c>
      <c r="N88">
        <f t="shared" si="2"/>
        <v>0</v>
      </c>
      <c r="O88" t="str" cm="1">
        <f t="array" ref="O88" xml:space="preserve"> _xlfn.IFS(A88 &lt;ASSUMPTIONS!$D$2,"25",A88 &lt;= ASSUMPTIONS!$D$3,"25-34",A88 &lt;= ASSUMPTIONS!$D$4, "35-44",A88 &lt;= ASSUMPTIONS!$D$5,"45-54",TRUE,"55+")</f>
        <v>25</v>
      </c>
      <c r="P88" t="str" cm="1">
        <f t="array" ref="P88">_xlfn.IFS( J88 &lt;ASSUMPTIONS!$D$7,"LOW",J88 &lt;= ASSUMPTIONS!$D$8,"MEDIUM",TRUE, "HIGH")</f>
        <v>LOW</v>
      </c>
      <c r="Q88" t="str">
        <f>IF(M88&lt;ASSUMPTIONS!$D$10,"New (0-2)",IF(M88&lt;=ASSUMPTIONS!$D$11,"Early (2-5)",IF(M88&lt;=ASSUMPTIONS!$D$12,"Established (5-10)","Veteran (10+)")))</f>
        <v>New (0-2)</v>
      </c>
      <c r="R88" s="4">
        <f t="shared" si="3"/>
        <v>2.3333333333333335</v>
      </c>
    </row>
    <row r="89" spans="1:18">
      <c r="A89">
        <f>RAW_DATA!A89</f>
        <v>51</v>
      </c>
      <c r="B89" t="str">
        <f>RAW_DATA!B89</f>
        <v>No</v>
      </c>
      <c r="C89" t="str">
        <f>RAW_DATA!C89</f>
        <v>Research &amp; Development</v>
      </c>
      <c r="D89">
        <f>RAW_DATA!D89</f>
        <v>9</v>
      </c>
      <c r="E89">
        <f>RAW_DATA!E89</f>
        <v>4</v>
      </c>
      <c r="F89" t="str">
        <f>RAW_DATA!F89</f>
        <v>Life Sciences</v>
      </c>
      <c r="G89">
        <f>RAW_DATA!G89</f>
        <v>4</v>
      </c>
      <c r="H89">
        <f>RAW_DATA!H89</f>
        <v>4</v>
      </c>
      <c r="I89" t="str">
        <f>RAW_DATA!I89</f>
        <v>Married</v>
      </c>
      <c r="J89">
        <f>RAW_DATA!J89</f>
        <v>2075</v>
      </c>
      <c r="K89">
        <f>RAW_DATA!K89</f>
        <v>3</v>
      </c>
      <c r="L89">
        <f>RAW_DATA!L89</f>
        <v>3</v>
      </c>
      <c r="M89">
        <f>RAW_DATA!M89</f>
        <v>4</v>
      </c>
      <c r="N89">
        <f t="shared" si="2"/>
        <v>0</v>
      </c>
      <c r="O89" t="str" cm="1">
        <f t="array" ref="O89" xml:space="preserve"> _xlfn.IFS(A89 &lt;ASSUMPTIONS!$D$2,"25",A89 &lt;= ASSUMPTIONS!$D$3,"25-34",A89 &lt;= ASSUMPTIONS!$D$4, "35-44",A89 &lt;= ASSUMPTIONS!$D$5,"45-54",TRUE,"55+")</f>
        <v>45-54</v>
      </c>
      <c r="P89" t="str" cm="1">
        <f t="array" ref="P89">_xlfn.IFS( J89 &lt;ASSUMPTIONS!$D$7,"LOW",J89 &lt;= ASSUMPTIONS!$D$8,"MEDIUM",TRUE, "HIGH")</f>
        <v>LOW</v>
      </c>
      <c r="Q89" t="str">
        <f>IF(M89&lt;ASSUMPTIONS!$D$10,"New (0-2)",IF(M89&lt;=ASSUMPTIONS!$D$11,"Early (2-5)",IF(M89&lt;=ASSUMPTIONS!$D$12,"Established (5-10)","Veteran (10+)")))</f>
        <v>Early (2-5)</v>
      </c>
      <c r="R89" s="4">
        <f t="shared" si="3"/>
        <v>3.6666666666666665</v>
      </c>
    </row>
    <row r="90" spans="1:18">
      <c r="A90">
        <f>RAW_DATA!A90</f>
        <v>30</v>
      </c>
      <c r="B90" t="str">
        <f>RAW_DATA!B90</f>
        <v>No</v>
      </c>
      <c r="C90" t="str">
        <f>RAW_DATA!C90</f>
        <v>Research &amp; Development</v>
      </c>
      <c r="D90">
        <f>RAW_DATA!D90</f>
        <v>2</v>
      </c>
      <c r="E90">
        <f>RAW_DATA!E90</f>
        <v>3</v>
      </c>
      <c r="F90" t="str">
        <f>RAW_DATA!F90</f>
        <v>Life Sciences</v>
      </c>
      <c r="G90">
        <f>RAW_DATA!G90</f>
        <v>3</v>
      </c>
      <c r="H90">
        <f>RAW_DATA!H90</f>
        <v>4</v>
      </c>
      <c r="I90" t="str">
        <f>RAW_DATA!I90</f>
        <v>Married</v>
      </c>
      <c r="J90">
        <f>RAW_DATA!J90</f>
        <v>4152</v>
      </c>
      <c r="K90">
        <f>RAW_DATA!K90</f>
        <v>1</v>
      </c>
      <c r="L90">
        <f>RAW_DATA!L90</f>
        <v>3</v>
      </c>
      <c r="M90">
        <f>RAW_DATA!M90</f>
        <v>11</v>
      </c>
      <c r="N90">
        <f t="shared" si="2"/>
        <v>0</v>
      </c>
      <c r="O90" t="str" cm="1">
        <f t="array" ref="O90" xml:space="preserve"> _xlfn.IFS(A90 &lt;ASSUMPTIONS!$D$2,"25",A90 &lt;= ASSUMPTIONS!$D$3,"25-34",A90 &lt;= ASSUMPTIONS!$D$4, "35-44",A90 &lt;= ASSUMPTIONS!$D$5,"45-54",TRUE,"55+")</f>
        <v>25-34</v>
      </c>
      <c r="P90" t="str" cm="1">
        <f t="array" ref="P90">_xlfn.IFS( J90 &lt;ASSUMPTIONS!$D$7,"LOW",J90 &lt;= ASSUMPTIONS!$D$8,"MEDIUM",TRUE, "HIGH")</f>
        <v>MEDIUM</v>
      </c>
      <c r="Q90" t="str">
        <f>IF(M90&lt;ASSUMPTIONS!$D$10,"New (0-2)",IF(M90&lt;=ASSUMPTIONS!$D$11,"Early (2-5)",IF(M90&lt;=ASSUMPTIONS!$D$12,"Established (5-10)","Veteran (10+)")))</f>
        <v>Veteran (10+)</v>
      </c>
      <c r="R90" s="4">
        <f t="shared" si="3"/>
        <v>3.3333333333333335</v>
      </c>
    </row>
    <row r="91" spans="1:18">
      <c r="A91">
        <f>RAW_DATA!A91</f>
        <v>46</v>
      </c>
      <c r="B91" t="str">
        <f>RAW_DATA!B91</f>
        <v>Yes</v>
      </c>
      <c r="C91" t="str">
        <f>RAW_DATA!C91</f>
        <v>Sales</v>
      </c>
      <c r="D91">
        <f>RAW_DATA!D91</f>
        <v>9</v>
      </c>
      <c r="E91">
        <f>RAW_DATA!E91</f>
        <v>2</v>
      </c>
      <c r="F91" t="str">
        <f>RAW_DATA!F91</f>
        <v>Medical</v>
      </c>
      <c r="G91">
        <f>RAW_DATA!G91</f>
        <v>3</v>
      </c>
      <c r="H91">
        <f>RAW_DATA!H91</f>
        <v>4</v>
      </c>
      <c r="I91" t="str">
        <f>RAW_DATA!I91</f>
        <v>Single</v>
      </c>
      <c r="J91">
        <f>RAW_DATA!J91</f>
        <v>9619</v>
      </c>
      <c r="K91">
        <f>RAW_DATA!K91</f>
        <v>1</v>
      </c>
      <c r="L91">
        <f>RAW_DATA!L91</f>
        <v>3</v>
      </c>
      <c r="M91">
        <f>RAW_DATA!M91</f>
        <v>9</v>
      </c>
      <c r="N91">
        <f t="shared" si="2"/>
        <v>1</v>
      </c>
      <c r="O91" t="str" cm="1">
        <f t="array" ref="O91" xml:space="preserve"> _xlfn.IFS(A91 &lt;ASSUMPTIONS!$D$2,"25",A91 &lt;= ASSUMPTIONS!$D$3,"25-34",A91 &lt;= ASSUMPTIONS!$D$4, "35-44",A91 &lt;= ASSUMPTIONS!$D$5,"45-54",TRUE,"55+")</f>
        <v>45-54</v>
      </c>
      <c r="P91" t="str" cm="1">
        <f t="array" ref="P91">_xlfn.IFS( J91 &lt;ASSUMPTIONS!$D$7,"LOW",J91 &lt;= ASSUMPTIONS!$D$8,"MEDIUM",TRUE, "HIGH")</f>
        <v>HIGH</v>
      </c>
      <c r="Q91" t="str">
        <f>IF(M91&lt;ASSUMPTIONS!$D$10,"New (0-2)",IF(M91&lt;=ASSUMPTIONS!$D$11,"Early (2-5)",IF(M91&lt;=ASSUMPTIONS!$D$12,"Established (5-10)","Veteran (10+)")))</f>
        <v>Established (5-10)</v>
      </c>
      <c r="R91" s="4">
        <f t="shared" si="3"/>
        <v>3.3333333333333335</v>
      </c>
    </row>
    <row r="92" spans="1:18">
      <c r="A92">
        <f>RAW_DATA!A92</f>
        <v>40</v>
      </c>
      <c r="B92" t="str">
        <f>RAW_DATA!B92</f>
        <v>No</v>
      </c>
      <c r="C92" t="str">
        <f>RAW_DATA!C92</f>
        <v>Research &amp; Development</v>
      </c>
      <c r="D92">
        <f>RAW_DATA!D92</f>
        <v>1</v>
      </c>
      <c r="E92">
        <f>RAW_DATA!E92</f>
        <v>4</v>
      </c>
      <c r="F92" t="str">
        <f>RAW_DATA!F92</f>
        <v>Life Sciences</v>
      </c>
      <c r="G92">
        <f>RAW_DATA!G92</f>
        <v>3</v>
      </c>
      <c r="H92">
        <f>RAW_DATA!H92</f>
        <v>2</v>
      </c>
      <c r="I92" t="str">
        <f>RAW_DATA!I92</f>
        <v>Married</v>
      </c>
      <c r="J92">
        <f>RAW_DATA!J92</f>
        <v>13503</v>
      </c>
      <c r="K92">
        <f>RAW_DATA!K92</f>
        <v>1</v>
      </c>
      <c r="L92">
        <f>RAW_DATA!L92</f>
        <v>2</v>
      </c>
      <c r="M92">
        <f>RAW_DATA!M92</f>
        <v>22</v>
      </c>
      <c r="N92">
        <f t="shared" si="2"/>
        <v>0</v>
      </c>
      <c r="O92" t="str" cm="1">
        <f t="array" ref="O92" xml:space="preserve"> _xlfn.IFS(A92 &lt;ASSUMPTIONS!$D$2,"25",A92 &lt;= ASSUMPTIONS!$D$3,"25-34",A92 &lt;= ASSUMPTIONS!$D$4, "35-44",A92 &lt;= ASSUMPTIONS!$D$5,"45-54",TRUE,"55+")</f>
        <v>35-44</v>
      </c>
      <c r="P92" t="str" cm="1">
        <f t="array" ref="P92">_xlfn.IFS( J92 &lt;ASSUMPTIONS!$D$7,"LOW",J92 &lt;= ASSUMPTIONS!$D$8,"MEDIUM",TRUE, "HIGH")</f>
        <v>HIGH</v>
      </c>
      <c r="Q92" t="str">
        <f>IF(M92&lt;ASSUMPTIONS!$D$10,"New (0-2)",IF(M92&lt;=ASSUMPTIONS!$D$11,"Early (2-5)",IF(M92&lt;=ASSUMPTIONS!$D$12,"Established (5-10)","Veteran (10+)")))</f>
        <v>Veteran (10+)</v>
      </c>
      <c r="R92" s="4">
        <f t="shared" si="3"/>
        <v>2.3333333333333335</v>
      </c>
    </row>
    <row r="93" spans="1:18">
      <c r="A93">
        <f>RAW_DATA!A93</f>
        <v>51</v>
      </c>
      <c r="B93" t="str">
        <f>RAW_DATA!B93</f>
        <v>No</v>
      </c>
      <c r="C93" t="str">
        <f>RAW_DATA!C93</f>
        <v>Sales</v>
      </c>
      <c r="D93">
        <f>RAW_DATA!D93</f>
        <v>21</v>
      </c>
      <c r="E93">
        <f>RAW_DATA!E93</f>
        <v>4</v>
      </c>
      <c r="F93" t="str">
        <f>RAW_DATA!F93</f>
        <v>Marketing</v>
      </c>
      <c r="G93">
        <f>RAW_DATA!G93</f>
        <v>3</v>
      </c>
      <c r="H93">
        <f>RAW_DATA!H93</f>
        <v>4</v>
      </c>
      <c r="I93" t="str">
        <f>RAW_DATA!I93</f>
        <v>Single</v>
      </c>
      <c r="J93">
        <f>RAW_DATA!J93</f>
        <v>5441</v>
      </c>
      <c r="K93">
        <f>RAW_DATA!K93</f>
        <v>0</v>
      </c>
      <c r="L93">
        <f>RAW_DATA!L93</f>
        <v>1</v>
      </c>
      <c r="M93">
        <f>RAW_DATA!M93</f>
        <v>10</v>
      </c>
      <c r="N93">
        <f t="shared" si="2"/>
        <v>0</v>
      </c>
      <c r="O93" t="str" cm="1">
        <f t="array" ref="O93" xml:space="preserve"> _xlfn.IFS(A93 &lt;ASSUMPTIONS!$D$2,"25",A93 &lt;= ASSUMPTIONS!$D$3,"25-34",A93 &lt;= ASSUMPTIONS!$D$4, "35-44",A93 &lt;= ASSUMPTIONS!$D$5,"45-54",TRUE,"55+")</f>
        <v>45-54</v>
      </c>
      <c r="P93" t="str" cm="1">
        <f t="array" ref="P93">_xlfn.IFS( J93 &lt;ASSUMPTIONS!$D$7,"LOW",J93 &lt;= ASSUMPTIONS!$D$8,"MEDIUM",TRUE, "HIGH")</f>
        <v>MEDIUM</v>
      </c>
      <c r="Q93" t="str">
        <f>IF(M93&lt;ASSUMPTIONS!$D$10,"New (0-2)",IF(M93&lt;=ASSUMPTIONS!$D$11,"Early (2-5)",IF(M93&lt;=ASSUMPTIONS!$D$12,"Established (5-10)","Veteran (10+)")))</f>
        <v>Established (5-10)</v>
      </c>
      <c r="R93" s="4">
        <f t="shared" si="3"/>
        <v>2.6666666666666665</v>
      </c>
    </row>
    <row r="94" spans="1:18">
      <c r="A94">
        <f>RAW_DATA!A94</f>
        <v>30</v>
      </c>
      <c r="B94" t="str">
        <f>RAW_DATA!B94</f>
        <v>No</v>
      </c>
      <c r="C94" t="str">
        <f>RAW_DATA!C94</f>
        <v>Sales</v>
      </c>
      <c r="D94">
        <f>RAW_DATA!D94</f>
        <v>4</v>
      </c>
      <c r="E94">
        <f>RAW_DATA!E94</f>
        <v>2</v>
      </c>
      <c r="F94" t="str">
        <f>RAW_DATA!F94</f>
        <v>Medical</v>
      </c>
      <c r="G94">
        <f>RAW_DATA!G94</f>
        <v>3</v>
      </c>
      <c r="H94">
        <f>RAW_DATA!H94</f>
        <v>2</v>
      </c>
      <c r="I94" t="str">
        <f>RAW_DATA!I94</f>
        <v>Divorced</v>
      </c>
      <c r="J94">
        <f>RAW_DATA!J94</f>
        <v>5209</v>
      </c>
      <c r="K94">
        <f>RAW_DATA!K94</f>
        <v>1</v>
      </c>
      <c r="L94">
        <f>RAW_DATA!L94</f>
        <v>2</v>
      </c>
      <c r="M94">
        <f>RAW_DATA!M94</f>
        <v>11</v>
      </c>
      <c r="N94">
        <f t="shared" si="2"/>
        <v>0</v>
      </c>
      <c r="O94" t="str" cm="1">
        <f t="array" ref="O94" xml:space="preserve"> _xlfn.IFS(A94 &lt;ASSUMPTIONS!$D$2,"25",A94 &lt;= ASSUMPTIONS!$D$3,"25-34",A94 &lt;= ASSUMPTIONS!$D$4, "35-44",A94 &lt;= ASSUMPTIONS!$D$5,"45-54",TRUE,"55+")</f>
        <v>25-34</v>
      </c>
      <c r="P94" t="str" cm="1">
        <f t="array" ref="P94">_xlfn.IFS( J94 &lt;ASSUMPTIONS!$D$7,"LOW",J94 &lt;= ASSUMPTIONS!$D$8,"MEDIUM",TRUE, "HIGH")</f>
        <v>MEDIUM</v>
      </c>
      <c r="Q94" t="str">
        <f>IF(M94&lt;ASSUMPTIONS!$D$10,"New (0-2)",IF(M94&lt;=ASSUMPTIONS!$D$11,"Early (2-5)",IF(M94&lt;=ASSUMPTIONS!$D$12,"Established (5-10)","Veteran (10+)")))</f>
        <v>Veteran (10+)</v>
      </c>
      <c r="R94" s="4">
        <f t="shared" si="3"/>
        <v>2.3333333333333335</v>
      </c>
    </row>
    <row r="95" spans="1:18">
      <c r="A95">
        <f>RAW_DATA!A95</f>
        <v>46</v>
      </c>
      <c r="B95" t="str">
        <f>RAW_DATA!B95</f>
        <v>No</v>
      </c>
      <c r="C95" t="str">
        <f>RAW_DATA!C95</f>
        <v>Research &amp; Development</v>
      </c>
      <c r="D95">
        <f>RAW_DATA!D95</f>
        <v>1</v>
      </c>
      <c r="E95">
        <f>RAW_DATA!E95</f>
        <v>3</v>
      </c>
      <c r="F95" t="str">
        <f>RAW_DATA!F95</f>
        <v>Medical</v>
      </c>
      <c r="G95">
        <f>RAW_DATA!G95</f>
        <v>3</v>
      </c>
      <c r="H95">
        <f>RAW_DATA!H95</f>
        <v>1</v>
      </c>
      <c r="I95" t="str">
        <f>RAW_DATA!I95</f>
        <v>Married</v>
      </c>
      <c r="J95">
        <f>RAW_DATA!J95</f>
        <v>10673</v>
      </c>
      <c r="K95">
        <f>RAW_DATA!K95</f>
        <v>2</v>
      </c>
      <c r="L95">
        <f>RAW_DATA!L95</f>
        <v>2</v>
      </c>
      <c r="M95">
        <f>RAW_DATA!M95</f>
        <v>10</v>
      </c>
      <c r="N95">
        <f t="shared" si="2"/>
        <v>0</v>
      </c>
      <c r="O95" t="str" cm="1">
        <f t="array" ref="O95" xml:space="preserve"> _xlfn.IFS(A95 &lt;ASSUMPTIONS!$D$2,"25",A95 &lt;= ASSUMPTIONS!$D$3,"25-34",A95 &lt;= ASSUMPTIONS!$D$4, "35-44",A95 &lt;= ASSUMPTIONS!$D$5,"45-54",TRUE,"55+")</f>
        <v>45-54</v>
      </c>
      <c r="P95" t="str" cm="1">
        <f t="array" ref="P95">_xlfn.IFS( J95 &lt;ASSUMPTIONS!$D$7,"LOW",J95 &lt;= ASSUMPTIONS!$D$8,"MEDIUM",TRUE, "HIGH")</f>
        <v>HIGH</v>
      </c>
      <c r="Q95" t="str">
        <f>IF(M95&lt;ASSUMPTIONS!$D$10,"New (0-2)",IF(M95&lt;=ASSUMPTIONS!$D$11,"Early (2-5)",IF(M95&lt;=ASSUMPTIONS!$D$12,"Established (5-10)","Veteran (10+)")))</f>
        <v>Established (5-10)</v>
      </c>
      <c r="R95" s="4">
        <f t="shared" si="3"/>
        <v>2</v>
      </c>
    </row>
    <row r="96" spans="1:18">
      <c r="A96">
        <f>RAW_DATA!A96</f>
        <v>32</v>
      </c>
      <c r="B96" t="str">
        <f>RAW_DATA!B96</f>
        <v>No</v>
      </c>
      <c r="C96" t="str">
        <f>RAW_DATA!C96</f>
        <v>Sales</v>
      </c>
      <c r="D96">
        <f>RAW_DATA!D96</f>
        <v>6</v>
      </c>
      <c r="E96">
        <f>RAW_DATA!E96</f>
        <v>4</v>
      </c>
      <c r="F96" t="str">
        <f>RAW_DATA!F96</f>
        <v>Medical</v>
      </c>
      <c r="G96">
        <f>RAW_DATA!G96</f>
        <v>2</v>
      </c>
      <c r="H96">
        <f>RAW_DATA!H96</f>
        <v>3</v>
      </c>
      <c r="I96" t="str">
        <f>RAW_DATA!I96</f>
        <v>Single</v>
      </c>
      <c r="J96">
        <f>RAW_DATA!J96</f>
        <v>5010</v>
      </c>
      <c r="K96">
        <f>RAW_DATA!K96</f>
        <v>1</v>
      </c>
      <c r="L96">
        <f>RAW_DATA!L96</f>
        <v>3</v>
      </c>
      <c r="M96">
        <f>RAW_DATA!M96</f>
        <v>11</v>
      </c>
      <c r="N96">
        <f t="shared" si="2"/>
        <v>0</v>
      </c>
      <c r="O96" t="str" cm="1">
        <f t="array" ref="O96" xml:space="preserve"> _xlfn.IFS(A96 &lt;ASSUMPTIONS!$D$2,"25",A96 &lt;= ASSUMPTIONS!$D$3,"25-34",A96 &lt;= ASSUMPTIONS!$D$4, "35-44",A96 &lt;= ASSUMPTIONS!$D$5,"45-54",TRUE,"55+")</f>
        <v>25-34</v>
      </c>
      <c r="P96" t="str" cm="1">
        <f t="array" ref="P96">_xlfn.IFS( J96 &lt;ASSUMPTIONS!$D$7,"LOW",J96 &lt;= ASSUMPTIONS!$D$8,"MEDIUM",TRUE, "HIGH")</f>
        <v>MEDIUM</v>
      </c>
      <c r="Q96" t="str">
        <f>IF(M96&lt;ASSUMPTIONS!$D$10,"New (0-2)",IF(M96&lt;=ASSUMPTIONS!$D$11,"Early (2-5)",IF(M96&lt;=ASSUMPTIONS!$D$12,"Established (5-10)","Veteran (10+)")))</f>
        <v>Veteran (10+)</v>
      </c>
      <c r="R96" s="4">
        <f t="shared" si="3"/>
        <v>2.6666666666666665</v>
      </c>
    </row>
    <row r="97" spans="1:18">
      <c r="A97">
        <f>RAW_DATA!A97</f>
        <v>54</v>
      </c>
      <c r="B97" t="str">
        <f>RAW_DATA!B97</f>
        <v>No</v>
      </c>
      <c r="C97" t="str">
        <f>RAW_DATA!C97</f>
        <v>Research &amp; Development</v>
      </c>
      <c r="D97">
        <f>RAW_DATA!D97</f>
        <v>2</v>
      </c>
      <c r="E97">
        <f>RAW_DATA!E97</f>
        <v>4</v>
      </c>
      <c r="F97" t="str">
        <f>RAW_DATA!F97</f>
        <v>Technical Degree</v>
      </c>
      <c r="G97">
        <f>RAW_DATA!G97</f>
        <v>1</v>
      </c>
      <c r="H97">
        <f>RAW_DATA!H97</f>
        <v>3</v>
      </c>
      <c r="I97" t="str">
        <f>RAW_DATA!I97</f>
        <v>Married</v>
      </c>
      <c r="J97">
        <f>RAW_DATA!J97</f>
        <v>13549</v>
      </c>
      <c r="K97">
        <f>RAW_DATA!K97</f>
        <v>9</v>
      </c>
      <c r="L97">
        <f>RAW_DATA!L97</f>
        <v>1</v>
      </c>
      <c r="M97">
        <f>RAW_DATA!M97</f>
        <v>4</v>
      </c>
      <c r="N97">
        <f t="shared" si="2"/>
        <v>0</v>
      </c>
      <c r="O97" t="str" cm="1">
        <f t="array" ref="O97" xml:space="preserve"> _xlfn.IFS(A97 &lt;ASSUMPTIONS!$D$2,"25",A97 &lt;= ASSUMPTIONS!$D$3,"25-34",A97 &lt;= ASSUMPTIONS!$D$4, "35-44",A97 &lt;= ASSUMPTIONS!$D$5,"45-54",TRUE,"55+")</f>
        <v>45-54</v>
      </c>
      <c r="P97" t="str" cm="1">
        <f t="array" ref="P97">_xlfn.IFS( J97 &lt;ASSUMPTIONS!$D$7,"LOW",J97 &lt;= ASSUMPTIONS!$D$8,"MEDIUM",TRUE, "HIGH")</f>
        <v>HIGH</v>
      </c>
      <c r="Q97" t="str">
        <f>IF(M97&lt;ASSUMPTIONS!$D$10,"New (0-2)",IF(M97&lt;=ASSUMPTIONS!$D$11,"Early (2-5)",IF(M97&lt;=ASSUMPTIONS!$D$12,"Established (5-10)","Veteran (10+)")))</f>
        <v>Early (2-5)</v>
      </c>
      <c r="R97" s="4">
        <f t="shared" si="3"/>
        <v>1.6666666666666667</v>
      </c>
    </row>
    <row r="98" spans="1:18">
      <c r="A98">
        <f>RAW_DATA!A98</f>
        <v>24</v>
      </c>
      <c r="B98" t="str">
        <f>RAW_DATA!B98</f>
        <v>No</v>
      </c>
      <c r="C98" t="str">
        <f>RAW_DATA!C98</f>
        <v>Sales</v>
      </c>
      <c r="D98">
        <f>RAW_DATA!D98</f>
        <v>3</v>
      </c>
      <c r="E98">
        <f>RAW_DATA!E98</f>
        <v>2</v>
      </c>
      <c r="F98" t="str">
        <f>RAW_DATA!F98</f>
        <v>Other</v>
      </c>
      <c r="G98">
        <f>RAW_DATA!G98</f>
        <v>1</v>
      </c>
      <c r="H98">
        <f>RAW_DATA!H98</f>
        <v>3</v>
      </c>
      <c r="I98" t="str">
        <f>RAW_DATA!I98</f>
        <v>Married</v>
      </c>
      <c r="J98">
        <f>RAW_DATA!J98</f>
        <v>4999</v>
      </c>
      <c r="K98">
        <f>RAW_DATA!K98</f>
        <v>0</v>
      </c>
      <c r="L98">
        <f>RAW_DATA!L98</f>
        <v>2</v>
      </c>
      <c r="M98">
        <f>RAW_DATA!M98</f>
        <v>3</v>
      </c>
      <c r="N98">
        <f t="shared" si="2"/>
        <v>0</v>
      </c>
      <c r="O98" t="str" cm="1">
        <f t="array" ref="O98" xml:space="preserve"> _xlfn.IFS(A98 &lt;ASSUMPTIONS!$D$2,"25",A98 &lt;= ASSUMPTIONS!$D$3,"25-34",A98 &lt;= ASSUMPTIONS!$D$4, "35-44",A98 &lt;= ASSUMPTIONS!$D$5,"45-54",TRUE,"55+")</f>
        <v>25</v>
      </c>
      <c r="P98" t="str" cm="1">
        <f t="array" ref="P98">_xlfn.IFS( J98 &lt;ASSUMPTIONS!$D$7,"LOW",J98 &lt;= ASSUMPTIONS!$D$8,"MEDIUM",TRUE, "HIGH")</f>
        <v>MEDIUM</v>
      </c>
      <c r="Q98" t="str">
        <f>IF(M98&lt;ASSUMPTIONS!$D$10,"New (0-2)",IF(M98&lt;=ASSUMPTIONS!$D$11,"Early (2-5)",IF(M98&lt;=ASSUMPTIONS!$D$12,"Established (5-10)","Veteran (10+)")))</f>
        <v>Early (2-5)</v>
      </c>
      <c r="R98" s="4">
        <f t="shared" si="3"/>
        <v>2</v>
      </c>
    </row>
    <row r="99" spans="1:18">
      <c r="A99">
        <f>RAW_DATA!A99</f>
        <v>28</v>
      </c>
      <c r="B99" t="str">
        <f>RAW_DATA!B99</f>
        <v>No</v>
      </c>
      <c r="C99" t="str">
        <f>RAW_DATA!C99</f>
        <v>Sales</v>
      </c>
      <c r="D99">
        <f>RAW_DATA!D99</f>
        <v>4</v>
      </c>
      <c r="E99">
        <f>RAW_DATA!E99</f>
        <v>3</v>
      </c>
      <c r="F99" t="str">
        <f>RAW_DATA!F99</f>
        <v>Medical</v>
      </c>
      <c r="G99">
        <f>RAW_DATA!G99</f>
        <v>2</v>
      </c>
      <c r="H99">
        <f>RAW_DATA!H99</f>
        <v>3</v>
      </c>
      <c r="I99" t="str">
        <f>RAW_DATA!I99</f>
        <v>Married</v>
      </c>
      <c r="J99">
        <f>RAW_DATA!J99</f>
        <v>4221</v>
      </c>
      <c r="K99">
        <f>RAW_DATA!K99</f>
        <v>1</v>
      </c>
      <c r="L99">
        <f>RAW_DATA!L99</f>
        <v>4</v>
      </c>
      <c r="M99">
        <f>RAW_DATA!M99</f>
        <v>5</v>
      </c>
      <c r="N99">
        <f t="shared" si="2"/>
        <v>0</v>
      </c>
      <c r="O99" t="str" cm="1">
        <f t="array" ref="O99" xml:space="preserve"> _xlfn.IFS(A99 &lt;ASSUMPTIONS!$D$2,"25",A99 &lt;= ASSUMPTIONS!$D$3,"25-34",A99 &lt;= ASSUMPTIONS!$D$4, "35-44",A99 &lt;= ASSUMPTIONS!$D$5,"45-54",TRUE,"55+")</f>
        <v>25-34</v>
      </c>
      <c r="P99" t="str" cm="1">
        <f t="array" ref="P99">_xlfn.IFS( J99 &lt;ASSUMPTIONS!$D$7,"LOW",J99 &lt;= ASSUMPTIONS!$D$8,"MEDIUM",TRUE, "HIGH")</f>
        <v>MEDIUM</v>
      </c>
      <c r="Q99" t="str">
        <f>IF(M99&lt;ASSUMPTIONS!$D$10,"New (0-2)",IF(M99&lt;=ASSUMPTIONS!$D$11,"Early (2-5)",IF(M99&lt;=ASSUMPTIONS!$D$12,"Established (5-10)","Veteran (10+)")))</f>
        <v>Early (2-5)</v>
      </c>
      <c r="R99" s="4">
        <f t="shared" si="3"/>
        <v>3</v>
      </c>
    </row>
    <row r="100" spans="1:18">
      <c r="A100">
        <f>RAW_DATA!A100</f>
        <v>58</v>
      </c>
      <c r="B100" t="str">
        <f>RAW_DATA!B100</f>
        <v>No</v>
      </c>
      <c r="C100" t="str">
        <f>RAW_DATA!C100</f>
        <v>Sales</v>
      </c>
      <c r="D100">
        <f>RAW_DATA!D100</f>
        <v>10</v>
      </c>
      <c r="E100">
        <f>RAW_DATA!E100</f>
        <v>4</v>
      </c>
      <c r="F100" t="str">
        <f>RAW_DATA!F100</f>
        <v>Medical</v>
      </c>
      <c r="G100">
        <f>RAW_DATA!G100</f>
        <v>4</v>
      </c>
      <c r="H100">
        <f>RAW_DATA!H100</f>
        <v>3</v>
      </c>
      <c r="I100" t="str">
        <f>RAW_DATA!I100</f>
        <v>Single</v>
      </c>
      <c r="J100">
        <f>RAW_DATA!J100</f>
        <v>13872</v>
      </c>
      <c r="K100">
        <f>RAW_DATA!K100</f>
        <v>0</v>
      </c>
      <c r="L100">
        <f>RAW_DATA!L100</f>
        <v>2</v>
      </c>
      <c r="M100">
        <f>RAW_DATA!M100</f>
        <v>37</v>
      </c>
      <c r="N100">
        <f t="shared" si="2"/>
        <v>0</v>
      </c>
      <c r="O100" t="str" cm="1">
        <f t="array" ref="O100" xml:space="preserve"> _xlfn.IFS(A100 &lt;ASSUMPTIONS!$D$2,"25",A100 &lt;= ASSUMPTIONS!$D$3,"25-34",A100 &lt;= ASSUMPTIONS!$D$4, "35-44",A100 &lt;= ASSUMPTIONS!$D$5,"45-54",TRUE,"55+")</f>
        <v>55+</v>
      </c>
      <c r="P100" t="str" cm="1">
        <f t="array" ref="P100">_xlfn.IFS( J100 &lt;ASSUMPTIONS!$D$7,"LOW",J100 &lt;= ASSUMPTIONS!$D$8,"MEDIUM",TRUE, "HIGH")</f>
        <v>HIGH</v>
      </c>
      <c r="Q100" t="str">
        <f>IF(M100&lt;ASSUMPTIONS!$D$10,"New (0-2)",IF(M100&lt;=ASSUMPTIONS!$D$11,"Early (2-5)",IF(M100&lt;=ASSUMPTIONS!$D$12,"Established (5-10)","Veteran (10+)")))</f>
        <v>Veteran (10+)</v>
      </c>
      <c r="R100" s="4">
        <f t="shared" si="3"/>
        <v>3</v>
      </c>
    </row>
    <row r="101" spans="1:18">
      <c r="A101">
        <f>RAW_DATA!A101</f>
        <v>44</v>
      </c>
      <c r="B101" t="str">
        <f>RAW_DATA!B101</f>
        <v>No</v>
      </c>
      <c r="C101" t="str">
        <f>RAW_DATA!C101</f>
        <v>Research &amp; Development</v>
      </c>
      <c r="D101">
        <f>RAW_DATA!D101</f>
        <v>23</v>
      </c>
      <c r="E101">
        <f>RAW_DATA!E101</f>
        <v>3</v>
      </c>
      <c r="F101" t="str">
        <f>RAW_DATA!F101</f>
        <v>Medical</v>
      </c>
      <c r="G101">
        <f>RAW_DATA!G101</f>
        <v>2</v>
      </c>
      <c r="H101">
        <f>RAW_DATA!H101</f>
        <v>2</v>
      </c>
      <c r="I101" t="str">
        <f>RAW_DATA!I101</f>
        <v>Married</v>
      </c>
      <c r="J101">
        <f>RAW_DATA!J101</f>
        <v>2042</v>
      </c>
      <c r="K101">
        <f>RAW_DATA!K101</f>
        <v>4</v>
      </c>
      <c r="L101">
        <f>RAW_DATA!L101</f>
        <v>4</v>
      </c>
      <c r="M101">
        <f>RAW_DATA!M101</f>
        <v>3</v>
      </c>
      <c r="N101">
        <f t="shared" si="2"/>
        <v>0</v>
      </c>
      <c r="O101" t="str" cm="1">
        <f t="array" ref="O101" xml:space="preserve"> _xlfn.IFS(A101 &lt;ASSUMPTIONS!$D$2,"25",A101 &lt;= ASSUMPTIONS!$D$3,"25-34",A101 &lt;= ASSUMPTIONS!$D$4, "35-44",A101 &lt;= ASSUMPTIONS!$D$5,"45-54",TRUE,"55+")</f>
        <v>35-44</v>
      </c>
      <c r="P101" t="str" cm="1">
        <f t="array" ref="P101">_xlfn.IFS( J101 &lt;ASSUMPTIONS!$D$7,"LOW",J101 &lt;= ASSUMPTIONS!$D$8,"MEDIUM",TRUE, "HIGH")</f>
        <v>LOW</v>
      </c>
      <c r="Q101" t="str">
        <f>IF(M101&lt;ASSUMPTIONS!$D$10,"New (0-2)",IF(M101&lt;=ASSUMPTIONS!$D$11,"Early (2-5)",IF(M101&lt;=ASSUMPTIONS!$D$12,"Established (5-10)","Veteran (10+)")))</f>
        <v>Early (2-5)</v>
      </c>
      <c r="R101" s="4">
        <f t="shared" si="3"/>
        <v>2.6666666666666665</v>
      </c>
    </row>
    <row r="102" spans="1:18">
      <c r="A102">
        <f>RAW_DATA!A102</f>
        <v>37</v>
      </c>
      <c r="B102" t="str">
        <f>RAW_DATA!B102</f>
        <v>Yes</v>
      </c>
      <c r="C102" t="str">
        <f>RAW_DATA!C102</f>
        <v>Human Resources</v>
      </c>
      <c r="D102">
        <f>RAW_DATA!D102</f>
        <v>6</v>
      </c>
      <c r="E102">
        <f>RAW_DATA!E102</f>
        <v>4</v>
      </c>
      <c r="F102" t="str">
        <f>RAW_DATA!F102</f>
        <v>Human Resources</v>
      </c>
      <c r="G102">
        <f>RAW_DATA!G102</f>
        <v>3</v>
      </c>
      <c r="H102">
        <f>RAW_DATA!H102</f>
        <v>1</v>
      </c>
      <c r="I102" t="str">
        <f>RAW_DATA!I102</f>
        <v>Divorced</v>
      </c>
      <c r="J102">
        <f>RAW_DATA!J102</f>
        <v>2073</v>
      </c>
      <c r="K102">
        <f>RAW_DATA!K102</f>
        <v>4</v>
      </c>
      <c r="L102">
        <f>RAW_DATA!L102</f>
        <v>3</v>
      </c>
      <c r="M102">
        <f>RAW_DATA!M102</f>
        <v>3</v>
      </c>
      <c r="N102">
        <f t="shared" si="2"/>
        <v>1</v>
      </c>
      <c r="O102" t="str" cm="1">
        <f t="array" ref="O102" xml:space="preserve"> _xlfn.IFS(A102 &lt;ASSUMPTIONS!$D$2,"25",A102 &lt;= ASSUMPTIONS!$D$3,"25-34",A102 &lt;= ASSUMPTIONS!$D$4, "35-44",A102 &lt;= ASSUMPTIONS!$D$5,"45-54",TRUE,"55+")</f>
        <v>35-44</v>
      </c>
      <c r="P102" t="str" cm="1">
        <f t="array" ref="P102">_xlfn.IFS( J102 &lt;ASSUMPTIONS!$D$7,"LOW",J102 &lt;= ASSUMPTIONS!$D$8,"MEDIUM",TRUE, "HIGH")</f>
        <v>LOW</v>
      </c>
      <c r="Q102" t="str">
        <f>IF(M102&lt;ASSUMPTIONS!$D$10,"New (0-2)",IF(M102&lt;=ASSUMPTIONS!$D$11,"Early (2-5)",IF(M102&lt;=ASSUMPTIONS!$D$12,"Established (5-10)","Veteran (10+)")))</f>
        <v>Early (2-5)</v>
      </c>
      <c r="R102" s="4">
        <f t="shared" si="3"/>
        <v>2.3333333333333335</v>
      </c>
    </row>
    <row r="103" spans="1:18">
      <c r="A103">
        <f>RAW_DATA!A103</f>
        <v>32</v>
      </c>
      <c r="B103" t="str">
        <f>RAW_DATA!B103</f>
        <v>No</v>
      </c>
      <c r="C103" t="str">
        <f>RAW_DATA!C103</f>
        <v>Research &amp; Development</v>
      </c>
      <c r="D103">
        <f>RAW_DATA!D103</f>
        <v>1</v>
      </c>
      <c r="E103">
        <f>RAW_DATA!E103</f>
        <v>1</v>
      </c>
      <c r="F103" t="str">
        <f>RAW_DATA!F103</f>
        <v>Life Sciences</v>
      </c>
      <c r="G103">
        <f>RAW_DATA!G103</f>
        <v>4</v>
      </c>
      <c r="H103">
        <f>RAW_DATA!H103</f>
        <v>1</v>
      </c>
      <c r="I103" t="str">
        <f>RAW_DATA!I103</f>
        <v>Single</v>
      </c>
      <c r="J103">
        <f>RAW_DATA!J103</f>
        <v>2956</v>
      </c>
      <c r="K103">
        <f>RAW_DATA!K103</f>
        <v>1</v>
      </c>
      <c r="L103">
        <f>RAW_DATA!L103</f>
        <v>3</v>
      </c>
      <c r="M103">
        <f>RAW_DATA!M103</f>
        <v>1</v>
      </c>
      <c r="N103">
        <f t="shared" si="2"/>
        <v>0</v>
      </c>
      <c r="O103" t="str" cm="1">
        <f t="array" ref="O103" xml:space="preserve"> _xlfn.IFS(A103 &lt;ASSUMPTIONS!$D$2,"25",A103 &lt;= ASSUMPTIONS!$D$3,"25-34",A103 &lt;= ASSUMPTIONS!$D$4, "35-44",A103 &lt;= ASSUMPTIONS!$D$5,"45-54",TRUE,"55+")</f>
        <v>25-34</v>
      </c>
      <c r="P103" t="str" cm="1">
        <f t="array" ref="P103">_xlfn.IFS( J103 &lt;ASSUMPTIONS!$D$7,"LOW",J103 &lt;= ASSUMPTIONS!$D$8,"MEDIUM",TRUE, "HIGH")</f>
        <v>LOW</v>
      </c>
      <c r="Q103" t="str">
        <f>IF(M103&lt;ASSUMPTIONS!$D$10,"New (0-2)",IF(M103&lt;=ASSUMPTIONS!$D$11,"Early (2-5)",IF(M103&lt;=ASSUMPTIONS!$D$12,"Established (5-10)","Veteran (10+)")))</f>
        <v>New (0-2)</v>
      </c>
      <c r="R103" s="4">
        <f t="shared" si="3"/>
        <v>2.6666666666666665</v>
      </c>
    </row>
    <row r="104" spans="1:18">
      <c r="A104">
        <f>RAW_DATA!A104</f>
        <v>20</v>
      </c>
      <c r="B104" t="str">
        <f>RAW_DATA!B104</f>
        <v>Yes</v>
      </c>
      <c r="C104" t="str">
        <f>RAW_DATA!C104</f>
        <v>Research &amp; Development</v>
      </c>
      <c r="D104">
        <f>RAW_DATA!D104</f>
        <v>6</v>
      </c>
      <c r="E104">
        <f>RAW_DATA!E104</f>
        <v>3</v>
      </c>
      <c r="F104" t="str">
        <f>RAW_DATA!F104</f>
        <v>Life Sciences</v>
      </c>
      <c r="G104">
        <f>RAW_DATA!G104</f>
        <v>4</v>
      </c>
      <c r="H104">
        <f>RAW_DATA!H104</f>
        <v>4</v>
      </c>
      <c r="I104" t="str">
        <f>RAW_DATA!I104</f>
        <v>Single</v>
      </c>
      <c r="J104">
        <f>RAW_DATA!J104</f>
        <v>2926</v>
      </c>
      <c r="K104">
        <f>RAW_DATA!K104</f>
        <v>1</v>
      </c>
      <c r="L104">
        <f>RAW_DATA!L104</f>
        <v>3</v>
      </c>
      <c r="M104">
        <f>RAW_DATA!M104</f>
        <v>1</v>
      </c>
      <c r="N104">
        <f t="shared" si="2"/>
        <v>1</v>
      </c>
      <c r="O104" t="str" cm="1">
        <f t="array" ref="O104" xml:space="preserve"> _xlfn.IFS(A104 &lt;ASSUMPTIONS!$D$2,"25",A104 &lt;= ASSUMPTIONS!$D$3,"25-34",A104 &lt;= ASSUMPTIONS!$D$4, "35-44",A104 &lt;= ASSUMPTIONS!$D$5,"45-54",TRUE,"55+")</f>
        <v>25</v>
      </c>
      <c r="P104" t="str" cm="1">
        <f t="array" ref="P104">_xlfn.IFS( J104 &lt;ASSUMPTIONS!$D$7,"LOW",J104 &lt;= ASSUMPTIONS!$D$8,"MEDIUM",TRUE, "HIGH")</f>
        <v>LOW</v>
      </c>
      <c r="Q104" t="str">
        <f>IF(M104&lt;ASSUMPTIONS!$D$10,"New (0-2)",IF(M104&lt;=ASSUMPTIONS!$D$11,"Early (2-5)",IF(M104&lt;=ASSUMPTIONS!$D$12,"Established (5-10)","Veteran (10+)")))</f>
        <v>New (0-2)</v>
      </c>
      <c r="R104" s="4">
        <f t="shared" si="3"/>
        <v>3.6666666666666665</v>
      </c>
    </row>
    <row r="105" spans="1:18">
      <c r="A105">
        <f>RAW_DATA!A105</f>
        <v>34</v>
      </c>
      <c r="B105" t="str">
        <f>RAW_DATA!B105</f>
        <v>No</v>
      </c>
      <c r="C105" t="str">
        <f>RAW_DATA!C105</f>
        <v>Research &amp; Development</v>
      </c>
      <c r="D105">
        <f>RAW_DATA!D105</f>
        <v>6</v>
      </c>
      <c r="E105">
        <f>RAW_DATA!E105</f>
        <v>4</v>
      </c>
      <c r="F105" t="str">
        <f>RAW_DATA!F105</f>
        <v>Other</v>
      </c>
      <c r="G105">
        <f>RAW_DATA!G105</f>
        <v>1</v>
      </c>
      <c r="H105">
        <f>RAW_DATA!H105</f>
        <v>3</v>
      </c>
      <c r="I105" t="str">
        <f>RAW_DATA!I105</f>
        <v>Single</v>
      </c>
      <c r="J105">
        <f>RAW_DATA!J105</f>
        <v>4809</v>
      </c>
      <c r="K105">
        <f>RAW_DATA!K105</f>
        <v>1</v>
      </c>
      <c r="L105">
        <f>RAW_DATA!L105</f>
        <v>3</v>
      </c>
      <c r="M105">
        <f>RAW_DATA!M105</f>
        <v>16</v>
      </c>
      <c r="N105">
        <f t="shared" si="2"/>
        <v>0</v>
      </c>
      <c r="O105" t="str" cm="1">
        <f t="array" ref="O105" xml:space="preserve"> _xlfn.IFS(A105 &lt;ASSUMPTIONS!$D$2,"25",A105 &lt;= ASSUMPTIONS!$D$3,"25-34",A105 &lt;= ASSUMPTIONS!$D$4, "35-44",A105 &lt;= ASSUMPTIONS!$D$5,"45-54",TRUE,"55+")</f>
        <v>25-34</v>
      </c>
      <c r="P105" t="str" cm="1">
        <f t="array" ref="P105">_xlfn.IFS( J105 &lt;ASSUMPTIONS!$D$7,"LOW",J105 &lt;= ASSUMPTIONS!$D$8,"MEDIUM",TRUE, "HIGH")</f>
        <v>MEDIUM</v>
      </c>
      <c r="Q105" t="str">
        <f>IF(M105&lt;ASSUMPTIONS!$D$10,"New (0-2)",IF(M105&lt;=ASSUMPTIONS!$D$11,"Early (2-5)",IF(M105&lt;=ASSUMPTIONS!$D$12,"Established (5-10)","Veteran (10+)")))</f>
        <v>Veteran (10+)</v>
      </c>
      <c r="R105" s="4">
        <f t="shared" si="3"/>
        <v>2.3333333333333335</v>
      </c>
    </row>
    <row r="106" spans="1:18">
      <c r="A106">
        <f>RAW_DATA!A106</f>
        <v>37</v>
      </c>
      <c r="B106" t="str">
        <f>RAW_DATA!B106</f>
        <v>No</v>
      </c>
      <c r="C106" t="str">
        <f>RAW_DATA!C106</f>
        <v>Research &amp; Development</v>
      </c>
      <c r="D106">
        <f>RAW_DATA!D106</f>
        <v>2</v>
      </c>
      <c r="E106">
        <f>RAW_DATA!E106</f>
        <v>2</v>
      </c>
      <c r="F106" t="str">
        <f>RAW_DATA!F106</f>
        <v>Life Sciences</v>
      </c>
      <c r="G106">
        <f>RAW_DATA!G106</f>
        <v>3</v>
      </c>
      <c r="H106">
        <f>RAW_DATA!H106</f>
        <v>4</v>
      </c>
      <c r="I106" t="str">
        <f>RAW_DATA!I106</f>
        <v>Divorced</v>
      </c>
      <c r="J106">
        <f>RAW_DATA!J106</f>
        <v>5163</v>
      </c>
      <c r="K106">
        <f>RAW_DATA!K106</f>
        <v>5</v>
      </c>
      <c r="L106">
        <f>RAW_DATA!L106</f>
        <v>4</v>
      </c>
      <c r="M106">
        <f>RAW_DATA!M106</f>
        <v>1</v>
      </c>
      <c r="N106">
        <f t="shared" si="2"/>
        <v>0</v>
      </c>
      <c r="O106" t="str" cm="1">
        <f t="array" ref="O106" xml:space="preserve"> _xlfn.IFS(A106 &lt;ASSUMPTIONS!$D$2,"25",A106 &lt;= ASSUMPTIONS!$D$3,"25-34",A106 &lt;= ASSUMPTIONS!$D$4, "35-44",A106 &lt;= ASSUMPTIONS!$D$5,"45-54",TRUE,"55+")</f>
        <v>35-44</v>
      </c>
      <c r="P106" t="str" cm="1">
        <f t="array" ref="P106">_xlfn.IFS( J106 &lt;ASSUMPTIONS!$D$7,"LOW",J106 &lt;= ASSUMPTIONS!$D$8,"MEDIUM",TRUE, "HIGH")</f>
        <v>MEDIUM</v>
      </c>
      <c r="Q106" t="str">
        <f>IF(M106&lt;ASSUMPTIONS!$D$10,"New (0-2)",IF(M106&lt;=ASSUMPTIONS!$D$11,"Early (2-5)",IF(M106&lt;=ASSUMPTIONS!$D$12,"Established (5-10)","Veteran (10+)")))</f>
        <v>New (0-2)</v>
      </c>
      <c r="R106" s="4">
        <f t="shared" si="3"/>
        <v>3.6666666666666665</v>
      </c>
    </row>
    <row r="107" spans="1:18">
      <c r="A107">
        <f>RAW_DATA!A107</f>
        <v>59</v>
      </c>
      <c r="B107" t="str">
        <f>RAW_DATA!B107</f>
        <v>No</v>
      </c>
      <c r="C107" t="str">
        <f>RAW_DATA!C107</f>
        <v>Human Resources</v>
      </c>
      <c r="D107">
        <f>RAW_DATA!D107</f>
        <v>2</v>
      </c>
      <c r="E107">
        <f>RAW_DATA!E107</f>
        <v>4</v>
      </c>
      <c r="F107" t="str">
        <f>RAW_DATA!F107</f>
        <v>Human Resources</v>
      </c>
      <c r="G107">
        <f>RAW_DATA!G107</f>
        <v>3</v>
      </c>
      <c r="H107">
        <f>RAW_DATA!H107</f>
        <v>4</v>
      </c>
      <c r="I107" t="str">
        <f>RAW_DATA!I107</f>
        <v>Married</v>
      </c>
      <c r="J107">
        <f>RAW_DATA!J107</f>
        <v>18844</v>
      </c>
      <c r="K107">
        <f>RAW_DATA!K107</f>
        <v>9</v>
      </c>
      <c r="L107">
        <f>RAW_DATA!L107</f>
        <v>3</v>
      </c>
      <c r="M107">
        <f>RAW_DATA!M107</f>
        <v>3</v>
      </c>
      <c r="N107">
        <f t="shared" si="2"/>
        <v>0</v>
      </c>
      <c r="O107" t="str" cm="1">
        <f t="array" ref="O107" xml:space="preserve"> _xlfn.IFS(A107 &lt;ASSUMPTIONS!$D$2,"25",A107 &lt;= ASSUMPTIONS!$D$3,"25-34",A107 &lt;= ASSUMPTIONS!$D$4, "35-44",A107 &lt;= ASSUMPTIONS!$D$5,"45-54",TRUE,"55+")</f>
        <v>55+</v>
      </c>
      <c r="P107" t="str" cm="1">
        <f t="array" ref="P107">_xlfn.IFS( J107 &lt;ASSUMPTIONS!$D$7,"LOW",J107 &lt;= ASSUMPTIONS!$D$8,"MEDIUM",TRUE, "HIGH")</f>
        <v>HIGH</v>
      </c>
      <c r="Q107" t="str">
        <f>IF(M107&lt;ASSUMPTIONS!$D$10,"New (0-2)",IF(M107&lt;=ASSUMPTIONS!$D$11,"Early (2-5)",IF(M107&lt;=ASSUMPTIONS!$D$12,"Established (5-10)","Veteran (10+)")))</f>
        <v>Early (2-5)</v>
      </c>
      <c r="R107" s="4">
        <f t="shared" si="3"/>
        <v>3.3333333333333335</v>
      </c>
    </row>
    <row r="108" spans="1:18">
      <c r="A108">
        <f>RAW_DATA!A108</f>
        <v>50</v>
      </c>
      <c r="B108" t="str">
        <f>RAW_DATA!B108</f>
        <v>No</v>
      </c>
      <c r="C108" t="str">
        <f>RAW_DATA!C108</f>
        <v>Research &amp; Development</v>
      </c>
      <c r="D108">
        <f>RAW_DATA!D108</f>
        <v>1</v>
      </c>
      <c r="E108">
        <f>RAW_DATA!E108</f>
        <v>3</v>
      </c>
      <c r="F108" t="str">
        <f>RAW_DATA!F108</f>
        <v>Life Sciences</v>
      </c>
      <c r="G108">
        <f>RAW_DATA!G108</f>
        <v>1</v>
      </c>
      <c r="H108">
        <f>RAW_DATA!H108</f>
        <v>2</v>
      </c>
      <c r="I108" t="str">
        <f>RAW_DATA!I108</f>
        <v>Married</v>
      </c>
      <c r="J108">
        <f>RAW_DATA!J108</f>
        <v>18172</v>
      </c>
      <c r="K108">
        <f>RAW_DATA!K108</f>
        <v>3</v>
      </c>
      <c r="L108">
        <f>RAW_DATA!L108</f>
        <v>2</v>
      </c>
      <c r="M108">
        <f>RAW_DATA!M108</f>
        <v>8</v>
      </c>
      <c r="N108">
        <f t="shared" si="2"/>
        <v>0</v>
      </c>
      <c r="O108" t="str" cm="1">
        <f t="array" ref="O108" xml:space="preserve"> _xlfn.IFS(A108 &lt;ASSUMPTIONS!$D$2,"25",A108 &lt;= ASSUMPTIONS!$D$3,"25-34",A108 &lt;= ASSUMPTIONS!$D$4, "35-44",A108 &lt;= ASSUMPTIONS!$D$5,"45-54",TRUE,"55+")</f>
        <v>45-54</v>
      </c>
      <c r="P108" t="str" cm="1">
        <f t="array" ref="P108">_xlfn.IFS( J108 &lt;ASSUMPTIONS!$D$7,"LOW",J108 &lt;= ASSUMPTIONS!$D$8,"MEDIUM",TRUE, "HIGH")</f>
        <v>HIGH</v>
      </c>
      <c r="Q108" t="str">
        <f>IF(M108&lt;ASSUMPTIONS!$D$10,"New (0-2)",IF(M108&lt;=ASSUMPTIONS!$D$11,"Early (2-5)",IF(M108&lt;=ASSUMPTIONS!$D$12,"Established (5-10)","Veteran (10+)")))</f>
        <v>Established (5-10)</v>
      </c>
      <c r="R108" s="4">
        <f t="shared" si="3"/>
        <v>1.6666666666666667</v>
      </c>
    </row>
    <row r="109" spans="1:18">
      <c r="A109">
        <f>RAW_DATA!A109</f>
        <v>25</v>
      </c>
      <c r="B109" t="str">
        <f>RAW_DATA!B109</f>
        <v>Yes</v>
      </c>
      <c r="C109" t="str">
        <f>RAW_DATA!C109</f>
        <v>Sales</v>
      </c>
      <c r="D109">
        <f>RAW_DATA!D109</f>
        <v>5</v>
      </c>
      <c r="E109">
        <f>RAW_DATA!E109</f>
        <v>3</v>
      </c>
      <c r="F109" t="str">
        <f>RAW_DATA!F109</f>
        <v>Marketing</v>
      </c>
      <c r="G109">
        <f>RAW_DATA!G109</f>
        <v>3</v>
      </c>
      <c r="H109">
        <f>RAW_DATA!H109</f>
        <v>3</v>
      </c>
      <c r="I109" t="str">
        <f>RAW_DATA!I109</f>
        <v>Single</v>
      </c>
      <c r="J109">
        <f>RAW_DATA!J109</f>
        <v>5744</v>
      </c>
      <c r="K109">
        <f>RAW_DATA!K109</f>
        <v>1</v>
      </c>
      <c r="L109">
        <f>RAW_DATA!L109</f>
        <v>3</v>
      </c>
      <c r="M109">
        <f>RAW_DATA!M109</f>
        <v>6</v>
      </c>
      <c r="N109">
        <f t="shared" si="2"/>
        <v>1</v>
      </c>
      <c r="O109" t="str" cm="1">
        <f t="array" ref="O109" xml:space="preserve"> _xlfn.IFS(A109 &lt;ASSUMPTIONS!$D$2,"25",A109 &lt;= ASSUMPTIONS!$D$3,"25-34",A109 &lt;= ASSUMPTIONS!$D$4, "35-44",A109 &lt;= ASSUMPTIONS!$D$5,"45-54",TRUE,"55+")</f>
        <v>25-34</v>
      </c>
      <c r="P109" t="str" cm="1">
        <f t="array" ref="P109">_xlfn.IFS( J109 &lt;ASSUMPTIONS!$D$7,"LOW",J109 &lt;= ASSUMPTIONS!$D$8,"MEDIUM",TRUE, "HIGH")</f>
        <v>MEDIUM</v>
      </c>
      <c r="Q109" t="str">
        <f>IF(M109&lt;ASSUMPTIONS!$D$10,"New (0-2)",IF(M109&lt;=ASSUMPTIONS!$D$11,"Early (2-5)",IF(M109&lt;=ASSUMPTIONS!$D$12,"Established (5-10)","Veteran (10+)")))</f>
        <v>Established (5-10)</v>
      </c>
      <c r="R109" s="4">
        <f t="shared" si="3"/>
        <v>3</v>
      </c>
    </row>
    <row r="110" spans="1:18">
      <c r="A110">
        <f>RAW_DATA!A110</f>
        <v>25</v>
      </c>
      <c r="B110" t="str">
        <f>RAW_DATA!B110</f>
        <v>No</v>
      </c>
      <c r="C110" t="str">
        <f>RAW_DATA!C110</f>
        <v>Research &amp; Development</v>
      </c>
      <c r="D110">
        <f>RAW_DATA!D110</f>
        <v>7</v>
      </c>
      <c r="E110">
        <f>RAW_DATA!E110</f>
        <v>1</v>
      </c>
      <c r="F110" t="str">
        <f>RAW_DATA!F110</f>
        <v>Medical</v>
      </c>
      <c r="G110">
        <f>RAW_DATA!G110</f>
        <v>4</v>
      </c>
      <c r="H110">
        <f>RAW_DATA!H110</f>
        <v>4</v>
      </c>
      <c r="I110" t="str">
        <f>RAW_DATA!I110</f>
        <v>Married</v>
      </c>
      <c r="J110">
        <f>RAW_DATA!J110</f>
        <v>2889</v>
      </c>
      <c r="K110">
        <f>RAW_DATA!K110</f>
        <v>1</v>
      </c>
      <c r="L110">
        <f>RAW_DATA!L110</f>
        <v>3</v>
      </c>
      <c r="M110">
        <f>RAW_DATA!M110</f>
        <v>2</v>
      </c>
      <c r="N110">
        <f t="shared" si="2"/>
        <v>0</v>
      </c>
      <c r="O110" t="str" cm="1">
        <f t="array" ref="O110" xml:space="preserve"> _xlfn.IFS(A110 &lt;ASSUMPTIONS!$D$2,"25",A110 &lt;= ASSUMPTIONS!$D$3,"25-34",A110 &lt;= ASSUMPTIONS!$D$4, "35-44",A110 &lt;= ASSUMPTIONS!$D$5,"45-54",TRUE,"55+")</f>
        <v>25-34</v>
      </c>
      <c r="P110" t="str" cm="1">
        <f t="array" ref="P110">_xlfn.IFS( J110 &lt;ASSUMPTIONS!$D$7,"LOW",J110 &lt;= ASSUMPTIONS!$D$8,"MEDIUM",TRUE, "HIGH")</f>
        <v>LOW</v>
      </c>
      <c r="Q110" t="str">
        <f>IF(M110&lt;ASSUMPTIONS!$D$10,"New (0-2)",IF(M110&lt;=ASSUMPTIONS!$D$11,"Early (2-5)",IF(M110&lt;=ASSUMPTIONS!$D$12,"Established (5-10)","Veteran (10+)")))</f>
        <v>Early (2-5)</v>
      </c>
      <c r="R110" s="4">
        <f t="shared" si="3"/>
        <v>3.6666666666666665</v>
      </c>
    </row>
    <row r="111" spans="1:18">
      <c r="A111">
        <f>RAW_DATA!A111</f>
        <v>22</v>
      </c>
      <c r="B111" t="str">
        <f>RAW_DATA!B111</f>
        <v>No</v>
      </c>
      <c r="C111" t="str">
        <f>RAW_DATA!C111</f>
        <v>Research &amp; Development</v>
      </c>
      <c r="D111">
        <f>RAW_DATA!D111</f>
        <v>15</v>
      </c>
      <c r="E111">
        <f>RAW_DATA!E111</f>
        <v>3</v>
      </c>
      <c r="F111" t="str">
        <f>RAW_DATA!F111</f>
        <v>Medical</v>
      </c>
      <c r="G111">
        <f>RAW_DATA!G111</f>
        <v>2</v>
      </c>
      <c r="H111">
        <f>RAW_DATA!H111</f>
        <v>4</v>
      </c>
      <c r="I111" t="str">
        <f>RAW_DATA!I111</f>
        <v>Single</v>
      </c>
      <c r="J111">
        <f>RAW_DATA!J111</f>
        <v>2871</v>
      </c>
      <c r="K111">
        <f>RAW_DATA!K111</f>
        <v>1</v>
      </c>
      <c r="L111">
        <f>RAW_DATA!L111</f>
        <v>3</v>
      </c>
      <c r="M111">
        <f>RAW_DATA!M111</f>
        <v>0</v>
      </c>
      <c r="N111">
        <f t="shared" si="2"/>
        <v>0</v>
      </c>
      <c r="O111" t="str" cm="1">
        <f t="array" ref="O111" xml:space="preserve"> _xlfn.IFS(A111 &lt;ASSUMPTIONS!$D$2,"25",A111 &lt;= ASSUMPTIONS!$D$3,"25-34",A111 &lt;= ASSUMPTIONS!$D$4, "35-44",A111 &lt;= ASSUMPTIONS!$D$5,"45-54",TRUE,"55+")</f>
        <v>25</v>
      </c>
      <c r="P111" t="str" cm="1">
        <f t="array" ref="P111">_xlfn.IFS( J111 &lt;ASSUMPTIONS!$D$7,"LOW",J111 &lt;= ASSUMPTIONS!$D$8,"MEDIUM",TRUE, "HIGH")</f>
        <v>LOW</v>
      </c>
      <c r="Q111" t="str">
        <f>IF(M111&lt;ASSUMPTIONS!$D$10,"New (0-2)",IF(M111&lt;=ASSUMPTIONS!$D$11,"Early (2-5)",IF(M111&lt;=ASSUMPTIONS!$D$12,"Established (5-10)","Veteran (10+)")))</f>
        <v>New (0-2)</v>
      </c>
      <c r="R111" s="4">
        <f t="shared" si="3"/>
        <v>3</v>
      </c>
    </row>
    <row r="112" spans="1:18">
      <c r="A112">
        <f>RAW_DATA!A112</f>
        <v>51</v>
      </c>
      <c r="B112" t="str">
        <f>RAW_DATA!B112</f>
        <v>No</v>
      </c>
      <c r="C112" t="str">
        <f>RAW_DATA!C112</f>
        <v>Research &amp; Development</v>
      </c>
      <c r="D112">
        <f>RAW_DATA!D112</f>
        <v>1</v>
      </c>
      <c r="E112">
        <f>RAW_DATA!E112</f>
        <v>4</v>
      </c>
      <c r="F112" t="str">
        <f>RAW_DATA!F112</f>
        <v>Medical</v>
      </c>
      <c r="G112">
        <f>RAW_DATA!G112</f>
        <v>1</v>
      </c>
      <c r="H112">
        <f>RAW_DATA!H112</f>
        <v>1</v>
      </c>
      <c r="I112" t="str">
        <f>RAW_DATA!I112</f>
        <v>Single</v>
      </c>
      <c r="J112">
        <f>RAW_DATA!J112</f>
        <v>7484</v>
      </c>
      <c r="K112">
        <f>RAW_DATA!K112</f>
        <v>3</v>
      </c>
      <c r="L112">
        <f>RAW_DATA!L112</f>
        <v>2</v>
      </c>
      <c r="M112">
        <f>RAW_DATA!M112</f>
        <v>13</v>
      </c>
      <c r="N112">
        <f t="shared" si="2"/>
        <v>0</v>
      </c>
      <c r="O112" t="str" cm="1">
        <f t="array" ref="O112" xml:space="preserve"> _xlfn.IFS(A112 &lt;ASSUMPTIONS!$D$2,"25",A112 &lt;= ASSUMPTIONS!$D$3,"25-34",A112 &lt;= ASSUMPTIONS!$D$4, "35-44",A112 &lt;= ASSUMPTIONS!$D$5,"45-54",TRUE,"55+")</f>
        <v>45-54</v>
      </c>
      <c r="P112" t="str" cm="1">
        <f t="array" ref="P112">_xlfn.IFS( J112 &lt;ASSUMPTIONS!$D$7,"LOW",J112 &lt;= ASSUMPTIONS!$D$8,"MEDIUM",TRUE, "HIGH")</f>
        <v>HIGH</v>
      </c>
      <c r="Q112" t="str">
        <f>IF(M112&lt;ASSUMPTIONS!$D$10,"New (0-2)",IF(M112&lt;=ASSUMPTIONS!$D$11,"Early (2-5)",IF(M112&lt;=ASSUMPTIONS!$D$12,"Established (5-10)","Veteran (10+)")))</f>
        <v>Veteran (10+)</v>
      </c>
      <c r="R112" s="4">
        <f t="shared" si="3"/>
        <v>1.3333333333333333</v>
      </c>
    </row>
    <row r="113" spans="1:18">
      <c r="A113">
        <f>RAW_DATA!A113</f>
        <v>34</v>
      </c>
      <c r="B113" t="str">
        <f>RAW_DATA!B113</f>
        <v>Yes</v>
      </c>
      <c r="C113" t="str">
        <f>RAW_DATA!C113</f>
        <v>Research &amp; Development</v>
      </c>
      <c r="D113">
        <f>RAW_DATA!D113</f>
        <v>7</v>
      </c>
      <c r="E113">
        <f>RAW_DATA!E113</f>
        <v>3</v>
      </c>
      <c r="F113" t="str">
        <f>RAW_DATA!F113</f>
        <v>Life Sciences</v>
      </c>
      <c r="G113">
        <f>RAW_DATA!G113</f>
        <v>1</v>
      </c>
      <c r="H113">
        <f>RAW_DATA!H113</f>
        <v>3</v>
      </c>
      <c r="I113" t="str">
        <f>RAW_DATA!I113</f>
        <v>Single</v>
      </c>
      <c r="J113">
        <f>RAW_DATA!J113</f>
        <v>6074</v>
      </c>
      <c r="K113">
        <f>RAW_DATA!K113</f>
        <v>1</v>
      </c>
      <c r="L113">
        <f>RAW_DATA!L113</f>
        <v>3</v>
      </c>
      <c r="M113">
        <f>RAW_DATA!M113</f>
        <v>9</v>
      </c>
      <c r="N113">
        <f t="shared" si="2"/>
        <v>1</v>
      </c>
      <c r="O113" t="str" cm="1">
        <f t="array" ref="O113" xml:space="preserve"> _xlfn.IFS(A113 &lt;ASSUMPTIONS!$D$2,"25",A113 &lt;= ASSUMPTIONS!$D$3,"25-34",A113 &lt;= ASSUMPTIONS!$D$4, "35-44",A113 &lt;= ASSUMPTIONS!$D$5,"45-54",TRUE,"55+")</f>
        <v>25-34</v>
      </c>
      <c r="P113" t="str" cm="1">
        <f t="array" ref="P113">_xlfn.IFS( J113 &lt;ASSUMPTIONS!$D$7,"LOW",J113 &lt;= ASSUMPTIONS!$D$8,"MEDIUM",TRUE, "HIGH")</f>
        <v>MEDIUM</v>
      </c>
      <c r="Q113" t="str">
        <f>IF(M113&lt;ASSUMPTIONS!$D$10,"New (0-2)",IF(M113&lt;=ASSUMPTIONS!$D$11,"Early (2-5)",IF(M113&lt;=ASSUMPTIONS!$D$12,"Established (5-10)","Veteran (10+)")))</f>
        <v>Established (5-10)</v>
      </c>
      <c r="R113" s="4">
        <f t="shared" si="3"/>
        <v>2.3333333333333335</v>
      </c>
    </row>
    <row r="114" spans="1:18">
      <c r="A114">
        <f>RAW_DATA!A114</f>
        <v>54</v>
      </c>
      <c r="B114" t="str">
        <f>RAW_DATA!B114</f>
        <v>No</v>
      </c>
      <c r="C114" t="str">
        <f>RAW_DATA!C114</f>
        <v>Human Resources</v>
      </c>
      <c r="D114">
        <f>RAW_DATA!D114</f>
        <v>26</v>
      </c>
      <c r="E114">
        <f>RAW_DATA!E114</f>
        <v>3</v>
      </c>
      <c r="F114" t="str">
        <f>RAW_DATA!F114</f>
        <v>Human Resources</v>
      </c>
      <c r="G114">
        <f>RAW_DATA!G114</f>
        <v>4</v>
      </c>
      <c r="H114">
        <f>RAW_DATA!H114</f>
        <v>4</v>
      </c>
      <c r="I114" t="str">
        <f>RAW_DATA!I114</f>
        <v>Single</v>
      </c>
      <c r="J114">
        <f>RAW_DATA!J114</f>
        <v>17328</v>
      </c>
      <c r="K114">
        <f>RAW_DATA!K114</f>
        <v>2</v>
      </c>
      <c r="L114">
        <f>RAW_DATA!L114</f>
        <v>3</v>
      </c>
      <c r="M114">
        <f>RAW_DATA!M114</f>
        <v>5</v>
      </c>
      <c r="N114">
        <f t="shared" si="2"/>
        <v>0</v>
      </c>
      <c r="O114" t="str" cm="1">
        <f t="array" ref="O114" xml:space="preserve"> _xlfn.IFS(A114 &lt;ASSUMPTIONS!$D$2,"25",A114 &lt;= ASSUMPTIONS!$D$3,"25-34",A114 &lt;= ASSUMPTIONS!$D$4, "35-44",A114 &lt;= ASSUMPTIONS!$D$5,"45-54",TRUE,"55+")</f>
        <v>45-54</v>
      </c>
      <c r="P114" t="str" cm="1">
        <f t="array" ref="P114">_xlfn.IFS( J114 &lt;ASSUMPTIONS!$D$7,"LOW",J114 &lt;= ASSUMPTIONS!$D$8,"MEDIUM",TRUE, "HIGH")</f>
        <v>HIGH</v>
      </c>
      <c r="Q114" t="str">
        <f>IF(M114&lt;ASSUMPTIONS!$D$10,"New (0-2)",IF(M114&lt;=ASSUMPTIONS!$D$11,"Early (2-5)",IF(M114&lt;=ASSUMPTIONS!$D$12,"Established (5-10)","Veteran (10+)")))</f>
        <v>Early (2-5)</v>
      </c>
      <c r="R114" s="4">
        <f t="shared" si="3"/>
        <v>3.6666666666666665</v>
      </c>
    </row>
    <row r="115" spans="1:18">
      <c r="A115">
        <f>RAW_DATA!A115</f>
        <v>24</v>
      </c>
      <c r="B115" t="str">
        <f>RAW_DATA!B115</f>
        <v>No</v>
      </c>
      <c r="C115" t="str">
        <f>RAW_DATA!C115</f>
        <v>Research &amp; Development</v>
      </c>
      <c r="D115">
        <f>RAW_DATA!D115</f>
        <v>18</v>
      </c>
      <c r="E115">
        <f>RAW_DATA!E115</f>
        <v>1</v>
      </c>
      <c r="F115" t="str">
        <f>RAW_DATA!F115</f>
        <v>Life Sciences</v>
      </c>
      <c r="G115">
        <f>RAW_DATA!G115</f>
        <v>2</v>
      </c>
      <c r="H115">
        <f>RAW_DATA!H115</f>
        <v>3</v>
      </c>
      <c r="I115" t="str">
        <f>RAW_DATA!I115</f>
        <v>Married</v>
      </c>
      <c r="J115">
        <f>RAW_DATA!J115</f>
        <v>2774</v>
      </c>
      <c r="K115">
        <f>RAW_DATA!K115</f>
        <v>0</v>
      </c>
      <c r="L115">
        <f>RAW_DATA!L115</f>
        <v>3</v>
      </c>
      <c r="M115">
        <f>RAW_DATA!M115</f>
        <v>5</v>
      </c>
      <c r="N115">
        <f t="shared" si="2"/>
        <v>0</v>
      </c>
      <c r="O115" t="str" cm="1">
        <f t="array" ref="O115" xml:space="preserve"> _xlfn.IFS(A115 &lt;ASSUMPTIONS!$D$2,"25",A115 &lt;= ASSUMPTIONS!$D$3,"25-34",A115 &lt;= ASSUMPTIONS!$D$4, "35-44",A115 &lt;= ASSUMPTIONS!$D$5,"45-54",TRUE,"55+")</f>
        <v>25</v>
      </c>
      <c r="P115" t="str" cm="1">
        <f t="array" ref="P115">_xlfn.IFS( J115 &lt;ASSUMPTIONS!$D$7,"LOW",J115 &lt;= ASSUMPTIONS!$D$8,"MEDIUM",TRUE, "HIGH")</f>
        <v>LOW</v>
      </c>
      <c r="Q115" t="str">
        <f>IF(M115&lt;ASSUMPTIONS!$D$10,"New (0-2)",IF(M115&lt;=ASSUMPTIONS!$D$11,"Early (2-5)",IF(M115&lt;=ASSUMPTIONS!$D$12,"Established (5-10)","Veteran (10+)")))</f>
        <v>Early (2-5)</v>
      </c>
      <c r="R115" s="4">
        <f t="shared" si="3"/>
        <v>2.6666666666666665</v>
      </c>
    </row>
    <row r="116" spans="1:18">
      <c r="A116">
        <f>RAW_DATA!A116</f>
        <v>34</v>
      </c>
      <c r="B116" t="str">
        <f>RAW_DATA!B116</f>
        <v>No</v>
      </c>
      <c r="C116" t="str">
        <f>RAW_DATA!C116</f>
        <v>Research &amp; Development</v>
      </c>
      <c r="D116">
        <f>RAW_DATA!D116</f>
        <v>6</v>
      </c>
      <c r="E116">
        <f>RAW_DATA!E116</f>
        <v>4</v>
      </c>
      <c r="F116" t="str">
        <f>RAW_DATA!F116</f>
        <v>Life Sciences</v>
      </c>
      <c r="G116">
        <f>RAW_DATA!G116</f>
        <v>3</v>
      </c>
      <c r="H116">
        <f>RAW_DATA!H116</f>
        <v>2</v>
      </c>
      <c r="I116" t="str">
        <f>RAW_DATA!I116</f>
        <v>Divorced</v>
      </c>
      <c r="J116">
        <f>RAW_DATA!J116</f>
        <v>4505</v>
      </c>
      <c r="K116">
        <f>RAW_DATA!K116</f>
        <v>6</v>
      </c>
      <c r="L116">
        <f>RAW_DATA!L116</f>
        <v>3</v>
      </c>
      <c r="M116">
        <f>RAW_DATA!M116</f>
        <v>1</v>
      </c>
      <c r="N116">
        <f t="shared" si="2"/>
        <v>0</v>
      </c>
      <c r="O116" t="str" cm="1">
        <f t="array" ref="O116" xml:space="preserve"> _xlfn.IFS(A116 &lt;ASSUMPTIONS!$D$2,"25",A116 &lt;= ASSUMPTIONS!$D$3,"25-34",A116 &lt;= ASSUMPTIONS!$D$4, "35-44",A116 &lt;= ASSUMPTIONS!$D$5,"45-54",TRUE,"55+")</f>
        <v>25-34</v>
      </c>
      <c r="P116" t="str" cm="1">
        <f t="array" ref="P116">_xlfn.IFS( J116 &lt;ASSUMPTIONS!$D$7,"LOW",J116 &lt;= ASSUMPTIONS!$D$8,"MEDIUM",TRUE, "HIGH")</f>
        <v>MEDIUM</v>
      </c>
      <c r="Q116" t="str">
        <f>IF(M116&lt;ASSUMPTIONS!$D$10,"New (0-2)",IF(M116&lt;=ASSUMPTIONS!$D$11,"Early (2-5)",IF(M116&lt;=ASSUMPTIONS!$D$12,"Established (5-10)","Veteran (10+)")))</f>
        <v>New (0-2)</v>
      </c>
      <c r="R116" s="4">
        <f t="shared" si="3"/>
        <v>2.6666666666666665</v>
      </c>
    </row>
    <row r="117" spans="1:18">
      <c r="A117">
        <f>RAW_DATA!A117</f>
        <v>37</v>
      </c>
      <c r="B117" t="str">
        <f>RAW_DATA!B117</f>
        <v>No</v>
      </c>
      <c r="C117" t="str">
        <f>RAW_DATA!C117</f>
        <v>Sales</v>
      </c>
      <c r="D117">
        <f>RAW_DATA!D117</f>
        <v>3</v>
      </c>
      <c r="E117">
        <f>RAW_DATA!E117</f>
        <v>3</v>
      </c>
      <c r="F117" t="str">
        <f>RAW_DATA!F117</f>
        <v>Life Sciences</v>
      </c>
      <c r="G117">
        <f>RAW_DATA!G117</f>
        <v>3</v>
      </c>
      <c r="H117">
        <f>RAW_DATA!H117</f>
        <v>4</v>
      </c>
      <c r="I117" t="str">
        <f>RAW_DATA!I117</f>
        <v>Single</v>
      </c>
      <c r="J117">
        <f>RAW_DATA!J117</f>
        <v>7428</v>
      </c>
      <c r="K117">
        <f>RAW_DATA!K117</f>
        <v>2</v>
      </c>
      <c r="L117">
        <f>RAW_DATA!L117</f>
        <v>3</v>
      </c>
      <c r="M117">
        <f>RAW_DATA!M117</f>
        <v>5</v>
      </c>
      <c r="N117">
        <f t="shared" si="2"/>
        <v>0</v>
      </c>
      <c r="O117" t="str" cm="1">
        <f t="array" ref="O117" xml:space="preserve"> _xlfn.IFS(A117 &lt;ASSUMPTIONS!$D$2,"25",A117 &lt;= ASSUMPTIONS!$D$3,"25-34",A117 &lt;= ASSUMPTIONS!$D$4, "35-44",A117 &lt;= ASSUMPTIONS!$D$5,"45-54",TRUE,"55+")</f>
        <v>35-44</v>
      </c>
      <c r="P117" t="str" cm="1">
        <f t="array" ref="P117">_xlfn.IFS( J117 &lt;ASSUMPTIONS!$D$7,"LOW",J117 &lt;= ASSUMPTIONS!$D$8,"MEDIUM",TRUE, "HIGH")</f>
        <v>HIGH</v>
      </c>
      <c r="Q117" t="str">
        <f>IF(M117&lt;ASSUMPTIONS!$D$10,"New (0-2)",IF(M117&lt;=ASSUMPTIONS!$D$11,"Early (2-5)",IF(M117&lt;=ASSUMPTIONS!$D$12,"Established (5-10)","Veteran (10+)")))</f>
        <v>Early (2-5)</v>
      </c>
      <c r="R117" s="4">
        <f t="shared" si="3"/>
        <v>3.3333333333333335</v>
      </c>
    </row>
    <row r="118" spans="1:18">
      <c r="A118">
        <f>RAW_DATA!A118</f>
        <v>34</v>
      </c>
      <c r="B118" t="str">
        <f>RAW_DATA!B118</f>
        <v>No</v>
      </c>
      <c r="C118" t="str">
        <f>RAW_DATA!C118</f>
        <v>Research &amp; Development</v>
      </c>
      <c r="D118">
        <f>RAW_DATA!D118</f>
        <v>5</v>
      </c>
      <c r="E118">
        <f>RAW_DATA!E118</f>
        <v>3</v>
      </c>
      <c r="F118" t="str">
        <f>RAW_DATA!F118</f>
        <v>Medical</v>
      </c>
      <c r="G118">
        <f>RAW_DATA!G118</f>
        <v>3</v>
      </c>
      <c r="H118">
        <f>RAW_DATA!H118</f>
        <v>1</v>
      </c>
      <c r="I118" t="str">
        <f>RAW_DATA!I118</f>
        <v>Single</v>
      </c>
      <c r="J118">
        <f>RAW_DATA!J118</f>
        <v>11631</v>
      </c>
      <c r="K118">
        <f>RAW_DATA!K118</f>
        <v>2</v>
      </c>
      <c r="L118">
        <f>RAW_DATA!L118</f>
        <v>3</v>
      </c>
      <c r="M118">
        <f>RAW_DATA!M118</f>
        <v>11</v>
      </c>
      <c r="N118">
        <f t="shared" si="2"/>
        <v>0</v>
      </c>
      <c r="O118" t="str" cm="1">
        <f t="array" ref="O118" xml:space="preserve"> _xlfn.IFS(A118 &lt;ASSUMPTIONS!$D$2,"25",A118 &lt;= ASSUMPTIONS!$D$3,"25-34",A118 &lt;= ASSUMPTIONS!$D$4, "35-44",A118 &lt;= ASSUMPTIONS!$D$5,"45-54",TRUE,"55+")</f>
        <v>25-34</v>
      </c>
      <c r="P118" t="str" cm="1">
        <f t="array" ref="P118">_xlfn.IFS( J118 &lt;ASSUMPTIONS!$D$7,"LOW",J118 &lt;= ASSUMPTIONS!$D$8,"MEDIUM",TRUE, "HIGH")</f>
        <v>HIGH</v>
      </c>
      <c r="Q118" t="str">
        <f>IF(M118&lt;ASSUMPTIONS!$D$10,"New (0-2)",IF(M118&lt;=ASSUMPTIONS!$D$11,"Early (2-5)",IF(M118&lt;=ASSUMPTIONS!$D$12,"Established (5-10)","Veteran (10+)")))</f>
        <v>Veteran (10+)</v>
      </c>
      <c r="R118" s="4">
        <f t="shared" si="3"/>
        <v>2.3333333333333335</v>
      </c>
    </row>
    <row r="119" spans="1:18">
      <c r="A119">
        <f>RAW_DATA!A119</f>
        <v>36</v>
      </c>
      <c r="B119" t="str">
        <f>RAW_DATA!B119</f>
        <v>No</v>
      </c>
      <c r="C119" t="str">
        <f>RAW_DATA!C119</f>
        <v>Sales</v>
      </c>
      <c r="D119">
        <f>RAW_DATA!D119</f>
        <v>11</v>
      </c>
      <c r="E119">
        <f>RAW_DATA!E119</f>
        <v>2</v>
      </c>
      <c r="F119" t="str">
        <f>RAW_DATA!F119</f>
        <v>Technical Degree</v>
      </c>
      <c r="G119">
        <f>RAW_DATA!G119</f>
        <v>2</v>
      </c>
      <c r="H119">
        <f>RAW_DATA!H119</f>
        <v>4</v>
      </c>
      <c r="I119" t="str">
        <f>RAW_DATA!I119</f>
        <v>Married</v>
      </c>
      <c r="J119">
        <f>RAW_DATA!J119</f>
        <v>9738</v>
      </c>
      <c r="K119">
        <f>RAW_DATA!K119</f>
        <v>0</v>
      </c>
      <c r="L119">
        <f>RAW_DATA!L119</f>
        <v>3</v>
      </c>
      <c r="M119">
        <f>RAW_DATA!M119</f>
        <v>9</v>
      </c>
      <c r="N119">
        <f t="shared" si="2"/>
        <v>0</v>
      </c>
      <c r="O119" t="str" cm="1">
        <f t="array" ref="O119" xml:space="preserve"> _xlfn.IFS(A119 &lt;ASSUMPTIONS!$D$2,"25",A119 &lt;= ASSUMPTIONS!$D$3,"25-34",A119 &lt;= ASSUMPTIONS!$D$4, "35-44",A119 &lt;= ASSUMPTIONS!$D$5,"45-54",TRUE,"55+")</f>
        <v>35-44</v>
      </c>
      <c r="P119" t="str" cm="1">
        <f t="array" ref="P119">_xlfn.IFS( J119 &lt;ASSUMPTIONS!$D$7,"LOW",J119 &lt;= ASSUMPTIONS!$D$8,"MEDIUM",TRUE, "HIGH")</f>
        <v>HIGH</v>
      </c>
      <c r="Q119" t="str">
        <f>IF(M119&lt;ASSUMPTIONS!$D$10,"New (0-2)",IF(M119&lt;=ASSUMPTIONS!$D$11,"Early (2-5)",IF(M119&lt;=ASSUMPTIONS!$D$12,"Established (5-10)","Veteran (10+)")))</f>
        <v>Established (5-10)</v>
      </c>
      <c r="R119" s="4">
        <f t="shared" si="3"/>
        <v>3</v>
      </c>
    </row>
    <row r="120" spans="1:18">
      <c r="A120">
        <f>RAW_DATA!A120</f>
        <v>36</v>
      </c>
      <c r="B120" t="str">
        <f>RAW_DATA!B120</f>
        <v>No</v>
      </c>
      <c r="C120" t="str">
        <f>RAW_DATA!C120</f>
        <v>Research &amp; Development</v>
      </c>
      <c r="D120">
        <f>RAW_DATA!D120</f>
        <v>3</v>
      </c>
      <c r="E120">
        <f>RAW_DATA!E120</f>
        <v>2</v>
      </c>
      <c r="F120" t="str">
        <f>RAW_DATA!F120</f>
        <v>Life Sciences</v>
      </c>
      <c r="G120">
        <f>RAW_DATA!G120</f>
        <v>1</v>
      </c>
      <c r="H120">
        <f>RAW_DATA!H120</f>
        <v>4</v>
      </c>
      <c r="I120" t="str">
        <f>RAW_DATA!I120</f>
        <v>Divorced</v>
      </c>
      <c r="J120">
        <f>RAW_DATA!J120</f>
        <v>2835</v>
      </c>
      <c r="K120">
        <f>RAW_DATA!K120</f>
        <v>5</v>
      </c>
      <c r="L120">
        <f>RAW_DATA!L120</f>
        <v>3</v>
      </c>
      <c r="M120">
        <f>RAW_DATA!M120</f>
        <v>1</v>
      </c>
      <c r="N120">
        <f t="shared" si="2"/>
        <v>0</v>
      </c>
      <c r="O120" t="str" cm="1">
        <f t="array" ref="O120" xml:space="preserve"> _xlfn.IFS(A120 &lt;ASSUMPTIONS!$D$2,"25",A120 &lt;= ASSUMPTIONS!$D$3,"25-34",A120 &lt;= ASSUMPTIONS!$D$4, "35-44",A120 &lt;= ASSUMPTIONS!$D$5,"45-54",TRUE,"55+")</f>
        <v>35-44</v>
      </c>
      <c r="P120" t="str" cm="1">
        <f t="array" ref="P120">_xlfn.IFS( J120 &lt;ASSUMPTIONS!$D$7,"LOW",J120 &lt;= ASSUMPTIONS!$D$8,"MEDIUM",TRUE, "HIGH")</f>
        <v>LOW</v>
      </c>
      <c r="Q120" t="str">
        <f>IF(M120&lt;ASSUMPTIONS!$D$10,"New (0-2)",IF(M120&lt;=ASSUMPTIONS!$D$11,"Early (2-5)",IF(M120&lt;=ASSUMPTIONS!$D$12,"Established (5-10)","Veteran (10+)")))</f>
        <v>New (0-2)</v>
      </c>
      <c r="R120" s="4">
        <f t="shared" si="3"/>
        <v>2.6666666666666665</v>
      </c>
    </row>
    <row r="121" spans="1:18">
      <c r="A121">
        <f>RAW_DATA!A121</f>
        <v>43</v>
      </c>
      <c r="B121" t="str">
        <f>RAW_DATA!B121</f>
        <v>No</v>
      </c>
      <c r="C121" t="str">
        <f>RAW_DATA!C121</f>
        <v>Sales</v>
      </c>
      <c r="D121">
        <f>RAW_DATA!D121</f>
        <v>26</v>
      </c>
      <c r="E121">
        <f>RAW_DATA!E121</f>
        <v>2</v>
      </c>
      <c r="F121" t="str">
        <f>RAW_DATA!F121</f>
        <v>Life Sciences</v>
      </c>
      <c r="G121">
        <f>RAW_DATA!G121</f>
        <v>3</v>
      </c>
      <c r="H121">
        <f>RAW_DATA!H121</f>
        <v>4</v>
      </c>
      <c r="I121" t="str">
        <f>RAW_DATA!I121</f>
        <v>Married</v>
      </c>
      <c r="J121">
        <f>RAW_DATA!J121</f>
        <v>16959</v>
      </c>
      <c r="K121">
        <f>RAW_DATA!K121</f>
        <v>1</v>
      </c>
      <c r="L121">
        <f>RAW_DATA!L121</f>
        <v>4</v>
      </c>
      <c r="M121">
        <f>RAW_DATA!M121</f>
        <v>25</v>
      </c>
      <c r="N121">
        <f t="shared" si="2"/>
        <v>0</v>
      </c>
      <c r="O121" t="str" cm="1">
        <f t="array" ref="O121" xml:space="preserve"> _xlfn.IFS(A121 &lt;ASSUMPTIONS!$D$2,"25",A121 &lt;= ASSUMPTIONS!$D$3,"25-34",A121 &lt;= ASSUMPTIONS!$D$4, "35-44",A121 &lt;= ASSUMPTIONS!$D$5,"45-54",TRUE,"55+")</f>
        <v>35-44</v>
      </c>
      <c r="P121" t="str" cm="1">
        <f t="array" ref="P121">_xlfn.IFS( J121 &lt;ASSUMPTIONS!$D$7,"LOW",J121 &lt;= ASSUMPTIONS!$D$8,"MEDIUM",TRUE, "HIGH")</f>
        <v>HIGH</v>
      </c>
      <c r="Q121" t="str">
        <f>IF(M121&lt;ASSUMPTIONS!$D$10,"New (0-2)",IF(M121&lt;=ASSUMPTIONS!$D$11,"Early (2-5)",IF(M121&lt;=ASSUMPTIONS!$D$12,"Established (5-10)","Veteran (10+)")))</f>
        <v>Veteran (10+)</v>
      </c>
      <c r="R121" s="4">
        <f t="shared" si="3"/>
        <v>3.6666666666666665</v>
      </c>
    </row>
    <row r="122" spans="1:18">
      <c r="A122">
        <f>RAW_DATA!A122</f>
        <v>30</v>
      </c>
      <c r="B122" t="str">
        <f>RAW_DATA!B122</f>
        <v>No</v>
      </c>
      <c r="C122" t="str">
        <f>RAW_DATA!C122</f>
        <v>Research &amp; Development</v>
      </c>
      <c r="D122">
        <f>RAW_DATA!D122</f>
        <v>23</v>
      </c>
      <c r="E122">
        <f>RAW_DATA!E122</f>
        <v>3</v>
      </c>
      <c r="F122" t="str">
        <f>RAW_DATA!F122</f>
        <v>Life Sciences</v>
      </c>
      <c r="G122">
        <f>RAW_DATA!G122</f>
        <v>1</v>
      </c>
      <c r="H122">
        <f>RAW_DATA!H122</f>
        <v>3</v>
      </c>
      <c r="I122" t="str">
        <f>RAW_DATA!I122</f>
        <v>Divorced</v>
      </c>
      <c r="J122">
        <f>RAW_DATA!J122</f>
        <v>2613</v>
      </c>
      <c r="K122">
        <f>RAW_DATA!K122</f>
        <v>1</v>
      </c>
      <c r="L122">
        <f>RAW_DATA!L122</f>
        <v>2</v>
      </c>
      <c r="M122">
        <f>RAW_DATA!M122</f>
        <v>10</v>
      </c>
      <c r="N122">
        <f t="shared" si="2"/>
        <v>0</v>
      </c>
      <c r="O122" t="str" cm="1">
        <f t="array" ref="O122" xml:space="preserve"> _xlfn.IFS(A122 &lt;ASSUMPTIONS!$D$2,"25",A122 &lt;= ASSUMPTIONS!$D$3,"25-34",A122 &lt;= ASSUMPTIONS!$D$4, "35-44",A122 &lt;= ASSUMPTIONS!$D$5,"45-54",TRUE,"55+")</f>
        <v>25-34</v>
      </c>
      <c r="P122" t="str" cm="1">
        <f t="array" ref="P122">_xlfn.IFS( J122 &lt;ASSUMPTIONS!$D$7,"LOW",J122 &lt;= ASSUMPTIONS!$D$8,"MEDIUM",TRUE, "HIGH")</f>
        <v>LOW</v>
      </c>
      <c r="Q122" t="str">
        <f>IF(M122&lt;ASSUMPTIONS!$D$10,"New (0-2)",IF(M122&lt;=ASSUMPTIONS!$D$11,"Early (2-5)",IF(M122&lt;=ASSUMPTIONS!$D$12,"Established (5-10)","Veteran (10+)")))</f>
        <v>Established (5-10)</v>
      </c>
      <c r="R122" s="4">
        <f t="shared" si="3"/>
        <v>2</v>
      </c>
    </row>
    <row r="123" spans="1:18">
      <c r="A123">
        <f>RAW_DATA!A123</f>
        <v>33</v>
      </c>
      <c r="B123" t="str">
        <f>RAW_DATA!B123</f>
        <v>No</v>
      </c>
      <c r="C123" t="str">
        <f>RAW_DATA!C123</f>
        <v>Sales</v>
      </c>
      <c r="D123">
        <f>RAW_DATA!D123</f>
        <v>22</v>
      </c>
      <c r="E123">
        <f>RAW_DATA!E123</f>
        <v>2</v>
      </c>
      <c r="F123" t="str">
        <f>RAW_DATA!F123</f>
        <v>Marketing</v>
      </c>
      <c r="G123">
        <f>RAW_DATA!G123</f>
        <v>3</v>
      </c>
      <c r="H123">
        <f>RAW_DATA!H123</f>
        <v>2</v>
      </c>
      <c r="I123" t="str">
        <f>RAW_DATA!I123</f>
        <v>Married</v>
      </c>
      <c r="J123">
        <f>RAW_DATA!J123</f>
        <v>6146</v>
      </c>
      <c r="K123">
        <f>RAW_DATA!K123</f>
        <v>0</v>
      </c>
      <c r="L123">
        <f>RAW_DATA!L123</f>
        <v>4</v>
      </c>
      <c r="M123">
        <f>RAW_DATA!M123</f>
        <v>7</v>
      </c>
      <c r="N123">
        <f t="shared" si="2"/>
        <v>0</v>
      </c>
      <c r="O123" t="str" cm="1">
        <f t="array" ref="O123" xml:space="preserve"> _xlfn.IFS(A123 &lt;ASSUMPTIONS!$D$2,"25",A123 &lt;= ASSUMPTIONS!$D$3,"25-34",A123 &lt;= ASSUMPTIONS!$D$4, "35-44",A123 &lt;= ASSUMPTIONS!$D$5,"45-54",TRUE,"55+")</f>
        <v>25-34</v>
      </c>
      <c r="P123" t="str" cm="1">
        <f t="array" ref="P123">_xlfn.IFS( J123 &lt;ASSUMPTIONS!$D$7,"LOW",J123 &lt;= ASSUMPTIONS!$D$8,"MEDIUM",TRUE, "HIGH")</f>
        <v>MEDIUM</v>
      </c>
      <c r="Q123" t="str">
        <f>IF(M123&lt;ASSUMPTIONS!$D$10,"New (0-2)",IF(M123&lt;=ASSUMPTIONS!$D$11,"Early (2-5)",IF(M123&lt;=ASSUMPTIONS!$D$12,"Established (5-10)","Veteran (10+)")))</f>
        <v>Established (5-10)</v>
      </c>
      <c r="R123" s="4">
        <f t="shared" si="3"/>
        <v>3</v>
      </c>
    </row>
    <row r="124" spans="1:18">
      <c r="A124">
        <f>RAW_DATA!A124</f>
        <v>56</v>
      </c>
      <c r="B124" t="str">
        <f>RAW_DATA!B124</f>
        <v>Yes</v>
      </c>
      <c r="C124" t="str">
        <f>RAW_DATA!C124</f>
        <v>Research &amp; Development</v>
      </c>
      <c r="D124">
        <f>RAW_DATA!D124</f>
        <v>14</v>
      </c>
      <c r="E124">
        <f>RAW_DATA!E124</f>
        <v>4</v>
      </c>
      <c r="F124" t="str">
        <f>RAW_DATA!F124</f>
        <v>Life Sciences</v>
      </c>
      <c r="G124">
        <f>RAW_DATA!G124</f>
        <v>2</v>
      </c>
      <c r="H124">
        <f>RAW_DATA!H124</f>
        <v>2</v>
      </c>
      <c r="I124" t="str">
        <f>RAW_DATA!I124</f>
        <v>Married</v>
      </c>
      <c r="J124">
        <f>RAW_DATA!J124</f>
        <v>4963</v>
      </c>
      <c r="K124">
        <f>RAW_DATA!K124</f>
        <v>9</v>
      </c>
      <c r="L124">
        <f>RAW_DATA!L124</f>
        <v>3</v>
      </c>
      <c r="M124">
        <f>RAW_DATA!M124</f>
        <v>5</v>
      </c>
      <c r="N124">
        <f t="shared" si="2"/>
        <v>1</v>
      </c>
      <c r="O124" t="str" cm="1">
        <f t="array" ref="O124" xml:space="preserve"> _xlfn.IFS(A124 &lt;ASSUMPTIONS!$D$2,"25",A124 &lt;= ASSUMPTIONS!$D$3,"25-34",A124 &lt;= ASSUMPTIONS!$D$4, "35-44",A124 &lt;= ASSUMPTIONS!$D$5,"45-54",TRUE,"55+")</f>
        <v>55+</v>
      </c>
      <c r="P124" t="str" cm="1">
        <f t="array" ref="P124">_xlfn.IFS( J124 &lt;ASSUMPTIONS!$D$7,"LOW",J124 &lt;= ASSUMPTIONS!$D$8,"MEDIUM",TRUE, "HIGH")</f>
        <v>MEDIUM</v>
      </c>
      <c r="Q124" t="str">
        <f>IF(M124&lt;ASSUMPTIONS!$D$10,"New (0-2)",IF(M124&lt;=ASSUMPTIONS!$D$11,"Early (2-5)",IF(M124&lt;=ASSUMPTIONS!$D$12,"Established (5-10)","Veteran (10+)")))</f>
        <v>Early (2-5)</v>
      </c>
      <c r="R124" s="4">
        <f t="shared" si="3"/>
        <v>2.3333333333333335</v>
      </c>
    </row>
    <row r="125" spans="1:18">
      <c r="A125">
        <f>RAW_DATA!A125</f>
        <v>51</v>
      </c>
      <c r="B125" t="str">
        <f>RAW_DATA!B125</f>
        <v>No</v>
      </c>
      <c r="C125" t="str">
        <f>RAW_DATA!C125</f>
        <v>Research &amp; Development</v>
      </c>
      <c r="D125">
        <f>RAW_DATA!D125</f>
        <v>6</v>
      </c>
      <c r="E125">
        <f>RAW_DATA!E125</f>
        <v>3</v>
      </c>
      <c r="F125" t="str">
        <f>RAW_DATA!F125</f>
        <v>Life Sciences</v>
      </c>
      <c r="G125">
        <f>RAW_DATA!G125</f>
        <v>1</v>
      </c>
      <c r="H125">
        <f>RAW_DATA!H125</f>
        <v>3</v>
      </c>
      <c r="I125" t="str">
        <f>RAW_DATA!I125</f>
        <v>Single</v>
      </c>
      <c r="J125">
        <f>RAW_DATA!J125</f>
        <v>19537</v>
      </c>
      <c r="K125">
        <f>RAW_DATA!K125</f>
        <v>7</v>
      </c>
      <c r="L125">
        <f>RAW_DATA!L125</f>
        <v>3</v>
      </c>
      <c r="M125">
        <f>RAW_DATA!M125</f>
        <v>20</v>
      </c>
      <c r="N125">
        <f t="shared" si="2"/>
        <v>0</v>
      </c>
      <c r="O125" t="str" cm="1">
        <f t="array" ref="O125" xml:space="preserve"> _xlfn.IFS(A125 &lt;ASSUMPTIONS!$D$2,"25",A125 &lt;= ASSUMPTIONS!$D$3,"25-34",A125 &lt;= ASSUMPTIONS!$D$4, "35-44",A125 &lt;= ASSUMPTIONS!$D$5,"45-54",TRUE,"55+")</f>
        <v>45-54</v>
      </c>
      <c r="P125" t="str" cm="1">
        <f t="array" ref="P125">_xlfn.IFS( J125 &lt;ASSUMPTIONS!$D$7,"LOW",J125 &lt;= ASSUMPTIONS!$D$8,"MEDIUM",TRUE, "HIGH")</f>
        <v>HIGH</v>
      </c>
      <c r="Q125" t="str">
        <f>IF(M125&lt;ASSUMPTIONS!$D$10,"New (0-2)",IF(M125&lt;=ASSUMPTIONS!$D$11,"Early (2-5)",IF(M125&lt;=ASSUMPTIONS!$D$12,"Established (5-10)","Veteran (10+)")))</f>
        <v>Veteran (10+)</v>
      </c>
      <c r="R125" s="4">
        <f t="shared" si="3"/>
        <v>2.3333333333333335</v>
      </c>
    </row>
    <row r="126" spans="1:18">
      <c r="A126">
        <f>RAW_DATA!A126</f>
        <v>31</v>
      </c>
      <c r="B126" t="str">
        <f>RAW_DATA!B126</f>
        <v>Yes</v>
      </c>
      <c r="C126" t="str">
        <f>RAW_DATA!C126</f>
        <v>Sales</v>
      </c>
      <c r="D126">
        <f>RAW_DATA!D126</f>
        <v>6</v>
      </c>
      <c r="E126">
        <f>RAW_DATA!E126</f>
        <v>4</v>
      </c>
      <c r="F126" t="str">
        <f>RAW_DATA!F126</f>
        <v>Life Sciences</v>
      </c>
      <c r="G126">
        <f>RAW_DATA!G126</f>
        <v>2</v>
      </c>
      <c r="H126">
        <f>RAW_DATA!H126</f>
        <v>3</v>
      </c>
      <c r="I126" t="str">
        <f>RAW_DATA!I126</f>
        <v>Married</v>
      </c>
      <c r="J126">
        <f>RAW_DATA!J126</f>
        <v>6172</v>
      </c>
      <c r="K126">
        <f>RAW_DATA!K126</f>
        <v>4</v>
      </c>
      <c r="L126">
        <f>RAW_DATA!L126</f>
        <v>2</v>
      </c>
      <c r="M126">
        <f>RAW_DATA!M126</f>
        <v>7</v>
      </c>
      <c r="N126">
        <f t="shared" si="2"/>
        <v>1</v>
      </c>
      <c r="O126" t="str" cm="1">
        <f t="array" ref="O126" xml:space="preserve"> _xlfn.IFS(A126 &lt;ASSUMPTIONS!$D$2,"25",A126 &lt;= ASSUMPTIONS!$D$3,"25-34",A126 &lt;= ASSUMPTIONS!$D$4, "35-44",A126 &lt;= ASSUMPTIONS!$D$5,"45-54",TRUE,"55+")</f>
        <v>25-34</v>
      </c>
      <c r="P126" t="str" cm="1">
        <f t="array" ref="P126">_xlfn.IFS( J126 &lt;ASSUMPTIONS!$D$7,"LOW",J126 &lt;= ASSUMPTIONS!$D$8,"MEDIUM",TRUE, "HIGH")</f>
        <v>MEDIUM</v>
      </c>
      <c r="Q126" t="str">
        <f>IF(M126&lt;ASSUMPTIONS!$D$10,"New (0-2)",IF(M126&lt;=ASSUMPTIONS!$D$11,"Early (2-5)",IF(M126&lt;=ASSUMPTIONS!$D$12,"Established (5-10)","Veteran (10+)")))</f>
        <v>Established (5-10)</v>
      </c>
      <c r="R126" s="4">
        <f t="shared" si="3"/>
        <v>2.3333333333333335</v>
      </c>
    </row>
    <row r="127" spans="1:18">
      <c r="A127">
        <f>RAW_DATA!A127</f>
        <v>26</v>
      </c>
      <c r="B127" t="str">
        <f>RAW_DATA!B127</f>
        <v>No</v>
      </c>
      <c r="C127" t="str">
        <f>RAW_DATA!C127</f>
        <v>Research &amp; Development</v>
      </c>
      <c r="D127">
        <f>RAW_DATA!D127</f>
        <v>6</v>
      </c>
      <c r="E127">
        <f>RAW_DATA!E127</f>
        <v>3</v>
      </c>
      <c r="F127" t="str">
        <f>RAW_DATA!F127</f>
        <v>Other</v>
      </c>
      <c r="G127">
        <f>RAW_DATA!G127</f>
        <v>3</v>
      </c>
      <c r="H127">
        <f>RAW_DATA!H127</f>
        <v>2</v>
      </c>
      <c r="I127" t="str">
        <f>RAW_DATA!I127</f>
        <v>Married</v>
      </c>
      <c r="J127">
        <f>RAW_DATA!J127</f>
        <v>2368</v>
      </c>
      <c r="K127">
        <f>RAW_DATA!K127</f>
        <v>1</v>
      </c>
      <c r="L127">
        <f>RAW_DATA!L127</f>
        <v>2</v>
      </c>
      <c r="M127">
        <f>RAW_DATA!M127</f>
        <v>5</v>
      </c>
      <c r="N127">
        <f t="shared" si="2"/>
        <v>0</v>
      </c>
      <c r="O127" t="str" cm="1">
        <f t="array" ref="O127" xml:space="preserve"> _xlfn.IFS(A127 &lt;ASSUMPTIONS!$D$2,"25",A127 &lt;= ASSUMPTIONS!$D$3,"25-34",A127 &lt;= ASSUMPTIONS!$D$4, "35-44",A127 &lt;= ASSUMPTIONS!$D$5,"45-54",TRUE,"55+")</f>
        <v>25-34</v>
      </c>
      <c r="P127" t="str" cm="1">
        <f t="array" ref="P127">_xlfn.IFS( J127 &lt;ASSUMPTIONS!$D$7,"LOW",J127 &lt;= ASSUMPTIONS!$D$8,"MEDIUM",TRUE, "HIGH")</f>
        <v>LOW</v>
      </c>
      <c r="Q127" t="str">
        <f>IF(M127&lt;ASSUMPTIONS!$D$10,"New (0-2)",IF(M127&lt;=ASSUMPTIONS!$D$11,"Early (2-5)",IF(M127&lt;=ASSUMPTIONS!$D$12,"Established (5-10)","Veteran (10+)")))</f>
        <v>Early (2-5)</v>
      </c>
      <c r="R127" s="4">
        <f t="shared" si="3"/>
        <v>2.3333333333333335</v>
      </c>
    </row>
    <row r="128" spans="1:18">
      <c r="A128">
        <f>RAW_DATA!A128</f>
        <v>58</v>
      </c>
      <c r="B128" t="str">
        <f>RAW_DATA!B128</f>
        <v>Yes</v>
      </c>
      <c r="C128" t="str">
        <f>RAW_DATA!C128</f>
        <v>Research &amp; Development</v>
      </c>
      <c r="D128">
        <f>RAW_DATA!D128</f>
        <v>23</v>
      </c>
      <c r="E128">
        <f>RAW_DATA!E128</f>
        <v>4</v>
      </c>
      <c r="F128" t="str">
        <f>RAW_DATA!F128</f>
        <v>Medical</v>
      </c>
      <c r="G128">
        <f>RAW_DATA!G128</f>
        <v>4</v>
      </c>
      <c r="H128">
        <f>RAW_DATA!H128</f>
        <v>4</v>
      </c>
      <c r="I128" t="str">
        <f>RAW_DATA!I128</f>
        <v>Married</v>
      </c>
      <c r="J128">
        <f>RAW_DATA!J128</f>
        <v>10312</v>
      </c>
      <c r="K128">
        <f>RAW_DATA!K128</f>
        <v>1</v>
      </c>
      <c r="L128">
        <f>RAW_DATA!L128</f>
        <v>2</v>
      </c>
      <c r="M128">
        <f>RAW_DATA!M128</f>
        <v>40</v>
      </c>
      <c r="N128">
        <f t="shared" si="2"/>
        <v>1</v>
      </c>
      <c r="O128" t="str" cm="1">
        <f t="array" ref="O128" xml:space="preserve"> _xlfn.IFS(A128 &lt;ASSUMPTIONS!$D$2,"25",A128 &lt;= ASSUMPTIONS!$D$3,"25-34",A128 &lt;= ASSUMPTIONS!$D$4, "35-44",A128 &lt;= ASSUMPTIONS!$D$5,"45-54",TRUE,"55+")</f>
        <v>55+</v>
      </c>
      <c r="P128" t="str" cm="1">
        <f t="array" ref="P128">_xlfn.IFS( J128 &lt;ASSUMPTIONS!$D$7,"LOW",J128 &lt;= ASSUMPTIONS!$D$8,"MEDIUM",TRUE, "HIGH")</f>
        <v>HIGH</v>
      </c>
      <c r="Q128" t="str">
        <f>IF(M128&lt;ASSUMPTIONS!$D$10,"New (0-2)",IF(M128&lt;=ASSUMPTIONS!$D$11,"Early (2-5)",IF(M128&lt;=ASSUMPTIONS!$D$12,"Established (5-10)","Veteran (10+)")))</f>
        <v>Veteran (10+)</v>
      </c>
      <c r="R128" s="4">
        <f t="shared" si="3"/>
        <v>3.3333333333333335</v>
      </c>
    </row>
    <row r="129" spans="1:18">
      <c r="A129">
        <f>RAW_DATA!A129</f>
        <v>19</v>
      </c>
      <c r="B129" t="str">
        <f>RAW_DATA!B129</f>
        <v>Yes</v>
      </c>
      <c r="C129" t="str">
        <f>RAW_DATA!C129</f>
        <v>Sales</v>
      </c>
      <c r="D129">
        <f>RAW_DATA!D129</f>
        <v>22</v>
      </c>
      <c r="E129">
        <f>RAW_DATA!E129</f>
        <v>1</v>
      </c>
      <c r="F129" t="str">
        <f>RAW_DATA!F129</f>
        <v>Marketing</v>
      </c>
      <c r="G129">
        <f>RAW_DATA!G129</f>
        <v>4</v>
      </c>
      <c r="H129">
        <f>RAW_DATA!H129</f>
        <v>3</v>
      </c>
      <c r="I129" t="str">
        <f>RAW_DATA!I129</f>
        <v>Single</v>
      </c>
      <c r="J129">
        <f>RAW_DATA!J129</f>
        <v>1675</v>
      </c>
      <c r="K129">
        <f>RAW_DATA!K129</f>
        <v>1</v>
      </c>
      <c r="L129">
        <f>RAW_DATA!L129</f>
        <v>2</v>
      </c>
      <c r="M129">
        <f>RAW_DATA!M129</f>
        <v>0</v>
      </c>
      <c r="N129">
        <f t="shared" si="2"/>
        <v>1</v>
      </c>
      <c r="O129" t="str" cm="1">
        <f t="array" ref="O129" xml:space="preserve"> _xlfn.IFS(A129 &lt;ASSUMPTIONS!$D$2,"25",A129 &lt;= ASSUMPTIONS!$D$3,"25-34",A129 &lt;= ASSUMPTIONS!$D$4, "35-44",A129 &lt;= ASSUMPTIONS!$D$5,"45-54",TRUE,"55+")</f>
        <v>25</v>
      </c>
      <c r="P129" t="str" cm="1">
        <f t="array" ref="P129">_xlfn.IFS( J129 &lt;ASSUMPTIONS!$D$7,"LOW",J129 &lt;= ASSUMPTIONS!$D$8,"MEDIUM",TRUE, "HIGH")</f>
        <v>LOW</v>
      </c>
      <c r="Q129" t="str">
        <f>IF(M129&lt;ASSUMPTIONS!$D$10,"New (0-2)",IF(M129&lt;=ASSUMPTIONS!$D$11,"Early (2-5)",IF(M129&lt;=ASSUMPTIONS!$D$12,"Established (5-10)","Veteran (10+)")))</f>
        <v>New (0-2)</v>
      </c>
      <c r="R129" s="4">
        <f t="shared" si="3"/>
        <v>3</v>
      </c>
    </row>
    <row r="130" spans="1:18">
      <c r="A130">
        <f>RAW_DATA!A130</f>
        <v>22</v>
      </c>
      <c r="B130" t="str">
        <f>RAW_DATA!B130</f>
        <v>No</v>
      </c>
      <c r="C130" t="str">
        <f>RAW_DATA!C130</f>
        <v>Research &amp; Development</v>
      </c>
      <c r="D130">
        <f>RAW_DATA!D130</f>
        <v>2</v>
      </c>
      <c r="E130">
        <f>RAW_DATA!E130</f>
        <v>1</v>
      </c>
      <c r="F130" t="str">
        <f>RAW_DATA!F130</f>
        <v>Technical Degree</v>
      </c>
      <c r="G130">
        <f>RAW_DATA!G130</f>
        <v>3</v>
      </c>
      <c r="H130">
        <f>RAW_DATA!H130</f>
        <v>4</v>
      </c>
      <c r="I130" t="str">
        <f>RAW_DATA!I130</f>
        <v>Married</v>
      </c>
      <c r="J130">
        <f>RAW_DATA!J130</f>
        <v>2523</v>
      </c>
      <c r="K130">
        <f>RAW_DATA!K130</f>
        <v>0</v>
      </c>
      <c r="L130">
        <f>RAW_DATA!L130</f>
        <v>3</v>
      </c>
      <c r="M130">
        <f>RAW_DATA!M130</f>
        <v>2</v>
      </c>
      <c r="N130">
        <f t="shared" si="2"/>
        <v>0</v>
      </c>
      <c r="O130" t="str" cm="1">
        <f t="array" ref="O130" xml:space="preserve"> _xlfn.IFS(A130 &lt;ASSUMPTIONS!$D$2,"25",A130 &lt;= ASSUMPTIONS!$D$3,"25-34",A130 &lt;= ASSUMPTIONS!$D$4, "35-44",A130 &lt;= ASSUMPTIONS!$D$5,"45-54",TRUE,"55+")</f>
        <v>25</v>
      </c>
      <c r="P130" t="str" cm="1">
        <f t="array" ref="P130">_xlfn.IFS( J130 &lt;ASSUMPTIONS!$D$7,"LOW",J130 &lt;= ASSUMPTIONS!$D$8,"MEDIUM",TRUE, "HIGH")</f>
        <v>LOW</v>
      </c>
      <c r="Q130" t="str">
        <f>IF(M130&lt;ASSUMPTIONS!$D$10,"New (0-2)",IF(M130&lt;=ASSUMPTIONS!$D$11,"Early (2-5)",IF(M130&lt;=ASSUMPTIONS!$D$12,"Established (5-10)","Veteran (10+)")))</f>
        <v>Early (2-5)</v>
      </c>
      <c r="R130" s="4">
        <f t="shared" si="3"/>
        <v>3.3333333333333335</v>
      </c>
    </row>
    <row r="131" spans="1:18">
      <c r="A131">
        <f>RAW_DATA!A131</f>
        <v>49</v>
      </c>
      <c r="B131" t="str">
        <f>RAW_DATA!B131</f>
        <v>No</v>
      </c>
      <c r="C131" t="str">
        <f>RAW_DATA!C131</f>
        <v>Research &amp; Development</v>
      </c>
      <c r="D131">
        <f>RAW_DATA!D131</f>
        <v>20</v>
      </c>
      <c r="E131">
        <f>RAW_DATA!E131</f>
        <v>4</v>
      </c>
      <c r="F131" t="str">
        <f>RAW_DATA!F131</f>
        <v>Medical</v>
      </c>
      <c r="G131">
        <f>RAW_DATA!G131</f>
        <v>3</v>
      </c>
      <c r="H131">
        <f>RAW_DATA!H131</f>
        <v>1</v>
      </c>
      <c r="I131" t="str">
        <f>RAW_DATA!I131</f>
        <v>Married</v>
      </c>
      <c r="J131">
        <f>RAW_DATA!J131</f>
        <v>6567</v>
      </c>
      <c r="K131">
        <f>RAW_DATA!K131</f>
        <v>1</v>
      </c>
      <c r="L131">
        <f>RAW_DATA!L131</f>
        <v>2</v>
      </c>
      <c r="M131">
        <f>RAW_DATA!M131</f>
        <v>15</v>
      </c>
      <c r="N131">
        <f t="shared" ref="N131:N194" si="4" xml:space="preserve"> IF(B131 ="Yes",1,0)</f>
        <v>0</v>
      </c>
      <c r="O131" t="str" cm="1">
        <f t="array" ref="O131" xml:space="preserve"> _xlfn.IFS(A131 &lt;ASSUMPTIONS!$D$2,"25",A131 &lt;= ASSUMPTIONS!$D$3,"25-34",A131 &lt;= ASSUMPTIONS!$D$4, "35-44",A131 &lt;= ASSUMPTIONS!$D$5,"45-54",TRUE,"55+")</f>
        <v>45-54</v>
      </c>
      <c r="P131" t="str" cm="1">
        <f t="array" ref="P131">_xlfn.IFS( J131 &lt;ASSUMPTIONS!$D$7,"LOW",J131 &lt;= ASSUMPTIONS!$D$8,"MEDIUM",TRUE, "HIGH")</f>
        <v>MEDIUM</v>
      </c>
      <c r="Q131" t="str">
        <f>IF(M131&lt;ASSUMPTIONS!$D$10,"New (0-2)",IF(M131&lt;=ASSUMPTIONS!$D$11,"Early (2-5)",IF(M131&lt;=ASSUMPTIONS!$D$12,"Established (5-10)","Veteran (10+)")))</f>
        <v>Veteran (10+)</v>
      </c>
      <c r="R131" s="4">
        <f t="shared" ref="R131:R194" si="5">AVERAGE(G131,H131,L131)</f>
        <v>2</v>
      </c>
    </row>
    <row r="132" spans="1:18">
      <c r="A132">
        <f>RAW_DATA!A132</f>
        <v>43</v>
      </c>
      <c r="B132" t="str">
        <f>RAW_DATA!B132</f>
        <v>No</v>
      </c>
      <c r="C132" t="str">
        <f>RAW_DATA!C132</f>
        <v>Research &amp; Development</v>
      </c>
      <c r="D132">
        <f>RAW_DATA!D132</f>
        <v>28</v>
      </c>
      <c r="E132">
        <f>RAW_DATA!E132</f>
        <v>3</v>
      </c>
      <c r="F132" t="str">
        <f>RAW_DATA!F132</f>
        <v>Medical</v>
      </c>
      <c r="G132">
        <f>RAW_DATA!G132</f>
        <v>2</v>
      </c>
      <c r="H132">
        <f>RAW_DATA!H132</f>
        <v>3</v>
      </c>
      <c r="I132" t="str">
        <f>RAW_DATA!I132</f>
        <v>Single</v>
      </c>
      <c r="J132">
        <f>RAW_DATA!J132</f>
        <v>4739</v>
      </c>
      <c r="K132">
        <f>RAW_DATA!K132</f>
        <v>4</v>
      </c>
      <c r="L132">
        <f>RAW_DATA!L132</f>
        <v>3</v>
      </c>
      <c r="M132">
        <f>RAW_DATA!M132</f>
        <v>3</v>
      </c>
      <c r="N132">
        <f t="shared" si="4"/>
        <v>0</v>
      </c>
      <c r="O132" t="str" cm="1">
        <f t="array" ref="O132" xml:space="preserve"> _xlfn.IFS(A132 &lt;ASSUMPTIONS!$D$2,"25",A132 &lt;= ASSUMPTIONS!$D$3,"25-34",A132 &lt;= ASSUMPTIONS!$D$4, "35-44",A132 &lt;= ASSUMPTIONS!$D$5,"45-54",TRUE,"55+")</f>
        <v>35-44</v>
      </c>
      <c r="P132" t="str" cm="1">
        <f t="array" ref="P132">_xlfn.IFS( J132 &lt;ASSUMPTIONS!$D$7,"LOW",J132 &lt;= ASSUMPTIONS!$D$8,"MEDIUM",TRUE, "HIGH")</f>
        <v>MEDIUM</v>
      </c>
      <c r="Q132" t="str">
        <f>IF(M132&lt;ASSUMPTIONS!$D$10,"New (0-2)",IF(M132&lt;=ASSUMPTIONS!$D$11,"Early (2-5)",IF(M132&lt;=ASSUMPTIONS!$D$12,"Established (5-10)","Veteran (10+)")))</f>
        <v>Early (2-5)</v>
      </c>
      <c r="R132" s="4">
        <f t="shared" si="5"/>
        <v>2.6666666666666665</v>
      </c>
    </row>
    <row r="133" spans="1:18">
      <c r="A133">
        <f>RAW_DATA!A133</f>
        <v>50</v>
      </c>
      <c r="B133" t="str">
        <f>RAW_DATA!B133</f>
        <v>No</v>
      </c>
      <c r="C133" t="str">
        <f>RAW_DATA!C133</f>
        <v>Sales</v>
      </c>
      <c r="D133">
        <f>RAW_DATA!D133</f>
        <v>12</v>
      </c>
      <c r="E133">
        <f>RAW_DATA!E133</f>
        <v>3</v>
      </c>
      <c r="F133" t="str">
        <f>RAW_DATA!F133</f>
        <v>Marketing</v>
      </c>
      <c r="G133">
        <f>RAW_DATA!G133</f>
        <v>3</v>
      </c>
      <c r="H133">
        <f>RAW_DATA!H133</f>
        <v>4</v>
      </c>
      <c r="I133" t="str">
        <f>RAW_DATA!I133</f>
        <v>Single</v>
      </c>
      <c r="J133">
        <f>RAW_DATA!J133</f>
        <v>9208</v>
      </c>
      <c r="K133">
        <f>RAW_DATA!K133</f>
        <v>4</v>
      </c>
      <c r="L133">
        <f>RAW_DATA!L133</f>
        <v>3</v>
      </c>
      <c r="M133">
        <f>RAW_DATA!M133</f>
        <v>2</v>
      </c>
      <c r="N133">
        <f t="shared" si="4"/>
        <v>0</v>
      </c>
      <c r="O133" t="str" cm="1">
        <f t="array" ref="O133" xml:space="preserve"> _xlfn.IFS(A133 &lt;ASSUMPTIONS!$D$2,"25",A133 &lt;= ASSUMPTIONS!$D$3,"25-34",A133 &lt;= ASSUMPTIONS!$D$4, "35-44",A133 &lt;= ASSUMPTIONS!$D$5,"45-54",TRUE,"55+")</f>
        <v>45-54</v>
      </c>
      <c r="P133" t="str" cm="1">
        <f t="array" ref="P133">_xlfn.IFS( J133 &lt;ASSUMPTIONS!$D$7,"LOW",J133 &lt;= ASSUMPTIONS!$D$8,"MEDIUM",TRUE, "HIGH")</f>
        <v>HIGH</v>
      </c>
      <c r="Q133" t="str">
        <f>IF(M133&lt;ASSUMPTIONS!$D$10,"New (0-2)",IF(M133&lt;=ASSUMPTIONS!$D$11,"Early (2-5)",IF(M133&lt;=ASSUMPTIONS!$D$12,"Established (5-10)","Veteran (10+)")))</f>
        <v>Early (2-5)</v>
      </c>
      <c r="R133" s="4">
        <f t="shared" si="5"/>
        <v>3.3333333333333335</v>
      </c>
    </row>
    <row r="134" spans="1:18">
      <c r="A134">
        <f>RAW_DATA!A134</f>
        <v>31</v>
      </c>
      <c r="B134" t="str">
        <f>RAW_DATA!B134</f>
        <v>Yes</v>
      </c>
      <c r="C134" t="str">
        <f>RAW_DATA!C134</f>
        <v>Sales</v>
      </c>
      <c r="D134">
        <f>RAW_DATA!D134</f>
        <v>20</v>
      </c>
      <c r="E134">
        <f>RAW_DATA!E134</f>
        <v>3</v>
      </c>
      <c r="F134" t="str">
        <f>RAW_DATA!F134</f>
        <v>Life Sciences</v>
      </c>
      <c r="G134">
        <f>RAW_DATA!G134</f>
        <v>2</v>
      </c>
      <c r="H134">
        <f>RAW_DATA!H134</f>
        <v>3</v>
      </c>
      <c r="I134" t="str">
        <f>RAW_DATA!I134</f>
        <v>Married</v>
      </c>
      <c r="J134">
        <f>RAW_DATA!J134</f>
        <v>4559</v>
      </c>
      <c r="K134">
        <f>RAW_DATA!K134</f>
        <v>3</v>
      </c>
      <c r="L134">
        <f>RAW_DATA!L134</f>
        <v>3</v>
      </c>
      <c r="M134">
        <f>RAW_DATA!M134</f>
        <v>2</v>
      </c>
      <c r="N134">
        <f t="shared" si="4"/>
        <v>1</v>
      </c>
      <c r="O134" t="str" cm="1">
        <f t="array" ref="O134" xml:space="preserve"> _xlfn.IFS(A134 &lt;ASSUMPTIONS!$D$2,"25",A134 &lt;= ASSUMPTIONS!$D$3,"25-34",A134 &lt;= ASSUMPTIONS!$D$4, "35-44",A134 &lt;= ASSUMPTIONS!$D$5,"45-54",TRUE,"55+")</f>
        <v>25-34</v>
      </c>
      <c r="P134" t="str" cm="1">
        <f t="array" ref="P134">_xlfn.IFS( J134 &lt;ASSUMPTIONS!$D$7,"LOW",J134 &lt;= ASSUMPTIONS!$D$8,"MEDIUM",TRUE, "HIGH")</f>
        <v>MEDIUM</v>
      </c>
      <c r="Q134" t="str">
        <f>IF(M134&lt;ASSUMPTIONS!$D$10,"New (0-2)",IF(M134&lt;=ASSUMPTIONS!$D$11,"Early (2-5)",IF(M134&lt;=ASSUMPTIONS!$D$12,"Established (5-10)","Veteran (10+)")))</f>
        <v>Early (2-5)</v>
      </c>
      <c r="R134" s="4">
        <f t="shared" si="5"/>
        <v>2.6666666666666665</v>
      </c>
    </row>
    <row r="135" spans="1:18">
      <c r="A135">
        <f>RAW_DATA!A135</f>
        <v>41</v>
      </c>
      <c r="B135" t="str">
        <f>RAW_DATA!B135</f>
        <v>No</v>
      </c>
      <c r="C135" t="str">
        <f>RAW_DATA!C135</f>
        <v>Sales</v>
      </c>
      <c r="D135">
        <f>RAW_DATA!D135</f>
        <v>9</v>
      </c>
      <c r="E135">
        <f>RAW_DATA!E135</f>
        <v>1</v>
      </c>
      <c r="F135" t="str">
        <f>RAW_DATA!F135</f>
        <v>Life Sciences</v>
      </c>
      <c r="G135">
        <f>RAW_DATA!G135</f>
        <v>3</v>
      </c>
      <c r="H135">
        <f>RAW_DATA!H135</f>
        <v>3</v>
      </c>
      <c r="I135" t="str">
        <f>RAW_DATA!I135</f>
        <v>Divorced</v>
      </c>
      <c r="J135">
        <f>RAW_DATA!J135</f>
        <v>8189</v>
      </c>
      <c r="K135">
        <f>RAW_DATA!K135</f>
        <v>3</v>
      </c>
      <c r="L135">
        <f>RAW_DATA!L135</f>
        <v>3</v>
      </c>
      <c r="M135">
        <f>RAW_DATA!M135</f>
        <v>9</v>
      </c>
      <c r="N135">
        <f t="shared" si="4"/>
        <v>0</v>
      </c>
      <c r="O135" t="str" cm="1">
        <f t="array" ref="O135" xml:space="preserve"> _xlfn.IFS(A135 &lt;ASSUMPTIONS!$D$2,"25",A135 &lt;= ASSUMPTIONS!$D$3,"25-34",A135 &lt;= ASSUMPTIONS!$D$4, "35-44",A135 &lt;= ASSUMPTIONS!$D$5,"45-54",TRUE,"55+")</f>
        <v>35-44</v>
      </c>
      <c r="P135" t="str" cm="1">
        <f t="array" ref="P135">_xlfn.IFS( J135 &lt;ASSUMPTIONS!$D$7,"LOW",J135 &lt;= ASSUMPTIONS!$D$8,"MEDIUM",TRUE, "HIGH")</f>
        <v>HIGH</v>
      </c>
      <c r="Q135" t="str">
        <f>IF(M135&lt;ASSUMPTIONS!$D$10,"New (0-2)",IF(M135&lt;=ASSUMPTIONS!$D$11,"Early (2-5)",IF(M135&lt;=ASSUMPTIONS!$D$12,"Established (5-10)","Veteran (10+)")))</f>
        <v>Established (5-10)</v>
      </c>
      <c r="R135" s="4">
        <f t="shared" si="5"/>
        <v>3</v>
      </c>
    </row>
    <row r="136" spans="1:18">
      <c r="A136">
        <f>RAW_DATA!A136</f>
        <v>26</v>
      </c>
      <c r="B136" t="str">
        <f>RAW_DATA!B136</f>
        <v>No</v>
      </c>
      <c r="C136" t="str">
        <f>RAW_DATA!C136</f>
        <v>Human Resources</v>
      </c>
      <c r="D136">
        <f>RAW_DATA!D136</f>
        <v>25</v>
      </c>
      <c r="E136">
        <f>RAW_DATA!E136</f>
        <v>1</v>
      </c>
      <c r="F136" t="str">
        <f>RAW_DATA!F136</f>
        <v>Life Sciences</v>
      </c>
      <c r="G136">
        <f>RAW_DATA!G136</f>
        <v>3</v>
      </c>
      <c r="H136">
        <f>RAW_DATA!H136</f>
        <v>3</v>
      </c>
      <c r="I136" t="str">
        <f>RAW_DATA!I136</f>
        <v>Married</v>
      </c>
      <c r="J136">
        <f>RAW_DATA!J136</f>
        <v>2942</v>
      </c>
      <c r="K136">
        <f>RAW_DATA!K136</f>
        <v>1</v>
      </c>
      <c r="L136">
        <f>RAW_DATA!L136</f>
        <v>3</v>
      </c>
      <c r="M136">
        <f>RAW_DATA!M136</f>
        <v>8</v>
      </c>
      <c r="N136">
        <f t="shared" si="4"/>
        <v>0</v>
      </c>
      <c r="O136" t="str" cm="1">
        <f t="array" ref="O136" xml:space="preserve"> _xlfn.IFS(A136 &lt;ASSUMPTIONS!$D$2,"25",A136 &lt;= ASSUMPTIONS!$D$3,"25-34",A136 &lt;= ASSUMPTIONS!$D$4, "35-44",A136 &lt;= ASSUMPTIONS!$D$5,"45-54",TRUE,"55+")</f>
        <v>25-34</v>
      </c>
      <c r="P136" t="str" cm="1">
        <f t="array" ref="P136">_xlfn.IFS( J136 &lt;ASSUMPTIONS!$D$7,"LOW",J136 &lt;= ASSUMPTIONS!$D$8,"MEDIUM",TRUE, "HIGH")</f>
        <v>LOW</v>
      </c>
      <c r="Q136" t="str">
        <f>IF(M136&lt;ASSUMPTIONS!$D$10,"New (0-2)",IF(M136&lt;=ASSUMPTIONS!$D$11,"Early (2-5)",IF(M136&lt;=ASSUMPTIONS!$D$12,"Established (5-10)","Veteran (10+)")))</f>
        <v>Established (5-10)</v>
      </c>
      <c r="R136" s="4">
        <f t="shared" si="5"/>
        <v>3</v>
      </c>
    </row>
    <row r="137" spans="1:18">
      <c r="A137">
        <f>RAW_DATA!A137</f>
        <v>36</v>
      </c>
      <c r="B137" t="str">
        <f>RAW_DATA!B137</f>
        <v>No</v>
      </c>
      <c r="C137" t="str">
        <f>RAW_DATA!C137</f>
        <v>Research &amp; Development</v>
      </c>
      <c r="D137">
        <f>RAW_DATA!D137</f>
        <v>6</v>
      </c>
      <c r="E137">
        <f>RAW_DATA!E137</f>
        <v>2</v>
      </c>
      <c r="F137" t="str">
        <f>RAW_DATA!F137</f>
        <v>Medical</v>
      </c>
      <c r="G137">
        <f>RAW_DATA!G137</f>
        <v>2</v>
      </c>
      <c r="H137">
        <f>RAW_DATA!H137</f>
        <v>2</v>
      </c>
      <c r="I137" t="str">
        <f>RAW_DATA!I137</f>
        <v>Divorced</v>
      </c>
      <c r="J137">
        <f>RAW_DATA!J137</f>
        <v>4941</v>
      </c>
      <c r="K137">
        <f>RAW_DATA!K137</f>
        <v>6</v>
      </c>
      <c r="L137">
        <f>RAW_DATA!L137</f>
        <v>3</v>
      </c>
      <c r="M137">
        <f>RAW_DATA!M137</f>
        <v>3</v>
      </c>
      <c r="N137">
        <f t="shared" si="4"/>
        <v>0</v>
      </c>
      <c r="O137" t="str" cm="1">
        <f t="array" ref="O137" xml:space="preserve"> _xlfn.IFS(A137 &lt;ASSUMPTIONS!$D$2,"25",A137 &lt;= ASSUMPTIONS!$D$3,"25-34",A137 &lt;= ASSUMPTIONS!$D$4, "35-44",A137 &lt;= ASSUMPTIONS!$D$5,"45-54",TRUE,"55+")</f>
        <v>35-44</v>
      </c>
      <c r="P137" t="str" cm="1">
        <f t="array" ref="P137">_xlfn.IFS( J137 &lt;ASSUMPTIONS!$D$7,"LOW",J137 &lt;= ASSUMPTIONS!$D$8,"MEDIUM",TRUE, "HIGH")</f>
        <v>MEDIUM</v>
      </c>
      <c r="Q137" t="str">
        <f>IF(M137&lt;ASSUMPTIONS!$D$10,"New (0-2)",IF(M137&lt;=ASSUMPTIONS!$D$11,"Early (2-5)",IF(M137&lt;=ASSUMPTIONS!$D$12,"Established (5-10)","Veteran (10+)")))</f>
        <v>Early (2-5)</v>
      </c>
      <c r="R137" s="4">
        <f t="shared" si="5"/>
        <v>2.3333333333333335</v>
      </c>
    </row>
    <row r="138" spans="1:18">
      <c r="A138">
        <f>RAW_DATA!A138</f>
        <v>51</v>
      </c>
      <c r="B138" t="str">
        <f>RAW_DATA!B138</f>
        <v>Yes</v>
      </c>
      <c r="C138" t="str">
        <f>RAW_DATA!C138</f>
        <v>Research &amp; Development</v>
      </c>
      <c r="D138">
        <f>RAW_DATA!D138</f>
        <v>8</v>
      </c>
      <c r="E138">
        <f>RAW_DATA!E138</f>
        <v>4</v>
      </c>
      <c r="F138" t="str">
        <f>RAW_DATA!F138</f>
        <v>Life Sciences</v>
      </c>
      <c r="G138">
        <f>RAW_DATA!G138</f>
        <v>1</v>
      </c>
      <c r="H138">
        <f>RAW_DATA!H138</f>
        <v>4</v>
      </c>
      <c r="I138" t="str">
        <f>RAW_DATA!I138</f>
        <v>Single</v>
      </c>
      <c r="J138">
        <f>RAW_DATA!J138</f>
        <v>10650</v>
      </c>
      <c r="K138">
        <f>RAW_DATA!K138</f>
        <v>2</v>
      </c>
      <c r="L138">
        <f>RAW_DATA!L138</f>
        <v>3</v>
      </c>
      <c r="M138">
        <f>RAW_DATA!M138</f>
        <v>4</v>
      </c>
      <c r="N138">
        <f t="shared" si="4"/>
        <v>1</v>
      </c>
      <c r="O138" t="str" cm="1">
        <f t="array" ref="O138" xml:space="preserve"> _xlfn.IFS(A138 &lt;ASSUMPTIONS!$D$2,"25",A138 &lt;= ASSUMPTIONS!$D$3,"25-34",A138 &lt;= ASSUMPTIONS!$D$4, "35-44",A138 &lt;= ASSUMPTIONS!$D$5,"45-54",TRUE,"55+")</f>
        <v>45-54</v>
      </c>
      <c r="P138" t="str" cm="1">
        <f t="array" ref="P138">_xlfn.IFS( J138 &lt;ASSUMPTIONS!$D$7,"LOW",J138 &lt;= ASSUMPTIONS!$D$8,"MEDIUM",TRUE, "HIGH")</f>
        <v>HIGH</v>
      </c>
      <c r="Q138" t="str">
        <f>IF(M138&lt;ASSUMPTIONS!$D$10,"New (0-2)",IF(M138&lt;=ASSUMPTIONS!$D$11,"Early (2-5)",IF(M138&lt;=ASSUMPTIONS!$D$12,"Established (5-10)","Veteran (10+)")))</f>
        <v>Early (2-5)</v>
      </c>
      <c r="R138" s="4">
        <f t="shared" si="5"/>
        <v>2.6666666666666665</v>
      </c>
    </row>
    <row r="139" spans="1:18">
      <c r="A139">
        <f>RAW_DATA!A139</f>
        <v>39</v>
      </c>
      <c r="B139" t="str">
        <f>RAW_DATA!B139</f>
        <v>No</v>
      </c>
      <c r="C139" t="str">
        <f>RAW_DATA!C139</f>
        <v>Sales</v>
      </c>
      <c r="D139">
        <f>RAW_DATA!D139</f>
        <v>4</v>
      </c>
      <c r="E139">
        <f>RAW_DATA!E139</f>
        <v>4</v>
      </c>
      <c r="F139" t="str">
        <f>RAW_DATA!F139</f>
        <v>Life Sciences</v>
      </c>
      <c r="G139">
        <f>RAW_DATA!G139</f>
        <v>4</v>
      </c>
      <c r="H139">
        <f>RAW_DATA!H139</f>
        <v>3</v>
      </c>
      <c r="I139" t="str">
        <f>RAW_DATA!I139</f>
        <v>Married</v>
      </c>
      <c r="J139">
        <f>RAW_DATA!J139</f>
        <v>5902</v>
      </c>
      <c r="K139">
        <f>RAW_DATA!K139</f>
        <v>4</v>
      </c>
      <c r="L139">
        <f>RAW_DATA!L139</f>
        <v>4</v>
      </c>
      <c r="M139">
        <f>RAW_DATA!M139</f>
        <v>15</v>
      </c>
      <c r="N139">
        <f t="shared" si="4"/>
        <v>0</v>
      </c>
      <c r="O139" t="str" cm="1">
        <f t="array" ref="O139" xml:space="preserve"> _xlfn.IFS(A139 &lt;ASSUMPTIONS!$D$2,"25",A139 &lt;= ASSUMPTIONS!$D$3,"25-34",A139 &lt;= ASSUMPTIONS!$D$4, "35-44",A139 &lt;= ASSUMPTIONS!$D$5,"45-54",TRUE,"55+")</f>
        <v>35-44</v>
      </c>
      <c r="P139" t="str" cm="1">
        <f t="array" ref="P139">_xlfn.IFS( J139 &lt;ASSUMPTIONS!$D$7,"LOW",J139 &lt;= ASSUMPTIONS!$D$8,"MEDIUM",TRUE, "HIGH")</f>
        <v>MEDIUM</v>
      </c>
      <c r="Q139" t="str">
        <f>IF(M139&lt;ASSUMPTIONS!$D$10,"New (0-2)",IF(M139&lt;=ASSUMPTIONS!$D$11,"Early (2-5)",IF(M139&lt;=ASSUMPTIONS!$D$12,"Established (5-10)","Veteran (10+)")))</f>
        <v>Veteran (10+)</v>
      </c>
      <c r="R139" s="4">
        <f t="shared" si="5"/>
        <v>3.6666666666666665</v>
      </c>
    </row>
    <row r="140" spans="1:18">
      <c r="A140">
        <f>RAW_DATA!A140</f>
        <v>25</v>
      </c>
      <c r="B140" t="str">
        <f>RAW_DATA!B140</f>
        <v>No</v>
      </c>
      <c r="C140" t="str">
        <f>RAW_DATA!C140</f>
        <v>Sales</v>
      </c>
      <c r="D140">
        <f>RAW_DATA!D140</f>
        <v>28</v>
      </c>
      <c r="E140">
        <f>RAW_DATA!E140</f>
        <v>3</v>
      </c>
      <c r="F140" t="str">
        <f>RAW_DATA!F140</f>
        <v>Life Sciences</v>
      </c>
      <c r="G140">
        <f>RAW_DATA!G140</f>
        <v>1</v>
      </c>
      <c r="H140">
        <f>RAW_DATA!H140</f>
        <v>3</v>
      </c>
      <c r="I140" t="str">
        <f>RAW_DATA!I140</f>
        <v>Married</v>
      </c>
      <c r="J140">
        <f>RAW_DATA!J140</f>
        <v>8639</v>
      </c>
      <c r="K140">
        <f>RAW_DATA!K140</f>
        <v>2</v>
      </c>
      <c r="L140">
        <f>RAW_DATA!L140</f>
        <v>3</v>
      </c>
      <c r="M140">
        <f>RAW_DATA!M140</f>
        <v>2</v>
      </c>
      <c r="N140">
        <f t="shared" si="4"/>
        <v>0</v>
      </c>
      <c r="O140" t="str" cm="1">
        <f t="array" ref="O140" xml:space="preserve"> _xlfn.IFS(A140 &lt;ASSUMPTIONS!$D$2,"25",A140 &lt;= ASSUMPTIONS!$D$3,"25-34",A140 &lt;= ASSUMPTIONS!$D$4, "35-44",A140 &lt;= ASSUMPTIONS!$D$5,"45-54",TRUE,"55+")</f>
        <v>25-34</v>
      </c>
      <c r="P140" t="str" cm="1">
        <f t="array" ref="P140">_xlfn.IFS( J140 &lt;ASSUMPTIONS!$D$7,"LOW",J140 &lt;= ASSUMPTIONS!$D$8,"MEDIUM",TRUE, "HIGH")</f>
        <v>HIGH</v>
      </c>
      <c r="Q140" t="str">
        <f>IF(M140&lt;ASSUMPTIONS!$D$10,"New (0-2)",IF(M140&lt;=ASSUMPTIONS!$D$11,"Early (2-5)",IF(M140&lt;=ASSUMPTIONS!$D$12,"Established (5-10)","Veteran (10+)")))</f>
        <v>Early (2-5)</v>
      </c>
      <c r="R140" s="4">
        <f t="shared" si="5"/>
        <v>2.3333333333333335</v>
      </c>
    </row>
    <row r="141" spans="1:18">
      <c r="A141">
        <f>RAW_DATA!A141</f>
        <v>30</v>
      </c>
      <c r="B141" t="str">
        <f>RAW_DATA!B141</f>
        <v>No</v>
      </c>
      <c r="C141" t="str">
        <f>RAW_DATA!C141</f>
        <v>Human Resources</v>
      </c>
      <c r="D141">
        <f>RAW_DATA!D141</f>
        <v>9</v>
      </c>
      <c r="E141">
        <f>RAW_DATA!E141</f>
        <v>3</v>
      </c>
      <c r="F141" t="str">
        <f>RAW_DATA!F141</f>
        <v>Human Resources</v>
      </c>
      <c r="G141">
        <f>RAW_DATA!G141</f>
        <v>3</v>
      </c>
      <c r="H141">
        <f>RAW_DATA!H141</f>
        <v>4</v>
      </c>
      <c r="I141" t="str">
        <f>RAW_DATA!I141</f>
        <v>Married</v>
      </c>
      <c r="J141">
        <f>RAW_DATA!J141</f>
        <v>6347</v>
      </c>
      <c r="K141">
        <f>RAW_DATA!K141</f>
        <v>0</v>
      </c>
      <c r="L141">
        <f>RAW_DATA!L141</f>
        <v>1</v>
      </c>
      <c r="M141">
        <f>RAW_DATA!M141</f>
        <v>11</v>
      </c>
      <c r="N141">
        <f t="shared" si="4"/>
        <v>0</v>
      </c>
      <c r="O141" t="str" cm="1">
        <f t="array" ref="O141" xml:space="preserve"> _xlfn.IFS(A141 &lt;ASSUMPTIONS!$D$2,"25",A141 &lt;= ASSUMPTIONS!$D$3,"25-34",A141 &lt;= ASSUMPTIONS!$D$4, "35-44",A141 &lt;= ASSUMPTIONS!$D$5,"45-54",TRUE,"55+")</f>
        <v>25-34</v>
      </c>
      <c r="P141" t="str" cm="1">
        <f t="array" ref="P141">_xlfn.IFS( J141 &lt;ASSUMPTIONS!$D$7,"LOW",J141 &lt;= ASSUMPTIONS!$D$8,"MEDIUM",TRUE, "HIGH")</f>
        <v>MEDIUM</v>
      </c>
      <c r="Q141" t="str">
        <f>IF(M141&lt;ASSUMPTIONS!$D$10,"New (0-2)",IF(M141&lt;=ASSUMPTIONS!$D$11,"Early (2-5)",IF(M141&lt;=ASSUMPTIONS!$D$12,"Established (5-10)","Veteran (10+)")))</f>
        <v>Veteran (10+)</v>
      </c>
      <c r="R141" s="4">
        <f t="shared" si="5"/>
        <v>2.6666666666666665</v>
      </c>
    </row>
    <row r="142" spans="1:18">
      <c r="A142">
        <f>RAW_DATA!A142</f>
        <v>32</v>
      </c>
      <c r="B142" t="str">
        <f>RAW_DATA!B142</f>
        <v>Yes</v>
      </c>
      <c r="C142" t="str">
        <f>RAW_DATA!C142</f>
        <v>Research &amp; Development</v>
      </c>
      <c r="D142">
        <f>RAW_DATA!D142</f>
        <v>9</v>
      </c>
      <c r="E142">
        <f>RAW_DATA!E142</f>
        <v>3</v>
      </c>
      <c r="F142" t="str">
        <f>RAW_DATA!F142</f>
        <v>Medical</v>
      </c>
      <c r="G142">
        <f>RAW_DATA!G142</f>
        <v>1</v>
      </c>
      <c r="H142">
        <f>RAW_DATA!H142</f>
        <v>1</v>
      </c>
      <c r="I142" t="str">
        <f>RAW_DATA!I142</f>
        <v>Single</v>
      </c>
      <c r="J142">
        <f>RAW_DATA!J142</f>
        <v>4200</v>
      </c>
      <c r="K142">
        <f>RAW_DATA!K142</f>
        <v>7</v>
      </c>
      <c r="L142">
        <f>RAW_DATA!L142</f>
        <v>4</v>
      </c>
      <c r="M142">
        <f>RAW_DATA!M142</f>
        <v>5</v>
      </c>
      <c r="N142">
        <f t="shared" si="4"/>
        <v>1</v>
      </c>
      <c r="O142" t="str" cm="1">
        <f t="array" ref="O142" xml:space="preserve"> _xlfn.IFS(A142 &lt;ASSUMPTIONS!$D$2,"25",A142 &lt;= ASSUMPTIONS!$D$3,"25-34",A142 &lt;= ASSUMPTIONS!$D$4, "35-44",A142 &lt;= ASSUMPTIONS!$D$5,"45-54",TRUE,"55+")</f>
        <v>25-34</v>
      </c>
      <c r="P142" t="str" cm="1">
        <f t="array" ref="P142">_xlfn.IFS( J142 &lt;ASSUMPTIONS!$D$7,"LOW",J142 &lt;= ASSUMPTIONS!$D$8,"MEDIUM",TRUE, "HIGH")</f>
        <v>MEDIUM</v>
      </c>
      <c r="Q142" t="str">
        <f>IF(M142&lt;ASSUMPTIONS!$D$10,"New (0-2)",IF(M142&lt;=ASSUMPTIONS!$D$11,"Early (2-5)",IF(M142&lt;=ASSUMPTIONS!$D$12,"Established (5-10)","Veteran (10+)")))</f>
        <v>Early (2-5)</v>
      </c>
      <c r="R142" s="4">
        <f t="shared" si="5"/>
        <v>2</v>
      </c>
    </row>
    <row r="143" spans="1:18">
      <c r="A143">
        <f>RAW_DATA!A143</f>
        <v>45</v>
      </c>
      <c r="B143" t="str">
        <f>RAW_DATA!B143</f>
        <v>No</v>
      </c>
      <c r="C143" t="str">
        <f>RAW_DATA!C143</f>
        <v>Research &amp; Development</v>
      </c>
      <c r="D143">
        <f>RAW_DATA!D143</f>
        <v>29</v>
      </c>
      <c r="E143">
        <f>RAW_DATA!E143</f>
        <v>3</v>
      </c>
      <c r="F143" t="str">
        <f>RAW_DATA!F143</f>
        <v>Medical</v>
      </c>
      <c r="G143">
        <f>RAW_DATA!G143</f>
        <v>3</v>
      </c>
      <c r="H143">
        <f>RAW_DATA!H143</f>
        <v>4</v>
      </c>
      <c r="I143" t="str">
        <f>RAW_DATA!I143</f>
        <v>Single</v>
      </c>
      <c r="J143">
        <f>RAW_DATA!J143</f>
        <v>3452</v>
      </c>
      <c r="K143">
        <f>RAW_DATA!K143</f>
        <v>5</v>
      </c>
      <c r="L143">
        <f>RAW_DATA!L143</f>
        <v>2</v>
      </c>
      <c r="M143">
        <f>RAW_DATA!M143</f>
        <v>6</v>
      </c>
      <c r="N143">
        <f t="shared" si="4"/>
        <v>0</v>
      </c>
      <c r="O143" t="str" cm="1">
        <f t="array" ref="O143" xml:space="preserve"> _xlfn.IFS(A143 &lt;ASSUMPTIONS!$D$2,"25",A143 &lt;= ASSUMPTIONS!$D$3,"25-34",A143 &lt;= ASSUMPTIONS!$D$4, "35-44",A143 &lt;= ASSUMPTIONS!$D$5,"45-54",TRUE,"55+")</f>
        <v>45-54</v>
      </c>
      <c r="P143" t="str" cm="1">
        <f t="array" ref="P143">_xlfn.IFS( J143 &lt;ASSUMPTIONS!$D$7,"LOW",J143 &lt;= ASSUMPTIONS!$D$8,"MEDIUM",TRUE, "HIGH")</f>
        <v>MEDIUM</v>
      </c>
      <c r="Q143" t="str">
        <f>IF(M143&lt;ASSUMPTIONS!$D$10,"New (0-2)",IF(M143&lt;=ASSUMPTIONS!$D$11,"Early (2-5)",IF(M143&lt;=ASSUMPTIONS!$D$12,"Established (5-10)","Veteran (10+)")))</f>
        <v>Established (5-10)</v>
      </c>
      <c r="R143" s="4">
        <f t="shared" si="5"/>
        <v>3</v>
      </c>
    </row>
    <row r="144" spans="1:18">
      <c r="A144">
        <f>RAW_DATA!A144</f>
        <v>38</v>
      </c>
      <c r="B144" t="str">
        <f>RAW_DATA!B144</f>
        <v>No</v>
      </c>
      <c r="C144" t="str">
        <f>RAW_DATA!C144</f>
        <v>Research &amp; Development</v>
      </c>
      <c r="D144">
        <f>RAW_DATA!D144</f>
        <v>3</v>
      </c>
      <c r="E144">
        <f>RAW_DATA!E144</f>
        <v>5</v>
      </c>
      <c r="F144" t="str">
        <f>RAW_DATA!F144</f>
        <v>Technical Degree</v>
      </c>
      <c r="G144">
        <f>RAW_DATA!G144</f>
        <v>4</v>
      </c>
      <c r="H144">
        <f>RAW_DATA!H144</f>
        <v>3</v>
      </c>
      <c r="I144" t="str">
        <f>RAW_DATA!I144</f>
        <v>Single</v>
      </c>
      <c r="J144">
        <f>RAW_DATA!J144</f>
        <v>4317</v>
      </c>
      <c r="K144">
        <f>RAW_DATA!K144</f>
        <v>3</v>
      </c>
      <c r="L144">
        <f>RAW_DATA!L144</f>
        <v>3</v>
      </c>
      <c r="M144">
        <f>RAW_DATA!M144</f>
        <v>3</v>
      </c>
      <c r="N144">
        <f t="shared" si="4"/>
        <v>0</v>
      </c>
      <c r="O144" t="str" cm="1">
        <f t="array" ref="O144" xml:space="preserve"> _xlfn.IFS(A144 &lt;ASSUMPTIONS!$D$2,"25",A144 &lt;= ASSUMPTIONS!$D$3,"25-34",A144 &lt;= ASSUMPTIONS!$D$4, "35-44",A144 &lt;= ASSUMPTIONS!$D$5,"45-54",TRUE,"55+")</f>
        <v>35-44</v>
      </c>
      <c r="P144" t="str" cm="1">
        <f t="array" ref="P144">_xlfn.IFS( J144 &lt;ASSUMPTIONS!$D$7,"LOW",J144 &lt;= ASSUMPTIONS!$D$8,"MEDIUM",TRUE, "HIGH")</f>
        <v>MEDIUM</v>
      </c>
      <c r="Q144" t="str">
        <f>IF(M144&lt;ASSUMPTIONS!$D$10,"New (0-2)",IF(M144&lt;=ASSUMPTIONS!$D$11,"Early (2-5)",IF(M144&lt;=ASSUMPTIONS!$D$12,"Established (5-10)","Veteran (10+)")))</f>
        <v>Early (2-5)</v>
      </c>
      <c r="R144" s="4">
        <f t="shared" si="5"/>
        <v>3.3333333333333335</v>
      </c>
    </row>
    <row r="145" spans="1:18">
      <c r="A145">
        <f>RAW_DATA!A145</f>
        <v>30</v>
      </c>
      <c r="B145" t="str">
        <f>RAW_DATA!B145</f>
        <v>No</v>
      </c>
      <c r="C145" t="str">
        <f>RAW_DATA!C145</f>
        <v>Research &amp; Development</v>
      </c>
      <c r="D145">
        <f>RAW_DATA!D145</f>
        <v>18</v>
      </c>
      <c r="E145">
        <f>RAW_DATA!E145</f>
        <v>3</v>
      </c>
      <c r="F145" t="str">
        <f>RAW_DATA!F145</f>
        <v>Life Sciences</v>
      </c>
      <c r="G145">
        <f>RAW_DATA!G145</f>
        <v>1</v>
      </c>
      <c r="H145">
        <f>RAW_DATA!H145</f>
        <v>3</v>
      </c>
      <c r="I145" t="str">
        <f>RAW_DATA!I145</f>
        <v>Single</v>
      </c>
      <c r="J145">
        <f>RAW_DATA!J145</f>
        <v>2632</v>
      </c>
      <c r="K145">
        <f>RAW_DATA!K145</f>
        <v>1</v>
      </c>
      <c r="L145">
        <f>RAW_DATA!L145</f>
        <v>2</v>
      </c>
      <c r="M145">
        <f>RAW_DATA!M145</f>
        <v>5</v>
      </c>
      <c r="N145">
        <f t="shared" si="4"/>
        <v>0</v>
      </c>
      <c r="O145" t="str" cm="1">
        <f t="array" ref="O145" xml:space="preserve"> _xlfn.IFS(A145 &lt;ASSUMPTIONS!$D$2,"25",A145 &lt;= ASSUMPTIONS!$D$3,"25-34",A145 &lt;= ASSUMPTIONS!$D$4, "35-44",A145 &lt;= ASSUMPTIONS!$D$5,"45-54",TRUE,"55+")</f>
        <v>25-34</v>
      </c>
      <c r="P145" t="str" cm="1">
        <f t="array" ref="P145">_xlfn.IFS( J145 &lt;ASSUMPTIONS!$D$7,"LOW",J145 &lt;= ASSUMPTIONS!$D$8,"MEDIUM",TRUE, "HIGH")</f>
        <v>LOW</v>
      </c>
      <c r="Q145" t="str">
        <f>IF(M145&lt;ASSUMPTIONS!$D$10,"New (0-2)",IF(M145&lt;=ASSUMPTIONS!$D$11,"Early (2-5)",IF(M145&lt;=ASSUMPTIONS!$D$12,"Established (5-10)","Veteran (10+)")))</f>
        <v>Early (2-5)</v>
      </c>
      <c r="R145" s="4">
        <f t="shared" si="5"/>
        <v>2</v>
      </c>
    </row>
    <row r="146" spans="1:18">
      <c r="A146">
        <f>RAW_DATA!A146</f>
        <v>32</v>
      </c>
      <c r="B146" t="str">
        <f>RAW_DATA!B146</f>
        <v>No</v>
      </c>
      <c r="C146" t="str">
        <f>RAW_DATA!C146</f>
        <v>Sales</v>
      </c>
      <c r="D146">
        <f>RAW_DATA!D146</f>
        <v>9</v>
      </c>
      <c r="E146">
        <f>RAW_DATA!E146</f>
        <v>2</v>
      </c>
      <c r="F146" t="str">
        <f>RAW_DATA!F146</f>
        <v>Medical</v>
      </c>
      <c r="G146">
        <f>RAW_DATA!G146</f>
        <v>4</v>
      </c>
      <c r="H146">
        <f>RAW_DATA!H146</f>
        <v>4</v>
      </c>
      <c r="I146" t="str">
        <f>RAW_DATA!I146</f>
        <v>Divorced</v>
      </c>
      <c r="J146">
        <f>RAW_DATA!J146</f>
        <v>4668</v>
      </c>
      <c r="K146">
        <f>RAW_DATA!K146</f>
        <v>0</v>
      </c>
      <c r="L146">
        <f>RAW_DATA!L146</f>
        <v>4</v>
      </c>
      <c r="M146">
        <f>RAW_DATA!M146</f>
        <v>8</v>
      </c>
      <c r="N146">
        <f t="shared" si="4"/>
        <v>0</v>
      </c>
      <c r="O146" t="str" cm="1">
        <f t="array" ref="O146" xml:space="preserve"> _xlfn.IFS(A146 &lt;ASSUMPTIONS!$D$2,"25",A146 &lt;= ASSUMPTIONS!$D$3,"25-34",A146 &lt;= ASSUMPTIONS!$D$4, "35-44",A146 &lt;= ASSUMPTIONS!$D$5,"45-54",TRUE,"55+")</f>
        <v>25-34</v>
      </c>
      <c r="P146" t="str" cm="1">
        <f t="array" ref="P146">_xlfn.IFS( J146 &lt;ASSUMPTIONS!$D$7,"LOW",J146 &lt;= ASSUMPTIONS!$D$8,"MEDIUM",TRUE, "HIGH")</f>
        <v>MEDIUM</v>
      </c>
      <c r="Q146" t="str">
        <f>IF(M146&lt;ASSUMPTIONS!$D$10,"New (0-2)",IF(M146&lt;=ASSUMPTIONS!$D$11,"Early (2-5)",IF(M146&lt;=ASSUMPTIONS!$D$12,"Established (5-10)","Veteran (10+)")))</f>
        <v>Established (5-10)</v>
      </c>
      <c r="R146" s="4">
        <f t="shared" si="5"/>
        <v>4</v>
      </c>
    </row>
    <row r="147" spans="1:18">
      <c r="A147">
        <f>RAW_DATA!A147</f>
        <v>30</v>
      </c>
      <c r="B147" t="str">
        <f>RAW_DATA!B147</f>
        <v>No</v>
      </c>
      <c r="C147" t="str">
        <f>RAW_DATA!C147</f>
        <v>Research &amp; Development</v>
      </c>
      <c r="D147">
        <f>RAW_DATA!D147</f>
        <v>5</v>
      </c>
      <c r="E147">
        <f>RAW_DATA!E147</f>
        <v>3</v>
      </c>
      <c r="F147" t="str">
        <f>RAW_DATA!F147</f>
        <v>Technical Degree</v>
      </c>
      <c r="G147">
        <f>RAW_DATA!G147</f>
        <v>4</v>
      </c>
      <c r="H147">
        <f>RAW_DATA!H147</f>
        <v>1</v>
      </c>
      <c r="I147" t="str">
        <f>RAW_DATA!I147</f>
        <v>Divorced</v>
      </c>
      <c r="J147">
        <f>RAW_DATA!J147</f>
        <v>3204</v>
      </c>
      <c r="K147">
        <f>RAW_DATA!K147</f>
        <v>5</v>
      </c>
      <c r="L147">
        <f>RAW_DATA!L147</f>
        <v>3</v>
      </c>
      <c r="M147">
        <f>RAW_DATA!M147</f>
        <v>3</v>
      </c>
      <c r="N147">
        <f t="shared" si="4"/>
        <v>0</v>
      </c>
      <c r="O147" t="str" cm="1">
        <f t="array" ref="O147" xml:space="preserve"> _xlfn.IFS(A147 &lt;ASSUMPTIONS!$D$2,"25",A147 &lt;= ASSUMPTIONS!$D$3,"25-34",A147 &lt;= ASSUMPTIONS!$D$4, "35-44",A147 &lt;= ASSUMPTIONS!$D$5,"45-54",TRUE,"55+")</f>
        <v>25-34</v>
      </c>
      <c r="P147" t="str" cm="1">
        <f t="array" ref="P147">_xlfn.IFS( J147 &lt;ASSUMPTIONS!$D$7,"LOW",J147 &lt;= ASSUMPTIONS!$D$8,"MEDIUM",TRUE, "HIGH")</f>
        <v>MEDIUM</v>
      </c>
      <c r="Q147" t="str">
        <f>IF(M147&lt;ASSUMPTIONS!$D$10,"New (0-2)",IF(M147&lt;=ASSUMPTIONS!$D$11,"Early (2-5)",IF(M147&lt;=ASSUMPTIONS!$D$12,"Established (5-10)","Veteran (10+)")))</f>
        <v>Early (2-5)</v>
      </c>
      <c r="R147" s="4">
        <f t="shared" si="5"/>
        <v>2.6666666666666665</v>
      </c>
    </row>
    <row r="148" spans="1:18">
      <c r="A148">
        <f>RAW_DATA!A148</f>
        <v>30</v>
      </c>
      <c r="B148" t="str">
        <f>RAW_DATA!B148</f>
        <v>No</v>
      </c>
      <c r="C148" t="str">
        <f>RAW_DATA!C148</f>
        <v>Research &amp; Development</v>
      </c>
      <c r="D148">
        <f>RAW_DATA!D148</f>
        <v>2</v>
      </c>
      <c r="E148">
        <f>RAW_DATA!E148</f>
        <v>1</v>
      </c>
      <c r="F148" t="str">
        <f>RAW_DATA!F148</f>
        <v>Medical</v>
      </c>
      <c r="G148">
        <f>RAW_DATA!G148</f>
        <v>2</v>
      </c>
      <c r="H148">
        <f>RAW_DATA!H148</f>
        <v>4</v>
      </c>
      <c r="I148" t="str">
        <f>RAW_DATA!I148</f>
        <v>Single</v>
      </c>
      <c r="J148">
        <f>RAW_DATA!J148</f>
        <v>2720</v>
      </c>
      <c r="K148">
        <f>RAW_DATA!K148</f>
        <v>0</v>
      </c>
      <c r="L148">
        <f>RAW_DATA!L148</f>
        <v>3</v>
      </c>
      <c r="M148">
        <f>RAW_DATA!M148</f>
        <v>5</v>
      </c>
      <c r="N148">
        <f t="shared" si="4"/>
        <v>0</v>
      </c>
      <c r="O148" t="str" cm="1">
        <f t="array" ref="O148" xml:space="preserve"> _xlfn.IFS(A148 &lt;ASSUMPTIONS!$D$2,"25",A148 &lt;= ASSUMPTIONS!$D$3,"25-34",A148 &lt;= ASSUMPTIONS!$D$4, "35-44",A148 &lt;= ASSUMPTIONS!$D$5,"45-54",TRUE,"55+")</f>
        <v>25-34</v>
      </c>
      <c r="P148" t="str" cm="1">
        <f t="array" ref="P148">_xlfn.IFS( J148 &lt;ASSUMPTIONS!$D$7,"LOW",J148 &lt;= ASSUMPTIONS!$D$8,"MEDIUM",TRUE, "HIGH")</f>
        <v>LOW</v>
      </c>
      <c r="Q148" t="str">
        <f>IF(M148&lt;ASSUMPTIONS!$D$10,"New (0-2)",IF(M148&lt;=ASSUMPTIONS!$D$11,"Early (2-5)",IF(M148&lt;=ASSUMPTIONS!$D$12,"Established (5-10)","Veteran (10+)")))</f>
        <v>Early (2-5)</v>
      </c>
      <c r="R148" s="4">
        <f t="shared" si="5"/>
        <v>3</v>
      </c>
    </row>
    <row r="149" spans="1:18">
      <c r="A149">
        <f>RAW_DATA!A149</f>
        <v>41</v>
      </c>
      <c r="B149" t="str">
        <f>RAW_DATA!B149</f>
        <v>No</v>
      </c>
      <c r="C149" t="str">
        <f>RAW_DATA!C149</f>
        <v>Research &amp; Development</v>
      </c>
      <c r="D149">
        <f>RAW_DATA!D149</f>
        <v>10</v>
      </c>
      <c r="E149">
        <f>RAW_DATA!E149</f>
        <v>3</v>
      </c>
      <c r="F149" t="str">
        <f>RAW_DATA!F149</f>
        <v>Life Sciences</v>
      </c>
      <c r="G149">
        <f>RAW_DATA!G149</f>
        <v>4</v>
      </c>
      <c r="H149">
        <f>RAW_DATA!H149</f>
        <v>1</v>
      </c>
      <c r="I149" t="str">
        <f>RAW_DATA!I149</f>
        <v>Divorced</v>
      </c>
      <c r="J149">
        <f>RAW_DATA!J149</f>
        <v>17181</v>
      </c>
      <c r="K149">
        <f>RAW_DATA!K149</f>
        <v>4</v>
      </c>
      <c r="L149">
        <f>RAW_DATA!L149</f>
        <v>2</v>
      </c>
      <c r="M149">
        <f>RAW_DATA!M149</f>
        <v>7</v>
      </c>
      <c r="N149">
        <f t="shared" si="4"/>
        <v>0</v>
      </c>
      <c r="O149" t="str" cm="1">
        <f t="array" ref="O149" xml:space="preserve"> _xlfn.IFS(A149 &lt;ASSUMPTIONS!$D$2,"25",A149 &lt;= ASSUMPTIONS!$D$3,"25-34",A149 &lt;= ASSUMPTIONS!$D$4, "35-44",A149 &lt;= ASSUMPTIONS!$D$5,"45-54",TRUE,"55+")</f>
        <v>35-44</v>
      </c>
      <c r="P149" t="str" cm="1">
        <f t="array" ref="P149">_xlfn.IFS( J149 &lt;ASSUMPTIONS!$D$7,"LOW",J149 &lt;= ASSUMPTIONS!$D$8,"MEDIUM",TRUE, "HIGH")</f>
        <v>HIGH</v>
      </c>
      <c r="Q149" t="str">
        <f>IF(M149&lt;ASSUMPTIONS!$D$10,"New (0-2)",IF(M149&lt;=ASSUMPTIONS!$D$11,"Early (2-5)",IF(M149&lt;=ASSUMPTIONS!$D$12,"Established (5-10)","Veteran (10+)")))</f>
        <v>Established (5-10)</v>
      </c>
      <c r="R149" s="4">
        <f t="shared" si="5"/>
        <v>2.3333333333333335</v>
      </c>
    </row>
    <row r="150" spans="1:18">
      <c r="A150">
        <f>RAW_DATA!A150</f>
        <v>41</v>
      </c>
      <c r="B150" t="str">
        <f>RAW_DATA!B150</f>
        <v>No</v>
      </c>
      <c r="C150" t="str">
        <f>RAW_DATA!C150</f>
        <v>Research &amp; Development</v>
      </c>
      <c r="D150">
        <f>RAW_DATA!D150</f>
        <v>9</v>
      </c>
      <c r="E150">
        <f>RAW_DATA!E150</f>
        <v>4</v>
      </c>
      <c r="F150" t="str">
        <f>RAW_DATA!F150</f>
        <v>Life Sciences</v>
      </c>
      <c r="G150">
        <f>RAW_DATA!G150</f>
        <v>3</v>
      </c>
      <c r="H150">
        <f>RAW_DATA!H150</f>
        <v>1</v>
      </c>
      <c r="I150" t="str">
        <f>RAW_DATA!I150</f>
        <v>Married</v>
      </c>
      <c r="J150">
        <f>RAW_DATA!J150</f>
        <v>2238</v>
      </c>
      <c r="K150">
        <f>RAW_DATA!K150</f>
        <v>2</v>
      </c>
      <c r="L150">
        <f>RAW_DATA!L150</f>
        <v>3</v>
      </c>
      <c r="M150">
        <f>RAW_DATA!M150</f>
        <v>5</v>
      </c>
      <c r="N150">
        <f t="shared" si="4"/>
        <v>0</v>
      </c>
      <c r="O150" t="str" cm="1">
        <f t="array" ref="O150" xml:space="preserve"> _xlfn.IFS(A150 &lt;ASSUMPTIONS!$D$2,"25",A150 &lt;= ASSUMPTIONS!$D$3,"25-34",A150 &lt;= ASSUMPTIONS!$D$4, "35-44",A150 &lt;= ASSUMPTIONS!$D$5,"45-54",TRUE,"55+")</f>
        <v>35-44</v>
      </c>
      <c r="P150" t="str" cm="1">
        <f t="array" ref="P150">_xlfn.IFS( J150 &lt;ASSUMPTIONS!$D$7,"LOW",J150 &lt;= ASSUMPTIONS!$D$8,"MEDIUM",TRUE, "HIGH")</f>
        <v>LOW</v>
      </c>
      <c r="Q150" t="str">
        <f>IF(M150&lt;ASSUMPTIONS!$D$10,"New (0-2)",IF(M150&lt;=ASSUMPTIONS!$D$11,"Early (2-5)",IF(M150&lt;=ASSUMPTIONS!$D$12,"Established (5-10)","Veteran (10+)")))</f>
        <v>Early (2-5)</v>
      </c>
      <c r="R150" s="4">
        <f t="shared" si="5"/>
        <v>2.3333333333333335</v>
      </c>
    </row>
    <row r="151" spans="1:18">
      <c r="A151">
        <f>RAW_DATA!A151</f>
        <v>19</v>
      </c>
      <c r="B151" t="str">
        <f>RAW_DATA!B151</f>
        <v>No</v>
      </c>
      <c r="C151" t="str">
        <f>RAW_DATA!C151</f>
        <v>Research &amp; Development</v>
      </c>
      <c r="D151">
        <f>RAW_DATA!D151</f>
        <v>3</v>
      </c>
      <c r="E151">
        <f>RAW_DATA!E151</f>
        <v>1</v>
      </c>
      <c r="F151" t="str">
        <f>RAW_DATA!F151</f>
        <v>Medical</v>
      </c>
      <c r="G151">
        <f>RAW_DATA!G151</f>
        <v>2</v>
      </c>
      <c r="H151">
        <f>RAW_DATA!H151</f>
        <v>2</v>
      </c>
      <c r="I151" t="str">
        <f>RAW_DATA!I151</f>
        <v>Single</v>
      </c>
      <c r="J151">
        <f>RAW_DATA!J151</f>
        <v>1483</v>
      </c>
      <c r="K151">
        <f>RAW_DATA!K151</f>
        <v>1</v>
      </c>
      <c r="L151">
        <f>RAW_DATA!L151</f>
        <v>3</v>
      </c>
      <c r="M151">
        <f>RAW_DATA!M151</f>
        <v>1</v>
      </c>
      <c r="N151">
        <f t="shared" si="4"/>
        <v>0</v>
      </c>
      <c r="O151" t="str" cm="1">
        <f t="array" ref="O151" xml:space="preserve"> _xlfn.IFS(A151 &lt;ASSUMPTIONS!$D$2,"25",A151 &lt;= ASSUMPTIONS!$D$3,"25-34",A151 &lt;= ASSUMPTIONS!$D$4, "35-44",A151 &lt;= ASSUMPTIONS!$D$5,"45-54",TRUE,"55+")</f>
        <v>25</v>
      </c>
      <c r="P151" t="str" cm="1">
        <f t="array" ref="P151">_xlfn.IFS( J151 &lt;ASSUMPTIONS!$D$7,"LOW",J151 &lt;= ASSUMPTIONS!$D$8,"MEDIUM",TRUE, "HIGH")</f>
        <v>LOW</v>
      </c>
      <c r="Q151" t="str">
        <f>IF(M151&lt;ASSUMPTIONS!$D$10,"New (0-2)",IF(M151&lt;=ASSUMPTIONS!$D$11,"Early (2-5)",IF(M151&lt;=ASSUMPTIONS!$D$12,"Established (5-10)","Veteran (10+)")))</f>
        <v>New (0-2)</v>
      </c>
      <c r="R151" s="4">
        <f t="shared" si="5"/>
        <v>2.3333333333333335</v>
      </c>
    </row>
    <row r="152" spans="1:18">
      <c r="A152">
        <f>RAW_DATA!A152</f>
        <v>40</v>
      </c>
      <c r="B152" t="str">
        <f>RAW_DATA!B152</f>
        <v>No</v>
      </c>
      <c r="C152" t="str">
        <f>RAW_DATA!C152</f>
        <v>Research &amp; Development</v>
      </c>
      <c r="D152">
        <f>RAW_DATA!D152</f>
        <v>26</v>
      </c>
      <c r="E152">
        <f>RAW_DATA!E152</f>
        <v>3</v>
      </c>
      <c r="F152" t="str">
        <f>RAW_DATA!F152</f>
        <v>Medical</v>
      </c>
      <c r="G152">
        <f>RAW_DATA!G152</f>
        <v>2</v>
      </c>
      <c r="H152">
        <f>RAW_DATA!H152</f>
        <v>2</v>
      </c>
      <c r="I152" t="str">
        <f>RAW_DATA!I152</f>
        <v>Divorced</v>
      </c>
      <c r="J152">
        <f>RAW_DATA!J152</f>
        <v>5605</v>
      </c>
      <c r="K152">
        <f>RAW_DATA!K152</f>
        <v>1</v>
      </c>
      <c r="L152">
        <f>RAW_DATA!L152</f>
        <v>3</v>
      </c>
      <c r="M152">
        <f>RAW_DATA!M152</f>
        <v>20</v>
      </c>
      <c r="N152">
        <f t="shared" si="4"/>
        <v>0</v>
      </c>
      <c r="O152" t="str" cm="1">
        <f t="array" ref="O152" xml:space="preserve"> _xlfn.IFS(A152 &lt;ASSUMPTIONS!$D$2,"25",A152 &lt;= ASSUMPTIONS!$D$3,"25-34",A152 &lt;= ASSUMPTIONS!$D$4, "35-44",A152 &lt;= ASSUMPTIONS!$D$5,"45-54",TRUE,"55+")</f>
        <v>35-44</v>
      </c>
      <c r="P152" t="str" cm="1">
        <f t="array" ref="P152">_xlfn.IFS( J152 &lt;ASSUMPTIONS!$D$7,"LOW",J152 &lt;= ASSUMPTIONS!$D$8,"MEDIUM",TRUE, "HIGH")</f>
        <v>MEDIUM</v>
      </c>
      <c r="Q152" t="str">
        <f>IF(M152&lt;ASSUMPTIONS!$D$10,"New (0-2)",IF(M152&lt;=ASSUMPTIONS!$D$11,"Early (2-5)",IF(M152&lt;=ASSUMPTIONS!$D$12,"Established (5-10)","Veteran (10+)")))</f>
        <v>Veteran (10+)</v>
      </c>
      <c r="R152" s="4">
        <f t="shared" si="5"/>
        <v>2.3333333333333335</v>
      </c>
    </row>
    <row r="153" spans="1:18">
      <c r="A153">
        <f>RAW_DATA!A153</f>
        <v>35</v>
      </c>
      <c r="B153" t="str">
        <f>RAW_DATA!B153</f>
        <v>No</v>
      </c>
      <c r="C153" t="str">
        <f>RAW_DATA!C153</f>
        <v>Sales</v>
      </c>
      <c r="D153">
        <f>RAW_DATA!D153</f>
        <v>1</v>
      </c>
      <c r="E153">
        <f>RAW_DATA!E153</f>
        <v>5</v>
      </c>
      <c r="F153" t="str">
        <f>RAW_DATA!F153</f>
        <v>Marketing</v>
      </c>
      <c r="G153">
        <f>RAW_DATA!G153</f>
        <v>3</v>
      </c>
      <c r="H153">
        <f>RAW_DATA!H153</f>
        <v>2</v>
      </c>
      <c r="I153" t="str">
        <f>RAW_DATA!I153</f>
        <v>Married</v>
      </c>
      <c r="J153">
        <f>RAW_DATA!J153</f>
        <v>7295</v>
      </c>
      <c r="K153">
        <f>RAW_DATA!K153</f>
        <v>1</v>
      </c>
      <c r="L153">
        <f>RAW_DATA!L153</f>
        <v>3</v>
      </c>
      <c r="M153">
        <f>RAW_DATA!M153</f>
        <v>10</v>
      </c>
      <c r="N153">
        <f t="shared" si="4"/>
        <v>0</v>
      </c>
      <c r="O153" t="str" cm="1">
        <f t="array" ref="O153" xml:space="preserve"> _xlfn.IFS(A153 &lt;ASSUMPTIONS!$D$2,"25",A153 &lt;= ASSUMPTIONS!$D$3,"25-34",A153 &lt;= ASSUMPTIONS!$D$4, "35-44",A153 &lt;= ASSUMPTIONS!$D$5,"45-54",TRUE,"55+")</f>
        <v>35-44</v>
      </c>
      <c r="P153" t="str" cm="1">
        <f t="array" ref="P153">_xlfn.IFS( J153 &lt;ASSUMPTIONS!$D$7,"LOW",J153 &lt;= ASSUMPTIONS!$D$8,"MEDIUM",TRUE, "HIGH")</f>
        <v>HIGH</v>
      </c>
      <c r="Q153" t="str">
        <f>IF(M153&lt;ASSUMPTIONS!$D$10,"New (0-2)",IF(M153&lt;=ASSUMPTIONS!$D$11,"Early (2-5)",IF(M153&lt;=ASSUMPTIONS!$D$12,"Established (5-10)","Veteran (10+)")))</f>
        <v>Established (5-10)</v>
      </c>
      <c r="R153" s="4">
        <f t="shared" si="5"/>
        <v>2.6666666666666665</v>
      </c>
    </row>
    <row r="154" spans="1:18">
      <c r="A154">
        <f>RAW_DATA!A154</f>
        <v>53</v>
      </c>
      <c r="B154" t="str">
        <f>RAW_DATA!B154</f>
        <v>No</v>
      </c>
      <c r="C154" t="str">
        <f>RAW_DATA!C154</f>
        <v>Sales</v>
      </c>
      <c r="D154">
        <f>RAW_DATA!D154</f>
        <v>6</v>
      </c>
      <c r="E154">
        <f>RAW_DATA!E154</f>
        <v>2</v>
      </c>
      <c r="F154" t="str">
        <f>RAW_DATA!F154</f>
        <v>Marketing</v>
      </c>
      <c r="G154">
        <f>RAW_DATA!G154</f>
        <v>2</v>
      </c>
      <c r="H154">
        <f>RAW_DATA!H154</f>
        <v>3</v>
      </c>
      <c r="I154" t="str">
        <f>RAW_DATA!I154</f>
        <v>Married</v>
      </c>
      <c r="J154">
        <f>RAW_DATA!J154</f>
        <v>2306</v>
      </c>
      <c r="K154">
        <f>RAW_DATA!K154</f>
        <v>2</v>
      </c>
      <c r="L154">
        <f>RAW_DATA!L154</f>
        <v>1</v>
      </c>
      <c r="M154">
        <f>RAW_DATA!M154</f>
        <v>7</v>
      </c>
      <c r="N154">
        <f t="shared" si="4"/>
        <v>0</v>
      </c>
      <c r="O154" t="str" cm="1">
        <f t="array" ref="O154" xml:space="preserve"> _xlfn.IFS(A154 &lt;ASSUMPTIONS!$D$2,"25",A154 &lt;= ASSUMPTIONS!$D$3,"25-34",A154 &lt;= ASSUMPTIONS!$D$4, "35-44",A154 &lt;= ASSUMPTIONS!$D$5,"45-54",TRUE,"55+")</f>
        <v>45-54</v>
      </c>
      <c r="P154" t="str" cm="1">
        <f t="array" ref="P154">_xlfn.IFS( J154 &lt;ASSUMPTIONS!$D$7,"LOW",J154 &lt;= ASSUMPTIONS!$D$8,"MEDIUM",TRUE, "HIGH")</f>
        <v>LOW</v>
      </c>
      <c r="Q154" t="str">
        <f>IF(M154&lt;ASSUMPTIONS!$D$10,"New (0-2)",IF(M154&lt;=ASSUMPTIONS!$D$11,"Early (2-5)",IF(M154&lt;=ASSUMPTIONS!$D$12,"Established (5-10)","Veteran (10+)")))</f>
        <v>Established (5-10)</v>
      </c>
      <c r="R154" s="4">
        <f t="shared" si="5"/>
        <v>2</v>
      </c>
    </row>
    <row r="155" spans="1:18">
      <c r="A155">
        <f>RAW_DATA!A155</f>
        <v>45</v>
      </c>
      <c r="B155" t="str">
        <f>RAW_DATA!B155</f>
        <v>No</v>
      </c>
      <c r="C155" t="str">
        <f>RAW_DATA!C155</f>
        <v>Research &amp; Development</v>
      </c>
      <c r="D155">
        <f>RAW_DATA!D155</f>
        <v>9</v>
      </c>
      <c r="E155">
        <f>RAW_DATA!E155</f>
        <v>3</v>
      </c>
      <c r="F155" t="str">
        <f>RAW_DATA!F155</f>
        <v>Life Sciences</v>
      </c>
      <c r="G155">
        <f>RAW_DATA!G155</f>
        <v>2</v>
      </c>
      <c r="H155">
        <f>RAW_DATA!H155</f>
        <v>2</v>
      </c>
      <c r="I155" t="str">
        <f>RAW_DATA!I155</f>
        <v>Divorced</v>
      </c>
      <c r="J155">
        <f>RAW_DATA!J155</f>
        <v>2348</v>
      </c>
      <c r="K155">
        <f>RAW_DATA!K155</f>
        <v>8</v>
      </c>
      <c r="L155">
        <f>RAW_DATA!L155</f>
        <v>1</v>
      </c>
      <c r="M155">
        <f>RAW_DATA!M155</f>
        <v>17</v>
      </c>
      <c r="N155">
        <f t="shared" si="4"/>
        <v>0</v>
      </c>
      <c r="O155" t="str" cm="1">
        <f t="array" ref="O155" xml:space="preserve"> _xlfn.IFS(A155 &lt;ASSUMPTIONS!$D$2,"25",A155 &lt;= ASSUMPTIONS!$D$3,"25-34",A155 &lt;= ASSUMPTIONS!$D$4, "35-44",A155 &lt;= ASSUMPTIONS!$D$5,"45-54",TRUE,"55+")</f>
        <v>45-54</v>
      </c>
      <c r="P155" t="str" cm="1">
        <f t="array" ref="P155">_xlfn.IFS( J155 &lt;ASSUMPTIONS!$D$7,"LOW",J155 &lt;= ASSUMPTIONS!$D$8,"MEDIUM",TRUE, "HIGH")</f>
        <v>LOW</v>
      </c>
      <c r="Q155" t="str">
        <f>IF(M155&lt;ASSUMPTIONS!$D$10,"New (0-2)",IF(M155&lt;=ASSUMPTIONS!$D$11,"Early (2-5)",IF(M155&lt;=ASSUMPTIONS!$D$12,"Established (5-10)","Veteran (10+)")))</f>
        <v>Veteran (10+)</v>
      </c>
      <c r="R155" s="4">
        <f t="shared" si="5"/>
        <v>1.6666666666666667</v>
      </c>
    </row>
    <row r="156" spans="1:18">
      <c r="A156">
        <f>RAW_DATA!A156</f>
        <v>32</v>
      </c>
      <c r="B156" t="str">
        <f>RAW_DATA!B156</f>
        <v>No</v>
      </c>
      <c r="C156" t="str">
        <f>RAW_DATA!C156</f>
        <v>Sales</v>
      </c>
      <c r="D156">
        <f>RAW_DATA!D156</f>
        <v>8</v>
      </c>
      <c r="E156">
        <f>RAW_DATA!E156</f>
        <v>3</v>
      </c>
      <c r="F156" t="str">
        <f>RAW_DATA!F156</f>
        <v>Marketing</v>
      </c>
      <c r="G156">
        <f>RAW_DATA!G156</f>
        <v>2</v>
      </c>
      <c r="H156">
        <f>RAW_DATA!H156</f>
        <v>4</v>
      </c>
      <c r="I156" t="str">
        <f>RAW_DATA!I156</f>
        <v>Single</v>
      </c>
      <c r="J156">
        <f>RAW_DATA!J156</f>
        <v>8998</v>
      </c>
      <c r="K156">
        <f>RAW_DATA!K156</f>
        <v>1</v>
      </c>
      <c r="L156">
        <f>RAW_DATA!L156</f>
        <v>3</v>
      </c>
      <c r="M156">
        <f>RAW_DATA!M156</f>
        <v>9</v>
      </c>
      <c r="N156">
        <f t="shared" si="4"/>
        <v>0</v>
      </c>
      <c r="O156" t="str" cm="1">
        <f t="array" ref="O156" xml:space="preserve"> _xlfn.IFS(A156 &lt;ASSUMPTIONS!$D$2,"25",A156 &lt;= ASSUMPTIONS!$D$3,"25-34",A156 &lt;= ASSUMPTIONS!$D$4, "35-44",A156 &lt;= ASSUMPTIONS!$D$5,"45-54",TRUE,"55+")</f>
        <v>25-34</v>
      </c>
      <c r="P156" t="str" cm="1">
        <f t="array" ref="P156">_xlfn.IFS( J156 &lt;ASSUMPTIONS!$D$7,"LOW",J156 &lt;= ASSUMPTIONS!$D$8,"MEDIUM",TRUE, "HIGH")</f>
        <v>HIGH</v>
      </c>
      <c r="Q156" t="str">
        <f>IF(M156&lt;ASSUMPTIONS!$D$10,"New (0-2)",IF(M156&lt;=ASSUMPTIONS!$D$11,"Early (2-5)",IF(M156&lt;=ASSUMPTIONS!$D$12,"Established (5-10)","Veteran (10+)")))</f>
        <v>Established (5-10)</v>
      </c>
      <c r="R156" s="4">
        <f t="shared" si="5"/>
        <v>3</v>
      </c>
    </row>
    <row r="157" spans="1:18">
      <c r="A157">
        <f>RAW_DATA!A157</f>
        <v>29</v>
      </c>
      <c r="B157" t="str">
        <f>RAW_DATA!B157</f>
        <v>No</v>
      </c>
      <c r="C157" t="str">
        <f>RAW_DATA!C157</f>
        <v>Research &amp; Development</v>
      </c>
      <c r="D157">
        <f>RAW_DATA!D157</f>
        <v>1</v>
      </c>
      <c r="E157">
        <f>RAW_DATA!E157</f>
        <v>1</v>
      </c>
      <c r="F157" t="str">
        <f>RAW_DATA!F157</f>
        <v>Technical Degree</v>
      </c>
      <c r="G157">
        <f>RAW_DATA!G157</f>
        <v>4</v>
      </c>
      <c r="H157">
        <f>RAW_DATA!H157</f>
        <v>3</v>
      </c>
      <c r="I157" t="str">
        <f>RAW_DATA!I157</f>
        <v>Married</v>
      </c>
      <c r="J157">
        <f>RAW_DATA!J157</f>
        <v>4319</v>
      </c>
      <c r="K157">
        <f>RAW_DATA!K157</f>
        <v>1</v>
      </c>
      <c r="L157">
        <f>RAW_DATA!L157</f>
        <v>3</v>
      </c>
      <c r="M157">
        <f>RAW_DATA!M157</f>
        <v>10</v>
      </c>
      <c r="N157">
        <f t="shared" si="4"/>
        <v>0</v>
      </c>
      <c r="O157" t="str" cm="1">
        <f t="array" ref="O157" xml:space="preserve"> _xlfn.IFS(A157 &lt;ASSUMPTIONS!$D$2,"25",A157 &lt;= ASSUMPTIONS!$D$3,"25-34",A157 &lt;= ASSUMPTIONS!$D$4, "35-44",A157 &lt;= ASSUMPTIONS!$D$5,"45-54",TRUE,"55+")</f>
        <v>25-34</v>
      </c>
      <c r="P157" t="str" cm="1">
        <f t="array" ref="P157">_xlfn.IFS( J157 &lt;ASSUMPTIONS!$D$7,"LOW",J157 &lt;= ASSUMPTIONS!$D$8,"MEDIUM",TRUE, "HIGH")</f>
        <v>MEDIUM</v>
      </c>
      <c r="Q157" t="str">
        <f>IF(M157&lt;ASSUMPTIONS!$D$10,"New (0-2)",IF(M157&lt;=ASSUMPTIONS!$D$11,"Early (2-5)",IF(M157&lt;=ASSUMPTIONS!$D$12,"Established (5-10)","Veteran (10+)")))</f>
        <v>Established (5-10)</v>
      </c>
      <c r="R157" s="4">
        <f t="shared" si="5"/>
        <v>3.3333333333333335</v>
      </c>
    </row>
    <row r="158" spans="1:18">
      <c r="A158">
        <f>RAW_DATA!A158</f>
        <v>51</v>
      </c>
      <c r="B158" t="str">
        <f>RAW_DATA!B158</f>
        <v>No</v>
      </c>
      <c r="C158" t="str">
        <f>RAW_DATA!C158</f>
        <v>Research &amp; Development</v>
      </c>
      <c r="D158">
        <f>RAW_DATA!D158</f>
        <v>7</v>
      </c>
      <c r="E158">
        <f>RAW_DATA!E158</f>
        <v>4</v>
      </c>
      <c r="F158" t="str">
        <f>RAW_DATA!F158</f>
        <v>Medical</v>
      </c>
      <c r="G158">
        <f>RAW_DATA!G158</f>
        <v>2</v>
      </c>
      <c r="H158">
        <f>RAW_DATA!H158</f>
        <v>3</v>
      </c>
      <c r="I158" t="str">
        <f>RAW_DATA!I158</f>
        <v>Married</v>
      </c>
      <c r="J158">
        <f>RAW_DATA!J158</f>
        <v>6132</v>
      </c>
      <c r="K158">
        <f>RAW_DATA!K158</f>
        <v>2</v>
      </c>
      <c r="L158">
        <f>RAW_DATA!L158</f>
        <v>3</v>
      </c>
      <c r="M158">
        <f>RAW_DATA!M158</f>
        <v>1</v>
      </c>
      <c r="N158">
        <f t="shared" si="4"/>
        <v>0</v>
      </c>
      <c r="O158" t="str" cm="1">
        <f t="array" ref="O158" xml:space="preserve"> _xlfn.IFS(A158 &lt;ASSUMPTIONS!$D$2,"25",A158 &lt;= ASSUMPTIONS!$D$3,"25-34",A158 &lt;= ASSUMPTIONS!$D$4, "35-44",A158 &lt;= ASSUMPTIONS!$D$5,"45-54",TRUE,"55+")</f>
        <v>45-54</v>
      </c>
      <c r="P158" t="str" cm="1">
        <f t="array" ref="P158">_xlfn.IFS( J158 &lt;ASSUMPTIONS!$D$7,"LOW",J158 &lt;= ASSUMPTIONS!$D$8,"MEDIUM",TRUE, "HIGH")</f>
        <v>MEDIUM</v>
      </c>
      <c r="Q158" t="str">
        <f>IF(M158&lt;ASSUMPTIONS!$D$10,"New (0-2)",IF(M158&lt;=ASSUMPTIONS!$D$11,"Early (2-5)",IF(M158&lt;=ASSUMPTIONS!$D$12,"Established (5-10)","Veteran (10+)")))</f>
        <v>New (0-2)</v>
      </c>
      <c r="R158" s="4">
        <f t="shared" si="5"/>
        <v>2.6666666666666665</v>
      </c>
    </row>
    <row r="159" spans="1:18">
      <c r="A159">
        <f>RAW_DATA!A159</f>
        <v>58</v>
      </c>
      <c r="B159" t="str">
        <f>RAW_DATA!B159</f>
        <v>No</v>
      </c>
      <c r="C159" t="str">
        <f>RAW_DATA!C159</f>
        <v>Research &amp; Development</v>
      </c>
      <c r="D159">
        <f>RAW_DATA!D159</f>
        <v>9</v>
      </c>
      <c r="E159">
        <f>RAW_DATA!E159</f>
        <v>3</v>
      </c>
      <c r="F159" t="str">
        <f>RAW_DATA!F159</f>
        <v>Medical</v>
      </c>
      <c r="G159">
        <f>RAW_DATA!G159</f>
        <v>2</v>
      </c>
      <c r="H159">
        <f>RAW_DATA!H159</f>
        <v>2</v>
      </c>
      <c r="I159" t="str">
        <f>RAW_DATA!I159</f>
        <v>Married</v>
      </c>
      <c r="J159">
        <f>RAW_DATA!J159</f>
        <v>3346</v>
      </c>
      <c r="K159">
        <f>RAW_DATA!K159</f>
        <v>4</v>
      </c>
      <c r="L159">
        <f>RAW_DATA!L159</f>
        <v>2</v>
      </c>
      <c r="M159">
        <f>RAW_DATA!M159</f>
        <v>1</v>
      </c>
      <c r="N159">
        <f t="shared" si="4"/>
        <v>0</v>
      </c>
      <c r="O159" t="str" cm="1">
        <f t="array" ref="O159" xml:space="preserve"> _xlfn.IFS(A159 &lt;ASSUMPTIONS!$D$2,"25",A159 &lt;= ASSUMPTIONS!$D$3,"25-34",A159 &lt;= ASSUMPTIONS!$D$4, "35-44",A159 &lt;= ASSUMPTIONS!$D$5,"45-54",TRUE,"55+")</f>
        <v>55+</v>
      </c>
      <c r="P159" t="str" cm="1">
        <f t="array" ref="P159">_xlfn.IFS( J159 &lt;ASSUMPTIONS!$D$7,"LOW",J159 &lt;= ASSUMPTIONS!$D$8,"MEDIUM",TRUE, "HIGH")</f>
        <v>MEDIUM</v>
      </c>
      <c r="Q159" t="str">
        <f>IF(M159&lt;ASSUMPTIONS!$D$10,"New (0-2)",IF(M159&lt;=ASSUMPTIONS!$D$11,"Early (2-5)",IF(M159&lt;=ASSUMPTIONS!$D$12,"Established (5-10)","Veteran (10+)")))</f>
        <v>New (0-2)</v>
      </c>
      <c r="R159" s="4">
        <f t="shared" si="5"/>
        <v>2</v>
      </c>
    </row>
    <row r="160" spans="1:18">
      <c r="A160">
        <f>RAW_DATA!A160</f>
        <v>40</v>
      </c>
      <c r="B160" t="str">
        <f>RAW_DATA!B160</f>
        <v>No</v>
      </c>
      <c r="C160" t="str">
        <f>RAW_DATA!C160</f>
        <v>Sales</v>
      </c>
      <c r="D160">
        <f>RAW_DATA!D160</f>
        <v>4</v>
      </c>
      <c r="E160">
        <f>RAW_DATA!E160</f>
        <v>4</v>
      </c>
      <c r="F160" t="str">
        <f>RAW_DATA!F160</f>
        <v>Marketing</v>
      </c>
      <c r="G160">
        <f>RAW_DATA!G160</f>
        <v>3</v>
      </c>
      <c r="H160">
        <f>RAW_DATA!H160</f>
        <v>4</v>
      </c>
      <c r="I160" t="str">
        <f>RAW_DATA!I160</f>
        <v>Married</v>
      </c>
      <c r="J160">
        <f>RAW_DATA!J160</f>
        <v>10855</v>
      </c>
      <c r="K160">
        <f>RAW_DATA!K160</f>
        <v>7</v>
      </c>
      <c r="L160">
        <f>RAW_DATA!L160</f>
        <v>2</v>
      </c>
      <c r="M160">
        <f>RAW_DATA!M160</f>
        <v>12</v>
      </c>
      <c r="N160">
        <f t="shared" si="4"/>
        <v>0</v>
      </c>
      <c r="O160" t="str" cm="1">
        <f t="array" ref="O160" xml:space="preserve"> _xlfn.IFS(A160 &lt;ASSUMPTIONS!$D$2,"25",A160 &lt;= ASSUMPTIONS!$D$3,"25-34",A160 &lt;= ASSUMPTIONS!$D$4, "35-44",A160 &lt;= ASSUMPTIONS!$D$5,"45-54",TRUE,"55+")</f>
        <v>35-44</v>
      </c>
      <c r="P160" t="str" cm="1">
        <f t="array" ref="P160">_xlfn.IFS( J160 &lt;ASSUMPTIONS!$D$7,"LOW",J160 &lt;= ASSUMPTIONS!$D$8,"MEDIUM",TRUE, "HIGH")</f>
        <v>HIGH</v>
      </c>
      <c r="Q160" t="str">
        <f>IF(M160&lt;ASSUMPTIONS!$D$10,"New (0-2)",IF(M160&lt;=ASSUMPTIONS!$D$11,"Early (2-5)",IF(M160&lt;=ASSUMPTIONS!$D$12,"Established (5-10)","Veteran (10+)")))</f>
        <v>Veteran (10+)</v>
      </c>
      <c r="R160" s="4">
        <f t="shared" si="5"/>
        <v>3</v>
      </c>
    </row>
    <row r="161" spans="1:18">
      <c r="A161">
        <f>RAW_DATA!A161</f>
        <v>34</v>
      </c>
      <c r="B161" t="str">
        <f>RAW_DATA!B161</f>
        <v>No</v>
      </c>
      <c r="C161" t="str">
        <f>RAW_DATA!C161</f>
        <v>Sales</v>
      </c>
      <c r="D161">
        <f>RAW_DATA!D161</f>
        <v>2</v>
      </c>
      <c r="E161">
        <f>RAW_DATA!E161</f>
        <v>4</v>
      </c>
      <c r="F161" t="str">
        <f>RAW_DATA!F161</f>
        <v>Marketing</v>
      </c>
      <c r="G161">
        <f>RAW_DATA!G161</f>
        <v>3</v>
      </c>
      <c r="H161">
        <f>RAW_DATA!H161</f>
        <v>3</v>
      </c>
      <c r="I161" t="str">
        <f>RAW_DATA!I161</f>
        <v>Married</v>
      </c>
      <c r="J161">
        <f>RAW_DATA!J161</f>
        <v>2231</v>
      </c>
      <c r="K161">
        <f>RAW_DATA!K161</f>
        <v>6</v>
      </c>
      <c r="L161">
        <f>RAW_DATA!L161</f>
        <v>3</v>
      </c>
      <c r="M161">
        <f>RAW_DATA!M161</f>
        <v>4</v>
      </c>
      <c r="N161">
        <f t="shared" si="4"/>
        <v>0</v>
      </c>
      <c r="O161" t="str" cm="1">
        <f t="array" ref="O161" xml:space="preserve"> _xlfn.IFS(A161 &lt;ASSUMPTIONS!$D$2,"25",A161 &lt;= ASSUMPTIONS!$D$3,"25-34",A161 &lt;= ASSUMPTIONS!$D$4, "35-44",A161 &lt;= ASSUMPTIONS!$D$5,"45-54",TRUE,"55+")</f>
        <v>25-34</v>
      </c>
      <c r="P161" t="str" cm="1">
        <f t="array" ref="P161">_xlfn.IFS( J161 &lt;ASSUMPTIONS!$D$7,"LOW",J161 &lt;= ASSUMPTIONS!$D$8,"MEDIUM",TRUE, "HIGH")</f>
        <v>LOW</v>
      </c>
      <c r="Q161" t="str">
        <f>IF(M161&lt;ASSUMPTIONS!$D$10,"New (0-2)",IF(M161&lt;=ASSUMPTIONS!$D$11,"Early (2-5)",IF(M161&lt;=ASSUMPTIONS!$D$12,"Established (5-10)","Veteran (10+)")))</f>
        <v>Early (2-5)</v>
      </c>
      <c r="R161" s="4">
        <f t="shared" si="5"/>
        <v>3</v>
      </c>
    </row>
    <row r="162" spans="1:18">
      <c r="A162">
        <f>RAW_DATA!A162</f>
        <v>22</v>
      </c>
      <c r="B162" t="str">
        <f>RAW_DATA!B162</f>
        <v>No</v>
      </c>
      <c r="C162" t="str">
        <f>RAW_DATA!C162</f>
        <v>Research &amp; Development</v>
      </c>
      <c r="D162">
        <f>RAW_DATA!D162</f>
        <v>19</v>
      </c>
      <c r="E162">
        <f>RAW_DATA!E162</f>
        <v>1</v>
      </c>
      <c r="F162" t="str">
        <f>RAW_DATA!F162</f>
        <v>Medical</v>
      </c>
      <c r="G162">
        <f>RAW_DATA!G162</f>
        <v>3</v>
      </c>
      <c r="H162">
        <f>RAW_DATA!H162</f>
        <v>4</v>
      </c>
      <c r="I162" t="str">
        <f>RAW_DATA!I162</f>
        <v>Married</v>
      </c>
      <c r="J162">
        <f>RAW_DATA!J162</f>
        <v>2323</v>
      </c>
      <c r="K162">
        <f>RAW_DATA!K162</f>
        <v>1</v>
      </c>
      <c r="L162">
        <f>RAW_DATA!L162</f>
        <v>3</v>
      </c>
      <c r="M162">
        <f>RAW_DATA!M162</f>
        <v>2</v>
      </c>
      <c r="N162">
        <f t="shared" si="4"/>
        <v>0</v>
      </c>
      <c r="O162" t="str" cm="1">
        <f t="array" ref="O162" xml:space="preserve"> _xlfn.IFS(A162 &lt;ASSUMPTIONS!$D$2,"25",A162 &lt;= ASSUMPTIONS!$D$3,"25-34",A162 &lt;= ASSUMPTIONS!$D$4, "35-44",A162 &lt;= ASSUMPTIONS!$D$5,"45-54",TRUE,"55+")</f>
        <v>25</v>
      </c>
      <c r="P162" t="str" cm="1">
        <f t="array" ref="P162">_xlfn.IFS( J162 &lt;ASSUMPTIONS!$D$7,"LOW",J162 &lt;= ASSUMPTIONS!$D$8,"MEDIUM",TRUE, "HIGH")</f>
        <v>LOW</v>
      </c>
      <c r="Q162" t="str">
        <f>IF(M162&lt;ASSUMPTIONS!$D$10,"New (0-2)",IF(M162&lt;=ASSUMPTIONS!$D$11,"Early (2-5)",IF(M162&lt;=ASSUMPTIONS!$D$12,"Established (5-10)","Veteran (10+)")))</f>
        <v>Early (2-5)</v>
      </c>
      <c r="R162" s="4">
        <f t="shared" si="5"/>
        <v>3.3333333333333335</v>
      </c>
    </row>
    <row r="163" spans="1:18">
      <c r="A163">
        <f>RAW_DATA!A163</f>
        <v>27</v>
      </c>
      <c r="B163" t="str">
        <f>RAW_DATA!B163</f>
        <v>No</v>
      </c>
      <c r="C163" t="str">
        <f>RAW_DATA!C163</f>
        <v>Research &amp; Development</v>
      </c>
      <c r="D163">
        <f>RAW_DATA!D163</f>
        <v>9</v>
      </c>
      <c r="E163">
        <f>RAW_DATA!E163</f>
        <v>3</v>
      </c>
      <c r="F163" t="str">
        <f>RAW_DATA!F163</f>
        <v>Medical</v>
      </c>
      <c r="G163">
        <f>RAW_DATA!G163</f>
        <v>4</v>
      </c>
      <c r="H163">
        <f>RAW_DATA!H163</f>
        <v>2</v>
      </c>
      <c r="I163" t="str">
        <f>RAW_DATA!I163</f>
        <v>Divorced</v>
      </c>
      <c r="J163">
        <f>RAW_DATA!J163</f>
        <v>2024</v>
      </c>
      <c r="K163">
        <f>RAW_DATA!K163</f>
        <v>6</v>
      </c>
      <c r="L163">
        <f>RAW_DATA!L163</f>
        <v>1</v>
      </c>
      <c r="M163">
        <f>RAW_DATA!M163</f>
        <v>2</v>
      </c>
      <c r="N163">
        <f t="shared" si="4"/>
        <v>0</v>
      </c>
      <c r="O163" t="str" cm="1">
        <f t="array" ref="O163" xml:space="preserve"> _xlfn.IFS(A163 &lt;ASSUMPTIONS!$D$2,"25",A163 &lt;= ASSUMPTIONS!$D$3,"25-34",A163 &lt;= ASSUMPTIONS!$D$4, "35-44",A163 &lt;= ASSUMPTIONS!$D$5,"45-54",TRUE,"55+")</f>
        <v>25-34</v>
      </c>
      <c r="P163" t="str" cm="1">
        <f t="array" ref="P163">_xlfn.IFS( J163 &lt;ASSUMPTIONS!$D$7,"LOW",J163 &lt;= ASSUMPTIONS!$D$8,"MEDIUM",TRUE, "HIGH")</f>
        <v>LOW</v>
      </c>
      <c r="Q163" t="str">
        <f>IF(M163&lt;ASSUMPTIONS!$D$10,"New (0-2)",IF(M163&lt;=ASSUMPTIONS!$D$11,"Early (2-5)",IF(M163&lt;=ASSUMPTIONS!$D$12,"Established (5-10)","Veteran (10+)")))</f>
        <v>Early (2-5)</v>
      </c>
      <c r="R163" s="4">
        <f t="shared" si="5"/>
        <v>2.3333333333333335</v>
      </c>
    </row>
    <row r="164" spans="1:18">
      <c r="A164">
        <f>RAW_DATA!A164</f>
        <v>28</v>
      </c>
      <c r="B164" t="str">
        <f>RAW_DATA!B164</f>
        <v>No</v>
      </c>
      <c r="C164" t="str">
        <f>RAW_DATA!C164</f>
        <v>Research &amp; Development</v>
      </c>
      <c r="D164">
        <f>RAW_DATA!D164</f>
        <v>21</v>
      </c>
      <c r="E164">
        <f>RAW_DATA!E164</f>
        <v>3</v>
      </c>
      <c r="F164" t="str">
        <f>RAW_DATA!F164</f>
        <v>Medical</v>
      </c>
      <c r="G164">
        <f>RAW_DATA!G164</f>
        <v>3</v>
      </c>
      <c r="H164">
        <f>RAW_DATA!H164</f>
        <v>4</v>
      </c>
      <c r="I164" t="str">
        <f>RAW_DATA!I164</f>
        <v>Married</v>
      </c>
      <c r="J164">
        <f>RAW_DATA!J164</f>
        <v>2713</v>
      </c>
      <c r="K164">
        <f>RAW_DATA!K164</f>
        <v>1</v>
      </c>
      <c r="L164">
        <f>RAW_DATA!L164</f>
        <v>1</v>
      </c>
      <c r="M164">
        <f>RAW_DATA!M164</f>
        <v>5</v>
      </c>
      <c r="N164">
        <f t="shared" si="4"/>
        <v>0</v>
      </c>
      <c r="O164" t="str" cm="1">
        <f t="array" ref="O164" xml:space="preserve"> _xlfn.IFS(A164 &lt;ASSUMPTIONS!$D$2,"25",A164 &lt;= ASSUMPTIONS!$D$3,"25-34",A164 &lt;= ASSUMPTIONS!$D$4, "35-44",A164 &lt;= ASSUMPTIONS!$D$5,"45-54",TRUE,"55+")</f>
        <v>25-34</v>
      </c>
      <c r="P164" t="str" cm="1">
        <f t="array" ref="P164">_xlfn.IFS( J164 &lt;ASSUMPTIONS!$D$7,"LOW",J164 &lt;= ASSUMPTIONS!$D$8,"MEDIUM",TRUE, "HIGH")</f>
        <v>LOW</v>
      </c>
      <c r="Q164" t="str">
        <f>IF(M164&lt;ASSUMPTIONS!$D$10,"New (0-2)",IF(M164&lt;=ASSUMPTIONS!$D$11,"Early (2-5)",IF(M164&lt;=ASSUMPTIONS!$D$12,"Established (5-10)","Veteran (10+)")))</f>
        <v>Early (2-5)</v>
      </c>
      <c r="R164" s="4">
        <f t="shared" si="5"/>
        <v>2.6666666666666665</v>
      </c>
    </row>
    <row r="165" spans="1:18">
      <c r="A165">
        <f>RAW_DATA!A165</f>
        <v>57</v>
      </c>
      <c r="B165" t="str">
        <f>RAW_DATA!B165</f>
        <v>No</v>
      </c>
      <c r="C165" t="str">
        <f>RAW_DATA!C165</f>
        <v>Research &amp; Development</v>
      </c>
      <c r="D165">
        <f>RAW_DATA!D165</f>
        <v>24</v>
      </c>
      <c r="E165">
        <f>RAW_DATA!E165</f>
        <v>2</v>
      </c>
      <c r="F165" t="str">
        <f>RAW_DATA!F165</f>
        <v>Life Sciences</v>
      </c>
      <c r="G165">
        <f>RAW_DATA!G165</f>
        <v>3</v>
      </c>
      <c r="H165">
        <f>RAW_DATA!H165</f>
        <v>4</v>
      </c>
      <c r="I165" t="str">
        <f>RAW_DATA!I165</f>
        <v>Divorced</v>
      </c>
      <c r="J165">
        <f>RAW_DATA!J165</f>
        <v>9439</v>
      </c>
      <c r="K165">
        <f>RAW_DATA!K165</f>
        <v>3</v>
      </c>
      <c r="L165">
        <f>RAW_DATA!L165</f>
        <v>1</v>
      </c>
      <c r="M165">
        <f>RAW_DATA!M165</f>
        <v>5</v>
      </c>
      <c r="N165">
        <f t="shared" si="4"/>
        <v>0</v>
      </c>
      <c r="O165" t="str" cm="1">
        <f t="array" ref="O165" xml:space="preserve"> _xlfn.IFS(A165 &lt;ASSUMPTIONS!$D$2,"25",A165 &lt;= ASSUMPTIONS!$D$3,"25-34",A165 &lt;= ASSUMPTIONS!$D$4, "35-44",A165 &lt;= ASSUMPTIONS!$D$5,"45-54",TRUE,"55+")</f>
        <v>55+</v>
      </c>
      <c r="P165" t="str" cm="1">
        <f t="array" ref="P165">_xlfn.IFS( J165 &lt;ASSUMPTIONS!$D$7,"LOW",J165 &lt;= ASSUMPTIONS!$D$8,"MEDIUM",TRUE, "HIGH")</f>
        <v>HIGH</v>
      </c>
      <c r="Q165" t="str">
        <f>IF(M165&lt;ASSUMPTIONS!$D$10,"New (0-2)",IF(M165&lt;=ASSUMPTIONS!$D$11,"Early (2-5)",IF(M165&lt;=ASSUMPTIONS!$D$12,"Established (5-10)","Veteran (10+)")))</f>
        <v>Early (2-5)</v>
      </c>
      <c r="R165" s="4">
        <f t="shared" si="5"/>
        <v>2.6666666666666665</v>
      </c>
    </row>
    <row r="166" spans="1:18">
      <c r="A166">
        <f>RAW_DATA!A166</f>
        <v>27</v>
      </c>
      <c r="B166" t="str">
        <f>RAW_DATA!B166</f>
        <v>No</v>
      </c>
      <c r="C166" t="str">
        <f>RAW_DATA!C166</f>
        <v>Research &amp; Development</v>
      </c>
      <c r="D166">
        <f>RAW_DATA!D166</f>
        <v>3</v>
      </c>
      <c r="E166">
        <f>RAW_DATA!E166</f>
        <v>3</v>
      </c>
      <c r="F166" t="str">
        <f>RAW_DATA!F166</f>
        <v>Medical</v>
      </c>
      <c r="G166">
        <f>RAW_DATA!G166</f>
        <v>3</v>
      </c>
      <c r="H166">
        <f>RAW_DATA!H166</f>
        <v>3</v>
      </c>
      <c r="I166" t="str">
        <f>RAW_DATA!I166</f>
        <v>Divorced</v>
      </c>
      <c r="J166">
        <f>RAW_DATA!J166</f>
        <v>2566</v>
      </c>
      <c r="K166">
        <f>RAW_DATA!K166</f>
        <v>1</v>
      </c>
      <c r="L166">
        <f>RAW_DATA!L166</f>
        <v>2</v>
      </c>
      <c r="M166">
        <f>RAW_DATA!M166</f>
        <v>1</v>
      </c>
      <c r="N166">
        <f t="shared" si="4"/>
        <v>0</v>
      </c>
      <c r="O166" t="str" cm="1">
        <f t="array" ref="O166" xml:space="preserve"> _xlfn.IFS(A166 &lt;ASSUMPTIONS!$D$2,"25",A166 &lt;= ASSUMPTIONS!$D$3,"25-34",A166 &lt;= ASSUMPTIONS!$D$4, "35-44",A166 &lt;= ASSUMPTIONS!$D$5,"45-54",TRUE,"55+")</f>
        <v>25-34</v>
      </c>
      <c r="P166" t="str" cm="1">
        <f t="array" ref="P166">_xlfn.IFS( J166 &lt;ASSUMPTIONS!$D$7,"LOW",J166 &lt;= ASSUMPTIONS!$D$8,"MEDIUM",TRUE, "HIGH")</f>
        <v>LOW</v>
      </c>
      <c r="Q166" t="str">
        <f>IF(M166&lt;ASSUMPTIONS!$D$10,"New (0-2)",IF(M166&lt;=ASSUMPTIONS!$D$11,"Early (2-5)",IF(M166&lt;=ASSUMPTIONS!$D$12,"Established (5-10)","Veteran (10+)")))</f>
        <v>New (0-2)</v>
      </c>
      <c r="R166" s="4">
        <f t="shared" si="5"/>
        <v>2.6666666666666665</v>
      </c>
    </row>
    <row r="167" spans="1:18">
      <c r="A167">
        <f>RAW_DATA!A167</f>
        <v>50</v>
      </c>
      <c r="B167" t="str">
        <f>RAW_DATA!B167</f>
        <v>No</v>
      </c>
      <c r="C167" t="str">
        <f>RAW_DATA!C167</f>
        <v>Research &amp; Development</v>
      </c>
      <c r="D167">
        <f>RAW_DATA!D167</f>
        <v>11</v>
      </c>
      <c r="E167">
        <f>RAW_DATA!E167</f>
        <v>3</v>
      </c>
      <c r="F167" t="str">
        <f>RAW_DATA!F167</f>
        <v>Life Sciences</v>
      </c>
      <c r="G167">
        <f>RAW_DATA!G167</f>
        <v>3</v>
      </c>
      <c r="H167">
        <f>RAW_DATA!H167</f>
        <v>2</v>
      </c>
      <c r="I167" t="str">
        <f>RAW_DATA!I167</f>
        <v>Single</v>
      </c>
      <c r="J167">
        <f>RAW_DATA!J167</f>
        <v>19926</v>
      </c>
      <c r="K167">
        <f>RAW_DATA!K167</f>
        <v>3</v>
      </c>
      <c r="L167">
        <f>RAW_DATA!L167</f>
        <v>3</v>
      </c>
      <c r="M167">
        <f>RAW_DATA!M167</f>
        <v>5</v>
      </c>
      <c r="N167">
        <f t="shared" si="4"/>
        <v>0</v>
      </c>
      <c r="O167" t="str" cm="1">
        <f t="array" ref="O167" xml:space="preserve"> _xlfn.IFS(A167 &lt;ASSUMPTIONS!$D$2,"25",A167 &lt;= ASSUMPTIONS!$D$3,"25-34",A167 &lt;= ASSUMPTIONS!$D$4, "35-44",A167 &lt;= ASSUMPTIONS!$D$5,"45-54",TRUE,"55+")</f>
        <v>45-54</v>
      </c>
      <c r="P167" t="str" cm="1">
        <f t="array" ref="P167">_xlfn.IFS( J167 &lt;ASSUMPTIONS!$D$7,"LOW",J167 &lt;= ASSUMPTIONS!$D$8,"MEDIUM",TRUE, "HIGH")</f>
        <v>HIGH</v>
      </c>
      <c r="Q167" t="str">
        <f>IF(M167&lt;ASSUMPTIONS!$D$10,"New (0-2)",IF(M167&lt;=ASSUMPTIONS!$D$11,"Early (2-5)",IF(M167&lt;=ASSUMPTIONS!$D$12,"Established (5-10)","Veteran (10+)")))</f>
        <v>Early (2-5)</v>
      </c>
      <c r="R167" s="4">
        <f t="shared" si="5"/>
        <v>2.6666666666666665</v>
      </c>
    </row>
    <row r="168" spans="1:18">
      <c r="A168">
        <f>RAW_DATA!A168</f>
        <v>41</v>
      </c>
      <c r="B168" t="str">
        <f>RAW_DATA!B168</f>
        <v>No</v>
      </c>
      <c r="C168" t="str">
        <f>RAW_DATA!C168</f>
        <v>Research &amp; Development</v>
      </c>
      <c r="D168">
        <f>RAW_DATA!D168</f>
        <v>14</v>
      </c>
      <c r="E168">
        <f>RAW_DATA!E168</f>
        <v>3</v>
      </c>
      <c r="F168" t="str">
        <f>RAW_DATA!F168</f>
        <v>Life Sciences</v>
      </c>
      <c r="G168">
        <f>RAW_DATA!G168</f>
        <v>1</v>
      </c>
      <c r="H168">
        <f>RAW_DATA!H168</f>
        <v>3</v>
      </c>
      <c r="I168" t="str">
        <f>RAW_DATA!I168</f>
        <v>Divorced</v>
      </c>
      <c r="J168">
        <f>RAW_DATA!J168</f>
        <v>2451</v>
      </c>
      <c r="K168">
        <f>RAW_DATA!K168</f>
        <v>4</v>
      </c>
      <c r="L168">
        <f>RAW_DATA!L168</f>
        <v>3</v>
      </c>
      <c r="M168">
        <f>RAW_DATA!M168</f>
        <v>9</v>
      </c>
      <c r="N168">
        <f t="shared" si="4"/>
        <v>0</v>
      </c>
      <c r="O168" t="str" cm="1">
        <f t="array" ref="O168" xml:space="preserve"> _xlfn.IFS(A168 &lt;ASSUMPTIONS!$D$2,"25",A168 &lt;= ASSUMPTIONS!$D$3,"25-34",A168 &lt;= ASSUMPTIONS!$D$4, "35-44",A168 &lt;= ASSUMPTIONS!$D$5,"45-54",TRUE,"55+")</f>
        <v>35-44</v>
      </c>
      <c r="P168" t="str" cm="1">
        <f t="array" ref="P168">_xlfn.IFS( J168 &lt;ASSUMPTIONS!$D$7,"LOW",J168 &lt;= ASSUMPTIONS!$D$8,"MEDIUM",TRUE, "HIGH")</f>
        <v>LOW</v>
      </c>
      <c r="Q168" t="str">
        <f>IF(M168&lt;ASSUMPTIONS!$D$10,"New (0-2)",IF(M168&lt;=ASSUMPTIONS!$D$11,"Early (2-5)",IF(M168&lt;=ASSUMPTIONS!$D$12,"Established (5-10)","Veteran (10+)")))</f>
        <v>Established (5-10)</v>
      </c>
      <c r="R168" s="4">
        <f t="shared" si="5"/>
        <v>2.3333333333333335</v>
      </c>
    </row>
    <row r="169" spans="1:18">
      <c r="A169">
        <f>RAW_DATA!A169</f>
        <v>30</v>
      </c>
      <c r="B169" t="str">
        <f>RAW_DATA!B169</f>
        <v>No</v>
      </c>
      <c r="C169" t="str">
        <f>RAW_DATA!C169</f>
        <v>Sales</v>
      </c>
      <c r="D169">
        <f>RAW_DATA!D169</f>
        <v>5</v>
      </c>
      <c r="E169">
        <f>RAW_DATA!E169</f>
        <v>3</v>
      </c>
      <c r="F169" t="str">
        <f>RAW_DATA!F169</f>
        <v>Life Sciences</v>
      </c>
      <c r="G169">
        <f>RAW_DATA!G169</f>
        <v>2</v>
      </c>
      <c r="H169">
        <f>RAW_DATA!H169</f>
        <v>4</v>
      </c>
      <c r="I169" t="str">
        <f>RAW_DATA!I169</f>
        <v>Married</v>
      </c>
      <c r="J169">
        <f>RAW_DATA!J169</f>
        <v>9419</v>
      </c>
      <c r="K169">
        <f>RAW_DATA!K169</f>
        <v>2</v>
      </c>
      <c r="L169">
        <f>RAW_DATA!L169</f>
        <v>3</v>
      </c>
      <c r="M169">
        <f>RAW_DATA!M169</f>
        <v>10</v>
      </c>
      <c r="N169">
        <f t="shared" si="4"/>
        <v>0</v>
      </c>
      <c r="O169" t="str" cm="1">
        <f t="array" ref="O169" xml:space="preserve"> _xlfn.IFS(A169 &lt;ASSUMPTIONS!$D$2,"25",A169 &lt;= ASSUMPTIONS!$D$3,"25-34",A169 &lt;= ASSUMPTIONS!$D$4, "35-44",A169 &lt;= ASSUMPTIONS!$D$5,"45-54",TRUE,"55+")</f>
        <v>25-34</v>
      </c>
      <c r="P169" t="str" cm="1">
        <f t="array" ref="P169">_xlfn.IFS( J169 &lt;ASSUMPTIONS!$D$7,"LOW",J169 &lt;= ASSUMPTIONS!$D$8,"MEDIUM",TRUE, "HIGH")</f>
        <v>HIGH</v>
      </c>
      <c r="Q169" t="str">
        <f>IF(M169&lt;ASSUMPTIONS!$D$10,"New (0-2)",IF(M169&lt;=ASSUMPTIONS!$D$11,"Early (2-5)",IF(M169&lt;=ASSUMPTIONS!$D$12,"Established (5-10)","Veteran (10+)")))</f>
        <v>Established (5-10)</v>
      </c>
      <c r="R169" s="4">
        <f t="shared" si="5"/>
        <v>3</v>
      </c>
    </row>
    <row r="170" spans="1:18">
      <c r="A170">
        <f>RAW_DATA!A170</f>
        <v>38</v>
      </c>
      <c r="B170" t="str">
        <f>RAW_DATA!B170</f>
        <v>No</v>
      </c>
      <c r="C170" t="str">
        <f>RAW_DATA!C170</f>
        <v>Sales</v>
      </c>
      <c r="D170">
        <f>RAW_DATA!D170</f>
        <v>1</v>
      </c>
      <c r="E170">
        <f>RAW_DATA!E170</f>
        <v>4</v>
      </c>
      <c r="F170" t="str">
        <f>RAW_DATA!F170</f>
        <v>Life Sciences</v>
      </c>
      <c r="G170">
        <f>RAW_DATA!G170</f>
        <v>1</v>
      </c>
      <c r="H170">
        <f>RAW_DATA!H170</f>
        <v>4</v>
      </c>
      <c r="I170" t="str">
        <f>RAW_DATA!I170</f>
        <v>Single</v>
      </c>
      <c r="J170">
        <f>RAW_DATA!J170</f>
        <v>8686</v>
      </c>
      <c r="K170">
        <f>RAW_DATA!K170</f>
        <v>4</v>
      </c>
      <c r="L170">
        <f>RAW_DATA!L170</f>
        <v>4</v>
      </c>
      <c r="M170">
        <f>RAW_DATA!M170</f>
        <v>8</v>
      </c>
      <c r="N170">
        <f t="shared" si="4"/>
        <v>0</v>
      </c>
      <c r="O170" t="str" cm="1">
        <f t="array" ref="O170" xml:space="preserve"> _xlfn.IFS(A170 &lt;ASSUMPTIONS!$D$2,"25",A170 &lt;= ASSUMPTIONS!$D$3,"25-34",A170 &lt;= ASSUMPTIONS!$D$4, "35-44",A170 &lt;= ASSUMPTIONS!$D$5,"45-54",TRUE,"55+")</f>
        <v>35-44</v>
      </c>
      <c r="P170" t="str" cm="1">
        <f t="array" ref="P170">_xlfn.IFS( J170 &lt;ASSUMPTIONS!$D$7,"LOW",J170 &lt;= ASSUMPTIONS!$D$8,"MEDIUM",TRUE, "HIGH")</f>
        <v>HIGH</v>
      </c>
      <c r="Q170" t="str">
        <f>IF(M170&lt;ASSUMPTIONS!$D$10,"New (0-2)",IF(M170&lt;=ASSUMPTIONS!$D$11,"Early (2-5)",IF(M170&lt;=ASSUMPTIONS!$D$12,"Established (5-10)","Veteran (10+)")))</f>
        <v>Established (5-10)</v>
      </c>
      <c r="R170" s="4">
        <f t="shared" si="5"/>
        <v>3</v>
      </c>
    </row>
    <row r="171" spans="1:18">
      <c r="A171">
        <f>RAW_DATA!A171</f>
        <v>32</v>
      </c>
      <c r="B171" t="str">
        <f>RAW_DATA!B171</f>
        <v>No</v>
      </c>
      <c r="C171" t="str">
        <f>RAW_DATA!C171</f>
        <v>Research &amp; Development</v>
      </c>
      <c r="D171">
        <f>RAW_DATA!D171</f>
        <v>6</v>
      </c>
      <c r="E171">
        <f>RAW_DATA!E171</f>
        <v>5</v>
      </c>
      <c r="F171" t="str">
        <f>RAW_DATA!F171</f>
        <v>Life Sciences</v>
      </c>
      <c r="G171">
        <f>RAW_DATA!G171</f>
        <v>3</v>
      </c>
      <c r="H171">
        <f>RAW_DATA!H171</f>
        <v>3</v>
      </c>
      <c r="I171" t="str">
        <f>RAW_DATA!I171</f>
        <v>Single</v>
      </c>
      <c r="J171">
        <f>RAW_DATA!J171</f>
        <v>3038</v>
      </c>
      <c r="K171">
        <f>RAW_DATA!K171</f>
        <v>3</v>
      </c>
      <c r="L171">
        <f>RAW_DATA!L171</f>
        <v>3</v>
      </c>
      <c r="M171">
        <f>RAW_DATA!M171</f>
        <v>5</v>
      </c>
      <c r="N171">
        <f t="shared" si="4"/>
        <v>0</v>
      </c>
      <c r="O171" t="str" cm="1">
        <f t="array" ref="O171" xml:space="preserve"> _xlfn.IFS(A171 &lt;ASSUMPTIONS!$D$2,"25",A171 &lt;= ASSUMPTIONS!$D$3,"25-34",A171 &lt;= ASSUMPTIONS!$D$4, "35-44",A171 &lt;= ASSUMPTIONS!$D$5,"45-54",TRUE,"55+")</f>
        <v>25-34</v>
      </c>
      <c r="P171" t="str" cm="1">
        <f t="array" ref="P171">_xlfn.IFS( J171 &lt;ASSUMPTIONS!$D$7,"LOW",J171 &lt;= ASSUMPTIONS!$D$8,"MEDIUM",TRUE, "HIGH")</f>
        <v>MEDIUM</v>
      </c>
      <c r="Q171" t="str">
        <f>IF(M171&lt;ASSUMPTIONS!$D$10,"New (0-2)",IF(M171&lt;=ASSUMPTIONS!$D$11,"Early (2-5)",IF(M171&lt;=ASSUMPTIONS!$D$12,"Established (5-10)","Veteran (10+)")))</f>
        <v>Early (2-5)</v>
      </c>
      <c r="R171" s="4">
        <f t="shared" si="5"/>
        <v>3</v>
      </c>
    </row>
    <row r="172" spans="1:18">
      <c r="A172">
        <f>RAW_DATA!A172</f>
        <v>27</v>
      </c>
      <c r="B172" t="str">
        <f>RAW_DATA!B172</f>
        <v>No</v>
      </c>
      <c r="C172" t="str">
        <f>RAW_DATA!C172</f>
        <v>Research &amp; Development</v>
      </c>
      <c r="D172">
        <f>RAW_DATA!D172</f>
        <v>17</v>
      </c>
      <c r="E172">
        <f>RAW_DATA!E172</f>
        <v>3</v>
      </c>
      <c r="F172" t="str">
        <f>RAW_DATA!F172</f>
        <v>Technical Degree</v>
      </c>
      <c r="G172">
        <f>RAW_DATA!G172</f>
        <v>3</v>
      </c>
      <c r="H172">
        <f>RAW_DATA!H172</f>
        <v>2</v>
      </c>
      <c r="I172" t="str">
        <f>RAW_DATA!I172</f>
        <v>Married</v>
      </c>
      <c r="J172">
        <f>RAW_DATA!J172</f>
        <v>3058</v>
      </c>
      <c r="K172">
        <f>RAW_DATA!K172</f>
        <v>0</v>
      </c>
      <c r="L172">
        <f>RAW_DATA!L172</f>
        <v>2</v>
      </c>
      <c r="M172">
        <f>RAW_DATA!M172</f>
        <v>5</v>
      </c>
      <c r="N172">
        <f t="shared" si="4"/>
        <v>0</v>
      </c>
      <c r="O172" t="str" cm="1">
        <f t="array" ref="O172" xml:space="preserve"> _xlfn.IFS(A172 &lt;ASSUMPTIONS!$D$2,"25",A172 &lt;= ASSUMPTIONS!$D$3,"25-34",A172 &lt;= ASSUMPTIONS!$D$4, "35-44",A172 &lt;= ASSUMPTIONS!$D$5,"45-54",TRUE,"55+")</f>
        <v>25-34</v>
      </c>
      <c r="P172" t="str" cm="1">
        <f t="array" ref="P172">_xlfn.IFS( J172 &lt;ASSUMPTIONS!$D$7,"LOW",J172 &lt;= ASSUMPTIONS!$D$8,"MEDIUM",TRUE, "HIGH")</f>
        <v>MEDIUM</v>
      </c>
      <c r="Q172" t="str">
        <f>IF(M172&lt;ASSUMPTIONS!$D$10,"New (0-2)",IF(M172&lt;=ASSUMPTIONS!$D$11,"Early (2-5)",IF(M172&lt;=ASSUMPTIONS!$D$12,"Established (5-10)","Veteran (10+)")))</f>
        <v>Early (2-5)</v>
      </c>
      <c r="R172" s="4">
        <f t="shared" si="5"/>
        <v>2.3333333333333335</v>
      </c>
    </row>
    <row r="173" spans="1:18">
      <c r="A173">
        <f>RAW_DATA!A173</f>
        <v>19</v>
      </c>
      <c r="B173" t="str">
        <f>RAW_DATA!B173</f>
        <v>Yes</v>
      </c>
      <c r="C173" t="str">
        <f>RAW_DATA!C173</f>
        <v>Sales</v>
      </c>
      <c r="D173">
        <f>RAW_DATA!D173</f>
        <v>1</v>
      </c>
      <c r="E173">
        <f>RAW_DATA!E173</f>
        <v>1</v>
      </c>
      <c r="F173" t="str">
        <f>RAW_DATA!F173</f>
        <v>Technical Degree</v>
      </c>
      <c r="G173">
        <f>RAW_DATA!G173</f>
        <v>3</v>
      </c>
      <c r="H173">
        <f>RAW_DATA!H173</f>
        <v>1</v>
      </c>
      <c r="I173" t="str">
        <f>RAW_DATA!I173</f>
        <v>Single</v>
      </c>
      <c r="J173">
        <f>RAW_DATA!J173</f>
        <v>2325</v>
      </c>
      <c r="K173">
        <f>RAW_DATA!K173</f>
        <v>0</v>
      </c>
      <c r="L173">
        <f>RAW_DATA!L173</f>
        <v>4</v>
      </c>
      <c r="M173">
        <f>RAW_DATA!M173</f>
        <v>0</v>
      </c>
      <c r="N173">
        <f t="shared" si="4"/>
        <v>1</v>
      </c>
      <c r="O173" t="str" cm="1">
        <f t="array" ref="O173" xml:space="preserve"> _xlfn.IFS(A173 &lt;ASSUMPTIONS!$D$2,"25",A173 &lt;= ASSUMPTIONS!$D$3,"25-34",A173 &lt;= ASSUMPTIONS!$D$4, "35-44",A173 &lt;= ASSUMPTIONS!$D$5,"45-54",TRUE,"55+")</f>
        <v>25</v>
      </c>
      <c r="P173" t="str" cm="1">
        <f t="array" ref="P173">_xlfn.IFS( J173 &lt;ASSUMPTIONS!$D$7,"LOW",J173 &lt;= ASSUMPTIONS!$D$8,"MEDIUM",TRUE, "HIGH")</f>
        <v>LOW</v>
      </c>
      <c r="Q173" t="str">
        <f>IF(M173&lt;ASSUMPTIONS!$D$10,"New (0-2)",IF(M173&lt;=ASSUMPTIONS!$D$11,"Early (2-5)",IF(M173&lt;=ASSUMPTIONS!$D$12,"Established (5-10)","Veteran (10+)")))</f>
        <v>New (0-2)</v>
      </c>
      <c r="R173" s="4">
        <f t="shared" si="5"/>
        <v>2.6666666666666665</v>
      </c>
    </row>
    <row r="174" spans="1:18">
      <c r="A174">
        <f>RAW_DATA!A174</f>
        <v>36</v>
      </c>
      <c r="B174" t="str">
        <f>RAW_DATA!B174</f>
        <v>No</v>
      </c>
      <c r="C174" t="str">
        <f>RAW_DATA!C174</f>
        <v>Research &amp; Development</v>
      </c>
      <c r="D174">
        <f>RAW_DATA!D174</f>
        <v>3</v>
      </c>
      <c r="E174">
        <f>RAW_DATA!E174</f>
        <v>2</v>
      </c>
      <c r="F174" t="str">
        <f>RAW_DATA!F174</f>
        <v>Medical</v>
      </c>
      <c r="G174">
        <f>RAW_DATA!G174</f>
        <v>4</v>
      </c>
      <c r="H174">
        <f>RAW_DATA!H174</f>
        <v>2</v>
      </c>
      <c r="I174" t="str">
        <f>RAW_DATA!I174</f>
        <v>Single</v>
      </c>
      <c r="J174">
        <f>RAW_DATA!J174</f>
        <v>2088</v>
      </c>
      <c r="K174">
        <f>RAW_DATA!K174</f>
        <v>4</v>
      </c>
      <c r="L174">
        <f>RAW_DATA!L174</f>
        <v>2</v>
      </c>
      <c r="M174">
        <f>RAW_DATA!M174</f>
        <v>8</v>
      </c>
      <c r="N174">
        <f t="shared" si="4"/>
        <v>0</v>
      </c>
      <c r="O174" t="str" cm="1">
        <f t="array" ref="O174" xml:space="preserve"> _xlfn.IFS(A174 &lt;ASSUMPTIONS!$D$2,"25",A174 &lt;= ASSUMPTIONS!$D$3,"25-34",A174 &lt;= ASSUMPTIONS!$D$4, "35-44",A174 &lt;= ASSUMPTIONS!$D$5,"45-54",TRUE,"55+")</f>
        <v>35-44</v>
      </c>
      <c r="P174" t="str" cm="1">
        <f t="array" ref="P174">_xlfn.IFS( J174 &lt;ASSUMPTIONS!$D$7,"LOW",J174 &lt;= ASSUMPTIONS!$D$8,"MEDIUM",TRUE, "HIGH")</f>
        <v>LOW</v>
      </c>
      <c r="Q174" t="str">
        <f>IF(M174&lt;ASSUMPTIONS!$D$10,"New (0-2)",IF(M174&lt;=ASSUMPTIONS!$D$11,"Early (2-5)",IF(M174&lt;=ASSUMPTIONS!$D$12,"Established (5-10)","Veteran (10+)")))</f>
        <v>Established (5-10)</v>
      </c>
      <c r="R174" s="4">
        <f t="shared" si="5"/>
        <v>2.6666666666666665</v>
      </c>
    </row>
    <row r="175" spans="1:18">
      <c r="A175">
        <f>RAW_DATA!A175</f>
        <v>30</v>
      </c>
      <c r="B175" t="str">
        <f>RAW_DATA!B175</f>
        <v>No</v>
      </c>
      <c r="C175" t="str">
        <f>RAW_DATA!C175</f>
        <v>Research &amp; Development</v>
      </c>
      <c r="D175">
        <f>RAW_DATA!D175</f>
        <v>9</v>
      </c>
      <c r="E175">
        <f>RAW_DATA!E175</f>
        <v>3</v>
      </c>
      <c r="F175" t="str">
        <f>RAW_DATA!F175</f>
        <v>Medical</v>
      </c>
      <c r="G175">
        <f>RAW_DATA!G175</f>
        <v>3</v>
      </c>
      <c r="H175">
        <f>RAW_DATA!H175</f>
        <v>1</v>
      </c>
      <c r="I175" t="str">
        <f>RAW_DATA!I175</f>
        <v>Divorced</v>
      </c>
      <c r="J175">
        <f>RAW_DATA!J175</f>
        <v>3072</v>
      </c>
      <c r="K175">
        <f>RAW_DATA!K175</f>
        <v>1</v>
      </c>
      <c r="L175">
        <f>RAW_DATA!L175</f>
        <v>3</v>
      </c>
      <c r="M175">
        <f>RAW_DATA!M175</f>
        <v>12</v>
      </c>
      <c r="N175">
        <f t="shared" si="4"/>
        <v>0</v>
      </c>
      <c r="O175" t="str" cm="1">
        <f t="array" ref="O175" xml:space="preserve"> _xlfn.IFS(A175 &lt;ASSUMPTIONS!$D$2,"25",A175 &lt;= ASSUMPTIONS!$D$3,"25-34",A175 &lt;= ASSUMPTIONS!$D$4, "35-44",A175 &lt;= ASSUMPTIONS!$D$5,"45-54",TRUE,"55+")</f>
        <v>25-34</v>
      </c>
      <c r="P175" t="str" cm="1">
        <f t="array" ref="P175">_xlfn.IFS( J175 &lt;ASSUMPTIONS!$D$7,"LOW",J175 &lt;= ASSUMPTIONS!$D$8,"MEDIUM",TRUE, "HIGH")</f>
        <v>MEDIUM</v>
      </c>
      <c r="Q175" t="str">
        <f>IF(M175&lt;ASSUMPTIONS!$D$10,"New (0-2)",IF(M175&lt;=ASSUMPTIONS!$D$11,"Early (2-5)",IF(M175&lt;=ASSUMPTIONS!$D$12,"Established (5-10)","Veteran (10+)")))</f>
        <v>Veteran (10+)</v>
      </c>
      <c r="R175" s="4">
        <f t="shared" si="5"/>
        <v>2.3333333333333335</v>
      </c>
    </row>
    <row r="176" spans="1:18">
      <c r="A176">
        <f>RAW_DATA!A176</f>
        <v>45</v>
      </c>
      <c r="B176" t="str">
        <f>RAW_DATA!B176</f>
        <v>No</v>
      </c>
      <c r="C176" t="str">
        <f>RAW_DATA!C176</f>
        <v>Sales</v>
      </c>
      <c r="D176">
        <f>RAW_DATA!D176</f>
        <v>4</v>
      </c>
      <c r="E176">
        <f>RAW_DATA!E176</f>
        <v>2</v>
      </c>
      <c r="F176" t="str">
        <f>RAW_DATA!F176</f>
        <v>Life Sciences</v>
      </c>
      <c r="G176">
        <f>RAW_DATA!G176</f>
        <v>3</v>
      </c>
      <c r="H176">
        <f>RAW_DATA!H176</f>
        <v>1</v>
      </c>
      <c r="I176" t="str">
        <f>RAW_DATA!I176</f>
        <v>Divorced</v>
      </c>
      <c r="J176">
        <f>RAW_DATA!J176</f>
        <v>5006</v>
      </c>
      <c r="K176">
        <f>RAW_DATA!K176</f>
        <v>4</v>
      </c>
      <c r="L176">
        <f>RAW_DATA!L176</f>
        <v>4</v>
      </c>
      <c r="M176">
        <f>RAW_DATA!M176</f>
        <v>5</v>
      </c>
      <c r="N176">
        <f t="shared" si="4"/>
        <v>0</v>
      </c>
      <c r="O176" t="str" cm="1">
        <f t="array" ref="O176" xml:space="preserve"> _xlfn.IFS(A176 &lt;ASSUMPTIONS!$D$2,"25",A176 &lt;= ASSUMPTIONS!$D$3,"25-34",A176 &lt;= ASSUMPTIONS!$D$4, "35-44",A176 &lt;= ASSUMPTIONS!$D$5,"45-54",TRUE,"55+")</f>
        <v>45-54</v>
      </c>
      <c r="P176" t="str" cm="1">
        <f t="array" ref="P176">_xlfn.IFS( J176 &lt;ASSUMPTIONS!$D$7,"LOW",J176 &lt;= ASSUMPTIONS!$D$8,"MEDIUM",TRUE, "HIGH")</f>
        <v>MEDIUM</v>
      </c>
      <c r="Q176" t="str">
        <f>IF(M176&lt;ASSUMPTIONS!$D$10,"New (0-2)",IF(M176&lt;=ASSUMPTIONS!$D$11,"Early (2-5)",IF(M176&lt;=ASSUMPTIONS!$D$12,"Established (5-10)","Veteran (10+)")))</f>
        <v>Early (2-5)</v>
      </c>
      <c r="R176" s="4">
        <f t="shared" si="5"/>
        <v>2.6666666666666665</v>
      </c>
    </row>
    <row r="177" spans="1:18">
      <c r="A177">
        <f>RAW_DATA!A177</f>
        <v>56</v>
      </c>
      <c r="B177" t="str">
        <f>RAW_DATA!B177</f>
        <v>No</v>
      </c>
      <c r="C177" t="str">
        <f>RAW_DATA!C177</f>
        <v>Research &amp; Development</v>
      </c>
      <c r="D177">
        <f>RAW_DATA!D177</f>
        <v>8</v>
      </c>
      <c r="E177">
        <f>RAW_DATA!E177</f>
        <v>3</v>
      </c>
      <c r="F177" t="str">
        <f>RAW_DATA!F177</f>
        <v>Life Sciences</v>
      </c>
      <c r="G177">
        <f>RAW_DATA!G177</f>
        <v>3</v>
      </c>
      <c r="H177">
        <f>RAW_DATA!H177</f>
        <v>1</v>
      </c>
      <c r="I177" t="str">
        <f>RAW_DATA!I177</f>
        <v>Divorced</v>
      </c>
      <c r="J177">
        <f>RAW_DATA!J177</f>
        <v>4257</v>
      </c>
      <c r="K177">
        <f>RAW_DATA!K177</f>
        <v>4</v>
      </c>
      <c r="L177">
        <f>RAW_DATA!L177</f>
        <v>3</v>
      </c>
      <c r="M177">
        <f>RAW_DATA!M177</f>
        <v>2</v>
      </c>
      <c r="N177">
        <f t="shared" si="4"/>
        <v>0</v>
      </c>
      <c r="O177" t="str" cm="1">
        <f t="array" ref="O177" xml:space="preserve"> _xlfn.IFS(A177 &lt;ASSUMPTIONS!$D$2,"25",A177 &lt;= ASSUMPTIONS!$D$3,"25-34",A177 &lt;= ASSUMPTIONS!$D$4, "35-44",A177 &lt;= ASSUMPTIONS!$D$5,"45-54",TRUE,"55+")</f>
        <v>55+</v>
      </c>
      <c r="P177" t="str" cm="1">
        <f t="array" ref="P177">_xlfn.IFS( J177 &lt;ASSUMPTIONS!$D$7,"LOW",J177 &lt;= ASSUMPTIONS!$D$8,"MEDIUM",TRUE, "HIGH")</f>
        <v>MEDIUM</v>
      </c>
      <c r="Q177" t="str">
        <f>IF(M177&lt;ASSUMPTIONS!$D$10,"New (0-2)",IF(M177&lt;=ASSUMPTIONS!$D$11,"Early (2-5)",IF(M177&lt;=ASSUMPTIONS!$D$12,"Established (5-10)","Veteran (10+)")))</f>
        <v>Early (2-5)</v>
      </c>
      <c r="R177" s="4">
        <f t="shared" si="5"/>
        <v>2.3333333333333335</v>
      </c>
    </row>
    <row r="178" spans="1:18">
      <c r="A178">
        <f>RAW_DATA!A178</f>
        <v>33</v>
      </c>
      <c r="B178" t="str">
        <f>RAW_DATA!B178</f>
        <v>No</v>
      </c>
      <c r="C178" t="str">
        <f>RAW_DATA!C178</f>
        <v>Research &amp; Development</v>
      </c>
      <c r="D178">
        <f>RAW_DATA!D178</f>
        <v>2</v>
      </c>
      <c r="E178">
        <f>RAW_DATA!E178</f>
        <v>3</v>
      </c>
      <c r="F178" t="str">
        <f>RAW_DATA!F178</f>
        <v>Life Sciences</v>
      </c>
      <c r="G178">
        <f>RAW_DATA!G178</f>
        <v>3</v>
      </c>
      <c r="H178">
        <f>RAW_DATA!H178</f>
        <v>4</v>
      </c>
      <c r="I178" t="str">
        <f>RAW_DATA!I178</f>
        <v>Single</v>
      </c>
      <c r="J178">
        <f>RAW_DATA!J178</f>
        <v>2500</v>
      </c>
      <c r="K178">
        <f>RAW_DATA!K178</f>
        <v>0</v>
      </c>
      <c r="L178">
        <f>RAW_DATA!L178</f>
        <v>4</v>
      </c>
      <c r="M178">
        <f>RAW_DATA!M178</f>
        <v>3</v>
      </c>
      <c r="N178">
        <f t="shared" si="4"/>
        <v>0</v>
      </c>
      <c r="O178" t="str" cm="1">
        <f t="array" ref="O178" xml:space="preserve"> _xlfn.IFS(A178 &lt;ASSUMPTIONS!$D$2,"25",A178 &lt;= ASSUMPTIONS!$D$3,"25-34",A178 &lt;= ASSUMPTIONS!$D$4, "35-44",A178 &lt;= ASSUMPTIONS!$D$5,"45-54",TRUE,"55+")</f>
        <v>25-34</v>
      </c>
      <c r="P178" t="str" cm="1">
        <f t="array" ref="P178">_xlfn.IFS( J178 &lt;ASSUMPTIONS!$D$7,"LOW",J178 &lt;= ASSUMPTIONS!$D$8,"MEDIUM",TRUE, "HIGH")</f>
        <v>LOW</v>
      </c>
      <c r="Q178" t="str">
        <f>IF(M178&lt;ASSUMPTIONS!$D$10,"New (0-2)",IF(M178&lt;=ASSUMPTIONS!$D$11,"Early (2-5)",IF(M178&lt;=ASSUMPTIONS!$D$12,"Established (5-10)","Veteran (10+)")))</f>
        <v>Early (2-5)</v>
      </c>
      <c r="R178" s="4">
        <f t="shared" si="5"/>
        <v>3.6666666666666665</v>
      </c>
    </row>
    <row r="179" spans="1:18">
      <c r="A179">
        <f>RAW_DATA!A179</f>
        <v>19</v>
      </c>
      <c r="B179" t="str">
        <f>RAW_DATA!B179</f>
        <v>Yes</v>
      </c>
      <c r="C179" t="str">
        <f>RAW_DATA!C179</f>
        <v>Research &amp; Development</v>
      </c>
      <c r="D179">
        <f>RAW_DATA!D179</f>
        <v>2</v>
      </c>
      <c r="E179">
        <f>RAW_DATA!E179</f>
        <v>3</v>
      </c>
      <c r="F179" t="str">
        <f>RAW_DATA!F179</f>
        <v>Life Sciences</v>
      </c>
      <c r="G179">
        <f>RAW_DATA!G179</f>
        <v>2</v>
      </c>
      <c r="H179">
        <f>RAW_DATA!H179</f>
        <v>4</v>
      </c>
      <c r="I179" t="str">
        <f>RAW_DATA!I179</f>
        <v>Single</v>
      </c>
      <c r="J179">
        <f>RAW_DATA!J179</f>
        <v>1102</v>
      </c>
      <c r="K179">
        <f>RAW_DATA!K179</f>
        <v>1</v>
      </c>
      <c r="L179">
        <f>RAW_DATA!L179</f>
        <v>2</v>
      </c>
      <c r="M179">
        <f>RAW_DATA!M179</f>
        <v>1</v>
      </c>
      <c r="N179">
        <f t="shared" si="4"/>
        <v>1</v>
      </c>
      <c r="O179" t="str" cm="1">
        <f t="array" ref="O179" xml:space="preserve"> _xlfn.IFS(A179 &lt;ASSUMPTIONS!$D$2,"25",A179 &lt;= ASSUMPTIONS!$D$3,"25-34",A179 &lt;= ASSUMPTIONS!$D$4, "35-44",A179 &lt;= ASSUMPTIONS!$D$5,"45-54",TRUE,"55+")</f>
        <v>25</v>
      </c>
      <c r="P179" t="str" cm="1">
        <f t="array" ref="P179">_xlfn.IFS( J179 &lt;ASSUMPTIONS!$D$7,"LOW",J179 &lt;= ASSUMPTIONS!$D$8,"MEDIUM",TRUE, "HIGH")</f>
        <v>LOW</v>
      </c>
      <c r="Q179" t="str">
        <f>IF(M179&lt;ASSUMPTIONS!$D$10,"New (0-2)",IF(M179&lt;=ASSUMPTIONS!$D$11,"Early (2-5)",IF(M179&lt;=ASSUMPTIONS!$D$12,"Established (5-10)","Veteran (10+)")))</f>
        <v>New (0-2)</v>
      </c>
      <c r="R179" s="4">
        <f t="shared" si="5"/>
        <v>2.6666666666666665</v>
      </c>
    </row>
    <row r="180" spans="1:18">
      <c r="A180">
        <f>RAW_DATA!A180</f>
        <v>46</v>
      </c>
      <c r="B180" t="str">
        <f>RAW_DATA!B180</f>
        <v>No</v>
      </c>
      <c r="C180" t="str">
        <f>RAW_DATA!C180</f>
        <v>Sales</v>
      </c>
      <c r="D180">
        <f>RAW_DATA!D180</f>
        <v>1</v>
      </c>
      <c r="E180">
        <f>RAW_DATA!E180</f>
        <v>2</v>
      </c>
      <c r="F180" t="str">
        <f>RAW_DATA!F180</f>
        <v>Marketing</v>
      </c>
      <c r="G180">
        <f>RAW_DATA!G180</f>
        <v>2</v>
      </c>
      <c r="H180">
        <f>RAW_DATA!H180</f>
        <v>1</v>
      </c>
      <c r="I180" t="str">
        <f>RAW_DATA!I180</f>
        <v>Divorced</v>
      </c>
      <c r="J180">
        <f>RAW_DATA!J180</f>
        <v>10453</v>
      </c>
      <c r="K180">
        <f>RAW_DATA!K180</f>
        <v>1</v>
      </c>
      <c r="L180">
        <f>RAW_DATA!L180</f>
        <v>3</v>
      </c>
      <c r="M180">
        <f>RAW_DATA!M180</f>
        <v>24</v>
      </c>
      <c r="N180">
        <f t="shared" si="4"/>
        <v>0</v>
      </c>
      <c r="O180" t="str" cm="1">
        <f t="array" ref="O180" xml:space="preserve"> _xlfn.IFS(A180 &lt;ASSUMPTIONS!$D$2,"25",A180 &lt;= ASSUMPTIONS!$D$3,"25-34",A180 &lt;= ASSUMPTIONS!$D$4, "35-44",A180 &lt;= ASSUMPTIONS!$D$5,"45-54",TRUE,"55+")</f>
        <v>45-54</v>
      </c>
      <c r="P180" t="str" cm="1">
        <f t="array" ref="P180">_xlfn.IFS( J180 &lt;ASSUMPTIONS!$D$7,"LOW",J180 &lt;= ASSUMPTIONS!$D$8,"MEDIUM",TRUE, "HIGH")</f>
        <v>HIGH</v>
      </c>
      <c r="Q180" t="str">
        <f>IF(M180&lt;ASSUMPTIONS!$D$10,"New (0-2)",IF(M180&lt;=ASSUMPTIONS!$D$11,"Early (2-5)",IF(M180&lt;=ASSUMPTIONS!$D$12,"Established (5-10)","Veteran (10+)")))</f>
        <v>Veteran (10+)</v>
      </c>
      <c r="R180" s="4">
        <f t="shared" si="5"/>
        <v>2</v>
      </c>
    </row>
    <row r="181" spans="1:18">
      <c r="A181">
        <f>RAW_DATA!A181</f>
        <v>38</v>
      </c>
      <c r="B181" t="str">
        <f>RAW_DATA!B181</f>
        <v>No</v>
      </c>
      <c r="C181" t="str">
        <f>RAW_DATA!C181</f>
        <v>Research &amp; Development</v>
      </c>
      <c r="D181">
        <f>RAW_DATA!D181</f>
        <v>9</v>
      </c>
      <c r="E181">
        <f>RAW_DATA!E181</f>
        <v>2</v>
      </c>
      <c r="F181" t="str">
        <f>RAW_DATA!F181</f>
        <v>Life Sciences</v>
      </c>
      <c r="G181">
        <f>RAW_DATA!G181</f>
        <v>3</v>
      </c>
      <c r="H181">
        <f>RAW_DATA!H181</f>
        <v>4</v>
      </c>
      <c r="I181" t="str">
        <f>RAW_DATA!I181</f>
        <v>Single</v>
      </c>
      <c r="J181">
        <f>RAW_DATA!J181</f>
        <v>2288</v>
      </c>
      <c r="K181">
        <f>RAW_DATA!K181</f>
        <v>1</v>
      </c>
      <c r="L181">
        <f>RAW_DATA!L181</f>
        <v>3</v>
      </c>
      <c r="M181">
        <f>RAW_DATA!M181</f>
        <v>2</v>
      </c>
      <c r="N181">
        <f t="shared" si="4"/>
        <v>0</v>
      </c>
      <c r="O181" t="str" cm="1">
        <f t="array" ref="O181" xml:space="preserve"> _xlfn.IFS(A181 &lt;ASSUMPTIONS!$D$2,"25",A181 &lt;= ASSUMPTIONS!$D$3,"25-34",A181 &lt;= ASSUMPTIONS!$D$4, "35-44",A181 &lt;= ASSUMPTIONS!$D$5,"45-54",TRUE,"55+")</f>
        <v>35-44</v>
      </c>
      <c r="P181" t="str" cm="1">
        <f t="array" ref="P181">_xlfn.IFS( J181 &lt;ASSUMPTIONS!$D$7,"LOW",J181 &lt;= ASSUMPTIONS!$D$8,"MEDIUM",TRUE, "HIGH")</f>
        <v>LOW</v>
      </c>
      <c r="Q181" t="str">
        <f>IF(M181&lt;ASSUMPTIONS!$D$10,"New (0-2)",IF(M181&lt;=ASSUMPTIONS!$D$11,"Early (2-5)",IF(M181&lt;=ASSUMPTIONS!$D$12,"Established (5-10)","Veteran (10+)")))</f>
        <v>Early (2-5)</v>
      </c>
      <c r="R181" s="4">
        <f t="shared" si="5"/>
        <v>3.3333333333333335</v>
      </c>
    </row>
    <row r="182" spans="1:18">
      <c r="A182">
        <f>RAW_DATA!A182</f>
        <v>31</v>
      </c>
      <c r="B182" t="str">
        <f>RAW_DATA!B182</f>
        <v>No</v>
      </c>
      <c r="C182" t="str">
        <f>RAW_DATA!C182</f>
        <v>Research &amp; Development</v>
      </c>
      <c r="D182">
        <f>RAW_DATA!D182</f>
        <v>12</v>
      </c>
      <c r="E182">
        <f>RAW_DATA!E182</f>
        <v>1</v>
      </c>
      <c r="F182" t="str">
        <f>RAW_DATA!F182</f>
        <v>Medical</v>
      </c>
      <c r="G182">
        <f>RAW_DATA!G182</f>
        <v>3</v>
      </c>
      <c r="H182">
        <f>RAW_DATA!H182</f>
        <v>4</v>
      </c>
      <c r="I182" t="str">
        <f>RAW_DATA!I182</f>
        <v>Married</v>
      </c>
      <c r="J182">
        <f>RAW_DATA!J182</f>
        <v>3929</v>
      </c>
      <c r="K182">
        <f>RAW_DATA!K182</f>
        <v>8</v>
      </c>
      <c r="L182">
        <f>RAW_DATA!L182</f>
        <v>3</v>
      </c>
      <c r="M182">
        <f>RAW_DATA!M182</f>
        <v>4</v>
      </c>
      <c r="N182">
        <f t="shared" si="4"/>
        <v>0</v>
      </c>
      <c r="O182" t="str" cm="1">
        <f t="array" ref="O182" xml:space="preserve"> _xlfn.IFS(A182 &lt;ASSUMPTIONS!$D$2,"25",A182 &lt;= ASSUMPTIONS!$D$3,"25-34",A182 &lt;= ASSUMPTIONS!$D$4, "35-44",A182 &lt;= ASSUMPTIONS!$D$5,"45-54",TRUE,"55+")</f>
        <v>25-34</v>
      </c>
      <c r="P182" t="str" cm="1">
        <f t="array" ref="P182">_xlfn.IFS( J182 &lt;ASSUMPTIONS!$D$7,"LOW",J182 &lt;= ASSUMPTIONS!$D$8,"MEDIUM",TRUE, "HIGH")</f>
        <v>MEDIUM</v>
      </c>
      <c r="Q182" t="str">
        <f>IF(M182&lt;ASSUMPTIONS!$D$10,"New (0-2)",IF(M182&lt;=ASSUMPTIONS!$D$11,"Early (2-5)",IF(M182&lt;=ASSUMPTIONS!$D$12,"Established (5-10)","Veteran (10+)")))</f>
        <v>Early (2-5)</v>
      </c>
      <c r="R182" s="4">
        <f t="shared" si="5"/>
        <v>3.3333333333333335</v>
      </c>
    </row>
    <row r="183" spans="1:18">
      <c r="A183">
        <f>RAW_DATA!A183</f>
        <v>34</v>
      </c>
      <c r="B183" t="str">
        <f>RAW_DATA!B183</f>
        <v>No</v>
      </c>
      <c r="C183" t="str">
        <f>RAW_DATA!C183</f>
        <v>Research &amp; Development</v>
      </c>
      <c r="D183">
        <f>RAW_DATA!D183</f>
        <v>27</v>
      </c>
      <c r="E183">
        <f>RAW_DATA!E183</f>
        <v>2</v>
      </c>
      <c r="F183" t="str">
        <f>RAW_DATA!F183</f>
        <v>Medical</v>
      </c>
      <c r="G183">
        <f>RAW_DATA!G183</f>
        <v>4</v>
      </c>
      <c r="H183">
        <f>RAW_DATA!H183</f>
        <v>2</v>
      </c>
      <c r="I183" t="str">
        <f>RAW_DATA!I183</f>
        <v>Single</v>
      </c>
      <c r="J183">
        <f>RAW_DATA!J183</f>
        <v>2311</v>
      </c>
      <c r="K183">
        <f>RAW_DATA!K183</f>
        <v>2</v>
      </c>
      <c r="L183">
        <f>RAW_DATA!L183</f>
        <v>3</v>
      </c>
      <c r="M183">
        <f>RAW_DATA!M183</f>
        <v>3</v>
      </c>
      <c r="N183">
        <f t="shared" si="4"/>
        <v>0</v>
      </c>
      <c r="O183" t="str" cm="1">
        <f t="array" ref="O183" xml:space="preserve"> _xlfn.IFS(A183 &lt;ASSUMPTIONS!$D$2,"25",A183 &lt;= ASSUMPTIONS!$D$3,"25-34",A183 &lt;= ASSUMPTIONS!$D$4, "35-44",A183 &lt;= ASSUMPTIONS!$D$5,"45-54",TRUE,"55+")</f>
        <v>25-34</v>
      </c>
      <c r="P183" t="str" cm="1">
        <f t="array" ref="P183">_xlfn.IFS( J183 &lt;ASSUMPTIONS!$D$7,"LOW",J183 &lt;= ASSUMPTIONS!$D$8,"MEDIUM",TRUE, "HIGH")</f>
        <v>LOW</v>
      </c>
      <c r="Q183" t="str">
        <f>IF(M183&lt;ASSUMPTIONS!$D$10,"New (0-2)",IF(M183&lt;=ASSUMPTIONS!$D$11,"Early (2-5)",IF(M183&lt;=ASSUMPTIONS!$D$12,"Established (5-10)","Veteran (10+)")))</f>
        <v>Early (2-5)</v>
      </c>
      <c r="R183" s="4">
        <f t="shared" si="5"/>
        <v>3</v>
      </c>
    </row>
    <row r="184" spans="1:18">
      <c r="A184">
        <f>RAW_DATA!A184</f>
        <v>41</v>
      </c>
      <c r="B184" t="str">
        <f>RAW_DATA!B184</f>
        <v>Yes</v>
      </c>
      <c r="C184" t="str">
        <f>RAW_DATA!C184</f>
        <v>Sales</v>
      </c>
      <c r="D184">
        <f>RAW_DATA!D184</f>
        <v>20</v>
      </c>
      <c r="E184">
        <f>RAW_DATA!E184</f>
        <v>2</v>
      </c>
      <c r="F184" t="str">
        <f>RAW_DATA!F184</f>
        <v>Marketing</v>
      </c>
      <c r="G184">
        <f>RAW_DATA!G184</f>
        <v>2</v>
      </c>
      <c r="H184">
        <f>RAW_DATA!H184</f>
        <v>2</v>
      </c>
      <c r="I184" t="str">
        <f>RAW_DATA!I184</f>
        <v>Single</v>
      </c>
      <c r="J184">
        <f>RAW_DATA!J184</f>
        <v>3140</v>
      </c>
      <c r="K184">
        <f>RAW_DATA!K184</f>
        <v>1</v>
      </c>
      <c r="L184">
        <f>RAW_DATA!L184</f>
        <v>2</v>
      </c>
      <c r="M184">
        <f>RAW_DATA!M184</f>
        <v>4</v>
      </c>
      <c r="N184">
        <f t="shared" si="4"/>
        <v>1</v>
      </c>
      <c r="O184" t="str" cm="1">
        <f t="array" ref="O184" xml:space="preserve"> _xlfn.IFS(A184 &lt;ASSUMPTIONS!$D$2,"25",A184 &lt;= ASSUMPTIONS!$D$3,"25-34",A184 &lt;= ASSUMPTIONS!$D$4, "35-44",A184 &lt;= ASSUMPTIONS!$D$5,"45-54",TRUE,"55+")</f>
        <v>35-44</v>
      </c>
      <c r="P184" t="str" cm="1">
        <f t="array" ref="P184">_xlfn.IFS( J184 &lt;ASSUMPTIONS!$D$7,"LOW",J184 &lt;= ASSUMPTIONS!$D$8,"MEDIUM",TRUE, "HIGH")</f>
        <v>MEDIUM</v>
      </c>
      <c r="Q184" t="str">
        <f>IF(M184&lt;ASSUMPTIONS!$D$10,"New (0-2)",IF(M184&lt;=ASSUMPTIONS!$D$11,"Early (2-5)",IF(M184&lt;=ASSUMPTIONS!$D$12,"Established (5-10)","Veteran (10+)")))</f>
        <v>Early (2-5)</v>
      </c>
      <c r="R184" s="4">
        <f t="shared" si="5"/>
        <v>2</v>
      </c>
    </row>
    <row r="185" spans="1:18">
      <c r="A185">
        <f>RAW_DATA!A185</f>
        <v>50</v>
      </c>
      <c r="B185" t="str">
        <f>RAW_DATA!B185</f>
        <v>No</v>
      </c>
      <c r="C185" t="str">
        <f>RAW_DATA!C185</f>
        <v>Research &amp; Development</v>
      </c>
      <c r="D185">
        <f>RAW_DATA!D185</f>
        <v>1</v>
      </c>
      <c r="E185">
        <f>RAW_DATA!E185</f>
        <v>3</v>
      </c>
      <c r="F185" t="str">
        <f>RAW_DATA!F185</f>
        <v>Medical</v>
      </c>
      <c r="G185">
        <f>RAW_DATA!G185</f>
        <v>3</v>
      </c>
      <c r="H185">
        <f>RAW_DATA!H185</f>
        <v>3</v>
      </c>
      <c r="I185" t="str">
        <f>RAW_DATA!I185</f>
        <v>Married</v>
      </c>
      <c r="J185">
        <f>RAW_DATA!J185</f>
        <v>3690</v>
      </c>
      <c r="K185">
        <f>RAW_DATA!K185</f>
        <v>2</v>
      </c>
      <c r="L185">
        <f>RAW_DATA!L185</f>
        <v>2</v>
      </c>
      <c r="M185">
        <f>RAW_DATA!M185</f>
        <v>3</v>
      </c>
      <c r="N185">
        <f t="shared" si="4"/>
        <v>0</v>
      </c>
      <c r="O185" t="str" cm="1">
        <f t="array" ref="O185" xml:space="preserve"> _xlfn.IFS(A185 &lt;ASSUMPTIONS!$D$2,"25",A185 &lt;= ASSUMPTIONS!$D$3,"25-34",A185 &lt;= ASSUMPTIONS!$D$4, "35-44",A185 &lt;= ASSUMPTIONS!$D$5,"45-54",TRUE,"55+")</f>
        <v>45-54</v>
      </c>
      <c r="P185" t="str" cm="1">
        <f t="array" ref="P185">_xlfn.IFS( J185 &lt;ASSUMPTIONS!$D$7,"LOW",J185 &lt;= ASSUMPTIONS!$D$8,"MEDIUM",TRUE, "HIGH")</f>
        <v>MEDIUM</v>
      </c>
      <c r="Q185" t="str">
        <f>IF(M185&lt;ASSUMPTIONS!$D$10,"New (0-2)",IF(M185&lt;=ASSUMPTIONS!$D$11,"Early (2-5)",IF(M185&lt;=ASSUMPTIONS!$D$12,"Established (5-10)","Veteran (10+)")))</f>
        <v>Early (2-5)</v>
      </c>
      <c r="R185" s="4">
        <f t="shared" si="5"/>
        <v>2.6666666666666665</v>
      </c>
    </row>
    <row r="186" spans="1:18">
      <c r="A186">
        <f>RAW_DATA!A186</f>
        <v>53</v>
      </c>
      <c r="B186" t="str">
        <f>RAW_DATA!B186</f>
        <v>No</v>
      </c>
      <c r="C186" t="str">
        <f>RAW_DATA!C186</f>
        <v>Research &amp; Development</v>
      </c>
      <c r="D186">
        <f>RAW_DATA!D186</f>
        <v>13</v>
      </c>
      <c r="E186">
        <f>RAW_DATA!E186</f>
        <v>2</v>
      </c>
      <c r="F186" t="str">
        <f>RAW_DATA!F186</f>
        <v>Medical</v>
      </c>
      <c r="G186">
        <f>RAW_DATA!G186</f>
        <v>4</v>
      </c>
      <c r="H186">
        <f>RAW_DATA!H186</f>
        <v>1</v>
      </c>
      <c r="I186" t="str">
        <f>RAW_DATA!I186</f>
        <v>Divorced</v>
      </c>
      <c r="J186">
        <f>RAW_DATA!J186</f>
        <v>4450</v>
      </c>
      <c r="K186">
        <f>RAW_DATA!K186</f>
        <v>1</v>
      </c>
      <c r="L186">
        <f>RAW_DATA!L186</f>
        <v>3</v>
      </c>
      <c r="M186">
        <f>RAW_DATA!M186</f>
        <v>4</v>
      </c>
      <c r="N186">
        <f t="shared" si="4"/>
        <v>0</v>
      </c>
      <c r="O186" t="str" cm="1">
        <f t="array" ref="O186" xml:space="preserve"> _xlfn.IFS(A186 &lt;ASSUMPTIONS!$D$2,"25",A186 &lt;= ASSUMPTIONS!$D$3,"25-34",A186 &lt;= ASSUMPTIONS!$D$4, "35-44",A186 &lt;= ASSUMPTIONS!$D$5,"45-54",TRUE,"55+")</f>
        <v>45-54</v>
      </c>
      <c r="P186" t="str" cm="1">
        <f t="array" ref="P186">_xlfn.IFS( J186 &lt;ASSUMPTIONS!$D$7,"LOW",J186 &lt;= ASSUMPTIONS!$D$8,"MEDIUM",TRUE, "HIGH")</f>
        <v>MEDIUM</v>
      </c>
      <c r="Q186" t="str">
        <f>IF(M186&lt;ASSUMPTIONS!$D$10,"New (0-2)",IF(M186&lt;=ASSUMPTIONS!$D$11,"Early (2-5)",IF(M186&lt;=ASSUMPTIONS!$D$12,"Established (5-10)","Veteran (10+)")))</f>
        <v>Early (2-5)</v>
      </c>
      <c r="R186" s="4">
        <f t="shared" si="5"/>
        <v>2.6666666666666665</v>
      </c>
    </row>
    <row r="187" spans="1:18">
      <c r="A187">
        <f>RAW_DATA!A187</f>
        <v>33</v>
      </c>
      <c r="B187" t="str">
        <f>RAW_DATA!B187</f>
        <v>No</v>
      </c>
      <c r="C187" t="str">
        <f>RAW_DATA!C187</f>
        <v>Research &amp; Development</v>
      </c>
      <c r="D187">
        <f>RAW_DATA!D187</f>
        <v>14</v>
      </c>
      <c r="E187">
        <f>RAW_DATA!E187</f>
        <v>3</v>
      </c>
      <c r="F187" t="str">
        <f>RAW_DATA!F187</f>
        <v>Medical</v>
      </c>
      <c r="G187">
        <f>RAW_DATA!G187</f>
        <v>4</v>
      </c>
      <c r="H187">
        <f>RAW_DATA!H187</f>
        <v>2</v>
      </c>
      <c r="I187" t="str">
        <f>RAW_DATA!I187</f>
        <v>Married</v>
      </c>
      <c r="J187">
        <f>RAW_DATA!J187</f>
        <v>2756</v>
      </c>
      <c r="K187">
        <f>RAW_DATA!K187</f>
        <v>1</v>
      </c>
      <c r="L187">
        <f>RAW_DATA!L187</f>
        <v>3</v>
      </c>
      <c r="M187">
        <f>RAW_DATA!M187</f>
        <v>8</v>
      </c>
      <c r="N187">
        <f t="shared" si="4"/>
        <v>0</v>
      </c>
      <c r="O187" t="str" cm="1">
        <f t="array" ref="O187" xml:space="preserve"> _xlfn.IFS(A187 &lt;ASSUMPTIONS!$D$2,"25",A187 &lt;= ASSUMPTIONS!$D$3,"25-34",A187 &lt;= ASSUMPTIONS!$D$4, "35-44",A187 &lt;= ASSUMPTIONS!$D$5,"45-54",TRUE,"55+")</f>
        <v>25-34</v>
      </c>
      <c r="P187" t="str" cm="1">
        <f t="array" ref="P187">_xlfn.IFS( J187 &lt;ASSUMPTIONS!$D$7,"LOW",J187 &lt;= ASSUMPTIONS!$D$8,"MEDIUM",TRUE, "HIGH")</f>
        <v>LOW</v>
      </c>
      <c r="Q187" t="str">
        <f>IF(M187&lt;ASSUMPTIONS!$D$10,"New (0-2)",IF(M187&lt;=ASSUMPTIONS!$D$11,"Early (2-5)",IF(M187&lt;=ASSUMPTIONS!$D$12,"Established (5-10)","Veteran (10+)")))</f>
        <v>Established (5-10)</v>
      </c>
      <c r="R187" s="4">
        <f t="shared" si="5"/>
        <v>3</v>
      </c>
    </row>
    <row r="188" spans="1:18">
      <c r="A188">
        <f>RAW_DATA!A188</f>
        <v>40</v>
      </c>
      <c r="B188" t="str">
        <f>RAW_DATA!B188</f>
        <v>No</v>
      </c>
      <c r="C188" t="str">
        <f>RAW_DATA!C188</f>
        <v>Research &amp; Development</v>
      </c>
      <c r="D188">
        <f>RAW_DATA!D188</f>
        <v>4</v>
      </c>
      <c r="E188">
        <f>RAW_DATA!E188</f>
        <v>1</v>
      </c>
      <c r="F188" t="str">
        <f>RAW_DATA!F188</f>
        <v>Medical</v>
      </c>
      <c r="G188">
        <f>RAW_DATA!G188</f>
        <v>4</v>
      </c>
      <c r="H188">
        <f>RAW_DATA!H188</f>
        <v>3</v>
      </c>
      <c r="I188" t="str">
        <f>RAW_DATA!I188</f>
        <v>Married</v>
      </c>
      <c r="J188">
        <f>RAW_DATA!J188</f>
        <v>19033</v>
      </c>
      <c r="K188">
        <f>RAW_DATA!K188</f>
        <v>1</v>
      </c>
      <c r="L188">
        <f>RAW_DATA!L188</f>
        <v>3</v>
      </c>
      <c r="M188">
        <f>RAW_DATA!M188</f>
        <v>20</v>
      </c>
      <c r="N188">
        <f t="shared" si="4"/>
        <v>0</v>
      </c>
      <c r="O188" t="str" cm="1">
        <f t="array" ref="O188" xml:space="preserve"> _xlfn.IFS(A188 &lt;ASSUMPTIONS!$D$2,"25",A188 &lt;= ASSUMPTIONS!$D$3,"25-34",A188 &lt;= ASSUMPTIONS!$D$4, "35-44",A188 &lt;= ASSUMPTIONS!$D$5,"45-54",TRUE,"55+")</f>
        <v>35-44</v>
      </c>
      <c r="P188" t="str" cm="1">
        <f t="array" ref="P188">_xlfn.IFS( J188 &lt;ASSUMPTIONS!$D$7,"LOW",J188 &lt;= ASSUMPTIONS!$D$8,"MEDIUM",TRUE, "HIGH")</f>
        <v>HIGH</v>
      </c>
      <c r="Q188" t="str">
        <f>IF(M188&lt;ASSUMPTIONS!$D$10,"New (0-2)",IF(M188&lt;=ASSUMPTIONS!$D$11,"Early (2-5)",IF(M188&lt;=ASSUMPTIONS!$D$12,"Established (5-10)","Veteran (10+)")))</f>
        <v>Veteran (10+)</v>
      </c>
      <c r="R188" s="4">
        <f t="shared" si="5"/>
        <v>3.3333333333333335</v>
      </c>
    </row>
    <row r="189" spans="1:18">
      <c r="A189">
        <f>RAW_DATA!A189</f>
        <v>55</v>
      </c>
      <c r="B189" t="str">
        <f>RAW_DATA!B189</f>
        <v>No</v>
      </c>
      <c r="C189" t="str">
        <f>RAW_DATA!C189</f>
        <v>Research &amp; Development</v>
      </c>
      <c r="D189">
        <f>RAW_DATA!D189</f>
        <v>14</v>
      </c>
      <c r="E189">
        <f>RAW_DATA!E189</f>
        <v>4</v>
      </c>
      <c r="F189" t="str">
        <f>RAW_DATA!F189</f>
        <v>Medical</v>
      </c>
      <c r="G189">
        <f>RAW_DATA!G189</f>
        <v>3</v>
      </c>
      <c r="H189">
        <f>RAW_DATA!H189</f>
        <v>2</v>
      </c>
      <c r="I189" t="str">
        <f>RAW_DATA!I189</f>
        <v>Single</v>
      </c>
      <c r="J189">
        <f>RAW_DATA!J189</f>
        <v>18722</v>
      </c>
      <c r="K189">
        <f>RAW_DATA!K189</f>
        <v>8</v>
      </c>
      <c r="L189">
        <f>RAW_DATA!L189</f>
        <v>3</v>
      </c>
      <c r="M189">
        <f>RAW_DATA!M189</f>
        <v>24</v>
      </c>
      <c r="N189">
        <f t="shared" si="4"/>
        <v>0</v>
      </c>
      <c r="O189" t="str" cm="1">
        <f t="array" ref="O189" xml:space="preserve"> _xlfn.IFS(A189 &lt;ASSUMPTIONS!$D$2,"25",A189 &lt;= ASSUMPTIONS!$D$3,"25-34",A189 &lt;= ASSUMPTIONS!$D$4, "35-44",A189 &lt;= ASSUMPTIONS!$D$5,"45-54",TRUE,"55+")</f>
        <v>55+</v>
      </c>
      <c r="P189" t="str" cm="1">
        <f t="array" ref="P189">_xlfn.IFS( J189 &lt;ASSUMPTIONS!$D$7,"LOW",J189 &lt;= ASSUMPTIONS!$D$8,"MEDIUM",TRUE, "HIGH")</f>
        <v>HIGH</v>
      </c>
      <c r="Q189" t="str">
        <f>IF(M189&lt;ASSUMPTIONS!$D$10,"New (0-2)",IF(M189&lt;=ASSUMPTIONS!$D$11,"Early (2-5)",IF(M189&lt;=ASSUMPTIONS!$D$12,"Established (5-10)","Veteran (10+)")))</f>
        <v>Veteran (10+)</v>
      </c>
      <c r="R189" s="4">
        <f t="shared" si="5"/>
        <v>2.6666666666666665</v>
      </c>
    </row>
    <row r="190" spans="1:18">
      <c r="A190">
        <f>RAW_DATA!A190</f>
        <v>34</v>
      </c>
      <c r="B190" t="str">
        <f>RAW_DATA!B190</f>
        <v>No</v>
      </c>
      <c r="C190" t="str">
        <f>RAW_DATA!C190</f>
        <v>Research &amp; Development</v>
      </c>
      <c r="D190">
        <f>RAW_DATA!D190</f>
        <v>2</v>
      </c>
      <c r="E190">
        <f>RAW_DATA!E190</f>
        <v>1</v>
      </c>
      <c r="F190" t="str">
        <f>RAW_DATA!F190</f>
        <v>Life Sciences</v>
      </c>
      <c r="G190">
        <f>RAW_DATA!G190</f>
        <v>4</v>
      </c>
      <c r="H190">
        <f>RAW_DATA!H190</f>
        <v>3</v>
      </c>
      <c r="I190" t="str">
        <f>RAW_DATA!I190</f>
        <v>Married</v>
      </c>
      <c r="J190">
        <f>RAW_DATA!J190</f>
        <v>9547</v>
      </c>
      <c r="K190">
        <f>RAW_DATA!K190</f>
        <v>1</v>
      </c>
      <c r="L190">
        <f>RAW_DATA!L190</f>
        <v>2</v>
      </c>
      <c r="M190">
        <f>RAW_DATA!M190</f>
        <v>10</v>
      </c>
      <c r="N190">
        <f t="shared" si="4"/>
        <v>0</v>
      </c>
      <c r="O190" t="str" cm="1">
        <f t="array" ref="O190" xml:space="preserve"> _xlfn.IFS(A190 &lt;ASSUMPTIONS!$D$2,"25",A190 &lt;= ASSUMPTIONS!$D$3,"25-34",A190 &lt;= ASSUMPTIONS!$D$4, "35-44",A190 &lt;= ASSUMPTIONS!$D$5,"45-54",TRUE,"55+")</f>
        <v>25-34</v>
      </c>
      <c r="P190" t="str" cm="1">
        <f t="array" ref="P190">_xlfn.IFS( J190 &lt;ASSUMPTIONS!$D$7,"LOW",J190 &lt;= ASSUMPTIONS!$D$8,"MEDIUM",TRUE, "HIGH")</f>
        <v>HIGH</v>
      </c>
      <c r="Q190" t="str">
        <f>IF(M190&lt;ASSUMPTIONS!$D$10,"New (0-2)",IF(M190&lt;=ASSUMPTIONS!$D$11,"Early (2-5)",IF(M190&lt;=ASSUMPTIONS!$D$12,"Established (5-10)","Veteran (10+)")))</f>
        <v>Established (5-10)</v>
      </c>
      <c r="R190" s="4">
        <f t="shared" si="5"/>
        <v>3</v>
      </c>
    </row>
    <row r="191" spans="1:18">
      <c r="A191">
        <f>RAW_DATA!A191</f>
        <v>51</v>
      </c>
      <c r="B191" t="str">
        <f>RAW_DATA!B191</f>
        <v>No</v>
      </c>
      <c r="C191" t="str">
        <f>RAW_DATA!C191</f>
        <v>Research &amp; Development</v>
      </c>
      <c r="D191">
        <f>RAW_DATA!D191</f>
        <v>3</v>
      </c>
      <c r="E191">
        <f>RAW_DATA!E191</f>
        <v>3</v>
      </c>
      <c r="F191" t="str">
        <f>RAW_DATA!F191</f>
        <v>Medical</v>
      </c>
      <c r="G191">
        <f>RAW_DATA!G191</f>
        <v>4</v>
      </c>
      <c r="H191">
        <f>RAW_DATA!H191</f>
        <v>2</v>
      </c>
      <c r="I191" t="str">
        <f>RAW_DATA!I191</f>
        <v>Single</v>
      </c>
      <c r="J191">
        <f>RAW_DATA!J191</f>
        <v>13734</v>
      </c>
      <c r="K191">
        <f>RAW_DATA!K191</f>
        <v>3</v>
      </c>
      <c r="L191">
        <f>RAW_DATA!L191</f>
        <v>3</v>
      </c>
      <c r="M191">
        <f>RAW_DATA!M191</f>
        <v>7</v>
      </c>
      <c r="N191">
        <f t="shared" si="4"/>
        <v>0</v>
      </c>
      <c r="O191" t="str" cm="1">
        <f t="array" ref="O191" xml:space="preserve"> _xlfn.IFS(A191 &lt;ASSUMPTIONS!$D$2,"25",A191 &lt;= ASSUMPTIONS!$D$3,"25-34",A191 &lt;= ASSUMPTIONS!$D$4, "35-44",A191 &lt;= ASSUMPTIONS!$D$5,"45-54",TRUE,"55+")</f>
        <v>45-54</v>
      </c>
      <c r="P191" t="str" cm="1">
        <f t="array" ref="P191">_xlfn.IFS( J191 &lt;ASSUMPTIONS!$D$7,"LOW",J191 &lt;= ASSUMPTIONS!$D$8,"MEDIUM",TRUE, "HIGH")</f>
        <v>HIGH</v>
      </c>
      <c r="Q191" t="str">
        <f>IF(M191&lt;ASSUMPTIONS!$D$10,"New (0-2)",IF(M191&lt;=ASSUMPTIONS!$D$11,"Early (2-5)",IF(M191&lt;=ASSUMPTIONS!$D$12,"Established (5-10)","Veteran (10+)")))</f>
        <v>Established (5-10)</v>
      </c>
      <c r="R191" s="4">
        <f t="shared" si="5"/>
        <v>3</v>
      </c>
    </row>
    <row r="192" spans="1:18">
      <c r="A192">
        <f>RAW_DATA!A192</f>
        <v>52</v>
      </c>
      <c r="B192" t="str">
        <f>RAW_DATA!B192</f>
        <v>No</v>
      </c>
      <c r="C192" t="str">
        <f>RAW_DATA!C192</f>
        <v>Research &amp; Development</v>
      </c>
      <c r="D192">
        <f>RAW_DATA!D192</f>
        <v>1</v>
      </c>
      <c r="E192">
        <f>RAW_DATA!E192</f>
        <v>4</v>
      </c>
      <c r="F192" t="str">
        <f>RAW_DATA!F192</f>
        <v>Life Sciences</v>
      </c>
      <c r="G192">
        <f>RAW_DATA!G192</f>
        <v>3</v>
      </c>
      <c r="H192">
        <f>RAW_DATA!H192</f>
        <v>3</v>
      </c>
      <c r="I192" t="str">
        <f>RAW_DATA!I192</f>
        <v>Married</v>
      </c>
      <c r="J192">
        <f>RAW_DATA!J192</f>
        <v>19999</v>
      </c>
      <c r="K192">
        <f>RAW_DATA!K192</f>
        <v>0</v>
      </c>
      <c r="L192">
        <f>RAW_DATA!L192</f>
        <v>3</v>
      </c>
      <c r="M192">
        <f>RAW_DATA!M192</f>
        <v>33</v>
      </c>
      <c r="N192">
        <f t="shared" si="4"/>
        <v>0</v>
      </c>
      <c r="O192" t="str" cm="1">
        <f t="array" ref="O192" xml:space="preserve"> _xlfn.IFS(A192 &lt;ASSUMPTIONS!$D$2,"25",A192 &lt;= ASSUMPTIONS!$D$3,"25-34",A192 &lt;= ASSUMPTIONS!$D$4, "35-44",A192 &lt;= ASSUMPTIONS!$D$5,"45-54",TRUE,"55+")</f>
        <v>45-54</v>
      </c>
      <c r="P192" t="str" cm="1">
        <f t="array" ref="P192">_xlfn.IFS( J192 &lt;ASSUMPTIONS!$D$7,"LOW",J192 &lt;= ASSUMPTIONS!$D$8,"MEDIUM",TRUE, "HIGH")</f>
        <v>HIGH</v>
      </c>
      <c r="Q192" t="str">
        <f>IF(M192&lt;ASSUMPTIONS!$D$10,"New (0-2)",IF(M192&lt;=ASSUMPTIONS!$D$11,"Early (2-5)",IF(M192&lt;=ASSUMPTIONS!$D$12,"Established (5-10)","Veteran (10+)")))</f>
        <v>Veteran (10+)</v>
      </c>
      <c r="R192" s="4">
        <f t="shared" si="5"/>
        <v>3</v>
      </c>
    </row>
    <row r="193" spans="1:18">
      <c r="A193">
        <f>RAW_DATA!A193</f>
        <v>27</v>
      </c>
      <c r="B193" t="str">
        <f>RAW_DATA!B193</f>
        <v>No</v>
      </c>
      <c r="C193" t="str">
        <f>RAW_DATA!C193</f>
        <v>Research &amp; Development</v>
      </c>
      <c r="D193">
        <f>RAW_DATA!D193</f>
        <v>9</v>
      </c>
      <c r="E193">
        <f>RAW_DATA!E193</f>
        <v>3</v>
      </c>
      <c r="F193" t="str">
        <f>RAW_DATA!F193</f>
        <v>Medical</v>
      </c>
      <c r="G193">
        <f>RAW_DATA!G193</f>
        <v>4</v>
      </c>
      <c r="H193">
        <f>RAW_DATA!H193</f>
        <v>2</v>
      </c>
      <c r="I193" t="str">
        <f>RAW_DATA!I193</f>
        <v>Single</v>
      </c>
      <c r="J193">
        <f>RAW_DATA!J193</f>
        <v>2279</v>
      </c>
      <c r="K193">
        <f>RAW_DATA!K193</f>
        <v>1</v>
      </c>
      <c r="L193">
        <f>RAW_DATA!L193</f>
        <v>2</v>
      </c>
      <c r="M193">
        <f>RAW_DATA!M193</f>
        <v>7</v>
      </c>
      <c r="N193">
        <f t="shared" si="4"/>
        <v>0</v>
      </c>
      <c r="O193" t="str" cm="1">
        <f t="array" ref="O193" xml:space="preserve"> _xlfn.IFS(A193 &lt;ASSUMPTIONS!$D$2,"25",A193 &lt;= ASSUMPTIONS!$D$3,"25-34",A193 &lt;= ASSUMPTIONS!$D$4, "35-44",A193 &lt;= ASSUMPTIONS!$D$5,"45-54",TRUE,"55+")</f>
        <v>25-34</v>
      </c>
      <c r="P193" t="str" cm="1">
        <f t="array" ref="P193">_xlfn.IFS( J193 &lt;ASSUMPTIONS!$D$7,"LOW",J193 &lt;= ASSUMPTIONS!$D$8,"MEDIUM",TRUE, "HIGH")</f>
        <v>LOW</v>
      </c>
      <c r="Q193" t="str">
        <f>IF(M193&lt;ASSUMPTIONS!$D$10,"New (0-2)",IF(M193&lt;=ASSUMPTIONS!$D$11,"Early (2-5)",IF(M193&lt;=ASSUMPTIONS!$D$12,"Established (5-10)","Veteran (10+)")))</f>
        <v>Established (5-10)</v>
      </c>
      <c r="R193" s="4">
        <f t="shared" si="5"/>
        <v>2.6666666666666665</v>
      </c>
    </row>
    <row r="194" spans="1:18">
      <c r="A194">
        <f>RAW_DATA!A194</f>
        <v>35</v>
      </c>
      <c r="B194" t="str">
        <f>RAW_DATA!B194</f>
        <v>Yes</v>
      </c>
      <c r="C194" t="str">
        <f>RAW_DATA!C194</f>
        <v>Research &amp; Development</v>
      </c>
      <c r="D194">
        <f>RAW_DATA!D194</f>
        <v>23</v>
      </c>
      <c r="E194">
        <f>RAW_DATA!E194</f>
        <v>2</v>
      </c>
      <c r="F194" t="str">
        <f>RAW_DATA!F194</f>
        <v>Life Sciences</v>
      </c>
      <c r="G194">
        <f>RAW_DATA!G194</f>
        <v>2</v>
      </c>
      <c r="H194">
        <f>RAW_DATA!H194</f>
        <v>3</v>
      </c>
      <c r="I194" t="str">
        <f>RAW_DATA!I194</f>
        <v>Married</v>
      </c>
      <c r="J194">
        <f>RAW_DATA!J194</f>
        <v>5916</v>
      </c>
      <c r="K194">
        <f>RAW_DATA!K194</f>
        <v>3</v>
      </c>
      <c r="L194">
        <f>RAW_DATA!L194</f>
        <v>3</v>
      </c>
      <c r="M194">
        <f>RAW_DATA!M194</f>
        <v>1</v>
      </c>
      <c r="N194">
        <f t="shared" si="4"/>
        <v>1</v>
      </c>
      <c r="O194" t="str" cm="1">
        <f t="array" ref="O194" xml:space="preserve"> _xlfn.IFS(A194 &lt;ASSUMPTIONS!$D$2,"25",A194 &lt;= ASSUMPTIONS!$D$3,"25-34",A194 &lt;= ASSUMPTIONS!$D$4, "35-44",A194 &lt;= ASSUMPTIONS!$D$5,"45-54",TRUE,"55+")</f>
        <v>35-44</v>
      </c>
      <c r="P194" t="str" cm="1">
        <f t="array" ref="P194">_xlfn.IFS( J194 &lt;ASSUMPTIONS!$D$7,"LOW",J194 &lt;= ASSUMPTIONS!$D$8,"MEDIUM",TRUE, "HIGH")</f>
        <v>MEDIUM</v>
      </c>
      <c r="Q194" t="str">
        <f>IF(M194&lt;ASSUMPTIONS!$D$10,"New (0-2)",IF(M194&lt;=ASSUMPTIONS!$D$11,"Early (2-5)",IF(M194&lt;=ASSUMPTIONS!$D$12,"Established (5-10)","Veteran (10+)")))</f>
        <v>New (0-2)</v>
      </c>
      <c r="R194" s="4">
        <f t="shared" si="5"/>
        <v>2.6666666666666665</v>
      </c>
    </row>
    <row r="195" spans="1:18">
      <c r="A195">
        <f>RAW_DATA!A195</f>
        <v>43</v>
      </c>
      <c r="B195" t="str">
        <f>RAW_DATA!B195</f>
        <v>No</v>
      </c>
      <c r="C195" t="str">
        <f>RAW_DATA!C195</f>
        <v>Research &amp; Development</v>
      </c>
      <c r="D195">
        <f>RAW_DATA!D195</f>
        <v>7</v>
      </c>
      <c r="E195">
        <f>RAW_DATA!E195</f>
        <v>3</v>
      </c>
      <c r="F195" t="str">
        <f>RAW_DATA!F195</f>
        <v>Medical</v>
      </c>
      <c r="G195">
        <f>RAW_DATA!G195</f>
        <v>4</v>
      </c>
      <c r="H195">
        <f>RAW_DATA!H195</f>
        <v>4</v>
      </c>
      <c r="I195" t="str">
        <f>RAW_DATA!I195</f>
        <v>Divorced</v>
      </c>
      <c r="J195">
        <f>RAW_DATA!J195</f>
        <v>2089</v>
      </c>
      <c r="K195">
        <f>RAW_DATA!K195</f>
        <v>4</v>
      </c>
      <c r="L195">
        <f>RAW_DATA!L195</f>
        <v>4</v>
      </c>
      <c r="M195">
        <f>RAW_DATA!M195</f>
        <v>5</v>
      </c>
      <c r="N195">
        <f t="shared" ref="N195:N258" si="6" xml:space="preserve"> IF(B195 ="Yes",1,0)</f>
        <v>0</v>
      </c>
      <c r="O195" t="str" cm="1">
        <f t="array" ref="O195" xml:space="preserve"> _xlfn.IFS(A195 &lt;ASSUMPTIONS!$D$2,"25",A195 &lt;= ASSUMPTIONS!$D$3,"25-34",A195 &lt;= ASSUMPTIONS!$D$4, "35-44",A195 &lt;= ASSUMPTIONS!$D$5,"45-54",TRUE,"55+")</f>
        <v>35-44</v>
      </c>
      <c r="P195" t="str" cm="1">
        <f t="array" ref="P195">_xlfn.IFS( J195 &lt;ASSUMPTIONS!$D$7,"LOW",J195 &lt;= ASSUMPTIONS!$D$8,"MEDIUM",TRUE, "HIGH")</f>
        <v>LOW</v>
      </c>
      <c r="Q195" t="str">
        <f>IF(M195&lt;ASSUMPTIONS!$D$10,"New (0-2)",IF(M195&lt;=ASSUMPTIONS!$D$11,"Early (2-5)",IF(M195&lt;=ASSUMPTIONS!$D$12,"Established (5-10)","Veteran (10+)")))</f>
        <v>Early (2-5)</v>
      </c>
      <c r="R195" s="4">
        <f t="shared" ref="R195:R258" si="7">AVERAGE(G195,H195,L195)</f>
        <v>4</v>
      </c>
    </row>
    <row r="196" spans="1:18">
      <c r="A196">
        <f>RAW_DATA!A196</f>
        <v>45</v>
      </c>
      <c r="B196" t="str">
        <f>RAW_DATA!B196</f>
        <v>No</v>
      </c>
      <c r="C196" t="str">
        <f>RAW_DATA!C196</f>
        <v>Research &amp; Development</v>
      </c>
      <c r="D196">
        <f>RAW_DATA!D196</f>
        <v>2</v>
      </c>
      <c r="E196">
        <f>RAW_DATA!E196</f>
        <v>2</v>
      </c>
      <c r="F196" t="str">
        <f>RAW_DATA!F196</f>
        <v>Medical</v>
      </c>
      <c r="G196">
        <f>RAW_DATA!G196</f>
        <v>1</v>
      </c>
      <c r="H196">
        <f>RAW_DATA!H196</f>
        <v>4</v>
      </c>
      <c r="I196" t="str">
        <f>RAW_DATA!I196</f>
        <v>Married</v>
      </c>
      <c r="J196">
        <f>RAW_DATA!J196</f>
        <v>16792</v>
      </c>
      <c r="K196">
        <f>RAW_DATA!K196</f>
        <v>9</v>
      </c>
      <c r="L196">
        <f>RAW_DATA!L196</f>
        <v>3</v>
      </c>
      <c r="M196">
        <f>RAW_DATA!M196</f>
        <v>20</v>
      </c>
      <c r="N196">
        <f t="shared" si="6"/>
        <v>0</v>
      </c>
      <c r="O196" t="str" cm="1">
        <f t="array" ref="O196" xml:space="preserve"> _xlfn.IFS(A196 &lt;ASSUMPTIONS!$D$2,"25",A196 &lt;= ASSUMPTIONS!$D$3,"25-34",A196 &lt;= ASSUMPTIONS!$D$4, "35-44",A196 &lt;= ASSUMPTIONS!$D$5,"45-54",TRUE,"55+")</f>
        <v>45-54</v>
      </c>
      <c r="P196" t="str" cm="1">
        <f t="array" ref="P196">_xlfn.IFS( J196 &lt;ASSUMPTIONS!$D$7,"LOW",J196 &lt;= ASSUMPTIONS!$D$8,"MEDIUM",TRUE, "HIGH")</f>
        <v>HIGH</v>
      </c>
      <c r="Q196" t="str">
        <f>IF(M196&lt;ASSUMPTIONS!$D$10,"New (0-2)",IF(M196&lt;=ASSUMPTIONS!$D$11,"Early (2-5)",IF(M196&lt;=ASSUMPTIONS!$D$12,"Established (5-10)","Veteran (10+)")))</f>
        <v>Veteran (10+)</v>
      </c>
      <c r="R196" s="4">
        <f t="shared" si="7"/>
        <v>2.6666666666666665</v>
      </c>
    </row>
    <row r="197" spans="1:18">
      <c r="A197">
        <f>RAW_DATA!A197</f>
        <v>37</v>
      </c>
      <c r="B197" t="str">
        <f>RAW_DATA!B197</f>
        <v>No</v>
      </c>
      <c r="C197" t="str">
        <f>RAW_DATA!C197</f>
        <v>Research &amp; Development</v>
      </c>
      <c r="D197">
        <f>RAW_DATA!D197</f>
        <v>21</v>
      </c>
      <c r="E197">
        <f>RAW_DATA!E197</f>
        <v>3</v>
      </c>
      <c r="F197" t="str">
        <f>RAW_DATA!F197</f>
        <v>Life Sciences</v>
      </c>
      <c r="G197">
        <f>RAW_DATA!G197</f>
        <v>2</v>
      </c>
      <c r="H197">
        <f>RAW_DATA!H197</f>
        <v>1</v>
      </c>
      <c r="I197" t="str">
        <f>RAW_DATA!I197</f>
        <v>Married</v>
      </c>
      <c r="J197">
        <f>RAW_DATA!J197</f>
        <v>3564</v>
      </c>
      <c r="K197">
        <f>RAW_DATA!K197</f>
        <v>1</v>
      </c>
      <c r="L197">
        <f>RAW_DATA!L197</f>
        <v>2</v>
      </c>
      <c r="M197">
        <f>RAW_DATA!M197</f>
        <v>8</v>
      </c>
      <c r="N197">
        <f t="shared" si="6"/>
        <v>0</v>
      </c>
      <c r="O197" t="str" cm="1">
        <f t="array" ref="O197" xml:space="preserve"> _xlfn.IFS(A197 &lt;ASSUMPTIONS!$D$2,"25",A197 &lt;= ASSUMPTIONS!$D$3,"25-34",A197 &lt;= ASSUMPTIONS!$D$4, "35-44",A197 &lt;= ASSUMPTIONS!$D$5,"45-54",TRUE,"55+")</f>
        <v>35-44</v>
      </c>
      <c r="P197" t="str" cm="1">
        <f t="array" ref="P197">_xlfn.IFS( J197 &lt;ASSUMPTIONS!$D$7,"LOW",J197 &lt;= ASSUMPTIONS!$D$8,"MEDIUM",TRUE, "HIGH")</f>
        <v>MEDIUM</v>
      </c>
      <c r="Q197" t="str">
        <f>IF(M197&lt;ASSUMPTIONS!$D$10,"New (0-2)",IF(M197&lt;=ASSUMPTIONS!$D$11,"Early (2-5)",IF(M197&lt;=ASSUMPTIONS!$D$12,"Established (5-10)","Veteran (10+)")))</f>
        <v>Established (5-10)</v>
      </c>
      <c r="R197" s="4">
        <f t="shared" si="7"/>
        <v>1.6666666666666667</v>
      </c>
    </row>
    <row r="198" spans="1:18">
      <c r="A198">
        <f>RAW_DATA!A198</f>
        <v>35</v>
      </c>
      <c r="B198" t="str">
        <f>RAW_DATA!B198</f>
        <v>No</v>
      </c>
      <c r="C198" t="str">
        <f>RAW_DATA!C198</f>
        <v>Research &amp; Development</v>
      </c>
      <c r="D198">
        <f>RAW_DATA!D198</f>
        <v>2</v>
      </c>
      <c r="E198">
        <f>RAW_DATA!E198</f>
        <v>3</v>
      </c>
      <c r="F198" t="str">
        <f>RAW_DATA!F198</f>
        <v>Medical</v>
      </c>
      <c r="G198">
        <f>RAW_DATA!G198</f>
        <v>2</v>
      </c>
      <c r="H198">
        <f>RAW_DATA!H198</f>
        <v>2</v>
      </c>
      <c r="I198" t="str">
        <f>RAW_DATA!I198</f>
        <v>Single</v>
      </c>
      <c r="J198">
        <f>RAW_DATA!J198</f>
        <v>4425</v>
      </c>
      <c r="K198">
        <f>RAW_DATA!K198</f>
        <v>5</v>
      </c>
      <c r="L198">
        <f>RAW_DATA!L198</f>
        <v>3</v>
      </c>
      <c r="M198">
        <f>RAW_DATA!M198</f>
        <v>6</v>
      </c>
      <c r="N198">
        <f t="shared" si="6"/>
        <v>0</v>
      </c>
      <c r="O198" t="str" cm="1">
        <f t="array" ref="O198" xml:space="preserve"> _xlfn.IFS(A198 &lt;ASSUMPTIONS!$D$2,"25",A198 &lt;= ASSUMPTIONS!$D$3,"25-34",A198 &lt;= ASSUMPTIONS!$D$4, "35-44",A198 &lt;= ASSUMPTIONS!$D$5,"45-54",TRUE,"55+")</f>
        <v>35-44</v>
      </c>
      <c r="P198" t="str" cm="1">
        <f t="array" ref="P198">_xlfn.IFS( J198 &lt;ASSUMPTIONS!$D$7,"LOW",J198 &lt;= ASSUMPTIONS!$D$8,"MEDIUM",TRUE, "HIGH")</f>
        <v>MEDIUM</v>
      </c>
      <c r="Q198" t="str">
        <f>IF(M198&lt;ASSUMPTIONS!$D$10,"New (0-2)",IF(M198&lt;=ASSUMPTIONS!$D$11,"Early (2-5)",IF(M198&lt;=ASSUMPTIONS!$D$12,"Established (5-10)","Veteran (10+)")))</f>
        <v>Established (5-10)</v>
      </c>
      <c r="R198" s="4">
        <f t="shared" si="7"/>
        <v>2.3333333333333335</v>
      </c>
    </row>
    <row r="199" spans="1:18">
      <c r="A199">
        <f>RAW_DATA!A199</f>
        <v>42</v>
      </c>
      <c r="B199" t="str">
        <f>RAW_DATA!B199</f>
        <v>No</v>
      </c>
      <c r="C199" t="str">
        <f>RAW_DATA!C199</f>
        <v>Research &amp; Development</v>
      </c>
      <c r="D199">
        <f>RAW_DATA!D199</f>
        <v>21</v>
      </c>
      <c r="E199">
        <f>RAW_DATA!E199</f>
        <v>2</v>
      </c>
      <c r="F199" t="str">
        <f>RAW_DATA!F199</f>
        <v>Medical</v>
      </c>
      <c r="G199">
        <f>RAW_DATA!G199</f>
        <v>3</v>
      </c>
      <c r="H199">
        <f>RAW_DATA!H199</f>
        <v>3</v>
      </c>
      <c r="I199" t="str">
        <f>RAW_DATA!I199</f>
        <v>Divorced</v>
      </c>
      <c r="J199">
        <f>RAW_DATA!J199</f>
        <v>5265</v>
      </c>
      <c r="K199">
        <f>RAW_DATA!K199</f>
        <v>2</v>
      </c>
      <c r="L199">
        <f>RAW_DATA!L199</f>
        <v>3</v>
      </c>
      <c r="M199">
        <f>RAW_DATA!M199</f>
        <v>5</v>
      </c>
      <c r="N199">
        <f t="shared" si="6"/>
        <v>0</v>
      </c>
      <c r="O199" t="str" cm="1">
        <f t="array" ref="O199" xml:space="preserve"> _xlfn.IFS(A199 &lt;ASSUMPTIONS!$D$2,"25",A199 &lt;= ASSUMPTIONS!$D$3,"25-34",A199 &lt;= ASSUMPTIONS!$D$4, "35-44",A199 &lt;= ASSUMPTIONS!$D$5,"45-54",TRUE,"55+")</f>
        <v>35-44</v>
      </c>
      <c r="P199" t="str" cm="1">
        <f t="array" ref="P199">_xlfn.IFS( J199 &lt;ASSUMPTIONS!$D$7,"LOW",J199 &lt;= ASSUMPTIONS!$D$8,"MEDIUM",TRUE, "HIGH")</f>
        <v>MEDIUM</v>
      </c>
      <c r="Q199" t="str">
        <f>IF(M199&lt;ASSUMPTIONS!$D$10,"New (0-2)",IF(M199&lt;=ASSUMPTIONS!$D$11,"Early (2-5)",IF(M199&lt;=ASSUMPTIONS!$D$12,"Established (5-10)","Veteran (10+)")))</f>
        <v>Early (2-5)</v>
      </c>
      <c r="R199" s="4">
        <f t="shared" si="7"/>
        <v>3</v>
      </c>
    </row>
    <row r="200" spans="1:18">
      <c r="A200">
        <f>RAW_DATA!A200</f>
        <v>38</v>
      </c>
      <c r="B200" t="str">
        <f>RAW_DATA!B200</f>
        <v>No</v>
      </c>
      <c r="C200" t="str">
        <f>RAW_DATA!C200</f>
        <v>Research &amp; Development</v>
      </c>
      <c r="D200">
        <f>RAW_DATA!D200</f>
        <v>2</v>
      </c>
      <c r="E200">
        <f>RAW_DATA!E200</f>
        <v>4</v>
      </c>
      <c r="F200" t="str">
        <f>RAW_DATA!F200</f>
        <v>Life Sciences</v>
      </c>
      <c r="G200">
        <f>RAW_DATA!G200</f>
        <v>4</v>
      </c>
      <c r="H200">
        <f>RAW_DATA!H200</f>
        <v>3</v>
      </c>
      <c r="I200" t="str">
        <f>RAW_DATA!I200</f>
        <v>Married</v>
      </c>
      <c r="J200">
        <f>RAW_DATA!J200</f>
        <v>6553</v>
      </c>
      <c r="K200">
        <f>RAW_DATA!K200</f>
        <v>9</v>
      </c>
      <c r="L200">
        <f>RAW_DATA!L200</f>
        <v>3</v>
      </c>
      <c r="M200">
        <f>RAW_DATA!M200</f>
        <v>1</v>
      </c>
      <c r="N200">
        <f t="shared" si="6"/>
        <v>0</v>
      </c>
      <c r="O200" t="str" cm="1">
        <f t="array" ref="O200" xml:space="preserve"> _xlfn.IFS(A200 &lt;ASSUMPTIONS!$D$2,"25",A200 &lt;= ASSUMPTIONS!$D$3,"25-34",A200 &lt;= ASSUMPTIONS!$D$4, "35-44",A200 &lt;= ASSUMPTIONS!$D$5,"45-54",TRUE,"55+")</f>
        <v>35-44</v>
      </c>
      <c r="P200" t="str" cm="1">
        <f t="array" ref="P200">_xlfn.IFS( J200 &lt;ASSUMPTIONS!$D$7,"LOW",J200 &lt;= ASSUMPTIONS!$D$8,"MEDIUM",TRUE, "HIGH")</f>
        <v>MEDIUM</v>
      </c>
      <c r="Q200" t="str">
        <f>IF(M200&lt;ASSUMPTIONS!$D$10,"New (0-2)",IF(M200&lt;=ASSUMPTIONS!$D$11,"Early (2-5)",IF(M200&lt;=ASSUMPTIONS!$D$12,"Established (5-10)","Veteran (10+)")))</f>
        <v>New (0-2)</v>
      </c>
      <c r="R200" s="4">
        <f t="shared" si="7"/>
        <v>3.3333333333333335</v>
      </c>
    </row>
    <row r="201" spans="1:18">
      <c r="A201">
        <f>RAW_DATA!A201</f>
        <v>38</v>
      </c>
      <c r="B201" t="str">
        <f>RAW_DATA!B201</f>
        <v>No</v>
      </c>
      <c r="C201" t="str">
        <f>RAW_DATA!C201</f>
        <v>Research &amp; Development</v>
      </c>
      <c r="D201">
        <f>RAW_DATA!D201</f>
        <v>29</v>
      </c>
      <c r="E201">
        <f>RAW_DATA!E201</f>
        <v>3</v>
      </c>
      <c r="F201" t="str">
        <f>RAW_DATA!F201</f>
        <v>Technical Degree</v>
      </c>
      <c r="G201">
        <f>RAW_DATA!G201</f>
        <v>4</v>
      </c>
      <c r="H201">
        <f>RAW_DATA!H201</f>
        <v>4</v>
      </c>
      <c r="I201" t="str">
        <f>RAW_DATA!I201</f>
        <v>Married</v>
      </c>
      <c r="J201">
        <f>RAW_DATA!J201</f>
        <v>6261</v>
      </c>
      <c r="K201">
        <f>RAW_DATA!K201</f>
        <v>3</v>
      </c>
      <c r="L201">
        <f>RAW_DATA!L201</f>
        <v>1</v>
      </c>
      <c r="M201">
        <f>RAW_DATA!M201</f>
        <v>7</v>
      </c>
      <c r="N201">
        <f t="shared" si="6"/>
        <v>0</v>
      </c>
      <c r="O201" t="str" cm="1">
        <f t="array" ref="O201" xml:space="preserve"> _xlfn.IFS(A201 &lt;ASSUMPTIONS!$D$2,"25",A201 &lt;= ASSUMPTIONS!$D$3,"25-34",A201 &lt;= ASSUMPTIONS!$D$4, "35-44",A201 &lt;= ASSUMPTIONS!$D$5,"45-54",TRUE,"55+")</f>
        <v>35-44</v>
      </c>
      <c r="P201" t="str" cm="1">
        <f t="array" ref="P201">_xlfn.IFS( J201 &lt;ASSUMPTIONS!$D$7,"LOW",J201 &lt;= ASSUMPTIONS!$D$8,"MEDIUM",TRUE, "HIGH")</f>
        <v>MEDIUM</v>
      </c>
      <c r="Q201" t="str">
        <f>IF(M201&lt;ASSUMPTIONS!$D$10,"New (0-2)",IF(M201&lt;=ASSUMPTIONS!$D$11,"Early (2-5)",IF(M201&lt;=ASSUMPTIONS!$D$12,"Established (5-10)","Veteran (10+)")))</f>
        <v>Established (5-10)</v>
      </c>
      <c r="R201" s="4">
        <f t="shared" si="7"/>
        <v>3</v>
      </c>
    </row>
    <row r="202" spans="1:18">
      <c r="A202">
        <f>RAW_DATA!A202</f>
        <v>27</v>
      </c>
      <c r="B202" t="str">
        <f>RAW_DATA!B202</f>
        <v>No</v>
      </c>
      <c r="C202" t="str">
        <f>RAW_DATA!C202</f>
        <v>Research &amp; Development</v>
      </c>
      <c r="D202">
        <f>RAW_DATA!D202</f>
        <v>1</v>
      </c>
      <c r="E202">
        <f>RAW_DATA!E202</f>
        <v>1</v>
      </c>
      <c r="F202" t="str">
        <f>RAW_DATA!F202</f>
        <v>Technical Degree</v>
      </c>
      <c r="G202">
        <f>RAW_DATA!G202</f>
        <v>3</v>
      </c>
      <c r="H202">
        <f>RAW_DATA!H202</f>
        <v>1</v>
      </c>
      <c r="I202" t="str">
        <f>RAW_DATA!I202</f>
        <v>Married</v>
      </c>
      <c r="J202">
        <f>RAW_DATA!J202</f>
        <v>4298</v>
      </c>
      <c r="K202">
        <f>RAW_DATA!K202</f>
        <v>5</v>
      </c>
      <c r="L202">
        <f>RAW_DATA!L202</f>
        <v>3</v>
      </c>
      <c r="M202">
        <f>RAW_DATA!M202</f>
        <v>2</v>
      </c>
      <c r="N202">
        <f t="shared" si="6"/>
        <v>0</v>
      </c>
      <c r="O202" t="str" cm="1">
        <f t="array" ref="O202" xml:space="preserve"> _xlfn.IFS(A202 &lt;ASSUMPTIONS!$D$2,"25",A202 &lt;= ASSUMPTIONS!$D$3,"25-34",A202 &lt;= ASSUMPTIONS!$D$4, "35-44",A202 &lt;= ASSUMPTIONS!$D$5,"45-54",TRUE,"55+")</f>
        <v>25-34</v>
      </c>
      <c r="P202" t="str" cm="1">
        <f t="array" ref="P202">_xlfn.IFS( J202 &lt;ASSUMPTIONS!$D$7,"LOW",J202 &lt;= ASSUMPTIONS!$D$8,"MEDIUM",TRUE, "HIGH")</f>
        <v>MEDIUM</v>
      </c>
      <c r="Q202" t="str">
        <f>IF(M202&lt;ASSUMPTIONS!$D$10,"New (0-2)",IF(M202&lt;=ASSUMPTIONS!$D$11,"Early (2-5)",IF(M202&lt;=ASSUMPTIONS!$D$12,"Established (5-10)","Veteran (10+)")))</f>
        <v>Early (2-5)</v>
      </c>
      <c r="R202" s="4">
        <f t="shared" si="7"/>
        <v>2.3333333333333335</v>
      </c>
    </row>
    <row r="203" spans="1:18">
      <c r="A203">
        <f>RAW_DATA!A203</f>
        <v>49</v>
      </c>
      <c r="B203" t="str">
        <f>RAW_DATA!B203</f>
        <v>No</v>
      </c>
      <c r="C203" t="str">
        <f>RAW_DATA!C203</f>
        <v>Research &amp; Development</v>
      </c>
      <c r="D203">
        <f>RAW_DATA!D203</f>
        <v>18</v>
      </c>
      <c r="E203">
        <f>RAW_DATA!E203</f>
        <v>4</v>
      </c>
      <c r="F203" t="str">
        <f>RAW_DATA!F203</f>
        <v>Life Sciences</v>
      </c>
      <c r="G203">
        <f>RAW_DATA!G203</f>
        <v>4</v>
      </c>
      <c r="H203">
        <f>RAW_DATA!H203</f>
        <v>4</v>
      </c>
      <c r="I203" t="str">
        <f>RAW_DATA!I203</f>
        <v>Divorced</v>
      </c>
      <c r="J203">
        <f>RAW_DATA!J203</f>
        <v>6804</v>
      </c>
      <c r="K203">
        <f>RAW_DATA!K203</f>
        <v>1</v>
      </c>
      <c r="L203">
        <f>RAW_DATA!L203</f>
        <v>3</v>
      </c>
      <c r="M203">
        <f>RAW_DATA!M203</f>
        <v>7</v>
      </c>
      <c r="N203">
        <f t="shared" si="6"/>
        <v>0</v>
      </c>
      <c r="O203" t="str" cm="1">
        <f t="array" ref="O203" xml:space="preserve"> _xlfn.IFS(A203 &lt;ASSUMPTIONS!$D$2,"25",A203 &lt;= ASSUMPTIONS!$D$3,"25-34",A203 &lt;= ASSUMPTIONS!$D$4, "35-44",A203 &lt;= ASSUMPTIONS!$D$5,"45-54",TRUE,"55+")</f>
        <v>45-54</v>
      </c>
      <c r="P203" t="str" cm="1">
        <f t="array" ref="P203">_xlfn.IFS( J203 &lt;ASSUMPTIONS!$D$7,"LOW",J203 &lt;= ASSUMPTIONS!$D$8,"MEDIUM",TRUE, "HIGH")</f>
        <v>MEDIUM</v>
      </c>
      <c r="Q203" t="str">
        <f>IF(M203&lt;ASSUMPTIONS!$D$10,"New (0-2)",IF(M203&lt;=ASSUMPTIONS!$D$11,"Early (2-5)",IF(M203&lt;=ASSUMPTIONS!$D$12,"Established (5-10)","Veteran (10+)")))</f>
        <v>Established (5-10)</v>
      </c>
      <c r="R203" s="4">
        <f t="shared" si="7"/>
        <v>3.6666666666666665</v>
      </c>
    </row>
    <row r="204" spans="1:18">
      <c r="A204">
        <f>RAW_DATA!A204</f>
        <v>34</v>
      </c>
      <c r="B204" t="str">
        <f>RAW_DATA!B204</f>
        <v>No</v>
      </c>
      <c r="C204" t="str">
        <f>RAW_DATA!C204</f>
        <v>Research &amp; Development</v>
      </c>
      <c r="D204">
        <f>RAW_DATA!D204</f>
        <v>10</v>
      </c>
      <c r="E204">
        <f>RAW_DATA!E204</f>
        <v>4</v>
      </c>
      <c r="F204" t="str">
        <f>RAW_DATA!F204</f>
        <v>Medical</v>
      </c>
      <c r="G204">
        <f>RAW_DATA!G204</f>
        <v>4</v>
      </c>
      <c r="H204">
        <f>RAW_DATA!H204</f>
        <v>3</v>
      </c>
      <c r="I204" t="str">
        <f>RAW_DATA!I204</f>
        <v>Divorced</v>
      </c>
      <c r="J204">
        <f>RAW_DATA!J204</f>
        <v>3815</v>
      </c>
      <c r="K204">
        <f>RAW_DATA!K204</f>
        <v>1</v>
      </c>
      <c r="L204">
        <f>RAW_DATA!L204</f>
        <v>4</v>
      </c>
      <c r="M204">
        <f>RAW_DATA!M204</f>
        <v>5</v>
      </c>
      <c r="N204">
        <f t="shared" si="6"/>
        <v>0</v>
      </c>
      <c r="O204" t="str" cm="1">
        <f t="array" ref="O204" xml:space="preserve"> _xlfn.IFS(A204 &lt;ASSUMPTIONS!$D$2,"25",A204 &lt;= ASSUMPTIONS!$D$3,"25-34",A204 &lt;= ASSUMPTIONS!$D$4, "35-44",A204 &lt;= ASSUMPTIONS!$D$5,"45-54",TRUE,"55+")</f>
        <v>25-34</v>
      </c>
      <c r="P204" t="str" cm="1">
        <f t="array" ref="P204">_xlfn.IFS( J204 &lt;ASSUMPTIONS!$D$7,"LOW",J204 &lt;= ASSUMPTIONS!$D$8,"MEDIUM",TRUE, "HIGH")</f>
        <v>MEDIUM</v>
      </c>
      <c r="Q204" t="str">
        <f>IF(M204&lt;ASSUMPTIONS!$D$10,"New (0-2)",IF(M204&lt;=ASSUMPTIONS!$D$11,"Early (2-5)",IF(M204&lt;=ASSUMPTIONS!$D$12,"Established (5-10)","Veteran (10+)")))</f>
        <v>Early (2-5)</v>
      </c>
      <c r="R204" s="4">
        <f t="shared" si="7"/>
        <v>3.6666666666666665</v>
      </c>
    </row>
    <row r="205" spans="1:18">
      <c r="A205">
        <f>RAW_DATA!A205</f>
        <v>40</v>
      </c>
      <c r="B205" t="str">
        <f>RAW_DATA!B205</f>
        <v>No</v>
      </c>
      <c r="C205" t="str">
        <f>RAW_DATA!C205</f>
        <v>Research &amp; Development</v>
      </c>
      <c r="D205">
        <f>RAW_DATA!D205</f>
        <v>19</v>
      </c>
      <c r="E205">
        <f>RAW_DATA!E205</f>
        <v>2</v>
      </c>
      <c r="F205" t="str">
        <f>RAW_DATA!F205</f>
        <v>Medical</v>
      </c>
      <c r="G205">
        <f>RAW_DATA!G205</f>
        <v>3</v>
      </c>
      <c r="H205">
        <f>RAW_DATA!H205</f>
        <v>4</v>
      </c>
      <c r="I205" t="str">
        <f>RAW_DATA!I205</f>
        <v>Married</v>
      </c>
      <c r="J205">
        <f>RAW_DATA!J205</f>
        <v>2741</v>
      </c>
      <c r="K205">
        <f>RAW_DATA!K205</f>
        <v>8</v>
      </c>
      <c r="L205">
        <f>RAW_DATA!L205</f>
        <v>4</v>
      </c>
      <c r="M205">
        <f>RAW_DATA!M205</f>
        <v>7</v>
      </c>
      <c r="N205">
        <f t="shared" si="6"/>
        <v>0</v>
      </c>
      <c r="O205" t="str" cm="1">
        <f t="array" ref="O205" xml:space="preserve"> _xlfn.IFS(A205 &lt;ASSUMPTIONS!$D$2,"25",A205 &lt;= ASSUMPTIONS!$D$3,"25-34",A205 &lt;= ASSUMPTIONS!$D$4, "35-44",A205 &lt;= ASSUMPTIONS!$D$5,"45-54",TRUE,"55+")</f>
        <v>35-44</v>
      </c>
      <c r="P205" t="str" cm="1">
        <f t="array" ref="P205">_xlfn.IFS( J205 &lt;ASSUMPTIONS!$D$7,"LOW",J205 &lt;= ASSUMPTIONS!$D$8,"MEDIUM",TRUE, "HIGH")</f>
        <v>LOW</v>
      </c>
      <c r="Q205" t="str">
        <f>IF(M205&lt;ASSUMPTIONS!$D$10,"New (0-2)",IF(M205&lt;=ASSUMPTIONS!$D$11,"Early (2-5)",IF(M205&lt;=ASSUMPTIONS!$D$12,"Established (5-10)","Veteran (10+)")))</f>
        <v>Established (5-10)</v>
      </c>
      <c r="R205" s="4">
        <f t="shared" si="7"/>
        <v>3.6666666666666665</v>
      </c>
    </row>
    <row r="206" spans="1:18">
      <c r="A206">
        <f>RAW_DATA!A206</f>
        <v>38</v>
      </c>
      <c r="B206" t="str">
        <f>RAW_DATA!B206</f>
        <v>Yes</v>
      </c>
      <c r="C206" t="str">
        <f>RAW_DATA!C206</f>
        <v>Research &amp; Development</v>
      </c>
      <c r="D206">
        <f>RAW_DATA!D206</f>
        <v>29</v>
      </c>
      <c r="E206">
        <f>RAW_DATA!E206</f>
        <v>1</v>
      </c>
      <c r="F206" t="str">
        <f>RAW_DATA!F206</f>
        <v>Medical</v>
      </c>
      <c r="G206">
        <f>RAW_DATA!G206</f>
        <v>2</v>
      </c>
      <c r="H206">
        <f>RAW_DATA!H206</f>
        <v>1</v>
      </c>
      <c r="I206" t="str">
        <f>RAW_DATA!I206</f>
        <v>Married</v>
      </c>
      <c r="J206">
        <f>RAW_DATA!J206</f>
        <v>6673</v>
      </c>
      <c r="K206">
        <f>RAW_DATA!K206</f>
        <v>7</v>
      </c>
      <c r="L206">
        <f>RAW_DATA!L206</f>
        <v>3</v>
      </c>
      <c r="M206">
        <f>RAW_DATA!M206</f>
        <v>1</v>
      </c>
      <c r="N206">
        <f t="shared" si="6"/>
        <v>1</v>
      </c>
      <c r="O206" t="str" cm="1">
        <f t="array" ref="O206" xml:space="preserve"> _xlfn.IFS(A206 &lt;ASSUMPTIONS!$D$2,"25",A206 &lt;= ASSUMPTIONS!$D$3,"25-34",A206 &lt;= ASSUMPTIONS!$D$4, "35-44",A206 &lt;= ASSUMPTIONS!$D$5,"45-54",TRUE,"55+")</f>
        <v>35-44</v>
      </c>
      <c r="P206" t="str" cm="1">
        <f t="array" ref="P206">_xlfn.IFS( J206 &lt;ASSUMPTIONS!$D$7,"LOW",J206 &lt;= ASSUMPTIONS!$D$8,"MEDIUM",TRUE, "HIGH")</f>
        <v>MEDIUM</v>
      </c>
      <c r="Q206" t="str">
        <f>IF(M206&lt;ASSUMPTIONS!$D$10,"New (0-2)",IF(M206&lt;=ASSUMPTIONS!$D$11,"Early (2-5)",IF(M206&lt;=ASSUMPTIONS!$D$12,"Established (5-10)","Veteran (10+)")))</f>
        <v>New (0-2)</v>
      </c>
      <c r="R206" s="4">
        <f t="shared" si="7"/>
        <v>2</v>
      </c>
    </row>
    <row r="207" spans="1:18">
      <c r="A207">
        <f>RAW_DATA!A207</f>
        <v>29</v>
      </c>
      <c r="B207" t="str">
        <f>RAW_DATA!B207</f>
        <v>Yes</v>
      </c>
      <c r="C207" t="str">
        <f>RAW_DATA!C207</f>
        <v>Sales</v>
      </c>
      <c r="D207">
        <f>RAW_DATA!D207</f>
        <v>27</v>
      </c>
      <c r="E207">
        <f>RAW_DATA!E207</f>
        <v>3</v>
      </c>
      <c r="F207" t="str">
        <f>RAW_DATA!F207</f>
        <v>Marketing</v>
      </c>
      <c r="G207">
        <f>RAW_DATA!G207</f>
        <v>2</v>
      </c>
      <c r="H207">
        <f>RAW_DATA!H207</f>
        <v>4</v>
      </c>
      <c r="I207" t="str">
        <f>RAW_DATA!I207</f>
        <v>Married</v>
      </c>
      <c r="J207">
        <f>RAW_DATA!J207</f>
        <v>7639</v>
      </c>
      <c r="K207">
        <f>RAW_DATA!K207</f>
        <v>1</v>
      </c>
      <c r="L207">
        <f>RAW_DATA!L207</f>
        <v>2</v>
      </c>
      <c r="M207">
        <f>RAW_DATA!M207</f>
        <v>10</v>
      </c>
      <c r="N207">
        <f t="shared" si="6"/>
        <v>1</v>
      </c>
      <c r="O207" t="str" cm="1">
        <f t="array" ref="O207" xml:space="preserve"> _xlfn.IFS(A207 &lt;ASSUMPTIONS!$D$2,"25",A207 &lt;= ASSUMPTIONS!$D$3,"25-34",A207 &lt;= ASSUMPTIONS!$D$4, "35-44",A207 &lt;= ASSUMPTIONS!$D$5,"45-54",TRUE,"55+")</f>
        <v>25-34</v>
      </c>
      <c r="P207" t="str" cm="1">
        <f t="array" ref="P207">_xlfn.IFS( J207 &lt;ASSUMPTIONS!$D$7,"LOW",J207 &lt;= ASSUMPTIONS!$D$8,"MEDIUM",TRUE, "HIGH")</f>
        <v>HIGH</v>
      </c>
      <c r="Q207" t="str">
        <f>IF(M207&lt;ASSUMPTIONS!$D$10,"New (0-2)",IF(M207&lt;=ASSUMPTIONS!$D$11,"Early (2-5)",IF(M207&lt;=ASSUMPTIONS!$D$12,"Established (5-10)","Veteran (10+)")))</f>
        <v>Established (5-10)</v>
      </c>
      <c r="R207" s="4">
        <f t="shared" si="7"/>
        <v>2.6666666666666665</v>
      </c>
    </row>
    <row r="208" spans="1:18">
      <c r="A208">
        <f>RAW_DATA!A208</f>
        <v>22</v>
      </c>
      <c r="B208" t="str">
        <f>RAW_DATA!B208</f>
        <v>No</v>
      </c>
      <c r="C208" t="str">
        <f>RAW_DATA!C208</f>
        <v>Research &amp; Development</v>
      </c>
      <c r="D208">
        <f>RAW_DATA!D208</f>
        <v>5</v>
      </c>
      <c r="E208">
        <f>RAW_DATA!E208</f>
        <v>3</v>
      </c>
      <c r="F208" t="str">
        <f>RAW_DATA!F208</f>
        <v>Life Sciences</v>
      </c>
      <c r="G208">
        <f>RAW_DATA!G208</f>
        <v>4</v>
      </c>
      <c r="H208">
        <f>RAW_DATA!H208</f>
        <v>2</v>
      </c>
      <c r="I208" t="str">
        <f>RAW_DATA!I208</f>
        <v>Divorced</v>
      </c>
      <c r="J208">
        <f>RAW_DATA!J208</f>
        <v>2328</v>
      </c>
      <c r="K208">
        <f>RAW_DATA!K208</f>
        <v>1</v>
      </c>
      <c r="L208">
        <f>RAW_DATA!L208</f>
        <v>2</v>
      </c>
      <c r="M208">
        <f>RAW_DATA!M208</f>
        <v>4</v>
      </c>
      <c r="N208">
        <f t="shared" si="6"/>
        <v>0</v>
      </c>
      <c r="O208" t="str" cm="1">
        <f t="array" ref="O208" xml:space="preserve"> _xlfn.IFS(A208 &lt;ASSUMPTIONS!$D$2,"25",A208 &lt;= ASSUMPTIONS!$D$3,"25-34",A208 &lt;= ASSUMPTIONS!$D$4, "35-44",A208 &lt;= ASSUMPTIONS!$D$5,"45-54",TRUE,"55+")</f>
        <v>25</v>
      </c>
      <c r="P208" t="str" cm="1">
        <f t="array" ref="P208">_xlfn.IFS( J208 &lt;ASSUMPTIONS!$D$7,"LOW",J208 &lt;= ASSUMPTIONS!$D$8,"MEDIUM",TRUE, "HIGH")</f>
        <v>LOW</v>
      </c>
      <c r="Q208" t="str">
        <f>IF(M208&lt;ASSUMPTIONS!$D$10,"New (0-2)",IF(M208&lt;=ASSUMPTIONS!$D$11,"Early (2-5)",IF(M208&lt;=ASSUMPTIONS!$D$12,"Established (5-10)","Veteran (10+)")))</f>
        <v>Early (2-5)</v>
      </c>
      <c r="R208" s="4">
        <f t="shared" si="7"/>
        <v>2.6666666666666665</v>
      </c>
    </row>
    <row r="209" spans="1:18">
      <c r="A209">
        <f>RAW_DATA!A209</f>
        <v>36</v>
      </c>
      <c r="B209" t="str">
        <f>RAW_DATA!B209</f>
        <v>No</v>
      </c>
      <c r="C209" t="str">
        <f>RAW_DATA!C209</f>
        <v>Research &amp; Development</v>
      </c>
      <c r="D209">
        <f>RAW_DATA!D209</f>
        <v>18</v>
      </c>
      <c r="E209">
        <f>RAW_DATA!E209</f>
        <v>1</v>
      </c>
      <c r="F209" t="str">
        <f>RAW_DATA!F209</f>
        <v>Medical</v>
      </c>
      <c r="G209">
        <f>RAW_DATA!G209</f>
        <v>2</v>
      </c>
      <c r="H209">
        <f>RAW_DATA!H209</f>
        <v>4</v>
      </c>
      <c r="I209" t="str">
        <f>RAW_DATA!I209</f>
        <v>Single</v>
      </c>
      <c r="J209">
        <f>RAW_DATA!J209</f>
        <v>2153</v>
      </c>
      <c r="K209">
        <f>RAW_DATA!K209</f>
        <v>1</v>
      </c>
      <c r="L209">
        <f>RAW_DATA!L209</f>
        <v>3</v>
      </c>
      <c r="M209">
        <f>RAW_DATA!M209</f>
        <v>8</v>
      </c>
      <c r="N209">
        <f t="shared" si="6"/>
        <v>0</v>
      </c>
      <c r="O209" t="str" cm="1">
        <f t="array" ref="O209" xml:space="preserve"> _xlfn.IFS(A209 &lt;ASSUMPTIONS!$D$2,"25",A209 &lt;= ASSUMPTIONS!$D$3,"25-34",A209 &lt;= ASSUMPTIONS!$D$4, "35-44",A209 &lt;= ASSUMPTIONS!$D$5,"45-54",TRUE,"55+")</f>
        <v>35-44</v>
      </c>
      <c r="P209" t="str" cm="1">
        <f t="array" ref="P209">_xlfn.IFS( J209 &lt;ASSUMPTIONS!$D$7,"LOW",J209 &lt;= ASSUMPTIONS!$D$8,"MEDIUM",TRUE, "HIGH")</f>
        <v>LOW</v>
      </c>
      <c r="Q209" t="str">
        <f>IF(M209&lt;ASSUMPTIONS!$D$10,"New (0-2)",IF(M209&lt;=ASSUMPTIONS!$D$11,"Early (2-5)",IF(M209&lt;=ASSUMPTIONS!$D$12,"Established (5-10)","Veteran (10+)")))</f>
        <v>Established (5-10)</v>
      </c>
      <c r="R209" s="4">
        <f t="shared" si="7"/>
        <v>3</v>
      </c>
    </row>
    <row r="210" spans="1:18">
      <c r="A210">
        <f>RAW_DATA!A210</f>
        <v>40</v>
      </c>
      <c r="B210" t="str">
        <f>RAW_DATA!B210</f>
        <v>No</v>
      </c>
      <c r="C210" t="str">
        <f>RAW_DATA!C210</f>
        <v>Research &amp; Development</v>
      </c>
      <c r="D210">
        <f>RAW_DATA!D210</f>
        <v>9</v>
      </c>
      <c r="E210">
        <f>RAW_DATA!E210</f>
        <v>5</v>
      </c>
      <c r="F210" t="str">
        <f>RAW_DATA!F210</f>
        <v>Life Sciences</v>
      </c>
      <c r="G210">
        <f>RAW_DATA!G210</f>
        <v>4</v>
      </c>
      <c r="H210">
        <f>RAW_DATA!H210</f>
        <v>4</v>
      </c>
      <c r="I210" t="str">
        <f>RAW_DATA!I210</f>
        <v>Married</v>
      </c>
      <c r="J210">
        <f>RAW_DATA!J210</f>
        <v>4876</v>
      </c>
      <c r="K210">
        <f>RAW_DATA!K210</f>
        <v>9</v>
      </c>
      <c r="L210">
        <f>RAW_DATA!L210</f>
        <v>1</v>
      </c>
      <c r="M210">
        <f>RAW_DATA!M210</f>
        <v>3</v>
      </c>
      <c r="N210">
        <f t="shared" si="6"/>
        <v>0</v>
      </c>
      <c r="O210" t="str" cm="1">
        <f t="array" ref="O210" xml:space="preserve"> _xlfn.IFS(A210 &lt;ASSUMPTIONS!$D$2,"25",A210 &lt;= ASSUMPTIONS!$D$3,"25-34",A210 &lt;= ASSUMPTIONS!$D$4, "35-44",A210 &lt;= ASSUMPTIONS!$D$5,"45-54",TRUE,"55+")</f>
        <v>35-44</v>
      </c>
      <c r="P210" t="str" cm="1">
        <f t="array" ref="P210">_xlfn.IFS( J210 &lt;ASSUMPTIONS!$D$7,"LOW",J210 &lt;= ASSUMPTIONS!$D$8,"MEDIUM",TRUE, "HIGH")</f>
        <v>MEDIUM</v>
      </c>
      <c r="Q210" t="str">
        <f>IF(M210&lt;ASSUMPTIONS!$D$10,"New (0-2)",IF(M210&lt;=ASSUMPTIONS!$D$11,"Early (2-5)",IF(M210&lt;=ASSUMPTIONS!$D$12,"Established (5-10)","Veteran (10+)")))</f>
        <v>Early (2-5)</v>
      </c>
      <c r="R210" s="4">
        <f t="shared" si="7"/>
        <v>3</v>
      </c>
    </row>
    <row r="211" spans="1:18">
      <c r="A211">
        <f>RAW_DATA!A211</f>
        <v>46</v>
      </c>
      <c r="B211" t="str">
        <f>RAW_DATA!B211</f>
        <v>No</v>
      </c>
      <c r="C211" t="str">
        <f>RAW_DATA!C211</f>
        <v>Research &amp; Development</v>
      </c>
      <c r="D211">
        <f>RAW_DATA!D211</f>
        <v>1</v>
      </c>
      <c r="E211">
        <f>RAW_DATA!E211</f>
        <v>4</v>
      </c>
      <c r="F211" t="str">
        <f>RAW_DATA!F211</f>
        <v>Medical</v>
      </c>
      <c r="G211">
        <f>RAW_DATA!G211</f>
        <v>4</v>
      </c>
      <c r="H211">
        <f>RAW_DATA!H211</f>
        <v>1</v>
      </c>
      <c r="I211" t="str">
        <f>RAW_DATA!I211</f>
        <v>Divorced</v>
      </c>
      <c r="J211">
        <f>RAW_DATA!J211</f>
        <v>9396</v>
      </c>
      <c r="K211">
        <f>RAW_DATA!K211</f>
        <v>7</v>
      </c>
      <c r="L211">
        <f>RAW_DATA!L211</f>
        <v>3</v>
      </c>
      <c r="M211">
        <f>RAW_DATA!M211</f>
        <v>4</v>
      </c>
      <c r="N211">
        <f t="shared" si="6"/>
        <v>0</v>
      </c>
      <c r="O211" t="str" cm="1">
        <f t="array" ref="O211" xml:space="preserve"> _xlfn.IFS(A211 &lt;ASSUMPTIONS!$D$2,"25",A211 &lt;= ASSUMPTIONS!$D$3,"25-34",A211 &lt;= ASSUMPTIONS!$D$4, "35-44",A211 &lt;= ASSUMPTIONS!$D$5,"45-54",TRUE,"55+")</f>
        <v>45-54</v>
      </c>
      <c r="P211" t="str" cm="1">
        <f t="array" ref="P211">_xlfn.IFS( J211 &lt;ASSUMPTIONS!$D$7,"LOW",J211 &lt;= ASSUMPTIONS!$D$8,"MEDIUM",TRUE, "HIGH")</f>
        <v>HIGH</v>
      </c>
      <c r="Q211" t="str">
        <f>IF(M211&lt;ASSUMPTIONS!$D$10,"New (0-2)",IF(M211&lt;=ASSUMPTIONS!$D$11,"Early (2-5)",IF(M211&lt;=ASSUMPTIONS!$D$12,"Established (5-10)","Veteran (10+)")))</f>
        <v>Early (2-5)</v>
      </c>
      <c r="R211" s="4">
        <f t="shared" si="7"/>
        <v>2.6666666666666665</v>
      </c>
    </row>
    <row r="212" spans="1:18">
      <c r="A212">
        <f>RAW_DATA!A212</f>
        <v>32</v>
      </c>
      <c r="B212" t="str">
        <f>RAW_DATA!B212</f>
        <v>Yes</v>
      </c>
      <c r="C212" t="str">
        <f>RAW_DATA!C212</f>
        <v>Sales</v>
      </c>
      <c r="D212">
        <f>RAW_DATA!D212</f>
        <v>4</v>
      </c>
      <c r="E212">
        <f>RAW_DATA!E212</f>
        <v>4</v>
      </c>
      <c r="F212" t="str">
        <f>RAW_DATA!F212</f>
        <v>Medical</v>
      </c>
      <c r="G212">
        <f>RAW_DATA!G212</f>
        <v>4</v>
      </c>
      <c r="H212">
        <f>RAW_DATA!H212</f>
        <v>4</v>
      </c>
      <c r="I212" t="str">
        <f>RAW_DATA!I212</f>
        <v>Married</v>
      </c>
      <c r="J212">
        <f>RAW_DATA!J212</f>
        <v>10400</v>
      </c>
      <c r="K212">
        <f>RAW_DATA!K212</f>
        <v>1</v>
      </c>
      <c r="L212">
        <f>RAW_DATA!L212</f>
        <v>2</v>
      </c>
      <c r="M212">
        <f>RAW_DATA!M212</f>
        <v>14</v>
      </c>
      <c r="N212">
        <f t="shared" si="6"/>
        <v>1</v>
      </c>
      <c r="O212" t="str" cm="1">
        <f t="array" ref="O212" xml:space="preserve"> _xlfn.IFS(A212 &lt;ASSUMPTIONS!$D$2,"25",A212 &lt;= ASSUMPTIONS!$D$3,"25-34",A212 &lt;= ASSUMPTIONS!$D$4, "35-44",A212 &lt;= ASSUMPTIONS!$D$5,"45-54",TRUE,"55+")</f>
        <v>25-34</v>
      </c>
      <c r="P212" t="str" cm="1">
        <f t="array" ref="P212">_xlfn.IFS( J212 &lt;ASSUMPTIONS!$D$7,"LOW",J212 &lt;= ASSUMPTIONS!$D$8,"MEDIUM",TRUE, "HIGH")</f>
        <v>HIGH</v>
      </c>
      <c r="Q212" t="str">
        <f>IF(M212&lt;ASSUMPTIONS!$D$10,"New (0-2)",IF(M212&lt;=ASSUMPTIONS!$D$11,"Early (2-5)",IF(M212&lt;=ASSUMPTIONS!$D$12,"Established (5-10)","Veteran (10+)")))</f>
        <v>Veteran (10+)</v>
      </c>
      <c r="R212" s="4">
        <f t="shared" si="7"/>
        <v>3.3333333333333335</v>
      </c>
    </row>
    <row r="213" spans="1:18">
      <c r="A213">
        <f>RAW_DATA!A213</f>
        <v>30</v>
      </c>
      <c r="B213" t="str">
        <f>RAW_DATA!B213</f>
        <v>No</v>
      </c>
      <c r="C213" t="str">
        <f>RAW_DATA!C213</f>
        <v>Research &amp; Development</v>
      </c>
      <c r="D213">
        <f>RAW_DATA!D213</f>
        <v>1</v>
      </c>
      <c r="E213">
        <f>RAW_DATA!E213</f>
        <v>1</v>
      </c>
      <c r="F213" t="str">
        <f>RAW_DATA!F213</f>
        <v>Life Sciences</v>
      </c>
      <c r="G213">
        <f>RAW_DATA!G213</f>
        <v>3</v>
      </c>
      <c r="H213">
        <f>RAW_DATA!H213</f>
        <v>3</v>
      </c>
      <c r="I213" t="str">
        <f>RAW_DATA!I213</f>
        <v>Single</v>
      </c>
      <c r="J213">
        <f>RAW_DATA!J213</f>
        <v>8474</v>
      </c>
      <c r="K213">
        <f>RAW_DATA!K213</f>
        <v>1</v>
      </c>
      <c r="L213">
        <f>RAW_DATA!L213</f>
        <v>3</v>
      </c>
      <c r="M213">
        <f>RAW_DATA!M213</f>
        <v>11</v>
      </c>
      <c r="N213">
        <f t="shared" si="6"/>
        <v>0</v>
      </c>
      <c r="O213" t="str" cm="1">
        <f t="array" ref="O213" xml:space="preserve"> _xlfn.IFS(A213 &lt;ASSUMPTIONS!$D$2,"25",A213 &lt;= ASSUMPTIONS!$D$3,"25-34",A213 &lt;= ASSUMPTIONS!$D$4, "35-44",A213 &lt;= ASSUMPTIONS!$D$5,"45-54",TRUE,"55+")</f>
        <v>25-34</v>
      </c>
      <c r="P213" t="str" cm="1">
        <f t="array" ref="P213">_xlfn.IFS( J213 &lt;ASSUMPTIONS!$D$7,"LOW",J213 &lt;= ASSUMPTIONS!$D$8,"MEDIUM",TRUE, "HIGH")</f>
        <v>HIGH</v>
      </c>
      <c r="Q213" t="str">
        <f>IF(M213&lt;ASSUMPTIONS!$D$10,"New (0-2)",IF(M213&lt;=ASSUMPTIONS!$D$11,"Early (2-5)",IF(M213&lt;=ASSUMPTIONS!$D$12,"Established (5-10)","Veteran (10+)")))</f>
        <v>Veteran (10+)</v>
      </c>
      <c r="R213" s="4">
        <f t="shared" si="7"/>
        <v>3</v>
      </c>
    </row>
    <row r="214" spans="1:18">
      <c r="A214">
        <f>RAW_DATA!A214</f>
        <v>27</v>
      </c>
      <c r="B214" t="str">
        <f>RAW_DATA!B214</f>
        <v>No</v>
      </c>
      <c r="C214" t="str">
        <f>RAW_DATA!C214</f>
        <v>Sales</v>
      </c>
      <c r="D214">
        <f>RAW_DATA!D214</f>
        <v>20</v>
      </c>
      <c r="E214">
        <f>RAW_DATA!E214</f>
        <v>3</v>
      </c>
      <c r="F214" t="str">
        <f>RAW_DATA!F214</f>
        <v>Life Sciences</v>
      </c>
      <c r="G214">
        <f>RAW_DATA!G214</f>
        <v>4</v>
      </c>
      <c r="H214">
        <f>RAW_DATA!H214</f>
        <v>3</v>
      </c>
      <c r="I214" t="str">
        <f>RAW_DATA!I214</f>
        <v>Single</v>
      </c>
      <c r="J214">
        <f>RAW_DATA!J214</f>
        <v>9981</v>
      </c>
      <c r="K214">
        <f>RAW_DATA!K214</f>
        <v>1</v>
      </c>
      <c r="L214">
        <f>RAW_DATA!L214</f>
        <v>3</v>
      </c>
      <c r="M214">
        <f>RAW_DATA!M214</f>
        <v>7</v>
      </c>
      <c r="N214">
        <f t="shared" si="6"/>
        <v>0</v>
      </c>
      <c r="O214" t="str" cm="1">
        <f t="array" ref="O214" xml:space="preserve"> _xlfn.IFS(A214 &lt;ASSUMPTIONS!$D$2,"25",A214 &lt;= ASSUMPTIONS!$D$3,"25-34",A214 &lt;= ASSUMPTIONS!$D$4, "35-44",A214 &lt;= ASSUMPTIONS!$D$5,"45-54",TRUE,"55+")</f>
        <v>25-34</v>
      </c>
      <c r="P214" t="str" cm="1">
        <f t="array" ref="P214">_xlfn.IFS( J214 &lt;ASSUMPTIONS!$D$7,"LOW",J214 &lt;= ASSUMPTIONS!$D$8,"MEDIUM",TRUE, "HIGH")</f>
        <v>HIGH</v>
      </c>
      <c r="Q214" t="str">
        <f>IF(M214&lt;ASSUMPTIONS!$D$10,"New (0-2)",IF(M214&lt;=ASSUMPTIONS!$D$11,"Early (2-5)",IF(M214&lt;=ASSUMPTIONS!$D$12,"Established (5-10)","Veteran (10+)")))</f>
        <v>Established (5-10)</v>
      </c>
      <c r="R214" s="4">
        <f t="shared" si="7"/>
        <v>3.3333333333333335</v>
      </c>
    </row>
    <row r="215" spans="1:18">
      <c r="A215">
        <f>RAW_DATA!A215</f>
        <v>51</v>
      </c>
      <c r="B215" t="str">
        <f>RAW_DATA!B215</f>
        <v>No</v>
      </c>
      <c r="C215" t="str">
        <f>RAW_DATA!C215</f>
        <v>Research &amp; Development</v>
      </c>
      <c r="D215">
        <f>RAW_DATA!D215</f>
        <v>8</v>
      </c>
      <c r="E215">
        <f>RAW_DATA!E215</f>
        <v>4</v>
      </c>
      <c r="F215" t="str">
        <f>RAW_DATA!F215</f>
        <v>Life Sciences</v>
      </c>
      <c r="G215">
        <f>RAW_DATA!G215</f>
        <v>2</v>
      </c>
      <c r="H215">
        <f>RAW_DATA!H215</f>
        <v>2</v>
      </c>
      <c r="I215" t="str">
        <f>RAW_DATA!I215</f>
        <v>Married</v>
      </c>
      <c r="J215">
        <f>RAW_DATA!J215</f>
        <v>12490</v>
      </c>
      <c r="K215">
        <f>RAW_DATA!K215</f>
        <v>5</v>
      </c>
      <c r="L215">
        <f>RAW_DATA!L215</f>
        <v>1</v>
      </c>
      <c r="M215">
        <f>RAW_DATA!M215</f>
        <v>10</v>
      </c>
      <c r="N215">
        <f t="shared" si="6"/>
        <v>0</v>
      </c>
      <c r="O215" t="str" cm="1">
        <f t="array" ref="O215" xml:space="preserve"> _xlfn.IFS(A215 &lt;ASSUMPTIONS!$D$2,"25",A215 &lt;= ASSUMPTIONS!$D$3,"25-34",A215 &lt;= ASSUMPTIONS!$D$4, "35-44",A215 &lt;= ASSUMPTIONS!$D$5,"45-54",TRUE,"55+")</f>
        <v>45-54</v>
      </c>
      <c r="P215" t="str" cm="1">
        <f t="array" ref="P215">_xlfn.IFS( J215 &lt;ASSUMPTIONS!$D$7,"LOW",J215 &lt;= ASSUMPTIONS!$D$8,"MEDIUM",TRUE, "HIGH")</f>
        <v>HIGH</v>
      </c>
      <c r="Q215" t="str">
        <f>IF(M215&lt;ASSUMPTIONS!$D$10,"New (0-2)",IF(M215&lt;=ASSUMPTIONS!$D$11,"Early (2-5)",IF(M215&lt;=ASSUMPTIONS!$D$12,"Established (5-10)","Veteran (10+)")))</f>
        <v>Established (5-10)</v>
      </c>
      <c r="R215" s="4">
        <f t="shared" si="7"/>
        <v>1.6666666666666667</v>
      </c>
    </row>
    <row r="216" spans="1:18">
      <c r="A216">
        <f>RAW_DATA!A216</f>
        <v>30</v>
      </c>
      <c r="B216" t="str">
        <f>RAW_DATA!B216</f>
        <v>Yes</v>
      </c>
      <c r="C216" t="str">
        <f>RAW_DATA!C216</f>
        <v>Research &amp; Development</v>
      </c>
      <c r="D216">
        <f>RAW_DATA!D216</f>
        <v>3</v>
      </c>
      <c r="E216">
        <f>RAW_DATA!E216</f>
        <v>3</v>
      </c>
      <c r="F216" t="str">
        <f>RAW_DATA!F216</f>
        <v>Technical Degree</v>
      </c>
      <c r="G216">
        <f>RAW_DATA!G216</f>
        <v>4</v>
      </c>
      <c r="H216">
        <f>RAW_DATA!H216</f>
        <v>1</v>
      </c>
      <c r="I216" t="str">
        <f>RAW_DATA!I216</f>
        <v>Single</v>
      </c>
      <c r="J216">
        <f>RAW_DATA!J216</f>
        <v>2657</v>
      </c>
      <c r="K216">
        <f>RAW_DATA!K216</f>
        <v>5</v>
      </c>
      <c r="L216">
        <f>RAW_DATA!L216</f>
        <v>3</v>
      </c>
      <c r="M216">
        <f>RAW_DATA!M216</f>
        <v>5</v>
      </c>
      <c r="N216">
        <f t="shared" si="6"/>
        <v>1</v>
      </c>
      <c r="O216" t="str" cm="1">
        <f t="array" ref="O216" xml:space="preserve"> _xlfn.IFS(A216 &lt;ASSUMPTIONS!$D$2,"25",A216 &lt;= ASSUMPTIONS!$D$3,"25-34",A216 &lt;= ASSUMPTIONS!$D$4, "35-44",A216 &lt;= ASSUMPTIONS!$D$5,"45-54",TRUE,"55+")</f>
        <v>25-34</v>
      </c>
      <c r="P216" t="str" cm="1">
        <f t="array" ref="P216">_xlfn.IFS( J216 &lt;ASSUMPTIONS!$D$7,"LOW",J216 &lt;= ASSUMPTIONS!$D$8,"MEDIUM",TRUE, "HIGH")</f>
        <v>LOW</v>
      </c>
      <c r="Q216" t="str">
        <f>IF(M216&lt;ASSUMPTIONS!$D$10,"New (0-2)",IF(M216&lt;=ASSUMPTIONS!$D$11,"Early (2-5)",IF(M216&lt;=ASSUMPTIONS!$D$12,"Established (5-10)","Veteran (10+)")))</f>
        <v>Early (2-5)</v>
      </c>
      <c r="R216" s="4">
        <f t="shared" si="7"/>
        <v>2.6666666666666665</v>
      </c>
    </row>
    <row r="217" spans="1:18">
      <c r="A217">
        <f>RAW_DATA!A217</f>
        <v>41</v>
      </c>
      <c r="B217" t="str">
        <f>RAW_DATA!B217</f>
        <v>No</v>
      </c>
      <c r="C217" t="str">
        <f>RAW_DATA!C217</f>
        <v>Sales</v>
      </c>
      <c r="D217">
        <f>RAW_DATA!D217</f>
        <v>6</v>
      </c>
      <c r="E217">
        <f>RAW_DATA!E217</f>
        <v>3</v>
      </c>
      <c r="F217" t="str">
        <f>RAW_DATA!F217</f>
        <v>Life Sciences</v>
      </c>
      <c r="G217">
        <f>RAW_DATA!G217</f>
        <v>4</v>
      </c>
      <c r="H217">
        <f>RAW_DATA!H217</f>
        <v>4</v>
      </c>
      <c r="I217" t="str">
        <f>RAW_DATA!I217</f>
        <v>Single</v>
      </c>
      <c r="J217">
        <f>RAW_DATA!J217</f>
        <v>13591</v>
      </c>
      <c r="K217">
        <f>RAW_DATA!K217</f>
        <v>3</v>
      </c>
      <c r="L217">
        <f>RAW_DATA!L217</f>
        <v>3</v>
      </c>
      <c r="M217">
        <f>RAW_DATA!M217</f>
        <v>1</v>
      </c>
      <c r="N217">
        <f t="shared" si="6"/>
        <v>0</v>
      </c>
      <c r="O217" t="str" cm="1">
        <f t="array" ref="O217" xml:space="preserve"> _xlfn.IFS(A217 &lt;ASSUMPTIONS!$D$2,"25",A217 &lt;= ASSUMPTIONS!$D$3,"25-34",A217 &lt;= ASSUMPTIONS!$D$4, "35-44",A217 &lt;= ASSUMPTIONS!$D$5,"45-54",TRUE,"55+")</f>
        <v>35-44</v>
      </c>
      <c r="P217" t="str" cm="1">
        <f t="array" ref="P217">_xlfn.IFS( J217 &lt;ASSUMPTIONS!$D$7,"LOW",J217 &lt;= ASSUMPTIONS!$D$8,"MEDIUM",TRUE, "HIGH")</f>
        <v>HIGH</v>
      </c>
      <c r="Q217" t="str">
        <f>IF(M217&lt;ASSUMPTIONS!$D$10,"New (0-2)",IF(M217&lt;=ASSUMPTIONS!$D$11,"Early (2-5)",IF(M217&lt;=ASSUMPTIONS!$D$12,"Established (5-10)","Veteran (10+)")))</f>
        <v>New (0-2)</v>
      </c>
      <c r="R217" s="4">
        <f t="shared" si="7"/>
        <v>3.6666666666666665</v>
      </c>
    </row>
    <row r="218" spans="1:18">
      <c r="A218">
        <f>RAW_DATA!A218</f>
        <v>30</v>
      </c>
      <c r="B218" t="str">
        <f>RAW_DATA!B218</f>
        <v>Yes</v>
      </c>
      <c r="C218" t="str">
        <f>RAW_DATA!C218</f>
        <v>Sales</v>
      </c>
      <c r="D218">
        <f>RAW_DATA!D218</f>
        <v>26</v>
      </c>
      <c r="E218">
        <f>RAW_DATA!E218</f>
        <v>4</v>
      </c>
      <c r="F218" t="str">
        <f>RAW_DATA!F218</f>
        <v>Marketing</v>
      </c>
      <c r="G218">
        <f>RAW_DATA!G218</f>
        <v>3</v>
      </c>
      <c r="H218">
        <f>RAW_DATA!H218</f>
        <v>1</v>
      </c>
      <c r="I218" t="str">
        <f>RAW_DATA!I218</f>
        <v>Single</v>
      </c>
      <c r="J218">
        <f>RAW_DATA!J218</f>
        <v>6696</v>
      </c>
      <c r="K218">
        <f>RAW_DATA!K218</f>
        <v>5</v>
      </c>
      <c r="L218">
        <f>RAW_DATA!L218</f>
        <v>2</v>
      </c>
      <c r="M218">
        <f>RAW_DATA!M218</f>
        <v>6</v>
      </c>
      <c r="N218">
        <f t="shared" si="6"/>
        <v>1</v>
      </c>
      <c r="O218" t="str" cm="1">
        <f t="array" ref="O218" xml:space="preserve"> _xlfn.IFS(A218 &lt;ASSUMPTIONS!$D$2,"25",A218 &lt;= ASSUMPTIONS!$D$3,"25-34",A218 &lt;= ASSUMPTIONS!$D$4, "35-44",A218 &lt;= ASSUMPTIONS!$D$5,"45-54",TRUE,"55+")</f>
        <v>25-34</v>
      </c>
      <c r="P218" t="str" cm="1">
        <f t="array" ref="P218">_xlfn.IFS( J218 &lt;ASSUMPTIONS!$D$7,"LOW",J218 &lt;= ASSUMPTIONS!$D$8,"MEDIUM",TRUE, "HIGH")</f>
        <v>MEDIUM</v>
      </c>
      <c r="Q218" t="str">
        <f>IF(M218&lt;ASSUMPTIONS!$D$10,"New (0-2)",IF(M218&lt;=ASSUMPTIONS!$D$11,"Early (2-5)",IF(M218&lt;=ASSUMPTIONS!$D$12,"Established (5-10)","Veteran (10+)")))</f>
        <v>Established (5-10)</v>
      </c>
      <c r="R218" s="4">
        <f t="shared" si="7"/>
        <v>2</v>
      </c>
    </row>
    <row r="219" spans="1:18">
      <c r="A219">
        <f>RAW_DATA!A219</f>
        <v>29</v>
      </c>
      <c r="B219" t="str">
        <f>RAW_DATA!B219</f>
        <v>Yes</v>
      </c>
      <c r="C219" t="str">
        <f>RAW_DATA!C219</f>
        <v>Research &amp; Development</v>
      </c>
      <c r="D219">
        <f>RAW_DATA!D219</f>
        <v>1</v>
      </c>
      <c r="E219">
        <f>RAW_DATA!E219</f>
        <v>3</v>
      </c>
      <c r="F219" t="str">
        <f>RAW_DATA!F219</f>
        <v>Technical Degree</v>
      </c>
      <c r="G219">
        <f>RAW_DATA!G219</f>
        <v>3</v>
      </c>
      <c r="H219">
        <f>RAW_DATA!H219</f>
        <v>3</v>
      </c>
      <c r="I219" t="str">
        <f>RAW_DATA!I219</f>
        <v>Single</v>
      </c>
      <c r="J219">
        <f>RAW_DATA!J219</f>
        <v>2058</v>
      </c>
      <c r="K219">
        <f>RAW_DATA!K219</f>
        <v>0</v>
      </c>
      <c r="L219">
        <f>RAW_DATA!L219</f>
        <v>2</v>
      </c>
      <c r="M219">
        <f>RAW_DATA!M219</f>
        <v>6</v>
      </c>
      <c r="N219">
        <f t="shared" si="6"/>
        <v>1</v>
      </c>
      <c r="O219" t="str" cm="1">
        <f t="array" ref="O219" xml:space="preserve"> _xlfn.IFS(A219 &lt;ASSUMPTIONS!$D$2,"25",A219 &lt;= ASSUMPTIONS!$D$3,"25-34",A219 &lt;= ASSUMPTIONS!$D$4, "35-44",A219 &lt;= ASSUMPTIONS!$D$5,"45-54",TRUE,"55+")</f>
        <v>25-34</v>
      </c>
      <c r="P219" t="str" cm="1">
        <f t="array" ref="P219">_xlfn.IFS( J219 &lt;ASSUMPTIONS!$D$7,"LOW",J219 &lt;= ASSUMPTIONS!$D$8,"MEDIUM",TRUE, "HIGH")</f>
        <v>LOW</v>
      </c>
      <c r="Q219" t="str">
        <f>IF(M219&lt;ASSUMPTIONS!$D$10,"New (0-2)",IF(M219&lt;=ASSUMPTIONS!$D$11,"Early (2-5)",IF(M219&lt;=ASSUMPTIONS!$D$12,"Established (5-10)","Veteran (10+)")))</f>
        <v>Established (5-10)</v>
      </c>
      <c r="R219" s="4">
        <f t="shared" si="7"/>
        <v>2.6666666666666665</v>
      </c>
    </row>
    <row r="220" spans="1:18">
      <c r="A220">
        <f>RAW_DATA!A220</f>
        <v>45</v>
      </c>
      <c r="B220" t="str">
        <f>RAW_DATA!B220</f>
        <v>No</v>
      </c>
      <c r="C220" t="str">
        <f>RAW_DATA!C220</f>
        <v>Sales</v>
      </c>
      <c r="D220">
        <f>RAW_DATA!D220</f>
        <v>6</v>
      </c>
      <c r="E220">
        <f>RAW_DATA!E220</f>
        <v>3</v>
      </c>
      <c r="F220" t="str">
        <f>RAW_DATA!F220</f>
        <v>Medical</v>
      </c>
      <c r="G220">
        <f>RAW_DATA!G220</f>
        <v>4</v>
      </c>
      <c r="H220">
        <f>RAW_DATA!H220</f>
        <v>4</v>
      </c>
      <c r="I220" t="str">
        <f>RAW_DATA!I220</f>
        <v>Single</v>
      </c>
      <c r="J220">
        <f>RAW_DATA!J220</f>
        <v>8865</v>
      </c>
      <c r="K220">
        <f>RAW_DATA!K220</f>
        <v>6</v>
      </c>
      <c r="L220">
        <f>RAW_DATA!L220</f>
        <v>3</v>
      </c>
      <c r="M220">
        <f>RAW_DATA!M220</f>
        <v>19</v>
      </c>
      <c r="N220">
        <f t="shared" si="6"/>
        <v>0</v>
      </c>
      <c r="O220" t="str" cm="1">
        <f t="array" ref="O220" xml:space="preserve"> _xlfn.IFS(A220 &lt;ASSUMPTIONS!$D$2,"25",A220 &lt;= ASSUMPTIONS!$D$3,"25-34",A220 &lt;= ASSUMPTIONS!$D$4, "35-44",A220 &lt;= ASSUMPTIONS!$D$5,"45-54",TRUE,"55+")</f>
        <v>45-54</v>
      </c>
      <c r="P220" t="str" cm="1">
        <f t="array" ref="P220">_xlfn.IFS( J220 &lt;ASSUMPTIONS!$D$7,"LOW",J220 &lt;= ASSUMPTIONS!$D$8,"MEDIUM",TRUE, "HIGH")</f>
        <v>HIGH</v>
      </c>
      <c r="Q220" t="str">
        <f>IF(M220&lt;ASSUMPTIONS!$D$10,"New (0-2)",IF(M220&lt;=ASSUMPTIONS!$D$11,"Early (2-5)",IF(M220&lt;=ASSUMPTIONS!$D$12,"Established (5-10)","Veteran (10+)")))</f>
        <v>Veteran (10+)</v>
      </c>
      <c r="R220" s="4">
        <f t="shared" si="7"/>
        <v>3.6666666666666665</v>
      </c>
    </row>
    <row r="221" spans="1:18">
      <c r="A221">
        <f>RAW_DATA!A221</f>
        <v>54</v>
      </c>
      <c r="B221" t="str">
        <f>RAW_DATA!B221</f>
        <v>No</v>
      </c>
      <c r="C221" t="str">
        <f>RAW_DATA!C221</f>
        <v>Sales</v>
      </c>
      <c r="D221">
        <f>RAW_DATA!D221</f>
        <v>3</v>
      </c>
      <c r="E221">
        <f>RAW_DATA!E221</f>
        <v>3</v>
      </c>
      <c r="F221" t="str">
        <f>RAW_DATA!F221</f>
        <v>Marketing</v>
      </c>
      <c r="G221">
        <f>RAW_DATA!G221</f>
        <v>4</v>
      </c>
      <c r="H221">
        <f>RAW_DATA!H221</f>
        <v>1</v>
      </c>
      <c r="I221" t="str">
        <f>RAW_DATA!I221</f>
        <v>Married</v>
      </c>
      <c r="J221">
        <f>RAW_DATA!J221</f>
        <v>5940</v>
      </c>
      <c r="K221">
        <f>RAW_DATA!K221</f>
        <v>2</v>
      </c>
      <c r="L221">
        <f>RAW_DATA!L221</f>
        <v>3</v>
      </c>
      <c r="M221">
        <f>RAW_DATA!M221</f>
        <v>6</v>
      </c>
      <c r="N221">
        <f t="shared" si="6"/>
        <v>0</v>
      </c>
      <c r="O221" t="str" cm="1">
        <f t="array" ref="O221" xml:space="preserve"> _xlfn.IFS(A221 &lt;ASSUMPTIONS!$D$2,"25",A221 &lt;= ASSUMPTIONS!$D$3,"25-34",A221 &lt;= ASSUMPTIONS!$D$4, "35-44",A221 &lt;= ASSUMPTIONS!$D$5,"45-54",TRUE,"55+")</f>
        <v>45-54</v>
      </c>
      <c r="P221" t="str" cm="1">
        <f t="array" ref="P221">_xlfn.IFS( J221 &lt;ASSUMPTIONS!$D$7,"LOW",J221 &lt;= ASSUMPTIONS!$D$8,"MEDIUM",TRUE, "HIGH")</f>
        <v>MEDIUM</v>
      </c>
      <c r="Q221" t="str">
        <f>IF(M221&lt;ASSUMPTIONS!$D$10,"New (0-2)",IF(M221&lt;=ASSUMPTIONS!$D$11,"Early (2-5)",IF(M221&lt;=ASSUMPTIONS!$D$12,"Established (5-10)","Veteran (10+)")))</f>
        <v>Established (5-10)</v>
      </c>
      <c r="R221" s="4">
        <f t="shared" si="7"/>
        <v>2.6666666666666665</v>
      </c>
    </row>
    <row r="222" spans="1:18">
      <c r="A222">
        <f>RAW_DATA!A222</f>
        <v>36</v>
      </c>
      <c r="B222" t="str">
        <f>RAW_DATA!B222</f>
        <v>No</v>
      </c>
      <c r="C222" t="str">
        <f>RAW_DATA!C222</f>
        <v>Research &amp; Development</v>
      </c>
      <c r="D222">
        <f>RAW_DATA!D222</f>
        <v>5</v>
      </c>
      <c r="E222">
        <f>RAW_DATA!E222</f>
        <v>2</v>
      </c>
      <c r="F222" t="str">
        <f>RAW_DATA!F222</f>
        <v>Life Sciences</v>
      </c>
      <c r="G222">
        <f>RAW_DATA!G222</f>
        <v>4</v>
      </c>
      <c r="H222">
        <f>RAW_DATA!H222</f>
        <v>2</v>
      </c>
      <c r="I222" t="str">
        <f>RAW_DATA!I222</f>
        <v>Single</v>
      </c>
      <c r="J222">
        <f>RAW_DATA!J222</f>
        <v>5914</v>
      </c>
      <c r="K222">
        <f>RAW_DATA!K222</f>
        <v>8</v>
      </c>
      <c r="L222">
        <f>RAW_DATA!L222</f>
        <v>4</v>
      </c>
      <c r="M222">
        <f>RAW_DATA!M222</f>
        <v>13</v>
      </c>
      <c r="N222">
        <f t="shared" si="6"/>
        <v>0</v>
      </c>
      <c r="O222" t="str" cm="1">
        <f t="array" ref="O222" xml:space="preserve"> _xlfn.IFS(A222 &lt;ASSUMPTIONS!$D$2,"25",A222 &lt;= ASSUMPTIONS!$D$3,"25-34",A222 &lt;= ASSUMPTIONS!$D$4, "35-44",A222 &lt;= ASSUMPTIONS!$D$5,"45-54",TRUE,"55+")</f>
        <v>35-44</v>
      </c>
      <c r="P222" t="str" cm="1">
        <f t="array" ref="P222">_xlfn.IFS( J222 &lt;ASSUMPTIONS!$D$7,"LOW",J222 &lt;= ASSUMPTIONS!$D$8,"MEDIUM",TRUE, "HIGH")</f>
        <v>MEDIUM</v>
      </c>
      <c r="Q222" t="str">
        <f>IF(M222&lt;ASSUMPTIONS!$D$10,"New (0-2)",IF(M222&lt;=ASSUMPTIONS!$D$11,"Early (2-5)",IF(M222&lt;=ASSUMPTIONS!$D$12,"Established (5-10)","Veteran (10+)")))</f>
        <v>Veteran (10+)</v>
      </c>
      <c r="R222" s="4">
        <f t="shared" si="7"/>
        <v>3.3333333333333335</v>
      </c>
    </row>
    <row r="223" spans="1:18">
      <c r="A223">
        <f>RAW_DATA!A223</f>
        <v>33</v>
      </c>
      <c r="B223" t="str">
        <f>RAW_DATA!B223</f>
        <v>No</v>
      </c>
      <c r="C223" t="str">
        <f>RAW_DATA!C223</f>
        <v>Research &amp; Development</v>
      </c>
      <c r="D223">
        <f>RAW_DATA!D223</f>
        <v>4</v>
      </c>
      <c r="E223">
        <f>RAW_DATA!E223</f>
        <v>4</v>
      </c>
      <c r="F223" t="str">
        <f>RAW_DATA!F223</f>
        <v>Medical</v>
      </c>
      <c r="G223">
        <f>RAW_DATA!G223</f>
        <v>3</v>
      </c>
      <c r="H223">
        <f>RAW_DATA!H223</f>
        <v>2</v>
      </c>
      <c r="I223" t="str">
        <f>RAW_DATA!I223</f>
        <v>Married</v>
      </c>
      <c r="J223">
        <f>RAW_DATA!J223</f>
        <v>2622</v>
      </c>
      <c r="K223">
        <f>RAW_DATA!K223</f>
        <v>6</v>
      </c>
      <c r="L223">
        <f>RAW_DATA!L223</f>
        <v>3</v>
      </c>
      <c r="M223">
        <f>RAW_DATA!M223</f>
        <v>3</v>
      </c>
      <c r="N223">
        <f t="shared" si="6"/>
        <v>0</v>
      </c>
      <c r="O223" t="str" cm="1">
        <f t="array" ref="O223" xml:space="preserve"> _xlfn.IFS(A223 &lt;ASSUMPTIONS!$D$2,"25",A223 &lt;= ASSUMPTIONS!$D$3,"25-34",A223 &lt;= ASSUMPTIONS!$D$4, "35-44",A223 &lt;= ASSUMPTIONS!$D$5,"45-54",TRUE,"55+")</f>
        <v>25-34</v>
      </c>
      <c r="P223" t="str" cm="1">
        <f t="array" ref="P223">_xlfn.IFS( J223 &lt;ASSUMPTIONS!$D$7,"LOW",J223 &lt;= ASSUMPTIONS!$D$8,"MEDIUM",TRUE, "HIGH")</f>
        <v>LOW</v>
      </c>
      <c r="Q223" t="str">
        <f>IF(M223&lt;ASSUMPTIONS!$D$10,"New (0-2)",IF(M223&lt;=ASSUMPTIONS!$D$11,"Early (2-5)",IF(M223&lt;=ASSUMPTIONS!$D$12,"Established (5-10)","Veteran (10+)")))</f>
        <v>Early (2-5)</v>
      </c>
      <c r="R223" s="4">
        <f t="shared" si="7"/>
        <v>2.6666666666666665</v>
      </c>
    </row>
    <row r="224" spans="1:18">
      <c r="A224">
        <f>RAW_DATA!A224</f>
        <v>37</v>
      </c>
      <c r="B224" t="str">
        <f>RAW_DATA!B224</f>
        <v>No</v>
      </c>
      <c r="C224" t="str">
        <f>RAW_DATA!C224</f>
        <v>Research &amp; Development</v>
      </c>
      <c r="D224">
        <f>RAW_DATA!D224</f>
        <v>11</v>
      </c>
      <c r="E224">
        <f>RAW_DATA!E224</f>
        <v>3</v>
      </c>
      <c r="F224" t="str">
        <f>RAW_DATA!F224</f>
        <v>Other</v>
      </c>
      <c r="G224">
        <f>RAW_DATA!G224</f>
        <v>2</v>
      </c>
      <c r="H224">
        <f>RAW_DATA!H224</f>
        <v>4</v>
      </c>
      <c r="I224" t="str">
        <f>RAW_DATA!I224</f>
        <v>Divorced</v>
      </c>
      <c r="J224">
        <f>RAW_DATA!J224</f>
        <v>12185</v>
      </c>
      <c r="K224">
        <f>RAW_DATA!K224</f>
        <v>1</v>
      </c>
      <c r="L224">
        <f>RAW_DATA!L224</f>
        <v>3</v>
      </c>
      <c r="M224">
        <f>RAW_DATA!M224</f>
        <v>10</v>
      </c>
      <c r="N224">
        <f t="shared" si="6"/>
        <v>0</v>
      </c>
      <c r="O224" t="str" cm="1">
        <f t="array" ref="O224" xml:space="preserve"> _xlfn.IFS(A224 &lt;ASSUMPTIONS!$D$2,"25",A224 &lt;= ASSUMPTIONS!$D$3,"25-34",A224 &lt;= ASSUMPTIONS!$D$4, "35-44",A224 &lt;= ASSUMPTIONS!$D$5,"45-54",TRUE,"55+")</f>
        <v>35-44</v>
      </c>
      <c r="P224" t="str" cm="1">
        <f t="array" ref="P224">_xlfn.IFS( J224 &lt;ASSUMPTIONS!$D$7,"LOW",J224 &lt;= ASSUMPTIONS!$D$8,"MEDIUM",TRUE, "HIGH")</f>
        <v>HIGH</v>
      </c>
      <c r="Q224" t="str">
        <f>IF(M224&lt;ASSUMPTIONS!$D$10,"New (0-2)",IF(M224&lt;=ASSUMPTIONS!$D$11,"Early (2-5)",IF(M224&lt;=ASSUMPTIONS!$D$12,"Established (5-10)","Veteran (10+)")))</f>
        <v>Established (5-10)</v>
      </c>
      <c r="R224" s="4">
        <f t="shared" si="7"/>
        <v>3</v>
      </c>
    </row>
    <row r="225" spans="1:18">
      <c r="A225">
        <f>RAW_DATA!A225</f>
        <v>38</v>
      </c>
      <c r="B225" t="str">
        <f>RAW_DATA!B225</f>
        <v>No</v>
      </c>
      <c r="C225" t="str">
        <f>RAW_DATA!C225</f>
        <v>Sales</v>
      </c>
      <c r="D225">
        <f>RAW_DATA!D225</f>
        <v>3</v>
      </c>
      <c r="E225">
        <f>RAW_DATA!E225</f>
        <v>3</v>
      </c>
      <c r="F225" t="str">
        <f>RAW_DATA!F225</f>
        <v>Life Sciences</v>
      </c>
      <c r="G225">
        <f>RAW_DATA!G225</f>
        <v>1</v>
      </c>
      <c r="H225">
        <f>RAW_DATA!H225</f>
        <v>3</v>
      </c>
      <c r="I225" t="str">
        <f>RAW_DATA!I225</f>
        <v>Divorced</v>
      </c>
      <c r="J225">
        <f>RAW_DATA!J225</f>
        <v>10609</v>
      </c>
      <c r="K225">
        <f>RAW_DATA!K225</f>
        <v>0</v>
      </c>
      <c r="L225">
        <f>RAW_DATA!L225</f>
        <v>2</v>
      </c>
      <c r="M225">
        <f>RAW_DATA!M225</f>
        <v>16</v>
      </c>
      <c r="N225">
        <f t="shared" si="6"/>
        <v>0</v>
      </c>
      <c r="O225" t="str" cm="1">
        <f t="array" ref="O225" xml:space="preserve"> _xlfn.IFS(A225 &lt;ASSUMPTIONS!$D$2,"25",A225 &lt;= ASSUMPTIONS!$D$3,"25-34",A225 &lt;= ASSUMPTIONS!$D$4, "35-44",A225 &lt;= ASSUMPTIONS!$D$5,"45-54",TRUE,"55+")</f>
        <v>35-44</v>
      </c>
      <c r="P225" t="str" cm="1">
        <f t="array" ref="P225">_xlfn.IFS( J225 &lt;ASSUMPTIONS!$D$7,"LOW",J225 &lt;= ASSUMPTIONS!$D$8,"MEDIUM",TRUE, "HIGH")</f>
        <v>HIGH</v>
      </c>
      <c r="Q225" t="str">
        <f>IF(M225&lt;ASSUMPTIONS!$D$10,"New (0-2)",IF(M225&lt;=ASSUMPTIONS!$D$11,"Early (2-5)",IF(M225&lt;=ASSUMPTIONS!$D$12,"Established (5-10)","Veteran (10+)")))</f>
        <v>Veteran (10+)</v>
      </c>
      <c r="R225" s="4">
        <f t="shared" si="7"/>
        <v>2</v>
      </c>
    </row>
    <row r="226" spans="1:18">
      <c r="A226">
        <f>RAW_DATA!A226</f>
        <v>31</v>
      </c>
      <c r="B226" t="str">
        <f>RAW_DATA!B226</f>
        <v>No</v>
      </c>
      <c r="C226" t="str">
        <f>RAW_DATA!C226</f>
        <v>Research &amp; Development</v>
      </c>
      <c r="D226">
        <f>RAW_DATA!D226</f>
        <v>1</v>
      </c>
      <c r="E226">
        <f>RAW_DATA!E226</f>
        <v>4</v>
      </c>
      <c r="F226" t="str">
        <f>RAW_DATA!F226</f>
        <v>Medical</v>
      </c>
      <c r="G226">
        <f>RAW_DATA!G226</f>
        <v>3</v>
      </c>
      <c r="H226">
        <f>RAW_DATA!H226</f>
        <v>3</v>
      </c>
      <c r="I226" t="str">
        <f>RAW_DATA!I226</f>
        <v>Married</v>
      </c>
      <c r="J226">
        <f>RAW_DATA!J226</f>
        <v>4345</v>
      </c>
      <c r="K226">
        <f>RAW_DATA!K226</f>
        <v>0</v>
      </c>
      <c r="L226">
        <f>RAW_DATA!L226</f>
        <v>3</v>
      </c>
      <c r="M226">
        <f>RAW_DATA!M226</f>
        <v>5</v>
      </c>
      <c r="N226">
        <f t="shared" si="6"/>
        <v>0</v>
      </c>
      <c r="O226" t="str" cm="1">
        <f t="array" ref="O226" xml:space="preserve"> _xlfn.IFS(A226 &lt;ASSUMPTIONS!$D$2,"25",A226 &lt;= ASSUMPTIONS!$D$3,"25-34",A226 &lt;= ASSUMPTIONS!$D$4, "35-44",A226 &lt;= ASSUMPTIONS!$D$5,"45-54",TRUE,"55+")</f>
        <v>25-34</v>
      </c>
      <c r="P226" t="str" cm="1">
        <f t="array" ref="P226">_xlfn.IFS( J226 &lt;ASSUMPTIONS!$D$7,"LOW",J226 &lt;= ASSUMPTIONS!$D$8,"MEDIUM",TRUE, "HIGH")</f>
        <v>MEDIUM</v>
      </c>
      <c r="Q226" t="str">
        <f>IF(M226&lt;ASSUMPTIONS!$D$10,"New (0-2)",IF(M226&lt;=ASSUMPTIONS!$D$11,"Early (2-5)",IF(M226&lt;=ASSUMPTIONS!$D$12,"Established (5-10)","Veteran (10+)")))</f>
        <v>Early (2-5)</v>
      </c>
      <c r="R226" s="4">
        <f t="shared" si="7"/>
        <v>3</v>
      </c>
    </row>
    <row r="227" spans="1:18">
      <c r="A227">
        <f>RAW_DATA!A227</f>
        <v>59</v>
      </c>
      <c r="B227" t="str">
        <f>RAW_DATA!B227</f>
        <v>No</v>
      </c>
      <c r="C227" t="str">
        <f>RAW_DATA!C227</f>
        <v>Research &amp; Development</v>
      </c>
      <c r="D227">
        <f>RAW_DATA!D227</f>
        <v>3</v>
      </c>
      <c r="E227">
        <f>RAW_DATA!E227</f>
        <v>3</v>
      </c>
      <c r="F227" t="str">
        <f>RAW_DATA!F227</f>
        <v>Life Sciences</v>
      </c>
      <c r="G227">
        <f>RAW_DATA!G227</f>
        <v>3</v>
      </c>
      <c r="H227">
        <f>RAW_DATA!H227</f>
        <v>4</v>
      </c>
      <c r="I227" t="str">
        <f>RAW_DATA!I227</f>
        <v>Married</v>
      </c>
      <c r="J227">
        <f>RAW_DATA!J227</f>
        <v>2177</v>
      </c>
      <c r="K227">
        <f>RAW_DATA!K227</f>
        <v>3</v>
      </c>
      <c r="L227">
        <f>RAW_DATA!L227</f>
        <v>3</v>
      </c>
      <c r="M227">
        <f>RAW_DATA!M227</f>
        <v>1</v>
      </c>
      <c r="N227">
        <f t="shared" si="6"/>
        <v>0</v>
      </c>
      <c r="O227" t="str" cm="1">
        <f t="array" ref="O227" xml:space="preserve"> _xlfn.IFS(A227 &lt;ASSUMPTIONS!$D$2,"25",A227 &lt;= ASSUMPTIONS!$D$3,"25-34",A227 &lt;= ASSUMPTIONS!$D$4, "35-44",A227 &lt;= ASSUMPTIONS!$D$5,"45-54",TRUE,"55+")</f>
        <v>55+</v>
      </c>
      <c r="P227" t="str" cm="1">
        <f t="array" ref="P227">_xlfn.IFS( J227 &lt;ASSUMPTIONS!$D$7,"LOW",J227 &lt;= ASSUMPTIONS!$D$8,"MEDIUM",TRUE, "HIGH")</f>
        <v>LOW</v>
      </c>
      <c r="Q227" t="str">
        <f>IF(M227&lt;ASSUMPTIONS!$D$10,"New (0-2)",IF(M227&lt;=ASSUMPTIONS!$D$11,"Early (2-5)",IF(M227&lt;=ASSUMPTIONS!$D$12,"Established (5-10)","Veteran (10+)")))</f>
        <v>New (0-2)</v>
      </c>
      <c r="R227" s="4">
        <f t="shared" si="7"/>
        <v>3.3333333333333335</v>
      </c>
    </row>
    <row r="228" spans="1:18">
      <c r="A228">
        <f>RAW_DATA!A228</f>
        <v>37</v>
      </c>
      <c r="B228" t="str">
        <f>RAW_DATA!B228</f>
        <v>No</v>
      </c>
      <c r="C228" t="str">
        <f>RAW_DATA!C228</f>
        <v>Sales</v>
      </c>
      <c r="D228">
        <f>RAW_DATA!D228</f>
        <v>4</v>
      </c>
      <c r="E228">
        <f>RAW_DATA!E228</f>
        <v>4</v>
      </c>
      <c r="F228" t="str">
        <f>RAW_DATA!F228</f>
        <v>Marketing</v>
      </c>
      <c r="G228">
        <f>RAW_DATA!G228</f>
        <v>1</v>
      </c>
      <c r="H228">
        <f>RAW_DATA!H228</f>
        <v>4</v>
      </c>
      <c r="I228" t="str">
        <f>RAW_DATA!I228</f>
        <v>Divorced</v>
      </c>
      <c r="J228">
        <f>RAW_DATA!J228</f>
        <v>2793</v>
      </c>
      <c r="K228">
        <f>RAW_DATA!K228</f>
        <v>4</v>
      </c>
      <c r="L228">
        <f>RAW_DATA!L228</f>
        <v>3</v>
      </c>
      <c r="M228">
        <f>RAW_DATA!M228</f>
        <v>9</v>
      </c>
      <c r="N228">
        <f t="shared" si="6"/>
        <v>0</v>
      </c>
      <c r="O228" t="str" cm="1">
        <f t="array" ref="O228" xml:space="preserve"> _xlfn.IFS(A228 &lt;ASSUMPTIONS!$D$2,"25",A228 &lt;= ASSUMPTIONS!$D$3,"25-34",A228 &lt;= ASSUMPTIONS!$D$4, "35-44",A228 &lt;= ASSUMPTIONS!$D$5,"45-54",TRUE,"55+")</f>
        <v>35-44</v>
      </c>
      <c r="P228" t="str" cm="1">
        <f t="array" ref="P228">_xlfn.IFS( J228 &lt;ASSUMPTIONS!$D$7,"LOW",J228 &lt;= ASSUMPTIONS!$D$8,"MEDIUM",TRUE, "HIGH")</f>
        <v>LOW</v>
      </c>
      <c r="Q228" t="str">
        <f>IF(M228&lt;ASSUMPTIONS!$D$10,"New (0-2)",IF(M228&lt;=ASSUMPTIONS!$D$11,"Early (2-5)",IF(M228&lt;=ASSUMPTIONS!$D$12,"Established (5-10)","Veteran (10+)")))</f>
        <v>Established (5-10)</v>
      </c>
      <c r="R228" s="4">
        <f t="shared" si="7"/>
        <v>2.6666666666666665</v>
      </c>
    </row>
    <row r="229" spans="1:18">
      <c r="A229">
        <f>RAW_DATA!A229</f>
        <v>29</v>
      </c>
      <c r="B229" t="str">
        <f>RAW_DATA!B229</f>
        <v>No</v>
      </c>
      <c r="C229" t="str">
        <f>RAW_DATA!C229</f>
        <v>Sales</v>
      </c>
      <c r="D229">
        <f>RAW_DATA!D229</f>
        <v>1</v>
      </c>
      <c r="E229">
        <f>RAW_DATA!E229</f>
        <v>1</v>
      </c>
      <c r="F229" t="str">
        <f>RAW_DATA!F229</f>
        <v>Medical</v>
      </c>
      <c r="G229">
        <f>RAW_DATA!G229</f>
        <v>2</v>
      </c>
      <c r="H229">
        <f>RAW_DATA!H229</f>
        <v>4</v>
      </c>
      <c r="I229" t="str">
        <f>RAW_DATA!I229</f>
        <v>Married</v>
      </c>
      <c r="J229">
        <f>RAW_DATA!J229</f>
        <v>7918</v>
      </c>
      <c r="K229">
        <f>RAW_DATA!K229</f>
        <v>1</v>
      </c>
      <c r="L229">
        <f>RAW_DATA!L229</f>
        <v>3</v>
      </c>
      <c r="M229">
        <f>RAW_DATA!M229</f>
        <v>11</v>
      </c>
      <c r="N229">
        <f t="shared" si="6"/>
        <v>0</v>
      </c>
      <c r="O229" t="str" cm="1">
        <f t="array" ref="O229" xml:space="preserve"> _xlfn.IFS(A229 &lt;ASSUMPTIONS!$D$2,"25",A229 &lt;= ASSUMPTIONS!$D$3,"25-34",A229 &lt;= ASSUMPTIONS!$D$4, "35-44",A229 &lt;= ASSUMPTIONS!$D$5,"45-54",TRUE,"55+")</f>
        <v>25-34</v>
      </c>
      <c r="P229" t="str" cm="1">
        <f t="array" ref="P229">_xlfn.IFS( J229 &lt;ASSUMPTIONS!$D$7,"LOW",J229 &lt;= ASSUMPTIONS!$D$8,"MEDIUM",TRUE, "HIGH")</f>
        <v>HIGH</v>
      </c>
      <c r="Q229" t="str">
        <f>IF(M229&lt;ASSUMPTIONS!$D$10,"New (0-2)",IF(M229&lt;=ASSUMPTIONS!$D$11,"Early (2-5)",IF(M229&lt;=ASSUMPTIONS!$D$12,"Established (5-10)","Veteran (10+)")))</f>
        <v>Veteran (10+)</v>
      </c>
      <c r="R229" s="4">
        <f t="shared" si="7"/>
        <v>3</v>
      </c>
    </row>
    <row r="230" spans="1:18">
      <c r="A230">
        <f>RAW_DATA!A230</f>
        <v>35</v>
      </c>
      <c r="B230" t="str">
        <f>RAW_DATA!B230</f>
        <v>No</v>
      </c>
      <c r="C230" t="str">
        <f>RAW_DATA!C230</f>
        <v>Sales</v>
      </c>
      <c r="D230">
        <f>RAW_DATA!D230</f>
        <v>1</v>
      </c>
      <c r="E230">
        <f>RAW_DATA!E230</f>
        <v>3</v>
      </c>
      <c r="F230" t="str">
        <f>RAW_DATA!F230</f>
        <v>Marketing</v>
      </c>
      <c r="G230">
        <f>RAW_DATA!G230</f>
        <v>3</v>
      </c>
      <c r="H230">
        <f>RAW_DATA!H230</f>
        <v>3</v>
      </c>
      <c r="I230" t="str">
        <f>RAW_DATA!I230</f>
        <v>Single</v>
      </c>
      <c r="J230">
        <f>RAW_DATA!J230</f>
        <v>8789</v>
      </c>
      <c r="K230">
        <f>RAW_DATA!K230</f>
        <v>1</v>
      </c>
      <c r="L230">
        <f>RAW_DATA!L230</f>
        <v>4</v>
      </c>
      <c r="M230">
        <f>RAW_DATA!M230</f>
        <v>10</v>
      </c>
      <c r="N230">
        <f t="shared" si="6"/>
        <v>0</v>
      </c>
      <c r="O230" t="str" cm="1">
        <f t="array" ref="O230" xml:space="preserve"> _xlfn.IFS(A230 &lt;ASSUMPTIONS!$D$2,"25",A230 &lt;= ASSUMPTIONS!$D$3,"25-34",A230 &lt;= ASSUMPTIONS!$D$4, "35-44",A230 &lt;= ASSUMPTIONS!$D$5,"45-54",TRUE,"55+")</f>
        <v>35-44</v>
      </c>
      <c r="P230" t="str" cm="1">
        <f t="array" ref="P230">_xlfn.IFS( J230 &lt;ASSUMPTIONS!$D$7,"LOW",J230 &lt;= ASSUMPTIONS!$D$8,"MEDIUM",TRUE, "HIGH")</f>
        <v>HIGH</v>
      </c>
      <c r="Q230" t="str">
        <f>IF(M230&lt;ASSUMPTIONS!$D$10,"New (0-2)",IF(M230&lt;=ASSUMPTIONS!$D$11,"Early (2-5)",IF(M230&lt;=ASSUMPTIONS!$D$12,"Established (5-10)","Veteran (10+)")))</f>
        <v>Established (5-10)</v>
      </c>
      <c r="R230" s="4">
        <f t="shared" si="7"/>
        <v>3.3333333333333335</v>
      </c>
    </row>
    <row r="231" spans="1:18">
      <c r="A231">
        <f>RAW_DATA!A231</f>
        <v>29</v>
      </c>
      <c r="B231" t="str">
        <f>RAW_DATA!B231</f>
        <v>Yes</v>
      </c>
      <c r="C231" t="str">
        <f>RAW_DATA!C231</f>
        <v>Research &amp; Development</v>
      </c>
      <c r="D231">
        <f>RAW_DATA!D231</f>
        <v>18</v>
      </c>
      <c r="E231">
        <f>RAW_DATA!E231</f>
        <v>1</v>
      </c>
      <c r="F231" t="str">
        <f>RAW_DATA!F231</f>
        <v>Medical</v>
      </c>
      <c r="G231">
        <f>RAW_DATA!G231</f>
        <v>3</v>
      </c>
      <c r="H231">
        <f>RAW_DATA!H231</f>
        <v>4</v>
      </c>
      <c r="I231" t="str">
        <f>RAW_DATA!I231</f>
        <v>Single</v>
      </c>
      <c r="J231">
        <f>RAW_DATA!J231</f>
        <v>2389</v>
      </c>
      <c r="K231">
        <f>RAW_DATA!K231</f>
        <v>1</v>
      </c>
      <c r="L231">
        <f>RAW_DATA!L231</f>
        <v>2</v>
      </c>
      <c r="M231">
        <f>RAW_DATA!M231</f>
        <v>4</v>
      </c>
      <c r="N231">
        <f t="shared" si="6"/>
        <v>1</v>
      </c>
      <c r="O231" t="str" cm="1">
        <f t="array" ref="O231" xml:space="preserve"> _xlfn.IFS(A231 &lt;ASSUMPTIONS!$D$2,"25",A231 &lt;= ASSUMPTIONS!$D$3,"25-34",A231 &lt;= ASSUMPTIONS!$D$4, "35-44",A231 &lt;= ASSUMPTIONS!$D$5,"45-54",TRUE,"55+")</f>
        <v>25-34</v>
      </c>
      <c r="P231" t="str" cm="1">
        <f t="array" ref="P231">_xlfn.IFS( J231 &lt;ASSUMPTIONS!$D$7,"LOW",J231 &lt;= ASSUMPTIONS!$D$8,"MEDIUM",TRUE, "HIGH")</f>
        <v>LOW</v>
      </c>
      <c r="Q231" t="str">
        <f>IF(M231&lt;ASSUMPTIONS!$D$10,"New (0-2)",IF(M231&lt;=ASSUMPTIONS!$D$11,"Early (2-5)",IF(M231&lt;=ASSUMPTIONS!$D$12,"Established (5-10)","Veteran (10+)")))</f>
        <v>Early (2-5)</v>
      </c>
      <c r="R231" s="4">
        <f t="shared" si="7"/>
        <v>3</v>
      </c>
    </row>
    <row r="232" spans="1:18">
      <c r="A232">
        <f>RAW_DATA!A232</f>
        <v>52</v>
      </c>
      <c r="B232" t="str">
        <f>RAW_DATA!B232</f>
        <v>No</v>
      </c>
      <c r="C232" t="str">
        <f>RAW_DATA!C232</f>
        <v>Research &amp; Development</v>
      </c>
      <c r="D232">
        <f>RAW_DATA!D232</f>
        <v>2</v>
      </c>
      <c r="E232">
        <f>RAW_DATA!E232</f>
        <v>3</v>
      </c>
      <c r="F232" t="str">
        <f>RAW_DATA!F232</f>
        <v>Life Sciences</v>
      </c>
      <c r="G232">
        <f>RAW_DATA!G232</f>
        <v>3</v>
      </c>
      <c r="H232">
        <f>RAW_DATA!H232</f>
        <v>4</v>
      </c>
      <c r="I232" t="str">
        <f>RAW_DATA!I232</f>
        <v>Single</v>
      </c>
      <c r="J232">
        <f>RAW_DATA!J232</f>
        <v>3212</v>
      </c>
      <c r="K232">
        <f>RAW_DATA!K232</f>
        <v>7</v>
      </c>
      <c r="L232">
        <f>RAW_DATA!L232</f>
        <v>2</v>
      </c>
      <c r="M232">
        <f>RAW_DATA!M232</f>
        <v>2</v>
      </c>
      <c r="N232">
        <f t="shared" si="6"/>
        <v>0</v>
      </c>
      <c r="O232" t="str" cm="1">
        <f t="array" ref="O232" xml:space="preserve"> _xlfn.IFS(A232 &lt;ASSUMPTIONS!$D$2,"25",A232 &lt;= ASSUMPTIONS!$D$3,"25-34",A232 &lt;= ASSUMPTIONS!$D$4, "35-44",A232 &lt;= ASSUMPTIONS!$D$5,"45-54",TRUE,"55+")</f>
        <v>45-54</v>
      </c>
      <c r="P232" t="str" cm="1">
        <f t="array" ref="P232">_xlfn.IFS( J232 &lt;ASSUMPTIONS!$D$7,"LOW",J232 &lt;= ASSUMPTIONS!$D$8,"MEDIUM",TRUE, "HIGH")</f>
        <v>MEDIUM</v>
      </c>
      <c r="Q232" t="str">
        <f>IF(M232&lt;ASSUMPTIONS!$D$10,"New (0-2)",IF(M232&lt;=ASSUMPTIONS!$D$11,"Early (2-5)",IF(M232&lt;=ASSUMPTIONS!$D$12,"Established (5-10)","Veteran (10+)")))</f>
        <v>Early (2-5)</v>
      </c>
      <c r="R232" s="4">
        <f t="shared" si="7"/>
        <v>3</v>
      </c>
    </row>
    <row r="233" spans="1:18">
      <c r="A233">
        <f>RAW_DATA!A233</f>
        <v>42</v>
      </c>
      <c r="B233" t="str">
        <f>RAW_DATA!B233</f>
        <v>No</v>
      </c>
      <c r="C233" t="str">
        <f>RAW_DATA!C233</f>
        <v>Research &amp; Development</v>
      </c>
      <c r="D233">
        <f>RAW_DATA!D233</f>
        <v>4</v>
      </c>
      <c r="E233">
        <f>RAW_DATA!E233</f>
        <v>2</v>
      </c>
      <c r="F233" t="str">
        <f>RAW_DATA!F233</f>
        <v>Technical Degree</v>
      </c>
      <c r="G233">
        <f>RAW_DATA!G233</f>
        <v>3</v>
      </c>
      <c r="H233">
        <f>RAW_DATA!H233</f>
        <v>4</v>
      </c>
      <c r="I233" t="str">
        <f>RAW_DATA!I233</f>
        <v>Married</v>
      </c>
      <c r="J233">
        <f>RAW_DATA!J233</f>
        <v>19232</v>
      </c>
      <c r="K233">
        <f>RAW_DATA!K233</f>
        <v>1</v>
      </c>
      <c r="L233">
        <f>RAW_DATA!L233</f>
        <v>3</v>
      </c>
      <c r="M233">
        <f>RAW_DATA!M233</f>
        <v>22</v>
      </c>
      <c r="N233">
        <f t="shared" si="6"/>
        <v>0</v>
      </c>
      <c r="O233" t="str" cm="1">
        <f t="array" ref="O233" xml:space="preserve"> _xlfn.IFS(A233 &lt;ASSUMPTIONS!$D$2,"25",A233 &lt;= ASSUMPTIONS!$D$3,"25-34",A233 &lt;= ASSUMPTIONS!$D$4, "35-44",A233 &lt;= ASSUMPTIONS!$D$5,"45-54",TRUE,"55+")</f>
        <v>35-44</v>
      </c>
      <c r="P233" t="str" cm="1">
        <f t="array" ref="P233">_xlfn.IFS( J233 &lt;ASSUMPTIONS!$D$7,"LOW",J233 &lt;= ASSUMPTIONS!$D$8,"MEDIUM",TRUE, "HIGH")</f>
        <v>HIGH</v>
      </c>
      <c r="Q233" t="str">
        <f>IF(M233&lt;ASSUMPTIONS!$D$10,"New (0-2)",IF(M233&lt;=ASSUMPTIONS!$D$11,"Early (2-5)",IF(M233&lt;=ASSUMPTIONS!$D$12,"Established (5-10)","Veteran (10+)")))</f>
        <v>Veteran (10+)</v>
      </c>
      <c r="R233" s="4">
        <f t="shared" si="7"/>
        <v>3.3333333333333335</v>
      </c>
    </row>
    <row r="234" spans="1:18">
      <c r="A234">
        <f>RAW_DATA!A234</f>
        <v>59</v>
      </c>
      <c r="B234" t="str">
        <f>RAW_DATA!B234</f>
        <v>No</v>
      </c>
      <c r="C234" t="str">
        <f>RAW_DATA!C234</f>
        <v>Human Resources</v>
      </c>
      <c r="D234">
        <f>RAW_DATA!D234</f>
        <v>6</v>
      </c>
      <c r="E234">
        <f>RAW_DATA!E234</f>
        <v>2</v>
      </c>
      <c r="F234" t="str">
        <f>RAW_DATA!F234</f>
        <v>Medical</v>
      </c>
      <c r="G234">
        <f>RAW_DATA!G234</f>
        <v>2</v>
      </c>
      <c r="H234">
        <f>RAW_DATA!H234</f>
        <v>3</v>
      </c>
      <c r="I234" t="str">
        <f>RAW_DATA!I234</f>
        <v>Married</v>
      </c>
      <c r="J234">
        <f>RAW_DATA!J234</f>
        <v>2267</v>
      </c>
      <c r="K234">
        <f>RAW_DATA!K234</f>
        <v>8</v>
      </c>
      <c r="L234">
        <f>RAW_DATA!L234</f>
        <v>2</v>
      </c>
      <c r="M234">
        <f>RAW_DATA!M234</f>
        <v>2</v>
      </c>
      <c r="N234">
        <f t="shared" si="6"/>
        <v>0</v>
      </c>
      <c r="O234" t="str" cm="1">
        <f t="array" ref="O234" xml:space="preserve"> _xlfn.IFS(A234 &lt;ASSUMPTIONS!$D$2,"25",A234 &lt;= ASSUMPTIONS!$D$3,"25-34",A234 &lt;= ASSUMPTIONS!$D$4, "35-44",A234 &lt;= ASSUMPTIONS!$D$5,"45-54",TRUE,"55+")</f>
        <v>55+</v>
      </c>
      <c r="P234" t="str" cm="1">
        <f t="array" ref="P234">_xlfn.IFS( J234 &lt;ASSUMPTIONS!$D$7,"LOW",J234 &lt;= ASSUMPTIONS!$D$8,"MEDIUM",TRUE, "HIGH")</f>
        <v>LOW</v>
      </c>
      <c r="Q234" t="str">
        <f>IF(M234&lt;ASSUMPTIONS!$D$10,"New (0-2)",IF(M234&lt;=ASSUMPTIONS!$D$11,"Early (2-5)",IF(M234&lt;=ASSUMPTIONS!$D$12,"Established (5-10)","Veteran (10+)")))</f>
        <v>Early (2-5)</v>
      </c>
      <c r="R234" s="4">
        <f t="shared" si="7"/>
        <v>2.3333333333333335</v>
      </c>
    </row>
    <row r="235" spans="1:18">
      <c r="A235">
        <f>RAW_DATA!A235</f>
        <v>50</v>
      </c>
      <c r="B235" t="str">
        <f>RAW_DATA!B235</f>
        <v>No</v>
      </c>
      <c r="C235" t="str">
        <f>RAW_DATA!C235</f>
        <v>Sales</v>
      </c>
      <c r="D235">
        <f>RAW_DATA!D235</f>
        <v>1</v>
      </c>
      <c r="E235">
        <f>RAW_DATA!E235</f>
        <v>4</v>
      </c>
      <c r="F235" t="str">
        <f>RAW_DATA!F235</f>
        <v>Medical</v>
      </c>
      <c r="G235">
        <f>RAW_DATA!G235</f>
        <v>4</v>
      </c>
      <c r="H235">
        <f>RAW_DATA!H235</f>
        <v>4</v>
      </c>
      <c r="I235" t="str">
        <f>RAW_DATA!I235</f>
        <v>Divorced</v>
      </c>
      <c r="J235">
        <f>RAW_DATA!J235</f>
        <v>19517</v>
      </c>
      <c r="K235">
        <f>RAW_DATA!K235</f>
        <v>3</v>
      </c>
      <c r="L235">
        <f>RAW_DATA!L235</f>
        <v>2</v>
      </c>
      <c r="M235">
        <f>RAW_DATA!M235</f>
        <v>7</v>
      </c>
      <c r="N235">
        <f t="shared" si="6"/>
        <v>0</v>
      </c>
      <c r="O235" t="str" cm="1">
        <f t="array" ref="O235" xml:space="preserve"> _xlfn.IFS(A235 &lt;ASSUMPTIONS!$D$2,"25",A235 &lt;= ASSUMPTIONS!$D$3,"25-34",A235 &lt;= ASSUMPTIONS!$D$4, "35-44",A235 &lt;= ASSUMPTIONS!$D$5,"45-54",TRUE,"55+")</f>
        <v>45-54</v>
      </c>
      <c r="P235" t="str" cm="1">
        <f t="array" ref="P235">_xlfn.IFS( J235 &lt;ASSUMPTIONS!$D$7,"LOW",J235 &lt;= ASSUMPTIONS!$D$8,"MEDIUM",TRUE, "HIGH")</f>
        <v>HIGH</v>
      </c>
      <c r="Q235" t="str">
        <f>IF(M235&lt;ASSUMPTIONS!$D$10,"New (0-2)",IF(M235&lt;=ASSUMPTIONS!$D$11,"Early (2-5)",IF(M235&lt;=ASSUMPTIONS!$D$12,"Established (5-10)","Veteran (10+)")))</f>
        <v>Established (5-10)</v>
      </c>
      <c r="R235" s="4">
        <f t="shared" si="7"/>
        <v>3.3333333333333335</v>
      </c>
    </row>
    <row r="236" spans="1:18">
      <c r="A236">
        <f>RAW_DATA!A236</f>
        <v>33</v>
      </c>
      <c r="B236" t="str">
        <f>RAW_DATA!B236</f>
        <v>Yes</v>
      </c>
      <c r="C236" t="str">
        <f>RAW_DATA!C236</f>
        <v>Research &amp; Development</v>
      </c>
      <c r="D236">
        <f>RAW_DATA!D236</f>
        <v>14</v>
      </c>
      <c r="E236">
        <f>RAW_DATA!E236</f>
        <v>3</v>
      </c>
      <c r="F236" t="str">
        <f>RAW_DATA!F236</f>
        <v>Medical</v>
      </c>
      <c r="G236">
        <f>RAW_DATA!G236</f>
        <v>3</v>
      </c>
      <c r="H236">
        <f>RAW_DATA!H236</f>
        <v>4</v>
      </c>
      <c r="I236" t="str">
        <f>RAW_DATA!I236</f>
        <v>Married</v>
      </c>
      <c r="J236">
        <f>RAW_DATA!J236</f>
        <v>2436</v>
      </c>
      <c r="K236">
        <f>RAW_DATA!K236</f>
        <v>5</v>
      </c>
      <c r="L236">
        <f>RAW_DATA!L236</f>
        <v>1</v>
      </c>
      <c r="M236">
        <f>RAW_DATA!M236</f>
        <v>5</v>
      </c>
      <c r="N236">
        <f t="shared" si="6"/>
        <v>1</v>
      </c>
      <c r="O236" t="str" cm="1">
        <f t="array" ref="O236" xml:space="preserve"> _xlfn.IFS(A236 &lt;ASSUMPTIONS!$D$2,"25",A236 &lt;= ASSUMPTIONS!$D$3,"25-34",A236 &lt;= ASSUMPTIONS!$D$4, "35-44",A236 &lt;= ASSUMPTIONS!$D$5,"45-54",TRUE,"55+")</f>
        <v>25-34</v>
      </c>
      <c r="P236" t="str" cm="1">
        <f t="array" ref="P236">_xlfn.IFS( J236 &lt;ASSUMPTIONS!$D$7,"LOW",J236 &lt;= ASSUMPTIONS!$D$8,"MEDIUM",TRUE, "HIGH")</f>
        <v>LOW</v>
      </c>
      <c r="Q236" t="str">
        <f>IF(M236&lt;ASSUMPTIONS!$D$10,"New (0-2)",IF(M236&lt;=ASSUMPTIONS!$D$11,"Early (2-5)",IF(M236&lt;=ASSUMPTIONS!$D$12,"Established (5-10)","Veteran (10+)")))</f>
        <v>Early (2-5)</v>
      </c>
      <c r="R236" s="4">
        <f t="shared" si="7"/>
        <v>2.6666666666666665</v>
      </c>
    </row>
    <row r="237" spans="1:18">
      <c r="A237">
        <f>RAW_DATA!A237</f>
        <v>43</v>
      </c>
      <c r="B237" t="str">
        <f>RAW_DATA!B237</f>
        <v>No</v>
      </c>
      <c r="C237" t="str">
        <f>RAW_DATA!C237</f>
        <v>Sales</v>
      </c>
      <c r="D237">
        <f>RAW_DATA!D237</f>
        <v>16</v>
      </c>
      <c r="E237">
        <f>RAW_DATA!E237</f>
        <v>3</v>
      </c>
      <c r="F237" t="str">
        <f>RAW_DATA!F237</f>
        <v>Marketing</v>
      </c>
      <c r="G237">
        <f>RAW_DATA!G237</f>
        <v>4</v>
      </c>
      <c r="H237">
        <f>RAW_DATA!H237</f>
        <v>4</v>
      </c>
      <c r="I237" t="str">
        <f>RAW_DATA!I237</f>
        <v>Married</v>
      </c>
      <c r="J237">
        <f>RAW_DATA!J237</f>
        <v>16064</v>
      </c>
      <c r="K237">
        <f>RAW_DATA!K237</f>
        <v>5</v>
      </c>
      <c r="L237">
        <f>RAW_DATA!L237</f>
        <v>3</v>
      </c>
      <c r="M237">
        <f>RAW_DATA!M237</f>
        <v>17</v>
      </c>
      <c r="N237">
        <f t="shared" si="6"/>
        <v>0</v>
      </c>
      <c r="O237" t="str" cm="1">
        <f t="array" ref="O237" xml:space="preserve"> _xlfn.IFS(A237 &lt;ASSUMPTIONS!$D$2,"25",A237 &lt;= ASSUMPTIONS!$D$3,"25-34",A237 &lt;= ASSUMPTIONS!$D$4, "35-44",A237 &lt;= ASSUMPTIONS!$D$5,"45-54",TRUE,"55+")</f>
        <v>35-44</v>
      </c>
      <c r="P237" t="str" cm="1">
        <f t="array" ref="P237">_xlfn.IFS( J237 &lt;ASSUMPTIONS!$D$7,"LOW",J237 &lt;= ASSUMPTIONS!$D$8,"MEDIUM",TRUE, "HIGH")</f>
        <v>HIGH</v>
      </c>
      <c r="Q237" t="str">
        <f>IF(M237&lt;ASSUMPTIONS!$D$10,"New (0-2)",IF(M237&lt;=ASSUMPTIONS!$D$11,"Early (2-5)",IF(M237&lt;=ASSUMPTIONS!$D$12,"Established (5-10)","Veteran (10+)")))</f>
        <v>Veteran (10+)</v>
      </c>
      <c r="R237" s="4">
        <f t="shared" si="7"/>
        <v>3.6666666666666665</v>
      </c>
    </row>
    <row r="238" spans="1:18">
      <c r="A238">
        <f>RAW_DATA!A238</f>
        <v>33</v>
      </c>
      <c r="B238" t="str">
        <f>RAW_DATA!B238</f>
        <v>Yes</v>
      </c>
      <c r="C238" t="str">
        <f>RAW_DATA!C238</f>
        <v>Research &amp; Development</v>
      </c>
      <c r="D238">
        <f>RAW_DATA!D238</f>
        <v>2</v>
      </c>
      <c r="E238">
        <f>RAW_DATA!E238</f>
        <v>2</v>
      </c>
      <c r="F238" t="str">
        <f>RAW_DATA!F238</f>
        <v>Life Sciences</v>
      </c>
      <c r="G238">
        <f>RAW_DATA!G238</f>
        <v>1</v>
      </c>
      <c r="H238">
        <f>RAW_DATA!H238</f>
        <v>1</v>
      </c>
      <c r="I238" t="str">
        <f>RAW_DATA!I238</f>
        <v>Married</v>
      </c>
      <c r="J238">
        <f>RAW_DATA!J238</f>
        <v>2707</v>
      </c>
      <c r="K238">
        <f>RAW_DATA!K238</f>
        <v>7</v>
      </c>
      <c r="L238">
        <f>RAW_DATA!L238</f>
        <v>4</v>
      </c>
      <c r="M238">
        <f>RAW_DATA!M238</f>
        <v>9</v>
      </c>
      <c r="N238">
        <f t="shared" si="6"/>
        <v>1</v>
      </c>
      <c r="O238" t="str" cm="1">
        <f t="array" ref="O238" xml:space="preserve"> _xlfn.IFS(A238 &lt;ASSUMPTIONS!$D$2,"25",A238 &lt;= ASSUMPTIONS!$D$3,"25-34",A238 &lt;= ASSUMPTIONS!$D$4, "35-44",A238 &lt;= ASSUMPTIONS!$D$5,"45-54",TRUE,"55+")</f>
        <v>25-34</v>
      </c>
      <c r="P238" t="str" cm="1">
        <f t="array" ref="P238">_xlfn.IFS( J238 &lt;ASSUMPTIONS!$D$7,"LOW",J238 &lt;= ASSUMPTIONS!$D$8,"MEDIUM",TRUE, "HIGH")</f>
        <v>LOW</v>
      </c>
      <c r="Q238" t="str">
        <f>IF(M238&lt;ASSUMPTIONS!$D$10,"New (0-2)",IF(M238&lt;=ASSUMPTIONS!$D$11,"Early (2-5)",IF(M238&lt;=ASSUMPTIONS!$D$12,"Established (5-10)","Veteran (10+)")))</f>
        <v>Established (5-10)</v>
      </c>
      <c r="R238" s="4">
        <f t="shared" si="7"/>
        <v>2</v>
      </c>
    </row>
    <row r="239" spans="1:18">
      <c r="A239">
        <f>RAW_DATA!A239</f>
        <v>52</v>
      </c>
      <c r="B239" t="str">
        <f>RAW_DATA!B239</f>
        <v>No</v>
      </c>
      <c r="C239" t="str">
        <f>RAW_DATA!C239</f>
        <v>Sales</v>
      </c>
      <c r="D239">
        <f>RAW_DATA!D239</f>
        <v>2</v>
      </c>
      <c r="E239">
        <f>RAW_DATA!E239</f>
        <v>4</v>
      </c>
      <c r="F239" t="str">
        <f>RAW_DATA!F239</f>
        <v>Life Sciences</v>
      </c>
      <c r="G239">
        <f>RAW_DATA!G239</f>
        <v>1</v>
      </c>
      <c r="H239">
        <f>RAW_DATA!H239</f>
        <v>3</v>
      </c>
      <c r="I239" t="str">
        <f>RAW_DATA!I239</f>
        <v>Single</v>
      </c>
      <c r="J239">
        <f>RAW_DATA!J239</f>
        <v>19068</v>
      </c>
      <c r="K239">
        <f>RAW_DATA!K239</f>
        <v>1</v>
      </c>
      <c r="L239">
        <f>RAW_DATA!L239</f>
        <v>4</v>
      </c>
      <c r="M239">
        <f>RAW_DATA!M239</f>
        <v>33</v>
      </c>
      <c r="N239">
        <f t="shared" si="6"/>
        <v>0</v>
      </c>
      <c r="O239" t="str" cm="1">
        <f t="array" ref="O239" xml:space="preserve"> _xlfn.IFS(A239 &lt;ASSUMPTIONS!$D$2,"25",A239 &lt;= ASSUMPTIONS!$D$3,"25-34",A239 &lt;= ASSUMPTIONS!$D$4, "35-44",A239 &lt;= ASSUMPTIONS!$D$5,"45-54",TRUE,"55+")</f>
        <v>45-54</v>
      </c>
      <c r="P239" t="str" cm="1">
        <f t="array" ref="P239">_xlfn.IFS( J239 &lt;ASSUMPTIONS!$D$7,"LOW",J239 &lt;= ASSUMPTIONS!$D$8,"MEDIUM",TRUE, "HIGH")</f>
        <v>HIGH</v>
      </c>
      <c r="Q239" t="str">
        <f>IF(M239&lt;ASSUMPTIONS!$D$10,"New (0-2)",IF(M239&lt;=ASSUMPTIONS!$D$11,"Early (2-5)",IF(M239&lt;=ASSUMPTIONS!$D$12,"Established (5-10)","Veteran (10+)")))</f>
        <v>Veteran (10+)</v>
      </c>
      <c r="R239" s="4">
        <f t="shared" si="7"/>
        <v>2.6666666666666665</v>
      </c>
    </row>
    <row r="240" spans="1:18">
      <c r="A240">
        <f>RAW_DATA!A240</f>
        <v>32</v>
      </c>
      <c r="B240" t="str">
        <f>RAW_DATA!B240</f>
        <v>No</v>
      </c>
      <c r="C240" t="str">
        <f>RAW_DATA!C240</f>
        <v>Sales</v>
      </c>
      <c r="D240">
        <f>RAW_DATA!D240</f>
        <v>4</v>
      </c>
      <c r="E240">
        <f>RAW_DATA!E240</f>
        <v>2</v>
      </c>
      <c r="F240" t="str">
        <f>RAW_DATA!F240</f>
        <v>Life Sciences</v>
      </c>
      <c r="G240">
        <f>RAW_DATA!G240</f>
        <v>3</v>
      </c>
      <c r="H240">
        <f>RAW_DATA!H240</f>
        <v>2</v>
      </c>
      <c r="I240" t="str">
        <f>RAW_DATA!I240</f>
        <v>Married</v>
      </c>
      <c r="J240">
        <f>RAW_DATA!J240</f>
        <v>3931</v>
      </c>
      <c r="K240">
        <f>RAW_DATA!K240</f>
        <v>2</v>
      </c>
      <c r="L240">
        <f>RAW_DATA!L240</f>
        <v>3</v>
      </c>
      <c r="M240">
        <f>RAW_DATA!M240</f>
        <v>4</v>
      </c>
      <c r="N240">
        <f t="shared" si="6"/>
        <v>0</v>
      </c>
      <c r="O240" t="str" cm="1">
        <f t="array" ref="O240" xml:space="preserve"> _xlfn.IFS(A240 &lt;ASSUMPTIONS!$D$2,"25",A240 &lt;= ASSUMPTIONS!$D$3,"25-34",A240 &lt;= ASSUMPTIONS!$D$4, "35-44",A240 &lt;= ASSUMPTIONS!$D$5,"45-54",TRUE,"55+")</f>
        <v>25-34</v>
      </c>
      <c r="P240" t="str" cm="1">
        <f t="array" ref="P240">_xlfn.IFS( J240 &lt;ASSUMPTIONS!$D$7,"LOW",J240 &lt;= ASSUMPTIONS!$D$8,"MEDIUM",TRUE, "HIGH")</f>
        <v>MEDIUM</v>
      </c>
      <c r="Q240" t="str">
        <f>IF(M240&lt;ASSUMPTIONS!$D$10,"New (0-2)",IF(M240&lt;=ASSUMPTIONS!$D$11,"Early (2-5)",IF(M240&lt;=ASSUMPTIONS!$D$12,"Established (5-10)","Veteran (10+)")))</f>
        <v>Early (2-5)</v>
      </c>
      <c r="R240" s="4">
        <f t="shared" si="7"/>
        <v>2.6666666666666665</v>
      </c>
    </row>
    <row r="241" spans="1:18">
      <c r="A241">
        <f>RAW_DATA!A241</f>
        <v>32</v>
      </c>
      <c r="B241" t="str">
        <f>RAW_DATA!B241</f>
        <v>Yes</v>
      </c>
      <c r="C241" t="str">
        <f>RAW_DATA!C241</f>
        <v>Research &amp; Development</v>
      </c>
      <c r="D241">
        <f>RAW_DATA!D241</f>
        <v>1</v>
      </c>
      <c r="E241">
        <f>RAW_DATA!E241</f>
        <v>3</v>
      </c>
      <c r="F241" t="str">
        <f>RAW_DATA!F241</f>
        <v>Life Sciences</v>
      </c>
      <c r="G241">
        <f>RAW_DATA!G241</f>
        <v>4</v>
      </c>
      <c r="H241">
        <f>RAW_DATA!H241</f>
        <v>3</v>
      </c>
      <c r="I241" t="str">
        <f>RAW_DATA!I241</f>
        <v>Single</v>
      </c>
      <c r="J241">
        <f>RAW_DATA!J241</f>
        <v>3730</v>
      </c>
      <c r="K241">
        <f>RAW_DATA!K241</f>
        <v>0</v>
      </c>
      <c r="L241">
        <f>RAW_DATA!L241</f>
        <v>1</v>
      </c>
      <c r="M241">
        <f>RAW_DATA!M241</f>
        <v>3</v>
      </c>
      <c r="N241">
        <f t="shared" si="6"/>
        <v>1</v>
      </c>
      <c r="O241" t="str" cm="1">
        <f t="array" ref="O241" xml:space="preserve"> _xlfn.IFS(A241 &lt;ASSUMPTIONS!$D$2,"25",A241 &lt;= ASSUMPTIONS!$D$3,"25-34",A241 &lt;= ASSUMPTIONS!$D$4, "35-44",A241 &lt;= ASSUMPTIONS!$D$5,"45-54",TRUE,"55+")</f>
        <v>25-34</v>
      </c>
      <c r="P241" t="str" cm="1">
        <f t="array" ref="P241">_xlfn.IFS( J241 &lt;ASSUMPTIONS!$D$7,"LOW",J241 &lt;= ASSUMPTIONS!$D$8,"MEDIUM",TRUE, "HIGH")</f>
        <v>MEDIUM</v>
      </c>
      <c r="Q241" t="str">
        <f>IF(M241&lt;ASSUMPTIONS!$D$10,"New (0-2)",IF(M241&lt;=ASSUMPTIONS!$D$11,"Early (2-5)",IF(M241&lt;=ASSUMPTIONS!$D$12,"Established (5-10)","Veteran (10+)")))</f>
        <v>Early (2-5)</v>
      </c>
      <c r="R241" s="4">
        <f t="shared" si="7"/>
        <v>2.6666666666666665</v>
      </c>
    </row>
    <row r="242" spans="1:18">
      <c r="A242">
        <f>RAW_DATA!A242</f>
        <v>39</v>
      </c>
      <c r="B242" t="str">
        <f>RAW_DATA!B242</f>
        <v>No</v>
      </c>
      <c r="C242" t="str">
        <f>RAW_DATA!C242</f>
        <v>Research &amp; Development</v>
      </c>
      <c r="D242">
        <f>RAW_DATA!D242</f>
        <v>1</v>
      </c>
      <c r="E242">
        <f>RAW_DATA!E242</f>
        <v>4</v>
      </c>
      <c r="F242" t="str">
        <f>RAW_DATA!F242</f>
        <v>Medical</v>
      </c>
      <c r="G242">
        <f>RAW_DATA!G242</f>
        <v>3</v>
      </c>
      <c r="H242">
        <f>RAW_DATA!H242</f>
        <v>3</v>
      </c>
      <c r="I242" t="str">
        <f>RAW_DATA!I242</f>
        <v>Divorced</v>
      </c>
      <c r="J242">
        <f>RAW_DATA!J242</f>
        <v>2232</v>
      </c>
      <c r="K242">
        <f>RAW_DATA!K242</f>
        <v>7</v>
      </c>
      <c r="L242">
        <f>RAW_DATA!L242</f>
        <v>3</v>
      </c>
      <c r="M242">
        <f>RAW_DATA!M242</f>
        <v>3</v>
      </c>
      <c r="N242">
        <f t="shared" si="6"/>
        <v>0</v>
      </c>
      <c r="O242" t="str" cm="1">
        <f t="array" ref="O242" xml:space="preserve"> _xlfn.IFS(A242 &lt;ASSUMPTIONS!$D$2,"25",A242 &lt;= ASSUMPTIONS!$D$3,"25-34",A242 &lt;= ASSUMPTIONS!$D$4, "35-44",A242 &lt;= ASSUMPTIONS!$D$5,"45-54",TRUE,"55+")</f>
        <v>35-44</v>
      </c>
      <c r="P242" t="str" cm="1">
        <f t="array" ref="P242">_xlfn.IFS( J242 &lt;ASSUMPTIONS!$D$7,"LOW",J242 &lt;= ASSUMPTIONS!$D$8,"MEDIUM",TRUE, "HIGH")</f>
        <v>LOW</v>
      </c>
      <c r="Q242" t="str">
        <f>IF(M242&lt;ASSUMPTIONS!$D$10,"New (0-2)",IF(M242&lt;=ASSUMPTIONS!$D$11,"Early (2-5)",IF(M242&lt;=ASSUMPTIONS!$D$12,"Established (5-10)","Veteran (10+)")))</f>
        <v>Early (2-5)</v>
      </c>
      <c r="R242" s="4">
        <f t="shared" si="7"/>
        <v>3</v>
      </c>
    </row>
    <row r="243" spans="1:18">
      <c r="A243">
        <f>RAW_DATA!A243</f>
        <v>32</v>
      </c>
      <c r="B243" t="str">
        <f>RAW_DATA!B243</f>
        <v>No</v>
      </c>
      <c r="C243" t="str">
        <f>RAW_DATA!C243</f>
        <v>Sales</v>
      </c>
      <c r="D243">
        <f>RAW_DATA!D243</f>
        <v>26</v>
      </c>
      <c r="E243">
        <f>RAW_DATA!E243</f>
        <v>4</v>
      </c>
      <c r="F243" t="str">
        <f>RAW_DATA!F243</f>
        <v>Marketing</v>
      </c>
      <c r="G243">
        <f>RAW_DATA!G243</f>
        <v>3</v>
      </c>
      <c r="H243">
        <f>RAW_DATA!H243</f>
        <v>4</v>
      </c>
      <c r="I243" t="str">
        <f>RAW_DATA!I243</f>
        <v>Married</v>
      </c>
      <c r="J243">
        <f>RAW_DATA!J243</f>
        <v>4465</v>
      </c>
      <c r="K243">
        <f>RAW_DATA!K243</f>
        <v>0</v>
      </c>
      <c r="L243">
        <f>RAW_DATA!L243</f>
        <v>3</v>
      </c>
      <c r="M243">
        <f>RAW_DATA!M243</f>
        <v>3</v>
      </c>
      <c r="N243">
        <f t="shared" si="6"/>
        <v>0</v>
      </c>
      <c r="O243" t="str" cm="1">
        <f t="array" ref="O243" xml:space="preserve"> _xlfn.IFS(A243 &lt;ASSUMPTIONS!$D$2,"25",A243 &lt;= ASSUMPTIONS!$D$3,"25-34",A243 &lt;= ASSUMPTIONS!$D$4, "35-44",A243 &lt;= ASSUMPTIONS!$D$5,"45-54",TRUE,"55+")</f>
        <v>25-34</v>
      </c>
      <c r="P243" t="str" cm="1">
        <f t="array" ref="P243">_xlfn.IFS( J243 &lt;ASSUMPTIONS!$D$7,"LOW",J243 &lt;= ASSUMPTIONS!$D$8,"MEDIUM",TRUE, "HIGH")</f>
        <v>MEDIUM</v>
      </c>
      <c r="Q243" t="str">
        <f>IF(M243&lt;ASSUMPTIONS!$D$10,"New (0-2)",IF(M243&lt;=ASSUMPTIONS!$D$11,"Early (2-5)",IF(M243&lt;=ASSUMPTIONS!$D$12,"Established (5-10)","Veteran (10+)")))</f>
        <v>Early (2-5)</v>
      </c>
      <c r="R243" s="4">
        <f t="shared" si="7"/>
        <v>3.3333333333333335</v>
      </c>
    </row>
    <row r="244" spans="1:18">
      <c r="A244">
        <f>RAW_DATA!A244</f>
        <v>41</v>
      </c>
      <c r="B244" t="str">
        <f>RAW_DATA!B244</f>
        <v>No</v>
      </c>
      <c r="C244" t="str">
        <f>RAW_DATA!C244</f>
        <v>Research &amp; Development</v>
      </c>
      <c r="D244">
        <f>RAW_DATA!D244</f>
        <v>19</v>
      </c>
      <c r="E244">
        <f>RAW_DATA!E244</f>
        <v>2</v>
      </c>
      <c r="F244" t="str">
        <f>RAW_DATA!F244</f>
        <v>Life Sciences</v>
      </c>
      <c r="G244">
        <f>RAW_DATA!G244</f>
        <v>3</v>
      </c>
      <c r="H244">
        <f>RAW_DATA!H244</f>
        <v>1</v>
      </c>
      <c r="I244" t="str">
        <f>RAW_DATA!I244</f>
        <v>Divorced</v>
      </c>
      <c r="J244">
        <f>RAW_DATA!J244</f>
        <v>3072</v>
      </c>
      <c r="K244">
        <f>RAW_DATA!K244</f>
        <v>2</v>
      </c>
      <c r="L244">
        <f>RAW_DATA!L244</f>
        <v>2</v>
      </c>
      <c r="M244">
        <f>RAW_DATA!M244</f>
        <v>1</v>
      </c>
      <c r="N244">
        <f t="shared" si="6"/>
        <v>0</v>
      </c>
      <c r="O244" t="str" cm="1">
        <f t="array" ref="O244" xml:space="preserve"> _xlfn.IFS(A244 &lt;ASSUMPTIONS!$D$2,"25",A244 &lt;= ASSUMPTIONS!$D$3,"25-34",A244 &lt;= ASSUMPTIONS!$D$4, "35-44",A244 &lt;= ASSUMPTIONS!$D$5,"45-54",TRUE,"55+")</f>
        <v>35-44</v>
      </c>
      <c r="P244" t="str" cm="1">
        <f t="array" ref="P244">_xlfn.IFS( J244 &lt;ASSUMPTIONS!$D$7,"LOW",J244 &lt;= ASSUMPTIONS!$D$8,"MEDIUM",TRUE, "HIGH")</f>
        <v>MEDIUM</v>
      </c>
      <c r="Q244" t="str">
        <f>IF(M244&lt;ASSUMPTIONS!$D$10,"New (0-2)",IF(M244&lt;=ASSUMPTIONS!$D$11,"Early (2-5)",IF(M244&lt;=ASSUMPTIONS!$D$12,"Established (5-10)","Veteran (10+)")))</f>
        <v>New (0-2)</v>
      </c>
      <c r="R244" s="4">
        <f t="shared" si="7"/>
        <v>2</v>
      </c>
    </row>
    <row r="245" spans="1:18">
      <c r="A245">
        <f>RAW_DATA!A245</f>
        <v>40</v>
      </c>
      <c r="B245" t="str">
        <f>RAW_DATA!B245</f>
        <v>No</v>
      </c>
      <c r="C245" t="str">
        <f>RAW_DATA!C245</f>
        <v>Research &amp; Development</v>
      </c>
      <c r="D245">
        <f>RAW_DATA!D245</f>
        <v>24</v>
      </c>
      <c r="E245">
        <f>RAW_DATA!E245</f>
        <v>2</v>
      </c>
      <c r="F245" t="str">
        <f>RAW_DATA!F245</f>
        <v>Technical Degree</v>
      </c>
      <c r="G245">
        <f>RAW_DATA!G245</f>
        <v>1</v>
      </c>
      <c r="H245">
        <f>RAW_DATA!H245</f>
        <v>4</v>
      </c>
      <c r="I245" t="str">
        <f>RAW_DATA!I245</f>
        <v>Divorced</v>
      </c>
      <c r="J245">
        <f>RAW_DATA!J245</f>
        <v>3319</v>
      </c>
      <c r="K245">
        <f>RAW_DATA!K245</f>
        <v>1</v>
      </c>
      <c r="L245">
        <f>RAW_DATA!L245</f>
        <v>3</v>
      </c>
      <c r="M245">
        <f>RAW_DATA!M245</f>
        <v>9</v>
      </c>
      <c r="N245">
        <f t="shared" si="6"/>
        <v>0</v>
      </c>
      <c r="O245" t="str" cm="1">
        <f t="array" ref="O245" xml:space="preserve"> _xlfn.IFS(A245 &lt;ASSUMPTIONS!$D$2,"25",A245 &lt;= ASSUMPTIONS!$D$3,"25-34",A245 &lt;= ASSUMPTIONS!$D$4, "35-44",A245 &lt;= ASSUMPTIONS!$D$5,"45-54",TRUE,"55+")</f>
        <v>35-44</v>
      </c>
      <c r="P245" t="str" cm="1">
        <f t="array" ref="P245">_xlfn.IFS( J245 &lt;ASSUMPTIONS!$D$7,"LOW",J245 &lt;= ASSUMPTIONS!$D$8,"MEDIUM",TRUE, "HIGH")</f>
        <v>MEDIUM</v>
      </c>
      <c r="Q245" t="str">
        <f>IF(M245&lt;ASSUMPTIONS!$D$10,"New (0-2)",IF(M245&lt;=ASSUMPTIONS!$D$11,"Early (2-5)",IF(M245&lt;=ASSUMPTIONS!$D$12,"Established (5-10)","Veteran (10+)")))</f>
        <v>Established (5-10)</v>
      </c>
      <c r="R245" s="4">
        <f t="shared" si="7"/>
        <v>2.6666666666666665</v>
      </c>
    </row>
    <row r="246" spans="1:18">
      <c r="A246">
        <f>RAW_DATA!A246</f>
        <v>45</v>
      </c>
      <c r="B246" t="str">
        <f>RAW_DATA!B246</f>
        <v>No</v>
      </c>
      <c r="C246" t="str">
        <f>RAW_DATA!C246</f>
        <v>Research &amp; Development</v>
      </c>
      <c r="D246">
        <f>RAW_DATA!D246</f>
        <v>1</v>
      </c>
      <c r="E246">
        <f>RAW_DATA!E246</f>
        <v>3</v>
      </c>
      <c r="F246" t="str">
        <f>RAW_DATA!F246</f>
        <v>Other</v>
      </c>
      <c r="G246">
        <f>RAW_DATA!G246</f>
        <v>3</v>
      </c>
      <c r="H246">
        <f>RAW_DATA!H246</f>
        <v>4</v>
      </c>
      <c r="I246" t="str">
        <f>RAW_DATA!I246</f>
        <v>Married</v>
      </c>
      <c r="J246">
        <f>RAW_DATA!J246</f>
        <v>19202</v>
      </c>
      <c r="K246">
        <f>RAW_DATA!K246</f>
        <v>0</v>
      </c>
      <c r="L246">
        <f>RAW_DATA!L246</f>
        <v>3</v>
      </c>
      <c r="M246">
        <f>RAW_DATA!M246</f>
        <v>24</v>
      </c>
      <c r="N246">
        <f t="shared" si="6"/>
        <v>0</v>
      </c>
      <c r="O246" t="str" cm="1">
        <f t="array" ref="O246" xml:space="preserve"> _xlfn.IFS(A246 &lt;ASSUMPTIONS!$D$2,"25",A246 &lt;= ASSUMPTIONS!$D$3,"25-34",A246 &lt;= ASSUMPTIONS!$D$4, "35-44",A246 &lt;= ASSUMPTIONS!$D$5,"45-54",TRUE,"55+")</f>
        <v>45-54</v>
      </c>
      <c r="P246" t="str" cm="1">
        <f t="array" ref="P246">_xlfn.IFS( J246 &lt;ASSUMPTIONS!$D$7,"LOW",J246 &lt;= ASSUMPTIONS!$D$8,"MEDIUM",TRUE, "HIGH")</f>
        <v>HIGH</v>
      </c>
      <c r="Q246" t="str">
        <f>IF(M246&lt;ASSUMPTIONS!$D$10,"New (0-2)",IF(M246&lt;=ASSUMPTIONS!$D$11,"Early (2-5)",IF(M246&lt;=ASSUMPTIONS!$D$12,"Established (5-10)","Veteran (10+)")))</f>
        <v>Veteran (10+)</v>
      </c>
      <c r="R246" s="4">
        <f t="shared" si="7"/>
        <v>3.3333333333333335</v>
      </c>
    </row>
    <row r="247" spans="1:18">
      <c r="A247">
        <f>RAW_DATA!A247</f>
        <v>31</v>
      </c>
      <c r="B247" t="str">
        <f>RAW_DATA!B247</f>
        <v>No</v>
      </c>
      <c r="C247" t="str">
        <f>RAW_DATA!C247</f>
        <v>Research &amp; Development</v>
      </c>
      <c r="D247">
        <f>RAW_DATA!D247</f>
        <v>3</v>
      </c>
      <c r="E247">
        <f>RAW_DATA!E247</f>
        <v>4</v>
      </c>
      <c r="F247" t="str">
        <f>RAW_DATA!F247</f>
        <v>Medical</v>
      </c>
      <c r="G247">
        <f>RAW_DATA!G247</f>
        <v>2</v>
      </c>
      <c r="H247">
        <f>RAW_DATA!H247</f>
        <v>3</v>
      </c>
      <c r="I247" t="str">
        <f>RAW_DATA!I247</f>
        <v>Divorced</v>
      </c>
      <c r="J247">
        <f>RAW_DATA!J247</f>
        <v>13675</v>
      </c>
      <c r="K247">
        <f>RAW_DATA!K247</f>
        <v>9</v>
      </c>
      <c r="L247">
        <f>RAW_DATA!L247</f>
        <v>3</v>
      </c>
      <c r="M247">
        <f>RAW_DATA!M247</f>
        <v>2</v>
      </c>
      <c r="N247">
        <f t="shared" si="6"/>
        <v>0</v>
      </c>
      <c r="O247" t="str" cm="1">
        <f t="array" ref="O247" xml:space="preserve"> _xlfn.IFS(A247 &lt;ASSUMPTIONS!$D$2,"25",A247 &lt;= ASSUMPTIONS!$D$3,"25-34",A247 &lt;= ASSUMPTIONS!$D$4, "35-44",A247 &lt;= ASSUMPTIONS!$D$5,"45-54",TRUE,"55+")</f>
        <v>25-34</v>
      </c>
      <c r="P247" t="str" cm="1">
        <f t="array" ref="P247">_xlfn.IFS( J247 &lt;ASSUMPTIONS!$D$7,"LOW",J247 &lt;= ASSUMPTIONS!$D$8,"MEDIUM",TRUE, "HIGH")</f>
        <v>HIGH</v>
      </c>
      <c r="Q247" t="str">
        <f>IF(M247&lt;ASSUMPTIONS!$D$10,"New (0-2)",IF(M247&lt;=ASSUMPTIONS!$D$11,"Early (2-5)",IF(M247&lt;=ASSUMPTIONS!$D$12,"Established (5-10)","Veteran (10+)")))</f>
        <v>Early (2-5)</v>
      </c>
      <c r="R247" s="4">
        <f t="shared" si="7"/>
        <v>2.6666666666666665</v>
      </c>
    </row>
    <row r="248" spans="1:18">
      <c r="A248">
        <f>RAW_DATA!A248</f>
        <v>33</v>
      </c>
      <c r="B248" t="str">
        <f>RAW_DATA!B248</f>
        <v>No</v>
      </c>
      <c r="C248" t="str">
        <f>RAW_DATA!C248</f>
        <v>Research &amp; Development</v>
      </c>
      <c r="D248">
        <f>RAW_DATA!D248</f>
        <v>5</v>
      </c>
      <c r="E248">
        <f>RAW_DATA!E248</f>
        <v>4</v>
      </c>
      <c r="F248" t="str">
        <f>RAW_DATA!F248</f>
        <v>Life Sciences</v>
      </c>
      <c r="G248">
        <f>RAW_DATA!G248</f>
        <v>3</v>
      </c>
      <c r="H248">
        <f>RAW_DATA!H248</f>
        <v>4</v>
      </c>
      <c r="I248" t="str">
        <f>RAW_DATA!I248</f>
        <v>Married</v>
      </c>
      <c r="J248">
        <f>RAW_DATA!J248</f>
        <v>2911</v>
      </c>
      <c r="K248">
        <f>RAW_DATA!K248</f>
        <v>1</v>
      </c>
      <c r="L248">
        <f>RAW_DATA!L248</f>
        <v>2</v>
      </c>
      <c r="M248">
        <f>RAW_DATA!M248</f>
        <v>2</v>
      </c>
      <c r="N248">
        <f t="shared" si="6"/>
        <v>0</v>
      </c>
      <c r="O248" t="str" cm="1">
        <f t="array" ref="O248" xml:space="preserve"> _xlfn.IFS(A248 &lt;ASSUMPTIONS!$D$2,"25",A248 &lt;= ASSUMPTIONS!$D$3,"25-34",A248 &lt;= ASSUMPTIONS!$D$4, "35-44",A248 &lt;= ASSUMPTIONS!$D$5,"45-54",TRUE,"55+")</f>
        <v>25-34</v>
      </c>
      <c r="P248" t="str" cm="1">
        <f t="array" ref="P248">_xlfn.IFS( J248 &lt;ASSUMPTIONS!$D$7,"LOW",J248 &lt;= ASSUMPTIONS!$D$8,"MEDIUM",TRUE, "HIGH")</f>
        <v>LOW</v>
      </c>
      <c r="Q248" t="str">
        <f>IF(M248&lt;ASSUMPTIONS!$D$10,"New (0-2)",IF(M248&lt;=ASSUMPTIONS!$D$11,"Early (2-5)",IF(M248&lt;=ASSUMPTIONS!$D$12,"Established (5-10)","Veteran (10+)")))</f>
        <v>Early (2-5)</v>
      </c>
      <c r="R248" s="4">
        <f t="shared" si="7"/>
        <v>3</v>
      </c>
    </row>
    <row r="249" spans="1:18">
      <c r="A249">
        <f>RAW_DATA!A249</f>
        <v>34</v>
      </c>
      <c r="B249" t="str">
        <f>RAW_DATA!B249</f>
        <v>No</v>
      </c>
      <c r="C249" t="str">
        <f>RAW_DATA!C249</f>
        <v>Research &amp; Development</v>
      </c>
      <c r="D249">
        <f>RAW_DATA!D249</f>
        <v>2</v>
      </c>
      <c r="E249">
        <f>RAW_DATA!E249</f>
        <v>4</v>
      </c>
      <c r="F249" t="str">
        <f>RAW_DATA!F249</f>
        <v>Life Sciences</v>
      </c>
      <c r="G249">
        <f>RAW_DATA!G249</f>
        <v>4</v>
      </c>
      <c r="H249">
        <f>RAW_DATA!H249</f>
        <v>1</v>
      </c>
      <c r="I249" t="str">
        <f>RAW_DATA!I249</f>
        <v>Married</v>
      </c>
      <c r="J249">
        <f>RAW_DATA!J249</f>
        <v>5957</v>
      </c>
      <c r="K249">
        <f>RAW_DATA!K249</f>
        <v>6</v>
      </c>
      <c r="L249">
        <f>RAW_DATA!L249</f>
        <v>3</v>
      </c>
      <c r="M249">
        <f>RAW_DATA!M249</f>
        <v>11</v>
      </c>
      <c r="N249">
        <f t="shared" si="6"/>
        <v>0</v>
      </c>
      <c r="O249" t="str" cm="1">
        <f t="array" ref="O249" xml:space="preserve"> _xlfn.IFS(A249 &lt;ASSUMPTIONS!$D$2,"25",A249 &lt;= ASSUMPTIONS!$D$3,"25-34",A249 &lt;= ASSUMPTIONS!$D$4, "35-44",A249 &lt;= ASSUMPTIONS!$D$5,"45-54",TRUE,"55+")</f>
        <v>25-34</v>
      </c>
      <c r="P249" t="str" cm="1">
        <f t="array" ref="P249">_xlfn.IFS( J249 &lt;ASSUMPTIONS!$D$7,"LOW",J249 &lt;= ASSUMPTIONS!$D$8,"MEDIUM",TRUE, "HIGH")</f>
        <v>MEDIUM</v>
      </c>
      <c r="Q249" t="str">
        <f>IF(M249&lt;ASSUMPTIONS!$D$10,"New (0-2)",IF(M249&lt;=ASSUMPTIONS!$D$11,"Early (2-5)",IF(M249&lt;=ASSUMPTIONS!$D$12,"Established (5-10)","Veteran (10+)")))</f>
        <v>Veteran (10+)</v>
      </c>
      <c r="R249" s="4">
        <f t="shared" si="7"/>
        <v>2.6666666666666665</v>
      </c>
    </row>
    <row r="250" spans="1:18">
      <c r="A250">
        <f>RAW_DATA!A250</f>
        <v>37</v>
      </c>
      <c r="B250" t="str">
        <f>RAW_DATA!B250</f>
        <v>No</v>
      </c>
      <c r="C250" t="str">
        <f>RAW_DATA!C250</f>
        <v>Research &amp; Development</v>
      </c>
      <c r="D250">
        <f>RAW_DATA!D250</f>
        <v>1</v>
      </c>
      <c r="E250">
        <f>RAW_DATA!E250</f>
        <v>2</v>
      </c>
      <c r="F250" t="str">
        <f>RAW_DATA!F250</f>
        <v>Medical</v>
      </c>
      <c r="G250">
        <f>RAW_DATA!G250</f>
        <v>3</v>
      </c>
      <c r="H250">
        <f>RAW_DATA!H250</f>
        <v>1</v>
      </c>
      <c r="I250" t="str">
        <f>RAW_DATA!I250</f>
        <v>Married</v>
      </c>
      <c r="J250">
        <f>RAW_DATA!J250</f>
        <v>3920</v>
      </c>
      <c r="K250">
        <f>RAW_DATA!K250</f>
        <v>2</v>
      </c>
      <c r="L250">
        <f>RAW_DATA!L250</f>
        <v>2</v>
      </c>
      <c r="M250">
        <f>RAW_DATA!M250</f>
        <v>3</v>
      </c>
      <c r="N250">
        <f t="shared" si="6"/>
        <v>0</v>
      </c>
      <c r="O250" t="str" cm="1">
        <f t="array" ref="O250" xml:space="preserve"> _xlfn.IFS(A250 &lt;ASSUMPTIONS!$D$2,"25",A250 &lt;= ASSUMPTIONS!$D$3,"25-34",A250 &lt;= ASSUMPTIONS!$D$4, "35-44",A250 &lt;= ASSUMPTIONS!$D$5,"45-54",TRUE,"55+")</f>
        <v>35-44</v>
      </c>
      <c r="P250" t="str" cm="1">
        <f t="array" ref="P250">_xlfn.IFS( J250 &lt;ASSUMPTIONS!$D$7,"LOW",J250 &lt;= ASSUMPTIONS!$D$8,"MEDIUM",TRUE, "HIGH")</f>
        <v>MEDIUM</v>
      </c>
      <c r="Q250" t="str">
        <f>IF(M250&lt;ASSUMPTIONS!$D$10,"New (0-2)",IF(M250&lt;=ASSUMPTIONS!$D$11,"Early (2-5)",IF(M250&lt;=ASSUMPTIONS!$D$12,"Established (5-10)","Veteran (10+)")))</f>
        <v>Early (2-5)</v>
      </c>
      <c r="R250" s="4">
        <f t="shared" si="7"/>
        <v>2</v>
      </c>
    </row>
    <row r="251" spans="1:18">
      <c r="A251">
        <f>RAW_DATA!A251</f>
        <v>45</v>
      </c>
      <c r="B251" t="str">
        <f>RAW_DATA!B251</f>
        <v>No</v>
      </c>
      <c r="C251" t="str">
        <f>RAW_DATA!C251</f>
        <v>Research &amp; Development</v>
      </c>
      <c r="D251">
        <f>RAW_DATA!D251</f>
        <v>7</v>
      </c>
      <c r="E251">
        <f>RAW_DATA!E251</f>
        <v>4</v>
      </c>
      <c r="F251" t="str">
        <f>RAW_DATA!F251</f>
        <v>Life Sciences</v>
      </c>
      <c r="G251">
        <f>RAW_DATA!G251</f>
        <v>1</v>
      </c>
      <c r="H251">
        <f>RAW_DATA!H251</f>
        <v>3</v>
      </c>
      <c r="I251" t="str">
        <f>RAW_DATA!I251</f>
        <v>Married</v>
      </c>
      <c r="J251">
        <f>RAW_DATA!J251</f>
        <v>6434</v>
      </c>
      <c r="K251">
        <f>RAW_DATA!K251</f>
        <v>4</v>
      </c>
      <c r="L251">
        <f>RAW_DATA!L251</f>
        <v>3</v>
      </c>
      <c r="M251">
        <f>RAW_DATA!M251</f>
        <v>3</v>
      </c>
      <c r="N251">
        <f t="shared" si="6"/>
        <v>0</v>
      </c>
      <c r="O251" t="str" cm="1">
        <f t="array" ref="O251" xml:space="preserve"> _xlfn.IFS(A251 &lt;ASSUMPTIONS!$D$2,"25",A251 &lt;= ASSUMPTIONS!$D$3,"25-34",A251 &lt;= ASSUMPTIONS!$D$4, "35-44",A251 &lt;= ASSUMPTIONS!$D$5,"45-54",TRUE,"55+")</f>
        <v>45-54</v>
      </c>
      <c r="P251" t="str" cm="1">
        <f t="array" ref="P251">_xlfn.IFS( J251 &lt;ASSUMPTIONS!$D$7,"LOW",J251 &lt;= ASSUMPTIONS!$D$8,"MEDIUM",TRUE, "HIGH")</f>
        <v>MEDIUM</v>
      </c>
      <c r="Q251" t="str">
        <f>IF(M251&lt;ASSUMPTIONS!$D$10,"New (0-2)",IF(M251&lt;=ASSUMPTIONS!$D$11,"Early (2-5)",IF(M251&lt;=ASSUMPTIONS!$D$12,"Established (5-10)","Veteran (10+)")))</f>
        <v>Early (2-5)</v>
      </c>
      <c r="R251" s="4">
        <f t="shared" si="7"/>
        <v>2.3333333333333335</v>
      </c>
    </row>
    <row r="252" spans="1:18">
      <c r="A252">
        <f>RAW_DATA!A252</f>
        <v>37</v>
      </c>
      <c r="B252" t="str">
        <f>RAW_DATA!B252</f>
        <v>Yes</v>
      </c>
      <c r="C252" t="str">
        <f>RAW_DATA!C252</f>
        <v>Research &amp; Development</v>
      </c>
      <c r="D252">
        <f>RAW_DATA!D252</f>
        <v>10</v>
      </c>
      <c r="E252">
        <f>RAW_DATA!E252</f>
        <v>3</v>
      </c>
      <c r="F252" t="str">
        <f>RAW_DATA!F252</f>
        <v>Medical</v>
      </c>
      <c r="G252">
        <f>RAW_DATA!G252</f>
        <v>1</v>
      </c>
      <c r="H252">
        <f>RAW_DATA!H252</f>
        <v>3</v>
      </c>
      <c r="I252" t="str">
        <f>RAW_DATA!I252</f>
        <v>Divorced</v>
      </c>
      <c r="J252">
        <f>RAW_DATA!J252</f>
        <v>10048</v>
      </c>
      <c r="K252">
        <f>RAW_DATA!K252</f>
        <v>6</v>
      </c>
      <c r="L252">
        <f>RAW_DATA!L252</f>
        <v>3</v>
      </c>
      <c r="M252">
        <f>RAW_DATA!M252</f>
        <v>1</v>
      </c>
      <c r="N252">
        <f t="shared" si="6"/>
        <v>1</v>
      </c>
      <c r="O252" t="str" cm="1">
        <f t="array" ref="O252" xml:space="preserve"> _xlfn.IFS(A252 &lt;ASSUMPTIONS!$D$2,"25",A252 &lt;= ASSUMPTIONS!$D$3,"25-34",A252 &lt;= ASSUMPTIONS!$D$4, "35-44",A252 &lt;= ASSUMPTIONS!$D$5,"45-54",TRUE,"55+")</f>
        <v>35-44</v>
      </c>
      <c r="P252" t="str" cm="1">
        <f t="array" ref="P252">_xlfn.IFS( J252 &lt;ASSUMPTIONS!$D$7,"LOW",J252 &lt;= ASSUMPTIONS!$D$8,"MEDIUM",TRUE, "HIGH")</f>
        <v>HIGH</v>
      </c>
      <c r="Q252" t="str">
        <f>IF(M252&lt;ASSUMPTIONS!$D$10,"New (0-2)",IF(M252&lt;=ASSUMPTIONS!$D$11,"Early (2-5)",IF(M252&lt;=ASSUMPTIONS!$D$12,"Established (5-10)","Veteran (10+)")))</f>
        <v>New (0-2)</v>
      </c>
      <c r="R252" s="4">
        <f t="shared" si="7"/>
        <v>2.3333333333333335</v>
      </c>
    </row>
    <row r="253" spans="1:18">
      <c r="A253">
        <f>RAW_DATA!A253</f>
        <v>39</v>
      </c>
      <c r="B253" t="str">
        <f>RAW_DATA!B253</f>
        <v>No</v>
      </c>
      <c r="C253" t="str">
        <f>RAW_DATA!C253</f>
        <v>Research &amp; Development</v>
      </c>
      <c r="D253">
        <f>RAW_DATA!D253</f>
        <v>2</v>
      </c>
      <c r="E253">
        <f>RAW_DATA!E253</f>
        <v>4</v>
      </c>
      <c r="F253" t="str">
        <f>RAW_DATA!F253</f>
        <v>Technical Degree</v>
      </c>
      <c r="G253">
        <f>RAW_DATA!G253</f>
        <v>3</v>
      </c>
      <c r="H253">
        <f>RAW_DATA!H253</f>
        <v>3</v>
      </c>
      <c r="I253" t="str">
        <f>RAW_DATA!I253</f>
        <v>Single</v>
      </c>
      <c r="J253">
        <f>RAW_DATA!J253</f>
        <v>10938</v>
      </c>
      <c r="K253">
        <f>RAW_DATA!K253</f>
        <v>0</v>
      </c>
      <c r="L253">
        <f>RAW_DATA!L253</f>
        <v>3</v>
      </c>
      <c r="M253">
        <f>RAW_DATA!M253</f>
        <v>19</v>
      </c>
      <c r="N253">
        <f t="shared" si="6"/>
        <v>0</v>
      </c>
      <c r="O253" t="str" cm="1">
        <f t="array" ref="O253" xml:space="preserve"> _xlfn.IFS(A253 &lt;ASSUMPTIONS!$D$2,"25",A253 &lt;= ASSUMPTIONS!$D$3,"25-34",A253 &lt;= ASSUMPTIONS!$D$4, "35-44",A253 &lt;= ASSUMPTIONS!$D$5,"45-54",TRUE,"55+")</f>
        <v>35-44</v>
      </c>
      <c r="P253" t="str" cm="1">
        <f t="array" ref="P253">_xlfn.IFS( J253 &lt;ASSUMPTIONS!$D$7,"LOW",J253 &lt;= ASSUMPTIONS!$D$8,"MEDIUM",TRUE, "HIGH")</f>
        <v>HIGH</v>
      </c>
      <c r="Q253" t="str">
        <f>IF(M253&lt;ASSUMPTIONS!$D$10,"New (0-2)",IF(M253&lt;=ASSUMPTIONS!$D$11,"Early (2-5)",IF(M253&lt;=ASSUMPTIONS!$D$12,"Established (5-10)","Veteran (10+)")))</f>
        <v>Veteran (10+)</v>
      </c>
      <c r="R253" s="4">
        <f t="shared" si="7"/>
        <v>3</v>
      </c>
    </row>
    <row r="254" spans="1:18">
      <c r="A254">
        <f>RAW_DATA!A254</f>
        <v>29</v>
      </c>
      <c r="B254" t="str">
        <f>RAW_DATA!B254</f>
        <v>No</v>
      </c>
      <c r="C254" t="str">
        <f>RAW_DATA!C254</f>
        <v>Research &amp; Development</v>
      </c>
      <c r="D254">
        <f>RAW_DATA!D254</f>
        <v>15</v>
      </c>
      <c r="E254">
        <f>RAW_DATA!E254</f>
        <v>3</v>
      </c>
      <c r="F254" t="str">
        <f>RAW_DATA!F254</f>
        <v>Life Sciences</v>
      </c>
      <c r="G254">
        <f>RAW_DATA!G254</f>
        <v>3</v>
      </c>
      <c r="H254">
        <f>RAW_DATA!H254</f>
        <v>4</v>
      </c>
      <c r="I254" t="str">
        <f>RAW_DATA!I254</f>
        <v>Single</v>
      </c>
      <c r="J254">
        <f>RAW_DATA!J254</f>
        <v>2340</v>
      </c>
      <c r="K254">
        <f>RAW_DATA!K254</f>
        <v>1</v>
      </c>
      <c r="L254">
        <f>RAW_DATA!L254</f>
        <v>3</v>
      </c>
      <c r="M254">
        <f>RAW_DATA!M254</f>
        <v>6</v>
      </c>
      <c r="N254">
        <f t="shared" si="6"/>
        <v>0</v>
      </c>
      <c r="O254" t="str" cm="1">
        <f t="array" ref="O254" xml:space="preserve"> _xlfn.IFS(A254 &lt;ASSUMPTIONS!$D$2,"25",A254 &lt;= ASSUMPTIONS!$D$3,"25-34",A254 &lt;= ASSUMPTIONS!$D$4, "35-44",A254 &lt;= ASSUMPTIONS!$D$5,"45-54",TRUE,"55+")</f>
        <v>25-34</v>
      </c>
      <c r="P254" t="str" cm="1">
        <f t="array" ref="P254">_xlfn.IFS( J254 &lt;ASSUMPTIONS!$D$7,"LOW",J254 &lt;= ASSUMPTIONS!$D$8,"MEDIUM",TRUE, "HIGH")</f>
        <v>LOW</v>
      </c>
      <c r="Q254" t="str">
        <f>IF(M254&lt;ASSUMPTIONS!$D$10,"New (0-2)",IF(M254&lt;=ASSUMPTIONS!$D$11,"Early (2-5)",IF(M254&lt;=ASSUMPTIONS!$D$12,"Established (5-10)","Veteran (10+)")))</f>
        <v>Established (5-10)</v>
      </c>
      <c r="R254" s="4">
        <f t="shared" si="7"/>
        <v>3.3333333333333335</v>
      </c>
    </row>
    <row r="255" spans="1:18">
      <c r="A255">
        <f>RAW_DATA!A255</f>
        <v>42</v>
      </c>
      <c r="B255" t="str">
        <f>RAW_DATA!B255</f>
        <v>No</v>
      </c>
      <c r="C255" t="str">
        <f>RAW_DATA!C255</f>
        <v>Research &amp; Development</v>
      </c>
      <c r="D255">
        <f>RAW_DATA!D255</f>
        <v>17</v>
      </c>
      <c r="E255">
        <f>RAW_DATA!E255</f>
        <v>2</v>
      </c>
      <c r="F255" t="str">
        <f>RAW_DATA!F255</f>
        <v>Life Sciences</v>
      </c>
      <c r="G255">
        <f>RAW_DATA!G255</f>
        <v>4</v>
      </c>
      <c r="H255">
        <f>RAW_DATA!H255</f>
        <v>1</v>
      </c>
      <c r="I255" t="str">
        <f>RAW_DATA!I255</f>
        <v>Single</v>
      </c>
      <c r="J255">
        <f>RAW_DATA!J255</f>
        <v>6545</v>
      </c>
      <c r="K255">
        <f>RAW_DATA!K255</f>
        <v>3</v>
      </c>
      <c r="L255">
        <f>RAW_DATA!L255</f>
        <v>3</v>
      </c>
      <c r="M255">
        <f>RAW_DATA!M255</f>
        <v>3</v>
      </c>
      <c r="N255">
        <f t="shared" si="6"/>
        <v>0</v>
      </c>
      <c r="O255" t="str" cm="1">
        <f t="array" ref="O255" xml:space="preserve"> _xlfn.IFS(A255 &lt;ASSUMPTIONS!$D$2,"25",A255 &lt;= ASSUMPTIONS!$D$3,"25-34",A255 &lt;= ASSUMPTIONS!$D$4, "35-44",A255 &lt;= ASSUMPTIONS!$D$5,"45-54",TRUE,"55+")</f>
        <v>35-44</v>
      </c>
      <c r="P255" t="str" cm="1">
        <f t="array" ref="P255">_xlfn.IFS( J255 &lt;ASSUMPTIONS!$D$7,"LOW",J255 &lt;= ASSUMPTIONS!$D$8,"MEDIUM",TRUE, "HIGH")</f>
        <v>MEDIUM</v>
      </c>
      <c r="Q255" t="str">
        <f>IF(M255&lt;ASSUMPTIONS!$D$10,"New (0-2)",IF(M255&lt;=ASSUMPTIONS!$D$11,"Early (2-5)",IF(M255&lt;=ASSUMPTIONS!$D$12,"Established (5-10)","Veteran (10+)")))</f>
        <v>Early (2-5)</v>
      </c>
      <c r="R255" s="4">
        <f t="shared" si="7"/>
        <v>2.6666666666666665</v>
      </c>
    </row>
    <row r="256" spans="1:18">
      <c r="A256">
        <f>RAW_DATA!A256</f>
        <v>29</v>
      </c>
      <c r="B256" t="str">
        <f>RAW_DATA!B256</f>
        <v>No</v>
      </c>
      <c r="C256" t="str">
        <f>RAW_DATA!C256</f>
        <v>Sales</v>
      </c>
      <c r="D256">
        <f>RAW_DATA!D256</f>
        <v>20</v>
      </c>
      <c r="E256">
        <f>RAW_DATA!E256</f>
        <v>2</v>
      </c>
      <c r="F256" t="str">
        <f>RAW_DATA!F256</f>
        <v>Marketing</v>
      </c>
      <c r="G256">
        <f>RAW_DATA!G256</f>
        <v>4</v>
      </c>
      <c r="H256">
        <f>RAW_DATA!H256</f>
        <v>4</v>
      </c>
      <c r="I256" t="str">
        <f>RAW_DATA!I256</f>
        <v>Divorced</v>
      </c>
      <c r="J256">
        <f>RAW_DATA!J256</f>
        <v>6931</v>
      </c>
      <c r="K256">
        <f>RAW_DATA!K256</f>
        <v>2</v>
      </c>
      <c r="L256">
        <f>RAW_DATA!L256</f>
        <v>3</v>
      </c>
      <c r="M256">
        <f>RAW_DATA!M256</f>
        <v>3</v>
      </c>
      <c r="N256">
        <f t="shared" si="6"/>
        <v>0</v>
      </c>
      <c r="O256" t="str" cm="1">
        <f t="array" ref="O256" xml:space="preserve"> _xlfn.IFS(A256 &lt;ASSUMPTIONS!$D$2,"25",A256 &lt;= ASSUMPTIONS!$D$3,"25-34",A256 &lt;= ASSUMPTIONS!$D$4, "35-44",A256 &lt;= ASSUMPTIONS!$D$5,"45-54",TRUE,"55+")</f>
        <v>25-34</v>
      </c>
      <c r="P256" t="str" cm="1">
        <f t="array" ref="P256">_xlfn.IFS( J256 &lt;ASSUMPTIONS!$D$7,"LOW",J256 &lt;= ASSUMPTIONS!$D$8,"MEDIUM",TRUE, "HIGH")</f>
        <v>MEDIUM</v>
      </c>
      <c r="Q256" t="str">
        <f>IF(M256&lt;ASSUMPTIONS!$D$10,"New (0-2)",IF(M256&lt;=ASSUMPTIONS!$D$11,"Early (2-5)",IF(M256&lt;=ASSUMPTIONS!$D$12,"Established (5-10)","Veteran (10+)")))</f>
        <v>Early (2-5)</v>
      </c>
      <c r="R256" s="4">
        <f t="shared" si="7"/>
        <v>3.6666666666666665</v>
      </c>
    </row>
    <row r="257" spans="1:18">
      <c r="A257">
        <f>RAW_DATA!A257</f>
        <v>25</v>
      </c>
      <c r="B257" t="str">
        <f>RAW_DATA!B257</f>
        <v>No</v>
      </c>
      <c r="C257" t="str">
        <f>RAW_DATA!C257</f>
        <v>Research &amp; Development</v>
      </c>
      <c r="D257">
        <f>RAW_DATA!D257</f>
        <v>1</v>
      </c>
      <c r="E257">
        <f>RAW_DATA!E257</f>
        <v>3</v>
      </c>
      <c r="F257" t="str">
        <f>RAW_DATA!F257</f>
        <v>Life Sciences</v>
      </c>
      <c r="G257">
        <f>RAW_DATA!G257</f>
        <v>1</v>
      </c>
      <c r="H257">
        <f>RAW_DATA!H257</f>
        <v>3</v>
      </c>
      <c r="I257" t="str">
        <f>RAW_DATA!I257</f>
        <v>Married</v>
      </c>
      <c r="J257">
        <f>RAW_DATA!J257</f>
        <v>4898</v>
      </c>
      <c r="K257">
        <f>RAW_DATA!K257</f>
        <v>0</v>
      </c>
      <c r="L257">
        <f>RAW_DATA!L257</f>
        <v>3</v>
      </c>
      <c r="M257">
        <f>RAW_DATA!M257</f>
        <v>4</v>
      </c>
      <c r="N257">
        <f t="shared" si="6"/>
        <v>0</v>
      </c>
      <c r="O257" t="str" cm="1">
        <f t="array" ref="O257" xml:space="preserve"> _xlfn.IFS(A257 &lt;ASSUMPTIONS!$D$2,"25",A257 &lt;= ASSUMPTIONS!$D$3,"25-34",A257 &lt;= ASSUMPTIONS!$D$4, "35-44",A257 &lt;= ASSUMPTIONS!$D$5,"45-54",TRUE,"55+")</f>
        <v>25-34</v>
      </c>
      <c r="P257" t="str" cm="1">
        <f t="array" ref="P257">_xlfn.IFS( J257 &lt;ASSUMPTIONS!$D$7,"LOW",J257 &lt;= ASSUMPTIONS!$D$8,"MEDIUM",TRUE, "HIGH")</f>
        <v>MEDIUM</v>
      </c>
      <c r="Q257" t="str">
        <f>IF(M257&lt;ASSUMPTIONS!$D$10,"New (0-2)",IF(M257&lt;=ASSUMPTIONS!$D$11,"Early (2-5)",IF(M257&lt;=ASSUMPTIONS!$D$12,"Established (5-10)","Veteran (10+)")))</f>
        <v>Early (2-5)</v>
      </c>
      <c r="R257" s="4">
        <f t="shared" si="7"/>
        <v>2.3333333333333335</v>
      </c>
    </row>
    <row r="258" spans="1:18">
      <c r="A258">
        <f>RAW_DATA!A258</f>
        <v>42</v>
      </c>
      <c r="B258" t="str">
        <f>RAW_DATA!B258</f>
        <v>No</v>
      </c>
      <c r="C258" t="str">
        <f>RAW_DATA!C258</f>
        <v>Research &amp; Development</v>
      </c>
      <c r="D258">
        <f>RAW_DATA!D258</f>
        <v>2</v>
      </c>
      <c r="E258">
        <f>RAW_DATA!E258</f>
        <v>3</v>
      </c>
      <c r="F258" t="str">
        <f>RAW_DATA!F258</f>
        <v>Medical</v>
      </c>
      <c r="G258">
        <f>RAW_DATA!G258</f>
        <v>4</v>
      </c>
      <c r="H258">
        <f>RAW_DATA!H258</f>
        <v>1</v>
      </c>
      <c r="I258" t="str">
        <f>RAW_DATA!I258</f>
        <v>Divorced</v>
      </c>
      <c r="J258">
        <f>RAW_DATA!J258</f>
        <v>2593</v>
      </c>
      <c r="K258">
        <f>RAW_DATA!K258</f>
        <v>0</v>
      </c>
      <c r="L258">
        <f>RAW_DATA!L258</f>
        <v>3</v>
      </c>
      <c r="M258">
        <f>RAW_DATA!M258</f>
        <v>9</v>
      </c>
      <c r="N258">
        <f t="shared" si="6"/>
        <v>0</v>
      </c>
      <c r="O258" t="str" cm="1">
        <f t="array" ref="O258" xml:space="preserve"> _xlfn.IFS(A258 &lt;ASSUMPTIONS!$D$2,"25",A258 &lt;= ASSUMPTIONS!$D$3,"25-34",A258 &lt;= ASSUMPTIONS!$D$4, "35-44",A258 &lt;= ASSUMPTIONS!$D$5,"45-54",TRUE,"55+")</f>
        <v>35-44</v>
      </c>
      <c r="P258" t="str" cm="1">
        <f t="array" ref="P258">_xlfn.IFS( J258 &lt;ASSUMPTIONS!$D$7,"LOW",J258 &lt;= ASSUMPTIONS!$D$8,"MEDIUM",TRUE, "HIGH")</f>
        <v>LOW</v>
      </c>
      <c r="Q258" t="str">
        <f>IF(M258&lt;ASSUMPTIONS!$D$10,"New (0-2)",IF(M258&lt;=ASSUMPTIONS!$D$11,"Early (2-5)",IF(M258&lt;=ASSUMPTIONS!$D$12,"Established (5-10)","Veteran (10+)")))</f>
        <v>Established (5-10)</v>
      </c>
      <c r="R258" s="4">
        <f t="shared" si="7"/>
        <v>2.6666666666666665</v>
      </c>
    </row>
    <row r="259" spans="1:18">
      <c r="A259">
        <f>RAW_DATA!A259</f>
        <v>40</v>
      </c>
      <c r="B259" t="str">
        <f>RAW_DATA!B259</f>
        <v>No</v>
      </c>
      <c r="C259" t="str">
        <f>RAW_DATA!C259</f>
        <v>Research &amp; Development</v>
      </c>
      <c r="D259">
        <f>RAW_DATA!D259</f>
        <v>2</v>
      </c>
      <c r="E259">
        <f>RAW_DATA!E259</f>
        <v>2</v>
      </c>
      <c r="F259" t="str">
        <f>RAW_DATA!F259</f>
        <v>Medical</v>
      </c>
      <c r="G259">
        <f>RAW_DATA!G259</f>
        <v>1</v>
      </c>
      <c r="H259">
        <f>RAW_DATA!H259</f>
        <v>3</v>
      </c>
      <c r="I259" t="str">
        <f>RAW_DATA!I259</f>
        <v>Divorced</v>
      </c>
      <c r="J259">
        <f>RAW_DATA!J259</f>
        <v>19436</v>
      </c>
      <c r="K259">
        <f>RAW_DATA!K259</f>
        <v>0</v>
      </c>
      <c r="L259">
        <f>RAW_DATA!L259</f>
        <v>3</v>
      </c>
      <c r="M259">
        <f>RAW_DATA!M259</f>
        <v>21</v>
      </c>
      <c r="N259">
        <f t="shared" ref="N259:N322" si="8" xml:space="preserve"> IF(B259 ="Yes",1,0)</f>
        <v>0</v>
      </c>
      <c r="O259" t="str" cm="1">
        <f t="array" ref="O259" xml:space="preserve"> _xlfn.IFS(A259 &lt;ASSUMPTIONS!$D$2,"25",A259 &lt;= ASSUMPTIONS!$D$3,"25-34",A259 &lt;= ASSUMPTIONS!$D$4, "35-44",A259 &lt;= ASSUMPTIONS!$D$5,"45-54",TRUE,"55+")</f>
        <v>35-44</v>
      </c>
      <c r="P259" t="str" cm="1">
        <f t="array" ref="P259">_xlfn.IFS( J259 &lt;ASSUMPTIONS!$D$7,"LOW",J259 &lt;= ASSUMPTIONS!$D$8,"MEDIUM",TRUE, "HIGH")</f>
        <v>HIGH</v>
      </c>
      <c r="Q259" t="str">
        <f>IF(M259&lt;ASSUMPTIONS!$D$10,"New (0-2)",IF(M259&lt;=ASSUMPTIONS!$D$11,"Early (2-5)",IF(M259&lt;=ASSUMPTIONS!$D$12,"Established (5-10)","Veteran (10+)")))</f>
        <v>Veteran (10+)</v>
      </c>
      <c r="R259" s="4">
        <f t="shared" ref="R259:R322" si="9">AVERAGE(G259,H259,L259)</f>
        <v>2.3333333333333335</v>
      </c>
    </row>
    <row r="260" spans="1:18">
      <c r="A260">
        <f>RAW_DATA!A260</f>
        <v>51</v>
      </c>
      <c r="B260" t="str">
        <f>RAW_DATA!B260</f>
        <v>No</v>
      </c>
      <c r="C260" t="str">
        <f>RAW_DATA!C260</f>
        <v>Research &amp; Development</v>
      </c>
      <c r="D260">
        <f>RAW_DATA!D260</f>
        <v>1</v>
      </c>
      <c r="E260">
        <f>RAW_DATA!E260</f>
        <v>3</v>
      </c>
      <c r="F260" t="str">
        <f>RAW_DATA!F260</f>
        <v>Life Sciences</v>
      </c>
      <c r="G260">
        <f>RAW_DATA!G260</f>
        <v>3</v>
      </c>
      <c r="H260">
        <f>RAW_DATA!H260</f>
        <v>4</v>
      </c>
      <c r="I260" t="str">
        <f>RAW_DATA!I260</f>
        <v>Married</v>
      </c>
      <c r="J260">
        <f>RAW_DATA!J260</f>
        <v>2723</v>
      </c>
      <c r="K260">
        <f>RAW_DATA!K260</f>
        <v>1</v>
      </c>
      <c r="L260">
        <f>RAW_DATA!L260</f>
        <v>2</v>
      </c>
      <c r="M260">
        <f>RAW_DATA!M260</f>
        <v>1</v>
      </c>
      <c r="N260">
        <f t="shared" si="8"/>
        <v>0</v>
      </c>
      <c r="O260" t="str" cm="1">
        <f t="array" ref="O260" xml:space="preserve"> _xlfn.IFS(A260 &lt;ASSUMPTIONS!$D$2,"25",A260 &lt;= ASSUMPTIONS!$D$3,"25-34",A260 &lt;= ASSUMPTIONS!$D$4, "35-44",A260 &lt;= ASSUMPTIONS!$D$5,"45-54",TRUE,"55+")</f>
        <v>45-54</v>
      </c>
      <c r="P260" t="str" cm="1">
        <f t="array" ref="P260">_xlfn.IFS( J260 &lt;ASSUMPTIONS!$D$7,"LOW",J260 &lt;= ASSUMPTIONS!$D$8,"MEDIUM",TRUE, "HIGH")</f>
        <v>LOW</v>
      </c>
      <c r="Q260" t="str">
        <f>IF(M260&lt;ASSUMPTIONS!$D$10,"New (0-2)",IF(M260&lt;=ASSUMPTIONS!$D$11,"Early (2-5)",IF(M260&lt;=ASSUMPTIONS!$D$12,"Established (5-10)","Veteran (10+)")))</f>
        <v>New (0-2)</v>
      </c>
      <c r="R260" s="4">
        <f t="shared" si="9"/>
        <v>3</v>
      </c>
    </row>
    <row r="261" spans="1:18">
      <c r="A261">
        <f>RAW_DATA!A261</f>
        <v>31</v>
      </c>
      <c r="B261" t="str">
        <f>RAW_DATA!B261</f>
        <v>Yes</v>
      </c>
      <c r="C261" t="str">
        <f>RAW_DATA!C261</f>
        <v>Research &amp; Development</v>
      </c>
      <c r="D261">
        <f>RAW_DATA!D261</f>
        <v>29</v>
      </c>
      <c r="E261">
        <f>RAW_DATA!E261</f>
        <v>2</v>
      </c>
      <c r="F261" t="str">
        <f>RAW_DATA!F261</f>
        <v>Medical</v>
      </c>
      <c r="G261">
        <f>RAW_DATA!G261</f>
        <v>3</v>
      </c>
      <c r="H261">
        <f>RAW_DATA!H261</f>
        <v>2</v>
      </c>
      <c r="I261" t="str">
        <f>RAW_DATA!I261</f>
        <v>Single</v>
      </c>
      <c r="J261">
        <f>RAW_DATA!J261</f>
        <v>3479</v>
      </c>
      <c r="K261">
        <f>RAW_DATA!K261</f>
        <v>0</v>
      </c>
      <c r="L261">
        <f>RAW_DATA!L261</f>
        <v>4</v>
      </c>
      <c r="M261">
        <f>RAW_DATA!M261</f>
        <v>5</v>
      </c>
      <c r="N261">
        <f t="shared" si="8"/>
        <v>1</v>
      </c>
      <c r="O261" t="str" cm="1">
        <f t="array" ref="O261" xml:space="preserve"> _xlfn.IFS(A261 &lt;ASSUMPTIONS!$D$2,"25",A261 &lt;= ASSUMPTIONS!$D$3,"25-34",A261 &lt;= ASSUMPTIONS!$D$4, "35-44",A261 &lt;= ASSUMPTIONS!$D$5,"45-54",TRUE,"55+")</f>
        <v>25-34</v>
      </c>
      <c r="P261" t="str" cm="1">
        <f t="array" ref="P261">_xlfn.IFS( J261 &lt;ASSUMPTIONS!$D$7,"LOW",J261 &lt;= ASSUMPTIONS!$D$8,"MEDIUM",TRUE, "HIGH")</f>
        <v>MEDIUM</v>
      </c>
      <c r="Q261" t="str">
        <f>IF(M261&lt;ASSUMPTIONS!$D$10,"New (0-2)",IF(M261&lt;=ASSUMPTIONS!$D$11,"Early (2-5)",IF(M261&lt;=ASSUMPTIONS!$D$12,"Established (5-10)","Veteran (10+)")))</f>
        <v>Early (2-5)</v>
      </c>
      <c r="R261" s="4">
        <f t="shared" si="9"/>
        <v>3</v>
      </c>
    </row>
    <row r="262" spans="1:18">
      <c r="A262">
        <f>RAW_DATA!A262</f>
        <v>32</v>
      </c>
      <c r="B262" t="str">
        <f>RAW_DATA!B262</f>
        <v>No</v>
      </c>
      <c r="C262" t="str">
        <f>RAW_DATA!C262</f>
        <v>Research &amp; Development</v>
      </c>
      <c r="D262">
        <f>RAW_DATA!D262</f>
        <v>7</v>
      </c>
      <c r="E262">
        <f>RAW_DATA!E262</f>
        <v>3</v>
      </c>
      <c r="F262" t="str">
        <f>RAW_DATA!F262</f>
        <v>Life Sciences</v>
      </c>
      <c r="G262">
        <f>RAW_DATA!G262</f>
        <v>2</v>
      </c>
      <c r="H262">
        <f>RAW_DATA!H262</f>
        <v>2</v>
      </c>
      <c r="I262" t="str">
        <f>RAW_DATA!I262</f>
        <v>Married</v>
      </c>
      <c r="J262">
        <f>RAW_DATA!J262</f>
        <v>2794</v>
      </c>
      <c r="K262">
        <f>RAW_DATA!K262</f>
        <v>1</v>
      </c>
      <c r="L262">
        <f>RAW_DATA!L262</f>
        <v>1</v>
      </c>
      <c r="M262">
        <f>RAW_DATA!M262</f>
        <v>5</v>
      </c>
      <c r="N262">
        <f t="shared" si="8"/>
        <v>0</v>
      </c>
      <c r="O262" t="str" cm="1">
        <f t="array" ref="O262" xml:space="preserve"> _xlfn.IFS(A262 &lt;ASSUMPTIONS!$D$2,"25",A262 &lt;= ASSUMPTIONS!$D$3,"25-34",A262 &lt;= ASSUMPTIONS!$D$4, "35-44",A262 &lt;= ASSUMPTIONS!$D$5,"45-54",TRUE,"55+")</f>
        <v>25-34</v>
      </c>
      <c r="P262" t="str" cm="1">
        <f t="array" ref="P262">_xlfn.IFS( J262 &lt;ASSUMPTIONS!$D$7,"LOW",J262 &lt;= ASSUMPTIONS!$D$8,"MEDIUM",TRUE, "HIGH")</f>
        <v>LOW</v>
      </c>
      <c r="Q262" t="str">
        <f>IF(M262&lt;ASSUMPTIONS!$D$10,"New (0-2)",IF(M262&lt;=ASSUMPTIONS!$D$11,"Early (2-5)",IF(M262&lt;=ASSUMPTIONS!$D$12,"Established (5-10)","Veteran (10+)")))</f>
        <v>Early (2-5)</v>
      </c>
      <c r="R262" s="4">
        <f t="shared" si="9"/>
        <v>1.6666666666666667</v>
      </c>
    </row>
    <row r="263" spans="1:18">
      <c r="A263">
        <f>RAW_DATA!A263</f>
        <v>38</v>
      </c>
      <c r="B263" t="str">
        <f>RAW_DATA!B263</f>
        <v>No</v>
      </c>
      <c r="C263" t="str">
        <f>RAW_DATA!C263</f>
        <v>Sales</v>
      </c>
      <c r="D263">
        <f>RAW_DATA!D263</f>
        <v>2</v>
      </c>
      <c r="E263">
        <f>RAW_DATA!E263</f>
        <v>2</v>
      </c>
      <c r="F263" t="str">
        <f>RAW_DATA!F263</f>
        <v>Life Sciences</v>
      </c>
      <c r="G263">
        <f>RAW_DATA!G263</f>
        <v>4</v>
      </c>
      <c r="H263">
        <f>RAW_DATA!H263</f>
        <v>4</v>
      </c>
      <c r="I263" t="str">
        <f>RAW_DATA!I263</f>
        <v>Married</v>
      </c>
      <c r="J263">
        <f>RAW_DATA!J263</f>
        <v>5249</v>
      </c>
      <c r="K263">
        <f>RAW_DATA!K263</f>
        <v>3</v>
      </c>
      <c r="L263">
        <f>RAW_DATA!L263</f>
        <v>3</v>
      </c>
      <c r="M263">
        <f>RAW_DATA!M263</f>
        <v>8</v>
      </c>
      <c r="N263">
        <f t="shared" si="8"/>
        <v>0</v>
      </c>
      <c r="O263" t="str" cm="1">
        <f t="array" ref="O263" xml:space="preserve"> _xlfn.IFS(A263 &lt;ASSUMPTIONS!$D$2,"25",A263 &lt;= ASSUMPTIONS!$D$3,"25-34",A263 &lt;= ASSUMPTIONS!$D$4, "35-44",A263 &lt;= ASSUMPTIONS!$D$5,"45-54",TRUE,"55+")</f>
        <v>35-44</v>
      </c>
      <c r="P263" t="str" cm="1">
        <f t="array" ref="P263">_xlfn.IFS( J263 &lt;ASSUMPTIONS!$D$7,"LOW",J263 &lt;= ASSUMPTIONS!$D$8,"MEDIUM",TRUE, "HIGH")</f>
        <v>MEDIUM</v>
      </c>
      <c r="Q263" t="str">
        <f>IF(M263&lt;ASSUMPTIONS!$D$10,"New (0-2)",IF(M263&lt;=ASSUMPTIONS!$D$11,"Early (2-5)",IF(M263&lt;=ASSUMPTIONS!$D$12,"Established (5-10)","Veteran (10+)")))</f>
        <v>Established (5-10)</v>
      </c>
      <c r="R263" s="4">
        <f t="shared" si="9"/>
        <v>3.6666666666666665</v>
      </c>
    </row>
    <row r="264" spans="1:18">
      <c r="A264">
        <f>RAW_DATA!A264</f>
        <v>32</v>
      </c>
      <c r="B264" t="str">
        <f>RAW_DATA!B264</f>
        <v>No</v>
      </c>
      <c r="C264" t="str">
        <f>RAW_DATA!C264</f>
        <v>Research &amp; Development</v>
      </c>
      <c r="D264">
        <f>RAW_DATA!D264</f>
        <v>2</v>
      </c>
      <c r="E264">
        <f>RAW_DATA!E264</f>
        <v>1</v>
      </c>
      <c r="F264" t="str">
        <f>RAW_DATA!F264</f>
        <v>Technical Degree</v>
      </c>
      <c r="G264">
        <f>RAW_DATA!G264</f>
        <v>4</v>
      </c>
      <c r="H264">
        <f>RAW_DATA!H264</f>
        <v>1</v>
      </c>
      <c r="I264" t="str">
        <f>RAW_DATA!I264</f>
        <v>Single</v>
      </c>
      <c r="J264">
        <f>RAW_DATA!J264</f>
        <v>2176</v>
      </c>
      <c r="K264">
        <f>RAW_DATA!K264</f>
        <v>4</v>
      </c>
      <c r="L264">
        <f>RAW_DATA!L264</f>
        <v>3</v>
      </c>
      <c r="M264">
        <f>RAW_DATA!M264</f>
        <v>6</v>
      </c>
      <c r="N264">
        <f t="shared" si="8"/>
        <v>0</v>
      </c>
      <c r="O264" t="str" cm="1">
        <f t="array" ref="O264" xml:space="preserve"> _xlfn.IFS(A264 &lt;ASSUMPTIONS!$D$2,"25",A264 &lt;= ASSUMPTIONS!$D$3,"25-34",A264 &lt;= ASSUMPTIONS!$D$4, "35-44",A264 &lt;= ASSUMPTIONS!$D$5,"45-54",TRUE,"55+")</f>
        <v>25-34</v>
      </c>
      <c r="P264" t="str" cm="1">
        <f t="array" ref="P264">_xlfn.IFS( J264 &lt;ASSUMPTIONS!$D$7,"LOW",J264 &lt;= ASSUMPTIONS!$D$8,"MEDIUM",TRUE, "HIGH")</f>
        <v>LOW</v>
      </c>
      <c r="Q264" t="str">
        <f>IF(M264&lt;ASSUMPTIONS!$D$10,"New (0-2)",IF(M264&lt;=ASSUMPTIONS!$D$11,"Early (2-5)",IF(M264&lt;=ASSUMPTIONS!$D$12,"Established (5-10)","Veteran (10+)")))</f>
        <v>Established (5-10)</v>
      </c>
      <c r="R264" s="4">
        <f t="shared" si="9"/>
        <v>2.6666666666666665</v>
      </c>
    </row>
    <row r="265" spans="1:18">
      <c r="A265">
        <f>RAW_DATA!A265</f>
        <v>46</v>
      </c>
      <c r="B265" t="str">
        <f>RAW_DATA!B265</f>
        <v>No</v>
      </c>
      <c r="C265" t="str">
        <f>RAW_DATA!C265</f>
        <v>Sales</v>
      </c>
      <c r="D265">
        <f>RAW_DATA!D265</f>
        <v>2</v>
      </c>
      <c r="E265">
        <f>RAW_DATA!E265</f>
        <v>3</v>
      </c>
      <c r="F265" t="str">
        <f>RAW_DATA!F265</f>
        <v>Technical Degree</v>
      </c>
      <c r="G265">
        <f>RAW_DATA!G265</f>
        <v>3</v>
      </c>
      <c r="H265">
        <f>RAW_DATA!H265</f>
        <v>2</v>
      </c>
      <c r="I265" t="str">
        <f>RAW_DATA!I265</f>
        <v>Married</v>
      </c>
      <c r="J265">
        <f>RAW_DATA!J265</f>
        <v>16872</v>
      </c>
      <c r="K265">
        <f>RAW_DATA!K265</f>
        <v>3</v>
      </c>
      <c r="L265">
        <f>RAW_DATA!L265</f>
        <v>2</v>
      </c>
      <c r="M265">
        <f>RAW_DATA!M265</f>
        <v>7</v>
      </c>
      <c r="N265">
        <f t="shared" si="8"/>
        <v>0</v>
      </c>
      <c r="O265" t="str" cm="1">
        <f t="array" ref="O265" xml:space="preserve"> _xlfn.IFS(A265 &lt;ASSUMPTIONS!$D$2,"25",A265 &lt;= ASSUMPTIONS!$D$3,"25-34",A265 &lt;= ASSUMPTIONS!$D$4, "35-44",A265 &lt;= ASSUMPTIONS!$D$5,"45-54",TRUE,"55+")</f>
        <v>45-54</v>
      </c>
      <c r="P265" t="str" cm="1">
        <f t="array" ref="P265">_xlfn.IFS( J265 &lt;ASSUMPTIONS!$D$7,"LOW",J265 &lt;= ASSUMPTIONS!$D$8,"MEDIUM",TRUE, "HIGH")</f>
        <v>HIGH</v>
      </c>
      <c r="Q265" t="str">
        <f>IF(M265&lt;ASSUMPTIONS!$D$10,"New (0-2)",IF(M265&lt;=ASSUMPTIONS!$D$11,"Early (2-5)",IF(M265&lt;=ASSUMPTIONS!$D$12,"Established (5-10)","Veteran (10+)")))</f>
        <v>Established (5-10)</v>
      </c>
      <c r="R265" s="4">
        <f t="shared" si="9"/>
        <v>2.3333333333333335</v>
      </c>
    </row>
    <row r="266" spans="1:18">
      <c r="A266">
        <f>RAW_DATA!A266</f>
        <v>28</v>
      </c>
      <c r="B266" t="str">
        <f>RAW_DATA!B266</f>
        <v>Yes</v>
      </c>
      <c r="C266" t="str">
        <f>RAW_DATA!C266</f>
        <v>Research &amp; Development</v>
      </c>
      <c r="D266">
        <f>RAW_DATA!D266</f>
        <v>2</v>
      </c>
      <c r="E266">
        <f>RAW_DATA!E266</f>
        <v>4</v>
      </c>
      <c r="F266" t="str">
        <f>RAW_DATA!F266</f>
        <v>Life Sciences</v>
      </c>
      <c r="G266">
        <f>RAW_DATA!G266</f>
        <v>1</v>
      </c>
      <c r="H266">
        <f>RAW_DATA!H266</f>
        <v>3</v>
      </c>
      <c r="I266" t="str">
        <f>RAW_DATA!I266</f>
        <v>Single</v>
      </c>
      <c r="J266">
        <f>RAW_DATA!J266</f>
        <v>3485</v>
      </c>
      <c r="K266">
        <f>RAW_DATA!K266</f>
        <v>2</v>
      </c>
      <c r="L266">
        <f>RAW_DATA!L266</f>
        <v>1</v>
      </c>
      <c r="M266">
        <f>RAW_DATA!M266</f>
        <v>0</v>
      </c>
      <c r="N266">
        <f t="shared" si="8"/>
        <v>1</v>
      </c>
      <c r="O266" t="str" cm="1">
        <f t="array" ref="O266" xml:space="preserve"> _xlfn.IFS(A266 &lt;ASSUMPTIONS!$D$2,"25",A266 &lt;= ASSUMPTIONS!$D$3,"25-34",A266 &lt;= ASSUMPTIONS!$D$4, "35-44",A266 &lt;= ASSUMPTIONS!$D$5,"45-54",TRUE,"55+")</f>
        <v>25-34</v>
      </c>
      <c r="P266" t="str" cm="1">
        <f t="array" ref="P266">_xlfn.IFS( J266 &lt;ASSUMPTIONS!$D$7,"LOW",J266 &lt;= ASSUMPTIONS!$D$8,"MEDIUM",TRUE, "HIGH")</f>
        <v>MEDIUM</v>
      </c>
      <c r="Q266" t="str">
        <f>IF(M266&lt;ASSUMPTIONS!$D$10,"New (0-2)",IF(M266&lt;=ASSUMPTIONS!$D$11,"Early (2-5)",IF(M266&lt;=ASSUMPTIONS!$D$12,"Established (5-10)","Veteran (10+)")))</f>
        <v>New (0-2)</v>
      </c>
      <c r="R266" s="4">
        <f t="shared" si="9"/>
        <v>1.6666666666666667</v>
      </c>
    </row>
    <row r="267" spans="1:18">
      <c r="A267">
        <f>RAW_DATA!A267</f>
        <v>29</v>
      </c>
      <c r="B267" t="str">
        <f>RAW_DATA!B267</f>
        <v>No</v>
      </c>
      <c r="C267" t="str">
        <f>RAW_DATA!C267</f>
        <v>Sales</v>
      </c>
      <c r="D267">
        <f>RAW_DATA!D267</f>
        <v>2</v>
      </c>
      <c r="E267">
        <f>RAW_DATA!E267</f>
        <v>3</v>
      </c>
      <c r="F267" t="str">
        <f>RAW_DATA!F267</f>
        <v>Medical</v>
      </c>
      <c r="G267">
        <f>RAW_DATA!G267</f>
        <v>1</v>
      </c>
      <c r="H267">
        <f>RAW_DATA!H267</f>
        <v>2</v>
      </c>
      <c r="I267" t="str">
        <f>RAW_DATA!I267</f>
        <v>Married</v>
      </c>
      <c r="J267">
        <f>RAW_DATA!J267</f>
        <v>6644</v>
      </c>
      <c r="K267">
        <f>RAW_DATA!K267</f>
        <v>2</v>
      </c>
      <c r="L267">
        <f>RAW_DATA!L267</f>
        <v>3</v>
      </c>
      <c r="M267">
        <f>RAW_DATA!M267</f>
        <v>0</v>
      </c>
      <c r="N267">
        <f t="shared" si="8"/>
        <v>0</v>
      </c>
      <c r="O267" t="str" cm="1">
        <f t="array" ref="O267" xml:space="preserve"> _xlfn.IFS(A267 &lt;ASSUMPTIONS!$D$2,"25",A267 &lt;= ASSUMPTIONS!$D$3,"25-34",A267 &lt;= ASSUMPTIONS!$D$4, "35-44",A267 &lt;= ASSUMPTIONS!$D$5,"45-54",TRUE,"55+")</f>
        <v>25-34</v>
      </c>
      <c r="P267" t="str" cm="1">
        <f t="array" ref="P267">_xlfn.IFS( J267 &lt;ASSUMPTIONS!$D$7,"LOW",J267 &lt;= ASSUMPTIONS!$D$8,"MEDIUM",TRUE, "HIGH")</f>
        <v>MEDIUM</v>
      </c>
      <c r="Q267" t="str">
        <f>IF(M267&lt;ASSUMPTIONS!$D$10,"New (0-2)",IF(M267&lt;=ASSUMPTIONS!$D$11,"Early (2-5)",IF(M267&lt;=ASSUMPTIONS!$D$12,"Established (5-10)","Veteran (10+)")))</f>
        <v>New (0-2)</v>
      </c>
      <c r="R267" s="4">
        <f t="shared" si="9"/>
        <v>2</v>
      </c>
    </row>
    <row r="268" spans="1:18">
      <c r="A268">
        <f>RAW_DATA!A268</f>
        <v>31</v>
      </c>
      <c r="B268" t="str">
        <f>RAW_DATA!B268</f>
        <v>No</v>
      </c>
      <c r="C268" t="str">
        <f>RAW_DATA!C268</f>
        <v>Research &amp; Development</v>
      </c>
      <c r="D268">
        <f>RAW_DATA!D268</f>
        <v>23</v>
      </c>
      <c r="E268">
        <f>RAW_DATA!E268</f>
        <v>3</v>
      </c>
      <c r="F268" t="str">
        <f>RAW_DATA!F268</f>
        <v>Medical</v>
      </c>
      <c r="G268">
        <f>RAW_DATA!G268</f>
        <v>2</v>
      </c>
      <c r="H268">
        <f>RAW_DATA!H268</f>
        <v>4</v>
      </c>
      <c r="I268" t="str">
        <f>RAW_DATA!I268</f>
        <v>Married</v>
      </c>
      <c r="J268">
        <f>RAW_DATA!J268</f>
        <v>5582</v>
      </c>
      <c r="K268">
        <f>RAW_DATA!K268</f>
        <v>0</v>
      </c>
      <c r="L268">
        <f>RAW_DATA!L268</f>
        <v>3</v>
      </c>
      <c r="M268">
        <f>RAW_DATA!M268</f>
        <v>9</v>
      </c>
      <c r="N268">
        <f t="shared" si="8"/>
        <v>0</v>
      </c>
      <c r="O268" t="str" cm="1">
        <f t="array" ref="O268" xml:space="preserve"> _xlfn.IFS(A268 &lt;ASSUMPTIONS!$D$2,"25",A268 &lt;= ASSUMPTIONS!$D$3,"25-34",A268 &lt;= ASSUMPTIONS!$D$4, "35-44",A268 &lt;= ASSUMPTIONS!$D$5,"45-54",TRUE,"55+")</f>
        <v>25-34</v>
      </c>
      <c r="P268" t="str" cm="1">
        <f t="array" ref="P268">_xlfn.IFS( J268 &lt;ASSUMPTIONS!$D$7,"LOW",J268 &lt;= ASSUMPTIONS!$D$8,"MEDIUM",TRUE, "HIGH")</f>
        <v>MEDIUM</v>
      </c>
      <c r="Q268" t="str">
        <f>IF(M268&lt;ASSUMPTIONS!$D$10,"New (0-2)",IF(M268&lt;=ASSUMPTIONS!$D$11,"Early (2-5)",IF(M268&lt;=ASSUMPTIONS!$D$12,"Established (5-10)","Veteran (10+)")))</f>
        <v>Established (5-10)</v>
      </c>
      <c r="R268" s="4">
        <f t="shared" si="9"/>
        <v>3</v>
      </c>
    </row>
    <row r="269" spans="1:18">
      <c r="A269">
        <f>RAW_DATA!A269</f>
        <v>25</v>
      </c>
      <c r="B269" t="str">
        <f>RAW_DATA!B269</f>
        <v>No</v>
      </c>
      <c r="C269" t="str">
        <f>RAW_DATA!C269</f>
        <v>Research &amp; Development</v>
      </c>
      <c r="D269">
        <f>RAW_DATA!D269</f>
        <v>5</v>
      </c>
      <c r="E269">
        <f>RAW_DATA!E269</f>
        <v>2</v>
      </c>
      <c r="F269" t="str">
        <f>RAW_DATA!F269</f>
        <v>Life Sciences</v>
      </c>
      <c r="G269">
        <f>RAW_DATA!G269</f>
        <v>2</v>
      </c>
      <c r="H269">
        <f>RAW_DATA!H269</f>
        <v>1</v>
      </c>
      <c r="I269" t="str">
        <f>RAW_DATA!I269</f>
        <v>Divorced</v>
      </c>
      <c r="J269">
        <f>RAW_DATA!J269</f>
        <v>4000</v>
      </c>
      <c r="K269">
        <f>RAW_DATA!K269</f>
        <v>1</v>
      </c>
      <c r="L269">
        <f>RAW_DATA!L269</f>
        <v>3</v>
      </c>
      <c r="M269">
        <f>RAW_DATA!M269</f>
        <v>6</v>
      </c>
      <c r="N269">
        <f t="shared" si="8"/>
        <v>0</v>
      </c>
      <c r="O269" t="str" cm="1">
        <f t="array" ref="O269" xml:space="preserve"> _xlfn.IFS(A269 &lt;ASSUMPTIONS!$D$2,"25",A269 &lt;= ASSUMPTIONS!$D$3,"25-34",A269 &lt;= ASSUMPTIONS!$D$4, "35-44",A269 &lt;= ASSUMPTIONS!$D$5,"45-54",TRUE,"55+")</f>
        <v>25-34</v>
      </c>
      <c r="P269" t="str" cm="1">
        <f t="array" ref="P269">_xlfn.IFS( J269 &lt;ASSUMPTIONS!$D$7,"LOW",J269 &lt;= ASSUMPTIONS!$D$8,"MEDIUM",TRUE, "HIGH")</f>
        <v>MEDIUM</v>
      </c>
      <c r="Q269" t="str">
        <f>IF(M269&lt;ASSUMPTIONS!$D$10,"New (0-2)",IF(M269&lt;=ASSUMPTIONS!$D$11,"Early (2-5)",IF(M269&lt;=ASSUMPTIONS!$D$12,"Established (5-10)","Veteran (10+)")))</f>
        <v>Established (5-10)</v>
      </c>
      <c r="R269" s="4">
        <f t="shared" si="9"/>
        <v>2</v>
      </c>
    </row>
    <row r="270" spans="1:18">
      <c r="A270">
        <f>RAW_DATA!A270</f>
        <v>45</v>
      </c>
      <c r="B270" t="str">
        <f>RAW_DATA!B270</f>
        <v>No</v>
      </c>
      <c r="C270" t="str">
        <f>RAW_DATA!C270</f>
        <v>Research &amp; Development</v>
      </c>
      <c r="D270">
        <f>RAW_DATA!D270</f>
        <v>20</v>
      </c>
      <c r="E270">
        <f>RAW_DATA!E270</f>
        <v>2</v>
      </c>
      <c r="F270" t="str">
        <f>RAW_DATA!F270</f>
        <v>Medical</v>
      </c>
      <c r="G270">
        <f>RAW_DATA!G270</f>
        <v>3</v>
      </c>
      <c r="H270">
        <f>RAW_DATA!H270</f>
        <v>4</v>
      </c>
      <c r="I270" t="str">
        <f>RAW_DATA!I270</f>
        <v>Married</v>
      </c>
      <c r="J270">
        <f>RAW_DATA!J270</f>
        <v>13496</v>
      </c>
      <c r="K270">
        <f>RAW_DATA!K270</f>
        <v>0</v>
      </c>
      <c r="L270">
        <f>RAW_DATA!L270</f>
        <v>3</v>
      </c>
      <c r="M270">
        <f>RAW_DATA!M270</f>
        <v>20</v>
      </c>
      <c r="N270">
        <f t="shared" si="8"/>
        <v>0</v>
      </c>
      <c r="O270" t="str" cm="1">
        <f t="array" ref="O270" xml:space="preserve"> _xlfn.IFS(A270 &lt;ASSUMPTIONS!$D$2,"25",A270 &lt;= ASSUMPTIONS!$D$3,"25-34",A270 &lt;= ASSUMPTIONS!$D$4, "35-44",A270 &lt;= ASSUMPTIONS!$D$5,"45-54",TRUE,"55+")</f>
        <v>45-54</v>
      </c>
      <c r="P270" t="str" cm="1">
        <f t="array" ref="P270">_xlfn.IFS( J270 &lt;ASSUMPTIONS!$D$7,"LOW",J270 &lt;= ASSUMPTIONS!$D$8,"MEDIUM",TRUE, "HIGH")</f>
        <v>HIGH</v>
      </c>
      <c r="Q270" t="str">
        <f>IF(M270&lt;ASSUMPTIONS!$D$10,"New (0-2)",IF(M270&lt;=ASSUMPTIONS!$D$11,"Early (2-5)",IF(M270&lt;=ASSUMPTIONS!$D$12,"Established (5-10)","Veteran (10+)")))</f>
        <v>Veteran (10+)</v>
      </c>
      <c r="R270" s="4">
        <f t="shared" si="9"/>
        <v>3.3333333333333335</v>
      </c>
    </row>
    <row r="271" spans="1:18">
      <c r="A271">
        <f>RAW_DATA!A271</f>
        <v>36</v>
      </c>
      <c r="B271" t="str">
        <f>RAW_DATA!B271</f>
        <v>No</v>
      </c>
      <c r="C271" t="str">
        <f>RAW_DATA!C271</f>
        <v>Research &amp; Development</v>
      </c>
      <c r="D271">
        <f>RAW_DATA!D271</f>
        <v>6</v>
      </c>
      <c r="E271">
        <f>RAW_DATA!E271</f>
        <v>3</v>
      </c>
      <c r="F271" t="str">
        <f>RAW_DATA!F271</f>
        <v>Life Sciences</v>
      </c>
      <c r="G271">
        <f>RAW_DATA!G271</f>
        <v>4</v>
      </c>
      <c r="H271">
        <f>RAW_DATA!H271</f>
        <v>4</v>
      </c>
      <c r="I271" t="str">
        <f>RAW_DATA!I271</f>
        <v>Married</v>
      </c>
      <c r="J271">
        <f>RAW_DATA!J271</f>
        <v>3210</v>
      </c>
      <c r="K271">
        <f>RAW_DATA!K271</f>
        <v>0</v>
      </c>
      <c r="L271">
        <f>RAW_DATA!L271</f>
        <v>3</v>
      </c>
      <c r="M271">
        <f>RAW_DATA!M271</f>
        <v>15</v>
      </c>
      <c r="N271">
        <f t="shared" si="8"/>
        <v>0</v>
      </c>
      <c r="O271" t="str" cm="1">
        <f t="array" ref="O271" xml:space="preserve"> _xlfn.IFS(A271 &lt;ASSUMPTIONS!$D$2,"25",A271 &lt;= ASSUMPTIONS!$D$3,"25-34",A271 &lt;= ASSUMPTIONS!$D$4, "35-44",A271 &lt;= ASSUMPTIONS!$D$5,"45-54",TRUE,"55+")</f>
        <v>35-44</v>
      </c>
      <c r="P271" t="str" cm="1">
        <f t="array" ref="P271">_xlfn.IFS( J271 &lt;ASSUMPTIONS!$D$7,"LOW",J271 &lt;= ASSUMPTIONS!$D$8,"MEDIUM",TRUE, "HIGH")</f>
        <v>MEDIUM</v>
      </c>
      <c r="Q271" t="str">
        <f>IF(M271&lt;ASSUMPTIONS!$D$10,"New (0-2)",IF(M271&lt;=ASSUMPTIONS!$D$11,"Early (2-5)",IF(M271&lt;=ASSUMPTIONS!$D$12,"Established (5-10)","Veteran (10+)")))</f>
        <v>Veteran (10+)</v>
      </c>
      <c r="R271" s="4">
        <f t="shared" si="9"/>
        <v>3.6666666666666665</v>
      </c>
    </row>
    <row r="272" spans="1:18">
      <c r="A272">
        <f>RAW_DATA!A272</f>
        <v>55</v>
      </c>
      <c r="B272" t="str">
        <f>RAW_DATA!B272</f>
        <v>No</v>
      </c>
      <c r="C272" t="str">
        <f>RAW_DATA!C272</f>
        <v>Research &amp; Development</v>
      </c>
      <c r="D272">
        <f>RAW_DATA!D272</f>
        <v>1</v>
      </c>
      <c r="E272">
        <f>RAW_DATA!E272</f>
        <v>3</v>
      </c>
      <c r="F272" t="str">
        <f>RAW_DATA!F272</f>
        <v>Medical</v>
      </c>
      <c r="G272">
        <f>RAW_DATA!G272</f>
        <v>4</v>
      </c>
      <c r="H272">
        <f>RAW_DATA!H272</f>
        <v>1</v>
      </c>
      <c r="I272" t="str">
        <f>RAW_DATA!I272</f>
        <v>Single</v>
      </c>
      <c r="J272">
        <f>RAW_DATA!J272</f>
        <v>19045</v>
      </c>
      <c r="K272">
        <f>RAW_DATA!K272</f>
        <v>0</v>
      </c>
      <c r="L272">
        <f>RAW_DATA!L272</f>
        <v>3</v>
      </c>
      <c r="M272">
        <f>RAW_DATA!M272</f>
        <v>36</v>
      </c>
      <c r="N272">
        <f t="shared" si="8"/>
        <v>0</v>
      </c>
      <c r="O272" t="str" cm="1">
        <f t="array" ref="O272" xml:space="preserve"> _xlfn.IFS(A272 &lt;ASSUMPTIONS!$D$2,"25",A272 &lt;= ASSUMPTIONS!$D$3,"25-34",A272 &lt;= ASSUMPTIONS!$D$4, "35-44",A272 &lt;= ASSUMPTIONS!$D$5,"45-54",TRUE,"55+")</f>
        <v>55+</v>
      </c>
      <c r="P272" t="str" cm="1">
        <f t="array" ref="P272">_xlfn.IFS( J272 &lt;ASSUMPTIONS!$D$7,"LOW",J272 &lt;= ASSUMPTIONS!$D$8,"MEDIUM",TRUE, "HIGH")</f>
        <v>HIGH</v>
      </c>
      <c r="Q272" t="str">
        <f>IF(M272&lt;ASSUMPTIONS!$D$10,"New (0-2)",IF(M272&lt;=ASSUMPTIONS!$D$11,"Early (2-5)",IF(M272&lt;=ASSUMPTIONS!$D$12,"Established (5-10)","Veteran (10+)")))</f>
        <v>Veteran (10+)</v>
      </c>
      <c r="R272" s="4">
        <f t="shared" si="9"/>
        <v>2.6666666666666665</v>
      </c>
    </row>
    <row r="273" spans="1:18">
      <c r="A273">
        <f>RAW_DATA!A273</f>
        <v>47</v>
      </c>
      <c r="B273" t="str">
        <f>RAW_DATA!B273</f>
        <v>Yes</v>
      </c>
      <c r="C273" t="str">
        <f>RAW_DATA!C273</f>
        <v>Research &amp; Development</v>
      </c>
      <c r="D273">
        <f>RAW_DATA!D273</f>
        <v>29</v>
      </c>
      <c r="E273">
        <f>RAW_DATA!E273</f>
        <v>4</v>
      </c>
      <c r="F273" t="str">
        <f>RAW_DATA!F273</f>
        <v>Life Sciences</v>
      </c>
      <c r="G273">
        <f>RAW_DATA!G273</f>
        <v>1</v>
      </c>
      <c r="H273">
        <f>RAW_DATA!H273</f>
        <v>2</v>
      </c>
      <c r="I273" t="str">
        <f>RAW_DATA!I273</f>
        <v>Married</v>
      </c>
      <c r="J273">
        <f>RAW_DATA!J273</f>
        <v>11849</v>
      </c>
      <c r="K273">
        <f>RAW_DATA!K273</f>
        <v>1</v>
      </c>
      <c r="L273">
        <f>RAW_DATA!L273</f>
        <v>2</v>
      </c>
      <c r="M273">
        <f>RAW_DATA!M273</f>
        <v>10</v>
      </c>
      <c r="N273">
        <f t="shared" si="8"/>
        <v>1</v>
      </c>
      <c r="O273" t="str" cm="1">
        <f t="array" ref="O273" xml:space="preserve"> _xlfn.IFS(A273 &lt;ASSUMPTIONS!$D$2,"25",A273 &lt;= ASSUMPTIONS!$D$3,"25-34",A273 &lt;= ASSUMPTIONS!$D$4, "35-44",A273 &lt;= ASSUMPTIONS!$D$5,"45-54",TRUE,"55+")</f>
        <v>45-54</v>
      </c>
      <c r="P273" t="str" cm="1">
        <f t="array" ref="P273">_xlfn.IFS( J273 &lt;ASSUMPTIONS!$D$7,"LOW",J273 &lt;= ASSUMPTIONS!$D$8,"MEDIUM",TRUE, "HIGH")</f>
        <v>HIGH</v>
      </c>
      <c r="Q273" t="str">
        <f>IF(M273&lt;ASSUMPTIONS!$D$10,"New (0-2)",IF(M273&lt;=ASSUMPTIONS!$D$11,"Early (2-5)",IF(M273&lt;=ASSUMPTIONS!$D$12,"Established (5-10)","Veteran (10+)")))</f>
        <v>Established (5-10)</v>
      </c>
      <c r="R273" s="4">
        <f t="shared" si="9"/>
        <v>1.6666666666666667</v>
      </c>
    </row>
    <row r="274" spans="1:18">
      <c r="A274">
        <f>RAW_DATA!A274</f>
        <v>28</v>
      </c>
      <c r="B274" t="str">
        <f>RAW_DATA!B274</f>
        <v>No</v>
      </c>
      <c r="C274" t="str">
        <f>RAW_DATA!C274</f>
        <v>Research &amp; Development</v>
      </c>
      <c r="D274">
        <f>RAW_DATA!D274</f>
        <v>9</v>
      </c>
      <c r="E274">
        <f>RAW_DATA!E274</f>
        <v>3</v>
      </c>
      <c r="F274" t="str">
        <f>RAW_DATA!F274</f>
        <v>Medical</v>
      </c>
      <c r="G274">
        <f>RAW_DATA!G274</f>
        <v>4</v>
      </c>
      <c r="H274">
        <f>RAW_DATA!H274</f>
        <v>4</v>
      </c>
      <c r="I274" t="str">
        <f>RAW_DATA!I274</f>
        <v>Married</v>
      </c>
      <c r="J274">
        <f>RAW_DATA!J274</f>
        <v>2070</v>
      </c>
      <c r="K274">
        <f>RAW_DATA!K274</f>
        <v>1</v>
      </c>
      <c r="L274">
        <f>RAW_DATA!L274</f>
        <v>2</v>
      </c>
      <c r="M274">
        <f>RAW_DATA!M274</f>
        <v>5</v>
      </c>
      <c r="N274">
        <f t="shared" si="8"/>
        <v>0</v>
      </c>
      <c r="O274" t="str" cm="1">
        <f t="array" ref="O274" xml:space="preserve"> _xlfn.IFS(A274 &lt;ASSUMPTIONS!$D$2,"25",A274 &lt;= ASSUMPTIONS!$D$3,"25-34",A274 &lt;= ASSUMPTIONS!$D$4, "35-44",A274 &lt;= ASSUMPTIONS!$D$5,"45-54",TRUE,"55+")</f>
        <v>25-34</v>
      </c>
      <c r="P274" t="str" cm="1">
        <f t="array" ref="P274">_xlfn.IFS( J274 &lt;ASSUMPTIONS!$D$7,"LOW",J274 &lt;= ASSUMPTIONS!$D$8,"MEDIUM",TRUE, "HIGH")</f>
        <v>LOW</v>
      </c>
      <c r="Q274" t="str">
        <f>IF(M274&lt;ASSUMPTIONS!$D$10,"New (0-2)",IF(M274&lt;=ASSUMPTIONS!$D$11,"Early (2-5)",IF(M274&lt;=ASSUMPTIONS!$D$12,"Established (5-10)","Veteran (10+)")))</f>
        <v>Early (2-5)</v>
      </c>
      <c r="R274" s="4">
        <f t="shared" si="9"/>
        <v>3.3333333333333335</v>
      </c>
    </row>
    <row r="275" spans="1:18">
      <c r="A275">
        <f>RAW_DATA!A275</f>
        <v>37</v>
      </c>
      <c r="B275" t="str">
        <f>RAW_DATA!B275</f>
        <v>No</v>
      </c>
      <c r="C275" t="str">
        <f>RAW_DATA!C275</f>
        <v>Sales</v>
      </c>
      <c r="D275">
        <f>RAW_DATA!D275</f>
        <v>6</v>
      </c>
      <c r="E275">
        <f>RAW_DATA!E275</f>
        <v>4</v>
      </c>
      <c r="F275" t="str">
        <f>RAW_DATA!F275</f>
        <v>Medical</v>
      </c>
      <c r="G275">
        <f>RAW_DATA!G275</f>
        <v>3</v>
      </c>
      <c r="H275">
        <f>RAW_DATA!H275</f>
        <v>4</v>
      </c>
      <c r="I275" t="str">
        <f>RAW_DATA!I275</f>
        <v>Married</v>
      </c>
      <c r="J275">
        <f>RAW_DATA!J275</f>
        <v>6502</v>
      </c>
      <c r="K275">
        <f>RAW_DATA!K275</f>
        <v>4</v>
      </c>
      <c r="L275">
        <f>RAW_DATA!L275</f>
        <v>4</v>
      </c>
      <c r="M275">
        <f>RAW_DATA!M275</f>
        <v>5</v>
      </c>
      <c r="N275">
        <f t="shared" si="8"/>
        <v>0</v>
      </c>
      <c r="O275" t="str" cm="1">
        <f t="array" ref="O275" xml:space="preserve"> _xlfn.IFS(A275 &lt;ASSUMPTIONS!$D$2,"25",A275 &lt;= ASSUMPTIONS!$D$3,"25-34",A275 &lt;= ASSUMPTIONS!$D$4, "35-44",A275 &lt;= ASSUMPTIONS!$D$5,"45-54",TRUE,"55+")</f>
        <v>35-44</v>
      </c>
      <c r="P275" t="str" cm="1">
        <f t="array" ref="P275">_xlfn.IFS( J275 &lt;ASSUMPTIONS!$D$7,"LOW",J275 &lt;= ASSUMPTIONS!$D$8,"MEDIUM",TRUE, "HIGH")</f>
        <v>MEDIUM</v>
      </c>
      <c r="Q275" t="str">
        <f>IF(M275&lt;ASSUMPTIONS!$D$10,"New (0-2)",IF(M275&lt;=ASSUMPTIONS!$D$11,"Early (2-5)",IF(M275&lt;=ASSUMPTIONS!$D$12,"Established (5-10)","Veteran (10+)")))</f>
        <v>Early (2-5)</v>
      </c>
      <c r="R275" s="4">
        <f t="shared" si="9"/>
        <v>3.6666666666666665</v>
      </c>
    </row>
    <row r="276" spans="1:18">
      <c r="A276">
        <f>RAW_DATA!A276</f>
        <v>21</v>
      </c>
      <c r="B276" t="str">
        <f>RAW_DATA!B276</f>
        <v>No</v>
      </c>
      <c r="C276" t="str">
        <f>RAW_DATA!C276</f>
        <v>Research &amp; Development</v>
      </c>
      <c r="D276">
        <f>RAW_DATA!D276</f>
        <v>3</v>
      </c>
      <c r="E276">
        <f>RAW_DATA!E276</f>
        <v>2</v>
      </c>
      <c r="F276" t="str">
        <f>RAW_DATA!F276</f>
        <v>Medical</v>
      </c>
      <c r="G276">
        <f>RAW_DATA!G276</f>
        <v>4</v>
      </c>
      <c r="H276">
        <f>RAW_DATA!H276</f>
        <v>3</v>
      </c>
      <c r="I276" t="str">
        <f>RAW_DATA!I276</f>
        <v>Single</v>
      </c>
      <c r="J276">
        <f>RAW_DATA!J276</f>
        <v>3230</v>
      </c>
      <c r="K276">
        <f>RAW_DATA!K276</f>
        <v>1</v>
      </c>
      <c r="L276">
        <f>RAW_DATA!L276</f>
        <v>4</v>
      </c>
      <c r="M276">
        <f>RAW_DATA!M276</f>
        <v>3</v>
      </c>
      <c r="N276">
        <f t="shared" si="8"/>
        <v>0</v>
      </c>
      <c r="O276" t="str" cm="1">
        <f t="array" ref="O276" xml:space="preserve"> _xlfn.IFS(A276 &lt;ASSUMPTIONS!$D$2,"25",A276 &lt;= ASSUMPTIONS!$D$3,"25-34",A276 &lt;= ASSUMPTIONS!$D$4, "35-44",A276 &lt;= ASSUMPTIONS!$D$5,"45-54",TRUE,"55+")</f>
        <v>25</v>
      </c>
      <c r="P276" t="str" cm="1">
        <f t="array" ref="P276">_xlfn.IFS( J276 &lt;ASSUMPTIONS!$D$7,"LOW",J276 &lt;= ASSUMPTIONS!$D$8,"MEDIUM",TRUE, "HIGH")</f>
        <v>MEDIUM</v>
      </c>
      <c r="Q276" t="str">
        <f>IF(M276&lt;ASSUMPTIONS!$D$10,"New (0-2)",IF(M276&lt;=ASSUMPTIONS!$D$11,"Early (2-5)",IF(M276&lt;=ASSUMPTIONS!$D$12,"Established (5-10)","Veteran (10+)")))</f>
        <v>Early (2-5)</v>
      </c>
      <c r="R276" s="4">
        <f t="shared" si="9"/>
        <v>3.6666666666666665</v>
      </c>
    </row>
    <row r="277" spans="1:18">
      <c r="A277">
        <f>RAW_DATA!A277</f>
        <v>37</v>
      </c>
      <c r="B277" t="str">
        <f>RAW_DATA!B277</f>
        <v>No</v>
      </c>
      <c r="C277" t="str">
        <f>RAW_DATA!C277</f>
        <v>Research &amp; Development</v>
      </c>
      <c r="D277">
        <f>RAW_DATA!D277</f>
        <v>1</v>
      </c>
      <c r="E277">
        <f>RAW_DATA!E277</f>
        <v>4</v>
      </c>
      <c r="F277" t="str">
        <f>RAW_DATA!F277</f>
        <v>Medical</v>
      </c>
      <c r="G277">
        <f>RAW_DATA!G277</f>
        <v>1</v>
      </c>
      <c r="H277">
        <f>RAW_DATA!H277</f>
        <v>4</v>
      </c>
      <c r="I277" t="str">
        <f>RAW_DATA!I277</f>
        <v>Divorced</v>
      </c>
      <c r="J277">
        <f>RAW_DATA!J277</f>
        <v>13603</v>
      </c>
      <c r="K277">
        <f>RAW_DATA!K277</f>
        <v>2</v>
      </c>
      <c r="L277">
        <f>RAW_DATA!L277</f>
        <v>3</v>
      </c>
      <c r="M277">
        <f>RAW_DATA!M277</f>
        <v>5</v>
      </c>
      <c r="N277">
        <f t="shared" si="8"/>
        <v>0</v>
      </c>
      <c r="O277" t="str" cm="1">
        <f t="array" ref="O277" xml:space="preserve"> _xlfn.IFS(A277 &lt;ASSUMPTIONS!$D$2,"25",A277 &lt;= ASSUMPTIONS!$D$3,"25-34",A277 &lt;= ASSUMPTIONS!$D$4, "35-44",A277 &lt;= ASSUMPTIONS!$D$5,"45-54",TRUE,"55+")</f>
        <v>35-44</v>
      </c>
      <c r="P277" t="str" cm="1">
        <f t="array" ref="P277">_xlfn.IFS( J277 &lt;ASSUMPTIONS!$D$7,"LOW",J277 &lt;= ASSUMPTIONS!$D$8,"MEDIUM",TRUE, "HIGH")</f>
        <v>HIGH</v>
      </c>
      <c r="Q277" t="str">
        <f>IF(M277&lt;ASSUMPTIONS!$D$10,"New (0-2)",IF(M277&lt;=ASSUMPTIONS!$D$11,"Early (2-5)",IF(M277&lt;=ASSUMPTIONS!$D$12,"Established (5-10)","Veteran (10+)")))</f>
        <v>Early (2-5)</v>
      </c>
      <c r="R277" s="4">
        <f t="shared" si="9"/>
        <v>2.6666666666666665</v>
      </c>
    </row>
    <row r="278" spans="1:18">
      <c r="A278">
        <f>RAW_DATA!A278</f>
        <v>35</v>
      </c>
      <c r="B278" t="str">
        <f>RAW_DATA!B278</f>
        <v>No</v>
      </c>
      <c r="C278" t="str">
        <f>RAW_DATA!C278</f>
        <v>Research &amp; Development</v>
      </c>
      <c r="D278">
        <f>RAW_DATA!D278</f>
        <v>22</v>
      </c>
      <c r="E278">
        <f>RAW_DATA!E278</f>
        <v>3</v>
      </c>
      <c r="F278" t="str">
        <f>RAW_DATA!F278</f>
        <v>Life Sciences</v>
      </c>
      <c r="G278">
        <f>RAW_DATA!G278</f>
        <v>2</v>
      </c>
      <c r="H278">
        <f>RAW_DATA!H278</f>
        <v>2</v>
      </c>
      <c r="I278" t="str">
        <f>RAW_DATA!I278</f>
        <v>Divorced</v>
      </c>
      <c r="J278">
        <f>RAW_DATA!J278</f>
        <v>11996</v>
      </c>
      <c r="K278">
        <f>RAW_DATA!K278</f>
        <v>7</v>
      </c>
      <c r="L278">
        <f>RAW_DATA!L278</f>
        <v>2</v>
      </c>
      <c r="M278">
        <f>RAW_DATA!M278</f>
        <v>7</v>
      </c>
      <c r="N278">
        <f t="shared" si="8"/>
        <v>0</v>
      </c>
      <c r="O278" t="str" cm="1">
        <f t="array" ref="O278" xml:space="preserve"> _xlfn.IFS(A278 &lt;ASSUMPTIONS!$D$2,"25",A278 &lt;= ASSUMPTIONS!$D$3,"25-34",A278 &lt;= ASSUMPTIONS!$D$4, "35-44",A278 &lt;= ASSUMPTIONS!$D$5,"45-54",TRUE,"55+")</f>
        <v>35-44</v>
      </c>
      <c r="P278" t="str" cm="1">
        <f t="array" ref="P278">_xlfn.IFS( J278 &lt;ASSUMPTIONS!$D$7,"LOW",J278 &lt;= ASSUMPTIONS!$D$8,"MEDIUM",TRUE, "HIGH")</f>
        <v>HIGH</v>
      </c>
      <c r="Q278" t="str">
        <f>IF(M278&lt;ASSUMPTIONS!$D$10,"New (0-2)",IF(M278&lt;=ASSUMPTIONS!$D$11,"Early (2-5)",IF(M278&lt;=ASSUMPTIONS!$D$12,"Established (5-10)","Veteran (10+)")))</f>
        <v>Established (5-10)</v>
      </c>
      <c r="R278" s="4">
        <f t="shared" si="9"/>
        <v>2</v>
      </c>
    </row>
    <row r="279" spans="1:18">
      <c r="A279">
        <f>RAW_DATA!A279</f>
        <v>38</v>
      </c>
      <c r="B279" t="str">
        <f>RAW_DATA!B279</f>
        <v>No</v>
      </c>
      <c r="C279" t="str">
        <f>RAW_DATA!C279</f>
        <v>Sales</v>
      </c>
      <c r="D279">
        <f>RAW_DATA!D279</f>
        <v>7</v>
      </c>
      <c r="E279">
        <f>RAW_DATA!E279</f>
        <v>2</v>
      </c>
      <c r="F279" t="str">
        <f>RAW_DATA!F279</f>
        <v>Medical</v>
      </c>
      <c r="G279">
        <f>RAW_DATA!G279</f>
        <v>1</v>
      </c>
      <c r="H279">
        <f>RAW_DATA!H279</f>
        <v>1</v>
      </c>
      <c r="I279" t="str">
        <f>RAW_DATA!I279</f>
        <v>Divorced</v>
      </c>
      <c r="J279">
        <f>RAW_DATA!J279</f>
        <v>5605</v>
      </c>
      <c r="K279">
        <f>RAW_DATA!K279</f>
        <v>1</v>
      </c>
      <c r="L279">
        <f>RAW_DATA!L279</f>
        <v>3</v>
      </c>
      <c r="M279">
        <f>RAW_DATA!M279</f>
        <v>8</v>
      </c>
      <c r="N279">
        <f t="shared" si="8"/>
        <v>0</v>
      </c>
      <c r="O279" t="str" cm="1">
        <f t="array" ref="O279" xml:space="preserve"> _xlfn.IFS(A279 &lt;ASSUMPTIONS!$D$2,"25",A279 &lt;= ASSUMPTIONS!$D$3,"25-34",A279 &lt;= ASSUMPTIONS!$D$4, "35-44",A279 &lt;= ASSUMPTIONS!$D$5,"45-54",TRUE,"55+")</f>
        <v>35-44</v>
      </c>
      <c r="P279" t="str" cm="1">
        <f t="array" ref="P279">_xlfn.IFS( J279 &lt;ASSUMPTIONS!$D$7,"LOW",J279 &lt;= ASSUMPTIONS!$D$8,"MEDIUM",TRUE, "HIGH")</f>
        <v>MEDIUM</v>
      </c>
      <c r="Q279" t="str">
        <f>IF(M279&lt;ASSUMPTIONS!$D$10,"New (0-2)",IF(M279&lt;=ASSUMPTIONS!$D$11,"Early (2-5)",IF(M279&lt;=ASSUMPTIONS!$D$12,"Established (5-10)","Veteran (10+)")))</f>
        <v>Established (5-10)</v>
      </c>
      <c r="R279" s="4">
        <f t="shared" si="9"/>
        <v>1.6666666666666667</v>
      </c>
    </row>
    <row r="280" spans="1:18">
      <c r="A280">
        <f>RAW_DATA!A280</f>
        <v>26</v>
      </c>
      <c r="B280" t="str">
        <f>RAW_DATA!B280</f>
        <v>No</v>
      </c>
      <c r="C280" t="str">
        <f>RAW_DATA!C280</f>
        <v>Research &amp; Development</v>
      </c>
      <c r="D280">
        <f>RAW_DATA!D280</f>
        <v>1</v>
      </c>
      <c r="E280">
        <f>RAW_DATA!E280</f>
        <v>3</v>
      </c>
      <c r="F280" t="str">
        <f>RAW_DATA!F280</f>
        <v>Life Sciences</v>
      </c>
      <c r="G280">
        <f>RAW_DATA!G280</f>
        <v>3</v>
      </c>
      <c r="H280">
        <f>RAW_DATA!H280</f>
        <v>2</v>
      </c>
      <c r="I280" t="str">
        <f>RAW_DATA!I280</f>
        <v>Divorced</v>
      </c>
      <c r="J280">
        <f>RAW_DATA!J280</f>
        <v>6397</v>
      </c>
      <c r="K280">
        <f>RAW_DATA!K280</f>
        <v>1</v>
      </c>
      <c r="L280">
        <f>RAW_DATA!L280</f>
        <v>1</v>
      </c>
      <c r="M280">
        <f>RAW_DATA!M280</f>
        <v>6</v>
      </c>
      <c r="N280">
        <f t="shared" si="8"/>
        <v>0</v>
      </c>
      <c r="O280" t="str" cm="1">
        <f t="array" ref="O280" xml:space="preserve"> _xlfn.IFS(A280 &lt;ASSUMPTIONS!$D$2,"25",A280 &lt;= ASSUMPTIONS!$D$3,"25-34",A280 &lt;= ASSUMPTIONS!$D$4, "35-44",A280 &lt;= ASSUMPTIONS!$D$5,"45-54",TRUE,"55+")</f>
        <v>25-34</v>
      </c>
      <c r="P280" t="str" cm="1">
        <f t="array" ref="P280">_xlfn.IFS( J280 &lt;ASSUMPTIONS!$D$7,"LOW",J280 &lt;= ASSUMPTIONS!$D$8,"MEDIUM",TRUE, "HIGH")</f>
        <v>MEDIUM</v>
      </c>
      <c r="Q280" t="str">
        <f>IF(M280&lt;ASSUMPTIONS!$D$10,"New (0-2)",IF(M280&lt;=ASSUMPTIONS!$D$11,"Early (2-5)",IF(M280&lt;=ASSUMPTIONS!$D$12,"Established (5-10)","Veteran (10+)")))</f>
        <v>Established (5-10)</v>
      </c>
      <c r="R280" s="4">
        <f t="shared" si="9"/>
        <v>2</v>
      </c>
    </row>
    <row r="281" spans="1:18">
      <c r="A281">
        <f>RAW_DATA!A281</f>
        <v>50</v>
      </c>
      <c r="B281" t="str">
        <f>RAW_DATA!B281</f>
        <v>No</v>
      </c>
      <c r="C281" t="str">
        <f>RAW_DATA!C281</f>
        <v>Research &amp; Development</v>
      </c>
      <c r="D281">
        <f>RAW_DATA!D281</f>
        <v>4</v>
      </c>
      <c r="E281">
        <f>RAW_DATA!E281</f>
        <v>1</v>
      </c>
      <c r="F281" t="str">
        <f>RAW_DATA!F281</f>
        <v>Life Sciences</v>
      </c>
      <c r="G281">
        <f>RAW_DATA!G281</f>
        <v>1</v>
      </c>
      <c r="H281">
        <f>RAW_DATA!H281</f>
        <v>2</v>
      </c>
      <c r="I281" t="str">
        <f>RAW_DATA!I281</f>
        <v>Divorced</v>
      </c>
      <c r="J281">
        <f>RAW_DATA!J281</f>
        <v>19144</v>
      </c>
      <c r="K281">
        <f>RAW_DATA!K281</f>
        <v>3</v>
      </c>
      <c r="L281">
        <f>RAW_DATA!L281</f>
        <v>2</v>
      </c>
      <c r="M281">
        <f>RAW_DATA!M281</f>
        <v>10</v>
      </c>
      <c r="N281">
        <f t="shared" si="8"/>
        <v>0</v>
      </c>
      <c r="O281" t="str" cm="1">
        <f t="array" ref="O281" xml:space="preserve"> _xlfn.IFS(A281 &lt;ASSUMPTIONS!$D$2,"25",A281 &lt;= ASSUMPTIONS!$D$3,"25-34",A281 &lt;= ASSUMPTIONS!$D$4, "35-44",A281 &lt;= ASSUMPTIONS!$D$5,"45-54",TRUE,"55+")</f>
        <v>45-54</v>
      </c>
      <c r="P281" t="str" cm="1">
        <f t="array" ref="P281">_xlfn.IFS( J281 &lt;ASSUMPTIONS!$D$7,"LOW",J281 &lt;= ASSUMPTIONS!$D$8,"MEDIUM",TRUE, "HIGH")</f>
        <v>HIGH</v>
      </c>
      <c r="Q281" t="str">
        <f>IF(M281&lt;ASSUMPTIONS!$D$10,"New (0-2)",IF(M281&lt;=ASSUMPTIONS!$D$11,"Early (2-5)",IF(M281&lt;=ASSUMPTIONS!$D$12,"Established (5-10)","Veteran (10+)")))</f>
        <v>Established (5-10)</v>
      </c>
      <c r="R281" s="4">
        <f t="shared" si="9"/>
        <v>1.6666666666666667</v>
      </c>
    </row>
    <row r="282" spans="1:18">
      <c r="A282">
        <f>RAW_DATA!A282</f>
        <v>53</v>
      </c>
      <c r="B282" t="str">
        <f>RAW_DATA!B282</f>
        <v>No</v>
      </c>
      <c r="C282" t="str">
        <f>RAW_DATA!C282</f>
        <v>Research &amp; Development</v>
      </c>
      <c r="D282">
        <f>RAW_DATA!D282</f>
        <v>3</v>
      </c>
      <c r="E282">
        <f>RAW_DATA!E282</f>
        <v>4</v>
      </c>
      <c r="F282" t="str">
        <f>RAW_DATA!F282</f>
        <v>Medical</v>
      </c>
      <c r="G282">
        <f>RAW_DATA!G282</f>
        <v>3</v>
      </c>
      <c r="H282">
        <f>RAW_DATA!H282</f>
        <v>3</v>
      </c>
      <c r="I282" t="str">
        <f>RAW_DATA!I282</f>
        <v>Married</v>
      </c>
      <c r="J282">
        <f>RAW_DATA!J282</f>
        <v>17584</v>
      </c>
      <c r="K282">
        <f>RAW_DATA!K282</f>
        <v>3</v>
      </c>
      <c r="L282">
        <f>RAW_DATA!L282</f>
        <v>2</v>
      </c>
      <c r="M282">
        <f>RAW_DATA!M282</f>
        <v>5</v>
      </c>
      <c r="N282">
        <f t="shared" si="8"/>
        <v>0</v>
      </c>
      <c r="O282" t="str" cm="1">
        <f t="array" ref="O282" xml:space="preserve"> _xlfn.IFS(A282 &lt;ASSUMPTIONS!$D$2,"25",A282 &lt;= ASSUMPTIONS!$D$3,"25-34",A282 &lt;= ASSUMPTIONS!$D$4, "35-44",A282 &lt;= ASSUMPTIONS!$D$5,"45-54",TRUE,"55+")</f>
        <v>45-54</v>
      </c>
      <c r="P282" t="str" cm="1">
        <f t="array" ref="P282">_xlfn.IFS( J282 &lt;ASSUMPTIONS!$D$7,"LOW",J282 &lt;= ASSUMPTIONS!$D$8,"MEDIUM",TRUE, "HIGH")</f>
        <v>HIGH</v>
      </c>
      <c r="Q282" t="str">
        <f>IF(M282&lt;ASSUMPTIONS!$D$10,"New (0-2)",IF(M282&lt;=ASSUMPTIONS!$D$11,"Early (2-5)",IF(M282&lt;=ASSUMPTIONS!$D$12,"Established (5-10)","Veteran (10+)")))</f>
        <v>Early (2-5)</v>
      </c>
      <c r="R282" s="4">
        <f t="shared" si="9"/>
        <v>2.6666666666666665</v>
      </c>
    </row>
    <row r="283" spans="1:18">
      <c r="A283">
        <f>RAW_DATA!A283</f>
        <v>42</v>
      </c>
      <c r="B283" t="str">
        <f>RAW_DATA!B283</f>
        <v>No</v>
      </c>
      <c r="C283" t="str">
        <f>RAW_DATA!C283</f>
        <v>Sales</v>
      </c>
      <c r="D283">
        <f>RAW_DATA!D283</f>
        <v>1</v>
      </c>
      <c r="E283">
        <f>RAW_DATA!E283</f>
        <v>1</v>
      </c>
      <c r="F283" t="str">
        <f>RAW_DATA!F283</f>
        <v>Life Sciences</v>
      </c>
      <c r="G283">
        <f>RAW_DATA!G283</f>
        <v>2</v>
      </c>
      <c r="H283">
        <f>RAW_DATA!H283</f>
        <v>3</v>
      </c>
      <c r="I283" t="str">
        <f>RAW_DATA!I283</f>
        <v>Married</v>
      </c>
      <c r="J283">
        <f>RAW_DATA!J283</f>
        <v>4907</v>
      </c>
      <c r="K283">
        <f>RAW_DATA!K283</f>
        <v>1</v>
      </c>
      <c r="L283">
        <f>RAW_DATA!L283</f>
        <v>3</v>
      </c>
      <c r="M283">
        <f>RAW_DATA!M283</f>
        <v>20</v>
      </c>
      <c r="N283">
        <f t="shared" si="8"/>
        <v>0</v>
      </c>
      <c r="O283" t="str" cm="1">
        <f t="array" ref="O283" xml:space="preserve"> _xlfn.IFS(A283 &lt;ASSUMPTIONS!$D$2,"25",A283 &lt;= ASSUMPTIONS!$D$3,"25-34",A283 &lt;= ASSUMPTIONS!$D$4, "35-44",A283 &lt;= ASSUMPTIONS!$D$5,"45-54",TRUE,"55+")</f>
        <v>35-44</v>
      </c>
      <c r="P283" t="str" cm="1">
        <f t="array" ref="P283">_xlfn.IFS( J283 &lt;ASSUMPTIONS!$D$7,"LOW",J283 &lt;= ASSUMPTIONS!$D$8,"MEDIUM",TRUE, "HIGH")</f>
        <v>MEDIUM</v>
      </c>
      <c r="Q283" t="str">
        <f>IF(M283&lt;ASSUMPTIONS!$D$10,"New (0-2)",IF(M283&lt;=ASSUMPTIONS!$D$11,"Early (2-5)",IF(M283&lt;=ASSUMPTIONS!$D$12,"Established (5-10)","Veteran (10+)")))</f>
        <v>Veteran (10+)</v>
      </c>
      <c r="R283" s="4">
        <f t="shared" si="9"/>
        <v>2.6666666666666665</v>
      </c>
    </row>
    <row r="284" spans="1:18">
      <c r="A284">
        <f>RAW_DATA!A284</f>
        <v>29</v>
      </c>
      <c r="B284" t="str">
        <f>RAW_DATA!B284</f>
        <v>No</v>
      </c>
      <c r="C284" t="str">
        <f>RAW_DATA!C284</f>
        <v>Sales</v>
      </c>
      <c r="D284">
        <f>RAW_DATA!D284</f>
        <v>2</v>
      </c>
      <c r="E284">
        <f>RAW_DATA!E284</f>
        <v>2</v>
      </c>
      <c r="F284" t="str">
        <f>RAW_DATA!F284</f>
        <v>Life Sciences</v>
      </c>
      <c r="G284">
        <f>RAW_DATA!G284</f>
        <v>2</v>
      </c>
      <c r="H284">
        <f>RAW_DATA!H284</f>
        <v>4</v>
      </c>
      <c r="I284" t="str">
        <f>RAW_DATA!I284</f>
        <v>Single</v>
      </c>
      <c r="J284">
        <f>RAW_DATA!J284</f>
        <v>4554</v>
      </c>
      <c r="K284">
        <f>RAW_DATA!K284</f>
        <v>1</v>
      </c>
      <c r="L284">
        <f>RAW_DATA!L284</f>
        <v>2</v>
      </c>
      <c r="M284">
        <f>RAW_DATA!M284</f>
        <v>10</v>
      </c>
      <c r="N284">
        <f t="shared" si="8"/>
        <v>0</v>
      </c>
      <c r="O284" t="str" cm="1">
        <f t="array" ref="O284" xml:space="preserve"> _xlfn.IFS(A284 &lt;ASSUMPTIONS!$D$2,"25",A284 &lt;= ASSUMPTIONS!$D$3,"25-34",A284 &lt;= ASSUMPTIONS!$D$4, "35-44",A284 &lt;= ASSUMPTIONS!$D$5,"45-54",TRUE,"55+")</f>
        <v>25-34</v>
      </c>
      <c r="P284" t="str" cm="1">
        <f t="array" ref="P284">_xlfn.IFS( J284 &lt;ASSUMPTIONS!$D$7,"LOW",J284 &lt;= ASSUMPTIONS!$D$8,"MEDIUM",TRUE, "HIGH")</f>
        <v>MEDIUM</v>
      </c>
      <c r="Q284" t="str">
        <f>IF(M284&lt;ASSUMPTIONS!$D$10,"New (0-2)",IF(M284&lt;=ASSUMPTIONS!$D$11,"Early (2-5)",IF(M284&lt;=ASSUMPTIONS!$D$12,"Established (5-10)","Veteran (10+)")))</f>
        <v>Established (5-10)</v>
      </c>
      <c r="R284" s="4">
        <f t="shared" si="9"/>
        <v>2.6666666666666665</v>
      </c>
    </row>
    <row r="285" spans="1:18">
      <c r="A285">
        <f>RAW_DATA!A285</f>
        <v>55</v>
      </c>
      <c r="B285" t="str">
        <f>RAW_DATA!B285</f>
        <v>No</v>
      </c>
      <c r="C285" t="str">
        <f>RAW_DATA!C285</f>
        <v>Research &amp; Development</v>
      </c>
      <c r="D285">
        <f>RAW_DATA!D285</f>
        <v>20</v>
      </c>
      <c r="E285">
        <f>RAW_DATA!E285</f>
        <v>2</v>
      </c>
      <c r="F285" t="str">
        <f>RAW_DATA!F285</f>
        <v>Technical Degree</v>
      </c>
      <c r="G285">
        <f>RAW_DATA!G285</f>
        <v>2</v>
      </c>
      <c r="H285">
        <f>RAW_DATA!H285</f>
        <v>4</v>
      </c>
      <c r="I285" t="str">
        <f>RAW_DATA!I285</f>
        <v>Married</v>
      </c>
      <c r="J285">
        <f>RAW_DATA!J285</f>
        <v>5415</v>
      </c>
      <c r="K285">
        <f>RAW_DATA!K285</f>
        <v>3</v>
      </c>
      <c r="L285">
        <f>RAW_DATA!L285</f>
        <v>3</v>
      </c>
      <c r="M285">
        <f>RAW_DATA!M285</f>
        <v>10</v>
      </c>
      <c r="N285">
        <f t="shared" si="8"/>
        <v>0</v>
      </c>
      <c r="O285" t="str" cm="1">
        <f t="array" ref="O285" xml:space="preserve"> _xlfn.IFS(A285 &lt;ASSUMPTIONS!$D$2,"25",A285 &lt;= ASSUMPTIONS!$D$3,"25-34",A285 &lt;= ASSUMPTIONS!$D$4, "35-44",A285 &lt;= ASSUMPTIONS!$D$5,"45-54",TRUE,"55+")</f>
        <v>55+</v>
      </c>
      <c r="P285" t="str" cm="1">
        <f t="array" ref="P285">_xlfn.IFS( J285 &lt;ASSUMPTIONS!$D$7,"LOW",J285 &lt;= ASSUMPTIONS!$D$8,"MEDIUM",TRUE, "HIGH")</f>
        <v>MEDIUM</v>
      </c>
      <c r="Q285" t="str">
        <f>IF(M285&lt;ASSUMPTIONS!$D$10,"New (0-2)",IF(M285&lt;=ASSUMPTIONS!$D$11,"Early (2-5)",IF(M285&lt;=ASSUMPTIONS!$D$12,"Established (5-10)","Veteran (10+)")))</f>
        <v>Established (5-10)</v>
      </c>
      <c r="R285" s="4">
        <f t="shared" si="9"/>
        <v>3</v>
      </c>
    </row>
    <row r="286" spans="1:18">
      <c r="A286">
        <f>RAW_DATA!A286</f>
        <v>26</v>
      </c>
      <c r="B286" t="str">
        <f>RAW_DATA!B286</f>
        <v>No</v>
      </c>
      <c r="C286" t="str">
        <f>RAW_DATA!C286</f>
        <v>Research &amp; Development</v>
      </c>
      <c r="D286">
        <f>RAW_DATA!D286</f>
        <v>11</v>
      </c>
      <c r="E286">
        <f>RAW_DATA!E286</f>
        <v>2</v>
      </c>
      <c r="F286" t="str">
        <f>RAW_DATA!F286</f>
        <v>Medical</v>
      </c>
      <c r="G286">
        <f>RAW_DATA!G286</f>
        <v>1</v>
      </c>
      <c r="H286">
        <f>RAW_DATA!H286</f>
        <v>1</v>
      </c>
      <c r="I286" t="str">
        <f>RAW_DATA!I286</f>
        <v>Married</v>
      </c>
      <c r="J286">
        <f>RAW_DATA!J286</f>
        <v>4741</v>
      </c>
      <c r="K286">
        <f>RAW_DATA!K286</f>
        <v>1</v>
      </c>
      <c r="L286">
        <f>RAW_DATA!L286</f>
        <v>3</v>
      </c>
      <c r="M286">
        <f>RAW_DATA!M286</f>
        <v>5</v>
      </c>
      <c r="N286">
        <f t="shared" si="8"/>
        <v>0</v>
      </c>
      <c r="O286" t="str" cm="1">
        <f t="array" ref="O286" xml:space="preserve"> _xlfn.IFS(A286 &lt;ASSUMPTIONS!$D$2,"25",A286 &lt;= ASSUMPTIONS!$D$3,"25-34",A286 &lt;= ASSUMPTIONS!$D$4, "35-44",A286 &lt;= ASSUMPTIONS!$D$5,"45-54",TRUE,"55+")</f>
        <v>25-34</v>
      </c>
      <c r="P286" t="str" cm="1">
        <f t="array" ref="P286">_xlfn.IFS( J286 &lt;ASSUMPTIONS!$D$7,"LOW",J286 &lt;= ASSUMPTIONS!$D$8,"MEDIUM",TRUE, "HIGH")</f>
        <v>MEDIUM</v>
      </c>
      <c r="Q286" t="str">
        <f>IF(M286&lt;ASSUMPTIONS!$D$10,"New (0-2)",IF(M286&lt;=ASSUMPTIONS!$D$11,"Early (2-5)",IF(M286&lt;=ASSUMPTIONS!$D$12,"Established (5-10)","Veteran (10+)")))</f>
        <v>Early (2-5)</v>
      </c>
      <c r="R286" s="4">
        <f t="shared" si="9"/>
        <v>1.6666666666666667</v>
      </c>
    </row>
    <row r="287" spans="1:18">
      <c r="A287">
        <f>RAW_DATA!A287</f>
        <v>37</v>
      </c>
      <c r="B287" t="str">
        <f>RAW_DATA!B287</f>
        <v>No</v>
      </c>
      <c r="C287" t="str">
        <f>RAW_DATA!C287</f>
        <v>Research &amp; Development</v>
      </c>
      <c r="D287">
        <f>RAW_DATA!D287</f>
        <v>1</v>
      </c>
      <c r="E287">
        <f>RAW_DATA!E287</f>
        <v>3</v>
      </c>
      <c r="F287" t="str">
        <f>RAW_DATA!F287</f>
        <v>Life Sciences</v>
      </c>
      <c r="G287">
        <f>RAW_DATA!G287</f>
        <v>4</v>
      </c>
      <c r="H287">
        <f>RAW_DATA!H287</f>
        <v>4</v>
      </c>
      <c r="I287" t="str">
        <f>RAW_DATA!I287</f>
        <v>Single</v>
      </c>
      <c r="J287">
        <f>RAW_DATA!J287</f>
        <v>2115</v>
      </c>
      <c r="K287">
        <f>RAW_DATA!K287</f>
        <v>1</v>
      </c>
      <c r="L287">
        <f>RAW_DATA!L287</f>
        <v>3</v>
      </c>
      <c r="M287">
        <f>RAW_DATA!M287</f>
        <v>17</v>
      </c>
      <c r="N287">
        <f t="shared" si="8"/>
        <v>0</v>
      </c>
      <c r="O287" t="str" cm="1">
        <f t="array" ref="O287" xml:space="preserve"> _xlfn.IFS(A287 &lt;ASSUMPTIONS!$D$2,"25",A287 &lt;= ASSUMPTIONS!$D$3,"25-34",A287 &lt;= ASSUMPTIONS!$D$4, "35-44",A287 &lt;= ASSUMPTIONS!$D$5,"45-54",TRUE,"55+")</f>
        <v>35-44</v>
      </c>
      <c r="P287" t="str" cm="1">
        <f t="array" ref="P287">_xlfn.IFS( J287 &lt;ASSUMPTIONS!$D$7,"LOW",J287 &lt;= ASSUMPTIONS!$D$8,"MEDIUM",TRUE, "HIGH")</f>
        <v>LOW</v>
      </c>
      <c r="Q287" t="str">
        <f>IF(M287&lt;ASSUMPTIONS!$D$10,"New (0-2)",IF(M287&lt;=ASSUMPTIONS!$D$11,"Early (2-5)",IF(M287&lt;=ASSUMPTIONS!$D$12,"Established (5-10)","Veteran (10+)")))</f>
        <v>Veteran (10+)</v>
      </c>
      <c r="R287" s="4">
        <f t="shared" si="9"/>
        <v>3.6666666666666665</v>
      </c>
    </row>
    <row r="288" spans="1:18">
      <c r="A288">
        <f>RAW_DATA!A288</f>
        <v>44</v>
      </c>
      <c r="B288" t="str">
        <f>RAW_DATA!B288</f>
        <v>Yes</v>
      </c>
      <c r="C288" t="str">
        <f>RAW_DATA!C288</f>
        <v>Research &amp; Development</v>
      </c>
      <c r="D288">
        <f>RAW_DATA!D288</f>
        <v>24</v>
      </c>
      <c r="E288">
        <f>RAW_DATA!E288</f>
        <v>3</v>
      </c>
      <c r="F288" t="str">
        <f>RAW_DATA!F288</f>
        <v>Life Sciences</v>
      </c>
      <c r="G288">
        <f>RAW_DATA!G288</f>
        <v>4</v>
      </c>
      <c r="H288">
        <f>RAW_DATA!H288</f>
        <v>3</v>
      </c>
      <c r="I288" t="str">
        <f>RAW_DATA!I288</f>
        <v>Divorced</v>
      </c>
      <c r="J288">
        <f>RAW_DATA!J288</f>
        <v>3161</v>
      </c>
      <c r="K288">
        <f>RAW_DATA!K288</f>
        <v>3</v>
      </c>
      <c r="L288">
        <f>RAW_DATA!L288</f>
        <v>1</v>
      </c>
      <c r="M288">
        <f>RAW_DATA!M288</f>
        <v>1</v>
      </c>
      <c r="N288">
        <f t="shared" si="8"/>
        <v>1</v>
      </c>
      <c r="O288" t="str" cm="1">
        <f t="array" ref="O288" xml:space="preserve"> _xlfn.IFS(A288 &lt;ASSUMPTIONS!$D$2,"25",A288 &lt;= ASSUMPTIONS!$D$3,"25-34",A288 &lt;= ASSUMPTIONS!$D$4, "35-44",A288 &lt;= ASSUMPTIONS!$D$5,"45-54",TRUE,"55+")</f>
        <v>35-44</v>
      </c>
      <c r="P288" t="str" cm="1">
        <f t="array" ref="P288">_xlfn.IFS( J288 &lt;ASSUMPTIONS!$D$7,"LOW",J288 &lt;= ASSUMPTIONS!$D$8,"MEDIUM",TRUE, "HIGH")</f>
        <v>MEDIUM</v>
      </c>
      <c r="Q288" t="str">
        <f>IF(M288&lt;ASSUMPTIONS!$D$10,"New (0-2)",IF(M288&lt;=ASSUMPTIONS!$D$11,"Early (2-5)",IF(M288&lt;=ASSUMPTIONS!$D$12,"Established (5-10)","Veteran (10+)")))</f>
        <v>New (0-2)</v>
      </c>
      <c r="R288" s="4">
        <f t="shared" si="9"/>
        <v>2.6666666666666665</v>
      </c>
    </row>
    <row r="289" spans="1:18">
      <c r="A289">
        <f>RAW_DATA!A289</f>
        <v>38</v>
      </c>
      <c r="B289" t="str">
        <f>RAW_DATA!B289</f>
        <v>No</v>
      </c>
      <c r="C289" t="str">
        <f>RAW_DATA!C289</f>
        <v>Research &amp; Development</v>
      </c>
      <c r="D289">
        <f>RAW_DATA!D289</f>
        <v>23</v>
      </c>
      <c r="E289">
        <f>RAW_DATA!E289</f>
        <v>4</v>
      </c>
      <c r="F289" t="str">
        <f>RAW_DATA!F289</f>
        <v>Life Sciences</v>
      </c>
      <c r="G289">
        <f>RAW_DATA!G289</f>
        <v>4</v>
      </c>
      <c r="H289">
        <f>RAW_DATA!H289</f>
        <v>4</v>
      </c>
      <c r="I289" t="str">
        <f>RAW_DATA!I289</f>
        <v>Divorced</v>
      </c>
      <c r="J289">
        <f>RAW_DATA!J289</f>
        <v>5745</v>
      </c>
      <c r="K289">
        <f>RAW_DATA!K289</f>
        <v>9</v>
      </c>
      <c r="L289">
        <f>RAW_DATA!L289</f>
        <v>3</v>
      </c>
      <c r="M289">
        <f>RAW_DATA!M289</f>
        <v>2</v>
      </c>
      <c r="N289">
        <f t="shared" si="8"/>
        <v>0</v>
      </c>
      <c r="O289" t="str" cm="1">
        <f t="array" ref="O289" xml:space="preserve"> _xlfn.IFS(A289 &lt;ASSUMPTIONS!$D$2,"25",A289 &lt;= ASSUMPTIONS!$D$3,"25-34",A289 &lt;= ASSUMPTIONS!$D$4, "35-44",A289 &lt;= ASSUMPTIONS!$D$5,"45-54",TRUE,"55+")</f>
        <v>35-44</v>
      </c>
      <c r="P289" t="str" cm="1">
        <f t="array" ref="P289">_xlfn.IFS( J289 &lt;ASSUMPTIONS!$D$7,"LOW",J289 &lt;= ASSUMPTIONS!$D$8,"MEDIUM",TRUE, "HIGH")</f>
        <v>MEDIUM</v>
      </c>
      <c r="Q289" t="str">
        <f>IF(M289&lt;ASSUMPTIONS!$D$10,"New (0-2)",IF(M289&lt;=ASSUMPTIONS!$D$11,"Early (2-5)",IF(M289&lt;=ASSUMPTIONS!$D$12,"Established (5-10)","Veteran (10+)")))</f>
        <v>Early (2-5)</v>
      </c>
      <c r="R289" s="4">
        <f t="shared" si="9"/>
        <v>3.6666666666666665</v>
      </c>
    </row>
    <row r="290" spans="1:18">
      <c r="A290">
        <f>RAW_DATA!A290</f>
        <v>26</v>
      </c>
      <c r="B290" t="str">
        <f>RAW_DATA!B290</f>
        <v>Yes</v>
      </c>
      <c r="C290" t="str">
        <f>RAW_DATA!C290</f>
        <v>Research &amp; Development</v>
      </c>
      <c r="D290">
        <f>RAW_DATA!D290</f>
        <v>16</v>
      </c>
      <c r="E290">
        <f>RAW_DATA!E290</f>
        <v>4</v>
      </c>
      <c r="F290" t="str">
        <f>RAW_DATA!F290</f>
        <v>Medical</v>
      </c>
      <c r="G290">
        <f>RAW_DATA!G290</f>
        <v>1</v>
      </c>
      <c r="H290">
        <f>RAW_DATA!H290</f>
        <v>2</v>
      </c>
      <c r="I290" t="str">
        <f>RAW_DATA!I290</f>
        <v>Divorced</v>
      </c>
      <c r="J290">
        <f>RAW_DATA!J290</f>
        <v>2373</v>
      </c>
      <c r="K290">
        <f>RAW_DATA!K290</f>
        <v>2</v>
      </c>
      <c r="L290">
        <f>RAW_DATA!L290</f>
        <v>3</v>
      </c>
      <c r="M290">
        <f>RAW_DATA!M290</f>
        <v>3</v>
      </c>
      <c r="N290">
        <f t="shared" si="8"/>
        <v>1</v>
      </c>
      <c r="O290" t="str" cm="1">
        <f t="array" ref="O290" xml:space="preserve"> _xlfn.IFS(A290 &lt;ASSUMPTIONS!$D$2,"25",A290 &lt;= ASSUMPTIONS!$D$3,"25-34",A290 &lt;= ASSUMPTIONS!$D$4, "35-44",A290 &lt;= ASSUMPTIONS!$D$5,"45-54",TRUE,"55+")</f>
        <v>25-34</v>
      </c>
      <c r="P290" t="str" cm="1">
        <f t="array" ref="P290">_xlfn.IFS( J290 &lt;ASSUMPTIONS!$D$7,"LOW",J290 &lt;= ASSUMPTIONS!$D$8,"MEDIUM",TRUE, "HIGH")</f>
        <v>LOW</v>
      </c>
      <c r="Q290" t="str">
        <f>IF(M290&lt;ASSUMPTIONS!$D$10,"New (0-2)",IF(M290&lt;=ASSUMPTIONS!$D$11,"Early (2-5)",IF(M290&lt;=ASSUMPTIONS!$D$12,"Established (5-10)","Veteran (10+)")))</f>
        <v>Early (2-5)</v>
      </c>
      <c r="R290" s="4">
        <f t="shared" si="9"/>
        <v>2</v>
      </c>
    </row>
    <row r="291" spans="1:18">
      <c r="A291">
        <f>RAW_DATA!A291</f>
        <v>28</v>
      </c>
      <c r="B291" t="str">
        <f>RAW_DATA!B291</f>
        <v>No</v>
      </c>
      <c r="C291" t="str">
        <f>RAW_DATA!C291</f>
        <v>Research &amp; Development</v>
      </c>
      <c r="D291">
        <f>RAW_DATA!D291</f>
        <v>8</v>
      </c>
      <c r="E291">
        <f>RAW_DATA!E291</f>
        <v>2</v>
      </c>
      <c r="F291" t="str">
        <f>RAW_DATA!F291</f>
        <v>Life Sciences</v>
      </c>
      <c r="G291">
        <f>RAW_DATA!G291</f>
        <v>4</v>
      </c>
      <c r="H291">
        <f>RAW_DATA!H291</f>
        <v>4</v>
      </c>
      <c r="I291" t="str">
        <f>RAW_DATA!I291</f>
        <v>Single</v>
      </c>
      <c r="J291">
        <f>RAW_DATA!J291</f>
        <v>3310</v>
      </c>
      <c r="K291">
        <f>RAW_DATA!K291</f>
        <v>1</v>
      </c>
      <c r="L291">
        <f>RAW_DATA!L291</f>
        <v>3</v>
      </c>
      <c r="M291">
        <f>RAW_DATA!M291</f>
        <v>5</v>
      </c>
      <c r="N291">
        <f t="shared" si="8"/>
        <v>0</v>
      </c>
      <c r="O291" t="str" cm="1">
        <f t="array" ref="O291" xml:space="preserve"> _xlfn.IFS(A291 &lt;ASSUMPTIONS!$D$2,"25",A291 &lt;= ASSUMPTIONS!$D$3,"25-34",A291 &lt;= ASSUMPTIONS!$D$4, "35-44",A291 &lt;= ASSUMPTIONS!$D$5,"45-54",TRUE,"55+")</f>
        <v>25-34</v>
      </c>
      <c r="P291" t="str" cm="1">
        <f t="array" ref="P291">_xlfn.IFS( J291 &lt;ASSUMPTIONS!$D$7,"LOW",J291 &lt;= ASSUMPTIONS!$D$8,"MEDIUM",TRUE, "HIGH")</f>
        <v>MEDIUM</v>
      </c>
      <c r="Q291" t="str">
        <f>IF(M291&lt;ASSUMPTIONS!$D$10,"New (0-2)",IF(M291&lt;=ASSUMPTIONS!$D$11,"Early (2-5)",IF(M291&lt;=ASSUMPTIONS!$D$12,"Established (5-10)","Veteran (10+)")))</f>
        <v>Early (2-5)</v>
      </c>
      <c r="R291" s="4">
        <f t="shared" si="9"/>
        <v>3.6666666666666665</v>
      </c>
    </row>
    <row r="292" spans="1:18">
      <c r="A292">
        <f>RAW_DATA!A292</f>
        <v>49</v>
      </c>
      <c r="B292" t="str">
        <f>RAW_DATA!B292</f>
        <v>No</v>
      </c>
      <c r="C292" t="str">
        <f>RAW_DATA!C292</f>
        <v>Research &amp; Development</v>
      </c>
      <c r="D292">
        <f>RAW_DATA!D292</f>
        <v>10</v>
      </c>
      <c r="E292">
        <f>RAW_DATA!E292</f>
        <v>4</v>
      </c>
      <c r="F292" t="str">
        <f>RAW_DATA!F292</f>
        <v>Life Sciences</v>
      </c>
      <c r="G292">
        <f>RAW_DATA!G292</f>
        <v>3</v>
      </c>
      <c r="H292">
        <f>RAW_DATA!H292</f>
        <v>1</v>
      </c>
      <c r="I292" t="str">
        <f>RAW_DATA!I292</f>
        <v>Single</v>
      </c>
      <c r="J292">
        <f>RAW_DATA!J292</f>
        <v>18665</v>
      </c>
      <c r="K292">
        <f>RAW_DATA!K292</f>
        <v>9</v>
      </c>
      <c r="L292">
        <f>RAW_DATA!L292</f>
        <v>3</v>
      </c>
      <c r="M292">
        <f>RAW_DATA!M292</f>
        <v>3</v>
      </c>
      <c r="N292">
        <f t="shared" si="8"/>
        <v>0</v>
      </c>
      <c r="O292" t="str" cm="1">
        <f t="array" ref="O292" xml:space="preserve"> _xlfn.IFS(A292 &lt;ASSUMPTIONS!$D$2,"25",A292 &lt;= ASSUMPTIONS!$D$3,"25-34",A292 &lt;= ASSUMPTIONS!$D$4, "35-44",A292 &lt;= ASSUMPTIONS!$D$5,"45-54",TRUE,"55+")</f>
        <v>45-54</v>
      </c>
      <c r="P292" t="str" cm="1">
        <f t="array" ref="P292">_xlfn.IFS( J292 &lt;ASSUMPTIONS!$D$7,"LOW",J292 &lt;= ASSUMPTIONS!$D$8,"MEDIUM",TRUE, "HIGH")</f>
        <v>HIGH</v>
      </c>
      <c r="Q292" t="str">
        <f>IF(M292&lt;ASSUMPTIONS!$D$10,"New (0-2)",IF(M292&lt;=ASSUMPTIONS!$D$11,"Early (2-5)",IF(M292&lt;=ASSUMPTIONS!$D$12,"Established (5-10)","Veteran (10+)")))</f>
        <v>Early (2-5)</v>
      </c>
      <c r="R292" s="4">
        <f t="shared" si="9"/>
        <v>2.3333333333333335</v>
      </c>
    </row>
    <row r="293" spans="1:18">
      <c r="A293">
        <f>RAW_DATA!A293</f>
        <v>36</v>
      </c>
      <c r="B293" t="str">
        <f>RAW_DATA!B293</f>
        <v>No</v>
      </c>
      <c r="C293" t="str">
        <f>RAW_DATA!C293</f>
        <v>Research &amp; Development</v>
      </c>
      <c r="D293">
        <f>RAW_DATA!D293</f>
        <v>3</v>
      </c>
      <c r="E293">
        <f>RAW_DATA!E293</f>
        <v>3</v>
      </c>
      <c r="F293" t="str">
        <f>RAW_DATA!F293</f>
        <v>Technical Degree</v>
      </c>
      <c r="G293">
        <f>RAW_DATA!G293</f>
        <v>3</v>
      </c>
      <c r="H293">
        <f>RAW_DATA!H293</f>
        <v>2</v>
      </c>
      <c r="I293" t="str">
        <f>RAW_DATA!I293</f>
        <v>Single</v>
      </c>
      <c r="J293">
        <f>RAW_DATA!J293</f>
        <v>4485</v>
      </c>
      <c r="K293">
        <f>RAW_DATA!K293</f>
        <v>4</v>
      </c>
      <c r="L293">
        <f>RAW_DATA!L293</f>
        <v>3</v>
      </c>
      <c r="M293">
        <f>RAW_DATA!M293</f>
        <v>8</v>
      </c>
      <c r="N293">
        <f t="shared" si="8"/>
        <v>0</v>
      </c>
      <c r="O293" t="str" cm="1">
        <f t="array" ref="O293" xml:space="preserve"> _xlfn.IFS(A293 &lt;ASSUMPTIONS!$D$2,"25",A293 &lt;= ASSUMPTIONS!$D$3,"25-34",A293 &lt;= ASSUMPTIONS!$D$4, "35-44",A293 &lt;= ASSUMPTIONS!$D$5,"45-54",TRUE,"55+")</f>
        <v>35-44</v>
      </c>
      <c r="P293" t="str" cm="1">
        <f t="array" ref="P293">_xlfn.IFS( J293 &lt;ASSUMPTIONS!$D$7,"LOW",J293 &lt;= ASSUMPTIONS!$D$8,"MEDIUM",TRUE, "HIGH")</f>
        <v>MEDIUM</v>
      </c>
      <c r="Q293" t="str">
        <f>IF(M293&lt;ASSUMPTIONS!$D$10,"New (0-2)",IF(M293&lt;=ASSUMPTIONS!$D$11,"Early (2-5)",IF(M293&lt;=ASSUMPTIONS!$D$12,"Established (5-10)","Veteran (10+)")))</f>
        <v>Established (5-10)</v>
      </c>
      <c r="R293" s="4">
        <f t="shared" si="9"/>
        <v>2.6666666666666665</v>
      </c>
    </row>
    <row r="294" spans="1:18">
      <c r="A294">
        <f>RAW_DATA!A294</f>
        <v>31</v>
      </c>
      <c r="B294" t="str">
        <f>RAW_DATA!B294</f>
        <v>No</v>
      </c>
      <c r="C294" t="str">
        <f>RAW_DATA!C294</f>
        <v>Sales</v>
      </c>
      <c r="D294">
        <f>RAW_DATA!D294</f>
        <v>5</v>
      </c>
      <c r="E294">
        <f>RAW_DATA!E294</f>
        <v>3</v>
      </c>
      <c r="F294" t="str">
        <f>RAW_DATA!F294</f>
        <v>Marketing</v>
      </c>
      <c r="G294">
        <f>RAW_DATA!G294</f>
        <v>4</v>
      </c>
      <c r="H294">
        <f>RAW_DATA!H294</f>
        <v>2</v>
      </c>
      <c r="I294" t="str">
        <f>RAW_DATA!I294</f>
        <v>Divorced</v>
      </c>
      <c r="J294">
        <f>RAW_DATA!J294</f>
        <v>2789</v>
      </c>
      <c r="K294">
        <f>RAW_DATA!K294</f>
        <v>1</v>
      </c>
      <c r="L294">
        <f>RAW_DATA!L294</f>
        <v>2</v>
      </c>
      <c r="M294">
        <f>RAW_DATA!M294</f>
        <v>2</v>
      </c>
      <c r="N294">
        <f t="shared" si="8"/>
        <v>0</v>
      </c>
      <c r="O294" t="str" cm="1">
        <f t="array" ref="O294" xml:space="preserve"> _xlfn.IFS(A294 &lt;ASSUMPTIONS!$D$2,"25",A294 &lt;= ASSUMPTIONS!$D$3,"25-34",A294 &lt;= ASSUMPTIONS!$D$4, "35-44",A294 &lt;= ASSUMPTIONS!$D$5,"45-54",TRUE,"55+")</f>
        <v>25-34</v>
      </c>
      <c r="P294" t="str" cm="1">
        <f t="array" ref="P294">_xlfn.IFS( J294 &lt;ASSUMPTIONS!$D$7,"LOW",J294 &lt;= ASSUMPTIONS!$D$8,"MEDIUM",TRUE, "HIGH")</f>
        <v>LOW</v>
      </c>
      <c r="Q294" t="str">
        <f>IF(M294&lt;ASSUMPTIONS!$D$10,"New (0-2)",IF(M294&lt;=ASSUMPTIONS!$D$11,"Early (2-5)",IF(M294&lt;=ASSUMPTIONS!$D$12,"Established (5-10)","Veteran (10+)")))</f>
        <v>Early (2-5)</v>
      </c>
      <c r="R294" s="4">
        <f t="shared" si="9"/>
        <v>2.6666666666666665</v>
      </c>
    </row>
    <row r="295" spans="1:18">
      <c r="A295">
        <f>RAW_DATA!A295</f>
        <v>26</v>
      </c>
      <c r="B295" t="str">
        <f>RAW_DATA!B295</f>
        <v>Yes</v>
      </c>
      <c r="C295" t="str">
        <f>RAW_DATA!C295</f>
        <v>Sales</v>
      </c>
      <c r="D295">
        <f>RAW_DATA!D295</f>
        <v>4</v>
      </c>
      <c r="E295">
        <f>RAW_DATA!E295</f>
        <v>4</v>
      </c>
      <c r="F295" t="str">
        <f>RAW_DATA!F295</f>
        <v>Marketing</v>
      </c>
      <c r="G295">
        <f>RAW_DATA!G295</f>
        <v>4</v>
      </c>
      <c r="H295">
        <f>RAW_DATA!H295</f>
        <v>4</v>
      </c>
      <c r="I295" t="str">
        <f>RAW_DATA!I295</f>
        <v>Single</v>
      </c>
      <c r="J295">
        <f>RAW_DATA!J295</f>
        <v>5828</v>
      </c>
      <c r="K295">
        <f>RAW_DATA!K295</f>
        <v>1</v>
      </c>
      <c r="L295">
        <f>RAW_DATA!L295</f>
        <v>3</v>
      </c>
      <c r="M295">
        <f>RAW_DATA!M295</f>
        <v>8</v>
      </c>
      <c r="N295">
        <f t="shared" si="8"/>
        <v>1</v>
      </c>
      <c r="O295" t="str" cm="1">
        <f t="array" ref="O295" xml:space="preserve"> _xlfn.IFS(A295 &lt;ASSUMPTIONS!$D$2,"25",A295 &lt;= ASSUMPTIONS!$D$3,"25-34",A295 &lt;= ASSUMPTIONS!$D$4, "35-44",A295 &lt;= ASSUMPTIONS!$D$5,"45-54",TRUE,"55+")</f>
        <v>25-34</v>
      </c>
      <c r="P295" t="str" cm="1">
        <f t="array" ref="P295">_xlfn.IFS( J295 &lt;ASSUMPTIONS!$D$7,"LOW",J295 &lt;= ASSUMPTIONS!$D$8,"MEDIUM",TRUE, "HIGH")</f>
        <v>MEDIUM</v>
      </c>
      <c r="Q295" t="str">
        <f>IF(M295&lt;ASSUMPTIONS!$D$10,"New (0-2)",IF(M295&lt;=ASSUMPTIONS!$D$11,"Early (2-5)",IF(M295&lt;=ASSUMPTIONS!$D$12,"Established (5-10)","Veteran (10+)")))</f>
        <v>Established (5-10)</v>
      </c>
      <c r="R295" s="4">
        <f t="shared" si="9"/>
        <v>3.6666666666666665</v>
      </c>
    </row>
    <row r="296" spans="1:18">
      <c r="A296">
        <f>RAW_DATA!A296</f>
        <v>37</v>
      </c>
      <c r="B296" t="str">
        <f>RAW_DATA!B296</f>
        <v>No</v>
      </c>
      <c r="C296" t="str">
        <f>RAW_DATA!C296</f>
        <v>Research &amp; Development</v>
      </c>
      <c r="D296">
        <f>RAW_DATA!D296</f>
        <v>9</v>
      </c>
      <c r="E296">
        <f>RAW_DATA!E296</f>
        <v>3</v>
      </c>
      <c r="F296" t="str">
        <f>RAW_DATA!F296</f>
        <v>Medical</v>
      </c>
      <c r="G296">
        <f>RAW_DATA!G296</f>
        <v>2</v>
      </c>
      <c r="H296">
        <f>RAW_DATA!H296</f>
        <v>4</v>
      </c>
      <c r="I296" t="str">
        <f>RAW_DATA!I296</f>
        <v>Married</v>
      </c>
      <c r="J296">
        <f>RAW_DATA!J296</f>
        <v>2326</v>
      </c>
      <c r="K296">
        <f>RAW_DATA!K296</f>
        <v>1</v>
      </c>
      <c r="L296">
        <f>RAW_DATA!L296</f>
        <v>2</v>
      </c>
      <c r="M296">
        <f>RAW_DATA!M296</f>
        <v>4</v>
      </c>
      <c r="N296">
        <f t="shared" si="8"/>
        <v>0</v>
      </c>
      <c r="O296" t="str" cm="1">
        <f t="array" ref="O296" xml:space="preserve"> _xlfn.IFS(A296 &lt;ASSUMPTIONS!$D$2,"25",A296 &lt;= ASSUMPTIONS!$D$3,"25-34",A296 &lt;= ASSUMPTIONS!$D$4, "35-44",A296 &lt;= ASSUMPTIONS!$D$5,"45-54",TRUE,"55+")</f>
        <v>35-44</v>
      </c>
      <c r="P296" t="str" cm="1">
        <f t="array" ref="P296">_xlfn.IFS( J296 &lt;ASSUMPTIONS!$D$7,"LOW",J296 &lt;= ASSUMPTIONS!$D$8,"MEDIUM",TRUE, "HIGH")</f>
        <v>LOW</v>
      </c>
      <c r="Q296" t="str">
        <f>IF(M296&lt;ASSUMPTIONS!$D$10,"New (0-2)",IF(M296&lt;=ASSUMPTIONS!$D$11,"Early (2-5)",IF(M296&lt;=ASSUMPTIONS!$D$12,"Established (5-10)","Veteran (10+)")))</f>
        <v>Early (2-5)</v>
      </c>
      <c r="R296" s="4">
        <f t="shared" si="9"/>
        <v>2.6666666666666665</v>
      </c>
    </row>
    <row r="297" spans="1:18">
      <c r="A297">
        <f>RAW_DATA!A297</f>
        <v>42</v>
      </c>
      <c r="B297" t="str">
        <f>RAW_DATA!B297</f>
        <v>No</v>
      </c>
      <c r="C297" t="str">
        <f>RAW_DATA!C297</f>
        <v>Sales</v>
      </c>
      <c r="D297">
        <f>RAW_DATA!D297</f>
        <v>26</v>
      </c>
      <c r="E297">
        <f>RAW_DATA!E297</f>
        <v>3</v>
      </c>
      <c r="F297" t="str">
        <f>RAW_DATA!F297</f>
        <v>Marketing</v>
      </c>
      <c r="G297">
        <f>RAW_DATA!G297</f>
        <v>3</v>
      </c>
      <c r="H297">
        <f>RAW_DATA!H297</f>
        <v>2</v>
      </c>
      <c r="I297" t="str">
        <f>RAW_DATA!I297</f>
        <v>Married</v>
      </c>
      <c r="J297">
        <f>RAW_DATA!J297</f>
        <v>13525</v>
      </c>
      <c r="K297">
        <f>RAW_DATA!K297</f>
        <v>5</v>
      </c>
      <c r="L297">
        <f>RAW_DATA!L297</f>
        <v>4</v>
      </c>
      <c r="M297">
        <f>RAW_DATA!M297</f>
        <v>20</v>
      </c>
      <c r="N297">
        <f t="shared" si="8"/>
        <v>0</v>
      </c>
      <c r="O297" t="str" cm="1">
        <f t="array" ref="O297" xml:space="preserve"> _xlfn.IFS(A297 &lt;ASSUMPTIONS!$D$2,"25",A297 &lt;= ASSUMPTIONS!$D$3,"25-34",A297 &lt;= ASSUMPTIONS!$D$4, "35-44",A297 &lt;= ASSUMPTIONS!$D$5,"45-54",TRUE,"55+")</f>
        <v>35-44</v>
      </c>
      <c r="P297" t="str" cm="1">
        <f t="array" ref="P297">_xlfn.IFS( J297 &lt;ASSUMPTIONS!$D$7,"LOW",J297 &lt;= ASSUMPTIONS!$D$8,"MEDIUM",TRUE, "HIGH")</f>
        <v>HIGH</v>
      </c>
      <c r="Q297" t="str">
        <f>IF(M297&lt;ASSUMPTIONS!$D$10,"New (0-2)",IF(M297&lt;=ASSUMPTIONS!$D$11,"Early (2-5)",IF(M297&lt;=ASSUMPTIONS!$D$12,"Established (5-10)","Veteran (10+)")))</f>
        <v>Veteran (10+)</v>
      </c>
      <c r="R297" s="4">
        <f t="shared" si="9"/>
        <v>3</v>
      </c>
    </row>
    <row r="298" spans="1:18">
      <c r="A298">
        <f>RAW_DATA!A298</f>
        <v>18</v>
      </c>
      <c r="B298" t="str">
        <f>RAW_DATA!B298</f>
        <v>Yes</v>
      </c>
      <c r="C298" t="str">
        <f>RAW_DATA!C298</f>
        <v>Research &amp; Development</v>
      </c>
      <c r="D298">
        <f>RAW_DATA!D298</f>
        <v>3</v>
      </c>
      <c r="E298">
        <f>RAW_DATA!E298</f>
        <v>3</v>
      </c>
      <c r="F298" t="str">
        <f>RAW_DATA!F298</f>
        <v>Life Sciences</v>
      </c>
      <c r="G298">
        <f>RAW_DATA!G298</f>
        <v>3</v>
      </c>
      <c r="H298">
        <f>RAW_DATA!H298</f>
        <v>3</v>
      </c>
      <c r="I298" t="str">
        <f>RAW_DATA!I298</f>
        <v>Single</v>
      </c>
      <c r="J298">
        <f>RAW_DATA!J298</f>
        <v>1420</v>
      </c>
      <c r="K298">
        <f>RAW_DATA!K298</f>
        <v>1</v>
      </c>
      <c r="L298">
        <f>RAW_DATA!L298</f>
        <v>3</v>
      </c>
      <c r="M298">
        <f>RAW_DATA!M298</f>
        <v>0</v>
      </c>
      <c r="N298">
        <f t="shared" si="8"/>
        <v>1</v>
      </c>
      <c r="O298" t="str" cm="1">
        <f t="array" ref="O298" xml:space="preserve"> _xlfn.IFS(A298 &lt;ASSUMPTIONS!$D$2,"25",A298 &lt;= ASSUMPTIONS!$D$3,"25-34",A298 &lt;= ASSUMPTIONS!$D$4, "35-44",A298 &lt;= ASSUMPTIONS!$D$5,"45-54",TRUE,"55+")</f>
        <v>25</v>
      </c>
      <c r="P298" t="str" cm="1">
        <f t="array" ref="P298">_xlfn.IFS( J298 &lt;ASSUMPTIONS!$D$7,"LOW",J298 &lt;= ASSUMPTIONS!$D$8,"MEDIUM",TRUE, "HIGH")</f>
        <v>LOW</v>
      </c>
      <c r="Q298" t="str">
        <f>IF(M298&lt;ASSUMPTIONS!$D$10,"New (0-2)",IF(M298&lt;=ASSUMPTIONS!$D$11,"Early (2-5)",IF(M298&lt;=ASSUMPTIONS!$D$12,"Established (5-10)","Veteran (10+)")))</f>
        <v>New (0-2)</v>
      </c>
      <c r="R298" s="4">
        <f t="shared" si="9"/>
        <v>3</v>
      </c>
    </row>
    <row r="299" spans="1:18">
      <c r="A299">
        <f>RAW_DATA!A299</f>
        <v>35</v>
      </c>
      <c r="B299" t="str">
        <f>RAW_DATA!B299</f>
        <v>No</v>
      </c>
      <c r="C299" t="str">
        <f>RAW_DATA!C299</f>
        <v>Sales</v>
      </c>
      <c r="D299">
        <f>RAW_DATA!D299</f>
        <v>16</v>
      </c>
      <c r="E299">
        <f>RAW_DATA!E299</f>
        <v>3</v>
      </c>
      <c r="F299" t="str">
        <f>RAW_DATA!F299</f>
        <v>Marketing</v>
      </c>
      <c r="G299">
        <f>RAW_DATA!G299</f>
        <v>3</v>
      </c>
      <c r="H299">
        <f>RAW_DATA!H299</f>
        <v>2</v>
      </c>
      <c r="I299" t="str">
        <f>RAW_DATA!I299</f>
        <v>Married</v>
      </c>
      <c r="J299">
        <f>RAW_DATA!J299</f>
        <v>8020</v>
      </c>
      <c r="K299">
        <f>RAW_DATA!K299</f>
        <v>0</v>
      </c>
      <c r="L299">
        <f>RAW_DATA!L299</f>
        <v>2</v>
      </c>
      <c r="M299">
        <f>RAW_DATA!M299</f>
        <v>11</v>
      </c>
      <c r="N299">
        <f t="shared" si="8"/>
        <v>0</v>
      </c>
      <c r="O299" t="str" cm="1">
        <f t="array" ref="O299" xml:space="preserve"> _xlfn.IFS(A299 &lt;ASSUMPTIONS!$D$2,"25",A299 &lt;= ASSUMPTIONS!$D$3,"25-34",A299 &lt;= ASSUMPTIONS!$D$4, "35-44",A299 &lt;= ASSUMPTIONS!$D$5,"45-54",TRUE,"55+")</f>
        <v>35-44</v>
      </c>
      <c r="P299" t="str" cm="1">
        <f t="array" ref="P299">_xlfn.IFS( J299 &lt;ASSUMPTIONS!$D$7,"LOW",J299 &lt;= ASSUMPTIONS!$D$8,"MEDIUM",TRUE, "HIGH")</f>
        <v>HIGH</v>
      </c>
      <c r="Q299" t="str">
        <f>IF(M299&lt;ASSUMPTIONS!$D$10,"New (0-2)",IF(M299&lt;=ASSUMPTIONS!$D$11,"Early (2-5)",IF(M299&lt;=ASSUMPTIONS!$D$12,"Established (5-10)","Veteran (10+)")))</f>
        <v>Veteran (10+)</v>
      </c>
      <c r="R299" s="4">
        <f t="shared" si="9"/>
        <v>2.3333333333333335</v>
      </c>
    </row>
    <row r="300" spans="1:18">
      <c r="A300">
        <f>RAW_DATA!A300</f>
        <v>36</v>
      </c>
      <c r="B300" t="str">
        <f>RAW_DATA!B300</f>
        <v>No</v>
      </c>
      <c r="C300" t="str">
        <f>RAW_DATA!C300</f>
        <v>Research &amp; Development</v>
      </c>
      <c r="D300">
        <f>RAW_DATA!D300</f>
        <v>18</v>
      </c>
      <c r="E300">
        <f>RAW_DATA!E300</f>
        <v>4</v>
      </c>
      <c r="F300" t="str">
        <f>RAW_DATA!F300</f>
        <v>Life Sciences</v>
      </c>
      <c r="G300">
        <f>RAW_DATA!G300</f>
        <v>3</v>
      </c>
      <c r="H300">
        <f>RAW_DATA!H300</f>
        <v>4</v>
      </c>
      <c r="I300" t="str">
        <f>RAW_DATA!I300</f>
        <v>Married</v>
      </c>
      <c r="J300">
        <f>RAW_DATA!J300</f>
        <v>3688</v>
      </c>
      <c r="K300">
        <f>RAW_DATA!K300</f>
        <v>4</v>
      </c>
      <c r="L300">
        <f>RAW_DATA!L300</f>
        <v>3</v>
      </c>
      <c r="M300">
        <f>RAW_DATA!M300</f>
        <v>1</v>
      </c>
      <c r="N300">
        <f t="shared" si="8"/>
        <v>0</v>
      </c>
      <c r="O300" t="str" cm="1">
        <f t="array" ref="O300" xml:space="preserve"> _xlfn.IFS(A300 &lt;ASSUMPTIONS!$D$2,"25",A300 &lt;= ASSUMPTIONS!$D$3,"25-34",A300 &lt;= ASSUMPTIONS!$D$4, "35-44",A300 &lt;= ASSUMPTIONS!$D$5,"45-54",TRUE,"55+")</f>
        <v>35-44</v>
      </c>
      <c r="P300" t="str" cm="1">
        <f t="array" ref="P300">_xlfn.IFS( J300 &lt;ASSUMPTIONS!$D$7,"LOW",J300 &lt;= ASSUMPTIONS!$D$8,"MEDIUM",TRUE, "HIGH")</f>
        <v>MEDIUM</v>
      </c>
      <c r="Q300" t="str">
        <f>IF(M300&lt;ASSUMPTIONS!$D$10,"New (0-2)",IF(M300&lt;=ASSUMPTIONS!$D$11,"Early (2-5)",IF(M300&lt;=ASSUMPTIONS!$D$12,"Established (5-10)","Veteran (10+)")))</f>
        <v>New (0-2)</v>
      </c>
      <c r="R300" s="4">
        <f t="shared" si="9"/>
        <v>3.3333333333333335</v>
      </c>
    </row>
    <row r="301" spans="1:18">
      <c r="A301">
        <f>RAW_DATA!A301</f>
        <v>51</v>
      </c>
      <c r="B301" t="str">
        <f>RAW_DATA!B301</f>
        <v>No</v>
      </c>
      <c r="C301" t="str">
        <f>RAW_DATA!C301</f>
        <v>Research &amp; Development</v>
      </c>
      <c r="D301">
        <f>RAW_DATA!D301</f>
        <v>2</v>
      </c>
      <c r="E301">
        <f>RAW_DATA!E301</f>
        <v>3</v>
      </c>
      <c r="F301" t="str">
        <f>RAW_DATA!F301</f>
        <v>Medical</v>
      </c>
      <c r="G301">
        <f>RAW_DATA!G301</f>
        <v>4</v>
      </c>
      <c r="H301">
        <f>RAW_DATA!H301</f>
        <v>2</v>
      </c>
      <c r="I301" t="str">
        <f>RAW_DATA!I301</f>
        <v>Divorced</v>
      </c>
      <c r="J301">
        <f>RAW_DATA!J301</f>
        <v>5482</v>
      </c>
      <c r="K301">
        <f>RAW_DATA!K301</f>
        <v>5</v>
      </c>
      <c r="L301">
        <f>RAW_DATA!L301</f>
        <v>3</v>
      </c>
      <c r="M301">
        <f>RAW_DATA!M301</f>
        <v>4</v>
      </c>
      <c r="N301">
        <f t="shared" si="8"/>
        <v>0</v>
      </c>
      <c r="O301" t="str" cm="1">
        <f t="array" ref="O301" xml:space="preserve"> _xlfn.IFS(A301 &lt;ASSUMPTIONS!$D$2,"25",A301 &lt;= ASSUMPTIONS!$D$3,"25-34",A301 &lt;= ASSUMPTIONS!$D$4, "35-44",A301 &lt;= ASSUMPTIONS!$D$5,"45-54",TRUE,"55+")</f>
        <v>45-54</v>
      </c>
      <c r="P301" t="str" cm="1">
        <f t="array" ref="P301">_xlfn.IFS( J301 &lt;ASSUMPTIONS!$D$7,"LOW",J301 &lt;= ASSUMPTIONS!$D$8,"MEDIUM",TRUE, "HIGH")</f>
        <v>MEDIUM</v>
      </c>
      <c r="Q301" t="str">
        <f>IF(M301&lt;ASSUMPTIONS!$D$10,"New (0-2)",IF(M301&lt;=ASSUMPTIONS!$D$11,"Early (2-5)",IF(M301&lt;=ASSUMPTIONS!$D$12,"Established (5-10)","Veteran (10+)")))</f>
        <v>Early (2-5)</v>
      </c>
      <c r="R301" s="4">
        <f t="shared" si="9"/>
        <v>3</v>
      </c>
    </row>
    <row r="302" spans="1:18">
      <c r="A302">
        <f>RAW_DATA!A302</f>
        <v>41</v>
      </c>
      <c r="B302" t="str">
        <f>RAW_DATA!B302</f>
        <v>No</v>
      </c>
      <c r="C302" t="str">
        <f>RAW_DATA!C302</f>
        <v>Sales</v>
      </c>
      <c r="D302">
        <f>RAW_DATA!D302</f>
        <v>2</v>
      </c>
      <c r="E302">
        <f>RAW_DATA!E302</f>
        <v>4</v>
      </c>
      <c r="F302" t="str">
        <f>RAW_DATA!F302</f>
        <v>Life Sciences</v>
      </c>
      <c r="G302">
        <f>RAW_DATA!G302</f>
        <v>4</v>
      </c>
      <c r="H302">
        <f>RAW_DATA!H302</f>
        <v>2</v>
      </c>
      <c r="I302" t="str">
        <f>RAW_DATA!I302</f>
        <v>Single</v>
      </c>
      <c r="J302">
        <f>RAW_DATA!J302</f>
        <v>16015</v>
      </c>
      <c r="K302">
        <f>RAW_DATA!K302</f>
        <v>1</v>
      </c>
      <c r="L302">
        <f>RAW_DATA!L302</f>
        <v>3</v>
      </c>
      <c r="M302">
        <f>RAW_DATA!M302</f>
        <v>22</v>
      </c>
      <c r="N302">
        <f t="shared" si="8"/>
        <v>0</v>
      </c>
      <c r="O302" t="str" cm="1">
        <f t="array" ref="O302" xml:space="preserve"> _xlfn.IFS(A302 &lt;ASSUMPTIONS!$D$2,"25",A302 &lt;= ASSUMPTIONS!$D$3,"25-34",A302 &lt;= ASSUMPTIONS!$D$4, "35-44",A302 &lt;= ASSUMPTIONS!$D$5,"45-54",TRUE,"55+")</f>
        <v>35-44</v>
      </c>
      <c r="P302" t="str" cm="1">
        <f t="array" ref="P302">_xlfn.IFS( J302 &lt;ASSUMPTIONS!$D$7,"LOW",J302 &lt;= ASSUMPTIONS!$D$8,"MEDIUM",TRUE, "HIGH")</f>
        <v>HIGH</v>
      </c>
      <c r="Q302" t="str">
        <f>IF(M302&lt;ASSUMPTIONS!$D$10,"New (0-2)",IF(M302&lt;=ASSUMPTIONS!$D$11,"Early (2-5)",IF(M302&lt;=ASSUMPTIONS!$D$12,"Established (5-10)","Veteran (10+)")))</f>
        <v>Veteran (10+)</v>
      </c>
      <c r="R302" s="4">
        <f t="shared" si="9"/>
        <v>3</v>
      </c>
    </row>
    <row r="303" spans="1:18">
      <c r="A303">
        <f>RAW_DATA!A303</f>
        <v>18</v>
      </c>
      <c r="B303" t="str">
        <f>RAW_DATA!B303</f>
        <v>No</v>
      </c>
      <c r="C303" t="str">
        <f>RAW_DATA!C303</f>
        <v>Sales</v>
      </c>
      <c r="D303">
        <f>RAW_DATA!D303</f>
        <v>10</v>
      </c>
      <c r="E303">
        <f>RAW_DATA!E303</f>
        <v>3</v>
      </c>
      <c r="F303" t="str">
        <f>RAW_DATA!F303</f>
        <v>Medical</v>
      </c>
      <c r="G303">
        <f>RAW_DATA!G303</f>
        <v>4</v>
      </c>
      <c r="H303">
        <f>RAW_DATA!H303</f>
        <v>3</v>
      </c>
      <c r="I303" t="str">
        <f>RAW_DATA!I303</f>
        <v>Single</v>
      </c>
      <c r="J303">
        <f>RAW_DATA!J303</f>
        <v>1200</v>
      </c>
      <c r="K303">
        <f>RAW_DATA!K303</f>
        <v>1</v>
      </c>
      <c r="L303">
        <f>RAW_DATA!L303</f>
        <v>3</v>
      </c>
      <c r="M303">
        <f>RAW_DATA!M303</f>
        <v>0</v>
      </c>
      <c r="N303">
        <f t="shared" si="8"/>
        <v>0</v>
      </c>
      <c r="O303" t="str" cm="1">
        <f t="array" ref="O303" xml:space="preserve"> _xlfn.IFS(A303 &lt;ASSUMPTIONS!$D$2,"25",A303 &lt;= ASSUMPTIONS!$D$3,"25-34",A303 &lt;= ASSUMPTIONS!$D$4, "35-44",A303 &lt;= ASSUMPTIONS!$D$5,"45-54",TRUE,"55+")</f>
        <v>25</v>
      </c>
      <c r="P303" t="str" cm="1">
        <f t="array" ref="P303">_xlfn.IFS( J303 &lt;ASSUMPTIONS!$D$7,"LOW",J303 &lt;= ASSUMPTIONS!$D$8,"MEDIUM",TRUE, "HIGH")</f>
        <v>LOW</v>
      </c>
      <c r="Q303" t="str">
        <f>IF(M303&lt;ASSUMPTIONS!$D$10,"New (0-2)",IF(M303&lt;=ASSUMPTIONS!$D$11,"Early (2-5)",IF(M303&lt;=ASSUMPTIONS!$D$12,"Established (5-10)","Veteran (10+)")))</f>
        <v>New (0-2)</v>
      </c>
      <c r="R303" s="4">
        <f t="shared" si="9"/>
        <v>3.3333333333333335</v>
      </c>
    </row>
    <row r="304" spans="1:18">
      <c r="A304">
        <f>RAW_DATA!A304</f>
        <v>28</v>
      </c>
      <c r="B304" t="str">
        <f>RAW_DATA!B304</f>
        <v>No</v>
      </c>
      <c r="C304" t="str">
        <f>RAW_DATA!C304</f>
        <v>Research &amp; Development</v>
      </c>
      <c r="D304">
        <f>RAW_DATA!D304</f>
        <v>16</v>
      </c>
      <c r="E304">
        <f>RAW_DATA!E304</f>
        <v>2</v>
      </c>
      <c r="F304" t="str">
        <f>RAW_DATA!F304</f>
        <v>Medical</v>
      </c>
      <c r="G304">
        <f>RAW_DATA!G304</f>
        <v>2</v>
      </c>
      <c r="H304">
        <f>RAW_DATA!H304</f>
        <v>1</v>
      </c>
      <c r="I304" t="str">
        <f>RAW_DATA!I304</f>
        <v>Single</v>
      </c>
      <c r="J304">
        <f>RAW_DATA!J304</f>
        <v>5661</v>
      </c>
      <c r="K304">
        <f>RAW_DATA!K304</f>
        <v>0</v>
      </c>
      <c r="L304">
        <f>RAW_DATA!L304</f>
        <v>3</v>
      </c>
      <c r="M304">
        <f>RAW_DATA!M304</f>
        <v>8</v>
      </c>
      <c r="N304">
        <f t="shared" si="8"/>
        <v>0</v>
      </c>
      <c r="O304" t="str" cm="1">
        <f t="array" ref="O304" xml:space="preserve"> _xlfn.IFS(A304 &lt;ASSUMPTIONS!$D$2,"25",A304 &lt;= ASSUMPTIONS!$D$3,"25-34",A304 &lt;= ASSUMPTIONS!$D$4, "35-44",A304 &lt;= ASSUMPTIONS!$D$5,"45-54",TRUE,"55+")</f>
        <v>25-34</v>
      </c>
      <c r="P304" t="str" cm="1">
        <f t="array" ref="P304">_xlfn.IFS( J304 &lt;ASSUMPTIONS!$D$7,"LOW",J304 &lt;= ASSUMPTIONS!$D$8,"MEDIUM",TRUE, "HIGH")</f>
        <v>MEDIUM</v>
      </c>
      <c r="Q304" t="str">
        <f>IF(M304&lt;ASSUMPTIONS!$D$10,"New (0-2)",IF(M304&lt;=ASSUMPTIONS!$D$11,"Early (2-5)",IF(M304&lt;=ASSUMPTIONS!$D$12,"Established (5-10)","Veteran (10+)")))</f>
        <v>Established (5-10)</v>
      </c>
      <c r="R304" s="4">
        <f t="shared" si="9"/>
        <v>2</v>
      </c>
    </row>
    <row r="305" spans="1:18">
      <c r="A305">
        <f>RAW_DATA!A305</f>
        <v>31</v>
      </c>
      <c r="B305" t="str">
        <f>RAW_DATA!B305</f>
        <v>No</v>
      </c>
      <c r="C305" t="str">
        <f>RAW_DATA!C305</f>
        <v>Sales</v>
      </c>
      <c r="D305">
        <f>RAW_DATA!D305</f>
        <v>7</v>
      </c>
      <c r="E305">
        <f>RAW_DATA!E305</f>
        <v>3</v>
      </c>
      <c r="F305" t="str">
        <f>RAW_DATA!F305</f>
        <v>Technical Degree</v>
      </c>
      <c r="G305">
        <f>RAW_DATA!G305</f>
        <v>2</v>
      </c>
      <c r="H305">
        <f>RAW_DATA!H305</f>
        <v>4</v>
      </c>
      <c r="I305" t="str">
        <f>RAW_DATA!I305</f>
        <v>Married</v>
      </c>
      <c r="J305">
        <f>RAW_DATA!J305</f>
        <v>6929</v>
      </c>
      <c r="K305">
        <f>RAW_DATA!K305</f>
        <v>4</v>
      </c>
      <c r="L305">
        <f>RAW_DATA!L305</f>
        <v>2</v>
      </c>
      <c r="M305">
        <f>RAW_DATA!M305</f>
        <v>8</v>
      </c>
      <c r="N305">
        <f t="shared" si="8"/>
        <v>0</v>
      </c>
      <c r="O305" t="str" cm="1">
        <f t="array" ref="O305" xml:space="preserve"> _xlfn.IFS(A305 &lt;ASSUMPTIONS!$D$2,"25",A305 &lt;= ASSUMPTIONS!$D$3,"25-34",A305 &lt;= ASSUMPTIONS!$D$4, "35-44",A305 &lt;= ASSUMPTIONS!$D$5,"45-54",TRUE,"55+")</f>
        <v>25-34</v>
      </c>
      <c r="P305" t="str" cm="1">
        <f t="array" ref="P305">_xlfn.IFS( J305 &lt;ASSUMPTIONS!$D$7,"LOW",J305 &lt;= ASSUMPTIONS!$D$8,"MEDIUM",TRUE, "HIGH")</f>
        <v>MEDIUM</v>
      </c>
      <c r="Q305" t="str">
        <f>IF(M305&lt;ASSUMPTIONS!$D$10,"New (0-2)",IF(M305&lt;=ASSUMPTIONS!$D$11,"Early (2-5)",IF(M305&lt;=ASSUMPTIONS!$D$12,"Established (5-10)","Veteran (10+)")))</f>
        <v>Established (5-10)</v>
      </c>
      <c r="R305" s="4">
        <f t="shared" si="9"/>
        <v>2.6666666666666665</v>
      </c>
    </row>
    <row r="306" spans="1:18">
      <c r="A306">
        <f>RAW_DATA!A306</f>
        <v>39</v>
      </c>
      <c r="B306" t="str">
        <f>RAW_DATA!B306</f>
        <v>No</v>
      </c>
      <c r="C306" t="str">
        <f>RAW_DATA!C306</f>
        <v>Research &amp; Development</v>
      </c>
      <c r="D306">
        <f>RAW_DATA!D306</f>
        <v>1</v>
      </c>
      <c r="E306">
        <f>RAW_DATA!E306</f>
        <v>3</v>
      </c>
      <c r="F306" t="str">
        <f>RAW_DATA!F306</f>
        <v>Medical</v>
      </c>
      <c r="G306">
        <f>RAW_DATA!G306</f>
        <v>3</v>
      </c>
      <c r="H306">
        <f>RAW_DATA!H306</f>
        <v>4</v>
      </c>
      <c r="I306" t="str">
        <f>RAW_DATA!I306</f>
        <v>Divorced</v>
      </c>
      <c r="J306">
        <f>RAW_DATA!J306</f>
        <v>9613</v>
      </c>
      <c r="K306">
        <f>RAW_DATA!K306</f>
        <v>0</v>
      </c>
      <c r="L306">
        <f>RAW_DATA!L306</f>
        <v>2</v>
      </c>
      <c r="M306">
        <f>RAW_DATA!M306</f>
        <v>18</v>
      </c>
      <c r="N306">
        <f t="shared" si="8"/>
        <v>0</v>
      </c>
      <c r="O306" t="str" cm="1">
        <f t="array" ref="O306" xml:space="preserve"> _xlfn.IFS(A306 &lt;ASSUMPTIONS!$D$2,"25",A306 &lt;= ASSUMPTIONS!$D$3,"25-34",A306 &lt;= ASSUMPTIONS!$D$4, "35-44",A306 &lt;= ASSUMPTIONS!$D$5,"45-54",TRUE,"55+")</f>
        <v>35-44</v>
      </c>
      <c r="P306" t="str" cm="1">
        <f t="array" ref="P306">_xlfn.IFS( J306 &lt;ASSUMPTIONS!$D$7,"LOW",J306 &lt;= ASSUMPTIONS!$D$8,"MEDIUM",TRUE, "HIGH")</f>
        <v>HIGH</v>
      </c>
      <c r="Q306" t="str">
        <f>IF(M306&lt;ASSUMPTIONS!$D$10,"New (0-2)",IF(M306&lt;=ASSUMPTIONS!$D$11,"Early (2-5)",IF(M306&lt;=ASSUMPTIONS!$D$12,"Established (5-10)","Veteran (10+)")))</f>
        <v>Veteran (10+)</v>
      </c>
      <c r="R306" s="4">
        <f t="shared" si="9"/>
        <v>3</v>
      </c>
    </row>
    <row r="307" spans="1:18">
      <c r="A307">
        <f>RAW_DATA!A307</f>
        <v>36</v>
      </c>
      <c r="B307" t="str">
        <f>RAW_DATA!B307</f>
        <v>No</v>
      </c>
      <c r="C307" t="str">
        <f>RAW_DATA!C307</f>
        <v>Research &amp; Development</v>
      </c>
      <c r="D307">
        <f>RAW_DATA!D307</f>
        <v>24</v>
      </c>
      <c r="E307">
        <f>RAW_DATA!E307</f>
        <v>4</v>
      </c>
      <c r="F307" t="str">
        <f>RAW_DATA!F307</f>
        <v>Life Sciences</v>
      </c>
      <c r="G307">
        <f>RAW_DATA!G307</f>
        <v>2</v>
      </c>
      <c r="H307">
        <f>RAW_DATA!H307</f>
        <v>2</v>
      </c>
      <c r="I307" t="str">
        <f>RAW_DATA!I307</f>
        <v>Married</v>
      </c>
      <c r="J307">
        <f>RAW_DATA!J307</f>
        <v>5674</v>
      </c>
      <c r="K307">
        <f>RAW_DATA!K307</f>
        <v>7</v>
      </c>
      <c r="L307">
        <f>RAW_DATA!L307</f>
        <v>3</v>
      </c>
      <c r="M307">
        <f>RAW_DATA!M307</f>
        <v>9</v>
      </c>
      <c r="N307">
        <f t="shared" si="8"/>
        <v>0</v>
      </c>
      <c r="O307" t="str" cm="1">
        <f t="array" ref="O307" xml:space="preserve"> _xlfn.IFS(A307 &lt;ASSUMPTIONS!$D$2,"25",A307 &lt;= ASSUMPTIONS!$D$3,"25-34",A307 &lt;= ASSUMPTIONS!$D$4, "35-44",A307 &lt;= ASSUMPTIONS!$D$5,"45-54",TRUE,"55+")</f>
        <v>35-44</v>
      </c>
      <c r="P307" t="str" cm="1">
        <f t="array" ref="P307">_xlfn.IFS( J307 &lt;ASSUMPTIONS!$D$7,"LOW",J307 &lt;= ASSUMPTIONS!$D$8,"MEDIUM",TRUE, "HIGH")</f>
        <v>MEDIUM</v>
      </c>
      <c r="Q307" t="str">
        <f>IF(M307&lt;ASSUMPTIONS!$D$10,"New (0-2)",IF(M307&lt;=ASSUMPTIONS!$D$11,"Early (2-5)",IF(M307&lt;=ASSUMPTIONS!$D$12,"Established (5-10)","Veteran (10+)")))</f>
        <v>Established (5-10)</v>
      </c>
      <c r="R307" s="4">
        <f t="shared" si="9"/>
        <v>2.3333333333333335</v>
      </c>
    </row>
    <row r="308" spans="1:18">
      <c r="A308">
        <f>RAW_DATA!A308</f>
        <v>32</v>
      </c>
      <c r="B308" t="str">
        <f>RAW_DATA!B308</f>
        <v>No</v>
      </c>
      <c r="C308" t="str">
        <f>RAW_DATA!C308</f>
        <v>Sales</v>
      </c>
      <c r="D308">
        <f>RAW_DATA!D308</f>
        <v>7</v>
      </c>
      <c r="E308">
        <f>RAW_DATA!E308</f>
        <v>3</v>
      </c>
      <c r="F308" t="str">
        <f>RAW_DATA!F308</f>
        <v>Life Sciences</v>
      </c>
      <c r="G308">
        <f>RAW_DATA!G308</f>
        <v>4</v>
      </c>
      <c r="H308">
        <f>RAW_DATA!H308</f>
        <v>3</v>
      </c>
      <c r="I308" t="str">
        <f>RAW_DATA!I308</f>
        <v>Married</v>
      </c>
      <c r="J308">
        <f>RAW_DATA!J308</f>
        <v>5484</v>
      </c>
      <c r="K308">
        <f>RAW_DATA!K308</f>
        <v>1</v>
      </c>
      <c r="L308">
        <f>RAW_DATA!L308</f>
        <v>2</v>
      </c>
      <c r="M308">
        <f>RAW_DATA!M308</f>
        <v>13</v>
      </c>
      <c r="N308">
        <f t="shared" si="8"/>
        <v>0</v>
      </c>
      <c r="O308" t="str" cm="1">
        <f t="array" ref="O308" xml:space="preserve"> _xlfn.IFS(A308 &lt;ASSUMPTIONS!$D$2,"25",A308 &lt;= ASSUMPTIONS!$D$3,"25-34",A308 &lt;= ASSUMPTIONS!$D$4, "35-44",A308 &lt;= ASSUMPTIONS!$D$5,"45-54",TRUE,"55+")</f>
        <v>25-34</v>
      </c>
      <c r="P308" t="str" cm="1">
        <f t="array" ref="P308">_xlfn.IFS( J308 &lt;ASSUMPTIONS!$D$7,"LOW",J308 &lt;= ASSUMPTIONS!$D$8,"MEDIUM",TRUE, "HIGH")</f>
        <v>MEDIUM</v>
      </c>
      <c r="Q308" t="str">
        <f>IF(M308&lt;ASSUMPTIONS!$D$10,"New (0-2)",IF(M308&lt;=ASSUMPTIONS!$D$11,"Early (2-5)",IF(M308&lt;=ASSUMPTIONS!$D$12,"Established (5-10)","Veteran (10+)")))</f>
        <v>Veteran (10+)</v>
      </c>
      <c r="R308" s="4">
        <f t="shared" si="9"/>
        <v>3</v>
      </c>
    </row>
    <row r="309" spans="1:18">
      <c r="A309">
        <f>RAW_DATA!A309</f>
        <v>38</v>
      </c>
      <c r="B309" t="str">
        <f>RAW_DATA!B309</f>
        <v>No</v>
      </c>
      <c r="C309" t="str">
        <f>RAW_DATA!C309</f>
        <v>Research &amp; Development</v>
      </c>
      <c r="D309">
        <f>RAW_DATA!D309</f>
        <v>25</v>
      </c>
      <c r="E309">
        <f>RAW_DATA!E309</f>
        <v>2</v>
      </c>
      <c r="F309" t="str">
        <f>RAW_DATA!F309</f>
        <v>Life Sciences</v>
      </c>
      <c r="G309">
        <f>RAW_DATA!G309</f>
        <v>1</v>
      </c>
      <c r="H309">
        <f>RAW_DATA!H309</f>
        <v>2</v>
      </c>
      <c r="I309" t="str">
        <f>RAW_DATA!I309</f>
        <v>Married</v>
      </c>
      <c r="J309">
        <f>RAW_DATA!J309</f>
        <v>12061</v>
      </c>
      <c r="K309">
        <f>RAW_DATA!K309</f>
        <v>3</v>
      </c>
      <c r="L309">
        <f>RAW_DATA!L309</f>
        <v>3</v>
      </c>
      <c r="M309">
        <f>RAW_DATA!M309</f>
        <v>10</v>
      </c>
      <c r="N309">
        <f t="shared" si="8"/>
        <v>0</v>
      </c>
      <c r="O309" t="str" cm="1">
        <f t="array" ref="O309" xml:space="preserve"> _xlfn.IFS(A309 &lt;ASSUMPTIONS!$D$2,"25",A309 &lt;= ASSUMPTIONS!$D$3,"25-34",A309 &lt;= ASSUMPTIONS!$D$4, "35-44",A309 &lt;= ASSUMPTIONS!$D$5,"45-54",TRUE,"55+")</f>
        <v>35-44</v>
      </c>
      <c r="P309" t="str" cm="1">
        <f t="array" ref="P309">_xlfn.IFS( J309 &lt;ASSUMPTIONS!$D$7,"LOW",J309 &lt;= ASSUMPTIONS!$D$8,"MEDIUM",TRUE, "HIGH")</f>
        <v>HIGH</v>
      </c>
      <c r="Q309" t="str">
        <f>IF(M309&lt;ASSUMPTIONS!$D$10,"New (0-2)",IF(M309&lt;=ASSUMPTIONS!$D$11,"Early (2-5)",IF(M309&lt;=ASSUMPTIONS!$D$12,"Established (5-10)","Veteran (10+)")))</f>
        <v>Established (5-10)</v>
      </c>
      <c r="R309" s="4">
        <f t="shared" si="9"/>
        <v>2</v>
      </c>
    </row>
    <row r="310" spans="1:18">
      <c r="A310">
        <f>RAW_DATA!A310</f>
        <v>58</v>
      </c>
      <c r="B310" t="str">
        <f>RAW_DATA!B310</f>
        <v>No</v>
      </c>
      <c r="C310" t="str">
        <f>RAW_DATA!C310</f>
        <v>Research &amp; Development</v>
      </c>
      <c r="D310">
        <f>RAW_DATA!D310</f>
        <v>1</v>
      </c>
      <c r="E310">
        <f>RAW_DATA!E310</f>
        <v>4</v>
      </c>
      <c r="F310" t="str">
        <f>RAW_DATA!F310</f>
        <v>Life Sciences</v>
      </c>
      <c r="G310">
        <f>RAW_DATA!G310</f>
        <v>4</v>
      </c>
      <c r="H310">
        <f>RAW_DATA!H310</f>
        <v>3</v>
      </c>
      <c r="I310" t="str">
        <f>RAW_DATA!I310</f>
        <v>Divorced</v>
      </c>
      <c r="J310">
        <f>RAW_DATA!J310</f>
        <v>5660</v>
      </c>
      <c r="K310">
        <f>RAW_DATA!K310</f>
        <v>2</v>
      </c>
      <c r="L310">
        <f>RAW_DATA!L310</f>
        <v>3</v>
      </c>
      <c r="M310">
        <f>RAW_DATA!M310</f>
        <v>5</v>
      </c>
      <c r="N310">
        <f t="shared" si="8"/>
        <v>0</v>
      </c>
      <c r="O310" t="str" cm="1">
        <f t="array" ref="O310" xml:space="preserve"> _xlfn.IFS(A310 &lt;ASSUMPTIONS!$D$2,"25",A310 &lt;= ASSUMPTIONS!$D$3,"25-34",A310 &lt;= ASSUMPTIONS!$D$4, "35-44",A310 &lt;= ASSUMPTIONS!$D$5,"45-54",TRUE,"55+")</f>
        <v>55+</v>
      </c>
      <c r="P310" t="str" cm="1">
        <f t="array" ref="P310">_xlfn.IFS( J310 &lt;ASSUMPTIONS!$D$7,"LOW",J310 &lt;= ASSUMPTIONS!$D$8,"MEDIUM",TRUE, "HIGH")</f>
        <v>MEDIUM</v>
      </c>
      <c r="Q310" t="str">
        <f>IF(M310&lt;ASSUMPTIONS!$D$10,"New (0-2)",IF(M310&lt;=ASSUMPTIONS!$D$11,"Early (2-5)",IF(M310&lt;=ASSUMPTIONS!$D$12,"Established (5-10)","Veteran (10+)")))</f>
        <v>Early (2-5)</v>
      </c>
      <c r="R310" s="4">
        <f t="shared" si="9"/>
        <v>3.3333333333333335</v>
      </c>
    </row>
    <row r="311" spans="1:18">
      <c r="A311">
        <f>RAW_DATA!A311</f>
        <v>31</v>
      </c>
      <c r="B311" t="str">
        <f>RAW_DATA!B311</f>
        <v>No</v>
      </c>
      <c r="C311" t="str">
        <f>RAW_DATA!C311</f>
        <v>Research &amp; Development</v>
      </c>
      <c r="D311">
        <f>RAW_DATA!D311</f>
        <v>5</v>
      </c>
      <c r="E311">
        <f>RAW_DATA!E311</f>
        <v>4</v>
      </c>
      <c r="F311" t="str">
        <f>RAW_DATA!F311</f>
        <v>Technical Degree</v>
      </c>
      <c r="G311">
        <f>RAW_DATA!G311</f>
        <v>3</v>
      </c>
      <c r="H311">
        <f>RAW_DATA!H311</f>
        <v>4</v>
      </c>
      <c r="I311" t="str">
        <f>RAW_DATA!I311</f>
        <v>Married</v>
      </c>
      <c r="J311">
        <f>RAW_DATA!J311</f>
        <v>4821</v>
      </c>
      <c r="K311">
        <f>RAW_DATA!K311</f>
        <v>0</v>
      </c>
      <c r="L311">
        <f>RAW_DATA!L311</f>
        <v>3</v>
      </c>
      <c r="M311">
        <f>RAW_DATA!M311</f>
        <v>5</v>
      </c>
      <c r="N311">
        <f t="shared" si="8"/>
        <v>0</v>
      </c>
      <c r="O311" t="str" cm="1">
        <f t="array" ref="O311" xml:space="preserve"> _xlfn.IFS(A311 &lt;ASSUMPTIONS!$D$2,"25",A311 &lt;= ASSUMPTIONS!$D$3,"25-34",A311 &lt;= ASSUMPTIONS!$D$4, "35-44",A311 &lt;= ASSUMPTIONS!$D$5,"45-54",TRUE,"55+")</f>
        <v>25-34</v>
      </c>
      <c r="P311" t="str" cm="1">
        <f t="array" ref="P311">_xlfn.IFS( J311 &lt;ASSUMPTIONS!$D$7,"LOW",J311 &lt;= ASSUMPTIONS!$D$8,"MEDIUM",TRUE, "HIGH")</f>
        <v>MEDIUM</v>
      </c>
      <c r="Q311" t="str">
        <f>IF(M311&lt;ASSUMPTIONS!$D$10,"New (0-2)",IF(M311&lt;=ASSUMPTIONS!$D$11,"Early (2-5)",IF(M311&lt;=ASSUMPTIONS!$D$12,"Established (5-10)","Veteran (10+)")))</f>
        <v>Early (2-5)</v>
      </c>
      <c r="R311" s="4">
        <f t="shared" si="9"/>
        <v>3.3333333333333335</v>
      </c>
    </row>
    <row r="312" spans="1:18">
      <c r="A312">
        <f>RAW_DATA!A312</f>
        <v>31</v>
      </c>
      <c r="B312" t="str">
        <f>RAW_DATA!B312</f>
        <v>No</v>
      </c>
      <c r="C312" t="str">
        <f>RAW_DATA!C312</f>
        <v>Human Resources</v>
      </c>
      <c r="D312">
        <f>RAW_DATA!D312</f>
        <v>2</v>
      </c>
      <c r="E312">
        <f>RAW_DATA!E312</f>
        <v>3</v>
      </c>
      <c r="F312" t="str">
        <f>RAW_DATA!F312</f>
        <v>Human Resources</v>
      </c>
      <c r="G312">
        <f>RAW_DATA!G312</f>
        <v>1</v>
      </c>
      <c r="H312">
        <f>RAW_DATA!H312</f>
        <v>1</v>
      </c>
      <c r="I312" t="str">
        <f>RAW_DATA!I312</f>
        <v>Married</v>
      </c>
      <c r="J312">
        <f>RAW_DATA!J312</f>
        <v>6410</v>
      </c>
      <c r="K312">
        <f>RAW_DATA!K312</f>
        <v>3</v>
      </c>
      <c r="L312">
        <f>RAW_DATA!L312</f>
        <v>3</v>
      </c>
      <c r="M312">
        <f>RAW_DATA!M312</f>
        <v>2</v>
      </c>
      <c r="N312">
        <f t="shared" si="8"/>
        <v>0</v>
      </c>
      <c r="O312" t="str" cm="1">
        <f t="array" ref="O312" xml:space="preserve"> _xlfn.IFS(A312 &lt;ASSUMPTIONS!$D$2,"25",A312 &lt;= ASSUMPTIONS!$D$3,"25-34",A312 &lt;= ASSUMPTIONS!$D$4, "35-44",A312 &lt;= ASSUMPTIONS!$D$5,"45-54",TRUE,"55+")</f>
        <v>25-34</v>
      </c>
      <c r="P312" t="str" cm="1">
        <f t="array" ref="P312">_xlfn.IFS( J312 &lt;ASSUMPTIONS!$D$7,"LOW",J312 &lt;= ASSUMPTIONS!$D$8,"MEDIUM",TRUE, "HIGH")</f>
        <v>MEDIUM</v>
      </c>
      <c r="Q312" t="str">
        <f>IF(M312&lt;ASSUMPTIONS!$D$10,"New (0-2)",IF(M312&lt;=ASSUMPTIONS!$D$11,"Early (2-5)",IF(M312&lt;=ASSUMPTIONS!$D$12,"Established (5-10)","Veteran (10+)")))</f>
        <v>Early (2-5)</v>
      </c>
      <c r="R312" s="4">
        <f t="shared" si="9"/>
        <v>1.6666666666666667</v>
      </c>
    </row>
    <row r="313" spans="1:18">
      <c r="A313">
        <f>RAW_DATA!A313</f>
        <v>45</v>
      </c>
      <c r="B313" t="str">
        <f>RAW_DATA!B313</f>
        <v>No</v>
      </c>
      <c r="C313" t="str">
        <f>RAW_DATA!C313</f>
        <v>Research &amp; Development</v>
      </c>
      <c r="D313">
        <f>RAW_DATA!D313</f>
        <v>7</v>
      </c>
      <c r="E313">
        <f>RAW_DATA!E313</f>
        <v>3</v>
      </c>
      <c r="F313" t="str">
        <f>RAW_DATA!F313</f>
        <v>Life Sciences</v>
      </c>
      <c r="G313">
        <f>RAW_DATA!G313</f>
        <v>1</v>
      </c>
      <c r="H313">
        <f>RAW_DATA!H313</f>
        <v>1</v>
      </c>
      <c r="I313" t="str">
        <f>RAW_DATA!I313</f>
        <v>Divorced</v>
      </c>
      <c r="J313">
        <f>RAW_DATA!J313</f>
        <v>5210</v>
      </c>
      <c r="K313">
        <f>RAW_DATA!K313</f>
        <v>1</v>
      </c>
      <c r="L313">
        <f>RAW_DATA!L313</f>
        <v>3</v>
      </c>
      <c r="M313">
        <f>RAW_DATA!M313</f>
        <v>24</v>
      </c>
      <c r="N313">
        <f t="shared" si="8"/>
        <v>0</v>
      </c>
      <c r="O313" t="str" cm="1">
        <f t="array" ref="O313" xml:space="preserve"> _xlfn.IFS(A313 &lt;ASSUMPTIONS!$D$2,"25",A313 &lt;= ASSUMPTIONS!$D$3,"25-34",A313 &lt;= ASSUMPTIONS!$D$4, "35-44",A313 &lt;= ASSUMPTIONS!$D$5,"45-54",TRUE,"55+")</f>
        <v>45-54</v>
      </c>
      <c r="P313" t="str" cm="1">
        <f t="array" ref="P313">_xlfn.IFS( J313 &lt;ASSUMPTIONS!$D$7,"LOW",J313 &lt;= ASSUMPTIONS!$D$8,"MEDIUM",TRUE, "HIGH")</f>
        <v>MEDIUM</v>
      </c>
      <c r="Q313" t="str">
        <f>IF(M313&lt;ASSUMPTIONS!$D$10,"New (0-2)",IF(M313&lt;=ASSUMPTIONS!$D$11,"Early (2-5)",IF(M313&lt;=ASSUMPTIONS!$D$12,"Established (5-10)","Veteran (10+)")))</f>
        <v>Veteran (10+)</v>
      </c>
      <c r="R313" s="4">
        <f t="shared" si="9"/>
        <v>1.6666666666666667</v>
      </c>
    </row>
    <row r="314" spans="1:18">
      <c r="A314">
        <f>RAW_DATA!A314</f>
        <v>31</v>
      </c>
      <c r="B314" t="str">
        <f>RAW_DATA!B314</f>
        <v>No</v>
      </c>
      <c r="C314" t="str">
        <f>RAW_DATA!C314</f>
        <v>Research &amp; Development</v>
      </c>
      <c r="D314">
        <f>RAW_DATA!D314</f>
        <v>2</v>
      </c>
      <c r="E314">
        <f>RAW_DATA!E314</f>
        <v>4</v>
      </c>
      <c r="F314" t="str">
        <f>RAW_DATA!F314</f>
        <v>Life Sciences</v>
      </c>
      <c r="G314">
        <f>RAW_DATA!G314</f>
        <v>3</v>
      </c>
      <c r="H314">
        <f>RAW_DATA!H314</f>
        <v>4</v>
      </c>
      <c r="I314" t="str">
        <f>RAW_DATA!I314</f>
        <v>Divorced</v>
      </c>
      <c r="J314">
        <f>RAW_DATA!J314</f>
        <v>2695</v>
      </c>
      <c r="K314">
        <f>RAW_DATA!K314</f>
        <v>0</v>
      </c>
      <c r="L314">
        <f>RAW_DATA!L314</f>
        <v>1</v>
      </c>
      <c r="M314">
        <f>RAW_DATA!M314</f>
        <v>2</v>
      </c>
      <c r="N314">
        <f t="shared" si="8"/>
        <v>0</v>
      </c>
      <c r="O314" t="str" cm="1">
        <f t="array" ref="O314" xml:space="preserve"> _xlfn.IFS(A314 &lt;ASSUMPTIONS!$D$2,"25",A314 &lt;= ASSUMPTIONS!$D$3,"25-34",A314 &lt;= ASSUMPTIONS!$D$4, "35-44",A314 &lt;= ASSUMPTIONS!$D$5,"45-54",TRUE,"55+")</f>
        <v>25-34</v>
      </c>
      <c r="P314" t="str" cm="1">
        <f t="array" ref="P314">_xlfn.IFS( J314 &lt;ASSUMPTIONS!$D$7,"LOW",J314 &lt;= ASSUMPTIONS!$D$8,"MEDIUM",TRUE, "HIGH")</f>
        <v>LOW</v>
      </c>
      <c r="Q314" t="str">
        <f>IF(M314&lt;ASSUMPTIONS!$D$10,"New (0-2)",IF(M314&lt;=ASSUMPTIONS!$D$11,"Early (2-5)",IF(M314&lt;=ASSUMPTIONS!$D$12,"Established (5-10)","Veteran (10+)")))</f>
        <v>Early (2-5)</v>
      </c>
      <c r="R314" s="4">
        <f t="shared" si="9"/>
        <v>2.6666666666666665</v>
      </c>
    </row>
    <row r="315" spans="1:18">
      <c r="A315">
        <f>RAW_DATA!A315</f>
        <v>33</v>
      </c>
      <c r="B315" t="str">
        <f>RAW_DATA!B315</f>
        <v>No</v>
      </c>
      <c r="C315" t="str">
        <f>RAW_DATA!C315</f>
        <v>Research &amp; Development</v>
      </c>
      <c r="D315">
        <f>RAW_DATA!D315</f>
        <v>5</v>
      </c>
      <c r="E315">
        <f>RAW_DATA!E315</f>
        <v>4</v>
      </c>
      <c r="F315" t="str">
        <f>RAW_DATA!F315</f>
        <v>Life Sciences</v>
      </c>
      <c r="G315">
        <f>RAW_DATA!G315</f>
        <v>4</v>
      </c>
      <c r="H315">
        <f>RAW_DATA!H315</f>
        <v>2</v>
      </c>
      <c r="I315" t="str">
        <f>RAW_DATA!I315</f>
        <v>Married</v>
      </c>
      <c r="J315">
        <f>RAW_DATA!J315</f>
        <v>11878</v>
      </c>
      <c r="K315">
        <f>RAW_DATA!K315</f>
        <v>6</v>
      </c>
      <c r="L315">
        <f>RAW_DATA!L315</f>
        <v>3</v>
      </c>
      <c r="M315">
        <f>RAW_DATA!M315</f>
        <v>10</v>
      </c>
      <c r="N315">
        <f t="shared" si="8"/>
        <v>0</v>
      </c>
      <c r="O315" t="str" cm="1">
        <f t="array" ref="O315" xml:space="preserve"> _xlfn.IFS(A315 &lt;ASSUMPTIONS!$D$2,"25",A315 &lt;= ASSUMPTIONS!$D$3,"25-34",A315 &lt;= ASSUMPTIONS!$D$4, "35-44",A315 &lt;= ASSUMPTIONS!$D$5,"45-54",TRUE,"55+")</f>
        <v>25-34</v>
      </c>
      <c r="P315" t="str" cm="1">
        <f t="array" ref="P315">_xlfn.IFS( J315 &lt;ASSUMPTIONS!$D$7,"LOW",J315 &lt;= ASSUMPTIONS!$D$8,"MEDIUM",TRUE, "HIGH")</f>
        <v>HIGH</v>
      </c>
      <c r="Q315" t="str">
        <f>IF(M315&lt;ASSUMPTIONS!$D$10,"New (0-2)",IF(M315&lt;=ASSUMPTIONS!$D$11,"Early (2-5)",IF(M315&lt;=ASSUMPTIONS!$D$12,"Established (5-10)","Veteran (10+)")))</f>
        <v>Established (5-10)</v>
      </c>
      <c r="R315" s="4">
        <f t="shared" si="9"/>
        <v>3</v>
      </c>
    </row>
    <row r="316" spans="1:18">
      <c r="A316">
        <f>RAW_DATA!A316</f>
        <v>39</v>
      </c>
      <c r="B316" t="str">
        <f>RAW_DATA!B316</f>
        <v>No</v>
      </c>
      <c r="C316" t="str">
        <f>RAW_DATA!C316</f>
        <v>Research &amp; Development</v>
      </c>
      <c r="D316">
        <f>RAW_DATA!D316</f>
        <v>10</v>
      </c>
      <c r="E316">
        <f>RAW_DATA!E316</f>
        <v>1</v>
      </c>
      <c r="F316" t="str">
        <f>RAW_DATA!F316</f>
        <v>Medical</v>
      </c>
      <c r="G316">
        <f>RAW_DATA!G316</f>
        <v>3</v>
      </c>
      <c r="H316">
        <f>RAW_DATA!H316</f>
        <v>1</v>
      </c>
      <c r="I316" t="str">
        <f>RAW_DATA!I316</f>
        <v>Married</v>
      </c>
      <c r="J316">
        <f>RAW_DATA!J316</f>
        <v>17068</v>
      </c>
      <c r="K316">
        <f>RAW_DATA!K316</f>
        <v>1</v>
      </c>
      <c r="L316">
        <f>RAW_DATA!L316</f>
        <v>3</v>
      </c>
      <c r="M316">
        <f>RAW_DATA!M316</f>
        <v>21</v>
      </c>
      <c r="N316">
        <f t="shared" si="8"/>
        <v>0</v>
      </c>
      <c r="O316" t="str" cm="1">
        <f t="array" ref="O316" xml:space="preserve"> _xlfn.IFS(A316 &lt;ASSUMPTIONS!$D$2,"25",A316 &lt;= ASSUMPTIONS!$D$3,"25-34",A316 &lt;= ASSUMPTIONS!$D$4, "35-44",A316 &lt;= ASSUMPTIONS!$D$5,"45-54",TRUE,"55+")</f>
        <v>35-44</v>
      </c>
      <c r="P316" t="str" cm="1">
        <f t="array" ref="P316">_xlfn.IFS( J316 &lt;ASSUMPTIONS!$D$7,"LOW",J316 &lt;= ASSUMPTIONS!$D$8,"MEDIUM",TRUE, "HIGH")</f>
        <v>HIGH</v>
      </c>
      <c r="Q316" t="str">
        <f>IF(M316&lt;ASSUMPTIONS!$D$10,"New (0-2)",IF(M316&lt;=ASSUMPTIONS!$D$11,"Early (2-5)",IF(M316&lt;=ASSUMPTIONS!$D$12,"Established (5-10)","Veteran (10+)")))</f>
        <v>Veteran (10+)</v>
      </c>
      <c r="R316" s="4">
        <f t="shared" si="9"/>
        <v>2.3333333333333335</v>
      </c>
    </row>
    <row r="317" spans="1:18">
      <c r="A317">
        <f>RAW_DATA!A317</f>
        <v>43</v>
      </c>
      <c r="B317" t="str">
        <f>RAW_DATA!B317</f>
        <v>No</v>
      </c>
      <c r="C317" t="str">
        <f>RAW_DATA!C317</f>
        <v>Research &amp; Development</v>
      </c>
      <c r="D317">
        <f>RAW_DATA!D317</f>
        <v>10</v>
      </c>
      <c r="E317">
        <f>RAW_DATA!E317</f>
        <v>4</v>
      </c>
      <c r="F317" t="str">
        <f>RAW_DATA!F317</f>
        <v>Life Sciences</v>
      </c>
      <c r="G317">
        <f>RAW_DATA!G317</f>
        <v>3</v>
      </c>
      <c r="H317">
        <f>RAW_DATA!H317</f>
        <v>4</v>
      </c>
      <c r="I317" t="str">
        <f>RAW_DATA!I317</f>
        <v>Single</v>
      </c>
      <c r="J317">
        <f>RAW_DATA!J317</f>
        <v>2455</v>
      </c>
      <c r="K317">
        <f>RAW_DATA!K317</f>
        <v>0</v>
      </c>
      <c r="L317">
        <f>RAW_DATA!L317</f>
        <v>3</v>
      </c>
      <c r="M317">
        <f>RAW_DATA!M317</f>
        <v>8</v>
      </c>
      <c r="N317">
        <f t="shared" si="8"/>
        <v>0</v>
      </c>
      <c r="O317" t="str" cm="1">
        <f t="array" ref="O317" xml:space="preserve"> _xlfn.IFS(A317 &lt;ASSUMPTIONS!$D$2,"25",A317 &lt;= ASSUMPTIONS!$D$3,"25-34",A317 &lt;= ASSUMPTIONS!$D$4, "35-44",A317 &lt;= ASSUMPTIONS!$D$5,"45-54",TRUE,"55+")</f>
        <v>35-44</v>
      </c>
      <c r="P317" t="str" cm="1">
        <f t="array" ref="P317">_xlfn.IFS( J317 &lt;ASSUMPTIONS!$D$7,"LOW",J317 &lt;= ASSUMPTIONS!$D$8,"MEDIUM",TRUE, "HIGH")</f>
        <v>LOW</v>
      </c>
      <c r="Q317" t="str">
        <f>IF(M317&lt;ASSUMPTIONS!$D$10,"New (0-2)",IF(M317&lt;=ASSUMPTIONS!$D$11,"Early (2-5)",IF(M317&lt;=ASSUMPTIONS!$D$12,"Established (5-10)","Veteran (10+)")))</f>
        <v>Established (5-10)</v>
      </c>
      <c r="R317" s="4">
        <f t="shared" si="9"/>
        <v>3.3333333333333335</v>
      </c>
    </row>
    <row r="318" spans="1:18">
      <c r="A318">
        <f>RAW_DATA!A318</f>
        <v>49</v>
      </c>
      <c r="B318" t="str">
        <f>RAW_DATA!B318</f>
        <v>No</v>
      </c>
      <c r="C318" t="str">
        <f>RAW_DATA!C318</f>
        <v>Research &amp; Development</v>
      </c>
      <c r="D318">
        <f>RAW_DATA!D318</f>
        <v>1</v>
      </c>
      <c r="E318">
        <f>RAW_DATA!E318</f>
        <v>2</v>
      </c>
      <c r="F318" t="str">
        <f>RAW_DATA!F318</f>
        <v>Technical Degree</v>
      </c>
      <c r="G318">
        <f>RAW_DATA!G318</f>
        <v>3</v>
      </c>
      <c r="H318">
        <f>RAW_DATA!H318</f>
        <v>3</v>
      </c>
      <c r="I318" t="str">
        <f>RAW_DATA!I318</f>
        <v>Single</v>
      </c>
      <c r="J318">
        <f>RAW_DATA!J318</f>
        <v>13964</v>
      </c>
      <c r="K318">
        <f>RAW_DATA!K318</f>
        <v>7</v>
      </c>
      <c r="L318">
        <f>RAW_DATA!L318</f>
        <v>3</v>
      </c>
      <c r="M318">
        <f>RAW_DATA!M318</f>
        <v>7</v>
      </c>
      <c r="N318">
        <f t="shared" si="8"/>
        <v>0</v>
      </c>
      <c r="O318" t="str" cm="1">
        <f t="array" ref="O318" xml:space="preserve"> _xlfn.IFS(A318 &lt;ASSUMPTIONS!$D$2,"25",A318 &lt;= ASSUMPTIONS!$D$3,"25-34",A318 &lt;= ASSUMPTIONS!$D$4, "35-44",A318 &lt;= ASSUMPTIONS!$D$5,"45-54",TRUE,"55+")</f>
        <v>45-54</v>
      </c>
      <c r="P318" t="str" cm="1">
        <f t="array" ref="P318">_xlfn.IFS( J318 &lt;ASSUMPTIONS!$D$7,"LOW",J318 &lt;= ASSUMPTIONS!$D$8,"MEDIUM",TRUE, "HIGH")</f>
        <v>HIGH</v>
      </c>
      <c r="Q318" t="str">
        <f>IF(M318&lt;ASSUMPTIONS!$D$10,"New (0-2)",IF(M318&lt;=ASSUMPTIONS!$D$11,"Early (2-5)",IF(M318&lt;=ASSUMPTIONS!$D$12,"Established (5-10)","Veteran (10+)")))</f>
        <v>Established (5-10)</v>
      </c>
      <c r="R318" s="4">
        <f t="shared" si="9"/>
        <v>3</v>
      </c>
    </row>
    <row r="319" spans="1:18">
      <c r="A319">
        <f>RAW_DATA!A319</f>
        <v>52</v>
      </c>
      <c r="B319" t="str">
        <f>RAW_DATA!B319</f>
        <v>Yes</v>
      </c>
      <c r="C319" t="str">
        <f>RAW_DATA!C319</f>
        <v>Research &amp; Development</v>
      </c>
      <c r="D319">
        <f>RAW_DATA!D319</f>
        <v>8</v>
      </c>
      <c r="E319">
        <f>RAW_DATA!E319</f>
        <v>4</v>
      </c>
      <c r="F319" t="str">
        <f>RAW_DATA!F319</f>
        <v>Medical</v>
      </c>
      <c r="G319">
        <f>RAW_DATA!G319</f>
        <v>3</v>
      </c>
      <c r="H319">
        <f>RAW_DATA!H319</f>
        <v>2</v>
      </c>
      <c r="I319" t="str">
        <f>RAW_DATA!I319</f>
        <v>Married</v>
      </c>
      <c r="J319">
        <f>RAW_DATA!J319</f>
        <v>4941</v>
      </c>
      <c r="K319">
        <f>RAW_DATA!K319</f>
        <v>2</v>
      </c>
      <c r="L319">
        <f>RAW_DATA!L319</f>
        <v>2</v>
      </c>
      <c r="M319">
        <f>RAW_DATA!M319</f>
        <v>8</v>
      </c>
      <c r="N319">
        <f t="shared" si="8"/>
        <v>1</v>
      </c>
      <c r="O319" t="str" cm="1">
        <f t="array" ref="O319" xml:space="preserve"> _xlfn.IFS(A319 &lt;ASSUMPTIONS!$D$2,"25",A319 &lt;= ASSUMPTIONS!$D$3,"25-34",A319 &lt;= ASSUMPTIONS!$D$4, "35-44",A319 &lt;= ASSUMPTIONS!$D$5,"45-54",TRUE,"55+")</f>
        <v>45-54</v>
      </c>
      <c r="P319" t="str" cm="1">
        <f t="array" ref="P319">_xlfn.IFS( J319 &lt;ASSUMPTIONS!$D$7,"LOW",J319 &lt;= ASSUMPTIONS!$D$8,"MEDIUM",TRUE, "HIGH")</f>
        <v>MEDIUM</v>
      </c>
      <c r="Q319" t="str">
        <f>IF(M319&lt;ASSUMPTIONS!$D$10,"New (0-2)",IF(M319&lt;=ASSUMPTIONS!$D$11,"Early (2-5)",IF(M319&lt;=ASSUMPTIONS!$D$12,"Established (5-10)","Veteran (10+)")))</f>
        <v>Established (5-10)</v>
      </c>
      <c r="R319" s="4">
        <f t="shared" si="9"/>
        <v>2.3333333333333335</v>
      </c>
    </row>
    <row r="320" spans="1:18">
      <c r="A320">
        <f>RAW_DATA!A320</f>
        <v>27</v>
      </c>
      <c r="B320" t="str">
        <f>RAW_DATA!B320</f>
        <v>No</v>
      </c>
      <c r="C320" t="str">
        <f>RAW_DATA!C320</f>
        <v>Research &amp; Development</v>
      </c>
      <c r="D320">
        <f>RAW_DATA!D320</f>
        <v>5</v>
      </c>
      <c r="E320">
        <f>RAW_DATA!E320</f>
        <v>3</v>
      </c>
      <c r="F320" t="str">
        <f>RAW_DATA!F320</f>
        <v>Life Sciences</v>
      </c>
      <c r="G320">
        <f>RAW_DATA!G320</f>
        <v>3</v>
      </c>
      <c r="H320">
        <f>RAW_DATA!H320</f>
        <v>2</v>
      </c>
      <c r="I320" t="str">
        <f>RAW_DATA!I320</f>
        <v>Single</v>
      </c>
      <c r="J320">
        <f>RAW_DATA!J320</f>
        <v>2478</v>
      </c>
      <c r="K320">
        <f>RAW_DATA!K320</f>
        <v>1</v>
      </c>
      <c r="L320">
        <f>RAW_DATA!L320</f>
        <v>2</v>
      </c>
      <c r="M320">
        <f>RAW_DATA!M320</f>
        <v>4</v>
      </c>
      <c r="N320">
        <f t="shared" si="8"/>
        <v>0</v>
      </c>
      <c r="O320" t="str" cm="1">
        <f t="array" ref="O320" xml:space="preserve"> _xlfn.IFS(A320 &lt;ASSUMPTIONS!$D$2,"25",A320 &lt;= ASSUMPTIONS!$D$3,"25-34",A320 &lt;= ASSUMPTIONS!$D$4, "35-44",A320 &lt;= ASSUMPTIONS!$D$5,"45-54",TRUE,"55+")</f>
        <v>25-34</v>
      </c>
      <c r="P320" t="str" cm="1">
        <f t="array" ref="P320">_xlfn.IFS( J320 &lt;ASSUMPTIONS!$D$7,"LOW",J320 &lt;= ASSUMPTIONS!$D$8,"MEDIUM",TRUE, "HIGH")</f>
        <v>LOW</v>
      </c>
      <c r="Q320" t="str">
        <f>IF(M320&lt;ASSUMPTIONS!$D$10,"New (0-2)",IF(M320&lt;=ASSUMPTIONS!$D$11,"Early (2-5)",IF(M320&lt;=ASSUMPTIONS!$D$12,"Established (5-10)","Veteran (10+)")))</f>
        <v>Early (2-5)</v>
      </c>
      <c r="R320" s="4">
        <f t="shared" si="9"/>
        <v>2.3333333333333335</v>
      </c>
    </row>
    <row r="321" spans="1:18">
      <c r="A321">
        <f>RAW_DATA!A321</f>
        <v>32</v>
      </c>
      <c r="B321" t="str">
        <f>RAW_DATA!B321</f>
        <v>No</v>
      </c>
      <c r="C321" t="str">
        <f>RAW_DATA!C321</f>
        <v>Sales</v>
      </c>
      <c r="D321">
        <f>RAW_DATA!D321</f>
        <v>8</v>
      </c>
      <c r="E321">
        <f>RAW_DATA!E321</f>
        <v>2</v>
      </c>
      <c r="F321" t="str">
        <f>RAW_DATA!F321</f>
        <v>Technical Degree</v>
      </c>
      <c r="G321">
        <f>RAW_DATA!G321</f>
        <v>3</v>
      </c>
      <c r="H321">
        <f>RAW_DATA!H321</f>
        <v>2</v>
      </c>
      <c r="I321" t="str">
        <f>RAW_DATA!I321</f>
        <v>Married</v>
      </c>
      <c r="J321">
        <f>RAW_DATA!J321</f>
        <v>5228</v>
      </c>
      <c r="K321">
        <f>RAW_DATA!K321</f>
        <v>1</v>
      </c>
      <c r="L321">
        <f>RAW_DATA!L321</f>
        <v>3</v>
      </c>
      <c r="M321">
        <f>RAW_DATA!M321</f>
        <v>13</v>
      </c>
      <c r="N321">
        <f t="shared" si="8"/>
        <v>0</v>
      </c>
      <c r="O321" t="str" cm="1">
        <f t="array" ref="O321" xml:space="preserve"> _xlfn.IFS(A321 &lt;ASSUMPTIONS!$D$2,"25",A321 &lt;= ASSUMPTIONS!$D$3,"25-34",A321 &lt;= ASSUMPTIONS!$D$4, "35-44",A321 &lt;= ASSUMPTIONS!$D$5,"45-54",TRUE,"55+")</f>
        <v>25-34</v>
      </c>
      <c r="P321" t="str" cm="1">
        <f t="array" ref="P321">_xlfn.IFS( J321 &lt;ASSUMPTIONS!$D$7,"LOW",J321 &lt;= ASSUMPTIONS!$D$8,"MEDIUM",TRUE, "HIGH")</f>
        <v>MEDIUM</v>
      </c>
      <c r="Q321" t="str">
        <f>IF(M321&lt;ASSUMPTIONS!$D$10,"New (0-2)",IF(M321&lt;=ASSUMPTIONS!$D$11,"Early (2-5)",IF(M321&lt;=ASSUMPTIONS!$D$12,"Established (5-10)","Veteran (10+)")))</f>
        <v>Veteran (10+)</v>
      </c>
      <c r="R321" s="4">
        <f t="shared" si="9"/>
        <v>2.6666666666666665</v>
      </c>
    </row>
    <row r="322" spans="1:18">
      <c r="A322">
        <f>RAW_DATA!A322</f>
        <v>27</v>
      </c>
      <c r="B322" t="str">
        <f>RAW_DATA!B322</f>
        <v>No</v>
      </c>
      <c r="C322" t="str">
        <f>RAW_DATA!C322</f>
        <v>Sales</v>
      </c>
      <c r="D322">
        <f>RAW_DATA!D322</f>
        <v>2</v>
      </c>
      <c r="E322">
        <f>RAW_DATA!E322</f>
        <v>3</v>
      </c>
      <c r="F322" t="str">
        <f>RAW_DATA!F322</f>
        <v>Life Sciences</v>
      </c>
      <c r="G322">
        <f>RAW_DATA!G322</f>
        <v>4</v>
      </c>
      <c r="H322">
        <f>RAW_DATA!H322</f>
        <v>3</v>
      </c>
      <c r="I322" t="str">
        <f>RAW_DATA!I322</f>
        <v>Single</v>
      </c>
      <c r="J322">
        <f>RAW_DATA!J322</f>
        <v>4478</v>
      </c>
      <c r="K322">
        <f>RAW_DATA!K322</f>
        <v>1</v>
      </c>
      <c r="L322">
        <f>RAW_DATA!L322</f>
        <v>3</v>
      </c>
      <c r="M322">
        <f>RAW_DATA!M322</f>
        <v>5</v>
      </c>
      <c r="N322">
        <f t="shared" si="8"/>
        <v>0</v>
      </c>
      <c r="O322" t="str" cm="1">
        <f t="array" ref="O322" xml:space="preserve"> _xlfn.IFS(A322 &lt;ASSUMPTIONS!$D$2,"25",A322 &lt;= ASSUMPTIONS!$D$3,"25-34",A322 &lt;= ASSUMPTIONS!$D$4, "35-44",A322 &lt;= ASSUMPTIONS!$D$5,"45-54",TRUE,"55+")</f>
        <v>25-34</v>
      </c>
      <c r="P322" t="str" cm="1">
        <f t="array" ref="P322">_xlfn.IFS( J322 &lt;ASSUMPTIONS!$D$7,"LOW",J322 &lt;= ASSUMPTIONS!$D$8,"MEDIUM",TRUE, "HIGH")</f>
        <v>MEDIUM</v>
      </c>
      <c r="Q322" t="str">
        <f>IF(M322&lt;ASSUMPTIONS!$D$10,"New (0-2)",IF(M322&lt;=ASSUMPTIONS!$D$11,"Early (2-5)",IF(M322&lt;=ASSUMPTIONS!$D$12,"Established (5-10)","Veteran (10+)")))</f>
        <v>Early (2-5)</v>
      </c>
      <c r="R322" s="4">
        <f t="shared" si="9"/>
        <v>3.3333333333333335</v>
      </c>
    </row>
    <row r="323" spans="1:18">
      <c r="A323">
        <f>RAW_DATA!A323</f>
        <v>31</v>
      </c>
      <c r="B323" t="str">
        <f>RAW_DATA!B323</f>
        <v>No</v>
      </c>
      <c r="C323" t="str">
        <f>RAW_DATA!C323</f>
        <v>Sales</v>
      </c>
      <c r="D323">
        <f>RAW_DATA!D323</f>
        <v>7</v>
      </c>
      <c r="E323">
        <f>RAW_DATA!E323</f>
        <v>3</v>
      </c>
      <c r="F323" t="str">
        <f>RAW_DATA!F323</f>
        <v>Marketing</v>
      </c>
      <c r="G323">
        <f>RAW_DATA!G323</f>
        <v>4</v>
      </c>
      <c r="H323">
        <f>RAW_DATA!H323</f>
        <v>4</v>
      </c>
      <c r="I323" t="str">
        <f>RAW_DATA!I323</f>
        <v>Divorced</v>
      </c>
      <c r="J323">
        <f>RAW_DATA!J323</f>
        <v>7547</v>
      </c>
      <c r="K323">
        <f>RAW_DATA!K323</f>
        <v>4</v>
      </c>
      <c r="L323">
        <f>RAW_DATA!L323</f>
        <v>3</v>
      </c>
      <c r="M323">
        <f>RAW_DATA!M323</f>
        <v>7</v>
      </c>
      <c r="N323">
        <f t="shared" ref="N323:N386" si="10" xml:space="preserve"> IF(B323 ="Yes",1,0)</f>
        <v>0</v>
      </c>
      <c r="O323" t="str" cm="1">
        <f t="array" ref="O323" xml:space="preserve"> _xlfn.IFS(A323 &lt;ASSUMPTIONS!$D$2,"25",A323 &lt;= ASSUMPTIONS!$D$3,"25-34",A323 &lt;= ASSUMPTIONS!$D$4, "35-44",A323 &lt;= ASSUMPTIONS!$D$5,"45-54",TRUE,"55+")</f>
        <v>25-34</v>
      </c>
      <c r="P323" t="str" cm="1">
        <f t="array" ref="P323">_xlfn.IFS( J323 &lt;ASSUMPTIONS!$D$7,"LOW",J323 &lt;= ASSUMPTIONS!$D$8,"MEDIUM",TRUE, "HIGH")</f>
        <v>HIGH</v>
      </c>
      <c r="Q323" t="str">
        <f>IF(M323&lt;ASSUMPTIONS!$D$10,"New (0-2)",IF(M323&lt;=ASSUMPTIONS!$D$11,"Early (2-5)",IF(M323&lt;=ASSUMPTIONS!$D$12,"Established (5-10)","Veteran (10+)")))</f>
        <v>Established (5-10)</v>
      </c>
      <c r="R323" s="4">
        <f t="shared" ref="R323:R386" si="11">AVERAGE(G323,H323,L323)</f>
        <v>3.6666666666666665</v>
      </c>
    </row>
    <row r="324" spans="1:18">
      <c r="A324">
        <f>RAW_DATA!A324</f>
        <v>32</v>
      </c>
      <c r="B324" t="str">
        <f>RAW_DATA!B324</f>
        <v>No</v>
      </c>
      <c r="C324" t="str">
        <f>RAW_DATA!C324</f>
        <v>Research &amp; Development</v>
      </c>
      <c r="D324">
        <f>RAW_DATA!D324</f>
        <v>2</v>
      </c>
      <c r="E324">
        <f>RAW_DATA!E324</f>
        <v>4</v>
      </c>
      <c r="F324" t="str">
        <f>RAW_DATA!F324</f>
        <v>Medical</v>
      </c>
      <c r="G324">
        <f>RAW_DATA!G324</f>
        <v>1</v>
      </c>
      <c r="H324">
        <f>RAW_DATA!H324</f>
        <v>4</v>
      </c>
      <c r="I324" t="str">
        <f>RAW_DATA!I324</f>
        <v>Single</v>
      </c>
      <c r="J324">
        <f>RAW_DATA!J324</f>
        <v>5055</v>
      </c>
      <c r="K324">
        <f>RAW_DATA!K324</f>
        <v>7</v>
      </c>
      <c r="L324">
        <f>RAW_DATA!L324</f>
        <v>2</v>
      </c>
      <c r="M324">
        <f>RAW_DATA!M324</f>
        <v>7</v>
      </c>
      <c r="N324">
        <f t="shared" si="10"/>
        <v>0</v>
      </c>
      <c r="O324" t="str" cm="1">
        <f t="array" ref="O324" xml:space="preserve"> _xlfn.IFS(A324 &lt;ASSUMPTIONS!$D$2,"25",A324 &lt;= ASSUMPTIONS!$D$3,"25-34",A324 &lt;= ASSUMPTIONS!$D$4, "35-44",A324 &lt;= ASSUMPTIONS!$D$5,"45-54",TRUE,"55+")</f>
        <v>25-34</v>
      </c>
      <c r="P324" t="str" cm="1">
        <f t="array" ref="P324">_xlfn.IFS( J324 &lt;ASSUMPTIONS!$D$7,"LOW",J324 &lt;= ASSUMPTIONS!$D$8,"MEDIUM",TRUE, "HIGH")</f>
        <v>MEDIUM</v>
      </c>
      <c r="Q324" t="str">
        <f>IF(M324&lt;ASSUMPTIONS!$D$10,"New (0-2)",IF(M324&lt;=ASSUMPTIONS!$D$11,"Early (2-5)",IF(M324&lt;=ASSUMPTIONS!$D$12,"Established (5-10)","Veteran (10+)")))</f>
        <v>Established (5-10)</v>
      </c>
      <c r="R324" s="4">
        <f t="shared" si="11"/>
        <v>2.3333333333333335</v>
      </c>
    </row>
    <row r="325" spans="1:18">
      <c r="A325">
        <f>RAW_DATA!A325</f>
        <v>28</v>
      </c>
      <c r="B325" t="str">
        <f>RAW_DATA!B325</f>
        <v>Yes</v>
      </c>
      <c r="C325" t="str">
        <f>RAW_DATA!C325</f>
        <v>Research &amp; Development</v>
      </c>
      <c r="D325">
        <f>RAW_DATA!D325</f>
        <v>2</v>
      </c>
      <c r="E325">
        <f>RAW_DATA!E325</f>
        <v>4</v>
      </c>
      <c r="F325" t="str">
        <f>RAW_DATA!F325</f>
        <v>Medical</v>
      </c>
      <c r="G325">
        <f>RAW_DATA!G325</f>
        <v>1</v>
      </c>
      <c r="H325">
        <f>RAW_DATA!H325</f>
        <v>4</v>
      </c>
      <c r="I325" t="str">
        <f>RAW_DATA!I325</f>
        <v>Married</v>
      </c>
      <c r="J325">
        <f>RAW_DATA!J325</f>
        <v>3464</v>
      </c>
      <c r="K325">
        <f>RAW_DATA!K325</f>
        <v>5</v>
      </c>
      <c r="L325">
        <f>RAW_DATA!L325</f>
        <v>2</v>
      </c>
      <c r="M325">
        <f>RAW_DATA!M325</f>
        <v>3</v>
      </c>
      <c r="N325">
        <f t="shared" si="10"/>
        <v>1</v>
      </c>
      <c r="O325" t="str" cm="1">
        <f t="array" ref="O325" xml:space="preserve"> _xlfn.IFS(A325 &lt;ASSUMPTIONS!$D$2,"25",A325 &lt;= ASSUMPTIONS!$D$3,"25-34",A325 &lt;= ASSUMPTIONS!$D$4, "35-44",A325 &lt;= ASSUMPTIONS!$D$5,"45-54",TRUE,"55+")</f>
        <v>25-34</v>
      </c>
      <c r="P325" t="str" cm="1">
        <f t="array" ref="P325">_xlfn.IFS( J325 &lt;ASSUMPTIONS!$D$7,"LOW",J325 &lt;= ASSUMPTIONS!$D$8,"MEDIUM",TRUE, "HIGH")</f>
        <v>MEDIUM</v>
      </c>
      <c r="Q325" t="str">
        <f>IF(M325&lt;ASSUMPTIONS!$D$10,"New (0-2)",IF(M325&lt;=ASSUMPTIONS!$D$11,"Early (2-5)",IF(M325&lt;=ASSUMPTIONS!$D$12,"Established (5-10)","Veteran (10+)")))</f>
        <v>Early (2-5)</v>
      </c>
      <c r="R325" s="4">
        <f t="shared" si="11"/>
        <v>2.3333333333333335</v>
      </c>
    </row>
    <row r="326" spans="1:18">
      <c r="A326">
        <f>RAW_DATA!A326</f>
        <v>30</v>
      </c>
      <c r="B326" t="str">
        <f>RAW_DATA!B326</f>
        <v>No</v>
      </c>
      <c r="C326" t="str">
        <f>RAW_DATA!C326</f>
        <v>Research &amp; Development</v>
      </c>
      <c r="D326">
        <f>RAW_DATA!D326</f>
        <v>28</v>
      </c>
      <c r="E326">
        <f>RAW_DATA!E326</f>
        <v>2</v>
      </c>
      <c r="F326" t="str">
        <f>RAW_DATA!F326</f>
        <v>Medical</v>
      </c>
      <c r="G326">
        <f>RAW_DATA!G326</f>
        <v>4</v>
      </c>
      <c r="H326">
        <f>RAW_DATA!H326</f>
        <v>4</v>
      </c>
      <c r="I326" t="str">
        <f>RAW_DATA!I326</f>
        <v>Married</v>
      </c>
      <c r="J326">
        <f>RAW_DATA!J326</f>
        <v>5775</v>
      </c>
      <c r="K326">
        <f>RAW_DATA!K326</f>
        <v>1</v>
      </c>
      <c r="L326">
        <f>RAW_DATA!L326</f>
        <v>3</v>
      </c>
      <c r="M326">
        <f>RAW_DATA!M326</f>
        <v>10</v>
      </c>
      <c r="N326">
        <f t="shared" si="10"/>
        <v>0</v>
      </c>
      <c r="O326" t="str" cm="1">
        <f t="array" ref="O326" xml:space="preserve"> _xlfn.IFS(A326 &lt;ASSUMPTIONS!$D$2,"25",A326 &lt;= ASSUMPTIONS!$D$3,"25-34",A326 &lt;= ASSUMPTIONS!$D$4, "35-44",A326 &lt;= ASSUMPTIONS!$D$5,"45-54",TRUE,"55+")</f>
        <v>25-34</v>
      </c>
      <c r="P326" t="str" cm="1">
        <f t="array" ref="P326">_xlfn.IFS( J326 &lt;ASSUMPTIONS!$D$7,"LOW",J326 &lt;= ASSUMPTIONS!$D$8,"MEDIUM",TRUE, "HIGH")</f>
        <v>MEDIUM</v>
      </c>
      <c r="Q326" t="str">
        <f>IF(M326&lt;ASSUMPTIONS!$D$10,"New (0-2)",IF(M326&lt;=ASSUMPTIONS!$D$11,"Early (2-5)",IF(M326&lt;=ASSUMPTIONS!$D$12,"Established (5-10)","Veteran (10+)")))</f>
        <v>Established (5-10)</v>
      </c>
      <c r="R326" s="4">
        <f t="shared" si="11"/>
        <v>3.6666666666666665</v>
      </c>
    </row>
    <row r="327" spans="1:18">
      <c r="A327">
        <f>RAW_DATA!A327</f>
        <v>31</v>
      </c>
      <c r="B327" t="str">
        <f>RAW_DATA!B327</f>
        <v>No</v>
      </c>
      <c r="C327" t="str">
        <f>RAW_DATA!C327</f>
        <v>Research &amp; Development</v>
      </c>
      <c r="D327">
        <f>RAW_DATA!D327</f>
        <v>7</v>
      </c>
      <c r="E327">
        <f>RAW_DATA!E327</f>
        <v>2</v>
      </c>
      <c r="F327" t="str">
        <f>RAW_DATA!F327</f>
        <v>Life Sciences</v>
      </c>
      <c r="G327">
        <f>RAW_DATA!G327</f>
        <v>3</v>
      </c>
      <c r="H327">
        <f>RAW_DATA!H327</f>
        <v>3</v>
      </c>
      <c r="I327" t="str">
        <f>RAW_DATA!I327</f>
        <v>Married</v>
      </c>
      <c r="J327">
        <f>RAW_DATA!J327</f>
        <v>8943</v>
      </c>
      <c r="K327">
        <f>RAW_DATA!K327</f>
        <v>1</v>
      </c>
      <c r="L327">
        <f>RAW_DATA!L327</f>
        <v>3</v>
      </c>
      <c r="M327">
        <f>RAW_DATA!M327</f>
        <v>10</v>
      </c>
      <c r="N327">
        <f t="shared" si="10"/>
        <v>0</v>
      </c>
      <c r="O327" t="str" cm="1">
        <f t="array" ref="O327" xml:space="preserve"> _xlfn.IFS(A327 &lt;ASSUMPTIONS!$D$2,"25",A327 &lt;= ASSUMPTIONS!$D$3,"25-34",A327 &lt;= ASSUMPTIONS!$D$4, "35-44",A327 &lt;= ASSUMPTIONS!$D$5,"45-54",TRUE,"55+")</f>
        <v>25-34</v>
      </c>
      <c r="P327" t="str" cm="1">
        <f t="array" ref="P327">_xlfn.IFS( J327 &lt;ASSUMPTIONS!$D$7,"LOW",J327 &lt;= ASSUMPTIONS!$D$8,"MEDIUM",TRUE, "HIGH")</f>
        <v>HIGH</v>
      </c>
      <c r="Q327" t="str">
        <f>IF(M327&lt;ASSUMPTIONS!$D$10,"New (0-2)",IF(M327&lt;=ASSUMPTIONS!$D$11,"Early (2-5)",IF(M327&lt;=ASSUMPTIONS!$D$12,"Established (5-10)","Veteran (10+)")))</f>
        <v>Established (5-10)</v>
      </c>
      <c r="R327" s="4">
        <f t="shared" si="11"/>
        <v>3</v>
      </c>
    </row>
    <row r="328" spans="1:18">
      <c r="A328">
        <f>RAW_DATA!A328</f>
        <v>39</v>
      </c>
      <c r="B328" t="str">
        <f>RAW_DATA!B328</f>
        <v>No</v>
      </c>
      <c r="C328" t="str">
        <f>RAW_DATA!C328</f>
        <v>Research &amp; Development</v>
      </c>
      <c r="D328">
        <f>RAW_DATA!D328</f>
        <v>7</v>
      </c>
      <c r="E328">
        <f>RAW_DATA!E328</f>
        <v>2</v>
      </c>
      <c r="F328" t="str">
        <f>RAW_DATA!F328</f>
        <v>Medical</v>
      </c>
      <c r="G328">
        <f>RAW_DATA!G328</f>
        <v>3</v>
      </c>
      <c r="H328">
        <f>RAW_DATA!H328</f>
        <v>4</v>
      </c>
      <c r="I328" t="str">
        <f>RAW_DATA!I328</f>
        <v>Married</v>
      </c>
      <c r="J328">
        <f>RAW_DATA!J328</f>
        <v>19272</v>
      </c>
      <c r="K328">
        <f>RAW_DATA!K328</f>
        <v>1</v>
      </c>
      <c r="L328">
        <f>RAW_DATA!L328</f>
        <v>3</v>
      </c>
      <c r="M328">
        <f>RAW_DATA!M328</f>
        <v>21</v>
      </c>
      <c r="N328">
        <f t="shared" si="10"/>
        <v>0</v>
      </c>
      <c r="O328" t="str" cm="1">
        <f t="array" ref="O328" xml:space="preserve"> _xlfn.IFS(A328 &lt;ASSUMPTIONS!$D$2,"25",A328 &lt;= ASSUMPTIONS!$D$3,"25-34",A328 &lt;= ASSUMPTIONS!$D$4, "35-44",A328 &lt;= ASSUMPTIONS!$D$5,"45-54",TRUE,"55+")</f>
        <v>35-44</v>
      </c>
      <c r="P328" t="str" cm="1">
        <f t="array" ref="P328">_xlfn.IFS( J328 &lt;ASSUMPTIONS!$D$7,"LOW",J328 &lt;= ASSUMPTIONS!$D$8,"MEDIUM",TRUE, "HIGH")</f>
        <v>HIGH</v>
      </c>
      <c r="Q328" t="str">
        <f>IF(M328&lt;ASSUMPTIONS!$D$10,"New (0-2)",IF(M328&lt;=ASSUMPTIONS!$D$11,"Early (2-5)",IF(M328&lt;=ASSUMPTIONS!$D$12,"Established (5-10)","Veteran (10+)")))</f>
        <v>Veteran (10+)</v>
      </c>
      <c r="R328" s="4">
        <f t="shared" si="11"/>
        <v>3.3333333333333335</v>
      </c>
    </row>
    <row r="329" spans="1:18">
      <c r="A329">
        <f>RAW_DATA!A329</f>
        <v>39</v>
      </c>
      <c r="B329" t="str">
        <f>RAW_DATA!B329</f>
        <v>Yes</v>
      </c>
      <c r="C329" t="str">
        <f>RAW_DATA!C329</f>
        <v>Sales</v>
      </c>
      <c r="D329">
        <f>RAW_DATA!D329</f>
        <v>3</v>
      </c>
      <c r="E329">
        <f>RAW_DATA!E329</f>
        <v>2</v>
      </c>
      <c r="F329" t="str">
        <f>RAW_DATA!F329</f>
        <v>Medical</v>
      </c>
      <c r="G329">
        <f>RAW_DATA!G329</f>
        <v>4</v>
      </c>
      <c r="H329">
        <f>RAW_DATA!H329</f>
        <v>3</v>
      </c>
      <c r="I329" t="str">
        <f>RAW_DATA!I329</f>
        <v>Married</v>
      </c>
      <c r="J329">
        <f>RAW_DATA!J329</f>
        <v>5238</v>
      </c>
      <c r="K329">
        <f>RAW_DATA!K329</f>
        <v>4</v>
      </c>
      <c r="L329">
        <f>RAW_DATA!L329</f>
        <v>2</v>
      </c>
      <c r="M329">
        <f>RAW_DATA!M329</f>
        <v>1</v>
      </c>
      <c r="N329">
        <f t="shared" si="10"/>
        <v>1</v>
      </c>
      <c r="O329" t="str" cm="1">
        <f t="array" ref="O329" xml:space="preserve"> _xlfn.IFS(A329 &lt;ASSUMPTIONS!$D$2,"25",A329 &lt;= ASSUMPTIONS!$D$3,"25-34",A329 &lt;= ASSUMPTIONS!$D$4, "35-44",A329 &lt;= ASSUMPTIONS!$D$5,"45-54",TRUE,"55+")</f>
        <v>35-44</v>
      </c>
      <c r="P329" t="str" cm="1">
        <f t="array" ref="P329">_xlfn.IFS( J329 &lt;ASSUMPTIONS!$D$7,"LOW",J329 &lt;= ASSUMPTIONS!$D$8,"MEDIUM",TRUE, "HIGH")</f>
        <v>MEDIUM</v>
      </c>
      <c r="Q329" t="str">
        <f>IF(M329&lt;ASSUMPTIONS!$D$10,"New (0-2)",IF(M329&lt;=ASSUMPTIONS!$D$11,"Early (2-5)",IF(M329&lt;=ASSUMPTIONS!$D$12,"Established (5-10)","Veteran (10+)")))</f>
        <v>New (0-2)</v>
      </c>
      <c r="R329" s="4">
        <f t="shared" si="11"/>
        <v>3</v>
      </c>
    </row>
    <row r="330" spans="1:18">
      <c r="A330">
        <f>RAW_DATA!A330</f>
        <v>33</v>
      </c>
      <c r="B330" t="str">
        <f>RAW_DATA!B330</f>
        <v>No</v>
      </c>
      <c r="C330" t="str">
        <f>RAW_DATA!C330</f>
        <v>Sales</v>
      </c>
      <c r="D330">
        <f>RAW_DATA!D330</f>
        <v>10</v>
      </c>
      <c r="E330">
        <f>RAW_DATA!E330</f>
        <v>3</v>
      </c>
      <c r="F330" t="str">
        <f>RAW_DATA!F330</f>
        <v>Marketing</v>
      </c>
      <c r="G330">
        <f>RAW_DATA!G330</f>
        <v>2</v>
      </c>
      <c r="H330">
        <f>RAW_DATA!H330</f>
        <v>4</v>
      </c>
      <c r="I330" t="str">
        <f>RAW_DATA!I330</f>
        <v>Single</v>
      </c>
      <c r="J330">
        <f>RAW_DATA!J330</f>
        <v>4682</v>
      </c>
      <c r="K330">
        <f>RAW_DATA!K330</f>
        <v>3</v>
      </c>
      <c r="L330">
        <f>RAW_DATA!L330</f>
        <v>2</v>
      </c>
      <c r="M330">
        <f>RAW_DATA!M330</f>
        <v>7</v>
      </c>
      <c r="N330">
        <f t="shared" si="10"/>
        <v>0</v>
      </c>
      <c r="O330" t="str" cm="1">
        <f t="array" ref="O330" xml:space="preserve"> _xlfn.IFS(A330 &lt;ASSUMPTIONS!$D$2,"25",A330 &lt;= ASSUMPTIONS!$D$3,"25-34",A330 &lt;= ASSUMPTIONS!$D$4, "35-44",A330 &lt;= ASSUMPTIONS!$D$5,"45-54",TRUE,"55+")</f>
        <v>25-34</v>
      </c>
      <c r="P330" t="str" cm="1">
        <f t="array" ref="P330">_xlfn.IFS( J330 &lt;ASSUMPTIONS!$D$7,"LOW",J330 &lt;= ASSUMPTIONS!$D$8,"MEDIUM",TRUE, "HIGH")</f>
        <v>MEDIUM</v>
      </c>
      <c r="Q330" t="str">
        <f>IF(M330&lt;ASSUMPTIONS!$D$10,"New (0-2)",IF(M330&lt;=ASSUMPTIONS!$D$11,"Early (2-5)",IF(M330&lt;=ASSUMPTIONS!$D$12,"Established (5-10)","Veteran (10+)")))</f>
        <v>Established (5-10)</v>
      </c>
      <c r="R330" s="4">
        <f t="shared" si="11"/>
        <v>2.6666666666666665</v>
      </c>
    </row>
    <row r="331" spans="1:18">
      <c r="A331">
        <f>RAW_DATA!A331</f>
        <v>47</v>
      </c>
      <c r="B331" t="str">
        <f>RAW_DATA!B331</f>
        <v>No</v>
      </c>
      <c r="C331" t="str">
        <f>RAW_DATA!C331</f>
        <v>Research &amp; Development</v>
      </c>
      <c r="D331">
        <f>RAW_DATA!D331</f>
        <v>5</v>
      </c>
      <c r="E331">
        <f>RAW_DATA!E331</f>
        <v>5</v>
      </c>
      <c r="F331" t="str">
        <f>RAW_DATA!F331</f>
        <v>Life Sciences</v>
      </c>
      <c r="G331">
        <f>RAW_DATA!G331</f>
        <v>4</v>
      </c>
      <c r="H331">
        <f>RAW_DATA!H331</f>
        <v>3</v>
      </c>
      <c r="I331" t="str">
        <f>RAW_DATA!I331</f>
        <v>Married</v>
      </c>
      <c r="J331">
        <f>RAW_DATA!J331</f>
        <v>18300</v>
      </c>
      <c r="K331">
        <f>RAW_DATA!K331</f>
        <v>4</v>
      </c>
      <c r="L331">
        <f>RAW_DATA!L331</f>
        <v>3</v>
      </c>
      <c r="M331">
        <f>RAW_DATA!M331</f>
        <v>3</v>
      </c>
      <c r="N331">
        <f t="shared" si="10"/>
        <v>0</v>
      </c>
      <c r="O331" t="str" cm="1">
        <f t="array" ref="O331" xml:space="preserve"> _xlfn.IFS(A331 &lt;ASSUMPTIONS!$D$2,"25",A331 &lt;= ASSUMPTIONS!$D$3,"25-34",A331 &lt;= ASSUMPTIONS!$D$4, "35-44",A331 &lt;= ASSUMPTIONS!$D$5,"45-54",TRUE,"55+")</f>
        <v>45-54</v>
      </c>
      <c r="P331" t="str" cm="1">
        <f t="array" ref="P331">_xlfn.IFS( J331 &lt;ASSUMPTIONS!$D$7,"LOW",J331 &lt;= ASSUMPTIONS!$D$8,"MEDIUM",TRUE, "HIGH")</f>
        <v>HIGH</v>
      </c>
      <c r="Q331" t="str">
        <f>IF(M331&lt;ASSUMPTIONS!$D$10,"New (0-2)",IF(M331&lt;=ASSUMPTIONS!$D$11,"Early (2-5)",IF(M331&lt;=ASSUMPTIONS!$D$12,"Established (5-10)","Veteran (10+)")))</f>
        <v>Early (2-5)</v>
      </c>
      <c r="R331" s="4">
        <f t="shared" si="11"/>
        <v>3.3333333333333335</v>
      </c>
    </row>
    <row r="332" spans="1:18">
      <c r="A332">
        <f>RAW_DATA!A332</f>
        <v>43</v>
      </c>
      <c r="B332" t="str">
        <f>RAW_DATA!B332</f>
        <v>No</v>
      </c>
      <c r="C332" t="str">
        <f>RAW_DATA!C332</f>
        <v>Research &amp; Development</v>
      </c>
      <c r="D332">
        <f>RAW_DATA!D332</f>
        <v>10</v>
      </c>
      <c r="E332">
        <f>RAW_DATA!E332</f>
        <v>4</v>
      </c>
      <c r="F332" t="str">
        <f>RAW_DATA!F332</f>
        <v>Life Sciences</v>
      </c>
      <c r="G332">
        <f>RAW_DATA!G332</f>
        <v>3</v>
      </c>
      <c r="H332">
        <f>RAW_DATA!H332</f>
        <v>3</v>
      </c>
      <c r="I332" t="str">
        <f>RAW_DATA!I332</f>
        <v>Divorced</v>
      </c>
      <c r="J332">
        <f>RAW_DATA!J332</f>
        <v>5257</v>
      </c>
      <c r="K332">
        <f>RAW_DATA!K332</f>
        <v>1</v>
      </c>
      <c r="L332">
        <f>RAW_DATA!L332</f>
        <v>4</v>
      </c>
      <c r="M332">
        <f>RAW_DATA!M332</f>
        <v>9</v>
      </c>
      <c r="N332">
        <f t="shared" si="10"/>
        <v>0</v>
      </c>
      <c r="O332" t="str" cm="1">
        <f t="array" ref="O332" xml:space="preserve"> _xlfn.IFS(A332 &lt;ASSUMPTIONS!$D$2,"25",A332 &lt;= ASSUMPTIONS!$D$3,"25-34",A332 &lt;= ASSUMPTIONS!$D$4, "35-44",A332 &lt;= ASSUMPTIONS!$D$5,"45-54",TRUE,"55+")</f>
        <v>35-44</v>
      </c>
      <c r="P332" t="str" cm="1">
        <f t="array" ref="P332">_xlfn.IFS( J332 &lt;ASSUMPTIONS!$D$7,"LOW",J332 &lt;= ASSUMPTIONS!$D$8,"MEDIUM",TRUE, "HIGH")</f>
        <v>MEDIUM</v>
      </c>
      <c r="Q332" t="str">
        <f>IF(M332&lt;ASSUMPTIONS!$D$10,"New (0-2)",IF(M332&lt;=ASSUMPTIONS!$D$11,"Early (2-5)",IF(M332&lt;=ASSUMPTIONS!$D$12,"Established (5-10)","Veteran (10+)")))</f>
        <v>Established (5-10)</v>
      </c>
      <c r="R332" s="4">
        <f t="shared" si="11"/>
        <v>3.3333333333333335</v>
      </c>
    </row>
    <row r="333" spans="1:18">
      <c r="A333">
        <f>RAW_DATA!A333</f>
        <v>27</v>
      </c>
      <c r="B333" t="str">
        <f>RAW_DATA!B333</f>
        <v>No</v>
      </c>
      <c r="C333" t="str">
        <f>RAW_DATA!C333</f>
        <v>Sales</v>
      </c>
      <c r="D333">
        <f>RAW_DATA!D333</f>
        <v>1</v>
      </c>
      <c r="E333">
        <f>RAW_DATA!E333</f>
        <v>1</v>
      </c>
      <c r="F333" t="str">
        <f>RAW_DATA!F333</f>
        <v>Marketing</v>
      </c>
      <c r="G333">
        <f>RAW_DATA!G333</f>
        <v>3</v>
      </c>
      <c r="H333">
        <f>RAW_DATA!H333</f>
        <v>2</v>
      </c>
      <c r="I333" t="str">
        <f>RAW_DATA!I333</f>
        <v>Married</v>
      </c>
      <c r="J333">
        <f>RAW_DATA!J333</f>
        <v>6349</v>
      </c>
      <c r="K333">
        <f>RAW_DATA!K333</f>
        <v>0</v>
      </c>
      <c r="L333">
        <f>RAW_DATA!L333</f>
        <v>3</v>
      </c>
      <c r="M333">
        <f>RAW_DATA!M333</f>
        <v>5</v>
      </c>
      <c r="N333">
        <f t="shared" si="10"/>
        <v>0</v>
      </c>
      <c r="O333" t="str" cm="1">
        <f t="array" ref="O333" xml:space="preserve"> _xlfn.IFS(A333 &lt;ASSUMPTIONS!$D$2,"25",A333 &lt;= ASSUMPTIONS!$D$3,"25-34",A333 &lt;= ASSUMPTIONS!$D$4, "35-44",A333 &lt;= ASSUMPTIONS!$D$5,"45-54",TRUE,"55+")</f>
        <v>25-34</v>
      </c>
      <c r="P333" t="str" cm="1">
        <f t="array" ref="P333">_xlfn.IFS( J333 &lt;ASSUMPTIONS!$D$7,"LOW",J333 &lt;= ASSUMPTIONS!$D$8,"MEDIUM",TRUE, "HIGH")</f>
        <v>MEDIUM</v>
      </c>
      <c r="Q333" t="str">
        <f>IF(M333&lt;ASSUMPTIONS!$D$10,"New (0-2)",IF(M333&lt;=ASSUMPTIONS!$D$11,"Early (2-5)",IF(M333&lt;=ASSUMPTIONS!$D$12,"Established (5-10)","Veteran (10+)")))</f>
        <v>Early (2-5)</v>
      </c>
      <c r="R333" s="4">
        <f t="shared" si="11"/>
        <v>2.6666666666666665</v>
      </c>
    </row>
    <row r="334" spans="1:18">
      <c r="A334">
        <f>RAW_DATA!A334</f>
        <v>54</v>
      </c>
      <c r="B334" t="str">
        <f>RAW_DATA!B334</f>
        <v>No</v>
      </c>
      <c r="C334" t="str">
        <f>RAW_DATA!C334</f>
        <v>Research &amp; Development</v>
      </c>
      <c r="D334">
        <f>RAW_DATA!D334</f>
        <v>20</v>
      </c>
      <c r="E334">
        <f>RAW_DATA!E334</f>
        <v>4</v>
      </c>
      <c r="F334" t="str">
        <f>RAW_DATA!F334</f>
        <v>Life Sciences</v>
      </c>
      <c r="G334">
        <f>RAW_DATA!G334</f>
        <v>4</v>
      </c>
      <c r="H334">
        <f>RAW_DATA!H334</f>
        <v>3</v>
      </c>
      <c r="I334" t="str">
        <f>RAW_DATA!I334</f>
        <v>Single</v>
      </c>
      <c r="J334">
        <f>RAW_DATA!J334</f>
        <v>4869</v>
      </c>
      <c r="K334">
        <f>RAW_DATA!K334</f>
        <v>3</v>
      </c>
      <c r="L334">
        <f>RAW_DATA!L334</f>
        <v>2</v>
      </c>
      <c r="M334">
        <f>RAW_DATA!M334</f>
        <v>4</v>
      </c>
      <c r="N334">
        <f t="shared" si="10"/>
        <v>0</v>
      </c>
      <c r="O334" t="str" cm="1">
        <f t="array" ref="O334" xml:space="preserve"> _xlfn.IFS(A334 &lt;ASSUMPTIONS!$D$2,"25",A334 &lt;= ASSUMPTIONS!$D$3,"25-34",A334 &lt;= ASSUMPTIONS!$D$4, "35-44",A334 &lt;= ASSUMPTIONS!$D$5,"45-54",TRUE,"55+")</f>
        <v>45-54</v>
      </c>
      <c r="P334" t="str" cm="1">
        <f t="array" ref="P334">_xlfn.IFS( J334 &lt;ASSUMPTIONS!$D$7,"LOW",J334 &lt;= ASSUMPTIONS!$D$8,"MEDIUM",TRUE, "HIGH")</f>
        <v>MEDIUM</v>
      </c>
      <c r="Q334" t="str">
        <f>IF(M334&lt;ASSUMPTIONS!$D$10,"New (0-2)",IF(M334&lt;=ASSUMPTIONS!$D$11,"Early (2-5)",IF(M334&lt;=ASSUMPTIONS!$D$12,"Established (5-10)","Veteran (10+)")))</f>
        <v>Early (2-5)</v>
      </c>
      <c r="R334" s="4">
        <f t="shared" si="11"/>
        <v>3</v>
      </c>
    </row>
    <row r="335" spans="1:18">
      <c r="A335">
        <f>RAW_DATA!A335</f>
        <v>43</v>
      </c>
      <c r="B335" t="str">
        <f>RAW_DATA!B335</f>
        <v>No</v>
      </c>
      <c r="C335" t="str">
        <f>RAW_DATA!C335</f>
        <v>Research &amp; Development</v>
      </c>
      <c r="D335">
        <f>RAW_DATA!D335</f>
        <v>7</v>
      </c>
      <c r="E335">
        <f>RAW_DATA!E335</f>
        <v>3</v>
      </c>
      <c r="F335" t="str">
        <f>RAW_DATA!F335</f>
        <v>Life Sciences</v>
      </c>
      <c r="G335">
        <f>RAW_DATA!G335</f>
        <v>3</v>
      </c>
      <c r="H335">
        <f>RAW_DATA!H335</f>
        <v>1</v>
      </c>
      <c r="I335" t="str">
        <f>RAW_DATA!I335</f>
        <v>Married</v>
      </c>
      <c r="J335">
        <f>RAW_DATA!J335</f>
        <v>9985</v>
      </c>
      <c r="K335">
        <f>RAW_DATA!K335</f>
        <v>8</v>
      </c>
      <c r="L335">
        <f>RAW_DATA!L335</f>
        <v>2</v>
      </c>
      <c r="M335">
        <f>RAW_DATA!M335</f>
        <v>1</v>
      </c>
      <c r="N335">
        <f t="shared" si="10"/>
        <v>0</v>
      </c>
      <c r="O335" t="str" cm="1">
        <f t="array" ref="O335" xml:space="preserve"> _xlfn.IFS(A335 &lt;ASSUMPTIONS!$D$2,"25",A335 &lt;= ASSUMPTIONS!$D$3,"25-34",A335 &lt;= ASSUMPTIONS!$D$4, "35-44",A335 &lt;= ASSUMPTIONS!$D$5,"45-54",TRUE,"55+")</f>
        <v>35-44</v>
      </c>
      <c r="P335" t="str" cm="1">
        <f t="array" ref="P335">_xlfn.IFS( J335 &lt;ASSUMPTIONS!$D$7,"LOW",J335 &lt;= ASSUMPTIONS!$D$8,"MEDIUM",TRUE, "HIGH")</f>
        <v>HIGH</v>
      </c>
      <c r="Q335" t="str">
        <f>IF(M335&lt;ASSUMPTIONS!$D$10,"New (0-2)",IF(M335&lt;=ASSUMPTIONS!$D$11,"Early (2-5)",IF(M335&lt;=ASSUMPTIONS!$D$12,"Established (5-10)","Veteran (10+)")))</f>
        <v>New (0-2)</v>
      </c>
      <c r="R335" s="4">
        <f t="shared" si="11"/>
        <v>2</v>
      </c>
    </row>
    <row r="336" spans="1:18">
      <c r="A336">
        <f>RAW_DATA!A336</f>
        <v>45</v>
      </c>
      <c r="B336" t="str">
        <f>RAW_DATA!B336</f>
        <v>No</v>
      </c>
      <c r="C336" t="str">
        <f>RAW_DATA!C336</f>
        <v>Research &amp; Development</v>
      </c>
      <c r="D336">
        <f>RAW_DATA!D336</f>
        <v>8</v>
      </c>
      <c r="E336">
        <f>RAW_DATA!E336</f>
        <v>4</v>
      </c>
      <c r="F336" t="str">
        <f>RAW_DATA!F336</f>
        <v>Other</v>
      </c>
      <c r="G336">
        <f>RAW_DATA!G336</f>
        <v>4</v>
      </c>
      <c r="H336">
        <f>RAW_DATA!H336</f>
        <v>4</v>
      </c>
      <c r="I336" t="str">
        <f>RAW_DATA!I336</f>
        <v>Married</v>
      </c>
      <c r="J336">
        <f>RAW_DATA!J336</f>
        <v>3697</v>
      </c>
      <c r="K336">
        <f>RAW_DATA!K336</f>
        <v>9</v>
      </c>
      <c r="L336">
        <f>RAW_DATA!L336</f>
        <v>3</v>
      </c>
      <c r="M336">
        <f>RAW_DATA!M336</f>
        <v>10</v>
      </c>
      <c r="N336">
        <f t="shared" si="10"/>
        <v>0</v>
      </c>
      <c r="O336" t="str" cm="1">
        <f t="array" ref="O336" xml:space="preserve"> _xlfn.IFS(A336 &lt;ASSUMPTIONS!$D$2,"25",A336 &lt;= ASSUMPTIONS!$D$3,"25-34",A336 &lt;= ASSUMPTIONS!$D$4, "35-44",A336 &lt;= ASSUMPTIONS!$D$5,"45-54",TRUE,"55+")</f>
        <v>45-54</v>
      </c>
      <c r="P336" t="str" cm="1">
        <f t="array" ref="P336">_xlfn.IFS( J336 &lt;ASSUMPTIONS!$D$7,"LOW",J336 &lt;= ASSUMPTIONS!$D$8,"MEDIUM",TRUE, "HIGH")</f>
        <v>MEDIUM</v>
      </c>
      <c r="Q336" t="str">
        <f>IF(M336&lt;ASSUMPTIONS!$D$10,"New (0-2)",IF(M336&lt;=ASSUMPTIONS!$D$11,"Early (2-5)",IF(M336&lt;=ASSUMPTIONS!$D$12,"Established (5-10)","Veteran (10+)")))</f>
        <v>Established (5-10)</v>
      </c>
      <c r="R336" s="4">
        <f t="shared" si="11"/>
        <v>3.6666666666666665</v>
      </c>
    </row>
    <row r="337" spans="1:18">
      <c r="A337">
        <f>RAW_DATA!A337</f>
        <v>40</v>
      </c>
      <c r="B337" t="str">
        <f>RAW_DATA!B337</f>
        <v>No</v>
      </c>
      <c r="C337" t="str">
        <f>RAW_DATA!C337</f>
        <v>Sales</v>
      </c>
      <c r="D337">
        <f>RAW_DATA!D337</f>
        <v>1</v>
      </c>
      <c r="E337">
        <f>RAW_DATA!E337</f>
        <v>2</v>
      </c>
      <c r="F337" t="str">
        <f>RAW_DATA!F337</f>
        <v>Medical</v>
      </c>
      <c r="G337">
        <f>RAW_DATA!G337</f>
        <v>2</v>
      </c>
      <c r="H337">
        <f>RAW_DATA!H337</f>
        <v>4</v>
      </c>
      <c r="I337" t="str">
        <f>RAW_DATA!I337</f>
        <v>Married</v>
      </c>
      <c r="J337">
        <f>RAW_DATA!J337</f>
        <v>7457</v>
      </c>
      <c r="K337">
        <f>RAW_DATA!K337</f>
        <v>2</v>
      </c>
      <c r="L337">
        <f>RAW_DATA!L337</f>
        <v>2</v>
      </c>
      <c r="M337">
        <f>RAW_DATA!M337</f>
        <v>4</v>
      </c>
      <c r="N337">
        <f t="shared" si="10"/>
        <v>0</v>
      </c>
      <c r="O337" t="str" cm="1">
        <f t="array" ref="O337" xml:space="preserve"> _xlfn.IFS(A337 &lt;ASSUMPTIONS!$D$2,"25",A337 &lt;= ASSUMPTIONS!$D$3,"25-34",A337 &lt;= ASSUMPTIONS!$D$4, "35-44",A337 &lt;= ASSUMPTIONS!$D$5,"45-54",TRUE,"55+")</f>
        <v>35-44</v>
      </c>
      <c r="P337" t="str" cm="1">
        <f t="array" ref="P337">_xlfn.IFS( J337 &lt;ASSUMPTIONS!$D$7,"LOW",J337 &lt;= ASSUMPTIONS!$D$8,"MEDIUM",TRUE, "HIGH")</f>
        <v>HIGH</v>
      </c>
      <c r="Q337" t="str">
        <f>IF(M337&lt;ASSUMPTIONS!$D$10,"New (0-2)",IF(M337&lt;=ASSUMPTIONS!$D$11,"Early (2-5)",IF(M337&lt;=ASSUMPTIONS!$D$12,"Established (5-10)","Veteran (10+)")))</f>
        <v>Early (2-5)</v>
      </c>
      <c r="R337" s="4">
        <f t="shared" si="11"/>
        <v>2.6666666666666665</v>
      </c>
    </row>
    <row r="338" spans="1:18">
      <c r="A338">
        <f>RAW_DATA!A338</f>
        <v>29</v>
      </c>
      <c r="B338" t="str">
        <f>RAW_DATA!B338</f>
        <v>Yes</v>
      </c>
      <c r="C338" t="str">
        <f>RAW_DATA!C338</f>
        <v>Research &amp; Development</v>
      </c>
      <c r="D338">
        <f>RAW_DATA!D338</f>
        <v>8</v>
      </c>
      <c r="E338">
        <f>RAW_DATA!E338</f>
        <v>4</v>
      </c>
      <c r="F338" t="str">
        <f>RAW_DATA!F338</f>
        <v>Other</v>
      </c>
      <c r="G338">
        <f>RAW_DATA!G338</f>
        <v>2</v>
      </c>
      <c r="H338">
        <f>RAW_DATA!H338</f>
        <v>1</v>
      </c>
      <c r="I338" t="str">
        <f>RAW_DATA!I338</f>
        <v>Married</v>
      </c>
      <c r="J338">
        <f>RAW_DATA!J338</f>
        <v>2119</v>
      </c>
      <c r="K338">
        <f>RAW_DATA!K338</f>
        <v>1</v>
      </c>
      <c r="L338">
        <f>RAW_DATA!L338</f>
        <v>2</v>
      </c>
      <c r="M338">
        <f>RAW_DATA!M338</f>
        <v>7</v>
      </c>
      <c r="N338">
        <f t="shared" si="10"/>
        <v>1</v>
      </c>
      <c r="O338" t="str" cm="1">
        <f t="array" ref="O338" xml:space="preserve"> _xlfn.IFS(A338 &lt;ASSUMPTIONS!$D$2,"25",A338 &lt;= ASSUMPTIONS!$D$3,"25-34",A338 &lt;= ASSUMPTIONS!$D$4, "35-44",A338 &lt;= ASSUMPTIONS!$D$5,"45-54",TRUE,"55+")</f>
        <v>25-34</v>
      </c>
      <c r="P338" t="str" cm="1">
        <f t="array" ref="P338">_xlfn.IFS( J338 &lt;ASSUMPTIONS!$D$7,"LOW",J338 &lt;= ASSUMPTIONS!$D$8,"MEDIUM",TRUE, "HIGH")</f>
        <v>LOW</v>
      </c>
      <c r="Q338" t="str">
        <f>IF(M338&lt;ASSUMPTIONS!$D$10,"New (0-2)",IF(M338&lt;=ASSUMPTIONS!$D$11,"Early (2-5)",IF(M338&lt;=ASSUMPTIONS!$D$12,"Established (5-10)","Veteran (10+)")))</f>
        <v>Established (5-10)</v>
      </c>
      <c r="R338" s="4">
        <f t="shared" si="11"/>
        <v>1.6666666666666667</v>
      </c>
    </row>
    <row r="339" spans="1:18">
      <c r="A339">
        <f>RAW_DATA!A339</f>
        <v>29</v>
      </c>
      <c r="B339" t="str">
        <f>RAW_DATA!B339</f>
        <v>No</v>
      </c>
      <c r="C339" t="str">
        <f>RAW_DATA!C339</f>
        <v>Research &amp; Development</v>
      </c>
      <c r="D339">
        <f>RAW_DATA!D339</f>
        <v>9</v>
      </c>
      <c r="E339">
        <f>RAW_DATA!E339</f>
        <v>5</v>
      </c>
      <c r="F339" t="str">
        <f>RAW_DATA!F339</f>
        <v>Other</v>
      </c>
      <c r="G339">
        <f>RAW_DATA!G339</f>
        <v>2</v>
      </c>
      <c r="H339">
        <f>RAW_DATA!H339</f>
        <v>4</v>
      </c>
      <c r="I339" t="str">
        <f>RAW_DATA!I339</f>
        <v>Single</v>
      </c>
      <c r="J339">
        <f>RAW_DATA!J339</f>
        <v>3983</v>
      </c>
      <c r="K339">
        <f>RAW_DATA!K339</f>
        <v>0</v>
      </c>
      <c r="L339">
        <f>RAW_DATA!L339</f>
        <v>3</v>
      </c>
      <c r="M339">
        <f>RAW_DATA!M339</f>
        <v>3</v>
      </c>
      <c r="N339">
        <f t="shared" si="10"/>
        <v>0</v>
      </c>
      <c r="O339" t="str" cm="1">
        <f t="array" ref="O339" xml:space="preserve"> _xlfn.IFS(A339 &lt;ASSUMPTIONS!$D$2,"25",A339 &lt;= ASSUMPTIONS!$D$3,"25-34",A339 &lt;= ASSUMPTIONS!$D$4, "35-44",A339 &lt;= ASSUMPTIONS!$D$5,"45-54",TRUE,"55+")</f>
        <v>25-34</v>
      </c>
      <c r="P339" t="str" cm="1">
        <f t="array" ref="P339">_xlfn.IFS( J339 &lt;ASSUMPTIONS!$D$7,"LOW",J339 &lt;= ASSUMPTIONS!$D$8,"MEDIUM",TRUE, "HIGH")</f>
        <v>MEDIUM</v>
      </c>
      <c r="Q339" t="str">
        <f>IF(M339&lt;ASSUMPTIONS!$D$10,"New (0-2)",IF(M339&lt;=ASSUMPTIONS!$D$11,"Early (2-5)",IF(M339&lt;=ASSUMPTIONS!$D$12,"Established (5-10)","Veteran (10+)")))</f>
        <v>Early (2-5)</v>
      </c>
      <c r="R339" s="4">
        <f t="shared" si="11"/>
        <v>3</v>
      </c>
    </row>
    <row r="340" spans="1:18">
      <c r="A340">
        <f>RAW_DATA!A340</f>
        <v>30</v>
      </c>
      <c r="B340" t="str">
        <f>RAW_DATA!B340</f>
        <v>No</v>
      </c>
      <c r="C340" t="str">
        <f>RAW_DATA!C340</f>
        <v>Sales</v>
      </c>
      <c r="D340">
        <f>RAW_DATA!D340</f>
        <v>5</v>
      </c>
      <c r="E340">
        <f>RAW_DATA!E340</f>
        <v>3</v>
      </c>
      <c r="F340" t="str">
        <f>RAW_DATA!F340</f>
        <v>Marketing</v>
      </c>
      <c r="G340">
        <f>RAW_DATA!G340</f>
        <v>4</v>
      </c>
      <c r="H340">
        <f>RAW_DATA!H340</f>
        <v>3</v>
      </c>
      <c r="I340" t="str">
        <f>RAW_DATA!I340</f>
        <v>Divorced</v>
      </c>
      <c r="J340">
        <f>RAW_DATA!J340</f>
        <v>6118</v>
      </c>
      <c r="K340">
        <f>RAW_DATA!K340</f>
        <v>1</v>
      </c>
      <c r="L340">
        <f>RAW_DATA!L340</f>
        <v>3</v>
      </c>
      <c r="M340">
        <f>RAW_DATA!M340</f>
        <v>10</v>
      </c>
      <c r="N340">
        <f t="shared" si="10"/>
        <v>0</v>
      </c>
      <c r="O340" t="str" cm="1">
        <f t="array" ref="O340" xml:space="preserve"> _xlfn.IFS(A340 &lt;ASSUMPTIONS!$D$2,"25",A340 &lt;= ASSUMPTIONS!$D$3,"25-34",A340 &lt;= ASSUMPTIONS!$D$4, "35-44",A340 &lt;= ASSUMPTIONS!$D$5,"45-54",TRUE,"55+")</f>
        <v>25-34</v>
      </c>
      <c r="P340" t="str" cm="1">
        <f t="array" ref="P340">_xlfn.IFS( J340 &lt;ASSUMPTIONS!$D$7,"LOW",J340 &lt;= ASSUMPTIONS!$D$8,"MEDIUM",TRUE, "HIGH")</f>
        <v>MEDIUM</v>
      </c>
      <c r="Q340" t="str">
        <f>IF(M340&lt;ASSUMPTIONS!$D$10,"New (0-2)",IF(M340&lt;=ASSUMPTIONS!$D$11,"Early (2-5)",IF(M340&lt;=ASSUMPTIONS!$D$12,"Established (5-10)","Veteran (10+)")))</f>
        <v>Established (5-10)</v>
      </c>
      <c r="R340" s="4">
        <f t="shared" si="11"/>
        <v>3.3333333333333335</v>
      </c>
    </row>
    <row r="341" spans="1:18">
      <c r="A341">
        <f>RAW_DATA!A341</f>
        <v>27</v>
      </c>
      <c r="B341" t="str">
        <f>RAW_DATA!B341</f>
        <v>No</v>
      </c>
      <c r="C341" t="str">
        <f>RAW_DATA!C341</f>
        <v>Sales</v>
      </c>
      <c r="D341">
        <f>RAW_DATA!D341</f>
        <v>8</v>
      </c>
      <c r="E341">
        <f>RAW_DATA!E341</f>
        <v>4</v>
      </c>
      <c r="F341" t="str">
        <f>RAW_DATA!F341</f>
        <v>Marketing</v>
      </c>
      <c r="G341">
        <f>RAW_DATA!G341</f>
        <v>2</v>
      </c>
      <c r="H341">
        <f>RAW_DATA!H341</f>
        <v>2</v>
      </c>
      <c r="I341" t="str">
        <f>RAW_DATA!I341</f>
        <v>Married</v>
      </c>
      <c r="J341">
        <f>RAW_DATA!J341</f>
        <v>6214</v>
      </c>
      <c r="K341">
        <f>RAW_DATA!K341</f>
        <v>1</v>
      </c>
      <c r="L341">
        <f>RAW_DATA!L341</f>
        <v>3</v>
      </c>
      <c r="M341">
        <f>RAW_DATA!M341</f>
        <v>8</v>
      </c>
      <c r="N341">
        <f t="shared" si="10"/>
        <v>0</v>
      </c>
      <c r="O341" t="str" cm="1">
        <f t="array" ref="O341" xml:space="preserve"> _xlfn.IFS(A341 &lt;ASSUMPTIONS!$D$2,"25",A341 &lt;= ASSUMPTIONS!$D$3,"25-34",A341 &lt;= ASSUMPTIONS!$D$4, "35-44",A341 &lt;= ASSUMPTIONS!$D$5,"45-54",TRUE,"55+")</f>
        <v>25-34</v>
      </c>
      <c r="P341" t="str" cm="1">
        <f t="array" ref="P341">_xlfn.IFS( J341 &lt;ASSUMPTIONS!$D$7,"LOW",J341 &lt;= ASSUMPTIONS!$D$8,"MEDIUM",TRUE, "HIGH")</f>
        <v>MEDIUM</v>
      </c>
      <c r="Q341" t="str">
        <f>IF(M341&lt;ASSUMPTIONS!$D$10,"New (0-2)",IF(M341&lt;=ASSUMPTIONS!$D$11,"Early (2-5)",IF(M341&lt;=ASSUMPTIONS!$D$12,"Established (5-10)","Veteran (10+)")))</f>
        <v>Established (5-10)</v>
      </c>
      <c r="R341" s="4">
        <f t="shared" si="11"/>
        <v>2.3333333333333335</v>
      </c>
    </row>
    <row r="342" spans="1:18">
      <c r="A342">
        <f>RAW_DATA!A342</f>
        <v>37</v>
      </c>
      <c r="B342" t="str">
        <f>RAW_DATA!B342</f>
        <v>No</v>
      </c>
      <c r="C342" t="str">
        <f>RAW_DATA!C342</f>
        <v>Research &amp; Development</v>
      </c>
      <c r="D342">
        <f>RAW_DATA!D342</f>
        <v>5</v>
      </c>
      <c r="E342">
        <f>RAW_DATA!E342</f>
        <v>2</v>
      </c>
      <c r="F342" t="str">
        <f>RAW_DATA!F342</f>
        <v>Medical</v>
      </c>
      <c r="G342">
        <f>RAW_DATA!G342</f>
        <v>4</v>
      </c>
      <c r="H342">
        <f>RAW_DATA!H342</f>
        <v>4</v>
      </c>
      <c r="I342" t="str">
        <f>RAW_DATA!I342</f>
        <v>Divorced</v>
      </c>
      <c r="J342">
        <f>RAW_DATA!J342</f>
        <v>6347</v>
      </c>
      <c r="K342">
        <f>RAW_DATA!K342</f>
        <v>7</v>
      </c>
      <c r="L342">
        <f>RAW_DATA!L342</f>
        <v>2</v>
      </c>
      <c r="M342">
        <f>RAW_DATA!M342</f>
        <v>6</v>
      </c>
      <c r="N342">
        <f t="shared" si="10"/>
        <v>0</v>
      </c>
      <c r="O342" t="str" cm="1">
        <f t="array" ref="O342" xml:space="preserve"> _xlfn.IFS(A342 &lt;ASSUMPTIONS!$D$2,"25",A342 &lt;= ASSUMPTIONS!$D$3,"25-34",A342 &lt;= ASSUMPTIONS!$D$4, "35-44",A342 &lt;= ASSUMPTIONS!$D$5,"45-54",TRUE,"55+")</f>
        <v>35-44</v>
      </c>
      <c r="P342" t="str" cm="1">
        <f t="array" ref="P342">_xlfn.IFS( J342 &lt;ASSUMPTIONS!$D$7,"LOW",J342 &lt;= ASSUMPTIONS!$D$8,"MEDIUM",TRUE, "HIGH")</f>
        <v>MEDIUM</v>
      </c>
      <c r="Q342" t="str">
        <f>IF(M342&lt;ASSUMPTIONS!$D$10,"New (0-2)",IF(M342&lt;=ASSUMPTIONS!$D$11,"Early (2-5)",IF(M342&lt;=ASSUMPTIONS!$D$12,"Established (5-10)","Veteran (10+)")))</f>
        <v>Established (5-10)</v>
      </c>
      <c r="R342" s="4">
        <f t="shared" si="11"/>
        <v>3.3333333333333335</v>
      </c>
    </row>
    <row r="343" spans="1:18">
      <c r="A343">
        <f>RAW_DATA!A343</f>
        <v>38</v>
      </c>
      <c r="B343" t="str">
        <f>RAW_DATA!B343</f>
        <v>No</v>
      </c>
      <c r="C343" t="str">
        <f>RAW_DATA!C343</f>
        <v>Research &amp; Development</v>
      </c>
      <c r="D343">
        <f>RAW_DATA!D343</f>
        <v>15</v>
      </c>
      <c r="E343">
        <f>RAW_DATA!E343</f>
        <v>2</v>
      </c>
      <c r="F343" t="str">
        <f>RAW_DATA!F343</f>
        <v>Life Sciences</v>
      </c>
      <c r="G343">
        <f>RAW_DATA!G343</f>
        <v>3</v>
      </c>
      <c r="H343">
        <f>RAW_DATA!H343</f>
        <v>4</v>
      </c>
      <c r="I343" t="str">
        <f>RAW_DATA!I343</f>
        <v>Divorced</v>
      </c>
      <c r="J343">
        <f>RAW_DATA!J343</f>
        <v>11510</v>
      </c>
      <c r="K343">
        <f>RAW_DATA!K343</f>
        <v>0</v>
      </c>
      <c r="L343">
        <f>RAW_DATA!L343</f>
        <v>3</v>
      </c>
      <c r="M343">
        <f>RAW_DATA!M343</f>
        <v>11</v>
      </c>
      <c r="N343">
        <f t="shared" si="10"/>
        <v>0</v>
      </c>
      <c r="O343" t="str" cm="1">
        <f t="array" ref="O343" xml:space="preserve"> _xlfn.IFS(A343 &lt;ASSUMPTIONS!$D$2,"25",A343 &lt;= ASSUMPTIONS!$D$3,"25-34",A343 &lt;= ASSUMPTIONS!$D$4, "35-44",A343 &lt;= ASSUMPTIONS!$D$5,"45-54",TRUE,"55+")</f>
        <v>35-44</v>
      </c>
      <c r="P343" t="str" cm="1">
        <f t="array" ref="P343">_xlfn.IFS( J343 &lt;ASSUMPTIONS!$D$7,"LOW",J343 &lt;= ASSUMPTIONS!$D$8,"MEDIUM",TRUE, "HIGH")</f>
        <v>HIGH</v>
      </c>
      <c r="Q343" t="str">
        <f>IF(M343&lt;ASSUMPTIONS!$D$10,"New (0-2)",IF(M343&lt;=ASSUMPTIONS!$D$11,"Early (2-5)",IF(M343&lt;=ASSUMPTIONS!$D$12,"Established (5-10)","Veteran (10+)")))</f>
        <v>Veteran (10+)</v>
      </c>
      <c r="R343" s="4">
        <f t="shared" si="11"/>
        <v>3.3333333333333335</v>
      </c>
    </row>
    <row r="344" spans="1:18">
      <c r="A344">
        <f>RAW_DATA!A344</f>
        <v>31</v>
      </c>
      <c r="B344" t="str">
        <f>RAW_DATA!B344</f>
        <v>No</v>
      </c>
      <c r="C344" t="str">
        <f>RAW_DATA!C344</f>
        <v>Research &amp; Development</v>
      </c>
      <c r="D344">
        <f>RAW_DATA!D344</f>
        <v>7</v>
      </c>
      <c r="E344">
        <f>RAW_DATA!E344</f>
        <v>4</v>
      </c>
      <c r="F344" t="str">
        <f>RAW_DATA!F344</f>
        <v>Medical</v>
      </c>
      <c r="G344">
        <f>RAW_DATA!G344</f>
        <v>3</v>
      </c>
      <c r="H344">
        <f>RAW_DATA!H344</f>
        <v>4</v>
      </c>
      <c r="I344" t="str">
        <f>RAW_DATA!I344</f>
        <v>Single</v>
      </c>
      <c r="J344">
        <f>RAW_DATA!J344</f>
        <v>7143</v>
      </c>
      <c r="K344">
        <f>RAW_DATA!K344</f>
        <v>1</v>
      </c>
      <c r="L344">
        <f>RAW_DATA!L344</f>
        <v>2</v>
      </c>
      <c r="M344">
        <f>RAW_DATA!M344</f>
        <v>11</v>
      </c>
      <c r="N344">
        <f t="shared" si="10"/>
        <v>0</v>
      </c>
      <c r="O344" t="str" cm="1">
        <f t="array" ref="O344" xml:space="preserve"> _xlfn.IFS(A344 &lt;ASSUMPTIONS!$D$2,"25",A344 &lt;= ASSUMPTIONS!$D$3,"25-34",A344 &lt;= ASSUMPTIONS!$D$4, "35-44",A344 &lt;= ASSUMPTIONS!$D$5,"45-54",TRUE,"55+")</f>
        <v>25-34</v>
      </c>
      <c r="P344" t="str" cm="1">
        <f t="array" ref="P344">_xlfn.IFS( J344 &lt;ASSUMPTIONS!$D$7,"LOW",J344 &lt;= ASSUMPTIONS!$D$8,"MEDIUM",TRUE, "HIGH")</f>
        <v>HIGH</v>
      </c>
      <c r="Q344" t="str">
        <f>IF(M344&lt;ASSUMPTIONS!$D$10,"New (0-2)",IF(M344&lt;=ASSUMPTIONS!$D$11,"Early (2-5)",IF(M344&lt;=ASSUMPTIONS!$D$12,"Established (5-10)","Veteran (10+)")))</f>
        <v>Veteran (10+)</v>
      </c>
      <c r="R344" s="4">
        <f t="shared" si="11"/>
        <v>3</v>
      </c>
    </row>
    <row r="345" spans="1:18">
      <c r="A345">
        <f>RAW_DATA!A345</f>
        <v>29</v>
      </c>
      <c r="B345" t="str">
        <f>RAW_DATA!B345</f>
        <v>No</v>
      </c>
      <c r="C345" t="str">
        <f>RAW_DATA!C345</f>
        <v>Sales</v>
      </c>
      <c r="D345">
        <f>RAW_DATA!D345</f>
        <v>10</v>
      </c>
      <c r="E345">
        <f>RAW_DATA!E345</f>
        <v>1</v>
      </c>
      <c r="F345" t="str">
        <f>RAW_DATA!F345</f>
        <v>Marketing</v>
      </c>
      <c r="G345">
        <f>RAW_DATA!G345</f>
        <v>4</v>
      </c>
      <c r="H345">
        <f>RAW_DATA!H345</f>
        <v>2</v>
      </c>
      <c r="I345" t="str">
        <f>RAW_DATA!I345</f>
        <v>Divorced</v>
      </c>
      <c r="J345">
        <f>RAW_DATA!J345</f>
        <v>8268</v>
      </c>
      <c r="K345">
        <f>RAW_DATA!K345</f>
        <v>1</v>
      </c>
      <c r="L345">
        <f>RAW_DATA!L345</f>
        <v>3</v>
      </c>
      <c r="M345">
        <f>RAW_DATA!M345</f>
        <v>7</v>
      </c>
      <c r="N345">
        <f t="shared" si="10"/>
        <v>0</v>
      </c>
      <c r="O345" t="str" cm="1">
        <f t="array" ref="O345" xml:space="preserve"> _xlfn.IFS(A345 &lt;ASSUMPTIONS!$D$2,"25",A345 &lt;= ASSUMPTIONS!$D$3,"25-34",A345 &lt;= ASSUMPTIONS!$D$4, "35-44",A345 &lt;= ASSUMPTIONS!$D$5,"45-54",TRUE,"55+")</f>
        <v>25-34</v>
      </c>
      <c r="P345" t="str" cm="1">
        <f t="array" ref="P345">_xlfn.IFS( J345 &lt;ASSUMPTIONS!$D$7,"LOW",J345 &lt;= ASSUMPTIONS!$D$8,"MEDIUM",TRUE, "HIGH")</f>
        <v>HIGH</v>
      </c>
      <c r="Q345" t="str">
        <f>IF(M345&lt;ASSUMPTIONS!$D$10,"New (0-2)",IF(M345&lt;=ASSUMPTIONS!$D$11,"Early (2-5)",IF(M345&lt;=ASSUMPTIONS!$D$12,"Established (5-10)","Veteran (10+)")))</f>
        <v>Established (5-10)</v>
      </c>
      <c r="R345" s="4">
        <f t="shared" si="11"/>
        <v>3</v>
      </c>
    </row>
    <row r="346" spans="1:18">
      <c r="A346">
        <f>RAW_DATA!A346</f>
        <v>35</v>
      </c>
      <c r="B346" t="str">
        <f>RAW_DATA!B346</f>
        <v>No</v>
      </c>
      <c r="C346" t="str">
        <f>RAW_DATA!C346</f>
        <v>Research &amp; Development</v>
      </c>
      <c r="D346">
        <f>RAW_DATA!D346</f>
        <v>5</v>
      </c>
      <c r="E346">
        <f>RAW_DATA!E346</f>
        <v>4</v>
      </c>
      <c r="F346" t="str">
        <f>RAW_DATA!F346</f>
        <v>Technical Degree</v>
      </c>
      <c r="G346">
        <f>RAW_DATA!G346</f>
        <v>3</v>
      </c>
      <c r="H346">
        <f>RAW_DATA!H346</f>
        <v>2</v>
      </c>
      <c r="I346" t="str">
        <f>RAW_DATA!I346</f>
        <v>Single</v>
      </c>
      <c r="J346">
        <f>RAW_DATA!J346</f>
        <v>8095</v>
      </c>
      <c r="K346">
        <f>RAW_DATA!K346</f>
        <v>0</v>
      </c>
      <c r="L346">
        <f>RAW_DATA!L346</f>
        <v>3</v>
      </c>
      <c r="M346">
        <f>RAW_DATA!M346</f>
        <v>16</v>
      </c>
      <c r="N346">
        <f t="shared" si="10"/>
        <v>0</v>
      </c>
      <c r="O346" t="str" cm="1">
        <f t="array" ref="O346" xml:space="preserve"> _xlfn.IFS(A346 &lt;ASSUMPTIONS!$D$2,"25",A346 &lt;= ASSUMPTIONS!$D$3,"25-34",A346 &lt;= ASSUMPTIONS!$D$4, "35-44",A346 &lt;= ASSUMPTIONS!$D$5,"45-54",TRUE,"55+")</f>
        <v>35-44</v>
      </c>
      <c r="P346" t="str" cm="1">
        <f t="array" ref="P346">_xlfn.IFS( J346 &lt;ASSUMPTIONS!$D$7,"LOW",J346 &lt;= ASSUMPTIONS!$D$8,"MEDIUM",TRUE, "HIGH")</f>
        <v>HIGH</v>
      </c>
      <c r="Q346" t="str">
        <f>IF(M346&lt;ASSUMPTIONS!$D$10,"New (0-2)",IF(M346&lt;=ASSUMPTIONS!$D$11,"Early (2-5)",IF(M346&lt;=ASSUMPTIONS!$D$12,"Established (5-10)","Veteran (10+)")))</f>
        <v>Veteran (10+)</v>
      </c>
      <c r="R346" s="4">
        <f t="shared" si="11"/>
        <v>2.6666666666666665</v>
      </c>
    </row>
    <row r="347" spans="1:18">
      <c r="A347">
        <f>RAW_DATA!A347</f>
        <v>23</v>
      </c>
      <c r="B347" t="str">
        <f>RAW_DATA!B347</f>
        <v>No</v>
      </c>
      <c r="C347" t="str">
        <f>RAW_DATA!C347</f>
        <v>Research &amp; Development</v>
      </c>
      <c r="D347">
        <f>RAW_DATA!D347</f>
        <v>26</v>
      </c>
      <c r="E347">
        <f>RAW_DATA!E347</f>
        <v>1</v>
      </c>
      <c r="F347" t="str">
        <f>RAW_DATA!F347</f>
        <v>Life Sciences</v>
      </c>
      <c r="G347">
        <f>RAW_DATA!G347</f>
        <v>3</v>
      </c>
      <c r="H347">
        <f>RAW_DATA!H347</f>
        <v>4</v>
      </c>
      <c r="I347" t="str">
        <f>RAW_DATA!I347</f>
        <v>Divorced</v>
      </c>
      <c r="J347">
        <f>RAW_DATA!J347</f>
        <v>2904</v>
      </c>
      <c r="K347">
        <f>RAW_DATA!K347</f>
        <v>1</v>
      </c>
      <c r="L347">
        <f>RAW_DATA!L347</f>
        <v>2</v>
      </c>
      <c r="M347">
        <f>RAW_DATA!M347</f>
        <v>4</v>
      </c>
      <c r="N347">
        <f t="shared" si="10"/>
        <v>0</v>
      </c>
      <c r="O347" t="str" cm="1">
        <f t="array" ref="O347" xml:space="preserve"> _xlfn.IFS(A347 &lt;ASSUMPTIONS!$D$2,"25",A347 &lt;= ASSUMPTIONS!$D$3,"25-34",A347 &lt;= ASSUMPTIONS!$D$4, "35-44",A347 &lt;= ASSUMPTIONS!$D$5,"45-54",TRUE,"55+")</f>
        <v>25</v>
      </c>
      <c r="P347" t="str" cm="1">
        <f t="array" ref="P347">_xlfn.IFS( J347 &lt;ASSUMPTIONS!$D$7,"LOW",J347 &lt;= ASSUMPTIONS!$D$8,"MEDIUM",TRUE, "HIGH")</f>
        <v>LOW</v>
      </c>
      <c r="Q347" t="str">
        <f>IF(M347&lt;ASSUMPTIONS!$D$10,"New (0-2)",IF(M347&lt;=ASSUMPTIONS!$D$11,"Early (2-5)",IF(M347&lt;=ASSUMPTIONS!$D$12,"Established (5-10)","Veteran (10+)")))</f>
        <v>Early (2-5)</v>
      </c>
      <c r="R347" s="4">
        <f t="shared" si="11"/>
        <v>3</v>
      </c>
    </row>
    <row r="348" spans="1:18">
      <c r="A348">
        <f>RAW_DATA!A348</f>
        <v>41</v>
      </c>
      <c r="B348" t="str">
        <f>RAW_DATA!B348</f>
        <v>No</v>
      </c>
      <c r="C348" t="str">
        <f>RAW_DATA!C348</f>
        <v>Research &amp; Development</v>
      </c>
      <c r="D348">
        <f>RAW_DATA!D348</f>
        <v>6</v>
      </c>
      <c r="E348">
        <f>RAW_DATA!E348</f>
        <v>3</v>
      </c>
      <c r="F348" t="str">
        <f>RAW_DATA!F348</f>
        <v>Medical</v>
      </c>
      <c r="G348">
        <f>RAW_DATA!G348</f>
        <v>4</v>
      </c>
      <c r="H348">
        <f>RAW_DATA!H348</f>
        <v>2</v>
      </c>
      <c r="I348" t="str">
        <f>RAW_DATA!I348</f>
        <v>Single</v>
      </c>
      <c r="J348">
        <f>RAW_DATA!J348</f>
        <v>6032</v>
      </c>
      <c r="K348">
        <f>RAW_DATA!K348</f>
        <v>6</v>
      </c>
      <c r="L348">
        <f>RAW_DATA!L348</f>
        <v>3</v>
      </c>
      <c r="M348">
        <f>RAW_DATA!M348</f>
        <v>5</v>
      </c>
      <c r="N348">
        <f t="shared" si="10"/>
        <v>0</v>
      </c>
      <c r="O348" t="str" cm="1">
        <f t="array" ref="O348" xml:space="preserve"> _xlfn.IFS(A348 &lt;ASSUMPTIONS!$D$2,"25",A348 &lt;= ASSUMPTIONS!$D$3,"25-34",A348 &lt;= ASSUMPTIONS!$D$4, "35-44",A348 &lt;= ASSUMPTIONS!$D$5,"45-54",TRUE,"55+")</f>
        <v>35-44</v>
      </c>
      <c r="P348" t="str" cm="1">
        <f t="array" ref="P348">_xlfn.IFS( J348 &lt;ASSUMPTIONS!$D$7,"LOW",J348 &lt;= ASSUMPTIONS!$D$8,"MEDIUM",TRUE, "HIGH")</f>
        <v>MEDIUM</v>
      </c>
      <c r="Q348" t="str">
        <f>IF(M348&lt;ASSUMPTIONS!$D$10,"New (0-2)",IF(M348&lt;=ASSUMPTIONS!$D$11,"Early (2-5)",IF(M348&lt;=ASSUMPTIONS!$D$12,"Established (5-10)","Veteran (10+)")))</f>
        <v>Early (2-5)</v>
      </c>
      <c r="R348" s="4">
        <f t="shared" si="11"/>
        <v>3</v>
      </c>
    </row>
    <row r="349" spans="1:18">
      <c r="A349">
        <f>RAW_DATA!A349</f>
        <v>47</v>
      </c>
      <c r="B349" t="str">
        <f>RAW_DATA!B349</f>
        <v>No</v>
      </c>
      <c r="C349" t="str">
        <f>RAW_DATA!C349</f>
        <v>Sales</v>
      </c>
      <c r="D349">
        <f>RAW_DATA!D349</f>
        <v>4</v>
      </c>
      <c r="E349">
        <f>RAW_DATA!E349</f>
        <v>1</v>
      </c>
      <c r="F349" t="str">
        <f>RAW_DATA!F349</f>
        <v>Medical</v>
      </c>
      <c r="G349">
        <f>RAW_DATA!G349</f>
        <v>2</v>
      </c>
      <c r="H349">
        <f>RAW_DATA!H349</f>
        <v>3</v>
      </c>
      <c r="I349" t="str">
        <f>RAW_DATA!I349</f>
        <v>Single</v>
      </c>
      <c r="J349">
        <f>RAW_DATA!J349</f>
        <v>2976</v>
      </c>
      <c r="K349">
        <f>RAW_DATA!K349</f>
        <v>3</v>
      </c>
      <c r="L349">
        <f>RAW_DATA!L349</f>
        <v>3</v>
      </c>
      <c r="M349">
        <f>RAW_DATA!M349</f>
        <v>0</v>
      </c>
      <c r="N349">
        <f t="shared" si="10"/>
        <v>0</v>
      </c>
      <c r="O349" t="str" cm="1">
        <f t="array" ref="O349" xml:space="preserve"> _xlfn.IFS(A349 &lt;ASSUMPTIONS!$D$2,"25",A349 &lt;= ASSUMPTIONS!$D$3,"25-34",A349 &lt;= ASSUMPTIONS!$D$4, "35-44",A349 &lt;= ASSUMPTIONS!$D$5,"45-54",TRUE,"55+")</f>
        <v>45-54</v>
      </c>
      <c r="P349" t="str" cm="1">
        <f t="array" ref="P349">_xlfn.IFS( J349 &lt;ASSUMPTIONS!$D$7,"LOW",J349 &lt;= ASSUMPTIONS!$D$8,"MEDIUM",TRUE, "HIGH")</f>
        <v>LOW</v>
      </c>
      <c r="Q349" t="str">
        <f>IF(M349&lt;ASSUMPTIONS!$D$10,"New (0-2)",IF(M349&lt;=ASSUMPTIONS!$D$11,"Early (2-5)",IF(M349&lt;=ASSUMPTIONS!$D$12,"Established (5-10)","Veteran (10+)")))</f>
        <v>New (0-2)</v>
      </c>
      <c r="R349" s="4">
        <f t="shared" si="11"/>
        <v>2.6666666666666665</v>
      </c>
    </row>
    <row r="350" spans="1:18">
      <c r="A350">
        <f>RAW_DATA!A350</f>
        <v>42</v>
      </c>
      <c r="B350" t="str">
        <f>RAW_DATA!B350</f>
        <v>No</v>
      </c>
      <c r="C350" t="str">
        <f>RAW_DATA!C350</f>
        <v>Research &amp; Development</v>
      </c>
      <c r="D350">
        <f>RAW_DATA!D350</f>
        <v>23</v>
      </c>
      <c r="E350">
        <f>RAW_DATA!E350</f>
        <v>5</v>
      </c>
      <c r="F350" t="str">
        <f>RAW_DATA!F350</f>
        <v>Life Sciences</v>
      </c>
      <c r="G350">
        <f>RAW_DATA!G350</f>
        <v>1</v>
      </c>
      <c r="H350">
        <f>RAW_DATA!H350</f>
        <v>4</v>
      </c>
      <c r="I350" t="str">
        <f>RAW_DATA!I350</f>
        <v>Single</v>
      </c>
      <c r="J350">
        <f>RAW_DATA!J350</f>
        <v>15992</v>
      </c>
      <c r="K350">
        <f>RAW_DATA!K350</f>
        <v>2</v>
      </c>
      <c r="L350">
        <f>RAW_DATA!L350</f>
        <v>3</v>
      </c>
      <c r="M350">
        <f>RAW_DATA!M350</f>
        <v>1</v>
      </c>
      <c r="N350">
        <f t="shared" si="10"/>
        <v>0</v>
      </c>
      <c r="O350" t="str" cm="1">
        <f t="array" ref="O350" xml:space="preserve"> _xlfn.IFS(A350 &lt;ASSUMPTIONS!$D$2,"25",A350 &lt;= ASSUMPTIONS!$D$3,"25-34",A350 &lt;= ASSUMPTIONS!$D$4, "35-44",A350 &lt;= ASSUMPTIONS!$D$5,"45-54",TRUE,"55+")</f>
        <v>35-44</v>
      </c>
      <c r="P350" t="str" cm="1">
        <f t="array" ref="P350">_xlfn.IFS( J350 &lt;ASSUMPTIONS!$D$7,"LOW",J350 &lt;= ASSUMPTIONS!$D$8,"MEDIUM",TRUE, "HIGH")</f>
        <v>HIGH</v>
      </c>
      <c r="Q350" t="str">
        <f>IF(M350&lt;ASSUMPTIONS!$D$10,"New (0-2)",IF(M350&lt;=ASSUMPTIONS!$D$11,"Early (2-5)",IF(M350&lt;=ASSUMPTIONS!$D$12,"Established (5-10)","Veteran (10+)")))</f>
        <v>New (0-2)</v>
      </c>
      <c r="R350" s="4">
        <f t="shared" si="11"/>
        <v>2.6666666666666665</v>
      </c>
    </row>
    <row r="351" spans="1:18">
      <c r="A351">
        <f>RAW_DATA!A351</f>
        <v>29</v>
      </c>
      <c r="B351" t="str">
        <f>RAW_DATA!B351</f>
        <v>No</v>
      </c>
      <c r="C351" t="str">
        <f>RAW_DATA!C351</f>
        <v>Sales</v>
      </c>
      <c r="D351">
        <f>RAW_DATA!D351</f>
        <v>2</v>
      </c>
      <c r="E351">
        <f>RAW_DATA!E351</f>
        <v>3</v>
      </c>
      <c r="F351" t="str">
        <f>RAW_DATA!F351</f>
        <v>Life Sciences</v>
      </c>
      <c r="G351">
        <f>RAW_DATA!G351</f>
        <v>4</v>
      </c>
      <c r="H351">
        <f>RAW_DATA!H351</f>
        <v>3</v>
      </c>
      <c r="I351" t="str">
        <f>RAW_DATA!I351</f>
        <v>Married</v>
      </c>
      <c r="J351">
        <f>RAW_DATA!J351</f>
        <v>4649</v>
      </c>
      <c r="K351">
        <f>RAW_DATA!K351</f>
        <v>1</v>
      </c>
      <c r="L351">
        <f>RAW_DATA!L351</f>
        <v>2</v>
      </c>
      <c r="M351">
        <f>RAW_DATA!M351</f>
        <v>4</v>
      </c>
      <c r="N351">
        <f t="shared" si="10"/>
        <v>0</v>
      </c>
      <c r="O351" t="str" cm="1">
        <f t="array" ref="O351" xml:space="preserve"> _xlfn.IFS(A351 &lt;ASSUMPTIONS!$D$2,"25",A351 &lt;= ASSUMPTIONS!$D$3,"25-34",A351 &lt;= ASSUMPTIONS!$D$4, "35-44",A351 &lt;= ASSUMPTIONS!$D$5,"45-54",TRUE,"55+")</f>
        <v>25-34</v>
      </c>
      <c r="P351" t="str" cm="1">
        <f t="array" ref="P351">_xlfn.IFS( J351 &lt;ASSUMPTIONS!$D$7,"LOW",J351 &lt;= ASSUMPTIONS!$D$8,"MEDIUM",TRUE, "HIGH")</f>
        <v>MEDIUM</v>
      </c>
      <c r="Q351" t="str">
        <f>IF(M351&lt;ASSUMPTIONS!$D$10,"New (0-2)",IF(M351&lt;=ASSUMPTIONS!$D$11,"Early (2-5)",IF(M351&lt;=ASSUMPTIONS!$D$12,"Established (5-10)","Veteran (10+)")))</f>
        <v>Early (2-5)</v>
      </c>
      <c r="R351" s="4">
        <f t="shared" si="11"/>
        <v>3</v>
      </c>
    </row>
    <row r="352" spans="1:18">
      <c r="A352">
        <f>RAW_DATA!A352</f>
        <v>42</v>
      </c>
      <c r="B352" t="str">
        <f>RAW_DATA!B352</f>
        <v>No</v>
      </c>
      <c r="C352" t="str">
        <f>RAW_DATA!C352</f>
        <v>Human Resources</v>
      </c>
      <c r="D352">
        <f>RAW_DATA!D352</f>
        <v>2</v>
      </c>
      <c r="E352">
        <f>RAW_DATA!E352</f>
        <v>1</v>
      </c>
      <c r="F352" t="str">
        <f>RAW_DATA!F352</f>
        <v>Technical Degree</v>
      </c>
      <c r="G352">
        <f>RAW_DATA!G352</f>
        <v>3</v>
      </c>
      <c r="H352">
        <f>RAW_DATA!H352</f>
        <v>3</v>
      </c>
      <c r="I352" t="str">
        <f>RAW_DATA!I352</f>
        <v>Divorced</v>
      </c>
      <c r="J352">
        <f>RAW_DATA!J352</f>
        <v>2696</v>
      </c>
      <c r="K352">
        <f>RAW_DATA!K352</f>
        <v>0</v>
      </c>
      <c r="L352">
        <f>RAW_DATA!L352</f>
        <v>3</v>
      </c>
      <c r="M352">
        <f>RAW_DATA!M352</f>
        <v>3</v>
      </c>
      <c r="N352">
        <f t="shared" si="10"/>
        <v>0</v>
      </c>
      <c r="O352" t="str" cm="1">
        <f t="array" ref="O352" xml:space="preserve"> _xlfn.IFS(A352 &lt;ASSUMPTIONS!$D$2,"25",A352 &lt;= ASSUMPTIONS!$D$3,"25-34",A352 &lt;= ASSUMPTIONS!$D$4, "35-44",A352 &lt;= ASSUMPTIONS!$D$5,"45-54",TRUE,"55+")</f>
        <v>35-44</v>
      </c>
      <c r="P352" t="str" cm="1">
        <f t="array" ref="P352">_xlfn.IFS( J352 &lt;ASSUMPTIONS!$D$7,"LOW",J352 &lt;= ASSUMPTIONS!$D$8,"MEDIUM",TRUE, "HIGH")</f>
        <v>LOW</v>
      </c>
      <c r="Q352" t="str">
        <f>IF(M352&lt;ASSUMPTIONS!$D$10,"New (0-2)",IF(M352&lt;=ASSUMPTIONS!$D$11,"Early (2-5)",IF(M352&lt;=ASSUMPTIONS!$D$12,"Established (5-10)","Veteran (10+)")))</f>
        <v>Early (2-5)</v>
      </c>
      <c r="R352" s="4">
        <f t="shared" si="11"/>
        <v>3</v>
      </c>
    </row>
    <row r="353" spans="1:18">
      <c r="A353">
        <f>RAW_DATA!A353</f>
        <v>32</v>
      </c>
      <c r="B353" t="str">
        <f>RAW_DATA!B353</f>
        <v>No</v>
      </c>
      <c r="C353" t="str">
        <f>RAW_DATA!C353</f>
        <v>Research &amp; Development</v>
      </c>
      <c r="D353">
        <f>RAW_DATA!D353</f>
        <v>2</v>
      </c>
      <c r="E353">
        <f>RAW_DATA!E353</f>
        <v>3</v>
      </c>
      <c r="F353" t="str">
        <f>RAW_DATA!F353</f>
        <v>Medical</v>
      </c>
      <c r="G353">
        <f>RAW_DATA!G353</f>
        <v>3</v>
      </c>
      <c r="H353">
        <f>RAW_DATA!H353</f>
        <v>2</v>
      </c>
      <c r="I353" t="str">
        <f>RAW_DATA!I353</f>
        <v>Married</v>
      </c>
      <c r="J353">
        <f>RAW_DATA!J353</f>
        <v>2370</v>
      </c>
      <c r="K353">
        <f>RAW_DATA!K353</f>
        <v>1</v>
      </c>
      <c r="L353">
        <f>RAW_DATA!L353</f>
        <v>3</v>
      </c>
      <c r="M353">
        <f>RAW_DATA!M353</f>
        <v>8</v>
      </c>
      <c r="N353">
        <f t="shared" si="10"/>
        <v>0</v>
      </c>
      <c r="O353" t="str" cm="1">
        <f t="array" ref="O353" xml:space="preserve"> _xlfn.IFS(A353 &lt;ASSUMPTIONS!$D$2,"25",A353 &lt;= ASSUMPTIONS!$D$3,"25-34",A353 &lt;= ASSUMPTIONS!$D$4, "35-44",A353 &lt;= ASSUMPTIONS!$D$5,"45-54",TRUE,"55+")</f>
        <v>25-34</v>
      </c>
      <c r="P353" t="str" cm="1">
        <f t="array" ref="P353">_xlfn.IFS( J353 &lt;ASSUMPTIONS!$D$7,"LOW",J353 &lt;= ASSUMPTIONS!$D$8,"MEDIUM",TRUE, "HIGH")</f>
        <v>LOW</v>
      </c>
      <c r="Q353" t="str">
        <f>IF(M353&lt;ASSUMPTIONS!$D$10,"New (0-2)",IF(M353&lt;=ASSUMPTIONS!$D$11,"Early (2-5)",IF(M353&lt;=ASSUMPTIONS!$D$12,"Established (5-10)","Veteran (10+)")))</f>
        <v>Established (5-10)</v>
      </c>
      <c r="R353" s="4">
        <f t="shared" si="11"/>
        <v>2.6666666666666665</v>
      </c>
    </row>
    <row r="354" spans="1:18">
      <c r="A354">
        <f>RAW_DATA!A354</f>
        <v>48</v>
      </c>
      <c r="B354" t="str">
        <f>RAW_DATA!B354</f>
        <v>No</v>
      </c>
      <c r="C354" t="str">
        <f>RAW_DATA!C354</f>
        <v>Sales</v>
      </c>
      <c r="D354">
        <f>RAW_DATA!D354</f>
        <v>29</v>
      </c>
      <c r="E354">
        <f>RAW_DATA!E354</f>
        <v>1</v>
      </c>
      <c r="F354" t="str">
        <f>RAW_DATA!F354</f>
        <v>Medical</v>
      </c>
      <c r="G354">
        <f>RAW_DATA!G354</f>
        <v>1</v>
      </c>
      <c r="H354">
        <f>RAW_DATA!H354</f>
        <v>3</v>
      </c>
      <c r="I354" t="str">
        <f>RAW_DATA!I354</f>
        <v>Married</v>
      </c>
      <c r="J354">
        <f>RAW_DATA!J354</f>
        <v>12504</v>
      </c>
      <c r="K354">
        <f>RAW_DATA!K354</f>
        <v>3</v>
      </c>
      <c r="L354">
        <f>RAW_DATA!L354</f>
        <v>1</v>
      </c>
      <c r="M354">
        <f>RAW_DATA!M354</f>
        <v>0</v>
      </c>
      <c r="N354">
        <f t="shared" si="10"/>
        <v>0</v>
      </c>
      <c r="O354" t="str" cm="1">
        <f t="array" ref="O354" xml:space="preserve"> _xlfn.IFS(A354 &lt;ASSUMPTIONS!$D$2,"25",A354 &lt;= ASSUMPTIONS!$D$3,"25-34",A354 &lt;= ASSUMPTIONS!$D$4, "35-44",A354 &lt;= ASSUMPTIONS!$D$5,"45-54",TRUE,"55+")</f>
        <v>45-54</v>
      </c>
      <c r="P354" t="str" cm="1">
        <f t="array" ref="P354">_xlfn.IFS( J354 &lt;ASSUMPTIONS!$D$7,"LOW",J354 &lt;= ASSUMPTIONS!$D$8,"MEDIUM",TRUE, "HIGH")</f>
        <v>HIGH</v>
      </c>
      <c r="Q354" t="str">
        <f>IF(M354&lt;ASSUMPTIONS!$D$10,"New (0-2)",IF(M354&lt;=ASSUMPTIONS!$D$11,"Early (2-5)",IF(M354&lt;=ASSUMPTIONS!$D$12,"Established (5-10)","Veteran (10+)")))</f>
        <v>New (0-2)</v>
      </c>
      <c r="R354" s="4">
        <f t="shared" si="11"/>
        <v>1.6666666666666667</v>
      </c>
    </row>
    <row r="355" spans="1:18">
      <c r="A355">
        <f>RAW_DATA!A355</f>
        <v>37</v>
      </c>
      <c r="B355" t="str">
        <f>RAW_DATA!B355</f>
        <v>No</v>
      </c>
      <c r="C355" t="str">
        <f>RAW_DATA!C355</f>
        <v>Research &amp; Development</v>
      </c>
      <c r="D355">
        <f>RAW_DATA!D355</f>
        <v>6</v>
      </c>
      <c r="E355">
        <f>RAW_DATA!E355</f>
        <v>3</v>
      </c>
      <c r="F355" t="str">
        <f>RAW_DATA!F355</f>
        <v>Medical</v>
      </c>
      <c r="G355">
        <f>RAW_DATA!G355</f>
        <v>3</v>
      </c>
      <c r="H355">
        <f>RAW_DATA!H355</f>
        <v>1</v>
      </c>
      <c r="I355" t="str">
        <f>RAW_DATA!I355</f>
        <v>Divorced</v>
      </c>
      <c r="J355">
        <f>RAW_DATA!J355</f>
        <v>5974</v>
      </c>
      <c r="K355">
        <f>RAW_DATA!K355</f>
        <v>4</v>
      </c>
      <c r="L355">
        <f>RAW_DATA!L355</f>
        <v>3</v>
      </c>
      <c r="M355">
        <f>RAW_DATA!M355</f>
        <v>7</v>
      </c>
      <c r="N355">
        <f t="shared" si="10"/>
        <v>0</v>
      </c>
      <c r="O355" t="str" cm="1">
        <f t="array" ref="O355" xml:space="preserve"> _xlfn.IFS(A355 &lt;ASSUMPTIONS!$D$2,"25",A355 &lt;= ASSUMPTIONS!$D$3,"25-34",A355 &lt;= ASSUMPTIONS!$D$4, "35-44",A355 &lt;= ASSUMPTIONS!$D$5,"45-54",TRUE,"55+")</f>
        <v>35-44</v>
      </c>
      <c r="P355" t="str" cm="1">
        <f t="array" ref="P355">_xlfn.IFS( J355 &lt;ASSUMPTIONS!$D$7,"LOW",J355 &lt;= ASSUMPTIONS!$D$8,"MEDIUM",TRUE, "HIGH")</f>
        <v>MEDIUM</v>
      </c>
      <c r="Q355" t="str">
        <f>IF(M355&lt;ASSUMPTIONS!$D$10,"New (0-2)",IF(M355&lt;=ASSUMPTIONS!$D$11,"Early (2-5)",IF(M355&lt;=ASSUMPTIONS!$D$12,"Established (5-10)","Veteran (10+)")))</f>
        <v>Established (5-10)</v>
      </c>
      <c r="R355" s="4">
        <f t="shared" si="11"/>
        <v>2.3333333333333335</v>
      </c>
    </row>
    <row r="356" spans="1:18">
      <c r="A356">
        <f>RAW_DATA!A356</f>
        <v>30</v>
      </c>
      <c r="B356" t="str">
        <f>RAW_DATA!B356</f>
        <v>No</v>
      </c>
      <c r="C356" t="str">
        <f>RAW_DATA!C356</f>
        <v>Sales</v>
      </c>
      <c r="D356">
        <f>RAW_DATA!D356</f>
        <v>25</v>
      </c>
      <c r="E356">
        <f>RAW_DATA!E356</f>
        <v>2</v>
      </c>
      <c r="F356" t="str">
        <f>RAW_DATA!F356</f>
        <v>Technical Degree</v>
      </c>
      <c r="G356">
        <f>RAW_DATA!G356</f>
        <v>4</v>
      </c>
      <c r="H356">
        <f>RAW_DATA!H356</f>
        <v>3</v>
      </c>
      <c r="I356" t="str">
        <f>RAW_DATA!I356</f>
        <v>Married</v>
      </c>
      <c r="J356">
        <f>RAW_DATA!J356</f>
        <v>4736</v>
      </c>
      <c r="K356">
        <f>RAW_DATA!K356</f>
        <v>7</v>
      </c>
      <c r="L356">
        <f>RAW_DATA!L356</f>
        <v>4</v>
      </c>
      <c r="M356">
        <f>RAW_DATA!M356</f>
        <v>2</v>
      </c>
      <c r="N356">
        <f t="shared" si="10"/>
        <v>0</v>
      </c>
      <c r="O356" t="str" cm="1">
        <f t="array" ref="O356" xml:space="preserve"> _xlfn.IFS(A356 &lt;ASSUMPTIONS!$D$2,"25",A356 &lt;= ASSUMPTIONS!$D$3,"25-34",A356 &lt;= ASSUMPTIONS!$D$4, "35-44",A356 &lt;= ASSUMPTIONS!$D$5,"45-54",TRUE,"55+")</f>
        <v>25-34</v>
      </c>
      <c r="P356" t="str" cm="1">
        <f t="array" ref="P356">_xlfn.IFS( J356 &lt;ASSUMPTIONS!$D$7,"LOW",J356 &lt;= ASSUMPTIONS!$D$8,"MEDIUM",TRUE, "HIGH")</f>
        <v>MEDIUM</v>
      </c>
      <c r="Q356" t="str">
        <f>IF(M356&lt;ASSUMPTIONS!$D$10,"New (0-2)",IF(M356&lt;=ASSUMPTIONS!$D$11,"Early (2-5)",IF(M356&lt;=ASSUMPTIONS!$D$12,"Established (5-10)","Veteran (10+)")))</f>
        <v>Early (2-5)</v>
      </c>
      <c r="R356" s="4">
        <f t="shared" si="11"/>
        <v>3.6666666666666665</v>
      </c>
    </row>
    <row r="357" spans="1:18">
      <c r="A357">
        <f>RAW_DATA!A357</f>
        <v>26</v>
      </c>
      <c r="B357" t="str">
        <f>RAW_DATA!B357</f>
        <v>No</v>
      </c>
      <c r="C357" t="str">
        <f>RAW_DATA!C357</f>
        <v>Sales</v>
      </c>
      <c r="D357">
        <f>RAW_DATA!D357</f>
        <v>1</v>
      </c>
      <c r="E357">
        <f>RAW_DATA!E357</f>
        <v>3</v>
      </c>
      <c r="F357" t="str">
        <f>RAW_DATA!F357</f>
        <v>Life Sciences</v>
      </c>
      <c r="G357">
        <f>RAW_DATA!G357</f>
        <v>3</v>
      </c>
      <c r="H357">
        <f>RAW_DATA!H357</f>
        <v>3</v>
      </c>
      <c r="I357" t="str">
        <f>RAW_DATA!I357</f>
        <v>Married</v>
      </c>
      <c r="J357">
        <f>RAW_DATA!J357</f>
        <v>5296</v>
      </c>
      <c r="K357">
        <f>RAW_DATA!K357</f>
        <v>1</v>
      </c>
      <c r="L357">
        <f>RAW_DATA!L357</f>
        <v>3</v>
      </c>
      <c r="M357">
        <f>RAW_DATA!M357</f>
        <v>8</v>
      </c>
      <c r="N357">
        <f t="shared" si="10"/>
        <v>0</v>
      </c>
      <c r="O357" t="str" cm="1">
        <f t="array" ref="O357" xml:space="preserve"> _xlfn.IFS(A357 &lt;ASSUMPTIONS!$D$2,"25",A357 &lt;= ASSUMPTIONS!$D$3,"25-34",A357 &lt;= ASSUMPTIONS!$D$4, "35-44",A357 &lt;= ASSUMPTIONS!$D$5,"45-54",TRUE,"55+")</f>
        <v>25-34</v>
      </c>
      <c r="P357" t="str" cm="1">
        <f t="array" ref="P357">_xlfn.IFS( J357 &lt;ASSUMPTIONS!$D$7,"LOW",J357 &lt;= ASSUMPTIONS!$D$8,"MEDIUM",TRUE, "HIGH")</f>
        <v>MEDIUM</v>
      </c>
      <c r="Q357" t="str">
        <f>IF(M357&lt;ASSUMPTIONS!$D$10,"New (0-2)",IF(M357&lt;=ASSUMPTIONS!$D$11,"Early (2-5)",IF(M357&lt;=ASSUMPTIONS!$D$12,"Established (5-10)","Veteran (10+)")))</f>
        <v>Established (5-10)</v>
      </c>
      <c r="R357" s="4">
        <f t="shared" si="11"/>
        <v>3</v>
      </c>
    </row>
    <row r="358" spans="1:18">
      <c r="A358">
        <f>RAW_DATA!A358</f>
        <v>42</v>
      </c>
      <c r="B358" t="str">
        <f>RAW_DATA!B358</f>
        <v>No</v>
      </c>
      <c r="C358" t="str">
        <f>RAW_DATA!C358</f>
        <v>Research &amp; Development</v>
      </c>
      <c r="D358">
        <f>RAW_DATA!D358</f>
        <v>2</v>
      </c>
      <c r="E358">
        <f>RAW_DATA!E358</f>
        <v>4</v>
      </c>
      <c r="F358" t="str">
        <f>RAW_DATA!F358</f>
        <v>Other</v>
      </c>
      <c r="G358">
        <f>RAW_DATA!G358</f>
        <v>1</v>
      </c>
      <c r="H358">
        <f>RAW_DATA!H358</f>
        <v>4</v>
      </c>
      <c r="I358" t="str">
        <f>RAW_DATA!I358</f>
        <v>Single</v>
      </c>
      <c r="J358">
        <f>RAW_DATA!J358</f>
        <v>6781</v>
      </c>
      <c r="K358">
        <f>RAW_DATA!K358</f>
        <v>3</v>
      </c>
      <c r="L358">
        <f>RAW_DATA!L358</f>
        <v>3</v>
      </c>
      <c r="M358">
        <f>RAW_DATA!M358</f>
        <v>1</v>
      </c>
      <c r="N358">
        <f t="shared" si="10"/>
        <v>0</v>
      </c>
      <c r="O358" t="str" cm="1">
        <f t="array" ref="O358" xml:space="preserve"> _xlfn.IFS(A358 &lt;ASSUMPTIONS!$D$2,"25",A358 &lt;= ASSUMPTIONS!$D$3,"25-34",A358 &lt;= ASSUMPTIONS!$D$4, "35-44",A358 &lt;= ASSUMPTIONS!$D$5,"45-54",TRUE,"55+")</f>
        <v>35-44</v>
      </c>
      <c r="P358" t="str" cm="1">
        <f t="array" ref="P358">_xlfn.IFS( J358 &lt;ASSUMPTIONS!$D$7,"LOW",J358 &lt;= ASSUMPTIONS!$D$8,"MEDIUM",TRUE, "HIGH")</f>
        <v>MEDIUM</v>
      </c>
      <c r="Q358" t="str">
        <f>IF(M358&lt;ASSUMPTIONS!$D$10,"New (0-2)",IF(M358&lt;=ASSUMPTIONS!$D$11,"Early (2-5)",IF(M358&lt;=ASSUMPTIONS!$D$12,"Established (5-10)","Veteran (10+)")))</f>
        <v>New (0-2)</v>
      </c>
      <c r="R358" s="4">
        <f t="shared" si="11"/>
        <v>2.6666666666666665</v>
      </c>
    </row>
    <row r="359" spans="1:18">
      <c r="A359">
        <f>RAW_DATA!A359</f>
        <v>21</v>
      </c>
      <c r="B359" t="str">
        <f>RAW_DATA!B359</f>
        <v>Yes</v>
      </c>
      <c r="C359" t="str">
        <f>RAW_DATA!C359</f>
        <v>Sales</v>
      </c>
      <c r="D359">
        <f>RAW_DATA!D359</f>
        <v>1</v>
      </c>
      <c r="E359">
        <f>RAW_DATA!E359</f>
        <v>1</v>
      </c>
      <c r="F359" t="str">
        <f>RAW_DATA!F359</f>
        <v>Technical Degree</v>
      </c>
      <c r="G359">
        <f>RAW_DATA!G359</f>
        <v>1</v>
      </c>
      <c r="H359">
        <f>RAW_DATA!H359</f>
        <v>2</v>
      </c>
      <c r="I359" t="str">
        <f>RAW_DATA!I359</f>
        <v>Single</v>
      </c>
      <c r="J359">
        <f>RAW_DATA!J359</f>
        <v>2174</v>
      </c>
      <c r="K359">
        <f>RAW_DATA!K359</f>
        <v>1</v>
      </c>
      <c r="L359">
        <f>RAW_DATA!L359</f>
        <v>3</v>
      </c>
      <c r="M359">
        <f>RAW_DATA!M359</f>
        <v>3</v>
      </c>
      <c r="N359">
        <f t="shared" si="10"/>
        <v>1</v>
      </c>
      <c r="O359" t="str" cm="1">
        <f t="array" ref="O359" xml:space="preserve"> _xlfn.IFS(A359 &lt;ASSUMPTIONS!$D$2,"25",A359 &lt;= ASSUMPTIONS!$D$3,"25-34",A359 &lt;= ASSUMPTIONS!$D$4, "35-44",A359 &lt;= ASSUMPTIONS!$D$5,"45-54",TRUE,"55+")</f>
        <v>25</v>
      </c>
      <c r="P359" t="str" cm="1">
        <f t="array" ref="P359">_xlfn.IFS( J359 &lt;ASSUMPTIONS!$D$7,"LOW",J359 &lt;= ASSUMPTIONS!$D$8,"MEDIUM",TRUE, "HIGH")</f>
        <v>LOW</v>
      </c>
      <c r="Q359" t="str">
        <f>IF(M359&lt;ASSUMPTIONS!$D$10,"New (0-2)",IF(M359&lt;=ASSUMPTIONS!$D$11,"Early (2-5)",IF(M359&lt;=ASSUMPTIONS!$D$12,"Established (5-10)","Veteran (10+)")))</f>
        <v>Early (2-5)</v>
      </c>
      <c r="R359" s="4">
        <f t="shared" si="11"/>
        <v>2</v>
      </c>
    </row>
    <row r="360" spans="1:18">
      <c r="A360">
        <f>RAW_DATA!A360</f>
        <v>36</v>
      </c>
      <c r="B360" t="str">
        <f>RAW_DATA!B360</f>
        <v>No</v>
      </c>
      <c r="C360" t="str">
        <f>RAW_DATA!C360</f>
        <v>Sales</v>
      </c>
      <c r="D360">
        <f>RAW_DATA!D360</f>
        <v>1</v>
      </c>
      <c r="E360">
        <f>RAW_DATA!E360</f>
        <v>5</v>
      </c>
      <c r="F360" t="str">
        <f>RAW_DATA!F360</f>
        <v>Medical</v>
      </c>
      <c r="G360">
        <f>RAW_DATA!G360</f>
        <v>4</v>
      </c>
      <c r="H360">
        <f>RAW_DATA!H360</f>
        <v>4</v>
      </c>
      <c r="I360" t="str">
        <f>RAW_DATA!I360</f>
        <v>Single</v>
      </c>
      <c r="J360">
        <f>RAW_DATA!J360</f>
        <v>6653</v>
      </c>
      <c r="K360">
        <f>RAW_DATA!K360</f>
        <v>4</v>
      </c>
      <c r="L360">
        <f>RAW_DATA!L360</f>
        <v>3</v>
      </c>
      <c r="M360">
        <f>RAW_DATA!M360</f>
        <v>1</v>
      </c>
      <c r="N360">
        <f t="shared" si="10"/>
        <v>0</v>
      </c>
      <c r="O360" t="str" cm="1">
        <f t="array" ref="O360" xml:space="preserve"> _xlfn.IFS(A360 &lt;ASSUMPTIONS!$D$2,"25",A360 &lt;= ASSUMPTIONS!$D$3,"25-34",A360 &lt;= ASSUMPTIONS!$D$4, "35-44",A360 &lt;= ASSUMPTIONS!$D$5,"45-54",TRUE,"55+")</f>
        <v>35-44</v>
      </c>
      <c r="P360" t="str" cm="1">
        <f t="array" ref="P360">_xlfn.IFS( J360 &lt;ASSUMPTIONS!$D$7,"LOW",J360 &lt;= ASSUMPTIONS!$D$8,"MEDIUM",TRUE, "HIGH")</f>
        <v>MEDIUM</v>
      </c>
      <c r="Q360" t="str">
        <f>IF(M360&lt;ASSUMPTIONS!$D$10,"New (0-2)",IF(M360&lt;=ASSUMPTIONS!$D$11,"Early (2-5)",IF(M360&lt;=ASSUMPTIONS!$D$12,"Established (5-10)","Veteran (10+)")))</f>
        <v>New (0-2)</v>
      </c>
      <c r="R360" s="4">
        <f t="shared" si="11"/>
        <v>3.6666666666666665</v>
      </c>
    </row>
    <row r="361" spans="1:18">
      <c r="A361">
        <f>RAW_DATA!A361</f>
        <v>36</v>
      </c>
      <c r="B361" t="str">
        <f>RAW_DATA!B361</f>
        <v>No</v>
      </c>
      <c r="C361" t="str">
        <f>RAW_DATA!C361</f>
        <v>Sales</v>
      </c>
      <c r="D361">
        <f>RAW_DATA!D361</f>
        <v>3</v>
      </c>
      <c r="E361">
        <f>RAW_DATA!E361</f>
        <v>4</v>
      </c>
      <c r="F361" t="str">
        <f>RAW_DATA!F361</f>
        <v>Medical</v>
      </c>
      <c r="G361">
        <f>RAW_DATA!G361</f>
        <v>1</v>
      </c>
      <c r="H361">
        <f>RAW_DATA!H361</f>
        <v>4</v>
      </c>
      <c r="I361" t="str">
        <f>RAW_DATA!I361</f>
        <v>Married</v>
      </c>
      <c r="J361">
        <f>RAW_DATA!J361</f>
        <v>9699</v>
      </c>
      <c r="K361">
        <f>RAW_DATA!K361</f>
        <v>4</v>
      </c>
      <c r="L361">
        <f>RAW_DATA!L361</f>
        <v>3</v>
      </c>
      <c r="M361">
        <f>RAW_DATA!M361</f>
        <v>13</v>
      </c>
      <c r="N361">
        <f t="shared" si="10"/>
        <v>0</v>
      </c>
      <c r="O361" t="str" cm="1">
        <f t="array" ref="O361" xml:space="preserve"> _xlfn.IFS(A361 &lt;ASSUMPTIONS!$D$2,"25",A361 &lt;= ASSUMPTIONS!$D$3,"25-34",A361 &lt;= ASSUMPTIONS!$D$4, "35-44",A361 &lt;= ASSUMPTIONS!$D$5,"45-54",TRUE,"55+")</f>
        <v>35-44</v>
      </c>
      <c r="P361" t="str" cm="1">
        <f t="array" ref="P361">_xlfn.IFS( J361 &lt;ASSUMPTIONS!$D$7,"LOW",J361 &lt;= ASSUMPTIONS!$D$8,"MEDIUM",TRUE, "HIGH")</f>
        <v>HIGH</v>
      </c>
      <c r="Q361" t="str">
        <f>IF(M361&lt;ASSUMPTIONS!$D$10,"New (0-2)",IF(M361&lt;=ASSUMPTIONS!$D$11,"Early (2-5)",IF(M361&lt;=ASSUMPTIONS!$D$12,"Established (5-10)","Veteran (10+)")))</f>
        <v>Veteran (10+)</v>
      </c>
      <c r="R361" s="4">
        <f t="shared" si="11"/>
        <v>2.6666666666666665</v>
      </c>
    </row>
    <row r="362" spans="1:18">
      <c r="A362">
        <f>RAW_DATA!A362</f>
        <v>57</v>
      </c>
      <c r="B362" t="str">
        <f>RAW_DATA!B362</f>
        <v>No</v>
      </c>
      <c r="C362" t="str">
        <f>RAW_DATA!C362</f>
        <v>Research &amp; Development</v>
      </c>
      <c r="D362">
        <f>RAW_DATA!D362</f>
        <v>1</v>
      </c>
      <c r="E362">
        <f>RAW_DATA!E362</f>
        <v>4</v>
      </c>
      <c r="F362" t="str">
        <f>RAW_DATA!F362</f>
        <v>Medical</v>
      </c>
      <c r="G362">
        <f>RAW_DATA!G362</f>
        <v>4</v>
      </c>
      <c r="H362">
        <f>RAW_DATA!H362</f>
        <v>3</v>
      </c>
      <c r="I362" t="str">
        <f>RAW_DATA!I362</f>
        <v>Married</v>
      </c>
      <c r="J362">
        <f>RAW_DATA!J362</f>
        <v>6755</v>
      </c>
      <c r="K362">
        <f>RAW_DATA!K362</f>
        <v>2</v>
      </c>
      <c r="L362">
        <f>RAW_DATA!L362</f>
        <v>3</v>
      </c>
      <c r="M362">
        <f>RAW_DATA!M362</f>
        <v>3</v>
      </c>
      <c r="N362">
        <f t="shared" si="10"/>
        <v>0</v>
      </c>
      <c r="O362" t="str" cm="1">
        <f t="array" ref="O362" xml:space="preserve"> _xlfn.IFS(A362 &lt;ASSUMPTIONS!$D$2,"25",A362 &lt;= ASSUMPTIONS!$D$3,"25-34",A362 &lt;= ASSUMPTIONS!$D$4, "35-44",A362 &lt;= ASSUMPTIONS!$D$5,"45-54",TRUE,"55+")</f>
        <v>55+</v>
      </c>
      <c r="P362" t="str" cm="1">
        <f t="array" ref="P362">_xlfn.IFS( J362 &lt;ASSUMPTIONS!$D$7,"LOW",J362 &lt;= ASSUMPTIONS!$D$8,"MEDIUM",TRUE, "HIGH")</f>
        <v>MEDIUM</v>
      </c>
      <c r="Q362" t="str">
        <f>IF(M362&lt;ASSUMPTIONS!$D$10,"New (0-2)",IF(M362&lt;=ASSUMPTIONS!$D$11,"Early (2-5)",IF(M362&lt;=ASSUMPTIONS!$D$12,"Established (5-10)","Veteran (10+)")))</f>
        <v>Early (2-5)</v>
      </c>
      <c r="R362" s="4">
        <f t="shared" si="11"/>
        <v>3.3333333333333335</v>
      </c>
    </row>
    <row r="363" spans="1:18">
      <c r="A363">
        <f>RAW_DATA!A363</f>
        <v>40</v>
      </c>
      <c r="B363" t="str">
        <f>RAW_DATA!B363</f>
        <v>No</v>
      </c>
      <c r="C363" t="str">
        <f>RAW_DATA!C363</f>
        <v>Research &amp; Development</v>
      </c>
      <c r="D363">
        <f>RAW_DATA!D363</f>
        <v>10</v>
      </c>
      <c r="E363">
        <f>RAW_DATA!E363</f>
        <v>4</v>
      </c>
      <c r="F363" t="str">
        <f>RAW_DATA!F363</f>
        <v>Life Sciences</v>
      </c>
      <c r="G363">
        <f>RAW_DATA!G363</f>
        <v>4</v>
      </c>
      <c r="H363">
        <f>RAW_DATA!H363</f>
        <v>3</v>
      </c>
      <c r="I363" t="str">
        <f>RAW_DATA!I363</f>
        <v>Married</v>
      </c>
      <c r="J363">
        <f>RAW_DATA!J363</f>
        <v>2213</v>
      </c>
      <c r="K363">
        <f>RAW_DATA!K363</f>
        <v>3</v>
      </c>
      <c r="L363">
        <f>RAW_DATA!L363</f>
        <v>3</v>
      </c>
      <c r="M363">
        <f>RAW_DATA!M363</f>
        <v>7</v>
      </c>
      <c r="N363">
        <f t="shared" si="10"/>
        <v>0</v>
      </c>
      <c r="O363" t="str" cm="1">
        <f t="array" ref="O363" xml:space="preserve"> _xlfn.IFS(A363 &lt;ASSUMPTIONS!$D$2,"25",A363 &lt;= ASSUMPTIONS!$D$3,"25-34",A363 &lt;= ASSUMPTIONS!$D$4, "35-44",A363 &lt;= ASSUMPTIONS!$D$5,"45-54",TRUE,"55+")</f>
        <v>35-44</v>
      </c>
      <c r="P363" t="str" cm="1">
        <f t="array" ref="P363">_xlfn.IFS( J363 &lt;ASSUMPTIONS!$D$7,"LOW",J363 &lt;= ASSUMPTIONS!$D$8,"MEDIUM",TRUE, "HIGH")</f>
        <v>LOW</v>
      </c>
      <c r="Q363" t="str">
        <f>IF(M363&lt;ASSUMPTIONS!$D$10,"New (0-2)",IF(M363&lt;=ASSUMPTIONS!$D$11,"Early (2-5)",IF(M363&lt;=ASSUMPTIONS!$D$12,"Established (5-10)","Veteran (10+)")))</f>
        <v>Established (5-10)</v>
      </c>
      <c r="R363" s="4">
        <f t="shared" si="11"/>
        <v>3.3333333333333335</v>
      </c>
    </row>
    <row r="364" spans="1:18">
      <c r="A364">
        <f>RAW_DATA!A364</f>
        <v>21</v>
      </c>
      <c r="B364" t="str">
        <f>RAW_DATA!B364</f>
        <v>No</v>
      </c>
      <c r="C364" t="str">
        <f>RAW_DATA!C364</f>
        <v>Sales</v>
      </c>
      <c r="D364">
        <f>RAW_DATA!D364</f>
        <v>9</v>
      </c>
      <c r="E364">
        <f>RAW_DATA!E364</f>
        <v>2</v>
      </c>
      <c r="F364" t="str">
        <f>RAW_DATA!F364</f>
        <v>Medical</v>
      </c>
      <c r="G364">
        <f>RAW_DATA!G364</f>
        <v>1</v>
      </c>
      <c r="H364">
        <f>RAW_DATA!H364</f>
        <v>4</v>
      </c>
      <c r="I364" t="str">
        <f>RAW_DATA!I364</f>
        <v>Single</v>
      </c>
      <c r="J364">
        <f>RAW_DATA!J364</f>
        <v>2610</v>
      </c>
      <c r="K364">
        <f>RAW_DATA!K364</f>
        <v>1</v>
      </c>
      <c r="L364">
        <f>RAW_DATA!L364</f>
        <v>2</v>
      </c>
      <c r="M364">
        <f>RAW_DATA!M364</f>
        <v>3</v>
      </c>
      <c r="N364">
        <f t="shared" si="10"/>
        <v>0</v>
      </c>
      <c r="O364" t="str" cm="1">
        <f t="array" ref="O364" xml:space="preserve"> _xlfn.IFS(A364 &lt;ASSUMPTIONS!$D$2,"25",A364 &lt;= ASSUMPTIONS!$D$3,"25-34",A364 &lt;= ASSUMPTIONS!$D$4, "35-44",A364 &lt;= ASSUMPTIONS!$D$5,"45-54",TRUE,"55+")</f>
        <v>25</v>
      </c>
      <c r="P364" t="str" cm="1">
        <f t="array" ref="P364">_xlfn.IFS( J364 &lt;ASSUMPTIONS!$D$7,"LOW",J364 &lt;= ASSUMPTIONS!$D$8,"MEDIUM",TRUE, "HIGH")</f>
        <v>LOW</v>
      </c>
      <c r="Q364" t="str">
        <f>IF(M364&lt;ASSUMPTIONS!$D$10,"New (0-2)",IF(M364&lt;=ASSUMPTIONS!$D$11,"Early (2-5)",IF(M364&lt;=ASSUMPTIONS!$D$12,"Established (5-10)","Veteran (10+)")))</f>
        <v>Early (2-5)</v>
      </c>
      <c r="R364" s="4">
        <f t="shared" si="11"/>
        <v>2.3333333333333335</v>
      </c>
    </row>
    <row r="365" spans="1:18">
      <c r="A365">
        <f>RAW_DATA!A365</f>
        <v>33</v>
      </c>
      <c r="B365" t="str">
        <f>RAW_DATA!B365</f>
        <v>Yes</v>
      </c>
      <c r="C365" t="str">
        <f>RAW_DATA!C365</f>
        <v>Sales</v>
      </c>
      <c r="D365">
        <f>RAW_DATA!D365</f>
        <v>5</v>
      </c>
      <c r="E365">
        <f>RAW_DATA!E365</f>
        <v>3</v>
      </c>
      <c r="F365" t="str">
        <f>RAW_DATA!F365</f>
        <v>Marketing</v>
      </c>
      <c r="G365">
        <f>RAW_DATA!G365</f>
        <v>4</v>
      </c>
      <c r="H365">
        <f>RAW_DATA!H365</f>
        <v>3</v>
      </c>
      <c r="I365" t="str">
        <f>RAW_DATA!I365</f>
        <v>Single</v>
      </c>
      <c r="J365">
        <f>RAW_DATA!J365</f>
        <v>2851</v>
      </c>
      <c r="K365">
        <f>RAW_DATA!K365</f>
        <v>1</v>
      </c>
      <c r="L365">
        <f>RAW_DATA!L365</f>
        <v>3</v>
      </c>
      <c r="M365">
        <f>RAW_DATA!M365</f>
        <v>1</v>
      </c>
      <c r="N365">
        <f t="shared" si="10"/>
        <v>1</v>
      </c>
      <c r="O365" t="str" cm="1">
        <f t="array" ref="O365" xml:space="preserve"> _xlfn.IFS(A365 &lt;ASSUMPTIONS!$D$2,"25",A365 &lt;= ASSUMPTIONS!$D$3,"25-34",A365 &lt;= ASSUMPTIONS!$D$4, "35-44",A365 &lt;= ASSUMPTIONS!$D$5,"45-54",TRUE,"55+")</f>
        <v>25-34</v>
      </c>
      <c r="P365" t="str" cm="1">
        <f t="array" ref="P365">_xlfn.IFS( J365 &lt;ASSUMPTIONS!$D$7,"LOW",J365 &lt;= ASSUMPTIONS!$D$8,"MEDIUM",TRUE, "HIGH")</f>
        <v>LOW</v>
      </c>
      <c r="Q365" t="str">
        <f>IF(M365&lt;ASSUMPTIONS!$D$10,"New (0-2)",IF(M365&lt;=ASSUMPTIONS!$D$11,"Early (2-5)",IF(M365&lt;=ASSUMPTIONS!$D$12,"Established (5-10)","Veteran (10+)")))</f>
        <v>New (0-2)</v>
      </c>
      <c r="R365" s="4">
        <f t="shared" si="11"/>
        <v>3.3333333333333335</v>
      </c>
    </row>
    <row r="366" spans="1:18">
      <c r="A366">
        <f>RAW_DATA!A366</f>
        <v>37</v>
      </c>
      <c r="B366" t="str">
        <f>RAW_DATA!B366</f>
        <v>No</v>
      </c>
      <c r="C366" t="str">
        <f>RAW_DATA!C366</f>
        <v>Research &amp; Development</v>
      </c>
      <c r="D366">
        <f>RAW_DATA!D366</f>
        <v>10</v>
      </c>
      <c r="E366">
        <f>RAW_DATA!E366</f>
        <v>3</v>
      </c>
      <c r="F366" t="str">
        <f>RAW_DATA!F366</f>
        <v>Medical</v>
      </c>
      <c r="G366">
        <f>RAW_DATA!G366</f>
        <v>3</v>
      </c>
      <c r="H366">
        <f>RAW_DATA!H366</f>
        <v>1</v>
      </c>
      <c r="I366" t="str">
        <f>RAW_DATA!I366</f>
        <v>Married</v>
      </c>
      <c r="J366">
        <f>RAW_DATA!J366</f>
        <v>3452</v>
      </c>
      <c r="K366">
        <f>RAW_DATA!K366</f>
        <v>6</v>
      </c>
      <c r="L366">
        <f>RAW_DATA!L366</f>
        <v>3</v>
      </c>
      <c r="M366">
        <f>RAW_DATA!M366</f>
        <v>5</v>
      </c>
      <c r="N366">
        <f t="shared" si="10"/>
        <v>0</v>
      </c>
      <c r="O366" t="str" cm="1">
        <f t="array" ref="O366" xml:space="preserve"> _xlfn.IFS(A366 &lt;ASSUMPTIONS!$D$2,"25",A366 &lt;= ASSUMPTIONS!$D$3,"25-34",A366 &lt;= ASSUMPTIONS!$D$4, "35-44",A366 &lt;= ASSUMPTIONS!$D$5,"45-54",TRUE,"55+")</f>
        <v>35-44</v>
      </c>
      <c r="P366" t="str" cm="1">
        <f t="array" ref="P366">_xlfn.IFS( J366 &lt;ASSUMPTIONS!$D$7,"LOW",J366 &lt;= ASSUMPTIONS!$D$8,"MEDIUM",TRUE, "HIGH")</f>
        <v>MEDIUM</v>
      </c>
      <c r="Q366" t="str">
        <f>IF(M366&lt;ASSUMPTIONS!$D$10,"New (0-2)",IF(M366&lt;=ASSUMPTIONS!$D$11,"Early (2-5)",IF(M366&lt;=ASSUMPTIONS!$D$12,"Established (5-10)","Veteran (10+)")))</f>
        <v>Early (2-5)</v>
      </c>
      <c r="R366" s="4">
        <f t="shared" si="11"/>
        <v>2.3333333333333335</v>
      </c>
    </row>
    <row r="367" spans="1:18">
      <c r="A367">
        <f>RAW_DATA!A367</f>
        <v>46</v>
      </c>
      <c r="B367" t="str">
        <f>RAW_DATA!B367</f>
        <v>No</v>
      </c>
      <c r="C367" t="str">
        <f>RAW_DATA!C367</f>
        <v>Research &amp; Development</v>
      </c>
      <c r="D367">
        <f>RAW_DATA!D367</f>
        <v>7</v>
      </c>
      <c r="E367">
        <f>RAW_DATA!E367</f>
        <v>4</v>
      </c>
      <c r="F367" t="str">
        <f>RAW_DATA!F367</f>
        <v>Medical</v>
      </c>
      <c r="G367">
        <f>RAW_DATA!G367</f>
        <v>3</v>
      </c>
      <c r="H367">
        <f>RAW_DATA!H367</f>
        <v>3</v>
      </c>
      <c r="I367" t="str">
        <f>RAW_DATA!I367</f>
        <v>Married</v>
      </c>
      <c r="J367">
        <f>RAW_DATA!J367</f>
        <v>5258</v>
      </c>
      <c r="K367">
        <f>RAW_DATA!K367</f>
        <v>2</v>
      </c>
      <c r="L367">
        <f>RAW_DATA!L367</f>
        <v>4</v>
      </c>
      <c r="M367">
        <f>RAW_DATA!M367</f>
        <v>1</v>
      </c>
      <c r="N367">
        <f t="shared" si="10"/>
        <v>0</v>
      </c>
      <c r="O367" t="str" cm="1">
        <f t="array" ref="O367" xml:space="preserve"> _xlfn.IFS(A367 &lt;ASSUMPTIONS!$D$2,"25",A367 &lt;= ASSUMPTIONS!$D$3,"25-34",A367 &lt;= ASSUMPTIONS!$D$4, "35-44",A367 &lt;= ASSUMPTIONS!$D$5,"45-54",TRUE,"55+")</f>
        <v>45-54</v>
      </c>
      <c r="P367" t="str" cm="1">
        <f t="array" ref="P367">_xlfn.IFS( J367 &lt;ASSUMPTIONS!$D$7,"LOW",J367 &lt;= ASSUMPTIONS!$D$8,"MEDIUM",TRUE, "HIGH")</f>
        <v>MEDIUM</v>
      </c>
      <c r="Q367" t="str">
        <f>IF(M367&lt;ASSUMPTIONS!$D$10,"New (0-2)",IF(M367&lt;=ASSUMPTIONS!$D$11,"Early (2-5)",IF(M367&lt;=ASSUMPTIONS!$D$12,"Established (5-10)","Veteran (10+)")))</f>
        <v>New (0-2)</v>
      </c>
      <c r="R367" s="4">
        <f t="shared" si="11"/>
        <v>3.3333333333333335</v>
      </c>
    </row>
    <row r="368" spans="1:18">
      <c r="A368">
        <f>RAW_DATA!A368</f>
        <v>41</v>
      </c>
      <c r="B368" t="str">
        <f>RAW_DATA!B368</f>
        <v>Yes</v>
      </c>
      <c r="C368" t="str">
        <f>RAW_DATA!C368</f>
        <v>Sales</v>
      </c>
      <c r="D368">
        <f>RAW_DATA!D368</f>
        <v>4</v>
      </c>
      <c r="E368">
        <f>RAW_DATA!E368</f>
        <v>3</v>
      </c>
      <c r="F368" t="str">
        <f>RAW_DATA!F368</f>
        <v>Marketing</v>
      </c>
      <c r="G368">
        <f>RAW_DATA!G368</f>
        <v>1</v>
      </c>
      <c r="H368">
        <f>RAW_DATA!H368</f>
        <v>2</v>
      </c>
      <c r="I368" t="str">
        <f>RAW_DATA!I368</f>
        <v>Single</v>
      </c>
      <c r="J368">
        <f>RAW_DATA!J368</f>
        <v>9355</v>
      </c>
      <c r="K368">
        <f>RAW_DATA!K368</f>
        <v>1</v>
      </c>
      <c r="L368">
        <f>RAW_DATA!L368</f>
        <v>3</v>
      </c>
      <c r="M368">
        <f>RAW_DATA!M368</f>
        <v>8</v>
      </c>
      <c r="N368">
        <f t="shared" si="10"/>
        <v>1</v>
      </c>
      <c r="O368" t="str" cm="1">
        <f t="array" ref="O368" xml:space="preserve"> _xlfn.IFS(A368 &lt;ASSUMPTIONS!$D$2,"25",A368 &lt;= ASSUMPTIONS!$D$3,"25-34",A368 &lt;= ASSUMPTIONS!$D$4, "35-44",A368 &lt;= ASSUMPTIONS!$D$5,"45-54",TRUE,"55+")</f>
        <v>35-44</v>
      </c>
      <c r="P368" t="str" cm="1">
        <f t="array" ref="P368">_xlfn.IFS( J368 &lt;ASSUMPTIONS!$D$7,"LOW",J368 &lt;= ASSUMPTIONS!$D$8,"MEDIUM",TRUE, "HIGH")</f>
        <v>HIGH</v>
      </c>
      <c r="Q368" t="str">
        <f>IF(M368&lt;ASSUMPTIONS!$D$10,"New (0-2)",IF(M368&lt;=ASSUMPTIONS!$D$11,"Early (2-5)",IF(M368&lt;=ASSUMPTIONS!$D$12,"Established (5-10)","Veteran (10+)")))</f>
        <v>Established (5-10)</v>
      </c>
      <c r="R368" s="4">
        <f t="shared" si="11"/>
        <v>2</v>
      </c>
    </row>
    <row r="369" spans="1:18">
      <c r="A369">
        <f>RAW_DATA!A369</f>
        <v>50</v>
      </c>
      <c r="B369" t="str">
        <f>RAW_DATA!B369</f>
        <v>No</v>
      </c>
      <c r="C369" t="str">
        <f>RAW_DATA!C369</f>
        <v>Research &amp; Development</v>
      </c>
      <c r="D369">
        <f>RAW_DATA!D369</f>
        <v>10</v>
      </c>
      <c r="E369">
        <f>RAW_DATA!E369</f>
        <v>3</v>
      </c>
      <c r="F369" t="str">
        <f>RAW_DATA!F369</f>
        <v>Technical Degree</v>
      </c>
      <c r="G369">
        <f>RAW_DATA!G369</f>
        <v>4</v>
      </c>
      <c r="H369">
        <f>RAW_DATA!H369</f>
        <v>4</v>
      </c>
      <c r="I369" t="str">
        <f>RAW_DATA!I369</f>
        <v>Single</v>
      </c>
      <c r="J369">
        <f>RAW_DATA!J369</f>
        <v>10496</v>
      </c>
      <c r="K369">
        <f>RAW_DATA!K369</f>
        <v>6</v>
      </c>
      <c r="L369">
        <f>RAW_DATA!L369</f>
        <v>3</v>
      </c>
      <c r="M369">
        <f>RAW_DATA!M369</f>
        <v>4</v>
      </c>
      <c r="N369">
        <f t="shared" si="10"/>
        <v>0</v>
      </c>
      <c r="O369" t="str" cm="1">
        <f t="array" ref="O369" xml:space="preserve"> _xlfn.IFS(A369 &lt;ASSUMPTIONS!$D$2,"25",A369 &lt;= ASSUMPTIONS!$D$3,"25-34",A369 &lt;= ASSUMPTIONS!$D$4, "35-44",A369 &lt;= ASSUMPTIONS!$D$5,"45-54",TRUE,"55+")</f>
        <v>45-54</v>
      </c>
      <c r="P369" t="str" cm="1">
        <f t="array" ref="P369">_xlfn.IFS( J369 &lt;ASSUMPTIONS!$D$7,"LOW",J369 &lt;= ASSUMPTIONS!$D$8,"MEDIUM",TRUE, "HIGH")</f>
        <v>HIGH</v>
      </c>
      <c r="Q369" t="str">
        <f>IF(M369&lt;ASSUMPTIONS!$D$10,"New (0-2)",IF(M369&lt;=ASSUMPTIONS!$D$11,"Early (2-5)",IF(M369&lt;=ASSUMPTIONS!$D$12,"Established (5-10)","Veteran (10+)")))</f>
        <v>Early (2-5)</v>
      </c>
      <c r="R369" s="4">
        <f t="shared" si="11"/>
        <v>3.6666666666666665</v>
      </c>
    </row>
    <row r="370" spans="1:18">
      <c r="A370">
        <f>RAW_DATA!A370</f>
        <v>40</v>
      </c>
      <c r="B370" t="str">
        <f>RAW_DATA!B370</f>
        <v>Yes</v>
      </c>
      <c r="C370" t="str">
        <f>RAW_DATA!C370</f>
        <v>Sales</v>
      </c>
      <c r="D370">
        <f>RAW_DATA!D370</f>
        <v>22</v>
      </c>
      <c r="E370">
        <f>RAW_DATA!E370</f>
        <v>2</v>
      </c>
      <c r="F370" t="str">
        <f>RAW_DATA!F370</f>
        <v>Marketing</v>
      </c>
      <c r="G370">
        <f>RAW_DATA!G370</f>
        <v>3</v>
      </c>
      <c r="H370">
        <f>RAW_DATA!H370</f>
        <v>3</v>
      </c>
      <c r="I370" t="str">
        <f>RAW_DATA!I370</f>
        <v>Married</v>
      </c>
      <c r="J370">
        <f>RAW_DATA!J370</f>
        <v>6380</v>
      </c>
      <c r="K370">
        <f>RAW_DATA!K370</f>
        <v>2</v>
      </c>
      <c r="L370">
        <f>RAW_DATA!L370</f>
        <v>3</v>
      </c>
      <c r="M370">
        <f>RAW_DATA!M370</f>
        <v>6</v>
      </c>
      <c r="N370">
        <f t="shared" si="10"/>
        <v>1</v>
      </c>
      <c r="O370" t="str" cm="1">
        <f t="array" ref="O370" xml:space="preserve"> _xlfn.IFS(A370 &lt;ASSUMPTIONS!$D$2,"25",A370 &lt;= ASSUMPTIONS!$D$3,"25-34",A370 &lt;= ASSUMPTIONS!$D$4, "35-44",A370 &lt;= ASSUMPTIONS!$D$5,"45-54",TRUE,"55+")</f>
        <v>35-44</v>
      </c>
      <c r="P370" t="str" cm="1">
        <f t="array" ref="P370">_xlfn.IFS( J370 &lt;ASSUMPTIONS!$D$7,"LOW",J370 &lt;= ASSUMPTIONS!$D$8,"MEDIUM",TRUE, "HIGH")</f>
        <v>MEDIUM</v>
      </c>
      <c r="Q370" t="str">
        <f>IF(M370&lt;ASSUMPTIONS!$D$10,"New (0-2)",IF(M370&lt;=ASSUMPTIONS!$D$11,"Early (2-5)",IF(M370&lt;=ASSUMPTIONS!$D$12,"Established (5-10)","Veteran (10+)")))</f>
        <v>Established (5-10)</v>
      </c>
      <c r="R370" s="4">
        <f t="shared" si="11"/>
        <v>3</v>
      </c>
    </row>
    <row r="371" spans="1:18">
      <c r="A371">
        <f>RAW_DATA!A371</f>
        <v>31</v>
      </c>
      <c r="B371" t="str">
        <f>RAW_DATA!B371</f>
        <v>No</v>
      </c>
      <c r="C371" t="str">
        <f>RAW_DATA!C371</f>
        <v>Research &amp; Development</v>
      </c>
      <c r="D371">
        <f>RAW_DATA!D371</f>
        <v>9</v>
      </c>
      <c r="E371">
        <f>RAW_DATA!E371</f>
        <v>4</v>
      </c>
      <c r="F371" t="str">
        <f>RAW_DATA!F371</f>
        <v>Life Sciences</v>
      </c>
      <c r="G371">
        <f>RAW_DATA!G371</f>
        <v>3</v>
      </c>
      <c r="H371">
        <f>RAW_DATA!H371</f>
        <v>2</v>
      </c>
      <c r="I371" t="str">
        <f>RAW_DATA!I371</f>
        <v>Single</v>
      </c>
      <c r="J371">
        <f>RAW_DATA!J371</f>
        <v>2657</v>
      </c>
      <c r="K371">
        <f>RAW_DATA!K371</f>
        <v>0</v>
      </c>
      <c r="L371">
        <f>RAW_DATA!L371</f>
        <v>3</v>
      </c>
      <c r="M371">
        <f>RAW_DATA!M371</f>
        <v>2</v>
      </c>
      <c r="N371">
        <f t="shared" si="10"/>
        <v>0</v>
      </c>
      <c r="O371" t="str" cm="1">
        <f t="array" ref="O371" xml:space="preserve"> _xlfn.IFS(A371 &lt;ASSUMPTIONS!$D$2,"25",A371 &lt;= ASSUMPTIONS!$D$3,"25-34",A371 &lt;= ASSUMPTIONS!$D$4, "35-44",A371 &lt;= ASSUMPTIONS!$D$5,"45-54",TRUE,"55+")</f>
        <v>25-34</v>
      </c>
      <c r="P371" t="str" cm="1">
        <f t="array" ref="P371">_xlfn.IFS( J371 &lt;ASSUMPTIONS!$D$7,"LOW",J371 &lt;= ASSUMPTIONS!$D$8,"MEDIUM",TRUE, "HIGH")</f>
        <v>LOW</v>
      </c>
      <c r="Q371" t="str">
        <f>IF(M371&lt;ASSUMPTIONS!$D$10,"New (0-2)",IF(M371&lt;=ASSUMPTIONS!$D$11,"Early (2-5)",IF(M371&lt;=ASSUMPTIONS!$D$12,"Established (5-10)","Veteran (10+)")))</f>
        <v>Early (2-5)</v>
      </c>
      <c r="R371" s="4">
        <f t="shared" si="11"/>
        <v>2.6666666666666665</v>
      </c>
    </row>
    <row r="372" spans="1:18">
      <c r="A372">
        <f>RAW_DATA!A372</f>
        <v>21</v>
      </c>
      <c r="B372" t="str">
        <f>RAW_DATA!B372</f>
        <v>Yes</v>
      </c>
      <c r="C372" t="str">
        <f>RAW_DATA!C372</f>
        <v>Sales</v>
      </c>
      <c r="D372">
        <f>RAW_DATA!D372</f>
        <v>12</v>
      </c>
      <c r="E372">
        <f>RAW_DATA!E372</f>
        <v>3</v>
      </c>
      <c r="F372" t="str">
        <f>RAW_DATA!F372</f>
        <v>Life Sciences</v>
      </c>
      <c r="G372">
        <f>RAW_DATA!G372</f>
        <v>3</v>
      </c>
      <c r="H372">
        <f>RAW_DATA!H372</f>
        <v>2</v>
      </c>
      <c r="I372" t="str">
        <f>RAW_DATA!I372</f>
        <v>Single</v>
      </c>
      <c r="J372">
        <f>RAW_DATA!J372</f>
        <v>2716</v>
      </c>
      <c r="K372">
        <f>RAW_DATA!K372</f>
        <v>1</v>
      </c>
      <c r="L372">
        <f>RAW_DATA!L372</f>
        <v>3</v>
      </c>
      <c r="M372">
        <f>RAW_DATA!M372</f>
        <v>1</v>
      </c>
      <c r="N372">
        <f t="shared" si="10"/>
        <v>1</v>
      </c>
      <c r="O372" t="str" cm="1">
        <f t="array" ref="O372" xml:space="preserve"> _xlfn.IFS(A372 &lt;ASSUMPTIONS!$D$2,"25",A372 &lt;= ASSUMPTIONS!$D$3,"25-34",A372 &lt;= ASSUMPTIONS!$D$4, "35-44",A372 &lt;= ASSUMPTIONS!$D$5,"45-54",TRUE,"55+")</f>
        <v>25</v>
      </c>
      <c r="P372" t="str" cm="1">
        <f t="array" ref="P372">_xlfn.IFS( J372 &lt;ASSUMPTIONS!$D$7,"LOW",J372 &lt;= ASSUMPTIONS!$D$8,"MEDIUM",TRUE, "HIGH")</f>
        <v>LOW</v>
      </c>
      <c r="Q372" t="str">
        <f>IF(M372&lt;ASSUMPTIONS!$D$10,"New (0-2)",IF(M372&lt;=ASSUMPTIONS!$D$11,"Early (2-5)",IF(M372&lt;=ASSUMPTIONS!$D$12,"Established (5-10)","Veteran (10+)")))</f>
        <v>New (0-2)</v>
      </c>
      <c r="R372" s="4">
        <f t="shared" si="11"/>
        <v>2.6666666666666665</v>
      </c>
    </row>
    <row r="373" spans="1:18">
      <c r="A373">
        <f>RAW_DATA!A373</f>
        <v>29</v>
      </c>
      <c r="B373" t="str">
        <f>RAW_DATA!B373</f>
        <v>No</v>
      </c>
      <c r="C373" t="str">
        <f>RAW_DATA!C373</f>
        <v>Research &amp; Development</v>
      </c>
      <c r="D373">
        <f>RAW_DATA!D373</f>
        <v>23</v>
      </c>
      <c r="E373">
        <f>RAW_DATA!E373</f>
        <v>3</v>
      </c>
      <c r="F373" t="str">
        <f>RAW_DATA!F373</f>
        <v>Life Sciences</v>
      </c>
      <c r="G373">
        <f>RAW_DATA!G373</f>
        <v>4</v>
      </c>
      <c r="H373">
        <f>RAW_DATA!H373</f>
        <v>4</v>
      </c>
      <c r="I373" t="str">
        <f>RAW_DATA!I373</f>
        <v>Single</v>
      </c>
      <c r="J373">
        <f>RAW_DATA!J373</f>
        <v>2201</v>
      </c>
      <c r="K373">
        <f>RAW_DATA!K373</f>
        <v>9</v>
      </c>
      <c r="L373">
        <f>RAW_DATA!L373</f>
        <v>3</v>
      </c>
      <c r="M373">
        <f>RAW_DATA!M373</f>
        <v>3</v>
      </c>
      <c r="N373">
        <f t="shared" si="10"/>
        <v>0</v>
      </c>
      <c r="O373" t="str" cm="1">
        <f t="array" ref="O373" xml:space="preserve"> _xlfn.IFS(A373 &lt;ASSUMPTIONS!$D$2,"25",A373 &lt;= ASSUMPTIONS!$D$3,"25-34",A373 &lt;= ASSUMPTIONS!$D$4, "35-44",A373 &lt;= ASSUMPTIONS!$D$5,"45-54",TRUE,"55+")</f>
        <v>25-34</v>
      </c>
      <c r="P373" t="str" cm="1">
        <f t="array" ref="P373">_xlfn.IFS( J373 &lt;ASSUMPTIONS!$D$7,"LOW",J373 &lt;= ASSUMPTIONS!$D$8,"MEDIUM",TRUE, "HIGH")</f>
        <v>LOW</v>
      </c>
      <c r="Q373" t="str">
        <f>IF(M373&lt;ASSUMPTIONS!$D$10,"New (0-2)",IF(M373&lt;=ASSUMPTIONS!$D$11,"Early (2-5)",IF(M373&lt;=ASSUMPTIONS!$D$12,"Established (5-10)","Veteran (10+)")))</f>
        <v>Early (2-5)</v>
      </c>
      <c r="R373" s="4">
        <f t="shared" si="11"/>
        <v>3.6666666666666665</v>
      </c>
    </row>
    <row r="374" spans="1:18">
      <c r="A374">
        <f>RAW_DATA!A374</f>
        <v>35</v>
      </c>
      <c r="B374" t="str">
        <f>RAW_DATA!B374</f>
        <v>No</v>
      </c>
      <c r="C374" t="str">
        <f>RAW_DATA!C374</f>
        <v>Research &amp; Development</v>
      </c>
      <c r="D374">
        <f>RAW_DATA!D374</f>
        <v>9</v>
      </c>
      <c r="E374">
        <f>RAW_DATA!E374</f>
        <v>4</v>
      </c>
      <c r="F374" t="str">
        <f>RAW_DATA!F374</f>
        <v>Life Sciences</v>
      </c>
      <c r="G374">
        <f>RAW_DATA!G374</f>
        <v>3</v>
      </c>
      <c r="H374">
        <f>RAW_DATA!H374</f>
        <v>2</v>
      </c>
      <c r="I374" t="str">
        <f>RAW_DATA!I374</f>
        <v>Single</v>
      </c>
      <c r="J374">
        <f>RAW_DATA!J374</f>
        <v>6540</v>
      </c>
      <c r="K374">
        <f>RAW_DATA!K374</f>
        <v>9</v>
      </c>
      <c r="L374">
        <f>RAW_DATA!L374</f>
        <v>3</v>
      </c>
      <c r="M374">
        <f>RAW_DATA!M374</f>
        <v>1</v>
      </c>
      <c r="N374">
        <f t="shared" si="10"/>
        <v>0</v>
      </c>
      <c r="O374" t="str" cm="1">
        <f t="array" ref="O374" xml:space="preserve"> _xlfn.IFS(A374 &lt;ASSUMPTIONS!$D$2,"25",A374 &lt;= ASSUMPTIONS!$D$3,"25-34",A374 &lt;= ASSUMPTIONS!$D$4, "35-44",A374 &lt;= ASSUMPTIONS!$D$5,"45-54",TRUE,"55+")</f>
        <v>35-44</v>
      </c>
      <c r="P374" t="str" cm="1">
        <f t="array" ref="P374">_xlfn.IFS( J374 &lt;ASSUMPTIONS!$D$7,"LOW",J374 &lt;= ASSUMPTIONS!$D$8,"MEDIUM",TRUE, "HIGH")</f>
        <v>MEDIUM</v>
      </c>
      <c r="Q374" t="str">
        <f>IF(M374&lt;ASSUMPTIONS!$D$10,"New (0-2)",IF(M374&lt;=ASSUMPTIONS!$D$11,"Early (2-5)",IF(M374&lt;=ASSUMPTIONS!$D$12,"Established (5-10)","Veteran (10+)")))</f>
        <v>New (0-2)</v>
      </c>
      <c r="R374" s="4">
        <f t="shared" si="11"/>
        <v>2.6666666666666665</v>
      </c>
    </row>
    <row r="375" spans="1:18">
      <c r="A375">
        <f>RAW_DATA!A375</f>
        <v>27</v>
      </c>
      <c r="B375" t="str">
        <f>RAW_DATA!B375</f>
        <v>No</v>
      </c>
      <c r="C375" t="str">
        <f>RAW_DATA!C375</f>
        <v>Research &amp; Development</v>
      </c>
      <c r="D375">
        <f>RAW_DATA!D375</f>
        <v>1</v>
      </c>
      <c r="E375">
        <f>RAW_DATA!E375</f>
        <v>2</v>
      </c>
      <c r="F375" t="str">
        <f>RAW_DATA!F375</f>
        <v>Medical</v>
      </c>
      <c r="G375">
        <f>RAW_DATA!G375</f>
        <v>4</v>
      </c>
      <c r="H375">
        <f>RAW_DATA!H375</f>
        <v>2</v>
      </c>
      <c r="I375" t="str">
        <f>RAW_DATA!I375</f>
        <v>Divorced</v>
      </c>
      <c r="J375">
        <f>RAW_DATA!J375</f>
        <v>3816</v>
      </c>
      <c r="K375">
        <f>RAW_DATA!K375</f>
        <v>1</v>
      </c>
      <c r="L375">
        <f>RAW_DATA!L375</f>
        <v>3</v>
      </c>
      <c r="M375">
        <f>RAW_DATA!M375</f>
        <v>5</v>
      </c>
      <c r="N375">
        <f t="shared" si="10"/>
        <v>0</v>
      </c>
      <c r="O375" t="str" cm="1">
        <f t="array" ref="O375" xml:space="preserve"> _xlfn.IFS(A375 &lt;ASSUMPTIONS!$D$2,"25",A375 &lt;= ASSUMPTIONS!$D$3,"25-34",A375 &lt;= ASSUMPTIONS!$D$4, "35-44",A375 &lt;= ASSUMPTIONS!$D$5,"45-54",TRUE,"55+")</f>
        <v>25-34</v>
      </c>
      <c r="P375" t="str" cm="1">
        <f t="array" ref="P375">_xlfn.IFS( J375 &lt;ASSUMPTIONS!$D$7,"LOW",J375 &lt;= ASSUMPTIONS!$D$8,"MEDIUM",TRUE, "HIGH")</f>
        <v>MEDIUM</v>
      </c>
      <c r="Q375" t="str">
        <f>IF(M375&lt;ASSUMPTIONS!$D$10,"New (0-2)",IF(M375&lt;=ASSUMPTIONS!$D$11,"Early (2-5)",IF(M375&lt;=ASSUMPTIONS!$D$12,"Established (5-10)","Veteran (10+)")))</f>
        <v>Early (2-5)</v>
      </c>
      <c r="R375" s="4">
        <f t="shared" si="11"/>
        <v>3</v>
      </c>
    </row>
    <row r="376" spans="1:18">
      <c r="A376">
        <f>RAW_DATA!A376</f>
        <v>28</v>
      </c>
      <c r="B376" t="str">
        <f>RAW_DATA!B376</f>
        <v>No</v>
      </c>
      <c r="C376" t="str">
        <f>RAW_DATA!C376</f>
        <v>Sales</v>
      </c>
      <c r="D376">
        <f>RAW_DATA!D376</f>
        <v>9</v>
      </c>
      <c r="E376">
        <f>RAW_DATA!E376</f>
        <v>4</v>
      </c>
      <c r="F376" t="str">
        <f>RAW_DATA!F376</f>
        <v>Life Sciences</v>
      </c>
      <c r="G376">
        <f>RAW_DATA!G376</f>
        <v>2</v>
      </c>
      <c r="H376">
        <f>RAW_DATA!H376</f>
        <v>4</v>
      </c>
      <c r="I376" t="str">
        <f>RAW_DATA!I376</f>
        <v>Single</v>
      </c>
      <c r="J376">
        <f>RAW_DATA!J376</f>
        <v>5253</v>
      </c>
      <c r="K376">
        <f>RAW_DATA!K376</f>
        <v>1</v>
      </c>
      <c r="L376">
        <f>RAW_DATA!L376</f>
        <v>3</v>
      </c>
      <c r="M376">
        <f>RAW_DATA!M376</f>
        <v>7</v>
      </c>
      <c r="N376">
        <f t="shared" si="10"/>
        <v>0</v>
      </c>
      <c r="O376" t="str" cm="1">
        <f t="array" ref="O376" xml:space="preserve"> _xlfn.IFS(A376 &lt;ASSUMPTIONS!$D$2,"25",A376 &lt;= ASSUMPTIONS!$D$3,"25-34",A376 &lt;= ASSUMPTIONS!$D$4, "35-44",A376 &lt;= ASSUMPTIONS!$D$5,"45-54",TRUE,"55+")</f>
        <v>25-34</v>
      </c>
      <c r="P376" t="str" cm="1">
        <f t="array" ref="P376">_xlfn.IFS( J376 &lt;ASSUMPTIONS!$D$7,"LOW",J376 &lt;= ASSUMPTIONS!$D$8,"MEDIUM",TRUE, "HIGH")</f>
        <v>MEDIUM</v>
      </c>
      <c r="Q376" t="str">
        <f>IF(M376&lt;ASSUMPTIONS!$D$10,"New (0-2)",IF(M376&lt;=ASSUMPTIONS!$D$11,"Early (2-5)",IF(M376&lt;=ASSUMPTIONS!$D$12,"Established (5-10)","Veteran (10+)")))</f>
        <v>Established (5-10)</v>
      </c>
      <c r="R376" s="4">
        <f t="shared" si="11"/>
        <v>3</v>
      </c>
    </row>
    <row r="377" spans="1:18">
      <c r="A377">
        <f>RAW_DATA!A377</f>
        <v>49</v>
      </c>
      <c r="B377" t="str">
        <f>RAW_DATA!B377</f>
        <v>No</v>
      </c>
      <c r="C377" t="str">
        <f>RAW_DATA!C377</f>
        <v>Research &amp; Development</v>
      </c>
      <c r="D377">
        <f>RAW_DATA!D377</f>
        <v>7</v>
      </c>
      <c r="E377">
        <f>RAW_DATA!E377</f>
        <v>3</v>
      </c>
      <c r="F377" t="str">
        <f>RAW_DATA!F377</f>
        <v>Other</v>
      </c>
      <c r="G377">
        <f>RAW_DATA!G377</f>
        <v>2</v>
      </c>
      <c r="H377">
        <f>RAW_DATA!H377</f>
        <v>3</v>
      </c>
      <c r="I377" t="str">
        <f>RAW_DATA!I377</f>
        <v>Single</v>
      </c>
      <c r="J377">
        <f>RAW_DATA!J377</f>
        <v>10965</v>
      </c>
      <c r="K377">
        <f>RAW_DATA!K377</f>
        <v>8</v>
      </c>
      <c r="L377">
        <f>RAW_DATA!L377</f>
        <v>3</v>
      </c>
      <c r="M377">
        <f>RAW_DATA!M377</f>
        <v>5</v>
      </c>
      <c r="N377">
        <f t="shared" si="10"/>
        <v>0</v>
      </c>
      <c r="O377" t="str" cm="1">
        <f t="array" ref="O377" xml:space="preserve"> _xlfn.IFS(A377 &lt;ASSUMPTIONS!$D$2,"25",A377 &lt;= ASSUMPTIONS!$D$3,"25-34",A377 &lt;= ASSUMPTIONS!$D$4, "35-44",A377 &lt;= ASSUMPTIONS!$D$5,"45-54",TRUE,"55+")</f>
        <v>45-54</v>
      </c>
      <c r="P377" t="str" cm="1">
        <f t="array" ref="P377">_xlfn.IFS( J377 &lt;ASSUMPTIONS!$D$7,"LOW",J377 &lt;= ASSUMPTIONS!$D$8,"MEDIUM",TRUE, "HIGH")</f>
        <v>HIGH</v>
      </c>
      <c r="Q377" t="str">
        <f>IF(M377&lt;ASSUMPTIONS!$D$10,"New (0-2)",IF(M377&lt;=ASSUMPTIONS!$D$11,"Early (2-5)",IF(M377&lt;=ASSUMPTIONS!$D$12,"Established (5-10)","Veteran (10+)")))</f>
        <v>Early (2-5)</v>
      </c>
      <c r="R377" s="4">
        <f t="shared" si="11"/>
        <v>2.6666666666666665</v>
      </c>
    </row>
    <row r="378" spans="1:18">
      <c r="A378">
        <f>RAW_DATA!A378</f>
        <v>51</v>
      </c>
      <c r="B378" t="str">
        <f>RAW_DATA!B378</f>
        <v>No</v>
      </c>
      <c r="C378" t="str">
        <f>RAW_DATA!C378</f>
        <v>Sales</v>
      </c>
      <c r="D378">
        <f>RAW_DATA!D378</f>
        <v>14</v>
      </c>
      <c r="E378">
        <f>RAW_DATA!E378</f>
        <v>2</v>
      </c>
      <c r="F378" t="str">
        <f>RAW_DATA!F378</f>
        <v>Life Sciences</v>
      </c>
      <c r="G378">
        <f>RAW_DATA!G378</f>
        <v>3</v>
      </c>
      <c r="H378">
        <f>RAW_DATA!H378</f>
        <v>4</v>
      </c>
      <c r="I378" t="str">
        <f>RAW_DATA!I378</f>
        <v>Married</v>
      </c>
      <c r="J378">
        <f>RAW_DATA!J378</f>
        <v>4936</v>
      </c>
      <c r="K378">
        <f>RAW_DATA!K378</f>
        <v>4</v>
      </c>
      <c r="L378">
        <f>RAW_DATA!L378</f>
        <v>2</v>
      </c>
      <c r="M378">
        <f>RAW_DATA!M378</f>
        <v>7</v>
      </c>
      <c r="N378">
        <f t="shared" si="10"/>
        <v>0</v>
      </c>
      <c r="O378" t="str" cm="1">
        <f t="array" ref="O378" xml:space="preserve"> _xlfn.IFS(A378 &lt;ASSUMPTIONS!$D$2,"25",A378 &lt;= ASSUMPTIONS!$D$3,"25-34",A378 &lt;= ASSUMPTIONS!$D$4, "35-44",A378 &lt;= ASSUMPTIONS!$D$5,"45-54",TRUE,"55+")</f>
        <v>45-54</v>
      </c>
      <c r="P378" t="str" cm="1">
        <f t="array" ref="P378">_xlfn.IFS( J378 &lt;ASSUMPTIONS!$D$7,"LOW",J378 &lt;= ASSUMPTIONS!$D$8,"MEDIUM",TRUE, "HIGH")</f>
        <v>MEDIUM</v>
      </c>
      <c r="Q378" t="str">
        <f>IF(M378&lt;ASSUMPTIONS!$D$10,"New (0-2)",IF(M378&lt;=ASSUMPTIONS!$D$11,"Early (2-5)",IF(M378&lt;=ASSUMPTIONS!$D$12,"Established (5-10)","Veteran (10+)")))</f>
        <v>Established (5-10)</v>
      </c>
      <c r="R378" s="4">
        <f t="shared" si="11"/>
        <v>3</v>
      </c>
    </row>
    <row r="379" spans="1:18">
      <c r="A379">
        <f>RAW_DATA!A379</f>
        <v>36</v>
      </c>
      <c r="B379" t="str">
        <f>RAW_DATA!B379</f>
        <v>No</v>
      </c>
      <c r="C379" t="str">
        <f>RAW_DATA!C379</f>
        <v>Research &amp; Development</v>
      </c>
      <c r="D379">
        <f>RAW_DATA!D379</f>
        <v>2</v>
      </c>
      <c r="E379">
        <f>RAW_DATA!E379</f>
        <v>3</v>
      </c>
      <c r="F379" t="str">
        <f>RAW_DATA!F379</f>
        <v>Life Sciences</v>
      </c>
      <c r="G379">
        <f>RAW_DATA!G379</f>
        <v>4</v>
      </c>
      <c r="H379">
        <f>RAW_DATA!H379</f>
        <v>3</v>
      </c>
      <c r="I379" t="str">
        <f>RAW_DATA!I379</f>
        <v>Married</v>
      </c>
      <c r="J379">
        <f>RAW_DATA!J379</f>
        <v>2543</v>
      </c>
      <c r="K379">
        <f>RAW_DATA!K379</f>
        <v>4</v>
      </c>
      <c r="L379">
        <f>RAW_DATA!L379</f>
        <v>3</v>
      </c>
      <c r="M379">
        <f>RAW_DATA!M379</f>
        <v>2</v>
      </c>
      <c r="N379">
        <f t="shared" si="10"/>
        <v>0</v>
      </c>
      <c r="O379" t="str" cm="1">
        <f t="array" ref="O379" xml:space="preserve"> _xlfn.IFS(A379 &lt;ASSUMPTIONS!$D$2,"25",A379 &lt;= ASSUMPTIONS!$D$3,"25-34",A379 &lt;= ASSUMPTIONS!$D$4, "35-44",A379 &lt;= ASSUMPTIONS!$D$5,"45-54",TRUE,"55+")</f>
        <v>35-44</v>
      </c>
      <c r="P379" t="str" cm="1">
        <f t="array" ref="P379">_xlfn.IFS( J379 &lt;ASSUMPTIONS!$D$7,"LOW",J379 &lt;= ASSUMPTIONS!$D$8,"MEDIUM",TRUE, "HIGH")</f>
        <v>LOW</v>
      </c>
      <c r="Q379" t="str">
        <f>IF(M379&lt;ASSUMPTIONS!$D$10,"New (0-2)",IF(M379&lt;=ASSUMPTIONS!$D$11,"Early (2-5)",IF(M379&lt;=ASSUMPTIONS!$D$12,"Established (5-10)","Veteran (10+)")))</f>
        <v>Early (2-5)</v>
      </c>
      <c r="R379" s="4">
        <f t="shared" si="11"/>
        <v>3.3333333333333335</v>
      </c>
    </row>
    <row r="380" spans="1:18">
      <c r="A380">
        <f>RAW_DATA!A380</f>
        <v>34</v>
      </c>
      <c r="B380" t="str">
        <f>RAW_DATA!B380</f>
        <v>Yes</v>
      </c>
      <c r="C380" t="str">
        <f>RAW_DATA!C380</f>
        <v>Sales</v>
      </c>
      <c r="D380">
        <f>RAW_DATA!D380</f>
        <v>19</v>
      </c>
      <c r="E380">
        <f>RAW_DATA!E380</f>
        <v>3</v>
      </c>
      <c r="F380" t="str">
        <f>RAW_DATA!F380</f>
        <v>Marketing</v>
      </c>
      <c r="G380">
        <f>RAW_DATA!G380</f>
        <v>1</v>
      </c>
      <c r="H380">
        <f>RAW_DATA!H380</f>
        <v>4</v>
      </c>
      <c r="I380" t="str">
        <f>RAW_DATA!I380</f>
        <v>Single</v>
      </c>
      <c r="J380">
        <f>RAW_DATA!J380</f>
        <v>5304</v>
      </c>
      <c r="K380">
        <f>RAW_DATA!K380</f>
        <v>8</v>
      </c>
      <c r="L380">
        <f>RAW_DATA!L380</f>
        <v>2</v>
      </c>
      <c r="M380">
        <f>RAW_DATA!M380</f>
        <v>5</v>
      </c>
      <c r="N380">
        <f t="shared" si="10"/>
        <v>1</v>
      </c>
      <c r="O380" t="str" cm="1">
        <f t="array" ref="O380" xml:space="preserve"> _xlfn.IFS(A380 &lt;ASSUMPTIONS!$D$2,"25",A380 &lt;= ASSUMPTIONS!$D$3,"25-34",A380 &lt;= ASSUMPTIONS!$D$4, "35-44",A380 &lt;= ASSUMPTIONS!$D$5,"45-54",TRUE,"55+")</f>
        <v>25-34</v>
      </c>
      <c r="P380" t="str" cm="1">
        <f t="array" ref="P380">_xlfn.IFS( J380 &lt;ASSUMPTIONS!$D$7,"LOW",J380 &lt;= ASSUMPTIONS!$D$8,"MEDIUM",TRUE, "HIGH")</f>
        <v>MEDIUM</v>
      </c>
      <c r="Q380" t="str">
        <f>IF(M380&lt;ASSUMPTIONS!$D$10,"New (0-2)",IF(M380&lt;=ASSUMPTIONS!$D$11,"Early (2-5)",IF(M380&lt;=ASSUMPTIONS!$D$12,"Established (5-10)","Veteran (10+)")))</f>
        <v>Early (2-5)</v>
      </c>
      <c r="R380" s="4">
        <f t="shared" si="11"/>
        <v>2.3333333333333335</v>
      </c>
    </row>
    <row r="381" spans="1:18">
      <c r="A381">
        <f>RAW_DATA!A381</f>
        <v>55</v>
      </c>
      <c r="B381" t="str">
        <f>RAW_DATA!B381</f>
        <v>No</v>
      </c>
      <c r="C381" t="str">
        <f>RAW_DATA!C381</f>
        <v>Research &amp; Development</v>
      </c>
      <c r="D381">
        <f>RAW_DATA!D381</f>
        <v>2</v>
      </c>
      <c r="E381">
        <f>RAW_DATA!E381</f>
        <v>3</v>
      </c>
      <c r="F381" t="str">
        <f>RAW_DATA!F381</f>
        <v>Life Sciences</v>
      </c>
      <c r="G381">
        <f>RAW_DATA!G381</f>
        <v>3</v>
      </c>
      <c r="H381">
        <f>RAW_DATA!H381</f>
        <v>4</v>
      </c>
      <c r="I381" t="str">
        <f>RAW_DATA!I381</f>
        <v>Single</v>
      </c>
      <c r="J381">
        <f>RAW_DATA!J381</f>
        <v>16659</v>
      </c>
      <c r="K381">
        <f>RAW_DATA!K381</f>
        <v>2</v>
      </c>
      <c r="L381">
        <f>RAW_DATA!L381</f>
        <v>3</v>
      </c>
      <c r="M381">
        <f>RAW_DATA!M381</f>
        <v>5</v>
      </c>
      <c r="N381">
        <f t="shared" si="10"/>
        <v>0</v>
      </c>
      <c r="O381" t="str" cm="1">
        <f t="array" ref="O381" xml:space="preserve"> _xlfn.IFS(A381 &lt;ASSUMPTIONS!$D$2,"25",A381 &lt;= ASSUMPTIONS!$D$3,"25-34",A381 &lt;= ASSUMPTIONS!$D$4, "35-44",A381 &lt;= ASSUMPTIONS!$D$5,"45-54",TRUE,"55+")</f>
        <v>55+</v>
      </c>
      <c r="P381" t="str" cm="1">
        <f t="array" ref="P381">_xlfn.IFS( J381 &lt;ASSUMPTIONS!$D$7,"LOW",J381 &lt;= ASSUMPTIONS!$D$8,"MEDIUM",TRUE, "HIGH")</f>
        <v>HIGH</v>
      </c>
      <c r="Q381" t="str">
        <f>IF(M381&lt;ASSUMPTIONS!$D$10,"New (0-2)",IF(M381&lt;=ASSUMPTIONS!$D$11,"Early (2-5)",IF(M381&lt;=ASSUMPTIONS!$D$12,"Established (5-10)","Veteran (10+)")))</f>
        <v>Early (2-5)</v>
      </c>
      <c r="R381" s="4">
        <f t="shared" si="11"/>
        <v>3.3333333333333335</v>
      </c>
    </row>
    <row r="382" spans="1:18">
      <c r="A382">
        <f>RAW_DATA!A382</f>
        <v>24</v>
      </c>
      <c r="B382" t="str">
        <f>RAW_DATA!B382</f>
        <v>No</v>
      </c>
      <c r="C382" t="str">
        <f>RAW_DATA!C382</f>
        <v>Sales</v>
      </c>
      <c r="D382">
        <f>RAW_DATA!D382</f>
        <v>10</v>
      </c>
      <c r="E382">
        <f>RAW_DATA!E382</f>
        <v>4</v>
      </c>
      <c r="F382" t="str">
        <f>RAW_DATA!F382</f>
        <v>Marketing</v>
      </c>
      <c r="G382">
        <f>RAW_DATA!G382</f>
        <v>4</v>
      </c>
      <c r="H382">
        <f>RAW_DATA!H382</f>
        <v>3</v>
      </c>
      <c r="I382" t="str">
        <f>RAW_DATA!I382</f>
        <v>Divorced</v>
      </c>
      <c r="J382">
        <f>RAW_DATA!J382</f>
        <v>4260</v>
      </c>
      <c r="K382">
        <f>RAW_DATA!K382</f>
        <v>1</v>
      </c>
      <c r="L382">
        <f>RAW_DATA!L382</f>
        <v>4</v>
      </c>
      <c r="M382">
        <f>RAW_DATA!M382</f>
        <v>5</v>
      </c>
      <c r="N382">
        <f t="shared" si="10"/>
        <v>0</v>
      </c>
      <c r="O382" t="str" cm="1">
        <f t="array" ref="O382" xml:space="preserve"> _xlfn.IFS(A382 &lt;ASSUMPTIONS!$D$2,"25",A382 &lt;= ASSUMPTIONS!$D$3,"25-34",A382 &lt;= ASSUMPTIONS!$D$4, "35-44",A382 &lt;= ASSUMPTIONS!$D$5,"45-54",TRUE,"55+")</f>
        <v>25</v>
      </c>
      <c r="P382" t="str" cm="1">
        <f t="array" ref="P382">_xlfn.IFS( J382 &lt;ASSUMPTIONS!$D$7,"LOW",J382 &lt;= ASSUMPTIONS!$D$8,"MEDIUM",TRUE, "HIGH")</f>
        <v>MEDIUM</v>
      </c>
      <c r="Q382" t="str">
        <f>IF(M382&lt;ASSUMPTIONS!$D$10,"New (0-2)",IF(M382&lt;=ASSUMPTIONS!$D$11,"Early (2-5)",IF(M382&lt;=ASSUMPTIONS!$D$12,"Established (5-10)","Veteran (10+)")))</f>
        <v>Early (2-5)</v>
      </c>
      <c r="R382" s="4">
        <f t="shared" si="11"/>
        <v>3.6666666666666665</v>
      </c>
    </row>
    <row r="383" spans="1:18">
      <c r="A383">
        <f>RAW_DATA!A383</f>
        <v>30</v>
      </c>
      <c r="B383" t="str">
        <f>RAW_DATA!B383</f>
        <v>No</v>
      </c>
      <c r="C383" t="str">
        <f>RAW_DATA!C383</f>
        <v>Sales</v>
      </c>
      <c r="D383">
        <f>RAW_DATA!D383</f>
        <v>2</v>
      </c>
      <c r="E383">
        <f>RAW_DATA!E383</f>
        <v>1</v>
      </c>
      <c r="F383" t="str">
        <f>RAW_DATA!F383</f>
        <v>Technical Degree</v>
      </c>
      <c r="G383">
        <f>RAW_DATA!G383</f>
        <v>3</v>
      </c>
      <c r="H383">
        <f>RAW_DATA!H383</f>
        <v>2</v>
      </c>
      <c r="I383" t="str">
        <f>RAW_DATA!I383</f>
        <v>Married</v>
      </c>
      <c r="J383">
        <f>RAW_DATA!J383</f>
        <v>2476</v>
      </c>
      <c r="K383">
        <f>RAW_DATA!K383</f>
        <v>1</v>
      </c>
      <c r="L383">
        <f>RAW_DATA!L383</f>
        <v>3</v>
      </c>
      <c r="M383">
        <f>RAW_DATA!M383</f>
        <v>1</v>
      </c>
      <c r="N383">
        <f t="shared" si="10"/>
        <v>0</v>
      </c>
      <c r="O383" t="str" cm="1">
        <f t="array" ref="O383" xml:space="preserve"> _xlfn.IFS(A383 &lt;ASSUMPTIONS!$D$2,"25",A383 &lt;= ASSUMPTIONS!$D$3,"25-34",A383 &lt;= ASSUMPTIONS!$D$4, "35-44",A383 &lt;= ASSUMPTIONS!$D$5,"45-54",TRUE,"55+")</f>
        <v>25-34</v>
      </c>
      <c r="P383" t="str" cm="1">
        <f t="array" ref="P383">_xlfn.IFS( J383 &lt;ASSUMPTIONS!$D$7,"LOW",J383 &lt;= ASSUMPTIONS!$D$8,"MEDIUM",TRUE, "HIGH")</f>
        <v>LOW</v>
      </c>
      <c r="Q383" t="str">
        <f>IF(M383&lt;ASSUMPTIONS!$D$10,"New (0-2)",IF(M383&lt;=ASSUMPTIONS!$D$11,"Early (2-5)",IF(M383&lt;=ASSUMPTIONS!$D$12,"Established (5-10)","Veteran (10+)")))</f>
        <v>New (0-2)</v>
      </c>
      <c r="R383" s="4">
        <f t="shared" si="11"/>
        <v>2.6666666666666665</v>
      </c>
    </row>
    <row r="384" spans="1:18">
      <c r="A384">
        <f>RAW_DATA!A384</f>
        <v>26</v>
      </c>
      <c r="B384" t="str">
        <f>RAW_DATA!B384</f>
        <v>Yes</v>
      </c>
      <c r="C384" t="str">
        <f>RAW_DATA!C384</f>
        <v>Research &amp; Development</v>
      </c>
      <c r="D384">
        <f>RAW_DATA!D384</f>
        <v>3</v>
      </c>
      <c r="E384">
        <f>RAW_DATA!E384</f>
        <v>1</v>
      </c>
      <c r="F384" t="str">
        <f>RAW_DATA!F384</f>
        <v>Technical Degree</v>
      </c>
      <c r="G384">
        <f>RAW_DATA!G384</f>
        <v>3</v>
      </c>
      <c r="H384">
        <f>RAW_DATA!H384</f>
        <v>1</v>
      </c>
      <c r="I384" t="str">
        <f>RAW_DATA!I384</f>
        <v>Single</v>
      </c>
      <c r="J384">
        <f>RAW_DATA!J384</f>
        <v>3102</v>
      </c>
      <c r="K384">
        <f>RAW_DATA!K384</f>
        <v>0</v>
      </c>
      <c r="L384">
        <f>RAW_DATA!L384</f>
        <v>3</v>
      </c>
      <c r="M384">
        <f>RAW_DATA!M384</f>
        <v>6</v>
      </c>
      <c r="N384">
        <f t="shared" si="10"/>
        <v>1</v>
      </c>
      <c r="O384" t="str" cm="1">
        <f t="array" ref="O384" xml:space="preserve"> _xlfn.IFS(A384 &lt;ASSUMPTIONS!$D$2,"25",A384 &lt;= ASSUMPTIONS!$D$3,"25-34",A384 &lt;= ASSUMPTIONS!$D$4, "35-44",A384 &lt;= ASSUMPTIONS!$D$5,"45-54",TRUE,"55+")</f>
        <v>25-34</v>
      </c>
      <c r="P384" t="str" cm="1">
        <f t="array" ref="P384">_xlfn.IFS( J384 &lt;ASSUMPTIONS!$D$7,"LOW",J384 &lt;= ASSUMPTIONS!$D$8,"MEDIUM",TRUE, "HIGH")</f>
        <v>MEDIUM</v>
      </c>
      <c r="Q384" t="str">
        <f>IF(M384&lt;ASSUMPTIONS!$D$10,"New (0-2)",IF(M384&lt;=ASSUMPTIONS!$D$11,"Early (2-5)",IF(M384&lt;=ASSUMPTIONS!$D$12,"Established (5-10)","Veteran (10+)")))</f>
        <v>Established (5-10)</v>
      </c>
      <c r="R384" s="4">
        <f t="shared" si="11"/>
        <v>2.3333333333333335</v>
      </c>
    </row>
    <row r="385" spans="1:18">
      <c r="A385">
        <f>RAW_DATA!A385</f>
        <v>22</v>
      </c>
      <c r="B385" t="str">
        <f>RAW_DATA!B385</f>
        <v>No</v>
      </c>
      <c r="C385" t="str">
        <f>RAW_DATA!C385</f>
        <v>Research &amp; Development</v>
      </c>
      <c r="D385">
        <f>RAW_DATA!D385</f>
        <v>11</v>
      </c>
      <c r="E385">
        <f>RAW_DATA!E385</f>
        <v>3</v>
      </c>
      <c r="F385" t="str">
        <f>RAW_DATA!F385</f>
        <v>Medical</v>
      </c>
      <c r="G385">
        <f>RAW_DATA!G385</f>
        <v>1</v>
      </c>
      <c r="H385">
        <f>RAW_DATA!H385</f>
        <v>2</v>
      </c>
      <c r="I385" t="str">
        <f>RAW_DATA!I385</f>
        <v>Married</v>
      </c>
      <c r="J385">
        <f>RAW_DATA!J385</f>
        <v>2244</v>
      </c>
      <c r="K385">
        <f>RAW_DATA!K385</f>
        <v>1</v>
      </c>
      <c r="L385">
        <f>RAW_DATA!L385</f>
        <v>3</v>
      </c>
      <c r="M385">
        <f>RAW_DATA!M385</f>
        <v>2</v>
      </c>
      <c r="N385">
        <f t="shared" si="10"/>
        <v>0</v>
      </c>
      <c r="O385" t="str" cm="1">
        <f t="array" ref="O385" xml:space="preserve"> _xlfn.IFS(A385 &lt;ASSUMPTIONS!$D$2,"25",A385 &lt;= ASSUMPTIONS!$D$3,"25-34",A385 &lt;= ASSUMPTIONS!$D$4, "35-44",A385 &lt;= ASSUMPTIONS!$D$5,"45-54",TRUE,"55+")</f>
        <v>25</v>
      </c>
      <c r="P385" t="str" cm="1">
        <f t="array" ref="P385">_xlfn.IFS( J385 &lt;ASSUMPTIONS!$D$7,"LOW",J385 &lt;= ASSUMPTIONS!$D$8,"MEDIUM",TRUE, "HIGH")</f>
        <v>LOW</v>
      </c>
      <c r="Q385" t="str">
        <f>IF(M385&lt;ASSUMPTIONS!$D$10,"New (0-2)",IF(M385&lt;=ASSUMPTIONS!$D$11,"Early (2-5)",IF(M385&lt;=ASSUMPTIONS!$D$12,"Established (5-10)","Veteran (10+)")))</f>
        <v>Early (2-5)</v>
      </c>
      <c r="R385" s="4">
        <f t="shared" si="11"/>
        <v>2</v>
      </c>
    </row>
    <row r="386" spans="1:18">
      <c r="A386">
        <f>RAW_DATA!A386</f>
        <v>36</v>
      </c>
      <c r="B386" t="str">
        <f>RAW_DATA!B386</f>
        <v>No</v>
      </c>
      <c r="C386" t="str">
        <f>RAW_DATA!C386</f>
        <v>Sales</v>
      </c>
      <c r="D386">
        <f>RAW_DATA!D386</f>
        <v>2</v>
      </c>
      <c r="E386">
        <f>RAW_DATA!E386</f>
        <v>2</v>
      </c>
      <c r="F386" t="str">
        <f>RAW_DATA!F386</f>
        <v>Medical</v>
      </c>
      <c r="G386">
        <f>RAW_DATA!G386</f>
        <v>2</v>
      </c>
      <c r="H386">
        <f>RAW_DATA!H386</f>
        <v>3</v>
      </c>
      <c r="I386" t="str">
        <f>RAW_DATA!I386</f>
        <v>Married</v>
      </c>
      <c r="J386">
        <f>RAW_DATA!J386</f>
        <v>7596</v>
      </c>
      <c r="K386">
        <f>RAW_DATA!K386</f>
        <v>1</v>
      </c>
      <c r="L386">
        <f>RAW_DATA!L386</f>
        <v>3</v>
      </c>
      <c r="M386">
        <f>RAW_DATA!M386</f>
        <v>10</v>
      </c>
      <c r="N386">
        <f t="shared" si="10"/>
        <v>0</v>
      </c>
      <c r="O386" t="str" cm="1">
        <f t="array" ref="O386" xml:space="preserve"> _xlfn.IFS(A386 &lt;ASSUMPTIONS!$D$2,"25",A386 &lt;= ASSUMPTIONS!$D$3,"25-34",A386 &lt;= ASSUMPTIONS!$D$4, "35-44",A386 &lt;= ASSUMPTIONS!$D$5,"45-54",TRUE,"55+")</f>
        <v>35-44</v>
      </c>
      <c r="P386" t="str" cm="1">
        <f t="array" ref="P386">_xlfn.IFS( J386 &lt;ASSUMPTIONS!$D$7,"LOW",J386 &lt;= ASSUMPTIONS!$D$8,"MEDIUM",TRUE, "HIGH")</f>
        <v>HIGH</v>
      </c>
      <c r="Q386" t="str">
        <f>IF(M386&lt;ASSUMPTIONS!$D$10,"New (0-2)",IF(M386&lt;=ASSUMPTIONS!$D$11,"Early (2-5)",IF(M386&lt;=ASSUMPTIONS!$D$12,"Established (5-10)","Veteran (10+)")))</f>
        <v>Established (5-10)</v>
      </c>
      <c r="R386" s="4">
        <f t="shared" si="11"/>
        <v>2.6666666666666665</v>
      </c>
    </row>
    <row r="387" spans="1:18">
      <c r="A387">
        <f>RAW_DATA!A387</f>
        <v>30</v>
      </c>
      <c r="B387" t="str">
        <f>RAW_DATA!B387</f>
        <v>Yes</v>
      </c>
      <c r="C387" t="str">
        <f>RAW_DATA!C387</f>
        <v>Research &amp; Development</v>
      </c>
      <c r="D387">
        <f>RAW_DATA!D387</f>
        <v>4</v>
      </c>
      <c r="E387">
        <f>RAW_DATA!E387</f>
        <v>3</v>
      </c>
      <c r="F387" t="str">
        <f>RAW_DATA!F387</f>
        <v>Technical Degree</v>
      </c>
      <c r="G387">
        <f>RAW_DATA!G387</f>
        <v>3</v>
      </c>
      <c r="H387">
        <f>RAW_DATA!H387</f>
        <v>4</v>
      </c>
      <c r="I387" t="str">
        <f>RAW_DATA!I387</f>
        <v>Single</v>
      </c>
      <c r="J387">
        <f>RAW_DATA!J387</f>
        <v>2285</v>
      </c>
      <c r="K387">
        <f>RAW_DATA!K387</f>
        <v>9</v>
      </c>
      <c r="L387">
        <f>RAW_DATA!L387</f>
        <v>3</v>
      </c>
      <c r="M387">
        <f>RAW_DATA!M387</f>
        <v>1</v>
      </c>
      <c r="N387">
        <f t="shared" ref="N387:N450" si="12" xml:space="preserve"> IF(B387 ="Yes",1,0)</f>
        <v>1</v>
      </c>
      <c r="O387" t="str" cm="1">
        <f t="array" ref="O387" xml:space="preserve"> _xlfn.IFS(A387 &lt;ASSUMPTIONS!$D$2,"25",A387 &lt;= ASSUMPTIONS!$D$3,"25-34",A387 &lt;= ASSUMPTIONS!$D$4, "35-44",A387 &lt;= ASSUMPTIONS!$D$5,"45-54",TRUE,"55+")</f>
        <v>25-34</v>
      </c>
      <c r="P387" t="str" cm="1">
        <f t="array" ref="P387">_xlfn.IFS( J387 &lt;ASSUMPTIONS!$D$7,"LOW",J387 &lt;= ASSUMPTIONS!$D$8,"MEDIUM",TRUE, "HIGH")</f>
        <v>LOW</v>
      </c>
      <c r="Q387" t="str">
        <f>IF(M387&lt;ASSUMPTIONS!$D$10,"New (0-2)",IF(M387&lt;=ASSUMPTIONS!$D$11,"Early (2-5)",IF(M387&lt;=ASSUMPTIONS!$D$12,"Established (5-10)","Veteran (10+)")))</f>
        <v>New (0-2)</v>
      </c>
      <c r="R387" s="4">
        <f t="shared" ref="R387:R450" si="13">AVERAGE(G387,H387,L387)</f>
        <v>3.3333333333333335</v>
      </c>
    </row>
    <row r="388" spans="1:18">
      <c r="A388">
        <f>RAW_DATA!A388</f>
        <v>37</v>
      </c>
      <c r="B388" t="str">
        <f>RAW_DATA!B388</f>
        <v>No</v>
      </c>
      <c r="C388" t="str">
        <f>RAW_DATA!C388</f>
        <v>Research &amp; Development</v>
      </c>
      <c r="D388">
        <f>RAW_DATA!D388</f>
        <v>14</v>
      </c>
      <c r="E388">
        <f>RAW_DATA!E388</f>
        <v>3</v>
      </c>
      <c r="F388" t="str">
        <f>RAW_DATA!F388</f>
        <v>Life Sciences</v>
      </c>
      <c r="G388">
        <f>RAW_DATA!G388</f>
        <v>4</v>
      </c>
      <c r="H388">
        <f>RAW_DATA!H388</f>
        <v>1</v>
      </c>
      <c r="I388" t="str">
        <f>RAW_DATA!I388</f>
        <v>Divorced</v>
      </c>
      <c r="J388">
        <f>RAW_DATA!J388</f>
        <v>3034</v>
      </c>
      <c r="K388">
        <f>RAW_DATA!K388</f>
        <v>1</v>
      </c>
      <c r="L388">
        <f>RAW_DATA!L388</f>
        <v>2</v>
      </c>
      <c r="M388">
        <f>RAW_DATA!M388</f>
        <v>18</v>
      </c>
      <c r="N388">
        <f t="shared" si="12"/>
        <v>0</v>
      </c>
      <c r="O388" t="str" cm="1">
        <f t="array" ref="O388" xml:space="preserve"> _xlfn.IFS(A388 &lt;ASSUMPTIONS!$D$2,"25",A388 &lt;= ASSUMPTIONS!$D$3,"25-34",A388 &lt;= ASSUMPTIONS!$D$4, "35-44",A388 &lt;= ASSUMPTIONS!$D$5,"45-54",TRUE,"55+")</f>
        <v>35-44</v>
      </c>
      <c r="P388" t="str" cm="1">
        <f t="array" ref="P388">_xlfn.IFS( J388 &lt;ASSUMPTIONS!$D$7,"LOW",J388 &lt;= ASSUMPTIONS!$D$8,"MEDIUM",TRUE, "HIGH")</f>
        <v>MEDIUM</v>
      </c>
      <c r="Q388" t="str">
        <f>IF(M388&lt;ASSUMPTIONS!$D$10,"New (0-2)",IF(M388&lt;=ASSUMPTIONS!$D$11,"Early (2-5)",IF(M388&lt;=ASSUMPTIONS!$D$12,"Established (5-10)","Veteran (10+)")))</f>
        <v>Veteran (10+)</v>
      </c>
      <c r="R388" s="4">
        <f t="shared" si="13"/>
        <v>2.3333333333333335</v>
      </c>
    </row>
    <row r="389" spans="1:18">
      <c r="A389">
        <f>RAW_DATA!A389</f>
        <v>40</v>
      </c>
      <c r="B389" t="str">
        <f>RAW_DATA!B389</f>
        <v>No</v>
      </c>
      <c r="C389" t="str">
        <f>RAW_DATA!C389</f>
        <v>Sales</v>
      </c>
      <c r="D389">
        <f>RAW_DATA!D389</f>
        <v>2</v>
      </c>
      <c r="E389">
        <f>RAW_DATA!E389</f>
        <v>2</v>
      </c>
      <c r="F389" t="str">
        <f>RAW_DATA!F389</f>
        <v>Marketing</v>
      </c>
      <c r="G389">
        <f>RAW_DATA!G389</f>
        <v>4</v>
      </c>
      <c r="H389">
        <f>RAW_DATA!H389</f>
        <v>2</v>
      </c>
      <c r="I389" t="str">
        <f>RAW_DATA!I389</f>
        <v>Divorced</v>
      </c>
      <c r="J389">
        <f>RAW_DATA!J389</f>
        <v>5715</v>
      </c>
      <c r="K389">
        <f>RAW_DATA!K389</f>
        <v>7</v>
      </c>
      <c r="L389">
        <f>RAW_DATA!L389</f>
        <v>3</v>
      </c>
      <c r="M389">
        <f>RAW_DATA!M389</f>
        <v>5</v>
      </c>
      <c r="N389">
        <f t="shared" si="12"/>
        <v>0</v>
      </c>
      <c r="O389" t="str" cm="1">
        <f t="array" ref="O389" xml:space="preserve"> _xlfn.IFS(A389 &lt;ASSUMPTIONS!$D$2,"25",A389 &lt;= ASSUMPTIONS!$D$3,"25-34",A389 &lt;= ASSUMPTIONS!$D$4, "35-44",A389 &lt;= ASSUMPTIONS!$D$5,"45-54",TRUE,"55+")</f>
        <v>35-44</v>
      </c>
      <c r="P389" t="str" cm="1">
        <f t="array" ref="P389">_xlfn.IFS( J389 &lt;ASSUMPTIONS!$D$7,"LOW",J389 &lt;= ASSUMPTIONS!$D$8,"MEDIUM",TRUE, "HIGH")</f>
        <v>MEDIUM</v>
      </c>
      <c r="Q389" t="str">
        <f>IF(M389&lt;ASSUMPTIONS!$D$10,"New (0-2)",IF(M389&lt;=ASSUMPTIONS!$D$11,"Early (2-5)",IF(M389&lt;=ASSUMPTIONS!$D$12,"Established (5-10)","Veteran (10+)")))</f>
        <v>Early (2-5)</v>
      </c>
      <c r="R389" s="4">
        <f t="shared" si="13"/>
        <v>3</v>
      </c>
    </row>
    <row r="390" spans="1:18">
      <c r="A390">
        <f>RAW_DATA!A390</f>
        <v>42</v>
      </c>
      <c r="B390" t="str">
        <f>RAW_DATA!B390</f>
        <v>No</v>
      </c>
      <c r="C390" t="str">
        <f>RAW_DATA!C390</f>
        <v>Research &amp; Development</v>
      </c>
      <c r="D390">
        <f>RAW_DATA!D390</f>
        <v>1</v>
      </c>
      <c r="E390">
        <f>RAW_DATA!E390</f>
        <v>4</v>
      </c>
      <c r="F390" t="str">
        <f>RAW_DATA!F390</f>
        <v>Life Sciences</v>
      </c>
      <c r="G390">
        <f>RAW_DATA!G390</f>
        <v>2</v>
      </c>
      <c r="H390">
        <f>RAW_DATA!H390</f>
        <v>1</v>
      </c>
      <c r="I390" t="str">
        <f>RAW_DATA!I390</f>
        <v>Divorced</v>
      </c>
      <c r="J390">
        <f>RAW_DATA!J390</f>
        <v>2576</v>
      </c>
      <c r="K390">
        <f>RAW_DATA!K390</f>
        <v>3</v>
      </c>
      <c r="L390">
        <f>RAW_DATA!L390</f>
        <v>3</v>
      </c>
      <c r="M390">
        <f>RAW_DATA!M390</f>
        <v>5</v>
      </c>
      <c r="N390">
        <f t="shared" si="12"/>
        <v>0</v>
      </c>
      <c r="O390" t="str" cm="1">
        <f t="array" ref="O390" xml:space="preserve"> _xlfn.IFS(A390 &lt;ASSUMPTIONS!$D$2,"25",A390 &lt;= ASSUMPTIONS!$D$3,"25-34",A390 &lt;= ASSUMPTIONS!$D$4, "35-44",A390 &lt;= ASSUMPTIONS!$D$5,"45-54",TRUE,"55+")</f>
        <v>35-44</v>
      </c>
      <c r="P390" t="str" cm="1">
        <f t="array" ref="P390">_xlfn.IFS( J390 &lt;ASSUMPTIONS!$D$7,"LOW",J390 &lt;= ASSUMPTIONS!$D$8,"MEDIUM",TRUE, "HIGH")</f>
        <v>LOW</v>
      </c>
      <c r="Q390" t="str">
        <f>IF(M390&lt;ASSUMPTIONS!$D$10,"New (0-2)",IF(M390&lt;=ASSUMPTIONS!$D$11,"Early (2-5)",IF(M390&lt;=ASSUMPTIONS!$D$12,"Established (5-10)","Veteran (10+)")))</f>
        <v>Early (2-5)</v>
      </c>
      <c r="R390" s="4">
        <f t="shared" si="13"/>
        <v>2</v>
      </c>
    </row>
    <row r="391" spans="1:18">
      <c r="A391">
        <f>RAW_DATA!A391</f>
        <v>37</v>
      </c>
      <c r="B391" t="str">
        <f>RAW_DATA!B391</f>
        <v>No</v>
      </c>
      <c r="C391" t="str">
        <f>RAW_DATA!C391</f>
        <v>Research &amp; Development</v>
      </c>
      <c r="D391">
        <f>RAW_DATA!D391</f>
        <v>10</v>
      </c>
      <c r="E391">
        <f>RAW_DATA!E391</f>
        <v>4</v>
      </c>
      <c r="F391" t="str">
        <f>RAW_DATA!F391</f>
        <v>Life Sciences</v>
      </c>
      <c r="G391">
        <f>RAW_DATA!G391</f>
        <v>3</v>
      </c>
      <c r="H391">
        <f>RAW_DATA!H391</f>
        <v>2</v>
      </c>
      <c r="I391" t="str">
        <f>RAW_DATA!I391</f>
        <v>Single</v>
      </c>
      <c r="J391">
        <f>RAW_DATA!J391</f>
        <v>4197</v>
      </c>
      <c r="K391">
        <f>RAW_DATA!K391</f>
        <v>2</v>
      </c>
      <c r="L391">
        <f>RAW_DATA!L391</f>
        <v>2</v>
      </c>
      <c r="M391">
        <f>RAW_DATA!M391</f>
        <v>1</v>
      </c>
      <c r="N391">
        <f t="shared" si="12"/>
        <v>0</v>
      </c>
      <c r="O391" t="str" cm="1">
        <f t="array" ref="O391" xml:space="preserve"> _xlfn.IFS(A391 &lt;ASSUMPTIONS!$D$2,"25",A391 &lt;= ASSUMPTIONS!$D$3,"25-34",A391 &lt;= ASSUMPTIONS!$D$4, "35-44",A391 &lt;= ASSUMPTIONS!$D$5,"45-54",TRUE,"55+")</f>
        <v>35-44</v>
      </c>
      <c r="P391" t="str" cm="1">
        <f t="array" ref="P391">_xlfn.IFS( J391 &lt;ASSUMPTIONS!$D$7,"LOW",J391 &lt;= ASSUMPTIONS!$D$8,"MEDIUM",TRUE, "HIGH")</f>
        <v>MEDIUM</v>
      </c>
      <c r="Q391" t="str">
        <f>IF(M391&lt;ASSUMPTIONS!$D$10,"New (0-2)",IF(M391&lt;=ASSUMPTIONS!$D$11,"Early (2-5)",IF(M391&lt;=ASSUMPTIONS!$D$12,"Established (5-10)","Veteran (10+)")))</f>
        <v>New (0-2)</v>
      </c>
      <c r="R391" s="4">
        <f t="shared" si="13"/>
        <v>2.3333333333333335</v>
      </c>
    </row>
    <row r="392" spans="1:18">
      <c r="A392">
        <f>RAW_DATA!A392</f>
        <v>43</v>
      </c>
      <c r="B392" t="str">
        <f>RAW_DATA!B392</f>
        <v>No</v>
      </c>
      <c r="C392" t="str">
        <f>RAW_DATA!C392</f>
        <v>Research &amp; Development</v>
      </c>
      <c r="D392">
        <f>RAW_DATA!D392</f>
        <v>12</v>
      </c>
      <c r="E392">
        <f>RAW_DATA!E392</f>
        <v>3</v>
      </c>
      <c r="F392" t="str">
        <f>RAW_DATA!F392</f>
        <v>Life Sciences</v>
      </c>
      <c r="G392">
        <f>RAW_DATA!G392</f>
        <v>1</v>
      </c>
      <c r="H392">
        <f>RAW_DATA!H392</f>
        <v>2</v>
      </c>
      <c r="I392" t="str">
        <f>RAW_DATA!I392</f>
        <v>Divorced</v>
      </c>
      <c r="J392">
        <f>RAW_DATA!J392</f>
        <v>14336</v>
      </c>
      <c r="K392">
        <f>RAW_DATA!K392</f>
        <v>1</v>
      </c>
      <c r="L392">
        <f>RAW_DATA!L392</f>
        <v>3</v>
      </c>
      <c r="M392">
        <f>RAW_DATA!M392</f>
        <v>25</v>
      </c>
      <c r="N392">
        <f t="shared" si="12"/>
        <v>0</v>
      </c>
      <c r="O392" t="str" cm="1">
        <f t="array" ref="O392" xml:space="preserve"> _xlfn.IFS(A392 &lt;ASSUMPTIONS!$D$2,"25",A392 &lt;= ASSUMPTIONS!$D$3,"25-34",A392 &lt;= ASSUMPTIONS!$D$4, "35-44",A392 &lt;= ASSUMPTIONS!$D$5,"45-54",TRUE,"55+")</f>
        <v>35-44</v>
      </c>
      <c r="P392" t="str" cm="1">
        <f t="array" ref="P392">_xlfn.IFS( J392 &lt;ASSUMPTIONS!$D$7,"LOW",J392 &lt;= ASSUMPTIONS!$D$8,"MEDIUM",TRUE, "HIGH")</f>
        <v>HIGH</v>
      </c>
      <c r="Q392" t="str">
        <f>IF(M392&lt;ASSUMPTIONS!$D$10,"New (0-2)",IF(M392&lt;=ASSUMPTIONS!$D$11,"Early (2-5)",IF(M392&lt;=ASSUMPTIONS!$D$12,"Established (5-10)","Veteran (10+)")))</f>
        <v>Veteran (10+)</v>
      </c>
      <c r="R392" s="4">
        <f t="shared" si="13"/>
        <v>2</v>
      </c>
    </row>
    <row r="393" spans="1:18">
      <c r="A393">
        <f>RAW_DATA!A393</f>
        <v>40</v>
      </c>
      <c r="B393" t="str">
        <f>RAW_DATA!B393</f>
        <v>No</v>
      </c>
      <c r="C393" t="str">
        <f>RAW_DATA!C393</f>
        <v>Research &amp; Development</v>
      </c>
      <c r="D393">
        <f>RAW_DATA!D393</f>
        <v>2</v>
      </c>
      <c r="E393">
        <f>RAW_DATA!E393</f>
        <v>3</v>
      </c>
      <c r="F393" t="str">
        <f>RAW_DATA!F393</f>
        <v>Medical</v>
      </c>
      <c r="G393">
        <f>RAW_DATA!G393</f>
        <v>2</v>
      </c>
      <c r="H393">
        <f>RAW_DATA!H393</f>
        <v>3</v>
      </c>
      <c r="I393" t="str">
        <f>RAW_DATA!I393</f>
        <v>Married</v>
      </c>
      <c r="J393">
        <f>RAW_DATA!J393</f>
        <v>3448</v>
      </c>
      <c r="K393">
        <f>RAW_DATA!K393</f>
        <v>6</v>
      </c>
      <c r="L393">
        <f>RAW_DATA!L393</f>
        <v>3</v>
      </c>
      <c r="M393">
        <f>RAW_DATA!M393</f>
        <v>1</v>
      </c>
      <c r="N393">
        <f t="shared" si="12"/>
        <v>0</v>
      </c>
      <c r="O393" t="str" cm="1">
        <f t="array" ref="O393" xml:space="preserve"> _xlfn.IFS(A393 &lt;ASSUMPTIONS!$D$2,"25",A393 &lt;= ASSUMPTIONS!$D$3,"25-34",A393 &lt;= ASSUMPTIONS!$D$4, "35-44",A393 &lt;= ASSUMPTIONS!$D$5,"45-54",TRUE,"55+")</f>
        <v>35-44</v>
      </c>
      <c r="P393" t="str" cm="1">
        <f t="array" ref="P393">_xlfn.IFS( J393 &lt;ASSUMPTIONS!$D$7,"LOW",J393 &lt;= ASSUMPTIONS!$D$8,"MEDIUM",TRUE, "HIGH")</f>
        <v>MEDIUM</v>
      </c>
      <c r="Q393" t="str">
        <f>IF(M393&lt;ASSUMPTIONS!$D$10,"New (0-2)",IF(M393&lt;=ASSUMPTIONS!$D$11,"Early (2-5)",IF(M393&lt;=ASSUMPTIONS!$D$12,"Established (5-10)","Veteran (10+)")))</f>
        <v>New (0-2)</v>
      </c>
      <c r="R393" s="4">
        <f t="shared" si="13"/>
        <v>2.6666666666666665</v>
      </c>
    </row>
    <row r="394" spans="1:18">
      <c r="A394">
        <f>RAW_DATA!A394</f>
        <v>54</v>
      </c>
      <c r="B394" t="str">
        <f>RAW_DATA!B394</f>
        <v>No</v>
      </c>
      <c r="C394" t="str">
        <f>RAW_DATA!C394</f>
        <v>Research &amp; Development</v>
      </c>
      <c r="D394">
        <f>RAW_DATA!D394</f>
        <v>5</v>
      </c>
      <c r="E394">
        <f>RAW_DATA!E394</f>
        <v>2</v>
      </c>
      <c r="F394" t="str">
        <f>RAW_DATA!F394</f>
        <v>Medical</v>
      </c>
      <c r="G394">
        <f>RAW_DATA!G394</f>
        <v>1</v>
      </c>
      <c r="H394">
        <f>RAW_DATA!H394</f>
        <v>1</v>
      </c>
      <c r="I394" t="str">
        <f>RAW_DATA!I394</f>
        <v>Married</v>
      </c>
      <c r="J394">
        <f>RAW_DATA!J394</f>
        <v>19406</v>
      </c>
      <c r="K394">
        <f>RAW_DATA!K394</f>
        <v>4</v>
      </c>
      <c r="L394">
        <f>RAW_DATA!L394</f>
        <v>2</v>
      </c>
      <c r="M394">
        <f>RAW_DATA!M394</f>
        <v>4</v>
      </c>
      <c r="N394">
        <f t="shared" si="12"/>
        <v>0</v>
      </c>
      <c r="O394" t="str" cm="1">
        <f t="array" ref="O394" xml:space="preserve"> _xlfn.IFS(A394 &lt;ASSUMPTIONS!$D$2,"25",A394 &lt;= ASSUMPTIONS!$D$3,"25-34",A394 &lt;= ASSUMPTIONS!$D$4, "35-44",A394 &lt;= ASSUMPTIONS!$D$5,"45-54",TRUE,"55+")</f>
        <v>45-54</v>
      </c>
      <c r="P394" t="str" cm="1">
        <f t="array" ref="P394">_xlfn.IFS( J394 &lt;ASSUMPTIONS!$D$7,"LOW",J394 &lt;= ASSUMPTIONS!$D$8,"MEDIUM",TRUE, "HIGH")</f>
        <v>HIGH</v>
      </c>
      <c r="Q394" t="str">
        <f>IF(M394&lt;ASSUMPTIONS!$D$10,"New (0-2)",IF(M394&lt;=ASSUMPTIONS!$D$11,"Early (2-5)",IF(M394&lt;=ASSUMPTIONS!$D$12,"Established (5-10)","Veteran (10+)")))</f>
        <v>Early (2-5)</v>
      </c>
      <c r="R394" s="4">
        <f t="shared" si="13"/>
        <v>1.3333333333333333</v>
      </c>
    </row>
    <row r="395" spans="1:18">
      <c r="A395">
        <f>RAW_DATA!A395</f>
        <v>34</v>
      </c>
      <c r="B395" t="str">
        <f>RAW_DATA!B395</f>
        <v>No</v>
      </c>
      <c r="C395" t="str">
        <f>RAW_DATA!C395</f>
        <v>Sales</v>
      </c>
      <c r="D395">
        <f>RAW_DATA!D395</f>
        <v>4</v>
      </c>
      <c r="E395">
        <f>RAW_DATA!E395</f>
        <v>4</v>
      </c>
      <c r="F395" t="str">
        <f>RAW_DATA!F395</f>
        <v>Marketing</v>
      </c>
      <c r="G395">
        <f>RAW_DATA!G395</f>
        <v>3</v>
      </c>
      <c r="H395">
        <f>RAW_DATA!H395</f>
        <v>3</v>
      </c>
      <c r="I395" t="str">
        <f>RAW_DATA!I395</f>
        <v>Married</v>
      </c>
      <c r="J395">
        <f>RAW_DATA!J395</f>
        <v>6538</v>
      </c>
      <c r="K395">
        <f>RAW_DATA!K395</f>
        <v>9</v>
      </c>
      <c r="L395">
        <f>RAW_DATA!L395</f>
        <v>3</v>
      </c>
      <c r="M395">
        <f>RAW_DATA!M395</f>
        <v>3</v>
      </c>
      <c r="N395">
        <f t="shared" si="12"/>
        <v>0</v>
      </c>
      <c r="O395" t="str" cm="1">
        <f t="array" ref="O395" xml:space="preserve"> _xlfn.IFS(A395 &lt;ASSUMPTIONS!$D$2,"25",A395 &lt;= ASSUMPTIONS!$D$3,"25-34",A395 &lt;= ASSUMPTIONS!$D$4, "35-44",A395 &lt;= ASSUMPTIONS!$D$5,"45-54",TRUE,"55+")</f>
        <v>25-34</v>
      </c>
      <c r="P395" t="str" cm="1">
        <f t="array" ref="P395">_xlfn.IFS( J395 &lt;ASSUMPTIONS!$D$7,"LOW",J395 &lt;= ASSUMPTIONS!$D$8,"MEDIUM",TRUE, "HIGH")</f>
        <v>MEDIUM</v>
      </c>
      <c r="Q395" t="str">
        <f>IF(M395&lt;ASSUMPTIONS!$D$10,"New (0-2)",IF(M395&lt;=ASSUMPTIONS!$D$11,"Early (2-5)",IF(M395&lt;=ASSUMPTIONS!$D$12,"Established (5-10)","Veteran (10+)")))</f>
        <v>Early (2-5)</v>
      </c>
      <c r="R395" s="4">
        <f t="shared" si="13"/>
        <v>3</v>
      </c>
    </row>
    <row r="396" spans="1:18">
      <c r="A396">
        <f>RAW_DATA!A396</f>
        <v>31</v>
      </c>
      <c r="B396" t="str">
        <f>RAW_DATA!B396</f>
        <v>No</v>
      </c>
      <c r="C396" t="str">
        <f>RAW_DATA!C396</f>
        <v>Research &amp; Development</v>
      </c>
      <c r="D396">
        <f>RAW_DATA!D396</f>
        <v>7</v>
      </c>
      <c r="E396">
        <f>RAW_DATA!E396</f>
        <v>2</v>
      </c>
      <c r="F396" t="str">
        <f>RAW_DATA!F396</f>
        <v>Medical</v>
      </c>
      <c r="G396">
        <f>RAW_DATA!G396</f>
        <v>2</v>
      </c>
      <c r="H396">
        <f>RAW_DATA!H396</f>
        <v>1</v>
      </c>
      <c r="I396" t="str">
        <f>RAW_DATA!I396</f>
        <v>Married</v>
      </c>
      <c r="J396">
        <f>RAW_DATA!J396</f>
        <v>4306</v>
      </c>
      <c r="K396">
        <f>RAW_DATA!K396</f>
        <v>1</v>
      </c>
      <c r="L396">
        <f>RAW_DATA!L396</f>
        <v>1</v>
      </c>
      <c r="M396">
        <f>RAW_DATA!M396</f>
        <v>13</v>
      </c>
      <c r="N396">
        <f t="shared" si="12"/>
        <v>0</v>
      </c>
      <c r="O396" t="str" cm="1">
        <f t="array" ref="O396" xml:space="preserve"> _xlfn.IFS(A396 &lt;ASSUMPTIONS!$D$2,"25",A396 &lt;= ASSUMPTIONS!$D$3,"25-34",A396 &lt;= ASSUMPTIONS!$D$4, "35-44",A396 &lt;= ASSUMPTIONS!$D$5,"45-54",TRUE,"55+")</f>
        <v>25-34</v>
      </c>
      <c r="P396" t="str" cm="1">
        <f t="array" ref="P396">_xlfn.IFS( J396 &lt;ASSUMPTIONS!$D$7,"LOW",J396 &lt;= ASSUMPTIONS!$D$8,"MEDIUM",TRUE, "HIGH")</f>
        <v>MEDIUM</v>
      </c>
      <c r="Q396" t="str">
        <f>IF(M396&lt;ASSUMPTIONS!$D$10,"New (0-2)",IF(M396&lt;=ASSUMPTIONS!$D$11,"Early (2-5)",IF(M396&lt;=ASSUMPTIONS!$D$12,"Established (5-10)","Veteran (10+)")))</f>
        <v>Veteran (10+)</v>
      </c>
      <c r="R396" s="4">
        <f t="shared" si="13"/>
        <v>1.3333333333333333</v>
      </c>
    </row>
    <row r="397" spans="1:18">
      <c r="A397">
        <f>RAW_DATA!A397</f>
        <v>43</v>
      </c>
      <c r="B397" t="str">
        <f>RAW_DATA!B397</f>
        <v>No</v>
      </c>
      <c r="C397" t="str">
        <f>RAW_DATA!C397</f>
        <v>Research &amp; Development</v>
      </c>
      <c r="D397">
        <f>RAW_DATA!D397</f>
        <v>21</v>
      </c>
      <c r="E397">
        <f>RAW_DATA!E397</f>
        <v>3</v>
      </c>
      <c r="F397" t="str">
        <f>RAW_DATA!F397</f>
        <v>Medical</v>
      </c>
      <c r="G397">
        <f>RAW_DATA!G397</f>
        <v>4</v>
      </c>
      <c r="H397">
        <f>RAW_DATA!H397</f>
        <v>4</v>
      </c>
      <c r="I397" t="str">
        <f>RAW_DATA!I397</f>
        <v>Married</v>
      </c>
      <c r="J397">
        <f>RAW_DATA!J397</f>
        <v>2258</v>
      </c>
      <c r="K397">
        <f>RAW_DATA!K397</f>
        <v>7</v>
      </c>
      <c r="L397">
        <f>RAW_DATA!L397</f>
        <v>3</v>
      </c>
      <c r="M397">
        <f>RAW_DATA!M397</f>
        <v>3</v>
      </c>
      <c r="N397">
        <f t="shared" si="12"/>
        <v>0</v>
      </c>
      <c r="O397" t="str" cm="1">
        <f t="array" ref="O397" xml:space="preserve"> _xlfn.IFS(A397 &lt;ASSUMPTIONS!$D$2,"25",A397 &lt;= ASSUMPTIONS!$D$3,"25-34",A397 &lt;= ASSUMPTIONS!$D$4, "35-44",A397 &lt;= ASSUMPTIONS!$D$5,"45-54",TRUE,"55+")</f>
        <v>35-44</v>
      </c>
      <c r="P397" t="str" cm="1">
        <f t="array" ref="P397">_xlfn.IFS( J397 &lt;ASSUMPTIONS!$D$7,"LOW",J397 &lt;= ASSUMPTIONS!$D$8,"MEDIUM",TRUE, "HIGH")</f>
        <v>LOW</v>
      </c>
      <c r="Q397" t="str">
        <f>IF(M397&lt;ASSUMPTIONS!$D$10,"New (0-2)",IF(M397&lt;=ASSUMPTIONS!$D$11,"Early (2-5)",IF(M397&lt;=ASSUMPTIONS!$D$12,"Established (5-10)","Veteran (10+)")))</f>
        <v>Early (2-5)</v>
      </c>
      <c r="R397" s="4">
        <f t="shared" si="13"/>
        <v>3.6666666666666665</v>
      </c>
    </row>
    <row r="398" spans="1:18">
      <c r="A398">
        <f>RAW_DATA!A398</f>
        <v>43</v>
      </c>
      <c r="B398" t="str">
        <f>RAW_DATA!B398</f>
        <v>No</v>
      </c>
      <c r="C398" t="str">
        <f>RAW_DATA!C398</f>
        <v>Research &amp; Development</v>
      </c>
      <c r="D398">
        <f>RAW_DATA!D398</f>
        <v>8</v>
      </c>
      <c r="E398">
        <f>RAW_DATA!E398</f>
        <v>4</v>
      </c>
      <c r="F398" t="str">
        <f>RAW_DATA!F398</f>
        <v>Other</v>
      </c>
      <c r="G398">
        <f>RAW_DATA!G398</f>
        <v>3</v>
      </c>
      <c r="H398">
        <f>RAW_DATA!H398</f>
        <v>3</v>
      </c>
      <c r="I398" t="str">
        <f>RAW_DATA!I398</f>
        <v>Divorced</v>
      </c>
      <c r="J398">
        <f>RAW_DATA!J398</f>
        <v>4522</v>
      </c>
      <c r="K398">
        <f>RAW_DATA!K398</f>
        <v>4</v>
      </c>
      <c r="L398">
        <f>RAW_DATA!L398</f>
        <v>3</v>
      </c>
      <c r="M398">
        <f>RAW_DATA!M398</f>
        <v>5</v>
      </c>
      <c r="N398">
        <f t="shared" si="12"/>
        <v>0</v>
      </c>
      <c r="O398" t="str" cm="1">
        <f t="array" ref="O398" xml:space="preserve"> _xlfn.IFS(A398 &lt;ASSUMPTIONS!$D$2,"25",A398 &lt;= ASSUMPTIONS!$D$3,"25-34",A398 &lt;= ASSUMPTIONS!$D$4, "35-44",A398 &lt;= ASSUMPTIONS!$D$5,"45-54",TRUE,"55+")</f>
        <v>35-44</v>
      </c>
      <c r="P398" t="str" cm="1">
        <f t="array" ref="P398">_xlfn.IFS( J398 &lt;ASSUMPTIONS!$D$7,"LOW",J398 &lt;= ASSUMPTIONS!$D$8,"MEDIUM",TRUE, "HIGH")</f>
        <v>MEDIUM</v>
      </c>
      <c r="Q398" t="str">
        <f>IF(M398&lt;ASSUMPTIONS!$D$10,"New (0-2)",IF(M398&lt;=ASSUMPTIONS!$D$11,"Early (2-5)",IF(M398&lt;=ASSUMPTIONS!$D$12,"Established (5-10)","Veteran (10+)")))</f>
        <v>Early (2-5)</v>
      </c>
      <c r="R398" s="4">
        <f t="shared" si="13"/>
        <v>3</v>
      </c>
    </row>
    <row r="399" spans="1:18">
      <c r="A399">
        <f>RAW_DATA!A399</f>
        <v>25</v>
      </c>
      <c r="B399" t="str">
        <f>RAW_DATA!B399</f>
        <v>No</v>
      </c>
      <c r="C399" t="str">
        <f>RAW_DATA!C399</f>
        <v>Sales</v>
      </c>
      <c r="D399">
        <f>RAW_DATA!D399</f>
        <v>4</v>
      </c>
      <c r="E399">
        <f>RAW_DATA!E399</f>
        <v>2</v>
      </c>
      <c r="F399" t="str">
        <f>RAW_DATA!F399</f>
        <v>Life Sciences</v>
      </c>
      <c r="G399">
        <f>RAW_DATA!G399</f>
        <v>2</v>
      </c>
      <c r="H399">
        <f>RAW_DATA!H399</f>
        <v>4</v>
      </c>
      <c r="I399" t="str">
        <f>RAW_DATA!I399</f>
        <v>Single</v>
      </c>
      <c r="J399">
        <f>RAW_DATA!J399</f>
        <v>4487</v>
      </c>
      <c r="K399">
        <f>RAW_DATA!K399</f>
        <v>1</v>
      </c>
      <c r="L399">
        <f>RAW_DATA!L399</f>
        <v>3</v>
      </c>
      <c r="M399">
        <f>RAW_DATA!M399</f>
        <v>5</v>
      </c>
      <c r="N399">
        <f t="shared" si="12"/>
        <v>0</v>
      </c>
      <c r="O399" t="str" cm="1">
        <f t="array" ref="O399" xml:space="preserve"> _xlfn.IFS(A399 &lt;ASSUMPTIONS!$D$2,"25",A399 &lt;= ASSUMPTIONS!$D$3,"25-34",A399 &lt;= ASSUMPTIONS!$D$4, "35-44",A399 &lt;= ASSUMPTIONS!$D$5,"45-54",TRUE,"55+")</f>
        <v>25-34</v>
      </c>
      <c r="P399" t="str" cm="1">
        <f t="array" ref="P399">_xlfn.IFS( J399 &lt;ASSUMPTIONS!$D$7,"LOW",J399 &lt;= ASSUMPTIONS!$D$8,"MEDIUM",TRUE, "HIGH")</f>
        <v>MEDIUM</v>
      </c>
      <c r="Q399" t="str">
        <f>IF(M399&lt;ASSUMPTIONS!$D$10,"New (0-2)",IF(M399&lt;=ASSUMPTIONS!$D$11,"Early (2-5)",IF(M399&lt;=ASSUMPTIONS!$D$12,"Established (5-10)","Veteran (10+)")))</f>
        <v>Early (2-5)</v>
      </c>
      <c r="R399" s="4">
        <f t="shared" si="13"/>
        <v>3</v>
      </c>
    </row>
    <row r="400" spans="1:18">
      <c r="A400">
        <f>RAW_DATA!A400</f>
        <v>37</v>
      </c>
      <c r="B400" t="str">
        <f>RAW_DATA!B400</f>
        <v>No</v>
      </c>
      <c r="C400" t="str">
        <f>RAW_DATA!C400</f>
        <v>Research &amp; Development</v>
      </c>
      <c r="D400">
        <f>RAW_DATA!D400</f>
        <v>25</v>
      </c>
      <c r="E400">
        <f>RAW_DATA!E400</f>
        <v>5</v>
      </c>
      <c r="F400" t="str">
        <f>RAW_DATA!F400</f>
        <v>Medical</v>
      </c>
      <c r="G400">
        <f>RAW_DATA!G400</f>
        <v>2</v>
      </c>
      <c r="H400">
        <f>RAW_DATA!H400</f>
        <v>3</v>
      </c>
      <c r="I400" t="str">
        <f>RAW_DATA!I400</f>
        <v>Married</v>
      </c>
      <c r="J400">
        <f>RAW_DATA!J400</f>
        <v>4449</v>
      </c>
      <c r="K400">
        <f>RAW_DATA!K400</f>
        <v>3</v>
      </c>
      <c r="L400">
        <f>RAW_DATA!L400</f>
        <v>3</v>
      </c>
      <c r="M400">
        <f>RAW_DATA!M400</f>
        <v>13</v>
      </c>
      <c r="N400">
        <f t="shared" si="12"/>
        <v>0</v>
      </c>
      <c r="O400" t="str" cm="1">
        <f t="array" ref="O400" xml:space="preserve"> _xlfn.IFS(A400 &lt;ASSUMPTIONS!$D$2,"25",A400 &lt;= ASSUMPTIONS!$D$3,"25-34",A400 &lt;= ASSUMPTIONS!$D$4, "35-44",A400 &lt;= ASSUMPTIONS!$D$5,"45-54",TRUE,"55+")</f>
        <v>35-44</v>
      </c>
      <c r="P400" t="str" cm="1">
        <f t="array" ref="P400">_xlfn.IFS( J400 &lt;ASSUMPTIONS!$D$7,"LOW",J400 &lt;= ASSUMPTIONS!$D$8,"MEDIUM",TRUE, "HIGH")</f>
        <v>MEDIUM</v>
      </c>
      <c r="Q400" t="str">
        <f>IF(M400&lt;ASSUMPTIONS!$D$10,"New (0-2)",IF(M400&lt;=ASSUMPTIONS!$D$11,"Early (2-5)",IF(M400&lt;=ASSUMPTIONS!$D$12,"Established (5-10)","Veteran (10+)")))</f>
        <v>Veteran (10+)</v>
      </c>
      <c r="R400" s="4">
        <f t="shared" si="13"/>
        <v>2.6666666666666665</v>
      </c>
    </row>
    <row r="401" spans="1:18">
      <c r="A401">
        <f>RAW_DATA!A401</f>
        <v>31</v>
      </c>
      <c r="B401" t="str">
        <f>RAW_DATA!B401</f>
        <v>No</v>
      </c>
      <c r="C401" t="str">
        <f>RAW_DATA!C401</f>
        <v>Research &amp; Development</v>
      </c>
      <c r="D401">
        <f>RAW_DATA!D401</f>
        <v>1</v>
      </c>
      <c r="E401">
        <f>RAW_DATA!E401</f>
        <v>2</v>
      </c>
      <c r="F401" t="str">
        <f>RAW_DATA!F401</f>
        <v>Life Sciences</v>
      </c>
      <c r="G401">
        <f>RAW_DATA!G401</f>
        <v>4</v>
      </c>
      <c r="H401">
        <f>RAW_DATA!H401</f>
        <v>1</v>
      </c>
      <c r="I401" t="str">
        <f>RAW_DATA!I401</f>
        <v>Married</v>
      </c>
      <c r="J401">
        <f>RAW_DATA!J401</f>
        <v>2218</v>
      </c>
      <c r="K401">
        <f>RAW_DATA!K401</f>
        <v>1</v>
      </c>
      <c r="L401">
        <f>RAW_DATA!L401</f>
        <v>3</v>
      </c>
      <c r="M401">
        <f>RAW_DATA!M401</f>
        <v>4</v>
      </c>
      <c r="N401">
        <f t="shared" si="12"/>
        <v>0</v>
      </c>
      <c r="O401" t="str" cm="1">
        <f t="array" ref="O401" xml:space="preserve"> _xlfn.IFS(A401 &lt;ASSUMPTIONS!$D$2,"25",A401 &lt;= ASSUMPTIONS!$D$3,"25-34",A401 &lt;= ASSUMPTIONS!$D$4, "35-44",A401 &lt;= ASSUMPTIONS!$D$5,"45-54",TRUE,"55+")</f>
        <v>25-34</v>
      </c>
      <c r="P401" t="str" cm="1">
        <f t="array" ref="P401">_xlfn.IFS( J401 &lt;ASSUMPTIONS!$D$7,"LOW",J401 &lt;= ASSUMPTIONS!$D$8,"MEDIUM",TRUE, "HIGH")</f>
        <v>LOW</v>
      </c>
      <c r="Q401" t="str">
        <f>IF(M401&lt;ASSUMPTIONS!$D$10,"New (0-2)",IF(M401&lt;=ASSUMPTIONS!$D$11,"Early (2-5)",IF(M401&lt;=ASSUMPTIONS!$D$12,"Established (5-10)","Veteran (10+)")))</f>
        <v>Early (2-5)</v>
      </c>
      <c r="R401" s="4">
        <f t="shared" si="13"/>
        <v>2.6666666666666665</v>
      </c>
    </row>
    <row r="402" spans="1:18">
      <c r="A402">
        <f>RAW_DATA!A402</f>
        <v>39</v>
      </c>
      <c r="B402" t="str">
        <f>RAW_DATA!B402</f>
        <v>No</v>
      </c>
      <c r="C402" t="str">
        <f>RAW_DATA!C402</f>
        <v>Research &amp; Development</v>
      </c>
      <c r="D402">
        <f>RAW_DATA!D402</f>
        <v>1</v>
      </c>
      <c r="E402">
        <f>RAW_DATA!E402</f>
        <v>1</v>
      </c>
      <c r="F402" t="str">
        <f>RAW_DATA!F402</f>
        <v>Life Sciences</v>
      </c>
      <c r="G402">
        <f>RAW_DATA!G402</f>
        <v>2</v>
      </c>
      <c r="H402">
        <f>RAW_DATA!H402</f>
        <v>3</v>
      </c>
      <c r="I402" t="str">
        <f>RAW_DATA!I402</f>
        <v>Divorced</v>
      </c>
      <c r="J402">
        <f>RAW_DATA!J402</f>
        <v>19197</v>
      </c>
      <c r="K402">
        <f>RAW_DATA!K402</f>
        <v>1</v>
      </c>
      <c r="L402">
        <f>RAW_DATA!L402</f>
        <v>3</v>
      </c>
      <c r="M402">
        <f>RAW_DATA!M402</f>
        <v>21</v>
      </c>
      <c r="N402">
        <f t="shared" si="12"/>
        <v>0</v>
      </c>
      <c r="O402" t="str" cm="1">
        <f t="array" ref="O402" xml:space="preserve"> _xlfn.IFS(A402 &lt;ASSUMPTIONS!$D$2,"25",A402 &lt;= ASSUMPTIONS!$D$3,"25-34",A402 &lt;= ASSUMPTIONS!$D$4, "35-44",A402 &lt;= ASSUMPTIONS!$D$5,"45-54",TRUE,"55+")</f>
        <v>35-44</v>
      </c>
      <c r="P402" t="str" cm="1">
        <f t="array" ref="P402">_xlfn.IFS( J402 &lt;ASSUMPTIONS!$D$7,"LOW",J402 &lt;= ASSUMPTIONS!$D$8,"MEDIUM",TRUE, "HIGH")</f>
        <v>HIGH</v>
      </c>
      <c r="Q402" t="str">
        <f>IF(M402&lt;ASSUMPTIONS!$D$10,"New (0-2)",IF(M402&lt;=ASSUMPTIONS!$D$11,"Early (2-5)",IF(M402&lt;=ASSUMPTIONS!$D$12,"Established (5-10)","Veteran (10+)")))</f>
        <v>Veteran (10+)</v>
      </c>
      <c r="R402" s="4">
        <f t="shared" si="13"/>
        <v>2.6666666666666665</v>
      </c>
    </row>
    <row r="403" spans="1:18">
      <c r="A403">
        <f>RAW_DATA!A403</f>
        <v>56</v>
      </c>
      <c r="B403" t="str">
        <f>RAW_DATA!B403</f>
        <v>No</v>
      </c>
      <c r="C403" t="str">
        <f>RAW_DATA!C403</f>
        <v>Sales</v>
      </c>
      <c r="D403">
        <f>RAW_DATA!D403</f>
        <v>6</v>
      </c>
      <c r="E403">
        <f>RAW_DATA!E403</f>
        <v>3</v>
      </c>
      <c r="F403" t="str">
        <f>RAW_DATA!F403</f>
        <v>Life Sciences</v>
      </c>
      <c r="G403">
        <f>RAW_DATA!G403</f>
        <v>3</v>
      </c>
      <c r="H403">
        <f>RAW_DATA!H403</f>
        <v>1</v>
      </c>
      <c r="I403" t="str">
        <f>RAW_DATA!I403</f>
        <v>Married</v>
      </c>
      <c r="J403">
        <f>RAW_DATA!J403</f>
        <v>13212</v>
      </c>
      <c r="K403">
        <f>RAW_DATA!K403</f>
        <v>9</v>
      </c>
      <c r="L403">
        <f>RAW_DATA!L403</f>
        <v>2</v>
      </c>
      <c r="M403">
        <f>RAW_DATA!M403</f>
        <v>7</v>
      </c>
      <c r="N403">
        <f t="shared" si="12"/>
        <v>0</v>
      </c>
      <c r="O403" t="str" cm="1">
        <f t="array" ref="O403" xml:space="preserve"> _xlfn.IFS(A403 &lt;ASSUMPTIONS!$D$2,"25",A403 &lt;= ASSUMPTIONS!$D$3,"25-34",A403 &lt;= ASSUMPTIONS!$D$4, "35-44",A403 &lt;= ASSUMPTIONS!$D$5,"45-54",TRUE,"55+")</f>
        <v>55+</v>
      </c>
      <c r="P403" t="str" cm="1">
        <f t="array" ref="P403">_xlfn.IFS( J403 &lt;ASSUMPTIONS!$D$7,"LOW",J403 &lt;= ASSUMPTIONS!$D$8,"MEDIUM",TRUE, "HIGH")</f>
        <v>HIGH</v>
      </c>
      <c r="Q403" t="str">
        <f>IF(M403&lt;ASSUMPTIONS!$D$10,"New (0-2)",IF(M403&lt;=ASSUMPTIONS!$D$11,"Early (2-5)",IF(M403&lt;=ASSUMPTIONS!$D$12,"Established (5-10)","Veteran (10+)")))</f>
        <v>Established (5-10)</v>
      </c>
      <c r="R403" s="4">
        <f t="shared" si="13"/>
        <v>2</v>
      </c>
    </row>
    <row r="404" spans="1:18">
      <c r="A404">
        <f>RAW_DATA!A404</f>
        <v>30</v>
      </c>
      <c r="B404" t="str">
        <f>RAW_DATA!B404</f>
        <v>No</v>
      </c>
      <c r="C404" t="str">
        <f>RAW_DATA!C404</f>
        <v>Sales</v>
      </c>
      <c r="D404">
        <f>RAW_DATA!D404</f>
        <v>12</v>
      </c>
      <c r="E404">
        <f>RAW_DATA!E404</f>
        <v>3</v>
      </c>
      <c r="F404" t="str">
        <f>RAW_DATA!F404</f>
        <v>Technical Degree</v>
      </c>
      <c r="G404">
        <f>RAW_DATA!G404</f>
        <v>2</v>
      </c>
      <c r="H404">
        <f>RAW_DATA!H404</f>
        <v>3</v>
      </c>
      <c r="I404" t="str">
        <f>RAW_DATA!I404</f>
        <v>Single</v>
      </c>
      <c r="J404">
        <f>RAW_DATA!J404</f>
        <v>6577</v>
      </c>
      <c r="K404">
        <f>RAW_DATA!K404</f>
        <v>0</v>
      </c>
      <c r="L404">
        <f>RAW_DATA!L404</f>
        <v>3</v>
      </c>
      <c r="M404">
        <f>RAW_DATA!M404</f>
        <v>5</v>
      </c>
      <c r="N404">
        <f t="shared" si="12"/>
        <v>0</v>
      </c>
      <c r="O404" t="str" cm="1">
        <f t="array" ref="O404" xml:space="preserve"> _xlfn.IFS(A404 &lt;ASSUMPTIONS!$D$2,"25",A404 &lt;= ASSUMPTIONS!$D$3,"25-34",A404 &lt;= ASSUMPTIONS!$D$4, "35-44",A404 &lt;= ASSUMPTIONS!$D$5,"45-54",TRUE,"55+")</f>
        <v>25-34</v>
      </c>
      <c r="P404" t="str" cm="1">
        <f t="array" ref="P404">_xlfn.IFS( J404 &lt;ASSUMPTIONS!$D$7,"LOW",J404 &lt;= ASSUMPTIONS!$D$8,"MEDIUM",TRUE, "HIGH")</f>
        <v>MEDIUM</v>
      </c>
      <c r="Q404" t="str">
        <f>IF(M404&lt;ASSUMPTIONS!$D$10,"New (0-2)",IF(M404&lt;=ASSUMPTIONS!$D$11,"Early (2-5)",IF(M404&lt;=ASSUMPTIONS!$D$12,"Established (5-10)","Veteran (10+)")))</f>
        <v>Early (2-5)</v>
      </c>
      <c r="R404" s="4">
        <f t="shared" si="13"/>
        <v>2.6666666666666665</v>
      </c>
    </row>
    <row r="405" spans="1:18">
      <c r="A405">
        <f>RAW_DATA!A405</f>
        <v>41</v>
      </c>
      <c r="B405" t="str">
        <f>RAW_DATA!B405</f>
        <v>No</v>
      </c>
      <c r="C405" t="str">
        <f>RAW_DATA!C405</f>
        <v>Sales</v>
      </c>
      <c r="D405">
        <f>RAW_DATA!D405</f>
        <v>1</v>
      </c>
      <c r="E405">
        <f>RAW_DATA!E405</f>
        <v>3</v>
      </c>
      <c r="F405" t="str">
        <f>RAW_DATA!F405</f>
        <v>Marketing</v>
      </c>
      <c r="G405">
        <f>RAW_DATA!G405</f>
        <v>2</v>
      </c>
      <c r="H405">
        <f>RAW_DATA!H405</f>
        <v>1</v>
      </c>
      <c r="I405" t="str">
        <f>RAW_DATA!I405</f>
        <v>Married</v>
      </c>
      <c r="J405">
        <f>RAW_DATA!J405</f>
        <v>8392</v>
      </c>
      <c r="K405">
        <f>RAW_DATA!K405</f>
        <v>1</v>
      </c>
      <c r="L405">
        <f>RAW_DATA!L405</f>
        <v>3</v>
      </c>
      <c r="M405">
        <f>RAW_DATA!M405</f>
        <v>10</v>
      </c>
      <c r="N405">
        <f t="shared" si="12"/>
        <v>0</v>
      </c>
      <c r="O405" t="str" cm="1">
        <f t="array" ref="O405" xml:space="preserve"> _xlfn.IFS(A405 &lt;ASSUMPTIONS!$D$2,"25",A405 &lt;= ASSUMPTIONS!$D$3,"25-34",A405 &lt;= ASSUMPTIONS!$D$4, "35-44",A405 &lt;= ASSUMPTIONS!$D$5,"45-54",TRUE,"55+")</f>
        <v>35-44</v>
      </c>
      <c r="P405" t="str" cm="1">
        <f t="array" ref="P405">_xlfn.IFS( J405 &lt;ASSUMPTIONS!$D$7,"LOW",J405 &lt;= ASSUMPTIONS!$D$8,"MEDIUM",TRUE, "HIGH")</f>
        <v>HIGH</v>
      </c>
      <c r="Q405" t="str">
        <f>IF(M405&lt;ASSUMPTIONS!$D$10,"New (0-2)",IF(M405&lt;=ASSUMPTIONS!$D$11,"Early (2-5)",IF(M405&lt;=ASSUMPTIONS!$D$12,"Established (5-10)","Veteran (10+)")))</f>
        <v>Established (5-10)</v>
      </c>
      <c r="R405" s="4">
        <f t="shared" si="13"/>
        <v>2</v>
      </c>
    </row>
    <row r="406" spans="1:18">
      <c r="A406">
        <f>RAW_DATA!A406</f>
        <v>28</v>
      </c>
      <c r="B406" t="str">
        <f>RAW_DATA!B406</f>
        <v>No</v>
      </c>
      <c r="C406" t="str">
        <f>RAW_DATA!C406</f>
        <v>Research &amp; Development</v>
      </c>
      <c r="D406">
        <f>RAW_DATA!D406</f>
        <v>17</v>
      </c>
      <c r="E406">
        <f>RAW_DATA!E406</f>
        <v>2</v>
      </c>
      <c r="F406" t="str">
        <f>RAW_DATA!F406</f>
        <v>Medical</v>
      </c>
      <c r="G406">
        <f>RAW_DATA!G406</f>
        <v>3</v>
      </c>
      <c r="H406">
        <f>RAW_DATA!H406</f>
        <v>1</v>
      </c>
      <c r="I406" t="str">
        <f>RAW_DATA!I406</f>
        <v>Divorced</v>
      </c>
      <c r="J406">
        <f>RAW_DATA!J406</f>
        <v>4558</v>
      </c>
      <c r="K406">
        <f>RAW_DATA!K406</f>
        <v>1</v>
      </c>
      <c r="L406">
        <f>RAW_DATA!L406</f>
        <v>3</v>
      </c>
      <c r="M406">
        <f>RAW_DATA!M406</f>
        <v>10</v>
      </c>
      <c r="N406">
        <f t="shared" si="12"/>
        <v>0</v>
      </c>
      <c r="O406" t="str" cm="1">
        <f t="array" ref="O406" xml:space="preserve"> _xlfn.IFS(A406 &lt;ASSUMPTIONS!$D$2,"25",A406 &lt;= ASSUMPTIONS!$D$3,"25-34",A406 &lt;= ASSUMPTIONS!$D$4, "35-44",A406 &lt;= ASSUMPTIONS!$D$5,"45-54",TRUE,"55+")</f>
        <v>25-34</v>
      </c>
      <c r="P406" t="str" cm="1">
        <f t="array" ref="P406">_xlfn.IFS( J406 &lt;ASSUMPTIONS!$D$7,"LOW",J406 &lt;= ASSUMPTIONS!$D$8,"MEDIUM",TRUE, "HIGH")</f>
        <v>MEDIUM</v>
      </c>
      <c r="Q406" t="str">
        <f>IF(M406&lt;ASSUMPTIONS!$D$10,"New (0-2)",IF(M406&lt;=ASSUMPTIONS!$D$11,"Early (2-5)",IF(M406&lt;=ASSUMPTIONS!$D$12,"Established (5-10)","Veteran (10+)")))</f>
        <v>Established (5-10)</v>
      </c>
      <c r="R406" s="4">
        <f t="shared" si="13"/>
        <v>2.3333333333333335</v>
      </c>
    </row>
    <row r="407" spans="1:18">
      <c r="A407">
        <f>RAW_DATA!A407</f>
        <v>25</v>
      </c>
      <c r="B407" t="str">
        <f>RAW_DATA!B407</f>
        <v>Yes</v>
      </c>
      <c r="C407" t="str">
        <f>RAW_DATA!C407</f>
        <v>Research &amp; Development</v>
      </c>
      <c r="D407">
        <f>RAW_DATA!D407</f>
        <v>3</v>
      </c>
      <c r="E407">
        <f>RAW_DATA!E407</f>
        <v>3</v>
      </c>
      <c r="F407" t="str">
        <f>RAW_DATA!F407</f>
        <v>Medical</v>
      </c>
      <c r="G407">
        <f>RAW_DATA!G407</f>
        <v>1</v>
      </c>
      <c r="H407">
        <f>RAW_DATA!H407</f>
        <v>1</v>
      </c>
      <c r="I407" t="str">
        <f>RAW_DATA!I407</f>
        <v>Married</v>
      </c>
      <c r="J407">
        <f>RAW_DATA!J407</f>
        <v>4031</v>
      </c>
      <c r="K407">
        <f>RAW_DATA!K407</f>
        <v>5</v>
      </c>
      <c r="L407">
        <f>RAW_DATA!L407</f>
        <v>3</v>
      </c>
      <c r="M407">
        <f>RAW_DATA!M407</f>
        <v>2</v>
      </c>
      <c r="N407">
        <f t="shared" si="12"/>
        <v>1</v>
      </c>
      <c r="O407" t="str" cm="1">
        <f t="array" ref="O407" xml:space="preserve"> _xlfn.IFS(A407 &lt;ASSUMPTIONS!$D$2,"25",A407 &lt;= ASSUMPTIONS!$D$3,"25-34",A407 &lt;= ASSUMPTIONS!$D$4, "35-44",A407 &lt;= ASSUMPTIONS!$D$5,"45-54",TRUE,"55+")</f>
        <v>25-34</v>
      </c>
      <c r="P407" t="str" cm="1">
        <f t="array" ref="P407">_xlfn.IFS( J407 &lt;ASSUMPTIONS!$D$7,"LOW",J407 &lt;= ASSUMPTIONS!$D$8,"MEDIUM",TRUE, "HIGH")</f>
        <v>MEDIUM</v>
      </c>
      <c r="Q407" t="str">
        <f>IF(M407&lt;ASSUMPTIONS!$D$10,"New (0-2)",IF(M407&lt;=ASSUMPTIONS!$D$11,"Early (2-5)",IF(M407&lt;=ASSUMPTIONS!$D$12,"Established (5-10)","Veteran (10+)")))</f>
        <v>Early (2-5)</v>
      </c>
      <c r="R407" s="4">
        <f t="shared" si="13"/>
        <v>1.6666666666666667</v>
      </c>
    </row>
    <row r="408" spans="1:18">
      <c r="A408">
        <f>RAW_DATA!A408</f>
        <v>52</v>
      </c>
      <c r="B408" t="str">
        <f>RAW_DATA!B408</f>
        <v>No</v>
      </c>
      <c r="C408" t="str">
        <f>RAW_DATA!C408</f>
        <v>Research &amp; Development</v>
      </c>
      <c r="D408">
        <f>RAW_DATA!D408</f>
        <v>3</v>
      </c>
      <c r="E408">
        <f>RAW_DATA!E408</f>
        <v>3</v>
      </c>
      <c r="F408" t="str">
        <f>RAW_DATA!F408</f>
        <v>Medical</v>
      </c>
      <c r="G408">
        <f>RAW_DATA!G408</f>
        <v>4</v>
      </c>
      <c r="H408">
        <f>RAW_DATA!H408</f>
        <v>3</v>
      </c>
      <c r="I408" t="str">
        <f>RAW_DATA!I408</f>
        <v>Married</v>
      </c>
      <c r="J408">
        <f>RAW_DATA!J408</f>
        <v>7969</v>
      </c>
      <c r="K408">
        <f>RAW_DATA!K408</f>
        <v>2</v>
      </c>
      <c r="L408">
        <f>RAW_DATA!L408</f>
        <v>3</v>
      </c>
      <c r="M408">
        <f>RAW_DATA!M408</f>
        <v>5</v>
      </c>
      <c r="N408">
        <f t="shared" si="12"/>
        <v>0</v>
      </c>
      <c r="O408" t="str" cm="1">
        <f t="array" ref="O408" xml:space="preserve"> _xlfn.IFS(A408 &lt;ASSUMPTIONS!$D$2,"25",A408 &lt;= ASSUMPTIONS!$D$3,"25-34",A408 &lt;= ASSUMPTIONS!$D$4, "35-44",A408 &lt;= ASSUMPTIONS!$D$5,"45-54",TRUE,"55+")</f>
        <v>45-54</v>
      </c>
      <c r="P408" t="str" cm="1">
        <f t="array" ref="P408">_xlfn.IFS( J408 &lt;ASSUMPTIONS!$D$7,"LOW",J408 &lt;= ASSUMPTIONS!$D$8,"MEDIUM",TRUE, "HIGH")</f>
        <v>HIGH</v>
      </c>
      <c r="Q408" t="str">
        <f>IF(M408&lt;ASSUMPTIONS!$D$10,"New (0-2)",IF(M408&lt;=ASSUMPTIONS!$D$11,"Early (2-5)",IF(M408&lt;=ASSUMPTIONS!$D$12,"Established (5-10)","Veteran (10+)")))</f>
        <v>Early (2-5)</v>
      </c>
      <c r="R408" s="4">
        <f t="shared" si="13"/>
        <v>3.3333333333333335</v>
      </c>
    </row>
    <row r="409" spans="1:18">
      <c r="A409">
        <f>RAW_DATA!A409</f>
        <v>45</v>
      </c>
      <c r="B409" t="str">
        <f>RAW_DATA!B409</f>
        <v>No</v>
      </c>
      <c r="C409" t="str">
        <f>RAW_DATA!C409</f>
        <v>Research &amp; Development</v>
      </c>
      <c r="D409">
        <f>RAW_DATA!D409</f>
        <v>10</v>
      </c>
      <c r="E409">
        <f>RAW_DATA!E409</f>
        <v>2</v>
      </c>
      <c r="F409" t="str">
        <f>RAW_DATA!F409</f>
        <v>Life Sciences</v>
      </c>
      <c r="G409">
        <f>RAW_DATA!G409</f>
        <v>1</v>
      </c>
      <c r="H409">
        <f>RAW_DATA!H409</f>
        <v>4</v>
      </c>
      <c r="I409" t="str">
        <f>RAW_DATA!I409</f>
        <v>Married</v>
      </c>
      <c r="J409">
        <f>RAW_DATA!J409</f>
        <v>2654</v>
      </c>
      <c r="K409">
        <f>RAW_DATA!K409</f>
        <v>3</v>
      </c>
      <c r="L409">
        <f>RAW_DATA!L409</f>
        <v>2</v>
      </c>
      <c r="M409">
        <f>RAW_DATA!M409</f>
        <v>2</v>
      </c>
      <c r="N409">
        <f t="shared" si="12"/>
        <v>0</v>
      </c>
      <c r="O409" t="str" cm="1">
        <f t="array" ref="O409" xml:space="preserve"> _xlfn.IFS(A409 &lt;ASSUMPTIONS!$D$2,"25",A409 &lt;= ASSUMPTIONS!$D$3,"25-34",A409 &lt;= ASSUMPTIONS!$D$4, "35-44",A409 &lt;= ASSUMPTIONS!$D$5,"45-54",TRUE,"55+")</f>
        <v>45-54</v>
      </c>
      <c r="P409" t="str" cm="1">
        <f t="array" ref="P409">_xlfn.IFS( J409 &lt;ASSUMPTIONS!$D$7,"LOW",J409 &lt;= ASSUMPTIONS!$D$8,"MEDIUM",TRUE, "HIGH")</f>
        <v>LOW</v>
      </c>
      <c r="Q409" t="str">
        <f>IF(M409&lt;ASSUMPTIONS!$D$10,"New (0-2)",IF(M409&lt;=ASSUMPTIONS!$D$11,"Early (2-5)",IF(M409&lt;=ASSUMPTIONS!$D$12,"Established (5-10)","Veteran (10+)")))</f>
        <v>Early (2-5)</v>
      </c>
      <c r="R409" s="4">
        <f t="shared" si="13"/>
        <v>2.3333333333333335</v>
      </c>
    </row>
    <row r="410" spans="1:18">
      <c r="A410">
        <f>RAW_DATA!A410</f>
        <v>52</v>
      </c>
      <c r="B410" t="str">
        <f>RAW_DATA!B410</f>
        <v>No</v>
      </c>
      <c r="C410" t="str">
        <f>RAW_DATA!C410</f>
        <v>Research &amp; Development</v>
      </c>
      <c r="D410">
        <f>RAW_DATA!D410</f>
        <v>4</v>
      </c>
      <c r="E410">
        <f>RAW_DATA!E410</f>
        <v>2</v>
      </c>
      <c r="F410" t="str">
        <f>RAW_DATA!F410</f>
        <v>Life Sciences</v>
      </c>
      <c r="G410">
        <f>RAW_DATA!G410</f>
        <v>4</v>
      </c>
      <c r="H410">
        <f>RAW_DATA!H410</f>
        <v>4</v>
      </c>
      <c r="I410" t="str">
        <f>RAW_DATA!I410</f>
        <v>Married</v>
      </c>
      <c r="J410">
        <f>RAW_DATA!J410</f>
        <v>16555</v>
      </c>
      <c r="K410">
        <f>RAW_DATA!K410</f>
        <v>2</v>
      </c>
      <c r="L410">
        <f>RAW_DATA!L410</f>
        <v>1</v>
      </c>
      <c r="M410">
        <f>RAW_DATA!M410</f>
        <v>5</v>
      </c>
      <c r="N410">
        <f t="shared" si="12"/>
        <v>0</v>
      </c>
      <c r="O410" t="str" cm="1">
        <f t="array" ref="O410" xml:space="preserve"> _xlfn.IFS(A410 &lt;ASSUMPTIONS!$D$2,"25",A410 &lt;= ASSUMPTIONS!$D$3,"25-34",A410 &lt;= ASSUMPTIONS!$D$4, "35-44",A410 &lt;= ASSUMPTIONS!$D$5,"45-54",TRUE,"55+")</f>
        <v>45-54</v>
      </c>
      <c r="P410" t="str" cm="1">
        <f t="array" ref="P410">_xlfn.IFS( J410 &lt;ASSUMPTIONS!$D$7,"LOW",J410 &lt;= ASSUMPTIONS!$D$8,"MEDIUM",TRUE, "HIGH")</f>
        <v>HIGH</v>
      </c>
      <c r="Q410" t="str">
        <f>IF(M410&lt;ASSUMPTIONS!$D$10,"New (0-2)",IF(M410&lt;=ASSUMPTIONS!$D$11,"Early (2-5)",IF(M410&lt;=ASSUMPTIONS!$D$12,"Established (5-10)","Veteran (10+)")))</f>
        <v>Early (2-5)</v>
      </c>
      <c r="R410" s="4">
        <f t="shared" si="13"/>
        <v>3</v>
      </c>
    </row>
    <row r="411" spans="1:18">
      <c r="A411">
        <f>RAW_DATA!A411</f>
        <v>42</v>
      </c>
      <c r="B411" t="str">
        <f>RAW_DATA!B411</f>
        <v>No</v>
      </c>
      <c r="C411" t="str">
        <f>RAW_DATA!C411</f>
        <v>Research &amp; Development</v>
      </c>
      <c r="D411">
        <f>RAW_DATA!D411</f>
        <v>29</v>
      </c>
      <c r="E411">
        <f>RAW_DATA!E411</f>
        <v>2</v>
      </c>
      <c r="F411" t="str">
        <f>RAW_DATA!F411</f>
        <v>Life Sciences</v>
      </c>
      <c r="G411">
        <f>RAW_DATA!G411</f>
        <v>1</v>
      </c>
      <c r="H411">
        <f>RAW_DATA!H411</f>
        <v>3</v>
      </c>
      <c r="I411" t="str">
        <f>RAW_DATA!I411</f>
        <v>Divorced</v>
      </c>
      <c r="J411">
        <f>RAW_DATA!J411</f>
        <v>4556</v>
      </c>
      <c r="K411">
        <f>RAW_DATA!K411</f>
        <v>2</v>
      </c>
      <c r="L411">
        <f>RAW_DATA!L411</f>
        <v>3</v>
      </c>
      <c r="M411">
        <f>RAW_DATA!M411</f>
        <v>5</v>
      </c>
      <c r="N411">
        <f t="shared" si="12"/>
        <v>0</v>
      </c>
      <c r="O411" t="str" cm="1">
        <f t="array" ref="O411" xml:space="preserve"> _xlfn.IFS(A411 &lt;ASSUMPTIONS!$D$2,"25",A411 &lt;= ASSUMPTIONS!$D$3,"25-34",A411 &lt;= ASSUMPTIONS!$D$4, "35-44",A411 &lt;= ASSUMPTIONS!$D$5,"45-54",TRUE,"55+")</f>
        <v>35-44</v>
      </c>
      <c r="P411" t="str" cm="1">
        <f t="array" ref="P411">_xlfn.IFS( J411 &lt;ASSUMPTIONS!$D$7,"LOW",J411 &lt;= ASSUMPTIONS!$D$8,"MEDIUM",TRUE, "HIGH")</f>
        <v>MEDIUM</v>
      </c>
      <c r="Q411" t="str">
        <f>IF(M411&lt;ASSUMPTIONS!$D$10,"New (0-2)",IF(M411&lt;=ASSUMPTIONS!$D$11,"Early (2-5)",IF(M411&lt;=ASSUMPTIONS!$D$12,"Established (5-10)","Veteran (10+)")))</f>
        <v>Early (2-5)</v>
      </c>
      <c r="R411" s="4">
        <f t="shared" si="13"/>
        <v>2.3333333333333335</v>
      </c>
    </row>
    <row r="412" spans="1:18">
      <c r="A412">
        <f>RAW_DATA!A412</f>
        <v>30</v>
      </c>
      <c r="B412" t="str">
        <f>RAW_DATA!B412</f>
        <v>No</v>
      </c>
      <c r="C412" t="str">
        <f>RAW_DATA!C412</f>
        <v>Research &amp; Development</v>
      </c>
      <c r="D412">
        <f>RAW_DATA!D412</f>
        <v>2</v>
      </c>
      <c r="E412">
        <f>RAW_DATA!E412</f>
        <v>3</v>
      </c>
      <c r="F412" t="str">
        <f>RAW_DATA!F412</f>
        <v>Life Sciences</v>
      </c>
      <c r="G412">
        <f>RAW_DATA!G412</f>
        <v>3</v>
      </c>
      <c r="H412">
        <f>RAW_DATA!H412</f>
        <v>4</v>
      </c>
      <c r="I412" t="str">
        <f>RAW_DATA!I412</f>
        <v>Single</v>
      </c>
      <c r="J412">
        <f>RAW_DATA!J412</f>
        <v>6091</v>
      </c>
      <c r="K412">
        <f>RAW_DATA!K412</f>
        <v>2</v>
      </c>
      <c r="L412">
        <f>RAW_DATA!L412</f>
        <v>3</v>
      </c>
      <c r="M412">
        <f>RAW_DATA!M412</f>
        <v>5</v>
      </c>
      <c r="N412">
        <f t="shared" si="12"/>
        <v>0</v>
      </c>
      <c r="O412" t="str" cm="1">
        <f t="array" ref="O412" xml:space="preserve"> _xlfn.IFS(A412 &lt;ASSUMPTIONS!$D$2,"25",A412 &lt;= ASSUMPTIONS!$D$3,"25-34",A412 &lt;= ASSUMPTIONS!$D$4, "35-44",A412 &lt;= ASSUMPTIONS!$D$5,"45-54",TRUE,"55+")</f>
        <v>25-34</v>
      </c>
      <c r="P412" t="str" cm="1">
        <f t="array" ref="P412">_xlfn.IFS( J412 &lt;ASSUMPTIONS!$D$7,"LOW",J412 &lt;= ASSUMPTIONS!$D$8,"MEDIUM",TRUE, "HIGH")</f>
        <v>MEDIUM</v>
      </c>
      <c r="Q412" t="str">
        <f>IF(M412&lt;ASSUMPTIONS!$D$10,"New (0-2)",IF(M412&lt;=ASSUMPTIONS!$D$11,"Early (2-5)",IF(M412&lt;=ASSUMPTIONS!$D$12,"Established (5-10)","Veteran (10+)")))</f>
        <v>Early (2-5)</v>
      </c>
      <c r="R412" s="4">
        <f t="shared" si="13"/>
        <v>3.3333333333333335</v>
      </c>
    </row>
    <row r="413" spans="1:18">
      <c r="A413">
        <f>RAW_DATA!A413</f>
        <v>60</v>
      </c>
      <c r="B413" t="str">
        <f>RAW_DATA!B413</f>
        <v>No</v>
      </c>
      <c r="C413" t="str">
        <f>RAW_DATA!C413</f>
        <v>Research &amp; Development</v>
      </c>
      <c r="D413">
        <f>RAW_DATA!D413</f>
        <v>7</v>
      </c>
      <c r="E413">
        <f>RAW_DATA!E413</f>
        <v>3</v>
      </c>
      <c r="F413" t="str">
        <f>RAW_DATA!F413</f>
        <v>Life Sciences</v>
      </c>
      <c r="G413">
        <f>RAW_DATA!G413</f>
        <v>1</v>
      </c>
      <c r="H413">
        <f>RAW_DATA!H413</f>
        <v>1</v>
      </c>
      <c r="I413" t="str">
        <f>RAW_DATA!I413</f>
        <v>Married</v>
      </c>
      <c r="J413">
        <f>RAW_DATA!J413</f>
        <v>19566</v>
      </c>
      <c r="K413">
        <f>RAW_DATA!K413</f>
        <v>5</v>
      </c>
      <c r="L413">
        <f>RAW_DATA!L413</f>
        <v>1</v>
      </c>
      <c r="M413">
        <f>RAW_DATA!M413</f>
        <v>29</v>
      </c>
      <c r="N413">
        <f t="shared" si="12"/>
        <v>0</v>
      </c>
      <c r="O413" t="str" cm="1">
        <f t="array" ref="O413" xml:space="preserve"> _xlfn.IFS(A413 &lt;ASSUMPTIONS!$D$2,"25",A413 &lt;= ASSUMPTIONS!$D$3,"25-34",A413 &lt;= ASSUMPTIONS!$D$4, "35-44",A413 &lt;= ASSUMPTIONS!$D$5,"45-54",TRUE,"55+")</f>
        <v>55+</v>
      </c>
      <c r="P413" t="str" cm="1">
        <f t="array" ref="P413">_xlfn.IFS( J413 &lt;ASSUMPTIONS!$D$7,"LOW",J413 &lt;= ASSUMPTIONS!$D$8,"MEDIUM",TRUE, "HIGH")</f>
        <v>HIGH</v>
      </c>
      <c r="Q413" t="str">
        <f>IF(M413&lt;ASSUMPTIONS!$D$10,"New (0-2)",IF(M413&lt;=ASSUMPTIONS!$D$11,"Early (2-5)",IF(M413&lt;=ASSUMPTIONS!$D$12,"Established (5-10)","Veteran (10+)")))</f>
        <v>Veteran (10+)</v>
      </c>
      <c r="R413" s="4">
        <f t="shared" si="13"/>
        <v>1</v>
      </c>
    </row>
    <row r="414" spans="1:18">
      <c r="A414">
        <f>RAW_DATA!A414</f>
        <v>46</v>
      </c>
      <c r="B414" t="str">
        <f>RAW_DATA!B414</f>
        <v>No</v>
      </c>
      <c r="C414" t="str">
        <f>RAW_DATA!C414</f>
        <v>Research &amp; Development</v>
      </c>
      <c r="D414">
        <f>RAW_DATA!D414</f>
        <v>18</v>
      </c>
      <c r="E414">
        <f>RAW_DATA!E414</f>
        <v>3</v>
      </c>
      <c r="F414" t="str">
        <f>RAW_DATA!F414</f>
        <v>Medical</v>
      </c>
      <c r="G414">
        <f>RAW_DATA!G414</f>
        <v>3</v>
      </c>
      <c r="H414">
        <f>RAW_DATA!H414</f>
        <v>3</v>
      </c>
      <c r="I414" t="str">
        <f>RAW_DATA!I414</f>
        <v>Divorced</v>
      </c>
      <c r="J414">
        <f>RAW_DATA!J414</f>
        <v>4810</v>
      </c>
      <c r="K414">
        <f>RAW_DATA!K414</f>
        <v>2</v>
      </c>
      <c r="L414">
        <f>RAW_DATA!L414</f>
        <v>2</v>
      </c>
      <c r="M414">
        <f>RAW_DATA!M414</f>
        <v>10</v>
      </c>
      <c r="N414">
        <f t="shared" si="12"/>
        <v>0</v>
      </c>
      <c r="O414" t="str" cm="1">
        <f t="array" ref="O414" xml:space="preserve"> _xlfn.IFS(A414 &lt;ASSUMPTIONS!$D$2,"25",A414 &lt;= ASSUMPTIONS!$D$3,"25-34",A414 &lt;= ASSUMPTIONS!$D$4, "35-44",A414 &lt;= ASSUMPTIONS!$D$5,"45-54",TRUE,"55+")</f>
        <v>45-54</v>
      </c>
      <c r="P414" t="str" cm="1">
        <f t="array" ref="P414">_xlfn.IFS( J414 &lt;ASSUMPTIONS!$D$7,"LOW",J414 &lt;= ASSUMPTIONS!$D$8,"MEDIUM",TRUE, "HIGH")</f>
        <v>MEDIUM</v>
      </c>
      <c r="Q414" t="str">
        <f>IF(M414&lt;ASSUMPTIONS!$D$10,"New (0-2)",IF(M414&lt;=ASSUMPTIONS!$D$11,"Early (2-5)",IF(M414&lt;=ASSUMPTIONS!$D$12,"Established (5-10)","Veteran (10+)")))</f>
        <v>Established (5-10)</v>
      </c>
      <c r="R414" s="4">
        <f t="shared" si="13"/>
        <v>2.6666666666666665</v>
      </c>
    </row>
    <row r="415" spans="1:18">
      <c r="A415">
        <f>RAW_DATA!A415</f>
        <v>42</v>
      </c>
      <c r="B415" t="str">
        <f>RAW_DATA!B415</f>
        <v>No</v>
      </c>
      <c r="C415" t="str">
        <f>RAW_DATA!C415</f>
        <v>Research &amp; Development</v>
      </c>
      <c r="D415">
        <f>RAW_DATA!D415</f>
        <v>28</v>
      </c>
      <c r="E415">
        <f>RAW_DATA!E415</f>
        <v>4</v>
      </c>
      <c r="F415" t="str">
        <f>RAW_DATA!F415</f>
        <v>Technical Degree</v>
      </c>
      <c r="G415">
        <f>RAW_DATA!G415</f>
        <v>4</v>
      </c>
      <c r="H415">
        <f>RAW_DATA!H415</f>
        <v>4</v>
      </c>
      <c r="I415" t="str">
        <f>RAW_DATA!I415</f>
        <v>Married</v>
      </c>
      <c r="J415">
        <f>RAW_DATA!J415</f>
        <v>4523</v>
      </c>
      <c r="K415">
        <f>RAW_DATA!K415</f>
        <v>0</v>
      </c>
      <c r="L415">
        <f>RAW_DATA!L415</f>
        <v>4</v>
      </c>
      <c r="M415">
        <f>RAW_DATA!M415</f>
        <v>6</v>
      </c>
      <c r="N415">
        <f t="shared" si="12"/>
        <v>0</v>
      </c>
      <c r="O415" t="str" cm="1">
        <f t="array" ref="O415" xml:space="preserve"> _xlfn.IFS(A415 &lt;ASSUMPTIONS!$D$2,"25",A415 &lt;= ASSUMPTIONS!$D$3,"25-34",A415 &lt;= ASSUMPTIONS!$D$4, "35-44",A415 &lt;= ASSUMPTIONS!$D$5,"45-54",TRUE,"55+")</f>
        <v>35-44</v>
      </c>
      <c r="P415" t="str" cm="1">
        <f t="array" ref="P415">_xlfn.IFS( J415 &lt;ASSUMPTIONS!$D$7,"LOW",J415 &lt;= ASSUMPTIONS!$D$8,"MEDIUM",TRUE, "HIGH")</f>
        <v>MEDIUM</v>
      </c>
      <c r="Q415" t="str">
        <f>IF(M415&lt;ASSUMPTIONS!$D$10,"New (0-2)",IF(M415&lt;=ASSUMPTIONS!$D$11,"Early (2-5)",IF(M415&lt;=ASSUMPTIONS!$D$12,"Established (5-10)","Veteran (10+)")))</f>
        <v>Established (5-10)</v>
      </c>
      <c r="R415" s="4">
        <f t="shared" si="13"/>
        <v>4</v>
      </c>
    </row>
    <row r="416" spans="1:18">
      <c r="A416">
        <f>RAW_DATA!A416</f>
        <v>24</v>
      </c>
      <c r="B416" t="str">
        <f>RAW_DATA!B416</f>
        <v>Yes</v>
      </c>
      <c r="C416" t="str">
        <f>RAW_DATA!C416</f>
        <v>Sales</v>
      </c>
      <c r="D416">
        <f>RAW_DATA!D416</f>
        <v>1</v>
      </c>
      <c r="E416">
        <f>RAW_DATA!E416</f>
        <v>1</v>
      </c>
      <c r="F416" t="str">
        <f>RAW_DATA!F416</f>
        <v>Technical Degree</v>
      </c>
      <c r="G416">
        <f>RAW_DATA!G416</f>
        <v>1</v>
      </c>
      <c r="H416">
        <f>RAW_DATA!H416</f>
        <v>2</v>
      </c>
      <c r="I416" t="str">
        <f>RAW_DATA!I416</f>
        <v>Single</v>
      </c>
      <c r="J416">
        <f>RAW_DATA!J416</f>
        <v>3202</v>
      </c>
      <c r="K416">
        <f>RAW_DATA!K416</f>
        <v>1</v>
      </c>
      <c r="L416">
        <f>RAW_DATA!L416</f>
        <v>3</v>
      </c>
      <c r="M416">
        <f>RAW_DATA!M416</f>
        <v>5</v>
      </c>
      <c r="N416">
        <f t="shared" si="12"/>
        <v>1</v>
      </c>
      <c r="O416" t="str" cm="1">
        <f t="array" ref="O416" xml:space="preserve"> _xlfn.IFS(A416 &lt;ASSUMPTIONS!$D$2,"25",A416 &lt;= ASSUMPTIONS!$D$3,"25-34",A416 &lt;= ASSUMPTIONS!$D$4, "35-44",A416 &lt;= ASSUMPTIONS!$D$5,"45-54",TRUE,"55+")</f>
        <v>25</v>
      </c>
      <c r="P416" t="str" cm="1">
        <f t="array" ref="P416">_xlfn.IFS( J416 &lt;ASSUMPTIONS!$D$7,"LOW",J416 &lt;= ASSUMPTIONS!$D$8,"MEDIUM",TRUE, "HIGH")</f>
        <v>MEDIUM</v>
      </c>
      <c r="Q416" t="str">
        <f>IF(M416&lt;ASSUMPTIONS!$D$10,"New (0-2)",IF(M416&lt;=ASSUMPTIONS!$D$11,"Early (2-5)",IF(M416&lt;=ASSUMPTIONS!$D$12,"Established (5-10)","Veteran (10+)")))</f>
        <v>Early (2-5)</v>
      </c>
      <c r="R416" s="4">
        <f t="shared" si="13"/>
        <v>2</v>
      </c>
    </row>
    <row r="417" spans="1:18">
      <c r="A417">
        <f>RAW_DATA!A417</f>
        <v>34</v>
      </c>
      <c r="B417" t="str">
        <f>RAW_DATA!B417</f>
        <v>Yes</v>
      </c>
      <c r="C417" t="str">
        <f>RAW_DATA!C417</f>
        <v>Sales</v>
      </c>
      <c r="D417">
        <f>RAW_DATA!D417</f>
        <v>6</v>
      </c>
      <c r="E417">
        <f>RAW_DATA!E417</f>
        <v>2</v>
      </c>
      <c r="F417" t="str">
        <f>RAW_DATA!F417</f>
        <v>Marketing</v>
      </c>
      <c r="G417">
        <f>RAW_DATA!G417</f>
        <v>4</v>
      </c>
      <c r="H417">
        <f>RAW_DATA!H417</f>
        <v>3</v>
      </c>
      <c r="I417" t="str">
        <f>RAW_DATA!I417</f>
        <v>Divorced</v>
      </c>
      <c r="J417">
        <f>RAW_DATA!J417</f>
        <v>2351</v>
      </c>
      <c r="K417">
        <f>RAW_DATA!K417</f>
        <v>0</v>
      </c>
      <c r="L417">
        <f>RAW_DATA!L417</f>
        <v>2</v>
      </c>
      <c r="M417">
        <f>RAW_DATA!M417</f>
        <v>2</v>
      </c>
      <c r="N417">
        <f t="shared" si="12"/>
        <v>1</v>
      </c>
      <c r="O417" t="str" cm="1">
        <f t="array" ref="O417" xml:space="preserve"> _xlfn.IFS(A417 &lt;ASSUMPTIONS!$D$2,"25",A417 &lt;= ASSUMPTIONS!$D$3,"25-34",A417 &lt;= ASSUMPTIONS!$D$4, "35-44",A417 &lt;= ASSUMPTIONS!$D$5,"45-54",TRUE,"55+")</f>
        <v>25-34</v>
      </c>
      <c r="P417" t="str" cm="1">
        <f t="array" ref="P417">_xlfn.IFS( J417 &lt;ASSUMPTIONS!$D$7,"LOW",J417 &lt;= ASSUMPTIONS!$D$8,"MEDIUM",TRUE, "HIGH")</f>
        <v>LOW</v>
      </c>
      <c r="Q417" t="str">
        <f>IF(M417&lt;ASSUMPTIONS!$D$10,"New (0-2)",IF(M417&lt;=ASSUMPTIONS!$D$11,"Early (2-5)",IF(M417&lt;=ASSUMPTIONS!$D$12,"Established (5-10)","Veteran (10+)")))</f>
        <v>Early (2-5)</v>
      </c>
      <c r="R417" s="4">
        <f t="shared" si="13"/>
        <v>3</v>
      </c>
    </row>
    <row r="418" spans="1:18">
      <c r="A418">
        <f>RAW_DATA!A418</f>
        <v>38</v>
      </c>
      <c r="B418" t="str">
        <f>RAW_DATA!B418</f>
        <v>No</v>
      </c>
      <c r="C418" t="str">
        <f>RAW_DATA!C418</f>
        <v>Research &amp; Development</v>
      </c>
      <c r="D418">
        <f>RAW_DATA!D418</f>
        <v>2</v>
      </c>
      <c r="E418">
        <f>RAW_DATA!E418</f>
        <v>2</v>
      </c>
      <c r="F418" t="str">
        <f>RAW_DATA!F418</f>
        <v>Life Sciences</v>
      </c>
      <c r="G418">
        <f>RAW_DATA!G418</f>
        <v>4</v>
      </c>
      <c r="H418">
        <f>RAW_DATA!H418</f>
        <v>4</v>
      </c>
      <c r="I418" t="str">
        <f>RAW_DATA!I418</f>
        <v>Married</v>
      </c>
      <c r="J418">
        <f>RAW_DATA!J418</f>
        <v>1702</v>
      </c>
      <c r="K418">
        <f>RAW_DATA!K418</f>
        <v>1</v>
      </c>
      <c r="L418">
        <f>RAW_DATA!L418</f>
        <v>3</v>
      </c>
      <c r="M418">
        <f>RAW_DATA!M418</f>
        <v>1</v>
      </c>
      <c r="N418">
        <f t="shared" si="12"/>
        <v>0</v>
      </c>
      <c r="O418" t="str" cm="1">
        <f t="array" ref="O418" xml:space="preserve"> _xlfn.IFS(A418 &lt;ASSUMPTIONS!$D$2,"25",A418 &lt;= ASSUMPTIONS!$D$3,"25-34",A418 &lt;= ASSUMPTIONS!$D$4, "35-44",A418 &lt;= ASSUMPTIONS!$D$5,"45-54",TRUE,"55+")</f>
        <v>35-44</v>
      </c>
      <c r="P418" t="str" cm="1">
        <f t="array" ref="P418">_xlfn.IFS( J418 &lt;ASSUMPTIONS!$D$7,"LOW",J418 &lt;= ASSUMPTIONS!$D$8,"MEDIUM",TRUE, "HIGH")</f>
        <v>LOW</v>
      </c>
      <c r="Q418" t="str">
        <f>IF(M418&lt;ASSUMPTIONS!$D$10,"New (0-2)",IF(M418&lt;=ASSUMPTIONS!$D$11,"Early (2-5)",IF(M418&lt;=ASSUMPTIONS!$D$12,"Established (5-10)","Veteran (10+)")))</f>
        <v>New (0-2)</v>
      </c>
      <c r="R418" s="4">
        <f t="shared" si="13"/>
        <v>3.6666666666666665</v>
      </c>
    </row>
    <row r="419" spans="1:18">
      <c r="A419">
        <f>RAW_DATA!A419</f>
        <v>40</v>
      </c>
      <c r="B419" t="str">
        <f>RAW_DATA!B419</f>
        <v>No</v>
      </c>
      <c r="C419" t="str">
        <f>RAW_DATA!C419</f>
        <v>Sales</v>
      </c>
      <c r="D419">
        <f>RAW_DATA!D419</f>
        <v>2</v>
      </c>
      <c r="E419">
        <f>RAW_DATA!E419</f>
        <v>4</v>
      </c>
      <c r="F419" t="str">
        <f>RAW_DATA!F419</f>
        <v>Life Sciences</v>
      </c>
      <c r="G419">
        <f>RAW_DATA!G419</f>
        <v>3</v>
      </c>
      <c r="H419">
        <f>RAW_DATA!H419</f>
        <v>3</v>
      </c>
      <c r="I419" t="str">
        <f>RAW_DATA!I419</f>
        <v>Married</v>
      </c>
      <c r="J419">
        <f>RAW_DATA!J419</f>
        <v>18041</v>
      </c>
      <c r="K419">
        <f>RAW_DATA!K419</f>
        <v>0</v>
      </c>
      <c r="L419">
        <f>RAW_DATA!L419</f>
        <v>3</v>
      </c>
      <c r="M419">
        <f>RAW_DATA!M419</f>
        <v>20</v>
      </c>
      <c r="N419">
        <f t="shared" si="12"/>
        <v>0</v>
      </c>
      <c r="O419" t="str" cm="1">
        <f t="array" ref="O419" xml:space="preserve"> _xlfn.IFS(A419 &lt;ASSUMPTIONS!$D$2,"25",A419 &lt;= ASSUMPTIONS!$D$3,"25-34",A419 &lt;= ASSUMPTIONS!$D$4, "35-44",A419 &lt;= ASSUMPTIONS!$D$5,"45-54",TRUE,"55+")</f>
        <v>35-44</v>
      </c>
      <c r="P419" t="str" cm="1">
        <f t="array" ref="P419">_xlfn.IFS( J419 &lt;ASSUMPTIONS!$D$7,"LOW",J419 &lt;= ASSUMPTIONS!$D$8,"MEDIUM",TRUE, "HIGH")</f>
        <v>HIGH</v>
      </c>
      <c r="Q419" t="str">
        <f>IF(M419&lt;ASSUMPTIONS!$D$10,"New (0-2)",IF(M419&lt;=ASSUMPTIONS!$D$11,"Early (2-5)",IF(M419&lt;=ASSUMPTIONS!$D$12,"Established (5-10)","Veteran (10+)")))</f>
        <v>Veteran (10+)</v>
      </c>
      <c r="R419" s="4">
        <f t="shared" si="13"/>
        <v>3</v>
      </c>
    </row>
    <row r="420" spans="1:18">
      <c r="A420">
        <f>RAW_DATA!A420</f>
        <v>26</v>
      </c>
      <c r="B420" t="str">
        <f>RAW_DATA!B420</f>
        <v>No</v>
      </c>
      <c r="C420" t="str">
        <f>RAW_DATA!C420</f>
        <v>Research &amp; Development</v>
      </c>
      <c r="D420">
        <f>RAW_DATA!D420</f>
        <v>23</v>
      </c>
      <c r="E420">
        <f>RAW_DATA!E420</f>
        <v>3</v>
      </c>
      <c r="F420" t="str">
        <f>RAW_DATA!F420</f>
        <v>Life Sciences</v>
      </c>
      <c r="G420">
        <f>RAW_DATA!G420</f>
        <v>1</v>
      </c>
      <c r="H420">
        <f>RAW_DATA!H420</f>
        <v>4</v>
      </c>
      <c r="I420" t="str">
        <f>RAW_DATA!I420</f>
        <v>Divorced</v>
      </c>
      <c r="J420">
        <f>RAW_DATA!J420</f>
        <v>2886</v>
      </c>
      <c r="K420">
        <f>RAW_DATA!K420</f>
        <v>1</v>
      </c>
      <c r="L420">
        <f>RAW_DATA!L420</f>
        <v>1</v>
      </c>
      <c r="M420">
        <f>RAW_DATA!M420</f>
        <v>3</v>
      </c>
      <c r="N420">
        <f t="shared" si="12"/>
        <v>0</v>
      </c>
      <c r="O420" t="str" cm="1">
        <f t="array" ref="O420" xml:space="preserve"> _xlfn.IFS(A420 &lt;ASSUMPTIONS!$D$2,"25",A420 &lt;= ASSUMPTIONS!$D$3,"25-34",A420 &lt;= ASSUMPTIONS!$D$4, "35-44",A420 &lt;= ASSUMPTIONS!$D$5,"45-54",TRUE,"55+")</f>
        <v>25-34</v>
      </c>
      <c r="P420" t="str" cm="1">
        <f t="array" ref="P420">_xlfn.IFS( J420 &lt;ASSUMPTIONS!$D$7,"LOW",J420 &lt;= ASSUMPTIONS!$D$8,"MEDIUM",TRUE, "HIGH")</f>
        <v>LOW</v>
      </c>
      <c r="Q420" t="str">
        <f>IF(M420&lt;ASSUMPTIONS!$D$10,"New (0-2)",IF(M420&lt;=ASSUMPTIONS!$D$11,"Early (2-5)",IF(M420&lt;=ASSUMPTIONS!$D$12,"Established (5-10)","Veteran (10+)")))</f>
        <v>Early (2-5)</v>
      </c>
      <c r="R420" s="4">
        <f t="shared" si="13"/>
        <v>2</v>
      </c>
    </row>
    <row r="421" spans="1:18">
      <c r="A421">
        <f>RAW_DATA!A421</f>
        <v>30</v>
      </c>
      <c r="B421" t="str">
        <f>RAW_DATA!B421</f>
        <v>No</v>
      </c>
      <c r="C421" t="str">
        <f>RAW_DATA!C421</f>
        <v>Research &amp; Development</v>
      </c>
      <c r="D421">
        <f>RAW_DATA!D421</f>
        <v>3</v>
      </c>
      <c r="E421">
        <f>RAW_DATA!E421</f>
        <v>3</v>
      </c>
      <c r="F421" t="str">
        <f>RAW_DATA!F421</f>
        <v>Life Sciences</v>
      </c>
      <c r="G421">
        <f>RAW_DATA!G421</f>
        <v>3</v>
      </c>
      <c r="H421">
        <f>RAW_DATA!H421</f>
        <v>4</v>
      </c>
      <c r="I421" t="str">
        <f>RAW_DATA!I421</f>
        <v>Married</v>
      </c>
      <c r="J421">
        <f>RAW_DATA!J421</f>
        <v>2097</v>
      </c>
      <c r="K421">
        <f>RAW_DATA!K421</f>
        <v>4</v>
      </c>
      <c r="L421">
        <f>RAW_DATA!L421</f>
        <v>1</v>
      </c>
      <c r="M421">
        <f>RAW_DATA!M421</f>
        <v>5</v>
      </c>
      <c r="N421">
        <f t="shared" si="12"/>
        <v>0</v>
      </c>
      <c r="O421" t="str" cm="1">
        <f t="array" ref="O421" xml:space="preserve"> _xlfn.IFS(A421 &lt;ASSUMPTIONS!$D$2,"25",A421 &lt;= ASSUMPTIONS!$D$3,"25-34",A421 &lt;= ASSUMPTIONS!$D$4, "35-44",A421 &lt;= ASSUMPTIONS!$D$5,"45-54",TRUE,"55+")</f>
        <v>25-34</v>
      </c>
      <c r="P421" t="str" cm="1">
        <f t="array" ref="P421">_xlfn.IFS( J421 &lt;ASSUMPTIONS!$D$7,"LOW",J421 &lt;= ASSUMPTIONS!$D$8,"MEDIUM",TRUE, "HIGH")</f>
        <v>LOW</v>
      </c>
      <c r="Q421" t="str">
        <f>IF(M421&lt;ASSUMPTIONS!$D$10,"New (0-2)",IF(M421&lt;=ASSUMPTIONS!$D$11,"Early (2-5)",IF(M421&lt;=ASSUMPTIONS!$D$12,"Established (5-10)","Veteran (10+)")))</f>
        <v>Early (2-5)</v>
      </c>
      <c r="R421" s="4">
        <f t="shared" si="13"/>
        <v>2.6666666666666665</v>
      </c>
    </row>
    <row r="422" spans="1:18">
      <c r="A422">
        <f>RAW_DATA!A422</f>
        <v>29</v>
      </c>
      <c r="B422" t="str">
        <f>RAW_DATA!B422</f>
        <v>No</v>
      </c>
      <c r="C422" t="str">
        <f>RAW_DATA!C422</f>
        <v>Research &amp; Development</v>
      </c>
      <c r="D422">
        <f>RAW_DATA!D422</f>
        <v>3</v>
      </c>
      <c r="E422">
        <f>RAW_DATA!E422</f>
        <v>4</v>
      </c>
      <c r="F422" t="str">
        <f>RAW_DATA!F422</f>
        <v>Medical</v>
      </c>
      <c r="G422">
        <f>RAW_DATA!G422</f>
        <v>2</v>
      </c>
      <c r="H422">
        <f>RAW_DATA!H422</f>
        <v>3</v>
      </c>
      <c r="I422" t="str">
        <f>RAW_DATA!I422</f>
        <v>Married</v>
      </c>
      <c r="J422">
        <f>RAW_DATA!J422</f>
        <v>11935</v>
      </c>
      <c r="K422">
        <f>RAW_DATA!K422</f>
        <v>1</v>
      </c>
      <c r="L422">
        <f>RAW_DATA!L422</f>
        <v>3</v>
      </c>
      <c r="M422">
        <f>RAW_DATA!M422</f>
        <v>10</v>
      </c>
      <c r="N422">
        <f t="shared" si="12"/>
        <v>0</v>
      </c>
      <c r="O422" t="str" cm="1">
        <f t="array" ref="O422" xml:space="preserve"> _xlfn.IFS(A422 &lt;ASSUMPTIONS!$D$2,"25",A422 &lt;= ASSUMPTIONS!$D$3,"25-34",A422 &lt;= ASSUMPTIONS!$D$4, "35-44",A422 &lt;= ASSUMPTIONS!$D$5,"45-54",TRUE,"55+")</f>
        <v>25-34</v>
      </c>
      <c r="P422" t="str" cm="1">
        <f t="array" ref="P422">_xlfn.IFS( J422 &lt;ASSUMPTIONS!$D$7,"LOW",J422 &lt;= ASSUMPTIONS!$D$8,"MEDIUM",TRUE, "HIGH")</f>
        <v>HIGH</v>
      </c>
      <c r="Q422" t="str">
        <f>IF(M422&lt;ASSUMPTIONS!$D$10,"New (0-2)",IF(M422&lt;=ASSUMPTIONS!$D$11,"Early (2-5)",IF(M422&lt;=ASSUMPTIONS!$D$12,"Established (5-10)","Veteran (10+)")))</f>
        <v>Established (5-10)</v>
      </c>
      <c r="R422" s="4">
        <f t="shared" si="13"/>
        <v>2.6666666666666665</v>
      </c>
    </row>
    <row r="423" spans="1:18">
      <c r="A423">
        <f>RAW_DATA!A423</f>
        <v>29</v>
      </c>
      <c r="B423" t="str">
        <f>RAW_DATA!B423</f>
        <v>Yes</v>
      </c>
      <c r="C423" t="str">
        <f>RAW_DATA!C423</f>
        <v>Research &amp; Development</v>
      </c>
      <c r="D423">
        <f>RAW_DATA!D423</f>
        <v>25</v>
      </c>
      <c r="E423">
        <f>RAW_DATA!E423</f>
        <v>5</v>
      </c>
      <c r="F423" t="str">
        <f>RAW_DATA!F423</f>
        <v>Technical Degree</v>
      </c>
      <c r="G423">
        <f>RAW_DATA!G423</f>
        <v>3</v>
      </c>
      <c r="H423">
        <f>RAW_DATA!H423</f>
        <v>2</v>
      </c>
      <c r="I423" t="str">
        <f>RAW_DATA!I423</f>
        <v>Married</v>
      </c>
      <c r="J423">
        <f>RAW_DATA!J423</f>
        <v>2546</v>
      </c>
      <c r="K423">
        <f>RAW_DATA!K423</f>
        <v>5</v>
      </c>
      <c r="L423">
        <f>RAW_DATA!L423</f>
        <v>4</v>
      </c>
      <c r="M423">
        <f>RAW_DATA!M423</f>
        <v>2</v>
      </c>
      <c r="N423">
        <f t="shared" si="12"/>
        <v>1</v>
      </c>
      <c r="O423" t="str" cm="1">
        <f t="array" ref="O423" xml:space="preserve"> _xlfn.IFS(A423 &lt;ASSUMPTIONS!$D$2,"25",A423 &lt;= ASSUMPTIONS!$D$3,"25-34",A423 &lt;= ASSUMPTIONS!$D$4, "35-44",A423 &lt;= ASSUMPTIONS!$D$5,"45-54",TRUE,"55+")</f>
        <v>25-34</v>
      </c>
      <c r="P423" t="str" cm="1">
        <f t="array" ref="P423">_xlfn.IFS( J423 &lt;ASSUMPTIONS!$D$7,"LOW",J423 &lt;= ASSUMPTIONS!$D$8,"MEDIUM",TRUE, "HIGH")</f>
        <v>LOW</v>
      </c>
      <c r="Q423" t="str">
        <f>IF(M423&lt;ASSUMPTIONS!$D$10,"New (0-2)",IF(M423&lt;=ASSUMPTIONS!$D$11,"Early (2-5)",IF(M423&lt;=ASSUMPTIONS!$D$12,"Established (5-10)","Veteran (10+)")))</f>
        <v>Early (2-5)</v>
      </c>
      <c r="R423" s="4">
        <f t="shared" si="13"/>
        <v>3</v>
      </c>
    </row>
    <row r="424" spans="1:18">
      <c r="A424">
        <f>RAW_DATA!A424</f>
        <v>19</v>
      </c>
      <c r="B424" t="str">
        <f>RAW_DATA!B424</f>
        <v>Yes</v>
      </c>
      <c r="C424" t="str">
        <f>RAW_DATA!C424</f>
        <v>Human Resources</v>
      </c>
      <c r="D424">
        <f>RAW_DATA!D424</f>
        <v>2</v>
      </c>
      <c r="E424">
        <f>RAW_DATA!E424</f>
        <v>2</v>
      </c>
      <c r="F424" t="str">
        <f>RAW_DATA!F424</f>
        <v>Technical Degree</v>
      </c>
      <c r="G424">
        <f>RAW_DATA!G424</f>
        <v>1</v>
      </c>
      <c r="H424">
        <f>RAW_DATA!H424</f>
        <v>4</v>
      </c>
      <c r="I424" t="str">
        <f>RAW_DATA!I424</f>
        <v>Single</v>
      </c>
      <c r="J424">
        <f>RAW_DATA!J424</f>
        <v>2564</v>
      </c>
      <c r="K424">
        <f>RAW_DATA!K424</f>
        <v>1</v>
      </c>
      <c r="L424">
        <f>RAW_DATA!L424</f>
        <v>4</v>
      </c>
      <c r="M424">
        <f>RAW_DATA!M424</f>
        <v>1</v>
      </c>
      <c r="N424">
        <f t="shared" si="12"/>
        <v>1</v>
      </c>
      <c r="O424" t="str" cm="1">
        <f t="array" ref="O424" xml:space="preserve"> _xlfn.IFS(A424 &lt;ASSUMPTIONS!$D$2,"25",A424 &lt;= ASSUMPTIONS!$D$3,"25-34",A424 &lt;= ASSUMPTIONS!$D$4, "35-44",A424 &lt;= ASSUMPTIONS!$D$5,"45-54",TRUE,"55+")</f>
        <v>25</v>
      </c>
      <c r="P424" t="str" cm="1">
        <f t="array" ref="P424">_xlfn.IFS( J424 &lt;ASSUMPTIONS!$D$7,"LOW",J424 &lt;= ASSUMPTIONS!$D$8,"MEDIUM",TRUE, "HIGH")</f>
        <v>LOW</v>
      </c>
      <c r="Q424" t="str">
        <f>IF(M424&lt;ASSUMPTIONS!$D$10,"New (0-2)",IF(M424&lt;=ASSUMPTIONS!$D$11,"Early (2-5)",IF(M424&lt;=ASSUMPTIONS!$D$12,"Established (5-10)","Veteran (10+)")))</f>
        <v>New (0-2)</v>
      </c>
      <c r="R424" s="4">
        <f t="shared" si="13"/>
        <v>3</v>
      </c>
    </row>
    <row r="425" spans="1:18">
      <c r="A425">
        <f>RAW_DATA!A425</f>
        <v>30</v>
      </c>
      <c r="B425" t="str">
        <f>RAW_DATA!B425</f>
        <v>No</v>
      </c>
      <c r="C425" t="str">
        <f>RAW_DATA!C425</f>
        <v>Sales</v>
      </c>
      <c r="D425">
        <f>RAW_DATA!D425</f>
        <v>22</v>
      </c>
      <c r="E425">
        <f>RAW_DATA!E425</f>
        <v>4</v>
      </c>
      <c r="F425" t="str">
        <f>RAW_DATA!F425</f>
        <v>Other</v>
      </c>
      <c r="G425">
        <f>RAW_DATA!G425</f>
        <v>3</v>
      </c>
      <c r="H425">
        <f>RAW_DATA!H425</f>
        <v>1</v>
      </c>
      <c r="I425" t="str">
        <f>RAW_DATA!I425</f>
        <v>Married</v>
      </c>
      <c r="J425">
        <f>RAW_DATA!J425</f>
        <v>8412</v>
      </c>
      <c r="K425">
        <f>RAW_DATA!K425</f>
        <v>0</v>
      </c>
      <c r="L425">
        <f>RAW_DATA!L425</f>
        <v>3</v>
      </c>
      <c r="M425">
        <f>RAW_DATA!M425</f>
        <v>9</v>
      </c>
      <c r="N425">
        <f t="shared" si="12"/>
        <v>0</v>
      </c>
      <c r="O425" t="str" cm="1">
        <f t="array" ref="O425" xml:space="preserve"> _xlfn.IFS(A425 &lt;ASSUMPTIONS!$D$2,"25",A425 &lt;= ASSUMPTIONS!$D$3,"25-34",A425 &lt;= ASSUMPTIONS!$D$4, "35-44",A425 &lt;= ASSUMPTIONS!$D$5,"45-54",TRUE,"55+")</f>
        <v>25-34</v>
      </c>
      <c r="P425" t="str" cm="1">
        <f t="array" ref="P425">_xlfn.IFS( J425 &lt;ASSUMPTIONS!$D$7,"LOW",J425 &lt;= ASSUMPTIONS!$D$8,"MEDIUM",TRUE, "HIGH")</f>
        <v>HIGH</v>
      </c>
      <c r="Q425" t="str">
        <f>IF(M425&lt;ASSUMPTIONS!$D$10,"New (0-2)",IF(M425&lt;=ASSUMPTIONS!$D$11,"Early (2-5)",IF(M425&lt;=ASSUMPTIONS!$D$12,"Established (5-10)","Veteran (10+)")))</f>
        <v>Established (5-10)</v>
      </c>
      <c r="R425" s="4">
        <f t="shared" si="13"/>
        <v>2.3333333333333335</v>
      </c>
    </row>
    <row r="426" spans="1:18">
      <c r="A426">
        <f>RAW_DATA!A426</f>
        <v>57</v>
      </c>
      <c r="B426" t="str">
        <f>RAW_DATA!B426</f>
        <v>No</v>
      </c>
      <c r="C426" t="str">
        <f>RAW_DATA!C426</f>
        <v>Sales</v>
      </c>
      <c r="D426">
        <f>RAW_DATA!D426</f>
        <v>29</v>
      </c>
      <c r="E426">
        <f>RAW_DATA!E426</f>
        <v>3</v>
      </c>
      <c r="F426" t="str">
        <f>RAW_DATA!F426</f>
        <v>Marketing</v>
      </c>
      <c r="G426">
        <f>RAW_DATA!G426</f>
        <v>1</v>
      </c>
      <c r="H426">
        <f>RAW_DATA!H426</f>
        <v>4</v>
      </c>
      <c r="I426" t="str">
        <f>RAW_DATA!I426</f>
        <v>Divorced</v>
      </c>
      <c r="J426">
        <f>RAW_DATA!J426</f>
        <v>14118</v>
      </c>
      <c r="K426">
        <f>RAW_DATA!K426</f>
        <v>3</v>
      </c>
      <c r="L426">
        <f>RAW_DATA!L426</f>
        <v>2</v>
      </c>
      <c r="M426">
        <f>RAW_DATA!M426</f>
        <v>1</v>
      </c>
      <c r="N426">
        <f t="shared" si="12"/>
        <v>0</v>
      </c>
      <c r="O426" t="str" cm="1">
        <f t="array" ref="O426" xml:space="preserve"> _xlfn.IFS(A426 &lt;ASSUMPTIONS!$D$2,"25",A426 &lt;= ASSUMPTIONS!$D$3,"25-34",A426 &lt;= ASSUMPTIONS!$D$4, "35-44",A426 &lt;= ASSUMPTIONS!$D$5,"45-54",TRUE,"55+")</f>
        <v>55+</v>
      </c>
      <c r="P426" t="str" cm="1">
        <f t="array" ref="P426">_xlfn.IFS( J426 &lt;ASSUMPTIONS!$D$7,"LOW",J426 &lt;= ASSUMPTIONS!$D$8,"MEDIUM",TRUE, "HIGH")</f>
        <v>HIGH</v>
      </c>
      <c r="Q426" t="str">
        <f>IF(M426&lt;ASSUMPTIONS!$D$10,"New (0-2)",IF(M426&lt;=ASSUMPTIONS!$D$11,"Early (2-5)",IF(M426&lt;=ASSUMPTIONS!$D$12,"Established (5-10)","Veteran (10+)")))</f>
        <v>New (0-2)</v>
      </c>
      <c r="R426" s="4">
        <f t="shared" si="13"/>
        <v>2.3333333333333335</v>
      </c>
    </row>
    <row r="427" spans="1:18">
      <c r="A427">
        <f>RAW_DATA!A427</f>
        <v>50</v>
      </c>
      <c r="B427" t="str">
        <f>RAW_DATA!B427</f>
        <v>No</v>
      </c>
      <c r="C427" t="str">
        <f>RAW_DATA!C427</f>
        <v>Research &amp; Development</v>
      </c>
      <c r="D427">
        <f>RAW_DATA!D427</f>
        <v>29</v>
      </c>
      <c r="E427">
        <f>RAW_DATA!E427</f>
        <v>4</v>
      </c>
      <c r="F427" t="str">
        <f>RAW_DATA!F427</f>
        <v>Life Sciences</v>
      </c>
      <c r="G427">
        <f>RAW_DATA!G427</f>
        <v>2</v>
      </c>
      <c r="H427">
        <f>RAW_DATA!H427</f>
        <v>3</v>
      </c>
      <c r="I427" t="str">
        <f>RAW_DATA!I427</f>
        <v>Married</v>
      </c>
      <c r="J427">
        <f>RAW_DATA!J427</f>
        <v>17046</v>
      </c>
      <c r="K427">
        <f>RAW_DATA!K427</f>
        <v>0</v>
      </c>
      <c r="L427">
        <f>RAW_DATA!L427</f>
        <v>3</v>
      </c>
      <c r="M427">
        <f>RAW_DATA!M427</f>
        <v>27</v>
      </c>
      <c r="N427">
        <f t="shared" si="12"/>
        <v>0</v>
      </c>
      <c r="O427" t="str" cm="1">
        <f t="array" ref="O427" xml:space="preserve"> _xlfn.IFS(A427 &lt;ASSUMPTIONS!$D$2,"25",A427 &lt;= ASSUMPTIONS!$D$3,"25-34",A427 &lt;= ASSUMPTIONS!$D$4, "35-44",A427 &lt;= ASSUMPTIONS!$D$5,"45-54",TRUE,"55+")</f>
        <v>45-54</v>
      </c>
      <c r="P427" t="str" cm="1">
        <f t="array" ref="P427">_xlfn.IFS( J427 &lt;ASSUMPTIONS!$D$7,"LOW",J427 &lt;= ASSUMPTIONS!$D$8,"MEDIUM",TRUE, "HIGH")</f>
        <v>HIGH</v>
      </c>
      <c r="Q427" t="str">
        <f>IF(M427&lt;ASSUMPTIONS!$D$10,"New (0-2)",IF(M427&lt;=ASSUMPTIONS!$D$11,"Early (2-5)",IF(M427&lt;=ASSUMPTIONS!$D$12,"Established (5-10)","Veteran (10+)")))</f>
        <v>Veteran (10+)</v>
      </c>
      <c r="R427" s="4">
        <f t="shared" si="13"/>
        <v>2.6666666666666665</v>
      </c>
    </row>
    <row r="428" spans="1:18">
      <c r="A428">
        <f>RAW_DATA!A428</f>
        <v>30</v>
      </c>
      <c r="B428" t="str">
        <f>RAW_DATA!B428</f>
        <v>No</v>
      </c>
      <c r="C428" t="str">
        <f>RAW_DATA!C428</f>
        <v>Research &amp; Development</v>
      </c>
      <c r="D428">
        <f>RAW_DATA!D428</f>
        <v>2</v>
      </c>
      <c r="E428">
        <f>RAW_DATA!E428</f>
        <v>3</v>
      </c>
      <c r="F428" t="str">
        <f>RAW_DATA!F428</f>
        <v>Medical</v>
      </c>
      <c r="G428">
        <f>RAW_DATA!G428</f>
        <v>3</v>
      </c>
      <c r="H428">
        <f>RAW_DATA!H428</f>
        <v>4</v>
      </c>
      <c r="I428" t="str">
        <f>RAW_DATA!I428</f>
        <v>Single</v>
      </c>
      <c r="J428">
        <f>RAW_DATA!J428</f>
        <v>2564</v>
      </c>
      <c r="K428">
        <f>RAW_DATA!K428</f>
        <v>0</v>
      </c>
      <c r="L428">
        <f>RAW_DATA!L428</f>
        <v>2</v>
      </c>
      <c r="M428">
        <f>RAW_DATA!M428</f>
        <v>11</v>
      </c>
      <c r="N428">
        <f t="shared" si="12"/>
        <v>0</v>
      </c>
      <c r="O428" t="str" cm="1">
        <f t="array" ref="O428" xml:space="preserve"> _xlfn.IFS(A428 &lt;ASSUMPTIONS!$D$2,"25",A428 &lt;= ASSUMPTIONS!$D$3,"25-34",A428 &lt;= ASSUMPTIONS!$D$4, "35-44",A428 &lt;= ASSUMPTIONS!$D$5,"45-54",TRUE,"55+")</f>
        <v>25-34</v>
      </c>
      <c r="P428" t="str" cm="1">
        <f t="array" ref="P428">_xlfn.IFS( J428 &lt;ASSUMPTIONS!$D$7,"LOW",J428 &lt;= ASSUMPTIONS!$D$8,"MEDIUM",TRUE, "HIGH")</f>
        <v>LOW</v>
      </c>
      <c r="Q428" t="str">
        <f>IF(M428&lt;ASSUMPTIONS!$D$10,"New (0-2)",IF(M428&lt;=ASSUMPTIONS!$D$11,"Early (2-5)",IF(M428&lt;=ASSUMPTIONS!$D$12,"Established (5-10)","Veteran (10+)")))</f>
        <v>Veteran (10+)</v>
      </c>
      <c r="R428" s="4">
        <f t="shared" si="13"/>
        <v>3</v>
      </c>
    </row>
    <row r="429" spans="1:18">
      <c r="A429">
        <f>RAW_DATA!A429</f>
        <v>60</v>
      </c>
      <c r="B429" t="str">
        <f>RAW_DATA!B429</f>
        <v>No</v>
      </c>
      <c r="C429" t="str">
        <f>RAW_DATA!C429</f>
        <v>Sales</v>
      </c>
      <c r="D429">
        <f>RAW_DATA!D429</f>
        <v>28</v>
      </c>
      <c r="E429">
        <f>RAW_DATA!E429</f>
        <v>3</v>
      </c>
      <c r="F429" t="str">
        <f>RAW_DATA!F429</f>
        <v>Marketing</v>
      </c>
      <c r="G429">
        <f>RAW_DATA!G429</f>
        <v>3</v>
      </c>
      <c r="H429">
        <f>RAW_DATA!H429</f>
        <v>1</v>
      </c>
      <c r="I429" t="str">
        <f>RAW_DATA!I429</f>
        <v>Married</v>
      </c>
      <c r="J429">
        <f>RAW_DATA!J429</f>
        <v>10266</v>
      </c>
      <c r="K429">
        <f>RAW_DATA!K429</f>
        <v>4</v>
      </c>
      <c r="L429">
        <f>RAW_DATA!L429</f>
        <v>4</v>
      </c>
      <c r="M429">
        <f>RAW_DATA!M429</f>
        <v>18</v>
      </c>
      <c r="N429">
        <f t="shared" si="12"/>
        <v>0</v>
      </c>
      <c r="O429" t="str" cm="1">
        <f t="array" ref="O429" xml:space="preserve"> _xlfn.IFS(A429 &lt;ASSUMPTIONS!$D$2,"25",A429 &lt;= ASSUMPTIONS!$D$3,"25-34",A429 &lt;= ASSUMPTIONS!$D$4, "35-44",A429 &lt;= ASSUMPTIONS!$D$5,"45-54",TRUE,"55+")</f>
        <v>55+</v>
      </c>
      <c r="P429" t="str" cm="1">
        <f t="array" ref="P429">_xlfn.IFS( J429 &lt;ASSUMPTIONS!$D$7,"LOW",J429 &lt;= ASSUMPTIONS!$D$8,"MEDIUM",TRUE, "HIGH")</f>
        <v>HIGH</v>
      </c>
      <c r="Q429" t="str">
        <f>IF(M429&lt;ASSUMPTIONS!$D$10,"New (0-2)",IF(M429&lt;=ASSUMPTIONS!$D$11,"Early (2-5)",IF(M429&lt;=ASSUMPTIONS!$D$12,"Established (5-10)","Veteran (10+)")))</f>
        <v>Veteran (10+)</v>
      </c>
      <c r="R429" s="4">
        <f t="shared" si="13"/>
        <v>2.6666666666666665</v>
      </c>
    </row>
    <row r="430" spans="1:18">
      <c r="A430">
        <f>RAW_DATA!A430</f>
        <v>47</v>
      </c>
      <c r="B430" t="str">
        <f>RAW_DATA!B430</f>
        <v>No</v>
      </c>
      <c r="C430" t="str">
        <f>RAW_DATA!C430</f>
        <v>Research &amp; Development</v>
      </c>
      <c r="D430">
        <f>RAW_DATA!D430</f>
        <v>2</v>
      </c>
      <c r="E430">
        <f>RAW_DATA!E430</f>
        <v>2</v>
      </c>
      <c r="F430" t="str">
        <f>RAW_DATA!F430</f>
        <v>Medical</v>
      </c>
      <c r="G430">
        <f>RAW_DATA!G430</f>
        <v>1</v>
      </c>
      <c r="H430">
        <f>RAW_DATA!H430</f>
        <v>4</v>
      </c>
      <c r="I430" t="str">
        <f>RAW_DATA!I430</f>
        <v>Divorced</v>
      </c>
      <c r="J430">
        <f>RAW_DATA!J430</f>
        <v>5070</v>
      </c>
      <c r="K430">
        <f>RAW_DATA!K430</f>
        <v>5</v>
      </c>
      <c r="L430">
        <f>RAW_DATA!L430</f>
        <v>3</v>
      </c>
      <c r="M430">
        <f>RAW_DATA!M430</f>
        <v>5</v>
      </c>
      <c r="N430">
        <f t="shared" si="12"/>
        <v>0</v>
      </c>
      <c r="O430" t="str" cm="1">
        <f t="array" ref="O430" xml:space="preserve"> _xlfn.IFS(A430 &lt;ASSUMPTIONS!$D$2,"25",A430 &lt;= ASSUMPTIONS!$D$3,"25-34",A430 &lt;= ASSUMPTIONS!$D$4, "35-44",A430 &lt;= ASSUMPTIONS!$D$5,"45-54",TRUE,"55+")</f>
        <v>45-54</v>
      </c>
      <c r="P430" t="str" cm="1">
        <f t="array" ref="P430">_xlfn.IFS( J430 &lt;ASSUMPTIONS!$D$7,"LOW",J430 &lt;= ASSUMPTIONS!$D$8,"MEDIUM",TRUE, "HIGH")</f>
        <v>MEDIUM</v>
      </c>
      <c r="Q430" t="str">
        <f>IF(M430&lt;ASSUMPTIONS!$D$10,"New (0-2)",IF(M430&lt;=ASSUMPTIONS!$D$11,"Early (2-5)",IF(M430&lt;=ASSUMPTIONS!$D$12,"Established (5-10)","Veteran (10+)")))</f>
        <v>Early (2-5)</v>
      </c>
      <c r="R430" s="4">
        <f t="shared" si="13"/>
        <v>2.6666666666666665</v>
      </c>
    </row>
    <row r="431" spans="1:18">
      <c r="A431">
        <f>RAW_DATA!A431</f>
        <v>46</v>
      </c>
      <c r="B431" t="str">
        <f>RAW_DATA!B431</f>
        <v>No</v>
      </c>
      <c r="C431" t="str">
        <f>RAW_DATA!C431</f>
        <v>Research &amp; Development</v>
      </c>
      <c r="D431">
        <f>RAW_DATA!D431</f>
        <v>2</v>
      </c>
      <c r="E431">
        <f>RAW_DATA!E431</f>
        <v>3</v>
      </c>
      <c r="F431" t="str">
        <f>RAW_DATA!F431</f>
        <v>Life Sciences</v>
      </c>
      <c r="G431">
        <f>RAW_DATA!G431</f>
        <v>1</v>
      </c>
      <c r="H431">
        <f>RAW_DATA!H431</f>
        <v>3</v>
      </c>
      <c r="I431" t="str">
        <f>RAW_DATA!I431</f>
        <v>Married</v>
      </c>
      <c r="J431">
        <f>RAW_DATA!J431</f>
        <v>17861</v>
      </c>
      <c r="K431">
        <f>RAW_DATA!K431</f>
        <v>6</v>
      </c>
      <c r="L431">
        <f>RAW_DATA!L431</f>
        <v>1</v>
      </c>
      <c r="M431">
        <f>RAW_DATA!M431</f>
        <v>3</v>
      </c>
      <c r="N431">
        <f t="shared" si="12"/>
        <v>0</v>
      </c>
      <c r="O431" t="str" cm="1">
        <f t="array" ref="O431" xml:space="preserve"> _xlfn.IFS(A431 &lt;ASSUMPTIONS!$D$2,"25",A431 &lt;= ASSUMPTIONS!$D$3,"25-34",A431 &lt;= ASSUMPTIONS!$D$4, "35-44",A431 &lt;= ASSUMPTIONS!$D$5,"45-54",TRUE,"55+")</f>
        <v>45-54</v>
      </c>
      <c r="P431" t="str" cm="1">
        <f t="array" ref="P431">_xlfn.IFS( J431 &lt;ASSUMPTIONS!$D$7,"LOW",J431 &lt;= ASSUMPTIONS!$D$8,"MEDIUM",TRUE, "HIGH")</f>
        <v>HIGH</v>
      </c>
      <c r="Q431" t="str">
        <f>IF(M431&lt;ASSUMPTIONS!$D$10,"New (0-2)",IF(M431&lt;=ASSUMPTIONS!$D$11,"Early (2-5)",IF(M431&lt;=ASSUMPTIONS!$D$12,"Established (5-10)","Veteran (10+)")))</f>
        <v>Early (2-5)</v>
      </c>
      <c r="R431" s="4">
        <f t="shared" si="13"/>
        <v>1.6666666666666667</v>
      </c>
    </row>
    <row r="432" spans="1:18">
      <c r="A432">
        <f>RAW_DATA!A432</f>
        <v>35</v>
      </c>
      <c r="B432" t="str">
        <f>RAW_DATA!B432</f>
        <v>No</v>
      </c>
      <c r="C432" t="str">
        <f>RAW_DATA!C432</f>
        <v>Research &amp; Development</v>
      </c>
      <c r="D432">
        <f>RAW_DATA!D432</f>
        <v>22</v>
      </c>
      <c r="E432">
        <f>RAW_DATA!E432</f>
        <v>3</v>
      </c>
      <c r="F432" t="str">
        <f>RAW_DATA!F432</f>
        <v>Life Sciences</v>
      </c>
      <c r="G432">
        <f>RAW_DATA!G432</f>
        <v>4</v>
      </c>
      <c r="H432">
        <f>RAW_DATA!H432</f>
        <v>3</v>
      </c>
      <c r="I432" t="str">
        <f>RAW_DATA!I432</f>
        <v>Single</v>
      </c>
      <c r="J432">
        <f>RAW_DATA!J432</f>
        <v>4230</v>
      </c>
      <c r="K432">
        <f>RAW_DATA!K432</f>
        <v>0</v>
      </c>
      <c r="L432">
        <f>RAW_DATA!L432</f>
        <v>3</v>
      </c>
      <c r="M432">
        <f>RAW_DATA!M432</f>
        <v>5</v>
      </c>
      <c r="N432">
        <f t="shared" si="12"/>
        <v>0</v>
      </c>
      <c r="O432" t="str" cm="1">
        <f t="array" ref="O432" xml:space="preserve"> _xlfn.IFS(A432 &lt;ASSUMPTIONS!$D$2,"25",A432 &lt;= ASSUMPTIONS!$D$3,"25-34",A432 &lt;= ASSUMPTIONS!$D$4, "35-44",A432 &lt;= ASSUMPTIONS!$D$5,"45-54",TRUE,"55+")</f>
        <v>35-44</v>
      </c>
      <c r="P432" t="str" cm="1">
        <f t="array" ref="P432">_xlfn.IFS( J432 &lt;ASSUMPTIONS!$D$7,"LOW",J432 &lt;= ASSUMPTIONS!$D$8,"MEDIUM",TRUE, "HIGH")</f>
        <v>MEDIUM</v>
      </c>
      <c r="Q432" t="str">
        <f>IF(M432&lt;ASSUMPTIONS!$D$10,"New (0-2)",IF(M432&lt;=ASSUMPTIONS!$D$11,"Early (2-5)",IF(M432&lt;=ASSUMPTIONS!$D$12,"Established (5-10)","Veteran (10+)")))</f>
        <v>Early (2-5)</v>
      </c>
      <c r="R432" s="4">
        <f t="shared" si="13"/>
        <v>3.3333333333333335</v>
      </c>
    </row>
    <row r="433" spans="1:18">
      <c r="A433">
        <f>RAW_DATA!A433</f>
        <v>54</v>
      </c>
      <c r="B433" t="str">
        <f>RAW_DATA!B433</f>
        <v>No</v>
      </c>
      <c r="C433" t="str">
        <f>RAW_DATA!C433</f>
        <v>Research &amp; Development</v>
      </c>
      <c r="D433">
        <f>RAW_DATA!D433</f>
        <v>8</v>
      </c>
      <c r="E433">
        <f>RAW_DATA!E433</f>
        <v>4</v>
      </c>
      <c r="F433" t="str">
        <f>RAW_DATA!F433</f>
        <v>Life Sciences</v>
      </c>
      <c r="G433">
        <f>RAW_DATA!G433</f>
        <v>3</v>
      </c>
      <c r="H433">
        <f>RAW_DATA!H433</f>
        <v>3</v>
      </c>
      <c r="I433" t="str">
        <f>RAW_DATA!I433</f>
        <v>Single</v>
      </c>
      <c r="J433">
        <f>RAW_DATA!J433</f>
        <v>3780</v>
      </c>
      <c r="K433">
        <f>RAW_DATA!K433</f>
        <v>7</v>
      </c>
      <c r="L433">
        <f>RAW_DATA!L433</f>
        <v>3</v>
      </c>
      <c r="M433">
        <f>RAW_DATA!M433</f>
        <v>1</v>
      </c>
      <c r="N433">
        <f t="shared" si="12"/>
        <v>0</v>
      </c>
      <c r="O433" t="str" cm="1">
        <f t="array" ref="O433" xml:space="preserve"> _xlfn.IFS(A433 &lt;ASSUMPTIONS!$D$2,"25",A433 &lt;= ASSUMPTIONS!$D$3,"25-34",A433 &lt;= ASSUMPTIONS!$D$4, "35-44",A433 &lt;= ASSUMPTIONS!$D$5,"45-54",TRUE,"55+")</f>
        <v>45-54</v>
      </c>
      <c r="P433" t="str" cm="1">
        <f t="array" ref="P433">_xlfn.IFS( J433 &lt;ASSUMPTIONS!$D$7,"LOW",J433 &lt;= ASSUMPTIONS!$D$8,"MEDIUM",TRUE, "HIGH")</f>
        <v>MEDIUM</v>
      </c>
      <c r="Q433" t="str">
        <f>IF(M433&lt;ASSUMPTIONS!$D$10,"New (0-2)",IF(M433&lt;=ASSUMPTIONS!$D$11,"Early (2-5)",IF(M433&lt;=ASSUMPTIONS!$D$12,"Established (5-10)","Veteran (10+)")))</f>
        <v>New (0-2)</v>
      </c>
      <c r="R433" s="4">
        <f t="shared" si="13"/>
        <v>3</v>
      </c>
    </row>
    <row r="434" spans="1:18">
      <c r="A434">
        <f>RAW_DATA!A434</f>
        <v>34</v>
      </c>
      <c r="B434" t="str">
        <f>RAW_DATA!B434</f>
        <v>No</v>
      </c>
      <c r="C434" t="str">
        <f>RAW_DATA!C434</f>
        <v>Research &amp; Development</v>
      </c>
      <c r="D434">
        <f>RAW_DATA!D434</f>
        <v>2</v>
      </c>
      <c r="E434">
        <f>RAW_DATA!E434</f>
        <v>4</v>
      </c>
      <c r="F434" t="str">
        <f>RAW_DATA!F434</f>
        <v>Life Sciences</v>
      </c>
      <c r="G434">
        <f>RAW_DATA!G434</f>
        <v>4</v>
      </c>
      <c r="H434">
        <f>RAW_DATA!H434</f>
        <v>3</v>
      </c>
      <c r="I434" t="str">
        <f>RAW_DATA!I434</f>
        <v>Divorced</v>
      </c>
      <c r="J434">
        <f>RAW_DATA!J434</f>
        <v>2768</v>
      </c>
      <c r="K434">
        <f>RAW_DATA!K434</f>
        <v>3</v>
      </c>
      <c r="L434">
        <f>RAW_DATA!L434</f>
        <v>3</v>
      </c>
      <c r="M434">
        <f>RAW_DATA!M434</f>
        <v>7</v>
      </c>
      <c r="N434">
        <f t="shared" si="12"/>
        <v>0</v>
      </c>
      <c r="O434" t="str" cm="1">
        <f t="array" ref="O434" xml:space="preserve"> _xlfn.IFS(A434 &lt;ASSUMPTIONS!$D$2,"25",A434 &lt;= ASSUMPTIONS!$D$3,"25-34",A434 &lt;= ASSUMPTIONS!$D$4, "35-44",A434 &lt;= ASSUMPTIONS!$D$5,"45-54",TRUE,"55+")</f>
        <v>25-34</v>
      </c>
      <c r="P434" t="str" cm="1">
        <f t="array" ref="P434">_xlfn.IFS( J434 &lt;ASSUMPTIONS!$D$7,"LOW",J434 &lt;= ASSUMPTIONS!$D$8,"MEDIUM",TRUE, "HIGH")</f>
        <v>LOW</v>
      </c>
      <c r="Q434" t="str">
        <f>IF(M434&lt;ASSUMPTIONS!$D$10,"New (0-2)",IF(M434&lt;=ASSUMPTIONS!$D$11,"Early (2-5)",IF(M434&lt;=ASSUMPTIONS!$D$12,"Established (5-10)","Veteran (10+)")))</f>
        <v>Established (5-10)</v>
      </c>
      <c r="R434" s="4">
        <f t="shared" si="13"/>
        <v>3.3333333333333335</v>
      </c>
    </row>
    <row r="435" spans="1:18">
      <c r="A435">
        <f>RAW_DATA!A435</f>
        <v>46</v>
      </c>
      <c r="B435" t="str">
        <f>RAW_DATA!B435</f>
        <v>No</v>
      </c>
      <c r="C435" t="str">
        <f>RAW_DATA!C435</f>
        <v>Sales</v>
      </c>
      <c r="D435">
        <f>RAW_DATA!D435</f>
        <v>10</v>
      </c>
      <c r="E435">
        <f>RAW_DATA!E435</f>
        <v>3</v>
      </c>
      <c r="F435" t="str">
        <f>RAW_DATA!F435</f>
        <v>Marketing</v>
      </c>
      <c r="G435">
        <f>RAW_DATA!G435</f>
        <v>3</v>
      </c>
      <c r="H435">
        <f>RAW_DATA!H435</f>
        <v>4</v>
      </c>
      <c r="I435" t="str">
        <f>RAW_DATA!I435</f>
        <v>Married</v>
      </c>
      <c r="J435">
        <f>RAW_DATA!J435</f>
        <v>9071</v>
      </c>
      <c r="K435">
        <f>RAW_DATA!K435</f>
        <v>2</v>
      </c>
      <c r="L435">
        <f>RAW_DATA!L435</f>
        <v>3</v>
      </c>
      <c r="M435">
        <f>RAW_DATA!M435</f>
        <v>3</v>
      </c>
      <c r="N435">
        <f t="shared" si="12"/>
        <v>0</v>
      </c>
      <c r="O435" t="str" cm="1">
        <f t="array" ref="O435" xml:space="preserve"> _xlfn.IFS(A435 &lt;ASSUMPTIONS!$D$2,"25",A435 &lt;= ASSUMPTIONS!$D$3,"25-34",A435 &lt;= ASSUMPTIONS!$D$4, "35-44",A435 &lt;= ASSUMPTIONS!$D$5,"45-54",TRUE,"55+")</f>
        <v>45-54</v>
      </c>
      <c r="P435" t="str" cm="1">
        <f t="array" ref="P435">_xlfn.IFS( J435 &lt;ASSUMPTIONS!$D$7,"LOW",J435 &lt;= ASSUMPTIONS!$D$8,"MEDIUM",TRUE, "HIGH")</f>
        <v>HIGH</v>
      </c>
      <c r="Q435" t="str">
        <f>IF(M435&lt;ASSUMPTIONS!$D$10,"New (0-2)",IF(M435&lt;=ASSUMPTIONS!$D$11,"Early (2-5)",IF(M435&lt;=ASSUMPTIONS!$D$12,"Established (5-10)","Veteran (10+)")))</f>
        <v>Early (2-5)</v>
      </c>
      <c r="R435" s="4">
        <f t="shared" si="13"/>
        <v>3.3333333333333335</v>
      </c>
    </row>
    <row r="436" spans="1:18">
      <c r="A436">
        <f>RAW_DATA!A436</f>
        <v>31</v>
      </c>
      <c r="B436" t="str">
        <f>RAW_DATA!B436</f>
        <v>No</v>
      </c>
      <c r="C436" t="str">
        <f>RAW_DATA!C436</f>
        <v>Research &amp; Development</v>
      </c>
      <c r="D436">
        <f>RAW_DATA!D436</f>
        <v>9</v>
      </c>
      <c r="E436">
        <f>RAW_DATA!E436</f>
        <v>1</v>
      </c>
      <c r="F436" t="str">
        <f>RAW_DATA!F436</f>
        <v>Life Sciences</v>
      </c>
      <c r="G436">
        <f>RAW_DATA!G436</f>
        <v>3</v>
      </c>
      <c r="H436">
        <f>RAW_DATA!H436</f>
        <v>2</v>
      </c>
      <c r="I436" t="str">
        <f>RAW_DATA!I436</f>
        <v>Divorced</v>
      </c>
      <c r="J436">
        <f>RAW_DATA!J436</f>
        <v>10648</v>
      </c>
      <c r="K436">
        <f>RAW_DATA!K436</f>
        <v>1</v>
      </c>
      <c r="L436">
        <f>RAW_DATA!L436</f>
        <v>4</v>
      </c>
      <c r="M436">
        <f>RAW_DATA!M436</f>
        <v>13</v>
      </c>
      <c r="N436">
        <f t="shared" si="12"/>
        <v>0</v>
      </c>
      <c r="O436" t="str" cm="1">
        <f t="array" ref="O436" xml:space="preserve"> _xlfn.IFS(A436 &lt;ASSUMPTIONS!$D$2,"25",A436 &lt;= ASSUMPTIONS!$D$3,"25-34",A436 &lt;= ASSUMPTIONS!$D$4, "35-44",A436 &lt;= ASSUMPTIONS!$D$5,"45-54",TRUE,"55+")</f>
        <v>25-34</v>
      </c>
      <c r="P436" t="str" cm="1">
        <f t="array" ref="P436">_xlfn.IFS( J436 &lt;ASSUMPTIONS!$D$7,"LOW",J436 &lt;= ASSUMPTIONS!$D$8,"MEDIUM",TRUE, "HIGH")</f>
        <v>HIGH</v>
      </c>
      <c r="Q436" t="str">
        <f>IF(M436&lt;ASSUMPTIONS!$D$10,"New (0-2)",IF(M436&lt;=ASSUMPTIONS!$D$11,"Early (2-5)",IF(M436&lt;=ASSUMPTIONS!$D$12,"Established (5-10)","Veteran (10+)")))</f>
        <v>Veteran (10+)</v>
      </c>
      <c r="R436" s="4">
        <f t="shared" si="13"/>
        <v>3</v>
      </c>
    </row>
    <row r="437" spans="1:18">
      <c r="A437">
        <f>RAW_DATA!A437</f>
        <v>33</v>
      </c>
      <c r="B437" t="str">
        <f>RAW_DATA!B437</f>
        <v>Yes</v>
      </c>
      <c r="C437" t="str">
        <f>RAW_DATA!C437</f>
        <v>Research &amp; Development</v>
      </c>
      <c r="D437">
        <f>RAW_DATA!D437</f>
        <v>15</v>
      </c>
      <c r="E437">
        <f>RAW_DATA!E437</f>
        <v>1</v>
      </c>
      <c r="F437" t="str">
        <f>RAW_DATA!F437</f>
        <v>Medical</v>
      </c>
      <c r="G437">
        <f>RAW_DATA!G437</f>
        <v>2</v>
      </c>
      <c r="H437">
        <f>RAW_DATA!H437</f>
        <v>3</v>
      </c>
      <c r="I437" t="str">
        <f>RAW_DATA!I437</f>
        <v>Married</v>
      </c>
      <c r="J437">
        <f>RAW_DATA!J437</f>
        <v>13610</v>
      </c>
      <c r="K437">
        <f>RAW_DATA!K437</f>
        <v>7</v>
      </c>
      <c r="L437">
        <f>RAW_DATA!L437</f>
        <v>4</v>
      </c>
      <c r="M437">
        <f>RAW_DATA!M437</f>
        <v>7</v>
      </c>
      <c r="N437">
        <f t="shared" si="12"/>
        <v>1</v>
      </c>
      <c r="O437" t="str" cm="1">
        <f t="array" ref="O437" xml:space="preserve"> _xlfn.IFS(A437 &lt;ASSUMPTIONS!$D$2,"25",A437 &lt;= ASSUMPTIONS!$D$3,"25-34",A437 &lt;= ASSUMPTIONS!$D$4, "35-44",A437 &lt;= ASSUMPTIONS!$D$5,"45-54",TRUE,"55+")</f>
        <v>25-34</v>
      </c>
      <c r="P437" t="str" cm="1">
        <f t="array" ref="P437">_xlfn.IFS( J437 &lt;ASSUMPTIONS!$D$7,"LOW",J437 &lt;= ASSUMPTIONS!$D$8,"MEDIUM",TRUE, "HIGH")</f>
        <v>HIGH</v>
      </c>
      <c r="Q437" t="str">
        <f>IF(M437&lt;ASSUMPTIONS!$D$10,"New (0-2)",IF(M437&lt;=ASSUMPTIONS!$D$11,"Early (2-5)",IF(M437&lt;=ASSUMPTIONS!$D$12,"Established (5-10)","Veteran (10+)")))</f>
        <v>Established (5-10)</v>
      </c>
      <c r="R437" s="4">
        <f t="shared" si="13"/>
        <v>3</v>
      </c>
    </row>
    <row r="438" spans="1:18">
      <c r="A438">
        <f>RAW_DATA!A438</f>
        <v>33</v>
      </c>
      <c r="B438" t="str">
        <f>RAW_DATA!B438</f>
        <v>Yes</v>
      </c>
      <c r="C438" t="str">
        <f>RAW_DATA!C438</f>
        <v>Research &amp; Development</v>
      </c>
      <c r="D438">
        <f>RAW_DATA!D438</f>
        <v>10</v>
      </c>
      <c r="E438">
        <f>RAW_DATA!E438</f>
        <v>1</v>
      </c>
      <c r="F438" t="str">
        <f>RAW_DATA!F438</f>
        <v>Medical</v>
      </c>
      <c r="G438">
        <f>RAW_DATA!G438</f>
        <v>1</v>
      </c>
      <c r="H438">
        <f>RAW_DATA!H438</f>
        <v>4</v>
      </c>
      <c r="I438" t="str">
        <f>RAW_DATA!I438</f>
        <v>Divorced</v>
      </c>
      <c r="J438">
        <f>RAW_DATA!J438</f>
        <v>3408</v>
      </c>
      <c r="K438">
        <f>RAW_DATA!K438</f>
        <v>7</v>
      </c>
      <c r="L438">
        <f>RAW_DATA!L438</f>
        <v>3</v>
      </c>
      <c r="M438">
        <f>RAW_DATA!M438</f>
        <v>4</v>
      </c>
      <c r="N438">
        <f t="shared" si="12"/>
        <v>1</v>
      </c>
      <c r="O438" t="str" cm="1">
        <f t="array" ref="O438" xml:space="preserve"> _xlfn.IFS(A438 &lt;ASSUMPTIONS!$D$2,"25",A438 &lt;= ASSUMPTIONS!$D$3,"25-34",A438 &lt;= ASSUMPTIONS!$D$4, "35-44",A438 &lt;= ASSUMPTIONS!$D$5,"45-54",TRUE,"55+")</f>
        <v>25-34</v>
      </c>
      <c r="P438" t="str" cm="1">
        <f t="array" ref="P438">_xlfn.IFS( J438 &lt;ASSUMPTIONS!$D$7,"LOW",J438 &lt;= ASSUMPTIONS!$D$8,"MEDIUM",TRUE, "HIGH")</f>
        <v>MEDIUM</v>
      </c>
      <c r="Q438" t="str">
        <f>IF(M438&lt;ASSUMPTIONS!$D$10,"New (0-2)",IF(M438&lt;=ASSUMPTIONS!$D$11,"Early (2-5)",IF(M438&lt;=ASSUMPTIONS!$D$12,"Established (5-10)","Veteran (10+)")))</f>
        <v>Early (2-5)</v>
      </c>
      <c r="R438" s="4">
        <f t="shared" si="13"/>
        <v>2.6666666666666665</v>
      </c>
    </row>
    <row r="439" spans="1:18">
      <c r="A439">
        <f>RAW_DATA!A439</f>
        <v>30</v>
      </c>
      <c r="B439" t="str">
        <f>RAW_DATA!B439</f>
        <v>No</v>
      </c>
      <c r="C439" t="str">
        <f>RAW_DATA!C439</f>
        <v>Sales</v>
      </c>
      <c r="D439">
        <f>RAW_DATA!D439</f>
        <v>7</v>
      </c>
      <c r="E439">
        <f>RAW_DATA!E439</f>
        <v>1</v>
      </c>
      <c r="F439" t="str">
        <f>RAW_DATA!F439</f>
        <v>Marketing</v>
      </c>
      <c r="G439">
        <f>RAW_DATA!G439</f>
        <v>4</v>
      </c>
      <c r="H439">
        <f>RAW_DATA!H439</f>
        <v>2</v>
      </c>
      <c r="I439" t="str">
        <f>RAW_DATA!I439</f>
        <v>Single</v>
      </c>
      <c r="J439">
        <f>RAW_DATA!J439</f>
        <v>2983</v>
      </c>
      <c r="K439">
        <f>RAW_DATA!K439</f>
        <v>0</v>
      </c>
      <c r="L439">
        <f>RAW_DATA!L439</f>
        <v>3</v>
      </c>
      <c r="M439">
        <f>RAW_DATA!M439</f>
        <v>3</v>
      </c>
      <c r="N439">
        <f t="shared" si="12"/>
        <v>0</v>
      </c>
      <c r="O439" t="str" cm="1">
        <f t="array" ref="O439" xml:space="preserve"> _xlfn.IFS(A439 &lt;ASSUMPTIONS!$D$2,"25",A439 &lt;= ASSUMPTIONS!$D$3,"25-34",A439 &lt;= ASSUMPTIONS!$D$4, "35-44",A439 &lt;= ASSUMPTIONS!$D$5,"45-54",TRUE,"55+")</f>
        <v>25-34</v>
      </c>
      <c r="P439" t="str" cm="1">
        <f t="array" ref="P439">_xlfn.IFS( J439 &lt;ASSUMPTIONS!$D$7,"LOW",J439 &lt;= ASSUMPTIONS!$D$8,"MEDIUM",TRUE, "HIGH")</f>
        <v>LOW</v>
      </c>
      <c r="Q439" t="str">
        <f>IF(M439&lt;ASSUMPTIONS!$D$10,"New (0-2)",IF(M439&lt;=ASSUMPTIONS!$D$11,"Early (2-5)",IF(M439&lt;=ASSUMPTIONS!$D$12,"Established (5-10)","Veteran (10+)")))</f>
        <v>Early (2-5)</v>
      </c>
      <c r="R439" s="4">
        <f t="shared" si="13"/>
        <v>3</v>
      </c>
    </row>
    <row r="440" spans="1:18">
      <c r="A440">
        <f>RAW_DATA!A440</f>
        <v>35</v>
      </c>
      <c r="B440" t="str">
        <f>RAW_DATA!B440</f>
        <v>No</v>
      </c>
      <c r="C440" t="str">
        <f>RAW_DATA!C440</f>
        <v>Research &amp; Development</v>
      </c>
      <c r="D440">
        <f>RAW_DATA!D440</f>
        <v>16</v>
      </c>
      <c r="E440">
        <f>RAW_DATA!E440</f>
        <v>3</v>
      </c>
      <c r="F440" t="str">
        <f>RAW_DATA!F440</f>
        <v>Life Sciences</v>
      </c>
      <c r="G440">
        <f>RAW_DATA!G440</f>
        <v>4</v>
      </c>
      <c r="H440">
        <f>RAW_DATA!H440</f>
        <v>3</v>
      </c>
      <c r="I440" t="str">
        <f>RAW_DATA!I440</f>
        <v>Married</v>
      </c>
      <c r="J440">
        <f>RAW_DATA!J440</f>
        <v>7632</v>
      </c>
      <c r="K440">
        <f>RAW_DATA!K440</f>
        <v>4</v>
      </c>
      <c r="L440">
        <f>RAW_DATA!L440</f>
        <v>3</v>
      </c>
      <c r="M440">
        <f>RAW_DATA!M440</f>
        <v>8</v>
      </c>
      <c r="N440">
        <f t="shared" si="12"/>
        <v>0</v>
      </c>
      <c r="O440" t="str" cm="1">
        <f t="array" ref="O440" xml:space="preserve"> _xlfn.IFS(A440 &lt;ASSUMPTIONS!$D$2,"25",A440 &lt;= ASSUMPTIONS!$D$3,"25-34",A440 &lt;= ASSUMPTIONS!$D$4, "35-44",A440 &lt;= ASSUMPTIONS!$D$5,"45-54",TRUE,"55+")</f>
        <v>35-44</v>
      </c>
      <c r="P440" t="str" cm="1">
        <f t="array" ref="P440">_xlfn.IFS( J440 &lt;ASSUMPTIONS!$D$7,"LOW",J440 &lt;= ASSUMPTIONS!$D$8,"MEDIUM",TRUE, "HIGH")</f>
        <v>HIGH</v>
      </c>
      <c r="Q440" t="str">
        <f>IF(M440&lt;ASSUMPTIONS!$D$10,"New (0-2)",IF(M440&lt;=ASSUMPTIONS!$D$11,"Early (2-5)",IF(M440&lt;=ASSUMPTIONS!$D$12,"Established (5-10)","Veteran (10+)")))</f>
        <v>Established (5-10)</v>
      </c>
      <c r="R440" s="4">
        <f t="shared" si="13"/>
        <v>3.3333333333333335</v>
      </c>
    </row>
    <row r="441" spans="1:18">
      <c r="A441">
        <f>RAW_DATA!A441</f>
        <v>31</v>
      </c>
      <c r="B441" t="str">
        <f>RAW_DATA!B441</f>
        <v>Yes</v>
      </c>
      <c r="C441" t="str">
        <f>RAW_DATA!C441</f>
        <v>Research &amp; Development</v>
      </c>
      <c r="D441">
        <f>RAW_DATA!D441</f>
        <v>20</v>
      </c>
      <c r="E441">
        <f>RAW_DATA!E441</f>
        <v>3</v>
      </c>
      <c r="F441" t="str">
        <f>RAW_DATA!F441</f>
        <v>Life Sciences</v>
      </c>
      <c r="G441">
        <f>RAW_DATA!G441</f>
        <v>1</v>
      </c>
      <c r="H441">
        <f>RAW_DATA!H441</f>
        <v>3</v>
      </c>
      <c r="I441" t="str">
        <f>RAW_DATA!I441</f>
        <v>Married</v>
      </c>
      <c r="J441">
        <f>RAW_DATA!J441</f>
        <v>9824</v>
      </c>
      <c r="K441">
        <f>RAW_DATA!K441</f>
        <v>3</v>
      </c>
      <c r="L441">
        <f>RAW_DATA!L441</f>
        <v>3</v>
      </c>
      <c r="M441">
        <f>RAW_DATA!M441</f>
        <v>1</v>
      </c>
      <c r="N441">
        <f t="shared" si="12"/>
        <v>1</v>
      </c>
      <c r="O441" t="str" cm="1">
        <f t="array" ref="O441" xml:space="preserve"> _xlfn.IFS(A441 &lt;ASSUMPTIONS!$D$2,"25",A441 &lt;= ASSUMPTIONS!$D$3,"25-34",A441 &lt;= ASSUMPTIONS!$D$4, "35-44",A441 &lt;= ASSUMPTIONS!$D$5,"45-54",TRUE,"55+")</f>
        <v>25-34</v>
      </c>
      <c r="P441" t="str" cm="1">
        <f t="array" ref="P441">_xlfn.IFS( J441 &lt;ASSUMPTIONS!$D$7,"LOW",J441 &lt;= ASSUMPTIONS!$D$8,"MEDIUM",TRUE, "HIGH")</f>
        <v>HIGH</v>
      </c>
      <c r="Q441" t="str">
        <f>IF(M441&lt;ASSUMPTIONS!$D$10,"New (0-2)",IF(M441&lt;=ASSUMPTIONS!$D$11,"Early (2-5)",IF(M441&lt;=ASSUMPTIONS!$D$12,"Established (5-10)","Veteran (10+)")))</f>
        <v>New (0-2)</v>
      </c>
      <c r="R441" s="4">
        <f t="shared" si="13"/>
        <v>2.3333333333333335</v>
      </c>
    </row>
    <row r="442" spans="1:18">
      <c r="A442">
        <f>RAW_DATA!A442</f>
        <v>34</v>
      </c>
      <c r="B442" t="str">
        <f>RAW_DATA!B442</f>
        <v>Yes</v>
      </c>
      <c r="C442" t="str">
        <f>RAW_DATA!C442</f>
        <v>Human Resources</v>
      </c>
      <c r="D442">
        <f>RAW_DATA!D442</f>
        <v>23</v>
      </c>
      <c r="E442">
        <f>RAW_DATA!E442</f>
        <v>3</v>
      </c>
      <c r="F442" t="str">
        <f>RAW_DATA!F442</f>
        <v>Human Resources</v>
      </c>
      <c r="G442">
        <f>RAW_DATA!G442</f>
        <v>2</v>
      </c>
      <c r="H442">
        <f>RAW_DATA!H442</f>
        <v>1</v>
      </c>
      <c r="I442" t="str">
        <f>RAW_DATA!I442</f>
        <v>Divorced</v>
      </c>
      <c r="J442">
        <f>RAW_DATA!J442</f>
        <v>9950</v>
      </c>
      <c r="K442">
        <f>RAW_DATA!K442</f>
        <v>9</v>
      </c>
      <c r="L442">
        <f>RAW_DATA!L442</f>
        <v>3</v>
      </c>
      <c r="M442">
        <f>RAW_DATA!M442</f>
        <v>3</v>
      </c>
      <c r="N442">
        <f t="shared" si="12"/>
        <v>1</v>
      </c>
      <c r="O442" t="str" cm="1">
        <f t="array" ref="O442" xml:space="preserve"> _xlfn.IFS(A442 &lt;ASSUMPTIONS!$D$2,"25",A442 &lt;= ASSUMPTIONS!$D$3,"25-34",A442 &lt;= ASSUMPTIONS!$D$4, "35-44",A442 &lt;= ASSUMPTIONS!$D$5,"45-54",TRUE,"55+")</f>
        <v>25-34</v>
      </c>
      <c r="P442" t="str" cm="1">
        <f t="array" ref="P442">_xlfn.IFS( J442 &lt;ASSUMPTIONS!$D$7,"LOW",J442 &lt;= ASSUMPTIONS!$D$8,"MEDIUM",TRUE, "HIGH")</f>
        <v>HIGH</v>
      </c>
      <c r="Q442" t="str">
        <f>IF(M442&lt;ASSUMPTIONS!$D$10,"New (0-2)",IF(M442&lt;=ASSUMPTIONS!$D$11,"Early (2-5)",IF(M442&lt;=ASSUMPTIONS!$D$12,"Established (5-10)","Veteran (10+)")))</f>
        <v>Early (2-5)</v>
      </c>
      <c r="R442" s="4">
        <f t="shared" si="13"/>
        <v>2</v>
      </c>
    </row>
    <row r="443" spans="1:18">
      <c r="A443">
        <f>RAW_DATA!A443</f>
        <v>42</v>
      </c>
      <c r="B443" t="str">
        <f>RAW_DATA!B443</f>
        <v>No</v>
      </c>
      <c r="C443" t="str">
        <f>RAW_DATA!C443</f>
        <v>Research &amp; Development</v>
      </c>
      <c r="D443">
        <f>RAW_DATA!D443</f>
        <v>5</v>
      </c>
      <c r="E443">
        <f>RAW_DATA!E443</f>
        <v>2</v>
      </c>
      <c r="F443" t="str">
        <f>RAW_DATA!F443</f>
        <v>Other</v>
      </c>
      <c r="G443">
        <f>RAW_DATA!G443</f>
        <v>2</v>
      </c>
      <c r="H443">
        <f>RAW_DATA!H443</f>
        <v>3</v>
      </c>
      <c r="I443" t="str">
        <f>RAW_DATA!I443</f>
        <v>Married</v>
      </c>
      <c r="J443">
        <f>RAW_DATA!J443</f>
        <v>2093</v>
      </c>
      <c r="K443">
        <f>RAW_DATA!K443</f>
        <v>4</v>
      </c>
      <c r="L443">
        <f>RAW_DATA!L443</f>
        <v>3</v>
      </c>
      <c r="M443">
        <f>RAW_DATA!M443</f>
        <v>2</v>
      </c>
      <c r="N443">
        <f t="shared" si="12"/>
        <v>0</v>
      </c>
      <c r="O443" t="str" cm="1">
        <f t="array" ref="O443" xml:space="preserve"> _xlfn.IFS(A443 &lt;ASSUMPTIONS!$D$2,"25",A443 &lt;= ASSUMPTIONS!$D$3,"25-34",A443 &lt;= ASSUMPTIONS!$D$4, "35-44",A443 &lt;= ASSUMPTIONS!$D$5,"45-54",TRUE,"55+")</f>
        <v>35-44</v>
      </c>
      <c r="P443" t="str" cm="1">
        <f t="array" ref="P443">_xlfn.IFS( J443 &lt;ASSUMPTIONS!$D$7,"LOW",J443 &lt;= ASSUMPTIONS!$D$8,"MEDIUM",TRUE, "HIGH")</f>
        <v>LOW</v>
      </c>
      <c r="Q443" t="str">
        <f>IF(M443&lt;ASSUMPTIONS!$D$10,"New (0-2)",IF(M443&lt;=ASSUMPTIONS!$D$11,"Early (2-5)",IF(M443&lt;=ASSUMPTIONS!$D$12,"Established (5-10)","Veteran (10+)")))</f>
        <v>Early (2-5)</v>
      </c>
      <c r="R443" s="4">
        <f t="shared" si="13"/>
        <v>2.6666666666666665</v>
      </c>
    </row>
    <row r="444" spans="1:18">
      <c r="A444">
        <f>RAW_DATA!A444</f>
        <v>36</v>
      </c>
      <c r="B444" t="str">
        <f>RAW_DATA!B444</f>
        <v>No</v>
      </c>
      <c r="C444" t="str">
        <f>RAW_DATA!C444</f>
        <v>Sales</v>
      </c>
      <c r="D444">
        <f>RAW_DATA!D444</f>
        <v>10</v>
      </c>
      <c r="E444">
        <f>RAW_DATA!E444</f>
        <v>4</v>
      </c>
      <c r="F444" t="str">
        <f>RAW_DATA!F444</f>
        <v>Medical</v>
      </c>
      <c r="G444">
        <f>RAW_DATA!G444</f>
        <v>2</v>
      </c>
      <c r="H444">
        <f>RAW_DATA!H444</f>
        <v>4</v>
      </c>
      <c r="I444" t="str">
        <f>RAW_DATA!I444</f>
        <v>Single</v>
      </c>
      <c r="J444">
        <f>RAW_DATA!J444</f>
        <v>9980</v>
      </c>
      <c r="K444">
        <f>RAW_DATA!K444</f>
        <v>1</v>
      </c>
      <c r="L444">
        <f>RAW_DATA!L444</f>
        <v>2</v>
      </c>
      <c r="M444">
        <f>RAW_DATA!M444</f>
        <v>10</v>
      </c>
      <c r="N444">
        <f t="shared" si="12"/>
        <v>0</v>
      </c>
      <c r="O444" t="str" cm="1">
        <f t="array" ref="O444" xml:space="preserve"> _xlfn.IFS(A444 &lt;ASSUMPTIONS!$D$2,"25",A444 &lt;= ASSUMPTIONS!$D$3,"25-34",A444 &lt;= ASSUMPTIONS!$D$4, "35-44",A444 &lt;= ASSUMPTIONS!$D$5,"45-54",TRUE,"55+")</f>
        <v>35-44</v>
      </c>
      <c r="P444" t="str" cm="1">
        <f t="array" ref="P444">_xlfn.IFS( J444 &lt;ASSUMPTIONS!$D$7,"LOW",J444 &lt;= ASSUMPTIONS!$D$8,"MEDIUM",TRUE, "HIGH")</f>
        <v>HIGH</v>
      </c>
      <c r="Q444" t="str">
        <f>IF(M444&lt;ASSUMPTIONS!$D$10,"New (0-2)",IF(M444&lt;=ASSUMPTIONS!$D$11,"Early (2-5)",IF(M444&lt;=ASSUMPTIONS!$D$12,"Established (5-10)","Veteran (10+)")))</f>
        <v>Established (5-10)</v>
      </c>
      <c r="R444" s="4">
        <f t="shared" si="13"/>
        <v>2.6666666666666665</v>
      </c>
    </row>
    <row r="445" spans="1:18">
      <c r="A445">
        <f>RAW_DATA!A445</f>
        <v>22</v>
      </c>
      <c r="B445" t="str">
        <f>RAW_DATA!B445</f>
        <v>Yes</v>
      </c>
      <c r="C445" t="str">
        <f>RAW_DATA!C445</f>
        <v>Research &amp; Development</v>
      </c>
      <c r="D445">
        <f>RAW_DATA!D445</f>
        <v>4</v>
      </c>
      <c r="E445">
        <f>RAW_DATA!E445</f>
        <v>1</v>
      </c>
      <c r="F445" t="str">
        <f>RAW_DATA!F445</f>
        <v>Technical Degree</v>
      </c>
      <c r="G445">
        <f>RAW_DATA!G445</f>
        <v>3</v>
      </c>
      <c r="H445">
        <f>RAW_DATA!H445</f>
        <v>3</v>
      </c>
      <c r="I445" t="str">
        <f>RAW_DATA!I445</f>
        <v>Single</v>
      </c>
      <c r="J445">
        <f>RAW_DATA!J445</f>
        <v>3894</v>
      </c>
      <c r="K445">
        <f>RAW_DATA!K445</f>
        <v>5</v>
      </c>
      <c r="L445">
        <f>RAW_DATA!L445</f>
        <v>3</v>
      </c>
      <c r="M445">
        <f>RAW_DATA!M445</f>
        <v>2</v>
      </c>
      <c r="N445">
        <f t="shared" si="12"/>
        <v>1</v>
      </c>
      <c r="O445" t="str" cm="1">
        <f t="array" ref="O445" xml:space="preserve"> _xlfn.IFS(A445 &lt;ASSUMPTIONS!$D$2,"25",A445 &lt;= ASSUMPTIONS!$D$3,"25-34",A445 &lt;= ASSUMPTIONS!$D$4, "35-44",A445 &lt;= ASSUMPTIONS!$D$5,"45-54",TRUE,"55+")</f>
        <v>25</v>
      </c>
      <c r="P445" t="str" cm="1">
        <f t="array" ref="P445">_xlfn.IFS( J445 &lt;ASSUMPTIONS!$D$7,"LOW",J445 &lt;= ASSUMPTIONS!$D$8,"MEDIUM",TRUE, "HIGH")</f>
        <v>MEDIUM</v>
      </c>
      <c r="Q445" t="str">
        <f>IF(M445&lt;ASSUMPTIONS!$D$10,"New (0-2)",IF(M445&lt;=ASSUMPTIONS!$D$11,"Early (2-5)",IF(M445&lt;=ASSUMPTIONS!$D$12,"Established (5-10)","Veteran (10+)")))</f>
        <v>Early (2-5)</v>
      </c>
      <c r="R445" s="4">
        <f t="shared" si="13"/>
        <v>3</v>
      </c>
    </row>
    <row r="446" spans="1:18">
      <c r="A446">
        <f>RAW_DATA!A446</f>
        <v>48</v>
      </c>
      <c r="B446" t="str">
        <f>RAW_DATA!B446</f>
        <v>No</v>
      </c>
      <c r="C446" t="str">
        <f>RAW_DATA!C446</f>
        <v>Sales</v>
      </c>
      <c r="D446">
        <f>RAW_DATA!D446</f>
        <v>2</v>
      </c>
      <c r="E446">
        <f>RAW_DATA!E446</f>
        <v>5</v>
      </c>
      <c r="F446" t="str">
        <f>RAW_DATA!F446</f>
        <v>Marketing</v>
      </c>
      <c r="G446">
        <f>RAW_DATA!G446</f>
        <v>2</v>
      </c>
      <c r="H446">
        <f>RAW_DATA!H446</f>
        <v>4</v>
      </c>
      <c r="I446" t="str">
        <f>RAW_DATA!I446</f>
        <v>Married</v>
      </c>
      <c r="J446">
        <f>RAW_DATA!J446</f>
        <v>4051</v>
      </c>
      <c r="K446">
        <f>RAW_DATA!K446</f>
        <v>2</v>
      </c>
      <c r="L446">
        <f>RAW_DATA!L446</f>
        <v>3</v>
      </c>
      <c r="M446">
        <f>RAW_DATA!M446</f>
        <v>9</v>
      </c>
      <c r="N446">
        <f t="shared" si="12"/>
        <v>0</v>
      </c>
      <c r="O446" t="str" cm="1">
        <f t="array" ref="O446" xml:space="preserve"> _xlfn.IFS(A446 &lt;ASSUMPTIONS!$D$2,"25",A446 &lt;= ASSUMPTIONS!$D$3,"25-34",A446 &lt;= ASSUMPTIONS!$D$4, "35-44",A446 &lt;= ASSUMPTIONS!$D$5,"45-54",TRUE,"55+")</f>
        <v>45-54</v>
      </c>
      <c r="P446" t="str" cm="1">
        <f t="array" ref="P446">_xlfn.IFS( J446 &lt;ASSUMPTIONS!$D$7,"LOW",J446 &lt;= ASSUMPTIONS!$D$8,"MEDIUM",TRUE, "HIGH")</f>
        <v>MEDIUM</v>
      </c>
      <c r="Q446" t="str">
        <f>IF(M446&lt;ASSUMPTIONS!$D$10,"New (0-2)",IF(M446&lt;=ASSUMPTIONS!$D$11,"Early (2-5)",IF(M446&lt;=ASSUMPTIONS!$D$12,"Established (5-10)","Veteran (10+)")))</f>
        <v>Established (5-10)</v>
      </c>
      <c r="R446" s="4">
        <f t="shared" si="13"/>
        <v>3</v>
      </c>
    </row>
    <row r="447" spans="1:18">
      <c r="A447">
        <f>RAW_DATA!A447</f>
        <v>55</v>
      </c>
      <c r="B447" t="str">
        <f>RAW_DATA!B447</f>
        <v>No</v>
      </c>
      <c r="C447" t="str">
        <f>RAW_DATA!C447</f>
        <v>Sales</v>
      </c>
      <c r="D447">
        <f>RAW_DATA!D447</f>
        <v>18</v>
      </c>
      <c r="E447">
        <f>RAW_DATA!E447</f>
        <v>5</v>
      </c>
      <c r="F447" t="str">
        <f>RAW_DATA!F447</f>
        <v>Life Sciences</v>
      </c>
      <c r="G447">
        <f>RAW_DATA!G447</f>
        <v>1</v>
      </c>
      <c r="H447">
        <f>RAW_DATA!H447</f>
        <v>2</v>
      </c>
      <c r="I447" t="str">
        <f>RAW_DATA!I447</f>
        <v>Single</v>
      </c>
      <c r="J447">
        <f>RAW_DATA!J447</f>
        <v>16835</v>
      </c>
      <c r="K447">
        <f>RAW_DATA!K447</f>
        <v>3</v>
      </c>
      <c r="L447">
        <f>RAW_DATA!L447</f>
        <v>3</v>
      </c>
      <c r="M447">
        <f>RAW_DATA!M447</f>
        <v>10</v>
      </c>
      <c r="N447">
        <f t="shared" si="12"/>
        <v>0</v>
      </c>
      <c r="O447" t="str" cm="1">
        <f t="array" ref="O447" xml:space="preserve"> _xlfn.IFS(A447 &lt;ASSUMPTIONS!$D$2,"25",A447 &lt;= ASSUMPTIONS!$D$3,"25-34",A447 &lt;= ASSUMPTIONS!$D$4, "35-44",A447 &lt;= ASSUMPTIONS!$D$5,"45-54",TRUE,"55+")</f>
        <v>55+</v>
      </c>
      <c r="P447" t="str" cm="1">
        <f t="array" ref="P447">_xlfn.IFS( J447 &lt;ASSUMPTIONS!$D$7,"LOW",J447 &lt;= ASSUMPTIONS!$D$8,"MEDIUM",TRUE, "HIGH")</f>
        <v>HIGH</v>
      </c>
      <c r="Q447" t="str">
        <f>IF(M447&lt;ASSUMPTIONS!$D$10,"New (0-2)",IF(M447&lt;=ASSUMPTIONS!$D$11,"Early (2-5)",IF(M447&lt;=ASSUMPTIONS!$D$12,"Established (5-10)","Veteran (10+)")))</f>
        <v>Established (5-10)</v>
      </c>
      <c r="R447" s="4">
        <f t="shared" si="13"/>
        <v>2</v>
      </c>
    </row>
    <row r="448" spans="1:18">
      <c r="A448">
        <f>RAW_DATA!A448</f>
        <v>41</v>
      </c>
      <c r="B448" t="str">
        <f>RAW_DATA!B448</f>
        <v>No</v>
      </c>
      <c r="C448" t="str">
        <f>RAW_DATA!C448</f>
        <v>Sales</v>
      </c>
      <c r="D448">
        <f>RAW_DATA!D448</f>
        <v>10</v>
      </c>
      <c r="E448">
        <f>RAW_DATA!E448</f>
        <v>2</v>
      </c>
      <c r="F448" t="str">
        <f>RAW_DATA!F448</f>
        <v>Life Sciences</v>
      </c>
      <c r="G448">
        <f>RAW_DATA!G448</f>
        <v>4</v>
      </c>
      <c r="H448">
        <f>RAW_DATA!H448</f>
        <v>4</v>
      </c>
      <c r="I448" t="str">
        <f>RAW_DATA!I448</f>
        <v>Single</v>
      </c>
      <c r="J448">
        <f>RAW_DATA!J448</f>
        <v>6230</v>
      </c>
      <c r="K448">
        <f>RAW_DATA!K448</f>
        <v>7</v>
      </c>
      <c r="L448">
        <f>RAW_DATA!L448</f>
        <v>3</v>
      </c>
      <c r="M448">
        <f>RAW_DATA!M448</f>
        <v>14</v>
      </c>
      <c r="N448">
        <f t="shared" si="12"/>
        <v>0</v>
      </c>
      <c r="O448" t="str" cm="1">
        <f t="array" ref="O448" xml:space="preserve"> _xlfn.IFS(A448 &lt;ASSUMPTIONS!$D$2,"25",A448 &lt;= ASSUMPTIONS!$D$3,"25-34",A448 &lt;= ASSUMPTIONS!$D$4, "35-44",A448 &lt;= ASSUMPTIONS!$D$5,"45-54",TRUE,"55+")</f>
        <v>35-44</v>
      </c>
      <c r="P448" t="str" cm="1">
        <f t="array" ref="P448">_xlfn.IFS( J448 &lt;ASSUMPTIONS!$D$7,"LOW",J448 &lt;= ASSUMPTIONS!$D$8,"MEDIUM",TRUE, "HIGH")</f>
        <v>MEDIUM</v>
      </c>
      <c r="Q448" t="str">
        <f>IF(M448&lt;ASSUMPTIONS!$D$10,"New (0-2)",IF(M448&lt;=ASSUMPTIONS!$D$11,"Early (2-5)",IF(M448&lt;=ASSUMPTIONS!$D$12,"Established (5-10)","Veteran (10+)")))</f>
        <v>Veteran (10+)</v>
      </c>
      <c r="R448" s="4">
        <f t="shared" si="13"/>
        <v>3.6666666666666665</v>
      </c>
    </row>
    <row r="449" spans="1:18">
      <c r="A449">
        <f>RAW_DATA!A449</f>
        <v>35</v>
      </c>
      <c r="B449" t="str">
        <f>RAW_DATA!B449</f>
        <v>No</v>
      </c>
      <c r="C449" t="str">
        <f>RAW_DATA!C449</f>
        <v>Sales</v>
      </c>
      <c r="D449">
        <f>RAW_DATA!D449</f>
        <v>1</v>
      </c>
      <c r="E449">
        <f>RAW_DATA!E449</f>
        <v>3</v>
      </c>
      <c r="F449" t="str">
        <f>RAW_DATA!F449</f>
        <v>Marketing</v>
      </c>
      <c r="G449">
        <f>RAW_DATA!G449</f>
        <v>2</v>
      </c>
      <c r="H449">
        <f>RAW_DATA!H449</f>
        <v>3</v>
      </c>
      <c r="I449" t="str">
        <f>RAW_DATA!I449</f>
        <v>Married</v>
      </c>
      <c r="J449">
        <f>RAW_DATA!J449</f>
        <v>4717</v>
      </c>
      <c r="K449">
        <f>RAW_DATA!K449</f>
        <v>9</v>
      </c>
      <c r="L449">
        <f>RAW_DATA!L449</f>
        <v>3</v>
      </c>
      <c r="M449">
        <f>RAW_DATA!M449</f>
        <v>11</v>
      </c>
      <c r="N449">
        <f t="shared" si="12"/>
        <v>0</v>
      </c>
      <c r="O449" t="str" cm="1">
        <f t="array" ref="O449" xml:space="preserve"> _xlfn.IFS(A449 &lt;ASSUMPTIONS!$D$2,"25",A449 &lt;= ASSUMPTIONS!$D$3,"25-34",A449 &lt;= ASSUMPTIONS!$D$4, "35-44",A449 &lt;= ASSUMPTIONS!$D$5,"45-54",TRUE,"55+")</f>
        <v>35-44</v>
      </c>
      <c r="P449" t="str" cm="1">
        <f t="array" ref="P449">_xlfn.IFS( J449 &lt;ASSUMPTIONS!$D$7,"LOW",J449 &lt;= ASSUMPTIONS!$D$8,"MEDIUM",TRUE, "HIGH")</f>
        <v>MEDIUM</v>
      </c>
      <c r="Q449" t="str">
        <f>IF(M449&lt;ASSUMPTIONS!$D$10,"New (0-2)",IF(M449&lt;=ASSUMPTIONS!$D$11,"Early (2-5)",IF(M449&lt;=ASSUMPTIONS!$D$12,"Established (5-10)","Veteran (10+)")))</f>
        <v>Veteran (10+)</v>
      </c>
      <c r="R449" s="4">
        <f t="shared" si="13"/>
        <v>2.6666666666666665</v>
      </c>
    </row>
    <row r="450" spans="1:18">
      <c r="A450">
        <f>RAW_DATA!A450</f>
        <v>40</v>
      </c>
      <c r="B450" t="str">
        <f>RAW_DATA!B450</f>
        <v>No</v>
      </c>
      <c r="C450" t="str">
        <f>RAW_DATA!C450</f>
        <v>Research &amp; Development</v>
      </c>
      <c r="D450">
        <f>RAW_DATA!D450</f>
        <v>6</v>
      </c>
      <c r="E450">
        <f>RAW_DATA!E450</f>
        <v>3</v>
      </c>
      <c r="F450" t="str">
        <f>RAW_DATA!F450</f>
        <v>Life Sciences</v>
      </c>
      <c r="G450">
        <f>RAW_DATA!G450</f>
        <v>2</v>
      </c>
      <c r="H450">
        <f>RAW_DATA!H450</f>
        <v>3</v>
      </c>
      <c r="I450" t="str">
        <f>RAW_DATA!I450</f>
        <v>Single</v>
      </c>
      <c r="J450">
        <f>RAW_DATA!J450</f>
        <v>13237</v>
      </c>
      <c r="K450">
        <f>RAW_DATA!K450</f>
        <v>7</v>
      </c>
      <c r="L450">
        <f>RAW_DATA!L450</f>
        <v>3</v>
      </c>
      <c r="M450">
        <f>RAW_DATA!M450</f>
        <v>20</v>
      </c>
      <c r="N450">
        <f t="shared" si="12"/>
        <v>0</v>
      </c>
      <c r="O450" t="str" cm="1">
        <f t="array" ref="O450" xml:space="preserve"> _xlfn.IFS(A450 &lt;ASSUMPTIONS!$D$2,"25",A450 &lt;= ASSUMPTIONS!$D$3,"25-34",A450 &lt;= ASSUMPTIONS!$D$4, "35-44",A450 &lt;= ASSUMPTIONS!$D$5,"45-54",TRUE,"55+")</f>
        <v>35-44</v>
      </c>
      <c r="P450" t="str" cm="1">
        <f t="array" ref="P450">_xlfn.IFS( J450 &lt;ASSUMPTIONS!$D$7,"LOW",J450 &lt;= ASSUMPTIONS!$D$8,"MEDIUM",TRUE, "HIGH")</f>
        <v>HIGH</v>
      </c>
      <c r="Q450" t="str">
        <f>IF(M450&lt;ASSUMPTIONS!$D$10,"New (0-2)",IF(M450&lt;=ASSUMPTIONS!$D$11,"Early (2-5)",IF(M450&lt;=ASSUMPTIONS!$D$12,"Established (5-10)","Veteran (10+)")))</f>
        <v>Veteran (10+)</v>
      </c>
      <c r="R450" s="4">
        <f t="shared" si="13"/>
        <v>2.6666666666666665</v>
      </c>
    </row>
    <row r="451" spans="1:18">
      <c r="A451">
        <f>RAW_DATA!A451</f>
        <v>39</v>
      </c>
      <c r="B451" t="str">
        <f>RAW_DATA!B451</f>
        <v>No</v>
      </c>
      <c r="C451" t="str">
        <f>RAW_DATA!C451</f>
        <v>Research &amp; Development</v>
      </c>
      <c r="D451">
        <f>RAW_DATA!D451</f>
        <v>8</v>
      </c>
      <c r="E451">
        <f>RAW_DATA!E451</f>
        <v>1</v>
      </c>
      <c r="F451" t="str">
        <f>RAW_DATA!F451</f>
        <v>Life Sciences</v>
      </c>
      <c r="G451">
        <f>RAW_DATA!G451</f>
        <v>3</v>
      </c>
      <c r="H451">
        <f>RAW_DATA!H451</f>
        <v>3</v>
      </c>
      <c r="I451" t="str">
        <f>RAW_DATA!I451</f>
        <v>Married</v>
      </c>
      <c r="J451">
        <f>RAW_DATA!J451</f>
        <v>3755</v>
      </c>
      <c r="K451">
        <f>RAW_DATA!K451</f>
        <v>1</v>
      </c>
      <c r="L451">
        <f>RAW_DATA!L451</f>
        <v>3</v>
      </c>
      <c r="M451">
        <f>RAW_DATA!M451</f>
        <v>8</v>
      </c>
      <c r="N451">
        <f t="shared" ref="N451:N514" si="14" xml:space="preserve"> IF(B451 ="Yes",1,0)</f>
        <v>0</v>
      </c>
      <c r="O451" t="str" cm="1">
        <f t="array" ref="O451" xml:space="preserve"> _xlfn.IFS(A451 &lt;ASSUMPTIONS!$D$2,"25",A451 &lt;= ASSUMPTIONS!$D$3,"25-34",A451 &lt;= ASSUMPTIONS!$D$4, "35-44",A451 &lt;= ASSUMPTIONS!$D$5,"45-54",TRUE,"55+")</f>
        <v>35-44</v>
      </c>
      <c r="P451" t="str" cm="1">
        <f t="array" ref="P451">_xlfn.IFS( J451 &lt;ASSUMPTIONS!$D$7,"LOW",J451 &lt;= ASSUMPTIONS!$D$8,"MEDIUM",TRUE, "HIGH")</f>
        <v>MEDIUM</v>
      </c>
      <c r="Q451" t="str">
        <f>IF(M451&lt;ASSUMPTIONS!$D$10,"New (0-2)",IF(M451&lt;=ASSUMPTIONS!$D$11,"Early (2-5)",IF(M451&lt;=ASSUMPTIONS!$D$12,"Established (5-10)","Veteran (10+)")))</f>
        <v>Established (5-10)</v>
      </c>
      <c r="R451" s="4">
        <f t="shared" ref="R451:R514" si="15">AVERAGE(G451,H451,L451)</f>
        <v>3</v>
      </c>
    </row>
    <row r="452" spans="1:18">
      <c r="A452">
        <f>RAW_DATA!A452</f>
        <v>31</v>
      </c>
      <c r="B452" t="str">
        <f>RAW_DATA!B452</f>
        <v>No</v>
      </c>
      <c r="C452" t="str">
        <f>RAW_DATA!C452</f>
        <v>Sales</v>
      </c>
      <c r="D452">
        <f>RAW_DATA!D452</f>
        <v>2</v>
      </c>
      <c r="E452">
        <f>RAW_DATA!E452</f>
        <v>1</v>
      </c>
      <c r="F452" t="str">
        <f>RAW_DATA!F452</f>
        <v>Life Sciences</v>
      </c>
      <c r="G452">
        <f>RAW_DATA!G452</f>
        <v>2</v>
      </c>
      <c r="H452">
        <f>RAW_DATA!H452</f>
        <v>4</v>
      </c>
      <c r="I452" t="str">
        <f>RAW_DATA!I452</f>
        <v>Single</v>
      </c>
      <c r="J452">
        <f>RAW_DATA!J452</f>
        <v>6582</v>
      </c>
      <c r="K452">
        <f>RAW_DATA!K452</f>
        <v>4</v>
      </c>
      <c r="L452">
        <f>RAW_DATA!L452</f>
        <v>4</v>
      </c>
      <c r="M452">
        <f>RAW_DATA!M452</f>
        <v>6</v>
      </c>
      <c r="N452">
        <f t="shared" si="14"/>
        <v>0</v>
      </c>
      <c r="O452" t="str" cm="1">
        <f t="array" ref="O452" xml:space="preserve"> _xlfn.IFS(A452 &lt;ASSUMPTIONS!$D$2,"25",A452 &lt;= ASSUMPTIONS!$D$3,"25-34",A452 &lt;= ASSUMPTIONS!$D$4, "35-44",A452 &lt;= ASSUMPTIONS!$D$5,"45-54",TRUE,"55+")</f>
        <v>25-34</v>
      </c>
      <c r="P452" t="str" cm="1">
        <f t="array" ref="P452">_xlfn.IFS( J452 &lt;ASSUMPTIONS!$D$7,"LOW",J452 &lt;= ASSUMPTIONS!$D$8,"MEDIUM",TRUE, "HIGH")</f>
        <v>MEDIUM</v>
      </c>
      <c r="Q452" t="str">
        <f>IF(M452&lt;ASSUMPTIONS!$D$10,"New (0-2)",IF(M452&lt;=ASSUMPTIONS!$D$11,"Early (2-5)",IF(M452&lt;=ASSUMPTIONS!$D$12,"Established (5-10)","Veteran (10+)")))</f>
        <v>Established (5-10)</v>
      </c>
      <c r="R452" s="4">
        <f t="shared" si="15"/>
        <v>3.3333333333333335</v>
      </c>
    </row>
    <row r="453" spans="1:18">
      <c r="A453">
        <f>RAW_DATA!A453</f>
        <v>42</v>
      </c>
      <c r="B453" t="str">
        <f>RAW_DATA!B453</f>
        <v>No</v>
      </c>
      <c r="C453" t="str">
        <f>RAW_DATA!C453</f>
        <v>Research &amp; Development</v>
      </c>
      <c r="D453">
        <f>RAW_DATA!D453</f>
        <v>24</v>
      </c>
      <c r="E453">
        <f>RAW_DATA!E453</f>
        <v>3</v>
      </c>
      <c r="F453" t="str">
        <f>RAW_DATA!F453</f>
        <v>Medical</v>
      </c>
      <c r="G453">
        <f>RAW_DATA!G453</f>
        <v>4</v>
      </c>
      <c r="H453">
        <f>RAW_DATA!H453</f>
        <v>1</v>
      </c>
      <c r="I453" t="str">
        <f>RAW_DATA!I453</f>
        <v>Married</v>
      </c>
      <c r="J453">
        <f>RAW_DATA!J453</f>
        <v>7406</v>
      </c>
      <c r="K453">
        <f>RAW_DATA!K453</f>
        <v>1</v>
      </c>
      <c r="L453">
        <f>RAW_DATA!L453</f>
        <v>2</v>
      </c>
      <c r="M453">
        <f>RAW_DATA!M453</f>
        <v>10</v>
      </c>
      <c r="N453">
        <f t="shared" si="14"/>
        <v>0</v>
      </c>
      <c r="O453" t="str" cm="1">
        <f t="array" ref="O453" xml:space="preserve"> _xlfn.IFS(A453 &lt;ASSUMPTIONS!$D$2,"25",A453 &lt;= ASSUMPTIONS!$D$3,"25-34",A453 &lt;= ASSUMPTIONS!$D$4, "35-44",A453 &lt;= ASSUMPTIONS!$D$5,"45-54",TRUE,"55+")</f>
        <v>35-44</v>
      </c>
      <c r="P453" t="str" cm="1">
        <f t="array" ref="P453">_xlfn.IFS( J453 &lt;ASSUMPTIONS!$D$7,"LOW",J453 &lt;= ASSUMPTIONS!$D$8,"MEDIUM",TRUE, "HIGH")</f>
        <v>HIGH</v>
      </c>
      <c r="Q453" t="str">
        <f>IF(M453&lt;ASSUMPTIONS!$D$10,"New (0-2)",IF(M453&lt;=ASSUMPTIONS!$D$11,"Early (2-5)",IF(M453&lt;=ASSUMPTIONS!$D$12,"Established (5-10)","Veteran (10+)")))</f>
        <v>Established (5-10)</v>
      </c>
      <c r="R453" s="4">
        <f t="shared" si="15"/>
        <v>2.3333333333333335</v>
      </c>
    </row>
    <row r="454" spans="1:18">
      <c r="A454">
        <f>RAW_DATA!A454</f>
        <v>45</v>
      </c>
      <c r="B454" t="str">
        <f>RAW_DATA!B454</f>
        <v>No</v>
      </c>
      <c r="C454" t="str">
        <f>RAW_DATA!C454</f>
        <v>Sales</v>
      </c>
      <c r="D454">
        <f>RAW_DATA!D454</f>
        <v>2</v>
      </c>
      <c r="E454">
        <f>RAW_DATA!E454</f>
        <v>3</v>
      </c>
      <c r="F454" t="str">
        <f>RAW_DATA!F454</f>
        <v>Other</v>
      </c>
      <c r="G454">
        <f>RAW_DATA!G454</f>
        <v>4</v>
      </c>
      <c r="H454">
        <f>RAW_DATA!H454</f>
        <v>2</v>
      </c>
      <c r="I454" t="str">
        <f>RAW_DATA!I454</f>
        <v>Married</v>
      </c>
      <c r="J454">
        <f>RAW_DATA!J454</f>
        <v>4805</v>
      </c>
      <c r="K454">
        <f>RAW_DATA!K454</f>
        <v>0</v>
      </c>
      <c r="L454">
        <f>RAW_DATA!L454</f>
        <v>4</v>
      </c>
      <c r="M454">
        <f>RAW_DATA!M454</f>
        <v>8</v>
      </c>
      <c r="N454">
        <f t="shared" si="14"/>
        <v>0</v>
      </c>
      <c r="O454" t="str" cm="1">
        <f t="array" ref="O454" xml:space="preserve"> _xlfn.IFS(A454 &lt;ASSUMPTIONS!$D$2,"25",A454 &lt;= ASSUMPTIONS!$D$3,"25-34",A454 &lt;= ASSUMPTIONS!$D$4, "35-44",A454 &lt;= ASSUMPTIONS!$D$5,"45-54",TRUE,"55+")</f>
        <v>45-54</v>
      </c>
      <c r="P454" t="str" cm="1">
        <f t="array" ref="P454">_xlfn.IFS( J454 &lt;ASSUMPTIONS!$D$7,"LOW",J454 &lt;= ASSUMPTIONS!$D$8,"MEDIUM",TRUE, "HIGH")</f>
        <v>MEDIUM</v>
      </c>
      <c r="Q454" t="str">
        <f>IF(M454&lt;ASSUMPTIONS!$D$10,"New (0-2)",IF(M454&lt;=ASSUMPTIONS!$D$11,"Early (2-5)",IF(M454&lt;=ASSUMPTIONS!$D$12,"Established (5-10)","Veteran (10+)")))</f>
        <v>Established (5-10)</v>
      </c>
      <c r="R454" s="4">
        <f t="shared" si="15"/>
        <v>3.3333333333333335</v>
      </c>
    </row>
    <row r="455" spans="1:18">
      <c r="A455">
        <f>RAW_DATA!A455</f>
        <v>26</v>
      </c>
      <c r="B455" t="str">
        <f>RAW_DATA!B455</f>
        <v>Yes</v>
      </c>
      <c r="C455" t="str">
        <f>RAW_DATA!C455</f>
        <v>Human Resources</v>
      </c>
      <c r="D455">
        <f>RAW_DATA!D455</f>
        <v>17</v>
      </c>
      <c r="E455">
        <f>RAW_DATA!E455</f>
        <v>4</v>
      </c>
      <c r="F455" t="str">
        <f>RAW_DATA!F455</f>
        <v>Life Sciences</v>
      </c>
      <c r="G455">
        <f>RAW_DATA!G455</f>
        <v>2</v>
      </c>
      <c r="H455">
        <f>RAW_DATA!H455</f>
        <v>3</v>
      </c>
      <c r="I455" t="str">
        <f>RAW_DATA!I455</f>
        <v>Divorced</v>
      </c>
      <c r="J455">
        <f>RAW_DATA!J455</f>
        <v>2741</v>
      </c>
      <c r="K455">
        <f>RAW_DATA!K455</f>
        <v>0</v>
      </c>
      <c r="L455">
        <f>RAW_DATA!L455</f>
        <v>2</v>
      </c>
      <c r="M455">
        <f>RAW_DATA!M455</f>
        <v>7</v>
      </c>
      <c r="N455">
        <f t="shared" si="14"/>
        <v>1</v>
      </c>
      <c r="O455" t="str" cm="1">
        <f t="array" ref="O455" xml:space="preserve"> _xlfn.IFS(A455 &lt;ASSUMPTIONS!$D$2,"25",A455 &lt;= ASSUMPTIONS!$D$3,"25-34",A455 &lt;= ASSUMPTIONS!$D$4, "35-44",A455 &lt;= ASSUMPTIONS!$D$5,"45-54",TRUE,"55+")</f>
        <v>25-34</v>
      </c>
      <c r="P455" t="str" cm="1">
        <f t="array" ref="P455">_xlfn.IFS( J455 &lt;ASSUMPTIONS!$D$7,"LOW",J455 &lt;= ASSUMPTIONS!$D$8,"MEDIUM",TRUE, "HIGH")</f>
        <v>LOW</v>
      </c>
      <c r="Q455" t="str">
        <f>IF(M455&lt;ASSUMPTIONS!$D$10,"New (0-2)",IF(M455&lt;=ASSUMPTIONS!$D$11,"Early (2-5)",IF(M455&lt;=ASSUMPTIONS!$D$12,"Established (5-10)","Veteran (10+)")))</f>
        <v>Established (5-10)</v>
      </c>
      <c r="R455" s="4">
        <f t="shared" si="15"/>
        <v>2.3333333333333335</v>
      </c>
    </row>
    <row r="456" spans="1:18">
      <c r="A456">
        <f>RAW_DATA!A456</f>
        <v>29</v>
      </c>
      <c r="B456" t="str">
        <f>RAW_DATA!B456</f>
        <v>No</v>
      </c>
      <c r="C456" t="str">
        <f>RAW_DATA!C456</f>
        <v>Research &amp; Development</v>
      </c>
      <c r="D456">
        <f>RAW_DATA!D456</f>
        <v>19</v>
      </c>
      <c r="E456">
        <f>RAW_DATA!E456</f>
        <v>3</v>
      </c>
      <c r="F456" t="str">
        <f>RAW_DATA!F456</f>
        <v>Technical Degree</v>
      </c>
      <c r="G456">
        <f>RAW_DATA!G456</f>
        <v>4</v>
      </c>
      <c r="H456">
        <f>RAW_DATA!H456</f>
        <v>4</v>
      </c>
      <c r="I456" t="str">
        <f>RAW_DATA!I456</f>
        <v>Divorced</v>
      </c>
      <c r="J456">
        <f>RAW_DATA!J456</f>
        <v>4262</v>
      </c>
      <c r="K456">
        <f>RAW_DATA!K456</f>
        <v>4</v>
      </c>
      <c r="L456">
        <f>RAW_DATA!L456</f>
        <v>4</v>
      </c>
      <c r="M456">
        <f>RAW_DATA!M456</f>
        <v>3</v>
      </c>
      <c r="N456">
        <f t="shared" si="14"/>
        <v>0</v>
      </c>
      <c r="O456" t="str" cm="1">
        <f t="array" ref="O456" xml:space="preserve"> _xlfn.IFS(A456 &lt;ASSUMPTIONS!$D$2,"25",A456 &lt;= ASSUMPTIONS!$D$3,"25-34",A456 &lt;= ASSUMPTIONS!$D$4, "35-44",A456 &lt;= ASSUMPTIONS!$D$5,"45-54",TRUE,"55+")</f>
        <v>25-34</v>
      </c>
      <c r="P456" t="str" cm="1">
        <f t="array" ref="P456">_xlfn.IFS( J456 &lt;ASSUMPTIONS!$D$7,"LOW",J456 &lt;= ASSUMPTIONS!$D$8,"MEDIUM",TRUE, "HIGH")</f>
        <v>MEDIUM</v>
      </c>
      <c r="Q456" t="str">
        <f>IF(M456&lt;ASSUMPTIONS!$D$10,"New (0-2)",IF(M456&lt;=ASSUMPTIONS!$D$11,"Early (2-5)",IF(M456&lt;=ASSUMPTIONS!$D$12,"Established (5-10)","Veteran (10+)")))</f>
        <v>Early (2-5)</v>
      </c>
      <c r="R456" s="4">
        <f t="shared" si="15"/>
        <v>4</v>
      </c>
    </row>
    <row r="457" spans="1:18">
      <c r="A457">
        <f>RAW_DATA!A457</f>
        <v>33</v>
      </c>
      <c r="B457" t="str">
        <f>RAW_DATA!B457</f>
        <v>No</v>
      </c>
      <c r="C457" t="str">
        <f>RAW_DATA!C457</f>
        <v>Research &amp; Development</v>
      </c>
      <c r="D457">
        <f>RAW_DATA!D457</f>
        <v>1</v>
      </c>
      <c r="E457">
        <f>RAW_DATA!E457</f>
        <v>5</v>
      </c>
      <c r="F457" t="str">
        <f>RAW_DATA!F457</f>
        <v>Medical</v>
      </c>
      <c r="G457">
        <f>RAW_DATA!G457</f>
        <v>1</v>
      </c>
      <c r="H457">
        <f>RAW_DATA!H457</f>
        <v>3</v>
      </c>
      <c r="I457" t="str">
        <f>RAW_DATA!I457</f>
        <v>Divorced</v>
      </c>
      <c r="J457">
        <f>RAW_DATA!J457</f>
        <v>16184</v>
      </c>
      <c r="K457">
        <f>RAW_DATA!K457</f>
        <v>4</v>
      </c>
      <c r="L457">
        <f>RAW_DATA!L457</f>
        <v>3</v>
      </c>
      <c r="M457">
        <f>RAW_DATA!M457</f>
        <v>6</v>
      </c>
      <c r="N457">
        <f t="shared" si="14"/>
        <v>0</v>
      </c>
      <c r="O457" t="str" cm="1">
        <f t="array" ref="O457" xml:space="preserve"> _xlfn.IFS(A457 &lt;ASSUMPTIONS!$D$2,"25",A457 &lt;= ASSUMPTIONS!$D$3,"25-34",A457 &lt;= ASSUMPTIONS!$D$4, "35-44",A457 &lt;= ASSUMPTIONS!$D$5,"45-54",TRUE,"55+")</f>
        <v>25-34</v>
      </c>
      <c r="P457" t="str" cm="1">
        <f t="array" ref="P457">_xlfn.IFS( J457 &lt;ASSUMPTIONS!$D$7,"LOW",J457 &lt;= ASSUMPTIONS!$D$8,"MEDIUM",TRUE, "HIGH")</f>
        <v>HIGH</v>
      </c>
      <c r="Q457" t="str">
        <f>IF(M457&lt;ASSUMPTIONS!$D$10,"New (0-2)",IF(M457&lt;=ASSUMPTIONS!$D$11,"Early (2-5)",IF(M457&lt;=ASSUMPTIONS!$D$12,"Established (5-10)","Veteran (10+)")))</f>
        <v>Established (5-10)</v>
      </c>
      <c r="R457" s="4">
        <f t="shared" si="15"/>
        <v>2.3333333333333335</v>
      </c>
    </row>
    <row r="458" spans="1:18">
      <c r="A458">
        <f>RAW_DATA!A458</f>
        <v>31</v>
      </c>
      <c r="B458" t="str">
        <f>RAW_DATA!B458</f>
        <v>No</v>
      </c>
      <c r="C458" t="str">
        <f>RAW_DATA!C458</f>
        <v>Sales</v>
      </c>
      <c r="D458">
        <f>RAW_DATA!D458</f>
        <v>7</v>
      </c>
      <c r="E458">
        <f>RAW_DATA!E458</f>
        <v>3</v>
      </c>
      <c r="F458" t="str">
        <f>RAW_DATA!F458</f>
        <v>Life Sciences</v>
      </c>
      <c r="G458">
        <f>RAW_DATA!G458</f>
        <v>3</v>
      </c>
      <c r="H458">
        <f>RAW_DATA!H458</f>
        <v>4</v>
      </c>
      <c r="I458" t="str">
        <f>RAW_DATA!I458</f>
        <v>Divorced</v>
      </c>
      <c r="J458">
        <f>RAW_DATA!J458</f>
        <v>11557</v>
      </c>
      <c r="K458">
        <f>RAW_DATA!K458</f>
        <v>9</v>
      </c>
      <c r="L458">
        <f>RAW_DATA!L458</f>
        <v>2</v>
      </c>
      <c r="M458">
        <f>RAW_DATA!M458</f>
        <v>5</v>
      </c>
      <c r="N458">
        <f t="shared" si="14"/>
        <v>0</v>
      </c>
      <c r="O458" t="str" cm="1">
        <f t="array" ref="O458" xml:space="preserve"> _xlfn.IFS(A458 &lt;ASSUMPTIONS!$D$2,"25",A458 &lt;= ASSUMPTIONS!$D$3,"25-34",A458 &lt;= ASSUMPTIONS!$D$4, "35-44",A458 &lt;= ASSUMPTIONS!$D$5,"45-54",TRUE,"55+")</f>
        <v>25-34</v>
      </c>
      <c r="P458" t="str" cm="1">
        <f t="array" ref="P458">_xlfn.IFS( J458 &lt;ASSUMPTIONS!$D$7,"LOW",J458 &lt;= ASSUMPTIONS!$D$8,"MEDIUM",TRUE, "HIGH")</f>
        <v>HIGH</v>
      </c>
      <c r="Q458" t="str">
        <f>IF(M458&lt;ASSUMPTIONS!$D$10,"New (0-2)",IF(M458&lt;=ASSUMPTIONS!$D$11,"Early (2-5)",IF(M458&lt;=ASSUMPTIONS!$D$12,"Established (5-10)","Veteran (10+)")))</f>
        <v>Early (2-5)</v>
      </c>
      <c r="R458" s="4">
        <f t="shared" si="15"/>
        <v>3</v>
      </c>
    </row>
    <row r="459" spans="1:18">
      <c r="A459">
        <f>RAW_DATA!A459</f>
        <v>18</v>
      </c>
      <c r="B459" t="str">
        <f>RAW_DATA!B459</f>
        <v>Yes</v>
      </c>
      <c r="C459" t="str">
        <f>RAW_DATA!C459</f>
        <v>Sales</v>
      </c>
      <c r="D459">
        <f>RAW_DATA!D459</f>
        <v>5</v>
      </c>
      <c r="E459">
        <f>RAW_DATA!E459</f>
        <v>3</v>
      </c>
      <c r="F459" t="str">
        <f>RAW_DATA!F459</f>
        <v>Marketing</v>
      </c>
      <c r="G459">
        <f>RAW_DATA!G459</f>
        <v>2</v>
      </c>
      <c r="H459">
        <f>RAW_DATA!H459</f>
        <v>2</v>
      </c>
      <c r="I459" t="str">
        <f>RAW_DATA!I459</f>
        <v>Single</v>
      </c>
      <c r="J459">
        <f>RAW_DATA!J459</f>
        <v>1878</v>
      </c>
      <c r="K459">
        <f>RAW_DATA!K459</f>
        <v>1</v>
      </c>
      <c r="L459">
        <f>RAW_DATA!L459</f>
        <v>3</v>
      </c>
      <c r="M459">
        <f>RAW_DATA!M459</f>
        <v>0</v>
      </c>
      <c r="N459">
        <f t="shared" si="14"/>
        <v>1</v>
      </c>
      <c r="O459" t="str" cm="1">
        <f t="array" ref="O459" xml:space="preserve"> _xlfn.IFS(A459 &lt;ASSUMPTIONS!$D$2,"25",A459 &lt;= ASSUMPTIONS!$D$3,"25-34",A459 &lt;= ASSUMPTIONS!$D$4, "35-44",A459 &lt;= ASSUMPTIONS!$D$5,"45-54",TRUE,"55+")</f>
        <v>25</v>
      </c>
      <c r="P459" t="str" cm="1">
        <f t="array" ref="P459">_xlfn.IFS( J459 &lt;ASSUMPTIONS!$D$7,"LOW",J459 &lt;= ASSUMPTIONS!$D$8,"MEDIUM",TRUE, "HIGH")</f>
        <v>LOW</v>
      </c>
      <c r="Q459" t="str">
        <f>IF(M459&lt;ASSUMPTIONS!$D$10,"New (0-2)",IF(M459&lt;=ASSUMPTIONS!$D$11,"Early (2-5)",IF(M459&lt;=ASSUMPTIONS!$D$12,"Established (5-10)","Veteran (10+)")))</f>
        <v>New (0-2)</v>
      </c>
      <c r="R459" s="4">
        <f t="shared" si="15"/>
        <v>2.3333333333333335</v>
      </c>
    </row>
    <row r="460" spans="1:18">
      <c r="A460">
        <f>RAW_DATA!A460</f>
        <v>40</v>
      </c>
      <c r="B460" t="str">
        <f>RAW_DATA!B460</f>
        <v>No</v>
      </c>
      <c r="C460" t="str">
        <f>RAW_DATA!C460</f>
        <v>Sales</v>
      </c>
      <c r="D460">
        <f>RAW_DATA!D460</f>
        <v>28</v>
      </c>
      <c r="E460">
        <f>RAW_DATA!E460</f>
        <v>3</v>
      </c>
      <c r="F460" t="str">
        <f>RAW_DATA!F460</f>
        <v>Other</v>
      </c>
      <c r="G460">
        <f>RAW_DATA!G460</f>
        <v>3</v>
      </c>
      <c r="H460">
        <f>RAW_DATA!H460</f>
        <v>1</v>
      </c>
      <c r="I460" t="str">
        <f>RAW_DATA!I460</f>
        <v>Divorced</v>
      </c>
      <c r="J460">
        <f>RAW_DATA!J460</f>
        <v>10932</v>
      </c>
      <c r="K460">
        <f>RAW_DATA!K460</f>
        <v>3</v>
      </c>
      <c r="L460">
        <f>RAW_DATA!L460</f>
        <v>3</v>
      </c>
      <c r="M460">
        <f>RAW_DATA!M460</f>
        <v>1</v>
      </c>
      <c r="N460">
        <f t="shared" si="14"/>
        <v>0</v>
      </c>
      <c r="O460" t="str" cm="1">
        <f t="array" ref="O460" xml:space="preserve"> _xlfn.IFS(A460 &lt;ASSUMPTIONS!$D$2,"25",A460 &lt;= ASSUMPTIONS!$D$3,"25-34",A460 &lt;= ASSUMPTIONS!$D$4, "35-44",A460 &lt;= ASSUMPTIONS!$D$5,"45-54",TRUE,"55+")</f>
        <v>35-44</v>
      </c>
      <c r="P460" t="str" cm="1">
        <f t="array" ref="P460">_xlfn.IFS( J460 &lt;ASSUMPTIONS!$D$7,"LOW",J460 &lt;= ASSUMPTIONS!$D$8,"MEDIUM",TRUE, "HIGH")</f>
        <v>HIGH</v>
      </c>
      <c r="Q460" t="str">
        <f>IF(M460&lt;ASSUMPTIONS!$D$10,"New (0-2)",IF(M460&lt;=ASSUMPTIONS!$D$11,"Early (2-5)",IF(M460&lt;=ASSUMPTIONS!$D$12,"Established (5-10)","Veteran (10+)")))</f>
        <v>New (0-2)</v>
      </c>
      <c r="R460" s="4">
        <f t="shared" si="15"/>
        <v>2.3333333333333335</v>
      </c>
    </row>
    <row r="461" spans="1:18">
      <c r="A461">
        <f>RAW_DATA!A461</f>
        <v>41</v>
      </c>
      <c r="B461" t="str">
        <f>RAW_DATA!B461</f>
        <v>No</v>
      </c>
      <c r="C461" t="str">
        <f>RAW_DATA!C461</f>
        <v>Research &amp; Development</v>
      </c>
      <c r="D461">
        <f>RAW_DATA!D461</f>
        <v>2</v>
      </c>
      <c r="E461">
        <f>RAW_DATA!E461</f>
        <v>4</v>
      </c>
      <c r="F461" t="str">
        <f>RAW_DATA!F461</f>
        <v>Other</v>
      </c>
      <c r="G461">
        <f>RAW_DATA!G461</f>
        <v>1</v>
      </c>
      <c r="H461">
        <f>RAW_DATA!H461</f>
        <v>3</v>
      </c>
      <c r="I461" t="str">
        <f>RAW_DATA!I461</f>
        <v>Single</v>
      </c>
      <c r="J461">
        <f>RAW_DATA!J461</f>
        <v>6811</v>
      </c>
      <c r="K461">
        <f>RAW_DATA!K461</f>
        <v>2</v>
      </c>
      <c r="L461">
        <f>RAW_DATA!L461</f>
        <v>3</v>
      </c>
      <c r="M461">
        <f>RAW_DATA!M461</f>
        <v>8</v>
      </c>
      <c r="N461">
        <f t="shared" si="14"/>
        <v>0</v>
      </c>
      <c r="O461" t="str" cm="1">
        <f t="array" ref="O461" xml:space="preserve"> _xlfn.IFS(A461 &lt;ASSUMPTIONS!$D$2,"25",A461 &lt;= ASSUMPTIONS!$D$3,"25-34",A461 &lt;= ASSUMPTIONS!$D$4, "35-44",A461 &lt;= ASSUMPTIONS!$D$5,"45-54",TRUE,"55+")</f>
        <v>35-44</v>
      </c>
      <c r="P461" t="str" cm="1">
        <f t="array" ref="P461">_xlfn.IFS( J461 &lt;ASSUMPTIONS!$D$7,"LOW",J461 &lt;= ASSUMPTIONS!$D$8,"MEDIUM",TRUE, "HIGH")</f>
        <v>MEDIUM</v>
      </c>
      <c r="Q461" t="str">
        <f>IF(M461&lt;ASSUMPTIONS!$D$10,"New (0-2)",IF(M461&lt;=ASSUMPTIONS!$D$11,"Early (2-5)",IF(M461&lt;=ASSUMPTIONS!$D$12,"Established (5-10)","Veteran (10+)")))</f>
        <v>Established (5-10)</v>
      </c>
      <c r="R461" s="4">
        <f t="shared" si="15"/>
        <v>2.3333333333333335</v>
      </c>
    </row>
    <row r="462" spans="1:18">
      <c r="A462">
        <f>RAW_DATA!A462</f>
        <v>26</v>
      </c>
      <c r="B462" t="str">
        <f>RAW_DATA!B462</f>
        <v>No</v>
      </c>
      <c r="C462" t="str">
        <f>RAW_DATA!C462</f>
        <v>Sales</v>
      </c>
      <c r="D462">
        <f>RAW_DATA!D462</f>
        <v>29</v>
      </c>
      <c r="E462">
        <f>RAW_DATA!E462</f>
        <v>2</v>
      </c>
      <c r="F462" t="str">
        <f>RAW_DATA!F462</f>
        <v>Medical</v>
      </c>
      <c r="G462">
        <f>RAW_DATA!G462</f>
        <v>1</v>
      </c>
      <c r="H462">
        <f>RAW_DATA!H462</f>
        <v>3</v>
      </c>
      <c r="I462" t="str">
        <f>RAW_DATA!I462</f>
        <v>Divorced</v>
      </c>
      <c r="J462">
        <f>RAW_DATA!J462</f>
        <v>4306</v>
      </c>
      <c r="K462">
        <f>RAW_DATA!K462</f>
        <v>5</v>
      </c>
      <c r="L462">
        <f>RAW_DATA!L462</f>
        <v>3</v>
      </c>
      <c r="M462">
        <f>RAW_DATA!M462</f>
        <v>0</v>
      </c>
      <c r="N462">
        <f t="shared" si="14"/>
        <v>0</v>
      </c>
      <c r="O462" t="str" cm="1">
        <f t="array" ref="O462" xml:space="preserve"> _xlfn.IFS(A462 &lt;ASSUMPTIONS!$D$2,"25",A462 &lt;= ASSUMPTIONS!$D$3,"25-34",A462 &lt;= ASSUMPTIONS!$D$4, "35-44",A462 &lt;= ASSUMPTIONS!$D$5,"45-54",TRUE,"55+")</f>
        <v>25-34</v>
      </c>
      <c r="P462" t="str" cm="1">
        <f t="array" ref="P462">_xlfn.IFS( J462 &lt;ASSUMPTIONS!$D$7,"LOW",J462 &lt;= ASSUMPTIONS!$D$8,"MEDIUM",TRUE, "HIGH")</f>
        <v>MEDIUM</v>
      </c>
      <c r="Q462" t="str">
        <f>IF(M462&lt;ASSUMPTIONS!$D$10,"New (0-2)",IF(M462&lt;=ASSUMPTIONS!$D$11,"Early (2-5)",IF(M462&lt;=ASSUMPTIONS!$D$12,"Established (5-10)","Veteran (10+)")))</f>
        <v>New (0-2)</v>
      </c>
      <c r="R462" s="4">
        <f t="shared" si="15"/>
        <v>2.3333333333333335</v>
      </c>
    </row>
    <row r="463" spans="1:18">
      <c r="A463">
        <f>RAW_DATA!A463</f>
        <v>35</v>
      </c>
      <c r="B463" t="str">
        <f>RAW_DATA!B463</f>
        <v>No</v>
      </c>
      <c r="C463" t="str">
        <f>RAW_DATA!C463</f>
        <v>Sales</v>
      </c>
      <c r="D463">
        <f>RAW_DATA!D463</f>
        <v>1</v>
      </c>
      <c r="E463">
        <f>RAW_DATA!E463</f>
        <v>3</v>
      </c>
      <c r="F463" t="str">
        <f>RAW_DATA!F463</f>
        <v>Medical</v>
      </c>
      <c r="G463">
        <f>RAW_DATA!G463</f>
        <v>1</v>
      </c>
      <c r="H463">
        <f>RAW_DATA!H463</f>
        <v>3</v>
      </c>
      <c r="I463" t="str">
        <f>RAW_DATA!I463</f>
        <v>Single</v>
      </c>
      <c r="J463">
        <f>RAW_DATA!J463</f>
        <v>4859</v>
      </c>
      <c r="K463">
        <f>RAW_DATA!K463</f>
        <v>1</v>
      </c>
      <c r="L463">
        <f>RAW_DATA!L463</f>
        <v>3</v>
      </c>
      <c r="M463">
        <f>RAW_DATA!M463</f>
        <v>5</v>
      </c>
      <c r="N463">
        <f t="shared" si="14"/>
        <v>0</v>
      </c>
      <c r="O463" t="str" cm="1">
        <f t="array" ref="O463" xml:space="preserve"> _xlfn.IFS(A463 &lt;ASSUMPTIONS!$D$2,"25",A463 &lt;= ASSUMPTIONS!$D$3,"25-34",A463 &lt;= ASSUMPTIONS!$D$4, "35-44",A463 &lt;= ASSUMPTIONS!$D$5,"45-54",TRUE,"55+")</f>
        <v>35-44</v>
      </c>
      <c r="P463" t="str" cm="1">
        <f t="array" ref="P463">_xlfn.IFS( J463 &lt;ASSUMPTIONS!$D$7,"LOW",J463 &lt;= ASSUMPTIONS!$D$8,"MEDIUM",TRUE, "HIGH")</f>
        <v>MEDIUM</v>
      </c>
      <c r="Q463" t="str">
        <f>IF(M463&lt;ASSUMPTIONS!$D$10,"New (0-2)",IF(M463&lt;=ASSUMPTIONS!$D$11,"Early (2-5)",IF(M463&lt;=ASSUMPTIONS!$D$12,"Established (5-10)","Veteran (10+)")))</f>
        <v>Early (2-5)</v>
      </c>
      <c r="R463" s="4">
        <f t="shared" si="15"/>
        <v>2.3333333333333335</v>
      </c>
    </row>
    <row r="464" spans="1:18">
      <c r="A464">
        <f>RAW_DATA!A464</f>
        <v>34</v>
      </c>
      <c r="B464" t="str">
        <f>RAW_DATA!B464</f>
        <v>No</v>
      </c>
      <c r="C464" t="str">
        <f>RAW_DATA!C464</f>
        <v>Sales</v>
      </c>
      <c r="D464">
        <f>RAW_DATA!D464</f>
        <v>21</v>
      </c>
      <c r="E464">
        <f>RAW_DATA!E464</f>
        <v>4</v>
      </c>
      <c r="F464" t="str">
        <f>RAW_DATA!F464</f>
        <v>Life Sciences</v>
      </c>
      <c r="G464">
        <f>RAW_DATA!G464</f>
        <v>4</v>
      </c>
      <c r="H464">
        <f>RAW_DATA!H464</f>
        <v>4</v>
      </c>
      <c r="I464" t="str">
        <f>RAW_DATA!I464</f>
        <v>Single</v>
      </c>
      <c r="J464">
        <f>RAW_DATA!J464</f>
        <v>5337</v>
      </c>
      <c r="K464">
        <f>RAW_DATA!K464</f>
        <v>1</v>
      </c>
      <c r="L464">
        <f>RAW_DATA!L464</f>
        <v>3</v>
      </c>
      <c r="M464">
        <f>RAW_DATA!M464</f>
        <v>10</v>
      </c>
      <c r="N464">
        <f t="shared" si="14"/>
        <v>0</v>
      </c>
      <c r="O464" t="str" cm="1">
        <f t="array" ref="O464" xml:space="preserve"> _xlfn.IFS(A464 &lt;ASSUMPTIONS!$D$2,"25",A464 &lt;= ASSUMPTIONS!$D$3,"25-34",A464 &lt;= ASSUMPTIONS!$D$4, "35-44",A464 &lt;= ASSUMPTIONS!$D$5,"45-54",TRUE,"55+")</f>
        <v>25-34</v>
      </c>
      <c r="P464" t="str" cm="1">
        <f t="array" ref="P464">_xlfn.IFS( J464 &lt;ASSUMPTIONS!$D$7,"LOW",J464 &lt;= ASSUMPTIONS!$D$8,"MEDIUM",TRUE, "HIGH")</f>
        <v>MEDIUM</v>
      </c>
      <c r="Q464" t="str">
        <f>IF(M464&lt;ASSUMPTIONS!$D$10,"New (0-2)",IF(M464&lt;=ASSUMPTIONS!$D$11,"Early (2-5)",IF(M464&lt;=ASSUMPTIONS!$D$12,"Established (5-10)","Veteran (10+)")))</f>
        <v>Established (5-10)</v>
      </c>
      <c r="R464" s="4">
        <f t="shared" si="15"/>
        <v>3.6666666666666665</v>
      </c>
    </row>
    <row r="465" spans="1:18">
      <c r="A465">
        <f>RAW_DATA!A465</f>
        <v>26</v>
      </c>
      <c r="B465" t="str">
        <f>RAW_DATA!B465</f>
        <v>Yes</v>
      </c>
      <c r="C465" t="str">
        <f>RAW_DATA!C465</f>
        <v>Research &amp; Development</v>
      </c>
      <c r="D465">
        <f>RAW_DATA!D465</f>
        <v>24</v>
      </c>
      <c r="E465">
        <f>RAW_DATA!E465</f>
        <v>3</v>
      </c>
      <c r="F465" t="str">
        <f>RAW_DATA!F465</f>
        <v>Technical Degree</v>
      </c>
      <c r="G465">
        <f>RAW_DATA!G465</f>
        <v>3</v>
      </c>
      <c r="H465">
        <f>RAW_DATA!H465</f>
        <v>4</v>
      </c>
      <c r="I465" t="str">
        <f>RAW_DATA!I465</f>
        <v>Single</v>
      </c>
      <c r="J465">
        <f>RAW_DATA!J465</f>
        <v>2340</v>
      </c>
      <c r="K465">
        <f>RAW_DATA!K465</f>
        <v>1</v>
      </c>
      <c r="L465">
        <f>RAW_DATA!L465</f>
        <v>1</v>
      </c>
      <c r="M465">
        <f>RAW_DATA!M465</f>
        <v>1</v>
      </c>
      <c r="N465">
        <f t="shared" si="14"/>
        <v>1</v>
      </c>
      <c r="O465" t="str" cm="1">
        <f t="array" ref="O465" xml:space="preserve"> _xlfn.IFS(A465 &lt;ASSUMPTIONS!$D$2,"25",A465 &lt;= ASSUMPTIONS!$D$3,"25-34",A465 &lt;= ASSUMPTIONS!$D$4, "35-44",A465 &lt;= ASSUMPTIONS!$D$5,"45-54",TRUE,"55+")</f>
        <v>25-34</v>
      </c>
      <c r="P465" t="str" cm="1">
        <f t="array" ref="P465">_xlfn.IFS( J465 &lt;ASSUMPTIONS!$D$7,"LOW",J465 &lt;= ASSUMPTIONS!$D$8,"MEDIUM",TRUE, "HIGH")</f>
        <v>LOW</v>
      </c>
      <c r="Q465" t="str">
        <f>IF(M465&lt;ASSUMPTIONS!$D$10,"New (0-2)",IF(M465&lt;=ASSUMPTIONS!$D$11,"Early (2-5)",IF(M465&lt;=ASSUMPTIONS!$D$12,"Established (5-10)","Veteran (10+)")))</f>
        <v>New (0-2)</v>
      </c>
      <c r="R465" s="4">
        <f t="shared" si="15"/>
        <v>2.6666666666666665</v>
      </c>
    </row>
    <row r="466" spans="1:18">
      <c r="A466">
        <f>RAW_DATA!A466</f>
        <v>37</v>
      </c>
      <c r="B466" t="str">
        <f>RAW_DATA!B466</f>
        <v>No</v>
      </c>
      <c r="C466" t="str">
        <f>RAW_DATA!C466</f>
        <v>Research &amp; Development</v>
      </c>
      <c r="D466">
        <f>RAW_DATA!D466</f>
        <v>1</v>
      </c>
      <c r="E466">
        <f>RAW_DATA!E466</f>
        <v>3</v>
      </c>
      <c r="F466" t="str">
        <f>RAW_DATA!F466</f>
        <v>Technical Degree</v>
      </c>
      <c r="G466">
        <f>RAW_DATA!G466</f>
        <v>2</v>
      </c>
      <c r="H466">
        <f>RAW_DATA!H466</f>
        <v>4</v>
      </c>
      <c r="I466" t="str">
        <f>RAW_DATA!I466</f>
        <v>Single</v>
      </c>
      <c r="J466">
        <f>RAW_DATA!J466</f>
        <v>7491</v>
      </c>
      <c r="K466">
        <f>RAW_DATA!K466</f>
        <v>4</v>
      </c>
      <c r="L466">
        <f>RAW_DATA!L466</f>
        <v>4</v>
      </c>
      <c r="M466">
        <f>RAW_DATA!M466</f>
        <v>6</v>
      </c>
      <c r="N466">
        <f t="shared" si="14"/>
        <v>0</v>
      </c>
      <c r="O466" t="str" cm="1">
        <f t="array" ref="O466" xml:space="preserve"> _xlfn.IFS(A466 &lt;ASSUMPTIONS!$D$2,"25",A466 &lt;= ASSUMPTIONS!$D$3,"25-34",A466 &lt;= ASSUMPTIONS!$D$4, "35-44",A466 &lt;= ASSUMPTIONS!$D$5,"45-54",TRUE,"55+")</f>
        <v>35-44</v>
      </c>
      <c r="P466" t="str" cm="1">
        <f t="array" ref="P466">_xlfn.IFS( J466 &lt;ASSUMPTIONS!$D$7,"LOW",J466 &lt;= ASSUMPTIONS!$D$8,"MEDIUM",TRUE, "HIGH")</f>
        <v>HIGH</v>
      </c>
      <c r="Q466" t="str">
        <f>IF(M466&lt;ASSUMPTIONS!$D$10,"New (0-2)",IF(M466&lt;=ASSUMPTIONS!$D$11,"Early (2-5)",IF(M466&lt;=ASSUMPTIONS!$D$12,"Established (5-10)","Veteran (10+)")))</f>
        <v>Established (5-10)</v>
      </c>
      <c r="R466" s="4">
        <f t="shared" si="15"/>
        <v>3.3333333333333335</v>
      </c>
    </row>
    <row r="467" spans="1:18">
      <c r="A467">
        <f>RAW_DATA!A467</f>
        <v>46</v>
      </c>
      <c r="B467" t="str">
        <f>RAW_DATA!B467</f>
        <v>No</v>
      </c>
      <c r="C467" t="str">
        <f>RAW_DATA!C467</f>
        <v>Research &amp; Development</v>
      </c>
      <c r="D467">
        <f>RAW_DATA!D467</f>
        <v>18</v>
      </c>
      <c r="E467">
        <f>RAW_DATA!E467</f>
        <v>1</v>
      </c>
      <c r="F467" t="str">
        <f>RAW_DATA!F467</f>
        <v>Medical</v>
      </c>
      <c r="G467">
        <f>RAW_DATA!G467</f>
        <v>1</v>
      </c>
      <c r="H467">
        <f>RAW_DATA!H467</f>
        <v>3</v>
      </c>
      <c r="I467" t="str">
        <f>RAW_DATA!I467</f>
        <v>Married</v>
      </c>
      <c r="J467">
        <f>RAW_DATA!J467</f>
        <v>10527</v>
      </c>
      <c r="K467">
        <f>RAW_DATA!K467</f>
        <v>5</v>
      </c>
      <c r="L467">
        <f>RAW_DATA!L467</f>
        <v>2</v>
      </c>
      <c r="M467">
        <f>RAW_DATA!M467</f>
        <v>2</v>
      </c>
      <c r="N467">
        <f t="shared" si="14"/>
        <v>0</v>
      </c>
      <c r="O467" t="str" cm="1">
        <f t="array" ref="O467" xml:space="preserve"> _xlfn.IFS(A467 &lt;ASSUMPTIONS!$D$2,"25",A467 &lt;= ASSUMPTIONS!$D$3,"25-34",A467 &lt;= ASSUMPTIONS!$D$4, "35-44",A467 &lt;= ASSUMPTIONS!$D$5,"45-54",TRUE,"55+")</f>
        <v>45-54</v>
      </c>
      <c r="P467" t="str" cm="1">
        <f t="array" ref="P467">_xlfn.IFS( J467 &lt;ASSUMPTIONS!$D$7,"LOW",J467 &lt;= ASSUMPTIONS!$D$8,"MEDIUM",TRUE, "HIGH")</f>
        <v>HIGH</v>
      </c>
      <c r="Q467" t="str">
        <f>IF(M467&lt;ASSUMPTIONS!$D$10,"New (0-2)",IF(M467&lt;=ASSUMPTIONS!$D$11,"Early (2-5)",IF(M467&lt;=ASSUMPTIONS!$D$12,"Established (5-10)","Veteran (10+)")))</f>
        <v>Early (2-5)</v>
      </c>
      <c r="R467" s="4">
        <f t="shared" si="15"/>
        <v>2</v>
      </c>
    </row>
    <row r="468" spans="1:18">
      <c r="A468">
        <f>RAW_DATA!A468</f>
        <v>41</v>
      </c>
      <c r="B468" t="str">
        <f>RAW_DATA!B468</f>
        <v>No</v>
      </c>
      <c r="C468" t="str">
        <f>RAW_DATA!C468</f>
        <v>Sales</v>
      </c>
      <c r="D468">
        <f>RAW_DATA!D468</f>
        <v>2</v>
      </c>
      <c r="E468">
        <f>RAW_DATA!E468</f>
        <v>5</v>
      </c>
      <c r="F468" t="str">
        <f>RAW_DATA!F468</f>
        <v>Life Sciences</v>
      </c>
      <c r="G468">
        <f>RAW_DATA!G468</f>
        <v>2</v>
      </c>
      <c r="H468">
        <f>RAW_DATA!H468</f>
        <v>1</v>
      </c>
      <c r="I468" t="str">
        <f>RAW_DATA!I468</f>
        <v>Married</v>
      </c>
      <c r="J468">
        <f>RAW_DATA!J468</f>
        <v>16595</v>
      </c>
      <c r="K468">
        <f>RAW_DATA!K468</f>
        <v>7</v>
      </c>
      <c r="L468">
        <f>RAW_DATA!L468</f>
        <v>3</v>
      </c>
      <c r="M468">
        <f>RAW_DATA!M468</f>
        <v>18</v>
      </c>
      <c r="N468">
        <f t="shared" si="14"/>
        <v>0</v>
      </c>
      <c r="O468" t="str" cm="1">
        <f t="array" ref="O468" xml:space="preserve"> _xlfn.IFS(A468 &lt;ASSUMPTIONS!$D$2,"25",A468 &lt;= ASSUMPTIONS!$D$3,"25-34",A468 &lt;= ASSUMPTIONS!$D$4, "35-44",A468 &lt;= ASSUMPTIONS!$D$5,"45-54",TRUE,"55+")</f>
        <v>35-44</v>
      </c>
      <c r="P468" t="str" cm="1">
        <f t="array" ref="P468">_xlfn.IFS( J468 &lt;ASSUMPTIONS!$D$7,"LOW",J468 &lt;= ASSUMPTIONS!$D$8,"MEDIUM",TRUE, "HIGH")</f>
        <v>HIGH</v>
      </c>
      <c r="Q468" t="str">
        <f>IF(M468&lt;ASSUMPTIONS!$D$10,"New (0-2)",IF(M468&lt;=ASSUMPTIONS!$D$11,"Early (2-5)",IF(M468&lt;=ASSUMPTIONS!$D$12,"Established (5-10)","Veteran (10+)")))</f>
        <v>Veteran (10+)</v>
      </c>
      <c r="R468" s="4">
        <f t="shared" si="15"/>
        <v>2</v>
      </c>
    </row>
    <row r="469" spans="1:18">
      <c r="A469">
        <f>RAW_DATA!A469</f>
        <v>37</v>
      </c>
      <c r="B469" t="str">
        <f>RAW_DATA!B469</f>
        <v>No</v>
      </c>
      <c r="C469" t="str">
        <f>RAW_DATA!C469</f>
        <v>Sales</v>
      </c>
      <c r="D469">
        <f>RAW_DATA!D469</f>
        <v>9</v>
      </c>
      <c r="E469">
        <f>RAW_DATA!E469</f>
        <v>4</v>
      </c>
      <c r="F469" t="str">
        <f>RAW_DATA!F469</f>
        <v>Medical</v>
      </c>
      <c r="G469">
        <f>RAW_DATA!G469</f>
        <v>1</v>
      </c>
      <c r="H469">
        <f>RAW_DATA!H469</f>
        <v>2</v>
      </c>
      <c r="I469" t="str">
        <f>RAW_DATA!I469</f>
        <v>Divorced</v>
      </c>
      <c r="J469">
        <f>RAW_DATA!J469</f>
        <v>8834</v>
      </c>
      <c r="K469">
        <f>RAW_DATA!K469</f>
        <v>1</v>
      </c>
      <c r="L469">
        <f>RAW_DATA!L469</f>
        <v>3</v>
      </c>
      <c r="M469">
        <f>RAW_DATA!M469</f>
        <v>9</v>
      </c>
      <c r="N469">
        <f t="shared" si="14"/>
        <v>0</v>
      </c>
      <c r="O469" t="str" cm="1">
        <f t="array" ref="O469" xml:space="preserve"> _xlfn.IFS(A469 &lt;ASSUMPTIONS!$D$2,"25",A469 &lt;= ASSUMPTIONS!$D$3,"25-34",A469 &lt;= ASSUMPTIONS!$D$4, "35-44",A469 &lt;= ASSUMPTIONS!$D$5,"45-54",TRUE,"55+")</f>
        <v>35-44</v>
      </c>
      <c r="P469" t="str" cm="1">
        <f t="array" ref="P469">_xlfn.IFS( J469 &lt;ASSUMPTIONS!$D$7,"LOW",J469 &lt;= ASSUMPTIONS!$D$8,"MEDIUM",TRUE, "HIGH")</f>
        <v>HIGH</v>
      </c>
      <c r="Q469" t="str">
        <f>IF(M469&lt;ASSUMPTIONS!$D$10,"New (0-2)",IF(M469&lt;=ASSUMPTIONS!$D$11,"Early (2-5)",IF(M469&lt;=ASSUMPTIONS!$D$12,"Established (5-10)","Veteran (10+)")))</f>
        <v>Established (5-10)</v>
      </c>
      <c r="R469" s="4">
        <f t="shared" si="15"/>
        <v>2</v>
      </c>
    </row>
    <row r="470" spans="1:18">
      <c r="A470">
        <f>RAW_DATA!A470</f>
        <v>52</v>
      </c>
      <c r="B470" t="str">
        <f>RAW_DATA!B470</f>
        <v>No</v>
      </c>
      <c r="C470" t="str">
        <f>RAW_DATA!C470</f>
        <v>Research &amp; Development</v>
      </c>
      <c r="D470">
        <f>RAW_DATA!D470</f>
        <v>6</v>
      </c>
      <c r="E470">
        <f>RAW_DATA!E470</f>
        <v>2</v>
      </c>
      <c r="F470" t="str">
        <f>RAW_DATA!F470</f>
        <v>Technical Degree</v>
      </c>
      <c r="G470">
        <f>RAW_DATA!G470</f>
        <v>4</v>
      </c>
      <c r="H470">
        <f>RAW_DATA!H470</f>
        <v>1</v>
      </c>
      <c r="I470" t="str">
        <f>RAW_DATA!I470</f>
        <v>Divorced</v>
      </c>
      <c r="J470">
        <f>RAW_DATA!J470</f>
        <v>5577</v>
      </c>
      <c r="K470">
        <f>RAW_DATA!K470</f>
        <v>3</v>
      </c>
      <c r="L470">
        <f>RAW_DATA!L470</f>
        <v>3</v>
      </c>
      <c r="M470">
        <f>RAW_DATA!M470</f>
        <v>10</v>
      </c>
      <c r="N470">
        <f t="shared" si="14"/>
        <v>0</v>
      </c>
      <c r="O470" t="str" cm="1">
        <f t="array" ref="O470" xml:space="preserve"> _xlfn.IFS(A470 &lt;ASSUMPTIONS!$D$2,"25",A470 &lt;= ASSUMPTIONS!$D$3,"25-34",A470 &lt;= ASSUMPTIONS!$D$4, "35-44",A470 &lt;= ASSUMPTIONS!$D$5,"45-54",TRUE,"55+")</f>
        <v>45-54</v>
      </c>
      <c r="P470" t="str" cm="1">
        <f t="array" ref="P470">_xlfn.IFS( J470 &lt;ASSUMPTIONS!$D$7,"LOW",J470 &lt;= ASSUMPTIONS!$D$8,"MEDIUM",TRUE, "HIGH")</f>
        <v>MEDIUM</v>
      </c>
      <c r="Q470" t="str">
        <f>IF(M470&lt;ASSUMPTIONS!$D$10,"New (0-2)",IF(M470&lt;=ASSUMPTIONS!$D$11,"Early (2-5)",IF(M470&lt;=ASSUMPTIONS!$D$12,"Established (5-10)","Veteran (10+)")))</f>
        <v>Established (5-10)</v>
      </c>
      <c r="R470" s="4">
        <f t="shared" si="15"/>
        <v>2.6666666666666665</v>
      </c>
    </row>
    <row r="471" spans="1:18">
      <c r="A471">
        <f>RAW_DATA!A471</f>
        <v>32</v>
      </c>
      <c r="B471" t="str">
        <f>RAW_DATA!B471</f>
        <v>Yes</v>
      </c>
      <c r="C471" t="str">
        <f>RAW_DATA!C471</f>
        <v>Sales</v>
      </c>
      <c r="D471">
        <f>RAW_DATA!D471</f>
        <v>11</v>
      </c>
      <c r="E471">
        <f>RAW_DATA!E471</f>
        <v>4</v>
      </c>
      <c r="F471" t="str">
        <f>RAW_DATA!F471</f>
        <v>Other</v>
      </c>
      <c r="G471">
        <f>RAW_DATA!G471</f>
        <v>4</v>
      </c>
      <c r="H471">
        <f>RAW_DATA!H471</f>
        <v>3</v>
      </c>
      <c r="I471" t="str">
        <f>RAW_DATA!I471</f>
        <v>Married</v>
      </c>
      <c r="J471">
        <f>RAW_DATA!J471</f>
        <v>4707</v>
      </c>
      <c r="K471">
        <f>RAW_DATA!K471</f>
        <v>8</v>
      </c>
      <c r="L471">
        <f>RAW_DATA!L471</f>
        <v>3</v>
      </c>
      <c r="M471">
        <f>RAW_DATA!M471</f>
        <v>4</v>
      </c>
      <c r="N471">
        <f t="shared" si="14"/>
        <v>1</v>
      </c>
      <c r="O471" t="str" cm="1">
        <f t="array" ref="O471" xml:space="preserve"> _xlfn.IFS(A471 &lt;ASSUMPTIONS!$D$2,"25",A471 &lt;= ASSUMPTIONS!$D$3,"25-34",A471 &lt;= ASSUMPTIONS!$D$4, "35-44",A471 &lt;= ASSUMPTIONS!$D$5,"45-54",TRUE,"55+")</f>
        <v>25-34</v>
      </c>
      <c r="P471" t="str" cm="1">
        <f t="array" ref="P471">_xlfn.IFS( J471 &lt;ASSUMPTIONS!$D$7,"LOW",J471 &lt;= ASSUMPTIONS!$D$8,"MEDIUM",TRUE, "HIGH")</f>
        <v>MEDIUM</v>
      </c>
      <c r="Q471" t="str">
        <f>IF(M471&lt;ASSUMPTIONS!$D$10,"New (0-2)",IF(M471&lt;=ASSUMPTIONS!$D$11,"Early (2-5)",IF(M471&lt;=ASSUMPTIONS!$D$12,"Established (5-10)","Veteran (10+)")))</f>
        <v>Early (2-5)</v>
      </c>
      <c r="R471" s="4">
        <f t="shared" si="15"/>
        <v>3.3333333333333335</v>
      </c>
    </row>
    <row r="472" spans="1:18">
      <c r="A472">
        <f>RAW_DATA!A472</f>
        <v>24</v>
      </c>
      <c r="B472" t="str">
        <f>RAW_DATA!B472</f>
        <v>No</v>
      </c>
      <c r="C472" t="str">
        <f>RAW_DATA!C472</f>
        <v>Sales</v>
      </c>
      <c r="D472">
        <f>RAW_DATA!D472</f>
        <v>24</v>
      </c>
      <c r="E472">
        <f>RAW_DATA!E472</f>
        <v>3</v>
      </c>
      <c r="F472" t="str">
        <f>RAW_DATA!F472</f>
        <v>Medical</v>
      </c>
      <c r="G472">
        <f>RAW_DATA!G472</f>
        <v>4</v>
      </c>
      <c r="H472">
        <f>RAW_DATA!H472</f>
        <v>4</v>
      </c>
      <c r="I472" t="str">
        <f>RAW_DATA!I472</f>
        <v>Married</v>
      </c>
      <c r="J472">
        <f>RAW_DATA!J472</f>
        <v>2400</v>
      </c>
      <c r="K472">
        <f>RAW_DATA!K472</f>
        <v>0</v>
      </c>
      <c r="L472">
        <f>RAW_DATA!L472</f>
        <v>3</v>
      </c>
      <c r="M472">
        <f>RAW_DATA!M472</f>
        <v>2</v>
      </c>
      <c r="N472">
        <f t="shared" si="14"/>
        <v>0</v>
      </c>
      <c r="O472" t="str" cm="1">
        <f t="array" ref="O472" xml:space="preserve"> _xlfn.IFS(A472 &lt;ASSUMPTIONS!$D$2,"25",A472 &lt;= ASSUMPTIONS!$D$3,"25-34",A472 &lt;= ASSUMPTIONS!$D$4, "35-44",A472 &lt;= ASSUMPTIONS!$D$5,"45-54",TRUE,"55+")</f>
        <v>25</v>
      </c>
      <c r="P472" t="str" cm="1">
        <f t="array" ref="P472">_xlfn.IFS( J472 &lt;ASSUMPTIONS!$D$7,"LOW",J472 &lt;= ASSUMPTIONS!$D$8,"MEDIUM",TRUE, "HIGH")</f>
        <v>LOW</v>
      </c>
      <c r="Q472" t="str">
        <f>IF(M472&lt;ASSUMPTIONS!$D$10,"New (0-2)",IF(M472&lt;=ASSUMPTIONS!$D$11,"Early (2-5)",IF(M472&lt;=ASSUMPTIONS!$D$12,"Established (5-10)","Veteran (10+)")))</f>
        <v>Early (2-5)</v>
      </c>
      <c r="R472" s="4">
        <f t="shared" si="15"/>
        <v>3.6666666666666665</v>
      </c>
    </row>
    <row r="473" spans="1:18">
      <c r="A473">
        <f>RAW_DATA!A473</f>
        <v>38</v>
      </c>
      <c r="B473" t="str">
        <f>RAW_DATA!B473</f>
        <v>No</v>
      </c>
      <c r="C473" t="str">
        <f>RAW_DATA!C473</f>
        <v>Research &amp; Development</v>
      </c>
      <c r="D473">
        <f>RAW_DATA!D473</f>
        <v>10</v>
      </c>
      <c r="E473">
        <f>RAW_DATA!E473</f>
        <v>3</v>
      </c>
      <c r="F473" t="str">
        <f>RAW_DATA!F473</f>
        <v>Medical</v>
      </c>
      <c r="G473">
        <f>RAW_DATA!G473</f>
        <v>3</v>
      </c>
      <c r="H473">
        <f>RAW_DATA!H473</f>
        <v>3</v>
      </c>
      <c r="I473" t="str">
        <f>RAW_DATA!I473</f>
        <v>Married</v>
      </c>
      <c r="J473">
        <f>RAW_DATA!J473</f>
        <v>9824</v>
      </c>
      <c r="K473">
        <f>RAW_DATA!K473</f>
        <v>3</v>
      </c>
      <c r="L473">
        <f>RAW_DATA!L473</f>
        <v>3</v>
      </c>
      <c r="M473">
        <f>RAW_DATA!M473</f>
        <v>1</v>
      </c>
      <c r="N473">
        <f t="shared" si="14"/>
        <v>0</v>
      </c>
      <c r="O473" t="str" cm="1">
        <f t="array" ref="O473" xml:space="preserve"> _xlfn.IFS(A473 &lt;ASSUMPTIONS!$D$2,"25",A473 &lt;= ASSUMPTIONS!$D$3,"25-34",A473 &lt;= ASSUMPTIONS!$D$4, "35-44",A473 &lt;= ASSUMPTIONS!$D$5,"45-54",TRUE,"55+")</f>
        <v>35-44</v>
      </c>
      <c r="P473" t="str" cm="1">
        <f t="array" ref="P473">_xlfn.IFS( J473 &lt;ASSUMPTIONS!$D$7,"LOW",J473 &lt;= ASSUMPTIONS!$D$8,"MEDIUM",TRUE, "HIGH")</f>
        <v>HIGH</v>
      </c>
      <c r="Q473" t="str">
        <f>IF(M473&lt;ASSUMPTIONS!$D$10,"New (0-2)",IF(M473&lt;=ASSUMPTIONS!$D$11,"Early (2-5)",IF(M473&lt;=ASSUMPTIONS!$D$12,"Established (5-10)","Veteran (10+)")))</f>
        <v>New (0-2)</v>
      </c>
      <c r="R473" s="4">
        <f t="shared" si="15"/>
        <v>3</v>
      </c>
    </row>
    <row r="474" spans="1:18">
      <c r="A474">
        <f>RAW_DATA!A474</f>
        <v>37</v>
      </c>
      <c r="B474" t="str">
        <f>RAW_DATA!B474</f>
        <v>No</v>
      </c>
      <c r="C474" t="str">
        <f>RAW_DATA!C474</f>
        <v>Research &amp; Development</v>
      </c>
      <c r="D474">
        <f>RAW_DATA!D474</f>
        <v>1</v>
      </c>
      <c r="E474">
        <f>RAW_DATA!E474</f>
        <v>4</v>
      </c>
      <c r="F474" t="str">
        <f>RAW_DATA!F474</f>
        <v>Life Sciences</v>
      </c>
      <c r="G474">
        <f>RAW_DATA!G474</f>
        <v>2</v>
      </c>
      <c r="H474">
        <f>RAW_DATA!H474</f>
        <v>2</v>
      </c>
      <c r="I474" t="str">
        <f>RAW_DATA!I474</f>
        <v>Married</v>
      </c>
      <c r="J474">
        <f>RAW_DATA!J474</f>
        <v>6447</v>
      </c>
      <c r="K474">
        <f>RAW_DATA!K474</f>
        <v>6</v>
      </c>
      <c r="L474">
        <f>RAW_DATA!L474</f>
        <v>2</v>
      </c>
      <c r="M474">
        <f>RAW_DATA!M474</f>
        <v>6</v>
      </c>
      <c r="N474">
        <f t="shared" si="14"/>
        <v>0</v>
      </c>
      <c r="O474" t="str" cm="1">
        <f t="array" ref="O474" xml:space="preserve"> _xlfn.IFS(A474 &lt;ASSUMPTIONS!$D$2,"25",A474 &lt;= ASSUMPTIONS!$D$3,"25-34",A474 &lt;= ASSUMPTIONS!$D$4, "35-44",A474 &lt;= ASSUMPTIONS!$D$5,"45-54",TRUE,"55+")</f>
        <v>35-44</v>
      </c>
      <c r="P474" t="str" cm="1">
        <f t="array" ref="P474">_xlfn.IFS( J474 &lt;ASSUMPTIONS!$D$7,"LOW",J474 &lt;= ASSUMPTIONS!$D$8,"MEDIUM",TRUE, "HIGH")</f>
        <v>MEDIUM</v>
      </c>
      <c r="Q474" t="str">
        <f>IF(M474&lt;ASSUMPTIONS!$D$10,"New (0-2)",IF(M474&lt;=ASSUMPTIONS!$D$11,"Early (2-5)",IF(M474&lt;=ASSUMPTIONS!$D$12,"Established (5-10)","Veteran (10+)")))</f>
        <v>Established (5-10)</v>
      </c>
      <c r="R474" s="4">
        <f t="shared" si="15"/>
        <v>2</v>
      </c>
    </row>
    <row r="475" spans="1:18">
      <c r="A475">
        <f>RAW_DATA!A475</f>
        <v>49</v>
      </c>
      <c r="B475" t="str">
        <f>RAW_DATA!B475</f>
        <v>No</v>
      </c>
      <c r="C475" t="str">
        <f>RAW_DATA!C475</f>
        <v>Research &amp; Development</v>
      </c>
      <c r="D475">
        <f>RAW_DATA!D475</f>
        <v>18</v>
      </c>
      <c r="E475">
        <f>RAW_DATA!E475</f>
        <v>4</v>
      </c>
      <c r="F475" t="str">
        <f>RAW_DATA!F475</f>
        <v>Life Sciences</v>
      </c>
      <c r="G475">
        <f>RAW_DATA!G475</f>
        <v>4</v>
      </c>
      <c r="H475">
        <f>RAW_DATA!H475</f>
        <v>3</v>
      </c>
      <c r="I475" t="str">
        <f>RAW_DATA!I475</f>
        <v>Divorced</v>
      </c>
      <c r="J475">
        <f>RAW_DATA!J475</f>
        <v>19502</v>
      </c>
      <c r="K475">
        <f>RAW_DATA!K475</f>
        <v>1</v>
      </c>
      <c r="L475">
        <f>RAW_DATA!L475</f>
        <v>3</v>
      </c>
      <c r="M475">
        <f>RAW_DATA!M475</f>
        <v>31</v>
      </c>
      <c r="N475">
        <f t="shared" si="14"/>
        <v>0</v>
      </c>
      <c r="O475" t="str" cm="1">
        <f t="array" ref="O475" xml:space="preserve"> _xlfn.IFS(A475 &lt;ASSUMPTIONS!$D$2,"25",A475 &lt;= ASSUMPTIONS!$D$3,"25-34",A475 &lt;= ASSUMPTIONS!$D$4, "35-44",A475 &lt;= ASSUMPTIONS!$D$5,"45-54",TRUE,"55+")</f>
        <v>45-54</v>
      </c>
      <c r="P475" t="str" cm="1">
        <f t="array" ref="P475">_xlfn.IFS( J475 &lt;ASSUMPTIONS!$D$7,"LOW",J475 &lt;= ASSUMPTIONS!$D$8,"MEDIUM",TRUE, "HIGH")</f>
        <v>HIGH</v>
      </c>
      <c r="Q475" t="str">
        <f>IF(M475&lt;ASSUMPTIONS!$D$10,"New (0-2)",IF(M475&lt;=ASSUMPTIONS!$D$11,"Early (2-5)",IF(M475&lt;=ASSUMPTIONS!$D$12,"Established (5-10)","Veteran (10+)")))</f>
        <v>Veteran (10+)</v>
      </c>
      <c r="R475" s="4">
        <f t="shared" si="15"/>
        <v>3.3333333333333335</v>
      </c>
    </row>
    <row r="476" spans="1:18">
      <c r="A476">
        <f>RAW_DATA!A476</f>
        <v>24</v>
      </c>
      <c r="B476" t="str">
        <f>RAW_DATA!B476</f>
        <v>No</v>
      </c>
      <c r="C476" t="str">
        <f>RAW_DATA!C476</f>
        <v>Research &amp; Development</v>
      </c>
      <c r="D476">
        <f>RAW_DATA!D476</f>
        <v>23</v>
      </c>
      <c r="E476">
        <f>RAW_DATA!E476</f>
        <v>3</v>
      </c>
      <c r="F476" t="str">
        <f>RAW_DATA!F476</f>
        <v>Medical</v>
      </c>
      <c r="G476">
        <f>RAW_DATA!G476</f>
        <v>2</v>
      </c>
      <c r="H476">
        <f>RAW_DATA!H476</f>
        <v>4</v>
      </c>
      <c r="I476" t="str">
        <f>RAW_DATA!I476</f>
        <v>Married</v>
      </c>
      <c r="J476">
        <f>RAW_DATA!J476</f>
        <v>2725</v>
      </c>
      <c r="K476">
        <f>RAW_DATA!K476</f>
        <v>1</v>
      </c>
      <c r="L476">
        <f>RAW_DATA!L476</f>
        <v>3</v>
      </c>
      <c r="M476">
        <f>RAW_DATA!M476</f>
        <v>6</v>
      </c>
      <c r="N476">
        <f t="shared" si="14"/>
        <v>0</v>
      </c>
      <c r="O476" t="str" cm="1">
        <f t="array" ref="O476" xml:space="preserve"> _xlfn.IFS(A476 &lt;ASSUMPTIONS!$D$2,"25",A476 &lt;= ASSUMPTIONS!$D$3,"25-34",A476 &lt;= ASSUMPTIONS!$D$4, "35-44",A476 &lt;= ASSUMPTIONS!$D$5,"45-54",TRUE,"55+")</f>
        <v>25</v>
      </c>
      <c r="P476" t="str" cm="1">
        <f t="array" ref="P476">_xlfn.IFS( J476 &lt;ASSUMPTIONS!$D$7,"LOW",J476 &lt;= ASSUMPTIONS!$D$8,"MEDIUM",TRUE, "HIGH")</f>
        <v>LOW</v>
      </c>
      <c r="Q476" t="str">
        <f>IF(M476&lt;ASSUMPTIONS!$D$10,"New (0-2)",IF(M476&lt;=ASSUMPTIONS!$D$11,"Early (2-5)",IF(M476&lt;=ASSUMPTIONS!$D$12,"Established (5-10)","Veteran (10+)")))</f>
        <v>Established (5-10)</v>
      </c>
      <c r="R476" s="4">
        <f t="shared" si="15"/>
        <v>3</v>
      </c>
    </row>
    <row r="477" spans="1:18">
      <c r="A477">
        <f>RAW_DATA!A477</f>
        <v>26</v>
      </c>
      <c r="B477" t="str">
        <f>RAW_DATA!B477</f>
        <v>No</v>
      </c>
      <c r="C477" t="str">
        <f>RAW_DATA!C477</f>
        <v>Sales</v>
      </c>
      <c r="D477">
        <f>RAW_DATA!D477</f>
        <v>28</v>
      </c>
      <c r="E477">
        <f>RAW_DATA!E477</f>
        <v>2</v>
      </c>
      <c r="F477" t="str">
        <f>RAW_DATA!F477</f>
        <v>Marketing</v>
      </c>
      <c r="G477">
        <f>RAW_DATA!G477</f>
        <v>1</v>
      </c>
      <c r="H477">
        <f>RAW_DATA!H477</f>
        <v>2</v>
      </c>
      <c r="I477" t="str">
        <f>RAW_DATA!I477</f>
        <v>Married</v>
      </c>
      <c r="J477">
        <f>RAW_DATA!J477</f>
        <v>6272</v>
      </c>
      <c r="K477">
        <f>RAW_DATA!K477</f>
        <v>1</v>
      </c>
      <c r="L477">
        <f>RAW_DATA!L477</f>
        <v>4</v>
      </c>
      <c r="M477">
        <f>RAW_DATA!M477</f>
        <v>5</v>
      </c>
      <c r="N477">
        <f t="shared" si="14"/>
        <v>0</v>
      </c>
      <c r="O477" t="str" cm="1">
        <f t="array" ref="O477" xml:space="preserve"> _xlfn.IFS(A477 &lt;ASSUMPTIONS!$D$2,"25",A477 &lt;= ASSUMPTIONS!$D$3,"25-34",A477 &lt;= ASSUMPTIONS!$D$4, "35-44",A477 &lt;= ASSUMPTIONS!$D$5,"45-54",TRUE,"55+")</f>
        <v>25-34</v>
      </c>
      <c r="P477" t="str" cm="1">
        <f t="array" ref="P477">_xlfn.IFS( J477 &lt;ASSUMPTIONS!$D$7,"LOW",J477 &lt;= ASSUMPTIONS!$D$8,"MEDIUM",TRUE, "HIGH")</f>
        <v>MEDIUM</v>
      </c>
      <c r="Q477" t="str">
        <f>IF(M477&lt;ASSUMPTIONS!$D$10,"New (0-2)",IF(M477&lt;=ASSUMPTIONS!$D$11,"Early (2-5)",IF(M477&lt;=ASSUMPTIONS!$D$12,"Established (5-10)","Veteran (10+)")))</f>
        <v>Early (2-5)</v>
      </c>
      <c r="R477" s="4">
        <f t="shared" si="15"/>
        <v>2.3333333333333335</v>
      </c>
    </row>
    <row r="478" spans="1:18">
      <c r="A478">
        <f>RAW_DATA!A478</f>
        <v>24</v>
      </c>
      <c r="B478" t="str">
        <f>RAW_DATA!B478</f>
        <v>No</v>
      </c>
      <c r="C478" t="str">
        <f>RAW_DATA!C478</f>
        <v>Research &amp; Development</v>
      </c>
      <c r="D478">
        <f>RAW_DATA!D478</f>
        <v>17</v>
      </c>
      <c r="E478">
        <f>RAW_DATA!E478</f>
        <v>2</v>
      </c>
      <c r="F478" t="str">
        <f>RAW_DATA!F478</f>
        <v>Other</v>
      </c>
      <c r="G478">
        <f>RAW_DATA!G478</f>
        <v>4</v>
      </c>
      <c r="H478">
        <f>RAW_DATA!H478</f>
        <v>2</v>
      </c>
      <c r="I478" t="str">
        <f>RAW_DATA!I478</f>
        <v>Married</v>
      </c>
      <c r="J478">
        <f>RAW_DATA!J478</f>
        <v>2127</v>
      </c>
      <c r="K478">
        <f>RAW_DATA!K478</f>
        <v>1</v>
      </c>
      <c r="L478">
        <f>RAW_DATA!L478</f>
        <v>3</v>
      </c>
      <c r="M478">
        <f>RAW_DATA!M478</f>
        <v>1</v>
      </c>
      <c r="N478">
        <f t="shared" si="14"/>
        <v>0</v>
      </c>
      <c r="O478" t="str" cm="1">
        <f t="array" ref="O478" xml:space="preserve"> _xlfn.IFS(A478 &lt;ASSUMPTIONS!$D$2,"25",A478 &lt;= ASSUMPTIONS!$D$3,"25-34",A478 &lt;= ASSUMPTIONS!$D$4, "35-44",A478 &lt;= ASSUMPTIONS!$D$5,"45-54",TRUE,"55+")</f>
        <v>25</v>
      </c>
      <c r="P478" t="str" cm="1">
        <f t="array" ref="P478">_xlfn.IFS( J478 &lt;ASSUMPTIONS!$D$7,"LOW",J478 &lt;= ASSUMPTIONS!$D$8,"MEDIUM",TRUE, "HIGH")</f>
        <v>LOW</v>
      </c>
      <c r="Q478" t="str">
        <f>IF(M478&lt;ASSUMPTIONS!$D$10,"New (0-2)",IF(M478&lt;=ASSUMPTIONS!$D$11,"Early (2-5)",IF(M478&lt;=ASSUMPTIONS!$D$12,"Established (5-10)","Veteran (10+)")))</f>
        <v>New (0-2)</v>
      </c>
      <c r="R478" s="4">
        <f t="shared" si="15"/>
        <v>3</v>
      </c>
    </row>
    <row r="479" spans="1:18">
      <c r="A479">
        <f>RAW_DATA!A479</f>
        <v>50</v>
      </c>
      <c r="B479" t="str">
        <f>RAW_DATA!B479</f>
        <v>No</v>
      </c>
      <c r="C479" t="str">
        <f>RAW_DATA!C479</f>
        <v>Human Resources</v>
      </c>
      <c r="D479">
        <f>RAW_DATA!D479</f>
        <v>3</v>
      </c>
      <c r="E479">
        <f>RAW_DATA!E479</f>
        <v>3</v>
      </c>
      <c r="F479" t="str">
        <f>RAW_DATA!F479</f>
        <v>Medical</v>
      </c>
      <c r="G479">
        <f>RAW_DATA!G479</f>
        <v>1</v>
      </c>
      <c r="H479">
        <f>RAW_DATA!H479</f>
        <v>2</v>
      </c>
      <c r="I479" t="str">
        <f>RAW_DATA!I479</f>
        <v>Married</v>
      </c>
      <c r="J479">
        <f>RAW_DATA!J479</f>
        <v>18200</v>
      </c>
      <c r="K479">
        <f>RAW_DATA!K479</f>
        <v>1</v>
      </c>
      <c r="L479">
        <f>RAW_DATA!L479</f>
        <v>3</v>
      </c>
      <c r="M479">
        <f>RAW_DATA!M479</f>
        <v>32</v>
      </c>
      <c r="N479">
        <f t="shared" si="14"/>
        <v>0</v>
      </c>
      <c r="O479" t="str" cm="1">
        <f t="array" ref="O479" xml:space="preserve"> _xlfn.IFS(A479 &lt;ASSUMPTIONS!$D$2,"25",A479 &lt;= ASSUMPTIONS!$D$3,"25-34",A479 &lt;= ASSUMPTIONS!$D$4, "35-44",A479 &lt;= ASSUMPTIONS!$D$5,"45-54",TRUE,"55+")</f>
        <v>45-54</v>
      </c>
      <c r="P479" t="str" cm="1">
        <f t="array" ref="P479">_xlfn.IFS( J479 &lt;ASSUMPTIONS!$D$7,"LOW",J479 &lt;= ASSUMPTIONS!$D$8,"MEDIUM",TRUE, "HIGH")</f>
        <v>HIGH</v>
      </c>
      <c r="Q479" t="str">
        <f>IF(M479&lt;ASSUMPTIONS!$D$10,"New (0-2)",IF(M479&lt;=ASSUMPTIONS!$D$11,"Early (2-5)",IF(M479&lt;=ASSUMPTIONS!$D$12,"Established (5-10)","Veteran (10+)")))</f>
        <v>Veteran (10+)</v>
      </c>
      <c r="R479" s="4">
        <f t="shared" si="15"/>
        <v>2</v>
      </c>
    </row>
    <row r="480" spans="1:18">
      <c r="A480">
        <f>RAW_DATA!A480</f>
        <v>25</v>
      </c>
      <c r="B480" t="str">
        <f>RAW_DATA!B480</f>
        <v>No</v>
      </c>
      <c r="C480" t="str">
        <f>RAW_DATA!C480</f>
        <v>Sales</v>
      </c>
      <c r="D480">
        <f>RAW_DATA!D480</f>
        <v>13</v>
      </c>
      <c r="E480">
        <f>RAW_DATA!E480</f>
        <v>1</v>
      </c>
      <c r="F480" t="str">
        <f>RAW_DATA!F480</f>
        <v>Medical</v>
      </c>
      <c r="G480">
        <f>RAW_DATA!G480</f>
        <v>2</v>
      </c>
      <c r="H480">
        <f>RAW_DATA!H480</f>
        <v>3</v>
      </c>
      <c r="I480" t="str">
        <f>RAW_DATA!I480</f>
        <v>Married</v>
      </c>
      <c r="J480">
        <f>RAW_DATA!J480</f>
        <v>2096</v>
      </c>
      <c r="K480">
        <f>RAW_DATA!K480</f>
        <v>1</v>
      </c>
      <c r="L480">
        <f>RAW_DATA!L480</f>
        <v>3</v>
      </c>
      <c r="M480">
        <f>RAW_DATA!M480</f>
        <v>7</v>
      </c>
      <c r="N480">
        <f t="shared" si="14"/>
        <v>0</v>
      </c>
      <c r="O480" t="str" cm="1">
        <f t="array" ref="O480" xml:space="preserve"> _xlfn.IFS(A480 &lt;ASSUMPTIONS!$D$2,"25",A480 &lt;= ASSUMPTIONS!$D$3,"25-34",A480 &lt;= ASSUMPTIONS!$D$4, "35-44",A480 &lt;= ASSUMPTIONS!$D$5,"45-54",TRUE,"55+")</f>
        <v>25-34</v>
      </c>
      <c r="P480" t="str" cm="1">
        <f t="array" ref="P480">_xlfn.IFS( J480 &lt;ASSUMPTIONS!$D$7,"LOW",J480 &lt;= ASSUMPTIONS!$D$8,"MEDIUM",TRUE, "HIGH")</f>
        <v>LOW</v>
      </c>
      <c r="Q480" t="str">
        <f>IF(M480&lt;ASSUMPTIONS!$D$10,"New (0-2)",IF(M480&lt;=ASSUMPTIONS!$D$11,"Early (2-5)",IF(M480&lt;=ASSUMPTIONS!$D$12,"Established (5-10)","Veteran (10+)")))</f>
        <v>Established (5-10)</v>
      </c>
      <c r="R480" s="4">
        <f t="shared" si="15"/>
        <v>2.6666666666666665</v>
      </c>
    </row>
    <row r="481" spans="1:18">
      <c r="A481">
        <f>RAW_DATA!A481</f>
        <v>24</v>
      </c>
      <c r="B481" t="str">
        <f>RAW_DATA!B481</f>
        <v>Yes</v>
      </c>
      <c r="C481" t="str">
        <f>RAW_DATA!C481</f>
        <v>Research &amp; Development</v>
      </c>
      <c r="D481">
        <f>RAW_DATA!D481</f>
        <v>7</v>
      </c>
      <c r="E481">
        <f>RAW_DATA!E481</f>
        <v>3</v>
      </c>
      <c r="F481" t="str">
        <f>RAW_DATA!F481</f>
        <v>Life Sciences</v>
      </c>
      <c r="G481">
        <f>RAW_DATA!G481</f>
        <v>1</v>
      </c>
      <c r="H481">
        <f>RAW_DATA!H481</f>
        <v>3</v>
      </c>
      <c r="I481" t="str">
        <f>RAW_DATA!I481</f>
        <v>Married</v>
      </c>
      <c r="J481">
        <f>RAW_DATA!J481</f>
        <v>2886</v>
      </c>
      <c r="K481">
        <f>RAW_DATA!K481</f>
        <v>1</v>
      </c>
      <c r="L481">
        <f>RAW_DATA!L481</f>
        <v>3</v>
      </c>
      <c r="M481">
        <f>RAW_DATA!M481</f>
        <v>6</v>
      </c>
      <c r="N481">
        <f t="shared" si="14"/>
        <v>1</v>
      </c>
      <c r="O481" t="str" cm="1">
        <f t="array" ref="O481" xml:space="preserve"> _xlfn.IFS(A481 &lt;ASSUMPTIONS!$D$2,"25",A481 &lt;= ASSUMPTIONS!$D$3,"25-34",A481 &lt;= ASSUMPTIONS!$D$4, "35-44",A481 &lt;= ASSUMPTIONS!$D$5,"45-54",TRUE,"55+")</f>
        <v>25</v>
      </c>
      <c r="P481" t="str" cm="1">
        <f t="array" ref="P481">_xlfn.IFS( J481 &lt;ASSUMPTIONS!$D$7,"LOW",J481 &lt;= ASSUMPTIONS!$D$8,"MEDIUM",TRUE, "HIGH")</f>
        <v>LOW</v>
      </c>
      <c r="Q481" t="str">
        <f>IF(M481&lt;ASSUMPTIONS!$D$10,"New (0-2)",IF(M481&lt;=ASSUMPTIONS!$D$11,"Early (2-5)",IF(M481&lt;=ASSUMPTIONS!$D$12,"Established (5-10)","Veteran (10+)")))</f>
        <v>Established (5-10)</v>
      </c>
      <c r="R481" s="4">
        <f t="shared" si="15"/>
        <v>2.3333333333333335</v>
      </c>
    </row>
    <row r="482" spans="1:18">
      <c r="A482">
        <f>RAW_DATA!A482</f>
        <v>30</v>
      </c>
      <c r="B482" t="str">
        <f>RAW_DATA!B482</f>
        <v>Yes</v>
      </c>
      <c r="C482" t="str">
        <f>RAW_DATA!C482</f>
        <v>Sales</v>
      </c>
      <c r="D482">
        <f>RAW_DATA!D482</f>
        <v>12</v>
      </c>
      <c r="E482">
        <f>RAW_DATA!E482</f>
        <v>4</v>
      </c>
      <c r="F482" t="str">
        <f>RAW_DATA!F482</f>
        <v>Life Sciences</v>
      </c>
      <c r="G482">
        <f>RAW_DATA!G482</f>
        <v>2</v>
      </c>
      <c r="H482">
        <f>RAW_DATA!H482</f>
        <v>1</v>
      </c>
      <c r="I482" t="str">
        <f>RAW_DATA!I482</f>
        <v>Married</v>
      </c>
      <c r="J482">
        <f>RAW_DATA!J482</f>
        <v>2033</v>
      </c>
      <c r="K482">
        <f>RAW_DATA!K482</f>
        <v>1</v>
      </c>
      <c r="L482">
        <f>RAW_DATA!L482</f>
        <v>4</v>
      </c>
      <c r="M482">
        <f>RAW_DATA!M482</f>
        <v>1</v>
      </c>
      <c r="N482">
        <f t="shared" si="14"/>
        <v>1</v>
      </c>
      <c r="O482" t="str" cm="1">
        <f t="array" ref="O482" xml:space="preserve"> _xlfn.IFS(A482 &lt;ASSUMPTIONS!$D$2,"25",A482 &lt;= ASSUMPTIONS!$D$3,"25-34",A482 &lt;= ASSUMPTIONS!$D$4, "35-44",A482 &lt;= ASSUMPTIONS!$D$5,"45-54",TRUE,"55+")</f>
        <v>25-34</v>
      </c>
      <c r="P482" t="str" cm="1">
        <f t="array" ref="P482">_xlfn.IFS( J482 &lt;ASSUMPTIONS!$D$7,"LOW",J482 &lt;= ASSUMPTIONS!$D$8,"MEDIUM",TRUE, "HIGH")</f>
        <v>LOW</v>
      </c>
      <c r="Q482" t="str">
        <f>IF(M482&lt;ASSUMPTIONS!$D$10,"New (0-2)",IF(M482&lt;=ASSUMPTIONS!$D$11,"Early (2-5)",IF(M482&lt;=ASSUMPTIONS!$D$12,"Established (5-10)","Veteran (10+)")))</f>
        <v>New (0-2)</v>
      </c>
      <c r="R482" s="4">
        <f t="shared" si="15"/>
        <v>2.3333333333333335</v>
      </c>
    </row>
    <row r="483" spans="1:18">
      <c r="A483">
        <f>RAW_DATA!A483</f>
        <v>34</v>
      </c>
      <c r="B483" t="str">
        <f>RAW_DATA!B483</f>
        <v>No</v>
      </c>
      <c r="C483" t="str">
        <f>RAW_DATA!C483</f>
        <v>Research &amp; Development</v>
      </c>
      <c r="D483">
        <f>RAW_DATA!D483</f>
        <v>1</v>
      </c>
      <c r="E483">
        <f>RAW_DATA!E483</f>
        <v>2</v>
      </c>
      <c r="F483" t="str">
        <f>RAW_DATA!F483</f>
        <v>Life Sciences</v>
      </c>
      <c r="G483">
        <f>RAW_DATA!G483</f>
        <v>2</v>
      </c>
      <c r="H483">
        <f>RAW_DATA!H483</f>
        <v>4</v>
      </c>
      <c r="I483" t="str">
        <f>RAW_DATA!I483</f>
        <v>Married</v>
      </c>
      <c r="J483">
        <f>RAW_DATA!J483</f>
        <v>3622</v>
      </c>
      <c r="K483">
        <f>RAW_DATA!K483</f>
        <v>1</v>
      </c>
      <c r="L483">
        <f>RAW_DATA!L483</f>
        <v>3</v>
      </c>
      <c r="M483">
        <f>RAW_DATA!M483</f>
        <v>6</v>
      </c>
      <c r="N483">
        <f t="shared" si="14"/>
        <v>0</v>
      </c>
      <c r="O483" t="str" cm="1">
        <f t="array" ref="O483" xml:space="preserve"> _xlfn.IFS(A483 &lt;ASSUMPTIONS!$D$2,"25",A483 &lt;= ASSUMPTIONS!$D$3,"25-34",A483 &lt;= ASSUMPTIONS!$D$4, "35-44",A483 &lt;= ASSUMPTIONS!$D$5,"45-54",TRUE,"55+")</f>
        <v>25-34</v>
      </c>
      <c r="P483" t="str" cm="1">
        <f t="array" ref="P483">_xlfn.IFS( J483 &lt;ASSUMPTIONS!$D$7,"LOW",J483 &lt;= ASSUMPTIONS!$D$8,"MEDIUM",TRUE, "HIGH")</f>
        <v>MEDIUM</v>
      </c>
      <c r="Q483" t="str">
        <f>IF(M483&lt;ASSUMPTIONS!$D$10,"New (0-2)",IF(M483&lt;=ASSUMPTIONS!$D$11,"Early (2-5)",IF(M483&lt;=ASSUMPTIONS!$D$12,"Established (5-10)","Veteran (10+)")))</f>
        <v>Established (5-10)</v>
      </c>
      <c r="R483" s="4">
        <f t="shared" si="15"/>
        <v>3</v>
      </c>
    </row>
    <row r="484" spans="1:18">
      <c r="A484">
        <f>RAW_DATA!A484</f>
        <v>31</v>
      </c>
      <c r="B484" t="str">
        <f>RAW_DATA!B484</f>
        <v>Yes</v>
      </c>
      <c r="C484" t="str">
        <f>RAW_DATA!C484</f>
        <v>Sales</v>
      </c>
      <c r="D484">
        <f>RAW_DATA!D484</f>
        <v>13</v>
      </c>
      <c r="E484">
        <f>RAW_DATA!E484</f>
        <v>4</v>
      </c>
      <c r="F484" t="str">
        <f>RAW_DATA!F484</f>
        <v>Medical</v>
      </c>
      <c r="G484">
        <f>RAW_DATA!G484</f>
        <v>2</v>
      </c>
      <c r="H484">
        <f>RAW_DATA!H484</f>
        <v>1</v>
      </c>
      <c r="I484" t="str">
        <f>RAW_DATA!I484</f>
        <v>Divorced</v>
      </c>
      <c r="J484">
        <f>RAW_DATA!J484</f>
        <v>4233</v>
      </c>
      <c r="K484">
        <f>RAW_DATA!K484</f>
        <v>2</v>
      </c>
      <c r="L484">
        <f>RAW_DATA!L484</f>
        <v>1</v>
      </c>
      <c r="M484">
        <f>RAW_DATA!M484</f>
        <v>3</v>
      </c>
      <c r="N484">
        <f t="shared" si="14"/>
        <v>1</v>
      </c>
      <c r="O484" t="str" cm="1">
        <f t="array" ref="O484" xml:space="preserve"> _xlfn.IFS(A484 &lt;ASSUMPTIONS!$D$2,"25",A484 &lt;= ASSUMPTIONS!$D$3,"25-34",A484 &lt;= ASSUMPTIONS!$D$4, "35-44",A484 &lt;= ASSUMPTIONS!$D$5,"45-54",TRUE,"55+")</f>
        <v>25-34</v>
      </c>
      <c r="P484" t="str" cm="1">
        <f t="array" ref="P484">_xlfn.IFS( J484 &lt;ASSUMPTIONS!$D$7,"LOW",J484 &lt;= ASSUMPTIONS!$D$8,"MEDIUM",TRUE, "HIGH")</f>
        <v>MEDIUM</v>
      </c>
      <c r="Q484" t="str">
        <f>IF(M484&lt;ASSUMPTIONS!$D$10,"New (0-2)",IF(M484&lt;=ASSUMPTIONS!$D$11,"Early (2-5)",IF(M484&lt;=ASSUMPTIONS!$D$12,"Established (5-10)","Veteran (10+)")))</f>
        <v>Early (2-5)</v>
      </c>
      <c r="R484" s="4">
        <f t="shared" si="15"/>
        <v>1.3333333333333333</v>
      </c>
    </row>
    <row r="485" spans="1:18">
      <c r="A485">
        <f>RAW_DATA!A485</f>
        <v>35</v>
      </c>
      <c r="B485" t="str">
        <f>RAW_DATA!B485</f>
        <v>No</v>
      </c>
      <c r="C485" t="str">
        <f>RAW_DATA!C485</f>
        <v>Research &amp; Development</v>
      </c>
      <c r="D485">
        <f>RAW_DATA!D485</f>
        <v>25</v>
      </c>
      <c r="E485">
        <f>RAW_DATA!E485</f>
        <v>2</v>
      </c>
      <c r="F485" t="str">
        <f>RAW_DATA!F485</f>
        <v>Other</v>
      </c>
      <c r="G485">
        <f>RAW_DATA!G485</f>
        <v>1</v>
      </c>
      <c r="H485">
        <f>RAW_DATA!H485</f>
        <v>4</v>
      </c>
      <c r="I485" t="str">
        <f>RAW_DATA!I485</f>
        <v>Single</v>
      </c>
      <c r="J485">
        <f>RAW_DATA!J485</f>
        <v>3681</v>
      </c>
      <c r="K485">
        <f>RAW_DATA!K485</f>
        <v>4</v>
      </c>
      <c r="L485">
        <f>RAW_DATA!L485</f>
        <v>3</v>
      </c>
      <c r="M485">
        <f>RAW_DATA!M485</f>
        <v>3</v>
      </c>
      <c r="N485">
        <f t="shared" si="14"/>
        <v>0</v>
      </c>
      <c r="O485" t="str" cm="1">
        <f t="array" ref="O485" xml:space="preserve"> _xlfn.IFS(A485 &lt;ASSUMPTIONS!$D$2,"25",A485 &lt;= ASSUMPTIONS!$D$3,"25-34",A485 &lt;= ASSUMPTIONS!$D$4, "35-44",A485 &lt;= ASSUMPTIONS!$D$5,"45-54",TRUE,"55+")</f>
        <v>35-44</v>
      </c>
      <c r="P485" t="str" cm="1">
        <f t="array" ref="P485">_xlfn.IFS( J485 &lt;ASSUMPTIONS!$D$7,"LOW",J485 &lt;= ASSUMPTIONS!$D$8,"MEDIUM",TRUE, "HIGH")</f>
        <v>MEDIUM</v>
      </c>
      <c r="Q485" t="str">
        <f>IF(M485&lt;ASSUMPTIONS!$D$10,"New (0-2)",IF(M485&lt;=ASSUMPTIONS!$D$11,"Early (2-5)",IF(M485&lt;=ASSUMPTIONS!$D$12,"Established (5-10)","Veteran (10+)")))</f>
        <v>Early (2-5)</v>
      </c>
      <c r="R485" s="4">
        <f t="shared" si="15"/>
        <v>2.6666666666666665</v>
      </c>
    </row>
    <row r="486" spans="1:18">
      <c r="A486">
        <f>RAW_DATA!A486</f>
        <v>31</v>
      </c>
      <c r="B486" t="str">
        <f>RAW_DATA!B486</f>
        <v>No</v>
      </c>
      <c r="C486" t="str">
        <f>RAW_DATA!C486</f>
        <v>Sales</v>
      </c>
      <c r="D486">
        <f>RAW_DATA!D486</f>
        <v>6</v>
      </c>
      <c r="E486">
        <f>RAW_DATA!E486</f>
        <v>4</v>
      </c>
      <c r="F486" t="str">
        <f>RAW_DATA!F486</f>
        <v>Medical</v>
      </c>
      <c r="G486">
        <f>RAW_DATA!G486</f>
        <v>1</v>
      </c>
      <c r="H486">
        <f>RAW_DATA!H486</f>
        <v>4</v>
      </c>
      <c r="I486" t="str">
        <f>RAW_DATA!I486</f>
        <v>Divorced</v>
      </c>
      <c r="J486">
        <f>RAW_DATA!J486</f>
        <v>5460</v>
      </c>
      <c r="K486">
        <f>RAW_DATA!K486</f>
        <v>4</v>
      </c>
      <c r="L486">
        <f>RAW_DATA!L486</f>
        <v>4</v>
      </c>
      <c r="M486">
        <f>RAW_DATA!M486</f>
        <v>7</v>
      </c>
      <c r="N486">
        <f t="shared" si="14"/>
        <v>0</v>
      </c>
      <c r="O486" t="str" cm="1">
        <f t="array" ref="O486" xml:space="preserve"> _xlfn.IFS(A486 &lt;ASSUMPTIONS!$D$2,"25",A486 &lt;= ASSUMPTIONS!$D$3,"25-34",A486 &lt;= ASSUMPTIONS!$D$4, "35-44",A486 &lt;= ASSUMPTIONS!$D$5,"45-54",TRUE,"55+")</f>
        <v>25-34</v>
      </c>
      <c r="P486" t="str" cm="1">
        <f t="array" ref="P486">_xlfn.IFS( J486 &lt;ASSUMPTIONS!$D$7,"LOW",J486 &lt;= ASSUMPTIONS!$D$8,"MEDIUM",TRUE, "HIGH")</f>
        <v>MEDIUM</v>
      </c>
      <c r="Q486" t="str">
        <f>IF(M486&lt;ASSUMPTIONS!$D$10,"New (0-2)",IF(M486&lt;=ASSUMPTIONS!$D$11,"Early (2-5)",IF(M486&lt;=ASSUMPTIONS!$D$12,"Established (5-10)","Veteran (10+)")))</f>
        <v>Established (5-10)</v>
      </c>
      <c r="R486" s="4">
        <f t="shared" si="15"/>
        <v>3</v>
      </c>
    </row>
    <row r="487" spans="1:18">
      <c r="A487">
        <f>RAW_DATA!A487</f>
        <v>27</v>
      </c>
      <c r="B487" t="str">
        <f>RAW_DATA!B487</f>
        <v>No</v>
      </c>
      <c r="C487" t="str">
        <f>RAW_DATA!C487</f>
        <v>Research &amp; Development</v>
      </c>
      <c r="D487">
        <f>RAW_DATA!D487</f>
        <v>6</v>
      </c>
      <c r="E487">
        <f>RAW_DATA!E487</f>
        <v>4</v>
      </c>
      <c r="F487" t="str">
        <f>RAW_DATA!F487</f>
        <v>Medical</v>
      </c>
      <c r="G487">
        <f>RAW_DATA!G487</f>
        <v>1</v>
      </c>
      <c r="H487">
        <f>RAW_DATA!H487</f>
        <v>3</v>
      </c>
      <c r="I487" t="str">
        <f>RAW_DATA!I487</f>
        <v>Divorced</v>
      </c>
      <c r="J487">
        <f>RAW_DATA!J487</f>
        <v>2187</v>
      </c>
      <c r="K487">
        <f>RAW_DATA!K487</f>
        <v>0</v>
      </c>
      <c r="L487">
        <f>RAW_DATA!L487</f>
        <v>2</v>
      </c>
      <c r="M487">
        <f>RAW_DATA!M487</f>
        <v>5</v>
      </c>
      <c r="N487">
        <f t="shared" si="14"/>
        <v>0</v>
      </c>
      <c r="O487" t="str" cm="1">
        <f t="array" ref="O487" xml:space="preserve"> _xlfn.IFS(A487 &lt;ASSUMPTIONS!$D$2,"25",A487 &lt;= ASSUMPTIONS!$D$3,"25-34",A487 &lt;= ASSUMPTIONS!$D$4, "35-44",A487 &lt;= ASSUMPTIONS!$D$5,"45-54",TRUE,"55+")</f>
        <v>25-34</v>
      </c>
      <c r="P487" t="str" cm="1">
        <f t="array" ref="P487">_xlfn.IFS( J487 &lt;ASSUMPTIONS!$D$7,"LOW",J487 &lt;= ASSUMPTIONS!$D$8,"MEDIUM",TRUE, "HIGH")</f>
        <v>LOW</v>
      </c>
      <c r="Q487" t="str">
        <f>IF(M487&lt;ASSUMPTIONS!$D$10,"New (0-2)",IF(M487&lt;=ASSUMPTIONS!$D$11,"Early (2-5)",IF(M487&lt;=ASSUMPTIONS!$D$12,"Established (5-10)","Veteran (10+)")))</f>
        <v>Early (2-5)</v>
      </c>
      <c r="R487" s="4">
        <f t="shared" si="15"/>
        <v>2</v>
      </c>
    </row>
    <row r="488" spans="1:18">
      <c r="A488">
        <f>RAW_DATA!A488</f>
        <v>37</v>
      </c>
      <c r="B488" t="str">
        <f>RAW_DATA!B488</f>
        <v>No</v>
      </c>
      <c r="C488" t="str">
        <f>RAW_DATA!C488</f>
        <v>Sales</v>
      </c>
      <c r="D488">
        <f>RAW_DATA!D488</f>
        <v>2</v>
      </c>
      <c r="E488">
        <f>RAW_DATA!E488</f>
        <v>3</v>
      </c>
      <c r="F488" t="str">
        <f>RAW_DATA!F488</f>
        <v>Marketing</v>
      </c>
      <c r="G488">
        <f>RAW_DATA!G488</f>
        <v>4</v>
      </c>
      <c r="H488">
        <f>RAW_DATA!H488</f>
        <v>3</v>
      </c>
      <c r="I488" t="str">
        <f>RAW_DATA!I488</f>
        <v>Married</v>
      </c>
      <c r="J488">
        <f>RAW_DATA!J488</f>
        <v>9602</v>
      </c>
      <c r="K488">
        <f>RAW_DATA!K488</f>
        <v>4</v>
      </c>
      <c r="L488">
        <f>RAW_DATA!L488</f>
        <v>2</v>
      </c>
      <c r="M488">
        <f>RAW_DATA!M488</f>
        <v>3</v>
      </c>
      <c r="N488">
        <f t="shared" si="14"/>
        <v>0</v>
      </c>
      <c r="O488" t="str" cm="1">
        <f t="array" ref="O488" xml:space="preserve"> _xlfn.IFS(A488 &lt;ASSUMPTIONS!$D$2,"25",A488 &lt;= ASSUMPTIONS!$D$3,"25-34",A488 &lt;= ASSUMPTIONS!$D$4, "35-44",A488 &lt;= ASSUMPTIONS!$D$5,"45-54",TRUE,"55+")</f>
        <v>35-44</v>
      </c>
      <c r="P488" t="str" cm="1">
        <f t="array" ref="P488">_xlfn.IFS( J488 &lt;ASSUMPTIONS!$D$7,"LOW",J488 &lt;= ASSUMPTIONS!$D$8,"MEDIUM",TRUE, "HIGH")</f>
        <v>HIGH</v>
      </c>
      <c r="Q488" t="str">
        <f>IF(M488&lt;ASSUMPTIONS!$D$10,"New (0-2)",IF(M488&lt;=ASSUMPTIONS!$D$11,"Early (2-5)",IF(M488&lt;=ASSUMPTIONS!$D$12,"Established (5-10)","Veteran (10+)")))</f>
        <v>Early (2-5)</v>
      </c>
      <c r="R488" s="4">
        <f t="shared" si="15"/>
        <v>3</v>
      </c>
    </row>
    <row r="489" spans="1:18">
      <c r="A489">
        <f>RAW_DATA!A489</f>
        <v>20</v>
      </c>
      <c r="B489" t="str">
        <f>RAW_DATA!B489</f>
        <v>No</v>
      </c>
      <c r="C489" t="str">
        <f>RAW_DATA!C489</f>
        <v>Research &amp; Development</v>
      </c>
      <c r="D489">
        <f>RAW_DATA!D489</f>
        <v>1</v>
      </c>
      <c r="E489">
        <f>RAW_DATA!E489</f>
        <v>3</v>
      </c>
      <c r="F489" t="str">
        <f>RAW_DATA!F489</f>
        <v>Life Sciences</v>
      </c>
      <c r="G489">
        <f>RAW_DATA!G489</f>
        <v>4</v>
      </c>
      <c r="H489">
        <f>RAW_DATA!H489</f>
        <v>2</v>
      </c>
      <c r="I489" t="str">
        <f>RAW_DATA!I489</f>
        <v>Single</v>
      </c>
      <c r="J489">
        <f>RAW_DATA!J489</f>
        <v>2836</v>
      </c>
      <c r="K489">
        <f>RAW_DATA!K489</f>
        <v>1</v>
      </c>
      <c r="L489">
        <f>RAW_DATA!L489</f>
        <v>4</v>
      </c>
      <c r="M489">
        <f>RAW_DATA!M489</f>
        <v>1</v>
      </c>
      <c r="N489">
        <f t="shared" si="14"/>
        <v>0</v>
      </c>
      <c r="O489" t="str" cm="1">
        <f t="array" ref="O489" xml:space="preserve"> _xlfn.IFS(A489 &lt;ASSUMPTIONS!$D$2,"25",A489 &lt;= ASSUMPTIONS!$D$3,"25-34",A489 &lt;= ASSUMPTIONS!$D$4, "35-44",A489 &lt;= ASSUMPTIONS!$D$5,"45-54",TRUE,"55+")</f>
        <v>25</v>
      </c>
      <c r="P489" t="str" cm="1">
        <f t="array" ref="P489">_xlfn.IFS( J489 &lt;ASSUMPTIONS!$D$7,"LOW",J489 &lt;= ASSUMPTIONS!$D$8,"MEDIUM",TRUE, "HIGH")</f>
        <v>LOW</v>
      </c>
      <c r="Q489" t="str">
        <f>IF(M489&lt;ASSUMPTIONS!$D$10,"New (0-2)",IF(M489&lt;=ASSUMPTIONS!$D$11,"Early (2-5)",IF(M489&lt;=ASSUMPTIONS!$D$12,"Established (5-10)","Veteran (10+)")))</f>
        <v>New (0-2)</v>
      </c>
      <c r="R489" s="4">
        <f t="shared" si="15"/>
        <v>3.3333333333333335</v>
      </c>
    </row>
    <row r="490" spans="1:18">
      <c r="A490">
        <f>RAW_DATA!A490</f>
        <v>42</v>
      </c>
      <c r="B490" t="str">
        <f>RAW_DATA!B490</f>
        <v>No</v>
      </c>
      <c r="C490" t="str">
        <f>RAW_DATA!C490</f>
        <v>Research &amp; Development</v>
      </c>
      <c r="D490">
        <f>RAW_DATA!D490</f>
        <v>2</v>
      </c>
      <c r="E490">
        <f>RAW_DATA!E490</f>
        <v>4</v>
      </c>
      <c r="F490" t="str">
        <f>RAW_DATA!F490</f>
        <v>Life Sciences</v>
      </c>
      <c r="G490">
        <f>RAW_DATA!G490</f>
        <v>3</v>
      </c>
      <c r="H490">
        <f>RAW_DATA!H490</f>
        <v>4</v>
      </c>
      <c r="I490" t="str">
        <f>RAW_DATA!I490</f>
        <v>Married</v>
      </c>
      <c r="J490">
        <f>RAW_DATA!J490</f>
        <v>4089</v>
      </c>
      <c r="K490">
        <f>RAW_DATA!K490</f>
        <v>1</v>
      </c>
      <c r="L490">
        <f>RAW_DATA!L490</f>
        <v>3</v>
      </c>
      <c r="M490">
        <f>RAW_DATA!M490</f>
        <v>10</v>
      </c>
      <c r="N490">
        <f t="shared" si="14"/>
        <v>0</v>
      </c>
      <c r="O490" t="str" cm="1">
        <f t="array" ref="O490" xml:space="preserve"> _xlfn.IFS(A490 &lt;ASSUMPTIONS!$D$2,"25",A490 &lt;= ASSUMPTIONS!$D$3,"25-34",A490 &lt;= ASSUMPTIONS!$D$4, "35-44",A490 &lt;= ASSUMPTIONS!$D$5,"45-54",TRUE,"55+")</f>
        <v>35-44</v>
      </c>
      <c r="P490" t="str" cm="1">
        <f t="array" ref="P490">_xlfn.IFS( J490 &lt;ASSUMPTIONS!$D$7,"LOW",J490 &lt;= ASSUMPTIONS!$D$8,"MEDIUM",TRUE, "HIGH")</f>
        <v>MEDIUM</v>
      </c>
      <c r="Q490" t="str">
        <f>IF(M490&lt;ASSUMPTIONS!$D$10,"New (0-2)",IF(M490&lt;=ASSUMPTIONS!$D$11,"Early (2-5)",IF(M490&lt;=ASSUMPTIONS!$D$12,"Established (5-10)","Veteran (10+)")))</f>
        <v>Established (5-10)</v>
      </c>
      <c r="R490" s="4">
        <f t="shared" si="15"/>
        <v>3.3333333333333335</v>
      </c>
    </row>
    <row r="491" spans="1:18">
      <c r="A491">
        <f>RAW_DATA!A491</f>
        <v>43</v>
      </c>
      <c r="B491" t="str">
        <f>RAW_DATA!B491</f>
        <v>No</v>
      </c>
      <c r="C491" t="str">
        <f>RAW_DATA!C491</f>
        <v>Research &amp; Development</v>
      </c>
      <c r="D491">
        <f>RAW_DATA!D491</f>
        <v>6</v>
      </c>
      <c r="E491">
        <f>RAW_DATA!E491</f>
        <v>4</v>
      </c>
      <c r="F491" t="str">
        <f>RAW_DATA!F491</f>
        <v>Other</v>
      </c>
      <c r="G491">
        <f>RAW_DATA!G491</f>
        <v>2</v>
      </c>
      <c r="H491">
        <f>RAW_DATA!H491</f>
        <v>4</v>
      </c>
      <c r="I491" t="str">
        <f>RAW_DATA!I491</f>
        <v>Divorced</v>
      </c>
      <c r="J491">
        <f>RAW_DATA!J491</f>
        <v>16627</v>
      </c>
      <c r="K491">
        <f>RAW_DATA!K491</f>
        <v>4</v>
      </c>
      <c r="L491">
        <f>RAW_DATA!L491</f>
        <v>2</v>
      </c>
      <c r="M491">
        <f>RAW_DATA!M491</f>
        <v>1</v>
      </c>
      <c r="N491">
        <f t="shared" si="14"/>
        <v>0</v>
      </c>
      <c r="O491" t="str" cm="1">
        <f t="array" ref="O491" xml:space="preserve"> _xlfn.IFS(A491 &lt;ASSUMPTIONS!$D$2,"25",A491 &lt;= ASSUMPTIONS!$D$3,"25-34",A491 &lt;= ASSUMPTIONS!$D$4, "35-44",A491 &lt;= ASSUMPTIONS!$D$5,"45-54",TRUE,"55+")</f>
        <v>35-44</v>
      </c>
      <c r="P491" t="str" cm="1">
        <f t="array" ref="P491">_xlfn.IFS( J491 &lt;ASSUMPTIONS!$D$7,"LOW",J491 &lt;= ASSUMPTIONS!$D$8,"MEDIUM",TRUE, "HIGH")</f>
        <v>HIGH</v>
      </c>
      <c r="Q491" t="str">
        <f>IF(M491&lt;ASSUMPTIONS!$D$10,"New (0-2)",IF(M491&lt;=ASSUMPTIONS!$D$11,"Early (2-5)",IF(M491&lt;=ASSUMPTIONS!$D$12,"Established (5-10)","Veteran (10+)")))</f>
        <v>New (0-2)</v>
      </c>
      <c r="R491" s="4">
        <f t="shared" si="15"/>
        <v>2.6666666666666665</v>
      </c>
    </row>
    <row r="492" spans="1:18">
      <c r="A492">
        <f>RAW_DATA!A492</f>
        <v>38</v>
      </c>
      <c r="B492" t="str">
        <f>RAW_DATA!B492</f>
        <v>No</v>
      </c>
      <c r="C492" t="str">
        <f>RAW_DATA!C492</f>
        <v>Research &amp; Development</v>
      </c>
      <c r="D492">
        <f>RAW_DATA!D492</f>
        <v>1</v>
      </c>
      <c r="E492">
        <f>RAW_DATA!E492</f>
        <v>1</v>
      </c>
      <c r="F492" t="str">
        <f>RAW_DATA!F492</f>
        <v>Life Sciences</v>
      </c>
      <c r="G492">
        <f>RAW_DATA!G492</f>
        <v>3</v>
      </c>
      <c r="H492">
        <f>RAW_DATA!H492</f>
        <v>1</v>
      </c>
      <c r="I492" t="str">
        <f>RAW_DATA!I492</f>
        <v>Single</v>
      </c>
      <c r="J492">
        <f>RAW_DATA!J492</f>
        <v>2619</v>
      </c>
      <c r="K492">
        <f>RAW_DATA!K492</f>
        <v>3</v>
      </c>
      <c r="L492">
        <f>RAW_DATA!L492</f>
        <v>2</v>
      </c>
      <c r="M492">
        <f>RAW_DATA!M492</f>
        <v>0</v>
      </c>
      <c r="N492">
        <f t="shared" si="14"/>
        <v>0</v>
      </c>
      <c r="O492" t="str" cm="1">
        <f t="array" ref="O492" xml:space="preserve"> _xlfn.IFS(A492 &lt;ASSUMPTIONS!$D$2,"25",A492 &lt;= ASSUMPTIONS!$D$3,"25-34",A492 &lt;= ASSUMPTIONS!$D$4, "35-44",A492 &lt;= ASSUMPTIONS!$D$5,"45-54",TRUE,"55+")</f>
        <v>35-44</v>
      </c>
      <c r="P492" t="str" cm="1">
        <f t="array" ref="P492">_xlfn.IFS( J492 &lt;ASSUMPTIONS!$D$7,"LOW",J492 &lt;= ASSUMPTIONS!$D$8,"MEDIUM",TRUE, "HIGH")</f>
        <v>LOW</v>
      </c>
      <c r="Q492" t="str">
        <f>IF(M492&lt;ASSUMPTIONS!$D$10,"New (0-2)",IF(M492&lt;=ASSUMPTIONS!$D$11,"Early (2-5)",IF(M492&lt;=ASSUMPTIONS!$D$12,"Established (5-10)","Veteran (10+)")))</f>
        <v>New (0-2)</v>
      </c>
      <c r="R492" s="4">
        <f t="shared" si="15"/>
        <v>2</v>
      </c>
    </row>
    <row r="493" spans="1:18">
      <c r="A493">
        <f>RAW_DATA!A493</f>
        <v>43</v>
      </c>
      <c r="B493" t="str">
        <f>RAW_DATA!B493</f>
        <v>No</v>
      </c>
      <c r="C493" t="str">
        <f>RAW_DATA!C493</f>
        <v>Research &amp; Development</v>
      </c>
      <c r="D493">
        <f>RAW_DATA!D493</f>
        <v>9</v>
      </c>
      <c r="E493">
        <f>RAW_DATA!E493</f>
        <v>5</v>
      </c>
      <c r="F493" t="str">
        <f>RAW_DATA!F493</f>
        <v>Medical</v>
      </c>
      <c r="G493">
        <f>RAW_DATA!G493</f>
        <v>4</v>
      </c>
      <c r="H493">
        <f>RAW_DATA!H493</f>
        <v>3</v>
      </c>
      <c r="I493" t="str">
        <f>RAW_DATA!I493</f>
        <v>Divorced</v>
      </c>
      <c r="J493">
        <f>RAW_DATA!J493</f>
        <v>5679</v>
      </c>
      <c r="K493">
        <f>RAW_DATA!K493</f>
        <v>3</v>
      </c>
      <c r="L493">
        <f>RAW_DATA!L493</f>
        <v>3</v>
      </c>
      <c r="M493">
        <f>RAW_DATA!M493</f>
        <v>8</v>
      </c>
      <c r="N493">
        <f t="shared" si="14"/>
        <v>0</v>
      </c>
      <c r="O493" t="str" cm="1">
        <f t="array" ref="O493" xml:space="preserve"> _xlfn.IFS(A493 &lt;ASSUMPTIONS!$D$2,"25",A493 &lt;= ASSUMPTIONS!$D$3,"25-34",A493 &lt;= ASSUMPTIONS!$D$4, "35-44",A493 &lt;= ASSUMPTIONS!$D$5,"45-54",TRUE,"55+")</f>
        <v>35-44</v>
      </c>
      <c r="P493" t="str" cm="1">
        <f t="array" ref="P493">_xlfn.IFS( J493 &lt;ASSUMPTIONS!$D$7,"LOW",J493 &lt;= ASSUMPTIONS!$D$8,"MEDIUM",TRUE, "HIGH")</f>
        <v>MEDIUM</v>
      </c>
      <c r="Q493" t="str">
        <f>IF(M493&lt;ASSUMPTIONS!$D$10,"New (0-2)",IF(M493&lt;=ASSUMPTIONS!$D$11,"Early (2-5)",IF(M493&lt;=ASSUMPTIONS!$D$12,"Established (5-10)","Veteran (10+)")))</f>
        <v>Established (5-10)</v>
      </c>
      <c r="R493" s="4">
        <f t="shared" si="15"/>
        <v>3.3333333333333335</v>
      </c>
    </row>
    <row r="494" spans="1:18">
      <c r="A494">
        <f>RAW_DATA!A494</f>
        <v>48</v>
      </c>
      <c r="B494" t="str">
        <f>RAW_DATA!B494</f>
        <v>No</v>
      </c>
      <c r="C494" t="str">
        <f>RAW_DATA!C494</f>
        <v>Research &amp; Development</v>
      </c>
      <c r="D494">
        <f>RAW_DATA!D494</f>
        <v>1</v>
      </c>
      <c r="E494">
        <f>RAW_DATA!E494</f>
        <v>4</v>
      </c>
      <c r="F494" t="str">
        <f>RAW_DATA!F494</f>
        <v>Life Sciences</v>
      </c>
      <c r="G494">
        <f>RAW_DATA!G494</f>
        <v>4</v>
      </c>
      <c r="H494">
        <f>RAW_DATA!H494</f>
        <v>1</v>
      </c>
      <c r="I494" t="str">
        <f>RAW_DATA!I494</f>
        <v>Married</v>
      </c>
      <c r="J494">
        <f>RAW_DATA!J494</f>
        <v>15402</v>
      </c>
      <c r="K494">
        <f>RAW_DATA!K494</f>
        <v>7</v>
      </c>
      <c r="L494">
        <f>RAW_DATA!L494</f>
        <v>1</v>
      </c>
      <c r="M494">
        <f>RAW_DATA!M494</f>
        <v>3</v>
      </c>
      <c r="N494">
        <f t="shared" si="14"/>
        <v>0</v>
      </c>
      <c r="O494" t="str" cm="1">
        <f t="array" ref="O494" xml:space="preserve"> _xlfn.IFS(A494 &lt;ASSUMPTIONS!$D$2,"25",A494 &lt;= ASSUMPTIONS!$D$3,"25-34",A494 &lt;= ASSUMPTIONS!$D$4, "35-44",A494 &lt;= ASSUMPTIONS!$D$5,"45-54",TRUE,"55+")</f>
        <v>45-54</v>
      </c>
      <c r="P494" t="str" cm="1">
        <f t="array" ref="P494">_xlfn.IFS( J494 &lt;ASSUMPTIONS!$D$7,"LOW",J494 &lt;= ASSUMPTIONS!$D$8,"MEDIUM",TRUE, "HIGH")</f>
        <v>HIGH</v>
      </c>
      <c r="Q494" t="str">
        <f>IF(M494&lt;ASSUMPTIONS!$D$10,"New (0-2)",IF(M494&lt;=ASSUMPTIONS!$D$11,"Early (2-5)",IF(M494&lt;=ASSUMPTIONS!$D$12,"Established (5-10)","Veteran (10+)")))</f>
        <v>Early (2-5)</v>
      </c>
      <c r="R494" s="4">
        <f t="shared" si="15"/>
        <v>2</v>
      </c>
    </row>
    <row r="495" spans="1:18">
      <c r="A495">
        <f>RAW_DATA!A495</f>
        <v>44</v>
      </c>
      <c r="B495" t="str">
        <f>RAW_DATA!B495</f>
        <v>No</v>
      </c>
      <c r="C495" t="str">
        <f>RAW_DATA!C495</f>
        <v>Human Resources</v>
      </c>
      <c r="D495">
        <f>RAW_DATA!D495</f>
        <v>1</v>
      </c>
      <c r="E495">
        <f>RAW_DATA!E495</f>
        <v>4</v>
      </c>
      <c r="F495" t="str">
        <f>RAW_DATA!F495</f>
        <v>Life Sciences</v>
      </c>
      <c r="G495">
        <f>RAW_DATA!G495</f>
        <v>1</v>
      </c>
      <c r="H495">
        <f>RAW_DATA!H495</f>
        <v>3</v>
      </c>
      <c r="I495" t="str">
        <f>RAW_DATA!I495</f>
        <v>Single</v>
      </c>
      <c r="J495">
        <f>RAW_DATA!J495</f>
        <v>5985</v>
      </c>
      <c r="K495">
        <f>RAW_DATA!K495</f>
        <v>4</v>
      </c>
      <c r="L495">
        <f>RAW_DATA!L495</f>
        <v>4</v>
      </c>
      <c r="M495">
        <f>RAW_DATA!M495</f>
        <v>2</v>
      </c>
      <c r="N495">
        <f t="shared" si="14"/>
        <v>0</v>
      </c>
      <c r="O495" t="str" cm="1">
        <f t="array" ref="O495" xml:space="preserve"> _xlfn.IFS(A495 &lt;ASSUMPTIONS!$D$2,"25",A495 &lt;= ASSUMPTIONS!$D$3,"25-34",A495 &lt;= ASSUMPTIONS!$D$4, "35-44",A495 &lt;= ASSUMPTIONS!$D$5,"45-54",TRUE,"55+")</f>
        <v>35-44</v>
      </c>
      <c r="P495" t="str" cm="1">
        <f t="array" ref="P495">_xlfn.IFS( J495 &lt;ASSUMPTIONS!$D$7,"LOW",J495 &lt;= ASSUMPTIONS!$D$8,"MEDIUM",TRUE, "HIGH")</f>
        <v>MEDIUM</v>
      </c>
      <c r="Q495" t="str">
        <f>IF(M495&lt;ASSUMPTIONS!$D$10,"New (0-2)",IF(M495&lt;=ASSUMPTIONS!$D$11,"Early (2-5)",IF(M495&lt;=ASSUMPTIONS!$D$12,"Established (5-10)","Veteran (10+)")))</f>
        <v>Early (2-5)</v>
      </c>
      <c r="R495" s="4">
        <f t="shared" si="15"/>
        <v>2.6666666666666665</v>
      </c>
    </row>
    <row r="496" spans="1:18">
      <c r="A496">
        <f>RAW_DATA!A496</f>
        <v>34</v>
      </c>
      <c r="B496" t="str">
        <f>RAW_DATA!B496</f>
        <v>No</v>
      </c>
      <c r="C496" t="str">
        <f>RAW_DATA!C496</f>
        <v>Sales</v>
      </c>
      <c r="D496">
        <f>RAW_DATA!D496</f>
        <v>14</v>
      </c>
      <c r="E496">
        <f>RAW_DATA!E496</f>
        <v>3</v>
      </c>
      <c r="F496" t="str">
        <f>RAW_DATA!F496</f>
        <v>Technical Degree</v>
      </c>
      <c r="G496">
        <f>RAW_DATA!G496</f>
        <v>3</v>
      </c>
      <c r="H496">
        <f>RAW_DATA!H496</f>
        <v>3</v>
      </c>
      <c r="I496" t="str">
        <f>RAW_DATA!I496</f>
        <v>Divorced</v>
      </c>
      <c r="J496">
        <f>RAW_DATA!J496</f>
        <v>2579</v>
      </c>
      <c r="K496">
        <f>RAW_DATA!K496</f>
        <v>1</v>
      </c>
      <c r="L496">
        <f>RAW_DATA!L496</f>
        <v>3</v>
      </c>
      <c r="M496">
        <f>RAW_DATA!M496</f>
        <v>8</v>
      </c>
      <c r="N496">
        <f t="shared" si="14"/>
        <v>0</v>
      </c>
      <c r="O496" t="str" cm="1">
        <f t="array" ref="O496" xml:space="preserve"> _xlfn.IFS(A496 &lt;ASSUMPTIONS!$D$2,"25",A496 &lt;= ASSUMPTIONS!$D$3,"25-34",A496 &lt;= ASSUMPTIONS!$D$4, "35-44",A496 &lt;= ASSUMPTIONS!$D$5,"45-54",TRUE,"55+")</f>
        <v>25-34</v>
      </c>
      <c r="P496" t="str" cm="1">
        <f t="array" ref="P496">_xlfn.IFS( J496 &lt;ASSUMPTIONS!$D$7,"LOW",J496 &lt;= ASSUMPTIONS!$D$8,"MEDIUM",TRUE, "HIGH")</f>
        <v>LOW</v>
      </c>
      <c r="Q496" t="str">
        <f>IF(M496&lt;ASSUMPTIONS!$D$10,"New (0-2)",IF(M496&lt;=ASSUMPTIONS!$D$11,"Early (2-5)",IF(M496&lt;=ASSUMPTIONS!$D$12,"Established (5-10)","Veteran (10+)")))</f>
        <v>Established (5-10)</v>
      </c>
      <c r="R496" s="4">
        <f t="shared" si="15"/>
        <v>3</v>
      </c>
    </row>
    <row r="497" spans="1:18">
      <c r="A497">
        <f>RAW_DATA!A497</f>
        <v>27</v>
      </c>
      <c r="B497" t="str">
        <f>RAW_DATA!B497</f>
        <v>Yes</v>
      </c>
      <c r="C497" t="str">
        <f>RAW_DATA!C497</f>
        <v>Sales</v>
      </c>
      <c r="D497">
        <f>RAW_DATA!D497</f>
        <v>2</v>
      </c>
      <c r="E497">
        <f>RAW_DATA!E497</f>
        <v>1</v>
      </c>
      <c r="F497" t="str">
        <f>RAW_DATA!F497</f>
        <v>Marketing</v>
      </c>
      <c r="G497">
        <f>RAW_DATA!G497</f>
        <v>3</v>
      </c>
      <c r="H497">
        <f>RAW_DATA!H497</f>
        <v>1</v>
      </c>
      <c r="I497" t="str">
        <f>RAW_DATA!I497</f>
        <v>Divorced</v>
      </c>
      <c r="J497">
        <f>RAW_DATA!J497</f>
        <v>3041</v>
      </c>
      <c r="K497">
        <f>RAW_DATA!K497</f>
        <v>0</v>
      </c>
      <c r="L497">
        <f>RAW_DATA!L497</f>
        <v>3</v>
      </c>
      <c r="M497">
        <f>RAW_DATA!M497</f>
        <v>4</v>
      </c>
      <c r="N497">
        <f t="shared" si="14"/>
        <v>1</v>
      </c>
      <c r="O497" t="str" cm="1">
        <f t="array" ref="O497" xml:space="preserve"> _xlfn.IFS(A497 &lt;ASSUMPTIONS!$D$2,"25",A497 &lt;= ASSUMPTIONS!$D$3,"25-34",A497 &lt;= ASSUMPTIONS!$D$4, "35-44",A497 &lt;= ASSUMPTIONS!$D$5,"45-54",TRUE,"55+")</f>
        <v>25-34</v>
      </c>
      <c r="P497" t="str" cm="1">
        <f t="array" ref="P497">_xlfn.IFS( J497 &lt;ASSUMPTIONS!$D$7,"LOW",J497 &lt;= ASSUMPTIONS!$D$8,"MEDIUM",TRUE, "HIGH")</f>
        <v>MEDIUM</v>
      </c>
      <c r="Q497" t="str">
        <f>IF(M497&lt;ASSUMPTIONS!$D$10,"New (0-2)",IF(M497&lt;=ASSUMPTIONS!$D$11,"Early (2-5)",IF(M497&lt;=ASSUMPTIONS!$D$12,"Established (5-10)","Veteran (10+)")))</f>
        <v>Early (2-5)</v>
      </c>
      <c r="R497" s="4">
        <f t="shared" si="15"/>
        <v>2.3333333333333335</v>
      </c>
    </row>
    <row r="498" spans="1:18">
      <c r="A498">
        <f>RAW_DATA!A498</f>
        <v>21</v>
      </c>
      <c r="B498" t="str">
        <f>RAW_DATA!B498</f>
        <v>No</v>
      </c>
      <c r="C498" t="str">
        <f>RAW_DATA!C498</f>
        <v>Sales</v>
      </c>
      <c r="D498">
        <f>RAW_DATA!D498</f>
        <v>22</v>
      </c>
      <c r="E498">
        <f>RAW_DATA!E498</f>
        <v>1</v>
      </c>
      <c r="F498" t="str">
        <f>RAW_DATA!F498</f>
        <v>Technical Degree</v>
      </c>
      <c r="G498">
        <f>RAW_DATA!G498</f>
        <v>3</v>
      </c>
      <c r="H498">
        <f>RAW_DATA!H498</f>
        <v>3</v>
      </c>
      <c r="I498" t="str">
        <f>RAW_DATA!I498</f>
        <v>Single</v>
      </c>
      <c r="J498">
        <f>RAW_DATA!J498</f>
        <v>3447</v>
      </c>
      <c r="K498">
        <f>RAW_DATA!K498</f>
        <v>1</v>
      </c>
      <c r="L498">
        <f>RAW_DATA!L498</f>
        <v>3</v>
      </c>
      <c r="M498">
        <f>RAW_DATA!M498</f>
        <v>3</v>
      </c>
      <c r="N498">
        <f t="shared" si="14"/>
        <v>0</v>
      </c>
      <c r="O498" t="str" cm="1">
        <f t="array" ref="O498" xml:space="preserve"> _xlfn.IFS(A498 &lt;ASSUMPTIONS!$D$2,"25",A498 &lt;= ASSUMPTIONS!$D$3,"25-34",A498 &lt;= ASSUMPTIONS!$D$4, "35-44",A498 &lt;= ASSUMPTIONS!$D$5,"45-54",TRUE,"55+")</f>
        <v>25</v>
      </c>
      <c r="P498" t="str" cm="1">
        <f t="array" ref="P498">_xlfn.IFS( J498 &lt;ASSUMPTIONS!$D$7,"LOW",J498 &lt;= ASSUMPTIONS!$D$8,"MEDIUM",TRUE, "HIGH")</f>
        <v>MEDIUM</v>
      </c>
      <c r="Q498" t="str">
        <f>IF(M498&lt;ASSUMPTIONS!$D$10,"New (0-2)",IF(M498&lt;=ASSUMPTIONS!$D$11,"Early (2-5)",IF(M498&lt;=ASSUMPTIONS!$D$12,"Established (5-10)","Veteran (10+)")))</f>
        <v>Early (2-5)</v>
      </c>
      <c r="R498" s="4">
        <f t="shared" si="15"/>
        <v>3</v>
      </c>
    </row>
    <row r="499" spans="1:18">
      <c r="A499">
        <f>RAW_DATA!A499</f>
        <v>44</v>
      </c>
      <c r="B499" t="str">
        <f>RAW_DATA!B499</f>
        <v>No</v>
      </c>
      <c r="C499" t="str">
        <f>RAW_DATA!C499</f>
        <v>Research &amp; Development</v>
      </c>
      <c r="D499">
        <f>RAW_DATA!D499</f>
        <v>3</v>
      </c>
      <c r="E499">
        <f>RAW_DATA!E499</f>
        <v>4</v>
      </c>
      <c r="F499" t="str">
        <f>RAW_DATA!F499</f>
        <v>Other</v>
      </c>
      <c r="G499">
        <f>RAW_DATA!G499</f>
        <v>4</v>
      </c>
      <c r="H499">
        <f>RAW_DATA!H499</f>
        <v>4</v>
      </c>
      <c r="I499" t="str">
        <f>RAW_DATA!I499</f>
        <v>Married</v>
      </c>
      <c r="J499">
        <f>RAW_DATA!J499</f>
        <v>19513</v>
      </c>
      <c r="K499">
        <f>RAW_DATA!K499</f>
        <v>4</v>
      </c>
      <c r="L499">
        <f>RAW_DATA!L499</f>
        <v>4</v>
      </c>
      <c r="M499">
        <f>RAW_DATA!M499</f>
        <v>2</v>
      </c>
      <c r="N499">
        <f t="shared" si="14"/>
        <v>0</v>
      </c>
      <c r="O499" t="str" cm="1">
        <f t="array" ref="O499" xml:space="preserve"> _xlfn.IFS(A499 &lt;ASSUMPTIONS!$D$2,"25",A499 &lt;= ASSUMPTIONS!$D$3,"25-34",A499 &lt;= ASSUMPTIONS!$D$4, "35-44",A499 &lt;= ASSUMPTIONS!$D$5,"45-54",TRUE,"55+")</f>
        <v>35-44</v>
      </c>
      <c r="P499" t="str" cm="1">
        <f t="array" ref="P499">_xlfn.IFS( J499 &lt;ASSUMPTIONS!$D$7,"LOW",J499 &lt;= ASSUMPTIONS!$D$8,"MEDIUM",TRUE, "HIGH")</f>
        <v>HIGH</v>
      </c>
      <c r="Q499" t="str">
        <f>IF(M499&lt;ASSUMPTIONS!$D$10,"New (0-2)",IF(M499&lt;=ASSUMPTIONS!$D$11,"Early (2-5)",IF(M499&lt;=ASSUMPTIONS!$D$12,"Established (5-10)","Veteran (10+)")))</f>
        <v>Early (2-5)</v>
      </c>
      <c r="R499" s="4">
        <f t="shared" si="15"/>
        <v>4</v>
      </c>
    </row>
    <row r="500" spans="1:18">
      <c r="A500">
        <f>RAW_DATA!A500</f>
        <v>22</v>
      </c>
      <c r="B500" t="str">
        <f>RAW_DATA!B500</f>
        <v>No</v>
      </c>
      <c r="C500" t="str">
        <f>RAW_DATA!C500</f>
        <v>Research &amp; Development</v>
      </c>
      <c r="D500">
        <f>RAW_DATA!D500</f>
        <v>6</v>
      </c>
      <c r="E500">
        <f>RAW_DATA!E500</f>
        <v>1</v>
      </c>
      <c r="F500" t="str">
        <f>RAW_DATA!F500</f>
        <v>Medical</v>
      </c>
      <c r="G500">
        <f>RAW_DATA!G500</f>
        <v>1</v>
      </c>
      <c r="H500">
        <f>RAW_DATA!H500</f>
        <v>3</v>
      </c>
      <c r="I500" t="str">
        <f>RAW_DATA!I500</f>
        <v>Married</v>
      </c>
      <c r="J500">
        <f>RAW_DATA!J500</f>
        <v>2773</v>
      </c>
      <c r="K500">
        <f>RAW_DATA!K500</f>
        <v>0</v>
      </c>
      <c r="L500">
        <f>RAW_DATA!L500</f>
        <v>3</v>
      </c>
      <c r="M500">
        <f>RAW_DATA!M500</f>
        <v>2</v>
      </c>
      <c r="N500">
        <f t="shared" si="14"/>
        <v>0</v>
      </c>
      <c r="O500" t="str" cm="1">
        <f t="array" ref="O500" xml:space="preserve"> _xlfn.IFS(A500 &lt;ASSUMPTIONS!$D$2,"25",A500 &lt;= ASSUMPTIONS!$D$3,"25-34",A500 &lt;= ASSUMPTIONS!$D$4, "35-44",A500 &lt;= ASSUMPTIONS!$D$5,"45-54",TRUE,"55+")</f>
        <v>25</v>
      </c>
      <c r="P500" t="str" cm="1">
        <f t="array" ref="P500">_xlfn.IFS( J500 &lt;ASSUMPTIONS!$D$7,"LOW",J500 &lt;= ASSUMPTIONS!$D$8,"MEDIUM",TRUE, "HIGH")</f>
        <v>LOW</v>
      </c>
      <c r="Q500" t="str">
        <f>IF(M500&lt;ASSUMPTIONS!$D$10,"New (0-2)",IF(M500&lt;=ASSUMPTIONS!$D$11,"Early (2-5)",IF(M500&lt;=ASSUMPTIONS!$D$12,"Established (5-10)","Veteran (10+)")))</f>
        <v>Early (2-5)</v>
      </c>
      <c r="R500" s="4">
        <f t="shared" si="15"/>
        <v>2.3333333333333335</v>
      </c>
    </row>
    <row r="501" spans="1:18">
      <c r="A501">
        <f>RAW_DATA!A501</f>
        <v>33</v>
      </c>
      <c r="B501" t="str">
        <f>RAW_DATA!B501</f>
        <v>No</v>
      </c>
      <c r="C501" t="str">
        <f>RAW_DATA!C501</f>
        <v>Sales</v>
      </c>
      <c r="D501">
        <f>RAW_DATA!D501</f>
        <v>8</v>
      </c>
      <c r="E501">
        <f>RAW_DATA!E501</f>
        <v>4</v>
      </c>
      <c r="F501" t="str">
        <f>RAW_DATA!F501</f>
        <v>Marketing</v>
      </c>
      <c r="G501">
        <f>RAW_DATA!G501</f>
        <v>3</v>
      </c>
      <c r="H501">
        <f>RAW_DATA!H501</f>
        <v>3</v>
      </c>
      <c r="I501" t="str">
        <f>RAW_DATA!I501</f>
        <v>Divorced</v>
      </c>
      <c r="J501">
        <f>RAW_DATA!J501</f>
        <v>7104</v>
      </c>
      <c r="K501">
        <f>RAW_DATA!K501</f>
        <v>0</v>
      </c>
      <c r="L501">
        <f>RAW_DATA!L501</f>
        <v>3</v>
      </c>
      <c r="M501">
        <f>RAW_DATA!M501</f>
        <v>5</v>
      </c>
      <c r="N501">
        <f t="shared" si="14"/>
        <v>0</v>
      </c>
      <c r="O501" t="str" cm="1">
        <f t="array" ref="O501" xml:space="preserve"> _xlfn.IFS(A501 &lt;ASSUMPTIONS!$D$2,"25",A501 &lt;= ASSUMPTIONS!$D$3,"25-34",A501 &lt;= ASSUMPTIONS!$D$4, "35-44",A501 &lt;= ASSUMPTIONS!$D$5,"45-54",TRUE,"55+")</f>
        <v>25-34</v>
      </c>
      <c r="P501" t="str" cm="1">
        <f t="array" ref="P501">_xlfn.IFS( J501 &lt;ASSUMPTIONS!$D$7,"LOW",J501 &lt;= ASSUMPTIONS!$D$8,"MEDIUM",TRUE, "HIGH")</f>
        <v>HIGH</v>
      </c>
      <c r="Q501" t="str">
        <f>IF(M501&lt;ASSUMPTIONS!$D$10,"New (0-2)",IF(M501&lt;=ASSUMPTIONS!$D$11,"Early (2-5)",IF(M501&lt;=ASSUMPTIONS!$D$12,"Established (5-10)","Veteran (10+)")))</f>
        <v>Early (2-5)</v>
      </c>
      <c r="R501" s="4">
        <f t="shared" si="15"/>
        <v>3</v>
      </c>
    </row>
    <row r="502" spans="1:18">
      <c r="A502">
        <f>RAW_DATA!A502</f>
        <v>32</v>
      </c>
      <c r="B502" t="str">
        <f>RAW_DATA!B502</f>
        <v>No</v>
      </c>
      <c r="C502" t="str">
        <f>RAW_DATA!C502</f>
        <v>Research &amp; Development</v>
      </c>
      <c r="D502">
        <f>RAW_DATA!D502</f>
        <v>9</v>
      </c>
      <c r="E502">
        <f>RAW_DATA!E502</f>
        <v>4</v>
      </c>
      <c r="F502" t="str">
        <f>RAW_DATA!F502</f>
        <v>Life Sciences</v>
      </c>
      <c r="G502">
        <f>RAW_DATA!G502</f>
        <v>1</v>
      </c>
      <c r="H502">
        <f>RAW_DATA!H502</f>
        <v>4</v>
      </c>
      <c r="I502" t="str">
        <f>RAW_DATA!I502</f>
        <v>Married</v>
      </c>
      <c r="J502">
        <f>RAW_DATA!J502</f>
        <v>6322</v>
      </c>
      <c r="K502">
        <f>RAW_DATA!K502</f>
        <v>1</v>
      </c>
      <c r="L502">
        <f>RAW_DATA!L502</f>
        <v>2</v>
      </c>
      <c r="M502">
        <f>RAW_DATA!M502</f>
        <v>6</v>
      </c>
      <c r="N502">
        <f t="shared" si="14"/>
        <v>0</v>
      </c>
      <c r="O502" t="str" cm="1">
        <f t="array" ref="O502" xml:space="preserve"> _xlfn.IFS(A502 &lt;ASSUMPTIONS!$D$2,"25",A502 &lt;= ASSUMPTIONS!$D$3,"25-34",A502 &lt;= ASSUMPTIONS!$D$4, "35-44",A502 &lt;= ASSUMPTIONS!$D$5,"45-54",TRUE,"55+")</f>
        <v>25-34</v>
      </c>
      <c r="P502" t="str" cm="1">
        <f t="array" ref="P502">_xlfn.IFS( J502 &lt;ASSUMPTIONS!$D$7,"LOW",J502 &lt;= ASSUMPTIONS!$D$8,"MEDIUM",TRUE, "HIGH")</f>
        <v>MEDIUM</v>
      </c>
      <c r="Q502" t="str">
        <f>IF(M502&lt;ASSUMPTIONS!$D$10,"New (0-2)",IF(M502&lt;=ASSUMPTIONS!$D$11,"Early (2-5)",IF(M502&lt;=ASSUMPTIONS!$D$12,"Established (5-10)","Veteran (10+)")))</f>
        <v>Established (5-10)</v>
      </c>
      <c r="R502" s="4">
        <f t="shared" si="15"/>
        <v>2.3333333333333335</v>
      </c>
    </row>
    <row r="503" spans="1:18">
      <c r="A503">
        <f>RAW_DATA!A503</f>
        <v>30</v>
      </c>
      <c r="B503" t="str">
        <f>RAW_DATA!B503</f>
        <v>No</v>
      </c>
      <c r="C503" t="str">
        <f>RAW_DATA!C503</f>
        <v>Research &amp; Development</v>
      </c>
      <c r="D503">
        <f>RAW_DATA!D503</f>
        <v>3</v>
      </c>
      <c r="E503">
        <f>RAW_DATA!E503</f>
        <v>3</v>
      </c>
      <c r="F503" t="str">
        <f>RAW_DATA!F503</f>
        <v>Medical</v>
      </c>
      <c r="G503">
        <f>RAW_DATA!G503</f>
        <v>3</v>
      </c>
      <c r="H503">
        <f>RAW_DATA!H503</f>
        <v>3</v>
      </c>
      <c r="I503" t="str">
        <f>RAW_DATA!I503</f>
        <v>Divorced</v>
      </c>
      <c r="J503">
        <f>RAW_DATA!J503</f>
        <v>2083</v>
      </c>
      <c r="K503">
        <f>RAW_DATA!K503</f>
        <v>1</v>
      </c>
      <c r="L503">
        <f>RAW_DATA!L503</f>
        <v>3</v>
      </c>
      <c r="M503">
        <f>RAW_DATA!M503</f>
        <v>1</v>
      </c>
      <c r="N503">
        <f t="shared" si="14"/>
        <v>0</v>
      </c>
      <c r="O503" t="str" cm="1">
        <f t="array" ref="O503" xml:space="preserve"> _xlfn.IFS(A503 &lt;ASSUMPTIONS!$D$2,"25",A503 &lt;= ASSUMPTIONS!$D$3,"25-34",A503 &lt;= ASSUMPTIONS!$D$4, "35-44",A503 &lt;= ASSUMPTIONS!$D$5,"45-54",TRUE,"55+")</f>
        <v>25-34</v>
      </c>
      <c r="P503" t="str" cm="1">
        <f t="array" ref="P503">_xlfn.IFS( J503 &lt;ASSUMPTIONS!$D$7,"LOW",J503 &lt;= ASSUMPTIONS!$D$8,"MEDIUM",TRUE, "HIGH")</f>
        <v>LOW</v>
      </c>
      <c r="Q503" t="str">
        <f>IF(M503&lt;ASSUMPTIONS!$D$10,"New (0-2)",IF(M503&lt;=ASSUMPTIONS!$D$11,"Early (2-5)",IF(M503&lt;=ASSUMPTIONS!$D$12,"Established (5-10)","Veteran (10+)")))</f>
        <v>New (0-2)</v>
      </c>
      <c r="R503" s="4">
        <f t="shared" si="15"/>
        <v>3</v>
      </c>
    </row>
    <row r="504" spans="1:18">
      <c r="A504">
        <f>RAW_DATA!A504</f>
        <v>53</v>
      </c>
      <c r="B504" t="str">
        <f>RAW_DATA!B504</f>
        <v>No</v>
      </c>
      <c r="C504" t="str">
        <f>RAW_DATA!C504</f>
        <v>Sales</v>
      </c>
      <c r="D504">
        <f>RAW_DATA!D504</f>
        <v>1</v>
      </c>
      <c r="E504">
        <f>RAW_DATA!E504</f>
        <v>1</v>
      </c>
      <c r="F504" t="str">
        <f>RAW_DATA!F504</f>
        <v>Medical</v>
      </c>
      <c r="G504">
        <f>RAW_DATA!G504</f>
        <v>4</v>
      </c>
      <c r="H504">
        <f>RAW_DATA!H504</f>
        <v>1</v>
      </c>
      <c r="I504" t="str">
        <f>RAW_DATA!I504</f>
        <v>Single</v>
      </c>
      <c r="J504">
        <f>RAW_DATA!J504</f>
        <v>8381</v>
      </c>
      <c r="K504">
        <f>RAW_DATA!K504</f>
        <v>7</v>
      </c>
      <c r="L504">
        <f>RAW_DATA!L504</f>
        <v>4</v>
      </c>
      <c r="M504">
        <f>RAW_DATA!M504</f>
        <v>14</v>
      </c>
      <c r="N504">
        <f t="shared" si="14"/>
        <v>0</v>
      </c>
      <c r="O504" t="str" cm="1">
        <f t="array" ref="O504" xml:space="preserve"> _xlfn.IFS(A504 &lt;ASSUMPTIONS!$D$2,"25",A504 &lt;= ASSUMPTIONS!$D$3,"25-34",A504 &lt;= ASSUMPTIONS!$D$4, "35-44",A504 &lt;= ASSUMPTIONS!$D$5,"45-54",TRUE,"55+")</f>
        <v>45-54</v>
      </c>
      <c r="P504" t="str" cm="1">
        <f t="array" ref="P504">_xlfn.IFS( J504 &lt;ASSUMPTIONS!$D$7,"LOW",J504 &lt;= ASSUMPTIONS!$D$8,"MEDIUM",TRUE, "HIGH")</f>
        <v>HIGH</v>
      </c>
      <c r="Q504" t="str">
        <f>IF(M504&lt;ASSUMPTIONS!$D$10,"New (0-2)",IF(M504&lt;=ASSUMPTIONS!$D$11,"Early (2-5)",IF(M504&lt;=ASSUMPTIONS!$D$12,"Established (5-10)","Veteran (10+)")))</f>
        <v>Veteran (10+)</v>
      </c>
      <c r="R504" s="4">
        <f t="shared" si="15"/>
        <v>3</v>
      </c>
    </row>
    <row r="505" spans="1:18">
      <c r="A505">
        <f>RAW_DATA!A505</f>
        <v>34</v>
      </c>
      <c r="B505" t="str">
        <f>RAW_DATA!B505</f>
        <v>No</v>
      </c>
      <c r="C505" t="str">
        <f>RAW_DATA!C505</f>
        <v>Research &amp; Development</v>
      </c>
      <c r="D505">
        <f>RAW_DATA!D505</f>
        <v>1</v>
      </c>
      <c r="E505">
        <f>RAW_DATA!E505</f>
        <v>5</v>
      </c>
      <c r="F505" t="str">
        <f>RAW_DATA!F505</f>
        <v>Life Sciences</v>
      </c>
      <c r="G505">
        <f>RAW_DATA!G505</f>
        <v>2</v>
      </c>
      <c r="H505">
        <f>RAW_DATA!H505</f>
        <v>4</v>
      </c>
      <c r="I505" t="str">
        <f>RAW_DATA!I505</f>
        <v>Married</v>
      </c>
      <c r="J505">
        <f>RAW_DATA!J505</f>
        <v>2691</v>
      </c>
      <c r="K505">
        <f>RAW_DATA!K505</f>
        <v>1</v>
      </c>
      <c r="L505">
        <f>RAW_DATA!L505</f>
        <v>2</v>
      </c>
      <c r="M505">
        <f>RAW_DATA!M505</f>
        <v>10</v>
      </c>
      <c r="N505">
        <f t="shared" si="14"/>
        <v>0</v>
      </c>
      <c r="O505" t="str" cm="1">
        <f t="array" ref="O505" xml:space="preserve"> _xlfn.IFS(A505 &lt;ASSUMPTIONS!$D$2,"25",A505 &lt;= ASSUMPTIONS!$D$3,"25-34",A505 &lt;= ASSUMPTIONS!$D$4, "35-44",A505 &lt;= ASSUMPTIONS!$D$5,"45-54",TRUE,"55+")</f>
        <v>25-34</v>
      </c>
      <c r="P505" t="str" cm="1">
        <f t="array" ref="P505">_xlfn.IFS( J505 &lt;ASSUMPTIONS!$D$7,"LOW",J505 &lt;= ASSUMPTIONS!$D$8,"MEDIUM",TRUE, "HIGH")</f>
        <v>LOW</v>
      </c>
      <c r="Q505" t="str">
        <f>IF(M505&lt;ASSUMPTIONS!$D$10,"New (0-2)",IF(M505&lt;=ASSUMPTIONS!$D$11,"Early (2-5)",IF(M505&lt;=ASSUMPTIONS!$D$12,"Established (5-10)","Veteran (10+)")))</f>
        <v>Established (5-10)</v>
      </c>
      <c r="R505" s="4">
        <f t="shared" si="15"/>
        <v>2.6666666666666665</v>
      </c>
    </row>
    <row r="506" spans="1:18">
      <c r="A506">
        <f>RAW_DATA!A506</f>
        <v>45</v>
      </c>
      <c r="B506" t="str">
        <f>RAW_DATA!B506</f>
        <v>Yes</v>
      </c>
      <c r="C506" t="str">
        <f>RAW_DATA!C506</f>
        <v>Sales</v>
      </c>
      <c r="D506">
        <f>RAW_DATA!D506</f>
        <v>26</v>
      </c>
      <c r="E506">
        <f>RAW_DATA!E506</f>
        <v>4</v>
      </c>
      <c r="F506" t="str">
        <f>RAW_DATA!F506</f>
        <v>Life Sciences</v>
      </c>
      <c r="G506">
        <f>RAW_DATA!G506</f>
        <v>1</v>
      </c>
      <c r="H506">
        <f>RAW_DATA!H506</f>
        <v>1</v>
      </c>
      <c r="I506" t="str">
        <f>RAW_DATA!I506</f>
        <v>Married</v>
      </c>
      <c r="J506">
        <f>RAW_DATA!J506</f>
        <v>4286</v>
      </c>
      <c r="K506">
        <f>RAW_DATA!K506</f>
        <v>2</v>
      </c>
      <c r="L506">
        <f>RAW_DATA!L506</f>
        <v>3</v>
      </c>
      <c r="M506">
        <f>RAW_DATA!M506</f>
        <v>1</v>
      </c>
      <c r="N506">
        <f t="shared" si="14"/>
        <v>1</v>
      </c>
      <c r="O506" t="str" cm="1">
        <f t="array" ref="O506" xml:space="preserve"> _xlfn.IFS(A506 &lt;ASSUMPTIONS!$D$2,"25",A506 &lt;= ASSUMPTIONS!$D$3,"25-34",A506 &lt;= ASSUMPTIONS!$D$4, "35-44",A506 &lt;= ASSUMPTIONS!$D$5,"45-54",TRUE,"55+")</f>
        <v>45-54</v>
      </c>
      <c r="P506" t="str" cm="1">
        <f t="array" ref="P506">_xlfn.IFS( J506 &lt;ASSUMPTIONS!$D$7,"LOW",J506 &lt;= ASSUMPTIONS!$D$8,"MEDIUM",TRUE, "HIGH")</f>
        <v>MEDIUM</v>
      </c>
      <c r="Q506" t="str">
        <f>IF(M506&lt;ASSUMPTIONS!$D$10,"New (0-2)",IF(M506&lt;=ASSUMPTIONS!$D$11,"Early (2-5)",IF(M506&lt;=ASSUMPTIONS!$D$12,"Established (5-10)","Veteran (10+)")))</f>
        <v>New (0-2)</v>
      </c>
      <c r="R506" s="4">
        <f t="shared" si="15"/>
        <v>1.6666666666666667</v>
      </c>
    </row>
    <row r="507" spans="1:18">
      <c r="A507">
        <f>RAW_DATA!A507</f>
        <v>26</v>
      </c>
      <c r="B507" t="str">
        <f>RAW_DATA!B507</f>
        <v>No</v>
      </c>
      <c r="C507" t="str">
        <f>RAW_DATA!C507</f>
        <v>Research &amp; Development</v>
      </c>
      <c r="D507">
        <f>RAW_DATA!D507</f>
        <v>6</v>
      </c>
      <c r="E507">
        <f>RAW_DATA!E507</f>
        <v>3</v>
      </c>
      <c r="F507" t="str">
        <f>RAW_DATA!F507</f>
        <v>Life Sciences</v>
      </c>
      <c r="G507">
        <f>RAW_DATA!G507</f>
        <v>3</v>
      </c>
      <c r="H507">
        <f>RAW_DATA!H507</f>
        <v>4</v>
      </c>
      <c r="I507" t="str">
        <f>RAW_DATA!I507</f>
        <v>Married</v>
      </c>
      <c r="J507">
        <f>RAW_DATA!J507</f>
        <v>2659</v>
      </c>
      <c r="K507">
        <f>RAW_DATA!K507</f>
        <v>1</v>
      </c>
      <c r="L507">
        <f>RAW_DATA!L507</f>
        <v>3</v>
      </c>
      <c r="M507">
        <f>RAW_DATA!M507</f>
        <v>3</v>
      </c>
      <c r="N507">
        <f t="shared" si="14"/>
        <v>0</v>
      </c>
      <c r="O507" t="str" cm="1">
        <f t="array" ref="O507" xml:space="preserve"> _xlfn.IFS(A507 &lt;ASSUMPTIONS!$D$2,"25",A507 &lt;= ASSUMPTIONS!$D$3,"25-34",A507 &lt;= ASSUMPTIONS!$D$4, "35-44",A507 &lt;= ASSUMPTIONS!$D$5,"45-54",TRUE,"55+")</f>
        <v>25-34</v>
      </c>
      <c r="P507" t="str" cm="1">
        <f t="array" ref="P507">_xlfn.IFS( J507 &lt;ASSUMPTIONS!$D$7,"LOW",J507 &lt;= ASSUMPTIONS!$D$8,"MEDIUM",TRUE, "HIGH")</f>
        <v>LOW</v>
      </c>
      <c r="Q507" t="str">
        <f>IF(M507&lt;ASSUMPTIONS!$D$10,"New (0-2)",IF(M507&lt;=ASSUMPTIONS!$D$11,"Early (2-5)",IF(M507&lt;=ASSUMPTIONS!$D$12,"Established (5-10)","Veteran (10+)")))</f>
        <v>Early (2-5)</v>
      </c>
      <c r="R507" s="4">
        <f t="shared" si="15"/>
        <v>3.3333333333333335</v>
      </c>
    </row>
    <row r="508" spans="1:18">
      <c r="A508">
        <f>RAW_DATA!A508</f>
        <v>37</v>
      </c>
      <c r="B508" t="str">
        <f>RAW_DATA!B508</f>
        <v>No</v>
      </c>
      <c r="C508" t="str">
        <f>RAW_DATA!C508</f>
        <v>Research &amp; Development</v>
      </c>
      <c r="D508">
        <f>RAW_DATA!D508</f>
        <v>3</v>
      </c>
      <c r="E508">
        <f>RAW_DATA!E508</f>
        <v>3</v>
      </c>
      <c r="F508" t="str">
        <f>RAW_DATA!F508</f>
        <v>Other</v>
      </c>
      <c r="G508">
        <f>RAW_DATA!G508</f>
        <v>3</v>
      </c>
      <c r="H508">
        <f>RAW_DATA!H508</f>
        <v>3</v>
      </c>
      <c r="I508" t="str">
        <f>RAW_DATA!I508</f>
        <v>Married</v>
      </c>
      <c r="J508">
        <f>RAW_DATA!J508</f>
        <v>9434</v>
      </c>
      <c r="K508">
        <f>RAW_DATA!K508</f>
        <v>1</v>
      </c>
      <c r="L508">
        <f>RAW_DATA!L508</f>
        <v>3</v>
      </c>
      <c r="M508">
        <f>RAW_DATA!M508</f>
        <v>10</v>
      </c>
      <c r="N508">
        <f t="shared" si="14"/>
        <v>0</v>
      </c>
      <c r="O508" t="str" cm="1">
        <f t="array" ref="O508" xml:space="preserve"> _xlfn.IFS(A508 &lt;ASSUMPTIONS!$D$2,"25",A508 &lt;= ASSUMPTIONS!$D$3,"25-34",A508 &lt;= ASSUMPTIONS!$D$4, "35-44",A508 &lt;= ASSUMPTIONS!$D$5,"45-54",TRUE,"55+")</f>
        <v>35-44</v>
      </c>
      <c r="P508" t="str" cm="1">
        <f t="array" ref="P508">_xlfn.IFS( J508 &lt;ASSUMPTIONS!$D$7,"LOW",J508 &lt;= ASSUMPTIONS!$D$8,"MEDIUM",TRUE, "HIGH")</f>
        <v>HIGH</v>
      </c>
      <c r="Q508" t="str">
        <f>IF(M508&lt;ASSUMPTIONS!$D$10,"New (0-2)",IF(M508&lt;=ASSUMPTIONS!$D$11,"Early (2-5)",IF(M508&lt;=ASSUMPTIONS!$D$12,"Established (5-10)","Veteran (10+)")))</f>
        <v>Established (5-10)</v>
      </c>
      <c r="R508" s="4">
        <f t="shared" si="15"/>
        <v>3</v>
      </c>
    </row>
    <row r="509" spans="1:18">
      <c r="A509">
        <f>RAW_DATA!A509</f>
        <v>29</v>
      </c>
      <c r="B509" t="str">
        <f>RAW_DATA!B509</f>
        <v>No</v>
      </c>
      <c r="C509" t="str">
        <f>RAW_DATA!C509</f>
        <v>Sales</v>
      </c>
      <c r="D509">
        <f>RAW_DATA!D509</f>
        <v>3</v>
      </c>
      <c r="E509">
        <f>RAW_DATA!E509</f>
        <v>2</v>
      </c>
      <c r="F509" t="str">
        <f>RAW_DATA!F509</f>
        <v>Medical</v>
      </c>
      <c r="G509">
        <f>RAW_DATA!G509</f>
        <v>2</v>
      </c>
      <c r="H509">
        <f>RAW_DATA!H509</f>
        <v>3</v>
      </c>
      <c r="I509" t="str">
        <f>RAW_DATA!I509</f>
        <v>Married</v>
      </c>
      <c r="J509">
        <f>RAW_DATA!J509</f>
        <v>5561</v>
      </c>
      <c r="K509">
        <f>RAW_DATA!K509</f>
        <v>1</v>
      </c>
      <c r="L509">
        <f>RAW_DATA!L509</f>
        <v>2</v>
      </c>
      <c r="M509">
        <f>RAW_DATA!M509</f>
        <v>6</v>
      </c>
      <c r="N509">
        <f t="shared" si="14"/>
        <v>0</v>
      </c>
      <c r="O509" t="str" cm="1">
        <f t="array" ref="O509" xml:space="preserve"> _xlfn.IFS(A509 &lt;ASSUMPTIONS!$D$2,"25",A509 &lt;= ASSUMPTIONS!$D$3,"25-34",A509 &lt;= ASSUMPTIONS!$D$4, "35-44",A509 &lt;= ASSUMPTIONS!$D$5,"45-54",TRUE,"55+")</f>
        <v>25-34</v>
      </c>
      <c r="P509" t="str" cm="1">
        <f t="array" ref="P509">_xlfn.IFS( J509 &lt;ASSUMPTIONS!$D$7,"LOW",J509 &lt;= ASSUMPTIONS!$D$8,"MEDIUM",TRUE, "HIGH")</f>
        <v>MEDIUM</v>
      </c>
      <c r="Q509" t="str">
        <f>IF(M509&lt;ASSUMPTIONS!$D$10,"New (0-2)",IF(M509&lt;=ASSUMPTIONS!$D$11,"Early (2-5)",IF(M509&lt;=ASSUMPTIONS!$D$12,"Established (5-10)","Veteran (10+)")))</f>
        <v>Established (5-10)</v>
      </c>
      <c r="R509" s="4">
        <f t="shared" si="15"/>
        <v>2.3333333333333335</v>
      </c>
    </row>
    <row r="510" spans="1:18">
      <c r="A510">
        <f>RAW_DATA!A510</f>
        <v>35</v>
      </c>
      <c r="B510" t="str">
        <f>RAW_DATA!B510</f>
        <v>No</v>
      </c>
      <c r="C510" t="str">
        <f>RAW_DATA!C510</f>
        <v>Research &amp; Development</v>
      </c>
      <c r="D510">
        <f>RAW_DATA!D510</f>
        <v>6</v>
      </c>
      <c r="E510">
        <f>RAW_DATA!E510</f>
        <v>4</v>
      </c>
      <c r="F510" t="str">
        <f>RAW_DATA!F510</f>
        <v>Life Sciences</v>
      </c>
      <c r="G510">
        <f>RAW_DATA!G510</f>
        <v>2</v>
      </c>
      <c r="H510">
        <f>RAW_DATA!H510</f>
        <v>4</v>
      </c>
      <c r="I510" t="str">
        <f>RAW_DATA!I510</f>
        <v>Single</v>
      </c>
      <c r="J510">
        <f>RAW_DATA!J510</f>
        <v>6646</v>
      </c>
      <c r="K510">
        <f>RAW_DATA!K510</f>
        <v>1</v>
      </c>
      <c r="L510">
        <f>RAW_DATA!L510</f>
        <v>3</v>
      </c>
      <c r="M510">
        <f>RAW_DATA!M510</f>
        <v>17</v>
      </c>
      <c r="N510">
        <f t="shared" si="14"/>
        <v>0</v>
      </c>
      <c r="O510" t="str" cm="1">
        <f t="array" ref="O510" xml:space="preserve"> _xlfn.IFS(A510 &lt;ASSUMPTIONS!$D$2,"25",A510 &lt;= ASSUMPTIONS!$D$3,"25-34",A510 &lt;= ASSUMPTIONS!$D$4, "35-44",A510 &lt;= ASSUMPTIONS!$D$5,"45-54",TRUE,"55+")</f>
        <v>35-44</v>
      </c>
      <c r="P510" t="str" cm="1">
        <f t="array" ref="P510">_xlfn.IFS( J510 &lt;ASSUMPTIONS!$D$7,"LOW",J510 &lt;= ASSUMPTIONS!$D$8,"MEDIUM",TRUE, "HIGH")</f>
        <v>MEDIUM</v>
      </c>
      <c r="Q510" t="str">
        <f>IF(M510&lt;ASSUMPTIONS!$D$10,"New (0-2)",IF(M510&lt;=ASSUMPTIONS!$D$11,"Early (2-5)",IF(M510&lt;=ASSUMPTIONS!$D$12,"Established (5-10)","Veteran (10+)")))</f>
        <v>Veteran (10+)</v>
      </c>
      <c r="R510" s="4">
        <f t="shared" si="15"/>
        <v>3</v>
      </c>
    </row>
    <row r="511" spans="1:18">
      <c r="A511">
        <f>RAW_DATA!A511</f>
        <v>33</v>
      </c>
      <c r="B511" t="str">
        <f>RAW_DATA!B511</f>
        <v>No</v>
      </c>
      <c r="C511" t="str">
        <f>RAW_DATA!C511</f>
        <v>Research &amp; Development</v>
      </c>
      <c r="D511">
        <f>RAW_DATA!D511</f>
        <v>6</v>
      </c>
      <c r="E511">
        <f>RAW_DATA!E511</f>
        <v>3</v>
      </c>
      <c r="F511" t="str">
        <f>RAW_DATA!F511</f>
        <v>Life Sciences</v>
      </c>
      <c r="G511">
        <f>RAW_DATA!G511</f>
        <v>3</v>
      </c>
      <c r="H511">
        <f>RAW_DATA!H511</f>
        <v>4</v>
      </c>
      <c r="I511" t="str">
        <f>RAW_DATA!I511</f>
        <v>Divorced</v>
      </c>
      <c r="J511">
        <f>RAW_DATA!J511</f>
        <v>7725</v>
      </c>
      <c r="K511">
        <f>RAW_DATA!K511</f>
        <v>3</v>
      </c>
      <c r="L511">
        <f>RAW_DATA!L511</f>
        <v>1</v>
      </c>
      <c r="M511">
        <f>RAW_DATA!M511</f>
        <v>13</v>
      </c>
      <c r="N511">
        <f t="shared" si="14"/>
        <v>0</v>
      </c>
      <c r="O511" t="str" cm="1">
        <f t="array" ref="O511" xml:space="preserve"> _xlfn.IFS(A511 &lt;ASSUMPTIONS!$D$2,"25",A511 &lt;= ASSUMPTIONS!$D$3,"25-34",A511 &lt;= ASSUMPTIONS!$D$4, "35-44",A511 &lt;= ASSUMPTIONS!$D$5,"45-54",TRUE,"55+")</f>
        <v>25-34</v>
      </c>
      <c r="P511" t="str" cm="1">
        <f t="array" ref="P511">_xlfn.IFS( J511 &lt;ASSUMPTIONS!$D$7,"LOW",J511 &lt;= ASSUMPTIONS!$D$8,"MEDIUM",TRUE, "HIGH")</f>
        <v>HIGH</v>
      </c>
      <c r="Q511" t="str">
        <f>IF(M511&lt;ASSUMPTIONS!$D$10,"New (0-2)",IF(M511&lt;=ASSUMPTIONS!$D$11,"Early (2-5)",IF(M511&lt;=ASSUMPTIONS!$D$12,"Established (5-10)","Veteran (10+)")))</f>
        <v>Veteran (10+)</v>
      </c>
      <c r="R511" s="4">
        <f t="shared" si="15"/>
        <v>2.6666666666666665</v>
      </c>
    </row>
    <row r="512" spans="1:18">
      <c r="A512">
        <f>RAW_DATA!A512</f>
        <v>54</v>
      </c>
      <c r="B512" t="str">
        <f>RAW_DATA!B512</f>
        <v>No</v>
      </c>
      <c r="C512" t="str">
        <f>RAW_DATA!C512</f>
        <v>Human Resources</v>
      </c>
      <c r="D512">
        <f>RAW_DATA!D512</f>
        <v>19</v>
      </c>
      <c r="E512">
        <f>RAW_DATA!E512</f>
        <v>4</v>
      </c>
      <c r="F512" t="str">
        <f>RAW_DATA!F512</f>
        <v>Medical</v>
      </c>
      <c r="G512">
        <f>RAW_DATA!G512</f>
        <v>3</v>
      </c>
      <c r="H512">
        <f>RAW_DATA!H512</f>
        <v>2</v>
      </c>
      <c r="I512" t="str">
        <f>RAW_DATA!I512</f>
        <v>Married</v>
      </c>
      <c r="J512">
        <f>RAW_DATA!J512</f>
        <v>10725</v>
      </c>
      <c r="K512">
        <f>RAW_DATA!K512</f>
        <v>2</v>
      </c>
      <c r="L512">
        <f>RAW_DATA!L512</f>
        <v>4</v>
      </c>
      <c r="M512">
        <f>RAW_DATA!M512</f>
        <v>9</v>
      </c>
      <c r="N512">
        <f t="shared" si="14"/>
        <v>0</v>
      </c>
      <c r="O512" t="str" cm="1">
        <f t="array" ref="O512" xml:space="preserve"> _xlfn.IFS(A512 &lt;ASSUMPTIONS!$D$2,"25",A512 &lt;= ASSUMPTIONS!$D$3,"25-34",A512 &lt;= ASSUMPTIONS!$D$4, "35-44",A512 &lt;= ASSUMPTIONS!$D$5,"45-54",TRUE,"55+")</f>
        <v>45-54</v>
      </c>
      <c r="P512" t="str" cm="1">
        <f t="array" ref="P512">_xlfn.IFS( J512 &lt;ASSUMPTIONS!$D$7,"LOW",J512 &lt;= ASSUMPTIONS!$D$8,"MEDIUM",TRUE, "HIGH")</f>
        <v>HIGH</v>
      </c>
      <c r="Q512" t="str">
        <f>IF(M512&lt;ASSUMPTIONS!$D$10,"New (0-2)",IF(M512&lt;=ASSUMPTIONS!$D$11,"Early (2-5)",IF(M512&lt;=ASSUMPTIONS!$D$12,"Established (5-10)","Veteran (10+)")))</f>
        <v>Established (5-10)</v>
      </c>
      <c r="R512" s="4">
        <f t="shared" si="15"/>
        <v>3</v>
      </c>
    </row>
    <row r="513" spans="1:18">
      <c r="A513">
        <f>RAW_DATA!A513</f>
        <v>36</v>
      </c>
      <c r="B513" t="str">
        <f>RAW_DATA!B513</f>
        <v>No</v>
      </c>
      <c r="C513" t="str">
        <f>RAW_DATA!C513</f>
        <v>Research &amp; Development</v>
      </c>
      <c r="D513">
        <f>RAW_DATA!D513</f>
        <v>9</v>
      </c>
      <c r="E513">
        <f>RAW_DATA!E513</f>
        <v>2</v>
      </c>
      <c r="F513" t="str">
        <f>RAW_DATA!F513</f>
        <v>Medical</v>
      </c>
      <c r="G513">
        <f>RAW_DATA!G513</f>
        <v>2</v>
      </c>
      <c r="H513">
        <f>RAW_DATA!H513</f>
        <v>2</v>
      </c>
      <c r="I513" t="str">
        <f>RAW_DATA!I513</f>
        <v>Divorced</v>
      </c>
      <c r="J513">
        <f>RAW_DATA!J513</f>
        <v>8847</v>
      </c>
      <c r="K513">
        <f>RAW_DATA!K513</f>
        <v>2</v>
      </c>
      <c r="L513">
        <f>RAW_DATA!L513</f>
        <v>3</v>
      </c>
      <c r="M513">
        <f>RAW_DATA!M513</f>
        <v>3</v>
      </c>
      <c r="N513">
        <f t="shared" si="14"/>
        <v>0</v>
      </c>
      <c r="O513" t="str" cm="1">
        <f t="array" ref="O513" xml:space="preserve"> _xlfn.IFS(A513 &lt;ASSUMPTIONS!$D$2,"25",A513 &lt;= ASSUMPTIONS!$D$3,"25-34",A513 &lt;= ASSUMPTIONS!$D$4, "35-44",A513 &lt;= ASSUMPTIONS!$D$5,"45-54",TRUE,"55+")</f>
        <v>35-44</v>
      </c>
      <c r="P513" t="str" cm="1">
        <f t="array" ref="P513">_xlfn.IFS( J513 &lt;ASSUMPTIONS!$D$7,"LOW",J513 &lt;= ASSUMPTIONS!$D$8,"MEDIUM",TRUE, "HIGH")</f>
        <v>HIGH</v>
      </c>
      <c r="Q513" t="str">
        <f>IF(M513&lt;ASSUMPTIONS!$D$10,"New (0-2)",IF(M513&lt;=ASSUMPTIONS!$D$11,"Early (2-5)",IF(M513&lt;=ASSUMPTIONS!$D$12,"Established (5-10)","Veteran (10+)")))</f>
        <v>Early (2-5)</v>
      </c>
      <c r="R513" s="4">
        <f t="shared" si="15"/>
        <v>2.3333333333333335</v>
      </c>
    </row>
    <row r="514" spans="1:18">
      <c r="A514">
        <f>RAW_DATA!A514</f>
        <v>27</v>
      </c>
      <c r="B514" t="str">
        <f>RAW_DATA!B514</f>
        <v>No</v>
      </c>
      <c r="C514" t="str">
        <f>RAW_DATA!C514</f>
        <v>Research &amp; Development</v>
      </c>
      <c r="D514">
        <f>RAW_DATA!D514</f>
        <v>3</v>
      </c>
      <c r="E514">
        <f>RAW_DATA!E514</f>
        <v>4</v>
      </c>
      <c r="F514" t="str">
        <f>RAW_DATA!F514</f>
        <v>Medical</v>
      </c>
      <c r="G514">
        <f>RAW_DATA!G514</f>
        <v>1</v>
      </c>
      <c r="H514">
        <f>RAW_DATA!H514</f>
        <v>4</v>
      </c>
      <c r="I514" t="str">
        <f>RAW_DATA!I514</f>
        <v>Single</v>
      </c>
      <c r="J514">
        <f>RAW_DATA!J514</f>
        <v>2045</v>
      </c>
      <c r="K514">
        <f>RAW_DATA!K514</f>
        <v>0</v>
      </c>
      <c r="L514">
        <f>RAW_DATA!L514</f>
        <v>3</v>
      </c>
      <c r="M514">
        <f>RAW_DATA!M514</f>
        <v>4</v>
      </c>
      <c r="N514">
        <f t="shared" si="14"/>
        <v>0</v>
      </c>
      <c r="O514" t="str" cm="1">
        <f t="array" ref="O514" xml:space="preserve"> _xlfn.IFS(A514 &lt;ASSUMPTIONS!$D$2,"25",A514 &lt;= ASSUMPTIONS!$D$3,"25-34",A514 &lt;= ASSUMPTIONS!$D$4, "35-44",A514 &lt;= ASSUMPTIONS!$D$5,"45-54",TRUE,"55+")</f>
        <v>25-34</v>
      </c>
      <c r="P514" t="str" cm="1">
        <f t="array" ref="P514">_xlfn.IFS( J514 &lt;ASSUMPTIONS!$D$7,"LOW",J514 &lt;= ASSUMPTIONS!$D$8,"MEDIUM",TRUE, "HIGH")</f>
        <v>LOW</v>
      </c>
      <c r="Q514" t="str">
        <f>IF(M514&lt;ASSUMPTIONS!$D$10,"New (0-2)",IF(M514&lt;=ASSUMPTIONS!$D$11,"Early (2-5)",IF(M514&lt;=ASSUMPTIONS!$D$12,"Established (5-10)","Veteran (10+)")))</f>
        <v>Early (2-5)</v>
      </c>
      <c r="R514" s="4">
        <f t="shared" si="15"/>
        <v>2.6666666666666665</v>
      </c>
    </row>
    <row r="515" spans="1:18">
      <c r="A515">
        <f>RAW_DATA!A515</f>
        <v>20</v>
      </c>
      <c r="B515" t="str">
        <f>RAW_DATA!B515</f>
        <v>Yes</v>
      </c>
      <c r="C515" t="str">
        <f>RAW_DATA!C515</f>
        <v>Research &amp; Development</v>
      </c>
      <c r="D515">
        <f>RAW_DATA!D515</f>
        <v>10</v>
      </c>
      <c r="E515">
        <f>RAW_DATA!E515</f>
        <v>1</v>
      </c>
      <c r="F515" t="str">
        <f>RAW_DATA!F515</f>
        <v>Medical</v>
      </c>
      <c r="G515">
        <f>RAW_DATA!G515</f>
        <v>4</v>
      </c>
      <c r="H515">
        <f>RAW_DATA!H515</f>
        <v>3</v>
      </c>
      <c r="I515" t="str">
        <f>RAW_DATA!I515</f>
        <v>Single</v>
      </c>
      <c r="J515">
        <f>RAW_DATA!J515</f>
        <v>1009</v>
      </c>
      <c r="K515">
        <f>RAW_DATA!K515</f>
        <v>1</v>
      </c>
      <c r="L515">
        <f>RAW_DATA!L515</f>
        <v>3</v>
      </c>
      <c r="M515">
        <f>RAW_DATA!M515</f>
        <v>1</v>
      </c>
      <c r="N515">
        <f t="shared" ref="N515:N578" si="16" xml:space="preserve"> IF(B515 ="Yes",1,0)</f>
        <v>1</v>
      </c>
      <c r="O515" t="str" cm="1">
        <f t="array" ref="O515" xml:space="preserve"> _xlfn.IFS(A515 &lt;ASSUMPTIONS!$D$2,"25",A515 &lt;= ASSUMPTIONS!$D$3,"25-34",A515 &lt;= ASSUMPTIONS!$D$4, "35-44",A515 &lt;= ASSUMPTIONS!$D$5,"45-54",TRUE,"55+")</f>
        <v>25</v>
      </c>
      <c r="P515" t="str" cm="1">
        <f t="array" ref="P515">_xlfn.IFS( J515 &lt;ASSUMPTIONS!$D$7,"LOW",J515 &lt;= ASSUMPTIONS!$D$8,"MEDIUM",TRUE, "HIGH")</f>
        <v>LOW</v>
      </c>
      <c r="Q515" t="str">
        <f>IF(M515&lt;ASSUMPTIONS!$D$10,"New (0-2)",IF(M515&lt;=ASSUMPTIONS!$D$11,"Early (2-5)",IF(M515&lt;=ASSUMPTIONS!$D$12,"Established (5-10)","Veteran (10+)")))</f>
        <v>New (0-2)</v>
      </c>
      <c r="R515" s="4">
        <f t="shared" ref="R515:R578" si="17">AVERAGE(G515,H515,L515)</f>
        <v>3.3333333333333335</v>
      </c>
    </row>
    <row r="516" spans="1:18">
      <c r="A516">
        <f>RAW_DATA!A516</f>
        <v>33</v>
      </c>
      <c r="B516" t="str">
        <f>RAW_DATA!B516</f>
        <v>Yes</v>
      </c>
      <c r="C516" t="str">
        <f>RAW_DATA!C516</f>
        <v>Research &amp; Development</v>
      </c>
      <c r="D516">
        <f>RAW_DATA!D516</f>
        <v>3</v>
      </c>
      <c r="E516">
        <f>RAW_DATA!E516</f>
        <v>3</v>
      </c>
      <c r="F516" t="str">
        <f>RAW_DATA!F516</f>
        <v>Life Sciences</v>
      </c>
      <c r="G516">
        <f>RAW_DATA!G516</f>
        <v>1</v>
      </c>
      <c r="H516">
        <f>RAW_DATA!H516</f>
        <v>1</v>
      </c>
      <c r="I516" t="str">
        <f>RAW_DATA!I516</f>
        <v>Single</v>
      </c>
      <c r="J516">
        <f>RAW_DATA!J516</f>
        <v>3348</v>
      </c>
      <c r="K516">
        <f>RAW_DATA!K516</f>
        <v>1</v>
      </c>
      <c r="L516">
        <f>RAW_DATA!L516</f>
        <v>3</v>
      </c>
      <c r="M516">
        <f>RAW_DATA!M516</f>
        <v>10</v>
      </c>
      <c r="N516">
        <f t="shared" si="16"/>
        <v>1</v>
      </c>
      <c r="O516" t="str" cm="1">
        <f t="array" ref="O516" xml:space="preserve"> _xlfn.IFS(A516 &lt;ASSUMPTIONS!$D$2,"25",A516 &lt;= ASSUMPTIONS!$D$3,"25-34",A516 &lt;= ASSUMPTIONS!$D$4, "35-44",A516 &lt;= ASSUMPTIONS!$D$5,"45-54",TRUE,"55+")</f>
        <v>25-34</v>
      </c>
      <c r="P516" t="str" cm="1">
        <f t="array" ref="P516">_xlfn.IFS( J516 &lt;ASSUMPTIONS!$D$7,"LOW",J516 &lt;= ASSUMPTIONS!$D$8,"MEDIUM",TRUE, "HIGH")</f>
        <v>MEDIUM</v>
      </c>
      <c r="Q516" t="str">
        <f>IF(M516&lt;ASSUMPTIONS!$D$10,"New (0-2)",IF(M516&lt;=ASSUMPTIONS!$D$11,"Early (2-5)",IF(M516&lt;=ASSUMPTIONS!$D$12,"Established (5-10)","Veteran (10+)")))</f>
        <v>Established (5-10)</v>
      </c>
      <c r="R516" s="4">
        <f t="shared" si="17"/>
        <v>1.6666666666666667</v>
      </c>
    </row>
    <row r="517" spans="1:18">
      <c r="A517">
        <f>RAW_DATA!A517</f>
        <v>35</v>
      </c>
      <c r="B517" t="str">
        <f>RAW_DATA!B517</f>
        <v>No</v>
      </c>
      <c r="C517" t="str">
        <f>RAW_DATA!C517</f>
        <v>Research &amp; Development</v>
      </c>
      <c r="D517">
        <f>RAW_DATA!D517</f>
        <v>3</v>
      </c>
      <c r="E517">
        <f>RAW_DATA!E517</f>
        <v>3</v>
      </c>
      <c r="F517" t="str">
        <f>RAW_DATA!F517</f>
        <v>Life Sciences</v>
      </c>
      <c r="G517">
        <f>RAW_DATA!G517</f>
        <v>3</v>
      </c>
      <c r="H517">
        <f>RAW_DATA!H517</f>
        <v>3</v>
      </c>
      <c r="I517" t="str">
        <f>RAW_DATA!I517</f>
        <v>Married</v>
      </c>
      <c r="J517">
        <f>RAW_DATA!J517</f>
        <v>1281</v>
      </c>
      <c r="K517">
        <f>RAW_DATA!K517</f>
        <v>1</v>
      </c>
      <c r="L517">
        <f>RAW_DATA!L517</f>
        <v>3</v>
      </c>
      <c r="M517">
        <f>RAW_DATA!M517</f>
        <v>1</v>
      </c>
      <c r="N517">
        <f t="shared" si="16"/>
        <v>0</v>
      </c>
      <c r="O517" t="str" cm="1">
        <f t="array" ref="O517" xml:space="preserve"> _xlfn.IFS(A517 &lt;ASSUMPTIONS!$D$2,"25",A517 &lt;= ASSUMPTIONS!$D$3,"25-34",A517 &lt;= ASSUMPTIONS!$D$4, "35-44",A517 &lt;= ASSUMPTIONS!$D$5,"45-54",TRUE,"55+")</f>
        <v>35-44</v>
      </c>
      <c r="P517" t="str" cm="1">
        <f t="array" ref="P517">_xlfn.IFS( J517 &lt;ASSUMPTIONS!$D$7,"LOW",J517 &lt;= ASSUMPTIONS!$D$8,"MEDIUM",TRUE, "HIGH")</f>
        <v>LOW</v>
      </c>
      <c r="Q517" t="str">
        <f>IF(M517&lt;ASSUMPTIONS!$D$10,"New (0-2)",IF(M517&lt;=ASSUMPTIONS!$D$11,"Early (2-5)",IF(M517&lt;=ASSUMPTIONS!$D$12,"Established (5-10)","Veteran (10+)")))</f>
        <v>New (0-2)</v>
      </c>
      <c r="R517" s="4">
        <f t="shared" si="17"/>
        <v>3</v>
      </c>
    </row>
    <row r="518" spans="1:18">
      <c r="A518">
        <f>RAW_DATA!A518</f>
        <v>23</v>
      </c>
      <c r="B518" t="str">
        <f>RAW_DATA!B518</f>
        <v>No</v>
      </c>
      <c r="C518" t="str">
        <f>RAW_DATA!C518</f>
        <v>Research &amp; Development</v>
      </c>
      <c r="D518">
        <f>RAW_DATA!D518</f>
        <v>4</v>
      </c>
      <c r="E518">
        <f>RAW_DATA!E518</f>
        <v>3</v>
      </c>
      <c r="F518" t="str">
        <f>RAW_DATA!F518</f>
        <v>Medical</v>
      </c>
      <c r="G518">
        <f>RAW_DATA!G518</f>
        <v>1</v>
      </c>
      <c r="H518">
        <f>RAW_DATA!H518</f>
        <v>1</v>
      </c>
      <c r="I518" t="str">
        <f>RAW_DATA!I518</f>
        <v>Married</v>
      </c>
      <c r="J518">
        <f>RAW_DATA!J518</f>
        <v>2819</v>
      </c>
      <c r="K518">
        <f>RAW_DATA!K518</f>
        <v>2</v>
      </c>
      <c r="L518">
        <f>RAW_DATA!L518</f>
        <v>4</v>
      </c>
      <c r="M518">
        <f>RAW_DATA!M518</f>
        <v>3</v>
      </c>
      <c r="N518">
        <f t="shared" si="16"/>
        <v>0</v>
      </c>
      <c r="O518" t="str" cm="1">
        <f t="array" ref="O518" xml:space="preserve"> _xlfn.IFS(A518 &lt;ASSUMPTIONS!$D$2,"25",A518 &lt;= ASSUMPTIONS!$D$3,"25-34",A518 &lt;= ASSUMPTIONS!$D$4, "35-44",A518 &lt;= ASSUMPTIONS!$D$5,"45-54",TRUE,"55+")</f>
        <v>25</v>
      </c>
      <c r="P518" t="str" cm="1">
        <f t="array" ref="P518">_xlfn.IFS( J518 &lt;ASSUMPTIONS!$D$7,"LOW",J518 &lt;= ASSUMPTIONS!$D$8,"MEDIUM",TRUE, "HIGH")</f>
        <v>LOW</v>
      </c>
      <c r="Q518" t="str">
        <f>IF(M518&lt;ASSUMPTIONS!$D$10,"New (0-2)",IF(M518&lt;=ASSUMPTIONS!$D$11,"Early (2-5)",IF(M518&lt;=ASSUMPTIONS!$D$12,"Established (5-10)","Veteran (10+)")))</f>
        <v>Early (2-5)</v>
      </c>
      <c r="R518" s="4">
        <f t="shared" si="17"/>
        <v>2</v>
      </c>
    </row>
    <row r="519" spans="1:18">
      <c r="A519">
        <f>RAW_DATA!A519</f>
        <v>25</v>
      </c>
      <c r="B519" t="str">
        <f>RAW_DATA!B519</f>
        <v>No</v>
      </c>
      <c r="C519" t="str">
        <f>RAW_DATA!C519</f>
        <v>Sales</v>
      </c>
      <c r="D519">
        <f>RAW_DATA!D519</f>
        <v>8</v>
      </c>
      <c r="E519">
        <f>RAW_DATA!E519</f>
        <v>3</v>
      </c>
      <c r="F519" t="str">
        <f>RAW_DATA!F519</f>
        <v>Life Sciences</v>
      </c>
      <c r="G519">
        <f>RAW_DATA!G519</f>
        <v>4</v>
      </c>
      <c r="H519">
        <f>RAW_DATA!H519</f>
        <v>2</v>
      </c>
      <c r="I519" t="str">
        <f>RAW_DATA!I519</f>
        <v>Married</v>
      </c>
      <c r="J519">
        <f>RAW_DATA!J519</f>
        <v>4851</v>
      </c>
      <c r="K519">
        <f>RAW_DATA!K519</f>
        <v>0</v>
      </c>
      <c r="L519">
        <f>RAW_DATA!L519</f>
        <v>3</v>
      </c>
      <c r="M519">
        <f>RAW_DATA!M519</f>
        <v>3</v>
      </c>
      <c r="N519">
        <f t="shared" si="16"/>
        <v>0</v>
      </c>
      <c r="O519" t="str" cm="1">
        <f t="array" ref="O519" xml:space="preserve"> _xlfn.IFS(A519 &lt;ASSUMPTIONS!$D$2,"25",A519 &lt;= ASSUMPTIONS!$D$3,"25-34",A519 &lt;= ASSUMPTIONS!$D$4, "35-44",A519 &lt;= ASSUMPTIONS!$D$5,"45-54",TRUE,"55+")</f>
        <v>25-34</v>
      </c>
      <c r="P519" t="str" cm="1">
        <f t="array" ref="P519">_xlfn.IFS( J519 &lt;ASSUMPTIONS!$D$7,"LOW",J519 &lt;= ASSUMPTIONS!$D$8,"MEDIUM",TRUE, "HIGH")</f>
        <v>MEDIUM</v>
      </c>
      <c r="Q519" t="str">
        <f>IF(M519&lt;ASSUMPTIONS!$D$10,"New (0-2)",IF(M519&lt;=ASSUMPTIONS!$D$11,"Early (2-5)",IF(M519&lt;=ASSUMPTIONS!$D$12,"Established (5-10)","Veteran (10+)")))</f>
        <v>Early (2-5)</v>
      </c>
      <c r="R519" s="4">
        <f t="shared" si="17"/>
        <v>3</v>
      </c>
    </row>
    <row r="520" spans="1:18">
      <c r="A520">
        <f>RAW_DATA!A520</f>
        <v>38</v>
      </c>
      <c r="B520" t="str">
        <f>RAW_DATA!B520</f>
        <v>No</v>
      </c>
      <c r="C520" t="str">
        <f>RAW_DATA!C520</f>
        <v>Sales</v>
      </c>
      <c r="D520">
        <f>RAW_DATA!D520</f>
        <v>7</v>
      </c>
      <c r="E520">
        <f>RAW_DATA!E520</f>
        <v>4</v>
      </c>
      <c r="F520" t="str">
        <f>RAW_DATA!F520</f>
        <v>Marketing</v>
      </c>
      <c r="G520">
        <f>RAW_DATA!G520</f>
        <v>4</v>
      </c>
      <c r="H520">
        <f>RAW_DATA!H520</f>
        <v>4</v>
      </c>
      <c r="I520" t="str">
        <f>RAW_DATA!I520</f>
        <v>Single</v>
      </c>
      <c r="J520">
        <f>RAW_DATA!J520</f>
        <v>4028</v>
      </c>
      <c r="K520">
        <f>RAW_DATA!K520</f>
        <v>0</v>
      </c>
      <c r="L520">
        <f>RAW_DATA!L520</f>
        <v>3</v>
      </c>
      <c r="M520">
        <f>RAW_DATA!M520</f>
        <v>7</v>
      </c>
      <c r="N520">
        <f t="shared" si="16"/>
        <v>0</v>
      </c>
      <c r="O520" t="str" cm="1">
        <f t="array" ref="O520" xml:space="preserve"> _xlfn.IFS(A520 &lt;ASSUMPTIONS!$D$2,"25",A520 &lt;= ASSUMPTIONS!$D$3,"25-34",A520 &lt;= ASSUMPTIONS!$D$4, "35-44",A520 &lt;= ASSUMPTIONS!$D$5,"45-54",TRUE,"55+")</f>
        <v>35-44</v>
      </c>
      <c r="P520" t="str" cm="1">
        <f t="array" ref="P520">_xlfn.IFS( J520 &lt;ASSUMPTIONS!$D$7,"LOW",J520 &lt;= ASSUMPTIONS!$D$8,"MEDIUM",TRUE, "HIGH")</f>
        <v>MEDIUM</v>
      </c>
      <c r="Q520" t="str">
        <f>IF(M520&lt;ASSUMPTIONS!$D$10,"New (0-2)",IF(M520&lt;=ASSUMPTIONS!$D$11,"Early (2-5)",IF(M520&lt;=ASSUMPTIONS!$D$12,"Established (5-10)","Veteran (10+)")))</f>
        <v>Established (5-10)</v>
      </c>
      <c r="R520" s="4">
        <f t="shared" si="17"/>
        <v>3.6666666666666665</v>
      </c>
    </row>
    <row r="521" spans="1:18">
      <c r="A521">
        <f>RAW_DATA!A521</f>
        <v>29</v>
      </c>
      <c r="B521" t="str">
        <f>RAW_DATA!B521</f>
        <v>No</v>
      </c>
      <c r="C521" t="str">
        <f>RAW_DATA!C521</f>
        <v>Research &amp; Development</v>
      </c>
      <c r="D521">
        <f>RAW_DATA!D521</f>
        <v>1</v>
      </c>
      <c r="E521">
        <f>RAW_DATA!E521</f>
        <v>4</v>
      </c>
      <c r="F521" t="str">
        <f>RAW_DATA!F521</f>
        <v>Life Sciences</v>
      </c>
      <c r="G521">
        <f>RAW_DATA!G521</f>
        <v>2</v>
      </c>
      <c r="H521">
        <f>RAW_DATA!H521</f>
        <v>4</v>
      </c>
      <c r="I521" t="str">
        <f>RAW_DATA!I521</f>
        <v>Divorced</v>
      </c>
      <c r="J521">
        <f>RAW_DATA!J521</f>
        <v>2720</v>
      </c>
      <c r="K521">
        <f>RAW_DATA!K521</f>
        <v>1</v>
      </c>
      <c r="L521">
        <f>RAW_DATA!L521</f>
        <v>3</v>
      </c>
      <c r="M521">
        <f>RAW_DATA!M521</f>
        <v>10</v>
      </c>
      <c r="N521">
        <f t="shared" si="16"/>
        <v>0</v>
      </c>
      <c r="O521" t="str" cm="1">
        <f t="array" ref="O521" xml:space="preserve"> _xlfn.IFS(A521 &lt;ASSUMPTIONS!$D$2,"25",A521 &lt;= ASSUMPTIONS!$D$3,"25-34",A521 &lt;= ASSUMPTIONS!$D$4, "35-44",A521 &lt;= ASSUMPTIONS!$D$5,"45-54",TRUE,"55+")</f>
        <v>25-34</v>
      </c>
      <c r="P521" t="str" cm="1">
        <f t="array" ref="P521">_xlfn.IFS( J521 &lt;ASSUMPTIONS!$D$7,"LOW",J521 &lt;= ASSUMPTIONS!$D$8,"MEDIUM",TRUE, "HIGH")</f>
        <v>LOW</v>
      </c>
      <c r="Q521" t="str">
        <f>IF(M521&lt;ASSUMPTIONS!$D$10,"New (0-2)",IF(M521&lt;=ASSUMPTIONS!$D$11,"Early (2-5)",IF(M521&lt;=ASSUMPTIONS!$D$12,"Established (5-10)","Veteran (10+)")))</f>
        <v>Established (5-10)</v>
      </c>
      <c r="R521" s="4">
        <f t="shared" si="17"/>
        <v>3</v>
      </c>
    </row>
    <row r="522" spans="1:18">
      <c r="A522">
        <f>RAW_DATA!A522</f>
        <v>48</v>
      </c>
      <c r="B522" t="str">
        <f>RAW_DATA!B522</f>
        <v>No</v>
      </c>
      <c r="C522" t="str">
        <f>RAW_DATA!C522</f>
        <v>Sales</v>
      </c>
      <c r="D522">
        <f>RAW_DATA!D522</f>
        <v>2</v>
      </c>
      <c r="E522">
        <f>RAW_DATA!E522</f>
        <v>1</v>
      </c>
      <c r="F522" t="str">
        <f>RAW_DATA!F522</f>
        <v>Marketing</v>
      </c>
      <c r="G522">
        <f>RAW_DATA!G522</f>
        <v>2</v>
      </c>
      <c r="H522">
        <f>RAW_DATA!H522</f>
        <v>2</v>
      </c>
      <c r="I522" t="str">
        <f>RAW_DATA!I522</f>
        <v>Married</v>
      </c>
      <c r="J522">
        <f>RAW_DATA!J522</f>
        <v>8120</v>
      </c>
      <c r="K522">
        <f>RAW_DATA!K522</f>
        <v>3</v>
      </c>
      <c r="L522">
        <f>RAW_DATA!L522</f>
        <v>3</v>
      </c>
      <c r="M522">
        <f>RAW_DATA!M522</f>
        <v>2</v>
      </c>
      <c r="N522">
        <f t="shared" si="16"/>
        <v>0</v>
      </c>
      <c r="O522" t="str" cm="1">
        <f t="array" ref="O522" xml:space="preserve"> _xlfn.IFS(A522 &lt;ASSUMPTIONS!$D$2,"25",A522 &lt;= ASSUMPTIONS!$D$3,"25-34",A522 &lt;= ASSUMPTIONS!$D$4, "35-44",A522 &lt;= ASSUMPTIONS!$D$5,"45-54",TRUE,"55+")</f>
        <v>45-54</v>
      </c>
      <c r="P522" t="str" cm="1">
        <f t="array" ref="P522">_xlfn.IFS( J522 &lt;ASSUMPTIONS!$D$7,"LOW",J522 &lt;= ASSUMPTIONS!$D$8,"MEDIUM",TRUE, "HIGH")</f>
        <v>HIGH</v>
      </c>
      <c r="Q522" t="str">
        <f>IF(M522&lt;ASSUMPTIONS!$D$10,"New (0-2)",IF(M522&lt;=ASSUMPTIONS!$D$11,"Early (2-5)",IF(M522&lt;=ASSUMPTIONS!$D$12,"Established (5-10)","Veteran (10+)")))</f>
        <v>Early (2-5)</v>
      </c>
      <c r="R522" s="4">
        <f t="shared" si="17"/>
        <v>2.3333333333333335</v>
      </c>
    </row>
    <row r="523" spans="1:18">
      <c r="A523">
        <f>RAW_DATA!A523</f>
        <v>27</v>
      </c>
      <c r="B523" t="str">
        <f>RAW_DATA!B523</f>
        <v>No</v>
      </c>
      <c r="C523" t="str">
        <f>RAW_DATA!C523</f>
        <v>Sales</v>
      </c>
      <c r="D523">
        <f>RAW_DATA!D523</f>
        <v>3</v>
      </c>
      <c r="E523">
        <f>RAW_DATA!E523</f>
        <v>1</v>
      </c>
      <c r="F523" t="str">
        <f>RAW_DATA!F523</f>
        <v>Medical</v>
      </c>
      <c r="G523">
        <f>RAW_DATA!G523</f>
        <v>4</v>
      </c>
      <c r="H523">
        <f>RAW_DATA!H523</f>
        <v>4</v>
      </c>
      <c r="I523" t="str">
        <f>RAW_DATA!I523</f>
        <v>Divorced</v>
      </c>
      <c r="J523">
        <f>RAW_DATA!J523</f>
        <v>4647</v>
      </c>
      <c r="K523">
        <f>RAW_DATA!K523</f>
        <v>1</v>
      </c>
      <c r="L523">
        <f>RAW_DATA!L523</f>
        <v>3</v>
      </c>
      <c r="M523">
        <f>RAW_DATA!M523</f>
        <v>6</v>
      </c>
      <c r="N523">
        <f t="shared" si="16"/>
        <v>0</v>
      </c>
      <c r="O523" t="str" cm="1">
        <f t="array" ref="O523" xml:space="preserve"> _xlfn.IFS(A523 &lt;ASSUMPTIONS!$D$2,"25",A523 &lt;= ASSUMPTIONS!$D$3,"25-34",A523 &lt;= ASSUMPTIONS!$D$4, "35-44",A523 &lt;= ASSUMPTIONS!$D$5,"45-54",TRUE,"55+")</f>
        <v>25-34</v>
      </c>
      <c r="P523" t="str" cm="1">
        <f t="array" ref="P523">_xlfn.IFS( J523 &lt;ASSUMPTIONS!$D$7,"LOW",J523 &lt;= ASSUMPTIONS!$D$8,"MEDIUM",TRUE, "HIGH")</f>
        <v>MEDIUM</v>
      </c>
      <c r="Q523" t="str">
        <f>IF(M523&lt;ASSUMPTIONS!$D$10,"New (0-2)",IF(M523&lt;=ASSUMPTIONS!$D$11,"Early (2-5)",IF(M523&lt;=ASSUMPTIONS!$D$12,"Established (5-10)","Veteran (10+)")))</f>
        <v>Established (5-10)</v>
      </c>
      <c r="R523" s="4">
        <f t="shared" si="17"/>
        <v>3.6666666666666665</v>
      </c>
    </row>
    <row r="524" spans="1:18">
      <c r="A524">
        <f>RAW_DATA!A524</f>
        <v>37</v>
      </c>
      <c r="B524" t="str">
        <f>RAW_DATA!B524</f>
        <v>No</v>
      </c>
      <c r="C524" t="str">
        <f>RAW_DATA!C524</f>
        <v>Research &amp; Development</v>
      </c>
      <c r="D524">
        <f>RAW_DATA!D524</f>
        <v>10</v>
      </c>
      <c r="E524">
        <f>RAW_DATA!E524</f>
        <v>2</v>
      </c>
      <c r="F524" t="str">
        <f>RAW_DATA!F524</f>
        <v>Life Sciences</v>
      </c>
      <c r="G524">
        <f>RAW_DATA!G524</f>
        <v>4</v>
      </c>
      <c r="H524">
        <f>RAW_DATA!H524</f>
        <v>4</v>
      </c>
      <c r="I524" t="str">
        <f>RAW_DATA!I524</f>
        <v>Single</v>
      </c>
      <c r="J524">
        <f>RAW_DATA!J524</f>
        <v>4680</v>
      </c>
      <c r="K524">
        <f>RAW_DATA!K524</f>
        <v>3</v>
      </c>
      <c r="L524">
        <f>RAW_DATA!L524</f>
        <v>3</v>
      </c>
      <c r="M524">
        <f>RAW_DATA!M524</f>
        <v>1</v>
      </c>
      <c r="N524">
        <f t="shared" si="16"/>
        <v>0</v>
      </c>
      <c r="O524" t="str" cm="1">
        <f t="array" ref="O524" xml:space="preserve"> _xlfn.IFS(A524 &lt;ASSUMPTIONS!$D$2,"25",A524 &lt;= ASSUMPTIONS!$D$3,"25-34",A524 &lt;= ASSUMPTIONS!$D$4, "35-44",A524 &lt;= ASSUMPTIONS!$D$5,"45-54",TRUE,"55+")</f>
        <v>35-44</v>
      </c>
      <c r="P524" t="str" cm="1">
        <f t="array" ref="P524">_xlfn.IFS( J524 &lt;ASSUMPTIONS!$D$7,"LOW",J524 &lt;= ASSUMPTIONS!$D$8,"MEDIUM",TRUE, "HIGH")</f>
        <v>MEDIUM</v>
      </c>
      <c r="Q524" t="str">
        <f>IF(M524&lt;ASSUMPTIONS!$D$10,"New (0-2)",IF(M524&lt;=ASSUMPTIONS!$D$11,"Early (2-5)",IF(M524&lt;=ASSUMPTIONS!$D$12,"Established (5-10)","Veteran (10+)")))</f>
        <v>New (0-2)</v>
      </c>
      <c r="R524" s="4">
        <f t="shared" si="17"/>
        <v>3.6666666666666665</v>
      </c>
    </row>
    <row r="525" spans="1:18">
      <c r="A525">
        <f>RAW_DATA!A525</f>
        <v>50</v>
      </c>
      <c r="B525" t="str">
        <f>RAW_DATA!B525</f>
        <v>No</v>
      </c>
      <c r="C525" t="str">
        <f>RAW_DATA!C525</f>
        <v>Research &amp; Development</v>
      </c>
      <c r="D525">
        <f>RAW_DATA!D525</f>
        <v>28</v>
      </c>
      <c r="E525">
        <f>RAW_DATA!E525</f>
        <v>1</v>
      </c>
      <c r="F525" t="str">
        <f>RAW_DATA!F525</f>
        <v>Medical</v>
      </c>
      <c r="G525">
        <f>RAW_DATA!G525</f>
        <v>4</v>
      </c>
      <c r="H525">
        <f>RAW_DATA!H525</f>
        <v>3</v>
      </c>
      <c r="I525" t="str">
        <f>RAW_DATA!I525</f>
        <v>Married</v>
      </c>
      <c r="J525">
        <f>RAW_DATA!J525</f>
        <v>3221</v>
      </c>
      <c r="K525">
        <f>RAW_DATA!K525</f>
        <v>1</v>
      </c>
      <c r="L525">
        <f>RAW_DATA!L525</f>
        <v>3</v>
      </c>
      <c r="M525">
        <f>RAW_DATA!M525</f>
        <v>20</v>
      </c>
      <c r="N525">
        <f t="shared" si="16"/>
        <v>0</v>
      </c>
      <c r="O525" t="str" cm="1">
        <f t="array" ref="O525" xml:space="preserve"> _xlfn.IFS(A525 &lt;ASSUMPTIONS!$D$2,"25",A525 &lt;= ASSUMPTIONS!$D$3,"25-34",A525 &lt;= ASSUMPTIONS!$D$4, "35-44",A525 &lt;= ASSUMPTIONS!$D$5,"45-54",TRUE,"55+")</f>
        <v>45-54</v>
      </c>
      <c r="P525" t="str" cm="1">
        <f t="array" ref="P525">_xlfn.IFS( J525 &lt;ASSUMPTIONS!$D$7,"LOW",J525 &lt;= ASSUMPTIONS!$D$8,"MEDIUM",TRUE, "HIGH")</f>
        <v>MEDIUM</v>
      </c>
      <c r="Q525" t="str">
        <f>IF(M525&lt;ASSUMPTIONS!$D$10,"New (0-2)",IF(M525&lt;=ASSUMPTIONS!$D$11,"Early (2-5)",IF(M525&lt;=ASSUMPTIONS!$D$12,"Established (5-10)","Veteran (10+)")))</f>
        <v>Veteran (10+)</v>
      </c>
      <c r="R525" s="4">
        <f t="shared" si="17"/>
        <v>3.3333333333333335</v>
      </c>
    </row>
    <row r="526" spans="1:18">
      <c r="A526">
        <f>RAW_DATA!A526</f>
        <v>34</v>
      </c>
      <c r="B526" t="str">
        <f>RAW_DATA!B526</f>
        <v>No</v>
      </c>
      <c r="C526" t="str">
        <f>RAW_DATA!C526</f>
        <v>Research &amp; Development</v>
      </c>
      <c r="D526">
        <f>RAW_DATA!D526</f>
        <v>9</v>
      </c>
      <c r="E526">
        <f>RAW_DATA!E526</f>
        <v>3</v>
      </c>
      <c r="F526" t="str">
        <f>RAW_DATA!F526</f>
        <v>Medical</v>
      </c>
      <c r="G526">
        <f>RAW_DATA!G526</f>
        <v>4</v>
      </c>
      <c r="H526">
        <f>RAW_DATA!H526</f>
        <v>2</v>
      </c>
      <c r="I526" t="str">
        <f>RAW_DATA!I526</f>
        <v>Single</v>
      </c>
      <c r="J526">
        <f>RAW_DATA!J526</f>
        <v>8621</v>
      </c>
      <c r="K526">
        <f>RAW_DATA!K526</f>
        <v>1</v>
      </c>
      <c r="L526">
        <f>RAW_DATA!L526</f>
        <v>4</v>
      </c>
      <c r="M526">
        <f>RAW_DATA!M526</f>
        <v>8</v>
      </c>
      <c r="N526">
        <f t="shared" si="16"/>
        <v>0</v>
      </c>
      <c r="O526" t="str" cm="1">
        <f t="array" ref="O526" xml:space="preserve"> _xlfn.IFS(A526 &lt;ASSUMPTIONS!$D$2,"25",A526 &lt;= ASSUMPTIONS!$D$3,"25-34",A526 &lt;= ASSUMPTIONS!$D$4, "35-44",A526 &lt;= ASSUMPTIONS!$D$5,"45-54",TRUE,"55+")</f>
        <v>25-34</v>
      </c>
      <c r="P526" t="str" cm="1">
        <f t="array" ref="P526">_xlfn.IFS( J526 &lt;ASSUMPTIONS!$D$7,"LOW",J526 &lt;= ASSUMPTIONS!$D$8,"MEDIUM",TRUE, "HIGH")</f>
        <v>HIGH</v>
      </c>
      <c r="Q526" t="str">
        <f>IF(M526&lt;ASSUMPTIONS!$D$10,"New (0-2)",IF(M526&lt;=ASSUMPTIONS!$D$11,"Early (2-5)",IF(M526&lt;=ASSUMPTIONS!$D$12,"Established (5-10)","Veteran (10+)")))</f>
        <v>Established (5-10)</v>
      </c>
      <c r="R526" s="4">
        <f t="shared" si="17"/>
        <v>3.3333333333333335</v>
      </c>
    </row>
    <row r="527" spans="1:18">
      <c r="A527">
        <f>RAW_DATA!A527</f>
        <v>24</v>
      </c>
      <c r="B527" t="str">
        <f>RAW_DATA!B527</f>
        <v>Yes</v>
      </c>
      <c r="C527" t="str">
        <f>RAW_DATA!C527</f>
        <v>Sales</v>
      </c>
      <c r="D527">
        <f>RAW_DATA!D527</f>
        <v>3</v>
      </c>
      <c r="E527">
        <f>RAW_DATA!E527</f>
        <v>2</v>
      </c>
      <c r="F527" t="str">
        <f>RAW_DATA!F527</f>
        <v>Life Sciences</v>
      </c>
      <c r="G527">
        <f>RAW_DATA!G527</f>
        <v>1</v>
      </c>
      <c r="H527">
        <f>RAW_DATA!H527</f>
        <v>3</v>
      </c>
      <c r="I527" t="str">
        <f>RAW_DATA!I527</f>
        <v>Single</v>
      </c>
      <c r="J527">
        <f>RAW_DATA!J527</f>
        <v>4577</v>
      </c>
      <c r="K527">
        <f>RAW_DATA!K527</f>
        <v>9</v>
      </c>
      <c r="L527">
        <f>RAW_DATA!L527</f>
        <v>3</v>
      </c>
      <c r="M527">
        <f>RAW_DATA!M527</f>
        <v>2</v>
      </c>
      <c r="N527">
        <f t="shared" si="16"/>
        <v>1</v>
      </c>
      <c r="O527" t="str" cm="1">
        <f t="array" ref="O527" xml:space="preserve"> _xlfn.IFS(A527 &lt;ASSUMPTIONS!$D$2,"25",A527 &lt;= ASSUMPTIONS!$D$3,"25-34",A527 &lt;= ASSUMPTIONS!$D$4, "35-44",A527 &lt;= ASSUMPTIONS!$D$5,"45-54",TRUE,"55+")</f>
        <v>25</v>
      </c>
      <c r="P527" t="str" cm="1">
        <f t="array" ref="P527">_xlfn.IFS( J527 &lt;ASSUMPTIONS!$D$7,"LOW",J527 &lt;= ASSUMPTIONS!$D$8,"MEDIUM",TRUE, "HIGH")</f>
        <v>MEDIUM</v>
      </c>
      <c r="Q527" t="str">
        <f>IF(M527&lt;ASSUMPTIONS!$D$10,"New (0-2)",IF(M527&lt;=ASSUMPTIONS!$D$11,"Early (2-5)",IF(M527&lt;=ASSUMPTIONS!$D$12,"Established (5-10)","Veteran (10+)")))</f>
        <v>Early (2-5)</v>
      </c>
      <c r="R527" s="4">
        <f t="shared" si="17"/>
        <v>2.3333333333333335</v>
      </c>
    </row>
    <row r="528" spans="1:18">
      <c r="A528">
        <f>RAW_DATA!A528</f>
        <v>39</v>
      </c>
      <c r="B528" t="str">
        <f>RAW_DATA!B528</f>
        <v>No</v>
      </c>
      <c r="C528" t="str">
        <f>RAW_DATA!C528</f>
        <v>Research &amp; Development</v>
      </c>
      <c r="D528">
        <f>RAW_DATA!D528</f>
        <v>2</v>
      </c>
      <c r="E528">
        <f>RAW_DATA!E528</f>
        <v>4</v>
      </c>
      <c r="F528" t="str">
        <f>RAW_DATA!F528</f>
        <v>Technical Degree</v>
      </c>
      <c r="G528">
        <f>RAW_DATA!G528</f>
        <v>4</v>
      </c>
      <c r="H528">
        <f>RAW_DATA!H528</f>
        <v>3</v>
      </c>
      <c r="I528" t="str">
        <f>RAW_DATA!I528</f>
        <v>Single</v>
      </c>
      <c r="J528">
        <f>RAW_DATA!J528</f>
        <v>4553</v>
      </c>
      <c r="K528">
        <f>RAW_DATA!K528</f>
        <v>1</v>
      </c>
      <c r="L528">
        <f>RAW_DATA!L528</f>
        <v>3</v>
      </c>
      <c r="M528">
        <f>RAW_DATA!M528</f>
        <v>20</v>
      </c>
      <c r="N528">
        <f t="shared" si="16"/>
        <v>0</v>
      </c>
      <c r="O528" t="str" cm="1">
        <f t="array" ref="O528" xml:space="preserve"> _xlfn.IFS(A528 &lt;ASSUMPTIONS!$D$2,"25",A528 &lt;= ASSUMPTIONS!$D$3,"25-34",A528 &lt;= ASSUMPTIONS!$D$4, "35-44",A528 &lt;= ASSUMPTIONS!$D$5,"45-54",TRUE,"55+")</f>
        <v>35-44</v>
      </c>
      <c r="P528" t="str" cm="1">
        <f t="array" ref="P528">_xlfn.IFS( J528 &lt;ASSUMPTIONS!$D$7,"LOW",J528 &lt;= ASSUMPTIONS!$D$8,"MEDIUM",TRUE, "HIGH")</f>
        <v>MEDIUM</v>
      </c>
      <c r="Q528" t="str">
        <f>IF(M528&lt;ASSUMPTIONS!$D$10,"New (0-2)",IF(M528&lt;=ASSUMPTIONS!$D$11,"Early (2-5)",IF(M528&lt;=ASSUMPTIONS!$D$12,"Established (5-10)","Veteran (10+)")))</f>
        <v>Veteran (10+)</v>
      </c>
      <c r="R528" s="4">
        <f t="shared" si="17"/>
        <v>3.3333333333333335</v>
      </c>
    </row>
    <row r="529" spans="1:18">
      <c r="A529">
        <f>RAW_DATA!A529</f>
        <v>32</v>
      </c>
      <c r="B529" t="str">
        <f>RAW_DATA!B529</f>
        <v>No</v>
      </c>
      <c r="C529" t="str">
        <f>RAW_DATA!C529</f>
        <v>Sales</v>
      </c>
      <c r="D529">
        <f>RAW_DATA!D529</f>
        <v>10</v>
      </c>
      <c r="E529">
        <f>RAW_DATA!E529</f>
        <v>3</v>
      </c>
      <c r="F529" t="str">
        <f>RAW_DATA!F529</f>
        <v>Marketing</v>
      </c>
      <c r="G529">
        <f>RAW_DATA!G529</f>
        <v>4</v>
      </c>
      <c r="H529">
        <f>RAW_DATA!H529</f>
        <v>4</v>
      </c>
      <c r="I529" t="str">
        <f>RAW_DATA!I529</f>
        <v>Single</v>
      </c>
      <c r="J529">
        <f>RAW_DATA!J529</f>
        <v>5396</v>
      </c>
      <c r="K529">
        <f>RAW_DATA!K529</f>
        <v>1</v>
      </c>
      <c r="L529">
        <f>RAW_DATA!L529</f>
        <v>2</v>
      </c>
      <c r="M529">
        <f>RAW_DATA!M529</f>
        <v>10</v>
      </c>
      <c r="N529">
        <f t="shared" si="16"/>
        <v>0</v>
      </c>
      <c r="O529" t="str" cm="1">
        <f t="array" ref="O529" xml:space="preserve"> _xlfn.IFS(A529 &lt;ASSUMPTIONS!$D$2,"25",A529 &lt;= ASSUMPTIONS!$D$3,"25-34",A529 &lt;= ASSUMPTIONS!$D$4, "35-44",A529 &lt;= ASSUMPTIONS!$D$5,"45-54",TRUE,"55+")</f>
        <v>25-34</v>
      </c>
      <c r="P529" t="str" cm="1">
        <f t="array" ref="P529">_xlfn.IFS( J529 &lt;ASSUMPTIONS!$D$7,"LOW",J529 &lt;= ASSUMPTIONS!$D$8,"MEDIUM",TRUE, "HIGH")</f>
        <v>MEDIUM</v>
      </c>
      <c r="Q529" t="str">
        <f>IF(M529&lt;ASSUMPTIONS!$D$10,"New (0-2)",IF(M529&lt;=ASSUMPTIONS!$D$11,"Early (2-5)",IF(M529&lt;=ASSUMPTIONS!$D$12,"Established (5-10)","Veteran (10+)")))</f>
        <v>Established (5-10)</v>
      </c>
      <c r="R529" s="4">
        <f t="shared" si="17"/>
        <v>3.3333333333333335</v>
      </c>
    </row>
    <row r="530" spans="1:18">
      <c r="A530">
        <f>RAW_DATA!A530</f>
        <v>50</v>
      </c>
      <c r="B530" t="str">
        <f>RAW_DATA!B530</f>
        <v>Yes</v>
      </c>
      <c r="C530" t="str">
        <f>RAW_DATA!C530</f>
        <v>Sales</v>
      </c>
      <c r="D530">
        <f>RAW_DATA!D530</f>
        <v>8</v>
      </c>
      <c r="E530">
        <f>RAW_DATA!E530</f>
        <v>2</v>
      </c>
      <c r="F530" t="str">
        <f>RAW_DATA!F530</f>
        <v>Technical Degree</v>
      </c>
      <c r="G530">
        <f>RAW_DATA!G530</f>
        <v>2</v>
      </c>
      <c r="H530">
        <f>RAW_DATA!H530</f>
        <v>3</v>
      </c>
      <c r="I530" t="str">
        <f>RAW_DATA!I530</f>
        <v>Married</v>
      </c>
      <c r="J530">
        <f>RAW_DATA!J530</f>
        <v>6796</v>
      </c>
      <c r="K530">
        <f>RAW_DATA!K530</f>
        <v>3</v>
      </c>
      <c r="L530">
        <f>RAW_DATA!L530</f>
        <v>3</v>
      </c>
      <c r="M530">
        <f>RAW_DATA!M530</f>
        <v>4</v>
      </c>
      <c r="N530">
        <f t="shared" si="16"/>
        <v>1</v>
      </c>
      <c r="O530" t="str" cm="1">
        <f t="array" ref="O530" xml:space="preserve"> _xlfn.IFS(A530 &lt;ASSUMPTIONS!$D$2,"25",A530 &lt;= ASSUMPTIONS!$D$3,"25-34",A530 &lt;= ASSUMPTIONS!$D$4, "35-44",A530 &lt;= ASSUMPTIONS!$D$5,"45-54",TRUE,"55+")</f>
        <v>45-54</v>
      </c>
      <c r="P530" t="str" cm="1">
        <f t="array" ref="P530">_xlfn.IFS( J530 &lt;ASSUMPTIONS!$D$7,"LOW",J530 &lt;= ASSUMPTIONS!$D$8,"MEDIUM",TRUE, "HIGH")</f>
        <v>MEDIUM</v>
      </c>
      <c r="Q530" t="str">
        <f>IF(M530&lt;ASSUMPTIONS!$D$10,"New (0-2)",IF(M530&lt;=ASSUMPTIONS!$D$11,"Early (2-5)",IF(M530&lt;=ASSUMPTIONS!$D$12,"Established (5-10)","Veteran (10+)")))</f>
        <v>Early (2-5)</v>
      </c>
      <c r="R530" s="4">
        <f t="shared" si="17"/>
        <v>2.6666666666666665</v>
      </c>
    </row>
    <row r="531" spans="1:18">
      <c r="A531">
        <f>RAW_DATA!A531</f>
        <v>38</v>
      </c>
      <c r="B531" t="str">
        <f>RAW_DATA!B531</f>
        <v>No</v>
      </c>
      <c r="C531" t="str">
        <f>RAW_DATA!C531</f>
        <v>Research &amp; Development</v>
      </c>
      <c r="D531">
        <f>RAW_DATA!D531</f>
        <v>1</v>
      </c>
      <c r="E531">
        <f>RAW_DATA!E531</f>
        <v>4</v>
      </c>
      <c r="F531" t="str">
        <f>RAW_DATA!F531</f>
        <v>Life Sciences</v>
      </c>
      <c r="G531">
        <f>RAW_DATA!G531</f>
        <v>2</v>
      </c>
      <c r="H531">
        <f>RAW_DATA!H531</f>
        <v>4</v>
      </c>
      <c r="I531" t="str">
        <f>RAW_DATA!I531</f>
        <v>Single</v>
      </c>
      <c r="J531">
        <f>RAW_DATA!J531</f>
        <v>7625</v>
      </c>
      <c r="K531">
        <f>RAW_DATA!K531</f>
        <v>0</v>
      </c>
      <c r="L531">
        <f>RAW_DATA!L531</f>
        <v>2</v>
      </c>
      <c r="M531">
        <f>RAW_DATA!M531</f>
        <v>9</v>
      </c>
      <c r="N531">
        <f t="shared" si="16"/>
        <v>0</v>
      </c>
      <c r="O531" t="str" cm="1">
        <f t="array" ref="O531" xml:space="preserve"> _xlfn.IFS(A531 &lt;ASSUMPTIONS!$D$2,"25",A531 &lt;= ASSUMPTIONS!$D$3,"25-34",A531 &lt;= ASSUMPTIONS!$D$4, "35-44",A531 &lt;= ASSUMPTIONS!$D$5,"45-54",TRUE,"55+")</f>
        <v>35-44</v>
      </c>
      <c r="P531" t="str" cm="1">
        <f t="array" ref="P531">_xlfn.IFS( J531 &lt;ASSUMPTIONS!$D$7,"LOW",J531 &lt;= ASSUMPTIONS!$D$8,"MEDIUM",TRUE, "HIGH")</f>
        <v>HIGH</v>
      </c>
      <c r="Q531" t="str">
        <f>IF(M531&lt;ASSUMPTIONS!$D$10,"New (0-2)",IF(M531&lt;=ASSUMPTIONS!$D$11,"Early (2-5)",IF(M531&lt;=ASSUMPTIONS!$D$12,"Established (5-10)","Veteran (10+)")))</f>
        <v>Established (5-10)</v>
      </c>
      <c r="R531" s="4">
        <f t="shared" si="17"/>
        <v>2.6666666666666665</v>
      </c>
    </row>
    <row r="532" spans="1:18">
      <c r="A532">
        <f>RAW_DATA!A532</f>
        <v>27</v>
      </c>
      <c r="B532" t="str">
        <f>RAW_DATA!B532</f>
        <v>No</v>
      </c>
      <c r="C532" t="str">
        <f>RAW_DATA!C532</f>
        <v>Research &amp; Development</v>
      </c>
      <c r="D532">
        <f>RAW_DATA!D532</f>
        <v>1</v>
      </c>
      <c r="E532">
        <f>RAW_DATA!E532</f>
        <v>2</v>
      </c>
      <c r="F532" t="str">
        <f>RAW_DATA!F532</f>
        <v>Life Sciences</v>
      </c>
      <c r="G532">
        <f>RAW_DATA!G532</f>
        <v>3</v>
      </c>
      <c r="H532">
        <f>RAW_DATA!H532</f>
        <v>1</v>
      </c>
      <c r="I532" t="str">
        <f>RAW_DATA!I532</f>
        <v>Married</v>
      </c>
      <c r="J532">
        <f>RAW_DATA!J532</f>
        <v>7412</v>
      </c>
      <c r="K532">
        <f>RAW_DATA!K532</f>
        <v>1</v>
      </c>
      <c r="L532">
        <f>RAW_DATA!L532</f>
        <v>3</v>
      </c>
      <c r="M532">
        <f>RAW_DATA!M532</f>
        <v>9</v>
      </c>
      <c r="N532">
        <f t="shared" si="16"/>
        <v>0</v>
      </c>
      <c r="O532" t="str" cm="1">
        <f t="array" ref="O532" xml:space="preserve"> _xlfn.IFS(A532 &lt;ASSUMPTIONS!$D$2,"25",A532 &lt;= ASSUMPTIONS!$D$3,"25-34",A532 &lt;= ASSUMPTIONS!$D$4, "35-44",A532 &lt;= ASSUMPTIONS!$D$5,"45-54",TRUE,"55+")</f>
        <v>25-34</v>
      </c>
      <c r="P532" t="str" cm="1">
        <f t="array" ref="P532">_xlfn.IFS( J532 &lt;ASSUMPTIONS!$D$7,"LOW",J532 &lt;= ASSUMPTIONS!$D$8,"MEDIUM",TRUE, "HIGH")</f>
        <v>HIGH</v>
      </c>
      <c r="Q532" t="str">
        <f>IF(M532&lt;ASSUMPTIONS!$D$10,"New (0-2)",IF(M532&lt;=ASSUMPTIONS!$D$11,"Early (2-5)",IF(M532&lt;=ASSUMPTIONS!$D$12,"Established (5-10)","Veteran (10+)")))</f>
        <v>Established (5-10)</v>
      </c>
      <c r="R532" s="4">
        <f t="shared" si="17"/>
        <v>2.3333333333333335</v>
      </c>
    </row>
    <row r="533" spans="1:18">
      <c r="A533">
        <f>RAW_DATA!A533</f>
        <v>32</v>
      </c>
      <c r="B533" t="str">
        <f>RAW_DATA!B533</f>
        <v>No</v>
      </c>
      <c r="C533" t="str">
        <f>RAW_DATA!C533</f>
        <v>Research &amp; Development</v>
      </c>
      <c r="D533">
        <f>RAW_DATA!D533</f>
        <v>3</v>
      </c>
      <c r="E533">
        <f>RAW_DATA!E533</f>
        <v>2</v>
      </c>
      <c r="F533" t="str">
        <f>RAW_DATA!F533</f>
        <v>Life Sciences</v>
      </c>
      <c r="G533">
        <f>RAW_DATA!G533</f>
        <v>3</v>
      </c>
      <c r="H533">
        <f>RAW_DATA!H533</f>
        <v>4</v>
      </c>
      <c r="I533" t="str">
        <f>RAW_DATA!I533</f>
        <v>Single</v>
      </c>
      <c r="J533">
        <f>RAW_DATA!J533</f>
        <v>11159</v>
      </c>
      <c r="K533">
        <f>RAW_DATA!K533</f>
        <v>3</v>
      </c>
      <c r="L533">
        <f>RAW_DATA!L533</f>
        <v>3</v>
      </c>
      <c r="M533">
        <f>RAW_DATA!M533</f>
        <v>7</v>
      </c>
      <c r="N533">
        <f t="shared" si="16"/>
        <v>0</v>
      </c>
      <c r="O533" t="str" cm="1">
        <f t="array" ref="O533" xml:space="preserve"> _xlfn.IFS(A533 &lt;ASSUMPTIONS!$D$2,"25",A533 &lt;= ASSUMPTIONS!$D$3,"25-34",A533 &lt;= ASSUMPTIONS!$D$4, "35-44",A533 &lt;= ASSUMPTIONS!$D$5,"45-54",TRUE,"55+")</f>
        <v>25-34</v>
      </c>
      <c r="P533" t="str" cm="1">
        <f t="array" ref="P533">_xlfn.IFS( J533 &lt;ASSUMPTIONS!$D$7,"LOW",J533 &lt;= ASSUMPTIONS!$D$8,"MEDIUM",TRUE, "HIGH")</f>
        <v>HIGH</v>
      </c>
      <c r="Q533" t="str">
        <f>IF(M533&lt;ASSUMPTIONS!$D$10,"New (0-2)",IF(M533&lt;=ASSUMPTIONS!$D$11,"Early (2-5)",IF(M533&lt;=ASSUMPTIONS!$D$12,"Established (5-10)","Veteran (10+)")))</f>
        <v>Established (5-10)</v>
      </c>
      <c r="R533" s="4">
        <f t="shared" si="17"/>
        <v>3.3333333333333335</v>
      </c>
    </row>
    <row r="534" spans="1:18">
      <c r="A534">
        <f>RAW_DATA!A534</f>
        <v>47</v>
      </c>
      <c r="B534" t="str">
        <f>RAW_DATA!B534</f>
        <v>No</v>
      </c>
      <c r="C534" t="str">
        <f>RAW_DATA!C534</f>
        <v>Sales</v>
      </c>
      <c r="D534">
        <f>RAW_DATA!D534</f>
        <v>14</v>
      </c>
      <c r="E534">
        <f>RAW_DATA!E534</f>
        <v>4</v>
      </c>
      <c r="F534" t="str">
        <f>RAW_DATA!F534</f>
        <v>Marketing</v>
      </c>
      <c r="G534">
        <f>RAW_DATA!G534</f>
        <v>4</v>
      </c>
      <c r="H534">
        <f>RAW_DATA!H534</f>
        <v>1</v>
      </c>
      <c r="I534" t="str">
        <f>RAW_DATA!I534</f>
        <v>Single</v>
      </c>
      <c r="J534">
        <f>RAW_DATA!J534</f>
        <v>4960</v>
      </c>
      <c r="K534">
        <f>RAW_DATA!K534</f>
        <v>2</v>
      </c>
      <c r="L534">
        <f>RAW_DATA!L534</f>
        <v>3</v>
      </c>
      <c r="M534">
        <f>RAW_DATA!M534</f>
        <v>7</v>
      </c>
      <c r="N534">
        <f t="shared" si="16"/>
        <v>0</v>
      </c>
      <c r="O534" t="str" cm="1">
        <f t="array" ref="O534" xml:space="preserve"> _xlfn.IFS(A534 &lt;ASSUMPTIONS!$D$2,"25",A534 &lt;= ASSUMPTIONS!$D$3,"25-34",A534 &lt;= ASSUMPTIONS!$D$4, "35-44",A534 &lt;= ASSUMPTIONS!$D$5,"45-54",TRUE,"55+")</f>
        <v>45-54</v>
      </c>
      <c r="P534" t="str" cm="1">
        <f t="array" ref="P534">_xlfn.IFS( J534 &lt;ASSUMPTIONS!$D$7,"LOW",J534 &lt;= ASSUMPTIONS!$D$8,"MEDIUM",TRUE, "HIGH")</f>
        <v>MEDIUM</v>
      </c>
      <c r="Q534" t="str">
        <f>IF(M534&lt;ASSUMPTIONS!$D$10,"New (0-2)",IF(M534&lt;=ASSUMPTIONS!$D$11,"Early (2-5)",IF(M534&lt;=ASSUMPTIONS!$D$12,"Established (5-10)","Veteran (10+)")))</f>
        <v>Established (5-10)</v>
      </c>
      <c r="R534" s="4">
        <f t="shared" si="17"/>
        <v>2.6666666666666665</v>
      </c>
    </row>
    <row r="535" spans="1:18">
      <c r="A535">
        <f>RAW_DATA!A535</f>
        <v>40</v>
      </c>
      <c r="B535" t="str">
        <f>RAW_DATA!B535</f>
        <v>No</v>
      </c>
      <c r="C535" t="str">
        <f>RAW_DATA!C535</f>
        <v>Sales</v>
      </c>
      <c r="D535">
        <f>RAW_DATA!D535</f>
        <v>5</v>
      </c>
      <c r="E535">
        <f>RAW_DATA!E535</f>
        <v>4</v>
      </c>
      <c r="F535" t="str">
        <f>RAW_DATA!F535</f>
        <v>Life Sciences</v>
      </c>
      <c r="G535">
        <f>RAW_DATA!G535</f>
        <v>4</v>
      </c>
      <c r="H535">
        <f>RAW_DATA!H535</f>
        <v>1</v>
      </c>
      <c r="I535" t="str">
        <f>RAW_DATA!I535</f>
        <v>Married</v>
      </c>
      <c r="J535">
        <f>RAW_DATA!J535</f>
        <v>10475</v>
      </c>
      <c r="K535">
        <f>RAW_DATA!K535</f>
        <v>5</v>
      </c>
      <c r="L535">
        <f>RAW_DATA!L535</f>
        <v>3</v>
      </c>
      <c r="M535">
        <f>RAW_DATA!M535</f>
        <v>18</v>
      </c>
      <c r="N535">
        <f t="shared" si="16"/>
        <v>0</v>
      </c>
      <c r="O535" t="str" cm="1">
        <f t="array" ref="O535" xml:space="preserve"> _xlfn.IFS(A535 &lt;ASSUMPTIONS!$D$2,"25",A535 &lt;= ASSUMPTIONS!$D$3,"25-34",A535 &lt;= ASSUMPTIONS!$D$4, "35-44",A535 &lt;= ASSUMPTIONS!$D$5,"45-54",TRUE,"55+")</f>
        <v>35-44</v>
      </c>
      <c r="P535" t="str" cm="1">
        <f t="array" ref="P535">_xlfn.IFS( J535 &lt;ASSUMPTIONS!$D$7,"LOW",J535 &lt;= ASSUMPTIONS!$D$8,"MEDIUM",TRUE, "HIGH")</f>
        <v>HIGH</v>
      </c>
      <c r="Q535" t="str">
        <f>IF(M535&lt;ASSUMPTIONS!$D$10,"New (0-2)",IF(M535&lt;=ASSUMPTIONS!$D$11,"Early (2-5)",IF(M535&lt;=ASSUMPTIONS!$D$12,"Established (5-10)","Veteran (10+)")))</f>
        <v>Veteran (10+)</v>
      </c>
      <c r="R535" s="4">
        <f t="shared" si="17"/>
        <v>2.6666666666666665</v>
      </c>
    </row>
    <row r="536" spans="1:18">
      <c r="A536">
        <f>RAW_DATA!A536</f>
        <v>53</v>
      </c>
      <c r="B536" t="str">
        <f>RAW_DATA!B536</f>
        <v>No</v>
      </c>
      <c r="C536" t="str">
        <f>RAW_DATA!C536</f>
        <v>Research &amp; Development</v>
      </c>
      <c r="D536">
        <f>RAW_DATA!D536</f>
        <v>7</v>
      </c>
      <c r="E536">
        <f>RAW_DATA!E536</f>
        <v>3</v>
      </c>
      <c r="F536" t="str">
        <f>RAW_DATA!F536</f>
        <v>Life Sciences</v>
      </c>
      <c r="G536">
        <f>RAW_DATA!G536</f>
        <v>3</v>
      </c>
      <c r="H536">
        <f>RAW_DATA!H536</f>
        <v>3</v>
      </c>
      <c r="I536" t="str">
        <f>RAW_DATA!I536</f>
        <v>Married</v>
      </c>
      <c r="J536">
        <f>RAW_DATA!J536</f>
        <v>14814</v>
      </c>
      <c r="K536">
        <f>RAW_DATA!K536</f>
        <v>3</v>
      </c>
      <c r="L536">
        <f>RAW_DATA!L536</f>
        <v>3</v>
      </c>
      <c r="M536">
        <f>RAW_DATA!M536</f>
        <v>5</v>
      </c>
      <c r="N536">
        <f t="shared" si="16"/>
        <v>0</v>
      </c>
      <c r="O536" t="str" cm="1">
        <f t="array" ref="O536" xml:space="preserve"> _xlfn.IFS(A536 &lt;ASSUMPTIONS!$D$2,"25",A536 &lt;= ASSUMPTIONS!$D$3,"25-34",A536 &lt;= ASSUMPTIONS!$D$4, "35-44",A536 &lt;= ASSUMPTIONS!$D$5,"45-54",TRUE,"55+")</f>
        <v>45-54</v>
      </c>
      <c r="P536" t="str" cm="1">
        <f t="array" ref="P536">_xlfn.IFS( J536 &lt;ASSUMPTIONS!$D$7,"LOW",J536 &lt;= ASSUMPTIONS!$D$8,"MEDIUM",TRUE, "HIGH")</f>
        <v>HIGH</v>
      </c>
      <c r="Q536" t="str">
        <f>IF(M536&lt;ASSUMPTIONS!$D$10,"New (0-2)",IF(M536&lt;=ASSUMPTIONS!$D$11,"Early (2-5)",IF(M536&lt;=ASSUMPTIONS!$D$12,"Established (5-10)","Veteran (10+)")))</f>
        <v>Early (2-5)</v>
      </c>
      <c r="R536" s="4">
        <f t="shared" si="17"/>
        <v>3</v>
      </c>
    </row>
    <row r="537" spans="1:18">
      <c r="A537">
        <f>RAW_DATA!A537</f>
        <v>41</v>
      </c>
      <c r="B537" t="str">
        <f>RAW_DATA!B537</f>
        <v>No</v>
      </c>
      <c r="C537" t="str">
        <f>RAW_DATA!C537</f>
        <v>Human Resources</v>
      </c>
      <c r="D537">
        <f>RAW_DATA!D537</f>
        <v>10</v>
      </c>
      <c r="E537">
        <f>RAW_DATA!E537</f>
        <v>4</v>
      </c>
      <c r="F537" t="str">
        <f>RAW_DATA!F537</f>
        <v>Human Resources</v>
      </c>
      <c r="G537">
        <f>RAW_DATA!G537</f>
        <v>2</v>
      </c>
      <c r="H537">
        <f>RAW_DATA!H537</f>
        <v>4</v>
      </c>
      <c r="I537" t="str">
        <f>RAW_DATA!I537</f>
        <v>Divorced</v>
      </c>
      <c r="J537">
        <f>RAW_DATA!J537</f>
        <v>19141</v>
      </c>
      <c r="K537">
        <f>RAW_DATA!K537</f>
        <v>3</v>
      </c>
      <c r="L537">
        <f>RAW_DATA!L537</f>
        <v>2</v>
      </c>
      <c r="M537">
        <f>RAW_DATA!M537</f>
        <v>21</v>
      </c>
      <c r="N537">
        <f t="shared" si="16"/>
        <v>0</v>
      </c>
      <c r="O537" t="str" cm="1">
        <f t="array" ref="O537" xml:space="preserve"> _xlfn.IFS(A537 &lt;ASSUMPTIONS!$D$2,"25",A537 &lt;= ASSUMPTIONS!$D$3,"25-34",A537 &lt;= ASSUMPTIONS!$D$4, "35-44",A537 &lt;= ASSUMPTIONS!$D$5,"45-54",TRUE,"55+")</f>
        <v>35-44</v>
      </c>
      <c r="P537" t="str" cm="1">
        <f t="array" ref="P537">_xlfn.IFS( J537 &lt;ASSUMPTIONS!$D$7,"LOW",J537 &lt;= ASSUMPTIONS!$D$8,"MEDIUM",TRUE, "HIGH")</f>
        <v>HIGH</v>
      </c>
      <c r="Q537" t="str">
        <f>IF(M537&lt;ASSUMPTIONS!$D$10,"New (0-2)",IF(M537&lt;=ASSUMPTIONS!$D$11,"Early (2-5)",IF(M537&lt;=ASSUMPTIONS!$D$12,"Established (5-10)","Veteran (10+)")))</f>
        <v>Veteran (10+)</v>
      </c>
      <c r="R537" s="4">
        <f t="shared" si="17"/>
        <v>2.6666666666666665</v>
      </c>
    </row>
    <row r="538" spans="1:18">
      <c r="A538">
        <f>RAW_DATA!A538</f>
        <v>60</v>
      </c>
      <c r="B538" t="str">
        <f>RAW_DATA!B538</f>
        <v>No</v>
      </c>
      <c r="C538" t="str">
        <f>RAW_DATA!C538</f>
        <v>Sales</v>
      </c>
      <c r="D538">
        <f>RAW_DATA!D538</f>
        <v>16</v>
      </c>
      <c r="E538">
        <f>RAW_DATA!E538</f>
        <v>4</v>
      </c>
      <c r="F538" t="str">
        <f>RAW_DATA!F538</f>
        <v>Marketing</v>
      </c>
      <c r="G538">
        <f>RAW_DATA!G538</f>
        <v>1</v>
      </c>
      <c r="H538">
        <f>RAW_DATA!H538</f>
        <v>1</v>
      </c>
      <c r="I538" t="str">
        <f>RAW_DATA!I538</f>
        <v>Single</v>
      </c>
      <c r="J538">
        <f>RAW_DATA!J538</f>
        <v>5405</v>
      </c>
      <c r="K538">
        <f>RAW_DATA!K538</f>
        <v>8</v>
      </c>
      <c r="L538">
        <f>RAW_DATA!L538</f>
        <v>3</v>
      </c>
      <c r="M538">
        <f>RAW_DATA!M538</f>
        <v>2</v>
      </c>
      <c r="N538">
        <f t="shared" si="16"/>
        <v>0</v>
      </c>
      <c r="O538" t="str" cm="1">
        <f t="array" ref="O538" xml:space="preserve"> _xlfn.IFS(A538 &lt;ASSUMPTIONS!$D$2,"25",A538 &lt;= ASSUMPTIONS!$D$3,"25-34",A538 &lt;= ASSUMPTIONS!$D$4, "35-44",A538 &lt;= ASSUMPTIONS!$D$5,"45-54",TRUE,"55+")</f>
        <v>55+</v>
      </c>
      <c r="P538" t="str" cm="1">
        <f t="array" ref="P538">_xlfn.IFS( J538 &lt;ASSUMPTIONS!$D$7,"LOW",J538 &lt;= ASSUMPTIONS!$D$8,"MEDIUM",TRUE, "HIGH")</f>
        <v>MEDIUM</v>
      </c>
      <c r="Q538" t="str">
        <f>IF(M538&lt;ASSUMPTIONS!$D$10,"New (0-2)",IF(M538&lt;=ASSUMPTIONS!$D$11,"Early (2-5)",IF(M538&lt;=ASSUMPTIONS!$D$12,"Established (5-10)","Veteran (10+)")))</f>
        <v>Early (2-5)</v>
      </c>
      <c r="R538" s="4">
        <f t="shared" si="17"/>
        <v>1.6666666666666667</v>
      </c>
    </row>
    <row r="539" spans="1:18">
      <c r="A539">
        <f>RAW_DATA!A539</f>
        <v>27</v>
      </c>
      <c r="B539" t="str">
        <f>RAW_DATA!B539</f>
        <v>No</v>
      </c>
      <c r="C539" t="str">
        <f>RAW_DATA!C539</f>
        <v>Research &amp; Development</v>
      </c>
      <c r="D539">
        <f>RAW_DATA!D539</f>
        <v>10</v>
      </c>
      <c r="E539">
        <f>RAW_DATA!E539</f>
        <v>2</v>
      </c>
      <c r="F539" t="str">
        <f>RAW_DATA!F539</f>
        <v>Life Sciences</v>
      </c>
      <c r="G539">
        <f>RAW_DATA!G539</f>
        <v>4</v>
      </c>
      <c r="H539">
        <f>RAW_DATA!H539</f>
        <v>1</v>
      </c>
      <c r="I539" t="str">
        <f>RAW_DATA!I539</f>
        <v>Divorced</v>
      </c>
      <c r="J539">
        <f>RAW_DATA!J539</f>
        <v>8793</v>
      </c>
      <c r="K539">
        <f>RAW_DATA!K539</f>
        <v>1</v>
      </c>
      <c r="L539">
        <f>RAW_DATA!L539</f>
        <v>2</v>
      </c>
      <c r="M539">
        <f>RAW_DATA!M539</f>
        <v>9</v>
      </c>
      <c r="N539">
        <f t="shared" si="16"/>
        <v>0</v>
      </c>
      <c r="O539" t="str" cm="1">
        <f t="array" ref="O539" xml:space="preserve"> _xlfn.IFS(A539 &lt;ASSUMPTIONS!$D$2,"25",A539 &lt;= ASSUMPTIONS!$D$3,"25-34",A539 &lt;= ASSUMPTIONS!$D$4, "35-44",A539 &lt;= ASSUMPTIONS!$D$5,"45-54",TRUE,"55+")</f>
        <v>25-34</v>
      </c>
      <c r="P539" t="str" cm="1">
        <f t="array" ref="P539">_xlfn.IFS( J539 &lt;ASSUMPTIONS!$D$7,"LOW",J539 &lt;= ASSUMPTIONS!$D$8,"MEDIUM",TRUE, "HIGH")</f>
        <v>HIGH</v>
      </c>
      <c r="Q539" t="str">
        <f>IF(M539&lt;ASSUMPTIONS!$D$10,"New (0-2)",IF(M539&lt;=ASSUMPTIONS!$D$11,"Early (2-5)",IF(M539&lt;=ASSUMPTIONS!$D$12,"Established (5-10)","Veteran (10+)")))</f>
        <v>Established (5-10)</v>
      </c>
      <c r="R539" s="4">
        <f t="shared" si="17"/>
        <v>2.3333333333333335</v>
      </c>
    </row>
    <row r="540" spans="1:18">
      <c r="A540">
        <f>RAW_DATA!A540</f>
        <v>41</v>
      </c>
      <c r="B540" t="str">
        <f>RAW_DATA!B540</f>
        <v>No</v>
      </c>
      <c r="C540" t="str">
        <f>RAW_DATA!C540</f>
        <v>Human Resources</v>
      </c>
      <c r="D540">
        <f>RAW_DATA!D540</f>
        <v>1</v>
      </c>
      <c r="E540">
        <f>RAW_DATA!E540</f>
        <v>3</v>
      </c>
      <c r="F540" t="str">
        <f>RAW_DATA!F540</f>
        <v>Human Resources</v>
      </c>
      <c r="G540">
        <f>RAW_DATA!G540</f>
        <v>4</v>
      </c>
      <c r="H540">
        <f>RAW_DATA!H540</f>
        <v>3</v>
      </c>
      <c r="I540" t="str">
        <f>RAW_DATA!I540</f>
        <v>Married</v>
      </c>
      <c r="J540">
        <f>RAW_DATA!J540</f>
        <v>19189</v>
      </c>
      <c r="K540">
        <f>RAW_DATA!K540</f>
        <v>1</v>
      </c>
      <c r="L540">
        <f>RAW_DATA!L540</f>
        <v>3</v>
      </c>
      <c r="M540">
        <f>RAW_DATA!M540</f>
        <v>22</v>
      </c>
      <c r="N540">
        <f t="shared" si="16"/>
        <v>0</v>
      </c>
      <c r="O540" t="str" cm="1">
        <f t="array" ref="O540" xml:space="preserve"> _xlfn.IFS(A540 &lt;ASSUMPTIONS!$D$2,"25",A540 &lt;= ASSUMPTIONS!$D$3,"25-34",A540 &lt;= ASSUMPTIONS!$D$4, "35-44",A540 &lt;= ASSUMPTIONS!$D$5,"45-54",TRUE,"55+")</f>
        <v>35-44</v>
      </c>
      <c r="P540" t="str" cm="1">
        <f t="array" ref="P540">_xlfn.IFS( J540 &lt;ASSUMPTIONS!$D$7,"LOW",J540 &lt;= ASSUMPTIONS!$D$8,"MEDIUM",TRUE, "HIGH")</f>
        <v>HIGH</v>
      </c>
      <c r="Q540" t="str">
        <f>IF(M540&lt;ASSUMPTIONS!$D$10,"New (0-2)",IF(M540&lt;=ASSUMPTIONS!$D$11,"Early (2-5)",IF(M540&lt;=ASSUMPTIONS!$D$12,"Established (5-10)","Veteran (10+)")))</f>
        <v>Veteran (10+)</v>
      </c>
      <c r="R540" s="4">
        <f t="shared" si="17"/>
        <v>3.3333333333333335</v>
      </c>
    </row>
    <row r="541" spans="1:18">
      <c r="A541">
        <f>RAW_DATA!A541</f>
        <v>50</v>
      </c>
      <c r="B541" t="str">
        <f>RAW_DATA!B541</f>
        <v>No</v>
      </c>
      <c r="C541" t="str">
        <f>RAW_DATA!C541</f>
        <v>Sales</v>
      </c>
      <c r="D541">
        <f>RAW_DATA!D541</f>
        <v>8</v>
      </c>
      <c r="E541">
        <f>RAW_DATA!E541</f>
        <v>4</v>
      </c>
      <c r="F541" t="str">
        <f>RAW_DATA!F541</f>
        <v>Marketing</v>
      </c>
      <c r="G541">
        <f>RAW_DATA!G541</f>
        <v>4</v>
      </c>
      <c r="H541">
        <f>RAW_DATA!H541</f>
        <v>2</v>
      </c>
      <c r="I541" t="str">
        <f>RAW_DATA!I541</f>
        <v>Married</v>
      </c>
      <c r="J541">
        <f>RAW_DATA!J541</f>
        <v>3875</v>
      </c>
      <c r="K541">
        <f>RAW_DATA!K541</f>
        <v>7</v>
      </c>
      <c r="L541">
        <f>RAW_DATA!L541</f>
        <v>3</v>
      </c>
      <c r="M541">
        <f>RAW_DATA!M541</f>
        <v>2</v>
      </c>
      <c r="N541">
        <f t="shared" si="16"/>
        <v>0</v>
      </c>
      <c r="O541" t="str" cm="1">
        <f t="array" ref="O541" xml:space="preserve"> _xlfn.IFS(A541 &lt;ASSUMPTIONS!$D$2,"25",A541 &lt;= ASSUMPTIONS!$D$3,"25-34",A541 &lt;= ASSUMPTIONS!$D$4, "35-44",A541 &lt;= ASSUMPTIONS!$D$5,"45-54",TRUE,"55+")</f>
        <v>45-54</v>
      </c>
      <c r="P541" t="str" cm="1">
        <f t="array" ref="P541">_xlfn.IFS( J541 &lt;ASSUMPTIONS!$D$7,"LOW",J541 &lt;= ASSUMPTIONS!$D$8,"MEDIUM",TRUE, "HIGH")</f>
        <v>MEDIUM</v>
      </c>
      <c r="Q541" t="str">
        <f>IF(M541&lt;ASSUMPTIONS!$D$10,"New (0-2)",IF(M541&lt;=ASSUMPTIONS!$D$11,"Early (2-5)",IF(M541&lt;=ASSUMPTIONS!$D$12,"Established (5-10)","Veteran (10+)")))</f>
        <v>Early (2-5)</v>
      </c>
      <c r="R541" s="4">
        <f t="shared" si="17"/>
        <v>3</v>
      </c>
    </row>
    <row r="542" spans="1:18">
      <c r="A542">
        <f>RAW_DATA!A542</f>
        <v>28</v>
      </c>
      <c r="B542" t="str">
        <f>RAW_DATA!B542</f>
        <v>Yes</v>
      </c>
      <c r="C542" t="str">
        <f>RAW_DATA!C542</f>
        <v>Research &amp; Development</v>
      </c>
      <c r="D542">
        <f>RAW_DATA!D542</f>
        <v>1</v>
      </c>
      <c r="E542">
        <f>RAW_DATA!E542</f>
        <v>2</v>
      </c>
      <c r="F542" t="str">
        <f>RAW_DATA!F542</f>
        <v>Life Sciences</v>
      </c>
      <c r="G542">
        <f>RAW_DATA!G542</f>
        <v>1</v>
      </c>
      <c r="H542">
        <f>RAW_DATA!H542</f>
        <v>2</v>
      </c>
      <c r="I542" t="str">
        <f>RAW_DATA!I542</f>
        <v>Single</v>
      </c>
      <c r="J542">
        <f>RAW_DATA!J542</f>
        <v>2216</v>
      </c>
      <c r="K542">
        <f>RAW_DATA!K542</f>
        <v>7</v>
      </c>
      <c r="L542">
        <f>RAW_DATA!L542</f>
        <v>3</v>
      </c>
      <c r="M542">
        <f>RAW_DATA!M542</f>
        <v>7</v>
      </c>
      <c r="N542">
        <f t="shared" si="16"/>
        <v>1</v>
      </c>
      <c r="O542" t="str" cm="1">
        <f t="array" ref="O542" xml:space="preserve"> _xlfn.IFS(A542 &lt;ASSUMPTIONS!$D$2,"25",A542 &lt;= ASSUMPTIONS!$D$3,"25-34",A542 &lt;= ASSUMPTIONS!$D$4, "35-44",A542 &lt;= ASSUMPTIONS!$D$5,"45-54",TRUE,"55+")</f>
        <v>25-34</v>
      </c>
      <c r="P542" t="str" cm="1">
        <f t="array" ref="P542">_xlfn.IFS( J542 &lt;ASSUMPTIONS!$D$7,"LOW",J542 &lt;= ASSUMPTIONS!$D$8,"MEDIUM",TRUE, "HIGH")</f>
        <v>LOW</v>
      </c>
      <c r="Q542" t="str">
        <f>IF(M542&lt;ASSUMPTIONS!$D$10,"New (0-2)",IF(M542&lt;=ASSUMPTIONS!$D$11,"Early (2-5)",IF(M542&lt;=ASSUMPTIONS!$D$12,"Established (5-10)","Veteran (10+)")))</f>
        <v>Established (5-10)</v>
      </c>
      <c r="R542" s="4">
        <f t="shared" si="17"/>
        <v>2</v>
      </c>
    </row>
    <row r="543" spans="1:18">
      <c r="A543">
        <f>RAW_DATA!A543</f>
        <v>36</v>
      </c>
      <c r="B543" t="str">
        <f>RAW_DATA!B543</f>
        <v>No</v>
      </c>
      <c r="C543" t="str">
        <f>RAW_DATA!C543</f>
        <v>Research &amp; Development</v>
      </c>
      <c r="D543">
        <f>RAW_DATA!D543</f>
        <v>8</v>
      </c>
      <c r="E543">
        <f>RAW_DATA!E543</f>
        <v>3</v>
      </c>
      <c r="F543" t="str">
        <f>RAW_DATA!F543</f>
        <v>Life Sciences</v>
      </c>
      <c r="G543">
        <f>RAW_DATA!G543</f>
        <v>1</v>
      </c>
      <c r="H543">
        <f>RAW_DATA!H543</f>
        <v>1</v>
      </c>
      <c r="I543" t="str">
        <f>RAW_DATA!I543</f>
        <v>Married</v>
      </c>
      <c r="J543">
        <f>RAW_DATA!J543</f>
        <v>11713</v>
      </c>
      <c r="K543">
        <f>RAW_DATA!K543</f>
        <v>9</v>
      </c>
      <c r="L543">
        <f>RAW_DATA!L543</f>
        <v>3</v>
      </c>
      <c r="M543">
        <f>RAW_DATA!M543</f>
        <v>8</v>
      </c>
      <c r="N543">
        <f t="shared" si="16"/>
        <v>0</v>
      </c>
      <c r="O543" t="str" cm="1">
        <f t="array" ref="O543" xml:space="preserve"> _xlfn.IFS(A543 &lt;ASSUMPTIONS!$D$2,"25",A543 &lt;= ASSUMPTIONS!$D$3,"25-34",A543 &lt;= ASSUMPTIONS!$D$4, "35-44",A543 &lt;= ASSUMPTIONS!$D$5,"45-54",TRUE,"55+")</f>
        <v>35-44</v>
      </c>
      <c r="P543" t="str" cm="1">
        <f t="array" ref="P543">_xlfn.IFS( J543 &lt;ASSUMPTIONS!$D$7,"LOW",J543 &lt;= ASSUMPTIONS!$D$8,"MEDIUM",TRUE, "HIGH")</f>
        <v>HIGH</v>
      </c>
      <c r="Q543" t="str">
        <f>IF(M543&lt;ASSUMPTIONS!$D$10,"New (0-2)",IF(M543&lt;=ASSUMPTIONS!$D$11,"Early (2-5)",IF(M543&lt;=ASSUMPTIONS!$D$12,"Established (5-10)","Veteran (10+)")))</f>
        <v>Established (5-10)</v>
      </c>
      <c r="R543" s="4">
        <f t="shared" si="17"/>
        <v>1.6666666666666667</v>
      </c>
    </row>
    <row r="544" spans="1:18">
      <c r="A544">
        <f>RAW_DATA!A544</f>
        <v>38</v>
      </c>
      <c r="B544" t="str">
        <f>RAW_DATA!B544</f>
        <v>No</v>
      </c>
      <c r="C544" t="str">
        <f>RAW_DATA!C544</f>
        <v>Research &amp; Development</v>
      </c>
      <c r="D544">
        <f>RAW_DATA!D544</f>
        <v>1</v>
      </c>
      <c r="E544">
        <f>RAW_DATA!E544</f>
        <v>3</v>
      </c>
      <c r="F544" t="str">
        <f>RAW_DATA!F544</f>
        <v>Life Sciences</v>
      </c>
      <c r="G544">
        <f>RAW_DATA!G544</f>
        <v>3</v>
      </c>
      <c r="H544">
        <f>RAW_DATA!H544</f>
        <v>3</v>
      </c>
      <c r="I544" t="str">
        <f>RAW_DATA!I544</f>
        <v>Single</v>
      </c>
      <c r="J544">
        <f>RAW_DATA!J544</f>
        <v>7861</v>
      </c>
      <c r="K544">
        <f>RAW_DATA!K544</f>
        <v>4</v>
      </c>
      <c r="L544">
        <f>RAW_DATA!L544</f>
        <v>4</v>
      </c>
      <c r="M544">
        <f>RAW_DATA!M544</f>
        <v>1</v>
      </c>
      <c r="N544">
        <f t="shared" si="16"/>
        <v>0</v>
      </c>
      <c r="O544" t="str" cm="1">
        <f t="array" ref="O544" xml:space="preserve"> _xlfn.IFS(A544 &lt;ASSUMPTIONS!$D$2,"25",A544 &lt;= ASSUMPTIONS!$D$3,"25-34",A544 &lt;= ASSUMPTIONS!$D$4, "35-44",A544 &lt;= ASSUMPTIONS!$D$5,"45-54",TRUE,"55+")</f>
        <v>35-44</v>
      </c>
      <c r="P544" t="str" cm="1">
        <f t="array" ref="P544">_xlfn.IFS( J544 &lt;ASSUMPTIONS!$D$7,"LOW",J544 &lt;= ASSUMPTIONS!$D$8,"MEDIUM",TRUE, "HIGH")</f>
        <v>HIGH</v>
      </c>
      <c r="Q544" t="str">
        <f>IF(M544&lt;ASSUMPTIONS!$D$10,"New (0-2)",IF(M544&lt;=ASSUMPTIONS!$D$11,"Early (2-5)",IF(M544&lt;=ASSUMPTIONS!$D$12,"Established (5-10)","Veteran (10+)")))</f>
        <v>New (0-2)</v>
      </c>
      <c r="R544" s="4">
        <f t="shared" si="17"/>
        <v>3.3333333333333335</v>
      </c>
    </row>
    <row r="545" spans="1:18">
      <c r="A545">
        <f>RAW_DATA!A545</f>
        <v>44</v>
      </c>
      <c r="B545" t="str">
        <f>RAW_DATA!B545</f>
        <v>No</v>
      </c>
      <c r="C545" t="str">
        <f>RAW_DATA!C545</f>
        <v>Research &amp; Development</v>
      </c>
      <c r="D545">
        <f>RAW_DATA!D545</f>
        <v>24</v>
      </c>
      <c r="E545">
        <f>RAW_DATA!E545</f>
        <v>3</v>
      </c>
      <c r="F545" t="str">
        <f>RAW_DATA!F545</f>
        <v>Medical</v>
      </c>
      <c r="G545">
        <f>RAW_DATA!G545</f>
        <v>1</v>
      </c>
      <c r="H545">
        <f>RAW_DATA!H545</f>
        <v>3</v>
      </c>
      <c r="I545" t="str">
        <f>RAW_DATA!I545</f>
        <v>Single</v>
      </c>
      <c r="J545">
        <f>RAW_DATA!J545</f>
        <v>3708</v>
      </c>
      <c r="K545">
        <f>RAW_DATA!K545</f>
        <v>2</v>
      </c>
      <c r="L545">
        <f>RAW_DATA!L545</f>
        <v>3</v>
      </c>
      <c r="M545">
        <f>RAW_DATA!M545</f>
        <v>5</v>
      </c>
      <c r="N545">
        <f t="shared" si="16"/>
        <v>0</v>
      </c>
      <c r="O545" t="str" cm="1">
        <f t="array" ref="O545" xml:space="preserve"> _xlfn.IFS(A545 &lt;ASSUMPTIONS!$D$2,"25",A545 &lt;= ASSUMPTIONS!$D$3,"25-34",A545 &lt;= ASSUMPTIONS!$D$4, "35-44",A545 &lt;= ASSUMPTIONS!$D$5,"45-54",TRUE,"55+")</f>
        <v>35-44</v>
      </c>
      <c r="P545" t="str" cm="1">
        <f t="array" ref="P545">_xlfn.IFS( J545 &lt;ASSUMPTIONS!$D$7,"LOW",J545 &lt;= ASSUMPTIONS!$D$8,"MEDIUM",TRUE, "HIGH")</f>
        <v>MEDIUM</v>
      </c>
      <c r="Q545" t="str">
        <f>IF(M545&lt;ASSUMPTIONS!$D$10,"New (0-2)",IF(M545&lt;=ASSUMPTIONS!$D$11,"Early (2-5)",IF(M545&lt;=ASSUMPTIONS!$D$12,"Established (5-10)","Veteran (10+)")))</f>
        <v>Early (2-5)</v>
      </c>
      <c r="R545" s="4">
        <f t="shared" si="17"/>
        <v>2.3333333333333335</v>
      </c>
    </row>
    <row r="546" spans="1:18">
      <c r="A546">
        <f>RAW_DATA!A546</f>
        <v>47</v>
      </c>
      <c r="B546" t="str">
        <f>RAW_DATA!B546</f>
        <v>No</v>
      </c>
      <c r="C546" t="str">
        <f>RAW_DATA!C546</f>
        <v>Sales</v>
      </c>
      <c r="D546">
        <f>RAW_DATA!D546</f>
        <v>3</v>
      </c>
      <c r="E546">
        <f>RAW_DATA!E546</f>
        <v>3</v>
      </c>
      <c r="F546" t="str">
        <f>RAW_DATA!F546</f>
        <v>Medical</v>
      </c>
      <c r="G546">
        <f>RAW_DATA!G546</f>
        <v>4</v>
      </c>
      <c r="H546">
        <f>RAW_DATA!H546</f>
        <v>3</v>
      </c>
      <c r="I546" t="str">
        <f>RAW_DATA!I546</f>
        <v>Divorced</v>
      </c>
      <c r="J546">
        <f>RAW_DATA!J546</f>
        <v>13770</v>
      </c>
      <c r="K546">
        <f>RAW_DATA!K546</f>
        <v>9</v>
      </c>
      <c r="L546">
        <f>RAW_DATA!L546</f>
        <v>2</v>
      </c>
      <c r="M546">
        <f>RAW_DATA!M546</f>
        <v>22</v>
      </c>
      <c r="N546">
        <f t="shared" si="16"/>
        <v>0</v>
      </c>
      <c r="O546" t="str" cm="1">
        <f t="array" ref="O546" xml:space="preserve"> _xlfn.IFS(A546 &lt;ASSUMPTIONS!$D$2,"25",A546 &lt;= ASSUMPTIONS!$D$3,"25-34",A546 &lt;= ASSUMPTIONS!$D$4, "35-44",A546 &lt;= ASSUMPTIONS!$D$5,"45-54",TRUE,"55+")</f>
        <v>45-54</v>
      </c>
      <c r="P546" t="str" cm="1">
        <f t="array" ref="P546">_xlfn.IFS( J546 &lt;ASSUMPTIONS!$D$7,"LOW",J546 &lt;= ASSUMPTIONS!$D$8,"MEDIUM",TRUE, "HIGH")</f>
        <v>HIGH</v>
      </c>
      <c r="Q546" t="str">
        <f>IF(M546&lt;ASSUMPTIONS!$D$10,"New (0-2)",IF(M546&lt;=ASSUMPTIONS!$D$11,"Early (2-5)",IF(M546&lt;=ASSUMPTIONS!$D$12,"Established (5-10)","Veteran (10+)")))</f>
        <v>Veteran (10+)</v>
      </c>
      <c r="R546" s="4">
        <f t="shared" si="17"/>
        <v>3</v>
      </c>
    </row>
    <row r="547" spans="1:18">
      <c r="A547">
        <f>RAW_DATA!A547</f>
        <v>30</v>
      </c>
      <c r="B547" t="str">
        <f>RAW_DATA!B547</f>
        <v>No</v>
      </c>
      <c r="C547" t="str">
        <f>RAW_DATA!C547</f>
        <v>Sales</v>
      </c>
      <c r="D547">
        <f>RAW_DATA!D547</f>
        <v>27</v>
      </c>
      <c r="E547">
        <f>RAW_DATA!E547</f>
        <v>5</v>
      </c>
      <c r="F547" t="str">
        <f>RAW_DATA!F547</f>
        <v>Marketing</v>
      </c>
      <c r="G547">
        <f>RAW_DATA!G547</f>
        <v>3</v>
      </c>
      <c r="H547">
        <f>RAW_DATA!H547</f>
        <v>4</v>
      </c>
      <c r="I547" t="str">
        <f>RAW_DATA!I547</f>
        <v>Divorced</v>
      </c>
      <c r="J547">
        <f>RAW_DATA!J547</f>
        <v>5304</v>
      </c>
      <c r="K547">
        <f>RAW_DATA!K547</f>
        <v>7</v>
      </c>
      <c r="L547">
        <f>RAW_DATA!L547</f>
        <v>2</v>
      </c>
      <c r="M547">
        <f>RAW_DATA!M547</f>
        <v>8</v>
      </c>
      <c r="N547">
        <f t="shared" si="16"/>
        <v>0</v>
      </c>
      <c r="O547" t="str" cm="1">
        <f t="array" ref="O547" xml:space="preserve"> _xlfn.IFS(A547 &lt;ASSUMPTIONS!$D$2,"25",A547 &lt;= ASSUMPTIONS!$D$3,"25-34",A547 &lt;= ASSUMPTIONS!$D$4, "35-44",A547 &lt;= ASSUMPTIONS!$D$5,"45-54",TRUE,"55+")</f>
        <v>25-34</v>
      </c>
      <c r="P547" t="str" cm="1">
        <f t="array" ref="P547">_xlfn.IFS( J547 &lt;ASSUMPTIONS!$D$7,"LOW",J547 &lt;= ASSUMPTIONS!$D$8,"MEDIUM",TRUE, "HIGH")</f>
        <v>MEDIUM</v>
      </c>
      <c r="Q547" t="str">
        <f>IF(M547&lt;ASSUMPTIONS!$D$10,"New (0-2)",IF(M547&lt;=ASSUMPTIONS!$D$11,"Early (2-5)",IF(M547&lt;=ASSUMPTIONS!$D$12,"Established (5-10)","Veteran (10+)")))</f>
        <v>Established (5-10)</v>
      </c>
      <c r="R547" s="4">
        <f t="shared" si="17"/>
        <v>3</v>
      </c>
    </row>
    <row r="548" spans="1:18">
      <c r="A548">
        <f>RAW_DATA!A548</f>
        <v>29</v>
      </c>
      <c r="B548" t="str">
        <f>RAW_DATA!B548</f>
        <v>No</v>
      </c>
      <c r="C548" t="str">
        <f>RAW_DATA!C548</f>
        <v>Sales</v>
      </c>
      <c r="D548">
        <f>RAW_DATA!D548</f>
        <v>10</v>
      </c>
      <c r="E548">
        <f>RAW_DATA!E548</f>
        <v>3</v>
      </c>
      <c r="F548" t="str">
        <f>RAW_DATA!F548</f>
        <v>Life Sciences</v>
      </c>
      <c r="G548">
        <f>RAW_DATA!G548</f>
        <v>3</v>
      </c>
      <c r="H548">
        <f>RAW_DATA!H548</f>
        <v>3</v>
      </c>
      <c r="I548" t="str">
        <f>RAW_DATA!I548</f>
        <v>Single</v>
      </c>
      <c r="J548">
        <f>RAW_DATA!J548</f>
        <v>2642</v>
      </c>
      <c r="K548">
        <f>RAW_DATA!K548</f>
        <v>1</v>
      </c>
      <c r="L548">
        <f>RAW_DATA!L548</f>
        <v>3</v>
      </c>
      <c r="M548">
        <f>RAW_DATA!M548</f>
        <v>1</v>
      </c>
      <c r="N548">
        <f t="shared" si="16"/>
        <v>0</v>
      </c>
      <c r="O548" t="str" cm="1">
        <f t="array" ref="O548" xml:space="preserve"> _xlfn.IFS(A548 &lt;ASSUMPTIONS!$D$2,"25",A548 &lt;= ASSUMPTIONS!$D$3,"25-34",A548 &lt;= ASSUMPTIONS!$D$4, "35-44",A548 &lt;= ASSUMPTIONS!$D$5,"45-54",TRUE,"55+")</f>
        <v>25-34</v>
      </c>
      <c r="P548" t="str" cm="1">
        <f t="array" ref="P548">_xlfn.IFS( J548 &lt;ASSUMPTIONS!$D$7,"LOW",J548 &lt;= ASSUMPTIONS!$D$8,"MEDIUM",TRUE, "HIGH")</f>
        <v>LOW</v>
      </c>
      <c r="Q548" t="str">
        <f>IF(M548&lt;ASSUMPTIONS!$D$10,"New (0-2)",IF(M548&lt;=ASSUMPTIONS!$D$11,"Early (2-5)",IF(M548&lt;=ASSUMPTIONS!$D$12,"Established (5-10)","Veteran (10+)")))</f>
        <v>New (0-2)</v>
      </c>
      <c r="R548" s="4">
        <f t="shared" si="17"/>
        <v>3</v>
      </c>
    </row>
    <row r="549" spans="1:18">
      <c r="A549">
        <f>RAW_DATA!A549</f>
        <v>42</v>
      </c>
      <c r="B549" t="str">
        <f>RAW_DATA!B549</f>
        <v>Yes</v>
      </c>
      <c r="C549" t="str">
        <f>RAW_DATA!C549</f>
        <v>Research &amp; Development</v>
      </c>
      <c r="D549">
        <f>RAW_DATA!D549</f>
        <v>19</v>
      </c>
      <c r="E549">
        <f>RAW_DATA!E549</f>
        <v>3</v>
      </c>
      <c r="F549" t="str">
        <f>RAW_DATA!F549</f>
        <v>Medical</v>
      </c>
      <c r="G549">
        <f>RAW_DATA!G549</f>
        <v>3</v>
      </c>
      <c r="H549">
        <f>RAW_DATA!H549</f>
        <v>3</v>
      </c>
      <c r="I549" t="str">
        <f>RAW_DATA!I549</f>
        <v>Divorced</v>
      </c>
      <c r="J549">
        <f>RAW_DATA!J549</f>
        <v>2759</v>
      </c>
      <c r="K549">
        <f>RAW_DATA!K549</f>
        <v>6</v>
      </c>
      <c r="L549">
        <f>RAW_DATA!L549</f>
        <v>3</v>
      </c>
      <c r="M549">
        <f>RAW_DATA!M549</f>
        <v>2</v>
      </c>
      <c r="N549">
        <f t="shared" si="16"/>
        <v>1</v>
      </c>
      <c r="O549" t="str" cm="1">
        <f t="array" ref="O549" xml:space="preserve"> _xlfn.IFS(A549 &lt;ASSUMPTIONS!$D$2,"25",A549 &lt;= ASSUMPTIONS!$D$3,"25-34",A549 &lt;= ASSUMPTIONS!$D$4, "35-44",A549 &lt;= ASSUMPTIONS!$D$5,"45-54",TRUE,"55+")</f>
        <v>35-44</v>
      </c>
      <c r="P549" t="str" cm="1">
        <f t="array" ref="P549">_xlfn.IFS( J549 &lt;ASSUMPTIONS!$D$7,"LOW",J549 &lt;= ASSUMPTIONS!$D$8,"MEDIUM",TRUE, "HIGH")</f>
        <v>LOW</v>
      </c>
      <c r="Q549" t="str">
        <f>IF(M549&lt;ASSUMPTIONS!$D$10,"New (0-2)",IF(M549&lt;=ASSUMPTIONS!$D$11,"Early (2-5)",IF(M549&lt;=ASSUMPTIONS!$D$12,"Established (5-10)","Veteran (10+)")))</f>
        <v>Early (2-5)</v>
      </c>
      <c r="R549" s="4">
        <f t="shared" si="17"/>
        <v>3</v>
      </c>
    </row>
    <row r="550" spans="1:18">
      <c r="A550">
        <f>RAW_DATA!A550</f>
        <v>43</v>
      </c>
      <c r="B550" t="str">
        <f>RAW_DATA!B550</f>
        <v>No</v>
      </c>
      <c r="C550" t="str">
        <f>RAW_DATA!C550</f>
        <v>Sales</v>
      </c>
      <c r="D550">
        <f>RAW_DATA!D550</f>
        <v>15</v>
      </c>
      <c r="E550">
        <f>RAW_DATA!E550</f>
        <v>3</v>
      </c>
      <c r="F550" t="str">
        <f>RAW_DATA!F550</f>
        <v>Life Sciences</v>
      </c>
      <c r="G550">
        <f>RAW_DATA!G550</f>
        <v>4</v>
      </c>
      <c r="H550">
        <f>RAW_DATA!H550</f>
        <v>4</v>
      </c>
      <c r="I550" t="str">
        <f>RAW_DATA!I550</f>
        <v>Married</v>
      </c>
      <c r="J550">
        <f>RAW_DATA!J550</f>
        <v>6804</v>
      </c>
      <c r="K550">
        <f>RAW_DATA!K550</f>
        <v>3</v>
      </c>
      <c r="L550">
        <f>RAW_DATA!L550</f>
        <v>3</v>
      </c>
      <c r="M550">
        <f>RAW_DATA!M550</f>
        <v>2</v>
      </c>
      <c r="N550">
        <f t="shared" si="16"/>
        <v>0</v>
      </c>
      <c r="O550" t="str" cm="1">
        <f t="array" ref="O550" xml:space="preserve"> _xlfn.IFS(A550 &lt;ASSUMPTIONS!$D$2,"25",A550 &lt;= ASSUMPTIONS!$D$3,"25-34",A550 &lt;= ASSUMPTIONS!$D$4, "35-44",A550 &lt;= ASSUMPTIONS!$D$5,"45-54",TRUE,"55+")</f>
        <v>35-44</v>
      </c>
      <c r="P550" t="str" cm="1">
        <f t="array" ref="P550">_xlfn.IFS( J550 &lt;ASSUMPTIONS!$D$7,"LOW",J550 &lt;= ASSUMPTIONS!$D$8,"MEDIUM",TRUE, "HIGH")</f>
        <v>MEDIUM</v>
      </c>
      <c r="Q550" t="str">
        <f>IF(M550&lt;ASSUMPTIONS!$D$10,"New (0-2)",IF(M550&lt;=ASSUMPTIONS!$D$11,"Early (2-5)",IF(M550&lt;=ASSUMPTIONS!$D$12,"Established (5-10)","Veteran (10+)")))</f>
        <v>Early (2-5)</v>
      </c>
      <c r="R550" s="4">
        <f t="shared" si="17"/>
        <v>3.6666666666666665</v>
      </c>
    </row>
    <row r="551" spans="1:18">
      <c r="A551">
        <f>RAW_DATA!A551</f>
        <v>34</v>
      </c>
      <c r="B551" t="str">
        <f>RAW_DATA!B551</f>
        <v>No</v>
      </c>
      <c r="C551" t="str">
        <f>RAW_DATA!C551</f>
        <v>Research &amp; Development</v>
      </c>
      <c r="D551">
        <f>RAW_DATA!D551</f>
        <v>8</v>
      </c>
      <c r="E551">
        <f>RAW_DATA!E551</f>
        <v>2</v>
      </c>
      <c r="F551" t="str">
        <f>RAW_DATA!F551</f>
        <v>Medical</v>
      </c>
      <c r="G551">
        <f>RAW_DATA!G551</f>
        <v>2</v>
      </c>
      <c r="H551">
        <f>RAW_DATA!H551</f>
        <v>3</v>
      </c>
      <c r="I551" t="str">
        <f>RAW_DATA!I551</f>
        <v>Single</v>
      </c>
      <c r="J551">
        <f>RAW_DATA!J551</f>
        <v>6142</v>
      </c>
      <c r="K551">
        <f>RAW_DATA!K551</f>
        <v>3</v>
      </c>
      <c r="L551">
        <f>RAW_DATA!L551</f>
        <v>3</v>
      </c>
      <c r="M551">
        <f>RAW_DATA!M551</f>
        <v>5</v>
      </c>
      <c r="N551">
        <f t="shared" si="16"/>
        <v>0</v>
      </c>
      <c r="O551" t="str" cm="1">
        <f t="array" ref="O551" xml:space="preserve"> _xlfn.IFS(A551 &lt;ASSUMPTIONS!$D$2,"25",A551 &lt;= ASSUMPTIONS!$D$3,"25-34",A551 &lt;= ASSUMPTIONS!$D$4, "35-44",A551 &lt;= ASSUMPTIONS!$D$5,"45-54",TRUE,"55+")</f>
        <v>25-34</v>
      </c>
      <c r="P551" t="str" cm="1">
        <f t="array" ref="P551">_xlfn.IFS( J551 &lt;ASSUMPTIONS!$D$7,"LOW",J551 &lt;= ASSUMPTIONS!$D$8,"MEDIUM",TRUE, "HIGH")</f>
        <v>MEDIUM</v>
      </c>
      <c r="Q551" t="str">
        <f>IF(M551&lt;ASSUMPTIONS!$D$10,"New (0-2)",IF(M551&lt;=ASSUMPTIONS!$D$11,"Early (2-5)",IF(M551&lt;=ASSUMPTIONS!$D$12,"Established (5-10)","Veteran (10+)")))</f>
        <v>Early (2-5)</v>
      </c>
      <c r="R551" s="4">
        <f t="shared" si="17"/>
        <v>2.6666666666666665</v>
      </c>
    </row>
    <row r="552" spans="1:18">
      <c r="A552">
        <f>RAW_DATA!A552</f>
        <v>23</v>
      </c>
      <c r="B552" t="str">
        <f>RAW_DATA!B552</f>
        <v>No</v>
      </c>
      <c r="C552" t="str">
        <f>RAW_DATA!C552</f>
        <v>Research &amp; Development</v>
      </c>
      <c r="D552">
        <f>RAW_DATA!D552</f>
        <v>9</v>
      </c>
      <c r="E552">
        <f>RAW_DATA!E552</f>
        <v>1</v>
      </c>
      <c r="F552" t="str">
        <f>RAW_DATA!F552</f>
        <v>Medical</v>
      </c>
      <c r="G552">
        <f>RAW_DATA!G552</f>
        <v>2</v>
      </c>
      <c r="H552">
        <f>RAW_DATA!H552</f>
        <v>1</v>
      </c>
      <c r="I552" t="str">
        <f>RAW_DATA!I552</f>
        <v>Married</v>
      </c>
      <c r="J552">
        <f>RAW_DATA!J552</f>
        <v>2500</v>
      </c>
      <c r="K552">
        <f>RAW_DATA!K552</f>
        <v>1</v>
      </c>
      <c r="L552">
        <f>RAW_DATA!L552</f>
        <v>4</v>
      </c>
      <c r="M552">
        <f>RAW_DATA!M552</f>
        <v>4</v>
      </c>
      <c r="N552">
        <f t="shared" si="16"/>
        <v>0</v>
      </c>
      <c r="O552" t="str" cm="1">
        <f t="array" ref="O552" xml:space="preserve"> _xlfn.IFS(A552 &lt;ASSUMPTIONS!$D$2,"25",A552 &lt;= ASSUMPTIONS!$D$3,"25-34",A552 &lt;= ASSUMPTIONS!$D$4, "35-44",A552 &lt;= ASSUMPTIONS!$D$5,"45-54",TRUE,"55+")</f>
        <v>25</v>
      </c>
      <c r="P552" t="str" cm="1">
        <f t="array" ref="P552">_xlfn.IFS( J552 &lt;ASSUMPTIONS!$D$7,"LOW",J552 &lt;= ASSUMPTIONS!$D$8,"MEDIUM",TRUE, "HIGH")</f>
        <v>LOW</v>
      </c>
      <c r="Q552" t="str">
        <f>IF(M552&lt;ASSUMPTIONS!$D$10,"New (0-2)",IF(M552&lt;=ASSUMPTIONS!$D$11,"Early (2-5)",IF(M552&lt;=ASSUMPTIONS!$D$12,"Established (5-10)","Veteran (10+)")))</f>
        <v>Early (2-5)</v>
      </c>
      <c r="R552" s="4">
        <f t="shared" si="17"/>
        <v>2.3333333333333335</v>
      </c>
    </row>
    <row r="553" spans="1:18">
      <c r="A553">
        <f>RAW_DATA!A553</f>
        <v>39</v>
      </c>
      <c r="B553" t="str">
        <f>RAW_DATA!B553</f>
        <v>No</v>
      </c>
      <c r="C553" t="str">
        <f>RAW_DATA!C553</f>
        <v>Human Resources</v>
      </c>
      <c r="D553">
        <f>RAW_DATA!D553</f>
        <v>3</v>
      </c>
      <c r="E553">
        <f>RAW_DATA!E553</f>
        <v>3</v>
      </c>
      <c r="F553" t="str">
        <f>RAW_DATA!F553</f>
        <v>Human Resources</v>
      </c>
      <c r="G553">
        <f>RAW_DATA!G553</f>
        <v>3</v>
      </c>
      <c r="H553">
        <f>RAW_DATA!H553</f>
        <v>2</v>
      </c>
      <c r="I553" t="str">
        <f>RAW_DATA!I553</f>
        <v>Married</v>
      </c>
      <c r="J553">
        <f>RAW_DATA!J553</f>
        <v>6389</v>
      </c>
      <c r="K553">
        <f>RAW_DATA!K553</f>
        <v>9</v>
      </c>
      <c r="L553">
        <f>RAW_DATA!L553</f>
        <v>1</v>
      </c>
      <c r="M553">
        <f>RAW_DATA!M553</f>
        <v>8</v>
      </c>
      <c r="N553">
        <f t="shared" si="16"/>
        <v>0</v>
      </c>
      <c r="O553" t="str" cm="1">
        <f t="array" ref="O553" xml:space="preserve"> _xlfn.IFS(A553 &lt;ASSUMPTIONS!$D$2,"25",A553 &lt;= ASSUMPTIONS!$D$3,"25-34",A553 &lt;= ASSUMPTIONS!$D$4, "35-44",A553 &lt;= ASSUMPTIONS!$D$5,"45-54",TRUE,"55+")</f>
        <v>35-44</v>
      </c>
      <c r="P553" t="str" cm="1">
        <f t="array" ref="P553">_xlfn.IFS( J553 &lt;ASSUMPTIONS!$D$7,"LOW",J553 &lt;= ASSUMPTIONS!$D$8,"MEDIUM",TRUE, "HIGH")</f>
        <v>MEDIUM</v>
      </c>
      <c r="Q553" t="str">
        <f>IF(M553&lt;ASSUMPTIONS!$D$10,"New (0-2)",IF(M553&lt;=ASSUMPTIONS!$D$11,"Early (2-5)",IF(M553&lt;=ASSUMPTIONS!$D$12,"Established (5-10)","Veteran (10+)")))</f>
        <v>Established (5-10)</v>
      </c>
      <c r="R553" s="4">
        <f t="shared" si="17"/>
        <v>2</v>
      </c>
    </row>
    <row r="554" spans="1:18">
      <c r="A554">
        <f>RAW_DATA!A554</f>
        <v>56</v>
      </c>
      <c r="B554" t="str">
        <f>RAW_DATA!B554</f>
        <v>No</v>
      </c>
      <c r="C554" t="str">
        <f>RAW_DATA!C554</f>
        <v>Research &amp; Development</v>
      </c>
      <c r="D554">
        <f>RAW_DATA!D554</f>
        <v>9</v>
      </c>
      <c r="E554">
        <f>RAW_DATA!E554</f>
        <v>3</v>
      </c>
      <c r="F554" t="str">
        <f>RAW_DATA!F554</f>
        <v>Medical</v>
      </c>
      <c r="G554">
        <f>RAW_DATA!G554</f>
        <v>3</v>
      </c>
      <c r="H554">
        <f>RAW_DATA!H554</f>
        <v>4</v>
      </c>
      <c r="I554" t="str">
        <f>RAW_DATA!I554</f>
        <v>Married</v>
      </c>
      <c r="J554">
        <f>RAW_DATA!J554</f>
        <v>11103</v>
      </c>
      <c r="K554">
        <f>RAW_DATA!K554</f>
        <v>7</v>
      </c>
      <c r="L554">
        <f>RAW_DATA!L554</f>
        <v>2</v>
      </c>
      <c r="M554">
        <f>RAW_DATA!M554</f>
        <v>10</v>
      </c>
      <c r="N554">
        <f t="shared" si="16"/>
        <v>0</v>
      </c>
      <c r="O554" t="str" cm="1">
        <f t="array" ref="O554" xml:space="preserve"> _xlfn.IFS(A554 &lt;ASSUMPTIONS!$D$2,"25",A554 &lt;= ASSUMPTIONS!$D$3,"25-34",A554 &lt;= ASSUMPTIONS!$D$4, "35-44",A554 &lt;= ASSUMPTIONS!$D$5,"45-54",TRUE,"55+")</f>
        <v>55+</v>
      </c>
      <c r="P554" t="str" cm="1">
        <f t="array" ref="P554">_xlfn.IFS( J554 &lt;ASSUMPTIONS!$D$7,"LOW",J554 &lt;= ASSUMPTIONS!$D$8,"MEDIUM",TRUE, "HIGH")</f>
        <v>HIGH</v>
      </c>
      <c r="Q554" t="str">
        <f>IF(M554&lt;ASSUMPTIONS!$D$10,"New (0-2)",IF(M554&lt;=ASSUMPTIONS!$D$11,"Early (2-5)",IF(M554&lt;=ASSUMPTIONS!$D$12,"Established (5-10)","Veteran (10+)")))</f>
        <v>Established (5-10)</v>
      </c>
      <c r="R554" s="4">
        <f t="shared" si="17"/>
        <v>3</v>
      </c>
    </row>
    <row r="555" spans="1:18">
      <c r="A555">
        <f>RAW_DATA!A555</f>
        <v>40</v>
      </c>
      <c r="B555" t="str">
        <f>RAW_DATA!B555</f>
        <v>No</v>
      </c>
      <c r="C555" t="str">
        <f>RAW_DATA!C555</f>
        <v>Research &amp; Development</v>
      </c>
      <c r="D555">
        <f>RAW_DATA!D555</f>
        <v>2</v>
      </c>
      <c r="E555">
        <f>RAW_DATA!E555</f>
        <v>1</v>
      </c>
      <c r="F555" t="str">
        <f>RAW_DATA!F555</f>
        <v>Medical</v>
      </c>
      <c r="G555">
        <f>RAW_DATA!G555</f>
        <v>4</v>
      </c>
      <c r="H555">
        <f>RAW_DATA!H555</f>
        <v>4</v>
      </c>
      <c r="I555" t="str">
        <f>RAW_DATA!I555</f>
        <v>Single</v>
      </c>
      <c r="J555">
        <f>RAW_DATA!J555</f>
        <v>2342</v>
      </c>
      <c r="K555">
        <f>RAW_DATA!K555</f>
        <v>0</v>
      </c>
      <c r="L555">
        <f>RAW_DATA!L555</f>
        <v>2</v>
      </c>
      <c r="M555">
        <f>RAW_DATA!M555</f>
        <v>4</v>
      </c>
      <c r="N555">
        <f t="shared" si="16"/>
        <v>0</v>
      </c>
      <c r="O555" t="str" cm="1">
        <f t="array" ref="O555" xml:space="preserve"> _xlfn.IFS(A555 &lt;ASSUMPTIONS!$D$2,"25",A555 &lt;= ASSUMPTIONS!$D$3,"25-34",A555 &lt;= ASSUMPTIONS!$D$4, "35-44",A555 &lt;= ASSUMPTIONS!$D$5,"45-54",TRUE,"55+")</f>
        <v>35-44</v>
      </c>
      <c r="P555" t="str" cm="1">
        <f t="array" ref="P555">_xlfn.IFS( J555 &lt;ASSUMPTIONS!$D$7,"LOW",J555 &lt;= ASSUMPTIONS!$D$8,"MEDIUM",TRUE, "HIGH")</f>
        <v>LOW</v>
      </c>
      <c r="Q555" t="str">
        <f>IF(M555&lt;ASSUMPTIONS!$D$10,"New (0-2)",IF(M555&lt;=ASSUMPTIONS!$D$11,"Early (2-5)",IF(M555&lt;=ASSUMPTIONS!$D$12,"Established (5-10)","Veteran (10+)")))</f>
        <v>Early (2-5)</v>
      </c>
      <c r="R555" s="4">
        <f t="shared" si="17"/>
        <v>3.3333333333333335</v>
      </c>
    </row>
    <row r="556" spans="1:18">
      <c r="A556">
        <f>RAW_DATA!A556</f>
        <v>27</v>
      </c>
      <c r="B556" t="str">
        <f>RAW_DATA!B556</f>
        <v>No</v>
      </c>
      <c r="C556" t="str">
        <f>RAW_DATA!C556</f>
        <v>Research &amp; Development</v>
      </c>
      <c r="D556">
        <f>RAW_DATA!D556</f>
        <v>7</v>
      </c>
      <c r="E556">
        <f>RAW_DATA!E556</f>
        <v>3</v>
      </c>
      <c r="F556" t="str">
        <f>RAW_DATA!F556</f>
        <v>Medical</v>
      </c>
      <c r="G556">
        <f>RAW_DATA!G556</f>
        <v>4</v>
      </c>
      <c r="H556">
        <f>RAW_DATA!H556</f>
        <v>1</v>
      </c>
      <c r="I556" t="str">
        <f>RAW_DATA!I556</f>
        <v>Single</v>
      </c>
      <c r="J556">
        <f>RAW_DATA!J556</f>
        <v>6811</v>
      </c>
      <c r="K556">
        <f>RAW_DATA!K556</f>
        <v>8</v>
      </c>
      <c r="L556">
        <f>RAW_DATA!L556</f>
        <v>1</v>
      </c>
      <c r="M556">
        <f>RAW_DATA!M556</f>
        <v>7</v>
      </c>
      <c r="N556">
        <f t="shared" si="16"/>
        <v>0</v>
      </c>
      <c r="O556" t="str" cm="1">
        <f t="array" ref="O556" xml:space="preserve"> _xlfn.IFS(A556 &lt;ASSUMPTIONS!$D$2,"25",A556 &lt;= ASSUMPTIONS!$D$3,"25-34",A556 &lt;= ASSUMPTIONS!$D$4, "35-44",A556 &lt;= ASSUMPTIONS!$D$5,"45-54",TRUE,"55+")</f>
        <v>25-34</v>
      </c>
      <c r="P556" t="str" cm="1">
        <f t="array" ref="P556">_xlfn.IFS( J556 &lt;ASSUMPTIONS!$D$7,"LOW",J556 &lt;= ASSUMPTIONS!$D$8,"MEDIUM",TRUE, "HIGH")</f>
        <v>MEDIUM</v>
      </c>
      <c r="Q556" t="str">
        <f>IF(M556&lt;ASSUMPTIONS!$D$10,"New (0-2)",IF(M556&lt;=ASSUMPTIONS!$D$11,"Early (2-5)",IF(M556&lt;=ASSUMPTIONS!$D$12,"Established (5-10)","Veteran (10+)")))</f>
        <v>Established (5-10)</v>
      </c>
      <c r="R556" s="4">
        <f t="shared" si="17"/>
        <v>2</v>
      </c>
    </row>
    <row r="557" spans="1:18">
      <c r="A557">
        <f>RAW_DATA!A557</f>
        <v>29</v>
      </c>
      <c r="B557" t="str">
        <f>RAW_DATA!B557</f>
        <v>No</v>
      </c>
      <c r="C557" t="str">
        <f>RAW_DATA!C557</f>
        <v>Sales</v>
      </c>
      <c r="D557">
        <f>RAW_DATA!D557</f>
        <v>10</v>
      </c>
      <c r="E557">
        <f>RAW_DATA!E557</f>
        <v>3</v>
      </c>
      <c r="F557" t="str">
        <f>RAW_DATA!F557</f>
        <v>Marketing</v>
      </c>
      <c r="G557">
        <f>RAW_DATA!G557</f>
        <v>4</v>
      </c>
      <c r="H557">
        <f>RAW_DATA!H557</f>
        <v>2</v>
      </c>
      <c r="I557" t="str">
        <f>RAW_DATA!I557</f>
        <v>Divorced</v>
      </c>
      <c r="J557">
        <f>RAW_DATA!J557</f>
        <v>2297</v>
      </c>
      <c r="K557">
        <f>RAW_DATA!K557</f>
        <v>1</v>
      </c>
      <c r="L557">
        <f>RAW_DATA!L557</f>
        <v>3</v>
      </c>
      <c r="M557">
        <f>RAW_DATA!M557</f>
        <v>2</v>
      </c>
      <c r="N557">
        <f t="shared" si="16"/>
        <v>0</v>
      </c>
      <c r="O557" t="str" cm="1">
        <f t="array" ref="O557" xml:space="preserve"> _xlfn.IFS(A557 &lt;ASSUMPTIONS!$D$2,"25",A557 &lt;= ASSUMPTIONS!$D$3,"25-34",A557 &lt;= ASSUMPTIONS!$D$4, "35-44",A557 &lt;= ASSUMPTIONS!$D$5,"45-54",TRUE,"55+")</f>
        <v>25-34</v>
      </c>
      <c r="P557" t="str" cm="1">
        <f t="array" ref="P557">_xlfn.IFS( J557 &lt;ASSUMPTIONS!$D$7,"LOW",J557 &lt;= ASSUMPTIONS!$D$8,"MEDIUM",TRUE, "HIGH")</f>
        <v>LOW</v>
      </c>
      <c r="Q557" t="str">
        <f>IF(M557&lt;ASSUMPTIONS!$D$10,"New (0-2)",IF(M557&lt;=ASSUMPTIONS!$D$11,"Early (2-5)",IF(M557&lt;=ASSUMPTIONS!$D$12,"Established (5-10)","Veteran (10+)")))</f>
        <v>Early (2-5)</v>
      </c>
      <c r="R557" s="4">
        <f t="shared" si="17"/>
        <v>3</v>
      </c>
    </row>
    <row r="558" spans="1:18">
      <c r="A558">
        <f>RAW_DATA!A558</f>
        <v>53</v>
      </c>
      <c r="B558" t="str">
        <f>RAW_DATA!B558</f>
        <v>No</v>
      </c>
      <c r="C558" t="str">
        <f>RAW_DATA!C558</f>
        <v>Research &amp; Development</v>
      </c>
      <c r="D558">
        <f>RAW_DATA!D558</f>
        <v>6</v>
      </c>
      <c r="E558">
        <f>RAW_DATA!E558</f>
        <v>3</v>
      </c>
      <c r="F558" t="str">
        <f>RAW_DATA!F558</f>
        <v>Life Sciences</v>
      </c>
      <c r="G558">
        <f>RAW_DATA!G558</f>
        <v>4</v>
      </c>
      <c r="H558">
        <f>RAW_DATA!H558</f>
        <v>4</v>
      </c>
      <c r="I558" t="str">
        <f>RAW_DATA!I558</f>
        <v>Single</v>
      </c>
      <c r="J558">
        <f>RAW_DATA!J558</f>
        <v>2450</v>
      </c>
      <c r="K558">
        <f>RAW_DATA!K558</f>
        <v>2</v>
      </c>
      <c r="L558">
        <f>RAW_DATA!L558</f>
        <v>3</v>
      </c>
      <c r="M558">
        <f>RAW_DATA!M558</f>
        <v>2</v>
      </c>
      <c r="N558">
        <f t="shared" si="16"/>
        <v>0</v>
      </c>
      <c r="O558" t="str" cm="1">
        <f t="array" ref="O558" xml:space="preserve"> _xlfn.IFS(A558 &lt;ASSUMPTIONS!$D$2,"25",A558 &lt;= ASSUMPTIONS!$D$3,"25-34",A558 &lt;= ASSUMPTIONS!$D$4, "35-44",A558 &lt;= ASSUMPTIONS!$D$5,"45-54",TRUE,"55+")</f>
        <v>45-54</v>
      </c>
      <c r="P558" t="str" cm="1">
        <f t="array" ref="P558">_xlfn.IFS( J558 &lt;ASSUMPTIONS!$D$7,"LOW",J558 &lt;= ASSUMPTIONS!$D$8,"MEDIUM",TRUE, "HIGH")</f>
        <v>LOW</v>
      </c>
      <c r="Q558" t="str">
        <f>IF(M558&lt;ASSUMPTIONS!$D$10,"New (0-2)",IF(M558&lt;=ASSUMPTIONS!$D$11,"Early (2-5)",IF(M558&lt;=ASSUMPTIONS!$D$12,"Established (5-10)","Veteran (10+)")))</f>
        <v>Early (2-5)</v>
      </c>
      <c r="R558" s="4">
        <f t="shared" si="17"/>
        <v>3.6666666666666665</v>
      </c>
    </row>
    <row r="559" spans="1:18">
      <c r="A559">
        <f>RAW_DATA!A559</f>
        <v>35</v>
      </c>
      <c r="B559" t="str">
        <f>RAW_DATA!B559</f>
        <v>No</v>
      </c>
      <c r="C559" t="str">
        <f>RAW_DATA!C559</f>
        <v>Research &amp; Development</v>
      </c>
      <c r="D559">
        <f>RAW_DATA!D559</f>
        <v>2</v>
      </c>
      <c r="E559">
        <f>RAW_DATA!E559</f>
        <v>4</v>
      </c>
      <c r="F559" t="str">
        <f>RAW_DATA!F559</f>
        <v>Life Sciences</v>
      </c>
      <c r="G559">
        <f>RAW_DATA!G559</f>
        <v>4</v>
      </c>
      <c r="H559">
        <f>RAW_DATA!H559</f>
        <v>1</v>
      </c>
      <c r="I559" t="str">
        <f>RAW_DATA!I559</f>
        <v>Divorced</v>
      </c>
      <c r="J559">
        <f>RAW_DATA!J559</f>
        <v>5093</v>
      </c>
      <c r="K559">
        <f>RAW_DATA!K559</f>
        <v>2</v>
      </c>
      <c r="L559">
        <f>RAW_DATA!L559</f>
        <v>4</v>
      </c>
      <c r="M559">
        <f>RAW_DATA!M559</f>
        <v>1</v>
      </c>
      <c r="N559">
        <f t="shared" si="16"/>
        <v>0</v>
      </c>
      <c r="O559" t="str" cm="1">
        <f t="array" ref="O559" xml:space="preserve"> _xlfn.IFS(A559 &lt;ASSUMPTIONS!$D$2,"25",A559 &lt;= ASSUMPTIONS!$D$3,"25-34",A559 &lt;= ASSUMPTIONS!$D$4, "35-44",A559 &lt;= ASSUMPTIONS!$D$5,"45-54",TRUE,"55+")</f>
        <v>35-44</v>
      </c>
      <c r="P559" t="str" cm="1">
        <f t="array" ref="P559">_xlfn.IFS( J559 &lt;ASSUMPTIONS!$D$7,"LOW",J559 &lt;= ASSUMPTIONS!$D$8,"MEDIUM",TRUE, "HIGH")</f>
        <v>MEDIUM</v>
      </c>
      <c r="Q559" t="str">
        <f>IF(M559&lt;ASSUMPTIONS!$D$10,"New (0-2)",IF(M559&lt;=ASSUMPTIONS!$D$11,"Early (2-5)",IF(M559&lt;=ASSUMPTIONS!$D$12,"Established (5-10)","Veteran (10+)")))</f>
        <v>New (0-2)</v>
      </c>
      <c r="R559" s="4">
        <f t="shared" si="17"/>
        <v>3</v>
      </c>
    </row>
    <row r="560" spans="1:18">
      <c r="A560">
        <f>RAW_DATA!A560</f>
        <v>32</v>
      </c>
      <c r="B560" t="str">
        <f>RAW_DATA!B560</f>
        <v>No</v>
      </c>
      <c r="C560" t="str">
        <f>RAW_DATA!C560</f>
        <v>Research &amp; Development</v>
      </c>
      <c r="D560">
        <f>RAW_DATA!D560</f>
        <v>24</v>
      </c>
      <c r="E560">
        <f>RAW_DATA!E560</f>
        <v>4</v>
      </c>
      <c r="F560" t="str">
        <f>RAW_DATA!F560</f>
        <v>Life Sciences</v>
      </c>
      <c r="G560">
        <f>RAW_DATA!G560</f>
        <v>1</v>
      </c>
      <c r="H560">
        <f>RAW_DATA!H560</f>
        <v>4</v>
      </c>
      <c r="I560" t="str">
        <f>RAW_DATA!I560</f>
        <v>Married</v>
      </c>
      <c r="J560">
        <f>RAW_DATA!J560</f>
        <v>5309</v>
      </c>
      <c r="K560">
        <f>RAW_DATA!K560</f>
        <v>1</v>
      </c>
      <c r="L560">
        <f>RAW_DATA!L560</f>
        <v>3</v>
      </c>
      <c r="M560">
        <f>RAW_DATA!M560</f>
        <v>10</v>
      </c>
      <c r="N560">
        <f t="shared" si="16"/>
        <v>0</v>
      </c>
      <c r="O560" t="str" cm="1">
        <f t="array" ref="O560" xml:space="preserve"> _xlfn.IFS(A560 &lt;ASSUMPTIONS!$D$2,"25",A560 &lt;= ASSUMPTIONS!$D$3,"25-34",A560 &lt;= ASSUMPTIONS!$D$4, "35-44",A560 &lt;= ASSUMPTIONS!$D$5,"45-54",TRUE,"55+")</f>
        <v>25-34</v>
      </c>
      <c r="P560" t="str" cm="1">
        <f t="array" ref="P560">_xlfn.IFS( J560 &lt;ASSUMPTIONS!$D$7,"LOW",J560 &lt;= ASSUMPTIONS!$D$8,"MEDIUM",TRUE, "HIGH")</f>
        <v>MEDIUM</v>
      </c>
      <c r="Q560" t="str">
        <f>IF(M560&lt;ASSUMPTIONS!$D$10,"New (0-2)",IF(M560&lt;=ASSUMPTIONS!$D$11,"Early (2-5)",IF(M560&lt;=ASSUMPTIONS!$D$12,"Established (5-10)","Veteran (10+)")))</f>
        <v>Established (5-10)</v>
      </c>
      <c r="R560" s="4">
        <f t="shared" si="17"/>
        <v>2.6666666666666665</v>
      </c>
    </row>
    <row r="561" spans="1:18">
      <c r="A561">
        <f>RAW_DATA!A561</f>
        <v>38</v>
      </c>
      <c r="B561" t="str">
        <f>RAW_DATA!B561</f>
        <v>No</v>
      </c>
      <c r="C561" t="str">
        <f>RAW_DATA!C561</f>
        <v>Research &amp; Development</v>
      </c>
      <c r="D561">
        <f>RAW_DATA!D561</f>
        <v>2</v>
      </c>
      <c r="E561">
        <f>RAW_DATA!E561</f>
        <v>5</v>
      </c>
      <c r="F561" t="str">
        <f>RAW_DATA!F561</f>
        <v>Medical</v>
      </c>
      <c r="G561">
        <f>RAW_DATA!G561</f>
        <v>4</v>
      </c>
      <c r="H561">
        <f>RAW_DATA!H561</f>
        <v>3</v>
      </c>
      <c r="I561" t="str">
        <f>RAW_DATA!I561</f>
        <v>Married</v>
      </c>
      <c r="J561">
        <f>RAW_DATA!J561</f>
        <v>3057</v>
      </c>
      <c r="K561">
        <f>RAW_DATA!K561</f>
        <v>6</v>
      </c>
      <c r="L561">
        <f>RAW_DATA!L561</f>
        <v>1</v>
      </c>
      <c r="M561">
        <f>RAW_DATA!M561</f>
        <v>1</v>
      </c>
      <c r="N561">
        <f t="shared" si="16"/>
        <v>0</v>
      </c>
      <c r="O561" t="str" cm="1">
        <f t="array" ref="O561" xml:space="preserve"> _xlfn.IFS(A561 &lt;ASSUMPTIONS!$D$2,"25",A561 &lt;= ASSUMPTIONS!$D$3,"25-34",A561 &lt;= ASSUMPTIONS!$D$4, "35-44",A561 &lt;= ASSUMPTIONS!$D$5,"45-54",TRUE,"55+")</f>
        <v>35-44</v>
      </c>
      <c r="P561" t="str" cm="1">
        <f t="array" ref="P561">_xlfn.IFS( J561 &lt;ASSUMPTIONS!$D$7,"LOW",J561 &lt;= ASSUMPTIONS!$D$8,"MEDIUM",TRUE, "HIGH")</f>
        <v>MEDIUM</v>
      </c>
      <c r="Q561" t="str">
        <f>IF(M561&lt;ASSUMPTIONS!$D$10,"New (0-2)",IF(M561&lt;=ASSUMPTIONS!$D$11,"Early (2-5)",IF(M561&lt;=ASSUMPTIONS!$D$12,"Established (5-10)","Veteran (10+)")))</f>
        <v>New (0-2)</v>
      </c>
      <c r="R561" s="4">
        <f t="shared" si="17"/>
        <v>2.6666666666666665</v>
      </c>
    </row>
    <row r="562" spans="1:18">
      <c r="A562">
        <f>RAW_DATA!A562</f>
        <v>34</v>
      </c>
      <c r="B562" t="str">
        <f>RAW_DATA!B562</f>
        <v>No</v>
      </c>
      <c r="C562" t="str">
        <f>RAW_DATA!C562</f>
        <v>Research &amp; Development</v>
      </c>
      <c r="D562">
        <f>RAW_DATA!D562</f>
        <v>8</v>
      </c>
      <c r="E562">
        <f>RAW_DATA!E562</f>
        <v>5</v>
      </c>
      <c r="F562" t="str">
        <f>RAW_DATA!F562</f>
        <v>Life Sciences</v>
      </c>
      <c r="G562">
        <f>RAW_DATA!G562</f>
        <v>2</v>
      </c>
      <c r="H562">
        <f>RAW_DATA!H562</f>
        <v>1</v>
      </c>
      <c r="I562" t="str">
        <f>RAW_DATA!I562</f>
        <v>Divorced</v>
      </c>
      <c r="J562">
        <f>RAW_DATA!J562</f>
        <v>5121</v>
      </c>
      <c r="K562">
        <f>RAW_DATA!K562</f>
        <v>3</v>
      </c>
      <c r="L562">
        <f>RAW_DATA!L562</f>
        <v>3</v>
      </c>
      <c r="M562">
        <f>RAW_DATA!M562</f>
        <v>0</v>
      </c>
      <c r="N562">
        <f t="shared" si="16"/>
        <v>0</v>
      </c>
      <c r="O562" t="str" cm="1">
        <f t="array" ref="O562" xml:space="preserve"> _xlfn.IFS(A562 &lt;ASSUMPTIONS!$D$2,"25",A562 &lt;= ASSUMPTIONS!$D$3,"25-34",A562 &lt;= ASSUMPTIONS!$D$4, "35-44",A562 &lt;= ASSUMPTIONS!$D$5,"45-54",TRUE,"55+")</f>
        <v>25-34</v>
      </c>
      <c r="P562" t="str" cm="1">
        <f t="array" ref="P562">_xlfn.IFS( J562 &lt;ASSUMPTIONS!$D$7,"LOW",J562 &lt;= ASSUMPTIONS!$D$8,"MEDIUM",TRUE, "HIGH")</f>
        <v>MEDIUM</v>
      </c>
      <c r="Q562" t="str">
        <f>IF(M562&lt;ASSUMPTIONS!$D$10,"New (0-2)",IF(M562&lt;=ASSUMPTIONS!$D$11,"Early (2-5)",IF(M562&lt;=ASSUMPTIONS!$D$12,"Established (5-10)","Veteran (10+)")))</f>
        <v>New (0-2)</v>
      </c>
      <c r="R562" s="4">
        <f t="shared" si="17"/>
        <v>2</v>
      </c>
    </row>
    <row r="563" spans="1:18">
      <c r="A563">
        <f>RAW_DATA!A563</f>
        <v>52</v>
      </c>
      <c r="B563" t="str">
        <f>RAW_DATA!B563</f>
        <v>No</v>
      </c>
      <c r="C563" t="str">
        <f>RAW_DATA!C563</f>
        <v>Sales</v>
      </c>
      <c r="D563">
        <f>RAW_DATA!D563</f>
        <v>3</v>
      </c>
      <c r="E563">
        <f>RAW_DATA!E563</f>
        <v>4</v>
      </c>
      <c r="F563" t="str">
        <f>RAW_DATA!F563</f>
        <v>Marketing</v>
      </c>
      <c r="G563">
        <f>RAW_DATA!G563</f>
        <v>3</v>
      </c>
      <c r="H563">
        <f>RAW_DATA!H563</f>
        <v>1</v>
      </c>
      <c r="I563" t="str">
        <f>RAW_DATA!I563</f>
        <v>Married</v>
      </c>
      <c r="J563">
        <f>RAW_DATA!J563</f>
        <v>16856</v>
      </c>
      <c r="K563">
        <f>RAW_DATA!K563</f>
        <v>1</v>
      </c>
      <c r="L563">
        <f>RAW_DATA!L563</f>
        <v>4</v>
      </c>
      <c r="M563">
        <f>RAW_DATA!M563</f>
        <v>34</v>
      </c>
      <c r="N563">
        <f t="shared" si="16"/>
        <v>0</v>
      </c>
      <c r="O563" t="str" cm="1">
        <f t="array" ref="O563" xml:space="preserve"> _xlfn.IFS(A563 &lt;ASSUMPTIONS!$D$2,"25",A563 &lt;= ASSUMPTIONS!$D$3,"25-34",A563 &lt;= ASSUMPTIONS!$D$4, "35-44",A563 &lt;= ASSUMPTIONS!$D$5,"45-54",TRUE,"55+")</f>
        <v>45-54</v>
      </c>
      <c r="P563" t="str" cm="1">
        <f t="array" ref="P563">_xlfn.IFS( J563 &lt;ASSUMPTIONS!$D$7,"LOW",J563 &lt;= ASSUMPTIONS!$D$8,"MEDIUM",TRUE, "HIGH")</f>
        <v>HIGH</v>
      </c>
      <c r="Q563" t="str">
        <f>IF(M563&lt;ASSUMPTIONS!$D$10,"New (0-2)",IF(M563&lt;=ASSUMPTIONS!$D$11,"Early (2-5)",IF(M563&lt;=ASSUMPTIONS!$D$12,"Established (5-10)","Veteran (10+)")))</f>
        <v>Veteran (10+)</v>
      </c>
      <c r="R563" s="4">
        <f t="shared" si="17"/>
        <v>2.6666666666666665</v>
      </c>
    </row>
    <row r="564" spans="1:18">
      <c r="A564">
        <f>RAW_DATA!A564</f>
        <v>33</v>
      </c>
      <c r="B564" t="str">
        <f>RAW_DATA!B564</f>
        <v>Yes</v>
      </c>
      <c r="C564" t="str">
        <f>RAW_DATA!C564</f>
        <v>Research &amp; Development</v>
      </c>
      <c r="D564">
        <f>RAW_DATA!D564</f>
        <v>1</v>
      </c>
      <c r="E564">
        <f>RAW_DATA!E564</f>
        <v>4</v>
      </c>
      <c r="F564" t="str">
        <f>RAW_DATA!F564</f>
        <v>Other</v>
      </c>
      <c r="G564">
        <f>RAW_DATA!G564</f>
        <v>4</v>
      </c>
      <c r="H564">
        <f>RAW_DATA!H564</f>
        <v>4</v>
      </c>
      <c r="I564" t="str">
        <f>RAW_DATA!I564</f>
        <v>Single</v>
      </c>
      <c r="J564">
        <f>RAW_DATA!J564</f>
        <v>2686</v>
      </c>
      <c r="K564">
        <f>RAW_DATA!K564</f>
        <v>1</v>
      </c>
      <c r="L564">
        <f>RAW_DATA!L564</f>
        <v>2</v>
      </c>
      <c r="M564">
        <f>RAW_DATA!M564</f>
        <v>10</v>
      </c>
      <c r="N564">
        <f t="shared" si="16"/>
        <v>1</v>
      </c>
      <c r="O564" t="str" cm="1">
        <f t="array" ref="O564" xml:space="preserve"> _xlfn.IFS(A564 &lt;ASSUMPTIONS!$D$2,"25",A564 &lt;= ASSUMPTIONS!$D$3,"25-34",A564 &lt;= ASSUMPTIONS!$D$4, "35-44",A564 &lt;= ASSUMPTIONS!$D$5,"45-54",TRUE,"55+")</f>
        <v>25-34</v>
      </c>
      <c r="P564" t="str" cm="1">
        <f t="array" ref="P564">_xlfn.IFS( J564 &lt;ASSUMPTIONS!$D$7,"LOW",J564 &lt;= ASSUMPTIONS!$D$8,"MEDIUM",TRUE, "HIGH")</f>
        <v>LOW</v>
      </c>
      <c r="Q564" t="str">
        <f>IF(M564&lt;ASSUMPTIONS!$D$10,"New (0-2)",IF(M564&lt;=ASSUMPTIONS!$D$11,"Early (2-5)",IF(M564&lt;=ASSUMPTIONS!$D$12,"Established (5-10)","Veteran (10+)")))</f>
        <v>Established (5-10)</v>
      </c>
      <c r="R564" s="4">
        <f t="shared" si="17"/>
        <v>3.3333333333333335</v>
      </c>
    </row>
    <row r="565" spans="1:18">
      <c r="A565">
        <f>RAW_DATA!A565</f>
        <v>25</v>
      </c>
      <c r="B565" t="str">
        <f>RAW_DATA!B565</f>
        <v>No</v>
      </c>
      <c r="C565" t="str">
        <f>RAW_DATA!C565</f>
        <v>Sales</v>
      </c>
      <c r="D565">
        <f>RAW_DATA!D565</f>
        <v>26</v>
      </c>
      <c r="E565">
        <f>RAW_DATA!E565</f>
        <v>1</v>
      </c>
      <c r="F565" t="str">
        <f>RAW_DATA!F565</f>
        <v>Medical</v>
      </c>
      <c r="G565">
        <f>RAW_DATA!G565</f>
        <v>3</v>
      </c>
      <c r="H565">
        <f>RAW_DATA!H565</f>
        <v>4</v>
      </c>
      <c r="I565" t="str">
        <f>RAW_DATA!I565</f>
        <v>Single</v>
      </c>
      <c r="J565">
        <f>RAW_DATA!J565</f>
        <v>6180</v>
      </c>
      <c r="K565">
        <f>RAW_DATA!K565</f>
        <v>1</v>
      </c>
      <c r="L565">
        <f>RAW_DATA!L565</f>
        <v>2</v>
      </c>
      <c r="M565">
        <f>RAW_DATA!M565</f>
        <v>6</v>
      </c>
      <c r="N565">
        <f t="shared" si="16"/>
        <v>0</v>
      </c>
      <c r="O565" t="str" cm="1">
        <f t="array" ref="O565" xml:space="preserve"> _xlfn.IFS(A565 &lt;ASSUMPTIONS!$D$2,"25",A565 &lt;= ASSUMPTIONS!$D$3,"25-34",A565 &lt;= ASSUMPTIONS!$D$4, "35-44",A565 &lt;= ASSUMPTIONS!$D$5,"45-54",TRUE,"55+")</f>
        <v>25-34</v>
      </c>
      <c r="P565" t="str" cm="1">
        <f t="array" ref="P565">_xlfn.IFS( J565 &lt;ASSUMPTIONS!$D$7,"LOW",J565 &lt;= ASSUMPTIONS!$D$8,"MEDIUM",TRUE, "HIGH")</f>
        <v>MEDIUM</v>
      </c>
      <c r="Q565" t="str">
        <f>IF(M565&lt;ASSUMPTIONS!$D$10,"New (0-2)",IF(M565&lt;=ASSUMPTIONS!$D$11,"Early (2-5)",IF(M565&lt;=ASSUMPTIONS!$D$12,"Established (5-10)","Veteran (10+)")))</f>
        <v>Established (5-10)</v>
      </c>
      <c r="R565" s="4">
        <f t="shared" si="17"/>
        <v>3</v>
      </c>
    </row>
    <row r="566" spans="1:18">
      <c r="A566">
        <f>RAW_DATA!A566</f>
        <v>45</v>
      </c>
      <c r="B566" t="str">
        <f>RAW_DATA!B566</f>
        <v>No</v>
      </c>
      <c r="C566" t="str">
        <f>RAW_DATA!C566</f>
        <v>Sales</v>
      </c>
      <c r="D566">
        <f>RAW_DATA!D566</f>
        <v>2</v>
      </c>
      <c r="E566">
        <f>RAW_DATA!E566</f>
        <v>2</v>
      </c>
      <c r="F566" t="str">
        <f>RAW_DATA!F566</f>
        <v>Technical Degree</v>
      </c>
      <c r="G566">
        <f>RAW_DATA!G566</f>
        <v>2</v>
      </c>
      <c r="H566">
        <f>RAW_DATA!H566</f>
        <v>3</v>
      </c>
      <c r="I566" t="str">
        <f>RAW_DATA!I566</f>
        <v>Single</v>
      </c>
      <c r="J566">
        <f>RAW_DATA!J566</f>
        <v>6632</v>
      </c>
      <c r="K566">
        <f>RAW_DATA!K566</f>
        <v>0</v>
      </c>
      <c r="L566">
        <f>RAW_DATA!L566</f>
        <v>3</v>
      </c>
      <c r="M566">
        <f>RAW_DATA!M566</f>
        <v>8</v>
      </c>
      <c r="N566">
        <f t="shared" si="16"/>
        <v>0</v>
      </c>
      <c r="O566" t="str" cm="1">
        <f t="array" ref="O566" xml:space="preserve"> _xlfn.IFS(A566 &lt;ASSUMPTIONS!$D$2,"25",A566 &lt;= ASSUMPTIONS!$D$3,"25-34",A566 &lt;= ASSUMPTIONS!$D$4, "35-44",A566 &lt;= ASSUMPTIONS!$D$5,"45-54",TRUE,"55+")</f>
        <v>45-54</v>
      </c>
      <c r="P566" t="str" cm="1">
        <f t="array" ref="P566">_xlfn.IFS( J566 &lt;ASSUMPTIONS!$D$7,"LOW",J566 &lt;= ASSUMPTIONS!$D$8,"MEDIUM",TRUE, "HIGH")</f>
        <v>MEDIUM</v>
      </c>
      <c r="Q566" t="str">
        <f>IF(M566&lt;ASSUMPTIONS!$D$10,"New (0-2)",IF(M566&lt;=ASSUMPTIONS!$D$11,"Early (2-5)",IF(M566&lt;=ASSUMPTIONS!$D$12,"Established (5-10)","Veteran (10+)")))</f>
        <v>Established (5-10)</v>
      </c>
      <c r="R566" s="4">
        <f t="shared" si="17"/>
        <v>2.6666666666666665</v>
      </c>
    </row>
    <row r="567" spans="1:18">
      <c r="A567">
        <f>RAW_DATA!A567</f>
        <v>23</v>
      </c>
      <c r="B567" t="str">
        <f>RAW_DATA!B567</f>
        <v>No</v>
      </c>
      <c r="C567" t="str">
        <f>RAW_DATA!C567</f>
        <v>Research &amp; Development</v>
      </c>
      <c r="D567">
        <f>RAW_DATA!D567</f>
        <v>10</v>
      </c>
      <c r="E567">
        <f>RAW_DATA!E567</f>
        <v>1</v>
      </c>
      <c r="F567" t="str">
        <f>RAW_DATA!F567</f>
        <v>Medical</v>
      </c>
      <c r="G567">
        <f>RAW_DATA!G567</f>
        <v>1</v>
      </c>
      <c r="H567">
        <f>RAW_DATA!H567</f>
        <v>3</v>
      </c>
      <c r="I567" t="str">
        <f>RAW_DATA!I567</f>
        <v>Single</v>
      </c>
      <c r="J567">
        <f>RAW_DATA!J567</f>
        <v>3505</v>
      </c>
      <c r="K567">
        <f>RAW_DATA!K567</f>
        <v>1</v>
      </c>
      <c r="L567">
        <f>RAW_DATA!L567</f>
        <v>3</v>
      </c>
      <c r="M567">
        <f>RAW_DATA!M567</f>
        <v>2</v>
      </c>
      <c r="N567">
        <f t="shared" si="16"/>
        <v>0</v>
      </c>
      <c r="O567" t="str" cm="1">
        <f t="array" ref="O567" xml:space="preserve"> _xlfn.IFS(A567 &lt;ASSUMPTIONS!$D$2,"25",A567 &lt;= ASSUMPTIONS!$D$3,"25-34",A567 &lt;= ASSUMPTIONS!$D$4, "35-44",A567 &lt;= ASSUMPTIONS!$D$5,"45-54",TRUE,"55+")</f>
        <v>25</v>
      </c>
      <c r="P567" t="str" cm="1">
        <f t="array" ref="P567">_xlfn.IFS( J567 &lt;ASSUMPTIONS!$D$7,"LOW",J567 &lt;= ASSUMPTIONS!$D$8,"MEDIUM",TRUE, "HIGH")</f>
        <v>MEDIUM</v>
      </c>
      <c r="Q567" t="str">
        <f>IF(M567&lt;ASSUMPTIONS!$D$10,"New (0-2)",IF(M567&lt;=ASSUMPTIONS!$D$11,"Early (2-5)",IF(M567&lt;=ASSUMPTIONS!$D$12,"Established (5-10)","Veteran (10+)")))</f>
        <v>Early (2-5)</v>
      </c>
      <c r="R567" s="4">
        <f t="shared" si="17"/>
        <v>2.3333333333333335</v>
      </c>
    </row>
    <row r="568" spans="1:18">
      <c r="A568">
        <f>RAW_DATA!A568</f>
        <v>47</v>
      </c>
      <c r="B568" t="str">
        <f>RAW_DATA!B568</f>
        <v>Yes</v>
      </c>
      <c r="C568" t="str">
        <f>RAW_DATA!C568</f>
        <v>Sales</v>
      </c>
      <c r="D568">
        <f>RAW_DATA!D568</f>
        <v>27</v>
      </c>
      <c r="E568">
        <f>RAW_DATA!E568</f>
        <v>2</v>
      </c>
      <c r="F568" t="str">
        <f>RAW_DATA!F568</f>
        <v>Life Sciences</v>
      </c>
      <c r="G568">
        <f>RAW_DATA!G568</f>
        <v>2</v>
      </c>
      <c r="H568">
        <f>RAW_DATA!H568</f>
        <v>3</v>
      </c>
      <c r="I568" t="str">
        <f>RAW_DATA!I568</f>
        <v>Single</v>
      </c>
      <c r="J568">
        <f>RAW_DATA!J568</f>
        <v>6397</v>
      </c>
      <c r="K568">
        <f>RAW_DATA!K568</f>
        <v>4</v>
      </c>
      <c r="L568">
        <f>RAW_DATA!L568</f>
        <v>3</v>
      </c>
      <c r="M568">
        <f>RAW_DATA!M568</f>
        <v>5</v>
      </c>
      <c r="N568">
        <f t="shared" si="16"/>
        <v>1</v>
      </c>
      <c r="O568" t="str" cm="1">
        <f t="array" ref="O568" xml:space="preserve"> _xlfn.IFS(A568 &lt;ASSUMPTIONS!$D$2,"25",A568 &lt;= ASSUMPTIONS!$D$3,"25-34",A568 &lt;= ASSUMPTIONS!$D$4, "35-44",A568 &lt;= ASSUMPTIONS!$D$5,"45-54",TRUE,"55+")</f>
        <v>45-54</v>
      </c>
      <c r="P568" t="str" cm="1">
        <f t="array" ref="P568">_xlfn.IFS( J568 &lt;ASSUMPTIONS!$D$7,"LOW",J568 &lt;= ASSUMPTIONS!$D$8,"MEDIUM",TRUE, "HIGH")</f>
        <v>MEDIUM</v>
      </c>
      <c r="Q568" t="str">
        <f>IF(M568&lt;ASSUMPTIONS!$D$10,"New (0-2)",IF(M568&lt;=ASSUMPTIONS!$D$11,"Early (2-5)",IF(M568&lt;=ASSUMPTIONS!$D$12,"Established (5-10)","Veteran (10+)")))</f>
        <v>Early (2-5)</v>
      </c>
      <c r="R568" s="4">
        <f t="shared" si="17"/>
        <v>2.6666666666666665</v>
      </c>
    </row>
    <row r="569" spans="1:18">
      <c r="A569">
        <f>RAW_DATA!A569</f>
        <v>34</v>
      </c>
      <c r="B569" t="str">
        <f>RAW_DATA!B569</f>
        <v>No</v>
      </c>
      <c r="C569" t="str">
        <f>RAW_DATA!C569</f>
        <v>Sales</v>
      </c>
      <c r="D569">
        <f>RAW_DATA!D569</f>
        <v>2</v>
      </c>
      <c r="E569">
        <f>RAW_DATA!E569</f>
        <v>3</v>
      </c>
      <c r="F569" t="str">
        <f>RAW_DATA!F569</f>
        <v>Other</v>
      </c>
      <c r="G569">
        <f>RAW_DATA!G569</f>
        <v>4</v>
      </c>
      <c r="H569">
        <f>RAW_DATA!H569</f>
        <v>4</v>
      </c>
      <c r="I569" t="str">
        <f>RAW_DATA!I569</f>
        <v>Single</v>
      </c>
      <c r="J569">
        <f>RAW_DATA!J569</f>
        <v>6274</v>
      </c>
      <c r="K569">
        <f>RAW_DATA!K569</f>
        <v>1</v>
      </c>
      <c r="L569">
        <f>RAW_DATA!L569</f>
        <v>3</v>
      </c>
      <c r="M569">
        <f>RAW_DATA!M569</f>
        <v>6</v>
      </c>
      <c r="N569">
        <f t="shared" si="16"/>
        <v>0</v>
      </c>
      <c r="O569" t="str" cm="1">
        <f t="array" ref="O569" xml:space="preserve"> _xlfn.IFS(A569 &lt;ASSUMPTIONS!$D$2,"25",A569 &lt;= ASSUMPTIONS!$D$3,"25-34",A569 &lt;= ASSUMPTIONS!$D$4, "35-44",A569 &lt;= ASSUMPTIONS!$D$5,"45-54",TRUE,"55+")</f>
        <v>25-34</v>
      </c>
      <c r="P569" t="str" cm="1">
        <f t="array" ref="P569">_xlfn.IFS( J569 &lt;ASSUMPTIONS!$D$7,"LOW",J569 &lt;= ASSUMPTIONS!$D$8,"MEDIUM",TRUE, "HIGH")</f>
        <v>MEDIUM</v>
      </c>
      <c r="Q569" t="str">
        <f>IF(M569&lt;ASSUMPTIONS!$D$10,"New (0-2)",IF(M569&lt;=ASSUMPTIONS!$D$11,"Early (2-5)",IF(M569&lt;=ASSUMPTIONS!$D$12,"Established (5-10)","Veteran (10+)")))</f>
        <v>Established (5-10)</v>
      </c>
      <c r="R569" s="4">
        <f t="shared" si="17"/>
        <v>3.6666666666666665</v>
      </c>
    </row>
    <row r="570" spans="1:18">
      <c r="A570">
        <f>RAW_DATA!A570</f>
        <v>55</v>
      </c>
      <c r="B570" t="str">
        <f>RAW_DATA!B570</f>
        <v>Yes</v>
      </c>
      <c r="C570" t="str">
        <f>RAW_DATA!C570</f>
        <v>Research &amp; Development</v>
      </c>
      <c r="D570">
        <f>RAW_DATA!D570</f>
        <v>2</v>
      </c>
      <c r="E570">
        <f>RAW_DATA!E570</f>
        <v>3</v>
      </c>
      <c r="F570" t="str">
        <f>RAW_DATA!F570</f>
        <v>Medical</v>
      </c>
      <c r="G570">
        <f>RAW_DATA!G570</f>
        <v>4</v>
      </c>
      <c r="H570">
        <f>RAW_DATA!H570</f>
        <v>1</v>
      </c>
      <c r="I570" t="str">
        <f>RAW_DATA!I570</f>
        <v>Married</v>
      </c>
      <c r="J570">
        <f>RAW_DATA!J570</f>
        <v>19859</v>
      </c>
      <c r="K570">
        <f>RAW_DATA!K570</f>
        <v>5</v>
      </c>
      <c r="L570">
        <f>RAW_DATA!L570</f>
        <v>3</v>
      </c>
      <c r="M570">
        <f>RAW_DATA!M570</f>
        <v>5</v>
      </c>
      <c r="N570">
        <f t="shared" si="16"/>
        <v>1</v>
      </c>
      <c r="O570" t="str" cm="1">
        <f t="array" ref="O570" xml:space="preserve"> _xlfn.IFS(A570 &lt;ASSUMPTIONS!$D$2,"25",A570 &lt;= ASSUMPTIONS!$D$3,"25-34",A570 &lt;= ASSUMPTIONS!$D$4, "35-44",A570 &lt;= ASSUMPTIONS!$D$5,"45-54",TRUE,"55+")</f>
        <v>55+</v>
      </c>
      <c r="P570" t="str" cm="1">
        <f t="array" ref="P570">_xlfn.IFS( J570 &lt;ASSUMPTIONS!$D$7,"LOW",J570 &lt;= ASSUMPTIONS!$D$8,"MEDIUM",TRUE, "HIGH")</f>
        <v>HIGH</v>
      </c>
      <c r="Q570" t="str">
        <f>IF(M570&lt;ASSUMPTIONS!$D$10,"New (0-2)",IF(M570&lt;=ASSUMPTIONS!$D$11,"Early (2-5)",IF(M570&lt;=ASSUMPTIONS!$D$12,"Established (5-10)","Veteran (10+)")))</f>
        <v>Early (2-5)</v>
      </c>
      <c r="R570" s="4">
        <f t="shared" si="17"/>
        <v>2.6666666666666665</v>
      </c>
    </row>
    <row r="571" spans="1:18">
      <c r="A571">
        <f>RAW_DATA!A571</f>
        <v>36</v>
      </c>
      <c r="B571" t="str">
        <f>RAW_DATA!B571</f>
        <v>No</v>
      </c>
      <c r="C571" t="str">
        <f>RAW_DATA!C571</f>
        <v>Sales</v>
      </c>
      <c r="D571">
        <f>RAW_DATA!D571</f>
        <v>8</v>
      </c>
      <c r="E571">
        <f>RAW_DATA!E571</f>
        <v>4</v>
      </c>
      <c r="F571" t="str">
        <f>RAW_DATA!F571</f>
        <v>Life Sciences</v>
      </c>
      <c r="G571">
        <f>RAW_DATA!G571</f>
        <v>1</v>
      </c>
      <c r="H571">
        <f>RAW_DATA!H571</f>
        <v>1</v>
      </c>
      <c r="I571" t="str">
        <f>RAW_DATA!I571</f>
        <v>Single</v>
      </c>
      <c r="J571">
        <f>RAW_DATA!J571</f>
        <v>7587</v>
      </c>
      <c r="K571">
        <f>RAW_DATA!K571</f>
        <v>1</v>
      </c>
      <c r="L571">
        <f>RAW_DATA!L571</f>
        <v>3</v>
      </c>
      <c r="M571">
        <f>RAW_DATA!M571</f>
        <v>10</v>
      </c>
      <c r="N571">
        <f t="shared" si="16"/>
        <v>0</v>
      </c>
      <c r="O571" t="str" cm="1">
        <f t="array" ref="O571" xml:space="preserve"> _xlfn.IFS(A571 &lt;ASSUMPTIONS!$D$2,"25",A571 &lt;= ASSUMPTIONS!$D$3,"25-34",A571 &lt;= ASSUMPTIONS!$D$4, "35-44",A571 &lt;= ASSUMPTIONS!$D$5,"45-54",TRUE,"55+")</f>
        <v>35-44</v>
      </c>
      <c r="P571" t="str" cm="1">
        <f t="array" ref="P571">_xlfn.IFS( J571 &lt;ASSUMPTIONS!$D$7,"LOW",J571 &lt;= ASSUMPTIONS!$D$8,"MEDIUM",TRUE, "HIGH")</f>
        <v>HIGH</v>
      </c>
      <c r="Q571" t="str">
        <f>IF(M571&lt;ASSUMPTIONS!$D$10,"New (0-2)",IF(M571&lt;=ASSUMPTIONS!$D$11,"Early (2-5)",IF(M571&lt;=ASSUMPTIONS!$D$12,"Established (5-10)","Veteran (10+)")))</f>
        <v>Established (5-10)</v>
      </c>
      <c r="R571" s="4">
        <f t="shared" si="17"/>
        <v>1.6666666666666667</v>
      </c>
    </row>
    <row r="572" spans="1:18">
      <c r="A572">
        <f>RAW_DATA!A572</f>
        <v>52</v>
      </c>
      <c r="B572" t="str">
        <f>RAW_DATA!B572</f>
        <v>No</v>
      </c>
      <c r="C572" t="str">
        <f>RAW_DATA!C572</f>
        <v>Research &amp; Development</v>
      </c>
      <c r="D572">
        <f>RAW_DATA!D572</f>
        <v>19</v>
      </c>
      <c r="E572">
        <f>RAW_DATA!E572</f>
        <v>4</v>
      </c>
      <c r="F572" t="str">
        <f>RAW_DATA!F572</f>
        <v>Medical</v>
      </c>
      <c r="G572">
        <f>RAW_DATA!G572</f>
        <v>4</v>
      </c>
      <c r="H572">
        <f>RAW_DATA!H572</f>
        <v>4</v>
      </c>
      <c r="I572" t="str">
        <f>RAW_DATA!I572</f>
        <v>Married</v>
      </c>
      <c r="J572">
        <f>RAW_DATA!J572</f>
        <v>4258</v>
      </c>
      <c r="K572">
        <f>RAW_DATA!K572</f>
        <v>0</v>
      </c>
      <c r="L572">
        <f>RAW_DATA!L572</f>
        <v>3</v>
      </c>
      <c r="M572">
        <f>RAW_DATA!M572</f>
        <v>4</v>
      </c>
      <c r="N572">
        <f t="shared" si="16"/>
        <v>0</v>
      </c>
      <c r="O572" t="str" cm="1">
        <f t="array" ref="O572" xml:space="preserve"> _xlfn.IFS(A572 &lt;ASSUMPTIONS!$D$2,"25",A572 &lt;= ASSUMPTIONS!$D$3,"25-34",A572 &lt;= ASSUMPTIONS!$D$4, "35-44",A572 &lt;= ASSUMPTIONS!$D$5,"45-54",TRUE,"55+")</f>
        <v>45-54</v>
      </c>
      <c r="P572" t="str" cm="1">
        <f t="array" ref="P572">_xlfn.IFS( J572 &lt;ASSUMPTIONS!$D$7,"LOW",J572 &lt;= ASSUMPTIONS!$D$8,"MEDIUM",TRUE, "HIGH")</f>
        <v>MEDIUM</v>
      </c>
      <c r="Q572" t="str">
        <f>IF(M572&lt;ASSUMPTIONS!$D$10,"New (0-2)",IF(M572&lt;=ASSUMPTIONS!$D$11,"Early (2-5)",IF(M572&lt;=ASSUMPTIONS!$D$12,"Established (5-10)","Veteran (10+)")))</f>
        <v>Early (2-5)</v>
      </c>
      <c r="R572" s="4">
        <f t="shared" si="17"/>
        <v>3.6666666666666665</v>
      </c>
    </row>
    <row r="573" spans="1:18">
      <c r="A573">
        <f>RAW_DATA!A573</f>
        <v>26</v>
      </c>
      <c r="B573" t="str">
        <f>RAW_DATA!B573</f>
        <v>No</v>
      </c>
      <c r="C573" t="str">
        <f>RAW_DATA!C573</f>
        <v>Research &amp; Development</v>
      </c>
      <c r="D573">
        <f>RAW_DATA!D573</f>
        <v>1</v>
      </c>
      <c r="E573">
        <f>RAW_DATA!E573</f>
        <v>2</v>
      </c>
      <c r="F573" t="str">
        <f>RAW_DATA!F573</f>
        <v>Life Sciences</v>
      </c>
      <c r="G573">
        <f>RAW_DATA!G573</f>
        <v>1</v>
      </c>
      <c r="H573">
        <f>RAW_DATA!H573</f>
        <v>4</v>
      </c>
      <c r="I573" t="str">
        <f>RAW_DATA!I573</f>
        <v>Divorced</v>
      </c>
      <c r="J573">
        <f>RAW_DATA!J573</f>
        <v>4364</v>
      </c>
      <c r="K573">
        <f>RAW_DATA!K573</f>
        <v>3</v>
      </c>
      <c r="L573">
        <f>RAW_DATA!L573</f>
        <v>3</v>
      </c>
      <c r="M573">
        <f>RAW_DATA!M573</f>
        <v>2</v>
      </c>
      <c r="N573">
        <f t="shared" si="16"/>
        <v>0</v>
      </c>
      <c r="O573" t="str" cm="1">
        <f t="array" ref="O573" xml:space="preserve"> _xlfn.IFS(A573 &lt;ASSUMPTIONS!$D$2,"25",A573 &lt;= ASSUMPTIONS!$D$3,"25-34",A573 &lt;= ASSUMPTIONS!$D$4, "35-44",A573 &lt;= ASSUMPTIONS!$D$5,"45-54",TRUE,"55+")</f>
        <v>25-34</v>
      </c>
      <c r="P573" t="str" cm="1">
        <f t="array" ref="P573">_xlfn.IFS( J573 &lt;ASSUMPTIONS!$D$7,"LOW",J573 &lt;= ASSUMPTIONS!$D$8,"MEDIUM",TRUE, "HIGH")</f>
        <v>MEDIUM</v>
      </c>
      <c r="Q573" t="str">
        <f>IF(M573&lt;ASSUMPTIONS!$D$10,"New (0-2)",IF(M573&lt;=ASSUMPTIONS!$D$11,"Early (2-5)",IF(M573&lt;=ASSUMPTIONS!$D$12,"Established (5-10)","Veteran (10+)")))</f>
        <v>Early (2-5)</v>
      </c>
      <c r="R573" s="4">
        <f t="shared" si="17"/>
        <v>2.6666666666666665</v>
      </c>
    </row>
    <row r="574" spans="1:18">
      <c r="A574">
        <f>RAW_DATA!A574</f>
        <v>29</v>
      </c>
      <c r="B574" t="str">
        <f>RAW_DATA!B574</f>
        <v>No</v>
      </c>
      <c r="C574" t="str">
        <f>RAW_DATA!C574</f>
        <v>Research &amp; Development</v>
      </c>
      <c r="D574">
        <f>RAW_DATA!D574</f>
        <v>27</v>
      </c>
      <c r="E574">
        <f>RAW_DATA!E574</f>
        <v>3</v>
      </c>
      <c r="F574" t="str">
        <f>RAW_DATA!F574</f>
        <v>Medical</v>
      </c>
      <c r="G574">
        <f>RAW_DATA!G574</f>
        <v>2</v>
      </c>
      <c r="H574">
        <f>RAW_DATA!H574</f>
        <v>3</v>
      </c>
      <c r="I574" t="str">
        <f>RAW_DATA!I574</f>
        <v>Married</v>
      </c>
      <c r="J574">
        <f>RAW_DATA!J574</f>
        <v>4335</v>
      </c>
      <c r="K574">
        <f>RAW_DATA!K574</f>
        <v>4</v>
      </c>
      <c r="L574">
        <f>RAW_DATA!L574</f>
        <v>2</v>
      </c>
      <c r="M574">
        <f>RAW_DATA!M574</f>
        <v>8</v>
      </c>
      <c r="N574">
        <f t="shared" si="16"/>
        <v>0</v>
      </c>
      <c r="O574" t="str" cm="1">
        <f t="array" ref="O574" xml:space="preserve"> _xlfn.IFS(A574 &lt;ASSUMPTIONS!$D$2,"25",A574 &lt;= ASSUMPTIONS!$D$3,"25-34",A574 &lt;= ASSUMPTIONS!$D$4, "35-44",A574 &lt;= ASSUMPTIONS!$D$5,"45-54",TRUE,"55+")</f>
        <v>25-34</v>
      </c>
      <c r="P574" t="str" cm="1">
        <f t="array" ref="P574">_xlfn.IFS( J574 &lt;ASSUMPTIONS!$D$7,"LOW",J574 &lt;= ASSUMPTIONS!$D$8,"MEDIUM",TRUE, "HIGH")</f>
        <v>MEDIUM</v>
      </c>
      <c r="Q574" t="str">
        <f>IF(M574&lt;ASSUMPTIONS!$D$10,"New (0-2)",IF(M574&lt;=ASSUMPTIONS!$D$11,"Early (2-5)",IF(M574&lt;=ASSUMPTIONS!$D$12,"Established (5-10)","Veteran (10+)")))</f>
        <v>Established (5-10)</v>
      </c>
      <c r="R574" s="4">
        <f t="shared" si="17"/>
        <v>2.3333333333333335</v>
      </c>
    </row>
    <row r="575" spans="1:18">
      <c r="A575">
        <f>RAW_DATA!A575</f>
        <v>26</v>
      </c>
      <c r="B575" t="str">
        <f>RAW_DATA!B575</f>
        <v>Yes</v>
      </c>
      <c r="C575" t="str">
        <f>RAW_DATA!C575</f>
        <v>Sales</v>
      </c>
      <c r="D575">
        <f>RAW_DATA!D575</f>
        <v>8</v>
      </c>
      <c r="E575">
        <f>RAW_DATA!E575</f>
        <v>3</v>
      </c>
      <c r="F575" t="str">
        <f>RAW_DATA!F575</f>
        <v>Technical Degree</v>
      </c>
      <c r="G575">
        <f>RAW_DATA!G575</f>
        <v>4</v>
      </c>
      <c r="H575">
        <f>RAW_DATA!H575</f>
        <v>1</v>
      </c>
      <c r="I575" t="str">
        <f>RAW_DATA!I575</f>
        <v>Single</v>
      </c>
      <c r="J575">
        <f>RAW_DATA!J575</f>
        <v>5326</v>
      </c>
      <c r="K575">
        <f>RAW_DATA!K575</f>
        <v>6</v>
      </c>
      <c r="L575">
        <f>RAW_DATA!L575</f>
        <v>2</v>
      </c>
      <c r="M575">
        <f>RAW_DATA!M575</f>
        <v>4</v>
      </c>
      <c r="N575">
        <f t="shared" si="16"/>
        <v>1</v>
      </c>
      <c r="O575" t="str" cm="1">
        <f t="array" ref="O575" xml:space="preserve"> _xlfn.IFS(A575 &lt;ASSUMPTIONS!$D$2,"25",A575 &lt;= ASSUMPTIONS!$D$3,"25-34",A575 &lt;= ASSUMPTIONS!$D$4, "35-44",A575 &lt;= ASSUMPTIONS!$D$5,"45-54",TRUE,"55+")</f>
        <v>25-34</v>
      </c>
      <c r="P575" t="str" cm="1">
        <f t="array" ref="P575">_xlfn.IFS( J575 &lt;ASSUMPTIONS!$D$7,"LOW",J575 &lt;= ASSUMPTIONS!$D$8,"MEDIUM",TRUE, "HIGH")</f>
        <v>MEDIUM</v>
      </c>
      <c r="Q575" t="str">
        <f>IF(M575&lt;ASSUMPTIONS!$D$10,"New (0-2)",IF(M575&lt;=ASSUMPTIONS!$D$11,"Early (2-5)",IF(M575&lt;=ASSUMPTIONS!$D$12,"Established (5-10)","Veteran (10+)")))</f>
        <v>Early (2-5)</v>
      </c>
      <c r="R575" s="4">
        <f t="shared" si="17"/>
        <v>2.3333333333333335</v>
      </c>
    </row>
    <row r="576" spans="1:18">
      <c r="A576">
        <f>RAW_DATA!A576</f>
        <v>34</v>
      </c>
      <c r="B576" t="str">
        <f>RAW_DATA!B576</f>
        <v>No</v>
      </c>
      <c r="C576" t="str">
        <f>RAW_DATA!C576</f>
        <v>Research &amp; Development</v>
      </c>
      <c r="D576">
        <f>RAW_DATA!D576</f>
        <v>1</v>
      </c>
      <c r="E576">
        <f>RAW_DATA!E576</f>
        <v>4</v>
      </c>
      <c r="F576" t="str">
        <f>RAW_DATA!F576</f>
        <v>Life Sciences</v>
      </c>
      <c r="G576">
        <f>RAW_DATA!G576</f>
        <v>2</v>
      </c>
      <c r="H576">
        <f>RAW_DATA!H576</f>
        <v>4</v>
      </c>
      <c r="I576" t="str">
        <f>RAW_DATA!I576</f>
        <v>Single</v>
      </c>
      <c r="J576">
        <f>RAW_DATA!J576</f>
        <v>3280</v>
      </c>
      <c r="K576">
        <f>RAW_DATA!K576</f>
        <v>2</v>
      </c>
      <c r="L576">
        <f>RAW_DATA!L576</f>
        <v>3</v>
      </c>
      <c r="M576">
        <f>RAW_DATA!M576</f>
        <v>4</v>
      </c>
      <c r="N576">
        <f t="shared" si="16"/>
        <v>0</v>
      </c>
      <c r="O576" t="str" cm="1">
        <f t="array" ref="O576" xml:space="preserve"> _xlfn.IFS(A576 &lt;ASSUMPTIONS!$D$2,"25",A576 &lt;= ASSUMPTIONS!$D$3,"25-34",A576 &lt;= ASSUMPTIONS!$D$4, "35-44",A576 &lt;= ASSUMPTIONS!$D$5,"45-54",TRUE,"55+")</f>
        <v>25-34</v>
      </c>
      <c r="P576" t="str" cm="1">
        <f t="array" ref="P576">_xlfn.IFS( J576 &lt;ASSUMPTIONS!$D$7,"LOW",J576 &lt;= ASSUMPTIONS!$D$8,"MEDIUM",TRUE, "HIGH")</f>
        <v>MEDIUM</v>
      </c>
      <c r="Q576" t="str">
        <f>IF(M576&lt;ASSUMPTIONS!$D$10,"New (0-2)",IF(M576&lt;=ASSUMPTIONS!$D$11,"Early (2-5)",IF(M576&lt;=ASSUMPTIONS!$D$12,"Established (5-10)","Veteran (10+)")))</f>
        <v>Early (2-5)</v>
      </c>
      <c r="R576" s="4">
        <f t="shared" si="17"/>
        <v>3</v>
      </c>
    </row>
    <row r="577" spans="1:18">
      <c r="A577">
        <f>RAW_DATA!A577</f>
        <v>54</v>
      </c>
      <c r="B577" t="str">
        <f>RAW_DATA!B577</f>
        <v>No</v>
      </c>
      <c r="C577" t="str">
        <f>RAW_DATA!C577</f>
        <v>Research &amp; Development</v>
      </c>
      <c r="D577">
        <f>RAW_DATA!D577</f>
        <v>19</v>
      </c>
      <c r="E577">
        <f>RAW_DATA!E577</f>
        <v>4</v>
      </c>
      <c r="F577" t="str">
        <f>RAW_DATA!F577</f>
        <v>Medical</v>
      </c>
      <c r="G577">
        <f>RAW_DATA!G577</f>
        <v>4</v>
      </c>
      <c r="H577">
        <f>RAW_DATA!H577</f>
        <v>1</v>
      </c>
      <c r="I577" t="str">
        <f>RAW_DATA!I577</f>
        <v>Divorced</v>
      </c>
      <c r="J577">
        <f>RAW_DATA!J577</f>
        <v>5485</v>
      </c>
      <c r="K577">
        <f>RAW_DATA!K577</f>
        <v>9</v>
      </c>
      <c r="L577">
        <f>RAW_DATA!L577</f>
        <v>3</v>
      </c>
      <c r="M577">
        <f>RAW_DATA!M577</f>
        <v>5</v>
      </c>
      <c r="N577">
        <f t="shared" si="16"/>
        <v>0</v>
      </c>
      <c r="O577" t="str" cm="1">
        <f t="array" ref="O577" xml:space="preserve"> _xlfn.IFS(A577 &lt;ASSUMPTIONS!$D$2,"25",A577 &lt;= ASSUMPTIONS!$D$3,"25-34",A577 &lt;= ASSUMPTIONS!$D$4, "35-44",A577 &lt;= ASSUMPTIONS!$D$5,"45-54",TRUE,"55+")</f>
        <v>45-54</v>
      </c>
      <c r="P577" t="str" cm="1">
        <f t="array" ref="P577">_xlfn.IFS( J577 &lt;ASSUMPTIONS!$D$7,"LOW",J577 &lt;= ASSUMPTIONS!$D$8,"MEDIUM",TRUE, "HIGH")</f>
        <v>MEDIUM</v>
      </c>
      <c r="Q577" t="str">
        <f>IF(M577&lt;ASSUMPTIONS!$D$10,"New (0-2)",IF(M577&lt;=ASSUMPTIONS!$D$11,"Early (2-5)",IF(M577&lt;=ASSUMPTIONS!$D$12,"Established (5-10)","Veteran (10+)")))</f>
        <v>Early (2-5)</v>
      </c>
      <c r="R577" s="4">
        <f t="shared" si="17"/>
        <v>2.6666666666666665</v>
      </c>
    </row>
    <row r="578" spans="1:18">
      <c r="A578">
        <f>RAW_DATA!A578</f>
        <v>27</v>
      </c>
      <c r="B578" t="str">
        <f>RAW_DATA!B578</f>
        <v>No</v>
      </c>
      <c r="C578" t="str">
        <f>RAW_DATA!C578</f>
        <v>Sales</v>
      </c>
      <c r="D578">
        <f>RAW_DATA!D578</f>
        <v>8</v>
      </c>
      <c r="E578">
        <f>RAW_DATA!E578</f>
        <v>1</v>
      </c>
      <c r="F578" t="str">
        <f>RAW_DATA!F578</f>
        <v>Marketing</v>
      </c>
      <c r="G578">
        <f>RAW_DATA!G578</f>
        <v>3</v>
      </c>
      <c r="H578">
        <f>RAW_DATA!H578</f>
        <v>4</v>
      </c>
      <c r="I578" t="str">
        <f>RAW_DATA!I578</f>
        <v>Married</v>
      </c>
      <c r="J578">
        <f>RAW_DATA!J578</f>
        <v>4342</v>
      </c>
      <c r="K578">
        <f>RAW_DATA!K578</f>
        <v>0</v>
      </c>
      <c r="L578">
        <f>RAW_DATA!L578</f>
        <v>3</v>
      </c>
      <c r="M578">
        <f>RAW_DATA!M578</f>
        <v>4</v>
      </c>
      <c r="N578">
        <f t="shared" si="16"/>
        <v>0</v>
      </c>
      <c r="O578" t="str" cm="1">
        <f t="array" ref="O578" xml:space="preserve"> _xlfn.IFS(A578 &lt;ASSUMPTIONS!$D$2,"25",A578 &lt;= ASSUMPTIONS!$D$3,"25-34",A578 &lt;= ASSUMPTIONS!$D$4, "35-44",A578 &lt;= ASSUMPTIONS!$D$5,"45-54",TRUE,"55+")</f>
        <v>25-34</v>
      </c>
      <c r="P578" t="str" cm="1">
        <f t="array" ref="P578">_xlfn.IFS( J578 &lt;ASSUMPTIONS!$D$7,"LOW",J578 &lt;= ASSUMPTIONS!$D$8,"MEDIUM",TRUE, "HIGH")</f>
        <v>MEDIUM</v>
      </c>
      <c r="Q578" t="str">
        <f>IF(M578&lt;ASSUMPTIONS!$D$10,"New (0-2)",IF(M578&lt;=ASSUMPTIONS!$D$11,"Early (2-5)",IF(M578&lt;=ASSUMPTIONS!$D$12,"Established (5-10)","Veteran (10+)")))</f>
        <v>Early (2-5)</v>
      </c>
      <c r="R578" s="4">
        <f t="shared" si="17"/>
        <v>3.3333333333333335</v>
      </c>
    </row>
    <row r="579" spans="1:18">
      <c r="A579">
        <f>RAW_DATA!A579</f>
        <v>37</v>
      </c>
      <c r="B579" t="str">
        <f>RAW_DATA!B579</f>
        <v>No</v>
      </c>
      <c r="C579" t="str">
        <f>RAW_DATA!C579</f>
        <v>Research &amp; Development</v>
      </c>
      <c r="D579">
        <f>RAW_DATA!D579</f>
        <v>10</v>
      </c>
      <c r="E579">
        <f>RAW_DATA!E579</f>
        <v>1</v>
      </c>
      <c r="F579" t="str">
        <f>RAW_DATA!F579</f>
        <v>Life Sciences</v>
      </c>
      <c r="G579">
        <f>RAW_DATA!G579</f>
        <v>4</v>
      </c>
      <c r="H579">
        <f>RAW_DATA!H579</f>
        <v>1</v>
      </c>
      <c r="I579" t="str">
        <f>RAW_DATA!I579</f>
        <v>Divorced</v>
      </c>
      <c r="J579">
        <f>RAW_DATA!J579</f>
        <v>2782</v>
      </c>
      <c r="K579">
        <f>RAW_DATA!K579</f>
        <v>0</v>
      </c>
      <c r="L579">
        <f>RAW_DATA!L579</f>
        <v>2</v>
      </c>
      <c r="M579">
        <f>RAW_DATA!M579</f>
        <v>5</v>
      </c>
      <c r="N579">
        <f t="shared" ref="N579:N642" si="18" xml:space="preserve"> IF(B579 ="Yes",1,0)</f>
        <v>0</v>
      </c>
      <c r="O579" t="str" cm="1">
        <f t="array" ref="O579" xml:space="preserve"> _xlfn.IFS(A579 &lt;ASSUMPTIONS!$D$2,"25",A579 &lt;= ASSUMPTIONS!$D$3,"25-34",A579 &lt;= ASSUMPTIONS!$D$4, "35-44",A579 &lt;= ASSUMPTIONS!$D$5,"45-54",TRUE,"55+")</f>
        <v>35-44</v>
      </c>
      <c r="P579" t="str" cm="1">
        <f t="array" ref="P579">_xlfn.IFS( J579 &lt;ASSUMPTIONS!$D$7,"LOW",J579 &lt;= ASSUMPTIONS!$D$8,"MEDIUM",TRUE, "HIGH")</f>
        <v>LOW</v>
      </c>
      <c r="Q579" t="str">
        <f>IF(M579&lt;ASSUMPTIONS!$D$10,"New (0-2)",IF(M579&lt;=ASSUMPTIONS!$D$11,"Early (2-5)",IF(M579&lt;=ASSUMPTIONS!$D$12,"Established (5-10)","Veteran (10+)")))</f>
        <v>Early (2-5)</v>
      </c>
      <c r="R579" s="4">
        <f t="shared" ref="R579:R642" si="19">AVERAGE(G579,H579,L579)</f>
        <v>2.3333333333333335</v>
      </c>
    </row>
    <row r="580" spans="1:18">
      <c r="A580">
        <f>RAW_DATA!A580</f>
        <v>38</v>
      </c>
      <c r="B580" t="str">
        <f>RAW_DATA!B580</f>
        <v>No</v>
      </c>
      <c r="C580" t="str">
        <f>RAW_DATA!C580</f>
        <v>Research &amp; Development</v>
      </c>
      <c r="D580">
        <f>RAW_DATA!D580</f>
        <v>2</v>
      </c>
      <c r="E580">
        <f>RAW_DATA!E580</f>
        <v>4</v>
      </c>
      <c r="F580" t="str">
        <f>RAW_DATA!F580</f>
        <v>Life Sciences</v>
      </c>
      <c r="G580">
        <f>RAW_DATA!G580</f>
        <v>1</v>
      </c>
      <c r="H580">
        <f>RAW_DATA!H580</f>
        <v>1</v>
      </c>
      <c r="I580" t="str">
        <f>RAW_DATA!I580</f>
        <v>Single</v>
      </c>
      <c r="J580">
        <f>RAW_DATA!J580</f>
        <v>5980</v>
      </c>
      <c r="K580">
        <f>RAW_DATA!K580</f>
        <v>6</v>
      </c>
      <c r="L580">
        <f>RAW_DATA!L580</f>
        <v>3</v>
      </c>
      <c r="M580">
        <f>RAW_DATA!M580</f>
        <v>15</v>
      </c>
      <c r="N580">
        <f t="shared" si="18"/>
        <v>0</v>
      </c>
      <c r="O580" t="str" cm="1">
        <f t="array" ref="O580" xml:space="preserve"> _xlfn.IFS(A580 &lt;ASSUMPTIONS!$D$2,"25",A580 &lt;= ASSUMPTIONS!$D$3,"25-34",A580 &lt;= ASSUMPTIONS!$D$4, "35-44",A580 &lt;= ASSUMPTIONS!$D$5,"45-54",TRUE,"55+")</f>
        <v>35-44</v>
      </c>
      <c r="P580" t="str" cm="1">
        <f t="array" ref="P580">_xlfn.IFS( J580 &lt;ASSUMPTIONS!$D$7,"LOW",J580 &lt;= ASSUMPTIONS!$D$8,"MEDIUM",TRUE, "HIGH")</f>
        <v>MEDIUM</v>
      </c>
      <c r="Q580" t="str">
        <f>IF(M580&lt;ASSUMPTIONS!$D$10,"New (0-2)",IF(M580&lt;=ASSUMPTIONS!$D$11,"Early (2-5)",IF(M580&lt;=ASSUMPTIONS!$D$12,"Established (5-10)","Veteran (10+)")))</f>
        <v>Veteran (10+)</v>
      </c>
      <c r="R580" s="4">
        <f t="shared" si="19"/>
        <v>1.6666666666666667</v>
      </c>
    </row>
    <row r="581" spans="1:18">
      <c r="A581">
        <f>RAW_DATA!A581</f>
        <v>34</v>
      </c>
      <c r="B581" t="str">
        <f>RAW_DATA!B581</f>
        <v>No</v>
      </c>
      <c r="C581" t="str">
        <f>RAW_DATA!C581</f>
        <v>Research &amp; Development</v>
      </c>
      <c r="D581">
        <f>RAW_DATA!D581</f>
        <v>2</v>
      </c>
      <c r="E581">
        <f>RAW_DATA!E581</f>
        <v>4</v>
      </c>
      <c r="F581" t="str">
        <f>RAW_DATA!F581</f>
        <v>Medical</v>
      </c>
      <c r="G581">
        <f>RAW_DATA!G581</f>
        <v>3</v>
      </c>
      <c r="H581">
        <f>RAW_DATA!H581</f>
        <v>1</v>
      </c>
      <c r="I581" t="str">
        <f>RAW_DATA!I581</f>
        <v>Single</v>
      </c>
      <c r="J581">
        <f>RAW_DATA!J581</f>
        <v>4381</v>
      </c>
      <c r="K581">
        <f>RAW_DATA!K581</f>
        <v>1</v>
      </c>
      <c r="L581">
        <f>RAW_DATA!L581</f>
        <v>3</v>
      </c>
      <c r="M581">
        <f>RAW_DATA!M581</f>
        <v>6</v>
      </c>
      <c r="N581">
        <f t="shared" si="18"/>
        <v>0</v>
      </c>
      <c r="O581" t="str" cm="1">
        <f t="array" ref="O581" xml:space="preserve"> _xlfn.IFS(A581 &lt;ASSUMPTIONS!$D$2,"25",A581 &lt;= ASSUMPTIONS!$D$3,"25-34",A581 &lt;= ASSUMPTIONS!$D$4, "35-44",A581 &lt;= ASSUMPTIONS!$D$5,"45-54",TRUE,"55+")</f>
        <v>25-34</v>
      </c>
      <c r="P581" t="str" cm="1">
        <f t="array" ref="P581">_xlfn.IFS( J581 &lt;ASSUMPTIONS!$D$7,"LOW",J581 &lt;= ASSUMPTIONS!$D$8,"MEDIUM",TRUE, "HIGH")</f>
        <v>MEDIUM</v>
      </c>
      <c r="Q581" t="str">
        <f>IF(M581&lt;ASSUMPTIONS!$D$10,"New (0-2)",IF(M581&lt;=ASSUMPTIONS!$D$11,"Early (2-5)",IF(M581&lt;=ASSUMPTIONS!$D$12,"Established (5-10)","Veteran (10+)")))</f>
        <v>Established (5-10)</v>
      </c>
      <c r="R581" s="4">
        <f t="shared" si="19"/>
        <v>2.3333333333333335</v>
      </c>
    </row>
    <row r="582" spans="1:18">
      <c r="A582">
        <f>RAW_DATA!A582</f>
        <v>35</v>
      </c>
      <c r="B582" t="str">
        <f>RAW_DATA!B582</f>
        <v>No</v>
      </c>
      <c r="C582" t="str">
        <f>RAW_DATA!C582</f>
        <v>Sales</v>
      </c>
      <c r="D582">
        <f>RAW_DATA!D582</f>
        <v>8</v>
      </c>
      <c r="E582">
        <f>RAW_DATA!E582</f>
        <v>4</v>
      </c>
      <c r="F582" t="str">
        <f>RAW_DATA!F582</f>
        <v>Life Sciences</v>
      </c>
      <c r="G582">
        <f>RAW_DATA!G582</f>
        <v>1</v>
      </c>
      <c r="H582">
        <f>RAW_DATA!H582</f>
        <v>4</v>
      </c>
      <c r="I582" t="str">
        <f>RAW_DATA!I582</f>
        <v>Married</v>
      </c>
      <c r="J582">
        <f>RAW_DATA!J582</f>
        <v>2572</v>
      </c>
      <c r="K582">
        <f>RAW_DATA!K582</f>
        <v>1</v>
      </c>
      <c r="L582">
        <f>RAW_DATA!L582</f>
        <v>2</v>
      </c>
      <c r="M582">
        <f>RAW_DATA!M582</f>
        <v>3</v>
      </c>
      <c r="N582">
        <f t="shared" si="18"/>
        <v>0</v>
      </c>
      <c r="O582" t="str" cm="1">
        <f t="array" ref="O582" xml:space="preserve"> _xlfn.IFS(A582 &lt;ASSUMPTIONS!$D$2,"25",A582 &lt;= ASSUMPTIONS!$D$3,"25-34",A582 &lt;= ASSUMPTIONS!$D$4, "35-44",A582 &lt;= ASSUMPTIONS!$D$5,"45-54",TRUE,"55+")</f>
        <v>35-44</v>
      </c>
      <c r="P582" t="str" cm="1">
        <f t="array" ref="P582">_xlfn.IFS( J582 &lt;ASSUMPTIONS!$D$7,"LOW",J582 &lt;= ASSUMPTIONS!$D$8,"MEDIUM",TRUE, "HIGH")</f>
        <v>LOW</v>
      </c>
      <c r="Q582" t="str">
        <f>IF(M582&lt;ASSUMPTIONS!$D$10,"New (0-2)",IF(M582&lt;=ASSUMPTIONS!$D$11,"Early (2-5)",IF(M582&lt;=ASSUMPTIONS!$D$12,"Established (5-10)","Veteran (10+)")))</f>
        <v>Early (2-5)</v>
      </c>
      <c r="R582" s="4">
        <f t="shared" si="19"/>
        <v>2.3333333333333335</v>
      </c>
    </row>
    <row r="583" spans="1:18">
      <c r="A583">
        <f>RAW_DATA!A583</f>
        <v>30</v>
      </c>
      <c r="B583" t="str">
        <f>RAW_DATA!B583</f>
        <v>No</v>
      </c>
      <c r="C583" t="str">
        <f>RAW_DATA!C583</f>
        <v>Research &amp; Development</v>
      </c>
      <c r="D583">
        <f>RAW_DATA!D583</f>
        <v>1</v>
      </c>
      <c r="E583">
        <f>RAW_DATA!E583</f>
        <v>3</v>
      </c>
      <c r="F583" t="str">
        <f>RAW_DATA!F583</f>
        <v>Life Sciences</v>
      </c>
      <c r="G583">
        <f>RAW_DATA!G583</f>
        <v>4</v>
      </c>
      <c r="H583">
        <f>RAW_DATA!H583</f>
        <v>3</v>
      </c>
      <c r="I583" t="str">
        <f>RAW_DATA!I583</f>
        <v>Married</v>
      </c>
      <c r="J583">
        <f>RAW_DATA!J583</f>
        <v>3833</v>
      </c>
      <c r="K583">
        <f>RAW_DATA!K583</f>
        <v>3</v>
      </c>
      <c r="L583">
        <f>RAW_DATA!L583</f>
        <v>3</v>
      </c>
      <c r="M583">
        <f>RAW_DATA!M583</f>
        <v>2</v>
      </c>
      <c r="N583">
        <f t="shared" si="18"/>
        <v>0</v>
      </c>
      <c r="O583" t="str" cm="1">
        <f t="array" ref="O583" xml:space="preserve"> _xlfn.IFS(A583 &lt;ASSUMPTIONS!$D$2,"25",A583 &lt;= ASSUMPTIONS!$D$3,"25-34",A583 &lt;= ASSUMPTIONS!$D$4, "35-44",A583 &lt;= ASSUMPTIONS!$D$5,"45-54",TRUE,"55+")</f>
        <v>25-34</v>
      </c>
      <c r="P583" t="str" cm="1">
        <f t="array" ref="P583">_xlfn.IFS( J583 &lt;ASSUMPTIONS!$D$7,"LOW",J583 &lt;= ASSUMPTIONS!$D$8,"MEDIUM",TRUE, "HIGH")</f>
        <v>MEDIUM</v>
      </c>
      <c r="Q583" t="str">
        <f>IF(M583&lt;ASSUMPTIONS!$D$10,"New (0-2)",IF(M583&lt;=ASSUMPTIONS!$D$11,"Early (2-5)",IF(M583&lt;=ASSUMPTIONS!$D$12,"Established (5-10)","Veteran (10+)")))</f>
        <v>Early (2-5)</v>
      </c>
      <c r="R583" s="4">
        <f t="shared" si="19"/>
        <v>3.3333333333333335</v>
      </c>
    </row>
    <row r="584" spans="1:18">
      <c r="A584">
        <f>RAW_DATA!A584</f>
        <v>40</v>
      </c>
      <c r="B584" t="str">
        <f>RAW_DATA!B584</f>
        <v>No</v>
      </c>
      <c r="C584" t="str">
        <f>RAW_DATA!C584</f>
        <v>Research &amp; Development</v>
      </c>
      <c r="D584">
        <f>RAW_DATA!D584</f>
        <v>2</v>
      </c>
      <c r="E584">
        <f>RAW_DATA!E584</f>
        <v>2</v>
      </c>
      <c r="F584" t="str">
        <f>RAW_DATA!F584</f>
        <v>Medical</v>
      </c>
      <c r="G584">
        <f>RAW_DATA!G584</f>
        <v>3</v>
      </c>
      <c r="H584">
        <f>RAW_DATA!H584</f>
        <v>2</v>
      </c>
      <c r="I584" t="str">
        <f>RAW_DATA!I584</f>
        <v>Married</v>
      </c>
      <c r="J584">
        <f>RAW_DATA!J584</f>
        <v>4244</v>
      </c>
      <c r="K584">
        <f>RAW_DATA!K584</f>
        <v>1</v>
      </c>
      <c r="L584">
        <f>RAW_DATA!L584</f>
        <v>3</v>
      </c>
      <c r="M584">
        <f>RAW_DATA!M584</f>
        <v>8</v>
      </c>
      <c r="N584">
        <f t="shared" si="18"/>
        <v>0</v>
      </c>
      <c r="O584" t="str" cm="1">
        <f t="array" ref="O584" xml:space="preserve"> _xlfn.IFS(A584 &lt;ASSUMPTIONS!$D$2,"25",A584 &lt;= ASSUMPTIONS!$D$3,"25-34",A584 &lt;= ASSUMPTIONS!$D$4, "35-44",A584 &lt;= ASSUMPTIONS!$D$5,"45-54",TRUE,"55+")</f>
        <v>35-44</v>
      </c>
      <c r="P584" t="str" cm="1">
        <f t="array" ref="P584">_xlfn.IFS( J584 &lt;ASSUMPTIONS!$D$7,"LOW",J584 &lt;= ASSUMPTIONS!$D$8,"MEDIUM",TRUE, "HIGH")</f>
        <v>MEDIUM</v>
      </c>
      <c r="Q584" t="str">
        <f>IF(M584&lt;ASSUMPTIONS!$D$10,"New (0-2)",IF(M584&lt;=ASSUMPTIONS!$D$11,"Early (2-5)",IF(M584&lt;=ASSUMPTIONS!$D$12,"Established (5-10)","Veteran (10+)")))</f>
        <v>Established (5-10)</v>
      </c>
      <c r="R584" s="4">
        <f t="shared" si="19"/>
        <v>2.6666666666666665</v>
      </c>
    </row>
    <row r="585" spans="1:18">
      <c r="A585">
        <f>RAW_DATA!A585</f>
        <v>34</v>
      </c>
      <c r="B585" t="str">
        <f>RAW_DATA!B585</f>
        <v>No</v>
      </c>
      <c r="C585" t="str">
        <f>RAW_DATA!C585</f>
        <v>Sales</v>
      </c>
      <c r="D585">
        <f>RAW_DATA!D585</f>
        <v>8</v>
      </c>
      <c r="E585">
        <f>RAW_DATA!E585</f>
        <v>2</v>
      </c>
      <c r="F585" t="str">
        <f>RAW_DATA!F585</f>
        <v>Life Sciences</v>
      </c>
      <c r="G585">
        <f>RAW_DATA!G585</f>
        <v>3</v>
      </c>
      <c r="H585">
        <f>RAW_DATA!H585</f>
        <v>1</v>
      </c>
      <c r="I585" t="str">
        <f>RAW_DATA!I585</f>
        <v>Married</v>
      </c>
      <c r="J585">
        <f>RAW_DATA!J585</f>
        <v>6500</v>
      </c>
      <c r="K585">
        <f>RAW_DATA!K585</f>
        <v>5</v>
      </c>
      <c r="L585">
        <f>RAW_DATA!L585</f>
        <v>3</v>
      </c>
      <c r="M585">
        <f>RAW_DATA!M585</f>
        <v>3</v>
      </c>
      <c r="N585">
        <f t="shared" si="18"/>
        <v>0</v>
      </c>
      <c r="O585" t="str" cm="1">
        <f t="array" ref="O585" xml:space="preserve"> _xlfn.IFS(A585 &lt;ASSUMPTIONS!$D$2,"25",A585 &lt;= ASSUMPTIONS!$D$3,"25-34",A585 &lt;= ASSUMPTIONS!$D$4, "35-44",A585 &lt;= ASSUMPTIONS!$D$5,"45-54",TRUE,"55+")</f>
        <v>25-34</v>
      </c>
      <c r="P585" t="str" cm="1">
        <f t="array" ref="P585">_xlfn.IFS( J585 &lt;ASSUMPTIONS!$D$7,"LOW",J585 &lt;= ASSUMPTIONS!$D$8,"MEDIUM",TRUE, "HIGH")</f>
        <v>MEDIUM</v>
      </c>
      <c r="Q585" t="str">
        <f>IF(M585&lt;ASSUMPTIONS!$D$10,"New (0-2)",IF(M585&lt;=ASSUMPTIONS!$D$11,"Early (2-5)",IF(M585&lt;=ASSUMPTIONS!$D$12,"Established (5-10)","Veteran (10+)")))</f>
        <v>Early (2-5)</v>
      </c>
      <c r="R585" s="4">
        <f t="shared" si="19"/>
        <v>2.3333333333333335</v>
      </c>
    </row>
    <row r="586" spans="1:18">
      <c r="A586">
        <f>RAW_DATA!A586</f>
        <v>42</v>
      </c>
      <c r="B586" t="str">
        <f>RAW_DATA!B586</f>
        <v>No</v>
      </c>
      <c r="C586" t="str">
        <f>RAW_DATA!C586</f>
        <v>Research &amp; Development</v>
      </c>
      <c r="D586">
        <f>RAW_DATA!D586</f>
        <v>8</v>
      </c>
      <c r="E586">
        <f>RAW_DATA!E586</f>
        <v>3</v>
      </c>
      <c r="F586" t="str">
        <f>RAW_DATA!F586</f>
        <v>Life Sciences</v>
      </c>
      <c r="G586">
        <f>RAW_DATA!G586</f>
        <v>2</v>
      </c>
      <c r="H586">
        <f>RAW_DATA!H586</f>
        <v>4</v>
      </c>
      <c r="I586" t="str">
        <f>RAW_DATA!I586</f>
        <v>Divorced</v>
      </c>
      <c r="J586">
        <f>RAW_DATA!J586</f>
        <v>18430</v>
      </c>
      <c r="K586">
        <f>RAW_DATA!K586</f>
        <v>1</v>
      </c>
      <c r="L586">
        <f>RAW_DATA!L586</f>
        <v>2</v>
      </c>
      <c r="M586">
        <f>RAW_DATA!M586</f>
        <v>24</v>
      </c>
      <c r="N586">
        <f t="shared" si="18"/>
        <v>0</v>
      </c>
      <c r="O586" t="str" cm="1">
        <f t="array" ref="O586" xml:space="preserve"> _xlfn.IFS(A586 &lt;ASSUMPTIONS!$D$2,"25",A586 &lt;= ASSUMPTIONS!$D$3,"25-34",A586 &lt;= ASSUMPTIONS!$D$4, "35-44",A586 &lt;= ASSUMPTIONS!$D$5,"45-54",TRUE,"55+")</f>
        <v>35-44</v>
      </c>
      <c r="P586" t="str" cm="1">
        <f t="array" ref="P586">_xlfn.IFS( J586 &lt;ASSUMPTIONS!$D$7,"LOW",J586 &lt;= ASSUMPTIONS!$D$8,"MEDIUM",TRUE, "HIGH")</f>
        <v>HIGH</v>
      </c>
      <c r="Q586" t="str">
        <f>IF(M586&lt;ASSUMPTIONS!$D$10,"New (0-2)",IF(M586&lt;=ASSUMPTIONS!$D$11,"Early (2-5)",IF(M586&lt;=ASSUMPTIONS!$D$12,"Established (5-10)","Veteran (10+)")))</f>
        <v>Veteran (10+)</v>
      </c>
      <c r="R586" s="4">
        <f t="shared" si="19"/>
        <v>2.6666666666666665</v>
      </c>
    </row>
    <row r="587" spans="1:18">
      <c r="A587">
        <f>RAW_DATA!A587</f>
        <v>23</v>
      </c>
      <c r="B587" t="str">
        <f>RAW_DATA!B587</f>
        <v>Yes</v>
      </c>
      <c r="C587" t="str">
        <f>RAW_DATA!C587</f>
        <v>Research &amp; Development</v>
      </c>
      <c r="D587">
        <f>RAW_DATA!D587</f>
        <v>6</v>
      </c>
      <c r="E587">
        <f>RAW_DATA!E587</f>
        <v>3</v>
      </c>
      <c r="F587" t="str">
        <f>RAW_DATA!F587</f>
        <v>Life Sciences</v>
      </c>
      <c r="G587">
        <f>RAW_DATA!G587</f>
        <v>3</v>
      </c>
      <c r="H587">
        <f>RAW_DATA!H587</f>
        <v>1</v>
      </c>
      <c r="I587" t="str">
        <f>RAW_DATA!I587</f>
        <v>Married</v>
      </c>
      <c r="J587">
        <f>RAW_DATA!J587</f>
        <v>1601</v>
      </c>
      <c r="K587">
        <f>RAW_DATA!K587</f>
        <v>1</v>
      </c>
      <c r="L587">
        <f>RAW_DATA!L587</f>
        <v>3</v>
      </c>
      <c r="M587">
        <f>RAW_DATA!M587</f>
        <v>0</v>
      </c>
      <c r="N587">
        <f t="shared" si="18"/>
        <v>1</v>
      </c>
      <c r="O587" t="str" cm="1">
        <f t="array" ref="O587" xml:space="preserve"> _xlfn.IFS(A587 &lt;ASSUMPTIONS!$D$2,"25",A587 &lt;= ASSUMPTIONS!$D$3,"25-34",A587 &lt;= ASSUMPTIONS!$D$4, "35-44",A587 &lt;= ASSUMPTIONS!$D$5,"45-54",TRUE,"55+")</f>
        <v>25</v>
      </c>
      <c r="P587" t="str" cm="1">
        <f t="array" ref="P587">_xlfn.IFS( J587 &lt;ASSUMPTIONS!$D$7,"LOW",J587 &lt;= ASSUMPTIONS!$D$8,"MEDIUM",TRUE, "HIGH")</f>
        <v>LOW</v>
      </c>
      <c r="Q587" t="str">
        <f>IF(M587&lt;ASSUMPTIONS!$D$10,"New (0-2)",IF(M587&lt;=ASSUMPTIONS!$D$11,"Early (2-5)",IF(M587&lt;=ASSUMPTIONS!$D$12,"Established (5-10)","Veteran (10+)")))</f>
        <v>New (0-2)</v>
      </c>
      <c r="R587" s="4">
        <f t="shared" si="19"/>
        <v>2.3333333333333335</v>
      </c>
    </row>
    <row r="588" spans="1:18">
      <c r="A588">
        <f>RAW_DATA!A588</f>
        <v>24</v>
      </c>
      <c r="B588" t="str">
        <f>RAW_DATA!B588</f>
        <v>No</v>
      </c>
      <c r="C588" t="str">
        <f>RAW_DATA!C588</f>
        <v>Research &amp; Development</v>
      </c>
      <c r="D588">
        <f>RAW_DATA!D588</f>
        <v>9</v>
      </c>
      <c r="E588">
        <f>RAW_DATA!E588</f>
        <v>3</v>
      </c>
      <c r="F588" t="str">
        <f>RAW_DATA!F588</f>
        <v>Life Sciences</v>
      </c>
      <c r="G588">
        <f>RAW_DATA!G588</f>
        <v>3</v>
      </c>
      <c r="H588">
        <f>RAW_DATA!H588</f>
        <v>2</v>
      </c>
      <c r="I588" t="str">
        <f>RAW_DATA!I588</f>
        <v>Divorced</v>
      </c>
      <c r="J588">
        <f>RAW_DATA!J588</f>
        <v>2694</v>
      </c>
      <c r="K588">
        <f>RAW_DATA!K588</f>
        <v>1</v>
      </c>
      <c r="L588">
        <f>RAW_DATA!L588</f>
        <v>3</v>
      </c>
      <c r="M588">
        <f>RAW_DATA!M588</f>
        <v>1</v>
      </c>
      <c r="N588">
        <f t="shared" si="18"/>
        <v>0</v>
      </c>
      <c r="O588" t="str" cm="1">
        <f t="array" ref="O588" xml:space="preserve"> _xlfn.IFS(A588 &lt;ASSUMPTIONS!$D$2,"25",A588 &lt;= ASSUMPTIONS!$D$3,"25-34",A588 &lt;= ASSUMPTIONS!$D$4, "35-44",A588 &lt;= ASSUMPTIONS!$D$5,"45-54",TRUE,"55+")</f>
        <v>25</v>
      </c>
      <c r="P588" t="str" cm="1">
        <f t="array" ref="P588">_xlfn.IFS( J588 &lt;ASSUMPTIONS!$D$7,"LOW",J588 &lt;= ASSUMPTIONS!$D$8,"MEDIUM",TRUE, "HIGH")</f>
        <v>LOW</v>
      </c>
      <c r="Q588" t="str">
        <f>IF(M588&lt;ASSUMPTIONS!$D$10,"New (0-2)",IF(M588&lt;=ASSUMPTIONS!$D$11,"Early (2-5)",IF(M588&lt;=ASSUMPTIONS!$D$12,"Established (5-10)","Veteran (10+)")))</f>
        <v>New (0-2)</v>
      </c>
      <c r="R588" s="4">
        <f t="shared" si="19"/>
        <v>2.6666666666666665</v>
      </c>
    </row>
    <row r="589" spans="1:18">
      <c r="A589">
        <f>RAW_DATA!A589</f>
        <v>52</v>
      </c>
      <c r="B589" t="str">
        <f>RAW_DATA!B589</f>
        <v>No</v>
      </c>
      <c r="C589" t="str">
        <f>RAW_DATA!C589</f>
        <v>Research &amp; Development</v>
      </c>
      <c r="D589">
        <f>RAW_DATA!D589</f>
        <v>11</v>
      </c>
      <c r="E589">
        <f>RAW_DATA!E589</f>
        <v>4</v>
      </c>
      <c r="F589" t="str">
        <f>RAW_DATA!F589</f>
        <v>Life Sciences</v>
      </c>
      <c r="G589">
        <f>RAW_DATA!G589</f>
        <v>4</v>
      </c>
      <c r="H589">
        <f>RAW_DATA!H589</f>
        <v>3</v>
      </c>
      <c r="I589" t="str">
        <f>RAW_DATA!I589</f>
        <v>Married</v>
      </c>
      <c r="J589">
        <f>RAW_DATA!J589</f>
        <v>3149</v>
      </c>
      <c r="K589">
        <f>RAW_DATA!K589</f>
        <v>8</v>
      </c>
      <c r="L589">
        <f>RAW_DATA!L589</f>
        <v>3</v>
      </c>
      <c r="M589">
        <f>RAW_DATA!M589</f>
        <v>5</v>
      </c>
      <c r="N589">
        <f t="shared" si="18"/>
        <v>0</v>
      </c>
      <c r="O589" t="str" cm="1">
        <f t="array" ref="O589" xml:space="preserve"> _xlfn.IFS(A589 &lt;ASSUMPTIONS!$D$2,"25",A589 &lt;= ASSUMPTIONS!$D$3,"25-34",A589 &lt;= ASSUMPTIONS!$D$4, "35-44",A589 &lt;= ASSUMPTIONS!$D$5,"45-54",TRUE,"55+")</f>
        <v>45-54</v>
      </c>
      <c r="P589" t="str" cm="1">
        <f t="array" ref="P589">_xlfn.IFS( J589 &lt;ASSUMPTIONS!$D$7,"LOW",J589 &lt;= ASSUMPTIONS!$D$8,"MEDIUM",TRUE, "HIGH")</f>
        <v>MEDIUM</v>
      </c>
      <c r="Q589" t="str">
        <f>IF(M589&lt;ASSUMPTIONS!$D$10,"New (0-2)",IF(M589&lt;=ASSUMPTIONS!$D$11,"Early (2-5)",IF(M589&lt;=ASSUMPTIONS!$D$12,"Established (5-10)","Veteran (10+)")))</f>
        <v>Early (2-5)</v>
      </c>
      <c r="R589" s="4">
        <f t="shared" si="19"/>
        <v>3.3333333333333335</v>
      </c>
    </row>
    <row r="590" spans="1:18">
      <c r="A590">
        <f>RAW_DATA!A590</f>
        <v>50</v>
      </c>
      <c r="B590" t="str">
        <f>RAW_DATA!B590</f>
        <v>No</v>
      </c>
      <c r="C590" t="str">
        <f>RAW_DATA!C590</f>
        <v>Research &amp; Development</v>
      </c>
      <c r="D590">
        <f>RAW_DATA!D590</f>
        <v>2</v>
      </c>
      <c r="E590">
        <f>RAW_DATA!E590</f>
        <v>3</v>
      </c>
      <c r="F590" t="str">
        <f>RAW_DATA!F590</f>
        <v>Medical</v>
      </c>
      <c r="G590">
        <f>RAW_DATA!G590</f>
        <v>3</v>
      </c>
      <c r="H590">
        <f>RAW_DATA!H590</f>
        <v>3</v>
      </c>
      <c r="I590" t="str">
        <f>RAW_DATA!I590</f>
        <v>Married</v>
      </c>
      <c r="J590">
        <f>RAW_DATA!J590</f>
        <v>17639</v>
      </c>
      <c r="K590">
        <f>RAW_DATA!K590</f>
        <v>5</v>
      </c>
      <c r="L590">
        <f>RAW_DATA!L590</f>
        <v>3</v>
      </c>
      <c r="M590">
        <f>RAW_DATA!M590</f>
        <v>4</v>
      </c>
      <c r="N590">
        <f t="shared" si="18"/>
        <v>0</v>
      </c>
      <c r="O590" t="str" cm="1">
        <f t="array" ref="O590" xml:space="preserve"> _xlfn.IFS(A590 &lt;ASSUMPTIONS!$D$2,"25",A590 &lt;= ASSUMPTIONS!$D$3,"25-34",A590 &lt;= ASSUMPTIONS!$D$4, "35-44",A590 &lt;= ASSUMPTIONS!$D$5,"45-54",TRUE,"55+")</f>
        <v>45-54</v>
      </c>
      <c r="P590" t="str" cm="1">
        <f t="array" ref="P590">_xlfn.IFS( J590 &lt;ASSUMPTIONS!$D$7,"LOW",J590 &lt;= ASSUMPTIONS!$D$8,"MEDIUM",TRUE, "HIGH")</f>
        <v>HIGH</v>
      </c>
      <c r="Q590" t="str">
        <f>IF(M590&lt;ASSUMPTIONS!$D$10,"New (0-2)",IF(M590&lt;=ASSUMPTIONS!$D$11,"Early (2-5)",IF(M590&lt;=ASSUMPTIONS!$D$12,"Established (5-10)","Veteran (10+)")))</f>
        <v>Early (2-5)</v>
      </c>
      <c r="R590" s="4">
        <f t="shared" si="19"/>
        <v>3</v>
      </c>
    </row>
    <row r="591" spans="1:18">
      <c r="A591">
        <f>RAW_DATA!A591</f>
        <v>29</v>
      </c>
      <c r="B591" t="str">
        <f>RAW_DATA!B591</f>
        <v>Yes</v>
      </c>
      <c r="C591" t="str">
        <f>RAW_DATA!C591</f>
        <v>Research &amp; Development</v>
      </c>
      <c r="D591">
        <f>RAW_DATA!D591</f>
        <v>1</v>
      </c>
      <c r="E591">
        <f>RAW_DATA!E591</f>
        <v>2</v>
      </c>
      <c r="F591" t="str">
        <f>RAW_DATA!F591</f>
        <v>Life Sciences</v>
      </c>
      <c r="G591">
        <f>RAW_DATA!G591</f>
        <v>2</v>
      </c>
      <c r="H591">
        <f>RAW_DATA!H591</f>
        <v>1</v>
      </c>
      <c r="I591" t="str">
        <f>RAW_DATA!I591</f>
        <v>Married</v>
      </c>
      <c r="J591">
        <f>RAW_DATA!J591</f>
        <v>2319</v>
      </c>
      <c r="K591">
        <f>RAW_DATA!K591</f>
        <v>1</v>
      </c>
      <c r="L591">
        <f>RAW_DATA!L591</f>
        <v>3</v>
      </c>
      <c r="M591">
        <f>RAW_DATA!M591</f>
        <v>1</v>
      </c>
      <c r="N591">
        <f t="shared" si="18"/>
        <v>1</v>
      </c>
      <c r="O591" t="str" cm="1">
        <f t="array" ref="O591" xml:space="preserve"> _xlfn.IFS(A591 &lt;ASSUMPTIONS!$D$2,"25",A591 &lt;= ASSUMPTIONS!$D$3,"25-34",A591 &lt;= ASSUMPTIONS!$D$4, "35-44",A591 &lt;= ASSUMPTIONS!$D$5,"45-54",TRUE,"55+")</f>
        <v>25-34</v>
      </c>
      <c r="P591" t="str" cm="1">
        <f t="array" ref="P591">_xlfn.IFS( J591 &lt;ASSUMPTIONS!$D$7,"LOW",J591 &lt;= ASSUMPTIONS!$D$8,"MEDIUM",TRUE, "HIGH")</f>
        <v>LOW</v>
      </c>
      <c r="Q591" t="str">
        <f>IF(M591&lt;ASSUMPTIONS!$D$10,"New (0-2)",IF(M591&lt;=ASSUMPTIONS!$D$11,"Early (2-5)",IF(M591&lt;=ASSUMPTIONS!$D$12,"Established (5-10)","Veteran (10+)")))</f>
        <v>New (0-2)</v>
      </c>
      <c r="R591" s="4">
        <f t="shared" si="19"/>
        <v>2</v>
      </c>
    </row>
    <row r="592" spans="1:18">
      <c r="A592">
        <f>RAW_DATA!A592</f>
        <v>33</v>
      </c>
      <c r="B592" t="str">
        <f>RAW_DATA!B592</f>
        <v>No</v>
      </c>
      <c r="C592" t="str">
        <f>RAW_DATA!C592</f>
        <v>Research &amp; Development</v>
      </c>
      <c r="D592">
        <f>RAW_DATA!D592</f>
        <v>7</v>
      </c>
      <c r="E592">
        <f>RAW_DATA!E592</f>
        <v>3</v>
      </c>
      <c r="F592" t="str">
        <f>RAW_DATA!F592</f>
        <v>Medical</v>
      </c>
      <c r="G592">
        <f>RAW_DATA!G592</f>
        <v>3</v>
      </c>
      <c r="H592">
        <f>RAW_DATA!H592</f>
        <v>3</v>
      </c>
      <c r="I592" t="str">
        <f>RAW_DATA!I592</f>
        <v>Married</v>
      </c>
      <c r="J592">
        <f>RAW_DATA!J592</f>
        <v>11691</v>
      </c>
      <c r="K592">
        <f>RAW_DATA!K592</f>
        <v>0</v>
      </c>
      <c r="L592">
        <f>RAW_DATA!L592</f>
        <v>4</v>
      </c>
      <c r="M592">
        <f>RAW_DATA!M592</f>
        <v>13</v>
      </c>
      <c r="N592">
        <f t="shared" si="18"/>
        <v>0</v>
      </c>
      <c r="O592" t="str" cm="1">
        <f t="array" ref="O592" xml:space="preserve"> _xlfn.IFS(A592 &lt;ASSUMPTIONS!$D$2,"25",A592 &lt;= ASSUMPTIONS!$D$3,"25-34",A592 &lt;= ASSUMPTIONS!$D$4, "35-44",A592 &lt;= ASSUMPTIONS!$D$5,"45-54",TRUE,"55+")</f>
        <v>25-34</v>
      </c>
      <c r="P592" t="str" cm="1">
        <f t="array" ref="P592">_xlfn.IFS( J592 &lt;ASSUMPTIONS!$D$7,"LOW",J592 &lt;= ASSUMPTIONS!$D$8,"MEDIUM",TRUE, "HIGH")</f>
        <v>HIGH</v>
      </c>
      <c r="Q592" t="str">
        <f>IF(M592&lt;ASSUMPTIONS!$D$10,"New (0-2)",IF(M592&lt;=ASSUMPTIONS!$D$11,"Early (2-5)",IF(M592&lt;=ASSUMPTIONS!$D$12,"Established (5-10)","Veteran (10+)")))</f>
        <v>Veteran (10+)</v>
      </c>
      <c r="R592" s="4">
        <f t="shared" si="19"/>
        <v>3.3333333333333335</v>
      </c>
    </row>
    <row r="593" spans="1:18">
      <c r="A593">
        <f>RAW_DATA!A593</f>
        <v>33</v>
      </c>
      <c r="B593" t="str">
        <f>RAW_DATA!B593</f>
        <v>Yes</v>
      </c>
      <c r="C593" t="str">
        <f>RAW_DATA!C593</f>
        <v>Sales</v>
      </c>
      <c r="D593">
        <f>RAW_DATA!D593</f>
        <v>16</v>
      </c>
      <c r="E593">
        <f>RAW_DATA!E593</f>
        <v>3</v>
      </c>
      <c r="F593" t="str">
        <f>RAW_DATA!F593</f>
        <v>Marketing</v>
      </c>
      <c r="G593">
        <f>RAW_DATA!G593</f>
        <v>1</v>
      </c>
      <c r="H593">
        <f>RAW_DATA!H593</f>
        <v>1</v>
      </c>
      <c r="I593" t="str">
        <f>RAW_DATA!I593</f>
        <v>Single</v>
      </c>
      <c r="J593">
        <f>RAW_DATA!J593</f>
        <v>5324</v>
      </c>
      <c r="K593">
        <f>RAW_DATA!K593</f>
        <v>5</v>
      </c>
      <c r="L593">
        <f>RAW_DATA!L593</f>
        <v>3</v>
      </c>
      <c r="M593">
        <f>RAW_DATA!M593</f>
        <v>3</v>
      </c>
      <c r="N593">
        <f t="shared" si="18"/>
        <v>1</v>
      </c>
      <c r="O593" t="str" cm="1">
        <f t="array" ref="O593" xml:space="preserve"> _xlfn.IFS(A593 &lt;ASSUMPTIONS!$D$2,"25",A593 &lt;= ASSUMPTIONS!$D$3,"25-34",A593 &lt;= ASSUMPTIONS!$D$4, "35-44",A593 &lt;= ASSUMPTIONS!$D$5,"45-54",TRUE,"55+")</f>
        <v>25-34</v>
      </c>
      <c r="P593" t="str" cm="1">
        <f t="array" ref="P593">_xlfn.IFS( J593 &lt;ASSUMPTIONS!$D$7,"LOW",J593 &lt;= ASSUMPTIONS!$D$8,"MEDIUM",TRUE, "HIGH")</f>
        <v>MEDIUM</v>
      </c>
      <c r="Q593" t="str">
        <f>IF(M593&lt;ASSUMPTIONS!$D$10,"New (0-2)",IF(M593&lt;=ASSUMPTIONS!$D$11,"Early (2-5)",IF(M593&lt;=ASSUMPTIONS!$D$12,"Established (5-10)","Veteran (10+)")))</f>
        <v>Early (2-5)</v>
      </c>
      <c r="R593" s="4">
        <f t="shared" si="19"/>
        <v>1.6666666666666667</v>
      </c>
    </row>
    <row r="594" spans="1:18">
      <c r="A594">
        <f>RAW_DATA!A594</f>
        <v>47</v>
      </c>
      <c r="B594" t="str">
        <f>RAW_DATA!B594</f>
        <v>No</v>
      </c>
      <c r="C594" t="str">
        <f>RAW_DATA!C594</f>
        <v>Research &amp; Development</v>
      </c>
      <c r="D594">
        <f>RAW_DATA!D594</f>
        <v>2</v>
      </c>
      <c r="E594">
        <f>RAW_DATA!E594</f>
        <v>2</v>
      </c>
      <c r="F594" t="str">
        <f>RAW_DATA!F594</f>
        <v>Other</v>
      </c>
      <c r="G594">
        <f>RAW_DATA!G594</f>
        <v>3</v>
      </c>
      <c r="H594">
        <f>RAW_DATA!H594</f>
        <v>4</v>
      </c>
      <c r="I594" t="str">
        <f>RAW_DATA!I594</f>
        <v>Married</v>
      </c>
      <c r="J594">
        <f>RAW_DATA!J594</f>
        <v>16752</v>
      </c>
      <c r="K594">
        <f>RAW_DATA!K594</f>
        <v>1</v>
      </c>
      <c r="L594">
        <f>RAW_DATA!L594</f>
        <v>2</v>
      </c>
      <c r="M594">
        <f>RAW_DATA!M594</f>
        <v>26</v>
      </c>
      <c r="N594">
        <f t="shared" si="18"/>
        <v>0</v>
      </c>
      <c r="O594" t="str" cm="1">
        <f t="array" ref="O594" xml:space="preserve"> _xlfn.IFS(A594 &lt;ASSUMPTIONS!$D$2,"25",A594 &lt;= ASSUMPTIONS!$D$3,"25-34",A594 &lt;= ASSUMPTIONS!$D$4, "35-44",A594 &lt;= ASSUMPTIONS!$D$5,"45-54",TRUE,"55+")</f>
        <v>45-54</v>
      </c>
      <c r="P594" t="str" cm="1">
        <f t="array" ref="P594">_xlfn.IFS( J594 &lt;ASSUMPTIONS!$D$7,"LOW",J594 &lt;= ASSUMPTIONS!$D$8,"MEDIUM",TRUE, "HIGH")</f>
        <v>HIGH</v>
      </c>
      <c r="Q594" t="str">
        <f>IF(M594&lt;ASSUMPTIONS!$D$10,"New (0-2)",IF(M594&lt;=ASSUMPTIONS!$D$11,"Early (2-5)",IF(M594&lt;=ASSUMPTIONS!$D$12,"Established (5-10)","Veteran (10+)")))</f>
        <v>Veteran (10+)</v>
      </c>
      <c r="R594" s="4">
        <f t="shared" si="19"/>
        <v>3</v>
      </c>
    </row>
    <row r="595" spans="1:18">
      <c r="A595">
        <f>RAW_DATA!A595</f>
        <v>36</v>
      </c>
      <c r="B595" t="str">
        <f>RAW_DATA!B595</f>
        <v>No</v>
      </c>
      <c r="C595" t="str">
        <f>RAW_DATA!C595</f>
        <v>Research &amp; Development</v>
      </c>
      <c r="D595">
        <f>RAW_DATA!D595</f>
        <v>1</v>
      </c>
      <c r="E595">
        <f>RAW_DATA!E595</f>
        <v>3</v>
      </c>
      <c r="F595" t="str">
        <f>RAW_DATA!F595</f>
        <v>Other</v>
      </c>
      <c r="G595">
        <f>RAW_DATA!G595</f>
        <v>3</v>
      </c>
      <c r="H595">
        <f>RAW_DATA!H595</f>
        <v>2</v>
      </c>
      <c r="I595" t="str">
        <f>RAW_DATA!I595</f>
        <v>Married</v>
      </c>
      <c r="J595">
        <f>RAW_DATA!J595</f>
        <v>5228</v>
      </c>
      <c r="K595">
        <f>RAW_DATA!K595</f>
        <v>0</v>
      </c>
      <c r="L595">
        <f>RAW_DATA!L595</f>
        <v>3</v>
      </c>
      <c r="M595">
        <f>RAW_DATA!M595</f>
        <v>9</v>
      </c>
      <c r="N595">
        <f t="shared" si="18"/>
        <v>0</v>
      </c>
      <c r="O595" t="str" cm="1">
        <f t="array" ref="O595" xml:space="preserve"> _xlfn.IFS(A595 &lt;ASSUMPTIONS!$D$2,"25",A595 &lt;= ASSUMPTIONS!$D$3,"25-34",A595 &lt;= ASSUMPTIONS!$D$4, "35-44",A595 &lt;= ASSUMPTIONS!$D$5,"45-54",TRUE,"55+")</f>
        <v>35-44</v>
      </c>
      <c r="P595" t="str" cm="1">
        <f t="array" ref="P595">_xlfn.IFS( J595 &lt;ASSUMPTIONS!$D$7,"LOW",J595 &lt;= ASSUMPTIONS!$D$8,"MEDIUM",TRUE, "HIGH")</f>
        <v>MEDIUM</v>
      </c>
      <c r="Q595" t="str">
        <f>IF(M595&lt;ASSUMPTIONS!$D$10,"New (0-2)",IF(M595&lt;=ASSUMPTIONS!$D$11,"Early (2-5)",IF(M595&lt;=ASSUMPTIONS!$D$12,"Established (5-10)","Veteran (10+)")))</f>
        <v>Established (5-10)</v>
      </c>
      <c r="R595" s="4">
        <f t="shared" si="19"/>
        <v>2.6666666666666665</v>
      </c>
    </row>
    <row r="596" spans="1:18">
      <c r="A596">
        <f>RAW_DATA!A596</f>
        <v>29</v>
      </c>
      <c r="B596" t="str">
        <f>RAW_DATA!B596</f>
        <v>No</v>
      </c>
      <c r="C596" t="str">
        <f>RAW_DATA!C596</f>
        <v>Research &amp; Development</v>
      </c>
      <c r="D596">
        <f>RAW_DATA!D596</f>
        <v>23</v>
      </c>
      <c r="E596">
        <f>RAW_DATA!E596</f>
        <v>2</v>
      </c>
      <c r="F596" t="str">
        <f>RAW_DATA!F596</f>
        <v>Life Sciences</v>
      </c>
      <c r="G596">
        <f>RAW_DATA!G596</f>
        <v>3</v>
      </c>
      <c r="H596">
        <f>RAW_DATA!H596</f>
        <v>3</v>
      </c>
      <c r="I596" t="str">
        <f>RAW_DATA!I596</f>
        <v>Married</v>
      </c>
      <c r="J596">
        <f>RAW_DATA!J596</f>
        <v>2700</v>
      </c>
      <c r="K596">
        <f>RAW_DATA!K596</f>
        <v>1</v>
      </c>
      <c r="L596">
        <f>RAW_DATA!L596</f>
        <v>3</v>
      </c>
      <c r="M596">
        <f>RAW_DATA!M596</f>
        <v>10</v>
      </c>
      <c r="N596">
        <f t="shared" si="18"/>
        <v>0</v>
      </c>
      <c r="O596" t="str" cm="1">
        <f t="array" ref="O596" xml:space="preserve"> _xlfn.IFS(A596 &lt;ASSUMPTIONS!$D$2,"25",A596 &lt;= ASSUMPTIONS!$D$3,"25-34",A596 &lt;= ASSUMPTIONS!$D$4, "35-44",A596 &lt;= ASSUMPTIONS!$D$5,"45-54",TRUE,"55+")</f>
        <v>25-34</v>
      </c>
      <c r="P596" t="str" cm="1">
        <f t="array" ref="P596">_xlfn.IFS( J596 &lt;ASSUMPTIONS!$D$7,"LOW",J596 &lt;= ASSUMPTIONS!$D$8,"MEDIUM",TRUE, "HIGH")</f>
        <v>LOW</v>
      </c>
      <c r="Q596" t="str">
        <f>IF(M596&lt;ASSUMPTIONS!$D$10,"New (0-2)",IF(M596&lt;=ASSUMPTIONS!$D$11,"Early (2-5)",IF(M596&lt;=ASSUMPTIONS!$D$12,"Established (5-10)","Veteran (10+)")))</f>
        <v>Established (5-10)</v>
      </c>
      <c r="R596" s="4">
        <f t="shared" si="19"/>
        <v>3</v>
      </c>
    </row>
    <row r="597" spans="1:18">
      <c r="A597">
        <f>RAW_DATA!A597</f>
        <v>58</v>
      </c>
      <c r="B597" t="str">
        <f>RAW_DATA!B597</f>
        <v>Yes</v>
      </c>
      <c r="C597" t="str">
        <f>RAW_DATA!C597</f>
        <v>Research &amp; Development</v>
      </c>
      <c r="D597">
        <f>RAW_DATA!D597</f>
        <v>2</v>
      </c>
      <c r="E597">
        <f>RAW_DATA!E597</f>
        <v>4</v>
      </c>
      <c r="F597" t="str">
        <f>RAW_DATA!F597</f>
        <v>Life Sciences</v>
      </c>
      <c r="G597">
        <f>RAW_DATA!G597</f>
        <v>4</v>
      </c>
      <c r="H597">
        <f>RAW_DATA!H597</f>
        <v>2</v>
      </c>
      <c r="I597" t="str">
        <f>RAW_DATA!I597</f>
        <v>Single</v>
      </c>
      <c r="J597">
        <f>RAW_DATA!J597</f>
        <v>19246</v>
      </c>
      <c r="K597">
        <f>RAW_DATA!K597</f>
        <v>7</v>
      </c>
      <c r="L597">
        <f>RAW_DATA!L597</f>
        <v>3</v>
      </c>
      <c r="M597">
        <f>RAW_DATA!M597</f>
        <v>31</v>
      </c>
      <c r="N597">
        <f t="shared" si="18"/>
        <v>1</v>
      </c>
      <c r="O597" t="str" cm="1">
        <f t="array" ref="O597" xml:space="preserve"> _xlfn.IFS(A597 &lt;ASSUMPTIONS!$D$2,"25",A597 &lt;= ASSUMPTIONS!$D$3,"25-34",A597 &lt;= ASSUMPTIONS!$D$4, "35-44",A597 &lt;= ASSUMPTIONS!$D$5,"45-54",TRUE,"55+")</f>
        <v>55+</v>
      </c>
      <c r="P597" t="str" cm="1">
        <f t="array" ref="P597">_xlfn.IFS( J597 &lt;ASSUMPTIONS!$D$7,"LOW",J597 &lt;= ASSUMPTIONS!$D$8,"MEDIUM",TRUE, "HIGH")</f>
        <v>HIGH</v>
      </c>
      <c r="Q597" t="str">
        <f>IF(M597&lt;ASSUMPTIONS!$D$10,"New (0-2)",IF(M597&lt;=ASSUMPTIONS!$D$11,"Early (2-5)",IF(M597&lt;=ASSUMPTIONS!$D$12,"Established (5-10)","Veteran (10+)")))</f>
        <v>Veteran (10+)</v>
      </c>
      <c r="R597" s="4">
        <f t="shared" si="19"/>
        <v>3</v>
      </c>
    </row>
    <row r="598" spans="1:18">
      <c r="A598">
        <f>RAW_DATA!A598</f>
        <v>35</v>
      </c>
      <c r="B598" t="str">
        <f>RAW_DATA!B598</f>
        <v>No</v>
      </c>
      <c r="C598" t="str">
        <f>RAW_DATA!C598</f>
        <v>Research &amp; Development</v>
      </c>
      <c r="D598">
        <f>RAW_DATA!D598</f>
        <v>1</v>
      </c>
      <c r="E598">
        <f>RAW_DATA!E598</f>
        <v>4</v>
      </c>
      <c r="F598" t="str">
        <f>RAW_DATA!F598</f>
        <v>Life Sciences</v>
      </c>
      <c r="G598">
        <f>RAW_DATA!G598</f>
        <v>4</v>
      </c>
      <c r="H598">
        <f>RAW_DATA!H598</f>
        <v>3</v>
      </c>
      <c r="I598" t="str">
        <f>RAW_DATA!I598</f>
        <v>Single</v>
      </c>
      <c r="J598">
        <f>RAW_DATA!J598</f>
        <v>2506</v>
      </c>
      <c r="K598">
        <f>RAW_DATA!K598</f>
        <v>3</v>
      </c>
      <c r="L598">
        <f>RAW_DATA!L598</f>
        <v>3</v>
      </c>
      <c r="M598">
        <f>RAW_DATA!M598</f>
        <v>2</v>
      </c>
      <c r="N598">
        <f t="shared" si="18"/>
        <v>0</v>
      </c>
      <c r="O598" t="str" cm="1">
        <f t="array" ref="O598" xml:space="preserve"> _xlfn.IFS(A598 &lt;ASSUMPTIONS!$D$2,"25",A598 &lt;= ASSUMPTIONS!$D$3,"25-34",A598 &lt;= ASSUMPTIONS!$D$4, "35-44",A598 &lt;= ASSUMPTIONS!$D$5,"45-54",TRUE,"55+")</f>
        <v>35-44</v>
      </c>
      <c r="P598" t="str" cm="1">
        <f t="array" ref="P598">_xlfn.IFS( J598 &lt;ASSUMPTIONS!$D$7,"LOW",J598 &lt;= ASSUMPTIONS!$D$8,"MEDIUM",TRUE, "HIGH")</f>
        <v>LOW</v>
      </c>
      <c r="Q598" t="str">
        <f>IF(M598&lt;ASSUMPTIONS!$D$10,"New (0-2)",IF(M598&lt;=ASSUMPTIONS!$D$11,"Early (2-5)",IF(M598&lt;=ASSUMPTIONS!$D$12,"Established (5-10)","Veteran (10+)")))</f>
        <v>Early (2-5)</v>
      </c>
      <c r="R598" s="4">
        <f t="shared" si="19"/>
        <v>3.3333333333333335</v>
      </c>
    </row>
    <row r="599" spans="1:18">
      <c r="A599">
        <f>RAW_DATA!A599</f>
        <v>42</v>
      </c>
      <c r="B599" t="str">
        <f>RAW_DATA!B599</f>
        <v>No</v>
      </c>
      <c r="C599" t="str">
        <f>RAW_DATA!C599</f>
        <v>Research &amp; Development</v>
      </c>
      <c r="D599">
        <f>RAW_DATA!D599</f>
        <v>1</v>
      </c>
      <c r="E599">
        <f>RAW_DATA!E599</f>
        <v>2</v>
      </c>
      <c r="F599" t="str">
        <f>RAW_DATA!F599</f>
        <v>Life Sciences</v>
      </c>
      <c r="G599">
        <f>RAW_DATA!G599</f>
        <v>4</v>
      </c>
      <c r="H599">
        <f>RAW_DATA!H599</f>
        <v>4</v>
      </c>
      <c r="I599" t="str">
        <f>RAW_DATA!I599</f>
        <v>Married</v>
      </c>
      <c r="J599">
        <f>RAW_DATA!J599</f>
        <v>6062</v>
      </c>
      <c r="K599">
        <f>RAW_DATA!K599</f>
        <v>9</v>
      </c>
      <c r="L599">
        <f>RAW_DATA!L599</f>
        <v>3</v>
      </c>
      <c r="M599">
        <f>RAW_DATA!M599</f>
        <v>4</v>
      </c>
      <c r="N599">
        <f t="shared" si="18"/>
        <v>0</v>
      </c>
      <c r="O599" t="str" cm="1">
        <f t="array" ref="O599" xml:space="preserve"> _xlfn.IFS(A599 &lt;ASSUMPTIONS!$D$2,"25",A599 &lt;= ASSUMPTIONS!$D$3,"25-34",A599 &lt;= ASSUMPTIONS!$D$4, "35-44",A599 &lt;= ASSUMPTIONS!$D$5,"45-54",TRUE,"55+")</f>
        <v>35-44</v>
      </c>
      <c r="P599" t="str" cm="1">
        <f t="array" ref="P599">_xlfn.IFS( J599 &lt;ASSUMPTIONS!$D$7,"LOW",J599 &lt;= ASSUMPTIONS!$D$8,"MEDIUM",TRUE, "HIGH")</f>
        <v>MEDIUM</v>
      </c>
      <c r="Q599" t="str">
        <f>IF(M599&lt;ASSUMPTIONS!$D$10,"New (0-2)",IF(M599&lt;=ASSUMPTIONS!$D$11,"Early (2-5)",IF(M599&lt;=ASSUMPTIONS!$D$12,"Established (5-10)","Veteran (10+)")))</f>
        <v>Early (2-5)</v>
      </c>
      <c r="R599" s="4">
        <f t="shared" si="19"/>
        <v>3.6666666666666665</v>
      </c>
    </row>
    <row r="600" spans="1:18">
      <c r="A600">
        <f>RAW_DATA!A600</f>
        <v>28</v>
      </c>
      <c r="B600" t="str">
        <f>RAW_DATA!B600</f>
        <v>Yes</v>
      </c>
      <c r="C600" t="str">
        <f>RAW_DATA!C600</f>
        <v>Research &amp; Development</v>
      </c>
      <c r="D600">
        <f>RAW_DATA!D600</f>
        <v>2</v>
      </c>
      <c r="E600">
        <f>RAW_DATA!E600</f>
        <v>4</v>
      </c>
      <c r="F600" t="str">
        <f>RAW_DATA!F600</f>
        <v>Medical</v>
      </c>
      <c r="G600">
        <f>RAW_DATA!G600</f>
        <v>3</v>
      </c>
      <c r="H600">
        <f>RAW_DATA!H600</f>
        <v>3</v>
      </c>
      <c r="I600" t="str">
        <f>RAW_DATA!I600</f>
        <v>Single</v>
      </c>
      <c r="J600">
        <f>RAW_DATA!J600</f>
        <v>4382</v>
      </c>
      <c r="K600">
        <f>RAW_DATA!K600</f>
        <v>6</v>
      </c>
      <c r="L600">
        <f>RAW_DATA!L600</f>
        <v>2</v>
      </c>
      <c r="M600">
        <f>RAW_DATA!M600</f>
        <v>2</v>
      </c>
      <c r="N600">
        <f t="shared" si="18"/>
        <v>1</v>
      </c>
      <c r="O600" t="str" cm="1">
        <f t="array" ref="O600" xml:space="preserve"> _xlfn.IFS(A600 &lt;ASSUMPTIONS!$D$2,"25",A600 &lt;= ASSUMPTIONS!$D$3,"25-34",A600 &lt;= ASSUMPTIONS!$D$4, "35-44",A600 &lt;= ASSUMPTIONS!$D$5,"45-54",TRUE,"55+")</f>
        <v>25-34</v>
      </c>
      <c r="P600" t="str" cm="1">
        <f t="array" ref="P600">_xlfn.IFS( J600 &lt;ASSUMPTIONS!$D$7,"LOW",J600 &lt;= ASSUMPTIONS!$D$8,"MEDIUM",TRUE, "HIGH")</f>
        <v>MEDIUM</v>
      </c>
      <c r="Q600" t="str">
        <f>IF(M600&lt;ASSUMPTIONS!$D$10,"New (0-2)",IF(M600&lt;=ASSUMPTIONS!$D$11,"Early (2-5)",IF(M600&lt;=ASSUMPTIONS!$D$12,"Established (5-10)","Veteran (10+)")))</f>
        <v>Early (2-5)</v>
      </c>
      <c r="R600" s="4">
        <f t="shared" si="19"/>
        <v>2.6666666666666665</v>
      </c>
    </row>
    <row r="601" spans="1:18">
      <c r="A601">
        <f>RAW_DATA!A601</f>
        <v>36</v>
      </c>
      <c r="B601" t="str">
        <f>RAW_DATA!B601</f>
        <v>No</v>
      </c>
      <c r="C601" t="str">
        <f>RAW_DATA!C601</f>
        <v>Human Resources</v>
      </c>
      <c r="D601">
        <f>RAW_DATA!D601</f>
        <v>13</v>
      </c>
      <c r="E601">
        <f>RAW_DATA!E601</f>
        <v>3</v>
      </c>
      <c r="F601" t="str">
        <f>RAW_DATA!F601</f>
        <v>Human Resources</v>
      </c>
      <c r="G601">
        <f>RAW_DATA!G601</f>
        <v>3</v>
      </c>
      <c r="H601">
        <f>RAW_DATA!H601</f>
        <v>2</v>
      </c>
      <c r="I601" t="str">
        <f>RAW_DATA!I601</f>
        <v>Married</v>
      </c>
      <c r="J601">
        <f>RAW_DATA!J601</f>
        <v>2143</v>
      </c>
      <c r="K601">
        <f>RAW_DATA!K601</f>
        <v>4</v>
      </c>
      <c r="L601">
        <f>RAW_DATA!L601</f>
        <v>3</v>
      </c>
      <c r="M601">
        <f>RAW_DATA!M601</f>
        <v>5</v>
      </c>
      <c r="N601">
        <f t="shared" si="18"/>
        <v>0</v>
      </c>
      <c r="O601" t="str" cm="1">
        <f t="array" ref="O601" xml:space="preserve"> _xlfn.IFS(A601 &lt;ASSUMPTIONS!$D$2,"25",A601 &lt;= ASSUMPTIONS!$D$3,"25-34",A601 &lt;= ASSUMPTIONS!$D$4, "35-44",A601 &lt;= ASSUMPTIONS!$D$5,"45-54",TRUE,"55+")</f>
        <v>35-44</v>
      </c>
      <c r="P601" t="str" cm="1">
        <f t="array" ref="P601">_xlfn.IFS( J601 &lt;ASSUMPTIONS!$D$7,"LOW",J601 &lt;= ASSUMPTIONS!$D$8,"MEDIUM",TRUE, "HIGH")</f>
        <v>LOW</v>
      </c>
      <c r="Q601" t="str">
        <f>IF(M601&lt;ASSUMPTIONS!$D$10,"New (0-2)",IF(M601&lt;=ASSUMPTIONS!$D$11,"Early (2-5)",IF(M601&lt;=ASSUMPTIONS!$D$12,"Established (5-10)","Veteran (10+)")))</f>
        <v>Early (2-5)</v>
      </c>
      <c r="R601" s="4">
        <f t="shared" si="19"/>
        <v>2.6666666666666665</v>
      </c>
    </row>
    <row r="602" spans="1:18">
      <c r="A602">
        <f>RAW_DATA!A602</f>
        <v>32</v>
      </c>
      <c r="B602" t="str">
        <f>RAW_DATA!B602</f>
        <v>No</v>
      </c>
      <c r="C602" t="str">
        <f>RAW_DATA!C602</f>
        <v>Research &amp; Development</v>
      </c>
      <c r="D602">
        <f>RAW_DATA!D602</f>
        <v>4</v>
      </c>
      <c r="E602">
        <f>RAW_DATA!E602</f>
        <v>3</v>
      </c>
      <c r="F602" t="str">
        <f>RAW_DATA!F602</f>
        <v>Life Sciences</v>
      </c>
      <c r="G602">
        <f>RAW_DATA!G602</f>
        <v>3</v>
      </c>
      <c r="H602">
        <f>RAW_DATA!H602</f>
        <v>3</v>
      </c>
      <c r="I602" t="str">
        <f>RAW_DATA!I602</f>
        <v>Married</v>
      </c>
      <c r="J602">
        <f>RAW_DATA!J602</f>
        <v>6162</v>
      </c>
      <c r="K602">
        <f>RAW_DATA!K602</f>
        <v>1</v>
      </c>
      <c r="L602">
        <f>RAW_DATA!L602</f>
        <v>3</v>
      </c>
      <c r="M602">
        <f>RAW_DATA!M602</f>
        <v>14</v>
      </c>
      <c r="N602">
        <f t="shared" si="18"/>
        <v>0</v>
      </c>
      <c r="O602" t="str" cm="1">
        <f t="array" ref="O602" xml:space="preserve"> _xlfn.IFS(A602 &lt;ASSUMPTIONS!$D$2,"25",A602 &lt;= ASSUMPTIONS!$D$3,"25-34",A602 &lt;= ASSUMPTIONS!$D$4, "35-44",A602 &lt;= ASSUMPTIONS!$D$5,"45-54",TRUE,"55+")</f>
        <v>25-34</v>
      </c>
      <c r="P602" t="str" cm="1">
        <f t="array" ref="P602">_xlfn.IFS( J602 &lt;ASSUMPTIONS!$D$7,"LOW",J602 &lt;= ASSUMPTIONS!$D$8,"MEDIUM",TRUE, "HIGH")</f>
        <v>MEDIUM</v>
      </c>
      <c r="Q602" t="str">
        <f>IF(M602&lt;ASSUMPTIONS!$D$10,"New (0-2)",IF(M602&lt;=ASSUMPTIONS!$D$11,"Early (2-5)",IF(M602&lt;=ASSUMPTIONS!$D$12,"Established (5-10)","Veteran (10+)")))</f>
        <v>Veteran (10+)</v>
      </c>
      <c r="R602" s="4">
        <f t="shared" si="19"/>
        <v>3</v>
      </c>
    </row>
    <row r="603" spans="1:18">
      <c r="A603">
        <f>RAW_DATA!A603</f>
        <v>40</v>
      </c>
      <c r="B603" t="str">
        <f>RAW_DATA!B603</f>
        <v>No</v>
      </c>
      <c r="C603" t="str">
        <f>RAW_DATA!C603</f>
        <v>Research &amp; Development</v>
      </c>
      <c r="D603">
        <f>RAW_DATA!D603</f>
        <v>16</v>
      </c>
      <c r="E603">
        <f>RAW_DATA!E603</f>
        <v>4</v>
      </c>
      <c r="F603" t="str">
        <f>RAW_DATA!F603</f>
        <v>Medical</v>
      </c>
      <c r="G603">
        <f>RAW_DATA!G603</f>
        <v>1</v>
      </c>
      <c r="H603">
        <f>RAW_DATA!H603</f>
        <v>3</v>
      </c>
      <c r="I603" t="str">
        <f>RAW_DATA!I603</f>
        <v>Single</v>
      </c>
      <c r="J603">
        <f>RAW_DATA!J603</f>
        <v>5094</v>
      </c>
      <c r="K603">
        <f>RAW_DATA!K603</f>
        <v>6</v>
      </c>
      <c r="L603">
        <f>RAW_DATA!L603</f>
        <v>3</v>
      </c>
      <c r="M603">
        <f>RAW_DATA!M603</f>
        <v>1</v>
      </c>
      <c r="N603">
        <f t="shared" si="18"/>
        <v>0</v>
      </c>
      <c r="O603" t="str" cm="1">
        <f t="array" ref="O603" xml:space="preserve"> _xlfn.IFS(A603 &lt;ASSUMPTIONS!$D$2,"25",A603 &lt;= ASSUMPTIONS!$D$3,"25-34",A603 &lt;= ASSUMPTIONS!$D$4, "35-44",A603 &lt;= ASSUMPTIONS!$D$5,"45-54",TRUE,"55+")</f>
        <v>35-44</v>
      </c>
      <c r="P603" t="str" cm="1">
        <f t="array" ref="P603">_xlfn.IFS( J603 &lt;ASSUMPTIONS!$D$7,"LOW",J603 &lt;= ASSUMPTIONS!$D$8,"MEDIUM",TRUE, "HIGH")</f>
        <v>MEDIUM</v>
      </c>
      <c r="Q603" t="str">
        <f>IF(M603&lt;ASSUMPTIONS!$D$10,"New (0-2)",IF(M603&lt;=ASSUMPTIONS!$D$11,"Early (2-5)",IF(M603&lt;=ASSUMPTIONS!$D$12,"Established (5-10)","Veteran (10+)")))</f>
        <v>New (0-2)</v>
      </c>
      <c r="R603" s="4">
        <f t="shared" si="19"/>
        <v>2.3333333333333335</v>
      </c>
    </row>
    <row r="604" spans="1:18">
      <c r="A604">
        <f>RAW_DATA!A604</f>
        <v>30</v>
      </c>
      <c r="B604" t="str">
        <f>RAW_DATA!B604</f>
        <v>No</v>
      </c>
      <c r="C604" t="str">
        <f>RAW_DATA!C604</f>
        <v>Research &amp; Development</v>
      </c>
      <c r="D604">
        <f>RAW_DATA!D604</f>
        <v>2</v>
      </c>
      <c r="E604">
        <f>RAW_DATA!E604</f>
        <v>3</v>
      </c>
      <c r="F604" t="str">
        <f>RAW_DATA!F604</f>
        <v>Medical</v>
      </c>
      <c r="G604">
        <f>RAW_DATA!G604</f>
        <v>3</v>
      </c>
      <c r="H604">
        <f>RAW_DATA!H604</f>
        <v>4</v>
      </c>
      <c r="I604" t="str">
        <f>RAW_DATA!I604</f>
        <v>Single</v>
      </c>
      <c r="J604">
        <f>RAW_DATA!J604</f>
        <v>6877</v>
      </c>
      <c r="K604">
        <f>RAW_DATA!K604</f>
        <v>5</v>
      </c>
      <c r="L604">
        <f>RAW_DATA!L604</f>
        <v>2</v>
      </c>
      <c r="M604">
        <f>RAW_DATA!M604</f>
        <v>0</v>
      </c>
      <c r="N604">
        <f t="shared" si="18"/>
        <v>0</v>
      </c>
      <c r="O604" t="str" cm="1">
        <f t="array" ref="O604" xml:space="preserve"> _xlfn.IFS(A604 &lt;ASSUMPTIONS!$D$2,"25",A604 &lt;= ASSUMPTIONS!$D$3,"25-34",A604 &lt;= ASSUMPTIONS!$D$4, "35-44",A604 &lt;= ASSUMPTIONS!$D$5,"45-54",TRUE,"55+")</f>
        <v>25-34</v>
      </c>
      <c r="P604" t="str" cm="1">
        <f t="array" ref="P604">_xlfn.IFS( J604 &lt;ASSUMPTIONS!$D$7,"LOW",J604 &lt;= ASSUMPTIONS!$D$8,"MEDIUM",TRUE, "HIGH")</f>
        <v>MEDIUM</v>
      </c>
      <c r="Q604" t="str">
        <f>IF(M604&lt;ASSUMPTIONS!$D$10,"New (0-2)",IF(M604&lt;=ASSUMPTIONS!$D$11,"Early (2-5)",IF(M604&lt;=ASSUMPTIONS!$D$12,"Established (5-10)","Veteran (10+)")))</f>
        <v>New (0-2)</v>
      </c>
      <c r="R604" s="4">
        <f t="shared" si="19"/>
        <v>3</v>
      </c>
    </row>
    <row r="605" spans="1:18">
      <c r="A605">
        <f>RAW_DATA!A605</f>
        <v>45</v>
      </c>
      <c r="B605" t="str">
        <f>RAW_DATA!B605</f>
        <v>No</v>
      </c>
      <c r="C605" t="str">
        <f>RAW_DATA!C605</f>
        <v>Research &amp; Development</v>
      </c>
      <c r="D605">
        <f>RAW_DATA!D605</f>
        <v>2</v>
      </c>
      <c r="E605">
        <f>RAW_DATA!E605</f>
        <v>3</v>
      </c>
      <c r="F605" t="str">
        <f>RAW_DATA!F605</f>
        <v>Life Sciences</v>
      </c>
      <c r="G605">
        <f>RAW_DATA!G605</f>
        <v>2</v>
      </c>
      <c r="H605">
        <f>RAW_DATA!H605</f>
        <v>3</v>
      </c>
      <c r="I605" t="str">
        <f>RAW_DATA!I605</f>
        <v>Single</v>
      </c>
      <c r="J605">
        <f>RAW_DATA!J605</f>
        <v>2274</v>
      </c>
      <c r="K605">
        <f>RAW_DATA!K605</f>
        <v>1</v>
      </c>
      <c r="L605">
        <f>RAW_DATA!L605</f>
        <v>3</v>
      </c>
      <c r="M605">
        <f>RAW_DATA!M605</f>
        <v>1</v>
      </c>
      <c r="N605">
        <f t="shared" si="18"/>
        <v>0</v>
      </c>
      <c r="O605" t="str" cm="1">
        <f t="array" ref="O605" xml:space="preserve"> _xlfn.IFS(A605 &lt;ASSUMPTIONS!$D$2,"25",A605 &lt;= ASSUMPTIONS!$D$3,"25-34",A605 &lt;= ASSUMPTIONS!$D$4, "35-44",A605 &lt;= ASSUMPTIONS!$D$5,"45-54",TRUE,"55+")</f>
        <v>45-54</v>
      </c>
      <c r="P605" t="str" cm="1">
        <f t="array" ref="P605">_xlfn.IFS( J605 &lt;ASSUMPTIONS!$D$7,"LOW",J605 &lt;= ASSUMPTIONS!$D$8,"MEDIUM",TRUE, "HIGH")</f>
        <v>LOW</v>
      </c>
      <c r="Q605" t="str">
        <f>IF(M605&lt;ASSUMPTIONS!$D$10,"New (0-2)",IF(M605&lt;=ASSUMPTIONS!$D$11,"Early (2-5)",IF(M605&lt;=ASSUMPTIONS!$D$12,"Established (5-10)","Veteran (10+)")))</f>
        <v>New (0-2)</v>
      </c>
      <c r="R605" s="4">
        <f t="shared" si="19"/>
        <v>2.6666666666666665</v>
      </c>
    </row>
    <row r="606" spans="1:18">
      <c r="A606">
        <f>RAW_DATA!A606</f>
        <v>42</v>
      </c>
      <c r="B606" t="str">
        <f>RAW_DATA!B606</f>
        <v>No</v>
      </c>
      <c r="C606" t="str">
        <f>RAW_DATA!C606</f>
        <v>Research &amp; Development</v>
      </c>
      <c r="D606">
        <f>RAW_DATA!D606</f>
        <v>29</v>
      </c>
      <c r="E606">
        <f>RAW_DATA!E606</f>
        <v>3</v>
      </c>
      <c r="F606" t="str">
        <f>RAW_DATA!F606</f>
        <v>Life Sciences</v>
      </c>
      <c r="G606">
        <f>RAW_DATA!G606</f>
        <v>2</v>
      </c>
      <c r="H606">
        <f>RAW_DATA!H606</f>
        <v>2</v>
      </c>
      <c r="I606" t="str">
        <f>RAW_DATA!I606</f>
        <v>Married</v>
      </c>
      <c r="J606">
        <f>RAW_DATA!J606</f>
        <v>4434</v>
      </c>
      <c r="K606">
        <f>RAW_DATA!K606</f>
        <v>1</v>
      </c>
      <c r="L606">
        <f>RAW_DATA!L606</f>
        <v>2</v>
      </c>
      <c r="M606">
        <f>RAW_DATA!M606</f>
        <v>9</v>
      </c>
      <c r="N606">
        <f t="shared" si="18"/>
        <v>0</v>
      </c>
      <c r="O606" t="str" cm="1">
        <f t="array" ref="O606" xml:space="preserve"> _xlfn.IFS(A606 &lt;ASSUMPTIONS!$D$2,"25",A606 &lt;= ASSUMPTIONS!$D$3,"25-34",A606 &lt;= ASSUMPTIONS!$D$4, "35-44",A606 &lt;= ASSUMPTIONS!$D$5,"45-54",TRUE,"55+")</f>
        <v>35-44</v>
      </c>
      <c r="P606" t="str" cm="1">
        <f t="array" ref="P606">_xlfn.IFS( J606 &lt;ASSUMPTIONS!$D$7,"LOW",J606 &lt;= ASSUMPTIONS!$D$8,"MEDIUM",TRUE, "HIGH")</f>
        <v>MEDIUM</v>
      </c>
      <c r="Q606" t="str">
        <f>IF(M606&lt;ASSUMPTIONS!$D$10,"New (0-2)",IF(M606&lt;=ASSUMPTIONS!$D$11,"Early (2-5)",IF(M606&lt;=ASSUMPTIONS!$D$12,"Established (5-10)","Veteran (10+)")))</f>
        <v>Established (5-10)</v>
      </c>
      <c r="R606" s="4">
        <f t="shared" si="19"/>
        <v>2</v>
      </c>
    </row>
    <row r="607" spans="1:18">
      <c r="A607">
        <f>RAW_DATA!A607</f>
        <v>38</v>
      </c>
      <c r="B607" t="str">
        <f>RAW_DATA!B607</f>
        <v>No</v>
      </c>
      <c r="C607" t="str">
        <f>RAW_DATA!C607</f>
        <v>Research &amp; Development</v>
      </c>
      <c r="D607">
        <f>RAW_DATA!D607</f>
        <v>12</v>
      </c>
      <c r="E607">
        <f>RAW_DATA!E607</f>
        <v>3</v>
      </c>
      <c r="F607" t="str">
        <f>RAW_DATA!F607</f>
        <v>Life Sciences</v>
      </c>
      <c r="G607">
        <f>RAW_DATA!G607</f>
        <v>1</v>
      </c>
      <c r="H607">
        <f>RAW_DATA!H607</f>
        <v>1</v>
      </c>
      <c r="I607" t="str">
        <f>RAW_DATA!I607</f>
        <v>Divorced</v>
      </c>
      <c r="J607">
        <f>RAW_DATA!J607</f>
        <v>6288</v>
      </c>
      <c r="K607">
        <f>RAW_DATA!K607</f>
        <v>2</v>
      </c>
      <c r="L607">
        <f>RAW_DATA!L607</f>
        <v>2</v>
      </c>
      <c r="M607">
        <f>RAW_DATA!M607</f>
        <v>4</v>
      </c>
      <c r="N607">
        <f t="shared" si="18"/>
        <v>0</v>
      </c>
      <c r="O607" t="str" cm="1">
        <f t="array" ref="O607" xml:space="preserve"> _xlfn.IFS(A607 &lt;ASSUMPTIONS!$D$2,"25",A607 &lt;= ASSUMPTIONS!$D$3,"25-34",A607 &lt;= ASSUMPTIONS!$D$4, "35-44",A607 &lt;= ASSUMPTIONS!$D$5,"45-54",TRUE,"55+")</f>
        <v>35-44</v>
      </c>
      <c r="P607" t="str" cm="1">
        <f t="array" ref="P607">_xlfn.IFS( J607 &lt;ASSUMPTIONS!$D$7,"LOW",J607 &lt;= ASSUMPTIONS!$D$8,"MEDIUM",TRUE, "HIGH")</f>
        <v>MEDIUM</v>
      </c>
      <c r="Q607" t="str">
        <f>IF(M607&lt;ASSUMPTIONS!$D$10,"New (0-2)",IF(M607&lt;=ASSUMPTIONS!$D$11,"Early (2-5)",IF(M607&lt;=ASSUMPTIONS!$D$12,"Established (5-10)","Veteran (10+)")))</f>
        <v>Early (2-5)</v>
      </c>
      <c r="R607" s="4">
        <f t="shared" si="19"/>
        <v>1.3333333333333333</v>
      </c>
    </row>
    <row r="608" spans="1:18">
      <c r="A608">
        <f>RAW_DATA!A608</f>
        <v>34</v>
      </c>
      <c r="B608" t="str">
        <f>RAW_DATA!B608</f>
        <v>No</v>
      </c>
      <c r="C608" t="str">
        <f>RAW_DATA!C608</f>
        <v>Research &amp; Development</v>
      </c>
      <c r="D608">
        <f>RAW_DATA!D608</f>
        <v>16</v>
      </c>
      <c r="E608">
        <f>RAW_DATA!E608</f>
        <v>4</v>
      </c>
      <c r="F608" t="str">
        <f>RAW_DATA!F608</f>
        <v>Life Sciences</v>
      </c>
      <c r="G608">
        <f>RAW_DATA!G608</f>
        <v>3</v>
      </c>
      <c r="H608">
        <f>RAW_DATA!H608</f>
        <v>4</v>
      </c>
      <c r="I608" t="str">
        <f>RAW_DATA!I608</f>
        <v>Single</v>
      </c>
      <c r="J608">
        <f>RAW_DATA!J608</f>
        <v>2553</v>
      </c>
      <c r="K608">
        <f>RAW_DATA!K608</f>
        <v>1</v>
      </c>
      <c r="L608">
        <f>RAW_DATA!L608</f>
        <v>3</v>
      </c>
      <c r="M608">
        <f>RAW_DATA!M608</f>
        <v>5</v>
      </c>
      <c r="N608">
        <f t="shared" si="18"/>
        <v>0</v>
      </c>
      <c r="O608" t="str" cm="1">
        <f t="array" ref="O608" xml:space="preserve"> _xlfn.IFS(A608 &lt;ASSUMPTIONS!$D$2,"25",A608 &lt;= ASSUMPTIONS!$D$3,"25-34",A608 &lt;= ASSUMPTIONS!$D$4, "35-44",A608 &lt;= ASSUMPTIONS!$D$5,"45-54",TRUE,"55+")</f>
        <v>25-34</v>
      </c>
      <c r="P608" t="str" cm="1">
        <f t="array" ref="P608">_xlfn.IFS( J608 &lt;ASSUMPTIONS!$D$7,"LOW",J608 &lt;= ASSUMPTIONS!$D$8,"MEDIUM",TRUE, "HIGH")</f>
        <v>LOW</v>
      </c>
      <c r="Q608" t="str">
        <f>IF(M608&lt;ASSUMPTIONS!$D$10,"New (0-2)",IF(M608&lt;=ASSUMPTIONS!$D$11,"Early (2-5)",IF(M608&lt;=ASSUMPTIONS!$D$12,"Established (5-10)","Veteran (10+)")))</f>
        <v>Early (2-5)</v>
      </c>
      <c r="R608" s="4">
        <f t="shared" si="19"/>
        <v>3.3333333333333335</v>
      </c>
    </row>
    <row r="609" spans="1:18">
      <c r="A609">
        <f>RAW_DATA!A609</f>
        <v>49</v>
      </c>
      <c r="B609" t="str">
        <f>RAW_DATA!B609</f>
        <v>Yes</v>
      </c>
      <c r="C609" t="str">
        <f>RAW_DATA!C609</f>
        <v>Sales</v>
      </c>
      <c r="D609">
        <f>RAW_DATA!D609</f>
        <v>11</v>
      </c>
      <c r="E609">
        <f>RAW_DATA!E609</f>
        <v>3</v>
      </c>
      <c r="F609" t="str">
        <f>RAW_DATA!F609</f>
        <v>Marketing</v>
      </c>
      <c r="G609">
        <f>RAW_DATA!G609</f>
        <v>3</v>
      </c>
      <c r="H609">
        <f>RAW_DATA!H609</f>
        <v>4</v>
      </c>
      <c r="I609" t="str">
        <f>RAW_DATA!I609</f>
        <v>Married</v>
      </c>
      <c r="J609">
        <f>RAW_DATA!J609</f>
        <v>7654</v>
      </c>
      <c r="K609">
        <f>RAW_DATA!K609</f>
        <v>1</v>
      </c>
      <c r="L609">
        <f>RAW_DATA!L609</f>
        <v>4</v>
      </c>
      <c r="M609">
        <f>RAW_DATA!M609</f>
        <v>9</v>
      </c>
      <c r="N609">
        <f t="shared" si="18"/>
        <v>1</v>
      </c>
      <c r="O609" t="str" cm="1">
        <f t="array" ref="O609" xml:space="preserve"> _xlfn.IFS(A609 &lt;ASSUMPTIONS!$D$2,"25",A609 &lt;= ASSUMPTIONS!$D$3,"25-34",A609 &lt;= ASSUMPTIONS!$D$4, "35-44",A609 &lt;= ASSUMPTIONS!$D$5,"45-54",TRUE,"55+")</f>
        <v>45-54</v>
      </c>
      <c r="P609" t="str" cm="1">
        <f t="array" ref="P609">_xlfn.IFS( J609 &lt;ASSUMPTIONS!$D$7,"LOW",J609 &lt;= ASSUMPTIONS!$D$8,"MEDIUM",TRUE, "HIGH")</f>
        <v>HIGH</v>
      </c>
      <c r="Q609" t="str">
        <f>IF(M609&lt;ASSUMPTIONS!$D$10,"New (0-2)",IF(M609&lt;=ASSUMPTIONS!$D$11,"Early (2-5)",IF(M609&lt;=ASSUMPTIONS!$D$12,"Established (5-10)","Veteran (10+)")))</f>
        <v>Established (5-10)</v>
      </c>
      <c r="R609" s="4">
        <f t="shared" si="19"/>
        <v>3.6666666666666665</v>
      </c>
    </row>
    <row r="610" spans="1:18">
      <c r="A610">
        <f>RAW_DATA!A610</f>
        <v>55</v>
      </c>
      <c r="B610" t="str">
        <f>RAW_DATA!B610</f>
        <v>Yes</v>
      </c>
      <c r="C610" t="str">
        <f>RAW_DATA!C610</f>
        <v>Sales</v>
      </c>
      <c r="D610">
        <f>RAW_DATA!D610</f>
        <v>2</v>
      </c>
      <c r="E610">
        <f>RAW_DATA!E610</f>
        <v>1</v>
      </c>
      <c r="F610" t="str">
        <f>RAW_DATA!F610</f>
        <v>Medical</v>
      </c>
      <c r="G610">
        <f>RAW_DATA!G610</f>
        <v>3</v>
      </c>
      <c r="H610">
        <f>RAW_DATA!H610</f>
        <v>4</v>
      </c>
      <c r="I610" t="str">
        <f>RAW_DATA!I610</f>
        <v>Single</v>
      </c>
      <c r="J610">
        <f>RAW_DATA!J610</f>
        <v>5160</v>
      </c>
      <c r="K610">
        <f>RAW_DATA!K610</f>
        <v>4</v>
      </c>
      <c r="L610">
        <f>RAW_DATA!L610</f>
        <v>2</v>
      </c>
      <c r="M610">
        <f>RAW_DATA!M610</f>
        <v>9</v>
      </c>
      <c r="N610">
        <f t="shared" si="18"/>
        <v>1</v>
      </c>
      <c r="O610" t="str" cm="1">
        <f t="array" ref="O610" xml:space="preserve"> _xlfn.IFS(A610 &lt;ASSUMPTIONS!$D$2,"25",A610 &lt;= ASSUMPTIONS!$D$3,"25-34",A610 &lt;= ASSUMPTIONS!$D$4, "35-44",A610 &lt;= ASSUMPTIONS!$D$5,"45-54",TRUE,"55+")</f>
        <v>55+</v>
      </c>
      <c r="P610" t="str" cm="1">
        <f t="array" ref="P610">_xlfn.IFS( J610 &lt;ASSUMPTIONS!$D$7,"LOW",J610 &lt;= ASSUMPTIONS!$D$8,"MEDIUM",TRUE, "HIGH")</f>
        <v>MEDIUM</v>
      </c>
      <c r="Q610" t="str">
        <f>IF(M610&lt;ASSUMPTIONS!$D$10,"New (0-2)",IF(M610&lt;=ASSUMPTIONS!$D$11,"Early (2-5)",IF(M610&lt;=ASSUMPTIONS!$D$12,"Established (5-10)","Veteran (10+)")))</f>
        <v>Established (5-10)</v>
      </c>
      <c r="R610" s="4">
        <f t="shared" si="19"/>
        <v>3</v>
      </c>
    </row>
    <row r="611" spans="1:18">
      <c r="A611">
        <f>RAW_DATA!A611</f>
        <v>43</v>
      </c>
      <c r="B611" t="str">
        <f>RAW_DATA!B611</f>
        <v>No</v>
      </c>
      <c r="C611" t="str">
        <f>RAW_DATA!C611</f>
        <v>Research &amp; Development</v>
      </c>
      <c r="D611">
        <f>RAW_DATA!D611</f>
        <v>14</v>
      </c>
      <c r="E611">
        <f>RAW_DATA!E611</f>
        <v>2</v>
      </c>
      <c r="F611" t="str">
        <f>RAW_DATA!F611</f>
        <v>Life Sciences</v>
      </c>
      <c r="G611">
        <f>RAW_DATA!G611</f>
        <v>2</v>
      </c>
      <c r="H611">
        <f>RAW_DATA!H611</f>
        <v>1</v>
      </c>
      <c r="I611" t="str">
        <f>RAW_DATA!I611</f>
        <v>Married</v>
      </c>
      <c r="J611">
        <f>RAW_DATA!J611</f>
        <v>17159</v>
      </c>
      <c r="K611">
        <f>RAW_DATA!K611</f>
        <v>6</v>
      </c>
      <c r="L611">
        <f>RAW_DATA!L611</f>
        <v>3</v>
      </c>
      <c r="M611">
        <f>RAW_DATA!M611</f>
        <v>4</v>
      </c>
      <c r="N611">
        <f t="shared" si="18"/>
        <v>0</v>
      </c>
      <c r="O611" t="str" cm="1">
        <f t="array" ref="O611" xml:space="preserve"> _xlfn.IFS(A611 &lt;ASSUMPTIONS!$D$2,"25",A611 &lt;= ASSUMPTIONS!$D$3,"25-34",A611 &lt;= ASSUMPTIONS!$D$4, "35-44",A611 &lt;= ASSUMPTIONS!$D$5,"45-54",TRUE,"55+")</f>
        <v>35-44</v>
      </c>
      <c r="P611" t="str" cm="1">
        <f t="array" ref="P611">_xlfn.IFS( J611 &lt;ASSUMPTIONS!$D$7,"LOW",J611 &lt;= ASSUMPTIONS!$D$8,"MEDIUM",TRUE, "HIGH")</f>
        <v>HIGH</v>
      </c>
      <c r="Q611" t="str">
        <f>IF(M611&lt;ASSUMPTIONS!$D$10,"New (0-2)",IF(M611&lt;=ASSUMPTIONS!$D$11,"Early (2-5)",IF(M611&lt;=ASSUMPTIONS!$D$12,"Established (5-10)","Veteran (10+)")))</f>
        <v>Early (2-5)</v>
      </c>
      <c r="R611" s="4">
        <f t="shared" si="19"/>
        <v>2</v>
      </c>
    </row>
    <row r="612" spans="1:18">
      <c r="A612">
        <f>RAW_DATA!A612</f>
        <v>27</v>
      </c>
      <c r="B612" t="str">
        <f>RAW_DATA!B612</f>
        <v>No</v>
      </c>
      <c r="C612" t="str">
        <f>RAW_DATA!C612</f>
        <v>Research &amp; Development</v>
      </c>
      <c r="D612">
        <f>RAW_DATA!D612</f>
        <v>5</v>
      </c>
      <c r="E612">
        <f>RAW_DATA!E612</f>
        <v>1</v>
      </c>
      <c r="F612" t="str">
        <f>RAW_DATA!F612</f>
        <v>Technical Degree</v>
      </c>
      <c r="G612">
        <f>RAW_DATA!G612</f>
        <v>3</v>
      </c>
      <c r="H612">
        <f>RAW_DATA!H612</f>
        <v>4</v>
      </c>
      <c r="I612" t="str">
        <f>RAW_DATA!I612</f>
        <v>Divorced</v>
      </c>
      <c r="J612">
        <f>RAW_DATA!J612</f>
        <v>12808</v>
      </c>
      <c r="K612">
        <f>RAW_DATA!K612</f>
        <v>1</v>
      </c>
      <c r="L612">
        <f>RAW_DATA!L612</f>
        <v>3</v>
      </c>
      <c r="M612">
        <f>RAW_DATA!M612</f>
        <v>9</v>
      </c>
      <c r="N612">
        <f t="shared" si="18"/>
        <v>0</v>
      </c>
      <c r="O612" t="str" cm="1">
        <f t="array" ref="O612" xml:space="preserve"> _xlfn.IFS(A612 &lt;ASSUMPTIONS!$D$2,"25",A612 &lt;= ASSUMPTIONS!$D$3,"25-34",A612 &lt;= ASSUMPTIONS!$D$4, "35-44",A612 &lt;= ASSUMPTIONS!$D$5,"45-54",TRUE,"55+")</f>
        <v>25-34</v>
      </c>
      <c r="P612" t="str" cm="1">
        <f t="array" ref="P612">_xlfn.IFS( J612 &lt;ASSUMPTIONS!$D$7,"LOW",J612 &lt;= ASSUMPTIONS!$D$8,"MEDIUM",TRUE, "HIGH")</f>
        <v>HIGH</v>
      </c>
      <c r="Q612" t="str">
        <f>IF(M612&lt;ASSUMPTIONS!$D$10,"New (0-2)",IF(M612&lt;=ASSUMPTIONS!$D$11,"Early (2-5)",IF(M612&lt;=ASSUMPTIONS!$D$12,"Established (5-10)","Veteran (10+)")))</f>
        <v>Established (5-10)</v>
      </c>
      <c r="R612" s="4">
        <f t="shared" si="19"/>
        <v>3.3333333333333335</v>
      </c>
    </row>
    <row r="613" spans="1:18">
      <c r="A613">
        <f>RAW_DATA!A613</f>
        <v>35</v>
      </c>
      <c r="B613" t="str">
        <f>RAW_DATA!B613</f>
        <v>No</v>
      </c>
      <c r="C613" t="str">
        <f>RAW_DATA!C613</f>
        <v>Research &amp; Development</v>
      </c>
      <c r="D613">
        <f>RAW_DATA!D613</f>
        <v>7</v>
      </c>
      <c r="E613">
        <f>RAW_DATA!E613</f>
        <v>3</v>
      </c>
      <c r="F613" t="str">
        <f>RAW_DATA!F613</f>
        <v>Other</v>
      </c>
      <c r="G613">
        <f>RAW_DATA!G613</f>
        <v>3</v>
      </c>
      <c r="H613">
        <f>RAW_DATA!H613</f>
        <v>3</v>
      </c>
      <c r="I613" t="str">
        <f>RAW_DATA!I613</f>
        <v>Single</v>
      </c>
      <c r="J613">
        <f>RAW_DATA!J613</f>
        <v>10221</v>
      </c>
      <c r="K613">
        <f>RAW_DATA!K613</f>
        <v>3</v>
      </c>
      <c r="L613">
        <f>RAW_DATA!L613</f>
        <v>4</v>
      </c>
      <c r="M613">
        <f>RAW_DATA!M613</f>
        <v>8</v>
      </c>
      <c r="N613">
        <f t="shared" si="18"/>
        <v>0</v>
      </c>
      <c r="O613" t="str" cm="1">
        <f t="array" ref="O613" xml:space="preserve"> _xlfn.IFS(A613 &lt;ASSUMPTIONS!$D$2,"25",A613 &lt;= ASSUMPTIONS!$D$3,"25-34",A613 &lt;= ASSUMPTIONS!$D$4, "35-44",A613 &lt;= ASSUMPTIONS!$D$5,"45-54",TRUE,"55+")</f>
        <v>35-44</v>
      </c>
      <c r="P613" t="str" cm="1">
        <f t="array" ref="P613">_xlfn.IFS( J613 &lt;ASSUMPTIONS!$D$7,"LOW",J613 &lt;= ASSUMPTIONS!$D$8,"MEDIUM",TRUE, "HIGH")</f>
        <v>HIGH</v>
      </c>
      <c r="Q613" t="str">
        <f>IF(M613&lt;ASSUMPTIONS!$D$10,"New (0-2)",IF(M613&lt;=ASSUMPTIONS!$D$11,"Early (2-5)",IF(M613&lt;=ASSUMPTIONS!$D$12,"Established (5-10)","Veteran (10+)")))</f>
        <v>Established (5-10)</v>
      </c>
      <c r="R613" s="4">
        <f t="shared" si="19"/>
        <v>3.3333333333333335</v>
      </c>
    </row>
    <row r="614" spans="1:18">
      <c r="A614">
        <f>RAW_DATA!A614</f>
        <v>28</v>
      </c>
      <c r="B614" t="str">
        <f>RAW_DATA!B614</f>
        <v>No</v>
      </c>
      <c r="C614" t="str">
        <f>RAW_DATA!C614</f>
        <v>Sales</v>
      </c>
      <c r="D614">
        <f>RAW_DATA!D614</f>
        <v>2</v>
      </c>
      <c r="E614">
        <f>RAW_DATA!E614</f>
        <v>4</v>
      </c>
      <c r="F614" t="str">
        <f>RAW_DATA!F614</f>
        <v>Marketing</v>
      </c>
      <c r="G614">
        <f>RAW_DATA!G614</f>
        <v>2</v>
      </c>
      <c r="H614">
        <f>RAW_DATA!H614</f>
        <v>2</v>
      </c>
      <c r="I614" t="str">
        <f>RAW_DATA!I614</f>
        <v>Married</v>
      </c>
      <c r="J614">
        <f>RAW_DATA!J614</f>
        <v>4779</v>
      </c>
      <c r="K614">
        <f>RAW_DATA!K614</f>
        <v>1</v>
      </c>
      <c r="L614">
        <f>RAW_DATA!L614</f>
        <v>3</v>
      </c>
      <c r="M614">
        <f>RAW_DATA!M614</f>
        <v>8</v>
      </c>
      <c r="N614">
        <f t="shared" si="18"/>
        <v>0</v>
      </c>
      <c r="O614" t="str" cm="1">
        <f t="array" ref="O614" xml:space="preserve"> _xlfn.IFS(A614 &lt;ASSUMPTIONS!$D$2,"25",A614 &lt;= ASSUMPTIONS!$D$3,"25-34",A614 &lt;= ASSUMPTIONS!$D$4, "35-44",A614 &lt;= ASSUMPTIONS!$D$5,"45-54",TRUE,"55+")</f>
        <v>25-34</v>
      </c>
      <c r="P614" t="str" cm="1">
        <f t="array" ref="P614">_xlfn.IFS( J614 &lt;ASSUMPTIONS!$D$7,"LOW",J614 &lt;= ASSUMPTIONS!$D$8,"MEDIUM",TRUE, "HIGH")</f>
        <v>MEDIUM</v>
      </c>
      <c r="Q614" t="str">
        <f>IF(M614&lt;ASSUMPTIONS!$D$10,"New (0-2)",IF(M614&lt;=ASSUMPTIONS!$D$11,"Early (2-5)",IF(M614&lt;=ASSUMPTIONS!$D$12,"Established (5-10)","Veteran (10+)")))</f>
        <v>Established (5-10)</v>
      </c>
      <c r="R614" s="4">
        <f t="shared" si="19"/>
        <v>2.3333333333333335</v>
      </c>
    </row>
    <row r="615" spans="1:18">
      <c r="A615">
        <f>RAW_DATA!A615</f>
        <v>34</v>
      </c>
      <c r="B615" t="str">
        <f>RAW_DATA!B615</f>
        <v>No</v>
      </c>
      <c r="C615" t="str">
        <f>RAW_DATA!C615</f>
        <v>Human Resources</v>
      </c>
      <c r="D615">
        <f>RAW_DATA!D615</f>
        <v>3</v>
      </c>
      <c r="E615">
        <f>RAW_DATA!E615</f>
        <v>2</v>
      </c>
      <c r="F615" t="str">
        <f>RAW_DATA!F615</f>
        <v>Human Resources</v>
      </c>
      <c r="G615">
        <f>RAW_DATA!G615</f>
        <v>3</v>
      </c>
      <c r="H615">
        <f>RAW_DATA!H615</f>
        <v>4</v>
      </c>
      <c r="I615" t="str">
        <f>RAW_DATA!I615</f>
        <v>Married</v>
      </c>
      <c r="J615">
        <f>RAW_DATA!J615</f>
        <v>3737</v>
      </c>
      <c r="K615">
        <f>RAW_DATA!K615</f>
        <v>0</v>
      </c>
      <c r="L615">
        <f>RAW_DATA!L615</f>
        <v>1</v>
      </c>
      <c r="M615">
        <f>RAW_DATA!M615</f>
        <v>3</v>
      </c>
      <c r="N615">
        <f t="shared" si="18"/>
        <v>0</v>
      </c>
      <c r="O615" t="str" cm="1">
        <f t="array" ref="O615" xml:space="preserve"> _xlfn.IFS(A615 &lt;ASSUMPTIONS!$D$2,"25",A615 &lt;= ASSUMPTIONS!$D$3,"25-34",A615 &lt;= ASSUMPTIONS!$D$4, "35-44",A615 &lt;= ASSUMPTIONS!$D$5,"45-54",TRUE,"55+")</f>
        <v>25-34</v>
      </c>
      <c r="P615" t="str" cm="1">
        <f t="array" ref="P615">_xlfn.IFS( J615 &lt;ASSUMPTIONS!$D$7,"LOW",J615 &lt;= ASSUMPTIONS!$D$8,"MEDIUM",TRUE, "HIGH")</f>
        <v>MEDIUM</v>
      </c>
      <c r="Q615" t="str">
        <f>IF(M615&lt;ASSUMPTIONS!$D$10,"New (0-2)",IF(M615&lt;=ASSUMPTIONS!$D$11,"Early (2-5)",IF(M615&lt;=ASSUMPTIONS!$D$12,"Established (5-10)","Veteran (10+)")))</f>
        <v>Early (2-5)</v>
      </c>
      <c r="R615" s="4">
        <f t="shared" si="19"/>
        <v>2.6666666666666665</v>
      </c>
    </row>
    <row r="616" spans="1:18">
      <c r="A616">
        <f>RAW_DATA!A616</f>
        <v>26</v>
      </c>
      <c r="B616" t="str">
        <f>RAW_DATA!B616</f>
        <v>Yes</v>
      </c>
      <c r="C616" t="str">
        <f>RAW_DATA!C616</f>
        <v>Research &amp; Development</v>
      </c>
      <c r="D616">
        <f>RAW_DATA!D616</f>
        <v>5</v>
      </c>
      <c r="E616">
        <f>RAW_DATA!E616</f>
        <v>2</v>
      </c>
      <c r="F616" t="str">
        <f>RAW_DATA!F616</f>
        <v>Medical</v>
      </c>
      <c r="G616">
        <f>RAW_DATA!G616</f>
        <v>3</v>
      </c>
      <c r="H616">
        <f>RAW_DATA!H616</f>
        <v>3</v>
      </c>
      <c r="I616" t="str">
        <f>RAW_DATA!I616</f>
        <v>Married</v>
      </c>
      <c r="J616">
        <f>RAW_DATA!J616</f>
        <v>2366</v>
      </c>
      <c r="K616">
        <f>RAW_DATA!K616</f>
        <v>1</v>
      </c>
      <c r="L616">
        <f>RAW_DATA!L616</f>
        <v>3</v>
      </c>
      <c r="M616">
        <f>RAW_DATA!M616</f>
        <v>8</v>
      </c>
      <c r="N616">
        <f t="shared" si="18"/>
        <v>1</v>
      </c>
      <c r="O616" t="str" cm="1">
        <f t="array" ref="O616" xml:space="preserve"> _xlfn.IFS(A616 &lt;ASSUMPTIONS!$D$2,"25",A616 &lt;= ASSUMPTIONS!$D$3,"25-34",A616 &lt;= ASSUMPTIONS!$D$4, "35-44",A616 &lt;= ASSUMPTIONS!$D$5,"45-54",TRUE,"55+")</f>
        <v>25-34</v>
      </c>
      <c r="P616" t="str" cm="1">
        <f t="array" ref="P616">_xlfn.IFS( J616 &lt;ASSUMPTIONS!$D$7,"LOW",J616 &lt;= ASSUMPTIONS!$D$8,"MEDIUM",TRUE, "HIGH")</f>
        <v>LOW</v>
      </c>
      <c r="Q616" t="str">
        <f>IF(M616&lt;ASSUMPTIONS!$D$10,"New (0-2)",IF(M616&lt;=ASSUMPTIONS!$D$11,"Early (2-5)",IF(M616&lt;=ASSUMPTIONS!$D$12,"Established (5-10)","Veteran (10+)")))</f>
        <v>Established (5-10)</v>
      </c>
      <c r="R616" s="4">
        <f t="shared" si="19"/>
        <v>3</v>
      </c>
    </row>
    <row r="617" spans="1:18">
      <c r="A617">
        <f>RAW_DATA!A617</f>
        <v>27</v>
      </c>
      <c r="B617" t="str">
        <f>RAW_DATA!B617</f>
        <v>No</v>
      </c>
      <c r="C617" t="str">
        <f>RAW_DATA!C617</f>
        <v>Research &amp; Development</v>
      </c>
      <c r="D617">
        <f>RAW_DATA!D617</f>
        <v>3</v>
      </c>
      <c r="E617">
        <f>RAW_DATA!E617</f>
        <v>3</v>
      </c>
      <c r="F617" t="str">
        <f>RAW_DATA!F617</f>
        <v>Medical</v>
      </c>
      <c r="G617">
        <f>RAW_DATA!G617</f>
        <v>4</v>
      </c>
      <c r="H617">
        <f>RAW_DATA!H617</f>
        <v>4</v>
      </c>
      <c r="I617" t="str">
        <f>RAW_DATA!I617</f>
        <v>Married</v>
      </c>
      <c r="J617">
        <f>RAW_DATA!J617</f>
        <v>1706</v>
      </c>
      <c r="K617">
        <f>RAW_DATA!K617</f>
        <v>1</v>
      </c>
      <c r="L617">
        <f>RAW_DATA!L617</f>
        <v>2</v>
      </c>
      <c r="M617">
        <f>RAW_DATA!M617</f>
        <v>0</v>
      </c>
      <c r="N617">
        <f t="shared" si="18"/>
        <v>0</v>
      </c>
      <c r="O617" t="str" cm="1">
        <f t="array" ref="O617" xml:space="preserve"> _xlfn.IFS(A617 &lt;ASSUMPTIONS!$D$2,"25",A617 &lt;= ASSUMPTIONS!$D$3,"25-34",A617 &lt;= ASSUMPTIONS!$D$4, "35-44",A617 &lt;= ASSUMPTIONS!$D$5,"45-54",TRUE,"55+")</f>
        <v>25-34</v>
      </c>
      <c r="P617" t="str" cm="1">
        <f t="array" ref="P617">_xlfn.IFS( J617 &lt;ASSUMPTIONS!$D$7,"LOW",J617 &lt;= ASSUMPTIONS!$D$8,"MEDIUM",TRUE, "HIGH")</f>
        <v>LOW</v>
      </c>
      <c r="Q617" t="str">
        <f>IF(M617&lt;ASSUMPTIONS!$D$10,"New (0-2)",IF(M617&lt;=ASSUMPTIONS!$D$11,"Early (2-5)",IF(M617&lt;=ASSUMPTIONS!$D$12,"Established (5-10)","Veteran (10+)")))</f>
        <v>New (0-2)</v>
      </c>
      <c r="R617" s="4">
        <f t="shared" si="19"/>
        <v>3.3333333333333335</v>
      </c>
    </row>
    <row r="618" spans="1:18">
      <c r="A618">
        <f>RAW_DATA!A618</f>
        <v>51</v>
      </c>
      <c r="B618" t="str">
        <f>RAW_DATA!B618</f>
        <v>No</v>
      </c>
      <c r="C618" t="str">
        <f>RAW_DATA!C618</f>
        <v>Sales</v>
      </c>
      <c r="D618">
        <f>RAW_DATA!D618</f>
        <v>26</v>
      </c>
      <c r="E618">
        <f>RAW_DATA!E618</f>
        <v>4</v>
      </c>
      <c r="F618" t="str">
        <f>RAW_DATA!F618</f>
        <v>Marketing</v>
      </c>
      <c r="G618">
        <f>RAW_DATA!G618</f>
        <v>1</v>
      </c>
      <c r="H618">
        <f>RAW_DATA!H618</f>
        <v>3</v>
      </c>
      <c r="I618" t="str">
        <f>RAW_DATA!I618</f>
        <v>Married</v>
      </c>
      <c r="J618">
        <f>RAW_DATA!J618</f>
        <v>16307</v>
      </c>
      <c r="K618">
        <f>RAW_DATA!K618</f>
        <v>2</v>
      </c>
      <c r="L618">
        <f>RAW_DATA!L618</f>
        <v>2</v>
      </c>
      <c r="M618">
        <f>RAW_DATA!M618</f>
        <v>20</v>
      </c>
      <c r="N618">
        <f t="shared" si="18"/>
        <v>0</v>
      </c>
      <c r="O618" t="str" cm="1">
        <f t="array" ref="O618" xml:space="preserve"> _xlfn.IFS(A618 &lt;ASSUMPTIONS!$D$2,"25",A618 &lt;= ASSUMPTIONS!$D$3,"25-34",A618 &lt;= ASSUMPTIONS!$D$4, "35-44",A618 &lt;= ASSUMPTIONS!$D$5,"45-54",TRUE,"55+")</f>
        <v>45-54</v>
      </c>
      <c r="P618" t="str" cm="1">
        <f t="array" ref="P618">_xlfn.IFS( J618 &lt;ASSUMPTIONS!$D$7,"LOW",J618 &lt;= ASSUMPTIONS!$D$8,"MEDIUM",TRUE, "HIGH")</f>
        <v>HIGH</v>
      </c>
      <c r="Q618" t="str">
        <f>IF(M618&lt;ASSUMPTIONS!$D$10,"New (0-2)",IF(M618&lt;=ASSUMPTIONS!$D$11,"Early (2-5)",IF(M618&lt;=ASSUMPTIONS!$D$12,"Established (5-10)","Veteran (10+)")))</f>
        <v>Veteran (10+)</v>
      </c>
      <c r="R618" s="4">
        <f t="shared" si="19"/>
        <v>2</v>
      </c>
    </row>
    <row r="619" spans="1:18">
      <c r="A619">
        <f>RAW_DATA!A619</f>
        <v>44</v>
      </c>
      <c r="B619" t="str">
        <f>RAW_DATA!B619</f>
        <v>No</v>
      </c>
      <c r="C619" t="str">
        <f>RAW_DATA!C619</f>
        <v>Research &amp; Development</v>
      </c>
      <c r="D619">
        <f>RAW_DATA!D619</f>
        <v>4</v>
      </c>
      <c r="E619">
        <f>RAW_DATA!E619</f>
        <v>3</v>
      </c>
      <c r="F619" t="str">
        <f>RAW_DATA!F619</f>
        <v>Medical</v>
      </c>
      <c r="G619">
        <f>RAW_DATA!G619</f>
        <v>4</v>
      </c>
      <c r="H619">
        <f>RAW_DATA!H619</f>
        <v>2</v>
      </c>
      <c r="I619" t="str">
        <f>RAW_DATA!I619</f>
        <v>Single</v>
      </c>
      <c r="J619">
        <f>RAW_DATA!J619</f>
        <v>5933</v>
      </c>
      <c r="K619">
        <f>RAW_DATA!K619</f>
        <v>9</v>
      </c>
      <c r="L619">
        <f>RAW_DATA!L619</f>
        <v>2</v>
      </c>
      <c r="M619">
        <f>RAW_DATA!M619</f>
        <v>5</v>
      </c>
      <c r="N619">
        <f t="shared" si="18"/>
        <v>0</v>
      </c>
      <c r="O619" t="str" cm="1">
        <f t="array" ref="O619" xml:space="preserve"> _xlfn.IFS(A619 &lt;ASSUMPTIONS!$D$2,"25",A619 &lt;= ASSUMPTIONS!$D$3,"25-34",A619 &lt;= ASSUMPTIONS!$D$4, "35-44",A619 &lt;= ASSUMPTIONS!$D$5,"45-54",TRUE,"55+")</f>
        <v>35-44</v>
      </c>
      <c r="P619" t="str" cm="1">
        <f t="array" ref="P619">_xlfn.IFS( J619 &lt;ASSUMPTIONS!$D$7,"LOW",J619 &lt;= ASSUMPTIONS!$D$8,"MEDIUM",TRUE, "HIGH")</f>
        <v>MEDIUM</v>
      </c>
      <c r="Q619" t="str">
        <f>IF(M619&lt;ASSUMPTIONS!$D$10,"New (0-2)",IF(M619&lt;=ASSUMPTIONS!$D$11,"Early (2-5)",IF(M619&lt;=ASSUMPTIONS!$D$12,"Established (5-10)","Veteran (10+)")))</f>
        <v>Early (2-5)</v>
      </c>
      <c r="R619" s="4">
        <f t="shared" si="19"/>
        <v>2.6666666666666665</v>
      </c>
    </row>
    <row r="620" spans="1:18">
      <c r="A620">
        <f>RAW_DATA!A620</f>
        <v>25</v>
      </c>
      <c r="B620" t="str">
        <f>RAW_DATA!B620</f>
        <v>No</v>
      </c>
      <c r="C620" t="str">
        <f>RAW_DATA!C620</f>
        <v>Research &amp; Development</v>
      </c>
      <c r="D620">
        <f>RAW_DATA!D620</f>
        <v>2</v>
      </c>
      <c r="E620">
        <f>RAW_DATA!E620</f>
        <v>1</v>
      </c>
      <c r="F620" t="str">
        <f>RAW_DATA!F620</f>
        <v>Medical</v>
      </c>
      <c r="G620">
        <f>RAW_DATA!G620</f>
        <v>1</v>
      </c>
      <c r="H620">
        <f>RAW_DATA!H620</f>
        <v>1</v>
      </c>
      <c r="I620" t="str">
        <f>RAW_DATA!I620</f>
        <v>Single</v>
      </c>
      <c r="J620">
        <f>RAW_DATA!J620</f>
        <v>3424</v>
      </c>
      <c r="K620">
        <f>RAW_DATA!K620</f>
        <v>7</v>
      </c>
      <c r="L620">
        <f>RAW_DATA!L620</f>
        <v>2</v>
      </c>
      <c r="M620">
        <f>RAW_DATA!M620</f>
        <v>4</v>
      </c>
      <c r="N620">
        <f t="shared" si="18"/>
        <v>0</v>
      </c>
      <c r="O620" t="str" cm="1">
        <f t="array" ref="O620" xml:space="preserve"> _xlfn.IFS(A620 &lt;ASSUMPTIONS!$D$2,"25",A620 &lt;= ASSUMPTIONS!$D$3,"25-34",A620 &lt;= ASSUMPTIONS!$D$4, "35-44",A620 &lt;= ASSUMPTIONS!$D$5,"45-54",TRUE,"55+")</f>
        <v>25-34</v>
      </c>
      <c r="P620" t="str" cm="1">
        <f t="array" ref="P620">_xlfn.IFS( J620 &lt;ASSUMPTIONS!$D$7,"LOW",J620 &lt;= ASSUMPTIONS!$D$8,"MEDIUM",TRUE, "HIGH")</f>
        <v>MEDIUM</v>
      </c>
      <c r="Q620" t="str">
        <f>IF(M620&lt;ASSUMPTIONS!$D$10,"New (0-2)",IF(M620&lt;=ASSUMPTIONS!$D$11,"Early (2-5)",IF(M620&lt;=ASSUMPTIONS!$D$12,"Established (5-10)","Veteran (10+)")))</f>
        <v>Early (2-5)</v>
      </c>
      <c r="R620" s="4">
        <f t="shared" si="19"/>
        <v>1.3333333333333333</v>
      </c>
    </row>
    <row r="621" spans="1:18">
      <c r="A621">
        <f>RAW_DATA!A621</f>
        <v>33</v>
      </c>
      <c r="B621" t="str">
        <f>RAW_DATA!B621</f>
        <v>No</v>
      </c>
      <c r="C621" t="str">
        <f>RAW_DATA!C621</f>
        <v>Sales</v>
      </c>
      <c r="D621">
        <f>RAW_DATA!D621</f>
        <v>1</v>
      </c>
      <c r="E621">
        <f>RAW_DATA!E621</f>
        <v>3</v>
      </c>
      <c r="F621" t="str">
        <f>RAW_DATA!F621</f>
        <v>Medical</v>
      </c>
      <c r="G621">
        <f>RAW_DATA!G621</f>
        <v>1</v>
      </c>
      <c r="H621">
        <f>RAW_DATA!H621</f>
        <v>1</v>
      </c>
      <c r="I621" t="str">
        <f>RAW_DATA!I621</f>
        <v>Divorced</v>
      </c>
      <c r="J621">
        <f>RAW_DATA!J621</f>
        <v>4037</v>
      </c>
      <c r="K621">
        <f>RAW_DATA!K621</f>
        <v>1</v>
      </c>
      <c r="L621">
        <f>RAW_DATA!L621</f>
        <v>3</v>
      </c>
      <c r="M621">
        <f>RAW_DATA!M621</f>
        <v>9</v>
      </c>
      <c r="N621">
        <f t="shared" si="18"/>
        <v>0</v>
      </c>
      <c r="O621" t="str" cm="1">
        <f t="array" ref="O621" xml:space="preserve"> _xlfn.IFS(A621 &lt;ASSUMPTIONS!$D$2,"25",A621 &lt;= ASSUMPTIONS!$D$3,"25-34",A621 &lt;= ASSUMPTIONS!$D$4, "35-44",A621 &lt;= ASSUMPTIONS!$D$5,"45-54",TRUE,"55+")</f>
        <v>25-34</v>
      </c>
      <c r="P621" t="str" cm="1">
        <f t="array" ref="P621">_xlfn.IFS( J621 &lt;ASSUMPTIONS!$D$7,"LOW",J621 &lt;= ASSUMPTIONS!$D$8,"MEDIUM",TRUE, "HIGH")</f>
        <v>MEDIUM</v>
      </c>
      <c r="Q621" t="str">
        <f>IF(M621&lt;ASSUMPTIONS!$D$10,"New (0-2)",IF(M621&lt;=ASSUMPTIONS!$D$11,"Early (2-5)",IF(M621&lt;=ASSUMPTIONS!$D$12,"Established (5-10)","Veteran (10+)")))</f>
        <v>Established (5-10)</v>
      </c>
      <c r="R621" s="4">
        <f t="shared" si="19"/>
        <v>1.6666666666666667</v>
      </c>
    </row>
    <row r="622" spans="1:18">
      <c r="A622">
        <f>RAW_DATA!A622</f>
        <v>35</v>
      </c>
      <c r="B622" t="str">
        <f>RAW_DATA!B622</f>
        <v>No</v>
      </c>
      <c r="C622" t="str">
        <f>RAW_DATA!C622</f>
        <v>Research &amp; Development</v>
      </c>
      <c r="D622">
        <f>RAW_DATA!D622</f>
        <v>27</v>
      </c>
      <c r="E622">
        <f>RAW_DATA!E622</f>
        <v>1</v>
      </c>
      <c r="F622" t="str">
        <f>RAW_DATA!F622</f>
        <v>Medical</v>
      </c>
      <c r="G622">
        <f>RAW_DATA!G622</f>
        <v>3</v>
      </c>
      <c r="H622">
        <f>RAW_DATA!H622</f>
        <v>1</v>
      </c>
      <c r="I622" t="str">
        <f>RAW_DATA!I622</f>
        <v>Single</v>
      </c>
      <c r="J622">
        <f>RAW_DATA!J622</f>
        <v>2559</v>
      </c>
      <c r="K622">
        <f>RAW_DATA!K622</f>
        <v>1</v>
      </c>
      <c r="L622">
        <f>RAW_DATA!L622</f>
        <v>2</v>
      </c>
      <c r="M622">
        <f>RAW_DATA!M622</f>
        <v>6</v>
      </c>
      <c r="N622">
        <f t="shared" si="18"/>
        <v>0</v>
      </c>
      <c r="O622" t="str" cm="1">
        <f t="array" ref="O622" xml:space="preserve"> _xlfn.IFS(A622 &lt;ASSUMPTIONS!$D$2,"25",A622 &lt;= ASSUMPTIONS!$D$3,"25-34",A622 &lt;= ASSUMPTIONS!$D$4, "35-44",A622 &lt;= ASSUMPTIONS!$D$5,"45-54",TRUE,"55+")</f>
        <v>35-44</v>
      </c>
      <c r="P622" t="str" cm="1">
        <f t="array" ref="P622">_xlfn.IFS( J622 &lt;ASSUMPTIONS!$D$7,"LOW",J622 &lt;= ASSUMPTIONS!$D$8,"MEDIUM",TRUE, "HIGH")</f>
        <v>LOW</v>
      </c>
      <c r="Q622" t="str">
        <f>IF(M622&lt;ASSUMPTIONS!$D$10,"New (0-2)",IF(M622&lt;=ASSUMPTIONS!$D$11,"Early (2-5)",IF(M622&lt;=ASSUMPTIONS!$D$12,"Established (5-10)","Veteran (10+)")))</f>
        <v>Established (5-10)</v>
      </c>
      <c r="R622" s="4">
        <f t="shared" si="19"/>
        <v>2</v>
      </c>
    </row>
    <row r="623" spans="1:18">
      <c r="A623">
        <f>RAW_DATA!A623</f>
        <v>36</v>
      </c>
      <c r="B623" t="str">
        <f>RAW_DATA!B623</f>
        <v>No</v>
      </c>
      <c r="C623" t="str">
        <f>RAW_DATA!C623</f>
        <v>Sales</v>
      </c>
      <c r="D623">
        <f>RAW_DATA!D623</f>
        <v>1</v>
      </c>
      <c r="E623">
        <f>RAW_DATA!E623</f>
        <v>2</v>
      </c>
      <c r="F623" t="str">
        <f>RAW_DATA!F623</f>
        <v>Life Sciences</v>
      </c>
      <c r="G623">
        <f>RAW_DATA!G623</f>
        <v>2</v>
      </c>
      <c r="H623">
        <f>RAW_DATA!H623</f>
        <v>4</v>
      </c>
      <c r="I623" t="str">
        <f>RAW_DATA!I623</f>
        <v>Married</v>
      </c>
      <c r="J623">
        <f>RAW_DATA!J623</f>
        <v>6201</v>
      </c>
      <c r="K623">
        <f>RAW_DATA!K623</f>
        <v>1</v>
      </c>
      <c r="L623">
        <f>RAW_DATA!L623</f>
        <v>2</v>
      </c>
      <c r="M623">
        <f>RAW_DATA!M623</f>
        <v>18</v>
      </c>
      <c r="N623">
        <f t="shared" si="18"/>
        <v>0</v>
      </c>
      <c r="O623" t="str" cm="1">
        <f t="array" ref="O623" xml:space="preserve"> _xlfn.IFS(A623 &lt;ASSUMPTIONS!$D$2,"25",A623 &lt;= ASSUMPTIONS!$D$3,"25-34",A623 &lt;= ASSUMPTIONS!$D$4, "35-44",A623 &lt;= ASSUMPTIONS!$D$5,"45-54",TRUE,"55+")</f>
        <v>35-44</v>
      </c>
      <c r="P623" t="str" cm="1">
        <f t="array" ref="P623">_xlfn.IFS( J623 &lt;ASSUMPTIONS!$D$7,"LOW",J623 &lt;= ASSUMPTIONS!$D$8,"MEDIUM",TRUE, "HIGH")</f>
        <v>MEDIUM</v>
      </c>
      <c r="Q623" t="str">
        <f>IF(M623&lt;ASSUMPTIONS!$D$10,"New (0-2)",IF(M623&lt;=ASSUMPTIONS!$D$11,"Early (2-5)",IF(M623&lt;=ASSUMPTIONS!$D$12,"Established (5-10)","Veteran (10+)")))</f>
        <v>Veteran (10+)</v>
      </c>
      <c r="R623" s="4">
        <f t="shared" si="19"/>
        <v>2.6666666666666665</v>
      </c>
    </row>
    <row r="624" spans="1:18">
      <c r="A624">
        <f>RAW_DATA!A624</f>
        <v>32</v>
      </c>
      <c r="B624" t="str">
        <f>RAW_DATA!B624</f>
        <v>No</v>
      </c>
      <c r="C624" t="str">
        <f>RAW_DATA!C624</f>
        <v>Sales</v>
      </c>
      <c r="D624">
        <f>RAW_DATA!D624</f>
        <v>13</v>
      </c>
      <c r="E624">
        <f>RAW_DATA!E624</f>
        <v>4</v>
      </c>
      <c r="F624" t="str">
        <f>RAW_DATA!F624</f>
        <v>Life Sciences</v>
      </c>
      <c r="G624">
        <f>RAW_DATA!G624</f>
        <v>2</v>
      </c>
      <c r="H624">
        <f>RAW_DATA!H624</f>
        <v>4</v>
      </c>
      <c r="I624" t="str">
        <f>RAW_DATA!I624</f>
        <v>Divorced</v>
      </c>
      <c r="J624">
        <f>RAW_DATA!J624</f>
        <v>4403</v>
      </c>
      <c r="K624">
        <f>RAW_DATA!K624</f>
        <v>2</v>
      </c>
      <c r="L624">
        <f>RAW_DATA!L624</f>
        <v>2</v>
      </c>
      <c r="M624">
        <f>RAW_DATA!M624</f>
        <v>5</v>
      </c>
      <c r="N624">
        <f t="shared" si="18"/>
        <v>0</v>
      </c>
      <c r="O624" t="str" cm="1">
        <f t="array" ref="O624" xml:space="preserve"> _xlfn.IFS(A624 &lt;ASSUMPTIONS!$D$2,"25",A624 &lt;= ASSUMPTIONS!$D$3,"25-34",A624 &lt;= ASSUMPTIONS!$D$4, "35-44",A624 &lt;= ASSUMPTIONS!$D$5,"45-54",TRUE,"55+")</f>
        <v>25-34</v>
      </c>
      <c r="P624" t="str" cm="1">
        <f t="array" ref="P624">_xlfn.IFS( J624 &lt;ASSUMPTIONS!$D$7,"LOW",J624 &lt;= ASSUMPTIONS!$D$8,"MEDIUM",TRUE, "HIGH")</f>
        <v>MEDIUM</v>
      </c>
      <c r="Q624" t="str">
        <f>IF(M624&lt;ASSUMPTIONS!$D$10,"New (0-2)",IF(M624&lt;=ASSUMPTIONS!$D$11,"Early (2-5)",IF(M624&lt;=ASSUMPTIONS!$D$12,"Established (5-10)","Veteran (10+)")))</f>
        <v>Early (2-5)</v>
      </c>
      <c r="R624" s="4">
        <f t="shared" si="19"/>
        <v>2.6666666666666665</v>
      </c>
    </row>
    <row r="625" spans="1:18">
      <c r="A625">
        <f>RAW_DATA!A625</f>
        <v>30</v>
      </c>
      <c r="B625" t="str">
        <f>RAW_DATA!B625</f>
        <v>No</v>
      </c>
      <c r="C625" t="str">
        <f>RAW_DATA!C625</f>
        <v>Research &amp; Development</v>
      </c>
      <c r="D625">
        <f>RAW_DATA!D625</f>
        <v>5</v>
      </c>
      <c r="E625">
        <f>RAW_DATA!E625</f>
        <v>4</v>
      </c>
      <c r="F625" t="str">
        <f>RAW_DATA!F625</f>
        <v>Life Sciences</v>
      </c>
      <c r="G625">
        <f>RAW_DATA!G625</f>
        <v>2</v>
      </c>
      <c r="H625">
        <f>RAW_DATA!H625</f>
        <v>4</v>
      </c>
      <c r="I625" t="str">
        <f>RAW_DATA!I625</f>
        <v>Divorced</v>
      </c>
      <c r="J625">
        <f>RAW_DATA!J625</f>
        <v>3761</v>
      </c>
      <c r="K625">
        <f>RAW_DATA!K625</f>
        <v>9</v>
      </c>
      <c r="L625">
        <f>RAW_DATA!L625</f>
        <v>2</v>
      </c>
      <c r="M625">
        <f>RAW_DATA!M625</f>
        <v>5</v>
      </c>
      <c r="N625">
        <f t="shared" si="18"/>
        <v>0</v>
      </c>
      <c r="O625" t="str" cm="1">
        <f t="array" ref="O625" xml:space="preserve"> _xlfn.IFS(A625 &lt;ASSUMPTIONS!$D$2,"25",A625 &lt;= ASSUMPTIONS!$D$3,"25-34",A625 &lt;= ASSUMPTIONS!$D$4, "35-44",A625 &lt;= ASSUMPTIONS!$D$5,"45-54",TRUE,"55+")</f>
        <v>25-34</v>
      </c>
      <c r="P625" t="str" cm="1">
        <f t="array" ref="P625">_xlfn.IFS( J625 &lt;ASSUMPTIONS!$D$7,"LOW",J625 &lt;= ASSUMPTIONS!$D$8,"MEDIUM",TRUE, "HIGH")</f>
        <v>MEDIUM</v>
      </c>
      <c r="Q625" t="str">
        <f>IF(M625&lt;ASSUMPTIONS!$D$10,"New (0-2)",IF(M625&lt;=ASSUMPTIONS!$D$11,"Early (2-5)",IF(M625&lt;=ASSUMPTIONS!$D$12,"Established (5-10)","Veteran (10+)")))</f>
        <v>Early (2-5)</v>
      </c>
      <c r="R625" s="4">
        <f t="shared" si="19"/>
        <v>2.6666666666666665</v>
      </c>
    </row>
    <row r="626" spans="1:18">
      <c r="A626">
        <f>RAW_DATA!A626</f>
        <v>53</v>
      </c>
      <c r="B626" t="str">
        <f>RAW_DATA!B626</f>
        <v>No</v>
      </c>
      <c r="C626" t="str">
        <f>RAW_DATA!C626</f>
        <v>Sales</v>
      </c>
      <c r="D626">
        <f>RAW_DATA!D626</f>
        <v>7</v>
      </c>
      <c r="E626">
        <f>RAW_DATA!E626</f>
        <v>2</v>
      </c>
      <c r="F626" t="str">
        <f>RAW_DATA!F626</f>
        <v>Marketing</v>
      </c>
      <c r="G626">
        <f>RAW_DATA!G626</f>
        <v>1</v>
      </c>
      <c r="H626">
        <f>RAW_DATA!H626</f>
        <v>4</v>
      </c>
      <c r="I626" t="str">
        <f>RAW_DATA!I626</f>
        <v>Married</v>
      </c>
      <c r="J626">
        <f>RAW_DATA!J626</f>
        <v>10934</v>
      </c>
      <c r="K626">
        <f>RAW_DATA!K626</f>
        <v>7</v>
      </c>
      <c r="L626">
        <f>RAW_DATA!L626</f>
        <v>3</v>
      </c>
      <c r="M626">
        <f>RAW_DATA!M626</f>
        <v>5</v>
      </c>
      <c r="N626">
        <f t="shared" si="18"/>
        <v>0</v>
      </c>
      <c r="O626" t="str" cm="1">
        <f t="array" ref="O626" xml:space="preserve"> _xlfn.IFS(A626 &lt;ASSUMPTIONS!$D$2,"25",A626 &lt;= ASSUMPTIONS!$D$3,"25-34",A626 &lt;= ASSUMPTIONS!$D$4, "35-44",A626 &lt;= ASSUMPTIONS!$D$5,"45-54",TRUE,"55+")</f>
        <v>45-54</v>
      </c>
      <c r="P626" t="str" cm="1">
        <f t="array" ref="P626">_xlfn.IFS( J626 &lt;ASSUMPTIONS!$D$7,"LOW",J626 &lt;= ASSUMPTIONS!$D$8,"MEDIUM",TRUE, "HIGH")</f>
        <v>HIGH</v>
      </c>
      <c r="Q626" t="str">
        <f>IF(M626&lt;ASSUMPTIONS!$D$10,"New (0-2)",IF(M626&lt;=ASSUMPTIONS!$D$11,"Early (2-5)",IF(M626&lt;=ASSUMPTIONS!$D$12,"Established (5-10)","Veteran (10+)")))</f>
        <v>Early (2-5)</v>
      </c>
      <c r="R626" s="4">
        <f t="shared" si="19"/>
        <v>2.6666666666666665</v>
      </c>
    </row>
    <row r="627" spans="1:18">
      <c r="A627">
        <f>RAW_DATA!A627</f>
        <v>45</v>
      </c>
      <c r="B627" t="str">
        <f>RAW_DATA!B627</f>
        <v>No</v>
      </c>
      <c r="C627" t="str">
        <f>RAW_DATA!C627</f>
        <v>Sales</v>
      </c>
      <c r="D627">
        <f>RAW_DATA!D627</f>
        <v>9</v>
      </c>
      <c r="E627">
        <f>RAW_DATA!E627</f>
        <v>3</v>
      </c>
      <c r="F627" t="str">
        <f>RAW_DATA!F627</f>
        <v>Marketing</v>
      </c>
      <c r="G627">
        <f>RAW_DATA!G627</f>
        <v>4</v>
      </c>
      <c r="H627">
        <f>RAW_DATA!H627</f>
        <v>1</v>
      </c>
      <c r="I627" t="str">
        <f>RAW_DATA!I627</f>
        <v>Divorced</v>
      </c>
      <c r="J627">
        <f>RAW_DATA!J627</f>
        <v>10761</v>
      </c>
      <c r="K627">
        <f>RAW_DATA!K627</f>
        <v>4</v>
      </c>
      <c r="L627">
        <f>RAW_DATA!L627</f>
        <v>3</v>
      </c>
      <c r="M627">
        <f>RAW_DATA!M627</f>
        <v>5</v>
      </c>
      <c r="N627">
        <f t="shared" si="18"/>
        <v>0</v>
      </c>
      <c r="O627" t="str" cm="1">
        <f t="array" ref="O627" xml:space="preserve"> _xlfn.IFS(A627 &lt;ASSUMPTIONS!$D$2,"25",A627 &lt;= ASSUMPTIONS!$D$3,"25-34",A627 &lt;= ASSUMPTIONS!$D$4, "35-44",A627 &lt;= ASSUMPTIONS!$D$5,"45-54",TRUE,"55+")</f>
        <v>45-54</v>
      </c>
      <c r="P627" t="str" cm="1">
        <f t="array" ref="P627">_xlfn.IFS( J627 &lt;ASSUMPTIONS!$D$7,"LOW",J627 &lt;= ASSUMPTIONS!$D$8,"MEDIUM",TRUE, "HIGH")</f>
        <v>HIGH</v>
      </c>
      <c r="Q627" t="str">
        <f>IF(M627&lt;ASSUMPTIONS!$D$10,"New (0-2)",IF(M627&lt;=ASSUMPTIONS!$D$11,"Early (2-5)",IF(M627&lt;=ASSUMPTIONS!$D$12,"Established (5-10)","Veteran (10+)")))</f>
        <v>Early (2-5)</v>
      </c>
      <c r="R627" s="4">
        <f t="shared" si="19"/>
        <v>2.6666666666666665</v>
      </c>
    </row>
    <row r="628" spans="1:18">
      <c r="A628">
        <f>RAW_DATA!A628</f>
        <v>32</v>
      </c>
      <c r="B628" t="str">
        <f>RAW_DATA!B628</f>
        <v>No</v>
      </c>
      <c r="C628" t="str">
        <f>RAW_DATA!C628</f>
        <v>Research &amp; Development</v>
      </c>
      <c r="D628">
        <f>RAW_DATA!D628</f>
        <v>8</v>
      </c>
      <c r="E628">
        <f>RAW_DATA!E628</f>
        <v>2</v>
      </c>
      <c r="F628" t="str">
        <f>RAW_DATA!F628</f>
        <v>Medical</v>
      </c>
      <c r="G628">
        <f>RAW_DATA!G628</f>
        <v>3</v>
      </c>
      <c r="H628">
        <f>RAW_DATA!H628</f>
        <v>3</v>
      </c>
      <c r="I628" t="str">
        <f>RAW_DATA!I628</f>
        <v>Married</v>
      </c>
      <c r="J628">
        <f>RAW_DATA!J628</f>
        <v>5175</v>
      </c>
      <c r="K628">
        <f>RAW_DATA!K628</f>
        <v>5</v>
      </c>
      <c r="L628">
        <f>RAW_DATA!L628</f>
        <v>2</v>
      </c>
      <c r="M628">
        <f>RAW_DATA!M628</f>
        <v>5</v>
      </c>
      <c r="N628">
        <f t="shared" si="18"/>
        <v>0</v>
      </c>
      <c r="O628" t="str" cm="1">
        <f t="array" ref="O628" xml:space="preserve"> _xlfn.IFS(A628 &lt;ASSUMPTIONS!$D$2,"25",A628 &lt;= ASSUMPTIONS!$D$3,"25-34",A628 &lt;= ASSUMPTIONS!$D$4, "35-44",A628 &lt;= ASSUMPTIONS!$D$5,"45-54",TRUE,"55+")</f>
        <v>25-34</v>
      </c>
      <c r="P628" t="str" cm="1">
        <f t="array" ref="P628">_xlfn.IFS( J628 &lt;ASSUMPTIONS!$D$7,"LOW",J628 &lt;= ASSUMPTIONS!$D$8,"MEDIUM",TRUE, "HIGH")</f>
        <v>MEDIUM</v>
      </c>
      <c r="Q628" t="str">
        <f>IF(M628&lt;ASSUMPTIONS!$D$10,"New (0-2)",IF(M628&lt;=ASSUMPTIONS!$D$11,"Early (2-5)",IF(M628&lt;=ASSUMPTIONS!$D$12,"Established (5-10)","Veteran (10+)")))</f>
        <v>Early (2-5)</v>
      </c>
      <c r="R628" s="4">
        <f t="shared" si="19"/>
        <v>2.6666666666666665</v>
      </c>
    </row>
    <row r="629" spans="1:18">
      <c r="A629">
        <f>RAW_DATA!A629</f>
        <v>52</v>
      </c>
      <c r="B629" t="str">
        <f>RAW_DATA!B629</f>
        <v>No</v>
      </c>
      <c r="C629" t="str">
        <f>RAW_DATA!C629</f>
        <v>Research &amp; Development</v>
      </c>
      <c r="D629">
        <f>RAW_DATA!D629</f>
        <v>25</v>
      </c>
      <c r="E629">
        <f>RAW_DATA!E629</f>
        <v>4</v>
      </c>
      <c r="F629" t="str">
        <f>RAW_DATA!F629</f>
        <v>Medical</v>
      </c>
      <c r="G629">
        <f>RAW_DATA!G629</f>
        <v>3</v>
      </c>
      <c r="H629">
        <f>RAW_DATA!H629</f>
        <v>4</v>
      </c>
      <c r="I629" t="str">
        <f>RAW_DATA!I629</f>
        <v>Married</v>
      </c>
      <c r="J629">
        <f>RAW_DATA!J629</f>
        <v>13826</v>
      </c>
      <c r="K629">
        <f>RAW_DATA!K629</f>
        <v>3</v>
      </c>
      <c r="L629">
        <f>RAW_DATA!L629</f>
        <v>3</v>
      </c>
      <c r="M629">
        <f>RAW_DATA!M629</f>
        <v>9</v>
      </c>
      <c r="N629">
        <f t="shared" si="18"/>
        <v>0</v>
      </c>
      <c r="O629" t="str" cm="1">
        <f t="array" ref="O629" xml:space="preserve"> _xlfn.IFS(A629 &lt;ASSUMPTIONS!$D$2,"25",A629 &lt;= ASSUMPTIONS!$D$3,"25-34",A629 &lt;= ASSUMPTIONS!$D$4, "35-44",A629 &lt;= ASSUMPTIONS!$D$5,"45-54",TRUE,"55+")</f>
        <v>45-54</v>
      </c>
      <c r="P629" t="str" cm="1">
        <f t="array" ref="P629">_xlfn.IFS( J629 &lt;ASSUMPTIONS!$D$7,"LOW",J629 &lt;= ASSUMPTIONS!$D$8,"MEDIUM",TRUE, "HIGH")</f>
        <v>HIGH</v>
      </c>
      <c r="Q629" t="str">
        <f>IF(M629&lt;ASSUMPTIONS!$D$10,"New (0-2)",IF(M629&lt;=ASSUMPTIONS!$D$11,"Early (2-5)",IF(M629&lt;=ASSUMPTIONS!$D$12,"Established (5-10)","Veteran (10+)")))</f>
        <v>Established (5-10)</v>
      </c>
      <c r="R629" s="4">
        <f t="shared" si="19"/>
        <v>3.3333333333333335</v>
      </c>
    </row>
    <row r="630" spans="1:18">
      <c r="A630">
        <f>RAW_DATA!A630</f>
        <v>37</v>
      </c>
      <c r="B630" t="str">
        <f>RAW_DATA!B630</f>
        <v>No</v>
      </c>
      <c r="C630" t="str">
        <f>RAW_DATA!C630</f>
        <v>Sales</v>
      </c>
      <c r="D630">
        <f>RAW_DATA!D630</f>
        <v>16</v>
      </c>
      <c r="E630">
        <f>RAW_DATA!E630</f>
        <v>4</v>
      </c>
      <c r="F630" t="str">
        <f>RAW_DATA!F630</f>
        <v>Marketing</v>
      </c>
      <c r="G630">
        <f>RAW_DATA!G630</f>
        <v>4</v>
      </c>
      <c r="H630">
        <f>RAW_DATA!H630</f>
        <v>3</v>
      </c>
      <c r="I630" t="str">
        <f>RAW_DATA!I630</f>
        <v>Divorced</v>
      </c>
      <c r="J630">
        <f>RAW_DATA!J630</f>
        <v>6334</v>
      </c>
      <c r="K630">
        <f>RAW_DATA!K630</f>
        <v>4</v>
      </c>
      <c r="L630">
        <f>RAW_DATA!L630</f>
        <v>3</v>
      </c>
      <c r="M630">
        <f>RAW_DATA!M630</f>
        <v>1</v>
      </c>
      <c r="N630">
        <f t="shared" si="18"/>
        <v>0</v>
      </c>
      <c r="O630" t="str" cm="1">
        <f t="array" ref="O630" xml:space="preserve"> _xlfn.IFS(A630 &lt;ASSUMPTIONS!$D$2,"25",A630 &lt;= ASSUMPTIONS!$D$3,"25-34",A630 &lt;= ASSUMPTIONS!$D$4, "35-44",A630 &lt;= ASSUMPTIONS!$D$5,"45-54",TRUE,"55+")</f>
        <v>35-44</v>
      </c>
      <c r="P630" t="str" cm="1">
        <f t="array" ref="P630">_xlfn.IFS( J630 &lt;ASSUMPTIONS!$D$7,"LOW",J630 &lt;= ASSUMPTIONS!$D$8,"MEDIUM",TRUE, "HIGH")</f>
        <v>MEDIUM</v>
      </c>
      <c r="Q630" t="str">
        <f>IF(M630&lt;ASSUMPTIONS!$D$10,"New (0-2)",IF(M630&lt;=ASSUMPTIONS!$D$11,"Early (2-5)",IF(M630&lt;=ASSUMPTIONS!$D$12,"Established (5-10)","Veteran (10+)")))</f>
        <v>New (0-2)</v>
      </c>
      <c r="R630" s="4">
        <f t="shared" si="19"/>
        <v>3.3333333333333335</v>
      </c>
    </row>
    <row r="631" spans="1:18">
      <c r="A631">
        <f>RAW_DATA!A631</f>
        <v>28</v>
      </c>
      <c r="B631" t="str">
        <f>RAW_DATA!B631</f>
        <v>No</v>
      </c>
      <c r="C631" t="str">
        <f>RAW_DATA!C631</f>
        <v>Human Resources</v>
      </c>
      <c r="D631">
        <f>RAW_DATA!D631</f>
        <v>8</v>
      </c>
      <c r="E631">
        <f>RAW_DATA!E631</f>
        <v>2</v>
      </c>
      <c r="F631" t="str">
        <f>RAW_DATA!F631</f>
        <v>Medical</v>
      </c>
      <c r="G631">
        <f>RAW_DATA!G631</f>
        <v>2</v>
      </c>
      <c r="H631">
        <f>RAW_DATA!H631</f>
        <v>4</v>
      </c>
      <c r="I631" t="str">
        <f>RAW_DATA!I631</f>
        <v>Divorced</v>
      </c>
      <c r="J631">
        <f>RAW_DATA!J631</f>
        <v>4936</v>
      </c>
      <c r="K631">
        <f>RAW_DATA!K631</f>
        <v>1</v>
      </c>
      <c r="L631">
        <f>RAW_DATA!L631</f>
        <v>3</v>
      </c>
      <c r="M631">
        <f>RAW_DATA!M631</f>
        <v>5</v>
      </c>
      <c r="N631">
        <f t="shared" si="18"/>
        <v>0</v>
      </c>
      <c r="O631" t="str" cm="1">
        <f t="array" ref="O631" xml:space="preserve"> _xlfn.IFS(A631 &lt;ASSUMPTIONS!$D$2,"25",A631 &lt;= ASSUMPTIONS!$D$3,"25-34",A631 &lt;= ASSUMPTIONS!$D$4, "35-44",A631 &lt;= ASSUMPTIONS!$D$5,"45-54",TRUE,"55+")</f>
        <v>25-34</v>
      </c>
      <c r="P631" t="str" cm="1">
        <f t="array" ref="P631">_xlfn.IFS( J631 &lt;ASSUMPTIONS!$D$7,"LOW",J631 &lt;= ASSUMPTIONS!$D$8,"MEDIUM",TRUE, "HIGH")</f>
        <v>MEDIUM</v>
      </c>
      <c r="Q631" t="str">
        <f>IF(M631&lt;ASSUMPTIONS!$D$10,"New (0-2)",IF(M631&lt;=ASSUMPTIONS!$D$11,"Early (2-5)",IF(M631&lt;=ASSUMPTIONS!$D$12,"Established (5-10)","Veteran (10+)")))</f>
        <v>Early (2-5)</v>
      </c>
      <c r="R631" s="4">
        <f t="shared" si="19"/>
        <v>3</v>
      </c>
    </row>
    <row r="632" spans="1:18">
      <c r="A632">
        <f>RAW_DATA!A632</f>
        <v>22</v>
      </c>
      <c r="B632" t="str">
        <f>RAW_DATA!B632</f>
        <v>No</v>
      </c>
      <c r="C632" t="str">
        <f>RAW_DATA!C632</f>
        <v>Research &amp; Development</v>
      </c>
      <c r="D632">
        <f>RAW_DATA!D632</f>
        <v>1</v>
      </c>
      <c r="E632">
        <f>RAW_DATA!E632</f>
        <v>2</v>
      </c>
      <c r="F632" t="str">
        <f>RAW_DATA!F632</f>
        <v>Life Sciences</v>
      </c>
      <c r="G632">
        <f>RAW_DATA!G632</f>
        <v>4</v>
      </c>
      <c r="H632">
        <f>RAW_DATA!H632</f>
        <v>4</v>
      </c>
      <c r="I632" t="str">
        <f>RAW_DATA!I632</f>
        <v>Married</v>
      </c>
      <c r="J632">
        <f>RAW_DATA!J632</f>
        <v>4775</v>
      </c>
      <c r="K632">
        <f>RAW_DATA!K632</f>
        <v>6</v>
      </c>
      <c r="L632">
        <f>RAW_DATA!L632</f>
        <v>1</v>
      </c>
      <c r="M632">
        <f>RAW_DATA!M632</f>
        <v>2</v>
      </c>
      <c r="N632">
        <f t="shared" si="18"/>
        <v>0</v>
      </c>
      <c r="O632" t="str" cm="1">
        <f t="array" ref="O632" xml:space="preserve"> _xlfn.IFS(A632 &lt;ASSUMPTIONS!$D$2,"25",A632 &lt;= ASSUMPTIONS!$D$3,"25-34",A632 &lt;= ASSUMPTIONS!$D$4, "35-44",A632 &lt;= ASSUMPTIONS!$D$5,"45-54",TRUE,"55+")</f>
        <v>25</v>
      </c>
      <c r="P632" t="str" cm="1">
        <f t="array" ref="P632">_xlfn.IFS( J632 &lt;ASSUMPTIONS!$D$7,"LOW",J632 &lt;= ASSUMPTIONS!$D$8,"MEDIUM",TRUE, "HIGH")</f>
        <v>MEDIUM</v>
      </c>
      <c r="Q632" t="str">
        <f>IF(M632&lt;ASSUMPTIONS!$D$10,"New (0-2)",IF(M632&lt;=ASSUMPTIONS!$D$11,"Early (2-5)",IF(M632&lt;=ASSUMPTIONS!$D$12,"Established (5-10)","Veteran (10+)")))</f>
        <v>Early (2-5)</v>
      </c>
      <c r="R632" s="4">
        <f t="shared" si="19"/>
        <v>3</v>
      </c>
    </row>
    <row r="633" spans="1:18">
      <c r="A633">
        <f>RAW_DATA!A633</f>
        <v>44</v>
      </c>
      <c r="B633" t="str">
        <f>RAW_DATA!B633</f>
        <v>No</v>
      </c>
      <c r="C633" t="str">
        <f>RAW_DATA!C633</f>
        <v>Research &amp; Development</v>
      </c>
      <c r="D633">
        <f>RAW_DATA!D633</f>
        <v>8</v>
      </c>
      <c r="E633">
        <f>RAW_DATA!E633</f>
        <v>4</v>
      </c>
      <c r="F633" t="str">
        <f>RAW_DATA!F633</f>
        <v>Life Sciences</v>
      </c>
      <c r="G633">
        <f>RAW_DATA!G633</f>
        <v>1</v>
      </c>
      <c r="H633">
        <f>RAW_DATA!H633</f>
        <v>4</v>
      </c>
      <c r="I633" t="str">
        <f>RAW_DATA!I633</f>
        <v>Married</v>
      </c>
      <c r="J633">
        <f>RAW_DATA!J633</f>
        <v>2818</v>
      </c>
      <c r="K633">
        <f>RAW_DATA!K633</f>
        <v>2</v>
      </c>
      <c r="L633">
        <f>RAW_DATA!L633</f>
        <v>2</v>
      </c>
      <c r="M633">
        <f>RAW_DATA!M633</f>
        <v>3</v>
      </c>
      <c r="N633">
        <f t="shared" si="18"/>
        <v>0</v>
      </c>
      <c r="O633" t="str" cm="1">
        <f t="array" ref="O633" xml:space="preserve"> _xlfn.IFS(A633 &lt;ASSUMPTIONS!$D$2,"25",A633 &lt;= ASSUMPTIONS!$D$3,"25-34",A633 &lt;= ASSUMPTIONS!$D$4, "35-44",A633 &lt;= ASSUMPTIONS!$D$5,"45-54",TRUE,"55+")</f>
        <v>35-44</v>
      </c>
      <c r="P633" t="str" cm="1">
        <f t="array" ref="P633">_xlfn.IFS( J633 &lt;ASSUMPTIONS!$D$7,"LOW",J633 &lt;= ASSUMPTIONS!$D$8,"MEDIUM",TRUE, "HIGH")</f>
        <v>LOW</v>
      </c>
      <c r="Q633" t="str">
        <f>IF(M633&lt;ASSUMPTIONS!$D$10,"New (0-2)",IF(M633&lt;=ASSUMPTIONS!$D$11,"Early (2-5)",IF(M633&lt;=ASSUMPTIONS!$D$12,"Established (5-10)","Veteran (10+)")))</f>
        <v>Early (2-5)</v>
      </c>
      <c r="R633" s="4">
        <f t="shared" si="19"/>
        <v>2.3333333333333335</v>
      </c>
    </row>
    <row r="634" spans="1:18">
      <c r="A634">
        <f>RAW_DATA!A634</f>
        <v>42</v>
      </c>
      <c r="B634" t="str">
        <f>RAW_DATA!B634</f>
        <v>No</v>
      </c>
      <c r="C634" t="str">
        <f>RAW_DATA!C634</f>
        <v>Research &amp; Development</v>
      </c>
      <c r="D634">
        <f>RAW_DATA!D634</f>
        <v>2</v>
      </c>
      <c r="E634">
        <f>RAW_DATA!E634</f>
        <v>1</v>
      </c>
      <c r="F634" t="str">
        <f>RAW_DATA!F634</f>
        <v>Medical</v>
      </c>
      <c r="G634">
        <f>RAW_DATA!G634</f>
        <v>2</v>
      </c>
      <c r="H634">
        <f>RAW_DATA!H634</f>
        <v>4</v>
      </c>
      <c r="I634" t="str">
        <f>RAW_DATA!I634</f>
        <v>Single</v>
      </c>
      <c r="J634">
        <f>RAW_DATA!J634</f>
        <v>2515</v>
      </c>
      <c r="K634">
        <f>RAW_DATA!K634</f>
        <v>5</v>
      </c>
      <c r="L634">
        <f>RAW_DATA!L634</f>
        <v>3</v>
      </c>
      <c r="M634">
        <f>RAW_DATA!M634</f>
        <v>2</v>
      </c>
      <c r="N634">
        <f t="shared" si="18"/>
        <v>0</v>
      </c>
      <c r="O634" t="str" cm="1">
        <f t="array" ref="O634" xml:space="preserve"> _xlfn.IFS(A634 &lt;ASSUMPTIONS!$D$2,"25",A634 &lt;= ASSUMPTIONS!$D$3,"25-34",A634 &lt;= ASSUMPTIONS!$D$4, "35-44",A634 &lt;= ASSUMPTIONS!$D$5,"45-54",TRUE,"55+")</f>
        <v>35-44</v>
      </c>
      <c r="P634" t="str" cm="1">
        <f t="array" ref="P634">_xlfn.IFS( J634 &lt;ASSUMPTIONS!$D$7,"LOW",J634 &lt;= ASSUMPTIONS!$D$8,"MEDIUM",TRUE, "HIGH")</f>
        <v>LOW</v>
      </c>
      <c r="Q634" t="str">
        <f>IF(M634&lt;ASSUMPTIONS!$D$10,"New (0-2)",IF(M634&lt;=ASSUMPTIONS!$D$11,"Early (2-5)",IF(M634&lt;=ASSUMPTIONS!$D$12,"Established (5-10)","Veteran (10+)")))</f>
        <v>Early (2-5)</v>
      </c>
      <c r="R634" s="4">
        <f t="shared" si="19"/>
        <v>3</v>
      </c>
    </row>
    <row r="635" spans="1:18">
      <c r="A635">
        <f>RAW_DATA!A635</f>
        <v>36</v>
      </c>
      <c r="B635" t="str">
        <f>RAW_DATA!B635</f>
        <v>No</v>
      </c>
      <c r="C635" t="str">
        <f>RAW_DATA!C635</f>
        <v>Human Resources</v>
      </c>
      <c r="D635">
        <f>RAW_DATA!D635</f>
        <v>8</v>
      </c>
      <c r="E635">
        <f>RAW_DATA!E635</f>
        <v>3</v>
      </c>
      <c r="F635" t="str">
        <f>RAW_DATA!F635</f>
        <v>Life Sciences</v>
      </c>
      <c r="G635">
        <f>RAW_DATA!G635</f>
        <v>1</v>
      </c>
      <c r="H635">
        <f>RAW_DATA!H635</f>
        <v>1</v>
      </c>
      <c r="I635" t="str">
        <f>RAW_DATA!I635</f>
        <v>Married</v>
      </c>
      <c r="J635">
        <f>RAW_DATA!J635</f>
        <v>2342</v>
      </c>
      <c r="K635">
        <f>RAW_DATA!K635</f>
        <v>0</v>
      </c>
      <c r="L635">
        <f>RAW_DATA!L635</f>
        <v>3</v>
      </c>
      <c r="M635">
        <f>RAW_DATA!M635</f>
        <v>5</v>
      </c>
      <c r="N635">
        <f t="shared" si="18"/>
        <v>0</v>
      </c>
      <c r="O635" t="str" cm="1">
        <f t="array" ref="O635" xml:space="preserve"> _xlfn.IFS(A635 &lt;ASSUMPTIONS!$D$2,"25",A635 &lt;= ASSUMPTIONS!$D$3,"25-34",A635 &lt;= ASSUMPTIONS!$D$4, "35-44",A635 &lt;= ASSUMPTIONS!$D$5,"45-54",TRUE,"55+")</f>
        <v>35-44</v>
      </c>
      <c r="P635" t="str" cm="1">
        <f t="array" ref="P635">_xlfn.IFS( J635 &lt;ASSUMPTIONS!$D$7,"LOW",J635 &lt;= ASSUMPTIONS!$D$8,"MEDIUM",TRUE, "HIGH")</f>
        <v>LOW</v>
      </c>
      <c r="Q635" t="str">
        <f>IF(M635&lt;ASSUMPTIONS!$D$10,"New (0-2)",IF(M635&lt;=ASSUMPTIONS!$D$11,"Early (2-5)",IF(M635&lt;=ASSUMPTIONS!$D$12,"Established (5-10)","Veteran (10+)")))</f>
        <v>Early (2-5)</v>
      </c>
      <c r="R635" s="4">
        <f t="shared" si="19"/>
        <v>1.6666666666666667</v>
      </c>
    </row>
    <row r="636" spans="1:18">
      <c r="A636">
        <f>RAW_DATA!A636</f>
        <v>25</v>
      </c>
      <c r="B636" t="str">
        <f>RAW_DATA!B636</f>
        <v>No</v>
      </c>
      <c r="C636" t="str">
        <f>RAW_DATA!C636</f>
        <v>Sales</v>
      </c>
      <c r="D636">
        <f>RAW_DATA!D636</f>
        <v>3</v>
      </c>
      <c r="E636">
        <f>RAW_DATA!E636</f>
        <v>1</v>
      </c>
      <c r="F636" t="str">
        <f>RAW_DATA!F636</f>
        <v>Other</v>
      </c>
      <c r="G636">
        <f>RAW_DATA!G636</f>
        <v>3</v>
      </c>
      <c r="H636">
        <f>RAW_DATA!H636</f>
        <v>1</v>
      </c>
      <c r="I636" t="str">
        <f>RAW_DATA!I636</f>
        <v>Married</v>
      </c>
      <c r="J636">
        <f>RAW_DATA!J636</f>
        <v>4194</v>
      </c>
      <c r="K636">
        <f>RAW_DATA!K636</f>
        <v>1</v>
      </c>
      <c r="L636">
        <f>RAW_DATA!L636</f>
        <v>3</v>
      </c>
      <c r="M636">
        <f>RAW_DATA!M636</f>
        <v>5</v>
      </c>
      <c r="N636">
        <f t="shared" si="18"/>
        <v>0</v>
      </c>
      <c r="O636" t="str" cm="1">
        <f t="array" ref="O636" xml:space="preserve"> _xlfn.IFS(A636 &lt;ASSUMPTIONS!$D$2,"25",A636 &lt;= ASSUMPTIONS!$D$3,"25-34",A636 &lt;= ASSUMPTIONS!$D$4, "35-44",A636 &lt;= ASSUMPTIONS!$D$5,"45-54",TRUE,"55+")</f>
        <v>25-34</v>
      </c>
      <c r="P636" t="str" cm="1">
        <f t="array" ref="P636">_xlfn.IFS( J636 &lt;ASSUMPTIONS!$D$7,"LOW",J636 &lt;= ASSUMPTIONS!$D$8,"MEDIUM",TRUE, "HIGH")</f>
        <v>MEDIUM</v>
      </c>
      <c r="Q636" t="str">
        <f>IF(M636&lt;ASSUMPTIONS!$D$10,"New (0-2)",IF(M636&lt;=ASSUMPTIONS!$D$11,"Early (2-5)",IF(M636&lt;=ASSUMPTIONS!$D$12,"Established (5-10)","Veteran (10+)")))</f>
        <v>Early (2-5)</v>
      </c>
      <c r="R636" s="4">
        <f t="shared" si="19"/>
        <v>2.3333333333333335</v>
      </c>
    </row>
    <row r="637" spans="1:18">
      <c r="A637">
        <f>RAW_DATA!A637</f>
        <v>35</v>
      </c>
      <c r="B637" t="str">
        <f>RAW_DATA!B637</f>
        <v>No</v>
      </c>
      <c r="C637" t="str">
        <f>RAW_DATA!C637</f>
        <v>Research &amp; Development</v>
      </c>
      <c r="D637">
        <f>RAW_DATA!D637</f>
        <v>9</v>
      </c>
      <c r="E637">
        <f>RAW_DATA!E637</f>
        <v>3</v>
      </c>
      <c r="F637" t="str">
        <f>RAW_DATA!F637</f>
        <v>Life Sciences</v>
      </c>
      <c r="G637">
        <f>RAW_DATA!G637</f>
        <v>4</v>
      </c>
      <c r="H637">
        <f>RAW_DATA!H637</f>
        <v>3</v>
      </c>
      <c r="I637" t="str">
        <f>RAW_DATA!I637</f>
        <v>Married</v>
      </c>
      <c r="J637">
        <f>RAW_DATA!J637</f>
        <v>10685</v>
      </c>
      <c r="K637">
        <f>RAW_DATA!K637</f>
        <v>1</v>
      </c>
      <c r="L637">
        <f>RAW_DATA!L637</f>
        <v>3</v>
      </c>
      <c r="M637">
        <f>RAW_DATA!M637</f>
        <v>17</v>
      </c>
      <c r="N637">
        <f t="shared" si="18"/>
        <v>0</v>
      </c>
      <c r="O637" t="str" cm="1">
        <f t="array" ref="O637" xml:space="preserve"> _xlfn.IFS(A637 &lt;ASSUMPTIONS!$D$2,"25",A637 &lt;= ASSUMPTIONS!$D$3,"25-34",A637 &lt;= ASSUMPTIONS!$D$4, "35-44",A637 &lt;= ASSUMPTIONS!$D$5,"45-54",TRUE,"55+")</f>
        <v>35-44</v>
      </c>
      <c r="P637" t="str" cm="1">
        <f t="array" ref="P637">_xlfn.IFS( J637 &lt;ASSUMPTIONS!$D$7,"LOW",J637 &lt;= ASSUMPTIONS!$D$8,"MEDIUM",TRUE, "HIGH")</f>
        <v>HIGH</v>
      </c>
      <c r="Q637" t="str">
        <f>IF(M637&lt;ASSUMPTIONS!$D$10,"New (0-2)",IF(M637&lt;=ASSUMPTIONS!$D$11,"Early (2-5)",IF(M637&lt;=ASSUMPTIONS!$D$12,"Established (5-10)","Veteran (10+)")))</f>
        <v>Veteran (10+)</v>
      </c>
      <c r="R637" s="4">
        <f t="shared" si="19"/>
        <v>3.3333333333333335</v>
      </c>
    </row>
    <row r="638" spans="1:18">
      <c r="A638">
        <f>RAW_DATA!A638</f>
        <v>35</v>
      </c>
      <c r="B638" t="str">
        <f>RAW_DATA!B638</f>
        <v>Yes</v>
      </c>
      <c r="C638" t="str">
        <f>RAW_DATA!C638</f>
        <v>Research &amp; Development</v>
      </c>
      <c r="D638">
        <f>RAW_DATA!D638</f>
        <v>25</v>
      </c>
      <c r="E638">
        <f>RAW_DATA!E638</f>
        <v>4</v>
      </c>
      <c r="F638" t="str">
        <f>RAW_DATA!F638</f>
        <v>Life Sciences</v>
      </c>
      <c r="G638">
        <f>RAW_DATA!G638</f>
        <v>4</v>
      </c>
      <c r="H638">
        <f>RAW_DATA!H638</f>
        <v>2</v>
      </c>
      <c r="I638" t="str">
        <f>RAW_DATA!I638</f>
        <v>Divorced</v>
      </c>
      <c r="J638">
        <f>RAW_DATA!J638</f>
        <v>2022</v>
      </c>
      <c r="K638">
        <f>RAW_DATA!K638</f>
        <v>1</v>
      </c>
      <c r="L638">
        <f>RAW_DATA!L638</f>
        <v>2</v>
      </c>
      <c r="M638">
        <f>RAW_DATA!M638</f>
        <v>10</v>
      </c>
      <c r="N638">
        <f t="shared" si="18"/>
        <v>1</v>
      </c>
      <c r="O638" t="str" cm="1">
        <f t="array" ref="O638" xml:space="preserve"> _xlfn.IFS(A638 &lt;ASSUMPTIONS!$D$2,"25",A638 &lt;= ASSUMPTIONS!$D$3,"25-34",A638 &lt;= ASSUMPTIONS!$D$4, "35-44",A638 &lt;= ASSUMPTIONS!$D$5,"45-54",TRUE,"55+")</f>
        <v>35-44</v>
      </c>
      <c r="P638" t="str" cm="1">
        <f t="array" ref="P638">_xlfn.IFS( J638 &lt;ASSUMPTIONS!$D$7,"LOW",J638 &lt;= ASSUMPTIONS!$D$8,"MEDIUM",TRUE, "HIGH")</f>
        <v>LOW</v>
      </c>
      <c r="Q638" t="str">
        <f>IF(M638&lt;ASSUMPTIONS!$D$10,"New (0-2)",IF(M638&lt;=ASSUMPTIONS!$D$11,"Early (2-5)",IF(M638&lt;=ASSUMPTIONS!$D$12,"Established (5-10)","Veteran (10+)")))</f>
        <v>Established (5-10)</v>
      </c>
      <c r="R638" s="4">
        <f t="shared" si="19"/>
        <v>2.6666666666666665</v>
      </c>
    </row>
    <row r="639" spans="1:18">
      <c r="A639">
        <f>RAW_DATA!A639</f>
        <v>32</v>
      </c>
      <c r="B639" t="str">
        <f>RAW_DATA!B639</f>
        <v>No</v>
      </c>
      <c r="C639" t="str">
        <f>RAW_DATA!C639</f>
        <v>Research &amp; Development</v>
      </c>
      <c r="D639">
        <f>RAW_DATA!D639</f>
        <v>1</v>
      </c>
      <c r="E639">
        <f>RAW_DATA!E639</f>
        <v>3</v>
      </c>
      <c r="F639" t="str">
        <f>RAW_DATA!F639</f>
        <v>Life Sciences</v>
      </c>
      <c r="G639">
        <f>RAW_DATA!G639</f>
        <v>4</v>
      </c>
      <c r="H639">
        <f>RAW_DATA!H639</f>
        <v>4</v>
      </c>
      <c r="I639" t="str">
        <f>RAW_DATA!I639</f>
        <v>Divorced</v>
      </c>
      <c r="J639">
        <f>RAW_DATA!J639</f>
        <v>2314</v>
      </c>
      <c r="K639">
        <f>RAW_DATA!K639</f>
        <v>0</v>
      </c>
      <c r="L639">
        <f>RAW_DATA!L639</f>
        <v>3</v>
      </c>
      <c r="M639">
        <f>RAW_DATA!M639</f>
        <v>3</v>
      </c>
      <c r="N639">
        <f t="shared" si="18"/>
        <v>0</v>
      </c>
      <c r="O639" t="str" cm="1">
        <f t="array" ref="O639" xml:space="preserve"> _xlfn.IFS(A639 &lt;ASSUMPTIONS!$D$2,"25",A639 &lt;= ASSUMPTIONS!$D$3,"25-34",A639 &lt;= ASSUMPTIONS!$D$4, "35-44",A639 &lt;= ASSUMPTIONS!$D$5,"45-54",TRUE,"55+")</f>
        <v>25-34</v>
      </c>
      <c r="P639" t="str" cm="1">
        <f t="array" ref="P639">_xlfn.IFS( J639 &lt;ASSUMPTIONS!$D$7,"LOW",J639 &lt;= ASSUMPTIONS!$D$8,"MEDIUM",TRUE, "HIGH")</f>
        <v>LOW</v>
      </c>
      <c r="Q639" t="str">
        <f>IF(M639&lt;ASSUMPTIONS!$D$10,"New (0-2)",IF(M639&lt;=ASSUMPTIONS!$D$11,"Early (2-5)",IF(M639&lt;=ASSUMPTIONS!$D$12,"Established (5-10)","Veteran (10+)")))</f>
        <v>Early (2-5)</v>
      </c>
      <c r="R639" s="4">
        <f t="shared" si="19"/>
        <v>3.6666666666666665</v>
      </c>
    </row>
    <row r="640" spans="1:18">
      <c r="A640">
        <f>RAW_DATA!A640</f>
        <v>25</v>
      </c>
      <c r="B640" t="str">
        <f>RAW_DATA!B640</f>
        <v>No</v>
      </c>
      <c r="C640" t="str">
        <f>RAW_DATA!C640</f>
        <v>Sales</v>
      </c>
      <c r="D640">
        <f>RAW_DATA!D640</f>
        <v>4</v>
      </c>
      <c r="E640">
        <f>RAW_DATA!E640</f>
        <v>1</v>
      </c>
      <c r="F640" t="str">
        <f>RAW_DATA!F640</f>
        <v>Marketing</v>
      </c>
      <c r="G640">
        <f>RAW_DATA!G640</f>
        <v>3</v>
      </c>
      <c r="H640">
        <f>RAW_DATA!H640</f>
        <v>1</v>
      </c>
      <c r="I640" t="str">
        <f>RAW_DATA!I640</f>
        <v>Married</v>
      </c>
      <c r="J640">
        <f>RAW_DATA!J640</f>
        <v>4256</v>
      </c>
      <c r="K640">
        <f>RAW_DATA!K640</f>
        <v>1</v>
      </c>
      <c r="L640">
        <f>RAW_DATA!L640</f>
        <v>4</v>
      </c>
      <c r="M640">
        <f>RAW_DATA!M640</f>
        <v>5</v>
      </c>
      <c r="N640">
        <f t="shared" si="18"/>
        <v>0</v>
      </c>
      <c r="O640" t="str" cm="1">
        <f t="array" ref="O640" xml:space="preserve"> _xlfn.IFS(A640 &lt;ASSUMPTIONS!$D$2,"25",A640 &lt;= ASSUMPTIONS!$D$3,"25-34",A640 &lt;= ASSUMPTIONS!$D$4, "35-44",A640 &lt;= ASSUMPTIONS!$D$5,"45-54",TRUE,"55+")</f>
        <v>25-34</v>
      </c>
      <c r="P640" t="str" cm="1">
        <f t="array" ref="P640">_xlfn.IFS( J640 &lt;ASSUMPTIONS!$D$7,"LOW",J640 &lt;= ASSUMPTIONS!$D$8,"MEDIUM",TRUE, "HIGH")</f>
        <v>MEDIUM</v>
      </c>
      <c r="Q640" t="str">
        <f>IF(M640&lt;ASSUMPTIONS!$D$10,"New (0-2)",IF(M640&lt;=ASSUMPTIONS!$D$11,"Early (2-5)",IF(M640&lt;=ASSUMPTIONS!$D$12,"Established (5-10)","Veteran (10+)")))</f>
        <v>Early (2-5)</v>
      </c>
      <c r="R640" s="4">
        <f t="shared" si="19"/>
        <v>2.6666666666666665</v>
      </c>
    </row>
    <row r="641" spans="1:18">
      <c r="A641">
        <f>RAW_DATA!A641</f>
        <v>49</v>
      </c>
      <c r="B641" t="str">
        <f>RAW_DATA!B641</f>
        <v>No</v>
      </c>
      <c r="C641" t="str">
        <f>RAW_DATA!C641</f>
        <v>Research &amp; Development</v>
      </c>
      <c r="D641">
        <f>RAW_DATA!D641</f>
        <v>1</v>
      </c>
      <c r="E641">
        <f>RAW_DATA!E641</f>
        <v>3</v>
      </c>
      <c r="F641" t="str">
        <f>RAW_DATA!F641</f>
        <v>Technical Degree</v>
      </c>
      <c r="G641">
        <f>RAW_DATA!G641</f>
        <v>3</v>
      </c>
      <c r="H641">
        <f>RAW_DATA!H641</f>
        <v>1</v>
      </c>
      <c r="I641" t="str">
        <f>RAW_DATA!I641</f>
        <v>Married</v>
      </c>
      <c r="J641">
        <f>RAW_DATA!J641</f>
        <v>3580</v>
      </c>
      <c r="K641">
        <f>RAW_DATA!K641</f>
        <v>2</v>
      </c>
      <c r="L641">
        <f>RAW_DATA!L641</f>
        <v>3</v>
      </c>
      <c r="M641">
        <f>RAW_DATA!M641</f>
        <v>4</v>
      </c>
      <c r="N641">
        <f t="shared" si="18"/>
        <v>0</v>
      </c>
      <c r="O641" t="str" cm="1">
        <f t="array" ref="O641" xml:space="preserve"> _xlfn.IFS(A641 &lt;ASSUMPTIONS!$D$2,"25",A641 &lt;= ASSUMPTIONS!$D$3,"25-34",A641 &lt;= ASSUMPTIONS!$D$4, "35-44",A641 &lt;= ASSUMPTIONS!$D$5,"45-54",TRUE,"55+")</f>
        <v>45-54</v>
      </c>
      <c r="P641" t="str" cm="1">
        <f t="array" ref="P641">_xlfn.IFS( J641 &lt;ASSUMPTIONS!$D$7,"LOW",J641 &lt;= ASSUMPTIONS!$D$8,"MEDIUM",TRUE, "HIGH")</f>
        <v>MEDIUM</v>
      </c>
      <c r="Q641" t="str">
        <f>IF(M641&lt;ASSUMPTIONS!$D$10,"New (0-2)",IF(M641&lt;=ASSUMPTIONS!$D$11,"Early (2-5)",IF(M641&lt;=ASSUMPTIONS!$D$12,"Established (5-10)","Veteran (10+)")))</f>
        <v>Early (2-5)</v>
      </c>
      <c r="R641" s="4">
        <f t="shared" si="19"/>
        <v>2.3333333333333335</v>
      </c>
    </row>
    <row r="642" spans="1:18">
      <c r="A642">
        <f>RAW_DATA!A642</f>
        <v>24</v>
      </c>
      <c r="B642" t="str">
        <f>RAW_DATA!B642</f>
        <v>No</v>
      </c>
      <c r="C642" t="str">
        <f>RAW_DATA!C642</f>
        <v>Research &amp; Development</v>
      </c>
      <c r="D642">
        <f>RAW_DATA!D642</f>
        <v>4</v>
      </c>
      <c r="E642">
        <f>RAW_DATA!E642</f>
        <v>1</v>
      </c>
      <c r="F642" t="str">
        <f>RAW_DATA!F642</f>
        <v>Life Sciences</v>
      </c>
      <c r="G642">
        <f>RAW_DATA!G642</f>
        <v>1</v>
      </c>
      <c r="H642">
        <f>RAW_DATA!H642</f>
        <v>4</v>
      </c>
      <c r="I642" t="str">
        <f>RAW_DATA!I642</f>
        <v>Married</v>
      </c>
      <c r="J642">
        <f>RAW_DATA!J642</f>
        <v>3162</v>
      </c>
      <c r="K642">
        <f>RAW_DATA!K642</f>
        <v>0</v>
      </c>
      <c r="L642">
        <f>RAW_DATA!L642</f>
        <v>2</v>
      </c>
      <c r="M642">
        <f>RAW_DATA!M642</f>
        <v>5</v>
      </c>
      <c r="N642">
        <f t="shared" si="18"/>
        <v>0</v>
      </c>
      <c r="O642" t="str" cm="1">
        <f t="array" ref="O642" xml:space="preserve"> _xlfn.IFS(A642 &lt;ASSUMPTIONS!$D$2,"25",A642 &lt;= ASSUMPTIONS!$D$3,"25-34",A642 &lt;= ASSUMPTIONS!$D$4, "35-44",A642 &lt;= ASSUMPTIONS!$D$5,"45-54",TRUE,"55+")</f>
        <v>25</v>
      </c>
      <c r="P642" t="str" cm="1">
        <f t="array" ref="P642">_xlfn.IFS( J642 &lt;ASSUMPTIONS!$D$7,"LOW",J642 &lt;= ASSUMPTIONS!$D$8,"MEDIUM",TRUE, "HIGH")</f>
        <v>MEDIUM</v>
      </c>
      <c r="Q642" t="str">
        <f>IF(M642&lt;ASSUMPTIONS!$D$10,"New (0-2)",IF(M642&lt;=ASSUMPTIONS!$D$11,"Early (2-5)",IF(M642&lt;=ASSUMPTIONS!$D$12,"Established (5-10)","Veteran (10+)")))</f>
        <v>Early (2-5)</v>
      </c>
      <c r="R642" s="4">
        <f t="shared" si="19"/>
        <v>2.3333333333333335</v>
      </c>
    </row>
    <row r="643" spans="1:18">
      <c r="A643">
        <f>RAW_DATA!A643</f>
        <v>32</v>
      </c>
      <c r="B643" t="str">
        <f>RAW_DATA!B643</f>
        <v>No</v>
      </c>
      <c r="C643" t="str">
        <f>RAW_DATA!C643</f>
        <v>Sales</v>
      </c>
      <c r="D643">
        <f>RAW_DATA!D643</f>
        <v>5</v>
      </c>
      <c r="E643">
        <f>RAW_DATA!E643</f>
        <v>2</v>
      </c>
      <c r="F643" t="str">
        <f>RAW_DATA!F643</f>
        <v>Life Sciences</v>
      </c>
      <c r="G643">
        <f>RAW_DATA!G643</f>
        <v>2</v>
      </c>
      <c r="H643">
        <f>RAW_DATA!H643</f>
        <v>2</v>
      </c>
      <c r="I643" t="str">
        <f>RAW_DATA!I643</f>
        <v>Married</v>
      </c>
      <c r="J643">
        <f>RAW_DATA!J643</f>
        <v>6524</v>
      </c>
      <c r="K643">
        <f>RAW_DATA!K643</f>
        <v>1</v>
      </c>
      <c r="L643">
        <f>RAW_DATA!L643</f>
        <v>3</v>
      </c>
      <c r="M643">
        <f>RAW_DATA!M643</f>
        <v>10</v>
      </c>
      <c r="N643">
        <f t="shared" ref="N643:N706" si="20" xml:space="preserve"> IF(B643 ="Yes",1,0)</f>
        <v>0</v>
      </c>
      <c r="O643" t="str" cm="1">
        <f t="array" ref="O643" xml:space="preserve"> _xlfn.IFS(A643 &lt;ASSUMPTIONS!$D$2,"25",A643 &lt;= ASSUMPTIONS!$D$3,"25-34",A643 &lt;= ASSUMPTIONS!$D$4, "35-44",A643 &lt;= ASSUMPTIONS!$D$5,"45-54",TRUE,"55+")</f>
        <v>25-34</v>
      </c>
      <c r="P643" t="str" cm="1">
        <f t="array" ref="P643">_xlfn.IFS( J643 &lt;ASSUMPTIONS!$D$7,"LOW",J643 &lt;= ASSUMPTIONS!$D$8,"MEDIUM",TRUE, "HIGH")</f>
        <v>MEDIUM</v>
      </c>
      <c r="Q643" t="str">
        <f>IF(M643&lt;ASSUMPTIONS!$D$10,"New (0-2)",IF(M643&lt;=ASSUMPTIONS!$D$11,"Early (2-5)",IF(M643&lt;=ASSUMPTIONS!$D$12,"Established (5-10)","Veteran (10+)")))</f>
        <v>Established (5-10)</v>
      </c>
      <c r="R643" s="4">
        <f t="shared" ref="R643:R706" si="21">AVERAGE(G643,H643,L643)</f>
        <v>2.3333333333333335</v>
      </c>
    </row>
    <row r="644" spans="1:18">
      <c r="A644">
        <f>RAW_DATA!A644</f>
        <v>38</v>
      </c>
      <c r="B644" t="str">
        <f>RAW_DATA!B644</f>
        <v>No</v>
      </c>
      <c r="C644" t="str">
        <f>RAW_DATA!C644</f>
        <v>Sales</v>
      </c>
      <c r="D644">
        <f>RAW_DATA!D644</f>
        <v>9</v>
      </c>
      <c r="E644">
        <f>RAW_DATA!E644</f>
        <v>3</v>
      </c>
      <c r="F644" t="str">
        <f>RAW_DATA!F644</f>
        <v>Marketing</v>
      </c>
      <c r="G644">
        <f>RAW_DATA!G644</f>
        <v>2</v>
      </c>
      <c r="H644">
        <f>RAW_DATA!H644</f>
        <v>2</v>
      </c>
      <c r="I644" t="str">
        <f>RAW_DATA!I644</f>
        <v>Married</v>
      </c>
      <c r="J644">
        <f>RAW_DATA!J644</f>
        <v>2899</v>
      </c>
      <c r="K644">
        <f>RAW_DATA!K644</f>
        <v>0</v>
      </c>
      <c r="L644">
        <f>RAW_DATA!L644</f>
        <v>3</v>
      </c>
      <c r="M644">
        <f>RAW_DATA!M644</f>
        <v>2</v>
      </c>
      <c r="N644">
        <f t="shared" si="20"/>
        <v>0</v>
      </c>
      <c r="O644" t="str" cm="1">
        <f t="array" ref="O644" xml:space="preserve"> _xlfn.IFS(A644 &lt;ASSUMPTIONS!$D$2,"25",A644 &lt;= ASSUMPTIONS!$D$3,"25-34",A644 &lt;= ASSUMPTIONS!$D$4, "35-44",A644 &lt;= ASSUMPTIONS!$D$5,"45-54",TRUE,"55+")</f>
        <v>35-44</v>
      </c>
      <c r="P644" t="str" cm="1">
        <f t="array" ref="P644">_xlfn.IFS( J644 &lt;ASSUMPTIONS!$D$7,"LOW",J644 &lt;= ASSUMPTIONS!$D$8,"MEDIUM",TRUE, "HIGH")</f>
        <v>LOW</v>
      </c>
      <c r="Q644" t="str">
        <f>IF(M644&lt;ASSUMPTIONS!$D$10,"New (0-2)",IF(M644&lt;=ASSUMPTIONS!$D$11,"Early (2-5)",IF(M644&lt;=ASSUMPTIONS!$D$12,"Established (5-10)","Veteran (10+)")))</f>
        <v>Early (2-5)</v>
      </c>
      <c r="R644" s="4">
        <f t="shared" si="21"/>
        <v>2.3333333333333335</v>
      </c>
    </row>
    <row r="645" spans="1:18">
      <c r="A645">
        <f>RAW_DATA!A645</f>
        <v>42</v>
      </c>
      <c r="B645" t="str">
        <f>RAW_DATA!B645</f>
        <v>No</v>
      </c>
      <c r="C645" t="str">
        <f>RAW_DATA!C645</f>
        <v>Research &amp; Development</v>
      </c>
      <c r="D645">
        <f>RAW_DATA!D645</f>
        <v>3</v>
      </c>
      <c r="E645">
        <f>RAW_DATA!E645</f>
        <v>3</v>
      </c>
      <c r="F645" t="str">
        <f>RAW_DATA!F645</f>
        <v>Life Sciences</v>
      </c>
      <c r="G645">
        <f>RAW_DATA!G645</f>
        <v>3</v>
      </c>
      <c r="H645">
        <f>RAW_DATA!H645</f>
        <v>4</v>
      </c>
      <c r="I645" t="str">
        <f>RAW_DATA!I645</f>
        <v>Married</v>
      </c>
      <c r="J645">
        <f>RAW_DATA!J645</f>
        <v>5231</v>
      </c>
      <c r="K645">
        <f>RAW_DATA!K645</f>
        <v>2</v>
      </c>
      <c r="L645">
        <f>RAW_DATA!L645</f>
        <v>2</v>
      </c>
      <c r="M645">
        <f>RAW_DATA!M645</f>
        <v>5</v>
      </c>
      <c r="N645">
        <f t="shared" si="20"/>
        <v>0</v>
      </c>
      <c r="O645" t="str" cm="1">
        <f t="array" ref="O645" xml:space="preserve"> _xlfn.IFS(A645 &lt;ASSUMPTIONS!$D$2,"25",A645 &lt;= ASSUMPTIONS!$D$3,"25-34",A645 &lt;= ASSUMPTIONS!$D$4, "35-44",A645 &lt;= ASSUMPTIONS!$D$5,"45-54",TRUE,"55+")</f>
        <v>35-44</v>
      </c>
      <c r="P645" t="str" cm="1">
        <f t="array" ref="P645">_xlfn.IFS( J645 &lt;ASSUMPTIONS!$D$7,"LOW",J645 &lt;= ASSUMPTIONS!$D$8,"MEDIUM",TRUE, "HIGH")</f>
        <v>MEDIUM</v>
      </c>
      <c r="Q645" t="str">
        <f>IF(M645&lt;ASSUMPTIONS!$D$10,"New (0-2)",IF(M645&lt;=ASSUMPTIONS!$D$11,"Early (2-5)",IF(M645&lt;=ASSUMPTIONS!$D$12,"Established (5-10)","Veteran (10+)")))</f>
        <v>Early (2-5)</v>
      </c>
      <c r="R645" s="4">
        <f t="shared" si="21"/>
        <v>3</v>
      </c>
    </row>
    <row r="646" spans="1:18">
      <c r="A646">
        <f>RAW_DATA!A646</f>
        <v>31</v>
      </c>
      <c r="B646" t="str">
        <f>RAW_DATA!B646</f>
        <v>No</v>
      </c>
      <c r="C646" t="str">
        <f>RAW_DATA!C646</f>
        <v>Research &amp; Development</v>
      </c>
      <c r="D646">
        <f>RAW_DATA!D646</f>
        <v>11</v>
      </c>
      <c r="E646">
        <f>RAW_DATA!E646</f>
        <v>4</v>
      </c>
      <c r="F646" t="str">
        <f>RAW_DATA!F646</f>
        <v>Life Sciences</v>
      </c>
      <c r="G646">
        <f>RAW_DATA!G646</f>
        <v>4</v>
      </c>
      <c r="H646">
        <f>RAW_DATA!H646</f>
        <v>4</v>
      </c>
      <c r="I646" t="str">
        <f>RAW_DATA!I646</f>
        <v>Married</v>
      </c>
      <c r="J646">
        <f>RAW_DATA!J646</f>
        <v>2356</v>
      </c>
      <c r="K646">
        <f>RAW_DATA!K646</f>
        <v>3</v>
      </c>
      <c r="L646">
        <f>RAW_DATA!L646</f>
        <v>3</v>
      </c>
      <c r="M646">
        <f>RAW_DATA!M646</f>
        <v>6</v>
      </c>
      <c r="N646">
        <f t="shared" si="20"/>
        <v>0</v>
      </c>
      <c r="O646" t="str" cm="1">
        <f t="array" ref="O646" xml:space="preserve"> _xlfn.IFS(A646 &lt;ASSUMPTIONS!$D$2,"25",A646 &lt;= ASSUMPTIONS!$D$3,"25-34",A646 &lt;= ASSUMPTIONS!$D$4, "35-44",A646 &lt;= ASSUMPTIONS!$D$5,"45-54",TRUE,"55+")</f>
        <v>25-34</v>
      </c>
      <c r="P646" t="str" cm="1">
        <f t="array" ref="P646">_xlfn.IFS( J646 &lt;ASSUMPTIONS!$D$7,"LOW",J646 &lt;= ASSUMPTIONS!$D$8,"MEDIUM",TRUE, "HIGH")</f>
        <v>LOW</v>
      </c>
      <c r="Q646" t="str">
        <f>IF(M646&lt;ASSUMPTIONS!$D$10,"New (0-2)",IF(M646&lt;=ASSUMPTIONS!$D$11,"Early (2-5)",IF(M646&lt;=ASSUMPTIONS!$D$12,"Established (5-10)","Veteran (10+)")))</f>
        <v>Established (5-10)</v>
      </c>
      <c r="R646" s="4">
        <f t="shared" si="21"/>
        <v>3.6666666666666665</v>
      </c>
    </row>
    <row r="647" spans="1:18">
      <c r="A647">
        <f>RAW_DATA!A647</f>
        <v>29</v>
      </c>
      <c r="B647" t="str">
        <f>RAW_DATA!B647</f>
        <v>Yes</v>
      </c>
      <c r="C647" t="str">
        <f>RAW_DATA!C647</f>
        <v>Sales</v>
      </c>
      <c r="D647">
        <f>RAW_DATA!D647</f>
        <v>1</v>
      </c>
      <c r="E647">
        <f>RAW_DATA!E647</f>
        <v>3</v>
      </c>
      <c r="F647" t="str">
        <f>RAW_DATA!F647</f>
        <v>Medical</v>
      </c>
      <c r="G647">
        <f>RAW_DATA!G647</f>
        <v>2</v>
      </c>
      <c r="H647">
        <f>RAW_DATA!H647</f>
        <v>3</v>
      </c>
      <c r="I647" t="str">
        <f>RAW_DATA!I647</f>
        <v>Divorced</v>
      </c>
      <c r="J647">
        <f>RAW_DATA!J647</f>
        <v>2800</v>
      </c>
      <c r="K647">
        <f>RAW_DATA!K647</f>
        <v>6</v>
      </c>
      <c r="L647">
        <f>RAW_DATA!L647</f>
        <v>3</v>
      </c>
      <c r="M647">
        <f>RAW_DATA!M647</f>
        <v>3</v>
      </c>
      <c r="N647">
        <f t="shared" si="20"/>
        <v>1</v>
      </c>
      <c r="O647" t="str" cm="1">
        <f t="array" ref="O647" xml:space="preserve"> _xlfn.IFS(A647 &lt;ASSUMPTIONS!$D$2,"25",A647 &lt;= ASSUMPTIONS!$D$3,"25-34",A647 &lt;= ASSUMPTIONS!$D$4, "35-44",A647 &lt;= ASSUMPTIONS!$D$5,"45-54",TRUE,"55+")</f>
        <v>25-34</v>
      </c>
      <c r="P647" t="str" cm="1">
        <f t="array" ref="P647">_xlfn.IFS( J647 &lt;ASSUMPTIONS!$D$7,"LOW",J647 &lt;= ASSUMPTIONS!$D$8,"MEDIUM",TRUE, "HIGH")</f>
        <v>LOW</v>
      </c>
      <c r="Q647" t="str">
        <f>IF(M647&lt;ASSUMPTIONS!$D$10,"New (0-2)",IF(M647&lt;=ASSUMPTIONS!$D$11,"Early (2-5)",IF(M647&lt;=ASSUMPTIONS!$D$12,"Established (5-10)","Veteran (10+)")))</f>
        <v>Early (2-5)</v>
      </c>
      <c r="R647" s="4">
        <f t="shared" si="21"/>
        <v>2.6666666666666665</v>
      </c>
    </row>
    <row r="648" spans="1:18">
      <c r="A648">
        <f>RAW_DATA!A648</f>
        <v>53</v>
      </c>
      <c r="B648" t="str">
        <f>RAW_DATA!B648</f>
        <v>No</v>
      </c>
      <c r="C648" t="str">
        <f>RAW_DATA!C648</f>
        <v>Sales</v>
      </c>
      <c r="D648">
        <f>RAW_DATA!D648</f>
        <v>8</v>
      </c>
      <c r="E648">
        <f>RAW_DATA!E648</f>
        <v>3</v>
      </c>
      <c r="F648" t="str">
        <f>RAW_DATA!F648</f>
        <v>Marketing</v>
      </c>
      <c r="G648">
        <f>RAW_DATA!G648</f>
        <v>1</v>
      </c>
      <c r="H648">
        <f>RAW_DATA!H648</f>
        <v>4</v>
      </c>
      <c r="I648" t="str">
        <f>RAW_DATA!I648</f>
        <v>Married</v>
      </c>
      <c r="J648">
        <f>RAW_DATA!J648</f>
        <v>11836</v>
      </c>
      <c r="K648">
        <f>RAW_DATA!K648</f>
        <v>5</v>
      </c>
      <c r="L648">
        <f>RAW_DATA!L648</f>
        <v>3</v>
      </c>
      <c r="M648">
        <f>RAW_DATA!M648</f>
        <v>2</v>
      </c>
      <c r="N648">
        <f t="shared" si="20"/>
        <v>0</v>
      </c>
      <c r="O648" t="str" cm="1">
        <f t="array" ref="O648" xml:space="preserve"> _xlfn.IFS(A648 &lt;ASSUMPTIONS!$D$2,"25",A648 &lt;= ASSUMPTIONS!$D$3,"25-34",A648 &lt;= ASSUMPTIONS!$D$4, "35-44",A648 &lt;= ASSUMPTIONS!$D$5,"45-54",TRUE,"55+")</f>
        <v>45-54</v>
      </c>
      <c r="P648" t="str" cm="1">
        <f t="array" ref="P648">_xlfn.IFS( J648 &lt;ASSUMPTIONS!$D$7,"LOW",J648 &lt;= ASSUMPTIONS!$D$8,"MEDIUM",TRUE, "HIGH")</f>
        <v>HIGH</v>
      </c>
      <c r="Q648" t="str">
        <f>IF(M648&lt;ASSUMPTIONS!$D$10,"New (0-2)",IF(M648&lt;=ASSUMPTIONS!$D$11,"Early (2-5)",IF(M648&lt;=ASSUMPTIONS!$D$12,"Established (5-10)","Veteran (10+)")))</f>
        <v>Early (2-5)</v>
      </c>
      <c r="R648" s="4">
        <f t="shared" si="21"/>
        <v>2.6666666666666665</v>
      </c>
    </row>
    <row r="649" spans="1:18">
      <c r="A649">
        <f>RAW_DATA!A649</f>
        <v>35</v>
      </c>
      <c r="B649" t="str">
        <f>RAW_DATA!B649</f>
        <v>No</v>
      </c>
      <c r="C649" t="str">
        <f>RAW_DATA!C649</f>
        <v>Research &amp; Development</v>
      </c>
      <c r="D649">
        <f>RAW_DATA!D649</f>
        <v>25</v>
      </c>
      <c r="E649">
        <f>RAW_DATA!E649</f>
        <v>3</v>
      </c>
      <c r="F649" t="str">
        <f>RAW_DATA!F649</f>
        <v>Technical Degree</v>
      </c>
      <c r="G649">
        <f>RAW_DATA!G649</f>
        <v>4</v>
      </c>
      <c r="H649">
        <f>RAW_DATA!H649</f>
        <v>2</v>
      </c>
      <c r="I649" t="str">
        <f>RAW_DATA!I649</f>
        <v>Married</v>
      </c>
      <c r="J649">
        <f>RAW_DATA!J649</f>
        <v>10903</v>
      </c>
      <c r="K649">
        <f>RAW_DATA!K649</f>
        <v>3</v>
      </c>
      <c r="L649">
        <f>RAW_DATA!L649</f>
        <v>3</v>
      </c>
      <c r="M649">
        <f>RAW_DATA!M649</f>
        <v>13</v>
      </c>
      <c r="N649">
        <f t="shared" si="20"/>
        <v>0</v>
      </c>
      <c r="O649" t="str" cm="1">
        <f t="array" ref="O649" xml:space="preserve"> _xlfn.IFS(A649 &lt;ASSUMPTIONS!$D$2,"25",A649 &lt;= ASSUMPTIONS!$D$3,"25-34",A649 &lt;= ASSUMPTIONS!$D$4, "35-44",A649 &lt;= ASSUMPTIONS!$D$5,"45-54",TRUE,"55+")</f>
        <v>35-44</v>
      </c>
      <c r="P649" t="str" cm="1">
        <f t="array" ref="P649">_xlfn.IFS( J649 &lt;ASSUMPTIONS!$D$7,"LOW",J649 &lt;= ASSUMPTIONS!$D$8,"MEDIUM",TRUE, "HIGH")</f>
        <v>HIGH</v>
      </c>
      <c r="Q649" t="str">
        <f>IF(M649&lt;ASSUMPTIONS!$D$10,"New (0-2)",IF(M649&lt;=ASSUMPTIONS!$D$11,"Early (2-5)",IF(M649&lt;=ASSUMPTIONS!$D$12,"Established (5-10)","Veteran (10+)")))</f>
        <v>Veteran (10+)</v>
      </c>
      <c r="R649" s="4">
        <f t="shared" si="21"/>
        <v>3</v>
      </c>
    </row>
    <row r="650" spans="1:18">
      <c r="A650">
        <f>RAW_DATA!A650</f>
        <v>37</v>
      </c>
      <c r="B650" t="str">
        <f>RAW_DATA!B650</f>
        <v>No</v>
      </c>
      <c r="C650" t="str">
        <f>RAW_DATA!C650</f>
        <v>Sales</v>
      </c>
      <c r="D650">
        <f>RAW_DATA!D650</f>
        <v>21</v>
      </c>
      <c r="E650">
        <f>RAW_DATA!E650</f>
        <v>2</v>
      </c>
      <c r="F650" t="str">
        <f>RAW_DATA!F650</f>
        <v>Medical</v>
      </c>
      <c r="G650">
        <f>RAW_DATA!G650</f>
        <v>3</v>
      </c>
      <c r="H650">
        <f>RAW_DATA!H650</f>
        <v>4</v>
      </c>
      <c r="I650" t="str">
        <f>RAW_DATA!I650</f>
        <v>Married</v>
      </c>
      <c r="J650">
        <f>RAW_DATA!J650</f>
        <v>2973</v>
      </c>
      <c r="K650">
        <f>RAW_DATA!K650</f>
        <v>5</v>
      </c>
      <c r="L650">
        <f>RAW_DATA!L650</f>
        <v>3</v>
      </c>
      <c r="M650">
        <f>RAW_DATA!M650</f>
        <v>5</v>
      </c>
      <c r="N650">
        <f t="shared" si="20"/>
        <v>0</v>
      </c>
      <c r="O650" t="str" cm="1">
        <f t="array" ref="O650" xml:space="preserve"> _xlfn.IFS(A650 &lt;ASSUMPTIONS!$D$2,"25",A650 &lt;= ASSUMPTIONS!$D$3,"25-34",A650 &lt;= ASSUMPTIONS!$D$4, "35-44",A650 &lt;= ASSUMPTIONS!$D$5,"45-54",TRUE,"55+")</f>
        <v>35-44</v>
      </c>
      <c r="P650" t="str" cm="1">
        <f t="array" ref="P650">_xlfn.IFS( J650 &lt;ASSUMPTIONS!$D$7,"LOW",J650 &lt;= ASSUMPTIONS!$D$8,"MEDIUM",TRUE, "HIGH")</f>
        <v>LOW</v>
      </c>
      <c r="Q650" t="str">
        <f>IF(M650&lt;ASSUMPTIONS!$D$10,"New (0-2)",IF(M650&lt;=ASSUMPTIONS!$D$11,"Early (2-5)",IF(M650&lt;=ASSUMPTIONS!$D$12,"Established (5-10)","Veteran (10+)")))</f>
        <v>Early (2-5)</v>
      </c>
      <c r="R650" s="4">
        <f t="shared" si="21"/>
        <v>3.3333333333333335</v>
      </c>
    </row>
    <row r="651" spans="1:18">
      <c r="A651">
        <f>RAW_DATA!A651</f>
        <v>53</v>
      </c>
      <c r="B651" t="str">
        <f>RAW_DATA!B651</f>
        <v>No</v>
      </c>
      <c r="C651" t="str">
        <f>RAW_DATA!C651</f>
        <v>Research &amp; Development</v>
      </c>
      <c r="D651">
        <f>RAW_DATA!D651</f>
        <v>23</v>
      </c>
      <c r="E651">
        <f>RAW_DATA!E651</f>
        <v>4</v>
      </c>
      <c r="F651" t="str">
        <f>RAW_DATA!F651</f>
        <v>Life Sciences</v>
      </c>
      <c r="G651">
        <f>RAW_DATA!G651</f>
        <v>4</v>
      </c>
      <c r="H651">
        <f>RAW_DATA!H651</f>
        <v>4</v>
      </c>
      <c r="I651" t="str">
        <f>RAW_DATA!I651</f>
        <v>Single</v>
      </c>
      <c r="J651">
        <f>RAW_DATA!J651</f>
        <v>14275</v>
      </c>
      <c r="K651">
        <f>RAW_DATA!K651</f>
        <v>6</v>
      </c>
      <c r="L651">
        <f>RAW_DATA!L651</f>
        <v>3</v>
      </c>
      <c r="M651">
        <f>RAW_DATA!M651</f>
        <v>12</v>
      </c>
      <c r="N651">
        <f t="shared" si="20"/>
        <v>0</v>
      </c>
      <c r="O651" t="str" cm="1">
        <f t="array" ref="O651" xml:space="preserve"> _xlfn.IFS(A651 &lt;ASSUMPTIONS!$D$2,"25",A651 &lt;= ASSUMPTIONS!$D$3,"25-34",A651 &lt;= ASSUMPTIONS!$D$4, "35-44",A651 &lt;= ASSUMPTIONS!$D$5,"45-54",TRUE,"55+")</f>
        <v>45-54</v>
      </c>
      <c r="P651" t="str" cm="1">
        <f t="array" ref="P651">_xlfn.IFS( J651 &lt;ASSUMPTIONS!$D$7,"LOW",J651 &lt;= ASSUMPTIONS!$D$8,"MEDIUM",TRUE, "HIGH")</f>
        <v>HIGH</v>
      </c>
      <c r="Q651" t="str">
        <f>IF(M651&lt;ASSUMPTIONS!$D$10,"New (0-2)",IF(M651&lt;=ASSUMPTIONS!$D$11,"Early (2-5)",IF(M651&lt;=ASSUMPTIONS!$D$12,"Established (5-10)","Veteran (10+)")))</f>
        <v>Veteran (10+)</v>
      </c>
      <c r="R651" s="4">
        <f t="shared" si="21"/>
        <v>3.6666666666666665</v>
      </c>
    </row>
    <row r="652" spans="1:18">
      <c r="A652">
        <f>RAW_DATA!A652</f>
        <v>43</v>
      </c>
      <c r="B652" t="str">
        <f>RAW_DATA!B652</f>
        <v>No</v>
      </c>
      <c r="C652" t="str">
        <f>RAW_DATA!C652</f>
        <v>Research &amp; Development</v>
      </c>
      <c r="D652">
        <f>RAW_DATA!D652</f>
        <v>1</v>
      </c>
      <c r="E652">
        <f>RAW_DATA!E652</f>
        <v>3</v>
      </c>
      <c r="F652" t="str">
        <f>RAW_DATA!F652</f>
        <v>Life Sciences</v>
      </c>
      <c r="G652">
        <f>RAW_DATA!G652</f>
        <v>4</v>
      </c>
      <c r="H652">
        <f>RAW_DATA!H652</f>
        <v>4</v>
      </c>
      <c r="I652" t="str">
        <f>RAW_DATA!I652</f>
        <v>Married</v>
      </c>
      <c r="J652">
        <f>RAW_DATA!J652</f>
        <v>5562</v>
      </c>
      <c r="K652">
        <f>RAW_DATA!K652</f>
        <v>4</v>
      </c>
      <c r="L652">
        <f>RAW_DATA!L652</f>
        <v>2</v>
      </c>
      <c r="M652">
        <f>RAW_DATA!M652</f>
        <v>5</v>
      </c>
      <c r="N652">
        <f t="shared" si="20"/>
        <v>0</v>
      </c>
      <c r="O652" t="str" cm="1">
        <f t="array" ref="O652" xml:space="preserve"> _xlfn.IFS(A652 &lt;ASSUMPTIONS!$D$2,"25",A652 &lt;= ASSUMPTIONS!$D$3,"25-34",A652 &lt;= ASSUMPTIONS!$D$4, "35-44",A652 &lt;= ASSUMPTIONS!$D$5,"45-54",TRUE,"55+")</f>
        <v>35-44</v>
      </c>
      <c r="P652" t="str" cm="1">
        <f t="array" ref="P652">_xlfn.IFS( J652 &lt;ASSUMPTIONS!$D$7,"LOW",J652 &lt;= ASSUMPTIONS!$D$8,"MEDIUM",TRUE, "HIGH")</f>
        <v>MEDIUM</v>
      </c>
      <c r="Q652" t="str">
        <f>IF(M652&lt;ASSUMPTIONS!$D$10,"New (0-2)",IF(M652&lt;=ASSUMPTIONS!$D$11,"Early (2-5)",IF(M652&lt;=ASSUMPTIONS!$D$12,"Established (5-10)","Veteran (10+)")))</f>
        <v>Early (2-5)</v>
      </c>
      <c r="R652" s="4">
        <f t="shared" si="21"/>
        <v>3.3333333333333335</v>
      </c>
    </row>
    <row r="653" spans="1:18">
      <c r="A653">
        <f>RAW_DATA!A653</f>
        <v>47</v>
      </c>
      <c r="B653" t="str">
        <f>RAW_DATA!B653</f>
        <v>No</v>
      </c>
      <c r="C653" t="str">
        <f>RAW_DATA!C653</f>
        <v>Sales</v>
      </c>
      <c r="D653">
        <f>RAW_DATA!D653</f>
        <v>2</v>
      </c>
      <c r="E653">
        <f>RAW_DATA!E653</f>
        <v>2</v>
      </c>
      <c r="F653" t="str">
        <f>RAW_DATA!F653</f>
        <v>Marketing</v>
      </c>
      <c r="G653">
        <f>RAW_DATA!G653</f>
        <v>3</v>
      </c>
      <c r="H653">
        <f>RAW_DATA!H653</f>
        <v>4</v>
      </c>
      <c r="I653" t="str">
        <f>RAW_DATA!I653</f>
        <v>Married</v>
      </c>
      <c r="J653">
        <f>RAW_DATA!J653</f>
        <v>4537</v>
      </c>
      <c r="K653">
        <f>RAW_DATA!K653</f>
        <v>0</v>
      </c>
      <c r="L653">
        <f>RAW_DATA!L653</f>
        <v>3</v>
      </c>
      <c r="M653">
        <f>RAW_DATA!M653</f>
        <v>7</v>
      </c>
      <c r="N653">
        <f t="shared" si="20"/>
        <v>0</v>
      </c>
      <c r="O653" t="str" cm="1">
        <f t="array" ref="O653" xml:space="preserve"> _xlfn.IFS(A653 &lt;ASSUMPTIONS!$D$2,"25",A653 &lt;= ASSUMPTIONS!$D$3,"25-34",A653 &lt;= ASSUMPTIONS!$D$4, "35-44",A653 &lt;= ASSUMPTIONS!$D$5,"45-54",TRUE,"55+")</f>
        <v>45-54</v>
      </c>
      <c r="P653" t="str" cm="1">
        <f t="array" ref="P653">_xlfn.IFS( J653 &lt;ASSUMPTIONS!$D$7,"LOW",J653 &lt;= ASSUMPTIONS!$D$8,"MEDIUM",TRUE, "HIGH")</f>
        <v>MEDIUM</v>
      </c>
      <c r="Q653" t="str">
        <f>IF(M653&lt;ASSUMPTIONS!$D$10,"New (0-2)",IF(M653&lt;=ASSUMPTIONS!$D$11,"Early (2-5)",IF(M653&lt;=ASSUMPTIONS!$D$12,"Established (5-10)","Veteran (10+)")))</f>
        <v>Established (5-10)</v>
      </c>
      <c r="R653" s="4">
        <f t="shared" si="21"/>
        <v>3.3333333333333335</v>
      </c>
    </row>
    <row r="654" spans="1:18">
      <c r="A654">
        <f>RAW_DATA!A654</f>
        <v>37</v>
      </c>
      <c r="B654" t="str">
        <f>RAW_DATA!B654</f>
        <v>No</v>
      </c>
      <c r="C654" t="str">
        <f>RAW_DATA!C654</f>
        <v>Sales</v>
      </c>
      <c r="D654">
        <f>RAW_DATA!D654</f>
        <v>19</v>
      </c>
      <c r="E654">
        <f>RAW_DATA!E654</f>
        <v>2</v>
      </c>
      <c r="F654" t="str">
        <f>RAW_DATA!F654</f>
        <v>Medical</v>
      </c>
      <c r="G654">
        <f>RAW_DATA!G654</f>
        <v>1</v>
      </c>
      <c r="H654">
        <f>RAW_DATA!H654</f>
        <v>2</v>
      </c>
      <c r="I654" t="str">
        <f>RAW_DATA!I654</f>
        <v>Single</v>
      </c>
      <c r="J654">
        <f>RAW_DATA!J654</f>
        <v>7642</v>
      </c>
      <c r="K654">
        <f>RAW_DATA!K654</f>
        <v>1</v>
      </c>
      <c r="L654">
        <f>RAW_DATA!L654</f>
        <v>3</v>
      </c>
      <c r="M654">
        <f>RAW_DATA!M654</f>
        <v>10</v>
      </c>
      <c r="N654">
        <f t="shared" si="20"/>
        <v>0</v>
      </c>
      <c r="O654" t="str" cm="1">
        <f t="array" ref="O654" xml:space="preserve"> _xlfn.IFS(A654 &lt;ASSUMPTIONS!$D$2,"25",A654 &lt;= ASSUMPTIONS!$D$3,"25-34",A654 &lt;= ASSUMPTIONS!$D$4, "35-44",A654 &lt;= ASSUMPTIONS!$D$5,"45-54",TRUE,"55+")</f>
        <v>35-44</v>
      </c>
      <c r="P654" t="str" cm="1">
        <f t="array" ref="P654">_xlfn.IFS( J654 &lt;ASSUMPTIONS!$D$7,"LOW",J654 &lt;= ASSUMPTIONS!$D$8,"MEDIUM",TRUE, "HIGH")</f>
        <v>HIGH</v>
      </c>
      <c r="Q654" t="str">
        <f>IF(M654&lt;ASSUMPTIONS!$D$10,"New (0-2)",IF(M654&lt;=ASSUMPTIONS!$D$11,"Early (2-5)",IF(M654&lt;=ASSUMPTIONS!$D$12,"Established (5-10)","Veteran (10+)")))</f>
        <v>Established (5-10)</v>
      </c>
      <c r="R654" s="4">
        <f t="shared" si="21"/>
        <v>2</v>
      </c>
    </row>
    <row r="655" spans="1:18">
      <c r="A655">
        <f>RAW_DATA!A655</f>
        <v>50</v>
      </c>
      <c r="B655" t="str">
        <f>RAW_DATA!B655</f>
        <v>No</v>
      </c>
      <c r="C655" t="str">
        <f>RAW_DATA!C655</f>
        <v>Research &amp; Development</v>
      </c>
      <c r="D655">
        <f>RAW_DATA!D655</f>
        <v>2</v>
      </c>
      <c r="E655">
        <f>RAW_DATA!E655</f>
        <v>4</v>
      </c>
      <c r="F655" t="str">
        <f>RAW_DATA!F655</f>
        <v>Life Sciences</v>
      </c>
      <c r="G655">
        <f>RAW_DATA!G655</f>
        <v>1</v>
      </c>
      <c r="H655">
        <f>RAW_DATA!H655</f>
        <v>1</v>
      </c>
      <c r="I655" t="str">
        <f>RAW_DATA!I655</f>
        <v>Divorced</v>
      </c>
      <c r="J655">
        <f>RAW_DATA!J655</f>
        <v>17924</v>
      </c>
      <c r="K655">
        <f>RAW_DATA!K655</f>
        <v>1</v>
      </c>
      <c r="L655">
        <f>RAW_DATA!L655</f>
        <v>3</v>
      </c>
      <c r="M655">
        <f>RAW_DATA!M655</f>
        <v>31</v>
      </c>
      <c r="N655">
        <f t="shared" si="20"/>
        <v>0</v>
      </c>
      <c r="O655" t="str" cm="1">
        <f t="array" ref="O655" xml:space="preserve"> _xlfn.IFS(A655 &lt;ASSUMPTIONS!$D$2,"25",A655 &lt;= ASSUMPTIONS!$D$3,"25-34",A655 &lt;= ASSUMPTIONS!$D$4, "35-44",A655 &lt;= ASSUMPTIONS!$D$5,"45-54",TRUE,"55+")</f>
        <v>45-54</v>
      </c>
      <c r="P655" t="str" cm="1">
        <f t="array" ref="P655">_xlfn.IFS( J655 &lt;ASSUMPTIONS!$D$7,"LOW",J655 &lt;= ASSUMPTIONS!$D$8,"MEDIUM",TRUE, "HIGH")</f>
        <v>HIGH</v>
      </c>
      <c r="Q655" t="str">
        <f>IF(M655&lt;ASSUMPTIONS!$D$10,"New (0-2)",IF(M655&lt;=ASSUMPTIONS!$D$11,"Early (2-5)",IF(M655&lt;=ASSUMPTIONS!$D$12,"Established (5-10)","Veteran (10+)")))</f>
        <v>Veteran (10+)</v>
      </c>
      <c r="R655" s="4">
        <f t="shared" si="21"/>
        <v>1.6666666666666667</v>
      </c>
    </row>
    <row r="656" spans="1:18">
      <c r="A656">
        <f>RAW_DATA!A656</f>
        <v>39</v>
      </c>
      <c r="B656" t="str">
        <f>RAW_DATA!B656</f>
        <v>No</v>
      </c>
      <c r="C656" t="str">
        <f>RAW_DATA!C656</f>
        <v>Human Resources</v>
      </c>
      <c r="D656">
        <f>RAW_DATA!D656</f>
        <v>2</v>
      </c>
      <c r="E656">
        <f>RAW_DATA!E656</f>
        <v>3</v>
      </c>
      <c r="F656" t="str">
        <f>RAW_DATA!F656</f>
        <v>Life Sciences</v>
      </c>
      <c r="G656">
        <f>RAW_DATA!G656</f>
        <v>4</v>
      </c>
      <c r="H656">
        <f>RAW_DATA!H656</f>
        <v>4</v>
      </c>
      <c r="I656" t="str">
        <f>RAW_DATA!I656</f>
        <v>Married</v>
      </c>
      <c r="J656">
        <f>RAW_DATA!J656</f>
        <v>5204</v>
      </c>
      <c r="K656">
        <f>RAW_DATA!K656</f>
        <v>8</v>
      </c>
      <c r="L656">
        <f>RAW_DATA!L656</f>
        <v>3</v>
      </c>
      <c r="M656">
        <f>RAW_DATA!M656</f>
        <v>5</v>
      </c>
      <c r="N656">
        <f t="shared" si="20"/>
        <v>0</v>
      </c>
      <c r="O656" t="str" cm="1">
        <f t="array" ref="O656" xml:space="preserve"> _xlfn.IFS(A656 &lt;ASSUMPTIONS!$D$2,"25",A656 &lt;= ASSUMPTIONS!$D$3,"25-34",A656 &lt;= ASSUMPTIONS!$D$4, "35-44",A656 &lt;= ASSUMPTIONS!$D$5,"45-54",TRUE,"55+")</f>
        <v>35-44</v>
      </c>
      <c r="P656" t="str" cm="1">
        <f t="array" ref="P656">_xlfn.IFS( J656 &lt;ASSUMPTIONS!$D$7,"LOW",J656 &lt;= ASSUMPTIONS!$D$8,"MEDIUM",TRUE, "HIGH")</f>
        <v>MEDIUM</v>
      </c>
      <c r="Q656" t="str">
        <f>IF(M656&lt;ASSUMPTIONS!$D$10,"New (0-2)",IF(M656&lt;=ASSUMPTIONS!$D$11,"Early (2-5)",IF(M656&lt;=ASSUMPTIONS!$D$12,"Established (5-10)","Veteran (10+)")))</f>
        <v>Early (2-5)</v>
      </c>
      <c r="R656" s="4">
        <f t="shared" si="21"/>
        <v>3.6666666666666665</v>
      </c>
    </row>
    <row r="657" spans="1:18">
      <c r="A657">
        <f>RAW_DATA!A657</f>
        <v>33</v>
      </c>
      <c r="B657" t="str">
        <f>RAW_DATA!B657</f>
        <v>No</v>
      </c>
      <c r="C657" t="str">
        <f>RAW_DATA!C657</f>
        <v>Human Resources</v>
      </c>
      <c r="D657">
        <f>RAW_DATA!D657</f>
        <v>3</v>
      </c>
      <c r="E657">
        <f>RAW_DATA!E657</f>
        <v>2</v>
      </c>
      <c r="F657" t="str">
        <f>RAW_DATA!F657</f>
        <v>Human Resources</v>
      </c>
      <c r="G657">
        <f>RAW_DATA!G657</f>
        <v>4</v>
      </c>
      <c r="H657">
        <f>RAW_DATA!H657</f>
        <v>2</v>
      </c>
      <c r="I657" t="str">
        <f>RAW_DATA!I657</f>
        <v>Divorced</v>
      </c>
      <c r="J657">
        <f>RAW_DATA!J657</f>
        <v>2277</v>
      </c>
      <c r="K657">
        <f>RAW_DATA!K657</f>
        <v>3</v>
      </c>
      <c r="L657">
        <f>RAW_DATA!L657</f>
        <v>4</v>
      </c>
      <c r="M657">
        <f>RAW_DATA!M657</f>
        <v>4</v>
      </c>
      <c r="N657">
        <f t="shared" si="20"/>
        <v>0</v>
      </c>
      <c r="O657" t="str" cm="1">
        <f t="array" ref="O657" xml:space="preserve"> _xlfn.IFS(A657 &lt;ASSUMPTIONS!$D$2,"25",A657 &lt;= ASSUMPTIONS!$D$3,"25-34",A657 &lt;= ASSUMPTIONS!$D$4, "35-44",A657 &lt;= ASSUMPTIONS!$D$5,"45-54",TRUE,"55+")</f>
        <v>25-34</v>
      </c>
      <c r="P657" t="str" cm="1">
        <f t="array" ref="P657">_xlfn.IFS( J657 &lt;ASSUMPTIONS!$D$7,"LOW",J657 &lt;= ASSUMPTIONS!$D$8,"MEDIUM",TRUE, "HIGH")</f>
        <v>LOW</v>
      </c>
      <c r="Q657" t="str">
        <f>IF(M657&lt;ASSUMPTIONS!$D$10,"New (0-2)",IF(M657&lt;=ASSUMPTIONS!$D$11,"Early (2-5)",IF(M657&lt;=ASSUMPTIONS!$D$12,"Established (5-10)","Veteran (10+)")))</f>
        <v>Early (2-5)</v>
      </c>
      <c r="R657" s="4">
        <f t="shared" si="21"/>
        <v>3.3333333333333335</v>
      </c>
    </row>
    <row r="658" spans="1:18">
      <c r="A658">
        <f>RAW_DATA!A658</f>
        <v>32</v>
      </c>
      <c r="B658" t="str">
        <f>RAW_DATA!B658</f>
        <v>Yes</v>
      </c>
      <c r="C658" t="str">
        <f>RAW_DATA!C658</f>
        <v>Research &amp; Development</v>
      </c>
      <c r="D658">
        <f>RAW_DATA!D658</f>
        <v>25</v>
      </c>
      <c r="E658">
        <f>RAW_DATA!E658</f>
        <v>4</v>
      </c>
      <c r="F658" t="str">
        <f>RAW_DATA!F658</f>
        <v>Life Sciences</v>
      </c>
      <c r="G658">
        <f>RAW_DATA!G658</f>
        <v>1</v>
      </c>
      <c r="H658">
        <f>RAW_DATA!H658</f>
        <v>4</v>
      </c>
      <c r="I658" t="str">
        <f>RAW_DATA!I658</f>
        <v>Single</v>
      </c>
      <c r="J658">
        <f>RAW_DATA!J658</f>
        <v>2795</v>
      </c>
      <c r="K658">
        <f>RAW_DATA!K658</f>
        <v>1</v>
      </c>
      <c r="L658">
        <f>RAW_DATA!L658</f>
        <v>1</v>
      </c>
      <c r="M658">
        <f>RAW_DATA!M658</f>
        <v>1</v>
      </c>
      <c r="N658">
        <f t="shared" si="20"/>
        <v>1</v>
      </c>
      <c r="O658" t="str" cm="1">
        <f t="array" ref="O658" xml:space="preserve"> _xlfn.IFS(A658 &lt;ASSUMPTIONS!$D$2,"25",A658 &lt;= ASSUMPTIONS!$D$3,"25-34",A658 &lt;= ASSUMPTIONS!$D$4, "35-44",A658 &lt;= ASSUMPTIONS!$D$5,"45-54",TRUE,"55+")</f>
        <v>25-34</v>
      </c>
      <c r="P658" t="str" cm="1">
        <f t="array" ref="P658">_xlfn.IFS( J658 &lt;ASSUMPTIONS!$D$7,"LOW",J658 &lt;= ASSUMPTIONS!$D$8,"MEDIUM",TRUE, "HIGH")</f>
        <v>LOW</v>
      </c>
      <c r="Q658" t="str">
        <f>IF(M658&lt;ASSUMPTIONS!$D$10,"New (0-2)",IF(M658&lt;=ASSUMPTIONS!$D$11,"Early (2-5)",IF(M658&lt;=ASSUMPTIONS!$D$12,"Established (5-10)","Veteran (10+)")))</f>
        <v>New (0-2)</v>
      </c>
      <c r="R658" s="4">
        <f t="shared" si="21"/>
        <v>2</v>
      </c>
    </row>
    <row r="659" spans="1:18">
      <c r="A659">
        <f>RAW_DATA!A659</f>
        <v>29</v>
      </c>
      <c r="B659" t="str">
        <f>RAW_DATA!B659</f>
        <v>No</v>
      </c>
      <c r="C659" t="str">
        <f>RAW_DATA!C659</f>
        <v>Research &amp; Development</v>
      </c>
      <c r="D659">
        <f>RAW_DATA!D659</f>
        <v>7</v>
      </c>
      <c r="E659">
        <f>RAW_DATA!E659</f>
        <v>1</v>
      </c>
      <c r="F659" t="str">
        <f>RAW_DATA!F659</f>
        <v>Medical</v>
      </c>
      <c r="G659">
        <f>RAW_DATA!G659</f>
        <v>1</v>
      </c>
      <c r="H659">
        <f>RAW_DATA!H659</f>
        <v>4</v>
      </c>
      <c r="I659" t="str">
        <f>RAW_DATA!I659</f>
        <v>Divorced</v>
      </c>
      <c r="J659">
        <f>RAW_DATA!J659</f>
        <v>2532</v>
      </c>
      <c r="K659">
        <f>RAW_DATA!K659</f>
        <v>6</v>
      </c>
      <c r="L659">
        <f>RAW_DATA!L659</f>
        <v>3</v>
      </c>
      <c r="M659">
        <f>RAW_DATA!M659</f>
        <v>4</v>
      </c>
      <c r="N659">
        <f t="shared" si="20"/>
        <v>0</v>
      </c>
      <c r="O659" t="str" cm="1">
        <f t="array" ref="O659" xml:space="preserve"> _xlfn.IFS(A659 &lt;ASSUMPTIONS!$D$2,"25",A659 &lt;= ASSUMPTIONS!$D$3,"25-34",A659 &lt;= ASSUMPTIONS!$D$4, "35-44",A659 &lt;= ASSUMPTIONS!$D$5,"45-54",TRUE,"55+")</f>
        <v>25-34</v>
      </c>
      <c r="P659" t="str" cm="1">
        <f t="array" ref="P659">_xlfn.IFS( J659 &lt;ASSUMPTIONS!$D$7,"LOW",J659 &lt;= ASSUMPTIONS!$D$8,"MEDIUM",TRUE, "HIGH")</f>
        <v>LOW</v>
      </c>
      <c r="Q659" t="str">
        <f>IF(M659&lt;ASSUMPTIONS!$D$10,"New (0-2)",IF(M659&lt;=ASSUMPTIONS!$D$11,"Early (2-5)",IF(M659&lt;=ASSUMPTIONS!$D$12,"Established (5-10)","Veteran (10+)")))</f>
        <v>Early (2-5)</v>
      </c>
      <c r="R659" s="4">
        <f t="shared" si="21"/>
        <v>2.6666666666666665</v>
      </c>
    </row>
    <row r="660" spans="1:18">
      <c r="A660">
        <f>RAW_DATA!A660</f>
        <v>44</v>
      </c>
      <c r="B660" t="str">
        <f>RAW_DATA!B660</f>
        <v>No</v>
      </c>
      <c r="C660" t="str">
        <f>RAW_DATA!C660</f>
        <v>Research &amp; Development</v>
      </c>
      <c r="D660">
        <f>RAW_DATA!D660</f>
        <v>9</v>
      </c>
      <c r="E660">
        <f>RAW_DATA!E660</f>
        <v>2</v>
      </c>
      <c r="F660" t="str">
        <f>RAW_DATA!F660</f>
        <v>Life Sciences</v>
      </c>
      <c r="G660">
        <f>RAW_DATA!G660</f>
        <v>2</v>
      </c>
      <c r="H660">
        <f>RAW_DATA!H660</f>
        <v>1</v>
      </c>
      <c r="I660" t="str">
        <f>RAW_DATA!I660</f>
        <v>Married</v>
      </c>
      <c r="J660">
        <f>RAW_DATA!J660</f>
        <v>2559</v>
      </c>
      <c r="K660">
        <f>RAW_DATA!K660</f>
        <v>1</v>
      </c>
      <c r="L660">
        <f>RAW_DATA!L660</f>
        <v>3</v>
      </c>
      <c r="M660">
        <f>RAW_DATA!M660</f>
        <v>8</v>
      </c>
      <c r="N660">
        <f t="shared" si="20"/>
        <v>0</v>
      </c>
      <c r="O660" t="str" cm="1">
        <f t="array" ref="O660" xml:space="preserve"> _xlfn.IFS(A660 &lt;ASSUMPTIONS!$D$2,"25",A660 &lt;= ASSUMPTIONS!$D$3,"25-34",A660 &lt;= ASSUMPTIONS!$D$4, "35-44",A660 &lt;= ASSUMPTIONS!$D$5,"45-54",TRUE,"55+")</f>
        <v>35-44</v>
      </c>
      <c r="P660" t="str" cm="1">
        <f t="array" ref="P660">_xlfn.IFS( J660 &lt;ASSUMPTIONS!$D$7,"LOW",J660 &lt;= ASSUMPTIONS!$D$8,"MEDIUM",TRUE, "HIGH")</f>
        <v>LOW</v>
      </c>
      <c r="Q660" t="str">
        <f>IF(M660&lt;ASSUMPTIONS!$D$10,"New (0-2)",IF(M660&lt;=ASSUMPTIONS!$D$11,"Early (2-5)",IF(M660&lt;=ASSUMPTIONS!$D$12,"Established (5-10)","Veteran (10+)")))</f>
        <v>Established (5-10)</v>
      </c>
      <c r="R660" s="4">
        <f t="shared" si="21"/>
        <v>2</v>
      </c>
    </row>
    <row r="661" spans="1:18">
      <c r="A661">
        <f>RAW_DATA!A661</f>
        <v>28</v>
      </c>
      <c r="B661" t="str">
        <f>RAW_DATA!B661</f>
        <v>No</v>
      </c>
      <c r="C661" t="str">
        <f>RAW_DATA!C661</f>
        <v>Sales</v>
      </c>
      <c r="D661">
        <f>RAW_DATA!D661</f>
        <v>5</v>
      </c>
      <c r="E661">
        <f>RAW_DATA!E661</f>
        <v>4</v>
      </c>
      <c r="F661" t="str">
        <f>RAW_DATA!F661</f>
        <v>Medical</v>
      </c>
      <c r="G661">
        <f>RAW_DATA!G661</f>
        <v>1</v>
      </c>
      <c r="H661">
        <f>RAW_DATA!H661</f>
        <v>4</v>
      </c>
      <c r="I661" t="str">
        <f>RAW_DATA!I661</f>
        <v>Single</v>
      </c>
      <c r="J661">
        <f>RAW_DATA!J661</f>
        <v>4908</v>
      </c>
      <c r="K661">
        <f>RAW_DATA!K661</f>
        <v>1</v>
      </c>
      <c r="L661">
        <f>RAW_DATA!L661</f>
        <v>3</v>
      </c>
      <c r="M661">
        <f>RAW_DATA!M661</f>
        <v>4</v>
      </c>
      <c r="N661">
        <f t="shared" si="20"/>
        <v>0</v>
      </c>
      <c r="O661" t="str" cm="1">
        <f t="array" ref="O661" xml:space="preserve"> _xlfn.IFS(A661 &lt;ASSUMPTIONS!$D$2,"25",A661 &lt;= ASSUMPTIONS!$D$3,"25-34",A661 &lt;= ASSUMPTIONS!$D$4, "35-44",A661 &lt;= ASSUMPTIONS!$D$5,"45-54",TRUE,"55+")</f>
        <v>25-34</v>
      </c>
      <c r="P661" t="str" cm="1">
        <f t="array" ref="P661">_xlfn.IFS( J661 &lt;ASSUMPTIONS!$D$7,"LOW",J661 &lt;= ASSUMPTIONS!$D$8,"MEDIUM",TRUE, "HIGH")</f>
        <v>MEDIUM</v>
      </c>
      <c r="Q661" t="str">
        <f>IF(M661&lt;ASSUMPTIONS!$D$10,"New (0-2)",IF(M661&lt;=ASSUMPTIONS!$D$11,"Early (2-5)",IF(M661&lt;=ASSUMPTIONS!$D$12,"Established (5-10)","Veteran (10+)")))</f>
        <v>Early (2-5)</v>
      </c>
      <c r="R661" s="4">
        <f t="shared" si="21"/>
        <v>2.6666666666666665</v>
      </c>
    </row>
    <row r="662" spans="1:18">
      <c r="A662">
        <f>RAW_DATA!A662</f>
        <v>58</v>
      </c>
      <c r="B662" t="str">
        <f>RAW_DATA!B662</f>
        <v>Yes</v>
      </c>
      <c r="C662" t="str">
        <f>RAW_DATA!C662</f>
        <v>Research &amp; Development</v>
      </c>
      <c r="D662">
        <f>RAW_DATA!D662</f>
        <v>2</v>
      </c>
      <c r="E662">
        <f>RAW_DATA!E662</f>
        <v>1</v>
      </c>
      <c r="F662" t="str">
        <f>RAW_DATA!F662</f>
        <v>Life Sciences</v>
      </c>
      <c r="G662">
        <f>RAW_DATA!G662</f>
        <v>4</v>
      </c>
      <c r="H662">
        <f>RAW_DATA!H662</f>
        <v>4</v>
      </c>
      <c r="I662" t="str">
        <f>RAW_DATA!I662</f>
        <v>Divorced</v>
      </c>
      <c r="J662">
        <f>RAW_DATA!J662</f>
        <v>2380</v>
      </c>
      <c r="K662">
        <f>RAW_DATA!K662</f>
        <v>9</v>
      </c>
      <c r="L662">
        <f>RAW_DATA!L662</f>
        <v>2</v>
      </c>
      <c r="M662">
        <f>RAW_DATA!M662</f>
        <v>1</v>
      </c>
      <c r="N662">
        <f t="shared" si="20"/>
        <v>1</v>
      </c>
      <c r="O662" t="str" cm="1">
        <f t="array" ref="O662" xml:space="preserve"> _xlfn.IFS(A662 &lt;ASSUMPTIONS!$D$2,"25",A662 &lt;= ASSUMPTIONS!$D$3,"25-34",A662 &lt;= ASSUMPTIONS!$D$4, "35-44",A662 &lt;= ASSUMPTIONS!$D$5,"45-54",TRUE,"55+")</f>
        <v>55+</v>
      </c>
      <c r="P662" t="str" cm="1">
        <f t="array" ref="P662">_xlfn.IFS( J662 &lt;ASSUMPTIONS!$D$7,"LOW",J662 &lt;= ASSUMPTIONS!$D$8,"MEDIUM",TRUE, "HIGH")</f>
        <v>LOW</v>
      </c>
      <c r="Q662" t="str">
        <f>IF(M662&lt;ASSUMPTIONS!$D$10,"New (0-2)",IF(M662&lt;=ASSUMPTIONS!$D$11,"Early (2-5)",IF(M662&lt;=ASSUMPTIONS!$D$12,"Established (5-10)","Veteran (10+)")))</f>
        <v>New (0-2)</v>
      </c>
      <c r="R662" s="4">
        <f t="shared" si="21"/>
        <v>3.3333333333333335</v>
      </c>
    </row>
    <row r="663" spans="1:18">
      <c r="A663">
        <f>RAW_DATA!A663</f>
        <v>43</v>
      </c>
      <c r="B663" t="str">
        <f>RAW_DATA!B663</f>
        <v>No</v>
      </c>
      <c r="C663" t="str">
        <f>RAW_DATA!C663</f>
        <v>Research &amp; Development</v>
      </c>
      <c r="D663">
        <f>RAW_DATA!D663</f>
        <v>8</v>
      </c>
      <c r="E663">
        <f>RAW_DATA!E663</f>
        <v>3</v>
      </c>
      <c r="F663" t="str">
        <f>RAW_DATA!F663</f>
        <v>Life Sciences</v>
      </c>
      <c r="G663">
        <f>RAW_DATA!G663</f>
        <v>1</v>
      </c>
      <c r="H663">
        <f>RAW_DATA!H663</f>
        <v>2</v>
      </c>
      <c r="I663" t="str">
        <f>RAW_DATA!I663</f>
        <v>Divorced</v>
      </c>
      <c r="J663">
        <f>RAW_DATA!J663</f>
        <v>4765</v>
      </c>
      <c r="K663">
        <f>RAW_DATA!K663</f>
        <v>4</v>
      </c>
      <c r="L663">
        <f>RAW_DATA!L663</f>
        <v>4</v>
      </c>
      <c r="M663">
        <f>RAW_DATA!M663</f>
        <v>1</v>
      </c>
      <c r="N663">
        <f t="shared" si="20"/>
        <v>0</v>
      </c>
      <c r="O663" t="str" cm="1">
        <f t="array" ref="O663" xml:space="preserve"> _xlfn.IFS(A663 &lt;ASSUMPTIONS!$D$2,"25",A663 &lt;= ASSUMPTIONS!$D$3,"25-34",A663 &lt;= ASSUMPTIONS!$D$4, "35-44",A663 &lt;= ASSUMPTIONS!$D$5,"45-54",TRUE,"55+")</f>
        <v>35-44</v>
      </c>
      <c r="P663" t="str" cm="1">
        <f t="array" ref="P663">_xlfn.IFS( J663 &lt;ASSUMPTIONS!$D$7,"LOW",J663 &lt;= ASSUMPTIONS!$D$8,"MEDIUM",TRUE, "HIGH")</f>
        <v>MEDIUM</v>
      </c>
      <c r="Q663" t="str">
        <f>IF(M663&lt;ASSUMPTIONS!$D$10,"New (0-2)",IF(M663&lt;=ASSUMPTIONS!$D$11,"Early (2-5)",IF(M663&lt;=ASSUMPTIONS!$D$12,"Established (5-10)","Veteran (10+)")))</f>
        <v>New (0-2)</v>
      </c>
      <c r="R663" s="4">
        <f t="shared" si="21"/>
        <v>2.3333333333333335</v>
      </c>
    </row>
    <row r="664" spans="1:18">
      <c r="A664">
        <f>RAW_DATA!A664</f>
        <v>20</v>
      </c>
      <c r="B664" t="str">
        <f>RAW_DATA!B664</f>
        <v>Yes</v>
      </c>
      <c r="C664" t="str">
        <f>RAW_DATA!C664</f>
        <v>Sales</v>
      </c>
      <c r="D664">
        <f>RAW_DATA!D664</f>
        <v>2</v>
      </c>
      <c r="E664">
        <f>RAW_DATA!E664</f>
        <v>3</v>
      </c>
      <c r="F664" t="str">
        <f>RAW_DATA!F664</f>
        <v>Medical</v>
      </c>
      <c r="G664">
        <f>RAW_DATA!G664</f>
        <v>3</v>
      </c>
      <c r="H664">
        <f>RAW_DATA!H664</f>
        <v>3</v>
      </c>
      <c r="I664" t="str">
        <f>RAW_DATA!I664</f>
        <v>Single</v>
      </c>
      <c r="J664">
        <f>RAW_DATA!J664</f>
        <v>2044</v>
      </c>
      <c r="K664">
        <f>RAW_DATA!K664</f>
        <v>1</v>
      </c>
      <c r="L664">
        <f>RAW_DATA!L664</f>
        <v>2</v>
      </c>
      <c r="M664">
        <f>RAW_DATA!M664</f>
        <v>2</v>
      </c>
      <c r="N664">
        <f t="shared" si="20"/>
        <v>1</v>
      </c>
      <c r="O664" t="str" cm="1">
        <f t="array" ref="O664" xml:space="preserve"> _xlfn.IFS(A664 &lt;ASSUMPTIONS!$D$2,"25",A664 &lt;= ASSUMPTIONS!$D$3,"25-34",A664 &lt;= ASSUMPTIONS!$D$4, "35-44",A664 &lt;= ASSUMPTIONS!$D$5,"45-54",TRUE,"55+")</f>
        <v>25</v>
      </c>
      <c r="P664" t="str" cm="1">
        <f t="array" ref="P664">_xlfn.IFS( J664 &lt;ASSUMPTIONS!$D$7,"LOW",J664 &lt;= ASSUMPTIONS!$D$8,"MEDIUM",TRUE, "HIGH")</f>
        <v>LOW</v>
      </c>
      <c r="Q664" t="str">
        <f>IF(M664&lt;ASSUMPTIONS!$D$10,"New (0-2)",IF(M664&lt;=ASSUMPTIONS!$D$11,"Early (2-5)",IF(M664&lt;=ASSUMPTIONS!$D$12,"Established (5-10)","Veteran (10+)")))</f>
        <v>Early (2-5)</v>
      </c>
      <c r="R664" s="4">
        <f t="shared" si="21"/>
        <v>2.6666666666666665</v>
      </c>
    </row>
    <row r="665" spans="1:18">
      <c r="A665">
        <f>RAW_DATA!A665</f>
        <v>21</v>
      </c>
      <c r="B665" t="str">
        <f>RAW_DATA!B665</f>
        <v>Yes</v>
      </c>
      <c r="C665" t="str">
        <f>RAW_DATA!C665</f>
        <v>Research &amp; Development</v>
      </c>
      <c r="D665">
        <f>RAW_DATA!D665</f>
        <v>18</v>
      </c>
      <c r="E665">
        <f>RAW_DATA!E665</f>
        <v>1</v>
      </c>
      <c r="F665" t="str">
        <f>RAW_DATA!F665</f>
        <v>Other</v>
      </c>
      <c r="G665">
        <f>RAW_DATA!G665</f>
        <v>4</v>
      </c>
      <c r="H665">
        <f>RAW_DATA!H665</f>
        <v>4</v>
      </c>
      <c r="I665" t="str">
        <f>RAW_DATA!I665</f>
        <v>Single</v>
      </c>
      <c r="J665">
        <f>RAW_DATA!J665</f>
        <v>2693</v>
      </c>
      <c r="K665">
        <f>RAW_DATA!K665</f>
        <v>1</v>
      </c>
      <c r="L665">
        <f>RAW_DATA!L665</f>
        <v>2</v>
      </c>
      <c r="M665">
        <f>RAW_DATA!M665</f>
        <v>1</v>
      </c>
      <c r="N665">
        <f t="shared" si="20"/>
        <v>1</v>
      </c>
      <c r="O665" t="str" cm="1">
        <f t="array" ref="O665" xml:space="preserve"> _xlfn.IFS(A665 &lt;ASSUMPTIONS!$D$2,"25",A665 &lt;= ASSUMPTIONS!$D$3,"25-34",A665 &lt;= ASSUMPTIONS!$D$4, "35-44",A665 &lt;= ASSUMPTIONS!$D$5,"45-54",TRUE,"55+")</f>
        <v>25</v>
      </c>
      <c r="P665" t="str" cm="1">
        <f t="array" ref="P665">_xlfn.IFS( J665 &lt;ASSUMPTIONS!$D$7,"LOW",J665 &lt;= ASSUMPTIONS!$D$8,"MEDIUM",TRUE, "HIGH")</f>
        <v>LOW</v>
      </c>
      <c r="Q665" t="str">
        <f>IF(M665&lt;ASSUMPTIONS!$D$10,"New (0-2)",IF(M665&lt;=ASSUMPTIONS!$D$11,"Early (2-5)",IF(M665&lt;=ASSUMPTIONS!$D$12,"Established (5-10)","Veteran (10+)")))</f>
        <v>New (0-2)</v>
      </c>
      <c r="R665" s="4">
        <f t="shared" si="21"/>
        <v>3.3333333333333335</v>
      </c>
    </row>
    <row r="666" spans="1:18">
      <c r="A666">
        <f>RAW_DATA!A666</f>
        <v>36</v>
      </c>
      <c r="B666" t="str">
        <f>RAW_DATA!B666</f>
        <v>No</v>
      </c>
      <c r="C666" t="str">
        <f>RAW_DATA!C666</f>
        <v>Research &amp; Development</v>
      </c>
      <c r="D666">
        <f>RAW_DATA!D666</f>
        <v>14</v>
      </c>
      <c r="E666">
        <f>RAW_DATA!E666</f>
        <v>1</v>
      </c>
      <c r="F666" t="str">
        <f>RAW_DATA!F666</f>
        <v>Life Sciences</v>
      </c>
      <c r="G666">
        <f>RAW_DATA!G666</f>
        <v>3</v>
      </c>
      <c r="H666">
        <f>RAW_DATA!H666</f>
        <v>4</v>
      </c>
      <c r="I666" t="str">
        <f>RAW_DATA!I666</f>
        <v>Married</v>
      </c>
      <c r="J666">
        <f>RAW_DATA!J666</f>
        <v>6586</v>
      </c>
      <c r="K666">
        <f>RAW_DATA!K666</f>
        <v>0</v>
      </c>
      <c r="L666">
        <f>RAW_DATA!L666</f>
        <v>2</v>
      </c>
      <c r="M666">
        <f>RAW_DATA!M666</f>
        <v>16</v>
      </c>
      <c r="N666">
        <f t="shared" si="20"/>
        <v>0</v>
      </c>
      <c r="O666" t="str" cm="1">
        <f t="array" ref="O666" xml:space="preserve"> _xlfn.IFS(A666 &lt;ASSUMPTIONS!$D$2,"25",A666 &lt;= ASSUMPTIONS!$D$3,"25-34",A666 &lt;= ASSUMPTIONS!$D$4, "35-44",A666 &lt;= ASSUMPTIONS!$D$5,"45-54",TRUE,"55+")</f>
        <v>35-44</v>
      </c>
      <c r="P666" t="str" cm="1">
        <f t="array" ref="P666">_xlfn.IFS( J666 &lt;ASSUMPTIONS!$D$7,"LOW",J666 &lt;= ASSUMPTIONS!$D$8,"MEDIUM",TRUE, "HIGH")</f>
        <v>MEDIUM</v>
      </c>
      <c r="Q666" t="str">
        <f>IF(M666&lt;ASSUMPTIONS!$D$10,"New (0-2)",IF(M666&lt;=ASSUMPTIONS!$D$11,"Early (2-5)",IF(M666&lt;=ASSUMPTIONS!$D$12,"Established (5-10)","Veteran (10+)")))</f>
        <v>Veteran (10+)</v>
      </c>
      <c r="R666" s="4">
        <f t="shared" si="21"/>
        <v>3</v>
      </c>
    </row>
    <row r="667" spans="1:18">
      <c r="A667">
        <f>RAW_DATA!A667</f>
        <v>47</v>
      </c>
      <c r="B667" t="str">
        <f>RAW_DATA!B667</f>
        <v>No</v>
      </c>
      <c r="C667" t="str">
        <f>RAW_DATA!C667</f>
        <v>Sales</v>
      </c>
      <c r="D667">
        <f>RAW_DATA!D667</f>
        <v>2</v>
      </c>
      <c r="E667">
        <f>RAW_DATA!E667</f>
        <v>4</v>
      </c>
      <c r="F667" t="str">
        <f>RAW_DATA!F667</f>
        <v>Life Sciences</v>
      </c>
      <c r="G667">
        <f>RAW_DATA!G667</f>
        <v>4</v>
      </c>
      <c r="H667">
        <f>RAW_DATA!H667</f>
        <v>4</v>
      </c>
      <c r="I667" t="str">
        <f>RAW_DATA!I667</f>
        <v>Single</v>
      </c>
      <c r="J667">
        <f>RAW_DATA!J667</f>
        <v>3294</v>
      </c>
      <c r="K667">
        <f>RAW_DATA!K667</f>
        <v>1</v>
      </c>
      <c r="L667">
        <f>RAW_DATA!L667</f>
        <v>2</v>
      </c>
      <c r="M667">
        <f>RAW_DATA!M667</f>
        <v>3</v>
      </c>
      <c r="N667">
        <f t="shared" si="20"/>
        <v>0</v>
      </c>
      <c r="O667" t="str" cm="1">
        <f t="array" ref="O667" xml:space="preserve"> _xlfn.IFS(A667 &lt;ASSUMPTIONS!$D$2,"25",A667 &lt;= ASSUMPTIONS!$D$3,"25-34",A667 &lt;= ASSUMPTIONS!$D$4, "35-44",A667 &lt;= ASSUMPTIONS!$D$5,"45-54",TRUE,"55+")</f>
        <v>45-54</v>
      </c>
      <c r="P667" t="str" cm="1">
        <f t="array" ref="P667">_xlfn.IFS( J667 &lt;ASSUMPTIONS!$D$7,"LOW",J667 &lt;= ASSUMPTIONS!$D$8,"MEDIUM",TRUE, "HIGH")</f>
        <v>MEDIUM</v>
      </c>
      <c r="Q667" t="str">
        <f>IF(M667&lt;ASSUMPTIONS!$D$10,"New (0-2)",IF(M667&lt;=ASSUMPTIONS!$D$11,"Early (2-5)",IF(M667&lt;=ASSUMPTIONS!$D$12,"Established (5-10)","Veteran (10+)")))</f>
        <v>Early (2-5)</v>
      </c>
      <c r="R667" s="4">
        <f t="shared" si="21"/>
        <v>3.3333333333333335</v>
      </c>
    </row>
    <row r="668" spans="1:18">
      <c r="A668">
        <f>RAW_DATA!A668</f>
        <v>22</v>
      </c>
      <c r="B668" t="str">
        <f>RAW_DATA!B668</f>
        <v>Yes</v>
      </c>
      <c r="C668" t="str">
        <f>RAW_DATA!C668</f>
        <v>Research &amp; Development</v>
      </c>
      <c r="D668">
        <f>RAW_DATA!D668</f>
        <v>3</v>
      </c>
      <c r="E668">
        <f>RAW_DATA!E668</f>
        <v>1</v>
      </c>
      <c r="F668" t="str">
        <f>RAW_DATA!F668</f>
        <v>Life Sciences</v>
      </c>
      <c r="G668">
        <f>RAW_DATA!G668</f>
        <v>2</v>
      </c>
      <c r="H668">
        <f>RAW_DATA!H668</f>
        <v>3</v>
      </c>
      <c r="I668" t="str">
        <f>RAW_DATA!I668</f>
        <v>Married</v>
      </c>
      <c r="J668">
        <f>RAW_DATA!J668</f>
        <v>4171</v>
      </c>
      <c r="K668">
        <f>RAW_DATA!K668</f>
        <v>0</v>
      </c>
      <c r="L668">
        <f>RAW_DATA!L668</f>
        <v>4</v>
      </c>
      <c r="M668">
        <f>RAW_DATA!M668</f>
        <v>3</v>
      </c>
      <c r="N668">
        <f t="shared" si="20"/>
        <v>1</v>
      </c>
      <c r="O668" t="str" cm="1">
        <f t="array" ref="O668" xml:space="preserve"> _xlfn.IFS(A668 &lt;ASSUMPTIONS!$D$2,"25",A668 &lt;= ASSUMPTIONS!$D$3,"25-34",A668 &lt;= ASSUMPTIONS!$D$4, "35-44",A668 &lt;= ASSUMPTIONS!$D$5,"45-54",TRUE,"55+")</f>
        <v>25</v>
      </c>
      <c r="P668" t="str" cm="1">
        <f t="array" ref="P668">_xlfn.IFS( J668 &lt;ASSUMPTIONS!$D$7,"LOW",J668 &lt;= ASSUMPTIONS!$D$8,"MEDIUM",TRUE, "HIGH")</f>
        <v>MEDIUM</v>
      </c>
      <c r="Q668" t="str">
        <f>IF(M668&lt;ASSUMPTIONS!$D$10,"New (0-2)",IF(M668&lt;=ASSUMPTIONS!$D$11,"Early (2-5)",IF(M668&lt;=ASSUMPTIONS!$D$12,"Established (5-10)","Veteran (10+)")))</f>
        <v>Early (2-5)</v>
      </c>
      <c r="R668" s="4">
        <f t="shared" si="21"/>
        <v>3</v>
      </c>
    </row>
    <row r="669" spans="1:18">
      <c r="A669">
        <f>RAW_DATA!A669</f>
        <v>41</v>
      </c>
      <c r="B669" t="str">
        <f>RAW_DATA!B669</f>
        <v>Yes</v>
      </c>
      <c r="C669" t="str">
        <f>RAW_DATA!C669</f>
        <v>Research &amp; Development</v>
      </c>
      <c r="D669">
        <f>RAW_DATA!D669</f>
        <v>2</v>
      </c>
      <c r="E669">
        <f>RAW_DATA!E669</f>
        <v>4</v>
      </c>
      <c r="F669" t="str">
        <f>RAW_DATA!F669</f>
        <v>Life Sciences</v>
      </c>
      <c r="G669">
        <f>RAW_DATA!G669</f>
        <v>2</v>
      </c>
      <c r="H669">
        <f>RAW_DATA!H669</f>
        <v>4</v>
      </c>
      <c r="I669" t="str">
        <f>RAW_DATA!I669</f>
        <v>Divorced</v>
      </c>
      <c r="J669">
        <f>RAW_DATA!J669</f>
        <v>2778</v>
      </c>
      <c r="K669">
        <f>RAW_DATA!K669</f>
        <v>4</v>
      </c>
      <c r="L669">
        <f>RAW_DATA!L669</f>
        <v>2</v>
      </c>
      <c r="M669">
        <f>RAW_DATA!M669</f>
        <v>7</v>
      </c>
      <c r="N669">
        <f t="shared" si="20"/>
        <v>1</v>
      </c>
      <c r="O669" t="str" cm="1">
        <f t="array" ref="O669" xml:space="preserve"> _xlfn.IFS(A669 &lt;ASSUMPTIONS!$D$2,"25",A669 &lt;= ASSUMPTIONS!$D$3,"25-34",A669 &lt;= ASSUMPTIONS!$D$4, "35-44",A669 &lt;= ASSUMPTIONS!$D$5,"45-54",TRUE,"55+")</f>
        <v>35-44</v>
      </c>
      <c r="P669" t="str" cm="1">
        <f t="array" ref="P669">_xlfn.IFS( J669 &lt;ASSUMPTIONS!$D$7,"LOW",J669 &lt;= ASSUMPTIONS!$D$8,"MEDIUM",TRUE, "HIGH")</f>
        <v>LOW</v>
      </c>
      <c r="Q669" t="str">
        <f>IF(M669&lt;ASSUMPTIONS!$D$10,"New (0-2)",IF(M669&lt;=ASSUMPTIONS!$D$11,"Early (2-5)",IF(M669&lt;=ASSUMPTIONS!$D$12,"Established (5-10)","Veteran (10+)")))</f>
        <v>Established (5-10)</v>
      </c>
      <c r="R669" s="4">
        <f t="shared" si="21"/>
        <v>2.6666666666666665</v>
      </c>
    </row>
    <row r="670" spans="1:18">
      <c r="A670">
        <f>RAW_DATA!A670</f>
        <v>28</v>
      </c>
      <c r="B670" t="str">
        <f>RAW_DATA!B670</f>
        <v>No</v>
      </c>
      <c r="C670" t="str">
        <f>RAW_DATA!C670</f>
        <v>Research &amp; Development</v>
      </c>
      <c r="D670">
        <f>RAW_DATA!D670</f>
        <v>9</v>
      </c>
      <c r="E670">
        <f>RAW_DATA!E670</f>
        <v>3</v>
      </c>
      <c r="F670" t="str">
        <f>RAW_DATA!F670</f>
        <v>Medical</v>
      </c>
      <c r="G670">
        <f>RAW_DATA!G670</f>
        <v>3</v>
      </c>
      <c r="H670">
        <f>RAW_DATA!H670</f>
        <v>3</v>
      </c>
      <c r="I670" t="str">
        <f>RAW_DATA!I670</f>
        <v>Divorced</v>
      </c>
      <c r="J670">
        <f>RAW_DATA!J670</f>
        <v>2377</v>
      </c>
      <c r="K670">
        <f>RAW_DATA!K670</f>
        <v>5</v>
      </c>
      <c r="L670">
        <f>RAW_DATA!L670</f>
        <v>3</v>
      </c>
      <c r="M670">
        <f>RAW_DATA!M670</f>
        <v>2</v>
      </c>
      <c r="N670">
        <f t="shared" si="20"/>
        <v>0</v>
      </c>
      <c r="O670" t="str" cm="1">
        <f t="array" ref="O670" xml:space="preserve"> _xlfn.IFS(A670 &lt;ASSUMPTIONS!$D$2,"25",A670 &lt;= ASSUMPTIONS!$D$3,"25-34",A670 &lt;= ASSUMPTIONS!$D$4, "35-44",A670 &lt;= ASSUMPTIONS!$D$5,"45-54",TRUE,"55+")</f>
        <v>25-34</v>
      </c>
      <c r="P670" t="str" cm="1">
        <f t="array" ref="P670">_xlfn.IFS( J670 &lt;ASSUMPTIONS!$D$7,"LOW",J670 &lt;= ASSUMPTIONS!$D$8,"MEDIUM",TRUE, "HIGH")</f>
        <v>LOW</v>
      </c>
      <c r="Q670" t="str">
        <f>IF(M670&lt;ASSUMPTIONS!$D$10,"New (0-2)",IF(M670&lt;=ASSUMPTIONS!$D$11,"Early (2-5)",IF(M670&lt;=ASSUMPTIONS!$D$12,"Established (5-10)","Veteran (10+)")))</f>
        <v>Early (2-5)</v>
      </c>
      <c r="R670" s="4">
        <f t="shared" si="21"/>
        <v>3</v>
      </c>
    </row>
    <row r="671" spans="1:18">
      <c r="A671">
        <f>RAW_DATA!A671</f>
        <v>39</v>
      </c>
      <c r="B671" t="str">
        <f>RAW_DATA!B671</f>
        <v>Yes</v>
      </c>
      <c r="C671" t="str">
        <f>RAW_DATA!C671</f>
        <v>Research &amp; Development</v>
      </c>
      <c r="D671">
        <f>RAW_DATA!D671</f>
        <v>6</v>
      </c>
      <c r="E671">
        <f>RAW_DATA!E671</f>
        <v>3</v>
      </c>
      <c r="F671" t="str">
        <f>RAW_DATA!F671</f>
        <v>Medical</v>
      </c>
      <c r="G671">
        <f>RAW_DATA!G671</f>
        <v>4</v>
      </c>
      <c r="H671">
        <f>RAW_DATA!H671</f>
        <v>1</v>
      </c>
      <c r="I671" t="str">
        <f>RAW_DATA!I671</f>
        <v>Married</v>
      </c>
      <c r="J671">
        <f>RAW_DATA!J671</f>
        <v>2404</v>
      </c>
      <c r="K671">
        <f>RAW_DATA!K671</f>
        <v>7</v>
      </c>
      <c r="L671">
        <f>RAW_DATA!L671</f>
        <v>1</v>
      </c>
      <c r="M671">
        <f>RAW_DATA!M671</f>
        <v>2</v>
      </c>
      <c r="N671">
        <f t="shared" si="20"/>
        <v>1</v>
      </c>
      <c r="O671" t="str" cm="1">
        <f t="array" ref="O671" xml:space="preserve"> _xlfn.IFS(A671 &lt;ASSUMPTIONS!$D$2,"25",A671 &lt;= ASSUMPTIONS!$D$3,"25-34",A671 &lt;= ASSUMPTIONS!$D$4, "35-44",A671 &lt;= ASSUMPTIONS!$D$5,"45-54",TRUE,"55+")</f>
        <v>35-44</v>
      </c>
      <c r="P671" t="str" cm="1">
        <f t="array" ref="P671">_xlfn.IFS( J671 &lt;ASSUMPTIONS!$D$7,"LOW",J671 &lt;= ASSUMPTIONS!$D$8,"MEDIUM",TRUE, "HIGH")</f>
        <v>LOW</v>
      </c>
      <c r="Q671" t="str">
        <f>IF(M671&lt;ASSUMPTIONS!$D$10,"New (0-2)",IF(M671&lt;=ASSUMPTIONS!$D$11,"Early (2-5)",IF(M671&lt;=ASSUMPTIONS!$D$12,"Established (5-10)","Veteran (10+)")))</f>
        <v>Early (2-5)</v>
      </c>
      <c r="R671" s="4">
        <f t="shared" si="21"/>
        <v>2</v>
      </c>
    </row>
    <row r="672" spans="1:18">
      <c r="A672">
        <f>RAW_DATA!A672</f>
        <v>27</v>
      </c>
      <c r="B672" t="str">
        <f>RAW_DATA!B672</f>
        <v>No</v>
      </c>
      <c r="C672" t="str">
        <f>RAW_DATA!C672</f>
        <v>Research &amp; Development</v>
      </c>
      <c r="D672">
        <f>RAW_DATA!D672</f>
        <v>4</v>
      </c>
      <c r="E672">
        <f>RAW_DATA!E672</f>
        <v>3</v>
      </c>
      <c r="F672" t="str">
        <f>RAW_DATA!F672</f>
        <v>Life Sciences</v>
      </c>
      <c r="G672">
        <f>RAW_DATA!G672</f>
        <v>2</v>
      </c>
      <c r="H672">
        <f>RAW_DATA!H672</f>
        <v>3</v>
      </c>
      <c r="I672" t="str">
        <f>RAW_DATA!I672</f>
        <v>Single</v>
      </c>
      <c r="J672">
        <f>RAW_DATA!J672</f>
        <v>2318</v>
      </c>
      <c r="K672">
        <f>RAW_DATA!K672</f>
        <v>1</v>
      </c>
      <c r="L672">
        <f>RAW_DATA!L672</f>
        <v>3</v>
      </c>
      <c r="M672">
        <f>RAW_DATA!M672</f>
        <v>1</v>
      </c>
      <c r="N672">
        <f t="shared" si="20"/>
        <v>0</v>
      </c>
      <c r="O672" t="str" cm="1">
        <f t="array" ref="O672" xml:space="preserve"> _xlfn.IFS(A672 &lt;ASSUMPTIONS!$D$2,"25",A672 &lt;= ASSUMPTIONS!$D$3,"25-34",A672 &lt;= ASSUMPTIONS!$D$4, "35-44",A672 &lt;= ASSUMPTIONS!$D$5,"45-54",TRUE,"55+")</f>
        <v>25-34</v>
      </c>
      <c r="P672" t="str" cm="1">
        <f t="array" ref="P672">_xlfn.IFS( J672 &lt;ASSUMPTIONS!$D$7,"LOW",J672 &lt;= ASSUMPTIONS!$D$8,"MEDIUM",TRUE, "HIGH")</f>
        <v>LOW</v>
      </c>
      <c r="Q672" t="str">
        <f>IF(M672&lt;ASSUMPTIONS!$D$10,"New (0-2)",IF(M672&lt;=ASSUMPTIONS!$D$11,"Early (2-5)",IF(M672&lt;=ASSUMPTIONS!$D$12,"Established (5-10)","Veteran (10+)")))</f>
        <v>New (0-2)</v>
      </c>
      <c r="R672" s="4">
        <f t="shared" si="21"/>
        <v>2.6666666666666665</v>
      </c>
    </row>
    <row r="673" spans="1:18">
      <c r="A673">
        <f>RAW_DATA!A673</f>
        <v>34</v>
      </c>
      <c r="B673" t="str">
        <f>RAW_DATA!B673</f>
        <v>No</v>
      </c>
      <c r="C673" t="str">
        <f>RAW_DATA!C673</f>
        <v>Research &amp; Development</v>
      </c>
      <c r="D673">
        <f>RAW_DATA!D673</f>
        <v>10</v>
      </c>
      <c r="E673">
        <f>RAW_DATA!E673</f>
        <v>3</v>
      </c>
      <c r="F673" t="str">
        <f>RAW_DATA!F673</f>
        <v>Life Sciences</v>
      </c>
      <c r="G673">
        <f>RAW_DATA!G673</f>
        <v>2</v>
      </c>
      <c r="H673">
        <f>RAW_DATA!H673</f>
        <v>2</v>
      </c>
      <c r="I673" t="str">
        <f>RAW_DATA!I673</f>
        <v>Divorced</v>
      </c>
      <c r="J673">
        <f>RAW_DATA!J673</f>
        <v>2008</v>
      </c>
      <c r="K673">
        <f>RAW_DATA!K673</f>
        <v>1</v>
      </c>
      <c r="L673">
        <f>RAW_DATA!L673</f>
        <v>3</v>
      </c>
      <c r="M673">
        <f>RAW_DATA!M673</f>
        <v>1</v>
      </c>
      <c r="N673">
        <f t="shared" si="20"/>
        <v>0</v>
      </c>
      <c r="O673" t="str" cm="1">
        <f t="array" ref="O673" xml:space="preserve"> _xlfn.IFS(A673 &lt;ASSUMPTIONS!$D$2,"25",A673 &lt;= ASSUMPTIONS!$D$3,"25-34",A673 &lt;= ASSUMPTIONS!$D$4, "35-44",A673 &lt;= ASSUMPTIONS!$D$5,"45-54",TRUE,"55+")</f>
        <v>25-34</v>
      </c>
      <c r="P673" t="str" cm="1">
        <f t="array" ref="P673">_xlfn.IFS( J673 &lt;ASSUMPTIONS!$D$7,"LOW",J673 &lt;= ASSUMPTIONS!$D$8,"MEDIUM",TRUE, "HIGH")</f>
        <v>LOW</v>
      </c>
      <c r="Q673" t="str">
        <f>IF(M673&lt;ASSUMPTIONS!$D$10,"New (0-2)",IF(M673&lt;=ASSUMPTIONS!$D$11,"Early (2-5)",IF(M673&lt;=ASSUMPTIONS!$D$12,"Established (5-10)","Veteran (10+)")))</f>
        <v>New (0-2)</v>
      </c>
      <c r="R673" s="4">
        <f t="shared" si="21"/>
        <v>2.3333333333333335</v>
      </c>
    </row>
    <row r="674" spans="1:18">
      <c r="A674">
        <f>RAW_DATA!A674</f>
        <v>42</v>
      </c>
      <c r="B674" t="str">
        <f>RAW_DATA!B674</f>
        <v>No</v>
      </c>
      <c r="C674" t="str">
        <f>RAW_DATA!C674</f>
        <v>Sales</v>
      </c>
      <c r="D674">
        <f>RAW_DATA!D674</f>
        <v>14</v>
      </c>
      <c r="E674">
        <f>RAW_DATA!E674</f>
        <v>2</v>
      </c>
      <c r="F674" t="str">
        <f>RAW_DATA!F674</f>
        <v>Medical</v>
      </c>
      <c r="G674">
        <f>RAW_DATA!G674</f>
        <v>3</v>
      </c>
      <c r="H674">
        <f>RAW_DATA!H674</f>
        <v>3</v>
      </c>
      <c r="I674" t="str">
        <f>RAW_DATA!I674</f>
        <v>Single</v>
      </c>
      <c r="J674">
        <f>RAW_DATA!J674</f>
        <v>6244</v>
      </c>
      <c r="K674">
        <f>RAW_DATA!K674</f>
        <v>7</v>
      </c>
      <c r="L674">
        <f>RAW_DATA!L674</f>
        <v>3</v>
      </c>
      <c r="M674">
        <f>RAW_DATA!M674</f>
        <v>5</v>
      </c>
      <c r="N674">
        <f t="shared" si="20"/>
        <v>0</v>
      </c>
      <c r="O674" t="str" cm="1">
        <f t="array" ref="O674" xml:space="preserve"> _xlfn.IFS(A674 &lt;ASSUMPTIONS!$D$2,"25",A674 &lt;= ASSUMPTIONS!$D$3,"25-34",A674 &lt;= ASSUMPTIONS!$D$4, "35-44",A674 &lt;= ASSUMPTIONS!$D$5,"45-54",TRUE,"55+")</f>
        <v>35-44</v>
      </c>
      <c r="P674" t="str" cm="1">
        <f t="array" ref="P674">_xlfn.IFS( J674 &lt;ASSUMPTIONS!$D$7,"LOW",J674 &lt;= ASSUMPTIONS!$D$8,"MEDIUM",TRUE, "HIGH")</f>
        <v>MEDIUM</v>
      </c>
      <c r="Q674" t="str">
        <f>IF(M674&lt;ASSUMPTIONS!$D$10,"New (0-2)",IF(M674&lt;=ASSUMPTIONS!$D$11,"Early (2-5)",IF(M674&lt;=ASSUMPTIONS!$D$12,"Established (5-10)","Veteran (10+)")))</f>
        <v>Early (2-5)</v>
      </c>
      <c r="R674" s="4">
        <f t="shared" si="21"/>
        <v>3</v>
      </c>
    </row>
    <row r="675" spans="1:18">
      <c r="A675">
        <f>RAW_DATA!A675</f>
        <v>33</v>
      </c>
      <c r="B675" t="str">
        <f>RAW_DATA!B675</f>
        <v>No</v>
      </c>
      <c r="C675" t="str">
        <f>RAW_DATA!C675</f>
        <v>Research &amp; Development</v>
      </c>
      <c r="D675">
        <f>RAW_DATA!D675</f>
        <v>1</v>
      </c>
      <c r="E675">
        <f>RAW_DATA!E675</f>
        <v>4</v>
      </c>
      <c r="F675" t="str">
        <f>RAW_DATA!F675</f>
        <v>Other</v>
      </c>
      <c r="G675">
        <f>RAW_DATA!G675</f>
        <v>3</v>
      </c>
      <c r="H675">
        <f>RAW_DATA!H675</f>
        <v>1</v>
      </c>
      <c r="I675" t="str">
        <f>RAW_DATA!I675</f>
        <v>Single</v>
      </c>
      <c r="J675">
        <f>RAW_DATA!J675</f>
        <v>2799</v>
      </c>
      <c r="K675">
        <f>RAW_DATA!K675</f>
        <v>3</v>
      </c>
      <c r="L675">
        <f>RAW_DATA!L675</f>
        <v>3</v>
      </c>
      <c r="M675">
        <f>RAW_DATA!M675</f>
        <v>3</v>
      </c>
      <c r="N675">
        <f t="shared" si="20"/>
        <v>0</v>
      </c>
      <c r="O675" t="str" cm="1">
        <f t="array" ref="O675" xml:space="preserve"> _xlfn.IFS(A675 &lt;ASSUMPTIONS!$D$2,"25",A675 &lt;= ASSUMPTIONS!$D$3,"25-34",A675 &lt;= ASSUMPTIONS!$D$4, "35-44",A675 &lt;= ASSUMPTIONS!$D$5,"45-54",TRUE,"55+")</f>
        <v>25-34</v>
      </c>
      <c r="P675" t="str" cm="1">
        <f t="array" ref="P675">_xlfn.IFS( J675 &lt;ASSUMPTIONS!$D$7,"LOW",J675 &lt;= ASSUMPTIONS!$D$8,"MEDIUM",TRUE, "HIGH")</f>
        <v>LOW</v>
      </c>
      <c r="Q675" t="str">
        <f>IF(M675&lt;ASSUMPTIONS!$D$10,"New (0-2)",IF(M675&lt;=ASSUMPTIONS!$D$11,"Early (2-5)",IF(M675&lt;=ASSUMPTIONS!$D$12,"Established (5-10)","Veteran (10+)")))</f>
        <v>Early (2-5)</v>
      </c>
      <c r="R675" s="4">
        <f t="shared" si="21"/>
        <v>2.3333333333333335</v>
      </c>
    </row>
    <row r="676" spans="1:18">
      <c r="A676">
        <f>RAW_DATA!A676</f>
        <v>58</v>
      </c>
      <c r="B676" t="str">
        <f>RAW_DATA!B676</f>
        <v>No</v>
      </c>
      <c r="C676" t="str">
        <f>RAW_DATA!C676</f>
        <v>Research &amp; Development</v>
      </c>
      <c r="D676">
        <f>RAW_DATA!D676</f>
        <v>5</v>
      </c>
      <c r="E676">
        <f>RAW_DATA!E676</f>
        <v>3</v>
      </c>
      <c r="F676" t="str">
        <f>RAW_DATA!F676</f>
        <v>Technical Degree</v>
      </c>
      <c r="G676">
        <f>RAW_DATA!G676</f>
        <v>3</v>
      </c>
      <c r="H676">
        <f>RAW_DATA!H676</f>
        <v>2</v>
      </c>
      <c r="I676" t="str">
        <f>RAW_DATA!I676</f>
        <v>Divorced</v>
      </c>
      <c r="J676">
        <f>RAW_DATA!J676</f>
        <v>10552</v>
      </c>
      <c r="K676">
        <f>RAW_DATA!K676</f>
        <v>2</v>
      </c>
      <c r="L676">
        <f>RAW_DATA!L676</f>
        <v>3</v>
      </c>
      <c r="M676">
        <f>RAW_DATA!M676</f>
        <v>6</v>
      </c>
      <c r="N676">
        <f t="shared" si="20"/>
        <v>0</v>
      </c>
      <c r="O676" t="str" cm="1">
        <f t="array" ref="O676" xml:space="preserve"> _xlfn.IFS(A676 &lt;ASSUMPTIONS!$D$2,"25",A676 &lt;= ASSUMPTIONS!$D$3,"25-34",A676 &lt;= ASSUMPTIONS!$D$4, "35-44",A676 &lt;= ASSUMPTIONS!$D$5,"45-54",TRUE,"55+")</f>
        <v>55+</v>
      </c>
      <c r="P676" t="str" cm="1">
        <f t="array" ref="P676">_xlfn.IFS( J676 &lt;ASSUMPTIONS!$D$7,"LOW",J676 &lt;= ASSUMPTIONS!$D$8,"MEDIUM",TRUE, "HIGH")</f>
        <v>HIGH</v>
      </c>
      <c r="Q676" t="str">
        <f>IF(M676&lt;ASSUMPTIONS!$D$10,"New (0-2)",IF(M676&lt;=ASSUMPTIONS!$D$11,"Early (2-5)",IF(M676&lt;=ASSUMPTIONS!$D$12,"Established (5-10)","Veteran (10+)")))</f>
        <v>Established (5-10)</v>
      </c>
      <c r="R676" s="4">
        <f t="shared" si="21"/>
        <v>2.6666666666666665</v>
      </c>
    </row>
    <row r="677" spans="1:18">
      <c r="A677">
        <f>RAW_DATA!A677</f>
        <v>31</v>
      </c>
      <c r="B677" t="str">
        <f>RAW_DATA!B677</f>
        <v>No</v>
      </c>
      <c r="C677" t="str">
        <f>RAW_DATA!C677</f>
        <v>Sales</v>
      </c>
      <c r="D677">
        <f>RAW_DATA!D677</f>
        <v>7</v>
      </c>
      <c r="E677">
        <f>RAW_DATA!E677</f>
        <v>4</v>
      </c>
      <c r="F677" t="str">
        <f>RAW_DATA!F677</f>
        <v>Life Sciences</v>
      </c>
      <c r="G677">
        <f>RAW_DATA!G677</f>
        <v>2</v>
      </c>
      <c r="H677">
        <f>RAW_DATA!H677</f>
        <v>3</v>
      </c>
      <c r="I677" t="str">
        <f>RAW_DATA!I677</f>
        <v>Married</v>
      </c>
      <c r="J677">
        <f>RAW_DATA!J677</f>
        <v>2329</v>
      </c>
      <c r="K677">
        <f>RAW_DATA!K677</f>
        <v>3</v>
      </c>
      <c r="L677">
        <f>RAW_DATA!L677</f>
        <v>4</v>
      </c>
      <c r="M677">
        <f>RAW_DATA!M677</f>
        <v>7</v>
      </c>
      <c r="N677">
        <f t="shared" si="20"/>
        <v>0</v>
      </c>
      <c r="O677" t="str" cm="1">
        <f t="array" ref="O677" xml:space="preserve"> _xlfn.IFS(A677 &lt;ASSUMPTIONS!$D$2,"25",A677 &lt;= ASSUMPTIONS!$D$3,"25-34",A677 &lt;= ASSUMPTIONS!$D$4, "35-44",A677 &lt;= ASSUMPTIONS!$D$5,"45-54",TRUE,"55+")</f>
        <v>25-34</v>
      </c>
      <c r="P677" t="str" cm="1">
        <f t="array" ref="P677">_xlfn.IFS( J677 &lt;ASSUMPTIONS!$D$7,"LOW",J677 &lt;= ASSUMPTIONS!$D$8,"MEDIUM",TRUE, "HIGH")</f>
        <v>LOW</v>
      </c>
      <c r="Q677" t="str">
        <f>IF(M677&lt;ASSUMPTIONS!$D$10,"New (0-2)",IF(M677&lt;=ASSUMPTIONS!$D$11,"Early (2-5)",IF(M677&lt;=ASSUMPTIONS!$D$12,"Established (5-10)","Veteran (10+)")))</f>
        <v>Established (5-10)</v>
      </c>
      <c r="R677" s="4">
        <f t="shared" si="21"/>
        <v>3</v>
      </c>
    </row>
    <row r="678" spans="1:18">
      <c r="A678">
        <f>RAW_DATA!A678</f>
        <v>35</v>
      </c>
      <c r="B678" t="str">
        <f>RAW_DATA!B678</f>
        <v>No</v>
      </c>
      <c r="C678" t="str">
        <f>RAW_DATA!C678</f>
        <v>Research &amp; Development</v>
      </c>
      <c r="D678">
        <f>RAW_DATA!D678</f>
        <v>21</v>
      </c>
      <c r="E678">
        <f>RAW_DATA!E678</f>
        <v>1</v>
      </c>
      <c r="F678" t="str">
        <f>RAW_DATA!F678</f>
        <v>Life Sciences</v>
      </c>
      <c r="G678">
        <f>RAW_DATA!G678</f>
        <v>4</v>
      </c>
      <c r="H678">
        <f>RAW_DATA!H678</f>
        <v>4</v>
      </c>
      <c r="I678" t="str">
        <f>RAW_DATA!I678</f>
        <v>Married</v>
      </c>
      <c r="J678">
        <f>RAW_DATA!J678</f>
        <v>4014</v>
      </c>
      <c r="K678">
        <f>RAW_DATA!K678</f>
        <v>1</v>
      </c>
      <c r="L678">
        <f>RAW_DATA!L678</f>
        <v>1</v>
      </c>
      <c r="M678">
        <f>RAW_DATA!M678</f>
        <v>10</v>
      </c>
      <c r="N678">
        <f t="shared" si="20"/>
        <v>0</v>
      </c>
      <c r="O678" t="str" cm="1">
        <f t="array" ref="O678" xml:space="preserve"> _xlfn.IFS(A678 &lt;ASSUMPTIONS!$D$2,"25",A678 &lt;= ASSUMPTIONS!$D$3,"25-34",A678 &lt;= ASSUMPTIONS!$D$4, "35-44",A678 &lt;= ASSUMPTIONS!$D$5,"45-54",TRUE,"55+")</f>
        <v>35-44</v>
      </c>
      <c r="P678" t="str" cm="1">
        <f t="array" ref="P678">_xlfn.IFS( J678 &lt;ASSUMPTIONS!$D$7,"LOW",J678 &lt;= ASSUMPTIONS!$D$8,"MEDIUM",TRUE, "HIGH")</f>
        <v>MEDIUM</v>
      </c>
      <c r="Q678" t="str">
        <f>IF(M678&lt;ASSUMPTIONS!$D$10,"New (0-2)",IF(M678&lt;=ASSUMPTIONS!$D$11,"Early (2-5)",IF(M678&lt;=ASSUMPTIONS!$D$12,"Established (5-10)","Veteran (10+)")))</f>
        <v>Established (5-10)</v>
      </c>
      <c r="R678" s="4">
        <f t="shared" si="21"/>
        <v>3</v>
      </c>
    </row>
    <row r="679" spans="1:18">
      <c r="A679">
        <f>RAW_DATA!A679</f>
        <v>49</v>
      </c>
      <c r="B679" t="str">
        <f>RAW_DATA!B679</f>
        <v>No</v>
      </c>
      <c r="C679" t="str">
        <f>RAW_DATA!C679</f>
        <v>Research &amp; Development</v>
      </c>
      <c r="D679">
        <f>RAW_DATA!D679</f>
        <v>8</v>
      </c>
      <c r="E679">
        <f>RAW_DATA!E679</f>
        <v>2</v>
      </c>
      <c r="F679" t="str">
        <f>RAW_DATA!F679</f>
        <v>Other</v>
      </c>
      <c r="G679">
        <f>RAW_DATA!G679</f>
        <v>1</v>
      </c>
      <c r="H679">
        <f>RAW_DATA!H679</f>
        <v>2</v>
      </c>
      <c r="I679" t="str">
        <f>RAW_DATA!I679</f>
        <v>Married</v>
      </c>
      <c r="J679">
        <f>RAW_DATA!J679</f>
        <v>7403</v>
      </c>
      <c r="K679">
        <f>RAW_DATA!K679</f>
        <v>4</v>
      </c>
      <c r="L679">
        <f>RAW_DATA!L679</f>
        <v>2</v>
      </c>
      <c r="M679">
        <f>RAW_DATA!M679</f>
        <v>26</v>
      </c>
      <c r="N679">
        <f t="shared" si="20"/>
        <v>0</v>
      </c>
      <c r="O679" t="str" cm="1">
        <f t="array" ref="O679" xml:space="preserve"> _xlfn.IFS(A679 &lt;ASSUMPTIONS!$D$2,"25",A679 &lt;= ASSUMPTIONS!$D$3,"25-34",A679 &lt;= ASSUMPTIONS!$D$4, "35-44",A679 &lt;= ASSUMPTIONS!$D$5,"45-54",TRUE,"55+")</f>
        <v>45-54</v>
      </c>
      <c r="P679" t="str" cm="1">
        <f t="array" ref="P679">_xlfn.IFS( J679 &lt;ASSUMPTIONS!$D$7,"LOW",J679 &lt;= ASSUMPTIONS!$D$8,"MEDIUM",TRUE, "HIGH")</f>
        <v>HIGH</v>
      </c>
      <c r="Q679" t="str">
        <f>IF(M679&lt;ASSUMPTIONS!$D$10,"New (0-2)",IF(M679&lt;=ASSUMPTIONS!$D$11,"Early (2-5)",IF(M679&lt;=ASSUMPTIONS!$D$12,"Established (5-10)","Veteran (10+)")))</f>
        <v>Veteran (10+)</v>
      </c>
      <c r="R679" s="4">
        <f t="shared" si="21"/>
        <v>1.6666666666666667</v>
      </c>
    </row>
    <row r="680" spans="1:18">
      <c r="A680">
        <f>RAW_DATA!A680</f>
        <v>48</v>
      </c>
      <c r="B680" t="str">
        <f>RAW_DATA!B680</f>
        <v>No</v>
      </c>
      <c r="C680" t="str">
        <f>RAW_DATA!C680</f>
        <v>Research &amp; Development</v>
      </c>
      <c r="D680">
        <f>RAW_DATA!D680</f>
        <v>20</v>
      </c>
      <c r="E680">
        <f>RAW_DATA!E680</f>
        <v>4</v>
      </c>
      <c r="F680" t="str">
        <f>RAW_DATA!F680</f>
        <v>Medical</v>
      </c>
      <c r="G680">
        <f>RAW_DATA!G680</f>
        <v>4</v>
      </c>
      <c r="H680">
        <f>RAW_DATA!H680</f>
        <v>3</v>
      </c>
      <c r="I680" t="str">
        <f>RAW_DATA!I680</f>
        <v>Married</v>
      </c>
      <c r="J680">
        <f>RAW_DATA!J680</f>
        <v>2259</v>
      </c>
      <c r="K680">
        <f>RAW_DATA!K680</f>
        <v>4</v>
      </c>
      <c r="L680">
        <f>RAW_DATA!L680</f>
        <v>2</v>
      </c>
      <c r="M680">
        <f>RAW_DATA!M680</f>
        <v>0</v>
      </c>
      <c r="N680">
        <f t="shared" si="20"/>
        <v>0</v>
      </c>
      <c r="O680" t="str" cm="1">
        <f t="array" ref="O680" xml:space="preserve"> _xlfn.IFS(A680 &lt;ASSUMPTIONS!$D$2,"25",A680 &lt;= ASSUMPTIONS!$D$3,"25-34",A680 &lt;= ASSUMPTIONS!$D$4, "35-44",A680 &lt;= ASSUMPTIONS!$D$5,"45-54",TRUE,"55+")</f>
        <v>45-54</v>
      </c>
      <c r="P680" t="str" cm="1">
        <f t="array" ref="P680">_xlfn.IFS( J680 &lt;ASSUMPTIONS!$D$7,"LOW",J680 &lt;= ASSUMPTIONS!$D$8,"MEDIUM",TRUE, "HIGH")</f>
        <v>LOW</v>
      </c>
      <c r="Q680" t="str">
        <f>IF(M680&lt;ASSUMPTIONS!$D$10,"New (0-2)",IF(M680&lt;=ASSUMPTIONS!$D$11,"Early (2-5)",IF(M680&lt;=ASSUMPTIONS!$D$12,"Established (5-10)","Veteran (10+)")))</f>
        <v>New (0-2)</v>
      </c>
      <c r="R680" s="4">
        <f t="shared" si="21"/>
        <v>3</v>
      </c>
    </row>
    <row r="681" spans="1:18">
      <c r="A681">
        <f>RAW_DATA!A681</f>
        <v>31</v>
      </c>
      <c r="B681" t="str">
        <f>RAW_DATA!B681</f>
        <v>No</v>
      </c>
      <c r="C681" t="str">
        <f>RAW_DATA!C681</f>
        <v>Sales</v>
      </c>
      <c r="D681">
        <f>RAW_DATA!D681</f>
        <v>20</v>
      </c>
      <c r="E681">
        <f>RAW_DATA!E681</f>
        <v>2</v>
      </c>
      <c r="F681" t="str">
        <f>RAW_DATA!F681</f>
        <v>Marketing</v>
      </c>
      <c r="G681">
        <f>RAW_DATA!G681</f>
        <v>4</v>
      </c>
      <c r="H681">
        <f>RAW_DATA!H681</f>
        <v>3</v>
      </c>
      <c r="I681" t="str">
        <f>RAW_DATA!I681</f>
        <v>Married</v>
      </c>
      <c r="J681">
        <f>RAW_DATA!J681</f>
        <v>6932</v>
      </c>
      <c r="K681">
        <f>RAW_DATA!K681</f>
        <v>1</v>
      </c>
      <c r="L681">
        <f>RAW_DATA!L681</f>
        <v>2</v>
      </c>
      <c r="M681">
        <f>RAW_DATA!M681</f>
        <v>9</v>
      </c>
      <c r="N681">
        <f t="shared" si="20"/>
        <v>0</v>
      </c>
      <c r="O681" t="str" cm="1">
        <f t="array" ref="O681" xml:space="preserve"> _xlfn.IFS(A681 &lt;ASSUMPTIONS!$D$2,"25",A681 &lt;= ASSUMPTIONS!$D$3,"25-34",A681 &lt;= ASSUMPTIONS!$D$4, "35-44",A681 &lt;= ASSUMPTIONS!$D$5,"45-54",TRUE,"55+")</f>
        <v>25-34</v>
      </c>
      <c r="P681" t="str" cm="1">
        <f t="array" ref="P681">_xlfn.IFS( J681 &lt;ASSUMPTIONS!$D$7,"LOW",J681 &lt;= ASSUMPTIONS!$D$8,"MEDIUM",TRUE, "HIGH")</f>
        <v>MEDIUM</v>
      </c>
      <c r="Q681" t="str">
        <f>IF(M681&lt;ASSUMPTIONS!$D$10,"New (0-2)",IF(M681&lt;=ASSUMPTIONS!$D$11,"Early (2-5)",IF(M681&lt;=ASSUMPTIONS!$D$12,"Established (5-10)","Veteran (10+)")))</f>
        <v>Established (5-10)</v>
      </c>
      <c r="R681" s="4">
        <f t="shared" si="21"/>
        <v>3</v>
      </c>
    </row>
    <row r="682" spans="1:18">
      <c r="A682">
        <f>RAW_DATA!A682</f>
        <v>36</v>
      </c>
      <c r="B682" t="str">
        <f>RAW_DATA!B682</f>
        <v>No</v>
      </c>
      <c r="C682" t="str">
        <f>RAW_DATA!C682</f>
        <v>Research &amp; Development</v>
      </c>
      <c r="D682">
        <f>RAW_DATA!D682</f>
        <v>7</v>
      </c>
      <c r="E682">
        <f>RAW_DATA!E682</f>
        <v>4</v>
      </c>
      <c r="F682" t="str">
        <f>RAW_DATA!F682</f>
        <v>Other</v>
      </c>
      <c r="G682">
        <f>RAW_DATA!G682</f>
        <v>2</v>
      </c>
      <c r="H682">
        <f>RAW_DATA!H682</f>
        <v>4</v>
      </c>
      <c r="I682" t="str">
        <f>RAW_DATA!I682</f>
        <v>Single</v>
      </c>
      <c r="J682">
        <f>RAW_DATA!J682</f>
        <v>4678</v>
      </c>
      <c r="K682">
        <f>RAW_DATA!K682</f>
        <v>2</v>
      </c>
      <c r="L682">
        <f>RAW_DATA!L682</f>
        <v>3</v>
      </c>
      <c r="M682">
        <f>RAW_DATA!M682</f>
        <v>6</v>
      </c>
      <c r="N682">
        <f t="shared" si="20"/>
        <v>0</v>
      </c>
      <c r="O682" t="str" cm="1">
        <f t="array" ref="O682" xml:space="preserve"> _xlfn.IFS(A682 &lt;ASSUMPTIONS!$D$2,"25",A682 &lt;= ASSUMPTIONS!$D$3,"25-34",A682 &lt;= ASSUMPTIONS!$D$4, "35-44",A682 &lt;= ASSUMPTIONS!$D$5,"45-54",TRUE,"55+")</f>
        <v>35-44</v>
      </c>
      <c r="P682" t="str" cm="1">
        <f t="array" ref="P682">_xlfn.IFS( J682 &lt;ASSUMPTIONS!$D$7,"LOW",J682 &lt;= ASSUMPTIONS!$D$8,"MEDIUM",TRUE, "HIGH")</f>
        <v>MEDIUM</v>
      </c>
      <c r="Q682" t="str">
        <f>IF(M682&lt;ASSUMPTIONS!$D$10,"New (0-2)",IF(M682&lt;=ASSUMPTIONS!$D$11,"Early (2-5)",IF(M682&lt;=ASSUMPTIONS!$D$12,"Established (5-10)","Veteran (10+)")))</f>
        <v>Established (5-10)</v>
      </c>
      <c r="R682" s="4">
        <f t="shared" si="21"/>
        <v>3</v>
      </c>
    </row>
    <row r="683" spans="1:18">
      <c r="A683">
        <f>RAW_DATA!A683</f>
        <v>38</v>
      </c>
      <c r="B683" t="str">
        <f>RAW_DATA!B683</f>
        <v>No</v>
      </c>
      <c r="C683" t="str">
        <f>RAW_DATA!C683</f>
        <v>Research &amp; Development</v>
      </c>
      <c r="D683">
        <f>RAW_DATA!D683</f>
        <v>1</v>
      </c>
      <c r="E683">
        <f>RAW_DATA!E683</f>
        <v>3</v>
      </c>
      <c r="F683" t="str">
        <f>RAW_DATA!F683</f>
        <v>Technical Degree</v>
      </c>
      <c r="G683">
        <f>RAW_DATA!G683</f>
        <v>4</v>
      </c>
      <c r="H683">
        <f>RAW_DATA!H683</f>
        <v>1</v>
      </c>
      <c r="I683" t="str">
        <f>RAW_DATA!I683</f>
        <v>Married</v>
      </c>
      <c r="J683">
        <f>RAW_DATA!J683</f>
        <v>13582</v>
      </c>
      <c r="K683">
        <f>RAW_DATA!K683</f>
        <v>1</v>
      </c>
      <c r="L683">
        <f>RAW_DATA!L683</f>
        <v>3</v>
      </c>
      <c r="M683">
        <f>RAW_DATA!M683</f>
        <v>15</v>
      </c>
      <c r="N683">
        <f t="shared" si="20"/>
        <v>0</v>
      </c>
      <c r="O683" t="str" cm="1">
        <f t="array" ref="O683" xml:space="preserve"> _xlfn.IFS(A683 &lt;ASSUMPTIONS!$D$2,"25",A683 &lt;= ASSUMPTIONS!$D$3,"25-34",A683 &lt;= ASSUMPTIONS!$D$4, "35-44",A683 &lt;= ASSUMPTIONS!$D$5,"45-54",TRUE,"55+")</f>
        <v>35-44</v>
      </c>
      <c r="P683" t="str" cm="1">
        <f t="array" ref="P683">_xlfn.IFS( J683 &lt;ASSUMPTIONS!$D$7,"LOW",J683 &lt;= ASSUMPTIONS!$D$8,"MEDIUM",TRUE, "HIGH")</f>
        <v>HIGH</v>
      </c>
      <c r="Q683" t="str">
        <f>IF(M683&lt;ASSUMPTIONS!$D$10,"New (0-2)",IF(M683&lt;=ASSUMPTIONS!$D$11,"Early (2-5)",IF(M683&lt;=ASSUMPTIONS!$D$12,"Established (5-10)","Veteran (10+)")))</f>
        <v>Veteran (10+)</v>
      </c>
      <c r="R683" s="4">
        <f t="shared" si="21"/>
        <v>2.6666666666666665</v>
      </c>
    </row>
    <row r="684" spans="1:18">
      <c r="A684">
        <f>RAW_DATA!A684</f>
        <v>32</v>
      </c>
      <c r="B684" t="str">
        <f>RAW_DATA!B684</f>
        <v>No</v>
      </c>
      <c r="C684" t="str">
        <f>RAW_DATA!C684</f>
        <v>Research &amp; Development</v>
      </c>
      <c r="D684">
        <f>RAW_DATA!D684</f>
        <v>1</v>
      </c>
      <c r="E684">
        <f>RAW_DATA!E684</f>
        <v>3</v>
      </c>
      <c r="F684" t="str">
        <f>RAW_DATA!F684</f>
        <v>Life Sciences</v>
      </c>
      <c r="G684">
        <f>RAW_DATA!G684</f>
        <v>3</v>
      </c>
      <c r="H684">
        <f>RAW_DATA!H684</f>
        <v>2</v>
      </c>
      <c r="I684" t="str">
        <f>RAW_DATA!I684</f>
        <v>Married</v>
      </c>
      <c r="J684">
        <f>RAW_DATA!J684</f>
        <v>2332</v>
      </c>
      <c r="K684">
        <f>RAW_DATA!K684</f>
        <v>6</v>
      </c>
      <c r="L684">
        <f>RAW_DATA!L684</f>
        <v>3</v>
      </c>
      <c r="M684">
        <f>RAW_DATA!M684</f>
        <v>3</v>
      </c>
      <c r="N684">
        <f t="shared" si="20"/>
        <v>0</v>
      </c>
      <c r="O684" t="str" cm="1">
        <f t="array" ref="O684" xml:space="preserve"> _xlfn.IFS(A684 &lt;ASSUMPTIONS!$D$2,"25",A684 &lt;= ASSUMPTIONS!$D$3,"25-34",A684 &lt;= ASSUMPTIONS!$D$4, "35-44",A684 &lt;= ASSUMPTIONS!$D$5,"45-54",TRUE,"55+")</f>
        <v>25-34</v>
      </c>
      <c r="P684" t="str" cm="1">
        <f t="array" ref="P684">_xlfn.IFS( J684 &lt;ASSUMPTIONS!$D$7,"LOW",J684 &lt;= ASSUMPTIONS!$D$8,"MEDIUM",TRUE, "HIGH")</f>
        <v>LOW</v>
      </c>
      <c r="Q684" t="str">
        <f>IF(M684&lt;ASSUMPTIONS!$D$10,"New (0-2)",IF(M684&lt;=ASSUMPTIONS!$D$11,"Early (2-5)",IF(M684&lt;=ASSUMPTIONS!$D$12,"Established (5-10)","Veteran (10+)")))</f>
        <v>Early (2-5)</v>
      </c>
      <c r="R684" s="4">
        <f t="shared" si="21"/>
        <v>2.6666666666666665</v>
      </c>
    </row>
    <row r="685" spans="1:18">
      <c r="A685">
        <f>RAW_DATA!A685</f>
        <v>25</v>
      </c>
      <c r="B685" t="str">
        <f>RAW_DATA!B685</f>
        <v>Yes</v>
      </c>
      <c r="C685" t="str">
        <f>RAW_DATA!C685</f>
        <v>Sales</v>
      </c>
      <c r="D685">
        <f>RAW_DATA!D685</f>
        <v>19</v>
      </c>
      <c r="E685">
        <f>RAW_DATA!E685</f>
        <v>2</v>
      </c>
      <c r="F685" t="str">
        <f>RAW_DATA!F685</f>
        <v>Marketing</v>
      </c>
      <c r="G685">
        <f>RAW_DATA!G685</f>
        <v>3</v>
      </c>
      <c r="H685">
        <f>RAW_DATA!H685</f>
        <v>2</v>
      </c>
      <c r="I685" t="str">
        <f>RAW_DATA!I685</f>
        <v>Married</v>
      </c>
      <c r="J685">
        <f>RAW_DATA!J685</f>
        <v>2413</v>
      </c>
      <c r="K685">
        <f>RAW_DATA!K685</f>
        <v>1</v>
      </c>
      <c r="L685">
        <f>RAW_DATA!L685</f>
        <v>3</v>
      </c>
      <c r="M685">
        <f>RAW_DATA!M685</f>
        <v>1</v>
      </c>
      <c r="N685">
        <f t="shared" si="20"/>
        <v>1</v>
      </c>
      <c r="O685" t="str" cm="1">
        <f t="array" ref="O685" xml:space="preserve"> _xlfn.IFS(A685 &lt;ASSUMPTIONS!$D$2,"25",A685 &lt;= ASSUMPTIONS!$D$3,"25-34",A685 &lt;= ASSUMPTIONS!$D$4, "35-44",A685 &lt;= ASSUMPTIONS!$D$5,"45-54",TRUE,"55+")</f>
        <v>25-34</v>
      </c>
      <c r="P685" t="str" cm="1">
        <f t="array" ref="P685">_xlfn.IFS( J685 &lt;ASSUMPTIONS!$D$7,"LOW",J685 &lt;= ASSUMPTIONS!$D$8,"MEDIUM",TRUE, "HIGH")</f>
        <v>LOW</v>
      </c>
      <c r="Q685" t="str">
        <f>IF(M685&lt;ASSUMPTIONS!$D$10,"New (0-2)",IF(M685&lt;=ASSUMPTIONS!$D$11,"Early (2-5)",IF(M685&lt;=ASSUMPTIONS!$D$12,"Established (5-10)","Veteran (10+)")))</f>
        <v>New (0-2)</v>
      </c>
      <c r="R685" s="4">
        <f t="shared" si="21"/>
        <v>2.6666666666666665</v>
      </c>
    </row>
    <row r="686" spans="1:18">
      <c r="A686">
        <f>RAW_DATA!A686</f>
        <v>40</v>
      </c>
      <c r="B686" t="str">
        <f>RAW_DATA!B686</f>
        <v>No</v>
      </c>
      <c r="C686" t="str">
        <f>RAW_DATA!C686</f>
        <v>Sales</v>
      </c>
      <c r="D686">
        <f>RAW_DATA!D686</f>
        <v>10</v>
      </c>
      <c r="E686">
        <f>RAW_DATA!E686</f>
        <v>4</v>
      </c>
      <c r="F686" t="str">
        <f>RAW_DATA!F686</f>
        <v>Marketing</v>
      </c>
      <c r="G686">
        <f>RAW_DATA!G686</f>
        <v>1</v>
      </c>
      <c r="H686">
        <f>RAW_DATA!H686</f>
        <v>2</v>
      </c>
      <c r="I686" t="str">
        <f>RAW_DATA!I686</f>
        <v>Divorced</v>
      </c>
      <c r="J686">
        <f>RAW_DATA!J686</f>
        <v>9705</v>
      </c>
      <c r="K686">
        <f>RAW_DATA!K686</f>
        <v>2</v>
      </c>
      <c r="L686">
        <f>RAW_DATA!L686</f>
        <v>2</v>
      </c>
      <c r="M686">
        <f>RAW_DATA!M686</f>
        <v>1</v>
      </c>
      <c r="N686">
        <f t="shared" si="20"/>
        <v>0</v>
      </c>
      <c r="O686" t="str" cm="1">
        <f t="array" ref="O686" xml:space="preserve"> _xlfn.IFS(A686 &lt;ASSUMPTIONS!$D$2,"25",A686 &lt;= ASSUMPTIONS!$D$3,"25-34",A686 &lt;= ASSUMPTIONS!$D$4, "35-44",A686 &lt;= ASSUMPTIONS!$D$5,"45-54",TRUE,"55+")</f>
        <v>35-44</v>
      </c>
      <c r="P686" t="str" cm="1">
        <f t="array" ref="P686">_xlfn.IFS( J686 &lt;ASSUMPTIONS!$D$7,"LOW",J686 &lt;= ASSUMPTIONS!$D$8,"MEDIUM",TRUE, "HIGH")</f>
        <v>HIGH</v>
      </c>
      <c r="Q686" t="str">
        <f>IF(M686&lt;ASSUMPTIONS!$D$10,"New (0-2)",IF(M686&lt;=ASSUMPTIONS!$D$11,"Early (2-5)",IF(M686&lt;=ASSUMPTIONS!$D$12,"Established (5-10)","Veteran (10+)")))</f>
        <v>New (0-2)</v>
      </c>
      <c r="R686" s="4">
        <f t="shared" si="21"/>
        <v>1.6666666666666667</v>
      </c>
    </row>
    <row r="687" spans="1:18">
      <c r="A687">
        <f>RAW_DATA!A687</f>
        <v>26</v>
      </c>
      <c r="B687" t="str">
        <f>RAW_DATA!B687</f>
        <v>No</v>
      </c>
      <c r="C687" t="str">
        <f>RAW_DATA!C687</f>
        <v>Sales</v>
      </c>
      <c r="D687">
        <f>RAW_DATA!D687</f>
        <v>1</v>
      </c>
      <c r="E687">
        <f>RAW_DATA!E687</f>
        <v>3</v>
      </c>
      <c r="F687" t="str">
        <f>RAW_DATA!F687</f>
        <v>Medical</v>
      </c>
      <c r="G687">
        <f>RAW_DATA!G687</f>
        <v>3</v>
      </c>
      <c r="H687">
        <f>RAW_DATA!H687</f>
        <v>1</v>
      </c>
      <c r="I687" t="str">
        <f>RAW_DATA!I687</f>
        <v>Single</v>
      </c>
      <c r="J687">
        <f>RAW_DATA!J687</f>
        <v>4294</v>
      </c>
      <c r="K687">
        <f>RAW_DATA!K687</f>
        <v>1</v>
      </c>
      <c r="L687">
        <f>RAW_DATA!L687</f>
        <v>3</v>
      </c>
      <c r="M687">
        <f>RAW_DATA!M687</f>
        <v>7</v>
      </c>
      <c r="N687">
        <f t="shared" si="20"/>
        <v>0</v>
      </c>
      <c r="O687" t="str" cm="1">
        <f t="array" ref="O687" xml:space="preserve"> _xlfn.IFS(A687 &lt;ASSUMPTIONS!$D$2,"25",A687 &lt;= ASSUMPTIONS!$D$3,"25-34",A687 &lt;= ASSUMPTIONS!$D$4, "35-44",A687 &lt;= ASSUMPTIONS!$D$5,"45-54",TRUE,"55+")</f>
        <v>25-34</v>
      </c>
      <c r="P687" t="str" cm="1">
        <f t="array" ref="P687">_xlfn.IFS( J687 &lt;ASSUMPTIONS!$D$7,"LOW",J687 &lt;= ASSUMPTIONS!$D$8,"MEDIUM",TRUE, "HIGH")</f>
        <v>MEDIUM</v>
      </c>
      <c r="Q687" t="str">
        <f>IF(M687&lt;ASSUMPTIONS!$D$10,"New (0-2)",IF(M687&lt;=ASSUMPTIONS!$D$11,"Early (2-5)",IF(M687&lt;=ASSUMPTIONS!$D$12,"Established (5-10)","Veteran (10+)")))</f>
        <v>Established (5-10)</v>
      </c>
      <c r="R687" s="4">
        <f t="shared" si="21"/>
        <v>2.3333333333333335</v>
      </c>
    </row>
    <row r="688" spans="1:18">
      <c r="A688">
        <f>RAW_DATA!A688</f>
        <v>41</v>
      </c>
      <c r="B688" t="str">
        <f>RAW_DATA!B688</f>
        <v>No</v>
      </c>
      <c r="C688" t="str">
        <f>RAW_DATA!C688</f>
        <v>Research &amp; Development</v>
      </c>
      <c r="D688">
        <f>RAW_DATA!D688</f>
        <v>6</v>
      </c>
      <c r="E688">
        <f>RAW_DATA!E688</f>
        <v>3</v>
      </c>
      <c r="F688" t="str">
        <f>RAW_DATA!F688</f>
        <v>Medical</v>
      </c>
      <c r="G688">
        <f>RAW_DATA!G688</f>
        <v>4</v>
      </c>
      <c r="H688">
        <f>RAW_DATA!H688</f>
        <v>1</v>
      </c>
      <c r="I688" t="str">
        <f>RAW_DATA!I688</f>
        <v>Single</v>
      </c>
      <c r="J688">
        <f>RAW_DATA!J688</f>
        <v>4721</v>
      </c>
      <c r="K688">
        <f>RAW_DATA!K688</f>
        <v>2</v>
      </c>
      <c r="L688">
        <f>RAW_DATA!L688</f>
        <v>3</v>
      </c>
      <c r="M688">
        <f>RAW_DATA!M688</f>
        <v>18</v>
      </c>
      <c r="N688">
        <f t="shared" si="20"/>
        <v>0</v>
      </c>
      <c r="O688" t="str" cm="1">
        <f t="array" ref="O688" xml:space="preserve"> _xlfn.IFS(A688 &lt;ASSUMPTIONS!$D$2,"25",A688 &lt;= ASSUMPTIONS!$D$3,"25-34",A688 &lt;= ASSUMPTIONS!$D$4, "35-44",A688 &lt;= ASSUMPTIONS!$D$5,"45-54",TRUE,"55+")</f>
        <v>35-44</v>
      </c>
      <c r="P688" t="str" cm="1">
        <f t="array" ref="P688">_xlfn.IFS( J688 &lt;ASSUMPTIONS!$D$7,"LOW",J688 &lt;= ASSUMPTIONS!$D$8,"MEDIUM",TRUE, "HIGH")</f>
        <v>MEDIUM</v>
      </c>
      <c r="Q688" t="str">
        <f>IF(M688&lt;ASSUMPTIONS!$D$10,"New (0-2)",IF(M688&lt;=ASSUMPTIONS!$D$11,"Early (2-5)",IF(M688&lt;=ASSUMPTIONS!$D$12,"Established (5-10)","Veteran (10+)")))</f>
        <v>Veteran (10+)</v>
      </c>
      <c r="R688" s="4">
        <f t="shared" si="21"/>
        <v>2.6666666666666665</v>
      </c>
    </row>
    <row r="689" spans="1:18">
      <c r="A689">
        <f>RAW_DATA!A689</f>
        <v>36</v>
      </c>
      <c r="B689" t="str">
        <f>RAW_DATA!B689</f>
        <v>No</v>
      </c>
      <c r="C689" t="str">
        <f>RAW_DATA!C689</f>
        <v>Research &amp; Development</v>
      </c>
      <c r="D689">
        <f>RAW_DATA!D689</f>
        <v>2</v>
      </c>
      <c r="E689">
        <f>RAW_DATA!E689</f>
        <v>4</v>
      </c>
      <c r="F689" t="str">
        <f>RAW_DATA!F689</f>
        <v>Medical</v>
      </c>
      <c r="G689">
        <f>RAW_DATA!G689</f>
        <v>3</v>
      </c>
      <c r="H689">
        <f>RAW_DATA!H689</f>
        <v>3</v>
      </c>
      <c r="I689" t="str">
        <f>RAW_DATA!I689</f>
        <v>Single</v>
      </c>
      <c r="J689">
        <f>RAW_DATA!J689</f>
        <v>2519</v>
      </c>
      <c r="K689">
        <f>RAW_DATA!K689</f>
        <v>4</v>
      </c>
      <c r="L689">
        <f>RAW_DATA!L689</f>
        <v>3</v>
      </c>
      <c r="M689">
        <f>RAW_DATA!M689</f>
        <v>11</v>
      </c>
      <c r="N689">
        <f t="shared" si="20"/>
        <v>0</v>
      </c>
      <c r="O689" t="str" cm="1">
        <f t="array" ref="O689" xml:space="preserve"> _xlfn.IFS(A689 &lt;ASSUMPTIONS!$D$2,"25",A689 &lt;= ASSUMPTIONS!$D$3,"25-34",A689 &lt;= ASSUMPTIONS!$D$4, "35-44",A689 &lt;= ASSUMPTIONS!$D$5,"45-54",TRUE,"55+")</f>
        <v>35-44</v>
      </c>
      <c r="P689" t="str" cm="1">
        <f t="array" ref="P689">_xlfn.IFS( J689 &lt;ASSUMPTIONS!$D$7,"LOW",J689 &lt;= ASSUMPTIONS!$D$8,"MEDIUM",TRUE, "HIGH")</f>
        <v>LOW</v>
      </c>
      <c r="Q689" t="str">
        <f>IF(M689&lt;ASSUMPTIONS!$D$10,"New (0-2)",IF(M689&lt;=ASSUMPTIONS!$D$11,"Early (2-5)",IF(M689&lt;=ASSUMPTIONS!$D$12,"Established (5-10)","Veteran (10+)")))</f>
        <v>Veteran (10+)</v>
      </c>
      <c r="R689" s="4">
        <f t="shared" si="21"/>
        <v>3</v>
      </c>
    </row>
    <row r="690" spans="1:18">
      <c r="A690">
        <f>RAW_DATA!A690</f>
        <v>19</v>
      </c>
      <c r="B690" t="str">
        <f>RAW_DATA!B690</f>
        <v>Yes</v>
      </c>
      <c r="C690" t="str">
        <f>RAW_DATA!C690</f>
        <v>Sales</v>
      </c>
      <c r="D690">
        <f>RAW_DATA!D690</f>
        <v>21</v>
      </c>
      <c r="E690">
        <f>RAW_DATA!E690</f>
        <v>3</v>
      </c>
      <c r="F690" t="str">
        <f>RAW_DATA!F690</f>
        <v>Other</v>
      </c>
      <c r="G690">
        <f>RAW_DATA!G690</f>
        <v>4</v>
      </c>
      <c r="H690">
        <f>RAW_DATA!H690</f>
        <v>2</v>
      </c>
      <c r="I690" t="str">
        <f>RAW_DATA!I690</f>
        <v>Single</v>
      </c>
      <c r="J690">
        <f>RAW_DATA!J690</f>
        <v>2121</v>
      </c>
      <c r="K690">
        <f>RAW_DATA!K690</f>
        <v>1</v>
      </c>
      <c r="L690">
        <f>RAW_DATA!L690</f>
        <v>4</v>
      </c>
      <c r="M690">
        <f>RAW_DATA!M690</f>
        <v>1</v>
      </c>
      <c r="N690">
        <f t="shared" si="20"/>
        <v>1</v>
      </c>
      <c r="O690" t="str" cm="1">
        <f t="array" ref="O690" xml:space="preserve"> _xlfn.IFS(A690 &lt;ASSUMPTIONS!$D$2,"25",A690 &lt;= ASSUMPTIONS!$D$3,"25-34",A690 &lt;= ASSUMPTIONS!$D$4, "35-44",A690 &lt;= ASSUMPTIONS!$D$5,"45-54",TRUE,"55+")</f>
        <v>25</v>
      </c>
      <c r="P690" t="str" cm="1">
        <f t="array" ref="P690">_xlfn.IFS( J690 &lt;ASSUMPTIONS!$D$7,"LOW",J690 &lt;= ASSUMPTIONS!$D$8,"MEDIUM",TRUE, "HIGH")</f>
        <v>LOW</v>
      </c>
      <c r="Q690" t="str">
        <f>IF(M690&lt;ASSUMPTIONS!$D$10,"New (0-2)",IF(M690&lt;=ASSUMPTIONS!$D$11,"Early (2-5)",IF(M690&lt;=ASSUMPTIONS!$D$12,"Established (5-10)","Veteran (10+)")))</f>
        <v>New (0-2)</v>
      </c>
      <c r="R690" s="4">
        <f t="shared" si="21"/>
        <v>3.3333333333333335</v>
      </c>
    </row>
    <row r="691" spans="1:18">
      <c r="A691">
        <f>RAW_DATA!A691</f>
        <v>20</v>
      </c>
      <c r="B691" t="str">
        <f>RAW_DATA!B691</f>
        <v>Yes</v>
      </c>
      <c r="C691" t="str">
        <f>RAW_DATA!C691</f>
        <v>Research &amp; Development</v>
      </c>
      <c r="D691">
        <f>RAW_DATA!D691</f>
        <v>4</v>
      </c>
      <c r="E691">
        <f>RAW_DATA!E691</f>
        <v>3</v>
      </c>
      <c r="F691" t="str">
        <f>RAW_DATA!F691</f>
        <v>Technical Degree</v>
      </c>
      <c r="G691">
        <f>RAW_DATA!G691</f>
        <v>1</v>
      </c>
      <c r="H691">
        <f>RAW_DATA!H691</f>
        <v>1</v>
      </c>
      <c r="I691" t="str">
        <f>RAW_DATA!I691</f>
        <v>Single</v>
      </c>
      <c r="J691">
        <f>RAW_DATA!J691</f>
        <v>2973</v>
      </c>
      <c r="K691">
        <f>RAW_DATA!K691</f>
        <v>1</v>
      </c>
      <c r="L691">
        <f>RAW_DATA!L691</f>
        <v>3</v>
      </c>
      <c r="M691">
        <f>RAW_DATA!M691</f>
        <v>1</v>
      </c>
      <c r="N691">
        <f t="shared" si="20"/>
        <v>1</v>
      </c>
      <c r="O691" t="str" cm="1">
        <f t="array" ref="O691" xml:space="preserve"> _xlfn.IFS(A691 &lt;ASSUMPTIONS!$D$2,"25",A691 &lt;= ASSUMPTIONS!$D$3,"25-34",A691 &lt;= ASSUMPTIONS!$D$4, "35-44",A691 &lt;= ASSUMPTIONS!$D$5,"45-54",TRUE,"55+")</f>
        <v>25</v>
      </c>
      <c r="P691" t="str" cm="1">
        <f t="array" ref="P691">_xlfn.IFS( J691 &lt;ASSUMPTIONS!$D$7,"LOW",J691 &lt;= ASSUMPTIONS!$D$8,"MEDIUM",TRUE, "HIGH")</f>
        <v>LOW</v>
      </c>
      <c r="Q691" t="str">
        <f>IF(M691&lt;ASSUMPTIONS!$D$10,"New (0-2)",IF(M691&lt;=ASSUMPTIONS!$D$11,"Early (2-5)",IF(M691&lt;=ASSUMPTIONS!$D$12,"Established (5-10)","Veteran (10+)")))</f>
        <v>New (0-2)</v>
      </c>
      <c r="R691" s="4">
        <f t="shared" si="21"/>
        <v>1.6666666666666667</v>
      </c>
    </row>
    <row r="692" spans="1:18">
      <c r="A692">
        <f>RAW_DATA!A692</f>
        <v>31</v>
      </c>
      <c r="B692" t="str">
        <f>RAW_DATA!B692</f>
        <v>No</v>
      </c>
      <c r="C692" t="str">
        <f>RAW_DATA!C692</f>
        <v>Research &amp; Development</v>
      </c>
      <c r="D692">
        <f>RAW_DATA!D692</f>
        <v>12</v>
      </c>
      <c r="E692">
        <f>RAW_DATA!E692</f>
        <v>3</v>
      </c>
      <c r="F692" t="str">
        <f>RAW_DATA!F692</f>
        <v>Medical</v>
      </c>
      <c r="G692">
        <f>RAW_DATA!G692</f>
        <v>4</v>
      </c>
      <c r="H692">
        <f>RAW_DATA!H692</f>
        <v>4</v>
      </c>
      <c r="I692" t="str">
        <f>RAW_DATA!I692</f>
        <v>Married</v>
      </c>
      <c r="J692">
        <f>RAW_DATA!J692</f>
        <v>5855</v>
      </c>
      <c r="K692">
        <f>RAW_DATA!K692</f>
        <v>0</v>
      </c>
      <c r="L692">
        <f>RAW_DATA!L692</f>
        <v>1</v>
      </c>
      <c r="M692">
        <f>RAW_DATA!M692</f>
        <v>9</v>
      </c>
      <c r="N692">
        <f t="shared" si="20"/>
        <v>0</v>
      </c>
      <c r="O692" t="str" cm="1">
        <f t="array" ref="O692" xml:space="preserve"> _xlfn.IFS(A692 &lt;ASSUMPTIONS!$D$2,"25",A692 &lt;= ASSUMPTIONS!$D$3,"25-34",A692 &lt;= ASSUMPTIONS!$D$4, "35-44",A692 &lt;= ASSUMPTIONS!$D$5,"45-54",TRUE,"55+")</f>
        <v>25-34</v>
      </c>
      <c r="P692" t="str" cm="1">
        <f t="array" ref="P692">_xlfn.IFS( J692 &lt;ASSUMPTIONS!$D$7,"LOW",J692 &lt;= ASSUMPTIONS!$D$8,"MEDIUM",TRUE, "HIGH")</f>
        <v>MEDIUM</v>
      </c>
      <c r="Q692" t="str">
        <f>IF(M692&lt;ASSUMPTIONS!$D$10,"New (0-2)",IF(M692&lt;=ASSUMPTIONS!$D$11,"Early (2-5)",IF(M692&lt;=ASSUMPTIONS!$D$12,"Established (5-10)","Veteran (10+)")))</f>
        <v>Established (5-10)</v>
      </c>
      <c r="R692" s="4">
        <f t="shared" si="21"/>
        <v>3</v>
      </c>
    </row>
    <row r="693" spans="1:18">
      <c r="A693">
        <f>RAW_DATA!A693</f>
        <v>40</v>
      </c>
      <c r="B693" t="str">
        <f>RAW_DATA!B693</f>
        <v>No</v>
      </c>
      <c r="C693" t="str">
        <f>RAW_DATA!C693</f>
        <v>Research &amp; Development</v>
      </c>
      <c r="D693">
        <f>RAW_DATA!D693</f>
        <v>9</v>
      </c>
      <c r="E693">
        <f>RAW_DATA!E693</f>
        <v>4</v>
      </c>
      <c r="F693" t="str">
        <f>RAW_DATA!F693</f>
        <v>Medical</v>
      </c>
      <c r="G693">
        <f>RAW_DATA!G693</f>
        <v>4</v>
      </c>
      <c r="H693">
        <f>RAW_DATA!H693</f>
        <v>2</v>
      </c>
      <c r="I693" t="str">
        <f>RAW_DATA!I693</f>
        <v>Divorced</v>
      </c>
      <c r="J693">
        <f>RAW_DATA!J693</f>
        <v>3617</v>
      </c>
      <c r="K693">
        <f>RAW_DATA!K693</f>
        <v>8</v>
      </c>
      <c r="L693">
        <f>RAW_DATA!L693</f>
        <v>3</v>
      </c>
      <c r="M693">
        <f>RAW_DATA!M693</f>
        <v>1</v>
      </c>
      <c r="N693">
        <f t="shared" si="20"/>
        <v>0</v>
      </c>
      <c r="O693" t="str" cm="1">
        <f t="array" ref="O693" xml:space="preserve"> _xlfn.IFS(A693 &lt;ASSUMPTIONS!$D$2,"25",A693 &lt;= ASSUMPTIONS!$D$3,"25-34",A693 &lt;= ASSUMPTIONS!$D$4, "35-44",A693 &lt;= ASSUMPTIONS!$D$5,"45-54",TRUE,"55+")</f>
        <v>35-44</v>
      </c>
      <c r="P693" t="str" cm="1">
        <f t="array" ref="P693">_xlfn.IFS( J693 &lt;ASSUMPTIONS!$D$7,"LOW",J693 &lt;= ASSUMPTIONS!$D$8,"MEDIUM",TRUE, "HIGH")</f>
        <v>MEDIUM</v>
      </c>
      <c r="Q693" t="str">
        <f>IF(M693&lt;ASSUMPTIONS!$D$10,"New (0-2)",IF(M693&lt;=ASSUMPTIONS!$D$11,"Early (2-5)",IF(M693&lt;=ASSUMPTIONS!$D$12,"Established (5-10)","Veteran (10+)")))</f>
        <v>New (0-2)</v>
      </c>
      <c r="R693" s="4">
        <f t="shared" si="21"/>
        <v>3</v>
      </c>
    </row>
    <row r="694" spans="1:18">
      <c r="A694">
        <f>RAW_DATA!A694</f>
        <v>32</v>
      </c>
      <c r="B694" t="str">
        <f>RAW_DATA!B694</f>
        <v>No</v>
      </c>
      <c r="C694" t="str">
        <f>RAW_DATA!C694</f>
        <v>Research &amp; Development</v>
      </c>
      <c r="D694">
        <f>RAW_DATA!D694</f>
        <v>3</v>
      </c>
      <c r="E694">
        <f>RAW_DATA!E694</f>
        <v>4</v>
      </c>
      <c r="F694" t="str">
        <f>RAW_DATA!F694</f>
        <v>Medical</v>
      </c>
      <c r="G694">
        <f>RAW_DATA!G694</f>
        <v>3</v>
      </c>
      <c r="H694">
        <f>RAW_DATA!H694</f>
        <v>1</v>
      </c>
      <c r="I694" t="str">
        <f>RAW_DATA!I694</f>
        <v>Married</v>
      </c>
      <c r="J694">
        <f>RAW_DATA!J694</f>
        <v>6725</v>
      </c>
      <c r="K694">
        <f>RAW_DATA!K694</f>
        <v>1</v>
      </c>
      <c r="L694">
        <f>RAW_DATA!L694</f>
        <v>4</v>
      </c>
      <c r="M694">
        <f>RAW_DATA!M694</f>
        <v>8</v>
      </c>
      <c r="N694">
        <f t="shared" si="20"/>
        <v>0</v>
      </c>
      <c r="O694" t="str" cm="1">
        <f t="array" ref="O694" xml:space="preserve"> _xlfn.IFS(A694 &lt;ASSUMPTIONS!$D$2,"25",A694 &lt;= ASSUMPTIONS!$D$3,"25-34",A694 &lt;= ASSUMPTIONS!$D$4, "35-44",A694 &lt;= ASSUMPTIONS!$D$5,"45-54",TRUE,"55+")</f>
        <v>25-34</v>
      </c>
      <c r="P694" t="str" cm="1">
        <f t="array" ref="P694">_xlfn.IFS( J694 &lt;ASSUMPTIONS!$D$7,"LOW",J694 &lt;= ASSUMPTIONS!$D$8,"MEDIUM",TRUE, "HIGH")</f>
        <v>MEDIUM</v>
      </c>
      <c r="Q694" t="str">
        <f>IF(M694&lt;ASSUMPTIONS!$D$10,"New (0-2)",IF(M694&lt;=ASSUMPTIONS!$D$11,"Early (2-5)",IF(M694&lt;=ASSUMPTIONS!$D$12,"Established (5-10)","Veteran (10+)")))</f>
        <v>Established (5-10)</v>
      </c>
      <c r="R694" s="4">
        <f t="shared" si="21"/>
        <v>2.6666666666666665</v>
      </c>
    </row>
    <row r="695" spans="1:18">
      <c r="A695">
        <f>RAW_DATA!A695</f>
        <v>36</v>
      </c>
      <c r="B695" t="str">
        <f>RAW_DATA!B695</f>
        <v>Yes</v>
      </c>
      <c r="C695" t="str">
        <f>RAW_DATA!C695</f>
        <v>Sales</v>
      </c>
      <c r="D695">
        <f>RAW_DATA!D695</f>
        <v>3</v>
      </c>
      <c r="E695">
        <f>RAW_DATA!E695</f>
        <v>1</v>
      </c>
      <c r="F695" t="str">
        <f>RAW_DATA!F695</f>
        <v>Life Sciences</v>
      </c>
      <c r="G695">
        <f>RAW_DATA!G695</f>
        <v>3</v>
      </c>
      <c r="H695">
        <f>RAW_DATA!H695</f>
        <v>4</v>
      </c>
      <c r="I695" t="str">
        <f>RAW_DATA!I695</f>
        <v>Married</v>
      </c>
      <c r="J695">
        <f>RAW_DATA!J695</f>
        <v>10325</v>
      </c>
      <c r="K695">
        <f>RAW_DATA!K695</f>
        <v>1</v>
      </c>
      <c r="L695">
        <f>RAW_DATA!L695</f>
        <v>3</v>
      </c>
      <c r="M695">
        <f>RAW_DATA!M695</f>
        <v>16</v>
      </c>
      <c r="N695">
        <f t="shared" si="20"/>
        <v>1</v>
      </c>
      <c r="O695" t="str" cm="1">
        <f t="array" ref="O695" xml:space="preserve"> _xlfn.IFS(A695 &lt;ASSUMPTIONS!$D$2,"25",A695 &lt;= ASSUMPTIONS!$D$3,"25-34",A695 &lt;= ASSUMPTIONS!$D$4, "35-44",A695 &lt;= ASSUMPTIONS!$D$5,"45-54",TRUE,"55+")</f>
        <v>35-44</v>
      </c>
      <c r="P695" t="str" cm="1">
        <f t="array" ref="P695">_xlfn.IFS( J695 &lt;ASSUMPTIONS!$D$7,"LOW",J695 &lt;= ASSUMPTIONS!$D$8,"MEDIUM",TRUE, "HIGH")</f>
        <v>HIGH</v>
      </c>
      <c r="Q695" t="str">
        <f>IF(M695&lt;ASSUMPTIONS!$D$10,"New (0-2)",IF(M695&lt;=ASSUMPTIONS!$D$11,"Early (2-5)",IF(M695&lt;=ASSUMPTIONS!$D$12,"Established (5-10)","Veteran (10+)")))</f>
        <v>Veteran (10+)</v>
      </c>
      <c r="R695" s="4">
        <f t="shared" si="21"/>
        <v>3.3333333333333335</v>
      </c>
    </row>
    <row r="696" spans="1:18">
      <c r="A696">
        <f>RAW_DATA!A696</f>
        <v>33</v>
      </c>
      <c r="B696" t="str">
        <f>RAW_DATA!B696</f>
        <v>No</v>
      </c>
      <c r="C696" t="str">
        <f>RAW_DATA!C696</f>
        <v>Research &amp; Development</v>
      </c>
      <c r="D696">
        <f>RAW_DATA!D696</f>
        <v>1</v>
      </c>
      <c r="E696">
        <f>RAW_DATA!E696</f>
        <v>3</v>
      </c>
      <c r="F696" t="str">
        <f>RAW_DATA!F696</f>
        <v>Life Sciences</v>
      </c>
      <c r="G696">
        <f>RAW_DATA!G696</f>
        <v>2</v>
      </c>
      <c r="H696">
        <f>RAW_DATA!H696</f>
        <v>4</v>
      </c>
      <c r="I696" t="str">
        <f>RAW_DATA!I696</f>
        <v>Single</v>
      </c>
      <c r="J696">
        <f>RAW_DATA!J696</f>
        <v>6949</v>
      </c>
      <c r="K696">
        <f>RAW_DATA!K696</f>
        <v>0</v>
      </c>
      <c r="L696">
        <f>RAW_DATA!L696</f>
        <v>3</v>
      </c>
      <c r="M696">
        <f>RAW_DATA!M696</f>
        <v>5</v>
      </c>
      <c r="N696">
        <f t="shared" si="20"/>
        <v>0</v>
      </c>
      <c r="O696" t="str" cm="1">
        <f t="array" ref="O696" xml:space="preserve"> _xlfn.IFS(A696 &lt;ASSUMPTIONS!$D$2,"25",A696 &lt;= ASSUMPTIONS!$D$3,"25-34",A696 &lt;= ASSUMPTIONS!$D$4, "35-44",A696 &lt;= ASSUMPTIONS!$D$5,"45-54",TRUE,"55+")</f>
        <v>25-34</v>
      </c>
      <c r="P696" t="str" cm="1">
        <f t="array" ref="P696">_xlfn.IFS( J696 &lt;ASSUMPTIONS!$D$7,"LOW",J696 &lt;= ASSUMPTIONS!$D$8,"MEDIUM",TRUE, "HIGH")</f>
        <v>MEDIUM</v>
      </c>
      <c r="Q696" t="str">
        <f>IF(M696&lt;ASSUMPTIONS!$D$10,"New (0-2)",IF(M696&lt;=ASSUMPTIONS!$D$11,"Early (2-5)",IF(M696&lt;=ASSUMPTIONS!$D$12,"Established (5-10)","Veteran (10+)")))</f>
        <v>Early (2-5)</v>
      </c>
      <c r="R696" s="4">
        <f t="shared" si="21"/>
        <v>3</v>
      </c>
    </row>
    <row r="697" spans="1:18">
      <c r="A697">
        <f>RAW_DATA!A697</f>
        <v>37</v>
      </c>
      <c r="B697" t="str">
        <f>RAW_DATA!B697</f>
        <v>Yes</v>
      </c>
      <c r="C697" t="str">
        <f>RAW_DATA!C697</f>
        <v>Sales</v>
      </c>
      <c r="D697">
        <f>RAW_DATA!D697</f>
        <v>1</v>
      </c>
      <c r="E697">
        <f>RAW_DATA!E697</f>
        <v>4</v>
      </c>
      <c r="F697" t="str">
        <f>RAW_DATA!F697</f>
        <v>Life Sciences</v>
      </c>
      <c r="G697">
        <f>RAW_DATA!G697</f>
        <v>1</v>
      </c>
      <c r="H697">
        <f>RAW_DATA!H697</f>
        <v>3</v>
      </c>
      <c r="I697" t="str">
        <f>RAW_DATA!I697</f>
        <v>Married</v>
      </c>
      <c r="J697">
        <f>RAW_DATA!J697</f>
        <v>10609</v>
      </c>
      <c r="K697">
        <f>RAW_DATA!K697</f>
        <v>5</v>
      </c>
      <c r="L697">
        <f>RAW_DATA!L697</f>
        <v>1</v>
      </c>
      <c r="M697">
        <f>RAW_DATA!M697</f>
        <v>14</v>
      </c>
      <c r="N697">
        <f t="shared" si="20"/>
        <v>1</v>
      </c>
      <c r="O697" t="str" cm="1">
        <f t="array" ref="O697" xml:space="preserve"> _xlfn.IFS(A697 &lt;ASSUMPTIONS!$D$2,"25",A697 &lt;= ASSUMPTIONS!$D$3,"25-34",A697 &lt;= ASSUMPTIONS!$D$4, "35-44",A697 &lt;= ASSUMPTIONS!$D$5,"45-54",TRUE,"55+")</f>
        <v>35-44</v>
      </c>
      <c r="P697" t="str" cm="1">
        <f t="array" ref="P697">_xlfn.IFS( J697 &lt;ASSUMPTIONS!$D$7,"LOW",J697 &lt;= ASSUMPTIONS!$D$8,"MEDIUM",TRUE, "HIGH")</f>
        <v>HIGH</v>
      </c>
      <c r="Q697" t="str">
        <f>IF(M697&lt;ASSUMPTIONS!$D$10,"New (0-2)",IF(M697&lt;=ASSUMPTIONS!$D$11,"Early (2-5)",IF(M697&lt;=ASSUMPTIONS!$D$12,"Established (5-10)","Veteran (10+)")))</f>
        <v>Veteran (10+)</v>
      </c>
      <c r="R697" s="4">
        <f t="shared" si="21"/>
        <v>1.6666666666666667</v>
      </c>
    </row>
    <row r="698" spans="1:18">
      <c r="A698">
        <f>RAW_DATA!A698</f>
        <v>45</v>
      </c>
      <c r="B698" t="str">
        <f>RAW_DATA!B698</f>
        <v>No</v>
      </c>
      <c r="C698" t="str">
        <f>RAW_DATA!C698</f>
        <v>Research &amp; Development</v>
      </c>
      <c r="D698">
        <f>RAW_DATA!D698</f>
        <v>4</v>
      </c>
      <c r="E698">
        <f>RAW_DATA!E698</f>
        <v>2</v>
      </c>
      <c r="F698" t="str">
        <f>RAW_DATA!F698</f>
        <v>Life Sciences</v>
      </c>
      <c r="G698">
        <f>RAW_DATA!G698</f>
        <v>3</v>
      </c>
      <c r="H698">
        <f>RAW_DATA!H698</f>
        <v>2</v>
      </c>
      <c r="I698" t="str">
        <f>RAW_DATA!I698</f>
        <v>Married</v>
      </c>
      <c r="J698">
        <f>RAW_DATA!J698</f>
        <v>4447</v>
      </c>
      <c r="K698">
        <f>RAW_DATA!K698</f>
        <v>1</v>
      </c>
      <c r="L698">
        <f>RAW_DATA!L698</f>
        <v>2</v>
      </c>
      <c r="M698">
        <f>RAW_DATA!M698</f>
        <v>9</v>
      </c>
      <c r="N698">
        <f t="shared" si="20"/>
        <v>0</v>
      </c>
      <c r="O698" t="str" cm="1">
        <f t="array" ref="O698" xml:space="preserve"> _xlfn.IFS(A698 &lt;ASSUMPTIONS!$D$2,"25",A698 &lt;= ASSUMPTIONS!$D$3,"25-34",A698 &lt;= ASSUMPTIONS!$D$4, "35-44",A698 &lt;= ASSUMPTIONS!$D$5,"45-54",TRUE,"55+")</f>
        <v>45-54</v>
      </c>
      <c r="P698" t="str" cm="1">
        <f t="array" ref="P698">_xlfn.IFS( J698 &lt;ASSUMPTIONS!$D$7,"LOW",J698 &lt;= ASSUMPTIONS!$D$8,"MEDIUM",TRUE, "HIGH")</f>
        <v>MEDIUM</v>
      </c>
      <c r="Q698" t="str">
        <f>IF(M698&lt;ASSUMPTIONS!$D$10,"New (0-2)",IF(M698&lt;=ASSUMPTIONS!$D$11,"Early (2-5)",IF(M698&lt;=ASSUMPTIONS!$D$12,"Established (5-10)","Veteran (10+)")))</f>
        <v>Established (5-10)</v>
      </c>
      <c r="R698" s="4">
        <f t="shared" si="21"/>
        <v>2.3333333333333335</v>
      </c>
    </row>
    <row r="699" spans="1:18">
      <c r="A699">
        <f>RAW_DATA!A699</f>
        <v>29</v>
      </c>
      <c r="B699" t="str">
        <f>RAW_DATA!B699</f>
        <v>No</v>
      </c>
      <c r="C699" t="str">
        <f>RAW_DATA!C699</f>
        <v>Sales</v>
      </c>
      <c r="D699">
        <f>RAW_DATA!D699</f>
        <v>20</v>
      </c>
      <c r="E699">
        <f>RAW_DATA!E699</f>
        <v>3</v>
      </c>
      <c r="F699" t="str">
        <f>RAW_DATA!F699</f>
        <v>Technical Degree</v>
      </c>
      <c r="G699">
        <f>RAW_DATA!G699</f>
        <v>3</v>
      </c>
      <c r="H699">
        <f>RAW_DATA!H699</f>
        <v>4</v>
      </c>
      <c r="I699" t="str">
        <f>RAW_DATA!I699</f>
        <v>Married</v>
      </c>
      <c r="J699">
        <f>RAW_DATA!J699</f>
        <v>2157</v>
      </c>
      <c r="K699">
        <f>RAW_DATA!K699</f>
        <v>1</v>
      </c>
      <c r="L699">
        <f>RAW_DATA!L699</f>
        <v>3</v>
      </c>
      <c r="M699">
        <f>RAW_DATA!M699</f>
        <v>3</v>
      </c>
      <c r="N699">
        <f t="shared" si="20"/>
        <v>0</v>
      </c>
      <c r="O699" t="str" cm="1">
        <f t="array" ref="O699" xml:space="preserve"> _xlfn.IFS(A699 &lt;ASSUMPTIONS!$D$2,"25",A699 &lt;= ASSUMPTIONS!$D$3,"25-34",A699 &lt;= ASSUMPTIONS!$D$4, "35-44",A699 &lt;= ASSUMPTIONS!$D$5,"45-54",TRUE,"55+")</f>
        <v>25-34</v>
      </c>
      <c r="P699" t="str" cm="1">
        <f t="array" ref="P699">_xlfn.IFS( J699 &lt;ASSUMPTIONS!$D$7,"LOW",J699 &lt;= ASSUMPTIONS!$D$8,"MEDIUM",TRUE, "HIGH")</f>
        <v>LOW</v>
      </c>
      <c r="Q699" t="str">
        <f>IF(M699&lt;ASSUMPTIONS!$D$10,"New (0-2)",IF(M699&lt;=ASSUMPTIONS!$D$11,"Early (2-5)",IF(M699&lt;=ASSUMPTIONS!$D$12,"Established (5-10)","Veteran (10+)")))</f>
        <v>Early (2-5)</v>
      </c>
      <c r="R699" s="4">
        <f t="shared" si="21"/>
        <v>3.3333333333333335</v>
      </c>
    </row>
    <row r="700" spans="1:18">
      <c r="A700">
        <f>RAW_DATA!A700</f>
        <v>35</v>
      </c>
      <c r="B700" t="str">
        <f>RAW_DATA!B700</f>
        <v>No</v>
      </c>
      <c r="C700" t="str">
        <f>RAW_DATA!C700</f>
        <v>Sales</v>
      </c>
      <c r="D700">
        <f>RAW_DATA!D700</f>
        <v>18</v>
      </c>
      <c r="E700">
        <f>RAW_DATA!E700</f>
        <v>3</v>
      </c>
      <c r="F700" t="str">
        <f>RAW_DATA!F700</f>
        <v>Medical</v>
      </c>
      <c r="G700">
        <f>RAW_DATA!G700</f>
        <v>3</v>
      </c>
      <c r="H700">
        <f>RAW_DATA!H700</f>
        <v>3</v>
      </c>
      <c r="I700" t="str">
        <f>RAW_DATA!I700</f>
        <v>Married</v>
      </c>
      <c r="J700">
        <f>RAW_DATA!J700</f>
        <v>4601</v>
      </c>
      <c r="K700">
        <f>RAW_DATA!K700</f>
        <v>1</v>
      </c>
      <c r="L700">
        <f>RAW_DATA!L700</f>
        <v>3</v>
      </c>
      <c r="M700">
        <f>RAW_DATA!M700</f>
        <v>5</v>
      </c>
      <c r="N700">
        <f t="shared" si="20"/>
        <v>0</v>
      </c>
      <c r="O700" t="str" cm="1">
        <f t="array" ref="O700" xml:space="preserve"> _xlfn.IFS(A700 &lt;ASSUMPTIONS!$D$2,"25",A700 &lt;= ASSUMPTIONS!$D$3,"25-34",A700 &lt;= ASSUMPTIONS!$D$4, "35-44",A700 &lt;= ASSUMPTIONS!$D$5,"45-54",TRUE,"55+")</f>
        <v>35-44</v>
      </c>
      <c r="P700" t="str" cm="1">
        <f t="array" ref="P700">_xlfn.IFS( J700 &lt;ASSUMPTIONS!$D$7,"LOW",J700 &lt;= ASSUMPTIONS!$D$8,"MEDIUM",TRUE, "HIGH")</f>
        <v>MEDIUM</v>
      </c>
      <c r="Q700" t="str">
        <f>IF(M700&lt;ASSUMPTIONS!$D$10,"New (0-2)",IF(M700&lt;=ASSUMPTIONS!$D$11,"Early (2-5)",IF(M700&lt;=ASSUMPTIONS!$D$12,"Established (5-10)","Veteran (10+)")))</f>
        <v>Early (2-5)</v>
      </c>
      <c r="R700" s="4">
        <f t="shared" si="21"/>
        <v>3</v>
      </c>
    </row>
    <row r="701" spans="1:18">
      <c r="A701">
        <f>RAW_DATA!A701</f>
        <v>52</v>
      </c>
      <c r="B701" t="str">
        <f>RAW_DATA!B701</f>
        <v>No</v>
      </c>
      <c r="C701" t="str">
        <f>RAW_DATA!C701</f>
        <v>Research &amp; Development</v>
      </c>
      <c r="D701">
        <f>RAW_DATA!D701</f>
        <v>1</v>
      </c>
      <c r="E701">
        <f>RAW_DATA!E701</f>
        <v>2</v>
      </c>
      <c r="F701" t="str">
        <f>RAW_DATA!F701</f>
        <v>Life Sciences</v>
      </c>
      <c r="G701">
        <f>RAW_DATA!G701</f>
        <v>4</v>
      </c>
      <c r="H701">
        <f>RAW_DATA!H701</f>
        <v>4</v>
      </c>
      <c r="I701" t="str">
        <f>RAW_DATA!I701</f>
        <v>Married</v>
      </c>
      <c r="J701">
        <f>RAW_DATA!J701</f>
        <v>17099</v>
      </c>
      <c r="K701">
        <f>RAW_DATA!K701</f>
        <v>2</v>
      </c>
      <c r="L701">
        <f>RAW_DATA!L701</f>
        <v>2</v>
      </c>
      <c r="M701">
        <f>RAW_DATA!M701</f>
        <v>9</v>
      </c>
      <c r="N701">
        <f t="shared" si="20"/>
        <v>0</v>
      </c>
      <c r="O701" t="str" cm="1">
        <f t="array" ref="O701" xml:space="preserve"> _xlfn.IFS(A701 &lt;ASSUMPTIONS!$D$2,"25",A701 &lt;= ASSUMPTIONS!$D$3,"25-34",A701 &lt;= ASSUMPTIONS!$D$4, "35-44",A701 &lt;= ASSUMPTIONS!$D$5,"45-54",TRUE,"55+")</f>
        <v>45-54</v>
      </c>
      <c r="P701" t="str" cm="1">
        <f t="array" ref="P701">_xlfn.IFS( J701 &lt;ASSUMPTIONS!$D$7,"LOW",J701 &lt;= ASSUMPTIONS!$D$8,"MEDIUM",TRUE, "HIGH")</f>
        <v>HIGH</v>
      </c>
      <c r="Q701" t="str">
        <f>IF(M701&lt;ASSUMPTIONS!$D$10,"New (0-2)",IF(M701&lt;=ASSUMPTIONS!$D$11,"Early (2-5)",IF(M701&lt;=ASSUMPTIONS!$D$12,"Established (5-10)","Veteran (10+)")))</f>
        <v>Established (5-10)</v>
      </c>
      <c r="R701" s="4">
        <f t="shared" si="21"/>
        <v>3.3333333333333335</v>
      </c>
    </row>
    <row r="702" spans="1:18">
      <c r="A702">
        <f>RAW_DATA!A702</f>
        <v>58</v>
      </c>
      <c r="B702" t="str">
        <f>RAW_DATA!B702</f>
        <v>Yes</v>
      </c>
      <c r="C702" t="str">
        <f>RAW_DATA!C702</f>
        <v>Research &amp; Development</v>
      </c>
      <c r="D702">
        <f>RAW_DATA!D702</f>
        <v>2</v>
      </c>
      <c r="E702">
        <f>RAW_DATA!E702</f>
        <v>3</v>
      </c>
      <c r="F702" t="str">
        <f>RAW_DATA!F702</f>
        <v>Technical Degree</v>
      </c>
      <c r="G702">
        <f>RAW_DATA!G702</f>
        <v>4</v>
      </c>
      <c r="H702">
        <f>RAW_DATA!H702</f>
        <v>3</v>
      </c>
      <c r="I702" t="str">
        <f>RAW_DATA!I702</f>
        <v>Single</v>
      </c>
      <c r="J702">
        <f>RAW_DATA!J702</f>
        <v>2479</v>
      </c>
      <c r="K702">
        <f>RAW_DATA!K702</f>
        <v>4</v>
      </c>
      <c r="L702">
        <f>RAW_DATA!L702</f>
        <v>3</v>
      </c>
      <c r="M702">
        <f>RAW_DATA!M702</f>
        <v>1</v>
      </c>
      <c r="N702">
        <f t="shared" si="20"/>
        <v>1</v>
      </c>
      <c r="O702" t="str" cm="1">
        <f t="array" ref="O702" xml:space="preserve"> _xlfn.IFS(A702 &lt;ASSUMPTIONS!$D$2,"25",A702 &lt;= ASSUMPTIONS!$D$3,"25-34",A702 &lt;= ASSUMPTIONS!$D$4, "35-44",A702 &lt;= ASSUMPTIONS!$D$5,"45-54",TRUE,"55+")</f>
        <v>55+</v>
      </c>
      <c r="P702" t="str" cm="1">
        <f t="array" ref="P702">_xlfn.IFS( J702 &lt;ASSUMPTIONS!$D$7,"LOW",J702 &lt;= ASSUMPTIONS!$D$8,"MEDIUM",TRUE, "HIGH")</f>
        <v>LOW</v>
      </c>
      <c r="Q702" t="str">
        <f>IF(M702&lt;ASSUMPTIONS!$D$10,"New (0-2)",IF(M702&lt;=ASSUMPTIONS!$D$11,"Early (2-5)",IF(M702&lt;=ASSUMPTIONS!$D$12,"Established (5-10)","Veteran (10+)")))</f>
        <v>New (0-2)</v>
      </c>
      <c r="R702" s="4">
        <f t="shared" si="21"/>
        <v>3.3333333333333335</v>
      </c>
    </row>
    <row r="703" spans="1:18">
      <c r="A703">
        <f>RAW_DATA!A703</f>
        <v>53</v>
      </c>
      <c r="B703" t="str">
        <f>RAW_DATA!B703</f>
        <v>No</v>
      </c>
      <c r="C703" t="str">
        <f>RAW_DATA!C703</f>
        <v>Sales</v>
      </c>
      <c r="D703">
        <f>RAW_DATA!D703</f>
        <v>2</v>
      </c>
      <c r="E703">
        <f>RAW_DATA!E703</f>
        <v>2</v>
      </c>
      <c r="F703" t="str">
        <f>RAW_DATA!F703</f>
        <v>Medical</v>
      </c>
      <c r="G703">
        <f>RAW_DATA!G703</f>
        <v>3</v>
      </c>
      <c r="H703">
        <f>RAW_DATA!H703</f>
        <v>3</v>
      </c>
      <c r="I703" t="str">
        <f>RAW_DATA!I703</f>
        <v>Divorced</v>
      </c>
      <c r="J703">
        <f>RAW_DATA!J703</f>
        <v>14852</v>
      </c>
      <c r="K703">
        <f>RAW_DATA!K703</f>
        <v>6</v>
      </c>
      <c r="L703">
        <f>RAW_DATA!L703</f>
        <v>4</v>
      </c>
      <c r="M703">
        <f>RAW_DATA!M703</f>
        <v>17</v>
      </c>
      <c r="N703">
        <f t="shared" si="20"/>
        <v>0</v>
      </c>
      <c r="O703" t="str" cm="1">
        <f t="array" ref="O703" xml:space="preserve"> _xlfn.IFS(A703 &lt;ASSUMPTIONS!$D$2,"25",A703 &lt;= ASSUMPTIONS!$D$3,"25-34",A703 &lt;= ASSUMPTIONS!$D$4, "35-44",A703 &lt;= ASSUMPTIONS!$D$5,"45-54",TRUE,"55+")</f>
        <v>45-54</v>
      </c>
      <c r="P703" t="str" cm="1">
        <f t="array" ref="P703">_xlfn.IFS( J703 &lt;ASSUMPTIONS!$D$7,"LOW",J703 &lt;= ASSUMPTIONS!$D$8,"MEDIUM",TRUE, "HIGH")</f>
        <v>HIGH</v>
      </c>
      <c r="Q703" t="str">
        <f>IF(M703&lt;ASSUMPTIONS!$D$10,"New (0-2)",IF(M703&lt;=ASSUMPTIONS!$D$11,"Early (2-5)",IF(M703&lt;=ASSUMPTIONS!$D$12,"Established (5-10)","Veteran (10+)")))</f>
        <v>Veteran (10+)</v>
      </c>
      <c r="R703" s="4">
        <f t="shared" si="21"/>
        <v>3.3333333333333335</v>
      </c>
    </row>
    <row r="704" spans="1:18">
      <c r="A704">
        <f>RAW_DATA!A704</f>
        <v>30</v>
      </c>
      <c r="B704" t="str">
        <f>RAW_DATA!B704</f>
        <v>No</v>
      </c>
      <c r="C704" t="str">
        <f>RAW_DATA!C704</f>
        <v>Sales</v>
      </c>
      <c r="D704">
        <f>RAW_DATA!D704</f>
        <v>8</v>
      </c>
      <c r="E704">
        <f>RAW_DATA!E704</f>
        <v>2</v>
      </c>
      <c r="F704" t="str">
        <f>RAW_DATA!F704</f>
        <v>Other</v>
      </c>
      <c r="G704">
        <f>RAW_DATA!G704</f>
        <v>3</v>
      </c>
      <c r="H704">
        <f>RAW_DATA!H704</f>
        <v>3</v>
      </c>
      <c r="I704" t="str">
        <f>RAW_DATA!I704</f>
        <v>Divorced</v>
      </c>
      <c r="J704">
        <f>RAW_DATA!J704</f>
        <v>7264</v>
      </c>
      <c r="K704">
        <f>RAW_DATA!K704</f>
        <v>5</v>
      </c>
      <c r="L704">
        <f>RAW_DATA!L704</f>
        <v>4</v>
      </c>
      <c r="M704">
        <f>RAW_DATA!M704</f>
        <v>8</v>
      </c>
      <c r="N704">
        <f t="shared" si="20"/>
        <v>0</v>
      </c>
      <c r="O704" t="str" cm="1">
        <f t="array" ref="O704" xml:space="preserve"> _xlfn.IFS(A704 &lt;ASSUMPTIONS!$D$2,"25",A704 &lt;= ASSUMPTIONS!$D$3,"25-34",A704 &lt;= ASSUMPTIONS!$D$4, "35-44",A704 &lt;= ASSUMPTIONS!$D$5,"45-54",TRUE,"55+")</f>
        <v>25-34</v>
      </c>
      <c r="P704" t="str" cm="1">
        <f t="array" ref="P704">_xlfn.IFS( J704 &lt;ASSUMPTIONS!$D$7,"LOW",J704 &lt;= ASSUMPTIONS!$D$8,"MEDIUM",TRUE, "HIGH")</f>
        <v>HIGH</v>
      </c>
      <c r="Q704" t="str">
        <f>IF(M704&lt;ASSUMPTIONS!$D$10,"New (0-2)",IF(M704&lt;=ASSUMPTIONS!$D$11,"Early (2-5)",IF(M704&lt;=ASSUMPTIONS!$D$12,"Established (5-10)","Veteran (10+)")))</f>
        <v>Established (5-10)</v>
      </c>
      <c r="R704" s="4">
        <f t="shared" si="21"/>
        <v>3.3333333333333335</v>
      </c>
    </row>
    <row r="705" spans="1:18">
      <c r="A705">
        <f>RAW_DATA!A705</f>
        <v>38</v>
      </c>
      <c r="B705" t="str">
        <f>RAW_DATA!B705</f>
        <v>No</v>
      </c>
      <c r="C705" t="str">
        <f>RAW_DATA!C705</f>
        <v>Sales</v>
      </c>
      <c r="D705">
        <f>RAW_DATA!D705</f>
        <v>10</v>
      </c>
      <c r="E705">
        <f>RAW_DATA!E705</f>
        <v>3</v>
      </c>
      <c r="F705" t="str">
        <f>RAW_DATA!F705</f>
        <v>Technical Degree</v>
      </c>
      <c r="G705">
        <f>RAW_DATA!G705</f>
        <v>3</v>
      </c>
      <c r="H705">
        <f>RAW_DATA!H705</f>
        <v>4</v>
      </c>
      <c r="I705" t="str">
        <f>RAW_DATA!I705</f>
        <v>Single</v>
      </c>
      <c r="J705">
        <f>RAW_DATA!J705</f>
        <v>5666</v>
      </c>
      <c r="K705">
        <f>RAW_DATA!K705</f>
        <v>1</v>
      </c>
      <c r="L705">
        <f>RAW_DATA!L705</f>
        <v>3</v>
      </c>
      <c r="M705">
        <f>RAW_DATA!M705</f>
        <v>5</v>
      </c>
      <c r="N705">
        <f t="shared" si="20"/>
        <v>0</v>
      </c>
      <c r="O705" t="str" cm="1">
        <f t="array" ref="O705" xml:space="preserve"> _xlfn.IFS(A705 &lt;ASSUMPTIONS!$D$2,"25",A705 &lt;= ASSUMPTIONS!$D$3,"25-34",A705 &lt;= ASSUMPTIONS!$D$4, "35-44",A705 &lt;= ASSUMPTIONS!$D$5,"45-54",TRUE,"55+")</f>
        <v>35-44</v>
      </c>
      <c r="P705" t="str" cm="1">
        <f t="array" ref="P705">_xlfn.IFS( J705 &lt;ASSUMPTIONS!$D$7,"LOW",J705 &lt;= ASSUMPTIONS!$D$8,"MEDIUM",TRUE, "HIGH")</f>
        <v>MEDIUM</v>
      </c>
      <c r="Q705" t="str">
        <f>IF(M705&lt;ASSUMPTIONS!$D$10,"New (0-2)",IF(M705&lt;=ASSUMPTIONS!$D$11,"Early (2-5)",IF(M705&lt;=ASSUMPTIONS!$D$12,"Established (5-10)","Veteran (10+)")))</f>
        <v>Early (2-5)</v>
      </c>
      <c r="R705" s="4">
        <f t="shared" si="21"/>
        <v>3.3333333333333335</v>
      </c>
    </row>
    <row r="706" spans="1:18">
      <c r="A706">
        <f>RAW_DATA!A706</f>
        <v>35</v>
      </c>
      <c r="B706" t="str">
        <f>RAW_DATA!B706</f>
        <v>No</v>
      </c>
      <c r="C706" t="str">
        <f>RAW_DATA!C706</f>
        <v>Sales</v>
      </c>
      <c r="D706">
        <f>RAW_DATA!D706</f>
        <v>3</v>
      </c>
      <c r="E706">
        <f>RAW_DATA!E706</f>
        <v>4</v>
      </c>
      <c r="F706" t="str">
        <f>RAW_DATA!F706</f>
        <v>Life Sciences</v>
      </c>
      <c r="G706">
        <f>RAW_DATA!G706</f>
        <v>4</v>
      </c>
      <c r="H706">
        <f>RAW_DATA!H706</f>
        <v>4</v>
      </c>
      <c r="I706" t="str">
        <f>RAW_DATA!I706</f>
        <v>Divorced</v>
      </c>
      <c r="J706">
        <f>RAW_DATA!J706</f>
        <v>7823</v>
      </c>
      <c r="K706">
        <f>RAW_DATA!K706</f>
        <v>6</v>
      </c>
      <c r="L706">
        <f>RAW_DATA!L706</f>
        <v>3</v>
      </c>
      <c r="M706">
        <f>RAW_DATA!M706</f>
        <v>10</v>
      </c>
      <c r="N706">
        <f t="shared" si="20"/>
        <v>0</v>
      </c>
      <c r="O706" t="str" cm="1">
        <f t="array" ref="O706" xml:space="preserve"> _xlfn.IFS(A706 &lt;ASSUMPTIONS!$D$2,"25",A706 &lt;= ASSUMPTIONS!$D$3,"25-34",A706 &lt;= ASSUMPTIONS!$D$4, "35-44",A706 &lt;= ASSUMPTIONS!$D$5,"45-54",TRUE,"55+")</f>
        <v>35-44</v>
      </c>
      <c r="P706" t="str" cm="1">
        <f t="array" ref="P706">_xlfn.IFS( J706 &lt;ASSUMPTIONS!$D$7,"LOW",J706 &lt;= ASSUMPTIONS!$D$8,"MEDIUM",TRUE, "HIGH")</f>
        <v>HIGH</v>
      </c>
      <c r="Q706" t="str">
        <f>IF(M706&lt;ASSUMPTIONS!$D$10,"New (0-2)",IF(M706&lt;=ASSUMPTIONS!$D$11,"Early (2-5)",IF(M706&lt;=ASSUMPTIONS!$D$12,"Established (5-10)","Veteran (10+)")))</f>
        <v>Established (5-10)</v>
      </c>
      <c r="R706" s="4">
        <f t="shared" si="21"/>
        <v>3.6666666666666665</v>
      </c>
    </row>
    <row r="707" spans="1:18">
      <c r="A707">
        <f>RAW_DATA!A707</f>
        <v>39</v>
      </c>
      <c r="B707" t="str">
        <f>RAW_DATA!B707</f>
        <v>No</v>
      </c>
      <c r="C707" t="str">
        <f>RAW_DATA!C707</f>
        <v>Sales</v>
      </c>
      <c r="D707">
        <f>RAW_DATA!D707</f>
        <v>2</v>
      </c>
      <c r="E707">
        <f>RAW_DATA!E707</f>
        <v>5</v>
      </c>
      <c r="F707" t="str">
        <f>RAW_DATA!F707</f>
        <v>Life Sciences</v>
      </c>
      <c r="G707">
        <f>RAW_DATA!G707</f>
        <v>1</v>
      </c>
      <c r="H707">
        <f>RAW_DATA!H707</f>
        <v>3</v>
      </c>
      <c r="I707" t="str">
        <f>RAW_DATA!I707</f>
        <v>Single</v>
      </c>
      <c r="J707">
        <f>RAW_DATA!J707</f>
        <v>7880</v>
      </c>
      <c r="K707">
        <f>RAW_DATA!K707</f>
        <v>0</v>
      </c>
      <c r="L707">
        <f>RAW_DATA!L707</f>
        <v>3</v>
      </c>
      <c r="M707">
        <f>RAW_DATA!M707</f>
        <v>8</v>
      </c>
      <c r="N707">
        <f t="shared" ref="N707:N770" si="22" xml:space="preserve"> IF(B707 ="Yes",1,0)</f>
        <v>0</v>
      </c>
      <c r="O707" t="str" cm="1">
        <f t="array" ref="O707" xml:space="preserve"> _xlfn.IFS(A707 &lt;ASSUMPTIONS!$D$2,"25",A707 &lt;= ASSUMPTIONS!$D$3,"25-34",A707 &lt;= ASSUMPTIONS!$D$4, "35-44",A707 &lt;= ASSUMPTIONS!$D$5,"45-54",TRUE,"55+")</f>
        <v>35-44</v>
      </c>
      <c r="P707" t="str" cm="1">
        <f t="array" ref="P707">_xlfn.IFS( J707 &lt;ASSUMPTIONS!$D$7,"LOW",J707 &lt;= ASSUMPTIONS!$D$8,"MEDIUM",TRUE, "HIGH")</f>
        <v>HIGH</v>
      </c>
      <c r="Q707" t="str">
        <f>IF(M707&lt;ASSUMPTIONS!$D$10,"New (0-2)",IF(M707&lt;=ASSUMPTIONS!$D$11,"Early (2-5)",IF(M707&lt;=ASSUMPTIONS!$D$12,"Established (5-10)","Veteran (10+)")))</f>
        <v>Established (5-10)</v>
      </c>
      <c r="R707" s="4">
        <f t="shared" ref="R707:R770" si="23">AVERAGE(G707,H707,L707)</f>
        <v>2.3333333333333335</v>
      </c>
    </row>
    <row r="708" spans="1:18">
      <c r="A708">
        <f>RAW_DATA!A708</f>
        <v>40</v>
      </c>
      <c r="B708" t="str">
        <f>RAW_DATA!B708</f>
        <v>Yes</v>
      </c>
      <c r="C708" t="str">
        <f>RAW_DATA!C708</f>
        <v>Sales</v>
      </c>
      <c r="D708">
        <f>RAW_DATA!D708</f>
        <v>24</v>
      </c>
      <c r="E708">
        <f>RAW_DATA!E708</f>
        <v>3</v>
      </c>
      <c r="F708" t="str">
        <f>RAW_DATA!F708</f>
        <v>Life Sciences</v>
      </c>
      <c r="G708">
        <f>RAW_DATA!G708</f>
        <v>2</v>
      </c>
      <c r="H708">
        <f>RAW_DATA!H708</f>
        <v>2</v>
      </c>
      <c r="I708" t="str">
        <f>RAW_DATA!I708</f>
        <v>Single</v>
      </c>
      <c r="J708">
        <f>RAW_DATA!J708</f>
        <v>13194</v>
      </c>
      <c r="K708">
        <f>RAW_DATA!K708</f>
        <v>4</v>
      </c>
      <c r="L708">
        <f>RAW_DATA!L708</f>
        <v>2</v>
      </c>
      <c r="M708">
        <f>RAW_DATA!M708</f>
        <v>1</v>
      </c>
      <c r="N708">
        <f t="shared" si="22"/>
        <v>1</v>
      </c>
      <c r="O708" t="str" cm="1">
        <f t="array" ref="O708" xml:space="preserve"> _xlfn.IFS(A708 &lt;ASSUMPTIONS!$D$2,"25",A708 &lt;= ASSUMPTIONS!$D$3,"25-34",A708 &lt;= ASSUMPTIONS!$D$4, "35-44",A708 &lt;= ASSUMPTIONS!$D$5,"45-54",TRUE,"55+")</f>
        <v>35-44</v>
      </c>
      <c r="P708" t="str" cm="1">
        <f t="array" ref="P708">_xlfn.IFS( J708 &lt;ASSUMPTIONS!$D$7,"LOW",J708 &lt;= ASSUMPTIONS!$D$8,"MEDIUM",TRUE, "HIGH")</f>
        <v>HIGH</v>
      </c>
      <c r="Q708" t="str">
        <f>IF(M708&lt;ASSUMPTIONS!$D$10,"New (0-2)",IF(M708&lt;=ASSUMPTIONS!$D$11,"Early (2-5)",IF(M708&lt;=ASSUMPTIONS!$D$12,"Established (5-10)","Veteran (10+)")))</f>
        <v>New (0-2)</v>
      </c>
      <c r="R708" s="4">
        <f t="shared" si="23"/>
        <v>2</v>
      </c>
    </row>
    <row r="709" spans="1:18">
      <c r="A709">
        <f>RAW_DATA!A709</f>
        <v>47</v>
      </c>
      <c r="B709" t="str">
        <f>RAW_DATA!B709</f>
        <v>No</v>
      </c>
      <c r="C709" t="str">
        <f>RAW_DATA!C709</f>
        <v>Research &amp; Development</v>
      </c>
      <c r="D709">
        <f>RAW_DATA!D709</f>
        <v>16</v>
      </c>
      <c r="E709">
        <f>RAW_DATA!E709</f>
        <v>4</v>
      </c>
      <c r="F709" t="str">
        <f>RAW_DATA!F709</f>
        <v>Medical</v>
      </c>
      <c r="G709">
        <f>RAW_DATA!G709</f>
        <v>3</v>
      </c>
      <c r="H709">
        <f>RAW_DATA!H709</f>
        <v>3</v>
      </c>
      <c r="I709" t="str">
        <f>RAW_DATA!I709</f>
        <v>Divorced</v>
      </c>
      <c r="J709">
        <f>RAW_DATA!J709</f>
        <v>5067</v>
      </c>
      <c r="K709">
        <f>RAW_DATA!K709</f>
        <v>1</v>
      </c>
      <c r="L709">
        <f>RAW_DATA!L709</f>
        <v>4</v>
      </c>
      <c r="M709">
        <f>RAW_DATA!M709</f>
        <v>19</v>
      </c>
      <c r="N709">
        <f t="shared" si="22"/>
        <v>0</v>
      </c>
      <c r="O709" t="str" cm="1">
        <f t="array" ref="O709" xml:space="preserve"> _xlfn.IFS(A709 &lt;ASSUMPTIONS!$D$2,"25",A709 &lt;= ASSUMPTIONS!$D$3,"25-34",A709 &lt;= ASSUMPTIONS!$D$4, "35-44",A709 &lt;= ASSUMPTIONS!$D$5,"45-54",TRUE,"55+")</f>
        <v>45-54</v>
      </c>
      <c r="P709" t="str" cm="1">
        <f t="array" ref="P709">_xlfn.IFS( J709 &lt;ASSUMPTIONS!$D$7,"LOW",J709 &lt;= ASSUMPTIONS!$D$8,"MEDIUM",TRUE, "HIGH")</f>
        <v>MEDIUM</v>
      </c>
      <c r="Q709" t="str">
        <f>IF(M709&lt;ASSUMPTIONS!$D$10,"New (0-2)",IF(M709&lt;=ASSUMPTIONS!$D$11,"Early (2-5)",IF(M709&lt;=ASSUMPTIONS!$D$12,"Established (5-10)","Veteran (10+)")))</f>
        <v>Veteran (10+)</v>
      </c>
      <c r="R709" s="4">
        <f t="shared" si="23"/>
        <v>3.3333333333333335</v>
      </c>
    </row>
    <row r="710" spans="1:18">
      <c r="A710">
        <f>RAW_DATA!A710</f>
        <v>36</v>
      </c>
      <c r="B710" t="str">
        <f>RAW_DATA!B710</f>
        <v>No</v>
      </c>
      <c r="C710" t="str">
        <f>RAW_DATA!C710</f>
        <v>Sales</v>
      </c>
      <c r="D710">
        <f>RAW_DATA!D710</f>
        <v>8</v>
      </c>
      <c r="E710">
        <f>RAW_DATA!E710</f>
        <v>4</v>
      </c>
      <c r="F710" t="str">
        <f>RAW_DATA!F710</f>
        <v>Technical Degree</v>
      </c>
      <c r="G710">
        <f>RAW_DATA!G710</f>
        <v>1</v>
      </c>
      <c r="H710">
        <f>RAW_DATA!H710</f>
        <v>4</v>
      </c>
      <c r="I710" t="str">
        <f>RAW_DATA!I710</f>
        <v>Divorced</v>
      </c>
      <c r="J710">
        <f>RAW_DATA!J710</f>
        <v>5079</v>
      </c>
      <c r="K710">
        <f>RAW_DATA!K710</f>
        <v>4</v>
      </c>
      <c r="L710">
        <f>RAW_DATA!L710</f>
        <v>3</v>
      </c>
      <c r="M710">
        <f>RAW_DATA!M710</f>
        <v>7</v>
      </c>
      <c r="N710">
        <f t="shared" si="22"/>
        <v>0</v>
      </c>
      <c r="O710" t="str" cm="1">
        <f t="array" ref="O710" xml:space="preserve"> _xlfn.IFS(A710 &lt;ASSUMPTIONS!$D$2,"25",A710 &lt;= ASSUMPTIONS!$D$3,"25-34",A710 &lt;= ASSUMPTIONS!$D$4, "35-44",A710 &lt;= ASSUMPTIONS!$D$5,"45-54",TRUE,"55+")</f>
        <v>35-44</v>
      </c>
      <c r="P710" t="str" cm="1">
        <f t="array" ref="P710">_xlfn.IFS( J710 &lt;ASSUMPTIONS!$D$7,"LOW",J710 &lt;= ASSUMPTIONS!$D$8,"MEDIUM",TRUE, "HIGH")</f>
        <v>MEDIUM</v>
      </c>
      <c r="Q710" t="str">
        <f>IF(M710&lt;ASSUMPTIONS!$D$10,"New (0-2)",IF(M710&lt;=ASSUMPTIONS!$D$11,"Early (2-5)",IF(M710&lt;=ASSUMPTIONS!$D$12,"Established (5-10)","Veteran (10+)")))</f>
        <v>Established (5-10)</v>
      </c>
      <c r="R710" s="4">
        <f t="shared" si="23"/>
        <v>2.6666666666666665</v>
      </c>
    </row>
    <row r="711" spans="1:18">
      <c r="A711">
        <f>RAW_DATA!A711</f>
        <v>31</v>
      </c>
      <c r="B711" t="str">
        <f>RAW_DATA!B711</f>
        <v>Yes</v>
      </c>
      <c r="C711" t="str">
        <f>RAW_DATA!C711</f>
        <v>Research &amp; Development</v>
      </c>
      <c r="D711">
        <f>RAW_DATA!D711</f>
        <v>9</v>
      </c>
      <c r="E711">
        <f>RAW_DATA!E711</f>
        <v>2</v>
      </c>
      <c r="F711" t="str">
        <f>RAW_DATA!F711</f>
        <v>Medical</v>
      </c>
      <c r="G711">
        <f>RAW_DATA!G711</f>
        <v>3</v>
      </c>
      <c r="H711">
        <f>RAW_DATA!H711</f>
        <v>1</v>
      </c>
      <c r="I711" t="str">
        <f>RAW_DATA!I711</f>
        <v>Single</v>
      </c>
      <c r="J711">
        <f>RAW_DATA!J711</f>
        <v>2321</v>
      </c>
      <c r="K711">
        <f>RAW_DATA!K711</f>
        <v>0</v>
      </c>
      <c r="L711">
        <f>RAW_DATA!L711</f>
        <v>3</v>
      </c>
      <c r="M711">
        <f>RAW_DATA!M711</f>
        <v>3</v>
      </c>
      <c r="N711">
        <f t="shared" si="22"/>
        <v>1</v>
      </c>
      <c r="O711" t="str" cm="1">
        <f t="array" ref="O711" xml:space="preserve"> _xlfn.IFS(A711 &lt;ASSUMPTIONS!$D$2,"25",A711 &lt;= ASSUMPTIONS!$D$3,"25-34",A711 &lt;= ASSUMPTIONS!$D$4, "35-44",A711 &lt;= ASSUMPTIONS!$D$5,"45-54",TRUE,"55+")</f>
        <v>25-34</v>
      </c>
      <c r="P711" t="str" cm="1">
        <f t="array" ref="P711">_xlfn.IFS( J711 &lt;ASSUMPTIONS!$D$7,"LOW",J711 &lt;= ASSUMPTIONS!$D$8,"MEDIUM",TRUE, "HIGH")</f>
        <v>LOW</v>
      </c>
      <c r="Q711" t="str">
        <f>IF(M711&lt;ASSUMPTIONS!$D$10,"New (0-2)",IF(M711&lt;=ASSUMPTIONS!$D$11,"Early (2-5)",IF(M711&lt;=ASSUMPTIONS!$D$12,"Established (5-10)","Veteran (10+)")))</f>
        <v>Early (2-5)</v>
      </c>
      <c r="R711" s="4">
        <f t="shared" si="23"/>
        <v>2.3333333333333335</v>
      </c>
    </row>
    <row r="712" spans="1:18">
      <c r="A712">
        <f>RAW_DATA!A712</f>
        <v>33</v>
      </c>
      <c r="B712" t="str">
        <f>RAW_DATA!B712</f>
        <v>No</v>
      </c>
      <c r="C712" t="str">
        <f>RAW_DATA!C712</f>
        <v>Sales</v>
      </c>
      <c r="D712">
        <f>RAW_DATA!D712</f>
        <v>17</v>
      </c>
      <c r="E712">
        <f>RAW_DATA!E712</f>
        <v>3</v>
      </c>
      <c r="F712" t="str">
        <f>RAW_DATA!F712</f>
        <v>Life Sciences</v>
      </c>
      <c r="G712">
        <f>RAW_DATA!G712</f>
        <v>4</v>
      </c>
      <c r="H712">
        <f>RAW_DATA!H712</f>
        <v>3</v>
      </c>
      <c r="I712" t="str">
        <f>RAW_DATA!I712</f>
        <v>Single</v>
      </c>
      <c r="J712">
        <f>RAW_DATA!J712</f>
        <v>17444</v>
      </c>
      <c r="K712">
        <f>RAW_DATA!K712</f>
        <v>1</v>
      </c>
      <c r="L712">
        <f>RAW_DATA!L712</f>
        <v>3</v>
      </c>
      <c r="M712">
        <f>RAW_DATA!M712</f>
        <v>10</v>
      </c>
      <c r="N712">
        <f t="shared" si="22"/>
        <v>0</v>
      </c>
      <c r="O712" t="str" cm="1">
        <f t="array" ref="O712" xml:space="preserve"> _xlfn.IFS(A712 &lt;ASSUMPTIONS!$D$2,"25",A712 &lt;= ASSUMPTIONS!$D$3,"25-34",A712 &lt;= ASSUMPTIONS!$D$4, "35-44",A712 &lt;= ASSUMPTIONS!$D$5,"45-54",TRUE,"55+")</f>
        <v>25-34</v>
      </c>
      <c r="P712" t="str" cm="1">
        <f t="array" ref="P712">_xlfn.IFS( J712 &lt;ASSUMPTIONS!$D$7,"LOW",J712 &lt;= ASSUMPTIONS!$D$8,"MEDIUM",TRUE, "HIGH")</f>
        <v>HIGH</v>
      </c>
      <c r="Q712" t="str">
        <f>IF(M712&lt;ASSUMPTIONS!$D$10,"New (0-2)",IF(M712&lt;=ASSUMPTIONS!$D$11,"Early (2-5)",IF(M712&lt;=ASSUMPTIONS!$D$12,"Established (5-10)","Veteran (10+)")))</f>
        <v>Established (5-10)</v>
      </c>
      <c r="R712" s="4">
        <f t="shared" si="23"/>
        <v>3.3333333333333335</v>
      </c>
    </row>
    <row r="713" spans="1:18">
      <c r="A713">
        <f>RAW_DATA!A713</f>
        <v>29</v>
      </c>
      <c r="B713" t="str">
        <f>RAW_DATA!B713</f>
        <v>Yes</v>
      </c>
      <c r="C713" t="str">
        <f>RAW_DATA!C713</f>
        <v>Research &amp; Development</v>
      </c>
      <c r="D713">
        <f>RAW_DATA!D713</f>
        <v>10</v>
      </c>
      <c r="E713">
        <f>RAW_DATA!E713</f>
        <v>3</v>
      </c>
      <c r="F713" t="str">
        <f>RAW_DATA!F713</f>
        <v>Life Sciences</v>
      </c>
      <c r="G713">
        <f>RAW_DATA!G713</f>
        <v>4</v>
      </c>
      <c r="H713">
        <f>RAW_DATA!H713</f>
        <v>1</v>
      </c>
      <c r="I713" t="str">
        <f>RAW_DATA!I713</f>
        <v>Single</v>
      </c>
      <c r="J713">
        <f>RAW_DATA!J713</f>
        <v>2404</v>
      </c>
      <c r="K713">
        <f>RAW_DATA!K713</f>
        <v>6</v>
      </c>
      <c r="L713">
        <f>RAW_DATA!L713</f>
        <v>3</v>
      </c>
      <c r="M713">
        <f>RAW_DATA!M713</f>
        <v>0</v>
      </c>
      <c r="N713">
        <f t="shared" si="22"/>
        <v>1</v>
      </c>
      <c r="O713" t="str" cm="1">
        <f t="array" ref="O713" xml:space="preserve"> _xlfn.IFS(A713 &lt;ASSUMPTIONS!$D$2,"25",A713 &lt;= ASSUMPTIONS!$D$3,"25-34",A713 &lt;= ASSUMPTIONS!$D$4, "35-44",A713 &lt;= ASSUMPTIONS!$D$5,"45-54",TRUE,"55+")</f>
        <v>25-34</v>
      </c>
      <c r="P713" t="str" cm="1">
        <f t="array" ref="P713">_xlfn.IFS( J713 &lt;ASSUMPTIONS!$D$7,"LOW",J713 &lt;= ASSUMPTIONS!$D$8,"MEDIUM",TRUE, "HIGH")</f>
        <v>LOW</v>
      </c>
      <c r="Q713" t="str">
        <f>IF(M713&lt;ASSUMPTIONS!$D$10,"New (0-2)",IF(M713&lt;=ASSUMPTIONS!$D$11,"Early (2-5)",IF(M713&lt;=ASSUMPTIONS!$D$12,"Established (5-10)","Veteran (10+)")))</f>
        <v>New (0-2)</v>
      </c>
      <c r="R713" s="4">
        <f t="shared" si="23"/>
        <v>2.6666666666666665</v>
      </c>
    </row>
    <row r="714" spans="1:18">
      <c r="A714">
        <f>RAW_DATA!A714</f>
        <v>33</v>
      </c>
      <c r="B714" t="str">
        <f>RAW_DATA!B714</f>
        <v>No</v>
      </c>
      <c r="C714" t="str">
        <f>RAW_DATA!C714</f>
        <v>Research &amp; Development</v>
      </c>
      <c r="D714">
        <f>RAW_DATA!D714</f>
        <v>13</v>
      </c>
      <c r="E714">
        <f>RAW_DATA!E714</f>
        <v>1</v>
      </c>
      <c r="F714" t="str">
        <f>RAW_DATA!F714</f>
        <v>Life Sciences</v>
      </c>
      <c r="G714">
        <f>RAW_DATA!G714</f>
        <v>2</v>
      </c>
      <c r="H714">
        <f>RAW_DATA!H714</f>
        <v>4</v>
      </c>
      <c r="I714" t="str">
        <f>RAW_DATA!I714</f>
        <v>Single</v>
      </c>
      <c r="J714">
        <f>RAW_DATA!J714</f>
        <v>3452</v>
      </c>
      <c r="K714">
        <f>RAW_DATA!K714</f>
        <v>3</v>
      </c>
      <c r="L714">
        <f>RAW_DATA!L714</f>
        <v>3</v>
      </c>
      <c r="M714">
        <f>RAW_DATA!M714</f>
        <v>3</v>
      </c>
      <c r="N714">
        <f t="shared" si="22"/>
        <v>0</v>
      </c>
      <c r="O714" t="str" cm="1">
        <f t="array" ref="O714" xml:space="preserve"> _xlfn.IFS(A714 &lt;ASSUMPTIONS!$D$2,"25",A714 &lt;= ASSUMPTIONS!$D$3,"25-34",A714 &lt;= ASSUMPTIONS!$D$4, "35-44",A714 &lt;= ASSUMPTIONS!$D$5,"45-54",TRUE,"55+")</f>
        <v>25-34</v>
      </c>
      <c r="P714" t="str" cm="1">
        <f t="array" ref="P714">_xlfn.IFS( J714 &lt;ASSUMPTIONS!$D$7,"LOW",J714 &lt;= ASSUMPTIONS!$D$8,"MEDIUM",TRUE, "HIGH")</f>
        <v>MEDIUM</v>
      </c>
      <c r="Q714" t="str">
        <f>IF(M714&lt;ASSUMPTIONS!$D$10,"New (0-2)",IF(M714&lt;=ASSUMPTIONS!$D$11,"Early (2-5)",IF(M714&lt;=ASSUMPTIONS!$D$12,"Established (5-10)","Veteran (10+)")))</f>
        <v>Early (2-5)</v>
      </c>
      <c r="R714" s="4">
        <f t="shared" si="23"/>
        <v>3</v>
      </c>
    </row>
    <row r="715" spans="1:18">
      <c r="A715">
        <f>RAW_DATA!A715</f>
        <v>45</v>
      </c>
      <c r="B715" t="str">
        <f>RAW_DATA!B715</f>
        <v>No</v>
      </c>
      <c r="C715" t="str">
        <f>RAW_DATA!C715</f>
        <v>Research &amp; Development</v>
      </c>
      <c r="D715">
        <f>RAW_DATA!D715</f>
        <v>1</v>
      </c>
      <c r="E715">
        <f>RAW_DATA!E715</f>
        <v>4</v>
      </c>
      <c r="F715" t="str">
        <f>RAW_DATA!F715</f>
        <v>Medical</v>
      </c>
      <c r="G715">
        <f>RAW_DATA!G715</f>
        <v>4</v>
      </c>
      <c r="H715">
        <f>RAW_DATA!H715</f>
        <v>4</v>
      </c>
      <c r="I715" t="str">
        <f>RAW_DATA!I715</f>
        <v>Divorced</v>
      </c>
      <c r="J715">
        <f>RAW_DATA!J715</f>
        <v>2270</v>
      </c>
      <c r="K715">
        <f>RAW_DATA!K715</f>
        <v>3</v>
      </c>
      <c r="L715">
        <f>RAW_DATA!L715</f>
        <v>3</v>
      </c>
      <c r="M715">
        <f>RAW_DATA!M715</f>
        <v>5</v>
      </c>
      <c r="N715">
        <f t="shared" si="22"/>
        <v>0</v>
      </c>
      <c r="O715" t="str" cm="1">
        <f t="array" ref="O715" xml:space="preserve"> _xlfn.IFS(A715 &lt;ASSUMPTIONS!$D$2,"25",A715 &lt;= ASSUMPTIONS!$D$3,"25-34",A715 &lt;= ASSUMPTIONS!$D$4, "35-44",A715 &lt;= ASSUMPTIONS!$D$5,"45-54",TRUE,"55+")</f>
        <v>45-54</v>
      </c>
      <c r="P715" t="str" cm="1">
        <f t="array" ref="P715">_xlfn.IFS( J715 &lt;ASSUMPTIONS!$D$7,"LOW",J715 &lt;= ASSUMPTIONS!$D$8,"MEDIUM",TRUE, "HIGH")</f>
        <v>LOW</v>
      </c>
      <c r="Q715" t="str">
        <f>IF(M715&lt;ASSUMPTIONS!$D$10,"New (0-2)",IF(M715&lt;=ASSUMPTIONS!$D$11,"Early (2-5)",IF(M715&lt;=ASSUMPTIONS!$D$12,"Established (5-10)","Veteran (10+)")))</f>
        <v>Early (2-5)</v>
      </c>
      <c r="R715" s="4">
        <f t="shared" si="23"/>
        <v>3.6666666666666665</v>
      </c>
    </row>
    <row r="716" spans="1:18">
      <c r="A716">
        <f>RAW_DATA!A716</f>
        <v>50</v>
      </c>
      <c r="B716" t="str">
        <f>RAW_DATA!B716</f>
        <v>No</v>
      </c>
      <c r="C716" t="str">
        <f>RAW_DATA!C716</f>
        <v>Research &amp; Development</v>
      </c>
      <c r="D716">
        <f>RAW_DATA!D716</f>
        <v>1</v>
      </c>
      <c r="E716">
        <f>RAW_DATA!E716</f>
        <v>2</v>
      </c>
      <c r="F716" t="str">
        <f>RAW_DATA!F716</f>
        <v>Medical</v>
      </c>
      <c r="G716">
        <f>RAW_DATA!G716</f>
        <v>4</v>
      </c>
      <c r="H716">
        <f>RAW_DATA!H716</f>
        <v>4</v>
      </c>
      <c r="I716" t="str">
        <f>RAW_DATA!I716</f>
        <v>Divorced</v>
      </c>
      <c r="J716">
        <f>RAW_DATA!J716</f>
        <v>17399</v>
      </c>
      <c r="K716">
        <f>RAW_DATA!K716</f>
        <v>9</v>
      </c>
      <c r="L716">
        <f>RAW_DATA!L716</f>
        <v>2</v>
      </c>
      <c r="M716">
        <f>RAW_DATA!M716</f>
        <v>5</v>
      </c>
      <c r="N716">
        <f t="shared" si="22"/>
        <v>0</v>
      </c>
      <c r="O716" t="str" cm="1">
        <f t="array" ref="O716" xml:space="preserve"> _xlfn.IFS(A716 &lt;ASSUMPTIONS!$D$2,"25",A716 &lt;= ASSUMPTIONS!$D$3,"25-34",A716 &lt;= ASSUMPTIONS!$D$4, "35-44",A716 &lt;= ASSUMPTIONS!$D$5,"45-54",TRUE,"55+")</f>
        <v>45-54</v>
      </c>
      <c r="P716" t="str" cm="1">
        <f t="array" ref="P716">_xlfn.IFS( J716 &lt;ASSUMPTIONS!$D$7,"LOW",J716 &lt;= ASSUMPTIONS!$D$8,"MEDIUM",TRUE, "HIGH")</f>
        <v>HIGH</v>
      </c>
      <c r="Q716" t="str">
        <f>IF(M716&lt;ASSUMPTIONS!$D$10,"New (0-2)",IF(M716&lt;=ASSUMPTIONS!$D$11,"Early (2-5)",IF(M716&lt;=ASSUMPTIONS!$D$12,"Established (5-10)","Veteran (10+)")))</f>
        <v>Early (2-5)</v>
      </c>
      <c r="R716" s="4">
        <f t="shared" si="23"/>
        <v>3.3333333333333335</v>
      </c>
    </row>
    <row r="717" spans="1:18">
      <c r="A717">
        <f>RAW_DATA!A717</f>
        <v>33</v>
      </c>
      <c r="B717" t="str">
        <f>RAW_DATA!B717</f>
        <v>No</v>
      </c>
      <c r="C717" t="str">
        <f>RAW_DATA!C717</f>
        <v>Research &amp; Development</v>
      </c>
      <c r="D717">
        <f>RAW_DATA!D717</f>
        <v>1</v>
      </c>
      <c r="E717">
        <f>RAW_DATA!E717</f>
        <v>4</v>
      </c>
      <c r="F717" t="str">
        <f>RAW_DATA!F717</f>
        <v>Other</v>
      </c>
      <c r="G717">
        <f>RAW_DATA!G717</f>
        <v>3</v>
      </c>
      <c r="H717">
        <f>RAW_DATA!H717</f>
        <v>2</v>
      </c>
      <c r="I717" t="str">
        <f>RAW_DATA!I717</f>
        <v>Married</v>
      </c>
      <c r="J717">
        <f>RAW_DATA!J717</f>
        <v>5488</v>
      </c>
      <c r="K717">
        <f>RAW_DATA!K717</f>
        <v>1</v>
      </c>
      <c r="L717">
        <f>RAW_DATA!L717</f>
        <v>3</v>
      </c>
      <c r="M717">
        <f>RAW_DATA!M717</f>
        <v>6</v>
      </c>
      <c r="N717">
        <f t="shared" si="22"/>
        <v>0</v>
      </c>
      <c r="O717" t="str" cm="1">
        <f t="array" ref="O717" xml:space="preserve"> _xlfn.IFS(A717 &lt;ASSUMPTIONS!$D$2,"25",A717 &lt;= ASSUMPTIONS!$D$3,"25-34",A717 &lt;= ASSUMPTIONS!$D$4, "35-44",A717 &lt;= ASSUMPTIONS!$D$5,"45-54",TRUE,"55+")</f>
        <v>25-34</v>
      </c>
      <c r="P717" t="str" cm="1">
        <f t="array" ref="P717">_xlfn.IFS( J717 &lt;ASSUMPTIONS!$D$7,"LOW",J717 &lt;= ASSUMPTIONS!$D$8,"MEDIUM",TRUE, "HIGH")</f>
        <v>MEDIUM</v>
      </c>
      <c r="Q717" t="str">
        <f>IF(M717&lt;ASSUMPTIONS!$D$10,"New (0-2)",IF(M717&lt;=ASSUMPTIONS!$D$11,"Early (2-5)",IF(M717&lt;=ASSUMPTIONS!$D$12,"Established (5-10)","Veteran (10+)")))</f>
        <v>Established (5-10)</v>
      </c>
      <c r="R717" s="4">
        <f t="shared" si="23"/>
        <v>2.6666666666666665</v>
      </c>
    </row>
    <row r="718" spans="1:18">
      <c r="A718">
        <f>RAW_DATA!A718</f>
        <v>41</v>
      </c>
      <c r="B718" t="str">
        <f>RAW_DATA!B718</f>
        <v>No</v>
      </c>
      <c r="C718" t="str">
        <f>RAW_DATA!C718</f>
        <v>Research &amp; Development</v>
      </c>
      <c r="D718">
        <f>RAW_DATA!D718</f>
        <v>9</v>
      </c>
      <c r="E718">
        <f>RAW_DATA!E718</f>
        <v>3</v>
      </c>
      <c r="F718" t="str">
        <f>RAW_DATA!F718</f>
        <v>Medical</v>
      </c>
      <c r="G718">
        <f>RAW_DATA!G718</f>
        <v>1</v>
      </c>
      <c r="H718">
        <f>RAW_DATA!H718</f>
        <v>3</v>
      </c>
      <c r="I718" t="str">
        <f>RAW_DATA!I718</f>
        <v>Divorced</v>
      </c>
      <c r="J718">
        <f>RAW_DATA!J718</f>
        <v>19419</v>
      </c>
      <c r="K718">
        <f>RAW_DATA!K718</f>
        <v>2</v>
      </c>
      <c r="L718">
        <f>RAW_DATA!L718</f>
        <v>4</v>
      </c>
      <c r="M718">
        <f>RAW_DATA!M718</f>
        <v>18</v>
      </c>
      <c r="N718">
        <f t="shared" si="22"/>
        <v>0</v>
      </c>
      <c r="O718" t="str" cm="1">
        <f t="array" ref="O718" xml:space="preserve"> _xlfn.IFS(A718 &lt;ASSUMPTIONS!$D$2,"25",A718 &lt;= ASSUMPTIONS!$D$3,"25-34",A718 &lt;= ASSUMPTIONS!$D$4, "35-44",A718 &lt;= ASSUMPTIONS!$D$5,"45-54",TRUE,"55+")</f>
        <v>35-44</v>
      </c>
      <c r="P718" t="str" cm="1">
        <f t="array" ref="P718">_xlfn.IFS( J718 &lt;ASSUMPTIONS!$D$7,"LOW",J718 &lt;= ASSUMPTIONS!$D$8,"MEDIUM",TRUE, "HIGH")</f>
        <v>HIGH</v>
      </c>
      <c r="Q718" t="str">
        <f>IF(M718&lt;ASSUMPTIONS!$D$10,"New (0-2)",IF(M718&lt;=ASSUMPTIONS!$D$11,"Early (2-5)",IF(M718&lt;=ASSUMPTIONS!$D$12,"Established (5-10)","Veteran (10+)")))</f>
        <v>Veteran (10+)</v>
      </c>
      <c r="R718" s="4">
        <f t="shared" si="23"/>
        <v>2.6666666666666665</v>
      </c>
    </row>
    <row r="719" spans="1:18">
      <c r="A719">
        <f>RAW_DATA!A719</f>
        <v>27</v>
      </c>
      <c r="B719" t="str">
        <f>RAW_DATA!B719</f>
        <v>No</v>
      </c>
      <c r="C719" t="str">
        <f>RAW_DATA!C719</f>
        <v>Research &amp; Development</v>
      </c>
      <c r="D719">
        <f>RAW_DATA!D719</f>
        <v>16</v>
      </c>
      <c r="E719">
        <f>RAW_DATA!E719</f>
        <v>4</v>
      </c>
      <c r="F719" t="str">
        <f>RAW_DATA!F719</f>
        <v>Technical Degree</v>
      </c>
      <c r="G719">
        <f>RAW_DATA!G719</f>
        <v>3</v>
      </c>
      <c r="H719">
        <f>RAW_DATA!H719</f>
        <v>2</v>
      </c>
      <c r="I719" t="str">
        <f>RAW_DATA!I719</f>
        <v>Married</v>
      </c>
      <c r="J719">
        <f>RAW_DATA!J719</f>
        <v>2811</v>
      </c>
      <c r="K719">
        <f>RAW_DATA!K719</f>
        <v>9</v>
      </c>
      <c r="L719">
        <f>RAW_DATA!L719</f>
        <v>3</v>
      </c>
      <c r="M719">
        <f>RAW_DATA!M719</f>
        <v>2</v>
      </c>
      <c r="N719">
        <f t="shared" si="22"/>
        <v>0</v>
      </c>
      <c r="O719" t="str" cm="1">
        <f t="array" ref="O719" xml:space="preserve"> _xlfn.IFS(A719 &lt;ASSUMPTIONS!$D$2,"25",A719 &lt;= ASSUMPTIONS!$D$3,"25-34",A719 &lt;= ASSUMPTIONS!$D$4, "35-44",A719 &lt;= ASSUMPTIONS!$D$5,"45-54",TRUE,"55+")</f>
        <v>25-34</v>
      </c>
      <c r="P719" t="str" cm="1">
        <f t="array" ref="P719">_xlfn.IFS( J719 &lt;ASSUMPTIONS!$D$7,"LOW",J719 &lt;= ASSUMPTIONS!$D$8,"MEDIUM",TRUE, "HIGH")</f>
        <v>LOW</v>
      </c>
      <c r="Q719" t="str">
        <f>IF(M719&lt;ASSUMPTIONS!$D$10,"New (0-2)",IF(M719&lt;=ASSUMPTIONS!$D$11,"Early (2-5)",IF(M719&lt;=ASSUMPTIONS!$D$12,"Established (5-10)","Veteran (10+)")))</f>
        <v>Early (2-5)</v>
      </c>
      <c r="R719" s="4">
        <f t="shared" si="23"/>
        <v>2.6666666666666665</v>
      </c>
    </row>
    <row r="720" spans="1:18">
      <c r="A720">
        <f>RAW_DATA!A720</f>
        <v>45</v>
      </c>
      <c r="B720" t="str">
        <f>RAW_DATA!B720</f>
        <v>No</v>
      </c>
      <c r="C720" t="str">
        <f>RAW_DATA!C720</f>
        <v>Research &amp; Development</v>
      </c>
      <c r="D720">
        <f>RAW_DATA!D720</f>
        <v>23</v>
      </c>
      <c r="E720">
        <f>RAW_DATA!E720</f>
        <v>2</v>
      </c>
      <c r="F720" t="str">
        <f>RAW_DATA!F720</f>
        <v>Life Sciences</v>
      </c>
      <c r="G720">
        <f>RAW_DATA!G720</f>
        <v>4</v>
      </c>
      <c r="H720">
        <f>RAW_DATA!H720</f>
        <v>1</v>
      </c>
      <c r="I720" t="str">
        <f>RAW_DATA!I720</f>
        <v>Married</v>
      </c>
      <c r="J720">
        <f>RAW_DATA!J720</f>
        <v>3633</v>
      </c>
      <c r="K720">
        <f>RAW_DATA!K720</f>
        <v>1</v>
      </c>
      <c r="L720">
        <f>RAW_DATA!L720</f>
        <v>3</v>
      </c>
      <c r="M720">
        <f>RAW_DATA!M720</f>
        <v>9</v>
      </c>
      <c r="N720">
        <f t="shared" si="22"/>
        <v>0</v>
      </c>
      <c r="O720" t="str" cm="1">
        <f t="array" ref="O720" xml:space="preserve"> _xlfn.IFS(A720 &lt;ASSUMPTIONS!$D$2,"25",A720 &lt;= ASSUMPTIONS!$D$3,"25-34",A720 &lt;= ASSUMPTIONS!$D$4, "35-44",A720 &lt;= ASSUMPTIONS!$D$5,"45-54",TRUE,"55+")</f>
        <v>45-54</v>
      </c>
      <c r="P720" t="str" cm="1">
        <f t="array" ref="P720">_xlfn.IFS( J720 &lt;ASSUMPTIONS!$D$7,"LOW",J720 &lt;= ASSUMPTIONS!$D$8,"MEDIUM",TRUE, "HIGH")</f>
        <v>MEDIUM</v>
      </c>
      <c r="Q720" t="str">
        <f>IF(M720&lt;ASSUMPTIONS!$D$10,"New (0-2)",IF(M720&lt;=ASSUMPTIONS!$D$11,"Early (2-5)",IF(M720&lt;=ASSUMPTIONS!$D$12,"Established (5-10)","Veteran (10+)")))</f>
        <v>Established (5-10)</v>
      </c>
      <c r="R720" s="4">
        <f t="shared" si="23"/>
        <v>2.6666666666666665</v>
      </c>
    </row>
    <row r="721" spans="1:18">
      <c r="A721">
        <f>RAW_DATA!A721</f>
        <v>47</v>
      </c>
      <c r="B721" t="str">
        <f>RAW_DATA!B721</f>
        <v>No</v>
      </c>
      <c r="C721" t="str">
        <f>RAW_DATA!C721</f>
        <v>Sales</v>
      </c>
      <c r="D721">
        <f>RAW_DATA!D721</f>
        <v>4</v>
      </c>
      <c r="E721">
        <f>RAW_DATA!E721</f>
        <v>2</v>
      </c>
      <c r="F721" t="str">
        <f>RAW_DATA!F721</f>
        <v>Life Sciences</v>
      </c>
      <c r="G721">
        <f>RAW_DATA!G721</f>
        <v>4</v>
      </c>
      <c r="H721">
        <f>RAW_DATA!H721</f>
        <v>4</v>
      </c>
      <c r="I721" t="str">
        <f>RAW_DATA!I721</f>
        <v>Single</v>
      </c>
      <c r="J721">
        <f>RAW_DATA!J721</f>
        <v>4163</v>
      </c>
      <c r="K721">
        <f>RAW_DATA!K721</f>
        <v>1</v>
      </c>
      <c r="L721">
        <f>RAW_DATA!L721</f>
        <v>3</v>
      </c>
      <c r="M721">
        <f>RAW_DATA!M721</f>
        <v>9</v>
      </c>
      <c r="N721">
        <f t="shared" si="22"/>
        <v>0</v>
      </c>
      <c r="O721" t="str" cm="1">
        <f t="array" ref="O721" xml:space="preserve"> _xlfn.IFS(A721 &lt;ASSUMPTIONS!$D$2,"25",A721 &lt;= ASSUMPTIONS!$D$3,"25-34",A721 &lt;= ASSUMPTIONS!$D$4, "35-44",A721 &lt;= ASSUMPTIONS!$D$5,"45-54",TRUE,"55+")</f>
        <v>45-54</v>
      </c>
      <c r="P721" t="str" cm="1">
        <f t="array" ref="P721">_xlfn.IFS( J721 &lt;ASSUMPTIONS!$D$7,"LOW",J721 &lt;= ASSUMPTIONS!$D$8,"MEDIUM",TRUE, "HIGH")</f>
        <v>MEDIUM</v>
      </c>
      <c r="Q721" t="str">
        <f>IF(M721&lt;ASSUMPTIONS!$D$10,"New (0-2)",IF(M721&lt;=ASSUMPTIONS!$D$11,"Early (2-5)",IF(M721&lt;=ASSUMPTIONS!$D$12,"Established (5-10)","Veteran (10+)")))</f>
        <v>Established (5-10)</v>
      </c>
      <c r="R721" s="4">
        <f t="shared" si="23"/>
        <v>3.6666666666666665</v>
      </c>
    </row>
    <row r="722" spans="1:18">
      <c r="A722">
        <f>RAW_DATA!A722</f>
        <v>30</v>
      </c>
      <c r="B722" t="str">
        <f>RAW_DATA!B722</f>
        <v>Yes</v>
      </c>
      <c r="C722" t="str">
        <f>RAW_DATA!C722</f>
        <v>Research &amp; Development</v>
      </c>
      <c r="D722">
        <f>RAW_DATA!D722</f>
        <v>22</v>
      </c>
      <c r="E722">
        <f>RAW_DATA!E722</f>
        <v>3</v>
      </c>
      <c r="F722" t="str">
        <f>RAW_DATA!F722</f>
        <v>Life Sciences</v>
      </c>
      <c r="G722">
        <f>RAW_DATA!G722</f>
        <v>1</v>
      </c>
      <c r="H722">
        <f>RAW_DATA!H722</f>
        <v>3</v>
      </c>
      <c r="I722" t="str">
        <f>RAW_DATA!I722</f>
        <v>Married</v>
      </c>
      <c r="J722">
        <f>RAW_DATA!J722</f>
        <v>2132</v>
      </c>
      <c r="K722">
        <f>RAW_DATA!K722</f>
        <v>4</v>
      </c>
      <c r="L722">
        <f>RAW_DATA!L722</f>
        <v>3</v>
      </c>
      <c r="M722">
        <f>RAW_DATA!M722</f>
        <v>5</v>
      </c>
      <c r="N722">
        <f t="shared" si="22"/>
        <v>1</v>
      </c>
      <c r="O722" t="str" cm="1">
        <f t="array" ref="O722" xml:space="preserve"> _xlfn.IFS(A722 &lt;ASSUMPTIONS!$D$2,"25",A722 &lt;= ASSUMPTIONS!$D$3,"25-34",A722 &lt;= ASSUMPTIONS!$D$4, "35-44",A722 &lt;= ASSUMPTIONS!$D$5,"45-54",TRUE,"55+")</f>
        <v>25-34</v>
      </c>
      <c r="P722" t="str" cm="1">
        <f t="array" ref="P722">_xlfn.IFS( J722 &lt;ASSUMPTIONS!$D$7,"LOW",J722 &lt;= ASSUMPTIONS!$D$8,"MEDIUM",TRUE, "HIGH")</f>
        <v>LOW</v>
      </c>
      <c r="Q722" t="str">
        <f>IF(M722&lt;ASSUMPTIONS!$D$10,"New (0-2)",IF(M722&lt;=ASSUMPTIONS!$D$11,"Early (2-5)",IF(M722&lt;=ASSUMPTIONS!$D$12,"Established (5-10)","Veteran (10+)")))</f>
        <v>Early (2-5)</v>
      </c>
      <c r="R722" s="4">
        <f t="shared" si="23"/>
        <v>2.3333333333333335</v>
      </c>
    </row>
    <row r="723" spans="1:18">
      <c r="A723">
        <f>RAW_DATA!A723</f>
        <v>50</v>
      </c>
      <c r="B723" t="str">
        <f>RAW_DATA!B723</f>
        <v>No</v>
      </c>
      <c r="C723" t="str">
        <f>RAW_DATA!C723</f>
        <v>Research &amp; Development</v>
      </c>
      <c r="D723">
        <f>RAW_DATA!D723</f>
        <v>24</v>
      </c>
      <c r="E723">
        <f>RAW_DATA!E723</f>
        <v>3</v>
      </c>
      <c r="F723" t="str">
        <f>RAW_DATA!F723</f>
        <v>Life Sciences</v>
      </c>
      <c r="G723">
        <f>RAW_DATA!G723</f>
        <v>4</v>
      </c>
      <c r="H723">
        <f>RAW_DATA!H723</f>
        <v>3</v>
      </c>
      <c r="I723" t="str">
        <f>RAW_DATA!I723</f>
        <v>Married</v>
      </c>
      <c r="J723">
        <f>RAW_DATA!J723</f>
        <v>13973</v>
      </c>
      <c r="K723">
        <f>RAW_DATA!K723</f>
        <v>3</v>
      </c>
      <c r="L723">
        <f>RAW_DATA!L723</f>
        <v>3</v>
      </c>
      <c r="M723">
        <f>RAW_DATA!M723</f>
        <v>12</v>
      </c>
      <c r="N723">
        <f t="shared" si="22"/>
        <v>0</v>
      </c>
      <c r="O723" t="str" cm="1">
        <f t="array" ref="O723" xml:space="preserve"> _xlfn.IFS(A723 &lt;ASSUMPTIONS!$D$2,"25",A723 &lt;= ASSUMPTIONS!$D$3,"25-34",A723 &lt;= ASSUMPTIONS!$D$4, "35-44",A723 &lt;= ASSUMPTIONS!$D$5,"45-54",TRUE,"55+")</f>
        <v>45-54</v>
      </c>
      <c r="P723" t="str" cm="1">
        <f t="array" ref="P723">_xlfn.IFS( J723 &lt;ASSUMPTIONS!$D$7,"LOW",J723 &lt;= ASSUMPTIONS!$D$8,"MEDIUM",TRUE, "HIGH")</f>
        <v>HIGH</v>
      </c>
      <c r="Q723" t="str">
        <f>IF(M723&lt;ASSUMPTIONS!$D$10,"New (0-2)",IF(M723&lt;=ASSUMPTIONS!$D$11,"Early (2-5)",IF(M723&lt;=ASSUMPTIONS!$D$12,"Established (5-10)","Veteran (10+)")))</f>
        <v>Veteran (10+)</v>
      </c>
      <c r="R723" s="4">
        <f t="shared" si="23"/>
        <v>3.3333333333333335</v>
      </c>
    </row>
    <row r="724" spans="1:18">
      <c r="A724">
        <f>RAW_DATA!A724</f>
        <v>38</v>
      </c>
      <c r="B724" t="str">
        <f>RAW_DATA!B724</f>
        <v>No</v>
      </c>
      <c r="C724" t="str">
        <f>RAW_DATA!C724</f>
        <v>Research &amp; Development</v>
      </c>
      <c r="D724">
        <f>RAW_DATA!D724</f>
        <v>10</v>
      </c>
      <c r="E724">
        <f>RAW_DATA!E724</f>
        <v>1</v>
      </c>
      <c r="F724" t="str">
        <f>RAW_DATA!F724</f>
        <v>Medical</v>
      </c>
      <c r="G724">
        <f>RAW_DATA!G724</f>
        <v>3</v>
      </c>
      <c r="H724">
        <f>RAW_DATA!H724</f>
        <v>3</v>
      </c>
      <c r="I724" t="str">
        <f>RAW_DATA!I724</f>
        <v>Married</v>
      </c>
      <c r="J724">
        <f>RAW_DATA!J724</f>
        <v>2684</v>
      </c>
      <c r="K724">
        <f>RAW_DATA!K724</f>
        <v>0</v>
      </c>
      <c r="L724">
        <f>RAW_DATA!L724</f>
        <v>2</v>
      </c>
      <c r="M724">
        <f>RAW_DATA!M724</f>
        <v>2</v>
      </c>
      <c r="N724">
        <f t="shared" si="22"/>
        <v>0</v>
      </c>
      <c r="O724" t="str" cm="1">
        <f t="array" ref="O724" xml:space="preserve"> _xlfn.IFS(A724 &lt;ASSUMPTIONS!$D$2,"25",A724 &lt;= ASSUMPTIONS!$D$3,"25-34",A724 &lt;= ASSUMPTIONS!$D$4, "35-44",A724 &lt;= ASSUMPTIONS!$D$5,"45-54",TRUE,"55+")</f>
        <v>35-44</v>
      </c>
      <c r="P724" t="str" cm="1">
        <f t="array" ref="P724">_xlfn.IFS( J724 &lt;ASSUMPTIONS!$D$7,"LOW",J724 &lt;= ASSUMPTIONS!$D$8,"MEDIUM",TRUE, "HIGH")</f>
        <v>LOW</v>
      </c>
      <c r="Q724" t="str">
        <f>IF(M724&lt;ASSUMPTIONS!$D$10,"New (0-2)",IF(M724&lt;=ASSUMPTIONS!$D$11,"Early (2-5)",IF(M724&lt;=ASSUMPTIONS!$D$12,"Established (5-10)","Veteran (10+)")))</f>
        <v>Early (2-5)</v>
      </c>
      <c r="R724" s="4">
        <f t="shared" si="23"/>
        <v>2.6666666666666665</v>
      </c>
    </row>
    <row r="725" spans="1:18">
      <c r="A725">
        <f>RAW_DATA!A725</f>
        <v>46</v>
      </c>
      <c r="B725" t="str">
        <f>RAW_DATA!B725</f>
        <v>No</v>
      </c>
      <c r="C725" t="str">
        <f>RAW_DATA!C725</f>
        <v>Research &amp; Development</v>
      </c>
      <c r="D725">
        <f>RAW_DATA!D725</f>
        <v>7</v>
      </c>
      <c r="E725">
        <f>RAW_DATA!E725</f>
        <v>2</v>
      </c>
      <c r="F725" t="str">
        <f>RAW_DATA!F725</f>
        <v>Medical</v>
      </c>
      <c r="G725">
        <f>RAW_DATA!G725</f>
        <v>4</v>
      </c>
      <c r="H725">
        <f>RAW_DATA!H725</f>
        <v>3</v>
      </c>
      <c r="I725" t="str">
        <f>RAW_DATA!I725</f>
        <v>Divorced</v>
      </c>
      <c r="J725">
        <f>RAW_DATA!J725</f>
        <v>10845</v>
      </c>
      <c r="K725">
        <f>RAW_DATA!K725</f>
        <v>6</v>
      </c>
      <c r="L725">
        <f>RAW_DATA!L725</f>
        <v>3</v>
      </c>
      <c r="M725">
        <f>RAW_DATA!M725</f>
        <v>8</v>
      </c>
      <c r="N725">
        <f t="shared" si="22"/>
        <v>0</v>
      </c>
      <c r="O725" t="str" cm="1">
        <f t="array" ref="O725" xml:space="preserve"> _xlfn.IFS(A725 &lt;ASSUMPTIONS!$D$2,"25",A725 &lt;= ASSUMPTIONS!$D$3,"25-34",A725 &lt;= ASSUMPTIONS!$D$4, "35-44",A725 &lt;= ASSUMPTIONS!$D$5,"45-54",TRUE,"55+")</f>
        <v>45-54</v>
      </c>
      <c r="P725" t="str" cm="1">
        <f t="array" ref="P725">_xlfn.IFS( J725 &lt;ASSUMPTIONS!$D$7,"LOW",J725 &lt;= ASSUMPTIONS!$D$8,"MEDIUM",TRUE, "HIGH")</f>
        <v>HIGH</v>
      </c>
      <c r="Q725" t="str">
        <f>IF(M725&lt;ASSUMPTIONS!$D$10,"New (0-2)",IF(M725&lt;=ASSUMPTIONS!$D$11,"Early (2-5)",IF(M725&lt;=ASSUMPTIONS!$D$12,"Established (5-10)","Veteran (10+)")))</f>
        <v>Established (5-10)</v>
      </c>
      <c r="R725" s="4">
        <f t="shared" si="23"/>
        <v>3.3333333333333335</v>
      </c>
    </row>
    <row r="726" spans="1:18">
      <c r="A726">
        <f>RAW_DATA!A726</f>
        <v>24</v>
      </c>
      <c r="B726" t="str">
        <f>RAW_DATA!B726</f>
        <v>No</v>
      </c>
      <c r="C726" t="str">
        <f>RAW_DATA!C726</f>
        <v>Research &amp; Development</v>
      </c>
      <c r="D726">
        <f>RAW_DATA!D726</f>
        <v>17</v>
      </c>
      <c r="E726">
        <f>RAW_DATA!E726</f>
        <v>1</v>
      </c>
      <c r="F726" t="str">
        <f>RAW_DATA!F726</f>
        <v>Medical</v>
      </c>
      <c r="G726">
        <f>RAW_DATA!G726</f>
        <v>4</v>
      </c>
      <c r="H726">
        <f>RAW_DATA!H726</f>
        <v>3</v>
      </c>
      <c r="I726" t="str">
        <f>RAW_DATA!I726</f>
        <v>Divorced</v>
      </c>
      <c r="J726">
        <f>RAW_DATA!J726</f>
        <v>4377</v>
      </c>
      <c r="K726">
        <f>RAW_DATA!K726</f>
        <v>1</v>
      </c>
      <c r="L726">
        <f>RAW_DATA!L726</f>
        <v>3</v>
      </c>
      <c r="M726">
        <f>RAW_DATA!M726</f>
        <v>4</v>
      </c>
      <c r="N726">
        <f t="shared" si="22"/>
        <v>0</v>
      </c>
      <c r="O726" t="str" cm="1">
        <f t="array" ref="O726" xml:space="preserve"> _xlfn.IFS(A726 &lt;ASSUMPTIONS!$D$2,"25",A726 &lt;= ASSUMPTIONS!$D$3,"25-34",A726 &lt;= ASSUMPTIONS!$D$4, "35-44",A726 &lt;= ASSUMPTIONS!$D$5,"45-54",TRUE,"55+")</f>
        <v>25</v>
      </c>
      <c r="P726" t="str" cm="1">
        <f t="array" ref="P726">_xlfn.IFS( J726 &lt;ASSUMPTIONS!$D$7,"LOW",J726 &lt;= ASSUMPTIONS!$D$8,"MEDIUM",TRUE, "HIGH")</f>
        <v>MEDIUM</v>
      </c>
      <c r="Q726" t="str">
        <f>IF(M726&lt;ASSUMPTIONS!$D$10,"New (0-2)",IF(M726&lt;=ASSUMPTIONS!$D$11,"Early (2-5)",IF(M726&lt;=ASSUMPTIONS!$D$12,"Established (5-10)","Veteran (10+)")))</f>
        <v>Early (2-5)</v>
      </c>
      <c r="R726" s="4">
        <f t="shared" si="23"/>
        <v>3.3333333333333335</v>
      </c>
    </row>
    <row r="727" spans="1:18">
      <c r="A727">
        <f>RAW_DATA!A727</f>
        <v>35</v>
      </c>
      <c r="B727" t="str">
        <f>RAW_DATA!B727</f>
        <v>Yes</v>
      </c>
      <c r="C727" t="str">
        <f>RAW_DATA!C727</f>
        <v>Research &amp; Development</v>
      </c>
      <c r="D727">
        <f>RAW_DATA!D727</f>
        <v>14</v>
      </c>
      <c r="E727">
        <f>RAW_DATA!E727</f>
        <v>4</v>
      </c>
      <c r="F727" t="str">
        <f>RAW_DATA!F727</f>
        <v>Other</v>
      </c>
      <c r="G727">
        <f>RAW_DATA!G727</f>
        <v>3</v>
      </c>
      <c r="H727">
        <f>RAW_DATA!H727</f>
        <v>2</v>
      </c>
      <c r="I727" t="str">
        <f>RAW_DATA!I727</f>
        <v>Divorced</v>
      </c>
      <c r="J727">
        <f>RAW_DATA!J727</f>
        <v>3743</v>
      </c>
      <c r="K727">
        <f>RAW_DATA!K727</f>
        <v>1</v>
      </c>
      <c r="L727">
        <f>RAW_DATA!L727</f>
        <v>1</v>
      </c>
      <c r="M727">
        <f>RAW_DATA!M727</f>
        <v>4</v>
      </c>
      <c r="N727">
        <f t="shared" si="22"/>
        <v>1</v>
      </c>
      <c r="O727" t="str" cm="1">
        <f t="array" ref="O727" xml:space="preserve"> _xlfn.IFS(A727 &lt;ASSUMPTIONS!$D$2,"25",A727 &lt;= ASSUMPTIONS!$D$3,"25-34",A727 &lt;= ASSUMPTIONS!$D$4, "35-44",A727 &lt;= ASSUMPTIONS!$D$5,"45-54",TRUE,"55+")</f>
        <v>35-44</v>
      </c>
      <c r="P727" t="str" cm="1">
        <f t="array" ref="P727">_xlfn.IFS( J727 &lt;ASSUMPTIONS!$D$7,"LOW",J727 &lt;= ASSUMPTIONS!$D$8,"MEDIUM",TRUE, "HIGH")</f>
        <v>MEDIUM</v>
      </c>
      <c r="Q727" t="str">
        <f>IF(M727&lt;ASSUMPTIONS!$D$10,"New (0-2)",IF(M727&lt;=ASSUMPTIONS!$D$11,"Early (2-5)",IF(M727&lt;=ASSUMPTIONS!$D$12,"Established (5-10)","Veteran (10+)")))</f>
        <v>Early (2-5)</v>
      </c>
      <c r="R727" s="4">
        <f t="shared" si="23"/>
        <v>2</v>
      </c>
    </row>
    <row r="728" spans="1:18">
      <c r="A728">
        <f>RAW_DATA!A728</f>
        <v>31</v>
      </c>
      <c r="B728" t="str">
        <f>RAW_DATA!B728</f>
        <v>No</v>
      </c>
      <c r="C728" t="str">
        <f>RAW_DATA!C728</f>
        <v>Research &amp; Development</v>
      </c>
      <c r="D728">
        <f>RAW_DATA!D728</f>
        <v>1</v>
      </c>
      <c r="E728">
        <f>RAW_DATA!E728</f>
        <v>1</v>
      </c>
      <c r="F728" t="str">
        <f>RAW_DATA!F728</f>
        <v>Life Sciences</v>
      </c>
      <c r="G728">
        <f>RAW_DATA!G728</f>
        <v>3</v>
      </c>
      <c r="H728">
        <f>RAW_DATA!H728</f>
        <v>1</v>
      </c>
      <c r="I728" t="str">
        <f>RAW_DATA!I728</f>
        <v>Married</v>
      </c>
      <c r="J728">
        <f>RAW_DATA!J728</f>
        <v>4148</v>
      </c>
      <c r="K728">
        <f>RAW_DATA!K728</f>
        <v>1</v>
      </c>
      <c r="L728">
        <f>RAW_DATA!L728</f>
        <v>3</v>
      </c>
      <c r="M728">
        <f>RAW_DATA!M728</f>
        <v>4</v>
      </c>
      <c r="N728">
        <f t="shared" si="22"/>
        <v>0</v>
      </c>
      <c r="O728" t="str" cm="1">
        <f t="array" ref="O728" xml:space="preserve"> _xlfn.IFS(A728 &lt;ASSUMPTIONS!$D$2,"25",A728 &lt;= ASSUMPTIONS!$D$3,"25-34",A728 &lt;= ASSUMPTIONS!$D$4, "35-44",A728 &lt;= ASSUMPTIONS!$D$5,"45-54",TRUE,"55+")</f>
        <v>25-34</v>
      </c>
      <c r="P728" t="str" cm="1">
        <f t="array" ref="P728">_xlfn.IFS( J728 &lt;ASSUMPTIONS!$D$7,"LOW",J728 &lt;= ASSUMPTIONS!$D$8,"MEDIUM",TRUE, "HIGH")</f>
        <v>MEDIUM</v>
      </c>
      <c r="Q728" t="str">
        <f>IF(M728&lt;ASSUMPTIONS!$D$10,"New (0-2)",IF(M728&lt;=ASSUMPTIONS!$D$11,"Early (2-5)",IF(M728&lt;=ASSUMPTIONS!$D$12,"Established (5-10)","Veteran (10+)")))</f>
        <v>Early (2-5)</v>
      </c>
      <c r="R728" s="4">
        <f t="shared" si="23"/>
        <v>2.3333333333333335</v>
      </c>
    </row>
    <row r="729" spans="1:18">
      <c r="A729">
        <f>RAW_DATA!A729</f>
        <v>18</v>
      </c>
      <c r="B729" t="str">
        <f>RAW_DATA!B729</f>
        <v>No</v>
      </c>
      <c r="C729" t="str">
        <f>RAW_DATA!C729</f>
        <v>Research &amp; Development</v>
      </c>
      <c r="D729">
        <f>RAW_DATA!D729</f>
        <v>5</v>
      </c>
      <c r="E729">
        <f>RAW_DATA!E729</f>
        <v>2</v>
      </c>
      <c r="F729" t="str">
        <f>RAW_DATA!F729</f>
        <v>Life Sciences</v>
      </c>
      <c r="G729">
        <f>RAW_DATA!G729</f>
        <v>2</v>
      </c>
      <c r="H729">
        <f>RAW_DATA!H729</f>
        <v>4</v>
      </c>
      <c r="I729" t="str">
        <f>RAW_DATA!I729</f>
        <v>Single</v>
      </c>
      <c r="J729">
        <f>RAW_DATA!J729</f>
        <v>1051</v>
      </c>
      <c r="K729">
        <f>RAW_DATA!K729</f>
        <v>1</v>
      </c>
      <c r="L729">
        <f>RAW_DATA!L729</f>
        <v>3</v>
      </c>
      <c r="M729">
        <f>RAW_DATA!M729</f>
        <v>0</v>
      </c>
      <c r="N729">
        <f t="shared" si="22"/>
        <v>0</v>
      </c>
      <c r="O729" t="str" cm="1">
        <f t="array" ref="O729" xml:space="preserve"> _xlfn.IFS(A729 &lt;ASSUMPTIONS!$D$2,"25",A729 &lt;= ASSUMPTIONS!$D$3,"25-34",A729 &lt;= ASSUMPTIONS!$D$4, "35-44",A729 &lt;= ASSUMPTIONS!$D$5,"45-54",TRUE,"55+")</f>
        <v>25</v>
      </c>
      <c r="P729" t="str" cm="1">
        <f t="array" ref="P729">_xlfn.IFS( J729 &lt;ASSUMPTIONS!$D$7,"LOW",J729 &lt;= ASSUMPTIONS!$D$8,"MEDIUM",TRUE, "HIGH")</f>
        <v>LOW</v>
      </c>
      <c r="Q729" t="str">
        <f>IF(M729&lt;ASSUMPTIONS!$D$10,"New (0-2)",IF(M729&lt;=ASSUMPTIONS!$D$11,"Early (2-5)",IF(M729&lt;=ASSUMPTIONS!$D$12,"Established (5-10)","Veteran (10+)")))</f>
        <v>New (0-2)</v>
      </c>
      <c r="R729" s="4">
        <f t="shared" si="23"/>
        <v>3</v>
      </c>
    </row>
    <row r="730" spans="1:18">
      <c r="A730">
        <f>RAW_DATA!A730</f>
        <v>54</v>
      </c>
      <c r="B730" t="str">
        <f>RAW_DATA!B730</f>
        <v>No</v>
      </c>
      <c r="C730" t="str">
        <f>RAW_DATA!C730</f>
        <v>Research &amp; Development</v>
      </c>
      <c r="D730">
        <f>RAW_DATA!D730</f>
        <v>17</v>
      </c>
      <c r="E730">
        <f>RAW_DATA!E730</f>
        <v>3</v>
      </c>
      <c r="F730" t="str">
        <f>RAW_DATA!F730</f>
        <v>Technical Degree</v>
      </c>
      <c r="G730">
        <f>RAW_DATA!G730</f>
        <v>3</v>
      </c>
      <c r="H730">
        <f>RAW_DATA!H730</f>
        <v>3</v>
      </c>
      <c r="I730" t="str">
        <f>RAW_DATA!I730</f>
        <v>Married</v>
      </c>
      <c r="J730">
        <f>RAW_DATA!J730</f>
        <v>10739</v>
      </c>
      <c r="K730">
        <f>RAW_DATA!K730</f>
        <v>8</v>
      </c>
      <c r="L730">
        <f>RAW_DATA!L730</f>
        <v>3</v>
      </c>
      <c r="M730">
        <f>RAW_DATA!M730</f>
        <v>10</v>
      </c>
      <c r="N730">
        <f t="shared" si="22"/>
        <v>0</v>
      </c>
      <c r="O730" t="str" cm="1">
        <f t="array" ref="O730" xml:space="preserve"> _xlfn.IFS(A730 &lt;ASSUMPTIONS!$D$2,"25",A730 &lt;= ASSUMPTIONS!$D$3,"25-34",A730 &lt;= ASSUMPTIONS!$D$4, "35-44",A730 &lt;= ASSUMPTIONS!$D$5,"45-54",TRUE,"55+")</f>
        <v>45-54</v>
      </c>
      <c r="P730" t="str" cm="1">
        <f t="array" ref="P730">_xlfn.IFS( J730 &lt;ASSUMPTIONS!$D$7,"LOW",J730 &lt;= ASSUMPTIONS!$D$8,"MEDIUM",TRUE, "HIGH")</f>
        <v>HIGH</v>
      </c>
      <c r="Q730" t="str">
        <f>IF(M730&lt;ASSUMPTIONS!$D$10,"New (0-2)",IF(M730&lt;=ASSUMPTIONS!$D$11,"Early (2-5)",IF(M730&lt;=ASSUMPTIONS!$D$12,"Established (5-10)","Veteran (10+)")))</f>
        <v>Established (5-10)</v>
      </c>
      <c r="R730" s="4">
        <f t="shared" si="23"/>
        <v>3</v>
      </c>
    </row>
    <row r="731" spans="1:18">
      <c r="A731">
        <f>RAW_DATA!A731</f>
        <v>35</v>
      </c>
      <c r="B731" t="str">
        <f>RAW_DATA!B731</f>
        <v>No</v>
      </c>
      <c r="C731" t="str">
        <f>RAW_DATA!C731</f>
        <v>Research &amp; Development</v>
      </c>
      <c r="D731">
        <f>RAW_DATA!D731</f>
        <v>25</v>
      </c>
      <c r="E731">
        <f>RAW_DATA!E731</f>
        <v>4</v>
      </c>
      <c r="F731" t="str">
        <f>RAW_DATA!F731</f>
        <v>Medical</v>
      </c>
      <c r="G731">
        <f>RAW_DATA!G731</f>
        <v>3</v>
      </c>
      <c r="H731">
        <f>RAW_DATA!H731</f>
        <v>3</v>
      </c>
      <c r="I731" t="str">
        <f>RAW_DATA!I731</f>
        <v>Divorced</v>
      </c>
      <c r="J731">
        <f>RAW_DATA!J731</f>
        <v>10388</v>
      </c>
      <c r="K731">
        <f>RAW_DATA!K731</f>
        <v>1</v>
      </c>
      <c r="L731">
        <f>RAW_DATA!L731</f>
        <v>2</v>
      </c>
      <c r="M731">
        <f>RAW_DATA!M731</f>
        <v>16</v>
      </c>
      <c r="N731">
        <f t="shared" si="22"/>
        <v>0</v>
      </c>
      <c r="O731" t="str" cm="1">
        <f t="array" ref="O731" xml:space="preserve"> _xlfn.IFS(A731 &lt;ASSUMPTIONS!$D$2,"25",A731 &lt;= ASSUMPTIONS!$D$3,"25-34",A731 &lt;= ASSUMPTIONS!$D$4, "35-44",A731 &lt;= ASSUMPTIONS!$D$5,"45-54",TRUE,"55+")</f>
        <v>35-44</v>
      </c>
      <c r="P731" t="str" cm="1">
        <f t="array" ref="P731">_xlfn.IFS( J731 &lt;ASSUMPTIONS!$D$7,"LOW",J731 &lt;= ASSUMPTIONS!$D$8,"MEDIUM",TRUE, "HIGH")</f>
        <v>HIGH</v>
      </c>
      <c r="Q731" t="str">
        <f>IF(M731&lt;ASSUMPTIONS!$D$10,"New (0-2)",IF(M731&lt;=ASSUMPTIONS!$D$11,"Early (2-5)",IF(M731&lt;=ASSUMPTIONS!$D$12,"Established (5-10)","Veteran (10+)")))</f>
        <v>Veteran (10+)</v>
      </c>
      <c r="R731" s="4">
        <f t="shared" si="23"/>
        <v>2.6666666666666665</v>
      </c>
    </row>
    <row r="732" spans="1:18">
      <c r="A732">
        <f>RAW_DATA!A732</f>
        <v>30</v>
      </c>
      <c r="B732" t="str">
        <f>RAW_DATA!B732</f>
        <v>No</v>
      </c>
      <c r="C732" t="str">
        <f>RAW_DATA!C732</f>
        <v>Research &amp; Development</v>
      </c>
      <c r="D732">
        <f>RAW_DATA!D732</f>
        <v>8</v>
      </c>
      <c r="E732">
        <f>RAW_DATA!E732</f>
        <v>2</v>
      </c>
      <c r="F732" t="str">
        <f>RAW_DATA!F732</f>
        <v>Life Sciences</v>
      </c>
      <c r="G732">
        <f>RAW_DATA!G732</f>
        <v>2</v>
      </c>
      <c r="H732">
        <f>RAW_DATA!H732</f>
        <v>1</v>
      </c>
      <c r="I732" t="str">
        <f>RAW_DATA!I732</f>
        <v>Married</v>
      </c>
      <c r="J732">
        <f>RAW_DATA!J732</f>
        <v>11416</v>
      </c>
      <c r="K732">
        <f>RAW_DATA!K732</f>
        <v>0</v>
      </c>
      <c r="L732">
        <f>RAW_DATA!L732</f>
        <v>2</v>
      </c>
      <c r="M732">
        <f>RAW_DATA!M732</f>
        <v>8</v>
      </c>
      <c r="N732">
        <f t="shared" si="22"/>
        <v>0</v>
      </c>
      <c r="O732" t="str" cm="1">
        <f t="array" ref="O732" xml:space="preserve"> _xlfn.IFS(A732 &lt;ASSUMPTIONS!$D$2,"25",A732 &lt;= ASSUMPTIONS!$D$3,"25-34",A732 &lt;= ASSUMPTIONS!$D$4, "35-44",A732 &lt;= ASSUMPTIONS!$D$5,"45-54",TRUE,"55+")</f>
        <v>25-34</v>
      </c>
      <c r="P732" t="str" cm="1">
        <f t="array" ref="P732">_xlfn.IFS( J732 &lt;ASSUMPTIONS!$D$7,"LOW",J732 &lt;= ASSUMPTIONS!$D$8,"MEDIUM",TRUE, "HIGH")</f>
        <v>HIGH</v>
      </c>
      <c r="Q732" t="str">
        <f>IF(M732&lt;ASSUMPTIONS!$D$10,"New (0-2)",IF(M732&lt;=ASSUMPTIONS!$D$11,"Early (2-5)",IF(M732&lt;=ASSUMPTIONS!$D$12,"Established (5-10)","Veteran (10+)")))</f>
        <v>Established (5-10)</v>
      </c>
      <c r="R732" s="4">
        <f t="shared" si="23"/>
        <v>1.6666666666666667</v>
      </c>
    </row>
    <row r="733" spans="1:18">
      <c r="A733">
        <f>RAW_DATA!A733</f>
        <v>20</v>
      </c>
      <c r="B733" t="str">
        <f>RAW_DATA!B733</f>
        <v>Yes</v>
      </c>
      <c r="C733" t="str">
        <f>RAW_DATA!C733</f>
        <v>Research &amp; Development</v>
      </c>
      <c r="D733">
        <f>RAW_DATA!D733</f>
        <v>11</v>
      </c>
      <c r="E733">
        <f>RAW_DATA!E733</f>
        <v>3</v>
      </c>
      <c r="F733" t="str">
        <f>RAW_DATA!F733</f>
        <v>Medical</v>
      </c>
      <c r="G733">
        <f>RAW_DATA!G733</f>
        <v>4</v>
      </c>
      <c r="H733">
        <f>RAW_DATA!H733</f>
        <v>1</v>
      </c>
      <c r="I733" t="str">
        <f>RAW_DATA!I733</f>
        <v>Single</v>
      </c>
      <c r="J733">
        <f>RAW_DATA!J733</f>
        <v>2600</v>
      </c>
      <c r="K733">
        <f>RAW_DATA!K733</f>
        <v>1</v>
      </c>
      <c r="L733">
        <f>RAW_DATA!L733</f>
        <v>3</v>
      </c>
      <c r="M733">
        <f>RAW_DATA!M733</f>
        <v>1</v>
      </c>
      <c r="N733">
        <f t="shared" si="22"/>
        <v>1</v>
      </c>
      <c r="O733" t="str" cm="1">
        <f t="array" ref="O733" xml:space="preserve"> _xlfn.IFS(A733 &lt;ASSUMPTIONS!$D$2,"25",A733 &lt;= ASSUMPTIONS!$D$3,"25-34",A733 &lt;= ASSUMPTIONS!$D$4, "35-44",A733 &lt;= ASSUMPTIONS!$D$5,"45-54",TRUE,"55+")</f>
        <v>25</v>
      </c>
      <c r="P733" t="str" cm="1">
        <f t="array" ref="P733">_xlfn.IFS( J733 &lt;ASSUMPTIONS!$D$7,"LOW",J733 &lt;= ASSUMPTIONS!$D$8,"MEDIUM",TRUE, "HIGH")</f>
        <v>LOW</v>
      </c>
      <c r="Q733" t="str">
        <f>IF(M733&lt;ASSUMPTIONS!$D$10,"New (0-2)",IF(M733&lt;=ASSUMPTIONS!$D$11,"Early (2-5)",IF(M733&lt;=ASSUMPTIONS!$D$12,"Established (5-10)","Veteran (10+)")))</f>
        <v>New (0-2)</v>
      </c>
      <c r="R733" s="4">
        <f t="shared" si="23"/>
        <v>2.6666666666666665</v>
      </c>
    </row>
    <row r="734" spans="1:18">
      <c r="A734">
        <f>RAW_DATA!A734</f>
        <v>30</v>
      </c>
      <c r="B734" t="str">
        <f>RAW_DATA!B734</f>
        <v>Yes</v>
      </c>
      <c r="C734" t="str">
        <f>RAW_DATA!C734</f>
        <v>Research &amp; Development</v>
      </c>
      <c r="D734">
        <f>RAW_DATA!D734</f>
        <v>5</v>
      </c>
      <c r="E734">
        <f>RAW_DATA!E734</f>
        <v>3</v>
      </c>
      <c r="F734" t="str">
        <f>RAW_DATA!F734</f>
        <v>Medical</v>
      </c>
      <c r="G734">
        <f>RAW_DATA!G734</f>
        <v>2</v>
      </c>
      <c r="H734">
        <f>RAW_DATA!H734</f>
        <v>2</v>
      </c>
      <c r="I734" t="str">
        <f>RAW_DATA!I734</f>
        <v>Single</v>
      </c>
      <c r="J734">
        <f>RAW_DATA!J734</f>
        <v>2422</v>
      </c>
      <c r="K734">
        <f>RAW_DATA!K734</f>
        <v>0</v>
      </c>
      <c r="L734">
        <f>RAW_DATA!L734</f>
        <v>3</v>
      </c>
      <c r="M734">
        <f>RAW_DATA!M734</f>
        <v>3</v>
      </c>
      <c r="N734">
        <f t="shared" si="22"/>
        <v>1</v>
      </c>
      <c r="O734" t="str" cm="1">
        <f t="array" ref="O734" xml:space="preserve"> _xlfn.IFS(A734 &lt;ASSUMPTIONS!$D$2,"25",A734 &lt;= ASSUMPTIONS!$D$3,"25-34",A734 &lt;= ASSUMPTIONS!$D$4, "35-44",A734 &lt;= ASSUMPTIONS!$D$5,"45-54",TRUE,"55+")</f>
        <v>25-34</v>
      </c>
      <c r="P734" t="str" cm="1">
        <f t="array" ref="P734">_xlfn.IFS( J734 &lt;ASSUMPTIONS!$D$7,"LOW",J734 &lt;= ASSUMPTIONS!$D$8,"MEDIUM",TRUE, "HIGH")</f>
        <v>LOW</v>
      </c>
      <c r="Q734" t="str">
        <f>IF(M734&lt;ASSUMPTIONS!$D$10,"New (0-2)",IF(M734&lt;=ASSUMPTIONS!$D$11,"Early (2-5)",IF(M734&lt;=ASSUMPTIONS!$D$12,"Established (5-10)","Veteran (10+)")))</f>
        <v>Early (2-5)</v>
      </c>
      <c r="R734" s="4">
        <f t="shared" si="23"/>
        <v>2.3333333333333335</v>
      </c>
    </row>
    <row r="735" spans="1:18">
      <c r="A735">
        <f>RAW_DATA!A735</f>
        <v>26</v>
      </c>
      <c r="B735" t="str">
        <f>RAW_DATA!B735</f>
        <v>No</v>
      </c>
      <c r="C735" t="str">
        <f>RAW_DATA!C735</f>
        <v>Research &amp; Development</v>
      </c>
      <c r="D735">
        <f>RAW_DATA!D735</f>
        <v>2</v>
      </c>
      <c r="E735">
        <f>RAW_DATA!E735</f>
        <v>2</v>
      </c>
      <c r="F735" t="str">
        <f>RAW_DATA!F735</f>
        <v>Medical</v>
      </c>
      <c r="G735">
        <f>RAW_DATA!G735</f>
        <v>4</v>
      </c>
      <c r="H735">
        <f>RAW_DATA!H735</f>
        <v>4</v>
      </c>
      <c r="I735" t="str">
        <f>RAW_DATA!I735</f>
        <v>Married</v>
      </c>
      <c r="J735">
        <f>RAW_DATA!J735</f>
        <v>5472</v>
      </c>
      <c r="K735">
        <f>RAW_DATA!K735</f>
        <v>1</v>
      </c>
      <c r="L735">
        <f>RAW_DATA!L735</f>
        <v>3</v>
      </c>
      <c r="M735">
        <f>RAW_DATA!M735</f>
        <v>8</v>
      </c>
      <c r="N735">
        <f t="shared" si="22"/>
        <v>0</v>
      </c>
      <c r="O735" t="str" cm="1">
        <f t="array" ref="O735" xml:space="preserve"> _xlfn.IFS(A735 &lt;ASSUMPTIONS!$D$2,"25",A735 &lt;= ASSUMPTIONS!$D$3,"25-34",A735 &lt;= ASSUMPTIONS!$D$4, "35-44",A735 &lt;= ASSUMPTIONS!$D$5,"45-54",TRUE,"55+")</f>
        <v>25-34</v>
      </c>
      <c r="P735" t="str" cm="1">
        <f t="array" ref="P735">_xlfn.IFS( J735 &lt;ASSUMPTIONS!$D$7,"LOW",J735 &lt;= ASSUMPTIONS!$D$8,"MEDIUM",TRUE, "HIGH")</f>
        <v>MEDIUM</v>
      </c>
      <c r="Q735" t="str">
        <f>IF(M735&lt;ASSUMPTIONS!$D$10,"New (0-2)",IF(M735&lt;=ASSUMPTIONS!$D$11,"Early (2-5)",IF(M735&lt;=ASSUMPTIONS!$D$12,"Established (5-10)","Veteran (10+)")))</f>
        <v>Established (5-10)</v>
      </c>
      <c r="R735" s="4">
        <f t="shared" si="23"/>
        <v>3.6666666666666665</v>
      </c>
    </row>
    <row r="736" spans="1:18">
      <c r="A736">
        <f>RAW_DATA!A736</f>
        <v>22</v>
      </c>
      <c r="B736" t="str">
        <f>RAW_DATA!B736</f>
        <v>No</v>
      </c>
      <c r="C736" t="str">
        <f>RAW_DATA!C736</f>
        <v>Research &amp; Development</v>
      </c>
      <c r="D736">
        <f>RAW_DATA!D736</f>
        <v>8</v>
      </c>
      <c r="E736">
        <f>RAW_DATA!E736</f>
        <v>1</v>
      </c>
      <c r="F736" t="str">
        <f>RAW_DATA!F736</f>
        <v>Life Sciences</v>
      </c>
      <c r="G736">
        <f>RAW_DATA!G736</f>
        <v>2</v>
      </c>
      <c r="H736">
        <f>RAW_DATA!H736</f>
        <v>1</v>
      </c>
      <c r="I736" t="str">
        <f>RAW_DATA!I736</f>
        <v>Married</v>
      </c>
      <c r="J736">
        <f>RAW_DATA!J736</f>
        <v>2451</v>
      </c>
      <c r="K736">
        <f>RAW_DATA!K736</f>
        <v>1</v>
      </c>
      <c r="L736">
        <f>RAW_DATA!L736</f>
        <v>2</v>
      </c>
      <c r="M736">
        <f>RAW_DATA!M736</f>
        <v>4</v>
      </c>
      <c r="N736">
        <f t="shared" si="22"/>
        <v>0</v>
      </c>
      <c r="O736" t="str" cm="1">
        <f t="array" ref="O736" xml:space="preserve"> _xlfn.IFS(A736 &lt;ASSUMPTIONS!$D$2,"25",A736 &lt;= ASSUMPTIONS!$D$3,"25-34",A736 &lt;= ASSUMPTIONS!$D$4, "35-44",A736 &lt;= ASSUMPTIONS!$D$5,"45-54",TRUE,"55+")</f>
        <v>25</v>
      </c>
      <c r="P736" t="str" cm="1">
        <f t="array" ref="P736">_xlfn.IFS( J736 &lt;ASSUMPTIONS!$D$7,"LOW",J736 &lt;= ASSUMPTIONS!$D$8,"MEDIUM",TRUE, "HIGH")</f>
        <v>LOW</v>
      </c>
      <c r="Q736" t="str">
        <f>IF(M736&lt;ASSUMPTIONS!$D$10,"New (0-2)",IF(M736&lt;=ASSUMPTIONS!$D$11,"Early (2-5)",IF(M736&lt;=ASSUMPTIONS!$D$12,"Established (5-10)","Veteran (10+)")))</f>
        <v>Early (2-5)</v>
      </c>
      <c r="R736" s="4">
        <f t="shared" si="23"/>
        <v>1.6666666666666667</v>
      </c>
    </row>
    <row r="737" spans="1:18">
      <c r="A737">
        <f>RAW_DATA!A737</f>
        <v>48</v>
      </c>
      <c r="B737" t="str">
        <f>RAW_DATA!B737</f>
        <v>No</v>
      </c>
      <c r="C737" t="str">
        <f>RAW_DATA!C737</f>
        <v>Research &amp; Development</v>
      </c>
      <c r="D737">
        <f>RAW_DATA!D737</f>
        <v>6</v>
      </c>
      <c r="E737">
        <f>RAW_DATA!E737</f>
        <v>3</v>
      </c>
      <c r="F737" t="str">
        <f>RAW_DATA!F737</f>
        <v>Life Sciences</v>
      </c>
      <c r="G737">
        <f>RAW_DATA!G737</f>
        <v>1</v>
      </c>
      <c r="H737">
        <f>RAW_DATA!H737</f>
        <v>3</v>
      </c>
      <c r="I737" t="str">
        <f>RAW_DATA!I737</f>
        <v>Single</v>
      </c>
      <c r="J737">
        <f>RAW_DATA!J737</f>
        <v>4240</v>
      </c>
      <c r="K737">
        <f>RAW_DATA!K737</f>
        <v>2</v>
      </c>
      <c r="L737">
        <f>RAW_DATA!L737</f>
        <v>3</v>
      </c>
      <c r="M737">
        <f>RAW_DATA!M737</f>
        <v>2</v>
      </c>
      <c r="N737">
        <f t="shared" si="22"/>
        <v>0</v>
      </c>
      <c r="O737" t="str" cm="1">
        <f t="array" ref="O737" xml:space="preserve"> _xlfn.IFS(A737 &lt;ASSUMPTIONS!$D$2,"25",A737 &lt;= ASSUMPTIONS!$D$3,"25-34",A737 &lt;= ASSUMPTIONS!$D$4, "35-44",A737 &lt;= ASSUMPTIONS!$D$5,"45-54",TRUE,"55+")</f>
        <v>45-54</v>
      </c>
      <c r="P737" t="str" cm="1">
        <f t="array" ref="P737">_xlfn.IFS( J737 &lt;ASSUMPTIONS!$D$7,"LOW",J737 &lt;= ASSUMPTIONS!$D$8,"MEDIUM",TRUE, "HIGH")</f>
        <v>MEDIUM</v>
      </c>
      <c r="Q737" t="str">
        <f>IF(M737&lt;ASSUMPTIONS!$D$10,"New (0-2)",IF(M737&lt;=ASSUMPTIONS!$D$11,"Early (2-5)",IF(M737&lt;=ASSUMPTIONS!$D$12,"Established (5-10)","Veteran (10+)")))</f>
        <v>Early (2-5)</v>
      </c>
      <c r="R737" s="4">
        <f t="shared" si="23"/>
        <v>2.3333333333333335</v>
      </c>
    </row>
    <row r="738" spans="1:18">
      <c r="A738">
        <f>RAW_DATA!A738</f>
        <v>48</v>
      </c>
      <c r="B738" t="str">
        <f>RAW_DATA!B738</f>
        <v>No</v>
      </c>
      <c r="C738" t="str">
        <f>RAW_DATA!C738</f>
        <v>Research &amp; Development</v>
      </c>
      <c r="D738">
        <f>RAW_DATA!D738</f>
        <v>4</v>
      </c>
      <c r="E738">
        <f>RAW_DATA!E738</f>
        <v>4</v>
      </c>
      <c r="F738" t="str">
        <f>RAW_DATA!F738</f>
        <v>Life Sciences</v>
      </c>
      <c r="G738">
        <f>RAW_DATA!G738</f>
        <v>3</v>
      </c>
      <c r="H738">
        <f>RAW_DATA!H738</f>
        <v>3</v>
      </c>
      <c r="I738" t="str">
        <f>RAW_DATA!I738</f>
        <v>Single</v>
      </c>
      <c r="J738">
        <f>RAW_DATA!J738</f>
        <v>10999</v>
      </c>
      <c r="K738">
        <f>RAW_DATA!K738</f>
        <v>7</v>
      </c>
      <c r="L738">
        <f>RAW_DATA!L738</f>
        <v>3</v>
      </c>
      <c r="M738">
        <f>RAW_DATA!M738</f>
        <v>15</v>
      </c>
      <c r="N738">
        <f t="shared" si="22"/>
        <v>0</v>
      </c>
      <c r="O738" t="str" cm="1">
        <f t="array" ref="O738" xml:space="preserve"> _xlfn.IFS(A738 &lt;ASSUMPTIONS!$D$2,"25",A738 &lt;= ASSUMPTIONS!$D$3,"25-34",A738 &lt;= ASSUMPTIONS!$D$4, "35-44",A738 &lt;= ASSUMPTIONS!$D$5,"45-54",TRUE,"55+")</f>
        <v>45-54</v>
      </c>
      <c r="P738" t="str" cm="1">
        <f t="array" ref="P738">_xlfn.IFS( J738 &lt;ASSUMPTIONS!$D$7,"LOW",J738 &lt;= ASSUMPTIONS!$D$8,"MEDIUM",TRUE, "HIGH")</f>
        <v>HIGH</v>
      </c>
      <c r="Q738" t="str">
        <f>IF(M738&lt;ASSUMPTIONS!$D$10,"New (0-2)",IF(M738&lt;=ASSUMPTIONS!$D$11,"Early (2-5)",IF(M738&lt;=ASSUMPTIONS!$D$12,"Established (5-10)","Veteran (10+)")))</f>
        <v>Veteran (10+)</v>
      </c>
      <c r="R738" s="4">
        <f t="shared" si="23"/>
        <v>3</v>
      </c>
    </row>
    <row r="739" spans="1:18">
      <c r="A739">
        <f>RAW_DATA!A739</f>
        <v>41</v>
      </c>
      <c r="B739" t="str">
        <f>RAW_DATA!B739</f>
        <v>No</v>
      </c>
      <c r="C739" t="str">
        <f>RAW_DATA!C739</f>
        <v>Research &amp; Development</v>
      </c>
      <c r="D739">
        <f>RAW_DATA!D739</f>
        <v>7</v>
      </c>
      <c r="E739">
        <f>RAW_DATA!E739</f>
        <v>2</v>
      </c>
      <c r="F739" t="str">
        <f>RAW_DATA!F739</f>
        <v>Medical</v>
      </c>
      <c r="G739">
        <f>RAW_DATA!G739</f>
        <v>4</v>
      </c>
      <c r="H739">
        <f>RAW_DATA!H739</f>
        <v>3</v>
      </c>
      <c r="I739" t="str">
        <f>RAW_DATA!I739</f>
        <v>Single</v>
      </c>
      <c r="J739">
        <f>RAW_DATA!J739</f>
        <v>5003</v>
      </c>
      <c r="K739">
        <f>RAW_DATA!K739</f>
        <v>6</v>
      </c>
      <c r="L739">
        <f>RAW_DATA!L739</f>
        <v>3</v>
      </c>
      <c r="M739">
        <f>RAW_DATA!M739</f>
        <v>2</v>
      </c>
      <c r="N739">
        <f t="shared" si="22"/>
        <v>0</v>
      </c>
      <c r="O739" t="str" cm="1">
        <f t="array" ref="O739" xml:space="preserve"> _xlfn.IFS(A739 &lt;ASSUMPTIONS!$D$2,"25",A739 &lt;= ASSUMPTIONS!$D$3,"25-34",A739 &lt;= ASSUMPTIONS!$D$4, "35-44",A739 &lt;= ASSUMPTIONS!$D$5,"45-54",TRUE,"55+")</f>
        <v>35-44</v>
      </c>
      <c r="P739" t="str" cm="1">
        <f t="array" ref="P739">_xlfn.IFS( J739 &lt;ASSUMPTIONS!$D$7,"LOW",J739 &lt;= ASSUMPTIONS!$D$8,"MEDIUM",TRUE, "HIGH")</f>
        <v>MEDIUM</v>
      </c>
      <c r="Q739" t="str">
        <f>IF(M739&lt;ASSUMPTIONS!$D$10,"New (0-2)",IF(M739&lt;=ASSUMPTIONS!$D$11,"Early (2-5)",IF(M739&lt;=ASSUMPTIONS!$D$12,"Established (5-10)","Veteran (10+)")))</f>
        <v>Early (2-5)</v>
      </c>
      <c r="R739" s="4">
        <f t="shared" si="23"/>
        <v>3.3333333333333335</v>
      </c>
    </row>
    <row r="740" spans="1:18">
      <c r="A740">
        <f>RAW_DATA!A740</f>
        <v>39</v>
      </c>
      <c r="B740" t="str">
        <f>RAW_DATA!B740</f>
        <v>No</v>
      </c>
      <c r="C740" t="str">
        <f>RAW_DATA!C740</f>
        <v>Research &amp; Development</v>
      </c>
      <c r="D740">
        <f>RAW_DATA!D740</f>
        <v>1</v>
      </c>
      <c r="E740">
        <f>RAW_DATA!E740</f>
        <v>1</v>
      </c>
      <c r="F740" t="str">
        <f>RAW_DATA!F740</f>
        <v>Life Sciences</v>
      </c>
      <c r="G740">
        <f>RAW_DATA!G740</f>
        <v>4</v>
      </c>
      <c r="H740">
        <f>RAW_DATA!H740</f>
        <v>4</v>
      </c>
      <c r="I740" t="str">
        <f>RAW_DATA!I740</f>
        <v>Married</v>
      </c>
      <c r="J740">
        <f>RAW_DATA!J740</f>
        <v>12742</v>
      </c>
      <c r="K740">
        <f>RAW_DATA!K740</f>
        <v>1</v>
      </c>
      <c r="L740">
        <f>RAW_DATA!L740</f>
        <v>3</v>
      </c>
      <c r="M740">
        <f>RAW_DATA!M740</f>
        <v>21</v>
      </c>
      <c r="N740">
        <f t="shared" si="22"/>
        <v>0</v>
      </c>
      <c r="O740" t="str" cm="1">
        <f t="array" ref="O740" xml:space="preserve"> _xlfn.IFS(A740 &lt;ASSUMPTIONS!$D$2,"25",A740 &lt;= ASSUMPTIONS!$D$3,"25-34",A740 &lt;= ASSUMPTIONS!$D$4, "35-44",A740 &lt;= ASSUMPTIONS!$D$5,"45-54",TRUE,"55+")</f>
        <v>35-44</v>
      </c>
      <c r="P740" t="str" cm="1">
        <f t="array" ref="P740">_xlfn.IFS( J740 &lt;ASSUMPTIONS!$D$7,"LOW",J740 &lt;= ASSUMPTIONS!$D$8,"MEDIUM",TRUE, "HIGH")</f>
        <v>HIGH</v>
      </c>
      <c r="Q740" t="str">
        <f>IF(M740&lt;ASSUMPTIONS!$D$10,"New (0-2)",IF(M740&lt;=ASSUMPTIONS!$D$11,"Early (2-5)",IF(M740&lt;=ASSUMPTIONS!$D$12,"Established (5-10)","Veteran (10+)")))</f>
        <v>Veteran (10+)</v>
      </c>
      <c r="R740" s="4">
        <f t="shared" si="23"/>
        <v>3.6666666666666665</v>
      </c>
    </row>
    <row r="741" spans="1:18">
      <c r="A741">
        <f>RAW_DATA!A741</f>
        <v>27</v>
      </c>
      <c r="B741" t="str">
        <f>RAW_DATA!B741</f>
        <v>No</v>
      </c>
      <c r="C741" t="str">
        <f>RAW_DATA!C741</f>
        <v>Research &amp; Development</v>
      </c>
      <c r="D741">
        <f>RAW_DATA!D741</f>
        <v>2</v>
      </c>
      <c r="E741">
        <f>RAW_DATA!E741</f>
        <v>4</v>
      </c>
      <c r="F741" t="str">
        <f>RAW_DATA!F741</f>
        <v>Life Sciences</v>
      </c>
      <c r="G741">
        <f>RAW_DATA!G741</f>
        <v>1</v>
      </c>
      <c r="H741">
        <f>RAW_DATA!H741</f>
        <v>4</v>
      </c>
      <c r="I741" t="str">
        <f>RAW_DATA!I741</f>
        <v>Married</v>
      </c>
      <c r="J741">
        <f>RAW_DATA!J741</f>
        <v>4227</v>
      </c>
      <c r="K741">
        <f>RAW_DATA!K741</f>
        <v>0</v>
      </c>
      <c r="L741">
        <f>RAW_DATA!L741</f>
        <v>3</v>
      </c>
      <c r="M741">
        <f>RAW_DATA!M741</f>
        <v>3</v>
      </c>
      <c r="N741">
        <f t="shared" si="22"/>
        <v>0</v>
      </c>
      <c r="O741" t="str" cm="1">
        <f t="array" ref="O741" xml:space="preserve"> _xlfn.IFS(A741 &lt;ASSUMPTIONS!$D$2,"25",A741 &lt;= ASSUMPTIONS!$D$3,"25-34",A741 &lt;= ASSUMPTIONS!$D$4, "35-44",A741 &lt;= ASSUMPTIONS!$D$5,"45-54",TRUE,"55+")</f>
        <v>25-34</v>
      </c>
      <c r="P741" t="str" cm="1">
        <f t="array" ref="P741">_xlfn.IFS( J741 &lt;ASSUMPTIONS!$D$7,"LOW",J741 &lt;= ASSUMPTIONS!$D$8,"MEDIUM",TRUE, "HIGH")</f>
        <v>MEDIUM</v>
      </c>
      <c r="Q741" t="str">
        <f>IF(M741&lt;ASSUMPTIONS!$D$10,"New (0-2)",IF(M741&lt;=ASSUMPTIONS!$D$11,"Early (2-5)",IF(M741&lt;=ASSUMPTIONS!$D$12,"Established (5-10)","Veteran (10+)")))</f>
        <v>Early (2-5)</v>
      </c>
      <c r="R741" s="4">
        <f t="shared" si="23"/>
        <v>2.6666666666666665</v>
      </c>
    </row>
    <row r="742" spans="1:18">
      <c r="A742">
        <f>RAW_DATA!A742</f>
        <v>35</v>
      </c>
      <c r="B742" t="str">
        <f>RAW_DATA!B742</f>
        <v>No</v>
      </c>
      <c r="C742" t="str">
        <f>RAW_DATA!C742</f>
        <v>Research &amp; Development</v>
      </c>
      <c r="D742">
        <f>RAW_DATA!D742</f>
        <v>10</v>
      </c>
      <c r="E742">
        <f>RAW_DATA!E742</f>
        <v>3</v>
      </c>
      <c r="F742" t="str">
        <f>RAW_DATA!F742</f>
        <v>Other</v>
      </c>
      <c r="G742">
        <f>RAW_DATA!G742</f>
        <v>2</v>
      </c>
      <c r="H742">
        <f>RAW_DATA!H742</f>
        <v>4</v>
      </c>
      <c r="I742" t="str">
        <f>RAW_DATA!I742</f>
        <v>Divorced</v>
      </c>
      <c r="J742">
        <f>RAW_DATA!J742</f>
        <v>3917</v>
      </c>
      <c r="K742">
        <f>RAW_DATA!K742</f>
        <v>1</v>
      </c>
      <c r="L742">
        <f>RAW_DATA!L742</f>
        <v>2</v>
      </c>
      <c r="M742">
        <f>RAW_DATA!M742</f>
        <v>3</v>
      </c>
      <c r="N742">
        <f t="shared" si="22"/>
        <v>0</v>
      </c>
      <c r="O742" t="str" cm="1">
        <f t="array" ref="O742" xml:space="preserve"> _xlfn.IFS(A742 &lt;ASSUMPTIONS!$D$2,"25",A742 &lt;= ASSUMPTIONS!$D$3,"25-34",A742 &lt;= ASSUMPTIONS!$D$4, "35-44",A742 &lt;= ASSUMPTIONS!$D$5,"45-54",TRUE,"55+")</f>
        <v>35-44</v>
      </c>
      <c r="P742" t="str" cm="1">
        <f t="array" ref="P742">_xlfn.IFS( J742 &lt;ASSUMPTIONS!$D$7,"LOW",J742 &lt;= ASSUMPTIONS!$D$8,"MEDIUM",TRUE, "HIGH")</f>
        <v>MEDIUM</v>
      </c>
      <c r="Q742" t="str">
        <f>IF(M742&lt;ASSUMPTIONS!$D$10,"New (0-2)",IF(M742&lt;=ASSUMPTIONS!$D$11,"Early (2-5)",IF(M742&lt;=ASSUMPTIONS!$D$12,"Established (5-10)","Veteran (10+)")))</f>
        <v>Early (2-5)</v>
      </c>
      <c r="R742" s="4">
        <f t="shared" si="23"/>
        <v>2.6666666666666665</v>
      </c>
    </row>
    <row r="743" spans="1:18">
      <c r="A743">
        <f>RAW_DATA!A743</f>
        <v>42</v>
      </c>
      <c r="B743" t="str">
        <f>RAW_DATA!B743</f>
        <v>No</v>
      </c>
      <c r="C743" t="str">
        <f>RAW_DATA!C743</f>
        <v>Sales</v>
      </c>
      <c r="D743">
        <f>RAW_DATA!D743</f>
        <v>5</v>
      </c>
      <c r="E743">
        <f>RAW_DATA!E743</f>
        <v>2</v>
      </c>
      <c r="F743" t="str">
        <f>RAW_DATA!F743</f>
        <v>Marketing</v>
      </c>
      <c r="G743">
        <f>RAW_DATA!G743</f>
        <v>4</v>
      </c>
      <c r="H743">
        <f>RAW_DATA!H743</f>
        <v>3</v>
      </c>
      <c r="I743" t="str">
        <f>RAW_DATA!I743</f>
        <v>Married</v>
      </c>
      <c r="J743">
        <f>RAW_DATA!J743</f>
        <v>18303</v>
      </c>
      <c r="K743">
        <f>RAW_DATA!K743</f>
        <v>6</v>
      </c>
      <c r="L743">
        <f>RAW_DATA!L743</f>
        <v>4</v>
      </c>
      <c r="M743">
        <f>RAW_DATA!M743</f>
        <v>1</v>
      </c>
      <c r="N743">
        <f t="shared" si="22"/>
        <v>0</v>
      </c>
      <c r="O743" t="str" cm="1">
        <f t="array" ref="O743" xml:space="preserve"> _xlfn.IFS(A743 &lt;ASSUMPTIONS!$D$2,"25",A743 &lt;= ASSUMPTIONS!$D$3,"25-34",A743 &lt;= ASSUMPTIONS!$D$4, "35-44",A743 &lt;= ASSUMPTIONS!$D$5,"45-54",TRUE,"55+")</f>
        <v>35-44</v>
      </c>
      <c r="P743" t="str" cm="1">
        <f t="array" ref="P743">_xlfn.IFS( J743 &lt;ASSUMPTIONS!$D$7,"LOW",J743 &lt;= ASSUMPTIONS!$D$8,"MEDIUM",TRUE, "HIGH")</f>
        <v>HIGH</v>
      </c>
      <c r="Q743" t="str">
        <f>IF(M743&lt;ASSUMPTIONS!$D$10,"New (0-2)",IF(M743&lt;=ASSUMPTIONS!$D$11,"Early (2-5)",IF(M743&lt;=ASSUMPTIONS!$D$12,"Established (5-10)","Veteran (10+)")))</f>
        <v>New (0-2)</v>
      </c>
      <c r="R743" s="4">
        <f t="shared" si="23"/>
        <v>3.6666666666666665</v>
      </c>
    </row>
    <row r="744" spans="1:18">
      <c r="A744">
        <f>RAW_DATA!A744</f>
        <v>50</v>
      </c>
      <c r="B744" t="str">
        <f>RAW_DATA!B744</f>
        <v>No</v>
      </c>
      <c r="C744" t="str">
        <f>RAW_DATA!C744</f>
        <v>Research &amp; Development</v>
      </c>
      <c r="D744">
        <f>RAW_DATA!D744</f>
        <v>9</v>
      </c>
      <c r="E744">
        <f>RAW_DATA!E744</f>
        <v>3</v>
      </c>
      <c r="F744" t="str">
        <f>RAW_DATA!F744</f>
        <v>Life Sciences</v>
      </c>
      <c r="G744">
        <f>RAW_DATA!G744</f>
        <v>1</v>
      </c>
      <c r="H744">
        <f>RAW_DATA!H744</f>
        <v>4</v>
      </c>
      <c r="I744" t="str">
        <f>RAW_DATA!I744</f>
        <v>Married</v>
      </c>
      <c r="J744">
        <f>RAW_DATA!J744</f>
        <v>2380</v>
      </c>
      <c r="K744">
        <f>RAW_DATA!K744</f>
        <v>4</v>
      </c>
      <c r="L744">
        <f>RAW_DATA!L744</f>
        <v>3</v>
      </c>
      <c r="M744">
        <f>RAW_DATA!M744</f>
        <v>1</v>
      </c>
      <c r="N744">
        <f t="shared" si="22"/>
        <v>0</v>
      </c>
      <c r="O744" t="str" cm="1">
        <f t="array" ref="O744" xml:space="preserve"> _xlfn.IFS(A744 &lt;ASSUMPTIONS!$D$2,"25",A744 &lt;= ASSUMPTIONS!$D$3,"25-34",A744 &lt;= ASSUMPTIONS!$D$4, "35-44",A744 &lt;= ASSUMPTIONS!$D$5,"45-54",TRUE,"55+")</f>
        <v>45-54</v>
      </c>
      <c r="P744" t="str" cm="1">
        <f t="array" ref="P744">_xlfn.IFS( J744 &lt;ASSUMPTIONS!$D$7,"LOW",J744 &lt;= ASSUMPTIONS!$D$8,"MEDIUM",TRUE, "HIGH")</f>
        <v>LOW</v>
      </c>
      <c r="Q744" t="str">
        <f>IF(M744&lt;ASSUMPTIONS!$D$10,"New (0-2)",IF(M744&lt;=ASSUMPTIONS!$D$11,"Early (2-5)",IF(M744&lt;=ASSUMPTIONS!$D$12,"Established (5-10)","Veteran (10+)")))</f>
        <v>New (0-2)</v>
      </c>
      <c r="R744" s="4">
        <f t="shared" si="23"/>
        <v>2.6666666666666665</v>
      </c>
    </row>
    <row r="745" spans="1:18">
      <c r="A745">
        <f>RAW_DATA!A745</f>
        <v>59</v>
      </c>
      <c r="B745" t="str">
        <f>RAW_DATA!B745</f>
        <v>No</v>
      </c>
      <c r="C745" t="str">
        <f>RAW_DATA!C745</f>
        <v>Research &amp; Development</v>
      </c>
      <c r="D745">
        <f>RAW_DATA!D745</f>
        <v>2</v>
      </c>
      <c r="E745">
        <f>RAW_DATA!E745</f>
        <v>3</v>
      </c>
      <c r="F745" t="str">
        <f>RAW_DATA!F745</f>
        <v>Life Sciences</v>
      </c>
      <c r="G745">
        <f>RAW_DATA!G745</f>
        <v>3</v>
      </c>
      <c r="H745">
        <f>RAW_DATA!H745</f>
        <v>4</v>
      </c>
      <c r="I745" t="str">
        <f>RAW_DATA!I745</f>
        <v>Single</v>
      </c>
      <c r="J745">
        <f>RAW_DATA!J745</f>
        <v>13726</v>
      </c>
      <c r="K745">
        <f>RAW_DATA!K745</f>
        <v>3</v>
      </c>
      <c r="L745">
        <f>RAW_DATA!L745</f>
        <v>3</v>
      </c>
      <c r="M745">
        <f>RAW_DATA!M745</f>
        <v>5</v>
      </c>
      <c r="N745">
        <f t="shared" si="22"/>
        <v>0</v>
      </c>
      <c r="O745" t="str" cm="1">
        <f t="array" ref="O745" xml:space="preserve"> _xlfn.IFS(A745 &lt;ASSUMPTIONS!$D$2,"25",A745 &lt;= ASSUMPTIONS!$D$3,"25-34",A745 &lt;= ASSUMPTIONS!$D$4, "35-44",A745 &lt;= ASSUMPTIONS!$D$5,"45-54",TRUE,"55+")</f>
        <v>55+</v>
      </c>
      <c r="P745" t="str" cm="1">
        <f t="array" ref="P745">_xlfn.IFS( J745 &lt;ASSUMPTIONS!$D$7,"LOW",J745 &lt;= ASSUMPTIONS!$D$8,"MEDIUM",TRUE, "HIGH")</f>
        <v>HIGH</v>
      </c>
      <c r="Q745" t="str">
        <f>IF(M745&lt;ASSUMPTIONS!$D$10,"New (0-2)",IF(M745&lt;=ASSUMPTIONS!$D$11,"Early (2-5)",IF(M745&lt;=ASSUMPTIONS!$D$12,"Established (5-10)","Veteran (10+)")))</f>
        <v>Early (2-5)</v>
      </c>
      <c r="R745" s="4">
        <f t="shared" si="23"/>
        <v>3.3333333333333335</v>
      </c>
    </row>
    <row r="746" spans="1:18">
      <c r="A746">
        <f>RAW_DATA!A746</f>
        <v>37</v>
      </c>
      <c r="B746" t="str">
        <f>RAW_DATA!B746</f>
        <v>Yes</v>
      </c>
      <c r="C746" t="str">
        <f>RAW_DATA!C746</f>
        <v>Research &amp; Development</v>
      </c>
      <c r="D746">
        <f>RAW_DATA!D746</f>
        <v>11</v>
      </c>
      <c r="E746">
        <f>RAW_DATA!E746</f>
        <v>2</v>
      </c>
      <c r="F746" t="str">
        <f>RAW_DATA!F746</f>
        <v>Medical</v>
      </c>
      <c r="G746">
        <f>RAW_DATA!G746</f>
        <v>1</v>
      </c>
      <c r="H746">
        <f>RAW_DATA!H746</f>
        <v>2</v>
      </c>
      <c r="I746" t="str">
        <f>RAW_DATA!I746</f>
        <v>Married</v>
      </c>
      <c r="J746">
        <f>RAW_DATA!J746</f>
        <v>4777</v>
      </c>
      <c r="K746">
        <f>RAW_DATA!K746</f>
        <v>5</v>
      </c>
      <c r="L746">
        <f>RAW_DATA!L746</f>
        <v>1</v>
      </c>
      <c r="M746">
        <f>RAW_DATA!M746</f>
        <v>1</v>
      </c>
      <c r="N746">
        <f t="shared" si="22"/>
        <v>1</v>
      </c>
      <c r="O746" t="str" cm="1">
        <f t="array" ref="O746" xml:space="preserve"> _xlfn.IFS(A746 &lt;ASSUMPTIONS!$D$2,"25",A746 &lt;= ASSUMPTIONS!$D$3,"25-34",A746 &lt;= ASSUMPTIONS!$D$4, "35-44",A746 &lt;= ASSUMPTIONS!$D$5,"45-54",TRUE,"55+")</f>
        <v>35-44</v>
      </c>
      <c r="P746" t="str" cm="1">
        <f t="array" ref="P746">_xlfn.IFS( J746 &lt;ASSUMPTIONS!$D$7,"LOW",J746 &lt;= ASSUMPTIONS!$D$8,"MEDIUM",TRUE, "HIGH")</f>
        <v>MEDIUM</v>
      </c>
      <c r="Q746" t="str">
        <f>IF(M746&lt;ASSUMPTIONS!$D$10,"New (0-2)",IF(M746&lt;=ASSUMPTIONS!$D$11,"Early (2-5)",IF(M746&lt;=ASSUMPTIONS!$D$12,"Established (5-10)","Veteran (10+)")))</f>
        <v>New (0-2)</v>
      </c>
      <c r="R746" s="4">
        <f t="shared" si="23"/>
        <v>1.3333333333333333</v>
      </c>
    </row>
    <row r="747" spans="1:18">
      <c r="A747">
        <f>RAW_DATA!A747</f>
        <v>55</v>
      </c>
      <c r="B747" t="str">
        <f>RAW_DATA!B747</f>
        <v>No</v>
      </c>
      <c r="C747" t="str">
        <f>RAW_DATA!C747</f>
        <v>Research &amp; Development</v>
      </c>
      <c r="D747">
        <f>RAW_DATA!D747</f>
        <v>18</v>
      </c>
      <c r="E747">
        <f>RAW_DATA!E747</f>
        <v>4</v>
      </c>
      <c r="F747" t="str">
        <f>RAW_DATA!F747</f>
        <v>Medical</v>
      </c>
      <c r="G747">
        <f>RAW_DATA!G747</f>
        <v>3</v>
      </c>
      <c r="H747">
        <f>RAW_DATA!H747</f>
        <v>2</v>
      </c>
      <c r="I747" t="str">
        <f>RAW_DATA!I747</f>
        <v>Married</v>
      </c>
      <c r="J747">
        <f>RAW_DATA!J747</f>
        <v>6385</v>
      </c>
      <c r="K747">
        <f>RAW_DATA!K747</f>
        <v>3</v>
      </c>
      <c r="L747">
        <f>RAW_DATA!L747</f>
        <v>3</v>
      </c>
      <c r="M747">
        <f>RAW_DATA!M747</f>
        <v>8</v>
      </c>
      <c r="N747">
        <f t="shared" si="22"/>
        <v>0</v>
      </c>
      <c r="O747" t="str" cm="1">
        <f t="array" ref="O747" xml:space="preserve"> _xlfn.IFS(A747 &lt;ASSUMPTIONS!$D$2,"25",A747 &lt;= ASSUMPTIONS!$D$3,"25-34",A747 &lt;= ASSUMPTIONS!$D$4, "35-44",A747 &lt;= ASSUMPTIONS!$D$5,"45-54",TRUE,"55+")</f>
        <v>55+</v>
      </c>
      <c r="P747" t="str" cm="1">
        <f t="array" ref="P747">_xlfn.IFS( J747 &lt;ASSUMPTIONS!$D$7,"LOW",J747 &lt;= ASSUMPTIONS!$D$8,"MEDIUM",TRUE, "HIGH")</f>
        <v>MEDIUM</v>
      </c>
      <c r="Q747" t="str">
        <f>IF(M747&lt;ASSUMPTIONS!$D$10,"New (0-2)",IF(M747&lt;=ASSUMPTIONS!$D$11,"Early (2-5)",IF(M747&lt;=ASSUMPTIONS!$D$12,"Established (5-10)","Veteran (10+)")))</f>
        <v>Established (5-10)</v>
      </c>
      <c r="R747" s="4">
        <f t="shared" si="23"/>
        <v>2.6666666666666665</v>
      </c>
    </row>
    <row r="748" spans="1:18">
      <c r="A748">
        <f>RAW_DATA!A748</f>
        <v>41</v>
      </c>
      <c r="B748" t="str">
        <f>RAW_DATA!B748</f>
        <v>No</v>
      </c>
      <c r="C748" t="str">
        <f>RAW_DATA!C748</f>
        <v>Research &amp; Development</v>
      </c>
      <c r="D748">
        <f>RAW_DATA!D748</f>
        <v>7</v>
      </c>
      <c r="E748">
        <f>RAW_DATA!E748</f>
        <v>1</v>
      </c>
      <c r="F748" t="str">
        <f>RAW_DATA!F748</f>
        <v>Life Sciences</v>
      </c>
      <c r="G748">
        <f>RAW_DATA!G748</f>
        <v>2</v>
      </c>
      <c r="H748">
        <f>RAW_DATA!H748</f>
        <v>3</v>
      </c>
      <c r="I748" t="str">
        <f>RAW_DATA!I748</f>
        <v>Divorced</v>
      </c>
      <c r="J748">
        <f>RAW_DATA!J748</f>
        <v>19973</v>
      </c>
      <c r="K748">
        <f>RAW_DATA!K748</f>
        <v>1</v>
      </c>
      <c r="L748">
        <f>RAW_DATA!L748</f>
        <v>3</v>
      </c>
      <c r="M748">
        <f>RAW_DATA!M748</f>
        <v>21</v>
      </c>
      <c r="N748">
        <f t="shared" si="22"/>
        <v>0</v>
      </c>
      <c r="O748" t="str" cm="1">
        <f t="array" ref="O748" xml:space="preserve"> _xlfn.IFS(A748 &lt;ASSUMPTIONS!$D$2,"25",A748 &lt;= ASSUMPTIONS!$D$3,"25-34",A748 &lt;= ASSUMPTIONS!$D$4, "35-44",A748 &lt;= ASSUMPTIONS!$D$5,"45-54",TRUE,"55+")</f>
        <v>35-44</v>
      </c>
      <c r="P748" t="str" cm="1">
        <f t="array" ref="P748">_xlfn.IFS( J748 &lt;ASSUMPTIONS!$D$7,"LOW",J748 &lt;= ASSUMPTIONS!$D$8,"MEDIUM",TRUE, "HIGH")</f>
        <v>HIGH</v>
      </c>
      <c r="Q748" t="str">
        <f>IF(M748&lt;ASSUMPTIONS!$D$10,"New (0-2)",IF(M748&lt;=ASSUMPTIONS!$D$11,"Early (2-5)",IF(M748&lt;=ASSUMPTIONS!$D$12,"Established (5-10)","Veteran (10+)")))</f>
        <v>Veteran (10+)</v>
      </c>
      <c r="R748" s="4">
        <f t="shared" si="23"/>
        <v>2.6666666666666665</v>
      </c>
    </row>
    <row r="749" spans="1:18">
      <c r="A749">
        <f>RAW_DATA!A749</f>
        <v>38</v>
      </c>
      <c r="B749" t="str">
        <f>RAW_DATA!B749</f>
        <v>No</v>
      </c>
      <c r="C749" t="str">
        <f>RAW_DATA!C749</f>
        <v>Sales</v>
      </c>
      <c r="D749">
        <f>RAW_DATA!D749</f>
        <v>3</v>
      </c>
      <c r="E749">
        <f>RAW_DATA!E749</f>
        <v>4</v>
      </c>
      <c r="F749" t="str">
        <f>RAW_DATA!F749</f>
        <v>Life Sciences</v>
      </c>
      <c r="G749">
        <f>RAW_DATA!G749</f>
        <v>2</v>
      </c>
      <c r="H749">
        <f>RAW_DATA!H749</f>
        <v>4</v>
      </c>
      <c r="I749" t="str">
        <f>RAW_DATA!I749</f>
        <v>Single</v>
      </c>
      <c r="J749">
        <f>RAW_DATA!J749</f>
        <v>6861</v>
      </c>
      <c r="K749">
        <f>RAW_DATA!K749</f>
        <v>8</v>
      </c>
      <c r="L749">
        <f>RAW_DATA!L749</f>
        <v>3</v>
      </c>
      <c r="M749">
        <f>RAW_DATA!M749</f>
        <v>1</v>
      </c>
      <c r="N749">
        <f t="shared" si="22"/>
        <v>0</v>
      </c>
      <c r="O749" t="str" cm="1">
        <f t="array" ref="O749" xml:space="preserve"> _xlfn.IFS(A749 &lt;ASSUMPTIONS!$D$2,"25",A749 &lt;= ASSUMPTIONS!$D$3,"25-34",A749 &lt;= ASSUMPTIONS!$D$4, "35-44",A749 &lt;= ASSUMPTIONS!$D$5,"45-54",TRUE,"55+")</f>
        <v>35-44</v>
      </c>
      <c r="P749" t="str" cm="1">
        <f t="array" ref="P749">_xlfn.IFS( J749 &lt;ASSUMPTIONS!$D$7,"LOW",J749 &lt;= ASSUMPTIONS!$D$8,"MEDIUM",TRUE, "HIGH")</f>
        <v>MEDIUM</v>
      </c>
      <c r="Q749" t="str">
        <f>IF(M749&lt;ASSUMPTIONS!$D$10,"New (0-2)",IF(M749&lt;=ASSUMPTIONS!$D$11,"Early (2-5)",IF(M749&lt;=ASSUMPTIONS!$D$12,"Established (5-10)","Veteran (10+)")))</f>
        <v>New (0-2)</v>
      </c>
      <c r="R749" s="4">
        <f t="shared" si="23"/>
        <v>3</v>
      </c>
    </row>
    <row r="750" spans="1:18">
      <c r="A750">
        <f>RAW_DATA!A750</f>
        <v>26</v>
      </c>
      <c r="B750" t="str">
        <f>RAW_DATA!B750</f>
        <v>Yes</v>
      </c>
      <c r="C750" t="str">
        <f>RAW_DATA!C750</f>
        <v>Sales</v>
      </c>
      <c r="D750">
        <f>RAW_DATA!D750</f>
        <v>29</v>
      </c>
      <c r="E750">
        <f>RAW_DATA!E750</f>
        <v>2</v>
      </c>
      <c r="F750" t="str">
        <f>RAW_DATA!F750</f>
        <v>Medical</v>
      </c>
      <c r="G750">
        <f>RAW_DATA!G750</f>
        <v>2</v>
      </c>
      <c r="H750">
        <f>RAW_DATA!H750</f>
        <v>1</v>
      </c>
      <c r="I750" t="str">
        <f>RAW_DATA!I750</f>
        <v>Single</v>
      </c>
      <c r="J750">
        <f>RAW_DATA!J750</f>
        <v>4969</v>
      </c>
      <c r="K750">
        <f>RAW_DATA!K750</f>
        <v>8</v>
      </c>
      <c r="L750">
        <f>RAW_DATA!L750</f>
        <v>3</v>
      </c>
      <c r="M750">
        <f>RAW_DATA!M750</f>
        <v>2</v>
      </c>
      <c r="N750">
        <f t="shared" si="22"/>
        <v>1</v>
      </c>
      <c r="O750" t="str" cm="1">
        <f t="array" ref="O750" xml:space="preserve"> _xlfn.IFS(A750 &lt;ASSUMPTIONS!$D$2,"25",A750 &lt;= ASSUMPTIONS!$D$3,"25-34",A750 &lt;= ASSUMPTIONS!$D$4, "35-44",A750 &lt;= ASSUMPTIONS!$D$5,"45-54",TRUE,"55+")</f>
        <v>25-34</v>
      </c>
      <c r="P750" t="str" cm="1">
        <f t="array" ref="P750">_xlfn.IFS( J750 &lt;ASSUMPTIONS!$D$7,"LOW",J750 &lt;= ASSUMPTIONS!$D$8,"MEDIUM",TRUE, "HIGH")</f>
        <v>MEDIUM</v>
      </c>
      <c r="Q750" t="str">
        <f>IF(M750&lt;ASSUMPTIONS!$D$10,"New (0-2)",IF(M750&lt;=ASSUMPTIONS!$D$11,"Early (2-5)",IF(M750&lt;=ASSUMPTIONS!$D$12,"Established (5-10)","Veteran (10+)")))</f>
        <v>Early (2-5)</v>
      </c>
      <c r="R750" s="4">
        <f t="shared" si="23"/>
        <v>2</v>
      </c>
    </row>
    <row r="751" spans="1:18">
      <c r="A751">
        <f>RAW_DATA!A751</f>
        <v>52</v>
      </c>
      <c r="B751" t="str">
        <f>RAW_DATA!B751</f>
        <v>Yes</v>
      </c>
      <c r="C751" t="str">
        <f>RAW_DATA!C751</f>
        <v>Sales</v>
      </c>
      <c r="D751">
        <f>RAW_DATA!D751</f>
        <v>2</v>
      </c>
      <c r="E751">
        <f>RAW_DATA!E751</f>
        <v>1</v>
      </c>
      <c r="F751" t="str">
        <f>RAW_DATA!F751</f>
        <v>Marketing</v>
      </c>
      <c r="G751">
        <f>RAW_DATA!G751</f>
        <v>1</v>
      </c>
      <c r="H751">
        <f>RAW_DATA!H751</f>
        <v>4</v>
      </c>
      <c r="I751" t="str">
        <f>RAW_DATA!I751</f>
        <v>Married</v>
      </c>
      <c r="J751">
        <f>RAW_DATA!J751</f>
        <v>19845</v>
      </c>
      <c r="K751">
        <f>RAW_DATA!K751</f>
        <v>1</v>
      </c>
      <c r="L751">
        <f>RAW_DATA!L751</f>
        <v>3</v>
      </c>
      <c r="M751">
        <f>RAW_DATA!M751</f>
        <v>32</v>
      </c>
      <c r="N751">
        <f t="shared" si="22"/>
        <v>1</v>
      </c>
      <c r="O751" t="str" cm="1">
        <f t="array" ref="O751" xml:space="preserve"> _xlfn.IFS(A751 &lt;ASSUMPTIONS!$D$2,"25",A751 &lt;= ASSUMPTIONS!$D$3,"25-34",A751 &lt;= ASSUMPTIONS!$D$4, "35-44",A751 &lt;= ASSUMPTIONS!$D$5,"45-54",TRUE,"55+")</f>
        <v>45-54</v>
      </c>
      <c r="P751" t="str" cm="1">
        <f t="array" ref="P751">_xlfn.IFS( J751 &lt;ASSUMPTIONS!$D$7,"LOW",J751 &lt;= ASSUMPTIONS!$D$8,"MEDIUM",TRUE, "HIGH")</f>
        <v>HIGH</v>
      </c>
      <c r="Q751" t="str">
        <f>IF(M751&lt;ASSUMPTIONS!$D$10,"New (0-2)",IF(M751&lt;=ASSUMPTIONS!$D$11,"Early (2-5)",IF(M751&lt;=ASSUMPTIONS!$D$12,"Established (5-10)","Veteran (10+)")))</f>
        <v>Veteran (10+)</v>
      </c>
      <c r="R751" s="4">
        <f t="shared" si="23"/>
        <v>2.6666666666666665</v>
      </c>
    </row>
    <row r="752" spans="1:18">
      <c r="A752">
        <f>RAW_DATA!A752</f>
        <v>44</v>
      </c>
      <c r="B752" t="str">
        <f>RAW_DATA!B752</f>
        <v>No</v>
      </c>
      <c r="C752" t="str">
        <f>RAW_DATA!C752</f>
        <v>Sales</v>
      </c>
      <c r="D752">
        <f>RAW_DATA!D752</f>
        <v>28</v>
      </c>
      <c r="E752">
        <f>RAW_DATA!E752</f>
        <v>3</v>
      </c>
      <c r="F752" t="str">
        <f>RAW_DATA!F752</f>
        <v>Medical</v>
      </c>
      <c r="G752">
        <f>RAW_DATA!G752</f>
        <v>4</v>
      </c>
      <c r="H752">
        <f>RAW_DATA!H752</f>
        <v>4</v>
      </c>
      <c r="I752" t="str">
        <f>RAW_DATA!I752</f>
        <v>Married</v>
      </c>
      <c r="J752">
        <f>RAW_DATA!J752</f>
        <v>13320</v>
      </c>
      <c r="K752">
        <f>RAW_DATA!K752</f>
        <v>3</v>
      </c>
      <c r="L752">
        <f>RAW_DATA!L752</f>
        <v>3</v>
      </c>
      <c r="M752">
        <f>RAW_DATA!M752</f>
        <v>12</v>
      </c>
      <c r="N752">
        <f t="shared" si="22"/>
        <v>0</v>
      </c>
      <c r="O752" t="str" cm="1">
        <f t="array" ref="O752" xml:space="preserve"> _xlfn.IFS(A752 &lt;ASSUMPTIONS!$D$2,"25",A752 &lt;= ASSUMPTIONS!$D$3,"25-34",A752 &lt;= ASSUMPTIONS!$D$4, "35-44",A752 &lt;= ASSUMPTIONS!$D$5,"45-54",TRUE,"55+")</f>
        <v>35-44</v>
      </c>
      <c r="P752" t="str" cm="1">
        <f t="array" ref="P752">_xlfn.IFS( J752 &lt;ASSUMPTIONS!$D$7,"LOW",J752 &lt;= ASSUMPTIONS!$D$8,"MEDIUM",TRUE, "HIGH")</f>
        <v>HIGH</v>
      </c>
      <c r="Q752" t="str">
        <f>IF(M752&lt;ASSUMPTIONS!$D$10,"New (0-2)",IF(M752&lt;=ASSUMPTIONS!$D$11,"Early (2-5)",IF(M752&lt;=ASSUMPTIONS!$D$12,"Established (5-10)","Veteran (10+)")))</f>
        <v>Veteran (10+)</v>
      </c>
      <c r="R752" s="4">
        <f t="shared" si="23"/>
        <v>3.6666666666666665</v>
      </c>
    </row>
    <row r="753" spans="1:18">
      <c r="A753">
        <f>RAW_DATA!A753</f>
        <v>50</v>
      </c>
      <c r="B753" t="str">
        <f>RAW_DATA!B753</f>
        <v>No</v>
      </c>
      <c r="C753" t="str">
        <f>RAW_DATA!C753</f>
        <v>Sales</v>
      </c>
      <c r="D753">
        <f>RAW_DATA!D753</f>
        <v>1</v>
      </c>
      <c r="E753">
        <f>RAW_DATA!E753</f>
        <v>3</v>
      </c>
      <c r="F753" t="str">
        <f>RAW_DATA!F753</f>
        <v>Life Sciences</v>
      </c>
      <c r="G753">
        <f>RAW_DATA!G753</f>
        <v>4</v>
      </c>
      <c r="H753">
        <f>RAW_DATA!H753</f>
        <v>3</v>
      </c>
      <c r="I753" t="str">
        <f>RAW_DATA!I753</f>
        <v>Married</v>
      </c>
      <c r="J753">
        <f>RAW_DATA!J753</f>
        <v>6347</v>
      </c>
      <c r="K753">
        <f>RAW_DATA!K753</f>
        <v>0</v>
      </c>
      <c r="L753">
        <f>RAW_DATA!L753</f>
        <v>3</v>
      </c>
      <c r="M753">
        <f>RAW_DATA!M753</f>
        <v>18</v>
      </c>
      <c r="N753">
        <f t="shared" si="22"/>
        <v>0</v>
      </c>
      <c r="O753" t="str" cm="1">
        <f t="array" ref="O753" xml:space="preserve"> _xlfn.IFS(A753 &lt;ASSUMPTIONS!$D$2,"25",A753 &lt;= ASSUMPTIONS!$D$3,"25-34",A753 &lt;= ASSUMPTIONS!$D$4, "35-44",A753 &lt;= ASSUMPTIONS!$D$5,"45-54",TRUE,"55+")</f>
        <v>45-54</v>
      </c>
      <c r="P753" t="str" cm="1">
        <f t="array" ref="P753">_xlfn.IFS( J753 &lt;ASSUMPTIONS!$D$7,"LOW",J753 &lt;= ASSUMPTIONS!$D$8,"MEDIUM",TRUE, "HIGH")</f>
        <v>MEDIUM</v>
      </c>
      <c r="Q753" t="str">
        <f>IF(M753&lt;ASSUMPTIONS!$D$10,"New (0-2)",IF(M753&lt;=ASSUMPTIONS!$D$11,"Early (2-5)",IF(M753&lt;=ASSUMPTIONS!$D$12,"Established (5-10)","Veteran (10+)")))</f>
        <v>Veteran (10+)</v>
      </c>
      <c r="R753" s="4">
        <f t="shared" si="23"/>
        <v>3.3333333333333335</v>
      </c>
    </row>
    <row r="754" spans="1:18">
      <c r="A754">
        <f>RAW_DATA!A754</f>
        <v>36</v>
      </c>
      <c r="B754" t="str">
        <f>RAW_DATA!B754</f>
        <v>Yes</v>
      </c>
      <c r="C754" t="str">
        <f>RAW_DATA!C754</f>
        <v>Research &amp; Development</v>
      </c>
      <c r="D754">
        <f>RAW_DATA!D754</f>
        <v>16</v>
      </c>
      <c r="E754">
        <f>RAW_DATA!E754</f>
        <v>4</v>
      </c>
      <c r="F754" t="str">
        <f>RAW_DATA!F754</f>
        <v>Life Sciences</v>
      </c>
      <c r="G754">
        <f>RAW_DATA!G754</f>
        <v>3</v>
      </c>
      <c r="H754">
        <f>RAW_DATA!H754</f>
        <v>1</v>
      </c>
      <c r="I754" t="str">
        <f>RAW_DATA!I754</f>
        <v>Single</v>
      </c>
      <c r="J754">
        <f>RAW_DATA!J754</f>
        <v>2743</v>
      </c>
      <c r="K754">
        <f>RAW_DATA!K754</f>
        <v>1</v>
      </c>
      <c r="L754">
        <f>RAW_DATA!L754</f>
        <v>3</v>
      </c>
      <c r="M754">
        <f>RAW_DATA!M754</f>
        <v>17</v>
      </c>
      <c r="N754">
        <f t="shared" si="22"/>
        <v>1</v>
      </c>
      <c r="O754" t="str" cm="1">
        <f t="array" ref="O754" xml:space="preserve"> _xlfn.IFS(A754 &lt;ASSUMPTIONS!$D$2,"25",A754 &lt;= ASSUMPTIONS!$D$3,"25-34",A754 &lt;= ASSUMPTIONS!$D$4, "35-44",A754 &lt;= ASSUMPTIONS!$D$5,"45-54",TRUE,"55+")</f>
        <v>35-44</v>
      </c>
      <c r="P754" t="str" cm="1">
        <f t="array" ref="P754">_xlfn.IFS( J754 &lt;ASSUMPTIONS!$D$7,"LOW",J754 &lt;= ASSUMPTIONS!$D$8,"MEDIUM",TRUE, "HIGH")</f>
        <v>LOW</v>
      </c>
      <c r="Q754" t="str">
        <f>IF(M754&lt;ASSUMPTIONS!$D$10,"New (0-2)",IF(M754&lt;=ASSUMPTIONS!$D$11,"Early (2-5)",IF(M754&lt;=ASSUMPTIONS!$D$12,"Established (5-10)","Veteran (10+)")))</f>
        <v>Veteran (10+)</v>
      </c>
      <c r="R754" s="4">
        <f t="shared" si="23"/>
        <v>2.3333333333333335</v>
      </c>
    </row>
    <row r="755" spans="1:18">
      <c r="A755">
        <f>RAW_DATA!A755</f>
        <v>39</v>
      </c>
      <c r="B755" t="str">
        <f>RAW_DATA!B755</f>
        <v>No</v>
      </c>
      <c r="C755" t="str">
        <f>RAW_DATA!C755</f>
        <v>Research &amp; Development</v>
      </c>
      <c r="D755">
        <f>RAW_DATA!D755</f>
        <v>22</v>
      </c>
      <c r="E755">
        <f>RAW_DATA!E755</f>
        <v>3</v>
      </c>
      <c r="F755" t="str">
        <f>RAW_DATA!F755</f>
        <v>Medical</v>
      </c>
      <c r="G755">
        <f>RAW_DATA!G755</f>
        <v>4</v>
      </c>
      <c r="H755">
        <f>RAW_DATA!H755</f>
        <v>1</v>
      </c>
      <c r="I755" t="str">
        <f>RAW_DATA!I755</f>
        <v>Single</v>
      </c>
      <c r="J755">
        <f>RAW_DATA!J755</f>
        <v>10880</v>
      </c>
      <c r="K755">
        <f>RAW_DATA!K755</f>
        <v>1</v>
      </c>
      <c r="L755">
        <f>RAW_DATA!L755</f>
        <v>3</v>
      </c>
      <c r="M755">
        <f>RAW_DATA!M755</f>
        <v>21</v>
      </c>
      <c r="N755">
        <f t="shared" si="22"/>
        <v>0</v>
      </c>
      <c r="O755" t="str" cm="1">
        <f t="array" ref="O755" xml:space="preserve"> _xlfn.IFS(A755 &lt;ASSUMPTIONS!$D$2,"25",A755 &lt;= ASSUMPTIONS!$D$3,"25-34",A755 &lt;= ASSUMPTIONS!$D$4, "35-44",A755 &lt;= ASSUMPTIONS!$D$5,"45-54",TRUE,"55+")</f>
        <v>35-44</v>
      </c>
      <c r="P755" t="str" cm="1">
        <f t="array" ref="P755">_xlfn.IFS( J755 &lt;ASSUMPTIONS!$D$7,"LOW",J755 &lt;= ASSUMPTIONS!$D$8,"MEDIUM",TRUE, "HIGH")</f>
        <v>HIGH</v>
      </c>
      <c r="Q755" t="str">
        <f>IF(M755&lt;ASSUMPTIONS!$D$10,"New (0-2)",IF(M755&lt;=ASSUMPTIONS!$D$11,"Early (2-5)",IF(M755&lt;=ASSUMPTIONS!$D$12,"Established (5-10)","Veteran (10+)")))</f>
        <v>Veteran (10+)</v>
      </c>
      <c r="R755" s="4">
        <f t="shared" si="23"/>
        <v>2.6666666666666665</v>
      </c>
    </row>
    <row r="756" spans="1:18">
      <c r="A756">
        <f>RAW_DATA!A756</f>
        <v>33</v>
      </c>
      <c r="B756" t="str">
        <f>RAW_DATA!B756</f>
        <v>No</v>
      </c>
      <c r="C756" t="str">
        <f>RAW_DATA!C756</f>
        <v>Sales</v>
      </c>
      <c r="D756">
        <f>RAW_DATA!D756</f>
        <v>8</v>
      </c>
      <c r="E756">
        <f>RAW_DATA!E756</f>
        <v>1</v>
      </c>
      <c r="F756" t="str">
        <f>RAW_DATA!F756</f>
        <v>Life Sciences</v>
      </c>
      <c r="G756">
        <f>RAW_DATA!G756</f>
        <v>2</v>
      </c>
      <c r="H756">
        <f>RAW_DATA!H756</f>
        <v>4</v>
      </c>
      <c r="I756" t="str">
        <f>RAW_DATA!I756</f>
        <v>Single</v>
      </c>
      <c r="J756">
        <f>RAW_DATA!J756</f>
        <v>2342</v>
      </c>
      <c r="K756">
        <f>RAW_DATA!K756</f>
        <v>0</v>
      </c>
      <c r="L756">
        <f>RAW_DATA!L756</f>
        <v>2</v>
      </c>
      <c r="M756">
        <f>RAW_DATA!M756</f>
        <v>2</v>
      </c>
      <c r="N756">
        <f t="shared" si="22"/>
        <v>0</v>
      </c>
      <c r="O756" t="str" cm="1">
        <f t="array" ref="O756" xml:space="preserve"> _xlfn.IFS(A756 &lt;ASSUMPTIONS!$D$2,"25",A756 &lt;= ASSUMPTIONS!$D$3,"25-34",A756 &lt;= ASSUMPTIONS!$D$4, "35-44",A756 &lt;= ASSUMPTIONS!$D$5,"45-54",TRUE,"55+")</f>
        <v>25-34</v>
      </c>
      <c r="P756" t="str" cm="1">
        <f t="array" ref="P756">_xlfn.IFS( J756 &lt;ASSUMPTIONS!$D$7,"LOW",J756 &lt;= ASSUMPTIONS!$D$8,"MEDIUM",TRUE, "HIGH")</f>
        <v>LOW</v>
      </c>
      <c r="Q756" t="str">
        <f>IF(M756&lt;ASSUMPTIONS!$D$10,"New (0-2)",IF(M756&lt;=ASSUMPTIONS!$D$11,"Early (2-5)",IF(M756&lt;=ASSUMPTIONS!$D$12,"Established (5-10)","Veteran (10+)")))</f>
        <v>Early (2-5)</v>
      </c>
      <c r="R756" s="4">
        <f t="shared" si="23"/>
        <v>2.6666666666666665</v>
      </c>
    </row>
    <row r="757" spans="1:18">
      <c r="A757">
        <f>RAW_DATA!A757</f>
        <v>45</v>
      </c>
      <c r="B757" t="str">
        <f>RAW_DATA!B757</f>
        <v>No</v>
      </c>
      <c r="C757" t="str">
        <f>RAW_DATA!C757</f>
        <v>Sales</v>
      </c>
      <c r="D757">
        <f>RAW_DATA!D757</f>
        <v>11</v>
      </c>
      <c r="E757">
        <f>RAW_DATA!E757</f>
        <v>2</v>
      </c>
      <c r="F757" t="str">
        <f>RAW_DATA!F757</f>
        <v>Life Sciences</v>
      </c>
      <c r="G757">
        <f>RAW_DATA!G757</f>
        <v>4</v>
      </c>
      <c r="H757">
        <f>RAW_DATA!H757</f>
        <v>4</v>
      </c>
      <c r="I757" t="str">
        <f>RAW_DATA!I757</f>
        <v>Married</v>
      </c>
      <c r="J757">
        <f>RAW_DATA!J757</f>
        <v>17650</v>
      </c>
      <c r="K757">
        <f>RAW_DATA!K757</f>
        <v>3</v>
      </c>
      <c r="L757">
        <f>RAW_DATA!L757</f>
        <v>4</v>
      </c>
      <c r="M757">
        <f>RAW_DATA!M757</f>
        <v>9</v>
      </c>
      <c r="N757">
        <f t="shared" si="22"/>
        <v>0</v>
      </c>
      <c r="O757" t="str" cm="1">
        <f t="array" ref="O757" xml:space="preserve"> _xlfn.IFS(A757 &lt;ASSUMPTIONS!$D$2,"25",A757 &lt;= ASSUMPTIONS!$D$3,"25-34",A757 &lt;= ASSUMPTIONS!$D$4, "35-44",A757 &lt;= ASSUMPTIONS!$D$5,"45-54",TRUE,"55+")</f>
        <v>45-54</v>
      </c>
      <c r="P757" t="str" cm="1">
        <f t="array" ref="P757">_xlfn.IFS( J757 &lt;ASSUMPTIONS!$D$7,"LOW",J757 &lt;= ASSUMPTIONS!$D$8,"MEDIUM",TRUE, "HIGH")</f>
        <v>HIGH</v>
      </c>
      <c r="Q757" t="str">
        <f>IF(M757&lt;ASSUMPTIONS!$D$10,"New (0-2)",IF(M757&lt;=ASSUMPTIONS!$D$11,"Early (2-5)",IF(M757&lt;=ASSUMPTIONS!$D$12,"Established (5-10)","Veteran (10+)")))</f>
        <v>Established (5-10)</v>
      </c>
      <c r="R757" s="4">
        <f t="shared" si="23"/>
        <v>4</v>
      </c>
    </row>
    <row r="758" spans="1:18">
      <c r="A758">
        <f>RAW_DATA!A758</f>
        <v>32</v>
      </c>
      <c r="B758" t="str">
        <f>RAW_DATA!B758</f>
        <v>No</v>
      </c>
      <c r="C758" t="str">
        <f>RAW_DATA!C758</f>
        <v>Research &amp; Development</v>
      </c>
      <c r="D758">
        <f>RAW_DATA!D758</f>
        <v>29</v>
      </c>
      <c r="E758">
        <f>RAW_DATA!E758</f>
        <v>4</v>
      </c>
      <c r="F758" t="str">
        <f>RAW_DATA!F758</f>
        <v>Medical</v>
      </c>
      <c r="G758">
        <f>RAW_DATA!G758</f>
        <v>4</v>
      </c>
      <c r="H758">
        <f>RAW_DATA!H758</f>
        <v>3</v>
      </c>
      <c r="I758" t="str">
        <f>RAW_DATA!I758</f>
        <v>Single</v>
      </c>
      <c r="J758">
        <f>RAW_DATA!J758</f>
        <v>4025</v>
      </c>
      <c r="K758">
        <f>RAW_DATA!K758</f>
        <v>9</v>
      </c>
      <c r="L758">
        <f>RAW_DATA!L758</f>
        <v>3</v>
      </c>
      <c r="M758">
        <f>RAW_DATA!M758</f>
        <v>8</v>
      </c>
      <c r="N758">
        <f t="shared" si="22"/>
        <v>0</v>
      </c>
      <c r="O758" t="str" cm="1">
        <f t="array" ref="O758" xml:space="preserve"> _xlfn.IFS(A758 &lt;ASSUMPTIONS!$D$2,"25",A758 &lt;= ASSUMPTIONS!$D$3,"25-34",A758 &lt;= ASSUMPTIONS!$D$4, "35-44",A758 &lt;= ASSUMPTIONS!$D$5,"45-54",TRUE,"55+")</f>
        <v>25-34</v>
      </c>
      <c r="P758" t="str" cm="1">
        <f t="array" ref="P758">_xlfn.IFS( J758 &lt;ASSUMPTIONS!$D$7,"LOW",J758 &lt;= ASSUMPTIONS!$D$8,"MEDIUM",TRUE, "HIGH")</f>
        <v>MEDIUM</v>
      </c>
      <c r="Q758" t="str">
        <f>IF(M758&lt;ASSUMPTIONS!$D$10,"New (0-2)",IF(M758&lt;=ASSUMPTIONS!$D$11,"Early (2-5)",IF(M758&lt;=ASSUMPTIONS!$D$12,"Established (5-10)","Veteran (10+)")))</f>
        <v>Established (5-10)</v>
      </c>
      <c r="R758" s="4">
        <f t="shared" si="23"/>
        <v>3.3333333333333335</v>
      </c>
    </row>
    <row r="759" spans="1:18">
      <c r="A759">
        <f>RAW_DATA!A759</f>
        <v>34</v>
      </c>
      <c r="B759" t="str">
        <f>RAW_DATA!B759</f>
        <v>No</v>
      </c>
      <c r="C759" t="str">
        <f>RAW_DATA!C759</f>
        <v>Sales</v>
      </c>
      <c r="D759">
        <f>RAW_DATA!D759</f>
        <v>1</v>
      </c>
      <c r="E759">
        <f>RAW_DATA!E759</f>
        <v>4</v>
      </c>
      <c r="F759" t="str">
        <f>RAW_DATA!F759</f>
        <v>Marketing</v>
      </c>
      <c r="G759">
        <f>RAW_DATA!G759</f>
        <v>2</v>
      </c>
      <c r="H759">
        <f>RAW_DATA!H759</f>
        <v>4</v>
      </c>
      <c r="I759" t="str">
        <f>RAW_DATA!I759</f>
        <v>Divorced</v>
      </c>
      <c r="J759">
        <f>RAW_DATA!J759</f>
        <v>9725</v>
      </c>
      <c r="K759">
        <f>RAW_DATA!K759</f>
        <v>0</v>
      </c>
      <c r="L759">
        <f>RAW_DATA!L759</f>
        <v>2</v>
      </c>
      <c r="M759">
        <f>RAW_DATA!M759</f>
        <v>15</v>
      </c>
      <c r="N759">
        <f t="shared" si="22"/>
        <v>0</v>
      </c>
      <c r="O759" t="str" cm="1">
        <f t="array" ref="O759" xml:space="preserve"> _xlfn.IFS(A759 &lt;ASSUMPTIONS!$D$2,"25",A759 &lt;= ASSUMPTIONS!$D$3,"25-34",A759 &lt;= ASSUMPTIONS!$D$4, "35-44",A759 &lt;= ASSUMPTIONS!$D$5,"45-54",TRUE,"55+")</f>
        <v>25-34</v>
      </c>
      <c r="P759" t="str" cm="1">
        <f t="array" ref="P759">_xlfn.IFS( J759 &lt;ASSUMPTIONS!$D$7,"LOW",J759 &lt;= ASSUMPTIONS!$D$8,"MEDIUM",TRUE, "HIGH")</f>
        <v>HIGH</v>
      </c>
      <c r="Q759" t="str">
        <f>IF(M759&lt;ASSUMPTIONS!$D$10,"New (0-2)",IF(M759&lt;=ASSUMPTIONS!$D$11,"Early (2-5)",IF(M759&lt;=ASSUMPTIONS!$D$12,"Established (5-10)","Veteran (10+)")))</f>
        <v>Veteran (10+)</v>
      </c>
      <c r="R759" s="4">
        <f t="shared" si="23"/>
        <v>2.6666666666666665</v>
      </c>
    </row>
    <row r="760" spans="1:18">
      <c r="A760">
        <f>RAW_DATA!A760</f>
        <v>59</v>
      </c>
      <c r="B760" t="str">
        <f>RAW_DATA!B760</f>
        <v>No</v>
      </c>
      <c r="C760" t="str">
        <f>RAW_DATA!C760</f>
        <v>Sales</v>
      </c>
      <c r="D760">
        <f>RAW_DATA!D760</f>
        <v>1</v>
      </c>
      <c r="E760">
        <f>RAW_DATA!E760</f>
        <v>2</v>
      </c>
      <c r="F760" t="str">
        <f>RAW_DATA!F760</f>
        <v>Technical Degree</v>
      </c>
      <c r="G760">
        <f>RAW_DATA!G760</f>
        <v>2</v>
      </c>
      <c r="H760">
        <f>RAW_DATA!H760</f>
        <v>4</v>
      </c>
      <c r="I760" t="str">
        <f>RAW_DATA!I760</f>
        <v>Married</v>
      </c>
      <c r="J760">
        <f>RAW_DATA!J760</f>
        <v>11904</v>
      </c>
      <c r="K760">
        <f>RAW_DATA!K760</f>
        <v>3</v>
      </c>
      <c r="L760">
        <f>RAW_DATA!L760</f>
        <v>1</v>
      </c>
      <c r="M760">
        <f>RAW_DATA!M760</f>
        <v>6</v>
      </c>
      <c r="N760">
        <f t="shared" si="22"/>
        <v>0</v>
      </c>
      <c r="O760" t="str" cm="1">
        <f t="array" ref="O760" xml:space="preserve"> _xlfn.IFS(A760 &lt;ASSUMPTIONS!$D$2,"25",A760 &lt;= ASSUMPTIONS!$D$3,"25-34",A760 &lt;= ASSUMPTIONS!$D$4, "35-44",A760 &lt;= ASSUMPTIONS!$D$5,"45-54",TRUE,"55+")</f>
        <v>55+</v>
      </c>
      <c r="P760" t="str" cm="1">
        <f t="array" ref="P760">_xlfn.IFS( J760 &lt;ASSUMPTIONS!$D$7,"LOW",J760 &lt;= ASSUMPTIONS!$D$8,"MEDIUM",TRUE, "HIGH")</f>
        <v>HIGH</v>
      </c>
      <c r="Q760" t="str">
        <f>IF(M760&lt;ASSUMPTIONS!$D$10,"New (0-2)",IF(M760&lt;=ASSUMPTIONS!$D$11,"Early (2-5)",IF(M760&lt;=ASSUMPTIONS!$D$12,"Established (5-10)","Veteran (10+)")))</f>
        <v>Established (5-10)</v>
      </c>
      <c r="R760" s="4">
        <f t="shared" si="23"/>
        <v>2.3333333333333335</v>
      </c>
    </row>
    <row r="761" spans="1:18">
      <c r="A761">
        <f>RAW_DATA!A761</f>
        <v>45</v>
      </c>
      <c r="B761" t="str">
        <f>RAW_DATA!B761</f>
        <v>No</v>
      </c>
      <c r="C761" t="str">
        <f>RAW_DATA!C761</f>
        <v>Human Resources</v>
      </c>
      <c r="D761">
        <f>RAW_DATA!D761</f>
        <v>24</v>
      </c>
      <c r="E761">
        <f>RAW_DATA!E761</f>
        <v>4</v>
      </c>
      <c r="F761" t="str">
        <f>RAW_DATA!F761</f>
        <v>Medical</v>
      </c>
      <c r="G761">
        <f>RAW_DATA!G761</f>
        <v>2</v>
      </c>
      <c r="H761">
        <f>RAW_DATA!H761</f>
        <v>2</v>
      </c>
      <c r="I761" t="str">
        <f>RAW_DATA!I761</f>
        <v>Single</v>
      </c>
      <c r="J761">
        <f>RAW_DATA!J761</f>
        <v>2177</v>
      </c>
      <c r="K761">
        <f>RAW_DATA!K761</f>
        <v>1</v>
      </c>
      <c r="L761">
        <f>RAW_DATA!L761</f>
        <v>3</v>
      </c>
      <c r="M761">
        <f>RAW_DATA!M761</f>
        <v>6</v>
      </c>
      <c r="N761">
        <f t="shared" si="22"/>
        <v>0</v>
      </c>
      <c r="O761" t="str" cm="1">
        <f t="array" ref="O761" xml:space="preserve"> _xlfn.IFS(A761 &lt;ASSUMPTIONS!$D$2,"25",A761 &lt;= ASSUMPTIONS!$D$3,"25-34",A761 &lt;= ASSUMPTIONS!$D$4, "35-44",A761 &lt;= ASSUMPTIONS!$D$5,"45-54",TRUE,"55+")</f>
        <v>45-54</v>
      </c>
      <c r="P761" t="str" cm="1">
        <f t="array" ref="P761">_xlfn.IFS( J761 &lt;ASSUMPTIONS!$D$7,"LOW",J761 &lt;= ASSUMPTIONS!$D$8,"MEDIUM",TRUE, "HIGH")</f>
        <v>LOW</v>
      </c>
      <c r="Q761" t="str">
        <f>IF(M761&lt;ASSUMPTIONS!$D$10,"New (0-2)",IF(M761&lt;=ASSUMPTIONS!$D$11,"Early (2-5)",IF(M761&lt;=ASSUMPTIONS!$D$12,"Established (5-10)","Veteran (10+)")))</f>
        <v>Established (5-10)</v>
      </c>
      <c r="R761" s="4">
        <f t="shared" si="23"/>
        <v>2.3333333333333335</v>
      </c>
    </row>
    <row r="762" spans="1:18">
      <c r="A762">
        <f>RAW_DATA!A762</f>
        <v>53</v>
      </c>
      <c r="B762" t="str">
        <f>RAW_DATA!B762</f>
        <v>No</v>
      </c>
      <c r="C762" t="str">
        <f>RAW_DATA!C762</f>
        <v>Sales</v>
      </c>
      <c r="D762">
        <f>RAW_DATA!D762</f>
        <v>2</v>
      </c>
      <c r="E762">
        <f>RAW_DATA!E762</f>
        <v>3</v>
      </c>
      <c r="F762" t="str">
        <f>RAW_DATA!F762</f>
        <v>Marketing</v>
      </c>
      <c r="G762">
        <f>RAW_DATA!G762</f>
        <v>3</v>
      </c>
      <c r="H762">
        <f>RAW_DATA!H762</f>
        <v>2</v>
      </c>
      <c r="I762" t="str">
        <f>RAW_DATA!I762</f>
        <v>Married</v>
      </c>
      <c r="J762">
        <f>RAW_DATA!J762</f>
        <v>7525</v>
      </c>
      <c r="K762">
        <f>RAW_DATA!K762</f>
        <v>2</v>
      </c>
      <c r="L762">
        <f>RAW_DATA!L762</f>
        <v>3</v>
      </c>
      <c r="M762">
        <f>RAW_DATA!M762</f>
        <v>15</v>
      </c>
      <c r="N762">
        <f t="shared" si="22"/>
        <v>0</v>
      </c>
      <c r="O762" t="str" cm="1">
        <f t="array" ref="O762" xml:space="preserve"> _xlfn.IFS(A762 &lt;ASSUMPTIONS!$D$2,"25",A762 &lt;= ASSUMPTIONS!$D$3,"25-34",A762 &lt;= ASSUMPTIONS!$D$4, "35-44",A762 &lt;= ASSUMPTIONS!$D$5,"45-54",TRUE,"55+")</f>
        <v>45-54</v>
      </c>
      <c r="P762" t="str" cm="1">
        <f t="array" ref="P762">_xlfn.IFS( J762 &lt;ASSUMPTIONS!$D$7,"LOW",J762 &lt;= ASSUMPTIONS!$D$8,"MEDIUM",TRUE, "HIGH")</f>
        <v>HIGH</v>
      </c>
      <c r="Q762" t="str">
        <f>IF(M762&lt;ASSUMPTIONS!$D$10,"New (0-2)",IF(M762&lt;=ASSUMPTIONS!$D$11,"Early (2-5)",IF(M762&lt;=ASSUMPTIONS!$D$12,"Established (5-10)","Veteran (10+)")))</f>
        <v>Veteran (10+)</v>
      </c>
      <c r="R762" s="4">
        <f t="shared" si="23"/>
        <v>2.6666666666666665</v>
      </c>
    </row>
    <row r="763" spans="1:18">
      <c r="A763">
        <f>RAW_DATA!A763</f>
        <v>36</v>
      </c>
      <c r="B763" t="str">
        <f>RAW_DATA!B763</f>
        <v>Yes</v>
      </c>
      <c r="C763" t="str">
        <f>RAW_DATA!C763</f>
        <v>Research &amp; Development</v>
      </c>
      <c r="D763">
        <f>RAW_DATA!D763</f>
        <v>15</v>
      </c>
      <c r="E763">
        <f>RAW_DATA!E763</f>
        <v>3</v>
      </c>
      <c r="F763" t="str">
        <f>RAW_DATA!F763</f>
        <v>Other</v>
      </c>
      <c r="G763">
        <f>RAW_DATA!G763</f>
        <v>1</v>
      </c>
      <c r="H763">
        <f>RAW_DATA!H763</f>
        <v>3</v>
      </c>
      <c r="I763" t="str">
        <f>RAW_DATA!I763</f>
        <v>Divorced</v>
      </c>
      <c r="J763">
        <f>RAW_DATA!J763</f>
        <v>4834</v>
      </c>
      <c r="K763">
        <f>RAW_DATA!K763</f>
        <v>7</v>
      </c>
      <c r="L763">
        <f>RAW_DATA!L763</f>
        <v>2</v>
      </c>
      <c r="M763">
        <f>RAW_DATA!M763</f>
        <v>1</v>
      </c>
      <c r="N763">
        <f t="shared" si="22"/>
        <v>1</v>
      </c>
      <c r="O763" t="str" cm="1">
        <f t="array" ref="O763" xml:space="preserve"> _xlfn.IFS(A763 &lt;ASSUMPTIONS!$D$2,"25",A763 &lt;= ASSUMPTIONS!$D$3,"25-34",A763 &lt;= ASSUMPTIONS!$D$4, "35-44",A763 &lt;= ASSUMPTIONS!$D$5,"45-54",TRUE,"55+")</f>
        <v>35-44</v>
      </c>
      <c r="P763" t="str" cm="1">
        <f t="array" ref="P763">_xlfn.IFS( J763 &lt;ASSUMPTIONS!$D$7,"LOW",J763 &lt;= ASSUMPTIONS!$D$8,"MEDIUM",TRUE, "HIGH")</f>
        <v>MEDIUM</v>
      </c>
      <c r="Q763" t="str">
        <f>IF(M763&lt;ASSUMPTIONS!$D$10,"New (0-2)",IF(M763&lt;=ASSUMPTIONS!$D$11,"Early (2-5)",IF(M763&lt;=ASSUMPTIONS!$D$12,"Established (5-10)","Veteran (10+)")))</f>
        <v>New (0-2)</v>
      </c>
      <c r="R763" s="4">
        <f t="shared" si="23"/>
        <v>2</v>
      </c>
    </row>
    <row r="764" spans="1:18">
      <c r="A764">
        <f>RAW_DATA!A764</f>
        <v>26</v>
      </c>
      <c r="B764" t="str">
        <f>RAW_DATA!B764</f>
        <v>Yes</v>
      </c>
      <c r="C764" t="str">
        <f>RAW_DATA!C764</f>
        <v>Research &amp; Development</v>
      </c>
      <c r="D764">
        <f>RAW_DATA!D764</f>
        <v>2</v>
      </c>
      <c r="E764">
        <f>RAW_DATA!E764</f>
        <v>3</v>
      </c>
      <c r="F764" t="str">
        <f>RAW_DATA!F764</f>
        <v>Life Sciences</v>
      </c>
      <c r="G764">
        <f>RAW_DATA!G764</f>
        <v>1</v>
      </c>
      <c r="H764">
        <f>RAW_DATA!H764</f>
        <v>1</v>
      </c>
      <c r="I764" t="str">
        <f>RAW_DATA!I764</f>
        <v>Married</v>
      </c>
      <c r="J764">
        <f>RAW_DATA!J764</f>
        <v>2042</v>
      </c>
      <c r="K764">
        <f>RAW_DATA!K764</f>
        <v>6</v>
      </c>
      <c r="L764">
        <f>RAW_DATA!L764</f>
        <v>3</v>
      </c>
      <c r="M764">
        <f>RAW_DATA!M764</f>
        <v>3</v>
      </c>
      <c r="N764">
        <f t="shared" si="22"/>
        <v>1</v>
      </c>
      <c r="O764" t="str" cm="1">
        <f t="array" ref="O764" xml:space="preserve"> _xlfn.IFS(A764 &lt;ASSUMPTIONS!$D$2,"25",A764 &lt;= ASSUMPTIONS!$D$3,"25-34",A764 &lt;= ASSUMPTIONS!$D$4, "35-44",A764 &lt;= ASSUMPTIONS!$D$5,"45-54",TRUE,"55+")</f>
        <v>25-34</v>
      </c>
      <c r="P764" t="str" cm="1">
        <f t="array" ref="P764">_xlfn.IFS( J764 &lt;ASSUMPTIONS!$D$7,"LOW",J764 &lt;= ASSUMPTIONS!$D$8,"MEDIUM",TRUE, "HIGH")</f>
        <v>LOW</v>
      </c>
      <c r="Q764" t="str">
        <f>IF(M764&lt;ASSUMPTIONS!$D$10,"New (0-2)",IF(M764&lt;=ASSUMPTIONS!$D$11,"Early (2-5)",IF(M764&lt;=ASSUMPTIONS!$D$12,"Established (5-10)","Veteran (10+)")))</f>
        <v>Early (2-5)</v>
      </c>
      <c r="R764" s="4">
        <f t="shared" si="23"/>
        <v>1.6666666666666667</v>
      </c>
    </row>
    <row r="765" spans="1:18">
      <c r="A765">
        <f>RAW_DATA!A765</f>
        <v>34</v>
      </c>
      <c r="B765" t="str">
        <f>RAW_DATA!B765</f>
        <v>No</v>
      </c>
      <c r="C765" t="str">
        <f>RAW_DATA!C765</f>
        <v>Sales</v>
      </c>
      <c r="D765">
        <f>RAW_DATA!D765</f>
        <v>10</v>
      </c>
      <c r="E765">
        <f>RAW_DATA!E765</f>
        <v>4</v>
      </c>
      <c r="F765" t="str">
        <f>RAW_DATA!F765</f>
        <v>Life Sciences</v>
      </c>
      <c r="G765">
        <f>RAW_DATA!G765</f>
        <v>3</v>
      </c>
      <c r="H765">
        <f>RAW_DATA!H765</f>
        <v>3</v>
      </c>
      <c r="I765" t="str">
        <f>RAW_DATA!I765</f>
        <v>Married</v>
      </c>
      <c r="J765">
        <f>RAW_DATA!J765</f>
        <v>2220</v>
      </c>
      <c r="K765">
        <f>RAW_DATA!K765</f>
        <v>1</v>
      </c>
      <c r="L765">
        <f>RAW_DATA!L765</f>
        <v>3</v>
      </c>
      <c r="M765">
        <f>RAW_DATA!M765</f>
        <v>1</v>
      </c>
      <c r="N765">
        <f t="shared" si="22"/>
        <v>0</v>
      </c>
      <c r="O765" t="str" cm="1">
        <f t="array" ref="O765" xml:space="preserve"> _xlfn.IFS(A765 &lt;ASSUMPTIONS!$D$2,"25",A765 &lt;= ASSUMPTIONS!$D$3,"25-34",A765 &lt;= ASSUMPTIONS!$D$4, "35-44",A765 &lt;= ASSUMPTIONS!$D$5,"45-54",TRUE,"55+")</f>
        <v>25-34</v>
      </c>
      <c r="P765" t="str" cm="1">
        <f t="array" ref="P765">_xlfn.IFS( J765 &lt;ASSUMPTIONS!$D$7,"LOW",J765 &lt;= ASSUMPTIONS!$D$8,"MEDIUM",TRUE, "HIGH")</f>
        <v>LOW</v>
      </c>
      <c r="Q765" t="str">
        <f>IF(M765&lt;ASSUMPTIONS!$D$10,"New (0-2)",IF(M765&lt;=ASSUMPTIONS!$D$11,"Early (2-5)",IF(M765&lt;=ASSUMPTIONS!$D$12,"Established (5-10)","Veteran (10+)")))</f>
        <v>New (0-2)</v>
      </c>
      <c r="R765" s="4">
        <f t="shared" si="23"/>
        <v>3</v>
      </c>
    </row>
    <row r="766" spans="1:18">
      <c r="A766">
        <f>RAW_DATA!A766</f>
        <v>28</v>
      </c>
      <c r="B766" t="str">
        <f>RAW_DATA!B766</f>
        <v>No</v>
      </c>
      <c r="C766" t="str">
        <f>RAW_DATA!C766</f>
        <v>Sales</v>
      </c>
      <c r="D766">
        <f>RAW_DATA!D766</f>
        <v>10</v>
      </c>
      <c r="E766">
        <f>RAW_DATA!E766</f>
        <v>1</v>
      </c>
      <c r="F766" t="str">
        <f>RAW_DATA!F766</f>
        <v>Medical</v>
      </c>
      <c r="G766">
        <f>RAW_DATA!G766</f>
        <v>4</v>
      </c>
      <c r="H766">
        <f>RAW_DATA!H766</f>
        <v>2</v>
      </c>
      <c r="I766" t="str">
        <f>RAW_DATA!I766</f>
        <v>Married</v>
      </c>
      <c r="J766">
        <f>RAW_DATA!J766</f>
        <v>1052</v>
      </c>
      <c r="K766">
        <f>RAW_DATA!K766</f>
        <v>1</v>
      </c>
      <c r="L766">
        <f>RAW_DATA!L766</f>
        <v>3</v>
      </c>
      <c r="M766">
        <f>RAW_DATA!M766</f>
        <v>1</v>
      </c>
      <c r="N766">
        <f t="shared" si="22"/>
        <v>0</v>
      </c>
      <c r="O766" t="str" cm="1">
        <f t="array" ref="O766" xml:space="preserve"> _xlfn.IFS(A766 &lt;ASSUMPTIONS!$D$2,"25",A766 &lt;= ASSUMPTIONS!$D$3,"25-34",A766 &lt;= ASSUMPTIONS!$D$4, "35-44",A766 &lt;= ASSUMPTIONS!$D$5,"45-54",TRUE,"55+")</f>
        <v>25-34</v>
      </c>
      <c r="P766" t="str" cm="1">
        <f t="array" ref="P766">_xlfn.IFS( J766 &lt;ASSUMPTIONS!$D$7,"LOW",J766 &lt;= ASSUMPTIONS!$D$8,"MEDIUM",TRUE, "HIGH")</f>
        <v>LOW</v>
      </c>
      <c r="Q766" t="str">
        <f>IF(M766&lt;ASSUMPTIONS!$D$10,"New (0-2)",IF(M766&lt;=ASSUMPTIONS!$D$11,"Early (2-5)",IF(M766&lt;=ASSUMPTIONS!$D$12,"Established (5-10)","Veteran (10+)")))</f>
        <v>New (0-2)</v>
      </c>
      <c r="R766" s="4">
        <f t="shared" si="23"/>
        <v>3</v>
      </c>
    </row>
    <row r="767" spans="1:18">
      <c r="A767">
        <f>RAW_DATA!A767</f>
        <v>38</v>
      </c>
      <c r="B767" t="str">
        <f>RAW_DATA!B767</f>
        <v>No</v>
      </c>
      <c r="C767" t="str">
        <f>RAW_DATA!C767</f>
        <v>Research &amp; Development</v>
      </c>
      <c r="D767">
        <f>RAW_DATA!D767</f>
        <v>3</v>
      </c>
      <c r="E767">
        <f>RAW_DATA!E767</f>
        <v>4</v>
      </c>
      <c r="F767" t="str">
        <f>RAW_DATA!F767</f>
        <v>Other</v>
      </c>
      <c r="G767">
        <f>RAW_DATA!G767</f>
        <v>3</v>
      </c>
      <c r="H767">
        <f>RAW_DATA!H767</f>
        <v>3</v>
      </c>
      <c r="I767" t="str">
        <f>RAW_DATA!I767</f>
        <v>Married</v>
      </c>
      <c r="J767">
        <f>RAW_DATA!J767</f>
        <v>2821</v>
      </c>
      <c r="K767">
        <f>RAW_DATA!K767</f>
        <v>3</v>
      </c>
      <c r="L767">
        <f>RAW_DATA!L767</f>
        <v>3</v>
      </c>
      <c r="M767">
        <f>RAW_DATA!M767</f>
        <v>2</v>
      </c>
      <c r="N767">
        <f t="shared" si="22"/>
        <v>0</v>
      </c>
      <c r="O767" t="str" cm="1">
        <f t="array" ref="O767" xml:space="preserve"> _xlfn.IFS(A767 &lt;ASSUMPTIONS!$D$2,"25",A767 &lt;= ASSUMPTIONS!$D$3,"25-34",A767 &lt;= ASSUMPTIONS!$D$4, "35-44",A767 &lt;= ASSUMPTIONS!$D$5,"45-54",TRUE,"55+")</f>
        <v>35-44</v>
      </c>
      <c r="P767" t="str" cm="1">
        <f t="array" ref="P767">_xlfn.IFS( J767 &lt;ASSUMPTIONS!$D$7,"LOW",J767 &lt;= ASSUMPTIONS!$D$8,"MEDIUM",TRUE, "HIGH")</f>
        <v>LOW</v>
      </c>
      <c r="Q767" t="str">
        <f>IF(M767&lt;ASSUMPTIONS!$D$10,"New (0-2)",IF(M767&lt;=ASSUMPTIONS!$D$11,"Early (2-5)",IF(M767&lt;=ASSUMPTIONS!$D$12,"Established (5-10)","Veteran (10+)")))</f>
        <v>Early (2-5)</v>
      </c>
      <c r="R767" s="4">
        <f t="shared" si="23"/>
        <v>3</v>
      </c>
    </row>
    <row r="768" spans="1:18">
      <c r="A768">
        <f>RAW_DATA!A768</f>
        <v>50</v>
      </c>
      <c r="B768" t="str">
        <f>RAW_DATA!B768</f>
        <v>No</v>
      </c>
      <c r="C768" t="str">
        <f>RAW_DATA!C768</f>
        <v>Research &amp; Development</v>
      </c>
      <c r="D768">
        <f>RAW_DATA!D768</f>
        <v>2</v>
      </c>
      <c r="E768">
        <f>RAW_DATA!E768</f>
        <v>4</v>
      </c>
      <c r="F768" t="str">
        <f>RAW_DATA!F768</f>
        <v>Medical</v>
      </c>
      <c r="G768">
        <f>RAW_DATA!G768</f>
        <v>2</v>
      </c>
      <c r="H768">
        <f>RAW_DATA!H768</f>
        <v>3</v>
      </c>
      <c r="I768" t="str">
        <f>RAW_DATA!I768</f>
        <v>Married</v>
      </c>
      <c r="J768">
        <f>RAW_DATA!J768</f>
        <v>19237</v>
      </c>
      <c r="K768">
        <f>RAW_DATA!K768</f>
        <v>2</v>
      </c>
      <c r="L768">
        <f>RAW_DATA!L768</f>
        <v>2</v>
      </c>
      <c r="M768">
        <f>RAW_DATA!M768</f>
        <v>8</v>
      </c>
      <c r="N768">
        <f t="shared" si="22"/>
        <v>0</v>
      </c>
      <c r="O768" t="str" cm="1">
        <f t="array" ref="O768" xml:space="preserve"> _xlfn.IFS(A768 &lt;ASSUMPTIONS!$D$2,"25",A768 &lt;= ASSUMPTIONS!$D$3,"25-34",A768 &lt;= ASSUMPTIONS!$D$4, "35-44",A768 &lt;= ASSUMPTIONS!$D$5,"45-54",TRUE,"55+")</f>
        <v>45-54</v>
      </c>
      <c r="P768" t="str" cm="1">
        <f t="array" ref="P768">_xlfn.IFS( J768 &lt;ASSUMPTIONS!$D$7,"LOW",J768 &lt;= ASSUMPTIONS!$D$8,"MEDIUM",TRUE, "HIGH")</f>
        <v>HIGH</v>
      </c>
      <c r="Q768" t="str">
        <f>IF(M768&lt;ASSUMPTIONS!$D$10,"New (0-2)",IF(M768&lt;=ASSUMPTIONS!$D$11,"Early (2-5)",IF(M768&lt;=ASSUMPTIONS!$D$12,"Established (5-10)","Veteran (10+)")))</f>
        <v>Established (5-10)</v>
      </c>
      <c r="R768" s="4">
        <f t="shared" si="23"/>
        <v>2.3333333333333335</v>
      </c>
    </row>
    <row r="769" spans="1:18">
      <c r="A769">
        <f>RAW_DATA!A769</f>
        <v>37</v>
      </c>
      <c r="B769" t="str">
        <f>RAW_DATA!B769</f>
        <v>No</v>
      </c>
      <c r="C769" t="str">
        <f>RAW_DATA!C769</f>
        <v>Research &amp; Development</v>
      </c>
      <c r="D769">
        <f>RAW_DATA!D769</f>
        <v>3</v>
      </c>
      <c r="E769">
        <f>RAW_DATA!E769</f>
        <v>3</v>
      </c>
      <c r="F769" t="str">
        <f>RAW_DATA!F769</f>
        <v>Other</v>
      </c>
      <c r="G769">
        <f>RAW_DATA!G769</f>
        <v>4</v>
      </c>
      <c r="H769">
        <f>RAW_DATA!H769</f>
        <v>2</v>
      </c>
      <c r="I769" t="str">
        <f>RAW_DATA!I769</f>
        <v>Single</v>
      </c>
      <c r="J769">
        <f>RAW_DATA!J769</f>
        <v>4107</v>
      </c>
      <c r="K769">
        <f>RAW_DATA!K769</f>
        <v>3</v>
      </c>
      <c r="L769">
        <f>RAW_DATA!L769</f>
        <v>2</v>
      </c>
      <c r="M769">
        <f>RAW_DATA!M769</f>
        <v>4</v>
      </c>
      <c r="N769">
        <f t="shared" si="22"/>
        <v>0</v>
      </c>
      <c r="O769" t="str" cm="1">
        <f t="array" ref="O769" xml:space="preserve"> _xlfn.IFS(A769 &lt;ASSUMPTIONS!$D$2,"25",A769 &lt;= ASSUMPTIONS!$D$3,"25-34",A769 &lt;= ASSUMPTIONS!$D$4, "35-44",A769 &lt;= ASSUMPTIONS!$D$5,"45-54",TRUE,"55+")</f>
        <v>35-44</v>
      </c>
      <c r="P769" t="str" cm="1">
        <f t="array" ref="P769">_xlfn.IFS( J769 &lt;ASSUMPTIONS!$D$7,"LOW",J769 &lt;= ASSUMPTIONS!$D$8,"MEDIUM",TRUE, "HIGH")</f>
        <v>MEDIUM</v>
      </c>
      <c r="Q769" t="str">
        <f>IF(M769&lt;ASSUMPTIONS!$D$10,"New (0-2)",IF(M769&lt;=ASSUMPTIONS!$D$11,"Early (2-5)",IF(M769&lt;=ASSUMPTIONS!$D$12,"Established (5-10)","Veteran (10+)")))</f>
        <v>Early (2-5)</v>
      </c>
      <c r="R769" s="4">
        <f t="shared" si="23"/>
        <v>2.6666666666666665</v>
      </c>
    </row>
    <row r="770" spans="1:18">
      <c r="A770">
        <f>RAW_DATA!A770</f>
        <v>40</v>
      </c>
      <c r="B770" t="str">
        <f>RAW_DATA!B770</f>
        <v>No</v>
      </c>
      <c r="C770" t="str">
        <f>RAW_DATA!C770</f>
        <v>Sales</v>
      </c>
      <c r="D770">
        <f>RAW_DATA!D770</f>
        <v>26</v>
      </c>
      <c r="E770">
        <f>RAW_DATA!E770</f>
        <v>3</v>
      </c>
      <c r="F770" t="str">
        <f>RAW_DATA!F770</f>
        <v>Marketing</v>
      </c>
      <c r="G770">
        <f>RAW_DATA!G770</f>
        <v>3</v>
      </c>
      <c r="H770">
        <f>RAW_DATA!H770</f>
        <v>1</v>
      </c>
      <c r="I770" t="str">
        <f>RAW_DATA!I770</f>
        <v>Married</v>
      </c>
      <c r="J770">
        <f>RAW_DATA!J770</f>
        <v>8396</v>
      </c>
      <c r="K770">
        <f>RAW_DATA!K770</f>
        <v>1</v>
      </c>
      <c r="L770">
        <f>RAW_DATA!L770</f>
        <v>2</v>
      </c>
      <c r="M770">
        <f>RAW_DATA!M770</f>
        <v>7</v>
      </c>
      <c r="N770">
        <f t="shared" si="22"/>
        <v>0</v>
      </c>
      <c r="O770" t="str" cm="1">
        <f t="array" ref="O770" xml:space="preserve"> _xlfn.IFS(A770 &lt;ASSUMPTIONS!$D$2,"25",A770 &lt;= ASSUMPTIONS!$D$3,"25-34",A770 &lt;= ASSUMPTIONS!$D$4, "35-44",A770 &lt;= ASSUMPTIONS!$D$5,"45-54",TRUE,"55+")</f>
        <v>35-44</v>
      </c>
      <c r="P770" t="str" cm="1">
        <f t="array" ref="P770">_xlfn.IFS( J770 &lt;ASSUMPTIONS!$D$7,"LOW",J770 &lt;= ASSUMPTIONS!$D$8,"MEDIUM",TRUE, "HIGH")</f>
        <v>HIGH</v>
      </c>
      <c r="Q770" t="str">
        <f>IF(M770&lt;ASSUMPTIONS!$D$10,"New (0-2)",IF(M770&lt;=ASSUMPTIONS!$D$11,"Early (2-5)",IF(M770&lt;=ASSUMPTIONS!$D$12,"Established (5-10)","Veteran (10+)")))</f>
        <v>Established (5-10)</v>
      </c>
      <c r="R770" s="4">
        <f t="shared" si="23"/>
        <v>2</v>
      </c>
    </row>
    <row r="771" spans="1:18">
      <c r="A771">
        <f>RAW_DATA!A771</f>
        <v>26</v>
      </c>
      <c r="B771" t="str">
        <f>RAW_DATA!B771</f>
        <v>No</v>
      </c>
      <c r="C771" t="str">
        <f>RAW_DATA!C771</f>
        <v>Research &amp; Development</v>
      </c>
      <c r="D771">
        <f>RAW_DATA!D771</f>
        <v>1</v>
      </c>
      <c r="E771">
        <f>RAW_DATA!E771</f>
        <v>1</v>
      </c>
      <c r="F771" t="str">
        <f>RAW_DATA!F771</f>
        <v>Medical</v>
      </c>
      <c r="G771">
        <f>RAW_DATA!G771</f>
        <v>1</v>
      </c>
      <c r="H771">
        <f>RAW_DATA!H771</f>
        <v>3</v>
      </c>
      <c r="I771" t="str">
        <f>RAW_DATA!I771</f>
        <v>Divorced</v>
      </c>
      <c r="J771">
        <f>RAW_DATA!J771</f>
        <v>2007</v>
      </c>
      <c r="K771">
        <f>RAW_DATA!K771</f>
        <v>1</v>
      </c>
      <c r="L771">
        <f>RAW_DATA!L771</f>
        <v>3</v>
      </c>
      <c r="M771">
        <f>RAW_DATA!M771</f>
        <v>5</v>
      </c>
      <c r="N771">
        <f t="shared" ref="N771:N834" si="24" xml:space="preserve"> IF(B771 ="Yes",1,0)</f>
        <v>0</v>
      </c>
      <c r="O771" t="str" cm="1">
        <f t="array" ref="O771" xml:space="preserve"> _xlfn.IFS(A771 &lt;ASSUMPTIONS!$D$2,"25",A771 &lt;= ASSUMPTIONS!$D$3,"25-34",A771 &lt;= ASSUMPTIONS!$D$4, "35-44",A771 &lt;= ASSUMPTIONS!$D$5,"45-54",TRUE,"55+")</f>
        <v>25-34</v>
      </c>
      <c r="P771" t="str" cm="1">
        <f t="array" ref="P771">_xlfn.IFS( J771 &lt;ASSUMPTIONS!$D$7,"LOW",J771 &lt;= ASSUMPTIONS!$D$8,"MEDIUM",TRUE, "HIGH")</f>
        <v>LOW</v>
      </c>
      <c r="Q771" t="str">
        <f>IF(M771&lt;ASSUMPTIONS!$D$10,"New (0-2)",IF(M771&lt;=ASSUMPTIONS!$D$11,"Early (2-5)",IF(M771&lt;=ASSUMPTIONS!$D$12,"Established (5-10)","Veteran (10+)")))</f>
        <v>Early (2-5)</v>
      </c>
      <c r="R771" s="4">
        <f t="shared" ref="R771:R834" si="25">AVERAGE(G771,H771,L771)</f>
        <v>2.3333333333333335</v>
      </c>
    </row>
    <row r="772" spans="1:18">
      <c r="A772">
        <f>RAW_DATA!A772</f>
        <v>46</v>
      </c>
      <c r="B772" t="str">
        <f>RAW_DATA!B772</f>
        <v>No</v>
      </c>
      <c r="C772" t="str">
        <f>RAW_DATA!C772</f>
        <v>Research &amp; Development</v>
      </c>
      <c r="D772">
        <f>RAW_DATA!D772</f>
        <v>1</v>
      </c>
      <c r="E772">
        <f>RAW_DATA!E772</f>
        <v>4</v>
      </c>
      <c r="F772" t="str">
        <f>RAW_DATA!F772</f>
        <v>Medical</v>
      </c>
      <c r="G772">
        <f>RAW_DATA!G772</f>
        <v>4</v>
      </c>
      <c r="H772">
        <f>RAW_DATA!H772</f>
        <v>4</v>
      </c>
      <c r="I772" t="str">
        <f>RAW_DATA!I772</f>
        <v>Divorced</v>
      </c>
      <c r="J772">
        <f>RAW_DATA!J772</f>
        <v>19627</v>
      </c>
      <c r="K772">
        <f>RAW_DATA!K772</f>
        <v>9</v>
      </c>
      <c r="L772">
        <f>RAW_DATA!L772</f>
        <v>3</v>
      </c>
      <c r="M772">
        <f>RAW_DATA!M772</f>
        <v>2</v>
      </c>
      <c r="N772">
        <f t="shared" si="24"/>
        <v>0</v>
      </c>
      <c r="O772" t="str" cm="1">
        <f t="array" ref="O772" xml:space="preserve"> _xlfn.IFS(A772 &lt;ASSUMPTIONS!$D$2,"25",A772 &lt;= ASSUMPTIONS!$D$3,"25-34",A772 &lt;= ASSUMPTIONS!$D$4, "35-44",A772 &lt;= ASSUMPTIONS!$D$5,"45-54",TRUE,"55+")</f>
        <v>45-54</v>
      </c>
      <c r="P772" t="str" cm="1">
        <f t="array" ref="P772">_xlfn.IFS( J772 &lt;ASSUMPTIONS!$D$7,"LOW",J772 &lt;= ASSUMPTIONS!$D$8,"MEDIUM",TRUE, "HIGH")</f>
        <v>HIGH</v>
      </c>
      <c r="Q772" t="str">
        <f>IF(M772&lt;ASSUMPTIONS!$D$10,"New (0-2)",IF(M772&lt;=ASSUMPTIONS!$D$11,"Early (2-5)",IF(M772&lt;=ASSUMPTIONS!$D$12,"Established (5-10)","Veteran (10+)")))</f>
        <v>Early (2-5)</v>
      </c>
      <c r="R772" s="4">
        <f t="shared" si="25"/>
        <v>3.6666666666666665</v>
      </c>
    </row>
    <row r="773" spans="1:18">
      <c r="A773">
        <f>RAW_DATA!A773</f>
        <v>54</v>
      </c>
      <c r="B773" t="str">
        <f>RAW_DATA!B773</f>
        <v>No</v>
      </c>
      <c r="C773" t="str">
        <f>RAW_DATA!C773</f>
        <v>Sales</v>
      </c>
      <c r="D773">
        <f>RAW_DATA!D773</f>
        <v>2</v>
      </c>
      <c r="E773">
        <f>RAW_DATA!E773</f>
        <v>4</v>
      </c>
      <c r="F773" t="str">
        <f>RAW_DATA!F773</f>
        <v>Life Sciences</v>
      </c>
      <c r="G773">
        <f>RAW_DATA!G773</f>
        <v>3</v>
      </c>
      <c r="H773">
        <f>RAW_DATA!H773</f>
        <v>3</v>
      </c>
      <c r="I773" t="str">
        <f>RAW_DATA!I773</f>
        <v>Married</v>
      </c>
      <c r="J773">
        <f>RAW_DATA!J773</f>
        <v>10686</v>
      </c>
      <c r="K773">
        <f>RAW_DATA!K773</f>
        <v>6</v>
      </c>
      <c r="L773">
        <f>RAW_DATA!L773</f>
        <v>3</v>
      </c>
      <c r="M773">
        <f>RAW_DATA!M773</f>
        <v>9</v>
      </c>
      <c r="N773">
        <f t="shared" si="24"/>
        <v>0</v>
      </c>
      <c r="O773" t="str" cm="1">
        <f t="array" ref="O773" xml:space="preserve"> _xlfn.IFS(A773 &lt;ASSUMPTIONS!$D$2,"25",A773 &lt;= ASSUMPTIONS!$D$3,"25-34",A773 &lt;= ASSUMPTIONS!$D$4, "35-44",A773 &lt;= ASSUMPTIONS!$D$5,"45-54",TRUE,"55+")</f>
        <v>45-54</v>
      </c>
      <c r="P773" t="str" cm="1">
        <f t="array" ref="P773">_xlfn.IFS( J773 &lt;ASSUMPTIONS!$D$7,"LOW",J773 &lt;= ASSUMPTIONS!$D$8,"MEDIUM",TRUE, "HIGH")</f>
        <v>HIGH</v>
      </c>
      <c r="Q773" t="str">
        <f>IF(M773&lt;ASSUMPTIONS!$D$10,"New (0-2)",IF(M773&lt;=ASSUMPTIONS!$D$11,"Early (2-5)",IF(M773&lt;=ASSUMPTIONS!$D$12,"Established (5-10)","Veteran (10+)")))</f>
        <v>Established (5-10)</v>
      </c>
      <c r="R773" s="4">
        <f t="shared" si="25"/>
        <v>3</v>
      </c>
    </row>
    <row r="774" spans="1:18">
      <c r="A774">
        <f>RAW_DATA!A774</f>
        <v>56</v>
      </c>
      <c r="B774" t="str">
        <f>RAW_DATA!B774</f>
        <v>No</v>
      </c>
      <c r="C774" t="str">
        <f>RAW_DATA!C774</f>
        <v>Research &amp; Development</v>
      </c>
      <c r="D774">
        <f>RAW_DATA!D774</f>
        <v>9</v>
      </c>
      <c r="E774">
        <f>RAW_DATA!E774</f>
        <v>3</v>
      </c>
      <c r="F774" t="str">
        <f>RAW_DATA!F774</f>
        <v>Medical</v>
      </c>
      <c r="G774">
        <f>RAW_DATA!G774</f>
        <v>1</v>
      </c>
      <c r="H774">
        <f>RAW_DATA!H774</f>
        <v>3</v>
      </c>
      <c r="I774" t="str">
        <f>RAW_DATA!I774</f>
        <v>Married</v>
      </c>
      <c r="J774">
        <f>RAW_DATA!J774</f>
        <v>2942</v>
      </c>
      <c r="K774">
        <f>RAW_DATA!K774</f>
        <v>2</v>
      </c>
      <c r="L774">
        <f>RAW_DATA!L774</f>
        <v>3</v>
      </c>
      <c r="M774">
        <f>RAW_DATA!M774</f>
        <v>5</v>
      </c>
      <c r="N774">
        <f t="shared" si="24"/>
        <v>0</v>
      </c>
      <c r="O774" t="str" cm="1">
        <f t="array" ref="O774" xml:space="preserve"> _xlfn.IFS(A774 &lt;ASSUMPTIONS!$D$2,"25",A774 &lt;= ASSUMPTIONS!$D$3,"25-34",A774 &lt;= ASSUMPTIONS!$D$4, "35-44",A774 &lt;= ASSUMPTIONS!$D$5,"45-54",TRUE,"55+")</f>
        <v>55+</v>
      </c>
      <c r="P774" t="str" cm="1">
        <f t="array" ref="P774">_xlfn.IFS( J774 &lt;ASSUMPTIONS!$D$7,"LOW",J774 &lt;= ASSUMPTIONS!$D$8,"MEDIUM",TRUE, "HIGH")</f>
        <v>LOW</v>
      </c>
      <c r="Q774" t="str">
        <f>IF(M774&lt;ASSUMPTIONS!$D$10,"New (0-2)",IF(M774&lt;=ASSUMPTIONS!$D$11,"Early (2-5)",IF(M774&lt;=ASSUMPTIONS!$D$12,"Established (5-10)","Veteran (10+)")))</f>
        <v>Early (2-5)</v>
      </c>
      <c r="R774" s="4">
        <f t="shared" si="25"/>
        <v>2.3333333333333335</v>
      </c>
    </row>
    <row r="775" spans="1:18">
      <c r="A775">
        <f>RAW_DATA!A775</f>
        <v>36</v>
      </c>
      <c r="B775" t="str">
        <f>RAW_DATA!B775</f>
        <v>No</v>
      </c>
      <c r="C775" t="str">
        <f>RAW_DATA!C775</f>
        <v>Research &amp; Development</v>
      </c>
      <c r="D775">
        <f>RAW_DATA!D775</f>
        <v>12</v>
      </c>
      <c r="E775">
        <f>RAW_DATA!E775</f>
        <v>5</v>
      </c>
      <c r="F775" t="str">
        <f>RAW_DATA!F775</f>
        <v>Medical</v>
      </c>
      <c r="G775">
        <f>RAW_DATA!G775</f>
        <v>4</v>
      </c>
      <c r="H775">
        <f>RAW_DATA!H775</f>
        <v>4</v>
      </c>
      <c r="I775" t="str">
        <f>RAW_DATA!I775</f>
        <v>Single</v>
      </c>
      <c r="J775">
        <f>RAW_DATA!J775</f>
        <v>8858</v>
      </c>
      <c r="K775">
        <f>RAW_DATA!K775</f>
        <v>0</v>
      </c>
      <c r="L775">
        <f>RAW_DATA!L775</f>
        <v>2</v>
      </c>
      <c r="M775">
        <f>RAW_DATA!M775</f>
        <v>14</v>
      </c>
      <c r="N775">
        <f t="shared" si="24"/>
        <v>0</v>
      </c>
      <c r="O775" t="str" cm="1">
        <f t="array" ref="O775" xml:space="preserve"> _xlfn.IFS(A775 &lt;ASSUMPTIONS!$D$2,"25",A775 &lt;= ASSUMPTIONS!$D$3,"25-34",A775 &lt;= ASSUMPTIONS!$D$4, "35-44",A775 &lt;= ASSUMPTIONS!$D$5,"45-54",TRUE,"55+")</f>
        <v>35-44</v>
      </c>
      <c r="P775" t="str" cm="1">
        <f t="array" ref="P775">_xlfn.IFS( J775 &lt;ASSUMPTIONS!$D$7,"LOW",J775 &lt;= ASSUMPTIONS!$D$8,"MEDIUM",TRUE, "HIGH")</f>
        <v>HIGH</v>
      </c>
      <c r="Q775" t="str">
        <f>IF(M775&lt;ASSUMPTIONS!$D$10,"New (0-2)",IF(M775&lt;=ASSUMPTIONS!$D$11,"Early (2-5)",IF(M775&lt;=ASSUMPTIONS!$D$12,"Established (5-10)","Veteran (10+)")))</f>
        <v>Veteran (10+)</v>
      </c>
      <c r="R775" s="4">
        <f t="shared" si="25"/>
        <v>3.3333333333333335</v>
      </c>
    </row>
    <row r="776" spans="1:18">
      <c r="A776">
        <f>RAW_DATA!A776</f>
        <v>55</v>
      </c>
      <c r="B776" t="str">
        <f>RAW_DATA!B776</f>
        <v>No</v>
      </c>
      <c r="C776" t="str">
        <f>RAW_DATA!C776</f>
        <v>Research &amp; Development</v>
      </c>
      <c r="D776">
        <f>RAW_DATA!D776</f>
        <v>2</v>
      </c>
      <c r="E776">
        <f>RAW_DATA!E776</f>
        <v>1</v>
      </c>
      <c r="F776" t="str">
        <f>RAW_DATA!F776</f>
        <v>Medical</v>
      </c>
      <c r="G776">
        <f>RAW_DATA!G776</f>
        <v>3</v>
      </c>
      <c r="H776">
        <f>RAW_DATA!H776</f>
        <v>1</v>
      </c>
      <c r="I776" t="str">
        <f>RAW_DATA!I776</f>
        <v>Single</v>
      </c>
      <c r="J776">
        <f>RAW_DATA!J776</f>
        <v>16756</v>
      </c>
      <c r="K776">
        <f>RAW_DATA!K776</f>
        <v>7</v>
      </c>
      <c r="L776">
        <f>RAW_DATA!L776</f>
        <v>4</v>
      </c>
      <c r="M776">
        <f>RAW_DATA!M776</f>
        <v>9</v>
      </c>
      <c r="N776">
        <f t="shared" si="24"/>
        <v>0</v>
      </c>
      <c r="O776" t="str" cm="1">
        <f t="array" ref="O776" xml:space="preserve"> _xlfn.IFS(A776 &lt;ASSUMPTIONS!$D$2,"25",A776 &lt;= ASSUMPTIONS!$D$3,"25-34",A776 &lt;= ASSUMPTIONS!$D$4, "35-44",A776 &lt;= ASSUMPTIONS!$D$5,"45-54",TRUE,"55+")</f>
        <v>55+</v>
      </c>
      <c r="P776" t="str" cm="1">
        <f t="array" ref="P776">_xlfn.IFS( J776 &lt;ASSUMPTIONS!$D$7,"LOW",J776 &lt;= ASSUMPTIONS!$D$8,"MEDIUM",TRUE, "HIGH")</f>
        <v>HIGH</v>
      </c>
      <c r="Q776" t="str">
        <f>IF(M776&lt;ASSUMPTIONS!$D$10,"New (0-2)",IF(M776&lt;=ASSUMPTIONS!$D$11,"Early (2-5)",IF(M776&lt;=ASSUMPTIONS!$D$12,"Established (5-10)","Veteran (10+)")))</f>
        <v>Established (5-10)</v>
      </c>
      <c r="R776" s="4">
        <f t="shared" si="25"/>
        <v>2.6666666666666665</v>
      </c>
    </row>
    <row r="777" spans="1:18">
      <c r="A777">
        <f>RAW_DATA!A777</f>
        <v>43</v>
      </c>
      <c r="B777" t="str">
        <f>RAW_DATA!B777</f>
        <v>No</v>
      </c>
      <c r="C777" t="str">
        <f>RAW_DATA!C777</f>
        <v>Sales</v>
      </c>
      <c r="D777">
        <f>RAW_DATA!D777</f>
        <v>25</v>
      </c>
      <c r="E777">
        <f>RAW_DATA!E777</f>
        <v>3</v>
      </c>
      <c r="F777" t="str">
        <f>RAW_DATA!F777</f>
        <v>Medical</v>
      </c>
      <c r="G777">
        <f>RAW_DATA!G777</f>
        <v>3</v>
      </c>
      <c r="H777">
        <f>RAW_DATA!H777</f>
        <v>4</v>
      </c>
      <c r="I777" t="str">
        <f>RAW_DATA!I777</f>
        <v>Divorced</v>
      </c>
      <c r="J777">
        <f>RAW_DATA!J777</f>
        <v>10798</v>
      </c>
      <c r="K777">
        <f>RAW_DATA!K777</f>
        <v>5</v>
      </c>
      <c r="L777">
        <f>RAW_DATA!L777</f>
        <v>3</v>
      </c>
      <c r="M777">
        <f>RAW_DATA!M777</f>
        <v>1</v>
      </c>
      <c r="N777">
        <f t="shared" si="24"/>
        <v>0</v>
      </c>
      <c r="O777" t="str" cm="1">
        <f t="array" ref="O777" xml:space="preserve"> _xlfn.IFS(A777 &lt;ASSUMPTIONS!$D$2,"25",A777 &lt;= ASSUMPTIONS!$D$3,"25-34",A777 &lt;= ASSUMPTIONS!$D$4, "35-44",A777 &lt;= ASSUMPTIONS!$D$5,"45-54",TRUE,"55+")</f>
        <v>35-44</v>
      </c>
      <c r="P777" t="str" cm="1">
        <f t="array" ref="P777">_xlfn.IFS( J777 &lt;ASSUMPTIONS!$D$7,"LOW",J777 &lt;= ASSUMPTIONS!$D$8,"MEDIUM",TRUE, "HIGH")</f>
        <v>HIGH</v>
      </c>
      <c r="Q777" t="str">
        <f>IF(M777&lt;ASSUMPTIONS!$D$10,"New (0-2)",IF(M777&lt;=ASSUMPTIONS!$D$11,"Early (2-5)",IF(M777&lt;=ASSUMPTIONS!$D$12,"Established (5-10)","Veteran (10+)")))</f>
        <v>New (0-2)</v>
      </c>
      <c r="R777" s="4">
        <f t="shared" si="25"/>
        <v>3.3333333333333335</v>
      </c>
    </row>
    <row r="778" spans="1:18">
      <c r="A778">
        <f>RAW_DATA!A778</f>
        <v>20</v>
      </c>
      <c r="B778" t="str">
        <f>RAW_DATA!B778</f>
        <v>Yes</v>
      </c>
      <c r="C778" t="str">
        <f>RAW_DATA!C778</f>
        <v>Sales</v>
      </c>
      <c r="D778">
        <f>RAW_DATA!D778</f>
        <v>9</v>
      </c>
      <c r="E778">
        <f>RAW_DATA!E778</f>
        <v>3</v>
      </c>
      <c r="F778" t="str">
        <f>RAW_DATA!F778</f>
        <v>Marketing</v>
      </c>
      <c r="G778">
        <f>RAW_DATA!G778</f>
        <v>4</v>
      </c>
      <c r="H778">
        <f>RAW_DATA!H778</f>
        <v>4</v>
      </c>
      <c r="I778" t="str">
        <f>RAW_DATA!I778</f>
        <v>Single</v>
      </c>
      <c r="J778">
        <f>RAW_DATA!J778</f>
        <v>2323</v>
      </c>
      <c r="K778">
        <f>RAW_DATA!K778</f>
        <v>1</v>
      </c>
      <c r="L778">
        <f>RAW_DATA!L778</f>
        <v>3</v>
      </c>
      <c r="M778">
        <f>RAW_DATA!M778</f>
        <v>2</v>
      </c>
      <c r="N778">
        <f t="shared" si="24"/>
        <v>1</v>
      </c>
      <c r="O778" t="str" cm="1">
        <f t="array" ref="O778" xml:space="preserve"> _xlfn.IFS(A778 &lt;ASSUMPTIONS!$D$2,"25",A778 &lt;= ASSUMPTIONS!$D$3,"25-34",A778 &lt;= ASSUMPTIONS!$D$4, "35-44",A778 &lt;= ASSUMPTIONS!$D$5,"45-54",TRUE,"55+")</f>
        <v>25</v>
      </c>
      <c r="P778" t="str" cm="1">
        <f t="array" ref="P778">_xlfn.IFS( J778 &lt;ASSUMPTIONS!$D$7,"LOW",J778 &lt;= ASSUMPTIONS!$D$8,"MEDIUM",TRUE, "HIGH")</f>
        <v>LOW</v>
      </c>
      <c r="Q778" t="str">
        <f>IF(M778&lt;ASSUMPTIONS!$D$10,"New (0-2)",IF(M778&lt;=ASSUMPTIONS!$D$11,"Early (2-5)",IF(M778&lt;=ASSUMPTIONS!$D$12,"Established (5-10)","Veteran (10+)")))</f>
        <v>Early (2-5)</v>
      </c>
      <c r="R778" s="4">
        <f t="shared" si="25"/>
        <v>3.6666666666666665</v>
      </c>
    </row>
    <row r="779" spans="1:18">
      <c r="A779">
        <f>RAW_DATA!A779</f>
        <v>21</v>
      </c>
      <c r="B779" t="str">
        <f>RAW_DATA!B779</f>
        <v>Yes</v>
      </c>
      <c r="C779" t="str">
        <f>RAW_DATA!C779</f>
        <v>Research &amp; Development</v>
      </c>
      <c r="D779">
        <f>RAW_DATA!D779</f>
        <v>10</v>
      </c>
      <c r="E779">
        <f>RAW_DATA!E779</f>
        <v>3</v>
      </c>
      <c r="F779" t="str">
        <f>RAW_DATA!F779</f>
        <v>Life Sciences</v>
      </c>
      <c r="G779">
        <f>RAW_DATA!G779</f>
        <v>3</v>
      </c>
      <c r="H779">
        <f>RAW_DATA!H779</f>
        <v>1</v>
      </c>
      <c r="I779" t="str">
        <f>RAW_DATA!I779</f>
        <v>Single</v>
      </c>
      <c r="J779">
        <f>RAW_DATA!J779</f>
        <v>1416</v>
      </c>
      <c r="K779">
        <f>RAW_DATA!K779</f>
        <v>1</v>
      </c>
      <c r="L779">
        <f>RAW_DATA!L779</f>
        <v>2</v>
      </c>
      <c r="M779">
        <f>RAW_DATA!M779</f>
        <v>1</v>
      </c>
      <c r="N779">
        <f t="shared" si="24"/>
        <v>1</v>
      </c>
      <c r="O779" t="str" cm="1">
        <f t="array" ref="O779" xml:space="preserve"> _xlfn.IFS(A779 &lt;ASSUMPTIONS!$D$2,"25",A779 &lt;= ASSUMPTIONS!$D$3,"25-34",A779 &lt;= ASSUMPTIONS!$D$4, "35-44",A779 &lt;= ASSUMPTIONS!$D$5,"45-54",TRUE,"55+")</f>
        <v>25</v>
      </c>
      <c r="P779" t="str" cm="1">
        <f t="array" ref="P779">_xlfn.IFS( J779 &lt;ASSUMPTIONS!$D$7,"LOW",J779 &lt;= ASSUMPTIONS!$D$8,"MEDIUM",TRUE, "HIGH")</f>
        <v>LOW</v>
      </c>
      <c r="Q779" t="str">
        <f>IF(M779&lt;ASSUMPTIONS!$D$10,"New (0-2)",IF(M779&lt;=ASSUMPTIONS!$D$11,"Early (2-5)",IF(M779&lt;=ASSUMPTIONS!$D$12,"Established (5-10)","Veteran (10+)")))</f>
        <v>New (0-2)</v>
      </c>
      <c r="R779" s="4">
        <f t="shared" si="25"/>
        <v>2</v>
      </c>
    </row>
    <row r="780" spans="1:18">
      <c r="A780">
        <f>RAW_DATA!A780</f>
        <v>46</v>
      </c>
      <c r="B780" t="str">
        <f>RAW_DATA!B780</f>
        <v>No</v>
      </c>
      <c r="C780" t="str">
        <f>RAW_DATA!C780</f>
        <v>Research &amp; Development</v>
      </c>
      <c r="D780">
        <f>RAW_DATA!D780</f>
        <v>8</v>
      </c>
      <c r="E780">
        <f>RAW_DATA!E780</f>
        <v>4</v>
      </c>
      <c r="F780" t="str">
        <f>RAW_DATA!F780</f>
        <v>Life Sciences</v>
      </c>
      <c r="G780">
        <f>RAW_DATA!G780</f>
        <v>4</v>
      </c>
      <c r="H780">
        <f>RAW_DATA!H780</f>
        <v>1</v>
      </c>
      <c r="I780" t="str">
        <f>RAW_DATA!I780</f>
        <v>Divorced</v>
      </c>
      <c r="J780">
        <f>RAW_DATA!J780</f>
        <v>4615</v>
      </c>
      <c r="K780">
        <f>RAW_DATA!K780</f>
        <v>8</v>
      </c>
      <c r="L780">
        <f>RAW_DATA!L780</f>
        <v>3</v>
      </c>
      <c r="M780">
        <f>RAW_DATA!M780</f>
        <v>16</v>
      </c>
      <c r="N780">
        <f t="shared" si="24"/>
        <v>0</v>
      </c>
      <c r="O780" t="str" cm="1">
        <f t="array" ref="O780" xml:space="preserve"> _xlfn.IFS(A780 &lt;ASSUMPTIONS!$D$2,"25",A780 &lt;= ASSUMPTIONS!$D$3,"25-34",A780 &lt;= ASSUMPTIONS!$D$4, "35-44",A780 &lt;= ASSUMPTIONS!$D$5,"45-54",TRUE,"55+")</f>
        <v>45-54</v>
      </c>
      <c r="P780" t="str" cm="1">
        <f t="array" ref="P780">_xlfn.IFS( J780 &lt;ASSUMPTIONS!$D$7,"LOW",J780 &lt;= ASSUMPTIONS!$D$8,"MEDIUM",TRUE, "HIGH")</f>
        <v>MEDIUM</v>
      </c>
      <c r="Q780" t="str">
        <f>IF(M780&lt;ASSUMPTIONS!$D$10,"New (0-2)",IF(M780&lt;=ASSUMPTIONS!$D$11,"Early (2-5)",IF(M780&lt;=ASSUMPTIONS!$D$12,"Established (5-10)","Veteran (10+)")))</f>
        <v>Veteran (10+)</v>
      </c>
      <c r="R780" s="4">
        <f t="shared" si="25"/>
        <v>2.6666666666666665</v>
      </c>
    </row>
    <row r="781" spans="1:18">
      <c r="A781">
        <f>RAW_DATA!A781</f>
        <v>51</v>
      </c>
      <c r="B781" t="str">
        <f>RAW_DATA!B781</f>
        <v>Yes</v>
      </c>
      <c r="C781" t="str">
        <f>RAW_DATA!C781</f>
        <v>Research &amp; Development</v>
      </c>
      <c r="D781">
        <f>RAW_DATA!D781</f>
        <v>4</v>
      </c>
      <c r="E781">
        <f>RAW_DATA!E781</f>
        <v>4</v>
      </c>
      <c r="F781" t="str">
        <f>RAW_DATA!F781</f>
        <v>Life Sciences</v>
      </c>
      <c r="G781">
        <f>RAW_DATA!G781</f>
        <v>1</v>
      </c>
      <c r="H781">
        <f>RAW_DATA!H781</f>
        <v>3</v>
      </c>
      <c r="I781" t="str">
        <f>RAW_DATA!I781</f>
        <v>Married</v>
      </c>
      <c r="J781">
        <f>RAW_DATA!J781</f>
        <v>2461</v>
      </c>
      <c r="K781">
        <f>RAW_DATA!K781</f>
        <v>9</v>
      </c>
      <c r="L781">
        <f>RAW_DATA!L781</f>
        <v>4</v>
      </c>
      <c r="M781">
        <f>RAW_DATA!M781</f>
        <v>10</v>
      </c>
      <c r="N781">
        <f t="shared" si="24"/>
        <v>1</v>
      </c>
      <c r="O781" t="str" cm="1">
        <f t="array" ref="O781" xml:space="preserve"> _xlfn.IFS(A781 &lt;ASSUMPTIONS!$D$2,"25",A781 &lt;= ASSUMPTIONS!$D$3,"25-34",A781 &lt;= ASSUMPTIONS!$D$4, "35-44",A781 &lt;= ASSUMPTIONS!$D$5,"45-54",TRUE,"55+")</f>
        <v>45-54</v>
      </c>
      <c r="P781" t="str" cm="1">
        <f t="array" ref="P781">_xlfn.IFS( J781 &lt;ASSUMPTIONS!$D$7,"LOW",J781 &lt;= ASSUMPTIONS!$D$8,"MEDIUM",TRUE, "HIGH")</f>
        <v>LOW</v>
      </c>
      <c r="Q781" t="str">
        <f>IF(M781&lt;ASSUMPTIONS!$D$10,"New (0-2)",IF(M781&lt;=ASSUMPTIONS!$D$11,"Early (2-5)",IF(M781&lt;=ASSUMPTIONS!$D$12,"Established (5-10)","Veteran (10+)")))</f>
        <v>Established (5-10)</v>
      </c>
      <c r="R781" s="4">
        <f t="shared" si="25"/>
        <v>2.6666666666666665</v>
      </c>
    </row>
    <row r="782" spans="1:18">
      <c r="A782">
        <f>RAW_DATA!A782</f>
        <v>28</v>
      </c>
      <c r="B782" t="str">
        <f>RAW_DATA!B782</f>
        <v>Yes</v>
      </c>
      <c r="C782" t="str">
        <f>RAW_DATA!C782</f>
        <v>Research &amp; Development</v>
      </c>
      <c r="D782">
        <f>RAW_DATA!D782</f>
        <v>24</v>
      </c>
      <c r="E782">
        <f>RAW_DATA!E782</f>
        <v>2</v>
      </c>
      <c r="F782" t="str">
        <f>RAW_DATA!F782</f>
        <v>Technical Degree</v>
      </c>
      <c r="G782">
        <f>RAW_DATA!G782</f>
        <v>2</v>
      </c>
      <c r="H782">
        <f>RAW_DATA!H782</f>
        <v>1</v>
      </c>
      <c r="I782" t="str">
        <f>RAW_DATA!I782</f>
        <v>Single</v>
      </c>
      <c r="J782">
        <f>RAW_DATA!J782</f>
        <v>8722</v>
      </c>
      <c r="K782">
        <f>RAW_DATA!K782</f>
        <v>1</v>
      </c>
      <c r="L782">
        <f>RAW_DATA!L782</f>
        <v>2</v>
      </c>
      <c r="M782">
        <f>RAW_DATA!M782</f>
        <v>10</v>
      </c>
      <c r="N782">
        <f t="shared" si="24"/>
        <v>1</v>
      </c>
      <c r="O782" t="str" cm="1">
        <f t="array" ref="O782" xml:space="preserve"> _xlfn.IFS(A782 &lt;ASSUMPTIONS!$D$2,"25",A782 &lt;= ASSUMPTIONS!$D$3,"25-34",A782 &lt;= ASSUMPTIONS!$D$4, "35-44",A782 &lt;= ASSUMPTIONS!$D$5,"45-54",TRUE,"55+")</f>
        <v>25-34</v>
      </c>
      <c r="P782" t="str" cm="1">
        <f t="array" ref="P782">_xlfn.IFS( J782 &lt;ASSUMPTIONS!$D$7,"LOW",J782 &lt;= ASSUMPTIONS!$D$8,"MEDIUM",TRUE, "HIGH")</f>
        <v>HIGH</v>
      </c>
      <c r="Q782" t="str">
        <f>IF(M782&lt;ASSUMPTIONS!$D$10,"New (0-2)",IF(M782&lt;=ASSUMPTIONS!$D$11,"Early (2-5)",IF(M782&lt;=ASSUMPTIONS!$D$12,"Established (5-10)","Veteran (10+)")))</f>
        <v>Established (5-10)</v>
      </c>
      <c r="R782" s="4">
        <f t="shared" si="25"/>
        <v>1.6666666666666667</v>
      </c>
    </row>
    <row r="783" spans="1:18">
      <c r="A783">
        <f>RAW_DATA!A783</f>
        <v>26</v>
      </c>
      <c r="B783" t="str">
        <f>RAW_DATA!B783</f>
        <v>No</v>
      </c>
      <c r="C783" t="str">
        <f>RAW_DATA!C783</f>
        <v>Research &amp; Development</v>
      </c>
      <c r="D783">
        <f>RAW_DATA!D783</f>
        <v>1</v>
      </c>
      <c r="E783">
        <f>RAW_DATA!E783</f>
        <v>2</v>
      </c>
      <c r="F783" t="str">
        <f>RAW_DATA!F783</f>
        <v>Medical</v>
      </c>
      <c r="G783">
        <f>RAW_DATA!G783</f>
        <v>1</v>
      </c>
      <c r="H783">
        <f>RAW_DATA!H783</f>
        <v>1</v>
      </c>
      <c r="I783" t="str">
        <f>RAW_DATA!I783</f>
        <v>Married</v>
      </c>
      <c r="J783">
        <f>RAW_DATA!J783</f>
        <v>3955</v>
      </c>
      <c r="K783">
        <f>RAW_DATA!K783</f>
        <v>1</v>
      </c>
      <c r="L783">
        <f>RAW_DATA!L783</f>
        <v>3</v>
      </c>
      <c r="M783">
        <f>RAW_DATA!M783</f>
        <v>5</v>
      </c>
      <c r="N783">
        <f t="shared" si="24"/>
        <v>0</v>
      </c>
      <c r="O783" t="str" cm="1">
        <f t="array" ref="O783" xml:space="preserve"> _xlfn.IFS(A783 &lt;ASSUMPTIONS!$D$2,"25",A783 &lt;= ASSUMPTIONS!$D$3,"25-34",A783 &lt;= ASSUMPTIONS!$D$4, "35-44",A783 &lt;= ASSUMPTIONS!$D$5,"45-54",TRUE,"55+")</f>
        <v>25-34</v>
      </c>
      <c r="P783" t="str" cm="1">
        <f t="array" ref="P783">_xlfn.IFS( J783 &lt;ASSUMPTIONS!$D$7,"LOW",J783 &lt;= ASSUMPTIONS!$D$8,"MEDIUM",TRUE, "HIGH")</f>
        <v>MEDIUM</v>
      </c>
      <c r="Q783" t="str">
        <f>IF(M783&lt;ASSUMPTIONS!$D$10,"New (0-2)",IF(M783&lt;=ASSUMPTIONS!$D$11,"Early (2-5)",IF(M783&lt;=ASSUMPTIONS!$D$12,"Established (5-10)","Veteran (10+)")))</f>
        <v>Early (2-5)</v>
      </c>
      <c r="R783" s="4">
        <f t="shared" si="25"/>
        <v>1.6666666666666667</v>
      </c>
    </row>
    <row r="784" spans="1:18">
      <c r="A784">
        <f>RAW_DATA!A784</f>
        <v>30</v>
      </c>
      <c r="B784" t="str">
        <f>RAW_DATA!B784</f>
        <v>No</v>
      </c>
      <c r="C784" t="str">
        <f>RAW_DATA!C784</f>
        <v>Research &amp; Development</v>
      </c>
      <c r="D784">
        <f>RAW_DATA!D784</f>
        <v>20</v>
      </c>
      <c r="E784">
        <f>RAW_DATA!E784</f>
        <v>3</v>
      </c>
      <c r="F784" t="str">
        <f>RAW_DATA!F784</f>
        <v>Other</v>
      </c>
      <c r="G784">
        <f>RAW_DATA!G784</f>
        <v>3</v>
      </c>
      <c r="H784">
        <f>RAW_DATA!H784</f>
        <v>1</v>
      </c>
      <c r="I784" t="str">
        <f>RAW_DATA!I784</f>
        <v>Married</v>
      </c>
      <c r="J784">
        <f>RAW_DATA!J784</f>
        <v>9957</v>
      </c>
      <c r="K784">
        <f>RAW_DATA!K784</f>
        <v>0</v>
      </c>
      <c r="L784">
        <f>RAW_DATA!L784</f>
        <v>2</v>
      </c>
      <c r="M784">
        <f>RAW_DATA!M784</f>
        <v>6</v>
      </c>
      <c r="N784">
        <f t="shared" si="24"/>
        <v>0</v>
      </c>
      <c r="O784" t="str" cm="1">
        <f t="array" ref="O784" xml:space="preserve"> _xlfn.IFS(A784 &lt;ASSUMPTIONS!$D$2,"25",A784 &lt;= ASSUMPTIONS!$D$3,"25-34",A784 &lt;= ASSUMPTIONS!$D$4, "35-44",A784 &lt;= ASSUMPTIONS!$D$5,"45-54",TRUE,"55+")</f>
        <v>25-34</v>
      </c>
      <c r="P784" t="str" cm="1">
        <f t="array" ref="P784">_xlfn.IFS( J784 &lt;ASSUMPTIONS!$D$7,"LOW",J784 &lt;= ASSUMPTIONS!$D$8,"MEDIUM",TRUE, "HIGH")</f>
        <v>HIGH</v>
      </c>
      <c r="Q784" t="str">
        <f>IF(M784&lt;ASSUMPTIONS!$D$10,"New (0-2)",IF(M784&lt;=ASSUMPTIONS!$D$11,"Early (2-5)",IF(M784&lt;=ASSUMPTIONS!$D$12,"Established (5-10)","Veteran (10+)")))</f>
        <v>Established (5-10)</v>
      </c>
      <c r="R784" s="4">
        <f t="shared" si="25"/>
        <v>2</v>
      </c>
    </row>
    <row r="785" spans="1:18">
      <c r="A785">
        <f>RAW_DATA!A785</f>
        <v>41</v>
      </c>
      <c r="B785" t="str">
        <f>RAW_DATA!B785</f>
        <v>No</v>
      </c>
      <c r="C785" t="str">
        <f>RAW_DATA!C785</f>
        <v>Research &amp; Development</v>
      </c>
      <c r="D785">
        <f>RAW_DATA!D785</f>
        <v>7</v>
      </c>
      <c r="E785">
        <f>RAW_DATA!E785</f>
        <v>2</v>
      </c>
      <c r="F785" t="str">
        <f>RAW_DATA!F785</f>
        <v>Technical Degree</v>
      </c>
      <c r="G785">
        <f>RAW_DATA!G785</f>
        <v>2</v>
      </c>
      <c r="H785">
        <f>RAW_DATA!H785</f>
        <v>3</v>
      </c>
      <c r="I785" t="str">
        <f>RAW_DATA!I785</f>
        <v>Married</v>
      </c>
      <c r="J785">
        <f>RAW_DATA!J785</f>
        <v>3376</v>
      </c>
      <c r="K785">
        <f>RAW_DATA!K785</f>
        <v>1</v>
      </c>
      <c r="L785">
        <f>RAW_DATA!L785</f>
        <v>3</v>
      </c>
      <c r="M785">
        <f>RAW_DATA!M785</f>
        <v>10</v>
      </c>
      <c r="N785">
        <f t="shared" si="24"/>
        <v>0</v>
      </c>
      <c r="O785" t="str" cm="1">
        <f t="array" ref="O785" xml:space="preserve"> _xlfn.IFS(A785 &lt;ASSUMPTIONS!$D$2,"25",A785 &lt;= ASSUMPTIONS!$D$3,"25-34",A785 &lt;= ASSUMPTIONS!$D$4, "35-44",A785 &lt;= ASSUMPTIONS!$D$5,"45-54",TRUE,"55+")</f>
        <v>35-44</v>
      </c>
      <c r="P785" t="str" cm="1">
        <f t="array" ref="P785">_xlfn.IFS( J785 &lt;ASSUMPTIONS!$D$7,"LOW",J785 &lt;= ASSUMPTIONS!$D$8,"MEDIUM",TRUE, "HIGH")</f>
        <v>MEDIUM</v>
      </c>
      <c r="Q785" t="str">
        <f>IF(M785&lt;ASSUMPTIONS!$D$10,"New (0-2)",IF(M785&lt;=ASSUMPTIONS!$D$11,"Early (2-5)",IF(M785&lt;=ASSUMPTIONS!$D$12,"Established (5-10)","Veteran (10+)")))</f>
        <v>Established (5-10)</v>
      </c>
      <c r="R785" s="4">
        <f t="shared" si="25"/>
        <v>2.6666666666666665</v>
      </c>
    </row>
    <row r="786" spans="1:18">
      <c r="A786">
        <f>RAW_DATA!A786</f>
        <v>38</v>
      </c>
      <c r="B786" t="str">
        <f>RAW_DATA!B786</f>
        <v>No</v>
      </c>
      <c r="C786" t="str">
        <f>RAW_DATA!C786</f>
        <v>Research &amp; Development</v>
      </c>
      <c r="D786">
        <f>RAW_DATA!D786</f>
        <v>17</v>
      </c>
      <c r="E786">
        <f>RAW_DATA!E786</f>
        <v>1</v>
      </c>
      <c r="F786" t="str">
        <f>RAW_DATA!F786</f>
        <v>Life Sciences</v>
      </c>
      <c r="G786">
        <f>RAW_DATA!G786</f>
        <v>3</v>
      </c>
      <c r="H786">
        <f>RAW_DATA!H786</f>
        <v>3</v>
      </c>
      <c r="I786" t="str">
        <f>RAW_DATA!I786</f>
        <v>Married</v>
      </c>
      <c r="J786">
        <f>RAW_DATA!J786</f>
        <v>8823</v>
      </c>
      <c r="K786">
        <f>RAW_DATA!K786</f>
        <v>0</v>
      </c>
      <c r="L786">
        <f>RAW_DATA!L786</f>
        <v>2</v>
      </c>
      <c r="M786">
        <f>RAW_DATA!M786</f>
        <v>19</v>
      </c>
      <c r="N786">
        <f t="shared" si="24"/>
        <v>0</v>
      </c>
      <c r="O786" t="str" cm="1">
        <f t="array" ref="O786" xml:space="preserve"> _xlfn.IFS(A786 &lt;ASSUMPTIONS!$D$2,"25",A786 &lt;= ASSUMPTIONS!$D$3,"25-34",A786 &lt;= ASSUMPTIONS!$D$4, "35-44",A786 &lt;= ASSUMPTIONS!$D$5,"45-54",TRUE,"55+")</f>
        <v>35-44</v>
      </c>
      <c r="P786" t="str" cm="1">
        <f t="array" ref="P786">_xlfn.IFS( J786 &lt;ASSUMPTIONS!$D$7,"LOW",J786 &lt;= ASSUMPTIONS!$D$8,"MEDIUM",TRUE, "HIGH")</f>
        <v>HIGH</v>
      </c>
      <c r="Q786" t="str">
        <f>IF(M786&lt;ASSUMPTIONS!$D$10,"New (0-2)",IF(M786&lt;=ASSUMPTIONS!$D$11,"Early (2-5)",IF(M786&lt;=ASSUMPTIONS!$D$12,"Established (5-10)","Veteran (10+)")))</f>
        <v>Veteran (10+)</v>
      </c>
      <c r="R786" s="4">
        <f t="shared" si="25"/>
        <v>2.6666666666666665</v>
      </c>
    </row>
    <row r="787" spans="1:18">
      <c r="A787">
        <f>RAW_DATA!A787</f>
        <v>40</v>
      </c>
      <c r="B787" t="str">
        <f>RAW_DATA!B787</f>
        <v>No</v>
      </c>
      <c r="C787" t="str">
        <f>RAW_DATA!C787</f>
        <v>Research &amp; Development</v>
      </c>
      <c r="D787">
        <f>RAW_DATA!D787</f>
        <v>20</v>
      </c>
      <c r="E787">
        <f>RAW_DATA!E787</f>
        <v>4</v>
      </c>
      <c r="F787" t="str">
        <f>RAW_DATA!F787</f>
        <v>Technical Degree</v>
      </c>
      <c r="G787">
        <f>RAW_DATA!G787</f>
        <v>1</v>
      </c>
      <c r="H787">
        <f>RAW_DATA!H787</f>
        <v>4</v>
      </c>
      <c r="I787" t="str">
        <f>RAW_DATA!I787</f>
        <v>Married</v>
      </c>
      <c r="J787">
        <f>RAW_DATA!J787</f>
        <v>10322</v>
      </c>
      <c r="K787">
        <f>RAW_DATA!K787</f>
        <v>4</v>
      </c>
      <c r="L787">
        <f>RAW_DATA!L787</f>
        <v>3</v>
      </c>
      <c r="M787">
        <f>RAW_DATA!M787</f>
        <v>11</v>
      </c>
      <c r="N787">
        <f t="shared" si="24"/>
        <v>0</v>
      </c>
      <c r="O787" t="str" cm="1">
        <f t="array" ref="O787" xml:space="preserve"> _xlfn.IFS(A787 &lt;ASSUMPTIONS!$D$2,"25",A787 &lt;= ASSUMPTIONS!$D$3,"25-34",A787 &lt;= ASSUMPTIONS!$D$4, "35-44",A787 &lt;= ASSUMPTIONS!$D$5,"45-54",TRUE,"55+")</f>
        <v>35-44</v>
      </c>
      <c r="P787" t="str" cm="1">
        <f t="array" ref="P787">_xlfn.IFS( J787 &lt;ASSUMPTIONS!$D$7,"LOW",J787 &lt;= ASSUMPTIONS!$D$8,"MEDIUM",TRUE, "HIGH")</f>
        <v>HIGH</v>
      </c>
      <c r="Q787" t="str">
        <f>IF(M787&lt;ASSUMPTIONS!$D$10,"New (0-2)",IF(M787&lt;=ASSUMPTIONS!$D$11,"Early (2-5)",IF(M787&lt;=ASSUMPTIONS!$D$12,"Established (5-10)","Veteran (10+)")))</f>
        <v>Veteran (10+)</v>
      </c>
      <c r="R787" s="4">
        <f t="shared" si="25"/>
        <v>2.6666666666666665</v>
      </c>
    </row>
    <row r="788" spans="1:18">
      <c r="A788">
        <f>RAW_DATA!A788</f>
        <v>27</v>
      </c>
      <c r="B788" t="str">
        <f>RAW_DATA!B788</f>
        <v>No</v>
      </c>
      <c r="C788" t="str">
        <f>RAW_DATA!C788</f>
        <v>Research &amp; Development</v>
      </c>
      <c r="D788">
        <f>RAW_DATA!D788</f>
        <v>8</v>
      </c>
      <c r="E788">
        <f>RAW_DATA!E788</f>
        <v>5</v>
      </c>
      <c r="F788" t="str">
        <f>RAW_DATA!F788</f>
        <v>Life Sciences</v>
      </c>
      <c r="G788">
        <f>RAW_DATA!G788</f>
        <v>1</v>
      </c>
      <c r="H788">
        <f>RAW_DATA!H788</f>
        <v>3</v>
      </c>
      <c r="I788" t="str">
        <f>RAW_DATA!I788</f>
        <v>Married</v>
      </c>
      <c r="J788">
        <f>RAW_DATA!J788</f>
        <v>4621</v>
      </c>
      <c r="K788">
        <f>RAW_DATA!K788</f>
        <v>1</v>
      </c>
      <c r="L788">
        <f>RAW_DATA!L788</f>
        <v>3</v>
      </c>
      <c r="M788">
        <f>RAW_DATA!M788</f>
        <v>3</v>
      </c>
      <c r="N788">
        <f t="shared" si="24"/>
        <v>0</v>
      </c>
      <c r="O788" t="str" cm="1">
        <f t="array" ref="O788" xml:space="preserve"> _xlfn.IFS(A788 &lt;ASSUMPTIONS!$D$2,"25",A788 &lt;= ASSUMPTIONS!$D$3,"25-34",A788 &lt;= ASSUMPTIONS!$D$4, "35-44",A788 &lt;= ASSUMPTIONS!$D$5,"45-54",TRUE,"55+")</f>
        <v>25-34</v>
      </c>
      <c r="P788" t="str" cm="1">
        <f t="array" ref="P788">_xlfn.IFS( J788 &lt;ASSUMPTIONS!$D$7,"LOW",J788 &lt;= ASSUMPTIONS!$D$8,"MEDIUM",TRUE, "HIGH")</f>
        <v>MEDIUM</v>
      </c>
      <c r="Q788" t="str">
        <f>IF(M788&lt;ASSUMPTIONS!$D$10,"New (0-2)",IF(M788&lt;=ASSUMPTIONS!$D$11,"Early (2-5)",IF(M788&lt;=ASSUMPTIONS!$D$12,"Established (5-10)","Veteran (10+)")))</f>
        <v>Early (2-5)</v>
      </c>
      <c r="R788" s="4">
        <f t="shared" si="25"/>
        <v>2.3333333333333335</v>
      </c>
    </row>
    <row r="789" spans="1:18">
      <c r="A789">
        <f>RAW_DATA!A789</f>
        <v>55</v>
      </c>
      <c r="B789" t="str">
        <f>RAW_DATA!B789</f>
        <v>No</v>
      </c>
      <c r="C789" t="str">
        <f>RAW_DATA!C789</f>
        <v>Research &amp; Development</v>
      </c>
      <c r="D789">
        <f>RAW_DATA!D789</f>
        <v>2</v>
      </c>
      <c r="E789">
        <f>RAW_DATA!E789</f>
        <v>1</v>
      </c>
      <c r="F789" t="str">
        <f>RAW_DATA!F789</f>
        <v>Life Sciences</v>
      </c>
      <c r="G789">
        <f>RAW_DATA!G789</f>
        <v>4</v>
      </c>
      <c r="H789">
        <f>RAW_DATA!H789</f>
        <v>2</v>
      </c>
      <c r="I789" t="str">
        <f>RAW_DATA!I789</f>
        <v>Married</v>
      </c>
      <c r="J789">
        <f>RAW_DATA!J789</f>
        <v>10976</v>
      </c>
      <c r="K789">
        <f>RAW_DATA!K789</f>
        <v>3</v>
      </c>
      <c r="L789">
        <f>RAW_DATA!L789</f>
        <v>3</v>
      </c>
      <c r="M789">
        <f>RAW_DATA!M789</f>
        <v>3</v>
      </c>
      <c r="N789">
        <f t="shared" si="24"/>
        <v>0</v>
      </c>
      <c r="O789" t="str" cm="1">
        <f t="array" ref="O789" xml:space="preserve"> _xlfn.IFS(A789 &lt;ASSUMPTIONS!$D$2,"25",A789 &lt;= ASSUMPTIONS!$D$3,"25-34",A789 &lt;= ASSUMPTIONS!$D$4, "35-44",A789 &lt;= ASSUMPTIONS!$D$5,"45-54",TRUE,"55+")</f>
        <v>55+</v>
      </c>
      <c r="P789" t="str" cm="1">
        <f t="array" ref="P789">_xlfn.IFS( J789 &lt;ASSUMPTIONS!$D$7,"LOW",J789 &lt;= ASSUMPTIONS!$D$8,"MEDIUM",TRUE, "HIGH")</f>
        <v>HIGH</v>
      </c>
      <c r="Q789" t="str">
        <f>IF(M789&lt;ASSUMPTIONS!$D$10,"New (0-2)",IF(M789&lt;=ASSUMPTIONS!$D$11,"Early (2-5)",IF(M789&lt;=ASSUMPTIONS!$D$12,"Established (5-10)","Veteran (10+)")))</f>
        <v>Early (2-5)</v>
      </c>
      <c r="R789" s="4">
        <f t="shared" si="25"/>
        <v>3</v>
      </c>
    </row>
    <row r="790" spans="1:18">
      <c r="A790">
        <f>RAW_DATA!A790</f>
        <v>28</v>
      </c>
      <c r="B790" t="str">
        <f>RAW_DATA!B790</f>
        <v>No</v>
      </c>
      <c r="C790" t="str">
        <f>RAW_DATA!C790</f>
        <v>Research &amp; Development</v>
      </c>
      <c r="D790">
        <f>RAW_DATA!D790</f>
        <v>10</v>
      </c>
      <c r="E790">
        <f>RAW_DATA!E790</f>
        <v>3</v>
      </c>
      <c r="F790" t="str">
        <f>RAW_DATA!F790</f>
        <v>Other</v>
      </c>
      <c r="G790">
        <f>RAW_DATA!G790</f>
        <v>3</v>
      </c>
      <c r="H790">
        <f>RAW_DATA!H790</f>
        <v>3</v>
      </c>
      <c r="I790" t="str">
        <f>RAW_DATA!I790</f>
        <v>Single</v>
      </c>
      <c r="J790">
        <f>RAW_DATA!J790</f>
        <v>3660</v>
      </c>
      <c r="K790">
        <f>RAW_DATA!K790</f>
        <v>3</v>
      </c>
      <c r="L790">
        <f>RAW_DATA!L790</f>
        <v>4</v>
      </c>
      <c r="M790">
        <f>RAW_DATA!M790</f>
        <v>8</v>
      </c>
      <c r="N790">
        <f t="shared" si="24"/>
        <v>0</v>
      </c>
      <c r="O790" t="str" cm="1">
        <f t="array" ref="O790" xml:space="preserve"> _xlfn.IFS(A790 &lt;ASSUMPTIONS!$D$2,"25",A790 &lt;= ASSUMPTIONS!$D$3,"25-34",A790 &lt;= ASSUMPTIONS!$D$4, "35-44",A790 &lt;= ASSUMPTIONS!$D$5,"45-54",TRUE,"55+")</f>
        <v>25-34</v>
      </c>
      <c r="P790" t="str" cm="1">
        <f t="array" ref="P790">_xlfn.IFS( J790 &lt;ASSUMPTIONS!$D$7,"LOW",J790 &lt;= ASSUMPTIONS!$D$8,"MEDIUM",TRUE, "HIGH")</f>
        <v>MEDIUM</v>
      </c>
      <c r="Q790" t="str">
        <f>IF(M790&lt;ASSUMPTIONS!$D$10,"New (0-2)",IF(M790&lt;=ASSUMPTIONS!$D$11,"Early (2-5)",IF(M790&lt;=ASSUMPTIONS!$D$12,"Established (5-10)","Veteran (10+)")))</f>
        <v>Established (5-10)</v>
      </c>
      <c r="R790" s="4">
        <f t="shared" si="25"/>
        <v>3.3333333333333335</v>
      </c>
    </row>
    <row r="791" spans="1:18">
      <c r="A791">
        <f>RAW_DATA!A791</f>
        <v>44</v>
      </c>
      <c r="B791" t="str">
        <f>RAW_DATA!B791</f>
        <v>Yes</v>
      </c>
      <c r="C791" t="str">
        <f>RAW_DATA!C791</f>
        <v>Human Resources</v>
      </c>
      <c r="D791">
        <f>RAW_DATA!D791</f>
        <v>1</v>
      </c>
      <c r="E791">
        <f>RAW_DATA!E791</f>
        <v>2</v>
      </c>
      <c r="F791" t="str">
        <f>RAW_DATA!F791</f>
        <v>Medical</v>
      </c>
      <c r="G791">
        <f>RAW_DATA!G791</f>
        <v>2</v>
      </c>
      <c r="H791">
        <f>RAW_DATA!H791</f>
        <v>1</v>
      </c>
      <c r="I791" t="str">
        <f>RAW_DATA!I791</f>
        <v>Married</v>
      </c>
      <c r="J791">
        <f>RAW_DATA!J791</f>
        <v>10482</v>
      </c>
      <c r="K791">
        <f>RAW_DATA!K791</f>
        <v>9</v>
      </c>
      <c r="L791">
        <f>RAW_DATA!L791</f>
        <v>3</v>
      </c>
      <c r="M791">
        <f>RAW_DATA!M791</f>
        <v>20</v>
      </c>
      <c r="N791">
        <f t="shared" si="24"/>
        <v>1</v>
      </c>
      <c r="O791" t="str" cm="1">
        <f t="array" ref="O791" xml:space="preserve"> _xlfn.IFS(A791 &lt;ASSUMPTIONS!$D$2,"25",A791 &lt;= ASSUMPTIONS!$D$3,"25-34",A791 &lt;= ASSUMPTIONS!$D$4, "35-44",A791 &lt;= ASSUMPTIONS!$D$5,"45-54",TRUE,"55+")</f>
        <v>35-44</v>
      </c>
      <c r="P791" t="str" cm="1">
        <f t="array" ref="P791">_xlfn.IFS( J791 &lt;ASSUMPTIONS!$D$7,"LOW",J791 &lt;= ASSUMPTIONS!$D$8,"MEDIUM",TRUE, "HIGH")</f>
        <v>HIGH</v>
      </c>
      <c r="Q791" t="str">
        <f>IF(M791&lt;ASSUMPTIONS!$D$10,"New (0-2)",IF(M791&lt;=ASSUMPTIONS!$D$11,"Early (2-5)",IF(M791&lt;=ASSUMPTIONS!$D$12,"Established (5-10)","Veteran (10+)")))</f>
        <v>Veteran (10+)</v>
      </c>
      <c r="R791" s="4">
        <f t="shared" si="25"/>
        <v>2</v>
      </c>
    </row>
    <row r="792" spans="1:18">
      <c r="A792">
        <f>RAW_DATA!A792</f>
        <v>33</v>
      </c>
      <c r="B792" t="str">
        <f>RAW_DATA!B792</f>
        <v>No</v>
      </c>
      <c r="C792" t="str">
        <f>RAW_DATA!C792</f>
        <v>Research &amp; Development</v>
      </c>
      <c r="D792">
        <f>RAW_DATA!D792</f>
        <v>5</v>
      </c>
      <c r="E792">
        <f>RAW_DATA!E792</f>
        <v>3</v>
      </c>
      <c r="F792" t="str">
        <f>RAW_DATA!F792</f>
        <v>Life Sciences</v>
      </c>
      <c r="G792">
        <f>RAW_DATA!G792</f>
        <v>4</v>
      </c>
      <c r="H792">
        <f>RAW_DATA!H792</f>
        <v>4</v>
      </c>
      <c r="I792" t="str">
        <f>RAW_DATA!I792</f>
        <v>Divorced</v>
      </c>
      <c r="J792">
        <f>RAW_DATA!J792</f>
        <v>7119</v>
      </c>
      <c r="K792">
        <f>RAW_DATA!K792</f>
        <v>4</v>
      </c>
      <c r="L792">
        <f>RAW_DATA!L792</f>
        <v>3</v>
      </c>
      <c r="M792">
        <f>RAW_DATA!M792</f>
        <v>3</v>
      </c>
      <c r="N792">
        <f t="shared" si="24"/>
        <v>0</v>
      </c>
      <c r="O792" t="str" cm="1">
        <f t="array" ref="O792" xml:space="preserve"> _xlfn.IFS(A792 &lt;ASSUMPTIONS!$D$2,"25",A792 &lt;= ASSUMPTIONS!$D$3,"25-34",A792 &lt;= ASSUMPTIONS!$D$4, "35-44",A792 &lt;= ASSUMPTIONS!$D$5,"45-54",TRUE,"55+")</f>
        <v>25-34</v>
      </c>
      <c r="P792" t="str" cm="1">
        <f t="array" ref="P792">_xlfn.IFS( J792 &lt;ASSUMPTIONS!$D$7,"LOW",J792 &lt;= ASSUMPTIONS!$D$8,"MEDIUM",TRUE, "HIGH")</f>
        <v>HIGH</v>
      </c>
      <c r="Q792" t="str">
        <f>IF(M792&lt;ASSUMPTIONS!$D$10,"New (0-2)",IF(M792&lt;=ASSUMPTIONS!$D$11,"Early (2-5)",IF(M792&lt;=ASSUMPTIONS!$D$12,"Established (5-10)","Veteran (10+)")))</f>
        <v>Early (2-5)</v>
      </c>
      <c r="R792" s="4">
        <f t="shared" si="25"/>
        <v>3.6666666666666665</v>
      </c>
    </row>
    <row r="793" spans="1:18">
      <c r="A793">
        <f>RAW_DATA!A793</f>
        <v>35</v>
      </c>
      <c r="B793" t="str">
        <f>RAW_DATA!B793</f>
        <v>Yes</v>
      </c>
      <c r="C793" t="str">
        <f>RAW_DATA!C793</f>
        <v>Sales</v>
      </c>
      <c r="D793">
        <f>RAW_DATA!D793</f>
        <v>4</v>
      </c>
      <c r="E793">
        <f>RAW_DATA!E793</f>
        <v>3</v>
      </c>
      <c r="F793" t="str">
        <f>RAW_DATA!F793</f>
        <v>Technical Degree</v>
      </c>
      <c r="G793">
        <f>RAW_DATA!G793</f>
        <v>4</v>
      </c>
      <c r="H793">
        <f>RAW_DATA!H793</f>
        <v>1</v>
      </c>
      <c r="I793" t="str">
        <f>RAW_DATA!I793</f>
        <v>Single</v>
      </c>
      <c r="J793">
        <f>RAW_DATA!J793</f>
        <v>9582</v>
      </c>
      <c r="K793">
        <f>RAW_DATA!K793</f>
        <v>0</v>
      </c>
      <c r="L793">
        <f>RAW_DATA!L793</f>
        <v>3</v>
      </c>
      <c r="M793">
        <f>RAW_DATA!M793</f>
        <v>8</v>
      </c>
      <c r="N793">
        <f t="shared" si="24"/>
        <v>1</v>
      </c>
      <c r="O793" t="str" cm="1">
        <f t="array" ref="O793" xml:space="preserve"> _xlfn.IFS(A793 &lt;ASSUMPTIONS!$D$2,"25",A793 &lt;= ASSUMPTIONS!$D$3,"25-34",A793 &lt;= ASSUMPTIONS!$D$4, "35-44",A793 &lt;= ASSUMPTIONS!$D$5,"45-54",TRUE,"55+")</f>
        <v>35-44</v>
      </c>
      <c r="P793" t="str" cm="1">
        <f t="array" ref="P793">_xlfn.IFS( J793 &lt;ASSUMPTIONS!$D$7,"LOW",J793 &lt;= ASSUMPTIONS!$D$8,"MEDIUM",TRUE, "HIGH")</f>
        <v>HIGH</v>
      </c>
      <c r="Q793" t="str">
        <f>IF(M793&lt;ASSUMPTIONS!$D$10,"New (0-2)",IF(M793&lt;=ASSUMPTIONS!$D$11,"Early (2-5)",IF(M793&lt;=ASSUMPTIONS!$D$12,"Established (5-10)","Veteran (10+)")))</f>
        <v>Established (5-10)</v>
      </c>
      <c r="R793" s="4">
        <f t="shared" si="25"/>
        <v>2.6666666666666665</v>
      </c>
    </row>
    <row r="794" spans="1:18">
      <c r="A794">
        <f>RAW_DATA!A794</f>
        <v>33</v>
      </c>
      <c r="B794" t="str">
        <f>RAW_DATA!B794</f>
        <v>Yes</v>
      </c>
      <c r="C794" t="str">
        <f>RAW_DATA!C794</f>
        <v>Research &amp; Development</v>
      </c>
      <c r="D794">
        <f>RAW_DATA!D794</f>
        <v>29</v>
      </c>
      <c r="E794">
        <f>RAW_DATA!E794</f>
        <v>4</v>
      </c>
      <c r="F794" t="str">
        <f>RAW_DATA!F794</f>
        <v>Medical</v>
      </c>
      <c r="G794">
        <f>RAW_DATA!G794</f>
        <v>1</v>
      </c>
      <c r="H794">
        <f>RAW_DATA!H794</f>
        <v>3</v>
      </c>
      <c r="I794" t="str">
        <f>RAW_DATA!I794</f>
        <v>Single</v>
      </c>
      <c r="J794">
        <f>RAW_DATA!J794</f>
        <v>4508</v>
      </c>
      <c r="K794">
        <f>RAW_DATA!K794</f>
        <v>1</v>
      </c>
      <c r="L794">
        <f>RAW_DATA!L794</f>
        <v>3</v>
      </c>
      <c r="M794">
        <f>RAW_DATA!M794</f>
        <v>13</v>
      </c>
      <c r="N794">
        <f t="shared" si="24"/>
        <v>1</v>
      </c>
      <c r="O794" t="str" cm="1">
        <f t="array" ref="O794" xml:space="preserve"> _xlfn.IFS(A794 &lt;ASSUMPTIONS!$D$2,"25",A794 &lt;= ASSUMPTIONS!$D$3,"25-34",A794 &lt;= ASSUMPTIONS!$D$4, "35-44",A794 &lt;= ASSUMPTIONS!$D$5,"45-54",TRUE,"55+")</f>
        <v>25-34</v>
      </c>
      <c r="P794" t="str" cm="1">
        <f t="array" ref="P794">_xlfn.IFS( J794 &lt;ASSUMPTIONS!$D$7,"LOW",J794 &lt;= ASSUMPTIONS!$D$8,"MEDIUM",TRUE, "HIGH")</f>
        <v>MEDIUM</v>
      </c>
      <c r="Q794" t="str">
        <f>IF(M794&lt;ASSUMPTIONS!$D$10,"New (0-2)",IF(M794&lt;=ASSUMPTIONS!$D$11,"Early (2-5)",IF(M794&lt;=ASSUMPTIONS!$D$12,"Established (5-10)","Veteran (10+)")))</f>
        <v>Veteran (10+)</v>
      </c>
      <c r="R794" s="4">
        <f t="shared" si="25"/>
        <v>2.3333333333333335</v>
      </c>
    </row>
    <row r="795" spans="1:18">
      <c r="A795">
        <f>RAW_DATA!A795</f>
        <v>28</v>
      </c>
      <c r="B795" t="str">
        <f>RAW_DATA!B795</f>
        <v>No</v>
      </c>
      <c r="C795" t="str">
        <f>RAW_DATA!C795</f>
        <v>Research &amp; Development</v>
      </c>
      <c r="D795">
        <f>RAW_DATA!D795</f>
        <v>15</v>
      </c>
      <c r="E795">
        <f>RAW_DATA!E795</f>
        <v>2</v>
      </c>
      <c r="F795" t="str">
        <f>RAW_DATA!F795</f>
        <v>Life Sciences</v>
      </c>
      <c r="G795">
        <f>RAW_DATA!G795</f>
        <v>1</v>
      </c>
      <c r="H795">
        <f>RAW_DATA!H795</f>
        <v>3</v>
      </c>
      <c r="I795" t="str">
        <f>RAW_DATA!I795</f>
        <v>Divorced</v>
      </c>
      <c r="J795">
        <f>RAW_DATA!J795</f>
        <v>2207</v>
      </c>
      <c r="K795">
        <f>RAW_DATA!K795</f>
        <v>1</v>
      </c>
      <c r="L795">
        <f>RAW_DATA!L795</f>
        <v>2</v>
      </c>
      <c r="M795">
        <f>RAW_DATA!M795</f>
        <v>4</v>
      </c>
      <c r="N795">
        <f t="shared" si="24"/>
        <v>0</v>
      </c>
      <c r="O795" t="str" cm="1">
        <f t="array" ref="O795" xml:space="preserve"> _xlfn.IFS(A795 &lt;ASSUMPTIONS!$D$2,"25",A795 &lt;= ASSUMPTIONS!$D$3,"25-34",A795 &lt;= ASSUMPTIONS!$D$4, "35-44",A795 &lt;= ASSUMPTIONS!$D$5,"45-54",TRUE,"55+")</f>
        <v>25-34</v>
      </c>
      <c r="P795" t="str" cm="1">
        <f t="array" ref="P795">_xlfn.IFS( J795 &lt;ASSUMPTIONS!$D$7,"LOW",J795 &lt;= ASSUMPTIONS!$D$8,"MEDIUM",TRUE, "HIGH")</f>
        <v>LOW</v>
      </c>
      <c r="Q795" t="str">
        <f>IF(M795&lt;ASSUMPTIONS!$D$10,"New (0-2)",IF(M795&lt;=ASSUMPTIONS!$D$11,"Early (2-5)",IF(M795&lt;=ASSUMPTIONS!$D$12,"Established (5-10)","Veteran (10+)")))</f>
        <v>Early (2-5)</v>
      </c>
      <c r="R795" s="4">
        <f t="shared" si="25"/>
        <v>2</v>
      </c>
    </row>
    <row r="796" spans="1:18">
      <c r="A796">
        <f>RAW_DATA!A796</f>
        <v>34</v>
      </c>
      <c r="B796" t="str">
        <f>RAW_DATA!B796</f>
        <v>No</v>
      </c>
      <c r="C796" t="str">
        <f>RAW_DATA!C796</f>
        <v>Research &amp; Development</v>
      </c>
      <c r="D796">
        <f>RAW_DATA!D796</f>
        <v>3</v>
      </c>
      <c r="E796">
        <f>RAW_DATA!E796</f>
        <v>1</v>
      </c>
      <c r="F796" t="str">
        <f>RAW_DATA!F796</f>
        <v>Life Sciences</v>
      </c>
      <c r="G796">
        <f>RAW_DATA!G796</f>
        <v>1</v>
      </c>
      <c r="H796">
        <f>RAW_DATA!H796</f>
        <v>4</v>
      </c>
      <c r="I796" t="str">
        <f>RAW_DATA!I796</f>
        <v>Single</v>
      </c>
      <c r="J796">
        <f>RAW_DATA!J796</f>
        <v>7756</v>
      </c>
      <c r="K796">
        <f>RAW_DATA!K796</f>
        <v>0</v>
      </c>
      <c r="L796">
        <f>RAW_DATA!L796</f>
        <v>2</v>
      </c>
      <c r="M796">
        <f>RAW_DATA!M796</f>
        <v>6</v>
      </c>
      <c r="N796">
        <f t="shared" si="24"/>
        <v>0</v>
      </c>
      <c r="O796" t="str" cm="1">
        <f t="array" ref="O796" xml:space="preserve"> _xlfn.IFS(A796 &lt;ASSUMPTIONS!$D$2,"25",A796 &lt;= ASSUMPTIONS!$D$3,"25-34",A796 &lt;= ASSUMPTIONS!$D$4, "35-44",A796 &lt;= ASSUMPTIONS!$D$5,"45-54",TRUE,"55+")</f>
        <v>25-34</v>
      </c>
      <c r="P796" t="str" cm="1">
        <f t="array" ref="P796">_xlfn.IFS( J796 &lt;ASSUMPTIONS!$D$7,"LOW",J796 &lt;= ASSUMPTIONS!$D$8,"MEDIUM",TRUE, "HIGH")</f>
        <v>HIGH</v>
      </c>
      <c r="Q796" t="str">
        <f>IF(M796&lt;ASSUMPTIONS!$D$10,"New (0-2)",IF(M796&lt;=ASSUMPTIONS!$D$11,"Early (2-5)",IF(M796&lt;=ASSUMPTIONS!$D$12,"Established (5-10)","Veteran (10+)")))</f>
        <v>Established (5-10)</v>
      </c>
      <c r="R796" s="4">
        <f t="shared" si="25"/>
        <v>2.3333333333333335</v>
      </c>
    </row>
    <row r="797" spans="1:18">
      <c r="A797">
        <f>RAW_DATA!A797</f>
        <v>37</v>
      </c>
      <c r="B797" t="str">
        <f>RAW_DATA!B797</f>
        <v>No</v>
      </c>
      <c r="C797" t="str">
        <f>RAW_DATA!C797</f>
        <v>Sales</v>
      </c>
      <c r="D797">
        <f>RAW_DATA!D797</f>
        <v>10</v>
      </c>
      <c r="E797">
        <f>RAW_DATA!E797</f>
        <v>4</v>
      </c>
      <c r="F797" t="str">
        <f>RAW_DATA!F797</f>
        <v>Life Sciences</v>
      </c>
      <c r="G797">
        <f>RAW_DATA!G797</f>
        <v>4</v>
      </c>
      <c r="H797">
        <f>RAW_DATA!H797</f>
        <v>4</v>
      </c>
      <c r="I797" t="str">
        <f>RAW_DATA!I797</f>
        <v>Divorced</v>
      </c>
      <c r="J797">
        <f>RAW_DATA!J797</f>
        <v>6694</v>
      </c>
      <c r="K797">
        <f>RAW_DATA!K797</f>
        <v>2</v>
      </c>
      <c r="L797">
        <f>RAW_DATA!L797</f>
        <v>3</v>
      </c>
      <c r="M797">
        <f>RAW_DATA!M797</f>
        <v>1</v>
      </c>
      <c r="N797">
        <f t="shared" si="24"/>
        <v>0</v>
      </c>
      <c r="O797" t="str" cm="1">
        <f t="array" ref="O797" xml:space="preserve"> _xlfn.IFS(A797 &lt;ASSUMPTIONS!$D$2,"25",A797 &lt;= ASSUMPTIONS!$D$3,"25-34",A797 &lt;= ASSUMPTIONS!$D$4, "35-44",A797 &lt;= ASSUMPTIONS!$D$5,"45-54",TRUE,"55+")</f>
        <v>35-44</v>
      </c>
      <c r="P797" t="str" cm="1">
        <f t="array" ref="P797">_xlfn.IFS( J797 &lt;ASSUMPTIONS!$D$7,"LOW",J797 &lt;= ASSUMPTIONS!$D$8,"MEDIUM",TRUE, "HIGH")</f>
        <v>MEDIUM</v>
      </c>
      <c r="Q797" t="str">
        <f>IF(M797&lt;ASSUMPTIONS!$D$10,"New (0-2)",IF(M797&lt;=ASSUMPTIONS!$D$11,"Early (2-5)",IF(M797&lt;=ASSUMPTIONS!$D$12,"Established (5-10)","Veteran (10+)")))</f>
        <v>New (0-2)</v>
      </c>
      <c r="R797" s="4">
        <f t="shared" si="25"/>
        <v>3.6666666666666665</v>
      </c>
    </row>
    <row r="798" spans="1:18">
      <c r="A798">
        <f>RAW_DATA!A798</f>
        <v>25</v>
      </c>
      <c r="B798" t="str">
        <f>RAW_DATA!B798</f>
        <v>Yes</v>
      </c>
      <c r="C798" t="str">
        <f>RAW_DATA!C798</f>
        <v>Research &amp; Development</v>
      </c>
      <c r="D798">
        <f>RAW_DATA!D798</f>
        <v>4</v>
      </c>
      <c r="E798">
        <f>RAW_DATA!E798</f>
        <v>1</v>
      </c>
      <c r="F798" t="str">
        <f>RAW_DATA!F798</f>
        <v>Technical Degree</v>
      </c>
      <c r="G798">
        <f>RAW_DATA!G798</f>
        <v>4</v>
      </c>
      <c r="H798">
        <f>RAW_DATA!H798</f>
        <v>4</v>
      </c>
      <c r="I798" t="str">
        <f>RAW_DATA!I798</f>
        <v>Married</v>
      </c>
      <c r="J798">
        <f>RAW_DATA!J798</f>
        <v>3691</v>
      </c>
      <c r="K798">
        <f>RAW_DATA!K798</f>
        <v>1</v>
      </c>
      <c r="L798">
        <f>RAW_DATA!L798</f>
        <v>4</v>
      </c>
      <c r="M798">
        <f>RAW_DATA!M798</f>
        <v>7</v>
      </c>
      <c r="N798">
        <f t="shared" si="24"/>
        <v>1</v>
      </c>
      <c r="O798" t="str" cm="1">
        <f t="array" ref="O798" xml:space="preserve"> _xlfn.IFS(A798 &lt;ASSUMPTIONS!$D$2,"25",A798 &lt;= ASSUMPTIONS!$D$3,"25-34",A798 &lt;= ASSUMPTIONS!$D$4, "35-44",A798 &lt;= ASSUMPTIONS!$D$5,"45-54",TRUE,"55+")</f>
        <v>25-34</v>
      </c>
      <c r="P798" t="str" cm="1">
        <f t="array" ref="P798">_xlfn.IFS( J798 &lt;ASSUMPTIONS!$D$7,"LOW",J798 &lt;= ASSUMPTIONS!$D$8,"MEDIUM",TRUE, "HIGH")</f>
        <v>MEDIUM</v>
      </c>
      <c r="Q798" t="str">
        <f>IF(M798&lt;ASSUMPTIONS!$D$10,"New (0-2)",IF(M798&lt;=ASSUMPTIONS!$D$11,"Early (2-5)",IF(M798&lt;=ASSUMPTIONS!$D$12,"Established (5-10)","Veteran (10+)")))</f>
        <v>Established (5-10)</v>
      </c>
      <c r="R798" s="4">
        <f t="shared" si="25"/>
        <v>4</v>
      </c>
    </row>
    <row r="799" spans="1:18">
      <c r="A799">
        <f>RAW_DATA!A799</f>
        <v>26</v>
      </c>
      <c r="B799" t="str">
        <f>RAW_DATA!B799</f>
        <v>Yes</v>
      </c>
      <c r="C799" t="str">
        <f>RAW_DATA!C799</f>
        <v>Research &amp; Development</v>
      </c>
      <c r="D799">
        <f>RAW_DATA!D799</f>
        <v>21</v>
      </c>
      <c r="E799">
        <f>RAW_DATA!E799</f>
        <v>3</v>
      </c>
      <c r="F799" t="str">
        <f>RAW_DATA!F799</f>
        <v>Medical</v>
      </c>
      <c r="G799">
        <f>RAW_DATA!G799</f>
        <v>1</v>
      </c>
      <c r="H799">
        <f>RAW_DATA!H799</f>
        <v>3</v>
      </c>
      <c r="I799" t="str">
        <f>RAW_DATA!I799</f>
        <v>Divorced</v>
      </c>
      <c r="J799">
        <f>RAW_DATA!J799</f>
        <v>2377</v>
      </c>
      <c r="K799">
        <f>RAW_DATA!K799</f>
        <v>1</v>
      </c>
      <c r="L799">
        <f>RAW_DATA!L799</f>
        <v>2</v>
      </c>
      <c r="M799">
        <f>RAW_DATA!M799</f>
        <v>1</v>
      </c>
      <c r="N799">
        <f t="shared" si="24"/>
        <v>1</v>
      </c>
      <c r="O799" t="str" cm="1">
        <f t="array" ref="O799" xml:space="preserve"> _xlfn.IFS(A799 &lt;ASSUMPTIONS!$D$2,"25",A799 &lt;= ASSUMPTIONS!$D$3,"25-34",A799 &lt;= ASSUMPTIONS!$D$4, "35-44",A799 &lt;= ASSUMPTIONS!$D$5,"45-54",TRUE,"55+")</f>
        <v>25-34</v>
      </c>
      <c r="P799" t="str" cm="1">
        <f t="array" ref="P799">_xlfn.IFS( J799 &lt;ASSUMPTIONS!$D$7,"LOW",J799 &lt;= ASSUMPTIONS!$D$8,"MEDIUM",TRUE, "HIGH")</f>
        <v>LOW</v>
      </c>
      <c r="Q799" t="str">
        <f>IF(M799&lt;ASSUMPTIONS!$D$10,"New (0-2)",IF(M799&lt;=ASSUMPTIONS!$D$11,"Early (2-5)",IF(M799&lt;=ASSUMPTIONS!$D$12,"Established (5-10)","Veteran (10+)")))</f>
        <v>New (0-2)</v>
      </c>
      <c r="R799" s="4">
        <f t="shared" si="25"/>
        <v>2</v>
      </c>
    </row>
    <row r="800" spans="1:18">
      <c r="A800">
        <f>RAW_DATA!A800</f>
        <v>33</v>
      </c>
      <c r="B800" t="str">
        <f>RAW_DATA!B800</f>
        <v>Yes</v>
      </c>
      <c r="C800" t="str">
        <f>RAW_DATA!C800</f>
        <v>Research &amp; Development</v>
      </c>
      <c r="D800">
        <f>RAW_DATA!D800</f>
        <v>25</v>
      </c>
      <c r="E800">
        <f>RAW_DATA!E800</f>
        <v>3</v>
      </c>
      <c r="F800" t="str">
        <f>RAW_DATA!F800</f>
        <v>Medical</v>
      </c>
      <c r="G800">
        <f>RAW_DATA!G800</f>
        <v>1</v>
      </c>
      <c r="H800">
        <f>RAW_DATA!H800</f>
        <v>2</v>
      </c>
      <c r="I800" t="str">
        <f>RAW_DATA!I800</f>
        <v>Single</v>
      </c>
      <c r="J800">
        <f>RAW_DATA!J800</f>
        <v>2313</v>
      </c>
      <c r="K800">
        <f>RAW_DATA!K800</f>
        <v>4</v>
      </c>
      <c r="L800">
        <f>RAW_DATA!L800</f>
        <v>3</v>
      </c>
      <c r="M800">
        <f>RAW_DATA!M800</f>
        <v>2</v>
      </c>
      <c r="N800">
        <f t="shared" si="24"/>
        <v>1</v>
      </c>
      <c r="O800" t="str" cm="1">
        <f t="array" ref="O800" xml:space="preserve"> _xlfn.IFS(A800 &lt;ASSUMPTIONS!$D$2,"25",A800 &lt;= ASSUMPTIONS!$D$3,"25-34",A800 &lt;= ASSUMPTIONS!$D$4, "35-44",A800 &lt;= ASSUMPTIONS!$D$5,"45-54",TRUE,"55+")</f>
        <v>25-34</v>
      </c>
      <c r="P800" t="str" cm="1">
        <f t="array" ref="P800">_xlfn.IFS( J800 &lt;ASSUMPTIONS!$D$7,"LOW",J800 &lt;= ASSUMPTIONS!$D$8,"MEDIUM",TRUE, "HIGH")</f>
        <v>LOW</v>
      </c>
      <c r="Q800" t="str">
        <f>IF(M800&lt;ASSUMPTIONS!$D$10,"New (0-2)",IF(M800&lt;=ASSUMPTIONS!$D$11,"Early (2-5)",IF(M800&lt;=ASSUMPTIONS!$D$12,"Established (5-10)","Veteran (10+)")))</f>
        <v>Early (2-5)</v>
      </c>
      <c r="R800" s="4">
        <f t="shared" si="25"/>
        <v>2</v>
      </c>
    </row>
    <row r="801" spans="1:18">
      <c r="A801">
        <f>RAW_DATA!A801</f>
        <v>42</v>
      </c>
      <c r="B801" t="str">
        <f>RAW_DATA!B801</f>
        <v>No</v>
      </c>
      <c r="C801" t="str">
        <f>RAW_DATA!C801</f>
        <v>Research &amp; Development</v>
      </c>
      <c r="D801">
        <f>RAW_DATA!D801</f>
        <v>2</v>
      </c>
      <c r="E801">
        <f>RAW_DATA!E801</f>
        <v>2</v>
      </c>
      <c r="F801" t="str">
        <f>RAW_DATA!F801</f>
        <v>Medical</v>
      </c>
      <c r="G801">
        <f>RAW_DATA!G801</f>
        <v>4</v>
      </c>
      <c r="H801">
        <f>RAW_DATA!H801</f>
        <v>1</v>
      </c>
      <c r="I801" t="str">
        <f>RAW_DATA!I801</f>
        <v>Married</v>
      </c>
      <c r="J801">
        <f>RAW_DATA!J801</f>
        <v>17665</v>
      </c>
      <c r="K801">
        <f>RAW_DATA!K801</f>
        <v>0</v>
      </c>
      <c r="L801">
        <f>RAW_DATA!L801</f>
        <v>3</v>
      </c>
      <c r="M801">
        <f>RAW_DATA!M801</f>
        <v>22</v>
      </c>
      <c r="N801">
        <f t="shared" si="24"/>
        <v>0</v>
      </c>
      <c r="O801" t="str" cm="1">
        <f t="array" ref="O801" xml:space="preserve"> _xlfn.IFS(A801 &lt;ASSUMPTIONS!$D$2,"25",A801 &lt;= ASSUMPTIONS!$D$3,"25-34",A801 &lt;= ASSUMPTIONS!$D$4, "35-44",A801 &lt;= ASSUMPTIONS!$D$5,"45-54",TRUE,"55+")</f>
        <v>35-44</v>
      </c>
      <c r="P801" t="str" cm="1">
        <f t="array" ref="P801">_xlfn.IFS( J801 &lt;ASSUMPTIONS!$D$7,"LOW",J801 &lt;= ASSUMPTIONS!$D$8,"MEDIUM",TRUE, "HIGH")</f>
        <v>HIGH</v>
      </c>
      <c r="Q801" t="str">
        <f>IF(M801&lt;ASSUMPTIONS!$D$10,"New (0-2)",IF(M801&lt;=ASSUMPTIONS!$D$11,"Early (2-5)",IF(M801&lt;=ASSUMPTIONS!$D$12,"Established (5-10)","Veteran (10+)")))</f>
        <v>Veteran (10+)</v>
      </c>
      <c r="R801" s="4">
        <f t="shared" si="25"/>
        <v>2.6666666666666665</v>
      </c>
    </row>
    <row r="802" spans="1:18">
      <c r="A802">
        <f>RAW_DATA!A802</f>
        <v>28</v>
      </c>
      <c r="B802" t="str">
        <f>RAW_DATA!B802</f>
        <v>Yes</v>
      </c>
      <c r="C802" t="str">
        <f>RAW_DATA!C802</f>
        <v>Research &amp; Development</v>
      </c>
      <c r="D802">
        <f>RAW_DATA!D802</f>
        <v>1</v>
      </c>
      <c r="E802">
        <f>RAW_DATA!E802</f>
        <v>3</v>
      </c>
      <c r="F802" t="str">
        <f>RAW_DATA!F802</f>
        <v>Medical</v>
      </c>
      <c r="G802">
        <f>RAW_DATA!G802</f>
        <v>1</v>
      </c>
      <c r="H802">
        <f>RAW_DATA!H802</f>
        <v>2</v>
      </c>
      <c r="I802" t="str">
        <f>RAW_DATA!I802</f>
        <v>Divorced</v>
      </c>
      <c r="J802">
        <f>RAW_DATA!J802</f>
        <v>2596</v>
      </c>
      <c r="K802">
        <f>RAW_DATA!K802</f>
        <v>1</v>
      </c>
      <c r="L802">
        <f>RAW_DATA!L802</f>
        <v>3</v>
      </c>
      <c r="M802">
        <f>RAW_DATA!M802</f>
        <v>1</v>
      </c>
      <c r="N802">
        <f t="shared" si="24"/>
        <v>1</v>
      </c>
      <c r="O802" t="str" cm="1">
        <f t="array" ref="O802" xml:space="preserve"> _xlfn.IFS(A802 &lt;ASSUMPTIONS!$D$2,"25",A802 &lt;= ASSUMPTIONS!$D$3,"25-34",A802 &lt;= ASSUMPTIONS!$D$4, "35-44",A802 &lt;= ASSUMPTIONS!$D$5,"45-54",TRUE,"55+")</f>
        <v>25-34</v>
      </c>
      <c r="P802" t="str" cm="1">
        <f t="array" ref="P802">_xlfn.IFS( J802 &lt;ASSUMPTIONS!$D$7,"LOW",J802 &lt;= ASSUMPTIONS!$D$8,"MEDIUM",TRUE, "HIGH")</f>
        <v>LOW</v>
      </c>
      <c r="Q802" t="str">
        <f>IF(M802&lt;ASSUMPTIONS!$D$10,"New (0-2)",IF(M802&lt;=ASSUMPTIONS!$D$11,"Early (2-5)",IF(M802&lt;=ASSUMPTIONS!$D$12,"Established (5-10)","Veteran (10+)")))</f>
        <v>New (0-2)</v>
      </c>
      <c r="R802" s="4">
        <f t="shared" si="25"/>
        <v>2</v>
      </c>
    </row>
    <row r="803" spans="1:18">
      <c r="A803">
        <f>RAW_DATA!A803</f>
        <v>50</v>
      </c>
      <c r="B803" t="str">
        <f>RAW_DATA!B803</f>
        <v>Yes</v>
      </c>
      <c r="C803" t="str">
        <f>RAW_DATA!C803</f>
        <v>Sales</v>
      </c>
      <c r="D803">
        <f>RAW_DATA!D803</f>
        <v>1</v>
      </c>
      <c r="E803">
        <f>RAW_DATA!E803</f>
        <v>4</v>
      </c>
      <c r="F803" t="str">
        <f>RAW_DATA!F803</f>
        <v>Other</v>
      </c>
      <c r="G803">
        <f>RAW_DATA!G803</f>
        <v>4</v>
      </c>
      <c r="H803">
        <f>RAW_DATA!H803</f>
        <v>3</v>
      </c>
      <c r="I803" t="str">
        <f>RAW_DATA!I803</f>
        <v>Single</v>
      </c>
      <c r="J803">
        <f>RAW_DATA!J803</f>
        <v>4728</v>
      </c>
      <c r="K803">
        <f>RAW_DATA!K803</f>
        <v>3</v>
      </c>
      <c r="L803">
        <f>RAW_DATA!L803</f>
        <v>3</v>
      </c>
      <c r="M803">
        <f>RAW_DATA!M803</f>
        <v>0</v>
      </c>
      <c r="N803">
        <f t="shared" si="24"/>
        <v>1</v>
      </c>
      <c r="O803" t="str" cm="1">
        <f t="array" ref="O803" xml:space="preserve"> _xlfn.IFS(A803 &lt;ASSUMPTIONS!$D$2,"25",A803 &lt;= ASSUMPTIONS!$D$3,"25-34",A803 &lt;= ASSUMPTIONS!$D$4, "35-44",A803 &lt;= ASSUMPTIONS!$D$5,"45-54",TRUE,"55+")</f>
        <v>45-54</v>
      </c>
      <c r="P803" t="str" cm="1">
        <f t="array" ref="P803">_xlfn.IFS( J803 &lt;ASSUMPTIONS!$D$7,"LOW",J803 &lt;= ASSUMPTIONS!$D$8,"MEDIUM",TRUE, "HIGH")</f>
        <v>MEDIUM</v>
      </c>
      <c r="Q803" t="str">
        <f>IF(M803&lt;ASSUMPTIONS!$D$10,"New (0-2)",IF(M803&lt;=ASSUMPTIONS!$D$11,"Early (2-5)",IF(M803&lt;=ASSUMPTIONS!$D$12,"Established (5-10)","Veteran (10+)")))</f>
        <v>New (0-2)</v>
      </c>
      <c r="R803" s="4">
        <f t="shared" si="25"/>
        <v>3.3333333333333335</v>
      </c>
    </row>
    <row r="804" spans="1:18">
      <c r="A804">
        <f>RAW_DATA!A804</f>
        <v>33</v>
      </c>
      <c r="B804" t="str">
        <f>RAW_DATA!B804</f>
        <v>No</v>
      </c>
      <c r="C804" t="str">
        <f>RAW_DATA!C804</f>
        <v>Sales</v>
      </c>
      <c r="D804">
        <f>RAW_DATA!D804</f>
        <v>7</v>
      </c>
      <c r="E804">
        <f>RAW_DATA!E804</f>
        <v>3</v>
      </c>
      <c r="F804" t="str">
        <f>RAW_DATA!F804</f>
        <v>Life Sciences</v>
      </c>
      <c r="G804">
        <f>RAW_DATA!G804</f>
        <v>4</v>
      </c>
      <c r="H804">
        <f>RAW_DATA!H804</f>
        <v>2</v>
      </c>
      <c r="I804" t="str">
        <f>RAW_DATA!I804</f>
        <v>Married</v>
      </c>
      <c r="J804">
        <f>RAW_DATA!J804</f>
        <v>4302</v>
      </c>
      <c r="K804">
        <f>RAW_DATA!K804</f>
        <v>0</v>
      </c>
      <c r="L804">
        <f>RAW_DATA!L804</f>
        <v>3</v>
      </c>
      <c r="M804">
        <f>RAW_DATA!M804</f>
        <v>3</v>
      </c>
      <c r="N804">
        <f t="shared" si="24"/>
        <v>0</v>
      </c>
      <c r="O804" t="str" cm="1">
        <f t="array" ref="O804" xml:space="preserve"> _xlfn.IFS(A804 &lt;ASSUMPTIONS!$D$2,"25",A804 &lt;= ASSUMPTIONS!$D$3,"25-34",A804 &lt;= ASSUMPTIONS!$D$4, "35-44",A804 &lt;= ASSUMPTIONS!$D$5,"45-54",TRUE,"55+")</f>
        <v>25-34</v>
      </c>
      <c r="P804" t="str" cm="1">
        <f t="array" ref="P804">_xlfn.IFS( J804 &lt;ASSUMPTIONS!$D$7,"LOW",J804 &lt;= ASSUMPTIONS!$D$8,"MEDIUM",TRUE, "HIGH")</f>
        <v>MEDIUM</v>
      </c>
      <c r="Q804" t="str">
        <f>IF(M804&lt;ASSUMPTIONS!$D$10,"New (0-2)",IF(M804&lt;=ASSUMPTIONS!$D$11,"Early (2-5)",IF(M804&lt;=ASSUMPTIONS!$D$12,"Established (5-10)","Veteran (10+)")))</f>
        <v>Early (2-5)</v>
      </c>
      <c r="R804" s="4">
        <f t="shared" si="25"/>
        <v>3</v>
      </c>
    </row>
    <row r="805" spans="1:18">
      <c r="A805">
        <f>RAW_DATA!A805</f>
        <v>34</v>
      </c>
      <c r="B805" t="str">
        <f>RAW_DATA!B805</f>
        <v>No</v>
      </c>
      <c r="C805" t="str">
        <f>RAW_DATA!C805</f>
        <v>Research &amp; Development</v>
      </c>
      <c r="D805">
        <f>RAW_DATA!D805</f>
        <v>3</v>
      </c>
      <c r="E805">
        <f>RAW_DATA!E805</f>
        <v>4</v>
      </c>
      <c r="F805" t="str">
        <f>RAW_DATA!F805</f>
        <v>Life Sciences</v>
      </c>
      <c r="G805">
        <f>RAW_DATA!G805</f>
        <v>3</v>
      </c>
      <c r="H805">
        <f>RAW_DATA!H805</f>
        <v>4</v>
      </c>
      <c r="I805" t="str">
        <f>RAW_DATA!I805</f>
        <v>Married</v>
      </c>
      <c r="J805">
        <f>RAW_DATA!J805</f>
        <v>2979</v>
      </c>
      <c r="K805">
        <f>RAW_DATA!K805</f>
        <v>3</v>
      </c>
      <c r="L805">
        <f>RAW_DATA!L805</f>
        <v>3</v>
      </c>
      <c r="M805">
        <f>RAW_DATA!M805</f>
        <v>0</v>
      </c>
      <c r="N805">
        <f t="shared" si="24"/>
        <v>0</v>
      </c>
      <c r="O805" t="str" cm="1">
        <f t="array" ref="O805" xml:space="preserve"> _xlfn.IFS(A805 &lt;ASSUMPTIONS!$D$2,"25",A805 &lt;= ASSUMPTIONS!$D$3,"25-34",A805 &lt;= ASSUMPTIONS!$D$4, "35-44",A805 &lt;= ASSUMPTIONS!$D$5,"45-54",TRUE,"55+")</f>
        <v>25-34</v>
      </c>
      <c r="P805" t="str" cm="1">
        <f t="array" ref="P805">_xlfn.IFS( J805 &lt;ASSUMPTIONS!$D$7,"LOW",J805 &lt;= ASSUMPTIONS!$D$8,"MEDIUM",TRUE, "HIGH")</f>
        <v>LOW</v>
      </c>
      <c r="Q805" t="str">
        <f>IF(M805&lt;ASSUMPTIONS!$D$10,"New (0-2)",IF(M805&lt;=ASSUMPTIONS!$D$11,"Early (2-5)",IF(M805&lt;=ASSUMPTIONS!$D$12,"Established (5-10)","Veteran (10+)")))</f>
        <v>New (0-2)</v>
      </c>
      <c r="R805" s="4">
        <f t="shared" si="25"/>
        <v>3.3333333333333335</v>
      </c>
    </row>
    <row r="806" spans="1:18">
      <c r="A806">
        <f>RAW_DATA!A806</f>
        <v>48</v>
      </c>
      <c r="B806" t="str">
        <f>RAW_DATA!B806</f>
        <v>No</v>
      </c>
      <c r="C806" t="str">
        <f>RAW_DATA!C806</f>
        <v>Research &amp; Development</v>
      </c>
      <c r="D806">
        <f>RAW_DATA!D806</f>
        <v>1</v>
      </c>
      <c r="E806">
        <f>RAW_DATA!E806</f>
        <v>4</v>
      </c>
      <c r="F806" t="str">
        <f>RAW_DATA!F806</f>
        <v>Medical</v>
      </c>
      <c r="G806">
        <f>RAW_DATA!G806</f>
        <v>1</v>
      </c>
      <c r="H806">
        <f>RAW_DATA!H806</f>
        <v>4</v>
      </c>
      <c r="I806" t="str">
        <f>RAW_DATA!I806</f>
        <v>Single</v>
      </c>
      <c r="J806">
        <f>RAW_DATA!J806</f>
        <v>16885</v>
      </c>
      <c r="K806">
        <f>RAW_DATA!K806</f>
        <v>2</v>
      </c>
      <c r="L806">
        <f>RAW_DATA!L806</f>
        <v>2</v>
      </c>
      <c r="M806">
        <f>RAW_DATA!M806</f>
        <v>5</v>
      </c>
      <c r="N806">
        <f t="shared" si="24"/>
        <v>0</v>
      </c>
      <c r="O806" t="str" cm="1">
        <f t="array" ref="O806" xml:space="preserve"> _xlfn.IFS(A806 &lt;ASSUMPTIONS!$D$2,"25",A806 &lt;= ASSUMPTIONS!$D$3,"25-34",A806 &lt;= ASSUMPTIONS!$D$4, "35-44",A806 &lt;= ASSUMPTIONS!$D$5,"45-54",TRUE,"55+")</f>
        <v>45-54</v>
      </c>
      <c r="P806" t="str" cm="1">
        <f t="array" ref="P806">_xlfn.IFS( J806 &lt;ASSUMPTIONS!$D$7,"LOW",J806 &lt;= ASSUMPTIONS!$D$8,"MEDIUM",TRUE, "HIGH")</f>
        <v>HIGH</v>
      </c>
      <c r="Q806" t="str">
        <f>IF(M806&lt;ASSUMPTIONS!$D$10,"New (0-2)",IF(M806&lt;=ASSUMPTIONS!$D$11,"Early (2-5)",IF(M806&lt;=ASSUMPTIONS!$D$12,"Established (5-10)","Veteran (10+)")))</f>
        <v>Early (2-5)</v>
      </c>
      <c r="R806" s="4">
        <f t="shared" si="25"/>
        <v>2.3333333333333335</v>
      </c>
    </row>
    <row r="807" spans="1:18">
      <c r="A807">
        <f>RAW_DATA!A807</f>
        <v>45</v>
      </c>
      <c r="B807" t="str">
        <f>RAW_DATA!B807</f>
        <v>No</v>
      </c>
      <c r="C807" t="str">
        <f>RAW_DATA!C807</f>
        <v>Sales</v>
      </c>
      <c r="D807">
        <f>RAW_DATA!D807</f>
        <v>9</v>
      </c>
      <c r="E807">
        <f>RAW_DATA!E807</f>
        <v>4</v>
      </c>
      <c r="F807" t="str">
        <f>RAW_DATA!F807</f>
        <v>Life Sciences</v>
      </c>
      <c r="G807">
        <f>RAW_DATA!G807</f>
        <v>2</v>
      </c>
      <c r="H807">
        <f>RAW_DATA!H807</f>
        <v>3</v>
      </c>
      <c r="I807" t="str">
        <f>RAW_DATA!I807</f>
        <v>Married</v>
      </c>
      <c r="J807">
        <f>RAW_DATA!J807</f>
        <v>5593</v>
      </c>
      <c r="K807">
        <f>RAW_DATA!K807</f>
        <v>1</v>
      </c>
      <c r="L807">
        <f>RAW_DATA!L807</f>
        <v>3</v>
      </c>
      <c r="M807">
        <f>RAW_DATA!M807</f>
        <v>15</v>
      </c>
      <c r="N807">
        <f t="shared" si="24"/>
        <v>0</v>
      </c>
      <c r="O807" t="str" cm="1">
        <f t="array" ref="O807" xml:space="preserve"> _xlfn.IFS(A807 &lt;ASSUMPTIONS!$D$2,"25",A807 &lt;= ASSUMPTIONS!$D$3,"25-34",A807 &lt;= ASSUMPTIONS!$D$4, "35-44",A807 &lt;= ASSUMPTIONS!$D$5,"45-54",TRUE,"55+")</f>
        <v>45-54</v>
      </c>
      <c r="P807" t="str" cm="1">
        <f t="array" ref="P807">_xlfn.IFS( J807 &lt;ASSUMPTIONS!$D$7,"LOW",J807 &lt;= ASSUMPTIONS!$D$8,"MEDIUM",TRUE, "HIGH")</f>
        <v>MEDIUM</v>
      </c>
      <c r="Q807" t="str">
        <f>IF(M807&lt;ASSUMPTIONS!$D$10,"New (0-2)",IF(M807&lt;=ASSUMPTIONS!$D$11,"Early (2-5)",IF(M807&lt;=ASSUMPTIONS!$D$12,"Established (5-10)","Veteran (10+)")))</f>
        <v>Veteran (10+)</v>
      </c>
      <c r="R807" s="4">
        <f t="shared" si="25"/>
        <v>2.6666666666666665</v>
      </c>
    </row>
    <row r="808" spans="1:18">
      <c r="A808">
        <f>RAW_DATA!A808</f>
        <v>52</v>
      </c>
      <c r="B808" t="str">
        <f>RAW_DATA!B808</f>
        <v>No</v>
      </c>
      <c r="C808" t="str">
        <f>RAW_DATA!C808</f>
        <v>Research &amp; Development</v>
      </c>
      <c r="D808">
        <f>RAW_DATA!D808</f>
        <v>7</v>
      </c>
      <c r="E808">
        <f>RAW_DATA!E808</f>
        <v>4</v>
      </c>
      <c r="F808" t="str">
        <f>RAW_DATA!F808</f>
        <v>Life Sciences</v>
      </c>
      <c r="G808">
        <f>RAW_DATA!G808</f>
        <v>2</v>
      </c>
      <c r="H808">
        <f>RAW_DATA!H808</f>
        <v>2</v>
      </c>
      <c r="I808" t="str">
        <f>RAW_DATA!I808</f>
        <v>Single</v>
      </c>
      <c r="J808">
        <f>RAW_DATA!J808</f>
        <v>10445</v>
      </c>
      <c r="K808">
        <f>RAW_DATA!K808</f>
        <v>7</v>
      </c>
      <c r="L808">
        <f>RAW_DATA!L808</f>
        <v>3</v>
      </c>
      <c r="M808">
        <f>RAW_DATA!M808</f>
        <v>8</v>
      </c>
      <c r="N808">
        <f t="shared" si="24"/>
        <v>0</v>
      </c>
      <c r="O808" t="str" cm="1">
        <f t="array" ref="O808" xml:space="preserve"> _xlfn.IFS(A808 &lt;ASSUMPTIONS!$D$2,"25",A808 &lt;= ASSUMPTIONS!$D$3,"25-34",A808 &lt;= ASSUMPTIONS!$D$4, "35-44",A808 &lt;= ASSUMPTIONS!$D$5,"45-54",TRUE,"55+")</f>
        <v>45-54</v>
      </c>
      <c r="P808" t="str" cm="1">
        <f t="array" ref="P808">_xlfn.IFS( J808 &lt;ASSUMPTIONS!$D$7,"LOW",J808 &lt;= ASSUMPTIONS!$D$8,"MEDIUM",TRUE, "HIGH")</f>
        <v>HIGH</v>
      </c>
      <c r="Q808" t="str">
        <f>IF(M808&lt;ASSUMPTIONS!$D$10,"New (0-2)",IF(M808&lt;=ASSUMPTIONS!$D$11,"Early (2-5)",IF(M808&lt;=ASSUMPTIONS!$D$12,"Established (5-10)","Veteran (10+)")))</f>
        <v>Established (5-10)</v>
      </c>
      <c r="R808" s="4">
        <f t="shared" si="25"/>
        <v>2.3333333333333335</v>
      </c>
    </row>
    <row r="809" spans="1:18">
      <c r="A809">
        <f>RAW_DATA!A809</f>
        <v>38</v>
      </c>
      <c r="B809" t="str">
        <f>RAW_DATA!B809</f>
        <v>No</v>
      </c>
      <c r="C809" t="str">
        <f>RAW_DATA!C809</f>
        <v>Sales</v>
      </c>
      <c r="D809">
        <f>RAW_DATA!D809</f>
        <v>10</v>
      </c>
      <c r="E809">
        <f>RAW_DATA!E809</f>
        <v>4</v>
      </c>
      <c r="F809" t="str">
        <f>RAW_DATA!F809</f>
        <v>Marketing</v>
      </c>
      <c r="G809">
        <f>RAW_DATA!G809</f>
        <v>3</v>
      </c>
      <c r="H809">
        <f>RAW_DATA!H809</f>
        <v>3</v>
      </c>
      <c r="I809" t="str">
        <f>RAW_DATA!I809</f>
        <v>Divorced</v>
      </c>
      <c r="J809">
        <f>RAW_DATA!J809</f>
        <v>8740</v>
      </c>
      <c r="K809">
        <f>RAW_DATA!K809</f>
        <v>0</v>
      </c>
      <c r="L809">
        <f>RAW_DATA!L809</f>
        <v>3</v>
      </c>
      <c r="M809">
        <f>RAW_DATA!M809</f>
        <v>8</v>
      </c>
      <c r="N809">
        <f t="shared" si="24"/>
        <v>0</v>
      </c>
      <c r="O809" t="str" cm="1">
        <f t="array" ref="O809" xml:space="preserve"> _xlfn.IFS(A809 &lt;ASSUMPTIONS!$D$2,"25",A809 &lt;= ASSUMPTIONS!$D$3,"25-34",A809 &lt;= ASSUMPTIONS!$D$4, "35-44",A809 &lt;= ASSUMPTIONS!$D$5,"45-54",TRUE,"55+")</f>
        <v>35-44</v>
      </c>
      <c r="P809" t="str" cm="1">
        <f t="array" ref="P809">_xlfn.IFS( J809 &lt;ASSUMPTIONS!$D$7,"LOW",J809 &lt;= ASSUMPTIONS!$D$8,"MEDIUM",TRUE, "HIGH")</f>
        <v>HIGH</v>
      </c>
      <c r="Q809" t="str">
        <f>IF(M809&lt;ASSUMPTIONS!$D$10,"New (0-2)",IF(M809&lt;=ASSUMPTIONS!$D$11,"Early (2-5)",IF(M809&lt;=ASSUMPTIONS!$D$12,"Established (5-10)","Veteran (10+)")))</f>
        <v>Established (5-10)</v>
      </c>
      <c r="R809" s="4">
        <f t="shared" si="25"/>
        <v>3</v>
      </c>
    </row>
    <row r="810" spans="1:18">
      <c r="A810">
        <f>RAW_DATA!A810</f>
        <v>29</v>
      </c>
      <c r="B810" t="str">
        <f>RAW_DATA!B810</f>
        <v>No</v>
      </c>
      <c r="C810" t="str">
        <f>RAW_DATA!C810</f>
        <v>Research &amp; Development</v>
      </c>
      <c r="D810">
        <f>RAW_DATA!D810</f>
        <v>28</v>
      </c>
      <c r="E810">
        <f>RAW_DATA!E810</f>
        <v>4</v>
      </c>
      <c r="F810" t="str">
        <f>RAW_DATA!F810</f>
        <v>Life Sciences</v>
      </c>
      <c r="G810">
        <f>RAW_DATA!G810</f>
        <v>3</v>
      </c>
      <c r="H810">
        <f>RAW_DATA!H810</f>
        <v>4</v>
      </c>
      <c r="I810" t="str">
        <f>RAW_DATA!I810</f>
        <v>Divorced</v>
      </c>
      <c r="J810">
        <f>RAW_DATA!J810</f>
        <v>2514</v>
      </c>
      <c r="K810">
        <f>RAW_DATA!K810</f>
        <v>4</v>
      </c>
      <c r="L810">
        <f>RAW_DATA!L810</f>
        <v>3</v>
      </c>
      <c r="M810">
        <f>RAW_DATA!M810</f>
        <v>7</v>
      </c>
      <c r="N810">
        <f t="shared" si="24"/>
        <v>0</v>
      </c>
      <c r="O810" t="str" cm="1">
        <f t="array" ref="O810" xml:space="preserve"> _xlfn.IFS(A810 &lt;ASSUMPTIONS!$D$2,"25",A810 &lt;= ASSUMPTIONS!$D$3,"25-34",A810 &lt;= ASSUMPTIONS!$D$4, "35-44",A810 &lt;= ASSUMPTIONS!$D$5,"45-54",TRUE,"55+")</f>
        <v>25-34</v>
      </c>
      <c r="P810" t="str" cm="1">
        <f t="array" ref="P810">_xlfn.IFS( J810 &lt;ASSUMPTIONS!$D$7,"LOW",J810 &lt;= ASSUMPTIONS!$D$8,"MEDIUM",TRUE, "HIGH")</f>
        <v>LOW</v>
      </c>
      <c r="Q810" t="str">
        <f>IF(M810&lt;ASSUMPTIONS!$D$10,"New (0-2)",IF(M810&lt;=ASSUMPTIONS!$D$11,"Early (2-5)",IF(M810&lt;=ASSUMPTIONS!$D$12,"Established (5-10)","Veteran (10+)")))</f>
        <v>Established (5-10)</v>
      </c>
      <c r="R810" s="4">
        <f t="shared" si="25"/>
        <v>3.3333333333333335</v>
      </c>
    </row>
    <row r="811" spans="1:18">
      <c r="A811">
        <f>RAW_DATA!A811</f>
        <v>28</v>
      </c>
      <c r="B811" t="str">
        <f>RAW_DATA!B811</f>
        <v>No</v>
      </c>
      <c r="C811" t="str">
        <f>RAW_DATA!C811</f>
        <v>Research &amp; Development</v>
      </c>
      <c r="D811">
        <f>RAW_DATA!D811</f>
        <v>3</v>
      </c>
      <c r="E811">
        <f>RAW_DATA!E811</f>
        <v>3</v>
      </c>
      <c r="F811" t="str">
        <f>RAW_DATA!F811</f>
        <v>Medical</v>
      </c>
      <c r="G811">
        <f>RAW_DATA!G811</f>
        <v>4</v>
      </c>
      <c r="H811">
        <f>RAW_DATA!H811</f>
        <v>2</v>
      </c>
      <c r="I811" t="str">
        <f>RAW_DATA!I811</f>
        <v>Divorced</v>
      </c>
      <c r="J811">
        <f>RAW_DATA!J811</f>
        <v>7655</v>
      </c>
      <c r="K811">
        <f>RAW_DATA!K811</f>
        <v>0</v>
      </c>
      <c r="L811">
        <f>RAW_DATA!L811</f>
        <v>2</v>
      </c>
      <c r="M811">
        <f>RAW_DATA!M811</f>
        <v>9</v>
      </c>
      <c r="N811">
        <f t="shared" si="24"/>
        <v>0</v>
      </c>
      <c r="O811" t="str" cm="1">
        <f t="array" ref="O811" xml:space="preserve"> _xlfn.IFS(A811 &lt;ASSUMPTIONS!$D$2,"25",A811 &lt;= ASSUMPTIONS!$D$3,"25-34",A811 &lt;= ASSUMPTIONS!$D$4, "35-44",A811 &lt;= ASSUMPTIONS!$D$5,"45-54",TRUE,"55+")</f>
        <v>25-34</v>
      </c>
      <c r="P811" t="str" cm="1">
        <f t="array" ref="P811">_xlfn.IFS( J811 &lt;ASSUMPTIONS!$D$7,"LOW",J811 &lt;= ASSUMPTIONS!$D$8,"MEDIUM",TRUE, "HIGH")</f>
        <v>HIGH</v>
      </c>
      <c r="Q811" t="str">
        <f>IF(M811&lt;ASSUMPTIONS!$D$10,"New (0-2)",IF(M811&lt;=ASSUMPTIONS!$D$11,"Early (2-5)",IF(M811&lt;=ASSUMPTIONS!$D$12,"Established (5-10)","Veteran (10+)")))</f>
        <v>Established (5-10)</v>
      </c>
      <c r="R811" s="4">
        <f t="shared" si="25"/>
        <v>2.6666666666666665</v>
      </c>
    </row>
    <row r="812" spans="1:18">
      <c r="A812">
        <f>RAW_DATA!A812</f>
        <v>46</v>
      </c>
      <c r="B812" t="str">
        <f>RAW_DATA!B812</f>
        <v>No</v>
      </c>
      <c r="C812" t="str">
        <f>RAW_DATA!C812</f>
        <v>Sales</v>
      </c>
      <c r="D812">
        <f>RAW_DATA!D812</f>
        <v>3</v>
      </c>
      <c r="E812">
        <f>RAW_DATA!E812</f>
        <v>1</v>
      </c>
      <c r="F812" t="str">
        <f>RAW_DATA!F812</f>
        <v>Marketing</v>
      </c>
      <c r="G812">
        <f>RAW_DATA!G812</f>
        <v>1</v>
      </c>
      <c r="H812">
        <f>RAW_DATA!H812</f>
        <v>3</v>
      </c>
      <c r="I812" t="str">
        <f>RAW_DATA!I812</f>
        <v>Married</v>
      </c>
      <c r="J812">
        <f>RAW_DATA!J812</f>
        <v>17465</v>
      </c>
      <c r="K812">
        <f>RAW_DATA!K812</f>
        <v>3</v>
      </c>
      <c r="L812">
        <f>RAW_DATA!L812</f>
        <v>3</v>
      </c>
      <c r="M812">
        <f>RAW_DATA!M812</f>
        <v>12</v>
      </c>
      <c r="N812">
        <f t="shared" si="24"/>
        <v>0</v>
      </c>
      <c r="O812" t="str" cm="1">
        <f t="array" ref="O812" xml:space="preserve"> _xlfn.IFS(A812 &lt;ASSUMPTIONS!$D$2,"25",A812 &lt;= ASSUMPTIONS!$D$3,"25-34",A812 &lt;= ASSUMPTIONS!$D$4, "35-44",A812 &lt;= ASSUMPTIONS!$D$5,"45-54",TRUE,"55+")</f>
        <v>45-54</v>
      </c>
      <c r="P812" t="str" cm="1">
        <f t="array" ref="P812">_xlfn.IFS( J812 &lt;ASSUMPTIONS!$D$7,"LOW",J812 &lt;= ASSUMPTIONS!$D$8,"MEDIUM",TRUE, "HIGH")</f>
        <v>HIGH</v>
      </c>
      <c r="Q812" t="str">
        <f>IF(M812&lt;ASSUMPTIONS!$D$10,"New (0-2)",IF(M812&lt;=ASSUMPTIONS!$D$11,"Early (2-5)",IF(M812&lt;=ASSUMPTIONS!$D$12,"Established (5-10)","Veteran (10+)")))</f>
        <v>Veteran (10+)</v>
      </c>
      <c r="R812" s="4">
        <f t="shared" si="25"/>
        <v>2.3333333333333335</v>
      </c>
    </row>
    <row r="813" spans="1:18">
      <c r="A813">
        <f>RAW_DATA!A813</f>
        <v>38</v>
      </c>
      <c r="B813" t="str">
        <f>RAW_DATA!B813</f>
        <v>No</v>
      </c>
      <c r="C813" t="str">
        <f>RAW_DATA!C813</f>
        <v>Sales</v>
      </c>
      <c r="D813">
        <f>RAW_DATA!D813</f>
        <v>2</v>
      </c>
      <c r="E813">
        <f>RAW_DATA!E813</f>
        <v>2</v>
      </c>
      <c r="F813" t="str">
        <f>RAW_DATA!F813</f>
        <v>Marketing</v>
      </c>
      <c r="G813">
        <f>RAW_DATA!G813</f>
        <v>4</v>
      </c>
      <c r="H813">
        <f>RAW_DATA!H813</f>
        <v>2</v>
      </c>
      <c r="I813" t="str">
        <f>RAW_DATA!I813</f>
        <v>Single</v>
      </c>
      <c r="J813">
        <f>RAW_DATA!J813</f>
        <v>7351</v>
      </c>
      <c r="K813">
        <f>RAW_DATA!K813</f>
        <v>7</v>
      </c>
      <c r="L813">
        <f>RAW_DATA!L813</f>
        <v>3</v>
      </c>
      <c r="M813">
        <f>RAW_DATA!M813</f>
        <v>1</v>
      </c>
      <c r="N813">
        <f t="shared" si="24"/>
        <v>0</v>
      </c>
      <c r="O813" t="str" cm="1">
        <f t="array" ref="O813" xml:space="preserve"> _xlfn.IFS(A813 &lt;ASSUMPTIONS!$D$2,"25",A813 &lt;= ASSUMPTIONS!$D$3,"25-34",A813 &lt;= ASSUMPTIONS!$D$4, "35-44",A813 &lt;= ASSUMPTIONS!$D$5,"45-54",TRUE,"55+")</f>
        <v>35-44</v>
      </c>
      <c r="P813" t="str" cm="1">
        <f t="array" ref="P813">_xlfn.IFS( J813 &lt;ASSUMPTIONS!$D$7,"LOW",J813 &lt;= ASSUMPTIONS!$D$8,"MEDIUM",TRUE, "HIGH")</f>
        <v>HIGH</v>
      </c>
      <c r="Q813" t="str">
        <f>IF(M813&lt;ASSUMPTIONS!$D$10,"New (0-2)",IF(M813&lt;=ASSUMPTIONS!$D$11,"Early (2-5)",IF(M813&lt;=ASSUMPTIONS!$D$12,"Established (5-10)","Veteran (10+)")))</f>
        <v>New (0-2)</v>
      </c>
      <c r="R813" s="4">
        <f t="shared" si="25"/>
        <v>3</v>
      </c>
    </row>
    <row r="814" spans="1:18">
      <c r="A814">
        <f>RAW_DATA!A814</f>
        <v>43</v>
      </c>
      <c r="B814" t="str">
        <f>RAW_DATA!B814</f>
        <v>No</v>
      </c>
      <c r="C814" t="str">
        <f>RAW_DATA!C814</f>
        <v>Research &amp; Development</v>
      </c>
      <c r="D814">
        <f>RAW_DATA!D814</f>
        <v>27</v>
      </c>
      <c r="E814">
        <f>RAW_DATA!E814</f>
        <v>3</v>
      </c>
      <c r="F814" t="str">
        <f>RAW_DATA!F814</f>
        <v>Life Sciences</v>
      </c>
      <c r="G814">
        <f>RAW_DATA!G814</f>
        <v>3</v>
      </c>
      <c r="H814">
        <f>RAW_DATA!H814</f>
        <v>1</v>
      </c>
      <c r="I814" t="str">
        <f>RAW_DATA!I814</f>
        <v>Married</v>
      </c>
      <c r="J814">
        <f>RAW_DATA!J814</f>
        <v>10820</v>
      </c>
      <c r="K814">
        <f>RAW_DATA!K814</f>
        <v>8</v>
      </c>
      <c r="L814">
        <f>RAW_DATA!L814</f>
        <v>3</v>
      </c>
      <c r="M814">
        <f>RAW_DATA!M814</f>
        <v>8</v>
      </c>
      <c r="N814">
        <f t="shared" si="24"/>
        <v>0</v>
      </c>
      <c r="O814" t="str" cm="1">
        <f t="array" ref="O814" xml:space="preserve"> _xlfn.IFS(A814 &lt;ASSUMPTIONS!$D$2,"25",A814 &lt;= ASSUMPTIONS!$D$3,"25-34",A814 &lt;= ASSUMPTIONS!$D$4, "35-44",A814 &lt;= ASSUMPTIONS!$D$5,"45-54",TRUE,"55+")</f>
        <v>35-44</v>
      </c>
      <c r="P814" t="str" cm="1">
        <f t="array" ref="P814">_xlfn.IFS( J814 &lt;ASSUMPTIONS!$D$7,"LOW",J814 &lt;= ASSUMPTIONS!$D$8,"MEDIUM",TRUE, "HIGH")</f>
        <v>HIGH</v>
      </c>
      <c r="Q814" t="str">
        <f>IF(M814&lt;ASSUMPTIONS!$D$10,"New (0-2)",IF(M814&lt;=ASSUMPTIONS!$D$11,"Early (2-5)",IF(M814&lt;=ASSUMPTIONS!$D$12,"Established (5-10)","Veteran (10+)")))</f>
        <v>Established (5-10)</v>
      </c>
      <c r="R814" s="4">
        <f t="shared" si="25"/>
        <v>2.3333333333333335</v>
      </c>
    </row>
    <row r="815" spans="1:18">
      <c r="A815">
        <f>RAW_DATA!A815</f>
        <v>39</v>
      </c>
      <c r="B815" t="str">
        <f>RAW_DATA!B815</f>
        <v>Yes</v>
      </c>
      <c r="C815" t="str">
        <f>RAW_DATA!C815</f>
        <v>Research &amp; Development</v>
      </c>
      <c r="D815">
        <f>RAW_DATA!D815</f>
        <v>2</v>
      </c>
      <c r="E815">
        <f>RAW_DATA!E815</f>
        <v>3</v>
      </c>
      <c r="F815" t="str">
        <f>RAW_DATA!F815</f>
        <v>Life Sciences</v>
      </c>
      <c r="G815">
        <f>RAW_DATA!G815</f>
        <v>1</v>
      </c>
      <c r="H815">
        <f>RAW_DATA!H815</f>
        <v>4</v>
      </c>
      <c r="I815" t="str">
        <f>RAW_DATA!I815</f>
        <v>Divorced</v>
      </c>
      <c r="J815">
        <f>RAW_DATA!J815</f>
        <v>12169</v>
      </c>
      <c r="K815">
        <f>RAW_DATA!K815</f>
        <v>7</v>
      </c>
      <c r="L815">
        <f>RAW_DATA!L815</f>
        <v>3</v>
      </c>
      <c r="M815">
        <f>RAW_DATA!M815</f>
        <v>18</v>
      </c>
      <c r="N815">
        <f t="shared" si="24"/>
        <v>1</v>
      </c>
      <c r="O815" t="str" cm="1">
        <f t="array" ref="O815" xml:space="preserve"> _xlfn.IFS(A815 &lt;ASSUMPTIONS!$D$2,"25",A815 &lt;= ASSUMPTIONS!$D$3,"25-34",A815 &lt;= ASSUMPTIONS!$D$4, "35-44",A815 &lt;= ASSUMPTIONS!$D$5,"45-54",TRUE,"55+")</f>
        <v>35-44</v>
      </c>
      <c r="P815" t="str" cm="1">
        <f t="array" ref="P815">_xlfn.IFS( J815 &lt;ASSUMPTIONS!$D$7,"LOW",J815 &lt;= ASSUMPTIONS!$D$8,"MEDIUM",TRUE, "HIGH")</f>
        <v>HIGH</v>
      </c>
      <c r="Q815" t="str">
        <f>IF(M815&lt;ASSUMPTIONS!$D$10,"New (0-2)",IF(M815&lt;=ASSUMPTIONS!$D$11,"Early (2-5)",IF(M815&lt;=ASSUMPTIONS!$D$12,"Established (5-10)","Veteran (10+)")))</f>
        <v>Veteran (10+)</v>
      </c>
      <c r="R815" s="4">
        <f t="shared" si="25"/>
        <v>2.6666666666666665</v>
      </c>
    </row>
    <row r="816" spans="1:18">
      <c r="A816">
        <f>RAW_DATA!A816</f>
        <v>40</v>
      </c>
      <c r="B816" t="str">
        <f>RAW_DATA!B816</f>
        <v>No</v>
      </c>
      <c r="C816" t="str">
        <f>RAW_DATA!C816</f>
        <v>Research &amp; Development</v>
      </c>
      <c r="D816">
        <f>RAW_DATA!D816</f>
        <v>14</v>
      </c>
      <c r="E816">
        <f>RAW_DATA!E816</f>
        <v>3</v>
      </c>
      <c r="F816" t="str">
        <f>RAW_DATA!F816</f>
        <v>Medical</v>
      </c>
      <c r="G816">
        <f>RAW_DATA!G816</f>
        <v>3</v>
      </c>
      <c r="H816">
        <f>RAW_DATA!H816</f>
        <v>3</v>
      </c>
      <c r="I816" t="str">
        <f>RAW_DATA!I816</f>
        <v>Single</v>
      </c>
      <c r="J816">
        <f>RAW_DATA!J816</f>
        <v>19626</v>
      </c>
      <c r="K816">
        <f>RAW_DATA!K816</f>
        <v>1</v>
      </c>
      <c r="L816">
        <f>RAW_DATA!L816</f>
        <v>4</v>
      </c>
      <c r="M816">
        <f>RAW_DATA!M816</f>
        <v>20</v>
      </c>
      <c r="N816">
        <f t="shared" si="24"/>
        <v>0</v>
      </c>
      <c r="O816" t="str" cm="1">
        <f t="array" ref="O816" xml:space="preserve"> _xlfn.IFS(A816 &lt;ASSUMPTIONS!$D$2,"25",A816 &lt;= ASSUMPTIONS!$D$3,"25-34",A816 &lt;= ASSUMPTIONS!$D$4, "35-44",A816 &lt;= ASSUMPTIONS!$D$5,"45-54",TRUE,"55+")</f>
        <v>35-44</v>
      </c>
      <c r="P816" t="str" cm="1">
        <f t="array" ref="P816">_xlfn.IFS( J816 &lt;ASSUMPTIONS!$D$7,"LOW",J816 &lt;= ASSUMPTIONS!$D$8,"MEDIUM",TRUE, "HIGH")</f>
        <v>HIGH</v>
      </c>
      <c r="Q816" t="str">
        <f>IF(M816&lt;ASSUMPTIONS!$D$10,"New (0-2)",IF(M816&lt;=ASSUMPTIONS!$D$11,"Early (2-5)",IF(M816&lt;=ASSUMPTIONS!$D$12,"Established (5-10)","Veteran (10+)")))</f>
        <v>Veteran (10+)</v>
      </c>
      <c r="R816" s="4">
        <f t="shared" si="25"/>
        <v>3.3333333333333335</v>
      </c>
    </row>
    <row r="817" spans="1:18">
      <c r="A817">
        <f>RAW_DATA!A817</f>
        <v>21</v>
      </c>
      <c r="B817" t="str">
        <f>RAW_DATA!B817</f>
        <v>No</v>
      </c>
      <c r="C817" t="str">
        <f>RAW_DATA!C817</f>
        <v>Research &amp; Development</v>
      </c>
      <c r="D817">
        <f>RAW_DATA!D817</f>
        <v>1</v>
      </c>
      <c r="E817">
        <f>RAW_DATA!E817</f>
        <v>1</v>
      </c>
      <c r="F817" t="str">
        <f>RAW_DATA!F817</f>
        <v>Technical Degree</v>
      </c>
      <c r="G817">
        <f>RAW_DATA!G817</f>
        <v>4</v>
      </c>
      <c r="H817">
        <f>RAW_DATA!H817</f>
        <v>2</v>
      </c>
      <c r="I817" t="str">
        <f>RAW_DATA!I817</f>
        <v>Single</v>
      </c>
      <c r="J817">
        <f>RAW_DATA!J817</f>
        <v>2070</v>
      </c>
      <c r="K817">
        <f>RAW_DATA!K817</f>
        <v>1</v>
      </c>
      <c r="L817">
        <f>RAW_DATA!L817</f>
        <v>4</v>
      </c>
      <c r="M817">
        <f>RAW_DATA!M817</f>
        <v>2</v>
      </c>
      <c r="N817">
        <f t="shared" si="24"/>
        <v>0</v>
      </c>
      <c r="O817" t="str" cm="1">
        <f t="array" ref="O817" xml:space="preserve"> _xlfn.IFS(A817 &lt;ASSUMPTIONS!$D$2,"25",A817 &lt;= ASSUMPTIONS!$D$3,"25-34",A817 &lt;= ASSUMPTIONS!$D$4, "35-44",A817 &lt;= ASSUMPTIONS!$D$5,"45-54",TRUE,"55+")</f>
        <v>25</v>
      </c>
      <c r="P817" t="str" cm="1">
        <f t="array" ref="P817">_xlfn.IFS( J817 &lt;ASSUMPTIONS!$D$7,"LOW",J817 &lt;= ASSUMPTIONS!$D$8,"MEDIUM",TRUE, "HIGH")</f>
        <v>LOW</v>
      </c>
      <c r="Q817" t="str">
        <f>IF(M817&lt;ASSUMPTIONS!$D$10,"New (0-2)",IF(M817&lt;=ASSUMPTIONS!$D$11,"Early (2-5)",IF(M817&lt;=ASSUMPTIONS!$D$12,"Established (5-10)","Veteran (10+)")))</f>
        <v>Early (2-5)</v>
      </c>
      <c r="R817" s="4">
        <f t="shared" si="25"/>
        <v>3.3333333333333335</v>
      </c>
    </row>
    <row r="818" spans="1:18">
      <c r="A818">
        <f>RAW_DATA!A818</f>
        <v>39</v>
      </c>
      <c r="B818" t="str">
        <f>RAW_DATA!B818</f>
        <v>No</v>
      </c>
      <c r="C818" t="str">
        <f>RAW_DATA!C818</f>
        <v>Research &amp; Development</v>
      </c>
      <c r="D818">
        <f>RAW_DATA!D818</f>
        <v>9</v>
      </c>
      <c r="E818">
        <f>RAW_DATA!E818</f>
        <v>3</v>
      </c>
      <c r="F818" t="str">
        <f>RAW_DATA!F818</f>
        <v>Life Sciences</v>
      </c>
      <c r="G818">
        <f>RAW_DATA!G818</f>
        <v>3</v>
      </c>
      <c r="H818">
        <f>RAW_DATA!H818</f>
        <v>2</v>
      </c>
      <c r="I818" t="str">
        <f>RAW_DATA!I818</f>
        <v>Single</v>
      </c>
      <c r="J818">
        <f>RAW_DATA!J818</f>
        <v>6782</v>
      </c>
      <c r="K818">
        <f>RAW_DATA!K818</f>
        <v>9</v>
      </c>
      <c r="L818">
        <f>RAW_DATA!L818</f>
        <v>2</v>
      </c>
      <c r="M818">
        <f>RAW_DATA!M818</f>
        <v>5</v>
      </c>
      <c r="N818">
        <f t="shared" si="24"/>
        <v>0</v>
      </c>
      <c r="O818" t="str" cm="1">
        <f t="array" ref="O818" xml:space="preserve"> _xlfn.IFS(A818 &lt;ASSUMPTIONS!$D$2,"25",A818 &lt;= ASSUMPTIONS!$D$3,"25-34",A818 &lt;= ASSUMPTIONS!$D$4, "35-44",A818 &lt;= ASSUMPTIONS!$D$5,"45-54",TRUE,"55+")</f>
        <v>35-44</v>
      </c>
      <c r="P818" t="str" cm="1">
        <f t="array" ref="P818">_xlfn.IFS( J818 &lt;ASSUMPTIONS!$D$7,"LOW",J818 &lt;= ASSUMPTIONS!$D$8,"MEDIUM",TRUE, "HIGH")</f>
        <v>MEDIUM</v>
      </c>
      <c r="Q818" t="str">
        <f>IF(M818&lt;ASSUMPTIONS!$D$10,"New (0-2)",IF(M818&lt;=ASSUMPTIONS!$D$11,"Early (2-5)",IF(M818&lt;=ASSUMPTIONS!$D$12,"Established (5-10)","Veteran (10+)")))</f>
        <v>Early (2-5)</v>
      </c>
      <c r="R818" s="4">
        <f t="shared" si="25"/>
        <v>2.3333333333333335</v>
      </c>
    </row>
    <row r="819" spans="1:18">
      <c r="A819">
        <f>RAW_DATA!A819</f>
        <v>36</v>
      </c>
      <c r="B819" t="str">
        <f>RAW_DATA!B819</f>
        <v>No</v>
      </c>
      <c r="C819" t="str">
        <f>RAW_DATA!C819</f>
        <v>Research &amp; Development</v>
      </c>
      <c r="D819">
        <f>RAW_DATA!D819</f>
        <v>18</v>
      </c>
      <c r="E819">
        <f>RAW_DATA!E819</f>
        <v>4</v>
      </c>
      <c r="F819" t="str">
        <f>RAW_DATA!F819</f>
        <v>Life Sciences</v>
      </c>
      <c r="G819">
        <f>RAW_DATA!G819</f>
        <v>1</v>
      </c>
      <c r="H819">
        <f>RAW_DATA!H819</f>
        <v>4</v>
      </c>
      <c r="I819" t="str">
        <f>RAW_DATA!I819</f>
        <v>Single</v>
      </c>
      <c r="J819">
        <f>RAW_DATA!J819</f>
        <v>7779</v>
      </c>
      <c r="K819">
        <f>RAW_DATA!K819</f>
        <v>2</v>
      </c>
      <c r="L819">
        <f>RAW_DATA!L819</f>
        <v>3</v>
      </c>
      <c r="M819">
        <f>RAW_DATA!M819</f>
        <v>11</v>
      </c>
      <c r="N819">
        <f t="shared" si="24"/>
        <v>0</v>
      </c>
      <c r="O819" t="str" cm="1">
        <f t="array" ref="O819" xml:space="preserve"> _xlfn.IFS(A819 &lt;ASSUMPTIONS!$D$2,"25",A819 &lt;= ASSUMPTIONS!$D$3,"25-34",A819 &lt;= ASSUMPTIONS!$D$4, "35-44",A819 &lt;= ASSUMPTIONS!$D$5,"45-54",TRUE,"55+")</f>
        <v>35-44</v>
      </c>
      <c r="P819" t="str" cm="1">
        <f t="array" ref="P819">_xlfn.IFS( J819 &lt;ASSUMPTIONS!$D$7,"LOW",J819 &lt;= ASSUMPTIONS!$D$8,"MEDIUM",TRUE, "HIGH")</f>
        <v>HIGH</v>
      </c>
      <c r="Q819" t="str">
        <f>IF(M819&lt;ASSUMPTIONS!$D$10,"New (0-2)",IF(M819&lt;=ASSUMPTIONS!$D$11,"Early (2-5)",IF(M819&lt;=ASSUMPTIONS!$D$12,"Established (5-10)","Veteran (10+)")))</f>
        <v>Veteran (10+)</v>
      </c>
      <c r="R819" s="4">
        <f t="shared" si="25"/>
        <v>2.6666666666666665</v>
      </c>
    </row>
    <row r="820" spans="1:18">
      <c r="A820">
        <f>RAW_DATA!A820</f>
        <v>31</v>
      </c>
      <c r="B820" t="str">
        <f>RAW_DATA!B820</f>
        <v>No</v>
      </c>
      <c r="C820" t="str">
        <f>RAW_DATA!C820</f>
        <v>Sales</v>
      </c>
      <c r="D820">
        <f>RAW_DATA!D820</f>
        <v>20</v>
      </c>
      <c r="E820">
        <f>RAW_DATA!E820</f>
        <v>3</v>
      </c>
      <c r="F820" t="str">
        <f>RAW_DATA!F820</f>
        <v>Life Sciences</v>
      </c>
      <c r="G820">
        <f>RAW_DATA!G820</f>
        <v>3</v>
      </c>
      <c r="H820">
        <f>RAW_DATA!H820</f>
        <v>4</v>
      </c>
      <c r="I820" t="str">
        <f>RAW_DATA!I820</f>
        <v>Married</v>
      </c>
      <c r="J820">
        <f>RAW_DATA!J820</f>
        <v>2791</v>
      </c>
      <c r="K820">
        <f>RAW_DATA!K820</f>
        <v>0</v>
      </c>
      <c r="L820">
        <f>RAW_DATA!L820</f>
        <v>3</v>
      </c>
      <c r="M820">
        <f>RAW_DATA!M820</f>
        <v>2</v>
      </c>
      <c r="N820">
        <f t="shared" si="24"/>
        <v>0</v>
      </c>
      <c r="O820" t="str" cm="1">
        <f t="array" ref="O820" xml:space="preserve"> _xlfn.IFS(A820 &lt;ASSUMPTIONS!$D$2,"25",A820 &lt;= ASSUMPTIONS!$D$3,"25-34",A820 &lt;= ASSUMPTIONS!$D$4, "35-44",A820 &lt;= ASSUMPTIONS!$D$5,"45-54",TRUE,"55+")</f>
        <v>25-34</v>
      </c>
      <c r="P820" t="str" cm="1">
        <f t="array" ref="P820">_xlfn.IFS( J820 &lt;ASSUMPTIONS!$D$7,"LOW",J820 &lt;= ASSUMPTIONS!$D$8,"MEDIUM",TRUE, "HIGH")</f>
        <v>LOW</v>
      </c>
      <c r="Q820" t="str">
        <f>IF(M820&lt;ASSUMPTIONS!$D$10,"New (0-2)",IF(M820&lt;=ASSUMPTIONS!$D$11,"Early (2-5)",IF(M820&lt;=ASSUMPTIONS!$D$12,"Established (5-10)","Veteran (10+)")))</f>
        <v>Early (2-5)</v>
      </c>
      <c r="R820" s="4">
        <f t="shared" si="25"/>
        <v>3.3333333333333335</v>
      </c>
    </row>
    <row r="821" spans="1:18">
      <c r="A821">
        <f>RAW_DATA!A821</f>
        <v>28</v>
      </c>
      <c r="B821" t="str">
        <f>RAW_DATA!B821</f>
        <v>No</v>
      </c>
      <c r="C821" t="str">
        <f>RAW_DATA!C821</f>
        <v>Research &amp; Development</v>
      </c>
      <c r="D821">
        <f>RAW_DATA!D821</f>
        <v>2</v>
      </c>
      <c r="E821">
        <f>RAW_DATA!E821</f>
        <v>1</v>
      </c>
      <c r="F821" t="str">
        <f>RAW_DATA!F821</f>
        <v>Life Sciences</v>
      </c>
      <c r="G821">
        <f>RAW_DATA!G821</f>
        <v>1</v>
      </c>
      <c r="H821">
        <f>RAW_DATA!H821</f>
        <v>2</v>
      </c>
      <c r="I821" t="str">
        <f>RAW_DATA!I821</f>
        <v>Married</v>
      </c>
      <c r="J821">
        <f>RAW_DATA!J821</f>
        <v>3201</v>
      </c>
      <c r="K821">
        <f>RAW_DATA!K821</f>
        <v>0</v>
      </c>
      <c r="L821">
        <f>RAW_DATA!L821</f>
        <v>1</v>
      </c>
      <c r="M821">
        <f>RAW_DATA!M821</f>
        <v>5</v>
      </c>
      <c r="N821">
        <f t="shared" si="24"/>
        <v>0</v>
      </c>
      <c r="O821" t="str" cm="1">
        <f t="array" ref="O821" xml:space="preserve"> _xlfn.IFS(A821 &lt;ASSUMPTIONS!$D$2,"25",A821 &lt;= ASSUMPTIONS!$D$3,"25-34",A821 &lt;= ASSUMPTIONS!$D$4, "35-44",A821 &lt;= ASSUMPTIONS!$D$5,"45-54",TRUE,"55+")</f>
        <v>25-34</v>
      </c>
      <c r="P821" t="str" cm="1">
        <f t="array" ref="P821">_xlfn.IFS( J821 &lt;ASSUMPTIONS!$D$7,"LOW",J821 &lt;= ASSUMPTIONS!$D$8,"MEDIUM",TRUE, "HIGH")</f>
        <v>MEDIUM</v>
      </c>
      <c r="Q821" t="str">
        <f>IF(M821&lt;ASSUMPTIONS!$D$10,"New (0-2)",IF(M821&lt;=ASSUMPTIONS!$D$11,"Early (2-5)",IF(M821&lt;=ASSUMPTIONS!$D$12,"Established (5-10)","Veteran (10+)")))</f>
        <v>Early (2-5)</v>
      </c>
      <c r="R821" s="4">
        <f t="shared" si="25"/>
        <v>1.3333333333333333</v>
      </c>
    </row>
    <row r="822" spans="1:18">
      <c r="A822">
        <f>RAW_DATA!A822</f>
        <v>35</v>
      </c>
      <c r="B822" t="str">
        <f>RAW_DATA!B822</f>
        <v>No</v>
      </c>
      <c r="C822" t="str">
        <f>RAW_DATA!C822</f>
        <v>Sales</v>
      </c>
      <c r="D822">
        <f>RAW_DATA!D822</f>
        <v>11</v>
      </c>
      <c r="E822">
        <f>RAW_DATA!E822</f>
        <v>2</v>
      </c>
      <c r="F822" t="str">
        <f>RAW_DATA!F822</f>
        <v>Marketing</v>
      </c>
      <c r="G822">
        <f>RAW_DATA!G822</f>
        <v>4</v>
      </c>
      <c r="H822">
        <f>RAW_DATA!H822</f>
        <v>4</v>
      </c>
      <c r="I822" t="str">
        <f>RAW_DATA!I822</f>
        <v>Divorced</v>
      </c>
      <c r="J822">
        <f>RAW_DATA!J822</f>
        <v>4968</v>
      </c>
      <c r="K822">
        <f>RAW_DATA!K822</f>
        <v>1</v>
      </c>
      <c r="L822">
        <f>RAW_DATA!L822</f>
        <v>3</v>
      </c>
      <c r="M822">
        <f>RAW_DATA!M822</f>
        <v>5</v>
      </c>
      <c r="N822">
        <f t="shared" si="24"/>
        <v>0</v>
      </c>
      <c r="O822" t="str" cm="1">
        <f t="array" ref="O822" xml:space="preserve"> _xlfn.IFS(A822 &lt;ASSUMPTIONS!$D$2,"25",A822 &lt;= ASSUMPTIONS!$D$3,"25-34",A822 &lt;= ASSUMPTIONS!$D$4, "35-44",A822 &lt;= ASSUMPTIONS!$D$5,"45-54",TRUE,"55+")</f>
        <v>35-44</v>
      </c>
      <c r="P822" t="str" cm="1">
        <f t="array" ref="P822">_xlfn.IFS( J822 &lt;ASSUMPTIONS!$D$7,"LOW",J822 &lt;= ASSUMPTIONS!$D$8,"MEDIUM",TRUE, "HIGH")</f>
        <v>MEDIUM</v>
      </c>
      <c r="Q822" t="str">
        <f>IF(M822&lt;ASSUMPTIONS!$D$10,"New (0-2)",IF(M822&lt;=ASSUMPTIONS!$D$11,"Early (2-5)",IF(M822&lt;=ASSUMPTIONS!$D$12,"Established (5-10)","Veteran (10+)")))</f>
        <v>Early (2-5)</v>
      </c>
      <c r="R822" s="4">
        <f t="shared" si="25"/>
        <v>3.6666666666666665</v>
      </c>
    </row>
    <row r="823" spans="1:18">
      <c r="A823">
        <f>RAW_DATA!A823</f>
        <v>49</v>
      </c>
      <c r="B823" t="str">
        <f>RAW_DATA!B823</f>
        <v>No</v>
      </c>
      <c r="C823" t="str">
        <f>RAW_DATA!C823</f>
        <v>Sales</v>
      </c>
      <c r="D823">
        <f>RAW_DATA!D823</f>
        <v>8</v>
      </c>
      <c r="E823">
        <f>RAW_DATA!E823</f>
        <v>4</v>
      </c>
      <c r="F823" t="str">
        <f>RAW_DATA!F823</f>
        <v>Technical Degree</v>
      </c>
      <c r="G823">
        <f>RAW_DATA!G823</f>
        <v>4</v>
      </c>
      <c r="H823">
        <f>RAW_DATA!H823</f>
        <v>2</v>
      </c>
      <c r="I823" t="str">
        <f>RAW_DATA!I823</f>
        <v>Married</v>
      </c>
      <c r="J823">
        <f>RAW_DATA!J823</f>
        <v>13120</v>
      </c>
      <c r="K823">
        <f>RAW_DATA!K823</f>
        <v>6</v>
      </c>
      <c r="L823">
        <f>RAW_DATA!L823</f>
        <v>3</v>
      </c>
      <c r="M823">
        <f>RAW_DATA!M823</f>
        <v>9</v>
      </c>
      <c r="N823">
        <f t="shared" si="24"/>
        <v>0</v>
      </c>
      <c r="O823" t="str" cm="1">
        <f t="array" ref="O823" xml:space="preserve"> _xlfn.IFS(A823 &lt;ASSUMPTIONS!$D$2,"25",A823 &lt;= ASSUMPTIONS!$D$3,"25-34",A823 &lt;= ASSUMPTIONS!$D$4, "35-44",A823 &lt;= ASSUMPTIONS!$D$5,"45-54",TRUE,"55+")</f>
        <v>45-54</v>
      </c>
      <c r="P823" t="str" cm="1">
        <f t="array" ref="P823">_xlfn.IFS( J823 &lt;ASSUMPTIONS!$D$7,"LOW",J823 &lt;= ASSUMPTIONS!$D$8,"MEDIUM",TRUE, "HIGH")</f>
        <v>HIGH</v>
      </c>
      <c r="Q823" t="str">
        <f>IF(M823&lt;ASSUMPTIONS!$D$10,"New (0-2)",IF(M823&lt;=ASSUMPTIONS!$D$11,"Early (2-5)",IF(M823&lt;=ASSUMPTIONS!$D$12,"Established (5-10)","Veteran (10+)")))</f>
        <v>Established (5-10)</v>
      </c>
      <c r="R823" s="4">
        <f t="shared" si="25"/>
        <v>3</v>
      </c>
    </row>
    <row r="824" spans="1:18">
      <c r="A824">
        <f>RAW_DATA!A824</f>
        <v>34</v>
      </c>
      <c r="B824" t="str">
        <f>RAW_DATA!B824</f>
        <v>No</v>
      </c>
      <c r="C824" t="str">
        <f>RAW_DATA!C824</f>
        <v>Research &amp; Development</v>
      </c>
      <c r="D824">
        <f>RAW_DATA!D824</f>
        <v>2</v>
      </c>
      <c r="E824">
        <f>RAW_DATA!E824</f>
        <v>2</v>
      </c>
      <c r="F824" t="str">
        <f>RAW_DATA!F824</f>
        <v>Life Sciences</v>
      </c>
      <c r="G824">
        <f>RAW_DATA!G824</f>
        <v>4</v>
      </c>
      <c r="H824">
        <f>RAW_DATA!H824</f>
        <v>3</v>
      </c>
      <c r="I824" t="str">
        <f>RAW_DATA!I824</f>
        <v>Single</v>
      </c>
      <c r="J824">
        <f>RAW_DATA!J824</f>
        <v>4033</v>
      </c>
      <c r="K824">
        <f>RAW_DATA!K824</f>
        <v>2</v>
      </c>
      <c r="L824">
        <f>RAW_DATA!L824</f>
        <v>2</v>
      </c>
      <c r="M824">
        <f>RAW_DATA!M824</f>
        <v>3</v>
      </c>
      <c r="N824">
        <f t="shared" si="24"/>
        <v>0</v>
      </c>
      <c r="O824" t="str" cm="1">
        <f t="array" ref="O824" xml:space="preserve"> _xlfn.IFS(A824 &lt;ASSUMPTIONS!$D$2,"25",A824 &lt;= ASSUMPTIONS!$D$3,"25-34",A824 &lt;= ASSUMPTIONS!$D$4, "35-44",A824 &lt;= ASSUMPTIONS!$D$5,"45-54",TRUE,"55+")</f>
        <v>25-34</v>
      </c>
      <c r="P824" t="str" cm="1">
        <f t="array" ref="P824">_xlfn.IFS( J824 &lt;ASSUMPTIONS!$D$7,"LOW",J824 &lt;= ASSUMPTIONS!$D$8,"MEDIUM",TRUE, "HIGH")</f>
        <v>MEDIUM</v>
      </c>
      <c r="Q824" t="str">
        <f>IF(M824&lt;ASSUMPTIONS!$D$10,"New (0-2)",IF(M824&lt;=ASSUMPTIONS!$D$11,"Early (2-5)",IF(M824&lt;=ASSUMPTIONS!$D$12,"Established (5-10)","Veteran (10+)")))</f>
        <v>Early (2-5)</v>
      </c>
      <c r="R824" s="4">
        <f t="shared" si="25"/>
        <v>3</v>
      </c>
    </row>
    <row r="825" spans="1:18">
      <c r="A825">
        <f>RAW_DATA!A825</f>
        <v>29</v>
      </c>
      <c r="B825" t="str">
        <f>RAW_DATA!B825</f>
        <v>No</v>
      </c>
      <c r="C825" t="str">
        <f>RAW_DATA!C825</f>
        <v>Research &amp; Development</v>
      </c>
      <c r="D825">
        <f>RAW_DATA!D825</f>
        <v>10</v>
      </c>
      <c r="E825">
        <f>RAW_DATA!E825</f>
        <v>3</v>
      </c>
      <c r="F825" t="str">
        <f>RAW_DATA!F825</f>
        <v>Life Sciences</v>
      </c>
      <c r="G825">
        <f>RAW_DATA!G825</f>
        <v>4</v>
      </c>
      <c r="H825">
        <f>RAW_DATA!H825</f>
        <v>2</v>
      </c>
      <c r="I825" t="str">
        <f>RAW_DATA!I825</f>
        <v>Divorced</v>
      </c>
      <c r="J825">
        <f>RAW_DATA!J825</f>
        <v>3291</v>
      </c>
      <c r="K825">
        <f>RAW_DATA!K825</f>
        <v>0</v>
      </c>
      <c r="L825">
        <f>RAW_DATA!L825</f>
        <v>2</v>
      </c>
      <c r="M825">
        <f>RAW_DATA!M825</f>
        <v>7</v>
      </c>
      <c r="N825">
        <f t="shared" si="24"/>
        <v>0</v>
      </c>
      <c r="O825" t="str" cm="1">
        <f t="array" ref="O825" xml:space="preserve"> _xlfn.IFS(A825 &lt;ASSUMPTIONS!$D$2,"25",A825 &lt;= ASSUMPTIONS!$D$3,"25-34",A825 &lt;= ASSUMPTIONS!$D$4, "35-44",A825 &lt;= ASSUMPTIONS!$D$5,"45-54",TRUE,"55+")</f>
        <v>25-34</v>
      </c>
      <c r="P825" t="str" cm="1">
        <f t="array" ref="P825">_xlfn.IFS( J825 &lt;ASSUMPTIONS!$D$7,"LOW",J825 &lt;= ASSUMPTIONS!$D$8,"MEDIUM",TRUE, "HIGH")</f>
        <v>MEDIUM</v>
      </c>
      <c r="Q825" t="str">
        <f>IF(M825&lt;ASSUMPTIONS!$D$10,"New (0-2)",IF(M825&lt;=ASSUMPTIONS!$D$11,"Early (2-5)",IF(M825&lt;=ASSUMPTIONS!$D$12,"Established (5-10)","Veteran (10+)")))</f>
        <v>Established (5-10)</v>
      </c>
      <c r="R825" s="4">
        <f t="shared" si="25"/>
        <v>2.6666666666666665</v>
      </c>
    </row>
    <row r="826" spans="1:18">
      <c r="A826">
        <f>RAW_DATA!A826</f>
        <v>42</v>
      </c>
      <c r="B826" t="str">
        <f>RAW_DATA!B826</f>
        <v>No</v>
      </c>
      <c r="C826" t="str">
        <f>RAW_DATA!C826</f>
        <v>Research &amp; Development</v>
      </c>
      <c r="D826">
        <f>RAW_DATA!D826</f>
        <v>29</v>
      </c>
      <c r="E826">
        <f>RAW_DATA!E826</f>
        <v>3</v>
      </c>
      <c r="F826" t="str">
        <f>RAW_DATA!F826</f>
        <v>Medical</v>
      </c>
      <c r="G826">
        <f>RAW_DATA!G826</f>
        <v>2</v>
      </c>
      <c r="H826">
        <f>RAW_DATA!H826</f>
        <v>4</v>
      </c>
      <c r="I826" t="str">
        <f>RAW_DATA!I826</f>
        <v>Single</v>
      </c>
      <c r="J826">
        <f>RAW_DATA!J826</f>
        <v>4272</v>
      </c>
      <c r="K826">
        <f>RAW_DATA!K826</f>
        <v>4</v>
      </c>
      <c r="L826">
        <f>RAW_DATA!L826</f>
        <v>3</v>
      </c>
      <c r="M826">
        <f>RAW_DATA!M826</f>
        <v>1</v>
      </c>
      <c r="N826">
        <f t="shared" si="24"/>
        <v>0</v>
      </c>
      <c r="O826" t="str" cm="1">
        <f t="array" ref="O826" xml:space="preserve"> _xlfn.IFS(A826 &lt;ASSUMPTIONS!$D$2,"25",A826 &lt;= ASSUMPTIONS!$D$3,"25-34",A826 &lt;= ASSUMPTIONS!$D$4, "35-44",A826 &lt;= ASSUMPTIONS!$D$5,"45-54",TRUE,"55+")</f>
        <v>35-44</v>
      </c>
      <c r="P826" t="str" cm="1">
        <f t="array" ref="P826">_xlfn.IFS( J826 &lt;ASSUMPTIONS!$D$7,"LOW",J826 &lt;= ASSUMPTIONS!$D$8,"MEDIUM",TRUE, "HIGH")</f>
        <v>MEDIUM</v>
      </c>
      <c r="Q826" t="str">
        <f>IF(M826&lt;ASSUMPTIONS!$D$10,"New (0-2)",IF(M826&lt;=ASSUMPTIONS!$D$11,"Early (2-5)",IF(M826&lt;=ASSUMPTIONS!$D$12,"Established (5-10)","Veteran (10+)")))</f>
        <v>New (0-2)</v>
      </c>
      <c r="R826" s="4">
        <f t="shared" si="25"/>
        <v>3</v>
      </c>
    </row>
    <row r="827" spans="1:18">
      <c r="A827">
        <f>RAW_DATA!A827</f>
        <v>29</v>
      </c>
      <c r="B827" t="str">
        <f>RAW_DATA!B827</f>
        <v>No</v>
      </c>
      <c r="C827" t="str">
        <f>RAW_DATA!C827</f>
        <v>Research &amp; Development</v>
      </c>
      <c r="D827">
        <f>RAW_DATA!D827</f>
        <v>8</v>
      </c>
      <c r="E827">
        <f>RAW_DATA!E827</f>
        <v>1</v>
      </c>
      <c r="F827" t="str">
        <f>RAW_DATA!F827</f>
        <v>Medical</v>
      </c>
      <c r="G827">
        <f>RAW_DATA!G827</f>
        <v>2</v>
      </c>
      <c r="H827">
        <f>RAW_DATA!H827</f>
        <v>4</v>
      </c>
      <c r="I827" t="str">
        <f>RAW_DATA!I827</f>
        <v>Married</v>
      </c>
      <c r="J827">
        <f>RAW_DATA!J827</f>
        <v>5056</v>
      </c>
      <c r="K827">
        <f>RAW_DATA!K827</f>
        <v>1</v>
      </c>
      <c r="L827">
        <f>RAW_DATA!L827</f>
        <v>2</v>
      </c>
      <c r="M827">
        <f>RAW_DATA!M827</f>
        <v>10</v>
      </c>
      <c r="N827">
        <f t="shared" si="24"/>
        <v>0</v>
      </c>
      <c r="O827" t="str" cm="1">
        <f t="array" ref="O827" xml:space="preserve"> _xlfn.IFS(A827 &lt;ASSUMPTIONS!$D$2,"25",A827 &lt;= ASSUMPTIONS!$D$3,"25-34",A827 &lt;= ASSUMPTIONS!$D$4, "35-44",A827 &lt;= ASSUMPTIONS!$D$5,"45-54",TRUE,"55+")</f>
        <v>25-34</v>
      </c>
      <c r="P827" t="str" cm="1">
        <f t="array" ref="P827">_xlfn.IFS( J827 &lt;ASSUMPTIONS!$D$7,"LOW",J827 &lt;= ASSUMPTIONS!$D$8,"MEDIUM",TRUE, "HIGH")</f>
        <v>MEDIUM</v>
      </c>
      <c r="Q827" t="str">
        <f>IF(M827&lt;ASSUMPTIONS!$D$10,"New (0-2)",IF(M827&lt;=ASSUMPTIONS!$D$11,"Early (2-5)",IF(M827&lt;=ASSUMPTIONS!$D$12,"Established (5-10)","Veteran (10+)")))</f>
        <v>Established (5-10)</v>
      </c>
      <c r="R827" s="4">
        <f t="shared" si="25"/>
        <v>2.6666666666666665</v>
      </c>
    </row>
    <row r="828" spans="1:18">
      <c r="A828">
        <f>RAW_DATA!A828</f>
        <v>38</v>
      </c>
      <c r="B828" t="str">
        <f>RAW_DATA!B828</f>
        <v>No</v>
      </c>
      <c r="C828" t="str">
        <f>RAW_DATA!C828</f>
        <v>Human Resources</v>
      </c>
      <c r="D828">
        <f>RAW_DATA!D828</f>
        <v>1</v>
      </c>
      <c r="E828">
        <f>RAW_DATA!E828</f>
        <v>3</v>
      </c>
      <c r="F828" t="str">
        <f>RAW_DATA!F828</f>
        <v>Human Resources</v>
      </c>
      <c r="G828">
        <f>RAW_DATA!G828</f>
        <v>3</v>
      </c>
      <c r="H828">
        <f>RAW_DATA!H828</f>
        <v>3</v>
      </c>
      <c r="I828" t="str">
        <f>RAW_DATA!I828</f>
        <v>Married</v>
      </c>
      <c r="J828">
        <f>RAW_DATA!J828</f>
        <v>2844</v>
      </c>
      <c r="K828">
        <f>RAW_DATA!K828</f>
        <v>1</v>
      </c>
      <c r="L828">
        <f>RAW_DATA!L828</f>
        <v>4</v>
      </c>
      <c r="M828">
        <f>RAW_DATA!M828</f>
        <v>7</v>
      </c>
      <c r="N828">
        <f t="shared" si="24"/>
        <v>0</v>
      </c>
      <c r="O828" t="str" cm="1">
        <f t="array" ref="O828" xml:space="preserve"> _xlfn.IFS(A828 &lt;ASSUMPTIONS!$D$2,"25",A828 &lt;= ASSUMPTIONS!$D$3,"25-34",A828 &lt;= ASSUMPTIONS!$D$4, "35-44",A828 &lt;= ASSUMPTIONS!$D$5,"45-54",TRUE,"55+")</f>
        <v>35-44</v>
      </c>
      <c r="P828" t="str" cm="1">
        <f t="array" ref="P828">_xlfn.IFS( J828 &lt;ASSUMPTIONS!$D$7,"LOW",J828 &lt;= ASSUMPTIONS!$D$8,"MEDIUM",TRUE, "HIGH")</f>
        <v>LOW</v>
      </c>
      <c r="Q828" t="str">
        <f>IF(M828&lt;ASSUMPTIONS!$D$10,"New (0-2)",IF(M828&lt;=ASSUMPTIONS!$D$11,"Early (2-5)",IF(M828&lt;=ASSUMPTIONS!$D$12,"Established (5-10)","Veteran (10+)")))</f>
        <v>Established (5-10)</v>
      </c>
      <c r="R828" s="4">
        <f t="shared" si="25"/>
        <v>3.3333333333333335</v>
      </c>
    </row>
    <row r="829" spans="1:18">
      <c r="A829">
        <f>RAW_DATA!A829</f>
        <v>28</v>
      </c>
      <c r="B829" t="str">
        <f>RAW_DATA!B829</f>
        <v>No</v>
      </c>
      <c r="C829" t="str">
        <f>RAW_DATA!C829</f>
        <v>Research &amp; Development</v>
      </c>
      <c r="D829">
        <f>RAW_DATA!D829</f>
        <v>6</v>
      </c>
      <c r="E829">
        <f>RAW_DATA!E829</f>
        <v>3</v>
      </c>
      <c r="F829" t="str">
        <f>RAW_DATA!F829</f>
        <v>Life Sciences</v>
      </c>
      <c r="G829">
        <f>RAW_DATA!G829</f>
        <v>3</v>
      </c>
      <c r="H829">
        <f>RAW_DATA!H829</f>
        <v>3</v>
      </c>
      <c r="I829" t="str">
        <f>RAW_DATA!I829</f>
        <v>Divorced</v>
      </c>
      <c r="J829">
        <f>RAW_DATA!J829</f>
        <v>2703</v>
      </c>
      <c r="K829">
        <f>RAW_DATA!K829</f>
        <v>1</v>
      </c>
      <c r="L829">
        <f>RAW_DATA!L829</f>
        <v>3</v>
      </c>
      <c r="M829">
        <f>RAW_DATA!M829</f>
        <v>3</v>
      </c>
      <c r="N829">
        <f t="shared" si="24"/>
        <v>0</v>
      </c>
      <c r="O829" t="str" cm="1">
        <f t="array" ref="O829" xml:space="preserve"> _xlfn.IFS(A829 &lt;ASSUMPTIONS!$D$2,"25",A829 &lt;= ASSUMPTIONS!$D$3,"25-34",A829 &lt;= ASSUMPTIONS!$D$4, "35-44",A829 &lt;= ASSUMPTIONS!$D$5,"45-54",TRUE,"55+")</f>
        <v>25-34</v>
      </c>
      <c r="P829" t="str" cm="1">
        <f t="array" ref="P829">_xlfn.IFS( J829 &lt;ASSUMPTIONS!$D$7,"LOW",J829 &lt;= ASSUMPTIONS!$D$8,"MEDIUM",TRUE, "HIGH")</f>
        <v>LOW</v>
      </c>
      <c r="Q829" t="str">
        <f>IF(M829&lt;ASSUMPTIONS!$D$10,"New (0-2)",IF(M829&lt;=ASSUMPTIONS!$D$11,"Early (2-5)",IF(M829&lt;=ASSUMPTIONS!$D$12,"Established (5-10)","Veteran (10+)")))</f>
        <v>Early (2-5)</v>
      </c>
      <c r="R829" s="4">
        <f t="shared" si="25"/>
        <v>3</v>
      </c>
    </row>
    <row r="830" spans="1:18">
      <c r="A830">
        <f>RAW_DATA!A830</f>
        <v>18</v>
      </c>
      <c r="B830" t="str">
        <f>RAW_DATA!B830</f>
        <v>Yes</v>
      </c>
      <c r="C830" t="str">
        <f>RAW_DATA!C830</f>
        <v>Research &amp; Development</v>
      </c>
      <c r="D830">
        <f>RAW_DATA!D830</f>
        <v>8</v>
      </c>
      <c r="E830">
        <f>RAW_DATA!E830</f>
        <v>1</v>
      </c>
      <c r="F830" t="str">
        <f>RAW_DATA!F830</f>
        <v>Medical</v>
      </c>
      <c r="G830">
        <f>RAW_DATA!G830</f>
        <v>3</v>
      </c>
      <c r="H830">
        <f>RAW_DATA!H830</f>
        <v>3</v>
      </c>
      <c r="I830" t="str">
        <f>RAW_DATA!I830</f>
        <v>Single</v>
      </c>
      <c r="J830">
        <f>RAW_DATA!J830</f>
        <v>1904</v>
      </c>
      <c r="K830">
        <f>RAW_DATA!K830</f>
        <v>1</v>
      </c>
      <c r="L830">
        <f>RAW_DATA!L830</f>
        <v>3</v>
      </c>
      <c r="M830">
        <f>RAW_DATA!M830</f>
        <v>0</v>
      </c>
      <c r="N830">
        <f t="shared" si="24"/>
        <v>1</v>
      </c>
      <c r="O830" t="str" cm="1">
        <f t="array" ref="O830" xml:space="preserve"> _xlfn.IFS(A830 &lt;ASSUMPTIONS!$D$2,"25",A830 &lt;= ASSUMPTIONS!$D$3,"25-34",A830 &lt;= ASSUMPTIONS!$D$4, "35-44",A830 &lt;= ASSUMPTIONS!$D$5,"45-54",TRUE,"55+")</f>
        <v>25</v>
      </c>
      <c r="P830" t="str" cm="1">
        <f t="array" ref="P830">_xlfn.IFS( J830 &lt;ASSUMPTIONS!$D$7,"LOW",J830 &lt;= ASSUMPTIONS!$D$8,"MEDIUM",TRUE, "HIGH")</f>
        <v>LOW</v>
      </c>
      <c r="Q830" t="str">
        <f>IF(M830&lt;ASSUMPTIONS!$D$10,"New (0-2)",IF(M830&lt;=ASSUMPTIONS!$D$11,"Early (2-5)",IF(M830&lt;=ASSUMPTIONS!$D$12,"Established (5-10)","Veteran (10+)")))</f>
        <v>New (0-2)</v>
      </c>
      <c r="R830" s="4">
        <f t="shared" si="25"/>
        <v>3</v>
      </c>
    </row>
    <row r="831" spans="1:18">
      <c r="A831">
        <f>RAW_DATA!A831</f>
        <v>33</v>
      </c>
      <c r="B831" t="str">
        <f>RAW_DATA!B831</f>
        <v>Yes</v>
      </c>
      <c r="C831" t="str">
        <f>RAW_DATA!C831</f>
        <v>Sales</v>
      </c>
      <c r="D831">
        <f>RAW_DATA!D831</f>
        <v>9</v>
      </c>
      <c r="E831">
        <f>RAW_DATA!E831</f>
        <v>4</v>
      </c>
      <c r="F831" t="str">
        <f>RAW_DATA!F831</f>
        <v>Marketing</v>
      </c>
      <c r="G831">
        <f>RAW_DATA!G831</f>
        <v>1</v>
      </c>
      <c r="H831">
        <f>RAW_DATA!H831</f>
        <v>1</v>
      </c>
      <c r="I831" t="str">
        <f>RAW_DATA!I831</f>
        <v>Single</v>
      </c>
      <c r="J831">
        <f>RAW_DATA!J831</f>
        <v>8224</v>
      </c>
      <c r="K831">
        <f>RAW_DATA!K831</f>
        <v>0</v>
      </c>
      <c r="L831">
        <f>RAW_DATA!L831</f>
        <v>3</v>
      </c>
      <c r="M831">
        <f>RAW_DATA!M831</f>
        <v>5</v>
      </c>
      <c r="N831">
        <f t="shared" si="24"/>
        <v>1</v>
      </c>
      <c r="O831" t="str" cm="1">
        <f t="array" ref="O831" xml:space="preserve"> _xlfn.IFS(A831 &lt;ASSUMPTIONS!$D$2,"25",A831 &lt;= ASSUMPTIONS!$D$3,"25-34",A831 &lt;= ASSUMPTIONS!$D$4, "35-44",A831 &lt;= ASSUMPTIONS!$D$5,"45-54",TRUE,"55+")</f>
        <v>25-34</v>
      </c>
      <c r="P831" t="str" cm="1">
        <f t="array" ref="P831">_xlfn.IFS( J831 &lt;ASSUMPTIONS!$D$7,"LOW",J831 &lt;= ASSUMPTIONS!$D$8,"MEDIUM",TRUE, "HIGH")</f>
        <v>HIGH</v>
      </c>
      <c r="Q831" t="str">
        <f>IF(M831&lt;ASSUMPTIONS!$D$10,"New (0-2)",IF(M831&lt;=ASSUMPTIONS!$D$11,"Early (2-5)",IF(M831&lt;=ASSUMPTIONS!$D$12,"Established (5-10)","Veteran (10+)")))</f>
        <v>Early (2-5)</v>
      </c>
      <c r="R831" s="4">
        <f t="shared" si="25"/>
        <v>1.6666666666666667</v>
      </c>
    </row>
    <row r="832" spans="1:18">
      <c r="A832">
        <f>RAW_DATA!A832</f>
        <v>41</v>
      </c>
      <c r="B832" t="str">
        <f>RAW_DATA!B832</f>
        <v>No</v>
      </c>
      <c r="C832" t="str">
        <f>RAW_DATA!C832</f>
        <v>Research &amp; Development</v>
      </c>
      <c r="D832">
        <f>RAW_DATA!D832</f>
        <v>12</v>
      </c>
      <c r="E832">
        <f>RAW_DATA!E832</f>
        <v>4</v>
      </c>
      <c r="F832" t="str">
        <f>RAW_DATA!F832</f>
        <v>Life Sciences</v>
      </c>
      <c r="G832">
        <f>RAW_DATA!G832</f>
        <v>2</v>
      </c>
      <c r="H832">
        <f>RAW_DATA!H832</f>
        <v>4</v>
      </c>
      <c r="I832" t="str">
        <f>RAW_DATA!I832</f>
        <v>Married</v>
      </c>
      <c r="J832">
        <f>RAW_DATA!J832</f>
        <v>4766</v>
      </c>
      <c r="K832">
        <f>RAW_DATA!K832</f>
        <v>3</v>
      </c>
      <c r="L832">
        <f>RAW_DATA!L832</f>
        <v>3</v>
      </c>
      <c r="M832">
        <f>RAW_DATA!M832</f>
        <v>1</v>
      </c>
      <c r="N832">
        <f t="shared" si="24"/>
        <v>0</v>
      </c>
      <c r="O832" t="str" cm="1">
        <f t="array" ref="O832" xml:space="preserve"> _xlfn.IFS(A832 &lt;ASSUMPTIONS!$D$2,"25",A832 &lt;= ASSUMPTIONS!$D$3,"25-34",A832 &lt;= ASSUMPTIONS!$D$4, "35-44",A832 &lt;= ASSUMPTIONS!$D$5,"45-54",TRUE,"55+")</f>
        <v>35-44</v>
      </c>
      <c r="P832" t="str" cm="1">
        <f t="array" ref="P832">_xlfn.IFS( J832 &lt;ASSUMPTIONS!$D$7,"LOW",J832 &lt;= ASSUMPTIONS!$D$8,"MEDIUM",TRUE, "HIGH")</f>
        <v>MEDIUM</v>
      </c>
      <c r="Q832" t="str">
        <f>IF(M832&lt;ASSUMPTIONS!$D$10,"New (0-2)",IF(M832&lt;=ASSUMPTIONS!$D$11,"Early (2-5)",IF(M832&lt;=ASSUMPTIONS!$D$12,"Established (5-10)","Veteran (10+)")))</f>
        <v>New (0-2)</v>
      </c>
      <c r="R832" s="4">
        <f t="shared" si="25"/>
        <v>3</v>
      </c>
    </row>
    <row r="833" spans="1:18">
      <c r="A833">
        <f>RAW_DATA!A833</f>
        <v>31</v>
      </c>
      <c r="B833" t="str">
        <f>RAW_DATA!B833</f>
        <v>Yes</v>
      </c>
      <c r="C833" t="str">
        <f>RAW_DATA!C833</f>
        <v>Research &amp; Development</v>
      </c>
      <c r="D833">
        <f>RAW_DATA!D833</f>
        <v>15</v>
      </c>
      <c r="E833">
        <f>RAW_DATA!E833</f>
        <v>3</v>
      </c>
      <c r="F833" t="str">
        <f>RAW_DATA!F833</f>
        <v>Medical</v>
      </c>
      <c r="G833">
        <f>RAW_DATA!G833</f>
        <v>3</v>
      </c>
      <c r="H833">
        <f>RAW_DATA!H833</f>
        <v>3</v>
      </c>
      <c r="I833" t="str">
        <f>RAW_DATA!I833</f>
        <v>Married</v>
      </c>
      <c r="J833">
        <f>RAW_DATA!J833</f>
        <v>2610</v>
      </c>
      <c r="K833">
        <f>RAW_DATA!K833</f>
        <v>1</v>
      </c>
      <c r="L833">
        <f>RAW_DATA!L833</f>
        <v>2</v>
      </c>
      <c r="M833">
        <f>RAW_DATA!M833</f>
        <v>2</v>
      </c>
      <c r="N833">
        <f t="shared" si="24"/>
        <v>1</v>
      </c>
      <c r="O833" t="str" cm="1">
        <f t="array" ref="O833" xml:space="preserve"> _xlfn.IFS(A833 &lt;ASSUMPTIONS!$D$2,"25",A833 &lt;= ASSUMPTIONS!$D$3,"25-34",A833 &lt;= ASSUMPTIONS!$D$4, "35-44",A833 &lt;= ASSUMPTIONS!$D$5,"45-54",TRUE,"55+")</f>
        <v>25-34</v>
      </c>
      <c r="P833" t="str" cm="1">
        <f t="array" ref="P833">_xlfn.IFS( J833 &lt;ASSUMPTIONS!$D$7,"LOW",J833 &lt;= ASSUMPTIONS!$D$8,"MEDIUM",TRUE, "HIGH")</f>
        <v>LOW</v>
      </c>
      <c r="Q833" t="str">
        <f>IF(M833&lt;ASSUMPTIONS!$D$10,"New (0-2)",IF(M833&lt;=ASSUMPTIONS!$D$11,"Early (2-5)",IF(M833&lt;=ASSUMPTIONS!$D$12,"Established (5-10)","Veteran (10+)")))</f>
        <v>Early (2-5)</v>
      </c>
      <c r="R833" s="4">
        <f t="shared" si="25"/>
        <v>2.6666666666666665</v>
      </c>
    </row>
    <row r="834" spans="1:18">
      <c r="A834">
        <f>RAW_DATA!A834</f>
        <v>37</v>
      </c>
      <c r="B834" t="str">
        <f>RAW_DATA!B834</f>
        <v>No</v>
      </c>
      <c r="C834" t="str">
        <f>RAW_DATA!C834</f>
        <v>Research &amp; Development</v>
      </c>
      <c r="D834">
        <f>RAW_DATA!D834</f>
        <v>25</v>
      </c>
      <c r="E834">
        <f>RAW_DATA!E834</f>
        <v>2</v>
      </c>
      <c r="F834" t="str">
        <f>RAW_DATA!F834</f>
        <v>Medical</v>
      </c>
      <c r="G834">
        <f>RAW_DATA!G834</f>
        <v>3</v>
      </c>
      <c r="H834">
        <f>RAW_DATA!H834</f>
        <v>4</v>
      </c>
      <c r="I834" t="str">
        <f>RAW_DATA!I834</f>
        <v>Divorced</v>
      </c>
      <c r="J834">
        <f>RAW_DATA!J834</f>
        <v>5731</v>
      </c>
      <c r="K834">
        <f>RAW_DATA!K834</f>
        <v>7</v>
      </c>
      <c r="L834">
        <f>RAW_DATA!L834</f>
        <v>3</v>
      </c>
      <c r="M834">
        <f>RAW_DATA!M834</f>
        <v>6</v>
      </c>
      <c r="N834">
        <f t="shared" si="24"/>
        <v>0</v>
      </c>
      <c r="O834" t="str" cm="1">
        <f t="array" ref="O834" xml:space="preserve"> _xlfn.IFS(A834 &lt;ASSUMPTIONS!$D$2,"25",A834 &lt;= ASSUMPTIONS!$D$3,"25-34",A834 &lt;= ASSUMPTIONS!$D$4, "35-44",A834 &lt;= ASSUMPTIONS!$D$5,"45-54",TRUE,"55+")</f>
        <v>35-44</v>
      </c>
      <c r="P834" t="str" cm="1">
        <f t="array" ref="P834">_xlfn.IFS( J834 &lt;ASSUMPTIONS!$D$7,"LOW",J834 &lt;= ASSUMPTIONS!$D$8,"MEDIUM",TRUE, "HIGH")</f>
        <v>MEDIUM</v>
      </c>
      <c r="Q834" t="str">
        <f>IF(M834&lt;ASSUMPTIONS!$D$10,"New (0-2)",IF(M834&lt;=ASSUMPTIONS!$D$11,"Early (2-5)",IF(M834&lt;=ASSUMPTIONS!$D$12,"Established (5-10)","Veteran (10+)")))</f>
        <v>Established (5-10)</v>
      </c>
      <c r="R834" s="4">
        <f t="shared" si="25"/>
        <v>3.3333333333333335</v>
      </c>
    </row>
    <row r="835" spans="1:18">
      <c r="A835">
        <f>RAW_DATA!A835</f>
        <v>27</v>
      </c>
      <c r="B835" t="str">
        <f>RAW_DATA!B835</f>
        <v>No</v>
      </c>
      <c r="C835" t="str">
        <f>RAW_DATA!C835</f>
        <v>Research &amp; Development</v>
      </c>
      <c r="D835">
        <f>RAW_DATA!D835</f>
        <v>6</v>
      </c>
      <c r="E835">
        <f>RAW_DATA!E835</f>
        <v>3</v>
      </c>
      <c r="F835" t="str">
        <f>RAW_DATA!F835</f>
        <v>Life Sciences</v>
      </c>
      <c r="G835">
        <f>RAW_DATA!G835</f>
        <v>4</v>
      </c>
      <c r="H835">
        <f>RAW_DATA!H835</f>
        <v>3</v>
      </c>
      <c r="I835" t="str">
        <f>RAW_DATA!I835</f>
        <v>Married</v>
      </c>
      <c r="J835">
        <f>RAW_DATA!J835</f>
        <v>2539</v>
      </c>
      <c r="K835">
        <f>RAW_DATA!K835</f>
        <v>1</v>
      </c>
      <c r="L835">
        <f>RAW_DATA!L835</f>
        <v>3</v>
      </c>
      <c r="M835">
        <f>RAW_DATA!M835</f>
        <v>4</v>
      </c>
      <c r="N835">
        <f t="shared" ref="N835:N898" si="26" xml:space="preserve"> IF(B835 ="Yes",1,0)</f>
        <v>0</v>
      </c>
      <c r="O835" t="str" cm="1">
        <f t="array" ref="O835" xml:space="preserve"> _xlfn.IFS(A835 &lt;ASSUMPTIONS!$D$2,"25",A835 &lt;= ASSUMPTIONS!$D$3,"25-34",A835 &lt;= ASSUMPTIONS!$D$4, "35-44",A835 &lt;= ASSUMPTIONS!$D$5,"45-54",TRUE,"55+")</f>
        <v>25-34</v>
      </c>
      <c r="P835" t="str" cm="1">
        <f t="array" ref="P835">_xlfn.IFS( J835 &lt;ASSUMPTIONS!$D$7,"LOW",J835 &lt;= ASSUMPTIONS!$D$8,"MEDIUM",TRUE, "HIGH")</f>
        <v>LOW</v>
      </c>
      <c r="Q835" t="str">
        <f>IF(M835&lt;ASSUMPTIONS!$D$10,"New (0-2)",IF(M835&lt;=ASSUMPTIONS!$D$11,"Early (2-5)",IF(M835&lt;=ASSUMPTIONS!$D$12,"Established (5-10)","Veteran (10+)")))</f>
        <v>Early (2-5)</v>
      </c>
      <c r="R835" s="4">
        <f t="shared" ref="R835:R898" si="27">AVERAGE(G835,H835,L835)</f>
        <v>3.3333333333333335</v>
      </c>
    </row>
    <row r="836" spans="1:18">
      <c r="A836">
        <f>RAW_DATA!A836</f>
        <v>34</v>
      </c>
      <c r="B836" t="str">
        <f>RAW_DATA!B836</f>
        <v>No</v>
      </c>
      <c r="C836" t="str">
        <f>RAW_DATA!C836</f>
        <v>Sales</v>
      </c>
      <c r="D836">
        <f>RAW_DATA!D836</f>
        <v>9</v>
      </c>
      <c r="E836">
        <f>RAW_DATA!E836</f>
        <v>1</v>
      </c>
      <c r="F836" t="str">
        <f>RAW_DATA!F836</f>
        <v>Life Sciences</v>
      </c>
      <c r="G836">
        <f>RAW_DATA!G836</f>
        <v>2</v>
      </c>
      <c r="H836">
        <f>RAW_DATA!H836</f>
        <v>3</v>
      </c>
      <c r="I836" t="str">
        <f>RAW_DATA!I836</f>
        <v>Married</v>
      </c>
      <c r="J836">
        <f>RAW_DATA!J836</f>
        <v>5714</v>
      </c>
      <c r="K836">
        <f>RAW_DATA!K836</f>
        <v>1</v>
      </c>
      <c r="L836">
        <f>RAW_DATA!L836</f>
        <v>2</v>
      </c>
      <c r="M836">
        <f>RAW_DATA!M836</f>
        <v>6</v>
      </c>
      <c r="N836">
        <f t="shared" si="26"/>
        <v>0</v>
      </c>
      <c r="O836" t="str" cm="1">
        <f t="array" ref="O836" xml:space="preserve"> _xlfn.IFS(A836 &lt;ASSUMPTIONS!$D$2,"25",A836 &lt;= ASSUMPTIONS!$D$3,"25-34",A836 &lt;= ASSUMPTIONS!$D$4, "35-44",A836 &lt;= ASSUMPTIONS!$D$5,"45-54",TRUE,"55+")</f>
        <v>25-34</v>
      </c>
      <c r="P836" t="str" cm="1">
        <f t="array" ref="P836">_xlfn.IFS( J836 &lt;ASSUMPTIONS!$D$7,"LOW",J836 &lt;= ASSUMPTIONS!$D$8,"MEDIUM",TRUE, "HIGH")</f>
        <v>MEDIUM</v>
      </c>
      <c r="Q836" t="str">
        <f>IF(M836&lt;ASSUMPTIONS!$D$10,"New (0-2)",IF(M836&lt;=ASSUMPTIONS!$D$11,"Early (2-5)",IF(M836&lt;=ASSUMPTIONS!$D$12,"Established (5-10)","Veteran (10+)")))</f>
        <v>Established (5-10)</v>
      </c>
      <c r="R836" s="4">
        <f t="shared" si="27"/>
        <v>2.3333333333333335</v>
      </c>
    </row>
    <row r="837" spans="1:18">
      <c r="A837">
        <f>RAW_DATA!A837</f>
        <v>35</v>
      </c>
      <c r="B837" t="str">
        <f>RAW_DATA!B837</f>
        <v>No</v>
      </c>
      <c r="C837" t="str">
        <f>RAW_DATA!C837</f>
        <v>Human Resources</v>
      </c>
      <c r="D837">
        <f>RAW_DATA!D837</f>
        <v>8</v>
      </c>
      <c r="E837">
        <f>RAW_DATA!E837</f>
        <v>4</v>
      </c>
      <c r="F837" t="str">
        <f>RAW_DATA!F837</f>
        <v>Technical Degree</v>
      </c>
      <c r="G837">
        <f>RAW_DATA!G837</f>
        <v>3</v>
      </c>
      <c r="H837">
        <f>RAW_DATA!H837</f>
        <v>3</v>
      </c>
      <c r="I837" t="str">
        <f>RAW_DATA!I837</f>
        <v>Single</v>
      </c>
      <c r="J837">
        <f>RAW_DATA!J837</f>
        <v>4323</v>
      </c>
      <c r="K837">
        <f>RAW_DATA!K837</f>
        <v>1</v>
      </c>
      <c r="L837">
        <f>RAW_DATA!L837</f>
        <v>1</v>
      </c>
      <c r="M837">
        <f>RAW_DATA!M837</f>
        <v>5</v>
      </c>
      <c r="N837">
        <f t="shared" si="26"/>
        <v>0</v>
      </c>
      <c r="O837" t="str" cm="1">
        <f t="array" ref="O837" xml:space="preserve"> _xlfn.IFS(A837 &lt;ASSUMPTIONS!$D$2,"25",A837 &lt;= ASSUMPTIONS!$D$3,"25-34",A837 &lt;= ASSUMPTIONS!$D$4, "35-44",A837 &lt;= ASSUMPTIONS!$D$5,"45-54",TRUE,"55+")</f>
        <v>35-44</v>
      </c>
      <c r="P837" t="str" cm="1">
        <f t="array" ref="P837">_xlfn.IFS( J837 &lt;ASSUMPTIONS!$D$7,"LOW",J837 &lt;= ASSUMPTIONS!$D$8,"MEDIUM",TRUE, "HIGH")</f>
        <v>MEDIUM</v>
      </c>
      <c r="Q837" t="str">
        <f>IF(M837&lt;ASSUMPTIONS!$D$10,"New (0-2)",IF(M837&lt;=ASSUMPTIONS!$D$11,"Early (2-5)",IF(M837&lt;=ASSUMPTIONS!$D$12,"Established (5-10)","Veteran (10+)")))</f>
        <v>Early (2-5)</v>
      </c>
      <c r="R837" s="4">
        <f t="shared" si="27"/>
        <v>2.3333333333333335</v>
      </c>
    </row>
    <row r="838" spans="1:18">
      <c r="A838">
        <f>RAW_DATA!A838</f>
        <v>29</v>
      </c>
      <c r="B838" t="str">
        <f>RAW_DATA!B838</f>
        <v>Yes</v>
      </c>
      <c r="C838" t="str">
        <f>RAW_DATA!C838</f>
        <v>Sales</v>
      </c>
      <c r="D838">
        <f>RAW_DATA!D838</f>
        <v>23</v>
      </c>
      <c r="E838">
        <f>RAW_DATA!E838</f>
        <v>1</v>
      </c>
      <c r="F838" t="str">
        <f>RAW_DATA!F838</f>
        <v>Life Sciences</v>
      </c>
      <c r="G838">
        <f>RAW_DATA!G838</f>
        <v>4</v>
      </c>
      <c r="H838">
        <f>RAW_DATA!H838</f>
        <v>1</v>
      </c>
      <c r="I838" t="str">
        <f>RAW_DATA!I838</f>
        <v>Married</v>
      </c>
      <c r="J838">
        <f>RAW_DATA!J838</f>
        <v>7336</v>
      </c>
      <c r="K838">
        <f>RAW_DATA!K838</f>
        <v>1</v>
      </c>
      <c r="L838">
        <f>RAW_DATA!L838</f>
        <v>1</v>
      </c>
      <c r="M838">
        <f>RAW_DATA!M838</f>
        <v>11</v>
      </c>
      <c r="N838">
        <f t="shared" si="26"/>
        <v>1</v>
      </c>
      <c r="O838" t="str" cm="1">
        <f t="array" ref="O838" xml:space="preserve"> _xlfn.IFS(A838 &lt;ASSUMPTIONS!$D$2,"25",A838 &lt;= ASSUMPTIONS!$D$3,"25-34",A838 &lt;= ASSUMPTIONS!$D$4, "35-44",A838 &lt;= ASSUMPTIONS!$D$5,"45-54",TRUE,"55+")</f>
        <v>25-34</v>
      </c>
      <c r="P838" t="str" cm="1">
        <f t="array" ref="P838">_xlfn.IFS( J838 &lt;ASSUMPTIONS!$D$7,"LOW",J838 &lt;= ASSUMPTIONS!$D$8,"MEDIUM",TRUE, "HIGH")</f>
        <v>HIGH</v>
      </c>
      <c r="Q838" t="str">
        <f>IF(M838&lt;ASSUMPTIONS!$D$10,"New (0-2)",IF(M838&lt;=ASSUMPTIONS!$D$11,"Early (2-5)",IF(M838&lt;=ASSUMPTIONS!$D$12,"Established (5-10)","Veteran (10+)")))</f>
        <v>Veteran (10+)</v>
      </c>
      <c r="R838" s="4">
        <f t="shared" si="27"/>
        <v>2</v>
      </c>
    </row>
    <row r="839" spans="1:18">
      <c r="A839">
        <f>RAW_DATA!A839</f>
        <v>40</v>
      </c>
      <c r="B839" t="str">
        <f>RAW_DATA!B839</f>
        <v>No</v>
      </c>
      <c r="C839" t="str">
        <f>RAW_DATA!C839</f>
        <v>Research &amp; Development</v>
      </c>
      <c r="D839">
        <f>RAW_DATA!D839</f>
        <v>9</v>
      </c>
      <c r="E839">
        <f>RAW_DATA!E839</f>
        <v>4</v>
      </c>
      <c r="F839" t="str">
        <f>RAW_DATA!F839</f>
        <v>Medical</v>
      </c>
      <c r="G839">
        <f>RAW_DATA!G839</f>
        <v>2</v>
      </c>
      <c r="H839">
        <f>RAW_DATA!H839</f>
        <v>3</v>
      </c>
      <c r="I839" t="str">
        <f>RAW_DATA!I839</f>
        <v>Single</v>
      </c>
      <c r="J839">
        <f>RAW_DATA!J839</f>
        <v>13499</v>
      </c>
      <c r="K839">
        <f>RAW_DATA!K839</f>
        <v>9</v>
      </c>
      <c r="L839">
        <f>RAW_DATA!L839</f>
        <v>2</v>
      </c>
      <c r="M839">
        <f>RAW_DATA!M839</f>
        <v>18</v>
      </c>
      <c r="N839">
        <f t="shared" si="26"/>
        <v>0</v>
      </c>
      <c r="O839" t="str" cm="1">
        <f t="array" ref="O839" xml:space="preserve"> _xlfn.IFS(A839 &lt;ASSUMPTIONS!$D$2,"25",A839 &lt;= ASSUMPTIONS!$D$3,"25-34",A839 &lt;= ASSUMPTIONS!$D$4, "35-44",A839 &lt;= ASSUMPTIONS!$D$5,"45-54",TRUE,"55+")</f>
        <v>35-44</v>
      </c>
      <c r="P839" t="str" cm="1">
        <f t="array" ref="P839">_xlfn.IFS( J839 &lt;ASSUMPTIONS!$D$7,"LOW",J839 &lt;= ASSUMPTIONS!$D$8,"MEDIUM",TRUE, "HIGH")</f>
        <v>HIGH</v>
      </c>
      <c r="Q839" t="str">
        <f>IF(M839&lt;ASSUMPTIONS!$D$10,"New (0-2)",IF(M839&lt;=ASSUMPTIONS!$D$11,"Early (2-5)",IF(M839&lt;=ASSUMPTIONS!$D$12,"Established (5-10)","Veteran (10+)")))</f>
        <v>Veteran (10+)</v>
      </c>
      <c r="R839" s="4">
        <f t="shared" si="27"/>
        <v>2.3333333333333335</v>
      </c>
    </row>
    <row r="840" spans="1:18">
      <c r="A840">
        <f>RAW_DATA!A840</f>
        <v>42</v>
      </c>
      <c r="B840" t="str">
        <f>RAW_DATA!B840</f>
        <v>Yes</v>
      </c>
      <c r="C840" t="str">
        <f>RAW_DATA!C840</f>
        <v>Sales</v>
      </c>
      <c r="D840">
        <f>RAW_DATA!D840</f>
        <v>12</v>
      </c>
      <c r="E840">
        <f>RAW_DATA!E840</f>
        <v>3</v>
      </c>
      <c r="F840" t="str">
        <f>RAW_DATA!F840</f>
        <v>Life Sciences</v>
      </c>
      <c r="G840">
        <f>RAW_DATA!G840</f>
        <v>3</v>
      </c>
      <c r="H840">
        <f>RAW_DATA!H840</f>
        <v>1</v>
      </c>
      <c r="I840" t="str">
        <f>RAW_DATA!I840</f>
        <v>Single</v>
      </c>
      <c r="J840">
        <f>RAW_DATA!J840</f>
        <v>13758</v>
      </c>
      <c r="K840">
        <f>RAW_DATA!K840</f>
        <v>0</v>
      </c>
      <c r="L840">
        <f>RAW_DATA!L840</f>
        <v>2</v>
      </c>
      <c r="M840">
        <f>RAW_DATA!M840</f>
        <v>21</v>
      </c>
      <c r="N840">
        <f t="shared" si="26"/>
        <v>1</v>
      </c>
      <c r="O840" t="str" cm="1">
        <f t="array" ref="O840" xml:space="preserve"> _xlfn.IFS(A840 &lt;ASSUMPTIONS!$D$2,"25",A840 &lt;= ASSUMPTIONS!$D$3,"25-34",A840 &lt;= ASSUMPTIONS!$D$4, "35-44",A840 &lt;= ASSUMPTIONS!$D$5,"45-54",TRUE,"55+")</f>
        <v>35-44</v>
      </c>
      <c r="P840" t="str" cm="1">
        <f t="array" ref="P840">_xlfn.IFS( J840 &lt;ASSUMPTIONS!$D$7,"LOW",J840 &lt;= ASSUMPTIONS!$D$8,"MEDIUM",TRUE, "HIGH")</f>
        <v>HIGH</v>
      </c>
      <c r="Q840" t="str">
        <f>IF(M840&lt;ASSUMPTIONS!$D$10,"New (0-2)",IF(M840&lt;=ASSUMPTIONS!$D$11,"Early (2-5)",IF(M840&lt;=ASSUMPTIONS!$D$12,"Established (5-10)","Veteran (10+)")))</f>
        <v>Veteran (10+)</v>
      </c>
      <c r="R840" s="4">
        <f t="shared" si="27"/>
        <v>2</v>
      </c>
    </row>
    <row r="841" spans="1:18">
      <c r="A841">
        <f>RAW_DATA!A841</f>
        <v>42</v>
      </c>
      <c r="B841" t="str">
        <f>RAW_DATA!B841</f>
        <v>No</v>
      </c>
      <c r="C841" t="str">
        <f>RAW_DATA!C841</f>
        <v>Sales</v>
      </c>
      <c r="D841">
        <f>RAW_DATA!D841</f>
        <v>4</v>
      </c>
      <c r="E841">
        <f>RAW_DATA!E841</f>
        <v>4</v>
      </c>
      <c r="F841" t="str">
        <f>RAW_DATA!F841</f>
        <v>Marketing</v>
      </c>
      <c r="G841">
        <f>RAW_DATA!G841</f>
        <v>2</v>
      </c>
      <c r="H841">
        <f>RAW_DATA!H841</f>
        <v>1</v>
      </c>
      <c r="I841" t="str">
        <f>RAW_DATA!I841</f>
        <v>Single</v>
      </c>
      <c r="J841">
        <f>RAW_DATA!J841</f>
        <v>5155</v>
      </c>
      <c r="K841">
        <f>RAW_DATA!K841</f>
        <v>7</v>
      </c>
      <c r="L841">
        <f>RAW_DATA!L841</f>
        <v>4</v>
      </c>
      <c r="M841">
        <f>RAW_DATA!M841</f>
        <v>6</v>
      </c>
      <c r="N841">
        <f t="shared" si="26"/>
        <v>0</v>
      </c>
      <c r="O841" t="str" cm="1">
        <f t="array" ref="O841" xml:space="preserve"> _xlfn.IFS(A841 &lt;ASSUMPTIONS!$D$2,"25",A841 &lt;= ASSUMPTIONS!$D$3,"25-34",A841 &lt;= ASSUMPTIONS!$D$4, "35-44",A841 &lt;= ASSUMPTIONS!$D$5,"45-54",TRUE,"55+")</f>
        <v>35-44</v>
      </c>
      <c r="P841" t="str" cm="1">
        <f t="array" ref="P841">_xlfn.IFS( J841 &lt;ASSUMPTIONS!$D$7,"LOW",J841 &lt;= ASSUMPTIONS!$D$8,"MEDIUM",TRUE, "HIGH")</f>
        <v>MEDIUM</v>
      </c>
      <c r="Q841" t="str">
        <f>IF(M841&lt;ASSUMPTIONS!$D$10,"New (0-2)",IF(M841&lt;=ASSUMPTIONS!$D$11,"Early (2-5)",IF(M841&lt;=ASSUMPTIONS!$D$12,"Established (5-10)","Veteran (10+)")))</f>
        <v>Established (5-10)</v>
      </c>
      <c r="R841" s="4">
        <f t="shared" si="27"/>
        <v>2.3333333333333335</v>
      </c>
    </row>
    <row r="842" spans="1:18">
      <c r="A842">
        <f>RAW_DATA!A842</f>
        <v>35</v>
      </c>
      <c r="B842" t="str">
        <f>RAW_DATA!B842</f>
        <v>No</v>
      </c>
      <c r="C842" t="str">
        <f>RAW_DATA!C842</f>
        <v>Research &amp; Development</v>
      </c>
      <c r="D842">
        <f>RAW_DATA!D842</f>
        <v>1</v>
      </c>
      <c r="E842">
        <f>RAW_DATA!E842</f>
        <v>4</v>
      </c>
      <c r="F842" t="str">
        <f>RAW_DATA!F842</f>
        <v>Medical</v>
      </c>
      <c r="G842">
        <f>RAW_DATA!G842</f>
        <v>4</v>
      </c>
      <c r="H842">
        <f>RAW_DATA!H842</f>
        <v>3</v>
      </c>
      <c r="I842" t="str">
        <f>RAW_DATA!I842</f>
        <v>Married</v>
      </c>
      <c r="J842">
        <f>RAW_DATA!J842</f>
        <v>2258</v>
      </c>
      <c r="K842">
        <f>RAW_DATA!K842</f>
        <v>6</v>
      </c>
      <c r="L842">
        <f>RAW_DATA!L842</f>
        <v>3</v>
      </c>
      <c r="M842">
        <f>RAW_DATA!M842</f>
        <v>8</v>
      </c>
      <c r="N842">
        <f t="shared" si="26"/>
        <v>0</v>
      </c>
      <c r="O842" t="str" cm="1">
        <f t="array" ref="O842" xml:space="preserve"> _xlfn.IFS(A842 &lt;ASSUMPTIONS!$D$2,"25",A842 &lt;= ASSUMPTIONS!$D$3,"25-34",A842 &lt;= ASSUMPTIONS!$D$4, "35-44",A842 &lt;= ASSUMPTIONS!$D$5,"45-54",TRUE,"55+")</f>
        <v>35-44</v>
      </c>
      <c r="P842" t="str" cm="1">
        <f t="array" ref="P842">_xlfn.IFS( J842 &lt;ASSUMPTIONS!$D$7,"LOW",J842 &lt;= ASSUMPTIONS!$D$8,"MEDIUM",TRUE, "HIGH")</f>
        <v>LOW</v>
      </c>
      <c r="Q842" t="str">
        <f>IF(M842&lt;ASSUMPTIONS!$D$10,"New (0-2)",IF(M842&lt;=ASSUMPTIONS!$D$11,"Early (2-5)",IF(M842&lt;=ASSUMPTIONS!$D$12,"Established (5-10)","Veteran (10+)")))</f>
        <v>Established (5-10)</v>
      </c>
      <c r="R842" s="4">
        <f t="shared" si="27"/>
        <v>3.3333333333333335</v>
      </c>
    </row>
    <row r="843" spans="1:18">
      <c r="A843">
        <f>RAW_DATA!A843</f>
        <v>24</v>
      </c>
      <c r="B843" t="str">
        <f>RAW_DATA!B843</f>
        <v>No</v>
      </c>
      <c r="C843" t="str">
        <f>RAW_DATA!C843</f>
        <v>Research &amp; Development</v>
      </c>
      <c r="D843">
        <f>RAW_DATA!D843</f>
        <v>24</v>
      </c>
      <c r="E843">
        <f>RAW_DATA!E843</f>
        <v>3</v>
      </c>
      <c r="F843" t="str">
        <f>RAW_DATA!F843</f>
        <v>Medical</v>
      </c>
      <c r="G843">
        <f>RAW_DATA!G843</f>
        <v>4</v>
      </c>
      <c r="H843">
        <f>RAW_DATA!H843</f>
        <v>2</v>
      </c>
      <c r="I843" t="str">
        <f>RAW_DATA!I843</f>
        <v>Single</v>
      </c>
      <c r="J843">
        <f>RAW_DATA!J843</f>
        <v>3597</v>
      </c>
      <c r="K843">
        <f>RAW_DATA!K843</f>
        <v>8</v>
      </c>
      <c r="L843">
        <f>RAW_DATA!L843</f>
        <v>3</v>
      </c>
      <c r="M843">
        <f>RAW_DATA!M843</f>
        <v>4</v>
      </c>
      <c r="N843">
        <f t="shared" si="26"/>
        <v>0</v>
      </c>
      <c r="O843" t="str" cm="1">
        <f t="array" ref="O843" xml:space="preserve"> _xlfn.IFS(A843 &lt;ASSUMPTIONS!$D$2,"25",A843 &lt;= ASSUMPTIONS!$D$3,"25-34",A843 &lt;= ASSUMPTIONS!$D$4, "35-44",A843 &lt;= ASSUMPTIONS!$D$5,"45-54",TRUE,"55+")</f>
        <v>25</v>
      </c>
      <c r="P843" t="str" cm="1">
        <f t="array" ref="P843">_xlfn.IFS( J843 &lt;ASSUMPTIONS!$D$7,"LOW",J843 &lt;= ASSUMPTIONS!$D$8,"MEDIUM",TRUE, "HIGH")</f>
        <v>MEDIUM</v>
      </c>
      <c r="Q843" t="str">
        <f>IF(M843&lt;ASSUMPTIONS!$D$10,"New (0-2)",IF(M843&lt;=ASSUMPTIONS!$D$11,"Early (2-5)",IF(M843&lt;=ASSUMPTIONS!$D$12,"Established (5-10)","Veteran (10+)")))</f>
        <v>Early (2-5)</v>
      </c>
      <c r="R843" s="4">
        <f t="shared" si="27"/>
        <v>3</v>
      </c>
    </row>
    <row r="844" spans="1:18">
      <c r="A844">
        <f>RAW_DATA!A844</f>
        <v>28</v>
      </c>
      <c r="B844" t="str">
        <f>RAW_DATA!B844</f>
        <v>Yes</v>
      </c>
      <c r="C844" t="str">
        <f>RAW_DATA!C844</f>
        <v>Research &amp; Development</v>
      </c>
      <c r="D844">
        <f>RAW_DATA!D844</f>
        <v>12</v>
      </c>
      <c r="E844">
        <f>RAW_DATA!E844</f>
        <v>1</v>
      </c>
      <c r="F844" t="str">
        <f>RAW_DATA!F844</f>
        <v>Life Sciences</v>
      </c>
      <c r="G844">
        <f>RAW_DATA!G844</f>
        <v>3</v>
      </c>
      <c r="H844">
        <f>RAW_DATA!H844</f>
        <v>4</v>
      </c>
      <c r="I844" t="str">
        <f>RAW_DATA!I844</f>
        <v>Married</v>
      </c>
      <c r="J844">
        <f>RAW_DATA!J844</f>
        <v>2515</v>
      </c>
      <c r="K844">
        <f>RAW_DATA!K844</f>
        <v>1</v>
      </c>
      <c r="L844">
        <f>RAW_DATA!L844</f>
        <v>2</v>
      </c>
      <c r="M844">
        <f>RAW_DATA!M844</f>
        <v>1</v>
      </c>
      <c r="N844">
        <f t="shared" si="26"/>
        <v>1</v>
      </c>
      <c r="O844" t="str" cm="1">
        <f t="array" ref="O844" xml:space="preserve"> _xlfn.IFS(A844 &lt;ASSUMPTIONS!$D$2,"25",A844 &lt;= ASSUMPTIONS!$D$3,"25-34",A844 &lt;= ASSUMPTIONS!$D$4, "35-44",A844 &lt;= ASSUMPTIONS!$D$5,"45-54",TRUE,"55+")</f>
        <v>25-34</v>
      </c>
      <c r="P844" t="str" cm="1">
        <f t="array" ref="P844">_xlfn.IFS( J844 &lt;ASSUMPTIONS!$D$7,"LOW",J844 &lt;= ASSUMPTIONS!$D$8,"MEDIUM",TRUE, "HIGH")</f>
        <v>LOW</v>
      </c>
      <c r="Q844" t="str">
        <f>IF(M844&lt;ASSUMPTIONS!$D$10,"New (0-2)",IF(M844&lt;=ASSUMPTIONS!$D$11,"Early (2-5)",IF(M844&lt;=ASSUMPTIONS!$D$12,"Established (5-10)","Veteran (10+)")))</f>
        <v>New (0-2)</v>
      </c>
      <c r="R844" s="4">
        <f t="shared" si="27"/>
        <v>3</v>
      </c>
    </row>
    <row r="845" spans="1:18">
      <c r="A845">
        <f>RAW_DATA!A845</f>
        <v>26</v>
      </c>
      <c r="B845" t="str">
        <f>RAW_DATA!B845</f>
        <v>No</v>
      </c>
      <c r="C845" t="str">
        <f>RAW_DATA!C845</f>
        <v>Research &amp; Development</v>
      </c>
      <c r="D845">
        <f>RAW_DATA!D845</f>
        <v>3</v>
      </c>
      <c r="E845">
        <f>RAW_DATA!E845</f>
        <v>4</v>
      </c>
      <c r="F845" t="str">
        <f>RAW_DATA!F845</f>
        <v>Medical</v>
      </c>
      <c r="G845">
        <f>RAW_DATA!G845</f>
        <v>1</v>
      </c>
      <c r="H845">
        <f>RAW_DATA!H845</f>
        <v>4</v>
      </c>
      <c r="I845" t="str">
        <f>RAW_DATA!I845</f>
        <v>Married</v>
      </c>
      <c r="J845">
        <f>RAW_DATA!J845</f>
        <v>4420</v>
      </c>
      <c r="K845">
        <f>RAW_DATA!K845</f>
        <v>1</v>
      </c>
      <c r="L845">
        <f>RAW_DATA!L845</f>
        <v>3</v>
      </c>
      <c r="M845">
        <f>RAW_DATA!M845</f>
        <v>8</v>
      </c>
      <c r="N845">
        <f t="shared" si="26"/>
        <v>0</v>
      </c>
      <c r="O845" t="str" cm="1">
        <f t="array" ref="O845" xml:space="preserve"> _xlfn.IFS(A845 &lt;ASSUMPTIONS!$D$2,"25",A845 &lt;= ASSUMPTIONS!$D$3,"25-34",A845 &lt;= ASSUMPTIONS!$D$4, "35-44",A845 &lt;= ASSUMPTIONS!$D$5,"45-54",TRUE,"55+")</f>
        <v>25-34</v>
      </c>
      <c r="P845" t="str" cm="1">
        <f t="array" ref="P845">_xlfn.IFS( J845 &lt;ASSUMPTIONS!$D$7,"LOW",J845 &lt;= ASSUMPTIONS!$D$8,"MEDIUM",TRUE, "HIGH")</f>
        <v>MEDIUM</v>
      </c>
      <c r="Q845" t="str">
        <f>IF(M845&lt;ASSUMPTIONS!$D$10,"New (0-2)",IF(M845&lt;=ASSUMPTIONS!$D$11,"Early (2-5)",IF(M845&lt;=ASSUMPTIONS!$D$12,"Established (5-10)","Veteran (10+)")))</f>
        <v>Established (5-10)</v>
      </c>
      <c r="R845" s="4">
        <f t="shared" si="27"/>
        <v>2.6666666666666665</v>
      </c>
    </row>
    <row r="846" spans="1:18">
      <c r="A846">
        <f>RAW_DATA!A846</f>
        <v>30</v>
      </c>
      <c r="B846" t="str">
        <f>RAW_DATA!B846</f>
        <v>No</v>
      </c>
      <c r="C846" t="str">
        <f>RAW_DATA!C846</f>
        <v>Sales</v>
      </c>
      <c r="D846">
        <f>RAW_DATA!D846</f>
        <v>10</v>
      </c>
      <c r="E846">
        <f>RAW_DATA!E846</f>
        <v>3</v>
      </c>
      <c r="F846" t="str">
        <f>RAW_DATA!F846</f>
        <v>Marketing</v>
      </c>
      <c r="G846">
        <f>RAW_DATA!G846</f>
        <v>3</v>
      </c>
      <c r="H846">
        <f>RAW_DATA!H846</f>
        <v>3</v>
      </c>
      <c r="I846" t="str">
        <f>RAW_DATA!I846</f>
        <v>Married</v>
      </c>
      <c r="J846">
        <f>RAW_DATA!J846</f>
        <v>6578</v>
      </c>
      <c r="K846">
        <f>RAW_DATA!K846</f>
        <v>1</v>
      </c>
      <c r="L846">
        <f>RAW_DATA!L846</f>
        <v>3</v>
      </c>
      <c r="M846">
        <f>RAW_DATA!M846</f>
        <v>10</v>
      </c>
      <c r="N846">
        <f t="shared" si="26"/>
        <v>0</v>
      </c>
      <c r="O846" t="str" cm="1">
        <f t="array" ref="O846" xml:space="preserve"> _xlfn.IFS(A846 &lt;ASSUMPTIONS!$D$2,"25",A846 &lt;= ASSUMPTIONS!$D$3,"25-34",A846 &lt;= ASSUMPTIONS!$D$4, "35-44",A846 &lt;= ASSUMPTIONS!$D$5,"45-54",TRUE,"55+")</f>
        <v>25-34</v>
      </c>
      <c r="P846" t="str" cm="1">
        <f t="array" ref="P846">_xlfn.IFS( J846 &lt;ASSUMPTIONS!$D$7,"LOW",J846 &lt;= ASSUMPTIONS!$D$8,"MEDIUM",TRUE, "HIGH")</f>
        <v>MEDIUM</v>
      </c>
      <c r="Q846" t="str">
        <f>IF(M846&lt;ASSUMPTIONS!$D$10,"New (0-2)",IF(M846&lt;=ASSUMPTIONS!$D$11,"Early (2-5)",IF(M846&lt;=ASSUMPTIONS!$D$12,"Established (5-10)","Veteran (10+)")))</f>
        <v>Established (5-10)</v>
      </c>
      <c r="R846" s="4">
        <f t="shared" si="27"/>
        <v>3</v>
      </c>
    </row>
    <row r="847" spans="1:18">
      <c r="A847">
        <f>RAW_DATA!A847</f>
        <v>40</v>
      </c>
      <c r="B847" t="str">
        <f>RAW_DATA!B847</f>
        <v>No</v>
      </c>
      <c r="C847" t="str">
        <f>RAW_DATA!C847</f>
        <v>Research &amp; Development</v>
      </c>
      <c r="D847">
        <f>RAW_DATA!D847</f>
        <v>26</v>
      </c>
      <c r="E847">
        <f>RAW_DATA!E847</f>
        <v>2</v>
      </c>
      <c r="F847" t="str">
        <f>RAW_DATA!F847</f>
        <v>Medical</v>
      </c>
      <c r="G847">
        <f>RAW_DATA!G847</f>
        <v>3</v>
      </c>
      <c r="H847">
        <f>RAW_DATA!H847</f>
        <v>4</v>
      </c>
      <c r="I847" t="str">
        <f>RAW_DATA!I847</f>
        <v>Married</v>
      </c>
      <c r="J847">
        <f>RAW_DATA!J847</f>
        <v>4422</v>
      </c>
      <c r="K847">
        <f>RAW_DATA!K847</f>
        <v>3</v>
      </c>
      <c r="L847">
        <f>RAW_DATA!L847</f>
        <v>1</v>
      </c>
      <c r="M847">
        <f>RAW_DATA!M847</f>
        <v>1</v>
      </c>
      <c r="N847">
        <f t="shared" si="26"/>
        <v>0</v>
      </c>
      <c r="O847" t="str" cm="1">
        <f t="array" ref="O847" xml:space="preserve"> _xlfn.IFS(A847 &lt;ASSUMPTIONS!$D$2,"25",A847 &lt;= ASSUMPTIONS!$D$3,"25-34",A847 &lt;= ASSUMPTIONS!$D$4, "35-44",A847 &lt;= ASSUMPTIONS!$D$5,"45-54",TRUE,"55+")</f>
        <v>35-44</v>
      </c>
      <c r="P847" t="str" cm="1">
        <f t="array" ref="P847">_xlfn.IFS( J847 &lt;ASSUMPTIONS!$D$7,"LOW",J847 &lt;= ASSUMPTIONS!$D$8,"MEDIUM",TRUE, "HIGH")</f>
        <v>MEDIUM</v>
      </c>
      <c r="Q847" t="str">
        <f>IF(M847&lt;ASSUMPTIONS!$D$10,"New (0-2)",IF(M847&lt;=ASSUMPTIONS!$D$11,"Early (2-5)",IF(M847&lt;=ASSUMPTIONS!$D$12,"Established (5-10)","Veteran (10+)")))</f>
        <v>New (0-2)</v>
      </c>
      <c r="R847" s="4">
        <f t="shared" si="27"/>
        <v>2.6666666666666665</v>
      </c>
    </row>
    <row r="848" spans="1:18">
      <c r="A848">
        <f>RAW_DATA!A848</f>
        <v>35</v>
      </c>
      <c r="B848" t="str">
        <f>RAW_DATA!B848</f>
        <v>No</v>
      </c>
      <c r="C848" t="str">
        <f>RAW_DATA!C848</f>
        <v>Research &amp; Development</v>
      </c>
      <c r="D848">
        <f>RAW_DATA!D848</f>
        <v>2</v>
      </c>
      <c r="E848">
        <f>RAW_DATA!E848</f>
        <v>3</v>
      </c>
      <c r="F848" t="str">
        <f>RAW_DATA!F848</f>
        <v>Life Sciences</v>
      </c>
      <c r="G848">
        <f>RAW_DATA!G848</f>
        <v>3</v>
      </c>
      <c r="H848">
        <f>RAW_DATA!H848</f>
        <v>2</v>
      </c>
      <c r="I848" t="str">
        <f>RAW_DATA!I848</f>
        <v>Divorced</v>
      </c>
      <c r="J848">
        <f>RAW_DATA!J848</f>
        <v>10274</v>
      </c>
      <c r="K848">
        <f>RAW_DATA!K848</f>
        <v>2</v>
      </c>
      <c r="L848">
        <f>RAW_DATA!L848</f>
        <v>4</v>
      </c>
      <c r="M848">
        <f>RAW_DATA!M848</f>
        <v>7</v>
      </c>
      <c r="N848">
        <f t="shared" si="26"/>
        <v>0</v>
      </c>
      <c r="O848" t="str" cm="1">
        <f t="array" ref="O848" xml:space="preserve"> _xlfn.IFS(A848 &lt;ASSUMPTIONS!$D$2,"25",A848 &lt;= ASSUMPTIONS!$D$3,"25-34",A848 &lt;= ASSUMPTIONS!$D$4, "35-44",A848 &lt;= ASSUMPTIONS!$D$5,"45-54",TRUE,"55+")</f>
        <v>35-44</v>
      </c>
      <c r="P848" t="str" cm="1">
        <f t="array" ref="P848">_xlfn.IFS( J848 &lt;ASSUMPTIONS!$D$7,"LOW",J848 &lt;= ASSUMPTIONS!$D$8,"MEDIUM",TRUE, "HIGH")</f>
        <v>HIGH</v>
      </c>
      <c r="Q848" t="str">
        <f>IF(M848&lt;ASSUMPTIONS!$D$10,"New (0-2)",IF(M848&lt;=ASSUMPTIONS!$D$11,"Early (2-5)",IF(M848&lt;=ASSUMPTIONS!$D$12,"Established (5-10)","Veteran (10+)")))</f>
        <v>Established (5-10)</v>
      </c>
      <c r="R848" s="4">
        <f t="shared" si="27"/>
        <v>3</v>
      </c>
    </row>
    <row r="849" spans="1:18">
      <c r="A849">
        <f>RAW_DATA!A849</f>
        <v>34</v>
      </c>
      <c r="B849" t="str">
        <f>RAW_DATA!B849</f>
        <v>No</v>
      </c>
      <c r="C849" t="str">
        <f>RAW_DATA!C849</f>
        <v>Research &amp; Development</v>
      </c>
      <c r="D849">
        <f>RAW_DATA!D849</f>
        <v>1</v>
      </c>
      <c r="E849">
        <f>RAW_DATA!E849</f>
        <v>3</v>
      </c>
      <c r="F849" t="str">
        <f>RAW_DATA!F849</f>
        <v>Medical</v>
      </c>
      <c r="G849">
        <f>RAW_DATA!G849</f>
        <v>4</v>
      </c>
      <c r="H849">
        <f>RAW_DATA!H849</f>
        <v>1</v>
      </c>
      <c r="I849" t="str">
        <f>RAW_DATA!I849</f>
        <v>Single</v>
      </c>
      <c r="J849">
        <f>RAW_DATA!J849</f>
        <v>5343</v>
      </c>
      <c r="K849">
        <f>RAW_DATA!K849</f>
        <v>0</v>
      </c>
      <c r="L849">
        <f>RAW_DATA!L849</f>
        <v>3</v>
      </c>
      <c r="M849">
        <f>RAW_DATA!M849</f>
        <v>13</v>
      </c>
      <c r="N849">
        <f t="shared" si="26"/>
        <v>0</v>
      </c>
      <c r="O849" t="str" cm="1">
        <f t="array" ref="O849" xml:space="preserve"> _xlfn.IFS(A849 &lt;ASSUMPTIONS!$D$2,"25",A849 &lt;= ASSUMPTIONS!$D$3,"25-34",A849 &lt;= ASSUMPTIONS!$D$4, "35-44",A849 &lt;= ASSUMPTIONS!$D$5,"45-54",TRUE,"55+")</f>
        <v>25-34</v>
      </c>
      <c r="P849" t="str" cm="1">
        <f t="array" ref="P849">_xlfn.IFS( J849 &lt;ASSUMPTIONS!$D$7,"LOW",J849 &lt;= ASSUMPTIONS!$D$8,"MEDIUM",TRUE, "HIGH")</f>
        <v>MEDIUM</v>
      </c>
      <c r="Q849" t="str">
        <f>IF(M849&lt;ASSUMPTIONS!$D$10,"New (0-2)",IF(M849&lt;=ASSUMPTIONS!$D$11,"Early (2-5)",IF(M849&lt;=ASSUMPTIONS!$D$12,"Established (5-10)","Veteran (10+)")))</f>
        <v>Veteran (10+)</v>
      </c>
      <c r="R849" s="4">
        <f t="shared" si="27"/>
        <v>2.6666666666666665</v>
      </c>
    </row>
    <row r="850" spans="1:18">
      <c r="A850">
        <f>RAW_DATA!A850</f>
        <v>35</v>
      </c>
      <c r="B850" t="str">
        <f>RAW_DATA!B850</f>
        <v>No</v>
      </c>
      <c r="C850" t="str">
        <f>RAW_DATA!C850</f>
        <v>Research &amp; Development</v>
      </c>
      <c r="D850">
        <f>RAW_DATA!D850</f>
        <v>4</v>
      </c>
      <c r="E850">
        <f>RAW_DATA!E850</f>
        <v>4</v>
      </c>
      <c r="F850" t="str">
        <f>RAW_DATA!F850</f>
        <v>Other</v>
      </c>
      <c r="G850">
        <f>RAW_DATA!G850</f>
        <v>4</v>
      </c>
      <c r="H850">
        <f>RAW_DATA!H850</f>
        <v>4</v>
      </c>
      <c r="I850" t="str">
        <f>RAW_DATA!I850</f>
        <v>Married</v>
      </c>
      <c r="J850">
        <f>RAW_DATA!J850</f>
        <v>2376</v>
      </c>
      <c r="K850">
        <f>RAW_DATA!K850</f>
        <v>1</v>
      </c>
      <c r="L850">
        <f>RAW_DATA!L850</f>
        <v>4</v>
      </c>
      <c r="M850">
        <f>RAW_DATA!M850</f>
        <v>2</v>
      </c>
      <c r="N850">
        <f t="shared" si="26"/>
        <v>0</v>
      </c>
      <c r="O850" t="str" cm="1">
        <f t="array" ref="O850" xml:space="preserve"> _xlfn.IFS(A850 &lt;ASSUMPTIONS!$D$2,"25",A850 &lt;= ASSUMPTIONS!$D$3,"25-34",A850 &lt;= ASSUMPTIONS!$D$4, "35-44",A850 &lt;= ASSUMPTIONS!$D$5,"45-54",TRUE,"55+")</f>
        <v>35-44</v>
      </c>
      <c r="P850" t="str" cm="1">
        <f t="array" ref="P850">_xlfn.IFS( J850 &lt;ASSUMPTIONS!$D$7,"LOW",J850 &lt;= ASSUMPTIONS!$D$8,"MEDIUM",TRUE, "HIGH")</f>
        <v>LOW</v>
      </c>
      <c r="Q850" t="str">
        <f>IF(M850&lt;ASSUMPTIONS!$D$10,"New (0-2)",IF(M850&lt;=ASSUMPTIONS!$D$11,"Early (2-5)",IF(M850&lt;=ASSUMPTIONS!$D$12,"Established (5-10)","Veteran (10+)")))</f>
        <v>Early (2-5)</v>
      </c>
      <c r="R850" s="4">
        <f t="shared" si="27"/>
        <v>4</v>
      </c>
    </row>
    <row r="851" spans="1:18">
      <c r="A851">
        <f>RAW_DATA!A851</f>
        <v>43</v>
      </c>
      <c r="B851" t="str">
        <f>RAW_DATA!B851</f>
        <v>Yes</v>
      </c>
      <c r="C851" t="str">
        <f>RAW_DATA!C851</f>
        <v>Sales</v>
      </c>
      <c r="D851">
        <f>RAW_DATA!D851</f>
        <v>9</v>
      </c>
      <c r="E851">
        <f>RAW_DATA!E851</f>
        <v>3</v>
      </c>
      <c r="F851" t="str">
        <f>RAW_DATA!F851</f>
        <v>Marketing</v>
      </c>
      <c r="G851">
        <f>RAW_DATA!G851</f>
        <v>1</v>
      </c>
      <c r="H851">
        <f>RAW_DATA!H851</f>
        <v>3</v>
      </c>
      <c r="I851" t="str">
        <f>RAW_DATA!I851</f>
        <v>Single</v>
      </c>
      <c r="J851">
        <f>RAW_DATA!J851</f>
        <v>5346</v>
      </c>
      <c r="K851">
        <f>RAW_DATA!K851</f>
        <v>8</v>
      </c>
      <c r="L851">
        <f>RAW_DATA!L851</f>
        <v>2</v>
      </c>
      <c r="M851">
        <f>RAW_DATA!M851</f>
        <v>4</v>
      </c>
      <c r="N851">
        <f t="shared" si="26"/>
        <v>1</v>
      </c>
      <c r="O851" t="str" cm="1">
        <f t="array" ref="O851" xml:space="preserve"> _xlfn.IFS(A851 &lt;ASSUMPTIONS!$D$2,"25",A851 &lt;= ASSUMPTIONS!$D$3,"25-34",A851 &lt;= ASSUMPTIONS!$D$4, "35-44",A851 &lt;= ASSUMPTIONS!$D$5,"45-54",TRUE,"55+")</f>
        <v>35-44</v>
      </c>
      <c r="P851" t="str" cm="1">
        <f t="array" ref="P851">_xlfn.IFS( J851 &lt;ASSUMPTIONS!$D$7,"LOW",J851 &lt;= ASSUMPTIONS!$D$8,"MEDIUM",TRUE, "HIGH")</f>
        <v>MEDIUM</v>
      </c>
      <c r="Q851" t="str">
        <f>IF(M851&lt;ASSUMPTIONS!$D$10,"New (0-2)",IF(M851&lt;=ASSUMPTIONS!$D$11,"Early (2-5)",IF(M851&lt;=ASSUMPTIONS!$D$12,"Established (5-10)","Veteran (10+)")))</f>
        <v>Early (2-5)</v>
      </c>
      <c r="R851" s="4">
        <f t="shared" si="27"/>
        <v>2</v>
      </c>
    </row>
    <row r="852" spans="1:18">
      <c r="A852">
        <f>RAW_DATA!A852</f>
        <v>32</v>
      </c>
      <c r="B852" t="str">
        <f>RAW_DATA!B852</f>
        <v>No</v>
      </c>
      <c r="C852" t="str">
        <f>RAW_DATA!C852</f>
        <v>Sales</v>
      </c>
      <c r="D852">
        <f>RAW_DATA!D852</f>
        <v>2</v>
      </c>
      <c r="E852">
        <f>RAW_DATA!E852</f>
        <v>1</v>
      </c>
      <c r="F852" t="str">
        <f>RAW_DATA!F852</f>
        <v>Life Sciences</v>
      </c>
      <c r="G852">
        <f>RAW_DATA!G852</f>
        <v>3</v>
      </c>
      <c r="H852">
        <f>RAW_DATA!H852</f>
        <v>1</v>
      </c>
      <c r="I852" t="str">
        <f>RAW_DATA!I852</f>
        <v>Divorced</v>
      </c>
      <c r="J852">
        <f>RAW_DATA!J852</f>
        <v>2827</v>
      </c>
      <c r="K852">
        <f>RAW_DATA!K852</f>
        <v>1</v>
      </c>
      <c r="L852">
        <f>RAW_DATA!L852</f>
        <v>3</v>
      </c>
      <c r="M852">
        <f>RAW_DATA!M852</f>
        <v>1</v>
      </c>
      <c r="N852">
        <f t="shared" si="26"/>
        <v>0</v>
      </c>
      <c r="O852" t="str" cm="1">
        <f t="array" ref="O852" xml:space="preserve"> _xlfn.IFS(A852 &lt;ASSUMPTIONS!$D$2,"25",A852 &lt;= ASSUMPTIONS!$D$3,"25-34",A852 &lt;= ASSUMPTIONS!$D$4, "35-44",A852 &lt;= ASSUMPTIONS!$D$5,"45-54",TRUE,"55+")</f>
        <v>25-34</v>
      </c>
      <c r="P852" t="str" cm="1">
        <f t="array" ref="P852">_xlfn.IFS( J852 &lt;ASSUMPTIONS!$D$7,"LOW",J852 &lt;= ASSUMPTIONS!$D$8,"MEDIUM",TRUE, "HIGH")</f>
        <v>LOW</v>
      </c>
      <c r="Q852" t="str">
        <f>IF(M852&lt;ASSUMPTIONS!$D$10,"New (0-2)",IF(M852&lt;=ASSUMPTIONS!$D$11,"Early (2-5)",IF(M852&lt;=ASSUMPTIONS!$D$12,"Established (5-10)","Veteran (10+)")))</f>
        <v>New (0-2)</v>
      </c>
      <c r="R852" s="4">
        <f t="shared" si="27"/>
        <v>2.3333333333333335</v>
      </c>
    </row>
    <row r="853" spans="1:18">
      <c r="A853">
        <f>RAW_DATA!A853</f>
        <v>56</v>
      </c>
      <c r="B853" t="str">
        <f>RAW_DATA!B853</f>
        <v>No</v>
      </c>
      <c r="C853" t="str">
        <f>RAW_DATA!C853</f>
        <v>Research &amp; Development</v>
      </c>
      <c r="D853">
        <f>RAW_DATA!D853</f>
        <v>4</v>
      </c>
      <c r="E853">
        <f>RAW_DATA!E853</f>
        <v>4</v>
      </c>
      <c r="F853" t="str">
        <f>RAW_DATA!F853</f>
        <v>Technical Degree</v>
      </c>
      <c r="G853">
        <f>RAW_DATA!G853</f>
        <v>4</v>
      </c>
      <c r="H853">
        <f>RAW_DATA!H853</f>
        <v>1</v>
      </c>
      <c r="I853" t="str">
        <f>RAW_DATA!I853</f>
        <v>Divorced</v>
      </c>
      <c r="J853">
        <f>RAW_DATA!J853</f>
        <v>19943</v>
      </c>
      <c r="K853">
        <f>RAW_DATA!K853</f>
        <v>4</v>
      </c>
      <c r="L853">
        <f>RAW_DATA!L853</f>
        <v>3</v>
      </c>
      <c r="M853">
        <f>RAW_DATA!M853</f>
        <v>5</v>
      </c>
      <c r="N853">
        <f t="shared" si="26"/>
        <v>0</v>
      </c>
      <c r="O853" t="str" cm="1">
        <f t="array" ref="O853" xml:space="preserve"> _xlfn.IFS(A853 &lt;ASSUMPTIONS!$D$2,"25",A853 &lt;= ASSUMPTIONS!$D$3,"25-34",A853 &lt;= ASSUMPTIONS!$D$4, "35-44",A853 &lt;= ASSUMPTIONS!$D$5,"45-54",TRUE,"55+")</f>
        <v>55+</v>
      </c>
      <c r="P853" t="str" cm="1">
        <f t="array" ref="P853">_xlfn.IFS( J853 &lt;ASSUMPTIONS!$D$7,"LOW",J853 &lt;= ASSUMPTIONS!$D$8,"MEDIUM",TRUE, "HIGH")</f>
        <v>HIGH</v>
      </c>
      <c r="Q853" t="str">
        <f>IF(M853&lt;ASSUMPTIONS!$D$10,"New (0-2)",IF(M853&lt;=ASSUMPTIONS!$D$11,"Early (2-5)",IF(M853&lt;=ASSUMPTIONS!$D$12,"Established (5-10)","Veteran (10+)")))</f>
        <v>Early (2-5)</v>
      </c>
      <c r="R853" s="4">
        <f t="shared" si="27"/>
        <v>2.6666666666666665</v>
      </c>
    </row>
    <row r="854" spans="1:18">
      <c r="A854">
        <f>RAW_DATA!A854</f>
        <v>29</v>
      </c>
      <c r="B854" t="str">
        <f>RAW_DATA!B854</f>
        <v>No</v>
      </c>
      <c r="C854" t="str">
        <f>RAW_DATA!C854</f>
        <v>Research &amp; Development</v>
      </c>
      <c r="D854">
        <f>RAW_DATA!D854</f>
        <v>6</v>
      </c>
      <c r="E854">
        <f>RAW_DATA!E854</f>
        <v>1</v>
      </c>
      <c r="F854" t="str">
        <f>RAW_DATA!F854</f>
        <v>Medical</v>
      </c>
      <c r="G854">
        <f>RAW_DATA!G854</f>
        <v>2</v>
      </c>
      <c r="H854">
        <f>RAW_DATA!H854</f>
        <v>4</v>
      </c>
      <c r="I854" t="str">
        <f>RAW_DATA!I854</f>
        <v>Married</v>
      </c>
      <c r="J854">
        <f>RAW_DATA!J854</f>
        <v>3131</v>
      </c>
      <c r="K854">
        <f>RAW_DATA!K854</f>
        <v>1</v>
      </c>
      <c r="L854">
        <f>RAW_DATA!L854</f>
        <v>3</v>
      </c>
      <c r="M854">
        <f>RAW_DATA!M854</f>
        <v>10</v>
      </c>
      <c r="N854">
        <f t="shared" si="26"/>
        <v>0</v>
      </c>
      <c r="O854" t="str" cm="1">
        <f t="array" ref="O854" xml:space="preserve"> _xlfn.IFS(A854 &lt;ASSUMPTIONS!$D$2,"25",A854 &lt;= ASSUMPTIONS!$D$3,"25-34",A854 &lt;= ASSUMPTIONS!$D$4, "35-44",A854 &lt;= ASSUMPTIONS!$D$5,"45-54",TRUE,"55+")</f>
        <v>25-34</v>
      </c>
      <c r="P854" t="str" cm="1">
        <f t="array" ref="P854">_xlfn.IFS( J854 &lt;ASSUMPTIONS!$D$7,"LOW",J854 &lt;= ASSUMPTIONS!$D$8,"MEDIUM",TRUE, "HIGH")</f>
        <v>MEDIUM</v>
      </c>
      <c r="Q854" t="str">
        <f>IF(M854&lt;ASSUMPTIONS!$D$10,"New (0-2)",IF(M854&lt;=ASSUMPTIONS!$D$11,"Early (2-5)",IF(M854&lt;=ASSUMPTIONS!$D$12,"Established (5-10)","Veteran (10+)")))</f>
        <v>Established (5-10)</v>
      </c>
      <c r="R854" s="4">
        <f t="shared" si="27"/>
        <v>3</v>
      </c>
    </row>
    <row r="855" spans="1:18">
      <c r="A855">
        <f>RAW_DATA!A855</f>
        <v>19</v>
      </c>
      <c r="B855" t="str">
        <f>RAW_DATA!B855</f>
        <v>No</v>
      </c>
      <c r="C855" t="str">
        <f>RAW_DATA!C855</f>
        <v>Research &amp; Development</v>
      </c>
      <c r="D855">
        <f>RAW_DATA!D855</f>
        <v>9</v>
      </c>
      <c r="E855">
        <f>RAW_DATA!E855</f>
        <v>2</v>
      </c>
      <c r="F855" t="str">
        <f>RAW_DATA!F855</f>
        <v>Life Sciences</v>
      </c>
      <c r="G855">
        <f>RAW_DATA!G855</f>
        <v>3</v>
      </c>
      <c r="H855">
        <f>RAW_DATA!H855</f>
        <v>1</v>
      </c>
      <c r="I855" t="str">
        <f>RAW_DATA!I855</f>
        <v>Single</v>
      </c>
      <c r="J855">
        <f>RAW_DATA!J855</f>
        <v>2552</v>
      </c>
      <c r="K855">
        <f>RAW_DATA!K855</f>
        <v>1</v>
      </c>
      <c r="L855">
        <f>RAW_DATA!L855</f>
        <v>3</v>
      </c>
      <c r="M855">
        <f>RAW_DATA!M855</f>
        <v>1</v>
      </c>
      <c r="N855">
        <f t="shared" si="26"/>
        <v>0</v>
      </c>
      <c r="O855" t="str" cm="1">
        <f t="array" ref="O855" xml:space="preserve"> _xlfn.IFS(A855 &lt;ASSUMPTIONS!$D$2,"25",A855 &lt;= ASSUMPTIONS!$D$3,"25-34",A855 &lt;= ASSUMPTIONS!$D$4, "35-44",A855 &lt;= ASSUMPTIONS!$D$5,"45-54",TRUE,"55+")</f>
        <v>25</v>
      </c>
      <c r="P855" t="str" cm="1">
        <f t="array" ref="P855">_xlfn.IFS( J855 &lt;ASSUMPTIONS!$D$7,"LOW",J855 &lt;= ASSUMPTIONS!$D$8,"MEDIUM",TRUE, "HIGH")</f>
        <v>LOW</v>
      </c>
      <c r="Q855" t="str">
        <f>IF(M855&lt;ASSUMPTIONS!$D$10,"New (0-2)",IF(M855&lt;=ASSUMPTIONS!$D$11,"Early (2-5)",IF(M855&lt;=ASSUMPTIONS!$D$12,"Established (5-10)","Veteran (10+)")))</f>
        <v>New (0-2)</v>
      </c>
      <c r="R855" s="4">
        <f t="shared" si="27"/>
        <v>2.3333333333333335</v>
      </c>
    </row>
    <row r="856" spans="1:18">
      <c r="A856">
        <f>RAW_DATA!A856</f>
        <v>45</v>
      </c>
      <c r="B856" t="str">
        <f>RAW_DATA!B856</f>
        <v>No</v>
      </c>
      <c r="C856" t="str">
        <f>RAW_DATA!C856</f>
        <v>Research &amp; Development</v>
      </c>
      <c r="D856">
        <f>RAW_DATA!D856</f>
        <v>7</v>
      </c>
      <c r="E856">
        <f>RAW_DATA!E856</f>
        <v>3</v>
      </c>
      <c r="F856" t="str">
        <f>RAW_DATA!F856</f>
        <v>Medical</v>
      </c>
      <c r="G856">
        <f>RAW_DATA!G856</f>
        <v>1</v>
      </c>
      <c r="H856">
        <f>RAW_DATA!H856</f>
        <v>3</v>
      </c>
      <c r="I856" t="str">
        <f>RAW_DATA!I856</f>
        <v>Married</v>
      </c>
      <c r="J856">
        <f>RAW_DATA!J856</f>
        <v>4477</v>
      </c>
      <c r="K856">
        <f>RAW_DATA!K856</f>
        <v>4</v>
      </c>
      <c r="L856">
        <f>RAW_DATA!L856</f>
        <v>2</v>
      </c>
      <c r="M856">
        <f>RAW_DATA!M856</f>
        <v>3</v>
      </c>
      <c r="N856">
        <f t="shared" si="26"/>
        <v>0</v>
      </c>
      <c r="O856" t="str" cm="1">
        <f t="array" ref="O856" xml:space="preserve"> _xlfn.IFS(A856 &lt;ASSUMPTIONS!$D$2,"25",A856 &lt;= ASSUMPTIONS!$D$3,"25-34",A856 &lt;= ASSUMPTIONS!$D$4, "35-44",A856 &lt;= ASSUMPTIONS!$D$5,"45-54",TRUE,"55+")</f>
        <v>45-54</v>
      </c>
      <c r="P856" t="str" cm="1">
        <f t="array" ref="P856">_xlfn.IFS( J856 &lt;ASSUMPTIONS!$D$7,"LOW",J856 &lt;= ASSUMPTIONS!$D$8,"MEDIUM",TRUE, "HIGH")</f>
        <v>MEDIUM</v>
      </c>
      <c r="Q856" t="str">
        <f>IF(M856&lt;ASSUMPTIONS!$D$10,"New (0-2)",IF(M856&lt;=ASSUMPTIONS!$D$11,"Early (2-5)",IF(M856&lt;=ASSUMPTIONS!$D$12,"Established (5-10)","Veteran (10+)")))</f>
        <v>Early (2-5)</v>
      </c>
      <c r="R856" s="4">
        <f t="shared" si="27"/>
        <v>2</v>
      </c>
    </row>
    <row r="857" spans="1:18">
      <c r="A857">
        <f>RAW_DATA!A857</f>
        <v>37</v>
      </c>
      <c r="B857" t="str">
        <f>RAW_DATA!B857</f>
        <v>No</v>
      </c>
      <c r="C857" t="str">
        <f>RAW_DATA!C857</f>
        <v>Research &amp; Development</v>
      </c>
      <c r="D857">
        <f>RAW_DATA!D857</f>
        <v>1</v>
      </c>
      <c r="E857">
        <f>RAW_DATA!E857</f>
        <v>3</v>
      </c>
      <c r="F857" t="str">
        <f>RAW_DATA!F857</f>
        <v>Life Sciences</v>
      </c>
      <c r="G857">
        <f>RAW_DATA!G857</f>
        <v>4</v>
      </c>
      <c r="H857">
        <f>RAW_DATA!H857</f>
        <v>4</v>
      </c>
      <c r="I857" t="str">
        <f>RAW_DATA!I857</f>
        <v>Married</v>
      </c>
      <c r="J857">
        <f>RAW_DATA!J857</f>
        <v>6474</v>
      </c>
      <c r="K857">
        <f>RAW_DATA!K857</f>
        <v>1</v>
      </c>
      <c r="L857">
        <f>RAW_DATA!L857</f>
        <v>2</v>
      </c>
      <c r="M857">
        <f>RAW_DATA!M857</f>
        <v>14</v>
      </c>
      <c r="N857">
        <f t="shared" si="26"/>
        <v>0</v>
      </c>
      <c r="O857" t="str" cm="1">
        <f t="array" ref="O857" xml:space="preserve"> _xlfn.IFS(A857 &lt;ASSUMPTIONS!$D$2,"25",A857 &lt;= ASSUMPTIONS!$D$3,"25-34",A857 &lt;= ASSUMPTIONS!$D$4, "35-44",A857 &lt;= ASSUMPTIONS!$D$5,"45-54",TRUE,"55+")</f>
        <v>35-44</v>
      </c>
      <c r="P857" t="str" cm="1">
        <f t="array" ref="P857">_xlfn.IFS( J857 &lt;ASSUMPTIONS!$D$7,"LOW",J857 &lt;= ASSUMPTIONS!$D$8,"MEDIUM",TRUE, "HIGH")</f>
        <v>MEDIUM</v>
      </c>
      <c r="Q857" t="str">
        <f>IF(M857&lt;ASSUMPTIONS!$D$10,"New (0-2)",IF(M857&lt;=ASSUMPTIONS!$D$11,"Early (2-5)",IF(M857&lt;=ASSUMPTIONS!$D$12,"Established (5-10)","Veteran (10+)")))</f>
        <v>Veteran (10+)</v>
      </c>
      <c r="R857" s="4">
        <f t="shared" si="27"/>
        <v>3.3333333333333335</v>
      </c>
    </row>
    <row r="858" spans="1:18">
      <c r="A858">
        <f>RAW_DATA!A858</f>
        <v>20</v>
      </c>
      <c r="B858" t="str">
        <f>RAW_DATA!B858</f>
        <v>No</v>
      </c>
      <c r="C858" t="str">
        <f>RAW_DATA!C858</f>
        <v>Research &amp; Development</v>
      </c>
      <c r="D858">
        <f>RAW_DATA!D858</f>
        <v>3</v>
      </c>
      <c r="E858">
        <f>RAW_DATA!E858</f>
        <v>3</v>
      </c>
      <c r="F858" t="str">
        <f>RAW_DATA!F858</f>
        <v>Life Sciences</v>
      </c>
      <c r="G858">
        <f>RAW_DATA!G858</f>
        <v>1</v>
      </c>
      <c r="H858">
        <f>RAW_DATA!H858</f>
        <v>3</v>
      </c>
      <c r="I858" t="str">
        <f>RAW_DATA!I858</f>
        <v>Single</v>
      </c>
      <c r="J858">
        <f>RAW_DATA!J858</f>
        <v>3033</v>
      </c>
      <c r="K858">
        <f>RAW_DATA!K858</f>
        <v>1</v>
      </c>
      <c r="L858">
        <f>RAW_DATA!L858</f>
        <v>2</v>
      </c>
      <c r="M858">
        <f>RAW_DATA!M858</f>
        <v>2</v>
      </c>
      <c r="N858">
        <f t="shared" si="26"/>
        <v>0</v>
      </c>
      <c r="O858" t="str" cm="1">
        <f t="array" ref="O858" xml:space="preserve"> _xlfn.IFS(A858 &lt;ASSUMPTIONS!$D$2,"25",A858 &lt;= ASSUMPTIONS!$D$3,"25-34",A858 &lt;= ASSUMPTIONS!$D$4, "35-44",A858 &lt;= ASSUMPTIONS!$D$5,"45-54",TRUE,"55+")</f>
        <v>25</v>
      </c>
      <c r="P858" t="str" cm="1">
        <f t="array" ref="P858">_xlfn.IFS( J858 &lt;ASSUMPTIONS!$D$7,"LOW",J858 &lt;= ASSUMPTIONS!$D$8,"MEDIUM",TRUE, "HIGH")</f>
        <v>MEDIUM</v>
      </c>
      <c r="Q858" t="str">
        <f>IF(M858&lt;ASSUMPTIONS!$D$10,"New (0-2)",IF(M858&lt;=ASSUMPTIONS!$D$11,"Early (2-5)",IF(M858&lt;=ASSUMPTIONS!$D$12,"Established (5-10)","Veteran (10+)")))</f>
        <v>Early (2-5)</v>
      </c>
      <c r="R858" s="4">
        <f t="shared" si="27"/>
        <v>2</v>
      </c>
    </row>
    <row r="859" spans="1:18">
      <c r="A859">
        <f>RAW_DATA!A859</f>
        <v>44</v>
      </c>
      <c r="B859" t="str">
        <f>RAW_DATA!B859</f>
        <v>Yes</v>
      </c>
      <c r="C859" t="str">
        <f>RAW_DATA!C859</f>
        <v>Research &amp; Development</v>
      </c>
      <c r="D859">
        <f>RAW_DATA!D859</f>
        <v>10</v>
      </c>
      <c r="E859">
        <f>RAW_DATA!E859</f>
        <v>4</v>
      </c>
      <c r="F859" t="str">
        <f>RAW_DATA!F859</f>
        <v>Life Sciences</v>
      </c>
      <c r="G859">
        <f>RAW_DATA!G859</f>
        <v>3</v>
      </c>
      <c r="H859">
        <f>RAW_DATA!H859</f>
        <v>3</v>
      </c>
      <c r="I859" t="str">
        <f>RAW_DATA!I859</f>
        <v>Single</v>
      </c>
      <c r="J859">
        <f>RAW_DATA!J859</f>
        <v>2936</v>
      </c>
      <c r="K859">
        <f>RAW_DATA!K859</f>
        <v>1</v>
      </c>
      <c r="L859">
        <f>RAW_DATA!L859</f>
        <v>3</v>
      </c>
      <c r="M859">
        <f>RAW_DATA!M859</f>
        <v>6</v>
      </c>
      <c r="N859">
        <f t="shared" si="26"/>
        <v>1</v>
      </c>
      <c r="O859" t="str" cm="1">
        <f t="array" ref="O859" xml:space="preserve"> _xlfn.IFS(A859 &lt;ASSUMPTIONS!$D$2,"25",A859 &lt;= ASSUMPTIONS!$D$3,"25-34",A859 &lt;= ASSUMPTIONS!$D$4, "35-44",A859 &lt;= ASSUMPTIONS!$D$5,"45-54",TRUE,"55+")</f>
        <v>35-44</v>
      </c>
      <c r="P859" t="str" cm="1">
        <f t="array" ref="P859">_xlfn.IFS( J859 &lt;ASSUMPTIONS!$D$7,"LOW",J859 &lt;= ASSUMPTIONS!$D$8,"MEDIUM",TRUE, "HIGH")</f>
        <v>LOW</v>
      </c>
      <c r="Q859" t="str">
        <f>IF(M859&lt;ASSUMPTIONS!$D$10,"New (0-2)",IF(M859&lt;=ASSUMPTIONS!$D$11,"Early (2-5)",IF(M859&lt;=ASSUMPTIONS!$D$12,"Established (5-10)","Veteran (10+)")))</f>
        <v>Established (5-10)</v>
      </c>
      <c r="R859" s="4">
        <f t="shared" si="27"/>
        <v>3</v>
      </c>
    </row>
    <row r="860" spans="1:18">
      <c r="A860">
        <f>RAW_DATA!A860</f>
        <v>53</v>
      </c>
      <c r="B860" t="str">
        <f>RAW_DATA!B860</f>
        <v>No</v>
      </c>
      <c r="C860" t="str">
        <f>RAW_DATA!C860</f>
        <v>Research &amp; Development</v>
      </c>
      <c r="D860">
        <f>RAW_DATA!D860</f>
        <v>7</v>
      </c>
      <c r="E860">
        <f>RAW_DATA!E860</f>
        <v>2</v>
      </c>
      <c r="F860" t="str">
        <f>RAW_DATA!F860</f>
        <v>Medical</v>
      </c>
      <c r="G860">
        <f>RAW_DATA!G860</f>
        <v>4</v>
      </c>
      <c r="H860">
        <f>RAW_DATA!H860</f>
        <v>3</v>
      </c>
      <c r="I860" t="str">
        <f>RAW_DATA!I860</f>
        <v>Divorced</v>
      </c>
      <c r="J860">
        <f>RAW_DATA!J860</f>
        <v>18606</v>
      </c>
      <c r="K860">
        <f>RAW_DATA!K860</f>
        <v>3</v>
      </c>
      <c r="L860">
        <f>RAW_DATA!L860</f>
        <v>3</v>
      </c>
      <c r="M860">
        <f>RAW_DATA!M860</f>
        <v>7</v>
      </c>
      <c r="N860">
        <f t="shared" si="26"/>
        <v>0</v>
      </c>
      <c r="O860" t="str" cm="1">
        <f t="array" ref="O860" xml:space="preserve"> _xlfn.IFS(A860 &lt;ASSUMPTIONS!$D$2,"25",A860 &lt;= ASSUMPTIONS!$D$3,"25-34",A860 &lt;= ASSUMPTIONS!$D$4, "35-44",A860 &lt;= ASSUMPTIONS!$D$5,"45-54",TRUE,"55+")</f>
        <v>45-54</v>
      </c>
      <c r="P860" t="str" cm="1">
        <f t="array" ref="P860">_xlfn.IFS( J860 &lt;ASSUMPTIONS!$D$7,"LOW",J860 &lt;= ASSUMPTIONS!$D$8,"MEDIUM",TRUE, "HIGH")</f>
        <v>HIGH</v>
      </c>
      <c r="Q860" t="str">
        <f>IF(M860&lt;ASSUMPTIONS!$D$10,"New (0-2)",IF(M860&lt;=ASSUMPTIONS!$D$11,"Early (2-5)",IF(M860&lt;=ASSUMPTIONS!$D$12,"Established (5-10)","Veteran (10+)")))</f>
        <v>Established (5-10)</v>
      </c>
      <c r="R860" s="4">
        <f t="shared" si="27"/>
        <v>3.3333333333333335</v>
      </c>
    </row>
    <row r="861" spans="1:18">
      <c r="A861">
        <f>RAW_DATA!A861</f>
        <v>29</v>
      </c>
      <c r="B861" t="str">
        <f>RAW_DATA!B861</f>
        <v>No</v>
      </c>
      <c r="C861" t="str">
        <f>RAW_DATA!C861</f>
        <v>Research &amp; Development</v>
      </c>
      <c r="D861">
        <f>RAW_DATA!D861</f>
        <v>15</v>
      </c>
      <c r="E861">
        <f>RAW_DATA!E861</f>
        <v>1</v>
      </c>
      <c r="F861" t="str">
        <f>RAW_DATA!F861</f>
        <v>Life Sciences</v>
      </c>
      <c r="G861">
        <f>RAW_DATA!G861</f>
        <v>2</v>
      </c>
      <c r="H861">
        <f>RAW_DATA!H861</f>
        <v>4</v>
      </c>
      <c r="I861" t="str">
        <f>RAW_DATA!I861</f>
        <v>Married</v>
      </c>
      <c r="J861">
        <f>RAW_DATA!J861</f>
        <v>2168</v>
      </c>
      <c r="K861">
        <f>RAW_DATA!K861</f>
        <v>0</v>
      </c>
      <c r="L861">
        <f>RAW_DATA!L861</f>
        <v>2</v>
      </c>
      <c r="M861">
        <f>RAW_DATA!M861</f>
        <v>5</v>
      </c>
      <c r="N861">
        <f t="shared" si="26"/>
        <v>0</v>
      </c>
      <c r="O861" t="str" cm="1">
        <f t="array" ref="O861" xml:space="preserve"> _xlfn.IFS(A861 &lt;ASSUMPTIONS!$D$2,"25",A861 &lt;= ASSUMPTIONS!$D$3,"25-34",A861 &lt;= ASSUMPTIONS!$D$4, "35-44",A861 &lt;= ASSUMPTIONS!$D$5,"45-54",TRUE,"55+")</f>
        <v>25-34</v>
      </c>
      <c r="P861" t="str" cm="1">
        <f t="array" ref="P861">_xlfn.IFS( J861 &lt;ASSUMPTIONS!$D$7,"LOW",J861 &lt;= ASSUMPTIONS!$D$8,"MEDIUM",TRUE, "HIGH")</f>
        <v>LOW</v>
      </c>
      <c r="Q861" t="str">
        <f>IF(M861&lt;ASSUMPTIONS!$D$10,"New (0-2)",IF(M861&lt;=ASSUMPTIONS!$D$11,"Early (2-5)",IF(M861&lt;=ASSUMPTIONS!$D$12,"Established (5-10)","Veteran (10+)")))</f>
        <v>Early (2-5)</v>
      </c>
      <c r="R861" s="4">
        <f t="shared" si="27"/>
        <v>2.6666666666666665</v>
      </c>
    </row>
    <row r="862" spans="1:18">
      <c r="A862">
        <f>RAW_DATA!A862</f>
        <v>22</v>
      </c>
      <c r="B862" t="str">
        <f>RAW_DATA!B862</f>
        <v>Yes</v>
      </c>
      <c r="C862" t="str">
        <f>RAW_DATA!C862</f>
        <v>Research &amp; Development</v>
      </c>
      <c r="D862">
        <f>RAW_DATA!D862</f>
        <v>3</v>
      </c>
      <c r="E862">
        <f>RAW_DATA!E862</f>
        <v>4</v>
      </c>
      <c r="F862" t="str">
        <f>RAW_DATA!F862</f>
        <v>Life Sciences</v>
      </c>
      <c r="G862">
        <f>RAW_DATA!G862</f>
        <v>3</v>
      </c>
      <c r="H862">
        <f>RAW_DATA!H862</f>
        <v>4</v>
      </c>
      <c r="I862" t="str">
        <f>RAW_DATA!I862</f>
        <v>Married</v>
      </c>
      <c r="J862">
        <f>RAW_DATA!J862</f>
        <v>2853</v>
      </c>
      <c r="K862">
        <f>RAW_DATA!K862</f>
        <v>0</v>
      </c>
      <c r="L862">
        <f>RAW_DATA!L862</f>
        <v>3</v>
      </c>
      <c r="M862">
        <f>RAW_DATA!M862</f>
        <v>0</v>
      </c>
      <c r="N862">
        <f t="shared" si="26"/>
        <v>1</v>
      </c>
      <c r="O862" t="str" cm="1">
        <f t="array" ref="O862" xml:space="preserve"> _xlfn.IFS(A862 &lt;ASSUMPTIONS!$D$2,"25",A862 &lt;= ASSUMPTIONS!$D$3,"25-34",A862 &lt;= ASSUMPTIONS!$D$4, "35-44",A862 &lt;= ASSUMPTIONS!$D$5,"45-54",TRUE,"55+")</f>
        <v>25</v>
      </c>
      <c r="P862" t="str" cm="1">
        <f t="array" ref="P862">_xlfn.IFS( J862 &lt;ASSUMPTIONS!$D$7,"LOW",J862 &lt;= ASSUMPTIONS!$D$8,"MEDIUM",TRUE, "HIGH")</f>
        <v>LOW</v>
      </c>
      <c r="Q862" t="str">
        <f>IF(M862&lt;ASSUMPTIONS!$D$10,"New (0-2)",IF(M862&lt;=ASSUMPTIONS!$D$11,"Early (2-5)",IF(M862&lt;=ASSUMPTIONS!$D$12,"Established (5-10)","Veteran (10+)")))</f>
        <v>New (0-2)</v>
      </c>
      <c r="R862" s="4">
        <f t="shared" si="27"/>
        <v>3.3333333333333335</v>
      </c>
    </row>
    <row r="863" spans="1:18">
      <c r="A863">
        <f>RAW_DATA!A863</f>
        <v>46</v>
      </c>
      <c r="B863" t="str">
        <f>RAW_DATA!B863</f>
        <v>No</v>
      </c>
      <c r="C863" t="str">
        <f>RAW_DATA!C863</f>
        <v>Sales</v>
      </c>
      <c r="D863">
        <f>RAW_DATA!D863</f>
        <v>2</v>
      </c>
      <c r="E863">
        <f>RAW_DATA!E863</f>
        <v>3</v>
      </c>
      <c r="F863" t="str">
        <f>RAW_DATA!F863</f>
        <v>Marketing</v>
      </c>
      <c r="G863">
        <f>RAW_DATA!G863</f>
        <v>3</v>
      </c>
      <c r="H863">
        <f>RAW_DATA!H863</f>
        <v>1</v>
      </c>
      <c r="I863" t="str">
        <f>RAW_DATA!I863</f>
        <v>Married</v>
      </c>
      <c r="J863">
        <f>RAW_DATA!J863</f>
        <v>17048</v>
      </c>
      <c r="K863">
        <f>RAW_DATA!K863</f>
        <v>8</v>
      </c>
      <c r="L863">
        <f>RAW_DATA!L863</f>
        <v>3</v>
      </c>
      <c r="M863">
        <f>RAW_DATA!M863</f>
        <v>26</v>
      </c>
      <c r="N863">
        <f t="shared" si="26"/>
        <v>0</v>
      </c>
      <c r="O863" t="str" cm="1">
        <f t="array" ref="O863" xml:space="preserve"> _xlfn.IFS(A863 &lt;ASSUMPTIONS!$D$2,"25",A863 &lt;= ASSUMPTIONS!$D$3,"25-34",A863 &lt;= ASSUMPTIONS!$D$4, "35-44",A863 &lt;= ASSUMPTIONS!$D$5,"45-54",TRUE,"55+")</f>
        <v>45-54</v>
      </c>
      <c r="P863" t="str" cm="1">
        <f t="array" ref="P863">_xlfn.IFS( J863 &lt;ASSUMPTIONS!$D$7,"LOW",J863 &lt;= ASSUMPTIONS!$D$8,"MEDIUM",TRUE, "HIGH")</f>
        <v>HIGH</v>
      </c>
      <c r="Q863" t="str">
        <f>IF(M863&lt;ASSUMPTIONS!$D$10,"New (0-2)",IF(M863&lt;=ASSUMPTIONS!$D$11,"Early (2-5)",IF(M863&lt;=ASSUMPTIONS!$D$12,"Established (5-10)","Veteran (10+)")))</f>
        <v>Veteran (10+)</v>
      </c>
      <c r="R863" s="4">
        <f t="shared" si="27"/>
        <v>2.3333333333333335</v>
      </c>
    </row>
    <row r="864" spans="1:18">
      <c r="A864">
        <f>RAW_DATA!A864</f>
        <v>44</v>
      </c>
      <c r="B864" t="str">
        <f>RAW_DATA!B864</f>
        <v>No</v>
      </c>
      <c r="C864" t="str">
        <f>RAW_DATA!C864</f>
        <v>Research &amp; Development</v>
      </c>
      <c r="D864">
        <f>RAW_DATA!D864</f>
        <v>17</v>
      </c>
      <c r="E864">
        <f>RAW_DATA!E864</f>
        <v>3</v>
      </c>
      <c r="F864" t="str">
        <f>RAW_DATA!F864</f>
        <v>Life Sciences</v>
      </c>
      <c r="G864">
        <f>RAW_DATA!G864</f>
        <v>4</v>
      </c>
      <c r="H864">
        <f>RAW_DATA!H864</f>
        <v>3</v>
      </c>
      <c r="I864" t="str">
        <f>RAW_DATA!I864</f>
        <v>Single</v>
      </c>
      <c r="J864">
        <f>RAW_DATA!J864</f>
        <v>2290</v>
      </c>
      <c r="K864">
        <f>RAW_DATA!K864</f>
        <v>2</v>
      </c>
      <c r="L864">
        <f>RAW_DATA!L864</f>
        <v>3</v>
      </c>
      <c r="M864">
        <f>RAW_DATA!M864</f>
        <v>0</v>
      </c>
      <c r="N864">
        <f t="shared" si="26"/>
        <v>0</v>
      </c>
      <c r="O864" t="str" cm="1">
        <f t="array" ref="O864" xml:space="preserve"> _xlfn.IFS(A864 &lt;ASSUMPTIONS!$D$2,"25",A864 &lt;= ASSUMPTIONS!$D$3,"25-34",A864 &lt;= ASSUMPTIONS!$D$4, "35-44",A864 &lt;= ASSUMPTIONS!$D$5,"45-54",TRUE,"55+")</f>
        <v>35-44</v>
      </c>
      <c r="P864" t="str" cm="1">
        <f t="array" ref="P864">_xlfn.IFS( J864 &lt;ASSUMPTIONS!$D$7,"LOW",J864 &lt;= ASSUMPTIONS!$D$8,"MEDIUM",TRUE, "HIGH")</f>
        <v>LOW</v>
      </c>
      <c r="Q864" t="str">
        <f>IF(M864&lt;ASSUMPTIONS!$D$10,"New (0-2)",IF(M864&lt;=ASSUMPTIONS!$D$11,"Early (2-5)",IF(M864&lt;=ASSUMPTIONS!$D$12,"Established (5-10)","Veteran (10+)")))</f>
        <v>New (0-2)</v>
      </c>
      <c r="R864" s="4">
        <f t="shared" si="27"/>
        <v>3.3333333333333335</v>
      </c>
    </row>
    <row r="865" spans="1:18">
      <c r="A865">
        <f>RAW_DATA!A865</f>
        <v>33</v>
      </c>
      <c r="B865" t="str">
        <f>RAW_DATA!B865</f>
        <v>No</v>
      </c>
      <c r="C865" t="str">
        <f>RAW_DATA!C865</f>
        <v>Human Resources</v>
      </c>
      <c r="D865">
        <f>RAW_DATA!D865</f>
        <v>2</v>
      </c>
      <c r="E865">
        <f>RAW_DATA!E865</f>
        <v>3</v>
      </c>
      <c r="F865" t="str">
        <f>RAW_DATA!F865</f>
        <v>Human Resources</v>
      </c>
      <c r="G865">
        <f>RAW_DATA!G865</f>
        <v>2</v>
      </c>
      <c r="H865">
        <f>RAW_DATA!H865</f>
        <v>3</v>
      </c>
      <c r="I865" t="str">
        <f>RAW_DATA!I865</f>
        <v>Married</v>
      </c>
      <c r="J865">
        <f>RAW_DATA!J865</f>
        <v>3600</v>
      </c>
      <c r="K865">
        <f>RAW_DATA!K865</f>
        <v>1</v>
      </c>
      <c r="L865">
        <f>RAW_DATA!L865</f>
        <v>3</v>
      </c>
      <c r="M865">
        <f>RAW_DATA!M865</f>
        <v>5</v>
      </c>
      <c r="N865">
        <f t="shared" si="26"/>
        <v>0</v>
      </c>
      <c r="O865" t="str" cm="1">
        <f t="array" ref="O865" xml:space="preserve"> _xlfn.IFS(A865 &lt;ASSUMPTIONS!$D$2,"25",A865 &lt;= ASSUMPTIONS!$D$3,"25-34",A865 &lt;= ASSUMPTIONS!$D$4, "35-44",A865 &lt;= ASSUMPTIONS!$D$5,"45-54",TRUE,"55+")</f>
        <v>25-34</v>
      </c>
      <c r="P865" t="str" cm="1">
        <f t="array" ref="P865">_xlfn.IFS( J865 &lt;ASSUMPTIONS!$D$7,"LOW",J865 &lt;= ASSUMPTIONS!$D$8,"MEDIUM",TRUE, "HIGH")</f>
        <v>MEDIUM</v>
      </c>
      <c r="Q865" t="str">
        <f>IF(M865&lt;ASSUMPTIONS!$D$10,"New (0-2)",IF(M865&lt;=ASSUMPTIONS!$D$11,"Early (2-5)",IF(M865&lt;=ASSUMPTIONS!$D$12,"Established (5-10)","Veteran (10+)")))</f>
        <v>Early (2-5)</v>
      </c>
      <c r="R865" s="4">
        <f t="shared" si="27"/>
        <v>2.6666666666666665</v>
      </c>
    </row>
    <row r="866" spans="1:18">
      <c r="A866">
        <f>RAW_DATA!A866</f>
        <v>41</v>
      </c>
      <c r="B866" t="str">
        <f>RAW_DATA!B866</f>
        <v>Yes</v>
      </c>
      <c r="C866" t="str">
        <f>RAW_DATA!C866</f>
        <v>Research &amp; Development</v>
      </c>
      <c r="D866">
        <f>RAW_DATA!D866</f>
        <v>5</v>
      </c>
      <c r="E866">
        <f>RAW_DATA!E866</f>
        <v>2</v>
      </c>
      <c r="F866" t="str">
        <f>RAW_DATA!F866</f>
        <v>Life Sciences</v>
      </c>
      <c r="G866">
        <f>RAW_DATA!G866</f>
        <v>1</v>
      </c>
      <c r="H866">
        <f>RAW_DATA!H866</f>
        <v>1</v>
      </c>
      <c r="I866" t="str">
        <f>RAW_DATA!I866</f>
        <v>Divorced</v>
      </c>
      <c r="J866">
        <f>RAW_DATA!J866</f>
        <v>2107</v>
      </c>
      <c r="K866">
        <f>RAW_DATA!K866</f>
        <v>6</v>
      </c>
      <c r="L866">
        <f>RAW_DATA!L866</f>
        <v>1</v>
      </c>
      <c r="M866">
        <f>RAW_DATA!M866</f>
        <v>1</v>
      </c>
      <c r="N866">
        <f t="shared" si="26"/>
        <v>1</v>
      </c>
      <c r="O866" t="str" cm="1">
        <f t="array" ref="O866" xml:space="preserve"> _xlfn.IFS(A866 &lt;ASSUMPTIONS!$D$2,"25",A866 &lt;= ASSUMPTIONS!$D$3,"25-34",A866 &lt;= ASSUMPTIONS!$D$4, "35-44",A866 &lt;= ASSUMPTIONS!$D$5,"45-54",TRUE,"55+")</f>
        <v>35-44</v>
      </c>
      <c r="P866" t="str" cm="1">
        <f t="array" ref="P866">_xlfn.IFS( J866 &lt;ASSUMPTIONS!$D$7,"LOW",J866 &lt;= ASSUMPTIONS!$D$8,"MEDIUM",TRUE, "HIGH")</f>
        <v>LOW</v>
      </c>
      <c r="Q866" t="str">
        <f>IF(M866&lt;ASSUMPTIONS!$D$10,"New (0-2)",IF(M866&lt;=ASSUMPTIONS!$D$11,"Early (2-5)",IF(M866&lt;=ASSUMPTIONS!$D$12,"Established (5-10)","Veteran (10+)")))</f>
        <v>New (0-2)</v>
      </c>
      <c r="R866" s="4">
        <f t="shared" si="27"/>
        <v>1</v>
      </c>
    </row>
    <row r="867" spans="1:18">
      <c r="A867">
        <f>RAW_DATA!A867</f>
        <v>30</v>
      </c>
      <c r="B867" t="str">
        <f>RAW_DATA!B867</f>
        <v>No</v>
      </c>
      <c r="C867" t="str">
        <f>RAW_DATA!C867</f>
        <v>Sales</v>
      </c>
      <c r="D867">
        <f>RAW_DATA!D867</f>
        <v>29</v>
      </c>
      <c r="E867">
        <f>RAW_DATA!E867</f>
        <v>4</v>
      </c>
      <c r="F867" t="str">
        <f>RAW_DATA!F867</f>
        <v>Life Sciences</v>
      </c>
      <c r="G867">
        <f>RAW_DATA!G867</f>
        <v>3</v>
      </c>
      <c r="H867">
        <f>RAW_DATA!H867</f>
        <v>1</v>
      </c>
      <c r="I867" t="str">
        <f>RAW_DATA!I867</f>
        <v>Divorced</v>
      </c>
      <c r="J867">
        <f>RAW_DATA!J867</f>
        <v>4115</v>
      </c>
      <c r="K867">
        <f>RAW_DATA!K867</f>
        <v>8</v>
      </c>
      <c r="L867">
        <f>RAW_DATA!L867</f>
        <v>3</v>
      </c>
      <c r="M867">
        <f>RAW_DATA!M867</f>
        <v>4</v>
      </c>
      <c r="N867">
        <f t="shared" si="26"/>
        <v>0</v>
      </c>
      <c r="O867" t="str" cm="1">
        <f t="array" ref="O867" xml:space="preserve"> _xlfn.IFS(A867 &lt;ASSUMPTIONS!$D$2,"25",A867 &lt;= ASSUMPTIONS!$D$3,"25-34",A867 &lt;= ASSUMPTIONS!$D$4, "35-44",A867 &lt;= ASSUMPTIONS!$D$5,"45-54",TRUE,"55+")</f>
        <v>25-34</v>
      </c>
      <c r="P867" t="str" cm="1">
        <f t="array" ref="P867">_xlfn.IFS( J867 &lt;ASSUMPTIONS!$D$7,"LOW",J867 &lt;= ASSUMPTIONS!$D$8,"MEDIUM",TRUE, "HIGH")</f>
        <v>MEDIUM</v>
      </c>
      <c r="Q867" t="str">
        <f>IF(M867&lt;ASSUMPTIONS!$D$10,"New (0-2)",IF(M867&lt;=ASSUMPTIONS!$D$11,"Early (2-5)",IF(M867&lt;=ASSUMPTIONS!$D$12,"Established (5-10)","Veteran (10+)")))</f>
        <v>Early (2-5)</v>
      </c>
      <c r="R867" s="4">
        <f t="shared" si="27"/>
        <v>2.3333333333333335</v>
      </c>
    </row>
    <row r="868" spans="1:18">
      <c r="A868">
        <f>RAW_DATA!A868</f>
        <v>40</v>
      </c>
      <c r="B868" t="str">
        <f>RAW_DATA!B868</f>
        <v>No</v>
      </c>
      <c r="C868" t="str">
        <f>RAW_DATA!C868</f>
        <v>Sales</v>
      </c>
      <c r="D868">
        <f>RAW_DATA!D868</f>
        <v>2</v>
      </c>
      <c r="E868">
        <f>RAW_DATA!E868</f>
        <v>4</v>
      </c>
      <c r="F868" t="str">
        <f>RAW_DATA!F868</f>
        <v>Medical</v>
      </c>
      <c r="G868">
        <f>RAW_DATA!G868</f>
        <v>2</v>
      </c>
      <c r="H868">
        <f>RAW_DATA!H868</f>
        <v>2</v>
      </c>
      <c r="I868" t="str">
        <f>RAW_DATA!I868</f>
        <v>Married</v>
      </c>
      <c r="J868">
        <f>RAW_DATA!J868</f>
        <v>4327</v>
      </c>
      <c r="K868">
        <f>RAW_DATA!K868</f>
        <v>5</v>
      </c>
      <c r="L868">
        <f>RAW_DATA!L868</f>
        <v>3</v>
      </c>
      <c r="M868">
        <f>RAW_DATA!M868</f>
        <v>0</v>
      </c>
      <c r="N868">
        <f t="shared" si="26"/>
        <v>0</v>
      </c>
      <c r="O868" t="str" cm="1">
        <f t="array" ref="O868" xml:space="preserve"> _xlfn.IFS(A868 &lt;ASSUMPTIONS!$D$2,"25",A868 &lt;= ASSUMPTIONS!$D$3,"25-34",A868 &lt;= ASSUMPTIONS!$D$4, "35-44",A868 &lt;= ASSUMPTIONS!$D$5,"45-54",TRUE,"55+")</f>
        <v>35-44</v>
      </c>
      <c r="P868" t="str" cm="1">
        <f t="array" ref="P868">_xlfn.IFS( J868 &lt;ASSUMPTIONS!$D$7,"LOW",J868 &lt;= ASSUMPTIONS!$D$8,"MEDIUM",TRUE, "HIGH")</f>
        <v>MEDIUM</v>
      </c>
      <c r="Q868" t="str">
        <f>IF(M868&lt;ASSUMPTIONS!$D$10,"New (0-2)",IF(M868&lt;=ASSUMPTIONS!$D$11,"Early (2-5)",IF(M868&lt;=ASSUMPTIONS!$D$12,"Established (5-10)","Veteran (10+)")))</f>
        <v>New (0-2)</v>
      </c>
      <c r="R868" s="4">
        <f t="shared" si="27"/>
        <v>2.3333333333333335</v>
      </c>
    </row>
    <row r="869" spans="1:18">
      <c r="A869">
        <f>RAW_DATA!A869</f>
        <v>50</v>
      </c>
      <c r="B869" t="str">
        <f>RAW_DATA!B869</f>
        <v>No</v>
      </c>
      <c r="C869" t="str">
        <f>RAW_DATA!C869</f>
        <v>Research &amp; Development</v>
      </c>
      <c r="D869">
        <f>RAW_DATA!D869</f>
        <v>2</v>
      </c>
      <c r="E869">
        <f>RAW_DATA!E869</f>
        <v>3</v>
      </c>
      <c r="F869" t="str">
        <f>RAW_DATA!F869</f>
        <v>Medical</v>
      </c>
      <c r="G869">
        <f>RAW_DATA!G869</f>
        <v>4</v>
      </c>
      <c r="H869">
        <f>RAW_DATA!H869</f>
        <v>1</v>
      </c>
      <c r="I869" t="str">
        <f>RAW_DATA!I869</f>
        <v>Married</v>
      </c>
      <c r="J869">
        <f>RAW_DATA!J869</f>
        <v>17856</v>
      </c>
      <c r="K869">
        <f>RAW_DATA!K869</f>
        <v>2</v>
      </c>
      <c r="L869">
        <f>RAW_DATA!L869</f>
        <v>3</v>
      </c>
      <c r="M869">
        <f>RAW_DATA!M869</f>
        <v>2</v>
      </c>
      <c r="N869">
        <f t="shared" si="26"/>
        <v>0</v>
      </c>
      <c r="O869" t="str" cm="1">
        <f t="array" ref="O869" xml:space="preserve"> _xlfn.IFS(A869 &lt;ASSUMPTIONS!$D$2,"25",A869 &lt;= ASSUMPTIONS!$D$3,"25-34",A869 &lt;= ASSUMPTIONS!$D$4, "35-44",A869 &lt;= ASSUMPTIONS!$D$5,"45-54",TRUE,"55+")</f>
        <v>45-54</v>
      </c>
      <c r="P869" t="str" cm="1">
        <f t="array" ref="P869">_xlfn.IFS( J869 &lt;ASSUMPTIONS!$D$7,"LOW",J869 &lt;= ASSUMPTIONS!$D$8,"MEDIUM",TRUE, "HIGH")</f>
        <v>HIGH</v>
      </c>
      <c r="Q869" t="str">
        <f>IF(M869&lt;ASSUMPTIONS!$D$10,"New (0-2)",IF(M869&lt;=ASSUMPTIONS!$D$11,"Early (2-5)",IF(M869&lt;=ASSUMPTIONS!$D$12,"Established (5-10)","Veteran (10+)")))</f>
        <v>Early (2-5)</v>
      </c>
      <c r="R869" s="4">
        <f t="shared" si="27"/>
        <v>2.6666666666666665</v>
      </c>
    </row>
    <row r="870" spans="1:18">
      <c r="A870">
        <f>RAW_DATA!A870</f>
        <v>28</v>
      </c>
      <c r="B870" t="str">
        <f>RAW_DATA!B870</f>
        <v>No</v>
      </c>
      <c r="C870" t="str">
        <f>RAW_DATA!C870</f>
        <v>Research &amp; Development</v>
      </c>
      <c r="D870">
        <f>RAW_DATA!D870</f>
        <v>19</v>
      </c>
      <c r="E870">
        <f>RAW_DATA!E870</f>
        <v>4</v>
      </c>
      <c r="F870" t="str">
        <f>RAW_DATA!F870</f>
        <v>Medical</v>
      </c>
      <c r="G870">
        <f>RAW_DATA!G870</f>
        <v>4</v>
      </c>
      <c r="H870">
        <f>RAW_DATA!H870</f>
        <v>1</v>
      </c>
      <c r="I870" t="str">
        <f>RAW_DATA!I870</f>
        <v>Married</v>
      </c>
      <c r="J870">
        <f>RAW_DATA!J870</f>
        <v>3196</v>
      </c>
      <c r="K870">
        <f>RAW_DATA!K870</f>
        <v>1</v>
      </c>
      <c r="L870">
        <f>RAW_DATA!L870</f>
        <v>3</v>
      </c>
      <c r="M870">
        <f>RAW_DATA!M870</f>
        <v>6</v>
      </c>
      <c r="N870">
        <f t="shared" si="26"/>
        <v>0</v>
      </c>
      <c r="O870" t="str" cm="1">
        <f t="array" ref="O870" xml:space="preserve"> _xlfn.IFS(A870 &lt;ASSUMPTIONS!$D$2,"25",A870 &lt;= ASSUMPTIONS!$D$3,"25-34",A870 &lt;= ASSUMPTIONS!$D$4, "35-44",A870 &lt;= ASSUMPTIONS!$D$5,"45-54",TRUE,"55+")</f>
        <v>25-34</v>
      </c>
      <c r="P870" t="str" cm="1">
        <f t="array" ref="P870">_xlfn.IFS( J870 &lt;ASSUMPTIONS!$D$7,"LOW",J870 &lt;= ASSUMPTIONS!$D$8,"MEDIUM",TRUE, "HIGH")</f>
        <v>MEDIUM</v>
      </c>
      <c r="Q870" t="str">
        <f>IF(M870&lt;ASSUMPTIONS!$D$10,"New (0-2)",IF(M870&lt;=ASSUMPTIONS!$D$11,"Early (2-5)",IF(M870&lt;=ASSUMPTIONS!$D$12,"Established (5-10)","Veteran (10+)")))</f>
        <v>Established (5-10)</v>
      </c>
      <c r="R870" s="4">
        <f t="shared" si="27"/>
        <v>2.6666666666666665</v>
      </c>
    </row>
    <row r="871" spans="1:18">
      <c r="A871">
        <f>RAW_DATA!A871</f>
        <v>46</v>
      </c>
      <c r="B871" t="str">
        <f>RAW_DATA!B871</f>
        <v>No</v>
      </c>
      <c r="C871" t="str">
        <f>RAW_DATA!C871</f>
        <v>Research &amp; Development</v>
      </c>
      <c r="D871">
        <f>RAW_DATA!D871</f>
        <v>15</v>
      </c>
      <c r="E871">
        <f>RAW_DATA!E871</f>
        <v>2</v>
      </c>
      <c r="F871" t="str">
        <f>RAW_DATA!F871</f>
        <v>Life Sciences</v>
      </c>
      <c r="G871">
        <f>RAW_DATA!G871</f>
        <v>4</v>
      </c>
      <c r="H871">
        <f>RAW_DATA!H871</f>
        <v>2</v>
      </c>
      <c r="I871" t="str">
        <f>RAW_DATA!I871</f>
        <v>Married</v>
      </c>
      <c r="J871">
        <f>RAW_DATA!J871</f>
        <v>19081</v>
      </c>
      <c r="K871">
        <f>RAW_DATA!K871</f>
        <v>5</v>
      </c>
      <c r="L871">
        <f>RAW_DATA!L871</f>
        <v>3</v>
      </c>
      <c r="M871">
        <f>RAW_DATA!M871</f>
        <v>4</v>
      </c>
      <c r="N871">
        <f t="shared" si="26"/>
        <v>0</v>
      </c>
      <c r="O871" t="str" cm="1">
        <f t="array" ref="O871" xml:space="preserve"> _xlfn.IFS(A871 &lt;ASSUMPTIONS!$D$2,"25",A871 &lt;= ASSUMPTIONS!$D$3,"25-34",A871 &lt;= ASSUMPTIONS!$D$4, "35-44",A871 &lt;= ASSUMPTIONS!$D$5,"45-54",TRUE,"55+")</f>
        <v>45-54</v>
      </c>
      <c r="P871" t="str" cm="1">
        <f t="array" ref="P871">_xlfn.IFS( J871 &lt;ASSUMPTIONS!$D$7,"LOW",J871 &lt;= ASSUMPTIONS!$D$8,"MEDIUM",TRUE, "HIGH")</f>
        <v>HIGH</v>
      </c>
      <c r="Q871" t="str">
        <f>IF(M871&lt;ASSUMPTIONS!$D$10,"New (0-2)",IF(M871&lt;=ASSUMPTIONS!$D$11,"Early (2-5)",IF(M871&lt;=ASSUMPTIONS!$D$12,"Established (5-10)","Veteran (10+)")))</f>
        <v>Early (2-5)</v>
      </c>
      <c r="R871" s="4">
        <f t="shared" si="27"/>
        <v>3</v>
      </c>
    </row>
    <row r="872" spans="1:18">
      <c r="A872">
        <f>RAW_DATA!A872</f>
        <v>35</v>
      </c>
      <c r="B872" t="str">
        <f>RAW_DATA!B872</f>
        <v>No</v>
      </c>
      <c r="C872" t="str">
        <f>RAW_DATA!C872</f>
        <v>Sales</v>
      </c>
      <c r="D872">
        <f>RAW_DATA!D872</f>
        <v>17</v>
      </c>
      <c r="E872">
        <f>RAW_DATA!E872</f>
        <v>4</v>
      </c>
      <c r="F872" t="str">
        <f>RAW_DATA!F872</f>
        <v>Life Sciences</v>
      </c>
      <c r="G872">
        <f>RAW_DATA!G872</f>
        <v>3</v>
      </c>
      <c r="H872">
        <f>RAW_DATA!H872</f>
        <v>1</v>
      </c>
      <c r="I872" t="str">
        <f>RAW_DATA!I872</f>
        <v>Married</v>
      </c>
      <c r="J872">
        <f>RAW_DATA!J872</f>
        <v>8966</v>
      </c>
      <c r="K872">
        <f>RAW_DATA!K872</f>
        <v>3</v>
      </c>
      <c r="L872">
        <f>RAW_DATA!L872</f>
        <v>3</v>
      </c>
      <c r="M872">
        <f>RAW_DATA!M872</f>
        <v>7</v>
      </c>
      <c r="N872">
        <f t="shared" si="26"/>
        <v>0</v>
      </c>
      <c r="O872" t="str" cm="1">
        <f t="array" ref="O872" xml:space="preserve"> _xlfn.IFS(A872 &lt;ASSUMPTIONS!$D$2,"25",A872 &lt;= ASSUMPTIONS!$D$3,"25-34",A872 &lt;= ASSUMPTIONS!$D$4, "35-44",A872 &lt;= ASSUMPTIONS!$D$5,"45-54",TRUE,"55+")</f>
        <v>35-44</v>
      </c>
      <c r="P872" t="str" cm="1">
        <f t="array" ref="P872">_xlfn.IFS( J872 &lt;ASSUMPTIONS!$D$7,"LOW",J872 &lt;= ASSUMPTIONS!$D$8,"MEDIUM",TRUE, "HIGH")</f>
        <v>HIGH</v>
      </c>
      <c r="Q872" t="str">
        <f>IF(M872&lt;ASSUMPTIONS!$D$10,"New (0-2)",IF(M872&lt;=ASSUMPTIONS!$D$11,"Early (2-5)",IF(M872&lt;=ASSUMPTIONS!$D$12,"Established (5-10)","Veteran (10+)")))</f>
        <v>Established (5-10)</v>
      </c>
      <c r="R872" s="4">
        <f t="shared" si="27"/>
        <v>2.3333333333333335</v>
      </c>
    </row>
    <row r="873" spans="1:18">
      <c r="A873">
        <f>RAW_DATA!A873</f>
        <v>24</v>
      </c>
      <c r="B873" t="str">
        <f>RAW_DATA!B873</f>
        <v>Yes</v>
      </c>
      <c r="C873" t="str">
        <f>RAW_DATA!C873</f>
        <v>Research &amp; Development</v>
      </c>
      <c r="D873">
        <f>RAW_DATA!D873</f>
        <v>17</v>
      </c>
      <c r="E873">
        <f>RAW_DATA!E873</f>
        <v>2</v>
      </c>
      <c r="F873" t="str">
        <f>RAW_DATA!F873</f>
        <v>Life Sciences</v>
      </c>
      <c r="G873">
        <f>RAW_DATA!G873</f>
        <v>4</v>
      </c>
      <c r="H873">
        <f>RAW_DATA!H873</f>
        <v>2</v>
      </c>
      <c r="I873" t="str">
        <f>RAW_DATA!I873</f>
        <v>Married</v>
      </c>
      <c r="J873">
        <f>RAW_DATA!J873</f>
        <v>2210</v>
      </c>
      <c r="K873">
        <f>RAW_DATA!K873</f>
        <v>1</v>
      </c>
      <c r="L873">
        <f>RAW_DATA!L873</f>
        <v>1</v>
      </c>
      <c r="M873">
        <f>RAW_DATA!M873</f>
        <v>1</v>
      </c>
      <c r="N873">
        <f t="shared" si="26"/>
        <v>1</v>
      </c>
      <c r="O873" t="str" cm="1">
        <f t="array" ref="O873" xml:space="preserve"> _xlfn.IFS(A873 &lt;ASSUMPTIONS!$D$2,"25",A873 &lt;= ASSUMPTIONS!$D$3,"25-34",A873 &lt;= ASSUMPTIONS!$D$4, "35-44",A873 &lt;= ASSUMPTIONS!$D$5,"45-54",TRUE,"55+")</f>
        <v>25</v>
      </c>
      <c r="P873" t="str" cm="1">
        <f t="array" ref="P873">_xlfn.IFS( J873 &lt;ASSUMPTIONS!$D$7,"LOW",J873 &lt;= ASSUMPTIONS!$D$8,"MEDIUM",TRUE, "HIGH")</f>
        <v>LOW</v>
      </c>
      <c r="Q873" t="str">
        <f>IF(M873&lt;ASSUMPTIONS!$D$10,"New (0-2)",IF(M873&lt;=ASSUMPTIONS!$D$11,"Early (2-5)",IF(M873&lt;=ASSUMPTIONS!$D$12,"Established (5-10)","Veteran (10+)")))</f>
        <v>New (0-2)</v>
      </c>
      <c r="R873" s="4">
        <f t="shared" si="27"/>
        <v>2.3333333333333335</v>
      </c>
    </row>
    <row r="874" spans="1:18">
      <c r="A874">
        <f>RAW_DATA!A874</f>
        <v>33</v>
      </c>
      <c r="B874" t="str">
        <f>RAW_DATA!B874</f>
        <v>No</v>
      </c>
      <c r="C874" t="str">
        <f>RAW_DATA!C874</f>
        <v>Sales</v>
      </c>
      <c r="D874">
        <f>RAW_DATA!D874</f>
        <v>25</v>
      </c>
      <c r="E874">
        <f>RAW_DATA!E874</f>
        <v>3</v>
      </c>
      <c r="F874" t="str">
        <f>RAW_DATA!F874</f>
        <v>Medical</v>
      </c>
      <c r="G874">
        <f>RAW_DATA!G874</f>
        <v>2</v>
      </c>
      <c r="H874">
        <f>RAW_DATA!H874</f>
        <v>3</v>
      </c>
      <c r="I874" t="str">
        <f>RAW_DATA!I874</f>
        <v>Married</v>
      </c>
      <c r="J874">
        <f>RAW_DATA!J874</f>
        <v>4539</v>
      </c>
      <c r="K874">
        <f>RAW_DATA!K874</f>
        <v>1</v>
      </c>
      <c r="L874">
        <f>RAW_DATA!L874</f>
        <v>2</v>
      </c>
      <c r="M874">
        <f>RAW_DATA!M874</f>
        <v>10</v>
      </c>
      <c r="N874">
        <f t="shared" si="26"/>
        <v>0</v>
      </c>
      <c r="O874" t="str" cm="1">
        <f t="array" ref="O874" xml:space="preserve"> _xlfn.IFS(A874 &lt;ASSUMPTIONS!$D$2,"25",A874 &lt;= ASSUMPTIONS!$D$3,"25-34",A874 &lt;= ASSUMPTIONS!$D$4, "35-44",A874 &lt;= ASSUMPTIONS!$D$5,"45-54",TRUE,"55+")</f>
        <v>25-34</v>
      </c>
      <c r="P874" t="str" cm="1">
        <f t="array" ref="P874">_xlfn.IFS( J874 &lt;ASSUMPTIONS!$D$7,"LOW",J874 &lt;= ASSUMPTIONS!$D$8,"MEDIUM",TRUE, "HIGH")</f>
        <v>MEDIUM</v>
      </c>
      <c r="Q874" t="str">
        <f>IF(M874&lt;ASSUMPTIONS!$D$10,"New (0-2)",IF(M874&lt;=ASSUMPTIONS!$D$11,"Early (2-5)",IF(M874&lt;=ASSUMPTIONS!$D$12,"Established (5-10)","Veteran (10+)")))</f>
        <v>Established (5-10)</v>
      </c>
      <c r="R874" s="4">
        <f t="shared" si="27"/>
        <v>2.3333333333333335</v>
      </c>
    </row>
    <row r="875" spans="1:18">
      <c r="A875">
        <f>RAW_DATA!A875</f>
        <v>36</v>
      </c>
      <c r="B875" t="str">
        <f>RAW_DATA!B875</f>
        <v>No</v>
      </c>
      <c r="C875" t="str">
        <f>RAW_DATA!C875</f>
        <v>Research &amp; Development</v>
      </c>
      <c r="D875">
        <f>RAW_DATA!D875</f>
        <v>6</v>
      </c>
      <c r="E875">
        <f>RAW_DATA!E875</f>
        <v>4</v>
      </c>
      <c r="F875" t="str">
        <f>RAW_DATA!F875</f>
        <v>Life Sciences</v>
      </c>
      <c r="G875">
        <f>RAW_DATA!G875</f>
        <v>3</v>
      </c>
      <c r="H875">
        <f>RAW_DATA!H875</f>
        <v>3</v>
      </c>
      <c r="I875" t="str">
        <f>RAW_DATA!I875</f>
        <v>Divorced</v>
      </c>
      <c r="J875">
        <f>RAW_DATA!J875</f>
        <v>2741</v>
      </c>
      <c r="K875">
        <f>RAW_DATA!K875</f>
        <v>1</v>
      </c>
      <c r="L875">
        <f>RAW_DATA!L875</f>
        <v>3</v>
      </c>
      <c r="M875">
        <f>RAW_DATA!M875</f>
        <v>7</v>
      </c>
      <c r="N875">
        <f t="shared" si="26"/>
        <v>0</v>
      </c>
      <c r="O875" t="str" cm="1">
        <f t="array" ref="O875" xml:space="preserve"> _xlfn.IFS(A875 &lt;ASSUMPTIONS!$D$2,"25",A875 &lt;= ASSUMPTIONS!$D$3,"25-34",A875 &lt;= ASSUMPTIONS!$D$4, "35-44",A875 &lt;= ASSUMPTIONS!$D$5,"45-54",TRUE,"55+")</f>
        <v>35-44</v>
      </c>
      <c r="P875" t="str" cm="1">
        <f t="array" ref="P875">_xlfn.IFS( J875 &lt;ASSUMPTIONS!$D$7,"LOW",J875 &lt;= ASSUMPTIONS!$D$8,"MEDIUM",TRUE, "HIGH")</f>
        <v>LOW</v>
      </c>
      <c r="Q875" t="str">
        <f>IF(M875&lt;ASSUMPTIONS!$D$10,"New (0-2)",IF(M875&lt;=ASSUMPTIONS!$D$11,"Early (2-5)",IF(M875&lt;=ASSUMPTIONS!$D$12,"Established (5-10)","Veteran (10+)")))</f>
        <v>Established (5-10)</v>
      </c>
      <c r="R875" s="4">
        <f t="shared" si="27"/>
        <v>3</v>
      </c>
    </row>
    <row r="876" spans="1:18">
      <c r="A876">
        <f>RAW_DATA!A876</f>
        <v>30</v>
      </c>
      <c r="B876" t="str">
        <f>RAW_DATA!B876</f>
        <v>No</v>
      </c>
      <c r="C876" t="str">
        <f>RAW_DATA!C876</f>
        <v>Research &amp; Development</v>
      </c>
      <c r="D876">
        <f>RAW_DATA!D876</f>
        <v>7</v>
      </c>
      <c r="E876">
        <f>RAW_DATA!E876</f>
        <v>4</v>
      </c>
      <c r="F876" t="str">
        <f>RAW_DATA!F876</f>
        <v>Life Sciences</v>
      </c>
      <c r="G876">
        <f>RAW_DATA!G876</f>
        <v>3</v>
      </c>
      <c r="H876">
        <f>RAW_DATA!H876</f>
        <v>3</v>
      </c>
      <c r="I876" t="str">
        <f>RAW_DATA!I876</f>
        <v>Divorced</v>
      </c>
      <c r="J876">
        <f>RAW_DATA!J876</f>
        <v>3491</v>
      </c>
      <c r="K876">
        <f>RAW_DATA!K876</f>
        <v>1</v>
      </c>
      <c r="L876">
        <f>RAW_DATA!L876</f>
        <v>2</v>
      </c>
      <c r="M876">
        <f>RAW_DATA!M876</f>
        <v>10</v>
      </c>
      <c r="N876">
        <f t="shared" si="26"/>
        <v>0</v>
      </c>
      <c r="O876" t="str" cm="1">
        <f t="array" ref="O876" xml:space="preserve"> _xlfn.IFS(A876 &lt;ASSUMPTIONS!$D$2,"25",A876 &lt;= ASSUMPTIONS!$D$3,"25-34",A876 &lt;= ASSUMPTIONS!$D$4, "35-44",A876 &lt;= ASSUMPTIONS!$D$5,"45-54",TRUE,"55+")</f>
        <v>25-34</v>
      </c>
      <c r="P876" t="str" cm="1">
        <f t="array" ref="P876">_xlfn.IFS( J876 &lt;ASSUMPTIONS!$D$7,"LOW",J876 &lt;= ASSUMPTIONS!$D$8,"MEDIUM",TRUE, "HIGH")</f>
        <v>MEDIUM</v>
      </c>
      <c r="Q876" t="str">
        <f>IF(M876&lt;ASSUMPTIONS!$D$10,"New (0-2)",IF(M876&lt;=ASSUMPTIONS!$D$11,"Early (2-5)",IF(M876&lt;=ASSUMPTIONS!$D$12,"Established (5-10)","Veteran (10+)")))</f>
        <v>Established (5-10)</v>
      </c>
      <c r="R876" s="4">
        <f t="shared" si="27"/>
        <v>2.6666666666666665</v>
      </c>
    </row>
    <row r="877" spans="1:18">
      <c r="A877">
        <f>RAW_DATA!A877</f>
        <v>44</v>
      </c>
      <c r="B877" t="str">
        <f>RAW_DATA!B877</f>
        <v>No</v>
      </c>
      <c r="C877" t="str">
        <f>RAW_DATA!C877</f>
        <v>Research &amp; Development</v>
      </c>
      <c r="D877">
        <f>RAW_DATA!D877</f>
        <v>29</v>
      </c>
      <c r="E877">
        <f>RAW_DATA!E877</f>
        <v>4</v>
      </c>
      <c r="F877" t="str">
        <f>RAW_DATA!F877</f>
        <v>Other</v>
      </c>
      <c r="G877">
        <f>RAW_DATA!G877</f>
        <v>4</v>
      </c>
      <c r="H877">
        <f>RAW_DATA!H877</f>
        <v>4</v>
      </c>
      <c r="I877" t="str">
        <f>RAW_DATA!I877</f>
        <v>Single</v>
      </c>
      <c r="J877">
        <f>RAW_DATA!J877</f>
        <v>4541</v>
      </c>
      <c r="K877">
        <f>RAW_DATA!K877</f>
        <v>1</v>
      </c>
      <c r="L877">
        <f>RAW_DATA!L877</f>
        <v>3</v>
      </c>
      <c r="M877">
        <f>RAW_DATA!M877</f>
        <v>20</v>
      </c>
      <c r="N877">
        <f t="shared" si="26"/>
        <v>0</v>
      </c>
      <c r="O877" t="str" cm="1">
        <f t="array" ref="O877" xml:space="preserve"> _xlfn.IFS(A877 &lt;ASSUMPTIONS!$D$2,"25",A877 &lt;= ASSUMPTIONS!$D$3,"25-34",A877 &lt;= ASSUMPTIONS!$D$4, "35-44",A877 &lt;= ASSUMPTIONS!$D$5,"45-54",TRUE,"55+")</f>
        <v>35-44</v>
      </c>
      <c r="P877" t="str" cm="1">
        <f t="array" ref="P877">_xlfn.IFS( J877 &lt;ASSUMPTIONS!$D$7,"LOW",J877 &lt;= ASSUMPTIONS!$D$8,"MEDIUM",TRUE, "HIGH")</f>
        <v>MEDIUM</v>
      </c>
      <c r="Q877" t="str">
        <f>IF(M877&lt;ASSUMPTIONS!$D$10,"New (0-2)",IF(M877&lt;=ASSUMPTIONS!$D$11,"Early (2-5)",IF(M877&lt;=ASSUMPTIONS!$D$12,"Established (5-10)","Veteran (10+)")))</f>
        <v>Veteran (10+)</v>
      </c>
      <c r="R877" s="4">
        <f t="shared" si="27"/>
        <v>3.6666666666666665</v>
      </c>
    </row>
    <row r="878" spans="1:18">
      <c r="A878">
        <f>RAW_DATA!A878</f>
        <v>20</v>
      </c>
      <c r="B878" t="str">
        <f>RAW_DATA!B878</f>
        <v>No</v>
      </c>
      <c r="C878" t="str">
        <f>RAW_DATA!C878</f>
        <v>Sales</v>
      </c>
      <c r="D878">
        <f>RAW_DATA!D878</f>
        <v>21</v>
      </c>
      <c r="E878">
        <f>RAW_DATA!E878</f>
        <v>3</v>
      </c>
      <c r="F878" t="str">
        <f>RAW_DATA!F878</f>
        <v>Marketing</v>
      </c>
      <c r="G878">
        <f>RAW_DATA!G878</f>
        <v>3</v>
      </c>
      <c r="H878">
        <f>RAW_DATA!H878</f>
        <v>4</v>
      </c>
      <c r="I878" t="str">
        <f>RAW_DATA!I878</f>
        <v>Single</v>
      </c>
      <c r="J878">
        <f>RAW_DATA!J878</f>
        <v>2678</v>
      </c>
      <c r="K878">
        <f>RAW_DATA!K878</f>
        <v>1</v>
      </c>
      <c r="L878">
        <f>RAW_DATA!L878</f>
        <v>3</v>
      </c>
      <c r="M878">
        <f>RAW_DATA!M878</f>
        <v>2</v>
      </c>
      <c r="N878">
        <f t="shared" si="26"/>
        <v>0</v>
      </c>
      <c r="O878" t="str" cm="1">
        <f t="array" ref="O878" xml:space="preserve"> _xlfn.IFS(A878 &lt;ASSUMPTIONS!$D$2,"25",A878 &lt;= ASSUMPTIONS!$D$3,"25-34",A878 &lt;= ASSUMPTIONS!$D$4, "35-44",A878 &lt;= ASSUMPTIONS!$D$5,"45-54",TRUE,"55+")</f>
        <v>25</v>
      </c>
      <c r="P878" t="str" cm="1">
        <f t="array" ref="P878">_xlfn.IFS( J878 &lt;ASSUMPTIONS!$D$7,"LOW",J878 &lt;= ASSUMPTIONS!$D$8,"MEDIUM",TRUE, "HIGH")</f>
        <v>LOW</v>
      </c>
      <c r="Q878" t="str">
        <f>IF(M878&lt;ASSUMPTIONS!$D$10,"New (0-2)",IF(M878&lt;=ASSUMPTIONS!$D$11,"Early (2-5)",IF(M878&lt;=ASSUMPTIONS!$D$12,"Established (5-10)","Veteran (10+)")))</f>
        <v>Early (2-5)</v>
      </c>
      <c r="R878" s="4">
        <f t="shared" si="27"/>
        <v>3.3333333333333335</v>
      </c>
    </row>
    <row r="879" spans="1:18">
      <c r="A879">
        <f>RAW_DATA!A879</f>
        <v>46</v>
      </c>
      <c r="B879" t="str">
        <f>RAW_DATA!B879</f>
        <v>No</v>
      </c>
      <c r="C879" t="str">
        <f>RAW_DATA!C879</f>
        <v>Research &amp; Development</v>
      </c>
      <c r="D879">
        <f>RAW_DATA!D879</f>
        <v>2</v>
      </c>
      <c r="E879">
        <f>RAW_DATA!E879</f>
        <v>4</v>
      </c>
      <c r="F879" t="str">
        <f>RAW_DATA!F879</f>
        <v>Technical Degree</v>
      </c>
      <c r="G879">
        <f>RAW_DATA!G879</f>
        <v>4</v>
      </c>
      <c r="H879">
        <f>RAW_DATA!H879</f>
        <v>4</v>
      </c>
      <c r="I879" t="str">
        <f>RAW_DATA!I879</f>
        <v>Divorced</v>
      </c>
      <c r="J879">
        <f>RAW_DATA!J879</f>
        <v>7379</v>
      </c>
      <c r="K879">
        <f>RAW_DATA!K879</f>
        <v>2</v>
      </c>
      <c r="L879">
        <f>RAW_DATA!L879</f>
        <v>2</v>
      </c>
      <c r="M879">
        <f>RAW_DATA!M879</f>
        <v>6</v>
      </c>
      <c r="N879">
        <f t="shared" si="26"/>
        <v>0</v>
      </c>
      <c r="O879" t="str" cm="1">
        <f t="array" ref="O879" xml:space="preserve"> _xlfn.IFS(A879 &lt;ASSUMPTIONS!$D$2,"25",A879 &lt;= ASSUMPTIONS!$D$3,"25-34",A879 &lt;= ASSUMPTIONS!$D$4, "35-44",A879 &lt;= ASSUMPTIONS!$D$5,"45-54",TRUE,"55+")</f>
        <v>45-54</v>
      </c>
      <c r="P879" t="str" cm="1">
        <f t="array" ref="P879">_xlfn.IFS( J879 &lt;ASSUMPTIONS!$D$7,"LOW",J879 &lt;= ASSUMPTIONS!$D$8,"MEDIUM",TRUE, "HIGH")</f>
        <v>HIGH</v>
      </c>
      <c r="Q879" t="str">
        <f>IF(M879&lt;ASSUMPTIONS!$D$10,"New (0-2)",IF(M879&lt;=ASSUMPTIONS!$D$11,"Early (2-5)",IF(M879&lt;=ASSUMPTIONS!$D$12,"Established (5-10)","Veteran (10+)")))</f>
        <v>Established (5-10)</v>
      </c>
      <c r="R879" s="4">
        <f t="shared" si="27"/>
        <v>3.3333333333333335</v>
      </c>
    </row>
    <row r="880" spans="1:18">
      <c r="A880">
        <f>RAW_DATA!A880</f>
        <v>42</v>
      </c>
      <c r="B880" t="str">
        <f>RAW_DATA!B880</f>
        <v>No</v>
      </c>
      <c r="C880" t="str">
        <f>RAW_DATA!C880</f>
        <v>Human Resources</v>
      </c>
      <c r="D880">
        <f>RAW_DATA!D880</f>
        <v>2</v>
      </c>
      <c r="E880">
        <f>RAW_DATA!E880</f>
        <v>5</v>
      </c>
      <c r="F880" t="str">
        <f>RAW_DATA!F880</f>
        <v>Medical</v>
      </c>
      <c r="G880">
        <f>RAW_DATA!G880</f>
        <v>4</v>
      </c>
      <c r="H880">
        <f>RAW_DATA!H880</f>
        <v>1</v>
      </c>
      <c r="I880" t="str">
        <f>RAW_DATA!I880</f>
        <v>Married</v>
      </c>
      <c r="J880">
        <f>RAW_DATA!J880</f>
        <v>6272</v>
      </c>
      <c r="K880">
        <f>RAW_DATA!K880</f>
        <v>7</v>
      </c>
      <c r="L880">
        <f>RAW_DATA!L880</f>
        <v>4</v>
      </c>
      <c r="M880">
        <f>RAW_DATA!M880</f>
        <v>4</v>
      </c>
      <c r="N880">
        <f t="shared" si="26"/>
        <v>0</v>
      </c>
      <c r="O880" t="str" cm="1">
        <f t="array" ref="O880" xml:space="preserve"> _xlfn.IFS(A880 &lt;ASSUMPTIONS!$D$2,"25",A880 &lt;= ASSUMPTIONS!$D$3,"25-34",A880 &lt;= ASSUMPTIONS!$D$4, "35-44",A880 &lt;= ASSUMPTIONS!$D$5,"45-54",TRUE,"55+")</f>
        <v>35-44</v>
      </c>
      <c r="P880" t="str" cm="1">
        <f t="array" ref="P880">_xlfn.IFS( J880 &lt;ASSUMPTIONS!$D$7,"LOW",J880 &lt;= ASSUMPTIONS!$D$8,"MEDIUM",TRUE, "HIGH")</f>
        <v>MEDIUM</v>
      </c>
      <c r="Q880" t="str">
        <f>IF(M880&lt;ASSUMPTIONS!$D$10,"New (0-2)",IF(M880&lt;=ASSUMPTIONS!$D$11,"Early (2-5)",IF(M880&lt;=ASSUMPTIONS!$D$12,"Established (5-10)","Veteran (10+)")))</f>
        <v>Early (2-5)</v>
      </c>
      <c r="R880" s="4">
        <f t="shared" si="27"/>
        <v>3</v>
      </c>
    </row>
    <row r="881" spans="1:18">
      <c r="A881">
        <f>RAW_DATA!A881</f>
        <v>60</v>
      </c>
      <c r="B881" t="str">
        <f>RAW_DATA!B881</f>
        <v>No</v>
      </c>
      <c r="C881" t="str">
        <f>RAW_DATA!C881</f>
        <v>Sales</v>
      </c>
      <c r="D881">
        <f>RAW_DATA!D881</f>
        <v>7</v>
      </c>
      <c r="E881">
        <f>RAW_DATA!E881</f>
        <v>4</v>
      </c>
      <c r="F881" t="str">
        <f>RAW_DATA!F881</f>
        <v>Marketing</v>
      </c>
      <c r="G881">
        <f>RAW_DATA!G881</f>
        <v>2</v>
      </c>
      <c r="H881">
        <f>RAW_DATA!H881</f>
        <v>4</v>
      </c>
      <c r="I881" t="str">
        <f>RAW_DATA!I881</f>
        <v>Divorced</v>
      </c>
      <c r="J881">
        <f>RAW_DATA!J881</f>
        <v>5220</v>
      </c>
      <c r="K881">
        <f>RAW_DATA!K881</f>
        <v>0</v>
      </c>
      <c r="L881">
        <f>RAW_DATA!L881</f>
        <v>3</v>
      </c>
      <c r="M881">
        <f>RAW_DATA!M881</f>
        <v>11</v>
      </c>
      <c r="N881">
        <f t="shared" si="26"/>
        <v>0</v>
      </c>
      <c r="O881" t="str" cm="1">
        <f t="array" ref="O881" xml:space="preserve"> _xlfn.IFS(A881 &lt;ASSUMPTIONS!$D$2,"25",A881 &lt;= ASSUMPTIONS!$D$3,"25-34",A881 &lt;= ASSUMPTIONS!$D$4, "35-44",A881 &lt;= ASSUMPTIONS!$D$5,"45-54",TRUE,"55+")</f>
        <v>55+</v>
      </c>
      <c r="P881" t="str" cm="1">
        <f t="array" ref="P881">_xlfn.IFS( J881 &lt;ASSUMPTIONS!$D$7,"LOW",J881 &lt;= ASSUMPTIONS!$D$8,"MEDIUM",TRUE, "HIGH")</f>
        <v>MEDIUM</v>
      </c>
      <c r="Q881" t="str">
        <f>IF(M881&lt;ASSUMPTIONS!$D$10,"New (0-2)",IF(M881&lt;=ASSUMPTIONS!$D$11,"Early (2-5)",IF(M881&lt;=ASSUMPTIONS!$D$12,"Established (5-10)","Veteran (10+)")))</f>
        <v>Veteran (10+)</v>
      </c>
      <c r="R881" s="4">
        <f t="shared" si="27"/>
        <v>3</v>
      </c>
    </row>
    <row r="882" spans="1:18">
      <c r="A882">
        <f>RAW_DATA!A882</f>
        <v>32</v>
      </c>
      <c r="B882" t="str">
        <f>RAW_DATA!B882</f>
        <v>No</v>
      </c>
      <c r="C882" t="str">
        <f>RAW_DATA!C882</f>
        <v>Research &amp; Development</v>
      </c>
      <c r="D882">
        <f>RAW_DATA!D882</f>
        <v>13</v>
      </c>
      <c r="E882">
        <f>RAW_DATA!E882</f>
        <v>3</v>
      </c>
      <c r="F882" t="str">
        <f>RAW_DATA!F882</f>
        <v>Other</v>
      </c>
      <c r="G882">
        <f>RAW_DATA!G882</f>
        <v>3</v>
      </c>
      <c r="H882">
        <f>RAW_DATA!H882</f>
        <v>2</v>
      </c>
      <c r="I882" t="str">
        <f>RAW_DATA!I882</f>
        <v>Married</v>
      </c>
      <c r="J882">
        <f>RAW_DATA!J882</f>
        <v>2743</v>
      </c>
      <c r="K882">
        <f>RAW_DATA!K882</f>
        <v>1</v>
      </c>
      <c r="L882">
        <f>RAW_DATA!L882</f>
        <v>3</v>
      </c>
      <c r="M882">
        <f>RAW_DATA!M882</f>
        <v>2</v>
      </c>
      <c r="N882">
        <f t="shared" si="26"/>
        <v>0</v>
      </c>
      <c r="O882" t="str" cm="1">
        <f t="array" ref="O882" xml:space="preserve"> _xlfn.IFS(A882 &lt;ASSUMPTIONS!$D$2,"25",A882 &lt;= ASSUMPTIONS!$D$3,"25-34",A882 &lt;= ASSUMPTIONS!$D$4, "35-44",A882 &lt;= ASSUMPTIONS!$D$5,"45-54",TRUE,"55+")</f>
        <v>25-34</v>
      </c>
      <c r="P882" t="str" cm="1">
        <f t="array" ref="P882">_xlfn.IFS( J882 &lt;ASSUMPTIONS!$D$7,"LOW",J882 &lt;= ASSUMPTIONS!$D$8,"MEDIUM",TRUE, "HIGH")</f>
        <v>LOW</v>
      </c>
      <c r="Q882" t="str">
        <f>IF(M882&lt;ASSUMPTIONS!$D$10,"New (0-2)",IF(M882&lt;=ASSUMPTIONS!$D$11,"Early (2-5)",IF(M882&lt;=ASSUMPTIONS!$D$12,"Established (5-10)","Veteran (10+)")))</f>
        <v>Early (2-5)</v>
      </c>
      <c r="R882" s="4">
        <f t="shared" si="27"/>
        <v>2.6666666666666665</v>
      </c>
    </row>
    <row r="883" spans="1:18">
      <c r="A883">
        <f>RAW_DATA!A883</f>
        <v>32</v>
      </c>
      <c r="B883" t="str">
        <f>RAW_DATA!B883</f>
        <v>No</v>
      </c>
      <c r="C883" t="str">
        <f>RAW_DATA!C883</f>
        <v>Research &amp; Development</v>
      </c>
      <c r="D883">
        <f>RAW_DATA!D883</f>
        <v>2</v>
      </c>
      <c r="E883">
        <f>RAW_DATA!E883</f>
        <v>2</v>
      </c>
      <c r="F883" t="str">
        <f>RAW_DATA!F883</f>
        <v>Life Sciences</v>
      </c>
      <c r="G883">
        <f>RAW_DATA!G883</f>
        <v>4</v>
      </c>
      <c r="H883">
        <f>RAW_DATA!H883</f>
        <v>3</v>
      </c>
      <c r="I883" t="str">
        <f>RAW_DATA!I883</f>
        <v>Single</v>
      </c>
      <c r="J883">
        <f>RAW_DATA!J883</f>
        <v>4998</v>
      </c>
      <c r="K883">
        <f>RAW_DATA!K883</f>
        <v>4</v>
      </c>
      <c r="L883">
        <f>RAW_DATA!L883</f>
        <v>3</v>
      </c>
      <c r="M883">
        <f>RAW_DATA!M883</f>
        <v>8</v>
      </c>
      <c r="N883">
        <f t="shared" si="26"/>
        <v>0</v>
      </c>
      <c r="O883" t="str" cm="1">
        <f t="array" ref="O883" xml:space="preserve"> _xlfn.IFS(A883 &lt;ASSUMPTIONS!$D$2,"25",A883 &lt;= ASSUMPTIONS!$D$3,"25-34",A883 &lt;= ASSUMPTIONS!$D$4, "35-44",A883 &lt;= ASSUMPTIONS!$D$5,"45-54",TRUE,"55+")</f>
        <v>25-34</v>
      </c>
      <c r="P883" t="str" cm="1">
        <f t="array" ref="P883">_xlfn.IFS( J883 &lt;ASSUMPTIONS!$D$7,"LOW",J883 &lt;= ASSUMPTIONS!$D$8,"MEDIUM",TRUE, "HIGH")</f>
        <v>MEDIUM</v>
      </c>
      <c r="Q883" t="str">
        <f>IF(M883&lt;ASSUMPTIONS!$D$10,"New (0-2)",IF(M883&lt;=ASSUMPTIONS!$D$11,"Early (2-5)",IF(M883&lt;=ASSUMPTIONS!$D$12,"Established (5-10)","Veteran (10+)")))</f>
        <v>Established (5-10)</v>
      </c>
      <c r="R883" s="4">
        <f t="shared" si="27"/>
        <v>3.3333333333333335</v>
      </c>
    </row>
    <row r="884" spans="1:18">
      <c r="A884">
        <f>RAW_DATA!A884</f>
        <v>36</v>
      </c>
      <c r="B884" t="str">
        <f>RAW_DATA!B884</f>
        <v>No</v>
      </c>
      <c r="C884" t="str">
        <f>RAW_DATA!C884</f>
        <v>Research &amp; Development</v>
      </c>
      <c r="D884">
        <f>RAW_DATA!D884</f>
        <v>1</v>
      </c>
      <c r="E884">
        <f>RAW_DATA!E884</f>
        <v>3</v>
      </c>
      <c r="F884" t="str">
        <f>RAW_DATA!F884</f>
        <v>Technical Degree</v>
      </c>
      <c r="G884">
        <f>RAW_DATA!G884</f>
        <v>3</v>
      </c>
      <c r="H884">
        <f>RAW_DATA!H884</f>
        <v>1</v>
      </c>
      <c r="I884" t="str">
        <f>RAW_DATA!I884</f>
        <v>Divorced</v>
      </c>
      <c r="J884">
        <f>RAW_DATA!J884</f>
        <v>10252</v>
      </c>
      <c r="K884">
        <f>RAW_DATA!K884</f>
        <v>2</v>
      </c>
      <c r="L884">
        <f>RAW_DATA!L884</f>
        <v>3</v>
      </c>
      <c r="M884">
        <f>RAW_DATA!M884</f>
        <v>7</v>
      </c>
      <c r="N884">
        <f t="shared" si="26"/>
        <v>0</v>
      </c>
      <c r="O884" t="str" cm="1">
        <f t="array" ref="O884" xml:space="preserve"> _xlfn.IFS(A884 &lt;ASSUMPTIONS!$D$2,"25",A884 &lt;= ASSUMPTIONS!$D$3,"25-34",A884 &lt;= ASSUMPTIONS!$D$4, "35-44",A884 &lt;= ASSUMPTIONS!$D$5,"45-54",TRUE,"55+")</f>
        <v>35-44</v>
      </c>
      <c r="P884" t="str" cm="1">
        <f t="array" ref="P884">_xlfn.IFS( J884 &lt;ASSUMPTIONS!$D$7,"LOW",J884 &lt;= ASSUMPTIONS!$D$8,"MEDIUM",TRUE, "HIGH")</f>
        <v>HIGH</v>
      </c>
      <c r="Q884" t="str">
        <f>IF(M884&lt;ASSUMPTIONS!$D$10,"New (0-2)",IF(M884&lt;=ASSUMPTIONS!$D$11,"Early (2-5)",IF(M884&lt;=ASSUMPTIONS!$D$12,"Established (5-10)","Veteran (10+)")))</f>
        <v>Established (5-10)</v>
      </c>
      <c r="R884" s="4">
        <f t="shared" si="27"/>
        <v>2.3333333333333335</v>
      </c>
    </row>
    <row r="885" spans="1:18">
      <c r="A885">
        <f>RAW_DATA!A885</f>
        <v>33</v>
      </c>
      <c r="B885" t="str">
        <f>RAW_DATA!B885</f>
        <v>No</v>
      </c>
      <c r="C885" t="str">
        <f>RAW_DATA!C885</f>
        <v>Research &amp; Development</v>
      </c>
      <c r="D885">
        <f>RAW_DATA!D885</f>
        <v>9</v>
      </c>
      <c r="E885">
        <f>RAW_DATA!E885</f>
        <v>3</v>
      </c>
      <c r="F885" t="str">
        <f>RAW_DATA!F885</f>
        <v>Medical</v>
      </c>
      <c r="G885">
        <f>RAW_DATA!G885</f>
        <v>1</v>
      </c>
      <c r="H885">
        <f>RAW_DATA!H885</f>
        <v>4</v>
      </c>
      <c r="I885" t="str">
        <f>RAW_DATA!I885</f>
        <v>Married</v>
      </c>
      <c r="J885">
        <f>RAW_DATA!J885</f>
        <v>2781</v>
      </c>
      <c r="K885">
        <f>RAW_DATA!K885</f>
        <v>0</v>
      </c>
      <c r="L885">
        <f>RAW_DATA!L885</f>
        <v>3</v>
      </c>
      <c r="M885">
        <f>RAW_DATA!M885</f>
        <v>14</v>
      </c>
      <c r="N885">
        <f t="shared" si="26"/>
        <v>0</v>
      </c>
      <c r="O885" t="str" cm="1">
        <f t="array" ref="O885" xml:space="preserve"> _xlfn.IFS(A885 &lt;ASSUMPTIONS!$D$2,"25",A885 &lt;= ASSUMPTIONS!$D$3,"25-34",A885 &lt;= ASSUMPTIONS!$D$4, "35-44",A885 &lt;= ASSUMPTIONS!$D$5,"45-54",TRUE,"55+")</f>
        <v>25-34</v>
      </c>
      <c r="P885" t="str" cm="1">
        <f t="array" ref="P885">_xlfn.IFS( J885 &lt;ASSUMPTIONS!$D$7,"LOW",J885 &lt;= ASSUMPTIONS!$D$8,"MEDIUM",TRUE, "HIGH")</f>
        <v>LOW</v>
      </c>
      <c r="Q885" t="str">
        <f>IF(M885&lt;ASSUMPTIONS!$D$10,"New (0-2)",IF(M885&lt;=ASSUMPTIONS!$D$11,"Early (2-5)",IF(M885&lt;=ASSUMPTIONS!$D$12,"Established (5-10)","Veteran (10+)")))</f>
        <v>Veteran (10+)</v>
      </c>
      <c r="R885" s="4">
        <f t="shared" si="27"/>
        <v>2.6666666666666665</v>
      </c>
    </row>
    <row r="886" spans="1:18">
      <c r="A886">
        <f>RAW_DATA!A886</f>
        <v>40</v>
      </c>
      <c r="B886" t="str">
        <f>RAW_DATA!B886</f>
        <v>No</v>
      </c>
      <c r="C886" t="str">
        <f>RAW_DATA!C886</f>
        <v>Sales</v>
      </c>
      <c r="D886">
        <f>RAW_DATA!D886</f>
        <v>10</v>
      </c>
      <c r="E886">
        <f>RAW_DATA!E886</f>
        <v>3</v>
      </c>
      <c r="F886" t="str">
        <f>RAW_DATA!F886</f>
        <v>Technical Degree</v>
      </c>
      <c r="G886">
        <f>RAW_DATA!G886</f>
        <v>2</v>
      </c>
      <c r="H886">
        <f>RAW_DATA!H886</f>
        <v>2</v>
      </c>
      <c r="I886" t="str">
        <f>RAW_DATA!I886</f>
        <v>Divorced</v>
      </c>
      <c r="J886">
        <f>RAW_DATA!J886</f>
        <v>6852</v>
      </c>
      <c r="K886">
        <f>RAW_DATA!K886</f>
        <v>7</v>
      </c>
      <c r="L886">
        <f>RAW_DATA!L886</f>
        <v>4</v>
      </c>
      <c r="M886">
        <f>RAW_DATA!M886</f>
        <v>5</v>
      </c>
      <c r="N886">
        <f t="shared" si="26"/>
        <v>0</v>
      </c>
      <c r="O886" t="str" cm="1">
        <f t="array" ref="O886" xml:space="preserve"> _xlfn.IFS(A886 &lt;ASSUMPTIONS!$D$2,"25",A886 &lt;= ASSUMPTIONS!$D$3,"25-34",A886 &lt;= ASSUMPTIONS!$D$4, "35-44",A886 &lt;= ASSUMPTIONS!$D$5,"45-54",TRUE,"55+")</f>
        <v>35-44</v>
      </c>
      <c r="P886" t="str" cm="1">
        <f t="array" ref="P886">_xlfn.IFS( J886 &lt;ASSUMPTIONS!$D$7,"LOW",J886 &lt;= ASSUMPTIONS!$D$8,"MEDIUM",TRUE, "HIGH")</f>
        <v>MEDIUM</v>
      </c>
      <c r="Q886" t="str">
        <f>IF(M886&lt;ASSUMPTIONS!$D$10,"New (0-2)",IF(M886&lt;=ASSUMPTIONS!$D$11,"Early (2-5)",IF(M886&lt;=ASSUMPTIONS!$D$12,"Established (5-10)","Veteran (10+)")))</f>
        <v>Early (2-5)</v>
      </c>
      <c r="R886" s="4">
        <f t="shared" si="27"/>
        <v>2.6666666666666665</v>
      </c>
    </row>
    <row r="887" spans="1:18">
      <c r="A887">
        <f>RAW_DATA!A887</f>
        <v>25</v>
      </c>
      <c r="B887" t="str">
        <f>RAW_DATA!B887</f>
        <v>No</v>
      </c>
      <c r="C887" t="str">
        <f>RAW_DATA!C887</f>
        <v>Sales</v>
      </c>
      <c r="D887">
        <f>RAW_DATA!D887</f>
        <v>10</v>
      </c>
      <c r="E887">
        <f>RAW_DATA!E887</f>
        <v>4</v>
      </c>
      <c r="F887" t="str">
        <f>RAW_DATA!F887</f>
        <v>Life Sciences</v>
      </c>
      <c r="G887">
        <f>RAW_DATA!G887</f>
        <v>3</v>
      </c>
      <c r="H887">
        <f>RAW_DATA!H887</f>
        <v>4</v>
      </c>
      <c r="I887" t="str">
        <f>RAW_DATA!I887</f>
        <v>Single</v>
      </c>
      <c r="J887">
        <f>RAW_DATA!J887</f>
        <v>4950</v>
      </c>
      <c r="K887">
        <f>RAW_DATA!K887</f>
        <v>0</v>
      </c>
      <c r="L887">
        <f>RAW_DATA!L887</f>
        <v>3</v>
      </c>
      <c r="M887">
        <f>RAW_DATA!M887</f>
        <v>4</v>
      </c>
      <c r="N887">
        <f t="shared" si="26"/>
        <v>0</v>
      </c>
      <c r="O887" t="str" cm="1">
        <f t="array" ref="O887" xml:space="preserve"> _xlfn.IFS(A887 &lt;ASSUMPTIONS!$D$2,"25",A887 &lt;= ASSUMPTIONS!$D$3,"25-34",A887 &lt;= ASSUMPTIONS!$D$4, "35-44",A887 &lt;= ASSUMPTIONS!$D$5,"45-54",TRUE,"55+")</f>
        <v>25-34</v>
      </c>
      <c r="P887" t="str" cm="1">
        <f t="array" ref="P887">_xlfn.IFS( J887 &lt;ASSUMPTIONS!$D$7,"LOW",J887 &lt;= ASSUMPTIONS!$D$8,"MEDIUM",TRUE, "HIGH")</f>
        <v>MEDIUM</v>
      </c>
      <c r="Q887" t="str">
        <f>IF(M887&lt;ASSUMPTIONS!$D$10,"New (0-2)",IF(M887&lt;=ASSUMPTIONS!$D$11,"Early (2-5)",IF(M887&lt;=ASSUMPTIONS!$D$12,"Established (5-10)","Veteran (10+)")))</f>
        <v>Early (2-5)</v>
      </c>
      <c r="R887" s="4">
        <f t="shared" si="27"/>
        <v>3.3333333333333335</v>
      </c>
    </row>
    <row r="888" spans="1:18">
      <c r="A888">
        <f>RAW_DATA!A888</f>
        <v>30</v>
      </c>
      <c r="B888" t="str">
        <f>RAW_DATA!B888</f>
        <v>No</v>
      </c>
      <c r="C888" t="str">
        <f>RAW_DATA!C888</f>
        <v>Research &amp; Development</v>
      </c>
      <c r="D888">
        <f>RAW_DATA!D888</f>
        <v>1</v>
      </c>
      <c r="E888">
        <f>RAW_DATA!E888</f>
        <v>3</v>
      </c>
      <c r="F888" t="str">
        <f>RAW_DATA!F888</f>
        <v>Medical</v>
      </c>
      <c r="G888">
        <f>RAW_DATA!G888</f>
        <v>4</v>
      </c>
      <c r="H888">
        <f>RAW_DATA!H888</f>
        <v>2</v>
      </c>
      <c r="I888" t="str">
        <f>RAW_DATA!I888</f>
        <v>Married</v>
      </c>
      <c r="J888">
        <f>RAW_DATA!J888</f>
        <v>3579</v>
      </c>
      <c r="K888">
        <f>RAW_DATA!K888</f>
        <v>0</v>
      </c>
      <c r="L888">
        <f>RAW_DATA!L888</f>
        <v>3</v>
      </c>
      <c r="M888">
        <f>RAW_DATA!M888</f>
        <v>11</v>
      </c>
      <c r="N888">
        <f t="shared" si="26"/>
        <v>0</v>
      </c>
      <c r="O888" t="str" cm="1">
        <f t="array" ref="O888" xml:space="preserve"> _xlfn.IFS(A888 &lt;ASSUMPTIONS!$D$2,"25",A888 &lt;= ASSUMPTIONS!$D$3,"25-34",A888 &lt;= ASSUMPTIONS!$D$4, "35-44",A888 &lt;= ASSUMPTIONS!$D$5,"45-54",TRUE,"55+")</f>
        <v>25-34</v>
      </c>
      <c r="P888" t="str" cm="1">
        <f t="array" ref="P888">_xlfn.IFS( J888 &lt;ASSUMPTIONS!$D$7,"LOW",J888 &lt;= ASSUMPTIONS!$D$8,"MEDIUM",TRUE, "HIGH")</f>
        <v>MEDIUM</v>
      </c>
      <c r="Q888" t="str">
        <f>IF(M888&lt;ASSUMPTIONS!$D$10,"New (0-2)",IF(M888&lt;=ASSUMPTIONS!$D$11,"Early (2-5)",IF(M888&lt;=ASSUMPTIONS!$D$12,"Established (5-10)","Veteran (10+)")))</f>
        <v>Veteran (10+)</v>
      </c>
      <c r="R888" s="4">
        <f t="shared" si="27"/>
        <v>3</v>
      </c>
    </row>
    <row r="889" spans="1:18">
      <c r="A889">
        <f>RAW_DATA!A889</f>
        <v>42</v>
      </c>
      <c r="B889" t="str">
        <f>RAW_DATA!B889</f>
        <v>No</v>
      </c>
      <c r="C889" t="str">
        <f>RAW_DATA!C889</f>
        <v>Research &amp; Development</v>
      </c>
      <c r="D889">
        <f>RAW_DATA!D889</f>
        <v>26</v>
      </c>
      <c r="E889">
        <f>RAW_DATA!E889</f>
        <v>5</v>
      </c>
      <c r="F889" t="str">
        <f>RAW_DATA!F889</f>
        <v>Medical</v>
      </c>
      <c r="G889">
        <f>RAW_DATA!G889</f>
        <v>1</v>
      </c>
      <c r="H889">
        <f>RAW_DATA!H889</f>
        <v>1</v>
      </c>
      <c r="I889" t="str">
        <f>RAW_DATA!I889</f>
        <v>Married</v>
      </c>
      <c r="J889">
        <f>RAW_DATA!J889</f>
        <v>13191</v>
      </c>
      <c r="K889">
        <f>RAW_DATA!K889</f>
        <v>3</v>
      </c>
      <c r="L889">
        <f>RAW_DATA!L889</f>
        <v>3</v>
      </c>
      <c r="M889">
        <f>RAW_DATA!M889</f>
        <v>1</v>
      </c>
      <c r="N889">
        <f t="shared" si="26"/>
        <v>0</v>
      </c>
      <c r="O889" t="str" cm="1">
        <f t="array" ref="O889" xml:space="preserve"> _xlfn.IFS(A889 &lt;ASSUMPTIONS!$D$2,"25",A889 &lt;= ASSUMPTIONS!$D$3,"25-34",A889 &lt;= ASSUMPTIONS!$D$4, "35-44",A889 &lt;= ASSUMPTIONS!$D$5,"45-54",TRUE,"55+")</f>
        <v>35-44</v>
      </c>
      <c r="P889" t="str" cm="1">
        <f t="array" ref="P889">_xlfn.IFS( J889 &lt;ASSUMPTIONS!$D$7,"LOW",J889 &lt;= ASSUMPTIONS!$D$8,"MEDIUM",TRUE, "HIGH")</f>
        <v>HIGH</v>
      </c>
      <c r="Q889" t="str">
        <f>IF(M889&lt;ASSUMPTIONS!$D$10,"New (0-2)",IF(M889&lt;=ASSUMPTIONS!$D$11,"Early (2-5)",IF(M889&lt;=ASSUMPTIONS!$D$12,"Established (5-10)","Veteran (10+)")))</f>
        <v>New (0-2)</v>
      </c>
      <c r="R889" s="4">
        <f t="shared" si="27"/>
        <v>1.6666666666666667</v>
      </c>
    </row>
    <row r="890" spans="1:18">
      <c r="A890">
        <f>RAW_DATA!A890</f>
        <v>35</v>
      </c>
      <c r="B890" t="str">
        <f>RAW_DATA!B890</f>
        <v>No</v>
      </c>
      <c r="C890" t="str">
        <f>RAW_DATA!C890</f>
        <v>Sales</v>
      </c>
      <c r="D890">
        <f>RAW_DATA!D890</f>
        <v>8</v>
      </c>
      <c r="E890">
        <f>RAW_DATA!E890</f>
        <v>2</v>
      </c>
      <c r="F890" t="str">
        <f>RAW_DATA!F890</f>
        <v>Marketing</v>
      </c>
      <c r="G890">
        <f>RAW_DATA!G890</f>
        <v>3</v>
      </c>
      <c r="H890">
        <f>RAW_DATA!H890</f>
        <v>4</v>
      </c>
      <c r="I890" t="str">
        <f>RAW_DATA!I890</f>
        <v>Married</v>
      </c>
      <c r="J890">
        <f>RAW_DATA!J890</f>
        <v>10377</v>
      </c>
      <c r="K890">
        <f>RAW_DATA!K890</f>
        <v>4</v>
      </c>
      <c r="L890">
        <f>RAW_DATA!L890</f>
        <v>2</v>
      </c>
      <c r="M890">
        <f>RAW_DATA!M890</f>
        <v>13</v>
      </c>
      <c r="N890">
        <f t="shared" si="26"/>
        <v>0</v>
      </c>
      <c r="O890" t="str" cm="1">
        <f t="array" ref="O890" xml:space="preserve"> _xlfn.IFS(A890 &lt;ASSUMPTIONS!$D$2,"25",A890 &lt;= ASSUMPTIONS!$D$3,"25-34",A890 &lt;= ASSUMPTIONS!$D$4, "35-44",A890 &lt;= ASSUMPTIONS!$D$5,"45-54",TRUE,"55+")</f>
        <v>35-44</v>
      </c>
      <c r="P890" t="str" cm="1">
        <f t="array" ref="P890">_xlfn.IFS( J890 &lt;ASSUMPTIONS!$D$7,"LOW",J890 &lt;= ASSUMPTIONS!$D$8,"MEDIUM",TRUE, "HIGH")</f>
        <v>HIGH</v>
      </c>
      <c r="Q890" t="str">
        <f>IF(M890&lt;ASSUMPTIONS!$D$10,"New (0-2)",IF(M890&lt;=ASSUMPTIONS!$D$11,"Early (2-5)",IF(M890&lt;=ASSUMPTIONS!$D$12,"Established (5-10)","Veteran (10+)")))</f>
        <v>Veteran (10+)</v>
      </c>
      <c r="R890" s="4">
        <f t="shared" si="27"/>
        <v>3</v>
      </c>
    </row>
    <row r="891" spans="1:18">
      <c r="A891">
        <f>RAW_DATA!A891</f>
        <v>27</v>
      </c>
      <c r="B891" t="str">
        <f>RAW_DATA!B891</f>
        <v>No</v>
      </c>
      <c r="C891" t="str">
        <f>RAW_DATA!C891</f>
        <v>Research &amp; Development</v>
      </c>
      <c r="D891">
        <f>RAW_DATA!D891</f>
        <v>14</v>
      </c>
      <c r="E891">
        <f>RAW_DATA!E891</f>
        <v>3</v>
      </c>
      <c r="F891" t="str">
        <f>RAW_DATA!F891</f>
        <v>Life Sciences</v>
      </c>
      <c r="G891">
        <f>RAW_DATA!G891</f>
        <v>1</v>
      </c>
      <c r="H891">
        <f>RAW_DATA!H891</f>
        <v>1</v>
      </c>
      <c r="I891" t="str">
        <f>RAW_DATA!I891</f>
        <v>Married</v>
      </c>
      <c r="J891">
        <f>RAW_DATA!J891</f>
        <v>2235</v>
      </c>
      <c r="K891">
        <f>RAW_DATA!K891</f>
        <v>1</v>
      </c>
      <c r="L891">
        <f>RAW_DATA!L891</f>
        <v>2</v>
      </c>
      <c r="M891">
        <f>RAW_DATA!M891</f>
        <v>9</v>
      </c>
      <c r="N891">
        <f t="shared" si="26"/>
        <v>0</v>
      </c>
      <c r="O891" t="str" cm="1">
        <f t="array" ref="O891" xml:space="preserve"> _xlfn.IFS(A891 &lt;ASSUMPTIONS!$D$2,"25",A891 &lt;= ASSUMPTIONS!$D$3,"25-34",A891 &lt;= ASSUMPTIONS!$D$4, "35-44",A891 &lt;= ASSUMPTIONS!$D$5,"45-54",TRUE,"55+")</f>
        <v>25-34</v>
      </c>
      <c r="P891" t="str" cm="1">
        <f t="array" ref="P891">_xlfn.IFS( J891 &lt;ASSUMPTIONS!$D$7,"LOW",J891 &lt;= ASSUMPTIONS!$D$8,"MEDIUM",TRUE, "HIGH")</f>
        <v>LOW</v>
      </c>
      <c r="Q891" t="str">
        <f>IF(M891&lt;ASSUMPTIONS!$D$10,"New (0-2)",IF(M891&lt;=ASSUMPTIONS!$D$11,"Early (2-5)",IF(M891&lt;=ASSUMPTIONS!$D$12,"Established (5-10)","Veteran (10+)")))</f>
        <v>Established (5-10)</v>
      </c>
      <c r="R891" s="4">
        <f t="shared" si="27"/>
        <v>1.3333333333333333</v>
      </c>
    </row>
    <row r="892" spans="1:18">
      <c r="A892">
        <f>RAW_DATA!A892</f>
        <v>54</v>
      </c>
      <c r="B892" t="str">
        <f>RAW_DATA!B892</f>
        <v>No</v>
      </c>
      <c r="C892" t="str">
        <f>RAW_DATA!C892</f>
        <v>Research &amp; Development</v>
      </c>
      <c r="D892">
        <f>RAW_DATA!D892</f>
        <v>1</v>
      </c>
      <c r="E892">
        <f>RAW_DATA!E892</f>
        <v>4</v>
      </c>
      <c r="F892" t="str">
        <f>RAW_DATA!F892</f>
        <v>Life Sciences</v>
      </c>
      <c r="G892">
        <f>RAW_DATA!G892</f>
        <v>4</v>
      </c>
      <c r="H892">
        <f>RAW_DATA!H892</f>
        <v>3</v>
      </c>
      <c r="I892" t="str">
        <f>RAW_DATA!I892</f>
        <v>Divorced</v>
      </c>
      <c r="J892">
        <f>RAW_DATA!J892</f>
        <v>10502</v>
      </c>
      <c r="K892">
        <f>RAW_DATA!K892</f>
        <v>7</v>
      </c>
      <c r="L892">
        <f>RAW_DATA!L892</f>
        <v>1</v>
      </c>
      <c r="M892">
        <f>RAW_DATA!M892</f>
        <v>5</v>
      </c>
      <c r="N892">
        <f t="shared" si="26"/>
        <v>0</v>
      </c>
      <c r="O892" t="str" cm="1">
        <f t="array" ref="O892" xml:space="preserve"> _xlfn.IFS(A892 &lt;ASSUMPTIONS!$D$2,"25",A892 &lt;= ASSUMPTIONS!$D$3,"25-34",A892 &lt;= ASSUMPTIONS!$D$4, "35-44",A892 &lt;= ASSUMPTIONS!$D$5,"45-54",TRUE,"55+")</f>
        <v>45-54</v>
      </c>
      <c r="P892" t="str" cm="1">
        <f t="array" ref="P892">_xlfn.IFS( J892 &lt;ASSUMPTIONS!$D$7,"LOW",J892 &lt;= ASSUMPTIONS!$D$8,"MEDIUM",TRUE, "HIGH")</f>
        <v>HIGH</v>
      </c>
      <c r="Q892" t="str">
        <f>IF(M892&lt;ASSUMPTIONS!$D$10,"New (0-2)",IF(M892&lt;=ASSUMPTIONS!$D$11,"Early (2-5)",IF(M892&lt;=ASSUMPTIONS!$D$12,"Established (5-10)","Veteran (10+)")))</f>
        <v>Early (2-5)</v>
      </c>
      <c r="R892" s="4">
        <f t="shared" si="27"/>
        <v>2.6666666666666665</v>
      </c>
    </row>
    <row r="893" spans="1:18">
      <c r="A893">
        <f>RAW_DATA!A893</f>
        <v>44</v>
      </c>
      <c r="B893" t="str">
        <f>RAW_DATA!B893</f>
        <v>No</v>
      </c>
      <c r="C893" t="str">
        <f>RAW_DATA!C893</f>
        <v>Research &amp; Development</v>
      </c>
      <c r="D893">
        <f>RAW_DATA!D893</f>
        <v>2</v>
      </c>
      <c r="E893">
        <f>RAW_DATA!E893</f>
        <v>1</v>
      </c>
      <c r="F893" t="str">
        <f>RAW_DATA!F893</f>
        <v>Life Sciences</v>
      </c>
      <c r="G893">
        <f>RAW_DATA!G893</f>
        <v>1</v>
      </c>
      <c r="H893">
        <f>RAW_DATA!H893</f>
        <v>4</v>
      </c>
      <c r="I893" t="str">
        <f>RAW_DATA!I893</f>
        <v>Married</v>
      </c>
      <c r="J893">
        <f>RAW_DATA!J893</f>
        <v>2011</v>
      </c>
      <c r="K893">
        <f>RAW_DATA!K893</f>
        <v>1</v>
      </c>
      <c r="L893">
        <f>RAW_DATA!L893</f>
        <v>3</v>
      </c>
      <c r="M893">
        <f>RAW_DATA!M893</f>
        <v>10</v>
      </c>
      <c r="N893">
        <f t="shared" si="26"/>
        <v>0</v>
      </c>
      <c r="O893" t="str" cm="1">
        <f t="array" ref="O893" xml:space="preserve"> _xlfn.IFS(A893 &lt;ASSUMPTIONS!$D$2,"25",A893 &lt;= ASSUMPTIONS!$D$3,"25-34",A893 &lt;= ASSUMPTIONS!$D$4, "35-44",A893 &lt;= ASSUMPTIONS!$D$5,"45-54",TRUE,"55+")</f>
        <v>35-44</v>
      </c>
      <c r="P893" t="str" cm="1">
        <f t="array" ref="P893">_xlfn.IFS( J893 &lt;ASSUMPTIONS!$D$7,"LOW",J893 &lt;= ASSUMPTIONS!$D$8,"MEDIUM",TRUE, "HIGH")</f>
        <v>LOW</v>
      </c>
      <c r="Q893" t="str">
        <f>IF(M893&lt;ASSUMPTIONS!$D$10,"New (0-2)",IF(M893&lt;=ASSUMPTIONS!$D$11,"Early (2-5)",IF(M893&lt;=ASSUMPTIONS!$D$12,"Established (5-10)","Veteran (10+)")))</f>
        <v>Established (5-10)</v>
      </c>
      <c r="R893" s="4">
        <f t="shared" si="27"/>
        <v>2.6666666666666665</v>
      </c>
    </row>
    <row r="894" spans="1:18">
      <c r="A894">
        <f>RAW_DATA!A894</f>
        <v>19</v>
      </c>
      <c r="B894" t="str">
        <f>RAW_DATA!B894</f>
        <v>Yes</v>
      </c>
      <c r="C894" t="str">
        <f>RAW_DATA!C894</f>
        <v>Research &amp; Development</v>
      </c>
      <c r="D894">
        <f>RAW_DATA!D894</f>
        <v>10</v>
      </c>
      <c r="E894">
        <f>RAW_DATA!E894</f>
        <v>3</v>
      </c>
      <c r="F894" t="str">
        <f>RAW_DATA!F894</f>
        <v>Medical</v>
      </c>
      <c r="G894">
        <f>RAW_DATA!G894</f>
        <v>1</v>
      </c>
      <c r="H894">
        <f>RAW_DATA!H894</f>
        <v>2</v>
      </c>
      <c r="I894" t="str">
        <f>RAW_DATA!I894</f>
        <v>Single</v>
      </c>
      <c r="J894">
        <f>RAW_DATA!J894</f>
        <v>1859</v>
      </c>
      <c r="K894">
        <f>RAW_DATA!K894</f>
        <v>1</v>
      </c>
      <c r="L894">
        <f>RAW_DATA!L894</f>
        <v>4</v>
      </c>
      <c r="M894">
        <f>RAW_DATA!M894</f>
        <v>1</v>
      </c>
      <c r="N894">
        <f t="shared" si="26"/>
        <v>1</v>
      </c>
      <c r="O894" t="str" cm="1">
        <f t="array" ref="O894" xml:space="preserve"> _xlfn.IFS(A894 &lt;ASSUMPTIONS!$D$2,"25",A894 &lt;= ASSUMPTIONS!$D$3,"25-34",A894 &lt;= ASSUMPTIONS!$D$4, "35-44",A894 &lt;= ASSUMPTIONS!$D$5,"45-54",TRUE,"55+")</f>
        <v>25</v>
      </c>
      <c r="P894" t="str" cm="1">
        <f t="array" ref="P894">_xlfn.IFS( J894 &lt;ASSUMPTIONS!$D$7,"LOW",J894 &lt;= ASSUMPTIONS!$D$8,"MEDIUM",TRUE, "HIGH")</f>
        <v>LOW</v>
      </c>
      <c r="Q894" t="str">
        <f>IF(M894&lt;ASSUMPTIONS!$D$10,"New (0-2)",IF(M894&lt;=ASSUMPTIONS!$D$11,"Early (2-5)",IF(M894&lt;=ASSUMPTIONS!$D$12,"Established (5-10)","Veteran (10+)")))</f>
        <v>New (0-2)</v>
      </c>
      <c r="R894" s="4">
        <f t="shared" si="27"/>
        <v>2.3333333333333335</v>
      </c>
    </row>
    <row r="895" spans="1:18">
      <c r="A895">
        <f>RAW_DATA!A895</f>
        <v>29</v>
      </c>
      <c r="B895" t="str">
        <f>RAW_DATA!B895</f>
        <v>No</v>
      </c>
      <c r="C895" t="str">
        <f>RAW_DATA!C895</f>
        <v>Research &amp; Development</v>
      </c>
      <c r="D895">
        <f>RAW_DATA!D895</f>
        <v>1</v>
      </c>
      <c r="E895">
        <f>RAW_DATA!E895</f>
        <v>3</v>
      </c>
      <c r="F895" t="str">
        <f>RAW_DATA!F895</f>
        <v>Life Sciences</v>
      </c>
      <c r="G895">
        <f>RAW_DATA!G895</f>
        <v>1</v>
      </c>
      <c r="H895">
        <f>RAW_DATA!H895</f>
        <v>4</v>
      </c>
      <c r="I895" t="str">
        <f>RAW_DATA!I895</f>
        <v>Divorced</v>
      </c>
      <c r="J895">
        <f>RAW_DATA!J895</f>
        <v>3760</v>
      </c>
      <c r="K895">
        <f>RAW_DATA!K895</f>
        <v>1</v>
      </c>
      <c r="L895">
        <f>RAW_DATA!L895</f>
        <v>3</v>
      </c>
      <c r="M895">
        <f>RAW_DATA!M895</f>
        <v>3</v>
      </c>
      <c r="N895">
        <f t="shared" si="26"/>
        <v>0</v>
      </c>
      <c r="O895" t="str" cm="1">
        <f t="array" ref="O895" xml:space="preserve"> _xlfn.IFS(A895 &lt;ASSUMPTIONS!$D$2,"25",A895 &lt;= ASSUMPTIONS!$D$3,"25-34",A895 &lt;= ASSUMPTIONS!$D$4, "35-44",A895 &lt;= ASSUMPTIONS!$D$5,"45-54",TRUE,"55+")</f>
        <v>25-34</v>
      </c>
      <c r="P895" t="str" cm="1">
        <f t="array" ref="P895">_xlfn.IFS( J895 &lt;ASSUMPTIONS!$D$7,"LOW",J895 &lt;= ASSUMPTIONS!$D$8,"MEDIUM",TRUE, "HIGH")</f>
        <v>MEDIUM</v>
      </c>
      <c r="Q895" t="str">
        <f>IF(M895&lt;ASSUMPTIONS!$D$10,"New (0-2)",IF(M895&lt;=ASSUMPTIONS!$D$11,"Early (2-5)",IF(M895&lt;=ASSUMPTIONS!$D$12,"Established (5-10)","Veteran (10+)")))</f>
        <v>Early (2-5)</v>
      </c>
      <c r="R895" s="4">
        <f t="shared" si="27"/>
        <v>2.6666666666666665</v>
      </c>
    </row>
    <row r="896" spans="1:18">
      <c r="A896">
        <f>RAW_DATA!A896</f>
        <v>54</v>
      </c>
      <c r="B896" t="str">
        <f>RAW_DATA!B896</f>
        <v>No</v>
      </c>
      <c r="C896" t="str">
        <f>RAW_DATA!C896</f>
        <v>Research &amp; Development</v>
      </c>
      <c r="D896">
        <f>RAW_DATA!D896</f>
        <v>3</v>
      </c>
      <c r="E896">
        <f>RAW_DATA!E896</f>
        <v>3</v>
      </c>
      <c r="F896" t="str">
        <f>RAW_DATA!F896</f>
        <v>Life Sciences</v>
      </c>
      <c r="G896">
        <f>RAW_DATA!G896</f>
        <v>4</v>
      </c>
      <c r="H896">
        <f>RAW_DATA!H896</f>
        <v>4</v>
      </c>
      <c r="I896" t="str">
        <f>RAW_DATA!I896</f>
        <v>Married</v>
      </c>
      <c r="J896">
        <f>RAW_DATA!J896</f>
        <v>17779</v>
      </c>
      <c r="K896">
        <f>RAW_DATA!K896</f>
        <v>3</v>
      </c>
      <c r="L896">
        <f>RAW_DATA!L896</f>
        <v>3</v>
      </c>
      <c r="M896">
        <f>RAW_DATA!M896</f>
        <v>10</v>
      </c>
      <c r="N896">
        <f t="shared" si="26"/>
        <v>0</v>
      </c>
      <c r="O896" t="str" cm="1">
        <f t="array" ref="O896" xml:space="preserve"> _xlfn.IFS(A896 &lt;ASSUMPTIONS!$D$2,"25",A896 &lt;= ASSUMPTIONS!$D$3,"25-34",A896 &lt;= ASSUMPTIONS!$D$4, "35-44",A896 &lt;= ASSUMPTIONS!$D$5,"45-54",TRUE,"55+")</f>
        <v>45-54</v>
      </c>
      <c r="P896" t="str" cm="1">
        <f t="array" ref="P896">_xlfn.IFS( J896 &lt;ASSUMPTIONS!$D$7,"LOW",J896 &lt;= ASSUMPTIONS!$D$8,"MEDIUM",TRUE, "HIGH")</f>
        <v>HIGH</v>
      </c>
      <c r="Q896" t="str">
        <f>IF(M896&lt;ASSUMPTIONS!$D$10,"New (0-2)",IF(M896&lt;=ASSUMPTIONS!$D$11,"Early (2-5)",IF(M896&lt;=ASSUMPTIONS!$D$12,"Established (5-10)","Veteran (10+)")))</f>
        <v>Established (5-10)</v>
      </c>
      <c r="R896" s="4">
        <f t="shared" si="27"/>
        <v>3.6666666666666665</v>
      </c>
    </row>
    <row r="897" spans="1:18">
      <c r="A897">
        <f>RAW_DATA!A897</f>
        <v>31</v>
      </c>
      <c r="B897" t="str">
        <f>RAW_DATA!B897</f>
        <v>No</v>
      </c>
      <c r="C897" t="str">
        <f>RAW_DATA!C897</f>
        <v>Research &amp; Development</v>
      </c>
      <c r="D897">
        <f>RAW_DATA!D897</f>
        <v>11</v>
      </c>
      <c r="E897">
        <f>RAW_DATA!E897</f>
        <v>2</v>
      </c>
      <c r="F897" t="str">
        <f>RAW_DATA!F897</f>
        <v>Medical</v>
      </c>
      <c r="G897">
        <f>RAW_DATA!G897</f>
        <v>3</v>
      </c>
      <c r="H897">
        <f>RAW_DATA!H897</f>
        <v>1</v>
      </c>
      <c r="I897" t="str">
        <f>RAW_DATA!I897</f>
        <v>Married</v>
      </c>
      <c r="J897">
        <f>RAW_DATA!J897</f>
        <v>6833</v>
      </c>
      <c r="K897">
        <f>RAW_DATA!K897</f>
        <v>1</v>
      </c>
      <c r="L897">
        <f>RAW_DATA!L897</f>
        <v>2</v>
      </c>
      <c r="M897">
        <f>RAW_DATA!M897</f>
        <v>6</v>
      </c>
      <c r="N897">
        <f t="shared" si="26"/>
        <v>0</v>
      </c>
      <c r="O897" t="str" cm="1">
        <f t="array" ref="O897" xml:space="preserve"> _xlfn.IFS(A897 &lt;ASSUMPTIONS!$D$2,"25",A897 &lt;= ASSUMPTIONS!$D$3,"25-34",A897 &lt;= ASSUMPTIONS!$D$4, "35-44",A897 &lt;= ASSUMPTIONS!$D$5,"45-54",TRUE,"55+")</f>
        <v>25-34</v>
      </c>
      <c r="P897" t="str" cm="1">
        <f t="array" ref="P897">_xlfn.IFS( J897 &lt;ASSUMPTIONS!$D$7,"LOW",J897 &lt;= ASSUMPTIONS!$D$8,"MEDIUM",TRUE, "HIGH")</f>
        <v>MEDIUM</v>
      </c>
      <c r="Q897" t="str">
        <f>IF(M897&lt;ASSUMPTIONS!$D$10,"New (0-2)",IF(M897&lt;=ASSUMPTIONS!$D$11,"Early (2-5)",IF(M897&lt;=ASSUMPTIONS!$D$12,"Established (5-10)","Veteran (10+)")))</f>
        <v>Established (5-10)</v>
      </c>
      <c r="R897" s="4">
        <f t="shared" si="27"/>
        <v>2</v>
      </c>
    </row>
    <row r="898" spans="1:18">
      <c r="A898">
        <f>RAW_DATA!A898</f>
        <v>31</v>
      </c>
      <c r="B898" t="str">
        <f>RAW_DATA!B898</f>
        <v>No</v>
      </c>
      <c r="C898" t="str">
        <f>RAW_DATA!C898</f>
        <v>Research &amp; Development</v>
      </c>
      <c r="D898">
        <f>RAW_DATA!D898</f>
        <v>24</v>
      </c>
      <c r="E898">
        <f>RAW_DATA!E898</f>
        <v>3</v>
      </c>
      <c r="F898" t="str">
        <f>RAW_DATA!F898</f>
        <v>Medical</v>
      </c>
      <c r="G898">
        <f>RAW_DATA!G898</f>
        <v>3</v>
      </c>
      <c r="H898">
        <f>RAW_DATA!H898</f>
        <v>1</v>
      </c>
      <c r="I898" t="str">
        <f>RAW_DATA!I898</f>
        <v>Single</v>
      </c>
      <c r="J898">
        <f>RAW_DATA!J898</f>
        <v>6812</v>
      </c>
      <c r="K898">
        <f>RAW_DATA!K898</f>
        <v>1</v>
      </c>
      <c r="L898">
        <f>RAW_DATA!L898</f>
        <v>3</v>
      </c>
      <c r="M898">
        <f>RAW_DATA!M898</f>
        <v>10</v>
      </c>
      <c r="N898">
        <f t="shared" si="26"/>
        <v>0</v>
      </c>
      <c r="O898" t="str" cm="1">
        <f t="array" ref="O898" xml:space="preserve"> _xlfn.IFS(A898 &lt;ASSUMPTIONS!$D$2,"25",A898 &lt;= ASSUMPTIONS!$D$3,"25-34",A898 &lt;= ASSUMPTIONS!$D$4, "35-44",A898 &lt;= ASSUMPTIONS!$D$5,"45-54",TRUE,"55+")</f>
        <v>25-34</v>
      </c>
      <c r="P898" t="str" cm="1">
        <f t="array" ref="P898">_xlfn.IFS( J898 &lt;ASSUMPTIONS!$D$7,"LOW",J898 &lt;= ASSUMPTIONS!$D$8,"MEDIUM",TRUE, "HIGH")</f>
        <v>MEDIUM</v>
      </c>
      <c r="Q898" t="str">
        <f>IF(M898&lt;ASSUMPTIONS!$D$10,"New (0-2)",IF(M898&lt;=ASSUMPTIONS!$D$11,"Early (2-5)",IF(M898&lt;=ASSUMPTIONS!$D$12,"Established (5-10)","Veteran (10+)")))</f>
        <v>Established (5-10)</v>
      </c>
      <c r="R898" s="4">
        <f t="shared" si="27"/>
        <v>2.3333333333333335</v>
      </c>
    </row>
    <row r="899" spans="1:18">
      <c r="A899">
        <f>RAW_DATA!A899</f>
        <v>59</v>
      </c>
      <c r="B899" t="str">
        <f>RAW_DATA!B899</f>
        <v>No</v>
      </c>
      <c r="C899" t="str">
        <f>RAW_DATA!C899</f>
        <v>Sales</v>
      </c>
      <c r="D899">
        <f>RAW_DATA!D899</f>
        <v>3</v>
      </c>
      <c r="E899">
        <f>RAW_DATA!E899</f>
        <v>3</v>
      </c>
      <c r="F899" t="str">
        <f>RAW_DATA!F899</f>
        <v>Life Sciences</v>
      </c>
      <c r="G899">
        <f>RAW_DATA!G899</f>
        <v>3</v>
      </c>
      <c r="H899">
        <f>RAW_DATA!H899</f>
        <v>4</v>
      </c>
      <c r="I899" t="str">
        <f>RAW_DATA!I899</f>
        <v>Single</v>
      </c>
      <c r="J899">
        <f>RAW_DATA!J899</f>
        <v>5171</v>
      </c>
      <c r="K899">
        <f>RAW_DATA!K899</f>
        <v>5</v>
      </c>
      <c r="L899">
        <f>RAW_DATA!L899</f>
        <v>3</v>
      </c>
      <c r="M899">
        <f>RAW_DATA!M899</f>
        <v>6</v>
      </c>
      <c r="N899">
        <f t="shared" ref="N899:N962" si="28" xml:space="preserve"> IF(B899 ="Yes",1,0)</f>
        <v>0</v>
      </c>
      <c r="O899" t="str" cm="1">
        <f t="array" ref="O899" xml:space="preserve"> _xlfn.IFS(A899 &lt;ASSUMPTIONS!$D$2,"25",A899 &lt;= ASSUMPTIONS!$D$3,"25-34",A899 &lt;= ASSUMPTIONS!$D$4, "35-44",A899 &lt;= ASSUMPTIONS!$D$5,"45-54",TRUE,"55+")</f>
        <v>55+</v>
      </c>
      <c r="P899" t="str" cm="1">
        <f t="array" ref="P899">_xlfn.IFS( J899 &lt;ASSUMPTIONS!$D$7,"LOW",J899 &lt;= ASSUMPTIONS!$D$8,"MEDIUM",TRUE, "HIGH")</f>
        <v>MEDIUM</v>
      </c>
      <c r="Q899" t="str">
        <f>IF(M899&lt;ASSUMPTIONS!$D$10,"New (0-2)",IF(M899&lt;=ASSUMPTIONS!$D$11,"Early (2-5)",IF(M899&lt;=ASSUMPTIONS!$D$12,"Established (5-10)","Veteran (10+)")))</f>
        <v>Established (5-10)</v>
      </c>
      <c r="R899" s="4">
        <f t="shared" ref="R899:R962" si="29">AVERAGE(G899,H899,L899)</f>
        <v>3.3333333333333335</v>
      </c>
    </row>
    <row r="900" spans="1:18">
      <c r="A900">
        <f>RAW_DATA!A900</f>
        <v>43</v>
      </c>
      <c r="B900" t="str">
        <f>RAW_DATA!B900</f>
        <v>No</v>
      </c>
      <c r="C900" t="str">
        <f>RAW_DATA!C900</f>
        <v>Research &amp; Development</v>
      </c>
      <c r="D900">
        <f>RAW_DATA!D900</f>
        <v>3</v>
      </c>
      <c r="E900">
        <f>RAW_DATA!E900</f>
        <v>3</v>
      </c>
      <c r="F900" t="str">
        <f>RAW_DATA!F900</f>
        <v>Life Sciences</v>
      </c>
      <c r="G900">
        <f>RAW_DATA!G900</f>
        <v>3</v>
      </c>
      <c r="H900">
        <f>RAW_DATA!H900</f>
        <v>4</v>
      </c>
      <c r="I900" t="str">
        <f>RAW_DATA!I900</f>
        <v>Married</v>
      </c>
      <c r="J900">
        <f>RAW_DATA!J900</f>
        <v>19740</v>
      </c>
      <c r="K900">
        <f>RAW_DATA!K900</f>
        <v>3</v>
      </c>
      <c r="L900">
        <f>RAW_DATA!L900</f>
        <v>3</v>
      </c>
      <c r="M900">
        <f>RAW_DATA!M900</f>
        <v>8</v>
      </c>
      <c r="N900">
        <f t="shared" si="28"/>
        <v>0</v>
      </c>
      <c r="O900" t="str" cm="1">
        <f t="array" ref="O900" xml:space="preserve"> _xlfn.IFS(A900 &lt;ASSUMPTIONS!$D$2,"25",A900 &lt;= ASSUMPTIONS!$D$3,"25-34",A900 &lt;= ASSUMPTIONS!$D$4, "35-44",A900 &lt;= ASSUMPTIONS!$D$5,"45-54",TRUE,"55+")</f>
        <v>35-44</v>
      </c>
      <c r="P900" t="str" cm="1">
        <f t="array" ref="P900">_xlfn.IFS( J900 &lt;ASSUMPTIONS!$D$7,"LOW",J900 &lt;= ASSUMPTIONS!$D$8,"MEDIUM",TRUE, "HIGH")</f>
        <v>HIGH</v>
      </c>
      <c r="Q900" t="str">
        <f>IF(M900&lt;ASSUMPTIONS!$D$10,"New (0-2)",IF(M900&lt;=ASSUMPTIONS!$D$11,"Early (2-5)",IF(M900&lt;=ASSUMPTIONS!$D$12,"Established (5-10)","Veteran (10+)")))</f>
        <v>Established (5-10)</v>
      </c>
      <c r="R900" s="4">
        <f t="shared" si="29"/>
        <v>3.3333333333333335</v>
      </c>
    </row>
    <row r="901" spans="1:18">
      <c r="A901">
        <f>RAW_DATA!A901</f>
        <v>49</v>
      </c>
      <c r="B901" t="str">
        <f>RAW_DATA!B901</f>
        <v>No</v>
      </c>
      <c r="C901" t="str">
        <f>RAW_DATA!C901</f>
        <v>Research &amp; Development</v>
      </c>
      <c r="D901">
        <f>RAW_DATA!D901</f>
        <v>4</v>
      </c>
      <c r="E901">
        <f>RAW_DATA!E901</f>
        <v>2</v>
      </c>
      <c r="F901" t="str">
        <f>RAW_DATA!F901</f>
        <v>Medical</v>
      </c>
      <c r="G901">
        <f>RAW_DATA!G901</f>
        <v>1</v>
      </c>
      <c r="H901">
        <f>RAW_DATA!H901</f>
        <v>3</v>
      </c>
      <c r="I901" t="str">
        <f>RAW_DATA!I901</f>
        <v>Married</v>
      </c>
      <c r="J901">
        <f>RAW_DATA!J901</f>
        <v>18711</v>
      </c>
      <c r="K901">
        <f>RAW_DATA!K901</f>
        <v>2</v>
      </c>
      <c r="L901">
        <f>RAW_DATA!L901</f>
        <v>4</v>
      </c>
      <c r="M901">
        <f>RAW_DATA!M901</f>
        <v>1</v>
      </c>
      <c r="N901">
        <f t="shared" si="28"/>
        <v>0</v>
      </c>
      <c r="O901" t="str" cm="1">
        <f t="array" ref="O901" xml:space="preserve"> _xlfn.IFS(A901 &lt;ASSUMPTIONS!$D$2,"25",A901 &lt;= ASSUMPTIONS!$D$3,"25-34",A901 &lt;= ASSUMPTIONS!$D$4, "35-44",A901 &lt;= ASSUMPTIONS!$D$5,"45-54",TRUE,"55+")</f>
        <v>45-54</v>
      </c>
      <c r="P901" t="str" cm="1">
        <f t="array" ref="P901">_xlfn.IFS( J901 &lt;ASSUMPTIONS!$D$7,"LOW",J901 &lt;= ASSUMPTIONS!$D$8,"MEDIUM",TRUE, "HIGH")</f>
        <v>HIGH</v>
      </c>
      <c r="Q901" t="str">
        <f>IF(M901&lt;ASSUMPTIONS!$D$10,"New (0-2)",IF(M901&lt;=ASSUMPTIONS!$D$11,"Early (2-5)",IF(M901&lt;=ASSUMPTIONS!$D$12,"Established (5-10)","Veteran (10+)")))</f>
        <v>New (0-2)</v>
      </c>
      <c r="R901" s="4">
        <f t="shared" si="29"/>
        <v>2.6666666666666665</v>
      </c>
    </row>
    <row r="902" spans="1:18">
      <c r="A902">
        <f>RAW_DATA!A902</f>
        <v>36</v>
      </c>
      <c r="B902" t="str">
        <f>RAW_DATA!B902</f>
        <v>No</v>
      </c>
      <c r="C902" t="str">
        <f>RAW_DATA!C902</f>
        <v>Research &amp; Development</v>
      </c>
      <c r="D902">
        <f>RAW_DATA!D902</f>
        <v>3</v>
      </c>
      <c r="E902">
        <f>RAW_DATA!E902</f>
        <v>3</v>
      </c>
      <c r="F902" t="str">
        <f>RAW_DATA!F902</f>
        <v>Technical Degree</v>
      </c>
      <c r="G902">
        <f>RAW_DATA!G902</f>
        <v>3</v>
      </c>
      <c r="H902">
        <f>RAW_DATA!H902</f>
        <v>2</v>
      </c>
      <c r="I902" t="str">
        <f>RAW_DATA!I902</f>
        <v>Married</v>
      </c>
      <c r="J902">
        <f>RAW_DATA!J902</f>
        <v>3692</v>
      </c>
      <c r="K902">
        <f>RAW_DATA!K902</f>
        <v>1</v>
      </c>
      <c r="L902">
        <f>RAW_DATA!L902</f>
        <v>2</v>
      </c>
      <c r="M902">
        <f>RAW_DATA!M902</f>
        <v>11</v>
      </c>
      <c r="N902">
        <f t="shared" si="28"/>
        <v>0</v>
      </c>
      <c r="O902" t="str" cm="1">
        <f t="array" ref="O902" xml:space="preserve"> _xlfn.IFS(A902 &lt;ASSUMPTIONS!$D$2,"25",A902 &lt;= ASSUMPTIONS!$D$3,"25-34",A902 &lt;= ASSUMPTIONS!$D$4, "35-44",A902 &lt;= ASSUMPTIONS!$D$5,"45-54",TRUE,"55+")</f>
        <v>35-44</v>
      </c>
      <c r="P902" t="str" cm="1">
        <f t="array" ref="P902">_xlfn.IFS( J902 &lt;ASSUMPTIONS!$D$7,"LOW",J902 &lt;= ASSUMPTIONS!$D$8,"MEDIUM",TRUE, "HIGH")</f>
        <v>MEDIUM</v>
      </c>
      <c r="Q902" t="str">
        <f>IF(M902&lt;ASSUMPTIONS!$D$10,"New (0-2)",IF(M902&lt;=ASSUMPTIONS!$D$11,"Early (2-5)",IF(M902&lt;=ASSUMPTIONS!$D$12,"Established (5-10)","Veteran (10+)")))</f>
        <v>Veteran (10+)</v>
      </c>
      <c r="R902" s="4">
        <f t="shared" si="29"/>
        <v>2.3333333333333335</v>
      </c>
    </row>
    <row r="903" spans="1:18">
      <c r="A903">
        <f>RAW_DATA!A903</f>
        <v>48</v>
      </c>
      <c r="B903" t="str">
        <f>RAW_DATA!B903</f>
        <v>No</v>
      </c>
      <c r="C903" t="str">
        <f>RAW_DATA!C903</f>
        <v>Research &amp; Development</v>
      </c>
      <c r="D903">
        <f>RAW_DATA!D903</f>
        <v>2</v>
      </c>
      <c r="E903">
        <f>RAW_DATA!E903</f>
        <v>2</v>
      </c>
      <c r="F903" t="str">
        <f>RAW_DATA!F903</f>
        <v>Technical Degree</v>
      </c>
      <c r="G903">
        <f>RAW_DATA!G903</f>
        <v>4</v>
      </c>
      <c r="H903">
        <f>RAW_DATA!H903</f>
        <v>2</v>
      </c>
      <c r="I903" t="str">
        <f>RAW_DATA!I903</f>
        <v>Single</v>
      </c>
      <c r="J903">
        <f>RAW_DATA!J903</f>
        <v>2559</v>
      </c>
      <c r="K903">
        <f>RAW_DATA!K903</f>
        <v>5</v>
      </c>
      <c r="L903">
        <f>RAW_DATA!L903</f>
        <v>2</v>
      </c>
      <c r="M903">
        <f>RAW_DATA!M903</f>
        <v>1</v>
      </c>
      <c r="N903">
        <f t="shared" si="28"/>
        <v>0</v>
      </c>
      <c r="O903" t="str" cm="1">
        <f t="array" ref="O903" xml:space="preserve"> _xlfn.IFS(A903 &lt;ASSUMPTIONS!$D$2,"25",A903 &lt;= ASSUMPTIONS!$D$3,"25-34",A903 &lt;= ASSUMPTIONS!$D$4, "35-44",A903 &lt;= ASSUMPTIONS!$D$5,"45-54",TRUE,"55+")</f>
        <v>45-54</v>
      </c>
      <c r="P903" t="str" cm="1">
        <f t="array" ref="P903">_xlfn.IFS( J903 &lt;ASSUMPTIONS!$D$7,"LOW",J903 &lt;= ASSUMPTIONS!$D$8,"MEDIUM",TRUE, "HIGH")</f>
        <v>LOW</v>
      </c>
      <c r="Q903" t="str">
        <f>IF(M903&lt;ASSUMPTIONS!$D$10,"New (0-2)",IF(M903&lt;=ASSUMPTIONS!$D$11,"Early (2-5)",IF(M903&lt;=ASSUMPTIONS!$D$12,"Established (5-10)","Veteran (10+)")))</f>
        <v>New (0-2)</v>
      </c>
      <c r="R903" s="4">
        <f t="shared" si="29"/>
        <v>2.6666666666666665</v>
      </c>
    </row>
    <row r="904" spans="1:18">
      <c r="A904">
        <f>RAW_DATA!A904</f>
        <v>27</v>
      </c>
      <c r="B904" t="str">
        <f>RAW_DATA!B904</f>
        <v>No</v>
      </c>
      <c r="C904" t="str">
        <f>RAW_DATA!C904</f>
        <v>Research &amp; Development</v>
      </c>
      <c r="D904">
        <f>RAW_DATA!D904</f>
        <v>4</v>
      </c>
      <c r="E904">
        <f>RAW_DATA!E904</f>
        <v>2</v>
      </c>
      <c r="F904" t="str">
        <f>RAW_DATA!F904</f>
        <v>Life Sciences</v>
      </c>
      <c r="G904">
        <f>RAW_DATA!G904</f>
        <v>1</v>
      </c>
      <c r="H904">
        <f>RAW_DATA!H904</f>
        <v>3</v>
      </c>
      <c r="I904" t="str">
        <f>RAW_DATA!I904</f>
        <v>Divorced</v>
      </c>
      <c r="J904">
        <f>RAW_DATA!J904</f>
        <v>2517</v>
      </c>
      <c r="K904">
        <f>RAW_DATA!K904</f>
        <v>1</v>
      </c>
      <c r="L904">
        <f>RAW_DATA!L904</f>
        <v>3</v>
      </c>
      <c r="M904">
        <f>RAW_DATA!M904</f>
        <v>5</v>
      </c>
      <c r="N904">
        <f t="shared" si="28"/>
        <v>0</v>
      </c>
      <c r="O904" t="str" cm="1">
        <f t="array" ref="O904" xml:space="preserve"> _xlfn.IFS(A904 &lt;ASSUMPTIONS!$D$2,"25",A904 &lt;= ASSUMPTIONS!$D$3,"25-34",A904 &lt;= ASSUMPTIONS!$D$4, "35-44",A904 &lt;= ASSUMPTIONS!$D$5,"45-54",TRUE,"55+")</f>
        <v>25-34</v>
      </c>
      <c r="P904" t="str" cm="1">
        <f t="array" ref="P904">_xlfn.IFS( J904 &lt;ASSUMPTIONS!$D$7,"LOW",J904 &lt;= ASSUMPTIONS!$D$8,"MEDIUM",TRUE, "HIGH")</f>
        <v>LOW</v>
      </c>
      <c r="Q904" t="str">
        <f>IF(M904&lt;ASSUMPTIONS!$D$10,"New (0-2)",IF(M904&lt;=ASSUMPTIONS!$D$11,"Early (2-5)",IF(M904&lt;=ASSUMPTIONS!$D$12,"Established (5-10)","Veteran (10+)")))</f>
        <v>Early (2-5)</v>
      </c>
      <c r="R904" s="4">
        <f t="shared" si="29"/>
        <v>2.3333333333333335</v>
      </c>
    </row>
    <row r="905" spans="1:18">
      <c r="A905">
        <f>RAW_DATA!A905</f>
        <v>29</v>
      </c>
      <c r="B905" t="str">
        <f>RAW_DATA!B905</f>
        <v>No</v>
      </c>
      <c r="C905" t="str">
        <f>RAW_DATA!C905</f>
        <v>Research &amp; Development</v>
      </c>
      <c r="D905">
        <f>RAW_DATA!D905</f>
        <v>7</v>
      </c>
      <c r="E905">
        <f>RAW_DATA!E905</f>
        <v>3</v>
      </c>
      <c r="F905" t="str">
        <f>RAW_DATA!F905</f>
        <v>Life Sciences</v>
      </c>
      <c r="G905">
        <f>RAW_DATA!G905</f>
        <v>3</v>
      </c>
      <c r="H905">
        <f>RAW_DATA!H905</f>
        <v>4</v>
      </c>
      <c r="I905" t="str">
        <f>RAW_DATA!I905</f>
        <v>Divorced</v>
      </c>
      <c r="J905">
        <f>RAW_DATA!J905</f>
        <v>6623</v>
      </c>
      <c r="K905">
        <f>RAW_DATA!K905</f>
        <v>1</v>
      </c>
      <c r="L905">
        <f>RAW_DATA!L905</f>
        <v>3</v>
      </c>
      <c r="M905">
        <f>RAW_DATA!M905</f>
        <v>6</v>
      </c>
      <c r="N905">
        <f t="shared" si="28"/>
        <v>0</v>
      </c>
      <c r="O905" t="str" cm="1">
        <f t="array" ref="O905" xml:space="preserve"> _xlfn.IFS(A905 &lt;ASSUMPTIONS!$D$2,"25",A905 &lt;= ASSUMPTIONS!$D$3,"25-34",A905 &lt;= ASSUMPTIONS!$D$4, "35-44",A905 &lt;= ASSUMPTIONS!$D$5,"45-54",TRUE,"55+")</f>
        <v>25-34</v>
      </c>
      <c r="P905" t="str" cm="1">
        <f t="array" ref="P905">_xlfn.IFS( J905 &lt;ASSUMPTIONS!$D$7,"LOW",J905 &lt;= ASSUMPTIONS!$D$8,"MEDIUM",TRUE, "HIGH")</f>
        <v>MEDIUM</v>
      </c>
      <c r="Q905" t="str">
        <f>IF(M905&lt;ASSUMPTIONS!$D$10,"New (0-2)",IF(M905&lt;=ASSUMPTIONS!$D$11,"Early (2-5)",IF(M905&lt;=ASSUMPTIONS!$D$12,"Established (5-10)","Veteran (10+)")))</f>
        <v>Established (5-10)</v>
      </c>
      <c r="R905" s="4">
        <f t="shared" si="29"/>
        <v>3.3333333333333335</v>
      </c>
    </row>
    <row r="906" spans="1:18">
      <c r="A906">
        <f>RAW_DATA!A906</f>
        <v>48</v>
      </c>
      <c r="B906" t="str">
        <f>RAW_DATA!B906</f>
        <v>No</v>
      </c>
      <c r="C906" t="str">
        <f>RAW_DATA!C906</f>
        <v>Research &amp; Development</v>
      </c>
      <c r="D906">
        <f>RAW_DATA!D906</f>
        <v>1</v>
      </c>
      <c r="E906">
        <f>RAW_DATA!E906</f>
        <v>3</v>
      </c>
      <c r="F906" t="str">
        <f>RAW_DATA!F906</f>
        <v>Life Sciences</v>
      </c>
      <c r="G906">
        <f>RAW_DATA!G906</f>
        <v>4</v>
      </c>
      <c r="H906">
        <f>RAW_DATA!H906</f>
        <v>4</v>
      </c>
      <c r="I906" t="str">
        <f>RAW_DATA!I906</f>
        <v>Single</v>
      </c>
      <c r="J906">
        <f>RAW_DATA!J906</f>
        <v>18265</v>
      </c>
      <c r="K906">
        <f>RAW_DATA!K906</f>
        <v>6</v>
      </c>
      <c r="L906">
        <f>RAW_DATA!L906</f>
        <v>4</v>
      </c>
      <c r="M906">
        <f>RAW_DATA!M906</f>
        <v>1</v>
      </c>
      <c r="N906">
        <f t="shared" si="28"/>
        <v>0</v>
      </c>
      <c r="O906" t="str" cm="1">
        <f t="array" ref="O906" xml:space="preserve"> _xlfn.IFS(A906 &lt;ASSUMPTIONS!$D$2,"25",A906 &lt;= ASSUMPTIONS!$D$3,"25-34",A906 &lt;= ASSUMPTIONS!$D$4, "35-44",A906 &lt;= ASSUMPTIONS!$D$5,"45-54",TRUE,"55+")</f>
        <v>45-54</v>
      </c>
      <c r="P906" t="str" cm="1">
        <f t="array" ref="P906">_xlfn.IFS( J906 &lt;ASSUMPTIONS!$D$7,"LOW",J906 &lt;= ASSUMPTIONS!$D$8,"MEDIUM",TRUE, "HIGH")</f>
        <v>HIGH</v>
      </c>
      <c r="Q906" t="str">
        <f>IF(M906&lt;ASSUMPTIONS!$D$10,"New (0-2)",IF(M906&lt;=ASSUMPTIONS!$D$11,"Early (2-5)",IF(M906&lt;=ASSUMPTIONS!$D$12,"Established (5-10)","Veteran (10+)")))</f>
        <v>New (0-2)</v>
      </c>
      <c r="R906" s="4">
        <f t="shared" si="29"/>
        <v>4</v>
      </c>
    </row>
    <row r="907" spans="1:18">
      <c r="A907">
        <f>RAW_DATA!A907</f>
        <v>29</v>
      </c>
      <c r="B907" t="str">
        <f>RAW_DATA!B907</f>
        <v>No</v>
      </c>
      <c r="C907" t="str">
        <f>RAW_DATA!C907</f>
        <v>Research &amp; Development</v>
      </c>
      <c r="D907">
        <f>RAW_DATA!D907</f>
        <v>1</v>
      </c>
      <c r="E907">
        <f>RAW_DATA!E907</f>
        <v>3</v>
      </c>
      <c r="F907" t="str">
        <f>RAW_DATA!F907</f>
        <v>Life Sciences</v>
      </c>
      <c r="G907">
        <f>RAW_DATA!G907</f>
        <v>4</v>
      </c>
      <c r="H907">
        <f>RAW_DATA!H907</f>
        <v>4</v>
      </c>
      <c r="I907" t="str">
        <f>RAW_DATA!I907</f>
        <v>Divorced</v>
      </c>
      <c r="J907">
        <f>RAW_DATA!J907</f>
        <v>16124</v>
      </c>
      <c r="K907">
        <f>RAW_DATA!K907</f>
        <v>3</v>
      </c>
      <c r="L907">
        <f>RAW_DATA!L907</f>
        <v>2</v>
      </c>
      <c r="M907">
        <f>RAW_DATA!M907</f>
        <v>7</v>
      </c>
      <c r="N907">
        <f t="shared" si="28"/>
        <v>0</v>
      </c>
      <c r="O907" t="str" cm="1">
        <f t="array" ref="O907" xml:space="preserve"> _xlfn.IFS(A907 &lt;ASSUMPTIONS!$D$2,"25",A907 &lt;= ASSUMPTIONS!$D$3,"25-34",A907 &lt;= ASSUMPTIONS!$D$4, "35-44",A907 &lt;= ASSUMPTIONS!$D$5,"45-54",TRUE,"55+")</f>
        <v>25-34</v>
      </c>
      <c r="P907" t="str" cm="1">
        <f t="array" ref="P907">_xlfn.IFS( J907 &lt;ASSUMPTIONS!$D$7,"LOW",J907 &lt;= ASSUMPTIONS!$D$8,"MEDIUM",TRUE, "HIGH")</f>
        <v>HIGH</v>
      </c>
      <c r="Q907" t="str">
        <f>IF(M907&lt;ASSUMPTIONS!$D$10,"New (0-2)",IF(M907&lt;=ASSUMPTIONS!$D$11,"Early (2-5)",IF(M907&lt;=ASSUMPTIONS!$D$12,"Established (5-10)","Veteran (10+)")))</f>
        <v>Established (5-10)</v>
      </c>
      <c r="R907" s="4">
        <f t="shared" si="29"/>
        <v>3.3333333333333335</v>
      </c>
    </row>
    <row r="908" spans="1:18">
      <c r="A908">
        <f>RAW_DATA!A908</f>
        <v>34</v>
      </c>
      <c r="B908" t="str">
        <f>RAW_DATA!B908</f>
        <v>No</v>
      </c>
      <c r="C908" t="str">
        <f>RAW_DATA!C908</f>
        <v>Research &amp; Development</v>
      </c>
      <c r="D908">
        <f>RAW_DATA!D908</f>
        <v>20</v>
      </c>
      <c r="E908">
        <f>RAW_DATA!E908</f>
        <v>3</v>
      </c>
      <c r="F908" t="str">
        <f>RAW_DATA!F908</f>
        <v>Technical Degree</v>
      </c>
      <c r="G908">
        <f>RAW_DATA!G908</f>
        <v>3</v>
      </c>
      <c r="H908">
        <f>RAW_DATA!H908</f>
        <v>3</v>
      </c>
      <c r="I908" t="str">
        <f>RAW_DATA!I908</f>
        <v>Married</v>
      </c>
      <c r="J908">
        <f>RAW_DATA!J908</f>
        <v>2585</v>
      </c>
      <c r="K908">
        <f>RAW_DATA!K908</f>
        <v>0</v>
      </c>
      <c r="L908">
        <f>RAW_DATA!L908</f>
        <v>2</v>
      </c>
      <c r="M908">
        <f>RAW_DATA!M908</f>
        <v>1</v>
      </c>
      <c r="N908">
        <f t="shared" si="28"/>
        <v>0</v>
      </c>
      <c r="O908" t="str" cm="1">
        <f t="array" ref="O908" xml:space="preserve"> _xlfn.IFS(A908 &lt;ASSUMPTIONS!$D$2,"25",A908 &lt;= ASSUMPTIONS!$D$3,"25-34",A908 &lt;= ASSUMPTIONS!$D$4, "35-44",A908 &lt;= ASSUMPTIONS!$D$5,"45-54",TRUE,"55+")</f>
        <v>25-34</v>
      </c>
      <c r="P908" t="str" cm="1">
        <f t="array" ref="P908">_xlfn.IFS( J908 &lt;ASSUMPTIONS!$D$7,"LOW",J908 &lt;= ASSUMPTIONS!$D$8,"MEDIUM",TRUE, "HIGH")</f>
        <v>LOW</v>
      </c>
      <c r="Q908" t="str">
        <f>IF(M908&lt;ASSUMPTIONS!$D$10,"New (0-2)",IF(M908&lt;=ASSUMPTIONS!$D$11,"Early (2-5)",IF(M908&lt;=ASSUMPTIONS!$D$12,"Established (5-10)","Veteran (10+)")))</f>
        <v>New (0-2)</v>
      </c>
      <c r="R908" s="4">
        <f t="shared" si="29"/>
        <v>2.6666666666666665</v>
      </c>
    </row>
    <row r="909" spans="1:18">
      <c r="A909">
        <f>RAW_DATA!A909</f>
        <v>44</v>
      </c>
      <c r="B909" t="str">
        <f>RAW_DATA!B909</f>
        <v>No</v>
      </c>
      <c r="C909" t="str">
        <f>RAW_DATA!C909</f>
        <v>Sales</v>
      </c>
      <c r="D909">
        <f>RAW_DATA!D909</f>
        <v>5</v>
      </c>
      <c r="E909">
        <f>RAW_DATA!E909</f>
        <v>3</v>
      </c>
      <c r="F909" t="str">
        <f>RAW_DATA!F909</f>
        <v>Marketing</v>
      </c>
      <c r="G909">
        <f>RAW_DATA!G909</f>
        <v>2</v>
      </c>
      <c r="H909">
        <f>RAW_DATA!H909</f>
        <v>2</v>
      </c>
      <c r="I909" t="str">
        <f>RAW_DATA!I909</f>
        <v>Married</v>
      </c>
      <c r="J909">
        <f>RAW_DATA!J909</f>
        <v>18213</v>
      </c>
      <c r="K909">
        <f>RAW_DATA!K909</f>
        <v>7</v>
      </c>
      <c r="L909">
        <f>RAW_DATA!L909</f>
        <v>3</v>
      </c>
      <c r="M909">
        <f>RAW_DATA!M909</f>
        <v>22</v>
      </c>
      <c r="N909">
        <f t="shared" si="28"/>
        <v>0</v>
      </c>
      <c r="O909" t="str" cm="1">
        <f t="array" ref="O909" xml:space="preserve"> _xlfn.IFS(A909 &lt;ASSUMPTIONS!$D$2,"25",A909 &lt;= ASSUMPTIONS!$D$3,"25-34",A909 &lt;= ASSUMPTIONS!$D$4, "35-44",A909 &lt;= ASSUMPTIONS!$D$5,"45-54",TRUE,"55+")</f>
        <v>35-44</v>
      </c>
      <c r="P909" t="str" cm="1">
        <f t="array" ref="P909">_xlfn.IFS( J909 &lt;ASSUMPTIONS!$D$7,"LOW",J909 &lt;= ASSUMPTIONS!$D$8,"MEDIUM",TRUE, "HIGH")</f>
        <v>HIGH</v>
      </c>
      <c r="Q909" t="str">
        <f>IF(M909&lt;ASSUMPTIONS!$D$10,"New (0-2)",IF(M909&lt;=ASSUMPTIONS!$D$11,"Early (2-5)",IF(M909&lt;=ASSUMPTIONS!$D$12,"Established (5-10)","Veteran (10+)")))</f>
        <v>Veteran (10+)</v>
      </c>
      <c r="R909" s="4">
        <f t="shared" si="29"/>
        <v>2.3333333333333335</v>
      </c>
    </row>
    <row r="910" spans="1:18">
      <c r="A910">
        <f>RAW_DATA!A910</f>
        <v>33</v>
      </c>
      <c r="B910" t="str">
        <f>RAW_DATA!B910</f>
        <v>No</v>
      </c>
      <c r="C910" t="str">
        <f>RAW_DATA!C910</f>
        <v>Sales</v>
      </c>
      <c r="D910">
        <f>RAW_DATA!D910</f>
        <v>10</v>
      </c>
      <c r="E910">
        <f>RAW_DATA!E910</f>
        <v>5</v>
      </c>
      <c r="F910" t="str">
        <f>RAW_DATA!F910</f>
        <v>Marketing</v>
      </c>
      <c r="G910">
        <f>RAW_DATA!G910</f>
        <v>4</v>
      </c>
      <c r="H910">
        <f>RAW_DATA!H910</f>
        <v>3</v>
      </c>
      <c r="I910" t="str">
        <f>RAW_DATA!I910</f>
        <v>Divorced</v>
      </c>
      <c r="J910">
        <f>RAW_DATA!J910</f>
        <v>8380</v>
      </c>
      <c r="K910">
        <f>RAW_DATA!K910</f>
        <v>0</v>
      </c>
      <c r="L910">
        <f>RAW_DATA!L910</f>
        <v>3</v>
      </c>
      <c r="M910">
        <f>RAW_DATA!M910</f>
        <v>9</v>
      </c>
      <c r="N910">
        <f t="shared" si="28"/>
        <v>0</v>
      </c>
      <c r="O910" t="str" cm="1">
        <f t="array" ref="O910" xml:space="preserve"> _xlfn.IFS(A910 &lt;ASSUMPTIONS!$D$2,"25",A910 &lt;= ASSUMPTIONS!$D$3,"25-34",A910 &lt;= ASSUMPTIONS!$D$4, "35-44",A910 &lt;= ASSUMPTIONS!$D$5,"45-54",TRUE,"55+")</f>
        <v>25-34</v>
      </c>
      <c r="P910" t="str" cm="1">
        <f t="array" ref="P910">_xlfn.IFS( J910 &lt;ASSUMPTIONS!$D$7,"LOW",J910 &lt;= ASSUMPTIONS!$D$8,"MEDIUM",TRUE, "HIGH")</f>
        <v>HIGH</v>
      </c>
      <c r="Q910" t="str">
        <f>IF(M910&lt;ASSUMPTIONS!$D$10,"New (0-2)",IF(M910&lt;=ASSUMPTIONS!$D$11,"Early (2-5)",IF(M910&lt;=ASSUMPTIONS!$D$12,"Established (5-10)","Veteran (10+)")))</f>
        <v>Established (5-10)</v>
      </c>
      <c r="R910" s="4">
        <f t="shared" si="29"/>
        <v>3.3333333333333335</v>
      </c>
    </row>
    <row r="911" spans="1:18">
      <c r="A911">
        <f>RAW_DATA!A911</f>
        <v>19</v>
      </c>
      <c r="B911" t="str">
        <f>RAW_DATA!B911</f>
        <v>No</v>
      </c>
      <c r="C911" t="str">
        <f>RAW_DATA!C911</f>
        <v>Research &amp; Development</v>
      </c>
      <c r="D911">
        <f>RAW_DATA!D911</f>
        <v>25</v>
      </c>
      <c r="E911">
        <f>RAW_DATA!E911</f>
        <v>3</v>
      </c>
      <c r="F911" t="str">
        <f>RAW_DATA!F911</f>
        <v>Life Sciences</v>
      </c>
      <c r="G911">
        <f>RAW_DATA!G911</f>
        <v>2</v>
      </c>
      <c r="H911">
        <f>RAW_DATA!H911</f>
        <v>4</v>
      </c>
      <c r="I911" t="str">
        <f>RAW_DATA!I911</f>
        <v>Single</v>
      </c>
      <c r="J911">
        <f>RAW_DATA!J911</f>
        <v>2994</v>
      </c>
      <c r="K911">
        <f>RAW_DATA!K911</f>
        <v>1</v>
      </c>
      <c r="L911">
        <f>RAW_DATA!L911</f>
        <v>3</v>
      </c>
      <c r="M911">
        <f>RAW_DATA!M911</f>
        <v>1</v>
      </c>
      <c r="N911">
        <f t="shared" si="28"/>
        <v>0</v>
      </c>
      <c r="O911" t="str" cm="1">
        <f t="array" ref="O911" xml:space="preserve"> _xlfn.IFS(A911 &lt;ASSUMPTIONS!$D$2,"25",A911 &lt;= ASSUMPTIONS!$D$3,"25-34",A911 &lt;= ASSUMPTIONS!$D$4, "35-44",A911 &lt;= ASSUMPTIONS!$D$5,"45-54",TRUE,"55+")</f>
        <v>25</v>
      </c>
      <c r="P911" t="str" cm="1">
        <f t="array" ref="P911">_xlfn.IFS( J911 &lt;ASSUMPTIONS!$D$7,"LOW",J911 &lt;= ASSUMPTIONS!$D$8,"MEDIUM",TRUE, "HIGH")</f>
        <v>LOW</v>
      </c>
      <c r="Q911" t="str">
        <f>IF(M911&lt;ASSUMPTIONS!$D$10,"New (0-2)",IF(M911&lt;=ASSUMPTIONS!$D$11,"Early (2-5)",IF(M911&lt;=ASSUMPTIONS!$D$12,"Established (5-10)","Veteran (10+)")))</f>
        <v>New (0-2)</v>
      </c>
      <c r="R911" s="4">
        <f t="shared" si="29"/>
        <v>3</v>
      </c>
    </row>
    <row r="912" spans="1:18">
      <c r="A912">
        <f>RAW_DATA!A912</f>
        <v>23</v>
      </c>
      <c r="B912" t="str">
        <f>RAW_DATA!B912</f>
        <v>No</v>
      </c>
      <c r="C912" t="str">
        <f>RAW_DATA!C912</f>
        <v>Research &amp; Development</v>
      </c>
      <c r="D912">
        <f>RAW_DATA!D912</f>
        <v>1</v>
      </c>
      <c r="E912">
        <f>RAW_DATA!E912</f>
        <v>2</v>
      </c>
      <c r="F912" t="str">
        <f>RAW_DATA!F912</f>
        <v>Life Sciences</v>
      </c>
      <c r="G912">
        <f>RAW_DATA!G912</f>
        <v>4</v>
      </c>
      <c r="H912">
        <f>RAW_DATA!H912</f>
        <v>3</v>
      </c>
      <c r="I912" t="str">
        <f>RAW_DATA!I912</f>
        <v>Married</v>
      </c>
      <c r="J912">
        <f>RAW_DATA!J912</f>
        <v>1223</v>
      </c>
      <c r="K912">
        <f>RAW_DATA!K912</f>
        <v>1</v>
      </c>
      <c r="L912">
        <f>RAW_DATA!L912</f>
        <v>3</v>
      </c>
      <c r="M912">
        <f>RAW_DATA!M912</f>
        <v>1</v>
      </c>
      <c r="N912">
        <f t="shared" si="28"/>
        <v>0</v>
      </c>
      <c r="O912" t="str" cm="1">
        <f t="array" ref="O912" xml:space="preserve"> _xlfn.IFS(A912 &lt;ASSUMPTIONS!$D$2,"25",A912 &lt;= ASSUMPTIONS!$D$3,"25-34",A912 &lt;= ASSUMPTIONS!$D$4, "35-44",A912 &lt;= ASSUMPTIONS!$D$5,"45-54",TRUE,"55+")</f>
        <v>25</v>
      </c>
      <c r="P912" t="str" cm="1">
        <f t="array" ref="P912">_xlfn.IFS( J912 &lt;ASSUMPTIONS!$D$7,"LOW",J912 &lt;= ASSUMPTIONS!$D$8,"MEDIUM",TRUE, "HIGH")</f>
        <v>LOW</v>
      </c>
      <c r="Q912" t="str">
        <f>IF(M912&lt;ASSUMPTIONS!$D$10,"New (0-2)",IF(M912&lt;=ASSUMPTIONS!$D$11,"Early (2-5)",IF(M912&lt;=ASSUMPTIONS!$D$12,"Established (5-10)","Veteran (10+)")))</f>
        <v>New (0-2)</v>
      </c>
      <c r="R912" s="4">
        <f t="shared" si="29"/>
        <v>3.3333333333333335</v>
      </c>
    </row>
    <row r="913" spans="1:18">
      <c r="A913">
        <f>RAW_DATA!A913</f>
        <v>25</v>
      </c>
      <c r="B913" t="str">
        <f>RAW_DATA!B913</f>
        <v>Yes</v>
      </c>
      <c r="C913" t="str">
        <f>RAW_DATA!C913</f>
        <v>Sales</v>
      </c>
      <c r="D913">
        <f>RAW_DATA!D913</f>
        <v>24</v>
      </c>
      <c r="E913">
        <f>RAW_DATA!E913</f>
        <v>1</v>
      </c>
      <c r="F913" t="str">
        <f>RAW_DATA!F913</f>
        <v>Life Sciences</v>
      </c>
      <c r="G913">
        <f>RAW_DATA!G913</f>
        <v>3</v>
      </c>
      <c r="H913">
        <f>RAW_DATA!H913</f>
        <v>4</v>
      </c>
      <c r="I913" t="str">
        <f>RAW_DATA!I913</f>
        <v>Single</v>
      </c>
      <c r="J913">
        <f>RAW_DATA!J913</f>
        <v>1118</v>
      </c>
      <c r="K913">
        <f>RAW_DATA!K913</f>
        <v>1</v>
      </c>
      <c r="L913">
        <f>RAW_DATA!L913</f>
        <v>3</v>
      </c>
      <c r="M913">
        <f>RAW_DATA!M913</f>
        <v>1</v>
      </c>
      <c r="N913">
        <f t="shared" si="28"/>
        <v>1</v>
      </c>
      <c r="O913" t="str" cm="1">
        <f t="array" ref="O913" xml:space="preserve"> _xlfn.IFS(A913 &lt;ASSUMPTIONS!$D$2,"25",A913 &lt;= ASSUMPTIONS!$D$3,"25-34",A913 &lt;= ASSUMPTIONS!$D$4, "35-44",A913 &lt;= ASSUMPTIONS!$D$5,"45-54",TRUE,"55+")</f>
        <v>25-34</v>
      </c>
      <c r="P913" t="str" cm="1">
        <f t="array" ref="P913">_xlfn.IFS( J913 &lt;ASSUMPTIONS!$D$7,"LOW",J913 &lt;= ASSUMPTIONS!$D$8,"MEDIUM",TRUE, "HIGH")</f>
        <v>LOW</v>
      </c>
      <c r="Q913" t="str">
        <f>IF(M913&lt;ASSUMPTIONS!$D$10,"New (0-2)",IF(M913&lt;=ASSUMPTIONS!$D$11,"Early (2-5)",IF(M913&lt;=ASSUMPTIONS!$D$12,"Established (5-10)","Veteran (10+)")))</f>
        <v>New (0-2)</v>
      </c>
      <c r="R913" s="4">
        <f t="shared" si="29"/>
        <v>3.3333333333333335</v>
      </c>
    </row>
    <row r="914" spans="1:18">
      <c r="A914">
        <f>RAW_DATA!A914</f>
        <v>26</v>
      </c>
      <c r="B914" t="str">
        <f>RAW_DATA!B914</f>
        <v>No</v>
      </c>
      <c r="C914" t="str">
        <f>RAW_DATA!C914</f>
        <v>Research &amp; Development</v>
      </c>
      <c r="D914">
        <f>RAW_DATA!D914</f>
        <v>4</v>
      </c>
      <c r="E914">
        <f>RAW_DATA!E914</f>
        <v>2</v>
      </c>
      <c r="F914" t="str">
        <f>RAW_DATA!F914</f>
        <v>Life Sciences</v>
      </c>
      <c r="G914">
        <f>RAW_DATA!G914</f>
        <v>3</v>
      </c>
      <c r="H914">
        <f>RAW_DATA!H914</f>
        <v>4</v>
      </c>
      <c r="I914" t="str">
        <f>RAW_DATA!I914</f>
        <v>Single</v>
      </c>
      <c r="J914">
        <f>RAW_DATA!J914</f>
        <v>2875</v>
      </c>
      <c r="K914">
        <f>RAW_DATA!K914</f>
        <v>1</v>
      </c>
      <c r="L914">
        <f>RAW_DATA!L914</f>
        <v>2</v>
      </c>
      <c r="M914">
        <f>RAW_DATA!M914</f>
        <v>8</v>
      </c>
      <c r="N914">
        <f t="shared" si="28"/>
        <v>0</v>
      </c>
      <c r="O914" t="str" cm="1">
        <f t="array" ref="O914" xml:space="preserve"> _xlfn.IFS(A914 &lt;ASSUMPTIONS!$D$2,"25",A914 &lt;= ASSUMPTIONS!$D$3,"25-34",A914 &lt;= ASSUMPTIONS!$D$4, "35-44",A914 &lt;= ASSUMPTIONS!$D$5,"45-54",TRUE,"55+")</f>
        <v>25-34</v>
      </c>
      <c r="P914" t="str" cm="1">
        <f t="array" ref="P914">_xlfn.IFS( J914 &lt;ASSUMPTIONS!$D$7,"LOW",J914 &lt;= ASSUMPTIONS!$D$8,"MEDIUM",TRUE, "HIGH")</f>
        <v>LOW</v>
      </c>
      <c r="Q914" t="str">
        <f>IF(M914&lt;ASSUMPTIONS!$D$10,"New (0-2)",IF(M914&lt;=ASSUMPTIONS!$D$11,"Early (2-5)",IF(M914&lt;=ASSUMPTIONS!$D$12,"Established (5-10)","Veteran (10+)")))</f>
        <v>Established (5-10)</v>
      </c>
      <c r="R914" s="4">
        <f t="shared" si="29"/>
        <v>3</v>
      </c>
    </row>
    <row r="915" spans="1:18">
      <c r="A915">
        <f>RAW_DATA!A915</f>
        <v>45</v>
      </c>
      <c r="B915" t="str">
        <f>RAW_DATA!B915</f>
        <v>Yes</v>
      </c>
      <c r="C915" t="str">
        <f>RAW_DATA!C915</f>
        <v>Sales</v>
      </c>
      <c r="D915">
        <f>RAW_DATA!D915</f>
        <v>2</v>
      </c>
      <c r="E915">
        <f>RAW_DATA!E915</f>
        <v>3</v>
      </c>
      <c r="F915" t="str">
        <f>RAW_DATA!F915</f>
        <v>Marketing</v>
      </c>
      <c r="G915">
        <f>RAW_DATA!G915</f>
        <v>1</v>
      </c>
      <c r="H915">
        <f>RAW_DATA!H915</f>
        <v>2</v>
      </c>
      <c r="I915" t="str">
        <f>RAW_DATA!I915</f>
        <v>Single</v>
      </c>
      <c r="J915">
        <f>RAW_DATA!J915</f>
        <v>18824</v>
      </c>
      <c r="K915">
        <f>RAW_DATA!K915</f>
        <v>2</v>
      </c>
      <c r="L915">
        <f>RAW_DATA!L915</f>
        <v>3</v>
      </c>
      <c r="M915">
        <f>RAW_DATA!M915</f>
        <v>24</v>
      </c>
      <c r="N915">
        <f t="shared" si="28"/>
        <v>1</v>
      </c>
      <c r="O915" t="str" cm="1">
        <f t="array" ref="O915" xml:space="preserve"> _xlfn.IFS(A915 &lt;ASSUMPTIONS!$D$2,"25",A915 &lt;= ASSUMPTIONS!$D$3,"25-34",A915 &lt;= ASSUMPTIONS!$D$4, "35-44",A915 &lt;= ASSUMPTIONS!$D$5,"45-54",TRUE,"55+")</f>
        <v>45-54</v>
      </c>
      <c r="P915" t="str" cm="1">
        <f t="array" ref="P915">_xlfn.IFS( J915 &lt;ASSUMPTIONS!$D$7,"LOW",J915 &lt;= ASSUMPTIONS!$D$8,"MEDIUM",TRUE, "HIGH")</f>
        <v>HIGH</v>
      </c>
      <c r="Q915" t="str">
        <f>IF(M915&lt;ASSUMPTIONS!$D$10,"New (0-2)",IF(M915&lt;=ASSUMPTIONS!$D$11,"Early (2-5)",IF(M915&lt;=ASSUMPTIONS!$D$12,"Established (5-10)","Veteran (10+)")))</f>
        <v>Veteran (10+)</v>
      </c>
      <c r="R915" s="4">
        <f t="shared" si="29"/>
        <v>2</v>
      </c>
    </row>
    <row r="916" spans="1:18">
      <c r="A916">
        <f>RAW_DATA!A916</f>
        <v>55</v>
      </c>
      <c r="B916" t="str">
        <f>RAW_DATA!B916</f>
        <v>No</v>
      </c>
      <c r="C916" t="str">
        <f>RAW_DATA!C916</f>
        <v>Research &amp; Development</v>
      </c>
      <c r="D916">
        <f>RAW_DATA!D916</f>
        <v>8</v>
      </c>
      <c r="E916">
        <f>RAW_DATA!E916</f>
        <v>1</v>
      </c>
      <c r="F916" t="str">
        <f>RAW_DATA!F916</f>
        <v>Medical</v>
      </c>
      <c r="G916">
        <f>RAW_DATA!G916</f>
        <v>4</v>
      </c>
      <c r="H916">
        <f>RAW_DATA!H916</f>
        <v>2</v>
      </c>
      <c r="I916" t="str">
        <f>RAW_DATA!I916</f>
        <v>Divorced</v>
      </c>
      <c r="J916">
        <f>RAW_DATA!J916</f>
        <v>13577</v>
      </c>
      <c r="K916">
        <f>RAW_DATA!K916</f>
        <v>1</v>
      </c>
      <c r="L916">
        <f>RAW_DATA!L916</f>
        <v>3</v>
      </c>
      <c r="M916">
        <f>RAW_DATA!M916</f>
        <v>33</v>
      </c>
      <c r="N916">
        <f t="shared" si="28"/>
        <v>0</v>
      </c>
      <c r="O916" t="str" cm="1">
        <f t="array" ref="O916" xml:space="preserve"> _xlfn.IFS(A916 &lt;ASSUMPTIONS!$D$2,"25",A916 &lt;= ASSUMPTIONS!$D$3,"25-34",A916 &lt;= ASSUMPTIONS!$D$4, "35-44",A916 &lt;= ASSUMPTIONS!$D$5,"45-54",TRUE,"55+")</f>
        <v>55+</v>
      </c>
      <c r="P916" t="str" cm="1">
        <f t="array" ref="P916">_xlfn.IFS( J916 &lt;ASSUMPTIONS!$D$7,"LOW",J916 &lt;= ASSUMPTIONS!$D$8,"MEDIUM",TRUE, "HIGH")</f>
        <v>HIGH</v>
      </c>
      <c r="Q916" t="str">
        <f>IF(M916&lt;ASSUMPTIONS!$D$10,"New (0-2)",IF(M916&lt;=ASSUMPTIONS!$D$11,"Early (2-5)",IF(M916&lt;=ASSUMPTIONS!$D$12,"Established (5-10)","Veteran (10+)")))</f>
        <v>Veteran (10+)</v>
      </c>
      <c r="R916" s="4">
        <f t="shared" si="29"/>
        <v>3</v>
      </c>
    </row>
    <row r="917" spans="1:18">
      <c r="A917">
        <f>RAW_DATA!A917</f>
        <v>21</v>
      </c>
      <c r="B917" t="str">
        <f>RAW_DATA!B917</f>
        <v>Yes</v>
      </c>
      <c r="C917" t="str">
        <f>RAW_DATA!C917</f>
        <v>Research &amp; Development</v>
      </c>
      <c r="D917">
        <f>RAW_DATA!D917</f>
        <v>10</v>
      </c>
      <c r="E917">
        <f>RAW_DATA!E917</f>
        <v>2</v>
      </c>
      <c r="F917" t="str">
        <f>RAW_DATA!F917</f>
        <v>Life Sciences</v>
      </c>
      <c r="G917">
        <f>RAW_DATA!G917</f>
        <v>1</v>
      </c>
      <c r="H917">
        <f>RAW_DATA!H917</f>
        <v>3</v>
      </c>
      <c r="I917" t="str">
        <f>RAW_DATA!I917</f>
        <v>Single</v>
      </c>
      <c r="J917">
        <f>RAW_DATA!J917</f>
        <v>2625</v>
      </c>
      <c r="K917">
        <f>RAW_DATA!K917</f>
        <v>1</v>
      </c>
      <c r="L917">
        <f>RAW_DATA!L917</f>
        <v>1</v>
      </c>
      <c r="M917">
        <f>RAW_DATA!M917</f>
        <v>2</v>
      </c>
      <c r="N917">
        <f t="shared" si="28"/>
        <v>1</v>
      </c>
      <c r="O917" t="str" cm="1">
        <f t="array" ref="O917" xml:space="preserve"> _xlfn.IFS(A917 &lt;ASSUMPTIONS!$D$2,"25",A917 &lt;= ASSUMPTIONS!$D$3,"25-34",A917 &lt;= ASSUMPTIONS!$D$4, "35-44",A917 &lt;= ASSUMPTIONS!$D$5,"45-54",TRUE,"55+")</f>
        <v>25</v>
      </c>
      <c r="P917" t="str" cm="1">
        <f t="array" ref="P917">_xlfn.IFS( J917 &lt;ASSUMPTIONS!$D$7,"LOW",J917 &lt;= ASSUMPTIONS!$D$8,"MEDIUM",TRUE, "HIGH")</f>
        <v>LOW</v>
      </c>
      <c r="Q917" t="str">
        <f>IF(M917&lt;ASSUMPTIONS!$D$10,"New (0-2)",IF(M917&lt;=ASSUMPTIONS!$D$11,"Early (2-5)",IF(M917&lt;=ASSUMPTIONS!$D$12,"Established (5-10)","Veteran (10+)")))</f>
        <v>Early (2-5)</v>
      </c>
      <c r="R917" s="4">
        <f t="shared" si="29"/>
        <v>1.6666666666666667</v>
      </c>
    </row>
    <row r="918" spans="1:18">
      <c r="A918">
        <f>RAW_DATA!A918</f>
        <v>46</v>
      </c>
      <c r="B918" t="str">
        <f>RAW_DATA!B918</f>
        <v>No</v>
      </c>
      <c r="C918" t="str">
        <f>RAW_DATA!C918</f>
        <v>Sales</v>
      </c>
      <c r="D918">
        <f>RAW_DATA!D918</f>
        <v>4</v>
      </c>
      <c r="E918">
        <f>RAW_DATA!E918</f>
        <v>2</v>
      </c>
      <c r="F918" t="str">
        <f>RAW_DATA!F918</f>
        <v>Marketing</v>
      </c>
      <c r="G918">
        <f>RAW_DATA!G918</f>
        <v>4</v>
      </c>
      <c r="H918">
        <f>RAW_DATA!H918</f>
        <v>2</v>
      </c>
      <c r="I918" t="str">
        <f>RAW_DATA!I918</f>
        <v>Married</v>
      </c>
      <c r="J918">
        <f>RAW_DATA!J918</f>
        <v>18789</v>
      </c>
      <c r="K918">
        <f>RAW_DATA!K918</f>
        <v>2</v>
      </c>
      <c r="L918">
        <f>RAW_DATA!L918</f>
        <v>3</v>
      </c>
      <c r="M918">
        <f>RAW_DATA!M918</f>
        <v>11</v>
      </c>
      <c r="N918">
        <f t="shared" si="28"/>
        <v>0</v>
      </c>
      <c r="O918" t="str" cm="1">
        <f t="array" ref="O918" xml:space="preserve"> _xlfn.IFS(A918 &lt;ASSUMPTIONS!$D$2,"25",A918 &lt;= ASSUMPTIONS!$D$3,"25-34",A918 &lt;= ASSUMPTIONS!$D$4, "35-44",A918 &lt;= ASSUMPTIONS!$D$5,"45-54",TRUE,"55+")</f>
        <v>45-54</v>
      </c>
      <c r="P918" t="str" cm="1">
        <f t="array" ref="P918">_xlfn.IFS( J918 &lt;ASSUMPTIONS!$D$7,"LOW",J918 &lt;= ASSUMPTIONS!$D$8,"MEDIUM",TRUE, "HIGH")</f>
        <v>HIGH</v>
      </c>
      <c r="Q918" t="str">
        <f>IF(M918&lt;ASSUMPTIONS!$D$10,"New (0-2)",IF(M918&lt;=ASSUMPTIONS!$D$11,"Early (2-5)",IF(M918&lt;=ASSUMPTIONS!$D$12,"Established (5-10)","Veteran (10+)")))</f>
        <v>Veteran (10+)</v>
      </c>
      <c r="R918" s="4">
        <f t="shared" si="29"/>
        <v>3</v>
      </c>
    </row>
    <row r="919" spans="1:18">
      <c r="A919">
        <f>RAW_DATA!A919</f>
        <v>34</v>
      </c>
      <c r="B919" t="str">
        <f>RAW_DATA!B919</f>
        <v>No</v>
      </c>
      <c r="C919" t="str">
        <f>RAW_DATA!C919</f>
        <v>Sales</v>
      </c>
      <c r="D919">
        <f>RAW_DATA!D919</f>
        <v>2</v>
      </c>
      <c r="E919">
        <f>RAW_DATA!E919</f>
        <v>3</v>
      </c>
      <c r="F919" t="str">
        <f>RAW_DATA!F919</f>
        <v>Marketing</v>
      </c>
      <c r="G919">
        <f>RAW_DATA!G919</f>
        <v>3</v>
      </c>
      <c r="H919">
        <f>RAW_DATA!H919</f>
        <v>1</v>
      </c>
      <c r="I919" t="str">
        <f>RAW_DATA!I919</f>
        <v>Single</v>
      </c>
      <c r="J919">
        <f>RAW_DATA!J919</f>
        <v>4538</v>
      </c>
      <c r="K919">
        <f>RAW_DATA!K919</f>
        <v>0</v>
      </c>
      <c r="L919">
        <f>RAW_DATA!L919</f>
        <v>3</v>
      </c>
      <c r="M919">
        <f>RAW_DATA!M919</f>
        <v>3</v>
      </c>
      <c r="N919">
        <f t="shared" si="28"/>
        <v>0</v>
      </c>
      <c r="O919" t="str" cm="1">
        <f t="array" ref="O919" xml:space="preserve"> _xlfn.IFS(A919 &lt;ASSUMPTIONS!$D$2,"25",A919 &lt;= ASSUMPTIONS!$D$3,"25-34",A919 &lt;= ASSUMPTIONS!$D$4, "35-44",A919 &lt;= ASSUMPTIONS!$D$5,"45-54",TRUE,"55+")</f>
        <v>25-34</v>
      </c>
      <c r="P919" t="str" cm="1">
        <f t="array" ref="P919">_xlfn.IFS( J919 &lt;ASSUMPTIONS!$D$7,"LOW",J919 &lt;= ASSUMPTIONS!$D$8,"MEDIUM",TRUE, "HIGH")</f>
        <v>MEDIUM</v>
      </c>
      <c r="Q919" t="str">
        <f>IF(M919&lt;ASSUMPTIONS!$D$10,"New (0-2)",IF(M919&lt;=ASSUMPTIONS!$D$11,"Early (2-5)",IF(M919&lt;=ASSUMPTIONS!$D$12,"Established (5-10)","Veteran (10+)")))</f>
        <v>Early (2-5)</v>
      </c>
      <c r="R919" s="4">
        <f t="shared" si="29"/>
        <v>2.3333333333333335</v>
      </c>
    </row>
    <row r="920" spans="1:18">
      <c r="A920">
        <f>RAW_DATA!A920</f>
        <v>51</v>
      </c>
      <c r="B920" t="str">
        <f>RAW_DATA!B920</f>
        <v>No</v>
      </c>
      <c r="C920" t="str">
        <f>RAW_DATA!C920</f>
        <v>Sales</v>
      </c>
      <c r="D920">
        <f>RAW_DATA!D920</f>
        <v>9</v>
      </c>
      <c r="E920">
        <f>RAW_DATA!E920</f>
        <v>3</v>
      </c>
      <c r="F920" t="str">
        <f>RAW_DATA!F920</f>
        <v>Life Sciences</v>
      </c>
      <c r="G920">
        <f>RAW_DATA!G920</f>
        <v>4</v>
      </c>
      <c r="H920">
        <f>RAW_DATA!H920</f>
        <v>2</v>
      </c>
      <c r="I920" t="str">
        <f>RAW_DATA!I920</f>
        <v>Divorced</v>
      </c>
      <c r="J920">
        <f>RAW_DATA!J920</f>
        <v>19847</v>
      </c>
      <c r="K920">
        <f>RAW_DATA!K920</f>
        <v>4</v>
      </c>
      <c r="L920">
        <f>RAW_DATA!L920</f>
        <v>2</v>
      </c>
      <c r="M920">
        <f>RAW_DATA!M920</f>
        <v>29</v>
      </c>
      <c r="N920">
        <f t="shared" si="28"/>
        <v>0</v>
      </c>
      <c r="O920" t="str" cm="1">
        <f t="array" ref="O920" xml:space="preserve"> _xlfn.IFS(A920 &lt;ASSUMPTIONS!$D$2,"25",A920 &lt;= ASSUMPTIONS!$D$3,"25-34",A920 &lt;= ASSUMPTIONS!$D$4, "35-44",A920 &lt;= ASSUMPTIONS!$D$5,"45-54",TRUE,"55+")</f>
        <v>45-54</v>
      </c>
      <c r="P920" t="str" cm="1">
        <f t="array" ref="P920">_xlfn.IFS( J920 &lt;ASSUMPTIONS!$D$7,"LOW",J920 &lt;= ASSUMPTIONS!$D$8,"MEDIUM",TRUE, "HIGH")</f>
        <v>HIGH</v>
      </c>
      <c r="Q920" t="str">
        <f>IF(M920&lt;ASSUMPTIONS!$D$10,"New (0-2)",IF(M920&lt;=ASSUMPTIONS!$D$11,"Early (2-5)",IF(M920&lt;=ASSUMPTIONS!$D$12,"Established (5-10)","Veteran (10+)")))</f>
        <v>Veteran (10+)</v>
      </c>
      <c r="R920" s="4">
        <f t="shared" si="29"/>
        <v>2.6666666666666665</v>
      </c>
    </row>
    <row r="921" spans="1:18">
      <c r="A921">
        <f>RAW_DATA!A921</f>
        <v>59</v>
      </c>
      <c r="B921" t="str">
        <f>RAW_DATA!B921</f>
        <v>No</v>
      </c>
      <c r="C921" t="str">
        <f>RAW_DATA!C921</f>
        <v>Research &amp; Development</v>
      </c>
      <c r="D921">
        <f>RAW_DATA!D921</f>
        <v>18</v>
      </c>
      <c r="E921">
        <f>RAW_DATA!E921</f>
        <v>4</v>
      </c>
      <c r="F921" t="str">
        <f>RAW_DATA!F921</f>
        <v>Medical</v>
      </c>
      <c r="G921">
        <f>RAW_DATA!G921</f>
        <v>4</v>
      </c>
      <c r="H921">
        <f>RAW_DATA!H921</f>
        <v>4</v>
      </c>
      <c r="I921" t="str">
        <f>RAW_DATA!I921</f>
        <v>Single</v>
      </c>
      <c r="J921">
        <f>RAW_DATA!J921</f>
        <v>10512</v>
      </c>
      <c r="K921">
        <f>RAW_DATA!K921</f>
        <v>6</v>
      </c>
      <c r="L921">
        <f>RAW_DATA!L921</f>
        <v>2</v>
      </c>
      <c r="M921">
        <f>RAW_DATA!M921</f>
        <v>9</v>
      </c>
      <c r="N921">
        <f t="shared" si="28"/>
        <v>0</v>
      </c>
      <c r="O921" t="str" cm="1">
        <f t="array" ref="O921" xml:space="preserve"> _xlfn.IFS(A921 &lt;ASSUMPTIONS!$D$2,"25",A921 &lt;= ASSUMPTIONS!$D$3,"25-34",A921 &lt;= ASSUMPTIONS!$D$4, "35-44",A921 &lt;= ASSUMPTIONS!$D$5,"45-54",TRUE,"55+")</f>
        <v>55+</v>
      </c>
      <c r="P921" t="str" cm="1">
        <f t="array" ref="P921">_xlfn.IFS( J921 &lt;ASSUMPTIONS!$D$7,"LOW",J921 &lt;= ASSUMPTIONS!$D$8,"MEDIUM",TRUE, "HIGH")</f>
        <v>HIGH</v>
      </c>
      <c r="Q921" t="str">
        <f>IF(M921&lt;ASSUMPTIONS!$D$10,"New (0-2)",IF(M921&lt;=ASSUMPTIONS!$D$11,"Early (2-5)",IF(M921&lt;=ASSUMPTIONS!$D$12,"Established (5-10)","Veteran (10+)")))</f>
        <v>Established (5-10)</v>
      </c>
      <c r="R921" s="4">
        <f t="shared" si="29"/>
        <v>3.3333333333333335</v>
      </c>
    </row>
    <row r="922" spans="1:18">
      <c r="A922">
        <f>RAW_DATA!A922</f>
        <v>34</v>
      </c>
      <c r="B922" t="str">
        <f>RAW_DATA!B922</f>
        <v>No</v>
      </c>
      <c r="C922" t="str">
        <f>RAW_DATA!C922</f>
        <v>Research &amp; Development</v>
      </c>
      <c r="D922">
        <f>RAW_DATA!D922</f>
        <v>19</v>
      </c>
      <c r="E922">
        <f>RAW_DATA!E922</f>
        <v>3</v>
      </c>
      <c r="F922" t="str">
        <f>RAW_DATA!F922</f>
        <v>Medical</v>
      </c>
      <c r="G922">
        <f>RAW_DATA!G922</f>
        <v>3</v>
      </c>
      <c r="H922">
        <f>RAW_DATA!H922</f>
        <v>2</v>
      </c>
      <c r="I922" t="str">
        <f>RAW_DATA!I922</f>
        <v>Divorced</v>
      </c>
      <c r="J922">
        <f>RAW_DATA!J922</f>
        <v>4444</v>
      </c>
      <c r="K922">
        <f>RAW_DATA!K922</f>
        <v>4</v>
      </c>
      <c r="L922">
        <f>RAW_DATA!L922</f>
        <v>4</v>
      </c>
      <c r="M922">
        <f>RAW_DATA!M922</f>
        <v>11</v>
      </c>
      <c r="N922">
        <f t="shared" si="28"/>
        <v>0</v>
      </c>
      <c r="O922" t="str" cm="1">
        <f t="array" ref="O922" xml:space="preserve"> _xlfn.IFS(A922 &lt;ASSUMPTIONS!$D$2,"25",A922 &lt;= ASSUMPTIONS!$D$3,"25-34",A922 &lt;= ASSUMPTIONS!$D$4, "35-44",A922 &lt;= ASSUMPTIONS!$D$5,"45-54",TRUE,"55+")</f>
        <v>25-34</v>
      </c>
      <c r="P922" t="str" cm="1">
        <f t="array" ref="P922">_xlfn.IFS( J922 &lt;ASSUMPTIONS!$D$7,"LOW",J922 &lt;= ASSUMPTIONS!$D$8,"MEDIUM",TRUE, "HIGH")</f>
        <v>MEDIUM</v>
      </c>
      <c r="Q922" t="str">
        <f>IF(M922&lt;ASSUMPTIONS!$D$10,"New (0-2)",IF(M922&lt;=ASSUMPTIONS!$D$11,"Early (2-5)",IF(M922&lt;=ASSUMPTIONS!$D$12,"Established (5-10)","Veteran (10+)")))</f>
        <v>Veteran (10+)</v>
      </c>
      <c r="R922" s="4">
        <f t="shared" si="29"/>
        <v>3</v>
      </c>
    </row>
    <row r="923" spans="1:18">
      <c r="A923">
        <f>RAW_DATA!A923</f>
        <v>28</v>
      </c>
      <c r="B923" t="str">
        <f>RAW_DATA!B923</f>
        <v>No</v>
      </c>
      <c r="C923" t="str">
        <f>RAW_DATA!C923</f>
        <v>Research &amp; Development</v>
      </c>
      <c r="D923">
        <f>RAW_DATA!D923</f>
        <v>1</v>
      </c>
      <c r="E923">
        <f>RAW_DATA!E923</f>
        <v>4</v>
      </c>
      <c r="F923" t="str">
        <f>RAW_DATA!F923</f>
        <v>Medical</v>
      </c>
      <c r="G923">
        <f>RAW_DATA!G923</f>
        <v>4</v>
      </c>
      <c r="H923">
        <f>RAW_DATA!H923</f>
        <v>3</v>
      </c>
      <c r="I923" t="str">
        <f>RAW_DATA!I923</f>
        <v>Single</v>
      </c>
      <c r="J923">
        <f>RAW_DATA!J923</f>
        <v>2154</v>
      </c>
      <c r="K923">
        <f>RAW_DATA!K923</f>
        <v>0</v>
      </c>
      <c r="L923">
        <f>RAW_DATA!L923</f>
        <v>2</v>
      </c>
      <c r="M923">
        <f>RAW_DATA!M923</f>
        <v>4</v>
      </c>
      <c r="N923">
        <f t="shared" si="28"/>
        <v>0</v>
      </c>
      <c r="O923" t="str" cm="1">
        <f t="array" ref="O923" xml:space="preserve"> _xlfn.IFS(A923 &lt;ASSUMPTIONS!$D$2,"25",A923 &lt;= ASSUMPTIONS!$D$3,"25-34",A923 &lt;= ASSUMPTIONS!$D$4, "35-44",A923 &lt;= ASSUMPTIONS!$D$5,"45-54",TRUE,"55+")</f>
        <v>25-34</v>
      </c>
      <c r="P923" t="str" cm="1">
        <f t="array" ref="P923">_xlfn.IFS( J923 &lt;ASSUMPTIONS!$D$7,"LOW",J923 &lt;= ASSUMPTIONS!$D$8,"MEDIUM",TRUE, "HIGH")</f>
        <v>LOW</v>
      </c>
      <c r="Q923" t="str">
        <f>IF(M923&lt;ASSUMPTIONS!$D$10,"New (0-2)",IF(M923&lt;=ASSUMPTIONS!$D$11,"Early (2-5)",IF(M923&lt;=ASSUMPTIONS!$D$12,"Established (5-10)","Veteran (10+)")))</f>
        <v>Early (2-5)</v>
      </c>
      <c r="R923" s="4">
        <f t="shared" si="29"/>
        <v>3</v>
      </c>
    </row>
    <row r="924" spans="1:18">
      <c r="A924">
        <f>RAW_DATA!A924</f>
        <v>44</v>
      </c>
      <c r="B924" t="str">
        <f>RAW_DATA!B924</f>
        <v>No</v>
      </c>
      <c r="C924" t="str">
        <f>RAW_DATA!C924</f>
        <v>Research &amp; Development</v>
      </c>
      <c r="D924">
        <f>RAW_DATA!D924</f>
        <v>4</v>
      </c>
      <c r="E924">
        <f>RAW_DATA!E924</f>
        <v>2</v>
      </c>
      <c r="F924" t="str">
        <f>RAW_DATA!F924</f>
        <v>Life Sciences</v>
      </c>
      <c r="G924">
        <f>RAW_DATA!G924</f>
        <v>3</v>
      </c>
      <c r="H924">
        <f>RAW_DATA!H924</f>
        <v>1</v>
      </c>
      <c r="I924" t="str">
        <f>RAW_DATA!I924</f>
        <v>Divorced</v>
      </c>
      <c r="J924">
        <f>RAW_DATA!J924</f>
        <v>19190</v>
      </c>
      <c r="K924">
        <f>RAW_DATA!K924</f>
        <v>1</v>
      </c>
      <c r="L924">
        <f>RAW_DATA!L924</f>
        <v>2</v>
      </c>
      <c r="M924">
        <f>RAW_DATA!M924</f>
        <v>25</v>
      </c>
      <c r="N924">
        <f t="shared" si="28"/>
        <v>0</v>
      </c>
      <c r="O924" t="str" cm="1">
        <f t="array" ref="O924" xml:space="preserve"> _xlfn.IFS(A924 &lt;ASSUMPTIONS!$D$2,"25",A924 &lt;= ASSUMPTIONS!$D$3,"25-34",A924 &lt;= ASSUMPTIONS!$D$4, "35-44",A924 &lt;= ASSUMPTIONS!$D$5,"45-54",TRUE,"55+")</f>
        <v>35-44</v>
      </c>
      <c r="P924" t="str" cm="1">
        <f t="array" ref="P924">_xlfn.IFS( J924 &lt;ASSUMPTIONS!$D$7,"LOW",J924 &lt;= ASSUMPTIONS!$D$8,"MEDIUM",TRUE, "HIGH")</f>
        <v>HIGH</v>
      </c>
      <c r="Q924" t="str">
        <f>IF(M924&lt;ASSUMPTIONS!$D$10,"New (0-2)",IF(M924&lt;=ASSUMPTIONS!$D$11,"Early (2-5)",IF(M924&lt;=ASSUMPTIONS!$D$12,"Established (5-10)","Veteran (10+)")))</f>
        <v>Veteran (10+)</v>
      </c>
      <c r="R924" s="4">
        <f t="shared" si="29"/>
        <v>2</v>
      </c>
    </row>
    <row r="925" spans="1:18">
      <c r="A925">
        <f>RAW_DATA!A925</f>
        <v>34</v>
      </c>
      <c r="B925" t="str">
        <f>RAW_DATA!B925</f>
        <v>No</v>
      </c>
      <c r="C925" t="str">
        <f>RAW_DATA!C925</f>
        <v>Human Resources</v>
      </c>
      <c r="D925">
        <f>RAW_DATA!D925</f>
        <v>11</v>
      </c>
      <c r="E925">
        <f>RAW_DATA!E925</f>
        <v>3</v>
      </c>
      <c r="F925" t="str">
        <f>RAW_DATA!F925</f>
        <v>Life Sciences</v>
      </c>
      <c r="G925">
        <f>RAW_DATA!G925</f>
        <v>3</v>
      </c>
      <c r="H925">
        <f>RAW_DATA!H925</f>
        <v>2</v>
      </c>
      <c r="I925" t="str">
        <f>RAW_DATA!I925</f>
        <v>Married</v>
      </c>
      <c r="J925">
        <f>RAW_DATA!J925</f>
        <v>4490</v>
      </c>
      <c r="K925">
        <f>RAW_DATA!K925</f>
        <v>4</v>
      </c>
      <c r="L925">
        <f>RAW_DATA!L925</f>
        <v>4</v>
      </c>
      <c r="M925">
        <f>RAW_DATA!M925</f>
        <v>10</v>
      </c>
      <c r="N925">
        <f t="shared" si="28"/>
        <v>0</v>
      </c>
      <c r="O925" t="str" cm="1">
        <f t="array" ref="O925" xml:space="preserve"> _xlfn.IFS(A925 &lt;ASSUMPTIONS!$D$2,"25",A925 &lt;= ASSUMPTIONS!$D$3,"25-34",A925 &lt;= ASSUMPTIONS!$D$4, "35-44",A925 &lt;= ASSUMPTIONS!$D$5,"45-54",TRUE,"55+")</f>
        <v>25-34</v>
      </c>
      <c r="P925" t="str" cm="1">
        <f t="array" ref="P925">_xlfn.IFS( J925 &lt;ASSUMPTIONS!$D$7,"LOW",J925 &lt;= ASSUMPTIONS!$D$8,"MEDIUM",TRUE, "HIGH")</f>
        <v>MEDIUM</v>
      </c>
      <c r="Q925" t="str">
        <f>IF(M925&lt;ASSUMPTIONS!$D$10,"New (0-2)",IF(M925&lt;=ASSUMPTIONS!$D$11,"Early (2-5)",IF(M925&lt;=ASSUMPTIONS!$D$12,"Established (5-10)","Veteran (10+)")))</f>
        <v>Established (5-10)</v>
      </c>
      <c r="R925" s="4">
        <f t="shared" si="29"/>
        <v>3</v>
      </c>
    </row>
    <row r="926" spans="1:18">
      <c r="A926">
        <f>RAW_DATA!A926</f>
        <v>35</v>
      </c>
      <c r="B926" t="str">
        <f>RAW_DATA!B926</f>
        <v>No</v>
      </c>
      <c r="C926" t="str">
        <f>RAW_DATA!C926</f>
        <v>Research &amp; Development</v>
      </c>
      <c r="D926">
        <f>RAW_DATA!D926</f>
        <v>6</v>
      </c>
      <c r="E926">
        <f>RAW_DATA!E926</f>
        <v>1</v>
      </c>
      <c r="F926" t="str">
        <f>RAW_DATA!F926</f>
        <v>Life Sciences</v>
      </c>
      <c r="G926">
        <f>RAW_DATA!G926</f>
        <v>3</v>
      </c>
      <c r="H926">
        <f>RAW_DATA!H926</f>
        <v>3</v>
      </c>
      <c r="I926" t="str">
        <f>RAW_DATA!I926</f>
        <v>Married</v>
      </c>
      <c r="J926">
        <f>RAW_DATA!J926</f>
        <v>3506</v>
      </c>
      <c r="K926">
        <f>RAW_DATA!K926</f>
        <v>0</v>
      </c>
      <c r="L926">
        <f>RAW_DATA!L926</f>
        <v>3</v>
      </c>
      <c r="M926">
        <f>RAW_DATA!M926</f>
        <v>3</v>
      </c>
      <c r="N926">
        <f t="shared" si="28"/>
        <v>0</v>
      </c>
      <c r="O926" t="str" cm="1">
        <f t="array" ref="O926" xml:space="preserve"> _xlfn.IFS(A926 &lt;ASSUMPTIONS!$D$2,"25",A926 &lt;= ASSUMPTIONS!$D$3,"25-34",A926 &lt;= ASSUMPTIONS!$D$4, "35-44",A926 &lt;= ASSUMPTIONS!$D$5,"45-54",TRUE,"55+")</f>
        <v>35-44</v>
      </c>
      <c r="P926" t="str" cm="1">
        <f t="array" ref="P926">_xlfn.IFS( J926 &lt;ASSUMPTIONS!$D$7,"LOW",J926 &lt;= ASSUMPTIONS!$D$8,"MEDIUM",TRUE, "HIGH")</f>
        <v>MEDIUM</v>
      </c>
      <c r="Q926" t="str">
        <f>IF(M926&lt;ASSUMPTIONS!$D$10,"New (0-2)",IF(M926&lt;=ASSUMPTIONS!$D$11,"Early (2-5)",IF(M926&lt;=ASSUMPTIONS!$D$12,"Established (5-10)","Veteran (10+)")))</f>
        <v>Early (2-5)</v>
      </c>
      <c r="R926" s="4">
        <f t="shared" si="29"/>
        <v>3</v>
      </c>
    </row>
    <row r="927" spans="1:18">
      <c r="A927">
        <f>RAW_DATA!A927</f>
        <v>42</v>
      </c>
      <c r="B927" t="str">
        <f>RAW_DATA!B927</f>
        <v>No</v>
      </c>
      <c r="C927" t="str">
        <f>RAW_DATA!C927</f>
        <v>Research &amp; Development</v>
      </c>
      <c r="D927">
        <f>RAW_DATA!D927</f>
        <v>7</v>
      </c>
      <c r="E927">
        <f>RAW_DATA!E927</f>
        <v>4</v>
      </c>
      <c r="F927" t="str">
        <f>RAW_DATA!F927</f>
        <v>Medical</v>
      </c>
      <c r="G927">
        <f>RAW_DATA!G927</f>
        <v>2</v>
      </c>
      <c r="H927">
        <f>RAW_DATA!H927</f>
        <v>2</v>
      </c>
      <c r="I927" t="str">
        <f>RAW_DATA!I927</f>
        <v>Married</v>
      </c>
      <c r="J927">
        <f>RAW_DATA!J927</f>
        <v>2372</v>
      </c>
      <c r="K927">
        <f>RAW_DATA!K927</f>
        <v>6</v>
      </c>
      <c r="L927">
        <f>RAW_DATA!L927</f>
        <v>3</v>
      </c>
      <c r="M927">
        <f>RAW_DATA!M927</f>
        <v>1</v>
      </c>
      <c r="N927">
        <f t="shared" si="28"/>
        <v>0</v>
      </c>
      <c r="O927" t="str" cm="1">
        <f t="array" ref="O927" xml:space="preserve"> _xlfn.IFS(A927 &lt;ASSUMPTIONS!$D$2,"25",A927 &lt;= ASSUMPTIONS!$D$3,"25-34",A927 &lt;= ASSUMPTIONS!$D$4, "35-44",A927 &lt;= ASSUMPTIONS!$D$5,"45-54",TRUE,"55+")</f>
        <v>35-44</v>
      </c>
      <c r="P927" t="str" cm="1">
        <f t="array" ref="P927">_xlfn.IFS( J927 &lt;ASSUMPTIONS!$D$7,"LOW",J927 &lt;= ASSUMPTIONS!$D$8,"MEDIUM",TRUE, "HIGH")</f>
        <v>LOW</v>
      </c>
      <c r="Q927" t="str">
        <f>IF(M927&lt;ASSUMPTIONS!$D$10,"New (0-2)",IF(M927&lt;=ASSUMPTIONS!$D$11,"Early (2-5)",IF(M927&lt;=ASSUMPTIONS!$D$12,"Established (5-10)","Veteran (10+)")))</f>
        <v>New (0-2)</v>
      </c>
      <c r="R927" s="4">
        <f t="shared" si="29"/>
        <v>2.3333333333333335</v>
      </c>
    </row>
    <row r="928" spans="1:18">
      <c r="A928">
        <f>RAW_DATA!A928</f>
        <v>43</v>
      </c>
      <c r="B928" t="str">
        <f>RAW_DATA!B928</f>
        <v>No</v>
      </c>
      <c r="C928" t="str">
        <f>RAW_DATA!C928</f>
        <v>Sales</v>
      </c>
      <c r="D928">
        <f>RAW_DATA!D928</f>
        <v>4</v>
      </c>
      <c r="E928">
        <f>RAW_DATA!E928</f>
        <v>4</v>
      </c>
      <c r="F928" t="str">
        <f>RAW_DATA!F928</f>
        <v>Marketing</v>
      </c>
      <c r="G928">
        <f>RAW_DATA!G928</f>
        <v>4</v>
      </c>
      <c r="H928">
        <f>RAW_DATA!H928</f>
        <v>4</v>
      </c>
      <c r="I928" t="str">
        <f>RAW_DATA!I928</f>
        <v>Single</v>
      </c>
      <c r="J928">
        <f>RAW_DATA!J928</f>
        <v>10231</v>
      </c>
      <c r="K928">
        <f>RAW_DATA!K928</f>
        <v>3</v>
      </c>
      <c r="L928">
        <f>RAW_DATA!L928</f>
        <v>4</v>
      </c>
      <c r="M928">
        <f>RAW_DATA!M928</f>
        <v>21</v>
      </c>
      <c r="N928">
        <f t="shared" si="28"/>
        <v>0</v>
      </c>
      <c r="O928" t="str" cm="1">
        <f t="array" ref="O928" xml:space="preserve"> _xlfn.IFS(A928 &lt;ASSUMPTIONS!$D$2,"25",A928 &lt;= ASSUMPTIONS!$D$3,"25-34",A928 &lt;= ASSUMPTIONS!$D$4, "35-44",A928 &lt;= ASSUMPTIONS!$D$5,"45-54",TRUE,"55+")</f>
        <v>35-44</v>
      </c>
      <c r="P928" t="str" cm="1">
        <f t="array" ref="P928">_xlfn.IFS( J928 &lt;ASSUMPTIONS!$D$7,"LOW",J928 &lt;= ASSUMPTIONS!$D$8,"MEDIUM",TRUE, "HIGH")</f>
        <v>HIGH</v>
      </c>
      <c r="Q928" t="str">
        <f>IF(M928&lt;ASSUMPTIONS!$D$10,"New (0-2)",IF(M928&lt;=ASSUMPTIONS!$D$11,"Early (2-5)",IF(M928&lt;=ASSUMPTIONS!$D$12,"Established (5-10)","Veteran (10+)")))</f>
        <v>Veteran (10+)</v>
      </c>
      <c r="R928" s="4">
        <f t="shared" si="29"/>
        <v>4</v>
      </c>
    </row>
    <row r="929" spans="1:18">
      <c r="A929">
        <f>RAW_DATA!A929</f>
        <v>36</v>
      </c>
      <c r="B929" t="str">
        <f>RAW_DATA!B929</f>
        <v>No</v>
      </c>
      <c r="C929" t="str">
        <f>RAW_DATA!C929</f>
        <v>Research &amp; Development</v>
      </c>
      <c r="D929">
        <f>RAW_DATA!D929</f>
        <v>2</v>
      </c>
      <c r="E929">
        <f>RAW_DATA!E929</f>
        <v>4</v>
      </c>
      <c r="F929" t="str">
        <f>RAW_DATA!F929</f>
        <v>Life Sciences</v>
      </c>
      <c r="G929">
        <f>RAW_DATA!G929</f>
        <v>3</v>
      </c>
      <c r="H929">
        <f>RAW_DATA!H929</f>
        <v>2</v>
      </c>
      <c r="I929" t="str">
        <f>RAW_DATA!I929</f>
        <v>Single</v>
      </c>
      <c r="J929">
        <f>RAW_DATA!J929</f>
        <v>5410</v>
      </c>
      <c r="K929">
        <f>RAW_DATA!K929</f>
        <v>9</v>
      </c>
      <c r="L929">
        <f>RAW_DATA!L929</f>
        <v>3</v>
      </c>
      <c r="M929">
        <f>RAW_DATA!M929</f>
        <v>16</v>
      </c>
      <c r="N929">
        <f t="shared" si="28"/>
        <v>0</v>
      </c>
      <c r="O929" t="str" cm="1">
        <f t="array" ref="O929" xml:space="preserve"> _xlfn.IFS(A929 &lt;ASSUMPTIONS!$D$2,"25",A929 &lt;= ASSUMPTIONS!$D$3,"25-34",A929 &lt;= ASSUMPTIONS!$D$4, "35-44",A929 &lt;= ASSUMPTIONS!$D$5,"45-54",TRUE,"55+")</f>
        <v>35-44</v>
      </c>
      <c r="P929" t="str" cm="1">
        <f t="array" ref="P929">_xlfn.IFS( J929 &lt;ASSUMPTIONS!$D$7,"LOW",J929 &lt;= ASSUMPTIONS!$D$8,"MEDIUM",TRUE, "HIGH")</f>
        <v>MEDIUM</v>
      </c>
      <c r="Q929" t="str">
        <f>IF(M929&lt;ASSUMPTIONS!$D$10,"New (0-2)",IF(M929&lt;=ASSUMPTIONS!$D$11,"Early (2-5)",IF(M929&lt;=ASSUMPTIONS!$D$12,"Established (5-10)","Veteran (10+)")))</f>
        <v>Veteran (10+)</v>
      </c>
      <c r="R929" s="4">
        <f t="shared" si="29"/>
        <v>2.6666666666666665</v>
      </c>
    </row>
    <row r="930" spans="1:18">
      <c r="A930">
        <f>RAW_DATA!A930</f>
        <v>44</v>
      </c>
      <c r="B930" t="str">
        <f>RAW_DATA!B930</f>
        <v>Yes</v>
      </c>
      <c r="C930" t="str">
        <f>RAW_DATA!C930</f>
        <v>Research &amp; Development</v>
      </c>
      <c r="D930">
        <f>RAW_DATA!D930</f>
        <v>15</v>
      </c>
      <c r="E930">
        <f>RAW_DATA!E930</f>
        <v>3</v>
      </c>
      <c r="F930" t="str">
        <f>RAW_DATA!F930</f>
        <v>Medical</v>
      </c>
      <c r="G930">
        <f>RAW_DATA!G930</f>
        <v>1</v>
      </c>
      <c r="H930">
        <f>RAW_DATA!H930</f>
        <v>4</v>
      </c>
      <c r="I930" t="str">
        <f>RAW_DATA!I930</f>
        <v>Married</v>
      </c>
      <c r="J930">
        <f>RAW_DATA!J930</f>
        <v>7978</v>
      </c>
      <c r="K930">
        <f>RAW_DATA!K930</f>
        <v>1</v>
      </c>
      <c r="L930">
        <f>RAW_DATA!L930</f>
        <v>3</v>
      </c>
      <c r="M930">
        <f>RAW_DATA!M930</f>
        <v>10</v>
      </c>
      <c r="N930">
        <f t="shared" si="28"/>
        <v>1</v>
      </c>
      <c r="O930" t="str" cm="1">
        <f t="array" ref="O930" xml:space="preserve"> _xlfn.IFS(A930 &lt;ASSUMPTIONS!$D$2,"25",A930 &lt;= ASSUMPTIONS!$D$3,"25-34",A930 &lt;= ASSUMPTIONS!$D$4, "35-44",A930 &lt;= ASSUMPTIONS!$D$5,"45-54",TRUE,"55+")</f>
        <v>35-44</v>
      </c>
      <c r="P930" t="str" cm="1">
        <f t="array" ref="P930">_xlfn.IFS( J930 &lt;ASSUMPTIONS!$D$7,"LOW",J930 &lt;= ASSUMPTIONS!$D$8,"MEDIUM",TRUE, "HIGH")</f>
        <v>HIGH</v>
      </c>
      <c r="Q930" t="str">
        <f>IF(M930&lt;ASSUMPTIONS!$D$10,"New (0-2)",IF(M930&lt;=ASSUMPTIONS!$D$11,"Early (2-5)",IF(M930&lt;=ASSUMPTIONS!$D$12,"Established (5-10)","Veteran (10+)")))</f>
        <v>Established (5-10)</v>
      </c>
      <c r="R930" s="4">
        <f t="shared" si="29"/>
        <v>2.6666666666666665</v>
      </c>
    </row>
    <row r="931" spans="1:18">
      <c r="A931">
        <f>RAW_DATA!A931</f>
        <v>28</v>
      </c>
      <c r="B931" t="str">
        <f>RAW_DATA!B931</f>
        <v>No</v>
      </c>
      <c r="C931" t="str">
        <f>RAW_DATA!C931</f>
        <v>Research &amp; Development</v>
      </c>
      <c r="D931">
        <f>RAW_DATA!D931</f>
        <v>2</v>
      </c>
      <c r="E931">
        <f>RAW_DATA!E931</f>
        <v>3</v>
      </c>
      <c r="F931" t="str">
        <f>RAW_DATA!F931</f>
        <v>Life Sciences</v>
      </c>
      <c r="G931">
        <f>RAW_DATA!G931</f>
        <v>4</v>
      </c>
      <c r="H931">
        <f>RAW_DATA!H931</f>
        <v>4</v>
      </c>
      <c r="I931" t="str">
        <f>RAW_DATA!I931</f>
        <v>Married</v>
      </c>
      <c r="J931">
        <f>RAW_DATA!J931</f>
        <v>3867</v>
      </c>
      <c r="K931">
        <f>RAW_DATA!K931</f>
        <v>1</v>
      </c>
      <c r="L931">
        <f>RAW_DATA!L931</f>
        <v>3</v>
      </c>
      <c r="M931">
        <f>RAW_DATA!M931</f>
        <v>2</v>
      </c>
      <c r="N931">
        <f t="shared" si="28"/>
        <v>0</v>
      </c>
      <c r="O931" t="str" cm="1">
        <f t="array" ref="O931" xml:space="preserve"> _xlfn.IFS(A931 &lt;ASSUMPTIONS!$D$2,"25",A931 &lt;= ASSUMPTIONS!$D$3,"25-34",A931 &lt;= ASSUMPTIONS!$D$4, "35-44",A931 &lt;= ASSUMPTIONS!$D$5,"45-54",TRUE,"55+")</f>
        <v>25-34</v>
      </c>
      <c r="P931" t="str" cm="1">
        <f t="array" ref="P931">_xlfn.IFS( J931 &lt;ASSUMPTIONS!$D$7,"LOW",J931 &lt;= ASSUMPTIONS!$D$8,"MEDIUM",TRUE, "HIGH")</f>
        <v>MEDIUM</v>
      </c>
      <c r="Q931" t="str">
        <f>IF(M931&lt;ASSUMPTIONS!$D$10,"New (0-2)",IF(M931&lt;=ASSUMPTIONS!$D$11,"Early (2-5)",IF(M931&lt;=ASSUMPTIONS!$D$12,"Established (5-10)","Veteran (10+)")))</f>
        <v>Early (2-5)</v>
      </c>
      <c r="R931" s="4">
        <f t="shared" si="29"/>
        <v>3.6666666666666665</v>
      </c>
    </row>
    <row r="932" spans="1:18">
      <c r="A932">
        <f>RAW_DATA!A932</f>
        <v>51</v>
      </c>
      <c r="B932" t="str">
        <f>RAW_DATA!B932</f>
        <v>No</v>
      </c>
      <c r="C932" t="str">
        <f>RAW_DATA!C932</f>
        <v>Research &amp; Development</v>
      </c>
      <c r="D932">
        <f>RAW_DATA!D932</f>
        <v>6</v>
      </c>
      <c r="E932">
        <f>RAW_DATA!E932</f>
        <v>2</v>
      </c>
      <c r="F932" t="str">
        <f>RAW_DATA!F932</f>
        <v>Medical</v>
      </c>
      <c r="G932">
        <f>RAW_DATA!G932</f>
        <v>2</v>
      </c>
      <c r="H932">
        <f>RAW_DATA!H932</f>
        <v>3</v>
      </c>
      <c r="I932" t="str">
        <f>RAW_DATA!I932</f>
        <v>Single</v>
      </c>
      <c r="J932">
        <f>RAW_DATA!J932</f>
        <v>2838</v>
      </c>
      <c r="K932">
        <f>RAW_DATA!K932</f>
        <v>0</v>
      </c>
      <c r="L932">
        <f>RAW_DATA!L932</f>
        <v>2</v>
      </c>
      <c r="M932">
        <f>RAW_DATA!M932</f>
        <v>7</v>
      </c>
      <c r="N932">
        <f t="shared" si="28"/>
        <v>0</v>
      </c>
      <c r="O932" t="str" cm="1">
        <f t="array" ref="O932" xml:space="preserve"> _xlfn.IFS(A932 &lt;ASSUMPTIONS!$D$2,"25",A932 &lt;= ASSUMPTIONS!$D$3,"25-34",A932 &lt;= ASSUMPTIONS!$D$4, "35-44",A932 &lt;= ASSUMPTIONS!$D$5,"45-54",TRUE,"55+")</f>
        <v>45-54</v>
      </c>
      <c r="P932" t="str" cm="1">
        <f t="array" ref="P932">_xlfn.IFS( J932 &lt;ASSUMPTIONS!$D$7,"LOW",J932 &lt;= ASSUMPTIONS!$D$8,"MEDIUM",TRUE, "HIGH")</f>
        <v>LOW</v>
      </c>
      <c r="Q932" t="str">
        <f>IF(M932&lt;ASSUMPTIONS!$D$10,"New (0-2)",IF(M932&lt;=ASSUMPTIONS!$D$11,"Early (2-5)",IF(M932&lt;=ASSUMPTIONS!$D$12,"Established (5-10)","Veteran (10+)")))</f>
        <v>Established (5-10)</v>
      </c>
      <c r="R932" s="4">
        <f t="shared" si="29"/>
        <v>2.3333333333333335</v>
      </c>
    </row>
    <row r="933" spans="1:18">
      <c r="A933">
        <f>RAW_DATA!A933</f>
        <v>30</v>
      </c>
      <c r="B933" t="str">
        <f>RAW_DATA!B933</f>
        <v>No</v>
      </c>
      <c r="C933" t="str">
        <f>RAW_DATA!C933</f>
        <v>Research &amp; Development</v>
      </c>
      <c r="D933">
        <f>RAW_DATA!D933</f>
        <v>9</v>
      </c>
      <c r="E933">
        <f>RAW_DATA!E933</f>
        <v>2</v>
      </c>
      <c r="F933" t="str">
        <f>RAW_DATA!F933</f>
        <v>Medical</v>
      </c>
      <c r="G933">
        <f>RAW_DATA!G933</f>
        <v>3</v>
      </c>
      <c r="H933">
        <f>RAW_DATA!H933</f>
        <v>3</v>
      </c>
      <c r="I933" t="str">
        <f>RAW_DATA!I933</f>
        <v>Single</v>
      </c>
      <c r="J933">
        <f>RAW_DATA!J933</f>
        <v>4695</v>
      </c>
      <c r="K933">
        <f>RAW_DATA!K933</f>
        <v>7</v>
      </c>
      <c r="L933">
        <f>RAW_DATA!L933</f>
        <v>3</v>
      </c>
      <c r="M933">
        <f>RAW_DATA!M933</f>
        <v>8</v>
      </c>
      <c r="N933">
        <f t="shared" si="28"/>
        <v>0</v>
      </c>
      <c r="O933" t="str" cm="1">
        <f t="array" ref="O933" xml:space="preserve"> _xlfn.IFS(A933 &lt;ASSUMPTIONS!$D$2,"25",A933 &lt;= ASSUMPTIONS!$D$3,"25-34",A933 &lt;= ASSUMPTIONS!$D$4, "35-44",A933 &lt;= ASSUMPTIONS!$D$5,"45-54",TRUE,"55+")</f>
        <v>25-34</v>
      </c>
      <c r="P933" t="str" cm="1">
        <f t="array" ref="P933">_xlfn.IFS( J933 &lt;ASSUMPTIONS!$D$7,"LOW",J933 &lt;= ASSUMPTIONS!$D$8,"MEDIUM",TRUE, "HIGH")</f>
        <v>MEDIUM</v>
      </c>
      <c r="Q933" t="str">
        <f>IF(M933&lt;ASSUMPTIONS!$D$10,"New (0-2)",IF(M933&lt;=ASSUMPTIONS!$D$11,"Early (2-5)",IF(M933&lt;=ASSUMPTIONS!$D$12,"Established (5-10)","Veteran (10+)")))</f>
        <v>Established (5-10)</v>
      </c>
      <c r="R933" s="4">
        <f t="shared" si="29"/>
        <v>3</v>
      </c>
    </row>
    <row r="934" spans="1:18">
      <c r="A934">
        <f>RAW_DATA!A934</f>
        <v>29</v>
      </c>
      <c r="B934" t="str">
        <f>RAW_DATA!B934</f>
        <v>Yes</v>
      </c>
      <c r="C934" t="str">
        <f>RAW_DATA!C934</f>
        <v>Research &amp; Development</v>
      </c>
      <c r="D934">
        <f>RAW_DATA!D934</f>
        <v>7</v>
      </c>
      <c r="E934">
        <f>RAW_DATA!E934</f>
        <v>3</v>
      </c>
      <c r="F934" t="str">
        <f>RAW_DATA!F934</f>
        <v>Technical Degree</v>
      </c>
      <c r="G934">
        <f>RAW_DATA!G934</f>
        <v>2</v>
      </c>
      <c r="H934">
        <f>RAW_DATA!H934</f>
        <v>3</v>
      </c>
      <c r="I934" t="str">
        <f>RAW_DATA!I934</f>
        <v>Divorced</v>
      </c>
      <c r="J934">
        <f>RAW_DATA!J934</f>
        <v>3339</v>
      </c>
      <c r="K934">
        <f>RAW_DATA!K934</f>
        <v>3</v>
      </c>
      <c r="L934">
        <f>RAW_DATA!L934</f>
        <v>3</v>
      </c>
      <c r="M934">
        <f>RAW_DATA!M934</f>
        <v>7</v>
      </c>
      <c r="N934">
        <f t="shared" si="28"/>
        <v>1</v>
      </c>
      <c r="O934" t="str" cm="1">
        <f t="array" ref="O934" xml:space="preserve"> _xlfn.IFS(A934 &lt;ASSUMPTIONS!$D$2,"25",A934 &lt;= ASSUMPTIONS!$D$3,"25-34",A934 &lt;= ASSUMPTIONS!$D$4, "35-44",A934 &lt;= ASSUMPTIONS!$D$5,"45-54",TRUE,"55+")</f>
        <v>25-34</v>
      </c>
      <c r="P934" t="str" cm="1">
        <f t="array" ref="P934">_xlfn.IFS( J934 &lt;ASSUMPTIONS!$D$7,"LOW",J934 &lt;= ASSUMPTIONS!$D$8,"MEDIUM",TRUE, "HIGH")</f>
        <v>MEDIUM</v>
      </c>
      <c r="Q934" t="str">
        <f>IF(M934&lt;ASSUMPTIONS!$D$10,"New (0-2)",IF(M934&lt;=ASSUMPTIONS!$D$11,"Early (2-5)",IF(M934&lt;=ASSUMPTIONS!$D$12,"Established (5-10)","Veteran (10+)")))</f>
        <v>Established (5-10)</v>
      </c>
      <c r="R934" s="4">
        <f t="shared" si="29"/>
        <v>2.6666666666666665</v>
      </c>
    </row>
    <row r="935" spans="1:18">
      <c r="A935">
        <f>RAW_DATA!A935</f>
        <v>28</v>
      </c>
      <c r="B935" t="str">
        <f>RAW_DATA!B935</f>
        <v>No</v>
      </c>
      <c r="C935" t="str">
        <f>RAW_DATA!C935</f>
        <v>Research &amp; Development</v>
      </c>
      <c r="D935">
        <f>RAW_DATA!D935</f>
        <v>1</v>
      </c>
      <c r="E935">
        <f>RAW_DATA!E935</f>
        <v>3</v>
      </c>
      <c r="F935" t="str">
        <f>RAW_DATA!F935</f>
        <v>Technical Degree</v>
      </c>
      <c r="G935">
        <f>RAW_DATA!G935</f>
        <v>4</v>
      </c>
      <c r="H935">
        <f>RAW_DATA!H935</f>
        <v>1</v>
      </c>
      <c r="I935" t="str">
        <f>RAW_DATA!I935</f>
        <v>Single</v>
      </c>
      <c r="J935">
        <f>RAW_DATA!J935</f>
        <v>2080</v>
      </c>
      <c r="K935">
        <f>RAW_DATA!K935</f>
        <v>2</v>
      </c>
      <c r="L935">
        <f>RAW_DATA!L935</f>
        <v>2</v>
      </c>
      <c r="M935">
        <f>RAW_DATA!M935</f>
        <v>3</v>
      </c>
      <c r="N935">
        <f t="shared" si="28"/>
        <v>0</v>
      </c>
      <c r="O935" t="str" cm="1">
        <f t="array" ref="O935" xml:space="preserve"> _xlfn.IFS(A935 &lt;ASSUMPTIONS!$D$2,"25",A935 &lt;= ASSUMPTIONS!$D$3,"25-34",A935 &lt;= ASSUMPTIONS!$D$4, "35-44",A935 &lt;= ASSUMPTIONS!$D$5,"45-54",TRUE,"55+")</f>
        <v>25-34</v>
      </c>
      <c r="P935" t="str" cm="1">
        <f t="array" ref="P935">_xlfn.IFS( J935 &lt;ASSUMPTIONS!$D$7,"LOW",J935 &lt;= ASSUMPTIONS!$D$8,"MEDIUM",TRUE, "HIGH")</f>
        <v>LOW</v>
      </c>
      <c r="Q935" t="str">
        <f>IF(M935&lt;ASSUMPTIONS!$D$10,"New (0-2)",IF(M935&lt;=ASSUMPTIONS!$D$11,"Early (2-5)",IF(M935&lt;=ASSUMPTIONS!$D$12,"Established (5-10)","Veteran (10+)")))</f>
        <v>Early (2-5)</v>
      </c>
      <c r="R935" s="4">
        <f t="shared" si="29"/>
        <v>2.3333333333333335</v>
      </c>
    </row>
    <row r="936" spans="1:18">
      <c r="A936">
        <f>RAW_DATA!A936</f>
        <v>25</v>
      </c>
      <c r="B936" t="str">
        <f>RAW_DATA!B936</f>
        <v>No</v>
      </c>
      <c r="C936" t="str">
        <f>RAW_DATA!C936</f>
        <v>Research &amp; Development</v>
      </c>
      <c r="D936">
        <f>RAW_DATA!D936</f>
        <v>1</v>
      </c>
      <c r="E936">
        <f>RAW_DATA!E936</f>
        <v>3</v>
      </c>
      <c r="F936" t="str">
        <f>RAW_DATA!F936</f>
        <v>Medical</v>
      </c>
      <c r="G936">
        <f>RAW_DATA!G936</f>
        <v>4</v>
      </c>
      <c r="H936">
        <f>RAW_DATA!H936</f>
        <v>2</v>
      </c>
      <c r="I936" t="str">
        <f>RAW_DATA!I936</f>
        <v>Single</v>
      </c>
      <c r="J936">
        <f>RAW_DATA!J936</f>
        <v>2096</v>
      </c>
      <c r="K936">
        <f>RAW_DATA!K936</f>
        <v>1</v>
      </c>
      <c r="L936">
        <f>RAW_DATA!L936</f>
        <v>2</v>
      </c>
      <c r="M936">
        <f>RAW_DATA!M936</f>
        <v>2</v>
      </c>
      <c r="N936">
        <f t="shared" si="28"/>
        <v>0</v>
      </c>
      <c r="O936" t="str" cm="1">
        <f t="array" ref="O936" xml:space="preserve"> _xlfn.IFS(A936 &lt;ASSUMPTIONS!$D$2,"25",A936 &lt;= ASSUMPTIONS!$D$3,"25-34",A936 &lt;= ASSUMPTIONS!$D$4, "35-44",A936 &lt;= ASSUMPTIONS!$D$5,"45-54",TRUE,"55+")</f>
        <v>25-34</v>
      </c>
      <c r="P936" t="str" cm="1">
        <f t="array" ref="P936">_xlfn.IFS( J936 &lt;ASSUMPTIONS!$D$7,"LOW",J936 &lt;= ASSUMPTIONS!$D$8,"MEDIUM",TRUE, "HIGH")</f>
        <v>LOW</v>
      </c>
      <c r="Q936" t="str">
        <f>IF(M936&lt;ASSUMPTIONS!$D$10,"New (0-2)",IF(M936&lt;=ASSUMPTIONS!$D$11,"Early (2-5)",IF(M936&lt;=ASSUMPTIONS!$D$12,"Established (5-10)","Veteran (10+)")))</f>
        <v>Early (2-5)</v>
      </c>
      <c r="R936" s="4">
        <f t="shared" si="29"/>
        <v>2.6666666666666665</v>
      </c>
    </row>
    <row r="937" spans="1:18">
      <c r="A937">
        <f>RAW_DATA!A937</f>
        <v>32</v>
      </c>
      <c r="B937" t="str">
        <f>RAW_DATA!B937</f>
        <v>No</v>
      </c>
      <c r="C937" t="str">
        <f>RAW_DATA!C937</f>
        <v>Sales</v>
      </c>
      <c r="D937">
        <f>RAW_DATA!D937</f>
        <v>8</v>
      </c>
      <c r="E937">
        <f>RAW_DATA!E937</f>
        <v>3</v>
      </c>
      <c r="F937" t="str">
        <f>RAW_DATA!F937</f>
        <v>Medical</v>
      </c>
      <c r="G937">
        <f>RAW_DATA!G937</f>
        <v>3</v>
      </c>
      <c r="H937">
        <f>RAW_DATA!H937</f>
        <v>4</v>
      </c>
      <c r="I937" t="str">
        <f>RAW_DATA!I937</f>
        <v>Married</v>
      </c>
      <c r="J937">
        <f>RAW_DATA!J937</f>
        <v>6209</v>
      </c>
      <c r="K937">
        <f>RAW_DATA!K937</f>
        <v>1</v>
      </c>
      <c r="L937">
        <f>RAW_DATA!L937</f>
        <v>4</v>
      </c>
      <c r="M937">
        <f>RAW_DATA!M937</f>
        <v>10</v>
      </c>
      <c r="N937">
        <f t="shared" si="28"/>
        <v>0</v>
      </c>
      <c r="O937" t="str" cm="1">
        <f t="array" ref="O937" xml:space="preserve"> _xlfn.IFS(A937 &lt;ASSUMPTIONS!$D$2,"25",A937 &lt;= ASSUMPTIONS!$D$3,"25-34",A937 &lt;= ASSUMPTIONS!$D$4, "35-44",A937 &lt;= ASSUMPTIONS!$D$5,"45-54",TRUE,"55+")</f>
        <v>25-34</v>
      </c>
      <c r="P937" t="str" cm="1">
        <f t="array" ref="P937">_xlfn.IFS( J937 &lt;ASSUMPTIONS!$D$7,"LOW",J937 &lt;= ASSUMPTIONS!$D$8,"MEDIUM",TRUE, "HIGH")</f>
        <v>MEDIUM</v>
      </c>
      <c r="Q937" t="str">
        <f>IF(M937&lt;ASSUMPTIONS!$D$10,"New (0-2)",IF(M937&lt;=ASSUMPTIONS!$D$11,"Early (2-5)",IF(M937&lt;=ASSUMPTIONS!$D$12,"Established (5-10)","Veteran (10+)")))</f>
        <v>Established (5-10)</v>
      </c>
      <c r="R937" s="4">
        <f t="shared" si="29"/>
        <v>3.6666666666666665</v>
      </c>
    </row>
    <row r="938" spans="1:18">
      <c r="A938">
        <f>RAW_DATA!A938</f>
        <v>45</v>
      </c>
      <c r="B938" t="str">
        <f>RAW_DATA!B938</f>
        <v>No</v>
      </c>
      <c r="C938" t="str">
        <f>RAW_DATA!C938</f>
        <v>Research &amp; Development</v>
      </c>
      <c r="D938">
        <f>RAW_DATA!D938</f>
        <v>25</v>
      </c>
      <c r="E938">
        <f>RAW_DATA!E938</f>
        <v>3</v>
      </c>
      <c r="F938" t="str">
        <f>RAW_DATA!F938</f>
        <v>Medical</v>
      </c>
      <c r="G938">
        <f>RAW_DATA!G938</f>
        <v>2</v>
      </c>
      <c r="H938">
        <f>RAW_DATA!H938</f>
        <v>2</v>
      </c>
      <c r="I938" t="str">
        <f>RAW_DATA!I938</f>
        <v>Single</v>
      </c>
      <c r="J938">
        <f>RAW_DATA!J938</f>
        <v>18061</v>
      </c>
      <c r="K938">
        <f>RAW_DATA!K938</f>
        <v>3</v>
      </c>
      <c r="L938">
        <f>RAW_DATA!L938</f>
        <v>3</v>
      </c>
      <c r="M938">
        <f>RAW_DATA!M938</f>
        <v>0</v>
      </c>
      <c r="N938">
        <f t="shared" si="28"/>
        <v>0</v>
      </c>
      <c r="O938" t="str" cm="1">
        <f t="array" ref="O938" xml:space="preserve"> _xlfn.IFS(A938 &lt;ASSUMPTIONS!$D$2,"25",A938 &lt;= ASSUMPTIONS!$D$3,"25-34",A938 &lt;= ASSUMPTIONS!$D$4, "35-44",A938 &lt;= ASSUMPTIONS!$D$5,"45-54",TRUE,"55+")</f>
        <v>45-54</v>
      </c>
      <c r="P938" t="str" cm="1">
        <f t="array" ref="P938">_xlfn.IFS( J938 &lt;ASSUMPTIONS!$D$7,"LOW",J938 &lt;= ASSUMPTIONS!$D$8,"MEDIUM",TRUE, "HIGH")</f>
        <v>HIGH</v>
      </c>
      <c r="Q938" t="str">
        <f>IF(M938&lt;ASSUMPTIONS!$D$10,"New (0-2)",IF(M938&lt;=ASSUMPTIONS!$D$11,"Early (2-5)",IF(M938&lt;=ASSUMPTIONS!$D$12,"Established (5-10)","Veteran (10+)")))</f>
        <v>New (0-2)</v>
      </c>
      <c r="R938" s="4">
        <f t="shared" si="29"/>
        <v>2.3333333333333335</v>
      </c>
    </row>
    <row r="939" spans="1:18">
      <c r="A939">
        <f>RAW_DATA!A939</f>
        <v>39</v>
      </c>
      <c r="B939" t="str">
        <f>RAW_DATA!B939</f>
        <v>No</v>
      </c>
      <c r="C939" t="str">
        <f>RAW_DATA!C939</f>
        <v>Research &amp; Development</v>
      </c>
      <c r="D939">
        <f>RAW_DATA!D939</f>
        <v>13</v>
      </c>
      <c r="E939">
        <f>RAW_DATA!E939</f>
        <v>4</v>
      </c>
      <c r="F939" t="str">
        <f>RAW_DATA!F939</f>
        <v>Medical</v>
      </c>
      <c r="G939">
        <f>RAW_DATA!G939</f>
        <v>3</v>
      </c>
      <c r="H939">
        <f>RAW_DATA!H939</f>
        <v>2</v>
      </c>
      <c r="I939" t="str">
        <f>RAW_DATA!I939</f>
        <v>Divorced</v>
      </c>
      <c r="J939">
        <f>RAW_DATA!J939</f>
        <v>17123</v>
      </c>
      <c r="K939">
        <f>RAW_DATA!K939</f>
        <v>6</v>
      </c>
      <c r="L939">
        <f>RAW_DATA!L939</f>
        <v>3</v>
      </c>
      <c r="M939">
        <f>RAW_DATA!M939</f>
        <v>19</v>
      </c>
      <c r="N939">
        <f t="shared" si="28"/>
        <v>0</v>
      </c>
      <c r="O939" t="str" cm="1">
        <f t="array" ref="O939" xml:space="preserve"> _xlfn.IFS(A939 &lt;ASSUMPTIONS!$D$2,"25",A939 &lt;= ASSUMPTIONS!$D$3,"25-34",A939 &lt;= ASSUMPTIONS!$D$4, "35-44",A939 &lt;= ASSUMPTIONS!$D$5,"45-54",TRUE,"55+")</f>
        <v>35-44</v>
      </c>
      <c r="P939" t="str" cm="1">
        <f t="array" ref="P939">_xlfn.IFS( J939 &lt;ASSUMPTIONS!$D$7,"LOW",J939 &lt;= ASSUMPTIONS!$D$8,"MEDIUM",TRUE, "HIGH")</f>
        <v>HIGH</v>
      </c>
      <c r="Q939" t="str">
        <f>IF(M939&lt;ASSUMPTIONS!$D$10,"New (0-2)",IF(M939&lt;=ASSUMPTIONS!$D$11,"Early (2-5)",IF(M939&lt;=ASSUMPTIONS!$D$12,"Established (5-10)","Veteran (10+)")))</f>
        <v>Veteran (10+)</v>
      </c>
      <c r="R939" s="4">
        <f t="shared" si="29"/>
        <v>2.6666666666666665</v>
      </c>
    </row>
    <row r="940" spans="1:18">
      <c r="A940">
        <f>RAW_DATA!A940</f>
        <v>58</v>
      </c>
      <c r="B940" t="str">
        <f>RAW_DATA!B940</f>
        <v>No</v>
      </c>
      <c r="C940" t="str">
        <f>RAW_DATA!C940</f>
        <v>Research &amp; Development</v>
      </c>
      <c r="D940">
        <f>RAW_DATA!D940</f>
        <v>23</v>
      </c>
      <c r="E940">
        <f>RAW_DATA!E940</f>
        <v>4</v>
      </c>
      <c r="F940" t="str">
        <f>RAW_DATA!F940</f>
        <v>Life Sciences</v>
      </c>
      <c r="G940">
        <f>RAW_DATA!G940</f>
        <v>1</v>
      </c>
      <c r="H940">
        <f>RAW_DATA!H940</f>
        <v>3</v>
      </c>
      <c r="I940" t="str">
        <f>RAW_DATA!I940</f>
        <v>Divorced</v>
      </c>
      <c r="J940">
        <f>RAW_DATA!J940</f>
        <v>2372</v>
      </c>
      <c r="K940">
        <f>RAW_DATA!K940</f>
        <v>1</v>
      </c>
      <c r="L940">
        <f>RAW_DATA!L940</f>
        <v>3</v>
      </c>
      <c r="M940">
        <f>RAW_DATA!M940</f>
        <v>2</v>
      </c>
      <c r="N940">
        <f t="shared" si="28"/>
        <v>0</v>
      </c>
      <c r="O940" t="str" cm="1">
        <f t="array" ref="O940" xml:space="preserve"> _xlfn.IFS(A940 &lt;ASSUMPTIONS!$D$2,"25",A940 &lt;= ASSUMPTIONS!$D$3,"25-34",A940 &lt;= ASSUMPTIONS!$D$4, "35-44",A940 &lt;= ASSUMPTIONS!$D$5,"45-54",TRUE,"55+")</f>
        <v>55+</v>
      </c>
      <c r="P940" t="str" cm="1">
        <f t="array" ref="P940">_xlfn.IFS( J940 &lt;ASSUMPTIONS!$D$7,"LOW",J940 &lt;= ASSUMPTIONS!$D$8,"MEDIUM",TRUE, "HIGH")</f>
        <v>LOW</v>
      </c>
      <c r="Q940" t="str">
        <f>IF(M940&lt;ASSUMPTIONS!$D$10,"New (0-2)",IF(M940&lt;=ASSUMPTIONS!$D$11,"Early (2-5)",IF(M940&lt;=ASSUMPTIONS!$D$12,"Established (5-10)","Veteran (10+)")))</f>
        <v>Early (2-5)</v>
      </c>
      <c r="R940" s="4">
        <f t="shared" si="29"/>
        <v>2.3333333333333335</v>
      </c>
    </row>
    <row r="941" spans="1:18">
      <c r="A941">
        <f>RAW_DATA!A941</f>
        <v>32</v>
      </c>
      <c r="B941" t="str">
        <f>RAW_DATA!B941</f>
        <v>Yes</v>
      </c>
      <c r="C941" t="str">
        <f>RAW_DATA!C941</f>
        <v>Research &amp; Development</v>
      </c>
      <c r="D941">
        <f>RAW_DATA!D941</f>
        <v>7</v>
      </c>
      <c r="E941">
        <f>RAW_DATA!E941</f>
        <v>2</v>
      </c>
      <c r="F941" t="str">
        <f>RAW_DATA!F941</f>
        <v>Life Sciences</v>
      </c>
      <c r="G941">
        <f>RAW_DATA!G941</f>
        <v>4</v>
      </c>
      <c r="H941">
        <f>RAW_DATA!H941</f>
        <v>3</v>
      </c>
      <c r="I941" t="str">
        <f>RAW_DATA!I941</f>
        <v>Married</v>
      </c>
      <c r="J941">
        <f>RAW_DATA!J941</f>
        <v>4883</v>
      </c>
      <c r="K941">
        <f>RAW_DATA!K941</f>
        <v>1</v>
      </c>
      <c r="L941">
        <f>RAW_DATA!L941</f>
        <v>3</v>
      </c>
      <c r="M941">
        <f>RAW_DATA!M941</f>
        <v>10</v>
      </c>
      <c r="N941">
        <f t="shared" si="28"/>
        <v>1</v>
      </c>
      <c r="O941" t="str" cm="1">
        <f t="array" ref="O941" xml:space="preserve"> _xlfn.IFS(A941 &lt;ASSUMPTIONS!$D$2,"25",A941 &lt;= ASSUMPTIONS!$D$3,"25-34",A941 &lt;= ASSUMPTIONS!$D$4, "35-44",A941 &lt;= ASSUMPTIONS!$D$5,"45-54",TRUE,"55+")</f>
        <v>25-34</v>
      </c>
      <c r="P941" t="str" cm="1">
        <f t="array" ref="P941">_xlfn.IFS( J941 &lt;ASSUMPTIONS!$D$7,"LOW",J941 &lt;= ASSUMPTIONS!$D$8,"MEDIUM",TRUE, "HIGH")</f>
        <v>MEDIUM</v>
      </c>
      <c r="Q941" t="str">
        <f>IF(M941&lt;ASSUMPTIONS!$D$10,"New (0-2)",IF(M941&lt;=ASSUMPTIONS!$D$11,"Early (2-5)",IF(M941&lt;=ASSUMPTIONS!$D$12,"Established (5-10)","Veteran (10+)")))</f>
        <v>Established (5-10)</v>
      </c>
      <c r="R941" s="4">
        <f t="shared" si="29"/>
        <v>3.3333333333333335</v>
      </c>
    </row>
    <row r="942" spans="1:18">
      <c r="A942">
        <f>RAW_DATA!A942</f>
        <v>39</v>
      </c>
      <c r="B942" t="str">
        <f>RAW_DATA!B942</f>
        <v>Yes</v>
      </c>
      <c r="C942" t="str">
        <f>RAW_DATA!C942</f>
        <v>Research &amp; Development</v>
      </c>
      <c r="D942">
        <f>RAW_DATA!D942</f>
        <v>23</v>
      </c>
      <c r="E942">
        <f>RAW_DATA!E942</f>
        <v>3</v>
      </c>
      <c r="F942" t="str">
        <f>RAW_DATA!F942</f>
        <v>Medical</v>
      </c>
      <c r="G942">
        <f>RAW_DATA!G942</f>
        <v>3</v>
      </c>
      <c r="H942">
        <f>RAW_DATA!H942</f>
        <v>1</v>
      </c>
      <c r="I942" t="str">
        <f>RAW_DATA!I942</f>
        <v>Single</v>
      </c>
      <c r="J942">
        <f>RAW_DATA!J942</f>
        <v>3904</v>
      </c>
      <c r="K942">
        <f>RAW_DATA!K942</f>
        <v>0</v>
      </c>
      <c r="L942">
        <f>RAW_DATA!L942</f>
        <v>3</v>
      </c>
      <c r="M942">
        <f>RAW_DATA!M942</f>
        <v>5</v>
      </c>
      <c r="N942">
        <f t="shared" si="28"/>
        <v>1</v>
      </c>
      <c r="O942" t="str" cm="1">
        <f t="array" ref="O942" xml:space="preserve"> _xlfn.IFS(A942 &lt;ASSUMPTIONS!$D$2,"25",A942 &lt;= ASSUMPTIONS!$D$3,"25-34",A942 &lt;= ASSUMPTIONS!$D$4, "35-44",A942 &lt;= ASSUMPTIONS!$D$5,"45-54",TRUE,"55+")</f>
        <v>35-44</v>
      </c>
      <c r="P942" t="str" cm="1">
        <f t="array" ref="P942">_xlfn.IFS( J942 &lt;ASSUMPTIONS!$D$7,"LOW",J942 &lt;= ASSUMPTIONS!$D$8,"MEDIUM",TRUE, "HIGH")</f>
        <v>MEDIUM</v>
      </c>
      <c r="Q942" t="str">
        <f>IF(M942&lt;ASSUMPTIONS!$D$10,"New (0-2)",IF(M942&lt;=ASSUMPTIONS!$D$11,"Early (2-5)",IF(M942&lt;=ASSUMPTIONS!$D$12,"Established (5-10)","Veteran (10+)")))</f>
        <v>Early (2-5)</v>
      </c>
      <c r="R942" s="4">
        <f t="shared" si="29"/>
        <v>2.3333333333333335</v>
      </c>
    </row>
    <row r="943" spans="1:18">
      <c r="A943">
        <f>RAW_DATA!A943</f>
        <v>30</v>
      </c>
      <c r="B943" t="str">
        <f>RAW_DATA!B943</f>
        <v>No</v>
      </c>
      <c r="C943" t="str">
        <f>RAW_DATA!C943</f>
        <v>Research &amp; Development</v>
      </c>
      <c r="D943">
        <f>RAW_DATA!D943</f>
        <v>6</v>
      </c>
      <c r="E943">
        <f>RAW_DATA!E943</f>
        <v>3</v>
      </c>
      <c r="F943" t="str">
        <f>RAW_DATA!F943</f>
        <v>Technical Degree</v>
      </c>
      <c r="G943">
        <f>RAW_DATA!G943</f>
        <v>1</v>
      </c>
      <c r="H943">
        <f>RAW_DATA!H943</f>
        <v>4</v>
      </c>
      <c r="I943" t="str">
        <f>RAW_DATA!I943</f>
        <v>Married</v>
      </c>
      <c r="J943">
        <f>RAW_DATA!J943</f>
        <v>4627</v>
      </c>
      <c r="K943">
        <f>RAW_DATA!K943</f>
        <v>0</v>
      </c>
      <c r="L943">
        <f>RAW_DATA!L943</f>
        <v>3</v>
      </c>
      <c r="M943">
        <f>RAW_DATA!M943</f>
        <v>9</v>
      </c>
      <c r="N943">
        <f t="shared" si="28"/>
        <v>0</v>
      </c>
      <c r="O943" t="str" cm="1">
        <f t="array" ref="O943" xml:space="preserve"> _xlfn.IFS(A943 &lt;ASSUMPTIONS!$D$2,"25",A943 &lt;= ASSUMPTIONS!$D$3,"25-34",A943 &lt;= ASSUMPTIONS!$D$4, "35-44",A943 &lt;= ASSUMPTIONS!$D$5,"45-54",TRUE,"55+")</f>
        <v>25-34</v>
      </c>
      <c r="P943" t="str" cm="1">
        <f t="array" ref="P943">_xlfn.IFS( J943 &lt;ASSUMPTIONS!$D$7,"LOW",J943 &lt;= ASSUMPTIONS!$D$8,"MEDIUM",TRUE, "HIGH")</f>
        <v>MEDIUM</v>
      </c>
      <c r="Q943" t="str">
        <f>IF(M943&lt;ASSUMPTIONS!$D$10,"New (0-2)",IF(M943&lt;=ASSUMPTIONS!$D$11,"Early (2-5)",IF(M943&lt;=ASSUMPTIONS!$D$12,"Established (5-10)","Veteran (10+)")))</f>
        <v>Established (5-10)</v>
      </c>
      <c r="R943" s="4">
        <f t="shared" si="29"/>
        <v>2.6666666666666665</v>
      </c>
    </row>
    <row r="944" spans="1:18">
      <c r="A944">
        <f>RAW_DATA!A944</f>
        <v>36</v>
      </c>
      <c r="B944" t="str">
        <f>RAW_DATA!B944</f>
        <v>No</v>
      </c>
      <c r="C944" t="str">
        <f>RAW_DATA!C944</f>
        <v>Research &amp; Development</v>
      </c>
      <c r="D944">
        <f>RAW_DATA!D944</f>
        <v>10</v>
      </c>
      <c r="E944">
        <f>RAW_DATA!E944</f>
        <v>4</v>
      </c>
      <c r="F944" t="str">
        <f>RAW_DATA!F944</f>
        <v>Technical Degree</v>
      </c>
      <c r="G944">
        <f>RAW_DATA!G944</f>
        <v>4</v>
      </c>
      <c r="H944">
        <f>RAW_DATA!H944</f>
        <v>3</v>
      </c>
      <c r="I944" t="str">
        <f>RAW_DATA!I944</f>
        <v>Married</v>
      </c>
      <c r="J944">
        <f>RAW_DATA!J944</f>
        <v>7094</v>
      </c>
      <c r="K944">
        <f>RAW_DATA!K944</f>
        <v>3</v>
      </c>
      <c r="L944">
        <f>RAW_DATA!L944</f>
        <v>3</v>
      </c>
      <c r="M944">
        <f>RAW_DATA!M944</f>
        <v>7</v>
      </c>
      <c r="N944">
        <f t="shared" si="28"/>
        <v>0</v>
      </c>
      <c r="O944" t="str" cm="1">
        <f t="array" ref="O944" xml:space="preserve"> _xlfn.IFS(A944 &lt;ASSUMPTIONS!$D$2,"25",A944 &lt;= ASSUMPTIONS!$D$3,"25-34",A944 &lt;= ASSUMPTIONS!$D$4, "35-44",A944 &lt;= ASSUMPTIONS!$D$5,"45-54",TRUE,"55+")</f>
        <v>35-44</v>
      </c>
      <c r="P944" t="str" cm="1">
        <f t="array" ref="P944">_xlfn.IFS( J944 &lt;ASSUMPTIONS!$D$7,"LOW",J944 &lt;= ASSUMPTIONS!$D$8,"MEDIUM",TRUE, "HIGH")</f>
        <v>HIGH</v>
      </c>
      <c r="Q944" t="str">
        <f>IF(M944&lt;ASSUMPTIONS!$D$10,"New (0-2)",IF(M944&lt;=ASSUMPTIONS!$D$11,"Early (2-5)",IF(M944&lt;=ASSUMPTIONS!$D$12,"Established (5-10)","Veteran (10+)")))</f>
        <v>Established (5-10)</v>
      </c>
      <c r="R944" s="4">
        <f t="shared" si="29"/>
        <v>3.3333333333333335</v>
      </c>
    </row>
    <row r="945" spans="1:18">
      <c r="A945">
        <f>RAW_DATA!A945</f>
        <v>46</v>
      </c>
      <c r="B945" t="str">
        <f>RAW_DATA!B945</f>
        <v>No</v>
      </c>
      <c r="C945" t="str">
        <f>RAW_DATA!C945</f>
        <v>Human Resources</v>
      </c>
      <c r="D945">
        <f>RAW_DATA!D945</f>
        <v>1</v>
      </c>
      <c r="E945">
        <f>RAW_DATA!E945</f>
        <v>2</v>
      </c>
      <c r="F945" t="str">
        <f>RAW_DATA!F945</f>
        <v>Life Sciences</v>
      </c>
      <c r="G945">
        <f>RAW_DATA!G945</f>
        <v>4</v>
      </c>
      <c r="H945">
        <f>RAW_DATA!H945</f>
        <v>1</v>
      </c>
      <c r="I945" t="str">
        <f>RAW_DATA!I945</f>
        <v>Single</v>
      </c>
      <c r="J945">
        <f>RAW_DATA!J945</f>
        <v>3423</v>
      </c>
      <c r="K945">
        <f>RAW_DATA!K945</f>
        <v>6</v>
      </c>
      <c r="L945">
        <f>RAW_DATA!L945</f>
        <v>4</v>
      </c>
      <c r="M945">
        <f>RAW_DATA!M945</f>
        <v>7</v>
      </c>
      <c r="N945">
        <f t="shared" si="28"/>
        <v>0</v>
      </c>
      <c r="O945" t="str" cm="1">
        <f t="array" ref="O945" xml:space="preserve"> _xlfn.IFS(A945 &lt;ASSUMPTIONS!$D$2,"25",A945 &lt;= ASSUMPTIONS!$D$3,"25-34",A945 &lt;= ASSUMPTIONS!$D$4, "35-44",A945 &lt;= ASSUMPTIONS!$D$5,"45-54",TRUE,"55+")</f>
        <v>45-54</v>
      </c>
      <c r="P945" t="str" cm="1">
        <f t="array" ref="P945">_xlfn.IFS( J945 &lt;ASSUMPTIONS!$D$7,"LOW",J945 &lt;= ASSUMPTIONS!$D$8,"MEDIUM",TRUE, "HIGH")</f>
        <v>MEDIUM</v>
      </c>
      <c r="Q945" t="str">
        <f>IF(M945&lt;ASSUMPTIONS!$D$10,"New (0-2)",IF(M945&lt;=ASSUMPTIONS!$D$11,"Early (2-5)",IF(M945&lt;=ASSUMPTIONS!$D$12,"Established (5-10)","Veteran (10+)")))</f>
        <v>Established (5-10)</v>
      </c>
      <c r="R945" s="4">
        <f t="shared" si="29"/>
        <v>3</v>
      </c>
    </row>
    <row r="946" spans="1:18">
      <c r="A946">
        <f>RAW_DATA!A946</f>
        <v>28</v>
      </c>
      <c r="B946" t="str">
        <f>RAW_DATA!B946</f>
        <v>No</v>
      </c>
      <c r="C946" t="str">
        <f>RAW_DATA!C946</f>
        <v>Research &amp; Development</v>
      </c>
      <c r="D946">
        <f>RAW_DATA!D946</f>
        <v>1</v>
      </c>
      <c r="E946">
        <f>RAW_DATA!E946</f>
        <v>3</v>
      </c>
      <c r="F946" t="str">
        <f>RAW_DATA!F946</f>
        <v>Life Sciences</v>
      </c>
      <c r="G946">
        <f>RAW_DATA!G946</f>
        <v>3</v>
      </c>
      <c r="H946">
        <f>RAW_DATA!H946</f>
        <v>4</v>
      </c>
      <c r="I946" t="str">
        <f>RAW_DATA!I946</f>
        <v>Married</v>
      </c>
      <c r="J946">
        <f>RAW_DATA!J946</f>
        <v>6674</v>
      </c>
      <c r="K946">
        <f>RAW_DATA!K946</f>
        <v>0</v>
      </c>
      <c r="L946">
        <f>RAW_DATA!L946</f>
        <v>3</v>
      </c>
      <c r="M946">
        <f>RAW_DATA!M946</f>
        <v>9</v>
      </c>
      <c r="N946">
        <f t="shared" si="28"/>
        <v>0</v>
      </c>
      <c r="O946" t="str" cm="1">
        <f t="array" ref="O946" xml:space="preserve"> _xlfn.IFS(A946 &lt;ASSUMPTIONS!$D$2,"25",A946 &lt;= ASSUMPTIONS!$D$3,"25-34",A946 &lt;= ASSUMPTIONS!$D$4, "35-44",A946 &lt;= ASSUMPTIONS!$D$5,"45-54",TRUE,"55+")</f>
        <v>25-34</v>
      </c>
      <c r="P946" t="str" cm="1">
        <f t="array" ref="P946">_xlfn.IFS( J946 &lt;ASSUMPTIONS!$D$7,"LOW",J946 &lt;= ASSUMPTIONS!$D$8,"MEDIUM",TRUE, "HIGH")</f>
        <v>MEDIUM</v>
      </c>
      <c r="Q946" t="str">
        <f>IF(M946&lt;ASSUMPTIONS!$D$10,"New (0-2)",IF(M946&lt;=ASSUMPTIONS!$D$11,"Early (2-5)",IF(M946&lt;=ASSUMPTIONS!$D$12,"Established (5-10)","Veteran (10+)")))</f>
        <v>Established (5-10)</v>
      </c>
      <c r="R946" s="4">
        <f t="shared" si="29"/>
        <v>3.3333333333333335</v>
      </c>
    </row>
    <row r="947" spans="1:18">
      <c r="A947">
        <f>RAW_DATA!A947</f>
        <v>50</v>
      </c>
      <c r="B947" t="str">
        <f>RAW_DATA!B947</f>
        <v>No</v>
      </c>
      <c r="C947" t="str">
        <f>RAW_DATA!C947</f>
        <v>Research &amp; Development</v>
      </c>
      <c r="D947">
        <f>RAW_DATA!D947</f>
        <v>28</v>
      </c>
      <c r="E947">
        <f>RAW_DATA!E947</f>
        <v>3</v>
      </c>
      <c r="F947" t="str">
        <f>RAW_DATA!F947</f>
        <v>Life Sciences</v>
      </c>
      <c r="G947">
        <f>RAW_DATA!G947</f>
        <v>4</v>
      </c>
      <c r="H947">
        <f>RAW_DATA!H947</f>
        <v>1</v>
      </c>
      <c r="I947" t="str">
        <f>RAW_DATA!I947</f>
        <v>Married</v>
      </c>
      <c r="J947">
        <f>RAW_DATA!J947</f>
        <v>16880</v>
      </c>
      <c r="K947">
        <f>RAW_DATA!K947</f>
        <v>4</v>
      </c>
      <c r="L947">
        <f>RAW_DATA!L947</f>
        <v>3</v>
      </c>
      <c r="M947">
        <f>RAW_DATA!M947</f>
        <v>3</v>
      </c>
      <c r="N947">
        <f t="shared" si="28"/>
        <v>0</v>
      </c>
      <c r="O947" t="str" cm="1">
        <f t="array" ref="O947" xml:space="preserve"> _xlfn.IFS(A947 &lt;ASSUMPTIONS!$D$2,"25",A947 &lt;= ASSUMPTIONS!$D$3,"25-34",A947 &lt;= ASSUMPTIONS!$D$4, "35-44",A947 &lt;= ASSUMPTIONS!$D$5,"45-54",TRUE,"55+")</f>
        <v>45-54</v>
      </c>
      <c r="P947" t="str" cm="1">
        <f t="array" ref="P947">_xlfn.IFS( J947 &lt;ASSUMPTIONS!$D$7,"LOW",J947 &lt;= ASSUMPTIONS!$D$8,"MEDIUM",TRUE, "HIGH")</f>
        <v>HIGH</v>
      </c>
      <c r="Q947" t="str">
        <f>IF(M947&lt;ASSUMPTIONS!$D$10,"New (0-2)",IF(M947&lt;=ASSUMPTIONS!$D$11,"Early (2-5)",IF(M947&lt;=ASSUMPTIONS!$D$12,"Established (5-10)","Veteran (10+)")))</f>
        <v>Early (2-5)</v>
      </c>
      <c r="R947" s="4">
        <f t="shared" si="29"/>
        <v>2.6666666666666665</v>
      </c>
    </row>
    <row r="948" spans="1:18">
      <c r="A948">
        <f>RAW_DATA!A948</f>
        <v>40</v>
      </c>
      <c r="B948" t="str">
        <f>RAW_DATA!B948</f>
        <v>Yes</v>
      </c>
      <c r="C948" t="str">
        <f>RAW_DATA!C948</f>
        <v>Sales</v>
      </c>
      <c r="D948">
        <f>RAW_DATA!D948</f>
        <v>25</v>
      </c>
      <c r="E948">
        <f>RAW_DATA!E948</f>
        <v>4</v>
      </c>
      <c r="F948" t="str">
        <f>RAW_DATA!F948</f>
        <v>Marketing</v>
      </c>
      <c r="G948">
        <f>RAW_DATA!G948</f>
        <v>4</v>
      </c>
      <c r="H948">
        <f>RAW_DATA!H948</f>
        <v>2</v>
      </c>
      <c r="I948" t="str">
        <f>RAW_DATA!I948</f>
        <v>Single</v>
      </c>
      <c r="J948">
        <f>RAW_DATA!J948</f>
        <v>9094</v>
      </c>
      <c r="K948">
        <f>RAW_DATA!K948</f>
        <v>2</v>
      </c>
      <c r="L948">
        <f>RAW_DATA!L948</f>
        <v>3</v>
      </c>
      <c r="M948">
        <f>RAW_DATA!M948</f>
        <v>5</v>
      </c>
      <c r="N948">
        <f t="shared" si="28"/>
        <v>1</v>
      </c>
      <c r="O948" t="str" cm="1">
        <f t="array" ref="O948" xml:space="preserve"> _xlfn.IFS(A948 &lt;ASSUMPTIONS!$D$2,"25",A948 &lt;= ASSUMPTIONS!$D$3,"25-34",A948 &lt;= ASSUMPTIONS!$D$4, "35-44",A948 &lt;= ASSUMPTIONS!$D$5,"45-54",TRUE,"55+")</f>
        <v>35-44</v>
      </c>
      <c r="P948" t="str" cm="1">
        <f t="array" ref="P948">_xlfn.IFS( J948 &lt;ASSUMPTIONS!$D$7,"LOW",J948 &lt;= ASSUMPTIONS!$D$8,"MEDIUM",TRUE, "HIGH")</f>
        <v>HIGH</v>
      </c>
      <c r="Q948" t="str">
        <f>IF(M948&lt;ASSUMPTIONS!$D$10,"New (0-2)",IF(M948&lt;=ASSUMPTIONS!$D$11,"Early (2-5)",IF(M948&lt;=ASSUMPTIONS!$D$12,"Established (5-10)","Veteran (10+)")))</f>
        <v>Early (2-5)</v>
      </c>
      <c r="R948" s="4">
        <f t="shared" si="29"/>
        <v>3</v>
      </c>
    </row>
    <row r="949" spans="1:18">
      <c r="A949">
        <f>RAW_DATA!A949</f>
        <v>52</v>
      </c>
      <c r="B949" t="str">
        <f>RAW_DATA!B949</f>
        <v>Yes</v>
      </c>
      <c r="C949" t="str">
        <f>RAW_DATA!C949</f>
        <v>Sales</v>
      </c>
      <c r="D949">
        <f>RAW_DATA!D949</f>
        <v>5</v>
      </c>
      <c r="E949">
        <f>RAW_DATA!E949</f>
        <v>3</v>
      </c>
      <c r="F949" t="str">
        <f>RAW_DATA!F949</f>
        <v>Life Sciences</v>
      </c>
      <c r="G949">
        <f>RAW_DATA!G949</f>
        <v>2</v>
      </c>
      <c r="H949">
        <f>RAW_DATA!H949</f>
        <v>2</v>
      </c>
      <c r="I949" t="str">
        <f>RAW_DATA!I949</f>
        <v>Single</v>
      </c>
      <c r="J949">
        <f>RAW_DATA!J949</f>
        <v>8446</v>
      </c>
      <c r="K949">
        <f>RAW_DATA!K949</f>
        <v>9</v>
      </c>
      <c r="L949">
        <f>RAW_DATA!L949</f>
        <v>2</v>
      </c>
      <c r="M949">
        <f>RAW_DATA!M949</f>
        <v>8</v>
      </c>
      <c r="N949">
        <f t="shared" si="28"/>
        <v>1</v>
      </c>
      <c r="O949" t="str" cm="1">
        <f t="array" ref="O949" xml:space="preserve"> _xlfn.IFS(A949 &lt;ASSUMPTIONS!$D$2,"25",A949 &lt;= ASSUMPTIONS!$D$3,"25-34",A949 &lt;= ASSUMPTIONS!$D$4, "35-44",A949 &lt;= ASSUMPTIONS!$D$5,"45-54",TRUE,"55+")</f>
        <v>45-54</v>
      </c>
      <c r="P949" t="str" cm="1">
        <f t="array" ref="P949">_xlfn.IFS( J949 &lt;ASSUMPTIONS!$D$7,"LOW",J949 &lt;= ASSUMPTIONS!$D$8,"MEDIUM",TRUE, "HIGH")</f>
        <v>HIGH</v>
      </c>
      <c r="Q949" t="str">
        <f>IF(M949&lt;ASSUMPTIONS!$D$10,"New (0-2)",IF(M949&lt;=ASSUMPTIONS!$D$11,"Early (2-5)",IF(M949&lt;=ASSUMPTIONS!$D$12,"Established (5-10)","Veteran (10+)")))</f>
        <v>Established (5-10)</v>
      </c>
      <c r="R949" s="4">
        <f t="shared" si="29"/>
        <v>2</v>
      </c>
    </row>
    <row r="950" spans="1:18">
      <c r="A950">
        <f>RAW_DATA!A950</f>
        <v>30</v>
      </c>
      <c r="B950" t="str">
        <f>RAW_DATA!B950</f>
        <v>No</v>
      </c>
      <c r="C950" t="str">
        <f>RAW_DATA!C950</f>
        <v>Research &amp; Development</v>
      </c>
      <c r="D950">
        <f>RAW_DATA!D950</f>
        <v>17</v>
      </c>
      <c r="E950">
        <f>RAW_DATA!E950</f>
        <v>4</v>
      </c>
      <c r="F950" t="str">
        <f>RAW_DATA!F950</f>
        <v>Medical</v>
      </c>
      <c r="G950">
        <f>RAW_DATA!G950</f>
        <v>2</v>
      </c>
      <c r="H950">
        <f>RAW_DATA!H950</f>
        <v>1</v>
      </c>
      <c r="I950" t="str">
        <f>RAW_DATA!I950</f>
        <v>Married</v>
      </c>
      <c r="J950">
        <f>RAW_DATA!J950</f>
        <v>11916</v>
      </c>
      <c r="K950">
        <f>RAW_DATA!K950</f>
        <v>1</v>
      </c>
      <c r="L950">
        <f>RAW_DATA!L950</f>
        <v>3</v>
      </c>
      <c r="M950">
        <f>RAW_DATA!M950</f>
        <v>9</v>
      </c>
      <c r="N950">
        <f t="shared" si="28"/>
        <v>0</v>
      </c>
      <c r="O950" t="str" cm="1">
        <f t="array" ref="O950" xml:space="preserve"> _xlfn.IFS(A950 &lt;ASSUMPTIONS!$D$2,"25",A950 &lt;= ASSUMPTIONS!$D$3,"25-34",A950 &lt;= ASSUMPTIONS!$D$4, "35-44",A950 &lt;= ASSUMPTIONS!$D$5,"45-54",TRUE,"55+")</f>
        <v>25-34</v>
      </c>
      <c r="P950" t="str" cm="1">
        <f t="array" ref="P950">_xlfn.IFS( J950 &lt;ASSUMPTIONS!$D$7,"LOW",J950 &lt;= ASSUMPTIONS!$D$8,"MEDIUM",TRUE, "HIGH")</f>
        <v>HIGH</v>
      </c>
      <c r="Q950" t="str">
        <f>IF(M950&lt;ASSUMPTIONS!$D$10,"New (0-2)",IF(M950&lt;=ASSUMPTIONS!$D$11,"Early (2-5)",IF(M950&lt;=ASSUMPTIONS!$D$12,"Established (5-10)","Veteran (10+)")))</f>
        <v>Established (5-10)</v>
      </c>
      <c r="R950" s="4">
        <f t="shared" si="29"/>
        <v>2</v>
      </c>
    </row>
    <row r="951" spans="1:18">
      <c r="A951">
        <f>RAW_DATA!A951</f>
        <v>39</v>
      </c>
      <c r="B951" t="str">
        <f>RAW_DATA!B951</f>
        <v>No</v>
      </c>
      <c r="C951" t="str">
        <f>RAW_DATA!C951</f>
        <v>Research &amp; Development</v>
      </c>
      <c r="D951">
        <f>RAW_DATA!D951</f>
        <v>18</v>
      </c>
      <c r="E951">
        <f>RAW_DATA!E951</f>
        <v>2</v>
      </c>
      <c r="F951" t="str">
        <f>RAW_DATA!F951</f>
        <v>Life Sciences</v>
      </c>
      <c r="G951">
        <f>RAW_DATA!G951</f>
        <v>1</v>
      </c>
      <c r="H951">
        <f>RAW_DATA!H951</f>
        <v>3</v>
      </c>
      <c r="I951" t="str">
        <f>RAW_DATA!I951</f>
        <v>Single</v>
      </c>
      <c r="J951">
        <f>RAW_DATA!J951</f>
        <v>4534</v>
      </c>
      <c r="K951">
        <f>RAW_DATA!K951</f>
        <v>0</v>
      </c>
      <c r="L951">
        <f>RAW_DATA!L951</f>
        <v>3</v>
      </c>
      <c r="M951">
        <f>RAW_DATA!M951</f>
        <v>8</v>
      </c>
      <c r="N951">
        <f t="shared" si="28"/>
        <v>0</v>
      </c>
      <c r="O951" t="str" cm="1">
        <f t="array" ref="O951" xml:space="preserve"> _xlfn.IFS(A951 &lt;ASSUMPTIONS!$D$2,"25",A951 &lt;= ASSUMPTIONS!$D$3,"25-34",A951 &lt;= ASSUMPTIONS!$D$4, "35-44",A951 &lt;= ASSUMPTIONS!$D$5,"45-54",TRUE,"55+")</f>
        <v>35-44</v>
      </c>
      <c r="P951" t="str" cm="1">
        <f t="array" ref="P951">_xlfn.IFS( J951 &lt;ASSUMPTIONS!$D$7,"LOW",J951 &lt;= ASSUMPTIONS!$D$8,"MEDIUM",TRUE, "HIGH")</f>
        <v>MEDIUM</v>
      </c>
      <c r="Q951" t="str">
        <f>IF(M951&lt;ASSUMPTIONS!$D$10,"New (0-2)",IF(M951&lt;=ASSUMPTIONS!$D$11,"Early (2-5)",IF(M951&lt;=ASSUMPTIONS!$D$12,"Established (5-10)","Veteran (10+)")))</f>
        <v>Established (5-10)</v>
      </c>
      <c r="R951" s="4">
        <f t="shared" si="29"/>
        <v>2.3333333333333335</v>
      </c>
    </row>
    <row r="952" spans="1:18">
      <c r="A952">
        <f>RAW_DATA!A952</f>
        <v>31</v>
      </c>
      <c r="B952" t="str">
        <f>RAW_DATA!B952</f>
        <v>No</v>
      </c>
      <c r="C952" t="str">
        <f>RAW_DATA!C952</f>
        <v>Sales</v>
      </c>
      <c r="D952">
        <f>RAW_DATA!D952</f>
        <v>2</v>
      </c>
      <c r="E952">
        <f>RAW_DATA!E952</f>
        <v>4</v>
      </c>
      <c r="F952" t="str">
        <f>RAW_DATA!F952</f>
        <v>Life Sciences</v>
      </c>
      <c r="G952">
        <f>RAW_DATA!G952</f>
        <v>4</v>
      </c>
      <c r="H952">
        <f>RAW_DATA!H952</f>
        <v>3</v>
      </c>
      <c r="I952" t="str">
        <f>RAW_DATA!I952</f>
        <v>Divorced</v>
      </c>
      <c r="J952">
        <f>RAW_DATA!J952</f>
        <v>9852</v>
      </c>
      <c r="K952">
        <f>RAW_DATA!K952</f>
        <v>1</v>
      </c>
      <c r="L952">
        <f>RAW_DATA!L952</f>
        <v>2</v>
      </c>
      <c r="M952">
        <f>RAW_DATA!M952</f>
        <v>10</v>
      </c>
      <c r="N952">
        <f t="shared" si="28"/>
        <v>0</v>
      </c>
      <c r="O952" t="str" cm="1">
        <f t="array" ref="O952" xml:space="preserve"> _xlfn.IFS(A952 &lt;ASSUMPTIONS!$D$2,"25",A952 &lt;= ASSUMPTIONS!$D$3,"25-34",A952 &lt;= ASSUMPTIONS!$D$4, "35-44",A952 &lt;= ASSUMPTIONS!$D$5,"45-54",TRUE,"55+")</f>
        <v>25-34</v>
      </c>
      <c r="P952" t="str" cm="1">
        <f t="array" ref="P952">_xlfn.IFS( J952 &lt;ASSUMPTIONS!$D$7,"LOW",J952 &lt;= ASSUMPTIONS!$D$8,"MEDIUM",TRUE, "HIGH")</f>
        <v>HIGH</v>
      </c>
      <c r="Q952" t="str">
        <f>IF(M952&lt;ASSUMPTIONS!$D$10,"New (0-2)",IF(M952&lt;=ASSUMPTIONS!$D$11,"Early (2-5)",IF(M952&lt;=ASSUMPTIONS!$D$12,"Established (5-10)","Veteran (10+)")))</f>
        <v>Established (5-10)</v>
      </c>
      <c r="R952" s="4">
        <f t="shared" si="29"/>
        <v>3</v>
      </c>
    </row>
    <row r="953" spans="1:18">
      <c r="A953">
        <f>RAW_DATA!A953</f>
        <v>41</v>
      </c>
      <c r="B953" t="str">
        <f>RAW_DATA!B953</f>
        <v>No</v>
      </c>
      <c r="C953" t="str">
        <f>RAW_DATA!C953</f>
        <v>Sales</v>
      </c>
      <c r="D953">
        <f>RAW_DATA!D953</f>
        <v>10</v>
      </c>
      <c r="E953">
        <f>RAW_DATA!E953</f>
        <v>2</v>
      </c>
      <c r="F953" t="str">
        <f>RAW_DATA!F953</f>
        <v>Medical</v>
      </c>
      <c r="G953">
        <f>RAW_DATA!G953</f>
        <v>3</v>
      </c>
      <c r="H953">
        <f>RAW_DATA!H953</f>
        <v>2</v>
      </c>
      <c r="I953" t="str">
        <f>RAW_DATA!I953</f>
        <v>Single</v>
      </c>
      <c r="J953">
        <f>RAW_DATA!J953</f>
        <v>6151</v>
      </c>
      <c r="K953">
        <f>RAW_DATA!K953</f>
        <v>1</v>
      </c>
      <c r="L953">
        <f>RAW_DATA!L953</f>
        <v>3</v>
      </c>
      <c r="M953">
        <f>RAW_DATA!M953</f>
        <v>19</v>
      </c>
      <c r="N953">
        <f t="shared" si="28"/>
        <v>0</v>
      </c>
      <c r="O953" t="str" cm="1">
        <f t="array" ref="O953" xml:space="preserve"> _xlfn.IFS(A953 &lt;ASSUMPTIONS!$D$2,"25",A953 &lt;= ASSUMPTIONS!$D$3,"25-34",A953 &lt;= ASSUMPTIONS!$D$4, "35-44",A953 &lt;= ASSUMPTIONS!$D$5,"45-54",TRUE,"55+")</f>
        <v>35-44</v>
      </c>
      <c r="P953" t="str" cm="1">
        <f t="array" ref="P953">_xlfn.IFS( J953 &lt;ASSUMPTIONS!$D$7,"LOW",J953 &lt;= ASSUMPTIONS!$D$8,"MEDIUM",TRUE, "HIGH")</f>
        <v>MEDIUM</v>
      </c>
      <c r="Q953" t="str">
        <f>IF(M953&lt;ASSUMPTIONS!$D$10,"New (0-2)",IF(M953&lt;=ASSUMPTIONS!$D$11,"Early (2-5)",IF(M953&lt;=ASSUMPTIONS!$D$12,"Established (5-10)","Veteran (10+)")))</f>
        <v>Veteran (10+)</v>
      </c>
      <c r="R953" s="4">
        <f t="shared" si="29"/>
        <v>2.6666666666666665</v>
      </c>
    </row>
    <row r="954" spans="1:18">
      <c r="A954">
        <f>RAW_DATA!A954</f>
        <v>31</v>
      </c>
      <c r="B954" t="str">
        <f>RAW_DATA!B954</f>
        <v>Yes</v>
      </c>
      <c r="C954" t="str">
        <f>RAW_DATA!C954</f>
        <v>Sales</v>
      </c>
      <c r="D954">
        <f>RAW_DATA!D954</f>
        <v>1</v>
      </c>
      <c r="E954">
        <f>RAW_DATA!E954</f>
        <v>3</v>
      </c>
      <c r="F954" t="str">
        <f>RAW_DATA!F954</f>
        <v>Life Sciences</v>
      </c>
      <c r="G954">
        <f>RAW_DATA!G954</f>
        <v>4</v>
      </c>
      <c r="H954">
        <f>RAW_DATA!H954</f>
        <v>2</v>
      </c>
      <c r="I954" t="str">
        <f>RAW_DATA!I954</f>
        <v>Single</v>
      </c>
      <c r="J954">
        <f>RAW_DATA!J954</f>
        <v>2302</v>
      </c>
      <c r="K954">
        <f>RAW_DATA!K954</f>
        <v>1</v>
      </c>
      <c r="L954">
        <f>RAW_DATA!L954</f>
        <v>4</v>
      </c>
      <c r="M954">
        <f>RAW_DATA!M954</f>
        <v>3</v>
      </c>
      <c r="N954">
        <f t="shared" si="28"/>
        <v>1</v>
      </c>
      <c r="O954" t="str" cm="1">
        <f t="array" ref="O954" xml:space="preserve"> _xlfn.IFS(A954 &lt;ASSUMPTIONS!$D$2,"25",A954 &lt;= ASSUMPTIONS!$D$3,"25-34",A954 &lt;= ASSUMPTIONS!$D$4, "35-44",A954 &lt;= ASSUMPTIONS!$D$5,"45-54",TRUE,"55+")</f>
        <v>25-34</v>
      </c>
      <c r="P954" t="str" cm="1">
        <f t="array" ref="P954">_xlfn.IFS( J954 &lt;ASSUMPTIONS!$D$7,"LOW",J954 &lt;= ASSUMPTIONS!$D$8,"MEDIUM",TRUE, "HIGH")</f>
        <v>LOW</v>
      </c>
      <c r="Q954" t="str">
        <f>IF(M954&lt;ASSUMPTIONS!$D$10,"New (0-2)",IF(M954&lt;=ASSUMPTIONS!$D$11,"Early (2-5)",IF(M954&lt;=ASSUMPTIONS!$D$12,"Established (5-10)","Veteran (10+)")))</f>
        <v>Early (2-5)</v>
      </c>
      <c r="R954" s="4">
        <f t="shared" si="29"/>
        <v>3.3333333333333335</v>
      </c>
    </row>
    <row r="955" spans="1:18">
      <c r="A955">
        <f>RAW_DATA!A955</f>
        <v>44</v>
      </c>
      <c r="B955" t="str">
        <f>RAW_DATA!B955</f>
        <v>Yes</v>
      </c>
      <c r="C955" t="str">
        <f>RAW_DATA!C955</f>
        <v>Research &amp; Development</v>
      </c>
      <c r="D955">
        <f>RAW_DATA!D955</f>
        <v>3</v>
      </c>
      <c r="E955">
        <f>RAW_DATA!E955</f>
        <v>3</v>
      </c>
      <c r="F955" t="str">
        <f>RAW_DATA!F955</f>
        <v>Life Sciences</v>
      </c>
      <c r="G955">
        <f>RAW_DATA!G955</f>
        <v>1</v>
      </c>
      <c r="H955">
        <f>RAW_DATA!H955</f>
        <v>1</v>
      </c>
      <c r="I955" t="str">
        <f>RAW_DATA!I955</f>
        <v>Married</v>
      </c>
      <c r="J955">
        <f>RAW_DATA!J955</f>
        <v>2362</v>
      </c>
      <c r="K955">
        <f>RAW_DATA!K955</f>
        <v>4</v>
      </c>
      <c r="L955">
        <f>RAW_DATA!L955</f>
        <v>4</v>
      </c>
      <c r="M955">
        <f>RAW_DATA!M955</f>
        <v>3</v>
      </c>
      <c r="N955">
        <f t="shared" si="28"/>
        <v>1</v>
      </c>
      <c r="O955" t="str" cm="1">
        <f t="array" ref="O955" xml:space="preserve"> _xlfn.IFS(A955 &lt;ASSUMPTIONS!$D$2,"25",A955 &lt;= ASSUMPTIONS!$D$3,"25-34",A955 &lt;= ASSUMPTIONS!$D$4, "35-44",A955 &lt;= ASSUMPTIONS!$D$5,"45-54",TRUE,"55+")</f>
        <v>35-44</v>
      </c>
      <c r="P955" t="str" cm="1">
        <f t="array" ref="P955">_xlfn.IFS( J955 &lt;ASSUMPTIONS!$D$7,"LOW",J955 &lt;= ASSUMPTIONS!$D$8,"MEDIUM",TRUE, "HIGH")</f>
        <v>LOW</v>
      </c>
      <c r="Q955" t="str">
        <f>IF(M955&lt;ASSUMPTIONS!$D$10,"New (0-2)",IF(M955&lt;=ASSUMPTIONS!$D$11,"Early (2-5)",IF(M955&lt;=ASSUMPTIONS!$D$12,"Established (5-10)","Veteran (10+)")))</f>
        <v>Early (2-5)</v>
      </c>
      <c r="R955" s="4">
        <f t="shared" si="29"/>
        <v>2</v>
      </c>
    </row>
    <row r="956" spans="1:18">
      <c r="A956">
        <f>RAW_DATA!A956</f>
        <v>42</v>
      </c>
      <c r="B956" t="str">
        <f>RAW_DATA!B956</f>
        <v>No</v>
      </c>
      <c r="C956" t="str">
        <f>RAW_DATA!C956</f>
        <v>Research &amp; Development</v>
      </c>
      <c r="D956">
        <f>RAW_DATA!D956</f>
        <v>2</v>
      </c>
      <c r="E956">
        <f>RAW_DATA!E956</f>
        <v>1</v>
      </c>
      <c r="F956" t="str">
        <f>RAW_DATA!F956</f>
        <v>Life Sciences</v>
      </c>
      <c r="G956">
        <f>RAW_DATA!G956</f>
        <v>3</v>
      </c>
      <c r="H956">
        <f>RAW_DATA!H956</f>
        <v>3</v>
      </c>
      <c r="I956" t="str">
        <f>RAW_DATA!I956</f>
        <v>Married</v>
      </c>
      <c r="J956">
        <f>RAW_DATA!J956</f>
        <v>17861</v>
      </c>
      <c r="K956">
        <f>RAW_DATA!K956</f>
        <v>0</v>
      </c>
      <c r="L956">
        <f>RAW_DATA!L956</f>
        <v>2</v>
      </c>
      <c r="M956">
        <f>RAW_DATA!M956</f>
        <v>20</v>
      </c>
      <c r="N956">
        <f t="shared" si="28"/>
        <v>0</v>
      </c>
      <c r="O956" t="str" cm="1">
        <f t="array" ref="O956" xml:space="preserve"> _xlfn.IFS(A956 &lt;ASSUMPTIONS!$D$2,"25",A956 &lt;= ASSUMPTIONS!$D$3,"25-34",A956 &lt;= ASSUMPTIONS!$D$4, "35-44",A956 &lt;= ASSUMPTIONS!$D$5,"45-54",TRUE,"55+")</f>
        <v>35-44</v>
      </c>
      <c r="P956" t="str" cm="1">
        <f t="array" ref="P956">_xlfn.IFS( J956 &lt;ASSUMPTIONS!$D$7,"LOW",J956 &lt;= ASSUMPTIONS!$D$8,"MEDIUM",TRUE, "HIGH")</f>
        <v>HIGH</v>
      </c>
      <c r="Q956" t="str">
        <f>IF(M956&lt;ASSUMPTIONS!$D$10,"New (0-2)",IF(M956&lt;=ASSUMPTIONS!$D$11,"Early (2-5)",IF(M956&lt;=ASSUMPTIONS!$D$12,"Established (5-10)","Veteran (10+)")))</f>
        <v>Veteran (10+)</v>
      </c>
      <c r="R956" s="4">
        <f t="shared" si="29"/>
        <v>2.6666666666666665</v>
      </c>
    </row>
    <row r="957" spans="1:18">
      <c r="A957">
        <f>RAW_DATA!A957</f>
        <v>55</v>
      </c>
      <c r="B957" t="str">
        <f>RAW_DATA!B957</f>
        <v>No</v>
      </c>
      <c r="C957" t="str">
        <f>RAW_DATA!C957</f>
        <v>Research &amp; Development</v>
      </c>
      <c r="D957">
        <f>RAW_DATA!D957</f>
        <v>2</v>
      </c>
      <c r="E957">
        <f>RAW_DATA!E957</f>
        <v>2</v>
      </c>
      <c r="F957" t="str">
        <f>RAW_DATA!F957</f>
        <v>Medical</v>
      </c>
      <c r="G957">
        <f>RAW_DATA!G957</f>
        <v>4</v>
      </c>
      <c r="H957">
        <f>RAW_DATA!H957</f>
        <v>3</v>
      </c>
      <c r="I957" t="str">
        <f>RAW_DATA!I957</f>
        <v>Married</v>
      </c>
      <c r="J957">
        <f>RAW_DATA!J957</f>
        <v>19187</v>
      </c>
      <c r="K957">
        <f>RAW_DATA!K957</f>
        <v>4</v>
      </c>
      <c r="L957">
        <f>RAW_DATA!L957</f>
        <v>3</v>
      </c>
      <c r="M957">
        <f>RAW_DATA!M957</f>
        <v>19</v>
      </c>
      <c r="N957">
        <f t="shared" si="28"/>
        <v>0</v>
      </c>
      <c r="O957" t="str" cm="1">
        <f t="array" ref="O957" xml:space="preserve"> _xlfn.IFS(A957 &lt;ASSUMPTIONS!$D$2,"25",A957 &lt;= ASSUMPTIONS!$D$3,"25-34",A957 &lt;= ASSUMPTIONS!$D$4, "35-44",A957 &lt;= ASSUMPTIONS!$D$5,"45-54",TRUE,"55+")</f>
        <v>55+</v>
      </c>
      <c r="P957" t="str" cm="1">
        <f t="array" ref="P957">_xlfn.IFS( J957 &lt;ASSUMPTIONS!$D$7,"LOW",J957 &lt;= ASSUMPTIONS!$D$8,"MEDIUM",TRUE, "HIGH")</f>
        <v>HIGH</v>
      </c>
      <c r="Q957" t="str">
        <f>IF(M957&lt;ASSUMPTIONS!$D$10,"New (0-2)",IF(M957&lt;=ASSUMPTIONS!$D$11,"Early (2-5)",IF(M957&lt;=ASSUMPTIONS!$D$12,"Established (5-10)","Veteran (10+)")))</f>
        <v>Veteran (10+)</v>
      </c>
      <c r="R957" s="4">
        <f t="shared" si="29"/>
        <v>3.3333333333333335</v>
      </c>
    </row>
    <row r="958" spans="1:18">
      <c r="A958">
        <f>RAW_DATA!A958</f>
        <v>56</v>
      </c>
      <c r="B958" t="str">
        <f>RAW_DATA!B958</f>
        <v>No</v>
      </c>
      <c r="C958" t="str">
        <f>RAW_DATA!C958</f>
        <v>Human Resources</v>
      </c>
      <c r="D958">
        <f>RAW_DATA!D958</f>
        <v>8</v>
      </c>
      <c r="E958">
        <f>RAW_DATA!E958</f>
        <v>4</v>
      </c>
      <c r="F958" t="str">
        <f>RAW_DATA!F958</f>
        <v>Life Sciences</v>
      </c>
      <c r="G958">
        <f>RAW_DATA!G958</f>
        <v>4</v>
      </c>
      <c r="H958">
        <f>RAW_DATA!H958</f>
        <v>2</v>
      </c>
      <c r="I958" t="str">
        <f>RAW_DATA!I958</f>
        <v>Single</v>
      </c>
      <c r="J958">
        <f>RAW_DATA!J958</f>
        <v>19717</v>
      </c>
      <c r="K958">
        <f>RAW_DATA!K958</f>
        <v>6</v>
      </c>
      <c r="L958">
        <f>RAW_DATA!L958</f>
        <v>3</v>
      </c>
      <c r="M958">
        <f>RAW_DATA!M958</f>
        <v>7</v>
      </c>
      <c r="N958">
        <f t="shared" si="28"/>
        <v>0</v>
      </c>
      <c r="O958" t="str" cm="1">
        <f t="array" ref="O958" xml:space="preserve"> _xlfn.IFS(A958 &lt;ASSUMPTIONS!$D$2,"25",A958 &lt;= ASSUMPTIONS!$D$3,"25-34",A958 &lt;= ASSUMPTIONS!$D$4, "35-44",A958 &lt;= ASSUMPTIONS!$D$5,"45-54",TRUE,"55+")</f>
        <v>55+</v>
      </c>
      <c r="P958" t="str" cm="1">
        <f t="array" ref="P958">_xlfn.IFS( J958 &lt;ASSUMPTIONS!$D$7,"LOW",J958 &lt;= ASSUMPTIONS!$D$8,"MEDIUM",TRUE, "HIGH")</f>
        <v>HIGH</v>
      </c>
      <c r="Q958" t="str">
        <f>IF(M958&lt;ASSUMPTIONS!$D$10,"New (0-2)",IF(M958&lt;=ASSUMPTIONS!$D$11,"Early (2-5)",IF(M958&lt;=ASSUMPTIONS!$D$12,"Established (5-10)","Veteran (10+)")))</f>
        <v>Established (5-10)</v>
      </c>
      <c r="R958" s="4">
        <f t="shared" si="29"/>
        <v>3</v>
      </c>
    </row>
    <row r="959" spans="1:18">
      <c r="A959">
        <f>RAW_DATA!A959</f>
        <v>40</v>
      </c>
      <c r="B959" t="str">
        <f>RAW_DATA!B959</f>
        <v>No</v>
      </c>
      <c r="C959" t="str">
        <f>RAW_DATA!C959</f>
        <v>Research &amp; Development</v>
      </c>
      <c r="D959">
        <f>RAW_DATA!D959</f>
        <v>16</v>
      </c>
      <c r="E959">
        <f>RAW_DATA!E959</f>
        <v>2</v>
      </c>
      <c r="F959" t="str">
        <f>RAW_DATA!F959</f>
        <v>Life Sciences</v>
      </c>
      <c r="G959">
        <f>RAW_DATA!G959</f>
        <v>3</v>
      </c>
      <c r="H959">
        <f>RAW_DATA!H959</f>
        <v>3</v>
      </c>
      <c r="I959" t="str">
        <f>RAW_DATA!I959</f>
        <v>Divorced</v>
      </c>
      <c r="J959">
        <f>RAW_DATA!J959</f>
        <v>3544</v>
      </c>
      <c r="K959">
        <f>RAW_DATA!K959</f>
        <v>9</v>
      </c>
      <c r="L959">
        <f>RAW_DATA!L959</f>
        <v>3</v>
      </c>
      <c r="M959">
        <f>RAW_DATA!M959</f>
        <v>4</v>
      </c>
      <c r="N959">
        <f t="shared" si="28"/>
        <v>0</v>
      </c>
      <c r="O959" t="str" cm="1">
        <f t="array" ref="O959" xml:space="preserve"> _xlfn.IFS(A959 &lt;ASSUMPTIONS!$D$2,"25",A959 &lt;= ASSUMPTIONS!$D$3,"25-34",A959 &lt;= ASSUMPTIONS!$D$4, "35-44",A959 &lt;= ASSUMPTIONS!$D$5,"45-54",TRUE,"55+")</f>
        <v>35-44</v>
      </c>
      <c r="P959" t="str" cm="1">
        <f t="array" ref="P959">_xlfn.IFS( J959 &lt;ASSUMPTIONS!$D$7,"LOW",J959 &lt;= ASSUMPTIONS!$D$8,"MEDIUM",TRUE, "HIGH")</f>
        <v>MEDIUM</v>
      </c>
      <c r="Q959" t="str">
        <f>IF(M959&lt;ASSUMPTIONS!$D$10,"New (0-2)",IF(M959&lt;=ASSUMPTIONS!$D$11,"Early (2-5)",IF(M959&lt;=ASSUMPTIONS!$D$12,"Established (5-10)","Veteran (10+)")))</f>
        <v>Early (2-5)</v>
      </c>
      <c r="R959" s="4">
        <f t="shared" si="29"/>
        <v>3</v>
      </c>
    </row>
    <row r="960" spans="1:18">
      <c r="A960">
        <f>RAW_DATA!A960</f>
        <v>34</v>
      </c>
      <c r="B960" t="str">
        <f>RAW_DATA!B960</f>
        <v>No</v>
      </c>
      <c r="C960" t="str">
        <f>RAW_DATA!C960</f>
        <v>Research &amp; Development</v>
      </c>
      <c r="D960">
        <f>RAW_DATA!D960</f>
        <v>9</v>
      </c>
      <c r="E960">
        <f>RAW_DATA!E960</f>
        <v>3</v>
      </c>
      <c r="F960" t="str">
        <f>RAW_DATA!F960</f>
        <v>Life Sciences</v>
      </c>
      <c r="G960">
        <f>RAW_DATA!G960</f>
        <v>4</v>
      </c>
      <c r="H960">
        <f>RAW_DATA!H960</f>
        <v>4</v>
      </c>
      <c r="I960" t="str">
        <f>RAW_DATA!I960</f>
        <v>Divorced</v>
      </c>
      <c r="J960">
        <f>RAW_DATA!J960</f>
        <v>8500</v>
      </c>
      <c r="K960">
        <f>RAW_DATA!K960</f>
        <v>0</v>
      </c>
      <c r="L960">
        <f>RAW_DATA!L960</f>
        <v>2</v>
      </c>
      <c r="M960">
        <f>RAW_DATA!M960</f>
        <v>9</v>
      </c>
      <c r="N960">
        <f t="shared" si="28"/>
        <v>0</v>
      </c>
      <c r="O960" t="str" cm="1">
        <f t="array" ref="O960" xml:space="preserve"> _xlfn.IFS(A960 &lt;ASSUMPTIONS!$D$2,"25",A960 &lt;= ASSUMPTIONS!$D$3,"25-34",A960 &lt;= ASSUMPTIONS!$D$4, "35-44",A960 &lt;= ASSUMPTIONS!$D$5,"45-54",TRUE,"55+")</f>
        <v>25-34</v>
      </c>
      <c r="P960" t="str" cm="1">
        <f t="array" ref="P960">_xlfn.IFS( J960 &lt;ASSUMPTIONS!$D$7,"LOW",J960 &lt;= ASSUMPTIONS!$D$8,"MEDIUM",TRUE, "HIGH")</f>
        <v>HIGH</v>
      </c>
      <c r="Q960" t="str">
        <f>IF(M960&lt;ASSUMPTIONS!$D$10,"New (0-2)",IF(M960&lt;=ASSUMPTIONS!$D$11,"Early (2-5)",IF(M960&lt;=ASSUMPTIONS!$D$12,"Established (5-10)","Veteran (10+)")))</f>
        <v>Established (5-10)</v>
      </c>
      <c r="R960" s="4">
        <f t="shared" si="29"/>
        <v>3.3333333333333335</v>
      </c>
    </row>
    <row r="961" spans="1:18">
      <c r="A961">
        <f>RAW_DATA!A961</f>
        <v>40</v>
      </c>
      <c r="B961" t="str">
        <f>RAW_DATA!B961</f>
        <v>No</v>
      </c>
      <c r="C961" t="str">
        <f>RAW_DATA!C961</f>
        <v>Research &amp; Development</v>
      </c>
      <c r="D961">
        <f>RAW_DATA!D961</f>
        <v>2</v>
      </c>
      <c r="E961">
        <f>RAW_DATA!E961</f>
        <v>3</v>
      </c>
      <c r="F961" t="str">
        <f>RAW_DATA!F961</f>
        <v>Life Sciences</v>
      </c>
      <c r="G961">
        <f>RAW_DATA!G961</f>
        <v>3</v>
      </c>
      <c r="H961">
        <f>RAW_DATA!H961</f>
        <v>4</v>
      </c>
      <c r="I961" t="str">
        <f>RAW_DATA!I961</f>
        <v>Single</v>
      </c>
      <c r="J961">
        <f>RAW_DATA!J961</f>
        <v>4661</v>
      </c>
      <c r="K961">
        <f>RAW_DATA!K961</f>
        <v>1</v>
      </c>
      <c r="L961">
        <f>RAW_DATA!L961</f>
        <v>3</v>
      </c>
      <c r="M961">
        <f>RAW_DATA!M961</f>
        <v>9</v>
      </c>
      <c r="N961">
        <f t="shared" si="28"/>
        <v>0</v>
      </c>
      <c r="O961" t="str" cm="1">
        <f t="array" ref="O961" xml:space="preserve"> _xlfn.IFS(A961 &lt;ASSUMPTIONS!$D$2,"25",A961 &lt;= ASSUMPTIONS!$D$3,"25-34",A961 &lt;= ASSUMPTIONS!$D$4, "35-44",A961 &lt;= ASSUMPTIONS!$D$5,"45-54",TRUE,"55+")</f>
        <v>35-44</v>
      </c>
      <c r="P961" t="str" cm="1">
        <f t="array" ref="P961">_xlfn.IFS( J961 &lt;ASSUMPTIONS!$D$7,"LOW",J961 &lt;= ASSUMPTIONS!$D$8,"MEDIUM",TRUE, "HIGH")</f>
        <v>MEDIUM</v>
      </c>
      <c r="Q961" t="str">
        <f>IF(M961&lt;ASSUMPTIONS!$D$10,"New (0-2)",IF(M961&lt;=ASSUMPTIONS!$D$11,"Early (2-5)",IF(M961&lt;=ASSUMPTIONS!$D$12,"Established (5-10)","Veteran (10+)")))</f>
        <v>Established (5-10)</v>
      </c>
      <c r="R961" s="4">
        <f t="shared" si="29"/>
        <v>3.3333333333333335</v>
      </c>
    </row>
    <row r="962" spans="1:18">
      <c r="A962">
        <f>RAW_DATA!A962</f>
        <v>41</v>
      </c>
      <c r="B962" t="str">
        <f>RAW_DATA!B962</f>
        <v>No</v>
      </c>
      <c r="C962" t="str">
        <f>RAW_DATA!C962</f>
        <v>Sales</v>
      </c>
      <c r="D962">
        <f>RAW_DATA!D962</f>
        <v>1</v>
      </c>
      <c r="E962">
        <f>RAW_DATA!E962</f>
        <v>3</v>
      </c>
      <c r="F962" t="str">
        <f>RAW_DATA!F962</f>
        <v>Marketing</v>
      </c>
      <c r="G962">
        <f>RAW_DATA!G962</f>
        <v>3</v>
      </c>
      <c r="H962">
        <f>RAW_DATA!H962</f>
        <v>1</v>
      </c>
      <c r="I962" t="str">
        <f>RAW_DATA!I962</f>
        <v>Divorced</v>
      </c>
      <c r="J962">
        <f>RAW_DATA!J962</f>
        <v>4103</v>
      </c>
      <c r="K962">
        <f>RAW_DATA!K962</f>
        <v>0</v>
      </c>
      <c r="L962">
        <f>RAW_DATA!L962</f>
        <v>3</v>
      </c>
      <c r="M962">
        <f>RAW_DATA!M962</f>
        <v>9</v>
      </c>
      <c r="N962">
        <f t="shared" si="28"/>
        <v>0</v>
      </c>
      <c r="O962" t="str" cm="1">
        <f t="array" ref="O962" xml:space="preserve"> _xlfn.IFS(A962 &lt;ASSUMPTIONS!$D$2,"25",A962 &lt;= ASSUMPTIONS!$D$3,"25-34",A962 &lt;= ASSUMPTIONS!$D$4, "35-44",A962 &lt;= ASSUMPTIONS!$D$5,"45-54",TRUE,"55+")</f>
        <v>35-44</v>
      </c>
      <c r="P962" t="str" cm="1">
        <f t="array" ref="P962">_xlfn.IFS( J962 &lt;ASSUMPTIONS!$D$7,"LOW",J962 &lt;= ASSUMPTIONS!$D$8,"MEDIUM",TRUE, "HIGH")</f>
        <v>MEDIUM</v>
      </c>
      <c r="Q962" t="str">
        <f>IF(M962&lt;ASSUMPTIONS!$D$10,"New (0-2)",IF(M962&lt;=ASSUMPTIONS!$D$11,"Early (2-5)",IF(M962&lt;=ASSUMPTIONS!$D$12,"Established (5-10)","Veteran (10+)")))</f>
        <v>Established (5-10)</v>
      </c>
      <c r="R962" s="4">
        <f t="shared" si="29"/>
        <v>2.3333333333333335</v>
      </c>
    </row>
    <row r="963" spans="1:18">
      <c r="A963">
        <f>RAW_DATA!A963</f>
        <v>35</v>
      </c>
      <c r="B963" t="str">
        <f>RAW_DATA!B963</f>
        <v>No</v>
      </c>
      <c r="C963" t="str">
        <f>RAW_DATA!C963</f>
        <v>Research &amp; Development</v>
      </c>
      <c r="D963">
        <f>RAW_DATA!D963</f>
        <v>4</v>
      </c>
      <c r="E963">
        <f>RAW_DATA!E963</f>
        <v>4</v>
      </c>
      <c r="F963" t="str">
        <f>RAW_DATA!F963</f>
        <v>Life Sciences</v>
      </c>
      <c r="G963">
        <f>RAW_DATA!G963</f>
        <v>3</v>
      </c>
      <c r="H963">
        <f>RAW_DATA!H963</f>
        <v>3</v>
      </c>
      <c r="I963" t="str">
        <f>RAW_DATA!I963</f>
        <v>Single</v>
      </c>
      <c r="J963">
        <f>RAW_DATA!J963</f>
        <v>4249</v>
      </c>
      <c r="K963">
        <f>RAW_DATA!K963</f>
        <v>1</v>
      </c>
      <c r="L963">
        <f>RAW_DATA!L963</f>
        <v>3</v>
      </c>
      <c r="M963">
        <f>RAW_DATA!M963</f>
        <v>9</v>
      </c>
      <c r="N963">
        <f t="shared" ref="N963:N1026" si="30" xml:space="preserve"> IF(B963 ="Yes",1,0)</f>
        <v>0</v>
      </c>
      <c r="O963" t="str" cm="1">
        <f t="array" ref="O963" xml:space="preserve"> _xlfn.IFS(A963 &lt;ASSUMPTIONS!$D$2,"25",A963 &lt;= ASSUMPTIONS!$D$3,"25-34",A963 &lt;= ASSUMPTIONS!$D$4, "35-44",A963 &lt;= ASSUMPTIONS!$D$5,"45-54",TRUE,"55+")</f>
        <v>35-44</v>
      </c>
      <c r="P963" t="str" cm="1">
        <f t="array" ref="P963">_xlfn.IFS( J963 &lt;ASSUMPTIONS!$D$7,"LOW",J963 &lt;= ASSUMPTIONS!$D$8,"MEDIUM",TRUE, "HIGH")</f>
        <v>MEDIUM</v>
      </c>
      <c r="Q963" t="str">
        <f>IF(M963&lt;ASSUMPTIONS!$D$10,"New (0-2)",IF(M963&lt;=ASSUMPTIONS!$D$11,"Early (2-5)",IF(M963&lt;=ASSUMPTIONS!$D$12,"Established (5-10)","Veteran (10+)")))</f>
        <v>Established (5-10)</v>
      </c>
      <c r="R963" s="4">
        <f t="shared" ref="R963:R1026" si="31">AVERAGE(G963,H963,L963)</f>
        <v>3</v>
      </c>
    </row>
    <row r="964" spans="1:18">
      <c r="A964">
        <f>RAW_DATA!A964</f>
        <v>51</v>
      </c>
      <c r="B964" t="str">
        <f>RAW_DATA!B964</f>
        <v>No</v>
      </c>
      <c r="C964" t="str">
        <f>RAW_DATA!C964</f>
        <v>Human Resources</v>
      </c>
      <c r="D964">
        <f>RAW_DATA!D964</f>
        <v>5</v>
      </c>
      <c r="E964">
        <f>RAW_DATA!E964</f>
        <v>3</v>
      </c>
      <c r="F964" t="str">
        <f>RAW_DATA!F964</f>
        <v>Life Sciences</v>
      </c>
      <c r="G964">
        <f>RAW_DATA!G964</f>
        <v>3</v>
      </c>
      <c r="H964">
        <f>RAW_DATA!H964</f>
        <v>2</v>
      </c>
      <c r="I964" t="str">
        <f>RAW_DATA!I964</f>
        <v>Divorced</v>
      </c>
      <c r="J964">
        <f>RAW_DATA!J964</f>
        <v>14026</v>
      </c>
      <c r="K964">
        <f>RAW_DATA!K964</f>
        <v>1</v>
      </c>
      <c r="L964">
        <f>RAW_DATA!L964</f>
        <v>3</v>
      </c>
      <c r="M964">
        <f>RAW_DATA!M964</f>
        <v>33</v>
      </c>
      <c r="N964">
        <f t="shared" si="30"/>
        <v>0</v>
      </c>
      <c r="O964" t="str" cm="1">
        <f t="array" ref="O964" xml:space="preserve"> _xlfn.IFS(A964 &lt;ASSUMPTIONS!$D$2,"25",A964 &lt;= ASSUMPTIONS!$D$3,"25-34",A964 &lt;= ASSUMPTIONS!$D$4, "35-44",A964 &lt;= ASSUMPTIONS!$D$5,"45-54",TRUE,"55+")</f>
        <v>45-54</v>
      </c>
      <c r="P964" t="str" cm="1">
        <f t="array" ref="P964">_xlfn.IFS( J964 &lt;ASSUMPTIONS!$D$7,"LOW",J964 &lt;= ASSUMPTIONS!$D$8,"MEDIUM",TRUE, "HIGH")</f>
        <v>HIGH</v>
      </c>
      <c r="Q964" t="str">
        <f>IF(M964&lt;ASSUMPTIONS!$D$10,"New (0-2)",IF(M964&lt;=ASSUMPTIONS!$D$11,"Early (2-5)",IF(M964&lt;=ASSUMPTIONS!$D$12,"Established (5-10)","Veteran (10+)")))</f>
        <v>Veteran (10+)</v>
      </c>
      <c r="R964" s="4">
        <f t="shared" si="31"/>
        <v>2.6666666666666665</v>
      </c>
    </row>
    <row r="965" spans="1:18">
      <c r="A965">
        <f>RAW_DATA!A965</f>
        <v>38</v>
      </c>
      <c r="B965" t="str">
        <f>RAW_DATA!B965</f>
        <v>No</v>
      </c>
      <c r="C965" t="str">
        <f>RAW_DATA!C965</f>
        <v>Sales</v>
      </c>
      <c r="D965">
        <f>RAW_DATA!D965</f>
        <v>2</v>
      </c>
      <c r="E965">
        <f>RAW_DATA!E965</f>
        <v>2</v>
      </c>
      <c r="F965" t="str">
        <f>RAW_DATA!F965</f>
        <v>Life Sciences</v>
      </c>
      <c r="G965">
        <f>RAW_DATA!G965</f>
        <v>2</v>
      </c>
      <c r="H965">
        <f>RAW_DATA!H965</f>
        <v>1</v>
      </c>
      <c r="I965" t="str">
        <f>RAW_DATA!I965</f>
        <v>Divorced</v>
      </c>
      <c r="J965">
        <f>RAW_DATA!J965</f>
        <v>6893</v>
      </c>
      <c r="K965">
        <f>RAW_DATA!K965</f>
        <v>3</v>
      </c>
      <c r="L965">
        <f>RAW_DATA!L965</f>
        <v>3</v>
      </c>
      <c r="M965">
        <f>RAW_DATA!M965</f>
        <v>7</v>
      </c>
      <c r="N965">
        <f t="shared" si="30"/>
        <v>0</v>
      </c>
      <c r="O965" t="str" cm="1">
        <f t="array" ref="O965" xml:space="preserve"> _xlfn.IFS(A965 &lt;ASSUMPTIONS!$D$2,"25",A965 &lt;= ASSUMPTIONS!$D$3,"25-34",A965 &lt;= ASSUMPTIONS!$D$4, "35-44",A965 &lt;= ASSUMPTIONS!$D$5,"45-54",TRUE,"55+")</f>
        <v>35-44</v>
      </c>
      <c r="P965" t="str" cm="1">
        <f t="array" ref="P965">_xlfn.IFS( J965 &lt;ASSUMPTIONS!$D$7,"LOW",J965 &lt;= ASSUMPTIONS!$D$8,"MEDIUM",TRUE, "HIGH")</f>
        <v>MEDIUM</v>
      </c>
      <c r="Q965" t="str">
        <f>IF(M965&lt;ASSUMPTIONS!$D$10,"New (0-2)",IF(M965&lt;=ASSUMPTIONS!$D$11,"Early (2-5)",IF(M965&lt;=ASSUMPTIONS!$D$12,"Established (5-10)","Veteran (10+)")))</f>
        <v>Established (5-10)</v>
      </c>
      <c r="R965" s="4">
        <f t="shared" si="31"/>
        <v>2</v>
      </c>
    </row>
    <row r="966" spans="1:18">
      <c r="A966">
        <f>RAW_DATA!A966</f>
        <v>34</v>
      </c>
      <c r="B966" t="str">
        <f>RAW_DATA!B966</f>
        <v>No</v>
      </c>
      <c r="C966" t="str">
        <f>RAW_DATA!C966</f>
        <v>Sales</v>
      </c>
      <c r="D966">
        <f>RAW_DATA!D966</f>
        <v>15</v>
      </c>
      <c r="E966">
        <f>RAW_DATA!E966</f>
        <v>2</v>
      </c>
      <c r="F966" t="str">
        <f>RAW_DATA!F966</f>
        <v>Medical</v>
      </c>
      <c r="G966">
        <f>RAW_DATA!G966</f>
        <v>3</v>
      </c>
      <c r="H966">
        <f>RAW_DATA!H966</f>
        <v>1</v>
      </c>
      <c r="I966" t="str">
        <f>RAW_DATA!I966</f>
        <v>Single</v>
      </c>
      <c r="J966">
        <f>RAW_DATA!J966</f>
        <v>6125</v>
      </c>
      <c r="K966">
        <f>RAW_DATA!K966</f>
        <v>1</v>
      </c>
      <c r="L966">
        <f>RAW_DATA!L966</f>
        <v>4</v>
      </c>
      <c r="M966">
        <f>RAW_DATA!M966</f>
        <v>10</v>
      </c>
      <c r="N966">
        <f t="shared" si="30"/>
        <v>0</v>
      </c>
      <c r="O966" t="str" cm="1">
        <f t="array" ref="O966" xml:space="preserve"> _xlfn.IFS(A966 &lt;ASSUMPTIONS!$D$2,"25",A966 &lt;= ASSUMPTIONS!$D$3,"25-34",A966 &lt;= ASSUMPTIONS!$D$4, "35-44",A966 &lt;= ASSUMPTIONS!$D$5,"45-54",TRUE,"55+")</f>
        <v>25-34</v>
      </c>
      <c r="P966" t="str" cm="1">
        <f t="array" ref="P966">_xlfn.IFS( J966 &lt;ASSUMPTIONS!$D$7,"LOW",J966 &lt;= ASSUMPTIONS!$D$8,"MEDIUM",TRUE, "HIGH")</f>
        <v>MEDIUM</v>
      </c>
      <c r="Q966" t="str">
        <f>IF(M966&lt;ASSUMPTIONS!$D$10,"New (0-2)",IF(M966&lt;=ASSUMPTIONS!$D$11,"Early (2-5)",IF(M966&lt;=ASSUMPTIONS!$D$12,"Established (5-10)","Veteran (10+)")))</f>
        <v>Established (5-10)</v>
      </c>
      <c r="R966" s="4">
        <f t="shared" si="31"/>
        <v>2.6666666666666665</v>
      </c>
    </row>
    <row r="967" spans="1:18">
      <c r="A967">
        <f>RAW_DATA!A967</f>
        <v>25</v>
      </c>
      <c r="B967" t="str">
        <f>RAW_DATA!B967</f>
        <v>No</v>
      </c>
      <c r="C967" t="str">
        <f>RAW_DATA!C967</f>
        <v>Research &amp; Development</v>
      </c>
      <c r="D967">
        <f>RAW_DATA!D967</f>
        <v>19</v>
      </c>
      <c r="E967">
        <f>RAW_DATA!E967</f>
        <v>1</v>
      </c>
      <c r="F967" t="str">
        <f>RAW_DATA!F967</f>
        <v>Medical</v>
      </c>
      <c r="G967">
        <f>RAW_DATA!G967</f>
        <v>4</v>
      </c>
      <c r="H967">
        <f>RAW_DATA!H967</f>
        <v>4</v>
      </c>
      <c r="I967" t="str">
        <f>RAW_DATA!I967</f>
        <v>Married</v>
      </c>
      <c r="J967">
        <f>RAW_DATA!J967</f>
        <v>3669</v>
      </c>
      <c r="K967">
        <f>RAW_DATA!K967</f>
        <v>3</v>
      </c>
      <c r="L967">
        <f>RAW_DATA!L967</f>
        <v>2</v>
      </c>
      <c r="M967">
        <f>RAW_DATA!M967</f>
        <v>3</v>
      </c>
      <c r="N967">
        <f t="shared" si="30"/>
        <v>0</v>
      </c>
      <c r="O967" t="str" cm="1">
        <f t="array" ref="O967" xml:space="preserve"> _xlfn.IFS(A967 &lt;ASSUMPTIONS!$D$2,"25",A967 &lt;= ASSUMPTIONS!$D$3,"25-34",A967 &lt;= ASSUMPTIONS!$D$4, "35-44",A967 &lt;= ASSUMPTIONS!$D$5,"45-54",TRUE,"55+")</f>
        <v>25-34</v>
      </c>
      <c r="P967" t="str" cm="1">
        <f t="array" ref="P967">_xlfn.IFS( J967 &lt;ASSUMPTIONS!$D$7,"LOW",J967 &lt;= ASSUMPTIONS!$D$8,"MEDIUM",TRUE, "HIGH")</f>
        <v>MEDIUM</v>
      </c>
      <c r="Q967" t="str">
        <f>IF(M967&lt;ASSUMPTIONS!$D$10,"New (0-2)",IF(M967&lt;=ASSUMPTIONS!$D$11,"Early (2-5)",IF(M967&lt;=ASSUMPTIONS!$D$12,"Established (5-10)","Veteran (10+)")))</f>
        <v>Early (2-5)</v>
      </c>
      <c r="R967" s="4">
        <f t="shared" si="31"/>
        <v>3.3333333333333335</v>
      </c>
    </row>
    <row r="968" spans="1:18">
      <c r="A968">
        <f>RAW_DATA!A968</f>
        <v>58</v>
      </c>
      <c r="B968" t="str">
        <f>RAW_DATA!B968</f>
        <v>Yes</v>
      </c>
      <c r="C968" t="str">
        <f>RAW_DATA!C968</f>
        <v>Research &amp; Development</v>
      </c>
      <c r="D968">
        <f>RAW_DATA!D968</f>
        <v>7</v>
      </c>
      <c r="E968">
        <f>RAW_DATA!E968</f>
        <v>4</v>
      </c>
      <c r="F968" t="str">
        <f>RAW_DATA!F968</f>
        <v>Medical</v>
      </c>
      <c r="G968">
        <f>RAW_DATA!G968</f>
        <v>3</v>
      </c>
      <c r="H968">
        <f>RAW_DATA!H968</f>
        <v>1</v>
      </c>
      <c r="I968" t="str">
        <f>RAW_DATA!I968</f>
        <v>Married</v>
      </c>
      <c r="J968">
        <f>RAW_DATA!J968</f>
        <v>10008</v>
      </c>
      <c r="K968">
        <f>RAW_DATA!K968</f>
        <v>7</v>
      </c>
      <c r="L968">
        <f>RAW_DATA!L968</f>
        <v>2</v>
      </c>
      <c r="M968">
        <f>RAW_DATA!M968</f>
        <v>10</v>
      </c>
      <c r="N968">
        <f t="shared" si="30"/>
        <v>1</v>
      </c>
      <c r="O968" t="str" cm="1">
        <f t="array" ref="O968" xml:space="preserve"> _xlfn.IFS(A968 &lt;ASSUMPTIONS!$D$2,"25",A968 &lt;= ASSUMPTIONS!$D$3,"25-34",A968 &lt;= ASSUMPTIONS!$D$4, "35-44",A968 &lt;= ASSUMPTIONS!$D$5,"45-54",TRUE,"55+")</f>
        <v>55+</v>
      </c>
      <c r="P968" t="str" cm="1">
        <f t="array" ref="P968">_xlfn.IFS( J968 &lt;ASSUMPTIONS!$D$7,"LOW",J968 &lt;= ASSUMPTIONS!$D$8,"MEDIUM",TRUE, "HIGH")</f>
        <v>HIGH</v>
      </c>
      <c r="Q968" t="str">
        <f>IF(M968&lt;ASSUMPTIONS!$D$10,"New (0-2)",IF(M968&lt;=ASSUMPTIONS!$D$11,"Early (2-5)",IF(M968&lt;=ASSUMPTIONS!$D$12,"Established (5-10)","Veteran (10+)")))</f>
        <v>Established (5-10)</v>
      </c>
      <c r="R968" s="4">
        <f t="shared" si="31"/>
        <v>2</v>
      </c>
    </row>
    <row r="969" spans="1:18">
      <c r="A969">
        <f>RAW_DATA!A969</f>
        <v>40</v>
      </c>
      <c r="B969" t="str">
        <f>RAW_DATA!B969</f>
        <v>No</v>
      </c>
      <c r="C969" t="str">
        <f>RAW_DATA!C969</f>
        <v>Research &amp; Development</v>
      </c>
      <c r="D969">
        <f>RAW_DATA!D969</f>
        <v>1</v>
      </c>
      <c r="E969">
        <f>RAW_DATA!E969</f>
        <v>4</v>
      </c>
      <c r="F969" t="str">
        <f>RAW_DATA!F969</f>
        <v>Life Sciences</v>
      </c>
      <c r="G969">
        <f>RAW_DATA!G969</f>
        <v>2</v>
      </c>
      <c r="H969">
        <f>RAW_DATA!H969</f>
        <v>2</v>
      </c>
      <c r="I969" t="str">
        <f>RAW_DATA!I969</f>
        <v>Married</v>
      </c>
      <c r="J969">
        <f>RAW_DATA!J969</f>
        <v>2387</v>
      </c>
      <c r="K969">
        <f>RAW_DATA!K969</f>
        <v>3</v>
      </c>
      <c r="L969">
        <f>RAW_DATA!L969</f>
        <v>3</v>
      </c>
      <c r="M969">
        <f>RAW_DATA!M969</f>
        <v>4</v>
      </c>
      <c r="N969">
        <f t="shared" si="30"/>
        <v>0</v>
      </c>
      <c r="O969" t="str" cm="1">
        <f t="array" ref="O969" xml:space="preserve"> _xlfn.IFS(A969 &lt;ASSUMPTIONS!$D$2,"25",A969 &lt;= ASSUMPTIONS!$D$3,"25-34",A969 &lt;= ASSUMPTIONS!$D$4, "35-44",A969 &lt;= ASSUMPTIONS!$D$5,"45-54",TRUE,"55+")</f>
        <v>35-44</v>
      </c>
      <c r="P969" t="str" cm="1">
        <f t="array" ref="P969">_xlfn.IFS( J969 &lt;ASSUMPTIONS!$D$7,"LOW",J969 &lt;= ASSUMPTIONS!$D$8,"MEDIUM",TRUE, "HIGH")</f>
        <v>LOW</v>
      </c>
      <c r="Q969" t="str">
        <f>IF(M969&lt;ASSUMPTIONS!$D$10,"New (0-2)",IF(M969&lt;=ASSUMPTIONS!$D$11,"Early (2-5)",IF(M969&lt;=ASSUMPTIONS!$D$12,"Established (5-10)","Veteran (10+)")))</f>
        <v>Early (2-5)</v>
      </c>
      <c r="R969" s="4">
        <f t="shared" si="31"/>
        <v>2.3333333333333335</v>
      </c>
    </row>
    <row r="970" spans="1:18">
      <c r="A970">
        <f>RAW_DATA!A970</f>
        <v>36</v>
      </c>
      <c r="B970" t="str">
        <f>RAW_DATA!B970</f>
        <v>No</v>
      </c>
      <c r="C970" t="str">
        <f>RAW_DATA!C970</f>
        <v>Sales</v>
      </c>
      <c r="D970">
        <f>RAW_DATA!D970</f>
        <v>7</v>
      </c>
      <c r="E970">
        <f>RAW_DATA!E970</f>
        <v>3</v>
      </c>
      <c r="F970" t="str">
        <f>RAW_DATA!F970</f>
        <v>Marketing</v>
      </c>
      <c r="G970">
        <f>RAW_DATA!G970</f>
        <v>1</v>
      </c>
      <c r="H970">
        <f>RAW_DATA!H970</f>
        <v>1</v>
      </c>
      <c r="I970" t="str">
        <f>RAW_DATA!I970</f>
        <v>Married</v>
      </c>
      <c r="J970">
        <f>RAW_DATA!J970</f>
        <v>4639</v>
      </c>
      <c r="K970">
        <f>RAW_DATA!K970</f>
        <v>2</v>
      </c>
      <c r="L970">
        <f>RAW_DATA!L970</f>
        <v>2</v>
      </c>
      <c r="M970">
        <f>RAW_DATA!M970</f>
        <v>15</v>
      </c>
      <c r="N970">
        <f t="shared" si="30"/>
        <v>0</v>
      </c>
      <c r="O970" t="str" cm="1">
        <f t="array" ref="O970" xml:space="preserve"> _xlfn.IFS(A970 &lt;ASSUMPTIONS!$D$2,"25",A970 &lt;= ASSUMPTIONS!$D$3,"25-34",A970 &lt;= ASSUMPTIONS!$D$4, "35-44",A970 &lt;= ASSUMPTIONS!$D$5,"45-54",TRUE,"55+")</f>
        <v>35-44</v>
      </c>
      <c r="P970" t="str" cm="1">
        <f t="array" ref="P970">_xlfn.IFS( J970 &lt;ASSUMPTIONS!$D$7,"LOW",J970 &lt;= ASSUMPTIONS!$D$8,"MEDIUM",TRUE, "HIGH")</f>
        <v>MEDIUM</v>
      </c>
      <c r="Q970" t="str">
        <f>IF(M970&lt;ASSUMPTIONS!$D$10,"New (0-2)",IF(M970&lt;=ASSUMPTIONS!$D$11,"Early (2-5)",IF(M970&lt;=ASSUMPTIONS!$D$12,"Established (5-10)","Veteran (10+)")))</f>
        <v>Veteran (10+)</v>
      </c>
      <c r="R970" s="4">
        <f t="shared" si="31"/>
        <v>1.3333333333333333</v>
      </c>
    </row>
    <row r="971" spans="1:18">
      <c r="A971">
        <f>RAW_DATA!A971</f>
        <v>48</v>
      </c>
      <c r="B971" t="str">
        <f>RAW_DATA!B971</f>
        <v>No</v>
      </c>
      <c r="C971" t="str">
        <f>RAW_DATA!C971</f>
        <v>Research &amp; Development</v>
      </c>
      <c r="D971">
        <f>RAW_DATA!D971</f>
        <v>4</v>
      </c>
      <c r="E971">
        <f>RAW_DATA!E971</f>
        <v>3</v>
      </c>
      <c r="F971" t="str">
        <f>RAW_DATA!F971</f>
        <v>Life Sciences</v>
      </c>
      <c r="G971">
        <f>RAW_DATA!G971</f>
        <v>4</v>
      </c>
      <c r="H971">
        <f>RAW_DATA!H971</f>
        <v>4</v>
      </c>
      <c r="I971" t="str">
        <f>RAW_DATA!I971</f>
        <v>Single</v>
      </c>
      <c r="J971">
        <f>RAW_DATA!J971</f>
        <v>7898</v>
      </c>
      <c r="K971">
        <f>RAW_DATA!K971</f>
        <v>1</v>
      </c>
      <c r="L971">
        <f>RAW_DATA!L971</f>
        <v>3</v>
      </c>
      <c r="M971">
        <f>RAW_DATA!M971</f>
        <v>10</v>
      </c>
      <c r="N971">
        <f t="shared" si="30"/>
        <v>0</v>
      </c>
      <c r="O971" t="str" cm="1">
        <f t="array" ref="O971" xml:space="preserve"> _xlfn.IFS(A971 &lt;ASSUMPTIONS!$D$2,"25",A971 &lt;= ASSUMPTIONS!$D$3,"25-34",A971 &lt;= ASSUMPTIONS!$D$4, "35-44",A971 &lt;= ASSUMPTIONS!$D$5,"45-54",TRUE,"55+")</f>
        <v>45-54</v>
      </c>
      <c r="P971" t="str" cm="1">
        <f t="array" ref="P971">_xlfn.IFS( J971 &lt;ASSUMPTIONS!$D$7,"LOW",J971 &lt;= ASSUMPTIONS!$D$8,"MEDIUM",TRUE, "HIGH")</f>
        <v>HIGH</v>
      </c>
      <c r="Q971" t="str">
        <f>IF(M971&lt;ASSUMPTIONS!$D$10,"New (0-2)",IF(M971&lt;=ASSUMPTIONS!$D$11,"Early (2-5)",IF(M971&lt;=ASSUMPTIONS!$D$12,"Established (5-10)","Veteran (10+)")))</f>
        <v>Established (5-10)</v>
      </c>
      <c r="R971" s="4">
        <f t="shared" si="31"/>
        <v>3.6666666666666665</v>
      </c>
    </row>
    <row r="972" spans="1:18">
      <c r="A972">
        <f>RAW_DATA!A972</f>
        <v>27</v>
      </c>
      <c r="B972" t="str">
        <f>RAW_DATA!B972</f>
        <v>No</v>
      </c>
      <c r="C972" t="str">
        <f>RAW_DATA!C972</f>
        <v>Sales</v>
      </c>
      <c r="D972">
        <f>RAW_DATA!D972</f>
        <v>11</v>
      </c>
      <c r="E972">
        <f>RAW_DATA!E972</f>
        <v>3</v>
      </c>
      <c r="F972" t="str">
        <f>RAW_DATA!F972</f>
        <v>Medical</v>
      </c>
      <c r="G972">
        <f>RAW_DATA!G972</f>
        <v>3</v>
      </c>
      <c r="H972">
        <f>RAW_DATA!H972</f>
        <v>4</v>
      </c>
      <c r="I972" t="str">
        <f>RAW_DATA!I972</f>
        <v>Married</v>
      </c>
      <c r="J972">
        <f>RAW_DATA!J972</f>
        <v>2534</v>
      </c>
      <c r="K972">
        <f>RAW_DATA!K972</f>
        <v>8</v>
      </c>
      <c r="L972">
        <f>RAW_DATA!L972</f>
        <v>3</v>
      </c>
      <c r="M972">
        <f>RAW_DATA!M972</f>
        <v>1</v>
      </c>
      <c r="N972">
        <f t="shared" si="30"/>
        <v>0</v>
      </c>
      <c r="O972" t="str" cm="1">
        <f t="array" ref="O972" xml:space="preserve"> _xlfn.IFS(A972 &lt;ASSUMPTIONS!$D$2,"25",A972 &lt;= ASSUMPTIONS!$D$3,"25-34",A972 &lt;= ASSUMPTIONS!$D$4, "35-44",A972 &lt;= ASSUMPTIONS!$D$5,"45-54",TRUE,"55+")</f>
        <v>25-34</v>
      </c>
      <c r="P972" t="str" cm="1">
        <f t="array" ref="P972">_xlfn.IFS( J972 &lt;ASSUMPTIONS!$D$7,"LOW",J972 &lt;= ASSUMPTIONS!$D$8,"MEDIUM",TRUE, "HIGH")</f>
        <v>LOW</v>
      </c>
      <c r="Q972" t="str">
        <f>IF(M972&lt;ASSUMPTIONS!$D$10,"New (0-2)",IF(M972&lt;=ASSUMPTIONS!$D$11,"Early (2-5)",IF(M972&lt;=ASSUMPTIONS!$D$12,"Established (5-10)","Veteran (10+)")))</f>
        <v>New (0-2)</v>
      </c>
      <c r="R972" s="4">
        <f t="shared" si="31"/>
        <v>3.3333333333333335</v>
      </c>
    </row>
    <row r="973" spans="1:18">
      <c r="A973">
        <f>RAW_DATA!A973</f>
        <v>51</v>
      </c>
      <c r="B973" t="str">
        <f>RAW_DATA!B973</f>
        <v>No</v>
      </c>
      <c r="C973" t="str">
        <f>RAW_DATA!C973</f>
        <v>Research &amp; Development</v>
      </c>
      <c r="D973">
        <f>RAW_DATA!D973</f>
        <v>11</v>
      </c>
      <c r="E973">
        <f>RAW_DATA!E973</f>
        <v>2</v>
      </c>
      <c r="F973" t="str">
        <f>RAW_DATA!F973</f>
        <v>Technical Degree</v>
      </c>
      <c r="G973">
        <f>RAW_DATA!G973</f>
        <v>4</v>
      </c>
      <c r="H973">
        <f>RAW_DATA!H973</f>
        <v>2</v>
      </c>
      <c r="I973" t="str">
        <f>RAW_DATA!I973</f>
        <v>Single</v>
      </c>
      <c r="J973">
        <f>RAW_DATA!J973</f>
        <v>13142</v>
      </c>
      <c r="K973">
        <f>RAW_DATA!K973</f>
        <v>3</v>
      </c>
      <c r="L973">
        <f>RAW_DATA!L973</f>
        <v>2</v>
      </c>
      <c r="M973">
        <f>RAW_DATA!M973</f>
        <v>5</v>
      </c>
      <c r="N973">
        <f t="shared" si="30"/>
        <v>0</v>
      </c>
      <c r="O973" t="str" cm="1">
        <f t="array" ref="O973" xml:space="preserve"> _xlfn.IFS(A973 &lt;ASSUMPTIONS!$D$2,"25",A973 &lt;= ASSUMPTIONS!$D$3,"25-34",A973 &lt;= ASSUMPTIONS!$D$4, "35-44",A973 &lt;= ASSUMPTIONS!$D$5,"45-54",TRUE,"55+")</f>
        <v>45-54</v>
      </c>
      <c r="P973" t="str" cm="1">
        <f t="array" ref="P973">_xlfn.IFS( J973 &lt;ASSUMPTIONS!$D$7,"LOW",J973 &lt;= ASSUMPTIONS!$D$8,"MEDIUM",TRUE, "HIGH")</f>
        <v>HIGH</v>
      </c>
      <c r="Q973" t="str">
        <f>IF(M973&lt;ASSUMPTIONS!$D$10,"New (0-2)",IF(M973&lt;=ASSUMPTIONS!$D$11,"Early (2-5)",IF(M973&lt;=ASSUMPTIONS!$D$12,"Established (5-10)","Veteran (10+)")))</f>
        <v>Early (2-5)</v>
      </c>
      <c r="R973" s="4">
        <f t="shared" si="31"/>
        <v>2.6666666666666665</v>
      </c>
    </row>
    <row r="974" spans="1:18">
      <c r="A974">
        <f>RAW_DATA!A974</f>
        <v>18</v>
      </c>
      <c r="B974" t="str">
        <f>RAW_DATA!B974</f>
        <v>No</v>
      </c>
      <c r="C974" t="str">
        <f>RAW_DATA!C974</f>
        <v>Research &amp; Development</v>
      </c>
      <c r="D974">
        <f>RAW_DATA!D974</f>
        <v>1</v>
      </c>
      <c r="E974">
        <f>RAW_DATA!E974</f>
        <v>3</v>
      </c>
      <c r="F974" t="str">
        <f>RAW_DATA!F974</f>
        <v>Life Sciences</v>
      </c>
      <c r="G974">
        <f>RAW_DATA!G974</f>
        <v>4</v>
      </c>
      <c r="H974">
        <f>RAW_DATA!H974</f>
        <v>4</v>
      </c>
      <c r="I974" t="str">
        <f>RAW_DATA!I974</f>
        <v>Single</v>
      </c>
      <c r="J974">
        <f>RAW_DATA!J974</f>
        <v>1611</v>
      </c>
      <c r="K974">
        <f>RAW_DATA!K974</f>
        <v>1</v>
      </c>
      <c r="L974">
        <f>RAW_DATA!L974</f>
        <v>4</v>
      </c>
      <c r="M974">
        <f>RAW_DATA!M974</f>
        <v>0</v>
      </c>
      <c r="N974">
        <f t="shared" si="30"/>
        <v>0</v>
      </c>
      <c r="O974" t="str" cm="1">
        <f t="array" ref="O974" xml:space="preserve"> _xlfn.IFS(A974 &lt;ASSUMPTIONS!$D$2,"25",A974 &lt;= ASSUMPTIONS!$D$3,"25-34",A974 &lt;= ASSUMPTIONS!$D$4, "35-44",A974 &lt;= ASSUMPTIONS!$D$5,"45-54",TRUE,"55+")</f>
        <v>25</v>
      </c>
      <c r="P974" t="str" cm="1">
        <f t="array" ref="P974">_xlfn.IFS( J974 &lt;ASSUMPTIONS!$D$7,"LOW",J974 &lt;= ASSUMPTIONS!$D$8,"MEDIUM",TRUE, "HIGH")</f>
        <v>LOW</v>
      </c>
      <c r="Q974" t="str">
        <f>IF(M974&lt;ASSUMPTIONS!$D$10,"New (0-2)",IF(M974&lt;=ASSUMPTIONS!$D$11,"Early (2-5)",IF(M974&lt;=ASSUMPTIONS!$D$12,"Established (5-10)","Veteran (10+)")))</f>
        <v>New (0-2)</v>
      </c>
      <c r="R974" s="4">
        <f t="shared" si="31"/>
        <v>4</v>
      </c>
    </row>
    <row r="975" spans="1:18">
      <c r="A975">
        <f>RAW_DATA!A975</f>
        <v>35</v>
      </c>
      <c r="B975" t="str">
        <f>RAW_DATA!B975</f>
        <v>No</v>
      </c>
      <c r="C975" t="str">
        <f>RAW_DATA!C975</f>
        <v>Research &amp; Development</v>
      </c>
      <c r="D975">
        <f>RAW_DATA!D975</f>
        <v>1</v>
      </c>
      <c r="E975">
        <f>RAW_DATA!E975</f>
        <v>3</v>
      </c>
      <c r="F975" t="str">
        <f>RAW_DATA!F975</f>
        <v>Medical</v>
      </c>
      <c r="G975">
        <f>RAW_DATA!G975</f>
        <v>4</v>
      </c>
      <c r="H975">
        <f>RAW_DATA!H975</f>
        <v>4</v>
      </c>
      <c r="I975" t="str">
        <f>RAW_DATA!I975</f>
        <v>Married</v>
      </c>
      <c r="J975">
        <f>RAW_DATA!J975</f>
        <v>5363</v>
      </c>
      <c r="K975">
        <f>RAW_DATA!K975</f>
        <v>0</v>
      </c>
      <c r="L975">
        <f>RAW_DATA!L975</f>
        <v>3</v>
      </c>
      <c r="M975">
        <f>RAW_DATA!M975</f>
        <v>9</v>
      </c>
      <c r="N975">
        <f t="shared" si="30"/>
        <v>0</v>
      </c>
      <c r="O975" t="str" cm="1">
        <f t="array" ref="O975" xml:space="preserve"> _xlfn.IFS(A975 &lt;ASSUMPTIONS!$D$2,"25",A975 &lt;= ASSUMPTIONS!$D$3,"25-34",A975 &lt;= ASSUMPTIONS!$D$4, "35-44",A975 &lt;= ASSUMPTIONS!$D$5,"45-54",TRUE,"55+")</f>
        <v>35-44</v>
      </c>
      <c r="P975" t="str" cm="1">
        <f t="array" ref="P975">_xlfn.IFS( J975 &lt;ASSUMPTIONS!$D$7,"LOW",J975 &lt;= ASSUMPTIONS!$D$8,"MEDIUM",TRUE, "HIGH")</f>
        <v>MEDIUM</v>
      </c>
      <c r="Q975" t="str">
        <f>IF(M975&lt;ASSUMPTIONS!$D$10,"New (0-2)",IF(M975&lt;=ASSUMPTIONS!$D$11,"Early (2-5)",IF(M975&lt;=ASSUMPTIONS!$D$12,"Established (5-10)","Veteran (10+)")))</f>
        <v>Established (5-10)</v>
      </c>
      <c r="R975" s="4">
        <f t="shared" si="31"/>
        <v>3.6666666666666665</v>
      </c>
    </row>
    <row r="976" spans="1:18">
      <c r="A976">
        <f>RAW_DATA!A976</f>
        <v>27</v>
      </c>
      <c r="B976" t="str">
        <f>RAW_DATA!B976</f>
        <v>No</v>
      </c>
      <c r="C976" t="str">
        <f>RAW_DATA!C976</f>
        <v>Sales</v>
      </c>
      <c r="D976">
        <f>RAW_DATA!D976</f>
        <v>2</v>
      </c>
      <c r="E976">
        <f>RAW_DATA!E976</f>
        <v>1</v>
      </c>
      <c r="F976" t="str">
        <f>RAW_DATA!F976</f>
        <v>Life Sciences</v>
      </c>
      <c r="G976">
        <f>RAW_DATA!G976</f>
        <v>4</v>
      </c>
      <c r="H976">
        <f>RAW_DATA!H976</f>
        <v>4</v>
      </c>
      <c r="I976" t="str">
        <f>RAW_DATA!I976</f>
        <v>Single</v>
      </c>
      <c r="J976">
        <f>RAW_DATA!J976</f>
        <v>5071</v>
      </c>
      <c r="K976">
        <f>RAW_DATA!K976</f>
        <v>3</v>
      </c>
      <c r="L976">
        <f>RAW_DATA!L976</f>
        <v>3</v>
      </c>
      <c r="M976">
        <f>RAW_DATA!M976</f>
        <v>6</v>
      </c>
      <c r="N976">
        <f t="shared" si="30"/>
        <v>0</v>
      </c>
      <c r="O976" t="str" cm="1">
        <f t="array" ref="O976" xml:space="preserve"> _xlfn.IFS(A976 &lt;ASSUMPTIONS!$D$2,"25",A976 &lt;= ASSUMPTIONS!$D$3,"25-34",A976 &lt;= ASSUMPTIONS!$D$4, "35-44",A976 &lt;= ASSUMPTIONS!$D$5,"45-54",TRUE,"55+")</f>
        <v>25-34</v>
      </c>
      <c r="P976" t="str" cm="1">
        <f t="array" ref="P976">_xlfn.IFS( J976 &lt;ASSUMPTIONS!$D$7,"LOW",J976 &lt;= ASSUMPTIONS!$D$8,"MEDIUM",TRUE, "HIGH")</f>
        <v>MEDIUM</v>
      </c>
      <c r="Q976" t="str">
        <f>IF(M976&lt;ASSUMPTIONS!$D$10,"New (0-2)",IF(M976&lt;=ASSUMPTIONS!$D$11,"Early (2-5)",IF(M976&lt;=ASSUMPTIONS!$D$12,"Established (5-10)","Veteran (10+)")))</f>
        <v>Established (5-10)</v>
      </c>
      <c r="R976" s="4">
        <f t="shared" si="31"/>
        <v>3.6666666666666665</v>
      </c>
    </row>
    <row r="977" spans="1:18">
      <c r="A977">
        <f>RAW_DATA!A977</f>
        <v>55</v>
      </c>
      <c r="B977" t="str">
        <f>RAW_DATA!B977</f>
        <v>Yes</v>
      </c>
      <c r="C977" t="str">
        <f>RAW_DATA!C977</f>
        <v>Sales</v>
      </c>
      <c r="D977">
        <f>RAW_DATA!D977</f>
        <v>13</v>
      </c>
      <c r="E977">
        <f>RAW_DATA!E977</f>
        <v>4</v>
      </c>
      <c r="F977" t="str">
        <f>RAW_DATA!F977</f>
        <v>Marketing</v>
      </c>
      <c r="G977">
        <f>RAW_DATA!G977</f>
        <v>1</v>
      </c>
      <c r="H977">
        <f>RAW_DATA!H977</f>
        <v>3</v>
      </c>
      <c r="I977" t="str">
        <f>RAW_DATA!I977</f>
        <v>Single</v>
      </c>
      <c r="J977">
        <f>RAW_DATA!J977</f>
        <v>13695</v>
      </c>
      <c r="K977">
        <f>RAW_DATA!K977</f>
        <v>6</v>
      </c>
      <c r="L977">
        <f>RAW_DATA!L977</f>
        <v>2</v>
      </c>
      <c r="M977">
        <f>RAW_DATA!M977</f>
        <v>19</v>
      </c>
      <c r="N977">
        <f t="shared" si="30"/>
        <v>1</v>
      </c>
      <c r="O977" t="str" cm="1">
        <f t="array" ref="O977" xml:space="preserve"> _xlfn.IFS(A977 &lt;ASSUMPTIONS!$D$2,"25",A977 &lt;= ASSUMPTIONS!$D$3,"25-34",A977 &lt;= ASSUMPTIONS!$D$4, "35-44",A977 &lt;= ASSUMPTIONS!$D$5,"45-54",TRUE,"55+")</f>
        <v>55+</v>
      </c>
      <c r="P977" t="str" cm="1">
        <f t="array" ref="P977">_xlfn.IFS( J977 &lt;ASSUMPTIONS!$D$7,"LOW",J977 &lt;= ASSUMPTIONS!$D$8,"MEDIUM",TRUE, "HIGH")</f>
        <v>HIGH</v>
      </c>
      <c r="Q977" t="str">
        <f>IF(M977&lt;ASSUMPTIONS!$D$10,"New (0-2)",IF(M977&lt;=ASSUMPTIONS!$D$11,"Early (2-5)",IF(M977&lt;=ASSUMPTIONS!$D$12,"Established (5-10)","Veteran (10+)")))</f>
        <v>Veteran (10+)</v>
      </c>
      <c r="R977" s="4">
        <f t="shared" si="31"/>
        <v>2</v>
      </c>
    </row>
    <row r="978" spans="1:18">
      <c r="A978">
        <f>RAW_DATA!A978</f>
        <v>56</v>
      </c>
      <c r="B978" t="str">
        <f>RAW_DATA!B978</f>
        <v>No</v>
      </c>
      <c r="C978" t="str">
        <f>RAW_DATA!C978</f>
        <v>Research &amp; Development</v>
      </c>
      <c r="D978">
        <f>RAW_DATA!D978</f>
        <v>23</v>
      </c>
      <c r="E978">
        <f>RAW_DATA!E978</f>
        <v>3</v>
      </c>
      <c r="F978" t="str">
        <f>RAW_DATA!F978</f>
        <v>Life Sciences</v>
      </c>
      <c r="G978">
        <f>RAW_DATA!G978</f>
        <v>4</v>
      </c>
      <c r="H978">
        <f>RAW_DATA!H978</f>
        <v>2</v>
      </c>
      <c r="I978" t="str">
        <f>RAW_DATA!I978</f>
        <v>Married</v>
      </c>
      <c r="J978">
        <f>RAW_DATA!J978</f>
        <v>13402</v>
      </c>
      <c r="K978">
        <f>RAW_DATA!K978</f>
        <v>4</v>
      </c>
      <c r="L978">
        <f>RAW_DATA!L978</f>
        <v>3</v>
      </c>
      <c r="M978">
        <f>RAW_DATA!M978</f>
        <v>19</v>
      </c>
      <c r="N978">
        <f t="shared" si="30"/>
        <v>0</v>
      </c>
      <c r="O978" t="str" cm="1">
        <f t="array" ref="O978" xml:space="preserve"> _xlfn.IFS(A978 &lt;ASSUMPTIONS!$D$2,"25",A978 &lt;= ASSUMPTIONS!$D$3,"25-34",A978 &lt;= ASSUMPTIONS!$D$4, "35-44",A978 &lt;= ASSUMPTIONS!$D$5,"45-54",TRUE,"55+")</f>
        <v>55+</v>
      </c>
      <c r="P978" t="str" cm="1">
        <f t="array" ref="P978">_xlfn.IFS( J978 &lt;ASSUMPTIONS!$D$7,"LOW",J978 &lt;= ASSUMPTIONS!$D$8,"MEDIUM",TRUE, "HIGH")</f>
        <v>HIGH</v>
      </c>
      <c r="Q978" t="str">
        <f>IF(M978&lt;ASSUMPTIONS!$D$10,"New (0-2)",IF(M978&lt;=ASSUMPTIONS!$D$11,"Early (2-5)",IF(M978&lt;=ASSUMPTIONS!$D$12,"Established (5-10)","Veteran (10+)")))</f>
        <v>Veteran (10+)</v>
      </c>
      <c r="R978" s="4">
        <f t="shared" si="31"/>
        <v>3</v>
      </c>
    </row>
    <row r="979" spans="1:18">
      <c r="A979">
        <f>RAW_DATA!A979</f>
        <v>34</v>
      </c>
      <c r="B979" t="str">
        <f>RAW_DATA!B979</f>
        <v>No</v>
      </c>
      <c r="C979" t="str">
        <f>RAW_DATA!C979</f>
        <v>Research &amp; Development</v>
      </c>
      <c r="D979">
        <f>RAW_DATA!D979</f>
        <v>26</v>
      </c>
      <c r="E979">
        <f>RAW_DATA!E979</f>
        <v>1</v>
      </c>
      <c r="F979" t="str">
        <f>RAW_DATA!F979</f>
        <v>Technical Degree</v>
      </c>
      <c r="G979">
        <f>RAW_DATA!G979</f>
        <v>1</v>
      </c>
      <c r="H979">
        <f>RAW_DATA!H979</f>
        <v>3</v>
      </c>
      <c r="I979" t="str">
        <f>RAW_DATA!I979</f>
        <v>Divorced</v>
      </c>
      <c r="J979">
        <f>RAW_DATA!J979</f>
        <v>2029</v>
      </c>
      <c r="K979">
        <f>RAW_DATA!K979</f>
        <v>1</v>
      </c>
      <c r="L979">
        <f>RAW_DATA!L979</f>
        <v>3</v>
      </c>
      <c r="M979">
        <f>RAW_DATA!M979</f>
        <v>5</v>
      </c>
      <c r="N979">
        <f t="shared" si="30"/>
        <v>0</v>
      </c>
      <c r="O979" t="str" cm="1">
        <f t="array" ref="O979" xml:space="preserve"> _xlfn.IFS(A979 &lt;ASSUMPTIONS!$D$2,"25",A979 &lt;= ASSUMPTIONS!$D$3,"25-34",A979 &lt;= ASSUMPTIONS!$D$4, "35-44",A979 &lt;= ASSUMPTIONS!$D$5,"45-54",TRUE,"55+")</f>
        <v>25-34</v>
      </c>
      <c r="P979" t="str" cm="1">
        <f t="array" ref="P979">_xlfn.IFS( J979 &lt;ASSUMPTIONS!$D$7,"LOW",J979 &lt;= ASSUMPTIONS!$D$8,"MEDIUM",TRUE, "HIGH")</f>
        <v>LOW</v>
      </c>
      <c r="Q979" t="str">
        <f>IF(M979&lt;ASSUMPTIONS!$D$10,"New (0-2)",IF(M979&lt;=ASSUMPTIONS!$D$11,"Early (2-5)",IF(M979&lt;=ASSUMPTIONS!$D$12,"Established (5-10)","Veteran (10+)")))</f>
        <v>Early (2-5)</v>
      </c>
      <c r="R979" s="4">
        <f t="shared" si="31"/>
        <v>2.3333333333333335</v>
      </c>
    </row>
    <row r="980" spans="1:18">
      <c r="A980">
        <f>RAW_DATA!A980</f>
        <v>40</v>
      </c>
      <c r="B980" t="str">
        <f>RAW_DATA!B980</f>
        <v>No</v>
      </c>
      <c r="C980" t="str">
        <f>RAW_DATA!C980</f>
        <v>Research &amp; Development</v>
      </c>
      <c r="D980">
        <f>RAW_DATA!D980</f>
        <v>2</v>
      </c>
      <c r="E980">
        <f>RAW_DATA!E980</f>
        <v>1</v>
      </c>
      <c r="F980" t="str">
        <f>RAW_DATA!F980</f>
        <v>Medical</v>
      </c>
      <c r="G980">
        <f>RAW_DATA!G980</f>
        <v>2</v>
      </c>
      <c r="H980">
        <f>RAW_DATA!H980</f>
        <v>3</v>
      </c>
      <c r="I980" t="str">
        <f>RAW_DATA!I980</f>
        <v>Divorced</v>
      </c>
      <c r="J980">
        <f>RAW_DATA!J980</f>
        <v>6377</v>
      </c>
      <c r="K980">
        <f>RAW_DATA!K980</f>
        <v>5</v>
      </c>
      <c r="L980">
        <f>RAW_DATA!L980</f>
        <v>3</v>
      </c>
      <c r="M980">
        <f>RAW_DATA!M980</f>
        <v>12</v>
      </c>
      <c r="N980">
        <f t="shared" si="30"/>
        <v>0</v>
      </c>
      <c r="O980" t="str" cm="1">
        <f t="array" ref="O980" xml:space="preserve"> _xlfn.IFS(A980 &lt;ASSUMPTIONS!$D$2,"25",A980 &lt;= ASSUMPTIONS!$D$3,"25-34",A980 &lt;= ASSUMPTIONS!$D$4, "35-44",A980 &lt;= ASSUMPTIONS!$D$5,"45-54",TRUE,"55+")</f>
        <v>35-44</v>
      </c>
      <c r="P980" t="str" cm="1">
        <f t="array" ref="P980">_xlfn.IFS( J980 &lt;ASSUMPTIONS!$D$7,"LOW",J980 &lt;= ASSUMPTIONS!$D$8,"MEDIUM",TRUE, "HIGH")</f>
        <v>MEDIUM</v>
      </c>
      <c r="Q980" t="str">
        <f>IF(M980&lt;ASSUMPTIONS!$D$10,"New (0-2)",IF(M980&lt;=ASSUMPTIONS!$D$11,"Early (2-5)",IF(M980&lt;=ASSUMPTIONS!$D$12,"Established (5-10)","Veteran (10+)")))</f>
        <v>Veteran (10+)</v>
      </c>
      <c r="R980" s="4">
        <f t="shared" si="31"/>
        <v>2.6666666666666665</v>
      </c>
    </row>
    <row r="981" spans="1:18">
      <c r="A981">
        <f>RAW_DATA!A981</f>
        <v>34</v>
      </c>
      <c r="B981" t="str">
        <f>RAW_DATA!B981</f>
        <v>No</v>
      </c>
      <c r="C981" t="str">
        <f>RAW_DATA!C981</f>
        <v>Research &amp; Development</v>
      </c>
      <c r="D981">
        <f>RAW_DATA!D981</f>
        <v>29</v>
      </c>
      <c r="E981">
        <f>RAW_DATA!E981</f>
        <v>3</v>
      </c>
      <c r="F981" t="str">
        <f>RAW_DATA!F981</f>
        <v>Medical</v>
      </c>
      <c r="G981">
        <f>RAW_DATA!G981</f>
        <v>2</v>
      </c>
      <c r="H981">
        <f>RAW_DATA!H981</f>
        <v>3</v>
      </c>
      <c r="I981" t="str">
        <f>RAW_DATA!I981</f>
        <v>Married</v>
      </c>
      <c r="J981">
        <f>RAW_DATA!J981</f>
        <v>5429</v>
      </c>
      <c r="K981">
        <f>RAW_DATA!K981</f>
        <v>4</v>
      </c>
      <c r="L981">
        <f>RAW_DATA!L981</f>
        <v>3</v>
      </c>
      <c r="M981">
        <f>RAW_DATA!M981</f>
        <v>8</v>
      </c>
      <c r="N981">
        <f t="shared" si="30"/>
        <v>0</v>
      </c>
      <c r="O981" t="str" cm="1">
        <f t="array" ref="O981" xml:space="preserve"> _xlfn.IFS(A981 &lt;ASSUMPTIONS!$D$2,"25",A981 &lt;= ASSUMPTIONS!$D$3,"25-34",A981 &lt;= ASSUMPTIONS!$D$4, "35-44",A981 &lt;= ASSUMPTIONS!$D$5,"45-54",TRUE,"55+")</f>
        <v>25-34</v>
      </c>
      <c r="P981" t="str" cm="1">
        <f t="array" ref="P981">_xlfn.IFS( J981 &lt;ASSUMPTIONS!$D$7,"LOW",J981 &lt;= ASSUMPTIONS!$D$8,"MEDIUM",TRUE, "HIGH")</f>
        <v>MEDIUM</v>
      </c>
      <c r="Q981" t="str">
        <f>IF(M981&lt;ASSUMPTIONS!$D$10,"New (0-2)",IF(M981&lt;=ASSUMPTIONS!$D$11,"Early (2-5)",IF(M981&lt;=ASSUMPTIONS!$D$12,"Established (5-10)","Veteran (10+)")))</f>
        <v>Established (5-10)</v>
      </c>
      <c r="R981" s="4">
        <f t="shared" si="31"/>
        <v>2.6666666666666665</v>
      </c>
    </row>
    <row r="982" spans="1:18">
      <c r="A982">
        <f>RAW_DATA!A982</f>
        <v>31</v>
      </c>
      <c r="B982" t="str">
        <f>RAW_DATA!B982</f>
        <v>Yes</v>
      </c>
      <c r="C982" t="str">
        <f>RAW_DATA!C982</f>
        <v>Sales</v>
      </c>
      <c r="D982">
        <f>RAW_DATA!D982</f>
        <v>2</v>
      </c>
      <c r="E982">
        <f>RAW_DATA!E982</f>
        <v>3</v>
      </c>
      <c r="F982" t="str">
        <f>RAW_DATA!F982</f>
        <v>Life Sciences</v>
      </c>
      <c r="G982">
        <f>RAW_DATA!G982</f>
        <v>3</v>
      </c>
      <c r="H982">
        <f>RAW_DATA!H982</f>
        <v>4</v>
      </c>
      <c r="I982" t="str">
        <f>RAW_DATA!I982</f>
        <v>Single</v>
      </c>
      <c r="J982">
        <f>RAW_DATA!J982</f>
        <v>2785</v>
      </c>
      <c r="K982">
        <f>RAW_DATA!K982</f>
        <v>7</v>
      </c>
      <c r="L982">
        <f>RAW_DATA!L982</f>
        <v>4</v>
      </c>
      <c r="M982">
        <f>RAW_DATA!M982</f>
        <v>1</v>
      </c>
      <c r="N982">
        <f t="shared" si="30"/>
        <v>1</v>
      </c>
      <c r="O982" t="str" cm="1">
        <f t="array" ref="O982" xml:space="preserve"> _xlfn.IFS(A982 &lt;ASSUMPTIONS!$D$2,"25",A982 &lt;= ASSUMPTIONS!$D$3,"25-34",A982 &lt;= ASSUMPTIONS!$D$4, "35-44",A982 &lt;= ASSUMPTIONS!$D$5,"45-54",TRUE,"55+")</f>
        <v>25-34</v>
      </c>
      <c r="P982" t="str" cm="1">
        <f t="array" ref="P982">_xlfn.IFS( J982 &lt;ASSUMPTIONS!$D$7,"LOW",J982 &lt;= ASSUMPTIONS!$D$8,"MEDIUM",TRUE, "HIGH")</f>
        <v>LOW</v>
      </c>
      <c r="Q982" t="str">
        <f>IF(M982&lt;ASSUMPTIONS!$D$10,"New (0-2)",IF(M982&lt;=ASSUMPTIONS!$D$11,"Early (2-5)",IF(M982&lt;=ASSUMPTIONS!$D$12,"Established (5-10)","Veteran (10+)")))</f>
        <v>New (0-2)</v>
      </c>
      <c r="R982" s="4">
        <f t="shared" si="31"/>
        <v>3.6666666666666665</v>
      </c>
    </row>
    <row r="983" spans="1:18">
      <c r="A983">
        <f>RAW_DATA!A983</f>
        <v>35</v>
      </c>
      <c r="B983" t="str">
        <f>RAW_DATA!B983</f>
        <v>Yes</v>
      </c>
      <c r="C983" t="str">
        <f>RAW_DATA!C983</f>
        <v>Sales</v>
      </c>
      <c r="D983">
        <f>RAW_DATA!D983</f>
        <v>18</v>
      </c>
      <c r="E983">
        <f>RAW_DATA!E983</f>
        <v>4</v>
      </c>
      <c r="F983" t="str">
        <f>RAW_DATA!F983</f>
        <v>Marketing</v>
      </c>
      <c r="G983">
        <f>RAW_DATA!G983</f>
        <v>4</v>
      </c>
      <c r="H983">
        <f>RAW_DATA!H983</f>
        <v>3</v>
      </c>
      <c r="I983" t="str">
        <f>RAW_DATA!I983</f>
        <v>Married</v>
      </c>
      <c r="J983">
        <f>RAW_DATA!J983</f>
        <v>4614</v>
      </c>
      <c r="K983">
        <f>RAW_DATA!K983</f>
        <v>0</v>
      </c>
      <c r="L983">
        <f>RAW_DATA!L983</f>
        <v>2</v>
      </c>
      <c r="M983">
        <f>RAW_DATA!M983</f>
        <v>4</v>
      </c>
      <c r="N983">
        <f t="shared" si="30"/>
        <v>1</v>
      </c>
      <c r="O983" t="str" cm="1">
        <f t="array" ref="O983" xml:space="preserve"> _xlfn.IFS(A983 &lt;ASSUMPTIONS!$D$2,"25",A983 &lt;= ASSUMPTIONS!$D$3,"25-34",A983 &lt;= ASSUMPTIONS!$D$4, "35-44",A983 &lt;= ASSUMPTIONS!$D$5,"45-54",TRUE,"55+")</f>
        <v>35-44</v>
      </c>
      <c r="P983" t="str" cm="1">
        <f t="array" ref="P983">_xlfn.IFS( J983 &lt;ASSUMPTIONS!$D$7,"LOW",J983 &lt;= ASSUMPTIONS!$D$8,"MEDIUM",TRUE, "HIGH")</f>
        <v>MEDIUM</v>
      </c>
      <c r="Q983" t="str">
        <f>IF(M983&lt;ASSUMPTIONS!$D$10,"New (0-2)",IF(M983&lt;=ASSUMPTIONS!$D$11,"Early (2-5)",IF(M983&lt;=ASSUMPTIONS!$D$12,"Established (5-10)","Veteran (10+)")))</f>
        <v>Early (2-5)</v>
      </c>
      <c r="R983" s="4">
        <f t="shared" si="31"/>
        <v>3</v>
      </c>
    </row>
    <row r="984" spans="1:18">
      <c r="A984">
        <f>RAW_DATA!A984</f>
        <v>38</v>
      </c>
      <c r="B984" t="str">
        <f>RAW_DATA!B984</f>
        <v>No</v>
      </c>
      <c r="C984" t="str">
        <f>RAW_DATA!C984</f>
        <v>Research &amp; Development</v>
      </c>
      <c r="D984">
        <f>RAW_DATA!D984</f>
        <v>7</v>
      </c>
      <c r="E984">
        <f>RAW_DATA!E984</f>
        <v>3</v>
      </c>
      <c r="F984" t="str">
        <f>RAW_DATA!F984</f>
        <v>Life Sciences</v>
      </c>
      <c r="G984">
        <f>RAW_DATA!G984</f>
        <v>4</v>
      </c>
      <c r="H984">
        <f>RAW_DATA!H984</f>
        <v>3</v>
      </c>
      <c r="I984" t="str">
        <f>RAW_DATA!I984</f>
        <v>Divorced</v>
      </c>
      <c r="J984">
        <f>RAW_DATA!J984</f>
        <v>2610</v>
      </c>
      <c r="K984">
        <f>RAW_DATA!K984</f>
        <v>1</v>
      </c>
      <c r="L984">
        <f>RAW_DATA!L984</f>
        <v>3</v>
      </c>
      <c r="M984">
        <f>RAW_DATA!M984</f>
        <v>4</v>
      </c>
      <c r="N984">
        <f t="shared" si="30"/>
        <v>0</v>
      </c>
      <c r="O984" t="str" cm="1">
        <f t="array" ref="O984" xml:space="preserve"> _xlfn.IFS(A984 &lt;ASSUMPTIONS!$D$2,"25",A984 &lt;= ASSUMPTIONS!$D$3,"25-34",A984 &lt;= ASSUMPTIONS!$D$4, "35-44",A984 &lt;= ASSUMPTIONS!$D$5,"45-54",TRUE,"55+")</f>
        <v>35-44</v>
      </c>
      <c r="P984" t="str" cm="1">
        <f t="array" ref="P984">_xlfn.IFS( J984 &lt;ASSUMPTIONS!$D$7,"LOW",J984 &lt;= ASSUMPTIONS!$D$8,"MEDIUM",TRUE, "HIGH")</f>
        <v>LOW</v>
      </c>
      <c r="Q984" t="str">
        <f>IF(M984&lt;ASSUMPTIONS!$D$10,"New (0-2)",IF(M984&lt;=ASSUMPTIONS!$D$11,"Early (2-5)",IF(M984&lt;=ASSUMPTIONS!$D$12,"Established (5-10)","Veteran (10+)")))</f>
        <v>Early (2-5)</v>
      </c>
      <c r="R984" s="4">
        <f t="shared" si="31"/>
        <v>3.3333333333333335</v>
      </c>
    </row>
    <row r="985" spans="1:18">
      <c r="A985">
        <f>RAW_DATA!A985</f>
        <v>34</v>
      </c>
      <c r="B985" t="str">
        <f>RAW_DATA!B985</f>
        <v>No</v>
      </c>
      <c r="C985" t="str">
        <f>RAW_DATA!C985</f>
        <v>Research &amp; Development</v>
      </c>
      <c r="D985">
        <f>RAW_DATA!D985</f>
        <v>2</v>
      </c>
      <c r="E985">
        <f>RAW_DATA!E985</f>
        <v>4</v>
      </c>
      <c r="F985" t="str">
        <f>RAW_DATA!F985</f>
        <v>Technical Degree</v>
      </c>
      <c r="G985">
        <f>RAW_DATA!G985</f>
        <v>3</v>
      </c>
      <c r="H985">
        <f>RAW_DATA!H985</f>
        <v>4</v>
      </c>
      <c r="I985" t="str">
        <f>RAW_DATA!I985</f>
        <v>Single</v>
      </c>
      <c r="J985">
        <f>RAW_DATA!J985</f>
        <v>6687</v>
      </c>
      <c r="K985">
        <f>RAW_DATA!K985</f>
        <v>1</v>
      </c>
      <c r="L985">
        <f>RAW_DATA!L985</f>
        <v>4</v>
      </c>
      <c r="M985">
        <f>RAW_DATA!M985</f>
        <v>14</v>
      </c>
      <c r="N985">
        <f t="shared" si="30"/>
        <v>0</v>
      </c>
      <c r="O985" t="str" cm="1">
        <f t="array" ref="O985" xml:space="preserve"> _xlfn.IFS(A985 &lt;ASSUMPTIONS!$D$2,"25",A985 &lt;= ASSUMPTIONS!$D$3,"25-34",A985 &lt;= ASSUMPTIONS!$D$4, "35-44",A985 &lt;= ASSUMPTIONS!$D$5,"45-54",TRUE,"55+")</f>
        <v>25-34</v>
      </c>
      <c r="P985" t="str" cm="1">
        <f t="array" ref="P985">_xlfn.IFS( J985 &lt;ASSUMPTIONS!$D$7,"LOW",J985 &lt;= ASSUMPTIONS!$D$8,"MEDIUM",TRUE, "HIGH")</f>
        <v>MEDIUM</v>
      </c>
      <c r="Q985" t="str">
        <f>IF(M985&lt;ASSUMPTIONS!$D$10,"New (0-2)",IF(M985&lt;=ASSUMPTIONS!$D$11,"Early (2-5)",IF(M985&lt;=ASSUMPTIONS!$D$12,"Established (5-10)","Veteran (10+)")))</f>
        <v>Veteran (10+)</v>
      </c>
      <c r="R985" s="4">
        <f t="shared" si="31"/>
        <v>3.6666666666666665</v>
      </c>
    </row>
    <row r="986" spans="1:18">
      <c r="A986">
        <f>RAW_DATA!A986</f>
        <v>28</v>
      </c>
      <c r="B986" t="str">
        <f>RAW_DATA!B986</f>
        <v>No</v>
      </c>
      <c r="C986" t="str">
        <f>RAW_DATA!C986</f>
        <v>Sales</v>
      </c>
      <c r="D986">
        <f>RAW_DATA!D986</f>
        <v>26</v>
      </c>
      <c r="E986">
        <f>RAW_DATA!E986</f>
        <v>3</v>
      </c>
      <c r="F986" t="str">
        <f>RAW_DATA!F986</f>
        <v>Life Sciences</v>
      </c>
      <c r="G986">
        <f>RAW_DATA!G986</f>
        <v>3</v>
      </c>
      <c r="H986">
        <f>RAW_DATA!H986</f>
        <v>1</v>
      </c>
      <c r="I986" t="str">
        <f>RAW_DATA!I986</f>
        <v>Married</v>
      </c>
      <c r="J986">
        <f>RAW_DATA!J986</f>
        <v>4724</v>
      </c>
      <c r="K986">
        <f>RAW_DATA!K986</f>
        <v>1</v>
      </c>
      <c r="L986">
        <f>RAW_DATA!L986</f>
        <v>3</v>
      </c>
      <c r="M986">
        <f>RAW_DATA!M986</f>
        <v>5</v>
      </c>
      <c r="N986">
        <f t="shared" si="30"/>
        <v>0</v>
      </c>
      <c r="O986" t="str" cm="1">
        <f t="array" ref="O986" xml:space="preserve"> _xlfn.IFS(A986 &lt;ASSUMPTIONS!$D$2,"25",A986 &lt;= ASSUMPTIONS!$D$3,"25-34",A986 &lt;= ASSUMPTIONS!$D$4, "35-44",A986 &lt;= ASSUMPTIONS!$D$5,"45-54",TRUE,"55+")</f>
        <v>25-34</v>
      </c>
      <c r="P986" t="str" cm="1">
        <f t="array" ref="P986">_xlfn.IFS( J986 &lt;ASSUMPTIONS!$D$7,"LOW",J986 &lt;= ASSUMPTIONS!$D$8,"MEDIUM",TRUE, "HIGH")</f>
        <v>MEDIUM</v>
      </c>
      <c r="Q986" t="str">
        <f>IF(M986&lt;ASSUMPTIONS!$D$10,"New (0-2)",IF(M986&lt;=ASSUMPTIONS!$D$11,"Early (2-5)",IF(M986&lt;=ASSUMPTIONS!$D$12,"Established (5-10)","Veteran (10+)")))</f>
        <v>Early (2-5)</v>
      </c>
      <c r="R986" s="4">
        <f t="shared" si="31"/>
        <v>2.3333333333333335</v>
      </c>
    </row>
    <row r="987" spans="1:18">
      <c r="A987">
        <f>RAW_DATA!A987</f>
        <v>31</v>
      </c>
      <c r="B987" t="str">
        <f>RAW_DATA!B987</f>
        <v>Yes</v>
      </c>
      <c r="C987" t="str">
        <f>RAW_DATA!C987</f>
        <v>Research &amp; Development</v>
      </c>
      <c r="D987">
        <f>RAW_DATA!D987</f>
        <v>22</v>
      </c>
      <c r="E987">
        <f>RAW_DATA!E987</f>
        <v>4</v>
      </c>
      <c r="F987" t="str">
        <f>RAW_DATA!F987</f>
        <v>Medical</v>
      </c>
      <c r="G987">
        <f>RAW_DATA!G987</f>
        <v>4</v>
      </c>
      <c r="H987">
        <f>RAW_DATA!H987</f>
        <v>3</v>
      </c>
      <c r="I987" t="str">
        <f>RAW_DATA!I987</f>
        <v>Married</v>
      </c>
      <c r="J987">
        <f>RAW_DATA!J987</f>
        <v>6179</v>
      </c>
      <c r="K987">
        <f>RAW_DATA!K987</f>
        <v>1</v>
      </c>
      <c r="L987">
        <f>RAW_DATA!L987</f>
        <v>2</v>
      </c>
      <c r="M987">
        <f>RAW_DATA!M987</f>
        <v>10</v>
      </c>
      <c r="N987">
        <f t="shared" si="30"/>
        <v>1</v>
      </c>
      <c r="O987" t="str" cm="1">
        <f t="array" ref="O987" xml:space="preserve"> _xlfn.IFS(A987 &lt;ASSUMPTIONS!$D$2,"25",A987 &lt;= ASSUMPTIONS!$D$3,"25-34",A987 &lt;= ASSUMPTIONS!$D$4, "35-44",A987 &lt;= ASSUMPTIONS!$D$5,"45-54",TRUE,"55+")</f>
        <v>25-34</v>
      </c>
      <c r="P987" t="str" cm="1">
        <f t="array" ref="P987">_xlfn.IFS( J987 &lt;ASSUMPTIONS!$D$7,"LOW",J987 &lt;= ASSUMPTIONS!$D$8,"MEDIUM",TRUE, "HIGH")</f>
        <v>MEDIUM</v>
      </c>
      <c r="Q987" t="str">
        <f>IF(M987&lt;ASSUMPTIONS!$D$10,"New (0-2)",IF(M987&lt;=ASSUMPTIONS!$D$11,"Early (2-5)",IF(M987&lt;=ASSUMPTIONS!$D$12,"Established (5-10)","Veteran (10+)")))</f>
        <v>Established (5-10)</v>
      </c>
      <c r="R987" s="4">
        <f t="shared" si="31"/>
        <v>3</v>
      </c>
    </row>
    <row r="988" spans="1:18">
      <c r="A988">
        <f>RAW_DATA!A988</f>
        <v>39</v>
      </c>
      <c r="B988" t="str">
        <f>RAW_DATA!B988</f>
        <v>No</v>
      </c>
      <c r="C988" t="str">
        <f>RAW_DATA!C988</f>
        <v>Sales</v>
      </c>
      <c r="D988">
        <f>RAW_DATA!D988</f>
        <v>21</v>
      </c>
      <c r="E988">
        <f>RAW_DATA!E988</f>
        <v>4</v>
      </c>
      <c r="F988" t="str">
        <f>RAW_DATA!F988</f>
        <v>Life Sciences</v>
      </c>
      <c r="G988">
        <f>RAW_DATA!G988</f>
        <v>1</v>
      </c>
      <c r="H988">
        <f>RAW_DATA!H988</f>
        <v>4</v>
      </c>
      <c r="I988" t="str">
        <f>RAW_DATA!I988</f>
        <v>Married</v>
      </c>
      <c r="J988">
        <f>RAW_DATA!J988</f>
        <v>6120</v>
      </c>
      <c r="K988">
        <f>RAW_DATA!K988</f>
        <v>3</v>
      </c>
      <c r="L988">
        <f>RAW_DATA!L988</f>
        <v>4</v>
      </c>
      <c r="M988">
        <f>RAW_DATA!M988</f>
        <v>5</v>
      </c>
      <c r="N988">
        <f t="shared" si="30"/>
        <v>0</v>
      </c>
      <c r="O988" t="str" cm="1">
        <f t="array" ref="O988" xml:space="preserve"> _xlfn.IFS(A988 &lt;ASSUMPTIONS!$D$2,"25",A988 &lt;= ASSUMPTIONS!$D$3,"25-34",A988 &lt;= ASSUMPTIONS!$D$4, "35-44",A988 &lt;= ASSUMPTIONS!$D$5,"45-54",TRUE,"55+")</f>
        <v>35-44</v>
      </c>
      <c r="P988" t="str" cm="1">
        <f t="array" ref="P988">_xlfn.IFS( J988 &lt;ASSUMPTIONS!$D$7,"LOW",J988 &lt;= ASSUMPTIONS!$D$8,"MEDIUM",TRUE, "HIGH")</f>
        <v>MEDIUM</v>
      </c>
      <c r="Q988" t="str">
        <f>IF(M988&lt;ASSUMPTIONS!$D$10,"New (0-2)",IF(M988&lt;=ASSUMPTIONS!$D$11,"Early (2-5)",IF(M988&lt;=ASSUMPTIONS!$D$12,"Established (5-10)","Veteran (10+)")))</f>
        <v>Early (2-5)</v>
      </c>
      <c r="R988" s="4">
        <f t="shared" si="31"/>
        <v>3</v>
      </c>
    </row>
    <row r="989" spans="1:18">
      <c r="A989">
        <f>RAW_DATA!A989</f>
        <v>51</v>
      </c>
      <c r="B989" t="str">
        <f>RAW_DATA!B989</f>
        <v>No</v>
      </c>
      <c r="C989" t="str">
        <f>RAW_DATA!C989</f>
        <v>Sales</v>
      </c>
      <c r="D989">
        <f>RAW_DATA!D989</f>
        <v>2</v>
      </c>
      <c r="E989">
        <f>RAW_DATA!E989</f>
        <v>3</v>
      </c>
      <c r="F989" t="str">
        <f>RAW_DATA!F989</f>
        <v>Marketing</v>
      </c>
      <c r="G989">
        <f>RAW_DATA!G989</f>
        <v>2</v>
      </c>
      <c r="H989">
        <f>RAW_DATA!H989</f>
        <v>2</v>
      </c>
      <c r="I989" t="str">
        <f>RAW_DATA!I989</f>
        <v>Married</v>
      </c>
      <c r="J989">
        <f>RAW_DATA!J989</f>
        <v>10596</v>
      </c>
      <c r="K989">
        <f>RAW_DATA!K989</f>
        <v>2</v>
      </c>
      <c r="L989">
        <f>RAW_DATA!L989</f>
        <v>3</v>
      </c>
      <c r="M989">
        <f>RAW_DATA!M989</f>
        <v>4</v>
      </c>
      <c r="N989">
        <f t="shared" si="30"/>
        <v>0</v>
      </c>
      <c r="O989" t="str" cm="1">
        <f t="array" ref="O989" xml:space="preserve"> _xlfn.IFS(A989 &lt;ASSUMPTIONS!$D$2,"25",A989 &lt;= ASSUMPTIONS!$D$3,"25-34",A989 &lt;= ASSUMPTIONS!$D$4, "35-44",A989 &lt;= ASSUMPTIONS!$D$5,"45-54",TRUE,"55+")</f>
        <v>45-54</v>
      </c>
      <c r="P989" t="str" cm="1">
        <f t="array" ref="P989">_xlfn.IFS( J989 &lt;ASSUMPTIONS!$D$7,"LOW",J989 &lt;= ASSUMPTIONS!$D$8,"MEDIUM",TRUE, "HIGH")</f>
        <v>HIGH</v>
      </c>
      <c r="Q989" t="str">
        <f>IF(M989&lt;ASSUMPTIONS!$D$10,"New (0-2)",IF(M989&lt;=ASSUMPTIONS!$D$11,"Early (2-5)",IF(M989&lt;=ASSUMPTIONS!$D$12,"Established (5-10)","Veteran (10+)")))</f>
        <v>Early (2-5)</v>
      </c>
      <c r="R989" s="4">
        <f t="shared" si="31"/>
        <v>2.3333333333333335</v>
      </c>
    </row>
    <row r="990" spans="1:18">
      <c r="A990">
        <f>RAW_DATA!A990</f>
        <v>41</v>
      </c>
      <c r="B990" t="str">
        <f>RAW_DATA!B990</f>
        <v>No</v>
      </c>
      <c r="C990" t="str">
        <f>RAW_DATA!C990</f>
        <v>Research &amp; Development</v>
      </c>
      <c r="D990">
        <f>RAW_DATA!D990</f>
        <v>22</v>
      </c>
      <c r="E990">
        <f>RAW_DATA!E990</f>
        <v>3</v>
      </c>
      <c r="F990" t="str">
        <f>RAW_DATA!F990</f>
        <v>Life Sciences</v>
      </c>
      <c r="G990">
        <f>RAW_DATA!G990</f>
        <v>4</v>
      </c>
      <c r="H990">
        <f>RAW_DATA!H990</f>
        <v>4</v>
      </c>
      <c r="I990" t="str">
        <f>RAW_DATA!I990</f>
        <v>Divorced</v>
      </c>
      <c r="J990">
        <f>RAW_DATA!J990</f>
        <v>5467</v>
      </c>
      <c r="K990">
        <f>RAW_DATA!K990</f>
        <v>3</v>
      </c>
      <c r="L990">
        <f>RAW_DATA!L990</f>
        <v>2</v>
      </c>
      <c r="M990">
        <f>RAW_DATA!M990</f>
        <v>6</v>
      </c>
      <c r="N990">
        <f t="shared" si="30"/>
        <v>0</v>
      </c>
      <c r="O990" t="str" cm="1">
        <f t="array" ref="O990" xml:space="preserve"> _xlfn.IFS(A990 &lt;ASSUMPTIONS!$D$2,"25",A990 &lt;= ASSUMPTIONS!$D$3,"25-34",A990 &lt;= ASSUMPTIONS!$D$4, "35-44",A990 &lt;= ASSUMPTIONS!$D$5,"45-54",TRUE,"55+")</f>
        <v>35-44</v>
      </c>
      <c r="P990" t="str" cm="1">
        <f t="array" ref="P990">_xlfn.IFS( J990 &lt;ASSUMPTIONS!$D$7,"LOW",J990 &lt;= ASSUMPTIONS!$D$8,"MEDIUM",TRUE, "HIGH")</f>
        <v>MEDIUM</v>
      </c>
      <c r="Q990" t="str">
        <f>IF(M990&lt;ASSUMPTIONS!$D$10,"New (0-2)",IF(M990&lt;=ASSUMPTIONS!$D$11,"Early (2-5)",IF(M990&lt;=ASSUMPTIONS!$D$12,"Established (5-10)","Veteran (10+)")))</f>
        <v>Established (5-10)</v>
      </c>
      <c r="R990" s="4">
        <f t="shared" si="31"/>
        <v>3.3333333333333335</v>
      </c>
    </row>
    <row r="991" spans="1:18">
      <c r="A991">
        <f>RAW_DATA!A991</f>
        <v>37</v>
      </c>
      <c r="B991" t="str">
        <f>RAW_DATA!B991</f>
        <v>No</v>
      </c>
      <c r="C991" t="str">
        <f>RAW_DATA!C991</f>
        <v>Research &amp; Development</v>
      </c>
      <c r="D991">
        <f>RAW_DATA!D991</f>
        <v>4</v>
      </c>
      <c r="E991">
        <f>RAW_DATA!E991</f>
        <v>1</v>
      </c>
      <c r="F991" t="str">
        <f>RAW_DATA!F991</f>
        <v>Life Sciences</v>
      </c>
      <c r="G991">
        <f>RAW_DATA!G991</f>
        <v>3</v>
      </c>
      <c r="H991">
        <f>RAW_DATA!H991</f>
        <v>3</v>
      </c>
      <c r="I991" t="str">
        <f>RAW_DATA!I991</f>
        <v>Married</v>
      </c>
      <c r="J991">
        <f>RAW_DATA!J991</f>
        <v>2996</v>
      </c>
      <c r="K991">
        <f>RAW_DATA!K991</f>
        <v>7</v>
      </c>
      <c r="L991">
        <f>RAW_DATA!L991</f>
        <v>3</v>
      </c>
      <c r="M991">
        <f>RAW_DATA!M991</f>
        <v>6</v>
      </c>
      <c r="N991">
        <f t="shared" si="30"/>
        <v>0</v>
      </c>
      <c r="O991" t="str" cm="1">
        <f t="array" ref="O991" xml:space="preserve"> _xlfn.IFS(A991 &lt;ASSUMPTIONS!$D$2,"25",A991 &lt;= ASSUMPTIONS!$D$3,"25-34",A991 &lt;= ASSUMPTIONS!$D$4, "35-44",A991 &lt;= ASSUMPTIONS!$D$5,"45-54",TRUE,"55+")</f>
        <v>35-44</v>
      </c>
      <c r="P991" t="str" cm="1">
        <f t="array" ref="P991">_xlfn.IFS( J991 &lt;ASSUMPTIONS!$D$7,"LOW",J991 &lt;= ASSUMPTIONS!$D$8,"MEDIUM",TRUE, "HIGH")</f>
        <v>LOW</v>
      </c>
      <c r="Q991" t="str">
        <f>IF(M991&lt;ASSUMPTIONS!$D$10,"New (0-2)",IF(M991&lt;=ASSUMPTIONS!$D$11,"Early (2-5)",IF(M991&lt;=ASSUMPTIONS!$D$12,"Established (5-10)","Veteran (10+)")))</f>
        <v>Established (5-10)</v>
      </c>
      <c r="R991" s="4">
        <f t="shared" si="31"/>
        <v>3</v>
      </c>
    </row>
    <row r="992" spans="1:18">
      <c r="A992">
        <f>RAW_DATA!A992</f>
        <v>33</v>
      </c>
      <c r="B992" t="str">
        <f>RAW_DATA!B992</f>
        <v>No</v>
      </c>
      <c r="C992" t="str">
        <f>RAW_DATA!C992</f>
        <v>Sales</v>
      </c>
      <c r="D992">
        <f>RAW_DATA!D992</f>
        <v>5</v>
      </c>
      <c r="E992">
        <f>RAW_DATA!E992</f>
        <v>1</v>
      </c>
      <c r="F992" t="str">
        <f>RAW_DATA!F992</f>
        <v>Life Sciences</v>
      </c>
      <c r="G992">
        <f>RAW_DATA!G992</f>
        <v>2</v>
      </c>
      <c r="H992">
        <f>RAW_DATA!H992</f>
        <v>4</v>
      </c>
      <c r="I992" t="str">
        <f>RAW_DATA!I992</f>
        <v>Married</v>
      </c>
      <c r="J992">
        <f>RAW_DATA!J992</f>
        <v>9998</v>
      </c>
      <c r="K992">
        <f>RAW_DATA!K992</f>
        <v>6</v>
      </c>
      <c r="L992">
        <f>RAW_DATA!L992</f>
        <v>4</v>
      </c>
      <c r="M992">
        <f>RAW_DATA!M992</f>
        <v>5</v>
      </c>
      <c r="N992">
        <f t="shared" si="30"/>
        <v>0</v>
      </c>
      <c r="O992" t="str" cm="1">
        <f t="array" ref="O992" xml:space="preserve"> _xlfn.IFS(A992 &lt;ASSUMPTIONS!$D$2,"25",A992 &lt;= ASSUMPTIONS!$D$3,"25-34",A992 &lt;= ASSUMPTIONS!$D$4, "35-44",A992 &lt;= ASSUMPTIONS!$D$5,"45-54",TRUE,"55+")</f>
        <v>25-34</v>
      </c>
      <c r="P992" t="str" cm="1">
        <f t="array" ref="P992">_xlfn.IFS( J992 &lt;ASSUMPTIONS!$D$7,"LOW",J992 &lt;= ASSUMPTIONS!$D$8,"MEDIUM",TRUE, "HIGH")</f>
        <v>HIGH</v>
      </c>
      <c r="Q992" t="str">
        <f>IF(M992&lt;ASSUMPTIONS!$D$10,"New (0-2)",IF(M992&lt;=ASSUMPTIONS!$D$11,"Early (2-5)",IF(M992&lt;=ASSUMPTIONS!$D$12,"Established (5-10)","Veteran (10+)")))</f>
        <v>Early (2-5)</v>
      </c>
      <c r="R992" s="4">
        <f t="shared" si="31"/>
        <v>3.3333333333333335</v>
      </c>
    </row>
    <row r="993" spans="1:18">
      <c r="A993">
        <f>RAW_DATA!A993</f>
        <v>32</v>
      </c>
      <c r="B993" t="str">
        <f>RAW_DATA!B993</f>
        <v>No</v>
      </c>
      <c r="C993" t="str">
        <f>RAW_DATA!C993</f>
        <v>Sales</v>
      </c>
      <c r="D993">
        <f>RAW_DATA!D993</f>
        <v>2</v>
      </c>
      <c r="E993">
        <f>RAW_DATA!E993</f>
        <v>1</v>
      </c>
      <c r="F993" t="str">
        <f>RAW_DATA!F993</f>
        <v>Marketing</v>
      </c>
      <c r="G993">
        <f>RAW_DATA!G993</f>
        <v>3</v>
      </c>
      <c r="H993">
        <f>RAW_DATA!H993</f>
        <v>2</v>
      </c>
      <c r="I993" t="str">
        <f>RAW_DATA!I993</f>
        <v>Married</v>
      </c>
      <c r="J993">
        <f>RAW_DATA!J993</f>
        <v>4078</v>
      </c>
      <c r="K993">
        <f>RAW_DATA!K993</f>
        <v>0</v>
      </c>
      <c r="L993">
        <f>RAW_DATA!L993</f>
        <v>2</v>
      </c>
      <c r="M993">
        <f>RAW_DATA!M993</f>
        <v>3</v>
      </c>
      <c r="N993">
        <f t="shared" si="30"/>
        <v>0</v>
      </c>
      <c r="O993" t="str" cm="1">
        <f t="array" ref="O993" xml:space="preserve"> _xlfn.IFS(A993 &lt;ASSUMPTIONS!$D$2,"25",A993 &lt;= ASSUMPTIONS!$D$3,"25-34",A993 &lt;= ASSUMPTIONS!$D$4, "35-44",A993 &lt;= ASSUMPTIONS!$D$5,"45-54",TRUE,"55+")</f>
        <v>25-34</v>
      </c>
      <c r="P993" t="str" cm="1">
        <f t="array" ref="P993">_xlfn.IFS( J993 &lt;ASSUMPTIONS!$D$7,"LOW",J993 &lt;= ASSUMPTIONS!$D$8,"MEDIUM",TRUE, "HIGH")</f>
        <v>MEDIUM</v>
      </c>
      <c r="Q993" t="str">
        <f>IF(M993&lt;ASSUMPTIONS!$D$10,"New (0-2)",IF(M993&lt;=ASSUMPTIONS!$D$11,"Early (2-5)",IF(M993&lt;=ASSUMPTIONS!$D$12,"Established (5-10)","Veteran (10+)")))</f>
        <v>Early (2-5)</v>
      </c>
      <c r="R993" s="4">
        <f t="shared" si="31"/>
        <v>2.3333333333333335</v>
      </c>
    </row>
    <row r="994" spans="1:18">
      <c r="A994">
        <f>RAW_DATA!A994</f>
        <v>39</v>
      </c>
      <c r="B994" t="str">
        <f>RAW_DATA!B994</f>
        <v>No</v>
      </c>
      <c r="C994" t="str">
        <f>RAW_DATA!C994</f>
        <v>Research &amp; Development</v>
      </c>
      <c r="D994">
        <f>RAW_DATA!D994</f>
        <v>25</v>
      </c>
      <c r="E994">
        <f>RAW_DATA!E994</f>
        <v>2</v>
      </c>
      <c r="F994" t="str">
        <f>RAW_DATA!F994</f>
        <v>Life Sciences</v>
      </c>
      <c r="G994">
        <f>RAW_DATA!G994</f>
        <v>3</v>
      </c>
      <c r="H994">
        <f>RAW_DATA!H994</f>
        <v>3</v>
      </c>
      <c r="I994" t="str">
        <f>RAW_DATA!I994</f>
        <v>Married</v>
      </c>
      <c r="J994">
        <f>RAW_DATA!J994</f>
        <v>10920</v>
      </c>
      <c r="K994">
        <f>RAW_DATA!K994</f>
        <v>3</v>
      </c>
      <c r="L994">
        <f>RAW_DATA!L994</f>
        <v>3</v>
      </c>
      <c r="M994">
        <f>RAW_DATA!M994</f>
        <v>6</v>
      </c>
      <c r="N994">
        <f t="shared" si="30"/>
        <v>0</v>
      </c>
      <c r="O994" t="str" cm="1">
        <f t="array" ref="O994" xml:space="preserve"> _xlfn.IFS(A994 &lt;ASSUMPTIONS!$D$2,"25",A994 &lt;= ASSUMPTIONS!$D$3,"25-34",A994 &lt;= ASSUMPTIONS!$D$4, "35-44",A994 &lt;= ASSUMPTIONS!$D$5,"45-54",TRUE,"55+")</f>
        <v>35-44</v>
      </c>
      <c r="P994" t="str" cm="1">
        <f t="array" ref="P994">_xlfn.IFS( J994 &lt;ASSUMPTIONS!$D$7,"LOW",J994 &lt;= ASSUMPTIONS!$D$8,"MEDIUM",TRUE, "HIGH")</f>
        <v>HIGH</v>
      </c>
      <c r="Q994" t="str">
        <f>IF(M994&lt;ASSUMPTIONS!$D$10,"New (0-2)",IF(M994&lt;=ASSUMPTIONS!$D$11,"Early (2-5)",IF(M994&lt;=ASSUMPTIONS!$D$12,"Established (5-10)","Veteran (10+)")))</f>
        <v>Established (5-10)</v>
      </c>
      <c r="R994" s="4">
        <f t="shared" si="31"/>
        <v>3</v>
      </c>
    </row>
    <row r="995" spans="1:18">
      <c r="A995">
        <f>RAW_DATA!A995</f>
        <v>25</v>
      </c>
      <c r="B995" t="str">
        <f>RAW_DATA!B995</f>
        <v>No</v>
      </c>
      <c r="C995" t="str">
        <f>RAW_DATA!C995</f>
        <v>Sales</v>
      </c>
      <c r="D995">
        <f>RAW_DATA!D995</f>
        <v>18</v>
      </c>
      <c r="E995">
        <f>RAW_DATA!E995</f>
        <v>1</v>
      </c>
      <c r="F995" t="str">
        <f>RAW_DATA!F995</f>
        <v>Life Sciences</v>
      </c>
      <c r="G995">
        <f>RAW_DATA!G995</f>
        <v>1</v>
      </c>
      <c r="H995">
        <f>RAW_DATA!H995</f>
        <v>3</v>
      </c>
      <c r="I995" t="str">
        <f>RAW_DATA!I995</f>
        <v>Married</v>
      </c>
      <c r="J995">
        <f>RAW_DATA!J995</f>
        <v>6232</v>
      </c>
      <c r="K995">
        <f>RAW_DATA!K995</f>
        <v>2</v>
      </c>
      <c r="L995">
        <f>RAW_DATA!L995</f>
        <v>2</v>
      </c>
      <c r="M995">
        <f>RAW_DATA!M995</f>
        <v>3</v>
      </c>
      <c r="N995">
        <f t="shared" si="30"/>
        <v>0</v>
      </c>
      <c r="O995" t="str" cm="1">
        <f t="array" ref="O995" xml:space="preserve"> _xlfn.IFS(A995 &lt;ASSUMPTIONS!$D$2,"25",A995 &lt;= ASSUMPTIONS!$D$3,"25-34",A995 &lt;= ASSUMPTIONS!$D$4, "35-44",A995 &lt;= ASSUMPTIONS!$D$5,"45-54",TRUE,"55+")</f>
        <v>25-34</v>
      </c>
      <c r="P995" t="str" cm="1">
        <f t="array" ref="P995">_xlfn.IFS( J995 &lt;ASSUMPTIONS!$D$7,"LOW",J995 &lt;= ASSUMPTIONS!$D$8,"MEDIUM",TRUE, "HIGH")</f>
        <v>MEDIUM</v>
      </c>
      <c r="Q995" t="str">
        <f>IF(M995&lt;ASSUMPTIONS!$D$10,"New (0-2)",IF(M995&lt;=ASSUMPTIONS!$D$11,"Early (2-5)",IF(M995&lt;=ASSUMPTIONS!$D$12,"Established (5-10)","Veteran (10+)")))</f>
        <v>Early (2-5)</v>
      </c>
      <c r="R995" s="4">
        <f t="shared" si="31"/>
        <v>2</v>
      </c>
    </row>
    <row r="996" spans="1:18">
      <c r="A996">
        <f>RAW_DATA!A996</f>
        <v>52</v>
      </c>
      <c r="B996" t="str">
        <f>RAW_DATA!B996</f>
        <v>No</v>
      </c>
      <c r="C996" t="str">
        <f>RAW_DATA!C996</f>
        <v>Research &amp; Development</v>
      </c>
      <c r="D996">
        <f>RAW_DATA!D996</f>
        <v>28</v>
      </c>
      <c r="E996">
        <f>RAW_DATA!E996</f>
        <v>2</v>
      </c>
      <c r="F996" t="str">
        <f>RAW_DATA!F996</f>
        <v>Medical</v>
      </c>
      <c r="G996">
        <f>RAW_DATA!G996</f>
        <v>4</v>
      </c>
      <c r="H996">
        <f>RAW_DATA!H996</f>
        <v>3</v>
      </c>
      <c r="I996" t="str">
        <f>RAW_DATA!I996</f>
        <v>Married</v>
      </c>
      <c r="J996">
        <f>RAW_DATA!J996</f>
        <v>13247</v>
      </c>
      <c r="K996">
        <f>RAW_DATA!K996</f>
        <v>2</v>
      </c>
      <c r="L996">
        <f>RAW_DATA!L996</f>
        <v>2</v>
      </c>
      <c r="M996">
        <f>RAW_DATA!M996</f>
        <v>5</v>
      </c>
      <c r="N996">
        <f t="shared" si="30"/>
        <v>0</v>
      </c>
      <c r="O996" t="str" cm="1">
        <f t="array" ref="O996" xml:space="preserve"> _xlfn.IFS(A996 &lt;ASSUMPTIONS!$D$2,"25",A996 &lt;= ASSUMPTIONS!$D$3,"25-34",A996 &lt;= ASSUMPTIONS!$D$4, "35-44",A996 &lt;= ASSUMPTIONS!$D$5,"45-54",TRUE,"55+")</f>
        <v>45-54</v>
      </c>
      <c r="P996" t="str" cm="1">
        <f t="array" ref="P996">_xlfn.IFS( J996 &lt;ASSUMPTIONS!$D$7,"LOW",J996 &lt;= ASSUMPTIONS!$D$8,"MEDIUM",TRUE, "HIGH")</f>
        <v>HIGH</v>
      </c>
      <c r="Q996" t="str">
        <f>IF(M996&lt;ASSUMPTIONS!$D$10,"New (0-2)",IF(M996&lt;=ASSUMPTIONS!$D$11,"Early (2-5)",IF(M996&lt;=ASSUMPTIONS!$D$12,"Established (5-10)","Veteran (10+)")))</f>
        <v>Early (2-5)</v>
      </c>
      <c r="R996" s="4">
        <f t="shared" si="31"/>
        <v>3</v>
      </c>
    </row>
    <row r="997" spans="1:18">
      <c r="A997">
        <f>RAW_DATA!A997</f>
        <v>43</v>
      </c>
      <c r="B997" t="str">
        <f>RAW_DATA!B997</f>
        <v>No</v>
      </c>
      <c r="C997" t="str">
        <f>RAW_DATA!C997</f>
        <v>Research &amp; Development</v>
      </c>
      <c r="D997">
        <f>RAW_DATA!D997</f>
        <v>6</v>
      </c>
      <c r="E997">
        <f>RAW_DATA!E997</f>
        <v>3</v>
      </c>
      <c r="F997" t="str">
        <f>RAW_DATA!F997</f>
        <v>Medical</v>
      </c>
      <c r="G997">
        <f>RAW_DATA!G997</f>
        <v>1</v>
      </c>
      <c r="H997">
        <f>RAW_DATA!H997</f>
        <v>3</v>
      </c>
      <c r="I997" t="str">
        <f>RAW_DATA!I997</f>
        <v>Single</v>
      </c>
      <c r="J997">
        <f>RAW_DATA!J997</f>
        <v>4081</v>
      </c>
      <c r="K997">
        <f>RAW_DATA!K997</f>
        <v>1</v>
      </c>
      <c r="L997">
        <f>RAW_DATA!L997</f>
        <v>1</v>
      </c>
      <c r="M997">
        <f>RAW_DATA!M997</f>
        <v>20</v>
      </c>
      <c r="N997">
        <f t="shared" si="30"/>
        <v>0</v>
      </c>
      <c r="O997" t="str" cm="1">
        <f t="array" ref="O997" xml:space="preserve"> _xlfn.IFS(A997 &lt;ASSUMPTIONS!$D$2,"25",A997 &lt;= ASSUMPTIONS!$D$3,"25-34",A997 &lt;= ASSUMPTIONS!$D$4, "35-44",A997 &lt;= ASSUMPTIONS!$D$5,"45-54",TRUE,"55+")</f>
        <v>35-44</v>
      </c>
      <c r="P997" t="str" cm="1">
        <f t="array" ref="P997">_xlfn.IFS( J997 &lt;ASSUMPTIONS!$D$7,"LOW",J997 &lt;= ASSUMPTIONS!$D$8,"MEDIUM",TRUE, "HIGH")</f>
        <v>MEDIUM</v>
      </c>
      <c r="Q997" t="str">
        <f>IF(M997&lt;ASSUMPTIONS!$D$10,"New (0-2)",IF(M997&lt;=ASSUMPTIONS!$D$11,"Early (2-5)",IF(M997&lt;=ASSUMPTIONS!$D$12,"Established (5-10)","Veteran (10+)")))</f>
        <v>Veteran (10+)</v>
      </c>
      <c r="R997" s="4">
        <f t="shared" si="31"/>
        <v>1.6666666666666667</v>
      </c>
    </row>
    <row r="998" spans="1:18">
      <c r="A998">
        <f>RAW_DATA!A998</f>
        <v>27</v>
      </c>
      <c r="B998" t="str">
        <f>RAW_DATA!B998</f>
        <v>No</v>
      </c>
      <c r="C998" t="str">
        <f>RAW_DATA!C998</f>
        <v>Sales</v>
      </c>
      <c r="D998">
        <f>RAW_DATA!D998</f>
        <v>10</v>
      </c>
      <c r="E998">
        <f>RAW_DATA!E998</f>
        <v>3</v>
      </c>
      <c r="F998" t="str">
        <f>RAW_DATA!F998</f>
        <v>Marketing</v>
      </c>
      <c r="G998">
        <f>RAW_DATA!G998</f>
        <v>4</v>
      </c>
      <c r="H998">
        <f>RAW_DATA!H998</f>
        <v>4</v>
      </c>
      <c r="I998" t="str">
        <f>RAW_DATA!I998</f>
        <v>Married</v>
      </c>
      <c r="J998">
        <f>RAW_DATA!J998</f>
        <v>5769</v>
      </c>
      <c r="K998">
        <f>RAW_DATA!K998</f>
        <v>1</v>
      </c>
      <c r="L998">
        <f>RAW_DATA!L998</f>
        <v>3</v>
      </c>
      <c r="M998">
        <f>RAW_DATA!M998</f>
        <v>6</v>
      </c>
      <c r="N998">
        <f t="shared" si="30"/>
        <v>0</v>
      </c>
      <c r="O998" t="str" cm="1">
        <f t="array" ref="O998" xml:space="preserve"> _xlfn.IFS(A998 &lt;ASSUMPTIONS!$D$2,"25",A998 &lt;= ASSUMPTIONS!$D$3,"25-34",A998 &lt;= ASSUMPTIONS!$D$4, "35-44",A998 &lt;= ASSUMPTIONS!$D$5,"45-54",TRUE,"55+")</f>
        <v>25-34</v>
      </c>
      <c r="P998" t="str" cm="1">
        <f t="array" ref="P998">_xlfn.IFS( J998 &lt;ASSUMPTIONS!$D$7,"LOW",J998 &lt;= ASSUMPTIONS!$D$8,"MEDIUM",TRUE, "HIGH")</f>
        <v>MEDIUM</v>
      </c>
      <c r="Q998" t="str">
        <f>IF(M998&lt;ASSUMPTIONS!$D$10,"New (0-2)",IF(M998&lt;=ASSUMPTIONS!$D$11,"Early (2-5)",IF(M998&lt;=ASSUMPTIONS!$D$12,"Established (5-10)","Veteran (10+)")))</f>
        <v>Established (5-10)</v>
      </c>
      <c r="R998" s="4">
        <f t="shared" si="31"/>
        <v>3.6666666666666665</v>
      </c>
    </row>
    <row r="999" spans="1:18">
      <c r="A999">
        <f>RAW_DATA!A999</f>
        <v>27</v>
      </c>
      <c r="B999" t="str">
        <f>RAW_DATA!B999</f>
        <v>Yes</v>
      </c>
      <c r="C999" t="str">
        <f>RAW_DATA!C999</f>
        <v>Research &amp; Development</v>
      </c>
      <c r="D999">
        <f>RAW_DATA!D999</f>
        <v>17</v>
      </c>
      <c r="E999">
        <f>RAW_DATA!E999</f>
        <v>4</v>
      </c>
      <c r="F999" t="str">
        <f>RAW_DATA!F999</f>
        <v>Life Sciences</v>
      </c>
      <c r="G999">
        <f>RAW_DATA!G999</f>
        <v>4</v>
      </c>
      <c r="H999">
        <f>RAW_DATA!H999</f>
        <v>3</v>
      </c>
      <c r="I999" t="str">
        <f>RAW_DATA!I999</f>
        <v>Single</v>
      </c>
      <c r="J999">
        <f>RAW_DATA!J999</f>
        <v>2394</v>
      </c>
      <c r="K999">
        <f>RAW_DATA!K999</f>
        <v>1</v>
      </c>
      <c r="L999">
        <f>RAW_DATA!L999</f>
        <v>3</v>
      </c>
      <c r="M999">
        <f>RAW_DATA!M999</f>
        <v>8</v>
      </c>
      <c r="N999">
        <f t="shared" si="30"/>
        <v>1</v>
      </c>
      <c r="O999" t="str" cm="1">
        <f t="array" ref="O999" xml:space="preserve"> _xlfn.IFS(A999 &lt;ASSUMPTIONS!$D$2,"25",A999 &lt;= ASSUMPTIONS!$D$3,"25-34",A999 &lt;= ASSUMPTIONS!$D$4, "35-44",A999 &lt;= ASSUMPTIONS!$D$5,"45-54",TRUE,"55+")</f>
        <v>25-34</v>
      </c>
      <c r="P999" t="str" cm="1">
        <f t="array" ref="P999">_xlfn.IFS( J999 &lt;ASSUMPTIONS!$D$7,"LOW",J999 &lt;= ASSUMPTIONS!$D$8,"MEDIUM",TRUE, "HIGH")</f>
        <v>LOW</v>
      </c>
      <c r="Q999" t="str">
        <f>IF(M999&lt;ASSUMPTIONS!$D$10,"New (0-2)",IF(M999&lt;=ASSUMPTIONS!$D$11,"Early (2-5)",IF(M999&lt;=ASSUMPTIONS!$D$12,"Established (5-10)","Veteran (10+)")))</f>
        <v>Established (5-10)</v>
      </c>
      <c r="R999" s="4">
        <f t="shared" si="31"/>
        <v>3.3333333333333335</v>
      </c>
    </row>
    <row r="1000" spans="1:18">
      <c r="A1000">
        <f>RAW_DATA!A1000</f>
        <v>26</v>
      </c>
      <c r="B1000" t="str">
        <f>RAW_DATA!B1000</f>
        <v>No</v>
      </c>
      <c r="C1000" t="str">
        <f>RAW_DATA!C1000</f>
        <v>Research &amp; Development</v>
      </c>
      <c r="D1000">
        <f>RAW_DATA!D1000</f>
        <v>2</v>
      </c>
      <c r="E1000">
        <f>RAW_DATA!E1000</f>
        <v>1</v>
      </c>
      <c r="F1000" t="str">
        <f>RAW_DATA!F1000</f>
        <v>Medical</v>
      </c>
      <c r="G1000">
        <f>RAW_DATA!G1000</f>
        <v>1</v>
      </c>
      <c r="H1000">
        <f>RAW_DATA!H1000</f>
        <v>4</v>
      </c>
      <c r="I1000" t="str">
        <f>RAW_DATA!I1000</f>
        <v>Single</v>
      </c>
      <c r="J1000">
        <f>RAW_DATA!J1000</f>
        <v>3904</v>
      </c>
      <c r="K1000">
        <f>RAW_DATA!K1000</f>
        <v>0</v>
      </c>
      <c r="L1000">
        <f>RAW_DATA!L1000</f>
        <v>3</v>
      </c>
      <c r="M1000">
        <f>RAW_DATA!M1000</f>
        <v>4</v>
      </c>
      <c r="N1000">
        <f t="shared" si="30"/>
        <v>0</v>
      </c>
      <c r="O1000" t="str" cm="1">
        <f t="array" ref="O1000" xml:space="preserve"> _xlfn.IFS(A1000 &lt;ASSUMPTIONS!$D$2,"25",A1000 &lt;= ASSUMPTIONS!$D$3,"25-34",A1000 &lt;= ASSUMPTIONS!$D$4, "35-44",A1000 &lt;= ASSUMPTIONS!$D$5,"45-54",TRUE,"55+")</f>
        <v>25-34</v>
      </c>
      <c r="P1000" t="str" cm="1">
        <f t="array" ref="P1000">_xlfn.IFS( J1000 &lt;ASSUMPTIONS!$D$7,"LOW",J1000 &lt;= ASSUMPTIONS!$D$8,"MEDIUM",TRUE, "HIGH")</f>
        <v>MEDIUM</v>
      </c>
      <c r="Q1000" t="str">
        <f>IF(M1000&lt;ASSUMPTIONS!$D$10,"New (0-2)",IF(M1000&lt;=ASSUMPTIONS!$D$11,"Early (2-5)",IF(M1000&lt;=ASSUMPTIONS!$D$12,"Established (5-10)","Veteran (10+)")))</f>
        <v>Early (2-5)</v>
      </c>
      <c r="R1000" s="4">
        <f t="shared" si="31"/>
        <v>2.6666666666666665</v>
      </c>
    </row>
    <row r="1001" spans="1:18">
      <c r="A1001">
        <f>RAW_DATA!A1001</f>
        <v>42</v>
      </c>
      <c r="B1001" t="str">
        <f>RAW_DATA!B1001</f>
        <v>No</v>
      </c>
      <c r="C1001" t="str">
        <f>RAW_DATA!C1001</f>
        <v>Human Resources</v>
      </c>
      <c r="D1001">
        <f>RAW_DATA!D1001</f>
        <v>10</v>
      </c>
      <c r="E1001">
        <f>RAW_DATA!E1001</f>
        <v>3</v>
      </c>
      <c r="F1001" t="str">
        <f>RAW_DATA!F1001</f>
        <v>Human Resources</v>
      </c>
      <c r="G1001">
        <f>RAW_DATA!G1001</f>
        <v>3</v>
      </c>
      <c r="H1001">
        <f>RAW_DATA!H1001</f>
        <v>1</v>
      </c>
      <c r="I1001" t="str">
        <f>RAW_DATA!I1001</f>
        <v>Married</v>
      </c>
      <c r="J1001">
        <f>RAW_DATA!J1001</f>
        <v>16799</v>
      </c>
      <c r="K1001">
        <f>RAW_DATA!K1001</f>
        <v>0</v>
      </c>
      <c r="L1001">
        <f>RAW_DATA!L1001</f>
        <v>3</v>
      </c>
      <c r="M1001">
        <f>RAW_DATA!M1001</f>
        <v>20</v>
      </c>
      <c r="N1001">
        <f t="shared" si="30"/>
        <v>0</v>
      </c>
      <c r="O1001" t="str" cm="1">
        <f t="array" ref="O1001" xml:space="preserve"> _xlfn.IFS(A1001 &lt;ASSUMPTIONS!$D$2,"25",A1001 &lt;= ASSUMPTIONS!$D$3,"25-34",A1001 &lt;= ASSUMPTIONS!$D$4, "35-44",A1001 &lt;= ASSUMPTIONS!$D$5,"45-54",TRUE,"55+")</f>
        <v>35-44</v>
      </c>
      <c r="P1001" t="str" cm="1">
        <f t="array" ref="P1001">_xlfn.IFS( J1001 &lt;ASSUMPTIONS!$D$7,"LOW",J1001 &lt;= ASSUMPTIONS!$D$8,"MEDIUM",TRUE, "HIGH")</f>
        <v>HIGH</v>
      </c>
      <c r="Q1001" t="str">
        <f>IF(M1001&lt;ASSUMPTIONS!$D$10,"New (0-2)",IF(M1001&lt;=ASSUMPTIONS!$D$11,"Early (2-5)",IF(M1001&lt;=ASSUMPTIONS!$D$12,"Established (5-10)","Veteran (10+)")))</f>
        <v>Veteran (10+)</v>
      </c>
      <c r="R1001" s="4">
        <f t="shared" si="31"/>
        <v>2.3333333333333335</v>
      </c>
    </row>
    <row r="1002" spans="1:18">
      <c r="A1002">
        <f>RAW_DATA!A1002</f>
        <v>52</v>
      </c>
      <c r="B1002" t="str">
        <f>RAW_DATA!B1002</f>
        <v>No</v>
      </c>
      <c r="C1002" t="str">
        <f>RAW_DATA!C1002</f>
        <v>Research &amp; Development</v>
      </c>
      <c r="D1002">
        <f>RAW_DATA!D1002</f>
        <v>8</v>
      </c>
      <c r="E1002">
        <f>RAW_DATA!E1002</f>
        <v>4</v>
      </c>
      <c r="F1002" t="str">
        <f>RAW_DATA!F1002</f>
        <v>Other</v>
      </c>
      <c r="G1002">
        <f>RAW_DATA!G1002</f>
        <v>3</v>
      </c>
      <c r="H1002">
        <f>RAW_DATA!H1002</f>
        <v>1</v>
      </c>
      <c r="I1002" t="str">
        <f>RAW_DATA!I1002</f>
        <v>Married</v>
      </c>
      <c r="J1002">
        <f>RAW_DATA!J1002</f>
        <v>2950</v>
      </c>
      <c r="K1002">
        <f>RAW_DATA!K1002</f>
        <v>9</v>
      </c>
      <c r="L1002">
        <f>RAW_DATA!L1002</f>
        <v>1</v>
      </c>
      <c r="M1002">
        <f>RAW_DATA!M1002</f>
        <v>5</v>
      </c>
      <c r="N1002">
        <f t="shared" si="30"/>
        <v>0</v>
      </c>
      <c r="O1002" t="str" cm="1">
        <f t="array" ref="O1002" xml:space="preserve"> _xlfn.IFS(A1002 &lt;ASSUMPTIONS!$D$2,"25",A1002 &lt;= ASSUMPTIONS!$D$3,"25-34",A1002 &lt;= ASSUMPTIONS!$D$4, "35-44",A1002 &lt;= ASSUMPTIONS!$D$5,"45-54",TRUE,"55+")</f>
        <v>45-54</v>
      </c>
      <c r="P1002" t="str" cm="1">
        <f t="array" ref="P1002">_xlfn.IFS( J1002 &lt;ASSUMPTIONS!$D$7,"LOW",J1002 &lt;= ASSUMPTIONS!$D$8,"MEDIUM",TRUE, "HIGH")</f>
        <v>LOW</v>
      </c>
      <c r="Q1002" t="str">
        <f>IF(M1002&lt;ASSUMPTIONS!$D$10,"New (0-2)",IF(M1002&lt;=ASSUMPTIONS!$D$11,"Early (2-5)",IF(M1002&lt;=ASSUMPTIONS!$D$12,"Established (5-10)","Veteran (10+)")))</f>
        <v>Early (2-5)</v>
      </c>
      <c r="R1002" s="4">
        <f t="shared" si="31"/>
        <v>1.6666666666666667</v>
      </c>
    </row>
    <row r="1003" spans="1:18">
      <c r="A1003">
        <f>RAW_DATA!A1003</f>
        <v>37</v>
      </c>
      <c r="B1003" t="str">
        <f>RAW_DATA!B1003</f>
        <v>No</v>
      </c>
      <c r="C1003" t="str">
        <f>RAW_DATA!C1003</f>
        <v>Research &amp; Development</v>
      </c>
      <c r="D1003">
        <f>RAW_DATA!D1003</f>
        <v>11</v>
      </c>
      <c r="E1003">
        <f>RAW_DATA!E1003</f>
        <v>3</v>
      </c>
      <c r="F1003" t="str">
        <f>RAW_DATA!F1003</f>
        <v>Medical</v>
      </c>
      <c r="G1003">
        <f>RAW_DATA!G1003</f>
        <v>1</v>
      </c>
      <c r="H1003">
        <f>RAW_DATA!H1003</f>
        <v>3</v>
      </c>
      <c r="I1003" t="str">
        <f>RAW_DATA!I1003</f>
        <v>Single</v>
      </c>
      <c r="J1003">
        <f>RAW_DATA!J1003</f>
        <v>3629</v>
      </c>
      <c r="K1003">
        <f>RAW_DATA!K1003</f>
        <v>4</v>
      </c>
      <c r="L1003">
        <f>RAW_DATA!L1003</f>
        <v>3</v>
      </c>
      <c r="M1003">
        <f>RAW_DATA!M1003</f>
        <v>3</v>
      </c>
      <c r="N1003">
        <f t="shared" si="30"/>
        <v>0</v>
      </c>
      <c r="O1003" t="str" cm="1">
        <f t="array" ref="O1003" xml:space="preserve"> _xlfn.IFS(A1003 &lt;ASSUMPTIONS!$D$2,"25",A1003 &lt;= ASSUMPTIONS!$D$3,"25-34",A1003 &lt;= ASSUMPTIONS!$D$4, "35-44",A1003 &lt;= ASSUMPTIONS!$D$5,"45-54",TRUE,"55+")</f>
        <v>35-44</v>
      </c>
      <c r="P1003" t="str" cm="1">
        <f t="array" ref="P1003">_xlfn.IFS( J1003 &lt;ASSUMPTIONS!$D$7,"LOW",J1003 &lt;= ASSUMPTIONS!$D$8,"MEDIUM",TRUE, "HIGH")</f>
        <v>MEDIUM</v>
      </c>
      <c r="Q1003" t="str">
        <f>IF(M1003&lt;ASSUMPTIONS!$D$10,"New (0-2)",IF(M1003&lt;=ASSUMPTIONS!$D$11,"Early (2-5)",IF(M1003&lt;=ASSUMPTIONS!$D$12,"Established (5-10)","Veteran (10+)")))</f>
        <v>Early (2-5)</v>
      </c>
      <c r="R1003" s="4">
        <f t="shared" si="31"/>
        <v>2.3333333333333335</v>
      </c>
    </row>
    <row r="1004" spans="1:18">
      <c r="A1004">
        <f>RAW_DATA!A1004</f>
        <v>35</v>
      </c>
      <c r="B1004" t="str">
        <f>RAW_DATA!B1004</f>
        <v>No</v>
      </c>
      <c r="C1004" t="str">
        <f>RAW_DATA!C1004</f>
        <v>Research &amp; Development</v>
      </c>
      <c r="D1004">
        <f>RAW_DATA!D1004</f>
        <v>18</v>
      </c>
      <c r="E1004">
        <f>RAW_DATA!E1004</f>
        <v>2</v>
      </c>
      <c r="F1004" t="str">
        <f>RAW_DATA!F1004</f>
        <v>Life Sciences</v>
      </c>
      <c r="G1004">
        <f>RAW_DATA!G1004</f>
        <v>3</v>
      </c>
      <c r="H1004">
        <f>RAW_DATA!H1004</f>
        <v>4</v>
      </c>
      <c r="I1004" t="str">
        <f>RAW_DATA!I1004</f>
        <v>Single</v>
      </c>
      <c r="J1004">
        <f>RAW_DATA!J1004</f>
        <v>9362</v>
      </c>
      <c r="K1004">
        <f>RAW_DATA!K1004</f>
        <v>2</v>
      </c>
      <c r="L1004">
        <f>RAW_DATA!L1004</f>
        <v>3</v>
      </c>
      <c r="M1004">
        <f>RAW_DATA!M1004</f>
        <v>2</v>
      </c>
      <c r="N1004">
        <f t="shared" si="30"/>
        <v>0</v>
      </c>
      <c r="O1004" t="str" cm="1">
        <f t="array" ref="O1004" xml:space="preserve"> _xlfn.IFS(A1004 &lt;ASSUMPTIONS!$D$2,"25",A1004 &lt;= ASSUMPTIONS!$D$3,"25-34",A1004 &lt;= ASSUMPTIONS!$D$4, "35-44",A1004 &lt;= ASSUMPTIONS!$D$5,"45-54",TRUE,"55+")</f>
        <v>35-44</v>
      </c>
      <c r="P1004" t="str" cm="1">
        <f t="array" ref="P1004">_xlfn.IFS( J1004 &lt;ASSUMPTIONS!$D$7,"LOW",J1004 &lt;= ASSUMPTIONS!$D$8,"MEDIUM",TRUE, "HIGH")</f>
        <v>HIGH</v>
      </c>
      <c r="Q1004" t="str">
        <f>IF(M1004&lt;ASSUMPTIONS!$D$10,"New (0-2)",IF(M1004&lt;=ASSUMPTIONS!$D$11,"Early (2-5)",IF(M1004&lt;=ASSUMPTIONS!$D$12,"Established (5-10)","Veteran (10+)")))</f>
        <v>Early (2-5)</v>
      </c>
      <c r="R1004" s="4">
        <f t="shared" si="31"/>
        <v>3.3333333333333335</v>
      </c>
    </row>
    <row r="1005" spans="1:18">
      <c r="A1005">
        <f>RAW_DATA!A1005</f>
        <v>25</v>
      </c>
      <c r="B1005" t="str">
        <f>RAW_DATA!B1005</f>
        <v>No</v>
      </c>
      <c r="C1005" t="str">
        <f>RAW_DATA!C1005</f>
        <v>Research &amp; Development</v>
      </c>
      <c r="D1005">
        <f>RAW_DATA!D1005</f>
        <v>1</v>
      </c>
      <c r="E1005">
        <f>RAW_DATA!E1005</f>
        <v>3</v>
      </c>
      <c r="F1005" t="str">
        <f>RAW_DATA!F1005</f>
        <v>Technical Degree</v>
      </c>
      <c r="G1005">
        <f>RAW_DATA!G1005</f>
        <v>1</v>
      </c>
      <c r="H1005">
        <f>RAW_DATA!H1005</f>
        <v>4</v>
      </c>
      <c r="I1005" t="str">
        <f>RAW_DATA!I1005</f>
        <v>Married</v>
      </c>
      <c r="J1005">
        <f>RAW_DATA!J1005</f>
        <v>3229</v>
      </c>
      <c r="K1005">
        <f>RAW_DATA!K1005</f>
        <v>4</v>
      </c>
      <c r="L1005">
        <f>RAW_DATA!L1005</f>
        <v>2</v>
      </c>
      <c r="M1005">
        <f>RAW_DATA!M1005</f>
        <v>3</v>
      </c>
      <c r="N1005">
        <f t="shared" si="30"/>
        <v>0</v>
      </c>
      <c r="O1005" t="str" cm="1">
        <f t="array" ref="O1005" xml:space="preserve"> _xlfn.IFS(A1005 &lt;ASSUMPTIONS!$D$2,"25",A1005 &lt;= ASSUMPTIONS!$D$3,"25-34",A1005 &lt;= ASSUMPTIONS!$D$4, "35-44",A1005 &lt;= ASSUMPTIONS!$D$5,"45-54",TRUE,"55+")</f>
        <v>25-34</v>
      </c>
      <c r="P1005" t="str" cm="1">
        <f t="array" ref="P1005">_xlfn.IFS( J1005 &lt;ASSUMPTIONS!$D$7,"LOW",J1005 &lt;= ASSUMPTIONS!$D$8,"MEDIUM",TRUE, "HIGH")</f>
        <v>MEDIUM</v>
      </c>
      <c r="Q1005" t="str">
        <f>IF(M1005&lt;ASSUMPTIONS!$D$10,"New (0-2)",IF(M1005&lt;=ASSUMPTIONS!$D$11,"Early (2-5)",IF(M1005&lt;=ASSUMPTIONS!$D$12,"Established (5-10)","Veteran (10+)")))</f>
        <v>Early (2-5)</v>
      </c>
      <c r="R1005" s="4">
        <f t="shared" si="31"/>
        <v>2.3333333333333335</v>
      </c>
    </row>
    <row r="1006" spans="1:18">
      <c r="A1006">
        <f>RAW_DATA!A1006</f>
        <v>26</v>
      </c>
      <c r="B1006" t="str">
        <f>RAW_DATA!B1006</f>
        <v>No</v>
      </c>
      <c r="C1006" t="str">
        <f>RAW_DATA!C1006</f>
        <v>Research &amp; Development</v>
      </c>
      <c r="D1006">
        <f>RAW_DATA!D1006</f>
        <v>7</v>
      </c>
      <c r="E1006">
        <f>RAW_DATA!E1006</f>
        <v>3</v>
      </c>
      <c r="F1006" t="str">
        <f>RAW_DATA!F1006</f>
        <v>Other</v>
      </c>
      <c r="G1006">
        <f>RAW_DATA!G1006</f>
        <v>3</v>
      </c>
      <c r="H1006">
        <f>RAW_DATA!H1006</f>
        <v>1</v>
      </c>
      <c r="I1006" t="str">
        <f>RAW_DATA!I1006</f>
        <v>Single</v>
      </c>
      <c r="J1006">
        <f>RAW_DATA!J1006</f>
        <v>3578</v>
      </c>
      <c r="K1006">
        <f>RAW_DATA!K1006</f>
        <v>0</v>
      </c>
      <c r="L1006">
        <f>RAW_DATA!L1006</f>
        <v>3</v>
      </c>
      <c r="M1006">
        <f>RAW_DATA!M1006</f>
        <v>7</v>
      </c>
      <c r="N1006">
        <f t="shared" si="30"/>
        <v>0</v>
      </c>
      <c r="O1006" t="str" cm="1">
        <f t="array" ref="O1006" xml:space="preserve"> _xlfn.IFS(A1006 &lt;ASSUMPTIONS!$D$2,"25",A1006 &lt;= ASSUMPTIONS!$D$3,"25-34",A1006 &lt;= ASSUMPTIONS!$D$4, "35-44",A1006 &lt;= ASSUMPTIONS!$D$5,"45-54",TRUE,"55+")</f>
        <v>25-34</v>
      </c>
      <c r="P1006" t="str" cm="1">
        <f t="array" ref="P1006">_xlfn.IFS( J1006 &lt;ASSUMPTIONS!$D$7,"LOW",J1006 &lt;= ASSUMPTIONS!$D$8,"MEDIUM",TRUE, "HIGH")</f>
        <v>MEDIUM</v>
      </c>
      <c r="Q1006" t="str">
        <f>IF(M1006&lt;ASSUMPTIONS!$D$10,"New (0-2)",IF(M1006&lt;=ASSUMPTIONS!$D$11,"Early (2-5)",IF(M1006&lt;=ASSUMPTIONS!$D$12,"Established (5-10)","Veteran (10+)")))</f>
        <v>Established (5-10)</v>
      </c>
      <c r="R1006" s="4">
        <f t="shared" si="31"/>
        <v>2.3333333333333335</v>
      </c>
    </row>
    <row r="1007" spans="1:18">
      <c r="A1007">
        <f>RAW_DATA!A1007</f>
        <v>29</v>
      </c>
      <c r="B1007" t="str">
        <f>RAW_DATA!B1007</f>
        <v>No</v>
      </c>
      <c r="C1007" t="str">
        <f>RAW_DATA!C1007</f>
        <v>Human Resources</v>
      </c>
      <c r="D1007">
        <f>RAW_DATA!D1007</f>
        <v>17</v>
      </c>
      <c r="E1007">
        <f>RAW_DATA!E1007</f>
        <v>3</v>
      </c>
      <c r="F1007" t="str">
        <f>RAW_DATA!F1007</f>
        <v>Other</v>
      </c>
      <c r="G1007">
        <f>RAW_DATA!G1007</f>
        <v>2</v>
      </c>
      <c r="H1007">
        <f>RAW_DATA!H1007</f>
        <v>1</v>
      </c>
      <c r="I1007" t="str">
        <f>RAW_DATA!I1007</f>
        <v>Single</v>
      </c>
      <c r="J1007">
        <f>RAW_DATA!J1007</f>
        <v>7988</v>
      </c>
      <c r="K1007">
        <f>RAW_DATA!K1007</f>
        <v>1</v>
      </c>
      <c r="L1007">
        <f>RAW_DATA!L1007</f>
        <v>2</v>
      </c>
      <c r="M1007">
        <f>RAW_DATA!M1007</f>
        <v>10</v>
      </c>
      <c r="N1007">
        <f t="shared" si="30"/>
        <v>0</v>
      </c>
      <c r="O1007" t="str" cm="1">
        <f t="array" ref="O1007" xml:space="preserve"> _xlfn.IFS(A1007 &lt;ASSUMPTIONS!$D$2,"25",A1007 &lt;= ASSUMPTIONS!$D$3,"25-34",A1007 &lt;= ASSUMPTIONS!$D$4, "35-44",A1007 &lt;= ASSUMPTIONS!$D$5,"45-54",TRUE,"55+")</f>
        <v>25-34</v>
      </c>
      <c r="P1007" t="str" cm="1">
        <f t="array" ref="P1007">_xlfn.IFS( J1007 &lt;ASSUMPTIONS!$D$7,"LOW",J1007 &lt;= ASSUMPTIONS!$D$8,"MEDIUM",TRUE, "HIGH")</f>
        <v>HIGH</v>
      </c>
      <c r="Q1007" t="str">
        <f>IF(M1007&lt;ASSUMPTIONS!$D$10,"New (0-2)",IF(M1007&lt;=ASSUMPTIONS!$D$11,"Early (2-5)",IF(M1007&lt;=ASSUMPTIONS!$D$12,"Established (5-10)","Veteran (10+)")))</f>
        <v>Established (5-10)</v>
      </c>
      <c r="R1007" s="4">
        <f t="shared" si="31"/>
        <v>1.6666666666666667</v>
      </c>
    </row>
    <row r="1008" spans="1:18">
      <c r="A1008">
        <f>RAW_DATA!A1008</f>
        <v>49</v>
      </c>
      <c r="B1008" t="str">
        <f>RAW_DATA!B1008</f>
        <v>Yes</v>
      </c>
      <c r="C1008" t="str">
        <f>RAW_DATA!C1008</f>
        <v>Research &amp; Development</v>
      </c>
      <c r="D1008">
        <f>RAW_DATA!D1008</f>
        <v>28</v>
      </c>
      <c r="E1008">
        <f>RAW_DATA!E1008</f>
        <v>2</v>
      </c>
      <c r="F1008" t="str">
        <f>RAW_DATA!F1008</f>
        <v>Life Sciences</v>
      </c>
      <c r="G1008">
        <f>RAW_DATA!G1008</f>
        <v>1</v>
      </c>
      <c r="H1008">
        <f>RAW_DATA!H1008</f>
        <v>1</v>
      </c>
      <c r="I1008" t="str">
        <f>RAW_DATA!I1008</f>
        <v>Single</v>
      </c>
      <c r="J1008">
        <f>RAW_DATA!J1008</f>
        <v>4284</v>
      </c>
      <c r="K1008">
        <f>RAW_DATA!K1008</f>
        <v>3</v>
      </c>
      <c r="L1008">
        <f>RAW_DATA!L1008</f>
        <v>3</v>
      </c>
      <c r="M1008">
        <f>RAW_DATA!M1008</f>
        <v>4</v>
      </c>
      <c r="N1008">
        <f t="shared" si="30"/>
        <v>1</v>
      </c>
      <c r="O1008" t="str" cm="1">
        <f t="array" ref="O1008" xml:space="preserve"> _xlfn.IFS(A1008 &lt;ASSUMPTIONS!$D$2,"25",A1008 &lt;= ASSUMPTIONS!$D$3,"25-34",A1008 &lt;= ASSUMPTIONS!$D$4, "35-44",A1008 &lt;= ASSUMPTIONS!$D$5,"45-54",TRUE,"55+")</f>
        <v>45-54</v>
      </c>
      <c r="P1008" t="str" cm="1">
        <f t="array" ref="P1008">_xlfn.IFS( J1008 &lt;ASSUMPTIONS!$D$7,"LOW",J1008 &lt;= ASSUMPTIONS!$D$8,"MEDIUM",TRUE, "HIGH")</f>
        <v>MEDIUM</v>
      </c>
      <c r="Q1008" t="str">
        <f>IF(M1008&lt;ASSUMPTIONS!$D$10,"New (0-2)",IF(M1008&lt;=ASSUMPTIONS!$D$11,"Early (2-5)",IF(M1008&lt;=ASSUMPTIONS!$D$12,"Established (5-10)","Veteran (10+)")))</f>
        <v>Early (2-5)</v>
      </c>
      <c r="R1008" s="4">
        <f t="shared" si="31"/>
        <v>1.6666666666666667</v>
      </c>
    </row>
    <row r="1009" spans="1:18">
      <c r="A1009">
        <f>RAW_DATA!A1009</f>
        <v>29</v>
      </c>
      <c r="B1009" t="str">
        <f>RAW_DATA!B1009</f>
        <v>Yes</v>
      </c>
      <c r="C1009" t="str">
        <f>RAW_DATA!C1009</f>
        <v>Research &amp; Development</v>
      </c>
      <c r="D1009">
        <f>RAW_DATA!D1009</f>
        <v>14</v>
      </c>
      <c r="E1009">
        <f>RAW_DATA!E1009</f>
        <v>1</v>
      </c>
      <c r="F1009" t="str">
        <f>RAW_DATA!F1009</f>
        <v>Other</v>
      </c>
      <c r="G1009">
        <f>RAW_DATA!G1009</f>
        <v>3</v>
      </c>
      <c r="H1009">
        <f>RAW_DATA!H1009</f>
        <v>4</v>
      </c>
      <c r="I1009" t="str">
        <f>RAW_DATA!I1009</f>
        <v>Single</v>
      </c>
      <c r="J1009">
        <f>RAW_DATA!J1009</f>
        <v>7553</v>
      </c>
      <c r="K1009">
        <f>RAW_DATA!K1009</f>
        <v>0</v>
      </c>
      <c r="L1009">
        <f>RAW_DATA!L1009</f>
        <v>3</v>
      </c>
      <c r="M1009">
        <f>RAW_DATA!M1009</f>
        <v>8</v>
      </c>
      <c r="N1009">
        <f t="shared" si="30"/>
        <v>1</v>
      </c>
      <c r="O1009" t="str" cm="1">
        <f t="array" ref="O1009" xml:space="preserve"> _xlfn.IFS(A1009 &lt;ASSUMPTIONS!$D$2,"25",A1009 &lt;= ASSUMPTIONS!$D$3,"25-34",A1009 &lt;= ASSUMPTIONS!$D$4, "35-44",A1009 &lt;= ASSUMPTIONS!$D$5,"45-54",TRUE,"55+")</f>
        <v>25-34</v>
      </c>
      <c r="P1009" t="str" cm="1">
        <f t="array" ref="P1009">_xlfn.IFS( J1009 &lt;ASSUMPTIONS!$D$7,"LOW",J1009 &lt;= ASSUMPTIONS!$D$8,"MEDIUM",TRUE, "HIGH")</f>
        <v>HIGH</v>
      </c>
      <c r="Q1009" t="str">
        <f>IF(M1009&lt;ASSUMPTIONS!$D$10,"New (0-2)",IF(M1009&lt;=ASSUMPTIONS!$D$11,"Early (2-5)",IF(M1009&lt;=ASSUMPTIONS!$D$12,"Established (5-10)","Veteran (10+)")))</f>
        <v>Established (5-10)</v>
      </c>
      <c r="R1009" s="4">
        <f t="shared" si="31"/>
        <v>3.3333333333333335</v>
      </c>
    </row>
    <row r="1010" spans="1:18">
      <c r="A1010">
        <f>RAW_DATA!A1010</f>
        <v>54</v>
      </c>
      <c r="B1010" t="str">
        <f>RAW_DATA!B1010</f>
        <v>No</v>
      </c>
      <c r="C1010" t="str">
        <f>RAW_DATA!C1010</f>
        <v>Research &amp; Development</v>
      </c>
      <c r="D1010">
        <f>RAW_DATA!D1010</f>
        <v>1</v>
      </c>
      <c r="E1010">
        <f>RAW_DATA!E1010</f>
        <v>3</v>
      </c>
      <c r="F1010" t="str">
        <f>RAW_DATA!F1010</f>
        <v>Medical</v>
      </c>
      <c r="G1010">
        <f>RAW_DATA!G1010</f>
        <v>4</v>
      </c>
      <c r="H1010">
        <f>RAW_DATA!H1010</f>
        <v>4</v>
      </c>
      <c r="I1010" t="str">
        <f>RAW_DATA!I1010</f>
        <v>Single</v>
      </c>
      <c r="J1010">
        <f>RAW_DATA!J1010</f>
        <v>17328</v>
      </c>
      <c r="K1010">
        <f>RAW_DATA!K1010</f>
        <v>6</v>
      </c>
      <c r="L1010">
        <f>RAW_DATA!L1010</f>
        <v>2</v>
      </c>
      <c r="M1010">
        <f>RAW_DATA!M1010</f>
        <v>20</v>
      </c>
      <c r="N1010">
        <f t="shared" si="30"/>
        <v>0</v>
      </c>
      <c r="O1010" t="str" cm="1">
        <f t="array" ref="O1010" xml:space="preserve"> _xlfn.IFS(A1010 &lt;ASSUMPTIONS!$D$2,"25",A1010 &lt;= ASSUMPTIONS!$D$3,"25-34",A1010 &lt;= ASSUMPTIONS!$D$4, "35-44",A1010 &lt;= ASSUMPTIONS!$D$5,"45-54",TRUE,"55+")</f>
        <v>45-54</v>
      </c>
      <c r="P1010" t="str" cm="1">
        <f t="array" ref="P1010">_xlfn.IFS( J1010 &lt;ASSUMPTIONS!$D$7,"LOW",J1010 &lt;= ASSUMPTIONS!$D$8,"MEDIUM",TRUE, "HIGH")</f>
        <v>HIGH</v>
      </c>
      <c r="Q1010" t="str">
        <f>IF(M1010&lt;ASSUMPTIONS!$D$10,"New (0-2)",IF(M1010&lt;=ASSUMPTIONS!$D$11,"Early (2-5)",IF(M1010&lt;=ASSUMPTIONS!$D$12,"Established (5-10)","Veteran (10+)")))</f>
        <v>Veteran (10+)</v>
      </c>
      <c r="R1010" s="4">
        <f t="shared" si="31"/>
        <v>3.3333333333333335</v>
      </c>
    </row>
    <row r="1011" spans="1:18">
      <c r="A1011">
        <f>RAW_DATA!A1011</f>
        <v>58</v>
      </c>
      <c r="B1011" t="str">
        <f>RAW_DATA!B1011</f>
        <v>No</v>
      </c>
      <c r="C1011" t="str">
        <f>RAW_DATA!C1011</f>
        <v>Research &amp; Development</v>
      </c>
      <c r="D1011">
        <f>RAW_DATA!D1011</f>
        <v>1</v>
      </c>
      <c r="E1011">
        <f>RAW_DATA!E1011</f>
        <v>3</v>
      </c>
      <c r="F1011" t="str">
        <f>RAW_DATA!F1011</f>
        <v>Medical</v>
      </c>
      <c r="G1011">
        <f>RAW_DATA!G1011</f>
        <v>4</v>
      </c>
      <c r="H1011">
        <f>RAW_DATA!H1011</f>
        <v>1</v>
      </c>
      <c r="I1011" t="str">
        <f>RAW_DATA!I1011</f>
        <v>Married</v>
      </c>
      <c r="J1011">
        <f>RAW_DATA!J1011</f>
        <v>19701</v>
      </c>
      <c r="K1011">
        <f>RAW_DATA!K1011</f>
        <v>3</v>
      </c>
      <c r="L1011">
        <f>RAW_DATA!L1011</f>
        <v>3</v>
      </c>
      <c r="M1011">
        <f>RAW_DATA!M1011</f>
        <v>9</v>
      </c>
      <c r="N1011">
        <f t="shared" si="30"/>
        <v>0</v>
      </c>
      <c r="O1011" t="str" cm="1">
        <f t="array" ref="O1011" xml:space="preserve"> _xlfn.IFS(A1011 &lt;ASSUMPTIONS!$D$2,"25",A1011 &lt;= ASSUMPTIONS!$D$3,"25-34",A1011 &lt;= ASSUMPTIONS!$D$4, "35-44",A1011 &lt;= ASSUMPTIONS!$D$5,"45-54",TRUE,"55+")</f>
        <v>55+</v>
      </c>
      <c r="P1011" t="str" cm="1">
        <f t="array" ref="P1011">_xlfn.IFS( J1011 &lt;ASSUMPTIONS!$D$7,"LOW",J1011 &lt;= ASSUMPTIONS!$D$8,"MEDIUM",TRUE, "HIGH")</f>
        <v>HIGH</v>
      </c>
      <c r="Q1011" t="str">
        <f>IF(M1011&lt;ASSUMPTIONS!$D$10,"New (0-2)",IF(M1011&lt;=ASSUMPTIONS!$D$11,"Early (2-5)",IF(M1011&lt;=ASSUMPTIONS!$D$12,"Established (5-10)","Veteran (10+)")))</f>
        <v>Established (5-10)</v>
      </c>
      <c r="R1011" s="4">
        <f t="shared" si="31"/>
        <v>2.6666666666666665</v>
      </c>
    </row>
    <row r="1012" spans="1:18">
      <c r="A1012">
        <f>RAW_DATA!A1012</f>
        <v>55</v>
      </c>
      <c r="B1012" t="str">
        <f>RAW_DATA!B1012</f>
        <v>No</v>
      </c>
      <c r="C1012" t="str">
        <f>RAW_DATA!C1012</f>
        <v>Research &amp; Development</v>
      </c>
      <c r="D1012">
        <f>RAW_DATA!D1012</f>
        <v>1</v>
      </c>
      <c r="E1012">
        <f>RAW_DATA!E1012</f>
        <v>4</v>
      </c>
      <c r="F1012" t="str">
        <f>RAW_DATA!F1012</f>
        <v>Medical</v>
      </c>
      <c r="G1012">
        <f>RAW_DATA!G1012</f>
        <v>2</v>
      </c>
      <c r="H1012">
        <f>RAW_DATA!H1012</f>
        <v>4</v>
      </c>
      <c r="I1012" t="str">
        <f>RAW_DATA!I1012</f>
        <v>Divorced</v>
      </c>
      <c r="J1012">
        <f>RAW_DATA!J1012</f>
        <v>14732</v>
      </c>
      <c r="K1012">
        <f>RAW_DATA!K1012</f>
        <v>2</v>
      </c>
      <c r="L1012">
        <f>RAW_DATA!L1012</f>
        <v>4</v>
      </c>
      <c r="M1012">
        <f>RAW_DATA!M1012</f>
        <v>7</v>
      </c>
      <c r="N1012">
        <f t="shared" si="30"/>
        <v>0</v>
      </c>
      <c r="O1012" t="str" cm="1">
        <f t="array" ref="O1012" xml:space="preserve"> _xlfn.IFS(A1012 &lt;ASSUMPTIONS!$D$2,"25",A1012 &lt;= ASSUMPTIONS!$D$3,"25-34",A1012 &lt;= ASSUMPTIONS!$D$4, "35-44",A1012 &lt;= ASSUMPTIONS!$D$5,"45-54",TRUE,"55+")</f>
        <v>55+</v>
      </c>
      <c r="P1012" t="str" cm="1">
        <f t="array" ref="P1012">_xlfn.IFS( J1012 &lt;ASSUMPTIONS!$D$7,"LOW",J1012 &lt;= ASSUMPTIONS!$D$8,"MEDIUM",TRUE, "HIGH")</f>
        <v>HIGH</v>
      </c>
      <c r="Q1012" t="str">
        <f>IF(M1012&lt;ASSUMPTIONS!$D$10,"New (0-2)",IF(M1012&lt;=ASSUMPTIONS!$D$11,"Early (2-5)",IF(M1012&lt;=ASSUMPTIONS!$D$12,"Established (5-10)","Veteran (10+)")))</f>
        <v>Established (5-10)</v>
      </c>
      <c r="R1012" s="4">
        <f t="shared" si="31"/>
        <v>3.3333333333333335</v>
      </c>
    </row>
    <row r="1013" spans="1:18">
      <c r="A1013">
        <f>RAW_DATA!A1013</f>
        <v>36</v>
      </c>
      <c r="B1013" t="str">
        <f>RAW_DATA!B1013</f>
        <v>No</v>
      </c>
      <c r="C1013" t="str">
        <f>RAW_DATA!C1013</f>
        <v>Sales</v>
      </c>
      <c r="D1013">
        <f>RAW_DATA!D1013</f>
        <v>3</v>
      </c>
      <c r="E1013">
        <f>RAW_DATA!E1013</f>
        <v>4</v>
      </c>
      <c r="F1013" t="str">
        <f>RAW_DATA!F1013</f>
        <v>Marketing</v>
      </c>
      <c r="G1013">
        <f>RAW_DATA!G1013</f>
        <v>1</v>
      </c>
      <c r="H1013">
        <f>RAW_DATA!H1013</f>
        <v>2</v>
      </c>
      <c r="I1013" t="str">
        <f>RAW_DATA!I1013</f>
        <v>Single</v>
      </c>
      <c r="J1013">
        <f>RAW_DATA!J1013</f>
        <v>9278</v>
      </c>
      <c r="K1013">
        <f>RAW_DATA!K1013</f>
        <v>3</v>
      </c>
      <c r="L1013">
        <f>RAW_DATA!L1013</f>
        <v>3</v>
      </c>
      <c r="M1013">
        <f>RAW_DATA!M1013</f>
        <v>5</v>
      </c>
      <c r="N1013">
        <f t="shared" si="30"/>
        <v>0</v>
      </c>
      <c r="O1013" t="str" cm="1">
        <f t="array" ref="O1013" xml:space="preserve"> _xlfn.IFS(A1013 &lt;ASSUMPTIONS!$D$2,"25",A1013 &lt;= ASSUMPTIONS!$D$3,"25-34",A1013 &lt;= ASSUMPTIONS!$D$4, "35-44",A1013 &lt;= ASSUMPTIONS!$D$5,"45-54",TRUE,"55+")</f>
        <v>35-44</v>
      </c>
      <c r="P1013" t="str" cm="1">
        <f t="array" ref="P1013">_xlfn.IFS( J1013 &lt;ASSUMPTIONS!$D$7,"LOW",J1013 &lt;= ASSUMPTIONS!$D$8,"MEDIUM",TRUE, "HIGH")</f>
        <v>HIGH</v>
      </c>
      <c r="Q1013" t="str">
        <f>IF(M1013&lt;ASSUMPTIONS!$D$10,"New (0-2)",IF(M1013&lt;=ASSUMPTIONS!$D$11,"Early (2-5)",IF(M1013&lt;=ASSUMPTIONS!$D$12,"Established (5-10)","Veteran (10+)")))</f>
        <v>Early (2-5)</v>
      </c>
      <c r="R1013" s="4">
        <f t="shared" si="31"/>
        <v>2</v>
      </c>
    </row>
    <row r="1014" spans="1:18">
      <c r="A1014">
        <f>RAW_DATA!A1014</f>
        <v>31</v>
      </c>
      <c r="B1014" t="str">
        <f>RAW_DATA!B1014</f>
        <v>Yes</v>
      </c>
      <c r="C1014" t="str">
        <f>RAW_DATA!C1014</f>
        <v>Sales</v>
      </c>
      <c r="D1014">
        <f>RAW_DATA!D1014</f>
        <v>1</v>
      </c>
      <c r="E1014">
        <f>RAW_DATA!E1014</f>
        <v>4</v>
      </c>
      <c r="F1014" t="str">
        <f>RAW_DATA!F1014</f>
        <v>Life Sciences</v>
      </c>
      <c r="G1014">
        <f>RAW_DATA!G1014</f>
        <v>2</v>
      </c>
      <c r="H1014">
        <f>RAW_DATA!H1014</f>
        <v>3</v>
      </c>
      <c r="I1014" t="str">
        <f>RAW_DATA!I1014</f>
        <v>Single</v>
      </c>
      <c r="J1014">
        <f>RAW_DATA!J1014</f>
        <v>1359</v>
      </c>
      <c r="K1014">
        <f>RAW_DATA!K1014</f>
        <v>1</v>
      </c>
      <c r="L1014">
        <f>RAW_DATA!L1014</f>
        <v>3</v>
      </c>
      <c r="M1014">
        <f>RAW_DATA!M1014</f>
        <v>1</v>
      </c>
      <c r="N1014">
        <f t="shared" si="30"/>
        <v>1</v>
      </c>
      <c r="O1014" t="str" cm="1">
        <f t="array" ref="O1014" xml:space="preserve"> _xlfn.IFS(A1014 &lt;ASSUMPTIONS!$D$2,"25",A1014 &lt;= ASSUMPTIONS!$D$3,"25-34",A1014 &lt;= ASSUMPTIONS!$D$4, "35-44",A1014 &lt;= ASSUMPTIONS!$D$5,"45-54",TRUE,"55+")</f>
        <v>25-34</v>
      </c>
      <c r="P1014" t="str" cm="1">
        <f t="array" ref="P1014">_xlfn.IFS( J1014 &lt;ASSUMPTIONS!$D$7,"LOW",J1014 &lt;= ASSUMPTIONS!$D$8,"MEDIUM",TRUE, "HIGH")</f>
        <v>LOW</v>
      </c>
      <c r="Q1014" t="str">
        <f>IF(M1014&lt;ASSUMPTIONS!$D$10,"New (0-2)",IF(M1014&lt;=ASSUMPTIONS!$D$11,"Early (2-5)",IF(M1014&lt;=ASSUMPTIONS!$D$12,"Established (5-10)","Veteran (10+)")))</f>
        <v>New (0-2)</v>
      </c>
      <c r="R1014" s="4">
        <f t="shared" si="31"/>
        <v>2.6666666666666665</v>
      </c>
    </row>
    <row r="1015" spans="1:18">
      <c r="A1015">
        <f>RAW_DATA!A1015</f>
        <v>30</v>
      </c>
      <c r="B1015" t="str">
        <f>RAW_DATA!B1015</f>
        <v>No</v>
      </c>
      <c r="C1015" t="str">
        <f>RAW_DATA!C1015</f>
        <v>Sales</v>
      </c>
      <c r="D1015">
        <f>RAW_DATA!D1015</f>
        <v>7</v>
      </c>
      <c r="E1015">
        <f>RAW_DATA!E1015</f>
        <v>4</v>
      </c>
      <c r="F1015" t="str">
        <f>RAW_DATA!F1015</f>
        <v>Marketing</v>
      </c>
      <c r="G1015">
        <f>RAW_DATA!G1015</f>
        <v>4</v>
      </c>
      <c r="H1015">
        <f>RAW_DATA!H1015</f>
        <v>1</v>
      </c>
      <c r="I1015" t="str">
        <f>RAW_DATA!I1015</f>
        <v>Divorced</v>
      </c>
      <c r="J1015">
        <f>RAW_DATA!J1015</f>
        <v>4779</v>
      </c>
      <c r="K1015">
        <f>RAW_DATA!K1015</f>
        <v>7</v>
      </c>
      <c r="L1015">
        <f>RAW_DATA!L1015</f>
        <v>3</v>
      </c>
      <c r="M1015">
        <f>RAW_DATA!M1015</f>
        <v>3</v>
      </c>
      <c r="N1015">
        <f t="shared" si="30"/>
        <v>0</v>
      </c>
      <c r="O1015" t="str" cm="1">
        <f t="array" ref="O1015" xml:space="preserve"> _xlfn.IFS(A1015 &lt;ASSUMPTIONS!$D$2,"25",A1015 &lt;= ASSUMPTIONS!$D$3,"25-34",A1015 &lt;= ASSUMPTIONS!$D$4, "35-44",A1015 &lt;= ASSUMPTIONS!$D$5,"45-54",TRUE,"55+")</f>
        <v>25-34</v>
      </c>
      <c r="P1015" t="str" cm="1">
        <f t="array" ref="P1015">_xlfn.IFS( J1015 &lt;ASSUMPTIONS!$D$7,"LOW",J1015 &lt;= ASSUMPTIONS!$D$8,"MEDIUM",TRUE, "HIGH")</f>
        <v>MEDIUM</v>
      </c>
      <c r="Q1015" t="str">
        <f>IF(M1015&lt;ASSUMPTIONS!$D$10,"New (0-2)",IF(M1015&lt;=ASSUMPTIONS!$D$11,"Early (2-5)",IF(M1015&lt;=ASSUMPTIONS!$D$12,"Established (5-10)","Veteran (10+)")))</f>
        <v>Early (2-5)</v>
      </c>
      <c r="R1015" s="4">
        <f t="shared" si="31"/>
        <v>2.6666666666666665</v>
      </c>
    </row>
    <row r="1016" spans="1:18">
      <c r="A1016">
        <f>RAW_DATA!A1016</f>
        <v>31</v>
      </c>
      <c r="B1016" t="str">
        <f>RAW_DATA!B1016</f>
        <v>No</v>
      </c>
      <c r="C1016" t="str">
        <f>RAW_DATA!C1016</f>
        <v>Research &amp; Development</v>
      </c>
      <c r="D1016">
        <f>RAW_DATA!D1016</f>
        <v>8</v>
      </c>
      <c r="E1016">
        <f>RAW_DATA!E1016</f>
        <v>5</v>
      </c>
      <c r="F1016" t="str">
        <f>RAW_DATA!F1016</f>
        <v>Life Sciences</v>
      </c>
      <c r="G1016">
        <f>RAW_DATA!G1016</f>
        <v>1</v>
      </c>
      <c r="H1016">
        <f>RAW_DATA!H1016</f>
        <v>2</v>
      </c>
      <c r="I1016" t="str">
        <f>RAW_DATA!I1016</f>
        <v>Single</v>
      </c>
      <c r="J1016">
        <f>RAW_DATA!J1016</f>
        <v>16422</v>
      </c>
      <c r="K1016">
        <f>RAW_DATA!K1016</f>
        <v>3</v>
      </c>
      <c r="L1016">
        <f>RAW_DATA!L1016</f>
        <v>4</v>
      </c>
      <c r="M1016">
        <f>RAW_DATA!M1016</f>
        <v>3</v>
      </c>
      <c r="N1016">
        <f t="shared" si="30"/>
        <v>0</v>
      </c>
      <c r="O1016" t="str" cm="1">
        <f t="array" ref="O1016" xml:space="preserve"> _xlfn.IFS(A1016 &lt;ASSUMPTIONS!$D$2,"25",A1016 &lt;= ASSUMPTIONS!$D$3,"25-34",A1016 &lt;= ASSUMPTIONS!$D$4, "35-44",A1016 &lt;= ASSUMPTIONS!$D$5,"45-54",TRUE,"55+")</f>
        <v>25-34</v>
      </c>
      <c r="P1016" t="str" cm="1">
        <f t="array" ref="P1016">_xlfn.IFS( J1016 &lt;ASSUMPTIONS!$D$7,"LOW",J1016 &lt;= ASSUMPTIONS!$D$8,"MEDIUM",TRUE, "HIGH")</f>
        <v>HIGH</v>
      </c>
      <c r="Q1016" t="str">
        <f>IF(M1016&lt;ASSUMPTIONS!$D$10,"New (0-2)",IF(M1016&lt;=ASSUMPTIONS!$D$11,"Early (2-5)",IF(M1016&lt;=ASSUMPTIONS!$D$12,"Established (5-10)","Veteran (10+)")))</f>
        <v>Early (2-5)</v>
      </c>
      <c r="R1016" s="4">
        <f t="shared" si="31"/>
        <v>2.3333333333333335</v>
      </c>
    </row>
    <row r="1017" spans="1:18">
      <c r="A1017">
        <f>RAW_DATA!A1017</f>
        <v>34</v>
      </c>
      <c r="B1017" t="str">
        <f>RAW_DATA!B1017</f>
        <v>No</v>
      </c>
      <c r="C1017" t="str">
        <f>RAW_DATA!C1017</f>
        <v>Research &amp; Development</v>
      </c>
      <c r="D1017">
        <f>RAW_DATA!D1017</f>
        <v>1</v>
      </c>
      <c r="E1017">
        <f>RAW_DATA!E1017</f>
        <v>4</v>
      </c>
      <c r="F1017" t="str">
        <f>RAW_DATA!F1017</f>
        <v>Other</v>
      </c>
      <c r="G1017">
        <f>RAW_DATA!G1017</f>
        <v>4</v>
      </c>
      <c r="H1017">
        <f>RAW_DATA!H1017</f>
        <v>1</v>
      </c>
      <c r="I1017" t="str">
        <f>RAW_DATA!I1017</f>
        <v>Divorced</v>
      </c>
      <c r="J1017">
        <f>RAW_DATA!J1017</f>
        <v>2996</v>
      </c>
      <c r="K1017">
        <f>RAW_DATA!K1017</f>
        <v>5</v>
      </c>
      <c r="L1017">
        <f>RAW_DATA!L1017</f>
        <v>3</v>
      </c>
      <c r="M1017">
        <f>RAW_DATA!M1017</f>
        <v>4</v>
      </c>
      <c r="N1017">
        <f t="shared" si="30"/>
        <v>0</v>
      </c>
      <c r="O1017" t="str" cm="1">
        <f t="array" ref="O1017" xml:space="preserve"> _xlfn.IFS(A1017 &lt;ASSUMPTIONS!$D$2,"25",A1017 &lt;= ASSUMPTIONS!$D$3,"25-34",A1017 &lt;= ASSUMPTIONS!$D$4, "35-44",A1017 &lt;= ASSUMPTIONS!$D$5,"45-54",TRUE,"55+")</f>
        <v>25-34</v>
      </c>
      <c r="P1017" t="str" cm="1">
        <f t="array" ref="P1017">_xlfn.IFS( J1017 &lt;ASSUMPTIONS!$D$7,"LOW",J1017 &lt;= ASSUMPTIONS!$D$8,"MEDIUM",TRUE, "HIGH")</f>
        <v>LOW</v>
      </c>
      <c r="Q1017" t="str">
        <f>IF(M1017&lt;ASSUMPTIONS!$D$10,"New (0-2)",IF(M1017&lt;=ASSUMPTIONS!$D$11,"Early (2-5)",IF(M1017&lt;=ASSUMPTIONS!$D$12,"Established (5-10)","Veteran (10+)")))</f>
        <v>Early (2-5)</v>
      </c>
      <c r="R1017" s="4">
        <f t="shared" si="31"/>
        <v>2.6666666666666665</v>
      </c>
    </row>
    <row r="1018" spans="1:18">
      <c r="A1018">
        <f>RAW_DATA!A1018</f>
        <v>31</v>
      </c>
      <c r="B1018" t="str">
        <f>RAW_DATA!B1018</f>
        <v>Yes</v>
      </c>
      <c r="C1018" t="str">
        <f>RAW_DATA!C1018</f>
        <v>Research &amp; Development</v>
      </c>
      <c r="D1018">
        <f>RAW_DATA!D1018</f>
        <v>8</v>
      </c>
      <c r="E1018">
        <f>RAW_DATA!E1018</f>
        <v>3</v>
      </c>
      <c r="F1018" t="str">
        <f>RAW_DATA!F1018</f>
        <v>Life Sciences</v>
      </c>
      <c r="G1018">
        <f>RAW_DATA!G1018</f>
        <v>1</v>
      </c>
      <c r="H1018">
        <f>RAW_DATA!H1018</f>
        <v>2</v>
      </c>
      <c r="I1018" t="str">
        <f>RAW_DATA!I1018</f>
        <v>Single</v>
      </c>
      <c r="J1018">
        <f>RAW_DATA!J1018</f>
        <v>1261</v>
      </c>
      <c r="K1018">
        <f>RAW_DATA!K1018</f>
        <v>1</v>
      </c>
      <c r="L1018">
        <f>RAW_DATA!L1018</f>
        <v>4</v>
      </c>
      <c r="M1018">
        <f>RAW_DATA!M1018</f>
        <v>1</v>
      </c>
      <c r="N1018">
        <f t="shared" si="30"/>
        <v>1</v>
      </c>
      <c r="O1018" t="str" cm="1">
        <f t="array" ref="O1018" xml:space="preserve"> _xlfn.IFS(A1018 &lt;ASSUMPTIONS!$D$2,"25",A1018 &lt;= ASSUMPTIONS!$D$3,"25-34",A1018 &lt;= ASSUMPTIONS!$D$4, "35-44",A1018 &lt;= ASSUMPTIONS!$D$5,"45-54",TRUE,"55+")</f>
        <v>25-34</v>
      </c>
      <c r="P1018" t="str" cm="1">
        <f t="array" ref="P1018">_xlfn.IFS( J1018 &lt;ASSUMPTIONS!$D$7,"LOW",J1018 &lt;= ASSUMPTIONS!$D$8,"MEDIUM",TRUE, "HIGH")</f>
        <v>LOW</v>
      </c>
      <c r="Q1018" t="str">
        <f>IF(M1018&lt;ASSUMPTIONS!$D$10,"New (0-2)",IF(M1018&lt;=ASSUMPTIONS!$D$11,"Early (2-5)",IF(M1018&lt;=ASSUMPTIONS!$D$12,"Established (5-10)","Veteran (10+)")))</f>
        <v>New (0-2)</v>
      </c>
      <c r="R1018" s="4">
        <f t="shared" si="31"/>
        <v>2.3333333333333335</v>
      </c>
    </row>
    <row r="1019" spans="1:18">
      <c r="A1019">
        <f>RAW_DATA!A1019</f>
        <v>27</v>
      </c>
      <c r="B1019" t="str">
        <f>RAW_DATA!B1019</f>
        <v>No</v>
      </c>
      <c r="C1019" t="str">
        <f>RAW_DATA!C1019</f>
        <v>Research &amp; Development</v>
      </c>
      <c r="D1019">
        <f>RAW_DATA!D1019</f>
        <v>11</v>
      </c>
      <c r="E1019">
        <f>RAW_DATA!E1019</f>
        <v>1</v>
      </c>
      <c r="F1019" t="str">
        <f>RAW_DATA!F1019</f>
        <v>Life Sciences</v>
      </c>
      <c r="G1019">
        <f>RAW_DATA!G1019</f>
        <v>2</v>
      </c>
      <c r="H1019">
        <f>RAW_DATA!H1019</f>
        <v>1</v>
      </c>
      <c r="I1019" t="str">
        <f>RAW_DATA!I1019</f>
        <v>Married</v>
      </c>
      <c r="J1019">
        <f>RAW_DATA!J1019</f>
        <v>2099</v>
      </c>
      <c r="K1019">
        <f>RAW_DATA!K1019</f>
        <v>0</v>
      </c>
      <c r="L1019">
        <f>RAW_DATA!L1019</f>
        <v>4</v>
      </c>
      <c r="M1019">
        <f>RAW_DATA!M1019</f>
        <v>5</v>
      </c>
      <c r="N1019">
        <f t="shared" si="30"/>
        <v>0</v>
      </c>
      <c r="O1019" t="str" cm="1">
        <f t="array" ref="O1019" xml:space="preserve"> _xlfn.IFS(A1019 &lt;ASSUMPTIONS!$D$2,"25",A1019 &lt;= ASSUMPTIONS!$D$3,"25-34",A1019 &lt;= ASSUMPTIONS!$D$4, "35-44",A1019 &lt;= ASSUMPTIONS!$D$5,"45-54",TRUE,"55+")</f>
        <v>25-34</v>
      </c>
      <c r="P1019" t="str" cm="1">
        <f t="array" ref="P1019">_xlfn.IFS( J1019 &lt;ASSUMPTIONS!$D$7,"LOW",J1019 &lt;= ASSUMPTIONS!$D$8,"MEDIUM",TRUE, "HIGH")</f>
        <v>LOW</v>
      </c>
      <c r="Q1019" t="str">
        <f>IF(M1019&lt;ASSUMPTIONS!$D$10,"New (0-2)",IF(M1019&lt;=ASSUMPTIONS!$D$11,"Early (2-5)",IF(M1019&lt;=ASSUMPTIONS!$D$12,"Established (5-10)","Veteran (10+)")))</f>
        <v>Early (2-5)</v>
      </c>
      <c r="R1019" s="4">
        <f t="shared" si="31"/>
        <v>2.3333333333333335</v>
      </c>
    </row>
    <row r="1020" spans="1:18">
      <c r="A1020">
        <f>RAW_DATA!A1020</f>
        <v>36</v>
      </c>
      <c r="B1020" t="str">
        <f>RAW_DATA!B1020</f>
        <v>No</v>
      </c>
      <c r="C1020" t="str">
        <f>RAW_DATA!C1020</f>
        <v>Research &amp; Development</v>
      </c>
      <c r="D1020">
        <f>RAW_DATA!D1020</f>
        <v>4</v>
      </c>
      <c r="E1020">
        <f>RAW_DATA!E1020</f>
        <v>4</v>
      </c>
      <c r="F1020" t="str">
        <f>RAW_DATA!F1020</f>
        <v>Life Sciences</v>
      </c>
      <c r="G1020">
        <f>RAW_DATA!G1020</f>
        <v>1</v>
      </c>
      <c r="H1020">
        <f>RAW_DATA!H1020</f>
        <v>4</v>
      </c>
      <c r="I1020" t="str">
        <f>RAW_DATA!I1020</f>
        <v>Single</v>
      </c>
      <c r="J1020">
        <f>RAW_DATA!J1020</f>
        <v>5810</v>
      </c>
      <c r="K1020">
        <f>RAW_DATA!K1020</f>
        <v>1</v>
      </c>
      <c r="L1020">
        <f>RAW_DATA!L1020</f>
        <v>2</v>
      </c>
      <c r="M1020">
        <f>RAW_DATA!M1020</f>
        <v>10</v>
      </c>
      <c r="N1020">
        <f t="shared" si="30"/>
        <v>0</v>
      </c>
      <c r="O1020" t="str" cm="1">
        <f t="array" ref="O1020" xml:space="preserve"> _xlfn.IFS(A1020 &lt;ASSUMPTIONS!$D$2,"25",A1020 &lt;= ASSUMPTIONS!$D$3,"25-34",A1020 &lt;= ASSUMPTIONS!$D$4, "35-44",A1020 &lt;= ASSUMPTIONS!$D$5,"45-54",TRUE,"55+")</f>
        <v>35-44</v>
      </c>
      <c r="P1020" t="str" cm="1">
        <f t="array" ref="P1020">_xlfn.IFS( J1020 &lt;ASSUMPTIONS!$D$7,"LOW",J1020 &lt;= ASSUMPTIONS!$D$8,"MEDIUM",TRUE, "HIGH")</f>
        <v>MEDIUM</v>
      </c>
      <c r="Q1020" t="str">
        <f>IF(M1020&lt;ASSUMPTIONS!$D$10,"New (0-2)",IF(M1020&lt;=ASSUMPTIONS!$D$11,"Early (2-5)",IF(M1020&lt;=ASSUMPTIONS!$D$12,"Established (5-10)","Veteran (10+)")))</f>
        <v>Established (5-10)</v>
      </c>
      <c r="R1020" s="4">
        <f t="shared" si="31"/>
        <v>2.3333333333333335</v>
      </c>
    </row>
    <row r="1021" spans="1:18">
      <c r="A1021">
        <f>RAW_DATA!A1021</f>
        <v>36</v>
      </c>
      <c r="B1021" t="str">
        <f>RAW_DATA!B1021</f>
        <v>No</v>
      </c>
      <c r="C1021" t="str">
        <f>RAW_DATA!C1021</f>
        <v>Sales</v>
      </c>
      <c r="D1021">
        <f>RAW_DATA!D1021</f>
        <v>16</v>
      </c>
      <c r="E1021">
        <f>RAW_DATA!E1021</f>
        <v>4</v>
      </c>
      <c r="F1021" t="str">
        <f>RAW_DATA!F1021</f>
        <v>Marketing</v>
      </c>
      <c r="G1021">
        <f>RAW_DATA!G1021</f>
        <v>3</v>
      </c>
      <c r="H1021">
        <f>RAW_DATA!H1021</f>
        <v>1</v>
      </c>
      <c r="I1021" t="str">
        <f>RAW_DATA!I1021</f>
        <v>Married</v>
      </c>
      <c r="J1021">
        <f>RAW_DATA!J1021</f>
        <v>5647</v>
      </c>
      <c r="K1021">
        <f>RAW_DATA!K1021</f>
        <v>4</v>
      </c>
      <c r="L1021">
        <f>RAW_DATA!L1021</f>
        <v>2</v>
      </c>
      <c r="M1021">
        <f>RAW_DATA!M1021</f>
        <v>3</v>
      </c>
      <c r="N1021">
        <f t="shared" si="30"/>
        <v>0</v>
      </c>
      <c r="O1021" t="str" cm="1">
        <f t="array" ref="O1021" xml:space="preserve"> _xlfn.IFS(A1021 &lt;ASSUMPTIONS!$D$2,"25",A1021 &lt;= ASSUMPTIONS!$D$3,"25-34",A1021 &lt;= ASSUMPTIONS!$D$4, "35-44",A1021 &lt;= ASSUMPTIONS!$D$5,"45-54",TRUE,"55+")</f>
        <v>35-44</v>
      </c>
      <c r="P1021" t="str" cm="1">
        <f t="array" ref="P1021">_xlfn.IFS( J1021 &lt;ASSUMPTIONS!$D$7,"LOW",J1021 &lt;= ASSUMPTIONS!$D$8,"MEDIUM",TRUE, "HIGH")</f>
        <v>MEDIUM</v>
      </c>
      <c r="Q1021" t="str">
        <f>IF(M1021&lt;ASSUMPTIONS!$D$10,"New (0-2)",IF(M1021&lt;=ASSUMPTIONS!$D$11,"Early (2-5)",IF(M1021&lt;=ASSUMPTIONS!$D$12,"Established (5-10)","Veteran (10+)")))</f>
        <v>Early (2-5)</v>
      </c>
      <c r="R1021" s="4">
        <f t="shared" si="31"/>
        <v>2</v>
      </c>
    </row>
    <row r="1022" spans="1:18">
      <c r="A1022">
        <f>RAW_DATA!A1022</f>
        <v>47</v>
      </c>
      <c r="B1022" t="str">
        <f>RAW_DATA!B1022</f>
        <v>No</v>
      </c>
      <c r="C1022" t="str">
        <f>RAW_DATA!C1022</f>
        <v>Research &amp; Development</v>
      </c>
      <c r="D1022">
        <f>RAW_DATA!D1022</f>
        <v>1</v>
      </c>
      <c r="E1022">
        <f>RAW_DATA!E1022</f>
        <v>3</v>
      </c>
      <c r="F1022" t="str">
        <f>RAW_DATA!F1022</f>
        <v>Technical Degree</v>
      </c>
      <c r="G1022">
        <f>RAW_DATA!G1022</f>
        <v>1</v>
      </c>
      <c r="H1022">
        <f>RAW_DATA!H1022</f>
        <v>4</v>
      </c>
      <c r="I1022" t="str">
        <f>RAW_DATA!I1022</f>
        <v>Married</v>
      </c>
      <c r="J1022">
        <f>RAW_DATA!J1022</f>
        <v>3420</v>
      </c>
      <c r="K1022">
        <f>RAW_DATA!K1022</f>
        <v>7</v>
      </c>
      <c r="L1022">
        <f>RAW_DATA!L1022</f>
        <v>2</v>
      </c>
      <c r="M1022">
        <f>RAW_DATA!M1022</f>
        <v>6</v>
      </c>
      <c r="N1022">
        <f t="shared" si="30"/>
        <v>0</v>
      </c>
      <c r="O1022" t="str" cm="1">
        <f t="array" ref="O1022" xml:space="preserve"> _xlfn.IFS(A1022 &lt;ASSUMPTIONS!$D$2,"25",A1022 &lt;= ASSUMPTIONS!$D$3,"25-34",A1022 &lt;= ASSUMPTIONS!$D$4, "35-44",A1022 &lt;= ASSUMPTIONS!$D$5,"45-54",TRUE,"55+")</f>
        <v>45-54</v>
      </c>
      <c r="P1022" t="str" cm="1">
        <f t="array" ref="P1022">_xlfn.IFS( J1022 &lt;ASSUMPTIONS!$D$7,"LOW",J1022 &lt;= ASSUMPTIONS!$D$8,"MEDIUM",TRUE, "HIGH")</f>
        <v>MEDIUM</v>
      </c>
      <c r="Q1022" t="str">
        <f>IF(M1022&lt;ASSUMPTIONS!$D$10,"New (0-2)",IF(M1022&lt;=ASSUMPTIONS!$D$11,"Early (2-5)",IF(M1022&lt;=ASSUMPTIONS!$D$12,"Established (5-10)","Veteran (10+)")))</f>
        <v>Established (5-10)</v>
      </c>
      <c r="R1022" s="4">
        <f t="shared" si="31"/>
        <v>2.3333333333333335</v>
      </c>
    </row>
    <row r="1023" spans="1:18">
      <c r="A1023">
        <f>RAW_DATA!A1023</f>
        <v>25</v>
      </c>
      <c r="B1023" t="str">
        <f>RAW_DATA!B1023</f>
        <v>Yes</v>
      </c>
      <c r="C1023" t="str">
        <f>RAW_DATA!C1023</f>
        <v>Sales</v>
      </c>
      <c r="D1023">
        <f>RAW_DATA!D1023</f>
        <v>9</v>
      </c>
      <c r="E1023">
        <f>RAW_DATA!E1023</f>
        <v>2</v>
      </c>
      <c r="F1023" t="str">
        <f>RAW_DATA!F1023</f>
        <v>Life Sciences</v>
      </c>
      <c r="G1023">
        <f>RAW_DATA!G1023</f>
        <v>1</v>
      </c>
      <c r="H1023">
        <f>RAW_DATA!H1023</f>
        <v>1</v>
      </c>
      <c r="I1023" t="str">
        <f>RAW_DATA!I1023</f>
        <v>Married</v>
      </c>
      <c r="J1023">
        <f>RAW_DATA!J1023</f>
        <v>4400</v>
      </c>
      <c r="K1023">
        <f>RAW_DATA!K1023</f>
        <v>3</v>
      </c>
      <c r="L1023">
        <f>RAW_DATA!L1023</f>
        <v>3</v>
      </c>
      <c r="M1023">
        <f>RAW_DATA!M1023</f>
        <v>3</v>
      </c>
      <c r="N1023">
        <f t="shared" si="30"/>
        <v>1</v>
      </c>
      <c r="O1023" t="str" cm="1">
        <f t="array" ref="O1023" xml:space="preserve"> _xlfn.IFS(A1023 &lt;ASSUMPTIONS!$D$2,"25",A1023 &lt;= ASSUMPTIONS!$D$3,"25-34",A1023 &lt;= ASSUMPTIONS!$D$4, "35-44",A1023 &lt;= ASSUMPTIONS!$D$5,"45-54",TRUE,"55+")</f>
        <v>25-34</v>
      </c>
      <c r="P1023" t="str" cm="1">
        <f t="array" ref="P1023">_xlfn.IFS( J1023 &lt;ASSUMPTIONS!$D$7,"LOW",J1023 &lt;= ASSUMPTIONS!$D$8,"MEDIUM",TRUE, "HIGH")</f>
        <v>MEDIUM</v>
      </c>
      <c r="Q1023" t="str">
        <f>IF(M1023&lt;ASSUMPTIONS!$D$10,"New (0-2)",IF(M1023&lt;=ASSUMPTIONS!$D$11,"Early (2-5)",IF(M1023&lt;=ASSUMPTIONS!$D$12,"Established (5-10)","Veteran (10+)")))</f>
        <v>Early (2-5)</v>
      </c>
      <c r="R1023" s="4">
        <f t="shared" si="31"/>
        <v>1.6666666666666667</v>
      </c>
    </row>
    <row r="1024" spans="1:18">
      <c r="A1024">
        <f>RAW_DATA!A1024</f>
        <v>37</v>
      </c>
      <c r="B1024" t="str">
        <f>RAW_DATA!B1024</f>
        <v>No</v>
      </c>
      <c r="C1024" t="str">
        <f>RAW_DATA!C1024</f>
        <v>Research &amp; Development</v>
      </c>
      <c r="D1024">
        <f>RAW_DATA!D1024</f>
        <v>5</v>
      </c>
      <c r="E1024">
        <f>RAW_DATA!E1024</f>
        <v>2</v>
      </c>
      <c r="F1024" t="str">
        <f>RAW_DATA!F1024</f>
        <v>Technical Degree</v>
      </c>
      <c r="G1024">
        <f>RAW_DATA!G1024</f>
        <v>3</v>
      </c>
      <c r="H1024">
        <f>RAW_DATA!H1024</f>
        <v>3</v>
      </c>
      <c r="I1024" t="str">
        <f>RAW_DATA!I1024</f>
        <v>Single</v>
      </c>
      <c r="J1024">
        <f>RAW_DATA!J1024</f>
        <v>3500</v>
      </c>
      <c r="K1024">
        <f>RAW_DATA!K1024</f>
        <v>0</v>
      </c>
      <c r="L1024">
        <f>RAW_DATA!L1024</f>
        <v>1</v>
      </c>
      <c r="M1024">
        <f>RAW_DATA!M1024</f>
        <v>6</v>
      </c>
      <c r="N1024">
        <f t="shared" si="30"/>
        <v>0</v>
      </c>
      <c r="O1024" t="str" cm="1">
        <f t="array" ref="O1024" xml:space="preserve"> _xlfn.IFS(A1024 &lt;ASSUMPTIONS!$D$2,"25",A1024 &lt;= ASSUMPTIONS!$D$3,"25-34",A1024 &lt;= ASSUMPTIONS!$D$4, "35-44",A1024 &lt;= ASSUMPTIONS!$D$5,"45-54",TRUE,"55+")</f>
        <v>35-44</v>
      </c>
      <c r="P1024" t="str" cm="1">
        <f t="array" ref="P1024">_xlfn.IFS( J1024 &lt;ASSUMPTIONS!$D$7,"LOW",J1024 &lt;= ASSUMPTIONS!$D$8,"MEDIUM",TRUE, "HIGH")</f>
        <v>MEDIUM</v>
      </c>
      <c r="Q1024" t="str">
        <f>IF(M1024&lt;ASSUMPTIONS!$D$10,"New (0-2)",IF(M1024&lt;=ASSUMPTIONS!$D$11,"Early (2-5)",IF(M1024&lt;=ASSUMPTIONS!$D$12,"Established (5-10)","Veteran (10+)")))</f>
        <v>Established (5-10)</v>
      </c>
      <c r="R1024" s="4">
        <f t="shared" si="31"/>
        <v>2.3333333333333335</v>
      </c>
    </row>
    <row r="1025" spans="1:18">
      <c r="A1025">
        <f>RAW_DATA!A1025</f>
        <v>56</v>
      </c>
      <c r="B1025" t="str">
        <f>RAW_DATA!B1025</f>
        <v>No</v>
      </c>
      <c r="C1025" t="str">
        <f>RAW_DATA!C1025</f>
        <v>Research &amp; Development</v>
      </c>
      <c r="D1025">
        <f>RAW_DATA!D1025</f>
        <v>1</v>
      </c>
      <c r="E1025">
        <f>RAW_DATA!E1025</f>
        <v>2</v>
      </c>
      <c r="F1025" t="str">
        <f>RAW_DATA!F1025</f>
        <v>Life Sciences</v>
      </c>
      <c r="G1025">
        <f>RAW_DATA!G1025</f>
        <v>1</v>
      </c>
      <c r="H1025">
        <f>RAW_DATA!H1025</f>
        <v>1</v>
      </c>
      <c r="I1025" t="str">
        <f>RAW_DATA!I1025</f>
        <v>Married</v>
      </c>
      <c r="J1025">
        <f>RAW_DATA!J1025</f>
        <v>2066</v>
      </c>
      <c r="K1025">
        <f>RAW_DATA!K1025</f>
        <v>2</v>
      </c>
      <c r="L1025">
        <f>RAW_DATA!L1025</f>
        <v>4</v>
      </c>
      <c r="M1025">
        <f>RAW_DATA!M1025</f>
        <v>3</v>
      </c>
      <c r="N1025">
        <f t="shared" si="30"/>
        <v>0</v>
      </c>
      <c r="O1025" t="str" cm="1">
        <f t="array" ref="O1025" xml:space="preserve"> _xlfn.IFS(A1025 &lt;ASSUMPTIONS!$D$2,"25",A1025 &lt;= ASSUMPTIONS!$D$3,"25-34",A1025 &lt;= ASSUMPTIONS!$D$4, "35-44",A1025 &lt;= ASSUMPTIONS!$D$5,"45-54",TRUE,"55+")</f>
        <v>55+</v>
      </c>
      <c r="P1025" t="str" cm="1">
        <f t="array" ref="P1025">_xlfn.IFS( J1025 &lt;ASSUMPTIONS!$D$7,"LOW",J1025 &lt;= ASSUMPTIONS!$D$8,"MEDIUM",TRUE, "HIGH")</f>
        <v>LOW</v>
      </c>
      <c r="Q1025" t="str">
        <f>IF(M1025&lt;ASSUMPTIONS!$D$10,"New (0-2)",IF(M1025&lt;=ASSUMPTIONS!$D$11,"Early (2-5)",IF(M1025&lt;=ASSUMPTIONS!$D$12,"Established (5-10)","Veteran (10+)")))</f>
        <v>Early (2-5)</v>
      </c>
      <c r="R1025" s="4">
        <f t="shared" si="31"/>
        <v>2</v>
      </c>
    </row>
    <row r="1026" spans="1:18">
      <c r="A1026">
        <f>RAW_DATA!A1026</f>
        <v>47</v>
      </c>
      <c r="B1026" t="str">
        <f>RAW_DATA!B1026</f>
        <v>No</v>
      </c>
      <c r="C1026" t="str">
        <f>RAW_DATA!C1026</f>
        <v>Research &amp; Development</v>
      </c>
      <c r="D1026">
        <f>RAW_DATA!D1026</f>
        <v>2</v>
      </c>
      <c r="E1026">
        <f>RAW_DATA!E1026</f>
        <v>4</v>
      </c>
      <c r="F1026" t="str">
        <f>RAW_DATA!F1026</f>
        <v>Medical</v>
      </c>
      <c r="G1026">
        <f>RAW_DATA!G1026</f>
        <v>1</v>
      </c>
      <c r="H1026">
        <f>RAW_DATA!H1026</f>
        <v>3</v>
      </c>
      <c r="I1026" t="str">
        <f>RAW_DATA!I1026</f>
        <v>Married</v>
      </c>
      <c r="J1026">
        <f>RAW_DATA!J1026</f>
        <v>17169</v>
      </c>
      <c r="K1026">
        <f>RAW_DATA!K1026</f>
        <v>3</v>
      </c>
      <c r="L1026">
        <f>RAW_DATA!L1026</f>
        <v>4</v>
      </c>
      <c r="M1026">
        <f>RAW_DATA!M1026</f>
        <v>20</v>
      </c>
      <c r="N1026">
        <f t="shared" si="30"/>
        <v>0</v>
      </c>
      <c r="O1026" t="str" cm="1">
        <f t="array" ref="O1026" xml:space="preserve"> _xlfn.IFS(A1026 &lt;ASSUMPTIONS!$D$2,"25",A1026 &lt;= ASSUMPTIONS!$D$3,"25-34",A1026 &lt;= ASSUMPTIONS!$D$4, "35-44",A1026 &lt;= ASSUMPTIONS!$D$5,"45-54",TRUE,"55+")</f>
        <v>45-54</v>
      </c>
      <c r="P1026" t="str" cm="1">
        <f t="array" ref="P1026">_xlfn.IFS( J1026 &lt;ASSUMPTIONS!$D$7,"LOW",J1026 &lt;= ASSUMPTIONS!$D$8,"MEDIUM",TRUE, "HIGH")</f>
        <v>HIGH</v>
      </c>
      <c r="Q1026" t="str">
        <f>IF(M1026&lt;ASSUMPTIONS!$D$10,"New (0-2)",IF(M1026&lt;=ASSUMPTIONS!$D$11,"Early (2-5)",IF(M1026&lt;=ASSUMPTIONS!$D$12,"Established (5-10)","Veteran (10+)")))</f>
        <v>Veteran (10+)</v>
      </c>
      <c r="R1026" s="4">
        <f t="shared" si="31"/>
        <v>2.6666666666666665</v>
      </c>
    </row>
    <row r="1027" spans="1:18">
      <c r="A1027">
        <f>RAW_DATA!A1027</f>
        <v>24</v>
      </c>
      <c r="B1027" t="str">
        <f>RAW_DATA!B1027</f>
        <v>No</v>
      </c>
      <c r="C1027" t="str">
        <f>RAW_DATA!C1027</f>
        <v>Sales</v>
      </c>
      <c r="D1027">
        <f>RAW_DATA!D1027</f>
        <v>4</v>
      </c>
      <c r="E1027">
        <f>RAW_DATA!E1027</f>
        <v>1</v>
      </c>
      <c r="F1027" t="str">
        <f>RAW_DATA!F1027</f>
        <v>Medical</v>
      </c>
      <c r="G1027">
        <f>RAW_DATA!G1027</f>
        <v>4</v>
      </c>
      <c r="H1027">
        <f>RAW_DATA!H1027</f>
        <v>3</v>
      </c>
      <c r="I1027" t="str">
        <f>RAW_DATA!I1027</f>
        <v>Married</v>
      </c>
      <c r="J1027">
        <f>RAW_DATA!J1027</f>
        <v>4162</v>
      </c>
      <c r="K1027">
        <f>RAW_DATA!K1027</f>
        <v>1</v>
      </c>
      <c r="L1027">
        <f>RAW_DATA!L1027</f>
        <v>3</v>
      </c>
      <c r="M1027">
        <f>RAW_DATA!M1027</f>
        <v>5</v>
      </c>
      <c r="N1027">
        <f t="shared" ref="N1027:N1090" si="32" xml:space="preserve"> IF(B1027 ="Yes",1,0)</f>
        <v>0</v>
      </c>
      <c r="O1027" t="str" cm="1">
        <f t="array" ref="O1027" xml:space="preserve"> _xlfn.IFS(A1027 &lt;ASSUMPTIONS!$D$2,"25",A1027 &lt;= ASSUMPTIONS!$D$3,"25-34",A1027 &lt;= ASSUMPTIONS!$D$4, "35-44",A1027 &lt;= ASSUMPTIONS!$D$5,"45-54",TRUE,"55+")</f>
        <v>25</v>
      </c>
      <c r="P1027" t="str" cm="1">
        <f t="array" ref="P1027">_xlfn.IFS( J1027 &lt;ASSUMPTIONS!$D$7,"LOW",J1027 &lt;= ASSUMPTIONS!$D$8,"MEDIUM",TRUE, "HIGH")</f>
        <v>MEDIUM</v>
      </c>
      <c r="Q1027" t="str">
        <f>IF(M1027&lt;ASSUMPTIONS!$D$10,"New (0-2)",IF(M1027&lt;=ASSUMPTIONS!$D$11,"Early (2-5)",IF(M1027&lt;=ASSUMPTIONS!$D$12,"Established (5-10)","Veteran (10+)")))</f>
        <v>Early (2-5)</v>
      </c>
      <c r="R1027" s="4">
        <f t="shared" ref="R1027:R1090" si="33">AVERAGE(G1027,H1027,L1027)</f>
        <v>3.3333333333333335</v>
      </c>
    </row>
    <row r="1028" spans="1:18">
      <c r="A1028">
        <f>RAW_DATA!A1028</f>
        <v>32</v>
      </c>
      <c r="B1028" t="str">
        <f>RAW_DATA!B1028</f>
        <v>No</v>
      </c>
      <c r="C1028" t="str">
        <f>RAW_DATA!C1028</f>
        <v>Sales</v>
      </c>
      <c r="D1028">
        <f>RAW_DATA!D1028</f>
        <v>7</v>
      </c>
      <c r="E1028">
        <f>RAW_DATA!E1028</f>
        <v>5</v>
      </c>
      <c r="F1028" t="str">
        <f>RAW_DATA!F1028</f>
        <v>Marketing</v>
      </c>
      <c r="G1028">
        <f>RAW_DATA!G1028</f>
        <v>4</v>
      </c>
      <c r="H1028">
        <f>RAW_DATA!H1028</f>
        <v>4</v>
      </c>
      <c r="I1028" t="str">
        <f>RAW_DATA!I1028</f>
        <v>Married</v>
      </c>
      <c r="J1028">
        <f>RAW_DATA!J1028</f>
        <v>9204</v>
      </c>
      <c r="K1028">
        <f>RAW_DATA!K1028</f>
        <v>4</v>
      </c>
      <c r="L1028">
        <f>RAW_DATA!L1028</f>
        <v>2</v>
      </c>
      <c r="M1028">
        <f>RAW_DATA!M1028</f>
        <v>4</v>
      </c>
      <c r="N1028">
        <f t="shared" si="32"/>
        <v>0</v>
      </c>
      <c r="O1028" t="str" cm="1">
        <f t="array" ref="O1028" xml:space="preserve"> _xlfn.IFS(A1028 &lt;ASSUMPTIONS!$D$2,"25",A1028 &lt;= ASSUMPTIONS!$D$3,"25-34",A1028 &lt;= ASSUMPTIONS!$D$4, "35-44",A1028 &lt;= ASSUMPTIONS!$D$5,"45-54",TRUE,"55+")</f>
        <v>25-34</v>
      </c>
      <c r="P1028" t="str" cm="1">
        <f t="array" ref="P1028">_xlfn.IFS( J1028 &lt;ASSUMPTIONS!$D$7,"LOW",J1028 &lt;= ASSUMPTIONS!$D$8,"MEDIUM",TRUE, "HIGH")</f>
        <v>HIGH</v>
      </c>
      <c r="Q1028" t="str">
        <f>IF(M1028&lt;ASSUMPTIONS!$D$10,"New (0-2)",IF(M1028&lt;=ASSUMPTIONS!$D$11,"Early (2-5)",IF(M1028&lt;=ASSUMPTIONS!$D$12,"Established (5-10)","Veteran (10+)")))</f>
        <v>Early (2-5)</v>
      </c>
      <c r="R1028" s="4">
        <f t="shared" si="33"/>
        <v>3.3333333333333335</v>
      </c>
    </row>
    <row r="1029" spans="1:18">
      <c r="A1029">
        <f>RAW_DATA!A1029</f>
        <v>34</v>
      </c>
      <c r="B1029" t="str">
        <f>RAW_DATA!B1029</f>
        <v>No</v>
      </c>
      <c r="C1029" t="str">
        <f>RAW_DATA!C1029</f>
        <v>Research &amp; Development</v>
      </c>
      <c r="D1029">
        <f>RAW_DATA!D1029</f>
        <v>1</v>
      </c>
      <c r="E1029">
        <f>RAW_DATA!E1029</f>
        <v>3</v>
      </c>
      <c r="F1029" t="str">
        <f>RAW_DATA!F1029</f>
        <v>Life Sciences</v>
      </c>
      <c r="G1029">
        <f>RAW_DATA!G1029</f>
        <v>4</v>
      </c>
      <c r="H1029">
        <f>RAW_DATA!H1029</f>
        <v>2</v>
      </c>
      <c r="I1029" t="str">
        <f>RAW_DATA!I1029</f>
        <v>Married</v>
      </c>
      <c r="J1029">
        <f>RAW_DATA!J1029</f>
        <v>3294</v>
      </c>
      <c r="K1029">
        <f>RAW_DATA!K1029</f>
        <v>5</v>
      </c>
      <c r="L1029">
        <f>RAW_DATA!L1029</f>
        <v>2</v>
      </c>
      <c r="M1029">
        <f>RAW_DATA!M1029</f>
        <v>5</v>
      </c>
      <c r="N1029">
        <f t="shared" si="32"/>
        <v>0</v>
      </c>
      <c r="O1029" t="str" cm="1">
        <f t="array" ref="O1029" xml:space="preserve"> _xlfn.IFS(A1029 &lt;ASSUMPTIONS!$D$2,"25",A1029 &lt;= ASSUMPTIONS!$D$3,"25-34",A1029 &lt;= ASSUMPTIONS!$D$4, "35-44",A1029 &lt;= ASSUMPTIONS!$D$5,"45-54",TRUE,"55+")</f>
        <v>25-34</v>
      </c>
      <c r="P1029" t="str" cm="1">
        <f t="array" ref="P1029">_xlfn.IFS( J1029 &lt;ASSUMPTIONS!$D$7,"LOW",J1029 &lt;= ASSUMPTIONS!$D$8,"MEDIUM",TRUE, "HIGH")</f>
        <v>MEDIUM</v>
      </c>
      <c r="Q1029" t="str">
        <f>IF(M1029&lt;ASSUMPTIONS!$D$10,"New (0-2)",IF(M1029&lt;=ASSUMPTIONS!$D$11,"Early (2-5)",IF(M1029&lt;=ASSUMPTIONS!$D$12,"Established (5-10)","Veteran (10+)")))</f>
        <v>Early (2-5)</v>
      </c>
      <c r="R1029" s="4">
        <f t="shared" si="33"/>
        <v>2.6666666666666665</v>
      </c>
    </row>
    <row r="1030" spans="1:18">
      <c r="A1030">
        <f>RAW_DATA!A1030</f>
        <v>41</v>
      </c>
      <c r="B1030" t="str">
        <f>RAW_DATA!B1030</f>
        <v>No</v>
      </c>
      <c r="C1030" t="str">
        <f>RAW_DATA!C1030</f>
        <v>Research &amp; Development</v>
      </c>
      <c r="D1030">
        <f>RAW_DATA!D1030</f>
        <v>5</v>
      </c>
      <c r="E1030">
        <f>RAW_DATA!E1030</f>
        <v>5</v>
      </c>
      <c r="F1030" t="str">
        <f>RAW_DATA!F1030</f>
        <v>Medical</v>
      </c>
      <c r="G1030">
        <f>RAW_DATA!G1030</f>
        <v>2</v>
      </c>
      <c r="H1030">
        <f>RAW_DATA!H1030</f>
        <v>3</v>
      </c>
      <c r="I1030" t="str">
        <f>RAW_DATA!I1030</f>
        <v>Married</v>
      </c>
      <c r="J1030">
        <f>RAW_DATA!J1030</f>
        <v>2127</v>
      </c>
      <c r="K1030">
        <f>RAW_DATA!K1030</f>
        <v>2</v>
      </c>
      <c r="L1030">
        <f>RAW_DATA!L1030</f>
        <v>2</v>
      </c>
      <c r="M1030">
        <f>RAW_DATA!M1030</f>
        <v>4</v>
      </c>
      <c r="N1030">
        <f t="shared" si="32"/>
        <v>0</v>
      </c>
      <c r="O1030" t="str" cm="1">
        <f t="array" ref="O1030" xml:space="preserve"> _xlfn.IFS(A1030 &lt;ASSUMPTIONS!$D$2,"25",A1030 &lt;= ASSUMPTIONS!$D$3,"25-34",A1030 &lt;= ASSUMPTIONS!$D$4, "35-44",A1030 &lt;= ASSUMPTIONS!$D$5,"45-54",TRUE,"55+")</f>
        <v>35-44</v>
      </c>
      <c r="P1030" t="str" cm="1">
        <f t="array" ref="P1030">_xlfn.IFS( J1030 &lt;ASSUMPTIONS!$D$7,"LOW",J1030 &lt;= ASSUMPTIONS!$D$8,"MEDIUM",TRUE, "HIGH")</f>
        <v>LOW</v>
      </c>
      <c r="Q1030" t="str">
        <f>IF(M1030&lt;ASSUMPTIONS!$D$10,"New (0-2)",IF(M1030&lt;=ASSUMPTIONS!$D$11,"Early (2-5)",IF(M1030&lt;=ASSUMPTIONS!$D$12,"Established (5-10)","Veteran (10+)")))</f>
        <v>Early (2-5)</v>
      </c>
      <c r="R1030" s="4">
        <f t="shared" si="33"/>
        <v>2.3333333333333335</v>
      </c>
    </row>
    <row r="1031" spans="1:18">
      <c r="A1031">
        <f>RAW_DATA!A1031</f>
        <v>40</v>
      </c>
      <c r="B1031" t="str">
        <f>RAW_DATA!B1031</f>
        <v>No</v>
      </c>
      <c r="C1031" t="str">
        <f>RAW_DATA!C1031</f>
        <v>Research &amp; Development</v>
      </c>
      <c r="D1031">
        <f>RAW_DATA!D1031</f>
        <v>9</v>
      </c>
      <c r="E1031">
        <f>RAW_DATA!E1031</f>
        <v>4</v>
      </c>
      <c r="F1031" t="str">
        <f>RAW_DATA!F1031</f>
        <v>Other</v>
      </c>
      <c r="G1031">
        <f>RAW_DATA!G1031</f>
        <v>3</v>
      </c>
      <c r="H1031">
        <f>RAW_DATA!H1031</f>
        <v>3</v>
      </c>
      <c r="I1031" t="str">
        <f>RAW_DATA!I1031</f>
        <v>Divorced</v>
      </c>
      <c r="J1031">
        <f>RAW_DATA!J1031</f>
        <v>3975</v>
      </c>
      <c r="K1031">
        <f>RAW_DATA!K1031</f>
        <v>3</v>
      </c>
      <c r="L1031">
        <f>RAW_DATA!L1031</f>
        <v>4</v>
      </c>
      <c r="M1031">
        <f>RAW_DATA!M1031</f>
        <v>8</v>
      </c>
      <c r="N1031">
        <f t="shared" si="32"/>
        <v>0</v>
      </c>
      <c r="O1031" t="str" cm="1">
        <f t="array" ref="O1031" xml:space="preserve"> _xlfn.IFS(A1031 &lt;ASSUMPTIONS!$D$2,"25",A1031 &lt;= ASSUMPTIONS!$D$3,"25-34",A1031 &lt;= ASSUMPTIONS!$D$4, "35-44",A1031 &lt;= ASSUMPTIONS!$D$5,"45-54",TRUE,"55+")</f>
        <v>35-44</v>
      </c>
      <c r="P1031" t="str" cm="1">
        <f t="array" ref="P1031">_xlfn.IFS( J1031 &lt;ASSUMPTIONS!$D$7,"LOW",J1031 &lt;= ASSUMPTIONS!$D$8,"MEDIUM",TRUE, "HIGH")</f>
        <v>MEDIUM</v>
      </c>
      <c r="Q1031" t="str">
        <f>IF(M1031&lt;ASSUMPTIONS!$D$10,"New (0-2)",IF(M1031&lt;=ASSUMPTIONS!$D$11,"Early (2-5)",IF(M1031&lt;=ASSUMPTIONS!$D$12,"Established (5-10)","Veteran (10+)")))</f>
        <v>Established (5-10)</v>
      </c>
      <c r="R1031" s="4">
        <f t="shared" si="33"/>
        <v>3.3333333333333335</v>
      </c>
    </row>
    <row r="1032" spans="1:18">
      <c r="A1032">
        <f>RAW_DATA!A1032</f>
        <v>31</v>
      </c>
      <c r="B1032" t="str">
        <f>RAW_DATA!B1032</f>
        <v>No</v>
      </c>
      <c r="C1032" t="str">
        <f>RAW_DATA!C1032</f>
        <v>Sales</v>
      </c>
      <c r="D1032">
        <f>RAW_DATA!D1032</f>
        <v>8</v>
      </c>
      <c r="E1032">
        <f>RAW_DATA!E1032</f>
        <v>2</v>
      </c>
      <c r="F1032" t="str">
        <f>RAW_DATA!F1032</f>
        <v>Life Sciences</v>
      </c>
      <c r="G1032">
        <f>RAW_DATA!G1032</f>
        <v>1</v>
      </c>
      <c r="H1032">
        <f>RAW_DATA!H1032</f>
        <v>4</v>
      </c>
      <c r="I1032" t="str">
        <f>RAW_DATA!I1032</f>
        <v>Divorced</v>
      </c>
      <c r="J1032">
        <f>RAW_DATA!J1032</f>
        <v>10793</v>
      </c>
      <c r="K1032">
        <f>RAW_DATA!K1032</f>
        <v>1</v>
      </c>
      <c r="L1032">
        <f>RAW_DATA!L1032</f>
        <v>3</v>
      </c>
      <c r="M1032">
        <f>RAW_DATA!M1032</f>
        <v>13</v>
      </c>
      <c r="N1032">
        <f t="shared" si="32"/>
        <v>0</v>
      </c>
      <c r="O1032" t="str" cm="1">
        <f t="array" ref="O1032" xml:space="preserve"> _xlfn.IFS(A1032 &lt;ASSUMPTIONS!$D$2,"25",A1032 &lt;= ASSUMPTIONS!$D$3,"25-34",A1032 &lt;= ASSUMPTIONS!$D$4, "35-44",A1032 &lt;= ASSUMPTIONS!$D$5,"45-54",TRUE,"55+")</f>
        <v>25-34</v>
      </c>
      <c r="P1032" t="str" cm="1">
        <f t="array" ref="P1032">_xlfn.IFS( J1032 &lt;ASSUMPTIONS!$D$7,"LOW",J1032 &lt;= ASSUMPTIONS!$D$8,"MEDIUM",TRUE, "HIGH")</f>
        <v>HIGH</v>
      </c>
      <c r="Q1032" t="str">
        <f>IF(M1032&lt;ASSUMPTIONS!$D$10,"New (0-2)",IF(M1032&lt;=ASSUMPTIONS!$D$11,"Early (2-5)",IF(M1032&lt;=ASSUMPTIONS!$D$12,"Established (5-10)","Veteran (10+)")))</f>
        <v>Veteran (10+)</v>
      </c>
      <c r="R1032" s="4">
        <f t="shared" si="33"/>
        <v>2.6666666666666665</v>
      </c>
    </row>
    <row r="1033" spans="1:18">
      <c r="A1033">
        <f>RAW_DATA!A1033</f>
        <v>46</v>
      </c>
      <c r="B1033" t="str">
        <f>RAW_DATA!B1033</f>
        <v>Yes</v>
      </c>
      <c r="C1033" t="str">
        <f>RAW_DATA!C1033</f>
        <v>Sales</v>
      </c>
      <c r="D1033">
        <f>RAW_DATA!D1033</f>
        <v>9</v>
      </c>
      <c r="E1033">
        <f>RAW_DATA!E1033</f>
        <v>3</v>
      </c>
      <c r="F1033" t="str">
        <f>RAW_DATA!F1033</f>
        <v>Marketing</v>
      </c>
      <c r="G1033">
        <f>RAW_DATA!G1033</f>
        <v>1</v>
      </c>
      <c r="H1033">
        <f>RAW_DATA!H1033</f>
        <v>4</v>
      </c>
      <c r="I1033" t="str">
        <f>RAW_DATA!I1033</f>
        <v>Divorced</v>
      </c>
      <c r="J1033">
        <f>RAW_DATA!J1033</f>
        <v>10096</v>
      </c>
      <c r="K1033">
        <f>RAW_DATA!K1033</f>
        <v>4</v>
      </c>
      <c r="L1033">
        <f>RAW_DATA!L1033</f>
        <v>4</v>
      </c>
      <c r="M1033">
        <f>RAW_DATA!M1033</f>
        <v>7</v>
      </c>
      <c r="N1033">
        <f t="shared" si="32"/>
        <v>1</v>
      </c>
      <c r="O1033" t="str" cm="1">
        <f t="array" ref="O1033" xml:space="preserve"> _xlfn.IFS(A1033 &lt;ASSUMPTIONS!$D$2,"25",A1033 &lt;= ASSUMPTIONS!$D$3,"25-34",A1033 &lt;= ASSUMPTIONS!$D$4, "35-44",A1033 &lt;= ASSUMPTIONS!$D$5,"45-54",TRUE,"55+")</f>
        <v>45-54</v>
      </c>
      <c r="P1033" t="str" cm="1">
        <f t="array" ref="P1033">_xlfn.IFS( J1033 &lt;ASSUMPTIONS!$D$7,"LOW",J1033 &lt;= ASSUMPTIONS!$D$8,"MEDIUM",TRUE, "HIGH")</f>
        <v>HIGH</v>
      </c>
      <c r="Q1033" t="str">
        <f>IF(M1033&lt;ASSUMPTIONS!$D$10,"New (0-2)",IF(M1033&lt;=ASSUMPTIONS!$D$11,"Early (2-5)",IF(M1033&lt;=ASSUMPTIONS!$D$12,"Established (5-10)","Veteran (10+)")))</f>
        <v>Established (5-10)</v>
      </c>
      <c r="R1033" s="4">
        <f t="shared" si="33"/>
        <v>3</v>
      </c>
    </row>
    <row r="1034" spans="1:18">
      <c r="A1034">
        <f>RAW_DATA!A1034</f>
        <v>39</v>
      </c>
      <c r="B1034" t="str">
        <f>RAW_DATA!B1034</f>
        <v>Yes</v>
      </c>
      <c r="C1034" t="str">
        <f>RAW_DATA!C1034</f>
        <v>Research &amp; Development</v>
      </c>
      <c r="D1034">
        <f>RAW_DATA!D1034</f>
        <v>2</v>
      </c>
      <c r="E1034">
        <f>RAW_DATA!E1034</f>
        <v>3</v>
      </c>
      <c r="F1034" t="str">
        <f>RAW_DATA!F1034</f>
        <v>Life Sciences</v>
      </c>
      <c r="G1034">
        <f>RAW_DATA!G1034</f>
        <v>1</v>
      </c>
      <c r="H1034">
        <f>RAW_DATA!H1034</f>
        <v>1</v>
      </c>
      <c r="I1034" t="str">
        <f>RAW_DATA!I1034</f>
        <v>Single</v>
      </c>
      <c r="J1034">
        <f>RAW_DATA!J1034</f>
        <v>3646</v>
      </c>
      <c r="K1034">
        <f>RAW_DATA!K1034</f>
        <v>2</v>
      </c>
      <c r="L1034">
        <f>RAW_DATA!L1034</f>
        <v>4</v>
      </c>
      <c r="M1034">
        <f>RAW_DATA!M1034</f>
        <v>1</v>
      </c>
      <c r="N1034">
        <f t="shared" si="32"/>
        <v>1</v>
      </c>
      <c r="O1034" t="str" cm="1">
        <f t="array" ref="O1034" xml:space="preserve"> _xlfn.IFS(A1034 &lt;ASSUMPTIONS!$D$2,"25",A1034 &lt;= ASSUMPTIONS!$D$3,"25-34",A1034 &lt;= ASSUMPTIONS!$D$4, "35-44",A1034 &lt;= ASSUMPTIONS!$D$5,"45-54",TRUE,"55+")</f>
        <v>35-44</v>
      </c>
      <c r="P1034" t="str" cm="1">
        <f t="array" ref="P1034">_xlfn.IFS( J1034 &lt;ASSUMPTIONS!$D$7,"LOW",J1034 &lt;= ASSUMPTIONS!$D$8,"MEDIUM",TRUE, "HIGH")</f>
        <v>MEDIUM</v>
      </c>
      <c r="Q1034" t="str">
        <f>IF(M1034&lt;ASSUMPTIONS!$D$10,"New (0-2)",IF(M1034&lt;=ASSUMPTIONS!$D$11,"Early (2-5)",IF(M1034&lt;=ASSUMPTIONS!$D$12,"Established (5-10)","Veteran (10+)")))</f>
        <v>New (0-2)</v>
      </c>
      <c r="R1034" s="4">
        <f t="shared" si="33"/>
        <v>2</v>
      </c>
    </row>
    <row r="1035" spans="1:18">
      <c r="A1035">
        <f>RAW_DATA!A1035</f>
        <v>31</v>
      </c>
      <c r="B1035" t="str">
        <f>RAW_DATA!B1035</f>
        <v>Yes</v>
      </c>
      <c r="C1035" t="str">
        <f>RAW_DATA!C1035</f>
        <v>Research &amp; Development</v>
      </c>
      <c r="D1035">
        <f>RAW_DATA!D1035</f>
        <v>1</v>
      </c>
      <c r="E1035">
        <f>RAW_DATA!E1035</f>
        <v>5</v>
      </c>
      <c r="F1035" t="str">
        <f>RAW_DATA!F1035</f>
        <v>Life Sciences</v>
      </c>
      <c r="G1035">
        <f>RAW_DATA!G1035</f>
        <v>3</v>
      </c>
      <c r="H1035">
        <f>RAW_DATA!H1035</f>
        <v>2</v>
      </c>
      <c r="I1035" t="str">
        <f>RAW_DATA!I1035</f>
        <v>Single</v>
      </c>
      <c r="J1035">
        <f>RAW_DATA!J1035</f>
        <v>7446</v>
      </c>
      <c r="K1035">
        <f>RAW_DATA!K1035</f>
        <v>1</v>
      </c>
      <c r="L1035">
        <f>RAW_DATA!L1035</f>
        <v>3</v>
      </c>
      <c r="M1035">
        <f>RAW_DATA!M1035</f>
        <v>10</v>
      </c>
      <c r="N1035">
        <f t="shared" si="32"/>
        <v>1</v>
      </c>
      <c r="O1035" t="str" cm="1">
        <f t="array" ref="O1035" xml:space="preserve"> _xlfn.IFS(A1035 &lt;ASSUMPTIONS!$D$2,"25",A1035 &lt;= ASSUMPTIONS!$D$3,"25-34",A1035 &lt;= ASSUMPTIONS!$D$4, "35-44",A1035 &lt;= ASSUMPTIONS!$D$5,"45-54",TRUE,"55+")</f>
        <v>25-34</v>
      </c>
      <c r="P1035" t="str" cm="1">
        <f t="array" ref="P1035">_xlfn.IFS( J1035 &lt;ASSUMPTIONS!$D$7,"LOW",J1035 &lt;= ASSUMPTIONS!$D$8,"MEDIUM",TRUE, "HIGH")</f>
        <v>HIGH</v>
      </c>
      <c r="Q1035" t="str">
        <f>IF(M1035&lt;ASSUMPTIONS!$D$10,"New (0-2)",IF(M1035&lt;=ASSUMPTIONS!$D$11,"Early (2-5)",IF(M1035&lt;=ASSUMPTIONS!$D$12,"Established (5-10)","Veteran (10+)")))</f>
        <v>Established (5-10)</v>
      </c>
      <c r="R1035" s="4">
        <f t="shared" si="33"/>
        <v>2.6666666666666665</v>
      </c>
    </row>
    <row r="1036" spans="1:18">
      <c r="A1036">
        <f>RAW_DATA!A1036</f>
        <v>45</v>
      </c>
      <c r="B1036" t="str">
        <f>RAW_DATA!B1036</f>
        <v>No</v>
      </c>
      <c r="C1036" t="str">
        <f>RAW_DATA!C1036</f>
        <v>Research &amp; Development</v>
      </c>
      <c r="D1036">
        <f>RAW_DATA!D1036</f>
        <v>20</v>
      </c>
      <c r="E1036">
        <f>RAW_DATA!E1036</f>
        <v>3</v>
      </c>
      <c r="F1036" t="str">
        <f>RAW_DATA!F1036</f>
        <v>Medical</v>
      </c>
      <c r="G1036">
        <f>RAW_DATA!G1036</f>
        <v>2</v>
      </c>
      <c r="H1036">
        <f>RAW_DATA!H1036</f>
        <v>1</v>
      </c>
      <c r="I1036" t="str">
        <f>RAW_DATA!I1036</f>
        <v>Divorced</v>
      </c>
      <c r="J1036">
        <f>RAW_DATA!J1036</f>
        <v>10851</v>
      </c>
      <c r="K1036">
        <f>RAW_DATA!K1036</f>
        <v>2</v>
      </c>
      <c r="L1036">
        <f>RAW_DATA!L1036</f>
        <v>3</v>
      </c>
      <c r="M1036">
        <f>RAW_DATA!M1036</f>
        <v>7</v>
      </c>
      <c r="N1036">
        <f t="shared" si="32"/>
        <v>0</v>
      </c>
      <c r="O1036" t="str" cm="1">
        <f t="array" ref="O1036" xml:space="preserve"> _xlfn.IFS(A1036 &lt;ASSUMPTIONS!$D$2,"25",A1036 &lt;= ASSUMPTIONS!$D$3,"25-34",A1036 &lt;= ASSUMPTIONS!$D$4, "35-44",A1036 &lt;= ASSUMPTIONS!$D$5,"45-54",TRUE,"55+")</f>
        <v>45-54</v>
      </c>
      <c r="P1036" t="str" cm="1">
        <f t="array" ref="P1036">_xlfn.IFS( J1036 &lt;ASSUMPTIONS!$D$7,"LOW",J1036 &lt;= ASSUMPTIONS!$D$8,"MEDIUM",TRUE, "HIGH")</f>
        <v>HIGH</v>
      </c>
      <c r="Q1036" t="str">
        <f>IF(M1036&lt;ASSUMPTIONS!$D$10,"New (0-2)",IF(M1036&lt;=ASSUMPTIONS!$D$11,"Early (2-5)",IF(M1036&lt;=ASSUMPTIONS!$D$12,"Established (5-10)","Veteran (10+)")))</f>
        <v>Established (5-10)</v>
      </c>
      <c r="R1036" s="4">
        <f t="shared" si="33"/>
        <v>2</v>
      </c>
    </row>
    <row r="1037" spans="1:18">
      <c r="A1037">
        <f>RAW_DATA!A1037</f>
        <v>31</v>
      </c>
      <c r="B1037" t="str">
        <f>RAW_DATA!B1037</f>
        <v>No</v>
      </c>
      <c r="C1037" t="str">
        <f>RAW_DATA!C1037</f>
        <v>Human Resources</v>
      </c>
      <c r="D1037">
        <f>RAW_DATA!D1037</f>
        <v>8</v>
      </c>
      <c r="E1037">
        <f>RAW_DATA!E1037</f>
        <v>2</v>
      </c>
      <c r="F1037" t="str">
        <f>RAW_DATA!F1037</f>
        <v>Medical</v>
      </c>
      <c r="G1037">
        <f>RAW_DATA!G1037</f>
        <v>4</v>
      </c>
      <c r="H1037">
        <f>RAW_DATA!H1037</f>
        <v>2</v>
      </c>
      <c r="I1037" t="str">
        <f>RAW_DATA!I1037</f>
        <v>Single</v>
      </c>
      <c r="J1037">
        <f>RAW_DATA!J1037</f>
        <v>2109</v>
      </c>
      <c r="K1037">
        <f>RAW_DATA!K1037</f>
        <v>9</v>
      </c>
      <c r="L1037">
        <f>RAW_DATA!L1037</f>
        <v>3</v>
      </c>
      <c r="M1037">
        <f>RAW_DATA!M1037</f>
        <v>3</v>
      </c>
      <c r="N1037">
        <f t="shared" si="32"/>
        <v>0</v>
      </c>
      <c r="O1037" t="str" cm="1">
        <f t="array" ref="O1037" xml:space="preserve"> _xlfn.IFS(A1037 &lt;ASSUMPTIONS!$D$2,"25",A1037 &lt;= ASSUMPTIONS!$D$3,"25-34",A1037 &lt;= ASSUMPTIONS!$D$4, "35-44",A1037 &lt;= ASSUMPTIONS!$D$5,"45-54",TRUE,"55+")</f>
        <v>25-34</v>
      </c>
      <c r="P1037" t="str" cm="1">
        <f t="array" ref="P1037">_xlfn.IFS( J1037 &lt;ASSUMPTIONS!$D$7,"LOW",J1037 &lt;= ASSUMPTIONS!$D$8,"MEDIUM",TRUE, "HIGH")</f>
        <v>LOW</v>
      </c>
      <c r="Q1037" t="str">
        <f>IF(M1037&lt;ASSUMPTIONS!$D$10,"New (0-2)",IF(M1037&lt;=ASSUMPTIONS!$D$11,"Early (2-5)",IF(M1037&lt;=ASSUMPTIONS!$D$12,"Established (5-10)","Veteran (10+)")))</f>
        <v>Early (2-5)</v>
      </c>
      <c r="R1037" s="4">
        <f t="shared" si="33"/>
        <v>3</v>
      </c>
    </row>
    <row r="1038" spans="1:18">
      <c r="A1038">
        <f>RAW_DATA!A1038</f>
        <v>31</v>
      </c>
      <c r="B1038" t="str">
        <f>RAW_DATA!B1038</f>
        <v>Yes</v>
      </c>
      <c r="C1038" t="str">
        <f>RAW_DATA!C1038</f>
        <v>Research &amp; Development</v>
      </c>
      <c r="D1038">
        <f>RAW_DATA!D1038</f>
        <v>2</v>
      </c>
      <c r="E1038">
        <f>RAW_DATA!E1038</f>
        <v>3</v>
      </c>
      <c r="F1038" t="str">
        <f>RAW_DATA!F1038</f>
        <v>Life Sciences</v>
      </c>
      <c r="G1038">
        <f>RAW_DATA!G1038</f>
        <v>2</v>
      </c>
      <c r="H1038">
        <f>RAW_DATA!H1038</f>
        <v>4</v>
      </c>
      <c r="I1038" t="str">
        <f>RAW_DATA!I1038</f>
        <v>Married</v>
      </c>
      <c r="J1038">
        <f>RAW_DATA!J1038</f>
        <v>3722</v>
      </c>
      <c r="K1038">
        <f>RAW_DATA!K1038</f>
        <v>6</v>
      </c>
      <c r="L1038">
        <f>RAW_DATA!L1038</f>
        <v>1</v>
      </c>
      <c r="M1038">
        <f>RAW_DATA!M1038</f>
        <v>2</v>
      </c>
      <c r="N1038">
        <f t="shared" si="32"/>
        <v>1</v>
      </c>
      <c r="O1038" t="str" cm="1">
        <f t="array" ref="O1038" xml:space="preserve"> _xlfn.IFS(A1038 &lt;ASSUMPTIONS!$D$2,"25",A1038 &lt;= ASSUMPTIONS!$D$3,"25-34",A1038 &lt;= ASSUMPTIONS!$D$4, "35-44",A1038 &lt;= ASSUMPTIONS!$D$5,"45-54",TRUE,"55+")</f>
        <v>25-34</v>
      </c>
      <c r="P1038" t="str" cm="1">
        <f t="array" ref="P1038">_xlfn.IFS( J1038 &lt;ASSUMPTIONS!$D$7,"LOW",J1038 &lt;= ASSUMPTIONS!$D$8,"MEDIUM",TRUE, "HIGH")</f>
        <v>MEDIUM</v>
      </c>
      <c r="Q1038" t="str">
        <f>IF(M1038&lt;ASSUMPTIONS!$D$10,"New (0-2)",IF(M1038&lt;=ASSUMPTIONS!$D$11,"Early (2-5)",IF(M1038&lt;=ASSUMPTIONS!$D$12,"Established (5-10)","Veteran (10+)")))</f>
        <v>Early (2-5)</v>
      </c>
      <c r="R1038" s="4">
        <f t="shared" si="33"/>
        <v>2.3333333333333335</v>
      </c>
    </row>
    <row r="1039" spans="1:18">
      <c r="A1039">
        <f>RAW_DATA!A1039</f>
        <v>45</v>
      </c>
      <c r="B1039" t="str">
        <f>RAW_DATA!B1039</f>
        <v>No</v>
      </c>
      <c r="C1039" t="str">
        <f>RAW_DATA!C1039</f>
        <v>Research &amp; Development</v>
      </c>
      <c r="D1039">
        <f>RAW_DATA!D1039</f>
        <v>29</v>
      </c>
      <c r="E1039">
        <f>RAW_DATA!E1039</f>
        <v>3</v>
      </c>
      <c r="F1039" t="str">
        <f>RAW_DATA!F1039</f>
        <v>Technical Degree</v>
      </c>
      <c r="G1039">
        <f>RAW_DATA!G1039</f>
        <v>2</v>
      </c>
      <c r="H1039">
        <f>RAW_DATA!H1039</f>
        <v>4</v>
      </c>
      <c r="I1039" t="str">
        <f>RAW_DATA!I1039</f>
        <v>Married</v>
      </c>
      <c r="J1039">
        <f>RAW_DATA!J1039</f>
        <v>9380</v>
      </c>
      <c r="K1039">
        <f>RAW_DATA!K1039</f>
        <v>4</v>
      </c>
      <c r="L1039">
        <f>RAW_DATA!L1039</f>
        <v>4</v>
      </c>
      <c r="M1039">
        <f>RAW_DATA!M1039</f>
        <v>3</v>
      </c>
      <c r="N1039">
        <f t="shared" si="32"/>
        <v>0</v>
      </c>
      <c r="O1039" t="str" cm="1">
        <f t="array" ref="O1039" xml:space="preserve"> _xlfn.IFS(A1039 &lt;ASSUMPTIONS!$D$2,"25",A1039 &lt;= ASSUMPTIONS!$D$3,"25-34",A1039 &lt;= ASSUMPTIONS!$D$4, "35-44",A1039 &lt;= ASSUMPTIONS!$D$5,"45-54",TRUE,"55+")</f>
        <v>45-54</v>
      </c>
      <c r="P1039" t="str" cm="1">
        <f t="array" ref="P1039">_xlfn.IFS( J1039 &lt;ASSUMPTIONS!$D$7,"LOW",J1039 &lt;= ASSUMPTIONS!$D$8,"MEDIUM",TRUE, "HIGH")</f>
        <v>HIGH</v>
      </c>
      <c r="Q1039" t="str">
        <f>IF(M1039&lt;ASSUMPTIONS!$D$10,"New (0-2)",IF(M1039&lt;=ASSUMPTIONS!$D$11,"Early (2-5)",IF(M1039&lt;=ASSUMPTIONS!$D$12,"Established (5-10)","Veteran (10+)")))</f>
        <v>Early (2-5)</v>
      </c>
      <c r="R1039" s="4">
        <f t="shared" si="33"/>
        <v>3.3333333333333335</v>
      </c>
    </row>
    <row r="1040" spans="1:18">
      <c r="A1040">
        <f>RAW_DATA!A1040</f>
        <v>48</v>
      </c>
      <c r="B1040" t="str">
        <f>RAW_DATA!B1040</f>
        <v>No</v>
      </c>
      <c r="C1040" t="str">
        <f>RAW_DATA!C1040</f>
        <v>Sales</v>
      </c>
      <c r="D1040">
        <f>RAW_DATA!D1040</f>
        <v>7</v>
      </c>
      <c r="E1040">
        <f>RAW_DATA!E1040</f>
        <v>3</v>
      </c>
      <c r="F1040" t="str">
        <f>RAW_DATA!F1040</f>
        <v>Marketing</v>
      </c>
      <c r="G1040">
        <f>RAW_DATA!G1040</f>
        <v>3</v>
      </c>
      <c r="H1040">
        <f>RAW_DATA!H1040</f>
        <v>1</v>
      </c>
      <c r="I1040" t="str">
        <f>RAW_DATA!I1040</f>
        <v>Divorced</v>
      </c>
      <c r="J1040">
        <f>RAW_DATA!J1040</f>
        <v>5486</v>
      </c>
      <c r="K1040">
        <f>RAW_DATA!K1040</f>
        <v>4</v>
      </c>
      <c r="L1040">
        <f>RAW_DATA!L1040</f>
        <v>3</v>
      </c>
      <c r="M1040">
        <f>RAW_DATA!M1040</f>
        <v>2</v>
      </c>
      <c r="N1040">
        <f t="shared" si="32"/>
        <v>0</v>
      </c>
      <c r="O1040" t="str" cm="1">
        <f t="array" ref="O1040" xml:space="preserve"> _xlfn.IFS(A1040 &lt;ASSUMPTIONS!$D$2,"25",A1040 &lt;= ASSUMPTIONS!$D$3,"25-34",A1040 &lt;= ASSUMPTIONS!$D$4, "35-44",A1040 &lt;= ASSUMPTIONS!$D$5,"45-54",TRUE,"55+")</f>
        <v>45-54</v>
      </c>
      <c r="P1040" t="str" cm="1">
        <f t="array" ref="P1040">_xlfn.IFS( J1040 &lt;ASSUMPTIONS!$D$7,"LOW",J1040 &lt;= ASSUMPTIONS!$D$8,"MEDIUM",TRUE, "HIGH")</f>
        <v>MEDIUM</v>
      </c>
      <c r="Q1040" t="str">
        <f>IF(M1040&lt;ASSUMPTIONS!$D$10,"New (0-2)",IF(M1040&lt;=ASSUMPTIONS!$D$11,"Early (2-5)",IF(M1040&lt;=ASSUMPTIONS!$D$12,"Established (5-10)","Veteran (10+)")))</f>
        <v>Early (2-5)</v>
      </c>
      <c r="R1040" s="4">
        <f t="shared" si="33"/>
        <v>2.3333333333333335</v>
      </c>
    </row>
    <row r="1041" spans="1:18">
      <c r="A1041">
        <f>RAW_DATA!A1041</f>
        <v>34</v>
      </c>
      <c r="B1041" t="str">
        <f>RAW_DATA!B1041</f>
        <v>Yes</v>
      </c>
      <c r="C1041" t="str">
        <f>RAW_DATA!C1041</f>
        <v>Human Resources</v>
      </c>
      <c r="D1041">
        <f>RAW_DATA!D1041</f>
        <v>9</v>
      </c>
      <c r="E1041">
        <f>RAW_DATA!E1041</f>
        <v>4</v>
      </c>
      <c r="F1041" t="str">
        <f>RAW_DATA!F1041</f>
        <v>Technical Degree</v>
      </c>
      <c r="G1041">
        <f>RAW_DATA!G1041</f>
        <v>1</v>
      </c>
      <c r="H1041">
        <f>RAW_DATA!H1041</f>
        <v>3</v>
      </c>
      <c r="I1041" t="str">
        <f>RAW_DATA!I1041</f>
        <v>Married</v>
      </c>
      <c r="J1041">
        <f>RAW_DATA!J1041</f>
        <v>2742</v>
      </c>
      <c r="K1041">
        <f>RAW_DATA!K1041</f>
        <v>1</v>
      </c>
      <c r="L1041">
        <f>RAW_DATA!L1041</f>
        <v>3</v>
      </c>
      <c r="M1041">
        <f>RAW_DATA!M1041</f>
        <v>2</v>
      </c>
      <c r="N1041">
        <f t="shared" si="32"/>
        <v>1</v>
      </c>
      <c r="O1041" t="str" cm="1">
        <f t="array" ref="O1041" xml:space="preserve"> _xlfn.IFS(A1041 &lt;ASSUMPTIONS!$D$2,"25",A1041 &lt;= ASSUMPTIONS!$D$3,"25-34",A1041 &lt;= ASSUMPTIONS!$D$4, "35-44",A1041 &lt;= ASSUMPTIONS!$D$5,"45-54",TRUE,"55+")</f>
        <v>25-34</v>
      </c>
      <c r="P1041" t="str" cm="1">
        <f t="array" ref="P1041">_xlfn.IFS( J1041 &lt;ASSUMPTIONS!$D$7,"LOW",J1041 &lt;= ASSUMPTIONS!$D$8,"MEDIUM",TRUE, "HIGH")</f>
        <v>LOW</v>
      </c>
      <c r="Q1041" t="str">
        <f>IF(M1041&lt;ASSUMPTIONS!$D$10,"New (0-2)",IF(M1041&lt;=ASSUMPTIONS!$D$11,"Early (2-5)",IF(M1041&lt;=ASSUMPTIONS!$D$12,"Established (5-10)","Veteran (10+)")))</f>
        <v>Early (2-5)</v>
      </c>
      <c r="R1041" s="4">
        <f t="shared" si="33"/>
        <v>2.3333333333333335</v>
      </c>
    </row>
    <row r="1042" spans="1:18">
      <c r="A1042">
        <f>RAW_DATA!A1042</f>
        <v>40</v>
      </c>
      <c r="B1042" t="str">
        <f>RAW_DATA!B1042</f>
        <v>No</v>
      </c>
      <c r="C1042" t="str">
        <f>RAW_DATA!C1042</f>
        <v>Research &amp; Development</v>
      </c>
      <c r="D1042">
        <f>RAW_DATA!D1042</f>
        <v>8</v>
      </c>
      <c r="E1042">
        <f>RAW_DATA!E1042</f>
        <v>1</v>
      </c>
      <c r="F1042" t="str">
        <f>RAW_DATA!F1042</f>
        <v>Medical</v>
      </c>
      <c r="G1042">
        <f>RAW_DATA!G1042</f>
        <v>4</v>
      </c>
      <c r="H1042">
        <f>RAW_DATA!H1042</f>
        <v>2</v>
      </c>
      <c r="I1042" t="str">
        <f>RAW_DATA!I1042</f>
        <v>Divorced</v>
      </c>
      <c r="J1042">
        <f>RAW_DATA!J1042</f>
        <v>13757</v>
      </c>
      <c r="K1042">
        <f>RAW_DATA!K1042</f>
        <v>2</v>
      </c>
      <c r="L1042">
        <f>RAW_DATA!L1042</f>
        <v>3</v>
      </c>
      <c r="M1042">
        <f>RAW_DATA!M1042</f>
        <v>9</v>
      </c>
      <c r="N1042">
        <f t="shared" si="32"/>
        <v>0</v>
      </c>
      <c r="O1042" t="str" cm="1">
        <f t="array" ref="O1042" xml:space="preserve"> _xlfn.IFS(A1042 &lt;ASSUMPTIONS!$D$2,"25",A1042 &lt;= ASSUMPTIONS!$D$3,"25-34",A1042 &lt;= ASSUMPTIONS!$D$4, "35-44",A1042 &lt;= ASSUMPTIONS!$D$5,"45-54",TRUE,"55+")</f>
        <v>35-44</v>
      </c>
      <c r="P1042" t="str" cm="1">
        <f t="array" ref="P1042">_xlfn.IFS( J1042 &lt;ASSUMPTIONS!$D$7,"LOW",J1042 &lt;= ASSUMPTIONS!$D$8,"MEDIUM",TRUE, "HIGH")</f>
        <v>HIGH</v>
      </c>
      <c r="Q1042" t="str">
        <f>IF(M1042&lt;ASSUMPTIONS!$D$10,"New (0-2)",IF(M1042&lt;=ASSUMPTIONS!$D$11,"Early (2-5)",IF(M1042&lt;=ASSUMPTIONS!$D$12,"Established (5-10)","Veteran (10+)")))</f>
        <v>Established (5-10)</v>
      </c>
      <c r="R1042" s="4">
        <f t="shared" si="33"/>
        <v>3</v>
      </c>
    </row>
    <row r="1043" spans="1:18">
      <c r="A1043">
        <f>RAW_DATA!A1043</f>
        <v>28</v>
      </c>
      <c r="B1043" t="str">
        <f>RAW_DATA!B1043</f>
        <v>No</v>
      </c>
      <c r="C1043" t="str">
        <f>RAW_DATA!C1043</f>
        <v>Sales</v>
      </c>
      <c r="D1043">
        <f>RAW_DATA!D1043</f>
        <v>5</v>
      </c>
      <c r="E1043">
        <f>RAW_DATA!E1043</f>
        <v>3</v>
      </c>
      <c r="F1043" t="str">
        <f>RAW_DATA!F1043</f>
        <v>Medical</v>
      </c>
      <c r="G1043">
        <f>RAW_DATA!G1043</f>
        <v>4</v>
      </c>
      <c r="H1043">
        <f>RAW_DATA!H1043</f>
        <v>1</v>
      </c>
      <c r="I1043" t="str">
        <f>RAW_DATA!I1043</f>
        <v>Single</v>
      </c>
      <c r="J1043">
        <f>RAW_DATA!J1043</f>
        <v>8463</v>
      </c>
      <c r="K1043">
        <f>RAW_DATA!K1043</f>
        <v>0</v>
      </c>
      <c r="L1043">
        <f>RAW_DATA!L1043</f>
        <v>3</v>
      </c>
      <c r="M1043">
        <f>RAW_DATA!M1043</f>
        <v>5</v>
      </c>
      <c r="N1043">
        <f t="shared" si="32"/>
        <v>0</v>
      </c>
      <c r="O1043" t="str" cm="1">
        <f t="array" ref="O1043" xml:space="preserve"> _xlfn.IFS(A1043 &lt;ASSUMPTIONS!$D$2,"25",A1043 &lt;= ASSUMPTIONS!$D$3,"25-34",A1043 &lt;= ASSUMPTIONS!$D$4, "35-44",A1043 &lt;= ASSUMPTIONS!$D$5,"45-54",TRUE,"55+")</f>
        <v>25-34</v>
      </c>
      <c r="P1043" t="str" cm="1">
        <f t="array" ref="P1043">_xlfn.IFS( J1043 &lt;ASSUMPTIONS!$D$7,"LOW",J1043 &lt;= ASSUMPTIONS!$D$8,"MEDIUM",TRUE, "HIGH")</f>
        <v>HIGH</v>
      </c>
      <c r="Q1043" t="str">
        <f>IF(M1043&lt;ASSUMPTIONS!$D$10,"New (0-2)",IF(M1043&lt;=ASSUMPTIONS!$D$11,"Early (2-5)",IF(M1043&lt;=ASSUMPTIONS!$D$12,"Established (5-10)","Veteran (10+)")))</f>
        <v>Early (2-5)</v>
      </c>
      <c r="R1043" s="4">
        <f t="shared" si="33"/>
        <v>2.6666666666666665</v>
      </c>
    </row>
    <row r="1044" spans="1:18">
      <c r="A1044">
        <f>RAW_DATA!A1044</f>
        <v>44</v>
      </c>
      <c r="B1044" t="str">
        <f>RAW_DATA!B1044</f>
        <v>No</v>
      </c>
      <c r="C1044" t="str">
        <f>RAW_DATA!C1044</f>
        <v>Research &amp; Development</v>
      </c>
      <c r="D1044">
        <f>RAW_DATA!D1044</f>
        <v>5</v>
      </c>
      <c r="E1044">
        <f>RAW_DATA!E1044</f>
        <v>3</v>
      </c>
      <c r="F1044" t="str">
        <f>RAW_DATA!F1044</f>
        <v>Life Sciences</v>
      </c>
      <c r="G1044">
        <f>RAW_DATA!G1044</f>
        <v>3</v>
      </c>
      <c r="H1044">
        <f>RAW_DATA!H1044</f>
        <v>3</v>
      </c>
      <c r="I1044" t="str">
        <f>RAW_DATA!I1044</f>
        <v>Single</v>
      </c>
      <c r="J1044">
        <f>RAW_DATA!J1044</f>
        <v>3162</v>
      </c>
      <c r="K1044">
        <f>RAW_DATA!K1044</f>
        <v>3</v>
      </c>
      <c r="L1044">
        <f>RAW_DATA!L1044</f>
        <v>3</v>
      </c>
      <c r="M1044">
        <f>RAW_DATA!M1044</f>
        <v>5</v>
      </c>
      <c r="N1044">
        <f t="shared" si="32"/>
        <v>0</v>
      </c>
      <c r="O1044" t="str" cm="1">
        <f t="array" ref="O1044" xml:space="preserve"> _xlfn.IFS(A1044 &lt;ASSUMPTIONS!$D$2,"25",A1044 &lt;= ASSUMPTIONS!$D$3,"25-34",A1044 &lt;= ASSUMPTIONS!$D$4, "35-44",A1044 &lt;= ASSUMPTIONS!$D$5,"45-54",TRUE,"55+")</f>
        <v>35-44</v>
      </c>
      <c r="P1044" t="str" cm="1">
        <f t="array" ref="P1044">_xlfn.IFS( J1044 &lt;ASSUMPTIONS!$D$7,"LOW",J1044 &lt;= ASSUMPTIONS!$D$8,"MEDIUM",TRUE, "HIGH")</f>
        <v>MEDIUM</v>
      </c>
      <c r="Q1044" t="str">
        <f>IF(M1044&lt;ASSUMPTIONS!$D$10,"New (0-2)",IF(M1044&lt;=ASSUMPTIONS!$D$11,"Early (2-5)",IF(M1044&lt;=ASSUMPTIONS!$D$12,"Established (5-10)","Veteran (10+)")))</f>
        <v>Early (2-5)</v>
      </c>
      <c r="R1044" s="4">
        <f t="shared" si="33"/>
        <v>3</v>
      </c>
    </row>
    <row r="1045" spans="1:18">
      <c r="A1045">
        <f>RAW_DATA!A1045</f>
        <v>53</v>
      </c>
      <c r="B1045" t="str">
        <f>RAW_DATA!B1045</f>
        <v>No</v>
      </c>
      <c r="C1045" t="str">
        <f>RAW_DATA!C1045</f>
        <v>Research &amp; Development</v>
      </c>
      <c r="D1045">
        <f>RAW_DATA!D1045</f>
        <v>2</v>
      </c>
      <c r="E1045">
        <f>RAW_DATA!E1045</f>
        <v>3</v>
      </c>
      <c r="F1045" t="str">
        <f>RAW_DATA!F1045</f>
        <v>Medical</v>
      </c>
      <c r="G1045">
        <f>RAW_DATA!G1045</f>
        <v>4</v>
      </c>
      <c r="H1045">
        <f>RAW_DATA!H1045</f>
        <v>2</v>
      </c>
      <c r="I1045" t="str">
        <f>RAW_DATA!I1045</f>
        <v>Single</v>
      </c>
      <c r="J1045">
        <f>RAW_DATA!J1045</f>
        <v>16598</v>
      </c>
      <c r="K1045">
        <f>RAW_DATA!K1045</f>
        <v>4</v>
      </c>
      <c r="L1045">
        <f>RAW_DATA!L1045</f>
        <v>2</v>
      </c>
      <c r="M1045">
        <f>RAW_DATA!M1045</f>
        <v>9</v>
      </c>
      <c r="N1045">
        <f t="shared" si="32"/>
        <v>0</v>
      </c>
      <c r="O1045" t="str" cm="1">
        <f t="array" ref="O1045" xml:space="preserve"> _xlfn.IFS(A1045 &lt;ASSUMPTIONS!$D$2,"25",A1045 &lt;= ASSUMPTIONS!$D$3,"25-34",A1045 &lt;= ASSUMPTIONS!$D$4, "35-44",A1045 &lt;= ASSUMPTIONS!$D$5,"45-54",TRUE,"55+")</f>
        <v>45-54</v>
      </c>
      <c r="P1045" t="str" cm="1">
        <f t="array" ref="P1045">_xlfn.IFS( J1045 &lt;ASSUMPTIONS!$D$7,"LOW",J1045 &lt;= ASSUMPTIONS!$D$8,"MEDIUM",TRUE, "HIGH")</f>
        <v>HIGH</v>
      </c>
      <c r="Q1045" t="str">
        <f>IF(M1045&lt;ASSUMPTIONS!$D$10,"New (0-2)",IF(M1045&lt;=ASSUMPTIONS!$D$11,"Early (2-5)",IF(M1045&lt;=ASSUMPTIONS!$D$12,"Established (5-10)","Veteran (10+)")))</f>
        <v>Established (5-10)</v>
      </c>
      <c r="R1045" s="4">
        <f t="shared" si="33"/>
        <v>2.6666666666666665</v>
      </c>
    </row>
    <row r="1046" spans="1:18">
      <c r="A1046">
        <f>RAW_DATA!A1046</f>
        <v>49</v>
      </c>
      <c r="B1046" t="str">
        <f>RAW_DATA!B1046</f>
        <v>No</v>
      </c>
      <c r="C1046" t="str">
        <f>RAW_DATA!C1046</f>
        <v>Research &amp; Development</v>
      </c>
      <c r="D1046">
        <f>RAW_DATA!D1046</f>
        <v>5</v>
      </c>
      <c r="E1046">
        <f>RAW_DATA!E1046</f>
        <v>4</v>
      </c>
      <c r="F1046" t="str">
        <f>RAW_DATA!F1046</f>
        <v>Technical Degree</v>
      </c>
      <c r="G1046">
        <f>RAW_DATA!G1046</f>
        <v>1</v>
      </c>
      <c r="H1046">
        <f>RAW_DATA!H1046</f>
        <v>3</v>
      </c>
      <c r="I1046" t="str">
        <f>RAW_DATA!I1046</f>
        <v>Married</v>
      </c>
      <c r="J1046">
        <f>RAW_DATA!J1046</f>
        <v>6651</v>
      </c>
      <c r="K1046">
        <f>RAW_DATA!K1046</f>
        <v>2</v>
      </c>
      <c r="L1046">
        <f>RAW_DATA!L1046</f>
        <v>2</v>
      </c>
      <c r="M1046">
        <f>RAW_DATA!M1046</f>
        <v>3</v>
      </c>
      <c r="N1046">
        <f t="shared" si="32"/>
        <v>0</v>
      </c>
      <c r="O1046" t="str" cm="1">
        <f t="array" ref="O1046" xml:space="preserve"> _xlfn.IFS(A1046 &lt;ASSUMPTIONS!$D$2,"25",A1046 &lt;= ASSUMPTIONS!$D$3,"25-34",A1046 &lt;= ASSUMPTIONS!$D$4, "35-44",A1046 &lt;= ASSUMPTIONS!$D$5,"45-54",TRUE,"55+")</f>
        <v>45-54</v>
      </c>
      <c r="P1046" t="str" cm="1">
        <f t="array" ref="P1046">_xlfn.IFS( J1046 &lt;ASSUMPTIONS!$D$7,"LOW",J1046 &lt;= ASSUMPTIONS!$D$8,"MEDIUM",TRUE, "HIGH")</f>
        <v>MEDIUM</v>
      </c>
      <c r="Q1046" t="str">
        <f>IF(M1046&lt;ASSUMPTIONS!$D$10,"New (0-2)",IF(M1046&lt;=ASSUMPTIONS!$D$11,"Early (2-5)",IF(M1046&lt;=ASSUMPTIONS!$D$12,"Established (5-10)","Veteran (10+)")))</f>
        <v>Early (2-5)</v>
      </c>
      <c r="R1046" s="4">
        <f t="shared" si="33"/>
        <v>2</v>
      </c>
    </row>
    <row r="1047" spans="1:18">
      <c r="A1047">
        <f>RAW_DATA!A1047</f>
        <v>40</v>
      </c>
      <c r="B1047" t="str">
        <f>RAW_DATA!B1047</f>
        <v>No</v>
      </c>
      <c r="C1047" t="str">
        <f>RAW_DATA!C1047</f>
        <v>Research &amp; Development</v>
      </c>
      <c r="D1047">
        <f>RAW_DATA!D1047</f>
        <v>2</v>
      </c>
      <c r="E1047">
        <f>RAW_DATA!E1047</f>
        <v>3</v>
      </c>
      <c r="F1047" t="str">
        <f>RAW_DATA!F1047</f>
        <v>Medical</v>
      </c>
      <c r="G1047">
        <f>RAW_DATA!G1047</f>
        <v>3</v>
      </c>
      <c r="H1047">
        <f>RAW_DATA!H1047</f>
        <v>3</v>
      </c>
      <c r="I1047" t="str">
        <f>RAW_DATA!I1047</f>
        <v>Divorced</v>
      </c>
      <c r="J1047">
        <f>RAW_DATA!J1047</f>
        <v>2345</v>
      </c>
      <c r="K1047">
        <f>RAW_DATA!K1047</f>
        <v>2</v>
      </c>
      <c r="L1047">
        <f>RAW_DATA!L1047</f>
        <v>4</v>
      </c>
      <c r="M1047">
        <f>RAW_DATA!M1047</f>
        <v>3</v>
      </c>
      <c r="N1047">
        <f t="shared" si="32"/>
        <v>0</v>
      </c>
      <c r="O1047" t="str" cm="1">
        <f t="array" ref="O1047" xml:space="preserve"> _xlfn.IFS(A1047 &lt;ASSUMPTIONS!$D$2,"25",A1047 &lt;= ASSUMPTIONS!$D$3,"25-34",A1047 &lt;= ASSUMPTIONS!$D$4, "35-44",A1047 &lt;= ASSUMPTIONS!$D$5,"45-54",TRUE,"55+")</f>
        <v>35-44</v>
      </c>
      <c r="P1047" t="str" cm="1">
        <f t="array" ref="P1047">_xlfn.IFS( J1047 &lt;ASSUMPTIONS!$D$7,"LOW",J1047 &lt;= ASSUMPTIONS!$D$8,"MEDIUM",TRUE, "HIGH")</f>
        <v>LOW</v>
      </c>
      <c r="Q1047" t="str">
        <f>IF(M1047&lt;ASSUMPTIONS!$D$10,"New (0-2)",IF(M1047&lt;=ASSUMPTIONS!$D$11,"Early (2-5)",IF(M1047&lt;=ASSUMPTIONS!$D$12,"Established (5-10)","Veteran (10+)")))</f>
        <v>Early (2-5)</v>
      </c>
      <c r="R1047" s="4">
        <f t="shared" si="33"/>
        <v>3.3333333333333335</v>
      </c>
    </row>
    <row r="1048" spans="1:18">
      <c r="A1048">
        <f>RAW_DATA!A1048</f>
        <v>44</v>
      </c>
      <c r="B1048" t="str">
        <f>RAW_DATA!B1048</f>
        <v>No</v>
      </c>
      <c r="C1048" t="str">
        <f>RAW_DATA!C1048</f>
        <v>Research &amp; Development</v>
      </c>
      <c r="D1048">
        <f>RAW_DATA!D1048</f>
        <v>20</v>
      </c>
      <c r="E1048">
        <f>RAW_DATA!E1048</f>
        <v>3</v>
      </c>
      <c r="F1048" t="str">
        <f>RAW_DATA!F1048</f>
        <v>Life Sciences</v>
      </c>
      <c r="G1048">
        <f>RAW_DATA!G1048</f>
        <v>4</v>
      </c>
      <c r="H1048">
        <f>RAW_DATA!H1048</f>
        <v>2</v>
      </c>
      <c r="I1048" t="str">
        <f>RAW_DATA!I1048</f>
        <v>Single</v>
      </c>
      <c r="J1048">
        <f>RAW_DATA!J1048</f>
        <v>3420</v>
      </c>
      <c r="K1048">
        <f>RAW_DATA!K1048</f>
        <v>1</v>
      </c>
      <c r="L1048">
        <f>RAW_DATA!L1048</f>
        <v>2</v>
      </c>
      <c r="M1048">
        <f>RAW_DATA!M1048</f>
        <v>5</v>
      </c>
      <c r="N1048">
        <f t="shared" si="32"/>
        <v>0</v>
      </c>
      <c r="O1048" t="str" cm="1">
        <f t="array" ref="O1048" xml:space="preserve"> _xlfn.IFS(A1048 &lt;ASSUMPTIONS!$D$2,"25",A1048 &lt;= ASSUMPTIONS!$D$3,"25-34",A1048 &lt;= ASSUMPTIONS!$D$4, "35-44",A1048 &lt;= ASSUMPTIONS!$D$5,"45-54",TRUE,"55+")</f>
        <v>35-44</v>
      </c>
      <c r="P1048" t="str" cm="1">
        <f t="array" ref="P1048">_xlfn.IFS( J1048 &lt;ASSUMPTIONS!$D$7,"LOW",J1048 &lt;= ASSUMPTIONS!$D$8,"MEDIUM",TRUE, "HIGH")</f>
        <v>MEDIUM</v>
      </c>
      <c r="Q1048" t="str">
        <f>IF(M1048&lt;ASSUMPTIONS!$D$10,"New (0-2)",IF(M1048&lt;=ASSUMPTIONS!$D$11,"Early (2-5)",IF(M1048&lt;=ASSUMPTIONS!$D$12,"Established (5-10)","Veteran (10+)")))</f>
        <v>Early (2-5)</v>
      </c>
      <c r="R1048" s="4">
        <f t="shared" si="33"/>
        <v>2.6666666666666665</v>
      </c>
    </row>
    <row r="1049" spans="1:18">
      <c r="A1049">
        <f>RAW_DATA!A1049</f>
        <v>33</v>
      </c>
      <c r="B1049" t="str">
        <f>RAW_DATA!B1049</f>
        <v>No</v>
      </c>
      <c r="C1049" t="str">
        <f>RAW_DATA!C1049</f>
        <v>Sales</v>
      </c>
      <c r="D1049">
        <f>RAW_DATA!D1049</f>
        <v>7</v>
      </c>
      <c r="E1049">
        <f>RAW_DATA!E1049</f>
        <v>3</v>
      </c>
      <c r="F1049" t="str">
        <f>RAW_DATA!F1049</f>
        <v>Medical</v>
      </c>
      <c r="G1049">
        <f>RAW_DATA!G1049</f>
        <v>4</v>
      </c>
      <c r="H1049">
        <f>RAW_DATA!H1049</f>
        <v>1</v>
      </c>
      <c r="I1049" t="str">
        <f>RAW_DATA!I1049</f>
        <v>Married</v>
      </c>
      <c r="J1049">
        <f>RAW_DATA!J1049</f>
        <v>4373</v>
      </c>
      <c r="K1049">
        <f>RAW_DATA!K1049</f>
        <v>0</v>
      </c>
      <c r="L1049">
        <f>RAW_DATA!L1049</f>
        <v>3</v>
      </c>
      <c r="M1049">
        <f>RAW_DATA!M1049</f>
        <v>4</v>
      </c>
      <c r="N1049">
        <f t="shared" si="32"/>
        <v>0</v>
      </c>
      <c r="O1049" t="str" cm="1">
        <f t="array" ref="O1049" xml:space="preserve"> _xlfn.IFS(A1049 &lt;ASSUMPTIONS!$D$2,"25",A1049 &lt;= ASSUMPTIONS!$D$3,"25-34",A1049 &lt;= ASSUMPTIONS!$D$4, "35-44",A1049 &lt;= ASSUMPTIONS!$D$5,"45-54",TRUE,"55+")</f>
        <v>25-34</v>
      </c>
      <c r="P1049" t="str" cm="1">
        <f t="array" ref="P1049">_xlfn.IFS( J1049 &lt;ASSUMPTIONS!$D$7,"LOW",J1049 &lt;= ASSUMPTIONS!$D$8,"MEDIUM",TRUE, "HIGH")</f>
        <v>MEDIUM</v>
      </c>
      <c r="Q1049" t="str">
        <f>IF(M1049&lt;ASSUMPTIONS!$D$10,"New (0-2)",IF(M1049&lt;=ASSUMPTIONS!$D$11,"Early (2-5)",IF(M1049&lt;=ASSUMPTIONS!$D$12,"Established (5-10)","Veteran (10+)")))</f>
        <v>Early (2-5)</v>
      </c>
      <c r="R1049" s="4">
        <f t="shared" si="33"/>
        <v>2.6666666666666665</v>
      </c>
    </row>
    <row r="1050" spans="1:18">
      <c r="A1050">
        <f>RAW_DATA!A1050</f>
        <v>34</v>
      </c>
      <c r="B1050" t="str">
        <f>RAW_DATA!B1050</f>
        <v>No</v>
      </c>
      <c r="C1050" t="str">
        <f>RAW_DATA!C1050</f>
        <v>Sales</v>
      </c>
      <c r="D1050">
        <f>RAW_DATA!D1050</f>
        <v>3</v>
      </c>
      <c r="E1050">
        <f>RAW_DATA!E1050</f>
        <v>3</v>
      </c>
      <c r="F1050" t="str">
        <f>RAW_DATA!F1050</f>
        <v>Other</v>
      </c>
      <c r="G1050">
        <f>RAW_DATA!G1050</f>
        <v>4</v>
      </c>
      <c r="H1050">
        <f>RAW_DATA!H1050</f>
        <v>1</v>
      </c>
      <c r="I1050" t="str">
        <f>RAW_DATA!I1050</f>
        <v>Single</v>
      </c>
      <c r="J1050">
        <f>RAW_DATA!J1050</f>
        <v>4759</v>
      </c>
      <c r="K1050">
        <f>RAW_DATA!K1050</f>
        <v>3</v>
      </c>
      <c r="L1050">
        <f>RAW_DATA!L1050</f>
        <v>3</v>
      </c>
      <c r="M1050">
        <f>RAW_DATA!M1050</f>
        <v>13</v>
      </c>
      <c r="N1050">
        <f t="shared" si="32"/>
        <v>0</v>
      </c>
      <c r="O1050" t="str" cm="1">
        <f t="array" ref="O1050" xml:space="preserve"> _xlfn.IFS(A1050 &lt;ASSUMPTIONS!$D$2,"25",A1050 &lt;= ASSUMPTIONS!$D$3,"25-34",A1050 &lt;= ASSUMPTIONS!$D$4, "35-44",A1050 &lt;= ASSUMPTIONS!$D$5,"45-54",TRUE,"55+")</f>
        <v>25-34</v>
      </c>
      <c r="P1050" t="str" cm="1">
        <f t="array" ref="P1050">_xlfn.IFS( J1050 &lt;ASSUMPTIONS!$D$7,"LOW",J1050 &lt;= ASSUMPTIONS!$D$8,"MEDIUM",TRUE, "HIGH")</f>
        <v>MEDIUM</v>
      </c>
      <c r="Q1050" t="str">
        <f>IF(M1050&lt;ASSUMPTIONS!$D$10,"New (0-2)",IF(M1050&lt;=ASSUMPTIONS!$D$11,"Early (2-5)",IF(M1050&lt;=ASSUMPTIONS!$D$12,"Established (5-10)","Veteran (10+)")))</f>
        <v>Veteran (10+)</v>
      </c>
      <c r="R1050" s="4">
        <f t="shared" si="33"/>
        <v>2.6666666666666665</v>
      </c>
    </row>
    <row r="1051" spans="1:18">
      <c r="A1051">
        <f>RAW_DATA!A1051</f>
        <v>30</v>
      </c>
      <c r="B1051" t="str">
        <f>RAW_DATA!B1051</f>
        <v>No</v>
      </c>
      <c r="C1051" t="str">
        <f>RAW_DATA!C1051</f>
        <v>Sales</v>
      </c>
      <c r="D1051">
        <f>RAW_DATA!D1051</f>
        <v>16</v>
      </c>
      <c r="E1051">
        <f>RAW_DATA!E1051</f>
        <v>1</v>
      </c>
      <c r="F1051" t="str">
        <f>RAW_DATA!F1051</f>
        <v>Life Sciences</v>
      </c>
      <c r="G1051">
        <f>RAW_DATA!G1051</f>
        <v>4</v>
      </c>
      <c r="H1051">
        <f>RAW_DATA!H1051</f>
        <v>3</v>
      </c>
      <c r="I1051" t="str">
        <f>RAW_DATA!I1051</f>
        <v>Married</v>
      </c>
      <c r="J1051">
        <f>RAW_DATA!J1051</f>
        <v>5301</v>
      </c>
      <c r="K1051">
        <f>RAW_DATA!K1051</f>
        <v>8</v>
      </c>
      <c r="L1051">
        <f>RAW_DATA!L1051</f>
        <v>2</v>
      </c>
      <c r="M1051">
        <f>RAW_DATA!M1051</f>
        <v>2</v>
      </c>
      <c r="N1051">
        <f t="shared" si="32"/>
        <v>0</v>
      </c>
      <c r="O1051" t="str" cm="1">
        <f t="array" ref="O1051" xml:space="preserve"> _xlfn.IFS(A1051 &lt;ASSUMPTIONS!$D$2,"25",A1051 &lt;= ASSUMPTIONS!$D$3,"25-34",A1051 &lt;= ASSUMPTIONS!$D$4, "35-44",A1051 &lt;= ASSUMPTIONS!$D$5,"45-54",TRUE,"55+")</f>
        <v>25-34</v>
      </c>
      <c r="P1051" t="str" cm="1">
        <f t="array" ref="P1051">_xlfn.IFS( J1051 &lt;ASSUMPTIONS!$D$7,"LOW",J1051 &lt;= ASSUMPTIONS!$D$8,"MEDIUM",TRUE, "HIGH")</f>
        <v>MEDIUM</v>
      </c>
      <c r="Q1051" t="str">
        <f>IF(M1051&lt;ASSUMPTIONS!$D$10,"New (0-2)",IF(M1051&lt;=ASSUMPTIONS!$D$11,"Early (2-5)",IF(M1051&lt;=ASSUMPTIONS!$D$12,"Established (5-10)","Veteran (10+)")))</f>
        <v>Early (2-5)</v>
      </c>
      <c r="R1051" s="4">
        <f t="shared" si="33"/>
        <v>3</v>
      </c>
    </row>
    <row r="1052" spans="1:18">
      <c r="A1052">
        <f>RAW_DATA!A1052</f>
        <v>42</v>
      </c>
      <c r="B1052" t="str">
        <f>RAW_DATA!B1052</f>
        <v>No</v>
      </c>
      <c r="C1052" t="str">
        <f>RAW_DATA!C1052</f>
        <v>Research &amp; Development</v>
      </c>
      <c r="D1052">
        <f>RAW_DATA!D1052</f>
        <v>9</v>
      </c>
      <c r="E1052">
        <f>RAW_DATA!E1052</f>
        <v>2</v>
      </c>
      <c r="F1052" t="str">
        <f>RAW_DATA!F1052</f>
        <v>Medical</v>
      </c>
      <c r="G1052">
        <f>RAW_DATA!G1052</f>
        <v>1</v>
      </c>
      <c r="H1052">
        <f>RAW_DATA!H1052</f>
        <v>4</v>
      </c>
      <c r="I1052" t="str">
        <f>RAW_DATA!I1052</f>
        <v>Single</v>
      </c>
      <c r="J1052">
        <f>RAW_DATA!J1052</f>
        <v>3673</v>
      </c>
      <c r="K1052">
        <f>RAW_DATA!K1052</f>
        <v>1</v>
      </c>
      <c r="L1052">
        <f>RAW_DATA!L1052</f>
        <v>3</v>
      </c>
      <c r="M1052">
        <f>RAW_DATA!M1052</f>
        <v>12</v>
      </c>
      <c r="N1052">
        <f t="shared" si="32"/>
        <v>0</v>
      </c>
      <c r="O1052" t="str" cm="1">
        <f t="array" ref="O1052" xml:space="preserve"> _xlfn.IFS(A1052 &lt;ASSUMPTIONS!$D$2,"25",A1052 &lt;= ASSUMPTIONS!$D$3,"25-34",A1052 &lt;= ASSUMPTIONS!$D$4, "35-44",A1052 &lt;= ASSUMPTIONS!$D$5,"45-54",TRUE,"55+")</f>
        <v>35-44</v>
      </c>
      <c r="P1052" t="str" cm="1">
        <f t="array" ref="P1052">_xlfn.IFS( J1052 &lt;ASSUMPTIONS!$D$7,"LOW",J1052 &lt;= ASSUMPTIONS!$D$8,"MEDIUM",TRUE, "HIGH")</f>
        <v>MEDIUM</v>
      </c>
      <c r="Q1052" t="str">
        <f>IF(M1052&lt;ASSUMPTIONS!$D$10,"New (0-2)",IF(M1052&lt;=ASSUMPTIONS!$D$11,"Early (2-5)",IF(M1052&lt;=ASSUMPTIONS!$D$12,"Established (5-10)","Veteran (10+)")))</f>
        <v>Veteran (10+)</v>
      </c>
      <c r="R1052" s="4">
        <f t="shared" si="33"/>
        <v>2.6666666666666665</v>
      </c>
    </row>
    <row r="1053" spans="1:18">
      <c r="A1053">
        <f>RAW_DATA!A1053</f>
        <v>44</v>
      </c>
      <c r="B1053" t="str">
        <f>RAW_DATA!B1053</f>
        <v>No</v>
      </c>
      <c r="C1053" t="str">
        <f>RAW_DATA!C1053</f>
        <v>Sales</v>
      </c>
      <c r="D1053">
        <f>RAW_DATA!D1053</f>
        <v>1</v>
      </c>
      <c r="E1053">
        <f>RAW_DATA!E1053</f>
        <v>5</v>
      </c>
      <c r="F1053" t="str">
        <f>RAW_DATA!F1053</f>
        <v>Marketing</v>
      </c>
      <c r="G1053">
        <f>RAW_DATA!G1053</f>
        <v>1</v>
      </c>
      <c r="H1053">
        <f>RAW_DATA!H1053</f>
        <v>3</v>
      </c>
      <c r="I1053" t="str">
        <f>RAW_DATA!I1053</f>
        <v>Married</v>
      </c>
      <c r="J1053">
        <f>RAW_DATA!J1053</f>
        <v>4768</v>
      </c>
      <c r="K1053">
        <f>RAW_DATA!K1053</f>
        <v>7</v>
      </c>
      <c r="L1053">
        <f>RAW_DATA!L1053</f>
        <v>2</v>
      </c>
      <c r="M1053">
        <f>RAW_DATA!M1053</f>
        <v>1</v>
      </c>
      <c r="N1053">
        <f t="shared" si="32"/>
        <v>0</v>
      </c>
      <c r="O1053" t="str" cm="1">
        <f t="array" ref="O1053" xml:space="preserve"> _xlfn.IFS(A1053 &lt;ASSUMPTIONS!$D$2,"25",A1053 &lt;= ASSUMPTIONS!$D$3,"25-34",A1053 &lt;= ASSUMPTIONS!$D$4, "35-44",A1053 &lt;= ASSUMPTIONS!$D$5,"45-54",TRUE,"55+")</f>
        <v>35-44</v>
      </c>
      <c r="P1053" t="str" cm="1">
        <f t="array" ref="P1053">_xlfn.IFS( J1053 &lt;ASSUMPTIONS!$D$7,"LOW",J1053 &lt;= ASSUMPTIONS!$D$8,"MEDIUM",TRUE, "HIGH")</f>
        <v>MEDIUM</v>
      </c>
      <c r="Q1053" t="str">
        <f>IF(M1053&lt;ASSUMPTIONS!$D$10,"New (0-2)",IF(M1053&lt;=ASSUMPTIONS!$D$11,"Early (2-5)",IF(M1053&lt;=ASSUMPTIONS!$D$12,"Established (5-10)","Veteran (10+)")))</f>
        <v>New (0-2)</v>
      </c>
      <c r="R1053" s="4">
        <f t="shared" si="33"/>
        <v>2</v>
      </c>
    </row>
    <row r="1054" spans="1:18">
      <c r="A1054">
        <f>RAW_DATA!A1054</f>
        <v>30</v>
      </c>
      <c r="B1054" t="str">
        <f>RAW_DATA!B1054</f>
        <v>No</v>
      </c>
      <c r="C1054" t="str">
        <f>RAW_DATA!C1054</f>
        <v>Research &amp; Development</v>
      </c>
      <c r="D1054">
        <f>RAW_DATA!D1054</f>
        <v>7</v>
      </c>
      <c r="E1054">
        <f>RAW_DATA!E1054</f>
        <v>3</v>
      </c>
      <c r="F1054" t="str">
        <f>RAW_DATA!F1054</f>
        <v>Technical Degree</v>
      </c>
      <c r="G1054">
        <f>RAW_DATA!G1054</f>
        <v>3</v>
      </c>
      <c r="H1054">
        <f>RAW_DATA!H1054</f>
        <v>3</v>
      </c>
      <c r="I1054" t="str">
        <f>RAW_DATA!I1054</f>
        <v>Divorced</v>
      </c>
      <c r="J1054">
        <f>RAW_DATA!J1054</f>
        <v>1274</v>
      </c>
      <c r="K1054">
        <f>RAW_DATA!K1054</f>
        <v>1</v>
      </c>
      <c r="L1054">
        <f>RAW_DATA!L1054</f>
        <v>2</v>
      </c>
      <c r="M1054">
        <f>RAW_DATA!M1054</f>
        <v>1</v>
      </c>
      <c r="N1054">
        <f t="shared" si="32"/>
        <v>0</v>
      </c>
      <c r="O1054" t="str" cm="1">
        <f t="array" ref="O1054" xml:space="preserve"> _xlfn.IFS(A1054 &lt;ASSUMPTIONS!$D$2,"25",A1054 &lt;= ASSUMPTIONS!$D$3,"25-34",A1054 &lt;= ASSUMPTIONS!$D$4, "35-44",A1054 &lt;= ASSUMPTIONS!$D$5,"45-54",TRUE,"55+")</f>
        <v>25-34</v>
      </c>
      <c r="P1054" t="str" cm="1">
        <f t="array" ref="P1054">_xlfn.IFS( J1054 &lt;ASSUMPTIONS!$D$7,"LOW",J1054 &lt;= ASSUMPTIONS!$D$8,"MEDIUM",TRUE, "HIGH")</f>
        <v>LOW</v>
      </c>
      <c r="Q1054" t="str">
        <f>IF(M1054&lt;ASSUMPTIONS!$D$10,"New (0-2)",IF(M1054&lt;=ASSUMPTIONS!$D$11,"Early (2-5)",IF(M1054&lt;=ASSUMPTIONS!$D$12,"Established (5-10)","Veteran (10+)")))</f>
        <v>New (0-2)</v>
      </c>
      <c r="R1054" s="4">
        <f t="shared" si="33"/>
        <v>2.6666666666666665</v>
      </c>
    </row>
    <row r="1055" spans="1:18">
      <c r="A1055">
        <f>RAW_DATA!A1055</f>
        <v>57</v>
      </c>
      <c r="B1055" t="str">
        <f>RAW_DATA!B1055</f>
        <v>No</v>
      </c>
      <c r="C1055" t="str">
        <f>RAW_DATA!C1055</f>
        <v>Research &amp; Development</v>
      </c>
      <c r="D1055">
        <f>RAW_DATA!D1055</f>
        <v>1</v>
      </c>
      <c r="E1055">
        <f>RAW_DATA!E1055</f>
        <v>2</v>
      </c>
      <c r="F1055" t="str">
        <f>RAW_DATA!F1055</f>
        <v>Life Sciences</v>
      </c>
      <c r="G1055">
        <f>RAW_DATA!G1055</f>
        <v>2</v>
      </c>
      <c r="H1055">
        <f>RAW_DATA!H1055</f>
        <v>3</v>
      </c>
      <c r="I1055" t="str">
        <f>RAW_DATA!I1055</f>
        <v>Married</v>
      </c>
      <c r="J1055">
        <f>RAW_DATA!J1055</f>
        <v>4900</v>
      </c>
      <c r="K1055">
        <f>RAW_DATA!K1055</f>
        <v>0</v>
      </c>
      <c r="L1055">
        <f>RAW_DATA!L1055</f>
        <v>2</v>
      </c>
      <c r="M1055">
        <f>RAW_DATA!M1055</f>
        <v>12</v>
      </c>
      <c r="N1055">
        <f t="shared" si="32"/>
        <v>0</v>
      </c>
      <c r="O1055" t="str" cm="1">
        <f t="array" ref="O1055" xml:space="preserve"> _xlfn.IFS(A1055 &lt;ASSUMPTIONS!$D$2,"25",A1055 &lt;= ASSUMPTIONS!$D$3,"25-34",A1055 &lt;= ASSUMPTIONS!$D$4, "35-44",A1055 &lt;= ASSUMPTIONS!$D$5,"45-54",TRUE,"55+")</f>
        <v>55+</v>
      </c>
      <c r="P1055" t="str" cm="1">
        <f t="array" ref="P1055">_xlfn.IFS( J1055 &lt;ASSUMPTIONS!$D$7,"LOW",J1055 &lt;= ASSUMPTIONS!$D$8,"MEDIUM",TRUE, "HIGH")</f>
        <v>MEDIUM</v>
      </c>
      <c r="Q1055" t="str">
        <f>IF(M1055&lt;ASSUMPTIONS!$D$10,"New (0-2)",IF(M1055&lt;=ASSUMPTIONS!$D$11,"Early (2-5)",IF(M1055&lt;=ASSUMPTIONS!$D$12,"Established (5-10)","Veteran (10+)")))</f>
        <v>Veteran (10+)</v>
      </c>
      <c r="R1055" s="4">
        <f t="shared" si="33"/>
        <v>2.3333333333333335</v>
      </c>
    </row>
    <row r="1056" spans="1:18">
      <c r="A1056">
        <f>RAW_DATA!A1056</f>
        <v>49</v>
      </c>
      <c r="B1056" t="str">
        <f>RAW_DATA!B1056</f>
        <v>No</v>
      </c>
      <c r="C1056" t="str">
        <f>RAW_DATA!C1056</f>
        <v>Research &amp; Development</v>
      </c>
      <c r="D1056">
        <f>RAW_DATA!D1056</f>
        <v>7</v>
      </c>
      <c r="E1056">
        <f>RAW_DATA!E1056</f>
        <v>4</v>
      </c>
      <c r="F1056" t="str">
        <f>RAW_DATA!F1056</f>
        <v>Life Sciences</v>
      </c>
      <c r="G1056">
        <f>RAW_DATA!G1056</f>
        <v>3</v>
      </c>
      <c r="H1056">
        <f>RAW_DATA!H1056</f>
        <v>2</v>
      </c>
      <c r="I1056" t="str">
        <f>RAW_DATA!I1056</f>
        <v>Divorced</v>
      </c>
      <c r="J1056">
        <f>RAW_DATA!J1056</f>
        <v>10466</v>
      </c>
      <c r="K1056">
        <f>RAW_DATA!K1056</f>
        <v>3</v>
      </c>
      <c r="L1056">
        <f>RAW_DATA!L1056</f>
        <v>3</v>
      </c>
      <c r="M1056">
        <f>RAW_DATA!M1056</f>
        <v>8</v>
      </c>
      <c r="N1056">
        <f t="shared" si="32"/>
        <v>0</v>
      </c>
      <c r="O1056" t="str" cm="1">
        <f t="array" ref="O1056" xml:space="preserve"> _xlfn.IFS(A1056 &lt;ASSUMPTIONS!$D$2,"25",A1056 &lt;= ASSUMPTIONS!$D$3,"25-34",A1056 &lt;= ASSUMPTIONS!$D$4, "35-44",A1056 &lt;= ASSUMPTIONS!$D$5,"45-54",TRUE,"55+")</f>
        <v>45-54</v>
      </c>
      <c r="P1056" t="str" cm="1">
        <f t="array" ref="P1056">_xlfn.IFS( J1056 &lt;ASSUMPTIONS!$D$7,"LOW",J1056 &lt;= ASSUMPTIONS!$D$8,"MEDIUM",TRUE, "HIGH")</f>
        <v>HIGH</v>
      </c>
      <c r="Q1056" t="str">
        <f>IF(M1056&lt;ASSUMPTIONS!$D$10,"New (0-2)",IF(M1056&lt;=ASSUMPTIONS!$D$11,"Early (2-5)",IF(M1056&lt;=ASSUMPTIONS!$D$12,"Established (5-10)","Veteran (10+)")))</f>
        <v>Established (5-10)</v>
      </c>
      <c r="R1056" s="4">
        <f t="shared" si="33"/>
        <v>2.6666666666666665</v>
      </c>
    </row>
    <row r="1057" spans="1:18">
      <c r="A1057">
        <f>RAW_DATA!A1057</f>
        <v>34</v>
      </c>
      <c r="B1057" t="str">
        <f>RAW_DATA!B1057</f>
        <v>No</v>
      </c>
      <c r="C1057" t="str">
        <f>RAW_DATA!C1057</f>
        <v>Research &amp; Development</v>
      </c>
      <c r="D1057">
        <f>RAW_DATA!D1057</f>
        <v>15</v>
      </c>
      <c r="E1057">
        <f>RAW_DATA!E1057</f>
        <v>3</v>
      </c>
      <c r="F1057" t="str">
        <f>RAW_DATA!F1057</f>
        <v>Medical</v>
      </c>
      <c r="G1057">
        <f>RAW_DATA!G1057</f>
        <v>2</v>
      </c>
      <c r="H1057">
        <f>RAW_DATA!H1057</f>
        <v>1</v>
      </c>
      <c r="I1057" t="str">
        <f>RAW_DATA!I1057</f>
        <v>Divorced</v>
      </c>
      <c r="J1057">
        <f>RAW_DATA!J1057</f>
        <v>17007</v>
      </c>
      <c r="K1057">
        <f>RAW_DATA!K1057</f>
        <v>7</v>
      </c>
      <c r="L1057">
        <f>RAW_DATA!L1057</f>
        <v>2</v>
      </c>
      <c r="M1057">
        <f>RAW_DATA!M1057</f>
        <v>14</v>
      </c>
      <c r="N1057">
        <f t="shared" si="32"/>
        <v>0</v>
      </c>
      <c r="O1057" t="str" cm="1">
        <f t="array" ref="O1057" xml:space="preserve"> _xlfn.IFS(A1057 &lt;ASSUMPTIONS!$D$2,"25",A1057 &lt;= ASSUMPTIONS!$D$3,"25-34",A1057 &lt;= ASSUMPTIONS!$D$4, "35-44",A1057 &lt;= ASSUMPTIONS!$D$5,"45-54",TRUE,"55+")</f>
        <v>25-34</v>
      </c>
      <c r="P1057" t="str" cm="1">
        <f t="array" ref="P1057">_xlfn.IFS( J1057 &lt;ASSUMPTIONS!$D$7,"LOW",J1057 &lt;= ASSUMPTIONS!$D$8,"MEDIUM",TRUE, "HIGH")</f>
        <v>HIGH</v>
      </c>
      <c r="Q1057" t="str">
        <f>IF(M1057&lt;ASSUMPTIONS!$D$10,"New (0-2)",IF(M1057&lt;=ASSUMPTIONS!$D$11,"Early (2-5)",IF(M1057&lt;=ASSUMPTIONS!$D$12,"Established (5-10)","Veteran (10+)")))</f>
        <v>Veteran (10+)</v>
      </c>
      <c r="R1057" s="4">
        <f t="shared" si="33"/>
        <v>1.6666666666666667</v>
      </c>
    </row>
    <row r="1058" spans="1:18">
      <c r="A1058">
        <f>RAW_DATA!A1058</f>
        <v>28</v>
      </c>
      <c r="B1058" t="str">
        <f>RAW_DATA!B1058</f>
        <v>Yes</v>
      </c>
      <c r="C1058" t="str">
        <f>RAW_DATA!C1058</f>
        <v>Sales</v>
      </c>
      <c r="D1058">
        <f>RAW_DATA!D1058</f>
        <v>1</v>
      </c>
      <c r="E1058">
        <f>RAW_DATA!E1058</f>
        <v>3</v>
      </c>
      <c r="F1058" t="str">
        <f>RAW_DATA!F1058</f>
        <v>Technical Degree</v>
      </c>
      <c r="G1058">
        <f>RAW_DATA!G1058</f>
        <v>1</v>
      </c>
      <c r="H1058">
        <f>RAW_DATA!H1058</f>
        <v>3</v>
      </c>
      <c r="I1058" t="str">
        <f>RAW_DATA!I1058</f>
        <v>Married</v>
      </c>
      <c r="J1058">
        <f>RAW_DATA!J1058</f>
        <v>2909</v>
      </c>
      <c r="K1058">
        <f>RAW_DATA!K1058</f>
        <v>3</v>
      </c>
      <c r="L1058">
        <f>RAW_DATA!L1058</f>
        <v>4</v>
      </c>
      <c r="M1058">
        <f>RAW_DATA!M1058</f>
        <v>3</v>
      </c>
      <c r="N1058">
        <f t="shared" si="32"/>
        <v>1</v>
      </c>
      <c r="O1058" t="str" cm="1">
        <f t="array" ref="O1058" xml:space="preserve"> _xlfn.IFS(A1058 &lt;ASSUMPTIONS!$D$2,"25",A1058 &lt;= ASSUMPTIONS!$D$3,"25-34",A1058 &lt;= ASSUMPTIONS!$D$4, "35-44",A1058 &lt;= ASSUMPTIONS!$D$5,"45-54",TRUE,"55+")</f>
        <v>25-34</v>
      </c>
      <c r="P1058" t="str" cm="1">
        <f t="array" ref="P1058">_xlfn.IFS( J1058 &lt;ASSUMPTIONS!$D$7,"LOW",J1058 &lt;= ASSUMPTIONS!$D$8,"MEDIUM",TRUE, "HIGH")</f>
        <v>LOW</v>
      </c>
      <c r="Q1058" t="str">
        <f>IF(M1058&lt;ASSUMPTIONS!$D$10,"New (0-2)",IF(M1058&lt;=ASSUMPTIONS!$D$11,"Early (2-5)",IF(M1058&lt;=ASSUMPTIONS!$D$12,"Established (5-10)","Veteran (10+)")))</f>
        <v>Early (2-5)</v>
      </c>
      <c r="R1058" s="4">
        <f t="shared" si="33"/>
        <v>2.6666666666666665</v>
      </c>
    </row>
    <row r="1059" spans="1:18">
      <c r="A1059">
        <f>RAW_DATA!A1059</f>
        <v>29</v>
      </c>
      <c r="B1059" t="str">
        <f>RAW_DATA!B1059</f>
        <v>Yes</v>
      </c>
      <c r="C1059" t="str">
        <f>RAW_DATA!C1059</f>
        <v>Sales</v>
      </c>
      <c r="D1059">
        <f>RAW_DATA!D1059</f>
        <v>13</v>
      </c>
      <c r="E1059">
        <f>RAW_DATA!E1059</f>
        <v>3</v>
      </c>
      <c r="F1059" t="str">
        <f>RAW_DATA!F1059</f>
        <v>Technical Degree</v>
      </c>
      <c r="G1059">
        <f>RAW_DATA!G1059</f>
        <v>1</v>
      </c>
      <c r="H1059">
        <f>RAW_DATA!H1059</f>
        <v>2</v>
      </c>
      <c r="I1059" t="str">
        <f>RAW_DATA!I1059</f>
        <v>Single</v>
      </c>
      <c r="J1059">
        <f>RAW_DATA!J1059</f>
        <v>5765</v>
      </c>
      <c r="K1059">
        <f>RAW_DATA!K1059</f>
        <v>5</v>
      </c>
      <c r="L1059">
        <f>RAW_DATA!L1059</f>
        <v>1</v>
      </c>
      <c r="M1059">
        <f>RAW_DATA!M1059</f>
        <v>5</v>
      </c>
      <c r="N1059">
        <f t="shared" si="32"/>
        <v>1</v>
      </c>
      <c r="O1059" t="str" cm="1">
        <f t="array" ref="O1059" xml:space="preserve"> _xlfn.IFS(A1059 &lt;ASSUMPTIONS!$D$2,"25",A1059 &lt;= ASSUMPTIONS!$D$3,"25-34",A1059 &lt;= ASSUMPTIONS!$D$4, "35-44",A1059 &lt;= ASSUMPTIONS!$D$5,"45-54",TRUE,"55+")</f>
        <v>25-34</v>
      </c>
      <c r="P1059" t="str" cm="1">
        <f t="array" ref="P1059">_xlfn.IFS( J1059 &lt;ASSUMPTIONS!$D$7,"LOW",J1059 &lt;= ASSUMPTIONS!$D$8,"MEDIUM",TRUE, "HIGH")</f>
        <v>MEDIUM</v>
      </c>
      <c r="Q1059" t="str">
        <f>IF(M1059&lt;ASSUMPTIONS!$D$10,"New (0-2)",IF(M1059&lt;=ASSUMPTIONS!$D$11,"Early (2-5)",IF(M1059&lt;=ASSUMPTIONS!$D$12,"Established (5-10)","Veteran (10+)")))</f>
        <v>Early (2-5)</v>
      </c>
      <c r="R1059" s="4">
        <f t="shared" si="33"/>
        <v>1.3333333333333333</v>
      </c>
    </row>
    <row r="1060" spans="1:18">
      <c r="A1060">
        <f>RAW_DATA!A1060</f>
        <v>34</v>
      </c>
      <c r="B1060" t="str">
        <f>RAW_DATA!B1060</f>
        <v>Yes</v>
      </c>
      <c r="C1060" t="str">
        <f>RAW_DATA!C1060</f>
        <v>Sales</v>
      </c>
      <c r="D1060">
        <f>RAW_DATA!D1060</f>
        <v>24</v>
      </c>
      <c r="E1060">
        <f>RAW_DATA!E1060</f>
        <v>4</v>
      </c>
      <c r="F1060" t="str">
        <f>RAW_DATA!F1060</f>
        <v>Medical</v>
      </c>
      <c r="G1060">
        <f>RAW_DATA!G1060</f>
        <v>1</v>
      </c>
      <c r="H1060">
        <f>RAW_DATA!H1060</f>
        <v>2</v>
      </c>
      <c r="I1060" t="str">
        <f>RAW_DATA!I1060</f>
        <v>Single</v>
      </c>
      <c r="J1060">
        <f>RAW_DATA!J1060</f>
        <v>4599</v>
      </c>
      <c r="K1060">
        <f>RAW_DATA!K1060</f>
        <v>0</v>
      </c>
      <c r="L1060">
        <f>RAW_DATA!L1060</f>
        <v>4</v>
      </c>
      <c r="M1060">
        <f>RAW_DATA!M1060</f>
        <v>15</v>
      </c>
      <c r="N1060">
        <f t="shared" si="32"/>
        <v>1</v>
      </c>
      <c r="O1060" t="str" cm="1">
        <f t="array" ref="O1060" xml:space="preserve"> _xlfn.IFS(A1060 &lt;ASSUMPTIONS!$D$2,"25",A1060 &lt;= ASSUMPTIONS!$D$3,"25-34",A1060 &lt;= ASSUMPTIONS!$D$4, "35-44",A1060 &lt;= ASSUMPTIONS!$D$5,"45-54",TRUE,"55+")</f>
        <v>25-34</v>
      </c>
      <c r="P1060" t="str" cm="1">
        <f t="array" ref="P1060">_xlfn.IFS( J1060 &lt;ASSUMPTIONS!$D$7,"LOW",J1060 &lt;= ASSUMPTIONS!$D$8,"MEDIUM",TRUE, "HIGH")</f>
        <v>MEDIUM</v>
      </c>
      <c r="Q1060" t="str">
        <f>IF(M1060&lt;ASSUMPTIONS!$D$10,"New (0-2)",IF(M1060&lt;=ASSUMPTIONS!$D$11,"Early (2-5)",IF(M1060&lt;=ASSUMPTIONS!$D$12,"Established (5-10)","Veteran (10+)")))</f>
        <v>Veteran (10+)</v>
      </c>
      <c r="R1060" s="4">
        <f t="shared" si="33"/>
        <v>2.3333333333333335</v>
      </c>
    </row>
    <row r="1061" spans="1:18">
      <c r="A1061">
        <f>RAW_DATA!A1061</f>
        <v>35</v>
      </c>
      <c r="B1061" t="str">
        <f>RAW_DATA!B1061</f>
        <v>No</v>
      </c>
      <c r="C1061" t="str">
        <f>RAW_DATA!C1061</f>
        <v>Sales</v>
      </c>
      <c r="D1061">
        <f>RAW_DATA!D1061</f>
        <v>7</v>
      </c>
      <c r="E1061">
        <f>RAW_DATA!E1061</f>
        <v>1</v>
      </c>
      <c r="F1061" t="str">
        <f>RAW_DATA!F1061</f>
        <v>Life Sciences</v>
      </c>
      <c r="G1061">
        <f>RAW_DATA!G1061</f>
        <v>4</v>
      </c>
      <c r="H1061">
        <f>RAW_DATA!H1061</f>
        <v>3</v>
      </c>
      <c r="I1061" t="str">
        <f>RAW_DATA!I1061</f>
        <v>Married</v>
      </c>
      <c r="J1061">
        <f>RAW_DATA!J1061</f>
        <v>2404</v>
      </c>
      <c r="K1061">
        <f>RAW_DATA!K1061</f>
        <v>1</v>
      </c>
      <c r="L1061">
        <f>RAW_DATA!L1061</f>
        <v>3</v>
      </c>
      <c r="M1061">
        <f>RAW_DATA!M1061</f>
        <v>1</v>
      </c>
      <c r="N1061">
        <f t="shared" si="32"/>
        <v>0</v>
      </c>
      <c r="O1061" t="str" cm="1">
        <f t="array" ref="O1061" xml:space="preserve"> _xlfn.IFS(A1061 &lt;ASSUMPTIONS!$D$2,"25",A1061 &lt;= ASSUMPTIONS!$D$3,"25-34",A1061 &lt;= ASSUMPTIONS!$D$4, "35-44",A1061 &lt;= ASSUMPTIONS!$D$5,"45-54",TRUE,"55+")</f>
        <v>35-44</v>
      </c>
      <c r="P1061" t="str" cm="1">
        <f t="array" ref="P1061">_xlfn.IFS( J1061 &lt;ASSUMPTIONS!$D$7,"LOW",J1061 &lt;= ASSUMPTIONS!$D$8,"MEDIUM",TRUE, "HIGH")</f>
        <v>LOW</v>
      </c>
      <c r="Q1061" t="str">
        <f>IF(M1061&lt;ASSUMPTIONS!$D$10,"New (0-2)",IF(M1061&lt;=ASSUMPTIONS!$D$11,"Early (2-5)",IF(M1061&lt;=ASSUMPTIONS!$D$12,"Established (5-10)","Veteran (10+)")))</f>
        <v>New (0-2)</v>
      </c>
      <c r="R1061" s="4">
        <f t="shared" si="33"/>
        <v>3.3333333333333335</v>
      </c>
    </row>
    <row r="1062" spans="1:18">
      <c r="A1062">
        <f>RAW_DATA!A1062</f>
        <v>24</v>
      </c>
      <c r="B1062" t="str">
        <f>RAW_DATA!B1062</f>
        <v>Yes</v>
      </c>
      <c r="C1062" t="str">
        <f>RAW_DATA!C1062</f>
        <v>Research &amp; Development</v>
      </c>
      <c r="D1062">
        <f>RAW_DATA!D1062</f>
        <v>9</v>
      </c>
      <c r="E1062">
        <f>RAW_DATA!E1062</f>
        <v>3</v>
      </c>
      <c r="F1062" t="str">
        <f>RAW_DATA!F1062</f>
        <v>Medical</v>
      </c>
      <c r="G1062">
        <f>RAW_DATA!G1062</f>
        <v>2</v>
      </c>
      <c r="H1062">
        <f>RAW_DATA!H1062</f>
        <v>1</v>
      </c>
      <c r="I1062" t="str">
        <f>RAW_DATA!I1062</f>
        <v>Single</v>
      </c>
      <c r="J1062">
        <f>RAW_DATA!J1062</f>
        <v>3172</v>
      </c>
      <c r="K1062">
        <f>RAW_DATA!K1062</f>
        <v>2</v>
      </c>
      <c r="L1062">
        <f>RAW_DATA!L1062</f>
        <v>2</v>
      </c>
      <c r="M1062">
        <f>RAW_DATA!M1062</f>
        <v>0</v>
      </c>
      <c r="N1062">
        <f t="shared" si="32"/>
        <v>1</v>
      </c>
      <c r="O1062" t="str" cm="1">
        <f t="array" ref="O1062" xml:space="preserve"> _xlfn.IFS(A1062 &lt;ASSUMPTIONS!$D$2,"25",A1062 &lt;= ASSUMPTIONS!$D$3,"25-34",A1062 &lt;= ASSUMPTIONS!$D$4, "35-44",A1062 &lt;= ASSUMPTIONS!$D$5,"45-54",TRUE,"55+")</f>
        <v>25</v>
      </c>
      <c r="P1062" t="str" cm="1">
        <f t="array" ref="P1062">_xlfn.IFS( J1062 &lt;ASSUMPTIONS!$D$7,"LOW",J1062 &lt;= ASSUMPTIONS!$D$8,"MEDIUM",TRUE, "HIGH")</f>
        <v>MEDIUM</v>
      </c>
      <c r="Q1062" t="str">
        <f>IF(M1062&lt;ASSUMPTIONS!$D$10,"New (0-2)",IF(M1062&lt;=ASSUMPTIONS!$D$11,"Early (2-5)",IF(M1062&lt;=ASSUMPTIONS!$D$12,"Established (5-10)","Veteran (10+)")))</f>
        <v>New (0-2)</v>
      </c>
      <c r="R1062" s="4">
        <f t="shared" si="33"/>
        <v>1.6666666666666667</v>
      </c>
    </row>
    <row r="1063" spans="1:18">
      <c r="A1063">
        <f>RAW_DATA!A1063</f>
        <v>24</v>
      </c>
      <c r="B1063" t="str">
        <f>RAW_DATA!B1063</f>
        <v>No</v>
      </c>
      <c r="C1063" t="str">
        <f>RAW_DATA!C1063</f>
        <v>Sales</v>
      </c>
      <c r="D1063">
        <f>RAW_DATA!D1063</f>
        <v>13</v>
      </c>
      <c r="E1063">
        <f>RAW_DATA!E1063</f>
        <v>2</v>
      </c>
      <c r="F1063" t="str">
        <f>RAW_DATA!F1063</f>
        <v>Life Sciences</v>
      </c>
      <c r="G1063">
        <f>RAW_DATA!G1063</f>
        <v>4</v>
      </c>
      <c r="H1063">
        <f>RAW_DATA!H1063</f>
        <v>2</v>
      </c>
      <c r="I1063" t="str">
        <f>RAW_DATA!I1063</f>
        <v>Married</v>
      </c>
      <c r="J1063">
        <f>RAW_DATA!J1063</f>
        <v>2033</v>
      </c>
      <c r="K1063">
        <f>RAW_DATA!K1063</f>
        <v>1</v>
      </c>
      <c r="L1063">
        <f>RAW_DATA!L1063</f>
        <v>3</v>
      </c>
      <c r="M1063">
        <f>RAW_DATA!M1063</f>
        <v>1</v>
      </c>
      <c r="N1063">
        <f t="shared" si="32"/>
        <v>0</v>
      </c>
      <c r="O1063" t="str" cm="1">
        <f t="array" ref="O1063" xml:space="preserve"> _xlfn.IFS(A1063 &lt;ASSUMPTIONS!$D$2,"25",A1063 &lt;= ASSUMPTIONS!$D$3,"25-34",A1063 &lt;= ASSUMPTIONS!$D$4, "35-44",A1063 &lt;= ASSUMPTIONS!$D$5,"45-54",TRUE,"55+")</f>
        <v>25</v>
      </c>
      <c r="P1063" t="str" cm="1">
        <f t="array" ref="P1063">_xlfn.IFS( J1063 &lt;ASSUMPTIONS!$D$7,"LOW",J1063 &lt;= ASSUMPTIONS!$D$8,"MEDIUM",TRUE, "HIGH")</f>
        <v>LOW</v>
      </c>
      <c r="Q1063" t="str">
        <f>IF(M1063&lt;ASSUMPTIONS!$D$10,"New (0-2)",IF(M1063&lt;=ASSUMPTIONS!$D$11,"Early (2-5)",IF(M1063&lt;=ASSUMPTIONS!$D$12,"Established (5-10)","Veteran (10+)")))</f>
        <v>New (0-2)</v>
      </c>
      <c r="R1063" s="4">
        <f t="shared" si="33"/>
        <v>3</v>
      </c>
    </row>
    <row r="1064" spans="1:18">
      <c r="A1064">
        <f>RAW_DATA!A1064</f>
        <v>44</v>
      </c>
      <c r="B1064" t="str">
        <f>RAW_DATA!B1064</f>
        <v>No</v>
      </c>
      <c r="C1064" t="str">
        <f>RAW_DATA!C1064</f>
        <v>Research &amp; Development</v>
      </c>
      <c r="D1064">
        <f>RAW_DATA!D1064</f>
        <v>2</v>
      </c>
      <c r="E1064">
        <f>RAW_DATA!E1064</f>
        <v>1</v>
      </c>
      <c r="F1064" t="str">
        <f>RAW_DATA!F1064</f>
        <v>Medical</v>
      </c>
      <c r="G1064">
        <f>RAW_DATA!G1064</f>
        <v>2</v>
      </c>
      <c r="H1064">
        <f>RAW_DATA!H1064</f>
        <v>3</v>
      </c>
      <c r="I1064" t="str">
        <f>RAW_DATA!I1064</f>
        <v>Single</v>
      </c>
      <c r="J1064">
        <f>RAW_DATA!J1064</f>
        <v>10209</v>
      </c>
      <c r="K1064">
        <f>RAW_DATA!K1064</f>
        <v>5</v>
      </c>
      <c r="L1064">
        <f>RAW_DATA!L1064</f>
        <v>2</v>
      </c>
      <c r="M1064">
        <f>RAW_DATA!M1064</f>
        <v>2</v>
      </c>
      <c r="N1064">
        <f t="shared" si="32"/>
        <v>0</v>
      </c>
      <c r="O1064" t="str" cm="1">
        <f t="array" ref="O1064" xml:space="preserve"> _xlfn.IFS(A1064 &lt;ASSUMPTIONS!$D$2,"25",A1064 &lt;= ASSUMPTIONS!$D$3,"25-34",A1064 &lt;= ASSUMPTIONS!$D$4, "35-44",A1064 &lt;= ASSUMPTIONS!$D$5,"45-54",TRUE,"55+")</f>
        <v>35-44</v>
      </c>
      <c r="P1064" t="str" cm="1">
        <f t="array" ref="P1064">_xlfn.IFS( J1064 &lt;ASSUMPTIONS!$D$7,"LOW",J1064 &lt;= ASSUMPTIONS!$D$8,"MEDIUM",TRUE, "HIGH")</f>
        <v>HIGH</v>
      </c>
      <c r="Q1064" t="str">
        <f>IF(M1064&lt;ASSUMPTIONS!$D$10,"New (0-2)",IF(M1064&lt;=ASSUMPTIONS!$D$11,"Early (2-5)",IF(M1064&lt;=ASSUMPTIONS!$D$12,"Established (5-10)","Veteran (10+)")))</f>
        <v>Early (2-5)</v>
      </c>
      <c r="R1064" s="4">
        <f t="shared" si="33"/>
        <v>2.3333333333333335</v>
      </c>
    </row>
    <row r="1065" spans="1:18">
      <c r="A1065">
        <f>RAW_DATA!A1065</f>
        <v>29</v>
      </c>
      <c r="B1065" t="str">
        <f>RAW_DATA!B1065</f>
        <v>No</v>
      </c>
      <c r="C1065" t="str">
        <f>RAW_DATA!C1065</f>
        <v>Sales</v>
      </c>
      <c r="D1065">
        <f>RAW_DATA!D1065</f>
        <v>19</v>
      </c>
      <c r="E1065">
        <f>RAW_DATA!E1065</f>
        <v>3</v>
      </c>
      <c r="F1065" t="str">
        <f>RAW_DATA!F1065</f>
        <v>Life Sciences</v>
      </c>
      <c r="G1065">
        <f>RAW_DATA!G1065</f>
        <v>3</v>
      </c>
      <c r="H1065">
        <f>RAW_DATA!H1065</f>
        <v>3</v>
      </c>
      <c r="I1065" t="str">
        <f>RAW_DATA!I1065</f>
        <v>Divorced</v>
      </c>
      <c r="J1065">
        <f>RAW_DATA!J1065</f>
        <v>8620</v>
      </c>
      <c r="K1065">
        <f>RAW_DATA!K1065</f>
        <v>1</v>
      </c>
      <c r="L1065">
        <f>RAW_DATA!L1065</f>
        <v>3</v>
      </c>
      <c r="M1065">
        <f>RAW_DATA!M1065</f>
        <v>10</v>
      </c>
      <c r="N1065">
        <f t="shared" si="32"/>
        <v>0</v>
      </c>
      <c r="O1065" t="str" cm="1">
        <f t="array" ref="O1065" xml:space="preserve"> _xlfn.IFS(A1065 &lt;ASSUMPTIONS!$D$2,"25",A1065 &lt;= ASSUMPTIONS!$D$3,"25-34",A1065 &lt;= ASSUMPTIONS!$D$4, "35-44",A1065 &lt;= ASSUMPTIONS!$D$5,"45-54",TRUE,"55+")</f>
        <v>25-34</v>
      </c>
      <c r="P1065" t="str" cm="1">
        <f t="array" ref="P1065">_xlfn.IFS( J1065 &lt;ASSUMPTIONS!$D$7,"LOW",J1065 &lt;= ASSUMPTIONS!$D$8,"MEDIUM",TRUE, "HIGH")</f>
        <v>HIGH</v>
      </c>
      <c r="Q1065" t="str">
        <f>IF(M1065&lt;ASSUMPTIONS!$D$10,"New (0-2)",IF(M1065&lt;=ASSUMPTIONS!$D$11,"Early (2-5)",IF(M1065&lt;=ASSUMPTIONS!$D$12,"Established (5-10)","Veteran (10+)")))</f>
        <v>Established (5-10)</v>
      </c>
      <c r="R1065" s="4">
        <f t="shared" si="33"/>
        <v>3</v>
      </c>
    </row>
    <row r="1066" spans="1:18">
      <c r="A1066">
        <f>RAW_DATA!A1066</f>
        <v>30</v>
      </c>
      <c r="B1066" t="str">
        <f>RAW_DATA!B1066</f>
        <v>No</v>
      </c>
      <c r="C1066" t="str">
        <f>RAW_DATA!C1066</f>
        <v>Human Resources</v>
      </c>
      <c r="D1066">
        <f>RAW_DATA!D1066</f>
        <v>1</v>
      </c>
      <c r="E1066">
        <f>RAW_DATA!E1066</f>
        <v>3</v>
      </c>
      <c r="F1066" t="str">
        <f>RAW_DATA!F1066</f>
        <v>Life Sciences</v>
      </c>
      <c r="G1066">
        <f>RAW_DATA!G1066</f>
        <v>3</v>
      </c>
      <c r="H1066">
        <f>RAW_DATA!H1066</f>
        <v>3</v>
      </c>
      <c r="I1066" t="str">
        <f>RAW_DATA!I1066</f>
        <v>Divorced</v>
      </c>
      <c r="J1066">
        <f>RAW_DATA!J1066</f>
        <v>2064</v>
      </c>
      <c r="K1066">
        <f>RAW_DATA!K1066</f>
        <v>0</v>
      </c>
      <c r="L1066">
        <f>RAW_DATA!L1066</f>
        <v>4</v>
      </c>
      <c r="M1066">
        <f>RAW_DATA!M1066</f>
        <v>5</v>
      </c>
      <c r="N1066">
        <f t="shared" si="32"/>
        <v>0</v>
      </c>
      <c r="O1066" t="str" cm="1">
        <f t="array" ref="O1066" xml:space="preserve"> _xlfn.IFS(A1066 &lt;ASSUMPTIONS!$D$2,"25",A1066 &lt;= ASSUMPTIONS!$D$3,"25-34",A1066 &lt;= ASSUMPTIONS!$D$4, "35-44",A1066 &lt;= ASSUMPTIONS!$D$5,"45-54",TRUE,"55+")</f>
        <v>25-34</v>
      </c>
      <c r="P1066" t="str" cm="1">
        <f t="array" ref="P1066">_xlfn.IFS( J1066 &lt;ASSUMPTIONS!$D$7,"LOW",J1066 &lt;= ASSUMPTIONS!$D$8,"MEDIUM",TRUE, "HIGH")</f>
        <v>LOW</v>
      </c>
      <c r="Q1066" t="str">
        <f>IF(M1066&lt;ASSUMPTIONS!$D$10,"New (0-2)",IF(M1066&lt;=ASSUMPTIONS!$D$11,"Early (2-5)",IF(M1066&lt;=ASSUMPTIONS!$D$12,"Established (5-10)","Veteran (10+)")))</f>
        <v>Early (2-5)</v>
      </c>
      <c r="R1066" s="4">
        <f t="shared" si="33"/>
        <v>3.3333333333333335</v>
      </c>
    </row>
    <row r="1067" spans="1:18">
      <c r="A1067">
        <f>RAW_DATA!A1067</f>
        <v>55</v>
      </c>
      <c r="B1067" t="str">
        <f>RAW_DATA!B1067</f>
        <v>No</v>
      </c>
      <c r="C1067" t="str">
        <f>RAW_DATA!C1067</f>
        <v>Research &amp; Development</v>
      </c>
      <c r="D1067">
        <f>RAW_DATA!D1067</f>
        <v>4</v>
      </c>
      <c r="E1067">
        <f>RAW_DATA!E1067</f>
        <v>4</v>
      </c>
      <c r="F1067" t="str">
        <f>RAW_DATA!F1067</f>
        <v>Life Sciences</v>
      </c>
      <c r="G1067">
        <f>RAW_DATA!G1067</f>
        <v>4</v>
      </c>
      <c r="H1067">
        <f>RAW_DATA!H1067</f>
        <v>3</v>
      </c>
      <c r="I1067" t="str">
        <f>RAW_DATA!I1067</f>
        <v>Married</v>
      </c>
      <c r="J1067">
        <f>RAW_DATA!J1067</f>
        <v>4035</v>
      </c>
      <c r="K1067">
        <f>RAW_DATA!K1067</f>
        <v>0</v>
      </c>
      <c r="L1067">
        <f>RAW_DATA!L1067</f>
        <v>3</v>
      </c>
      <c r="M1067">
        <f>RAW_DATA!M1067</f>
        <v>3</v>
      </c>
      <c r="N1067">
        <f t="shared" si="32"/>
        <v>0</v>
      </c>
      <c r="O1067" t="str" cm="1">
        <f t="array" ref="O1067" xml:space="preserve"> _xlfn.IFS(A1067 &lt;ASSUMPTIONS!$D$2,"25",A1067 &lt;= ASSUMPTIONS!$D$3,"25-34",A1067 &lt;= ASSUMPTIONS!$D$4, "35-44",A1067 &lt;= ASSUMPTIONS!$D$5,"45-54",TRUE,"55+")</f>
        <v>55+</v>
      </c>
      <c r="P1067" t="str" cm="1">
        <f t="array" ref="P1067">_xlfn.IFS( J1067 &lt;ASSUMPTIONS!$D$7,"LOW",J1067 &lt;= ASSUMPTIONS!$D$8,"MEDIUM",TRUE, "HIGH")</f>
        <v>MEDIUM</v>
      </c>
      <c r="Q1067" t="str">
        <f>IF(M1067&lt;ASSUMPTIONS!$D$10,"New (0-2)",IF(M1067&lt;=ASSUMPTIONS!$D$11,"Early (2-5)",IF(M1067&lt;=ASSUMPTIONS!$D$12,"Established (5-10)","Veteran (10+)")))</f>
        <v>Early (2-5)</v>
      </c>
      <c r="R1067" s="4">
        <f t="shared" si="33"/>
        <v>3.3333333333333335</v>
      </c>
    </row>
    <row r="1068" spans="1:18">
      <c r="A1068">
        <f>RAW_DATA!A1068</f>
        <v>33</v>
      </c>
      <c r="B1068" t="str">
        <f>RAW_DATA!B1068</f>
        <v>No</v>
      </c>
      <c r="C1068" t="str">
        <f>RAW_DATA!C1068</f>
        <v>Research &amp; Development</v>
      </c>
      <c r="D1068">
        <f>RAW_DATA!D1068</f>
        <v>4</v>
      </c>
      <c r="E1068">
        <f>RAW_DATA!E1068</f>
        <v>4</v>
      </c>
      <c r="F1068" t="str">
        <f>RAW_DATA!F1068</f>
        <v>Medical</v>
      </c>
      <c r="G1068">
        <f>RAW_DATA!G1068</f>
        <v>1</v>
      </c>
      <c r="H1068">
        <f>RAW_DATA!H1068</f>
        <v>2</v>
      </c>
      <c r="I1068" t="str">
        <f>RAW_DATA!I1068</f>
        <v>Married</v>
      </c>
      <c r="J1068">
        <f>RAW_DATA!J1068</f>
        <v>3838</v>
      </c>
      <c r="K1068">
        <f>RAW_DATA!K1068</f>
        <v>8</v>
      </c>
      <c r="L1068">
        <f>RAW_DATA!L1068</f>
        <v>3</v>
      </c>
      <c r="M1068">
        <f>RAW_DATA!M1068</f>
        <v>5</v>
      </c>
      <c r="N1068">
        <f t="shared" si="32"/>
        <v>0</v>
      </c>
      <c r="O1068" t="str" cm="1">
        <f t="array" ref="O1068" xml:space="preserve"> _xlfn.IFS(A1068 &lt;ASSUMPTIONS!$D$2,"25",A1068 &lt;= ASSUMPTIONS!$D$3,"25-34",A1068 &lt;= ASSUMPTIONS!$D$4, "35-44",A1068 &lt;= ASSUMPTIONS!$D$5,"45-54",TRUE,"55+")</f>
        <v>25-34</v>
      </c>
      <c r="P1068" t="str" cm="1">
        <f t="array" ref="P1068">_xlfn.IFS( J1068 &lt;ASSUMPTIONS!$D$7,"LOW",J1068 &lt;= ASSUMPTIONS!$D$8,"MEDIUM",TRUE, "HIGH")</f>
        <v>MEDIUM</v>
      </c>
      <c r="Q1068" t="str">
        <f>IF(M1068&lt;ASSUMPTIONS!$D$10,"New (0-2)",IF(M1068&lt;=ASSUMPTIONS!$D$11,"Early (2-5)",IF(M1068&lt;=ASSUMPTIONS!$D$12,"Established (5-10)","Veteran (10+)")))</f>
        <v>Early (2-5)</v>
      </c>
      <c r="R1068" s="4">
        <f t="shared" si="33"/>
        <v>2</v>
      </c>
    </row>
    <row r="1069" spans="1:18">
      <c r="A1069">
        <f>RAW_DATA!A1069</f>
        <v>47</v>
      </c>
      <c r="B1069" t="str">
        <f>RAW_DATA!B1069</f>
        <v>No</v>
      </c>
      <c r="C1069" t="str">
        <f>RAW_DATA!C1069</f>
        <v>Sales</v>
      </c>
      <c r="D1069">
        <f>RAW_DATA!D1069</f>
        <v>14</v>
      </c>
      <c r="E1069">
        <f>RAW_DATA!E1069</f>
        <v>3</v>
      </c>
      <c r="F1069" t="str">
        <f>RAW_DATA!F1069</f>
        <v>Medical</v>
      </c>
      <c r="G1069">
        <f>RAW_DATA!G1069</f>
        <v>3</v>
      </c>
      <c r="H1069">
        <f>RAW_DATA!H1069</f>
        <v>3</v>
      </c>
      <c r="I1069" t="str">
        <f>RAW_DATA!I1069</f>
        <v>Married</v>
      </c>
      <c r="J1069">
        <f>RAW_DATA!J1069</f>
        <v>4591</v>
      </c>
      <c r="K1069">
        <f>RAW_DATA!K1069</f>
        <v>3</v>
      </c>
      <c r="L1069">
        <f>RAW_DATA!L1069</f>
        <v>2</v>
      </c>
      <c r="M1069">
        <f>RAW_DATA!M1069</f>
        <v>5</v>
      </c>
      <c r="N1069">
        <f t="shared" si="32"/>
        <v>0</v>
      </c>
      <c r="O1069" t="str" cm="1">
        <f t="array" ref="O1069" xml:space="preserve"> _xlfn.IFS(A1069 &lt;ASSUMPTIONS!$D$2,"25",A1069 &lt;= ASSUMPTIONS!$D$3,"25-34",A1069 &lt;= ASSUMPTIONS!$D$4, "35-44",A1069 &lt;= ASSUMPTIONS!$D$5,"45-54",TRUE,"55+")</f>
        <v>45-54</v>
      </c>
      <c r="P1069" t="str" cm="1">
        <f t="array" ref="P1069">_xlfn.IFS( J1069 &lt;ASSUMPTIONS!$D$7,"LOW",J1069 &lt;= ASSUMPTIONS!$D$8,"MEDIUM",TRUE, "HIGH")</f>
        <v>MEDIUM</v>
      </c>
      <c r="Q1069" t="str">
        <f>IF(M1069&lt;ASSUMPTIONS!$D$10,"New (0-2)",IF(M1069&lt;=ASSUMPTIONS!$D$11,"Early (2-5)",IF(M1069&lt;=ASSUMPTIONS!$D$12,"Established (5-10)","Veteran (10+)")))</f>
        <v>Early (2-5)</v>
      </c>
      <c r="R1069" s="4">
        <f t="shared" si="33"/>
        <v>2.6666666666666665</v>
      </c>
    </row>
    <row r="1070" spans="1:18">
      <c r="A1070">
        <f>RAW_DATA!A1070</f>
        <v>28</v>
      </c>
      <c r="B1070" t="str">
        <f>RAW_DATA!B1070</f>
        <v>Yes</v>
      </c>
      <c r="C1070" t="str">
        <f>RAW_DATA!C1070</f>
        <v>Research &amp; Development</v>
      </c>
      <c r="D1070">
        <f>RAW_DATA!D1070</f>
        <v>2</v>
      </c>
      <c r="E1070">
        <f>RAW_DATA!E1070</f>
        <v>2</v>
      </c>
      <c r="F1070" t="str">
        <f>RAW_DATA!F1070</f>
        <v>Medical</v>
      </c>
      <c r="G1070">
        <f>RAW_DATA!G1070</f>
        <v>3</v>
      </c>
      <c r="H1070">
        <f>RAW_DATA!H1070</f>
        <v>1</v>
      </c>
      <c r="I1070" t="str">
        <f>RAW_DATA!I1070</f>
        <v>Single</v>
      </c>
      <c r="J1070">
        <f>RAW_DATA!J1070</f>
        <v>2561</v>
      </c>
      <c r="K1070">
        <f>RAW_DATA!K1070</f>
        <v>7</v>
      </c>
      <c r="L1070">
        <f>RAW_DATA!L1070</f>
        <v>2</v>
      </c>
      <c r="M1070">
        <f>RAW_DATA!M1070</f>
        <v>0</v>
      </c>
      <c r="N1070">
        <f t="shared" si="32"/>
        <v>1</v>
      </c>
      <c r="O1070" t="str" cm="1">
        <f t="array" ref="O1070" xml:space="preserve"> _xlfn.IFS(A1070 &lt;ASSUMPTIONS!$D$2,"25",A1070 &lt;= ASSUMPTIONS!$D$3,"25-34",A1070 &lt;= ASSUMPTIONS!$D$4, "35-44",A1070 &lt;= ASSUMPTIONS!$D$5,"45-54",TRUE,"55+")</f>
        <v>25-34</v>
      </c>
      <c r="P1070" t="str" cm="1">
        <f t="array" ref="P1070">_xlfn.IFS( J1070 &lt;ASSUMPTIONS!$D$7,"LOW",J1070 &lt;= ASSUMPTIONS!$D$8,"MEDIUM",TRUE, "HIGH")</f>
        <v>LOW</v>
      </c>
      <c r="Q1070" t="str">
        <f>IF(M1070&lt;ASSUMPTIONS!$D$10,"New (0-2)",IF(M1070&lt;=ASSUMPTIONS!$D$11,"Early (2-5)",IF(M1070&lt;=ASSUMPTIONS!$D$12,"Established (5-10)","Veteran (10+)")))</f>
        <v>New (0-2)</v>
      </c>
      <c r="R1070" s="4">
        <f t="shared" si="33"/>
        <v>2</v>
      </c>
    </row>
    <row r="1071" spans="1:18">
      <c r="A1071">
        <f>RAW_DATA!A1071</f>
        <v>28</v>
      </c>
      <c r="B1071" t="str">
        <f>RAW_DATA!B1071</f>
        <v>No</v>
      </c>
      <c r="C1071" t="str">
        <f>RAW_DATA!C1071</f>
        <v>Research &amp; Development</v>
      </c>
      <c r="D1071">
        <f>RAW_DATA!D1071</f>
        <v>1</v>
      </c>
      <c r="E1071">
        <f>RAW_DATA!E1071</f>
        <v>3</v>
      </c>
      <c r="F1071" t="str">
        <f>RAW_DATA!F1071</f>
        <v>Life Sciences</v>
      </c>
      <c r="G1071">
        <f>RAW_DATA!G1071</f>
        <v>1</v>
      </c>
      <c r="H1071">
        <f>RAW_DATA!H1071</f>
        <v>3</v>
      </c>
      <c r="I1071" t="str">
        <f>RAW_DATA!I1071</f>
        <v>Divorced</v>
      </c>
      <c r="J1071">
        <f>RAW_DATA!J1071</f>
        <v>1563</v>
      </c>
      <c r="K1071">
        <f>RAW_DATA!K1071</f>
        <v>1</v>
      </c>
      <c r="L1071">
        <f>RAW_DATA!L1071</f>
        <v>1</v>
      </c>
      <c r="M1071">
        <f>RAW_DATA!M1071</f>
        <v>1</v>
      </c>
      <c r="N1071">
        <f t="shared" si="32"/>
        <v>0</v>
      </c>
      <c r="O1071" t="str" cm="1">
        <f t="array" ref="O1071" xml:space="preserve"> _xlfn.IFS(A1071 &lt;ASSUMPTIONS!$D$2,"25",A1071 &lt;= ASSUMPTIONS!$D$3,"25-34",A1071 &lt;= ASSUMPTIONS!$D$4, "35-44",A1071 &lt;= ASSUMPTIONS!$D$5,"45-54",TRUE,"55+")</f>
        <v>25-34</v>
      </c>
      <c r="P1071" t="str" cm="1">
        <f t="array" ref="P1071">_xlfn.IFS( J1071 &lt;ASSUMPTIONS!$D$7,"LOW",J1071 &lt;= ASSUMPTIONS!$D$8,"MEDIUM",TRUE, "HIGH")</f>
        <v>LOW</v>
      </c>
      <c r="Q1071" t="str">
        <f>IF(M1071&lt;ASSUMPTIONS!$D$10,"New (0-2)",IF(M1071&lt;=ASSUMPTIONS!$D$11,"Early (2-5)",IF(M1071&lt;=ASSUMPTIONS!$D$12,"Established (5-10)","Veteran (10+)")))</f>
        <v>New (0-2)</v>
      </c>
      <c r="R1071" s="4">
        <f t="shared" si="33"/>
        <v>1.6666666666666667</v>
      </c>
    </row>
    <row r="1072" spans="1:18">
      <c r="A1072">
        <f>RAW_DATA!A1072</f>
        <v>28</v>
      </c>
      <c r="B1072" t="str">
        <f>RAW_DATA!B1072</f>
        <v>No</v>
      </c>
      <c r="C1072" t="str">
        <f>RAW_DATA!C1072</f>
        <v>Sales</v>
      </c>
      <c r="D1072">
        <f>RAW_DATA!D1072</f>
        <v>7</v>
      </c>
      <c r="E1072">
        <f>RAW_DATA!E1072</f>
        <v>3</v>
      </c>
      <c r="F1072" t="str">
        <f>RAW_DATA!F1072</f>
        <v>Life Sciences</v>
      </c>
      <c r="G1072">
        <f>RAW_DATA!G1072</f>
        <v>3</v>
      </c>
      <c r="H1072">
        <f>RAW_DATA!H1072</f>
        <v>1</v>
      </c>
      <c r="I1072" t="str">
        <f>RAW_DATA!I1072</f>
        <v>Single</v>
      </c>
      <c r="J1072">
        <f>RAW_DATA!J1072</f>
        <v>4898</v>
      </c>
      <c r="K1072">
        <f>RAW_DATA!K1072</f>
        <v>0</v>
      </c>
      <c r="L1072">
        <f>RAW_DATA!L1072</f>
        <v>3</v>
      </c>
      <c r="M1072">
        <f>RAW_DATA!M1072</f>
        <v>4</v>
      </c>
      <c r="N1072">
        <f t="shared" si="32"/>
        <v>0</v>
      </c>
      <c r="O1072" t="str" cm="1">
        <f t="array" ref="O1072" xml:space="preserve"> _xlfn.IFS(A1072 &lt;ASSUMPTIONS!$D$2,"25",A1072 &lt;= ASSUMPTIONS!$D$3,"25-34",A1072 &lt;= ASSUMPTIONS!$D$4, "35-44",A1072 &lt;= ASSUMPTIONS!$D$5,"45-54",TRUE,"55+")</f>
        <v>25-34</v>
      </c>
      <c r="P1072" t="str" cm="1">
        <f t="array" ref="P1072">_xlfn.IFS( J1072 &lt;ASSUMPTIONS!$D$7,"LOW",J1072 &lt;= ASSUMPTIONS!$D$8,"MEDIUM",TRUE, "HIGH")</f>
        <v>MEDIUM</v>
      </c>
      <c r="Q1072" t="str">
        <f>IF(M1072&lt;ASSUMPTIONS!$D$10,"New (0-2)",IF(M1072&lt;=ASSUMPTIONS!$D$11,"Early (2-5)",IF(M1072&lt;=ASSUMPTIONS!$D$12,"Established (5-10)","Veteran (10+)")))</f>
        <v>Early (2-5)</v>
      </c>
      <c r="R1072" s="4">
        <f t="shared" si="33"/>
        <v>2.3333333333333335</v>
      </c>
    </row>
    <row r="1073" spans="1:18">
      <c r="A1073">
        <f>RAW_DATA!A1073</f>
        <v>49</v>
      </c>
      <c r="B1073" t="str">
        <f>RAW_DATA!B1073</f>
        <v>No</v>
      </c>
      <c r="C1073" t="str">
        <f>RAW_DATA!C1073</f>
        <v>Research &amp; Development</v>
      </c>
      <c r="D1073">
        <f>RAW_DATA!D1073</f>
        <v>3</v>
      </c>
      <c r="E1073">
        <f>RAW_DATA!E1073</f>
        <v>2</v>
      </c>
      <c r="F1073" t="str">
        <f>RAW_DATA!F1073</f>
        <v>Medical</v>
      </c>
      <c r="G1073">
        <f>RAW_DATA!G1073</f>
        <v>3</v>
      </c>
      <c r="H1073">
        <f>RAW_DATA!H1073</f>
        <v>1</v>
      </c>
      <c r="I1073" t="str">
        <f>RAW_DATA!I1073</f>
        <v>Married</v>
      </c>
      <c r="J1073">
        <f>RAW_DATA!J1073</f>
        <v>4789</v>
      </c>
      <c r="K1073">
        <f>RAW_DATA!K1073</f>
        <v>4</v>
      </c>
      <c r="L1073">
        <f>RAW_DATA!L1073</f>
        <v>3</v>
      </c>
      <c r="M1073">
        <f>RAW_DATA!M1073</f>
        <v>3</v>
      </c>
      <c r="N1073">
        <f t="shared" si="32"/>
        <v>0</v>
      </c>
      <c r="O1073" t="str" cm="1">
        <f t="array" ref="O1073" xml:space="preserve"> _xlfn.IFS(A1073 &lt;ASSUMPTIONS!$D$2,"25",A1073 &lt;= ASSUMPTIONS!$D$3,"25-34",A1073 &lt;= ASSUMPTIONS!$D$4, "35-44",A1073 &lt;= ASSUMPTIONS!$D$5,"45-54",TRUE,"55+")</f>
        <v>45-54</v>
      </c>
      <c r="P1073" t="str" cm="1">
        <f t="array" ref="P1073">_xlfn.IFS( J1073 &lt;ASSUMPTIONS!$D$7,"LOW",J1073 &lt;= ASSUMPTIONS!$D$8,"MEDIUM",TRUE, "HIGH")</f>
        <v>MEDIUM</v>
      </c>
      <c r="Q1073" t="str">
        <f>IF(M1073&lt;ASSUMPTIONS!$D$10,"New (0-2)",IF(M1073&lt;=ASSUMPTIONS!$D$11,"Early (2-5)",IF(M1073&lt;=ASSUMPTIONS!$D$12,"Established (5-10)","Veteran (10+)")))</f>
        <v>Early (2-5)</v>
      </c>
      <c r="R1073" s="4">
        <f t="shared" si="33"/>
        <v>2.3333333333333335</v>
      </c>
    </row>
    <row r="1074" spans="1:18">
      <c r="A1074">
        <f>RAW_DATA!A1074</f>
        <v>29</v>
      </c>
      <c r="B1074" t="str">
        <f>RAW_DATA!B1074</f>
        <v>No</v>
      </c>
      <c r="C1074" t="str">
        <f>RAW_DATA!C1074</f>
        <v>Research &amp; Development</v>
      </c>
      <c r="D1074">
        <f>RAW_DATA!D1074</f>
        <v>2</v>
      </c>
      <c r="E1074">
        <f>RAW_DATA!E1074</f>
        <v>1</v>
      </c>
      <c r="F1074" t="str">
        <f>RAW_DATA!F1074</f>
        <v>Life Sciences</v>
      </c>
      <c r="G1074">
        <f>RAW_DATA!G1074</f>
        <v>4</v>
      </c>
      <c r="H1074">
        <f>RAW_DATA!H1074</f>
        <v>2</v>
      </c>
      <c r="I1074" t="str">
        <f>RAW_DATA!I1074</f>
        <v>Married</v>
      </c>
      <c r="J1074">
        <f>RAW_DATA!J1074</f>
        <v>3180</v>
      </c>
      <c r="K1074">
        <f>RAW_DATA!K1074</f>
        <v>0</v>
      </c>
      <c r="L1074">
        <f>RAW_DATA!L1074</f>
        <v>3</v>
      </c>
      <c r="M1074">
        <f>RAW_DATA!M1074</f>
        <v>3</v>
      </c>
      <c r="N1074">
        <f t="shared" si="32"/>
        <v>0</v>
      </c>
      <c r="O1074" t="str" cm="1">
        <f t="array" ref="O1074" xml:space="preserve"> _xlfn.IFS(A1074 &lt;ASSUMPTIONS!$D$2,"25",A1074 &lt;= ASSUMPTIONS!$D$3,"25-34",A1074 &lt;= ASSUMPTIONS!$D$4, "35-44",A1074 &lt;= ASSUMPTIONS!$D$5,"45-54",TRUE,"55+")</f>
        <v>25-34</v>
      </c>
      <c r="P1074" t="str" cm="1">
        <f t="array" ref="P1074">_xlfn.IFS( J1074 &lt;ASSUMPTIONS!$D$7,"LOW",J1074 &lt;= ASSUMPTIONS!$D$8,"MEDIUM",TRUE, "HIGH")</f>
        <v>MEDIUM</v>
      </c>
      <c r="Q1074" t="str">
        <f>IF(M1074&lt;ASSUMPTIONS!$D$10,"New (0-2)",IF(M1074&lt;=ASSUMPTIONS!$D$11,"Early (2-5)",IF(M1074&lt;=ASSUMPTIONS!$D$12,"Established (5-10)","Veteran (10+)")))</f>
        <v>Early (2-5)</v>
      </c>
      <c r="R1074" s="4">
        <f t="shared" si="33"/>
        <v>3</v>
      </c>
    </row>
    <row r="1075" spans="1:18">
      <c r="A1075">
        <f>RAW_DATA!A1075</f>
        <v>28</v>
      </c>
      <c r="B1075" t="str">
        <f>RAW_DATA!B1075</f>
        <v>No</v>
      </c>
      <c r="C1075" t="str">
        <f>RAW_DATA!C1075</f>
        <v>Research &amp; Development</v>
      </c>
      <c r="D1075">
        <f>RAW_DATA!D1075</f>
        <v>29</v>
      </c>
      <c r="E1075">
        <f>RAW_DATA!E1075</f>
        <v>1</v>
      </c>
      <c r="F1075" t="str">
        <f>RAW_DATA!F1075</f>
        <v>Life Sciences</v>
      </c>
      <c r="G1075">
        <f>RAW_DATA!G1075</f>
        <v>3</v>
      </c>
      <c r="H1075">
        <f>RAW_DATA!H1075</f>
        <v>2</v>
      </c>
      <c r="I1075" t="str">
        <f>RAW_DATA!I1075</f>
        <v>Married</v>
      </c>
      <c r="J1075">
        <f>RAW_DATA!J1075</f>
        <v>6549</v>
      </c>
      <c r="K1075">
        <f>RAW_DATA!K1075</f>
        <v>1</v>
      </c>
      <c r="L1075">
        <f>RAW_DATA!L1075</f>
        <v>2</v>
      </c>
      <c r="M1075">
        <f>RAW_DATA!M1075</f>
        <v>8</v>
      </c>
      <c r="N1075">
        <f t="shared" si="32"/>
        <v>0</v>
      </c>
      <c r="O1075" t="str" cm="1">
        <f t="array" ref="O1075" xml:space="preserve"> _xlfn.IFS(A1075 &lt;ASSUMPTIONS!$D$2,"25",A1075 &lt;= ASSUMPTIONS!$D$3,"25-34",A1075 &lt;= ASSUMPTIONS!$D$4, "35-44",A1075 &lt;= ASSUMPTIONS!$D$5,"45-54",TRUE,"55+")</f>
        <v>25-34</v>
      </c>
      <c r="P1075" t="str" cm="1">
        <f t="array" ref="P1075">_xlfn.IFS( J1075 &lt;ASSUMPTIONS!$D$7,"LOW",J1075 &lt;= ASSUMPTIONS!$D$8,"MEDIUM",TRUE, "HIGH")</f>
        <v>MEDIUM</v>
      </c>
      <c r="Q1075" t="str">
        <f>IF(M1075&lt;ASSUMPTIONS!$D$10,"New (0-2)",IF(M1075&lt;=ASSUMPTIONS!$D$11,"Early (2-5)",IF(M1075&lt;=ASSUMPTIONS!$D$12,"Established (5-10)","Veteran (10+)")))</f>
        <v>Established (5-10)</v>
      </c>
      <c r="R1075" s="4">
        <f t="shared" si="33"/>
        <v>2.3333333333333335</v>
      </c>
    </row>
    <row r="1076" spans="1:18">
      <c r="A1076">
        <f>RAW_DATA!A1076</f>
        <v>33</v>
      </c>
      <c r="B1076" t="str">
        <f>RAW_DATA!B1076</f>
        <v>No</v>
      </c>
      <c r="C1076" t="str">
        <f>RAW_DATA!C1076</f>
        <v>Research &amp; Development</v>
      </c>
      <c r="D1076">
        <f>RAW_DATA!D1076</f>
        <v>8</v>
      </c>
      <c r="E1076">
        <f>RAW_DATA!E1076</f>
        <v>5</v>
      </c>
      <c r="F1076" t="str">
        <f>RAW_DATA!F1076</f>
        <v>Life Sciences</v>
      </c>
      <c r="G1076">
        <f>RAW_DATA!G1076</f>
        <v>4</v>
      </c>
      <c r="H1076">
        <f>RAW_DATA!H1076</f>
        <v>3</v>
      </c>
      <c r="I1076" t="str">
        <f>RAW_DATA!I1076</f>
        <v>Single</v>
      </c>
      <c r="J1076">
        <f>RAW_DATA!J1076</f>
        <v>6388</v>
      </c>
      <c r="K1076">
        <f>RAW_DATA!K1076</f>
        <v>2</v>
      </c>
      <c r="L1076">
        <f>RAW_DATA!L1076</f>
        <v>3</v>
      </c>
      <c r="M1076">
        <f>RAW_DATA!M1076</f>
        <v>0</v>
      </c>
      <c r="N1076">
        <f t="shared" si="32"/>
        <v>0</v>
      </c>
      <c r="O1076" t="str" cm="1">
        <f t="array" ref="O1076" xml:space="preserve"> _xlfn.IFS(A1076 &lt;ASSUMPTIONS!$D$2,"25",A1076 &lt;= ASSUMPTIONS!$D$3,"25-34",A1076 &lt;= ASSUMPTIONS!$D$4, "35-44",A1076 &lt;= ASSUMPTIONS!$D$5,"45-54",TRUE,"55+")</f>
        <v>25-34</v>
      </c>
      <c r="P1076" t="str" cm="1">
        <f t="array" ref="P1076">_xlfn.IFS( J1076 &lt;ASSUMPTIONS!$D$7,"LOW",J1076 &lt;= ASSUMPTIONS!$D$8,"MEDIUM",TRUE, "HIGH")</f>
        <v>MEDIUM</v>
      </c>
      <c r="Q1076" t="str">
        <f>IF(M1076&lt;ASSUMPTIONS!$D$10,"New (0-2)",IF(M1076&lt;=ASSUMPTIONS!$D$11,"Early (2-5)",IF(M1076&lt;=ASSUMPTIONS!$D$12,"Established (5-10)","Veteran (10+)")))</f>
        <v>New (0-2)</v>
      </c>
      <c r="R1076" s="4">
        <f t="shared" si="33"/>
        <v>3.3333333333333335</v>
      </c>
    </row>
    <row r="1077" spans="1:18">
      <c r="A1077">
        <f>RAW_DATA!A1077</f>
        <v>32</v>
      </c>
      <c r="B1077" t="str">
        <f>RAW_DATA!B1077</f>
        <v>No</v>
      </c>
      <c r="C1077" t="str">
        <f>RAW_DATA!C1077</f>
        <v>Research &amp; Development</v>
      </c>
      <c r="D1077">
        <f>RAW_DATA!D1077</f>
        <v>10</v>
      </c>
      <c r="E1077">
        <f>RAW_DATA!E1077</f>
        <v>3</v>
      </c>
      <c r="F1077" t="str">
        <f>RAW_DATA!F1077</f>
        <v>Medical</v>
      </c>
      <c r="G1077">
        <f>RAW_DATA!G1077</f>
        <v>3</v>
      </c>
      <c r="H1077">
        <f>RAW_DATA!H1077</f>
        <v>4</v>
      </c>
      <c r="I1077" t="str">
        <f>RAW_DATA!I1077</f>
        <v>Single</v>
      </c>
      <c r="J1077">
        <f>RAW_DATA!J1077</f>
        <v>11244</v>
      </c>
      <c r="K1077">
        <f>RAW_DATA!K1077</f>
        <v>2</v>
      </c>
      <c r="L1077">
        <f>RAW_DATA!L1077</f>
        <v>4</v>
      </c>
      <c r="M1077">
        <f>RAW_DATA!M1077</f>
        <v>5</v>
      </c>
      <c r="N1077">
        <f t="shared" si="32"/>
        <v>0</v>
      </c>
      <c r="O1077" t="str" cm="1">
        <f t="array" ref="O1077" xml:space="preserve"> _xlfn.IFS(A1077 &lt;ASSUMPTIONS!$D$2,"25",A1077 &lt;= ASSUMPTIONS!$D$3,"25-34",A1077 &lt;= ASSUMPTIONS!$D$4, "35-44",A1077 &lt;= ASSUMPTIONS!$D$5,"45-54",TRUE,"55+")</f>
        <v>25-34</v>
      </c>
      <c r="P1077" t="str" cm="1">
        <f t="array" ref="P1077">_xlfn.IFS( J1077 &lt;ASSUMPTIONS!$D$7,"LOW",J1077 &lt;= ASSUMPTIONS!$D$8,"MEDIUM",TRUE, "HIGH")</f>
        <v>HIGH</v>
      </c>
      <c r="Q1077" t="str">
        <f>IF(M1077&lt;ASSUMPTIONS!$D$10,"New (0-2)",IF(M1077&lt;=ASSUMPTIONS!$D$11,"Early (2-5)",IF(M1077&lt;=ASSUMPTIONS!$D$12,"Established (5-10)","Veteran (10+)")))</f>
        <v>Early (2-5)</v>
      </c>
      <c r="R1077" s="4">
        <f t="shared" si="33"/>
        <v>3.6666666666666665</v>
      </c>
    </row>
    <row r="1078" spans="1:18">
      <c r="A1078">
        <f>RAW_DATA!A1078</f>
        <v>54</v>
      </c>
      <c r="B1078" t="str">
        <f>RAW_DATA!B1078</f>
        <v>No</v>
      </c>
      <c r="C1078" t="str">
        <f>RAW_DATA!C1078</f>
        <v>Research &amp; Development</v>
      </c>
      <c r="D1078">
        <f>RAW_DATA!D1078</f>
        <v>11</v>
      </c>
      <c r="E1078">
        <f>RAW_DATA!E1078</f>
        <v>4</v>
      </c>
      <c r="F1078" t="str">
        <f>RAW_DATA!F1078</f>
        <v>Medical</v>
      </c>
      <c r="G1078">
        <f>RAW_DATA!G1078</f>
        <v>2</v>
      </c>
      <c r="H1078">
        <f>RAW_DATA!H1078</f>
        <v>4</v>
      </c>
      <c r="I1078" t="str">
        <f>RAW_DATA!I1078</f>
        <v>Divorced</v>
      </c>
      <c r="J1078">
        <f>RAW_DATA!J1078</f>
        <v>16032</v>
      </c>
      <c r="K1078">
        <f>RAW_DATA!K1078</f>
        <v>3</v>
      </c>
      <c r="L1078">
        <f>RAW_DATA!L1078</f>
        <v>3</v>
      </c>
      <c r="M1078">
        <f>RAW_DATA!M1078</f>
        <v>14</v>
      </c>
      <c r="N1078">
        <f t="shared" si="32"/>
        <v>0</v>
      </c>
      <c r="O1078" t="str" cm="1">
        <f t="array" ref="O1078" xml:space="preserve"> _xlfn.IFS(A1078 &lt;ASSUMPTIONS!$D$2,"25",A1078 &lt;= ASSUMPTIONS!$D$3,"25-34",A1078 &lt;= ASSUMPTIONS!$D$4, "35-44",A1078 &lt;= ASSUMPTIONS!$D$5,"45-54",TRUE,"55+")</f>
        <v>45-54</v>
      </c>
      <c r="P1078" t="str" cm="1">
        <f t="array" ref="P1078">_xlfn.IFS( J1078 &lt;ASSUMPTIONS!$D$7,"LOW",J1078 &lt;= ASSUMPTIONS!$D$8,"MEDIUM",TRUE, "HIGH")</f>
        <v>HIGH</v>
      </c>
      <c r="Q1078" t="str">
        <f>IF(M1078&lt;ASSUMPTIONS!$D$10,"New (0-2)",IF(M1078&lt;=ASSUMPTIONS!$D$11,"Early (2-5)",IF(M1078&lt;=ASSUMPTIONS!$D$12,"Established (5-10)","Veteran (10+)")))</f>
        <v>Veteran (10+)</v>
      </c>
      <c r="R1078" s="4">
        <f t="shared" si="33"/>
        <v>3</v>
      </c>
    </row>
    <row r="1079" spans="1:18">
      <c r="A1079">
        <f>RAW_DATA!A1079</f>
        <v>29</v>
      </c>
      <c r="B1079" t="str">
        <f>RAW_DATA!B1079</f>
        <v>Yes</v>
      </c>
      <c r="C1079" t="str">
        <f>RAW_DATA!C1079</f>
        <v>Research &amp; Development</v>
      </c>
      <c r="D1079">
        <f>RAW_DATA!D1079</f>
        <v>1</v>
      </c>
      <c r="E1079">
        <f>RAW_DATA!E1079</f>
        <v>4</v>
      </c>
      <c r="F1079" t="str">
        <f>RAW_DATA!F1079</f>
        <v>Technical Degree</v>
      </c>
      <c r="G1079">
        <f>RAW_DATA!G1079</f>
        <v>1</v>
      </c>
      <c r="H1079">
        <f>RAW_DATA!H1079</f>
        <v>1</v>
      </c>
      <c r="I1079" t="str">
        <f>RAW_DATA!I1079</f>
        <v>Single</v>
      </c>
      <c r="J1079">
        <f>RAW_DATA!J1079</f>
        <v>2362</v>
      </c>
      <c r="K1079">
        <f>RAW_DATA!K1079</f>
        <v>6</v>
      </c>
      <c r="L1079">
        <f>RAW_DATA!L1079</f>
        <v>1</v>
      </c>
      <c r="M1079">
        <f>RAW_DATA!M1079</f>
        <v>9</v>
      </c>
      <c r="N1079">
        <f t="shared" si="32"/>
        <v>1</v>
      </c>
      <c r="O1079" t="str" cm="1">
        <f t="array" ref="O1079" xml:space="preserve"> _xlfn.IFS(A1079 &lt;ASSUMPTIONS!$D$2,"25",A1079 &lt;= ASSUMPTIONS!$D$3,"25-34",A1079 &lt;= ASSUMPTIONS!$D$4, "35-44",A1079 &lt;= ASSUMPTIONS!$D$5,"45-54",TRUE,"55+")</f>
        <v>25-34</v>
      </c>
      <c r="P1079" t="str" cm="1">
        <f t="array" ref="P1079">_xlfn.IFS( J1079 &lt;ASSUMPTIONS!$D$7,"LOW",J1079 &lt;= ASSUMPTIONS!$D$8,"MEDIUM",TRUE, "HIGH")</f>
        <v>LOW</v>
      </c>
      <c r="Q1079" t="str">
        <f>IF(M1079&lt;ASSUMPTIONS!$D$10,"New (0-2)",IF(M1079&lt;=ASSUMPTIONS!$D$11,"Early (2-5)",IF(M1079&lt;=ASSUMPTIONS!$D$12,"Established (5-10)","Veteran (10+)")))</f>
        <v>Established (5-10)</v>
      </c>
      <c r="R1079" s="4">
        <f t="shared" si="33"/>
        <v>1</v>
      </c>
    </row>
    <row r="1080" spans="1:18">
      <c r="A1080">
        <f>RAW_DATA!A1080</f>
        <v>44</v>
      </c>
      <c r="B1080" t="str">
        <f>RAW_DATA!B1080</f>
        <v>No</v>
      </c>
      <c r="C1080" t="str">
        <f>RAW_DATA!C1080</f>
        <v>Research &amp; Development</v>
      </c>
      <c r="D1080">
        <f>RAW_DATA!D1080</f>
        <v>28</v>
      </c>
      <c r="E1080">
        <f>RAW_DATA!E1080</f>
        <v>3</v>
      </c>
      <c r="F1080" t="str">
        <f>RAW_DATA!F1080</f>
        <v>Life Sciences</v>
      </c>
      <c r="G1080">
        <f>RAW_DATA!G1080</f>
        <v>4</v>
      </c>
      <c r="H1080">
        <f>RAW_DATA!H1080</f>
        <v>1</v>
      </c>
      <c r="I1080" t="str">
        <f>RAW_DATA!I1080</f>
        <v>Married</v>
      </c>
      <c r="J1080">
        <f>RAW_DATA!J1080</f>
        <v>16328</v>
      </c>
      <c r="K1080">
        <f>RAW_DATA!K1080</f>
        <v>3</v>
      </c>
      <c r="L1080">
        <f>RAW_DATA!L1080</f>
        <v>4</v>
      </c>
      <c r="M1080">
        <f>RAW_DATA!M1080</f>
        <v>20</v>
      </c>
      <c r="N1080">
        <f t="shared" si="32"/>
        <v>0</v>
      </c>
      <c r="O1080" t="str" cm="1">
        <f t="array" ref="O1080" xml:space="preserve"> _xlfn.IFS(A1080 &lt;ASSUMPTIONS!$D$2,"25",A1080 &lt;= ASSUMPTIONS!$D$3,"25-34",A1080 &lt;= ASSUMPTIONS!$D$4, "35-44",A1080 &lt;= ASSUMPTIONS!$D$5,"45-54",TRUE,"55+")</f>
        <v>35-44</v>
      </c>
      <c r="P1080" t="str" cm="1">
        <f t="array" ref="P1080">_xlfn.IFS( J1080 &lt;ASSUMPTIONS!$D$7,"LOW",J1080 &lt;= ASSUMPTIONS!$D$8,"MEDIUM",TRUE, "HIGH")</f>
        <v>HIGH</v>
      </c>
      <c r="Q1080" t="str">
        <f>IF(M1080&lt;ASSUMPTIONS!$D$10,"New (0-2)",IF(M1080&lt;=ASSUMPTIONS!$D$11,"Early (2-5)",IF(M1080&lt;=ASSUMPTIONS!$D$12,"Established (5-10)","Veteran (10+)")))</f>
        <v>Veteran (10+)</v>
      </c>
      <c r="R1080" s="4">
        <f t="shared" si="33"/>
        <v>3</v>
      </c>
    </row>
    <row r="1081" spans="1:18">
      <c r="A1081">
        <f>RAW_DATA!A1081</f>
        <v>39</v>
      </c>
      <c r="B1081" t="str">
        <f>RAW_DATA!B1081</f>
        <v>No</v>
      </c>
      <c r="C1081" t="str">
        <f>RAW_DATA!C1081</f>
        <v>Research &amp; Development</v>
      </c>
      <c r="D1081">
        <f>RAW_DATA!D1081</f>
        <v>6</v>
      </c>
      <c r="E1081">
        <f>RAW_DATA!E1081</f>
        <v>3</v>
      </c>
      <c r="F1081" t="str">
        <f>RAW_DATA!F1081</f>
        <v>Life Sciences</v>
      </c>
      <c r="G1081">
        <f>RAW_DATA!G1081</f>
        <v>2</v>
      </c>
      <c r="H1081">
        <f>RAW_DATA!H1081</f>
        <v>2</v>
      </c>
      <c r="I1081" t="str">
        <f>RAW_DATA!I1081</f>
        <v>Single</v>
      </c>
      <c r="J1081">
        <f>RAW_DATA!J1081</f>
        <v>8376</v>
      </c>
      <c r="K1081">
        <f>RAW_DATA!K1081</f>
        <v>4</v>
      </c>
      <c r="L1081">
        <f>RAW_DATA!L1081</f>
        <v>3</v>
      </c>
      <c r="M1081">
        <f>RAW_DATA!M1081</f>
        <v>2</v>
      </c>
      <c r="N1081">
        <f t="shared" si="32"/>
        <v>0</v>
      </c>
      <c r="O1081" t="str" cm="1">
        <f t="array" ref="O1081" xml:space="preserve"> _xlfn.IFS(A1081 &lt;ASSUMPTIONS!$D$2,"25",A1081 &lt;= ASSUMPTIONS!$D$3,"25-34",A1081 &lt;= ASSUMPTIONS!$D$4, "35-44",A1081 &lt;= ASSUMPTIONS!$D$5,"45-54",TRUE,"55+")</f>
        <v>35-44</v>
      </c>
      <c r="P1081" t="str" cm="1">
        <f t="array" ref="P1081">_xlfn.IFS( J1081 &lt;ASSUMPTIONS!$D$7,"LOW",J1081 &lt;= ASSUMPTIONS!$D$8,"MEDIUM",TRUE, "HIGH")</f>
        <v>HIGH</v>
      </c>
      <c r="Q1081" t="str">
        <f>IF(M1081&lt;ASSUMPTIONS!$D$10,"New (0-2)",IF(M1081&lt;=ASSUMPTIONS!$D$11,"Early (2-5)",IF(M1081&lt;=ASSUMPTIONS!$D$12,"Established (5-10)","Veteran (10+)")))</f>
        <v>Early (2-5)</v>
      </c>
      <c r="R1081" s="4">
        <f t="shared" si="33"/>
        <v>2.3333333333333335</v>
      </c>
    </row>
    <row r="1082" spans="1:18">
      <c r="A1082">
        <f>RAW_DATA!A1082</f>
        <v>46</v>
      </c>
      <c r="B1082" t="str">
        <f>RAW_DATA!B1082</f>
        <v>No</v>
      </c>
      <c r="C1082" t="str">
        <f>RAW_DATA!C1082</f>
        <v>Sales</v>
      </c>
      <c r="D1082">
        <f>RAW_DATA!D1082</f>
        <v>3</v>
      </c>
      <c r="E1082">
        <f>RAW_DATA!E1082</f>
        <v>3</v>
      </c>
      <c r="F1082" t="str">
        <f>RAW_DATA!F1082</f>
        <v>Life Sciences</v>
      </c>
      <c r="G1082">
        <f>RAW_DATA!G1082</f>
        <v>3</v>
      </c>
      <c r="H1082">
        <f>RAW_DATA!H1082</f>
        <v>2</v>
      </c>
      <c r="I1082" t="str">
        <f>RAW_DATA!I1082</f>
        <v>Married</v>
      </c>
      <c r="J1082">
        <f>RAW_DATA!J1082</f>
        <v>16606</v>
      </c>
      <c r="K1082">
        <f>RAW_DATA!K1082</f>
        <v>8</v>
      </c>
      <c r="L1082">
        <f>RAW_DATA!L1082</f>
        <v>4</v>
      </c>
      <c r="M1082">
        <f>RAW_DATA!M1082</f>
        <v>13</v>
      </c>
      <c r="N1082">
        <f t="shared" si="32"/>
        <v>0</v>
      </c>
      <c r="O1082" t="str" cm="1">
        <f t="array" ref="O1082" xml:space="preserve"> _xlfn.IFS(A1082 &lt;ASSUMPTIONS!$D$2,"25",A1082 &lt;= ASSUMPTIONS!$D$3,"25-34",A1082 &lt;= ASSUMPTIONS!$D$4, "35-44",A1082 &lt;= ASSUMPTIONS!$D$5,"45-54",TRUE,"55+")</f>
        <v>45-54</v>
      </c>
      <c r="P1082" t="str" cm="1">
        <f t="array" ref="P1082">_xlfn.IFS( J1082 &lt;ASSUMPTIONS!$D$7,"LOW",J1082 &lt;= ASSUMPTIONS!$D$8,"MEDIUM",TRUE, "HIGH")</f>
        <v>HIGH</v>
      </c>
      <c r="Q1082" t="str">
        <f>IF(M1082&lt;ASSUMPTIONS!$D$10,"New (0-2)",IF(M1082&lt;=ASSUMPTIONS!$D$11,"Early (2-5)",IF(M1082&lt;=ASSUMPTIONS!$D$12,"Established (5-10)","Veteran (10+)")))</f>
        <v>Veteran (10+)</v>
      </c>
      <c r="R1082" s="4">
        <f t="shared" si="33"/>
        <v>3</v>
      </c>
    </row>
    <row r="1083" spans="1:18">
      <c r="A1083">
        <f>RAW_DATA!A1083</f>
        <v>35</v>
      </c>
      <c r="B1083" t="str">
        <f>RAW_DATA!B1083</f>
        <v>No</v>
      </c>
      <c r="C1083" t="str">
        <f>RAW_DATA!C1083</f>
        <v>Research &amp; Development</v>
      </c>
      <c r="D1083">
        <f>RAW_DATA!D1083</f>
        <v>16</v>
      </c>
      <c r="E1083">
        <f>RAW_DATA!E1083</f>
        <v>3</v>
      </c>
      <c r="F1083" t="str">
        <f>RAW_DATA!F1083</f>
        <v>Life Sciences</v>
      </c>
      <c r="G1083">
        <f>RAW_DATA!G1083</f>
        <v>4</v>
      </c>
      <c r="H1083">
        <f>RAW_DATA!H1083</f>
        <v>2</v>
      </c>
      <c r="I1083" t="str">
        <f>RAW_DATA!I1083</f>
        <v>Single</v>
      </c>
      <c r="J1083">
        <f>RAW_DATA!J1083</f>
        <v>8606</v>
      </c>
      <c r="K1083">
        <f>RAW_DATA!K1083</f>
        <v>1</v>
      </c>
      <c r="L1083">
        <f>RAW_DATA!L1083</f>
        <v>1</v>
      </c>
      <c r="M1083">
        <f>RAW_DATA!M1083</f>
        <v>11</v>
      </c>
      <c r="N1083">
        <f t="shared" si="32"/>
        <v>0</v>
      </c>
      <c r="O1083" t="str" cm="1">
        <f t="array" ref="O1083" xml:space="preserve"> _xlfn.IFS(A1083 &lt;ASSUMPTIONS!$D$2,"25",A1083 &lt;= ASSUMPTIONS!$D$3,"25-34",A1083 &lt;= ASSUMPTIONS!$D$4, "35-44",A1083 &lt;= ASSUMPTIONS!$D$5,"45-54",TRUE,"55+")</f>
        <v>35-44</v>
      </c>
      <c r="P1083" t="str" cm="1">
        <f t="array" ref="P1083">_xlfn.IFS( J1083 &lt;ASSUMPTIONS!$D$7,"LOW",J1083 &lt;= ASSUMPTIONS!$D$8,"MEDIUM",TRUE, "HIGH")</f>
        <v>HIGH</v>
      </c>
      <c r="Q1083" t="str">
        <f>IF(M1083&lt;ASSUMPTIONS!$D$10,"New (0-2)",IF(M1083&lt;=ASSUMPTIONS!$D$11,"Early (2-5)",IF(M1083&lt;=ASSUMPTIONS!$D$12,"Established (5-10)","Veteran (10+)")))</f>
        <v>Veteran (10+)</v>
      </c>
      <c r="R1083" s="4">
        <f t="shared" si="33"/>
        <v>2.3333333333333335</v>
      </c>
    </row>
    <row r="1084" spans="1:18">
      <c r="A1084">
        <f>RAW_DATA!A1084</f>
        <v>23</v>
      </c>
      <c r="B1084" t="str">
        <f>RAW_DATA!B1084</f>
        <v>No</v>
      </c>
      <c r="C1084" t="str">
        <f>RAW_DATA!C1084</f>
        <v>Research &amp; Development</v>
      </c>
      <c r="D1084">
        <f>RAW_DATA!D1084</f>
        <v>20</v>
      </c>
      <c r="E1084">
        <f>RAW_DATA!E1084</f>
        <v>1</v>
      </c>
      <c r="F1084" t="str">
        <f>RAW_DATA!F1084</f>
        <v>Life Sciences</v>
      </c>
      <c r="G1084">
        <f>RAW_DATA!G1084</f>
        <v>1</v>
      </c>
      <c r="H1084">
        <f>RAW_DATA!H1084</f>
        <v>3</v>
      </c>
      <c r="I1084" t="str">
        <f>RAW_DATA!I1084</f>
        <v>Single</v>
      </c>
      <c r="J1084">
        <f>RAW_DATA!J1084</f>
        <v>2272</v>
      </c>
      <c r="K1084">
        <f>RAW_DATA!K1084</f>
        <v>0</v>
      </c>
      <c r="L1084">
        <f>RAW_DATA!L1084</f>
        <v>3</v>
      </c>
      <c r="M1084">
        <f>RAW_DATA!M1084</f>
        <v>4</v>
      </c>
      <c r="N1084">
        <f t="shared" si="32"/>
        <v>0</v>
      </c>
      <c r="O1084" t="str" cm="1">
        <f t="array" ref="O1084" xml:space="preserve"> _xlfn.IFS(A1084 &lt;ASSUMPTIONS!$D$2,"25",A1084 &lt;= ASSUMPTIONS!$D$3,"25-34",A1084 &lt;= ASSUMPTIONS!$D$4, "35-44",A1084 &lt;= ASSUMPTIONS!$D$5,"45-54",TRUE,"55+")</f>
        <v>25</v>
      </c>
      <c r="P1084" t="str" cm="1">
        <f t="array" ref="P1084">_xlfn.IFS( J1084 &lt;ASSUMPTIONS!$D$7,"LOW",J1084 &lt;= ASSUMPTIONS!$D$8,"MEDIUM",TRUE, "HIGH")</f>
        <v>LOW</v>
      </c>
      <c r="Q1084" t="str">
        <f>IF(M1084&lt;ASSUMPTIONS!$D$10,"New (0-2)",IF(M1084&lt;=ASSUMPTIONS!$D$11,"Early (2-5)",IF(M1084&lt;=ASSUMPTIONS!$D$12,"Established (5-10)","Veteran (10+)")))</f>
        <v>Early (2-5)</v>
      </c>
      <c r="R1084" s="4">
        <f t="shared" si="33"/>
        <v>2.3333333333333335</v>
      </c>
    </row>
    <row r="1085" spans="1:18">
      <c r="A1085">
        <f>RAW_DATA!A1085</f>
        <v>40</v>
      </c>
      <c r="B1085" t="str">
        <f>RAW_DATA!B1085</f>
        <v>Yes</v>
      </c>
      <c r="C1085" t="str">
        <f>RAW_DATA!C1085</f>
        <v>Research &amp; Development</v>
      </c>
      <c r="D1085">
        <f>RAW_DATA!D1085</f>
        <v>9</v>
      </c>
      <c r="E1085">
        <f>RAW_DATA!E1085</f>
        <v>4</v>
      </c>
      <c r="F1085" t="str">
        <f>RAW_DATA!F1085</f>
        <v>Life Sciences</v>
      </c>
      <c r="G1085">
        <f>RAW_DATA!G1085</f>
        <v>4</v>
      </c>
      <c r="H1085">
        <f>RAW_DATA!H1085</f>
        <v>1</v>
      </c>
      <c r="I1085" t="str">
        <f>RAW_DATA!I1085</f>
        <v>Single</v>
      </c>
      <c r="J1085">
        <f>RAW_DATA!J1085</f>
        <v>2018</v>
      </c>
      <c r="K1085">
        <f>RAW_DATA!K1085</f>
        <v>3</v>
      </c>
      <c r="L1085">
        <f>RAW_DATA!L1085</f>
        <v>1</v>
      </c>
      <c r="M1085">
        <f>RAW_DATA!M1085</f>
        <v>5</v>
      </c>
      <c r="N1085">
        <f t="shared" si="32"/>
        <v>1</v>
      </c>
      <c r="O1085" t="str" cm="1">
        <f t="array" ref="O1085" xml:space="preserve"> _xlfn.IFS(A1085 &lt;ASSUMPTIONS!$D$2,"25",A1085 &lt;= ASSUMPTIONS!$D$3,"25-34",A1085 &lt;= ASSUMPTIONS!$D$4, "35-44",A1085 &lt;= ASSUMPTIONS!$D$5,"45-54",TRUE,"55+")</f>
        <v>35-44</v>
      </c>
      <c r="P1085" t="str" cm="1">
        <f t="array" ref="P1085">_xlfn.IFS( J1085 &lt;ASSUMPTIONS!$D$7,"LOW",J1085 &lt;= ASSUMPTIONS!$D$8,"MEDIUM",TRUE, "HIGH")</f>
        <v>LOW</v>
      </c>
      <c r="Q1085" t="str">
        <f>IF(M1085&lt;ASSUMPTIONS!$D$10,"New (0-2)",IF(M1085&lt;=ASSUMPTIONS!$D$11,"Early (2-5)",IF(M1085&lt;=ASSUMPTIONS!$D$12,"Established (5-10)","Veteran (10+)")))</f>
        <v>Early (2-5)</v>
      </c>
      <c r="R1085" s="4">
        <f t="shared" si="33"/>
        <v>2</v>
      </c>
    </row>
    <row r="1086" spans="1:18">
      <c r="A1086">
        <f>RAW_DATA!A1086</f>
        <v>34</v>
      </c>
      <c r="B1086" t="str">
        <f>RAW_DATA!B1086</f>
        <v>No</v>
      </c>
      <c r="C1086" t="str">
        <f>RAW_DATA!C1086</f>
        <v>Sales</v>
      </c>
      <c r="D1086">
        <f>RAW_DATA!D1086</f>
        <v>1</v>
      </c>
      <c r="E1086">
        <f>RAW_DATA!E1086</f>
        <v>3</v>
      </c>
      <c r="F1086" t="str">
        <f>RAW_DATA!F1086</f>
        <v>Technical Degree</v>
      </c>
      <c r="G1086">
        <f>RAW_DATA!G1086</f>
        <v>4</v>
      </c>
      <c r="H1086">
        <f>RAW_DATA!H1086</f>
        <v>3</v>
      </c>
      <c r="I1086" t="str">
        <f>RAW_DATA!I1086</f>
        <v>Married</v>
      </c>
      <c r="J1086">
        <f>RAW_DATA!J1086</f>
        <v>7083</v>
      </c>
      <c r="K1086">
        <f>RAW_DATA!K1086</f>
        <v>1</v>
      </c>
      <c r="L1086">
        <f>RAW_DATA!L1086</f>
        <v>3</v>
      </c>
      <c r="M1086">
        <f>RAW_DATA!M1086</f>
        <v>10</v>
      </c>
      <c r="N1086">
        <f t="shared" si="32"/>
        <v>0</v>
      </c>
      <c r="O1086" t="str" cm="1">
        <f t="array" ref="O1086" xml:space="preserve"> _xlfn.IFS(A1086 &lt;ASSUMPTIONS!$D$2,"25",A1086 &lt;= ASSUMPTIONS!$D$3,"25-34",A1086 &lt;= ASSUMPTIONS!$D$4, "35-44",A1086 &lt;= ASSUMPTIONS!$D$5,"45-54",TRUE,"55+")</f>
        <v>25-34</v>
      </c>
      <c r="P1086" t="str" cm="1">
        <f t="array" ref="P1086">_xlfn.IFS( J1086 &lt;ASSUMPTIONS!$D$7,"LOW",J1086 &lt;= ASSUMPTIONS!$D$8,"MEDIUM",TRUE, "HIGH")</f>
        <v>HIGH</v>
      </c>
      <c r="Q1086" t="str">
        <f>IF(M1086&lt;ASSUMPTIONS!$D$10,"New (0-2)",IF(M1086&lt;=ASSUMPTIONS!$D$11,"Early (2-5)",IF(M1086&lt;=ASSUMPTIONS!$D$12,"Established (5-10)","Veteran (10+)")))</f>
        <v>Established (5-10)</v>
      </c>
      <c r="R1086" s="4">
        <f t="shared" si="33"/>
        <v>3.3333333333333335</v>
      </c>
    </row>
    <row r="1087" spans="1:18">
      <c r="A1087">
        <f>RAW_DATA!A1087</f>
        <v>31</v>
      </c>
      <c r="B1087" t="str">
        <f>RAW_DATA!B1087</f>
        <v>Yes</v>
      </c>
      <c r="C1087" t="str">
        <f>RAW_DATA!C1087</f>
        <v>Research &amp; Development</v>
      </c>
      <c r="D1087">
        <f>RAW_DATA!D1087</f>
        <v>3</v>
      </c>
      <c r="E1087">
        <f>RAW_DATA!E1087</f>
        <v>3</v>
      </c>
      <c r="F1087" t="str">
        <f>RAW_DATA!F1087</f>
        <v>Life Sciences</v>
      </c>
      <c r="G1087">
        <f>RAW_DATA!G1087</f>
        <v>4</v>
      </c>
      <c r="H1087">
        <f>RAW_DATA!H1087</f>
        <v>3</v>
      </c>
      <c r="I1087" t="str">
        <f>RAW_DATA!I1087</f>
        <v>Single</v>
      </c>
      <c r="J1087">
        <f>RAW_DATA!J1087</f>
        <v>4084</v>
      </c>
      <c r="K1087">
        <f>RAW_DATA!K1087</f>
        <v>1</v>
      </c>
      <c r="L1087">
        <f>RAW_DATA!L1087</f>
        <v>1</v>
      </c>
      <c r="M1087">
        <f>RAW_DATA!M1087</f>
        <v>7</v>
      </c>
      <c r="N1087">
        <f t="shared" si="32"/>
        <v>1</v>
      </c>
      <c r="O1087" t="str" cm="1">
        <f t="array" ref="O1087" xml:space="preserve"> _xlfn.IFS(A1087 &lt;ASSUMPTIONS!$D$2,"25",A1087 &lt;= ASSUMPTIONS!$D$3,"25-34",A1087 &lt;= ASSUMPTIONS!$D$4, "35-44",A1087 &lt;= ASSUMPTIONS!$D$5,"45-54",TRUE,"55+")</f>
        <v>25-34</v>
      </c>
      <c r="P1087" t="str" cm="1">
        <f t="array" ref="P1087">_xlfn.IFS( J1087 &lt;ASSUMPTIONS!$D$7,"LOW",J1087 &lt;= ASSUMPTIONS!$D$8,"MEDIUM",TRUE, "HIGH")</f>
        <v>MEDIUM</v>
      </c>
      <c r="Q1087" t="str">
        <f>IF(M1087&lt;ASSUMPTIONS!$D$10,"New (0-2)",IF(M1087&lt;=ASSUMPTIONS!$D$11,"Early (2-5)",IF(M1087&lt;=ASSUMPTIONS!$D$12,"Established (5-10)","Veteran (10+)")))</f>
        <v>Established (5-10)</v>
      </c>
      <c r="R1087" s="4">
        <f t="shared" si="33"/>
        <v>2.6666666666666665</v>
      </c>
    </row>
    <row r="1088" spans="1:18">
      <c r="A1088">
        <f>RAW_DATA!A1088</f>
        <v>50</v>
      </c>
      <c r="B1088" t="str">
        <f>RAW_DATA!B1088</f>
        <v>No</v>
      </c>
      <c r="C1088" t="str">
        <f>RAW_DATA!C1088</f>
        <v>Research &amp; Development</v>
      </c>
      <c r="D1088">
        <f>RAW_DATA!D1088</f>
        <v>22</v>
      </c>
      <c r="E1088">
        <f>RAW_DATA!E1088</f>
        <v>5</v>
      </c>
      <c r="F1088" t="str">
        <f>RAW_DATA!F1088</f>
        <v>Medical</v>
      </c>
      <c r="G1088">
        <f>RAW_DATA!G1088</f>
        <v>3</v>
      </c>
      <c r="H1088">
        <f>RAW_DATA!H1088</f>
        <v>4</v>
      </c>
      <c r="I1088" t="str">
        <f>RAW_DATA!I1088</f>
        <v>Single</v>
      </c>
      <c r="J1088">
        <f>RAW_DATA!J1088</f>
        <v>14411</v>
      </c>
      <c r="K1088">
        <f>RAW_DATA!K1088</f>
        <v>1</v>
      </c>
      <c r="L1088">
        <f>RAW_DATA!L1088</f>
        <v>3</v>
      </c>
      <c r="M1088">
        <f>RAW_DATA!M1088</f>
        <v>32</v>
      </c>
      <c r="N1088">
        <f t="shared" si="32"/>
        <v>0</v>
      </c>
      <c r="O1088" t="str" cm="1">
        <f t="array" ref="O1088" xml:space="preserve"> _xlfn.IFS(A1088 &lt;ASSUMPTIONS!$D$2,"25",A1088 &lt;= ASSUMPTIONS!$D$3,"25-34",A1088 &lt;= ASSUMPTIONS!$D$4, "35-44",A1088 &lt;= ASSUMPTIONS!$D$5,"45-54",TRUE,"55+")</f>
        <v>45-54</v>
      </c>
      <c r="P1088" t="str" cm="1">
        <f t="array" ref="P1088">_xlfn.IFS( J1088 &lt;ASSUMPTIONS!$D$7,"LOW",J1088 &lt;= ASSUMPTIONS!$D$8,"MEDIUM",TRUE, "HIGH")</f>
        <v>HIGH</v>
      </c>
      <c r="Q1088" t="str">
        <f>IF(M1088&lt;ASSUMPTIONS!$D$10,"New (0-2)",IF(M1088&lt;=ASSUMPTIONS!$D$11,"Early (2-5)",IF(M1088&lt;=ASSUMPTIONS!$D$12,"Established (5-10)","Veteran (10+)")))</f>
        <v>Veteran (10+)</v>
      </c>
      <c r="R1088" s="4">
        <f t="shared" si="33"/>
        <v>3.3333333333333335</v>
      </c>
    </row>
    <row r="1089" spans="1:18">
      <c r="A1089">
        <f>RAW_DATA!A1089</f>
        <v>34</v>
      </c>
      <c r="B1089" t="str">
        <f>RAW_DATA!B1089</f>
        <v>No</v>
      </c>
      <c r="C1089" t="str">
        <f>RAW_DATA!C1089</f>
        <v>Sales</v>
      </c>
      <c r="D1089">
        <f>RAW_DATA!D1089</f>
        <v>7</v>
      </c>
      <c r="E1089">
        <f>RAW_DATA!E1089</f>
        <v>2</v>
      </c>
      <c r="F1089" t="str">
        <f>RAW_DATA!F1089</f>
        <v>Technical Degree</v>
      </c>
      <c r="G1089">
        <f>RAW_DATA!G1089</f>
        <v>2</v>
      </c>
      <c r="H1089">
        <f>RAW_DATA!H1089</f>
        <v>3</v>
      </c>
      <c r="I1089" t="str">
        <f>RAW_DATA!I1089</f>
        <v>Married</v>
      </c>
      <c r="J1089">
        <f>RAW_DATA!J1089</f>
        <v>2308</v>
      </c>
      <c r="K1089">
        <f>RAW_DATA!K1089</f>
        <v>0</v>
      </c>
      <c r="L1089">
        <f>RAW_DATA!L1089</f>
        <v>3</v>
      </c>
      <c r="M1089">
        <f>RAW_DATA!M1089</f>
        <v>11</v>
      </c>
      <c r="N1089">
        <f t="shared" si="32"/>
        <v>0</v>
      </c>
      <c r="O1089" t="str" cm="1">
        <f t="array" ref="O1089" xml:space="preserve"> _xlfn.IFS(A1089 &lt;ASSUMPTIONS!$D$2,"25",A1089 &lt;= ASSUMPTIONS!$D$3,"25-34",A1089 &lt;= ASSUMPTIONS!$D$4, "35-44",A1089 &lt;= ASSUMPTIONS!$D$5,"45-54",TRUE,"55+")</f>
        <v>25-34</v>
      </c>
      <c r="P1089" t="str" cm="1">
        <f t="array" ref="P1089">_xlfn.IFS( J1089 &lt;ASSUMPTIONS!$D$7,"LOW",J1089 &lt;= ASSUMPTIONS!$D$8,"MEDIUM",TRUE, "HIGH")</f>
        <v>LOW</v>
      </c>
      <c r="Q1089" t="str">
        <f>IF(M1089&lt;ASSUMPTIONS!$D$10,"New (0-2)",IF(M1089&lt;=ASSUMPTIONS!$D$11,"Early (2-5)",IF(M1089&lt;=ASSUMPTIONS!$D$12,"Established (5-10)","Veteran (10+)")))</f>
        <v>Veteran (10+)</v>
      </c>
      <c r="R1089" s="4">
        <f t="shared" si="33"/>
        <v>2.6666666666666665</v>
      </c>
    </row>
    <row r="1090" spans="1:18">
      <c r="A1090">
        <f>RAW_DATA!A1090</f>
        <v>42</v>
      </c>
      <c r="B1090" t="str">
        <f>RAW_DATA!B1090</f>
        <v>No</v>
      </c>
      <c r="C1090" t="str">
        <f>RAW_DATA!C1090</f>
        <v>Research &amp; Development</v>
      </c>
      <c r="D1090">
        <f>RAW_DATA!D1090</f>
        <v>2</v>
      </c>
      <c r="E1090">
        <f>RAW_DATA!E1090</f>
        <v>3</v>
      </c>
      <c r="F1090" t="str">
        <f>RAW_DATA!F1090</f>
        <v>Medical</v>
      </c>
      <c r="G1090">
        <f>RAW_DATA!G1090</f>
        <v>3</v>
      </c>
      <c r="H1090">
        <f>RAW_DATA!H1090</f>
        <v>2</v>
      </c>
      <c r="I1090" t="str">
        <f>RAW_DATA!I1090</f>
        <v>Married</v>
      </c>
      <c r="J1090">
        <f>RAW_DATA!J1090</f>
        <v>4841</v>
      </c>
      <c r="K1090">
        <f>RAW_DATA!K1090</f>
        <v>4</v>
      </c>
      <c r="L1090">
        <f>RAW_DATA!L1090</f>
        <v>3</v>
      </c>
      <c r="M1090">
        <f>RAW_DATA!M1090</f>
        <v>1</v>
      </c>
      <c r="N1090">
        <f t="shared" si="32"/>
        <v>0</v>
      </c>
      <c r="O1090" t="str" cm="1">
        <f t="array" ref="O1090" xml:space="preserve"> _xlfn.IFS(A1090 &lt;ASSUMPTIONS!$D$2,"25",A1090 &lt;= ASSUMPTIONS!$D$3,"25-34",A1090 &lt;= ASSUMPTIONS!$D$4, "35-44",A1090 &lt;= ASSUMPTIONS!$D$5,"45-54",TRUE,"55+")</f>
        <v>35-44</v>
      </c>
      <c r="P1090" t="str" cm="1">
        <f t="array" ref="P1090">_xlfn.IFS( J1090 &lt;ASSUMPTIONS!$D$7,"LOW",J1090 &lt;= ASSUMPTIONS!$D$8,"MEDIUM",TRUE, "HIGH")</f>
        <v>MEDIUM</v>
      </c>
      <c r="Q1090" t="str">
        <f>IF(M1090&lt;ASSUMPTIONS!$D$10,"New (0-2)",IF(M1090&lt;=ASSUMPTIONS!$D$11,"Early (2-5)",IF(M1090&lt;=ASSUMPTIONS!$D$12,"Established (5-10)","Veteran (10+)")))</f>
        <v>New (0-2)</v>
      </c>
      <c r="R1090" s="4">
        <f t="shared" si="33"/>
        <v>2.6666666666666665</v>
      </c>
    </row>
    <row r="1091" spans="1:18">
      <c r="A1091">
        <f>RAW_DATA!A1091</f>
        <v>37</v>
      </c>
      <c r="B1091" t="str">
        <f>RAW_DATA!B1091</f>
        <v>No</v>
      </c>
      <c r="C1091" t="str">
        <f>RAW_DATA!C1091</f>
        <v>Research &amp; Development</v>
      </c>
      <c r="D1091">
        <f>RAW_DATA!D1091</f>
        <v>13</v>
      </c>
      <c r="E1091">
        <f>RAW_DATA!E1091</f>
        <v>3</v>
      </c>
      <c r="F1091" t="str">
        <f>RAW_DATA!F1091</f>
        <v>Medical</v>
      </c>
      <c r="G1091">
        <f>RAW_DATA!G1091</f>
        <v>1</v>
      </c>
      <c r="H1091">
        <f>RAW_DATA!H1091</f>
        <v>4</v>
      </c>
      <c r="I1091" t="str">
        <f>RAW_DATA!I1091</f>
        <v>Married</v>
      </c>
      <c r="J1091">
        <f>RAW_DATA!J1091</f>
        <v>4285</v>
      </c>
      <c r="K1091">
        <f>RAW_DATA!K1091</f>
        <v>1</v>
      </c>
      <c r="L1091">
        <f>RAW_DATA!L1091</f>
        <v>3</v>
      </c>
      <c r="M1091">
        <f>RAW_DATA!M1091</f>
        <v>10</v>
      </c>
      <c r="N1091">
        <f t="shared" ref="N1091:N1154" si="34" xml:space="preserve"> IF(B1091 ="Yes",1,0)</f>
        <v>0</v>
      </c>
      <c r="O1091" t="str" cm="1">
        <f t="array" ref="O1091" xml:space="preserve"> _xlfn.IFS(A1091 &lt;ASSUMPTIONS!$D$2,"25",A1091 &lt;= ASSUMPTIONS!$D$3,"25-34",A1091 &lt;= ASSUMPTIONS!$D$4, "35-44",A1091 &lt;= ASSUMPTIONS!$D$5,"45-54",TRUE,"55+")</f>
        <v>35-44</v>
      </c>
      <c r="P1091" t="str" cm="1">
        <f t="array" ref="P1091">_xlfn.IFS( J1091 &lt;ASSUMPTIONS!$D$7,"LOW",J1091 &lt;= ASSUMPTIONS!$D$8,"MEDIUM",TRUE, "HIGH")</f>
        <v>MEDIUM</v>
      </c>
      <c r="Q1091" t="str">
        <f>IF(M1091&lt;ASSUMPTIONS!$D$10,"New (0-2)",IF(M1091&lt;=ASSUMPTIONS!$D$11,"Early (2-5)",IF(M1091&lt;=ASSUMPTIONS!$D$12,"Established (5-10)","Veteran (10+)")))</f>
        <v>Established (5-10)</v>
      </c>
      <c r="R1091" s="4">
        <f t="shared" ref="R1091:R1154" si="35">AVERAGE(G1091,H1091,L1091)</f>
        <v>2.6666666666666665</v>
      </c>
    </row>
    <row r="1092" spans="1:18">
      <c r="A1092">
        <f>RAW_DATA!A1092</f>
        <v>29</v>
      </c>
      <c r="B1092" t="str">
        <f>RAW_DATA!B1092</f>
        <v>No</v>
      </c>
      <c r="C1092" t="str">
        <f>RAW_DATA!C1092</f>
        <v>Research &amp; Development</v>
      </c>
      <c r="D1092">
        <f>RAW_DATA!D1092</f>
        <v>8</v>
      </c>
      <c r="E1092">
        <f>RAW_DATA!E1092</f>
        <v>1</v>
      </c>
      <c r="F1092" t="str">
        <f>RAW_DATA!F1092</f>
        <v>Other</v>
      </c>
      <c r="G1092">
        <f>RAW_DATA!G1092</f>
        <v>3</v>
      </c>
      <c r="H1092">
        <f>RAW_DATA!H1092</f>
        <v>1</v>
      </c>
      <c r="I1092" t="str">
        <f>RAW_DATA!I1092</f>
        <v>Married</v>
      </c>
      <c r="J1092">
        <f>RAW_DATA!J1092</f>
        <v>9715</v>
      </c>
      <c r="K1092">
        <f>RAW_DATA!K1092</f>
        <v>3</v>
      </c>
      <c r="L1092">
        <f>RAW_DATA!L1092</f>
        <v>3</v>
      </c>
      <c r="M1092">
        <f>RAW_DATA!M1092</f>
        <v>7</v>
      </c>
      <c r="N1092">
        <f t="shared" si="34"/>
        <v>0</v>
      </c>
      <c r="O1092" t="str" cm="1">
        <f t="array" ref="O1092" xml:space="preserve"> _xlfn.IFS(A1092 &lt;ASSUMPTIONS!$D$2,"25",A1092 &lt;= ASSUMPTIONS!$D$3,"25-34",A1092 &lt;= ASSUMPTIONS!$D$4, "35-44",A1092 &lt;= ASSUMPTIONS!$D$5,"45-54",TRUE,"55+")</f>
        <v>25-34</v>
      </c>
      <c r="P1092" t="str" cm="1">
        <f t="array" ref="P1092">_xlfn.IFS( J1092 &lt;ASSUMPTIONS!$D$7,"LOW",J1092 &lt;= ASSUMPTIONS!$D$8,"MEDIUM",TRUE, "HIGH")</f>
        <v>HIGH</v>
      </c>
      <c r="Q1092" t="str">
        <f>IF(M1092&lt;ASSUMPTIONS!$D$10,"New (0-2)",IF(M1092&lt;=ASSUMPTIONS!$D$11,"Early (2-5)",IF(M1092&lt;=ASSUMPTIONS!$D$12,"Established (5-10)","Veteran (10+)")))</f>
        <v>Established (5-10)</v>
      </c>
      <c r="R1092" s="4">
        <f t="shared" si="35"/>
        <v>2.3333333333333335</v>
      </c>
    </row>
    <row r="1093" spans="1:18">
      <c r="A1093">
        <f>RAW_DATA!A1093</f>
        <v>33</v>
      </c>
      <c r="B1093" t="str">
        <f>RAW_DATA!B1093</f>
        <v>No</v>
      </c>
      <c r="C1093" t="str">
        <f>RAW_DATA!C1093</f>
        <v>Research &amp; Development</v>
      </c>
      <c r="D1093">
        <f>RAW_DATA!D1093</f>
        <v>25</v>
      </c>
      <c r="E1093">
        <f>RAW_DATA!E1093</f>
        <v>3</v>
      </c>
      <c r="F1093" t="str">
        <f>RAW_DATA!F1093</f>
        <v>Life Sciences</v>
      </c>
      <c r="G1093">
        <f>RAW_DATA!G1093</f>
        <v>4</v>
      </c>
      <c r="H1093">
        <f>RAW_DATA!H1093</f>
        <v>2</v>
      </c>
      <c r="I1093" t="str">
        <f>RAW_DATA!I1093</f>
        <v>Single</v>
      </c>
      <c r="J1093">
        <f>RAW_DATA!J1093</f>
        <v>4320</v>
      </c>
      <c r="K1093">
        <f>RAW_DATA!K1093</f>
        <v>1</v>
      </c>
      <c r="L1093">
        <f>RAW_DATA!L1093</f>
        <v>3</v>
      </c>
      <c r="M1093">
        <f>RAW_DATA!M1093</f>
        <v>5</v>
      </c>
      <c r="N1093">
        <f t="shared" si="34"/>
        <v>0</v>
      </c>
      <c r="O1093" t="str" cm="1">
        <f t="array" ref="O1093" xml:space="preserve"> _xlfn.IFS(A1093 &lt;ASSUMPTIONS!$D$2,"25",A1093 &lt;= ASSUMPTIONS!$D$3,"25-34",A1093 &lt;= ASSUMPTIONS!$D$4, "35-44",A1093 &lt;= ASSUMPTIONS!$D$5,"45-54",TRUE,"55+")</f>
        <v>25-34</v>
      </c>
      <c r="P1093" t="str" cm="1">
        <f t="array" ref="P1093">_xlfn.IFS( J1093 &lt;ASSUMPTIONS!$D$7,"LOW",J1093 &lt;= ASSUMPTIONS!$D$8,"MEDIUM",TRUE, "HIGH")</f>
        <v>MEDIUM</v>
      </c>
      <c r="Q1093" t="str">
        <f>IF(M1093&lt;ASSUMPTIONS!$D$10,"New (0-2)",IF(M1093&lt;=ASSUMPTIONS!$D$11,"Early (2-5)",IF(M1093&lt;=ASSUMPTIONS!$D$12,"Established (5-10)","Veteran (10+)")))</f>
        <v>Early (2-5)</v>
      </c>
      <c r="R1093" s="4">
        <f t="shared" si="35"/>
        <v>3</v>
      </c>
    </row>
    <row r="1094" spans="1:18">
      <c r="A1094">
        <f>RAW_DATA!A1094</f>
        <v>45</v>
      </c>
      <c r="B1094" t="str">
        <f>RAW_DATA!B1094</f>
        <v>No</v>
      </c>
      <c r="C1094" t="str">
        <f>RAW_DATA!C1094</f>
        <v>Research &amp; Development</v>
      </c>
      <c r="D1094">
        <f>RAW_DATA!D1094</f>
        <v>28</v>
      </c>
      <c r="E1094">
        <f>RAW_DATA!E1094</f>
        <v>3</v>
      </c>
      <c r="F1094" t="str">
        <f>RAW_DATA!F1094</f>
        <v>Technical Degree</v>
      </c>
      <c r="G1094">
        <f>RAW_DATA!G1094</f>
        <v>4</v>
      </c>
      <c r="H1094">
        <f>RAW_DATA!H1094</f>
        <v>4</v>
      </c>
      <c r="I1094" t="str">
        <f>RAW_DATA!I1094</f>
        <v>Married</v>
      </c>
      <c r="J1094">
        <f>RAW_DATA!J1094</f>
        <v>2132</v>
      </c>
      <c r="K1094">
        <f>RAW_DATA!K1094</f>
        <v>4</v>
      </c>
      <c r="L1094">
        <f>RAW_DATA!L1094</f>
        <v>3</v>
      </c>
      <c r="M1094">
        <f>RAW_DATA!M1094</f>
        <v>5</v>
      </c>
      <c r="N1094">
        <f t="shared" si="34"/>
        <v>0</v>
      </c>
      <c r="O1094" t="str" cm="1">
        <f t="array" ref="O1094" xml:space="preserve"> _xlfn.IFS(A1094 &lt;ASSUMPTIONS!$D$2,"25",A1094 &lt;= ASSUMPTIONS!$D$3,"25-34",A1094 &lt;= ASSUMPTIONS!$D$4, "35-44",A1094 &lt;= ASSUMPTIONS!$D$5,"45-54",TRUE,"55+")</f>
        <v>45-54</v>
      </c>
      <c r="P1094" t="str" cm="1">
        <f t="array" ref="P1094">_xlfn.IFS( J1094 &lt;ASSUMPTIONS!$D$7,"LOW",J1094 &lt;= ASSUMPTIONS!$D$8,"MEDIUM",TRUE, "HIGH")</f>
        <v>LOW</v>
      </c>
      <c r="Q1094" t="str">
        <f>IF(M1094&lt;ASSUMPTIONS!$D$10,"New (0-2)",IF(M1094&lt;=ASSUMPTIONS!$D$11,"Early (2-5)",IF(M1094&lt;=ASSUMPTIONS!$D$12,"Established (5-10)","Veteran (10+)")))</f>
        <v>Early (2-5)</v>
      </c>
      <c r="R1094" s="4">
        <f t="shared" si="35"/>
        <v>3.6666666666666665</v>
      </c>
    </row>
    <row r="1095" spans="1:18">
      <c r="A1095">
        <f>RAW_DATA!A1095</f>
        <v>42</v>
      </c>
      <c r="B1095" t="str">
        <f>RAW_DATA!B1095</f>
        <v>No</v>
      </c>
      <c r="C1095" t="str">
        <f>RAW_DATA!C1095</f>
        <v>Research &amp; Development</v>
      </c>
      <c r="D1095">
        <f>RAW_DATA!D1095</f>
        <v>2</v>
      </c>
      <c r="E1095">
        <f>RAW_DATA!E1095</f>
        <v>3</v>
      </c>
      <c r="F1095" t="str">
        <f>RAW_DATA!F1095</f>
        <v>Life Sciences</v>
      </c>
      <c r="G1095">
        <f>RAW_DATA!G1095</f>
        <v>4</v>
      </c>
      <c r="H1095">
        <f>RAW_DATA!H1095</f>
        <v>4</v>
      </c>
      <c r="I1095" t="str">
        <f>RAW_DATA!I1095</f>
        <v>Married</v>
      </c>
      <c r="J1095">
        <f>RAW_DATA!J1095</f>
        <v>10124</v>
      </c>
      <c r="K1095">
        <f>RAW_DATA!K1095</f>
        <v>2</v>
      </c>
      <c r="L1095">
        <f>RAW_DATA!L1095</f>
        <v>1</v>
      </c>
      <c r="M1095">
        <f>RAW_DATA!M1095</f>
        <v>20</v>
      </c>
      <c r="N1095">
        <f t="shared" si="34"/>
        <v>0</v>
      </c>
      <c r="O1095" t="str" cm="1">
        <f t="array" ref="O1095" xml:space="preserve"> _xlfn.IFS(A1095 &lt;ASSUMPTIONS!$D$2,"25",A1095 &lt;= ASSUMPTIONS!$D$3,"25-34",A1095 &lt;= ASSUMPTIONS!$D$4, "35-44",A1095 &lt;= ASSUMPTIONS!$D$5,"45-54",TRUE,"55+")</f>
        <v>35-44</v>
      </c>
      <c r="P1095" t="str" cm="1">
        <f t="array" ref="P1095">_xlfn.IFS( J1095 &lt;ASSUMPTIONS!$D$7,"LOW",J1095 &lt;= ASSUMPTIONS!$D$8,"MEDIUM",TRUE, "HIGH")</f>
        <v>HIGH</v>
      </c>
      <c r="Q1095" t="str">
        <f>IF(M1095&lt;ASSUMPTIONS!$D$10,"New (0-2)",IF(M1095&lt;=ASSUMPTIONS!$D$11,"Early (2-5)",IF(M1095&lt;=ASSUMPTIONS!$D$12,"Established (5-10)","Veteran (10+)")))</f>
        <v>Veteran (10+)</v>
      </c>
      <c r="R1095" s="4">
        <f t="shared" si="35"/>
        <v>3</v>
      </c>
    </row>
    <row r="1096" spans="1:18">
      <c r="A1096">
        <f>RAW_DATA!A1096</f>
        <v>40</v>
      </c>
      <c r="B1096" t="str">
        <f>RAW_DATA!B1096</f>
        <v>No</v>
      </c>
      <c r="C1096" t="str">
        <f>RAW_DATA!C1096</f>
        <v>Sales</v>
      </c>
      <c r="D1096">
        <f>RAW_DATA!D1096</f>
        <v>9</v>
      </c>
      <c r="E1096">
        <f>RAW_DATA!E1096</f>
        <v>2</v>
      </c>
      <c r="F1096" t="str">
        <f>RAW_DATA!F1096</f>
        <v>Medical</v>
      </c>
      <c r="G1096">
        <f>RAW_DATA!G1096</f>
        <v>1</v>
      </c>
      <c r="H1096">
        <f>RAW_DATA!H1096</f>
        <v>1</v>
      </c>
      <c r="I1096" t="str">
        <f>RAW_DATA!I1096</f>
        <v>Married</v>
      </c>
      <c r="J1096">
        <f>RAW_DATA!J1096</f>
        <v>5473</v>
      </c>
      <c r="K1096">
        <f>RAW_DATA!K1096</f>
        <v>0</v>
      </c>
      <c r="L1096">
        <f>RAW_DATA!L1096</f>
        <v>4</v>
      </c>
      <c r="M1096">
        <f>RAW_DATA!M1096</f>
        <v>8</v>
      </c>
      <c r="N1096">
        <f t="shared" si="34"/>
        <v>0</v>
      </c>
      <c r="O1096" t="str" cm="1">
        <f t="array" ref="O1096" xml:space="preserve"> _xlfn.IFS(A1096 &lt;ASSUMPTIONS!$D$2,"25",A1096 &lt;= ASSUMPTIONS!$D$3,"25-34",A1096 &lt;= ASSUMPTIONS!$D$4, "35-44",A1096 &lt;= ASSUMPTIONS!$D$5,"45-54",TRUE,"55+")</f>
        <v>35-44</v>
      </c>
      <c r="P1096" t="str" cm="1">
        <f t="array" ref="P1096">_xlfn.IFS( J1096 &lt;ASSUMPTIONS!$D$7,"LOW",J1096 &lt;= ASSUMPTIONS!$D$8,"MEDIUM",TRUE, "HIGH")</f>
        <v>MEDIUM</v>
      </c>
      <c r="Q1096" t="str">
        <f>IF(M1096&lt;ASSUMPTIONS!$D$10,"New (0-2)",IF(M1096&lt;=ASSUMPTIONS!$D$11,"Early (2-5)",IF(M1096&lt;=ASSUMPTIONS!$D$12,"Established (5-10)","Veteran (10+)")))</f>
        <v>Established (5-10)</v>
      </c>
      <c r="R1096" s="4">
        <f t="shared" si="35"/>
        <v>2</v>
      </c>
    </row>
    <row r="1097" spans="1:18">
      <c r="A1097">
        <f>RAW_DATA!A1097</f>
        <v>33</v>
      </c>
      <c r="B1097" t="str">
        <f>RAW_DATA!B1097</f>
        <v>No</v>
      </c>
      <c r="C1097" t="str">
        <f>RAW_DATA!C1097</f>
        <v>Research &amp; Development</v>
      </c>
      <c r="D1097">
        <f>RAW_DATA!D1097</f>
        <v>28</v>
      </c>
      <c r="E1097">
        <f>RAW_DATA!E1097</f>
        <v>4</v>
      </c>
      <c r="F1097" t="str">
        <f>RAW_DATA!F1097</f>
        <v>Life Sciences</v>
      </c>
      <c r="G1097">
        <f>RAW_DATA!G1097</f>
        <v>2</v>
      </c>
      <c r="H1097">
        <f>RAW_DATA!H1097</f>
        <v>3</v>
      </c>
      <c r="I1097" t="str">
        <f>RAW_DATA!I1097</f>
        <v>Married</v>
      </c>
      <c r="J1097">
        <f>RAW_DATA!J1097</f>
        <v>5207</v>
      </c>
      <c r="K1097">
        <f>RAW_DATA!K1097</f>
        <v>1</v>
      </c>
      <c r="L1097">
        <f>RAW_DATA!L1097</f>
        <v>3</v>
      </c>
      <c r="M1097">
        <f>RAW_DATA!M1097</f>
        <v>15</v>
      </c>
      <c r="N1097">
        <f t="shared" si="34"/>
        <v>0</v>
      </c>
      <c r="O1097" t="str" cm="1">
        <f t="array" ref="O1097" xml:space="preserve"> _xlfn.IFS(A1097 &lt;ASSUMPTIONS!$D$2,"25",A1097 &lt;= ASSUMPTIONS!$D$3,"25-34",A1097 &lt;= ASSUMPTIONS!$D$4, "35-44",A1097 &lt;= ASSUMPTIONS!$D$5,"45-54",TRUE,"55+")</f>
        <v>25-34</v>
      </c>
      <c r="P1097" t="str" cm="1">
        <f t="array" ref="P1097">_xlfn.IFS( J1097 &lt;ASSUMPTIONS!$D$7,"LOW",J1097 &lt;= ASSUMPTIONS!$D$8,"MEDIUM",TRUE, "HIGH")</f>
        <v>MEDIUM</v>
      </c>
      <c r="Q1097" t="str">
        <f>IF(M1097&lt;ASSUMPTIONS!$D$10,"New (0-2)",IF(M1097&lt;=ASSUMPTIONS!$D$11,"Early (2-5)",IF(M1097&lt;=ASSUMPTIONS!$D$12,"Established (5-10)","Veteran (10+)")))</f>
        <v>Veteran (10+)</v>
      </c>
      <c r="R1097" s="4">
        <f t="shared" si="35"/>
        <v>2.6666666666666665</v>
      </c>
    </row>
    <row r="1098" spans="1:18">
      <c r="A1098">
        <f>RAW_DATA!A1098</f>
        <v>40</v>
      </c>
      <c r="B1098" t="str">
        <f>RAW_DATA!B1098</f>
        <v>No</v>
      </c>
      <c r="C1098" t="str">
        <f>RAW_DATA!C1098</f>
        <v>Human Resources</v>
      </c>
      <c r="D1098">
        <f>RAW_DATA!D1098</f>
        <v>6</v>
      </c>
      <c r="E1098">
        <f>RAW_DATA!E1098</f>
        <v>2</v>
      </c>
      <c r="F1098" t="str">
        <f>RAW_DATA!F1098</f>
        <v>Medical</v>
      </c>
      <c r="G1098">
        <f>RAW_DATA!G1098</f>
        <v>3</v>
      </c>
      <c r="H1098">
        <f>RAW_DATA!H1098</f>
        <v>4</v>
      </c>
      <c r="I1098" t="str">
        <f>RAW_DATA!I1098</f>
        <v>Single</v>
      </c>
      <c r="J1098">
        <f>RAW_DATA!J1098</f>
        <v>16437</v>
      </c>
      <c r="K1098">
        <f>RAW_DATA!K1098</f>
        <v>1</v>
      </c>
      <c r="L1098">
        <f>RAW_DATA!L1098</f>
        <v>3</v>
      </c>
      <c r="M1098">
        <f>RAW_DATA!M1098</f>
        <v>21</v>
      </c>
      <c r="N1098">
        <f t="shared" si="34"/>
        <v>0</v>
      </c>
      <c r="O1098" t="str" cm="1">
        <f t="array" ref="O1098" xml:space="preserve"> _xlfn.IFS(A1098 &lt;ASSUMPTIONS!$D$2,"25",A1098 &lt;= ASSUMPTIONS!$D$3,"25-34",A1098 &lt;= ASSUMPTIONS!$D$4, "35-44",A1098 &lt;= ASSUMPTIONS!$D$5,"45-54",TRUE,"55+")</f>
        <v>35-44</v>
      </c>
      <c r="P1098" t="str" cm="1">
        <f t="array" ref="P1098">_xlfn.IFS( J1098 &lt;ASSUMPTIONS!$D$7,"LOW",J1098 &lt;= ASSUMPTIONS!$D$8,"MEDIUM",TRUE, "HIGH")</f>
        <v>HIGH</v>
      </c>
      <c r="Q1098" t="str">
        <f>IF(M1098&lt;ASSUMPTIONS!$D$10,"New (0-2)",IF(M1098&lt;=ASSUMPTIONS!$D$11,"Early (2-5)",IF(M1098&lt;=ASSUMPTIONS!$D$12,"Established (5-10)","Veteran (10+)")))</f>
        <v>Veteran (10+)</v>
      </c>
      <c r="R1098" s="4">
        <f t="shared" si="35"/>
        <v>3.3333333333333335</v>
      </c>
    </row>
    <row r="1099" spans="1:18">
      <c r="A1099">
        <f>RAW_DATA!A1099</f>
        <v>24</v>
      </c>
      <c r="B1099" t="str">
        <f>RAW_DATA!B1099</f>
        <v>No</v>
      </c>
      <c r="C1099" t="str">
        <f>RAW_DATA!C1099</f>
        <v>Research &amp; Development</v>
      </c>
      <c r="D1099">
        <f>RAW_DATA!D1099</f>
        <v>21</v>
      </c>
      <c r="E1099">
        <f>RAW_DATA!E1099</f>
        <v>2</v>
      </c>
      <c r="F1099" t="str">
        <f>RAW_DATA!F1099</f>
        <v>Technical Degree</v>
      </c>
      <c r="G1099">
        <f>RAW_DATA!G1099</f>
        <v>3</v>
      </c>
      <c r="H1099">
        <f>RAW_DATA!H1099</f>
        <v>1</v>
      </c>
      <c r="I1099" t="str">
        <f>RAW_DATA!I1099</f>
        <v>Divorced</v>
      </c>
      <c r="J1099">
        <f>RAW_DATA!J1099</f>
        <v>2296</v>
      </c>
      <c r="K1099">
        <f>RAW_DATA!K1099</f>
        <v>0</v>
      </c>
      <c r="L1099">
        <f>RAW_DATA!L1099</f>
        <v>3</v>
      </c>
      <c r="M1099">
        <f>RAW_DATA!M1099</f>
        <v>1</v>
      </c>
      <c r="N1099">
        <f t="shared" si="34"/>
        <v>0</v>
      </c>
      <c r="O1099" t="str" cm="1">
        <f t="array" ref="O1099" xml:space="preserve"> _xlfn.IFS(A1099 &lt;ASSUMPTIONS!$D$2,"25",A1099 &lt;= ASSUMPTIONS!$D$3,"25-34",A1099 &lt;= ASSUMPTIONS!$D$4, "35-44",A1099 &lt;= ASSUMPTIONS!$D$5,"45-54",TRUE,"55+")</f>
        <v>25</v>
      </c>
      <c r="P1099" t="str" cm="1">
        <f t="array" ref="P1099">_xlfn.IFS( J1099 &lt;ASSUMPTIONS!$D$7,"LOW",J1099 &lt;= ASSUMPTIONS!$D$8,"MEDIUM",TRUE, "HIGH")</f>
        <v>LOW</v>
      </c>
      <c r="Q1099" t="str">
        <f>IF(M1099&lt;ASSUMPTIONS!$D$10,"New (0-2)",IF(M1099&lt;=ASSUMPTIONS!$D$11,"Early (2-5)",IF(M1099&lt;=ASSUMPTIONS!$D$12,"Established (5-10)","Veteran (10+)")))</f>
        <v>New (0-2)</v>
      </c>
      <c r="R1099" s="4">
        <f t="shared" si="35"/>
        <v>2.3333333333333335</v>
      </c>
    </row>
    <row r="1100" spans="1:18">
      <c r="A1100">
        <f>RAW_DATA!A1100</f>
        <v>40</v>
      </c>
      <c r="B1100" t="str">
        <f>RAW_DATA!B1100</f>
        <v>No</v>
      </c>
      <c r="C1100" t="str">
        <f>RAW_DATA!C1100</f>
        <v>Research &amp; Development</v>
      </c>
      <c r="D1100">
        <f>RAW_DATA!D1100</f>
        <v>8</v>
      </c>
      <c r="E1100">
        <f>RAW_DATA!E1100</f>
        <v>2</v>
      </c>
      <c r="F1100" t="str">
        <f>RAW_DATA!F1100</f>
        <v>Life Sciences</v>
      </c>
      <c r="G1100">
        <f>RAW_DATA!G1100</f>
        <v>4</v>
      </c>
      <c r="H1100">
        <f>RAW_DATA!H1100</f>
        <v>4</v>
      </c>
      <c r="I1100" t="str">
        <f>RAW_DATA!I1100</f>
        <v>Divorced</v>
      </c>
      <c r="J1100">
        <f>RAW_DATA!J1100</f>
        <v>4069</v>
      </c>
      <c r="K1100">
        <f>RAW_DATA!K1100</f>
        <v>3</v>
      </c>
      <c r="L1100">
        <f>RAW_DATA!L1100</f>
        <v>3</v>
      </c>
      <c r="M1100">
        <f>RAW_DATA!M1100</f>
        <v>2</v>
      </c>
      <c r="N1100">
        <f t="shared" si="34"/>
        <v>0</v>
      </c>
      <c r="O1100" t="str" cm="1">
        <f t="array" ref="O1100" xml:space="preserve"> _xlfn.IFS(A1100 &lt;ASSUMPTIONS!$D$2,"25",A1100 &lt;= ASSUMPTIONS!$D$3,"25-34",A1100 &lt;= ASSUMPTIONS!$D$4, "35-44",A1100 &lt;= ASSUMPTIONS!$D$5,"45-54",TRUE,"55+")</f>
        <v>35-44</v>
      </c>
      <c r="P1100" t="str" cm="1">
        <f t="array" ref="P1100">_xlfn.IFS( J1100 &lt;ASSUMPTIONS!$D$7,"LOW",J1100 &lt;= ASSUMPTIONS!$D$8,"MEDIUM",TRUE, "HIGH")</f>
        <v>MEDIUM</v>
      </c>
      <c r="Q1100" t="str">
        <f>IF(M1100&lt;ASSUMPTIONS!$D$10,"New (0-2)",IF(M1100&lt;=ASSUMPTIONS!$D$11,"Early (2-5)",IF(M1100&lt;=ASSUMPTIONS!$D$12,"Established (5-10)","Veteran (10+)")))</f>
        <v>Early (2-5)</v>
      </c>
      <c r="R1100" s="4">
        <f t="shared" si="35"/>
        <v>3.6666666666666665</v>
      </c>
    </row>
    <row r="1101" spans="1:18">
      <c r="A1101">
        <f>RAW_DATA!A1101</f>
        <v>45</v>
      </c>
      <c r="B1101" t="str">
        <f>RAW_DATA!B1101</f>
        <v>No</v>
      </c>
      <c r="C1101" t="str">
        <f>RAW_DATA!C1101</f>
        <v>Research &amp; Development</v>
      </c>
      <c r="D1101">
        <f>RAW_DATA!D1101</f>
        <v>1</v>
      </c>
      <c r="E1101">
        <f>RAW_DATA!E1101</f>
        <v>4</v>
      </c>
      <c r="F1101" t="str">
        <f>RAW_DATA!F1101</f>
        <v>Technical Degree</v>
      </c>
      <c r="G1101">
        <f>RAW_DATA!G1101</f>
        <v>1</v>
      </c>
      <c r="H1101">
        <f>RAW_DATA!H1101</f>
        <v>2</v>
      </c>
      <c r="I1101" t="str">
        <f>RAW_DATA!I1101</f>
        <v>Divorced</v>
      </c>
      <c r="J1101">
        <f>RAW_DATA!J1101</f>
        <v>7441</v>
      </c>
      <c r="K1101">
        <f>RAW_DATA!K1101</f>
        <v>1</v>
      </c>
      <c r="L1101">
        <f>RAW_DATA!L1101</f>
        <v>3</v>
      </c>
      <c r="M1101">
        <f>RAW_DATA!M1101</f>
        <v>10</v>
      </c>
      <c r="N1101">
        <f t="shared" si="34"/>
        <v>0</v>
      </c>
      <c r="O1101" t="str" cm="1">
        <f t="array" ref="O1101" xml:space="preserve"> _xlfn.IFS(A1101 &lt;ASSUMPTIONS!$D$2,"25",A1101 &lt;= ASSUMPTIONS!$D$3,"25-34",A1101 &lt;= ASSUMPTIONS!$D$4, "35-44",A1101 &lt;= ASSUMPTIONS!$D$5,"45-54",TRUE,"55+")</f>
        <v>45-54</v>
      </c>
      <c r="P1101" t="str" cm="1">
        <f t="array" ref="P1101">_xlfn.IFS( J1101 &lt;ASSUMPTIONS!$D$7,"LOW",J1101 &lt;= ASSUMPTIONS!$D$8,"MEDIUM",TRUE, "HIGH")</f>
        <v>HIGH</v>
      </c>
      <c r="Q1101" t="str">
        <f>IF(M1101&lt;ASSUMPTIONS!$D$10,"New (0-2)",IF(M1101&lt;=ASSUMPTIONS!$D$11,"Early (2-5)",IF(M1101&lt;=ASSUMPTIONS!$D$12,"Established (5-10)","Veteran (10+)")))</f>
        <v>Established (5-10)</v>
      </c>
      <c r="R1101" s="4">
        <f t="shared" si="35"/>
        <v>2</v>
      </c>
    </row>
    <row r="1102" spans="1:18">
      <c r="A1102">
        <f>RAW_DATA!A1102</f>
        <v>35</v>
      </c>
      <c r="B1102" t="str">
        <f>RAW_DATA!B1102</f>
        <v>No</v>
      </c>
      <c r="C1102" t="str">
        <f>RAW_DATA!C1102</f>
        <v>Sales</v>
      </c>
      <c r="D1102">
        <f>RAW_DATA!D1102</f>
        <v>28</v>
      </c>
      <c r="E1102">
        <f>RAW_DATA!E1102</f>
        <v>4</v>
      </c>
      <c r="F1102" t="str">
        <f>RAW_DATA!F1102</f>
        <v>Life Sciences</v>
      </c>
      <c r="G1102">
        <f>RAW_DATA!G1102</f>
        <v>2</v>
      </c>
      <c r="H1102">
        <f>RAW_DATA!H1102</f>
        <v>3</v>
      </c>
      <c r="I1102" t="str">
        <f>RAW_DATA!I1102</f>
        <v>Married</v>
      </c>
      <c r="J1102">
        <f>RAW_DATA!J1102</f>
        <v>2430</v>
      </c>
      <c r="K1102">
        <f>RAW_DATA!K1102</f>
        <v>0</v>
      </c>
      <c r="L1102">
        <f>RAW_DATA!L1102</f>
        <v>3</v>
      </c>
      <c r="M1102">
        <f>RAW_DATA!M1102</f>
        <v>5</v>
      </c>
      <c r="N1102">
        <f t="shared" si="34"/>
        <v>0</v>
      </c>
      <c r="O1102" t="str" cm="1">
        <f t="array" ref="O1102" xml:space="preserve"> _xlfn.IFS(A1102 &lt;ASSUMPTIONS!$D$2,"25",A1102 &lt;= ASSUMPTIONS!$D$3,"25-34",A1102 &lt;= ASSUMPTIONS!$D$4, "35-44",A1102 &lt;= ASSUMPTIONS!$D$5,"45-54",TRUE,"55+")</f>
        <v>35-44</v>
      </c>
      <c r="P1102" t="str" cm="1">
        <f t="array" ref="P1102">_xlfn.IFS( J1102 &lt;ASSUMPTIONS!$D$7,"LOW",J1102 &lt;= ASSUMPTIONS!$D$8,"MEDIUM",TRUE, "HIGH")</f>
        <v>LOW</v>
      </c>
      <c r="Q1102" t="str">
        <f>IF(M1102&lt;ASSUMPTIONS!$D$10,"New (0-2)",IF(M1102&lt;=ASSUMPTIONS!$D$11,"Early (2-5)",IF(M1102&lt;=ASSUMPTIONS!$D$12,"Established (5-10)","Veteran (10+)")))</f>
        <v>Early (2-5)</v>
      </c>
      <c r="R1102" s="4">
        <f t="shared" si="35"/>
        <v>2.6666666666666665</v>
      </c>
    </row>
    <row r="1103" spans="1:18">
      <c r="A1103">
        <f>RAW_DATA!A1103</f>
        <v>32</v>
      </c>
      <c r="B1103" t="str">
        <f>RAW_DATA!B1103</f>
        <v>No</v>
      </c>
      <c r="C1103" t="str">
        <f>RAW_DATA!C1103</f>
        <v>Research &amp; Development</v>
      </c>
      <c r="D1103">
        <f>RAW_DATA!D1103</f>
        <v>5</v>
      </c>
      <c r="E1103">
        <f>RAW_DATA!E1103</f>
        <v>2</v>
      </c>
      <c r="F1103" t="str">
        <f>RAW_DATA!F1103</f>
        <v>Life Sciences</v>
      </c>
      <c r="G1103">
        <f>RAW_DATA!G1103</f>
        <v>4</v>
      </c>
      <c r="H1103">
        <f>RAW_DATA!H1103</f>
        <v>2</v>
      </c>
      <c r="I1103" t="str">
        <f>RAW_DATA!I1103</f>
        <v>Married</v>
      </c>
      <c r="J1103">
        <f>RAW_DATA!J1103</f>
        <v>5878</v>
      </c>
      <c r="K1103">
        <f>RAW_DATA!K1103</f>
        <v>3</v>
      </c>
      <c r="L1103">
        <f>RAW_DATA!L1103</f>
        <v>3</v>
      </c>
      <c r="M1103">
        <f>RAW_DATA!M1103</f>
        <v>7</v>
      </c>
      <c r="N1103">
        <f t="shared" si="34"/>
        <v>0</v>
      </c>
      <c r="O1103" t="str" cm="1">
        <f t="array" ref="O1103" xml:space="preserve"> _xlfn.IFS(A1103 &lt;ASSUMPTIONS!$D$2,"25",A1103 &lt;= ASSUMPTIONS!$D$3,"25-34",A1103 &lt;= ASSUMPTIONS!$D$4, "35-44",A1103 &lt;= ASSUMPTIONS!$D$5,"45-54",TRUE,"55+")</f>
        <v>25-34</v>
      </c>
      <c r="P1103" t="str" cm="1">
        <f t="array" ref="P1103">_xlfn.IFS( J1103 &lt;ASSUMPTIONS!$D$7,"LOW",J1103 &lt;= ASSUMPTIONS!$D$8,"MEDIUM",TRUE, "HIGH")</f>
        <v>MEDIUM</v>
      </c>
      <c r="Q1103" t="str">
        <f>IF(M1103&lt;ASSUMPTIONS!$D$10,"New (0-2)",IF(M1103&lt;=ASSUMPTIONS!$D$11,"Early (2-5)",IF(M1103&lt;=ASSUMPTIONS!$D$12,"Established (5-10)","Veteran (10+)")))</f>
        <v>Established (5-10)</v>
      </c>
      <c r="R1103" s="4">
        <f t="shared" si="35"/>
        <v>3</v>
      </c>
    </row>
    <row r="1104" spans="1:18">
      <c r="A1104">
        <f>RAW_DATA!A1104</f>
        <v>36</v>
      </c>
      <c r="B1104" t="str">
        <f>RAW_DATA!B1104</f>
        <v>No</v>
      </c>
      <c r="C1104" t="str">
        <f>RAW_DATA!C1104</f>
        <v>Sales</v>
      </c>
      <c r="D1104">
        <f>RAW_DATA!D1104</f>
        <v>2</v>
      </c>
      <c r="E1104">
        <f>RAW_DATA!E1104</f>
        <v>4</v>
      </c>
      <c r="F1104" t="str">
        <f>RAW_DATA!F1104</f>
        <v>Life Sciences</v>
      </c>
      <c r="G1104">
        <f>RAW_DATA!G1104</f>
        <v>3</v>
      </c>
      <c r="H1104">
        <f>RAW_DATA!H1104</f>
        <v>4</v>
      </c>
      <c r="I1104" t="str">
        <f>RAW_DATA!I1104</f>
        <v>Single</v>
      </c>
      <c r="J1104">
        <f>RAW_DATA!J1104</f>
        <v>2644</v>
      </c>
      <c r="K1104">
        <f>RAW_DATA!K1104</f>
        <v>3</v>
      </c>
      <c r="L1104">
        <f>RAW_DATA!L1104</f>
        <v>2</v>
      </c>
      <c r="M1104">
        <f>RAW_DATA!M1104</f>
        <v>3</v>
      </c>
      <c r="N1104">
        <f t="shared" si="34"/>
        <v>0</v>
      </c>
      <c r="O1104" t="str" cm="1">
        <f t="array" ref="O1104" xml:space="preserve"> _xlfn.IFS(A1104 &lt;ASSUMPTIONS!$D$2,"25",A1104 &lt;= ASSUMPTIONS!$D$3,"25-34",A1104 &lt;= ASSUMPTIONS!$D$4, "35-44",A1104 &lt;= ASSUMPTIONS!$D$5,"45-54",TRUE,"55+")</f>
        <v>35-44</v>
      </c>
      <c r="P1104" t="str" cm="1">
        <f t="array" ref="P1104">_xlfn.IFS( J1104 &lt;ASSUMPTIONS!$D$7,"LOW",J1104 &lt;= ASSUMPTIONS!$D$8,"MEDIUM",TRUE, "HIGH")</f>
        <v>LOW</v>
      </c>
      <c r="Q1104" t="str">
        <f>IF(M1104&lt;ASSUMPTIONS!$D$10,"New (0-2)",IF(M1104&lt;=ASSUMPTIONS!$D$11,"Early (2-5)",IF(M1104&lt;=ASSUMPTIONS!$D$12,"Established (5-10)","Veteran (10+)")))</f>
        <v>Early (2-5)</v>
      </c>
      <c r="R1104" s="4">
        <f t="shared" si="35"/>
        <v>3</v>
      </c>
    </row>
    <row r="1105" spans="1:18">
      <c r="A1105">
        <f>RAW_DATA!A1105</f>
        <v>48</v>
      </c>
      <c r="B1105" t="str">
        <f>RAW_DATA!B1105</f>
        <v>No</v>
      </c>
      <c r="C1105" t="str">
        <f>RAW_DATA!C1105</f>
        <v>Sales</v>
      </c>
      <c r="D1105">
        <f>RAW_DATA!D1105</f>
        <v>16</v>
      </c>
      <c r="E1105">
        <f>RAW_DATA!E1105</f>
        <v>4</v>
      </c>
      <c r="F1105" t="str">
        <f>RAW_DATA!F1105</f>
        <v>Life Sciences</v>
      </c>
      <c r="G1105">
        <f>RAW_DATA!G1105</f>
        <v>3</v>
      </c>
      <c r="H1105">
        <f>RAW_DATA!H1105</f>
        <v>3</v>
      </c>
      <c r="I1105" t="str">
        <f>RAW_DATA!I1105</f>
        <v>Divorced</v>
      </c>
      <c r="J1105">
        <f>RAW_DATA!J1105</f>
        <v>6439</v>
      </c>
      <c r="K1105">
        <f>RAW_DATA!K1105</f>
        <v>8</v>
      </c>
      <c r="L1105">
        <f>RAW_DATA!L1105</f>
        <v>3</v>
      </c>
      <c r="M1105">
        <f>RAW_DATA!M1105</f>
        <v>8</v>
      </c>
      <c r="N1105">
        <f t="shared" si="34"/>
        <v>0</v>
      </c>
      <c r="O1105" t="str" cm="1">
        <f t="array" ref="O1105" xml:space="preserve"> _xlfn.IFS(A1105 &lt;ASSUMPTIONS!$D$2,"25",A1105 &lt;= ASSUMPTIONS!$D$3,"25-34",A1105 &lt;= ASSUMPTIONS!$D$4, "35-44",A1105 &lt;= ASSUMPTIONS!$D$5,"45-54",TRUE,"55+")</f>
        <v>45-54</v>
      </c>
      <c r="P1105" t="str" cm="1">
        <f t="array" ref="P1105">_xlfn.IFS( J1105 &lt;ASSUMPTIONS!$D$7,"LOW",J1105 &lt;= ASSUMPTIONS!$D$8,"MEDIUM",TRUE, "HIGH")</f>
        <v>MEDIUM</v>
      </c>
      <c r="Q1105" t="str">
        <f>IF(M1105&lt;ASSUMPTIONS!$D$10,"New (0-2)",IF(M1105&lt;=ASSUMPTIONS!$D$11,"Early (2-5)",IF(M1105&lt;=ASSUMPTIONS!$D$12,"Established (5-10)","Veteran (10+)")))</f>
        <v>Established (5-10)</v>
      </c>
      <c r="R1105" s="4">
        <f t="shared" si="35"/>
        <v>3</v>
      </c>
    </row>
    <row r="1106" spans="1:18">
      <c r="A1106">
        <f>RAW_DATA!A1106</f>
        <v>29</v>
      </c>
      <c r="B1106" t="str">
        <f>RAW_DATA!B1106</f>
        <v>No</v>
      </c>
      <c r="C1106" t="str">
        <f>RAW_DATA!C1106</f>
        <v>Research &amp; Development</v>
      </c>
      <c r="D1106">
        <f>RAW_DATA!D1106</f>
        <v>9</v>
      </c>
      <c r="E1106">
        <f>RAW_DATA!E1106</f>
        <v>3</v>
      </c>
      <c r="F1106" t="str">
        <f>RAW_DATA!F1106</f>
        <v>Life Sciences</v>
      </c>
      <c r="G1106">
        <f>RAW_DATA!G1106</f>
        <v>3</v>
      </c>
      <c r="H1106">
        <f>RAW_DATA!H1106</f>
        <v>3</v>
      </c>
      <c r="I1106" t="str">
        <f>RAW_DATA!I1106</f>
        <v>Married</v>
      </c>
      <c r="J1106">
        <f>RAW_DATA!J1106</f>
        <v>2451</v>
      </c>
      <c r="K1106">
        <f>RAW_DATA!K1106</f>
        <v>6</v>
      </c>
      <c r="L1106">
        <f>RAW_DATA!L1106</f>
        <v>2</v>
      </c>
      <c r="M1106">
        <f>RAW_DATA!M1106</f>
        <v>1</v>
      </c>
      <c r="N1106">
        <f t="shared" si="34"/>
        <v>0</v>
      </c>
      <c r="O1106" t="str" cm="1">
        <f t="array" ref="O1106" xml:space="preserve"> _xlfn.IFS(A1106 &lt;ASSUMPTIONS!$D$2,"25",A1106 &lt;= ASSUMPTIONS!$D$3,"25-34",A1106 &lt;= ASSUMPTIONS!$D$4, "35-44",A1106 &lt;= ASSUMPTIONS!$D$5,"45-54",TRUE,"55+")</f>
        <v>25-34</v>
      </c>
      <c r="P1106" t="str" cm="1">
        <f t="array" ref="P1106">_xlfn.IFS( J1106 &lt;ASSUMPTIONS!$D$7,"LOW",J1106 &lt;= ASSUMPTIONS!$D$8,"MEDIUM",TRUE, "HIGH")</f>
        <v>LOW</v>
      </c>
      <c r="Q1106" t="str">
        <f>IF(M1106&lt;ASSUMPTIONS!$D$10,"New (0-2)",IF(M1106&lt;=ASSUMPTIONS!$D$11,"Early (2-5)",IF(M1106&lt;=ASSUMPTIONS!$D$12,"Established (5-10)","Veteran (10+)")))</f>
        <v>New (0-2)</v>
      </c>
      <c r="R1106" s="4">
        <f t="shared" si="35"/>
        <v>2.6666666666666665</v>
      </c>
    </row>
    <row r="1107" spans="1:18">
      <c r="A1107">
        <f>RAW_DATA!A1107</f>
        <v>33</v>
      </c>
      <c r="B1107" t="str">
        <f>RAW_DATA!B1107</f>
        <v>No</v>
      </c>
      <c r="C1107" t="str">
        <f>RAW_DATA!C1107</f>
        <v>Sales</v>
      </c>
      <c r="D1107">
        <f>RAW_DATA!D1107</f>
        <v>8</v>
      </c>
      <c r="E1107">
        <f>RAW_DATA!E1107</f>
        <v>4</v>
      </c>
      <c r="F1107" t="str">
        <f>RAW_DATA!F1107</f>
        <v>Life Sciences</v>
      </c>
      <c r="G1107">
        <f>RAW_DATA!G1107</f>
        <v>1</v>
      </c>
      <c r="H1107">
        <f>RAW_DATA!H1107</f>
        <v>1</v>
      </c>
      <c r="I1107" t="str">
        <f>RAW_DATA!I1107</f>
        <v>Married</v>
      </c>
      <c r="J1107">
        <f>RAW_DATA!J1107</f>
        <v>6392</v>
      </c>
      <c r="K1107">
        <f>RAW_DATA!K1107</f>
        <v>2</v>
      </c>
      <c r="L1107">
        <f>RAW_DATA!L1107</f>
        <v>1</v>
      </c>
      <c r="M1107">
        <f>RAW_DATA!M1107</f>
        <v>2</v>
      </c>
      <c r="N1107">
        <f t="shared" si="34"/>
        <v>0</v>
      </c>
      <c r="O1107" t="str" cm="1">
        <f t="array" ref="O1107" xml:space="preserve"> _xlfn.IFS(A1107 &lt;ASSUMPTIONS!$D$2,"25",A1107 &lt;= ASSUMPTIONS!$D$3,"25-34",A1107 &lt;= ASSUMPTIONS!$D$4, "35-44",A1107 &lt;= ASSUMPTIONS!$D$5,"45-54",TRUE,"55+")</f>
        <v>25-34</v>
      </c>
      <c r="P1107" t="str" cm="1">
        <f t="array" ref="P1107">_xlfn.IFS( J1107 &lt;ASSUMPTIONS!$D$7,"LOW",J1107 &lt;= ASSUMPTIONS!$D$8,"MEDIUM",TRUE, "HIGH")</f>
        <v>MEDIUM</v>
      </c>
      <c r="Q1107" t="str">
        <f>IF(M1107&lt;ASSUMPTIONS!$D$10,"New (0-2)",IF(M1107&lt;=ASSUMPTIONS!$D$11,"Early (2-5)",IF(M1107&lt;=ASSUMPTIONS!$D$12,"Established (5-10)","Veteran (10+)")))</f>
        <v>Early (2-5)</v>
      </c>
      <c r="R1107" s="4">
        <f t="shared" si="35"/>
        <v>1</v>
      </c>
    </row>
    <row r="1108" spans="1:18">
      <c r="A1108">
        <f>RAW_DATA!A1108</f>
        <v>30</v>
      </c>
      <c r="B1108" t="str">
        <f>RAW_DATA!B1108</f>
        <v>Yes</v>
      </c>
      <c r="C1108" t="str">
        <f>RAW_DATA!C1108</f>
        <v>Sales</v>
      </c>
      <c r="D1108">
        <f>RAW_DATA!D1108</f>
        <v>1</v>
      </c>
      <c r="E1108">
        <f>RAW_DATA!E1108</f>
        <v>3</v>
      </c>
      <c r="F1108" t="str">
        <f>RAW_DATA!F1108</f>
        <v>Life Sciences</v>
      </c>
      <c r="G1108">
        <f>RAW_DATA!G1108</f>
        <v>2</v>
      </c>
      <c r="H1108">
        <f>RAW_DATA!H1108</f>
        <v>1</v>
      </c>
      <c r="I1108" t="str">
        <f>RAW_DATA!I1108</f>
        <v>Married</v>
      </c>
      <c r="J1108">
        <f>RAW_DATA!J1108</f>
        <v>9714</v>
      </c>
      <c r="K1108">
        <f>RAW_DATA!K1108</f>
        <v>1</v>
      </c>
      <c r="L1108">
        <f>RAW_DATA!L1108</f>
        <v>3</v>
      </c>
      <c r="M1108">
        <f>RAW_DATA!M1108</f>
        <v>10</v>
      </c>
      <c r="N1108">
        <f t="shared" si="34"/>
        <v>1</v>
      </c>
      <c r="O1108" t="str" cm="1">
        <f t="array" ref="O1108" xml:space="preserve"> _xlfn.IFS(A1108 &lt;ASSUMPTIONS!$D$2,"25",A1108 &lt;= ASSUMPTIONS!$D$3,"25-34",A1108 &lt;= ASSUMPTIONS!$D$4, "35-44",A1108 &lt;= ASSUMPTIONS!$D$5,"45-54",TRUE,"55+")</f>
        <v>25-34</v>
      </c>
      <c r="P1108" t="str" cm="1">
        <f t="array" ref="P1108">_xlfn.IFS( J1108 &lt;ASSUMPTIONS!$D$7,"LOW",J1108 &lt;= ASSUMPTIONS!$D$8,"MEDIUM",TRUE, "HIGH")</f>
        <v>HIGH</v>
      </c>
      <c r="Q1108" t="str">
        <f>IF(M1108&lt;ASSUMPTIONS!$D$10,"New (0-2)",IF(M1108&lt;=ASSUMPTIONS!$D$11,"Early (2-5)",IF(M1108&lt;=ASSUMPTIONS!$D$12,"Established (5-10)","Veteran (10+)")))</f>
        <v>Established (5-10)</v>
      </c>
      <c r="R1108" s="4">
        <f t="shared" si="35"/>
        <v>2</v>
      </c>
    </row>
    <row r="1109" spans="1:18">
      <c r="A1109">
        <f>RAW_DATA!A1109</f>
        <v>38</v>
      </c>
      <c r="B1109" t="str">
        <f>RAW_DATA!B1109</f>
        <v>No</v>
      </c>
      <c r="C1109" t="str">
        <f>RAW_DATA!C1109</f>
        <v>Human Resources</v>
      </c>
      <c r="D1109">
        <f>RAW_DATA!D1109</f>
        <v>10</v>
      </c>
      <c r="E1109">
        <f>RAW_DATA!E1109</f>
        <v>4</v>
      </c>
      <c r="F1109" t="str">
        <f>RAW_DATA!F1109</f>
        <v>Human Resources</v>
      </c>
      <c r="G1109">
        <f>RAW_DATA!G1109</f>
        <v>3</v>
      </c>
      <c r="H1109">
        <f>RAW_DATA!H1109</f>
        <v>3</v>
      </c>
      <c r="I1109" t="str">
        <f>RAW_DATA!I1109</f>
        <v>Married</v>
      </c>
      <c r="J1109">
        <f>RAW_DATA!J1109</f>
        <v>6077</v>
      </c>
      <c r="K1109">
        <f>RAW_DATA!K1109</f>
        <v>3</v>
      </c>
      <c r="L1109">
        <f>RAW_DATA!L1109</f>
        <v>3</v>
      </c>
      <c r="M1109">
        <f>RAW_DATA!M1109</f>
        <v>6</v>
      </c>
      <c r="N1109">
        <f t="shared" si="34"/>
        <v>0</v>
      </c>
      <c r="O1109" t="str" cm="1">
        <f t="array" ref="O1109" xml:space="preserve"> _xlfn.IFS(A1109 &lt;ASSUMPTIONS!$D$2,"25",A1109 &lt;= ASSUMPTIONS!$D$3,"25-34",A1109 &lt;= ASSUMPTIONS!$D$4, "35-44",A1109 &lt;= ASSUMPTIONS!$D$5,"45-54",TRUE,"55+")</f>
        <v>35-44</v>
      </c>
      <c r="P1109" t="str" cm="1">
        <f t="array" ref="P1109">_xlfn.IFS( J1109 &lt;ASSUMPTIONS!$D$7,"LOW",J1109 &lt;= ASSUMPTIONS!$D$8,"MEDIUM",TRUE, "HIGH")</f>
        <v>MEDIUM</v>
      </c>
      <c r="Q1109" t="str">
        <f>IF(M1109&lt;ASSUMPTIONS!$D$10,"New (0-2)",IF(M1109&lt;=ASSUMPTIONS!$D$11,"Early (2-5)",IF(M1109&lt;=ASSUMPTIONS!$D$12,"Established (5-10)","Veteran (10+)")))</f>
        <v>Established (5-10)</v>
      </c>
      <c r="R1109" s="4">
        <f t="shared" si="35"/>
        <v>3</v>
      </c>
    </row>
    <row r="1110" spans="1:18">
      <c r="A1110">
        <f>RAW_DATA!A1110</f>
        <v>35</v>
      </c>
      <c r="B1110" t="str">
        <f>RAW_DATA!B1110</f>
        <v>No</v>
      </c>
      <c r="C1110" t="str">
        <f>RAW_DATA!C1110</f>
        <v>Research &amp; Development</v>
      </c>
      <c r="D1110">
        <f>RAW_DATA!D1110</f>
        <v>1</v>
      </c>
      <c r="E1110">
        <f>RAW_DATA!E1110</f>
        <v>3</v>
      </c>
      <c r="F1110" t="str">
        <f>RAW_DATA!F1110</f>
        <v>Medical</v>
      </c>
      <c r="G1110">
        <f>RAW_DATA!G1110</f>
        <v>4</v>
      </c>
      <c r="H1110">
        <f>RAW_DATA!H1110</f>
        <v>1</v>
      </c>
      <c r="I1110" t="str">
        <f>RAW_DATA!I1110</f>
        <v>Single</v>
      </c>
      <c r="J1110">
        <f>RAW_DATA!J1110</f>
        <v>2450</v>
      </c>
      <c r="K1110">
        <f>RAW_DATA!K1110</f>
        <v>1</v>
      </c>
      <c r="L1110">
        <f>RAW_DATA!L1110</f>
        <v>3</v>
      </c>
      <c r="M1110">
        <f>RAW_DATA!M1110</f>
        <v>3</v>
      </c>
      <c r="N1110">
        <f t="shared" si="34"/>
        <v>0</v>
      </c>
      <c r="O1110" t="str" cm="1">
        <f t="array" ref="O1110" xml:space="preserve"> _xlfn.IFS(A1110 &lt;ASSUMPTIONS!$D$2,"25",A1110 &lt;= ASSUMPTIONS!$D$3,"25-34",A1110 &lt;= ASSUMPTIONS!$D$4, "35-44",A1110 &lt;= ASSUMPTIONS!$D$5,"45-54",TRUE,"55+")</f>
        <v>35-44</v>
      </c>
      <c r="P1110" t="str" cm="1">
        <f t="array" ref="P1110">_xlfn.IFS( J1110 &lt;ASSUMPTIONS!$D$7,"LOW",J1110 &lt;= ASSUMPTIONS!$D$8,"MEDIUM",TRUE, "HIGH")</f>
        <v>LOW</v>
      </c>
      <c r="Q1110" t="str">
        <f>IF(M1110&lt;ASSUMPTIONS!$D$10,"New (0-2)",IF(M1110&lt;=ASSUMPTIONS!$D$11,"Early (2-5)",IF(M1110&lt;=ASSUMPTIONS!$D$12,"Established (5-10)","Veteran (10+)")))</f>
        <v>Early (2-5)</v>
      </c>
      <c r="R1110" s="4">
        <f t="shared" si="35"/>
        <v>2.6666666666666665</v>
      </c>
    </row>
    <row r="1111" spans="1:18">
      <c r="A1111">
        <f>RAW_DATA!A1111</f>
        <v>30</v>
      </c>
      <c r="B1111" t="str">
        <f>RAW_DATA!B1111</f>
        <v>No</v>
      </c>
      <c r="C1111" t="str">
        <f>RAW_DATA!C1111</f>
        <v>Sales</v>
      </c>
      <c r="D1111">
        <f>RAW_DATA!D1111</f>
        <v>29</v>
      </c>
      <c r="E1111">
        <f>RAW_DATA!E1111</f>
        <v>4</v>
      </c>
      <c r="F1111" t="str">
        <f>RAW_DATA!F1111</f>
        <v>Technical Degree</v>
      </c>
      <c r="G1111">
        <f>RAW_DATA!G1111</f>
        <v>3</v>
      </c>
      <c r="H1111">
        <f>RAW_DATA!H1111</f>
        <v>2</v>
      </c>
      <c r="I1111" t="str">
        <f>RAW_DATA!I1111</f>
        <v>Married</v>
      </c>
      <c r="J1111">
        <f>RAW_DATA!J1111</f>
        <v>9250</v>
      </c>
      <c r="K1111">
        <f>RAW_DATA!K1111</f>
        <v>3</v>
      </c>
      <c r="L1111">
        <f>RAW_DATA!L1111</f>
        <v>3</v>
      </c>
      <c r="M1111">
        <f>RAW_DATA!M1111</f>
        <v>4</v>
      </c>
      <c r="N1111">
        <f t="shared" si="34"/>
        <v>0</v>
      </c>
      <c r="O1111" t="str" cm="1">
        <f t="array" ref="O1111" xml:space="preserve"> _xlfn.IFS(A1111 &lt;ASSUMPTIONS!$D$2,"25",A1111 &lt;= ASSUMPTIONS!$D$3,"25-34",A1111 &lt;= ASSUMPTIONS!$D$4, "35-44",A1111 &lt;= ASSUMPTIONS!$D$5,"45-54",TRUE,"55+")</f>
        <v>25-34</v>
      </c>
      <c r="P1111" t="str" cm="1">
        <f t="array" ref="P1111">_xlfn.IFS( J1111 &lt;ASSUMPTIONS!$D$7,"LOW",J1111 &lt;= ASSUMPTIONS!$D$8,"MEDIUM",TRUE, "HIGH")</f>
        <v>HIGH</v>
      </c>
      <c r="Q1111" t="str">
        <f>IF(M1111&lt;ASSUMPTIONS!$D$10,"New (0-2)",IF(M1111&lt;=ASSUMPTIONS!$D$11,"Early (2-5)",IF(M1111&lt;=ASSUMPTIONS!$D$12,"Established (5-10)","Veteran (10+)")))</f>
        <v>Early (2-5)</v>
      </c>
      <c r="R1111" s="4">
        <f t="shared" si="35"/>
        <v>2.6666666666666665</v>
      </c>
    </row>
    <row r="1112" spans="1:18">
      <c r="A1112">
        <f>RAW_DATA!A1112</f>
        <v>35</v>
      </c>
      <c r="B1112" t="str">
        <f>RAW_DATA!B1112</f>
        <v>Yes</v>
      </c>
      <c r="C1112" t="str">
        <f>RAW_DATA!C1112</f>
        <v>Research &amp; Development</v>
      </c>
      <c r="D1112">
        <f>RAW_DATA!D1112</f>
        <v>2</v>
      </c>
      <c r="E1112">
        <f>RAW_DATA!E1112</f>
        <v>3</v>
      </c>
      <c r="F1112" t="str">
        <f>RAW_DATA!F1112</f>
        <v>Life Sciences</v>
      </c>
      <c r="G1112">
        <f>RAW_DATA!G1112</f>
        <v>1</v>
      </c>
      <c r="H1112">
        <f>RAW_DATA!H1112</f>
        <v>1</v>
      </c>
      <c r="I1112" t="str">
        <f>RAW_DATA!I1112</f>
        <v>Divorced</v>
      </c>
      <c r="J1112">
        <f>RAW_DATA!J1112</f>
        <v>2074</v>
      </c>
      <c r="K1112">
        <f>RAW_DATA!K1112</f>
        <v>1</v>
      </c>
      <c r="L1112">
        <f>RAW_DATA!L1112</f>
        <v>3</v>
      </c>
      <c r="M1112">
        <f>RAW_DATA!M1112</f>
        <v>1</v>
      </c>
      <c r="N1112">
        <f t="shared" si="34"/>
        <v>1</v>
      </c>
      <c r="O1112" t="str" cm="1">
        <f t="array" ref="O1112" xml:space="preserve"> _xlfn.IFS(A1112 &lt;ASSUMPTIONS!$D$2,"25",A1112 &lt;= ASSUMPTIONS!$D$3,"25-34",A1112 &lt;= ASSUMPTIONS!$D$4, "35-44",A1112 &lt;= ASSUMPTIONS!$D$5,"45-54",TRUE,"55+")</f>
        <v>35-44</v>
      </c>
      <c r="P1112" t="str" cm="1">
        <f t="array" ref="P1112">_xlfn.IFS( J1112 &lt;ASSUMPTIONS!$D$7,"LOW",J1112 &lt;= ASSUMPTIONS!$D$8,"MEDIUM",TRUE, "HIGH")</f>
        <v>LOW</v>
      </c>
      <c r="Q1112" t="str">
        <f>IF(M1112&lt;ASSUMPTIONS!$D$10,"New (0-2)",IF(M1112&lt;=ASSUMPTIONS!$D$11,"Early (2-5)",IF(M1112&lt;=ASSUMPTIONS!$D$12,"Established (5-10)","Veteran (10+)")))</f>
        <v>New (0-2)</v>
      </c>
      <c r="R1112" s="4">
        <f t="shared" si="35"/>
        <v>1.6666666666666667</v>
      </c>
    </row>
    <row r="1113" spans="1:18">
      <c r="A1113">
        <f>RAW_DATA!A1113</f>
        <v>53</v>
      </c>
      <c r="B1113" t="str">
        <f>RAW_DATA!B1113</f>
        <v>Yes</v>
      </c>
      <c r="C1113" t="str">
        <f>RAW_DATA!C1113</f>
        <v>Research &amp; Development</v>
      </c>
      <c r="D1113">
        <f>RAW_DATA!D1113</f>
        <v>2</v>
      </c>
      <c r="E1113">
        <f>RAW_DATA!E1113</f>
        <v>5</v>
      </c>
      <c r="F1113" t="str">
        <f>RAW_DATA!F1113</f>
        <v>Technical Degree</v>
      </c>
      <c r="G1113">
        <f>RAW_DATA!G1113</f>
        <v>3</v>
      </c>
      <c r="H1113">
        <f>RAW_DATA!H1113</f>
        <v>4</v>
      </c>
      <c r="I1113" t="str">
        <f>RAW_DATA!I1113</f>
        <v>Married</v>
      </c>
      <c r="J1113">
        <f>RAW_DATA!J1113</f>
        <v>10169</v>
      </c>
      <c r="K1113">
        <f>RAW_DATA!K1113</f>
        <v>0</v>
      </c>
      <c r="L1113">
        <f>RAW_DATA!L1113</f>
        <v>3</v>
      </c>
      <c r="M1113">
        <f>RAW_DATA!M1113</f>
        <v>33</v>
      </c>
      <c r="N1113">
        <f t="shared" si="34"/>
        <v>1</v>
      </c>
      <c r="O1113" t="str" cm="1">
        <f t="array" ref="O1113" xml:space="preserve"> _xlfn.IFS(A1113 &lt;ASSUMPTIONS!$D$2,"25",A1113 &lt;= ASSUMPTIONS!$D$3,"25-34",A1113 &lt;= ASSUMPTIONS!$D$4, "35-44",A1113 &lt;= ASSUMPTIONS!$D$5,"45-54",TRUE,"55+")</f>
        <v>45-54</v>
      </c>
      <c r="P1113" t="str" cm="1">
        <f t="array" ref="P1113">_xlfn.IFS( J1113 &lt;ASSUMPTIONS!$D$7,"LOW",J1113 &lt;= ASSUMPTIONS!$D$8,"MEDIUM",TRUE, "HIGH")</f>
        <v>HIGH</v>
      </c>
      <c r="Q1113" t="str">
        <f>IF(M1113&lt;ASSUMPTIONS!$D$10,"New (0-2)",IF(M1113&lt;=ASSUMPTIONS!$D$11,"Early (2-5)",IF(M1113&lt;=ASSUMPTIONS!$D$12,"Established (5-10)","Veteran (10+)")))</f>
        <v>Veteran (10+)</v>
      </c>
      <c r="R1113" s="4">
        <f t="shared" si="35"/>
        <v>3.3333333333333335</v>
      </c>
    </row>
    <row r="1114" spans="1:18">
      <c r="A1114">
        <f>RAW_DATA!A1114</f>
        <v>38</v>
      </c>
      <c r="B1114" t="str">
        <f>RAW_DATA!B1114</f>
        <v>Yes</v>
      </c>
      <c r="C1114" t="str">
        <f>RAW_DATA!C1114</f>
        <v>Research &amp; Development</v>
      </c>
      <c r="D1114">
        <f>RAW_DATA!D1114</f>
        <v>2</v>
      </c>
      <c r="E1114">
        <f>RAW_DATA!E1114</f>
        <v>3</v>
      </c>
      <c r="F1114" t="str">
        <f>RAW_DATA!F1114</f>
        <v>Medical</v>
      </c>
      <c r="G1114">
        <f>RAW_DATA!G1114</f>
        <v>3</v>
      </c>
      <c r="H1114">
        <f>RAW_DATA!H1114</f>
        <v>2</v>
      </c>
      <c r="I1114" t="str">
        <f>RAW_DATA!I1114</f>
        <v>Married</v>
      </c>
      <c r="J1114">
        <f>RAW_DATA!J1114</f>
        <v>4855</v>
      </c>
      <c r="K1114">
        <f>RAW_DATA!K1114</f>
        <v>4</v>
      </c>
      <c r="L1114">
        <f>RAW_DATA!L1114</f>
        <v>3</v>
      </c>
      <c r="M1114">
        <f>RAW_DATA!M1114</f>
        <v>5</v>
      </c>
      <c r="N1114">
        <f t="shared" si="34"/>
        <v>1</v>
      </c>
      <c r="O1114" t="str" cm="1">
        <f t="array" ref="O1114" xml:space="preserve"> _xlfn.IFS(A1114 &lt;ASSUMPTIONS!$D$2,"25",A1114 &lt;= ASSUMPTIONS!$D$3,"25-34",A1114 &lt;= ASSUMPTIONS!$D$4, "35-44",A1114 &lt;= ASSUMPTIONS!$D$5,"45-54",TRUE,"55+")</f>
        <v>35-44</v>
      </c>
      <c r="P1114" t="str" cm="1">
        <f t="array" ref="P1114">_xlfn.IFS( J1114 &lt;ASSUMPTIONS!$D$7,"LOW",J1114 &lt;= ASSUMPTIONS!$D$8,"MEDIUM",TRUE, "HIGH")</f>
        <v>MEDIUM</v>
      </c>
      <c r="Q1114" t="str">
        <f>IF(M1114&lt;ASSUMPTIONS!$D$10,"New (0-2)",IF(M1114&lt;=ASSUMPTIONS!$D$11,"Early (2-5)",IF(M1114&lt;=ASSUMPTIONS!$D$12,"Established (5-10)","Veteran (10+)")))</f>
        <v>Early (2-5)</v>
      </c>
      <c r="R1114" s="4">
        <f t="shared" si="35"/>
        <v>2.6666666666666665</v>
      </c>
    </row>
    <row r="1115" spans="1:18">
      <c r="A1115">
        <f>RAW_DATA!A1115</f>
        <v>32</v>
      </c>
      <c r="B1115" t="str">
        <f>RAW_DATA!B1115</f>
        <v>No</v>
      </c>
      <c r="C1115" t="str">
        <f>RAW_DATA!C1115</f>
        <v>Research &amp; Development</v>
      </c>
      <c r="D1115">
        <f>RAW_DATA!D1115</f>
        <v>1</v>
      </c>
      <c r="E1115">
        <f>RAW_DATA!E1115</f>
        <v>4</v>
      </c>
      <c r="F1115" t="str">
        <f>RAW_DATA!F1115</f>
        <v>Technical Degree</v>
      </c>
      <c r="G1115">
        <f>RAW_DATA!G1115</f>
        <v>4</v>
      </c>
      <c r="H1115">
        <f>RAW_DATA!H1115</f>
        <v>1</v>
      </c>
      <c r="I1115" t="str">
        <f>RAW_DATA!I1115</f>
        <v>Married</v>
      </c>
      <c r="J1115">
        <f>RAW_DATA!J1115</f>
        <v>4087</v>
      </c>
      <c r="K1115">
        <f>RAW_DATA!K1115</f>
        <v>4</v>
      </c>
      <c r="L1115">
        <f>RAW_DATA!L1115</f>
        <v>2</v>
      </c>
      <c r="M1115">
        <f>RAW_DATA!M1115</f>
        <v>6</v>
      </c>
      <c r="N1115">
        <f t="shared" si="34"/>
        <v>0</v>
      </c>
      <c r="O1115" t="str" cm="1">
        <f t="array" ref="O1115" xml:space="preserve"> _xlfn.IFS(A1115 &lt;ASSUMPTIONS!$D$2,"25",A1115 &lt;= ASSUMPTIONS!$D$3,"25-34",A1115 &lt;= ASSUMPTIONS!$D$4, "35-44",A1115 &lt;= ASSUMPTIONS!$D$5,"45-54",TRUE,"55+")</f>
        <v>25-34</v>
      </c>
      <c r="P1115" t="str" cm="1">
        <f t="array" ref="P1115">_xlfn.IFS( J1115 &lt;ASSUMPTIONS!$D$7,"LOW",J1115 &lt;= ASSUMPTIONS!$D$8,"MEDIUM",TRUE, "HIGH")</f>
        <v>MEDIUM</v>
      </c>
      <c r="Q1115" t="str">
        <f>IF(M1115&lt;ASSUMPTIONS!$D$10,"New (0-2)",IF(M1115&lt;=ASSUMPTIONS!$D$11,"Early (2-5)",IF(M1115&lt;=ASSUMPTIONS!$D$12,"Established (5-10)","Veteran (10+)")))</f>
        <v>Established (5-10)</v>
      </c>
      <c r="R1115" s="4">
        <f t="shared" si="35"/>
        <v>2.3333333333333335</v>
      </c>
    </row>
    <row r="1116" spans="1:18">
      <c r="A1116">
        <f>RAW_DATA!A1116</f>
        <v>48</v>
      </c>
      <c r="B1116" t="str">
        <f>RAW_DATA!B1116</f>
        <v>No</v>
      </c>
      <c r="C1116" t="str">
        <f>RAW_DATA!C1116</f>
        <v>Research &amp; Development</v>
      </c>
      <c r="D1116">
        <f>RAW_DATA!D1116</f>
        <v>15</v>
      </c>
      <c r="E1116">
        <f>RAW_DATA!E1116</f>
        <v>4</v>
      </c>
      <c r="F1116" t="str">
        <f>RAW_DATA!F1116</f>
        <v>Other</v>
      </c>
      <c r="G1116">
        <f>RAW_DATA!G1116</f>
        <v>3</v>
      </c>
      <c r="H1116">
        <f>RAW_DATA!H1116</f>
        <v>1</v>
      </c>
      <c r="I1116" t="str">
        <f>RAW_DATA!I1116</f>
        <v>Married</v>
      </c>
      <c r="J1116">
        <f>RAW_DATA!J1116</f>
        <v>2367</v>
      </c>
      <c r="K1116">
        <f>RAW_DATA!K1116</f>
        <v>8</v>
      </c>
      <c r="L1116">
        <f>RAW_DATA!L1116</f>
        <v>2</v>
      </c>
      <c r="M1116">
        <f>RAW_DATA!M1116</f>
        <v>8</v>
      </c>
      <c r="N1116">
        <f t="shared" si="34"/>
        <v>0</v>
      </c>
      <c r="O1116" t="str" cm="1">
        <f t="array" ref="O1116" xml:space="preserve"> _xlfn.IFS(A1116 &lt;ASSUMPTIONS!$D$2,"25",A1116 &lt;= ASSUMPTIONS!$D$3,"25-34",A1116 &lt;= ASSUMPTIONS!$D$4, "35-44",A1116 &lt;= ASSUMPTIONS!$D$5,"45-54",TRUE,"55+")</f>
        <v>45-54</v>
      </c>
      <c r="P1116" t="str" cm="1">
        <f t="array" ref="P1116">_xlfn.IFS( J1116 &lt;ASSUMPTIONS!$D$7,"LOW",J1116 &lt;= ASSUMPTIONS!$D$8,"MEDIUM",TRUE, "HIGH")</f>
        <v>LOW</v>
      </c>
      <c r="Q1116" t="str">
        <f>IF(M1116&lt;ASSUMPTIONS!$D$10,"New (0-2)",IF(M1116&lt;=ASSUMPTIONS!$D$11,"Early (2-5)",IF(M1116&lt;=ASSUMPTIONS!$D$12,"Established (5-10)","Veteran (10+)")))</f>
        <v>Established (5-10)</v>
      </c>
      <c r="R1116" s="4">
        <f t="shared" si="35"/>
        <v>2</v>
      </c>
    </row>
    <row r="1117" spans="1:18">
      <c r="A1117">
        <f>RAW_DATA!A1117</f>
        <v>34</v>
      </c>
      <c r="B1117" t="str">
        <f>RAW_DATA!B1117</f>
        <v>No</v>
      </c>
      <c r="C1117" t="str">
        <f>RAW_DATA!C1117</f>
        <v>Research &amp; Development</v>
      </c>
      <c r="D1117">
        <f>RAW_DATA!D1117</f>
        <v>7</v>
      </c>
      <c r="E1117">
        <f>RAW_DATA!E1117</f>
        <v>4</v>
      </c>
      <c r="F1117" t="str">
        <f>RAW_DATA!F1117</f>
        <v>Medical</v>
      </c>
      <c r="G1117">
        <f>RAW_DATA!G1117</f>
        <v>1</v>
      </c>
      <c r="H1117">
        <f>RAW_DATA!H1117</f>
        <v>4</v>
      </c>
      <c r="I1117" t="str">
        <f>RAW_DATA!I1117</f>
        <v>Single</v>
      </c>
      <c r="J1117">
        <f>RAW_DATA!J1117</f>
        <v>2972</v>
      </c>
      <c r="K1117">
        <f>RAW_DATA!K1117</f>
        <v>1</v>
      </c>
      <c r="L1117">
        <f>RAW_DATA!L1117</f>
        <v>1</v>
      </c>
      <c r="M1117">
        <f>RAW_DATA!M1117</f>
        <v>1</v>
      </c>
      <c r="N1117">
        <f t="shared" si="34"/>
        <v>0</v>
      </c>
      <c r="O1117" t="str" cm="1">
        <f t="array" ref="O1117" xml:space="preserve"> _xlfn.IFS(A1117 &lt;ASSUMPTIONS!$D$2,"25",A1117 &lt;= ASSUMPTIONS!$D$3,"25-34",A1117 &lt;= ASSUMPTIONS!$D$4, "35-44",A1117 &lt;= ASSUMPTIONS!$D$5,"45-54",TRUE,"55+")</f>
        <v>25-34</v>
      </c>
      <c r="P1117" t="str" cm="1">
        <f t="array" ref="P1117">_xlfn.IFS( J1117 &lt;ASSUMPTIONS!$D$7,"LOW",J1117 &lt;= ASSUMPTIONS!$D$8,"MEDIUM",TRUE, "HIGH")</f>
        <v>LOW</v>
      </c>
      <c r="Q1117" t="str">
        <f>IF(M1117&lt;ASSUMPTIONS!$D$10,"New (0-2)",IF(M1117&lt;=ASSUMPTIONS!$D$11,"Early (2-5)",IF(M1117&lt;=ASSUMPTIONS!$D$12,"Established (5-10)","Veteran (10+)")))</f>
        <v>New (0-2)</v>
      </c>
      <c r="R1117" s="4">
        <f t="shared" si="35"/>
        <v>2</v>
      </c>
    </row>
    <row r="1118" spans="1:18">
      <c r="A1118">
        <f>RAW_DATA!A1118</f>
        <v>55</v>
      </c>
      <c r="B1118" t="str">
        <f>RAW_DATA!B1118</f>
        <v>No</v>
      </c>
      <c r="C1118" t="str">
        <f>RAW_DATA!C1118</f>
        <v>Sales</v>
      </c>
      <c r="D1118">
        <f>RAW_DATA!D1118</f>
        <v>26</v>
      </c>
      <c r="E1118">
        <f>RAW_DATA!E1118</f>
        <v>5</v>
      </c>
      <c r="F1118" t="str">
        <f>RAW_DATA!F1118</f>
        <v>Marketing</v>
      </c>
      <c r="G1118">
        <f>RAW_DATA!G1118</f>
        <v>3</v>
      </c>
      <c r="H1118">
        <f>RAW_DATA!H1118</f>
        <v>4</v>
      </c>
      <c r="I1118" t="str">
        <f>RAW_DATA!I1118</f>
        <v>Married</v>
      </c>
      <c r="J1118">
        <f>RAW_DATA!J1118</f>
        <v>19586</v>
      </c>
      <c r="K1118">
        <f>RAW_DATA!K1118</f>
        <v>1</v>
      </c>
      <c r="L1118">
        <f>RAW_DATA!L1118</f>
        <v>3</v>
      </c>
      <c r="M1118">
        <f>RAW_DATA!M1118</f>
        <v>36</v>
      </c>
      <c r="N1118">
        <f t="shared" si="34"/>
        <v>0</v>
      </c>
      <c r="O1118" t="str" cm="1">
        <f t="array" ref="O1118" xml:space="preserve"> _xlfn.IFS(A1118 &lt;ASSUMPTIONS!$D$2,"25",A1118 &lt;= ASSUMPTIONS!$D$3,"25-34",A1118 &lt;= ASSUMPTIONS!$D$4, "35-44",A1118 &lt;= ASSUMPTIONS!$D$5,"45-54",TRUE,"55+")</f>
        <v>55+</v>
      </c>
      <c r="P1118" t="str" cm="1">
        <f t="array" ref="P1118">_xlfn.IFS( J1118 &lt;ASSUMPTIONS!$D$7,"LOW",J1118 &lt;= ASSUMPTIONS!$D$8,"MEDIUM",TRUE, "HIGH")</f>
        <v>HIGH</v>
      </c>
      <c r="Q1118" t="str">
        <f>IF(M1118&lt;ASSUMPTIONS!$D$10,"New (0-2)",IF(M1118&lt;=ASSUMPTIONS!$D$11,"Early (2-5)",IF(M1118&lt;=ASSUMPTIONS!$D$12,"Established (5-10)","Veteran (10+)")))</f>
        <v>Veteran (10+)</v>
      </c>
      <c r="R1118" s="4">
        <f t="shared" si="35"/>
        <v>3.3333333333333335</v>
      </c>
    </row>
    <row r="1119" spans="1:18">
      <c r="A1119">
        <f>RAW_DATA!A1119</f>
        <v>34</v>
      </c>
      <c r="B1119" t="str">
        <f>RAW_DATA!B1119</f>
        <v>No</v>
      </c>
      <c r="C1119" t="str">
        <f>RAW_DATA!C1119</f>
        <v>Research &amp; Development</v>
      </c>
      <c r="D1119">
        <f>RAW_DATA!D1119</f>
        <v>1</v>
      </c>
      <c r="E1119">
        <f>RAW_DATA!E1119</f>
        <v>4</v>
      </c>
      <c r="F1119" t="str">
        <f>RAW_DATA!F1119</f>
        <v>Life Sciences</v>
      </c>
      <c r="G1119">
        <f>RAW_DATA!G1119</f>
        <v>2</v>
      </c>
      <c r="H1119">
        <f>RAW_DATA!H1119</f>
        <v>4</v>
      </c>
      <c r="I1119" t="str">
        <f>RAW_DATA!I1119</f>
        <v>Married</v>
      </c>
      <c r="J1119">
        <f>RAW_DATA!J1119</f>
        <v>5484</v>
      </c>
      <c r="K1119">
        <f>RAW_DATA!K1119</f>
        <v>9</v>
      </c>
      <c r="L1119">
        <f>RAW_DATA!L1119</f>
        <v>2</v>
      </c>
      <c r="M1119">
        <f>RAW_DATA!M1119</f>
        <v>2</v>
      </c>
      <c r="N1119">
        <f t="shared" si="34"/>
        <v>0</v>
      </c>
      <c r="O1119" t="str" cm="1">
        <f t="array" ref="O1119" xml:space="preserve"> _xlfn.IFS(A1119 &lt;ASSUMPTIONS!$D$2,"25",A1119 &lt;= ASSUMPTIONS!$D$3,"25-34",A1119 &lt;= ASSUMPTIONS!$D$4, "35-44",A1119 &lt;= ASSUMPTIONS!$D$5,"45-54",TRUE,"55+")</f>
        <v>25-34</v>
      </c>
      <c r="P1119" t="str" cm="1">
        <f t="array" ref="P1119">_xlfn.IFS( J1119 &lt;ASSUMPTIONS!$D$7,"LOW",J1119 &lt;= ASSUMPTIONS!$D$8,"MEDIUM",TRUE, "HIGH")</f>
        <v>MEDIUM</v>
      </c>
      <c r="Q1119" t="str">
        <f>IF(M1119&lt;ASSUMPTIONS!$D$10,"New (0-2)",IF(M1119&lt;=ASSUMPTIONS!$D$11,"Early (2-5)",IF(M1119&lt;=ASSUMPTIONS!$D$12,"Established (5-10)","Veteran (10+)")))</f>
        <v>Early (2-5)</v>
      </c>
      <c r="R1119" s="4">
        <f t="shared" si="35"/>
        <v>2.6666666666666665</v>
      </c>
    </row>
    <row r="1120" spans="1:18">
      <c r="A1120">
        <f>RAW_DATA!A1120</f>
        <v>26</v>
      </c>
      <c r="B1120" t="str">
        <f>RAW_DATA!B1120</f>
        <v>No</v>
      </c>
      <c r="C1120" t="str">
        <f>RAW_DATA!C1120</f>
        <v>Research &amp; Development</v>
      </c>
      <c r="D1120">
        <f>RAW_DATA!D1120</f>
        <v>3</v>
      </c>
      <c r="E1120">
        <f>RAW_DATA!E1120</f>
        <v>3</v>
      </c>
      <c r="F1120" t="str">
        <f>RAW_DATA!F1120</f>
        <v>Life Sciences</v>
      </c>
      <c r="G1120">
        <f>RAW_DATA!G1120</f>
        <v>1</v>
      </c>
      <c r="H1120">
        <f>RAW_DATA!H1120</f>
        <v>4</v>
      </c>
      <c r="I1120" t="str">
        <f>RAW_DATA!I1120</f>
        <v>Married</v>
      </c>
      <c r="J1120">
        <f>RAW_DATA!J1120</f>
        <v>2061</v>
      </c>
      <c r="K1120">
        <f>RAW_DATA!K1120</f>
        <v>1</v>
      </c>
      <c r="L1120">
        <f>RAW_DATA!L1120</f>
        <v>3</v>
      </c>
      <c r="M1120">
        <f>RAW_DATA!M1120</f>
        <v>1</v>
      </c>
      <c r="N1120">
        <f t="shared" si="34"/>
        <v>0</v>
      </c>
      <c r="O1120" t="str" cm="1">
        <f t="array" ref="O1120" xml:space="preserve"> _xlfn.IFS(A1120 &lt;ASSUMPTIONS!$D$2,"25",A1120 &lt;= ASSUMPTIONS!$D$3,"25-34",A1120 &lt;= ASSUMPTIONS!$D$4, "35-44",A1120 &lt;= ASSUMPTIONS!$D$5,"45-54",TRUE,"55+")</f>
        <v>25-34</v>
      </c>
      <c r="P1120" t="str" cm="1">
        <f t="array" ref="P1120">_xlfn.IFS( J1120 &lt;ASSUMPTIONS!$D$7,"LOW",J1120 &lt;= ASSUMPTIONS!$D$8,"MEDIUM",TRUE, "HIGH")</f>
        <v>LOW</v>
      </c>
      <c r="Q1120" t="str">
        <f>IF(M1120&lt;ASSUMPTIONS!$D$10,"New (0-2)",IF(M1120&lt;=ASSUMPTIONS!$D$11,"Early (2-5)",IF(M1120&lt;=ASSUMPTIONS!$D$12,"Established (5-10)","Veteran (10+)")))</f>
        <v>New (0-2)</v>
      </c>
      <c r="R1120" s="4">
        <f t="shared" si="35"/>
        <v>2.6666666666666665</v>
      </c>
    </row>
    <row r="1121" spans="1:18">
      <c r="A1121">
        <f>RAW_DATA!A1121</f>
        <v>38</v>
      </c>
      <c r="B1121" t="str">
        <f>RAW_DATA!B1121</f>
        <v>No</v>
      </c>
      <c r="C1121" t="str">
        <f>RAW_DATA!C1121</f>
        <v>Sales</v>
      </c>
      <c r="D1121">
        <f>RAW_DATA!D1121</f>
        <v>14</v>
      </c>
      <c r="E1121">
        <f>RAW_DATA!E1121</f>
        <v>3</v>
      </c>
      <c r="F1121" t="str">
        <f>RAW_DATA!F1121</f>
        <v>Life Sciences</v>
      </c>
      <c r="G1121">
        <f>RAW_DATA!G1121</f>
        <v>3</v>
      </c>
      <c r="H1121">
        <f>RAW_DATA!H1121</f>
        <v>2</v>
      </c>
      <c r="I1121" t="str">
        <f>RAW_DATA!I1121</f>
        <v>Married</v>
      </c>
      <c r="J1121">
        <f>RAW_DATA!J1121</f>
        <v>9924</v>
      </c>
      <c r="K1121">
        <f>RAW_DATA!K1121</f>
        <v>0</v>
      </c>
      <c r="L1121">
        <f>RAW_DATA!L1121</f>
        <v>3</v>
      </c>
      <c r="M1121">
        <f>RAW_DATA!M1121</f>
        <v>9</v>
      </c>
      <c r="N1121">
        <f t="shared" si="34"/>
        <v>0</v>
      </c>
      <c r="O1121" t="str" cm="1">
        <f t="array" ref="O1121" xml:space="preserve"> _xlfn.IFS(A1121 &lt;ASSUMPTIONS!$D$2,"25",A1121 &lt;= ASSUMPTIONS!$D$3,"25-34",A1121 &lt;= ASSUMPTIONS!$D$4, "35-44",A1121 &lt;= ASSUMPTIONS!$D$5,"45-54",TRUE,"55+")</f>
        <v>35-44</v>
      </c>
      <c r="P1121" t="str" cm="1">
        <f t="array" ref="P1121">_xlfn.IFS( J1121 &lt;ASSUMPTIONS!$D$7,"LOW",J1121 &lt;= ASSUMPTIONS!$D$8,"MEDIUM",TRUE, "HIGH")</f>
        <v>HIGH</v>
      </c>
      <c r="Q1121" t="str">
        <f>IF(M1121&lt;ASSUMPTIONS!$D$10,"New (0-2)",IF(M1121&lt;=ASSUMPTIONS!$D$11,"Early (2-5)",IF(M1121&lt;=ASSUMPTIONS!$D$12,"Established (5-10)","Veteran (10+)")))</f>
        <v>Established (5-10)</v>
      </c>
      <c r="R1121" s="4">
        <f t="shared" si="35"/>
        <v>2.6666666666666665</v>
      </c>
    </row>
    <row r="1122" spans="1:18">
      <c r="A1122">
        <f>RAW_DATA!A1122</f>
        <v>38</v>
      </c>
      <c r="B1122" t="str">
        <f>RAW_DATA!B1122</f>
        <v>No</v>
      </c>
      <c r="C1122" t="str">
        <f>RAW_DATA!C1122</f>
        <v>Sales</v>
      </c>
      <c r="D1122">
        <f>RAW_DATA!D1122</f>
        <v>16</v>
      </c>
      <c r="E1122">
        <f>RAW_DATA!E1122</f>
        <v>3</v>
      </c>
      <c r="F1122" t="str">
        <f>RAW_DATA!F1122</f>
        <v>Life Sciences</v>
      </c>
      <c r="G1122">
        <f>RAW_DATA!G1122</f>
        <v>2</v>
      </c>
      <c r="H1122">
        <f>RAW_DATA!H1122</f>
        <v>2</v>
      </c>
      <c r="I1122" t="str">
        <f>RAW_DATA!I1122</f>
        <v>Single</v>
      </c>
      <c r="J1122">
        <f>RAW_DATA!J1122</f>
        <v>4198</v>
      </c>
      <c r="K1122">
        <f>RAW_DATA!K1122</f>
        <v>2</v>
      </c>
      <c r="L1122">
        <f>RAW_DATA!L1122</f>
        <v>4</v>
      </c>
      <c r="M1122">
        <f>RAW_DATA!M1122</f>
        <v>3</v>
      </c>
      <c r="N1122">
        <f t="shared" si="34"/>
        <v>0</v>
      </c>
      <c r="O1122" t="str" cm="1">
        <f t="array" ref="O1122" xml:space="preserve"> _xlfn.IFS(A1122 &lt;ASSUMPTIONS!$D$2,"25",A1122 &lt;= ASSUMPTIONS!$D$3,"25-34",A1122 &lt;= ASSUMPTIONS!$D$4, "35-44",A1122 &lt;= ASSUMPTIONS!$D$5,"45-54",TRUE,"55+")</f>
        <v>35-44</v>
      </c>
      <c r="P1122" t="str" cm="1">
        <f t="array" ref="P1122">_xlfn.IFS( J1122 &lt;ASSUMPTIONS!$D$7,"LOW",J1122 &lt;= ASSUMPTIONS!$D$8,"MEDIUM",TRUE, "HIGH")</f>
        <v>MEDIUM</v>
      </c>
      <c r="Q1122" t="str">
        <f>IF(M1122&lt;ASSUMPTIONS!$D$10,"New (0-2)",IF(M1122&lt;=ASSUMPTIONS!$D$11,"Early (2-5)",IF(M1122&lt;=ASSUMPTIONS!$D$12,"Established (5-10)","Veteran (10+)")))</f>
        <v>Early (2-5)</v>
      </c>
      <c r="R1122" s="4">
        <f t="shared" si="35"/>
        <v>2.6666666666666665</v>
      </c>
    </row>
    <row r="1123" spans="1:18">
      <c r="A1123">
        <f>RAW_DATA!A1123</f>
        <v>36</v>
      </c>
      <c r="B1123" t="str">
        <f>RAW_DATA!B1123</f>
        <v>No</v>
      </c>
      <c r="C1123" t="str">
        <f>RAW_DATA!C1123</f>
        <v>Sales</v>
      </c>
      <c r="D1123">
        <f>RAW_DATA!D1123</f>
        <v>1</v>
      </c>
      <c r="E1123">
        <f>RAW_DATA!E1123</f>
        <v>4</v>
      </c>
      <c r="F1123" t="str">
        <f>RAW_DATA!F1123</f>
        <v>Life Sciences</v>
      </c>
      <c r="G1123">
        <f>RAW_DATA!G1123</f>
        <v>2</v>
      </c>
      <c r="H1123">
        <f>RAW_DATA!H1123</f>
        <v>3</v>
      </c>
      <c r="I1123" t="str">
        <f>RAW_DATA!I1123</f>
        <v>Single</v>
      </c>
      <c r="J1123">
        <f>RAW_DATA!J1123</f>
        <v>6815</v>
      </c>
      <c r="K1123">
        <f>RAW_DATA!K1123</f>
        <v>6</v>
      </c>
      <c r="L1123">
        <f>RAW_DATA!L1123</f>
        <v>3</v>
      </c>
      <c r="M1123">
        <f>RAW_DATA!M1123</f>
        <v>1</v>
      </c>
      <c r="N1123">
        <f t="shared" si="34"/>
        <v>0</v>
      </c>
      <c r="O1123" t="str" cm="1">
        <f t="array" ref="O1123" xml:space="preserve"> _xlfn.IFS(A1123 &lt;ASSUMPTIONS!$D$2,"25",A1123 &lt;= ASSUMPTIONS!$D$3,"25-34",A1123 &lt;= ASSUMPTIONS!$D$4, "35-44",A1123 &lt;= ASSUMPTIONS!$D$5,"45-54",TRUE,"55+")</f>
        <v>35-44</v>
      </c>
      <c r="P1123" t="str" cm="1">
        <f t="array" ref="P1123">_xlfn.IFS( J1123 &lt;ASSUMPTIONS!$D$7,"LOW",J1123 &lt;= ASSUMPTIONS!$D$8,"MEDIUM",TRUE, "HIGH")</f>
        <v>MEDIUM</v>
      </c>
      <c r="Q1123" t="str">
        <f>IF(M1123&lt;ASSUMPTIONS!$D$10,"New (0-2)",IF(M1123&lt;=ASSUMPTIONS!$D$11,"Early (2-5)",IF(M1123&lt;=ASSUMPTIONS!$D$12,"Established (5-10)","Veteran (10+)")))</f>
        <v>New (0-2)</v>
      </c>
      <c r="R1123" s="4">
        <f t="shared" si="35"/>
        <v>2.6666666666666665</v>
      </c>
    </row>
    <row r="1124" spans="1:18">
      <c r="A1124">
        <f>RAW_DATA!A1124</f>
        <v>29</v>
      </c>
      <c r="B1124" t="str">
        <f>RAW_DATA!B1124</f>
        <v>No</v>
      </c>
      <c r="C1124" t="str">
        <f>RAW_DATA!C1124</f>
        <v>Research &amp; Development</v>
      </c>
      <c r="D1124">
        <f>RAW_DATA!D1124</f>
        <v>3</v>
      </c>
      <c r="E1124">
        <f>RAW_DATA!E1124</f>
        <v>1</v>
      </c>
      <c r="F1124" t="str">
        <f>RAW_DATA!F1124</f>
        <v>Medical</v>
      </c>
      <c r="G1124">
        <f>RAW_DATA!G1124</f>
        <v>2</v>
      </c>
      <c r="H1124">
        <f>RAW_DATA!H1124</f>
        <v>1</v>
      </c>
      <c r="I1124" t="str">
        <f>RAW_DATA!I1124</f>
        <v>Single</v>
      </c>
      <c r="J1124">
        <f>RAW_DATA!J1124</f>
        <v>4723</v>
      </c>
      <c r="K1124">
        <f>RAW_DATA!K1124</f>
        <v>1</v>
      </c>
      <c r="L1124">
        <f>RAW_DATA!L1124</f>
        <v>3</v>
      </c>
      <c r="M1124">
        <f>RAW_DATA!M1124</f>
        <v>10</v>
      </c>
      <c r="N1124">
        <f t="shared" si="34"/>
        <v>0</v>
      </c>
      <c r="O1124" t="str" cm="1">
        <f t="array" ref="O1124" xml:space="preserve"> _xlfn.IFS(A1124 &lt;ASSUMPTIONS!$D$2,"25",A1124 &lt;= ASSUMPTIONS!$D$3,"25-34",A1124 &lt;= ASSUMPTIONS!$D$4, "35-44",A1124 &lt;= ASSUMPTIONS!$D$5,"45-54",TRUE,"55+")</f>
        <v>25-34</v>
      </c>
      <c r="P1124" t="str" cm="1">
        <f t="array" ref="P1124">_xlfn.IFS( J1124 &lt;ASSUMPTIONS!$D$7,"LOW",J1124 &lt;= ASSUMPTIONS!$D$8,"MEDIUM",TRUE, "HIGH")</f>
        <v>MEDIUM</v>
      </c>
      <c r="Q1124" t="str">
        <f>IF(M1124&lt;ASSUMPTIONS!$D$10,"New (0-2)",IF(M1124&lt;=ASSUMPTIONS!$D$11,"Early (2-5)",IF(M1124&lt;=ASSUMPTIONS!$D$12,"Established (5-10)","Veteran (10+)")))</f>
        <v>Established (5-10)</v>
      </c>
      <c r="R1124" s="4">
        <f t="shared" si="35"/>
        <v>2</v>
      </c>
    </row>
    <row r="1125" spans="1:18">
      <c r="A1125">
        <f>RAW_DATA!A1125</f>
        <v>35</v>
      </c>
      <c r="B1125" t="str">
        <f>RAW_DATA!B1125</f>
        <v>No</v>
      </c>
      <c r="C1125" t="str">
        <f>RAW_DATA!C1125</f>
        <v>Research &amp; Development</v>
      </c>
      <c r="D1125">
        <f>RAW_DATA!D1125</f>
        <v>10</v>
      </c>
      <c r="E1125">
        <f>RAW_DATA!E1125</f>
        <v>4</v>
      </c>
      <c r="F1125" t="str">
        <f>RAW_DATA!F1125</f>
        <v>Medical</v>
      </c>
      <c r="G1125">
        <f>RAW_DATA!G1125</f>
        <v>1</v>
      </c>
      <c r="H1125">
        <f>RAW_DATA!H1125</f>
        <v>3</v>
      </c>
      <c r="I1125" t="str">
        <f>RAW_DATA!I1125</f>
        <v>Single</v>
      </c>
      <c r="J1125">
        <f>RAW_DATA!J1125</f>
        <v>6142</v>
      </c>
      <c r="K1125">
        <f>RAW_DATA!K1125</f>
        <v>3</v>
      </c>
      <c r="L1125">
        <f>RAW_DATA!L1125</f>
        <v>3</v>
      </c>
      <c r="M1125">
        <f>RAW_DATA!M1125</f>
        <v>5</v>
      </c>
      <c r="N1125">
        <f t="shared" si="34"/>
        <v>0</v>
      </c>
      <c r="O1125" t="str" cm="1">
        <f t="array" ref="O1125" xml:space="preserve"> _xlfn.IFS(A1125 &lt;ASSUMPTIONS!$D$2,"25",A1125 &lt;= ASSUMPTIONS!$D$3,"25-34",A1125 &lt;= ASSUMPTIONS!$D$4, "35-44",A1125 &lt;= ASSUMPTIONS!$D$5,"45-54",TRUE,"55+")</f>
        <v>35-44</v>
      </c>
      <c r="P1125" t="str" cm="1">
        <f t="array" ref="P1125">_xlfn.IFS( J1125 &lt;ASSUMPTIONS!$D$7,"LOW",J1125 &lt;= ASSUMPTIONS!$D$8,"MEDIUM",TRUE, "HIGH")</f>
        <v>MEDIUM</v>
      </c>
      <c r="Q1125" t="str">
        <f>IF(M1125&lt;ASSUMPTIONS!$D$10,"New (0-2)",IF(M1125&lt;=ASSUMPTIONS!$D$11,"Early (2-5)",IF(M1125&lt;=ASSUMPTIONS!$D$12,"Established (5-10)","Veteran (10+)")))</f>
        <v>Early (2-5)</v>
      </c>
      <c r="R1125" s="4">
        <f t="shared" si="35"/>
        <v>2.3333333333333335</v>
      </c>
    </row>
    <row r="1126" spans="1:18">
      <c r="A1126">
        <f>RAW_DATA!A1126</f>
        <v>39</v>
      </c>
      <c r="B1126" t="str">
        <f>RAW_DATA!B1126</f>
        <v>No</v>
      </c>
      <c r="C1126" t="str">
        <f>RAW_DATA!C1126</f>
        <v>Sales</v>
      </c>
      <c r="D1126">
        <f>RAW_DATA!D1126</f>
        <v>6</v>
      </c>
      <c r="E1126">
        <f>RAW_DATA!E1126</f>
        <v>3</v>
      </c>
      <c r="F1126" t="str">
        <f>RAW_DATA!F1126</f>
        <v>Medical</v>
      </c>
      <c r="G1126">
        <f>RAW_DATA!G1126</f>
        <v>4</v>
      </c>
      <c r="H1126">
        <f>RAW_DATA!H1126</f>
        <v>3</v>
      </c>
      <c r="I1126" t="str">
        <f>RAW_DATA!I1126</f>
        <v>Married</v>
      </c>
      <c r="J1126">
        <f>RAW_DATA!J1126</f>
        <v>8237</v>
      </c>
      <c r="K1126">
        <f>RAW_DATA!K1126</f>
        <v>2</v>
      </c>
      <c r="L1126">
        <f>RAW_DATA!L1126</f>
        <v>3</v>
      </c>
      <c r="M1126">
        <f>RAW_DATA!M1126</f>
        <v>7</v>
      </c>
      <c r="N1126">
        <f t="shared" si="34"/>
        <v>0</v>
      </c>
      <c r="O1126" t="str" cm="1">
        <f t="array" ref="O1126" xml:space="preserve"> _xlfn.IFS(A1126 &lt;ASSUMPTIONS!$D$2,"25",A1126 &lt;= ASSUMPTIONS!$D$3,"25-34",A1126 &lt;= ASSUMPTIONS!$D$4, "35-44",A1126 &lt;= ASSUMPTIONS!$D$5,"45-54",TRUE,"55+")</f>
        <v>35-44</v>
      </c>
      <c r="P1126" t="str" cm="1">
        <f t="array" ref="P1126">_xlfn.IFS( J1126 &lt;ASSUMPTIONS!$D$7,"LOW",J1126 &lt;= ASSUMPTIONS!$D$8,"MEDIUM",TRUE, "HIGH")</f>
        <v>HIGH</v>
      </c>
      <c r="Q1126" t="str">
        <f>IF(M1126&lt;ASSUMPTIONS!$D$10,"New (0-2)",IF(M1126&lt;=ASSUMPTIONS!$D$11,"Early (2-5)",IF(M1126&lt;=ASSUMPTIONS!$D$12,"Established (5-10)","Veteran (10+)")))</f>
        <v>Established (5-10)</v>
      </c>
      <c r="R1126" s="4">
        <f t="shared" si="35"/>
        <v>3.3333333333333335</v>
      </c>
    </row>
    <row r="1127" spans="1:18">
      <c r="A1127">
        <f>RAW_DATA!A1127</f>
        <v>29</v>
      </c>
      <c r="B1127" t="str">
        <f>RAW_DATA!B1127</f>
        <v>No</v>
      </c>
      <c r="C1127" t="str">
        <f>RAW_DATA!C1127</f>
        <v>Research &amp; Development</v>
      </c>
      <c r="D1127">
        <f>RAW_DATA!D1127</f>
        <v>2</v>
      </c>
      <c r="E1127">
        <f>RAW_DATA!E1127</f>
        <v>1</v>
      </c>
      <c r="F1127" t="str">
        <f>RAW_DATA!F1127</f>
        <v>Life Sciences</v>
      </c>
      <c r="G1127">
        <f>RAW_DATA!G1127</f>
        <v>1</v>
      </c>
      <c r="H1127">
        <f>RAW_DATA!H1127</f>
        <v>4</v>
      </c>
      <c r="I1127" t="str">
        <f>RAW_DATA!I1127</f>
        <v>Divorced</v>
      </c>
      <c r="J1127">
        <f>RAW_DATA!J1127</f>
        <v>8853</v>
      </c>
      <c r="K1127">
        <f>RAW_DATA!K1127</f>
        <v>1</v>
      </c>
      <c r="L1127">
        <f>RAW_DATA!L1127</f>
        <v>4</v>
      </c>
      <c r="M1127">
        <f>RAW_DATA!M1127</f>
        <v>6</v>
      </c>
      <c r="N1127">
        <f t="shared" si="34"/>
        <v>0</v>
      </c>
      <c r="O1127" t="str" cm="1">
        <f t="array" ref="O1127" xml:space="preserve"> _xlfn.IFS(A1127 &lt;ASSUMPTIONS!$D$2,"25",A1127 &lt;= ASSUMPTIONS!$D$3,"25-34",A1127 &lt;= ASSUMPTIONS!$D$4, "35-44",A1127 &lt;= ASSUMPTIONS!$D$5,"45-54",TRUE,"55+")</f>
        <v>25-34</v>
      </c>
      <c r="P1127" t="str" cm="1">
        <f t="array" ref="P1127">_xlfn.IFS( J1127 &lt;ASSUMPTIONS!$D$7,"LOW",J1127 &lt;= ASSUMPTIONS!$D$8,"MEDIUM",TRUE, "HIGH")</f>
        <v>HIGH</v>
      </c>
      <c r="Q1127" t="str">
        <f>IF(M1127&lt;ASSUMPTIONS!$D$10,"New (0-2)",IF(M1127&lt;=ASSUMPTIONS!$D$11,"Early (2-5)",IF(M1127&lt;=ASSUMPTIONS!$D$12,"Established (5-10)","Veteran (10+)")))</f>
        <v>Established (5-10)</v>
      </c>
      <c r="R1127" s="4">
        <f t="shared" si="35"/>
        <v>3</v>
      </c>
    </row>
    <row r="1128" spans="1:18">
      <c r="A1128">
        <f>RAW_DATA!A1128</f>
        <v>50</v>
      </c>
      <c r="B1128" t="str">
        <f>RAW_DATA!B1128</f>
        <v>No</v>
      </c>
      <c r="C1128" t="str">
        <f>RAW_DATA!C1128</f>
        <v>Sales</v>
      </c>
      <c r="D1128">
        <f>RAW_DATA!D1128</f>
        <v>9</v>
      </c>
      <c r="E1128">
        <f>RAW_DATA!E1128</f>
        <v>3</v>
      </c>
      <c r="F1128" t="str">
        <f>RAW_DATA!F1128</f>
        <v>Marketing</v>
      </c>
      <c r="G1128">
        <f>RAW_DATA!G1128</f>
        <v>3</v>
      </c>
      <c r="H1128">
        <f>RAW_DATA!H1128</f>
        <v>3</v>
      </c>
      <c r="I1128" t="str">
        <f>RAW_DATA!I1128</f>
        <v>Married</v>
      </c>
      <c r="J1128">
        <f>RAW_DATA!J1128</f>
        <v>19331</v>
      </c>
      <c r="K1128">
        <f>RAW_DATA!K1128</f>
        <v>4</v>
      </c>
      <c r="L1128">
        <f>RAW_DATA!L1128</f>
        <v>3</v>
      </c>
      <c r="M1128">
        <f>RAW_DATA!M1128</f>
        <v>1</v>
      </c>
      <c r="N1128">
        <f t="shared" si="34"/>
        <v>0</v>
      </c>
      <c r="O1128" t="str" cm="1">
        <f t="array" ref="O1128" xml:space="preserve"> _xlfn.IFS(A1128 &lt;ASSUMPTIONS!$D$2,"25",A1128 &lt;= ASSUMPTIONS!$D$3,"25-34",A1128 &lt;= ASSUMPTIONS!$D$4, "35-44",A1128 &lt;= ASSUMPTIONS!$D$5,"45-54",TRUE,"55+")</f>
        <v>45-54</v>
      </c>
      <c r="P1128" t="str" cm="1">
        <f t="array" ref="P1128">_xlfn.IFS( J1128 &lt;ASSUMPTIONS!$D$7,"LOW",J1128 &lt;= ASSUMPTIONS!$D$8,"MEDIUM",TRUE, "HIGH")</f>
        <v>HIGH</v>
      </c>
      <c r="Q1128" t="str">
        <f>IF(M1128&lt;ASSUMPTIONS!$D$10,"New (0-2)",IF(M1128&lt;=ASSUMPTIONS!$D$11,"Early (2-5)",IF(M1128&lt;=ASSUMPTIONS!$D$12,"Established (5-10)","Veteran (10+)")))</f>
        <v>New (0-2)</v>
      </c>
      <c r="R1128" s="4">
        <f t="shared" si="35"/>
        <v>3</v>
      </c>
    </row>
    <row r="1129" spans="1:18">
      <c r="A1129">
        <f>RAW_DATA!A1129</f>
        <v>23</v>
      </c>
      <c r="B1129" t="str">
        <f>RAW_DATA!B1129</f>
        <v>No</v>
      </c>
      <c r="C1129" t="str">
        <f>RAW_DATA!C1129</f>
        <v>Research &amp; Development</v>
      </c>
      <c r="D1129">
        <f>RAW_DATA!D1129</f>
        <v>10</v>
      </c>
      <c r="E1129">
        <f>RAW_DATA!E1129</f>
        <v>3</v>
      </c>
      <c r="F1129" t="str">
        <f>RAW_DATA!F1129</f>
        <v>Technical Degree</v>
      </c>
      <c r="G1129">
        <f>RAW_DATA!G1129</f>
        <v>4</v>
      </c>
      <c r="H1129">
        <f>RAW_DATA!H1129</f>
        <v>3</v>
      </c>
      <c r="I1129" t="str">
        <f>RAW_DATA!I1129</f>
        <v>Married</v>
      </c>
      <c r="J1129">
        <f>RAW_DATA!J1129</f>
        <v>2073</v>
      </c>
      <c r="K1129">
        <f>RAW_DATA!K1129</f>
        <v>2</v>
      </c>
      <c r="L1129">
        <f>RAW_DATA!L1129</f>
        <v>3</v>
      </c>
      <c r="M1129">
        <f>RAW_DATA!M1129</f>
        <v>2</v>
      </c>
      <c r="N1129">
        <f t="shared" si="34"/>
        <v>0</v>
      </c>
      <c r="O1129" t="str" cm="1">
        <f t="array" ref="O1129" xml:space="preserve"> _xlfn.IFS(A1129 &lt;ASSUMPTIONS!$D$2,"25",A1129 &lt;= ASSUMPTIONS!$D$3,"25-34",A1129 &lt;= ASSUMPTIONS!$D$4, "35-44",A1129 &lt;= ASSUMPTIONS!$D$5,"45-54",TRUE,"55+")</f>
        <v>25</v>
      </c>
      <c r="P1129" t="str" cm="1">
        <f t="array" ref="P1129">_xlfn.IFS( J1129 &lt;ASSUMPTIONS!$D$7,"LOW",J1129 &lt;= ASSUMPTIONS!$D$8,"MEDIUM",TRUE, "HIGH")</f>
        <v>LOW</v>
      </c>
      <c r="Q1129" t="str">
        <f>IF(M1129&lt;ASSUMPTIONS!$D$10,"New (0-2)",IF(M1129&lt;=ASSUMPTIONS!$D$11,"Early (2-5)",IF(M1129&lt;=ASSUMPTIONS!$D$12,"Established (5-10)","Veteran (10+)")))</f>
        <v>Early (2-5)</v>
      </c>
      <c r="R1129" s="4">
        <f t="shared" si="35"/>
        <v>3.3333333333333335</v>
      </c>
    </row>
    <row r="1130" spans="1:18">
      <c r="A1130">
        <f>RAW_DATA!A1130</f>
        <v>36</v>
      </c>
      <c r="B1130" t="str">
        <f>RAW_DATA!B1130</f>
        <v>No</v>
      </c>
      <c r="C1130" t="str">
        <f>RAW_DATA!C1130</f>
        <v>Research &amp; Development</v>
      </c>
      <c r="D1130">
        <f>RAW_DATA!D1130</f>
        <v>6</v>
      </c>
      <c r="E1130">
        <f>RAW_DATA!E1130</f>
        <v>4</v>
      </c>
      <c r="F1130" t="str">
        <f>RAW_DATA!F1130</f>
        <v>Life Sciences</v>
      </c>
      <c r="G1130">
        <f>RAW_DATA!G1130</f>
        <v>1</v>
      </c>
      <c r="H1130">
        <f>RAW_DATA!H1130</f>
        <v>1</v>
      </c>
      <c r="I1130" t="str">
        <f>RAW_DATA!I1130</f>
        <v>Married</v>
      </c>
      <c r="J1130">
        <f>RAW_DATA!J1130</f>
        <v>5562</v>
      </c>
      <c r="K1130">
        <f>RAW_DATA!K1130</f>
        <v>3</v>
      </c>
      <c r="L1130">
        <f>RAW_DATA!L1130</f>
        <v>3</v>
      </c>
      <c r="M1130">
        <f>RAW_DATA!M1130</f>
        <v>3</v>
      </c>
      <c r="N1130">
        <f t="shared" si="34"/>
        <v>0</v>
      </c>
      <c r="O1130" t="str" cm="1">
        <f t="array" ref="O1130" xml:space="preserve"> _xlfn.IFS(A1130 &lt;ASSUMPTIONS!$D$2,"25",A1130 &lt;= ASSUMPTIONS!$D$3,"25-34",A1130 &lt;= ASSUMPTIONS!$D$4, "35-44",A1130 &lt;= ASSUMPTIONS!$D$5,"45-54",TRUE,"55+")</f>
        <v>35-44</v>
      </c>
      <c r="P1130" t="str" cm="1">
        <f t="array" ref="P1130">_xlfn.IFS( J1130 &lt;ASSUMPTIONS!$D$7,"LOW",J1130 &lt;= ASSUMPTIONS!$D$8,"MEDIUM",TRUE, "HIGH")</f>
        <v>MEDIUM</v>
      </c>
      <c r="Q1130" t="str">
        <f>IF(M1130&lt;ASSUMPTIONS!$D$10,"New (0-2)",IF(M1130&lt;=ASSUMPTIONS!$D$11,"Early (2-5)",IF(M1130&lt;=ASSUMPTIONS!$D$12,"Established (5-10)","Veteran (10+)")))</f>
        <v>Early (2-5)</v>
      </c>
      <c r="R1130" s="4">
        <f t="shared" si="35"/>
        <v>1.6666666666666667</v>
      </c>
    </row>
    <row r="1131" spans="1:18">
      <c r="A1131">
        <f>RAW_DATA!A1131</f>
        <v>42</v>
      </c>
      <c r="B1131" t="str">
        <f>RAW_DATA!B1131</f>
        <v>No</v>
      </c>
      <c r="C1131" t="str">
        <f>RAW_DATA!C1131</f>
        <v>Research &amp; Development</v>
      </c>
      <c r="D1131">
        <f>RAW_DATA!D1131</f>
        <v>9</v>
      </c>
      <c r="E1131">
        <f>RAW_DATA!E1131</f>
        <v>2</v>
      </c>
      <c r="F1131" t="str">
        <f>RAW_DATA!F1131</f>
        <v>Other</v>
      </c>
      <c r="G1131">
        <f>RAW_DATA!G1131</f>
        <v>4</v>
      </c>
      <c r="H1131">
        <f>RAW_DATA!H1131</f>
        <v>4</v>
      </c>
      <c r="I1131" t="str">
        <f>RAW_DATA!I1131</f>
        <v>Single</v>
      </c>
      <c r="J1131">
        <f>RAW_DATA!J1131</f>
        <v>19613</v>
      </c>
      <c r="K1131">
        <f>RAW_DATA!K1131</f>
        <v>8</v>
      </c>
      <c r="L1131">
        <f>RAW_DATA!L1131</f>
        <v>3</v>
      </c>
      <c r="M1131">
        <f>RAW_DATA!M1131</f>
        <v>1</v>
      </c>
      <c r="N1131">
        <f t="shared" si="34"/>
        <v>0</v>
      </c>
      <c r="O1131" t="str" cm="1">
        <f t="array" ref="O1131" xml:space="preserve"> _xlfn.IFS(A1131 &lt;ASSUMPTIONS!$D$2,"25",A1131 &lt;= ASSUMPTIONS!$D$3,"25-34",A1131 &lt;= ASSUMPTIONS!$D$4, "35-44",A1131 &lt;= ASSUMPTIONS!$D$5,"45-54",TRUE,"55+")</f>
        <v>35-44</v>
      </c>
      <c r="P1131" t="str" cm="1">
        <f t="array" ref="P1131">_xlfn.IFS( J1131 &lt;ASSUMPTIONS!$D$7,"LOW",J1131 &lt;= ASSUMPTIONS!$D$8,"MEDIUM",TRUE, "HIGH")</f>
        <v>HIGH</v>
      </c>
      <c r="Q1131" t="str">
        <f>IF(M1131&lt;ASSUMPTIONS!$D$10,"New (0-2)",IF(M1131&lt;=ASSUMPTIONS!$D$11,"Early (2-5)",IF(M1131&lt;=ASSUMPTIONS!$D$12,"Established (5-10)","Veteran (10+)")))</f>
        <v>New (0-2)</v>
      </c>
      <c r="R1131" s="4">
        <f t="shared" si="35"/>
        <v>3.6666666666666665</v>
      </c>
    </row>
    <row r="1132" spans="1:18">
      <c r="A1132">
        <f>RAW_DATA!A1132</f>
        <v>35</v>
      </c>
      <c r="B1132" t="str">
        <f>RAW_DATA!B1132</f>
        <v>No</v>
      </c>
      <c r="C1132" t="str">
        <f>RAW_DATA!C1132</f>
        <v>Research &amp; Development</v>
      </c>
      <c r="D1132">
        <f>RAW_DATA!D1132</f>
        <v>28</v>
      </c>
      <c r="E1132">
        <f>RAW_DATA!E1132</f>
        <v>3</v>
      </c>
      <c r="F1132" t="str">
        <f>RAW_DATA!F1132</f>
        <v>Life Sciences</v>
      </c>
      <c r="G1132">
        <f>RAW_DATA!G1132</f>
        <v>2</v>
      </c>
      <c r="H1132">
        <f>RAW_DATA!H1132</f>
        <v>3</v>
      </c>
      <c r="I1132" t="str">
        <f>RAW_DATA!I1132</f>
        <v>Married</v>
      </c>
      <c r="J1132">
        <f>RAW_DATA!J1132</f>
        <v>3407</v>
      </c>
      <c r="K1132">
        <f>RAW_DATA!K1132</f>
        <v>1</v>
      </c>
      <c r="L1132">
        <f>RAW_DATA!L1132</f>
        <v>2</v>
      </c>
      <c r="M1132">
        <f>RAW_DATA!M1132</f>
        <v>10</v>
      </c>
      <c r="N1132">
        <f t="shared" si="34"/>
        <v>0</v>
      </c>
      <c r="O1132" t="str" cm="1">
        <f t="array" ref="O1132" xml:space="preserve"> _xlfn.IFS(A1132 &lt;ASSUMPTIONS!$D$2,"25",A1132 &lt;= ASSUMPTIONS!$D$3,"25-34",A1132 &lt;= ASSUMPTIONS!$D$4, "35-44",A1132 &lt;= ASSUMPTIONS!$D$5,"45-54",TRUE,"55+")</f>
        <v>35-44</v>
      </c>
      <c r="P1132" t="str" cm="1">
        <f t="array" ref="P1132">_xlfn.IFS( J1132 &lt;ASSUMPTIONS!$D$7,"LOW",J1132 &lt;= ASSUMPTIONS!$D$8,"MEDIUM",TRUE, "HIGH")</f>
        <v>MEDIUM</v>
      </c>
      <c r="Q1132" t="str">
        <f>IF(M1132&lt;ASSUMPTIONS!$D$10,"New (0-2)",IF(M1132&lt;=ASSUMPTIONS!$D$11,"Early (2-5)",IF(M1132&lt;=ASSUMPTIONS!$D$12,"Established (5-10)","Veteran (10+)")))</f>
        <v>Established (5-10)</v>
      </c>
      <c r="R1132" s="4">
        <f t="shared" si="35"/>
        <v>2.3333333333333335</v>
      </c>
    </row>
    <row r="1133" spans="1:18">
      <c r="A1133">
        <f>RAW_DATA!A1133</f>
        <v>34</v>
      </c>
      <c r="B1133" t="str">
        <f>RAW_DATA!B1133</f>
        <v>No</v>
      </c>
      <c r="C1133" t="str">
        <f>RAW_DATA!C1133</f>
        <v>Research &amp; Development</v>
      </c>
      <c r="D1133">
        <f>RAW_DATA!D1133</f>
        <v>10</v>
      </c>
      <c r="E1133">
        <f>RAW_DATA!E1133</f>
        <v>4</v>
      </c>
      <c r="F1133" t="str">
        <f>RAW_DATA!F1133</f>
        <v>Technical Degree</v>
      </c>
      <c r="G1133">
        <f>RAW_DATA!G1133</f>
        <v>4</v>
      </c>
      <c r="H1133">
        <f>RAW_DATA!H1133</f>
        <v>3</v>
      </c>
      <c r="I1133" t="str">
        <f>RAW_DATA!I1133</f>
        <v>Married</v>
      </c>
      <c r="J1133">
        <f>RAW_DATA!J1133</f>
        <v>5063</v>
      </c>
      <c r="K1133">
        <f>RAW_DATA!K1133</f>
        <v>1</v>
      </c>
      <c r="L1133">
        <f>RAW_DATA!L1133</f>
        <v>2</v>
      </c>
      <c r="M1133">
        <f>RAW_DATA!M1133</f>
        <v>8</v>
      </c>
      <c r="N1133">
        <f t="shared" si="34"/>
        <v>0</v>
      </c>
      <c r="O1133" t="str" cm="1">
        <f t="array" ref="O1133" xml:space="preserve"> _xlfn.IFS(A1133 &lt;ASSUMPTIONS!$D$2,"25",A1133 &lt;= ASSUMPTIONS!$D$3,"25-34",A1133 &lt;= ASSUMPTIONS!$D$4, "35-44",A1133 &lt;= ASSUMPTIONS!$D$5,"45-54",TRUE,"55+")</f>
        <v>25-34</v>
      </c>
      <c r="P1133" t="str" cm="1">
        <f t="array" ref="P1133">_xlfn.IFS( J1133 &lt;ASSUMPTIONS!$D$7,"LOW",J1133 &lt;= ASSUMPTIONS!$D$8,"MEDIUM",TRUE, "HIGH")</f>
        <v>MEDIUM</v>
      </c>
      <c r="Q1133" t="str">
        <f>IF(M1133&lt;ASSUMPTIONS!$D$10,"New (0-2)",IF(M1133&lt;=ASSUMPTIONS!$D$11,"Early (2-5)",IF(M1133&lt;=ASSUMPTIONS!$D$12,"Established (5-10)","Veteran (10+)")))</f>
        <v>Established (5-10)</v>
      </c>
      <c r="R1133" s="4">
        <f t="shared" si="35"/>
        <v>3</v>
      </c>
    </row>
    <row r="1134" spans="1:18">
      <c r="A1134">
        <f>RAW_DATA!A1134</f>
        <v>40</v>
      </c>
      <c r="B1134" t="str">
        <f>RAW_DATA!B1134</f>
        <v>No</v>
      </c>
      <c r="C1134" t="str">
        <f>RAW_DATA!C1134</f>
        <v>Sales</v>
      </c>
      <c r="D1134">
        <f>RAW_DATA!D1134</f>
        <v>14</v>
      </c>
      <c r="E1134">
        <f>RAW_DATA!E1134</f>
        <v>2</v>
      </c>
      <c r="F1134" t="str">
        <f>RAW_DATA!F1134</f>
        <v>Life Sciences</v>
      </c>
      <c r="G1134">
        <f>RAW_DATA!G1134</f>
        <v>4</v>
      </c>
      <c r="H1134">
        <f>RAW_DATA!H1134</f>
        <v>1</v>
      </c>
      <c r="I1134" t="str">
        <f>RAW_DATA!I1134</f>
        <v>Married</v>
      </c>
      <c r="J1134">
        <f>RAW_DATA!J1134</f>
        <v>4639</v>
      </c>
      <c r="K1134">
        <f>RAW_DATA!K1134</f>
        <v>1</v>
      </c>
      <c r="L1134">
        <f>RAW_DATA!L1134</f>
        <v>3</v>
      </c>
      <c r="M1134">
        <f>RAW_DATA!M1134</f>
        <v>5</v>
      </c>
      <c r="N1134">
        <f t="shared" si="34"/>
        <v>0</v>
      </c>
      <c r="O1134" t="str" cm="1">
        <f t="array" ref="O1134" xml:space="preserve"> _xlfn.IFS(A1134 &lt;ASSUMPTIONS!$D$2,"25",A1134 &lt;= ASSUMPTIONS!$D$3,"25-34",A1134 &lt;= ASSUMPTIONS!$D$4, "35-44",A1134 &lt;= ASSUMPTIONS!$D$5,"45-54",TRUE,"55+")</f>
        <v>35-44</v>
      </c>
      <c r="P1134" t="str" cm="1">
        <f t="array" ref="P1134">_xlfn.IFS( J1134 &lt;ASSUMPTIONS!$D$7,"LOW",J1134 &lt;= ASSUMPTIONS!$D$8,"MEDIUM",TRUE, "HIGH")</f>
        <v>MEDIUM</v>
      </c>
      <c r="Q1134" t="str">
        <f>IF(M1134&lt;ASSUMPTIONS!$D$10,"New (0-2)",IF(M1134&lt;=ASSUMPTIONS!$D$11,"Early (2-5)",IF(M1134&lt;=ASSUMPTIONS!$D$12,"Established (5-10)","Veteran (10+)")))</f>
        <v>Early (2-5)</v>
      </c>
      <c r="R1134" s="4">
        <f t="shared" si="35"/>
        <v>2.6666666666666665</v>
      </c>
    </row>
    <row r="1135" spans="1:18">
      <c r="A1135">
        <f>RAW_DATA!A1135</f>
        <v>43</v>
      </c>
      <c r="B1135" t="str">
        <f>RAW_DATA!B1135</f>
        <v>No</v>
      </c>
      <c r="C1135" t="str">
        <f>RAW_DATA!C1135</f>
        <v>Research &amp; Development</v>
      </c>
      <c r="D1135">
        <f>RAW_DATA!D1135</f>
        <v>27</v>
      </c>
      <c r="E1135">
        <f>RAW_DATA!E1135</f>
        <v>3</v>
      </c>
      <c r="F1135" t="str">
        <f>RAW_DATA!F1135</f>
        <v>Technical Degree</v>
      </c>
      <c r="G1135">
        <f>RAW_DATA!G1135</f>
        <v>4</v>
      </c>
      <c r="H1135">
        <f>RAW_DATA!H1135</f>
        <v>2</v>
      </c>
      <c r="I1135" t="str">
        <f>RAW_DATA!I1135</f>
        <v>Divorced</v>
      </c>
      <c r="J1135">
        <f>RAW_DATA!J1135</f>
        <v>4876</v>
      </c>
      <c r="K1135">
        <f>RAW_DATA!K1135</f>
        <v>5</v>
      </c>
      <c r="L1135">
        <f>RAW_DATA!L1135</f>
        <v>3</v>
      </c>
      <c r="M1135">
        <f>RAW_DATA!M1135</f>
        <v>6</v>
      </c>
      <c r="N1135">
        <f t="shared" si="34"/>
        <v>0</v>
      </c>
      <c r="O1135" t="str" cm="1">
        <f t="array" ref="O1135" xml:space="preserve"> _xlfn.IFS(A1135 &lt;ASSUMPTIONS!$D$2,"25",A1135 &lt;= ASSUMPTIONS!$D$3,"25-34",A1135 &lt;= ASSUMPTIONS!$D$4, "35-44",A1135 &lt;= ASSUMPTIONS!$D$5,"45-54",TRUE,"55+")</f>
        <v>35-44</v>
      </c>
      <c r="P1135" t="str" cm="1">
        <f t="array" ref="P1135">_xlfn.IFS( J1135 &lt;ASSUMPTIONS!$D$7,"LOW",J1135 &lt;= ASSUMPTIONS!$D$8,"MEDIUM",TRUE, "HIGH")</f>
        <v>MEDIUM</v>
      </c>
      <c r="Q1135" t="str">
        <f>IF(M1135&lt;ASSUMPTIONS!$D$10,"New (0-2)",IF(M1135&lt;=ASSUMPTIONS!$D$11,"Early (2-5)",IF(M1135&lt;=ASSUMPTIONS!$D$12,"Established (5-10)","Veteran (10+)")))</f>
        <v>Established (5-10)</v>
      </c>
      <c r="R1135" s="4">
        <f t="shared" si="35"/>
        <v>3</v>
      </c>
    </row>
    <row r="1136" spans="1:18">
      <c r="A1136">
        <f>RAW_DATA!A1136</f>
        <v>35</v>
      </c>
      <c r="B1136" t="str">
        <f>RAW_DATA!B1136</f>
        <v>No</v>
      </c>
      <c r="C1136" t="str">
        <f>RAW_DATA!C1136</f>
        <v>Research &amp; Development</v>
      </c>
      <c r="D1136">
        <f>RAW_DATA!D1136</f>
        <v>7</v>
      </c>
      <c r="E1136">
        <f>RAW_DATA!E1136</f>
        <v>2</v>
      </c>
      <c r="F1136" t="str">
        <f>RAW_DATA!F1136</f>
        <v>Life Sciences</v>
      </c>
      <c r="G1136">
        <f>RAW_DATA!G1136</f>
        <v>3</v>
      </c>
      <c r="H1136">
        <f>RAW_DATA!H1136</f>
        <v>4</v>
      </c>
      <c r="I1136" t="str">
        <f>RAW_DATA!I1136</f>
        <v>Married</v>
      </c>
      <c r="J1136">
        <f>RAW_DATA!J1136</f>
        <v>2690</v>
      </c>
      <c r="K1136">
        <f>RAW_DATA!K1136</f>
        <v>1</v>
      </c>
      <c r="L1136">
        <f>RAW_DATA!L1136</f>
        <v>2</v>
      </c>
      <c r="M1136">
        <f>RAW_DATA!M1136</f>
        <v>1</v>
      </c>
      <c r="N1136">
        <f t="shared" si="34"/>
        <v>0</v>
      </c>
      <c r="O1136" t="str" cm="1">
        <f t="array" ref="O1136" xml:space="preserve"> _xlfn.IFS(A1136 &lt;ASSUMPTIONS!$D$2,"25",A1136 &lt;= ASSUMPTIONS!$D$3,"25-34",A1136 &lt;= ASSUMPTIONS!$D$4, "35-44",A1136 &lt;= ASSUMPTIONS!$D$5,"45-54",TRUE,"55+")</f>
        <v>35-44</v>
      </c>
      <c r="P1136" t="str" cm="1">
        <f t="array" ref="P1136">_xlfn.IFS( J1136 &lt;ASSUMPTIONS!$D$7,"LOW",J1136 &lt;= ASSUMPTIONS!$D$8,"MEDIUM",TRUE, "HIGH")</f>
        <v>LOW</v>
      </c>
      <c r="Q1136" t="str">
        <f>IF(M1136&lt;ASSUMPTIONS!$D$10,"New (0-2)",IF(M1136&lt;=ASSUMPTIONS!$D$11,"Early (2-5)",IF(M1136&lt;=ASSUMPTIONS!$D$12,"Established (5-10)","Veteran (10+)")))</f>
        <v>New (0-2)</v>
      </c>
      <c r="R1136" s="4">
        <f t="shared" si="35"/>
        <v>3</v>
      </c>
    </row>
    <row r="1137" spans="1:18">
      <c r="A1137">
        <f>RAW_DATA!A1137</f>
        <v>46</v>
      </c>
      <c r="B1137" t="str">
        <f>RAW_DATA!B1137</f>
        <v>No</v>
      </c>
      <c r="C1137" t="str">
        <f>RAW_DATA!C1137</f>
        <v>Sales</v>
      </c>
      <c r="D1137">
        <f>RAW_DATA!D1137</f>
        <v>1</v>
      </c>
      <c r="E1137">
        <f>RAW_DATA!E1137</f>
        <v>4</v>
      </c>
      <c r="F1137" t="str">
        <f>RAW_DATA!F1137</f>
        <v>Life Sciences</v>
      </c>
      <c r="G1137">
        <f>RAW_DATA!G1137</f>
        <v>4</v>
      </c>
      <c r="H1137">
        <f>RAW_DATA!H1137</f>
        <v>1</v>
      </c>
      <c r="I1137" t="str">
        <f>RAW_DATA!I1137</f>
        <v>Single</v>
      </c>
      <c r="J1137">
        <f>RAW_DATA!J1137</f>
        <v>17567</v>
      </c>
      <c r="K1137">
        <f>RAW_DATA!K1137</f>
        <v>1</v>
      </c>
      <c r="L1137">
        <f>RAW_DATA!L1137</f>
        <v>1</v>
      </c>
      <c r="M1137">
        <f>RAW_DATA!M1137</f>
        <v>26</v>
      </c>
      <c r="N1137">
        <f t="shared" si="34"/>
        <v>0</v>
      </c>
      <c r="O1137" t="str" cm="1">
        <f t="array" ref="O1137" xml:space="preserve"> _xlfn.IFS(A1137 &lt;ASSUMPTIONS!$D$2,"25",A1137 &lt;= ASSUMPTIONS!$D$3,"25-34",A1137 &lt;= ASSUMPTIONS!$D$4, "35-44",A1137 &lt;= ASSUMPTIONS!$D$5,"45-54",TRUE,"55+")</f>
        <v>45-54</v>
      </c>
      <c r="P1137" t="str" cm="1">
        <f t="array" ref="P1137">_xlfn.IFS( J1137 &lt;ASSUMPTIONS!$D$7,"LOW",J1137 &lt;= ASSUMPTIONS!$D$8,"MEDIUM",TRUE, "HIGH")</f>
        <v>HIGH</v>
      </c>
      <c r="Q1137" t="str">
        <f>IF(M1137&lt;ASSUMPTIONS!$D$10,"New (0-2)",IF(M1137&lt;=ASSUMPTIONS!$D$11,"Early (2-5)",IF(M1137&lt;=ASSUMPTIONS!$D$12,"Established (5-10)","Veteran (10+)")))</f>
        <v>Veteran (10+)</v>
      </c>
      <c r="R1137" s="4">
        <f t="shared" si="35"/>
        <v>2</v>
      </c>
    </row>
    <row r="1138" spans="1:18">
      <c r="A1138">
        <f>RAW_DATA!A1138</f>
        <v>28</v>
      </c>
      <c r="B1138" t="str">
        <f>RAW_DATA!B1138</f>
        <v>Yes</v>
      </c>
      <c r="C1138" t="str">
        <f>RAW_DATA!C1138</f>
        <v>Research &amp; Development</v>
      </c>
      <c r="D1138">
        <f>RAW_DATA!D1138</f>
        <v>24</v>
      </c>
      <c r="E1138">
        <f>RAW_DATA!E1138</f>
        <v>3</v>
      </c>
      <c r="F1138" t="str">
        <f>RAW_DATA!F1138</f>
        <v>Medical</v>
      </c>
      <c r="G1138">
        <f>RAW_DATA!G1138</f>
        <v>3</v>
      </c>
      <c r="H1138">
        <f>RAW_DATA!H1138</f>
        <v>2</v>
      </c>
      <c r="I1138" t="str">
        <f>RAW_DATA!I1138</f>
        <v>Married</v>
      </c>
      <c r="J1138">
        <f>RAW_DATA!J1138</f>
        <v>2408</v>
      </c>
      <c r="K1138">
        <f>RAW_DATA!K1138</f>
        <v>1</v>
      </c>
      <c r="L1138">
        <f>RAW_DATA!L1138</f>
        <v>3</v>
      </c>
      <c r="M1138">
        <f>RAW_DATA!M1138</f>
        <v>1</v>
      </c>
      <c r="N1138">
        <f t="shared" si="34"/>
        <v>1</v>
      </c>
      <c r="O1138" t="str" cm="1">
        <f t="array" ref="O1138" xml:space="preserve"> _xlfn.IFS(A1138 &lt;ASSUMPTIONS!$D$2,"25",A1138 &lt;= ASSUMPTIONS!$D$3,"25-34",A1138 &lt;= ASSUMPTIONS!$D$4, "35-44",A1138 &lt;= ASSUMPTIONS!$D$5,"45-54",TRUE,"55+")</f>
        <v>25-34</v>
      </c>
      <c r="P1138" t="str" cm="1">
        <f t="array" ref="P1138">_xlfn.IFS( J1138 &lt;ASSUMPTIONS!$D$7,"LOW",J1138 &lt;= ASSUMPTIONS!$D$8,"MEDIUM",TRUE, "HIGH")</f>
        <v>LOW</v>
      </c>
      <c r="Q1138" t="str">
        <f>IF(M1138&lt;ASSUMPTIONS!$D$10,"New (0-2)",IF(M1138&lt;=ASSUMPTIONS!$D$11,"Early (2-5)",IF(M1138&lt;=ASSUMPTIONS!$D$12,"Established (5-10)","Veteran (10+)")))</f>
        <v>New (0-2)</v>
      </c>
      <c r="R1138" s="4">
        <f t="shared" si="35"/>
        <v>2.6666666666666665</v>
      </c>
    </row>
    <row r="1139" spans="1:18">
      <c r="A1139">
        <f>RAW_DATA!A1139</f>
        <v>22</v>
      </c>
      <c r="B1139" t="str">
        <f>RAW_DATA!B1139</f>
        <v>No</v>
      </c>
      <c r="C1139" t="str">
        <f>RAW_DATA!C1139</f>
        <v>Research &amp; Development</v>
      </c>
      <c r="D1139">
        <f>RAW_DATA!D1139</f>
        <v>26</v>
      </c>
      <c r="E1139">
        <f>RAW_DATA!E1139</f>
        <v>2</v>
      </c>
      <c r="F1139" t="str">
        <f>RAW_DATA!F1139</f>
        <v>Other</v>
      </c>
      <c r="G1139">
        <f>RAW_DATA!G1139</f>
        <v>2</v>
      </c>
      <c r="H1139">
        <f>RAW_DATA!H1139</f>
        <v>3</v>
      </c>
      <c r="I1139" t="str">
        <f>RAW_DATA!I1139</f>
        <v>Married</v>
      </c>
      <c r="J1139">
        <f>RAW_DATA!J1139</f>
        <v>2814</v>
      </c>
      <c r="K1139">
        <f>RAW_DATA!K1139</f>
        <v>1</v>
      </c>
      <c r="L1139">
        <f>RAW_DATA!L1139</f>
        <v>2</v>
      </c>
      <c r="M1139">
        <f>RAW_DATA!M1139</f>
        <v>4</v>
      </c>
      <c r="N1139">
        <f t="shared" si="34"/>
        <v>0</v>
      </c>
      <c r="O1139" t="str" cm="1">
        <f t="array" ref="O1139" xml:space="preserve"> _xlfn.IFS(A1139 &lt;ASSUMPTIONS!$D$2,"25",A1139 &lt;= ASSUMPTIONS!$D$3,"25-34",A1139 &lt;= ASSUMPTIONS!$D$4, "35-44",A1139 &lt;= ASSUMPTIONS!$D$5,"45-54",TRUE,"55+")</f>
        <v>25</v>
      </c>
      <c r="P1139" t="str" cm="1">
        <f t="array" ref="P1139">_xlfn.IFS( J1139 &lt;ASSUMPTIONS!$D$7,"LOW",J1139 &lt;= ASSUMPTIONS!$D$8,"MEDIUM",TRUE, "HIGH")</f>
        <v>LOW</v>
      </c>
      <c r="Q1139" t="str">
        <f>IF(M1139&lt;ASSUMPTIONS!$D$10,"New (0-2)",IF(M1139&lt;=ASSUMPTIONS!$D$11,"Early (2-5)",IF(M1139&lt;=ASSUMPTIONS!$D$12,"Established (5-10)","Veteran (10+)")))</f>
        <v>Early (2-5)</v>
      </c>
      <c r="R1139" s="4">
        <f t="shared" si="35"/>
        <v>2.3333333333333335</v>
      </c>
    </row>
    <row r="1140" spans="1:18">
      <c r="A1140">
        <f>RAW_DATA!A1140</f>
        <v>50</v>
      </c>
      <c r="B1140" t="str">
        <f>RAW_DATA!B1140</f>
        <v>No</v>
      </c>
      <c r="C1140" t="str">
        <f>RAW_DATA!C1140</f>
        <v>Research &amp; Development</v>
      </c>
      <c r="D1140">
        <f>RAW_DATA!D1140</f>
        <v>20</v>
      </c>
      <c r="E1140">
        <f>RAW_DATA!E1140</f>
        <v>5</v>
      </c>
      <c r="F1140" t="str">
        <f>RAW_DATA!F1140</f>
        <v>Medical</v>
      </c>
      <c r="G1140">
        <f>RAW_DATA!G1140</f>
        <v>2</v>
      </c>
      <c r="H1140">
        <f>RAW_DATA!H1140</f>
        <v>3</v>
      </c>
      <c r="I1140" t="str">
        <f>RAW_DATA!I1140</f>
        <v>Married</v>
      </c>
      <c r="J1140">
        <f>RAW_DATA!J1140</f>
        <v>11245</v>
      </c>
      <c r="K1140">
        <f>RAW_DATA!K1140</f>
        <v>2</v>
      </c>
      <c r="L1140">
        <f>RAW_DATA!L1140</f>
        <v>3</v>
      </c>
      <c r="M1140">
        <f>RAW_DATA!M1140</f>
        <v>30</v>
      </c>
      <c r="N1140">
        <f t="shared" si="34"/>
        <v>0</v>
      </c>
      <c r="O1140" t="str" cm="1">
        <f t="array" ref="O1140" xml:space="preserve"> _xlfn.IFS(A1140 &lt;ASSUMPTIONS!$D$2,"25",A1140 &lt;= ASSUMPTIONS!$D$3,"25-34",A1140 &lt;= ASSUMPTIONS!$D$4, "35-44",A1140 &lt;= ASSUMPTIONS!$D$5,"45-54",TRUE,"55+")</f>
        <v>45-54</v>
      </c>
      <c r="P1140" t="str" cm="1">
        <f t="array" ref="P1140">_xlfn.IFS( J1140 &lt;ASSUMPTIONS!$D$7,"LOW",J1140 &lt;= ASSUMPTIONS!$D$8,"MEDIUM",TRUE, "HIGH")</f>
        <v>HIGH</v>
      </c>
      <c r="Q1140" t="str">
        <f>IF(M1140&lt;ASSUMPTIONS!$D$10,"New (0-2)",IF(M1140&lt;=ASSUMPTIONS!$D$11,"Early (2-5)",IF(M1140&lt;=ASSUMPTIONS!$D$12,"Established (5-10)","Veteran (10+)")))</f>
        <v>Veteran (10+)</v>
      </c>
      <c r="R1140" s="4">
        <f t="shared" si="35"/>
        <v>2.6666666666666665</v>
      </c>
    </row>
    <row r="1141" spans="1:18">
      <c r="A1141">
        <f>RAW_DATA!A1141</f>
        <v>32</v>
      </c>
      <c r="B1141" t="str">
        <f>RAW_DATA!B1141</f>
        <v>No</v>
      </c>
      <c r="C1141" t="str">
        <f>RAW_DATA!C1141</f>
        <v>Research &amp; Development</v>
      </c>
      <c r="D1141">
        <f>RAW_DATA!D1141</f>
        <v>5</v>
      </c>
      <c r="E1141">
        <f>RAW_DATA!E1141</f>
        <v>4</v>
      </c>
      <c r="F1141" t="str">
        <f>RAW_DATA!F1141</f>
        <v>Other</v>
      </c>
      <c r="G1141">
        <f>RAW_DATA!G1141</f>
        <v>2</v>
      </c>
      <c r="H1141">
        <f>RAW_DATA!H1141</f>
        <v>4</v>
      </c>
      <c r="I1141" t="str">
        <f>RAW_DATA!I1141</f>
        <v>Married</v>
      </c>
      <c r="J1141">
        <f>RAW_DATA!J1141</f>
        <v>3312</v>
      </c>
      <c r="K1141">
        <f>RAW_DATA!K1141</f>
        <v>3</v>
      </c>
      <c r="L1141">
        <f>RAW_DATA!L1141</f>
        <v>3</v>
      </c>
      <c r="M1141">
        <f>RAW_DATA!M1141</f>
        <v>3</v>
      </c>
      <c r="N1141">
        <f t="shared" si="34"/>
        <v>0</v>
      </c>
      <c r="O1141" t="str" cm="1">
        <f t="array" ref="O1141" xml:space="preserve"> _xlfn.IFS(A1141 &lt;ASSUMPTIONS!$D$2,"25",A1141 &lt;= ASSUMPTIONS!$D$3,"25-34",A1141 &lt;= ASSUMPTIONS!$D$4, "35-44",A1141 &lt;= ASSUMPTIONS!$D$5,"45-54",TRUE,"55+")</f>
        <v>25-34</v>
      </c>
      <c r="P1141" t="str" cm="1">
        <f t="array" ref="P1141">_xlfn.IFS( J1141 &lt;ASSUMPTIONS!$D$7,"LOW",J1141 &lt;= ASSUMPTIONS!$D$8,"MEDIUM",TRUE, "HIGH")</f>
        <v>MEDIUM</v>
      </c>
      <c r="Q1141" t="str">
        <f>IF(M1141&lt;ASSUMPTIONS!$D$10,"New (0-2)",IF(M1141&lt;=ASSUMPTIONS!$D$11,"Early (2-5)",IF(M1141&lt;=ASSUMPTIONS!$D$12,"Established (5-10)","Veteran (10+)")))</f>
        <v>Early (2-5)</v>
      </c>
      <c r="R1141" s="4">
        <f t="shared" si="35"/>
        <v>3</v>
      </c>
    </row>
    <row r="1142" spans="1:18">
      <c r="A1142">
        <f>RAW_DATA!A1142</f>
        <v>44</v>
      </c>
      <c r="B1142" t="str">
        <f>RAW_DATA!B1142</f>
        <v>No</v>
      </c>
      <c r="C1142" t="str">
        <f>RAW_DATA!C1142</f>
        <v>Research &amp; Development</v>
      </c>
      <c r="D1142">
        <f>RAW_DATA!D1142</f>
        <v>7</v>
      </c>
      <c r="E1142">
        <f>RAW_DATA!E1142</f>
        <v>3</v>
      </c>
      <c r="F1142" t="str">
        <f>RAW_DATA!F1142</f>
        <v>Medical</v>
      </c>
      <c r="G1142">
        <f>RAW_DATA!G1142</f>
        <v>2</v>
      </c>
      <c r="H1142">
        <f>RAW_DATA!H1142</f>
        <v>4</v>
      </c>
      <c r="I1142" t="str">
        <f>RAW_DATA!I1142</f>
        <v>Divorced</v>
      </c>
      <c r="J1142">
        <f>RAW_DATA!J1142</f>
        <v>19049</v>
      </c>
      <c r="K1142">
        <f>RAW_DATA!K1142</f>
        <v>0</v>
      </c>
      <c r="L1142">
        <f>RAW_DATA!L1142</f>
        <v>2</v>
      </c>
      <c r="M1142">
        <f>RAW_DATA!M1142</f>
        <v>22</v>
      </c>
      <c r="N1142">
        <f t="shared" si="34"/>
        <v>0</v>
      </c>
      <c r="O1142" t="str" cm="1">
        <f t="array" ref="O1142" xml:space="preserve"> _xlfn.IFS(A1142 &lt;ASSUMPTIONS!$D$2,"25",A1142 &lt;= ASSUMPTIONS!$D$3,"25-34",A1142 &lt;= ASSUMPTIONS!$D$4, "35-44",A1142 &lt;= ASSUMPTIONS!$D$5,"45-54",TRUE,"55+")</f>
        <v>35-44</v>
      </c>
      <c r="P1142" t="str" cm="1">
        <f t="array" ref="P1142">_xlfn.IFS( J1142 &lt;ASSUMPTIONS!$D$7,"LOW",J1142 &lt;= ASSUMPTIONS!$D$8,"MEDIUM",TRUE, "HIGH")</f>
        <v>HIGH</v>
      </c>
      <c r="Q1142" t="str">
        <f>IF(M1142&lt;ASSUMPTIONS!$D$10,"New (0-2)",IF(M1142&lt;=ASSUMPTIONS!$D$11,"Early (2-5)",IF(M1142&lt;=ASSUMPTIONS!$D$12,"Established (5-10)","Veteran (10+)")))</f>
        <v>Veteran (10+)</v>
      </c>
      <c r="R1142" s="4">
        <f t="shared" si="35"/>
        <v>2.6666666666666665</v>
      </c>
    </row>
    <row r="1143" spans="1:18">
      <c r="A1143">
        <f>RAW_DATA!A1143</f>
        <v>30</v>
      </c>
      <c r="B1143" t="str">
        <f>RAW_DATA!B1143</f>
        <v>No</v>
      </c>
      <c r="C1143" t="str">
        <f>RAW_DATA!C1143</f>
        <v>Research &amp; Development</v>
      </c>
      <c r="D1143">
        <f>RAW_DATA!D1143</f>
        <v>7</v>
      </c>
      <c r="E1143">
        <f>RAW_DATA!E1143</f>
        <v>3</v>
      </c>
      <c r="F1143" t="str">
        <f>RAW_DATA!F1143</f>
        <v>Medical</v>
      </c>
      <c r="G1143">
        <f>RAW_DATA!G1143</f>
        <v>2</v>
      </c>
      <c r="H1143">
        <f>RAW_DATA!H1143</f>
        <v>2</v>
      </c>
      <c r="I1143" t="str">
        <f>RAW_DATA!I1143</f>
        <v>Married</v>
      </c>
      <c r="J1143">
        <f>RAW_DATA!J1143</f>
        <v>2141</v>
      </c>
      <c r="K1143">
        <f>RAW_DATA!K1143</f>
        <v>1</v>
      </c>
      <c r="L1143">
        <f>RAW_DATA!L1143</f>
        <v>2</v>
      </c>
      <c r="M1143">
        <f>RAW_DATA!M1143</f>
        <v>6</v>
      </c>
      <c r="N1143">
        <f t="shared" si="34"/>
        <v>0</v>
      </c>
      <c r="O1143" t="str" cm="1">
        <f t="array" ref="O1143" xml:space="preserve"> _xlfn.IFS(A1143 &lt;ASSUMPTIONS!$D$2,"25",A1143 &lt;= ASSUMPTIONS!$D$3,"25-34",A1143 &lt;= ASSUMPTIONS!$D$4, "35-44",A1143 &lt;= ASSUMPTIONS!$D$5,"45-54",TRUE,"55+")</f>
        <v>25-34</v>
      </c>
      <c r="P1143" t="str" cm="1">
        <f t="array" ref="P1143">_xlfn.IFS( J1143 &lt;ASSUMPTIONS!$D$7,"LOW",J1143 &lt;= ASSUMPTIONS!$D$8,"MEDIUM",TRUE, "HIGH")</f>
        <v>LOW</v>
      </c>
      <c r="Q1143" t="str">
        <f>IF(M1143&lt;ASSUMPTIONS!$D$10,"New (0-2)",IF(M1143&lt;=ASSUMPTIONS!$D$11,"Early (2-5)",IF(M1143&lt;=ASSUMPTIONS!$D$12,"Established (5-10)","Veteran (10+)")))</f>
        <v>Established (5-10)</v>
      </c>
      <c r="R1143" s="4">
        <f t="shared" si="35"/>
        <v>2</v>
      </c>
    </row>
    <row r="1144" spans="1:18">
      <c r="A1144">
        <f>RAW_DATA!A1144</f>
        <v>45</v>
      </c>
      <c r="B1144" t="str">
        <f>RAW_DATA!B1144</f>
        <v>No</v>
      </c>
      <c r="C1144" t="str">
        <f>RAW_DATA!C1144</f>
        <v>Research &amp; Development</v>
      </c>
      <c r="D1144">
        <f>RAW_DATA!D1144</f>
        <v>5</v>
      </c>
      <c r="E1144">
        <f>RAW_DATA!E1144</f>
        <v>5</v>
      </c>
      <c r="F1144" t="str">
        <f>RAW_DATA!F1144</f>
        <v>Medical</v>
      </c>
      <c r="G1144">
        <f>RAW_DATA!G1144</f>
        <v>3</v>
      </c>
      <c r="H1144">
        <f>RAW_DATA!H1144</f>
        <v>1</v>
      </c>
      <c r="I1144" t="str">
        <f>RAW_DATA!I1144</f>
        <v>Single</v>
      </c>
      <c r="J1144">
        <f>RAW_DATA!J1144</f>
        <v>5769</v>
      </c>
      <c r="K1144">
        <f>RAW_DATA!K1144</f>
        <v>1</v>
      </c>
      <c r="L1144">
        <f>RAW_DATA!L1144</f>
        <v>3</v>
      </c>
      <c r="M1144">
        <f>RAW_DATA!M1144</f>
        <v>10</v>
      </c>
      <c r="N1144">
        <f t="shared" si="34"/>
        <v>0</v>
      </c>
      <c r="O1144" t="str" cm="1">
        <f t="array" ref="O1144" xml:space="preserve"> _xlfn.IFS(A1144 &lt;ASSUMPTIONS!$D$2,"25",A1144 &lt;= ASSUMPTIONS!$D$3,"25-34",A1144 &lt;= ASSUMPTIONS!$D$4, "35-44",A1144 &lt;= ASSUMPTIONS!$D$5,"45-54",TRUE,"55+")</f>
        <v>45-54</v>
      </c>
      <c r="P1144" t="str" cm="1">
        <f t="array" ref="P1144">_xlfn.IFS( J1144 &lt;ASSUMPTIONS!$D$7,"LOW",J1144 &lt;= ASSUMPTIONS!$D$8,"MEDIUM",TRUE, "HIGH")</f>
        <v>MEDIUM</v>
      </c>
      <c r="Q1144" t="str">
        <f>IF(M1144&lt;ASSUMPTIONS!$D$10,"New (0-2)",IF(M1144&lt;=ASSUMPTIONS!$D$11,"Early (2-5)",IF(M1144&lt;=ASSUMPTIONS!$D$12,"Established (5-10)","Veteran (10+)")))</f>
        <v>Established (5-10)</v>
      </c>
      <c r="R1144" s="4">
        <f t="shared" si="35"/>
        <v>2.3333333333333335</v>
      </c>
    </row>
    <row r="1145" spans="1:18">
      <c r="A1145">
        <f>RAW_DATA!A1145</f>
        <v>45</v>
      </c>
      <c r="B1145" t="str">
        <f>RAW_DATA!B1145</f>
        <v>No</v>
      </c>
      <c r="C1145" t="str">
        <f>RAW_DATA!C1145</f>
        <v>Sales</v>
      </c>
      <c r="D1145">
        <f>RAW_DATA!D1145</f>
        <v>26</v>
      </c>
      <c r="E1145">
        <f>RAW_DATA!E1145</f>
        <v>3</v>
      </c>
      <c r="F1145" t="str">
        <f>RAW_DATA!F1145</f>
        <v>Marketing</v>
      </c>
      <c r="G1145">
        <f>RAW_DATA!G1145</f>
        <v>1</v>
      </c>
      <c r="H1145">
        <f>RAW_DATA!H1145</f>
        <v>1</v>
      </c>
      <c r="I1145" t="str">
        <f>RAW_DATA!I1145</f>
        <v>Married</v>
      </c>
      <c r="J1145">
        <f>RAW_DATA!J1145</f>
        <v>4385</v>
      </c>
      <c r="K1145">
        <f>RAW_DATA!K1145</f>
        <v>1</v>
      </c>
      <c r="L1145">
        <f>RAW_DATA!L1145</f>
        <v>3</v>
      </c>
      <c r="M1145">
        <f>RAW_DATA!M1145</f>
        <v>10</v>
      </c>
      <c r="N1145">
        <f t="shared" si="34"/>
        <v>0</v>
      </c>
      <c r="O1145" t="str" cm="1">
        <f t="array" ref="O1145" xml:space="preserve"> _xlfn.IFS(A1145 &lt;ASSUMPTIONS!$D$2,"25",A1145 &lt;= ASSUMPTIONS!$D$3,"25-34",A1145 &lt;= ASSUMPTIONS!$D$4, "35-44",A1145 &lt;= ASSUMPTIONS!$D$5,"45-54",TRUE,"55+")</f>
        <v>45-54</v>
      </c>
      <c r="P1145" t="str" cm="1">
        <f t="array" ref="P1145">_xlfn.IFS( J1145 &lt;ASSUMPTIONS!$D$7,"LOW",J1145 &lt;= ASSUMPTIONS!$D$8,"MEDIUM",TRUE, "HIGH")</f>
        <v>MEDIUM</v>
      </c>
      <c r="Q1145" t="str">
        <f>IF(M1145&lt;ASSUMPTIONS!$D$10,"New (0-2)",IF(M1145&lt;=ASSUMPTIONS!$D$11,"Early (2-5)",IF(M1145&lt;=ASSUMPTIONS!$D$12,"Established (5-10)","Veteran (10+)")))</f>
        <v>Established (5-10)</v>
      </c>
      <c r="R1145" s="4">
        <f t="shared" si="35"/>
        <v>1.6666666666666667</v>
      </c>
    </row>
    <row r="1146" spans="1:18">
      <c r="A1146">
        <f>RAW_DATA!A1146</f>
        <v>31</v>
      </c>
      <c r="B1146" t="str">
        <f>RAW_DATA!B1146</f>
        <v>No</v>
      </c>
      <c r="C1146" t="str">
        <f>RAW_DATA!C1146</f>
        <v>Sales</v>
      </c>
      <c r="D1146">
        <f>RAW_DATA!D1146</f>
        <v>2</v>
      </c>
      <c r="E1146">
        <f>RAW_DATA!E1146</f>
        <v>4</v>
      </c>
      <c r="F1146" t="str">
        <f>RAW_DATA!F1146</f>
        <v>Other</v>
      </c>
      <c r="G1146">
        <f>RAW_DATA!G1146</f>
        <v>4</v>
      </c>
      <c r="H1146">
        <f>RAW_DATA!H1146</f>
        <v>1</v>
      </c>
      <c r="I1146" t="str">
        <f>RAW_DATA!I1146</f>
        <v>Single</v>
      </c>
      <c r="J1146">
        <f>RAW_DATA!J1146</f>
        <v>5332</v>
      </c>
      <c r="K1146">
        <f>RAW_DATA!K1146</f>
        <v>7</v>
      </c>
      <c r="L1146">
        <f>RAW_DATA!L1146</f>
        <v>3</v>
      </c>
      <c r="M1146">
        <f>RAW_DATA!M1146</f>
        <v>5</v>
      </c>
      <c r="N1146">
        <f t="shared" si="34"/>
        <v>0</v>
      </c>
      <c r="O1146" t="str" cm="1">
        <f t="array" ref="O1146" xml:space="preserve"> _xlfn.IFS(A1146 &lt;ASSUMPTIONS!$D$2,"25",A1146 &lt;= ASSUMPTIONS!$D$3,"25-34",A1146 &lt;= ASSUMPTIONS!$D$4, "35-44",A1146 &lt;= ASSUMPTIONS!$D$5,"45-54",TRUE,"55+")</f>
        <v>25-34</v>
      </c>
      <c r="P1146" t="str" cm="1">
        <f t="array" ref="P1146">_xlfn.IFS( J1146 &lt;ASSUMPTIONS!$D$7,"LOW",J1146 &lt;= ASSUMPTIONS!$D$8,"MEDIUM",TRUE, "HIGH")</f>
        <v>MEDIUM</v>
      </c>
      <c r="Q1146" t="str">
        <f>IF(M1146&lt;ASSUMPTIONS!$D$10,"New (0-2)",IF(M1146&lt;=ASSUMPTIONS!$D$11,"Early (2-5)",IF(M1146&lt;=ASSUMPTIONS!$D$12,"Established (5-10)","Veteran (10+)")))</f>
        <v>Early (2-5)</v>
      </c>
      <c r="R1146" s="4">
        <f t="shared" si="35"/>
        <v>2.6666666666666665</v>
      </c>
    </row>
    <row r="1147" spans="1:18">
      <c r="A1147">
        <f>RAW_DATA!A1147</f>
        <v>36</v>
      </c>
      <c r="B1147" t="str">
        <f>RAW_DATA!B1147</f>
        <v>No</v>
      </c>
      <c r="C1147" t="str">
        <f>RAW_DATA!C1147</f>
        <v>Research &amp; Development</v>
      </c>
      <c r="D1147">
        <f>RAW_DATA!D1147</f>
        <v>12</v>
      </c>
      <c r="E1147">
        <f>RAW_DATA!E1147</f>
        <v>4</v>
      </c>
      <c r="F1147" t="str">
        <f>RAW_DATA!F1147</f>
        <v>Life Sciences</v>
      </c>
      <c r="G1147">
        <f>RAW_DATA!G1147</f>
        <v>3</v>
      </c>
      <c r="H1147">
        <f>RAW_DATA!H1147</f>
        <v>3</v>
      </c>
      <c r="I1147" t="str">
        <f>RAW_DATA!I1147</f>
        <v>Married</v>
      </c>
      <c r="J1147">
        <f>RAW_DATA!J1147</f>
        <v>4663</v>
      </c>
      <c r="K1147">
        <f>RAW_DATA!K1147</f>
        <v>9</v>
      </c>
      <c r="L1147">
        <f>RAW_DATA!L1147</f>
        <v>3</v>
      </c>
      <c r="M1147">
        <f>RAW_DATA!M1147</f>
        <v>3</v>
      </c>
      <c r="N1147">
        <f t="shared" si="34"/>
        <v>0</v>
      </c>
      <c r="O1147" t="str" cm="1">
        <f t="array" ref="O1147" xml:space="preserve"> _xlfn.IFS(A1147 &lt;ASSUMPTIONS!$D$2,"25",A1147 &lt;= ASSUMPTIONS!$D$3,"25-34",A1147 &lt;= ASSUMPTIONS!$D$4, "35-44",A1147 &lt;= ASSUMPTIONS!$D$5,"45-54",TRUE,"55+")</f>
        <v>35-44</v>
      </c>
      <c r="P1147" t="str" cm="1">
        <f t="array" ref="P1147">_xlfn.IFS( J1147 &lt;ASSUMPTIONS!$D$7,"LOW",J1147 &lt;= ASSUMPTIONS!$D$8,"MEDIUM",TRUE, "HIGH")</f>
        <v>MEDIUM</v>
      </c>
      <c r="Q1147" t="str">
        <f>IF(M1147&lt;ASSUMPTIONS!$D$10,"New (0-2)",IF(M1147&lt;=ASSUMPTIONS!$D$11,"Early (2-5)",IF(M1147&lt;=ASSUMPTIONS!$D$12,"Established (5-10)","Veteran (10+)")))</f>
        <v>Early (2-5)</v>
      </c>
      <c r="R1147" s="4">
        <f t="shared" si="35"/>
        <v>3</v>
      </c>
    </row>
    <row r="1148" spans="1:18">
      <c r="A1148">
        <f>RAW_DATA!A1148</f>
        <v>34</v>
      </c>
      <c r="B1148" t="str">
        <f>RAW_DATA!B1148</f>
        <v>No</v>
      </c>
      <c r="C1148" t="str">
        <f>RAW_DATA!C1148</f>
        <v>Research &amp; Development</v>
      </c>
      <c r="D1148">
        <f>RAW_DATA!D1148</f>
        <v>10</v>
      </c>
      <c r="E1148">
        <f>RAW_DATA!E1148</f>
        <v>4</v>
      </c>
      <c r="F1148" t="str">
        <f>RAW_DATA!F1148</f>
        <v>Life Sciences</v>
      </c>
      <c r="G1148">
        <f>RAW_DATA!G1148</f>
        <v>3</v>
      </c>
      <c r="H1148">
        <f>RAW_DATA!H1148</f>
        <v>4</v>
      </c>
      <c r="I1148" t="str">
        <f>RAW_DATA!I1148</f>
        <v>Divorced</v>
      </c>
      <c r="J1148">
        <f>RAW_DATA!J1148</f>
        <v>4724</v>
      </c>
      <c r="K1148">
        <f>RAW_DATA!K1148</f>
        <v>1</v>
      </c>
      <c r="L1148">
        <f>RAW_DATA!L1148</f>
        <v>3</v>
      </c>
      <c r="M1148">
        <f>RAW_DATA!M1148</f>
        <v>9</v>
      </c>
      <c r="N1148">
        <f t="shared" si="34"/>
        <v>0</v>
      </c>
      <c r="O1148" t="str" cm="1">
        <f t="array" ref="O1148" xml:space="preserve"> _xlfn.IFS(A1148 &lt;ASSUMPTIONS!$D$2,"25",A1148 &lt;= ASSUMPTIONS!$D$3,"25-34",A1148 &lt;= ASSUMPTIONS!$D$4, "35-44",A1148 &lt;= ASSUMPTIONS!$D$5,"45-54",TRUE,"55+")</f>
        <v>25-34</v>
      </c>
      <c r="P1148" t="str" cm="1">
        <f t="array" ref="P1148">_xlfn.IFS( J1148 &lt;ASSUMPTIONS!$D$7,"LOW",J1148 &lt;= ASSUMPTIONS!$D$8,"MEDIUM",TRUE, "HIGH")</f>
        <v>MEDIUM</v>
      </c>
      <c r="Q1148" t="str">
        <f>IF(M1148&lt;ASSUMPTIONS!$D$10,"New (0-2)",IF(M1148&lt;=ASSUMPTIONS!$D$11,"Early (2-5)",IF(M1148&lt;=ASSUMPTIONS!$D$12,"Established (5-10)","Veteran (10+)")))</f>
        <v>Established (5-10)</v>
      </c>
      <c r="R1148" s="4">
        <f t="shared" si="35"/>
        <v>3.3333333333333335</v>
      </c>
    </row>
    <row r="1149" spans="1:18">
      <c r="A1149">
        <f>RAW_DATA!A1149</f>
        <v>49</v>
      </c>
      <c r="B1149" t="str">
        <f>RAW_DATA!B1149</f>
        <v>No</v>
      </c>
      <c r="C1149" t="str">
        <f>RAW_DATA!C1149</f>
        <v>Research &amp; Development</v>
      </c>
      <c r="D1149">
        <f>RAW_DATA!D1149</f>
        <v>25</v>
      </c>
      <c r="E1149">
        <f>RAW_DATA!E1149</f>
        <v>4</v>
      </c>
      <c r="F1149" t="str">
        <f>RAW_DATA!F1149</f>
        <v>Life Sciences</v>
      </c>
      <c r="G1149">
        <f>RAW_DATA!G1149</f>
        <v>3</v>
      </c>
      <c r="H1149">
        <f>RAW_DATA!H1149</f>
        <v>1</v>
      </c>
      <c r="I1149" t="str">
        <f>RAW_DATA!I1149</f>
        <v>Married</v>
      </c>
      <c r="J1149">
        <f>RAW_DATA!J1149</f>
        <v>3211</v>
      </c>
      <c r="K1149">
        <f>RAW_DATA!K1149</f>
        <v>1</v>
      </c>
      <c r="L1149">
        <f>RAW_DATA!L1149</f>
        <v>2</v>
      </c>
      <c r="M1149">
        <f>RAW_DATA!M1149</f>
        <v>9</v>
      </c>
      <c r="N1149">
        <f t="shared" si="34"/>
        <v>0</v>
      </c>
      <c r="O1149" t="str" cm="1">
        <f t="array" ref="O1149" xml:space="preserve"> _xlfn.IFS(A1149 &lt;ASSUMPTIONS!$D$2,"25",A1149 &lt;= ASSUMPTIONS!$D$3,"25-34",A1149 &lt;= ASSUMPTIONS!$D$4, "35-44",A1149 &lt;= ASSUMPTIONS!$D$5,"45-54",TRUE,"55+")</f>
        <v>45-54</v>
      </c>
      <c r="P1149" t="str" cm="1">
        <f t="array" ref="P1149">_xlfn.IFS( J1149 &lt;ASSUMPTIONS!$D$7,"LOW",J1149 &lt;= ASSUMPTIONS!$D$8,"MEDIUM",TRUE, "HIGH")</f>
        <v>MEDIUM</v>
      </c>
      <c r="Q1149" t="str">
        <f>IF(M1149&lt;ASSUMPTIONS!$D$10,"New (0-2)",IF(M1149&lt;=ASSUMPTIONS!$D$11,"Early (2-5)",IF(M1149&lt;=ASSUMPTIONS!$D$12,"Established (5-10)","Veteran (10+)")))</f>
        <v>Established (5-10)</v>
      </c>
      <c r="R1149" s="4">
        <f t="shared" si="35"/>
        <v>2</v>
      </c>
    </row>
    <row r="1150" spans="1:18">
      <c r="A1150">
        <f>RAW_DATA!A1150</f>
        <v>39</v>
      </c>
      <c r="B1150" t="str">
        <f>RAW_DATA!B1150</f>
        <v>No</v>
      </c>
      <c r="C1150" t="str">
        <f>RAW_DATA!C1150</f>
        <v>Research &amp; Development</v>
      </c>
      <c r="D1150">
        <f>RAW_DATA!D1150</f>
        <v>10</v>
      </c>
      <c r="E1150">
        <f>RAW_DATA!E1150</f>
        <v>5</v>
      </c>
      <c r="F1150" t="str">
        <f>RAW_DATA!F1150</f>
        <v>Medical</v>
      </c>
      <c r="G1150">
        <f>RAW_DATA!G1150</f>
        <v>2</v>
      </c>
      <c r="H1150">
        <f>RAW_DATA!H1150</f>
        <v>1</v>
      </c>
      <c r="I1150" t="str">
        <f>RAW_DATA!I1150</f>
        <v>Married</v>
      </c>
      <c r="J1150">
        <f>RAW_DATA!J1150</f>
        <v>5377</v>
      </c>
      <c r="K1150">
        <f>RAW_DATA!K1150</f>
        <v>2</v>
      </c>
      <c r="L1150">
        <f>RAW_DATA!L1150</f>
        <v>3</v>
      </c>
      <c r="M1150">
        <f>RAW_DATA!M1150</f>
        <v>7</v>
      </c>
      <c r="N1150">
        <f t="shared" si="34"/>
        <v>0</v>
      </c>
      <c r="O1150" t="str" cm="1">
        <f t="array" ref="O1150" xml:space="preserve"> _xlfn.IFS(A1150 &lt;ASSUMPTIONS!$D$2,"25",A1150 &lt;= ASSUMPTIONS!$D$3,"25-34",A1150 &lt;= ASSUMPTIONS!$D$4, "35-44",A1150 &lt;= ASSUMPTIONS!$D$5,"45-54",TRUE,"55+")</f>
        <v>35-44</v>
      </c>
      <c r="P1150" t="str" cm="1">
        <f t="array" ref="P1150">_xlfn.IFS( J1150 &lt;ASSUMPTIONS!$D$7,"LOW",J1150 &lt;= ASSUMPTIONS!$D$8,"MEDIUM",TRUE, "HIGH")</f>
        <v>MEDIUM</v>
      </c>
      <c r="Q1150" t="str">
        <f>IF(M1150&lt;ASSUMPTIONS!$D$10,"New (0-2)",IF(M1150&lt;=ASSUMPTIONS!$D$11,"Early (2-5)",IF(M1150&lt;=ASSUMPTIONS!$D$12,"Established (5-10)","Veteran (10+)")))</f>
        <v>Established (5-10)</v>
      </c>
      <c r="R1150" s="4">
        <f t="shared" si="35"/>
        <v>2</v>
      </c>
    </row>
    <row r="1151" spans="1:18">
      <c r="A1151">
        <f>RAW_DATA!A1151</f>
        <v>27</v>
      </c>
      <c r="B1151" t="str">
        <f>RAW_DATA!B1151</f>
        <v>No</v>
      </c>
      <c r="C1151" t="str">
        <f>RAW_DATA!C1151</f>
        <v>Research &amp; Development</v>
      </c>
      <c r="D1151">
        <f>RAW_DATA!D1151</f>
        <v>19</v>
      </c>
      <c r="E1151">
        <f>RAW_DATA!E1151</f>
        <v>3</v>
      </c>
      <c r="F1151" t="str">
        <f>RAW_DATA!F1151</f>
        <v>Other</v>
      </c>
      <c r="G1151">
        <f>RAW_DATA!G1151</f>
        <v>4</v>
      </c>
      <c r="H1151">
        <f>RAW_DATA!H1151</f>
        <v>1</v>
      </c>
      <c r="I1151" t="str">
        <f>RAW_DATA!I1151</f>
        <v>Divorced</v>
      </c>
      <c r="J1151">
        <f>RAW_DATA!J1151</f>
        <v>4066</v>
      </c>
      <c r="K1151">
        <f>RAW_DATA!K1151</f>
        <v>1</v>
      </c>
      <c r="L1151">
        <f>RAW_DATA!L1151</f>
        <v>3</v>
      </c>
      <c r="M1151">
        <f>RAW_DATA!M1151</f>
        <v>7</v>
      </c>
      <c r="N1151">
        <f t="shared" si="34"/>
        <v>0</v>
      </c>
      <c r="O1151" t="str" cm="1">
        <f t="array" ref="O1151" xml:space="preserve"> _xlfn.IFS(A1151 &lt;ASSUMPTIONS!$D$2,"25",A1151 &lt;= ASSUMPTIONS!$D$3,"25-34",A1151 &lt;= ASSUMPTIONS!$D$4, "35-44",A1151 &lt;= ASSUMPTIONS!$D$5,"45-54",TRUE,"55+")</f>
        <v>25-34</v>
      </c>
      <c r="P1151" t="str" cm="1">
        <f t="array" ref="P1151">_xlfn.IFS( J1151 &lt;ASSUMPTIONS!$D$7,"LOW",J1151 &lt;= ASSUMPTIONS!$D$8,"MEDIUM",TRUE, "HIGH")</f>
        <v>MEDIUM</v>
      </c>
      <c r="Q1151" t="str">
        <f>IF(M1151&lt;ASSUMPTIONS!$D$10,"New (0-2)",IF(M1151&lt;=ASSUMPTIONS!$D$11,"Early (2-5)",IF(M1151&lt;=ASSUMPTIONS!$D$12,"Established (5-10)","Veteran (10+)")))</f>
        <v>Established (5-10)</v>
      </c>
      <c r="R1151" s="4">
        <f t="shared" si="35"/>
        <v>2.6666666666666665</v>
      </c>
    </row>
    <row r="1152" spans="1:18">
      <c r="A1152">
        <f>RAW_DATA!A1152</f>
        <v>35</v>
      </c>
      <c r="B1152" t="str">
        <f>RAW_DATA!B1152</f>
        <v>No</v>
      </c>
      <c r="C1152" t="str">
        <f>RAW_DATA!C1152</f>
        <v>Research &amp; Development</v>
      </c>
      <c r="D1152">
        <f>RAW_DATA!D1152</f>
        <v>18</v>
      </c>
      <c r="E1152">
        <f>RAW_DATA!E1152</f>
        <v>5</v>
      </c>
      <c r="F1152" t="str">
        <f>RAW_DATA!F1152</f>
        <v>Life Sciences</v>
      </c>
      <c r="G1152">
        <f>RAW_DATA!G1152</f>
        <v>2</v>
      </c>
      <c r="H1152">
        <f>RAW_DATA!H1152</f>
        <v>1</v>
      </c>
      <c r="I1152" t="str">
        <f>RAW_DATA!I1152</f>
        <v>Married</v>
      </c>
      <c r="J1152">
        <f>RAW_DATA!J1152</f>
        <v>5208</v>
      </c>
      <c r="K1152">
        <f>RAW_DATA!K1152</f>
        <v>1</v>
      </c>
      <c r="L1152">
        <f>RAW_DATA!L1152</f>
        <v>3</v>
      </c>
      <c r="M1152">
        <f>RAW_DATA!M1152</f>
        <v>16</v>
      </c>
      <c r="N1152">
        <f t="shared" si="34"/>
        <v>0</v>
      </c>
      <c r="O1152" t="str" cm="1">
        <f t="array" ref="O1152" xml:space="preserve"> _xlfn.IFS(A1152 &lt;ASSUMPTIONS!$D$2,"25",A1152 &lt;= ASSUMPTIONS!$D$3,"25-34",A1152 &lt;= ASSUMPTIONS!$D$4, "35-44",A1152 &lt;= ASSUMPTIONS!$D$5,"45-54",TRUE,"55+")</f>
        <v>35-44</v>
      </c>
      <c r="P1152" t="str" cm="1">
        <f t="array" ref="P1152">_xlfn.IFS( J1152 &lt;ASSUMPTIONS!$D$7,"LOW",J1152 &lt;= ASSUMPTIONS!$D$8,"MEDIUM",TRUE, "HIGH")</f>
        <v>MEDIUM</v>
      </c>
      <c r="Q1152" t="str">
        <f>IF(M1152&lt;ASSUMPTIONS!$D$10,"New (0-2)",IF(M1152&lt;=ASSUMPTIONS!$D$11,"Early (2-5)",IF(M1152&lt;=ASSUMPTIONS!$D$12,"Established (5-10)","Veteran (10+)")))</f>
        <v>Veteran (10+)</v>
      </c>
      <c r="R1152" s="4">
        <f t="shared" si="35"/>
        <v>2</v>
      </c>
    </row>
    <row r="1153" spans="1:18">
      <c r="A1153">
        <f>RAW_DATA!A1153</f>
        <v>28</v>
      </c>
      <c r="B1153" t="str">
        <f>RAW_DATA!B1153</f>
        <v>No</v>
      </c>
      <c r="C1153" t="str">
        <f>RAW_DATA!C1153</f>
        <v>Research &amp; Development</v>
      </c>
      <c r="D1153">
        <f>RAW_DATA!D1153</f>
        <v>27</v>
      </c>
      <c r="E1153">
        <f>RAW_DATA!E1153</f>
        <v>3</v>
      </c>
      <c r="F1153" t="str">
        <f>RAW_DATA!F1153</f>
        <v>Medical</v>
      </c>
      <c r="G1153">
        <f>RAW_DATA!G1153</f>
        <v>2</v>
      </c>
      <c r="H1153">
        <f>RAW_DATA!H1153</f>
        <v>1</v>
      </c>
      <c r="I1153" t="str">
        <f>RAW_DATA!I1153</f>
        <v>Divorced</v>
      </c>
      <c r="J1153">
        <f>RAW_DATA!J1153</f>
        <v>4877</v>
      </c>
      <c r="K1153">
        <f>RAW_DATA!K1153</f>
        <v>0</v>
      </c>
      <c r="L1153">
        <f>RAW_DATA!L1153</f>
        <v>2</v>
      </c>
      <c r="M1153">
        <f>RAW_DATA!M1153</f>
        <v>5</v>
      </c>
      <c r="N1153">
        <f t="shared" si="34"/>
        <v>0</v>
      </c>
      <c r="O1153" t="str" cm="1">
        <f t="array" ref="O1153" xml:space="preserve"> _xlfn.IFS(A1153 &lt;ASSUMPTIONS!$D$2,"25",A1153 &lt;= ASSUMPTIONS!$D$3,"25-34",A1153 &lt;= ASSUMPTIONS!$D$4, "35-44",A1153 &lt;= ASSUMPTIONS!$D$5,"45-54",TRUE,"55+")</f>
        <v>25-34</v>
      </c>
      <c r="P1153" t="str" cm="1">
        <f t="array" ref="P1153">_xlfn.IFS( J1153 &lt;ASSUMPTIONS!$D$7,"LOW",J1153 &lt;= ASSUMPTIONS!$D$8,"MEDIUM",TRUE, "HIGH")</f>
        <v>MEDIUM</v>
      </c>
      <c r="Q1153" t="str">
        <f>IF(M1153&lt;ASSUMPTIONS!$D$10,"New (0-2)",IF(M1153&lt;=ASSUMPTIONS!$D$11,"Early (2-5)",IF(M1153&lt;=ASSUMPTIONS!$D$12,"Established (5-10)","Veteran (10+)")))</f>
        <v>Early (2-5)</v>
      </c>
      <c r="R1153" s="4">
        <f t="shared" si="35"/>
        <v>1.6666666666666667</v>
      </c>
    </row>
    <row r="1154" spans="1:18">
      <c r="A1154">
        <f>RAW_DATA!A1154</f>
        <v>21</v>
      </c>
      <c r="B1154" t="str">
        <f>RAW_DATA!B1154</f>
        <v>No</v>
      </c>
      <c r="C1154" t="str">
        <f>RAW_DATA!C1154</f>
        <v>Research &amp; Development</v>
      </c>
      <c r="D1154">
        <f>RAW_DATA!D1154</f>
        <v>5</v>
      </c>
      <c r="E1154">
        <f>RAW_DATA!E1154</f>
        <v>1</v>
      </c>
      <c r="F1154" t="str">
        <f>RAW_DATA!F1154</f>
        <v>Medical</v>
      </c>
      <c r="G1154">
        <f>RAW_DATA!G1154</f>
        <v>3</v>
      </c>
      <c r="H1154">
        <f>RAW_DATA!H1154</f>
        <v>4</v>
      </c>
      <c r="I1154" t="str">
        <f>RAW_DATA!I1154</f>
        <v>Single</v>
      </c>
      <c r="J1154">
        <f>RAW_DATA!J1154</f>
        <v>3117</v>
      </c>
      <c r="K1154">
        <f>RAW_DATA!K1154</f>
        <v>1</v>
      </c>
      <c r="L1154">
        <f>RAW_DATA!L1154</f>
        <v>3</v>
      </c>
      <c r="M1154">
        <f>RAW_DATA!M1154</f>
        <v>2</v>
      </c>
      <c r="N1154">
        <f t="shared" si="34"/>
        <v>0</v>
      </c>
      <c r="O1154" t="str" cm="1">
        <f t="array" ref="O1154" xml:space="preserve"> _xlfn.IFS(A1154 &lt;ASSUMPTIONS!$D$2,"25",A1154 &lt;= ASSUMPTIONS!$D$3,"25-34",A1154 &lt;= ASSUMPTIONS!$D$4, "35-44",A1154 &lt;= ASSUMPTIONS!$D$5,"45-54",TRUE,"55+")</f>
        <v>25</v>
      </c>
      <c r="P1154" t="str" cm="1">
        <f t="array" ref="P1154">_xlfn.IFS( J1154 &lt;ASSUMPTIONS!$D$7,"LOW",J1154 &lt;= ASSUMPTIONS!$D$8,"MEDIUM",TRUE, "HIGH")</f>
        <v>MEDIUM</v>
      </c>
      <c r="Q1154" t="str">
        <f>IF(M1154&lt;ASSUMPTIONS!$D$10,"New (0-2)",IF(M1154&lt;=ASSUMPTIONS!$D$11,"Early (2-5)",IF(M1154&lt;=ASSUMPTIONS!$D$12,"Established (5-10)","Veteran (10+)")))</f>
        <v>Early (2-5)</v>
      </c>
      <c r="R1154" s="4">
        <f t="shared" si="35"/>
        <v>3.3333333333333335</v>
      </c>
    </row>
    <row r="1155" spans="1:18">
      <c r="A1155">
        <f>RAW_DATA!A1155</f>
        <v>18</v>
      </c>
      <c r="B1155" t="str">
        <f>RAW_DATA!B1155</f>
        <v>Yes</v>
      </c>
      <c r="C1155" t="str">
        <f>RAW_DATA!C1155</f>
        <v>Sales</v>
      </c>
      <c r="D1155">
        <f>RAW_DATA!D1155</f>
        <v>3</v>
      </c>
      <c r="E1155">
        <f>RAW_DATA!E1155</f>
        <v>2</v>
      </c>
      <c r="F1155" t="str">
        <f>RAW_DATA!F1155</f>
        <v>Medical</v>
      </c>
      <c r="G1155">
        <f>RAW_DATA!G1155</f>
        <v>2</v>
      </c>
      <c r="H1155">
        <f>RAW_DATA!H1155</f>
        <v>4</v>
      </c>
      <c r="I1155" t="str">
        <f>RAW_DATA!I1155</f>
        <v>Single</v>
      </c>
      <c r="J1155">
        <f>RAW_DATA!J1155</f>
        <v>1569</v>
      </c>
      <c r="K1155">
        <f>RAW_DATA!K1155</f>
        <v>1</v>
      </c>
      <c r="L1155">
        <f>RAW_DATA!L1155</f>
        <v>4</v>
      </c>
      <c r="M1155">
        <f>RAW_DATA!M1155</f>
        <v>0</v>
      </c>
      <c r="N1155">
        <f t="shared" ref="N1155:N1218" si="36" xml:space="preserve"> IF(B1155 ="Yes",1,0)</f>
        <v>1</v>
      </c>
      <c r="O1155" t="str" cm="1">
        <f t="array" ref="O1155" xml:space="preserve"> _xlfn.IFS(A1155 &lt;ASSUMPTIONS!$D$2,"25",A1155 &lt;= ASSUMPTIONS!$D$3,"25-34",A1155 &lt;= ASSUMPTIONS!$D$4, "35-44",A1155 &lt;= ASSUMPTIONS!$D$5,"45-54",TRUE,"55+")</f>
        <v>25</v>
      </c>
      <c r="P1155" t="str" cm="1">
        <f t="array" ref="P1155">_xlfn.IFS( J1155 &lt;ASSUMPTIONS!$D$7,"LOW",J1155 &lt;= ASSUMPTIONS!$D$8,"MEDIUM",TRUE, "HIGH")</f>
        <v>LOW</v>
      </c>
      <c r="Q1155" t="str">
        <f>IF(M1155&lt;ASSUMPTIONS!$D$10,"New (0-2)",IF(M1155&lt;=ASSUMPTIONS!$D$11,"Early (2-5)",IF(M1155&lt;=ASSUMPTIONS!$D$12,"Established (5-10)","Veteran (10+)")))</f>
        <v>New (0-2)</v>
      </c>
      <c r="R1155" s="4">
        <f t="shared" ref="R1155:R1218" si="37">AVERAGE(G1155,H1155,L1155)</f>
        <v>3.3333333333333335</v>
      </c>
    </row>
    <row r="1156" spans="1:18">
      <c r="A1156">
        <f>RAW_DATA!A1156</f>
        <v>47</v>
      </c>
      <c r="B1156" t="str">
        <f>RAW_DATA!B1156</f>
        <v>No</v>
      </c>
      <c r="C1156" t="str">
        <f>RAW_DATA!C1156</f>
        <v>Human Resources</v>
      </c>
      <c r="D1156">
        <f>RAW_DATA!D1156</f>
        <v>26</v>
      </c>
      <c r="E1156">
        <f>RAW_DATA!E1156</f>
        <v>4</v>
      </c>
      <c r="F1156" t="str">
        <f>RAW_DATA!F1156</f>
        <v>Life Sciences</v>
      </c>
      <c r="G1156">
        <f>RAW_DATA!G1156</f>
        <v>4</v>
      </c>
      <c r="H1156">
        <f>RAW_DATA!H1156</f>
        <v>3</v>
      </c>
      <c r="I1156" t="str">
        <f>RAW_DATA!I1156</f>
        <v>Married</v>
      </c>
      <c r="J1156">
        <f>RAW_DATA!J1156</f>
        <v>19658</v>
      </c>
      <c r="K1156">
        <f>RAW_DATA!K1156</f>
        <v>3</v>
      </c>
      <c r="L1156">
        <f>RAW_DATA!L1156</f>
        <v>3</v>
      </c>
      <c r="M1156">
        <f>RAW_DATA!M1156</f>
        <v>5</v>
      </c>
      <c r="N1156">
        <f t="shared" si="36"/>
        <v>0</v>
      </c>
      <c r="O1156" t="str" cm="1">
        <f t="array" ref="O1156" xml:space="preserve"> _xlfn.IFS(A1156 &lt;ASSUMPTIONS!$D$2,"25",A1156 &lt;= ASSUMPTIONS!$D$3,"25-34",A1156 &lt;= ASSUMPTIONS!$D$4, "35-44",A1156 &lt;= ASSUMPTIONS!$D$5,"45-54",TRUE,"55+")</f>
        <v>45-54</v>
      </c>
      <c r="P1156" t="str" cm="1">
        <f t="array" ref="P1156">_xlfn.IFS( J1156 &lt;ASSUMPTIONS!$D$7,"LOW",J1156 &lt;= ASSUMPTIONS!$D$8,"MEDIUM",TRUE, "HIGH")</f>
        <v>HIGH</v>
      </c>
      <c r="Q1156" t="str">
        <f>IF(M1156&lt;ASSUMPTIONS!$D$10,"New (0-2)",IF(M1156&lt;=ASSUMPTIONS!$D$11,"Early (2-5)",IF(M1156&lt;=ASSUMPTIONS!$D$12,"Established (5-10)","Veteran (10+)")))</f>
        <v>Early (2-5)</v>
      </c>
      <c r="R1156" s="4">
        <f t="shared" si="37"/>
        <v>3.3333333333333335</v>
      </c>
    </row>
    <row r="1157" spans="1:18">
      <c r="A1157">
        <f>RAW_DATA!A1157</f>
        <v>39</v>
      </c>
      <c r="B1157" t="str">
        <f>RAW_DATA!B1157</f>
        <v>No</v>
      </c>
      <c r="C1157" t="str">
        <f>RAW_DATA!C1157</f>
        <v>Research &amp; Development</v>
      </c>
      <c r="D1157">
        <f>RAW_DATA!D1157</f>
        <v>3</v>
      </c>
      <c r="E1157">
        <f>RAW_DATA!E1157</f>
        <v>2</v>
      </c>
      <c r="F1157" t="str">
        <f>RAW_DATA!F1157</f>
        <v>Medical</v>
      </c>
      <c r="G1157">
        <f>RAW_DATA!G1157</f>
        <v>3</v>
      </c>
      <c r="H1157">
        <f>RAW_DATA!H1157</f>
        <v>3</v>
      </c>
      <c r="I1157" t="str">
        <f>RAW_DATA!I1157</f>
        <v>Divorced</v>
      </c>
      <c r="J1157">
        <f>RAW_DATA!J1157</f>
        <v>3069</v>
      </c>
      <c r="K1157">
        <f>RAW_DATA!K1157</f>
        <v>0</v>
      </c>
      <c r="L1157">
        <f>RAW_DATA!L1157</f>
        <v>3</v>
      </c>
      <c r="M1157">
        <f>RAW_DATA!M1157</f>
        <v>10</v>
      </c>
      <c r="N1157">
        <f t="shared" si="36"/>
        <v>0</v>
      </c>
      <c r="O1157" t="str" cm="1">
        <f t="array" ref="O1157" xml:space="preserve"> _xlfn.IFS(A1157 &lt;ASSUMPTIONS!$D$2,"25",A1157 &lt;= ASSUMPTIONS!$D$3,"25-34",A1157 &lt;= ASSUMPTIONS!$D$4, "35-44",A1157 &lt;= ASSUMPTIONS!$D$5,"45-54",TRUE,"55+")</f>
        <v>35-44</v>
      </c>
      <c r="P1157" t="str" cm="1">
        <f t="array" ref="P1157">_xlfn.IFS( J1157 &lt;ASSUMPTIONS!$D$7,"LOW",J1157 &lt;= ASSUMPTIONS!$D$8,"MEDIUM",TRUE, "HIGH")</f>
        <v>MEDIUM</v>
      </c>
      <c r="Q1157" t="str">
        <f>IF(M1157&lt;ASSUMPTIONS!$D$10,"New (0-2)",IF(M1157&lt;=ASSUMPTIONS!$D$11,"Early (2-5)",IF(M1157&lt;=ASSUMPTIONS!$D$12,"Established (5-10)","Veteran (10+)")))</f>
        <v>Established (5-10)</v>
      </c>
      <c r="R1157" s="4">
        <f t="shared" si="37"/>
        <v>3</v>
      </c>
    </row>
    <row r="1158" spans="1:18">
      <c r="A1158">
        <f>RAW_DATA!A1158</f>
        <v>40</v>
      </c>
      <c r="B1158" t="str">
        <f>RAW_DATA!B1158</f>
        <v>No</v>
      </c>
      <c r="C1158" t="str">
        <f>RAW_DATA!C1158</f>
        <v>Research &amp; Development</v>
      </c>
      <c r="D1158">
        <f>RAW_DATA!D1158</f>
        <v>15</v>
      </c>
      <c r="E1158">
        <f>RAW_DATA!E1158</f>
        <v>3</v>
      </c>
      <c r="F1158" t="str">
        <f>RAW_DATA!F1158</f>
        <v>Life Sciences</v>
      </c>
      <c r="G1158">
        <f>RAW_DATA!G1158</f>
        <v>1</v>
      </c>
      <c r="H1158">
        <f>RAW_DATA!H1158</f>
        <v>3</v>
      </c>
      <c r="I1158" t="str">
        <f>RAW_DATA!I1158</f>
        <v>Married</v>
      </c>
      <c r="J1158">
        <f>RAW_DATA!J1158</f>
        <v>10435</v>
      </c>
      <c r="K1158">
        <f>RAW_DATA!K1158</f>
        <v>1</v>
      </c>
      <c r="L1158">
        <f>RAW_DATA!L1158</f>
        <v>3</v>
      </c>
      <c r="M1158">
        <f>RAW_DATA!M1158</f>
        <v>18</v>
      </c>
      <c r="N1158">
        <f t="shared" si="36"/>
        <v>0</v>
      </c>
      <c r="O1158" t="str" cm="1">
        <f t="array" ref="O1158" xml:space="preserve"> _xlfn.IFS(A1158 &lt;ASSUMPTIONS!$D$2,"25",A1158 &lt;= ASSUMPTIONS!$D$3,"25-34",A1158 &lt;= ASSUMPTIONS!$D$4, "35-44",A1158 &lt;= ASSUMPTIONS!$D$5,"45-54",TRUE,"55+")</f>
        <v>35-44</v>
      </c>
      <c r="P1158" t="str" cm="1">
        <f t="array" ref="P1158">_xlfn.IFS( J1158 &lt;ASSUMPTIONS!$D$7,"LOW",J1158 &lt;= ASSUMPTIONS!$D$8,"MEDIUM",TRUE, "HIGH")</f>
        <v>HIGH</v>
      </c>
      <c r="Q1158" t="str">
        <f>IF(M1158&lt;ASSUMPTIONS!$D$10,"New (0-2)",IF(M1158&lt;=ASSUMPTIONS!$D$11,"Early (2-5)",IF(M1158&lt;=ASSUMPTIONS!$D$12,"Established (5-10)","Veteran (10+)")))</f>
        <v>Veteran (10+)</v>
      </c>
      <c r="R1158" s="4">
        <f t="shared" si="37"/>
        <v>2.3333333333333335</v>
      </c>
    </row>
    <row r="1159" spans="1:18">
      <c r="A1159">
        <f>RAW_DATA!A1159</f>
        <v>35</v>
      </c>
      <c r="B1159" t="str">
        <f>RAW_DATA!B1159</f>
        <v>No</v>
      </c>
      <c r="C1159" t="str">
        <f>RAW_DATA!C1159</f>
        <v>Research &amp; Development</v>
      </c>
      <c r="D1159">
        <f>RAW_DATA!D1159</f>
        <v>8</v>
      </c>
      <c r="E1159">
        <f>RAW_DATA!E1159</f>
        <v>4</v>
      </c>
      <c r="F1159" t="str">
        <f>RAW_DATA!F1159</f>
        <v>Life Sciences</v>
      </c>
      <c r="G1159">
        <f>RAW_DATA!G1159</f>
        <v>3</v>
      </c>
      <c r="H1159">
        <f>RAW_DATA!H1159</f>
        <v>3</v>
      </c>
      <c r="I1159" t="str">
        <f>RAW_DATA!I1159</f>
        <v>Married</v>
      </c>
      <c r="J1159">
        <f>RAW_DATA!J1159</f>
        <v>4148</v>
      </c>
      <c r="K1159">
        <f>RAW_DATA!K1159</f>
        <v>1</v>
      </c>
      <c r="L1159">
        <f>RAW_DATA!L1159</f>
        <v>3</v>
      </c>
      <c r="M1159">
        <f>RAW_DATA!M1159</f>
        <v>14</v>
      </c>
      <c r="N1159">
        <f t="shared" si="36"/>
        <v>0</v>
      </c>
      <c r="O1159" t="str" cm="1">
        <f t="array" ref="O1159" xml:space="preserve"> _xlfn.IFS(A1159 &lt;ASSUMPTIONS!$D$2,"25",A1159 &lt;= ASSUMPTIONS!$D$3,"25-34",A1159 &lt;= ASSUMPTIONS!$D$4, "35-44",A1159 &lt;= ASSUMPTIONS!$D$5,"45-54",TRUE,"55+")</f>
        <v>35-44</v>
      </c>
      <c r="P1159" t="str" cm="1">
        <f t="array" ref="P1159">_xlfn.IFS( J1159 &lt;ASSUMPTIONS!$D$7,"LOW",J1159 &lt;= ASSUMPTIONS!$D$8,"MEDIUM",TRUE, "HIGH")</f>
        <v>MEDIUM</v>
      </c>
      <c r="Q1159" t="str">
        <f>IF(M1159&lt;ASSUMPTIONS!$D$10,"New (0-2)",IF(M1159&lt;=ASSUMPTIONS!$D$11,"Early (2-5)",IF(M1159&lt;=ASSUMPTIONS!$D$12,"Established (5-10)","Veteran (10+)")))</f>
        <v>Veteran (10+)</v>
      </c>
      <c r="R1159" s="4">
        <f t="shared" si="37"/>
        <v>3</v>
      </c>
    </row>
    <row r="1160" spans="1:18">
      <c r="A1160">
        <f>RAW_DATA!A1160</f>
        <v>37</v>
      </c>
      <c r="B1160" t="str">
        <f>RAW_DATA!B1160</f>
        <v>No</v>
      </c>
      <c r="C1160" t="str">
        <f>RAW_DATA!C1160</f>
        <v>Research &amp; Development</v>
      </c>
      <c r="D1160">
        <f>RAW_DATA!D1160</f>
        <v>19</v>
      </c>
      <c r="E1160">
        <f>RAW_DATA!E1160</f>
        <v>3</v>
      </c>
      <c r="F1160" t="str">
        <f>RAW_DATA!F1160</f>
        <v>Life Sciences</v>
      </c>
      <c r="G1160">
        <f>RAW_DATA!G1160</f>
        <v>3</v>
      </c>
      <c r="H1160">
        <f>RAW_DATA!H1160</f>
        <v>3</v>
      </c>
      <c r="I1160" t="str">
        <f>RAW_DATA!I1160</f>
        <v>Married</v>
      </c>
      <c r="J1160">
        <f>RAW_DATA!J1160</f>
        <v>5768</v>
      </c>
      <c r="K1160">
        <f>RAW_DATA!K1160</f>
        <v>3</v>
      </c>
      <c r="L1160">
        <f>RAW_DATA!L1160</f>
        <v>2</v>
      </c>
      <c r="M1160">
        <f>RAW_DATA!M1160</f>
        <v>4</v>
      </c>
      <c r="N1160">
        <f t="shared" si="36"/>
        <v>0</v>
      </c>
      <c r="O1160" t="str" cm="1">
        <f t="array" ref="O1160" xml:space="preserve"> _xlfn.IFS(A1160 &lt;ASSUMPTIONS!$D$2,"25",A1160 &lt;= ASSUMPTIONS!$D$3,"25-34",A1160 &lt;= ASSUMPTIONS!$D$4, "35-44",A1160 &lt;= ASSUMPTIONS!$D$5,"45-54",TRUE,"55+")</f>
        <v>35-44</v>
      </c>
      <c r="P1160" t="str" cm="1">
        <f t="array" ref="P1160">_xlfn.IFS( J1160 &lt;ASSUMPTIONS!$D$7,"LOW",J1160 &lt;= ASSUMPTIONS!$D$8,"MEDIUM",TRUE, "HIGH")</f>
        <v>MEDIUM</v>
      </c>
      <c r="Q1160" t="str">
        <f>IF(M1160&lt;ASSUMPTIONS!$D$10,"New (0-2)",IF(M1160&lt;=ASSUMPTIONS!$D$11,"Early (2-5)",IF(M1160&lt;=ASSUMPTIONS!$D$12,"Established (5-10)","Veteran (10+)")))</f>
        <v>Early (2-5)</v>
      </c>
      <c r="R1160" s="4">
        <f t="shared" si="37"/>
        <v>2.6666666666666665</v>
      </c>
    </row>
    <row r="1161" spans="1:18">
      <c r="A1161">
        <f>RAW_DATA!A1161</f>
        <v>39</v>
      </c>
      <c r="B1161" t="str">
        <f>RAW_DATA!B1161</f>
        <v>No</v>
      </c>
      <c r="C1161" t="str">
        <f>RAW_DATA!C1161</f>
        <v>Research &amp; Development</v>
      </c>
      <c r="D1161">
        <f>RAW_DATA!D1161</f>
        <v>4</v>
      </c>
      <c r="E1161">
        <f>RAW_DATA!E1161</f>
        <v>3</v>
      </c>
      <c r="F1161" t="str">
        <f>RAW_DATA!F1161</f>
        <v>Medical</v>
      </c>
      <c r="G1161">
        <f>RAW_DATA!G1161</f>
        <v>1</v>
      </c>
      <c r="H1161">
        <f>RAW_DATA!H1161</f>
        <v>3</v>
      </c>
      <c r="I1161" t="str">
        <f>RAW_DATA!I1161</f>
        <v>Single</v>
      </c>
      <c r="J1161">
        <f>RAW_DATA!J1161</f>
        <v>5042</v>
      </c>
      <c r="K1161">
        <f>RAW_DATA!K1161</f>
        <v>0</v>
      </c>
      <c r="L1161">
        <f>RAW_DATA!L1161</f>
        <v>1</v>
      </c>
      <c r="M1161">
        <f>RAW_DATA!M1161</f>
        <v>9</v>
      </c>
      <c r="N1161">
        <f t="shared" si="36"/>
        <v>0</v>
      </c>
      <c r="O1161" t="str" cm="1">
        <f t="array" ref="O1161" xml:space="preserve"> _xlfn.IFS(A1161 &lt;ASSUMPTIONS!$D$2,"25",A1161 &lt;= ASSUMPTIONS!$D$3,"25-34",A1161 &lt;= ASSUMPTIONS!$D$4, "35-44",A1161 &lt;= ASSUMPTIONS!$D$5,"45-54",TRUE,"55+")</f>
        <v>35-44</v>
      </c>
      <c r="P1161" t="str" cm="1">
        <f t="array" ref="P1161">_xlfn.IFS( J1161 &lt;ASSUMPTIONS!$D$7,"LOW",J1161 &lt;= ASSUMPTIONS!$D$8,"MEDIUM",TRUE, "HIGH")</f>
        <v>MEDIUM</v>
      </c>
      <c r="Q1161" t="str">
        <f>IF(M1161&lt;ASSUMPTIONS!$D$10,"New (0-2)",IF(M1161&lt;=ASSUMPTIONS!$D$11,"Early (2-5)",IF(M1161&lt;=ASSUMPTIONS!$D$12,"Established (5-10)","Veteran (10+)")))</f>
        <v>Established (5-10)</v>
      </c>
      <c r="R1161" s="4">
        <f t="shared" si="37"/>
        <v>1.6666666666666667</v>
      </c>
    </row>
    <row r="1162" spans="1:18">
      <c r="A1162">
        <f>RAW_DATA!A1162</f>
        <v>45</v>
      </c>
      <c r="B1162" t="str">
        <f>RAW_DATA!B1162</f>
        <v>No</v>
      </c>
      <c r="C1162" t="str">
        <f>RAW_DATA!C1162</f>
        <v>Research &amp; Development</v>
      </c>
      <c r="D1162">
        <f>RAW_DATA!D1162</f>
        <v>2</v>
      </c>
      <c r="E1162">
        <f>RAW_DATA!E1162</f>
        <v>2</v>
      </c>
      <c r="F1162" t="str">
        <f>RAW_DATA!F1162</f>
        <v>Other</v>
      </c>
      <c r="G1162">
        <f>RAW_DATA!G1162</f>
        <v>4</v>
      </c>
      <c r="H1162">
        <f>RAW_DATA!H1162</f>
        <v>4</v>
      </c>
      <c r="I1162" t="str">
        <f>RAW_DATA!I1162</f>
        <v>Divorced</v>
      </c>
      <c r="J1162">
        <f>RAW_DATA!J1162</f>
        <v>5770</v>
      </c>
      <c r="K1162">
        <f>RAW_DATA!K1162</f>
        <v>1</v>
      </c>
      <c r="L1162">
        <f>RAW_DATA!L1162</f>
        <v>3</v>
      </c>
      <c r="M1162">
        <f>RAW_DATA!M1162</f>
        <v>10</v>
      </c>
      <c r="N1162">
        <f t="shared" si="36"/>
        <v>0</v>
      </c>
      <c r="O1162" t="str" cm="1">
        <f t="array" ref="O1162" xml:space="preserve"> _xlfn.IFS(A1162 &lt;ASSUMPTIONS!$D$2,"25",A1162 &lt;= ASSUMPTIONS!$D$3,"25-34",A1162 &lt;= ASSUMPTIONS!$D$4, "35-44",A1162 &lt;= ASSUMPTIONS!$D$5,"45-54",TRUE,"55+")</f>
        <v>45-54</v>
      </c>
      <c r="P1162" t="str" cm="1">
        <f t="array" ref="P1162">_xlfn.IFS( J1162 &lt;ASSUMPTIONS!$D$7,"LOW",J1162 &lt;= ASSUMPTIONS!$D$8,"MEDIUM",TRUE, "HIGH")</f>
        <v>MEDIUM</v>
      </c>
      <c r="Q1162" t="str">
        <f>IF(M1162&lt;ASSUMPTIONS!$D$10,"New (0-2)",IF(M1162&lt;=ASSUMPTIONS!$D$11,"Early (2-5)",IF(M1162&lt;=ASSUMPTIONS!$D$12,"Established (5-10)","Veteran (10+)")))</f>
        <v>Established (5-10)</v>
      </c>
      <c r="R1162" s="4">
        <f t="shared" si="37"/>
        <v>3.6666666666666665</v>
      </c>
    </row>
    <row r="1163" spans="1:18">
      <c r="A1163">
        <f>RAW_DATA!A1163</f>
        <v>38</v>
      </c>
      <c r="B1163" t="str">
        <f>RAW_DATA!B1163</f>
        <v>No</v>
      </c>
      <c r="C1163" t="str">
        <f>RAW_DATA!C1163</f>
        <v>Research &amp; Development</v>
      </c>
      <c r="D1163">
        <f>RAW_DATA!D1163</f>
        <v>2</v>
      </c>
      <c r="E1163">
        <f>RAW_DATA!E1163</f>
        <v>2</v>
      </c>
      <c r="F1163" t="str">
        <f>RAW_DATA!F1163</f>
        <v>Medical</v>
      </c>
      <c r="G1163">
        <f>RAW_DATA!G1163</f>
        <v>4</v>
      </c>
      <c r="H1163">
        <f>RAW_DATA!H1163</f>
        <v>3</v>
      </c>
      <c r="I1163" t="str">
        <f>RAW_DATA!I1163</f>
        <v>Married</v>
      </c>
      <c r="J1163">
        <f>RAW_DATA!J1163</f>
        <v>7756</v>
      </c>
      <c r="K1163">
        <f>RAW_DATA!K1163</f>
        <v>3</v>
      </c>
      <c r="L1163">
        <f>RAW_DATA!L1163</f>
        <v>4</v>
      </c>
      <c r="M1163">
        <f>RAW_DATA!M1163</f>
        <v>5</v>
      </c>
      <c r="N1163">
        <f t="shared" si="36"/>
        <v>0</v>
      </c>
      <c r="O1163" t="str" cm="1">
        <f t="array" ref="O1163" xml:space="preserve"> _xlfn.IFS(A1163 &lt;ASSUMPTIONS!$D$2,"25",A1163 &lt;= ASSUMPTIONS!$D$3,"25-34",A1163 &lt;= ASSUMPTIONS!$D$4, "35-44",A1163 &lt;= ASSUMPTIONS!$D$5,"45-54",TRUE,"55+")</f>
        <v>35-44</v>
      </c>
      <c r="P1163" t="str" cm="1">
        <f t="array" ref="P1163">_xlfn.IFS( J1163 &lt;ASSUMPTIONS!$D$7,"LOW",J1163 &lt;= ASSUMPTIONS!$D$8,"MEDIUM",TRUE, "HIGH")</f>
        <v>HIGH</v>
      </c>
      <c r="Q1163" t="str">
        <f>IF(M1163&lt;ASSUMPTIONS!$D$10,"New (0-2)",IF(M1163&lt;=ASSUMPTIONS!$D$11,"Early (2-5)",IF(M1163&lt;=ASSUMPTIONS!$D$12,"Established (5-10)","Veteran (10+)")))</f>
        <v>Early (2-5)</v>
      </c>
      <c r="R1163" s="4">
        <f t="shared" si="37"/>
        <v>3.6666666666666665</v>
      </c>
    </row>
    <row r="1164" spans="1:18">
      <c r="A1164">
        <f>RAW_DATA!A1164</f>
        <v>35</v>
      </c>
      <c r="B1164" t="str">
        <f>RAW_DATA!B1164</f>
        <v>Yes</v>
      </c>
      <c r="C1164" t="str">
        <f>RAW_DATA!C1164</f>
        <v>Sales</v>
      </c>
      <c r="D1164">
        <f>RAW_DATA!D1164</f>
        <v>10</v>
      </c>
      <c r="E1164">
        <f>RAW_DATA!E1164</f>
        <v>3</v>
      </c>
      <c r="F1164" t="str">
        <f>RAW_DATA!F1164</f>
        <v>Medical</v>
      </c>
      <c r="G1164">
        <f>RAW_DATA!G1164</f>
        <v>4</v>
      </c>
      <c r="H1164">
        <f>RAW_DATA!H1164</f>
        <v>1</v>
      </c>
      <c r="I1164" t="str">
        <f>RAW_DATA!I1164</f>
        <v>Married</v>
      </c>
      <c r="J1164">
        <f>RAW_DATA!J1164</f>
        <v>10306</v>
      </c>
      <c r="K1164">
        <f>RAW_DATA!K1164</f>
        <v>9</v>
      </c>
      <c r="L1164">
        <f>RAW_DATA!L1164</f>
        <v>3</v>
      </c>
      <c r="M1164">
        <f>RAW_DATA!M1164</f>
        <v>13</v>
      </c>
      <c r="N1164">
        <f t="shared" si="36"/>
        <v>1</v>
      </c>
      <c r="O1164" t="str" cm="1">
        <f t="array" ref="O1164" xml:space="preserve"> _xlfn.IFS(A1164 &lt;ASSUMPTIONS!$D$2,"25",A1164 &lt;= ASSUMPTIONS!$D$3,"25-34",A1164 &lt;= ASSUMPTIONS!$D$4, "35-44",A1164 &lt;= ASSUMPTIONS!$D$5,"45-54",TRUE,"55+")</f>
        <v>35-44</v>
      </c>
      <c r="P1164" t="str" cm="1">
        <f t="array" ref="P1164">_xlfn.IFS( J1164 &lt;ASSUMPTIONS!$D$7,"LOW",J1164 &lt;= ASSUMPTIONS!$D$8,"MEDIUM",TRUE, "HIGH")</f>
        <v>HIGH</v>
      </c>
      <c r="Q1164" t="str">
        <f>IF(M1164&lt;ASSUMPTIONS!$D$10,"New (0-2)",IF(M1164&lt;=ASSUMPTIONS!$D$11,"Early (2-5)",IF(M1164&lt;=ASSUMPTIONS!$D$12,"Established (5-10)","Veteran (10+)")))</f>
        <v>Veteran (10+)</v>
      </c>
      <c r="R1164" s="4">
        <f t="shared" si="37"/>
        <v>2.6666666666666665</v>
      </c>
    </row>
    <row r="1165" spans="1:18">
      <c r="A1165">
        <f>RAW_DATA!A1165</f>
        <v>37</v>
      </c>
      <c r="B1165" t="str">
        <f>RAW_DATA!B1165</f>
        <v>No</v>
      </c>
      <c r="C1165" t="str">
        <f>RAW_DATA!C1165</f>
        <v>Research &amp; Development</v>
      </c>
      <c r="D1165">
        <f>RAW_DATA!D1165</f>
        <v>10</v>
      </c>
      <c r="E1165">
        <f>RAW_DATA!E1165</f>
        <v>3</v>
      </c>
      <c r="F1165" t="str">
        <f>RAW_DATA!F1165</f>
        <v>Medical</v>
      </c>
      <c r="G1165">
        <f>RAW_DATA!G1165</f>
        <v>2</v>
      </c>
      <c r="H1165">
        <f>RAW_DATA!H1165</f>
        <v>2</v>
      </c>
      <c r="I1165" t="str">
        <f>RAW_DATA!I1165</f>
        <v>Married</v>
      </c>
      <c r="J1165">
        <f>RAW_DATA!J1165</f>
        <v>3936</v>
      </c>
      <c r="K1165">
        <f>RAW_DATA!K1165</f>
        <v>1</v>
      </c>
      <c r="L1165">
        <f>RAW_DATA!L1165</f>
        <v>1</v>
      </c>
      <c r="M1165">
        <f>RAW_DATA!M1165</f>
        <v>8</v>
      </c>
      <c r="N1165">
        <f t="shared" si="36"/>
        <v>0</v>
      </c>
      <c r="O1165" t="str" cm="1">
        <f t="array" ref="O1165" xml:space="preserve"> _xlfn.IFS(A1165 &lt;ASSUMPTIONS!$D$2,"25",A1165 &lt;= ASSUMPTIONS!$D$3,"25-34",A1165 &lt;= ASSUMPTIONS!$D$4, "35-44",A1165 &lt;= ASSUMPTIONS!$D$5,"45-54",TRUE,"55+")</f>
        <v>35-44</v>
      </c>
      <c r="P1165" t="str" cm="1">
        <f t="array" ref="P1165">_xlfn.IFS( J1165 &lt;ASSUMPTIONS!$D$7,"LOW",J1165 &lt;= ASSUMPTIONS!$D$8,"MEDIUM",TRUE, "HIGH")</f>
        <v>MEDIUM</v>
      </c>
      <c r="Q1165" t="str">
        <f>IF(M1165&lt;ASSUMPTIONS!$D$10,"New (0-2)",IF(M1165&lt;=ASSUMPTIONS!$D$11,"Early (2-5)",IF(M1165&lt;=ASSUMPTIONS!$D$12,"Established (5-10)","Veteran (10+)")))</f>
        <v>Established (5-10)</v>
      </c>
      <c r="R1165" s="4">
        <f t="shared" si="37"/>
        <v>1.6666666666666667</v>
      </c>
    </row>
    <row r="1166" spans="1:18">
      <c r="A1166">
        <f>RAW_DATA!A1166</f>
        <v>40</v>
      </c>
      <c r="B1166" t="str">
        <f>RAW_DATA!B1166</f>
        <v>No</v>
      </c>
      <c r="C1166" t="str">
        <f>RAW_DATA!C1166</f>
        <v>Research &amp; Development</v>
      </c>
      <c r="D1166">
        <f>RAW_DATA!D1166</f>
        <v>16</v>
      </c>
      <c r="E1166">
        <f>RAW_DATA!E1166</f>
        <v>3</v>
      </c>
      <c r="F1166" t="str">
        <f>RAW_DATA!F1166</f>
        <v>Life Sciences</v>
      </c>
      <c r="G1166">
        <f>RAW_DATA!G1166</f>
        <v>3</v>
      </c>
      <c r="H1166">
        <f>RAW_DATA!H1166</f>
        <v>4</v>
      </c>
      <c r="I1166" t="str">
        <f>RAW_DATA!I1166</f>
        <v>Single</v>
      </c>
      <c r="J1166">
        <f>RAW_DATA!J1166</f>
        <v>7945</v>
      </c>
      <c r="K1166">
        <f>RAW_DATA!K1166</f>
        <v>6</v>
      </c>
      <c r="L1166">
        <f>RAW_DATA!L1166</f>
        <v>2</v>
      </c>
      <c r="M1166">
        <f>RAW_DATA!M1166</f>
        <v>4</v>
      </c>
      <c r="N1166">
        <f t="shared" si="36"/>
        <v>0</v>
      </c>
      <c r="O1166" t="str" cm="1">
        <f t="array" ref="O1166" xml:space="preserve"> _xlfn.IFS(A1166 &lt;ASSUMPTIONS!$D$2,"25",A1166 &lt;= ASSUMPTIONS!$D$3,"25-34",A1166 &lt;= ASSUMPTIONS!$D$4, "35-44",A1166 &lt;= ASSUMPTIONS!$D$5,"45-54",TRUE,"55+")</f>
        <v>35-44</v>
      </c>
      <c r="P1166" t="str" cm="1">
        <f t="array" ref="P1166">_xlfn.IFS( J1166 &lt;ASSUMPTIONS!$D$7,"LOW",J1166 &lt;= ASSUMPTIONS!$D$8,"MEDIUM",TRUE, "HIGH")</f>
        <v>HIGH</v>
      </c>
      <c r="Q1166" t="str">
        <f>IF(M1166&lt;ASSUMPTIONS!$D$10,"New (0-2)",IF(M1166&lt;=ASSUMPTIONS!$D$11,"Early (2-5)",IF(M1166&lt;=ASSUMPTIONS!$D$12,"Established (5-10)","Veteran (10+)")))</f>
        <v>Early (2-5)</v>
      </c>
      <c r="R1166" s="4">
        <f t="shared" si="37"/>
        <v>3</v>
      </c>
    </row>
    <row r="1167" spans="1:18">
      <c r="A1167">
        <f>RAW_DATA!A1167</f>
        <v>44</v>
      </c>
      <c r="B1167" t="str">
        <f>RAW_DATA!B1167</f>
        <v>No</v>
      </c>
      <c r="C1167" t="str">
        <f>RAW_DATA!C1167</f>
        <v>Human Resources</v>
      </c>
      <c r="D1167">
        <f>RAW_DATA!D1167</f>
        <v>1</v>
      </c>
      <c r="E1167">
        <f>RAW_DATA!E1167</f>
        <v>5</v>
      </c>
      <c r="F1167" t="str">
        <f>RAW_DATA!F1167</f>
        <v>Human Resources</v>
      </c>
      <c r="G1167">
        <f>RAW_DATA!G1167</f>
        <v>1</v>
      </c>
      <c r="H1167">
        <f>RAW_DATA!H1167</f>
        <v>4</v>
      </c>
      <c r="I1167" t="str">
        <f>RAW_DATA!I1167</f>
        <v>Married</v>
      </c>
      <c r="J1167">
        <f>RAW_DATA!J1167</f>
        <v>5743</v>
      </c>
      <c r="K1167">
        <f>RAW_DATA!K1167</f>
        <v>4</v>
      </c>
      <c r="L1167">
        <f>RAW_DATA!L1167</f>
        <v>3</v>
      </c>
      <c r="M1167">
        <f>RAW_DATA!M1167</f>
        <v>10</v>
      </c>
      <c r="N1167">
        <f t="shared" si="36"/>
        <v>0</v>
      </c>
      <c r="O1167" t="str" cm="1">
        <f t="array" ref="O1167" xml:space="preserve"> _xlfn.IFS(A1167 &lt;ASSUMPTIONS!$D$2,"25",A1167 &lt;= ASSUMPTIONS!$D$3,"25-34",A1167 &lt;= ASSUMPTIONS!$D$4, "35-44",A1167 &lt;= ASSUMPTIONS!$D$5,"45-54",TRUE,"55+")</f>
        <v>35-44</v>
      </c>
      <c r="P1167" t="str" cm="1">
        <f t="array" ref="P1167">_xlfn.IFS( J1167 &lt;ASSUMPTIONS!$D$7,"LOW",J1167 &lt;= ASSUMPTIONS!$D$8,"MEDIUM",TRUE, "HIGH")</f>
        <v>MEDIUM</v>
      </c>
      <c r="Q1167" t="str">
        <f>IF(M1167&lt;ASSUMPTIONS!$D$10,"New (0-2)",IF(M1167&lt;=ASSUMPTIONS!$D$11,"Early (2-5)",IF(M1167&lt;=ASSUMPTIONS!$D$12,"Established (5-10)","Veteran (10+)")))</f>
        <v>Established (5-10)</v>
      </c>
      <c r="R1167" s="4">
        <f t="shared" si="37"/>
        <v>2.6666666666666665</v>
      </c>
    </row>
    <row r="1168" spans="1:18">
      <c r="A1168">
        <f>RAW_DATA!A1168</f>
        <v>48</v>
      </c>
      <c r="B1168" t="str">
        <f>RAW_DATA!B1168</f>
        <v>No</v>
      </c>
      <c r="C1168" t="str">
        <f>RAW_DATA!C1168</f>
        <v>Research &amp; Development</v>
      </c>
      <c r="D1168">
        <f>RAW_DATA!D1168</f>
        <v>4</v>
      </c>
      <c r="E1168">
        <f>RAW_DATA!E1168</f>
        <v>5</v>
      </c>
      <c r="F1168" t="str">
        <f>RAW_DATA!F1168</f>
        <v>Medical</v>
      </c>
      <c r="G1168">
        <f>RAW_DATA!G1168</f>
        <v>3</v>
      </c>
      <c r="H1168">
        <f>RAW_DATA!H1168</f>
        <v>4</v>
      </c>
      <c r="I1168" t="str">
        <f>RAW_DATA!I1168</f>
        <v>Married</v>
      </c>
      <c r="J1168">
        <f>RAW_DATA!J1168</f>
        <v>15202</v>
      </c>
      <c r="K1168">
        <f>RAW_DATA!K1168</f>
        <v>2</v>
      </c>
      <c r="L1168">
        <f>RAW_DATA!L1168</f>
        <v>3</v>
      </c>
      <c r="M1168">
        <f>RAW_DATA!M1168</f>
        <v>2</v>
      </c>
      <c r="N1168">
        <f t="shared" si="36"/>
        <v>0</v>
      </c>
      <c r="O1168" t="str" cm="1">
        <f t="array" ref="O1168" xml:space="preserve"> _xlfn.IFS(A1168 &lt;ASSUMPTIONS!$D$2,"25",A1168 &lt;= ASSUMPTIONS!$D$3,"25-34",A1168 &lt;= ASSUMPTIONS!$D$4, "35-44",A1168 &lt;= ASSUMPTIONS!$D$5,"45-54",TRUE,"55+")</f>
        <v>45-54</v>
      </c>
      <c r="P1168" t="str" cm="1">
        <f t="array" ref="P1168">_xlfn.IFS( J1168 &lt;ASSUMPTIONS!$D$7,"LOW",J1168 &lt;= ASSUMPTIONS!$D$8,"MEDIUM",TRUE, "HIGH")</f>
        <v>HIGH</v>
      </c>
      <c r="Q1168" t="str">
        <f>IF(M1168&lt;ASSUMPTIONS!$D$10,"New (0-2)",IF(M1168&lt;=ASSUMPTIONS!$D$11,"Early (2-5)",IF(M1168&lt;=ASSUMPTIONS!$D$12,"Established (5-10)","Veteran (10+)")))</f>
        <v>Early (2-5)</v>
      </c>
      <c r="R1168" s="4">
        <f t="shared" si="37"/>
        <v>3.3333333333333335</v>
      </c>
    </row>
    <row r="1169" spans="1:18">
      <c r="A1169">
        <f>RAW_DATA!A1169</f>
        <v>35</v>
      </c>
      <c r="B1169" t="str">
        <f>RAW_DATA!B1169</f>
        <v>Yes</v>
      </c>
      <c r="C1169" t="str">
        <f>RAW_DATA!C1169</f>
        <v>Sales</v>
      </c>
      <c r="D1169">
        <f>RAW_DATA!D1169</f>
        <v>15</v>
      </c>
      <c r="E1169">
        <f>RAW_DATA!E1169</f>
        <v>2</v>
      </c>
      <c r="F1169" t="str">
        <f>RAW_DATA!F1169</f>
        <v>Medical</v>
      </c>
      <c r="G1169">
        <f>RAW_DATA!G1169</f>
        <v>1</v>
      </c>
      <c r="H1169">
        <f>RAW_DATA!H1169</f>
        <v>4</v>
      </c>
      <c r="I1169" t="str">
        <f>RAW_DATA!I1169</f>
        <v>Divorced</v>
      </c>
      <c r="J1169">
        <f>RAW_DATA!J1169</f>
        <v>5440</v>
      </c>
      <c r="K1169">
        <f>RAW_DATA!K1169</f>
        <v>6</v>
      </c>
      <c r="L1169">
        <f>RAW_DATA!L1169</f>
        <v>2</v>
      </c>
      <c r="M1169">
        <f>RAW_DATA!M1169</f>
        <v>2</v>
      </c>
      <c r="N1169">
        <f t="shared" si="36"/>
        <v>1</v>
      </c>
      <c r="O1169" t="str" cm="1">
        <f t="array" ref="O1169" xml:space="preserve"> _xlfn.IFS(A1169 &lt;ASSUMPTIONS!$D$2,"25",A1169 &lt;= ASSUMPTIONS!$D$3,"25-34",A1169 &lt;= ASSUMPTIONS!$D$4, "35-44",A1169 &lt;= ASSUMPTIONS!$D$5,"45-54",TRUE,"55+")</f>
        <v>35-44</v>
      </c>
      <c r="P1169" t="str" cm="1">
        <f t="array" ref="P1169">_xlfn.IFS( J1169 &lt;ASSUMPTIONS!$D$7,"LOW",J1169 &lt;= ASSUMPTIONS!$D$8,"MEDIUM",TRUE, "HIGH")</f>
        <v>MEDIUM</v>
      </c>
      <c r="Q1169" t="str">
        <f>IF(M1169&lt;ASSUMPTIONS!$D$10,"New (0-2)",IF(M1169&lt;=ASSUMPTIONS!$D$11,"Early (2-5)",IF(M1169&lt;=ASSUMPTIONS!$D$12,"Established (5-10)","Veteran (10+)")))</f>
        <v>Early (2-5)</v>
      </c>
      <c r="R1169" s="4">
        <f t="shared" si="37"/>
        <v>2.3333333333333335</v>
      </c>
    </row>
    <row r="1170" spans="1:18">
      <c r="A1170">
        <f>RAW_DATA!A1170</f>
        <v>24</v>
      </c>
      <c r="B1170" t="str">
        <f>RAW_DATA!B1170</f>
        <v>No</v>
      </c>
      <c r="C1170" t="str">
        <f>RAW_DATA!C1170</f>
        <v>Research &amp; Development</v>
      </c>
      <c r="D1170">
        <f>RAW_DATA!D1170</f>
        <v>2</v>
      </c>
      <c r="E1170">
        <f>RAW_DATA!E1170</f>
        <v>1</v>
      </c>
      <c r="F1170" t="str">
        <f>RAW_DATA!F1170</f>
        <v>Technical Degree</v>
      </c>
      <c r="G1170">
        <f>RAW_DATA!G1170</f>
        <v>1</v>
      </c>
      <c r="H1170">
        <f>RAW_DATA!H1170</f>
        <v>4</v>
      </c>
      <c r="I1170" t="str">
        <f>RAW_DATA!I1170</f>
        <v>Single</v>
      </c>
      <c r="J1170">
        <f>RAW_DATA!J1170</f>
        <v>3760</v>
      </c>
      <c r="K1170">
        <f>RAW_DATA!K1170</f>
        <v>1</v>
      </c>
      <c r="L1170">
        <f>RAW_DATA!L1170</f>
        <v>3</v>
      </c>
      <c r="M1170">
        <f>RAW_DATA!M1170</f>
        <v>6</v>
      </c>
      <c r="N1170">
        <f t="shared" si="36"/>
        <v>0</v>
      </c>
      <c r="O1170" t="str" cm="1">
        <f t="array" ref="O1170" xml:space="preserve"> _xlfn.IFS(A1170 &lt;ASSUMPTIONS!$D$2,"25",A1170 &lt;= ASSUMPTIONS!$D$3,"25-34",A1170 &lt;= ASSUMPTIONS!$D$4, "35-44",A1170 &lt;= ASSUMPTIONS!$D$5,"45-54",TRUE,"55+")</f>
        <v>25</v>
      </c>
      <c r="P1170" t="str" cm="1">
        <f t="array" ref="P1170">_xlfn.IFS( J1170 &lt;ASSUMPTIONS!$D$7,"LOW",J1170 &lt;= ASSUMPTIONS!$D$8,"MEDIUM",TRUE, "HIGH")</f>
        <v>MEDIUM</v>
      </c>
      <c r="Q1170" t="str">
        <f>IF(M1170&lt;ASSUMPTIONS!$D$10,"New (0-2)",IF(M1170&lt;=ASSUMPTIONS!$D$11,"Early (2-5)",IF(M1170&lt;=ASSUMPTIONS!$D$12,"Established (5-10)","Veteran (10+)")))</f>
        <v>Established (5-10)</v>
      </c>
      <c r="R1170" s="4">
        <f t="shared" si="37"/>
        <v>2.6666666666666665</v>
      </c>
    </row>
    <row r="1171" spans="1:18">
      <c r="A1171">
        <f>RAW_DATA!A1171</f>
        <v>27</v>
      </c>
      <c r="B1171" t="str">
        <f>RAW_DATA!B1171</f>
        <v>No</v>
      </c>
      <c r="C1171" t="str">
        <f>RAW_DATA!C1171</f>
        <v>Research &amp; Development</v>
      </c>
      <c r="D1171">
        <f>RAW_DATA!D1171</f>
        <v>8</v>
      </c>
      <c r="E1171">
        <f>RAW_DATA!E1171</f>
        <v>3</v>
      </c>
      <c r="F1171" t="str">
        <f>RAW_DATA!F1171</f>
        <v>Medical</v>
      </c>
      <c r="G1171">
        <f>RAW_DATA!G1171</f>
        <v>2</v>
      </c>
      <c r="H1171">
        <f>RAW_DATA!H1171</f>
        <v>3</v>
      </c>
      <c r="I1171" t="str">
        <f>RAW_DATA!I1171</f>
        <v>Married</v>
      </c>
      <c r="J1171">
        <f>RAW_DATA!J1171</f>
        <v>3517</v>
      </c>
      <c r="K1171">
        <f>RAW_DATA!K1171</f>
        <v>7</v>
      </c>
      <c r="L1171">
        <f>RAW_DATA!L1171</f>
        <v>3</v>
      </c>
      <c r="M1171">
        <f>RAW_DATA!M1171</f>
        <v>3</v>
      </c>
      <c r="N1171">
        <f t="shared" si="36"/>
        <v>0</v>
      </c>
      <c r="O1171" t="str" cm="1">
        <f t="array" ref="O1171" xml:space="preserve"> _xlfn.IFS(A1171 &lt;ASSUMPTIONS!$D$2,"25",A1171 &lt;= ASSUMPTIONS!$D$3,"25-34",A1171 &lt;= ASSUMPTIONS!$D$4, "35-44",A1171 &lt;= ASSUMPTIONS!$D$5,"45-54",TRUE,"55+")</f>
        <v>25-34</v>
      </c>
      <c r="P1171" t="str" cm="1">
        <f t="array" ref="P1171">_xlfn.IFS( J1171 &lt;ASSUMPTIONS!$D$7,"LOW",J1171 &lt;= ASSUMPTIONS!$D$8,"MEDIUM",TRUE, "HIGH")</f>
        <v>MEDIUM</v>
      </c>
      <c r="Q1171" t="str">
        <f>IF(M1171&lt;ASSUMPTIONS!$D$10,"New (0-2)",IF(M1171&lt;=ASSUMPTIONS!$D$11,"Early (2-5)",IF(M1171&lt;=ASSUMPTIONS!$D$12,"Established (5-10)","Veteran (10+)")))</f>
        <v>Early (2-5)</v>
      </c>
      <c r="R1171" s="4">
        <f t="shared" si="37"/>
        <v>2.6666666666666665</v>
      </c>
    </row>
    <row r="1172" spans="1:18">
      <c r="A1172">
        <f>RAW_DATA!A1172</f>
        <v>27</v>
      </c>
      <c r="B1172" t="str">
        <f>RAW_DATA!B1172</f>
        <v>No</v>
      </c>
      <c r="C1172" t="str">
        <f>RAW_DATA!C1172</f>
        <v>Research &amp; Development</v>
      </c>
      <c r="D1172">
        <f>RAW_DATA!D1172</f>
        <v>2</v>
      </c>
      <c r="E1172">
        <f>RAW_DATA!E1172</f>
        <v>3</v>
      </c>
      <c r="F1172" t="str">
        <f>RAW_DATA!F1172</f>
        <v>Medical</v>
      </c>
      <c r="G1172">
        <f>RAW_DATA!G1172</f>
        <v>4</v>
      </c>
      <c r="H1172">
        <f>RAW_DATA!H1172</f>
        <v>4</v>
      </c>
      <c r="I1172" t="str">
        <f>RAW_DATA!I1172</f>
        <v>Single</v>
      </c>
      <c r="J1172">
        <f>RAW_DATA!J1172</f>
        <v>2580</v>
      </c>
      <c r="K1172">
        <f>RAW_DATA!K1172</f>
        <v>2</v>
      </c>
      <c r="L1172">
        <f>RAW_DATA!L1172</f>
        <v>2</v>
      </c>
      <c r="M1172">
        <f>RAW_DATA!M1172</f>
        <v>4</v>
      </c>
      <c r="N1172">
        <f t="shared" si="36"/>
        <v>0</v>
      </c>
      <c r="O1172" t="str" cm="1">
        <f t="array" ref="O1172" xml:space="preserve"> _xlfn.IFS(A1172 &lt;ASSUMPTIONS!$D$2,"25",A1172 &lt;= ASSUMPTIONS!$D$3,"25-34",A1172 &lt;= ASSUMPTIONS!$D$4, "35-44",A1172 &lt;= ASSUMPTIONS!$D$5,"45-54",TRUE,"55+")</f>
        <v>25-34</v>
      </c>
      <c r="P1172" t="str" cm="1">
        <f t="array" ref="P1172">_xlfn.IFS( J1172 &lt;ASSUMPTIONS!$D$7,"LOW",J1172 &lt;= ASSUMPTIONS!$D$8,"MEDIUM",TRUE, "HIGH")</f>
        <v>LOW</v>
      </c>
      <c r="Q1172" t="str">
        <f>IF(M1172&lt;ASSUMPTIONS!$D$10,"New (0-2)",IF(M1172&lt;=ASSUMPTIONS!$D$11,"Early (2-5)",IF(M1172&lt;=ASSUMPTIONS!$D$12,"Established (5-10)","Veteran (10+)")))</f>
        <v>Early (2-5)</v>
      </c>
      <c r="R1172" s="4">
        <f t="shared" si="37"/>
        <v>3.3333333333333335</v>
      </c>
    </row>
    <row r="1173" spans="1:18">
      <c r="A1173">
        <f>RAW_DATA!A1173</f>
        <v>40</v>
      </c>
      <c r="B1173" t="str">
        <f>RAW_DATA!B1173</f>
        <v>Yes</v>
      </c>
      <c r="C1173" t="str">
        <f>RAW_DATA!C1173</f>
        <v>Research &amp; Development</v>
      </c>
      <c r="D1173">
        <f>RAW_DATA!D1173</f>
        <v>7</v>
      </c>
      <c r="E1173">
        <f>RAW_DATA!E1173</f>
        <v>3</v>
      </c>
      <c r="F1173" t="str">
        <f>RAW_DATA!F1173</f>
        <v>Life Sciences</v>
      </c>
      <c r="G1173">
        <f>RAW_DATA!G1173</f>
        <v>1</v>
      </c>
      <c r="H1173">
        <f>RAW_DATA!H1173</f>
        <v>1</v>
      </c>
      <c r="I1173" t="str">
        <f>RAW_DATA!I1173</f>
        <v>Single</v>
      </c>
      <c r="J1173">
        <f>RAW_DATA!J1173</f>
        <v>2166</v>
      </c>
      <c r="K1173">
        <f>RAW_DATA!K1173</f>
        <v>3</v>
      </c>
      <c r="L1173">
        <f>RAW_DATA!L1173</f>
        <v>1</v>
      </c>
      <c r="M1173">
        <f>RAW_DATA!M1173</f>
        <v>4</v>
      </c>
      <c r="N1173">
        <f t="shared" si="36"/>
        <v>1</v>
      </c>
      <c r="O1173" t="str" cm="1">
        <f t="array" ref="O1173" xml:space="preserve"> _xlfn.IFS(A1173 &lt;ASSUMPTIONS!$D$2,"25",A1173 &lt;= ASSUMPTIONS!$D$3,"25-34",A1173 &lt;= ASSUMPTIONS!$D$4, "35-44",A1173 &lt;= ASSUMPTIONS!$D$5,"45-54",TRUE,"55+")</f>
        <v>35-44</v>
      </c>
      <c r="P1173" t="str" cm="1">
        <f t="array" ref="P1173">_xlfn.IFS( J1173 &lt;ASSUMPTIONS!$D$7,"LOW",J1173 &lt;= ASSUMPTIONS!$D$8,"MEDIUM",TRUE, "HIGH")</f>
        <v>LOW</v>
      </c>
      <c r="Q1173" t="str">
        <f>IF(M1173&lt;ASSUMPTIONS!$D$10,"New (0-2)",IF(M1173&lt;=ASSUMPTIONS!$D$11,"Early (2-5)",IF(M1173&lt;=ASSUMPTIONS!$D$12,"Established (5-10)","Veteran (10+)")))</f>
        <v>Early (2-5)</v>
      </c>
      <c r="R1173" s="4">
        <f t="shared" si="37"/>
        <v>1</v>
      </c>
    </row>
    <row r="1174" spans="1:18">
      <c r="A1174">
        <f>RAW_DATA!A1174</f>
        <v>29</v>
      </c>
      <c r="B1174" t="str">
        <f>RAW_DATA!B1174</f>
        <v>No</v>
      </c>
      <c r="C1174" t="str">
        <f>RAW_DATA!C1174</f>
        <v>Sales</v>
      </c>
      <c r="D1174">
        <f>RAW_DATA!D1174</f>
        <v>10</v>
      </c>
      <c r="E1174">
        <f>RAW_DATA!E1174</f>
        <v>3</v>
      </c>
      <c r="F1174" t="str">
        <f>RAW_DATA!F1174</f>
        <v>Medical</v>
      </c>
      <c r="G1174">
        <f>RAW_DATA!G1174</f>
        <v>3</v>
      </c>
      <c r="H1174">
        <f>RAW_DATA!H1174</f>
        <v>3</v>
      </c>
      <c r="I1174" t="str">
        <f>RAW_DATA!I1174</f>
        <v>Single</v>
      </c>
      <c r="J1174">
        <f>RAW_DATA!J1174</f>
        <v>5869</v>
      </c>
      <c r="K1174">
        <f>RAW_DATA!K1174</f>
        <v>9</v>
      </c>
      <c r="L1174">
        <f>RAW_DATA!L1174</f>
        <v>3</v>
      </c>
      <c r="M1174">
        <f>RAW_DATA!M1174</f>
        <v>5</v>
      </c>
      <c r="N1174">
        <f t="shared" si="36"/>
        <v>0</v>
      </c>
      <c r="O1174" t="str" cm="1">
        <f t="array" ref="O1174" xml:space="preserve"> _xlfn.IFS(A1174 &lt;ASSUMPTIONS!$D$2,"25",A1174 &lt;= ASSUMPTIONS!$D$3,"25-34",A1174 &lt;= ASSUMPTIONS!$D$4, "35-44",A1174 &lt;= ASSUMPTIONS!$D$5,"45-54",TRUE,"55+")</f>
        <v>25-34</v>
      </c>
      <c r="P1174" t="str" cm="1">
        <f t="array" ref="P1174">_xlfn.IFS( J1174 &lt;ASSUMPTIONS!$D$7,"LOW",J1174 &lt;= ASSUMPTIONS!$D$8,"MEDIUM",TRUE, "HIGH")</f>
        <v>MEDIUM</v>
      </c>
      <c r="Q1174" t="str">
        <f>IF(M1174&lt;ASSUMPTIONS!$D$10,"New (0-2)",IF(M1174&lt;=ASSUMPTIONS!$D$11,"Early (2-5)",IF(M1174&lt;=ASSUMPTIONS!$D$12,"Established (5-10)","Veteran (10+)")))</f>
        <v>Early (2-5)</v>
      </c>
      <c r="R1174" s="4">
        <f t="shared" si="37"/>
        <v>3</v>
      </c>
    </row>
    <row r="1175" spans="1:18">
      <c r="A1175">
        <f>RAW_DATA!A1175</f>
        <v>36</v>
      </c>
      <c r="B1175" t="str">
        <f>RAW_DATA!B1175</f>
        <v>No</v>
      </c>
      <c r="C1175" t="str">
        <f>RAW_DATA!C1175</f>
        <v>Research &amp; Development</v>
      </c>
      <c r="D1175">
        <f>RAW_DATA!D1175</f>
        <v>5</v>
      </c>
      <c r="E1175">
        <f>RAW_DATA!E1175</f>
        <v>4</v>
      </c>
      <c r="F1175" t="str">
        <f>RAW_DATA!F1175</f>
        <v>Life Sciences</v>
      </c>
      <c r="G1175">
        <f>RAW_DATA!G1175</f>
        <v>2</v>
      </c>
      <c r="H1175">
        <f>RAW_DATA!H1175</f>
        <v>1</v>
      </c>
      <c r="I1175" t="str">
        <f>RAW_DATA!I1175</f>
        <v>Married</v>
      </c>
      <c r="J1175">
        <f>RAW_DATA!J1175</f>
        <v>8008</v>
      </c>
      <c r="K1175">
        <f>RAW_DATA!K1175</f>
        <v>4</v>
      </c>
      <c r="L1175">
        <f>RAW_DATA!L1175</f>
        <v>3</v>
      </c>
      <c r="M1175">
        <f>RAW_DATA!M1175</f>
        <v>3</v>
      </c>
      <c r="N1175">
        <f t="shared" si="36"/>
        <v>0</v>
      </c>
      <c r="O1175" t="str" cm="1">
        <f t="array" ref="O1175" xml:space="preserve"> _xlfn.IFS(A1175 &lt;ASSUMPTIONS!$D$2,"25",A1175 &lt;= ASSUMPTIONS!$D$3,"25-34",A1175 &lt;= ASSUMPTIONS!$D$4, "35-44",A1175 &lt;= ASSUMPTIONS!$D$5,"45-54",TRUE,"55+")</f>
        <v>35-44</v>
      </c>
      <c r="P1175" t="str" cm="1">
        <f t="array" ref="P1175">_xlfn.IFS( J1175 &lt;ASSUMPTIONS!$D$7,"LOW",J1175 &lt;= ASSUMPTIONS!$D$8,"MEDIUM",TRUE, "HIGH")</f>
        <v>HIGH</v>
      </c>
      <c r="Q1175" t="str">
        <f>IF(M1175&lt;ASSUMPTIONS!$D$10,"New (0-2)",IF(M1175&lt;=ASSUMPTIONS!$D$11,"Early (2-5)",IF(M1175&lt;=ASSUMPTIONS!$D$12,"Established (5-10)","Veteran (10+)")))</f>
        <v>Early (2-5)</v>
      </c>
      <c r="R1175" s="4">
        <f t="shared" si="37"/>
        <v>2</v>
      </c>
    </row>
    <row r="1176" spans="1:18">
      <c r="A1176">
        <f>RAW_DATA!A1176</f>
        <v>25</v>
      </c>
      <c r="B1176" t="str">
        <f>RAW_DATA!B1176</f>
        <v>No</v>
      </c>
      <c r="C1176" t="str">
        <f>RAW_DATA!C1176</f>
        <v>Research &amp; Development</v>
      </c>
      <c r="D1176">
        <f>RAW_DATA!D1176</f>
        <v>2</v>
      </c>
      <c r="E1176">
        <f>RAW_DATA!E1176</f>
        <v>1</v>
      </c>
      <c r="F1176" t="str">
        <f>RAW_DATA!F1176</f>
        <v>Life Sciences</v>
      </c>
      <c r="G1176">
        <f>RAW_DATA!G1176</f>
        <v>4</v>
      </c>
      <c r="H1176">
        <f>RAW_DATA!H1176</f>
        <v>3</v>
      </c>
      <c r="I1176" t="str">
        <f>RAW_DATA!I1176</f>
        <v>Divorced</v>
      </c>
      <c r="J1176">
        <f>RAW_DATA!J1176</f>
        <v>5206</v>
      </c>
      <c r="K1176">
        <f>RAW_DATA!K1176</f>
        <v>1</v>
      </c>
      <c r="L1176">
        <f>RAW_DATA!L1176</f>
        <v>3</v>
      </c>
      <c r="M1176">
        <f>RAW_DATA!M1176</f>
        <v>7</v>
      </c>
      <c r="N1176">
        <f t="shared" si="36"/>
        <v>0</v>
      </c>
      <c r="O1176" t="str" cm="1">
        <f t="array" ref="O1176" xml:space="preserve"> _xlfn.IFS(A1176 &lt;ASSUMPTIONS!$D$2,"25",A1176 &lt;= ASSUMPTIONS!$D$3,"25-34",A1176 &lt;= ASSUMPTIONS!$D$4, "35-44",A1176 &lt;= ASSUMPTIONS!$D$5,"45-54",TRUE,"55+")</f>
        <v>25-34</v>
      </c>
      <c r="P1176" t="str" cm="1">
        <f t="array" ref="P1176">_xlfn.IFS( J1176 &lt;ASSUMPTIONS!$D$7,"LOW",J1176 &lt;= ASSUMPTIONS!$D$8,"MEDIUM",TRUE, "HIGH")</f>
        <v>MEDIUM</v>
      </c>
      <c r="Q1176" t="str">
        <f>IF(M1176&lt;ASSUMPTIONS!$D$10,"New (0-2)",IF(M1176&lt;=ASSUMPTIONS!$D$11,"Early (2-5)",IF(M1176&lt;=ASSUMPTIONS!$D$12,"Established (5-10)","Veteran (10+)")))</f>
        <v>Established (5-10)</v>
      </c>
      <c r="R1176" s="4">
        <f t="shared" si="37"/>
        <v>3.3333333333333335</v>
      </c>
    </row>
    <row r="1177" spans="1:18">
      <c r="A1177">
        <f>RAW_DATA!A1177</f>
        <v>39</v>
      </c>
      <c r="B1177" t="str">
        <f>RAW_DATA!B1177</f>
        <v>No</v>
      </c>
      <c r="C1177" t="str">
        <f>RAW_DATA!C1177</f>
        <v>Research &amp; Development</v>
      </c>
      <c r="D1177">
        <f>RAW_DATA!D1177</f>
        <v>12</v>
      </c>
      <c r="E1177">
        <f>RAW_DATA!E1177</f>
        <v>3</v>
      </c>
      <c r="F1177" t="str">
        <f>RAW_DATA!F1177</f>
        <v>Medical</v>
      </c>
      <c r="G1177">
        <f>RAW_DATA!G1177</f>
        <v>4</v>
      </c>
      <c r="H1177">
        <f>RAW_DATA!H1177</f>
        <v>2</v>
      </c>
      <c r="I1177" t="str">
        <f>RAW_DATA!I1177</f>
        <v>Married</v>
      </c>
      <c r="J1177">
        <f>RAW_DATA!J1177</f>
        <v>5295</v>
      </c>
      <c r="K1177">
        <f>RAW_DATA!K1177</f>
        <v>4</v>
      </c>
      <c r="L1177">
        <f>RAW_DATA!L1177</f>
        <v>3</v>
      </c>
      <c r="M1177">
        <f>RAW_DATA!M1177</f>
        <v>5</v>
      </c>
      <c r="N1177">
        <f t="shared" si="36"/>
        <v>0</v>
      </c>
      <c r="O1177" t="str" cm="1">
        <f t="array" ref="O1177" xml:space="preserve"> _xlfn.IFS(A1177 &lt;ASSUMPTIONS!$D$2,"25",A1177 &lt;= ASSUMPTIONS!$D$3,"25-34",A1177 &lt;= ASSUMPTIONS!$D$4, "35-44",A1177 &lt;= ASSUMPTIONS!$D$5,"45-54",TRUE,"55+")</f>
        <v>35-44</v>
      </c>
      <c r="P1177" t="str" cm="1">
        <f t="array" ref="P1177">_xlfn.IFS( J1177 &lt;ASSUMPTIONS!$D$7,"LOW",J1177 &lt;= ASSUMPTIONS!$D$8,"MEDIUM",TRUE, "HIGH")</f>
        <v>MEDIUM</v>
      </c>
      <c r="Q1177" t="str">
        <f>IF(M1177&lt;ASSUMPTIONS!$D$10,"New (0-2)",IF(M1177&lt;=ASSUMPTIONS!$D$11,"Early (2-5)",IF(M1177&lt;=ASSUMPTIONS!$D$12,"Established (5-10)","Veteran (10+)")))</f>
        <v>Early (2-5)</v>
      </c>
      <c r="R1177" s="4">
        <f t="shared" si="37"/>
        <v>3</v>
      </c>
    </row>
    <row r="1178" spans="1:18">
      <c r="A1178">
        <f>RAW_DATA!A1178</f>
        <v>49</v>
      </c>
      <c r="B1178" t="str">
        <f>RAW_DATA!B1178</f>
        <v>No</v>
      </c>
      <c r="C1178" t="str">
        <f>RAW_DATA!C1178</f>
        <v>Research &amp; Development</v>
      </c>
      <c r="D1178">
        <f>RAW_DATA!D1178</f>
        <v>22</v>
      </c>
      <c r="E1178">
        <f>RAW_DATA!E1178</f>
        <v>4</v>
      </c>
      <c r="F1178" t="str">
        <f>RAW_DATA!F1178</f>
        <v>Other</v>
      </c>
      <c r="G1178">
        <f>RAW_DATA!G1178</f>
        <v>1</v>
      </c>
      <c r="H1178">
        <f>RAW_DATA!H1178</f>
        <v>2</v>
      </c>
      <c r="I1178" t="str">
        <f>RAW_DATA!I1178</f>
        <v>Married</v>
      </c>
      <c r="J1178">
        <f>RAW_DATA!J1178</f>
        <v>16413</v>
      </c>
      <c r="K1178">
        <f>RAW_DATA!K1178</f>
        <v>3</v>
      </c>
      <c r="L1178">
        <f>RAW_DATA!L1178</f>
        <v>3</v>
      </c>
      <c r="M1178">
        <f>RAW_DATA!M1178</f>
        <v>4</v>
      </c>
      <c r="N1178">
        <f t="shared" si="36"/>
        <v>0</v>
      </c>
      <c r="O1178" t="str" cm="1">
        <f t="array" ref="O1178" xml:space="preserve"> _xlfn.IFS(A1178 &lt;ASSUMPTIONS!$D$2,"25",A1178 &lt;= ASSUMPTIONS!$D$3,"25-34",A1178 &lt;= ASSUMPTIONS!$D$4, "35-44",A1178 &lt;= ASSUMPTIONS!$D$5,"45-54",TRUE,"55+")</f>
        <v>45-54</v>
      </c>
      <c r="P1178" t="str" cm="1">
        <f t="array" ref="P1178">_xlfn.IFS( J1178 &lt;ASSUMPTIONS!$D$7,"LOW",J1178 &lt;= ASSUMPTIONS!$D$8,"MEDIUM",TRUE, "HIGH")</f>
        <v>HIGH</v>
      </c>
      <c r="Q1178" t="str">
        <f>IF(M1178&lt;ASSUMPTIONS!$D$10,"New (0-2)",IF(M1178&lt;=ASSUMPTIONS!$D$11,"Early (2-5)",IF(M1178&lt;=ASSUMPTIONS!$D$12,"Established (5-10)","Veteran (10+)")))</f>
        <v>Early (2-5)</v>
      </c>
      <c r="R1178" s="4">
        <f t="shared" si="37"/>
        <v>2</v>
      </c>
    </row>
    <row r="1179" spans="1:18">
      <c r="A1179">
        <f>RAW_DATA!A1179</f>
        <v>50</v>
      </c>
      <c r="B1179" t="str">
        <f>RAW_DATA!B1179</f>
        <v>No</v>
      </c>
      <c r="C1179" t="str">
        <f>RAW_DATA!C1179</f>
        <v>Research &amp; Development</v>
      </c>
      <c r="D1179">
        <f>RAW_DATA!D1179</f>
        <v>17</v>
      </c>
      <c r="E1179">
        <f>RAW_DATA!E1179</f>
        <v>5</v>
      </c>
      <c r="F1179" t="str">
        <f>RAW_DATA!F1179</f>
        <v>Life Sciences</v>
      </c>
      <c r="G1179">
        <f>RAW_DATA!G1179</f>
        <v>4</v>
      </c>
      <c r="H1179">
        <f>RAW_DATA!H1179</f>
        <v>1</v>
      </c>
      <c r="I1179" t="str">
        <f>RAW_DATA!I1179</f>
        <v>Divorced</v>
      </c>
      <c r="J1179">
        <f>RAW_DATA!J1179</f>
        <v>13269</v>
      </c>
      <c r="K1179">
        <f>RAW_DATA!K1179</f>
        <v>5</v>
      </c>
      <c r="L1179">
        <f>RAW_DATA!L1179</f>
        <v>3</v>
      </c>
      <c r="M1179">
        <f>RAW_DATA!M1179</f>
        <v>14</v>
      </c>
      <c r="N1179">
        <f t="shared" si="36"/>
        <v>0</v>
      </c>
      <c r="O1179" t="str" cm="1">
        <f t="array" ref="O1179" xml:space="preserve"> _xlfn.IFS(A1179 &lt;ASSUMPTIONS!$D$2,"25",A1179 &lt;= ASSUMPTIONS!$D$3,"25-34",A1179 &lt;= ASSUMPTIONS!$D$4, "35-44",A1179 &lt;= ASSUMPTIONS!$D$5,"45-54",TRUE,"55+")</f>
        <v>45-54</v>
      </c>
      <c r="P1179" t="str" cm="1">
        <f t="array" ref="P1179">_xlfn.IFS( J1179 &lt;ASSUMPTIONS!$D$7,"LOW",J1179 &lt;= ASSUMPTIONS!$D$8,"MEDIUM",TRUE, "HIGH")</f>
        <v>HIGH</v>
      </c>
      <c r="Q1179" t="str">
        <f>IF(M1179&lt;ASSUMPTIONS!$D$10,"New (0-2)",IF(M1179&lt;=ASSUMPTIONS!$D$11,"Early (2-5)",IF(M1179&lt;=ASSUMPTIONS!$D$12,"Established (5-10)","Veteran (10+)")))</f>
        <v>Veteran (10+)</v>
      </c>
      <c r="R1179" s="4">
        <f t="shared" si="37"/>
        <v>2.6666666666666665</v>
      </c>
    </row>
    <row r="1180" spans="1:18">
      <c r="A1180">
        <f>RAW_DATA!A1180</f>
        <v>20</v>
      </c>
      <c r="B1180" t="str">
        <f>RAW_DATA!B1180</f>
        <v>No</v>
      </c>
      <c r="C1180" t="str">
        <f>RAW_DATA!C1180</f>
        <v>Sales</v>
      </c>
      <c r="D1180">
        <f>RAW_DATA!D1180</f>
        <v>2</v>
      </c>
      <c r="E1180">
        <f>RAW_DATA!E1180</f>
        <v>3</v>
      </c>
      <c r="F1180" t="str">
        <f>RAW_DATA!F1180</f>
        <v>Medical</v>
      </c>
      <c r="G1180">
        <f>RAW_DATA!G1180</f>
        <v>3</v>
      </c>
      <c r="H1180">
        <f>RAW_DATA!H1180</f>
        <v>3</v>
      </c>
      <c r="I1180" t="str">
        <f>RAW_DATA!I1180</f>
        <v>Single</v>
      </c>
      <c r="J1180">
        <f>RAW_DATA!J1180</f>
        <v>2783</v>
      </c>
      <c r="K1180">
        <f>RAW_DATA!K1180</f>
        <v>1</v>
      </c>
      <c r="L1180">
        <f>RAW_DATA!L1180</f>
        <v>3</v>
      </c>
      <c r="M1180">
        <f>RAW_DATA!M1180</f>
        <v>2</v>
      </c>
      <c r="N1180">
        <f t="shared" si="36"/>
        <v>0</v>
      </c>
      <c r="O1180" t="str" cm="1">
        <f t="array" ref="O1180" xml:space="preserve"> _xlfn.IFS(A1180 &lt;ASSUMPTIONS!$D$2,"25",A1180 &lt;= ASSUMPTIONS!$D$3,"25-34",A1180 &lt;= ASSUMPTIONS!$D$4, "35-44",A1180 &lt;= ASSUMPTIONS!$D$5,"45-54",TRUE,"55+")</f>
        <v>25</v>
      </c>
      <c r="P1180" t="str" cm="1">
        <f t="array" ref="P1180">_xlfn.IFS( J1180 &lt;ASSUMPTIONS!$D$7,"LOW",J1180 &lt;= ASSUMPTIONS!$D$8,"MEDIUM",TRUE, "HIGH")</f>
        <v>LOW</v>
      </c>
      <c r="Q1180" t="str">
        <f>IF(M1180&lt;ASSUMPTIONS!$D$10,"New (0-2)",IF(M1180&lt;=ASSUMPTIONS!$D$11,"Early (2-5)",IF(M1180&lt;=ASSUMPTIONS!$D$12,"Established (5-10)","Veteran (10+)")))</f>
        <v>Early (2-5)</v>
      </c>
      <c r="R1180" s="4">
        <f t="shared" si="37"/>
        <v>3</v>
      </c>
    </row>
    <row r="1181" spans="1:18">
      <c r="A1181">
        <f>RAW_DATA!A1181</f>
        <v>34</v>
      </c>
      <c r="B1181" t="str">
        <f>RAW_DATA!B1181</f>
        <v>No</v>
      </c>
      <c r="C1181" t="str">
        <f>RAW_DATA!C1181</f>
        <v>Research &amp; Development</v>
      </c>
      <c r="D1181">
        <f>RAW_DATA!D1181</f>
        <v>3</v>
      </c>
      <c r="E1181">
        <f>RAW_DATA!E1181</f>
        <v>3</v>
      </c>
      <c r="F1181" t="str">
        <f>RAW_DATA!F1181</f>
        <v>Life Sciences</v>
      </c>
      <c r="G1181">
        <f>RAW_DATA!G1181</f>
        <v>4</v>
      </c>
      <c r="H1181">
        <f>RAW_DATA!H1181</f>
        <v>2</v>
      </c>
      <c r="I1181" t="str">
        <f>RAW_DATA!I1181</f>
        <v>Divorced</v>
      </c>
      <c r="J1181">
        <f>RAW_DATA!J1181</f>
        <v>5433</v>
      </c>
      <c r="K1181">
        <f>RAW_DATA!K1181</f>
        <v>1</v>
      </c>
      <c r="L1181">
        <f>RAW_DATA!L1181</f>
        <v>3</v>
      </c>
      <c r="M1181">
        <f>RAW_DATA!M1181</f>
        <v>11</v>
      </c>
      <c r="N1181">
        <f t="shared" si="36"/>
        <v>0</v>
      </c>
      <c r="O1181" t="str" cm="1">
        <f t="array" ref="O1181" xml:space="preserve"> _xlfn.IFS(A1181 &lt;ASSUMPTIONS!$D$2,"25",A1181 &lt;= ASSUMPTIONS!$D$3,"25-34",A1181 &lt;= ASSUMPTIONS!$D$4, "35-44",A1181 &lt;= ASSUMPTIONS!$D$5,"45-54",TRUE,"55+")</f>
        <v>25-34</v>
      </c>
      <c r="P1181" t="str" cm="1">
        <f t="array" ref="P1181">_xlfn.IFS( J1181 &lt;ASSUMPTIONS!$D$7,"LOW",J1181 &lt;= ASSUMPTIONS!$D$8,"MEDIUM",TRUE, "HIGH")</f>
        <v>MEDIUM</v>
      </c>
      <c r="Q1181" t="str">
        <f>IF(M1181&lt;ASSUMPTIONS!$D$10,"New (0-2)",IF(M1181&lt;=ASSUMPTIONS!$D$11,"Early (2-5)",IF(M1181&lt;=ASSUMPTIONS!$D$12,"Established (5-10)","Veteran (10+)")))</f>
        <v>Veteran (10+)</v>
      </c>
      <c r="R1181" s="4">
        <f t="shared" si="37"/>
        <v>3</v>
      </c>
    </row>
    <row r="1182" spans="1:18">
      <c r="A1182">
        <f>RAW_DATA!A1182</f>
        <v>36</v>
      </c>
      <c r="B1182" t="str">
        <f>RAW_DATA!B1182</f>
        <v>No</v>
      </c>
      <c r="C1182" t="str">
        <f>RAW_DATA!C1182</f>
        <v>Research &amp; Development</v>
      </c>
      <c r="D1182">
        <f>RAW_DATA!D1182</f>
        <v>7</v>
      </c>
      <c r="E1182">
        <f>RAW_DATA!E1182</f>
        <v>3</v>
      </c>
      <c r="F1182" t="str">
        <f>RAW_DATA!F1182</f>
        <v>Life Sciences</v>
      </c>
      <c r="G1182">
        <f>RAW_DATA!G1182</f>
        <v>1</v>
      </c>
      <c r="H1182">
        <f>RAW_DATA!H1182</f>
        <v>2</v>
      </c>
      <c r="I1182" t="str">
        <f>RAW_DATA!I1182</f>
        <v>Single</v>
      </c>
      <c r="J1182">
        <f>RAW_DATA!J1182</f>
        <v>2013</v>
      </c>
      <c r="K1182">
        <f>RAW_DATA!K1182</f>
        <v>2</v>
      </c>
      <c r="L1182">
        <f>RAW_DATA!L1182</f>
        <v>3</v>
      </c>
      <c r="M1182">
        <f>RAW_DATA!M1182</f>
        <v>4</v>
      </c>
      <c r="N1182">
        <f t="shared" si="36"/>
        <v>0</v>
      </c>
      <c r="O1182" t="str" cm="1">
        <f t="array" ref="O1182" xml:space="preserve"> _xlfn.IFS(A1182 &lt;ASSUMPTIONS!$D$2,"25",A1182 &lt;= ASSUMPTIONS!$D$3,"25-34",A1182 &lt;= ASSUMPTIONS!$D$4, "35-44",A1182 &lt;= ASSUMPTIONS!$D$5,"45-54",TRUE,"55+")</f>
        <v>35-44</v>
      </c>
      <c r="P1182" t="str" cm="1">
        <f t="array" ref="P1182">_xlfn.IFS( J1182 &lt;ASSUMPTIONS!$D$7,"LOW",J1182 &lt;= ASSUMPTIONS!$D$8,"MEDIUM",TRUE, "HIGH")</f>
        <v>LOW</v>
      </c>
      <c r="Q1182" t="str">
        <f>IF(M1182&lt;ASSUMPTIONS!$D$10,"New (0-2)",IF(M1182&lt;=ASSUMPTIONS!$D$11,"Early (2-5)",IF(M1182&lt;=ASSUMPTIONS!$D$12,"Established (5-10)","Veteran (10+)")))</f>
        <v>Early (2-5)</v>
      </c>
      <c r="R1182" s="4">
        <f t="shared" si="37"/>
        <v>2</v>
      </c>
    </row>
    <row r="1183" spans="1:18">
      <c r="A1183">
        <f>RAW_DATA!A1183</f>
        <v>49</v>
      </c>
      <c r="B1183" t="str">
        <f>RAW_DATA!B1183</f>
        <v>No</v>
      </c>
      <c r="C1183" t="str">
        <f>RAW_DATA!C1183</f>
        <v>Research &amp; Development</v>
      </c>
      <c r="D1183">
        <f>RAW_DATA!D1183</f>
        <v>6</v>
      </c>
      <c r="E1183">
        <f>RAW_DATA!E1183</f>
        <v>1</v>
      </c>
      <c r="F1183" t="str">
        <f>RAW_DATA!F1183</f>
        <v>Life Sciences</v>
      </c>
      <c r="G1183">
        <f>RAW_DATA!G1183</f>
        <v>3</v>
      </c>
      <c r="H1183">
        <f>RAW_DATA!H1183</f>
        <v>3</v>
      </c>
      <c r="I1183" t="str">
        <f>RAW_DATA!I1183</f>
        <v>Married</v>
      </c>
      <c r="J1183">
        <f>RAW_DATA!J1183</f>
        <v>13966</v>
      </c>
      <c r="K1183">
        <f>RAW_DATA!K1183</f>
        <v>2</v>
      </c>
      <c r="L1183">
        <f>RAW_DATA!L1183</f>
        <v>3</v>
      </c>
      <c r="M1183">
        <f>RAW_DATA!M1183</f>
        <v>15</v>
      </c>
      <c r="N1183">
        <f t="shared" si="36"/>
        <v>0</v>
      </c>
      <c r="O1183" t="str" cm="1">
        <f t="array" ref="O1183" xml:space="preserve"> _xlfn.IFS(A1183 &lt;ASSUMPTIONS!$D$2,"25",A1183 &lt;= ASSUMPTIONS!$D$3,"25-34",A1183 &lt;= ASSUMPTIONS!$D$4, "35-44",A1183 &lt;= ASSUMPTIONS!$D$5,"45-54",TRUE,"55+")</f>
        <v>45-54</v>
      </c>
      <c r="P1183" t="str" cm="1">
        <f t="array" ref="P1183">_xlfn.IFS( J1183 &lt;ASSUMPTIONS!$D$7,"LOW",J1183 &lt;= ASSUMPTIONS!$D$8,"MEDIUM",TRUE, "HIGH")</f>
        <v>HIGH</v>
      </c>
      <c r="Q1183" t="str">
        <f>IF(M1183&lt;ASSUMPTIONS!$D$10,"New (0-2)",IF(M1183&lt;=ASSUMPTIONS!$D$11,"Early (2-5)",IF(M1183&lt;=ASSUMPTIONS!$D$12,"Established (5-10)","Veteran (10+)")))</f>
        <v>Veteran (10+)</v>
      </c>
      <c r="R1183" s="4">
        <f t="shared" si="37"/>
        <v>3</v>
      </c>
    </row>
    <row r="1184" spans="1:18">
      <c r="A1184">
        <f>RAW_DATA!A1184</f>
        <v>36</v>
      </c>
      <c r="B1184" t="str">
        <f>RAW_DATA!B1184</f>
        <v>No</v>
      </c>
      <c r="C1184" t="str">
        <f>RAW_DATA!C1184</f>
        <v>Research &amp; Development</v>
      </c>
      <c r="D1184">
        <f>RAW_DATA!D1184</f>
        <v>1</v>
      </c>
      <c r="E1184">
        <f>RAW_DATA!E1184</f>
        <v>4</v>
      </c>
      <c r="F1184" t="str">
        <f>RAW_DATA!F1184</f>
        <v>Medical</v>
      </c>
      <c r="G1184">
        <f>RAW_DATA!G1184</f>
        <v>4</v>
      </c>
      <c r="H1184">
        <f>RAW_DATA!H1184</f>
        <v>3</v>
      </c>
      <c r="I1184" t="str">
        <f>RAW_DATA!I1184</f>
        <v>Married</v>
      </c>
      <c r="J1184">
        <f>RAW_DATA!J1184</f>
        <v>4374</v>
      </c>
      <c r="K1184">
        <f>RAW_DATA!K1184</f>
        <v>0</v>
      </c>
      <c r="L1184">
        <f>RAW_DATA!L1184</f>
        <v>3</v>
      </c>
      <c r="M1184">
        <f>RAW_DATA!M1184</f>
        <v>3</v>
      </c>
      <c r="N1184">
        <f t="shared" si="36"/>
        <v>0</v>
      </c>
      <c r="O1184" t="str" cm="1">
        <f t="array" ref="O1184" xml:space="preserve"> _xlfn.IFS(A1184 &lt;ASSUMPTIONS!$D$2,"25",A1184 &lt;= ASSUMPTIONS!$D$3,"25-34",A1184 &lt;= ASSUMPTIONS!$D$4, "35-44",A1184 &lt;= ASSUMPTIONS!$D$5,"45-54",TRUE,"55+")</f>
        <v>35-44</v>
      </c>
      <c r="P1184" t="str" cm="1">
        <f t="array" ref="P1184">_xlfn.IFS( J1184 &lt;ASSUMPTIONS!$D$7,"LOW",J1184 &lt;= ASSUMPTIONS!$D$8,"MEDIUM",TRUE, "HIGH")</f>
        <v>MEDIUM</v>
      </c>
      <c r="Q1184" t="str">
        <f>IF(M1184&lt;ASSUMPTIONS!$D$10,"New (0-2)",IF(M1184&lt;=ASSUMPTIONS!$D$11,"Early (2-5)",IF(M1184&lt;=ASSUMPTIONS!$D$12,"Established (5-10)","Veteran (10+)")))</f>
        <v>Early (2-5)</v>
      </c>
      <c r="R1184" s="4">
        <f t="shared" si="37"/>
        <v>3.3333333333333335</v>
      </c>
    </row>
    <row r="1185" spans="1:18">
      <c r="A1185">
        <f>RAW_DATA!A1185</f>
        <v>36</v>
      </c>
      <c r="B1185" t="str">
        <f>RAW_DATA!B1185</f>
        <v>No</v>
      </c>
      <c r="C1185" t="str">
        <f>RAW_DATA!C1185</f>
        <v>Research &amp; Development</v>
      </c>
      <c r="D1185">
        <f>RAW_DATA!D1185</f>
        <v>3</v>
      </c>
      <c r="E1185">
        <f>RAW_DATA!E1185</f>
        <v>2</v>
      </c>
      <c r="F1185" t="str">
        <f>RAW_DATA!F1185</f>
        <v>Life Sciences</v>
      </c>
      <c r="G1185">
        <f>RAW_DATA!G1185</f>
        <v>4</v>
      </c>
      <c r="H1185">
        <f>RAW_DATA!H1185</f>
        <v>1</v>
      </c>
      <c r="I1185" t="str">
        <f>RAW_DATA!I1185</f>
        <v>Divorced</v>
      </c>
      <c r="J1185">
        <f>RAW_DATA!J1185</f>
        <v>6842</v>
      </c>
      <c r="K1185">
        <f>RAW_DATA!K1185</f>
        <v>6</v>
      </c>
      <c r="L1185">
        <f>RAW_DATA!L1185</f>
        <v>3</v>
      </c>
      <c r="M1185">
        <f>RAW_DATA!M1185</f>
        <v>5</v>
      </c>
      <c r="N1185">
        <f t="shared" si="36"/>
        <v>0</v>
      </c>
      <c r="O1185" t="str" cm="1">
        <f t="array" ref="O1185" xml:space="preserve"> _xlfn.IFS(A1185 &lt;ASSUMPTIONS!$D$2,"25",A1185 &lt;= ASSUMPTIONS!$D$3,"25-34",A1185 &lt;= ASSUMPTIONS!$D$4, "35-44",A1185 &lt;= ASSUMPTIONS!$D$5,"45-54",TRUE,"55+")</f>
        <v>35-44</v>
      </c>
      <c r="P1185" t="str" cm="1">
        <f t="array" ref="P1185">_xlfn.IFS( J1185 &lt;ASSUMPTIONS!$D$7,"LOW",J1185 &lt;= ASSUMPTIONS!$D$8,"MEDIUM",TRUE, "HIGH")</f>
        <v>MEDIUM</v>
      </c>
      <c r="Q1185" t="str">
        <f>IF(M1185&lt;ASSUMPTIONS!$D$10,"New (0-2)",IF(M1185&lt;=ASSUMPTIONS!$D$11,"Early (2-5)",IF(M1185&lt;=ASSUMPTIONS!$D$12,"Established (5-10)","Veteran (10+)")))</f>
        <v>Early (2-5)</v>
      </c>
      <c r="R1185" s="4">
        <f t="shared" si="37"/>
        <v>2.6666666666666665</v>
      </c>
    </row>
    <row r="1186" spans="1:18">
      <c r="A1186">
        <f>RAW_DATA!A1186</f>
        <v>54</v>
      </c>
      <c r="B1186" t="str">
        <f>RAW_DATA!B1186</f>
        <v>No</v>
      </c>
      <c r="C1186" t="str">
        <f>RAW_DATA!C1186</f>
        <v>Research &amp; Development</v>
      </c>
      <c r="D1186">
        <f>RAW_DATA!D1186</f>
        <v>22</v>
      </c>
      <c r="E1186">
        <f>RAW_DATA!E1186</f>
        <v>5</v>
      </c>
      <c r="F1186" t="str">
        <f>RAW_DATA!F1186</f>
        <v>Medical</v>
      </c>
      <c r="G1186">
        <f>RAW_DATA!G1186</f>
        <v>2</v>
      </c>
      <c r="H1186">
        <f>RAW_DATA!H1186</f>
        <v>3</v>
      </c>
      <c r="I1186" t="str">
        <f>RAW_DATA!I1186</f>
        <v>Married</v>
      </c>
      <c r="J1186">
        <f>RAW_DATA!J1186</f>
        <v>17426</v>
      </c>
      <c r="K1186">
        <f>RAW_DATA!K1186</f>
        <v>3</v>
      </c>
      <c r="L1186">
        <f>RAW_DATA!L1186</f>
        <v>3</v>
      </c>
      <c r="M1186">
        <f>RAW_DATA!M1186</f>
        <v>10</v>
      </c>
      <c r="N1186">
        <f t="shared" si="36"/>
        <v>0</v>
      </c>
      <c r="O1186" t="str" cm="1">
        <f t="array" ref="O1186" xml:space="preserve"> _xlfn.IFS(A1186 &lt;ASSUMPTIONS!$D$2,"25",A1186 &lt;= ASSUMPTIONS!$D$3,"25-34",A1186 &lt;= ASSUMPTIONS!$D$4, "35-44",A1186 &lt;= ASSUMPTIONS!$D$5,"45-54",TRUE,"55+")</f>
        <v>45-54</v>
      </c>
      <c r="P1186" t="str" cm="1">
        <f t="array" ref="P1186">_xlfn.IFS( J1186 &lt;ASSUMPTIONS!$D$7,"LOW",J1186 &lt;= ASSUMPTIONS!$D$8,"MEDIUM",TRUE, "HIGH")</f>
        <v>HIGH</v>
      </c>
      <c r="Q1186" t="str">
        <f>IF(M1186&lt;ASSUMPTIONS!$D$10,"New (0-2)",IF(M1186&lt;=ASSUMPTIONS!$D$11,"Early (2-5)",IF(M1186&lt;=ASSUMPTIONS!$D$12,"Established (5-10)","Veteran (10+)")))</f>
        <v>Established (5-10)</v>
      </c>
      <c r="R1186" s="4">
        <f t="shared" si="37"/>
        <v>2.6666666666666665</v>
      </c>
    </row>
    <row r="1187" spans="1:18">
      <c r="A1187">
        <f>RAW_DATA!A1187</f>
        <v>43</v>
      </c>
      <c r="B1187" t="str">
        <f>RAW_DATA!B1187</f>
        <v>No</v>
      </c>
      <c r="C1187" t="str">
        <f>RAW_DATA!C1187</f>
        <v>Research &amp; Development</v>
      </c>
      <c r="D1187">
        <f>RAW_DATA!D1187</f>
        <v>15</v>
      </c>
      <c r="E1187">
        <f>RAW_DATA!E1187</f>
        <v>2</v>
      </c>
      <c r="F1187" t="str">
        <f>RAW_DATA!F1187</f>
        <v>Life Sciences</v>
      </c>
      <c r="G1187">
        <f>RAW_DATA!G1187</f>
        <v>3</v>
      </c>
      <c r="H1187">
        <f>RAW_DATA!H1187</f>
        <v>3</v>
      </c>
      <c r="I1187" t="str">
        <f>RAW_DATA!I1187</f>
        <v>Married</v>
      </c>
      <c r="J1187">
        <f>RAW_DATA!J1187</f>
        <v>17603</v>
      </c>
      <c r="K1187">
        <f>RAW_DATA!K1187</f>
        <v>1</v>
      </c>
      <c r="L1187">
        <f>RAW_DATA!L1187</f>
        <v>3</v>
      </c>
      <c r="M1187">
        <f>RAW_DATA!M1187</f>
        <v>14</v>
      </c>
      <c r="N1187">
        <f t="shared" si="36"/>
        <v>0</v>
      </c>
      <c r="O1187" t="str" cm="1">
        <f t="array" ref="O1187" xml:space="preserve"> _xlfn.IFS(A1187 &lt;ASSUMPTIONS!$D$2,"25",A1187 &lt;= ASSUMPTIONS!$D$3,"25-34",A1187 &lt;= ASSUMPTIONS!$D$4, "35-44",A1187 &lt;= ASSUMPTIONS!$D$5,"45-54",TRUE,"55+")</f>
        <v>35-44</v>
      </c>
      <c r="P1187" t="str" cm="1">
        <f t="array" ref="P1187">_xlfn.IFS( J1187 &lt;ASSUMPTIONS!$D$7,"LOW",J1187 &lt;= ASSUMPTIONS!$D$8,"MEDIUM",TRUE, "HIGH")</f>
        <v>HIGH</v>
      </c>
      <c r="Q1187" t="str">
        <f>IF(M1187&lt;ASSUMPTIONS!$D$10,"New (0-2)",IF(M1187&lt;=ASSUMPTIONS!$D$11,"Early (2-5)",IF(M1187&lt;=ASSUMPTIONS!$D$12,"Established (5-10)","Veteran (10+)")))</f>
        <v>Veteran (10+)</v>
      </c>
      <c r="R1187" s="4">
        <f t="shared" si="37"/>
        <v>3</v>
      </c>
    </row>
    <row r="1188" spans="1:18">
      <c r="A1188">
        <f>RAW_DATA!A1188</f>
        <v>35</v>
      </c>
      <c r="B1188" t="str">
        <f>RAW_DATA!B1188</f>
        <v>Yes</v>
      </c>
      <c r="C1188" t="str">
        <f>RAW_DATA!C1188</f>
        <v>Sales</v>
      </c>
      <c r="D1188">
        <f>RAW_DATA!D1188</f>
        <v>12</v>
      </c>
      <c r="E1188">
        <f>RAW_DATA!E1188</f>
        <v>4</v>
      </c>
      <c r="F1188" t="str">
        <f>RAW_DATA!F1188</f>
        <v>Other</v>
      </c>
      <c r="G1188">
        <f>RAW_DATA!G1188</f>
        <v>4</v>
      </c>
      <c r="H1188">
        <f>RAW_DATA!H1188</f>
        <v>4</v>
      </c>
      <c r="I1188" t="str">
        <f>RAW_DATA!I1188</f>
        <v>Single</v>
      </c>
      <c r="J1188">
        <f>RAW_DATA!J1188</f>
        <v>4581</v>
      </c>
      <c r="K1188">
        <f>RAW_DATA!K1188</f>
        <v>3</v>
      </c>
      <c r="L1188">
        <f>RAW_DATA!L1188</f>
        <v>4</v>
      </c>
      <c r="M1188">
        <f>RAW_DATA!M1188</f>
        <v>11</v>
      </c>
      <c r="N1188">
        <f t="shared" si="36"/>
        <v>1</v>
      </c>
      <c r="O1188" t="str" cm="1">
        <f t="array" ref="O1188" xml:space="preserve"> _xlfn.IFS(A1188 &lt;ASSUMPTIONS!$D$2,"25",A1188 &lt;= ASSUMPTIONS!$D$3,"25-34",A1188 &lt;= ASSUMPTIONS!$D$4, "35-44",A1188 &lt;= ASSUMPTIONS!$D$5,"45-54",TRUE,"55+")</f>
        <v>35-44</v>
      </c>
      <c r="P1188" t="str" cm="1">
        <f t="array" ref="P1188">_xlfn.IFS( J1188 &lt;ASSUMPTIONS!$D$7,"LOW",J1188 &lt;= ASSUMPTIONS!$D$8,"MEDIUM",TRUE, "HIGH")</f>
        <v>MEDIUM</v>
      </c>
      <c r="Q1188" t="str">
        <f>IF(M1188&lt;ASSUMPTIONS!$D$10,"New (0-2)",IF(M1188&lt;=ASSUMPTIONS!$D$11,"Early (2-5)",IF(M1188&lt;=ASSUMPTIONS!$D$12,"Established (5-10)","Veteran (10+)")))</f>
        <v>Veteran (10+)</v>
      </c>
      <c r="R1188" s="4">
        <f t="shared" si="37"/>
        <v>4</v>
      </c>
    </row>
    <row r="1189" spans="1:18">
      <c r="A1189">
        <f>RAW_DATA!A1189</f>
        <v>38</v>
      </c>
      <c r="B1189" t="str">
        <f>RAW_DATA!B1189</f>
        <v>No</v>
      </c>
      <c r="C1189" t="str">
        <f>RAW_DATA!C1189</f>
        <v>Research &amp; Development</v>
      </c>
      <c r="D1189">
        <f>RAW_DATA!D1189</f>
        <v>1</v>
      </c>
      <c r="E1189">
        <f>RAW_DATA!E1189</f>
        <v>3</v>
      </c>
      <c r="F1189" t="str">
        <f>RAW_DATA!F1189</f>
        <v>Life Sciences</v>
      </c>
      <c r="G1189">
        <f>RAW_DATA!G1189</f>
        <v>4</v>
      </c>
      <c r="H1189">
        <f>RAW_DATA!H1189</f>
        <v>4</v>
      </c>
      <c r="I1189" t="str">
        <f>RAW_DATA!I1189</f>
        <v>Married</v>
      </c>
      <c r="J1189">
        <f>RAW_DATA!J1189</f>
        <v>4735</v>
      </c>
      <c r="K1189">
        <f>RAW_DATA!K1189</f>
        <v>7</v>
      </c>
      <c r="L1189">
        <f>RAW_DATA!L1189</f>
        <v>4</v>
      </c>
      <c r="M1189">
        <f>RAW_DATA!M1189</f>
        <v>13</v>
      </c>
      <c r="N1189">
        <f t="shared" si="36"/>
        <v>0</v>
      </c>
      <c r="O1189" t="str" cm="1">
        <f t="array" ref="O1189" xml:space="preserve"> _xlfn.IFS(A1189 &lt;ASSUMPTIONS!$D$2,"25",A1189 &lt;= ASSUMPTIONS!$D$3,"25-34",A1189 &lt;= ASSUMPTIONS!$D$4, "35-44",A1189 &lt;= ASSUMPTIONS!$D$5,"45-54",TRUE,"55+")</f>
        <v>35-44</v>
      </c>
      <c r="P1189" t="str" cm="1">
        <f t="array" ref="P1189">_xlfn.IFS( J1189 &lt;ASSUMPTIONS!$D$7,"LOW",J1189 &lt;= ASSUMPTIONS!$D$8,"MEDIUM",TRUE, "HIGH")</f>
        <v>MEDIUM</v>
      </c>
      <c r="Q1189" t="str">
        <f>IF(M1189&lt;ASSUMPTIONS!$D$10,"New (0-2)",IF(M1189&lt;=ASSUMPTIONS!$D$11,"Early (2-5)",IF(M1189&lt;=ASSUMPTIONS!$D$12,"Established (5-10)","Veteran (10+)")))</f>
        <v>Veteran (10+)</v>
      </c>
      <c r="R1189" s="4">
        <f t="shared" si="37"/>
        <v>4</v>
      </c>
    </row>
    <row r="1190" spans="1:18">
      <c r="A1190">
        <f>RAW_DATA!A1190</f>
        <v>29</v>
      </c>
      <c r="B1190" t="str">
        <f>RAW_DATA!B1190</f>
        <v>No</v>
      </c>
      <c r="C1190" t="str">
        <f>RAW_DATA!C1190</f>
        <v>Sales</v>
      </c>
      <c r="D1190">
        <f>RAW_DATA!D1190</f>
        <v>5</v>
      </c>
      <c r="E1190">
        <f>RAW_DATA!E1190</f>
        <v>3</v>
      </c>
      <c r="F1190" t="str">
        <f>RAW_DATA!F1190</f>
        <v>Medical</v>
      </c>
      <c r="G1190">
        <f>RAW_DATA!G1190</f>
        <v>1</v>
      </c>
      <c r="H1190">
        <f>RAW_DATA!H1190</f>
        <v>2</v>
      </c>
      <c r="I1190" t="str">
        <f>RAW_DATA!I1190</f>
        <v>Divorced</v>
      </c>
      <c r="J1190">
        <f>RAW_DATA!J1190</f>
        <v>4187</v>
      </c>
      <c r="K1190">
        <f>RAW_DATA!K1190</f>
        <v>1</v>
      </c>
      <c r="L1190">
        <f>RAW_DATA!L1190</f>
        <v>2</v>
      </c>
      <c r="M1190">
        <f>RAW_DATA!M1190</f>
        <v>10</v>
      </c>
      <c r="N1190">
        <f t="shared" si="36"/>
        <v>0</v>
      </c>
      <c r="O1190" t="str" cm="1">
        <f t="array" ref="O1190" xml:space="preserve"> _xlfn.IFS(A1190 &lt;ASSUMPTIONS!$D$2,"25",A1190 &lt;= ASSUMPTIONS!$D$3,"25-34",A1190 &lt;= ASSUMPTIONS!$D$4, "35-44",A1190 &lt;= ASSUMPTIONS!$D$5,"45-54",TRUE,"55+")</f>
        <v>25-34</v>
      </c>
      <c r="P1190" t="str" cm="1">
        <f t="array" ref="P1190">_xlfn.IFS( J1190 &lt;ASSUMPTIONS!$D$7,"LOW",J1190 &lt;= ASSUMPTIONS!$D$8,"MEDIUM",TRUE, "HIGH")</f>
        <v>MEDIUM</v>
      </c>
      <c r="Q1190" t="str">
        <f>IF(M1190&lt;ASSUMPTIONS!$D$10,"New (0-2)",IF(M1190&lt;=ASSUMPTIONS!$D$11,"Early (2-5)",IF(M1190&lt;=ASSUMPTIONS!$D$12,"Established (5-10)","Veteran (10+)")))</f>
        <v>Established (5-10)</v>
      </c>
      <c r="R1190" s="4">
        <f t="shared" si="37"/>
        <v>1.6666666666666667</v>
      </c>
    </row>
    <row r="1191" spans="1:18">
      <c r="A1191">
        <f>RAW_DATA!A1191</f>
        <v>33</v>
      </c>
      <c r="B1191" t="str">
        <f>RAW_DATA!B1191</f>
        <v>No</v>
      </c>
      <c r="C1191" t="str">
        <f>RAW_DATA!C1191</f>
        <v>Sales</v>
      </c>
      <c r="D1191">
        <f>RAW_DATA!D1191</f>
        <v>2</v>
      </c>
      <c r="E1191">
        <f>RAW_DATA!E1191</f>
        <v>4</v>
      </c>
      <c r="F1191" t="str">
        <f>RAW_DATA!F1191</f>
        <v>Medical</v>
      </c>
      <c r="G1191">
        <f>RAW_DATA!G1191</f>
        <v>4</v>
      </c>
      <c r="H1191">
        <f>RAW_DATA!H1191</f>
        <v>4</v>
      </c>
      <c r="I1191" t="str">
        <f>RAW_DATA!I1191</f>
        <v>Divorced</v>
      </c>
      <c r="J1191">
        <f>RAW_DATA!J1191</f>
        <v>5505</v>
      </c>
      <c r="K1191">
        <f>RAW_DATA!K1191</f>
        <v>1</v>
      </c>
      <c r="L1191">
        <f>RAW_DATA!L1191</f>
        <v>3</v>
      </c>
      <c r="M1191">
        <f>RAW_DATA!M1191</f>
        <v>6</v>
      </c>
      <c r="N1191">
        <f t="shared" si="36"/>
        <v>0</v>
      </c>
      <c r="O1191" t="str" cm="1">
        <f t="array" ref="O1191" xml:space="preserve"> _xlfn.IFS(A1191 &lt;ASSUMPTIONS!$D$2,"25",A1191 &lt;= ASSUMPTIONS!$D$3,"25-34",A1191 &lt;= ASSUMPTIONS!$D$4, "35-44",A1191 &lt;= ASSUMPTIONS!$D$5,"45-54",TRUE,"55+")</f>
        <v>25-34</v>
      </c>
      <c r="P1191" t="str" cm="1">
        <f t="array" ref="P1191">_xlfn.IFS( J1191 &lt;ASSUMPTIONS!$D$7,"LOW",J1191 &lt;= ASSUMPTIONS!$D$8,"MEDIUM",TRUE, "HIGH")</f>
        <v>MEDIUM</v>
      </c>
      <c r="Q1191" t="str">
        <f>IF(M1191&lt;ASSUMPTIONS!$D$10,"New (0-2)",IF(M1191&lt;=ASSUMPTIONS!$D$11,"Early (2-5)",IF(M1191&lt;=ASSUMPTIONS!$D$12,"Established (5-10)","Veteran (10+)")))</f>
        <v>Established (5-10)</v>
      </c>
      <c r="R1191" s="4">
        <f t="shared" si="37"/>
        <v>3.6666666666666665</v>
      </c>
    </row>
    <row r="1192" spans="1:18">
      <c r="A1192">
        <f>RAW_DATA!A1192</f>
        <v>32</v>
      </c>
      <c r="B1192" t="str">
        <f>RAW_DATA!B1192</f>
        <v>No</v>
      </c>
      <c r="C1192" t="str">
        <f>RAW_DATA!C1192</f>
        <v>Research &amp; Development</v>
      </c>
      <c r="D1192">
        <f>RAW_DATA!D1192</f>
        <v>2</v>
      </c>
      <c r="E1192">
        <f>RAW_DATA!E1192</f>
        <v>3</v>
      </c>
      <c r="F1192" t="str">
        <f>RAW_DATA!F1192</f>
        <v>Medical</v>
      </c>
      <c r="G1192">
        <f>RAW_DATA!G1192</f>
        <v>4</v>
      </c>
      <c r="H1192">
        <f>RAW_DATA!H1192</f>
        <v>2</v>
      </c>
      <c r="I1192" t="str">
        <f>RAW_DATA!I1192</f>
        <v>Divorced</v>
      </c>
      <c r="J1192">
        <f>RAW_DATA!J1192</f>
        <v>5470</v>
      </c>
      <c r="K1192">
        <f>RAW_DATA!K1192</f>
        <v>0</v>
      </c>
      <c r="L1192">
        <f>RAW_DATA!L1192</f>
        <v>2</v>
      </c>
      <c r="M1192">
        <f>RAW_DATA!M1192</f>
        <v>9</v>
      </c>
      <c r="N1192">
        <f t="shared" si="36"/>
        <v>0</v>
      </c>
      <c r="O1192" t="str" cm="1">
        <f t="array" ref="O1192" xml:space="preserve"> _xlfn.IFS(A1192 &lt;ASSUMPTIONS!$D$2,"25",A1192 &lt;= ASSUMPTIONS!$D$3,"25-34",A1192 &lt;= ASSUMPTIONS!$D$4, "35-44",A1192 &lt;= ASSUMPTIONS!$D$5,"45-54",TRUE,"55+")</f>
        <v>25-34</v>
      </c>
      <c r="P1192" t="str" cm="1">
        <f t="array" ref="P1192">_xlfn.IFS( J1192 &lt;ASSUMPTIONS!$D$7,"LOW",J1192 &lt;= ASSUMPTIONS!$D$8,"MEDIUM",TRUE, "HIGH")</f>
        <v>MEDIUM</v>
      </c>
      <c r="Q1192" t="str">
        <f>IF(M1192&lt;ASSUMPTIONS!$D$10,"New (0-2)",IF(M1192&lt;=ASSUMPTIONS!$D$11,"Early (2-5)",IF(M1192&lt;=ASSUMPTIONS!$D$12,"Established (5-10)","Veteran (10+)")))</f>
        <v>Established (5-10)</v>
      </c>
      <c r="R1192" s="4">
        <f t="shared" si="37"/>
        <v>2.6666666666666665</v>
      </c>
    </row>
    <row r="1193" spans="1:18">
      <c r="A1193">
        <f>RAW_DATA!A1193</f>
        <v>31</v>
      </c>
      <c r="B1193" t="str">
        <f>RAW_DATA!B1193</f>
        <v>No</v>
      </c>
      <c r="C1193" t="str">
        <f>RAW_DATA!C1193</f>
        <v>Sales</v>
      </c>
      <c r="D1193">
        <f>RAW_DATA!D1193</f>
        <v>5</v>
      </c>
      <c r="E1193">
        <f>RAW_DATA!E1193</f>
        <v>4</v>
      </c>
      <c r="F1193" t="str">
        <f>RAW_DATA!F1193</f>
        <v>Life Sciences</v>
      </c>
      <c r="G1193">
        <f>RAW_DATA!G1193</f>
        <v>1</v>
      </c>
      <c r="H1193">
        <f>RAW_DATA!H1193</f>
        <v>4</v>
      </c>
      <c r="I1193" t="str">
        <f>RAW_DATA!I1193</f>
        <v>Married</v>
      </c>
      <c r="J1193">
        <f>RAW_DATA!J1193</f>
        <v>5476</v>
      </c>
      <c r="K1193">
        <f>RAW_DATA!K1193</f>
        <v>1</v>
      </c>
      <c r="L1193">
        <f>RAW_DATA!L1193</f>
        <v>3</v>
      </c>
      <c r="M1193">
        <f>RAW_DATA!M1193</f>
        <v>10</v>
      </c>
      <c r="N1193">
        <f t="shared" si="36"/>
        <v>0</v>
      </c>
      <c r="O1193" t="str" cm="1">
        <f t="array" ref="O1193" xml:space="preserve"> _xlfn.IFS(A1193 &lt;ASSUMPTIONS!$D$2,"25",A1193 &lt;= ASSUMPTIONS!$D$3,"25-34",A1193 &lt;= ASSUMPTIONS!$D$4, "35-44",A1193 &lt;= ASSUMPTIONS!$D$5,"45-54",TRUE,"55+")</f>
        <v>25-34</v>
      </c>
      <c r="P1193" t="str" cm="1">
        <f t="array" ref="P1193">_xlfn.IFS( J1193 &lt;ASSUMPTIONS!$D$7,"LOW",J1193 &lt;= ASSUMPTIONS!$D$8,"MEDIUM",TRUE, "HIGH")</f>
        <v>MEDIUM</v>
      </c>
      <c r="Q1193" t="str">
        <f>IF(M1193&lt;ASSUMPTIONS!$D$10,"New (0-2)",IF(M1193&lt;=ASSUMPTIONS!$D$11,"Early (2-5)",IF(M1193&lt;=ASSUMPTIONS!$D$12,"Established (5-10)","Veteran (10+)")))</f>
        <v>Established (5-10)</v>
      </c>
      <c r="R1193" s="4">
        <f t="shared" si="37"/>
        <v>2.6666666666666665</v>
      </c>
    </row>
    <row r="1194" spans="1:18">
      <c r="A1194">
        <f>RAW_DATA!A1194</f>
        <v>49</v>
      </c>
      <c r="B1194" t="str">
        <f>RAW_DATA!B1194</f>
        <v>No</v>
      </c>
      <c r="C1194" t="str">
        <f>RAW_DATA!C1194</f>
        <v>Research &amp; Development</v>
      </c>
      <c r="D1194">
        <f>RAW_DATA!D1194</f>
        <v>16</v>
      </c>
      <c r="E1194">
        <f>RAW_DATA!E1194</f>
        <v>3</v>
      </c>
      <c r="F1194" t="str">
        <f>RAW_DATA!F1194</f>
        <v>Medical</v>
      </c>
      <c r="G1194">
        <f>RAW_DATA!G1194</f>
        <v>4</v>
      </c>
      <c r="H1194">
        <f>RAW_DATA!H1194</f>
        <v>1</v>
      </c>
      <c r="I1194" t="str">
        <f>RAW_DATA!I1194</f>
        <v>Divorced</v>
      </c>
      <c r="J1194">
        <f>RAW_DATA!J1194</f>
        <v>2587</v>
      </c>
      <c r="K1194">
        <f>RAW_DATA!K1194</f>
        <v>4</v>
      </c>
      <c r="L1194">
        <f>RAW_DATA!L1194</f>
        <v>2</v>
      </c>
      <c r="M1194">
        <f>RAW_DATA!M1194</f>
        <v>2</v>
      </c>
      <c r="N1194">
        <f t="shared" si="36"/>
        <v>0</v>
      </c>
      <c r="O1194" t="str" cm="1">
        <f t="array" ref="O1194" xml:space="preserve"> _xlfn.IFS(A1194 &lt;ASSUMPTIONS!$D$2,"25",A1194 &lt;= ASSUMPTIONS!$D$3,"25-34",A1194 &lt;= ASSUMPTIONS!$D$4, "35-44",A1194 &lt;= ASSUMPTIONS!$D$5,"45-54",TRUE,"55+")</f>
        <v>45-54</v>
      </c>
      <c r="P1194" t="str" cm="1">
        <f t="array" ref="P1194">_xlfn.IFS( J1194 &lt;ASSUMPTIONS!$D$7,"LOW",J1194 &lt;= ASSUMPTIONS!$D$8,"MEDIUM",TRUE, "HIGH")</f>
        <v>LOW</v>
      </c>
      <c r="Q1194" t="str">
        <f>IF(M1194&lt;ASSUMPTIONS!$D$10,"New (0-2)",IF(M1194&lt;=ASSUMPTIONS!$D$11,"Early (2-5)",IF(M1194&lt;=ASSUMPTIONS!$D$12,"Established (5-10)","Veteran (10+)")))</f>
        <v>Early (2-5)</v>
      </c>
      <c r="R1194" s="4">
        <f t="shared" si="37"/>
        <v>2.3333333333333335</v>
      </c>
    </row>
    <row r="1195" spans="1:18">
      <c r="A1195">
        <f>RAW_DATA!A1195</f>
        <v>38</v>
      </c>
      <c r="B1195" t="str">
        <f>RAW_DATA!B1195</f>
        <v>No</v>
      </c>
      <c r="C1195" t="str">
        <f>RAW_DATA!C1195</f>
        <v>Research &amp; Development</v>
      </c>
      <c r="D1195">
        <f>RAW_DATA!D1195</f>
        <v>2</v>
      </c>
      <c r="E1195">
        <f>RAW_DATA!E1195</f>
        <v>3</v>
      </c>
      <c r="F1195" t="str">
        <f>RAW_DATA!F1195</f>
        <v>Medical</v>
      </c>
      <c r="G1195">
        <f>RAW_DATA!G1195</f>
        <v>4</v>
      </c>
      <c r="H1195">
        <f>RAW_DATA!H1195</f>
        <v>2</v>
      </c>
      <c r="I1195" t="str">
        <f>RAW_DATA!I1195</f>
        <v>Single</v>
      </c>
      <c r="J1195">
        <f>RAW_DATA!J1195</f>
        <v>2440</v>
      </c>
      <c r="K1195">
        <f>RAW_DATA!K1195</f>
        <v>1</v>
      </c>
      <c r="L1195">
        <f>RAW_DATA!L1195</f>
        <v>3</v>
      </c>
      <c r="M1195">
        <f>RAW_DATA!M1195</f>
        <v>4</v>
      </c>
      <c r="N1195">
        <f t="shared" si="36"/>
        <v>0</v>
      </c>
      <c r="O1195" t="str" cm="1">
        <f t="array" ref="O1195" xml:space="preserve"> _xlfn.IFS(A1195 &lt;ASSUMPTIONS!$D$2,"25",A1195 &lt;= ASSUMPTIONS!$D$3,"25-34",A1195 &lt;= ASSUMPTIONS!$D$4, "35-44",A1195 &lt;= ASSUMPTIONS!$D$5,"45-54",TRUE,"55+")</f>
        <v>35-44</v>
      </c>
      <c r="P1195" t="str" cm="1">
        <f t="array" ref="P1195">_xlfn.IFS( J1195 &lt;ASSUMPTIONS!$D$7,"LOW",J1195 &lt;= ASSUMPTIONS!$D$8,"MEDIUM",TRUE, "HIGH")</f>
        <v>LOW</v>
      </c>
      <c r="Q1195" t="str">
        <f>IF(M1195&lt;ASSUMPTIONS!$D$10,"New (0-2)",IF(M1195&lt;=ASSUMPTIONS!$D$11,"Early (2-5)",IF(M1195&lt;=ASSUMPTIONS!$D$12,"Established (5-10)","Veteran (10+)")))</f>
        <v>Early (2-5)</v>
      </c>
      <c r="R1195" s="4">
        <f t="shared" si="37"/>
        <v>3</v>
      </c>
    </row>
    <row r="1196" spans="1:18">
      <c r="A1196">
        <f>RAW_DATA!A1196</f>
        <v>47</v>
      </c>
      <c r="B1196" t="str">
        <f>RAW_DATA!B1196</f>
        <v>No</v>
      </c>
      <c r="C1196" t="str">
        <f>RAW_DATA!C1196</f>
        <v>Sales</v>
      </c>
      <c r="D1196">
        <f>RAW_DATA!D1196</f>
        <v>2</v>
      </c>
      <c r="E1196">
        <f>RAW_DATA!E1196</f>
        <v>4</v>
      </c>
      <c r="F1196" t="str">
        <f>RAW_DATA!F1196</f>
        <v>Life Sciences</v>
      </c>
      <c r="G1196">
        <f>RAW_DATA!G1196</f>
        <v>2</v>
      </c>
      <c r="H1196">
        <f>RAW_DATA!H1196</f>
        <v>2</v>
      </c>
      <c r="I1196" t="str">
        <f>RAW_DATA!I1196</f>
        <v>Divorced</v>
      </c>
      <c r="J1196">
        <f>RAW_DATA!J1196</f>
        <v>15972</v>
      </c>
      <c r="K1196">
        <f>RAW_DATA!K1196</f>
        <v>6</v>
      </c>
      <c r="L1196">
        <f>RAW_DATA!L1196</f>
        <v>3</v>
      </c>
      <c r="M1196">
        <f>RAW_DATA!M1196</f>
        <v>3</v>
      </c>
      <c r="N1196">
        <f t="shared" si="36"/>
        <v>0</v>
      </c>
      <c r="O1196" t="str" cm="1">
        <f t="array" ref="O1196" xml:space="preserve"> _xlfn.IFS(A1196 &lt;ASSUMPTIONS!$D$2,"25",A1196 &lt;= ASSUMPTIONS!$D$3,"25-34",A1196 &lt;= ASSUMPTIONS!$D$4, "35-44",A1196 &lt;= ASSUMPTIONS!$D$5,"45-54",TRUE,"55+")</f>
        <v>45-54</v>
      </c>
      <c r="P1196" t="str" cm="1">
        <f t="array" ref="P1196">_xlfn.IFS( J1196 &lt;ASSUMPTIONS!$D$7,"LOW",J1196 &lt;= ASSUMPTIONS!$D$8,"MEDIUM",TRUE, "HIGH")</f>
        <v>HIGH</v>
      </c>
      <c r="Q1196" t="str">
        <f>IF(M1196&lt;ASSUMPTIONS!$D$10,"New (0-2)",IF(M1196&lt;=ASSUMPTIONS!$D$11,"Early (2-5)",IF(M1196&lt;=ASSUMPTIONS!$D$12,"Established (5-10)","Veteran (10+)")))</f>
        <v>Early (2-5)</v>
      </c>
      <c r="R1196" s="4">
        <f t="shared" si="37"/>
        <v>2.3333333333333335</v>
      </c>
    </row>
    <row r="1197" spans="1:18">
      <c r="A1197">
        <f>RAW_DATA!A1197</f>
        <v>49</v>
      </c>
      <c r="B1197" t="str">
        <f>RAW_DATA!B1197</f>
        <v>No</v>
      </c>
      <c r="C1197" t="str">
        <f>RAW_DATA!C1197</f>
        <v>Research &amp; Development</v>
      </c>
      <c r="D1197">
        <f>RAW_DATA!D1197</f>
        <v>1</v>
      </c>
      <c r="E1197">
        <f>RAW_DATA!E1197</f>
        <v>3</v>
      </c>
      <c r="F1197" t="str">
        <f>RAW_DATA!F1197</f>
        <v>Life Sciences</v>
      </c>
      <c r="G1197">
        <f>RAW_DATA!G1197</f>
        <v>3</v>
      </c>
      <c r="H1197">
        <f>RAW_DATA!H1197</f>
        <v>3</v>
      </c>
      <c r="I1197" t="str">
        <f>RAW_DATA!I1197</f>
        <v>Single</v>
      </c>
      <c r="J1197">
        <f>RAW_DATA!J1197</f>
        <v>15379</v>
      </c>
      <c r="K1197">
        <f>RAW_DATA!K1197</f>
        <v>4</v>
      </c>
      <c r="L1197">
        <f>RAW_DATA!L1197</f>
        <v>3</v>
      </c>
      <c r="M1197">
        <f>RAW_DATA!M1197</f>
        <v>8</v>
      </c>
      <c r="N1197">
        <f t="shared" si="36"/>
        <v>0</v>
      </c>
      <c r="O1197" t="str" cm="1">
        <f t="array" ref="O1197" xml:space="preserve"> _xlfn.IFS(A1197 &lt;ASSUMPTIONS!$D$2,"25",A1197 &lt;= ASSUMPTIONS!$D$3,"25-34",A1197 &lt;= ASSUMPTIONS!$D$4, "35-44",A1197 &lt;= ASSUMPTIONS!$D$5,"45-54",TRUE,"55+")</f>
        <v>45-54</v>
      </c>
      <c r="P1197" t="str" cm="1">
        <f t="array" ref="P1197">_xlfn.IFS( J1197 &lt;ASSUMPTIONS!$D$7,"LOW",J1197 &lt;= ASSUMPTIONS!$D$8,"MEDIUM",TRUE, "HIGH")</f>
        <v>HIGH</v>
      </c>
      <c r="Q1197" t="str">
        <f>IF(M1197&lt;ASSUMPTIONS!$D$10,"New (0-2)",IF(M1197&lt;=ASSUMPTIONS!$D$11,"Early (2-5)",IF(M1197&lt;=ASSUMPTIONS!$D$12,"Established (5-10)","Veteran (10+)")))</f>
        <v>Established (5-10)</v>
      </c>
      <c r="R1197" s="4">
        <f t="shared" si="37"/>
        <v>3</v>
      </c>
    </row>
    <row r="1198" spans="1:18">
      <c r="A1198">
        <f>RAW_DATA!A1198</f>
        <v>41</v>
      </c>
      <c r="B1198" t="str">
        <f>RAW_DATA!B1198</f>
        <v>No</v>
      </c>
      <c r="C1198" t="str">
        <f>RAW_DATA!C1198</f>
        <v>Sales</v>
      </c>
      <c r="D1198">
        <f>RAW_DATA!D1198</f>
        <v>23</v>
      </c>
      <c r="E1198">
        <f>RAW_DATA!E1198</f>
        <v>2</v>
      </c>
      <c r="F1198" t="str">
        <f>RAW_DATA!F1198</f>
        <v>Life Sciences</v>
      </c>
      <c r="G1198">
        <f>RAW_DATA!G1198</f>
        <v>4</v>
      </c>
      <c r="H1198">
        <f>RAW_DATA!H1198</f>
        <v>3</v>
      </c>
      <c r="I1198" t="str">
        <f>RAW_DATA!I1198</f>
        <v>Single</v>
      </c>
      <c r="J1198">
        <f>RAW_DATA!J1198</f>
        <v>7082</v>
      </c>
      <c r="K1198">
        <f>RAW_DATA!K1198</f>
        <v>3</v>
      </c>
      <c r="L1198">
        <f>RAW_DATA!L1198</f>
        <v>3</v>
      </c>
      <c r="M1198">
        <f>RAW_DATA!M1198</f>
        <v>2</v>
      </c>
      <c r="N1198">
        <f t="shared" si="36"/>
        <v>0</v>
      </c>
      <c r="O1198" t="str" cm="1">
        <f t="array" ref="O1198" xml:space="preserve"> _xlfn.IFS(A1198 &lt;ASSUMPTIONS!$D$2,"25",A1198 &lt;= ASSUMPTIONS!$D$3,"25-34",A1198 &lt;= ASSUMPTIONS!$D$4, "35-44",A1198 &lt;= ASSUMPTIONS!$D$5,"45-54",TRUE,"55+")</f>
        <v>35-44</v>
      </c>
      <c r="P1198" t="str" cm="1">
        <f t="array" ref="P1198">_xlfn.IFS( J1198 &lt;ASSUMPTIONS!$D$7,"LOW",J1198 &lt;= ASSUMPTIONS!$D$8,"MEDIUM",TRUE, "HIGH")</f>
        <v>HIGH</v>
      </c>
      <c r="Q1198" t="str">
        <f>IF(M1198&lt;ASSUMPTIONS!$D$10,"New (0-2)",IF(M1198&lt;=ASSUMPTIONS!$D$11,"Early (2-5)",IF(M1198&lt;=ASSUMPTIONS!$D$12,"Established (5-10)","Veteran (10+)")))</f>
        <v>Early (2-5)</v>
      </c>
      <c r="R1198" s="4">
        <f t="shared" si="37"/>
        <v>3.3333333333333335</v>
      </c>
    </row>
    <row r="1199" spans="1:18">
      <c r="A1199">
        <f>RAW_DATA!A1199</f>
        <v>20</v>
      </c>
      <c r="B1199" t="str">
        <f>RAW_DATA!B1199</f>
        <v>No</v>
      </c>
      <c r="C1199" t="str">
        <f>RAW_DATA!C1199</f>
        <v>Sales</v>
      </c>
      <c r="D1199">
        <f>RAW_DATA!D1199</f>
        <v>9</v>
      </c>
      <c r="E1199">
        <f>RAW_DATA!E1199</f>
        <v>1</v>
      </c>
      <c r="F1199" t="str">
        <f>RAW_DATA!F1199</f>
        <v>Life Sciences</v>
      </c>
      <c r="G1199">
        <f>RAW_DATA!G1199</f>
        <v>4</v>
      </c>
      <c r="H1199">
        <f>RAW_DATA!H1199</f>
        <v>1</v>
      </c>
      <c r="I1199" t="str">
        <f>RAW_DATA!I1199</f>
        <v>Single</v>
      </c>
      <c r="J1199">
        <f>RAW_DATA!J1199</f>
        <v>2728</v>
      </c>
      <c r="K1199">
        <f>RAW_DATA!K1199</f>
        <v>1</v>
      </c>
      <c r="L1199">
        <f>RAW_DATA!L1199</f>
        <v>3</v>
      </c>
      <c r="M1199">
        <f>RAW_DATA!M1199</f>
        <v>2</v>
      </c>
      <c r="N1199">
        <f t="shared" si="36"/>
        <v>0</v>
      </c>
      <c r="O1199" t="str" cm="1">
        <f t="array" ref="O1199" xml:space="preserve"> _xlfn.IFS(A1199 &lt;ASSUMPTIONS!$D$2,"25",A1199 &lt;= ASSUMPTIONS!$D$3,"25-34",A1199 &lt;= ASSUMPTIONS!$D$4, "35-44",A1199 &lt;= ASSUMPTIONS!$D$5,"45-54",TRUE,"55+")</f>
        <v>25</v>
      </c>
      <c r="P1199" t="str" cm="1">
        <f t="array" ref="P1199">_xlfn.IFS( J1199 &lt;ASSUMPTIONS!$D$7,"LOW",J1199 &lt;= ASSUMPTIONS!$D$8,"MEDIUM",TRUE, "HIGH")</f>
        <v>LOW</v>
      </c>
      <c r="Q1199" t="str">
        <f>IF(M1199&lt;ASSUMPTIONS!$D$10,"New (0-2)",IF(M1199&lt;=ASSUMPTIONS!$D$11,"Early (2-5)",IF(M1199&lt;=ASSUMPTIONS!$D$12,"Established (5-10)","Veteran (10+)")))</f>
        <v>Early (2-5)</v>
      </c>
      <c r="R1199" s="4">
        <f t="shared" si="37"/>
        <v>2.6666666666666665</v>
      </c>
    </row>
    <row r="1200" spans="1:18">
      <c r="A1200">
        <f>RAW_DATA!A1200</f>
        <v>33</v>
      </c>
      <c r="B1200" t="str">
        <f>RAW_DATA!B1200</f>
        <v>No</v>
      </c>
      <c r="C1200" t="str">
        <f>RAW_DATA!C1200</f>
        <v>Sales</v>
      </c>
      <c r="D1200">
        <f>RAW_DATA!D1200</f>
        <v>16</v>
      </c>
      <c r="E1200">
        <f>RAW_DATA!E1200</f>
        <v>3</v>
      </c>
      <c r="F1200" t="str">
        <f>RAW_DATA!F1200</f>
        <v>Life Sciences</v>
      </c>
      <c r="G1200">
        <f>RAW_DATA!G1200</f>
        <v>3</v>
      </c>
      <c r="H1200">
        <f>RAW_DATA!H1200</f>
        <v>4</v>
      </c>
      <c r="I1200" t="str">
        <f>RAW_DATA!I1200</f>
        <v>Divorced</v>
      </c>
      <c r="J1200">
        <f>RAW_DATA!J1200</f>
        <v>5368</v>
      </c>
      <c r="K1200">
        <f>RAW_DATA!K1200</f>
        <v>1</v>
      </c>
      <c r="L1200">
        <f>RAW_DATA!L1200</f>
        <v>3</v>
      </c>
      <c r="M1200">
        <f>RAW_DATA!M1200</f>
        <v>6</v>
      </c>
      <c r="N1200">
        <f t="shared" si="36"/>
        <v>0</v>
      </c>
      <c r="O1200" t="str" cm="1">
        <f t="array" ref="O1200" xml:space="preserve"> _xlfn.IFS(A1200 &lt;ASSUMPTIONS!$D$2,"25",A1200 &lt;= ASSUMPTIONS!$D$3,"25-34",A1200 &lt;= ASSUMPTIONS!$D$4, "35-44",A1200 &lt;= ASSUMPTIONS!$D$5,"45-54",TRUE,"55+")</f>
        <v>25-34</v>
      </c>
      <c r="P1200" t="str" cm="1">
        <f t="array" ref="P1200">_xlfn.IFS( J1200 &lt;ASSUMPTIONS!$D$7,"LOW",J1200 &lt;= ASSUMPTIONS!$D$8,"MEDIUM",TRUE, "HIGH")</f>
        <v>MEDIUM</v>
      </c>
      <c r="Q1200" t="str">
        <f>IF(M1200&lt;ASSUMPTIONS!$D$10,"New (0-2)",IF(M1200&lt;=ASSUMPTIONS!$D$11,"Early (2-5)",IF(M1200&lt;=ASSUMPTIONS!$D$12,"Established (5-10)","Veteran (10+)")))</f>
        <v>Established (5-10)</v>
      </c>
      <c r="R1200" s="4">
        <f t="shared" si="37"/>
        <v>3.3333333333333335</v>
      </c>
    </row>
    <row r="1201" spans="1:18">
      <c r="A1201">
        <f>RAW_DATA!A1201</f>
        <v>36</v>
      </c>
      <c r="B1201" t="str">
        <f>RAW_DATA!B1201</f>
        <v>No</v>
      </c>
      <c r="C1201" t="str">
        <f>RAW_DATA!C1201</f>
        <v>Research &amp; Development</v>
      </c>
      <c r="D1201">
        <f>RAW_DATA!D1201</f>
        <v>26</v>
      </c>
      <c r="E1201">
        <f>RAW_DATA!E1201</f>
        <v>4</v>
      </c>
      <c r="F1201" t="str">
        <f>RAW_DATA!F1201</f>
        <v>Life Sciences</v>
      </c>
      <c r="G1201">
        <f>RAW_DATA!G1201</f>
        <v>1</v>
      </c>
      <c r="H1201">
        <f>RAW_DATA!H1201</f>
        <v>3</v>
      </c>
      <c r="I1201" t="str">
        <f>RAW_DATA!I1201</f>
        <v>Married</v>
      </c>
      <c r="J1201">
        <f>RAW_DATA!J1201</f>
        <v>5347</v>
      </c>
      <c r="K1201">
        <f>RAW_DATA!K1201</f>
        <v>6</v>
      </c>
      <c r="L1201">
        <f>RAW_DATA!L1201</f>
        <v>2</v>
      </c>
      <c r="M1201">
        <f>RAW_DATA!M1201</f>
        <v>3</v>
      </c>
      <c r="N1201">
        <f t="shared" si="36"/>
        <v>0</v>
      </c>
      <c r="O1201" t="str" cm="1">
        <f t="array" ref="O1201" xml:space="preserve"> _xlfn.IFS(A1201 &lt;ASSUMPTIONS!$D$2,"25",A1201 &lt;= ASSUMPTIONS!$D$3,"25-34",A1201 &lt;= ASSUMPTIONS!$D$4, "35-44",A1201 &lt;= ASSUMPTIONS!$D$5,"45-54",TRUE,"55+")</f>
        <v>35-44</v>
      </c>
      <c r="P1201" t="str" cm="1">
        <f t="array" ref="P1201">_xlfn.IFS( J1201 &lt;ASSUMPTIONS!$D$7,"LOW",J1201 &lt;= ASSUMPTIONS!$D$8,"MEDIUM",TRUE, "HIGH")</f>
        <v>MEDIUM</v>
      </c>
      <c r="Q1201" t="str">
        <f>IF(M1201&lt;ASSUMPTIONS!$D$10,"New (0-2)",IF(M1201&lt;=ASSUMPTIONS!$D$11,"Early (2-5)",IF(M1201&lt;=ASSUMPTIONS!$D$12,"Established (5-10)","Veteran (10+)")))</f>
        <v>Early (2-5)</v>
      </c>
      <c r="R1201" s="4">
        <f t="shared" si="37"/>
        <v>2</v>
      </c>
    </row>
    <row r="1202" spans="1:18">
      <c r="A1202">
        <f>RAW_DATA!A1202</f>
        <v>44</v>
      </c>
      <c r="B1202" t="str">
        <f>RAW_DATA!B1202</f>
        <v>No</v>
      </c>
      <c r="C1202" t="str">
        <f>RAW_DATA!C1202</f>
        <v>Human Resources</v>
      </c>
      <c r="D1202">
        <f>RAW_DATA!D1202</f>
        <v>1</v>
      </c>
      <c r="E1202">
        <f>RAW_DATA!E1202</f>
        <v>3</v>
      </c>
      <c r="F1202" t="str">
        <f>RAW_DATA!F1202</f>
        <v>Life Sciences</v>
      </c>
      <c r="G1202">
        <f>RAW_DATA!G1202</f>
        <v>3</v>
      </c>
      <c r="H1202">
        <f>RAW_DATA!H1202</f>
        <v>4</v>
      </c>
      <c r="I1202" t="str">
        <f>RAW_DATA!I1202</f>
        <v>Divorced</v>
      </c>
      <c r="J1202">
        <f>RAW_DATA!J1202</f>
        <v>3195</v>
      </c>
      <c r="K1202">
        <f>RAW_DATA!K1202</f>
        <v>4</v>
      </c>
      <c r="L1202">
        <f>RAW_DATA!L1202</f>
        <v>3</v>
      </c>
      <c r="M1202">
        <f>RAW_DATA!M1202</f>
        <v>2</v>
      </c>
      <c r="N1202">
        <f t="shared" si="36"/>
        <v>0</v>
      </c>
      <c r="O1202" t="str" cm="1">
        <f t="array" ref="O1202" xml:space="preserve"> _xlfn.IFS(A1202 &lt;ASSUMPTIONS!$D$2,"25",A1202 &lt;= ASSUMPTIONS!$D$3,"25-34",A1202 &lt;= ASSUMPTIONS!$D$4, "35-44",A1202 &lt;= ASSUMPTIONS!$D$5,"45-54",TRUE,"55+")</f>
        <v>35-44</v>
      </c>
      <c r="P1202" t="str" cm="1">
        <f t="array" ref="P1202">_xlfn.IFS( J1202 &lt;ASSUMPTIONS!$D$7,"LOW",J1202 &lt;= ASSUMPTIONS!$D$8,"MEDIUM",TRUE, "HIGH")</f>
        <v>MEDIUM</v>
      </c>
      <c r="Q1202" t="str">
        <f>IF(M1202&lt;ASSUMPTIONS!$D$10,"New (0-2)",IF(M1202&lt;=ASSUMPTIONS!$D$11,"Early (2-5)",IF(M1202&lt;=ASSUMPTIONS!$D$12,"Established (5-10)","Veteran (10+)")))</f>
        <v>Early (2-5)</v>
      </c>
      <c r="R1202" s="4">
        <f t="shared" si="37"/>
        <v>3.3333333333333335</v>
      </c>
    </row>
    <row r="1203" spans="1:18">
      <c r="A1203">
        <f>RAW_DATA!A1203</f>
        <v>23</v>
      </c>
      <c r="B1203" t="str">
        <f>RAW_DATA!B1203</f>
        <v>Yes</v>
      </c>
      <c r="C1203" t="str">
        <f>RAW_DATA!C1203</f>
        <v>Research &amp; Development</v>
      </c>
      <c r="D1203">
        <f>RAW_DATA!D1203</f>
        <v>8</v>
      </c>
      <c r="E1203">
        <f>RAW_DATA!E1203</f>
        <v>1</v>
      </c>
      <c r="F1203" t="str">
        <f>RAW_DATA!F1203</f>
        <v>Medical</v>
      </c>
      <c r="G1203">
        <f>RAW_DATA!G1203</f>
        <v>4</v>
      </c>
      <c r="H1203">
        <f>RAW_DATA!H1203</f>
        <v>3</v>
      </c>
      <c r="I1203" t="str">
        <f>RAW_DATA!I1203</f>
        <v>Single</v>
      </c>
      <c r="J1203">
        <f>RAW_DATA!J1203</f>
        <v>3989</v>
      </c>
      <c r="K1203">
        <f>RAW_DATA!K1203</f>
        <v>1</v>
      </c>
      <c r="L1203">
        <f>RAW_DATA!L1203</f>
        <v>3</v>
      </c>
      <c r="M1203">
        <f>RAW_DATA!M1203</f>
        <v>5</v>
      </c>
      <c r="N1203">
        <f t="shared" si="36"/>
        <v>1</v>
      </c>
      <c r="O1203" t="str" cm="1">
        <f t="array" ref="O1203" xml:space="preserve"> _xlfn.IFS(A1203 &lt;ASSUMPTIONS!$D$2,"25",A1203 &lt;= ASSUMPTIONS!$D$3,"25-34",A1203 &lt;= ASSUMPTIONS!$D$4, "35-44",A1203 &lt;= ASSUMPTIONS!$D$5,"45-54",TRUE,"55+")</f>
        <v>25</v>
      </c>
      <c r="P1203" t="str" cm="1">
        <f t="array" ref="P1203">_xlfn.IFS( J1203 &lt;ASSUMPTIONS!$D$7,"LOW",J1203 &lt;= ASSUMPTIONS!$D$8,"MEDIUM",TRUE, "HIGH")</f>
        <v>MEDIUM</v>
      </c>
      <c r="Q1203" t="str">
        <f>IF(M1203&lt;ASSUMPTIONS!$D$10,"New (0-2)",IF(M1203&lt;=ASSUMPTIONS!$D$11,"Early (2-5)",IF(M1203&lt;=ASSUMPTIONS!$D$12,"Established (5-10)","Veteran (10+)")))</f>
        <v>Early (2-5)</v>
      </c>
      <c r="R1203" s="4">
        <f t="shared" si="37"/>
        <v>3.3333333333333335</v>
      </c>
    </row>
    <row r="1204" spans="1:18">
      <c r="A1204">
        <f>RAW_DATA!A1204</f>
        <v>38</v>
      </c>
      <c r="B1204" t="str">
        <f>RAW_DATA!B1204</f>
        <v>No</v>
      </c>
      <c r="C1204" t="str">
        <f>RAW_DATA!C1204</f>
        <v>Research &amp; Development</v>
      </c>
      <c r="D1204">
        <f>RAW_DATA!D1204</f>
        <v>4</v>
      </c>
      <c r="E1204">
        <f>RAW_DATA!E1204</f>
        <v>2</v>
      </c>
      <c r="F1204" t="str">
        <f>RAW_DATA!F1204</f>
        <v>Medical</v>
      </c>
      <c r="G1204">
        <f>RAW_DATA!G1204</f>
        <v>4</v>
      </c>
      <c r="H1204">
        <f>RAW_DATA!H1204</f>
        <v>3</v>
      </c>
      <c r="I1204" t="str">
        <f>RAW_DATA!I1204</f>
        <v>Married</v>
      </c>
      <c r="J1204">
        <f>RAW_DATA!J1204</f>
        <v>3306</v>
      </c>
      <c r="K1204">
        <f>RAW_DATA!K1204</f>
        <v>7</v>
      </c>
      <c r="L1204">
        <f>RAW_DATA!L1204</f>
        <v>2</v>
      </c>
      <c r="M1204">
        <f>RAW_DATA!M1204</f>
        <v>0</v>
      </c>
      <c r="N1204">
        <f t="shared" si="36"/>
        <v>0</v>
      </c>
      <c r="O1204" t="str" cm="1">
        <f t="array" ref="O1204" xml:space="preserve"> _xlfn.IFS(A1204 &lt;ASSUMPTIONS!$D$2,"25",A1204 &lt;= ASSUMPTIONS!$D$3,"25-34",A1204 &lt;= ASSUMPTIONS!$D$4, "35-44",A1204 &lt;= ASSUMPTIONS!$D$5,"45-54",TRUE,"55+")</f>
        <v>35-44</v>
      </c>
      <c r="P1204" t="str" cm="1">
        <f t="array" ref="P1204">_xlfn.IFS( J1204 &lt;ASSUMPTIONS!$D$7,"LOW",J1204 &lt;= ASSUMPTIONS!$D$8,"MEDIUM",TRUE, "HIGH")</f>
        <v>MEDIUM</v>
      </c>
      <c r="Q1204" t="str">
        <f>IF(M1204&lt;ASSUMPTIONS!$D$10,"New (0-2)",IF(M1204&lt;=ASSUMPTIONS!$D$11,"Early (2-5)",IF(M1204&lt;=ASSUMPTIONS!$D$12,"Established (5-10)","Veteran (10+)")))</f>
        <v>New (0-2)</v>
      </c>
      <c r="R1204" s="4">
        <f t="shared" si="37"/>
        <v>3</v>
      </c>
    </row>
    <row r="1205" spans="1:18">
      <c r="A1205">
        <f>RAW_DATA!A1205</f>
        <v>53</v>
      </c>
      <c r="B1205" t="str">
        <f>RAW_DATA!B1205</f>
        <v>No</v>
      </c>
      <c r="C1205" t="str">
        <f>RAW_DATA!C1205</f>
        <v>Research &amp; Development</v>
      </c>
      <c r="D1205">
        <f>RAW_DATA!D1205</f>
        <v>24</v>
      </c>
      <c r="E1205">
        <f>RAW_DATA!E1205</f>
        <v>4</v>
      </c>
      <c r="F1205" t="str">
        <f>RAW_DATA!F1205</f>
        <v>Medical</v>
      </c>
      <c r="G1205">
        <f>RAW_DATA!G1205</f>
        <v>2</v>
      </c>
      <c r="H1205">
        <f>RAW_DATA!H1205</f>
        <v>4</v>
      </c>
      <c r="I1205" t="str">
        <f>RAW_DATA!I1205</f>
        <v>Married</v>
      </c>
      <c r="J1205">
        <f>RAW_DATA!J1205</f>
        <v>7005</v>
      </c>
      <c r="K1205">
        <f>RAW_DATA!K1205</f>
        <v>3</v>
      </c>
      <c r="L1205">
        <f>RAW_DATA!L1205</f>
        <v>3</v>
      </c>
      <c r="M1205">
        <f>RAW_DATA!M1205</f>
        <v>4</v>
      </c>
      <c r="N1205">
        <f t="shared" si="36"/>
        <v>0</v>
      </c>
      <c r="O1205" t="str" cm="1">
        <f t="array" ref="O1205" xml:space="preserve"> _xlfn.IFS(A1205 &lt;ASSUMPTIONS!$D$2,"25",A1205 &lt;= ASSUMPTIONS!$D$3,"25-34",A1205 &lt;= ASSUMPTIONS!$D$4, "35-44",A1205 &lt;= ASSUMPTIONS!$D$5,"45-54",TRUE,"55+")</f>
        <v>45-54</v>
      </c>
      <c r="P1205" t="str" cm="1">
        <f t="array" ref="P1205">_xlfn.IFS( J1205 &lt;ASSUMPTIONS!$D$7,"LOW",J1205 &lt;= ASSUMPTIONS!$D$8,"MEDIUM",TRUE, "HIGH")</f>
        <v>HIGH</v>
      </c>
      <c r="Q1205" t="str">
        <f>IF(M1205&lt;ASSUMPTIONS!$D$10,"New (0-2)",IF(M1205&lt;=ASSUMPTIONS!$D$11,"Early (2-5)",IF(M1205&lt;=ASSUMPTIONS!$D$12,"Established (5-10)","Veteran (10+)")))</f>
        <v>Early (2-5)</v>
      </c>
      <c r="R1205" s="4">
        <f t="shared" si="37"/>
        <v>3</v>
      </c>
    </row>
    <row r="1206" spans="1:18">
      <c r="A1206">
        <f>RAW_DATA!A1206</f>
        <v>48</v>
      </c>
      <c r="B1206" t="str">
        <f>RAW_DATA!B1206</f>
        <v>Yes</v>
      </c>
      <c r="C1206" t="str">
        <f>RAW_DATA!C1206</f>
        <v>Sales</v>
      </c>
      <c r="D1206">
        <f>RAW_DATA!D1206</f>
        <v>7</v>
      </c>
      <c r="E1206">
        <f>RAW_DATA!E1206</f>
        <v>2</v>
      </c>
      <c r="F1206" t="str">
        <f>RAW_DATA!F1206</f>
        <v>Medical</v>
      </c>
      <c r="G1206">
        <f>RAW_DATA!G1206</f>
        <v>4</v>
      </c>
      <c r="H1206">
        <f>RAW_DATA!H1206</f>
        <v>3</v>
      </c>
      <c r="I1206" t="str">
        <f>RAW_DATA!I1206</f>
        <v>Married</v>
      </c>
      <c r="J1206">
        <f>RAW_DATA!J1206</f>
        <v>2655</v>
      </c>
      <c r="K1206">
        <f>RAW_DATA!K1206</f>
        <v>2</v>
      </c>
      <c r="L1206">
        <f>RAW_DATA!L1206</f>
        <v>3</v>
      </c>
      <c r="M1206">
        <f>RAW_DATA!M1206</f>
        <v>9</v>
      </c>
      <c r="N1206">
        <f t="shared" si="36"/>
        <v>1</v>
      </c>
      <c r="O1206" t="str" cm="1">
        <f t="array" ref="O1206" xml:space="preserve"> _xlfn.IFS(A1206 &lt;ASSUMPTIONS!$D$2,"25",A1206 &lt;= ASSUMPTIONS!$D$3,"25-34",A1206 &lt;= ASSUMPTIONS!$D$4, "35-44",A1206 &lt;= ASSUMPTIONS!$D$5,"45-54",TRUE,"55+")</f>
        <v>45-54</v>
      </c>
      <c r="P1206" t="str" cm="1">
        <f t="array" ref="P1206">_xlfn.IFS( J1206 &lt;ASSUMPTIONS!$D$7,"LOW",J1206 &lt;= ASSUMPTIONS!$D$8,"MEDIUM",TRUE, "HIGH")</f>
        <v>LOW</v>
      </c>
      <c r="Q1206" t="str">
        <f>IF(M1206&lt;ASSUMPTIONS!$D$10,"New (0-2)",IF(M1206&lt;=ASSUMPTIONS!$D$11,"Early (2-5)",IF(M1206&lt;=ASSUMPTIONS!$D$12,"Established (5-10)","Veteran (10+)")))</f>
        <v>Established (5-10)</v>
      </c>
      <c r="R1206" s="4">
        <f t="shared" si="37"/>
        <v>3.3333333333333335</v>
      </c>
    </row>
    <row r="1207" spans="1:18">
      <c r="A1207">
        <f>RAW_DATA!A1207</f>
        <v>32</v>
      </c>
      <c r="B1207" t="str">
        <f>RAW_DATA!B1207</f>
        <v>Yes</v>
      </c>
      <c r="C1207" t="str">
        <f>RAW_DATA!C1207</f>
        <v>Research &amp; Development</v>
      </c>
      <c r="D1207">
        <f>RAW_DATA!D1207</f>
        <v>2</v>
      </c>
      <c r="E1207">
        <f>RAW_DATA!E1207</f>
        <v>4</v>
      </c>
      <c r="F1207" t="str">
        <f>RAW_DATA!F1207</f>
        <v>Life Sciences</v>
      </c>
      <c r="G1207">
        <f>RAW_DATA!G1207</f>
        <v>4</v>
      </c>
      <c r="H1207">
        <f>RAW_DATA!H1207</f>
        <v>2</v>
      </c>
      <c r="I1207" t="str">
        <f>RAW_DATA!I1207</f>
        <v>Single</v>
      </c>
      <c r="J1207">
        <f>RAW_DATA!J1207</f>
        <v>1393</v>
      </c>
      <c r="K1207">
        <f>RAW_DATA!K1207</f>
        <v>1</v>
      </c>
      <c r="L1207">
        <f>RAW_DATA!L1207</f>
        <v>3</v>
      </c>
      <c r="M1207">
        <f>RAW_DATA!M1207</f>
        <v>1</v>
      </c>
      <c r="N1207">
        <f t="shared" si="36"/>
        <v>1</v>
      </c>
      <c r="O1207" t="str" cm="1">
        <f t="array" ref="O1207" xml:space="preserve"> _xlfn.IFS(A1207 &lt;ASSUMPTIONS!$D$2,"25",A1207 &lt;= ASSUMPTIONS!$D$3,"25-34",A1207 &lt;= ASSUMPTIONS!$D$4, "35-44",A1207 &lt;= ASSUMPTIONS!$D$5,"45-54",TRUE,"55+")</f>
        <v>25-34</v>
      </c>
      <c r="P1207" t="str" cm="1">
        <f t="array" ref="P1207">_xlfn.IFS( J1207 &lt;ASSUMPTIONS!$D$7,"LOW",J1207 &lt;= ASSUMPTIONS!$D$8,"MEDIUM",TRUE, "HIGH")</f>
        <v>LOW</v>
      </c>
      <c r="Q1207" t="str">
        <f>IF(M1207&lt;ASSUMPTIONS!$D$10,"New (0-2)",IF(M1207&lt;=ASSUMPTIONS!$D$11,"Early (2-5)",IF(M1207&lt;=ASSUMPTIONS!$D$12,"Established (5-10)","Veteran (10+)")))</f>
        <v>New (0-2)</v>
      </c>
      <c r="R1207" s="4">
        <f t="shared" si="37"/>
        <v>3</v>
      </c>
    </row>
    <row r="1208" spans="1:18">
      <c r="A1208">
        <f>RAW_DATA!A1208</f>
        <v>26</v>
      </c>
      <c r="B1208" t="str">
        <f>RAW_DATA!B1208</f>
        <v>No</v>
      </c>
      <c r="C1208" t="str">
        <f>RAW_DATA!C1208</f>
        <v>Research &amp; Development</v>
      </c>
      <c r="D1208">
        <f>RAW_DATA!D1208</f>
        <v>7</v>
      </c>
      <c r="E1208">
        <f>RAW_DATA!E1208</f>
        <v>3</v>
      </c>
      <c r="F1208" t="str">
        <f>RAW_DATA!F1208</f>
        <v>Medical</v>
      </c>
      <c r="G1208">
        <f>RAW_DATA!G1208</f>
        <v>4</v>
      </c>
      <c r="H1208">
        <f>RAW_DATA!H1208</f>
        <v>4</v>
      </c>
      <c r="I1208" t="str">
        <f>RAW_DATA!I1208</f>
        <v>Single</v>
      </c>
      <c r="J1208">
        <f>RAW_DATA!J1208</f>
        <v>2570</v>
      </c>
      <c r="K1208">
        <f>RAW_DATA!K1208</f>
        <v>1</v>
      </c>
      <c r="L1208">
        <f>RAW_DATA!L1208</f>
        <v>3</v>
      </c>
      <c r="M1208">
        <f>RAW_DATA!M1208</f>
        <v>7</v>
      </c>
      <c r="N1208">
        <f t="shared" si="36"/>
        <v>0</v>
      </c>
      <c r="O1208" t="str" cm="1">
        <f t="array" ref="O1208" xml:space="preserve"> _xlfn.IFS(A1208 &lt;ASSUMPTIONS!$D$2,"25",A1208 &lt;= ASSUMPTIONS!$D$3,"25-34",A1208 &lt;= ASSUMPTIONS!$D$4, "35-44",A1208 &lt;= ASSUMPTIONS!$D$5,"45-54",TRUE,"55+")</f>
        <v>25-34</v>
      </c>
      <c r="P1208" t="str" cm="1">
        <f t="array" ref="P1208">_xlfn.IFS( J1208 &lt;ASSUMPTIONS!$D$7,"LOW",J1208 &lt;= ASSUMPTIONS!$D$8,"MEDIUM",TRUE, "HIGH")</f>
        <v>LOW</v>
      </c>
      <c r="Q1208" t="str">
        <f>IF(M1208&lt;ASSUMPTIONS!$D$10,"New (0-2)",IF(M1208&lt;=ASSUMPTIONS!$D$11,"Early (2-5)",IF(M1208&lt;=ASSUMPTIONS!$D$12,"Established (5-10)","Veteran (10+)")))</f>
        <v>Established (5-10)</v>
      </c>
      <c r="R1208" s="4">
        <f t="shared" si="37"/>
        <v>3.6666666666666665</v>
      </c>
    </row>
    <row r="1209" spans="1:18">
      <c r="A1209">
        <f>RAW_DATA!A1209</f>
        <v>55</v>
      </c>
      <c r="B1209" t="str">
        <f>RAW_DATA!B1209</f>
        <v>No</v>
      </c>
      <c r="C1209" t="str">
        <f>RAW_DATA!C1209</f>
        <v>Research &amp; Development</v>
      </c>
      <c r="D1209">
        <f>RAW_DATA!D1209</f>
        <v>22</v>
      </c>
      <c r="E1209">
        <f>RAW_DATA!E1209</f>
        <v>3</v>
      </c>
      <c r="F1209" t="str">
        <f>RAW_DATA!F1209</f>
        <v>Technical Degree</v>
      </c>
      <c r="G1209">
        <f>RAW_DATA!G1209</f>
        <v>1</v>
      </c>
      <c r="H1209">
        <f>RAW_DATA!H1209</f>
        <v>2</v>
      </c>
      <c r="I1209" t="str">
        <f>RAW_DATA!I1209</f>
        <v>Divorced</v>
      </c>
      <c r="J1209">
        <f>RAW_DATA!J1209</f>
        <v>3537</v>
      </c>
      <c r="K1209">
        <f>RAW_DATA!K1209</f>
        <v>5</v>
      </c>
      <c r="L1209">
        <f>RAW_DATA!L1209</f>
        <v>3</v>
      </c>
      <c r="M1209">
        <f>RAW_DATA!M1209</f>
        <v>4</v>
      </c>
      <c r="N1209">
        <f t="shared" si="36"/>
        <v>0</v>
      </c>
      <c r="O1209" t="str" cm="1">
        <f t="array" ref="O1209" xml:space="preserve"> _xlfn.IFS(A1209 &lt;ASSUMPTIONS!$D$2,"25",A1209 &lt;= ASSUMPTIONS!$D$3,"25-34",A1209 &lt;= ASSUMPTIONS!$D$4, "35-44",A1209 &lt;= ASSUMPTIONS!$D$5,"45-54",TRUE,"55+")</f>
        <v>55+</v>
      </c>
      <c r="P1209" t="str" cm="1">
        <f t="array" ref="P1209">_xlfn.IFS( J1209 &lt;ASSUMPTIONS!$D$7,"LOW",J1209 &lt;= ASSUMPTIONS!$D$8,"MEDIUM",TRUE, "HIGH")</f>
        <v>MEDIUM</v>
      </c>
      <c r="Q1209" t="str">
        <f>IF(M1209&lt;ASSUMPTIONS!$D$10,"New (0-2)",IF(M1209&lt;=ASSUMPTIONS!$D$11,"Early (2-5)",IF(M1209&lt;=ASSUMPTIONS!$D$12,"Established (5-10)","Veteran (10+)")))</f>
        <v>Early (2-5)</v>
      </c>
      <c r="R1209" s="4">
        <f t="shared" si="37"/>
        <v>2</v>
      </c>
    </row>
    <row r="1210" spans="1:18">
      <c r="A1210">
        <f>RAW_DATA!A1210</f>
        <v>34</v>
      </c>
      <c r="B1210" t="str">
        <f>RAW_DATA!B1210</f>
        <v>No</v>
      </c>
      <c r="C1210" t="str">
        <f>RAW_DATA!C1210</f>
        <v>Research &amp; Development</v>
      </c>
      <c r="D1210">
        <f>RAW_DATA!D1210</f>
        <v>5</v>
      </c>
      <c r="E1210">
        <f>RAW_DATA!E1210</f>
        <v>2</v>
      </c>
      <c r="F1210" t="str">
        <f>RAW_DATA!F1210</f>
        <v>Medical</v>
      </c>
      <c r="G1210">
        <f>RAW_DATA!G1210</f>
        <v>2</v>
      </c>
      <c r="H1210">
        <f>RAW_DATA!H1210</f>
        <v>4</v>
      </c>
      <c r="I1210" t="str">
        <f>RAW_DATA!I1210</f>
        <v>Married</v>
      </c>
      <c r="J1210">
        <f>RAW_DATA!J1210</f>
        <v>3986</v>
      </c>
      <c r="K1210">
        <f>RAW_DATA!K1210</f>
        <v>1</v>
      </c>
      <c r="L1210">
        <f>RAW_DATA!L1210</f>
        <v>4</v>
      </c>
      <c r="M1210">
        <f>RAW_DATA!M1210</f>
        <v>15</v>
      </c>
      <c r="N1210">
        <f t="shared" si="36"/>
        <v>0</v>
      </c>
      <c r="O1210" t="str" cm="1">
        <f t="array" ref="O1210" xml:space="preserve"> _xlfn.IFS(A1210 &lt;ASSUMPTIONS!$D$2,"25",A1210 &lt;= ASSUMPTIONS!$D$3,"25-34",A1210 &lt;= ASSUMPTIONS!$D$4, "35-44",A1210 &lt;= ASSUMPTIONS!$D$5,"45-54",TRUE,"55+")</f>
        <v>25-34</v>
      </c>
      <c r="P1210" t="str" cm="1">
        <f t="array" ref="P1210">_xlfn.IFS( J1210 &lt;ASSUMPTIONS!$D$7,"LOW",J1210 &lt;= ASSUMPTIONS!$D$8,"MEDIUM",TRUE, "HIGH")</f>
        <v>MEDIUM</v>
      </c>
      <c r="Q1210" t="str">
        <f>IF(M1210&lt;ASSUMPTIONS!$D$10,"New (0-2)",IF(M1210&lt;=ASSUMPTIONS!$D$11,"Early (2-5)",IF(M1210&lt;=ASSUMPTIONS!$D$12,"Established (5-10)","Veteran (10+)")))</f>
        <v>Veteran (10+)</v>
      </c>
      <c r="R1210" s="4">
        <f t="shared" si="37"/>
        <v>3.3333333333333335</v>
      </c>
    </row>
    <row r="1211" spans="1:18">
      <c r="A1211">
        <f>RAW_DATA!A1211</f>
        <v>60</v>
      </c>
      <c r="B1211" t="str">
        <f>RAW_DATA!B1211</f>
        <v>No</v>
      </c>
      <c r="C1211" t="str">
        <f>RAW_DATA!C1211</f>
        <v>Research &amp; Development</v>
      </c>
      <c r="D1211">
        <f>RAW_DATA!D1211</f>
        <v>1</v>
      </c>
      <c r="E1211">
        <f>RAW_DATA!E1211</f>
        <v>4</v>
      </c>
      <c r="F1211" t="str">
        <f>RAW_DATA!F1211</f>
        <v>Medical</v>
      </c>
      <c r="G1211">
        <f>RAW_DATA!G1211</f>
        <v>3</v>
      </c>
      <c r="H1211">
        <f>RAW_DATA!H1211</f>
        <v>4</v>
      </c>
      <c r="I1211" t="str">
        <f>RAW_DATA!I1211</f>
        <v>Divorced</v>
      </c>
      <c r="J1211">
        <f>RAW_DATA!J1211</f>
        <v>10883</v>
      </c>
      <c r="K1211">
        <f>RAW_DATA!K1211</f>
        <v>3</v>
      </c>
      <c r="L1211">
        <f>RAW_DATA!L1211</f>
        <v>4</v>
      </c>
      <c r="M1211">
        <f>RAW_DATA!M1211</f>
        <v>1</v>
      </c>
      <c r="N1211">
        <f t="shared" si="36"/>
        <v>0</v>
      </c>
      <c r="O1211" t="str" cm="1">
        <f t="array" ref="O1211" xml:space="preserve"> _xlfn.IFS(A1211 &lt;ASSUMPTIONS!$D$2,"25",A1211 &lt;= ASSUMPTIONS!$D$3,"25-34",A1211 &lt;= ASSUMPTIONS!$D$4, "35-44",A1211 &lt;= ASSUMPTIONS!$D$5,"45-54",TRUE,"55+")</f>
        <v>55+</v>
      </c>
      <c r="P1211" t="str" cm="1">
        <f t="array" ref="P1211">_xlfn.IFS( J1211 &lt;ASSUMPTIONS!$D$7,"LOW",J1211 &lt;= ASSUMPTIONS!$D$8,"MEDIUM",TRUE, "HIGH")</f>
        <v>HIGH</v>
      </c>
      <c r="Q1211" t="str">
        <f>IF(M1211&lt;ASSUMPTIONS!$D$10,"New (0-2)",IF(M1211&lt;=ASSUMPTIONS!$D$11,"Early (2-5)",IF(M1211&lt;=ASSUMPTIONS!$D$12,"Established (5-10)","Veteran (10+)")))</f>
        <v>New (0-2)</v>
      </c>
      <c r="R1211" s="4">
        <f t="shared" si="37"/>
        <v>3.6666666666666665</v>
      </c>
    </row>
    <row r="1212" spans="1:18">
      <c r="A1212">
        <f>RAW_DATA!A1212</f>
        <v>33</v>
      </c>
      <c r="B1212" t="str">
        <f>RAW_DATA!B1212</f>
        <v>No</v>
      </c>
      <c r="C1212" t="str">
        <f>RAW_DATA!C1212</f>
        <v>Research &amp; Development</v>
      </c>
      <c r="D1212">
        <f>RAW_DATA!D1212</f>
        <v>21</v>
      </c>
      <c r="E1212">
        <f>RAW_DATA!E1212</f>
        <v>3</v>
      </c>
      <c r="F1212" t="str">
        <f>RAW_DATA!F1212</f>
        <v>Medical</v>
      </c>
      <c r="G1212">
        <f>RAW_DATA!G1212</f>
        <v>2</v>
      </c>
      <c r="H1212">
        <f>RAW_DATA!H1212</f>
        <v>2</v>
      </c>
      <c r="I1212" t="str">
        <f>RAW_DATA!I1212</f>
        <v>Married</v>
      </c>
      <c r="J1212">
        <f>RAW_DATA!J1212</f>
        <v>2028</v>
      </c>
      <c r="K1212">
        <f>RAW_DATA!K1212</f>
        <v>1</v>
      </c>
      <c r="L1212">
        <f>RAW_DATA!L1212</f>
        <v>3</v>
      </c>
      <c r="M1212">
        <f>RAW_DATA!M1212</f>
        <v>14</v>
      </c>
      <c r="N1212">
        <f t="shared" si="36"/>
        <v>0</v>
      </c>
      <c r="O1212" t="str" cm="1">
        <f t="array" ref="O1212" xml:space="preserve"> _xlfn.IFS(A1212 &lt;ASSUMPTIONS!$D$2,"25",A1212 &lt;= ASSUMPTIONS!$D$3,"25-34",A1212 &lt;= ASSUMPTIONS!$D$4, "35-44",A1212 &lt;= ASSUMPTIONS!$D$5,"45-54",TRUE,"55+")</f>
        <v>25-34</v>
      </c>
      <c r="P1212" t="str" cm="1">
        <f t="array" ref="P1212">_xlfn.IFS( J1212 &lt;ASSUMPTIONS!$D$7,"LOW",J1212 &lt;= ASSUMPTIONS!$D$8,"MEDIUM",TRUE, "HIGH")</f>
        <v>LOW</v>
      </c>
      <c r="Q1212" t="str">
        <f>IF(M1212&lt;ASSUMPTIONS!$D$10,"New (0-2)",IF(M1212&lt;=ASSUMPTIONS!$D$11,"Early (2-5)",IF(M1212&lt;=ASSUMPTIONS!$D$12,"Established (5-10)","Veteran (10+)")))</f>
        <v>Veteran (10+)</v>
      </c>
      <c r="R1212" s="4">
        <f t="shared" si="37"/>
        <v>2.3333333333333335</v>
      </c>
    </row>
    <row r="1213" spans="1:18">
      <c r="A1213">
        <f>RAW_DATA!A1213</f>
        <v>37</v>
      </c>
      <c r="B1213" t="str">
        <f>RAW_DATA!B1213</f>
        <v>No</v>
      </c>
      <c r="C1213" t="str">
        <f>RAW_DATA!C1213</f>
        <v>Sales</v>
      </c>
      <c r="D1213">
        <f>RAW_DATA!D1213</f>
        <v>1</v>
      </c>
      <c r="E1213">
        <f>RAW_DATA!E1213</f>
        <v>4</v>
      </c>
      <c r="F1213" t="str">
        <f>RAW_DATA!F1213</f>
        <v>Medical</v>
      </c>
      <c r="G1213">
        <f>RAW_DATA!G1213</f>
        <v>3</v>
      </c>
      <c r="H1213">
        <f>RAW_DATA!H1213</f>
        <v>4</v>
      </c>
      <c r="I1213" t="str">
        <f>RAW_DATA!I1213</f>
        <v>Divorced</v>
      </c>
      <c r="J1213">
        <f>RAW_DATA!J1213</f>
        <v>9525</v>
      </c>
      <c r="K1213">
        <f>RAW_DATA!K1213</f>
        <v>1</v>
      </c>
      <c r="L1213">
        <f>RAW_DATA!L1213</f>
        <v>2</v>
      </c>
      <c r="M1213">
        <f>RAW_DATA!M1213</f>
        <v>6</v>
      </c>
      <c r="N1213">
        <f t="shared" si="36"/>
        <v>0</v>
      </c>
      <c r="O1213" t="str" cm="1">
        <f t="array" ref="O1213" xml:space="preserve"> _xlfn.IFS(A1213 &lt;ASSUMPTIONS!$D$2,"25",A1213 &lt;= ASSUMPTIONS!$D$3,"25-34",A1213 &lt;= ASSUMPTIONS!$D$4, "35-44",A1213 &lt;= ASSUMPTIONS!$D$5,"45-54",TRUE,"55+")</f>
        <v>35-44</v>
      </c>
      <c r="P1213" t="str" cm="1">
        <f t="array" ref="P1213">_xlfn.IFS( J1213 &lt;ASSUMPTIONS!$D$7,"LOW",J1213 &lt;= ASSUMPTIONS!$D$8,"MEDIUM",TRUE, "HIGH")</f>
        <v>HIGH</v>
      </c>
      <c r="Q1213" t="str">
        <f>IF(M1213&lt;ASSUMPTIONS!$D$10,"New (0-2)",IF(M1213&lt;=ASSUMPTIONS!$D$11,"Early (2-5)",IF(M1213&lt;=ASSUMPTIONS!$D$12,"Established (5-10)","Veteran (10+)")))</f>
        <v>Established (5-10)</v>
      </c>
      <c r="R1213" s="4">
        <f t="shared" si="37"/>
        <v>3</v>
      </c>
    </row>
    <row r="1214" spans="1:18">
      <c r="A1214">
        <f>RAW_DATA!A1214</f>
        <v>34</v>
      </c>
      <c r="B1214" t="str">
        <f>RAW_DATA!B1214</f>
        <v>No</v>
      </c>
      <c r="C1214" t="str">
        <f>RAW_DATA!C1214</f>
        <v>Research &amp; Development</v>
      </c>
      <c r="D1214">
        <f>RAW_DATA!D1214</f>
        <v>19</v>
      </c>
      <c r="E1214">
        <f>RAW_DATA!E1214</f>
        <v>3</v>
      </c>
      <c r="F1214" t="str">
        <f>RAW_DATA!F1214</f>
        <v>Life Sciences</v>
      </c>
      <c r="G1214">
        <f>RAW_DATA!G1214</f>
        <v>2</v>
      </c>
      <c r="H1214">
        <f>RAW_DATA!H1214</f>
        <v>4</v>
      </c>
      <c r="I1214" t="str">
        <f>RAW_DATA!I1214</f>
        <v>Married</v>
      </c>
      <c r="J1214">
        <f>RAW_DATA!J1214</f>
        <v>2929</v>
      </c>
      <c r="K1214">
        <f>RAW_DATA!K1214</f>
        <v>1</v>
      </c>
      <c r="L1214">
        <f>RAW_DATA!L1214</f>
        <v>3</v>
      </c>
      <c r="M1214">
        <f>RAW_DATA!M1214</f>
        <v>10</v>
      </c>
      <c r="N1214">
        <f t="shared" si="36"/>
        <v>0</v>
      </c>
      <c r="O1214" t="str" cm="1">
        <f t="array" ref="O1214" xml:space="preserve"> _xlfn.IFS(A1214 &lt;ASSUMPTIONS!$D$2,"25",A1214 &lt;= ASSUMPTIONS!$D$3,"25-34",A1214 &lt;= ASSUMPTIONS!$D$4, "35-44",A1214 &lt;= ASSUMPTIONS!$D$5,"45-54",TRUE,"55+")</f>
        <v>25-34</v>
      </c>
      <c r="P1214" t="str" cm="1">
        <f t="array" ref="P1214">_xlfn.IFS( J1214 &lt;ASSUMPTIONS!$D$7,"LOW",J1214 &lt;= ASSUMPTIONS!$D$8,"MEDIUM",TRUE, "HIGH")</f>
        <v>LOW</v>
      </c>
      <c r="Q1214" t="str">
        <f>IF(M1214&lt;ASSUMPTIONS!$D$10,"New (0-2)",IF(M1214&lt;=ASSUMPTIONS!$D$11,"Early (2-5)",IF(M1214&lt;=ASSUMPTIONS!$D$12,"Established (5-10)","Veteran (10+)")))</f>
        <v>Established (5-10)</v>
      </c>
      <c r="R1214" s="4">
        <f t="shared" si="37"/>
        <v>3</v>
      </c>
    </row>
    <row r="1215" spans="1:18">
      <c r="A1215">
        <f>RAW_DATA!A1215</f>
        <v>23</v>
      </c>
      <c r="B1215" t="str">
        <f>RAW_DATA!B1215</f>
        <v>Yes</v>
      </c>
      <c r="C1215" t="str">
        <f>RAW_DATA!C1215</f>
        <v>Sales</v>
      </c>
      <c r="D1215">
        <f>RAW_DATA!D1215</f>
        <v>7</v>
      </c>
      <c r="E1215">
        <f>RAW_DATA!E1215</f>
        <v>3</v>
      </c>
      <c r="F1215" t="str">
        <f>RAW_DATA!F1215</f>
        <v>Life Sciences</v>
      </c>
      <c r="G1215">
        <f>RAW_DATA!G1215</f>
        <v>3</v>
      </c>
      <c r="H1215">
        <f>RAW_DATA!H1215</f>
        <v>4</v>
      </c>
      <c r="I1215" t="str">
        <f>RAW_DATA!I1215</f>
        <v>Divorced</v>
      </c>
      <c r="J1215">
        <f>RAW_DATA!J1215</f>
        <v>2275</v>
      </c>
      <c r="K1215">
        <f>RAW_DATA!K1215</f>
        <v>1</v>
      </c>
      <c r="L1215">
        <f>RAW_DATA!L1215</f>
        <v>3</v>
      </c>
      <c r="M1215">
        <f>RAW_DATA!M1215</f>
        <v>3</v>
      </c>
      <c r="N1215">
        <f t="shared" si="36"/>
        <v>1</v>
      </c>
      <c r="O1215" t="str" cm="1">
        <f t="array" ref="O1215" xml:space="preserve"> _xlfn.IFS(A1215 &lt;ASSUMPTIONS!$D$2,"25",A1215 &lt;= ASSUMPTIONS!$D$3,"25-34",A1215 &lt;= ASSUMPTIONS!$D$4, "35-44",A1215 &lt;= ASSUMPTIONS!$D$5,"45-54",TRUE,"55+")</f>
        <v>25</v>
      </c>
      <c r="P1215" t="str" cm="1">
        <f t="array" ref="P1215">_xlfn.IFS( J1215 &lt;ASSUMPTIONS!$D$7,"LOW",J1215 &lt;= ASSUMPTIONS!$D$8,"MEDIUM",TRUE, "HIGH")</f>
        <v>LOW</v>
      </c>
      <c r="Q1215" t="str">
        <f>IF(M1215&lt;ASSUMPTIONS!$D$10,"New (0-2)",IF(M1215&lt;=ASSUMPTIONS!$D$11,"Early (2-5)",IF(M1215&lt;=ASSUMPTIONS!$D$12,"Established (5-10)","Veteran (10+)")))</f>
        <v>Early (2-5)</v>
      </c>
      <c r="R1215" s="4">
        <f t="shared" si="37"/>
        <v>3.3333333333333335</v>
      </c>
    </row>
    <row r="1216" spans="1:18">
      <c r="A1216">
        <f>RAW_DATA!A1216</f>
        <v>44</v>
      </c>
      <c r="B1216" t="str">
        <f>RAW_DATA!B1216</f>
        <v>No</v>
      </c>
      <c r="C1216" t="str">
        <f>RAW_DATA!C1216</f>
        <v>Research &amp; Development</v>
      </c>
      <c r="D1216">
        <f>RAW_DATA!D1216</f>
        <v>2</v>
      </c>
      <c r="E1216">
        <f>RAW_DATA!E1216</f>
        <v>3</v>
      </c>
      <c r="F1216" t="str">
        <f>RAW_DATA!F1216</f>
        <v>Life Sciences</v>
      </c>
      <c r="G1216">
        <f>RAW_DATA!G1216</f>
        <v>3</v>
      </c>
      <c r="H1216">
        <f>RAW_DATA!H1216</f>
        <v>4</v>
      </c>
      <c r="I1216" t="str">
        <f>RAW_DATA!I1216</f>
        <v>Married</v>
      </c>
      <c r="J1216">
        <f>RAW_DATA!J1216</f>
        <v>7879</v>
      </c>
      <c r="K1216">
        <f>RAW_DATA!K1216</f>
        <v>1</v>
      </c>
      <c r="L1216">
        <f>RAW_DATA!L1216</f>
        <v>3</v>
      </c>
      <c r="M1216">
        <f>RAW_DATA!M1216</f>
        <v>8</v>
      </c>
      <c r="N1216">
        <f t="shared" si="36"/>
        <v>0</v>
      </c>
      <c r="O1216" t="str" cm="1">
        <f t="array" ref="O1216" xml:space="preserve"> _xlfn.IFS(A1216 &lt;ASSUMPTIONS!$D$2,"25",A1216 &lt;= ASSUMPTIONS!$D$3,"25-34",A1216 &lt;= ASSUMPTIONS!$D$4, "35-44",A1216 &lt;= ASSUMPTIONS!$D$5,"45-54",TRUE,"55+")</f>
        <v>35-44</v>
      </c>
      <c r="P1216" t="str" cm="1">
        <f t="array" ref="P1216">_xlfn.IFS( J1216 &lt;ASSUMPTIONS!$D$7,"LOW",J1216 &lt;= ASSUMPTIONS!$D$8,"MEDIUM",TRUE, "HIGH")</f>
        <v>HIGH</v>
      </c>
      <c r="Q1216" t="str">
        <f>IF(M1216&lt;ASSUMPTIONS!$D$10,"New (0-2)",IF(M1216&lt;=ASSUMPTIONS!$D$11,"Early (2-5)",IF(M1216&lt;=ASSUMPTIONS!$D$12,"Established (5-10)","Veteran (10+)")))</f>
        <v>Established (5-10)</v>
      </c>
      <c r="R1216" s="4">
        <f t="shared" si="37"/>
        <v>3.3333333333333335</v>
      </c>
    </row>
    <row r="1217" spans="1:18">
      <c r="A1217">
        <f>RAW_DATA!A1217</f>
        <v>35</v>
      </c>
      <c r="B1217" t="str">
        <f>RAW_DATA!B1217</f>
        <v>No</v>
      </c>
      <c r="C1217" t="str">
        <f>RAW_DATA!C1217</f>
        <v>Research &amp; Development</v>
      </c>
      <c r="D1217">
        <f>RAW_DATA!D1217</f>
        <v>2</v>
      </c>
      <c r="E1217">
        <f>RAW_DATA!E1217</f>
        <v>4</v>
      </c>
      <c r="F1217" t="str">
        <f>RAW_DATA!F1217</f>
        <v>Medical</v>
      </c>
      <c r="G1217">
        <f>RAW_DATA!G1217</f>
        <v>1</v>
      </c>
      <c r="H1217">
        <f>RAW_DATA!H1217</f>
        <v>4</v>
      </c>
      <c r="I1217" t="str">
        <f>RAW_DATA!I1217</f>
        <v>Single</v>
      </c>
      <c r="J1217">
        <f>RAW_DATA!J1217</f>
        <v>4930</v>
      </c>
      <c r="K1217">
        <f>RAW_DATA!K1217</f>
        <v>0</v>
      </c>
      <c r="L1217">
        <f>RAW_DATA!L1217</f>
        <v>4</v>
      </c>
      <c r="M1217">
        <f>RAW_DATA!M1217</f>
        <v>5</v>
      </c>
      <c r="N1217">
        <f t="shared" si="36"/>
        <v>0</v>
      </c>
      <c r="O1217" t="str" cm="1">
        <f t="array" ref="O1217" xml:space="preserve"> _xlfn.IFS(A1217 &lt;ASSUMPTIONS!$D$2,"25",A1217 &lt;= ASSUMPTIONS!$D$3,"25-34",A1217 &lt;= ASSUMPTIONS!$D$4, "35-44",A1217 &lt;= ASSUMPTIONS!$D$5,"45-54",TRUE,"55+")</f>
        <v>35-44</v>
      </c>
      <c r="P1217" t="str" cm="1">
        <f t="array" ref="P1217">_xlfn.IFS( J1217 &lt;ASSUMPTIONS!$D$7,"LOW",J1217 &lt;= ASSUMPTIONS!$D$8,"MEDIUM",TRUE, "HIGH")</f>
        <v>MEDIUM</v>
      </c>
      <c r="Q1217" t="str">
        <f>IF(M1217&lt;ASSUMPTIONS!$D$10,"New (0-2)",IF(M1217&lt;=ASSUMPTIONS!$D$11,"Early (2-5)",IF(M1217&lt;=ASSUMPTIONS!$D$12,"Established (5-10)","Veteran (10+)")))</f>
        <v>Early (2-5)</v>
      </c>
      <c r="R1217" s="4">
        <f t="shared" si="37"/>
        <v>3</v>
      </c>
    </row>
    <row r="1218" spans="1:18">
      <c r="A1218">
        <f>RAW_DATA!A1218</f>
        <v>43</v>
      </c>
      <c r="B1218" t="str">
        <f>RAW_DATA!B1218</f>
        <v>No</v>
      </c>
      <c r="C1218" t="str">
        <f>RAW_DATA!C1218</f>
        <v>Sales</v>
      </c>
      <c r="D1218">
        <f>RAW_DATA!D1218</f>
        <v>2</v>
      </c>
      <c r="E1218">
        <f>RAW_DATA!E1218</f>
        <v>3</v>
      </c>
      <c r="F1218" t="str">
        <f>RAW_DATA!F1218</f>
        <v>Medical</v>
      </c>
      <c r="G1218">
        <f>RAW_DATA!G1218</f>
        <v>4</v>
      </c>
      <c r="H1218">
        <f>RAW_DATA!H1218</f>
        <v>4</v>
      </c>
      <c r="I1218" t="str">
        <f>RAW_DATA!I1218</f>
        <v>Married</v>
      </c>
      <c r="J1218">
        <f>RAW_DATA!J1218</f>
        <v>7847</v>
      </c>
      <c r="K1218">
        <f>RAW_DATA!K1218</f>
        <v>1</v>
      </c>
      <c r="L1218">
        <f>RAW_DATA!L1218</f>
        <v>3</v>
      </c>
      <c r="M1218">
        <f>RAW_DATA!M1218</f>
        <v>10</v>
      </c>
      <c r="N1218">
        <f t="shared" si="36"/>
        <v>0</v>
      </c>
      <c r="O1218" t="str" cm="1">
        <f t="array" ref="O1218" xml:space="preserve"> _xlfn.IFS(A1218 &lt;ASSUMPTIONS!$D$2,"25",A1218 &lt;= ASSUMPTIONS!$D$3,"25-34",A1218 &lt;= ASSUMPTIONS!$D$4, "35-44",A1218 &lt;= ASSUMPTIONS!$D$5,"45-54",TRUE,"55+")</f>
        <v>35-44</v>
      </c>
      <c r="P1218" t="str" cm="1">
        <f t="array" ref="P1218">_xlfn.IFS( J1218 &lt;ASSUMPTIONS!$D$7,"LOW",J1218 &lt;= ASSUMPTIONS!$D$8,"MEDIUM",TRUE, "HIGH")</f>
        <v>HIGH</v>
      </c>
      <c r="Q1218" t="str">
        <f>IF(M1218&lt;ASSUMPTIONS!$D$10,"New (0-2)",IF(M1218&lt;=ASSUMPTIONS!$D$11,"Early (2-5)",IF(M1218&lt;=ASSUMPTIONS!$D$12,"Established (5-10)","Veteran (10+)")))</f>
        <v>Established (5-10)</v>
      </c>
      <c r="R1218" s="4">
        <f t="shared" si="37"/>
        <v>3.6666666666666665</v>
      </c>
    </row>
    <row r="1219" spans="1:18">
      <c r="A1219">
        <f>RAW_DATA!A1219</f>
        <v>24</v>
      </c>
      <c r="B1219" t="str">
        <f>RAW_DATA!B1219</f>
        <v>No</v>
      </c>
      <c r="C1219" t="str">
        <f>RAW_DATA!C1219</f>
        <v>Research &amp; Development</v>
      </c>
      <c r="D1219">
        <f>RAW_DATA!D1219</f>
        <v>9</v>
      </c>
      <c r="E1219">
        <f>RAW_DATA!E1219</f>
        <v>3</v>
      </c>
      <c r="F1219" t="str">
        <f>RAW_DATA!F1219</f>
        <v>Medical</v>
      </c>
      <c r="G1219">
        <f>RAW_DATA!G1219</f>
        <v>3</v>
      </c>
      <c r="H1219">
        <f>RAW_DATA!H1219</f>
        <v>3</v>
      </c>
      <c r="I1219" t="str">
        <f>RAW_DATA!I1219</f>
        <v>Married</v>
      </c>
      <c r="J1219">
        <f>RAW_DATA!J1219</f>
        <v>4401</v>
      </c>
      <c r="K1219">
        <f>RAW_DATA!K1219</f>
        <v>1</v>
      </c>
      <c r="L1219">
        <f>RAW_DATA!L1219</f>
        <v>3</v>
      </c>
      <c r="M1219">
        <f>RAW_DATA!M1219</f>
        <v>5</v>
      </c>
      <c r="N1219">
        <f t="shared" ref="N1219:N1282" si="38" xml:space="preserve"> IF(B1219 ="Yes",1,0)</f>
        <v>0</v>
      </c>
      <c r="O1219" t="str" cm="1">
        <f t="array" ref="O1219" xml:space="preserve"> _xlfn.IFS(A1219 &lt;ASSUMPTIONS!$D$2,"25",A1219 &lt;= ASSUMPTIONS!$D$3,"25-34",A1219 &lt;= ASSUMPTIONS!$D$4, "35-44",A1219 &lt;= ASSUMPTIONS!$D$5,"45-54",TRUE,"55+")</f>
        <v>25</v>
      </c>
      <c r="P1219" t="str" cm="1">
        <f t="array" ref="P1219">_xlfn.IFS( J1219 &lt;ASSUMPTIONS!$D$7,"LOW",J1219 &lt;= ASSUMPTIONS!$D$8,"MEDIUM",TRUE, "HIGH")</f>
        <v>MEDIUM</v>
      </c>
      <c r="Q1219" t="str">
        <f>IF(M1219&lt;ASSUMPTIONS!$D$10,"New (0-2)",IF(M1219&lt;=ASSUMPTIONS!$D$11,"Early (2-5)",IF(M1219&lt;=ASSUMPTIONS!$D$12,"Established (5-10)","Veteran (10+)")))</f>
        <v>Early (2-5)</v>
      </c>
      <c r="R1219" s="4">
        <f t="shared" ref="R1219:R1282" si="39">AVERAGE(G1219,H1219,L1219)</f>
        <v>3</v>
      </c>
    </row>
    <row r="1220" spans="1:18">
      <c r="A1220">
        <f>RAW_DATA!A1220</f>
        <v>41</v>
      </c>
      <c r="B1220" t="str">
        <f>RAW_DATA!B1220</f>
        <v>No</v>
      </c>
      <c r="C1220" t="str">
        <f>RAW_DATA!C1220</f>
        <v>Sales</v>
      </c>
      <c r="D1220">
        <f>RAW_DATA!D1220</f>
        <v>6</v>
      </c>
      <c r="E1220">
        <f>RAW_DATA!E1220</f>
        <v>3</v>
      </c>
      <c r="F1220" t="str">
        <f>RAW_DATA!F1220</f>
        <v>Marketing</v>
      </c>
      <c r="G1220">
        <f>RAW_DATA!G1220</f>
        <v>4</v>
      </c>
      <c r="H1220">
        <f>RAW_DATA!H1220</f>
        <v>3</v>
      </c>
      <c r="I1220" t="str">
        <f>RAW_DATA!I1220</f>
        <v>Single</v>
      </c>
      <c r="J1220">
        <f>RAW_DATA!J1220</f>
        <v>9241</v>
      </c>
      <c r="K1220">
        <f>RAW_DATA!K1220</f>
        <v>1</v>
      </c>
      <c r="L1220">
        <f>RAW_DATA!L1220</f>
        <v>3</v>
      </c>
      <c r="M1220">
        <f>RAW_DATA!M1220</f>
        <v>10</v>
      </c>
      <c r="N1220">
        <f t="shared" si="38"/>
        <v>0</v>
      </c>
      <c r="O1220" t="str" cm="1">
        <f t="array" ref="O1220" xml:space="preserve"> _xlfn.IFS(A1220 &lt;ASSUMPTIONS!$D$2,"25",A1220 &lt;= ASSUMPTIONS!$D$3,"25-34",A1220 &lt;= ASSUMPTIONS!$D$4, "35-44",A1220 &lt;= ASSUMPTIONS!$D$5,"45-54",TRUE,"55+")</f>
        <v>35-44</v>
      </c>
      <c r="P1220" t="str" cm="1">
        <f t="array" ref="P1220">_xlfn.IFS( J1220 &lt;ASSUMPTIONS!$D$7,"LOW",J1220 &lt;= ASSUMPTIONS!$D$8,"MEDIUM",TRUE, "HIGH")</f>
        <v>HIGH</v>
      </c>
      <c r="Q1220" t="str">
        <f>IF(M1220&lt;ASSUMPTIONS!$D$10,"New (0-2)",IF(M1220&lt;=ASSUMPTIONS!$D$11,"Early (2-5)",IF(M1220&lt;=ASSUMPTIONS!$D$12,"Established (5-10)","Veteran (10+)")))</f>
        <v>Established (5-10)</v>
      </c>
      <c r="R1220" s="4">
        <f t="shared" si="39"/>
        <v>3.3333333333333335</v>
      </c>
    </row>
    <row r="1221" spans="1:18">
      <c r="A1221">
        <f>RAW_DATA!A1221</f>
        <v>29</v>
      </c>
      <c r="B1221" t="str">
        <f>RAW_DATA!B1221</f>
        <v>No</v>
      </c>
      <c r="C1221" t="str">
        <f>RAW_DATA!C1221</f>
        <v>Research &amp; Development</v>
      </c>
      <c r="D1221">
        <f>RAW_DATA!D1221</f>
        <v>9</v>
      </c>
      <c r="E1221">
        <f>RAW_DATA!E1221</f>
        <v>4</v>
      </c>
      <c r="F1221" t="str">
        <f>RAW_DATA!F1221</f>
        <v>Medical</v>
      </c>
      <c r="G1221">
        <f>RAW_DATA!G1221</f>
        <v>4</v>
      </c>
      <c r="H1221">
        <f>RAW_DATA!H1221</f>
        <v>3</v>
      </c>
      <c r="I1221" t="str">
        <f>RAW_DATA!I1221</f>
        <v>Married</v>
      </c>
      <c r="J1221">
        <f>RAW_DATA!J1221</f>
        <v>2974</v>
      </c>
      <c r="K1221">
        <f>RAW_DATA!K1221</f>
        <v>9</v>
      </c>
      <c r="L1221">
        <f>RAW_DATA!L1221</f>
        <v>3</v>
      </c>
      <c r="M1221">
        <f>RAW_DATA!M1221</f>
        <v>5</v>
      </c>
      <c r="N1221">
        <f t="shared" si="38"/>
        <v>0</v>
      </c>
      <c r="O1221" t="str" cm="1">
        <f t="array" ref="O1221" xml:space="preserve"> _xlfn.IFS(A1221 &lt;ASSUMPTIONS!$D$2,"25",A1221 &lt;= ASSUMPTIONS!$D$3,"25-34",A1221 &lt;= ASSUMPTIONS!$D$4, "35-44",A1221 &lt;= ASSUMPTIONS!$D$5,"45-54",TRUE,"55+")</f>
        <v>25-34</v>
      </c>
      <c r="P1221" t="str" cm="1">
        <f t="array" ref="P1221">_xlfn.IFS( J1221 &lt;ASSUMPTIONS!$D$7,"LOW",J1221 &lt;= ASSUMPTIONS!$D$8,"MEDIUM",TRUE, "HIGH")</f>
        <v>LOW</v>
      </c>
      <c r="Q1221" t="str">
        <f>IF(M1221&lt;ASSUMPTIONS!$D$10,"New (0-2)",IF(M1221&lt;=ASSUMPTIONS!$D$11,"Early (2-5)",IF(M1221&lt;=ASSUMPTIONS!$D$12,"Established (5-10)","Veteran (10+)")))</f>
        <v>Early (2-5)</v>
      </c>
      <c r="R1221" s="4">
        <f t="shared" si="39"/>
        <v>3.3333333333333335</v>
      </c>
    </row>
    <row r="1222" spans="1:18">
      <c r="A1222">
        <f>RAW_DATA!A1222</f>
        <v>36</v>
      </c>
      <c r="B1222" t="str">
        <f>RAW_DATA!B1222</f>
        <v>No</v>
      </c>
      <c r="C1222" t="str">
        <f>RAW_DATA!C1222</f>
        <v>Sales</v>
      </c>
      <c r="D1222">
        <f>RAW_DATA!D1222</f>
        <v>2</v>
      </c>
      <c r="E1222">
        <f>RAW_DATA!E1222</f>
        <v>4</v>
      </c>
      <c r="F1222" t="str">
        <f>RAW_DATA!F1222</f>
        <v>Life Sciences</v>
      </c>
      <c r="G1222">
        <f>RAW_DATA!G1222</f>
        <v>3</v>
      </c>
      <c r="H1222">
        <f>RAW_DATA!H1222</f>
        <v>4</v>
      </c>
      <c r="I1222" t="str">
        <f>RAW_DATA!I1222</f>
        <v>Single</v>
      </c>
      <c r="J1222">
        <f>RAW_DATA!J1222</f>
        <v>4502</v>
      </c>
      <c r="K1222">
        <f>RAW_DATA!K1222</f>
        <v>3</v>
      </c>
      <c r="L1222">
        <f>RAW_DATA!L1222</f>
        <v>2</v>
      </c>
      <c r="M1222">
        <f>RAW_DATA!M1222</f>
        <v>13</v>
      </c>
      <c r="N1222">
        <f t="shared" si="38"/>
        <v>0</v>
      </c>
      <c r="O1222" t="str" cm="1">
        <f t="array" ref="O1222" xml:space="preserve"> _xlfn.IFS(A1222 &lt;ASSUMPTIONS!$D$2,"25",A1222 &lt;= ASSUMPTIONS!$D$3,"25-34",A1222 &lt;= ASSUMPTIONS!$D$4, "35-44",A1222 &lt;= ASSUMPTIONS!$D$5,"45-54",TRUE,"55+")</f>
        <v>35-44</v>
      </c>
      <c r="P1222" t="str" cm="1">
        <f t="array" ref="P1222">_xlfn.IFS( J1222 &lt;ASSUMPTIONS!$D$7,"LOW",J1222 &lt;= ASSUMPTIONS!$D$8,"MEDIUM",TRUE, "HIGH")</f>
        <v>MEDIUM</v>
      </c>
      <c r="Q1222" t="str">
        <f>IF(M1222&lt;ASSUMPTIONS!$D$10,"New (0-2)",IF(M1222&lt;=ASSUMPTIONS!$D$11,"Early (2-5)",IF(M1222&lt;=ASSUMPTIONS!$D$12,"Established (5-10)","Veteran (10+)")))</f>
        <v>Veteran (10+)</v>
      </c>
      <c r="R1222" s="4">
        <f t="shared" si="39"/>
        <v>3</v>
      </c>
    </row>
    <row r="1223" spans="1:18">
      <c r="A1223">
        <f>RAW_DATA!A1223</f>
        <v>45</v>
      </c>
      <c r="B1223" t="str">
        <f>RAW_DATA!B1223</f>
        <v>No</v>
      </c>
      <c r="C1223" t="str">
        <f>RAW_DATA!C1223</f>
        <v>Research &amp; Development</v>
      </c>
      <c r="D1223">
        <f>RAW_DATA!D1223</f>
        <v>1</v>
      </c>
      <c r="E1223">
        <f>RAW_DATA!E1223</f>
        <v>1</v>
      </c>
      <c r="F1223" t="str">
        <f>RAW_DATA!F1223</f>
        <v>Life Sciences</v>
      </c>
      <c r="G1223">
        <f>RAW_DATA!G1223</f>
        <v>3</v>
      </c>
      <c r="H1223">
        <f>RAW_DATA!H1223</f>
        <v>3</v>
      </c>
      <c r="I1223" t="str">
        <f>RAW_DATA!I1223</f>
        <v>Married</v>
      </c>
      <c r="J1223">
        <f>RAW_DATA!J1223</f>
        <v>10748</v>
      </c>
      <c r="K1223">
        <f>RAW_DATA!K1223</f>
        <v>3</v>
      </c>
      <c r="L1223">
        <f>RAW_DATA!L1223</f>
        <v>2</v>
      </c>
      <c r="M1223">
        <f>RAW_DATA!M1223</f>
        <v>23</v>
      </c>
      <c r="N1223">
        <f t="shared" si="38"/>
        <v>0</v>
      </c>
      <c r="O1223" t="str" cm="1">
        <f t="array" ref="O1223" xml:space="preserve"> _xlfn.IFS(A1223 &lt;ASSUMPTIONS!$D$2,"25",A1223 &lt;= ASSUMPTIONS!$D$3,"25-34",A1223 &lt;= ASSUMPTIONS!$D$4, "35-44",A1223 &lt;= ASSUMPTIONS!$D$5,"45-54",TRUE,"55+")</f>
        <v>45-54</v>
      </c>
      <c r="P1223" t="str" cm="1">
        <f t="array" ref="P1223">_xlfn.IFS( J1223 &lt;ASSUMPTIONS!$D$7,"LOW",J1223 &lt;= ASSUMPTIONS!$D$8,"MEDIUM",TRUE, "HIGH")</f>
        <v>HIGH</v>
      </c>
      <c r="Q1223" t="str">
        <f>IF(M1223&lt;ASSUMPTIONS!$D$10,"New (0-2)",IF(M1223&lt;=ASSUMPTIONS!$D$11,"Early (2-5)",IF(M1223&lt;=ASSUMPTIONS!$D$12,"Established (5-10)","Veteran (10+)")))</f>
        <v>Veteran (10+)</v>
      </c>
      <c r="R1223" s="4">
        <f t="shared" si="39"/>
        <v>2.6666666666666665</v>
      </c>
    </row>
    <row r="1224" spans="1:18">
      <c r="A1224">
        <f>RAW_DATA!A1224</f>
        <v>24</v>
      </c>
      <c r="B1224" t="str">
        <f>RAW_DATA!B1224</f>
        <v>Yes</v>
      </c>
      <c r="C1224" t="str">
        <f>RAW_DATA!C1224</f>
        <v>Human Resources</v>
      </c>
      <c r="D1224">
        <f>RAW_DATA!D1224</f>
        <v>22</v>
      </c>
      <c r="E1224">
        <f>RAW_DATA!E1224</f>
        <v>1</v>
      </c>
      <c r="F1224" t="str">
        <f>RAW_DATA!F1224</f>
        <v>Human Resources</v>
      </c>
      <c r="G1224">
        <f>RAW_DATA!G1224</f>
        <v>4</v>
      </c>
      <c r="H1224">
        <f>RAW_DATA!H1224</f>
        <v>3</v>
      </c>
      <c r="I1224" t="str">
        <f>RAW_DATA!I1224</f>
        <v>Married</v>
      </c>
      <c r="J1224">
        <f>RAW_DATA!J1224</f>
        <v>1555</v>
      </c>
      <c r="K1224">
        <f>RAW_DATA!K1224</f>
        <v>1</v>
      </c>
      <c r="L1224">
        <f>RAW_DATA!L1224</f>
        <v>3</v>
      </c>
      <c r="M1224">
        <f>RAW_DATA!M1224</f>
        <v>1</v>
      </c>
      <c r="N1224">
        <f t="shared" si="38"/>
        <v>1</v>
      </c>
      <c r="O1224" t="str" cm="1">
        <f t="array" ref="O1224" xml:space="preserve"> _xlfn.IFS(A1224 &lt;ASSUMPTIONS!$D$2,"25",A1224 &lt;= ASSUMPTIONS!$D$3,"25-34",A1224 &lt;= ASSUMPTIONS!$D$4, "35-44",A1224 &lt;= ASSUMPTIONS!$D$5,"45-54",TRUE,"55+")</f>
        <v>25</v>
      </c>
      <c r="P1224" t="str" cm="1">
        <f t="array" ref="P1224">_xlfn.IFS( J1224 &lt;ASSUMPTIONS!$D$7,"LOW",J1224 &lt;= ASSUMPTIONS!$D$8,"MEDIUM",TRUE, "HIGH")</f>
        <v>LOW</v>
      </c>
      <c r="Q1224" t="str">
        <f>IF(M1224&lt;ASSUMPTIONS!$D$10,"New (0-2)",IF(M1224&lt;=ASSUMPTIONS!$D$11,"Early (2-5)",IF(M1224&lt;=ASSUMPTIONS!$D$12,"Established (5-10)","Veteran (10+)")))</f>
        <v>New (0-2)</v>
      </c>
      <c r="R1224" s="4">
        <f t="shared" si="39"/>
        <v>3.3333333333333335</v>
      </c>
    </row>
    <row r="1225" spans="1:18">
      <c r="A1225">
        <f>RAW_DATA!A1225</f>
        <v>47</v>
      </c>
      <c r="B1225" t="str">
        <f>RAW_DATA!B1225</f>
        <v>Yes</v>
      </c>
      <c r="C1225" t="str">
        <f>RAW_DATA!C1225</f>
        <v>Sales</v>
      </c>
      <c r="D1225">
        <f>RAW_DATA!D1225</f>
        <v>9</v>
      </c>
      <c r="E1225">
        <f>RAW_DATA!E1225</f>
        <v>3</v>
      </c>
      <c r="F1225" t="str">
        <f>RAW_DATA!F1225</f>
        <v>Life Sciences</v>
      </c>
      <c r="G1225">
        <f>RAW_DATA!G1225</f>
        <v>3</v>
      </c>
      <c r="H1225">
        <f>RAW_DATA!H1225</f>
        <v>3</v>
      </c>
      <c r="I1225" t="str">
        <f>RAW_DATA!I1225</f>
        <v>Married</v>
      </c>
      <c r="J1225">
        <f>RAW_DATA!J1225</f>
        <v>12936</v>
      </c>
      <c r="K1225">
        <f>RAW_DATA!K1225</f>
        <v>7</v>
      </c>
      <c r="L1225">
        <f>RAW_DATA!L1225</f>
        <v>1</v>
      </c>
      <c r="M1225">
        <f>RAW_DATA!M1225</f>
        <v>23</v>
      </c>
      <c r="N1225">
        <f t="shared" si="38"/>
        <v>1</v>
      </c>
      <c r="O1225" t="str" cm="1">
        <f t="array" ref="O1225" xml:space="preserve"> _xlfn.IFS(A1225 &lt;ASSUMPTIONS!$D$2,"25",A1225 &lt;= ASSUMPTIONS!$D$3,"25-34",A1225 &lt;= ASSUMPTIONS!$D$4, "35-44",A1225 &lt;= ASSUMPTIONS!$D$5,"45-54",TRUE,"55+")</f>
        <v>45-54</v>
      </c>
      <c r="P1225" t="str" cm="1">
        <f t="array" ref="P1225">_xlfn.IFS( J1225 &lt;ASSUMPTIONS!$D$7,"LOW",J1225 &lt;= ASSUMPTIONS!$D$8,"MEDIUM",TRUE, "HIGH")</f>
        <v>HIGH</v>
      </c>
      <c r="Q1225" t="str">
        <f>IF(M1225&lt;ASSUMPTIONS!$D$10,"New (0-2)",IF(M1225&lt;=ASSUMPTIONS!$D$11,"Early (2-5)",IF(M1225&lt;=ASSUMPTIONS!$D$12,"Established (5-10)","Veteran (10+)")))</f>
        <v>Veteran (10+)</v>
      </c>
      <c r="R1225" s="4">
        <f t="shared" si="39"/>
        <v>2.3333333333333335</v>
      </c>
    </row>
    <row r="1226" spans="1:18">
      <c r="A1226">
        <f>RAW_DATA!A1226</f>
        <v>26</v>
      </c>
      <c r="B1226" t="str">
        <f>RAW_DATA!B1226</f>
        <v>No</v>
      </c>
      <c r="C1226" t="str">
        <f>RAW_DATA!C1226</f>
        <v>Research &amp; Development</v>
      </c>
      <c r="D1226">
        <f>RAW_DATA!D1226</f>
        <v>17</v>
      </c>
      <c r="E1226">
        <f>RAW_DATA!E1226</f>
        <v>4</v>
      </c>
      <c r="F1226" t="str">
        <f>RAW_DATA!F1226</f>
        <v>Medical</v>
      </c>
      <c r="G1226">
        <f>RAW_DATA!G1226</f>
        <v>4</v>
      </c>
      <c r="H1226">
        <f>RAW_DATA!H1226</f>
        <v>3</v>
      </c>
      <c r="I1226" t="str">
        <f>RAW_DATA!I1226</f>
        <v>Married</v>
      </c>
      <c r="J1226">
        <f>RAW_DATA!J1226</f>
        <v>2305</v>
      </c>
      <c r="K1226">
        <f>RAW_DATA!K1226</f>
        <v>1</v>
      </c>
      <c r="L1226">
        <f>RAW_DATA!L1226</f>
        <v>4</v>
      </c>
      <c r="M1226">
        <f>RAW_DATA!M1226</f>
        <v>3</v>
      </c>
      <c r="N1226">
        <f t="shared" si="38"/>
        <v>0</v>
      </c>
      <c r="O1226" t="str" cm="1">
        <f t="array" ref="O1226" xml:space="preserve"> _xlfn.IFS(A1226 &lt;ASSUMPTIONS!$D$2,"25",A1226 &lt;= ASSUMPTIONS!$D$3,"25-34",A1226 &lt;= ASSUMPTIONS!$D$4, "35-44",A1226 &lt;= ASSUMPTIONS!$D$5,"45-54",TRUE,"55+")</f>
        <v>25-34</v>
      </c>
      <c r="P1226" t="str" cm="1">
        <f t="array" ref="P1226">_xlfn.IFS( J1226 &lt;ASSUMPTIONS!$D$7,"LOW",J1226 &lt;= ASSUMPTIONS!$D$8,"MEDIUM",TRUE, "HIGH")</f>
        <v>LOW</v>
      </c>
      <c r="Q1226" t="str">
        <f>IF(M1226&lt;ASSUMPTIONS!$D$10,"New (0-2)",IF(M1226&lt;=ASSUMPTIONS!$D$11,"Early (2-5)",IF(M1226&lt;=ASSUMPTIONS!$D$12,"Established (5-10)","Veteran (10+)")))</f>
        <v>Early (2-5)</v>
      </c>
      <c r="R1226" s="4">
        <f t="shared" si="39"/>
        <v>3.6666666666666665</v>
      </c>
    </row>
    <row r="1227" spans="1:18">
      <c r="A1227">
        <f>RAW_DATA!A1227</f>
        <v>45</v>
      </c>
      <c r="B1227" t="str">
        <f>RAW_DATA!B1227</f>
        <v>No</v>
      </c>
      <c r="C1227" t="str">
        <f>RAW_DATA!C1227</f>
        <v>Research &amp; Development</v>
      </c>
      <c r="D1227">
        <f>RAW_DATA!D1227</f>
        <v>28</v>
      </c>
      <c r="E1227">
        <f>RAW_DATA!E1227</f>
        <v>2</v>
      </c>
      <c r="F1227" t="str">
        <f>RAW_DATA!F1227</f>
        <v>Technical Degree</v>
      </c>
      <c r="G1227">
        <f>RAW_DATA!G1227</f>
        <v>4</v>
      </c>
      <c r="H1227">
        <f>RAW_DATA!H1227</f>
        <v>2</v>
      </c>
      <c r="I1227" t="str">
        <f>RAW_DATA!I1227</f>
        <v>Single</v>
      </c>
      <c r="J1227">
        <f>RAW_DATA!J1227</f>
        <v>16704</v>
      </c>
      <c r="K1227">
        <f>RAW_DATA!K1227</f>
        <v>1</v>
      </c>
      <c r="L1227">
        <f>RAW_DATA!L1227</f>
        <v>3</v>
      </c>
      <c r="M1227">
        <f>RAW_DATA!M1227</f>
        <v>21</v>
      </c>
      <c r="N1227">
        <f t="shared" si="38"/>
        <v>0</v>
      </c>
      <c r="O1227" t="str" cm="1">
        <f t="array" ref="O1227" xml:space="preserve"> _xlfn.IFS(A1227 &lt;ASSUMPTIONS!$D$2,"25",A1227 &lt;= ASSUMPTIONS!$D$3,"25-34",A1227 &lt;= ASSUMPTIONS!$D$4, "35-44",A1227 &lt;= ASSUMPTIONS!$D$5,"45-54",TRUE,"55+")</f>
        <v>45-54</v>
      </c>
      <c r="P1227" t="str" cm="1">
        <f t="array" ref="P1227">_xlfn.IFS( J1227 &lt;ASSUMPTIONS!$D$7,"LOW",J1227 &lt;= ASSUMPTIONS!$D$8,"MEDIUM",TRUE, "HIGH")</f>
        <v>HIGH</v>
      </c>
      <c r="Q1227" t="str">
        <f>IF(M1227&lt;ASSUMPTIONS!$D$10,"New (0-2)",IF(M1227&lt;=ASSUMPTIONS!$D$11,"Early (2-5)",IF(M1227&lt;=ASSUMPTIONS!$D$12,"Established (5-10)","Veteran (10+)")))</f>
        <v>Veteran (10+)</v>
      </c>
      <c r="R1227" s="4">
        <f t="shared" si="39"/>
        <v>3</v>
      </c>
    </row>
    <row r="1228" spans="1:18">
      <c r="A1228">
        <f>RAW_DATA!A1228</f>
        <v>32</v>
      </c>
      <c r="B1228" t="str">
        <f>RAW_DATA!B1228</f>
        <v>No</v>
      </c>
      <c r="C1228" t="str">
        <f>RAW_DATA!C1228</f>
        <v>Research &amp; Development</v>
      </c>
      <c r="D1228">
        <f>RAW_DATA!D1228</f>
        <v>10</v>
      </c>
      <c r="E1228">
        <f>RAW_DATA!E1228</f>
        <v>3</v>
      </c>
      <c r="F1228" t="str">
        <f>RAW_DATA!F1228</f>
        <v>Life Sciences</v>
      </c>
      <c r="G1228">
        <f>RAW_DATA!G1228</f>
        <v>1</v>
      </c>
      <c r="H1228">
        <f>RAW_DATA!H1228</f>
        <v>3</v>
      </c>
      <c r="I1228" t="str">
        <f>RAW_DATA!I1228</f>
        <v>Married</v>
      </c>
      <c r="J1228">
        <f>RAW_DATA!J1228</f>
        <v>3433</v>
      </c>
      <c r="K1228">
        <f>RAW_DATA!K1228</f>
        <v>6</v>
      </c>
      <c r="L1228">
        <f>RAW_DATA!L1228</f>
        <v>2</v>
      </c>
      <c r="M1228">
        <f>RAW_DATA!M1228</f>
        <v>5</v>
      </c>
      <c r="N1228">
        <f t="shared" si="38"/>
        <v>0</v>
      </c>
      <c r="O1228" t="str" cm="1">
        <f t="array" ref="O1228" xml:space="preserve"> _xlfn.IFS(A1228 &lt;ASSUMPTIONS!$D$2,"25",A1228 &lt;= ASSUMPTIONS!$D$3,"25-34",A1228 &lt;= ASSUMPTIONS!$D$4, "35-44",A1228 &lt;= ASSUMPTIONS!$D$5,"45-54",TRUE,"55+")</f>
        <v>25-34</v>
      </c>
      <c r="P1228" t="str" cm="1">
        <f t="array" ref="P1228">_xlfn.IFS( J1228 &lt;ASSUMPTIONS!$D$7,"LOW",J1228 &lt;= ASSUMPTIONS!$D$8,"MEDIUM",TRUE, "HIGH")</f>
        <v>MEDIUM</v>
      </c>
      <c r="Q1228" t="str">
        <f>IF(M1228&lt;ASSUMPTIONS!$D$10,"New (0-2)",IF(M1228&lt;=ASSUMPTIONS!$D$11,"Early (2-5)",IF(M1228&lt;=ASSUMPTIONS!$D$12,"Established (5-10)","Veteran (10+)")))</f>
        <v>Early (2-5)</v>
      </c>
      <c r="R1228" s="4">
        <f t="shared" si="39"/>
        <v>2</v>
      </c>
    </row>
    <row r="1229" spans="1:18">
      <c r="A1229">
        <f>RAW_DATA!A1229</f>
        <v>31</v>
      </c>
      <c r="B1229" t="str">
        <f>RAW_DATA!B1229</f>
        <v>No</v>
      </c>
      <c r="C1229" t="str">
        <f>RAW_DATA!C1229</f>
        <v>Research &amp; Development</v>
      </c>
      <c r="D1229">
        <f>RAW_DATA!D1229</f>
        <v>2</v>
      </c>
      <c r="E1229">
        <f>RAW_DATA!E1229</f>
        <v>4</v>
      </c>
      <c r="F1229" t="str">
        <f>RAW_DATA!F1229</f>
        <v>Life Sciences</v>
      </c>
      <c r="G1229">
        <f>RAW_DATA!G1229</f>
        <v>2</v>
      </c>
      <c r="H1229">
        <f>RAW_DATA!H1229</f>
        <v>3</v>
      </c>
      <c r="I1229" t="str">
        <f>RAW_DATA!I1229</f>
        <v>Married</v>
      </c>
      <c r="J1229">
        <f>RAW_DATA!J1229</f>
        <v>3477</v>
      </c>
      <c r="K1229">
        <f>RAW_DATA!K1229</f>
        <v>1</v>
      </c>
      <c r="L1229">
        <f>RAW_DATA!L1229</f>
        <v>4</v>
      </c>
      <c r="M1229">
        <f>RAW_DATA!M1229</f>
        <v>5</v>
      </c>
      <c r="N1229">
        <f t="shared" si="38"/>
        <v>0</v>
      </c>
      <c r="O1229" t="str" cm="1">
        <f t="array" ref="O1229" xml:space="preserve"> _xlfn.IFS(A1229 &lt;ASSUMPTIONS!$D$2,"25",A1229 &lt;= ASSUMPTIONS!$D$3,"25-34",A1229 &lt;= ASSUMPTIONS!$D$4, "35-44",A1229 &lt;= ASSUMPTIONS!$D$5,"45-54",TRUE,"55+")</f>
        <v>25-34</v>
      </c>
      <c r="P1229" t="str" cm="1">
        <f t="array" ref="P1229">_xlfn.IFS( J1229 &lt;ASSUMPTIONS!$D$7,"LOW",J1229 &lt;= ASSUMPTIONS!$D$8,"MEDIUM",TRUE, "HIGH")</f>
        <v>MEDIUM</v>
      </c>
      <c r="Q1229" t="str">
        <f>IF(M1229&lt;ASSUMPTIONS!$D$10,"New (0-2)",IF(M1229&lt;=ASSUMPTIONS!$D$11,"Early (2-5)",IF(M1229&lt;=ASSUMPTIONS!$D$12,"Established (5-10)","Veteran (10+)")))</f>
        <v>Early (2-5)</v>
      </c>
      <c r="R1229" s="4">
        <f t="shared" si="39"/>
        <v>3</v>
      </c>
    </row>
    <row r="1230" spans="1:18">
      <c r="A1230">
        <f>RAW_DATA!A1230</f>
        <v>41</v>
      </c>
      <c r="B1230" t="str">
        <f>RAW_DATA!B1230</f>
        <v>No</v>
      </c>
      <c r="C1230" t="str">
        <f>RAW_DATA!C1230</f>
        <v>Human Resources</v>
      </c>
      <c r="D1230">
        <f>RAW_DATA!D1230</f>
        <v>4</v>
      </c>
      <c r="E1230">
        <f>RAW_DATA!E1230</f>
        <v>3</v>
      </c>
      <c r="F1230" t="str">
        <f>RAW_DATA!F1230</f>
        <v>Human Resources</v>
      </c>
      <c r="G1230">
        <f>RAW_DATA!G1230</f>
        <v>3</v>
      </c>
      <c r="H1230">
        <f>RAW_DATA!H1230</f>
        <v>2</v>
      </c>
      <c r="I1230" t="str">
        <f>RAW_DATA!I1230</f>
        <v>Married</v>
      </c>
      <c r="J1230">
        <f>RAW_DATA!J1230</f>
        <v>6430</v>
      </c>
      <c r="K1230">
        <f>RAW_DATA!K1230</f>
        <v>6</v>
      </c>
      <c r="L1230">
        <f>RAW_DATA!L1230</f>
        <v>3</v>
      </c>
      <c r="M1230">
        <f>RAW_DATA!M1230</f>
        <v>3</v>
      </c>
      <c r="N1230">
        <f t="shared" si="38"/>
        <v>0</v>
      </c>
      <c r="O1230" t="str" cm="1">
        <f t="array" ref="O1230" xml:space="preserve"> _xlfn.IFS(A1230 &lt;ASSUMPTIONS!$D$2,"25",A1230 &lt;= ASSUMPTIONS!$D$3,"25-34",A1230 &lt;= ASSUMPTIONS!$D$4, "35-44",A1230 &lt;= ASSUMPTIONS!$D$5,"45-54",TRUE,"55+")</f>
        <v>35-44</v>
      </c>
      <c r="P1230" t="str" cm="1">
        <f t="array" ref="P1230">_xlfn.IFS( J1230 &lt;ASSUMPTIONS!$D$7,"LOW",J1230 &lt;= ASSUMPTIONS!$D$8,"MEDIUM",TRUE, "HIGH")</f>
        <v>MEDIUM</v>
      </c>
      <c r="Q1230" t="str">
        <f>IF(M1230&lt;ASSUMPTIONS!$D$10,"New (0-2)",IF(M1230&lt;=ASSUMPTIONS!$D$11,"Early (2-5)",IF(M1230&lt;=ASSUMPTIONS!$D$12,"Established (5-10)","Veteran (10+)")))</f>
        <v>Early (2-5)</v>
      </c>
      <c r="R1230" s="4">
        <f t="shared" si="39"/>
        <v>2.6666666666666665</v>
      </c>
    </row>
    <row r="1231" spans="1:18">
      <c r="A1231">
        <f>RAW_DATA!A1231</f>
        <v>40</v>
      </c>
      <c r="B1231" t="str">
        <f>RAW_DATA!B1231</f>
        <v>No</v>
      </c>
      <c r="C1231" t="str">
        <f>RAW_DATA!C1231</f>
        <v>Research &amp; Development</v>
      </c>
      <c r="D1231">
        <f>RAW_DATA!D1231</f>
        <v>8</v>
      </c>
      <c r="E1231">
        <f>RAW_DATA!E1231</f>
        <v>2</v>
      </c>
      <c r="F1231" t="str">
        <f>RAW_DATA!F1231</f>
        <v>Life Sciences</v>
      </c>
      <c r="G1231">
        <f>RAW_DATA!G1231</f>
        <v>2</v>
      </c>
      <c r="H1231">
        <f>RAW_DATA!H1231</f>
        <v>1</v>
      </c>
      <c r="I1231" t="str">
        <f>RAW_DATA!I1231</f>
        <v>Married</v>
      </c>
      <c r="J1231">
        <f>RAW_DATA!J1231</f>
        <v>6516</v>
      </c>
      <c r="K1231">
        <f>RAW_DATA!K1231</f>
        <v>2</v>
      </c>
      <c r="L1231">
        <f>RAW_DATA!L1231</f>
        <v>3</v>
      </c>
      <c r="M1231">
        <f>RAW_DATA!M1231</f>
        <v>1</v>
      </c>
      <c r="N1231">
        <f t="shared" si="38"/>
        <v>0</v>
      </c>
      <c r="O1231" t="str" cm="1">
        <f t="array" ref="O1231" xml:space="preserve"> _xlfn.IFS(A1231 &lt;ASSUMPTIONS!$D$2,"25",A1231 &lt;= ASSUMPTIONS!$D$3,"25-34",A1231 &lt;= ASSUMPTIONS!$D$4, "35-44",A1231 &lt;= ASSUMPTIONS!$D$5,"45-54",TRUE,"55+")</f>
        <v>35-44</v>
      </c>
      <c r="P1231" t="str" cm="1">
        <f t="array" ref="P1231">_xlfn.IFS( J1231 &lt;ASSUMPTIONS!$D$7,"LOW",J1231 &lt;= ASSUMPTIONS!$D$8,"MEDIUM",TRUE, "HIGH")</f>
        <v>MEDIUM</v>
      </c>
      <c r="Q1231" t="str">
        <f>IF(M1231&lt;ASSUMPTIONS!$D$10,"New (0-2)",IF(M1231&lt;=ASSUMPTIONS!$D$11,"Early (2-5)",IF(M1231&lt;=ASSUMPTIONS!$D$12,"Established (5-10)","Veteran (10+)")))</f>
        <v>New (0-2)</v>
      </c>
      <c r="R1231" s="4">
        <f t="shared" si="39"/>
        <v>2</v>
      </c>
    </row>
    <row r="1232" spans="1:18">
      <c r="A1232">
        <f>RAW_DATA!A1232</f>
        <v>24</v>
      </c>
      <c r="B1232" t="str">
        <f>RAW_DATA!B1232</f>
        <v>No</v>
      </c>
      <c r="C1232" t="str">
        <f>RAW_DATA!C1232</f>
        <v>Research &amp; Development</v>
      </c>
      <c r="D1232">
        <f>RAW_DATA!D1232</f>
        <v>29</v>
      </c>
      <c r="E1232">
        <f>RAW_DATA!E1232</f>
        <v>1</v>
      </c>
      <c r="F1232" t="str">
        <f>RAW_DATA!F1232</f>
        <v>Medical</v>
      </c>
      <c r="G1232">
        <f>RAW_DATA!G1232</f>
        <v>2</v>
      </c>
      <c r="H1232">
        <f>RAW_DATA!H1232</f>
        <v>1</v>
      </c>
      <c r="I1232" t="str">
        <f>RAW_DATA!I1232</f>
        <v>Divorced</v>
      </c>
      <c r="J1232">
        <f>RAW_DATA!J1232</f>
        <v>3907</v>
      </c>
      <c r="K1232">
        <f>RAW_DATA!K1232</f>
        <v>1</v>
      </c>
      <c r="L1232">
        <f>RAW_DATA!L1232</f>
        <v>4</v>
      </c>
      <c r="M1232">
        <f>RAW_DATA!M1232</f>
        <v>6</v>
      </c>
      <c r="N1232">
        <f t="shared" si="38"/>
        <v>0</v>
      </c>
      <c r="O1232" t="str" cm="1">
        <f t="array" ref="O1232" xml:space="preserve"> _xlfn.IFS(A1232 &lt;ASSUMPTIONS!$D$2,"25",A1232 &lt;= ASSUMPTIONS!$D$3,"25-34",A1232 &lt;= ASSUMPTIONS!$D$4, "35-44",A1232 &lt;= ASSUMPTIONS!$D$5,"45-54",TRUE,"55+")</f>
        <v>25</v>
      </c>
      <c r="P1232" t="str" cm="1">
        <f t="array" ref="P1232">_xlfn.IFS( J1232 &lt;ASSUMPTIONS!$D$7,"LOW",J1232 &lt;= ASSUMPTIONS!$D$8,"MEDIUM",TRUE, "HIGH")</f>
        <v>MEDIUM</v>
      </c>
      <c r="Q1232" t="str">
        <f>IF(M1232&lt;ASSUMPTIONS!$D$10,"New (0-2)",IF(M1232&lt;=ASSUMPTIONS!$D$11,"Early (2-5)",IF(M1232&lt;=ASSUMPTIONS!$D$12,"Established (5-10)","Veteran (10+)")))</f>
        <v>Established (5-10)</v>
      </c>
      <c r="R1232" s="4">
        <f t="shared" si="39"/>
        <v>2.3333333333333335</v>
      </c>
    </row>
    <row r="1233" spans="1:18">
      <c r="A1233">
        <f>RAW_DATA!A1233</f>
        <v>46</v>
      </c>
      <c r="B1233" t="str">
        <f>RAW_DATA!B1233</f>
        <v>No</v>
      </c>
      <c r="C1233" t="str">
        <f>RAW_DATA!C1233</f>
        <v>Research &amp; Development</v>
      </c>
      <c r="D1233">
        <f>RAW_DATA!D1233</f>
        <v>13</v>
      </c>
      <c r="E1233">
        <f>RAW_DATA!E1233</f>
        <v>4</v>
      </c>
      <c r="F1233" t="str">
        <f>RAW_DATA!F1233</f>
        <v>Life Sciences</v>
      </c>
      <c r="G1233">
        <f>RAW_DATA!G1233</f>
        <v>3</v>
      </c>
      <c r="H1233">
        <f>RAW_DATA!H1233</f>
        <v>2</v>
      </c>
      <c r="I1233" t="str">
        <f>RAW_DATA!I1233</f>
        <v>Single</v>
      </c>
      <c r="J1233">
        <f>RAW_DATA!J1233</f>
        <v>5562</v>
      </c>
      <c r="K1233">
        <f>RAW_DATA!K1233</f>
        <v>6</v>
      </c>
      <c r="L1233">
        <f>RAW_DATA!L1233</f>
        <v>3</v>
      </c>
      <c r="M1233">
        <f>RAW_DATA!M1233</f>
        <v>10</v>
      </c>
      <c r="N1233">
        <f t="shared" si="38"/>
        <v>0</v>
      </c>
      <c r="O1233" t="str" cm="1">
        <f t="array" ref="O1233" xml:space="preserve"> _xlfn.IFS(A1233 &lt;ASSUMPTIONS!$D$2,"25",A1233 &lt;= ASSUMPTIONS!$D$3,"25-34",A1233 &lt;= ASSUMPTIONS!$D$4, "35-44",A1233 &lt;= ASSUMPTIONS!$D$5,"45-54",TRUE,"55+")</f>
        <v>45-54</v>
      </c>
      <c r="P1233" t="str" cm="1">
        <f t="array" ref="P1233">_xlfn.IFS( J1233 &lt;ASSUMPTIONS!$D$7,"LOW",J1233 &lt;= ASSUMPTIONS!$D$8,"MEDIUM",TRUE, "HIGH")</f>
        <v>MEDIUM</v>
      </c>
      <c r="Q1233" t="str">
        <f>IF(M1233&lt;ASSUMPTIONS!$D$10,"New (0-2)",IF(M1233&lt;=ASSUMPTIONS!$D$11,"Early (2-5)",IF(M1233&lt;=ASSUMPTIONS!$D$12,"Established (5-10)","Veteran (10+)")))</f>
        <v>Established (5-10)</v>
      </c>
      <c r="R1233" s="4">
        <f t="shared" si="39"/>
        <v>2.6666666666666665</v>
      </c>
    </row>
    <row r="1234" spans="1:18">
      <c r="A1234">
        <f>RAW_DATA!A1234</f>
        <v>35</v>
      </c>
      <c r="B1234" t="str">
        <f>RAW_DATA!B1234</f>
        <v>No</v>
      </c>
      <c r="C1234" t="str">
        <f>RAW_DATA!C1234</f>
        <v>Research &amp; Development</v>
      </c>
      <c r="D1234">
        <f>RAW_DATA!D1234</f>
        <v>27</v>
      </c>
      <c r="E1234">
        <f>RAW_DATA!E1234</f>
        <v>4</v>
      </c>
      <c r="F1234" t="str">
        <f>RAW_DATA!F1234</f>
        <v>Life Sciences</v>
      </c>
      <c r="G1234">
        <f>RAW_DATA!G1234</f>
        <v>4</v>
      </c>
      <c r="H1234">
        <f>RAW_DATA!H1234</f>
        <v>3</v>
      </c>
      <c r="I1234" t="str">
        <f>RAW_DATA!I1234</f>
        <v>Married</v>
      </c>
      <c r="J1234">
        <f>RAW_DATA!J1234</f>
        <v>6883</v>
      </c>
      <c r="K1234">
        <f>RAW_DATA!K1234</f>
        <v>2</v>
      </c>
      <c r="L1234">
        <f>RAW_DATA!L1234</f>
        <v>3</v>
      </c>
      <c r="M1234">
        <f>RAW_DATA!M1234</f>
        <v>7</v>
      </c>
      <c r="N1234">
        <f t="shared" si="38"/>
        <v>0</v>
      </c>
      <c r="O1234" t="str" cm="1">
        <f t="array" ref="O1234" xml:space="preserve"> _xlfn.IFS(A1234 &lt;ASSUMPTIONS!$D$2,"25",A1234 &lt;= ASSUMPTIONS!$D$3,"25-34",A1234 &lt;= ASSUMPTIONS!$D$4, "35-44",A1234 &lt;= ASSUMPTIONS!$D$5,"45-54",TRUE,"55+")</f>
        <v>35-44</v>
      </c>
      <c r="P1234" t="str" cm="1">
        <f t="array" ref="P1234">_xlfn.IFS( J1234 &lt;ASSUMPTIONS!$D$7,"LOW",J1234 &lt;= ASSUMPTIONS!$D$8,"MEDIUM",TRUE, "HIGH")</f>
        <v>MEDIUM</v>
      </c>
      <c r="Q1234" t="str">
        <f>IF(M1234&lt;ASSUMPTIONS!$D$10,"New (0-2)",IF(M1234&lt;=ASSUMPTIONS!$D$11,"Early (2-5)",IF(M1234&lt;=ASSUMPTIONS!$D$12,"Established (5-10)","Veteran (10+)")))</f>
        <v>Established (5-10)</v>
      </c>
      <c r="R1234" s="4">
        <f t="shared" si="39"/>
        <v>3.3333333333333335</v>
      </c>
    </row>
    <row r="1235" spans="1:18">
      <c r="A1235">
        <f>RAW_DATA!A1235</f>
        <v>30</v>
      </c>
      <c r="B1235" t="str">
        <f>RAW_DATA!B1235</f>
        <v>No</v>
      </c>
      <c r="C1235" t="str">
        <f>RAW_DATA!C1235</f>
        <v>Research &amp; Development</v>
      </c>
      <c r="D1235">
        <f>RAW_DATA!D1235</f>
        <v>16</v>
      </c>
      <c r="E1235">
        <f>RAW_DATA!E1235</f>
        <v>1</v>
      </c>
      <c r="F1235" t="str">
        <f>RAW_DATA!F1235</f>
        <v>Life Sciences</v>
      </c>
      <c r="G1235">
        <f>RAW_DATA!G1235</f>
        <v>2</v>
      </c>
      <c r="H1235">
        <f>RAW_DATA!H1235</f>
        <v>4</v>
      </c>
      <c r="I1235" t="str">
        <f>RAW_DATA!I1235</f>
        <v>Married</v>
      </c>
      <c r="J1235">
        <f>RAW_DATA!J1235</f>
        <v>2862</v>
      </c>
      <c r="K1235">
        <f>RAW_DATA!K1235</f>
        <v>1</v>
      </c>
      <c r="L1235">
        <f>RAW_DATA!L1235</f>
        <v>2</v>
      </c>
      <c r="M1235">
        <f>RAW_DATA!M1235</f>
        <v>10</v>
      </c>
      <c r="N1235">
        <f t="shared" si="38"/>
        <v>0</v>
      </c>
      <c r="O1235" t="str" cm="1">
        <f t="array" ref="O1235" xml:space="preserve"> _xlfn.IFS(A1235 &lt;ASSUMPTIONS!$D$2,"25",A1235 &lt;= ASSUMPTIONS!$D$3,"25-34",A1235 &lt;= ASSUMPTIONS!$D$4, "35-44",A1235 &lt;= ASSUMPTIONS!$D$5,"45-54",TRUE,"55+")</f>
        <v>25-34</v>
      </c>
      <c r="P1235" t="str" cm="1">
        <f t="array" ref="P1235">_xlfn.IFS( J1235 &lt;ASSUMPTIONS!$D$7,"LOW",J1235 &lt;= ASSUMPTIONS!$D$8,"MEDIUM",TRUE, "HIGH")</f>
        <v>LOW</v>
      </c>
      <c r="Q1235" t="str">
        <f>IF(M1235&lt;ASSUMPTIONS!$D$10,"New (0-2)",IF(M1235&lt;=ASSUMPTIONS!$D$11,"Early (2-5)",IF(M1235&lt;=ASSUMPTIONS!$D$12,"Established (5-10)","Veteran (10+)")))</f>
        <v>Established (5-10)</v>
      </c>
      <c r="R1235" s="4">
        <f t="shared" si="39"/>
        <v>2.6666666666666665</v>
      </c>
    </row>
    <row r="1236" spans="1:18">
      <c r="A1236">
        <f>RAW_DATA!A1236</f>
        <v>47</v>
      </c>
      <c r="B1236" t="str">
        <f>RAW_DATA!B1236</f>
        <v>No</v>
      </c>
      <c r="C1236" t="str">
        <f>RAW_DATA!C1236</f>
        <v>Sales</v>
      </c>
      <c r="D1236">
        <f>RAW_DATA!D1236</f>
        <v>2</v>
      </c>
      <c r="E1236">
        <f>RAW_DATA!E1236</f>
        <v>4</v>
      </c>
      <c r="F1236" t="str">
        <f>RAW_DATA!F1236</f>
        <v>Marketing</v>
      </c>
      <c r="G1236">
        <f>RAW_DATA!G1236</f>
        <v>3</v>
      </c>
      <c r="H1236">
        <f>RAW_DATA!H1236</f>
        <v>2</v>
      </c>
      <c r="I1236" t="str">
        <f>RAW_DATA!I1236</f>
        <v>Married</v>
      </c>
      <c r="J1236">
        <f>RAW_DATA!J1236</f>
        <v>4978</v>
      </c>
      <c r="K1236">
        <f>RAW_DATA!K1236</f>
        <v>7</v>
      </c>
      <c r="L1236">
        <f>RAW_DATA!L1236</f>
        <v>1</v>
      </c>
      <c r="M1236">
        <f>RAW_DATA!M1236</f>
        <v>1</v>
      </c>
      <c r="N1236">
        <f t="shared" si="38"/>
        <v>0</v>
      </c>
      <c r="O1236" t="str" cm="1">
        <f t="array" ref="O1236" xml:space="preserve"> _xlfn.IFS(A1236 &lt;ASSUMPTIONS!$D$2,"25",A1236 &lt;= ASSUMPTIONS!$D$3,"25-34",A1236 &lt;= ASSUMPTIONS!$D$4, "35-44",A1236 &lt;= ASSUMPTIONS!$D$5,"45-54",TRUE,"55+")</f>
        <v>45-54</v>
      </c>
      <c r="P1236" t="str" cm="1">
        <f t="array" ref="P1236">_xlfn.IFS( J1236 &lt;ASSUMPTIONS!$D$7,"LOW",J1236 &lt;= ASSUMPTIONS!$D$8,"MEDIUM",TRUE, "HIGH")</f>
        <v>MEDIUM</v>
      </c>
      <c r="Q1236" t="str">
        <f>IF(M1236&lt;ASSUMPTIONS!$D$10,"New (0-2)",IF(M1236&lt;=ASSUMPTIONS!$D$11,"Early (2-5)",IF(M1236&lt;=ASSUMPTIONS!$D$12,"Established (5-10)","Veteran (10+)")))</f>
        <v>New (0-2)</v>
      </c>
      <c r="R1236" s="4">
        <f t="shared" si="39"/>
        <v>2</v>
      </c>
    </row>
    <row r="1237" spans="1:18">
      <c r="A1237">
        <f>RAW_DATA!A1237</f>
        <v>46</v>
      </c>
      <c r="B1237" t="str">
        <f>RAW_DATA!B1237</f>
        <v>No</v>
      </c>
      <c r="C1237" t="str">
        <f>RAW_DATA!C1237</f>
        <v>Sales</v>
      </c>
      <c r="D1237">
        <f>RAW_DATA!D1237</f>
        <v>2</v>
      </c>
      <c r="E1237">
        <f>RAW_DATA!E1237</f>
        <v>3</v>
      </c>
      <c r="F1237" t="str">
        <f>RAW_DATA!F1237</f>
        <v>Life Sciences</v>
      </c>
      <c r="G1237">
        <f>RAW_DATA!G1237</f>
        <v>3</v>
      </c>
      <c r="H1237">
        <f>RAW_DATA!H1237</f>
        <v>4</v>
      </c>
      <c r="I1237" t="str">
        <f>RAW_DATA!I1237</f>
        <v>Divorced</v>
      </c>
      <c r="J1237">
        <f>RAW_DATA!J1237</f>
        <v>10368</v>
      </c>
      <c r="K1237">
        <f>RAW_DATA!K1237</f>
        <v>4</v>
      </c>
      <c r="L1237">
        <f>RAW_DATA!L1237</f>
        <v>2</v>
      </c>
      <c r="M1237">
        <f>RAW_DATA!M1237</f>
        <v>10</v>
      </c>
      <c r="N1237">
        <f t="shared" si="38"/>
        <v>0</v>
      </c>
      <c r="O1237" t="str" cm="1">
        <f t="array" ref="O1237" xml:space="preserve"> _xlfn.IFS(A1237 &lt;ASSUMPTIONS!$D$2,"25",A1237 &lt;= ASSUMPTIONS!$D$3,"25-34",A1237 &lt;= ASSUMPTIONS!$D$4, "35-44",A1237 &lt;= ASSUMPTIONS!$D$5,"45-54",TRUE,"55+")</f>
        <v>45-54</v>
      </c>
      <c r="P1237" t="str" cm="1">
        <f t="array" ref="P1237">_xlfn.IFS( J1237 &lt;ASSUMPTIONS!$D$7,"LOW",J1237 &lt;= ASSUMPTIONS!$D$8,"MEDIUM",TRUE, "HIGH")</f>
        <v>HIGH</v>
      </c>
      <c r="Q1237" t="str">
        <f>IF(M1237&lt;ASSUMPTIONS!$D$10,"New (0-2)",IF(M1237&lt;=ASSUMPTIONS!$D$11,"Early (2-5)",IF(M1237&lt;=ASSUMPTIONS!$D$12,"Established (5-10)","Veteran (10+)")))</f>
        <v>Established (5-10)</v>
      </c>
      <c r="R1237" s="4">
        <f t="shared" si="39"/>
        <v>3</v>
      </c>
    </row>
    <row r="1238" spans="1:18">
      <c r="A1238">
        <f>RAW_DATA!A1238</f>
        <v>36</v>
      </c>
      <c r="B1238" t="str">
        <f>RAW_DATA!B1238</f>
        <v>Yes</v>
      </c>
      <c r="C1238" t="str">
        <f>RAW_DATA!C1238</f>
        <v>Sales</v>
      </c>
      <c r="D1238">
        <f>RAW_DATA!D1238</f>
        <v>13</v>
      </c>
      <c r="E1238">
        <f>RAW_DATA!E1238</f>
        <v>5</v>
      </c>
      <c r="F1238" t="str">
        <f>RAW_DATA!F1238</f>
        <v>Marketing</v>
      </c>
      <c r="G1238">
        <f>RAW_DATA!G1238</f>
        <v>2</v>
      </c>
      <c r="H1238">
        <f>RAW_DATA!H1238</f>
        <v>1</v>
      </c>
      <c r="I1238" t="str">
        <f>RAW_DATA!I1238</f>
        <v>Divorced</v>
      </c>
      <c r="J1238">
        <f>RAW_DATA!J1238</f>
        <v>6134</v>
      </c>
      <c r="K1238">
        <f>RAW_DATA!K1238</f>
        <v>5</v>
      </c>
      <c r="L1238">
        <f>RAW_DATA!L1238</f>
        <v>3</v>
      </c>
      <c r="M1238">
        <f>RAW_DATA!M1238</f>
        <v>2</v>
      </c>
      <c r="N1238">
        <f t="shared" si="38"/>
        <v>1</v>
      </c>
      <c r="O1238" t="str" cm="1">
        <f t="array" ref="O1238" xml:space="preserve"> _xlfn.IFS(A1238 &lt;ASSUMPTIONS!$D$2,"25",A1238 &lt;= ASSUMPTIONS!$D$3,"25-34",A1238 &lt;= ASSUMPTIONS!$D$4, "35-44",A1238 &lt;= ASSUMPTIONS!$D$5,"45-54",TRUE,"55+")</f>
        <v>35-44</v>
      </c>
      <c r="P1238" t="str" cm="1">
        <f t="array" ref="P1238">_xlfn.IFS( J1238 &lt;ASSUMPTIONS!$D$7,"LOW",J1238 &lt;= ASSUMPTIONS!$D$8,"MEDIUM",TRUE, "HIGH")</f>
        <v>MEDIUM</v>
      </c>
      <c r="Q1238" t="str">
        <f>IF(M1238&lt;ASSUMPTIONS!$D$10,"New (0-2)",IF(M1238&lt;=ASSUMPTIONS!$D$11,"Early (2-5)",IF(M1238&lt;=ASSUMPTIONS!$D$12,"Established (5-10)","Veteran (10+)")))</f>
        <v>Early (2-5)</v>
      </c>
      <c r="R1238" s="4">
        <f t="shared" si="39"/>
        <v>2</v>
      </c>
    </row>
    <row r="1239" spans="1:18">
      <c r="A1239">
        <f>RAW_DATA!A1239</f>
        <v>32</v>
      </c>
      <c r="B1239" t="str">
        <f>RAW_DATA!B1239</f>
        <v>Yes</v>
      </c>
      <c r="C1239" t="str">
        <f>RAW_DATA!C1239</f>
        <v>Sales</v>
      </c>
      <c r="D1239">
        <f>RAW_DATA!D1239</f>
        <v>1</v>
      </c>
      <c r="E1239">
        <f>RAW_DATA!E1239</f>
        <v>2</v>
      </c>
      <c r="F1239" t="str">
        <f>RAW_DATA!F1239</f>
        <v>Life Sciences</v>
      </c>
      <c r="G1239">
        <f>RAW_DATA!G1239</f>
        <v>1</v>
      </c>
      <c r="H1239">
        <f>RAW_DATA!H1239</f>
        <v>2</v>
      </c>
      <c r="I1239" t="str">
        <f>RAW_DATA!I1239</f>
        <v>Single</v>
      </c>
      <c r="J1239">
        <f>RAW_DATA!J1239</f>
        <v>6735</v>
      </c>
      <c r="K1239">
        <f>RAW_DATA!K1239</f>
        <v>6</v>
      </c>
      <c r="L1239">
        <f>RAW_DATA!L1239</f>
        <v>3</v>
      </c>
      <c r="M1239">
        <f>RAW_DATA!M1239</f>
        <v>0</v>
      </c>
      <c r="N1239">
        <f t="shared" si="38"/>
        <v>1</v>
      </c>
      <c r="O1239" t="str" cm="1">
        <f t="array" ref="O1239" xml:space="preserve"> _xlfn.IFS(A1239 &lt;ASSUMPTIONS!$D$2,"25",A1239 &lt;= ASSUMPTIONS!$D$3,"25-34",A1239 &lt;= ASSUMPTIONS!$D$4, "35-44",A1239 &lt;= ASSUMPTIONS!$D$5,"45-54",TRUE,"55+")</f>
        <v>25-34</v>
      </c>
      <c r="P1239" t="str" cm="1">
        <f t="array" ref="P1239">_xlfn.IFS( J1239 &lt;ASSUMPTIONS!$D$7,"LOW",J1239 &lt;= ASSUMPTIONS!$D$8,"MEDIUM",TRUE, "HIGH")</f>
        <v>MEDIUM</v>
      </c>
      <c r="Q1239" t="str">
        <f>IF(M1239&lt;ASSUMPTIONS!$D$10,"New (0-2)",IF(M1239&lt;=ASSUMPTIONS!$D$11,"Early (2-5)",IF(M1239&lt;=ASSUMPTIONS!$D$12,"Established (5-10)","Veteran (10+)")))</f>
        <v>New (0-2)</v>
      </c>
      <c r="R1239" s="4">
        <f t="shared" si="39"/>
        <v>2</v>
      </c>
    </row>
    <row r="1240" spans="1:18">
      <c r="A1240">
        <f>RAW_DATA!A1240</f>
        <v>23</v>
      </c>
      <c r="B1240" t="str">
        <f>RAW_DATA!B1240</f>
        <v>No</v>
      </c>
      <c r="C1240" t="str">
        <f>RAW_DATA!C1240</f>
        <v>Research &amp; Development</v>
      </c>
      <c r="D1240">
        <f>RAW_DATA!D1240</f>
        <v>4</v>
      </c>
      <c r="E1240">
        <f>RAW_DATA!E1240</f>
        <v>1</v>
      </c>
      <c r="F1240" t="str">
        <f>RAW_DATA!F1240</f>
        <v>Medical</v>
      </c>
      <c r="G1240">
        <f>RAW_DATA!G1240</f>
        <v>3</v>
      </c>
      <c r="H1240">
        <f>RAW_DATA!H1240</f>
        <v>2</v>
      </c>
      <c r="I1240" t="str">
        <f>RAW_DATA!I1240</f>
        <v>Single</v>
      </c>
      <c r="J1240">
        <f>RAW_DATA!J1240</f>
        <v>3295</v>
      </c>
      <c r="K1240">
        <f>RAW_DATA!K1240</f>
        <v>1</v>
      </c>
      <c r="L1240">
        <f>RAW_DATA!L1240</f>
        <v>1</v>
      </c>
      <c r="M1240">
        <f>RAW_DATA!M1240</f>
        <v>3</v>
      </c>
      <c r="N1240">
        <f t="shared" si="38"/>
        <v>0</v>
      </c>
      <c r="O1240" t="str" cm="1">
        <f t="array" ref="O1240" xml:space="preserve"> _xlfn.IFS(A1240 &lt;ASSUMPTIONS!$D$2,"25",A1240 &lt;= ASSUMPTIONS!$D$3,"25-34",A1240 &lt;= ASSUMPTIONS!$D$4, "35-44",A1240 &lt;= ASSUMPTIONS!$D$5,"45-54",TRUE,"55+")</f>
        <v>25</v>
      </c>
      <c r="P1240" t="str" cm="1">
        <f t="array" ref="P1240">_xlfn.IFS( J1240 &lt;ASSUMPTIONS!$D$7,"LOW",J1240 &lt;= ASSUMPTIONS!$D$8,"MEDIUM",TRUE, "HIGH")</f>
        <v>MEDIUM</v>
      </c>
      <c r="Q1240" t="str">
        <f>IF(M1240&lt;ASSUMPTIONS!$D$10,"New (0-2)",IF(M1240&lt;=ASSUMPTIONS!$D$11,"Early (2-5)",IF(M1240&lt;=ASSUMPTIONS!$D$12,"Established (5-10)","Veteran (10+)")))</f>
        <v>Early (2-5)</v>
      </c>
      <c r="R1240" s="4">
        <f t="shared" si="39"/>
        <v>2</v>
      </c>
    </row>
    <row r="1241" spans="1:18">
      <c r="A1241">
        <f>RAW_DATA!A1241</f>
        <v>31</v>
      </c>
      <c r="B1241" t="str">
        <f>RAW_DATA!B1241</f>
        <v>No</v>
      </c>
      <c r="C1241" t="str">
        <f>RAW_DATA!C1241</f>
        <v>Research &amp; Development</v>
      </c>
      <c r="D1241">
        <f>RAW_DATA!D1241</f>
        <v>24</v>
      </c>
      <c r="E1241">
        <f>RAW_DATA!E1241</f>
        <v>1</v>
      </c>
      <c r="F1241" t="str">
        <f>RAW_DATA!F1241</f>
        <v>Technical Degree</v>
      </c>
      <c r="G1241">
        <f>RAW_DATA!G1241</f>
        <v>4</v>
      </c>
      <c r="H1241">
        <f>RAW_DATA!H1241</f>
        <v>4</v>
      </c>
      <c r="I1241" t="str">
        <f>RAW_DATA!I1241</f>
        <v>Single</v>
      </c>
      <c r="J1241">
        <f>RAW_DATA!J1241</f>
        <v>5238</v>
      </c>
      <c r="K1241">
        <f>RAW_DATA!K1241</f>
        <v>2</v>
      </c>
      <c r="L1241">
        <f>RAW_DATA!L1241</f>
        <v>2</v>
      </c>
      <c r="M1241">
        <f>RAW_DATA!M1241</f>
        <v>5</v>
      </c>
      <c r="N1241">
        <f t="shared" si="38"/>
        <v>0</v>
      </c>
      <c r="O1241" t="str" cm="1">
        <f t="array" ref="O1241" xml:space="preserve"> _xlfn.IFS(A1241 &lt;ASSUMPTIONS!$D$2,"25",A1241 &lt;= ASSUMPTIONS!$D$3,"25-34",A1241 &lt;= ASSUMPTIONS!$D$4, "35-44",A1241 &lt;= ASSUMPTIONS!$D$5,"45-54",TRUE,"55+")</f>
        <v>25-34</v>
      </c>
      <c r="P1241" t="str" cm="1">
        <f t="array" ref="P1241">_xlfn.IFS( J1241 &lt;ASSUMPTIONS!$D$7,"LOW",J1241 &lt;= ASSUMPTIONS!$D$8,"MEDIUM",TRUE, "HIGH")</f>
        <v>MEDIUM</v>
      </c>
      <c r="Q1241" t="str">
        <f>IF(M1241&lt;ASSUMPTIONS!$D$10,"New (0-2)",IF(M1241&lt;=ASSUMPTIONS!$D$11,"Early (2-5)",IF(M1241&lt;=ASSUMPTIONS!$D$12,"Established (5-10)","Veteran (10+)")))</f>
        <v>Early (2-5)</v>
      </c>
      <c r="R1241" s="4">
        <f t="shared" si="39"/>
        <v>3.3333333333333335</v>
      </c>
    </row>
    <row r="1242" spans="1:18">
      <c r="A1242">
        <f>RAW_DATA!A1242</f>
        <v>39</v>
      </c>
      <c r="B1242" t="str">
        <f>RAW_DATA!B1242</f>
        <v>No</v>
      </c>
      <c r="C1242" t="str">
        <f>RAW_DATA!C1242</f>
        <v>Research &amp; Development</v>
      </c>
      <c r="D1242">
        <f>RAW_DATA!D1242</f>
        <v>1</v>
      </c>
      <c r="E1242">
        <f>RAW_DATA!E1242</f>
        <v>3</v>
      </c>
      <c r="F1242" t="str">
        <f>RAW_DATA!F1242</f>
        <v>Life Sciences</v>
      </c>
      <c r="G1242">
        <f>RAW_DATA!G1242</f>
        <v>4</v>
      </c>
      <c r="H1242">
        <f>RAW_DATA!H1242</f>
        <v>4</v>
      </c>
      <c r="I1242" t="str">
        <f>RAW_DATA!I1242</f>
        <v>Married</v>
      </c>
      <c r="J1242">
        <f>RAW_DATA!J1242</f>
        <v>6472</v>
      </c>
      <c r="K1242">
        <f>RAW_DATA!K1242</f>
        <v>1</v>
      </c>
      <c r="L1242">
        <f>RAW_DATA!L1242</f>
        <v>3</v>
      </c>
      <c r="M1242">
        <f>RAW_DATA!M1242</f>
        <v>9</v>
      </c>
      <c r="N1242">
        <f t="shared" si="38"/>
        <v>0</v>
      </c>
      <c r="O1242" t="str" cm="1">
        <f t="array" ref="O1242" xml:space="preserve"> _xlfn.IFS(A1242 &lt;ASSUMPTIONS!$D$2,"25",A1242 &lt;= ASSUMPTIONS!$D$3,"25-34",A1242 &lt;= ASSUMPTIONS!$D$4, "35-44",A1242 &lt;= ASSUMPTIONS!$D$5,"45-54",TRUE,"55+")</f>
        <v>35-44</v>
      </c>
      <c r="P1242" t="str" cm="1">
        <f t="array" ref="P1242">_xlfn.IFS( J1242 &lt;ASSUMPTIONS!$D$7,"LOW",J1242 &lt;= ASSUMPTIONS!$D$8,"MEDIUM",TRUE, "HIGH")</f>
        <v>MEDIUM</v>
      </c>
      <c r="Q1242" t="str">
        <f>IF(M1242&lt;ASSUMPTIONS!$D$10,"New (0-2)",IF(M1242&lt;=ASSUMPTIONS!$D$11,"Early (2-5)",IF(M1242&lt;=ASSUMPTIONS!$D$12,"Established (5-10)","Veteran (10+)")))</f>
        <v>Established (5-10)</v>
      </c>
      <c r="R1242" s="4">
        <f t="shared" si="39"/>
        <v>3.6666666666666665</v>
      </c>
    </row>
    <row r="1243" spans="1:18">
      <c r="A1243">
        <f>RAW_DATA!A1243</f>
        <v>32</v>
      </c>
      <c r="B1243" t="str">
        <f>RAW_DATA!B1243</f>
        <v>No</v>
      </c>
      <c r="C1243" t="str">
        <f>RAW_DATA!C1243</f>
        <v>Sales</v>
      </c>
      <c r="D1243">
        <f>RAW_DATA!D1243</f>
        <v>19</v>
      </c>
      <c r="E1243">
        <f>RAW_DATA!E1243</f>
        <v>3</v>
      </c>
      <c r="F1243" t="str">
        <f>RAW_DATA!F1243</f>
        <v>Life Sciences</v>
      </c>
      <c r="G1243">
        <f>RAW_DATA!G1243</f>
        <v>4</v>
      </c>
      <c r="H1243">
        <f>RAW_DATA!H1243</f>
        <v>3</v>
      </c>
      <c r="I1243" t="str">
        <f>RAW_DATA!I1243</f>
        <v>Married</v>
      </c>
      <c r="J1243">
        <f>RAW_DATA!J1243</f>
        <v>9610</v>
      </c>
      <c r="K1243">
        <f>RAW_DATA!K1243</f>
        <v>3</v>
      </c>
      <c r="L1243">
        <f>RAW_DATA!L1243</f>
        <v>1</v>
      </c>
      <c r="M1243">
        <f>RAW_DATA!M1243</f>
        <v>4</v>
      </c>
      <c r="N1243">
        <f t="shared" si="38"/>
        <v>0</v>
      </c>
      <c r="O1243" t="str" cm="1">
        <f t="array" ref="O1243" xml:space="preserve"> _xlfn.IFS(A1243 &lt;ASSUMPTIONS!$D$2,"25",A1243 &lt;= ASSUMPTIONS!$D$3,"25-34",A1243 &lt;= ASSUMPTIONS!$D$4, "35-44",A1243 &lt;= ASSUMPTIONS!$D$5,"45-54",TRUE,"55+")</f>
        <v>25-34</v>
      </c>
      <c r="P1243" t="str" cm="1">
        <f t="array" ref="P1243">_xlfn.IFS( J1243 &lt;ASSUMPTIONS!$D$7,"LOW",J1243 &lt;= ASSUMPTIONS!$D$8,"MEDIUM",TRUE, "HIGH")</f>
        <v>HIGH</v>
      </c>
      <c r="Q1243" t="str">
        <f>IF(M1243&lt;ASSUMPTIONS!$D$10,"New (0-2)",IF(M1243&lt;=ASSUMPTIONS!$D$11,"Early (2-5)",IF(M1243&lt;=ASSUMPTIONS!$D$12,"Established (5-10)","Veteran (10+)")))</f>
        <v>Early (2-5)</v>
      </c>
      <c r="R1243" s="4">
        <f t="shared" si="39"/>
        <v>2.6666666666666665</v>
      </c>
    </row>
    <row r="1244" spans="1:18">
      <c r="A1244">
        <f>RAW_DATA!A1244</f>
        <v>40</v>
      </c>
      <c r="B1244" t="str">
        <f>RAW_DATA!B1244</f>
        <v>No</v>
      </c>
      <c r="C1244" t="str">
        <f>RAW_DATA!C1244</f>
        <v>Sales</v>
      </c>
      <c r="D1244">
        <f>RAW_DATA!D1244</f>
        <v>7</v>
      </c>
      <c r="E1244">
        <f>RAW_DATA!E1244</f>
        <v>4</v>
      </c>
      <c r="F1244" t="str">
        <f>RAW_DATA!F1244</f>
        <v>Medical</v>
      </c>
      <c r="G1244">
        <f>RAW_DATA!G1244</f>
        <v>2</v>
      </c>
      <c r="H1244">
        <f>RAW_DATA!H1244</f>
        <v>2</v>
      </c>
      <c r="I1244" t="str">
        <f>RAW_DATA!I1244</f>
        <v>Single</v>
      </c>
      <c r="J1244">
        <f>RAW_DATA!J1244</f>
        <v>19833</v>
      </c>
      <c r="K1244">
        <f>RAW_DATA!K1244</f>
        <v>1</v>
      </c>
      <c r="L1244">
        <f>RAW_DATA!L1244</f>
        <v>2</v>
      </c>
      <c r="M1244">
        <f>RAW_DATA!M1244</f>
        <v>21</v>
      </c>
      <c r="N1244">
        <f t="shared" si="38"/>
        <v>0</v>
      </c>
      <c r="O1244" t="str" cm="1">
        <f t="array" ref="O1244" xml:space="preserve"> _xlfn.IFS(A1244 &lt;ASSUMPTIONS!$D$2,"25",A1244 &lt;= ASSUMPTIONS!$D$3,"25-34",A1244 &lt;= ASSUMPTIONS!$D$4, "35-44",A1244 &lt;= ASSUMPTIONS!$D$5,"45-54",TRUE,"55+")</f>
        <v>35-44</v>
      </c>
      <c r="P1244" t="str" cm="1">
        <f t="array" ref="P1244">_xlfn.IFS( J1244 &lt;ASSUMPTIONS!$D$7,"LOW",J1244 &lt;= ASSUMPTIONS!$D$8,"MEDIUM",TRUE, "HIGH")</f>
        <v>HIGH</v>
      </c>
      <c r="Q1244" t="str">
        <f>IF(M1244&lt;ASSUMPTIONS!$D$10,"New (0-2)",IF(M1244&lt;=ASSUMPTIONS!$D$11,"Early (2-5)",IF(M1244&lt;=ASSUMPTIONS!$D$12,"Established (5-10)","Veteran (10+)")))</f>
        <v>Veteran (10+)</v>
      </c>
      <c r="R1244" s="4">
        <f t="shared" si="39"/>
        <v>2</v>
      </c>
    </row>
    <row r="1245" spans="1:18">
      <c r="A1245">
        <f>RAW_DATA!A1245</f>
        <v>45</v>
      </c>
      <c r="B1245" t="str">
        <f>RAW_DATA!B1245</f>
        <v>No</v>
      </c>
      <c r="C1245" t="str">
        <f>RAW_DATA!C1245</f>
        <v>Human Resources</v>
      </c>
      <c r="D1245">
        <f>RAW_DATA!D1245</f>
        <v>4</v>
      </c>
      <c r="E1245">
        <f>RAW_DATA!E1245</f>
        <v>3</v>
      </c>
      <c r="F1245" t="str">
        <f>RAW_DATA!F1245</f>
        <v>Life Sciences</v>
      </c>
      <c r="G1245">
        <f>RAW_DATA!G1245</f>
        <v>3</v>
      </c>
      <c r="H1245">
        <f>RAW_DATA!H1245</f>
        <v>3</v>
      </c>
      <c r="I1245" t="str">
        <f>RAW_DATA!I1245</f>
        <v>Married</v>
      </c>
      <c r="J1245">
        <f>RAW_DATA!J1245</f>
        <v>9756</v>
      </c>
      <c r="K1245">
        <f>RAW_DATA!K1245</f>
        <v>4</v>
      </c>
      <c r="L1245">
        <f>RAW_DATA!L1245</f>
        <v>4</v>
      </c>
      <c r="M1245">
        <f>RAW_DATA!M1245</f>
        <v>5</v>
      </c>
      <c r="N1245">
        <f t="shared" si="38"/>
        <v>0</v>
      </c>
      <c r="O1245" t="str" cm="1">
        <f t="array" ref="O1245" xml:space="preserve"> _xlfn.IFS(A1245 &lt;ASSUMPTIONS!$D$2,"25",A1245 &lt;= ASSUMPTIONS!$D$3,"25-34",A1245 &lt;= ASSUMPTIONS!$D$4, "35-44",A1245 &lt;= ASSUMPTIONS!$D$5,"45-54",TRUE,"55+")</f>
        <v>45-54</v>
      </c>
      <c r="P1245" t="str" cm="1">
        <f t="array" ref="P1245">_xlfn.IFS( J1245 &lt;ASSUMPTIONS!$D$7,"LOW",J1245 &lt;= ASSUMPTIONS!$D$8,"MEDIUM",TRUE, "HIGH")</f>
        <v>HIGH</v>
      </c>
      <c r="Q1245" t="str">
        <f>IF(M1245&lt;ASSUMPTIONS!$D$10,"New (0-2)",IF(M1245&lt;=ASSUMPTIONS!$D$11,"Early (2-5)",IF(M1245&lt;=ASSUMPTIONS!$D$12,"Established (5-10)","Veteran (10+)")))</f>
        <v>Early (2-5)</v>
      </c>
      <c r="R1245" s="4">
        <f t="shared" si="39"/>
        <v>3.3333333333333335</v>
      </c>
    </row>
    <row r="1246" spans="1:18">
      <c r="A1246">
        <f>RAW_DATA!A1246</f>
        <v>30</v>
      </c>
      <c r="B1246" t="str">
        <f>RAW_DATA!B1246</f>
        <v>No</v>
      </c>
      <c r="C1246" t="str">
        <f>RAW_DATA!C1246</f>
        <v>Research &amp; Development</v>
      </c>
      <c r="D1246">
        <f>RAW_DATA!D1246</f>
        <v>2</v>
      </c>
      <c r="E1246">
        <f>RAW_DATA!E1246</f>
        <v>4</v>
      </c>
      <c r="F1246" t="str">
        <f>RAW_DATA!F1246</f>
        <v>Technical Degree</v>
      </c>
      <c r="G1246">
        <f>RAW_DATA!G1246</f>
        <v>4</v>
      </c>
      <c r="H1246">
        <f>RAW_DATA!H1246</f>
        <v>1</v>
      </c>
      <c r="I1246" t="str">
        <f>RAW_DATA!I1246</f>
        <v>Single</v>
      </c>
      <c r="J1246">
        <f>RAW_DATA!J1246</f>
        <v>4968</v>
      </c>
      <c r="K1246">
        <f>RAW_DATA!K1246</f>
        <v>0</v>
      </c>
      <c r="L1246">
        <f>RAW_DATA!L1246</f>
        <v>3</v>
      </c>
      <c r="M1246">
        <f>RAW_DATA!M1246</f>
        <v>9</v>
      </c>
      <c r="N1246">
        <f t="shared" si="38"/>
        <v>0</v>
      </c>
      <c r="O1246" t="str" cm="1">
        <f t="array" ref="O1246" xml:space="preserve"> _xlfn.IFS(A1246 &lt;ASSUMPTIONS!$D$2,"25",A1246 &lt;= ASSUMPTIONS!$D$3,"25-34",A1246 &lt;= ASSUMPTIONS!$D$4, "35-44",A1246 &lt;= ASSUMPTIONS!$D$5,"45-54",TRUE,"55+")</f>
        <v>25-34</v>
      </c>
      <c r="P1246" t="str" cm="1">
        <f t="array" ref="P1246">_xlfn.IFS( J1246 &lt;ASSUMPTIONS!$D$7,"LOW",J1246 &lt;= ASSUMPTIONS!$D$8,"MEDIUM",TRUE, "HIGH")</f>
        <v>MEDIUM</v>
      </c>
      <c r="Q1246" t="str">
        <f>IF(M1246&lt;ASSUMPTIONS!$D$10,"New (0-2)",IF(M1246&lt;=ASSUMPTIONS!$D$11,"Early (2-5)",IF(M1246&lt;=ASSUMPTIONS!$D$12,"Established (5-10)","Veteran (10+)")))</f>
        <v>Established (5-10)</v>
      </c>
      <c r="R1246" s="4">
        <f t="shared" si="39"/>
        <v>2.6666666666666665</v>
      </c>
    </row>
    <row r="1247" spans="1:18">
      <c r="A1247">
        <f>RAW_DATA!A1247</f>
        <v>24</v>
      </c>
      <c r="B1247" t="str">
        <f>RAW_DATA!B1247</f>
        <v>No</v>
      </c>
      <c r="C1247" t="str">
        <f>RAW_DATA!C1247</f>
        <v>Human Resources</v>
      </c>
      <c r="D1247">
        <f>RAW_DATA!D1247</f>
        <v>10</v>
      </c>
      <c r="E1247">
        <f>RAW_DATA!E1247</f>
        <v>3</v>
      </c>
      <c r="F1247" t="str">
        <f>RAW_DATA!F1247</f>
        <v>Medical</v>
      </c>
      <c r="G1247">
        <f>RAW_DATA!G1247</f>
        <v>1</v>
      </c>
      <c r="H1247">
        <f>RAW_DATA!H1247</f>
        <v>4</v>
      </c>
      <c r="I1247" t="str">
        <f>RAW_DATA!I1247</f>
        <v>Married</v>
      </c>
      <c r="J1247">
        <f>RAW_DATA!J1247</f>
        <v>2145</v>
      </c>
      <c r="K1247">
        <f>RAW_DATA!K1247</f>
        <v>0</v>
      </c>
      <c r="L1247">
        <f>RAW_DATA!L1247</f>
        <v>3</v>
      </c>
      <c r="M1247">
        <f>RAW_DATA!M1247</f>
        <v>2</v>
      </c>
      <c r="N1247">
        <f t="shared" si="38"/>
        <v>0</v>
      </c>
      <c r="O1247" t="str" cm="1">
        <f t="array" ref="O1247" xml:space="preserve"> _xlfn.IFS(A1247 &lt;ASSUMPTIONS!$D$2,"25",A1247 &lt;= ASSUMPTIONS!$D$3,"25-34",A1247 &lt;= ASSUMPTIONS!$D$4, "35-44",A1247 &lt;= ASSUMPTIONS!$D$5,"45-54",TRUE,"55+")</f>
        <v>25</v>
      </c>
      <c r="P1247" t="str" cm="1">
        <f t="array" ref="P1247">_xlfn.IFS( J1247 &lt;ASSUMPTIONS!$D$7,"LOW",J1247 &lt;= ASSUMPTIONS!$D$8,"MEDIUM",TRUE, "HIGH")</f>
        <v>LOW</v>
      </c>
      <c r="Q1247" t="str">
        <f>IF(M1247&lt;ASSUMPTIONS!$D$10,"New (0-2)",IF(M1247&lt;=ASSUMPTIONS!$D$11,"Early (2-5)",IF(M1247&lt;=ASSUMPTIONS!$D$12,"Established (5-10)","Veteran (10+)")))</f>
        <v>Early (2-5)</v>
      </c>
      <c r="R1247" s="4">
        <f t="shared" si="39"/>
        <v>2.6666666666666665</v>
      </c>
    </row>
    <row r="1248" spans="1:18">
      <c r="A1248">
        <f>RAW_DATA!A1248</f>
        <v>30</v>
      </c>
      <c r="B1248" t="str">
        <f>RAW_DATA!B1248</f>
        <v>Yes</v>
      </c>
      <c r="C1248" t="str">
        <f>RAW_DATA!C1248</f>
        <v>Human Resources</v>
      </c>
      <c r="D1248">
        <f>RAW_DATA!D1248</f>
        <v>8</v>
      </c>
      <c r="E1248">
        <f>RAW_DATA!E1248</f>
        <v>3</v>
      </c>
      <c r="F1248" t="str">
        <f>RAW_DATA!F1248</f>
        <v>Human Resources</v>
      </c>
      <c r="G1248">
        <f>RAW_DATA!G1248</f>
        <v>3</v>
      </c>
      <c r="H1248">
        <f>RAW_DATA!H1248</f>
        <v>4</v>
      </c>
      <c r="I1248" t="str">
        <f>RAW_DATA!I1248</f>
        <v>Divorced</v>
      </c>
      <c r="J1248">
        <f>RAW_DATA!J1248</f>
        <v>2180</v>
      </c>
      <c r="K1248">
        <f>RAW_DATA!K1248</f>
        <v>6</v>
      </c>
      <c r="L1248">
        <f>RAW_DATA!L1248</f>
        <v>2</v>
      </c>
      <c r="M1248">
        <f>RAW_DATA!M1248</f>
        <v>4</v>
      </c>
      <c r="N1248">
        <f t="shared" si="38"/>
        <v>1</v>
      </c>
      <c r="O1248" t="str" cm="1">
        <f t="array" ref="O1248" xml:space="preserve"> _xlfn.IFS(A1248 &lt;ASSUMPTIONS!$D$2,"25",A1248 &lt;= ASSUMPTIONS!$D$3,"25-34",A1248 &lt;= ASSUMPTIONS!$D$4, "35-44",A1248 &lt;= ASSUMPTIONS!$D$5,"45-54",TRUE,"55+")</f>
        <v>25-34</v>
      </c>
      <c r="P1248" t="str" cm="1">
        <f t="array" ref="P1248">_xlfn.IFS( J1248 &lt;ASSUMPTIONS!$D$7,"LOW",J1248 &lt;= ASSUMPTIONS!$D$8,"MEDIUM",TRUE, "HIGH")</f>
        <v>LOW</v>
      </c>
      <c r="Q1248" t="str">
        <f>IF(M1248&lt;ASSUMPTIONS!$D$10,"New (0-2)",IF(M1248&lt;=ASSUMPTIONS!$D$11,"Early (2-5)",IF(M1248&lt;=ASSUMPTIONS!$D$12,"Established (5-10)","Veteran (10+)")))</f>
        <v>Early (2-5)</v>
      </c>
      <c r="R1248" s="4">
        <f t="shared" si="39"/>
        <v>3</v>
      </c>
    </row>
    <row r="1249" spans="1:18">
      <c r="A1249">
        <f>RAW_DATA!A1249</f>
        <v>31</v>
      </c>
      <c r="B1249" t="str">
        <f>RAW_DATA!B1249</f>
        <v>No</v>
      </c>
      <c r="C1249" t="str">
        <f>RAW_DATA!C1249</f>
        <v>Sales</v>
      </c>
      <c r="D1249">
        <f>RAW_DATA!D1249</f>
        <v>5</v>
      </c>
      <c r="E1249">
        <f>RAW_DATA!E1249</f>
        <v>3</v>
      </c>
      <c r="F1249" t="str">
        <f>RAW_DATA!F1249</f>
        <v>Technical Degree</v>
      </c>
      <c r="G1249">
        <f>RAW_DATA!G1249</f>
        <v>1</v>
      </c>
      <c r="H1249">
        <f>RAW_DATA!H1249</f>
        <v>3</v>
      </c>
      <c r="I1249" t="str">
        <f>RAW_DATA!I1249</f>
        <v>Married</v>
      </c>
      <c r="J1249">
        <f>RAW_DATA!J1249</f>
        <v>8346</v>
      </c>
      <c r="K1249">
        <f>RAW_DATA!K1249</f>
        <v>1</v>
      </c>
      <c r="L1249">
        <f>RAW_DATA!L1249</f>
        <v>3</v>
      </c>
      <c r="M1249">
        <f>RAW_DATA!M1249</f>
        <v>5</v>
      </c>
      <c r="N1249">
        <f t="shared" si="38"/>
        <v>0</v>
      </c>
      <c r="O1249" t="str" cm="1">
        <f t="array" ref="O1249" xml:space="preserve"> _xlfn.IFS(A1249 &lt;ASSUMPTIONS!$D$2,"25",A1249 &lt;= ASSUMPTIONS!$D$3,"25-34",A1249 &lt;= ASSUMPTIONS!$D$4, "35-44",A1249 &lt;= ASSUMPTIONS!$D$5,"45-54",TRUE,"55+")</f>
        <v>25-34</v>
      </c>
      <c r="P1249" t="str" cm="1">
        <f t="array" ref="P1249">_xlfn.IFS( J1249 &lt;ASSUMPTIONS!$D$7,"LOW",J1249 &lt;= ASSUMPTIONS!$D$8,"MEDIUM",TRUE, "HIGH")</f>
        <v>HIGH</v>
      </c>
      <c r="Q1249" t="str">
        <f>IF(M1249&lt;ASSUMPTIONS!$D$10,"New (0-2)",IF(M1249&lt;=ASSUMPTIONS!$D$11,"Early (2-5)",IF(M1249&lt;=ASSUMPTIONS!$D$12,"Established (5-10)","Veteran (10+)")))</f>
        <v>Early (2-5)</v>
      </c>
      <c r="R1249" s="4">
        <f t="shared" si="39"/>
        <v>2.3333333333333335</v>
      </c>
    </row>
    <row r="1250" spans="1:18">
      <c r="A1250">
        <f>RAW_DATA!A1250</f>
        <v>27</v>
      </c>
      <c r="B1250" t="str">
        <f>RAW_DATA!B1250</f>
        <v>No</v>
      </c>
      <c r="C1250" t="str">
        <f>RAW_DATA!C1250</f>
        <v>Research &amp; Development</v>
      </c>
      <c r="D1250">
        <f>RAW_DATA!D1250</f>
        <v>8</v>
      </c>
      <c r="E1250">
        <f>RAW_DATA!E1250</f>
        <v>3</v>
      </c>
      <c r="F1250" t="str">
        <f>RAW_DATA!F1250</f>
        <v>Medical</v>
      </c>
      <c r="G1250">
        <f>RAW_DATA!G1250</f>
        <v>3</v>
      </c>
      <c r="H1250">
        <f>RAW_DATA!H1250</f>
        <v>4</v>
      </c>
      <c r="I1250" t="str">
        <f>RAW_DATA!I1250</f>
        <v>Single</v>
      </c>
      <c r="J1250">
        <f>RAW_DATA!J1250</f>
        <v>3445</v>
      </c>
      <c r="K1250">
        <f>RAW_DATA!K1250</f>
        <v>1</v>
      </c>
      <c r="L1250">
        <f>RAW_DATA!L1250</f>
        <v>2</v>
      </c>
      <c r="M1250">
        <f>RAW_DATA!M1250</f>
        <v>6</v>
      </c>
      <c r="N1250">
        <f t="shared" si="38"/>
        <v>0</v>
      </c>
      <c r="O1250" t="str" cm="1">
        <f t="array" ref="O1250" xml:space="preserve"> _xlfn.IFS(A1250 &lt;ASSUMPTIONS!$D$2,"25",A1250 &lt;= ASSUMPTIONS!$D$3,"25-34",A1250 &lt;= ASSUMPTIONS!$D$4, "35-44",A1250 &lt;= ASSUMPTIONS!$D$5,"45-54",TRUE,"55+")</f>
        <v>25-34</v>
      </c>
      <c r="P1250" t="str" cm="1">
        <f t="array" ref="P1250">_xlfn.IFS( J1250 &lt;ASSUMPTIONS!$D$7,"LOW",J1250 &lt;= ASSUMPTIONS!$D$8,"MEDIUM",TRUE, "HIGH")</f>
        <v>MEDIUM</v>
      </c>
      <c r="Q1250" t="str">
        <f>IF(M1250&lt;ASSUMPTIONS!$D$10,"New (0-2)",IF(M1250&lt;=ASSUMPTIONS!$D$11,"Early (2-5)",IF(M1250&lt;=ASSUMPTIONS!$D$12,"Established (5-10)","Veteran (10+)")))</f>
        <v>Established (5-10)</v>
      </c>
      <c r="R1250" s="4">
        <f t="shared" si="39"/>
        <v>3</v>
      </c>
    </row>
    <row r="1251" spans="1:18">
      <c r="A1251">
        <f>RAW_DATA!A1251</f>
        <v>29</v>
      </c>
      <c r="B1251" t="str">
        <f>RAW_DATA!B1251</f>
        <v>Yes</v>
      </c>
      <c r="C1251" t="str">
        <f>RAW_DATA!C1251</f>
        <v>Sales</v>
      </c>
      <c r="D1251">
        <f>RAW_DATA!D1251</f>
        <v>9</v>
      </c>
      <c r="E1251">
        <f>RAW_DATA!E1251</f>
        <v>3</v>
      </c>
      <c r="F1251" t="str">
        <f>RAW_DATA!F1251</f>
        <v>Marketing</v>
      </c>
      <c r="G1251">
        <f>RAW_DATA!G1251</f>
        <v>2</v>
      </c>
      <c r="H1251">
        <f>RAW_DATA!H1251</f>
        <v>2</v>
      </c>
      <c r="I1251" t="str">
        <f>RAW_DATA!I1251</f>
        <v>Single</v>
      </c>
      <c r="J1251">
        <f>RAW_DATA!J1251</f>
        <v>2760</v>
      </c>
      <c r="K1251">
        <f>RAW_DATA!K1251</f>
        <v>1</v>
      </c>
      <c r="L1251">
        <f>RAW_DATA!L1251</f>
        <v>3</v>
      </c>
      <c r="M1251">
        <f>RAW_DATA!M1251</f>
        <v>2</v>
      </c>
      <c r="N1251">
        <f t="shared" si="38"/>
        <v>1</v>
      </c>
      <c r="O1251" t="str" cm="1">
        <f t="array" ref="O1251" xml:space="preserve"> _xlfn.IFS(A1251 &lt;ASSUMPTIONS!$D$2,"25",A1251 &lt;= ASSUMPTIONS!$D$3,"25-34",A1251 &lt;= ASSUMPTIONS!$D$4, "35-44",A1251 &lt;= ASSUMPTIONS!$D$5,"45-54",TRUE,"55+")</f>
        <v>25-34</v>
      </c>
      <c r="P1251" t="str" cm="1">
        <f t="array" ref="P1251">_xlfn.IFS( J1251 &lt;ASSUMPTIONS!$D$7,"LOW",J1251 &lt;= ASSUMPTIONS!$D$8,"MEDIUM",TRUE, "HIGH")</f>
        <v>LOW</v>
      </c>
      <c r="Q1251" t="str">
        <f>IF(M1251&lt;ASSUMPTIONS!$D$10,"New (0-2)",IF(M1251&lt;=ASSUMPTIONS!$D$11,"Early (2-5)",IF(M1251&lt;=ASSUMPTIONS!$D$12,"Established (5-10)","Veteran (10+)")))</f>
        <v>Early (2-5)</v>
      </c>
      <c r="R1251" s="4">
        <f t="shared" si="39"/>
        <v>2.3333333333333335</v>
      </c>
    </row>
    <row r="1252" spans="1:18">
      <c r="A1252">
        <f>RAW_DATA!A1252</f>
        <v>29</v>
      </c>
      <c r="B1252" t="str">
        <f>RAW_DATA!B1252</f>
        <v>No</v>
      </c>
      <c r="C1252" t="str">
        <f>RAW_DATA!C1252</f>
        <v>Research &amp; Development</v>
      </c>
      <c r="D1252">
        <f>RAW_DATA!D1252</f>
        <v>1</v>
      </c>
      <c r="E1252">
        <f>RAW_DATA!E1252</f>
        <v>3</v>
      </c>
      <c r="F1252" t="str">
        <f>RAW_DATA!F1252</f>
        <v>Life Sciences</v>
      </c>
      <c r="G1252">
        <f>RAW_DATA!G1252</f>
        <v>4</v>
      </c>
      <c r="H1252">
        <f>RAW_DATA!H1252</f>
        <v>3</v>
      </c>
      <c r="I1252" t="str">
        <f>RAW_DATA!I1252</f>
        <v>Single</v>
      </c>
      <c r="J1252">
        <f>RAW_DATA!J1252</f>
        <v>6294</v>
      </c>
      <c r="K1252">
        <f>RAW_DATA!K1252</f>
        <v>8</v>
      </c>
      <c r="L1252">
        <f>RAW_DATA!L1252</f>
        <v>4</v>
      </c>
      <c r="M1252">
        <f>RAW_DATA!M1252</f>
        <v>3</v>
      </c>
      <c r="N1252">
        <f t="shared" si="38"/>
        <v>0</v>
      </c>
      <c r="O1252" t="str" cm="1">
        <f t="array" ref="O1252" xml:space="preserve"> _xlfn.IFS(A1252 &lt;ASSUMPTIONS!$D$2,"25",A1252 &lt;= ASSUMPTIONS!$D$3,"25-34",A1252 &lt;= ASSUMPTIONS!$D$4, "35-44",A1252 &lt;= ASSUMPTIONS!$D$5,"45-54",TRUE,"55+")</f>
        <v>25-34</v>
      </c>
      <c r="P1252" t="str" cm="1">
        <f t="array" ref="P1252">_xlfn.IFS( J1252 &lt;ASSUMPTIONS!$D$7,"LOW",J1252 &lt;= ASSUMPTIONS!$D$8,"MEDIUM",TRUE, "HIGH")</f>
        <v>MEDIUM</v>
      </c>
      <c r="Q1252" t="str">
        <f>IF(M1252&lt;ASSUMPTIONS!$D$10,"New (0-2)",IF(M1252&lt;=ASSUMPTIONS!$D$11,"Early (2-5)",IF(M1252&lt;=ASSUMPTIONS!$D$12,"Established (5-10)","Veteran (10+)")))</f>
        <v>Early (2-5)</v>
      </c>
      <c r="R1252" s="4">
        <f t="shared" si="39"/>
        <v>3.6666666666666665</v>
      </c>
    </row>
    <row r="1253" spans="1:18">
      <c r="A1253">
        <f>RAW_DATA!A1253</f>
        <v>30</v>
      </c>
      <c r="B1253" t="str">
        <f>RAW_DATA!B1253</f>
        <v>No</v>
      </c>
      <c r="C1253" t="str">
        <f>RAW_DATA!C1253</f>
        <v>Sales</v>
      </c>
      <c r="D1253">
        <f>RAW_DATA!D1253</f>
        <v>15</v>
      </c>
      <c r="E1253">
        <f>RAW_DATA!E1253</f>
        <v>2</v>
      </c>
      <c r="F1253" t="str">
        <f>RAW_DATA!F1253</f>
        <v>Marketing</v>
      </c>
      <c r="G1253">
        <f>RAW_DATA!G1253</f>
        <v>3</v>
      </c>
      <c r="H1253">
        <f>RAW_DATA!H1253</f>
        <v>1</v>
      </c>
      <c r="I1253" t="str">
        <f>RAW_DATA!I1253</f>
        <v>Divorced</v>
      </c>
      <c r="J1253">
        <f>RAW_DATA!J1253</f>
        <v>7140</v>
      </c>
      <c r="K1253">
        <f>RAW_DATA!K1253</f>
        <v>2</v>
      </c>
      <c r="L1253">
        <f>RAW_DATA!L1253</f>
        <v>3</v>
      </c>
      <c r="M1253">
        <f>RAW_DATA!M1253</f>
        <v>7</v>
      </c>
      <c r="N1253">
        <f t="shared" si="38"/>
        <v>0</v>
      </c>
      <c r="O1253" t="str" cm="1">
        <f t="array" ref="O1253" xml:space="preserve"> _xlfn.IFS(A1253 &lt;ASSUMPTIONS!$D$2,"25",A1253 &lt;= ASSUMPTIONS!$D$3,"25-34",A1253 &lt;= ASSUMPTIONS!$D$4, "35-44",A1253 &lt;= ASSUMPTIONS!$D$5,"45-54",TRUE,"55+")</f>
        <v>25-34</v>
      </c>
      <c r="P1253" t="str" cm="1">
        <f t="array" ref="P1253">_xlfn.IFS( J1253 &lt;ASSUMPTIONS!$D$7,"LOW",J1253 &lt;= ASSUMPTIONS!$D$8,"MEDIUM",TRUE, "HIGH")</f>
        <v>HIGH</v>
      </c>
      <c r="Q1253" t="str">
        <f>IF(M1253&lt;ASSUMPTIONS!$D$10,"New (0-2)",IF(M1253&lt;=ASSUMPTIONS!$D$11,"Early (2-5)",IF(M1253&lt;=ASSUMPTIONS!$D$12,"Established (5-10)","Veteran (10+)")))</f>
        <v>Established (5-10)</v>
      </c>
      <c r="R1253" s="4">
        <f t="shared" si="39"/>
        <v>2.3333333333333335</v>
      </c>
    </row>
    <row r="1254" spans="1:18">
      <c r="A1254">
        <f>RAW_DATA!A1254</f>
        <v>34</v>
      </c>
      <c r="B1254" t="str">
        <f>RAW_DATA!B1254</f>
        <v>No</v>
      </c>
      <c r="C1254" t="str">
        <f>RAW_DATA!C1254</f>
        <v>Research &amp; Development</v>
      </c>
      <c r="D1254">
        <f>RAW_DATA!D1254</f>
        <v>2</v>
      </c>
      <c r="E1254">
        <f>RAW_DATA!E1254</f>
        <v>4</v>
      </c>
      <c r="F1254" t="str">
        <f>RAW_DATA!F1254</f>
        <v>Medical</v>
      </c>
      <c r="G1254">
        <f>RAW_DATA!G1254</f>
        <v>4</v>
      </c>
      <c r="H1254">
        <f>RAW_DATA!H1254</f>
        <v>4</v>
      </c>
      <c r="I1254" t="str">
        <f>RAW_DATA!I1254</f>
        <v>Married</v>
      </c>
      <c r="J1254">
        <f>RAW_DATA!J1254</f>
        <v>2932</v>
      </c>
      <c r="K1254">
        <f>RAW_DATA!K1254</f>
        <v>0</v>
      </c>
      <c r="L1254">
        <f>RAW_DATA!L1254</f>
        <v>3</v>
      </c>
      <c r="M1254">
        <f>RAW_DATA!M1254</f>
        <v>5</v>
      </c>
      <c r="N1254">
        <f t="shared" si="38"/>
        <v>0</v>
      </c>
      <c r="O1254" t="str" cm="1">
        <f t="array" ref="O1254" xml:space="preserve"> _xlfn.IFS(A1254 &lt;ASSUMPTIONS!$D$2,"25",A1254 &lt;= ASSUMPTIONS!$D$3,"25-34",A1254 &lt;= ASSUMPTIONS!$D$4, "35-44",A1254 &lt;= ASSUMPTIONS!$D$5,"45-54",TRUE,"55+")</f>
        <v>25-34</v>
      </c>
      <c r="P1254" t="str" cm="1">
        <f t="array" ref="P1254">_xlfn.IFS( J1254 &lt;ASSUMPTIONS!$D$7,"LOW",J1254 &lt;= ASSUMPTIONS!$D$8,"MEDIUM",TRUE, "HIGH")</f>
        <v>LOW</v>
      </c>
      <c r="Q1254" t="str">
        <f>IF(M1254&lt;ASSUMPTIONS!$D$10,"New (0-2)",IF(M1254&lt;=ASSUMPTIONS!$D$11,"Early (2-5)",IF(M1254&lt;=ASSUMPTIONS!$D$12,"Established (5-10)","Veteran (10+)")))</f>
        <v>Early (2-5)</v>
      </c>
      <c r="R1254" s="4">
        <f t="shared" si="39"/>
        <v>3.6666666666666665</v>
      </c>
    </row>
    <row r="1255" spans="1:18">
      <c r="A1255">
        <f>RAW_DATA!A1255</f>
        <v>33</v>
      </c>
      <c r="B1255" t="str">
        <f>RAW_DATA!B1255</f>
        <v>No</v>
      </c>
      <c r="C1255" t="str">
        <f>RAW_DATA!C1255</f>
        <v>Sales</v>
      </c>
      <c r="D1255">
        <f>RAW_DATA!D1255</f>
        <v>2</v>
      </c>
      <c r="E1255">
        <f>RAW_DATA!E1255</f>
        <v>3</v>
      </c>
      <c r="F1255" t="str">
        <f>RAW_DATA!F1255</f>
        <v>Marketing</v>
      </c>
      <c r="G1255">
        <f>RAW_DATA!G1255</f>
        <v>4</v>
      </c>
      <c r="H1255">
        <f>RAW_DATA!H1255</f>
        <v>2</v>
      </c>
      <c r="I1255" t="str">
        <f>RAW_DATA!I1255</f>
        <v>Single</v>
      </c>
      <c r="J1255">
        <f>RAW_DATA!J1255</f>
        <v>5147</v>
      </c>
      <c r="K1255">
        <f>RAW_DATA!K1255</f>
        <v>8</v>
      </c>
      <c r="L1255">
        <f>RAW_DATA!L1255</f>
        <v>2</v>
      </c>
      <c r="M1255">
        <f>RAW_DATA!M1255</f>
        <v>11</v>
      </c>
      <c r="N1255">
        <f t="shared" si="38"/>
        <v>0</v>
      </c>
      <c r="O1255" t="str" cm="1">
        <f t="array" ref="O1255" xml:space="preserve"> _xlfn.IFS(A1255 &lt;ASSUMPTIONS!$D$2,"25",A1255 &lt;= ASSUMPTIONS!$D$3,"25-34",A1255 &lt;= ASSUMPTIONS!$D$4, "35-44",A1255 &lt;= ASSUMPTIONS!$D$5,"45-54",TRUE,"55+")</f>
        <v>25-34</v>
      </c>
      <c r="P1255" t="str" cm="1">
        <f t="array" ref="P1255">_xlfn.IFS( J1255 &lt;ASSUMPTIONS!$D$7,"LOW",J1255 &lt;= ASSUMPTIONS!$D$8,"MEDIUM",TRUE, "HIGH")</f>
        <v>MEDIUM</v>
      </c>
      <c r="Q1255" t="str">
        <f>IF(M1255&lt;ASSUMPTIONS!$D$10,"New (0-2)",IF(M1255&lt;=ASSUMPTIONS!$D$11,"Early (2-5)",IF(M1255&lt;=ASSUMPTIONS!$D$12,"Established (5-10)","Veteran (10+)")))</f>
        <v>Veteran (10+)</v>
      </c>
      <c r="R1255" s="4">
        <f t="shared" si="39"/>
        <v>2.6666666666666665</v>
      </c>
    </row>
    <row r="1256" spans="1:18">
      <c r="A1256">
        <f>RAW_DATA!A1256</f>
        <v>49</v>
      </c>
      <c r="B1256" t="str">
        <f>RAW_DATA!B1256</f>
        <v>No</v>
      </c>
      <c r="C1256" t="str">
        <f>RAW_DATA!C1256</f>
        <v>Sales</v>
      </c>
      <c r="D1256">
        <f>RAW_DATA!D1256</f>
        <v>11</v>
      </c>
      <c r="E1256">
        <f>RAW_DATA!E1256</f>
        <v>4</v>
      </c>
      <c r="F1256" t="str">
        <f>RAW_DATA!F1256</f>
        <v>Marketing</v>
      </c>
      <c r="G1256">
        <f>RAW_DATA!G1256</f>
        <v>4</v>
      </c>
      <c r="H1256">
        <f>RAW_DATA!H1256</f>
        <v>4</v>
      </c>
      <c r="I1256" t="str">
        <f>RAW_DATA!I1256</f>
        <v>Single</v>
      </c>
      <c r="J1256">
        <f>RAW_DATA!J1256</f>
        <v>4507</v>
      </c>
      <c r="K1256">
        <f>RAW_DATA!K1256</f>
        <v>3</v>
      </c>
      <c r="L1256">
        <f>RAW_DATA!L1256</f>
        <v>4</v>
      </c>
      <c r="M1256">
        <f>RAW_DATA!M1256</f>
        <v>5</v>
      </c>
      <c r="N1256">
        <f t="shared" si="38"/>
        <v>0</v>
      </c>
      <c r="O1256" t="str" cm="1">
        <f t="array" ref="O1256" xml:space="preserve"> _xlfn.IFS(A1256 &lt;ASSUMPTIONS!$D$2,"25",A1256 &lt;= ASSUMPTIONS!$D$3,"25-34",A1256 &lt;= ASSUMPTIONS!$D$4, "35-44",A1256 &lt;= ASSUMPTIONS!$D$5,"45-54",TRUE,"55+")</f>
        <v>45-54</v>
      </c>
      <c r="P1256" t="str" cm="1">
        <f t="array" ref="P1256">_xlfn.IFS( J1256 &lt;ASSUMPTIONS!$D$7,"LOW",J1256 &lt;= ASSUMPTIONS!$D$8,"MEDIUM",TRUE, "HIGH")</f>
        <v>MEDIUM</v>
      </c>
      <c r="Q1256" t="str">
        <f>IF(M1256&lt;ASSUMPTIONS!$D$10,"New (0-2)",IF(M1256&lt;=ASSUMPTIONS!$D$11,"Early (2-5)",IF(M1256&lt;=ASSUMPTIONS!$D$12,"Established (5-10)","Veteran (10+)")))</f>
        <v>Early (2-5)</v>
      </c>
      <c r="R1256" s="4">
        <f t="shared" si="39"/>
        <v>4</v>
      </c>
    </row>
    <row r="1257" spans="1:18">
      <c r="A1257">
        <f>RAW_DATA!A1257</f>
        <v>33</v>
      </c>
      <c r="B1257" t="str">
        <f>RAW_DATA!B1257</f>
        <v>Yes</v>
      </c>
      <c r="C1257" t="str">
        <f>RAW_DATA!C1257</f>
        <v>Sales</v>
      </c>
      <c r="D1257">
        <f>RAW_DATA!D1257</f>
        <v>16</v>
      </c>
      <c r="E1257">
        <f>RAW_DATA!E1257</f>
        <v>3</v>
      </c>
      <c r="F1257" t="str">
        <f>RAW_DATA!F1257</f>
        <v>Life Sciences</v>
      </c>
      <c r="G1257">
        <f>RAW_DATA!G1257</f>
        <v>1</v>
      </c>
      <c r="H1257">
        <f>RAW_DATA!H1257</f>
        <v>1</v>
      </c>
      <c r="I1257" t="str">
        <f>RAW_DATA!I1257</f>
        <v>Single</v>
      </c>
      <c r="J1257">
        <f>RAW_DATA!J1257</f>
        <v>8564</v>
      </c>
      <c r="K1257">
        <f>RAW_DATA!K1257</f>
        <v>2</v>
      </c>
      <c r="L1257">
        <f>RAW_DATA!L1257</f>
        <v>2</v>
      </c>
      <c r="M1257">
        <f>RAW_DATA!M1257</f>
        <v>0</v>
      </c>
      <c r="N1257">
        <f t="shared" si="38"/>
        <v>1</v>
      </c>
      <c r="O1257" t="str" cm="1">
        <f t="array" ref="O1257" xml:space="preserve"> _xlfn.IFS(A1257 &lt;ASSUMPTIONS!$D$2,"25",A1257 &lt;= ASSUMPTIONS!$D$3,"25-34",A1257 &lt;= ASSUMPTIONS!$D$4, "35-44",A1257 &lt;= ASSUMPTIONS!$D$5,"45-54",TRUE,"55+")</f>
        <v>25-34</v>
      </c>
      <c r="P1257" t="str" cm="1">
        <f t="array" ref="P1257">_xlfn.IFS( J1257 &lt;ASSUMPTIONS!$D$7,"LOW",J1257 &lt;= ASSUMPTIONS!$D$8,"MEDIUM",TRUE, "HIGH")</f>
        <v>HIGH</v>
      </c>
      <c r="Q1257" t="str">
        <f>IF(M1257&lt;ASSUMPTIONS!$D$10,"New (0-2)",IF(M1257&lt;=ASSUMPTIONS!$D$11,"Early (2-5)",IF(M1257&lt;=ASSUMPTIONS!$D$12,"Established (5-10)","Veteran (10+)")))</f>
        <v>New (0-2)</v>
      </c>
      <c r="R1257" s="4">
        <f t="shared" si="39"/>
        <v>1.3333333333333333</v>
      </c>
    </row>
    <row r="1258" spans="1:18">
      <c r="A1258">
        <f>RAW_DATA!A1258</f>
        <v>38</v>
      </c>
      <c r="B1258" t="str">
        <f>RAW_DATA!B1258</f>
        <v>No</v>
      </c>
      <c r="C1258" t="str">
        <f>RAW_DATA!C1258</f>
        <v>Research &amp; Development</v>
      </c>
      <c r="D1258">
        <f>RAW_DATA!D1258</f>
        <v>2</v>
      </c>
      <c r="E1258">
        <f>RAW_DATA!E1258</f>
        <v>2</v>
      </c>
      <c r="F1258" t="str">
        <f>RAW_DATA!F1258</f>
        <v>Medical</v>
      </c>
      <c r="G1258">
        <f>RAW_DATA!G1258</f>
        <v>3</v>
      </c>
      <c r="H1258">
        <f>RAW_DATA!H1258</f>
        <v>2</v>
      </c>
      <c r="I1258" t="str">
        <f>RAW_DATA!I1258</f>
        <v>Married</v>
      </c>
      <c r="J1258">
        <f>RAW_DATA!J1258</f>
        <v>2468</v>
      </c>
      <c r="K1258">
        <f>RAW_DATA!K1258</f>
        <v>4</v>
      </c>
      <c r="L1258">
        <f>RAW_DATA!L1258</f>
        <v>2</v>
      </c>
      <c r="M1258">
        <f>RAW_DATA!M1258</f>
        <v>6</v>
      </c>
      <c r="N1258">
        <f t="shared" si="38"/>
        <v>0</v>
      </c>
      <c r="O1258" t="str" cm="1">
        <f t="array" ref="O1258" xml:space="preserve"> _xlfn.IFS(A1258 &lt;ASSUMPTIONS!$D$2,"25",A1258 &lt;= ASSUMPTIONS!$D$3,"25-34",A1258 &lt;= ASSUMPTIONS!$D$4, "35-44",A1258 &lt;= ASSUMPTIONS!$D$5,"45-54",TRUE,"55+")</f>
        <v>35-44</v>
      </c>
      <c r="P1258" t="str" cm="1">
        <f t="array" ref="P1258">_xlfn.IFS( J1258 &lt;ASSUMPTIONS!$D$7,"LOW",J1258 &lt;= ASSUMPTIONS!$D$8,"MEDIUM",TRUE, "HIGH")</f>
        <v>LOW</v>
      </c>
      <c r="Q1258" t="str">
        <f>IF(M1258&lt;ASSUMPTIONS!$D$10,"New (0-2)",IF(M1258&lt;=ASSUMPTIONS!$D$11,"Early (2-5)",IF(M1258&lt;=ASSUMPTIONS!$D$12,"Established (5-10)","Veteran (10+)")))</f>
        <v>Established (5-10)</v>
      </c>
      <c r="R1258" s="4">
        <f t="shared" si="39"/>
        <v>2.3333333333333335</v>
      </c>
    </row>
    <row r="1259" spans="1:18">
      <c r="A1259">
        <f>RAW_DATA!A1259</f>
        <v>31</v>
      </c>
      <c r="B1259" t="str">
        <f>RAW_DATA!B1259</f>
        <v>Yes</v>
      </c>
      <c r="C1259" t="str">
        <f>RAW_DATA!C1259</f>
        <v>Sales</v>
      </c>
      <c r="D1259">
        <f>RAW_DATA!D1259</f>
        <v>16</v>
      </c>
      <c r="E1259">
        <f>RAW_DATA!E1259</f>
        <v>4</v>
      </c>
      <c r="F1259" t="str">
        <f>RAW_DATA!F1259</f>
        <v>Marketing</v>
      </c>
      <c r="G1259">
        <f>RAW_DATA!G1259</f>
        <v>1</v>
      </c>
      <c r="H1259">
        <f>RAW_DATA!H1259</f>
        <v>3</v>
      </c>
      <c r="I1259" t="str">
        <f>RAW_DATA!I1259</f>
        <v>Married</v>
      </c>
      <c r="J1259">
        <f>RAW_DATA!J1259</f>
        <v>8161</v>
      </c>
      <c r="K1259">
        <f>RAW_DATA!K1259</f>
        <v>2</v>
      </c>
      <c r="L1259">
        <f>RAW_DATA!L1259</f>
        <v>3</v>
      </c>
      <c r="M1259">
        <f>RAW_DATA!M1259</f>
        <v>1</v>
      </c>
      <c r="N1259">
        <f t="shared" si="38"/>
        <v>1</v>
      </c>
      <c r="O1259" t="str" cm="1">
        <f t="array" ref="O1259" xml:space="preserve"> _xlfn.IFS(A1259 &lt;ASSUMPTIONS!$D$2,"25",A1259 &lt;= ASSUMPTIONS!$D$3,"25-34",A1259 &lt;= ASSUMPTIONS!$D$4, "35-44",A1259 &lt;= ASSUMPTIONS!$D$5,"45-54",TRUE,"55+")</f>
        <v>25-34</v>
      </c>
      <c r="P1259" t="str" cm="1">
        <f t="array" ref="P1259">_xlfn.IFS( J1259 &lt;ASSUMPTIONS!$D$7,"LOW",J1259 &lt;= ASSUMPTIONS!$D$8,"MEDIUM",TRUE, "HIGH")</f>
        <v>HIGH</v>
      </c>
      <c r="Q1259" t="str">
        <f>IF(M1259&lt;ASSUMPTIONS!$D$10,"New (0-2)",IF(M1259&lt;=ASSUMPTIONS!$D$11,"Early (2-5)",IF(M1259&lt;=ASSUMPTIONS!$D$12,"Established (5-10)","Veteran (10+)")))</f>
        <v>New (0-2)</v>
      </c>
      <c r="R1259" s="4">
        <f t="shared" si="39"/>
        <v>2.3333333333333335</v>
      </c>
    </row>
    <row r="1260" spans="1:18">
      <c r="A1260">
        <f>RAW_DATA!A1260</f>
        <v>29</v>
      </c>
      <c r="B1260" t="str">
        <f>RAW_DATA!B1260</f>
        <v>No</v>
      </c>
      <c r="C1260" t="str">
        <f>RAW_DATA!C1260</f>
        <v>Research &amp; Development</v>
      </c>
      <c r="D1260">
        <f>RAW_DATA!D1260</f>
        <v>4</v>
      </c>
      <c r="E1260">
        <f>RAW_DATA!E1260</f>
        <v>3</v>
      </c>
      <c r="F1260" t="str">
        <f>RAW_DATA!F1260</f>
        <v>Technical Degree</v>
      </c>
      <c r="G1260">
        <f>RAW_DATA!G1260</f>
        <v>4</v>
      </c>
      <c r="H1260">
        <f>RAW_DATA!H1260</f>
        <v>1</v>
      </c>
      <c r="I1260" t="str">
        <f>RAW_DATA!I1260</f>
        <v>Divorced</v>
      </c>
      <c r="J1260">
        <f>RAW_DATA!J1260</f>
        <v>2109</v>
      </c>
      <c r="K1260">
        <f>RAW_DATA!K1260</f>
        <v>1</v>
      </c>
      <c r="L1260">
        <f>RAW_DATA!L1260</f>
        <v>3</v>
      </c>
      <c r="M1260">
        <f>RAW_DATA!M1260</f>
        <v>1</v>
      </c>
      <c r="N1260">
        <f t="shared" si="38"/>
        <v>0</v>
      </c>
      <c r="O1260" t="str" cm="1">
        <f t="array" ref="O1260" xml:space="preserve"> _xlfn.IFS(A1260 &lt;ASSUMPTIONS!$D$2,"25",A1260 &lt;= ASSUMPTIONS!$D$3,"25-34",A1260 &lt;= ASSUMPTIONS!$D$4, "35-44",A1260 &lt;= ASSUMPTIONS!$D$5,"45-54",TRUE,"55+")</f>
        <v>25-34</v>
      </c>
      <c r="P1260" t="str" cm="1">
        <f t="array" ref="P1260">_xlfn.IFS( J1260 &lt;ASSUMPTIONS!$D$7,"LOW",J1260 &lt;= ASSUMPTIONS!$D$8,"MEDIUM",TRUE, "HIGH")</f>
        <v>LOW</v>
      </c>
      <c r="Q1260" t="str">
        <f>IF(M1260&lt;ASSUMPTIONS!$D$10,"New (0-2)",IF(M1260&lt;=ASSUMPTIONS!$D$11,"Early (2-5)",IF(M1260&lt;=ASSUMPTIONS!$D$12,"Established (5-10)","Veteran (10+)")))</f>
        <v>New (0-2)</v>
      </c>
      <c r="R1260" s="4">
        <f t="shared" si="39"/>
        <v>2.6666666666666665</v>
      </c>
    </row>
    <row r="1261" spans="1:18">
      <c r="A1261">
        <f>RAW_DATA!A1261</f>
        <v>30</v>
      </c>
      <c r="B1261" t="str">
        <f>RAW_DATA!B1261</f>
        <v>No</v>
      </c>
      <c r="C1261" t="str">
        <f>RAW_DATA!C1261</f>
        <v>Research &amp; Development</v>
      </c>
      <c r="D1261">
        <f>RAW_DATA!D1261</f>
        <v>16</v>
      </c>
      <c r="E1261">
        <f>RAW_DATA!E1261</f>
        <v>3</v>
      </c>
      <c r="F1261" t="str">
        <f>RAW_DATA!F1261</f>
        <v>Life Sciences</v>
      </c>
      <c r="G1261">
        <f>RAW_DATA!G1261</f>
        <v>3</v>
      </c>
      <c r="H1261">
        <f>RAW_DATA!H1261</f>
        <v>3</v>
      </c>
      <c r="I1261" t="str">
        <f>RAW_DATA!I1261</f>
        <v>Married</v>
      </c>
      <c r="J1261">
        <f>RAW_DATA!J1261</f>
        <v>5294</v>
      </c>
      <c r="K1261">
        <f>RAW_DATA!K1261</f>
        <v>3</v>
      </c>
      <c r="L1261">
        <f>RAW_DATA!L1261</f>
        <v>3</v>
      </c>
      <c r="M1261">
        <f>RAW_DATA!M1261</f>
        <v>7</v>
      </c>
      <c r="N1261">
        <f t="shared" si="38"/>
        <v>0</v>
      </c>
      <c r="O1261" t="str" cm="1">
        <f t="array" ref="O1261" xml:space="preserve"> _xlfn.IFS(A1261 &lt;ASSUMPTIONS!$D$2,"25",A1261 &lt;= ASSUMPTIONS!$D$3,"25-34",A1261 &lt;= ASSUMPTIONS!$D$4, "35-44",A1261 &lt;= ASSUMPTIONS!$D$5,"45-54",TRUE,"55+")</f>
        <v>25-34</v>
      </c>
      <c r="P1261" t="str" cm="1">
        <f t="array" ref="P1261">_xlfn.IFS( J1261 &lt;ASSUMPTIONS!$D$7,"LOW",J1261 &lt;= ASSUMPTIONS!$D$8,"MEDIUM",TRUE, "HIGH")</f>
        <v>MEDIUM</v>
      </c>
      <c r="Q1261" t="str">
        <f>IF(M1261&lt;ASSUMPTIONS!$D$10,"New (0-2)",IF(M1261&lt;=ASSUMPTIONS!$D$11,"Early (2-5)",IF(M1261&lt;=ASSUMPTIONS!$D$12,"Established (5-10)","Veteran (10+)")))</f>
        <v>Established (5-10)</v>
      </c>
      <c r="R1261" s="4">
        <f t="shared" si="39"/>
        <v>3</v>
      </c>
    </row>
    <row r="1262" spans="1:18">
      <c r="A1262">
        <f>RAW_DATA!A1262</f>
        <v>32</v>
      </c>
      <c r="B1262" t="str">
        <f>RAW_DATA!B1262</f>
        <v>No</v>
      </c>
      <c r="C1262" t="str">
        <f>RAW_DATA!C1262</f>
        <v>Research &amp; Development</v>
      </c>
      <c r="D1262">
        <f>RAW_DATA!D1262</f>
        <v>5</v>
      </c>
      <c r="E1262">
        <f>RAW_DATA!E1262</f>
        <v>4</v>
      </c>
      <c r="F1262" t="str">
        <f>RAW_DATA!F1262</f>
        <v>Technical Degree</v>
      </c>
      <c r="G1262">
        <f>RAW_DATA!G1262</f>
        <v>2</v>
      </c>
      <c r="H1262">
        <f>RAW_DATA!H1262</f>
        <v>2</v>
      </c>
      <c r="I1262" t="str">
        <f>RAW_DATA!I1262</f>
        <v>Single</v>
      </c>
      <c r="J1262">
        <f>RAW_DATA!J1262</f>
        <v>2718</v>
      </c>
      <c r="K1262">
        <f>RAW_DATA!K1262</f>
        <v>2</v>
      </c>
      <c r="L1262">
        <f>RAW_DATA!L1262</f>
        <v>3</v>
      </c>
      <c r="M1262">
        <f>RAW_DATA!M1262</f>
        <v>7</v>
      </c>
      <c r="N1262">
        <f t="shared" si="38"/>
        <v>0</v>
      </c>
      <c r="O1262" t="str" cm="1">
        <f t="array" ref="O1262" xml:space="preserve"> _xlfn.IFS(A1262 &lt;ASSUMPTIONS!$D$2,"25",A1262 &lt;= ASSUMPTIONS!$D$3,"25-34",A1262 &lt;= ASSUMPTIONS!$D$4, "35-44",A1262 &lt;= ASSUMPTIONS!$D$5,"45-54",TRUE,"55+")</f>
        <v>25-34</v>
      </c>
      <c r="P1262" t="str" cm="1">
        <f t="array" ref="P1262">_xlfn.IFS( J1262 &lt;ASSUMPTIONS!$D$7,"LOW",J1262 &lt;= ASSUMPTIONS!$D$8,"MEDIUM",TRUE, "HIGH")</f>
        <v>LOW</v>
      </c>
      <c r="Q1262" t="str">
        <f>IF(M1262&lt;ASSUMPTIONS!$D$10,"New (0-2)",IF(M1262&lt;=ASSUMPTIONS!$D$11,"Early (2-5)",IF(M1262&lt;=ASSUMPTIONS!$D$12,"Established (5-10)","Veteran (10+)")))</f>
        <v>Established (5-10)</v>
      </c>
      <c r="R1262" s="4">
        <f t="shared" si="39"/>
        <v>2.3333333333333335</v>
      </c>
    </row>
    <row r="1263" spans="1:18">
      <c r="A1263">
        <f>RAW_DATA!A1263</f>
        <v>38</v>
      </c>
      <c r="B1263" t="str">
        <f>RAW_DATA!B1263</f>
        <v>No</v>
      </c>
      <c r="C1263" t="str">
        <f>RAW_DATA!C1263</f>
        <v>Research &amp; Development</v>
      </c>
      <c r="D1263">
        <f>RAW_DATA!D1263</f>
        <v>18</v>
      </c>
      <c r="E1263">
        <f>RAW_DATA!E1263</f>
        <v>3</v>
      </c>
      <c r="F1263" t="str">
        <f>RAW_DATA!F1263</f>
        <v>Medical</v>
      </c>
      <c r="G1263">
        <f>RAW_DATA!G1263</f>
        <v>2</v>
      </c>
      <c r="H1263">
        <f>RAW_DATA!H1263</f>
        <v>4</v>
      </c>
      <c r="I1263" t="str">
        <f>RAW_DATA!I1263</f>
        <v>Married</v>
      </c>
      <c r="J1263">
        <f>RAW_DATA!J1263</f>
        <v>5811</v>
      </c>
      <c r="K1263">
        <f>RAW_DATA!K1263</f>
        <v>3</v>
      </c>
      <c r="L1263">
        <f>RAW_DATA!L1263</f>
        <v>3</v>
      </c>
      <c r="M1263">
        <f>RAW_DATA!M1263</f>
        <v>1</v>
      </c>
      <c r="N1263">
        <f t="shared" si="38"/>
        <v>0</v>
      </c>
      <c r="O1263" t="str" cm="1">
        <f t="array" ref="O1263" xml:space="preserve"> _xlfn.IFS(A1263 &lt;ASSUMPTIONS!$D$2,"25",A1263 &lt;= ASSUMPTIONS!$D$3,"25-34",A1263 &lt;= ASSUMPTIONS!$D$4, "35-44",A1263 &lt;= ASSUMPTIONS!$D$5,"45-54",TRUE,"55+")</f>
        <v>35-44</v>
      </c>
      <c r="P1263" t="str" cm="1">
        <f t="array" ref="P1263">_xlfn.IFS( J1263 &lt;ASSUMPTIONS!$D$7,"LOW",J1263 &lt;= ASSUMPTIONS!$D$8,"MEDIUM",TRUE, "HIGH")</f>
        <v>MEDIUM</v>
      </c>
      <c r="Q1263" t="str">
        <f>IF(M1263&lt;ASSUMPTIONS!$D$10,"New (0-2)",IF(M1263&lt;=ASSUMPTIONS!$D$11,"Early (2-5)",IF(M1263&lt;=ASSUMPTIONS!$D$12,"Established (5-10)","Veteran (10+)")))</f>
        <v>New (0-2)</v>
      </c>
      <c r="R1263" s="4">
        <f t="shared" si="39"/>
        <v>3</v>
      </c>
    </row>
    <row r="1264" spans="1:18">
      <c r="A1264">
        <f>RAW_DATA!A1264</f>
        <v>43</v>
      </c>
      <c r="B1264" t="str">
        <f>RAW_DATA!B1264</f>
        <v>Yes</v>
      </c>
      <c r="C1264" t="str">
        <f>RAW_DATA!C1264</f>
        <v>Research &amp; Development</v>
      </c>
      <c r="D1264">
        <f>RAW_DATA!D1264</f>
        <v>17</v>
      </c>
      <c r="E1264">
        <f>RAW_DATA!E1264</f>
        <v>3</v>
      </c>
      <c r="F1264" t="str">
        <f>RAW_DATA!F1264</f>
        <v>Technical Degree</v>
      </c>
      <c r="G1264">
        <f>RAW_DATA!G1264</f>
        <v>3</v>
      </c>
      <c r="H1264">
        <f>RAW_DATA!H1264</f>
        <v>3</v>
      </c>
      <c r="I1264" t="str">
        <f>RAW_DATA!I1264</f>
        <v>Married</v>
      </c>
      <c r="J1264">
        <f>RAW_DATA!J1264</f>
        <v>2437</v>
      </c>
      <c r="K1264">
        <f>RAW_DATA!K1264</f>
        <v>9</v>
      </c>
      <c r="L1264">
        <f>RAW_DATA!L1264</f>
        <v>3</v>
      </c>
      <c r="M1264">
        <f>RAW_DATA!M1264</f>
        <v>1</v>
      </c>
      <c r="N1264">
        <f t="shared" si="38"/>
        <v>1</v>
      </c>
      <c r="O1264" t="str" cm="1">
        <f t="array" ref="O1264" xml:space="preserve"> _xlfn.IFS(A1264 &lt;ASSUMPTIONS!$D$2,"25",A1264 &lt;= ASSUMPTIONS!$D$3,"25-34",A1264 &lt;= ASSUMPTIONS!$D$4, "35-44",A1264 &lt;= ASSUMPTIONS!$D$5,"45-54",TRUE,"55+")</f>
        <v>35-44</v>
      </c>
      <c r="P1264" t="str" cm="1">
        <f t="array" ref="P1264">_xlfn.IFS( J1264 &lt;ASSUMPTIONS!$D$7,"LOW",J1264 &lt;= ASSUMPTIONS!$D$8,"MEDIUM",TRUE, "HIGH")</f>
        <v>LOW</v>
      </c>
      <c r="Q1264" t="str">
        <f>IF(M1264&lt;ASSUMPTIONS!$D$10,"New (0-2)",IF(M1264&lt;=ASSUMPTIONS!$D$11,"Early (2-5)",IF(M1264&lt;=ASSUMPTIONS!$D$12,"Established (5-10)","Veteran (10+)")))</f>
        <v>New (0-2)</v>
      </c>
      <c r="R1264" s="4">
        <f t="shared" si="39"/>
        <v>3</v>
      </c>
    </row>
    <row r="1265" spans="1:18">
      <c r="A1265">
        <f>RAW_DATA!A1265</f>
        <v>42</v>
      </c>
      <c r="B1265" t="str">
        <f>RAW_DATA!B1265</f>
        <v>No</v>
      </c>
      <c r="C1265" t="str">
        <f>RAW_DATA!C1265</f>
        <v>Research &amp; Development</v>
      </c>
      <c r="D1265">
        <f>RAW_DATA!D1265</f>
        <v>12</v>
      </c>
      <c r="E1265">
        <f>RAW_DATA!E1265</f>
        <v>3</v>
      </c>
      <c r="F1265" t="str">
        <f>RAW_DATA!F1265</f>
        <v>Medical</v>
      </c>
      <c r="G1265">
        <f>RAW_DATA!G1265</f>
        <v>2</v>
      </c>
      <c r="H1265">
        <f>RAW_DATA!H1265</f>
        <v>2</v>
      </c>
      <c r="I1265" t="str">
        <f>RAW_DATA!I1265</f>
        <v>Divorced</v>
      </c>
      <c r="J1265">
        <f>RAW_DATA!J1265</f>
        <v>2766</v>
      </c>
      <c r="K1265">
        <f>RAW_DATA!K1265</f>
        <v>8</v>
      </c>
      <c r="L1265">
        <f>RAW_DATA!L1265</f>
        <v>2</v>
      </c>
      <c r="M1265">
        <f>RAW_DATA!M1265</f>
        <v>5</v>
      </c>
      <c r="N1265">
        <f t="shared" si="38"/>
        <v>0</v>
      </c>
      <c r="O1265" t="str" cm="1">
        <f t="array" ref="O1265" xml:space="preserve"> _xlfn.IFS(A1265 &lt;ASSUMPTIONS!$D$2,"25",A1265 &lt;= ASSUMPTIONS!$D$3,"25-34",A1265 &lt;= ASSUMPTIONS!$D$4, "35-44",A1265 &lt;= ASSUMPTIONS!$D$5,"45-54",TRUE,"55+")</f>
        <v>35-44</v>
      </c>
      <c r="P1265" t="str" cm="1">
        <f t="array" ref="P1265">_xlfn.IFS( J1265 &lt;ASSUMPTIONS!$D$7,"LOW",J1265 &lt;= ASSUMPTIONS!$D$8,"MEDIUM",TRUE, "HIGH")</f>
        <v>LOW</v>
      </c>
      <c r="Q1265" t="str">
        <f>IF(M1265&lt;ASSUMPTIONS!$D$10,"New (0-2)",IF(M1265&lt;=ASSUMPTIONS!$D$11,"Early (2-5)",IF(M1265&lt;=ASSUMPTIONS!$D$12,"Established (5-10)","Veteran (10+)")))</f>
        <v>Early (2-5)</v>
      </c>
      <c r="R1265" s="4">
        <f t="shared" si="39"/>
        <v>2</v>
      </c>
    </row>
    <row r="1266" spans="1:18">
      <c r="A1266">
        <f>RAW_DATA!A1266</f>
        <v>55</v>
      </c>
      <c r="B1266" t="str">
        <f>RAW_DATA!B1266</f>
        <v>No</v>
      </c>
      <c r="C1266" t="str">
        <f>RAW_DATA!C1266</f>
        <v>Research &amp; Development</v>
      </c>
      <c r="D1266">
        <f>RAW_DATA!D1266</f>
        <v>2</v>
      </c>
      <c r="E1266">
        <f>RAW_DATA!E1266</f>
        <v>3</v>
      </c>
      <c r="F1266" t="str">
        <f>RAW_DATA!F1266</f>
        <v>Medical</v>
      </c>
      <c r="G1266">
        <f>RAW_DATA!G1266</f>
        <v>3</v>
      </c>
      <c r="H1266">
        <f>RAW_DATA!H1266</f>
        <v>1</v>
      </c>
      <c r="I1266" t="str">
        <f>RAW_DATA!I1266</f>
        <v>Married</v>
      </c>
      <c r="J1266">
        <f>RAW_DATA!J1266</f>
        <v>19038</v>
      </c>
      <c r="K1266">
        <f>RAW_DATA!K1266</f>
        <v>8</v>
      </c>
      <c r="L1266">
        <f>RAW_DATA!L1266</f>
        <v>3</v>
      </c>
      <c r="M1266">
        <f>RAW_DATA!M1266</f>
        <v>1</v>
      </c>
      <c r="N1266">
        <f t="shared" si="38"/>
        <v>0</v>
      </c>
      <c r="O1266" t="str" cm="1">
        <f t="array" ref="O1266" xml:space="preserve"> _xlfn.IFS(A1266 &lt;ASSUMPTIONS!$D$2,"25",A1266 &lt;= ASSUMPTIONS!$D$3,"25-34",A1266 &lt;= ASSUMPTIONS!$D$4, "35-44",A1266 &lt;= ASSUMPTIONS!$D$5,"45-54",TRUE,"55+")</f>
        <v>55+</v>
      </c>
      <c r="P1266" t="str" cm="1">
        <f t="array" ref="P1266">_xlfn.IFS( J1266 &lt;ASSUMPTIONS!$D$7,"LOW",J1266 &lt;= ASSUMPTIONS!$D$8,"MEDIUM",TRUE, "HIGH")</f>
        <v>HIGH</v>
      </c>
      <c r="Q1266" t="str">
        <f>IF(M1266&lt;ASSUMPTIONS!$D$10,"New (0-2)",IF(M1266&lt;=ASSUMPTIONS!$D$11,"Early (2-5)",IF(M1266&lt;=ASSUMPTIONS!$D$12,"Established (5-10)","Veteran (10+)")))</f>
        <v>New (0-2)</v>
      </c>
      <c r="R1266" s="4">
        <f t="shared" si="39"/>
        <v>2.3333333333333335</v>
      </c>
    </row>
    <row r="1267" spans="1:18">
      <c r="A1267">
        <f>RAW_DATA!A1267</f>
        <v>33</v>
      </c>
      <c r="B1267" t="str">
        <f>RAW_DATA!B1267</f>
        <v>No</v>
      </c>
      <c r="C1267" t="str">
        <f>RAW_DATA!C1267</f>
        <v>Research &amp; Development</v>
      </c>
      <c r="D1267">
        <f>RAW_DATA!D1267</f>
        <v>4</v>
      </c>
      <c r="E1267">
        <f>RAW_DATA!E1267</f>
        <v>3</v>
      </c>
      <c r="F1267" t="str">
        <f>RAW_DATA!F1267</f>
        <v>Technical Degree</v>
      </c>
      <c r="G1267">
        <f>RAW_DATA!G1267</f>
        <v>4</v>
      </c>
      <c r="H1267">
        <f>RAW_DATA!H1267</f>
        <v>2</v>
      </c>
      <c r="I1267" t="str">
        <f>RAW_DATA!I1267</f>
        <v>Divorced</v>
      </c>
      <c r="J1267">
        <f>RAW_DATA!J1267</f>
        <v>3055</v>
      </c>
      <c r="K1267">
        <f>RAW_DATA!K1267</f>
        <v>5</v>
      </c>
      <c r="L1267">
        <f>RAW_DATA!L1267</f>
        <v>2</v>
      </c>
      <c r="M1267">
        <f>RAW_DATA!M1267</f>
        <v>9</v>
      </c>
      <c r="N1267">
        <f t="shared" si="38"/>
        <v>0</v>
      </c>
      <c r="O1267" t="str" cm="1">
        <f t="array" ref="O1267" xml:space="preserve"> _xlfn.IFS(A1267 &lt;ASSUMPTIONS!$D$2,"25",A1267 &lt;= ASSUMPTIONS!$D$3,"25-34",A1267 &lt;= ASSUMPTIONS!$D$4, "35-44",A1267 &lt;= ASSUMPTIONS!$D$5,"45-54",TRUE,"55+")</f>
        <v>25-34</v>
      </c>
      <c r="P1267" t="str" cm="1">
        <f t="array" ref="P1267">_xlfn.IFS( J1267 &lt;ASSUMPTIONS!$D$7,"LOW",J1267 &lt;= ASSUMPTIONS!$D$8,"MEDIUM",TRUE, "HIGH")</f>
        <v>MEDIUM</v>
      </c>
      <c r="Q1267" t="str">
        <f>IF(M1267&lt;ASSUMPTIONS!$D$10,"New (0-2)",IF(M1267&lt;=ASSUMPTIONS!$D$11,"Early (2-5)",IF(M1267&lt;=ASSUMPTIONS!$D$12,"Established (5-10)","Veteran (10+)")))</f>
        <v>Established (5-10)</v>
      </c>
      <c r="R1267" s="4">
        <f t="shared" si="39"/>
        <v>2.6666666666666665</v>
      </c>
    </row>
    <row r="1268" spans="1:18">
      <c r="A1268">
        <f>RAW_DATA!A1268</f>
        <v>41</v>
      </c>
      <c r="B1268" t="str">
        <f>RAW_DATA!B1268</f>
        <v>No</v>
      </c>
      <c r="C1268" t="str">
        <f>RAW_DATA!C1268</f>
        <v>Research &amp; Development</v>
      </c>
      <c r="D1268">
        <f>RAW_DATA!D1268</f>
        <v>9</v>
      </c>
      <c r="E1268">
        <f>RAW_DATA!E1268</f>
        <v>4</v>
      </c>
      <c r="F1268" t="str">
        <f>RAW_DATA!F1268</f>
        <v>Life Sciences</v>
      </c>
      <c r="G1268">
        <f>RAW_DATA!G1268</f>
        <v>3</v>
      </c>
      <c r="H1268">
        <f>RAW_DATA!H1268</f>
        <v>1</v>
      </c>
      <c r="I1268" t="str">
        <f>RAW_DATA!I1268</f>
        <v>Divorced</v>
      </c>
      <c r="J1268">
        <f>RAW_DATA!J1268</f>
        <v>2289</v>
      </c>
      <c r="K1268">
        <f>RAW_DATA!K1268</f>
        <v>1</v>
      </c>
      <c r="L1268">
        <f>RAW_DATA!L1268</f>
        <v>3</v>
      </c>
      <c r="M1268">
        <f>RAW_DATA!M1268</f>
        <v>5</v>
      </c>
      <c r="N1268">
        <f t="shared" si="38"/>
        <v>0</v>
      </c>
      <c r="O1268" t="str" cm="1">
        <f t="array" ref="O1268" xml:space="preserve"> _xlfn.IFS(A1268 &lt;ASSUMPTIONS!$D$2,"25",A1268 &lt;= ASSUMPTIONS!$D$3,"25-34",A1268 &lt;= ASSUMPTIONS!$D$4, "35-44",A1268 &lt;= ASSUMPTIONS!$D$5,"45-54",TRUE,"55+")</f>
        <v>35-44</v>
      </c>
      <c r="P1268" t="str" cm="1">
        <f t="array" ref="P1268">_xlfn.IFS( J1268 &lt;ASSUMPTIONS!$D$7,"LOW",J1268 &lt;= ASSUMPTIONS!$D$8,"MEDIUM",TRUE, "HIGH")</f>
        <v>LOW</v>
      </c>
      <c r="Q1268" t="str">
        <f>IF(M1268&lt;ASSUMPTIONS!$D$10,"New (0-2)",IF(M1268&lt;=ASSUMPTIONS!$D$11,"Early (2-5)",IF(M1268&lt;=ASSUMPTIONS!$D$12,"Established (5-10)","Veteran (10+)")))</f>
        <v>Early (2-5)</v>
      </c>
      <c r="R1268" s="4">
        <f t="shared" si="39"/>
        <v>2.3333333333333335</v>
      </c>
    </row>
    <row r="1269" spans="1:18">
      <c r="A1269">
        <f>RAW_DATA!A1269</f>
        <v>34</v>
      </c>
      <c r="B1269" t="str">
        <f>RAW_DATA!B1269</f>
        <v>No</v>
      </c>
      <c r="C1269" t="str">
        <f>RAW_DATA!C1269</f>
        <v>Sales</v>
      </c>
      <c r="D1269">
        <f>RAW_DATA!D1269</f>
        <v>10</v>
      </c>
      <c r="E1269">
        <f>RAW_DATA!E1269</f>
        <v>3</v>
      </c>
      <c r="F1269" t="str">
        <f>RAW_DATA!F1269</f>
        <v>Life Sciences</v>
      </c>
      <c r="G1269">
        <f>RAW_DATA!G1269</f>
        <v>4</v>
      </c>
      <c r="H1269">
        <f>RAW_DATA!H1269</f>
        <v>3</v>
      </c>
      <c r="I1269" t="str">
        <f>RAW_DATA!I1269</f>
        <v>Divorced</v>
      </c>
      <c r="J1269">
        <f>RAW_DATA!J1269</f>
        <v>4001</v>
      </c>
      <c r="K1269">
        <f>RAW_DATA!K1269</f>
        <v>1</v>
      </c>
      <c r="L1269">
        <f>RAW_DATA!L1269</f>
        <v>3</v>
      </c>
      <c r="M1269">
        <f>RAW_DATA!M1269</f>
        <v>15</v>
      </c>
      <c r="N1269">
        <f t="shared" si="38"/>
        <v>0</v>
      </c>
      <c r="O1269" t="str" cm="1">
        <f t="array" ref="O1269" xml:space="preserve"> _xlfn.IFS(A1269 &lt;ASSUMPTIONS!$D$2,"25",A1269 &lt;= ASSUMPTIONS!$D$3,"25-34",A1269 &lt;= ASSUMPTIONS!$D$4, "35-44",A1269 &lt;= ASSUMPTIONS!$D$5,"45-54",TRUE,"55+")</f>
        <v>25-34</v>
      </c>
      <c r="P1269" t="str" cm="1">
        <f t="array" ref="P1269">_xlfn.IFS( J1269 &lt;ASSUMPTIONS!$D$7,"LOW",J1269 &lt;= ASSUMPTIONS!$D$8,"MEDIUM",TRUE, "HIGH")</f>
        <v>MEDIUM</v>
      </c>
      <c r="Q1269" t="str">
        <f>IF(M1269&lt;ASSUMPTIONS!$D$10,"New (0-2)",IF(M1269&lt;=ASSUMPTIONS!$D$11,"Early (2-5)",IF(M1269&lt;=ASSUMPTIONS!$D$12,"Established (5-10)","Veteran (10+)")))</f>
        <v>Veteran (10+)</v>
      </c>
      <c r="R1269" s="4">
        <f t="shared" si="39"/>
        <v>3.3333333333333335</v>
      </c>
    </row>
    <row r="1270" spans="1:18">
      <c r="A1270">
        <f>RAW_DATA!A1270</f>
        <v>53</v>
      </c>
      <c r="B1270" t="str">
        <f>RAW_DATA!B1270</f>
        <v>No</v>
      </c>
      <c r="C1270" t="str">
        <f>RAW_DATA!C1270</f>
        <v>Research &amp; Development</v>
      </c>
      <c r="D1270">
        <f>RAW_DATA!D1270</f>
        <v>1</v>
      </c>
      <c r="E1270">
        <f>RAW_DATA!E1270</f>
        <v>4</v>
      </c>
      <c r="F1270" t="str">
        <f>RAW_DATA!F1270</f>
        <v>Medical</v>
      </c>
      <c r="G1270">
        <f>RAW_DATA!G1270</f>
        <v>1</v>
      </c>
      <c r="H1270">
        <f>RAW_DATA!H1270</f>
        <v>3</v>
      </c>
      <c r="I1270" t="str">
        <f>RAW_DATA!I1270</f>
        <v>Married</v>
      </c>
      <c r="J1270">
        <f>RAW_DATA!J1270</f>
        <v>12965</v>
      </c>
      <c r="K1270">
        <f>RAW_DATA!K1270</f>
        <v>4</v>
      </c>
      <c r="L1270">
        <f>RAW_DATA!L1270</f>
        <v>2</v>
      </c>
      <c r="M1270">
        <f>RAW_DATA!M1270</f>
        <v>3</v>
      </c>
      <c r="N1270">
        <f t="shared" si="38"/>
        <v>0</v>
      </c>
      <c r="O1270" t="str" cm="1">
        <f t="array" ref="O1270" xml:space="preserve"> _xlfn.IFS(A1270 &lt;ASSUMPTIONS!$D$2,"25",A1270 &lt;= ASSUMPTIONS!$D$3,"25-34",A1270 &lt;= ASSUMPTIONS!$D$4, "35-44",A1270 &lt;= ASSUMPTIONS!$D$5,"45-54",TRUE,"55+")</f>
        <v>45-54</v>
      </c>
      <c r="P1270" t="str" cm="1">
        <f t="array" ref="P1270">_xlfn.IFS( J1270 &lt;ASSUMPTIONS!$D$7,"LOW",J1270 &lt;= ASSUMPTIONS!$D$8,"MEDIUM",TRUE, "HIGH")</f>
        <v>HIGH</v>
      </c>
      <c r="Q1270" t="str">
        <f>IF(M1270&lt;ASSUMPTIONS!$D$10,"New (0-2)",IF(M1270&lt;=ASSUMPTIONS!$D$11,"Early (2-5)",IF(M1270&lt;=ASSUMPTIONS!$D$12,"Established (5-10)","Veteran (10+)")))</f>
        <v>Early (2-5)</v>
      </c>
      <c r="R1270" s="4">
        <f t="shared" si="39"/>
        <v>2</v>
      </c>
    </row>
    <row r="1271" spans="1:18">
      <c r="A1271">
        <f>RAW_DATA!A1271</f>
        <v>43</v>
      </c>
      <c r="B1271" t="str">
        <f>RAW_DATA!B1271</f>
        <v>No</v>
      </c>
      <c r="C1271" t="str">
        <f>RAW_DATA!C1271</f>
        <v>Human Resources</v>
      </c>
      <c r="D1271">
        <f>RAW_DATA!D1271</f>
        <v>2</v>
      </c>
      <c r="E1271">
        <f>RAW_DATA!E1271</f>
        <v>3</v>
      </c>
      <c r="F1271" t="str">
        <f>RAW_DATA!F1271</f>
        <v>Life Sciences</v>
      </c>
      <c r="G1271">
        <f>RAW_DATA!G1271</f>
        <v>2</v>
      </c>
      <c r="H1271">
        <f>RAW_DATA!H1271</f>
        <v>4</v>
      </c>
      <c r="I1271" t="str">
        <f>RAW_DATA!I1271</f>
        <v>Single</v>
      </c>
      <c r="J1271">
        <f>RAW_DATA!J1271</f>
        <v>3539</v>
      </c>
      <c r="K1271">
        <f>RAW_DATA!K1271</f>
        <v>0</v>
      </c>
      <c r="L1271">
        <f>RAW_DATA!L1271</f>
        <v>3</v>
      </c>
      <c r="M1271">
        <f>RAW_DATA!M1271</f>
        <v>9</v>
      </c>
      <c r="N1271">
        <f t="shared" si="38"/>
        <v>0</v>
      </c>
      <c r="O1271" t="str" cm="1">
        <f t="array" ref="O1271" xml:space="preserve"> _xlfn.IFS(A1271 &lt;ASSUMPTIONS!$D$2,"25",A1271 &lt;= ASSUMPTIONS!$D$3,"25-34",A1271 &lt;= ASSUMPTIONS!$D$4, "35-44",A1271 &lt;= ASSUMPTIONS!$D$5,"45-54",TRUE,"55+")</f>
        <v>35-44</v>
      </c>
      <c r="P1271" t="str" cm="1">
        <f t="array" ref="P1271">_xlfn.IFS( J1271 &lt;ASSUMPTIONS!$D$7,"LOW",J1271 &lt;= ASSUMPTIONS!$D$8,"MEDIUM",TRUE, "HIGH")</f>
        <v>MEDIUM</v>
      </c>
      <c r="Q1271" t="str">
        <f>IF(M1271&lt;ASSUMPTIONS!$D$10,"New (0-2)",IF(M1271&lt;=ASSUMPTIONS!$D$11,"Early (2-5)",IF(M1271&lt;=ASSUMPTIONS!$D$12,"Established (5-10)","Veteran (10+)")))</f>
        <v>Established (5-10)</v>
      </c>
      <c r="R1271" s="4">
        <f t="shared" si="39"/>
        <v>3</v>
      </c>
    </row>
    <row r="1272" spans="1:18">
      <c r="A1272">
        <f>RAW_DATA!A1272</f>
        <v>34</v>
      </c>
      <c r="B1272" t="str">
        <f>RAW_DATA!B1272</f>
        <v>No</v>
      </c>
      <c r="C1272" t="str">
        <f>RAW_DATA!C1272</f>
        <v>Sales</v>
      </c>
      <c r="D1272">
        <f>RAW_DATA!D1272</f>
        <v>3</v>
      </c>
      <c r="E1272">
        <f>RAW_DATA!E1272</f>
        <v>2</v>
      </c>
      <c r="F1272" t="str">
        <f>RAW_DATA!F1272</f>
        <v>Life Sciences</v>
      </c>
      <c r="G1272">
        <f>RAW_DATA!G1272</f>
        <v>4</v>
      </c>
      <c r="H1272">
        <f>RAW_DATA!H1272</f>
        <v>4</v>
      </c>
      <c r="I1272" t="str">
        <f>RAW_DATA!I1272</f>
        <v>Single</v>
      </c>
      <c r="J1272">
        <f>RAW_DATA!J1272</f>
        <v>6029</v>
      </c>
      <c r="K1272">
        <f>RAW_DATA!K1272</f>
        <v>5</v>
      </c>
      <c r="L1272">
        <f>RAW_DATA!L1272</f>
        <v>3</v>
      </c>
      <c r="M1272">
        <f>RAW_DATA!M1272</f>
        <v>2</v>
      </c>
      <c r="N1272">
        <f t="shared" si="38"/>
        <v>0</v>
      </c>
      <c r="O1272" t="str" cm="1">
        <f t="array" ref="O1272" xml:space="preserve"> _xlfn.IFS(A1272 &lt;ASSUMPTIONS!$D$2,"25",A1272 &lt;= ASSUMPTIONS!$D$3,"25-34",A1272 &lt;= ASSUMPTIONS!$D$4, "35-44",A1272 &lt;= ASSUMPTIONS!$D$5,"45-54",TRUE,"55+")</f>
        <v>25-34</v>
      </c>
      <c r="P1272" t="str" cm="1">
        <f t="array" ref="P1272">_xlfn.IFS( J1272 &lt;ASSUMPTIONS!$D$7,"LOW",J1272 &lt;= ASSUMPTIONS!$D$8,"MEDIUM",TRUE, "HIGH")</f>
        <v>MEDIUM</v>
      </c>
      <c r="Q1272" t="str">
        <f>IF(M1272&lt;ASSUMPTIONS!$D$10,"New (0-2)",IF(M1272&lt;=ASSUMPTIONS!$D$11,"Early (2-5)",IF(M1272&lt;=ASSUMPTIONS!$D$12,"Established (5-10)","Veteran (10+)")))</f>
        <v>Early (2-5)</v>
      </c>
      <c r="R1272" s="4">
        <f t="shared" si="39"/>
        <v>3.6666666666666665</v>
      </c>
    </row>
    <row r="1273" spans="1:18">
      <c r="A1273">
        <f>RAW_DATA!A1273</f>
        <v>21</v>
      </c>
      <c r="B1273" t="str">
        <f>RAW_DATA!B1273</f>
        <v>Yes</v>
      </c>
      <c r="C1273" t="str">
        <f>RAW_DATA!C1273</f>
        <v>Sales</v>
      </c>
      <c r="D1273">
        <f>RAW_DATA!D1273</f>
        <v>7</v>
      </c>
      <c r="E1273">
        <f>RAW_DATA!E1273</f>
        <v>1</v>
      </c>
      <c r="F1273" t="str">
        <f>RAW_DATA!F1273</f>
        <v>Marketing</v>
      </c>
      <c r="G1273">
        <f>RAW_DATA!G1273</f>
        <v>2</v>
      </c>
      <c r="H1273">
        <f>RAW_DATA!H1273</f>
        <v>2</v>
      </c>
      <c r="I1273" t="str">
        <f>RAW_DATA!I1273</f>
        <v>Single</v>
      </c>
      <c r="J1273">
        <f>RAW_DATA!J1273</f>
        <v>2679</v>
      </c>
      <c r="K1273">
        <f>RAW_DATA!K1273</f>
        <v>1</v>
      </c>
      <c r="L1273">
        <f>RAW_DATA!L1273</f>
        <v>3</v>
      </c>
      <c r="M1273">
        <f>RAW_DATA!M1273</f>
        <v>1</v>
      </c>
      <c r="N1273">
        <f t="shared" si="38"/>
        <v>1</v>
      </c>
      <c r="O1273" t="str" cm="1">
        <f t="array" ref="O1273" xml:space="preserve"> _xlfn.IFS(A1273 &lt;ASSUMPTIONS!$D$2,"25",A1273 &lt;= ASSUMPTIONS!$D$3,"25-34",A1273 &lt;= ASSUMPTIONS!$D$4, "35-44",A1273 &lt;= ASSUMPTIONS!$D$5,"45-54",TRUE,"55+")</f>
        <v>25</v>
      </c>
      <c r="P1273" t="str" cm="1">
        <f t="array" ref="P1273">_xlfn.IFS( J1273 &lt;ASSUMPTIONS!$D$7,"LOW",J1273 &lt;= ASSUMPTIONS!$D$8,"MEDIUM",TRUE, "HIGH")</f>
        <v>LOW</v>
      </c>
      <c r="Q1273" t="str">
        <f>IF(M1273&lt;ASSUMPTIONS!$D$10,"New (0-2)",IF(M1273&lt;=ASSUMPTIONS!$D$11,"Early (2-5)",IF(M1273&lt;=ASSUMPTIONS!$D$12,"Established (5-10)","Veteran (10+)")))</f>
        <v>New (0-2)</v>
      </c>
      <c r="R1273" s="4">
        <f t="shared" si="39"/>
        <v>2.3333333333333335</v>
      </c>
    </row>
    <row r="1274" spans="1:18">
      <c r="A1274">
        <f>RAW_DATA!A1274</f>
        <v>38</v>
      </c>
      <c r="B1274" t="str">
        <f>RAW_DATA!B1274</f>
        <v>No</v>
      </c>
      <c r="C1274" t="str">
        <f>RAW_DATA!C1274</f>
        <v>Research &amp; Development</v>
      </c>
      <c r="D1274">
        <f>RAW_DATA!D1274</f>
        <v>6</v>
      </c>
      <c r="E1274">
        <f>RAW_DATA!E1274</f>
        <v>2</v>
      </c>
      <c r="F1274" t="str">
        <f>RAW_DATA!F1274</f>
        <v>Other</v>
      </c>
      <c r="G1274">
        <f>RAW_DATA!G1274</f>
        <v>4</v>
      </c>
      <c r="H1274">
        <f>RAW_DATA!H1274</f>
        <v>3</v>
      </c>
      <c r="I1274" t="str">
        <f>RAW_DATA!I1274</f>
        <v>Married</v>
      </c>
      <c r="J1274">
        <f>RAW_DATA!J1274</f>
        <v>3702</v>
      </c>
      <c r="K1274">
        <f>RAW_DATA!K1274</f>
        <v>1</v>
      </c>
      <c r="L1274">
        <f>RAW_DATA!L1274</f>
        <v>3</v>
      </c>
      <c r="M1274">
        <f>RAW_DATA!M1274</f>
        <v>5</v>
      </c>
      <c r="N1274">
        <f t="shared" si="38"/>
        <v>0</v>
      </c>
      <c r="O1274" t="str" cm="1">
        <f t="array" ref="O1274" xml:space="preserve"> _xlfn.IFS(A1274 &lt;ASSUMPTIONS!$D$2,"25",A1274 &lt;= ASSUMPTIONS!$D$3,"25-34",A1274 &lt;= ASSUMPTIONS!$D$4, "35-44",A1274 &lt;= ASSUMPTIONS!$D$5,"45-54",TRUE,"55+")</f>
        <v>35-44</v>
      </c>
      <c r="P1274" t="str" cm="1">
        <f t="array" ref="P1274">_xlfn.IFS( J1274 &lt;ASSUMPTIONS!$D$7,"LOW",J1274 &lt;= ASSUMPTIONS!$D$8,"MEDIUM",TRUE, "HIGH")</f>
        <v>MEDIUM</v>
      </c>
      <c r="Q1274" t="str">
        <f>IF(M1274&lt;ASSUMPTIONS!$D$10,"New (0-2)",IF(M1274&lt;=ASSUMPTIONS!$D$11,"Early (2-5)",IF(M1274&lt;=ASSUMPTIONS!$D$12,"Established (5-10)","Veteran (10+)")))</f>
        <v>Early (2-5)</v>
      </c>
      <c r="R1274" s="4">
        <f t="shared" si="39"/>
        <v>3.3333333333333335</v>
      </c>
    </row>
    <row r="1275" spans="1:18">
      <c r="A1275">
        <f>RAW_DATA!A1275</f>
        <v>22</v>
      </c>
      <c r="B1275" t="str">
        <f>RAW_DATA!B1275</f>
        <v>Yes</v>
      </c>
      <c r="C1275" t="str">
        <f>RAW_DATA!C1275</f>
        <v>Research &amp; Development</v>
      </c>
      <c r="D1275">
        <f>RAW_DATA!D1275</f>
        <v>8</v>
      </c>
      <c r="E1275">
        <f>RAW_DATA!E1275</f>
        <v>1</v>
      </c>
      <c r="F1275" t="str">
        <f>RAW_DATA!F1275</f>
        <v>Medical</v>
      </c>
      <c r="G1275">
        <f>RAW_DATA!G1275</f>
        <v>3</v>
      </c>
      <c r="H1275">
        <f>RAW_DATA!H1275</f>
        <v>1</v>
      </c>
      <c r="I1275" t="str">
        <f>RAW_DATA!I1275</f>
        <v>Married</v>
      </c>
      <c r="J1275">
        <f>RAW_DATA!J1275</f>
        <v>2398</v>
      </c>
      <c r="K1275">
        <f>RAW_DATA!K1275</f>
        <v>1</v>
      </c>
      <c r="L1275">
        <f>RAW_DATA!L1275</f>
        <v>3</v>
      </c>
      <c r="M1275">
        <f>RAW_DATA!M1275</f>
        <v>1</v>
      </c>
      <c r="N1275">
        <f t="shared" si="38"/>
        <v>1</v>
      </c>
      <c r="O1275" t="str" cm="1">
        <f t="array" ref="O1275" xml:space="preserve"> _xlfn.IFS(A1275 &lt;ASSUMPTIONS!$D$2,"25",A1275 &lt;= ASSUMPTIONS!$D$3,"25-34",A1275 &lt;= ASSUMPTIONS!$D$4, "35-44",A1275 &lt;= ASSUMPTIONS!$D$5,"45-54",TRUE,"55+")</f>
        <v>25</v>
      </c>
      <c r="P1275" t="str" cm="1">
        <f t="array" ref="P1275">_xlfn.IFS( J1275 &lt;ASSUMPTIONS!$D$7,"LOW",J1275 &lt;= ASSUMPTIONS!$D$8,"MEDIUM",TRUE, "HIGH")</f>
        <v>LOW</v>
      </c>
      <c r="Q1275" t="str">
        <f>IF(M1275&lt;ASSUMPTIONS!$D$10,"New (0-2)",IF(M1275&lt;=ASSUMPTIONS!$D$11,"Early (2-5)",IF(M1275&lt;=ASSUMPTIONS!$D$12,"Established (5-10)","Veteran (10+)")))</f>
        <v>New (0-2)</v>
      </c>
      <c r="R1275" s="4">
        <f t="shared" si="39"/>
        <v>2.3333333333333335</v>
      </c>
    </row>
    <row r="1276" spans="1:18">
      <c r="A1276">
        <f>RAW_DATA!A1276</f>
        <v>31</v>
      </c>
      <c r="B1276" t="str">
        <f>RAW_DATA!B1276</f>
        <v>No</v>
      </c>
      <c r="C1276" t="str">
        <f>RAW_DATA!C1276</f>
        <v>Sales</v>
      </c>
      <c r="D1276">
        <f>RAW_DATA!D1276</f>
        <v>29</v>
      </c>
      <c r="E1276">
        <f>RAW_DATA!E1276</f>
        <v>4</v>
      </c>
      <c r="F1276" t="str">
        <f>RAW_DATA!F1276</f>
        <v>Marketing</v>
      </c>
      <c r="G1276">
        <f>RAW_DATA!G1276</f>
        <v>1</v>
      </c>
      <c r="H1276">
        <f>RAW_DATA!H1276</f>
        <v>4</v>
      </c>
      <c r="I1276" t="str">
        <f>RAW_DATA!I1276</f>
        <v>Married</v>
      </c>
      <c r="J1276">
        <f>RAW_DATA!J1276</f>
        <v>5468</v>
      </c>
      <c r="K1276">
        <f>RAW_DATA!K1276</f>
        <v>1</v>
      </c>
      <c r="L1276">
        <f>RAW_DATA!L1276</f>
        <v>3</v>
      </c>
      <c r="M1276">
        <f>RAW_DATA!M1276</f>
        <v>12</v>
      </c>
      <c r="N1276">
        <f t="shared" si="38"/>
        <v>0</v>
      </c>
      <c r="O1276" t="str" cm="1">
        <f t="array" ref="O1276" xml:space="preserve"> _xlfn.IFS(A1276 &lt;ASSUMPTIONS!$D$2,"25",A1276 &lt;= ASSUMPTIONS!$D$3,"25-34",A1276 &lt;= ASSUMPTIONS!$D$4, "35-44",A1276 &lt;= ASSUMPTIONS!$D$5,"45-54",TRUE,"55+")</f>
        <v>25-34</v>
      </c>
      <c r="P1276" t="str" cm="1">
        <f t="array" ref="P1276">_xlfn.IFS( J1276 &lt;ASSUMPTIONS!$D$7,"LOW",J1276 &lt;= ASSUMPTIONS!$D$8,"MEDIUM",TRUE, "HIGH")</f>
        <v>MEDIUM</v>
      </c>
      <c r="Q1276" t="str">
        <f>IF(M1276&lt;ASSUMPTIONS!$D$10,"New (0-2)",IF(M1276&lt;=ASSUMPTIONS!$D$11,"Early (2-5)",IF(M1276&lt;=ASSUMPTIONS!$D$12,"Established (5-10)","Veteran (10+)")))</f>
        <v>Veteran (10+)</v>
      </c>
      <c r="R1276" s="4">
        <f t="shared" si="39"/>
        <v>2.6666666666666665</v>
      </c>
    </row>
    <row r="1277" spans="1:18">
      <c r="A1277">
        <f>RAW_DATA!A1277</f>
        <v>51</v>
      </c>
      <c r="B1277" t="str">
        <f>RAW_DATA!B1277</f>
        <v>No</v>
      </c>
      <c r="C1277" t="str">
        <f>RAW_DATA!C1277</f>
        <v>Research &amp; Development</v>
      </c>
      <c r="D1277">
        <f>RAW_DATA!D1277</f>
        <v>3</v>
      </c>
      <c r="E1277">
        <f>RAW_DATA!E1277</f>
        <v>3</v>
      </c>
      <c r="F1277" t="str">
        <f>RAW_DATA!F1277</f>
        <v>Technical Degree</v>
      </c>
      <c r="G1277">
        <f>RAW_DATA!G1277</f>
        <v>1</v>
      </c>
      <c r="H1277">
        <f>RAW_DATA!H1277</f>
        <v>3</v>
      </c>
      <c r="I1277" t="str">
        <f>RAW_DATA!I1277</f>
        <v>Married</v>
      </c>
      <c r="J1277">
        <f>RAW_DATA!J1277</f>
        <v>13116</v>
      </c>
      <c r="K1277">
        <f>RAW_DATA!K1277</f>
        <v>2</v>
      </c>
      <c r="L1277">
        <f>RAW_DATA!L1277</f>
        <v>3</v>
      </c>
      <c r="M1277">
        <f>RAW_DATA!M1277</f>
        <v>2</v>
      </c>
      <c r="N1277">
        <f t="shared" si="38"/>
        <v>0</v>
      </c>
      <c r="O1277" t="str" cm="1">
        <f t="array" ref="O1277" xml:space="preserve"> _xlfn.IFS(A1277 &lt;ASSUMPTIONS!$D$2,"25",A1277 &lt;= ASSUMPTIONS!$D$3,"25-34",A1277 &lt;= ASSUMPTIONS!$D$4, "35-44",A1277 &lt;= ASSUMPTIONS!$D$5,"45-54",TRUE,"55+")</f>
        <v>45-54</v>
      </c>
      <c r="P1277" t="str" cm="1">
        <f t="array" ref="P1277">_xlfn.IFS( J1277 &lt;ASSUMPTIONS!$D$7,"LOW",J1277 &lt;= ASSUMPTIONS!$D$8,"MEDIUM",TRUE, "HIGH")</f>
        <v>HIGH</v>
      </c>
      <c r="Q1277" t="str">
        <f>IF(M1277&lt;ASSUMPTIONS!$D$10,"New (0-2)",IF(M1277&lt;=ASSUMPTIONS!$D$11,"Early (2-5)",IF(M1277&lt;=ASSUMPTIONS!$D$12,"Established (5-10)","Veteran (10+)")))</f>
        <v>Early (2-5)</v>
      </c>
      <c r="R1277" s="4">
        <f t="shared" si="39"/>
        <v>2.3333333333333335</v>
      </c>
    </row>
    <row r="1278" spans="1:18">
      <c r="A1278">
        <f>RAW_DATA!A1278</f>
        <v>37</v>
      </c>
      <c r="B1278" t="str">
        <f>RAW_DATA!B1278</f>
        <v>No</v>
      </c>
      <c r="C1278" t="str">
        <f>RAW_DATA!C1278</f>
        <v>Sales</v>
      </c>
      <c r="D1278">
        <f>RAW_DATA!D1278</f>
        <v>9</v>
      </c>
      <c r="E1278">
        <f>RAW_DATA!E1278</f>
        <v>2</v>
      </c>
      <c r="F1278" t="str">
        <f>RAW_DATA!F1278</f>
        <v>Marketing</v>
      </c>
      <c r="G1278">
        <f>RAW_DATA!G1278</f>
        <v>2</v>
      </c>
      <c r="H1278">
        <f>RAW_DATA!H1278</f>
        <v>2</v>
      </c>
      <c r="I1278" t="str">
        <f>RAW_DATA!I1278</f>
        <v>Married</v>
      </c>
      <c r="J1278">
        <f>RAW_DATA!J1278</f>
        <v>4189</v>
      </c>
      <c r="K1278">
        <f>RAW_DATA!K1278</f>
        <v>1</v>
      </c>
      <c r="L1278">
        <f>RAW_DATA!L1278</f>
        <v>3</v>
      </c>
      <c r="M1278">
        <f>RAW_DATA!M1278</f>
        <v>5</v>
      </c>
      <c r="N1278">
        <f t="shared" si="38"/>
        <v>0</v>
      </c>
      <c r="O1278" t="str" cm="1">
        <f t="array" ref="O1278" xml:space="preserve"> _xlfn.IFS(A1278 &lt;ASSUMPTIONS!$D$2,"25",A1278 &lt;= ASSUMPTIONS!$D$3,"25-34",A1278 &lt;= ASSUMPTIONS!$D$4, "35-44",A1278 &lt;= ASSUMPTIONS!$D$5,"45-54",TRUE,"55+")</f>
        <v>35-44</v>
      </c>
      <c r="P1278" t="str" cm="1">
        <f t="array" ref="P1278">_xlfn.IFS( J1278 &lt;ASSUMPTIONS!$D$7,"LOW",J1278 &lt;= ASSUMPTIONS!$D$8,"MEDIUM",TRUE, "HIGH")</f>
        <v>MEDIUM</v>
      </c>
      <c r="Q1278" t="str">
        <f>IF(M1278&lt;ASSUMPTIONS!$D$10,"New (0-2)",IF(M1278&lt;=ASSUMPTIONS!$D$11,"Early (2-5)",IF(M1278&lt;=ASSUMPTIONS!$D$12,"Established (5-10)","Veteran (10+)")))</f>
        <v>Early (2-5)</v>
      </c>
      <c r="R1278" s="4">
        <f t="shared" si="39"/>
        <v>2.3333333333333335</v>
      </c>
    </row>
    <row r="1279" spans="1:18">
      <c r="A1279">
        <f>RAW_DATA!A1279</f>
        <v>46</v>
      </c>
      <c r="B1279" t="str">
        <f>RAW_DATA!B1279</f>
        <v>No</v>
      </c>
      <c r="C1279" t="str">
        <f>RAW_DATA!C1279</f>
        <v>Research &amp; Development</v>
      </c>
      <c r="D1279">
        <f>RAW_DATA!D1279</f>
        <v>2</v>
      </c>
      <c r="E1279">
        <f>RAW_DATA!E1279</f>
        <v>4</v>
      </c>
      <c r="F1279" t="str">
        <f>RAW_DATA!F1279</f>
        <v>Medical</v>
      </c>
      <c r="G1279">
        <f>RAW_DATA!G1279</f>
        <v>3</v>
      </c>
      <c r="H1279">
        <f>RAW_DATA!H1279</f>
        <v>4</v>
      </c>
      <c r="I1279" t="str">
        <f>RAW_DATA!I1279</f>
        <v>Divorced</v>
      </c>
      <c r="J1279">
        <f>RAW_DATA!J1279</f>
        <v>19328</v>
      </c>
      <c r="K1279">
        <f>RAW_DATA!K1279</f>
        <v>7</v>
      </c>
      <c r="L1279">
        <f>RAW_DATA!L1279</f>
        <v>3</v>
      </c>
      <c r="M1279">
        <f>RAW_DATA!M1279</f>
        <v>2</v>
      </c>
      <c r="N1279">
        <f t="shared" si="38"/>
        <v>0</v>
      </c>
      <c r="O1279" t="str" cm="1">
        <f t="array" ref="O1279" xml:space="preserve"> _xlfn.IFS(A1279 &lt;ASSUMPTIONS!$D$2,"25",A1279 &lt;= ASSUMPTIONS!$D$3,"25-34",A1279 &lt;= ASSUMPTIONS!$D$4, "35-44",A1279 &lt;= ASSUMPTIONS!$D$5,"45-54",TRUE,"55+")</f>
        <v>45-54</v>
      </c>
      <c r="P1279" t="str" cm="1">
        <f t="array" ref="P1279">_xlfn.IFS( J1279 &lt;ASSUMPTIONS!$D$7,"LOW",J1279 &lt;= ASSUMPTIONS!$D$8,"MEDIUM",TRUE, "HIGH")</f>
        <v>HIGH</v>
      </c>
      <c r="Q1279" t="str">
        <f>IF(M1279&lt;ASSUMPTIONS!$D$10,"New (0-2)",IF(M1279&lt;=ASSUMPTIONS!$D$11,"Early (2-5)",IF(M1279&lt;=ASSUMPTIONS!$D$12,"Established (5-10)","Veteran (10+)")))</f>
        <v>Early (2-5)</v>
      </c>
      <c r="R1279" s="4">
        <f t="shared" si="39"/>
        <v>3.3333333333333335</v>
      </c>
    </row>
    <row r="1280" spans="1:18">
      <c r="A1280">
        <f>RAW_DATA!A1280</f>
        <v>36</v>
      </c>
      <c r="B1280" t="str">
        <f>RAW_DATA!B1280</f>
        <v>No</v>
      </c>
      <c r="C1280" t="str">
        <f>RAW_DATA!C1280</f>
        <v>Research &amp; Development</v>
      </c>
      <c r="D1280">
        <f>RAW_DATA!D1280</f>
        <v>10</v>
      </c>
      <c r="E1280">
        <f>RAW_DATA!E1280</f>
        <v>3</v>
      </c>
      <c r="F1280" t="str">
        <f>RAW_DATA!F1280</f>
        <v>Life Sciences</v>
      </c>
      <c r="G1280">
        <f>RAW_DATA!G1280</f>
        <v>4</v>
      </c>
      <c r="H1280">
        <f>RAW_DATA!H1280</f>
        <v>1</v>
      </c>
      <c r="I1280" t="str">
        <f>RAW_DATA!I1280</f>
        <v>Married</v>
      </c>
      <c r="J1280">
        <f>RAW_DATA!J1280</f>
        <v>8321</v>
      </c>
      <c r="K1280">
        <f>RAW_DATA!K1280</f>
        <v>7</v>
      </c>
      <c r="L1280">
        <f>RAW_DATA!L1280</f>
        <v>3</v>
      </c>
      <c r="M1280">
        <f>RAW_DATA!M1280</f>
        <v>12</v>
      </c>
      <c r="N1280">
        <f t="shared" si="38"/>
        <v>0</v>
      </c>
      <c r="O1280" t="str" cm="1">
        <f t="array" ref="O1280" xml:space="preserve"> _xlfn.IFS(A1280 &lt;ASSUMPTIONS!$D$2,"25",A1280 &lt;= ASSUMPTIONS!$D$3,"25-34",A1280 &lt;= ASSUMPTIONS!$D$4, "35-44",A1280 &lt;= ASSUMPTIONS!$D$5,"45-54",TRUE,"55+")</f>
        <v>35-44</v>
      </c>
      <c r="P1280" t="str" cm="1">
        <f t="array" ref="P1280">_xlfn.IFS( J1280 &lt;ASSUMPTIONS!$D$7,"LOW",J1280 &lt;= ASSUMPTIONS!$D$8,"MEDIUM",TRUE, "HIGH")</f>
        <v>HIGH</v>
      </c>
      <c r="Q1280" t="str">
        <f>IF(M1280&lt;ASSUMPTIONS!$D$10,"New (0-2)",IF(M1280&lt;=ASSUMPTIONS!$D$11,"Early (2-5)",IF(M1280&lt;=ASSUMPTIONS!$D$12,"Established (5-10)","Veteran (10+)")))</f>
        <v>Veteran (10+)</v>
      </c>
      <c r="R1280" s="4">
        <f t="shared" si="39"/>
        <v>2.6666666666666665</v>
      </c>
    </row>
    <row r="1281" spans="1:18">
      <c r="A1281">
        <f>RAW_DATA!A1281</f>
        <v>44</v>
      </c>
      <c r="B1281" t="str">
        <f>RAW_DATA!B1281</f>
        <v>Yes</v>
      </c>
      <c r="C1281" t="str">
        <f>RAW_DATA!C1281</f>
        <v>Research &amp; Development</v>
      </c>
      <c r="D1281">
        <f>RAW_DATA!D1281</f>
        <v>1</v>
      </c>
      <c r="E1281">
        <f>RAW_DATA!E1281</f>
        <v>2</v>
      </c>
      <c r="F1281" t="str">
        <f>RAW_DATA!F1281</f>
        <v>Medical</v>
      </c>
      <c r="G1281">
        <f>RAW_DATA!G1281</f>
        <v>3</v>
      </c>
      <c r="H1281">
        <f>RAW_DATA!H1281</f>
        <v>2</v>
      </c>
      <c r="I1281" t="str">
        <f>RAW_DATA!I1281</f>
        <v>Divorced</v>
      </c>
      <c r="J1281">
        <f>RAW_DATA!J1281</f>
        <v>2342</v>
      </c>
      <c r="K1281">
        <f>RAW_DATA!K1281</f>
        <v>1</v>
      </c>
      <c r="L1281">
        <f>RAW_DATA!L1281</f>
        <v>2</v>
      </c>
      <c r="M1281">
        <f>RAW_DATA!M1281</f>
        <v>5</v>
      </c>
      <c r="N1281">
        <f t="shared" si="38"/>
        <v>1</v>
      </c>
      <c r="O1281" t="str" cm="1">
        <f t="array" ref="O1281" xml:space="preserve"> _xlfn.IFS(A1281 &lt;ASSUMPTIONS!$D$2,"25",A1281 &lt;= ASSUMPTIONS!$D$3,"25-34",A1281 &lt;= ASSUMPTIONS!$D$4, "35-44",A1281 &lt;= ASSUMPTIONS!$D$5,"45-54",TRUE,"55+")</f>
        <v>35-44</v>
      </c>
      <c r="P1281" t="str" cm="1">
        <f t="array" ref="P1281">_xlfn.IFS( J1281 &lt;ASSUMPTIONS!$D$7,"LOW",J1281 &lt;= ASSUMPTIONS!$D$8,"MEDIUM",TRUE, "HIGH")</f>
        <v>LOW</v>
      </c>
      <c r="Q1281" t="str">
        <f>IF(M1281&lt;ASSUMPTIONS!$D$10,"New (0-2)",IF(M1281&lt;=ASSUMPTIONS!$D$11,"Early (2-5)",IF(M1281&lt;=ASSUMPTIONS!$D$12,"Established (5-10)","Veteran (10+)")))</f>
        <v>Early (2-5)</v>
      </c>
      <c r="R1281" s="4">
        <f t="shared" si="39"/>
        <v>2.3333333333333335</v>
      </c>
    </row>
    <row r="1282" spans="1:18">
      <c r="A1282">
        <f>RAW_DATA!A1282</f>
        <v>37</v>
      </c>
      <c r="B1282" t="str">
        <f>RAW_DATA!B1282</f>
        <v>No</v>
      </c>
      <c r="C1282" t="str">
        <f>RAW_DATA!C1282</f>
        <v>Human Resources</v>
      </c>
      <c r="D1282">
        <f>RAW_DATA!D1282</f>
        <v>8</v>
      </c>
      <c r="E1282">
        <f>RAW_DATA!E1282</f>
        <v>2</v>
      </c>
      <c r="F1282" t="str">
        <f>RAW_DATA!F1282</f>
        <v>Other</v>
      </c>
      <c r="G1282">
        <f>RAW_DATA!G1282</f>
        <v>3</v>
      </c>
      <c r="H1282">
        <f>RAW_DATA!H1282</f>
        <v>2</v>
      </c>
      <c r="I1282" t="str">
        <f>RAW_DATA!I1282</f>
        <v>Divorced</v>
      </c>
      <c r="J1282">
        <f>RAW_DATA!J1282</f>
        <v>4071</v>
      </c>
      <c r="K1282">
        <f>RAW_DATA!K1282</f>
        <v>2</v>
      </c>
      <c r="L1282">
        <f>RAW_DATA!L1282</f>
        <v>2</v>
      </c>
      <c r="M1282">
        <f>RAW_DATA!M1282</f>
        <v>10</v>
      </c>
      <c r="N1282">
        <f t="shared" si="38"/>
        <v>0</v>
      </c>
      <c r="O1282" t="str" cm="1">
        <f t="array" ref="O1282" xml:space="preserve"> _xlfn.IFS(A1282 &lt;ASSUMPTIONS!$D$2,"25",A1282 &lt;= ASSUMPTIONS!$D$3,"25-34",A1282 &lt;= ASSUMPTIONS!$D$4, "35-44",A1282 &lt;= ASSUMPTIONS!$D$5,"45-54",TRUE,"55+")</f>
        <v>35-44</v>
      </c>
      <c r="P1282" t="str" cm="1">
        <f t="array" ref="P1282">_xlfn.IFS( J1282 &lt;ASSUMPTIONS!$D$7,"LOW",J1282 &lt;= ASSUMPTIONS!$D$8,"MEDIUM",TRUE, "HIGH")</f>
        <v>MEDIUM</v>
      </c>
      <c r="Q1282" t="str">
        <f>IF(M1282&lt;ASSUMPTIONS!$D$10,"New (0-2)",IF(M1282&lt;=ASSUMPTIONS!$D$11,"Early (2-5)",IF(M1282&lt;=ASSUMPTIONS!$D$12,"Established (5-10)","Veteran (10+)")))</f>
        <v>Established (5-10)</v>
      </c>
      <c r="R1282" s="4">
        <f t="shared" si="39"/>
        <v>2.3333333333333335</v>
      </c>
    </row>
    <row r="1283" spans="1:18">
      <c r="A1283">
        <f>RAW_DATA!A1283</f>
        <v>35</v>
      </c>
      <c r="B1283" t="str">
        <f>RAW_DATA!B1283</f>
        <v>Yes</v>
      </c>
      <c r="C1283" t="str">
        <f>RAW_DATA!C1283</f>
        <v>Sales</v>
      </c>
      <c r="D1283">
        <f>RAW_DATA!D1283</f>
        <v>27</v>
      </c>
      <c r="E1283">
        <f>RAW_DATA!E1283</f>
        <v>3</v>
      </c>
      <c r="F1283" t="str">
        <f>RAW_DATA!F1283</f>
        <v>Life Sciences</v>
      </c>
      <c r="G1283">
        <f>RAW_DATA!G1283</f>
        <v>3</v>
      </c>
      <c r="H1283">
        <f>RAW_DATA!H1283</f>
        <v>4</v>
      </c>
      <c r="I1283" t="str">
        <f>RAW_DATA!I1283</f>
        <v>Single</v>
      </c>
      <c r="J1283">
        <f>RAW_DATA!J1283</f>
        <v>5813</v>
      </c>
      <c r="K1283">
        <f>RAW_DATA!K1283</f>
        <v>1</v>
      </c>
      <c r="L1283">
        <f>RAW_DATA!L1283</f>
        <v>3</v>
      </c>
      <c r="M1283">
        <f>RAW_DATA!M1283</f>
        <v>10</v>
      </c>
      <c r="N1283">
        <f t="shared" ref="N1283:N1346" si="40" xml:space="preserve"> IF(B1283 ="Yes",1,0)</f>
        <v>1</v>
      </c>
      <c r="O1283" t="str" cm="1">
        <f t="array" ref="O1283" xml:space="preserve"> _xlfn.IFS(A1283 &lt;ASSUMPTIONS!$D$2,"25",A1283 &lt;= ASSUMPTIONS!$D$3,"25-34",A1283 &lt;= ASSUMPTIONS!$D$4, "35-44",A1283 &lt;= ASSUMPTIONS!$D$5,"45-54",TRUE,"55+")</f>
        <v>35-44</v>
      </c>
      <c r="P1283" t="str" cm="1">
        <f t="array" ref="P1283">_xlfn.IFS( J1283 &lt;ASSUMPTIONS!$D$7,"LOW",J1283 &lt;= ASSUMPTIONS!$D$8,"MEDIUM",TRUE, "HIGH")</f>
        <v>MEDIUM</v>
      </c>
      <c r="Q1283" t="str">
        <f>IF(M1283&lt;ASSUMPTIONS!$D$10,"New (0-2)",IF(M1283&lt;=ASSUMPTIONS!$D$11,"Early (2-5)",IF(M1283&lt;=ASSUMPTIONS!$D$12,"Established (5-10)","Veteran (10+)")))</f>
        <v>Established (5-10)</v>
      </c>
      <c r="R1283" s="4">
        <f t="shared" ref="R1283:R1346" si="41">AVERAGE(G1283,H1283,L1283)</f>
        <v>3.3333333333333335</v>
      </c>
    </row>
    <row r="1284" spans="1:18">
      <c r="A1284">
        <f>RAW_DATA!A1284</f>
        <v>33</v>
      </c>
      <c r="B1284" t="str">
        <f>RAW_DATA!B1284</f>
        <v>No</v>
      </c>
      <c r="C1284" t="str">
        <f>RAW_DATA!C1284</f>
        <v>Research &amp; Development</v>
      </c>
      <c r="D1284">
        <f>RAW_DATA!D1284</f>
        <v>8</v>
      </c>
      <c r="E1284">
        <f>RAW_DATA!E1284</f>
        <v>4</v>
      </c>
      <c r="F1284" t="str">
        <f>RAW_DATA!F1284</f>
        <v>Life Sciences</v>
      </c>
      <c r="G1284">
        <f>RAW_DATA!G1284</f>
        <v>4</v>
      </c>
      <c r="H1284">
        <f>RAW_DATA!H1284</f>
        <v>1</v>
      </c>
      <c r="I1284" t="str">
        <f>RAW_DATA!I1284</f>
        <v>Married</v>
      </c>
      <c r="J1284">
        <f>RAW_DATA!J1284</f>
        <v>3143</v>
      </c>
      <c r="K1284">
        <f>RAW_DATA!K1284</f>
        <v>6</v>
      </c>
      <c r="L1284">
        <f>RAW_DATA!L1284</f>
        <v>3</v>
      </c>
      <c r="M1284">
        <f>RAW_DATA!M1284</f>
        <v>10</v>
      </c>
      <c r="N1284">
        <f t="shared" si="40"/>
        <v>0</v>
      </c>
      <c r="O1284" t="str" cm="1">
        <f t="array" ref="O1284" xml:space="preserve"> _xlfn.IFS(A1284 &lt;ASSUMPTIONS!$D$2,"25",A1284 &lt;= ASSUMPTIONS!$D$3,"25-34",A1284 &lt;= ASSUMPTIONS!$D$4, "35-44",A1284 &lt;= ASSUMPTIONS!$D$5,"45-54",TRUE,"55+")</f>
        <v>25-34</v>
      </c>
      <c r="P1284" t="str" cm="1">
        <f t="array" ref="P1284">_xlfn.IFS( J1284 &lt;ASSUMPTIONS!$D$7,"LOW",J1284 &lt;= ASSUMPTIONS!$D$8,"MEDIUM",TRUE, "HIGH")</f>
        <v>MEDIUM</v>
      </c>
      <c r="Q1284" t="str">
        <f>IF(M1284&lt;ASSUMPTIONS!$D$10,"New (0-2)",IF(M1284&lt;=ASSUMPTIONS!$D$11,"Early (2-5)",IF(M1284&lt;=ASSUMPTIONS!$D$12,"Established (5-10)","Veteran (10+)")))</f>
        <v>Established (5-10)</v>
      </c>
      <c r="R1284" s="4">
        <f t="shared" si="41"/>
        <v>2.6666666666666665</v>
      </c>
    </row>
    <row r="1285" spans="1:18">
      <c r="A1285">
        <f>RAW_DATA!A1285</f>
        <v>28</v>
      </c>
      <c r="B1285" t="str">
        <f>RAW_DATA!B1285</f>
        <v>No</v>
      </c>
      <c r="C1285" t="str">
        <f>RAW_DATA!C1285</f>
        <v>Research &amp; Development</v>
      </c>
      <c r="D1285">
        <f>RAW_DATA!D1285</f>
        <v>1</v>
      </c>
      <c r="E1285">
        <f>RAW_DATA!E1285</f>
        <v>3</v>
      </c>
      <c r="F1285" t="str">
        <f>RAW_DATA!F1285</f>
        <v>Life Sciences</v>
      </c>
      <c r="G1285">
        <f>RAW_DATA!G1285</f>
        <v>3</v>
      </c>
      <c r="H1285">
        <f>RAW_DATA!H1285</f>
        <v>4</v>
      </c>
      <c r="I1285" t="str">
        <f>RAW_DATA!I1285</f>
        <v>Married</v>
      </c>
      <c r="J1285">
        <f>RAW_DATA!J1285</f>
        <v>2044</v>
      </c>
      <c r="K1285">
        <f>RAW_DATA!K1285</f>
        <v>1</v>
      </c>
      <c r="L1285">
        <f>RAW_DATA!L1285</f>
        <v>4</v>
      </c>
      <c r="M1285">
        <f>RAW_DATA!M1285</f>
        <v>5</v>
      </c>
      <c r="N1285">
        <f t="shared" si="40"/>
        <v>0</v>
      </c>
      <c r="O1285" t="str" cm="1">
        <f t="array" ref="O1285" xml:space="preserve"> _xlfn.IFS(A1285 &lt;ASSUMPTIONS!$D$2,"25",A1285 &lt;= ASSUMPTIONS!$D$3,"25-34",A1285 &lt;= ASSUMPTIONS!$D$4, "35-44",A1285 &lt;= ASSUMPTIONS!$D$5,"45-54",TRUE,"55+")</f>
        <v>25-34</v>
      </c>
      <c r="P1285" t="str" cm="1">
        <f t="array" ref="P1285">_xlfn.IFS( J1285 &lt;ASSUMPTIONS!$D$7,"LOW",J1285 &lt;= ASSUMPTIONS!$D$8,"MEDIUM",TRUE, "HIGH")</f>
        <v>LOW</v>
      </c>
      <c r="Q1285" t="str">
        <f>IF(M1285&lt;ASSUMPTIONS!$D$10,"New (0-2)",IF(M1285&lt;=ASSUMPTIONS!$D$11,"Early (2-5)",IF(M1285&lt;=ASSUMPTIONS!$D$12,"Established (5-10)","Veteran (10+)")))</f>
        <v>Early (2-5)</v>
      </c>
      <c r="R1285" s="4">
        <f t="shared" si="41"/>
        <v>3.6666666666666665</v>
      </c>
    </row>
    <row r="1286" spans="1:18">
      <c r="A1286">
        <f>RAW_DATA!A1286</f>
        <v>39</v>
      </c>
      <c r="B1286" t="str">
        <f>RAW_DATA!B1286</f>
        <v>No</v>
      </c>
      <c r="C1286" t="str">
        <f>RAW_DATA!C1286</f>
        <v>Research &amp; Development</v>
      </c>
      <c r="D1286">
        <f>RAW_DATA!D1286</f>
        <v>10</v>
      </c>
      <c r="E1286">
        <f>RAW_DATA!E1286</f>
        <v>1</v>
      </c>
      <c r="F1286" t="str">
        <f>RAW_DATA!F1286</f>
        <v>Medical</v>
      </c>
      <c r="G1286">
        <f>RAW_DATA!G1286</f>
        <v>3</v>
      </c>
      <c r="H1286">
        <f>RAW_DATA!H1286</f>
        <v>3</v>
      </c>
      <c r="I1286" t="str">
        <f>RAW_DATA!I1286</f>
        <v>Single</v>
      </c>
      <c r="J1286">
        <f>RAW_DATA!J1286</f>
        <v>13464</v>
      </c>
      <c r="K1286">
        <f>RAW_DATA!K1286</f>
        <v>7</v>
      </c>
      <c r="L1286">
        <f>RAW_DATA!L1286</f>
        <v>3</v>
      </c>
      <c r="M1286">
        <f>RAW_DATA!M1286</f>
        <v>4</v>
      </c>
      <c r="N1286">
        <f t="shared" si="40"/>
        <v>0</v>
      </c>
      <c r="O1286" t="str" cm="1">
        <f t="array" ref="O1286" xml:space="preserve"> _xlfn.IFS(A1286 &lt;ASSUMPTIONS!$D$2,"25",A1286 &lt;= ASSUMPTIONS!$D$3,"25-34",A1286 &lt;= ASSUMPTIONS!$D$4, "35-44",A1286 &lt;= ASSUMPTIONS!$D$5,"45-54",TRUE,"55+")</f>
        <v>35-44</v>
      </c>
      <c r="P1286" t="str" cm="1">
        <f t="array" ref="P1286">_xlfn.IFS( J1286 &lt;ASSUMPTIONS!$D$7,"LOW",J1286 &lt;= ASSUMPTIONS!$D$8,"MEDIUM",TRUE, "HIGH")</f>
        <v>HIGH</v>
      </c>
      <c r="Q1286" t="str">
        <f>IF(M1286&lt;ASSUMPTIONS!$D$10,"New (0-2)",IF(M1286&lt;=ASSUMPTIONS!$D$11,"Early (2-5)",IF(M1286&lt;=ASSUMPTIONS!$D$12,"Established (5-10)","Veteran (10+)")))</f>
        <v>Early (2-5)</v>
      </c>
      <c r="R1286" s="4">
        <f t="shared" si="41"/>
        <v>3</v>
      </c>
    </row>
    <row r="1287" spans="1:18">
      <c r="A1287">
        <f>RAW_DATA!A1287</f>
        <v>46</v>
      </c>
      <c r="B1287" t="str">
        <f>RAW_DATA!B1287</f>
        <v>No</v>
      </c>
      <c r="C1287" t="str">
        <f>RAW_DATA!C1287</f>
        <v>Sales</v>
      </c>
      <c r="D1287">
        <f>RAW_DATA!D1287</f>
        <v>26</v>
      </c>
      <c r="E1287">
        <f>RAW_DATA!E1287</f>
        <v>2</v>
      </c>
      <c r="F1287" t="str">
        <f>RAW_DATA!F1287</f>
        <v>Life Sciences</v>
      </c>
      <c r="G1287">
        <f>RAW_DATA!G1287</f>
        <v>2</v>
      </c>
      <c r="H1287">
        <f>RAW_DATA!H1287</f>
        <v>2</v>
      </c>
      <c r="I1287" t="str">
        <f>RAW_DATA!I1287</f>
        <v>Single</v>
      </c>
      <c r="J1287">
        <f>RAW_DATA!J1287</f>
        <v>7991</v>
      </c>
      <c r="K1287">
        <f>RAW_DATA!K1287</f>
        <v>8</v>
      </c>
      <c r="L1287">
        <f>RAW_DATA!L1287</f>
        <v>3</v>
      </c>
      <c r="M1287">
        <f>RAW_DATA!M1287</f>
        <v>2</v>
      </c>
      <c r="N1287">
        <f t="shared" si="40"/>
        <v>0</v>
      </c>
      <c r="O1287" t="str" cm="1">
        <f t="array" ref="O1287" xml:space="preserve"> _xlfn.IFS(A1287 &lt;ASSUMPTIONS!$D$2,"25",A1287 &lt;= ASSUMPTIONS!$D$3,"25-34",A1287 &lt;= ASSUMPTIONS!$D$4, "35-44",A1287 &lt;= ASSUMPTIONS!$D$5,"45-54",TRUE,"55+")</f>
        <v>45-54</v>
      </c>
      <c r="P1287" t="str" cm="1">
        <f t="array" ref="P1287">_xlfn.IFS( J1287 &lt;ASSUMPTIONS!$D$7,"LOW",J1287 &lt;= ASSUMPTIONS!$D$8,"MEDIUM",TRUE, "HIGH")</f>
        <v>HIGH</v>
      </c>
      <c r="Q1287" t="str">
        <f>IF(M1287&lt;ASSUMPTIONS!$D$10,"New (0-2)",IF(M1287&lt;=ASSUMPTIONS!$D$11,"Early (2-5)",IF(M1287&lt;=ASSUMPTIONS!$D$12,"Established (5-10)","Veteran (10+)")))</f>
        <v>Early (2-5)</v>
      </c>
      <c r="R1287" s="4">
        <f t="shared" si="41"/>
        <v>2.3333333333333335</v>
      </c>
    </row>
    <row r="1288" spans="1:18">
      <c r="A1288">
        <f>RAW_DATA!A1288</f>
        <v>40</v>
      </c>
      <c r="B1288" t="str">
        <f>RAW_DATA!B1288</f>
        <v>No</v>
      </c>
      <c r="C1288" t="str">
        <f>RAW_DATA!C1288</f>
        <v>Research &amp; Development</v>
      </c>
      <c r="D1288">
        <f>RAW_DATA!D1288</f>
        <v>2</v>
      </c>
      <c r="E1288">
        <f>RAW_DATA!E1288</f>
        <v>2</v>
      </c>
      <c r="F1288" t="str">
        <f>RAW_DATA!F1288</f>
        <v>Life Sciences</v>
      </c>
      <c r="G1288">
        <f>RAW_DATA!G1288</f>
        <v>3</v>
      </c>
      <c r="H1288">
        <f>RAW_DATA!H1288</f>
        <v>1</v>
      </c>
      <c r="I1288" t="str">
        <f>RAW_DATA!I1288</f>
        <v>Married</v>
      </c>
      <c r="J1288">
        <f>RAW_DATA!J1288</f>
        <v>3377</v>
      </c>
      <c r="K1288">
        <f>RAW_DATA!K1288</f>
        <v>4</v>
      </c>
      <c r="L1288">
        <f>RAW_DATA!L1288</f>
        <v>2</v>
      </c>
      <c r="M1288">
        <f>RAW_DATA!M1288</f>
        <v>4</v>
      </c>
      <c r="N1288">
        <f t="shared" si="40"/>
        <v>0</v>
      </c>
      <c r="O1288" t="str" cm="1">
        <f t="array" ref="O1288" xml:space="preserve"> _xlfn.IFS(A1288 &lt;ASSUMPTIONS!$D$2,"25",A1288 &lt;= ASSUMPTIONS!$D$3,"25-34",A1288 &lt;= ASSUMPTIONS!$D$4, "35-44",A1288 &lt;= ASSUMPTIONS!$D$5,"45-54",TRUE,"55+")</f>
        <v>35-44</v>
      </c>
      <c r="P1288" t="str" cm="1">
        <f t="array" ref="P1288">_xlfn.IFS( J1288 &lt;ASSUMPTIONS!$D$7,"LOW",J1288 &lt;= ASSUMPTIONS!$D$8,"MEDIUM",TRUE, "HIGH")</f>
        <v>MEDIUM</v>
      </c>
      <c r="Q1288" t="str">
        <f>IF(M1288&lt;ASSUMPTIONS!$D$10,"New (0-2)",IF(M1288&lt;=ASSUMPTIONS!$D$11,"Early (2-5)",IF(M1288&lt;=ASSUMPTIONS!$D$12,"Established (5-10)","Veteran (10+)")))</f>
        <v>Early (2-5)</v>
      </c>
      <c r="R1288" s="4">
        <f t="shared" si="41"/>
        <v>2</v>
      </c>
    </row>
    <row r="1289" spans="1:18">
      <c r="A1289">
        <f>RAW_DATA!A1289</f>
        <v>42</v>
      </c>
      <c r="B1289" t="str">
        <f>RAW_DATA!B1289</f>
        <v>No</v>
      </c>
      <c r="C1289" t="str">
        <f>RAW_DATA!C1289</f>
        <v>Research &amp; Development</v>
      </c>
      <c r="D1289">
        <f>RAW_DATA!D1289</f>
        <v>13</v>
      </c>
      <c r="E1289">
        <f>RAW_DATA!E1289</f>
        <v>3</v>
      </c>
      <c r="F1289" t="str">
        <f>RAW_DATA!F1289</f>
        <v>Medical</v>
      </c>
      <c r="G1289">
        <f>RAW_DATA!G1289</f>
        <v>2</v>
      </c>
      <c r="H1289">
        <f>RAW_DATA!H1289</f>
        <v>1</v>
      </c>
      <c r="I1289" t="str">
        <f>RAW_DATA!I1289</f>
        <v>Married</v>
      </c>
      <c r="J1289">
        <f>RAW_DATA!J1289</f>
        <v>5538</v>
      </c>
      <c r="K1289">
        <f>RAW_DATA!K1289</f>
        <v>5</v>
      </c>
      <c r="L1289">
        <f>RAW_DATA!L1289</f>
        <v>2</v>
      </c>
      <c r="M1289">
        <f>RAW_DATA!M1289</f>
        <v>0</v>
      </c>
      <c r="N1289">
        <f t="shared" si="40"/>
        <v>0</v>
      </c>
      <c r="O1289" t="str" cm="1">
        <f t="array" ref="O1289" xml:space="preserve"> _xlfn.IFS(A1289 &lt;ASSUMPTIONS!$D$2,"25",A1289 &lt;= ASSUMPTIONS!$D$3,"25-34",A1289 &lt;= ASSUMPTIONS!$D$4, "35-44",A1289 &lt;= ASSUMPTIONS!$D$5,"45-54",TRUE,"55+")</f>
        <v>35-44</v>
      </c>
      <c r="P1289" t="str" cm="1">
        <f t="array" ref="P1289">_xlfn.IFS( J1289 &lt;ASSUMPTIONS!$D$7,"LOW",J1289 &lt;= ASSUMPTIONS!$D$8,"MEDIUM",TRUE, "HIGH")</f>
        <v>MEDIUM</v>
      </c>
      <c r="Q1289" t="str">
        <f>IF(M1289&lt;ASSUMPTIONS!$D$10,"New (0-2)",IF(M1289&lt;=ASSUMPTIONS!$D$11,"Early (2-5)",IF(M1289&lt;=ASSUMPTIONS!$D$12,"Established (5-10)","Veteran (10+)")))</f>
        <v>New (0-2)</v>
      </c>
      <c r="R1289" s="4">
        <f t="shared" si="41"/>
        <v>1.6666666666666667</v>
      </c>
    </row>
    <row r="1290" spans="1:18">
      <c r="A1290">
        <f>RAW_DATA!A1290</f>
        <v>35</v>
      </c>
      <c r="B1290" t="str">
        <f>RAW_DATA!B1290</f>
        <v>No</v>
      </c>
      <c r="C1290" t="str">
        <f>RAW_DATA!C1290</f>
        <v>Research &amp; Development</v>
      </c>
      <c r="D1290">
        <f>RAW_DATA!D1290</f>
        <v>2</v>
      </c>
      <c r="E1290">
        <f>RAW_DATA!E1290</f>
        <v>2</v>
      </c>
      <c r="F1290" t="str">
        <f>RAW_DATA!F1290</f>
        <v>Medical</v>
      </c>
      <c r="G1290">
        <f>RAW_DATA!G1290</f>
        <v>2</v>
      </c>
      <c r="H1290">
        <f>RAW_DATA!H1290</f>
        <v>4</v>
      </c>
      <c r="I1290" t="str">
        <f>RAW_DATA!I1290</f>
        <v>Divorced</v>
      </c>
      <c r="J1290">
        <f>RAW_DATA!J1290</f>
        <v>5762</v>
      </c>
      <c r="K1290">
        <f>RAW_DATA!K1290</f>
        <v>2</v>
      </c>
      <c r="L1290">
        <f>RAW_DATA!L1290</f>
        <v>3</v>
      </c>
      <c r="M1290">
        <f>RAW_DATA!M1290</f>
        <v>7</v>
      </c>
      <c r="N1290">
        <f t="shared" si="40"/>
        <v>0</v>
      </c>
      <c r="O1290" t="str" cm="1">
        <f t="array" ref="O1290" xml:space="preserve"> _xlfn.IFS(A1290 &lt;ASSUMPTIONS!$D$2,"25",A1290 &lt;= ASSUMPTIONS!$D$3,"25-34",A1290 &lt;= ASSUMPTIONS!$D$4, "35-44",A1290 &lt;= ASSUMPTIONS!$D$5,"45-54",TRUE,"55+")</f>
        <v>35-44</v>
      </c>
      <c r="P1290" t="str" cm="1">
        <f t="array" ref="P1290">_xlfn.IFS( J1290 &lt;ASSUMPTIONS!$D$7,"LOW",J1290 &lt;= ASSUMPTIONS!$D$8,"MEDIUM",TRUE, "HIGH")</f>
        <v>MEDIUM</v>
      </c>
      <c r="Q1290" t="str">
        <f>IF(M1290&lt;ASSUMPTIONS!$D$10,"New (0-2)",IF(M1290&lt;=ASSUMPTIONS!$D$11,"Early (2-5)",IF(M1290&lt;=ASSUMPTIONS!$D$12,"Established (5-10)","Veteran (10+)")))</f>
        <v>Established (5-10)</v>
      </c>
      <c r="R1290" s="4">
        <f t="shared" si="41"/>
        <v>3</v>
      </c>
    </row>
    <row r="1291" spans="1:18">
      <c r="A1291">
        <f>RAW_DATA!A1291</f>
        <v>38</v>
      </c>
      <c r="B1291" t="str">
        <f>RAW_DATA!B1291</f>
        <v>No</v>
      </c>
      <c r="C1291" t="str">
        <f>RAW_DATA!C1291</f>
        <v>Human Resources</v>
      </c>
      <c r="D1291">
        <f>RAW_DATA!D1291</f>
        <v>2</v>
      </c>
      <c r="E1291">
        <f>RAW_DATA!E1291</f>
        <v>3</v>
      </c>
      <c r="F1291" t="str">
        <f>RAW_DATA!F1291</f>
        <v>Human Resources</v>
      </c>
      <c r="G1291">
        <f>RAW_DATA!G1291</f>
        <v>1</v>
      </c>
      <c r="H1291">
        <f>RAW_DATA!H1291</f>
        <v>2</v>
      </c>
      <c r="I1291" t="str">
        <f>RAW_DATA!I1291</f>
        <v>Divorced</v>
      </c>
      <c r="J1291">
        <f>RAW_DATA!J1291</f>
        <v>2592</v>
      </c>
      <c r="K1291">
        <f>RAW_DATA!K1291</f>
        <v>5</v>
      </c>
      <c r="L1291">
        <f>RAW_DATA!L1291</f>
        <v>3</v>
      </c>
      <c r="M1291">
        <f>RAW_DATA!M1291</f>
        <v>11</v>
      </c>
      <c r="N1291">
        <f t="shared" si="40"/>
        <v>0</v>
      </c>
      <c r="O1291" t="str" cm="1">
        <f t="array" ref="O1291" xml:space="preserve"> _xlfn.IFS(A1291 &lt;ASSUMPTIONS!$D$2,"25",A1291 &lt;= ASSUMPTIONS!$D$3,"25-34",A1291 &lt;= ASSUMPTIONS!$D$4, "35-44",A1291 &lt;= ASSUMPTIONS!$D$5,"45-54",TRUE,"55+")</f>
        <v>35-44</v>
      </c>
      <c r="P1291" t="str" cm="1">
        <f t="array" ref="P1291">_xlfn.IFS( J1291 &lt;ASSUMPTIONS!$D$7,"LOW",J1291 &lt;= ASSUMPTIONS!$D$8,"MEDIUM",TRUE, "HIGH")</f>
        <v>LOW</v>
      </c>
      <c r="Q1291" t="str">
        <f>IF(M1291&lt;ASSUMPTIONS!$D$10,"New (0-2)",IF(M1291&lt;=ASSUMPTIONS!$D$11,"Early (2-5)",IF(M1291&lt;=ASSUMPTIONS!$D$12,"Established (5-10)","Veteran (10+)")))</f>
        <v>Veteran (10+)</v>
      </c>
      <c r="R1291" s="4">
        <f t="shared" si="41"/>
        <v>2</v>
      </c>
    </row>
    <row r="1292" spans="1:18">
      <c r="A1292">
        <f>RAW_DATA!A1292</f>
        <v>34</v>
      </c>
      <c r="B1292" t="str">
        <f>RAW_DATA!B1292</f>
        <v>Yes</v>
      </c>
      <c r="C1292" t="str">
        <f>RAW_DATA!C1292</f>
        <v>Research &amp; Development</v>
      </c>
      <c r="D1292">
        <f>RAW_DATA!D1292</f>
        <v>9</v>
      </c>
      <c r="E1292">
        <f>RAW_DATA!E1292</f>
        <v>4</v>
      </c>
      <c r="F1292" t="str">
        <f>RAW_DATA!F1292</f>
        <v>Life Sciences</v>
      </c>
      <c r="G1292">
        <f>RAW_DATA!G1292</f>
        <v>4</v>
      </c>
      <c r="H1292">
        <f>RAW_DATA!H1292</f>
        <v>1</v>
      </c>
      <c r="I1292" t="str">
        <f>RAW_DATA!I1292</f>
        <v>Married</v>
      </c>
      <c r="J1292">
        <f>RAW_DATA!J1292</f>
        <v>5346</v>
      </c>
      <c r="K1292">
        <f>RAW_DATA!K1292</f>
        <v>4</v>
      </c>
      <c r="L1292">
        <f>RAW_DATA!L1292</f>
        <v>2</v>
      </c>
      <c r="M1292">
        <f>RAW_DATA!M1292</f>
        <v>7</v>
      </c>
      <c r="N1292">
        <f t="shared" si="40"/>
        <v>1</v>
      </c>
      <c r="O1292" t="str" cm="1">
        <f t="array" ref="O1292" xml:space="preserve"> _xlfn.IFS(A1292 &lt;ASSUMPTIONS!$D$2,"25",A1292 &lt;= ASSUMPTIONS!$D$3,"25-34",A1292 &lt;= ASSUMPTIONS!$D$4, "35-44",A1292 &lt;= ASSUMPTIONS!$D$5,"45-54",TRUE,"55+")</f>
        <v>25-34</v>
      </c>
      <c r="P1292" t="str" cm="1">
        <f t="array" ref="P1292">_xlfn.IFS( J1292 &lt;ASSUMPTIONS!$D$7,"LOW",J1292 &lt;= ASSUMPTIONS!$D$8,"MEDIUM",TRUE, "HIGH")</f>
        <v>MEDIUM</v>
      </c>
      <c r="Q1292" t="str">
        <f>IF(M1292&lt;ASSUMPTIONS!$D$10,"New (0-2)",IF(M1292&lt;=ASSUMPTIONS!$D$11,"Early (2-5)",IF(M1292&lt;=ASSUMPTIONS!$D$12,"Established (5-10)","Veteran (10+)")))</f>
        <v>Established (5-10)</v>
      </c>
      <c r="R1292" s="4">
        <f t="shared" si="41"/>
        <v>2.3333333333333335</v>
      </c>
    </row>
    <row r="1293" spans="1:18">
      <c r="A1293">
        <f>RAW_DATA!A1293</f>
        <v>37</v>
      </c>
      <c r="B1293" t="str">
        <f>RAW_DATA!B1293</f>
        <v>Yes</v>
      </c>
      <c r="C1293" t="str">
        <f>RAW_DATA!C1293</f>
        <v>Research &amp; Development</v>
      </c>
      <c r="D1293">
        <f>RAW_DATA!D1293</f>
        <v>10</v>
      </c>
      <c r="E1293">
        <f>RAW_DATA!E1293</f>
        <v>4</v>
      </c>
      <c r="F1293" t="str">
        <f>RAW_DATA!F1293</f>
        <v>Medical</v>
      </c>
      <c r="G1293">
        <f>RAW_DATA!G1293</f>
        <v>4</v>
      </c>
      <c r="H1293">
        <f>RAW_DATA!H1293</f>
        <v>1</v>
      </c>
      <c r="I1293" t="str">
        <f>RAW_DATA!I1293</f>
        <v>Single</v>
      </c>
      <c r="J1293">
        <f>RAW_DATA!J1293</f>
        <v>4213</v>
      </c>
      <c r="K1293">
        <f>RAW_DATA!K1293</f>
        <v>1</v>
      </c>
      <c r="L1293">
        <f>RAW_DATA!L1293</f>
        <v>1</v>
      </c>
      <c r="M1293">
        <f>RAW_DATA!M1293</f>
        <v>10</v>
      </c>
      <c r="N1293">
        <f t="shared" si="40"/>
        <v>1</v>
      </c>
      <c r="O1293" t="str" cm="1">
        <f t="array" ref="O1293" xml:space="preserve"> _xlfn.IFS(A1293 &lt;ASSUMPTIONS!$D$2,"25",A1293 &lt;= ASSUMPTIONS!$D$3,"25-34",A1293 &lt;= ASSUMPTIONS!$D$4, "35-44",A1293 &lt;= ASSUMPTIONS!$D$5,"45-54",TRUE,"55+")</f>
        <v>35-44</v>
      </c>
      <c r="P1293" t="str" cm="1">
        <f t="array" ref="P1293">_xlfn.IFS( J1293 &lt;ASSUMPTIONS!$D$7,"LOW",J1293 &lt;= ASSUMPTIONS!$D$8,"MEDIUM",TRUE, "HIGH")</f>
        <v>MEDIUM</v>
      </c>
      <c r="Q1293" t="str">
        <f>IF(M1293&lt;ASSUMPTIONS!$D$10,"New (0-2)",IF(M1293&lt;=ASSUMPTIONS!$D$11,"Early (2-5)",IF(M1293&lt;=ASSUMPTIONS!$D$12,"Established (5-10)","Veteran (10+)")))</f>
        <v>Established (5-10)</v>
      </c>
      <c r="R1293" s="4">
        <f t="shared" si="41"/>
        <v>2</v>
      </c>
    </row>
    <row r="1294" spans="1:18">
      <c r="A1294">
        <f>RAW_DATA!A1294</f>
        <v>39</v>
      </c>
      <c r="B1294" t="str">
        <f>RAW_DATA!B1294</f>
        <v>No</v>
      </c>
      <c r="C1294" t="str">
        <f>RAW_DATA!C1294</f>
        <v>Sales</v>
      </c>
      <c r="D1294">
        <f>RAW_DATA!D1294</f>
        <v>20</v>
      </c>
      <c r="E1294">
        <f>RAW_DATA!E1294</f>
        <v>3</v>
      </c>
      <c r="F1294" t="str">
        <f>RAW_DATA!F1294</f>
        <v>Life Sciences</v>
      </c>
      <c r="G1294">
        <f>RAW_DATA!G1294</f>
        <v>3</v>
      </c>
      <c r="H1294">
        <f>RAW_DATA!H1294</f>
        <v>4</v>
      </c>
      <c r="I1294" t="str">
        <f>RAW_DATA!I1294</f>
        <v>Divorced</v>
      </c>
      <c r="J1294">
        <f>RAW_DATA!J1294</f>
        <v>4127</v>
      </c>
      <c r="K1294">
        <f>RAW_DATA!K1294</f>
        <v>2</v>
      </c>
      <c r="L1294">
        <f>RAW_DATA!L1294</f>
        <v>3</v>
      </c>
      <c r="M1294">
        <f>RAW_DATA!M1294</f>
        <v>2</v>
      </c>
      <c r="N1294">
        <f t="shared" si="40"/>
        <v>0</v>
      </c>
      <c r="O1294" t="str" cm="1">
        <f t="array" ref="O1294" xml:space="preserve"> _xlfn.IFS(A1294 &lt;ASSUMPTIONS!$D$2,"25",A1294 &lt;= ASSUMPTIONS!$D$3,"25-34",A1294 &lt;= ASSUMPTIONS!$D$4, "35-44",A1294 &lt;= ASSUMPTIONS!$D$5,"45-54",TRUE,"55+")</f>
        <v>35-44</v>
      </c>
      <c r="P1294" t="str" cm="1">
        <f t="array" ref="P1294">_xlfn.IFS( J1294 &lt;ASSUMPTIONS!$D$7,"LOW",J1294 &lt;= ASSUMPTIONS!$D$8,"MEDIUM",TRUE, "HIGH")</f>
        <v>MEDIUM</v>
      </c>
      <c r="Q1294" t="str">
        <f>IF(M1294&lt;ASSUMPTIONS!$D$10,"New (0-2)",IF(M1294&lt;=ASSUMPTIONS!$D$11,"Early (2-5)",IF(M1294&lt;=ASSUMPTIONS!$D$12,"Established (5-10)","Veteran (10+)")))</f>
        <v>Early (2-5)</v>
      </c>
      <c r="R1294" s="4">
        <f t="shared" si="41"/>
        <v>3.3333333333333335</v>
      </c>
    </row>
    <row r="1295" spans="1:18">
      <c r="A1295">
        <f>RAW_DATA!A1295</f>
        <v>43</v>
      </c>
      <c r="B1295" t="str">
        <f>RAW_DATA!B1295</f>
        <v>No</v>
      </c>
      <c r="C1295" t="str">
        <f>RAW_DATA!C1295</f>
        <v>Research &amp; Development</v>
      </c>
      <c r="D1295">
        <f>RAW_DATA!D1295</f>
        <v>9</v>
      </c>
      <c r="E1295">
        <f>RAW_DATA!E1295</f>
        <v>3</v>
      </c>
      <c r="F1295" t="str">
        <f>RAW_DATA!F1295</f>
        <v>Life Sciences</v>
      </c>
      <c r="G1295">
        <f>RAW_DATA!G1295</f>
        <v>1</v>
      </c>
      <c r="H1295">
        <f>RAW_DATA!H1295</f>
        <v>3</v>
      </c>
      <c r="I1295" t="str">
        <f>RAW_DATA!I1295</f>
        <v>Single</v>
      </c>
      <c r="J1295">
        <f>RAW_DATA!J1295</f>
        <v>2438</v>
      </c>
      <c r="K1295">
        <f>RAW_DATA!K1295</f>
        <v>4</v>
      </c>
      <c r="L1295">
        <f>RAW_DATA!L1295</f>
        <v>2</v>
      </c>
      <c r="M1295">
        <f>RAW_DATA!M1295</f>
        <v>3</v>
      </c>
      <c r="N1295">
        <f t="shared" si="40"/>
        <v>0</v>
      </c>
      <c r="O1295" t="str" cm="1">
        <f t="array" ref="O1295" xml:space="preserve"> _xlfn.IFS(A1295 &lt;ASSUMPTIONS!$D$2,"25",A1295 &lt;= ASSUMPTIONS!$D$3,"25-34",A1295 &lt;= ASSUMPTIONS!$D$4, "35-44",A1295 &lt;= ASSUMPTIONS!$D$5,"45-54",TRUE,"55+")</f>
        <v>35-44</v>
      </c>
      <c r="P1295" t="str" cm="1">
        <f t="array" ref="P1295">_xlfn.IFS( J1295 &lt;ASSUMPTIONS!$D$7,"LOW",J1295 &lt;= ASSUMPTIONS!$D$8,"MEDIUM",TRUE, "HIGH")</f>
        <v>LOW</v>
      </c>
      <c r="Q1295" t="str">
        <f>IF(M1295&lt;ASSUMPTIONS!$D$10,"New (0-2)",IF(M1295&lt;=ASSUMPTIONS!$D$11,"Early (2-5)",IF(M1295&lt;=ASSUMPTIONS!$D$12,"Established (5-10)","Veteran (10+)")))</f>
        <v>Early (2-5)</v>
      </c>
      <c r="R1295" s="4">
        <f t="shared" si="41"/>
        <v>2</v>
      </c>
    </row>
    <row r="1296" spans="1:18">
      <c r="A1296">
        <f>RAW_DATA!A1296</f>
        <v>41</v>
      </c>
      <c r="B1296" t="str">
        <f>RAW_DATA!B1296</f>
        <v>No</v>
      </c>
      <c r="C1296" t="str">
        <f>RAW_DATA!C1296</f>
        <v>Research &amp; Development</v>
      </c>
      <c r="D1296">
        <f>RAW_DATA!D1296</f>
        <v>5</v>
      </c>
      <c r="E1296">
        <f>RAW_DATA!E1296</f>
        <v>3</v>
      </c>
      <c r="F1296" t="str">
        <f>RAW_DATA!F1296</f>
        <v>Life Sciences</v>
      </c>
      <c r="G1296">
        <f>RAW_DATA!G1296</f>
        <v>2</v>
      </c>
      <c r="H1296">
        <f>RAW_DATA!H1296</f>
        <v>2</v>
      </c>
      <c r="I1296" t="str">
        <f>RAW_DATA!I1296</f>
        <v>Single</v>
      </c>
      <c r="J1296">
        <f>RAW_DATA!J1296</f>
        <v>6870</v>
      </c>
      <c r="K1296">
        <f>RAW_DATA!K1296</f>
        <v>3</v>
      </c>
      <c r="L1296">
        <f>RAW_DATA!L1296</f>
        <v>1</v>
      </c>
      <c r="M1296">
        <f>RAW_DATA!M1296</f>
        <v>3</v>
      </c>
      <c r="N1296">
        <f t="shared" si="40"/>
        <v>0</v>
      </c>
      <c r="O1296" t="str" cm="1">
        <f t="array" ref="O1296" xml:space="preserve"> _xlfn.IFS(A1296 &lt;ASSUMPTIONS!$D$2,"25",A1296 &lt;= ASSUMPTIONS!$D$3,"25-34",A1296 &lt;= ASSUMPTIONS!$D$4, "35-44",A1296 &lt;= ASSUMPTIONS!$D$5,"45-54",TRUE,"55+")</f>
        <v>35-44</v>
      </c>
      <c r="P1296" t="str" cm="1">
        <f t="array" ref="P1296">_xlfn.IFS( J1296 &lt;ASSUMPTIONS!$D$7,"LOW",J1296 &lt;= ASSUMPTIONS!$D$8,"MEDIUM",TRUE, "HIGH")</f>
        <v>MEDIUM</v>
      </c>
      <c r="Q1296" t="str">
        <f>IF(M1296&lt;ASSUMPTIONS!$D$10,"New (0-2)",IF(M1296&lt;=ASSUMPTIONS!$D$11,"Early (2-5)",IF(M1296&lt;=ASSUMPTIONS!$D$12,"Established (5-10)","Veteran (10+)")))</f>
        <v>Early (2-5)</v>
      </c>
      <c r="R1296" s="4">
        <f t="shared" si="41"/>
        <v>1.6666666666666667</v>
      </c>
    </row>
    <row r="1297" spans="1:18">
      <c r="A1297">
        <f>RAW_DATA!A1297</f>
        <v>41</v>
      </c>
      <c r="B1297" t="str">
        <f>RAW_DATA!B1297</f>
        <v>No</v>
      </c>
      <c r="C1297" t="str">
        <f>RAW_DATA!C1297</f>
        <v>Sales</v>
      </c>
      <c r="D1297">
        <f>RAW_DATA!D1297</f>
        <v>4</v>
      </c>
      <c r="E1297">
        <f>RAW_DATA!E1297</f>
        <v>1</v>
      </c>
      <c r="F1297" t="str">
        <f>RAW_DATA!F1297</f>
        <v>Marketing</v>
      </c>
      <c r="G1297">
        <f>RAW_DATA!G1297</f>
        <v>3</v>
      </c>
      <c r="H1297">
        <f>RAW_DATA!H1297</f>
        <v>3</v>
      </c>
      <c r="I1297" t="str">
        <f>RAW_DATA!I1297</f>
        <v>Divorced</v>
      </c>
      <c r="J1297">
        <f>RAW_DATA!J1297</f>
        <v>10447</v>
      </c>
      <c r="K1297">
        <f>RAW_DATA!K1297</f>
        <v>0</v>
      </c>
      <c r="L1297">
        <f>RAW_DATA!L1297</f>
        <v>4</v>
      </c>
      <c r="M1297">
        <f>RAW_DATA!M1297</f>
        <v>22</v>
      </c>
      <c r="N1297">
        <f t="shared" si="40"/>
        <v>0</v>
      </c>
      <c r="O1297" t="str" cm="1">
        <f t="array" ref="O1297" xml:space="preserve"> _xlfn.IFS(A1297 &lt;ASSUMPTIONS!$D$2,"25",A1297 &lt;= ASSUMPTIONS!$D$3,"25-34",A1297 &lt;= ASSUMPTIONS!$D$4, "35-44",A1297 &lt;= ASSUMPTIONS!$D$5,"45-54",TRUE,"55+")</f>
        <v>35-44</v>
      </c>
      <c r="P1297" t="str" cm="1">
        <f t="array" ref="P1297">_xlfn.IFS( J1297 &lt;ASSUMPTIONS!$D$7,"LOW",J1297 &lt;= ASSUMPTIONS!$D$8,"MEDIUM",TRUE, "HIGH")</f>
        <v>HIGH</v>
      </c>
      <c r="Q1297" t="str">
        <f>IF(M1297&lt;ASSUMPTIONS!$D$10,"New (0-2)",IF(M1297&lt;=ASSUMPTIONS!$D$11,"Early (2-5)",IF(M1297&lt;=ASSUMPTIONS!$D$12,"Established (5-10)","Veteran (10+)")))</f>
        <v>Veteran (10+)</v>
      </c>
      <c r="R1297" s="4">
        <f t="shared" si="41"/>
        <v>3.3333333333333335</v>
      </c>
    </row>
    <row r="1298" spans="1:18">
      <c r="A1298">
        <f>RAW_DATA!A1298</f>
        <v>30</v>
      </c>
      <c r="B1298" t="str">
        <f>RAW_DATA!B1298</f>
        <v>No</v>
      </c>
      <c r="C1298" t="str">
        <f>RAW_DATA!C1298</f>
        <v>Research &amp; Development</v>
      </c>
      <c r="D1298">
        <f>RAW_DATA!D1298</f>
        <v>10</v>
      </c>
      <c r="E1298">
        <f>RAW_DATA!E1298</f>
        <v>3</v>
      </c>
      <c r="F1298" t="str">
        <f>RAW_DATA!F1298</f>
        <v>Medical</v>
      </c>
      <c r="G1298">
        <f>RAW_DATA!G1298</f>
        <v>1</v>
      </c>
      <c r="H1298">
        <f>RAW_DATA!H1298</f>
        <v>3</v>
      </c>
      <c r="I1298" t="str">
        <f>RAW_DATA!I1298</f>
        <v>Single</v>
      </c>
      <c r="J1298">
        <f>RAW_DATA!J1298</f>
        <v>9667</v>
      </c>
      <c r="K1298">
        <f>RAW_DATA!K1298</f>
        <v>9</v>
      </c>
      <c r="L1298">
        <f>RAW_DATA!L1298</f>
        <v>3</v>
      </c>
      <c r="M1298">
        <f>RAW_DATA!M1298</f>
        <v>7</v>
      </c>
      <c r="N1298">
        <f t="shared" si="40"/>
        <v>0</v>
      </c>
      <c r="O1298" t="str" cm="1">
        <f t="array" ref="O1298" xml:space="preserve"> _xlfn.IFS(A1298 &lt;ASSUMPTIONS!$D$2,"25",A1298 &lt;= ASSUMPTIONS!$D$3,"25-34",A1298 &lt;= ASSUMPTIONS!$D$4, "35-44",A1298 &lt;= ASSUMPTIONS!$D$5,"45-54",TRUE,"55+")</f>
        <v>25-34</v>
      </c>
      <c r="P1298" t="str" cm="1">
        <f t="array" ref="P1298">_xlfn.IFS( J1298 &lt;ASSUMPTIONS!$D$7,"LOW",J1298 &lt;= ASSUMPTIONS!$D$8,"MEDIUM",TRUE, "HIGH")</f>
        <v>HIGH</v>
      </c>
      <c r="Q1298" t="str">
        <f>IF(M1298&lt;ASSUMPTIONS!$D$10,"New (0-2)",IF(M1298&lt;=ASSUMPTIONS!$D$11,"Early (2-5)",IF(M1298&lt;=ASSUMPTIONS!$D$12,"Established (5-10)","Veteran (10+)")))</f>
        <v>Established (5-10)</v>
      </c>
      <c r="R1298" s="4">
        <f t="shared" si="41"/>
        <v>2.3333333333333335</v>
      </c>
    </row>
    <row r="1299" spans="1:18">
      <c r="A1299">
        <f>RAW_DATA!A1299</f>
        <v>26</v>
      </c>
      <c r="B1299" t="str">
        <f>RAW_DATA!B1299</f>
        <v>Yes</v>
      </c>
      <c r="C1299" t="str">
        <f>RAW_DATA!C1299</f>
        <v>Human Resources</v>
      </c>
      <c r="D1299">
        <f>RAW_DATA!D1299</f>
        <v>20</v>
      </c>
      <c r="E1299">
        <f>RAW_DATA!E1299</f>
        <v>2</v>
      </c>
      <c r="F1299" t="str">
        <f>RAW_DATA!F1299</f>
        <v>Medical</v>
      </c>
      <c r="G1299">
        <f>RAW_DATA!G1299</f>
        <v>4</v>
      </c>
      <c r="H1299">
        <f>RAW_DATA!H1299</f>
        <v>2</v>
      </c>
      <c r="I1299" t="str">
        <f>RAW_DATA!I1299</f>
        <v>Married</v>
      </c>
      <c r="J1299">
        <f>RAW_DATA!J1299</f>
        <v>2148</v>
      </c>
      <c r="K1299">
        <f>RAW_DATA!K1299</f>
        <v>0</v>
      </c>
      <c r="L1299">
        <f>RAW_DATA!L1299</f>
        <v>3</v>
      </c>
      <c r="M1299">
        <f>RAW_DATA!M1299</f>
        <v>5</v>
      </c>
      <c r="N1299">
        <f t="shared" si="40"/>
        <v>1</v>
      </c>
      <c r="O1299" t="str" cm="1">
        <f t="array" ref="O1299" xml:space="preserve"> _xlfn.IFS(A1299 &lt;ASSUMPTIONS!$D$2,"25",A1299 &lt;= ASSUMPTIONS!$D$3,"25-34",A1299 &lt;= ASSUMPTIONS!$D$4, "35-44",A1299 &lt;= ASSUMPTIONS!$D$5,"45-54",TRUE,"55+")</f>
        <v>25-34</v>
      </c>
      <c r="P1299" t="str" cm="1">
        <f t="array" ref="P1299">_xlfn.IFS( J1299 &lt;ASSUMPTIONS!$D$7,"LOW",J1299 &lt;= ASSUMPTIONS!$D$8,"MEDIUM",TRUE, "HIGH")</f>
        <v>LOW</v>
      </c>
      <c r="Q1299" t="str">
        <f>IF(M1299&lt;ASSUMPTIONS!$D$10,"New (0-2)",IF(M1299&lt;=ASSUMPTIONS!$D$11,"Early (2-5)",IF(M1299&lt;=ASSUMPTIONS!$D$12,"Established (5-10)","Veteran (10+)")))</f>
        <v>Early (2-5)</v>
      </c>
      <c r="R1299" s="4">
        <f t="shared" si="41"/>
        <v>3</v>
      </c>
    </row>
    <row r="1300" spans="1:18">
      <c r="A1300">
        <f>RAW_DATA!A1300</f>
        <v>46</v>
      </c>
      <c r="B1300" t="str">
        <f>RAW_DATA!B1300</f>
        <v>Yes</v>
      </c>
      <c r="C1300" t="str">
        <f>RAW_DATA!C1300</f>
        <v>Research &amp; Development</v>
      </c>
      <c r="D1300">
        <f>RAW_DATA!D1300</f>
        <v>21</v>
      </c>
      <c r="E1300">
        <f>RAW_DATA!E1300</f>
        <v>2</v>
      </c>
      <c r="F1300" t="str">
        <f>RAW_DATA!F1300</f>
        <v>Medical</v>
      </c>
      <c r="G1300">
        <f>RAW_DATA!G1300</f>
        <v>4</v>
      </c>
      <c r="H1300">
        <f>RAW_DATA!H1300</f>
        <v>2</v>
      </c>
      <c r="I1300" t="str">
        <f>RAW_DATA!I1300</f>
        <v>Married</v>
      </c>
      <c r="J1300">
        <f>RAW_DATA!J1300</f>
        <v>8926</v>
      </c>
      <c r="K1300">
        <f>RAW_DATA!K1300</f>
        <v>4</v>
      </c>
      <c r="L1300">
        <f>RAW_DATA!L1300</f>
        <v>4</v>
      </c>
      <c r="M1300">
        <f>RAW_DATA!M1300</f>
        <v>9</v>
      </c>
      <c r="N1300">
        <f t="shared" si="40"/>
        <v>1</v>
      </c>
      <c r="O1300" t="str" cm="1">
        <f t="array" ref="O1300" xml:space="preserve"> _xlfn.IFS(A1300 &lt;ASSUMPTIONS!$D$2,"25",A1300 &lt;= ASSUMPTIONS!$D$3,"25-34",A1300 &lt;= ASSUMPTIONS!$D$4, "35-44",A1300 &lt;= ASSUMPTIONS!$D$5,"45-54",TRUE,"55+")</f>
        <v>45-54</v>
      </c>
      <c r="P1300" t="str" cm="1">
        <f t="array" ref="P1300">_xlfn.IFS( J1300 &lt;ASSUMPTIONS!$D$7,"LOW",J1300 &lt;= ASSUMPTIONS!$D$8,"MEDIUM",TRUE, "HIGH")</f>
        <v>HIGH</v>
      </c>
      <c r="Q1300" t="str">
        <f>IF(M1300&lt;ASSUMPTIONS!$D$10,"New (0-2)",IF(M1300&lt;=ASSUMPTIONS!$D$11,"Early (2-5)",IF(M1300&lt;=ASSUMPTIONS!$D$12,"Established (5-10)","Veteran (10+)")))</f>
        <v>Established (5-10)</v>
      </c>
      <c r="R1300" s="4">
        <f t="shared" si="41"/>
        <v>3.3333333333333335</v>
      </c>
    </row>
    <row r="1301" spans="1:18">
      <c r="A1301">
        <f>RAW_DATA!A1301</f>
        <v>40</v>
      </c>
      <c r="B1301" t="str">
        <f>RAW_DATA!B1301</f>
        <v>No</v>
      </c>
      <c r="C1301" t="str">
        <f>RAW_DATA!C1301</f>
        <v>Research &amp; Development</v>
      </c>
      <c r="D1301">
        <f>RAW_DATA!D1301</f>
        <v>1</v>
      </c>
      <c r="E1301">
        <f>RAW_DATA!E1301</f>
        <v>3</v>
      </c>
      <c r="F1301" t="str">
        <f>RAW_DATA!F1301</f>
        <v>Life Sciences</v>
      </c>
      <c r="G1301">
        <f>RAW_DATA!G1301</f>
        <v>3</v>
      </c>
      <c r="H1301">
        <f>RAW_DATA!H1301</f>
        <v>4</v>
      </c>
      <c r="I1301" t="str">
        <f>RAW_DATA!I1301</f>
        <v>Divorced</v>
      </c>
      <c r="J1301">
        <f>RAW_DATA!J1301</f>
        <v>6513</v>
      </c>
      <c r="K1301">
        <f>RAW_DATA!K1301</f>
        <v>4</v>
      </c>
      <c r="L1301">
        <f>RAW_DATA!L1301</f>
        <v>3</v>
      </c>
      <c r="M1301">
        <f>RAW_DATA!M1301</f>
        <v>5</v>
      </c>
      <c r="N1301">
        <f t="shared" si="40"/>
        <v>0</v>
      </c>
      <c r="O1301" t="str" cm="1">
        <f t="array" ref="O1301" xml:space="preserve"> _xlfn.IFS(A1301 &lt;ASSUMPTIONS!$D$2,"25",A1301 &lt;= ASSUMPTIONS!$D$3,"25-34",A1301 &lt;= ASSUMPTIONS!$D$4, "35-44",A1301 &lt;= ASSUMPTIONS!$D$5,"45-54",TRUE,"55+")</f>
        <v>35-44</v>
      </c>
      <c r="P1301" t="str" cm="1">
        <f t="array" ref="P1301">_xlfn.IFS( J1301 &lt;ASSUMPTIONS!$D$7,"LOW",J1301 &lt;= ASSUMPTIONS!$D$8,"MEDIUM",TRUE, "HIGH")</f>
        <v>MEDIUM</v>
      </c>
      <c r="Q1301" t="str">
        <f>IF(M1301&lt;ASSUMPTIONS!$D$10,"New (0-2)",IF(M1301&lt;=ASSUMPTIONS!$D$11,"Early (2-5)",IF(M1301&lt;=ASSUMPTIONS!$D$12,"Established (5-10)","Veteran (10+)")))</f>
        <v>Early (2-5)</v>
      </c>
      <c r="R1301" s="4">
        <f t="shared" si="41"/>
        <v>3.3333333333333335</v>
      </c>
    </row>
    <row r="1302" spans="1:18">
      <c r="A1302">
        <f>RAW_DATA!A1302</f>
        <v>34</v>
      </c>
      <c r="B1302" t="str">
        <f>RAW_DATA!B1302</f>
        <v>No</v>
      </c>
      <c r="C1302" t="str">
        <f>RAW_DATA!C1302</f>
        <v>Sales</v>
      </c>
      <c r="D1302">
        <f>RAW_DATA!D1302</f>
        <v>8</v>
      </c>
      <c r="E1302">
        <f>RAW_DATA!E1302</f>
        <v>2</v>
      </c>
      <c r="F1302" t="str">
        <f>RAW_DATA!F1302</f>
        <v>Technical Degree</v>
      </c>
      <c r="G1302">
        <f>RAW_DATA!G1302</f>
        <v>2</v>
      </c>
      <c r="H1302">
        <f>RAW_DATA!H1302</f>
        <v>3</v>
      </c>
      <c r="I1302" t="str">
        <f>RAW_DATA!I1302</f>
        <v>Married</v>
      </c>
      <c r="J1302">
        <f>RAW_DATA!J1302</f>
        <v>6799</v>
      </c>
      <c r="K1302">
        <f>RAW_DATA!K1302</f>
        <v>1</v>
      </c>
      <c r="L1302">
        <f>RAW_DATA!L1302</f>
        <v>3</v>
      </c>
      <c r="M1302">
        <f>RAW_DATA!M1302</f>
        <v>10</v>
      </c>
      <c r="N1302">
        <f t="shared" si="40"/>
        <v>0</v>
      </c>
      <c r="O1302" t="str" cm="1">
        <f t="array" ref="O1302" xml:space="preserve"> _xlfn.IFS(A1302 &lt;ASSUMPTIONS!$D$2,"25",A1302 &lt;= ASSUMPTIONS!$D$3,"25-34",A1302 &lt;= ASSUMPTIONS!$D$4, "35-44",A1302 &lt;= ASSUMPTIONS!$D$5,"45-54",TRUE,"55+")</f>
        <v>25-34</v>
      </c>
      <c r="P1302" t="str" cm="1">
        <f t="array" ref="P1302">_xlfn.IFS( J1302 &lt;ASSUMPTIONS!$D$7,"LOW",J1302 &lt;= ASSUMPTIONS!$D$8,"MEDIUM",TRUE, "HIGH")</f>
        <v>MEDIUM</v>
      </c>
      <c r="Q1302" t="str">
        <f>IF(M1302&lt;ASSUMPTIONS!$D$10,"New (0-2)",IF(M1302&lt;=ASSUMPTIONS!$D$11,"Early (2-5)",IF(M1302&lt;=ASSUMPTIONS!$D$12,"Established (5-10)","Veteran (10+)")))</f>
        <v>Established (5-10)</v>
      </c>
      <c r="R1302" s="4">
        <f t="shared" si="41"/>
        <v>2.6666666666666665</v>
      </c>
    </row>
    <row r="1303" spans="1:18">
      <c r="A1303">
        <f>RAW_DATA!A1303</f>
        <v>58</v>
      </c>
      <c r="B1303" t="str">
        <f>RAW_DATA!B1303</f>
        <v>No</v>
      </c>
      <c r="C1303" t="str">
        <f>RAW_DATA!C1303</f>
        <v>Sales</v>
      </c>
      <c r="D1303">
        <f>RAW_DATA!D1303</f>
        <v>2</v>
      </c>
      <c r="E1303">
        <f>RAW_DATA!E1303</f>
        <v>3</v>
      </c>
      <c r="F1303" t="str">
        <f>RAW_DATA!F1303</f>
        <v>Medical</v>
      </c>
      <c r="G1303">
        <f>RAW_DATA!G1303</f>
        <v>2</v>
      </c>
      <c r="H1303">
        <f>RAW_DATA!H1303</f>
        <v>2</v>
      </c>
      <c r="I1303" t="str">
        <f>RAW_DATA!I1303</f>
        <v>Divorced</v>
      </c>
      <c r="J1303">
        <f>RAW_DATA!J1303</f>
        <v>16291</v>
      </c>
      <c r="K1303">
        <f>RAW_DATA!K1303</f>
        <v>4</v>
      </c>
      <c r="L1303">
        <f>RAW_DATA!L1303</f>
        <v>2</v>
      </c>
      <c r="M1303">
        <f>RAW_DATA!M1303</f>
        <v>16</v>
      </c>
      <c r="N1303">
        <f t="shared" si="40"/>
        <v>0</v>
      </c>
      <c r="O1303" t="str" cm="1">
        <f t="array" ref="O1303" xml:space="preserve"> _xlfn.IFS(A1303 &lt;ASSUMPTIONS!$D$2,"25",A1303 &lt;= ASSUMPTIONS!$D$3,"25-34",A1303 &lt;= ASSUMPTIONS!$D$4, "35-44",A1303 &lt;= ASSUMPTIONS!$D$5,"45-54",TRUE,"55+")</f>
        <v>55+</v>
      </c>
      <c r="P1303" t="str" cm="1">
        <f t="array" ref="P1303">_xlfn.IFS( J1303 &lt;ASSUMPTIONS!$D$7,"LOW",J1303 &lt;= ASSUMPTIONS!$D$8,"MEDIUM",TRUE, "HIGH")</f>
        <v>HIGH</v>
      </c>
      <c r="Q1303" t="str">
        <f>IF(M1303&lt;ASSUMPTIONS!$D$10,"New (0-2)",IF(M1303&lt;=ASSUMPTIONS!$D$11,"Early (2-5)",IF(M1303&lt;=ASSUMPTIONS!$D$12,"Established (5-10)","Veteran (10+)")))</f>
        <v>Veteran (10+)</v>
      </c>
      <c r="R1303" s="4">
        <f t="shared" si="41"/>
        <v>2</v>
      </c>
    </row>
    <row r="1304" spans="1:18">
      <c r="A1304">
        <f>RAW_DATA!A1304</f>
        <v>35</v>
      </c>
      <c r="B1304" t="str">
        <f>RAW_DATA!B1304</f>
        <v>No</v>
      </c>
      <c r="C1304" t="str">
        <f>RAW_DATA!C1304</f>
        <v>Research &amp; Development</v>
      </c>
      <c r="D1304">
        <f>RAW_DATA!D1304</f>
        <v>23</v>
      </c>
      <c r="E1304">
        <f>RAW_DATA!E1304</f>
        <v>4</v>
      </c>
      <c r="F1304" t="str">
        <f>RAW_DATA!F1304</f>
        <v>Medical</v>
      </c>
      <c r="G1304">
        <f>RAW_DATA!G1304</f>
        <v>2</v>
      </c>
      <c r="H1304">
        <f>RAW_DATA!H1304</f>
        <v>3</v>
      </c>
      <c r="I1304" t="str">
        <f>RAW_DATA!I1304</f>
        <v>Married</v>
      </c>
      <c r="J1304">
        <f>RAW_DATA!J1304</f>
        <v>2705</v>
      </c>
      <c r="K1304">
        <f>RAW_DATA!K1304</f>
        <v>0</v>
      </c>
      <c r="L1304">
        <f>RAW_DATA!L1304</f>
        <v>4</v>
      </c>
      <c r="M1304">
        <f>RAW_DATA!M1304</f>
        <v>5</v>
      </c>
      <c r="N1304">
        <f t="shared" si="40"/>
        <v>0</v>
      </c>
      <c r="O1304" t="str" cm="1">
        <f t="array" ref="O1304" xml:space="preserve"> _xlfn.IFS(A1304 &lt;ASSUMPTIONS!$D$2,"25",A1304 &lt;= ASSUMPTIONS!$D$3,"25-34",A1304 &lt;= ASSUMPTIONS!$D$4, "35-44",A1304 &lt;= ASSUMPTIONS!$D$5,"45-54",TRUE,"55+")</f>
        <v>35-44</v>
      </c>
      <c r="P1304" t="str" cm="1">
        <f t="array" ref="P1304">_xlfn.IFS( J1304 &lt;ASSUMPTIONS!$D$7,"LOW",J1304 &lt;= ASSUMPTIONS!$D$8,"MEDIUM",TRUE, "HIGH")</f>
        <v>LOW</v>
      </c>
      <c r="Q1304" t="str">
        <f>IF(M1304&lt;ASSUMPTIONS!$D$10,"New (0-2)",IF(M1304&lt;=ASSUMPTIONS!$D$11,"Early (2-5)",IF(M1304&lt;=ASSUMPTIONS!$D$12,"Established (5-10)","Veteran (10+)")))</f>
        <v>Early (2-5)</v>
      </c>
      <c r="R1304" s="4">
        <f t="shared" si="41"/>
        <v>3</v>
      </c>
    </row>
    <row r="1305" spans="1:18">
      <c r="A1305">
        <f>RAW_DATA!A1305</f>
        <v>47</v>
      </c>
      <c r="B1305" t="str">
        <f>RAW_DATA!B1305</f>
        <v>No</v>
      </c>
      <c r="C1305" t="str">
        <f>RAW_DATA!C1305</f>
        <v>Research &amp; Development</v>
      </c>
      <c r="D1305">
        <f>RAW_DATA!D1305</f>
        <v>4</v>
      </c>
      <c r="E1305">
        <f>RAW_DATA!E1305</f>
        <v>3</v>
      </c>
      <c r="F1305" t="str">
        <f>RAW_DATA!F1305</f>
        <v>Life Sciences</v>
      </c>
      <c r="G1305">
        <f>RAW_DATA!G1305</f>
        <v>3</v>
      </c>
      <c r="H1305">
        <f>RAW_DATA!H1305</f>
        <v>2</v>
      </c>
      <c r="I1305" t="str">
        <f>RAW_DATA!I1305</f>
        <v>Divorced</v>
      </c>
      <c r="J1305">
        <f>RAW_DATA!J1305</f>
        <v>10333</v>
      </c>
      <c r="K1305">
        <f>RAW_DATA!K1305</f>
        <v>8</v>
      </c>
      <c r="L1305">
        <f>RAW_DATA!L1305</f>
        <v>3</v>
      </c>
      <c r="M1305">
        <f>RAW_DATA!M1305</f>
        <v>22</v>
      </c>
      <c r="N1305">
        <f t="shared" si="40"/>
        <v>0</v>
      </c>
      <c r="O1305" t="str" cm="1">
        <f t="array" ref="O1305" xml:space="preserve"> _xlfn.IFS(A1305 &lt;ASSUMPTIONS!$D$2,"25",A1305 &lt;= ASSUMPTIONS!$D$3,"25-34",A1305 &lt;= ASSUMPTIONS!$D$4, "35-44",A1305 &lt;= ASSUMPTIONS!$D$5,"45-54",TRUE,"55+")</f>
        <v>45-54</v>
      </c>
      <c r="P1305" t="str" cm="1">
        <f t="array" ref="P1305">_xlfn.IFS( J1305 &lt;ASSUMPTIONS!$D$7,"LOW",J1305 &lt;= ASSUMPTIONS!$D$8,"MEDIUM",TRUE, "HIGH")</f>
        <v>HIGH</v>
      </c>
      <c r="Q1305" t="str">
        <f>IF(M1305&lt;ASSUMPTIONS!$D$10,"New (0-2)",IF(M1305&lt;=ASSUMPTIONS!$D$11,"Early (2-5)",IF(M1305&lt;=ASSUMPTIONS!$D$12,"Established (5-10)","Veteran (10+)")))</f>
        <v>Veteran (10+)</v>
      </c>
      <c r="R1305" s="4">
        <f t="shared" si="41"/>
        <v>2.6666666666666665</v>
      </c>
    </row>
    <row r="1306" spans="1:18">
      <c r="A1306">
        <f>RAW_DATA!A1306</f>
        <v>40</v>
      </c>
      <c r="B1306" t="str">
        <f>RAW_DATA!B1306</f>
        <v>No</v>
      </c>
      <c r="C1306" t="str">
        <f>RAW_DATA!C1306</f>
        <v>Research &amp; Development</v>
      </c>
      <c r="D1306">
        <f>RAW_DATA!D1306</f>
        <v>12</v>
      </c>
      <c r="E1306">
        <f>RAW_DATA!E1306</f>
        <v>3</v>
      </c>
      <c r="F1306" t="str">
        <f>RAW_DATA!F1306</f>
        <v>Life Sciences</v>
      </c>
      <c r="G1306">
        <f>RAW_DATA!G1306</f>
        <v>2</v>
      </c>
      <c r="H1306">
        <f>RAW_DATA!H1306</f>
        <v>1</v>
      </c>
      <c r="I1306" t="str">
        <f>RAW_DATA!I1306</f>
        <v>Divorced</v>
      </c>
      <c r="J1306">
        <f>RAW_DATA!J1306</f>
        <v>4448</v>
      </c>
      <c r="K1306">
        <f>RAW_DATA!K1306</f>
        <v>2</v>
      </c>
      <c r="L1306">
        <f>RAW_DATA!L1306</f>
        <v>3</v>
      </c>
      <c r="M1306">
        <f>RAW_DATA!M1306</f>
        <v>7</v>
      </c>
      <c r="N1306">
        <f t="shared" si="40"/>
        <v>0</v>
      </c>
      <c r="O1306" t="str" cm="1">
        <f t="array" ref="O1306" xml:space="preserve"> _xlfn.IFS(A1306 &lt;ASSUMPTIONS!$D$2,"25",A1306 &lt;= ASSUMPTIONS!$D$3,"25-34",A1306 &lt;= ASSUMPTIONS!$D$4, "35-44",A1306 &lt;= ASSUMPTIONS!$D$5,"45-54",TRUE,"55+")</f>
        <v>35-44</v>
      </c>
      <c r="P1306" t="str" cm="1">
        <f t="array" ref="P1306">_xlfn.IFS( J1306 &lt;ASSUMPTIONS!$D$7,"LOW",J1306 &lt;= ASSUMPTIONS!$D$8,"MEDIUM",TRUE, "HIGH")</f>
        <v>MEDIUM</v>
      </c>
      <c r="Q1306" t="str">
        <f>IF(M1306&lt;ASSUMPTIONS!$D$10,"New (0-2)",IF(M1306&lt;=ASSUMPTIONS!$D$11,"Early (2-5)",IF(M1306&lt;=ASSUMPTIONS!$D$12,"Established (5-10)","Veteran (10+)")))</f>
        <v>Established (5-10)</v>
      </c>
      <c r="R1306" s="4">
        <f t="shared" si="41"/>
        <v>2</v>
      </c>
    </row>
    <row r="1307" spans="1:18">
      <c r="A1307">
        <f>RAW_DATA!A1307</f>
        <v>54</v>
      </c>
      <c r="B1307" t="str">
        <f>RAW_DATA!B1307</f>
        <v>No</v>
      </c>
      <c r="C1307" t="str">
        <f>RAW_DATA!C1307</f>
        <v>Research &amp; Development</v>
      </c>
      <c r="D1307">
        <f>RAW_DATA!D1307</f>
        <v>7</v>
      </c>
      <c r="E1307">
        <f>RAW_DATA!E1307</f>
        <v>4</v>
      </c>
      <c r="F1307" t="str">
        <f>RAW_DATA!F1307</f>
        <v>Medical</v>
      </c>
      <c r="G1307">
        <f>RAW_DATA!G1307</f>
        <v>4</v>
      </c>
      <c r="H1307">
        <f>RAW_DATA!H1307</f>
        <v>4</v>
      </c>
      <c r="I1307" t="str">
        <f>RAW_DATA!I1307</f>
        <v>Married</v>
      </c>
      <c r="J1307">
        <f>RAW_DATA!J1307</f>
        <v>6854</v>
      </c>
      <c r="K1307">
        <f>RAW_DATA!K1307</f>
        <v>4</v>
      </c>
      <c r="L1307">
        <f>RAW_DATA!L1307</f>
        <v>2</v>
      </c>
      <c r="M1307">
        <f>RAW_DATA!M1307</f>
        <v>7</v>
      </c>
      <c r="N1307">
        <f t="shared" si="40"/>
        <v>0</v>
      </c>
      <c r="O1307" t="str" cm="1">
        <f t="array" ref="O1307" xml:space="preserve"> _xlfn.IFS(A1307 &lt;ASSUMPTIONS!$D$2,"25",A1307 &lt;= ASSUMPTIONS!$D$3,"25-34",A1307 &lt;= ASSUMPTIONS!$D$4, "35-44",A1307 &lt;= ASSUMPTIONS!$D$5,"45-54",TRUE,"55+")</f>
        <v>45-54</v>
      </c>
      <c r="P1307" t="str" cm="1">
        <f t="array" ref="P1307">_xlfn.IFS( J1307 &lt;ASSUMPTIONS!$D$7,"LOW",J1307 &lt;= ASSUMPTIONS!$D$8,"MEDIUM",TRUE, "HIGH")</f>
        <v>MEDIUM</v>
      </c>
      <c r="Q1307" t="str">
        <f>IF(M1307&lt;ASSUMPTIONS!$D$10,"New (0-2)",IF(M1307&lt;=ASSUMPTIONS!$D$11,"Early (2-5)",IF(M1307&lt;=ASSUMPTIONS!$D$12,"Established (5-10)","Veteran (10+)")))</f>
        <v>Established (5-10)</v>
      </c>
      <c r="R1307" s="4">
        <f t="shared" si="41"/>
        <v>3.3333333333333335</v>
      </c>
    </row>
    <row r="1308" spans="1:18">
      <c r="A1308">
        <f>RAW_DATA!A1308</f>
        <v>31</v>
      </c>
      <c r="B1308" t="str">
        <f>RAW_DATA!B1308</f>
        <v>No</v>
      </c>
      <c r="C1308" t="str">
        <f>RAW_DATA!C1308</f>
        <v>Sales</v>
      </c>
      <c r="D1308">
        <f>RAW_DATA!D1308</f>
        <v>7</v>
      </c>
      <c r="E1308">
        <f>RAW_DATA!E1308</f>
        <v>4</v>
      </c>
      <c r="F1308" t="str">
        <f>RAW_DATA!F1308</f>
        <v>Marketing</v>
      </c>
      <c r="G1308">
        <f>RAW_DATA!G1308</f>
        <v>1</v>
      </c>
      <c r="H1308">
        <f>RAW_DATA!H1308</f>
        <v>1</v>
      </c>
      <c r="I1308" t="str">
        <f>RAW_DATA!I1308</f>
        <v>Married</v>
      </c>
      <c r="J1308">
        <f>RAW_DATA!J1308</f>
        <v>9637</v>
      </c>
      <c r="K1308">
        <f>RAW_DATA!K1308</f>
        <v>2</v>
      </c>
      <c r="L1308">
        <f>RAW_DATA!L1308</f>
        <v>3</v>
      </c>
      <c r="M1308">
        <f>RAW_DATA!M1308</f>
        <v>3</v>
      </c>
      <c r="N1308">
        <f t="shared" si="40"/>
        <v>0</v>
      </c>
      <c r="O1308" t="str" cm="1">
        <f t="array" ref="O1308" xml:space="preserve"> _xlfn.IFS(A1308 &lt;ASSUMPTIONS!$D$2,"25",A1308 &lt;= ASSUMPTIONS!$D$3,"25-34",A1308 &lt;= ASSUMPTIONS!$D$4, "35-44",A1308 &lt;= ASSUMPTIONS!$D$5,"45-54",TRUE,"55+")</f>
        <v>25-34</v>
      </c>
      <c r="P1308" t="str" cm="1">
        <f t="array" ref="P1308">_xlfn.IFS( J1308 &lt;ASSUMPTIONS!$D$7,"LOW",J1308 &lt;= ASSUMPTIONS!$D$8,"MEDIUM",TRUE, "HIGH")</f>
        <v>HIGH</v>
      </c>
      <c r="Q1308" t="str">
        <f>IF(M1308&lt;ASSUMPTIONS!$D$10,"New (0-2)",IF(M1308&lt;=ASSUMPTIONS!$D$11,"Early (2-5)",IF(M1308&lt;=ASSUMPTIONS!$D$12,"Established (5-10)","Veteran (10+)")))</f>
        <v>Early (2-5)</v>
      </c>
      <c r="R1308" s="4">
        <f t="shared" si="41"/>
        <v>1.6666666666666667</v>
      </c>
    </row>
    <row r="1309" spans="1:18">
      <c r="A1309">
        <f>RAW_DATA!A1309</f>
        <v>28</v>
      </c>
      <c r="B1309" t="str">
        <f>RAW_DATA!B1309</f>
        <v>No</v>
      </c>
      <c r="C1309" t="str">
        <f>RAW_DATA!C1309</f>
        <v>Research &amp; Development</v>
      </c>
      <c r="D1309">
        <f>RAW_DATA!D1309</f>
        <v>1</v>
      </c>
      <c r="E1309">
        <f>RAW_DATA!E1309</f>
        <v>3</v>
      </c>
      <c r="F1309" t="str">
        <f>RAW_DATA!F1309</f>
        <v>Medical</v>
      </c>
      <c r="G1309">
        <f>RAW_DATA!G1309</f>
        <v>3</v>
      </c>
      <c r="H1309">
        <f>RAW_DATA!H1309</f>
        <v>1</v>
      </c>
      <c r="I1309" t="str">
        <f>RAW_DATA!I1309</f>
        <v>Married</v>
      </c>
      <c r="J1309">
        <f>RAW_DATA!J1309</f>
        <v>3591</v>
      </c>
      <c r="K1309">
        <f>RAW_DATA!K1309</f>
        <v>1</v>
      </c>
      <c r="L1309">
        <f>RAW_DATA!L1309</f>
        <v>3</v>
      </c>
      <c r="M1309">
        <f>RAW_DATA!M1309</f>
        <v>3</v>
      </c>
      <c r="N1309">
        <f t="shared" si="40"/>
        <v>0</v>
      </c>
      <c r="O1309" t="str" cm="1">
        <f t="array" ref="O1309" xml:space="preserve"> _xlfn.IFS(A1309 &lt;ASSUMPTIONS!$D$2,"25",A1309 &lt;= ASSUMPTIONS!$D$3,"25-34",A1309 &lt;= ASSUMPTIONS!$D$4, "35-44",A1309 &lt;= ASSUMPTIONS!$D$5,"45-54",TRUE,"55+")</f>
        <v>25-34</v>
      </c>
      <c r="P1309" t="str" cm="1">
        <f t="array" ref="P1309">_xlfn.IFS( J1309 &lt;ASSUMPTIONS!$D$7,"LOW",J1309 &lt;= ASSUMPTIONS!$D$8,"MEDIUM",TRUE, "HIGH")</f>
        <v>MEDIUM</v>
      </c>
      <c r="Q1309" t="str">
        <f>IF(M1309&lt;ASSUMPTIONS!$D$10,"New (0-2)",IF(M1309&lt;=ASSUMPTIONS!$D$11,"Early (2-5)",IF(M1309&lt;=ASSUMPTIONS!$D$12,"Established (5-10)","Veteran (10+)")))</f>
        <v>Early (2-5)</v>
      </c>
      <c r="R1309" s="4">
        <f t="shared" si="41"/>
        <v>2.3333333333333335</v>
      </c>
    </row>
    <row r="1310" spans="1:18">
      <c r="A1310">
        <f>RAW_DATA!A1310</f>
        <v>38</v>
      </c>
      <c r="B1310" t="str">
        <f>RAW_DATA!B1310</f>
        <v>No</v>
      </c>
      <c r="C1310" t="str">
        <f>RAW_DATA!C1310</f>
        <v>Sales</v>
      </c>
      <c r="D1310">
        <f>RAW_DATA!D1310</f>
        <v>2</v>
      </c>
      <c r="E1310">
        <f>RAW_DATA!E1310</f>
        <v>4</v>
      </c>
      <c r="F1310" t="str">
        <f>RAW_DATA!F1310</f>
        <v>Marketing</v>
      </c>
      <c r="G1310">
        <f>RAW_DATA!G1310</f>
        <v>2</v>
      </c>
      <c r="H1310">
        <f>RAW_DATA!H1310</f>
        <v>4</v>
      </c>
      <c r="I1310" t="str">
        <f>RAW_DATA!I1310</f>
        <v>Married</v>
      </c>
      <c r="J1310">
        <f>RAW_DATA!J1310</f>
        <v>5405</v>
      </c>
      <c r="K1310">
        <f>RAW_DATA!K1310</f>
        <v>2</v>
      </c>
      <c r="L1310">
        <f>RAW_DATA!L1310</f>
        <v>2</v>
      </c>
      <c r="M1310">
        <f>RAW_DATA!M1310</f>
        <v>4</v>
      </c>
      <c r="N1310">
        <f t="shared" si="40"/>
        <v>0</v>
      </c>
      <c r="O1310" t="str" cm="1">
        <f t="array" ref="O1310" xml:space="preserve"> _xlfn.IFS(A1310 &lt;ASSUMPTIONS!$D$2,"25",A1310 &lt;= ASSUMPTIONS!$D$3,"25-34",A1310 &lt;= ASSUMPTIONS!$D$4, "35-44",A1310 &lt;= ASSUMPTIONS!$D$5,"45-54",TRUE,"55+")</f>
        <v>35-44</v>
      </c>
      <c r="P1310" t="str" cm="1">
        <f t="array" ref="P1310">_xlfn.IFS( J1310 &lt;ASSUMPTIONS!$D$7,"LOW",J1310 &lt;= ASSUMPTIONS!$D$8,"MEDIUM",TRUE, "HIGH")</f>
        <v>MEDIUM</v>
      </c>
      <c r="Q1310" t="str">
        <f>IF(M1310&lt;ASSUMPTIONS!$D$10,"New (0-2)",IF(M1310&lt;=ASSUMPTIONS!$D$11,"Early (2-5)",IF(M1310&lt;=ASSUMPTIONS!$D$12,"Established (5-10)","Veteran (10+)")))</f>
        <v>Early (2-5)</v>
      </c>
      <c r="R1310" s="4">
        <f t="shared" si="41"/>
        <v>2.6666666666666665</v>
      </c>
    </row>
    <row r="1311" spans="1:18">
      <c r="A1311">
        <f>RAW_DATA!A1311</f>
        <v>26</v>
      </c>
      <c r="B1311" t="str">
        <f>RAW_DATA!B1311</f>
        <v>No</v>
      </c>
      <c r="C1311" t="str">
        <f>RAW_DATA!C1311</f>
        <v>Sales</v>
      </c>
      <c r="D1311">
        <f>RAW_DATA!D1311</f>
        <v>10</v>
      </c>
      <c r="E1311">
        <f>RAW_DATA!E1311</f>
        <v>3</v>
      </c>
      <c r="F1311" t="str">
        <f>RAW_DATA!F1311</f>
        <v>Medical</v>
      </c>
      <c r="G1311">
        <f>RAW_DATA!G1311</f>
        <v>3</v>
      </c>
      <c r="H1311">
        <f>RAW_DATA!H1311</f>
        <v>4</v>
      </c>
      <c r="I1311" t="str">
        <f>RAW_DATA!I1311</f>
        <v>Single</v>
      </c>
      <c r="J1311">
        <f>RAW_DATA!J1311</f>
        <v>4684</v>
      </c>
      <c r="K1311">
        <f>RAW_DATA!K1311</f>
        <v>1</v>
      </c>
      <c r="L1311">
        <f>RAW_DATA!L1311</f>
        <v>3</v>
      </c>
      <c r="M1311">
        <f>RAW_DATA!M1311</f>
        <v>5</v>
      </c>
      <c r="N1311">
        <f t="shared" si="40"/>
        <v>0</v>
      </c>
      <c r="O1311" t="str" cm="1">
        <f t="array" ref="O1311" xml:space="preserve"> _xlfn.IFS(A1311 &lt;ASSUMPTIONS!$D$2,"25",A1311 &lt;= ASSUMPTIONS!$D$3,"25-34",A1311 &lt;= ASSUMPTIONS!$D$4, "35-44",A1311 &lt;= ASSUMPTIONS!$D$5,"45-54",TRUE,"55+")</f>
        <v>25-34</v>
      </c>
      <c r="P1311" t="str" cm="1">
        <f t="array" ref="P1311">_xlfn.IFS( J1311 &lt;ASSUMPTIONS!$D$7,"LOW",J1311 &lt;= ASSUMPTIONS!$D$8,"MEDIUM",TRUE, "HIGH")</f>
        <v>MEDIUM</v>
      </c>
      <c r="Q1311" t="str">
        <f>IF(M1311&lt;ASSUMPTIONS!$D$10,"New (0-2)",IF(M1311&lt;=ASSUMPTIONS!$D$11,"Early (2-5)",IF(M1311&lt;=ASSUMPTIONS!$D$12,"Established (5-10)","Veteran (10+)")))</f>
        <v>Early (2-5)</v>
      </c>
      <c r="R1311" s="4">
        <f t="shared" si="41"/>
        <v>3.3333333333333335</v>
      </c>
    </row>
    <row r="1312" spans="1:18">
      <c r="A1312">
        <f>RAW_DATA!A1312</f>
        <v>58</v>
      </c>
      <c r="B1312" t="str">
        <f>RAW_DATA!B1312</f>
        <v>No</v>
      </c>
      <c r="C1312" t="str">
        <f>RAW_DATA!C1312</f>
        <v>Research &amp; Development</v>
      </c>
      <c r="D1312">
        <f>RAW_DATA!D1312</f>
        <v>15</v>
      </c>
      <c r="E1312">
        <f>RAW_DATA!E1312</f>
        <v>4</v>
      </c>
      <c r="F1312" t="str">
        <f>RAW_DATA!F1312</f>
        <v>Life Sciences</v>
      </c>
      <c r="G1312">
        <f>RAW_DATA!G1312</f>
        <v>1</v>
      </c>
      <c r="H1312">
        <f>RAW_DATA!H1312</f>
        <v>3</v>
      </c>
      <c r="I1312" t="str">
        <f>RAW_DATA!I1312</f>
        <v>Married</v>
      </c>
      <c r="J1312">
        <f>RAW_DATA!J1312</f>
        <v>15787</v>
      </c>
      <c r="K1312">
        <f>RAW_DATA!K1312</f>
        <v>2</v>
      </c>
      <c r="L1312">
        <f>RAW_DATA!L1312</f>
        <v>3</v>
      </c>
      <c r="M1312">
        <f>RAW_DATA!M1312</f>
        <v>2</v>
      </c>
      <c r="N1312">
        <f t="shared" si="40"/>
        <v>0</v>
      </c>
      <c r="O1312" t="str" cm="1">
        <f t="array" ref="O1312" xml:space="preserve"> _xlfn.IFS(A1312 &lt;ASSUMPTIONS!$D$2,"25",A1312 &lt;= ASSUMPTIONS!$D$3,"25-34",A1312 &lt;= ASSUMPTIONS!$D$4, "35-44",A1312 &lt;= ASSUMPTIONS!$D$5,"45-54",TRUE,"55+")</f>
        <v>55+</v>
      </c>
      <c r="P1312" t="str" cm="1">
        <f t="array" ref="P1312">_xlfn.IFS( J1312 &lt;ASSUMPTIONS!$D$7,"LOW",J1312 &lt;= ASSUMPTIONS!$D$8,"MEDIUM",TRUE, "HIGH")</f>
        <v>HIGH</v>
      </c>
      <c r="Q1312" t="str">
        <f>IF(M1312&lt;ASSUMPTIONS!$D$10,"New (0-2)",IF(M1312&lt;=ASSUMPTIONS!$D$11,"Early (2-5)",IF(M1312&lt;=ASSUMPTIONS!$D$12,"Established (5-10)","Veteran (10+)")))</f>
        <v>Early (2-5)</v>
      </c>
      <c r="R1312" s="4">
        <f t="shared" si="41"/>
        <v>2.3333333333333335</v>
      </c>
    </row>
    <row r="1313" spans="1:18">
      <c r="A1313">
        <f>RAW_DATA!A1313</f>
        <v>18</v>
      </c>
      <c r="B1313" t="str">
        <f>RAW_DATA!B1313</f>
        <v>No</v>
      </c>
      <c r="C1313" t="str">
        <f>RAW_DATA!C1313</f>
        <v>Research &amp; Development</v>
      </c>
      <c r="D1313">
        <f>RAW_DATA!D1313</f>
        <v>14</v>
      </c>
      <c r="E1313">
        <f>RAW_DATA!E1313</f>
        <v>3</v>
      </c>
      <c r="F1313" t="str">
        <f>RAW_DATA!F1313</f>
        <v>Medical</v>
      </c>
      <c r="G1313">
        <f>RAW_DATA!G1313</f>
        <v>2</v>
      </c>
      <c r="H1313">
        <f>RAW_DATA!H1313</f>
        <v>3</v>
      </c>
      <c r="I1313" t="str">
        <f>RAW_DATA!I1313</f>
        <v>Single</v>
      </c>
      <c r="J1313">
        <f>RAW_DATA!J1313</f>
        <v>1514</v>
      </c>
      <c r="K1313">
        <f>RAW_DATA!K1313</f>
        <v>1</v>
      </c>
      <c r="L1313">
        <f>RAW_DATA!L1313</f>
        <v>1</v>
      </c>
      <c r="M1313">
        <f>RAW_DATA!M1313</f>
        <v>0</v>
      </c>
      <c r="N1313">
        <f t="shared" si="40"/>
        <v>0</v>
      </c>
      <c r="O1313" t="str" cm="1">
        <f t="array" ref="O1313" xml:space="preserve"> _xlfn.IFS(A1313 &lt;ASSUMPTIONS!$D$2,"25",A1313 &lt;= ASSUMPTIONS!$D$3,"25-34",A1313 &lt;= ASSUMPTIONS!$D$4, "35-44",A1313 &lt;= ASSUMPTIONS!$D$5,"45-54",TRUE,"55+")</f>
        <v>25</v>
      </c>
      <c r="P1313" t="str" cm="1">
        <f t="array" ref="P1313">_xlfn.IFS( J1313 &lt;ASSUMPTIONS!$D$7,"LOW",J1313 &lt;= ASSUMPTIONS!$D$8,"MEDIUM",TRUE, "HIGH")</f>
        <v>LOW</v>
      </c>
      <c r="Q1313" t="str">
        <f>IF(M1313&lt;ASSUMPTIONS!$D$10,"New (0-2)",IF(M1313&lt;=ASSUMPTIONS!$D$11,"Early (2-5)",IF(M1313&lt;=ASSUMPTIONS!$D$12,"Established (5-10)","Veteran (10+)")))</f>
        <v>New (0-2)</v>
      </c>
      <c r="R1313" s="4">
        <f t="shared" si="41"/>
        <v>2</v>
      </c>
    </row>
    <row r="1314" spans="1:18">
      <c r="A1314">
        <f>RAW_DATA!A1314</f>
        <v>31</v>
      </c>
      <c r="B1314" t="str">
        <f>RAW_DATA!B1314</f>
        <v>Yes</v>
      </c>
      <c r="C1314" t="str">
        <f>RAW_DATA!C1314</f>
        <v>Human Resources</v>
      </c>
      <c r="D1314">
        <f>RAW_DATA!D1314</f>
        <v>18</v>
      </c>
      <c r="E1314">
        <f>RAW_DATA!E1314</f>
        <v>5</v>
      </c>
      <c r="F1314" t="str">
        <f>RAW_DATA!F1314</f>
        <v>Human Resources</v>
      </c>
      <c r="G1314">
        <f>RAW_DATA!G1314</f>
        <v>4</v>
      </c>
      <c r="H1314">
        <f>RAW_DATA!H1314</f>
        <v>1</v>
      </c>
      <c r="I1314" t="str">
        <f>RAW_DATA!I1314</f>
        <v>Married</v>
      </c>
      <c r="J1314">
        <f>RAW_DATA!J1314</f>
        <v>2956</v>
      </c>
      <c r="K1314">
        <f>RAW_DATA!K1314</f>
        <v>0</v>
      </c>
      <c r="L1314">
        <f>RAW_DATA!L1314</f>
        <v>3</v>
      </c>
      <c r="M1314">
        <f>RAW_DATA!M1314</f>
        <v>1</v>
      </c>
      <c r="N1314">
        <f t="shared" si="40"/>
        <v>1</v>
      </c>
      <c r="O1314" t="str" cm="1">
        <f t="array" ref="O1314" xml:space="preserve"> _xlfn.IFS(A1314 &lt;ASSUMPTIONS!$D$2,"25",A1314 &lt;= ASSUMPTIONS!$D$3,"25-34",A1314 &lt;= ASSUMPTIONS!$D$4, "35-44",A1314 &lt;= ASSUMPTIONS!$D$5,"45-54",TRUE,"55+")</f>
        <v>25-34</v>
      </c>
      <c r="P1314" t="str" cm="1">
        <f t="array" ref="P1314">_xlfn.IFS( J1314 &lt;ASSUMPTIONS!$D$7,"LOW",J1314 &lt;= ASSUMPTIONS!$D$8,"MEDIUM",TRUE, "HIGH")</f>
        <v>LOW</v>
      </c>
      <c r="Q1314" t="str">
        <f>IF(M1314&lt;ASSUMPTIONS!$D$10,"New (0-2)",IF(M1314&lt;=ASSUMPTIONS!$D$11,"Early (2-5)",IF(M1314&lt;=ASSUMPTIONS!$D$12,"Established (5-10)","Veteran (10+)")))</f>
        <v>New (0-2)</v>
      </c>
      <c r="R1314" s="4">
        <f t="shared" si="41"/>
        <v>2.6666666666666665</v>
      </c>
    </row>
    <row r="1315" spans="1:18">
      <c r="A1315">
        <f>RAW_DATA!A1315</f>
        <v>29</v>
      </c>
      <c r="B1315" t="str">
        <f>RAW_DATA!B1315</f>
        <v>Yes</v>
      </c>
      <c r="C1315" t="str">
        <f>RAW_DATA!C1315</f>
        <v>Human Resources</v>
      </c>
      <c r="D1315">
        <f>RAW_DATA!D1315</f>
        <v>13</v>
      </c>
      <c r="E1315">
        <f>RAW_DATA!E1315</f>
        <v>3</v>
      </c>
      <c r="F1315" t="str">
        <f>RAW_DATA!F1315</f>
        <v>Human Resources</v>
      </c>
      <c r="G1315">
        <f>RAW_DATA!G1315</f>
        <v>1</v>
      </c>
      <c r="H1315">
        <f>RAW_DATA!H1315</f>
        <v>1</v>
      </c>
      <c r="I1315" t="str">
        <f>RAW_DATA!I1315</f>
        <v>Divorced</v>
      </c>
      <c r="J1315">
        <f>RAW_DATA!J1315</f>
        <v>2335</v>
      </c>
      <c r="K1315">
        <f>RAW_DATA!K1315</f>
        <v>4</v>
      </c>
      <c r="L1315">
        <f>RAW_DATA!L1315</f>
        <v>3</v>
      </c>
      <c r="M1315">
        <f>RAW_DATA!M1315</f>
        <v>2</v>
      </c>
      <c r="N1315">
        <f t="shared" si="40"/>
        <v>1</v>
      </c>
      <c r="O1315" t="str" cm="1">
        <f t="array" ref="O1315" xml:space="preserve"> _xlfn.IFS(A1315 &lt;ASSUMPTIONS!$D$2,"25",A1315 &lt;= ASSUMPTIONS!$D$3,"25-34",A1315 &lt;= ASSUMPTIONS!$D$4, "35-44",A1315 &lt;= ASSUMPTIONS!$D$5,"45-54",TRUE,"55+")</f>
        <v>25-34</v>
      </c>
      <c r="P1315" t="str" cm="1">
        <f t="array" ref="P1315">_xlfn.IFS( J1315 &lt;ASSUMPTIONS!$D$7,"LOW",J1315 &lt;= ASSUMPTIONS!$D$8,"MEDIUM",TRUE, "HIGH")</f>
        <v>LOW</v>
      </c>
      <c r="Q1315" t="str">
        <f>IF(M1315&lt;ASSUMPTIONS!$D$10,"New (0-2)",IF(M1315&lt;=ASSUMPTIONS!$D$11,"Early (2-5)",IF(M1315&lt;=ASSUMPTIONS!$D$12,"Established (5-10)","Veteran (10+)")))</f>
        <v>Early (2-5)</v>
      </c>
      <c r="R1315" s="4">
        <f t="shared" si="41"/>
        <v>1.6666666666666667</v>
      </c>
    </row>
    <row r="1316" spans="1:18">
      <c r="A1316">
        <f>RAW_DATA!A1316</f>
        <v>45</v>
      </c>
      <c r="B1316" t="str">
        <f>RAW_DATA!B1316</f>
        <v>No</v>
      </c>
      <c r="C1316" t="str">
        <f>RAW_DATA!C1316</f>
        <v>Sales</v>
      </c>
      <c r="D1316">
        <f>RAW_DATA!D1316</f>
        <v>2</v>
      </c>
      <c r="E1316">
        <f>RAW_DATA!E1316</f>
        <v>4</v>
      </c>
      <c r="F1316" t="str">
        <f>RAW_DATA!F1316</f>
        <v>Life Sciences</v>
      </c>
      <c r="G1316">
        <f>RAW_DATA!G1316</f>
        <v>3</v>
      </c>
      <c r="H1316">
        <f>RAW_DATA!H1316</f>
        <v>3</v>
      </c>
      <c r="I1316" t="str">
        <f>RAW_DATA!I1316</f>
        <v>Married</v>
      </c>
      <c r="J1316">
        <f>RAW_DATA!J1316</f>
        <v>5154</v>
      </c>
      <c r="K1316">
        <f>RAW_DATA!K1316</f>
        <v>4</v>
      </c>
      <c r="L1316">
        <f>RAW_DATA!L1316</f>
        <v>4</v>
      </c>
      <c r="M1316">
        <f>RAW_DATA!M1316</f>
        <v>8</v>
      </c>
      <c r="N1316">
        <f t="shared" si="40"/>
        <v>0</v>
      </c>
      <c r="O1316" t="str" cm="1">
        <f t="array" ref="O1316" xml:space="preserve"> _xlfn.IFS(A1316 &lt;ASSUMPTIONS!$D$2,"25",A1316 &lt;= ASSUMPTIONS!$D$3,"25-34",A1316 &lt;= ASSUMPTIONS!$D$4, "35-44",A1316 &lt;= ASSUMPTIONS!$D$5,"45-54",TRUE,"55+")</f>
        <v>45-54</v>
      </c>
      <c r="P1316" t="str" cm="1">
        <f t="array" ref="P1316">_xlfn.IFS( J1316 &lt;ASSUMPTIONS!$D$7,"LOW",J1316 &lt;= ASSUMPTIONS!$D$8,"MEDIUM",TRUE, "HIGH")</f>
        <v>MEDIUM</v>
      </c>
      <c r="Q1316" t="str">
        <f>IF(M1316&lt;ASSUMPTIONS!$D$10,"New (0-2)",IF(M1316&lt;=ASSUMPTIONS!$D$11,"Early (2-5)",IF(M1316&lt;=ASSUMPTIONS!$D$12,"Established (5-10)","Veteran (10+)")))</f>
        <v>Established (5-10)</v>
      </c>
      <c r="R1316" s="4">
        <f t="shared" si="41"/>
        <v>3.3333333333333335</v>
      </c>
    </row>
    <row r="1317" spans="1:18">
      <c r="A1317">
        <f>RAW_DATA!A1317</f>
        <v>36</v>
      </c>
      <c r="B1317" t="str">
        <f>RAW_DATA!B1317</f>
        <v>No</v>
      </c>
      <c r="C1317" t="str">
        <f>RAW_DATA!C1317</f>
        <v>Research &amp; Development</v>
      </c>
      <c r="D1317">
        <f>RAW_DATA!D1317</f>
        <v>2</v>
      </c>
      <c r="E1317">
        <f>RAW_DATA!E1317</f>
        <v>4</v>
      </c>
      <c r="F1317" t="str">
        <f>RAW_DATA!F1317</f>
        <v>Other</v>
      </c>
      <c r="G1317">
        <f>RAW_DATA!G1317</f>
        <v>4</v>
      </c>
      <c r="H1317">
        <f>RAW_DATA!H1317</f>
        <v>2</v>
      </c>
      <c r="I1317" t="str">
        <f>RAW_DATA!I1317</f>
        <v>Married</v>
      </c>
      <c r="J1317">
        <f>RAW_DATA!J1317</f>
        <v>6962</v>
      </c>
      <c r="K1317">
        <f>RAW_DATA!K1317</f>
        <v>4</v>
      </c>
      <c r="L1317">
        <f>RAW_DATA!L1317</f>
        <v>3</v>
      </c>
      <c r="M1317">
        <f>RAW_DATA!M1317</f>
        <v>1</v>
      </c>
      <c r="N1317">
        <f t="shared" si="40"/>
        <v>0</v>
      </c>
      <c r="O1317" t="str" cm="1">
        <f t="array" ref="O1317" xml:space="preserve"> _xlfn.IFS(A1317 &lt;ASSUMPTIONS!$D$2,"25",A1317 &lt;= ASSUMPTIONS!$D$3,"25-34",A1317 &lt;= ASSUMPTIONS!$D$4, "35-44",A1317 &lt;= ASSUMPTIONS!$D$5,"45-54",TRUE,"55+")</f>
        <v>35-44</v>
      </c>
      <c r="P1317" t="str" cm="1">
        <f t="array" ref="P1317">_xlfn.IFS( J1317 &lt;ASSUMPTIONS!$D$7,"LOW",J1317 &lt;= ASSUMPTIONS!$D$8,"MEDIUM",TRUE, "HIGH")</f>
        <v>MEDIUM</v>
      </c>
      <c r="Q1317" t="str">
        <f>IF(M1317&lt;ASSUMPTIONS!$D$10,"New (0-2)",IF(M1317&lt;=ASSUMPTIONS!$D$11,"Early (2-5)",IF(M1317&lt;=ASSUMPTIONS!$D$12,"Established (5-10)","Veteran (10+)")))</f>
        <v>New (0-2)</v>
      </c>
      <c r="R1317" s="4">
        <f t="shared" si="41"/>
        <v>3</v>
      </c>
    </row>
    <row r="1318" spans="1:18">
      <c r="A1318">
        <f>RAW_DATA!A1318</f>
        <v>43</v>
      </c>
      <c r="B1318" t="str">
        <f>RAW_DATA!B1318</f>
        <v>No</v>
      </c>
      <c r="C1318" t="str">
        <f>RAW_DATA!C1318</f>
        <v>Sales</v>
      </c>
      <c r="D1318">
        <f>RAW_DATA!D1318</f>
        <v>2</v>
      </c>
      <c r="E1318">
        <f>RAW_DATA!E1318</f>
        <v>4</v>
      </c>
      <c r="F1318" t="str">
        <f>RAW_DATA!F1318</f>
        <v>Life Sciences</v>
      </c>
      <c r="G1318">
        <f>RAW_DATA!G1318</f>
        <v>1</v>
      </c>
      <c r="H1318">
        <f>RAW_DATA!H1318</f>
        <v>4</v>
      </c>
      <c r="I1318" t="str">
        <f>RAW_DATA!I1318</f>
        <v>Married</v>
      </c>
      <c r="J1318">
        <f>RAW_DATA!J1318</f>
        <v>5675</v>
      </c>
      <c r="K1318">
        <f>RAW_DATA!K1318</f>
        <v>1</v>
      </c>
      <c r="L1318">
        <f>RAW_DATA!L1318</f>
        <v>3</v>
      </c>
      <c r="M1318">
        <f>RAW_DATA!M1318</f>
        <v>7</v>
      </c>
      <c r="N1318">
        <f t="shared" si="40"/>
        <v>0</v>
      </c>
      <c r="O1318" t="str" cm="1">
        <f t="array" ref="O1318" xml:space="preserve"> _xlfn.IFS(A1318 &lt;ASSUMPTIONS!$D$2,"25",A1318 &lt;= ASSUMPTIONS!$D$3,"25-34",A1318 &lt;= ASSUMPTIONS!$D$4, "35-44",A1318 &lt;= ASSUMPTIONS!$D$5,"45-54",TRUE,"55+")</f>
        <v>35-44</v>
      </c>
      <c r="P1318" t="str" cm="1">
        <f t="array" ref="P1318">_xlfn.IFS( J1318 &lt;ASSUMPTIONS!$D$7,"LOW",J1318 &lt;= ASSUMPTIONS!$D$8,"MEDIUM",TRUE, "HIGH")</f>
        <v>MEDIUM</v>
      </c>
      <c r="Q1318" t="str">
        <f>IF(M1318&lt;ASSUMPTIONS!$D$10,"New (0-2)",IF(M1318&lt;=ASSUMPTIONS!$D$11,"Early (2-5)",IF(M1318&lt;=ASSUMPTIONS!$D$12,"Established (5-10)","Veteran (10+)")))</f>
        <v>Established (5-10)</v>
      </c>
      <c r="R1318" s="4">
        <f t="shared" si="41"/>
        <v>2.6666666666666665</v>
      </c>
    </row>
    <row r="1319" spans="1:18">
      <c r="A1319">
        <f>RAW_DATA!A1319</f>
        <v>27</v>
      </c>
      <c r="B1319" t="str">
        <f>RAW_DATA!B1319</f>
        <v>No</v>
      </c>
      <c r="C1319" t="str">
        <f>RAW_DATA!C1319</f>
        <v>Research &amp; Development</v>
      </c>
      <c r="D1319">
        <f>RAW_DATA!D1319</f>
        <v>5</v>
      </c>
      <c r="E1319">
        <f>RAW_DATA!E1319</f>
        <v>2</v>
      </c>
      <c r="F1319" t="str">
        <f>RAW_DATA!F1319</f>
        <v>Life Sciences</v>
      </c>
      <c r="G1319">
        <f>RAW_DATA!G1319</f>
        <v>4</v>
      </c>
      <c r="H1319">
        <f>RAW_DATA!H1319</f>
        <v>4</v>
      </c>
      <c r="I1319" t="str">
        <f>RAW_DATA!I1319</f>
        <v>Single</v>
      </c>
      <c r="J1319">
        <f>RAW_DATA!J1319</f>
        <v>2379</v>
      </c>
      <c r="K1319">
        <f>RAW_DATA!K1319</f>
        <v>0</v>
      </c>
      <c r="L1319">
        <f>RAW_DATA!L1319</f>
        <v>2</v>
      </c>
      <c r="M1319">
        <f>RAW_DATA!M1319</f>
        <v>5</v>
      </c>
      <c r="N1319">
        <f t="shared" si="40"/>
        <v>0</v>
      </c>
      <c r="O1319" t="str" cm="1">
        <f t="array" ref="O1319" xml:space="preserve"> _xlfn.IFS(A1319 &lt;ASSUMPTIONS!$D$2,"25",A1319 &lt;= ASSUMPTIONS!$D$3,"25-34",A1319 &lt;= ASSUMPTIONS!$D$4, "35-44",A1319 &lt;= ASSUMPTIONS!$D$5,"45-54",TRUE,"55+")</f>
        <v>25-34</v>
      </c>
      <c r="P1319" t="str" cm="1">
        <f t="array" ref="P1319">_xlfn.IFS( J1319 &lt;ASSUMPTIONS!$D$7,"LOW",J1319 &lt;= ASSUMPTIONS!$D$8,"MEDIUM",TRUE, "HIGH")</f>
        <v>LOW</v>
      </c>
      <c r="Q1319" t="str">
        <f>IF(M1319&lt;ASSUMPTIONS!$D$10,"New (0-2)",IF(M1319&lt;=ASSUMPTIONS!$D$11,"Early (2-5)",IF(M1319&lt;=ASSUMPTIONS!$D$12,"Established (5-10)","Veteran (10+)")))</f>
        <v>Early (2-5)</v>
      </c>
      <c r="R1319" s="4">
        <f t="shared" si="41"/>
        <v>3.3333333333333335</v>
      </c>
    </row>
    <row r="1320" spans="1:18">
      <c r="A1320">
        <f>RAW_DATA!A1320</f>
        <v>29</v>
      </c>
      <c r="B1320" t="str">
        <f>RAW_DATA!B1320</f>
        <v>No</v>
      </c>
      <c r="C1320" t="str">
        <f>RAW_DATA!C1320</f>
        <v>Research &amp; Development</v>
      </c>
      <c r="D1320">
        <f>RAW_DATA!D1320</f>
        <v>20</v>
      </c>
      <c r="E1320">
        <f>RAW_DATA!E1320</f>
        <v>1</v>
      </c>
      <c r="F1320" t="str">
        <f>RAW_DATA!F1320</f>
        <v>Medical</v>
      </c>
      <c r="G1320">
        <f>RAW_DATA!G1320</f>
        <v>4</v>
      </c>
      <c r="H1320">
        <f>RAW_DATA!H1320</f>
        <v>4</v>
      </c>
      <c r="I1320" t="str">
        <f>RAW_DATA!I1320</f>
        <v>Married</v>
      </c>
      <c r="J1320">
        <f>RAW_DATA!J1320</f>
        <v>3812</v>
      </c>
      <c r="K1320">
        <f>RAW_DATA!K1320</f>
        <v>1</v>
      </c>
      <c r="L1320">
        <f>RAW_DATA!L1320</f>
        <v>4</v>
      </c>
      <c r="M1320">
        <f>RAW_DATA!M1320</f>
        <v>11</v>
      </c>
      <c r="N1320">
        <f t="shared" si="40"/>
        <v>0</v>
      </c>
      <c r="O1320" t="str" cm="1">
        <f t="array" ref="O1320" xml:space="preserve"> _xlfn.IFS(A1320 &lt;ASSUMPTIONS!$D$2,"25",A1320 &lt;= ASSUMPTIONS!$D$3,"25-34",A1320 &lt;= ASSUMPTIONS!$D$4, "35-44",A1320 &lt;= ASSUMPTIONS!$D$5,"45-54",TRUE,"55+")</f>
        <v>25-34</v>
      </c>
      <c r="P1320" t="str" cm="1">
        <f t="array" ref="P1320">_xlfn.IFS( J1320 &lt;ASSUMPTIONS!$D$7,"LOW",J1320 &lt;= ASSUMPTIONS!$D$8,"MEDIUM",TRUE, "HIGH")</f>
        <v>MEDIUM</v>
      </c>
      <c r="Q1320" t="str">
        <f>IF(M1320&lt;ASSUMPTIONS!$D$10,"New (0-2)",IF(M1320&lt;=ASSUMPTIONS!$D$11,"Early (2-5)",IF(M1320&lt;=ASSUMPTIONS!$D$12,"Established (5-10)","Veteran (10+)")))</f>
        <v>Veteran (10+)</v>
      </c>
      <c r="R1320" s="4">
        <f t="shared" si="41"/>
        <v>4</v>
      </c>
    </row>
    <row r="1321" spans="1:18">
      <c r="A1321">
        <f>RAW_DATA!A1321</f>
        <v>32</v>
      </c>
      <c r="B1321" t="str">
        <f>RAW_DATA!B1321</f>
        <v>No</v>
      </c>
      <c r="C1321" t="str">
        <f>RAW_DATA!C1321</f>
        <v>Sales</v>
      </c>
      <c r="D1321">
        <f>RAW_DATA!D1321</f>
        <v>10</v>
      </c>
      <c r="E1321">
        <f>RAW_DATA!E1321</f>
        <v>4</v>
      </c>
      <c r="F1321" t="str">
        <f>RAW_DATA!F1321</f>
        <v>Marketing</v>
      </c>
      <c r="G1321">
        <f>RAW_DATA!G1321</f>
        <v>4</v>
      </c>
      <c r="H1321">
        <f>RAW_DATA!H1321</f>
        <v>4</v>
      </c>
      <c r="I1321" t="str">
        <f>RAW_DATA!I1321</f>
        <v>Single</v>
      </c>
      <c r="J1321">
        <f>RAW_DATA!J1321</f>
        <v>4648</v>
      </c>
      <c r="K1321">
        <f>RAW_DATA!K1321</f>
        <v>8</v>
      </c>
      <c r="L1321">
        <f>RAW_DATA!L1321</f>
        <v>4</v>
      </c>
      <c r="M1321">
        <f>RAW_DATA!M1321</f>
        <v>0</v>
      </c>
      <c r="N1321">
        <f t="shared" si="40"/>
        <v>0</v>
      </c>
      <c r="O1321" t="str" cm="1">
        <f t="array" ref="O1321" xml:space="preserve"> _xlfn.IFS(A1321 &lt;ASSUMPTIONS!$D$2,"25",A1321 &lt;= ASSUMPTIONS!$D$3,"25-34",A1321 &lt;= ASSUMPTIONS!$D$4, "35-44",A1321 &lt;= ASSUMPTIONS!$D$5,"45-54",TRUE,"55+")</f>
        <v>25-34</v>
      </c>
      <c r="P1321" t="str" cm="1">
        <f t="array" ref="P1321">_xlfn.IFS( J1321 &lt;ASSUMPTIONS!$D$7,"LOW",J1321 &lt;= ASSUMPTIONS!$D$8,"MEDIUM",TRUE, "HIGH")</f>
        <v>MEDIUM</v>
      </c>
      <c r="Q1321" t="str">
        <f>IF(M1321&lt;ASSUMPTIONS!$D$10,"New (0-2)",IF(M1321&lt;=ASSUMPTIONS!$D$11,"Early (2-5)",IF(M1321&lt;=ASSUMPTIONS!$D$12,"Established (5-10)","Veteran (10+)")))</f>
        <v>New (0-2)</v>
      </c>
      <c r="R1321" s="4">
        <f t="shared" si="41"/>
        <v>4</v>
      </c>
    </row>
    <row r="1322" spans="1:18">
      <c r="A1322">
        <f>RAW_DATA!A1322</f>
        <v>42</v>
      </c>
      <c r="B1322" t="str">
        <f>RAW_DATA!B1322</f>
        <v>No</v>
      </c>
      <c r="C1322" t="str">
        <f>RAW_DATA!C1322</f>
        <v>Research &amp; Development</v>
      </c>
      <c r="D1322">
        <f>RAW_DATA!D1322</f>
        <v>10</v>
      </c>
      <c r="E1322">
        <f>RAW_DATA!E1322</f>
        <v>4</v>
      </c>
      <c r="F1322" t="str">
        <f>RAW_DATA!F1322</f>
        <v>Technical Degree</v>
      </c>
      <c r="G1322">
        <f>RAW_DATA!G1322</f>
        <v>3</v>
      </c>
      <c r="H1322">
        <f>RAW_DATA!H1322</f>
        <v>3</v>
      </c>
      <c r="I1322" t="str">
        <f>RAW_DATA!I1322</f>
        <v>Married</v>
      </c>
      <c r="J1322">
        <f>RAW_DATA!J1322</f>
        <v>2936</v>
      </c>
      <c r="K1322">
        <f>RAW_DATA!K1322</f>
        <v>3</v>
      </c>
      <c r="L1322">
        <f>RAW_DATA!L1322</f>
        <v>2</v>
      </c>
      <c r="M1322">
        <f>RAW_DATA!M1322</f>
        <v>6</v>
      </c>
      <c r="N1322">
        <f t="shared" si="40"/>
        <v>0</v>
      </c>
      <c r="O1322" t="str" cm="1">
        <f t="array" ref="O1322" xml:space="preserve"> _xlfn.IFS(A1322 &lt;ASSUMPTIONS!$D$2,"25",A1322 &lt;= ASSUMPTIONS!$D$3,"25-34",A1322 &lt;= ASSUMPTIONS!$D$4, "35-44",A1322 &lt;= ASSUMPTIONS!$D$5,"45-54",TRUE,"55+")</f>
        <v>35-44</v>
      </c>
      <c r="P1322" t="str" cm="1">
        <f t="array" ref="P1322">_xlfn.IFS( J1322 &lt;ASSUMPTIONS!$D$7,"LOW",J1322 &lt;= ASSUMPTIONS!$D$8,"MEDIUM",TRUE, "HIGH")</f>
        <v>LOW</v>
      </c>
      <c r="Q1322" t="str">
        <f>IF(M1322&lt;ASSUMPTIONS!$D$10,"New (0-2)",IF(M1322&lt;=ASSUMPTIONS!$D$11,"Early (2-5)",IF(M1322&lt;=ASSUMPTIONS!$D$12,"Established (5-10)","Veteran (10+)")))</f>
        <v>Established (5-10)</v>
      </c>
      <c r="R1322" s="4">
        <f t="shared" si="41"/>
        <v>2.6666666666666665</v>
      </c>
    </row>
    <row r="1323" spans="1:18">
      <c r="A1323">
        <f>RAW_DATA!A1323</f>
        <v>47</v>
      </c>
      <c r="B1323" t="str">
        <f>RAW_DATA!B1323</f>
        <v>No</v>
      </c>
      <c r="C1323" t="str">
        <f>RAW_DATA!C1323</f>
        <v>Research &amp; Development</v>
      </c>
      <c r="D1323">
        <f>RAW_DATA!D1323</f>
        <v>9</v>
      </c>
      <c r="E1323">
        <f>RAW_DATA!E1323</f>
        <v>4</v>
      </c>
      <c r="F1323" t="str">
        <f>RAW_DATA!F1323</f>
        <v>Life Sciences</v>
      </c>
      <c r="G1323">
        <f>RAW_DATA!G1323</f>
        <v>2</v>
      </c>
      <c r="H1323">
        <f>RAW_DATA!H1323</f>
        <v>3</v>
      </c>
      <c r="I1323" t="str">
        <f>RAW_DATA!I1323</f>
        <v>Single</v>
      </c>
      <c r="J1323">
        <f>RAW_DATA!J1323</f>
        <v>2105</v>
      </c>
      <c r="K1323">
        <f>RAW_DATA!K1323</f>
        <v>4</v>
      </c>
      <c r="L1323">
        <f>RAW_DATA!L1323</f>
        <v>3</v>
      </c>
      <c r="M1323">
        <f>RAW_DATA!M1323</f>
        <v>2</v>
      </c>
      <c r="N1323">
        <f t="shared" si="40"/>
        <v>0</v>
      </c>
      <c r="O1323" t="str" cm="1">
        <f t="array" ref="O1323" xml:space="preserve"> _xlfn.IFS(A1323 &lt;ASSUMPTIONS!$D$2,"25",A1323 &lt;= ASSUMPTIONS!$D$3,"25-34",A1323 &lt;= ASSUMPTIONS!$D$4, "35-44",A1323 &lt;= ASSUMPTIONS!$D$5,"45-54",TRUE,"55+")</f>
        <v>45-54</v>
      </c>
      <c r="P1323" t="str" cm="1">
        <f t="array" ref="P1323">_xlfn.IFS( J1323 &lt;ASSUMPTIONS!$D$7,"LOW",J1323 &lt;= ASSUMPTIONS!$D$8,"MEDIUM",TRUE, "HIGH")</f>
        <v>LOW</v>
      </c>
      <c r="Q1323" t="str">
        <f>IF(M1323&lt;ASSUMPTIONS!$D$10,"New (0-2)",IF(M1323&lt;=ASSUMPTIONS!$D$11,"Early (2-5)",IF(M1323&lt;=ASSUMPTIONS!$D$12,"Established (5-10)","Veteran (10+)")))</f>
        <v>Early (2-5)</v>
      </c>
      <c r="R1323" s="4">
        <f t="shared" si="41"/>
        <v>2.6666666666666665</v>
      </c>
    </row>
    <row r="1324" spans="1:18">
      <c r="A1324">
        <f>RAW_DATA!A1324</f>
        <v>46</v>
      </c>
      <c r="B1324" t="str">
        <f>RAW_DATA!B1324</f>
        <v>No</v>
      </c>
      <c r="C1324" t="str">
        <f>RAW_DATA!C1324</f>
        <v>Research &amp; Development</v>
      </c>
      <c r="D1324">
        <f>RAW_DATA!D1324</f>
        <v>2</v>
      </c>
      <c r="E1324">
        <f>RAW_DATA!E1324</f>
        <v>2</v>
      </c>
      <c r="F1324" t="str">
        <f>RAW_DATA!F1324</f>
        <v>Life Sciences</v>
      </c>
      <c r="G1324">
        <f>RAW_DATA!G1324</f>
        <v>4</v>
      </c>
      <c r="H1324">
        <f>RAW_DATA!H1324</f>
        <v>4</v>
      </c>
      <c r="I1324" t="str">
        <f>RAW_DATA!I1324</f>
        <v>Divorced</v>
      </c>
      <c r="J1324">
        <f>RAW_DATA!J1324</f>
        <v>8578</v>
      </c>
      <c r="K1324">
        <f>RAW_DATA!K1324</f>
        <v>3</v>
      </c>
      <c r="L1324">
        <f>RAW_DATA!L1324</f>
        <v>2</v>
      </c>
      <c r="M1324">
        <f>RAW_DATA!M1324</f>
        <v>9</v>
      </c>
      <c r="N1324">
        <f t="shared" si="40"/>
        <v>0</v>
      </c>
      <c r="O1324" t="str" cm="1">
        <f t="array" ref="O1324" xml:space="preserve"> _xlfn.IFS(A1324 &lt;ASSUMPTIONS!$D$2,"25",A1324 &lt;= ASSUMPTIONS!$D$3,"25-34",A1324 &lt;= ASSUMPTIONS!$D$4, "35-44",A1324 &lt;= ASSUMPTIONS!$D$5,"45-54",TRUE,"55+")</f>
        <v>45-54</v>
      </c>
      <c r="P1324" t="str" cm="1">
        <f t="array" ref="P1324">_xlfn.IFS( J1324 &lt;ASSUMPTIONS!$D$7,"LOW",J1324 &lt;= ASSUMPTIONS!$D$8,"MEDIUM",TRUE, "HIGH")</f>
        <v>HIGH</v>
      </c>
      <c r="Q1324" t="str">
        <f>IF(M1324&lt;ASSUMPTIONS!$D$10,"New (0-2)",IF(M1324&lt;=ASSUMPTIONS!$D$11,"Early (2-5)",IF(M1324&lt;=ASSUMPTIONS!$D$12,"Established (5-10)","Veteran (10+)")))</f>
        <v>Established (5-10)</v>
      </c>
      <c r="R1324" s="4">
        <f t="shared" si="41"/>
        <v>3.3333333333333335</v>
      </c>
    </row>
    <row r="1325" spans="1:18">
      <c r="A1325">
        <f>RAW_DATA!A1325</f>
        <v>28</v>
      </c>
      <c r="B1325" t="str">
        <f>RAW_DATA!B1325</f>
        <v>No</v>
      </c>
      <c r="C1325" t="str">
        <f>RAW_DATA!C1325</f>
        <v>Human Resources</v>
      </c>
      <c r="D1325">
        <f>RAW_DATA!D1325</f>
        <v>1</v>
      </c>
      <c r="E1325">
        <f>RAW_DATA!E1325</f>
        <v>2</v>
      </c>
      <c r="F1325" t="str">
        <f>RAW_DATA!F1325</f>
        <v>Life Sciences</v>
      </c>
      <c r="G1325">
        <f>RAW_DATA!G1325</f>
        <v>3</v>
      </c>
      <c r="H1325">
        <f>RAW_DATA!H1325</f>
        <v>4</v>
      </c>
      <c r="I1325" t="str">
        <f>RAW_DATA!I1325</f>
        <v>Divorced</v>
      </c>
      <c r="J1325">
        <f>RAW_DATA!J1325</f>
        <v>2706</v>
      </c>
      <c r="K1325">
        <f>RAW_DATA!K1325</f>
        <v>1</v>
      </c>
      <c r="L1325">
        <f>RAW_DATA!L1325</f>
        <v>3</v>
      </c>
      <c r="M1325">
        <f>RAW_DATA!M1325</f>
        <v>3</v>
      </c>
      <c r="N1325">
        <f t="shared" si="40"/>
        <v>0</v>
      </c>
      <c r="O1325" t="str" cm="1">
        <f t="array" ref="O1325" xml:space="preserve"> _xlfn.IFS(A1325 &lt;ASSUMPTIONS!$D$2,"25",A1325 &lt;= ASSUMPTIONS!$D$3,"25-34",A1325 &lt;= ASSUMPTIONS!$D$4, "35-44",A1325 &lt;= ASSUMPTIONS!$D$5,"45-54",TRUE,"55+")</f>
        <v>25-34</v>
      </c>
      <c r="P1325" t="str" cm="1">
        <f t="array" ref="P1325">_xlfn.IFS( J1325 &lt;ASSUMPTIONS!$D$7,"LOW",J1325 &lt;= ASSUMPTIONS!$D$8,"MEDIUM",TRUE, "HIGH")</f>
        <v>LOW</v>
      </c>
      <c r="Q1325" t="str">
        <f>IF(M1325&lt;ASSUMPTIONS!$D$10,"New (0-2)",IF(M1325&lt;=ASSUMPTIONS!$D$11,"Early (2-5)",IF(M1325&lt;=ASSUMPTIONS!$D$12,"Established (5-10)","Veteran (10+)")))</f>
        <v>Early (2-5)</v>
      </c>
      <c r="R1325" s="4">
        <f t="shared" si="41"/>
        <v>3.3333333333333335</v>
      </c>
    </row>
    <row r="1326" spans="1:18">
      <c r="A1326">
        <f>RAW_DATA!A1326</f>
        <v>29</v>
      </c>
      <c r="B1326" t="str">
        <f>RAW_DATA!B1326</f>
        <v>No</v>
      </c>
      <c r="C1326" t="str">
        <f>RAW_DATA!C1326</f>
        <v>Research &amp; Development</v>
      </c>
      <c r="D1326">
        <f>RAW_DATA!D1326</f>
        <v>29</v>
      </c>
      <c r="E1326">
        <f>RAW_DATA!E1326</f>
        <v>1</v>
      </c>
      <c r="F1326" t="str">
        <f>RAW_DATA!F1326</f>
        <v>Life Sciences</v>
      </c>
      <c r="G1326">
        <f>RAW_DATA!G1326</f>
        <v>4</v>
      </c>
      <c r="H1326">
        <f>RAW_DATA!H1326</f>
        <v>3</v>
      </c>
      <c r="I1326" t="str">
        <f>RAW_DATA!I1326</f>
        <v>Divorced</v>
      </c>
      <c r="J1326">
        <f>RAW_DATA!J1326</f>
        <v>6384</v>
      </c>
      <c r="K1326">
        <f>RAW_DATA!K1326</f>
        <v>8</v>
      </c>
      <c r="L1326">
        <f>RAW_DATA!L1326</f>
        <v>3</v>
      </c>
      <c r="M1326">
        <f>RAW_DATA!M1326</f>
        <v>7</v>
      </c>
      <c r="N1326">
        <f t="shared" si="40"/>
        <v>0</v>
      </c>
      <c r="O1326" t="str" cm="1">
        <f t="array" ref="O1326" xml:space="preserve"> _xlfn.IFS(A1326 &lt;ASSUMPTIONS!$D$2,"25",A1326 &lt;= ASSUMPTIONS!$D$3,"25-34",A1326 &lt;= ASSUMPTIONS!$D$4, "35-44",A1326 &lt;= ASSUMPTIONS!$D$5,"45-54",TRUE,"55+")</f>
        <v>25-34</v>
      </c>
      <c r="P1326" t="str" cm="1">
        <f t="array" ref="P1326">_xlfn.IFS( J1326 &lt;ASSUMPTIONS!$D$7,"LOW",J1326 &lt;= ASSUMPTIONS!$D$8,"MEDIUM",TRUE, "HIGH")</f>
        <v>MEDIUM</v>
      </c>
      <c r="Q1326" t="str">
        <f>IF(M1326&lt;ASSUMPTIONS!$D$10,"New (0-2)",IF(M1326&lt;=ASSUMPTIONS!$D$11,"Early (2-5)",IF(M1326&lt;=ASSUMPTIONS!$D$12,"Established (5-10)","Veteran (10+)")))</f>
        <v>Established (5-10)</v>
      </c>
      <c r="R1326" s="4">
        <f t="shared" si="41"/>
        <v>3.3333333333333335</v>
      </c>
    </row>
    <row r="1327" spans="1:18">
      <c r="A1327">
        <f>RAW_DATA!A1327</f>
        <v>42</v>
      </c>
      <c r="B1327" t="str">
        <f>RAW_DATA!B1327</f>
        <v>No</v>
      </c>
      <c r="C1327" t="str">
        <f>RAW_DATA!C1327</f>
        <v>Research &amp; Development</v>
      </c>
      <c r="D1327">
        <f>RAW_DATA!D1327</f>
        <v>8</v>
      </c>
      <c r="E1327">
        <f>RAW_DATA!E1327</f>
        <v>3</v>
      </c>
      <c r="F1327" t="str">
        <f>RAW_DATA!F1327</f>
        <v>Life Sciences</v>
      </c>
      <c r="G1327">
        <f>RAW_DATA!G1327</f>
        <v>4</v>
      </c>
      <c r="H1327">
        <f>RAW_DATA!H1327</f>
        <v>3</v>
      </c>
      <c r="I1327" t="str">
        <f>RAW_DATA!I1327</f>
        <v>Single</v>
      </c>
      <c r="J1327">
        <f>RAW_DATA!J1327</f>
        <v>3968</v>
      </c>
      <c r="K1327">
        <f>RAW_DATA!K1327</f>
        <v>4</v>
      </c>
      <c r="L1327">
        <f>RAW_DATA!L1327</f>
        <v>3</v>
      </c>
      <c r="M1327">
        <f>RAW_DATA!M1327</f>
        <v>0</v>
      </c>
      <c r="N1327">
        <f t="shared" si="40"/>
        <v>0</v>
      </c>
      <c r="O1327" t="str" cm="1">
        <f t="array" ref="O1327" xml:space="preserve"> _xlfn.IFS(A1327 &lt;ASSUMPTIONS!$D$2,"25",A1327 &lt;= ASSUMPTIONS!$D$3,"25-34",A1327 &lt;= ASSUMPTIONS!$D$4, "35-44",A1327 &lt;= ASSUMPTIONS!$D$5,"45-54",TRUE,"55+")</f>
        <v>35-44</v>
      </c>
      <c r="P1327" t="str" cm="1">
        <f t="array" ref="P1327">_xlfn.IFS( J1327 &lt;ASSUMPTIONS!$D$7,"LOW",J1327 &lt;= ASSUMPTIONS!$D$8,"MEDIUM",TRUE, "HIGH")</f>
        <v>MEDIUM</v>
      </c>
      <c r="Q1327" t="str">
        <f>IF(M1327&lt;ASSUMPTIONS!$D$10,"New (0-2)",IF(M1327&lt;=ASSUMPTIONS!$D$11,"Early (2-5)",IF(M1327&lt;=ASSUMPTIONS!$D$12,"Established (5-10)","Veteran (10+)")))</f>
        <v>New (0-2)</v>
      </c>
      <c r="R1327" s="4">
        <f t="shared" si="41"/>
        <v>3.3333333333333335</v>
      </c>
    </row>
    <row r="1328" spans="1:18">
      <c r="A1328">
        <f>RAW_DATA!A1328</f>
        <v>32</v>
      </c>
      <c r="B1328" t="str">
        <f>RAW_DATA!B1328</f>
        <v>Yes</v>
      </c>
      <c r="C1328" t="str">
        <f>RAW_DATA!C1328</f>
        <v>Sales</v>
      </c>
      <c r="D1328">
        <f>RAW_DATA!D1328</f>
        <v>2</v>
      </c>
      <c r="E1328">
        <f>RAW_DATA!E1328</f>
        <v>4</v>
      </c>
      <c r="F1328" t="str">
        <f>RAW_DATA!F1328</f>
        <v>Marketing</v>
      </c>
      <c r="G1328">
        <f>RAW_DATA!G1328</f>
        <v>3</v>
      </c>
      <c r="H1328">
        <f>RAW_DATA!H1328</f>
        <v>2</v>
      </c>
      <c r="I1328" t="str">
        <f>RAW_DATA!I1328</f>
        <v>Single</v>
      </c>
      <c r="J1328">
        <f>RAW_DATA!J1328</f>
        <v>9907</v>
      </c>
      <c r="K1328">
        <f>RAW_DATA!K1328</f>
        <v>7</v>
      </c>
      <c r="L1328">
        <f>RAW_DATA!L1328</f>
        <v>2</v>
      </c>
      <c r="M1328">
        <f>RAW_DATA!M1328</f>
        <v>2</v>
      </c>
      <c r="N1328">
        <f t="shared" si="40"/>
        <v>1</v>
      </c>
      <c r="O1328" t="str" cm="1">
        <f t="array" ref="O1328" xml:space="preserve"> _xlfn.IFS(A1328 &lt;ASSUMPTIONS!$D$2,"25",A1328 &lt;= ASSUMPTIONS!$D$3,"25-34",A1328 &lt;= ASSUMPTIONS!$D$4, "35-44",A1328 &lt;= ASSUMPTIONS!$D$5,"45-54",TRUE,"55+")</f>
        <v>25-34</v>
      </c>
      <c r="P1328" t="str" cm="1">
        <f t="array" ref="P1328">_xlfn.IFS( J1328 &lt;ASSUMPTIONS!$D$7,"LOW",J1328 &lt;= ASSUMPTIONS!$D$8,"MEDIUM",TRUE, "HIGH")</f>
        <v>HIGH</v>
      </c>
      <c r="Q1328" t="str">
        <f>IF(M1328&lt;ASSUMPTIONS!$D$10,"New (0-2)",IF(M1328&lt;=ASSUMPTIONS!$D$11,"Early (2-5)",IF(M1328&lt;=ASSUMPTIONS!$D$12,"Established (5-10)","Veteran (10+)")))</f>
        <v>Early (2-5)</v>
      </c>
      <c r="R1328" s="4">
        <f t="shared" si="41"/>
        <v>2.3333333333333335</v>
      </c>
    </row>
    <row r="1329" spans="1:18">
      <c r="A1329">
        <f>RAW_DATA!A1329</f>
        <v>46</v>
      </c>
      <c r="B1329" t="str">
        <f>RAW_DATA!B1329</f>
        <v>No</v>
      </c>
      <c r="C1329" t="str">
        <f>RAW_DATA!C1329</f>
        <v>Sales</v>
      </c>
      <c r="D1329">
        <f>RAW_DATA!D1329</f>
        <v>3</v>
      </c>
      <c r="E1329">
        <f>RAW_DATA!E1329</f>
        <v>3</v>
      </c>
      <c r="F1329" t="str">
        <f>RAW_DATA!F1329</f>
        <v>Technical Degree</v>
      </c>
      <c r="G1329">
        <f>RAW_DATA!G1329</f>
        <v>1</v>
      </c>
      <c r="H1329">
        <f>RAW_DATA!H1329</f>
        <v>1</v>
      </c>
      <c r="I1329" t="str">
        <f>RAW_DATA!I1329</f>
        <v>Divorced</v>
      </c>
      <c r="J1329">
        <f>RAW_DATA!J1329</f>
        <v>13225</v>
      </c>
      <c r="K1329">
        <f>RAW_DATA!K1329</f>
        <v>2</v>
      </c>
      <c r="L1329">
        <f>RAW_DATA!L1329</f>
        <v>3</v>
      </c>
      <c r="M1329">
        <f>RAW_DATA!M1329</f>
        <v>19</v>
      </c>
      <c r="N1329">
        <f t="shared" si="40"/>
        <v>0</v>
      </c>
      <c r="O1329" t="str" cm="1">
        <f t="array" ref="O1329" xml:space="preserve"> _xlfn.IFS(A1329 &lt;ASSUMPTIONS!$D$2,"25",A1329 &lt;= ASSUMPTIONS!$D$3,"25-34",A1329 &lt;= ASSUMPTIONS!$D$4, "35-44",A1329 &lt;= ASSUMPTIONS!$D$5,"45-54",TRUE,"55+")</f>
        <v>45-54</v>
      </c>
      <c r="P1329" t="str" cm="1">
        <f t="array" ref="P1329">_xlfn.IFS( J1329 &lt;ASSUMPTIONS!$D$7,"LOW",J1329 &lt;= ASSUMPTIONS!$D$8,"MEDIUM",TRUE, "HIGH")</f>
        <v>HIGH</v>
      </c>
      <c r="Q1329" t="str">
        <f>IF(M1329&lt;ASSUMPTIONS!$D$10,"New (0-2)",IF(M1329&lt;=ASSUMPTIONS!$D$11,"Early (2-5)",IF(M1329&lt;=ASSUMPTIONS!$D$12,"Established (5-10)","Veteran (10+)")))</f>
        <v>Veteran (10+)</v>
      </c>
      <c r="R1329" s="4">
        <f t="shared" si="41"/>
        <v>1.6666666666666667</v>
      </c>
    </row>
    <row r="1330" spans="1:18">
      <c r="A1330">
        <f>RAW_DATA!A1330</f>
        <v>27</v>
      </c>
      <c r="B1330" t="str">
        <f>RAW_DATA!B1330</f>
        <v>No</v>
      </c>
      <c r="C1330" t="str">
        <f>RAW_DATA!C1330</f>
        <v>Sales</v>
      </c>
      <c r="D1330">
        <f>RAW_DATA!D1330</f>
        <v>23</v>
      </c>
      <c r="E1330">
        <f>RAW_DATA!E1330</f>
        <v>1</v>
      </c>
      <c r="F1330" t="str">
        <f>RAW_DATA!F1330</f>
        <v>Medical</v>
      </c>
      <c r="G1330">
        <f>RAW_DATA!G1330</f>
        <v>2</v>
      </c>
      <c r="H1330">
        <f>RAW_DATA!H1330</f>
        <v>3</v>
      </c>
      <c r="I1330" t="str">
        <f>RAW_DATA!I1330</f>
        <v>Married</v>
      </c>
      <c r="J1330">
        <f>RAW_DATA!J1330</f>
        <v>3540</v>
      </c>
      <c r="K1330">
        <f>RAW_DATA!K1330</f>
        <v>1</v>
      </c>
      <c r="L1330">
        <f>RAW_DATA!L1330</f>
        <v>3</v>
      </c>
      <c r="M1330">
        <f>RAW_DATA!M1330</f>
        <v>9</v>
      </c>
      <c r="N1330">
        <f t="shared" si="40"/>
        <v>0</v>
      </c>
      <c r="O1330" t="str" cm="1">
        <f t="array" ref="O1330" xml:space="preserve"> _xlfn.IFS(A1330 &lt;ASSUMPTIONS!$D$2,"25",A1330 &lt;= ASSUMPTIONS!$D$3,"25-34",A1330 &lt;= ASSUMPTIONS!$D$4, "35-44",A1330 &lt;= ASSUMPTIONS!$D$5,"45-54",TRUE,"55+")</f>
        <v>25-34</v>
      </c>
      <c r="P1330" t="str" cm="1">
        <f t="array" ref="P1330">_xlfn.IFS( J1330 &lt;ASSUMPTIONS!$D$7,"LOW",J1330 &lt;= ASSUMPTIONS!$D$8,"MEDIUM",TRUE, "HIGH")</f>
        <v>MEDIUM</v>
      </c>
      <c r="Q1330" t="str">
        <f>IF(M1330&lt;ASSUMPTIONS!$D$10,"New (0-2)",IF(M1330&lt;=ASSUMPTIONS!$D$11,"Early (2-5)",IF(M1330&lt;=ASSUMPTIONS!$D$12,"Established (5-10)","Veteran (10+)")))</f>
        <v>Established (5-10)</v>
      </c>
      <c r="R1330" s="4">
        <f t="shared" si="41"/>
        <v>2.6666666666666665</v>
      </c>
    </row>
    <row r="1331" spans="1:18">
      <c r="A1331">
        <f>RAW_DATA!A1331</f>
        <v>29</v>
      </c>
      <c r="B1331" t="str">
        <f>RAW_DATA!B1331</f>
        <v>No</v>
      </c>
      <c r="C1331" t="str">
        <f>RAW_DATA!C1331</f>
        <v>Human Resources</v>
      </c>
      <c r="D1331">
        <f>RAW_DATA!D1331</f>
        <v>6</v>
      </c>
      <c r="E1331">
        <f>RAW_DATA!E1331</f>
        <v>1</v>
      </c>
      <c r="F1331" t="str">
        <f>RAW_DATA!F1331</f>
        <v>Medical</v>
      </c>
      <c r="G1331">
        <f>RAW_DATA!G1331</f>
        <v>4</v>
      </c>
      <c r="H1331">
        <f>RAW_DATA!H1331</f>
        <v>2</v>
      </c>
      <c r="I1331" t="str">
        <f>RAW_DATA!I1331</f>
        <v>Married</v>
      </c>
      <c r="J1331">
        <f>RAW_DATA!J1331</f>
        <v>2804</v>
      </c>
      <c r="K1331">
        <f>RAW_DATA!K1331</f>
        <v>1</v>
      </c>
      <c r="L1331">
        <f>RAW_DATA!L1331</f>
        <v>3</v>
      </c>
      <c r="M1331">
        <f>RAW_DATA!M1331</f>
        <v>1</v>
      </c>
      <c r="N1331">
        <f t="shared" si="40"/>
        <v>0</v>
      </c>
      <c r="O1331" t="str" cm="1">
        <f t="array" ref="O1331" xml:space="preserve"> _xlfn.IFS(A1331 &lt;ASSUMPTIONS!$D$2,"25",A1331 &lt;= ASSUMPTIONS!$D$3,"25-34",A1331 &lt;= ASSUMPTIONS!$D$4, "35-44",A1331 &lt;= ASSUMPTIONS!$D$5,"45-54",TRUE,"55+")</f>
        <v>25-34</v>
      </c>
      <c r="P1331" t="str" cm="1">
        <f t="array" ref="P1331">_xlfn.IFS( J1331 &lt;ASSUMPTIONS!$D$7,"LOW",J1331 &lt;= ASSUMPTIONS!$D$8,"MEDIUM",TRUE, "HIGH")</f>
        <v>LOW</v>
      </c>
      <c r="Q1331" t="str">
        <f>IF(M1331&lt;ASSUMPTIONS!$D$10,"New (0-2)",IF(M1331&lt;=ASSUMPTIONS!$D$11,"Early (2-5)",IF(M1331&lt;=ASSUMPTIONS!$D$12,"Established (5-10)","Veteran (10+)")))</f>
        <v>New (0-2)</v>
      </c>
      <c r="R1331" s="4">
        <f t="shared" si="41"/>
        <v>3</v>
      </c>
    </row>
    <row r="1332" spans="1:18">
      <c r="A1332">
        <f>RAW_DATA!A1332</f>
        <v>43</v>
      </c>
      <c r="B1332" t="str">
        <f>RAW_DATA!B1332</f>
        <v>No</v>
      </c>
      <c r="C1332" t="str">
        <f>RAW_DATA!C1332</f>
        <v>Research &amp; Development</v>
      </c>
      <c r="D1332">
        <f>RAW_DATA!D1332</f>
        <v>6</v>
      </c>
      <c r="E1332">
        <f>RAW_DATA!E1332</f>
        <v>3</v>
      </c>
      <c r="F1332" t="str">
        <f>RAW_DATA!F1332</f>
        <v>Medical</v>
      </c>
      <c r="G1332">
        <f>RAW_DATA!G1332</f>
        <v>1</v>
      </c>
      <c r="H1332">
        <f>RAW_DATA!H1332</f>
        <v>3</v>
      </c>
      <c r="I1332" t="str">
        <f>RAW_DATA!I1332</f>
        <v>Married</v>
      </c>
      <c r="J1332">
        <f>RAW_DATA!J1332</f>
        <v>19392</v>
      </c>
      <c r="K1332">
        <f>RAW_DATA!K1332</f>
        <v>7</v>
      </c>
      <c r="L1332">
        <f>RAW_DATA!L1332</f>
        <v>3</v>
      </c>
      <c r="M1332">
        <f>RAW_DATA!M1332</f>
        <v>16</v>
      </c>
      <c r="N1332">
        <f t="shared" si="40"/>
        <v>0</v>
      </c>
      <c r="O1332" t="str" cm="1">
        <f t="array" ref="O1332" xml:space="preserve"> _xlfn.IFS(A1332 &lt;ASSUMPTIONS!$D$2,"25",A1332 &lt;= ASSUMPTIONS!$D$3,"25-34",A1332 &lt;= ASSUMPTIONS!$D$4, "35-44",A1332 &lt;= ASSUMPTIONS!$D$5,"45-54",TRUE,"55+")</f>
        <v>35-44</v>
      </c>
      <c r="P1332" t="str" cm="1">
        <f t="array" ref="P1332">_xlfn.IFS( J1332 &lt;ASSUMPTIONS!$D$7,"LOW",J1332 &lt;= ASSUMPTIONS!$D$8,"MEDIUM",TRUE, "HIGH")</f>
        <v>HIGH</v>
      </c>
      <c r="Q1332" t="str">
        <f>IF(M1332&lt;ASSUMPTIONS!$D$10,"New (0-2)",IF(M1332&lt;=ASSUMPTIONS!$D$11,"Early (2-5)",IF(M1332&lt;=ASSUMPTIONS!$D$12,"Established (5-10)","Veteran (10+)")))</f>
        <v>Veteran (10+)</v>
      </c>
      <c r="R1332" s="4">
        <f t="shared" si="41"/>
        <v>2.3333333333333335</v>
      </c>
    </row>
    <row r="1333" spans="1:18">
      <c r="A1333">
        <f>RAW_DATA!A1333</f>
        <v>48</v>
      </c>
      <c r="B1333" t="str">
        <f>RAW_DATA!B1333</f>
        <v>No</v>
      </c>
      <c r="C1333" t="str">
        <f>RAW_DATA!C1333</f>
        <v>Research &amp; Development</v>
      </c>
      <c r="D1333">
        <f>RAW_DATA!D1333</f>
        <v>10</v>
      </c>
      <c r="E1333">
        <f>RAW_DATA!E1333</f>
        <v>3</v>
      </c>
      <c r="F1333" t="str">
        <f>RAW_DATA!F1333</f>
        <v>Life Sciences</v>
      </c>
      <c r="G1333">
        <f>RAW_DATA!G1333</f>
        <v>4</v>
      </c>
      <c r="H1333">
        <f>RAW_DATA!H1333</f>
        <v>2</v>
      </c>
      <c r="I1333" t="str">
        <f>RAW_DATA!I1333</f>
        <v>Married</v>
      </c>
      <c r="J1333">
        <f>RAW_DATA!J1333</f>
        <v>19665</v>
      </c>
      <c r="K1333">
        <f>RAW_DATA!K1333</f>
        <v>4</v>
      </c>
      <c r="L1333">
        <f>RAW_DATA!L1333</f>
        <v>3</v>
      </c>
      <c r="M1333">
        <f>RAW_DATA!M1333</f>
        <v>22</v>
      </c>
      <c r="N1333">
        <f t="shared" si="40"/>
        <v>0</v>
      </c>
      <c r="O1333" t="str" cm="1">
        <f t="array" ref="O1333" xml:space="preserve"> _xlfn.IFS(A1333 &lt;ASSUMPTIONS!$D$2,"25",A1333 &lt;= ASSUMPTIONS!$D$3,"25-34",A1333 &lt;= ASSUMPTIONS!$D$4, "35-44",A1333 &lt;= ASSUMPTIONS!$D$5,"45-54",TRUE,"55+")</f>
        <v>45-54</v>
      </c>
      <c r="P1333" t="str" cm="1">
        <f t="array" ref="P1333">_xlfn.IFS( J1333 &lt;ASSUMPTIONS!$D$7,"LOW",J1333 &lt;= ASSUMPTIONS!$D$8,"MEDIUM",TRUE, "HIGH")</f>
        <v>HIGH</v>
      </c>
      <c r="Q1333" t="str">
        <f>IF(M1333&lt;ASSUMPTIONS!$D$10,"New (0-2)",IF(M1333&lt;=ASSUMPTIONS!$D$11,"Early (2-5)",IF(M1333&lt;=ASSUMPTIONS!$D$12,"Established (5-10)","Veteran (10+)")))</f>
        <v>Veteran (10+)</v>
      </c>
      <c r="R1333" s="4">
        <f t="shared" si="41"/>
        <v>3</v>
      </c>
    </row>
    <row r="1334" spans="1:18">
      <c r="A1334">
        <f>RAW_DATA!A1334</f>
        <v>29</v>
      </c>
      <c r="B1334" t="str">
        <f>RAW_DATA!B1334</f>
        <v>Yes</v>
      </c>
      <c r="C1334" t="str">
        <f>RAW_DATA!C1334</f>
        <v>Research &amp; Development</v>
      </c>
      <c r="D1334">
        <f>RAW_DATA!D1334</f>
        <v>24</v>
      </c>
      <c r="E1334">
        <f>RAW_DATA!E1334</f>
        <v>2</v>
      </c>
      <c r="F1334" t="str">
        <f>RAW_DATA!F1334</f>
        <v>Life Sciences</v>
      </c>
      <c r="G1334">
        <f>RAW_DATA!G1334</f>
        <v>4</v>
      </c>
      <c r="H1334">
        <f>RAW_DATA!H1334</f>
        <v>4</v>
      </c>
      <c r="I1334" t="str">
        <f>RAW_DATA!I1334</f>
        <v>Single</v>
      </c>
      <c r="J1334">
        <f>RAW_DATA!J1334</f>
        <v>2439</v>
      </c>
      <c r="K1334">
        <f>RAW_DATA!K1334</f>
        <v>1</v>
      </c>
      <c r="L1334">
        <f>RAW_DATA!L1334</f>
        <v>2</v>
      </c>
      <c r="M1334">
        <f>RAW_DATA!M1334</f>
        <v>1</v>
      </c>
      <c r="N1334">
        <f t="shared" si="40"/>
        <v>1</v>
      </c>
      <c r="O1334" t="str" cm="1">
        <f t="array" ref="O1334" xml:space="preserve"> _xlfn.IFS(A1334 &lt;ASSUMPTIONS!$D$2,"25",A1334 &lt;= ASSUMPTIONS!$D$3,"25-34",A1334 &lt;= ASSUMPTIONS!$D$4, "35-44",A1334 &lt;= ASSUMPTIONS!$D$5,"45-54",TRUE,"55+")</f>
        <v>25-34</v>
      </c>
      <c r="P1334" t="str" cm="1">
        <f t="array" ref="P1334">_xlfn.IFS( J1334 &lt;ASSUMPTIONS!$D$7,"LOW",J1334 &lt;= ASSUMPTIONS!$D$8,"MEDIUM",TRUE, "HIGH")</f>
        <v>LOW</v>
      </c>
      <c r="Q1334" t="str">
        <f>IF(M1334&lt;ASSUMPTIONS!$D$10,"New (0-2)",IF(M1334&lt;=ASSUMPTIONS!$D$11,"Early (2-5)",IF(M1334&lt;=ASSUMPTIONS!$D$12,"Established (5-10)","Veteran (10+)")))</f>
        <v>New (0-2)</v>
      </c>
      <c r="R1334" s="4">
        <f t="shared" si="41"/>
        <v>3.3333333333333335</v>
      </c>
    </row>
    <row r="1335" spans="1:18">
      <c r="A1335">
        <f>RAW_DATA!A1335</f>
        <v>46</v>
      </c>
      <c r="B1335" t="str">
        <f>RAW_DATA!B1335</f>
        <v>Yes</v>
      </c>
      <c r="C1335" t="str">
        <f>RAW_DATA!C1335</f>
        <v>Sales</v>
      </c>
      <c r="D1335">
        <f>RAW_DATA!D1335</f>
        <v>10</v>
      </c>
      <c r="E1335">
        <f>RAW_DATA!E1335</f>
        <v>3</v>
      </c>
      <c r="F1335" t="str">
        <f>RAW_DATA!F1335</f>
        <v>Life Sciences</v>
      </c>
      <c r="G1335">
        <f>RAW_DATA!G1335</f>
        <v>3</v>
      </c>
      <c r="H1335">
        <f>RAW_DATA!H1335</f>
        <v>2</v>
      </c>
      <c r="I1335" t="str">
        <f>RAW_DATA!I1335</f>
        <v>Married</v>
      </c>
      <c r="J1335">
        <f>RAW_DATA!J1335</f>
        <v>7314</v>
      </c>
      <c r="K1335">
        <f>RAW_DATA!K1335</f>
        <v>5</v>
      </c>
      <c r="L1335">
        <f>RAW_DATA!L1335</f>
        <v>3</v>
      </c>
      <c r="M1335">
        <f>RAW_DATA!M1335</f>
        <v>8</v>
      </c>
      <c r="N1335">
        <f t="shared" si="40"/>
        <v>1</v>
      </c>
      <c r="O1335" t="str" cm="1">
        <f t="array" ref="O1335" xml:space="preserve"> _xlfn.IFS(A1335 &lt;ASSUMPTIONS!$D$2,"25",A1335 &lt;= ASSUMPTIONS!$D$3,"25-34",A1335 &lt;= ASSUMPTIONS!$D$4, "35-44",A1335 &lt;= ASSUMPTIONS!$D$5,"45-54",TRUE,"55+")</f>
        <v>45-54</v>
      </c>
      <c r="P1335" t="str" cm="1">
        <f t="array" ref="P1335">_xlfn.IFS( J1335 &lt;ASSUMPTIONS!$D$7,"LOW",J1335 &lt;= ASSUMPTIONS!$D$8,"MEDIUM",TRUE, "HIGH")</f>
        <v>HIGH</v>
      </c>
      <c r="Q1335" t="str">
        <f>IF(M1335&lt;ASSUMPTIONS!$D$10,"New (0-2)",IF(M1335&lt;=ASSUMPTIONS!$D$11,"Early (2-5)",IF(M1335&lt;=ASSUMPTIONS!$D$12,"Established (5-10)","Veteran (10+)")))</f>
        <v>Established (5-10)</v>
      </c>
      <c r="R1335" s="4">
        <f t="shared" si="41"/>
        <v>2.6666666666666665</v>
      </c>
    </row>
    <row r="1336" spans="1:18">
      <c r="A1336">
        <f>RAW_DATA!A1336</f>
        <v>27</v>
      </c>
      <c r="B1336" t="str">
        <f>RAW_DATA!B1336</f>
        <v>No</v>
      </c>
      <c r="C1336" t="str">
        <f>RAW_DATA!C1336</f>
        <v>Research &amp; Development</v>
      </c>
      <c r="D1336">
        <f>RAW_DATA!D1336</f>
        <v>15</v>
      </c>
      <c r="E1336">
        <f>RAW_DATA!E1336</f>
        <v>3</v>
      </c>
      <c r="F1336" t="str">
        <f>RAW_DATA!F1336</f>
        <v>Life Sciences</v>
      </c>
      <c r="G1336">
        <f>RAW_DATA!G1336</f>
        <v>4</v>
      </c>
      <c r="H1336">
        <f>RAW_DATA!H1336</f>
        <v>1</v>
      </c>
      <c r="I1336" t="str">
        <f>RAW_DATA!I1336</f>
        <v>Married</v>
      </c>
      <c r="J1336">
        <f>RAW_DATA!J1336</f>
        <v>4774</v>
      </c>
      <c r="K1336">
        <f>RAW_DATA!K1336</f>
        <v>0</v>
      </c>
      <c r="L1336">
        <f>RAW_DATA!L1336</f>
        <v>2</v>
      </c>
      <c r="M1336">
        <f>RAW_DATA!M1336</f>
        <v>7</v>
      </c>
      <c r="N1336">
        <f t="shared" si="40"/>
        <v>0</v>
      </c>
      <c r="O1336" t="str" cm="1">
        <f t="array" ref="O1336" xml:space="preserve"> _xlfn.IFS(A1336 &lt;ASSUMPTIONS!$D$2,"25",A1336 &lt;= ASSUMPTIONS!$D$3,"25-34",A1336 &lt;= ASSUMPTIONS!$D$4, "35-44",A1336 &lt;= ASSUMPTIONS!$D$5,"45-54",TRUE,"55+")</f>
        <v>25-34</v>
      </c>
      <c r="P1336" t="str" cm="1">
        <f t="array" ref="P1336">_xlfn.IFS( J1336 &lt;ASSUMPTIONS!$D$7,"LOW",J1336 &lt;= ASSUMPTIONS!$D$8,"MEDIUM",TRUE, "HIGH")</f>
        <v>MEDIUM</v>
      </c>
      <c r="Q1336" t="str">
        <f>IF(M1336&lt;ASSUMPTIONS!$D$10,"New (0-2)",IF(M1336&lt;=ASSUMPTIONS!$D$11,"Early (2-5)",IF(M1336&lt;=ASSUMPTIONS!$D$12,"Established (5-10)","Veteran (10+)")))</f>
        <v>Established (5-10)</v>
      </c>
      <c r="R1336" s="4">
        <f t="shared" si="41"/>
        <v>2.3333333333333335</v>
      </c>
    </row>
    <row r="1337" spans="1:18">
      <c r="A1337">
        <f>RAW_DATA!A1337</f>
        <v>39</v>
      </c>
      <c r="B1337" t="str">
        <f>RAW_DATA!B1337</f>
        <v>No</v>
      </c>
      <c r="C1337" t="str">
        <f>RAW_DATA!C1337</f>
        <v>Research &amp; Development</v>
      </c>
      <c r="D1337">
        <f>RAW_DATA!D1337</f>
        <v>19</v>
      </c>
      <c r="E1337">
        <f>RAW_DATA!E1337</f>
        <v>4</v>
      </c>
      <c r="F1337" t="str">
        <f>RAW_DATA!F1337</f>
        <v>Other</v>
      </c>
      <c r="G1337">
        <f>RAW_DATA!G1337</f>
        <v>4</v>
      </c>
      <c r="H1337">
        <f>RAW_DATA!H1337</f>
        <v>4</v>
      </c>
      <c r="I1337" t="str">
        <f>RAW_DATA!I1337</f>
        <v>Divorced</v>
      </c>
      <c r="J1337">
        <f>RAW_DATA!J1337</f>
        <v>3902</v>
      </c>
      <c r="K1337">
        <f>RAW_DATA!K1337</f>
        <v>8</v>
      </c>
      <c r="L1337">
        <f>RAW_DATA!L1337</f>
        <v>3</v>
      </c>
      <c r="M1337">
        <f>RAW_DATA!M1337</f>
        <v>2</v>
      </c>
      <c r="N1337">
        <f t="shared" si="40"/>
        <v>0</v>
      </c>
      <c r="O1337" t="str" cm="1">
        <f t="array" ref="O1337" xml:space="preserve"> _xlfn.IFS(A1337 &lt;ASSUMPTIONS!$D$2,"25",A1337 &lt;= ASSUMPTIONS!$D$3,"25-34",A1337 &lt;= ASSUMPTIONS!$D$4, "35-44",A1337 &lt;= ASSUMPTIONS!$D$5,"45-54",TRUE,"55+")</f>
        <v>35-44</v>
      </c>
      <c r="P1337" t="str" cm="1">
        <f t="array" ref="P1337">_xlfn.IFS( J1337 &lt;ASSUMPTIONS!$D$7,"LOW",J1337 &lt;= ASSUMPTIONS!$D$8,"MEDIUM",TRUE, "HIGH")</f>
        <v>MEDIUM</v>
      </c>
      <c r="Q1337" t="str">
        <f>IF(M1337&lt;ASSUMPTIONS!$D$10,"New (0-2)",IF(M1337&lt;=ASSUMPTIONS!$D$11,"Early (2-5)",IF(M1337&lt;=ASSUMPTIONS!$D$12,"Established (5-10)","Veteran (10+)")))</f>
        <v>Early (2-5)</v>
      </c>
      <c r="R1337" s="4">
        <f t="shared" si="41"/>
        <v>3.6666666666666665</v>
      </c>
    </row>
    <row r="1338" spans="1:18">
      <c r="A1338">
        <f>RAW_DATA!A1338</f>
        <v>55</v>
      </c>
      <c r="B1338" t="str">
        <f>RAW_DATA!B1338</f>
        <v>No</v>
      </c>
      <c r="C1338" t="str">
        <f>RAW_DATA!C1338</f>
        <v>Research &amp; Development</v>
      </c>
      <c r="D1338">
        <f>RAW_DATA!D1338</f>
        <v>2</v>
      </c>
      <c r="E1338">
        <f>RAW_DATA!E1338</f>
        <v>4</v>
      </c>
      <c r="F1338" t="str">
        <f>RAW_DATA!F1338</f>
        <v>Technical Degree</v>
      </c>
      <c r="G1338">
        <f>RAW_DATA!G1338</f>
        <v>2</v>
      </c>
      <c r="H1338">
        <f>RAW_DATA!H1338</f>
        <v>4</v>
      </c>
      <c r="I1338" t="str">
        <f>RAW_DATA!I1338</f>
        <v>Married</v>
      </c>
      <c r="J1338">
        <f>RAW_DATA!J1338</f>
        <v>2662</v>
      </c>
      <c r="K1338">
        <f>RAW_DATA!K1338</f>
        <v>8</v>
      </c>
      <c r="L1338">
        <f>RAW_DATA!L1338</f>
        <v>4</v>
      </c>
      <c r="M1338">
        <f>RAW_DATA!M1338</f>
        <v>5</v>
      </c>
      <c r="N1338">
        <f t="shared" si="40"/>
        <v>0</v>
      </c>
      <c r="O1338" t="str" cm="1">
        <f t="array" ref="O1338" xml:space="preserve"> _xlfn.IFS(A1338 &lt;ASSUMPTIONS!$D$2,"25",A1338 &lt;= ASSUMPTIONS!$D$3,"25-34",A1338 &lt;= ASSUMPTIONS!$D$4, "35-44",A1338 &lt;= ASSUMPTIONS!$D$5,"45-54",TRUE,"55+")</f>
        <v>55+</v>
      </c>
      <c r="P1338" t="str" cm="1">
        <f t="array" ref="P1338">_xlfn.IFS( J1338 &lt;ASSUMPTIONS!$D$7,"LOW",J1338 &lt;= ASSUMPTIONS!$D$8,"MEDIUM",TRUE, "HIGH")</f>
        <v>LOW</v>
      </c>
      <c r="Q1338" t="str">
        <f>IF(M1338&lt;ASSUMPTIONS!$D$10,"New (0-2)",IF(M1338&lt;=ASSUMPTIONS!$D$11,"Early (2-5)",IF(M1338&lt;=ASSUMPTIONS!$D$12,"Established (5-10)","Veteran (10+)")))</f>
        <v>Early (2-5)</v>
      </c>
      <c r="R1338" s="4">
        <f t="shared" si="41"/>
        <v>3.3333333333333335</v>
      </c>
    </row>
    <row r="1339" spans="1:18">
      <c r="A1339">
        <f>RAW_DATA!A1339</f>
        <v>28</v>
      </c>
      <c r="B1339" t="str">
        <f>RAW_DATA!B1339</f>
        <v>No</v>
      </c>
      <c r="C1339" t="str">
        <f>RAW_DATA!C1339</f>
        <v>Sales</v>
      </c>
      <c r="D1339">
        <f>RAW_DATA!D1339</f>
        <v>3</v>
      </c>
      <c r="E1339">
        <f>RAW_DATA!E1339</f>
        <v>3</v>
      </c>
      <c r="F1339" t="str">
        <f>RAW_DATA!F1339</f>
        <v>Medical</v>
      </c>
      <c r="G1339">
        <f>RAW_DATA!G1339</f>
        <v>2</v>
      </c>
      <c r="H1339">
        <f>RAW_DATA!H1339</f>
        <v>2</v>
      </c>
      <c r="I1339" t="str">
        <f>RAW_DATA!I1339</f>
        <v>Married</v>
      </c>
      <c r="J1339">
        <f>RAW_DATA!J1339</f>
        <v>2856</v>
      </c>
      <c r="K1339">
        <f>RAW_DATA!K1339</f>
        <v>1</v>
      </c>
      <c r="L1339">
        <f>RAW_DATA!L1339</f>
        <v>3</v>
      </c>
      <c r="M1339">
        <f>RAW_DATA!M1339</f>
        <v>1</v>
      </c>
      <c r="N1339">
        <f t="shared" si="40"/>
        <v>0</v>
      </c>
      <c r="O1339" t="str" cm="1">
        <f t="array" ref="O1339" xml:space="preserve"> _xlfn.IFS(A1339 &lt;ASSUMPTIONS!$D$2,"25",A1339 &lt;= ASSUMPTIONS!$D$3,"25-34",A1339 &lt;= ASSUMPTIONS!$D$4, "35-44",A1339 &lt;= ASSUMPTIONS!$D$5,"45-54",TRUE,"55+")</f>
        <v>25-34</v>
      </c>
      <c r="P1339" t="str" cm="1">
        <f t="array" ref="P1339">_xlfn.IFS( J1339 &lt;ASSUMPTIONS!$D$7,"LOW",J1339 &lt;= ASSUMPTIONS!$D$8,"MEDIUM",TRUE, "HIGH")</f>
        <v>LOW</v>
      </c>
      <c r="Q1339" t="str">
        <f>IF(M1339&lt;ASSUMPTIONS!$D$10,"New (0-2)",IF(M1339&lt;=ASSUMPTIONS!$D$11,"Early (2-5)",IF(M1339&lt;=ASSUMPTIONS!$D$12,"Established (5-10)","Veteran (10+)")))</f>
        <v>New (0-2)</v>
      </c>
      <c r="R1339" s="4">
        <f t="shared" si="41"/>
        <v>2.3333333333333335</v>
      </c>
    </row>
    <row r="1340" spans="1:18">
      <c r="A1340">
        <f>RAW_DATA!A1340</f>
        <v>30</v>
      </c>
      <c r="B1340" t="str">
        <f>RAW_DATA!B1340</f>
        <v>Yes</v>
      </c>
      <c r="C1340" t="str">
        <f>RAW_DATA!C1340</f>
        <v>Sales</v>
      </c>
      <c r="D1340">
        <f>RAW_DATA!D1340</f>
        <v>9</v>
      </c>
      <c r="E1340">
        <f>RAW_DATA!E1340</f>
        <v>3</v>
      </c>
      <c r="F1340" t="str">
        <f>RAW_DATA!F1340</f>
        <v>Medical</v>
      </c>
      <c r="G1340">
        <f>RAW_DATA!G1340</f>
        <v>2</v>
      </c>
      <c r="H1340">
        <f>RAW_DATA!H1340</f>
        <v>4</v>
      </c>
      <c r="I1340" t="str">
        <f>RAW_DATA!I1340</f>
        <v>Single</v>
      </c>
      <c r="J1340">
        <f>RAW_DATA!J1340</f>
        <v>1081</v>
      </c>
      <c r="K1340">
        <f>RAW_DATA!K1340</f>
        <v>1</v>
      </c>
      <c r="L1340">
        <f>RAW_DATA!L1340</f>
        <v>2</v>
      </c>
      <c r="M1340">
        <f>RAW_DATA!M1340</f>
        <v>1</v>
      </c>
      <c r="N1340">
        <f t="shared" si="40"/>
        <v>1</v>
      </c>
      <c r="O1340" t="str" cm="1">
        <f t="array" ref="O1340" xml:space="preserve"> _xlfn.IFS(A1340 &lt;ASSUMPTIONS!$D$2,"25",A1340 &lt;= ASSUMPTIONS!$D$3,"25-34",A1340 &lt;= ASSUMPTIONS!$D$4, "35-44",A1340 &lt;= ASSUMPTIONS!$D$5,"45-54",TRUE,"55+")</f>
        <v>25-34</v>
      </c>
      <c r="P1340" t="str" cm="1">
        <f t="array" ref="P1340">_xlfn.IFS( J1340 &lt;ASSUMPTIONS!$D$7,"LOW",J1340 &lt;= ASSUMPTIONS!$D$8,"MEDIUM",TRUE, "HIGH")</f>
        <v>LOW</v>
      </c>
      <c r="Q1340" t="str">
        <f>IF(M1340&lt;ASSUMPTIONS!$D$10,"New (0-2)",IF(M1340&lt;=ASSUMPTIONS!$D$11,"Early (2-5)",IF(M1340&lt;=ASSUMPTIONS!$D$12,"Established (5-10)","Veteran (10+)")))</f>
        <v>New (0-2)</v>
      </c>
      <c r="R1340" s="4">
        <f t="shared" si="41"/>
        <v>2.6666666666666665</v>
      </c>
    </row>
    <row r="1341" spans="1:18">
      <c r="A1341">
        <f>RAW_DATA!A1341</f>
        <v>22</v>
      </c>
      <c r="B1341" t="str">
        <f>RAW_DATA!B1341</f>
        <v>Yes</v>
      </c>
      <c r="C1341" t="str">
        <f>RAW_DATA!C1341</f>
        <v>Research &amp; Development</v>
      </c>
      <c r="D1341">
        <f>RAW_DATA!D1341</f>
        <v>7</v>
      </c>
      <c r="E1341">
        <f>RAW_DATA!E1341</f>
        <v>1</v>
      </c>
      <c r="F1341" t="str">
        <f>RAW_DATA!F1341</f>
        <v>Life Sciences</v>
      </c>
      <c r="G1341">
        <f>RAW_DATA!G1341</f>
        <v>4</v>
      </c>
      <c r="H1341">
        <f>RAW_DATA!H1341</f>
        <v>2</v>
      </c>
      <c r="I1341" t="str">
        <f>RAW_DATA!I1341</f>
        <v>Single</v>
      </c>
      <c r="J1341">
        <f>RAW_DATA!J1341</f>
        <v>2472</v>
      </c>
      <c r="K1341">
        <f>RAW_DATA!K1341</f>
        <v>1</v>
      </c>
      <c r="L1341">
        <f>RAW_DATA!L1341</f>
        <v>3</v>
      </c>
      <c r="M1341">
        <f>RAW_DATA!M1341</f>
        <v>1</v>
      </c>
      <c r="N1341">
        <f t="shared" si="40"/>
        <v>1</v>
      </c>
      <c r="O1341" t="str" cm="1">
        <f t="array" ref="O1341" xml:space="preserve"> _xlfn.IFS(A1341 &lt;ASSUMPTIONS!$D$2,"25",A1341 &lt;= ASSUMPTIONS!$D$3,"25-34",A1341 &lt;= ASSUMPTIONS!$D$4, "35-44",A1341 &lt;= ASSUMPTIONS!$D$5,"45-54",TRUE,"55+")</f>
        <v>25</v>
      </c>
      <c r="P1341" t="str" cm="1">
        <f t="array" ref="P1341">_xlfn.IFS( J1341 &lt;ASSUMPTIONS!$D$7,"LOW",J1341 &lt;= ASSUMPTIONS!$D$8,"MEDIUM",TRUE, "HIGH")</f>
        <v>LOW</v>
      </c>
      <c r="Q1341" t="str">
        <f>IF(M1341&lt;ASSUMPTIONS!$D$10,"New (0-2)",IF(M1341&lt;=ASSUMPTIONS!$D$11,"Early (2-5)",IF(M1341&lt;=ASSUMPTIONS!$D$12,"Established (5-10)","Veteran (10+)")))</f>
        <v>New (0-2)</v>
      </c>
      <c r="R1341" s="4">
        <f t="shared" si="41"/>
        <v>3</v>
      </c>
    </row>
    <row r="1342" spans="1:18">
      <c r="A1342">
        <f>RAW_DATA!A1342</f>
        <v>36</v>
      </c>
      <c r="B1342" t="str">
        <f>RAW_DATA!B1342</f>
        <v>No</v>
      </c>
      <c r="C1342" t="str">
        <f>RAW_DATA!C1342</f>
        <v>Sales</v>
      </c>
      <c r="D1342">
        <f>RAW_DATA!D1342</f>
        <v>10</v>
      </c>
      <c r="E1342">
        <f>RAW_DATA!E1342</f>
        <v>4</v>
      </c>
      <c r="F1342" t="str">
        <f>RAW_DATA!F1342</f>
        <v>Technical Degree</v>
      </c>
      <c r="G1342">
        <f>RAW_DATA!G1342</f>
        <v>2</v>
      </c>
      <c r="H1342">
        <f>RAW_DATA!H1342</f>
        <v>3</v>
      </c>
      <c r="I1342" t="str">
        <f>RAW_DATA!I1342</f>
        <v>Married</v>
      </c>
      <c r="J1342">
        <f>RAW_DATA!J1342</f>
        <v>5673</v>
      </c>
      <c r="K1342">
        <f>RAW_DATA!K1342</f>
        <v>1</v>
      </c>
      <c r="L1342">
        <f>RAW_DATA!L1342</f>
        <v>3</v>
      </c>
      <c r="M1342">
        <f>RAW_DATA!M1342</f>
        <v>10</v>
      </c>
      <c r="N1342">
        <f t="shared" si="40"/>
        <v>0</v>
      </c>
      <c r="O1342" t="str" cm="1">
        <f t="array" ref="O1342" xml:space="preserve"> _xlfn.IFS(A1342 &lt;ASSUMPTIONS!$D$2,"25",A1342 &lt;= ASSUMPTIONS!$D$3,"25-34",A1342 &lt;= ASSUMPTIONS!$D$4, "35-44",A1342 &lt;= ASSUMPTIONS!$D$5,"45-54",TRUE,"55+")</f>
        <v>35-44</v>
      </c>
      <c r="P1342" t="str" cm="1">
        <f t="array" ref="P1342">_xlfn.IFS( J1342 &lt;ASSUMPTIONS!$D$7,"LOW",J1342 &lt;= ASSUMPTIONS!$D$8,"MEDIUM",TRUE, "HIGH")</f>
        <v>MEDIUM</v>
      </c>
      <c r="Q1342" t="str">
        <f>IF(M1342&lt;ASSUMPTIONS!$D$10,"New (0-2)",IF(M1342&lt;=ASSUMPTIONS!$D$11,"Early (2-5)",IF(M1342&lt;=ASSUMPTIONS!$D$12,"Established (5-10)","Veteran (10+)")))</f>
        <v>Established (5-10)</v>
      </c>
      <c r="R1342" s="4">
        <f t="shared" si="41"/>
        <v>2.6666666666666665</v>
      </c>
    </row>
    <row r="1343" spans="1:18">
      <c r="A1343">
        <f>RAW_DATA!A1343</f>
        <v>31</v>
      </c>
      <c r="B1343" t="str">
        <f>RAW_DATA!B1343</f>
        <v>No</v>
      </c>
      <c r="C1343" t="str">
        <f>RAW_DATA!C1343</f>
        <v>Research &amp; Development</v>
      </c>
      <c r="D1343">
        <f>RAW_DATA!D1343</f>
        <v>20</v>
      </c>
      <c r="E1343">
        <f>RAW_DATA!E1343</f>
        <v>3</v>
      </c>
      <c r="F1343" t="str">
        <f>RAW_DATA!F1343</f>
        <v>Life Sciences</v>
      </c>
      <c r="G1343">
        <f>RAW_DATA!G1343</f>
        <v>2</v>
      </c>
      <c r="H1343">
        <f>RAW_DATA!H1343</f>
        <v>3</v>
      </c>
      <c r="I1343" t="str">
        <f>RAW_DATA!I1343</f>
        <v>Divorced</v>
      </c>
      <c r="J1343">
        <f>RAW_DATA!J1343</f>
        <v>4197</v>
      </c>
      <c r="K1343">
        <f>RAW_DATA!K1343</f>
        <v>1</v>
      </c>
      <c r="L1343">
        <f>RAW_DATA!L1343</f>
        <v>3</v>
      </c>
      <c r="M1343">
        <f>RAW_DATA!M1343</f>
        <v>10</v>
      </c>
      <c r="N1343">
        <f t="shared" si="40"/>
        <v>0</v>
      </c>
      <c r="O1343" t="str" cm="1">
        <f t="array" ref="O1343" xml:space="preserve"> _xlfn.IFS(A1343 &lt;ASSUMPTIONS!$D$2,"25",A1343 &lt;= ASSUMPTIONS!$D$3,"25-34",A1343 &lt;= ASSUMPTIONS!$D$4, "35-44",A1343 &lt;= ASSUMPTIONS!$D$5,"45-54",TRUE,"55+")</f>
        <v>25-34</v>
      </c>
      <c r="P1343" t="str" cm="1">
        <f t="array" ref="P1343">_xlfn.IFS( J1343 &lt;ASSUMPTIONS!$D$7,"LOW",J1343 &lt;= ASSUMPTIONS!$D$8,"MEDIUM",TRUE, "HIGH")</f>
        <v>MEDIUM</v>
      </c>
      <c r="Q1343" t="str">
        <f>IF(M1343&lt;ASSUMPTIONS!$D$10,"New (0-2)",IF(M1343&lt;=ASSUMPTIONS!$D$11,"Early (2-5)",IF(M1343&lt;=ASSUMPTIONS!$D$12,"Established (5-10)","Veteran (10+)")))</f>
        <v>Established (5-10)</v>
      </c>
      <c r="R1343" s="4">
        <f t="shared" si="41"/>
        <v>2.6666666666666665</v>
      </c>
    </row>
    <row r="1344" spans="1:18">
      <c r="A1344">
        <f>RAW_DATA!A1344</f>
        <v>34</v>
      </c>
      <c r="B1344" t="str">
        <f>RAW_DATA!B1344</f>
        <v>No</v>
      </c>
      <c r="C1344" t="str">
        <f>RAW_DATA!C1344</f>
        <v>Sales</v>
      </c>
      <c r="D1344">
        <f>RAW_DATA!D1344</f>
        <v>4</v>
      </c>
      <c r="E1344">
        <f>RAW_DATA!E1344</f>
        <v>3</v>
      </c>
      <c r="F1344" t="str">
        <f>RAW_DATA!F1344</f>
        <v>Life Sciences</v>
      </c>
      <c r="G1344">
        <f>RAW_DATA!G1344</f>
        <v>3</v>
      </c>
      <c r="H1344">
        <f>RAW_DATA!H1344</f>
        <v>4</v>
      </c>
      <c r="I1344" t="str">
        <f>RAW_DATA!I1344</f>
        <v>Married</v>
      </c>
      <c r="J1344">
        <f>RAW_DATA!J1344</f>
        <v>9713</v>
      </c>
      <c r="K1344">
        <f>RAW_DATA!K1344</f>
        <v>2</v>
      </c>
      <c r="L1344">
        <f>RAW_DATA!L1344</f>
        <v>3</v>
      </c>
      <c r="M1344">
        <f>RAW_DATA!M1344</f>
        <v>5</v>
      </c>
      <c r="N1344">
        <f t="shared" si="40"/>
        <v>0</v>
      </c>
      <c r="O1344" t="str" cm="1">
        <f t="array" ref="O1344" xml:space="preserve"> _xlfn.IFS(A1344 &lt;ASSUMPTIONS!$D$2,"25",A1344 &lt;= ASSUMPTIONS!$D$3,"25-34",A1344 &lt;= ASSUMPTIONS!$D$4, "35-44",A1344 &lt;= ASSUMPTIONS!$D$5,"45-54",TRUE,"55+")</f>
        <v>25-34</v>
      </c>
      <c r="P1344" t="str" cm="1">
        <f t="array" ref="P1344">_xlfn.IFS( J1344 &lt;ASSUMPTIONS!$D$7,"LOW",J1344 &lt;= ASSUMPTIONS!$D$8,"MEDIUM",TRUE, "HIGH")</f>
        <v>HIGH</v>
      </c>
      <c r="Q1344" t="str">
        <f>IF(M1344&lt;ASSUMPTIONS!$D$10,"New (0-2)",IF(M1344&lt;=ASSUMPTIONS!$D$11,"Early (2-5)",IF(M1344&lt;=ASSUMPTIONS!$D$12,"Established (5-10)","Veteran (10+)")))</f>
        <v>Early (2-5)</v>
      </c>
      <c r="R1344" s="4">
        <f t="shared" si="41"/>
        <v>3.3333333333333335</v>
      </c>
    </row>
    <row r="1345" spans="1:18">
      <c r="A1345">
        <f>RAW_DATA!A1345</f>
        <v>29</v>
      </c>
      <c r="B1345" t="str">
        <f>RAW_DATA!B1345</f>
        <v>No</v>
      </c>
      <c r="C1345" t="str">
        <f>RAW_DATA!C1345</f>
        <v>Research &amp; Development</v>
      </c>
      <c r="D1345">
        <f>RAW_DATA!D1345</f>
        <v>7</v>
      </c>
      <c r="E1345">
        <f>RAW_DATA!E1345</f>
        <v>3</v>
      </c>
      <c r="F1345" t="str">
        <f>RAW_DATA!F1345</f>
        <v>Life Sciences</v>
      </c>
      <c r="G1345">
        <f>RAW_DATA!G1345</f>
        <v>4</v>
      </c>
      <c r="H1345">
        <f>RAW_DATA!H1345</f>
        <v>1</v>
      </c>
      <c r="I1345" t="str">
        <f>RAW_DATA!I1345</f>
        <v>Single</v>
      </c>
      <c r="J1345">
        <f>RAW_DATA!J1345</f>
        <v>2062</v>
      </c>
      <c r="K1345">
        <f>RAW_DATA!K1345</f>
        <v>3</v>
      </c>
      <c r="L1345">
        <f>RAW_DATA!L1345</f>
        <v>3</v>
      </c>
      <c r="M1345">
        <f>RAW_DATA!M1345</f>
        <v>3</v>
      </c>
      <c r="N1345">
        <f t="shared" si="40"/>
        <v>0</v>
      </c>
      <c r="O1345" t="str" cm="1">
        <f t="array" ref="O1345" xml:space="preserve"> _xlfn.IFS(A1345 &lt;ASSUMPTIONS!$D$2,"25",A1345 &lt;= ASSUMPTIONS!$D$3,"25-34",A1345 &lt;= ASSUMPTIONS!$D$4, "35-44",A1345 &lt;= ASSUMPTIONS!$D$5,"45-54",TRUE,"55+")</f>
        <v>25-34</v>
      </c>
      <c r="P1345" t="str" cm="1">
        <f t="array" ref="P1345">_xlfn.IFS( J1345 &lt;ASSUMPTIONS!$D$7,"LOW",J1345 &lt;= ASSUMPTIONS!$D$8,"MEDIUM",TRUE, "HIGH")</f>
        <v>LOW</v>
      </c>
      <c r="Q1345" t="str">
        <f>IF(M1345&lt;ASSUMPTIONS!$D$10,"New (0-2)",IF(M1345&lt;=ASSUMPTIONS!$D$11,"Early (2-5)",IF(M1345&lt;=ASSUMPTIONS!$D$12,"Established (5-10)","Veteran (10+)")))</f>
        <v>Early (2-5)</v>
      </c>
      <c r="R1345" s="4">
        <f t="shared" si="41"/>
        <v>2.6666666666666665</v>
      </c>
    </row>
    <row r="1346" spans="1:18">
      <c r="A1346">
        <f>RAW_DATA!A1346</f>
        <v>37</v>
      </c>
      <c r="B1346" t="str">
        <f>RAW_DATA!B1346</f>
        <v>No</v>
      </c>
      <c r="C1346" t="str">
        <f>RAW_DATA!C1346</f>
        <v>Research &amp; Development</v>
      </c>
      <c r="D1346">
        <f>RAW_DATA!D1346</f>
        <v>7</v>
      </c>
      <c r="E1346">
        <f>RAW_DATA!E1346</f>
        <v>4</v>
      </c>
      <c r="F1346" t="str">
        <f>RAW_DATA!F1346</f>
        <v>Medical</v>
      </c>
      <c r="G1346">
        <f>RAW_DATA!G1346</f>
        <v>4</v>
      </c>
      <c r="H1346">
        <f>RAW_DATA!H1346</f>
        <v>1</v>
      </c>
      <c r="I1346" t="str">
        <f>RAW_DATA!I1346</f>
        <v>Married</v>
      </c>
      <c r="J1346">
        <f>RAW_DATA!J1346</f>
        <v>4284</v>
      </c>
      <c r="K1346">
        <f>RAW_DATA!K1346</f>
        <v>5</v>
      </c>
      <c r="L1346">
        <f>RAW_DATA!L1346</f>
        <v>3</v>
      </c>
      <c r="M1346">
        <f>RAW_DATA!M1346</f>
        <v>5</v>
      </c>
      <c r="N1346">
        <f t="shared" si="40"/>
        <v>0</v>
      </c>
      <c r="O1346" t="str" cm="1">
        <f t="array" ref="O1346" xml:space="preserve"> _xlfn.IFS(A1346 &lt;ASSUMPTIONS!$D$2,"25",A1346 &lt;= ASSUMPTIONS!$D$3,"25-34",A1346 &lt;= ASSUMPTIONS!$D$4, "35-44",A1346 &lt;= ASSUMPTIONS!$D$5,"45-54",TRUE,"55+")</f>
        <v>35-44</v>
      </c>
      <c r="P1346" t="str" cm="1">
        <f t="array" ref="P1346">_xlfn.IFS( J1346 &lt;ASSUMPTIONS!$D$7,"LOW",J1346 &lt;= ASSUMPTIONS!$D$8,"MEDIUM",TRUE, "HIGH")</f>
        <v>MEDIUM</v>
      </c>
      <c r="Q1346" t="str">
        <f>IF(M1346&lt;ASSUMPTIONS!$D$10,"New (0-2)",IF(M1346&lt;=ASSUMPTIONS!$D$11,"Early (2-5)",IF(M1346&lt;=ASSUMPTIONS!$D$12,"Established (5-10)","Veteran (10+)")))</f>
        <v>Early (2-5)</v>
      </c>
      <c r="R1346" s="4">
        <f t="shared" si="41"/>
        <v>2.6666666666666665</v>
      </c>
    </row>
    <row r="1347" spans="1:18">
      <c r="A1347">
        <f>RAW_DATA!A1347</f>
        <v>35</v>
      </c>
      <c r="B1347" t="str">
        <f>RAW_DATA!B1347</f>
        <v>No</v>
      </c>
      <c r="C1347" t="str">
        <f>RAW_DATA!C1347</f>
        <v>Research &amp; Development</v>
      </c>
      <c r="D1347">
        <f>RAW_DATA!D1347</f>
        <v>16</v>
      </c>
      <c r="E1347">
        <f>RAW_DATA!E1347</f>
        <v>2</v>
      </c>
      <c r="F1347" t="str">
        <f>RAW_DATA!F1347</f>
        <v>Other</v>
      </c>
      <c r="G1347">
        <f>RAW_DATA!G1347</f>
        <v>4</v>
      </c>
      <c r="H1347">
        <f>RAW_DATA!H1347</f>
        <v>2</v>
      </c>
      <c r="I1347" t="str">
        <f>RAW_DATA!I1347</f>
        <v>Married</v>
      </c>
      <c r="J1347">
        <f>RAW_DATA!J1347</f>
        <v>4788</v>
      </c>
      <c r="K1347">
        <f>RAW_DATA!K1347</f>
        <v>0</v>
      </c>
      <c r="L1347">
        <f>RAW_DATA!L1347</f>
        <v>3</v>
      </c>
      <c r="M1347">
        <f>RAW_DATA!M1347</f>
        <v>3</v>
      </c>
      <c r="N1347">
        <f t="shared" ref="N1347:N1410" si="42" xml:space="preserve"> IF(B1347 ="Yes",1,0)</f>
        <v>0</v>
      </c>
      <c r="O1347" t="str" cm="1">
        <f t="array" ref="O1347" xml:space="preserve"> _xlfn.IFS(A1347 &lt;ASSUMPTIONS!$D$2,"25",A1347 &lt;= ASSUMPTIONS!$D$3,"25-34",A1347 &lt;= ASSUMPTIONS!$D$4, "35-44",A1347 &lt;= ASSUMPTIONS!$D$5,"45-54",TRUE,"55+")</f>
        <v>35-44</v>
      </c>
      <c r="P1347" t="str" cm="1">
        <f t="array" ref="P1347">_xlfn.IFS( J1347 &lt;ASSUMPTIONS!$D$7,"LOW",J1347 &lt;= ASSUMPTIONS!$D$8,"MEDIUM",TRUE, "HIGH")</f>
        <v>MEDIUM</v>
      </c>
      <c r="Q1347" t="str">
        <f>IF(M1347&lt;ASSUMPTIONS!$D$10,"New (0-2)",IF(M1347&lt;=ASSUMPTIONS!$D$11,"Early (2-5)",IF(M1347&lt;=ASSUMPTIONS!$D$12,"Established (5-10)","Veteran (10+)")))</f>
        <v>Early (2-5)</v>
      </c>
      <c r="R1347" s="4">
        <f t="shared" ref="R1347:R1410" si="43">AVERAGE(G1347,H1347,L1347)</f>
        <v>3</v>
      </c>
    </row>
    <row r="1348" spans="1:18">
      <c r="A1348">
        <f>RAW_DATA!A1348</f>
        <v>45</v>
      </c>
      <c r="B1348" t="str">
        <f>RAW_DATA!B1348</f>
        <v>No</v>
      </c>
      <c r="C1348" t="str">
        <f>RAW_DATA!C1348</f>
        <v>Research &amp; Development</v>
      </c>
      <c r="D1348">
        <f>RAW_DATA!D1348</f>
        <v>25</v>
      </c>
      <c r="E1348">
        <f>RAW_DATA!E1348</f>
        <v>2</v>
      </c>
      <c r="F1348" t="str">
        <f>RAW_DATA!F1348</f>
        <v>Life Sciences</v>
      </c>
      <c r="G1348">
        <f>RAW_DATA!G1348</f>
        <v>2</v>
      </c>
      <c r="H1348">
        <f>RAW_DATA!H1348</f>
        <v>4</v>
      </c>
      <c r="I1348" t="str">
        <f>RAW_DATA!I1348</f>
        <v>Married</v>
      </c>
      <c r="J1348">
        <f>RAW_DATA!J1348</f>
        <v>5906</v>
      </c>
      <c r="K1348">
        <f>RAW_DATA!K1348</f>
        <v>0</v>
      </c>
      <c r="L1348">
        <f>RAW_DATA!L1348</f>
        <v>2</v>
      </c>
      <c r="M1348">
        <f>RAW_DATA!M1348</f>
        <v>9</v>
      </c>
      <c r="N1348">
        <f t="shared" si="42"/>
        <v>0</v>
      </c>
      <c r="O1348" t="str" cm="1">
        <f t="array" ref="O1348" xml:space="preserve"> _xlfn.IFS(A1348 &lt;ASSUMPTIONS!$D$2,"25",A1348 &lt;= ASSUMPTIONS!$D$3,"25-34",A1348 &lt;= ASSUMPTIONS!$D$4, "35-44",A1348 &lt;= ASSUMPTIONS!$D$5,"45-54",TRUE,"55+")</f>
        <v>45-54</v>
      </c>
      <c r="P1348" t="str" cm="1">
        <f t="array" ref="P1348">_xlfn.IFS( J1348 &lt;ASSUMPTIONS!$D$7,"LOW",J1348 &lt;= ASSUMPTIONS!$D$8,"MEDIUM",TRUE, "HIGH")</f>
        <v>MEDIUM</v>
      </c>
      <c r="Q1348" t="str">
        <f>IF(M1348&lt;ASSUMPTIONS!$D$10,"New (0-2)",IF(M1348&lt;=ASSUMPTIONS!$D$11,"Early (2-5)",IF(M1348&lt;=ASSUMPTIONS!$D$12,"Established (5-10)","Veteran (10+)")))</f>
        <v>Established (5-10)</v>
      </c>
      <c r="R1348" s="4">
        <f t="shared" si="43"/>
        <v>2.6666666666666665</v>
      </c>
    </row>
    <row r="1349" spans="1:18">
      <c r="A1349">
        <f>RAW_DATA!A1349</f>
        <v>36</v>
      </c>
      <c r="B1349" t="str">
        <f>RAW_DATA!B1349</f>
        <v>No</v>
      </c>
      <c r="C1349" t="str">
        <f>RAW_DATA!C1349</f>
        <v>Human Resources</v>
      </c>
      <c r="D1349">
        <f>RAW_DATA!D1349</f>
        <v>2</v>
      </c>
      <c r="E1349">
        <f>RAW_DATA!E1349</f>
        <v>1</v>
      </c>
      <c r="F1349" t="str">
        <f>RAW_DATA!F1349</f>
        <v>Human Resources</v>
      </c>
      <c r="G1349">
        <f>RAW_DATA!G1349</f>
        <v>2</v>
      </c>
      <c r="H1349">
        <f>RAW_DATA!H1349</f>
        <v>4</v>
      </c>
      <c r="I1349" t="str">
        <f>RAW_DATA!I1349</f>
        <v>Single</v>
      </c>
      <c r="J1349">
        <f>RAW_DATA!J1349</f>
        <v>3886</v>
      </c>
      <c r="K1349">
        <f>RAW_DATA!K1349</f>
        <v>1</v>
      </c>
      <c r="L1349">
        <f>RAW_DATA!L1349</f>
        <v>2</v>
      </c>
      <c r="M1349">
        <f>RAW_DATA!M1349</f>
        <v>10</v>
      </c>
      <c r="N1349">
        <f t="shared" si="42"/>
        <v>0</v>
      </c>
      <c r="O1349" t="str" cm="1">
        <f t="array" ref="O1349" xml:space="preserve"> _xlfn.IFS(A1349 &lt;ASSUMPTIONS!$D$2,"25",A1349 &lt;= ASSUMPTIONS!$D$3,"25-34",A1349 &lt;= ASSUMPTIONS!$D$4, "35-44",A1349 &lt;= ASSUMPTIONS!$D$5,"45-54",TRUE,"55+")</f>
        <v>35-44</v>
      </c>
      <c r="P1349" t="str" cm="1">
        <f t="array" ref="P1349">_xlfn.IFS( J1349 &lt;ASSUMPTIONS!$D$7,"LOW",J1349 &lt;= ASSUMPTIONS!$D$8,"MEDIUM",TRUE, "HIGH")</f>
        <v>MEDIUM</v>
      </c>
      <c r="Q1349" t="str">
        <f>IF(M1349&lt;ASSUMPTIONS!$D$10,"New (0-2)",IF(M1349&lt;=ASSUMPTIONS!$D$11,"Early (2-5)",IF(M1349&lt;=ASSUMPTIONS!$D$12,"Established (5-10)","Veteran (10+)")))</f>
        <v>Established (5-10)</v>
      </c>
      <c r="R1349" s="4">
        <f t="shared" si="43"/>
        <v>2.6666666666666665</v>
      </c>
    </row>
    <row r="1350" spans="1:18">
      <c r="A1350">
        <f>RAW_DATA!A1350</f>
        <v>40</v>
      </c>
      <c r="B1350" t="str">
        <f>RAW_DATA!B1350</f>
        <v>No</v>
      </c>
      <c r="C1350" t="str">
        <f>RAW_DATA!C1350</f>
        <v>Research &amp; Development</v>
      </c>
      <c r="D1350">
        <f>RAW_DATA!D1350</f>
        <v>1</v>
      </c>
      <c r="E1350">
        <f>RAW_DATA!E1350</f>
        <v>4</v>
      </c>
      <c r="F1350" t="str">
        <f>RAW_DATA!F1350</f>
        <v>Life Sciences</v>
      </c>
      <c r="G1350">
        <f>RAW_DATA!G1350</f>
        <v>1</v>
      </c>
      <c r="H1350">
        <f>RAW_DATA!H1350</f>
        <v>1</v>
      </c>
      <c r="I1350" t="str">
        <f>RAW_DATA!I1350</f>
        <v>Divorced</v>
      </c>
      <c r="J1350">
        <f>RAW_DATA!J1350</f>
        <v>16823</v>
      </c>
      <c r="K1350">
        <f>RAW_DATA!K1350</f>
        <v>2</v>
      </c>
      <c r="L1350">
        <f>RAW_DATA!L1350</f>
        <v>3</v>
      </c>
      <c r="M1350">
        <f>RAW_DATA!M1350</f>
        <v>19</v>
      </c>
      <c r="N1350">
        <f t="shared" si="42"/>
        <v>0</v>
      </c>
      <c r="O1350" t="str" cm="1">
        <f t="array" ref="O1350" xml:space="preserve"> _xlfn.IFS(A1350 &lt;ASSUMPTIONS!$D$2,"25",A1350 &lt;= ASSUMPTIONS!$D$3,"25-34",A1350 &lt;= ASSUMPTIONS!$D$4, "35-44",A1350 &lt;= ASSUMPTIONS!$D$5,"45-54",TRUE,"55+")</f>
        <v>35-44</v>
      </c>
      <c r="P1350" t="str" cm="1">
        <f t="array" ref="P1350">_xlfn.IFS( J1350 &lt;ASSUMPTIONS!$D$7,"LOW",J1350 &lt;= ASSUMPTIONS!$D$8,"MEDIUM",TRUE, "HIGH")</f>
        <v>HIGH</v>
      </c>
      <c r="Q1350" t="str">
        <f>IF(M1350&lt;ASSUMPTIONS!$D$10,"New (0-2)",IF(M1350&lt;=ASSUMPTIONS!$D$11,"Early (2-5)",IF(M1350&lt;=ASSUMPTIONS!$D$12,"Established (5-10)","Veteran (10+)")))</f>
        <v>Veteran (10+)</v>
      </c>
      <c r="R1350" s="4">
        <f t="shared" si="43"/>
        <v>1.6666666666666667</v>
      </c>
    </row>
    <row r="1351" spans="1:18">
      <c r="A1351">
        <f>RAW_DATA!A1351</f>
        <v>26</v>
      </c>
      <c r="B1351" t="str">
        <f>RAW_DATA!B1351</f>
        <v>No</v>
      </c>
      <c r="C1351" t="str">
        <f>RAW_DATA!C1351</f>
        <v>Research &amp; Development</v>
      </c>
      <c r="D1351">
        <f>RAW_DATA!D1351</f>
        <v>1</v>
      </c>
      <c r="E1351">
        <f>RAW_DATA!E1351</f>
        <v>2</v>
      </c>
      <c r="F1351" t="str">
        <f>RAW_DATA!F1351</f>
        <v>Life Sciences</v>
      </c>
      <c r="G1351">
        <f>RAW_DATA!G1351</f>
        <v>2</v>
      </c>
      <c r="H1351">
        <f>RAW_DATA!H1351</f>
        <v>3</v>
      </c>
      <c r="I1351" t="str">
        <f>RAW_DATA!I1351</f>
        <v>Married</v>
      </c>
      <c r="J1351">
        <f>RAW_DATA!J1351</f>
        <v>2933</v>
      </c>
      <c r="K1351">
        <f>RAW_DATA!K1351</f>
        <v>1</v>
      </c>
      <c r="L1351">
        <f>RAW_DATA!L1351</f>
        <v>2</v>
      </c>
      <c r="M1351">
        <f>RAW_DATA!M1351</f>
        <v>1</v>
      </c>
      <c r="N1351">
        <f t="shared" si="42"/>
        <v>0</v>
      </c>
      <c r="O1351" t="str" cm="1">
        <f t="array" ref="O1351" xml:space="preserve"> _xlfn.IFS(A1351 &lt;ASSUMPTIONS!$D$2,"25",A1351 &lt;= ASSUMPTIONS!$D$3,"25-34",A1351 &lt;= ASSUMPTIONS!$D$4, "35-44",A1351 &lt;= ASSUMPTIONS!$D$5,"45-54",TRUE,"55+")</f>
        <v>25-34</v>
      </c>
      <c r="P1351" t="str" cm="1">
        <f t="array" ref="P1351">_xlfn.IFS( J1351 &lt;ASSUMPTIONS!$D$7,"LOW",J1351 &lt;= ASSUMPTIONS!$D$8,"MEDIUM",TRUE, "HIGH")</f>
        <v>LOW</v>
      </c>
      <c r="Q1351" t="str">
        <f>IF(M1351&lt;ASSUMPTIONS!$D$10,"New (0-2)",IF(M1351&lt;=ASSUMPTIONS!$D$11,"Early (2-5)",IF(M1351&lt;=ASSUMPTIONS!$D$12,"Established (5-10)","Veteran (10+)")))</f>
        <v>New (0-2)</v>
      </c>
      <c r="R1351" s="4">
        <f t="shared" si="43"/>
        <v>2.3333333333333335</v>
      </c>
    </row>
    <row r="1352" spans="1:18">
      <c r="A1352">
        <f>RAW_DATA!A1352</f>
        <v>27</v>
      </c>
      <c r="B1352" t="str">
        <f>RAW_DATA!B1352</f>
        <v>No</v>
      </c>
      <c r="C1352" t="str">
        <f>RAW_DATA!C1352</f>
        <v>Sales</v>
      </c>
      <c r="D1352">
        <f>RAW_DATA!D1352</f>
        <v>2</v>
      </c>
      <c r="E1352">
        <f>RAW_DATA!E1352</f>
        <v>2</v>
      </c>
      <c r="F1352" t="str">
        <f>RAW_DATA!F1352</f>
        <v>Medical</v>
      </c>
      <c r="G1352">
        <f>RAW_DATA!G1352</f>
        <v>1</v>
      </c>
      <c r="H1352">
        <f>RAW_DATA!H1352</f>
        <v>3</v>
      </c>
      <c r="I1352" t="str">
        <f>RAW_DATA!I1352</f>
        <v>Single</v>
      </c>
      <c r="J1352">
        <f>RAW_DATA!J1352</f>
        <v>6500</v>
      </c>
      <c r="K1352">
        <f>RAW_DATA!K1352</f>
        <v>0</v>
      </c>
      <c r="L1352">
        <f>RAW_DATA!L1352</f>
        <v>2</v>
      </c>
      <c r="M1352">
        <f>RAW_DATA!M1352</f>
        <v>8</v>
      </c>
      <c r="N1352">
        <f t="shared" si="42"/>
        <v>0</v>
      </c>
      <c r="O1352" t="str" cm="1">
        <f t="array" ref="O1352" xml:space="preserve"> _xlfn.IFS(A1352 &lt;ASSUMPTIONS!$D$2,"25",A1352 &lt;= ASSUMPTIONS!$D$3,"25-34",A1352 &lt;= ASSUMPTIONS!$D$4, "35-44",A1352 &lt;= ASSUMPTIONS!$D$5,"45-54",TRUE,"55+")</f>
        <v>25-34</v>
      </c>
      <c r="P1352" t="str" cm="1">
        <f t="array" ref="P1352">_xlfn.IFS( J1352 &lt;ASSUMPTIONS!$D$7,"LOW",J1352 &lt;= ASSUMPTIONS!$D$8,"MEDIUM",TRUE, "HIGH")</f>
        <v>MEDIUM</v>
      </c>
      <c r="Q1352" t="str">
        <f>IF(M1352&lt;ASSUMPTIONS!$D$10,"New (0-2)",IF(M1352&lt;=ASSUMPTIONS!$D$11,"Early (2-5)",IF(M1352&lt;=ASSUMPTIONS!$D$12,"Established (5-10)","Veteran (10+)")))</f>
        <v>Established (5-10)</v>
      </c>
      <c r="R1352" s="4">
        <f t="shared" si="43"/>
        <v>2</v>
      </c>
    </row>
    <row r="1353" spans="1:18">
      <c r="A1353">
        <f>RAW_DATA!A1353</f>
        <v>48</v>
      </c>
      <c r="B1353" t="str">
        <f>RAW_DATA!B1353</f>
        <v>No</v>
      </c>
      <c r="C1353" t="str">
        <f>RAW_DATA!C1353</f>
        <v>Research &amp; Development</v>
      </c>
      <c r="D1353">
        <f>RAW_DATA!D1353</f>
        <v>22</v>
      </c>
      <c r="E1353">
        <f>RAW_DATA!E1353</f>
        <v>3</v>
      </c>
      <c r="F1353" t="str">
        <f>RAW_DATA!F1353</f>
        <v>Medical</v>
      </c>
      <c r="G1353">
        <f>RAW_DATA!G1353</f>
        <v>4</v>
      </c>
      <c r="H1353">
        <f>RAW_DATA!H1353</f>
        <v>4</v>
      </c>
      <c r="I1353" t="str">
        <f>RAW_DATA!I1353</f>
        <v>Divorced</v>
      </c>
      <c r="J1353">
        <f>RAW_DATA!J1353</f>
        <v>17174</v>
      </c>
      <c r="K1353">
        <f>RAW_DATA!K1353</f>
        <v>3</v>
      </c>
      <c r="L1353">
        <f>RAW_DATA!L1353</f>
        <v>3</v>
      </c>
      <c r="M1353">
        <f>RAW_DATA!M1353</f>
        <v>22</v>
      </c>
      <c r="N1353">
        <f t="shared" si="42"/>
        <v>0</v>
      </c>
      <c r="O1353" t="str" cm="1">
        <f t="array" ref="O1353" xml:space="preserve"> _xlfn.IFS(A1353 &lt;ASSUMPTIONS!$D$2,"25",A1353 &lt;= ASSUMPTIONS!$D$3,"25-34",A1353 &lt;= ASSUMPTIONS!$D$4, "35-44",A1353 &lt;= ASSUMPTIONS!$D$5,"45-54",TRUE,"55+")</f>
        <v>45-54</v>
      </c>
      <c r="P1353" t="str" cm="1">
        <f t="array" ref="P1353">_xlfn.IFS( J1353 &lt;ASSUMPTIONS!$D$7,"LOW",J1353 &lt;= ASSUMPTIONS!$D$8,"MEDIUM",TRUE, "HIGH")</f>
        <v>HIGH</v>
      </c>
      <c r="Q1353" t="str">
        <f>IF(M1353&lt;ASSUMPTIONS!$D$10,"New (0-2)",IF(M1353&lt;=ASSUMPTIONS!$D$11,"Early (2-5)",IF(M1353&lt;=ASSUMPTIONS!$D$12,"Established (5-10)","Veteran (10+)")))</f>
        <v>Veteran (10+)</v>
      </c>
      <c r="R1353" s="4">
        <f t="shared" si="43"/>
        <v>3.6666666666666665</v>
      </c>
    </row>
    <row r="1354" spans="1:18">
      <c r="A1354">
        <f>RAW_DATA!A1354</f>
        <v>44</v>
      </c>
      <c r="B1354" t="str">
        <f>RAW_DATA!B1354</f>
        <v>No</v>
      </c>
      <c r="C1354" t="str">
        <f>RAW_DATA!C1354</f>
        <v>Research &amp; Development</v>
      </c>
      <c r="D1354">
        <f>RAW_DATA!D1354</f>
        <v>1</v>
      </c>
      <c r="E1354">
        <f>RAW_DATA!E1354</f>
        <v>4</v>
      </c>
      <c r="F1354" t="str">
        <f>RAW_DATA!F1354</f>
        <v>Life Sciences</v>
      </c>
      <c r="G1354">
        <f>RAW_DATA!G1354</f>
        <v>2</v>
      </c>
      <c r="H1354">
        <f>RAW_DATA!H1354</f>
        <v>1</v>
      </c>
      <c r="I1354" t="str">
        <f>RAW_DATA!I1354</f>
        <v>Married</v>
      </c>
      <c r="J1354">
        <f>RAW_DATA!J1354</f>
        <v>5033</v>
      </c>
      <c r="K1354">
        <f>RAW_DATA!K1354</f>
        <v>2</v>
      </c>
      <c r="L1354">
        <f>RAW_DATA!L1354</f>
        <v>3</v>
      </c>
      <c r="M1354">
        <f>RAW_DATA!M1354</f>
        <v>2</v>
      </c>
      <c r="N1354">
        <f t="shared" si="42"/>
        <v>0</v>
      </c>
      <c r="O1354" t="str" cm="1">
        <f t="array" ref="O1354" xml:space="preserve"> _xlfn.IFS(A1354 &lt;ASSUMPTIONS!$D$2,"25",A1354 &lt;= ASSUMPTIONS!$D$3,"25-34",A1354 &lt;= ASSUMPTIONS!$D$4, "35-44",A1354 &lt;= ASSUMPTIONS!$D$5,"45-54",TRUE,"55+")</f>
        <v>35-44</v>
      </c>
      <c r="P1354" t="str" cm="1">
        <f t="array" ref="P1354">_xlfn.IFS( J1354 &lt;ASSUMPTIONS!$D$7,"LOW",J1354 &lt;= ASSUMPTIONS!$D$8,"MEDIUM",TRUE, "HIGH")</f>
        <v>MEDIUM</v>
      </c>
      <c r="Q1354" t="str">
        <f>IF(M1354&lt;ASSUMPTIONS!$D$10,"New (0-2)",IF(M1354&lt;=ASSUMPTIONS!$D$11,"Early (2-5)",IF(M1354&lt;=ASSUMPTIONS!$D$12,"Established (5-10)","Veteran (10+)")))</f>
        <v>Early (2-5)</v>
      </c>
      <c r="R1354" s="4">
        <f t="shared" si="43"/>
        <v>2</v>
      </c>
    </row>
    <row r="1355" spans="1:18">
      <c r="A1355">
        <f>RAW_DATA!A1355</f>
        <v>34</v>
      </c>
      <c r="B1355" t="str">
        <f>RAW_DATA!B1355</f>
        <v>Yes</v>
      </c>
      <c r="C1355" t="str">
        <f>RAW_DATA!C1355</f>
        <v>Research &amp; Development</v>
      </c>
      <c r="D1355">
        <f>RAW_DATA!D1355</f>
        <v>16</v>
      </c>
      <c r="E1355">
        <f>RAW_DATA!E1355</f>
        <v>4</v>
      </c>
      <c r="F1355" t="str">
        <f>RAW_DATA!F1355</f>
        <v>Technical Degree</v>
      </c>
      <c r="G1355">
        <f>RAW_DATA!G1355</f>
        <v>4</v>
      </c>
      <c r="H1355">
        <f>RAW_DATA!H1355</f>
        <v>1</v>
      </c>
      <c r="I1355" t="str">
        <f>RAW_DATA!I1355</f>
        <v>Married</v>
      </c>
      <c r="J1355">
        <f>RAW_DATA!J1355</f>
        <v>2307</v>
      </c>
      <c r="K1355">
        <f>RAW_DATA!K1355</f>
        <v>1</v>
      </c>
      <c r="L1355">
        <f>RAW_DATA!L1355</f>
        <v>3</v>
      </c>
      <c r="M1355">
        <f>RAW_DATA!M1355</f>
        <v>5</v>
      </c>
      <c r="N1355">
        <f t="shared" si="42"/>
        <v>1</v>
      </c>
      <c r="O1355" t="str" cm="1">
        <f t="array" ref="O1355" xml:space="preserve"> _xlfn.IFS(A1355 &lt;ASSUMPTIONS!$D$2,"25",A1355 &lt;= ASSUMPTIONS!$D$3,"25-34",A1355 &lt;= ASSUMPTIONS!$D$4, "35-44",A1355 &lt;= ASSUMPTIONS!$D$5,"45-54",TRUE,"55+")</f>
        <v>25-34</v>
      </c>
      <c r="P1355" t="str" cm="1">
        <f t="array" ref="P1355">_xlfn.IFS( J1355 &lt;ASSUMPTIONS!$D$7,"LOW",J1355 &lt;= ASSUMPTIONS!$D$8,"MEDIUM",TRUE, "HIGH")</f>
        <v>LOW</v>
      </c>
      <c r="Q1355" t="str">
        <f>IF(M1355&lt;ASSUMPTIONS!$D$10,"New (0-2)",IF(M1355&lt;=ASSUMPTIONS!$D$11,"Early (2-5)",IF(M1355&lt;=ASSUMPTIONS!$D$12,"Established (5-10)","Veteran (10+)")))</f>
        <v>Early (2-5)</v>
      </c>
      <c r="R1355" s="4">
        <f t="shared" si="43"/>
        <v>2.6666666666666665</v>
      </c>
    </row>
    <row r="1356" spans="1:18">
      <c r="A1356">
        <f>RAW_DATA!A1356</f>
        <v>56</v>
      </c>
      <c r="B1356" t="str">
        <f>RAW_DATA!B1356</f>
        <v>Yes</v>
      </c>
      <c r="C1356" t="str">
        <f>RAW_DATA!C1356</f>
        <v>Research &amp; Development</v>
      </c>
      <c r="D1356">
        <f>RAW_DATA!D1356</f>
        <v>24</v>
      </c>
      <c r="E1356">
        <f>RAW_DATA!E1356</f>
        <v>2</v>
      </c>
      <c r="F1356" t="str">
        <f>RAW_DATA!F1356</f>
        <v>Life Sciences</v>
      </c>
      <c r="G1356">
        <f>RAW_DATA!G1356</f>
        <v>1</v>
      </c>
      <c r="H1356">
        <f>RAW_DATA!H1356</f>
        <v>4</v>
      </c>
      <c r="I1356" t="str">
        <f>RAW_DATA!I1356</f>
        <v>Single</v>
      </c>
      <c r="J1356">
        <f>RAW_DATA!J1356</f>
        <v>2587</v>
      </c>
      <c r="K1356">
        <f>RAW_DATA!K1356</f>
        <v>1</v>
      </c>
      <c r="L1356">
        <f>RAW_DATA!L1356</f>
        <v>3</v>
      </c>
      <c r="M1356">
        <f>RAW_DATA!M1356</f>
        <v>4</v>
      </c>
      <c r="N1356">
        <f t="shared" si="42"/>
        <v>1</v>
      </c>
      <c r="O1356" t="str" cm="1">
        <f t="array" ref="O1356" xml:space="preserve"> _xlfn.IFS(A1356 &lt;ASSUMPTIONS!$D$2,"25",A1356 &lt;= ASSUMPTIONS!$D$3,"25-34",A1356 &lt;= ASSUMPTIONS!$D$4, "35-44",A1356 &lt;= ASSUMPTIONS!$D$5,"45-54",TRUE,"55+")</f>
        <v>55+</v>
      </c>
      <c r="P1356" t="str" cm="1">
        <f t="array" ref="P1356">_xlfn.IFS( J1356 &lt;ASSUMPTIONS!$D$7,"LOW",J1356 &lt;= ASSUMPTIONS!$D$8,"MEDIUM",TRUE, "HIGH")</f>
        <v>LOW</v>
      </c>
      <c r="Q1356" t="str">
        <f>IF(M1356&lt;ASSUMPTIONS!$D$10,"New (0-2)",IF(M1356&lt;=ASSUMPTIONS!$D$11,"Early (2-5)",IF(M1356&lt;=ASSUMPTIONS!$D$12,"Established (5-10)","Veteran (10+)")))</f>
        <v>Early (2-5)</v>
      </c>
      <c r="R1356" s="4">
        <f t="shared" si="43"/>
        <v>2.6666666666666665</v>
      </c>
    </row>
    <row r="1357" spans="1:18">
      <c r="A1357">
        <f>RAW_DATA!A1357</f>
        <v>36</v>
      </c>
      <c r="B1357" t="str">
        <f>RAW_DATA!B1357</f>
        <v>No</v>
      </c>
      <c r="C1357" t="str">
        <f>RAW_DATA!C1357</f>
        <v>Sales</v>
      </c>
      <c r="D1357">
        <f>RAW_DATA!D1357</f>
        <v>17</v>
      </c>
      <c r="E1357">
        <f>RAW_DATA!E1357</f>
        <v>2</v>
      </c>
      <c r="F1357" t="str">
        <f>RAW_DATA!F1357</f>
        <v>Marketing</v>
      </c>
      <c r="G1357">
        <f>RAW_DATA!G1357</f>
        <v>3</v>
      </c>
      <c r="H1357">
        <f>RAW_DATA!H1357</f>
        <v>2</v>
      </c>
      <c r="I1357" t="str">
        <f>RAW_DATA!I1357</f>
        <v>Married</v>
      </c>
      <c r="J1357">
        <f>RAW_DATA!J1357</f>
        <v>5507</v>
      </c>
      <c r="K1357">
        <f>RAW_DATA!K1357</f>
        <v>2</v>
      </c>
      <c r="L1357">
        <f>RAW_DATA!L1357</f>
        <v>1</v>
      </c>
      <c r="M1357">
        <f>RAW_DATA!M1357</f>
        <v>4</v>
      </c>
      <c r="N1357">
        <f t="shared" si="42"/>
        <v>0</v>
      </c>
      <c r="O1357" t="str" cm="1">
        <f t="array" ref="O1357" xml:space="preserve"> _xlfn.IFS(A1357 &lt;ASSUMPTIONS!$D$2,"25",A1357 &lt;= ASSUMPTIONS!$D$3,"25-34",A1357 &lt;= ASSUMPTIONS!$D$4, "35-44",A1357 &lt;= ASSUMPTIONS!$D$5,"45-54",TRUE,"55+")</f>
        <v>35-44</v>
      </c>
      <c r="P1357" t="str" cm="1">
        <f t="array" ref="P1357">_xlfn.IFS( J1357 &lt;ASSUMPTIONS!$D$7,"LOW",J1357 &lt;= ASSUMPTIONS!$D$8,"MEDIUM",TRUE, "HIGH")</f>
        <v>MEDIUM</v>
      </c>
      <c r="Q1357" t="str">
        <f>IF(M1357&lt;ASSUMPTIONS!$D$10,"New (0-2)",IF(M1357&lt;=ASSUMPTIONS!$D$11,"Early (2-5)",IF(M1357&lt;=ASSUMPTIONS!$D$12,"Established (5-10)","Veteran (10+)")))</f>
        <v>Early (2-5)</v>
      </c>
      <c r="R1357" s="4">
        <f t="shared" si="43"/>
        <v>2</v>
      </c>
    </row>
    <row r="1358" spans="1:18">
      <c r="A1358">
        <f>RAW_DATA!A1358</f>
        <v>41</v>
      </c>
      <c r="B1358" t="str">
        <f>RAW_DATA!B1358</f>
        <v>No</v>
      </c>
      <c r="C1358" t="str">
        <f>RAW_DATA!C1358</f>
        <v>Sales</v>
      </c>
      <c r="D1358">
        <f>RAW_DATA!D1358</f>
        <v>8</v>
      </c>
      <c r="E1358">
        <f>RAW_DATA!E1358</f>
        <v>3</v>
      </c>
      <c r="F1358" t="str">
        <f>RAW_DATA!F1358</f>
        <v>Marketing</v>
      </c>
      <c r="G1358">
        <f>RAW_DATA!G1358</f>
        <v>3</v>
      </c>
      <c r="H1358">
        <f>RAW_DATA!H1358</f>
        <v>2</v>
      </c>
      <c r="I1358" t="str">
        <f>RAW_DATA!I1358</f>
        <v>Married</v>
      </c>
      <c r="J1358">
        <f>RAW_DATA!J1358</f>
        <v>4393</v>
      </c>
      <c r="K1358">
        <f>RAW_DATA!K1358</f>
        <v>5</v>
      </c>
      <c r="L1358">
        <f>RAW_DATA!L1358</f>
        <v>3</v>
      </c>
      <c r="M1358">
        <f>RAW_DATA!M1358</f>
        <v>5</v>
      </c>
      <c r="N1358">
        <f t="shared" si="42"/>
        <v>0</v>
      </c>
      <c r="O1358" t="str" cm="1">
        <f t="array" ref="O1358" xml:space="preserve"> _xlfn.IFS(A1358 &lt;ASSUMPTIONS!$D$2,"25",A1358 &lt;= ASSUMPTIONS!$D$3,"25-34",A1358 &lt;= ASSUMPTIONS!$D$4, "35-44",A1358 &lt;= ASSUMPTIONS!$D$5,"45-54",TRUE,"55+")</f>
        <v>35-44</v>
      </c>
      <c r="P1358" t="str" cm="1">
        <f t="array" ref="P1358">_xlfn.IFS( J1358 &lt;ASSUMPTIONS!$D$7,"LOW",J1358 &lt;= ASSUMPTIONS!$D$8,"MEDIUM",TRUE, "HIGH")</f>
        <v>MEDIUM</v>
      </c>
      <c r="Q1358" t="str">
        <f>IF(M1358&lt;ASSUMPTIONS!$D$10,"New (0-2)",IF(M1358&lt;=ASSUMPTIONS!$D$11,"Early (2-5)",IF(M1358&lt;=ASSUMPTIONS!$D$12,"Established (5-10)","Veteran (10+)")))</f>
        <v>Early (2-5)</v>
      </c>
      <c r="R1358" s="4">
        <f t="shared" si="43"/>
        <v>2.6666666666666665</v>
      </c>
    </row>
    <row r="1359" spans="1:18">
      <c r="A1359">
        <f>RAW_DATA!A1359</f>
        <v>42</v>
      </c>
      <c r="B1359" t="str">
        <f>RAW_DATA!B1359</f>
        <v>No</v>
      </c>
      <c r="C1359" t="str">
        <f>RAW_DATA!C1359</f>
        <v>Research &amp; Development</v>
      </c>
      <c r="D1359">
        <f>RAW_DATA!D1359</f>
        <v>6</v>
      </c>
      <c r="E1359">
        <f>RAW_DATA!E1359</f>
        <v>3</v>
      </c>
      <c r="F1359" t="str">
        <f>RAW_DATA!F1359</f>
        <v>Medical</v>
      </c>
      <c r="G1359">
        <f>RAW_DATA!G1359</f>
        <v>3</v>
      </c>
      <c r="H1359">
        <f>RAW_DATA!H1359</f>
        <v>1</v>
      </c>
      <c r="I1359" t="str">
        <f>RAW_DATA!I1359</f>
        <v>Married</v>
      </c>
      <c r="J1359">
        <f>RAW_DATA!J1359</f>
        <v>13348</v>
      </c>
      <c r="K1359">
        <f>RAW_DATA!K1359</f>
        <v>9</v>
      </c>
      <c r="L1359">
        <f>RAW_DATA!L1359</f>
        <v>4</v>
      </c>
      <c r="M1359">
        <f>RAW_DATA!M1359</f>
        <v>13</v>
      </c>
      <c r="N1359">
        <f t="shared" si="42"/>
        <v>0</v>
      </c>
      <c r="O1359" t="str" cm="1">
        <f t="array" ref="O1359" xml:space="preserve"> _xlfn.IFS(A1359 &lt;ASSUMPTIONS!$D$2,"25",A1359 &lt;= ASSUMPTIONS!$D$3,"25-34",A1359 &lt;= ASSUMPTIONS!$D$4, "35-44",A1359 &lt;= ASSUMPTIONS!$D$5,"45-54",TRUE,"55+")</f>
        <v>35-44</v>
      </c>
      <c r="P1359" t="str" cm="1">
        <f t="array" ref="P1359">_xlfn.IFS( J1359 &lt;ASSUMPTIONS!$D$7,"LOW",J1359 &lt;= ASSUMPTIONS!$D$8,"MEDIUM",TRUE, "HIGH")</f>
        <v>HIGH</v>
      </c>
      <c r="Q1359" t="str">
        <f>IF(M1359&lt;ASSUMPTIONS!$D$10,"New (0-2)",IF(M1359&lt;=ASSUMPTIONS!$D$11,"Early (2-5)",IF(M1359&lt;=ASSUMPTIONS!$D$12,"Established (5-10)","Veteran (10+)")))</f>
        <v>Veteran (10+)</v>
      </c>
      <c r="R1359" s="4">
        <f t="shared" si="43"/>
        <v>2.6666666666666665</v>
      </c>
    </row>
    <row r="1360" spans="1:18">
      <c r="A1360">
        <f>RAW_DATA!A1360</f>
        <v>31</v>
      </c>
      <c r="B1360" t="str">
        <f>RAW_DATA!B1360</f>
        <v>No</v>
      </c>
      <c r="C1360" t="str">
        <f>RAW_DATA!C1360</f>
        <v>Sales</v>
      </c>
      <c r="D1360">
        <f>RAW_DATA!D1360</f>
        <v>10</v>
      </c>
      <c r="E1360">
        <f>RAW_DATA!E1360</f>
        <v>2</v>
      </c>
      <c r="F1360" t="str">
        <f>RAW_DATA!F1360</f>
        <v>Medical</v>
      </c>
      <c r="G1360">
        <f>RAW_DATA!G1360</f>
        <v>3</v>
      </c>
      <c r="H1360">
        <f>RAW_DATA!H1360</f>
        <v>4</v>
      </c>
      <c r="I1360" t="str">
        <f>RAW_DATA!I1360</f>
        <v>Divorced</v>
      </c>
      <c r="J1360">
        <f>RAW_DATA!J1360</f>
        <v>6583</v>
      </c>
      <c r="K1360">
        <f>RAW_DATA!K1360</f>
        <v>2</v>
      </c>
      <c r="L1360">
        <f>RAW_DATA!L1360</f>
        <v>3</v>
      </c>
      <c r="M1360">
        <f>RAW_DATA!M1360</f>
        <v>5</v>
      </c>
      <c r="N1360">
        <f t="shared" si="42"/>
        <v>0</v>
      </c>
      <c r="O1360" t="str" cm="1">
        <f t="array" ref="O1360" xml:space="preserve"> _xlfn.IFS(A1360 &lt;ASSUMPTIONS!$D$2,"25",A1360 &lt;= ASSUMPTIONS!$D$3,"25-34",A1360 &lt;= ASSUMPTIONS!$D$4, "35-44",A1360 &lt;= ASSUMPTIONS!$D$5,"45-54",TRUE,"55+")</f>
        <v>25-34</v>
      </c>
      <c r="P1360" t="str" cm="1">
        <f t="array" ref="P1360">_xlfn.IFS( J1360 &lt;ASSUMPTIONS!$D$7,"LOW",J1360 &lt;= ASSUMPTIONS!$D$8,"MEDIUM",TRUE, "HIGH")</f>
        <v>MEDIUM</v>
      </c>
      <c r="Q1360" t="str">
        <f>IF(M1360&lt;ASSUMPTIONS!$D$10,"New (0-2)",IF(M1360&lt;=ASSUMPTIONS!$D$11,"Early (2-5)",IF(M1360&lt;=ASSUMPTIONS!$D$12,"Established (5-10)","Veteran (10+)")))</f>
        <v>Early (2-5)</v>
      </c>
      <c r="R1360" s="4">
        <f t="shared" si="43"/>
        <v>3.3333333333333335</v>
      </c>
    </row>
    <row r="1361" spans="1:18">
      <c r="A1361">
        <f>RAW_DATA!A1361</f>
        <v>34</v>
      </c>
      <c r="B1361" t="str">
        <f>RAW_DATA!B1361</f>
        <v>No</v>
      </c>
      <c r="C1361" t="str">
        <f>RAW_DATA!C1361</f>
        <v>Sales</v>
      </c>
      <c r="D1361">
        <f>RAW_DATA!D1361</f>
        <v>3</v>
      </c>
      <c r="E1361">
        <f>RAW_DATA!E1361</f>
        <v>1</v>
      </c>
      <c r="F1361" t="str">
        <f>RAW_DATA!F1361</f>
        <v>Medical</v>
      </c>
      <c r="G1361">
        <f>RAW_DATA!G1361</f>
        <v>4</v>
      </c>
      <c r="H1361">
        <f>RAW_DATA!H1361</f>
        <v>4</v>
      </c>
      <c r="I1361" t="str">
        <f>RAW_DATA!I1361</f>
        <v>Married</v>
      </c>
      <c r="J1361">
        <f>RAW_DATA!J1361</f>
        <v>8103</v>
      </c>
      <c r="K1361">
        <f>RAW_DATA!K1361</f>
        <v>3</v>
      </c>
      <c r="L1361">
        <f>RAW_DATA!L1361</f>
        <v>2</v>
      </c>
      <c r="M1361">
        <f>RAW_DATA!M1361</f>
        <v>4</v>
      </c>
      <c r="N1361">
        <f t="shared" si="42"/>
        <v>0</v>
      </c>
      <c r="O1361" t="str" cm="1">
        <f t="array" ref="O1361" xml:space="preserve"> _xlfn.IFS(A1361 &lt;ASSUMPTIONS!$D$2,"25",A1361 &lt;= ASSUMPTIONS!$D$3,"25-34",A1361 &lt;= ASSUMPTIONS!$D$4, "35-44",A1361 &lt;= ASSUMPTIONS!$D$5,"45-54",TRUE,"55+")</f>
        <v>25-34</v>
      </c>
      <c r="P1361" t="str" cm="1">
        <f t="array" ref="P1361">_xlfn.IFS( J1361 &lt;ASSUMPTIONS!$D$7,"LOW",J1361 &lt;= ASSUMPTIONS!$D$8,"MEDIUM",TRUE, "HIGH")</f>
        <v>HIGH</v>
      </c>
      <c r="Q1361" t="str">
        <f>IF(M1361&lt;ASSUMPTIONS!$D$10,"New (0-2)",IF(M1361&lt;=ASSUMPTIONS!$D$11,"Early (2-5)",IF(M1361&lt;=ASSUMPTIONS!$D$12,"Established (5-10)","Veteran (10+)")))</f>
        <v>Early (2-5)</v>
      </c>
      <c r="R1361" s="4">
        <f t="shared" si="43"/>
        <v>3.3333333333333335</v>
      </c>
    </row>
    <row r="1362" spans="1:18">
      <c r="A1362">
        <f>RAW_DATA!A1362</f>
        <v>31</v>
      </c>
      <c r="B1362" t="str">
        <f>RAW_DATA!B1362</f>
        <v>No</v>
      </c>
      <c r="C1362" t="str">
        <f>RAW_DATA!C1362</f>
        <v>Research &amp; Development</v>
      </c>
      <c r="D1362">
        <f>RAW_DATA!D1362</f>
        <v>4</v>
      </c>
      <c r="E1362">
        <f>RAW_DATA!E1362</f>
        <v>3</v>
      </c>
      <c r="F1362" t="str">
        <f>RAW_DATA!F1362</f>
        <v>Medical</v>
      </c>
      <c r="G1362">
        <f>RAW_DATA!G1362</f>
        <v>1</v>
      </c>
      <c r="H1362">
        <f>RAW_DATA!H1362</f>
        <v>3</v>
      </c>
      <c r="I1362" t="str">
        <f>RAW_DATA!I1362</f>
        <v>Divorced</v>
      </c>
      <c r="J1362">
        <f>RAW_DATA!J1362</f>
        <v>3978</v>
      </c>
      <c r="K1362">
        <f>RAW_DATA!K1362</f>
        <v>8</v>
      </c>
      <c r="L1362">
        <f>RAW_DATA!L1362</f>
        <v>2</v>
      </c>
      <c r="M1362">
        <f>RAW_DATA!M1362</f>
        <v>2</v>
      </c>
      <c r="N1362">
        <f t="shared" si="42"/>
        <v>0</v>
      </c>
      <c r="O1362" t="str" cm="1">
        <f t="array" ref="O1362" xml:space="preserve"> _xlfn.IFS(A1362 &lt;ASSUMPTIONS!$D$2,"25",A1362 &lt;= ASSUMPTIONS!$D$3,"25-34",A1362 &lt;= ASSUMPTIONS!$D$4, "35-44",A1362 &lt;= ASSUMPTIONS!$D$5,"45-54",TRUE,"55+")</f>
        <v>25-34</v>
      </c>
      <c r="P1362" t="str" cm="1">
        <f t="array" ref="P1362">_xlfn.IFS( J1362 &lt;ASSUMPTIONS!$D$7,"LOW",J1362 &lt;= ASSUMPTIONS!$D$8,"MEDIUM",TRUE, "HIGH")</f>
        <v>MEDIUM</v>
      </c>
      <c r="Q1362" t="str">
        <f>IF(M1362&lt;ASSUMPTIONS!$D$10,"New (0-2)",IF(M1362&lt;=ASSUMPTIONS!$D$11,"Early (2-5)",IF(M1362&lt;=ASSUMPTIONS!$D$12,"Established (5-10)","Veteran (10+)")))</f>
        <v>Early (2-5)</v>
      </c>
      <c r="R1362" s="4">
        <f t="shared" si="43"/>
        <v>2</v>
      </c>
    </row>
    <row r="1363" spans="1:18">
      <c r="A1363">
        <f>RAW_DATA!A1363</f>
        <v>26</v>
      </c>
      <c r="B1363" t="str">
        <f>RAW_DATA!B1363</f>
        <v>No</v>
      </c>
      <c r="C1363" t="str">
        <f>RAW_DATA!C1363</f>
        <v>Research &amp; Development</v>
      </c>
      <c r="D1363">
        <f>RAW_DATA!D1363</f>
        <v>6</v>
      </c>
      <c r="E1363">
        <f>RAW_DATA!E1363</f>
        <v>3</v>
      </c>
      <c r="F1363" t="str">
        <f>RAW_DATA!F1363</f>
        <v>Other</v>
      </c>
      <c r="G1363">
        <f>RAW_DATA!G1363</f>
        <v>3</v>
      </c>
      <c r="H1363">
        <f>RAW_DATA!H1363</f>
        <v>4</v>
      </c>
      <c r="I1363" t="str">
        <f>RAW_DATA!I1363</f>
        <v>Married</v>
      </c>
      <c r="J1363">
        <f>RAW_DATA!J1363</f>
        <v>2544</v>
      </c>
      <c r="K1363">
        <f>RAW_DATA!K1363</f>
        <v>0</v>
      </c>
      <c r="L1363">
        <f>RAW_DATA!L1363</f>
        <v>3</v>
      </c>
      <c r="M1363">
        <f>RAW_DATA!M1363</f>
        <v>7</v>
      </c>
      <c r="N1363">
        <f t="shared" si="42"/>
        <v>0</v>
      </c>
      <c r="O1363" t="str" cm="1">
        <f t="array" ref="O1363" xml:space="preserve"> _xlfn.IFS(A1363 &lt;ASSUMPTIONS!$D$2,"25",A1363 &lt;= ASSUMPTIONS!$D$3,"25-34",A1363 &lt;= ASSUMPTIONS!$D$4, "35-44",A1363 &lt;= ASSUMPTIONS!$D$5,"45-54",TRUE,"55+")</f>
        <v>25-34</v>
      </c>
      <c r="P1363" t="str" cm="1">
        <f t="array" ref="P1363">_xlfn.IFS( J1363 &lt;ASSUMPTIONS!$D$7,"LOW",J1363 &lt;= ASSUMPTIONS!$D$8,"MEDIUM",TRUE, "HIGH")</f>
        <v>LOW</v>
      </c>
      <c r="Q1363" t="str">
        <f>IF(M1363&lt;ASSUMPTIONS!$D$10,"New (0-2)",IF(M1363&lt;=ASSUMPTIONS!$D$11,"Early (2-5)",IF(M1363&lt;=ASSUMPTIONS!$D$12,"Established (5-10)","Veteran (10+)")))</f>
        <v>Established (5-10)</v>
      </c>
      <c r="R1363" s="4">
        <f t="shared" si="43"/>
        <v>3.3333333333333335</v>
      </c>
    </row>
    <row r="1364" spans="1:18">
      <c r="A1364">
        <f>RAW_DATA!A1364</f>
        <v>45</v>
      </c>
      <c r="B1364" t="str">
        <f>RAW_DATA!B1364</f>
        <v>No</v>
      </c>
      <c r="C1364" t="str">
        <f>RAW_DATA!C1364</f>
        <v>Research &amp; Development</v>
      </c>
      <c r="D1364">
        <f>RAW_DATA!D1364</f>
        <v>1</v>
      </c>
      <c r="E1364">
        <f>RAW_DATA!E1364</f>
        <v>4</v>
      </c>
      <c r="F1364" t="str">
        <f>RAW_DATA!F1364</f>
        <v>Medical</v>
      </c>
      <c r="G1364">
        <f>RAW_DATA!G1364</f>
        <v>2</v>
      </c>
      <c r="H1364">
        <f>RAW_DATA!H1364</f>
        <v>3</v>
      </c>
      <c r="I1364" t="str">
        <f>RAW_DATA!I1364</f>
        <v>Single</v>
      </c>
      <c r="J1364">
        <f>RAW_DATA!J1364</f>
        <v>5399</v>
      </c>
      <c r="K1364">
        <f>RAW_DATA!K1364</f>
        <v>4</v>
      </c>
      <c r="L1364">
        <f>RAW_DATA!L1364</f>
        <v>3</v>
      </c>
      <c r="M1364">
        <f>RAW_DATA!M1364</f>
        <v>4</v>
      </c>
      <c r="N1364">
        <f t="shared" si="42"/>
        <v>0</v>
      </c>
      <c r="O1364" t="str" cm="1">
        <f t="array" ref="O1364" xml:space="preserve"> _xlfn.IFS(A1364 &lt;ASSUMPTIONS!$D$2,"25",A1364 &lt;= ASSUMPTIONS!$D$3,"25-34",A1364 &lt;= ASSUMPTIONS!$D$4, "35-44",A1364 &lt;= ASSUMPTIONS!$D$5,"45-54",TRUE,"55+")</f>
        <v>45-54</v>
      </c>
      <c r="P1364" t="str" cm="1">
        <f t="array" ref="P1364">_xlfn.IFS( J1364 &lt;ASSUMPTIONS!$D$7,"LOW",J1364 &lt;= ASSUMPTIONS!$D$8,"MEDIUM",TRUE, "HIGH")</f>
        <v>MEDIUM</v>
      </c>
      <c r="Q1364" t="str">
        <f>IF(M1364&lt;ASSUMPTIONS!$D$10,"New (0-2)",IF(M1364&lt;=ASSUMPTIONS!$D$11,"Early (2-5)",IF(M1364&lt;=ASSUMPTIONS!$D$12,"Established (5-10)","Veteran (10+)")))</f>
        <v>Early (2-5)</v>
      </c>
      <c r="R1364" s="4">
        <f t="shared" si="43"/>
        <v>2.6666666666666665</v>
      </c>
    </row>
    <row r="1365" spans="1:18">
      <c r="A1365">
        <f>RAW_DATA!A1365</f>
        <v>33</v>
      </c>
      <c r="B1365" t="str">
        <f>RAW_DATA!B1365</f>
        <v>No</v>
      </c>
      <c r="C1365" t="str">
        <f>RAW_DATA!C1365</f>
        <v>Sales</v>
      </c>
      <c r="D1365">
        <f>RAW_DATA!D1365</f>
        <v>10</v>
      </c>
      <c r="E1365">
        <f>RAW_DATA!E1365</f>
        <v>4</v>
      </c>
      <c r="F1365" t="str">
        <f>RAW_DATA!F1365</f>
        <v>Marketing</v>
      </c>
      <c r="G1365">
        <f>RAW_DATA!G1365</f>
        <v>2</v>
      </c>
      <c r="H1365">
        <f>RAW_DATA!H1365</f>
        <v>3</v>
      </c>
      <c r="I1365" t="str">
        <f>RAW_DATA!I1365</f>
        <v>Single</v>
      </c>
      <c r="J1365">
        <f>RAW_DATA!J1365</f>
        <v>5487</v>
      </c>
      <c r="K1365">
        <f>RAW_DATA!K1365</f>
        <v>1</v>
      </c>
      <c r="L1365">
        <f>RAW_DATA!L1365</f>
        <v>2</v>
      </c>
      <c r="M1365">
        <f>RAW_DATA!M1365</f>
        <v>10</v>
      </c>
      <c r="N1365">
        <f t="shared" si="42"/>
        <v>0</v>
      </c>
      <c r="O1365" t="str" cm="1">
        <f t="array" ref="O1365" xml:space="preserve"> _xlfn.IFS(A1365 &lt;ASSUMPTIONS!$D$2,"25",A1365 &lt;= ASSUMPTIONS!$D$3,"25-34",A1365 &lt;= ASSUMPTIONS!$D$4, "35-44",A1365 &lt;= ASSUMPTIONS!$D$5,"45-54",TRUE,"55+")</f>
        <v>25-34</v>
      </c>
      <c r="P1365" t="str" cm="1">
        <f t="array" ref="P1365">_xlfn.IFS( J1365 &lt;ASSUMPTIONS!$D$7,"LOW",J1365 &lt;= ASSUMPTIONS!$D$8,"MEDIUM",TRUE, "HIGH")</f>
        <v>MEDIUM</v>
      </c>
      <c r="Q1365" t="str">
        <f>IF(M1365&lt;ASSUMPTIONS!$D$10,"New (0-2)",IF(M1365&lt;=ASSUMPTIONS!$D$11,"Early (2-5)",IF(M1365&lt;=ASSUMPTIONS!$D$12,"Established (5-10)","Veteran (10+)")))</f>
        <v>Established (5-10)</v>
      </c>
      <c r="R1365" s="4">
        <f t="shared" si="43"/>
        <v>2.3333333333333335</v>
      </c>
    </row>
    <row r="1366" spans="1:18">
      <c r="A1366">
        <f>RAW_DATA!A1366</f>
        <v>28</v>
      </c>
      <c r="B1366" t="str">
        <f>RAW_DATA!B1366</f>
        <v>No</v>
      </c>
      <c r="C1366" t="str">
        <f>RAW_DATA!C1366</f>
        <v>Sales</v>
      </c>
      <c r="D1366">
        <f>RAW_DATA!D1366</f>
        <v>1</v>
      </c>
      <c r="E1366">
        <f>RAW_DATA!E1366</f>
        <v>2</v>
      </c>
      <c r="F1366" t="str">
        <f>RAW_DATA!F1366</f>
        <v>Life Sciences</v>
      </c>
      <c r="G1366">
        <f>RAW_DATA!G1366</f>
        <v>3</v>
      </c>
      <c r="H1366">
        <f>RAW_DATA!H1366</f>
        <v>4</v>
      </c>
      <c r="I1366" t="str">
        <f>RAW_DATA!I1366</f>
        <v>Married</v>
      </c>
      <c r="J1366">
        <f>RAW_DATA!J1366</f>
        <v>6834</v>
      </c>
      <c r="K1366">
        <f>RAW_DATA!K1366</f>
        <v>1</v>
      </c>
      <c r="L1366">
        <f>RAW_DATA!L1366</f>
        <v>3</v>
      </c>
      <c r="M1366">
        <f>RAW_DATA!M1366</f>
        <v>7</v>
      </c>
      <c r="N1366">
        <f t="shared" si="42"/>
        <v>0</v>
      </c>
      <c r="O1366" t="str" cm="1">
        <f t="array" ref="O1366" xml:space="preserve"> _xlfn.IFS(A1366 &lt;ASSUMPTIONS!$D$2,"25",A1366 &lt;= ASSUMPTIONS!$D$3,"25-34",A1366 &lt;= ASSUMPTIONS!$D$4, "35-44",A1366 &lt;= ASSUMPTIONS!$D$5,"45-54",TRUE,"55+")</f>
        <v>25-34</v>
      </c>
      <c r="P1366" t="str" cm="1">
        <f t="array" ref="P1366">_xlfn.IFS( J1366 &lt;ASSUMPTIONS!$D$7,"LOW",J1366 &lt;= ASSUMPTIONS!$D$8,"MEDIUM",TRUE, "HIGH")</f>
        <v>MEDIUM</v>
      </c>
      <c r="Q1366" t="str">
        <f>IF(M1366&lt;ASSUMPTIONS!$D$10,"New (0-2)",IF(M1366&lt;=ASSUMPTIONS!$D$11,"Early (2-5)",IF(M1366&lt;=ASSUMPTIONS!$D$12,"Established (5-10)","Veteran (10+)")))</f>
        <v>Established (5-10)</v>
      </c>
      <c r="R1366" s="4">
        <f t="shared" si="43"/>
        <v>3.3333333333333335</v>
      </c>
    </row>
    <row r="1367" spans="1:18">
      <c r="A1367">
        <f>RAW_DATA!A1367</f>
        <v>29</v>
      </c>
      <c r="B1367" t="str">
        <f>RAW_DATA!B1367</f>
        <v>Yes</v>
      </c>
      <c r="C1367" t="str">
        <f>RAW_DATA!C1367</f>
        <v>Sales</v>
      </c>
      <c r="D1367">
        <f>RAW_DATA!D1367</f>
        <v>24</v>
      </c>
      <c r="E1367">
        <f>RAW_DATA!E1367</f>
        <v>3</v>
      </c>
      <c r="F1367" t="str">
        <f>RAW_DATA!F1367</f>
        <v>Technical Degree</v>
      </c>
      <c r="G1367">
        <f>RAW_DATA!G1367</f>
        <v>3</v>
      </c>
      <c r="H1367">
        <f>RAW_DATA!H1367</f>
        <v>1</v>
      </c>
      <c r="I1367" t="str">
        <f>RAW_DATA!I1367</f>
        <v>Single</v>
      </c>
      <c r="J1367">
        <f>RAW_DATA!J1367</f>
        <v>1091</v>
      </c>
      <c r="K1367">
        <f>RAW_DATA!K1367</f>
        <v>1</v>
      </c>
      <c r="L1367">
        <f>RAW_DATA!L1367</f>
        <v>3</v>
      </c>
      <c r="M1367">
        <f>RAW_DATA!M1367</f>
        <v>1</v>
      </c>
      <c r="N1367">
        <f t="shared" si="42"/>
        <v>1</v>
      </c>
      <c r="O1367" t="str" cm="1">
        <f t="array" ref="O1367" xml:space="preserve"> _xlfn.IFS(A1367 &lt;ASSUMPTIONS!$D$2,"25",A1367 &lt;= ASSUMPTIONS!$D$3,"25-34",A1367 &lt;= ASSUMPTIONS!$D$4, "35-44",A1367 &lt;= ASSUMPTIONS!$D$5,"45-54",TRUE,"55+")</f>
        <v>25-34</v>
      </c>
      <c r="P1367" t="str" cm="1">
        <f t="array" ref="P1367">_xlfn.IFS( J1367 &lt;ASSUMPTIONS!$D$7,"LOW",J1367 &lt;= ASSUMPTIONS!$D$8,"MEDIUM",TRUE, "HIGH")</f>
        <v>LOW</v>
      </c>
      <c r="Q1367" t="str">
        <f>IF(M1367&lt;ASSUMPTIONS!$D$10,"New (0-2)",IF(M1367&lt;=ASSUMPTIONS!$D$11,"Early (2-5)",IF(M1367&lt;=ASSUMPTIONS!$D$12,"Established (5-10)","Veteran (10+)")))</f>
        <v>New (0-2)</v>
      </c>
      <c r="R1367" s="4">
        <f t="shared" si="43"/>
        <v>2.3333333333333335</v>
      </c>
    </row>
    <row r="1368" spans="1:18">
      <c r="A1368">
        <f>RAW_DATA!A1368</f>
        <v>39</v>
      </c>
      <c r="B1368" t="str">
        <f>RAW_DATA!B1368</f>
        <v>No</v>
      </c>
      <c r="C1368" t="str">
        <f>RAW_DATA!C1368</f>
        <v>Sales</v>
      </c>
      <c r="D1368">
        <f>RAW_DATA!D1368</f>
        <v>21</v>
      </c>
      <c r="E1368">
        <f>RAW_DATA!E1368</f>
        <v>4</v>
      </c>
      <c r="F1368" t="str">
        <f>RAW_DATA!F1368</f>
        <v>Life Sciences</v>
      </c>
      <c r="G1368">
        <f>RAW_DATA!G1368</f>
        <v>1</v>
      </c>
      <c r="H1368">
        <f>RAW_DATA!H1368</f>
        <v>3</v>
      </c>
      <c r="I1368" t="str">
        <f>RAW_DATA!I1368</f>
        <v>Married</v>
      </c>
      <c r="J1368">
        <f>RAW_DATA!J1368</f>
        <v>5736</v>
      </c>
      <c r="K1368">
        <f>RAW_DATA!K1368</f>
        <v>6</v>
      </c>
      <c r="L1368">
        <f>RAW_DATA!L1368</f>
        <v>3</v>
      </c>
      <c r="M1368">
        <f>RAW_DATA!M1368</f>
        <v>3</v>
      </c>
      <c r="N1368">
        <f t="shared" si="42"/>
        <v>0</v>
      </c>
      <c r="O1368" t="str" cm="1">
        <f t="array" ref="O1368" xml:space="preserve"> _xlfn.IFS(A1368 &lt;ASSUMPTIONS!$D$2,"25",A1368 &lt;= ASSUMPTIONS!$D$3,"25-34",A1368 &lt;= ASSUMPTIONS!$D$4, "35-44",A1368 &lt;= ASSUMPTIONS!$D$5,"45-54",TRUE,"55+")</f>
        <v>35-44</v>
      </c>
      <c r="P1368" t="str" cm="1">
        <f t="array" ref="P1368">_xlfn.IFS( J1368 &lt;ASSUMPTIONS!$D$7,"LOW",J1368 &lt;= ASSUMPTIONS!$D$8,"MEDIUM",TRUE, "HIGH")</f>
        <v>MEDIUM</v>
      </c>
      <c r="Q1368" t="str">
        <f>IF(M1368&lt;ASSUMPTIONS!$D$10,"New (0-2)",IF(M1368&lt;=ASSUMPTIONS!$D$11,"Early (2-5)",IF(M1368&lt;=ASSUMPTIONS!$D$12,"Established (5-10)","Veteran (10+)")))</f>
        <v>Early (2-5)</v>
      </c>
      <c r="R1368" s="4">
        <f t="shared" si="43"/>
        <v>2.3333333333333335</v>
      </c>
    </row>
    <row r="1369" spans="1:18">
      <c r="A1369">
        <f>RAW_DATA!A1369</f>
        <v>27</v>
      </c>
      <c r="B1369" t="str">
        <f>RAW_DATA!B1369</f>
        <v>No</v>
      </c>
      <c r="C1369" t="str">
        <f>RAW_DATA!C1369</f>
        <v>Research &amp; Development</v>
      </c>
      <c r="D1369">
        <f>RAW_DATA!D1369</f>
        <v>2</v>
      </c>
      <c r="E1369">
        <f>RAW_DATA!E1369</f>
        <v>4</v>
      </c>
      <c r="F1369" t="str">
        <f>RAW_DATA!F1369</f>
        <v>Technical Degree</v>
      </c>
      <c r="G1369">
        <f>RAW_DATA!G1369</f>
        <v>2</v>
      </c>
      <c r="H1369">
        <f>RAW_DATA!H1369</f>
        <v>2</v>
      </c>
      <c r="I1369" t="str">
        <f>RAW_DATA!I1369</f>
        <v>Married</v>
      </c>
      <c r="J1369">
        <f>RAW_DATA!J1369</f>
        <v>2226</v>
      </c>
      <c r="K1369">
        <f>RAW_DATA!K1369</f>
        <v>1</v>
      </c>
      <c r="L1369">
        <f>RAW_DATA!L1369</f>
        <v>2</v>
      </c>
      <c r="M1369">
        <f>RAW_DATA!M1369</f>
        <v>5</v>
      </c>
      <c r="N1369">
        <f t="shared" si="42"/>
        <v>0</v>
      </c>
      <c r="O1369" t="str" cm="1">
        <f t="array" ref="O1369" xml:space="preserve"> _xlfn.IFS(A1369 &lt;ASSUMPTIONS!$D$2,"25",A1369 &lt;= ASSUMPTIONS!$D$3,"25-34",A1369 &lt;= ASSUMPTIONS!$D$4, "35-44",A1369 &lt;= ASSUMPTIONS!$D$5,"45-54",TRUE,"55+")</f>
        <v>25-34</v>
      </c>
      <c r="P1369" t="str" cm="1">
        <f t="array" ref="P1369">_xlfn.IFS( J1369 &lt;ASSUMPTIONS!$D$7,"LOW",J1369 &lt;= ASSUMPTIONS!$D$8,"MEDIUM",TRUE, "HIGH")</f>
        <v>LOW</v>
      </c>
      <c r="Q1369" t="str">
        <f>IF(M1369&lt;ASSUMPTIONS!$D$10,"New (0-2)",IF(M1369&lt;=ASSUMPTIONS!$D$11,"Early (2-5)",IF(M1369&lt;=ASSUMPTIONS!$D$12,"Established (5-10)","Veteran (10+)")))</f>
        <v>Early (2-5)</v>
      </c>
      <c r="R1369" s="4">
        <f t="shared" si="43"/>
        <v>2</v>
      </c>
    </row>
    <row r="1370" spans="1:18">
      <c r="A1370">
        <f>RAW_DATA!A1370</f>
        <v>34</v>
      </c>
      <c r="B1370" t="str">
        <f>RAW_DATA!B1370</f>
        <v>No</v>
      </c>
      <c r="C1370" t="str">
        <f>RAW_DATA!C1370</f>
        <v>Research &amp; Development</v>
      </c>
      <c r="D1370">
        <f>RAW_DATA!D1370</f>
        <v>22</v>
      </c>
      <c r="E1370">
        <f>RAW_DATA!E1370</f>
        <v>4</v>
      </c>
      <c r="F1370" t="str">
        <f>RAW_DATA!F1370</f>
        <v>Other</v>
      </c>
      <c r="G1370">
        <f>RAW_DATA!G1370</f>
        <v>3</v>
      </c>
      <c r="H1370">
        <f>RAW_DATA!H1370</f>
        <v>4</v>
      </c>
      <c r="I1370" t="str">
        <f>RAW_DATA!I1370</f>
        <v>Married</v>
      </c>
      <c r="J1370">
        <f>RAW_DATA!J1370</f>
        <v>5747</v>
      </c>
      <c r="K1370">
        <f>RAW_DATA!K1370</f>
        <v>1</v>
      </c>
      <c r="L1370">
        <f>RAW_DATA!L1370</f>
        <v>3</v>
      </c>
      <c r="M1370">
        <f>RAW_DATA!M1370</f>
        <v>15</v>
      </c>
      <c r="N1370">
        <f t="shared" si="42"/>
        <v>0</v>
      </c>
      <c r="O1370" t="str" cm="1">
        <f t="array" ref="O1370" xml:space="preserve"> _xlfn.IFS(A1370 &lt;ASSUMPTIONS!$D$2,"25",A1370 &lt;= ASSUMPTIONS!$D$3,"25-34",A1370 &lt;= ASSUMPTIONS!$D$4, "35-44",A1370 &lt;= ASSUMPTIONS!$D$5,"45-54",TRUE,"55+")</f>
        <v>25-34</v>
      </c>
      <c r="P1370" t="str" cm="1">
        <f t="array" ref="P1370">_xlfn.IFS( J1370 &lt;ASSUMPTIONS!$D$7,"LOW",J1370 &lt;= ASSUMPTIONS!$D$8,"MEDIUM",TRUE, "HIGH")</f>
        <v>MEDIUM</v>
      </c>
      <c r="Q1370" t="str">
        <f>IF(M1370&lt;ASSUMPTIONS!$D$10,"New (0-2)",IF(M1370&lt;=ASSUMPTIONS!$D$11,"Early (2-5)",IF(M1370&lt;=ASSUMPTIONS!$D$12,"Established (5-10)","Veteran (10+)")))</f>
        <v>Veteran (10+)</v>
      </c>
      <c r="R1370" s="4">
        <f t="shared" si="43"/>
        <v>3.3333333333333335</v>
      </c>
    </row>
    <row r="1371" spans="1:18">
      <c r="A1371">
        <f>RAW_DATA!A1371</f>
        <v>28</v>
      </c>
      <c r="B1371" t="str">
        <f>RAW_DATA!B1371</f>
        <v>Yes</v>
      </c>
      <c r="C1371" t="str">
        <f>RAW_DATA!C1371</f>
        <v>Sales</v>
      </c>
      <c r="D1371">
        <f>RAW_DATA!D1371</f>
        <v>13</v>
      </c>
      <c r="E1371">
        <f>RAW_DATA!E1371</f>
        <v>2</v>
      </c>
      <c r="F1371" t="str">
        <f>RAW_DATA!F1371</f>
        <v>Marketing</v>
      </c>
      <c r="G1371">
        <f>RAW_DATA!G1371</f>
        <v>4</v>
      </c>
      <c r="H1371">
        <f>RAW_DATA!H1371</f>
        <v>3</v>
      </c>
      <c r="I1371" t="str">
        <f>RAW_DATA!I1371</f>
        <v>Single</v>
      </c>
      <c r="J1371">
        <f>RAW_DATA!J1371</f>
        <v>9854</v>
      </c>
      <c r="K1371">
        <f>RAW_DATA!K1371</f>
        <v>3</v>
      </c>
      <c r="L1371">
        <f>RAW_DATA!L1371</f>
        <v>3</v>
      </c>
      <c r="M1371">
        <f>RAW_DATA!M1371</f>
        <v>2</v>
      </c>
      <c r="N1371">
        <f t="shared" si="42"/>
        <v>1</v>
      </c>
      <c r="O1371" t="str" cm="1">
        <f t="array" ref="O1371" xml:space="preserve"> _xlfn.IFS(A1371 &lt;ASSUMPTIONS!$D$2,"25",A1371 &lt;= ASSUMPTIONS!$D$3,"25-34",A1371 &lt;= ASSUMPTIONS!$D$4, "35-44",A1371 &lt;= ASSUMPTIONS!$D$5,"45-54",TRUE,"55+")</f>
        <v>25-34</v>
      </c>
      <c r="P1371" t="str" cm="1">
        <f t="array" ref="P1371">_xlfn.IFS( J1371 &lt;ASSUMPTIONS!$D$7,"LOW",J1371 &lt;= ASSUMPTIONS!$D$8,"MEDIUM",TRUE, "HIGH")</f>
        <v>HIGH</v>
      </c>
      <c r="Q1371" t="str">
        <f>IF(M1371&lt;ASSUMPTIONS!$D$10,"New (0-2)",IF(M1371&lt;=ASSUMPTIONS!$D$11,"Early (2-5)",IF(M1371&lt;=ASSUMPTIONS!$D$12,"Established (5-10)","Veteran (10+)")))</f>
        <v>Early (2-5)</v>
      </c>
      <c r="R1371" s="4">
        <f t="shared" si="43"/>
        <v>3.3333333333333335</v>
      </c>
    </row>
    <row r="1372" spans="1:18">
      <c r="A1372">
        <f>RAW_DATA!A1372</f>
        <v>47</v>
      </c>
      <c r="B1372" t="str">
        <f>RAW_DATA!B1372</f>
        <v>No</v>
      </c>
      <c r="C1372" t="str">
        <f>RAW_DATA!C1372</f>
        <v>Research &amp; Development</v>
      </c>
      <c r="D1372">
        <f>RAW_DATA!D1372</f>
        <v>14</v>
      </c>
      <c r="E1372">
        <f>RAW_DATA!E1372</f>
        <v>4</v>
      </c>
      <c r="F1372" t="str">
        <f>RAW_DATA!F1372</f>
        <v>Technical Degree</v>
      </c>
      <c r="G1372">
        <f>RAW_DATA!G1372</f>
        <v>3</v>
      </c>
      <c r="H1372">
        <f>RAW_DATA!H1372</f>
        <v>2</v>
      </c>
      <c r="I1372" t="str">
        <f>RAW_DATA!I1372</f>
        <v>Married</v>
      </c>
      <c r="J1372">
        <f>RAW_DATA!J1372</f>
        <v>5467</v>
      </c>
      <c r="K1372">
        <f>RAW_DATA!K1372</f>
        <v>8</v>
      </c>
      <c r="L1372">
        <f>RAW_DATA!L1372</f>
        <v>4</v>
      </c>
      <c r="M1372">
        <f>RAW_DATA!M1372</f>
        <v>8</v>
      </c>
      <c r="N1372">
        <f t="shared" si="42"/>
        <v>0</v>
      </c>
      <c r="O1372" t="str" cm="1">
        <f t="array" ref="O1372" xml:space="preserve"> _xlfn.IFS(A1372 &lt;ASSUMPTIONS!$D$2,"25",A1372 &lt;= ASSUMPTIONS!$D$3,"25-34",A1372 &lt;= ASSUMPTIONS!$D$4, "35-44",A1372 &lt;= ASSUMPTIONS!$D$5,"45-54",TRUE,"55+")</f>
        <v>45-54</v>
      </c>
      <c r="P1372" t="str" cm="1">
        <f t="array" ref="P1372">_xlfn.IFS( J1372 &lt;ASSUMPTIONS!$D$7,"LOW",J1372 &lt;= ASSUMPTIONS!$D$8,"MEDIUM",TRUE, "HIGH")</f>
        <v>MEDIUM</v>
      </c>
      <c r="Q1372" t="str">
        <f>IF(M1372&lt;ASSUMPTIONS!$D$10,"New (0-2)",IF(M1372&lt;=ASSUMPTIONS!$D$11,"Early (2-5)",IF(M1372&lt;=ASSUMPTIONS!$D$12,"Established (5-10)","Veteran (10+)")))</f>
        <v>Established (5-10)</v>
      </c>
      <c r="R1372" s="4">
        <f t="shared" si="43"/>
        <v>3</v>
      </c>
    </row>
    <row r="1373" spans="1:18">
      <c r="A1373">
        <f>RAW_DATA!A1373</f>
        <v>56</v>
      </c>
      <c r="B1373" t="str">
        <f>RAW_DATA!B1373</f>
        <v>No</v>
      </c>
      <c r="C1373" t="str">
        <f>RAW_DATA!C1373</f>
        <v>Sales</v>
      </c>
      <c r="D1373">
        <f>RAW_DATA!D1373</f>
        <v>11</v>
      </c>
      <c r="E1373">
        <f>RAW_DATA!E1373</f>
        <v>5</v>
      </c>
      <c r="F1373" t="str">
        <f>RAW_DATA!F1373</f>
        <v>Marketing</v>
      </c>
      <c r="G1373">
        <f>RAW_DATA!G1373</f>
        <v>4</v>
      </c>
      <c r="H1373">
        <f>RAW_DATA!H1373</f>
        <v>1</v>
      </c>
      <c r="I1373" t="str">
        <f>RAW_DATA!I1373</f>
        <v>Married</v>
      </c>
      <c r="J1373">
        <f>RAW_DATA!J1373</f>
        <v>5380</v>
      </c>
      <c r="K1373">
        <f>RAW_DATA!K1373</f>
        <v>4</v>
      </c>
      <c r="L1373">
        <f>RAW_DATA!L1373</f>
        <v>3</v>
      </c>
      <c r="M1373">
        <f>RAW_DATA!M1373</f>
        <v>0</v>
      </c>
      <c r="N1373">
        <f t="shared" si="42"/>
        <v>0</v>
      </c>
      <c r="O1373" t="str" cm="1">
        <f t="array" ref="O1373" xml:space="preserve"> _xlfn.IFS(A1373 &lt;ASSUMPTIONS!$D$2,"25",A1373 &lt;= ASSUMPTIONS!$D$3,"25-34",A1373 &lt;= ASSUMPTIONS!$D$4, "35-44",A1373 &lt;= ASSUMPTIONS!$D$5,"45-54",TRUE,"55+")</f>
        <v>55+</v>
      </c>
      <c r="P1373" t="str" cm="1">
        <f t="array" ref="P1373">_xlfn.IFS( J1373 &lt;ASSUMPTIONS!$D$7,"LOW",J1373 &lt;= ASSUMPTIONS!$D$8,"MEDIUM",TRUE, "HIGH")</f>
        <v>MEDIUM</v>
      </c>
      <c r="Q1373" t="str">
        <f>IF(M1373&lt;ASSUMPTIONS!$D$10,"New (0-2)",IF(M1373&lt;=ASSUMPTIONS!$D$11,"Early (2-5)",IF(M1373&lt;=ASSUMPTIONS!$D$12,"Established (5-10)","Veteran (10+)")))</f>
        <v>New (0-2)</v>
      </c>
      <c r="R1373" s="4">
        <f t="shared" si="43"/>
        <v>2.6666666666666665</v>
      </c>
    </row>
    <row r="1374" spans="1:18">
      <c r="A1374">
        <f>RAW_DATA!A1374</f>
        <v>39</v>
      </c>
      <c r="B1374" t="str">
        <f>RAW_DATA!B1374</f>
        <v>No</v>
      </c>
      <c r="C1374" t="str">
        <f>RAW_DATA!C1374</f>
        <v>Research &amp; Development</v>
      </c>
      <c r="D1374">
        <f>RAW_DATA!D1374</f>
        <v>9</v>
      </c>
      <c r="E1374">
        <f>RAW_DATA!E1374</f>
        <v>2</v>
      </c>
      <c r="F1374" t="str">
        <f>RAW_DATA!F1374</f>
        <v>Medical</v>
      </c>
      <c r="G1374">
        <f>RAW_DATA!G1374</f>
        <v>1</v>
      </c>
      <c r="H1374">
        <f>RAW_DATA!H1374</f>
        <v>1</v>
      </c>
      <c r="I1374" t="str">
        <f>RAW_DATA!I1374</f>
        <v>Married</v>
      </c>
      <c r="J1374">
        <f>RAW_DATA!J1374</f>
        <v>5151</v>
      </c>
      <c r="K1374">
        <f>RAW_DATA!K1374</f>
        <v>1</v>
      </c>
      <c r="L1374">
        <f>RAW_DATA!L1374</f>
        <v>3</v>
      </c>
      <c r="M1374">
        <f>RAW_DATA!M1374</f>
        <v>10</v>
      </c>
      <c r="N1374">
        <f t="shared" si="42"/>
        <v>0</v>
      </c>
      <c r="O1374" t="str" cm="1">
        <f t="array" ref="O1374" xml:space="preserve"> _xlfn.IFS(A1374 &lt;ASSUMPTIONS!$D$2,"25",A1374 &lt;= ASSUMPTIONS!$D$3,"25-34",A1374 &lt;= ASSUMPTIONS!$D$4, "35-44",A1374 &lt;= ASSUMPTIONS!$D$5,"45-54",TRUE,"55+")</f>
        <v>35-44</v>
      </c>
      <c r="P1374" t="str" cm="1">
        <f t="array" ref="P1374">_xlfn.IFS( J1374 &lt;ASSUMPTIONS!$D$7,"LOW",J1374 &lt;= ASSUMPTIONS!$D$8,"MEDIUM",TRUE, "HIGH")</f>
        <v>MEDIUM</v>
      </c>
      <c r="Q1374" t="str">
        <f>IF(M1374&lt;ASSUMPTIONS!$D$10,"New (0-2)",IF(M1374&lt;=ASSUMPTIONS!$D$11,"Early (2-5)",IF(M1374&lt;=ASSUMPTIONS!$D$12,"Established (5-10)","Veteran (10+)")))</f>
        <v>Established (5-10)</v>
      </c>
      <c r="R1374" s="4">
        <f t="shared" si="43"/>
        <v>1.6666666666666667</v>
      </c>
    </row>
    <row r="1375" spans="1:18">
      <c r="A1375">
        <f>RAW_DATA!A1375</f>
        <v>38</v>
      </c>
      <c r="B1375" t="str">
        <f>RAW_DATA!B1375</f>
        <v>No</v>
      </c>
      <c r="C1375" t="str">
        <f>RAW_DATA!C1375</f>
        <v>Research &amp; Development</v>
      </c>
      <c r="D1375">
        <f>RAW_DATA!D1375</f>
        <v>8</v>
      </c>
      <c r="E1375">
        <f>RAW_DATA!E1375</f>
        <v>3</v>
      </c>
      <c r="F1375" t="str">
        <f>RAW_DATA!F1375</f>
        <v>Medical</v>
      </c>
      <c r="G1375">
        <f>RAW_DATA!G1375</f>
        <v>4</v>
      </c>
      <c r="H1375">
        <f>RAW_DATA!H1375</f>
        <v>2</v>
      </c>
      <c r="I1375" t="str">
        <f>RAW_DATA!I1375</f>
        <v>Divorced</v>
      </c>
      <c r="J1375">
        <f>RAW_DATA!J1375</f>
        <v>2133</v>
      </c>
      <c r="K1375">
        <f>RAW_DATA!K1375</f>
        <v>1</v>
      </c>
      <c r="L1375">
        <f>RAW_DATA!L1375</f>
        <v>3</v>
      </c>
      <c r="M1375">
        <f>RAW_DATA!M1375</f>
        <v>20</v>
      </c>
      <c r="N1375">
        <f t="shared" si="42"/>
        <v>0</v>
      </c>
      <c r="O1375" t="str" cm="1">
        <f t="array" ref="O1375" xml:space="preserve"> _xlfn.IFS(A1375 &lt;ASSUMPTIONS!$D$2,"25",A1375 &lt;= ASSUMPTIONS!$D$3,"25-34",A1375 &lt;= ASSUMPTIONS!$D$4, "35-44",A1375 &lt;= ASSUMPTIONS!$D$5,"45-54",TRUE,"55+")</f>
        <v>35-44</v>
      </c>
      <c r="P1375" t="str" cm="1">
        <f t="array" ref="P1375">_xlfn.IFS( J1375 &lt;ASSUMPTIONS!$D$7,"LOW",J1375 &lt;= ASSUMPTIONS!$D$8,"MEDIUM",TRUE, "HIGH")</f>
        <v>LOW</v>
      </c>
      <c r="Q1375" t="str">
        <f>IF(M1375&lt;ASSUMPTIONS!$D$10,"New (0-2)",IF(M1375&lt;=ASSUMPTIONS!$D$11,"Early (2-5)",IF(M1375&lt;=ASSUMPTIONS!$D$12,"Established (5-10)","Veteran (10+)")))</f>
        <v>Veteran (10+)</v>
      </c>
      <c r="R1375" s="4">
        <f t="shared" si="43"/>
        <v>3</v>
      </c>
    </row>
    <row r="1376" spans="1:18">
      <c r="A1376">
        <f>RAW_DATA!A1376</f>
        <v>58</v>
      </c>
      <c r="B1376" t="str">
        <f>RAW_DATA!B1376</f>
        <v>No</v>
      </c>
      <c r="C1376" t="str">
        <f>RAW_DATA!C1376</f>
        <v>Sales</v>
      </c>
      <c r="D1376">
        <f>RAW_DATA!D1376</f>
        <v>21</v>
      </c>
      <c r="E1376">
        <f>RAW_DATA!E1376</f>
        <v>3</v>
      </c>
      <c r="F1376" t="str">
        <f>RAW_DATA!F1376</f>
        <v>Life Sciences</v>
      </c>
      <c r="G1376">
        <f>RAW_DATA!G1376</f>
        <v>4</v>
      </c>
      <c r="H1376">
        <f>RAW_DATA!H1376</f>
        <v>4</v>
      </c>
      <c r="I1376" t="str">
        <f>RAW_DATA!I1376</f>
        <v>Married</v>
      </c>
      <c r="J1376">
        <f>RAW_DATA!J1376</f>
        <v>17875</v>
      </c>
      <c r="K1376">
        <f>RAW_DATA!K1376</f>
        <v>4</v>
      </c>
      <c r="L1376">
        <f>RAW_DATA!L1376</f>
        <v>2</v>
      </c>
      <c r="M1376">
        <f>RAW_DATA!M1376</f>
        <v>1</v>
      </c>
      <c r="N1376">
        <f t="shared" si="42"/>
        <v>0</v>
      </c>
      <c r="O1376" t="str" cm="1">
        <f t="array" ref="O1376" xml:space="preserve"> _xlfn.IFS(A1376 &lt;ASSUMPTIONS!$D$2,"25",A1376 &lt;= ASSUMPTIONS!$D$3,"25-34",A1376 &lt;= ASSUMPTIONS!$D$4, "35-44",A1376 &lt;= ASSUMPTIONS!$D$5,"45-54",TRUE,"55+")</f>
        <v>55+</v>
      </c>
      <c r="P1376" t="str" cm="1">
        <f t="array" ref="P1376">_xlfn.IFS( J1376 &lt;ASSUMPTIONS!$D$7,"LOW",J1376 &lt;= ASSUMPTIONS!$D$8,"MEDIUM",TRUE, "HIGH")</f>
        <v>HIGH</v>
      </c>
      <c r="Q1376" t="str">
        <f>IF(M1376&lt;ASSUMPTIONS!$D$10,"New (0-2)",IF(M1376&lt;=ASSUMPTIONS!$D$11,"Early (2-5)",IF(M1376&lt;=ASSUMPTIONS!$D$12,"Established (5-10)","Veteran (10+)")))</f>
        <v>New (0-2)</v>
      </c>
      <c r="R1376" s="4">
        <f t="shared" si="43"/>
        <v>3.3333333333333335</v>
      </c>
    </row>
    <row r="1377" spans="1:18">
      <c r="A1377">
        <f>RAW_DATA!A1377</f>
        <v>32</v>
      </c>
      <c r="B1377" t="str">
        <f>RAW_DATA!B1377</f>
        <v>Yes</v>
      </c>
      <c r="C1377" t="str">
        <f>RAW_DATA!C1377</f>
        <v>Research &amp; Development</v>
      </c>
      <c r="D1377">
        <f>RAW_DATA!D1377</f>
        <v>5</v>
      </c>
      <c r="E1377">
        <f>RAW_DATA!E1377</f>
        <v>2</v>
      </c>
      <c r="F1377" t="str">
        <f>RAW_DATA!F1377</f>
        <v>Life Sciences</v>
      </c>
      <c r="G1377">
        <f>RAW_DATA!G1377</f>
        <v>1</v>
      </c>
      <c r="H1377">
        <f>RAW_DATA!H1377</f>
        <v>3</v>
      </c>
      <c r="I1377" t="str">
        <f>RAW_DATA!I1377</f>
        <v>Single</v>
      </c>
      <c r="J1377">
        <f>RAW_DATA!J1377</f>
        <v>2432</v>
      </c>
      <c r="K1377">
        <f>RAW_DATA!K1377</f>
        <v>3</v>
      </c>
      <c r="L1377">
        <f>RAW_DATA!L1377</f>
        <v>3</v>
      </c>
      <c r="M1377">
        <f>RAW_DATA!M1377</f>
        <v>4</v>
      </c>
      <c r="N1377">
        <f t="shared" si="42"/>
        <v>1</v>
      </c>
      <c r="O1377" t="str" cm="1">
        <f t="array" ref="O1377" xml:space="preserve"> _xlfn.IFS(A1377 &lt;ASSUMPTIONS!$D$2,"25",A1377 &lt;= ASSUMPTIONS!$D$3,"25-34",A1377 &lt;= ASSUMPTIONS!$D$4, "35-44",A1377 &lt;= ASSUMPTIONS!$D$5,"45-54",TRUE,"55+")</f>
        <v>25-34</v>
      </c>
      <c r="P1377" t="str" cm="1">
        <f t="array" ref="P1377">_xlfn.IFS( J1377 &lt;ASSUMPTIONS!$D$7,"LOW",J1377 &lt;= ASSUMPTIONS!$D$8,"MEDIUM",TRUE, "HIGH")</f>
        <v>LOW</v>
      </c>
      <c r="Q1377" t="str">
        <f>IF(M1377&lt;ASSUMPTIONS!$D$10,"New (0-2)",IF(M1377&lt;=ASSUMPTIONS!$D$11,"Early (2-5)",IF(M1377&lt;=ASSUMPTIONS!$D$12,"Established (5-10)","Veteran (10+)")))</f>
        <v>Early (2-5)</v>
      </c>
      <c r="R1377" s="4">
        <f t="shared" si="43"/>
        <v>2.3333333333333335</v>
      </c>
    </row>
    <row r="1378" spans="1:18">
      <c r="A1378">
        <f>RAW_DATA!A1378</f>
        <v>38</v>
      </c>
      <c r="B1378" t="str">
        <f>RAW_DATA!B1378</f>
        <v>No</v>
      </c>
      <c r="C1378" t="str">
        <f>RAW_DATA!C1378</f>
        <v>Research &amp; Development</v>
      </c>
      <c r="D1378">
        <f>RAW_DATA!D1378</f>
        <v>9</v>
      </c>
      <c r="E1378">
        <f>RAW_DATA!E1378</f>
        <v>2</v>
      </c>
      <c r="F1378" t="str">
        <f>RAW_DATA!F1378</f>
        <v>Life Sciences</v>
      </c>
      <c r="G1378">
        <f>RAW_DATA!G1378</f>
        <v>2</v>
      </c>
      <c r="H1378">
        <f>RAW_DATA!H1378</f>
        <v>4</v>
      </c>
      <c r="I1378" t="str">
        <f>RAW_DATA!I1378</f>
        <v>Divorced</v>
      </c>
      <c r="J1378">
        <f>RAW_DATA!J1378</f>
        <v>4771</v>
      </c>
      <c r="K1378">
        <f>RAW_DATA!K1378</f>
        <v>2</v>
      </c>
      <c r="L1378">
        <f>RAW_DATA!L1378</f>
        <v>4</v>
      </c>
      <c r="M1378">
        <f>RAW_DATA!M1378</f>
        <v>5</v>
      </c>
      <c r="N1378">
        <f t="shared" si="42"/>
        <v>0</v>
      </c>
      <c r="O1378" t="str" cm="1">
        <f t="array" ref="O1378" xml:space="preserve"> _xlfn.IFS(A1378 &lt;ASSUMPTIONS!$D$2,"25",A1378 &lt;= ASSUMPTIONS!$D$3,"25-34",A1378 &lt;= ASSUMPTIONS!$D$4, "35-44",A1378 &lt;= ASSUMPTIONS!$D$5,"45-54",TRUE,"55+")</f>
        <v>35-44</v>
      </c>
      <c r="P1378" t="str" cm="1">
        <f t="array" ref="P1378">_xlfn.IFS( J1378 &lt;ASSUMPTIONS!$D$7,"LOW",J1378 &lt;= ASSUMPTIONS!$D$8,"MEDIUM",TRUE, "HIGH")</f>
        <v>MEDIUM</v>
      </c>
      <c r="Q1378" t="str">
        <f>IF(M1378&lt;ASSUMPTIONS!$D$10,"New (0-2)",IF(M1378&lt;=ASSUMPTIONS!$D$11,"Early (2-5)",IF(M1378&lt;=ASSUMPTIONS!$D$12,"Established (5-10)","Veteran (10+)")))</f>
        <v>Early (2-5)</v>
      </c>
      <c r="R1378" s="4">
        <f t="shared" si="43"/>
        <v>3.3333333333333335</v>
      </c>
    </row>
    <row r="1379" spans="1:18">
      <c r="A1379">
        <f>RAW_DATA!A1379</f>
        <v>49</v>
      </c>
      <c r="B1379" t="str">
        <f>RAW_DATA!B1379</f>
        <v>No</v>
      </c>
      <c r="C1379" t="str">
        <f>RAW_DATA!C1379</f>
        <v>Research &amp; Development</v>
      </c>
      <c r="D1379">
        <f>RAW_DATA!D1379</f>
        <v>2</v>
      </c>
      <c r="E1379">
        <f>RAW_DATA!E1379</f>
        <v>1</v>
      </c>
      <c r="F1379" t="str">
        <f>RAW_DATA!F1379</f>
        <v>Life Sciences</v>
      </c>
      <c r="G1379">
        <f>RAW_DATA!G1379</f>
        <v>2</v>
      </c>
      <c r="H1379">
        <f>RAW_DATA!H1379</f>
        <v>4</v>
      </c>
      <c r="I1379" t="str">
        <f>RAW_DATA!I1379</f>
        <v>Married</v>
      </c>
      <c r="J1379">
        <f>RAW_DATA!J1379</f>
        <v>19161</v>
      </c>
      <c r="K1379">
        <f>RAW_DATA!K1379</f>
        <v>3</v>
      </c>
      <c r="L1379">
        <f>RAW_DATA!L1379</f>
        <v>3</v>
      </c>
      <c r="M1379">
        <f>RAW_DATA!M1379</f>
        <v>5</v>
      </c>
      <c r="N1379">
        <f t="shared" si="42"/>
        <v>0</v>
      </c>
      <c r="O1379" t="str" cm="1">
        <f t="array" ref="O1379" xml:space="preserve"> _xlfn.IFS(A1379 &lt;ASSUMPTIONS!$D$2,"25",A1379 &lt;= ASSUMPTIONS!$D$3,"25-34",A1379 &lt;= ASSUMPTIONS!$D$4, "35-44",A1379 &lt;= ASSUMPTIONS!$D$5,"45-54",TRUE,"55+")</f>
        <v>45-54</v>
      </c>
      <c r="P1379" t="str" cm="1">
        <f t="array" ref="P1379">_xlfn.IFS( J1379 &lt;ASSUMPTIONS!$D$7,"LOW",J1379 &lt;= ASSUMPTIONS!$D$8,"MEDIUM",TRUE, "HIGH")</f>
        <v>HIGH</v>
      </c>
      <c r="Q1379" t="str">
        <f>IF(M1379&lt;ASSUMPTIONS!$D$10,"New (0-2)",IF(M1379&lt;=ASSUMPTIONS!$D$11,"Early (2-5)",IF(M1379&lt;=ASSUMPTIONS!$D$12,"Established (5-10)","Veteran (10+)")))</f>
        <v>Early (2-5)</v>
      </c>
      <c r="R1379" s="4">
        <f t="shared" si="43"/>
        <v>3</v>
      </c>
    </row>
    <row r="1380" spans="1:18">
      <c r="A1380">
        <f>RAW_DATA!A1380</f>
        <v>42</v>
      </c>
      <c r="B1380" t="str">
        <f>RAW_DATA!B1380</f>
        <v>No</v>
      </c>
      <c r="C1380" t="str">
        <f>RAW_DATA!C1380</f>
        <v>Sales</v>
      </c>
      <c r="D1380">
        <f>RAW_DATA!D1380</f>
        <v>12</v>
      </c>
      <c r="E1380">
        <f>RAW_DATA!E1380</f>
        <v>4</v>
      </c>
      <c r="F1380" t="str">
        <f>RAW_DATA!F1380</f>
        <v>Marketing</v>
      </c>
      <c r="G1380">
        <f>RAW_DATA!G1380</f>
        <v>2</v>
      </c>
      <c r="H1380">
        <f>RAW_DATA!H1380</f>
        <v>4</v>
      </c>
      <c r="I1380" t="str">
        <f>RAW_DATA!I1380</f>
        <v>Divorced</v>
      </c>
      <c r="J1380">
        <f>RAW_DATA!J1380</f>
        <v>5087</v>
      </c>
      <c r="K1380">
        <f>RAW_DATA!K1380</f>
        <v>3</v>
      </c>
      <c r="L1380">
        <f>RAW_DATA!L1380</f>
        <v>3</v>
      </c>
      <c r="M1380">
        <f>RAW_DATA!M1380</f>
        <v>0</v>
      </c>
      <c r="N1380">
        <f t="shared" si="42"/>
        <v>0</v>
      </c>
      <c r="O1380" t="str" cm="1">
        <f t="array" ref="O1380" xml:space="preserve"> _xlfn.IFS(A1380 &lt;ASSUMPTIONS!$D$2,"25",A1380 &lt;= ASSUMPTIONS!$D$3,"25-34",A1380 &lt;= ASSUMPTIONS!$D$4, "35-44",A1380 &lt;= ASSUMPTIONS!$D$5,"45-54",TRUE,"55+")</f>
        <v>35-44</v>
      </c>
      <c r="P1380" t="str" cm="1">
        <f t="array" ref="P1380">_xlfn.IFS( J1380 &lt;ASSUMPTIONS!$D$7,"LOW",J1380 &lt;= ASSUMPTIONS!$D$8,"MEDIUM",TRUE, "HIGH")</f>
        <v>MEDIUM</v>
      </c>
      <c r="Q1380" t="str">
        <f>IF(M1380&lt;ASSUMPTIONS!$D$10,"New (0-2)",IF(M1380&lt;=ASSUMPTIONS!$D$11,"Early (2-5)",IF(M1380&lt;=ASSUMPTIONS!$D$12,"Established (5-10)","Veteran (10+)")))</f>
        <v>New (0-2)</v>
      </c>
      <c r="R1380" s="4">
        <f t="shared" si="43"/>
        <v>3</v>
      </c>
    </row>
    <row r="1381" spans="1:18">
      <c r="A1381">
        <f>RAW_DATA!A1381</f>
        <v>27</v>
      </c>
      <c r="B1381" t="str">
        <f>RAW_DATA!B1381</f>
        <v>Yes</v>
      </c>
      <c r="C1381" t="str">
        <f>RAW_DATA!C1381</f>
        <v>Human Resources</v>
      </c>
      <c r="D1381">
        <f>RAW_DATA!D1381</f>
        <v>22</v>
      </c>
      <c r="E1381">
        <f>RAW_DATA!E1381</f>
        <v>3</v>
      </c>
      <c r="F1381" t="str">
        <f>RAW_DATA!F1381</f>
        <v>Human Resources</v>
      </c>
      <c r="G1381">
        <f>RAW_DATA!G1381</f>
        <v>1</v>
      </c>
      <c r="H1381">
        <f>RAW_DATA!H1381</f>
        <v>2</v>
      </c>
      <c r="I1381" t="str">
        <f>RAW_DATA!I1381</f>
        <v>Married</v>
      </c>
      <c r="J1381">
        <f>RAW_DATA!J1381</f>
        <v>2863</v>
      </c>
      <c r="K1381">
        <f>RAW_DATA!K1381</f>
        <v>1</v>
      </c>
      <c r="L1381">
        <f>RAW_DATA!L1381</f>
        <v>3</v>
      </c>
      <c r="M1381">
        <f>RAW_DATA!M1381</f>
        <v>1</v>
      </c>
      <c r="N1381">
        <f t="shared" si="42"/>
        <v>1</v>
      </c>
      <c r="O1381" t="str" cm="1">
        <f t="array" ref="O1381" xml:space="preserve"> _xlfn.IFS(A1381 &lt;ASSUMPTIONS!$D$2,"25",A1381 &lt;= ASSUMPTIONS!$D$3,"25-34",A1381 &lt;= ASSUMPTIONS!$D$4, "35-44",A1381 &lt;= ASSUMPTIONS!$D$5,"45-54",TRUE,"55+")</f>
        <v>25-34</v>
      </c>
      <c r="P1381" t="str" cm="1">
        <f t="array" ref="P1381">_xlfn.IFS( J1381 &lt;ASSUMPTIONS!$D$7,"LOW",J1381 &lt;= ASSUMPTIONS!$D$8,"MEDIUM",TRUE, "HIGH")</f>
        <v>LOW</v>
      </c>
      <c r="Q1381" t="str">
        <f>IF(M1381&lt;ASSUMPTIONS!$D$10,"New (0-2)",IF(M1381&lt;=ASSUMPTIONS!$D$11,"Early (2-5)",IF(M1381&lt;=ASSUMPTIONS!$D$12,"Established (5-10)","Veteran (10+)")))</f>
        <v>New (0-2)</v>
      </c>
      <c r="R1381" s="4">
        <f t="shared" si="43"/>
        <v>2</v>
      </c>
    </row>
    <row r="1382" spans="1:18">
      <c r="A1382">
        <f>RAW_DATA!A1382</f>
        <v>35</v>
      </c>
      <c r="B1382" t="str">
        <f>RAW_DATA!B1382</f>
        <v>No</v>
      </c>
      <c r="C1382" t="str">
        <f>RAW_DATA!C1382</f>
        <v>Sales</v>
      </c>
      <c r="D1382">
        <f>RAW_DATA!D1382</f>
        <v>18</v>
      </c>
      <c r="E1382">
        <f>RAW_DATA!E1382</f>
        <v>4</v>
      </c>
      <c r="F1382" t="str">
        <f>RAW_DATA!F1382</f>
        <v>Medical</v>
      </c>
      <c r="G1382">
        <f>RAW_DATA!G1382</f>
        <v>2</v>
      </c>
      <c r="H1382">
        <f>RAW_DATA!H1382</f>
        <v>1</v>
      </c>
      <c r="I1382" t="str">
        <f>RAW_DATA!I1382</f>
        <v>Married</v>
      </c>
      <c r="J1382">
        <f>RAW_DATA!J1382</f>
        <v>5561</v>
      </c>
      <c r="K1382">
        <f>RAW_DATA!K1382</f>
        <v>0</v>
      </c>
      <c r="L1382">
        <f>RAW_DATA!L1382</f>
        <v>1</v>
      </c>
      <c r="M1382">
        <f>RAW_DATA!M1382</f>
        <v>5</v>
      </c>
      <c r="N1382">
        <f t="shared" si="42"/>
        <v>0</v>
      </c>
      <c r="O1382" t="str" cm="1">
        <f t="array" ref="O1382" xml:space="preserve"> _xlfn.IFS(A1382 &lt;ASSUMPTIONS!$D$2,"25",A1382 &lt;= ASSUMPTIONS!$D$3,"25-34",A1382 &lt;= ASSUMPTIONS!$D$4, "35-44",A1382 &lt;= ASSUMPTIONS!$D$5,"45-54",TRUE,"55+")</f>
        <v>35-44</v>
      </c>
      <c r="P1382" t="str" cm="1">
        <f t="array" ref="P1382">_xlfn.IFS( J1382 &lt;ASSUMPTIONS!$D$7,"LOW",J1382 &lt;= ASSUMPTIONS!$D$8,"MEDIUM",TRUE, "HIGH")</f>
        <v>MEDIUM</v>
      </c>
      <c r="Q1382" t="str">
        <f>IF(M1382&lt;ASSUMPTIONS!$D$10,"New (0-2)",IF(M1382&lt;=ASSUMPTIONS!$D$11,"Early (2-5)",IF(M1382&lt;=ASSUMPTIONS!$D$12,"Established (5-10)","Veteran (10+)")))</f>
        <v>Early (2-5)</v>
      </c>
      <c r="R1382" s="4">
        <f t="shared" si="43"/>
        <v>1.3333333333333333</v>
      </c>
    </row>
    <row r="1383" spans="1:18">
      <c r="A1383">
        <f>RAW_DATA!A1383</f>
        <v>28</v>
      </c>
      <c r="B1383" t="str">
        <f>RAW_DATA!B1383</f>
        <v>No</v>
      </c>
      <c r="C1383" t="str">
        <f>RAW_DATA!C1383</f>
        <v>Research &amp; Development</v>
      </c>
      <c r="D1383">
        <f>RAW_DATA!D1383</f>
        <v>16</v>
      </c>
      <c r="E1383">
        <f>RAW_DATA!E1383</f>
        <v>3</v>
      </c>
      <c r="F1383" t="str">
        <f>RAW_DATA!F1383</f>
        <v>Medical</v>
      </c>
      <c r="G1383">
        <f>RAW_DATA!G1383</f>
        <v>3</v>
      </c>
      <c r="H1383">
        <f>RAW_DATA!H1383</f>
        <v>3</v>
      </c>
      <c r="I1383" t="str">
        <f>RAW_DATA!I1383</f>
        <v>Single</v>
      </c>
      <c r="J1383">
        <f>RAW_DATA!J1383</f>
        <v>2144</v>
      </c>
      <c r="K1383">
        <f>RAW_DATA!K1383</f>
        <v>1</v>
      </c>
      <c r="L1383">
        <f>RAW_DATA!L1383</f>
        <v>2</v>
      </c>
      <c r="M1383">
        <f>RAW_DATA!M1383</f>
        <v>5</v>
      </c>
      <c r="N1383">
        <f t="shared" si="42"/>
        <v>0</v>
      </c>
      <c r="O1383" t="str" cm="1">
        <f t="array" ref="O1383" xml:space="preserve"> _xlfn.IFS(A1383 &lt;ASSUMPTIONS!$D$2,"25",A1383 &lt;= ASSUMPTIONS!$D$3,"25-34",A1383 &lt;= ASSUMPTIONS!$D$4, "35-44",A1383 &lt;= ASSUMPTIONS!$D$5,"45-54",TRUE,"55+")</f>
        <v>25-34</v>
      </c>
      <c r="P1383" t="str" cm="1">
        <f t="array" ref="P1383">_xlfn.IFS( J1383 &lt;ASSUMPTIONS!$D$7,"LOW",J1383 &lt;= ASSUMPTIONS!$D$8,"MEDIUM",TRUE, "HIGH")</f>
        <v>LOW</v>
      </c>
      <c r="Q1383" t="str">
        <f>IF(M1383&lt;ASSUMPTIONS!$D$10,"New (0-2)",IF(M1383&lt;=ASSUMPTIONS!$D$11,"Early (2-5)",IF(M1383&lt;=ASSUMPTIONS!$D$12,"Established (5-10)","Veteran (10+)")))</f>
        <v>Early (2-5)</v>
      </c>
      <c r="R1383" s="4">
        <f t="shared" si="43"/>
        <v>2.6666666666666665</v>
      </c>
    </row>
    <row r="1384" spans="1:18">
      <c r="A1384">
        <f>RAW_DATA!A1384</f>
        <v>31</v>
      </c>
      <c r="B1384" t="str">
        <f>RAW_DATA!B1384</f>
        <v>No</v>
      </c>
      <c r="C1384" t="str">
        <f>RAW_DATA!C1384</f>
        <v>Research &amp; Development</v>
      </c>
      <c r="D1384">
        <f>RAW_DATA!D1384</f>
        <v>3</v>
      </c>
      <c r="E1384">
        <f>RAW_DATA!E1384</f>
        <v>2</v>
      </c>
      <c r="F1384" t="str">
        <f>RAW_DATA!F1384</f>
        <v>Medical</v>
      </c>
      <c r="G1384">
        <f>RAW_DATA!G1384</f>
        <v>3</v>
      </c>
      <c r="H1384">
        <f>RAW_DATA!H1384</f>
        <v>1</v>
      </c>
      <c r="I1384" t="str">
        <f>RAW_DATA!I1384</f>
        <v>Divorced</v>
      </c>
      <c r="J1384">
        <f>RAW_DATA!J1384</f>
        <v>3065</v>
      </c>
      <c r="K1384">
        <f>RAW_DATA!K1384</f>
        <v>1</v>
      </c>
      <c r="L1384">
        <f>RAW_DATA!L1384</f>
        <v>4</v>
      </c>
      <c r="M1384">
        <f>RAW_DATA!M1384</f>
        <v>4</v>
      </c>
      <c r="N1384">
        <f t="shared" si="42"/>
        <v>0</v>
      </c>
      <c r="O1384" t="str" cm="1">
        <f t="array" ref="O1384" xml:space="preserve"> _xlfn.IFS(A1384 &lt;ASSUMPTIONS!$D$2,"25",A1384 &lt;= ASSUMPTIONS!$D$3,"25-34",A1384 &lt;= ASSUMPTIONS!$D$4, "35-44",A1384 &lt;= ASSUMPTIONS!$D$5,"45-54",TRUE,"55+")</f>
        <v>25-34</v>
      </c>
      <c r="P1384" t="str" cm="1">
        <f t="array" ref="P1384">_xlfn.IFS( J1384 &lt;ASSUMPTIONS!$D$7,"LOW",J1384 &lt;= ASSUMPTIONS!$D$8,"MEDIUM",TRUE, "HIGH")</f>
        <v>MEDIUM</v>
      </c>
      <c r="Q1384" t="str">
        <f>IF(M1384&lt;ASSUMPTIONS!$D$10,"New (0-2)",IF(M1384&lt;=ASSUMPTIONS!$D$11,"Early (2-5)",IF(M1384&lt;=ASSUMPTIONS!$D$12,"Established (5-10)","Veteran (10+)")))</f>
        <v>Early (2-5)</v>
      </c>
      <c r="R1384" s="4">
        <f t="shared" si="43"/>
        <v>2.6666666666666665</v>
      </c>
    </row>
    <row r="1385" spans="1:18">
      <c r="A1385">
        <f>RAW_DATA!A1385</f>
        <v>36</v>
      </c>
      <c r="B1385" t="str">
        <f>RAW_DATA!B1385</f>
        <v>No</v>
      </c>
      <c r="C1385" t="str">
        <f>RAW_DATA!C1385</f>
        <v>Research &amp; Development</v>
      </c>
      <c r="D1385">
        <f>RAW_DATA!D1385</f>
        <v>9</v>
      </c>
      <c r="E1385">
        <f>RAW_DATA!E1385</f>
        <v>4</v>
      </c>
      <c r="F1385" t="str">
        <f>RAW_DATA!F1385</f>
        <v>Life Sciences</v>
      </c>
      <c r="G1385">
        <f>RAW_DATA!G1385</f>
        <v>1</v>
      </c>
      <c r="H1385">
        <f>RAW_DATA!H1385</f>
        <v>2</v>
      </c>
      <c r="I1385" t="str">
        <f>RAW_DATA!I1385</f>
        <v>Married</v>
      </c>
      <c r="J1385">
        <f>RAW_DATA!J1385</f>
        <v>2810</v>
      </c>
      <c r="K1385">
        <f>RAW_DATA!K1385</f>
        <v>1</v>
      </c>
      <c r="L1385">
        <f>RAW_DATA!L1385</f>
        <v>3</v>
      </c>
      <c r="M1385">
        <f>RAW_DATA!M1385</f>
        <v>5</v>
      </c>
      <c r="N1385">
        <f t="shared" si="42"/>
        <v>0</v>
      </c>
      <c r="O1385" t="str" cm="1">
        <f t="array" ref="O1385" xml:space="preserve"> _xlfn.IFS(A1385 &lt;ASSUMPTIONS!$D$2,"25",A1385 &lt;= ASSUMPTIONS!$D$3,"25-34",A1385 &lt;= ASSUMPTIONS!$D$4, "35-44",A1385 &lt;= ASSUMPTIONS!$D$5,"45-54",TRUE,"55+")</f>
        <v>35-44</v>
      </c>
      <c r="P1385" t="str" cm="1">
        <f t="array" ref="P1385">_xlfn.IFS( J1385 &lt;ASSUMPTIONS!$D$7,"LOW",J1385 &lt;= ASSUMPTIONS!$D$8,"MEDIUM",TRUE, "HIGH")</f>
        <v>LOW</v>
      </c>
      <c r="Q1385" t="str">
        <f>IF(M1385&lt;ASSUMPTIONS!$D$10,"New (0-2)",IF(M1385&lt;=ASSUMPTIONS!$D$11,"Early (2-5)",IF(M1385&lt;=ASSUMPTIONS!$D$12,"Established (5-10)","Veteran (10+)")))</f>
        <v>Early (2-5)</v>
      </c>
      <c r="R1385" s="4">
        <f t="shared" si="43"/>
        <v>2</v>
      </c>
    </row>
    <row r="1386" spans="1:18">
      <c r="A1386">
        <f>RAW_DATA!A1386</f>
        <v>34</v>
      </c>
      <c r="B1386" t="str">
        <f>RAW_DATA!B1386</f>
        <v>No</v>
      </c>
      <c r="C1386" t="str">
        <f>RAW_DATA!C1386</f>
        <v>Sales</v>
      </c>
      <c r="D1386">
        <f>RAW_DATA!D1386</f>
        <v>1</v>
      </c>
      <c r="E1386">
        <f>RAW_DATA!E1386</f>
        <v>3</v>
      </c>
      <c r="F1386" t="str">
        <f>RAW_DATA!F1386</f>
        <v>Marketing</v>
      </c>
      <c r="G1386">
        <f>RAW_DATA!G1386</f>
        <v>1</v>
      </c>
      <c r="H1386">
        <f>RAW_DATA!H1386</f>
        <v>4</v>
      </c>
      <c r="I1386" t="str">
        <f>RAW_DATA!I1386</f>
        <v>Single</v>
      </c>
      <c r="J1386">
        <f>RAW_DATA!J1386</f>
        <v>9888</v>
      </c>
      <c r="K1386">
        <f>RAW_DATA!K1386</f>
        <v>1</v>
      </c>
      <c r="L1386">
        <f>RAW_DATA!L1386</f>
        <v>2</v>
      </c>
      <c r="M1386">
        <f>RAW_DATA!M1386</f>
        <v>14</v>
      </c>
      <c r="N1386">
        <f t="shared" si="42"/>
        <v>0</v>
      </c>
      <c r="O1386" t="str" cm="1">
        <f t="array" ref="O1386" xml:space="preserve"> _xlfn.IFS(A1386 &lt;ASSUMPTIONS!$D$2,"25",A1386 &lt;= ASSUMPTIONS!$D$3,"25-34",A1386 &lt;= ASSUMPTIONS!$D$4, "35-44",A1386 &lt;= ASSUMPTIONS!$D$5,"45-54",TRUE,"55+")</f>
        <v>25-34</v>
      </c>
      <c r="P1386" t="str" cm="1">
        <f t="array" ref="P1386">_xlfn.IFS( J1386 &lt;ASSUMPTIONS!$D$7,"LOW",J1386 &lt;= ASSUMPTIONS!$D$8,"MEDIUM",TRUE, "HIGH")</f>
        <v>HIGH</v>
      </c>
      <c r="Q1386" t="str">
        <f>IF(M1386&lt;ASSUMPTIONS!$D$10,"New (0-2)",IF(M1386&lt;=ASSUMPTIONS!$D$11,"Early (2-5)",IF(M1386&lt;=ASSUMPTIONS!$D$12,"Established (5-10)","Veteran (10+)")))</f>
        <v>Veteran (10+)</v>
      </c>
      <c r="R1386" s="4">
        <f t="shared" si="43"/>
        <v>2.3333333333333335</v>
      </c>
    </row>
    <row r="1387" spans="1:18">
      <c r="A1387">
        <f>RAW_DATA!A1387</f>
        <v>34</v>
      </c>
      <c r="B1387" t="str">
        <f>RAW_DATA!B1387</f>
        <v>No</v>
      </c>
      <c r="C1387" t="str">
        <f>RAW_DATA!C1387</f>
        <v>Sales</v>
      </c>
      <c r="D1387">
        <f>RAW_DATA!D1387</f>
        <v>13</v>
      </c>
      <c r="E1387">
        <f>RAW_DATA!E1387</f>
        <v>4</v>
      </c>
      <c r="F1387" t="str">
        <f>RAW_DATA!F1387</f>
        <v>Medical</v>
      </c>
      <c r="G1387">
        <f>RAW_DATA!G1387</f>
        <v>4</v>
      </c>
      <c r="H1387">
        <f>RAW_DATA!H1387</f>
        <v>3</v>
      </c>
      <c r="I1387" t="str">
        <f>RAW_DATA!I1387</f>
        <v>Divorced</v>
      </c>
      <c r="J1387">
        <f>RAW_DATA!J1387</f>
        <v>8628</v>
      </c>
      <c r="K1387">
        <f>RAW_DATA!K1387</f>
        <v>1</v>
      </c>
      <c r="L1387">
        <f>RAW_DATA!L1387</f>
        <v>2</v>
      </c>
      <c r="M1387">
        <f>RAW_DATA!M1387</f>
        <v>8</v>
      </c>
      <c r="N1387">
        <f t="shared" si="42"/>
        <v>0</v>
      </c>
      <c r="O1387" t="str" cm="1">
        <f t="array" ref="O1387" xml:space="preserve"> _xlfn.IFS(A1387 &lt;ASSUMPTIONS!$D$2,"25",A1387 &lt;= ASSUMPTIONS!$D$3,"25-34",A1387 &lt;= ASSUMPTIONS!$D$4, "35-44",A1387 &lt;= ASSUMPTIONS!$D$5,"45-54",TRUE,"55+")</f>
        <v>25-34</v>
      </c>
      <c r="P1387" t="str" cm="1">
        <f t="array" ref="P1387">_xlfn.IFS( J1387 &lt;ASSUMPTIONS!$D$7,"LOW",J1387 &lt;= ASSUMPTIONS!$D$8,"MEDIUM",TRUE, "HIGH")</f>
        <v>HIGH</v>
      </c>
      <c r="Q1387" t="str">
        <f>IF(M1387&lt;ASSUMPTIONS!$D$10,"New (0-2)",IF(M1387&lt;=ASSUMPTIONS!$D$11,"Early (2-5)",IF(M1387&lt;=ASSUMPTIONS!$D$12,"Established (5-10)","Veteran (10+)")))</f>
        <v>Established (5-10)</v>
      </c>
      <c r="R1387" s="4">
        <f t="shared" si="43"/>
        <v>3</v>
      </c>
    </row>
    <row r="1388" spans="1:18">
      <c r="A1388">
        <f>RAW_DATA!A1388</f>
        <v>26</v>
      </c>
      <c r="B1388" t="str">
        <f>RAW_DATA!B1388</f>
        <v>No</v>
      </c>
      <c r="C1388" t="str">
        <f>RAW_DATA!C1388</f>
        <v>Research &amp; Development</v>
      </c>
      <c r="D1388">
        <f>RAW_DATA!D1388</f>
        <v>1</v>
      </c>
      <c r="E1388">
        <f>RAW_DATA!E1388</f>
        <v>3</v>
      </c>
      <c r="F1388" t="str">
        <f>RAW_DATA!F1388</f>
        <v>Medical</v>
      </c>
      <c r="G1388">
        <f>RAW_DATA!G1388</f>
        <v>3</v>
      </c>
      <c r="H1388">
        <f>RAW_DATA!H1388</f>
        <v>1</v>
      </c>
      <c r="I1388" t="str">
        <f>RAW_DATA!I1388</f>
        <v>Single</v>
      </c>
      <c r="J1388">
        <f>RAW_DATA!J1388</f>
        <v>2867</v>
      </c>
      <c r="K1388">
        <f>RAW_DATA!K1388</f>
        <v>0</v>
      </c>
      <c r="L1388">
        <f>RAW_DATA!L1388</f>
        <v>2</v>
      </c>
      <c r="M1388">
        <f>RAW_DATA!M1388</f>
        <v>7</v>
      </c>
      <c r="N1388">
        <f t="shared" si="42"/>
        <v>0</v>
      </c>
      <c r="O1388" t="str" cm="1">
        <f t="array" ref="O1388" xml:space="preserve"> _xlfn.IFS(A1388 &lt;ASSUMPTIONS!$D$2,"25",A1388 &lt;= ASSUMPTIONS!$D$3,"25-34",A1388 &lt;= ASSUMPTIONS!$D$4, "35-44",A1388 &lt;= ASSUMPTIONS!$D$5,"45-54",TRUE,"55+")</f>
        <v>25-34</v>
      </c>
      <c r="P1388" t="str" cm="1">
        <f t="array" ref="P1388">_xlfn.IFS( J1388 &lt;ASSUMPTIONS!$D$7,"LOW",J1388 &lt;= ASSUMPTIONS!$D$8,"MEDIUM",TRUE, "HIGH")</f>
        <v>LOW</v>
      </c>
      <c r="Q1388" t="str">
        <f>IF(M1388&lt;ASSUMPTIONS!$D$10,"New (0-2)",IF(M1388&lt;=ASSUMPTIONS!$D$11,"Early (2-5)",IF(M1388&lt;=ASSUMPTIONS!$D$12,"Established (5-10)","Veteran (10+)")))</f>
        <v>Established (5-10)</v>
      </c>
      <c r="R1388" s="4">
        <f t="shared" si="43"/>
        <v>2</v>
      </c>
    </row>
    <row r="1389" spans="1:18">
      <c r="A1389">
        <f>RAW_DATA!A1389</f>
        <v>29</v>
      </c>
      <c r="B1389" t="str">
        <f>RAW_DATA!B1389</f>
        <v>No</v>
      </c>
      <c r="C1389" t="str">
        <f>RAW_DATA!C1389</f>
        <v>Research &amp; Development</v>
      </c>
      <c r="D1389">
        <f>RAW_DATA!D1389</f>
        <v>1</v>
      </c>
      <c r="E1389">
        <f>RAW_DATA!E1389</f>
        <v>3</v>
      </c>
      <c r="F1389" t="str">
        <f>RAW_DATA!F1389</f>
        <v>Life Sciences</v>
      </c>
      <c r="G1389">
        <f>RAW_DATA!G1389</f>
        <v>1</v>
      </c>
      <c r="H1389">
        <f>RAW_DATA!H1389</f>
        <v>1</v>
      </c>
      <c r="I1389" t="str">
        <f>RAW_DATA!I1389</f>
        <v>Married</v>
      </c>
      <c r="J1389">
        <f>RAW_DATA!J1389</f>
        <v>5373</v>
      </c>
      <c r="K1389">
        <f>RAW_DATA!K1389</f>
        <v>0</v>
      </c>
      <c r="L1389">
        <f>RAW_DATA!L1389</f>
        <v>2</v>
      </c>
      <c r="M1389">
        <f>RAW_DATA!M1389</f>
        <v>5</v>
      </c>
      <c r="N1389">
        <f t="shared" si="42"/>
        <v>0</v>
      </c>
      <c r="O1389" t="str" cm="1">
        <f t="array" ref="O1389" xml:space="preserve"> _xlfn.IFS(A1389 &lt;ASSUMPTIONS!$D$2,"25",A1389 &lt;= ASSUMPTIONS!$D$3,"25-34",A1389 &lt;= ASSUMPTIONS!$D$4, "35-44",A1389 &lt;= ASSUMPTIONS!$D$5,"45-54",TRUE,"55+")</f>
        <v>25-34</v>
      </c>
      <c r="P1389" t="str" cm="1">
        <f t="array" ref="P1389">_xlfn.IFS( J1389 &lt;ASSUMPTIONS!$D$7,"LOW",J1389 &lt;= ASSUMPTIONS!$D$8,"MEDIUM",TRUE, "HIGH")</f>
        <v>MEDIUM</v>
      </c>
      <c r="Q1389" t="str">
        <f>IF(M1389&lt;ASSUMPTIONS!$D$10,"New (0-2)",IF(M1389&lt;=ASSUMPTIONS!$D$11,"Early (2-5)",IF(M1389&lt;=ASSUMPTIONS!$D$12,"Established (5-10)","Veteran (10+)")))</f>
        <v>Early (2-5)</v>
      </c>
      <c r="R1389" s="4">
        <f t="shared" si="43"/>
        <v>1.3333333333333333</v>
      </c>
    </row>
    <row r="1390" spans="1:18">
      <c r="A1390">
        <f>RAW_DATA!A1390</f>
        <v>32</v>
      </c>
      <c r="B1390" t="str">
        <f>RAW_DATA!B1390</f>
        <v>No</v>
      </c>
      <c r="C1390" t="str">
        <f>RAW_DATA!C1390</f>
        <v>Research &amp; Development</v>
      </c>
      <c r="D1390">
        <f>RAW_DATA!D1390</f>
        <v>15</v>
      </c>
      <c r="E1390">
        <f>RAW_DATA!E1390</f>
        <v>4</v>
      </c>
      <c r="F1390" t="str">
        <f>RAW_DATA!F1390</f>
        <v>Medical</v>
      </c>
      <c r="G1390">
        <f>RAW_DATA!G1390</f>
        <v>3</v>
      </c>
      <c r="H1390">
        <f>RAW_DATA!H1390</f>
        <v>4</v>
      </c>
      <c r="I1390" t="str">
        <f>RAW_DATA!I1390</f>
        <v>Divorced</v>
      </c>
      <c r="J1390">
        <f>RAW_DATA!J1390</f>
        <v>6667</v>
      </c>
      <c r="K1390">
        <f>RAW_DATA!K1390</f>
        <v>5</v>
      </c>
      <c r="L1390">
        <f>RAW_DATA!L1390</f>
        <v>3</v>
      </c>
      <c r="M1390">
        <f>RAW_DATA!M1390</f>
        <v>5</v>
      </c>
      <c r="N1390">
        <f t="shared" si="42"/>
        <v>0</v>
      </c>
      <c r="O1390" t="str" cm="1">
        <f t="array" ref="O1390" xml:space="preserve"> _xlfn.IFS(A1390 &lt;ASSUMPTIONS!$D$2,"25",A1390 &lt;= ASSUMPTIONS!$D$3,"25-34",A1390 &lt;= ASSUMPTIONS!$D$4, "35-44",A1390 &lt;= ASSUMPTIONS!$D$5,"45-54",TRUE,"55+")</f>
        <v>25-34</v>
      </c>
      <c r="P1390" t="str" cm="1">
        <f t="array" ref="P1390">_xlfn.IFS( J1390 &lt;ASSUMPTIONS!$D$7,"LOW",J1390 &lt;= ASSUMPTIONS!$D$8,"MEDIUM",TRUE, "HIGH")</f>
        <v>MEDIUM</v>
      </c>
      <c r="Q1390" t="str">
        <f>IF(M1390&lt;ASSUMPTIONS!$D$10,"New (0-2)",IF(M1390&lt;=ASSUMPTIONS!$D$11,"Early (2-5)",IF(M1390&lt;=ASSUMPTIONS!$D$12,"Established (5-10)","Veteran (10+)")))</f>
        <v>Early (2-5)</v>
      </c>
      <c r="R1390" s="4">
        <f t="shared" si="43"/>
        <v>3.3333333333333335</v>
      </c>
    </row>
    <row r="1391" spans="1:18">
      <c r="A1391">
        <f>RAW_DATA!A1391</f>
        <v>31</v>
      </c>
      <c r="B1391" t="str">
        <f>RAW_DATA!B1391</f>
        <v>No</v>
      </c>
      <c r="C1391" t="str">
        <f>RAW_DATA!C1391</f>
        <v>Research &amp; Development</v>
      </c>
      <c r="D1391">
        <f>RAW_DATA!D1391</f>
        <v>1</v>
      </c>
      <c r="E1391">
        <f>RAW_DATA!E1391</f>
        <v>3</v>
      </c>
      <c r="F1391" t="str">
        <f>RAW_DATA!F1391</f>
        <v>Life Sciences</v>
      </c>
      <c r="G1391">
        <f>RAW_DATA!G1391</f>
        <v>4</v>
      </c>
      <c r="H1391">
        <f>RAW_DATA!H1391</f>
        <v>1</v>
      </c>
      <c r="I1391" t="str">
        <f>RAW_DATA!I1391</f>
        <v>Married</v>
      </c>
      <c r="J1391">
        <f>RAW_DATA!J1391</f>
        <v>5003</v>
      </c>
      <c r="K1391">
        <f>RAW_DATA!K1391</f>
        <v>1</v>
      </c>
      <c r="L1391">
        <f>RAW_DATA!L1391</f>
        <v>3</v>
      </c>
      <c r="M1391">
        <f>RAW_DATA!M1391</f>
        <v>10</v>
      </c>
      <c r="N1391">
        <f t="shared" si="42"/>
        <v>0</v>
      </c>
      <c r="O1391" t="str" cm="1">
        <f t="array" ref="O1391" xml:space="preserve"> _xlfn.IFS(A1391 &lt;ASSUMPTIONS!$D$2,"25",A1391 &lt;= ASSUMPTIONS!$D$3,"25-34",A1391 &lt;= ASSUMPTIONS!$D$4, "35-44",A1391 &lt;= ASSUMPTIONS!$D$5,"45-54",TRUE,"55+")</f>
        <v>25-34</v>
      </c>
      <c r="P1391" t="str" cm="1">
        <f t="array" ref="P1391">_xlfn.IFS( J1391 &lt;ASSUMPTIONS!$D$7,"LOW",J1391 &lt;= ASSUMPTIONS!$D$8,"MEDIUM",TRUE, "HIGH")</f>
        <v>MEDIUM</v>
      </c>
      <c r="Q1391" t="str">
        <f>IF(M1391&lt;ASSUMPTIONS!$D$10,"New (0-2)",IF(M1391&lt;=ASSUMPTIONS!$D$11,"Early (2-5)",IF(M1391&lt;=ASSUMPTIONS!$D$12,"Established (5-10)","Veteran (10+)")))</f>
        <v>Established (5-10)</v>
      </c>
      <c r="R1391" s="4">
        <f t="shared" si="43"/>
        <v>2.6666666666666665</v>
      </c>
    </row>
    <row r="1392" spans="1:18">
      <c r="A1392">
        <f>RAW_DATA!A1392</f>
        <v>28</v>
      </c>
      <c r="B1392" t="str">
        <f>RAW_DATA!B1392</f>
        <v>Yes</v>
      </c>
      <c r="C1392" t="str">
        <f>RAW_DATA!C1392</f>
        <v>Research &amp; Development</v>
      </c>
      <c r="D1392">
        <f>RAW_DATA!D1392</f>
        <v>17</v>
      </c>
      <c r="E1392">
        <f>RAW_DATA!E1392</f>
        <v>3</v>
      </c>
      <c r="F1392" t="str">
        <f>RAW_DATA!F1392</f>
        <v>Technical Degree</v>
      </c>
      <c r="G1392">
        <f>RAW_DATA!G1392</f>
        <v>3</v>
      </c>
      <c r="H1392">
        <f>RAW_DATA!H1392</f>
        <v>4</v>
      </c>
      <c r="I1392" t="str">
        <f>RAW_DATA!I1392</f>
        <v>Divorced</v>
      </c>
      <c r="J1392">
        <f>RAW_DATA!J1392</f>
        <v>2367</v>
      </c>
      <c r="K1392">
        <f>RAW_DATA!K1392</f>
        <v>5</v>
      </c>
      <c r="L1392">
        <f>RAW_DATA!L1392</f>
        <v>2</v>
      </c>
      <c r="M1392">
        <f>RAW_DATA!M1392</f>
        <v>4</v>
      </c>
      <c r="N1392">
        <f t="shared" si="42"/>
        <v>1</v>
      </c>
      <c r="O1392" t="str" cm="1">
        <f t="array" ref="O1392" xml:space="preserve"> _xlfn.IFS(A1392 &lt;ASSUMPTIONS!$D$2,"25",A1392 &lt;= ASSUMPTIONS!$D$3,"25-34",A1392 &lt;= ASSUMPTIONS!$D$4, "35-44",A1392 &lt;= ASSUMPTIONS!$D$5,"45-54",TRUE,"55+")</f>
        <v>25-34</v>
      </c>
      <c r="P1392" t="str" cm="1">
        <f t="array" ref="P1392">_xlfn.IFS( J1392 &lt;ASSUMPTIONS!$D$7,"LOW",J1392 &lt;= ASSUMPTIONS!$D$8,"MEDIUM",TRUE, "HIGH")</f>
        <v>LOW</v>
      </c>
      <c r="Q1392" t="str">
        <f>IF(M1392&lt;ASSUMPTIONS!$D$10,"New (0-2)",IF(M1392&lt;=ASSUMPTIONS!$D$11,"Early (2-5)",IF(M1392&lt;=ASSUMPTIONS!$D$12,"Established (5-10)","Veteran (10+)")))</f>
        <v>Early (2-5)</v>
      </c>
      <c r="R1392" s="4">
        <f t="shared" si="43"/>
        <v>3</v>
      </c>
    </row>
    <row r="1393" spans="1:18">
      <c r="A1393">
        <f>RAW_DATA!A1393</f>
        <v>38</v>
      </c>
      <c r="B1393" t="str">
        <f>RAW_DATA!B1393</f>
        <v>No</v>
      </c>
      <c r="C1393" t="str">
        <f>RAW_DATA!C1393</f>
        <v>Sales</v>
      </c>
      <c r="D1393">
        <f>RAW_DATA!D1393</f>
        <v>1</v>
      </c>
      <c r="E1393">
        <f>RAW_DATA!E1393</f>
        <v>3</v>
      </c>
      <c r="F1393" t="str">
        <f>RAW_DATA!F1393</f>
        <v>Life Sciences</v>
      </c>
      <c r="G1393">
        <f>RAW_DATA!G1393</f>
        <v>1</v>
      </c>
      <c r="H1393">
        <f>RAW_DATA!H1393</f>
        <v>1</v>
      </c>
      <c r="I1393" t="str">
        <f>RAW_DATA!I1393</f>
        <v>Single</v>
      </c>
      <c r="J1393">
        <f>RAW_DATA!J1393</f>
        <v>2858</v>
      </c>
      <c r="K1393">
        <f>RAW_DATA!K1393</f>
        <v>4</v>
      </c>
      <c r="L1393">
        <f>RAW_DATA!L1393</f>
        <v>2</v>
      </c>
      <c r="M1393">
        <f>RAW_DATA!M1393</f>
        <v>1</v>
      </c>
      <c r="N1393">
        <f t="shared" si="42"/>
        <v>0</v>
      </c>
      <c r="O1393" t="str" cm="1">
        <f t="array" ref="O1393" xml:space="preserve"> _xlfn.IFS(A1393 &lt;ASSUMPTIONS!$D$2,"25",A1393 &lt;= ASSUMPTIONS!$D$3,"25-34",A1393 &lt;= ASSUMPTIONS!$D$4, "35-44",A1393 &lt;= ASSUMPTIONS!$D$5,"45-54",TRUE,"55+")</f>
        <v>35-44</v>
      </c>
      <c r="P1393" t="str" cm="1">
        <f t="array" ref="P1393">_xlfn.IFS( J1393 &lt;ASSUMPTIONS!$D$7,"LOW",J1393 &lt;= ASSUMPTIONS!$D$8,"MEDIUM",TRUE, "HIGH")</f>
        <v>LOW</v>
      </c>
      <c r="Q1393" t="str">
        <f>IF(M1393&lt;ASSUMPTIONS!$D$10,"New (0-2)",IF(M1393&lt;=ASSUMPTIONS!$D$11,"Early (2-5)",IF(M1393&lt;=ASSUMPTIONS!$D$12,"Established (5-10)","Veteran (10+)")))</f>
        <v>New (0-2)</v>
      </c>
      <c r="R1393" s="4">
        <f t="shared" si="43"/>
        <v>1.3333333333333333</v>
      </c>
    </row>
    <row r="1394" spans="1:18">
      <c r="A1394">
        <f>RAW_DATA!A1394</f>
        <v>35</v>
      </c>
      <c r="B1394" t="str">
        <f>RAW_DATA!B1394</f>
        <v>No</v>
      </c>
      <c r="C1394" t="str">
        <f>RAW_DATA!C1394</f>
        <v>Sales</v>
      </c>
      <c r="D1394">
        <f>RAW_DATA!D1394</f>
        <v>7</v>
      </c>
      <c r="E1394">
        <f>RAW_DATA!E1394</f>
        <v>4</v>
      </c>
      <c r="F1394" t="str">
        <f>RAW_DATA!F1394</f>
        <v>Life Sciences</v>
      </c>
      <c r="G1394">
        <f>RAW_DATA!G1394</f>
        <v>3</v>
      </c>
      <c r="H1394">
        <f>RAW_DATA!H1394</f>
        <v>4</v>
      </c>
      <c r="I1394" t="str">
        <f>RAW_DATA!I1394</f>
        <v>Married</v>
      </c>
      <c r="J1394">
        <f>RAW_DATA!J1394</f>
        <v>5204</v>
      </c>
      <c r="K1394">
        <f>RAW_DATA!K1394</f>
        <v>1</v>
      </c>
      <c r="L1394">
        <f>RAW_DATA!L1394</f>
        <v>3</v>
      </c>
      <c r="M1394">
        <f>RAW_DATA!M1394</f>
        <v>10</v>
      </c>
      <c r="N1394">
        <f t="shared" si="42"/>
        <v>0</v>
      </c>
      <c r="O1394" t="str" cm="1">
        <f t="array" ref="O1394" xml:space="preserve"> _xlfn.IFS(A1394 &lt;ASSUMPTIONS!$D$2,"25",A1394 &lt;= ASSUMPTIONS!$D$3,"25-34",A1394 &lt;= ASSUMPTIONS!$D$4, "35-44",A1394 &lt;= ASSUMPTIONS!$D$5,"45-54",TRUE,"55+")</f>
        <v>35-44</v>
      </c>
      <c r="P1394" t="str" cm="1">
        <f t="array" ref="P1394">_xlfn.IFS( J1394 &lt;ASSUMPTIONS!$D$7,"LOW",J1394 &lt;= ASSUMPTIONS!$D$8,"MEDIUM",TRUE, "HIGH")</f>
        <v>MEDIUM</v>
      </c>
      <c r="Q1394" t="str">
        <f>IF(M1394&lt;ASSUMPTIONS!$D$10,"New (0-2)",IF(M1394&lt;=ASSUMPTIONS!$D$11,"Early (2-5)",IF(M1394&lt;=ASSUMPTIONS!$D$12,"Established (5-10)","Veteran (10+)")))</f>
        <v>Established (5-10)</v>
      </c>
      <c r="R1394" s="4">
        <f t="shared" si="43"/>
        <v>3.3333333333333335</v>
      </c>
    </row>
    <row r="1395" spans="1:18">
      <c r="A1395">
        <f>RAW_DATA!A1395</f>
        <v>27</v>
      </c>
      <c r="B1395" t="str">
        <f>RAW_DATA!B1395</f>
        <v>No</v>
      </c>
      <c r="C1395" t="str">
        <f>RAW_DATA!C1395</f>
        <v>Sales</v>
      </c>
      <c r="D1395">
        <f>RAW_DATA!D1395</f>
        <v>9</v>
      </c>
      <c r="E1395">
        <f>RAW_DATA!E1395</f>
        <v>3</v>
      </c>
      <c r="F1395" t="str">
        <f>RAW_DATA!F1395</f>
        <v>Marketing</v>
      </c>
      <c r="G1395">
        <f>RAW_DATA!G1395</f>
        <v>4</v>
      </c>
      <c r="H1395">
        <f>RAW_DATA!H1395</f>
        <v>4</v>
      </c>
      <c r="I1395" t="str">
        <f>RAW_DATA!I1395</f>
        <v>Single</v>
      </c>
      <c r="J1395">
        <f>RAW_DATA!J1395</f>
        <v>4105</v>
      </c>
      <c r="K1395">
        <f>RAW_DATA!K1395</f>
        <v>1</v>
      </c>
      <c r="L1395">
        <f>RAW_DATA!L1395</f>
        <v>3</v>
      </c>
      <c r="M1395">
        <f>RAW_DATA!M1395</f>
        <v>7</v>
      </c>
      <c r="N1395">
        <f t="shared" si="42"/>
        <v>0</v>
      </c>
      <c r="O1395" t="str" cm="1">
        <f t="array" ref="O1395" xml:space="preserve"> _xlfn.IFS(A1395 &lt;ASSUMPTIONS!$D$2,"25",A1395 &lt;= ASSUMPTIONS!$D$3,"25-34",A1395 &lt;= ASSUMPTIONS!$D$4, "35-44",A1395 &lt;= ASSUMPTIONS!$D$5,"45-54",TRUE,"55+")</f>
        <v>25-34</v>
      </c>
      <c r="P1395" t="str" cm="1">
        <f t="array" ref="P1395">_xlfn.IFS( J1395 &lt;ASSUMPTIONS!$D$7,"LOW",J1395 &lt;= ASSUMPTIONS!$D$8,"MEDIUM",TRUE, "HIGH")</f>
        <v>MEDIUM</v>
      </c>
      <c r="Q1395" t="str">
        <f>IF(M1395&lt;ASSUMPTIONS!$D$10,"New (0-2)",IF(M1395&lt;=ASSUMPTIONS!$D$11,"Early (2-5)",IF(M1395&lt;=ASSUMPTIONS!$D$12,"Established (5-10)","Veteran (10+)")))</f>
        <v>Established (5-10)</v>
      </c>
      <c r="R1395" s="4">
        <f t="shared" si="43"/>
        <v>3.6666666666666665</v>
      </c>
    </row>
    <row r="1396" spans="1:18">
      <c r="A1396">
        <f>RAW_DATA!A1396</f>
        <v>32</v>
      </c>
      <c r="B1396" t="str">
        <f>RAW_DATA!B1396</f>
        <v>No</v>
      </c>
      <c r="C1396" t="str">
        <f>RAW_DATA!C1396</f>
        <v>Research &amp; Development</v>
      </c>
      <c r="D1396">
        <f>RAW_DATA!D1396</f>
        <v>5</v>
      </c>
      <c r="E1396">
        <f>RAW_DATA!E1396</f>
        <v>4</v>
      </c>
      <c r="F1396" t="str">
        <f>RAW_DATA!F1396</f>
        <v>Life Sciences</v>
      </c>
      <c r="G1396">
        <f>RAW_DATA!G1396</f>
        <v>4</v>
      </c>
      <c r="H1396">
        <f>RAW_DATA!H1396</f>
        <v>4</v>
      </c>
      <c r="I1396" t="str">
        <f>RAW_DATA!I1396</f>
        <v>Single</v>
      </c>
      <c r="J1396">
        <f>RAW_DATA!J1396</f>
        <v>9679</v>
      </c>
      <c r="K1396">
        <f>RAW_DATA!K1396</f>
        <v>8</v>
      </c>
      <c r="L1396">
        <f>RAW_DATA!L1396</f>
        <v>3</v>
      </c>
      <c r="M1396">
        <f>RAW_DATA!M1396</f>
        <v>1</v>
      </c>
      <c r="N1396">
        <f t="shared" si="42"/>
        <v>0</v>
      </c>
      <c r="O1396" t="str" cm="1">
        <f t="array" ref="O1396" xml:space="preserve"> _xlfn.IFS(A1396 &lt;ASSUMPTIONS!$D$2,"25",A1396 &lt;= ASSUMPTIONS!$D$3,"25-34",A1396 &lt;= ASSUMPTIONS!$D$4, "35-44",A1396 &lt;= ASSUMPTIONS!$D$5,"45-54",TRUE,"55+")</f>
        <v>25-34</v>
      </c>
      <c r="P1396" t="str" cm="1">
        <f t="array" ref="P1396">_xlfn.IFS( J1396 &lt;ASSUMPTIONS!$D$7,"LOW",J1396 &lt;= ASSUMPTIONS!$D$8,"MEDIUM",TRUE, "HIGH")</f>
        <v>HIGH</v>
      </c>
      <c r="Q1396" t="str">
        <f>IF(M1396&lt;ASSUMPTIONS!$D$10,"New (0-2)",IF(M1396&lt;=ASSUMPTIONS!$D$11,"Early (2-5)",IF(M1396&lt;=ASSUMPTIONS!$D$12,"Established (5-10)","Veteran (10+)")))</f>
        <v>New (0-2)</v>
      </c>
      <c r="R1396" s="4">
        <f t="shared" si="43"/>
        <v>3.6666666666666665</v>
      </c>
    </row>
    <row r="1397" spans="1:18">
      <c r="A1397">
        <f>RAW_DATA!A1397</f>
        <v>31</v>
      </c>
      <c r="B1397" t="str">
        <f>RAW_DATA!B1397</f>
        <v>Yes</v>
      </c>
      <c r="C1397" t="str">
        <f>RAW_DATA!C1397</f>
        <v>Sales</v>
      </c>
      <c r="D1397">
        <f>RAW_DATA!D1397</f>
        <v>26</v>
      </c>
      <c r="E1397">
        <f>RAW_DATA!E1397</f>
        <v>4</v>
      </c>
      <c r="F1397" t="str">
        <f>RAW_DATA!F1397</f>
        <v>Marketing</v>
      </c>
      <c r="G1397">
        <f>RAW_DATA!G1397</f>
        <v>1</v>
      </c>
      <c r="H1397">
        <f>RAW_DATA!H1397</f>
        <v>4</v>
      </c>
      <c r="I1397" t="str">
        <f>RAW_DATA!I1397</f>
        <v>Married</v>
      </c>
      <c r="J1397">
        <f>RAW_DATA!J1397</f>
        <v>5617</v>
      </c>
      <c r="K1397">
        <f>RAW_DATA!K1397</f>
        <v>1</v>
      </c>
      <c r="L1397">
        <f>RAW_DATA!L1397</f>
        <v>3</v>
      </c>
      <c r="M1397">
        <f>RAW_DATA!M1397</f>
        <v>10</v>
      </c>
      <c r="N1397">
        <f t="shared" si="42"/>
        <v>1</v>
      </c>
      <c r="O1397" t="str" cm="1">
        <f t="array" ref="O1397" xml:space="preserve"> _xlfn.IFS(A1397 &lt;ASSUMPTIONS!$D$2,"25",A1397 &lt;= ASSUMPTIONS!$D$3,"25-34",A1397 &lt;= ASSUMPTIONS!$D$4, "35-44",A1397 &lt;= ASSUMPTIONS!$D$5,"45-54",TRUE,"55+")</f>
        <v>25-34</v>
      </c>
      <c r="P1397" t="str" cm="1">
        <f t="array" ref="P1397">_xlfn.IFS( J1397 &lt;ASSUMPTIONS!$D$7,"LOW",J1397 &lt;= ASSUMPTIONS!$D$8,"MEDIUM",TRUE, "HIGH")</f>
        <v>MEDIUM</v>
      </c>
      <c r="Q1397" t="str">
        <f>IF(M1397&lt;ASSUMPTIONS!$D$10,"New (0-2)",IF(M1397&lt;=ASSUMPTIONS!$D$11,"Early (2-5)",IF(M1397&lt;=ASSUMPTIONS!$D$12,"Established (5-10)","Veteran (10+)")))</f>
        <v>Established (5-10)</v>
      </c>
      <c r="R1397" s="4">
        <f t="shared" si="43"/>
        <v>2.6666666666666665</v>
      </c>
    </row>
    <row r="1398" spans="1:18">
      <c r="A1398">
        <f>RAW_DATA!A1398</f>
        <v>53</v>
      </c>
      <c r="B1398" t="str">
        <f>RAW_DATA!B1398</f>
        <v>Yes</v>
      </c>
      <c r="C1398" t="str">
        <f>RAW_DATA!C1398</f>
        <v>Sales</v>
      </c>
      <c r="D1398">
        <f>RAW_DATA!D1398</f>
        <v>24</v>
      </c>
      <c r="E1398">
        <f>RAW_DATA!E1398</f>
        <v>4</v>
      </c>
      <c r="F1398" t="str">
        <f>RAW_DATA!F1398</f>
        <v>Life Sciences</v>
      </c>
      <c r="G1398">
        <f>RAW_DATA!G1398</f>
        <v>1</v>
      </c>
      <c r="H1398">
        <f>RAW_DATA!H1398</f>
        <v>1</v>
      </c>
      <c r="I1398" t="str">
        <f>RAW_DATA!I1398</f>
        <v>Single</v>
      </c>
      <c r="J1398">
        <f>RAW_DATA!J1398</f>
        <v>10448</v>
      </c>
      <c r="K1398">
        <f>RAW_DATA!K1398</f>
        <v>6</v>
      </c>
      <c r="L1398">
        <f>RAW_DATA!L1398</f>
        <v>2</v>
      </c>
      <c r="M1398">
        <f>RAW_DATA!M1398</f>
        <v>2</v>
      </c>
      <c r="N1398">
        <f t="shared" si="42"/>
        <v>1</v>
      </c>
      <c r="O1398" t="str" cm="1">
        <f t="array" ref="O1398" xml:space="preserve"> _xlfn.IFS(A1398 &lt;ASSUMPTIONS!$D$2,"25",A1398 &lt;= ASSUMPTIONS!$D$3,"25-34",A1398 &lt;= ASSUMPTIONS!$D$4, "35-44",A1398 &lt;= ASSUMPTIONS!$D$5,"45-54",TRUE,"55+")</f>
        <v>45-54</v>
      </c>
      <c r="P1398" t="str" cm="1">
        <f t="array" ref="P1398">_xlfn.IFS( J1398 &lt;ASSUMPTIONS!$D$7,"LOW",J1398 &lt;= ASSUMPTIONS!$D$8,"MEDIUM",TRUE, "HIGH")</f>
        <v>HIGH</v>
      </c>
      <c r="Q1398" t="str">
        <f>IF(M1398&lt;ASSUMPTIONS!$D$10,"New (0-2)",IF(M1398&lt;=ASSUMPTIONS!$D$11,"Early (2-5)",IF(M1398&lt;=ASSUMPTIONS!$D$12,"Established (5-10)","Veteran (10+)")))</f>
        <v>Early (2-5)</v>
      </c>
      <c r="R1398" s="4">
        <f t="shared" si="43"/>
        <v>1.3333333333333333</v>
      </c>
    </row>
    <row r="1399" spans="1:18">
      <c r="A1399">
        <f>RAW_DATA!A1399</f>
        <v>54</v>
      </c>
      <c r="B1399" t="str">
        <f>RAW_DATA!B1399</f>
        <v>No</v>
      </c>
      <c r="C1399" t="str">
        <f>RAW_DATA!C1399</f>
        <v>Research &amp; Development</v>
      </c>
      <c r="D1399">
        <f>RAW_DATA!D1399</f>
        <v>9</v>
      </c>
      <c r="E1399">
        <f>RAW_DATA!E1399</f>
        <v>2</v>
      </c>
      <c r="F1399" t="str">
        <f>RAW_DATA!F1399</f>
        <v>Life Sciences</v>
      </c>
      <c r="G1399">
        <f>RAW_DATA!G1399</f>
        <v>1</v>
      </c>
      <c r="H1399">
        <f>RAW_DATA!H1399</f>
        <v>3</v>
      </c>
      <c r="I1399" t="str">
        <f>RAW_DATA!I1399</f>
        <v>Married</v>
      </c>
      <c r="J1399">
        <f>RAW_DATA!J1399</f>
        <v>2897</v>
      </c>
      <c r="K1399">
        <f>RAW_DATA!K1399</f>
        <v>3</v>
      </c>
      <c r="L1399">
        <f>RAW_DATA!L1399</f>
        <v>2</v>
      </c>
      <c r="M1399">
        <f>RAW_DATA!M1399</f>
        <v>4</v>
      </c>
      <c r="N1399">
        <f t="shared" si="42"/>
        <v>0</v>
      </c>
      <c r="O1399" t="str" cm="1">
        <f t="array" ref="O1399" xml:space="preserve"> _xlfn.IFS(A1399 &lt;ASSUMPTIONS!$D$2,"25",A1399 &lt;= ASSUMPTIONS!$D$3,"25-34",A1399 &lt;= ASSUMPTIONS!$D$4, "35-44",A1399 &lt;= ASSUMPTIONS!$D$5,"45-54",TRUE,"55+")</f>
        <v>45-54</v>
      </c>
      <c r="P1399" t="str" cm="1">
        <f t="array" ref="P1399">_xlfn.IFS( J1399 &lt;ASSUMPTIONS!$D$7,"LOW",J1399 &lt;= ASSUMPTIONS!$D$8,"MEDIUM",TRUE, "HIGH")</f>
        <v>LOW</v>
      </c>
      <c r="Q1399" t="str">
        <f>IF(M1399&lt;ASSUMPTIONS!$D$10,"New (0-2)",IF(M1399&lt;=ASSUMPTIONS!$D$11,"Early (2-5)",IF(M1399&lt;=ASSUMPTIONS!$D$12,"Established (5-10)","Veteran (10+)")))</f>
        <v>Early (2-5)</v>
      </c>
      <c r="R1399" s="4">
        <f t="shared" si="43"/>
        <v>2</v>
      </c>
    </row>
    <row r="1400" spans="1:18">
      <c r="A1400">
        <f>RAW_DATA!A1400</f>
        <v>33</v>
      </c>
      <c r="B1400" t="str">
        <f>RAW_DATA!B1400</f>
        <v>No</v>
      </c>
      <c r="C1400" t="str">
        <f>RAW_DATA!C1400</f>
        <v>Research &amp; Development</v>
      </c>
      <c r="D1400">
        <f>RAW_DATA!D1400</f>
        <v>7</v>
      </c>
      <c r="E1400">
        <f>RAW_DATA!E1400</f>
        <v>2</v>
      </c>
      <c r="F1400" t="str">
        <f>RAW_DATA!F1400</f>
        <v>Life Sciences</v>
      </c>
      <c r="G1400">
        <f>RAW_DATA!G1400</f>
        <v>4</v>
      </c>
      <c r="H1400">
        <f>RAW_DATA!H1400</f>
        <v>3</v>
      </c>
      <c r="I1400" t="str">
        <f>RAW_DATA!I1400</f>
        <v>Divorced</v>
      </c>
      <c r="J1400">
        <f>RAW_DATA!J1400</f>
        <v>5968</v>
      </c>
      <c r="K1400">
        <f>RAW_DATA!K1400</f>
        <v>1</v>
      </c>
      <c r="L1400">
        <f>RAW_DATA!L1400</f>
        <v>3</v>
      </c>
      <c r="M1400">
        <f>RAW_DATA!M1400</f>
        <v>9</v>
      </c>
      <c r="N1400">
        <f t="shared" si="42"/>
        <v>0</v>
      </c>
      <c r="O1400" t="str" cm="1">
        <f t="array" ref="O1400" xml:space="preserve"> _xlfn.IFS(A1400 &lt;ASSUMPTIONS!$D$2,"25",A1400 &lt;= ASSUMPTIONS!$D$3,"25-34",A1400 &lt;= ASSUMPTIONS!$D$4, "35-44",A1400 &lt;= ASSUMPTIONS!$D$5,"45-54",TRUE,"55+")</f>
        <v>25-34</v>
      </c>
      <c r="P1400" t="str" cm="1">
        <f t="array" ref="P1400">_xlfn.IFS( J1400 &lt;ASSUMPTIONS!$D$7,"LOW",J1400 &lt;= ASSUMPTIONS!$D$8,"MEDIUM",TRUE, "HIGH")</f>
        <v>MEDIUM</v>
      </c>
      <c r="Q1400" t="str">
        <f>IF(M1400&lt;ASSUMPTIONS!$D$10,"New (0-2)",IF(M1400&lt;=ASSUMPTIONS!$D$11,"Early (2-5)",IF(M1400&lt;=ASSUMPTIONS!$D$12,"Established (5-10)","Veteran (10+)")))</f>
        <v>Established (5-10)</v>
      </c>
      <c r="R1400" s="4">
        <f t="shared" si="43"/>
        <v>3.3333333333333335</v>
      </c>
    </row>
    <row r="1401" spans="1:18">
      <c r="A1401">
        <f>RAW_DATA!A1401</f>
        <v>43</v>
      </c>
      <c r="B1401" t="str">
        <f>RAW_DATA!B1401</f>
        <v>No</v>
      </c>
      <c r="C1401" t="str">
        <f>RAW_DATA!C1401</f>
        <v>Research &amp; Development</v>
      </c>
      <c r="D1401">
        <f>RAW_DATA!D1401</f>
        <v>11</v>
      </c>
      <c r="E1401">
        <f>RAW_DATA!E1401</f>
        <v>3</v>
      </c>
      <c r="F1401" t="str">
        <f>RAW_DATA!F1401</f>
        <v>Life Sciences</v>
      </c>
      <c r="G1401">
        <f>RAW_DATA!G1401</f>
        <v>1</v>
      </c>
      <c r="H1401">
        <f>RAW_DATA!H1401</f>
        <v>3</v>
      </c>
      <c r="I1401" t="str">
        <f>RAW_DATA!I1401</f>
        <v>Married</v>
      </c>
      <c r="J1401">
        <f>RAW_DATA!J1401</f>
        <v>7510</v>
      </c>
      <c r="K1401">
        <f>RAW_DATA!K1401</f>
        <v>1</v>
      </c>
      <c r="L1401">
        <f>RAW_DATA!L1401</f>
        <v>3</v>
      </c>
      <c r="M1401">
        <f>RAW_DATA!M1401</f>
        <v>10</v>
      </c>
      <c r="N1401">
        <f t="shared" si="42"/>
        <v>0</v>
      </c>
      <c r="O1401" t="str" cm="1">
        <f t="array" ref="O1401" xml:space="preserve"> _xlfn.IFS(A1401 &lt;ASSUMPTIONS!$D$2,"25",A1401 &lt;= ASSUMPTIONS!$D$3,"25-34",A1401 &lt;= ASSUMPTIONS!$D$4, "35-44",A1401 &lt;= ASSUMPTIONS!$D$5,"45-54",TRUE,"55+")</f>
        <v>35-44</v>
      </c>
      <c r="P1401" t="str" cm="1">
        <f t="array" ref="P1401">_xlfn.IFS( J1401 &lt;ASSUMPTIONS!$D$7,"LOW",J1401 &lt;= ASSUMPTIONS!$D$8,"MEDIUM",TRUE, "HIGH")</f>
        <v>HIGH</v>
      </c>
      <c r="Q1401" t="str">
        <f>IF(M1401&lt;ASSUMPTIONS!$D$10,"New (0-2)",IF(M1401&lt;=ASSUMPTIONS!$D$11,"Early (2-5)",IF(M1401&lt;=ASSUMPTIONS!$D$12,"Established (5-10)","Veteran (10+)")))</f>
        <v>Established (5-10)</v>
      </c>
      <c r="R1401" s="4">
        <f t="shared" si="43"/>
        <v>2.3333333333333335</v>
      </c>
    </row>
    <row r="1402" spans="1:18">
      <c r="A1402">
        <f>RAW_DATA!A1402</f>
        <v>38</v>
      </c>
      <c r="B1402" t="str">
        <f>RAW_DATA!B1402</f>
        <v>No</v>
      </c>
      <c r="C1402" t="str">
        <f>RAW_DATA!C1402</f>
        <v>Human Resources</v>
      </c>
      <c r="D1402">
        <f>RAW_DATA!D1402</f>
        <v>1</v>
      </c>
      <c r="E1402">
        <f>RAW_DATA!E1402</f>
        <v>4</v>
      </c>
      <c r="F1402" t="str">
        <f>RAW_DATA!F1402</f>
        <v>Other</v>
      </c>
      <c r="G1402">
        <f>RAW_DATA!G1402</f>
        <v>4</v>
      </c>
      <c r="H1402">
        <f>RAW_DATA!H1402</f>
        <v>2</v>
      </c>
      <c r="I1402" t="str">
        <f>RAW_DATA!I1402</f>
        <v>Married</v>
      </c>
      <c r="J1402">
        <f>RAW_DATA!J1402</f>
        <v>2991</v>
      </c>
      <c r="K1402">
        <f>RAW_DATA!K1402</f>
        <v>0</v>
      </c>
      <c r="L1402">
        <f>RAW_DATA!L1402</f>
        <v>3</v>
      </c>
      <c r="M1402">
        <f>RAW_DATA!M1402</f>
        <v>6</v>
      </c>
      <c r="N1402">
        <f t="shared" si="42"/>
        <v>0</v>
      </c>
      <c r="O1402" t="str" cm="1">
        <f t="array" ref="O1402" xml:space="preserve"> _xlfn.IFS(A1402 &lt;ASSUMPTIONS!$D$2,"25",A1402 &lt;= ASSUMPTIONS!$D$3,"25-34",A1402 &lt;= ASSUMPTIONS!$D$4, "35-44",A1402 &lt;= ASSUMPTIONS!$D$5,"45-54",TRUE,"55+")</f>
        <v>35-44</v>
      </c>
      <c r="P1402" t="str" cm="1">
        <f t="array" ref="P1402">_xlfn.IFS( J1402 &lt;ASSUMPTIONS!$D$7,"LOW",J1402 &lt;= ASSUMPTIONS!$D$8,"MEDIUM",TRUE, "HIGH")</f>
        <v>LOW</v>
      </c>
      <c r="Q1402" t="str">
        <f>IF(M1402&lt;ASSUMPTIONS!$D$10,"New (0-2)",IF(M1402&lt;=ASSUMPTIONS!$D$11,"Early (2-5)",IF(M1402&lt;=ASSUMPTIONS!$D$12,"Established (5-10)","Veteran (10+)")))</f>
        <v>Established (5-10)</v>
      </c>
      <c r="R1402" s="4">
        <f t="shared" si="43"/>
        <v>3</v>
      </c>
    </row>
    <row r="1403" spans="1:18">
      <c r="A1403">
        <f>RAW_DATA!A1403</f>
        <v>55</v>
      </c>
      <c r="B1403" t="str">
        <f>RAW_DATA!B1403</f>
        <v>No</v>
      </c>
      <c r="C1403" t="str">
        <f>RAW_DATA!C1403</f>
        <v>Human Resources</v>
      </c>
      <c r="D1403">
        <f>RAW_DATA!D1403</f>
        <v>26</v>
      </c>
      <c r="E1403">
        <f>RAW_DATA!E1403</f>
        <v>4</v>
      </c>
      <c r="F1403" t="str">
        <f>RAW_DATA!F1403</f>
        <v>Human Resources</v>
      </c>
      <c r="G1403">
        <f>RAW_DATA!G1403</f>
        <v>3</v>
      </c>
      <c r="H1403">
        <f>RAW_DATA!H1403</f>
        <v>2</v>
      </c>
      <c r="I1403" t="str">
        <f>RAW_DATA!I1403</f>
        <v>Married</v>
      </c>
      <c r="J1403">
        <f>RAW_DATA!J1403</f>
        <v>19636</v>
      </c>
      <c r="K1403">
        <f>RAW_DATA!K1403</f>
        <v>4</v>
      </c>
      <c r="L1403">
        <f>RAW_DATA!L1403</f>
        <v>3</v>
      </c>
      <c r="M1403">
        <f>RAW_DATA!M1403</f>
        <v>10</v>
      </c>
      <c r="N1403">
        <f t="shared" si="42"/>
        <v>0</v>
      </c>
      <c r="O1403" t="str" cm="1">
        <f t="array" ref="O1403" xml:space="preserve"> _xlfn.IFS(A1403 &lt;ASSUMPTIONS!$D$2,"25",A1403 &lt;= ASSUMPTIONS!$D$3,"25-34",A1403 &lt;= ASSUMPTIONS!$D$4, "35-44",A1403 &lt;= ASSUMPTIONS!$D$5,"45-54",TRUE,"55+")</f>
        <v>55+</v>
      </c>
      <c r="P1403" t="str" cm="1">
        <f t="array" ref="P1403">_xlfn.IFS( J1403 &lt;ASSUMPTIONS!$D$7,"LOW",J1403 &lt;= ASSUMPTIONS!$D$8,"MEDIUM",TRUE, "HIGH")</f>
        <v>HIGH</v>
      </c>
      <c r="Q1403" t="str">
        <f>IF(M1403&lt;ASSUMPTIONS!$D$10,"New (0-2)",IF(M1403&lt;=ASSUMPTIONS!$D$11,"Early (2-5)",IF(M1403&lt;=ASSUMPTIONS!$D$12,"Established (5-10)","Veteran (10+)")))</f>
        <v>Established (5-10)</v>
      </c>
      <c r="R1403" s="4">
        <f t="shared" si="43"/>
        <v>2.6666666666666665</v>
      </c>
    </row>
    <row r="1404" spans="1:18">
      <c r="A1404">
        <f>RAW_DATA!A1404</f>
        <v>31</v>
      </c>
      <c r="B1404" t="str">
        <f>RAW_DATA!B1404</f>
        <v>No</v>
      </c>
      <c r="C1404" t="str">
        <f>RAW_DATA!C1404</f>
        <v>Research &amp; Development</v>
      </c>
      <c r="D1404">
        <f>RAW_DATA!D1404</f>
        <v>2</v>
      </c>
      <c r="E1404">
        <f>RAW_DATA!E1404</f>
        <v>1</v>
      </c>
      <c r="F1404" t="str">
        <f>RAW_DATA!F1404</f>
        <v>Medical</v>
      </c>
      <c r="G1404">
        <f>RAW_DATA!G1404</f>
        <v>4</v>
      </c>
      <c r="H1404">
        <f>RAW_DATA!H1404</f>
        <v>4</v>
      </c>
      <c r="I1404" t="str">
        <f>RAW_DATA!I1404</f>
        <v>Divorced</v>
      </c>
      <c r="J1404">
        <f>RAW_DATA!J1404</f>
        <v>1129</v>
      </c>
      <c r="K1404">
        <f>RAW_DATA!K1404</f>
        <v>1</v>
      </c>
      <c r="L1404">
        <f>RAW_DATA!L1404</f>
        <v>3</v>
      </c>
      <c r="M1404">
        <f>RAW_DATA!M1404</f>
        <v>1</v>
      </c>
      <c r="N1404">
        <f t="shared" si="42"/>
        <v>0</v>
      </c>
      <c r="O1404" t="str" cm="1">
        <f t="array" ref="O1404" xml:space="preserve"> _xlfn.IFS(A1404 &lt;ASSUMPTIONS!$D$2,"25",A1404 &lt;= ASSUMPTIONS!$D$3,"25-34",A1404 &lt;= ASSUMPTIONS!$D$4, "35-44",A1404 &lt;= ASSUMPTIONS!$D$5,"45-54",TRUE,"55+")</f>
        <v>25-34</v>
      </c>
      <c r="P1404" t="str" cm="1">
        <f t="array" ref="P1404">_xlfn.IFS( J1404 &lt;ASSUMPTIONS!$D$7,"LOW",J1404 &lt;= ASSUMPTIONS!$D$8,"MEDIUM",TRUE, "HIGH")</f>
        <v>LOW</v>
      </c>
      <c r="Q1404" t="str">
        <f>IF(M1404&lt;ASSUMPTIONS!$D$10,"New (0-2)",IF(M1404&lt;=ASSUMPTIONS!$D$11,"Early (2-5)",IF(M1404&lt;=ASSUMPTIONS!$D$12,"Established (5-10)","Veteran (10+)")))</f>
        <v>New (0-2)</v>
      </c>
      <c r="R1404" s="4">
        <f t="shared" si="43"/>
        <v>3.6666666666666665</v>
      </c>
    </row>
    <row r="1405" spans="1:18">
      <c r="A1405">
        <f>RAW_DATA!A1405</f>
        <v>39</v>
      </c>
      <c r="B1405" t="str">
        <f>RAW_DATA!B1405</f>
        <v>No</v>
      </c>
      <c r="C1405" t="str">
        <f>RAW_DATA!C1405</f>
        <v>Sales</v>
      </c>
      <c r="D1405">
        <f>RAW_DATA!D1405</f>
        <v>15</v>
      </c>
      <c r="E1405">
        <f>RAW_DATA!E1405</f>
        <v>4</v>
      </c>
      <c r="F1405" t="str">
        <f>RAW_DATA!F1405</f>
        <v>Marketing</v>
      </c>
      <c r="G1405">
        <f>RAW_DATA!G1405</f>
        <v>2</v>
      </c>
      <c r="H1405">
        <f>RAW_DATA!H1405</f>
        <v>1</v>
      </c>
      <c r="I1405" t="str">
        <f>RAW_DATA!I1405</f>
        <v>Single</v>
      </c>
      <c r="J1405">
        <f>RAW_DATA!J1405</f>
        <v>13341</v>
      </c>
      <c r="K1405">
        <f>RAW_DATA!K1405</f>
        <v>0</v>
      </c>
      <c r="L1405">
        <f>RAW_DATA!L1405</f>
        <v>3</v>
      </c>
      <c r="M1405">
        <f>RAW_DATA!M1405</f>
        <v>20</v>
      </c>
      <c r="N1405">
        <f t="shared" si="42"/>
        <v>0</v>
      </c>
      <c r="O1405" t="str" cm="1">
        <f t="array" ref="O1405" xml:space="preserve"> _xlfn.IFS(A1405 &lt;ASSUMPTIONS!$D$2,"25",A1405 &lt;= ASSUMPTIONS!$D$3,"25-34",A1405 &lt;= ASSUMPTIONS!$D$4, "35-44",A1405 &lt;= ASSUMPTIONS!$D$5,"45-54",TRUE,"55+")</f>
        <v>35-44</v>
      </c>
      <c r="P1405" t="str" cm="1">
        <f t="array" ref="P1405">_xlfn.IFS( J1405 &lt;ASSUMPTIONS!$D$7,"LOW",J1405 &lt;= ASSUMPTIONS!$D$8,"MEDIUM",TRUE, "HIGH")</f>
        <v>HIGH</v>
      </c>
      <c r="Q1405" t="str">
        <f>IF(M1405&lt;ASSUMPTIONS!$D$10,"New (0-2)",IF(M1405&lt;=ASSUMPTIONS!$D$11,"Early (2-5)",IF(M1405&lt;=ASSUMPTIONS!$D$12,"Established (5-10)","Veteran (10+)")))</f>
        <v>Veteran (10+)</v>
      </c>
      <c r="R1405" s="4">
        <f t="shared" si="43"/>
        <v>2</v>
      </c>
    </row>
    <row r="1406" spans="1:18">
      <c r="A1406">
        <f>RAW_DATA!A1406</f>
        <v>42</v>
      </c>
      <c r="B1406" t="str">
        <f>RAW_DATA!B1406</f>
        <v>No</v>
      </c>
      <c r="C1406" t="str">
        <f>RAW_DATA!C1406</f>
        <v>Research &amp; Development</v>
      </c>
      <c r="D1406">
        <f>RAW_DATA!D1406</f>
        <v>23</v>
      </c>
      <c r="E1406">
        <f>RAW_DATA!E1406</f>
        <v>2</v>
      </c>
      <c r="F1406" t="str">
        <f>RAW_DATA!F1406</f>
        <v>Life Sciences</v>
      </c>
      <c r="G1406">
        <f>RAW_DATA!G1406</f>
        <v>4</v>
      </c>
      <c r="H1406">
        <f>RAW_DATA!H1406</f>
        <v>3</v>
      </c>
      <c r="I1406" t="str">
        <f>RAW_DATA!I1406</f>
        <v>Single</v>
      </c>
      <c r="J1406">
        <f>RAW_DATA!J1406</f>
        <v>4332</v>
      </c>
      <c r="K1406">
        <f>RAW_DATA!K1406</f>
        <v>1</v>
      </c>
      <c r="L1406">
        <f>RAW_DATA!L1406</f>
        <v>3</v>
      </c>
      <c r="M1406">
        <f>RAW_DATA!M1406</f>
        <v>20</v>
      </c>
      <c r="N1406">
        <f t="shared" si="42"/>
        <v>0</v>
      </c>
      <c r="O1406" t="str" cm="1">
        <f t="array" ref="O1406" xml:space="preserve"> _xlfn.IFS(A1406 &lt;ASSUMPTIONS!$D$2,"25",A1406 &lt;= ASSUMPTIONS!$D$3,"25-34",A1406 &lt;= ASSUMPTIONS!$D$4, "35-44",A1406 &lt;= ASSUMPTIONS!$D$5,"45-54",TRUE,"55+")</f>
        <v>35-44</v>
      </c>
      <c r="P1406" t="str" cm="1">
        <f t="array" ref="P1406">_xlfn.IFS( J1406 &lt;ASSUMPTIONS!$D$7,"LOW",J1406 &lt;= ASSUMPTIONS!$D$8,"MEDIUM",TRUE, "HIGH")</f>
        <v>MEDIUM</v>
      </c>
      <c r="Q1406" t="str">
        <f>IF(M1406&lt;ASSUMPTIONS!$D$10,"New (0-2)",IF(M1406&lt;=ASSUMPTIONS!$D$11,"Early (2-5)",IF(M1406&lt;=ASSUMPTIONS!$D$12,"Established (5-10)","Veteran (10+)")))</f>
        <v>Veteran (10+)</v>
      </c>
      <c r="R1406" s="4">
        <f t="shared" si="43"/>
        <v>3.3333333333333335</v>
      </c>
    </row>
    <row r="1407" spans="1:18">
      <c r="A1407">
        <f>RAW_DATA!A1407</f>
        <v>31</v>
      </c>
      <c r="B1407" t="str">
        <f>RAW_DATA!B1407</f>
        <v>No</v>
      </c>
      <c r="C1407" t="str">
        <f>RAW_DATA!C1407</f>
        <v>Research &amp; Development</v>
      </c>
      <c r="D1407">
        <f>RAW_DATA!D1407</f>
        <v>10</v>
      </c>
      <c r="E1407">
        <f>RAW_DATA!E1407</f>
        <v>3</v>
      </c>
      <c r="F1407" t="str">
        <f>RAW_DATA!F1407</f>
        <v>Medical</v>
      </c>
      <c r="G1407">
        <f>RAW_DATA!G1407</f>
        <v>3</v>
      </c>
      <c r="H1407">
        <f>RAW_DATA!H1407</f>
        <v>3</v>
      </c>
      <c r="I1407" t="str">
        <f>RAW_DATA!I1407</f>
        <v>Married</v>
      </c>
      <c r="J1407">
        <f>RAW_DATA!J1407</f>
        <v>11031</v>
      </c>
      <c r="K1407">
        <f>RAW_DATA!K1407</f>
        <v>4</v>
      </c>
      <c r="L1407">
        <f>RAW_DATA!L1407</f>
        <v>4</v>
      </c>
      <c r="M1407">
        <f>RAW_DATA!M1407</f>
        <v>11</v>
      </c>
      <c r="N1407">
        <f t="shared" si="42"/>
        <v>0</v>
      </c>
      <c r="O1407" t="str" cm="1">
        <f t="array" ref="O1407" xml:space="preserve"> _xlfn.IFS(A1407 &lt;ASSUMPTIONS!$D$2,"25",A1407 &lt;= ASSUMPTIONS!$D$3,"25-34",A1407 &lt;= ASSUMPTIONS!$D$4, "35-44",A1407 &lt;= ASSUMPTIONS!$D$5,"45-54",TRUE,"55+")</f>
        <v>25-34</v>
      </c>
      <c r="P1407" t="str" cm="1">
        <f t="array" ref="P1407">_xlfn.IFS( J1407 &lt;ASSUMPTIONS!$D$7,"LOW",J1407 &lt;= ASSUMPTIONS!$D$8,"MEDIUM",TRUE, "HIGH")</f>
        <v>HIGH</v>
      </c>
      <c r="Q1407" t="str">
        <f>IF(M1407&lt;ASSUMPTIONS!$D$10,"New (0-2)",IF(M1407&lt;=ASSUMPTIONS!$D$11,"Early (2-5)",IF(M1407&lt;=ASSUMPTIONS!$D$12,"Established (5-10)","Veteran (10+)")))</f>
        <v>Veteran (10+)</v>
      </c>
      <c r="R1407" s="4">
        <f t="shared" si="43"/>
        <v>3.3333333333333335</v>
      </c>
    </row>
    <row r="1408" spans="1:18">
      <c r="A1408">
        <f>RAW_DATA!A1408</f>
        <v>54</v>
      </c>
      <c r="B1408" t="str">
        <f>RAW_DATA!B1408</f>
        <v>No</v>
      </c>
      <c r="C1408" t="str">
        <f>RAW_DATA!C1408</f>
        <v>Research &amp; Development</v>
      </c>
      <c r="D1408">
        <f>RAW_DATA!D1408</f>
        <v>10</v>
      </c>
      <c r="E1408">
        <f>RAW_DATA!E1408</f>
        <v>3</v>
      </c>
      <c r="F1408" t="str">
        <f>RAW_DATA!F1408</f>
        <v>Medical</v>
      </c>
      <c r="G1408">
        <f>RAW_DATA!G1408</f>
        <v>3</v>
      </c>
      <c r="H1408">
        <f>RAW_DATA!H1408</f>
        <v>1</v>
      </c>
      <c r="I1408" t="str">
        <f>RAW_DATA!I1408</f>
        <v>Single</v>
      </c>
      <c r="J1408">
        <f>RAW_DATA!J1408</f>
        <v>4440</v>
      </c>
      <c r="K1408">
        <f>RAW_DATA!K1408</f>
        <v>6</v>
      </c>
      <c r="L1408">
        <f>RAW_DATA!L1408</f>
        <v>3</v>
      </c>
      <c r="M1408">
        <f>RAW_DATA!M1408</f>
        <v>5</v>
      </c>
      <c r="N1408">
        <f t="shared" si="42"/>
        <v>0</v>
      </c>
      <c r="O1408" t="str" cm="1">
        <f t="array" ref="O1408" xml:space="preserve"> _xlfn.IFS(A1408 &lt;ASSUMPTIONS!$D$2,"25",A1408 &lt;= ASSUMPTIONS!$D$3,"25-34",A1408 &lt;= ASSUMPTIONS!$D$4, "35-44",A1408 &lt;= ASSUMPTIONS!$D$5,"45-54",TRUE,"55+")</f>
        <v>45-54</v>
      </c>
      <c r="P1408" t="str" cm="1">
        <f t="array" ref="P1408">_xlfn.IFS( J1408 &lt;ASSUMPTIONS!$D$7,"LOW",J1408 &lt;= ASSUMPTIONS!$D$8,"MEDIUM",TRUE, "HIGH")</f>
        <v>MEDIUM</v>
      </c>
      <c r="Q1408" t="str">
        <f>IF(M1408&lt;ASSUMPTIONS!$D$10,"New (0-2)",IF(M1408&lt;=ASSUMPTIONS!$D$11,"Early (2-5)",IF(M1408&lt;=ASSUMPTIONS!$D$12,"Established (5-10)","Veteran (10+)")))</f>
        <v>Early (2-5)</v>
      </c>
      <c r="R1408" s="4">
        <f t="shared" si="43"/>
        <v>2.3333333333333335</v>
      </c>
    </row>
    <row r="1409" spans="1:18">
      <c r="A1409">
        <f>RAW_DATA!A1409</f>
        <v>24</v>
      </c>
      <c r="B1409" t="str">
        <f>RAW_DATA!B1409</f>
        <v>No</v>
      </c>
      <c r="C1409" t="str">
        <f>RAW_DATA!C1409</f>
        <v>Research &amp; Development</v>
      </c>
      <c r="D1409">
        <f>RAW_DATA!D1409</f>
        <v>1</v>
      </c>
      <c r="E1409">
        <f>RAW_DATA!E1409</f>
        <v>2</v>
      </c>
      <c r="F1409" t="str">
        <f>RAW_DATA!F1409</f>
        <v>Life Sciences</v>
      </c>
      <c r="G1409">
        <f>RAW_DATA!G1409</f>
        <v>2</v>
      </c>
      <c r="H1409">
        <f>RAW_DATA!H1409</f>
        <v>3</v>
      </c>
      <c r="I1409" t="str">
        <f>RAW_DATA!I1409</f>
        <v>Single</v>
      </c>
      <c r="J1409">
        <f>RAW_DATA!J1409</f>
        <v>4617</v>
      </c>
      <c r="K1409">
        <f>RAW_DATA!K1409</f>
        <v>1</v>
      </c>
      <c r="L1409">
        <f>RAW_DATA!L1409</f>
        <v>2</v>
      </c>
      <c r="M1409">
        <f>RAW_DATA!M1409</f>
        <v>4</v>
      </c>
      <c r="N1409">
        <f t="shared" si="42"/>
        <v>0</v>
      </c>
      <c r="O1409" t="str" cm="1">
        <f t="array" ref="O1409" xml:space="preserve"> _xlfn.IFS(A1409 &lt;ASSUMPTIONS!$D$2,"25",A1409 &lt;= ASSUMPTIONS!$D$3,"25-34",A1409 &lt;= ASSUMPTIONS!$D$4, "35-44",A1409 &lt;= ASSUMPTIONS!$D$5,"45-54",TRUE,"55+")</f>
        <v>25</v>
      </c>
      <c r="P1409" t="str" cm="1">
        <f t="array" ref="P1409">_xlfn.IFS( J1409 &lt;ASSUMPTIONS!$D$7,"LOW",J1409 &lt;= ASSUMPTIONS!$D$8,"MEDIUM",TRUE, "HIGH")</f>
        <v>MEDIUM</v>
      </c>
      <c r="Q1409" t="str">
        <f>IF(M1409&lt;ASSUMPTIONS!$D$10,"New (0-2)",IF(M1409&lt;=ASSUMPTIONS!$D$11,"Early (2-5)",IF(M1409&lt;=ASSUMPTIONS!$D$12,"Established (5-10)","Veteran (10+)")))</f>
        <v>Early (2-5)</v>
      </c>
      <c r="R1409" s="4">
        <f t="shared" si="43"/>
        <v>2.3333333333333335</v>
      </c>
    </row>
    <row r="1410" spans="1:18">
      <c r="A1410">
        <f>RAW_DATA!A1410</f>
        <v>23</v>
      </c>
      <c r="B1410" t="str">
        <f>RAW_DATA!B1410</f>
        <v>No</v>
      </c>
      <c r="C1410" t="str">
        <f>RAW_DATA!C1410</f>
        <v>Research &amp; Development</v>
      </c>
      <c r="D1410">
        <f>RAW_DATA!D1410</f>
        <v>12</v>
      </c>
      <c r="E1410">
        <f>RAW_DATA!E1410</f>
        <v>2</v>
      </c>
      <c r="F1410" t="str">
        <f>RAW_DATA!F1410</f>
        <v>Other</v>
      </c>
      <c r="G1410">
        <f>RAW_DATA!G1410</f>
        <v>4</v>
      </c>
      <c r="H1410">
        <f>RAW_DATA!H1410</f>
        <v>4</v>
      </c>
      <c r="I1410" t="str">
        <f>RAW_DATA!I1410</f>
        <v>Single</v>
      </c>
      <c r="J1410">
        <f>RAW_DATA!J1410</f>
        <v>2647</v>
      </c>
      <c r="K1410">
        <f>RAW_DATA!K1410</f>
        <v>1</v>
      </c>
      <c r="L1410">
        <f>RAW_DATA!L1410</f>
        <v>4</v>
      </c>
      <c r="M1410">
        <f>RAW_DATA!M1410</f>
        <v>5</v>
      </c>
      <c r="N1410">
        <f t="shared" si="42"/>
        <v>0</v>
      </c>
      <c r="O1410" t="str" cm="1">
        <f t="array" ref="O1410" xml:space="preserve"> _xlfn.IFS(A1410 &lt;ASSUMPTIONS!$D$2,"25",A1410 &lt;= ASSUMPTIONS!$D$3,"25-34",A1410 &lt;= ASSUMPTIONS!$D$4, "35-44",A1410 &lt;= ASSUMPTIONS!$D$5,"45-54",TRUE,"55+")</f>
        <v>25</v>
      </c>
      <c r="P1410" t="str" cm="1">
        <f t="array" ref="P1410">_xlfn.IFS( J1410 &lt;ASSUMPTIONS!$D$7,"LOW",J1410 &lt;= ASSUMPTIONS!$D$8,"MEDIUM",TRUE, "HIGH")</f>
        <v>LOW</v>
      </c>
      <c r="Q1410" t="str">
        <f>IF(M1410&lt;ASSUMPTIONS!$D$10,"New (0-2)",IF(M1410&lt;=ASSUMPTIONS!$D$11,"Early (2-5)",IF(M1410&lt;=ASSUMPTIONS!$D$12,"Established (5-10)","Veteran (10+)")))</f>
        <v>Early (2-5)</v>
      </c>
      <c r="R1410" s="4">
        <f t="shared" si="43"/>
        <v>4</v>
      </c>
    </row>
    <row r="1411" spans="1:18">
      <c r="A1411">
        <f>RAW_DATA!A1411</f>
        <v>40</v>
      </c>
      <c r="B1411" t="str">
        <f>RAW_DATA!B1411</f>
        <v>No</v>
      </c>
      <c r="C1411" t="str">
        <f>RAW_DATA!C1411</f>
        <v>Research &amp; Development</v>
      </c>
      <c r="D1411">
        <f>RAW_DATA!D1411</f>
        <v>11</v>
      </c>
      <c r="E1411">
        <f>RAW_DATA!E1411</f>
        <v>3</v>
      </c>
      <c r="F1411" t="str">
        <f>RAW_DATA!F1411</f>
        <v>Technical Degree</v>
      </c>
      <c r="G1411">
        <f>RAW_DATA!G1411</f>
        <v>4</v>
      </c>
      <c r="H1411">
        <f>RAW_DATA!H1411</f>
        <v>3</v>
      </c>
      <c r="I1411" t="str">
        <f>RAW_DATA!I1411</f>
        <v>Married</v>
      </c>
      <c r="J1411">
        <f>RAW_DATA!J1411</f>
        <v>6323</v>
      </c>
      <c r="K1411">
        <f>RAW_DATA!K1411</f>
        <v>1</v>
      </c>
      <c r="L1411">
        <f>RAW_DATA!L1411</f>
        <v>4</v>
      </c>
      <c r="M1411">
        <f>RAW_DATA!M1411</f>
        <v>10</v>
      </c>
      <c r="N1411">
        <f t="shared" ref="N1411:N1471" si="44" xml:space="preserve"> IF(B1411 ="Yes",1,0)</f>
        <v>0</v>
      </c>
      <c r="O1411" t="str" cm="1">
        <f t="array" ref="O1411" xml:space="preserve"> _xlfn.IFS(A1411 &lt;ASSUMPTIONS!$D$2,"25",A1411 &lt;= ASSUMPTIONS!$D$3,"25-34",A1411 &lt;= ASSUMPTIONS!$D$4, "35-44",A1411 &lt;= ASSUMPTIONS!$D$5,"45-54",TRUE,"55+")</f>
        <v>35-44</v>
      </c>
      <c r="P1411" t="str" cm="1">
        <f t="array" ref="P1411">_xlfn.IFS( J1411 &lt;ASSUMPTIONS!$D$7,"LOW",J1411 &lt;= ASSUMPTIONS!$D$8,"MEDIUM",TRUE, "HIGH")</f>
        <v>MEDIUM</v>
      </c>
      <c r="Q1411" t="str">
        <f>IF(M1411&lt;ASSUMPTIONS!$D$10,"New (0-2)",IF(M1411&lt;=ASSUMPTIONS!$D$11,"Early (2-5)",IF(M1411&lt;=ASSUMPTIONS!$D$12,"Established (5-10)","Veteran (10+)")))</f>
        <v>Established (5-10)</v>
      </c>
      <c r="R1411" s="4">
        <f t="shared" ref="R1411:R1471" si="45">AVERAGE(G1411,H1411,L1411)</f>
        <v>3.6666666666666665</v>
      </c>
    </row>
    <row r="1412" spans="1:18">
      <c r="A1412">
        <f>RAW_DATA!A1412</f>
        <v>40</v>
      </c>
      <c r="B1412" t="str">
        <f>RAW_DATA!B1412</f>
        <v>No</v>
      </c>
      <c r="C1412" t="str">
        <f>RAW_DATA!C1412</f>
        <v>Sales</v>
      </c>
      <c r="D1412">
        <f>RAW_DATA!D1412</f>
        <v>2</v>
      </c>
      <c r="E1412">
        <f>RAW_DATA!E1412</f>
        <v>2</v>
      </c>
      <c r="F1412" t="str">
        <f>RAW_DATA!F1412</f>
        <v>Marketing</v>
      </c>
      <c r="G1412">
        <f>RAW_DATA!G1412</f>
        <v>2</v>
      </c>
      <c r="H1412">
        <f>RAW_DATA!H1412</f>
        <v>2</v>
      </c>
      <c r="I1412" t="str">
        <f>RAW_DATA!I1412</f>
        <v>Married</v>
      </c>
      <c r="J1412">
        <f>RAW_DATA!J1412</f>
        <v>5677</v>
      </c>
      <c r="K1412">
        <f>RAW_DATA!K1412</f>
        <v>3</v>
      </c>
      <c r="L1412">
        <f>RAW_DATA!L1412</f>
        <v>3</v>
      </c>
      <c r="M1412">
        <f>RAW_DATA!M1412</f>
        <v>11</v>
      </c>
      <c r="N1412">
        <f t="shared" si="44"/>
        <v>0</v>
      </c>
      <c r="O1412" t="str" cm="1">
        <f t="array" ref="O1412" xml:space="preserve"> _xlfn.IFS(A1412 &lt;ASSUMPTIONS!$D$2,"25",A1412 &lt;= ASSUMPTIONS!$D$3,"25-34",A1412 &lt;= ASSUMPTIONS!$D$4, "35-44",A1412 &lt;= ASSUMPTIONS!$D$5,"45-54",TRUE,"55+")</f>
        <v>35-44</v>
      </c>
      <c r="P1412" t="str" cm="1">
        <f t="array" ref="P1412">_xlfn.IFS( J1412 &lt;ASSUMPTIONS!$D$7,"LOW",J1412 &lt;= ASSUMPTIONS!$D$8,"MEDIUM",TRUE, "HIGH")</f>
        <v>MEDIUM</v>
      </c>
      <c r="Q1412" t="str">
        <f>IF(M1412&lt;ASSUMPTIONS!$D$10,"New (0-2)",IF(M1412&lt;=ASSUMPTIONS!$D$11,"Early (2-5)",IF(M1412&lt;=ASSUMPTIONS!$D$12,"Established (5-10)","Veteran (10+)")))</f>
        <v>Veteran (10+)</v>
      </c>
      <c r="R1412" s="4">
        <f t="shared" si="45"/>
        <v>2.3333333333333335</v>
      </c>
    </row>
    <row r="1413" spans="1:18">
      <c r="A1413">
        <f>RAW_DATA!A1413</f>
        <v>25</v>
      </c>
      <c r="B1413" t="str">
        <f>RAW_DATA!B1413</f>
        <v>No</v>
      </c>
      <c r="C1413" t="str">
        <f>RAW_DATA!C1413</f>
        <v>Human Resources</v>
      </c>
      <c r="D1413">
        <f>RAW_DATA!D1413</f>
        <v>2</v>
      </c>
      <c r="E1413">
        <f>RAW_DATA!E1413</f>
        <v>3</v>
      </c>
      <c r="F1413" t="str">
        <f>RAW_DATA!F1413</f>
        <v>Human Resources</v>
      </c>
      <c r="G1413">
        <f>RAW_DATA!G1413</f>
        <v>3</v>
      </c>
      <c r="H1413">
        <f>RAW_DATA!H1413</f>
        <v>2</v>
      </c>
      <c r="I1413" t="str">
        <f>RAW_DATA!I1413</f>
        <v>Married</v>
      </c>
      <c r="J1413">
        <f>RAW_DATA!J1413</f>
        <v>2187</v>
      </c>
      <c r="K1413">
        <f>RAW_DATA!K1413</f>
        <v>4</v>
      </c>
      <c r="L1413">
        <f>RAW_DATA!L1413</f>
        <v>3</v>
      </c>
      <c r="M1413">
        <f>RAW_DATA!M1413</f>
        <v>2</v>
      </c>
      <c r="N1413">
        <f t="shared" si="44"/>
        <v>0</v>
      </c>
      <c r="O1413" t="str" cm="1">
        <f t="array" ref="O1413" xml:space="preserve"> _xlfn.IFS(A1413 &lt;ASSUMPTIONS!$D$2,"25",A1413 &lt;= ASSUMPTIONS!$D$3,"25-34",A1413 &lt;= ASSUMPTIONS!$D$4, "35-44",A1413 &lt;= ASSUMPTIONS!$D$5,"45-54",TRUE,"55+")</f>
        <v>25-34</v>
      </c>
      <c r="P1413" t="str" cm="1">
        <f t="array" ref="P1413">_xlfn.IFS( J1413 &lt;ASSUMPTIONS!$D$7,"LOW",J1413 &lt;= ASSUMPTIONS!$D$8,"MEDIUM",TRUE, "HIGH")</f>
        <v>LOW</v>
      </c>
      <c r="Q1413" t="str">
        <f>IF(M1413&lt;ASSUMPTIONS!$D$10,"New (0-2)",IF(M1413&lt;=ASSUMPTIONS!$D$11,"Early (2-5)",IF(M1413&lt;=ASSUMPTIONS!$D$12,"Established (5-10)","Veteran (10+)")))</f>
        <v>Early (2-5)</v>
      </c>
      <c r="R1413" s="4">
        <f t="shared" si="45"/>
        <v>2.6666666666666665</v>
      </c>
    </row>
    <row r="1414" spans="1:18">
      <c r="A1414">
        <f>RAW_DATA!A1414</f>
        <v>30</v>
      </c>
      <c r="B1414" t="str">
        <f>RAW_DATA!B1414</f>
        <v>No</v>
      </c>
      <c r="C1414" t="str">
        <f>RAW_DATA!C1414</f>
        <v>Research &amp; Development</v>
      </c>
      <c r="D1414">
        <f>RAW_DATA!D1414</f>
        <v>1</v>
      </c>
      <c r="E1414">
        <f>RAW_DATA!E1414</f>
        <v>2</v>
      </c>
      <c r="F1414" t="str">
        <f>RAW_DATA!F1414</f>
        <v>Medical</v>
      </c>
      <c r="G1414">
        <f>RAW_DATA!G1414</f>
        <v>4</v>
      </c>
      <c r="H1414">
        <f>RAW_DATA!H1414</f>
        <v>2</v>
      </c>
      <c r="I1414" t="str">
        <f>RAW_DATA!I1414</f>
        <v>Married</v>
      </c>
      <c r="J1414">
        <f>RAW_DATA!J1414</f>
        <v>3748</v>
      </c>
      <c r="K1414">
        <f>RAW_DATA!K1414</f>
        <v>1</v>
      </c>
      <c r="L1414">
        <f>RAW_DATA!L1414</f>
        <v>2</v>
      </c>
      <c r="M1414">
        <f>RAW_DATA!M1414</f>
        <v>12</v>
      </c>
      <c r="N1414">
        <f t="shared" si="44"/>
        <v>0</v>
      </c>
      <c r="O1414" t="str" cm="1">
        <f t="array" ref="O1414" xml:space="preserve"> _xlfn.IFS(A1414 &lt;ASSUMPTIONS!$D$2,"25",A1414 &lt;= ASSUMPTIONS!$D$3,"25-34",A1414 &lt;= ASSUMPTIONS!$D$4, "35-44",A1414 &lt;= ASSUMPTIONS!$D$5,"45-54",TRUE,"55+")</f>
        <v>25-34</v>
      </c>
      <c r="P1414" t="str" cm="1">
        <f t="array" ref="P1414">_xlfn.IFS( J1414 &lt;ASSUMPTIONS!$D$7,"LOW",J1414 &lt;= ASSUMPTIONS!$D$8,"MEDIUM",TRUE, "HIGH")</f>
        <v>MEDIUM</v>
      </c>
      <c r="Q1414" t="str">
        <f>IF(M1414&lt;ASSUMPTIONS!$D$10,"New (0-2)",IF(M1414&lt;=ASSUMPTIONS!$D$11,"Early (2-5)",IF(M1414&lt;=ASSUMPTIONS!$D$12,"Established (5-10)","Veteran (10+)")))</f>
        <v>Veteran (10+)</v>
      </c>
      <c r="R1414" s="4">
        <f t="shared" si="45"/>
        <v>2.6666666666666665</v>
      </c>
    </row>
    <row r="1415" spans="1:18">
      <c r="A1415">
        <f>RAW_DATA!A1415</f>
        <v>25</v>
      </c>
      <c r="B1415" t="str">
        <f>RAW_DATA!B1415</f>
        <v>No</v>
      </c>
      <c r="C1415" t="str">
        <f>RAW_DATA!C1415</f>
        <v>Research &amp; Development</v>
      </c>
      <c r="D1415">
        <f>RAW_DATA!D1415</f>
        <v>2</v>
      </c>
      <c r="E1415">
        <f>RAW_DATA!E1415</f>
        <v>1</v>
      </c>
      <c r="F1415" t="str">
        <f>RAW_DATA!F1415</f>
        <v>Other</v>
      </c>
      <c r="G1415">
        <f>RAW_DATA!G1415</f>
        <v>4</v>
      </c>
      <c r="H1415">
        <f>RAW_DATA!H1415</f>
        <v>3</v>
      </c>
      <c r="I1415" t="str">
        <f>RAW_DATA!I1415</f>
        <v>Divorced</v>
      </c>
      <c r="J1415">
        <f>RAW_DATA!J1415</f>
        <v>3977</v>
      </c>
      <c r="K1415">
        <f>RAW_DATA!K1415</f>
        <v>6</v>
      </c>
      <c r="L1415">
        <f>RAW_DATA!L1415</f>
        <v>2</v>
      </c>
      <c r="M1415">
        <f>RAW_DATA!M1415</f>
        <v>2</v>
      </c>
      <c r="N1415">
        <f t="shared" si="44"/>
        <v>0</v>
      </c>
      <c r="O1415" t="str" cm="1">
        <f t="array" ref="O1415" xml:space="preserve"> _xlfn.IFS(A1415 &lt;ASSUMPTIONS!$D$2,"25",A1415 &lt;= ASSUMPTIONS!$D$3,"25-34",A1415 &lt;= ASSUMPTIONS!$D$4, "35-44",A1415 &lt;= ASSUMPTIONS!$D$5,"45-54",TRUE,"55+")</f>
        <v>25-34</v>
      </c>
      <c r="P1415" t="str" cm="1">
        <f t="array" ref="P1415">_xlfn.IFS( J1415 &lt;ASSUMPTIONS!$D$7,"LOW",J1415 &lt;= ASSUMPTIONS!$D$8,"MEDIUM",TRUE, "HIGH")</f>
        <v>MEDIUM</v>
      </c>
      <c r="Q1415" t="str">
        <f>IF(M1415&lt;ASSUMPTIONS!$D$10,"New (0-2)",IF(M1415&lt;=ASSUMPTIONS!$D$11,"Early (2-5)",IF(M1415&lt;=ASSUMPTIONS!$D$12,"Established (5-10)","Veteran (10+)")))</f>
        <v>Early (2-5)</v>
      </c>
      <c r="R1415" s="4">
        <f t="shared" si="45"/>
        <v>3</v>
      </c>
    </row>
    <row r="1416" spans="1:18">
      <c r="A1416">
        <f>RAW_DATA!A1416</f>
        <v>47</v>
      </c>
      <c r="B1416" t="str">
        <f>RAW_DATA!B1416</f>
        <v>No</v>
      </c>
      <c r="C1416" t="str">
        <f>RAW_DATA!C1416</f>
        <v>Research &amp; Development</v>
      </c>
      <c r="D1416">
        <f>RAW_DATA!D1416</f>
        <v>25</v>
      </c>
      <c r="E1416">
        <f>RAW_DATA!E1416</f>
        <v>3</v>
      </c>
      <c r="F1416" t="str">
        <f>RAW_DATA!F1416</f>
        <v>Medical</v>
      </c>
      <c r="G1416">
        <f>RAW_DATA!G1416</f>
        <v>1</v>
      </c>
      <c r="H1416">
        <f>RAW_DATA!H1416</f>
        <v>3</v>
      </c>
      <c r="I1416" t="str">
        <f>RAW_DATA!I1416</f>
        <v>Single</v>
      </c>
      <c r="J1416">
        <f>RAW_DATA!J1416</f>
        <v>8633</v>
      </c>
      <c r="K1416">
        <f>RAW_DATA!K1416</f>
        <v>2</v>
      </c>
      <c r="L1416">
        <f>RAW_DATA!L1416</f>
        <v>3</v>
      </c>
      <c r="M1416">
        <f>RAW_DATA!M1416</f>
        <v>17</v>
      </c>
      <c r="N1416">
        <f t="shared" si="44"/>
        <v>0</v>
      </c>
      <c r="O1416" t="str" cm="1">
        <f t="array" ref="O1416" xml:space="preserve"> _xlfn.IFS(A1416 &lt;ASSUMPTIONS!$D$2,"25",A1416 &lt;= ASSUMPTIONS!$D$3,"25-34",A1416 &lt;= ASSUMPTIONS!$D$4, "35-44",A1416 &lt;= ASSUMPTIONS!$D$5,"45-54",TRUE,"55+")</f>
        <v>45-54</v>
      </c>
      <c r="P1416" t="str" cm="1">
        <f t="array" ref="P1416">_xlfn.IFS( J1416 &lt;ASSUMPTIONS!$D$7,"LOW",J1416 &lt;= ASSUMPTIONS!$D$8,"MEDIUM",TRUE, "HIGH")</f>
        <v>HIGH</v>
      </c>
      <c r="Q1416" t="str">
        <f>IF(M1416&lt;ASSUMPTIONS!$D$10,"New (0-2)",IF(M1416&lt;=ASSUMPTIONS!$D$11,"Early (2-5)",IF(M1416&lt;=ASSUMPTIONS!$D$12,"Established (5-10)","Veteran (10+)")))</f>
        <v>Veteran (10+)</v>
      </c>
      <c r="R1416" s="4">
        <f t="shared" si="45"/>
        <v>2.3333333333333335</v>
      </c>
    </row>
    <row r="1417" spans="1:18">
      <c r="A1417">
        <f>RAW_DATA!A1417</f>
        <v>33</v>
      </c>
      <c r="B1417" t="str">
        <f>RAW_DATA!B1417</f>
        <v>No</v>
      </c>
      <c r="C1417" t="str">
        <f>RAW_DATA!C1417</f>
        <v>Research &amp; Development</v>
      </c>
      <c r="D1417">
        <f>RAW_DATA!D1417</f>
        <v>1</v>
      </c>
      <c r="E1417">
        <f>RAW_DATA!E1417</f>
        <v>2</v>
      </c>
      <c r="F1417" t="str">
        <f>RAW_DATA!F1417</f>
        <v>Medical</v>
      </c>
      <c r="G1417">
        <f>RAW_DATA!G1417</f>
        <v>2</v>
      </c>
      <c r="H1417">
        <f>RAW_DATA!H1417</f>
        <v>3</v>
      </c>
      <c r="I1417" t="str">
        <f>RAW_DATA!I1417</f>
        <v>Divorced</v>
      </c>
      <c r="J1417">
        <f>RAW_DATA!J1417</f>
        <v>2008</v>
      </c>
      <c r="K1417">
        <f>RAW_DATA!K1417</f>
        <v>1</v>
      </c>
      <c r="L1417">
        <f>RAW_DATA!L1417</f>
        <v>2</v>
      </c>
      <c r="M1417">
        <f>RAW_DATA!M1417</f>
        <v>1</v>
      </c>
      <c r="N1417">
        <f t="shared" si="44"/>
        <v>0</v>
      </c>
      <c r="O1417" t="str" cm="1">
        <f t="array" ref="O1417" xml:space="preserve"> _xlfn.IFS(A1417 &lt;ASSUMPTIONS!$D$2,"25",A1417 &lt;= ASSUMPTIONS!$D$3,"25-34",A1417 &lt;= ASSUMPTIONS!$D$4, "35-44",A1417 &lt;= ASSUMPTIONS!$D$5,"45-54",TRUE,"55+")</f>
        <v>25-34</v>
      </c>
      <c r="P1417" t="str" cm="1">
        <f t="array" ref="P1417">_xlfn.IFS( J1417 &lt;ASSUMPTIONS!$D$7,"LOW",J1417 &lt;= ASSUMPTIONS!$D$8,"MEDIUM",TRUE, "HIGH")</f>
        <v>LOW</v>
      </c>
      <c r="Q1417" t="str">
        <f>IF(M1417&lt;ASSUMPTIONS!$D$10,"New (0-2)",IF(M1417&lt;=ASSUMPTIONS!$D$11,"Early (2-5)",IF(M1417&lt;=ASSUMPTIONS!$D$12,"Established (5-10)","Veteran (10+)")))</f>
        <v>New (0-2)</v>
      </c>
      <c r="R1417" s="4">
        <f t="shared" si="45"/>
        <v>2.3333333333333335</v>
      </c>
    </row>
    <row r="1418" spans="1:18">
      <c r="A1418">
        <f>RAW_DATA!A1418</f>
        <v>38</v>
      </c>
      <c r="B1418" t="str">
        <f>RAW_DATA!B1418</f>
        <v>No</v>
      </c>
      <c r="C1418" t="str">
        <f>RAW_DATA!C1418</f>
        <v>Sales</v>
      </c>
      <c r="D1418">
        <f>RAW_DATA!D1418</f>
        <v>1</v>
      </c>
      <c r="E1418">
        <f>RAW_DATA!E1418</f>
        <v>4</v>
      </c>
      <c r="F1418" t="str">
        <f>RAW_DATA!F1418</f>
        <v>Life Sciences</v>
      </c>
      <c r="G1418">
        <f>RAW_DATA!G1418</f>
        <v>4</v>
      </c>
      <c r="H1418">
        <f>RAW_DATA!H1418</f>
        <v>2</v>
      </c>
      <c r="I1418" t="str">
        <f>RAW_DATA!I1418</f>
        <v>Married</v>
      </c>
      <c r="J1418">
        <f>RAW_DATA!J1418</f>
        <v>4440</v>
      </c>
      <c r="K1418">
        <f>RAW_DATA!K1418</f>
        <v>0</v>
      </c>
      <c r="L1418">
        <f>RAW_DATA!L1418</f>
        <v>3</v>
      </c>
      <c r="M1418">
        <f>RAW_DATA!M1418</f>
        <v>15</v>
      </c>
      <c r="N1418">
        <f t="shared" si="44"/>
        <v>0</v>
      </c>
      <c r="O1418" t="str" cm="1">
        <f t="array" ref="O1418" xml:space="preserve"> _xlfn.IFS(A1418 &lt;ASSUMPTIONS!$D$2,"25",A1418 &lt;= ASSUMPTIONS!$D$3,"25-34",A1418 &lt;= ASSUMPTIONS!$D$4, "35-44",A1418 &lt;= ASSUMPTIONS!$D$5,"45-54",TRUE,"55+")</f>
        <v>35-44</v>
      </c>
      <c r="P1418" t="str" cm="1">
        <f t="array" ref="P1418">_xlfn.IFS( J1418 &lt;ASSUMPTIONS!$D$7,"LOW",J1418 &lt;= ASSUMPTIONS!$D$8,"MEDIUM",TRUE, "HIGH")</f>
        <v>MEDIUM</v>
      </c>
      <c r="Q1418" t="str">
        <f>IF(M1418&lt;ASSUMPTIONS!$D$10,"New (0-2)",IF(M1418&lt;=ASSUMPTIONS!$D$11,"Early (2-5)",IF(M1418&lt;=ASSUMPTIONS!$D$12,"Established (5-10)","Veteran (10+)")))</f>
        <v>Veteran (10+)</v>
      </c>
      <c r="R1418" s="4">
        <f t="shared" si="45"/>
        <v>3</v>
      </c>
    </row>
    <row r="1419" spans="1:18">
      <c r="A1419">
        <f>RAW_DATA!A1419</f>
        <v>31</v>
      </c>
      <c r="B1419" t="str">
        <f>RAW_DATA!B1419</f>
        <v>No</v>
      </c>
      <c r="C1419" t="str">
        <f>RAW_DATA!C1419</f>
        <v>Sales</v>
      </c>
      <c r="D1419">
        <f>RAW_DATA!D1419</f>
        <v>2</v>
      </c>
      <c r="E1419">
        <f>RAW_DATA!E1419</f>
        <v>2</v>
      </c>
      <c r="F1419" t="str">
        <f>RAW_DATA!F1419</f>
        <v>Life Sciences</v>
      </c>
      <c r="G1419">
        <f>RAW_DATA!G1419</f>
        <v>1</v>
      </c>
      <c r="H1419">
        <f>RAW_DATA!H1419</f>
        <v>3</v>
      </c>
      <c r="I1419" t="str">
        <f>RAW_DATA!I1419</f>
        <v>Married</v>
      </c>
      <c r="J1419">
        <f>RAW_DATA!J1419</f>
        <v>3067</v>
      </c>
      <c r="K1419">
        <f>RAW_DATA!K1419</f>
        <v>0</v>
      </c>
      <c r="L1419">
        <f>RAW_DATA!L1419</f>
        <v>3</v>
      </c>
      <c r="M1419">
        <f>RAW_DATA!M1419</f>
        <v>2</v>
      </c>
      <c r="N1419">
        <f t="shared" si="44"/>
        <v>0</v>
      </c>
      <c r="O1419" t="str" cm="1">
        <f t="array" ref="O1419" xml:space="preserve"> _xlfn.IFS(A1419 &lt;ASSUMPTIONS!$D$2,"25",A1419 &lt;= ASSUMPTIONS!$D$3,"25-34",A1419 &lt;= ASSUMPTIONS!$D$4, "35-44",A1419 &lt;= ASSUMPTIONS!$D$5,"45-54",TRUE,"55+")</f>
        <v>25-34</v>
      </c>
      <c r="P1419" t="str" cm="1">
        <f t="array" ref="P1419">_xlfn.IFS( J1419 &lt;ASSUMPTIONS!$D$7,"LOW",J1419 &lt;= ASSUMPTIONS!$D$8,"MEDIUM",TRUE, "HIGH")</f>
        <v>MEDIUM</v>
      </c>
      <c r="Q1419" t="str">
        <f>IF(M1419&lt;ASSUMPTIONS!$D$10,"New (0-2)",IF(M1419&lt;=ASSUMPTIONS!$D$11,"Early (2-5)",IF(M1419&lt;=ASSUMPTIONS!$D$12,"Established (5-10)","Veteran (10+)")))</f>
        <v>Early (2-5)</v>
      </c>
      <c r="R1419" s="4">
        <f t="shared" si="45"/>
        <v>2.3333333333333335</v>
      </c>
    </row>
    <row r="1420" spans="1:18">
      <c r="A1420">
        <f>RAW_DATA!A1420</f>
        <v>38</v>
      </c>
      <c r="B1420" t="str">
        <f>RAW_DATA!B1420</f>
        <v>No</v>
      </c>
      <c r="C1420" t="str">
        <f>RAW_DATA!C1420</f>
        <v>Research &amp; Development</v>
      </c>
      <c r="D1420">
        <f>RAW_DATA!D1420</f>
        <v>6</v>
      </c>
      <c r="E1420">
        <f>RAW_DATA!E1420</f>
        <v>4</v>
      </c>
      <c r="F1420" t="str">
        <f>RAW_DATA!F1420</f>
        <v>Life Sciences</v>
      </c>
      <c r="G1420">
        <f>RAW_DATA!G1420</f>
        <v>1</v>
      </c>
      <c r="H1420">
        <f>RAW_DATA!H1420</f>
        <v>3</v>
      </c>
      <c r="I1420" t="str">
        <f>RAW_DATA!I1420</f>
        <v>Married</v>
      </c>
      <c r="J1420">
        <f>RAW_DATA!J1420</f>
        <v>5321</v>
      </c>
      <c r="K1420">
        <f>RAW_DATA!K1420</f>
        <v>2</v>
      </c>
      <c r="L1420">
        <f>RAW_DATA!L1420</f>
        <v>3</v>
      </c>
      <c r="M1420">
        <f>RAW_DATA!M1420</f>
        <v>8</v>
      </c>
      <c r="N1420">
        <f t="shared" si="44"/>
        <v>0</v>
      </c>
      <c r="O1420" t="str" cm="1">
        <f t="array" ref="O1420" xml:space="preserve"> _xlfn.IFS(A1420 &lt;ASSUMPTIONS!$D$2,"25",A1420 &lt;= ASSUMPTIONS!$D$3,"25-34",A1420 &lt;= ASSUMPTIONS!$D$4, "35-44",A1420 &lt;= ASSUMPTIONS!$D$5,"45-54",TRUE,"55+")</f>
        <v>35-44</v>
      </c>
      <c r="P1420" t="str" cm="1">
        <f t="array" ref="P1420">_xlfn.IFS( J1420 &lt;ASSUMPTIONS!$D$7,"LOW",J1420 &lt;= ASSUMPTIONS!$D$8,"MEDIUM",TRUE, "HIGH")</f>
        <v>MEDIUM</v>
      </c>
      <c r="Q1420" t="str">
        <f>IF(M1420&lt;ASSUMPTIONS!$D$10,"New (0-2)",IF(M1420&lt;=ASSUMPTIONS!$D$11,"Early (2-5)",IF(M1420&lt;=ASSUMPTIONS!$D$12,"Established (5-10)","Veteran (10+)")))</f>
        <v>Established (5-10)</v>
      </c>
      <c r="R1420" s="4">
        <f t="shared" si="45"/>
        <v>2.3333333333333335</v>
      </c>
    </row>
    <row r="1421" spans="1:18">
      <c r="A1421">
        <f>RAW_DATA!A1421</f>
        <v>42</v>
      </c>
      <c r="B1421" t="str">
        <f>RAW_DATA!B1421</f>
        <v>No</v>
      </c>
      <c r="C1421" t="str">
        <f>RAW_DATA!C1421</f>
        <v>Research &amp; Development</v>
      </c>
      <c r="D1421">
        <f>RAW_DATA!D1421</f>
        <v>18</v>
      </c>
      <c r="E1421">
        <f>RAW_DATA!E1421</f>
        <v>4</v>
      </c>
      <c r="F1421" t="str">
        <f>RAW_DATA!F1421</f>
        <v>Life Sciences</v>
      </c>
      <c r="G1421">
        <f>RAW_DATA!G1421</f>
        <v>4</v>
      </c>
      <c r="H1421">
        <f>RAW_DATA!H1421</f>
        <v>1</v>
      </c>
      <c r="I1421" t="str">
        <f>RAW_DATA!I1421</f>
        <v>Divorced</v>
      </c>
      <c r="J1421">
        <f>RAW_DATA!J1421</f>
        <v>5410</v>
      </c>
      <c r="K1421">
        <f>RAW_DATA!K1421</f>
        <v>6</v>
      </c>
      <c r="L1421">
        <f>RAW_DATA!L1421</f>
        <v>2</v>
      </c>
      <c r="M1421">
        <f>RAW_DATA!M1421</f>
        <v>4</v>
      </c>
      <c r="N1421">
        <f t="shared" si="44"/>
        <v>0</v>
      </c>
      <c r="O1421" t="str" cm="1">
        <f t="array" ref="O1421" xml:space="preserve"> _xlfn.IFS(A1421 &lt;ASSUMPTIONS!$D$2,"25",A1421 &lt;= ASSUMPTIONS!$D$3,"25-34",A1421 &lt;= ASSUMPTIONS!$D$4, "35-44",A1421 &lt;= ASSUMPTIONS!$D$5,"45-54",TRUE,"55+")</f>
        <v>35-44</v>
      </c>
      <c r="P1421" t="str" cm="1">
        <f t="array" ref="P1421">_xlfn.IFS( J1421 &lt;ASSUMPTIONS!$D$7,"LOW",J1421 &lt;= ASSUMPTIONS!$D$8,"MEDIUM",TRUE, "HIGH")</f>
        <v>MEDIUM</v>
      </c>
      <c r="Q1421" t="str">
        <f>IF(M1421&lt;ASSUMPTIONS!$D$10,"New (0-2)",IF(M1421&lt;=ASSUMPTIONS!$D$11,"Early (2-5)",IF(M1421&lt;=ASSUMPTIONS!$D$12,"Established (5-10)","Veteran (10+)")))</f>
        <v>Early (2-5)</v>
      </c>
      <c r="R1421" s="4">
        <f t="shared" si="45"/>
        <v>2.3333333333333335</v>
      </c>
    </row>
    <row r="1422" spans="1:18">
      <c r="A1422">
        <f>RAW_DATA!A1422</f>
        <v>41</v>
      </c>
      <c r="B1422" t="str">
        <f>RAW_DATA!B1422</f>
        <v>No</v>
      </c>
      <c r="C1422" t="str">
        <f>RAW_DATA!C1422</f>
        <v>Research &amp; Development</v>
      </c>
      <c r="D1422">
        <f>RAW_DATA!D1422</f>
        <v>1</v>
      </c>
      <c r="E1422">
        <f>RAW_DATA!E1422</f>
        <v>3</v>
      </c>
      <c r="F1422" t="str">
        <f>RAW_DATA!F1422</f>
        <v>Life Sciences</v>
      </c>
      <c r="G1422">
        <f>RAW_DATA!G1422</f>
        <v>4</v>
      </c>
      <c r="H1422">
        <f>RAW_DATA!H1422</f>
        <v>4</v>
      </c>
      <c r="I1422" t="str">
        <f>RAW_DATA!I1422</f>
        <v>Married</v>
      </c>
      <c r="J1422">
        <f>RAW_DATA!J1422</f>
        <v>2782</v>
      </c>
      <c r="K1422">
        <f>RAW_DATA!K1422</f>
        <v>3</v>
      </c>
      <c r="L1422">
        <f>RAW_DATA!L1422</f>
        <v>3</v>
      </c>
      <c r="M1422">
        <f>RAW_DATA!M1422</f>
        <v>5</v>
      </c>
      <c r="N1422">
        <f t="shared" si="44"/>
        <v>0</v>
      </c>
      <c r="O1422" t="str" cm="1">
        <f t="array" ref="O1422" xml:space="preserve"> _xlfn.IFS(A1422 &lt;ASSUMPTIONS!$D$2,"25",A1422 &lt;= ASSUMPTIONS!$D$3,"25-34",A1422 &lt;= ASSUMPTIONS!$D$4, "35-44",A1422 &lt;= ASSUMPTIONS!$D$5,"45-54",TRUE,"55+")</f>
        <v>35-44</v>
      </c>
      <c r="P1422" t="str" cm="1">
        <f t="array" ref="P1422">_xlfn.IFS( J1422 &lt;ASSUMPTIONS!$D$7,"LOW",J1422 &lt;= ASSUMPTIONS!$D$8,"MEDIUM",TRUE, "HIGH")</f>
        <v>LOW</v>
      </c>
      <c r="Q1422" t="str">
        <f>IF(M1422&lt;ASSUMPTIONS!$D$10,"New (0-2)",IF(M1422&lt;=ASSUMPTIONS!$D$11,"Early (2-5)",IF(M1422&lt;=ASSUMPTIONS!$D$12,"Established (5-10)","Veteran (10+)")))</f>
        <v>Early (2-5)</v>
      </c>
      <c r="R1422" s="4">
        <f t="shared" si="45"/>
        <v>3.6666666666666665</v>
      </c>
    </row>
    <row r="1423" spans="1:18">
      <c r="A1423">
        <f>RAW_DATA!A1423</f>
        <v>47</v>
      </c>
      <c r="B1423" t="str">
        <f>RAW_DATA!B1423</f>
        <v>No</v>
      </c>
      <c r="C1423" t="str">
        <f>RAW_DATA!C1423</f>
        <v>Research &amp; Development</v>
      </c>
      <c r="D1423">
        <f>RAW_DATA!D1423</f>
        <v>1</v>
      </c>
      <c r="E1423">
        <f>RAW_DATA!E1423</f>
        <v>1</v>
      </c>
      <c r="F1423" t="str">
        <f>RAW_DATA!F1423</f>
        <v>Medical</v>
      </c>
      <c r="G1423">
        <f>RAW_DATA!G1423</f>
        <v>3</v>
      </c>
      <c r="H1423">
        <f>RAW_DATA!H1423</f>
        <v>2</v>
      </c>
      <c r="I1423" t="str">
        <f>RAW_DATA!I1423</f>
        <v>Married</v>
      </c>
      <c r="J1423">
        <f>RAW_DATA!J1423</f>
        <v>11957</v>
      </c>
      <c r="K1423">
        <f>RAW_DATA!K1423</f>
        <v>0</v>
      </c>
      <c r="L1423">
        <f>RAW_DATA!L1423</f>
        <v>1</v>
      </c>
      <c r="M1423">
        <f>RAW_DATA!M1423</f>
        <v>13</v>
      </c>
      <c r="N1423">
        <f t="shared" si="44"/>
        <v>0</v>
      </c>
      <c r="O1423" t="str" cm="1">
        <f t="array" ref="O1423" xml:space="preserve"> _xlfn.IFS(A1423 &lt;ASSUMPTIONS!$D$2,"25",A1423 &lt;= ASSUMPTIONS!$D$3,"25-34",A1423 &lt;= ASSUMPTIONS!$D$4, "35-44",A1423 &lt;= ASSUMPTIONS!$D$5,"45-54",TRUE,"55+")</f>
        <v>45-54</v>
      </c>
      <c r="P1423" t="str" cm="1">
        <f t="array" ref="P1423">_xlfn.IFS( J1423 &lt;ASSUMPTIONS!$D$7,"LOW",J1423 &lt;= ASSUMPTIONS!$D$8,"MEDIUM",TRUE, "HIGH")</f>
        <v>HIGH</v>
      </c>
      <c r="Q1423" t="str">
        <f>IF(M1423&lt;ASSUMPTIONS!$D$10,"New (0-2)",IF(M1423&lt;=ASSUMPTIONS!$D$11,"Early (2-5)",IF(M1423&lt;=ASSUMPTIONS!$D$12,"Established (5-10)","Veteran (10+)")))</f>
        <v>Veteran (10+)</v>
      </c>
      <c r="R1423" s="4">
        <f t="shared" si="45"/>
        <v>2</v>
      </c>
    </row>
    <row r="1424" spans="1:18">
      <c r="A1424">
        <f>RAW_DATA!A1424</f>
        <v>35</v>
      </c>
      <c r="B1424" t="str">
        <f>RAW_DATA!B1424</f>
        <v>No</v>
      </c>
      <c r="C1424" t="str">
        <f>RAW_DATA!C1424</f>
        <v>Research &amp; Development</v>
      </c>
      <c r="D1424">
        <f>RAW_DATA!D1424</f>
        <v>11</v>
      </c>
      <c r="E1424">
        <f>RAW_DATA!E1424</f>
        <v>4</v>
      </c>
      <c r="F1424" t="str">
        <f>RAW_DATA!F1424</f>
        <v>Medical</v>
      </c>
      <c r="G1424">
        <f>RAW_DATA!G1424</f>
        <v>4</v>
      </c>
      <c r="H1424">
        <f>RAW_DATA!H1424</f>
        <v>3</v>
      </c>
      <c r="I1424" t="str">
        <f>RAW_DATA!I1424</f>
        <v>Married</v>
      </c>
      <c r="J1424">
        <f>RAW_DATA!J1424</f>
        <v>2660</v>
      </c>
      <c r="K1424">
        <f>RAW_DATA!K1424</f>
        <v>7</v>
      </c>
      <c r="L1424">
        <f>RAW_DATA!L1424</f>
        <v>3</v>
      </c>
      <c r="M1424">
        <f>RAW_DATA!M1424</f>
        <v>2</v>
      </c>
      <c r="N1424">
        <f t="shared" si="44"/>
        <v>0</v>
      </c>
      <c r="O1424" t="str" cm="1">
        <f t="array" ref="O1424" xml:space="preserve"> _xlfn.IFS(A1424 &lt;ASSUMPTIONS!$D$2,"25",A1424 &lt;= ASSUMPTIONS!$D$3,"25-34",A1424 &lt;= ASSUMPTIONS!$D$4, "35-44",A1424 &lt;= ASSUMPTIONS!$D$5,"45-54",TRUE,"55+")</f>
        <v>35-44</v>
      </c>
      <c r="P1424" t="str" cm="1">
        <f t="array" ref="P1424">_xlfn.IFS( J1424 &lt;ASSUMPTIONS!$D$7,"LOW",J1424 &lt;= ASSUMPTIONS!$D$8,"MEDIUM",TRUE, "HIGH")</f>
        <v>LOW</v>
      </c>
      <c r="Q1424" t="str">
        <f>IF(M1424&lt;ASSUMPTIONS!$D$10,"New (0-2)",IF(M1424&lt;=ASSUMPTIONS!$D$11,"Early (2-5)",IF(M1424&lt;=ASSUMPTIONS!$D$12,"Established (5-10)","Veteran (10+)")))</f>
        <v>Early (2-5)</v>
      </c>
      <c r="R1424" s="4">
        <f t="shared" si="45"/>
        <v>3.3333333333333335</v>
      </c>
    </row>
    <row r="1425" spans="1:18">
      <c r="A1425">
        <f>RAW_DATA!A1425</f>
        <v>22</v>
      </c>
      <c r="B1425" t="str">
        <f>RAW_DATA!B1425</f>
        <v>No</v>
      </c>
      <c r="C1425" t="str">
        <f>RAW_DATA!C1425</f>
        <v>Research &amp; Development</v>
      </c>
      <c r="D1425">
        <f>RAW_DATA!D1425</f>
        <v>1</v>
      </c>
      <c r="E1425">
        <f>RAW_DATA!E1425</f>
        <v>2</v>
      </c>
      <c r="F1425" t="str">
        <f>RAW_DATA!F1425</f>
        <v>Life Sciences</v>
      </c>
      <c r="G1425">
        <f>RAW_DATA!G1425</f>
        <v>4</v>
      </c>
      <c r="H1425">
        <f>RAW_DATA!H1425</f>
        <v>3</v>
      </c>
      <c r="I1425" t="str">
        <f>RAW_DATA!I1425</f>
        <v>Single</v>
      </c>
      <c r="J1425">
        <f>RAW_DATA!J1425</f>
        <v>3375</v>
      </c>
      <c r="K1425">
        <f>RAW_DATA!K1425</f>
        <v>0</v>
      </c>
      <c r="L1425">
        <f>RAW_DATA!L1425</f>
        <v>4</v>
      </c>
      <c r="M1425">
        <f>RAW_DATA!M1425</f>
        <v>3</v>
      </c>
      <c r="N1425">
        <f t="shared" si="44"/>
        <v>0</v>
      </c>
      <c r="O1425" t="str" cm="1">
        <f t="array" ref="O1425" xml:space="preserve"> _xlfn.IFS(A1425 &lt;ASSUMPTIONS!$D$2,"25",A1425 &lt;= ASSUMPTIONS!$D$3,"25-34",A1425 &lt;= ASSUMPTIONS!$D$4, "35-44",A1425 &lt;= ASSUMPTIONS!$D$5,"45-54",TRUE,"55+")</f>
        <v>25</v>
      </c>
      <c r="P1425" t="str" cm="1">
        <f t="array" ref="P1425">_xlfn.IFS( J1425 &lt;ASSUMPTIONS!$D$7,"LOW",J1425 &lt;= ASSUMPTIONS!$D$8,"MEDIUM",TRUE, "HIGH")</f>
        <v>MEDIUM</v>
      </c>
      <c r="Q1425" t="str">
        <f>IF(M1425&lt;ASSUMPTIONS!$D$10,"New (0-2)",IF(M1425&lt;=ASSUMPTIONS!$D$11,"Early (2-5)",IF(M1425&lt;=ASSUMPTIONS!$D$12,"Established (5-10)","Veteran (10+)")))</f>
        <v>Early (2-5)</v>
      </c>
      <c r="R1425" s="4">
        <f t="shared" si="45"/>
        <v>3.6666666666666665</v>
      </c>
    </row>
    <row r="1426" spans="1:18">
      <c r="A1426">
        <f>RAW_DATA!A1426</f>
        <v>35</v>
      </c>
      <c r="B1426" t="str">
        <f>RAW_DATA!B1426</f>
        <v>No</v>
      </c>
      <c r="C1426" t="str">
        <f>RAW_DATA!C1426</f>
        <v>Research &amp; Development</v>
      </c>
      <c r="D1426">
        <f>RAW_DATA!D1426</f>
        <v>9</v>
      </c>
      <c r="E1426">
        <f>RAW_DATA!E1426</f>
        <v>4</v>
      </c>
      <c r="F1426" t="str">
        <f>RAW_DATA!F1426</f>
        <v>Medical</v>
      </c>
      <c r="G1426">
        <f>RAW_DATA!G1426</f>
        <v>2</v>
      </c>
      <c r="H1426">
        <f>RAW_DATA!H1426</f>
        <v>3</v>
      </c>
      <c r="I1426" t="str">
        <f>RAW_DATA!I1426</f>
        <v>Single</v>
      </c>
      <c r="J1426">
        <f>RAW_DATA!J1426</f>
        <v>5098</v>
      </c>
      <c r="K1426">
        <f>RAW_DATA!K1426</f>
        <v>1</v>
      </c>
      <c r="L1426">
        <f>RAW_DATA!L1426</f>
        <v>3</v>
      </c>
      <c r="M1426">
        <f>RAW_DATA!M1426</f>
        <v>10</v>
      </c>
      <c r="N1426">
        <f t="shared" si="44"/>
        <v>0</v>
      </c>
      <c r="O1426" t="str" cm="1">
        <f t="array" ref="O1426" xml:space="preserve"> _xlfn.IFS(A1426 &lt;ASSUMPTIONS!$D$2,"25",A1426 &lt;= ASSUMPTIONS!$D$3,"25-34",A1426 &lt;= ASSUMPTIONS!$D$4, "35-44",A1426 &lt;= ASSUMPTIONS!$D$5,"45-54",TRUE,"55+")</f>
        <v>35-44</v>
      </c>
      <c r="P1426" t="str" cm="1">
        <f t="array" ref="P1426">_xlfn.IFS( J1426 &lt;ASSUMPTIONS!$D$7,"LOW",J1426 &lt;= ASSUMPTIONS!$D$8,"MEDIUM",TRUE, "HIGH")</f>
        <v>MEDIUM</v>
      </c>
      <c r="Q1426" t="str">
        <f>IF(M1426&lt;ASSUMPTIONS!$D$10,"New (0-2)",IF(M1426&lt;=ASSUMPTIONS!$D$11,"Early (2-5)",IF(M1426&lt;=ASSUMPTIONS!$D$12,"Established (5-10)","Veteran (10+)")))</f>
        <v>Established (5-10)</v>
      </c>
      <c r="R1426" s="4">
        <f t="shared" si="45"/>
        <v>2.6666666666666665</v>
      </c>
    </row>
    <row r="1427" spans="1:18">
      <c r="A1427">
        <f>RAW_DATA!A1427</f>
        <v>33</v>
      </c>
      <c r="B1427" t="str">
        <f>RAW_DATA!B1427</f>
        <v>No</v>
      </c>
      <c r="C1427" t="str">
        <f>RAW_DATA!C1427</f>
        <v>Research &amp; Development</v>
      </c>
      <c r="D1427">
        <f>RAW_DATA!D1427</f>
        <v>15</v>
      </c>
      <c r="E1427">
        <f>RAW_DATA!E1427</f>
        <v>2</v>
      </c>
      <c r="F1427" t="str">
        <f>RAW_DATA!F1427</f>
        <v>Medical</v>
      </c>
      <c r="G1427">
        <f>RAW_DATA!G1427</f>
        <v>2</v>
      </c>
      <c r="H1427">
        <f>RAW_DATA!H1427</f>
        <v>4</v>
      </c>
      <c r="I1427" t="str">
        <f>RAW_DATA!I1427</f>
        <v>Married</v>
      </c>
      <c r="J1427">
        <f>RAW_DATA!J1427</f>
        <v>4878</v>
      </c>
      <c r="K1427">
        <f>RAW_DATA!K1427</f>
        <v>0</v>
      </c>
      <c r="L1427">
        <f>RAW_DATA!L1427</f>
        <v>3</v>
      </c>
      <c r="M1427">
        <f>RAW_DATA!M1427</f>
        <v>9</v>
      </c>
      <c r="N1427">
        <f t="shared" si="44"/>
        <v>0</v>
      </c>
      <c r="O1427" t="str" cm="1">
        <f t="array" ref="O1427" xml:space="preserve"> _xlfn.IFS(A1427 &lt;ASSUMPTIONS!$D$2,"25",A1427 &lt;= ASSUMPTIONS!$D$3,"25-34",A1427 &lt;= ASSUMPTIONS!$D$4, "35-44",A1427 &lt;= ASSUMPTIONS!$D$5,"45-54",TRUE,"55+")</f>
        <v>25-34</v>
      </c>
      <c r="P1427" t="str" cm="1">
        <f t="array" ref="P1427">_xlfn.IFS( J1427 &lt;ASSUMPTIONS!$D$7,"LOW",J1427 &lt;= ASSUMPTIONS!$D$8,"MEDIUM",TRUE, "HIGH")</f>
        <v>MEDIUM</v>
      </c>
      <c r="Q1427" t="str">
        <f>IF(M1427&lt;ASSUMPTIONS!$D$10,"New (0-2)",IF(M1427&lt;=ASSUMPTIONS!$D$11,"Early (2-5)",IF(M1427&lt;=ASSUMPTIONS!$D$12,"Established (5-10)","Veteran (10+)")))</f>
        <v>Established (5-10)</v>
      </c>
      <c r="R1427" s="4">
        <f t="shared" si="45"/>
        <v>3</v>
      </c>
    </row>
    <row r="1428" spans="1:18">
      <c r="A1428">
        <f>RAW_DATA!A1428</f>
        <v>32</v>
      </c>
      <c r="B1428" t="str">
        <f>RAW_DATA!B1428</f>
        <v>No</v>
      </c>
      <c r="C1428" t="str">
        <f>RAW_DATA!C1428</f>
        <v>Research &amp; Development</v>
      </c>
      <c r="D1428">
        <f>RAW_DATA!D1428</f>
        <v>29</v>
      </c>
      <c r="E1428">
        <f>RAW_DATA!E1428</f>
        <v>4</v>
      </c>
      <c r="F1428" t="str">
        <f>RAW_DATA!F1428</f>
        <v>Life Sciences</v>
      </c>
      <c r="G1428">
        <f>RAW_DATA!G1428</f>
        <v>3</v>
      </c>
      <c r="H1428">
        <f>RAW_DATA!H1428</f>
        <v>2</v>
      </c>
      <c r="I1428" t="str">
        <f>RAW_DATA!I1428</f>
        <v>Single</v>
      </c>
      <c r="J1428">
        <f>RAW_DATA!J1428</f>
        <v>2837</v>
      </c>
      <c r="K1428">
        <f>RAW_DATA!K1428</f>
        <v>1</v>
      </c>
      <c r="L1428">
        <f>RAW_DATA!L1428</f>
        <v>3</v>
      </c>
      <c r="M1428">
        <f>RAW_DATA!M1428</f>
        <v>6</v>
      </c>
      <c r="N1428">
        <f t="shared" si="44"/>
        <v>0</v>
      </c>
      <c r="O1428" t="str" cm="1">
        <f t="array" ref="O1428" xml:space="preserve"> _xlfn.IFS(A1428 &lt;ASSUMPTIONS!$D$2,"25",A1428 &lt;= ASSUMPTIONS!$D$3,"25-34",A1428 &lt;= ASSUMPTIONS!$D$4, "35-44",A1428 &lt;= ASSUMPTIONS!$D$5,"45-54",TRUE,"55+")</f>
        <v>25-34</v>
      </c>
      <c r="P1428" t="str" cm="1">
        <f t="array" ref="P1428">_xlfn.IFS( J1428 &lt;ASSUMPTIONS!$D$7,"LOW",J1428 &lt;= ASSUMPTIONS!$D$8,"MEDIUM",TRUE, "HIGH")</f>
        <v>LOW</v>
      </c>
      <c r="Q1428" t="str">
        <f>IF(M1428&lt;ASSUMPTIONS!$D$10,"New (0-2)",IF(M1428&lt;=ASSUMPTIONS!$D$11,"Early (2-5)",IF(M1428&lt;=ASSUMPTIONS!$D$12,"Established (5-10)","Veteran (10+)")))</f>
        <v>Established (5-10)</v>
      </c>
      <c r="R1428" s="4">
        <f t="shared" si="45"/>
        <v>2.6666666666666665</v>
      </c>
    </row>
    <row r="1429" spans="1:18">
      <c r="A1429">
        <f>RAW_DATA!A1429</f>
        <v>40</v>
      </c>
      <c r="B1429" t="str">
        <f>RAW_DATA!B1429</f>
        <v>No</v>
      </c>
      <c r="C1429" t="str">
        <f>RAW_DATA!C1429</f>
        <v>Research &amp; Development</v>
      </c>
      <c r="D1429">
        <f>RAW_DATA!D1429</f>
        <v>1</v>
      </c>
      <c r="E1429">
        <f>RAW_DATA!E1429</f>
        <v>4</v>
      </c>
      <c r="F1429" t="str">
        <f>RAW_DATA!F1429</f>
        <v>Life Sciences</v>
      </c>
      <c r="G1429">
        <f>RAW_DATA!G1429</f>
        <v>1</v>
      </c>
      <c r="H1429">
        <f>RAW_DATA!H1429</f>
        <v>4</v>
      </c>
      <c r="I1429" t="str">
        <f>RAW_DATA!I1429</f>
        <v>Married</v>
      </c>
      <c r="J1429">
        <f>RAW_DATA!J1429</f>
        <v>2406</v>
      </c>
      <c r="K1429">
        <f>RAW_DATA!K1429</f>
        <v>8</v>
      </c>
      <c r="L1429">
        <f>RAW_DATA!L1429</f>
        <v>2</v>
      </c>
      <c r="M1429">
        <f>RAW_DATA!M1429</f>
        <v>1</v>
      </c>
      <c r="N1429">
        <f t="shared" si="44"/>
        <v>0</v>
      </c>
      <c r="O1429" t="str" cm="1">
        <f t="array" ref="O1429" xml:space="preserve"> _xlfn.IFS(A1429 &lt;ASSUMPTIONS!$D$2,"25",A1429 &lt;= ASSUMPTIONS!$D$3,"25-34",A1429 &lt;= ASSUMPTIONS!$D$4, "35-44",A1429 &lt;= ASSUMPTIONS!$D$5,"45-54",TRUE,"55+")</f>
        <v>35-44</v>
      </c>
      <c r="P1429" t="str" cm="1">
        <f t="array" ref="P1429">_xlfn.IFS( J1429 &lt;ASSUMPTIONS!$D$7,"LOW",J1429 &lt;= ASSUMPTIONS!$D$8,"MEDIUM",TRUE, "HIGH")</f>
        <v>LOW</v>
      </c>
      <c r="Q1429" t="str">
        <f>IF(M1429&lt;ASSUMPTIONS!$D$10,"New (0-2)",IF(M1429&lt;=ASSUMPTIONS!$D$11,"Early (2-5)",IF(M1429&lt;=ASSUMPTIONS!$D$12,"Established (5-10)","Veteran (10+)")))</f>
        <v>New (0-2)</v>
      </c>
      <c r="R1429" s="4">
        <f t="shared" si="45"/>
        <v>2.3333333333333335</v>
      </c>
    </row>
    <row r="1430" spans="1:18">
      <c r="A1430">
        <f>RAW_DATA!A1430</f>
        <v>32</v>
      </c>
      <c r="B1430" t="str">
        <f>RAW_DATA!B1430</f>
        <v>No</v>
      </c>
      <c r="C1430" t="str">
        <f>RAW_DATA!C1430</f>
        <v>Sales</v>
      </c>
      <c r="D1430">
        <f>RAW_DATA!D1430</f>
        <v>1</v>
      </c>
      <c r="E1430">
        <f>RAW_DATA!E1430</f>
        <v>4</v>
      </c>
      <c r="F1430" t="str">
        <f>RAW_DATA!F1430</f>
        <v>Medical</v>
      </c>
      <c r="G1430">
        <f>RAW_DATA!G1430</f>
        <v>2</v>
      </c>
      <c r="H1430">
        <f>RAW_DATA!H1430</f>
        <v>2</v>
      </c>
      <c r="I1430" t="str">
        <f>RAW_DATA!I1430</f>
        <v>Married</v>
      </c>
      <c r="J1430">
        <f>RAW_DATA!J1430</f>
        <v>2269</v>
      </c>
      <c r="K1430">
        <f>RAW_DATA!K1430</f>
        <v>0</v>
      </c>
      <c r="L1430">
        <f>RAW_DATA!L1430</f>
        <v>3</v>
      </c>
      <c r="M1430">
        <f>RAW_DATA!M1430</f>
        <v>2</v>
      </c>
      <c r="N1430">
        <f t="shared" si="44"/>
        <v>0</v>
      </c>
      <c r="O1430" t="str" cm="1">
        <f t="array" ref="O1430" xml:space="preserve"> _xlfn.IFS(A1430 &lt;ASSUMPTIONS!$D$2,"25",A1430 &lt;= ASSUMPTIONS!$D$3,"25-34",A1430 &lt;= ASSUMPTIONS!$D$4, "35-44",A1430 &lt;= ASSUMPTIONS!$D$5,"45-54",TRUE,"55+")</f>
        <v>25-34</v>
      </c>
      <c r="P1430" t="str" cm="1">
        <f t="array" ref="P1430">_xlfn.IFS( J1430 &lt;ASSUMPTIONS!$D$7,"LOW",J1430 &lt;= ASSUMPTIONS!$D$8,"MEDIUM",TRUE, "HIGH")</f>
        <v>LOW</v>
      </c>
      <c r="Q1430" t="str">
        <f>IF(M1430&lt;ASSUMPTIONS!$D$10,"New (0-2)",IF(M1430&lt;=ASSUMPTIONS!$D$11,"Early (2-5)",IF(M1430&lt;=ASSUMPTIONS!$D$12,"Established (5-10)","Veteran (10+)")))</f>
        <v>Early (2-5)</v>
      </c>
      <c r="R1430" s="4">
        <f t="shared" si="45"/>
        <v>2.3333333333333335</v>
      </c>
    </row>
    <row r="1431" spans="1:18">
      <c r="A1431">
        <f>RAW_DATA!A1431</f>
        <v>39</v>
      </c>
      <c r="B1431" t="str">
        <f>RAW_DATA!B1431</f>
        <v>No</v>
      </c>
      <c r="C1431" t="str">
        <f>RAW_DATA!C1431</f>
        <v>Research &amp; Development</v>
      </c>
      <c r="D1431">
        <f>RAW_DATA!D1431</f>
        <v>24</v>
      </c>
      <c r="E1431">
        <f>RAW_DATA!E1431</f>
        <v>1</v>
      </c>
      <c r="F1431" t="str">
        <f>RAW_DATA!F1431</f>
        <v>Life Sciences</v>
      </c>
      <c r="G1431">
        <f>RAW_DATA!G1431</f>
        <v>1</v>
      </c>
      <c r="H1431">
        <f>RAW_DATA!H1431</f>
        <v>4</v>
      </c>
      <c r="I1431" t="str">
        <f>RAW_DATA!I1431</f>
        <v>Single</v>
      </c>
      <c r="J1431">
        <f>RAW_DATA!J1431</f>
        <v>4108</v>
      </c>
      <c r="K1431">
        <f>RAW_DATA!K1431</f>
        <v>7</v>
      </c>
      <c r="L1431">
        <f>RAW_DATA!L1431</f>
        <v>3</v>
      </c>
      <c r="M1431">
        <f>RAW_DATA!M1431</f>
        <v>7</v>
      </c>
      <c r="N1431">
        <f t="shared" si="44"/>
        <v>0</v>
      </c>
      <c r="O1431" t="str" cm="1">
        <f t="array" ref="O1431" xml:space="preserve"> _xlfn.IFS(A1431 &lt;ASSUMPTIONS!$D$2,"25",A1431 &lt;= ASSUMPTIONS!$D$3,"25-34",A1431 &lt;= ASSUMPTIONS!$D$4, "35-44",A1431 &lt;= ASSUMPTIONS!$D$5,"45-54",TRUE,"55+")</f>
        <v>35-44</v>
      </c>
      <c r="P1431" t="str" cm="1">
        <f t="array" ref="P1431">_xlfn.IFS( J1431 &lt;ASSUMPTIONS!$D$7,"LOW",J1431 &lt;= ASSUMPTIONS!$D$8,"MEDIUM",TRUE, "HIGH")</f>
        <v>MEDIUM</v>
      </c>
      <c r="Q1431" t="str">
        <f>IF(M1431&lt;ASSUMPTIONS!$D$10,"New (0-2)",IF(M1431&lt;=ASSUMPTIONS!$D$11,"Early (2-5)",IF(M1431&lt;=ASSUMPTIONS!$D$12,"Established (5-10)","Veteran (10+)")))</f>
        <v>Established (5-10)</v>
      </c>
      <c r="R1431" s="4">
        <f t="shared" si="45"/>
        <v>2.6666666666666665</v>
      </c>
    </row>
    <row r="1432" spans="1:18">
      <c r="A1432">
        <f>RAW_DATA!A1432</f>
        <v>38</v>
      </c>
      <c r="B1432" t="str">
        <f>RAW_DATA!B1432</f>
        <v>No</v>
      </c>
      <c r="C1432" t="str">
        <f>RAW_DATA!C1432</f>
        <v>Research &amp; Development</v>
      </c>
      <c r="D1432">
        <f>RAW_DATA!D1432</f>
        <v>10</v>
      </c>
      <c r="E1432">
        <f>RAW_DATA!E1432</f>
        <v>3</v>
      </c>
      <c r="F1432" t="str">
        <f>RAW_DATA!F1432</f>
        <v>Medical</v>
      </c>
      <c r="G1432">
        <f>RAW_DATA!G1432</f>
        <v>2</v>
      </c>
      <c r="H1432">
        <f>RAW_DATA!H1432</f>
        <v>3</v>
      </c>
      <c r="I1432" t="str">
        <f>RAW_DATA!I1432</f>
        <v>Married</v>
      </c>
      <c r="J1432">
        <f>RAW_DATA!J1432</f>
        <v>13206</v>
      </c>
      <c r="K1432">
        <f>RAW_DATA!K1432</f>
        <v>3</v>
      </c>
      <c r="L1432">
        <f>RAW_DATA!L1432</f>
        <v>3</v>
      </c>
      <c r="M1432">
        <f>RAW_DATA!M1432</f>
        <v>18</v>
      </c>
      <c r="N1432">
        <f t="shared" si="44"/>
        <v>0</v>
      </c>
      <c r="O1432" t="str" cm="1">
        <f t="array" ref="O1432" xml:space="preserve"> _xlfn.IFS(A1432 &lt;ASSUMPTIONS!$D$2,"25",A1432 &lt;= ASSUMPTIONS!$D$3,"25-34",A1432 &lt;= ASSUMPTIONS!$D$4, "35-44",A1432 &lt;= ASSUMPTIONS!$D$5,"45-54",TRUE,"55+")</f>
        <v>35-44</v>
      </c>
      <c r="P1432" t="str" cm="1">
        <f t="array" ref="P1432">_xlfn.IFS( J1432 &lt;ASSUMPTIONS!$D$7,"LOW",J1432 &lt;= ASSUMPTIONS!$D$8,"MEDIUM",TRUE, "HIGH")</f>
        <v>HIGH</v>
      </c>
      <c r="Q1432" t="str">
        <f>IF(M1432&lt;ASSUMPTIONS!$D$10,"New (0-2)",IF(M1432&lt;=ASSUMPTIONS!$D$11,"Early (2-5)",IF(M1432&lt;=ASSUMPTIONS!$D$12,"Established (5-10)","Veteran (10+)")))</f>
        <v>Veteran (10+)</v>
      </c>
      <c r="R1432" s="4">
        <f t="shared" si="45"/>
        <v>2.6666666666666665</v>
      </c>
    </row>
    <row r="1433" spans="1:18">
      <c r="A1433">
        <f>RAW_DATA!A1433</f>
        <v>32</v>
      </c>
      <c r="B1433" t="str">
        <f>RAW_DATA!B1433</f>
        <v>No</v>
      </c>
      <c r="C1433" t="str">
        <f>RAW_DATA!C1433</f>
        <v>Sales</v>
      </c>
      <c r="D1433">
        <f>RAW_DATA!D1433</f>
        <v>1</v>
      </c>
      <c r="E1433">
        <f>RAW_DATA!E1433</f>
        <v>4</v>
      </c>
      <c r="F1433" t="str">
        <f>RAW_DATA!F1433</f>
        <v>Marketing</v>
      </c>
      <c r="G1433">
        <f>RAW_DATA!G1433</f>
        <v>3</v>
      </c>
      <c r="H1433">
        <f>RAW_DATA!H1433</f>
        <v>4</v>
      </c>
      <c r="I1433" t="str">
        <f>RAW_DATA!I1433</f>
        <v>Married</v>
      </c>
      <c r="J1433">
        <f>RAW_DATA!J1433</f>
        <v>10422</v>
      </c>
      <c r="K1433">
        <f>RAW_DATA!K1433</f>
        <v>1</v>
      </c>
      <c r="L1433">
        <f>RAW_DATA!L1433</f>
        <v>3</v>
      </c>
      <c r="M1433">
        <f>RAW_DATA!M1433</f>
        <v>14</v>
      </c>
      <c r="N1433">
        <f t="shared" si="44"/>
        <v>0</v>
      </c>
      <c r="O1433" t="str" cm="1">
        <f t="array" ref="O1433" xml:space="preserve"> _xlfn.IFS(A1433 &lt;ASSUMPTIONS!$D$2,"25",A1433 &lt;= ASSUMPTIONS!$D$3,"25-34",A1433 &lt;= ASSUMPTIONS!$D$4, "35-44",A1433 &lt;= ASSUMPTIONS!$D$5,"45-54",TRUE,"55+")</f>
        <v>25-34</v>
      </c>
      <c r="P1433" t="str" cm="1">
        <f t="array" ref="P1433">_xlfn.IFS( J1433 &lt;ASSUMPTIONS!$D$7,"LOW",J1433 &lt;= ASSUMPTIONS!$D$8,"MEDIUM",TRUE, "HIGH")</f>
        <v>HIGH</v>
      </c>
      <c r="Q1433" t="str">
        <f>IF(M1433&lt;ASSUMPTIONS!$D$10,"New (0-2)",IF(M1433&lt;=ASSUMPTIONS!$D$11,"Early (2-5)",IF(M1433&lt;=ASSUMPTIONS!$D$12,"Established (5-10)","Veteran (10+)")))</f>
        <v>Veteran (10+)</v>
      </c>
      <c r="R1433" s="4">
        <f t="shared" si="45"/>
        <v>3.3333333333333335</v>
      </c>
    </row>
    <row r="1434" spans="1:18">
      <c r="A1434">
        <f>RAW_DATA!A1434</f>
        <v>37</v>
      </c>
      <c r="B1434" t="str">
        <f>RAW_DATA!B1434</f>
        <v>No</v>
      </c>
      <c r="C1434" t="str">
        <f>RAW_DATA!C1434</f>
        <v>Research &amp; Development</v>
      </c>
      <c r="D1434">
        <f>RAW_DATA!D1434</f>
        <v>10</v>
      </c>
      <c r="E1434">
        <f>RAW_DATA!E1434</f>
        <v>3</v>
      </c>
      <c r="F1434" t="str">
        <f>RAW_DATA!F1434</f>
        <v>Life Sciences</v>
      </c>
      <c r="G1434">
        <f>RAW_DATA!G1434</f>
        <v>3</v>
      </c>
      <c r="H1434">
        <f>RAW_DATA!H1434</f>
        <v>4</v>
      </c>
      <c r="I1434" t="str">
        <f>RAW_DATA!I1434</f>
        <v>Married</v>
      </c>
      <c r="J1434">
        <f>RAW_DATA!J1434</f>
        <v>13744</v>
      </c>
      <c r="K1434">
        <f>RAW_DATA!K1434</f>
        <v>1</v>
      </c>
      <c r="L1434">
        <f>RAW_DATA!L1434</f>
        <v>3</v>
      </c>
      <c r="M1434">
        <f>RAW_DATA!M1434</f>
        <v>16</v>
      </c>
      <c r="N1434">
        <f t="shared" si="44"/>
        <v>0</v>
      </c>
      <c r="O1434" t="str" cm="1">
        <f t="array" ref="O1434" xml:space="preserve"> _xlfn.IFS(A1434 &lt;ASSUMPTIONS!$D$2,"25",A1434 &lt;= ASSUMPTIONS!$D$3,"25-34",A1434 &lt;= ASSUMPTIONS!$D$4, "35-44",A1434 &lt;= ASSUMPTIONS!$D$5,"45-54",TRUE,"55+")</f>
        <v>35-44</v>
      </c>
      <c r="P1434" t="str" cm="1">
        <f t="array" ref="P1434">_xlfn.IFS( J1434 &lt;ASSUMPTIONS!$D$7,"LOW",J1434 &lt;= ASSUMPTIONS!$D$8,"MEDIUM",TRUE, "HIGH")</f>
        <v>HIGH</v>
      </c>
      <c r="Q1434" t="str">
        <f>IF(M1434&lt;ASSUMPTIONS!$D$10,"New (0-2)",IF(M1434&lt;=ASSUMPTIONS!$D$11,"Early (2-5)",IF(M1434&lt;=ASSUMPTIONS!$D$12,"Established (5-10)","Veteran (10+)")))</f>
        <v>Veteran (10+)</v>
      </c>
      <c r="R1434" s="4">
        <f t="shared" si="45"/>
        <v>3.3333333333333335</v>
      </c>
    </row>
    <row r="1435" spans="1:18">
      <c r="A1435">
        <f>RAW_DATA!A1435</f>
        <v>25</v>
      </c>
      <c r="B1435" t="str">
        <f>RAW_DATA!B1435</f>
        <v>No</v>
      </c>
      <c r="C1435" t="str">
        <f>RAW_DATA!C1435</f>
        <v>Sales</v>
      </c>
      <c r="D1435">
        <f>RAW_DATA!D1435</f>
        <v>8</v>
      </c>
      <c r="E1435">
        <f>RAW_DATA!E1435</f>
        <v>2</v>
      </c>
      <c r="F1435" t="str">
        <f>RAW_DATA!F1435</f>
        <v>Other</v>
      </c>
      <c r="G1435">
        <f>RAW_DATA!G1435</f>
        <v>1</v>
      </c>
      <c r="H1435">
        <f>RAW_DATA!H1435</f>
        <v>3</v>
      </c>
      <c r="I1435" t="str">
        <f>RAW_DATA!I1435</f>
        <v>Divorced</v>
      </c>
      <c r="J1435">
        <f>RAW_DATA!J1435</f>
        <v>4907</v>
      </c>
      <c r="K1435">
        <f>RAW_DATA!K1435</f>
        <v>0</v>
      </c>
      <c r="L1435">
        <f>RAW_DATA!L1435</f>
        <v>2</v>
      </c>
      <c r="M1435">
        <f>RAW_DATA!M1435</f>
        <v>5</v>
      </c>
      <c r="N1435">
        <f t="shared" si="44"/>
        <v>0</v>
      </c>
      <c r="O1435" t="str" cm="1">
        <f t="array" ref="O1435" xml:space="preserve"> _xlfn.IFS(A1435 &lt;ASSUMPTIONS!$D$2,"25",A1435 &lt;= ASSUMPTIONS!$D$3,"25-34",A1435 &lt;= ASSUMPTIONS!$D$4, "35-44",A1435 &lt;= ASSUMPTIONS!$D$5,"45-54",TRUE,"55+")</f>
        <v>25-34</v>
      </c>
      <c r="P1435" t="str" cm="1">
        <f t="array" ref="P1435">_xlfn.IFS( J1435 &lt;ASSUMPTIONS!$D$7,"LOW",J1435 &lt;= ASSUMPTIONS!$D$8,"MEDIUM",TRUE, "HIGH")</f>
        <v>MEDIUM</v>
      </c>
      <c r="Q1435" t="str">
        <f>IF(M1435&lt;ASSUMPTIONS!$D$10,"New (0-2)",IF(M1435&lt;=ASSUMPTIONS!$D$11,"Early (2-5)",IF(M1435&lt;=ASSUMPTIONS!$D$12,"Established (5-10)","Veteran (10+)")))</f>
        <v>Early (2-5)</v>
      </c>
      <c r="R1435" s="4">
        <f t="shared" si="45"/>
        <v>2</v>
      </c>
    </row>
    <row r="1436" spans="1:18">
      <c r="A1436">
        <f>RAW_DATA!A1436</f>
        <v>52</v>
      </c>
      <c r="B1436" t="str">
        <f>RAW_DATA!B1436</f>
        <v>No</v>
      </c>
      <c r="C1436" t="str">
        <f>RAW_DATA!C1436</f>
        <v>Sales</v>
      </c>
      <c r="D1436">
        <f>RAW_DATA!D1436</f>
        <v>29</v>
      </c>
      <c r="E1436">
        <f>RAW_DATA!E1436</f>
        <v>4</v>
      </c>
      <c r="F1436" t="str">
        <f>RAW_DATA!F1436</f>
        <v>Life Sciences</v>
      </c>
      <c r="G1436">
        <f>RAW_DATA!G1436</f>
        <v>1</v>
      </c>
      <c r="H1436">
        <f>RAW_DATA!H1436</f>
        <v>4</v>
      </c>
      <c r="I1436" t="str">
        <f>RAW_DATA!I1436</f>
        <v>Divorced</v>
      </c>
      <c r="J1436">
        <f>RAW_DATA!J1436</f>
        <v>3482</v>
      </c>
      <c r="K1436">
        <f>RAW_DATA!K1436</f>
        <v>2</v>
      </c>
      <c r="L1436">
        <f>RAW_DATA!L1436</f>
        <v>2</v>
      </c>
      <c r="M1436">
        <f>RAW_DATA!M1436</f>
        <v>9</v>
      </c>
      <c r="N1436">
        <f t="shared" si="44"/>
        <v>0</v>
      </c>
      <c r="O1436" t="str" cm="1">
        <f t="array" ref="O1436" xml:space="preserve"> _xlfn.IFS(A1436 &lt;ASSUMPTIONS!$D$2,"25",A1436 &lt;= ASSUMPTIONS!$D$3,"25-34",A1436 &lt;= ASSUMPTIONS!$D$4, "35-44",A1436 &lt;= ASSUMPTIONS!$D$5,"45-54",TRUE,"55+")</f>
        <v>45-54</v>
      </c>
      <c r="P1436" t="str" cm="1">
        <f t="array" ref="P1436">_xlfn.IFS( J1436 &lt;ASSUMPTIONS!$D$7,"LOW",J1436 &lt;= ASSUMPTIONS!$D$8,"MEDIUM",TRUE, "HIGH")</f>
        <v>MEDIUM</v>
      </c>
      <c r="Q1436" t="str">
        <f>IF(M1436&lt;ASSUMPTIONS!$D$10,"New (0-2)",IF(M1436&lt;=ASSUMPTIONS!$D$11,"Early (2-5)",IF(M1436&lt;=ASSUMPTIONS!$D$12,"Established (5-10)","Veteran (10+)")))</f>
        <v>Established (5-10)</v>
      </c>
      <c r="R1436" s="4">
        <f t="shared" si="45"/>
        <v>2.3333333333333335</v>
      </c>
    </row>
    <row r="1437" spans="1:18">
      <c r="A1437">
        <f>RAW_DATA!A1437</f>
        <v>44</v>
      </c>
      <c r="B1437" t="str">
        <f>RAW_DATA!B1437</f>
        <v>No</v>
      </c>
      <c r="C1437" t="str">
        <f>RAW_DATA!C1437</f>
        <v>Research &amp; Development</v>
      </c>
      <c r="D1437">
        <f>RAW_DATA!D1437</f>
        <v>1</v>
      </c>
      <c r="E1437">
        <f>RAW_DATA!E1437</f>
        <v>3</v>
      </c>
      <c r="F1437" t="str">
        <f>RAW_DATA!F1437</f>
        <v>Medical</v>
      </c>
      <c r="G1437">
        <f>RAW_DATA!G1437</f>
        <v>2</v>
      </c>
      <c r="H1437">
        <f>RAW_DATA!H1437</f>
        <v>4</v>
      </c>
      <c r="I1437" t="str">
        <f>RAW_DATA!I1437</f>
        <v>Single</v>
      </c>
      <c r="J1437">
        <f>RAW_DATA!J1437</f>
        <v>2436</v>
      </c>
      <c r="K1437">
        <f>RAW_DATA!K1437</f>
        <v>6</v>
      </c>
      <c r="L1437">
        <f>RAW_DATA!L1437</f>
        <v>3</v>
      </c>
      <c r="M1437">
        <f>RAW_DATA!M1437</f>
        <v>4</v>
      </c>
      <c r="N1437">
        <f t="shared" si="44"/>
        <v>0</v>
      </c>
      <c r="O1437" t="str" cm="1">
        <f t="array" ref="O1437" xml:space="preserve"> _xlfn.IFS(A1437 &lt;ASSUMPTIONS!$D$2,"25",A1437 &lt;= ASSUMPTIONS!$D$3,"25-34",A1437 &lt;= ASSUMPTIONS!$D$4, "35-44",A1437 &lt;= ASSUMPTIONS!$D$5,"45-54",TRUE,"55+")</f>
        <v>35-44</v>
      </c>
      <c r="P1437" t="str" cm="1">
        <f t="array" ref="P1437">_xlfn.IFS( J1437 &lt;ASSUMPTIONS!$D$7,"LOW",J1437 &lt;= ASSUMPTIONS!$D$8,"MEDIUM",TRUE, "HIGH")</f>
        <v>LOW</v>
      </c>
      <c r="Q1437" t="str">
        <f>IF(M1437&lt;ASSUMPTIONS!$D$10,"New (0-2)",IF(M1437&lt;=ASSUMPTIONS!$D$11,"Early (2-5)",IF(M1437&lt;=ASSUMPTIONS!$D$12,"Established (5-10)","Veteran (10+)")))</f>
        <v>Early (2-5)</v>
      </c>
      <c r="R1437" s="4">
        <f t="shared" si="45"/>
        <v>3</v>
      </c>
    </row>
    <row r="1438" spans="1:18">
      <c r="A1438">
        <f>RAW_DATA!A1438</f>
        <v>21</v>
      </c>
      <c r="B1438" t="str">
        <f>RAW_DATA!B1438</f>
        <v>No</v>
      </c>
      <c r="C1438" t="str">
        <f>RAW_DATA!C1438</f>
        <v>Sales</v>
      </c>
      <c r="D1438">
        <f>RAW_DATA!D1438</f>
        <v>5</v>
      </c>
      <c r="E1438">
        <f>RAW_DATA!E1438</f>
        <v>1</v>
      </c>
      <c r="F1438" t="str">
        <f>RAW_DATA!F1438</f>
        <v>Medical</v>
      </c>
      <c r="G1438">
        <f>RAW_DATA!G1438</f>
        <v>3</v>
      </c>
      <c r="H1438">
        <f>RAW_DATA!H1438</f>
        <v>1</v>
      </c>
      <c r="I1438" t="str">
        <f>RAW_DATA!I1438</f>
        <v>Single</v>
      </c>
      <c r="J1438">
        <f>RAW_DATA!J1438</f>
        <v>2380</v>
      </c>
      <c r="K1438">
        <f>RAW_DATA!K1438</f>
        <v>1</v>
      </c>
      <c r="L1438">
        <f>RAW_DATA!L1438</f>
        <v>3</v>
      </c>
      <c r="M1438">
        <f>RAW_DATA!M1438</f>
        <v>2</v>
      </c>
      <c r="N1438">
        <f t="shared" si="44"/>
        <v>0</v>
      </c>
      <c r="O1438" t="str" cm="1">
        <f t="array" ref="O1438" xml:space="preserve"> _xlfn.IFS(A1438 &lt;ASSUMPTIONS!$D$2,"25",A1438 &lt;= ASSUMPTIONS!$D$3,"25-34",A1438 &lt;= ASSUMPTIONS!$D$4, "35-44",A1438 &lt;= ASSUMPTIONS!$D$5,"45-54",TRUE,"55+")</f>
        <v>25</v>
      </c>
      <c r="P1438" t="str" cm="1">
        <f t="array" ref="P1438">_xlfn.IFS( J1438 &lt;ASSUMPTIONS!$D$7,"LOW",J1438 &lt;= ASSUMPTIONS!$D$8,"MEDIUM",TRUE, "HIGH")</f>
        <v>LOW</v>
      </c>
      <c r="Q1438" t="str">
        <f>IF(M1438&lt;ASSUMPTIONS!$D$10,"New (0-2)",IF(M1438&lt;=ASSUMPTIONS!$D$11,"Early (2-5)",IF(M1438&lt;=ASSUMPTIONS!$D$12,"Established (5-10)","Veteran (10+)")))</f>
        <v>Early (2-5)</v>
      </c>
      <c r="R1438" s="4">
        <f t="shared" si="45"/>
        <v>2.3333333333333335</v>
      </c>
    </row>
    <row r="1439" spans="1:18">
      <c r="A1439">
        <f>RAW_DATA!A1439</f>
        <v>39</v>
      </c>
      <c r="B1439" t="str">
        <f>RAW_DATA!B1439</f>
        <v>No</v>
      </c>
      <c r="C1439" t="str">
        <f>RAW_DATA!C1439</f>
        <v>Research &amp; Development</v>
      </c>
      <c r="D1439">
        <f>RAW_DATA!D1439</f>
        <v>9</v>
      </c>
      <c r="E1439">
        <f>RAW_DATA!E1439</f>
        <v>3</v>
      </c>
      <c r="F1439" t="str">
        <f>RAW_DATA!F1439</f>
        <v>Life Sciences</v>
      </c>
      <c r="G1439">
        <f>RAW_DATA!G1439</f>
        <v>4</v>
      </c>
      <c r="H1439">
        <f>RAW_DATA!H1439</f>
        <v>4</v>
      </c>
      <c r="I1439" t="str">
        <f>RAW_DATA!I1439</f>
        <v>Single</v>
      </c>
      <c r="J1439">
        <f>RAW_DATA!J1439</f>
        <v>19431</v>
      </c>
      <c r="K1439">
        <f>RAW_DATA!K1439</f>
        <v>2</v>
      </c>
      <c r="L1439">
        <f>RAW_DATA!L1439</f>
        <v>2</v>
      </c>
      <c r="M1439">
        <f>RAW_DATA!M1439</f>
        <v>6</v>
      </c>
      <c r="N1439">
        <f t="shared" si="44"/>
        <v>0</v>
      </c>
      <c r="O1439" t="str" cm="1">
        <f t="array" ref="O1439" xml:space="preserve"> _xlfn.IFS(A1439 &lt;ASSUMPTIONS!$D$2,"25",A1439 &lt;= ASSUMPTIONS!$D$3,"25-34",A1439 &lt;= ASSUMPTIONS!$D$4, "35-44",A1439 &lt;= ASSUMPTIONS!$D$5,"45-54",TRUE,"55+")</f>
        <v>35-44</v>
      </c>
      <c r="P1439" t="str" cm="1">
        <f t="array" ref="P1439">_xlfn.IFS( J1439 &lt;ASSUMPTIONS!$D$7,"LOW",J1439 &lt;= ASSUMPTIONS!$D$8,"MEDIUM",TRUE, "HIGH")</f>
        <v>HIGH</v>
      </c>
      <c r="Q1439" t="str">
        <f>IF(M1439&lt;ASSUMPTIONS!$D$10,"New (0-2)",IF(M1439&lt;=ASSUMPTIONS!$D$11,"Early (2-5)",IF(M1439&lt;=ASSUMPTIONS!$D$12,"Established (5-10)","Veteran (10+)")))</f>
        <v>Established (5-10)</v>
      </c>
      <c r="R1439" s="4">
        <f t="shared" si="45"/>
        <v>3.3333333333333335</v>
      </c>
    </row>
    <row r="1440" spans="1:18">
      <c r="A1440">
        <f>RAW_DATA!A1440</f>
        <v>23</v>
      </c>
      <c r="B1440" t="str">
        <f>RAW_DATA!B1440</f>
        <v>Yes</v>
      </c>
      <c r="C1440" t="str">
        <f>RAW_DATA!C1440</f>
        <v>Sales</v>
      </c>
      <c r="D1440">
        <f>RAW_DATA!D1440</f>
        <v>9</v>
      </c>
      <c r="E1440">
        <f>RAW_DATA!E1440</f>
        <v>3</v>
      </c>
      <c r="F1440" t="str">
        <f>RAW_DATA!F1440</f>
        <v>Marketing</v>
      </c>
      <c r="G1440">
        <f>RAW_DATA!G1440</f>
        <v>4</v>
      </c>
      <c r="H1440">
        <f>RAW_DATA!H1440</f>
        <v>1</v>
      </c>
      <c r="I1440" t="str">
        <f>RAW_DATA!I1440</f>
        <v>Married</v>
      </c>
      <c r="J1440">
        <f>RAW_DATA!J1440</f>
        <v>1790</v>
      </c>
      <c r="K1440">
        <f>RAW_DATA!K1440</f>
        <v>1</v>
      </c>
      <c r="L1440">
        <f>RAW_DATA!L1440</f>
        <v>2</v>
      </c>
      <c r="M1440">
        <f>RAW_DATA!M1440</f>
        <v>1</v>
      </c>
      <c r="N1440">
        <f t="shared" si="44"/>
        <v>1</v>
      </c>
      <c r="O1440" t="str" cm="1">
        <f t="array" ref="O1440" xml:space="preserve"> _xlfn.IFS(A1440 &lt;ASSUMPTIONS!$D$2,"25",A1440 &lt;= ASSUMPTIONS!$D$3,"25-34",A1440 &lt;= ASSUMPTIONS!$D$4, "35-44",A1440 &lt;= ASSUMPTIONS!$D$5,"45-54",TRUE,"55+")</f>
        <v>25</v>
      </c>
      <c r="P1440" t="str" cm="1">
        <f t="array" ref="P1440">_xlfn.IFS( J1440 &lt;ASSUMPTIONS!$D$7,"LOW",J1440 &lt;= ASSUMPTIONS!$D$8,"MEDIUM",TRUE, "HIGH")</f>
        <v>LOW</v>
      </c>
      <c r="Q1440" t="str">
        <f>IF(M1440&lt;ASSUMPTIONS!$D$10,"New (0-2)",IF(M1440&lt;=ASSUMPTIONS!$D$11,"Early (2-5)",IF(M1440&lt;=ASSUMPTIONS!$D$12,"Established (5-10)","Veteran (10+)")))</f>
        <v>New (0-2)</v>
      </c>
      <c r="R1440" s="4">
        <f t="shared" si="45"/>
        <v>2.3333333333333335</v>
      </c>
    </row>
    <row r="1441" spans="1:18">
      <c r="A1441">
        <f>RAW_DATA!A1441</f>
        <v>36</v>
      </c>
      <c r="B1441" t="str">
        <f>RAW_DATA!B1441</f>
        <v>No</v>
      </c>
      <c r="C1441" t="str">
        <f>RAW_DATA!C1441</f>
        <v>Sales</v>
      </c>
      <c r="D1441">
        <f>RAW_DATA!D1441</f>
        <v>3</v>
      </c>
      <c r="E1441">
        <f>RAW_DATA!E1441</f>
        <v>3</v>
      </c>
      <c r="F1441" t="str">
        <f>RAW_DATA!F1441</f>
        <v>Medical</v>
      </c>
      <c r="G1441">
        <f>RAW_DATA!G1441</f>
        <v>1</v>
      </c>
      <c r="H1441">
        <f>RAW_DATA!H1441</f>
        <v>4</v>
      </c>
      <c r="I1441" t="str">
        <f>RAW_DATA!I1441</f>
        <v>Married</v>
      </c>
      <c r="J1441">
        <f>RAW_DATA!J1441</f>
        <v>7644</v>
      </c>
      <c r="K1441">
        <f>RAW_DATA!K1441</f>
        <v>0</v>
      </c>
      <c r="L1441">
        <f>RAW_DATA!L1441</f>
        <v>3</v>
      </c>
      <c r="M1441">
        <f>RAW_DATA!M1441</f>
        <v>9</v>
      </c>
      <c r="N1441">
        <f t="shared" si="44"/>
        <v>0</v>
      </c>
      <c r="O1441" t="str" cm="1">
        <f t="array" ref="O1441" xml:space="preserve"> _xlfn.IFS(A1441 &lt;ASSUMPTIONS!$D$2,"25",A1441 &lt;= ASSUMPTIONS!$D$3,"25-34",A1441 &lt;= ASSUMPTIONS!$D$4, "35-44",A1441 &lt;= ASSUMPTIONS!$D$5,"45-54",TRUE,"55+")</f>
        <v>35-44</v>
      </c>
      <c r="P1441" t="str" cm="1">
        <f t="array" ref="P1441">_xlfn.IFS( J1441 &lt;ASSUMPTIONS!$D$7,"LOW",J1441 &lt;= ASSUMPTIONS!$D$8,"MEDIUM",TRUE, "HIGH")</f>
        <v>HIGH</v>
      </c>
      <c r="Q1441" t="str">
        <f>IF(M1441&lt;ASSUMPTIONS!$D$10,"New (0-2)",IF(M1441&lt;=ASSUMPTIONS!$D$11,"Early (2-5)",IF(M1441&lt;=ASSUMPTIONS!$D$12,"Established (5-10)","Veteran (10+)")))</f>
        <v>Established (5-10)</v>
      </c>
      <c r="R1441" s="4">
        <f t="shared" si="45"/>
        <v>2.6666666666666665</v>
      </c>
    </row>
    <row r="1442" spans="1:18">
      <c r="A1442">
        <f>RAW_DATA!A1442</f>
        <v>36</v>
      </c>
      <c r="B1442" t="str">
        <f>RAW_DATA!B1442</f>
        <v>No</v>
      </c>
      <c r="C1442" t="str">
        <f>RAW_DATA!C1442</f>
        <v>Research &amp; Development</v>
      </c>
      <c r="D1442">
        <f>RAW_DATA!D1442</f>
        <v>4</v>
      </c>
      <c r="E1442">
        <f>RAW_DATA!E1442</f>
        <v>2</v>
      </c>
      <c r="F1442" t="str">
        <f>RAW_DATA!F1442</f>
        <v>Life Sciences</v>
      </c>
      <c r="G1442">
        <f>RAW_DATA!G1442</f>
        <v>4</v>
      </c>
      <c r="H1442">
        <f>RAW_DATA!H1442</f>
        <v>2</v>
      </c>
      <c r="I1442" t="str">
        <f>RAW_DATA!I1442</f>
        <v>Divorced</v>
      </c>
      <c r="J1442">
        <f>RAW_DATA!J1442</f>
        <v>5131</v>
      </c>
      <c r="K1442">
        <f>RAW_DATA!K1442</f>
        <v>7</v>
      </c>
      <c r="L1442">
        <f>RAW_DATA!L1442</f>
        <v>3</v>
      </c>
      <c r="M1442">
        <f>RAW_DATA!M1442</f>
        <v>4</v>
      </c>
      <c r="N1442">
        <f t="shared" si="44"/>
        <v>0</v>
      </c>
      <c r="O1442" t="str" cm="1">
        <f t="array" ref="O1442" xml:space="preserve"> _xlfn.IFS(A1442 &lt;ASSUMPTIONS!$D$2,"25",A1442 &lt;= ASSUMPTIONS!$D$3,"25-34",A1442 &lt;= ASSUMPTIONS!$D$4, "35-44",A1442 &lt;= ASSUMPTIONS!$D$5,"45-54",TRUE,"55+")</f>
        <v>35-44</v>
      </c>
      <c r="P1442" t="str" cm="1">
        <f t="array" ref="P1442">_xlfn.IFS( J1442 &lt;ASSUMPTIONS!$D$7,"LOW",J1442 &lt;= ASSUMPTIONS!$D$8,"MEDIUM",TRUE, "HIGH")</f>
        <v>MEDIUM</v>
      </c>
      <c r="Q1442" t="str">
        <f>IF(M1442&lt;ASSUMPTIONS!$D$10,"New (0-2)",IF(M1442&lt;=ASSUMPTIONS!$D$11,"Early (2-5)",IF(M1442&lt;=ASSUMPTIONS!$D$12,"Established (5-10)","Veteran (10+)")))</f>
        <v>Early (2-5)</v>
      </c>
      <c r="R1442" s="4">
        <f t="shared" si="45"/>
        <v>3</v>
      </c>
    </row>
    <row r="1443" spans="1:18">
      <c r="A1443">
        <f>RAW_DATA!A1443</f>
        <v>56</v>
      </c>
      <c r="B1443" t="str">
        <f>RAW_DATA!B1443</f>
        <v>No</v>
      </c>
      <c r="C1443" t="str">
        <f>RAW_DATA!C1443</f>
        <v>Research &amp; Development</v>
      </c>
      <c r="D1443">
        <f>RAW_DATA!D1443</f>
        <v>1</v>
      </c>
      <c r="E1443">
        <f>RAW_DATA!E1443</f>
        <v>4</v>
      </c>
      <c r="F1443" t="str">
        <f>RAW_DATA!F1443</f>
        <v>Life Sciences</v>
      </c>
      <c r="G1443">
        <f>RAW_DATA!G1443</f>
        <v>3</v>
      </c>
      <c r="H1443">
        <f>RAW_DATA!H1443</f>
        <v>3</v>
      </c>
      <c r="I1443" t="str">
        <f>RAW_DATA!I1443</f>
        <v>Divorced</v>
      </c>
      <c r="J1443">
        <f>RAW_DATA!J1443</f>
        <v>6306</v>
      </c>
      <c r="K1443">
        <f>RAW_DATA!K1443</f>
        <v>1</v>
      </c>
      <c r="L1443">
        <f>RAW_DATA!L1443</f>
        <v>2</v>
      </c>
      <c r="M1443">
        <f>RAW_DATA!M1443</f>
        <v>13</v>
      </c>
      <c r="N1443">
        <f t="shared" si="44"/>
        <v>0</v>
      </c>
      <c r="O1443" t="str" cm="1">
        <f t="array" ref="O1443" xml:space="preserve"> _xlfn.IFS(A1443 &lt;ASSUMPTIONS!$D$2,"25",A1443 &lt;= ASSUMPTIONS!$D$3,"25-34",A1443 &lt;= ASSUMPTIONS!$D$4, "35-44",A1443 &lt;= ASSUMPTIONS!$D$5,"45-54",TRUE,"55+")</f>
        <v>55+</v>
      </c>
      <c r="P1443" t="str" cm="1">
        <f t="array" ref="P1443">_xlfn.IFS( J1443 &lt;ASSUMPTIONS!$D$7,"LOW",J1443 &lt;= ASSUMPTIONS!$D$8,"MEDIUM",TRUE, "HIGH")</f>
        <v>MEDIUM</v>
      </c>
      <c r="Q1443" t="str">
        <f>IF(M1443&lt;ASSUMPTIONS!$D$10,"New (0-2)",IF(M1443&lt;=ASSUMPTIONS!$D$11,"Early (2-5)",IF(M1443&lt;=ASSUMPTIONS!$D$12,"Established (5-10)","Veteran (10+)")))</f>
        <v>Veteran (10+)</v>
      </c>
      <c r="R1443" s="4">
        <f t="shared" si="45"/>
        <v>2.6666666666666665</v>
      </c>
    </row>
    <row r="1444" spans="1:18">
      <c r="A1444">
        <f>RAW_DATA!A1444</f>
        <v>29</v>
      </c>
      <c r="B1444" t="str">
        <f>RAW_DATA!B1444</f>
        <v>Yes</v>
      </c>
      <c r="C1444" t="str">
        <f>RAW_DATA!C1444</f>
        <v>Research &amp; Development</v>
      </c>
      <c r="D1444">
        <f>RAW_DATA!D1444</f>
        <v>1</v>
      </c>
      <c r="E1444">
        <f>RAW_DATA!E1444</f>
        <v>4</v>
      </c>
      <c r="F1444" t="str">
        <f>RAW_DATA!F1444</f>
        <v>Medical</v>
      </c>
      <c r="G1444">
        <f>RAW_DATA!G1444</f>
        <v>1</v>
      </c>
      <c r="H1444">
        <f>RAW_DATA!H1444</f>
        <v>4</v>
      </c>
      <c r="I1444" t="str">
        <f>RAW_DATA!I1444</f>
        <v>Married</v>
      </c>
      <c r="J1444">
        <f>RAW_DATA!J1444</f>
        <v>4787</v>
      </c>
      <c r="K1444">
        <f>RAW_DATA!K1444</f>
        <v>9</v>
      </c>
      <c r="L1444">
        <f>RAW_DATA!L1444</f>
        <v>4</v>
      </c>
      <c r="M1444">
        <f>RAW_DATA!M1444</f>
        <v>2</v>
      </c>
      <c r="N1444">
        <f t="shared" si="44"/>
        <v>1</v>
      </c>
      <c r="O1444" t="str" cm="1">
        <f t="array" ref="O1444" xml:space="preserve"> _xlfn.IFS(A1444 &lt;ASSUMPTIONS!$D$2,"25",A1444 &lt;= ASSUMPTIONS!$D$3,"25-34",A1444 &lt;= ASSUMPTIONS!$D$4, "35-44",A1444 &lt;= ASSUMPTIONS!$D$5,"45-54",TRUE,"55+")</f>
        <v>25-34</v>
      </c>
      <c r="P1444" t="str" cm="1">
        <f t="array" ref="P1444">_xlfn.IFS( J1444 &lt;ASSUMPTIONS!$D$7,"LOW",J1444 &lt;= ASSUMPTIONS!$D$8,"MEDIUM",TRUE, "HIGH")</f>
        <v>MEDIUM</v>
      </c>
      <c r="Q1444" t="str">
        <f>IF(M1444&lt;ASSUMPTIONS!$D$10,"New (0-2)",IF(M1444&lt;=ASSUMPTIONS!$D$11,"Early (2-5)",IF(M1444&lt;=ASSUMPTIONS!$D$12,"Established (5-10)","Veteran (10+)")))</f>
        <v>Early (2-5)</v>
      </c>
      <c r="R1444" s="4">
        <f t="shared" si="45"/>
        <v>3</v>
      </c>
    </row>
    <row r="1445" spans="1:18">
      <c r="A1445">
        <f>RAW_DATA!A1445</f>
        <v>42</v>
      </c>
      <c r="B1445" t="str">
        <f>RAW_DATA!B1445</f>
        <v>No</v>
      </c>
      <c r="C1445" t="str">
        <f>RAW_DATA!C1445</f>
        <v>Research &amp; Development</v>
      </c>
      <c r="D1445">
        <f>RAW_DATA!D1445</f>
        <v>2</v>
      </c>
      <c r="E1445">
        <f>RAW_DATA!E1445</f>
        <v>3</v>
      </c>
      <c r="F1445" t="str">
        <f>RAW_DATA!F1445</f>
        <v>Life Sciences</v>
      </c>
      <c r="G1445">
        <f>RAW_DATA!G1445</f>
        <v>1</v>
      </c>
      <c r="H1445">
        <f>RAW_DATA!H1445</f>
        <v>3</v>
      </c>
      <c r="I1445" t="str">
        <f>RAW_DATA!I1445</f>
        <v>Married</v>
      </c>
      <c r="J1445">
        <f>RAW_DATA!J1445</f>
        <v>18880</v>
      </c>
      <c r="K1445">
        <f>RAW_DATA!K1445</f>
        <v>5</v>
      </c>
      <c r="L1445">
        <f>RAW_DATA!L1445</f>
        <v>2</v>
      </c>
      <c r="M1445">
        <f>RAW_DATA!M1445</f>
        <v>22</v>
      </c>
      <c r="N1445">
        <f t="shared" si="44"/>
        <v>0</v>
      </c>
      <c r="O1445" t="str" cm="1">
        <f t="array" ref="O1445" xml:space="preserve"> _xlfn.IFS(A1445 &lt;ASSUMPTIONS!$D$2,"25",A1445 &lt;= ASSUMPTIONS!$D$3,"25-34",A1445 &lt;= ASSUMPTIONS!$D$4, "35-44",A1445 &lt;= ASSUMPTIONS!$D$5,"45-54",TRUE,"55+")</f>
        <v>35-44</v>
      </c>
      <c r="P1445" t="str" cm="1">
        <f t="array" ref="P1445">_xlfn.IFS( J1445 &lt;ASSUMPTIONS!$D$7,"LOW",J1445 &lt;= ASSUMPTIONS!$D$8,"MEDIUM",TRUE, "HIGH")</f>
        <v>HIGH</v>
      </c>
      <c r="Q1445" t="str">
        <f>IF(M1445&lt;ASSUMPTIONS!$D$10,"New (0-2)",IF(M1445&lt;=ASSUMPTIONS!$D$11,"Early (2-5)",IF(M1445&lt;=ASSUMPTIONS!$D$12,"Established (5-10)","Veteran (10+)")))</f>
        <v>Veteran (10+)</v>
      </c>
      <c r="R1445" s="4">
        <f t="shared" si="45"/>
        <v>2</v>
      </c>
    </row>
    <row r="1446" spans="1:18">
      <c r="A1446">
        <f>RAW_DATA!A1446</f>
        <v>56</v>
      </c>
      <c r="B1446" t="str">
        <f>RAW_DATA!B1446</f>
        <v>Yes</v>
      </c>
      <c r="C1446" t="str">
        <f>RAW_DATA!C1446</f>
        <v>Research &amp; Development</v>
      </c>
      <c r="D1446">
        <f>RAW_DATA!D1446</f>
        <v>7</v>
      </c>
      <c r="E1446">
        <f>RAW_DATA!E1446</f>
        <v>2</v>
      </c>
      <c r="F1446" t="str">
        <f>RAW_DATA!F1446</f>
        <v>Technical Degree</v>
      </c>
      <c r="G1446">
        <f>RAW_DATA!G1446</f>
        <v>4</v>
      </c>
      <c r="H1446">
        <f>RAW_DATA!H1446</f>
        <v>3</v>
      </c>
      <c r="I1446" t="str">
        <f>RAW_DATA!I1446</f>
        <v>Married</v>
      </c>
      <c r="J1446">
        <f>RAW_DATA!J1446</f>
        <v>2339</v>
      </c>
      <c r="K1446">
        <f>RAW_DATA!K1446</f>
        <v>8</v>
      </c>
      <c r="L1446">
        <f>RAW_DATA!L1446</f>
        <v>1</v>
      </c>
      <c r="M1446">
        <f>RAW_DATA!M1446</f>
        <v>10</v>
      </c>
      <c r="N1446">
        <f t="shared" si="44"/>
        <v>1</v>
      </c>
      <c r="O1446" t="str" cm="1">
        <f t="array" ref="O1446" xml:space="preserve"> _xlfn.IFS(A1446 &lt;ASSUMPTIONS!$D$2,"25",A1446 &lt;= ASSUMPTIONS!$D$3,"25-34",A1446 &lt;= ASSUMPTIONS!$D$4, "35-44",A1446 &lt;= ASSUMPTIONS!$D$5,"45-54",TRUE,"55+")</f>
        <v>55+</v>
      </c>
      <c r="P1446" t="str" cm="1">
        <f t="array" ref="P1446">_xlfn.IFS( J1446 &lt;ASSUMPTIONS!$D$7,"LOW",J1446 &lt;= ASSUMPTIONS!$D$8,"MEDIUM",TRUE, "HIGH")</f>
        <v>LOW</v>
      </c>
      <c r="Q1446" t="str">
        <f>IF(M1446&lt;ASSUMPTIONS!$D$10,"New (0-2)",IF(M1446&lt;=ASSUMPTIONS!$D$11,"Early (2-5)",IF(M1446&lt;=ASSUMPTIONS!$D$12,"Established (5-10)","Veteran (10+)")))</f>
        <v>Established (5-10)</v>
      </c>
      <c r="R1446" s="4">
        <f t="shared" si="45"/>
        <v>2.6666666666666665</v>
      </c>
    </row>
    <row r="1447" spans="1:18">
      <c r="A1447">
        <f>RAW_DATA!A1447</f>
        <v>41</v>
      </c>
      <c r="B1447" t="str">
        <f>RAW_DATA!B1447</f>
        <v>No</v>
      </c>
      <c r="C1447" t="str">
        <f>RAW_DATA!C1447</f>
        <v>Research &amp; Development</v>
      </c>
      <c r="D1447">
        <f>RAW_DATA!D1447</f>
        <v>28</v>
      </c>
      <c r="E1447">
        <f>RAW_DATA!E1447</f>
        <v>4</v>
      </c>
      <c r="F1447" t="str">
        <f>RAW_DATA!F1447</f>
        <v>Life Sciences</v>
      </c>
      <c r="G1447">
        <f>RAW_DATA!G1447</f>
        <v>1</v>
      </c>
      <c r="H1447">
        <f>RAW_DATA!H1447</f>
        <v>2</v>
      </c>
      <c r="I1447" t="str">
        <f>RAW_DATA!I1447</f>
        <v>Married</v>
      </c>
      <c r="J1447">
        <f>RAW_DATA!J1447</f>
        <v>13570</v>
      </c>
      <c r="K1447">
        <f>RAW_DATA!K1447</f>
        <v>0</v>
      </c>
      <c r="L1447">
        <f>RAW_DATA!L1447</f>
        <v>3</v>
      </c>
      <c r="M1447">
        <f>RAW_DATA!M1447</f>
        <v>20</v>
      </c>
      <c r="N1447">
        <f t="shared" si="44"/>
        <v>0</v>
      </c>
      <c r="O1447" t="str" cm="1">
        <f t="array" ref="O1447" xml:space="preserve"> _xlfn.IFS(A1447 &lt;ASSUMPTIONS!$D$2,"25",A1447 &lt;= ASSUMPTIONS!$D$3,"25-34",A1447 &lt;= ASSUMPTIONS!$D$4, "35-44",A1447 &lt;= ASSUMPTIONS!$D$5,"45-54",TRUE,"55+")</f>
        <v>35-44</v>
      </c>
      <c r="P1447" t="str" cm="1">
        <f t="array" ref="P1447">_xlfn.IFS( J1447 &lt;ASSUMPTIONS!$D$7,"LOW",J1447 &lt;= ASSUMPTIONS!$D$8,"MEDIUM",TRUE, "HIGH")</f>
        <v>HIGH</v>
      </c>
      <c r="Q1447" t="str">
        <f>IF(M1447&lt;ASSUMPTIONS!$D$10,"New (0-2)",IF(M1447&lt;=ASSUMPTIONS!$D$11,"Early (2-5)",IF(M1447&lt;=ASSUMPTIONS!$D$12,"Established (5-10)","Veteran (10+)")))</f>
        <v>Veteran (10+)</v>
      </c>
      <c r="R1447" s="4">
        <f t="shared" si="45"/>
        <v>2</v>
      </c>
    </row>
    <row r="1448" spans="1:18">
      <c r="A1448">
        <f>RAW_DATA!A1448</f>
        <v>34</v>
      </c>
      <c r="B1448" t="str">
        <f>RAW_DATA!B1448</f>
        <v>No</v>
      </c>
      <c r="C1448" t="str">
        <f>RAW_DATA!C1448</f>
        <v>Sales</v>
      </c>
      <c r="D1448">
        <f>RAW_DATA!D1448</f>
        <v>28</v>
      </c>
      <c r="E1448">
        <f>RAW_DATA!E1448</f>
        <v>3</v>
      </c>
      <c r="F1448" t="str">
        <f>RAW_DATA!F1448</f>
        <v>Marketing</v>
      </c>
      <c r="G1448">
        <f>RAW_DATA!G1448</f>
        <v>4</v>
      </c>
      <c r="H1448">
        <f>RAW_DATA!H1448</f>
        <v>3</v>
      </c>
      <c r="I1448" t="str">
        <f>RAW_DATA!I1448</f>
        <v>Married</v>
      </c>
      <c r="J1448">
        <f>RAW_DATA!J1448</f>
        <v>6712</v>
      </c>
      <c r="K1448">
        <f>RAW_DATA!K1448</f>
        <v>1</v>
      </c>
      <c r="L1448">
        <f>RAW_DATA!L1448</f>
        <v>3</v>
      </c>
      <c r="M1448">
        <f>RAW_DATA!M1448</f>
        <v>8</v>
      </c>
      <c r="N1448">
        <f t="shared" si="44"/>
        <v>0</v>
      </c>
      <c r="O1448" t="str" cm="1">
        <f t="array" ref="O1448" xml:space="preserve"> _xlfn.IFS(A1448 &lt;ASSUMPTIONS!$D$2,"25",A1448 &lt;= ASSUMPTIONS!$D$3,"25-34",A1448 &lt;= ASSUMPTIONS!$D$4, "35-44",A1448 &lt;= ASSUMPTIONS!$D$5,"45-54",TRUE,"55+")</f>
        <v>25-34</v>
      </c>
      <c r="P1448" t="str" cm="1">
        <f t="array" ref="P1448">_xlfn.IFS( J1448 &lt;ASSUMPTIONS!$D$7,"LOW",J1448 &lt;= ASSUMPTIONS!$D$8,"MEDIUM",TRUE, "HIGH")</f>
        <v>MEDIUM</v>
      </c>
      <c r="Q1448" t="str">
        <f>IF(M1448&lt;ASSUMPTIONS!$D$10,"New (0-2)",IF(M1448&lt;=ASSUMPTIONS!$D$11,"Early (2-5)",IF(M1448&lt;=ASSUMPTIONS!$D$12,"Established (5-10)","Veteran (10+)")))</f>
        <v>Established (5-10)</v>
      </c>
      <c r="R1448" s="4">
        <f t="shared" si="45"/>
        <v>3.3333333333333335</v>
      </c>
    </row>
    <row r="1449" spans="1:18">
      <c r="A1449">
        <f>RAW_DATA!A1449</f>
        <v>36</v>
      </c>
      <c r="B1449" t="str">
        <f>RAW_DATA!B1449</f>
        <v>No</v>
      </c>
      <c r="C1449" t="str">
        <f>RAW_DATA!C1449</f>
        <v>Sales</v>
      </c>
      <c r="D1449">
        <f>RAW_DATA!D1449</f>
        <v>15</v>
      </c>
      <c r="E1449">
        <f>RAW_DATA!E1449</f>
        <v>4</v>
      </c>
      <c r="F1449" t="str">
        <f>RAW_DATA!F1449</f>
        <v>Marketing</v>
      </c>
      <c r="G1449">
        <f>RAW_DATA!G1449</f>
        <v>4</v>
      </c>
      <c r="H1449">
        <f>RAW_DATA!H1449</f>
        <v>4</v>
      </c>
      <c r="I1449" t="str">
        <f>RAW_DATA!I1449</f>
        <v>Divorced</v>
      </c>
      <c r="J1449">
        <f>RAW_DATA!J1449</f>
        <v>5406</v>
      </c>
      <c r="K1449">
        <f>RAW_DATA!K1449</f>
        <v>1</v>
      </c>
      <c r="L1449">
        <f>RAW_DATA!L1449</f>
        <v>2</v>
      </c>
      <c r="M1449">
        <f>RAW_DATA!M1449</f>
        <v>15</v>
      </c>
      <c r="N1449">
        <f t="shared" si="44"/>
        <v>0</v>
      </c>
      <c r="O1449" t="str" cm="1">
        <f t="array" ref="O1449" xml:space="preserve"> _xlfn.IFS(A1449 &lt;ASSUMPTIONS!$D$2,"25",A1449 &lt;= ASSUMPTIONS!$D$3,"25-34",A1449 &lt;= ASSUMPTIONS!$D$4, "35-44",A1449 &lt;= ASSUMPTIONS!$D$5,"45-54",TRUE,"55+")</f>
        <v>35-44</v>
      </c>
      <c r="P1449" t="str" cm="1">
        <f t="array" ref="P1449">_xlfn.IFS( J1449 &lt;ASSUMPTIONS!$D$7,"LOW",J1449 &lt;= ASSUMPTIONS!$D$8,"MEDIUM",TRUE, "HIGH")</f>
        <v>MEDIUM</v>
      </c>
      <c r="Q1449" t="str">
        <f>IF(M1449&lt;ASSUMPTIONS!$D$10,"New (0-2)",IF(M1449&lt;=ASSUMPTIONS!$D$11,"Early (2-5)",IF(M1449&lt;=ASSUMPTIONS!$D$12,"Established (5-10)","Veteran (10+)")))</f>
        <v>Veteran (10+)</v>
      </c>
      <c r="R1449" s="4">
        <f t="shared" si="45"/>
        <v>3.3333333333333335</v>
      </c>
    </row>
    <row r="1450" spans="1:18">
      <c r="A1450">
        <f>RAW_DATA!A1450</f>
        <v>41</v>
      </c>
      <c r="B1450" t="str">
        <f>RAW_DATA!B1450</f>
        <v>No</v>
      </c>
      <c r="C1450" t="str">
        <f>RAW_DATA!C1450</f>
        <v>Sales</v>
      </c>
      <c r="D1450">
        <f>RAW_DATA!D1450</f>
        <v>3</v>
      </c>
      <c r="E1450">
        <f>RAW_DATA!E1450</f>
        <v>3</v>
      </c>
      <c r="F1450" t="str">
        <f>RAW_DATA!F1450</f>
        <v>Life Sciences</v>
      </c>
      <c r="G1450">
        <f>RAW_DATA!G1450</f>
        <v>3</v>
      </c>
      <c r="H1450">
        <f>RAW_DATA!H1450</f>
        <v>2</v>
      </c>
      <c r="I1450" t="str">
        <f>RAW_DATA!I1450</f>
        <v>Divorced</v>
      </c>
      <c r="J1450">
        <f>RAW_DATA!J1450</f>
        <v>8938</v>
      </c>
      <c r="K1450">
        <f>RAW_DATA!K1450</f>
        <v>2</v>
      </c>
      <c r="L1450">
        <f>RAW_DATA!L1450</f>
        <v>3</v>
      </c>
      <c r="M1450">
        <f>RAW_DATA!M1450</f>
        <v>5</v>
      </c>
      <c r="N1450">
        <f t="shared" si="44"/>
        <v>0</v>
      </c>
      <c r="O1450" t="str" cm="1">
        <f t="array" ref="O1450" xml:space="preserve"> _xlfn.IFS(A1450 &lt;ASSUMPTIONS!$D$2,"25",A1450 &lt;= ASSUMPTIONS!$D$3,"25-34",A1450 &lt;= ASSUMPTIONS!$D$4, "35-44",A1450 &lt;= ASSUMPTIONS!$D$5,"45-54",TRUE,"55+")</f>
        <v>35-44</v>
      </c>
      <c r="P1450" t="str" cm="1">
        <f t="array" ref="P1450">_xlfn.IFS( J1450 &lt;ASSUMPTIONS!$D$7,"LOW",J1450 &lt;= ASSUMPTIONS!$D$8,"MEDIUM",TRUE, "HIGH")</f>
        <v>HIGH</v>
      </c>
      <c r="Q1450" t="str">
        <f>IF(M1450&lt;ASSUMPTIONS!$D$10,"New (0-2)",IF(M1450&lt;=ASSUMPTIONS!$D$11,"Early (2-5)",IF(M1450&lt;=ASSUMPTIONS!$D$12,"Established (5-10)","Veteran (10+)")))</f>
        <v>Early (2-5)</v>
      </c>
      <c r="R1450" s="4">
        <f t="shared" si="45"/>
        <v>2.6666666666666665</v>
      </c>
    </row>
    <row r="1451" spans="1:18">
      <c r="A1451">
        <f>RAW_DATA!A1451</f>
        <v>32</v>
      </c>
      <c r="B1451" t="str">
        <f>RAW_DATA!B1451</f>
        <v>No</v>
      </c>
      <c r="C1451" t="str">
        <f>RAW_DATA!C1451</f>
        <v>Research &amp; Development</v>
      </c>
      <c r="D1451">
        <f>RAW_DATA!D1451</f>
        <v>2</v>
      </c>
      <c r="E1451">
        <f>RAW_DATA!E1451</f>
        <v>3</v>
      </c>
      <c r="F1451" t="str">
        <f>RAW_DATA!F1451</f>
        <v>Technical Degree</v>
      </c>
      <c r="G1451">
        <f>RAW_DATA!G1451</f>
        <v>4</v>
      </c>
      <c r="H1451">
        <f>RAW_DATA!H1451</f>
        <v>1</v>
      </c>
      <c r="I1451" t="str">
        <f>RAW_DATA!I1451</f>
        <v>Single</v>
      </c>
      <c r="J1451">
        <f>RAW_DATA!J1451</f>
        <v>2439</v>
      </c>
      <c r="K1451">
        <f>RAW_DATA!K1451</f>
        <v>1</v>
      </c>
      <c r="L1451">
        <f>RAW_DATA!L1451</f>
        <v>3</v>
      </c>
      <c r="M1451">
        <f>RAW_DATA!M1451</f>
        <v>4</v>
      </c>
      <c r="N1451">
        <f t="shared" si="44"/>
        <v>0</v>
      </c>
      <c r="O1451" t="str" cm="1">
        <f t="array" ref="O1451" xml:space="preserve"> _xlfn.IFS(A1451 &lt;ASSUMPTIONS!$D$2,"25",A1451 &lt;= ASSUMPTIONS!$D$3,"25-34",A1451 &lt;= ASSUMPTIONS!$D$4, "35-44",A1451 &lt;= ASSUMPTIONS!$D$5,"45-54",TRUE,"55+")</f>
        <v>25-34</v>
      </c>
      <c r="P1451" t="str" cm="1">
        <f t="array" ref="P1451">_xlfn.IFS( J1451 &lt;ASSUMPTIONS!$D$7,"LOW",J1451 &lt;= ASSUMPTIONS!$D$8,"MEDIUM",TRUE, "HIGH")</f>
        <v>LOW</v>
      </c>
      <c r="Q1451" t="str">
        <f>IF(M1451&lt;ASSUMPTIONS!$D$10,"New (0-2)",IF(M1451&lt;=ASSUMPTIONS!$D$11,"Early (2-5)",IF(M1451&lt;=ASSUMPTIONS!$D$12,"Established (5-10)","Veteran (10+)")))</f>
        <v>Early (2-5)</v>
      </c>
      <c r="R1451" s="4">
        <f t="shared" si="45"/>
        <v>2.6666666666666665</v>
      </c>
    </row>
    <row r="1452" spans="1:18">
      <c r="A1452">
        <f>RAW_DATA!A1452</f>
        <v>35</v>
      </c>
      <c r="B1452" t="str">
        <f>RAW_DATA!B1452</f>
        <v>No</v>
      </c>
      <c r="C1452" t="str">
        <f>RAW_DATA!C1452</f>
        <v>Human Resources</v>
      </c>
      <c r="D1452">
        <f>RAW_DATA!D1452</f>
        <v>26</v>
      </c>
      <c r="E1452">
        <f>RAW_DATA!E1452</f>
        <v>4</v>
      </c>
      <c r="F1452" t="str">
        <f>RAW_DATA!F1452</f>
        <v>Life Sciences</v>
      </c>
      <c r="G1452">
        <f>RAW_DATA!G1452</f>
        <v>3</v>
      </c>
      <c r="H1452">
        <f>RAW_DATA!H1452</f>
        <v>4</v>
      </c>
      <c r="I1452" t="str">
        <f>RAW_DATA!I1452</f>
        <v>Single</v>
      </c>
      <c r="J1452">
        <f>RAW_DATA!J1452</f>
        <v>8837</v>
      </c>
      <c r="K1452">
        <f>RAW_DATA!K1452</f>
        <v>1</v>
      </c>
      <c r="L1452">
        <f>RAW_DATA!L1452</f>
        <v>3</v>
      </c>
      <c r="M1452">
        <f>RAW_DATA!M1452</f>
        <v>9</v>
      </c>
      <c r="N1452">
        <f t="shared" si="44"/>
        <v>0</v>
      </c>
      <c r="O1452" t="str" cm="1">
        <f t="array" ref="O1452" xml:space="preserve"> _xlfn.IFS(A1452 &lt;ASSUMPTIONS!$D$2,"25",A1452 &lt;= ASSUMPTIONS!$D$3,"25-34",A1452 &lt;= ASSUMPTIONS!$D$4, "35-44",A1452 &lt;= ASSUMPTIONS!$D$5,"45-54",TRUE,"55+")</f>
        <v>35-44</v>
      </c>
      <c r="P1452" t="str" cm="1">
        <f t="array" ref="P1452">_xlfn.IFS( J1452 &lt;ASSUMPTIONS!$D$7,"LOW",J1452 &lt;= ASSUMPTIONS!$D$8,"MEDIUM",TRUE, "HIGH")</f>
        <v>HIGH</v>
      </c>
      <c r="Q1452" t="str">
        <f>IF(M1452&lt;ASSUMPTIONS!$D$10,"New (0-2)",IF(M1452&lt;=ASSUMPTIONS!$D$11,"Early (2-5)",IF(M1452&lt;=ASSUMPTIONS!$D$12,"Established (5-10)","Veteran (10+)")))</f>
        <v>Established (5-10)</v>
      </c>
      <c r="R1452" s="4">
        <f t="shared" si="45"/>
        <v>3.3333333333333335</v>
      </c>
    </row>
    <row r="1453" spans="1:18">
      <c r="A1453">
        <f>RAW_DATA!A1453</f>
        <v>38</v>
      </c>
      <c r="B1453" t="str">
        <f>RAW_DATA!B1453</f>
        <v>No</v>
      </c>
      <c r="C1453" t="str">
        <f>RAW_DATA!C1453</f>
        <v>Sales</v>
      </c>
      <c r="D1453">
        <f>RAW_DATA!D1453</f>
        <v>10</v>
      </c>
      <c r="E1453">
        <f>RAW_DATA!E1453</f>
        <v>2</v>
      </c>
      <c r="F1453" t="str">
        <f>RAW_DATA!F1453</f>
        <v>Life Sciences</v>
      </c>
      <c r="G1453">
        <f>RAW_DATA!G1453</f>
        <v>1</v>
      </c>
      <c r="H1453">
        <f>RAW_DATA!H1453</f>
        <v>4</v>
      </c>
      <c r="I1453" t="str">
        <f>RAW_DATA!I1453</f>
        <v>Married</v>
      </c>
      <c r="J1453">
        <f>RAW_DATA!J1453</f>
        <v>5343</v>
      </c>
      <c r="K1453">
        <f>RAW_DATA!K1453</f>
        <v>1</v>
      </c>
      <c r="L1453">
        <f>RAW_DATA!L1453</f>
        <v>3</v>
      </c>
      <c r="M1453">
        <f>RAW_DATA!M1453</f>
        <v>10</v>
      </c>
      <c r="N1453">
        <f t="shared" si="44"/>
        <v>0</v>
      </c>
      <c r="O1453" t="str" cm="1">
        <f t="array" ref="O1453" xml:space="preserve"> _xlfn.IFS(A1453 &lt;ASSUMPTIONS!$D$2,"25",A1453 &lt;= ASSUMPTIONS!$D$3,"25-34",A1453 &lt;= ASSUMPTIONS!$D$4, "35-44",A1453 &lt;= ASSUMPTIONS!$D$5,"45-54",TRUE,"55+")</f>
        <v>35-44</v>
      </c>
      <c r="P1453" t="str" cm="1">
        <f t="array" ref="P1453">_xlfn.IFS( J1453 &lt;ASSUMPTIONS!$D$7,"LOW",J1453 &lt;= ASSUMPTIONS!$D$8,"MEDIUM",TRUE, "HIGH")</f>
        <v>MEDIUM</v>
      </c>
      <c r="Q1453" t="str">
        <f>IF(M1453&lt;ASSUMPTIONS!$D$10,"New (0-2)",IF(M1453&lt;=ASSUMPTIONS!$D$11,"Early (2-5)",IF(M1453&lt;=ASSUMPTIONS!$D$12,"Established (5-10)","Veteran (10+)")))</f>
        <v>Established (5-10)</v>
      </c>
      <c r="R1453" s="4">
        <f t="shared" si="45"/>
        <v>2.6666666666666665</v>
      </c>
    </row>
    <row r="1454" spans="1:18">
      <c r="A1454">
        <f>RAW_DATA!A1454</f>
        <v>50</v>
      </c>
      <c r="B1454" t="str">
        <f>RAW_DATA!B1454</f>
        <v>Yes</v>
      </c>
      <c r="C1454" t="str">
        <f>RAW_DATA!C1454</f>
        <v>Sales</v>
      </c>
      <c r="D1454">
        <f>RAW_DATA!D1454</f>
        <v>1</v>
      </c>
      <c r="E1454">
        <f>RAW_DATA!E1454</f>
        <v>4</v>
      </c>
      <c r="F1454" t="str">
        <f>RAW_DATA!F1454</f>
        <v>Life Sciences</v>
      </c>
      <c r="G1454">
        <f>RAW_DATA!G1454</f>
        <v>2</v>
      </c>
      <c r="H1454">
        <f>RAW_DATA!H1454</f>
        <v>3</v>
      </c>
      <c r="I1454" t="str">
        <f>RAW_DATA!I1454</f>
        <v>Divorced</v>
      </c>
      <c r="J1454">
        <f>RAW_DATA!J1454</f>
        <v>6728</v>
      </c>
      <c r="K1454">
        <f>RAW_DATA!K1454</f>
        <v>7</v>
      </c>
      <c r="L1454">
        <f>RAW_DATA!L1454</f>
        <v>3</v>
      </c>
      <c r="M1454">
        <f>RAW_DATA!M1454</f>
        <v>6</v>
      </c>
      <c r="N1454">
        <f t="shared" si="44"/>
        <v>1</v>
      </c>
      <c r="O1454" t="str" cm="1">
        <f t="array" ref="O1454" xml:space="preserve"> _xlfn.IFS(A1454 &lt;ASSUMPTIONS!$D$2,"25",A1454 &lt;= ASSUMPTIONS!$D$3,"25-34",A1454 &lt;= ASSUMPTIONS!$D$4, "35-44",A1454 &lt;= ASSUMPTIONS!$D$5,"45-54",TRUE,"55+")</f>
        <v>45-54</v>
      </c>
      <c r="P1454" t="str" cm="1">
        <f t="array" ref="P1454">_xlfn.IFS( J1454 &lt;ASSUMPTIONS!$D$7,"LOW",J1454 &lt;= ASSUMPTIONS!$D$8,"MEDIUM",TRUE, "HIGH")</f>
        <v>MEDIUM</v>
      </c>
      <c r="Q1454" t="str">
        <f>IF(M1454&lt;ASSUMPTIONS!$D$10,"New (0-2)",IF(M1454&lt;=ASSUMPTIONS!$D$11,"Early (2-5)",IF(M1454&lt;=ASSUMPTIONS!$D$12,"Established (5-10)","Veteran (10+)")))</f>
        <v>Established (5-10)</v>
      </c>
      <c r="R1454" s="4">
        <f t="shared" si="45"/>
        <v>2.6666666666666665</v>
      </c>
    </row>
    <row r="1455" spans="1:18">
      <c r="A1455">
        <f>RAW_DATA!A1455</f>
        <v>36</v>
      </c>
      <c r="B1455" t="str">
        <f>RAW_DATA!B1455</f>
        <v>No</v>
      </c>
      <c r="C1455" t="str">
        <f>RAW_DATA!C1455</f>
        <v>Sales</v>
      </c>
      <c r="D1455">
        <f>RAW_DATA!D1455</f>
        <v>11</v>
      </c>
      <c r="E1455">
        <f>RAW_DATA!E1455</f>
        <v>4</v>
      </c>
      <c r="F1455" t="str">
        <f>RAW_DATA!F1455</f>
        <v>Marketing</v>
      </c>
      <c r="G1455">
        <f>RAW_DATA!G1455</f>
        <v>2</v>
      </c>
      <c r="H1455">
        <f>RAW_DATA!H1455</f>
        <v>4</v>
      </c>
      <c r="I1455" t="str">
        <f>RAW_DATA!I1455</f>
        <v>Married</v>
      </c>
      <c r="J1455">
        <f>RAW_DATA!J1455</f>
        <v>6652</v>
      </c>
      <c r="K1455">
        <f>RAW_DATA!K1455</f>
        <v>4</v>
      </c>
      <c r="L1455">
        <f>RAW_DATA!L1455</f>
        <v>2</v>
      </c>
      <c r="M1455">
        <f>RAW_DATA!M1455</f>
        <v>6</v>
      </c>
      <c r="N1455">
        <f t="shared" si="44"/>
        <v>0</v>
      </c>
      <c r="O1455" t="str" cm="1">
        <f t="array" ref="O1455" xml:space="preserve"> _xlfn.IFS(A1455 &lt;ASSUMPTIONS!$D$2,"25",A1455 &lt;= ASSUMPTIONS!$D$3,"25-34",A1455 &lt;= ASSUMPTIONS!$D$4, "35-44",A1455 &lt;= ASSUMPTIONS!$D$5,"45-54",TRUE,"55+")</f>
        <v>35-44</v>
      </c>
      <c r="P1455" t="str" cm="1">
        <f t="array" ref="P1455">_xlfn.IFS( J1455 &lt;ASSUMPTIONS!$D$7,"LOW",J1455 &lt;= ASSUMPTIONS!$D$8,"MEDIUM",TRUE, "HIGH")</f>
        <v>MEDIUM</v>
      </c>
      <c r="Q1455" t="str">
        <f>IF(M1455&lt;ASSUMPTIONS!$D$10,"New (0-2)",IF(M1455&lt;=ASSUMPTIONS!$D$11,"Early (2-5)",IF(M1455&lt;=ASSUMPTIONS!$D$12,"Established (5-10)","Veteran (10+)")))</f>
        <v>Established (5-10)</v>
      </c>
      <c r="R1455" s="4">
        <f t="shared" si="45"/>
        <v>2.6666666666666665</v>
      </c>
    </row>
    <row r="1456" spans="1:18">
      <c r="A1456">
        <f>RAW_DATA!A1456</f>
        <v>45</v>
      </c>
      <c r="B1456" t="str">
        <f>RAW_DATA!B1456</f>
        <v>No</v>
      </c>
      <c r="C1456" t="str">
        <f>RAW_DATA!C1456</f>
        <v>Sales</v>
      </c>
      <c r="D1456">
        <f>RAW_DATA!D1456</f>
        <v>20</v>
      </c>
      <c r="E1456">
        <f>RAW_DATA!E1456</f>
        <v>3</v>
      </c>
      <c r="F1456" t="str">
        <f>RAW_DATA!F1456</f>
        <v>Life Sciences</v>
      </c>
      <c r="G1456">
        <f>RAW_DATA!G1456</f>
        <v>4</v>
      </c>
      <c r="H1456">
        <f>RAW_DATA!H1456</f>
        <v>3</v>
      </c>
      <c r="I1456" t="str">
        <f>RAW_DATA!I1456</f>
        <v>Single</v>
      </c>
      <c r="J1456">
        <f>RAW_DATA!J1456</f>
        <v>4850</v>
      </c>
      <c r="K1456">
        <f>RAW_DATA!K1456</f>
        <v>8</v>
      </c>
      <c r="L1456">
        <f>RAW_DATA!L1456</f>
        <v>3</v>
      </c>
      <c r="M1456">
        <f>RAW_DATA!M1456</f>
        <v>5</v>
      </c>
      <c r="N1456">
        <f t="shared" si="44"/>
        <v>0</v>
      </c>
      <c r="O1456" t="str" cm="1">
        <f t="array" ref="O1456" xml:space="preserve"> _xlfn.IFS(A1456 &lt;ASSUMPTIONS!$D$2,"25",A1456 &lt;= ASSUMPTIONS!$D$3,"25-34",A1456 &lt;= ASSUMPTIONS!$D$4, "35-44",A1456 &lt;= ASSUMPTIONS!$D$5,"45-54",TRUE,"55+")</f>
        <v>45-54</v>
      </c>
      <c r="P1456" t="str" cm="1">
        <f t="array" ref="P1456">_xlfn.IFS( J1456 &lt;ASSUMPTIONS!$D$7,"LOW",J1456 &lt;= ASSUMPTIONS!$D$8,"MEDIUM",TRUE, "HIGH")</f>
        <v>MEDIUM</v>
      </c>
      <c r="Q1456" t="str">
        <f>IF(M1456&lt;ASSUMPTIONS!$D$10,"New (0-2)",IF(M1456&lt;=ASSUMPTIONS!$D$11,"Early (2-5)",IF(M1456&lt;=ASSUMPTIONS!$D$12,"Established (5-10)","Veteran (10+)")))</f>
        <v>Early (2-5)</v>
      </c>
      <c r="R1456" s="4">
        <f t="shared" si="45"/>
        <v>3.3333333333333335</v>
      </c>
    </row>
    <row r="1457" spans="1:18">
      <c r="A1457">
        <f>RAW_DATA!A1457</f>
        <v>40</v>
      </c>
      <c r="B1457" t="str">
        <f>RAW_DATA!B1457</f>
        <v>No</v>
      </c>
      <c r="C1457" t="str">
        <f>RAW_DATA!C1457</f>
        <v>Research &amp; Development</v>
      </c>
      <c r="D1457">
        <f>RAW_DATA!D1457</f>
        <v>2</v>
      </c>
      <c r="E1457">
        <f>RAW_DATA!E1457</f>
        <v>4</v>
      </c>
      <c r="F1457" t="str">
        <f>RAW_DATA!F1457</f>
        <v>Life Sciences</v>
      </c>
      <c r="G1457">
        <f>RAW_DATA!G1457</f>
        <v>3</v>
      </c>
      <c r="H1457">
        <f>RAW_DATA!H1457</f>
        <v>3</v>
      </c>
      <c r="I1457" t="str">
        <f>RAW_DATA!I1457</f>
        <v>Single</v>
      </c>
      <c r="J1457">
        <f>RAW_DATA!J1457</f>
        <v>2809</v>
      </c>
      <c r="K1457">
        <f>RAW_DATA!K1457</f>
        <v>2</v>
      </c>
      <c r="L1457">
        <f>RAW_DATA!L1457</f>
        <v>3</v>
      </c>
      <c r="M1457">
        <f>RAW_DATA!M1457</f>
        <v>2</v>
      </c>
      <c r="N1457">
        <f t="shared" si="44"/>
        <v>0</v>
      </c>
      <c r="O1457" t="str" cm="1">
        <f t="array" ref="O1457" xml:space="preserve"> _xlfn.IFS(A1457 &lt;ASSUMPTIONS!$D$2,"25",A1457 &lt;= ASSUMPTIONS!$D$3,"25-34",A1457 &lt;= ASSUMPTIONS!$D$4, "35-44",A1457 &lt;= ASSUMPTIONS!$D$5,"45-54",TRUE,"55+")</f>
        <v>35-44</v>
      </c>
      <c r="P1457" t="str" cm="1">
        <f t="array" ref="P1457">_xlfn.IFS( J1457 &lt;ASSUMPTIONS!$D$7,"LOW",J1457 &lt;= ASSUMPTIONS!$D$8,"MEDIUM",TRUE, "HIGH")</f>
        <v>LOW</v>
      </c>
      <c r="Q1457" t="str">
        <f>IF(M1457&lt;ASSUMPTIONS!$D$10,"New (0-2)",IF(M1457&lt;=ASSUMPTIONS!$D$11,"Early (2-5)",IF(M1457&lt;=ASSUMPTIONS!$D$12,"Established (5-10)","Veteran (10+)")))</f>
        <v>Early (2-5)</v>
      </c>
      <c r="R1457" s="4">
        <f t="shared" si="45"/>
        <v>3</v>
      </c>
    </row>
    <row r="1458" spans="1:18">
      <c r="A1458">
        <f>RAW_DATA!A1458</f>
        <v>35</v>
      </c>
      <c r="B1458" t="str">
        <f>RAW_DATA!B1458</f>
        <v>No</v>
      </c>
      <c r="C1458" t="str">
        <f>RAW_DATA!C1458</f>
        <v>Research &amp; Development</v>
      </c>
      <c r="D1458">
        <f>RAW_DATA!D1458</f>
        <v>18</v>
      </c>
      <c r="E1458">
        <f>RAW_DATA!E1458</f>
        <v>4</v>
      </c>
      <c r="F1458" t="str">
        <f>RAW_DATA!F1458</f>
        <v>Life Sciences</v>
      </c>
      <c r="G1458">
        <f>RAW_DATA!G1458</f>
        <v>3</v>
      </c>
      <c r="H1458">
        <f>RAW_DATA!H1458</f>
        <v>3</v>
      </c>
      <c r="I1458" t="str">
        <f>RAW_DATA!I1458</f>
        <v>Married</v>
      </c>
      <c r="J1458">
        <f>RAW_DATA!J1458</f>
        <v>5689</v>
      </c>
      <c r="K1458">
        <f>RAW_DATA!K1458</f>
        <v>1</v>
      </c>
      <c r="L1458">
        <f>RAW_DATA!L1458</f>
        <v>4</v>
      </c>
      <c r="M1458">
        <f>RAW_DATA!M1458</f>
        <v>10</v>
      </c>
      <c r="N1458">
        <f t="shared" si="44"/>
        <v>0</v>
      </c>
      <c r="O1458" t="str" cm="1">
        <f t="array" ref="O1458" xml:space="preserve"> _xlfn.IFS(A1458 &lt;ASSUMPTIONS!$D$2,"25",A1458 &lt;= ASSUMPTIONS!$D$3,"25-34",A1458 &lt;= ASSUMPTIONS!$D$4, "35-44",A1458 &lt;= ASSUMPTIONS!$D$5,"45-54",TRUE,"55+")</f>
        <v>35-44</v>
      </c>
      <c r="P1458" t="str" cm="1">
        <f t="array" ref="P1458">_xlfn.IFS( J1458 &lt;ASSUMPTIONS!$D$7,"LOW",J1458 &lt;= ASSUMPTIONS!$D$8,"MEDIUM",TRUE, "HIGH")</f>
        <v>MEDIUM</v>
      </c>
      <c r="Q1458" t="str">
        <f>IF(M1458&lt;ASSUMPTIONS!$D$10,"New (0-2)",IF(M1458&lt;=ASSUMPTIONS!$D$11,"Early (2-5)",IF(M1458&lt;=ASSUMPTIONS!$D$12,"Established (5-10)","Veteran (10+)")))</f>
        <v>Established (5-10)</v>
      </c>
      <c r="R1458" s="4">
        <f t="shared" si="45"/>
        <v>3.3333333333333335</v>
      </c>
    </row>
    <row r="1459" spans="1:18">
      <c r="A1459">
        <f>RAW_DATA!A1459</f>
        <v>40</v>
      </c>
      <c r="B1459" t="str">
        <f>RAW_DATA!B1459</f>
        <v>No</v>
      </c>
      <c r="C1459" t="str">
        <f>RAW_DATA!C1459</f>
        <v>Research &amp; Development</v>
      </c>
      <c r="D1459">
        <f>RAW_DATA!D1459</f>
        <v>2</v>
      </c>
      <c r="E1459">
        <f>RAW_DATA!E1459</f>
        <v>4</v>
      </c>
      <c r="F1459" t="str">
        <f>RAW_DATA!F1459</f>
        <v>Medical</v>
      </c>
      <c r="G1459">
        <f>RAW_DATA!G1459</f>
        <v>3</v>
      </c>
      <c r="H1459">
        <f>RAW_DATA!H1459</f>
        <v>3</v>
      </c>
      <c r="I1459" t="str">
        <f>RAW_DATA!I1459</f>
        <v>Married</v>
      </c>
      <c r="J1459">
        <f>RAW_DATA!J1459</f>
        <v>2001</v>
      </c>
      <c r="K1459">
        <f>RAW_DATA!K1459</f>
        <v>2</v>
      </c>
      <c r="L1459">
        <f>RAW_DATA!L1459</f>
        <v>3</v>
      </c>
      <c r="M1459">
        <f>RAW_DATA!M1459</f>
        <v>5</v>
      </c>
      <c r="N1459">
        <f t="shared" si="44"/>
        <v>0</v>
      </c>
      <c r="O1459" t="str" cm="1">
        <f t="array" ref="O1459" xml:space="preserve"> _xlfn.IFS(A1459 &lt;ASSUMPTIONS!$D$2,"25",A1459 &lt;= ASSUMPTIONS!$D$3,"25-34",A1459 &lt;= ASSUMPTIONS!$D$4, "35-44",A1459 &lt;= ASSUMPTIONS!$D$5,"45-54",TRUE,"55+")</f>
        <v>35-44</v>
      </c>
      <c r="P1459" t="str" cm="1">
        <f t="array" ref="P1459">_xlfn.IFS( J1459 &lt;ASSUMPTIONS!$D$7,"LOW",J1459 &lt;= ASSUMPTIONS!$D$8,"MEDIUM",TRUE, "HIGH")</f>
        <v>LOW</v>
      </c>
      <c r="Q1459" t="str">
        <f>IF(M1459&lt;ASSUMPTIONS!$D$10,"New (0-2)",IF(M1459&lt;=ASSUMPTIONS!$D$11,"Early (2-5)",IF(M1459&lt;=ASSUMPTIONS!$D$12,"Established (5-10)","Veteran (10+)")))</f>
        <v>Early (2-5)</v>
      </c>
      <c r="R1459" s="4">
        <f t="shared" si="45"/>
        <v>3</v>
      </c>
    </row>
    <row r="1460" spans="1:18">
      <c r="A1460">
        <f>RAW_DATA!A1460</f>
        <v>35</v>
      </c>
      <c r="B1460" t="str">
        <f>RAW_DATA!B1460</f>
        <v>No</v>
      </c>
      <c r="C1460" t="str">
        <f>RAW_DATA!C1460</f>
        <v>Research &amp; Development</v>
      </c>
      <c r="D1460">
        <f>RAW_DATA!D1460</f>
        <v>1</v>
      </c>
      <c r="E1460">
        <f>RAW_DATA!E1460</f>
        <v>4</v>
      </c>
      <c r="F1460" t="str">
        <f>RAW_DATA!F1460</f>
        <v>Life Sciences</v>
      </c>
      <c r="G1460">
        <f>RAW_DATA!G1460</f>
        <v>3</v>
      </c>
      <c r="H1460">
        <f>RAW_DATA!H1460</f>
        <v>4</v>
      </c>
      <c r="I1460" t="str">
        <f>RAW_DATA!I1460</f>
        <v>Married</v>
      </c>
      <c r="J1460">
        <f>RAW_DATA!J1460</f>
        <v>2977</v>
      </c>
      <c r="K1460">
        <f>RAW_DATA!K1460</f>
        <v>1</v>
      </c>
      <c r="L1460">
        <f>RAW_DATA!L1460</f>
        <v>3</v>
      </c>
      <c r="M1460">
        <f>RAW_DATA!M1460</f>
        <v>4</v>
      </c>
      <c r="N1460">
        <f t="shared" si="44"/>
        <v>0</v>
      </c>
      <c r="O1460" t="str" cm="1">
        <f t="array" ref="O1460" xml:space="preserve"> _xlfn.IFS(A1460 &lt;ASSUMPTIONS!$D$2,"25",A1460 &lt;= ASSUMPTIONS!$D$3,"25-34",A1460 &lt;= ASSUMPTIONS!$D$4, "35-44",A1460 &lt;= ASSUMPTIONS!$D$5,"45-54",TRUE,"55+")</f>
        <v>35-44</v>
      </c>
      <c r="P1460" t="str" cm="1">
        <f t="array" ref="P1460">_xlfn.IFS( J1460 &lt;ASSUMPTIONS!$D$7,"LOW",J1460 &lt;= ASSUMPTIONS!$D$8,"MEDIUM",TRUE, "HIGH")</f>
        <v>LOW</v>
      </c>
      <c r="Q1460" t="str">
        <f>IF(M1460&lt;ASSUMPTIONS!$D$10,"New (0-2)",IF(M1460&lt;=ASSUMPTIONS!$D$11,"Early (2-5)",IF(M1460&lt;=ASSUMPTIONS!$D$12,"Established (5-10)","Veteran (10+)")))</f>
        <v>Early (2-5)</v>
      </c>
      <c r="R1460" s="4">
        <f t="shared" si="45"/>
        <v>3.3333333333333335</v>
      </c>
    </row>
    <row r="1461" spans="1:18">
      <c r="A1461">
        <f>RAW_DATA!A1461</f>
        <v>29</v>
      </c>
      <c r="B1461" t="str">
        <f>RAW_DATA!B1461</f>
        <v>No</v>
      </c>
      <c r="C1461" t="str">
        <f>RAW_DATA!C1461</f>
        <v>Research &amp; Development</v>
      </c>
      <c r="D1461">
        <f>RAW_DATA!D1461</f>
        <v>13</v>
      </c>
      <c r="E1461">
        <f>RAW_DATA!E1461</f>
        <v>2</v>
      </c>
      <c r="F1461" t="str">
        <f>RAW_DATA!F1461</f>
        <v>Other</v>
      </c>
      <c r="G1461">
        <f>RAW_DATA!G1461</f>
        <v>4</v>
      </c>
      <c r="H1461">
        <f>RAW_DATA!H1461</f>
        <v>2</v>
      </c>
      <c r="I1461" t="str">
        <f>RAW_DATA!I1461</f>
        <v>Married</v>
      </c>
      <c r="J1461">
        <f>RAW_DATA!J1461</f>
        <v>4025</v>
      </c>
      <c r="K1461">
        <f>RAW_DATA!K1461</f>
        <v>4</v>
      </c>
      <c r="L1461">
        <f>RAW_DATA!L1461</f>
        <v>3</v>
      </c>
      <c r="M1461">
        <f>RAW_DATA!M1461</f>
        <v>4</v>
      </c>
      <c r="N1461">
        <f t="shared" si="44"/>
        <v>0</v>
      </c>
      <c r="O1461" t="str" cm="1">
        <f t="array" ref="O1461" xml:space="preserve"> _xlfn.IFS(A1461 &lt;ASSUMPTIONS!$D$2,"25",A1461 &lt;= ASSUMPTIONS!$D$3,"25-34",A1461 &lt;= ASSUMPTIONS!$D$4, "35-44",A1461 &lt;= ASSUMPTIONS!$D$5,"45-54",TRUE,"55+")</f>
        <v>25-34</v>
      </c>
      <c r="P1461" t="str" cm="1">
        <f t="array" ref="P1461">_xlfn.IFS( J1461 &lt;ASSUMPTIONS!$D$7,"LOW",J1461 &lt;= ASSUMPTIONS!$D$8,"MEDIUM",TRUE, "HIGH")</f>
        <v>MEDIUM</v>
      </c>
      <c r="Q1461" t="str">
        <f>IF(M1461&lt;ASSUMPTIONS!$D$10,"New (0-2)",IF(M1461&lt;=ASSUMPTIONS!$D$11,"Early (2-5)",IF(M1461&lt;=ASSUMPTIONS!$D$12,"Established (5-10)","Veteran (10+)")))</f>
        <v>Early (2-5)</v>
      </c>
      <c r="R1461" s="4">
        <f t="shared" si="45"/>
        <v>3</v>
      </c>
    </row>
    <row r="1462" spans="1:18">
      <c r="A1462">
        <f>RAW_DATA!A1462</f>
        <v>29</v>
      </c>
      <c r="B1462" t="str">
        <f>RAW_DATA!B1462</f>
        <v>No</v>
      </c>
      <c r="C1462" t="str">
        <f>RAW_DATA!C1462</f>
        <v>Research &amp; Development</v>
      </c>
      <c r="D1462">
        <f>RAW_DATA!D1462</f>
        <v>28</v>
      </c>
      <c r="E1462">
        <f>RAW_DATA!E1462</f>
        <v>4</v>
      </c>
      <c r="F1462" t="str">
        <f>RAW_DATA!F1462</f>
        <v>Medical</v>
      </c>
      <c r="G1462">
        <f>RAW_DATA!G1462</f>
        <v>4</v>
      </c>
      <c r="H1462">
        <f>RAW_DATA!H1462</f>
        <v>1</v>
      </c>
      <c r="I1462" t="str">
        <f>RAW_DATA!I1462</f>
        <v>Single</v>
      </c>
      <c r="J1462">
        <f>RAW_DATA!J1462</f>
        <v>3785</v>
      </c>
      <c r="K1462">
        <f>RAW_DATA!K1462</f>
        <v>1</v>
      </c>
      <c r="L1462">
        <f>RAW_DATA!L1462</f>
        <v>1</v>
      </c>
      <c r="M1462">
        <f>RAW_DATA!M1462</f>
        <v>5</v>
      </c>
      <c r="N1462">
        <f t="shared" si="44"/>
        <v>0</v>
      </c>
      <c r="O1462" t="str" cm="1">
        <f t="array" ref="O1462" xml:space="preserve"> _xlfn.IFS(A1462 &lt;ASSUMPTIONS!$D$2,"25",A1462 &lt;= ASSUMPTIONS!$D$3,"25-34",A1462 &lt;= ASSUMPTIONS!$D$4, "35-44",A1462 &lt;= ASSUMPTIONS!$D$5,"45-54",TRUE,"55+")</f>
        <v>25-34</v>
      </c>
      <c r="P1462" t="str" cm="1">
        <f t="array" ref="P1462">_xlfn.IFS( J1462 &lt;ASSUMPTIONS!$D$7,"LOW",J1462 &lt;= ASSUMPTIONS!$D$8,"MEDIUM",TRUE, "HIGH")</f>
        <v>MEDIUM</v>
      </c>
      <c r="Q1462" t="str">
        <f>IF(M1462&lt;ASSUMPTIONS!$D$10,"New (0-2)",IF(M1462&lt;=ASSUMPTIONS!$D$11,"Early (2-5)",IF(M1462&lt;=ASSUMPTIONS!$D$12,"Established (5-10)","Veteran (10+)")))</f>
        <v>Early (2-5)</v>
      </c>
      <c r="R1462" s="4">
        <f t="shared" si="45"/>
        <v>2</v>
      </c>
    </row>
    <row r="1463" spans="1:18">
      <c r="A1463">
        <f>RAW_DATA!A1463</f>
        <v>50</v>
      </c>
      <c r="B1463" t="str">
        <f>RAW_DATA!B1463</f>
        <v>Yes</v>
      </c>
      <c r="C1463" t="str">
        <f>RAW_DATA!C1463</f>
        <v>Sales</v>
      </c>
      <c r="D1463">
        <f>RAW_DATA!D1463</f>
        <v>28</v>
      </c>
      <c r="E1463">
        <f>RAW_DATA!E1463</f>
        <v>3</v>
      </c>
      <c r="F1463" t="str">
        <f>RAW_DATA!F1463</f>
        <v>Marketing</v>
      </c>
      <c r="G1463">
        <f>RAW_DATA!G1463</f>
        <v>4</v>
      </c>
      <c r="H1463">
        <f>RAW_DATA!H1463</f>
        <v>1</v>
      </c>
      <c r="I1463" t="str">
        <f>RAW_DATA!I1463</f>
        <v>Divorced</v>
      </c>
      <c r="J1463">
        <f>RAW_DATA!J1463</f>
        <v>10854</v>
      </c>
      <c r="K1463">
        <f>RAW_DATA!K1463</f>
        <v>4</v>
      </c>
      <c r="L1463">
        <f>RAW_DATA!L1463</f>
        <v>3</v>
      </c>
      <c r="M1463">
        <f>RAW_DATA!M1463</f>
        <v>3</v>
      </c>
      <c r="N1463">
        <f t="shared" si="44"/>
        <v>1</v>
      </c>
      <c r="O1463" t="str" cm="1">
        <f t="array" ref="O1463" xml:space="preserve"> _xlfn.IFS(A1463 &lt;ASSUMPTIONS!$D$2,"25",A1463 &lt;= ASSUMPTIONS!$D$3,"25-34",A1463 &lt;= ASSUMPTIONS!$D$4, "35-44",A1463 &lt;= ASSUMPTIONS!$D$5,"45-54",TRUE,"55+")</f>
        <v>45-54</v>
      </c>
      <c r="P1463" t="str" cm="1">
        <f t="array" ref="P1463">_xlfn.IFS( J1463 &lt;ASSUMPTIONS!$D$7,"LOW",J1463 &lt;= ASSUMPTIONS!$D$8,"MEDIUM",TRUE, "HIGH")</f>
        <v>HIGH</v>
      </c>
      <c r="Q1463" t="str">
        <f>IF(M1463&lt;ASSUMPTIONS!$D$10,"New (0-2)",IF(M1463&lt;=ASSUMPTIONS!$D$11,"Early (2-5)",IF(M1463&lt;=ASSUMPTIONS!$D$12,"Established (5-10)","Veteran (10+)")))</f>
        <v>Early (2-5)</v>
      </c>
      <c r="R1463" s="4">
        <f t="shared" si="45"/>
        <v>2.6666666666666665</v>
      </c>
    </row>
    <row r="1464" spans="1:18">
      <c r="A1464">
        <f>RAW_DATA!A1464</f>
        <v>39</v>
      </c>
      <c r="B1464" t="str">
        <f>RAW_DATA!B1464</f>
        <v>No</v>
      </c>
      <c r="C1464" t="str">
        <f>RAW_DATA!C1464</f>
        <v>Sales</v>
      </c>
      <c r="D1464">
        <f>RAW_DATA!D1464</f>
        <v>24</v>
      </c>
      <c r="E1464">
        <f>RAW_DATA!E1464</f>
        <v>1</v>
      </c>
      <c r="F1464" t="str">
        <f>RAW_DATA!F1464</f>
        <v>Marketing</v>
      </c>
      <c r="G1464">
        <f>RAW_DATA!G1464</f>
        <v>2</v>
      </c>
      <c r="H1464">
        <f>RAW_DATA!H1464</f>
        <v>4</v>
      </c>
      <c r="I1464" t="str">
        <f>RAW_DATA!I1464</f>
        <v>Married</v>
      </c>
      <c r="J1464">
        <f>RAW_DATA!J1464</f>
        <v>12031</v>
      </c>
      <c r="K1464">
        <f>RAW_DATA!K1464</f>
        <v>0</v>
      </c>
      <c r="L1464">
        <f>RAW_DATA!L1464</f>
        <v>2</v>
      </c>
      <c r="M1464">
        <f>RAW_DATA!M1464</f>
        <v>20</v>
      </c>
      <c r="N1464">
        <f t="shared" si="44"/>
        <v>0</v>
      </c>
      <c r="O1464" t="str" cm="1">
        <f t="array" ref="O1464" xml:space="preserve"> _xlfn.IFS(A1464 &lt;ASSUMPTIONS!$D$2,"25",A1464 &lt;= ASSUMPTIONS!$D$3,"25-34",A1464 &lt;= ASSUMPTIONS!$D$4, "35-44",A1464 &lt;= ASSUMPTIONS!$D$5,"45-54",TRUE,"55+")</f>
        <v>35-44</v>
      </c>
      <c r="P1464" t="str" cm="1">
        <f t="array" ref="P1464">_xlfn.IFS( J1464 &lt;ASSUMPTIONS!$D$7,"LOW",J1464 &lt;= ASSUMPTIONS!$D$8,"MEDIUM",TRUE, "HIGH")</f>
        <v>HIGH</v>
      </c>
      <c r="Q1464" t="str">
        <f>IF(M1464&lt;ASSUMPTIONS!$D$10,"New (0-2)",IF(M1464&lt;=ASSUMPTIONS!$D$11,"Early (2-5)",IF(M1464&lt;=ASSUMPTIONS!$D$12,"Established (5-10)","Veteran (10+)")))</f>
        <v>Veteran (10+)</v>
      </c>
      <c r="R1464" s="4">
        <f t="shared" si="45"/>
        <v>2.6666666666666665</v>
      </c>
    </row>
    <row r="1465" spans="1:18">
      <c r="A1465">
        <f>RAW_DATA!A1465</f>
        <v>31</v>
      </c>
      <c r="B1465" t="str">
        <f>RAW_DATA!B1465</f>
        <v>No</v>
      </c>
      <c r="C1465" t="str">
        <f>RAW_DATA!C1465</f>
        <v>Research &amp; Development</v>
      </c>
      <c r="D1465">
        <f>RAW_DATA!D1465</f>
        <v>5</v>
      </c>
      <c r="E1465">
        <f>RAW_DATA!E1465</f>
        <v>3</v>
      </c>
      <c r="F1465" t="str">
        <f>RAW_DATA!F1465</f>
        <v>Medical</v>
      </c>
      <c r="G1465">
        <f>RAW_DATA!G1465</f>
        <v>2</v>
      </c>
      <c r="H1465">
        <f>RAW_DATA!H1465</f>
        <v>1</v>
      </c>
      <c r="I1465" t="str">
        <f>RAW_DATA!I1465</f>
        <v>Single</v>
      </c>
      <c r="J1465">
        <f>RAW_DATA!J1465</f>
        <v>9936</v>
      </c>
      <c r="K1465">
        <f>RAW_DATA!K1465</f>
        <v>0</v>
      </c>
      <c r="L1465">
        <f>RAW_DATA!L1465</f>
        <v>3</v>
      </c>
      <c r="M1465">
        <f>RAW_DATA!M1465</f>
        <v>9</v>
      </c>
      <c r="N1465">
        <f t="shared" si="44"/>
        <v>0</v>
      </c>
      <c r="O1465" t="str" cm="1">
        <f t="array" ref="O1465" xml:space="preserve"> _xlfn.IFS(A1465 &lt;ASSUMPTIONS!$D$2,"25",A1465 &lt;= ASSUMPTIONS!$D$3,"25-34",A1465 &lt;= ASSUMPTIONS!$D$4, "35-44",A1465 &lt;= ASSUMPTIONS!$D$5,"45-54",TRUE,"55+")</f>
        <v>25-34</v>
      </c>
      <c r="P1465" t="str" cm="1">
        <f t="array" ref="P1465">_xlfn.IFS( J1465 &lt;ASSUMPTIONS!$D$7,"LOW",J1465 &lt;= ASSUMPTIONS!$D$8,"MEDIUM",TRUE, "HIGH")</f>
        <v>HIGH</v>
      </c>
      <c r="Q1465" t="str">
        <f>IF(M1465&lt;ASSUMPTIONS!$D$10,"New (0-2)",IF(M1465&lt;=ASSUMPTIONS!$D$11,"Early (2-5)",IF(M1465&lt;=ASSUMPTIONS!$D$12,"Established (5-10)","Veteran (10+)")))</f>
        <v>Established (5-10)</v>
      </c>
      <c r="R1465" s="4">
        <f t="shared" si="45"/>
        <v>2</v>
      </c>
    </row>
    <row r="1466" spans="1:18">
      <c r="A1466">
        <f>RAW_DATA!A1466</f>
        <v>26</v>
      </c>
      <c r="B1466" t="str">
        <f>RAW_DATA!B1466</f>
        <v>No</v>
      </c>
      <c r="C1466" t="str">
        <f>RAW_DATA!C1466</f>
        <v>Sales</v>
      </c>
      <c r="D1466">
        <f>RAW_DATA!D1466</f>
        <v>5</v>
      </c>
      <c r="E1466">
        <f>RAW_DATA!E1466</f>
        <v>3</v>
      </c>
      <c r="F1466" t="str">
        <f>RAW_DATA!F1466</f>
        <v>Other</v>
      </c>
      <c r="G1466">
        <f>RAW_DATA!G1466</f>
        <v>4</v>
      </c>
      <c r="H1466">
        <f>RAW_DATA!H1466</f>
        <v>3</v>
      </c>
      <c r="I1466" t="str">
        <f>RAW_DATA!I1466</f>
        <v>Single</v>
      </c>
      <c r="J1466">
        <f>RAW_DATA!J1466</f>
        <v>2966</v>
      </c>
      <c r="K1466">
        <f>RAW_DATA!K1466</f>
        <v>0</v>
      </c>
      <c r="L1466">
        <f>RAW_DATA!L1466</f>
        <v>3</v>
      </c>
      <c r="M1466">
        <f>RAW_DATA!M1466</f>
        <v>4</v>
      </c>
      <c r="N1466">
        <f t="shared" si="44"/>
        <v>0</v>
      </c>
      <c r="O1466" t="str" cm="1">
        <f t="array" ref="O1466" xml:space="preserve"> _xlfn.IFS(A1466 &lt;ASSUMPTIONS!$D$2,"25",A1466 &lt;= ASSUMPTIONS!$D$3,"25-34",A1466 &lt;= ASSUMPTIONS!$D$4, "35-44",A1466 &lt;= ASSUMPTIONS!$D$5,"45-54",TRUE,"55+")</f>
        <v>25-34</v>
      </c>
      <c r="P1466" t="str" cm="1">
        <f t="array" ref="P1466">_xlfn.IFS( J1466 &lt;ASSUMPTIONS!$D$7,"LOW",J1466 &lt;= ASSUMPTIONS!$D$8,"MEDIUM",TRUE, "HIGH")</f>
        <v>LOW</v>
      </c>
      <c r="Q1466" t="str">
        <f>IF(M1466&lt;ASSUMPTIONS!$D$10,"New (0-2)",IF(M1466&lt;=ASSUMPTIONS!$D$11,"Early (2-5)",IF(M1466&lt;=ASSUMPTIONS!$D$12,"Established (5-10)","Veteran (10+)")))</f>
        <v>Early (2-5)</v>
      </c>
      <c r="R1466" s="4">
        <f t="shared" si="45"/>
        <v>3.3333333333333335</v>
      </c>
    </row>
    <row r="1467" spans="1:18">
      <c r="A1467">
        <f>RAW_DATA!A1467</f>
        <v>36</v>
      </c>
      <c r="B1467" t="str">
        <f>RAW_DATA!B1467</f>
        <v>No</v>
      </c>
      <c r="C1467" t="str">
        <f>RAW_DATA!C1467</f>
        <v>Research &amp; Development</v>
      </c>
      <c r="D1467">
        <f>RAW_DATA!D1467</f>
        <v>23</v>
      </c>
      <c r="E1467">
        <f>RAW_DATA!E1467</f>
        <v>2</v>
      </c>
      <c r="F1467" t="str">
        <f>RAW_DATA!F1467</f>
        <v>Medical</v>
      </c>
      <c r="G1467">
        <f>RAW_DATA!G1467</f>
        <v>3</v>
      </c>
      <c r="H1467">
        <f>RAW_DATA!H1467</f>
        <v>4</v>
      </c>
      <c r="I1467" t="str">
        <f>RAW_DATA!I1467</f>
        <v>Married</v>
      </c>
      <c r="J1467">
        <f>RAW_DATA!J1467</f>
        <v>2571</v>
      </c>
      <c r="K1467">
        <f>RAW_DATA!K1467</f>
        <v>4</v>
      </c>
      <c r="L1467">
        <f>RAW_DATA!L1467</f>
        <v>3</v>
      </c>
      <c r="M1467">
        <f>RAW_DATA!M1467</f>
        <v>5</v>
      </c>
      <c r="N1467">
        <f t="shared" si="44"/>
        <v>0</v>
      </c>
      <c r="O1467" t="str" cm="1">
        <f t="array" ref="O1467" xml:space="preserve"> _xlfn.IFS(A1467 &lt;ASSUMPTIONS!$D$2,"25",A1467 &lt;= ASSUMPTIONS!$D$3,"25-34",A1467 &lt;= ASSUMPTIONS!$D$4, "35-44",A1467 &lt;= ASSUMPTIONS!$D$5,"45-54",TRUE,"55+")</f>
        <v>35-44</v>
      </c>
      <c r="P1467" t="str" cm="1">
        <f t="array" ref="P1467">_xlfn.IFS( J1467 &lt;ASSUMPTIONS!$D$7,"LOW",J1467 &lt;= ASSUMPTIONS!$D$8,"MEDIUM",TRUE, "HIGH")</f>
        <v>LOW</v>
      </c>
      <c r="Q1467" t="str">
        <f>IF(M1467&lt;ASSUMPTIONS!$D$10,"New (0-2)",IF(M1467&lt;=ASSUMPTIONS!$D$11,"Early (2-5)",IF(M1467&lt;=ASSUMPTIONS!$D$12,"Established (5-10)","Veteran (10+)")))</f>
        <v>Early (2-5)</v>
      </c>
      <c r="R1467" s="4">
        <f t="shared" si="45"/>
        <v>3.3333333333333335</v>
      </c>
    </row>
    <row r="1468" spans="1:18">
      <c r="A1468">
        <f>RAW_DATA!A1468</f>
        <v>39</v>
      </c>
      <c r="B1468" t="str">
        <f>RAW_DATA!B1468</f>
        <v>No</v>
      </c>
      <c r="C1468" t="str">
        <f>RAW_DATA!C1468</f>
        <v>Research &amp; Development</v>
      </c>
      <c r="D1468">
        <f>RAW_DATA!D1468</f>
        <v>6</v>
      </c>
      <c r="E1468">
        <f>RAW_DATA!E1468</f>
        <v>1</v>
      </c>
      <c r="F1468" t="str">
        <f>RAW_DATA!F1468</f>
        <v>Medical</v>
      </c>
      <c r="G1468">
        <f>RAW_DATA!G1468</f>
        <v>4</v>
      </c>
      <c r="H1468">
        <f>RAW_DATA!H1468</f>
        <v>1</v>
      </c>
      <c r="I1468" t="str">
        <f>RAW_DATA!I1468</f>
        <v>Married</v>
      </c>
      <c r="J1468">
        <f>RAW_DATA!J1468</f>
        <v>9991</v>
      </c>
      <c r="K1468">
        <f>RAW_DATA!K1468</f>
        <v>4</v>
      </c>
      <c r="L1468">
        <f>RAW_DATA!L1468</f>
        <v>3</v>
      </c>
      <c r="M1468">
        <f>RAW_DATA!M1468</f>
        <v>7</v>
      </c>
      <c r="N1468">
        <f t="shared" si="44"/>
        <v>0</v>
      </c>
      <c r="O1468" t="str" cm="1">
        <f t="array" ref="O1468" xml:space="preserve"> _xlfn.IFS(A1468 &lt;ASSUMPTIONS!$D$2,"25",A1468 &lt;= ASSUMPTIONS!$D$3,"25-34",A1468 &lt;= ASSUMPTIONS!$D$4, "35-44",A1468 &lt;= ASSUMPTIONS!$D$5,"45-54",TRUE,"55+")</f>
        <v>35-44</v>
      </c>
      <c r="P1468" t="str" cm="1">
        <f t="array" ref="P1468">_xlfn.IFS( J1468 &lt;ASSUMPTIONS!$D$7,"LOW",J1468 &lt;= ASSUMPTIONS!$D$8,"MEDIUM",TRUE, "HIGH")</f>
        <v>HIGH</v>
      </c>
      <c r="Q1468" t="str">
        <f>IF(M1468&lt;ASSUMPTIONS!$D$10,"New (0-2)",IF(M1468&lt;=ASSUMPTIONS!$D$11,"Early (2-5)",IF(M1468&lt;=ASSUMPTIONS!$D$12,"Established (5-10)","Veteran (10+)")))</f>
        <v>Established (5-10)</v>
      </c>
      <c r="R1468" s="4">
        <f t="shared" si="45"/>
        <v>2.6666666666666665</v>
      </c>
    </row>
    <row r="1469" spans="1:18">
      <c r="A1469">
        <f>RAW_DATA!A1469</f>
        <v>27</v>
      </c>
      <c r="B1469" t="str">
        <f>RAW_DATA!B1469</f>
        <v>No</v>
      </c>
      <c r="C1469" t="str">
        <f>RAW_DATA!C1469</f>
        <v>Research &amp; Development</v>
      </c>
      <c r="D1469">
        <f>RAW_DATA!D1469</f>
        <v>4</v>
      </c>
      <c r="E1469">
        <f>RAW_DATA!E1469</f>
        <v>3</v>
      </c>
      <c r="F1469" t="str">
        <f>RAW_DATA!F1469</f>
        <v>Life Sciences</v>
      </c>
      <c r="G1469">
        <f>RAW_DATA!G1469</f>
        <v>2</v>
      </c>
      <c r="H1469">
        <f>RAW_DATA!H1469</f>
        <v>2</v>
      </c>
      <c r="I1469" t="str">
        <f>RAW_DATA!I1469</f>
        <v>Married</v>
      </c>
      <c r="J1469">
        <f>RAW_DATA!J1469</f>
        <v>6142</v>
      </c>
      <c r="K1469">
        <f>RAW_DATA!K1469</f>
        <v>1</v>
      </c>
      <c r="L1469">
        <f>RAW_DATA!L1469</f>
        <v>3</v>
      </c>
      <c r="M1469">
        <f>RAW_DATA!M1469</f>
        <v>6</v>
      </c>
      <c r="N1469">
        <f t="shared" si="44"/>
        <v>0</v>
      </c>
      <c r="O1469" t="str" cm="1">
        <f t="array" ref="O1469" xml:space="preserve"> _xlfn.IFS(A1469 &lt;ASSUMPTIONS!$D$2,"25",A1469 &lt;= ASSUMPTIONS!$D$3,"25-34",A1469 &lt;= ASSUMPTIONS!$D$4, "35-44",A1469 &lt;= ASSUMPTIONS!$D$5,"45-54",TRUE,"55+")</f>
        <v>25-34</v>
      </c>
      <c r="P1469" t="str" cm="1">
        <f t="array" ref="P1469">_xlfn.IFS( J1469 &lt;ASSUMPTIONS!$D$7,"LOW",J1469 &lt;= ASSUMPTIONS!$D$8,"MEDIUM",TRUE, "HIGH")</f>
        <v>MEDIUM</v>
      </c>
      <c r="Q1469" t="str">
        <f>IF(M1469&lt;ASSUMPTIONS!$D$10,"New (0-2)",IF(M1469&lt;=ASSUMPTIONS!$D$11,"Early (2-5)",IF(M1469&lt;=ASSUMPTIONS!$D$12,"Established (5-10)","Veteran (10+)")))</f>
        <v>Established (5-10)</v>
      </c>
      <c r="R1469" s="4">
        <f t="shared" si="45"/>
        <v>2.3333333333333335</v>
      </c>
    </row>
    <row r="1470" spans="1:18">
      <c r="A1470">
        <f>RAW_DATA!A1470</f>
        <v>49</v>
      </c>
      <c r="B1470" t="str">
        <f>RAW_DATA!B1470</f>
        <v>No</v>
      </c>
      <c r="C1470" t="str">
        <f>RAW_DATA!C1470</f>
        <v>Sales</v>
      </c>
      <c r="D1470">
        <f>RAW_DATA!D1470</f>
        <v>2</v>
      </c>
      <c r="E1470">
        <f>RAW_DATA!E1470</f>
        <v>3</v>
      </c>
      <c r="F1470" t="str">
        <f>RAW_DATA!F1470</f>
        <v>Medical</v>
      </c>
      <c r="G1470">
        <f>RAW_DATA!G1470</f>
        <v>4</v>
      </c>
      <c r="H1470">
        <f>RAW_DATA!H1470</f>
        <v>2</v>
      </c>
      <c r="I1470" t="str">
        <f>RAW_DATA!I1470</f>
        <v>Married</v>
      </c>
      <c r="J1470">
        <f>RAW_DATA!J1470</f>
        <v>5390</v>
      </c>
      <c r="K1470">
        <f>RAW_DATA!K1470</f>
        <v>2</v>
      </c>
      <c r="L1470">
        <f>RAW_DATA!L1470</f>
        <v>2</v>
      </c>
      <c r="M1470">
        <f>RAW_DATA!M1470</f>
        <v>9</v>
      </c>
      <c r="N1470">
        <f t="shared" si="44"/>
        <v>0</v>
      </c>
      <c r="O1470" t="str" cm="1">
        <f t="array" ref="O1470" xml:space="preserve"> _xlfn.IFS(A1470 &lt;ASSUMPTIONS!$D$2,"25",A1470 &lt;= ASSUMPTIONS!$D$3,"25-34",A1470 &lt;= ASSUMPTIONS!$D$4, "35-44",A1470 &lt;= ASSUMPTIONS!$D$5,"45-54",TRUE,"55+")</f>
        <v>45-54</v>
      </c>
      <c r="P1470" t="str" cm="1">
        <f t="array" ref="P1470">_xlfn.IFS( J1470 &lt;ASSUMPTIONS!$D$7,"LOW",J1470 &lt;= ASSUMPTIONS!$D$8,"MEDIUM",TRUE, "HIGH")</f>
        <v>MEDIUM</v>
      </c>
      <c r="Q1470" t="str">
        <f>IF(M1470&lt;ASSUMPTIONS!$D$10,"New (0-2)",IF(M1470&lt;=ASSUMPTIONS!$D$11,"Early (2-5)",IF(M1470&lt;=ASSUMPTIONS!$D$12,"Established (5-10)","Veteran (10+)")))</f>
        <v>Established (5-10)</v>
      </c>
      <c r="R1470" s="4">
        <f t="shared" si="45"/>
        <v>2.6666666666666665</v>
      </c>
    </row>
    <row r="1471" spans="1:18">
      <c r="A1471">
        <f>RAW_DATA!A1471</f>
        <v>34</v>
      </c>
      <c r="B1471" t="str">
        <f>RAW_DATA!B1471</f>
        <v>No</v>
      </c>
      <c r="C1471" t="str">
        <f>RAW_DATA!C1471</f>
        <v>Research &amp; Development</v>
      </c>
      <c r="D1471">
        <f>RAW_DATA!D1471</f>
        <v>8</v>
      </c>
      <c r="E1471">
        <f>RAW_DATA!E1471</f>
        <v>3</v>
      </c>
      <c r="F1471" t="str">
        <f>RAW_DATA!F1471</f>
        <v>Medical</v>
      </c>
      <c r="G1471">
        <f>RAW_DATA!G1471</f>
        <v>2</v>
      </c>
      <c r="H1471">
        <f>RAW_DATA!H1471</f>
        <v>3</v>
      </c>
      <c r="I1471" t="str">
        <f>RAW_DATA!I1471</f>
        <v>Married</v>
      </c>
      <c r="J1471">
        <f>RAW_DATA!J1471</f>
        <v>4404</v>
      </c>
      <c r="K1471">
        <f>RAW_DATA!K1471</f>
        <v>2</v>
      </c>
      <c r="L1471">
        <f>RAW_DATA!L1471</f>
        <v>4</v>
      </c>
      <c r="M1471">
        <f>RAW_DATA!M1471</f>
        <v>4</v>
      </c>
      <c r="N1471">
        <f t="shared" si="44"/>
        <v>0</v>
      </c>
      <c r="O1471" t="str" cm="1">
        <f t="array" ref="O1471" xml:space="preserve"> _xlfn.IFS(A1471 &lt;ASSUMPTIONS!$D$2,"25",A1471 &lt;= ASSUMPTIONS!$D$3,"25-34",A1471 &lt;= ASSUMPTIONS!$D$4, "35-44",A1471 &lt;= ASSUMPTIONS!$D$5,"45-54",TRUE,"55+")</f>
        <v>25-34</v>
      </c>
      <c r="P1471" t="str" cm="1">
        <f t="array" ref="P1471">_xlfn.IFS( J1471 &lt;ASSUMPTIONS!$D$7,"LOW",J1471 &lt;= ASSUMPTIONS!$D$8,"MEDIUM",TRUE, "HIGH")</f>
        <v>MEDIUM</v>
      </c>
      <c r="Q1471" t="str">
        <f>IF(M1471&lt;ASSUMPTIONS!$D$10,"New (0-2)",IF(M1471&lt;=ASSUMPTIONS!$D$11,"Early (2-5)",IF(M1471&lt;=ASSUMPTIONS!$D$12,"Established (5-10)","Veteran (10+)")))</f>
        <v>Early (2-5)</v>
      </c>
      <c r="R1471" s="4">
        <f t="shared" si="45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2026-06-19T12:36:42Z</dcterms:created>
  <dcterms:modified xsi:type="dcterms:W3CDTF">2026-06-19T23:48:56Z</dcterms:modified>
  <cp:category/>
  <cp:contentStatus/>
</cp:coreProperties>
</file>